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01-08-2026-ANALISI_NUOVE_RICHIESTE\DOCUMENTO Continuita_27_07_2026\MODIFICA_COBRAL\"/>
    </mc:Choice>
  </mc:AlternateContent>
  <bookViews>
    <workbookView xWindow="-120" yWindow="-120" windowWidth="29040" windowHeight="15720" tabRatio="594" firstSheet="5" activeTab="8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Calkos" sheetId="2" r:id="rId6"/>
    <sheet name="Tabella" sheetId="5" r:id="rId7"/>
    <sheet name="Bronzo" sheetId="10" r:id="rId8"/>
    <sheet name="Rame" sheetId="8" r:id="rId9"/>
    <sheet name="Ottone" sheetId="7" r:id="rId10"/>
    <sheet name="Tabelle" sheetId="1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5" hidden="1">Calkos!$A$5:$AM$1103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5">Calkos!$B$1:$Z$1103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H1" i="1" l="1"/>
  <c r="AT337" i="2" l="1"/>
  <c r="AS337" i="2"/>
  <c r="AG337" i="2"/>
  <c r="AF337" i="2"/>
  <c r="X337" i="2"/>
  <c r="S337" i="2"/>
  <c r="R337" i="2"/>
  <c r="Q337" i="2"/>
  <c r="P337" i="2"/>
  <c r="M337" i="2"/>
  <c r="L337" i="2"/>
  <c r="K337" i="2"/>
  <c r="AT229" i="2"/>
  <c r="AS229" i="2"/>
  <c r="AL229" i="2"/>
  <c r="AK229" i="2"/>
  <c r="AG229" i="2"/>
  <c r="AF229" i="2"/>
  <c r="X229" i="2"/>
  <c r="S229" i="2"/>
  <c r="R229" i="2"/>
  <c r="Q229" i="2"/>
  <c r="P229" i="2"/>
  <c r="M229" i="2"/>
  <c r="L229" i="2"/>
  <c r="K229" i="2"/>
  <c r="AT175" i="2"/>
  <c r="AS175" i="2"/>
  <c r="AL175" i="2"/>
  <c r="AK175" i="2"/>
  <c r="AG175" i="2"/>
  <c r="AF175" i="2"/>
  <c r="X175" i="2"/>
  <c r="S175" i="2"/>
  <c r="R175" i="2"/>
  <c r="Q175" i="2"/>
  <c r="P175" i="2"/>
  <c r="M175" i="2"/>
  <c r="L175" i="2"/>
  <c r="AT225" i="2"/>
  <c r="AS225" i="2"/>
  <c r="AL225" i="2"/>
  <c r="AK225" i="2"/>
  <c r="AG225" i="2"/>
  <c r="AF225" i="2"/>
  <c r="X225" i="2"/>
  <c r="S225" i="2"/>
  <c r="R225" i="2"/>
  <c r="Q225" i="2"/>
  <c r="P225" i="2"/>
  <c r="M225" i="2"/>
  <c r="L225" i="2"/>
  <c r="K225" i="2"/>
  <c r="AT315" i="2"/>
  <c r="AS315" i="2"/>
  <c r="AG315" i="2"/>
  <c r="AF315" i="2"/>
  <c r="X315" i="2"/>
  <c r="S315" i="2"/>
  <c r="R315" i="2"/>
  <c r="Q315" i="2"/>
  <c r="P315" i="2"/>
  <c r="M315" i="2"/>
  <c r="L315" i="2"/>
  <c r="K315" i="2"/>
  <c r="T337" i="2" l="1"/>
  <c r="W337" i="2" s="1"/>
  <c r="Z337" i="2" s="1"/>
  <c r="T229" i="2"/>
  <c r="W229" i="2" s="1"/>
  <c r="Z229" i="2" s="1"/>
  <c r="T175" i="2"/>
  <c r="O175" i="2"/>
  <c r="T225" i="2"/>
  <c r="W225" i="2" s="1"/>
  <c r="Z225" i="2" s="1"/>
  <c r="T315" i="2"/>
  <c r="W315" i="2" s="1"/>
  <c r="Z315" i="2" s="1"/>
  <c r="W175" i="2" l="1"/>
  <c r="Z175" i="2" s="1"/>
  <c r="AT41" i="2" l="1"/>
  <c r="AS41" i="2"/>
  <c r="AL41" i="2"/>
  <c r="AK41" i="2"/>
  <c r="AG41" i="2"/>
  <c r="AH41" i="2" s="1"/>
  <c r="AF41" i="2"/>
  <c r="X41" i="2"/>
  <c r="S41" i="2"/>
  <c r="R41" i="2"/>
  <c r="Q41" i="2"/>
  <c r="P41" i="2"/>
  <c r="M41" i="2"/>
  <c r="L41" i="2"/>
  <c r="K41" i="2"/>
  <c r="O41" i="2" l="1"/>
  <c r="T41" i="2"/>
  <c r="W41" i="2" l="1"/>
  <c r="Z41" i="2" s="1"/>
  <c r="AT80" i="2"/>
  <c r="AS80" i="2"/>
  <c r="AL80" i="2"/>
  <c r="AK80" i="2"/>
  <c r="AG80" i="2"/>
  <c r="AH80" i="2" s="1"/>
  <c r="AF80" i="2"/>
  <c r="X80" i="2"/>
  <c r="S80" i="2"/>
  <c r="R80" i="2"/>
  <c r="Q80" i="2"/>
  <c r="P80" i="2"/>
  <c r="M80" i="2"/>
  <c r="L80" i="2"/>
  <c r="K80" i="2"/>
  <c r="AT1101" i="2"/>
  <c r="AS1101" i="2"/>
  <c r="AL1101" i="2"/>
  <c r="AK1101" i="2"/>
  <c r="AG1101" i="2"/>
  <c r="AH1101" i="2" s="1"/>
  <c r="AF1101" i="2"/>
  <c r="X1101" i="2"/>
  <c r="S1101" i="2"/>
  <c r="R1101" i="2"/>
  <c r="Q1101" i="2"/>
  <c r="P1101" i="2"/>
  <c r="M1101" i="2"/>
  <c r="L1101" i="2"/>
  <c r="K1101" i="2"/>
  <c r="AT734" i="2"/>
  <c r="AS734" i="2"/>
  <c r="AT733" i="2"/>
  <c r="AS733" i="2"/>
  <c r="AT732" i="2"/>
  <c r="AS732" i="2"/>
  <c r="AT731" i="2"/>
  <c r="AS731" i="2"/>
  <c r="AT730" i="2"/>
  <c r="AS730" i="2"/>
  <c r="AT729" i="2"/>
  <c r="AS729" i="2"/>
  <c r="AT728" i="2"/>
  <c r="AS728" i="2"/>
  <c r="AT727" i="2"/>
  <c r="AS727" i="2"/>
  <c r="AT726" i="2"/>
  <c r="AS726" i="2"/>
  <c r="AT725" i="2"/>
  <c r="AS725" i="2"/>
  <c r="AT724" i="2"/>
  <c r="AS724" i="2"/>
  <c r="AT723" i="2"/>
  <c r="AS723" i="2"/>
  <c r="AT722" i="2"/>
  <c r="AS722" i="2"/>
  <c r="AT721" i="2"/>
  <c r="AS721" i="2"/>
  <c r="AT720" i="2"/>
  <c r="AS720" i="2"/>
  <c r="AT719" i="2"/>
  <c r="AS719" i="2"/>
  <c r="AT718" i="2"/>
  <c r="AS718" i="2"/>
  <c r="AT717" i="2"/>
  <c r="AS717" i="2"/>
  <c r="AT716" i="2"/>
  <c r="AS716" i="2"/>
  <c r="AT715" i="2"/>
  <c r="AS715" i="2"/>
  <c r="AT714" i="2"/>
  <c r="AS714" i="2"/>
  <c r="AT713" i="2"/>
  <c r="AS713" i="2"/>
  <c r="AT712" i="2"/>
  <c r="AS712" i="2"/>
  <c r="AT711" i="2"/>
  <c r="AS711" i="2"/>
  <c r="AT710" i="2"/>
  <c r="AS710" i="2"/>
  <c r="AT709" i="2"/>
  <c r="AS709" i="2"/>
  <c r="AT708" i="2"/>
  <c r="AS708" i="2"/>
  <c r="AT707" i="2"/>
  <c r="AS707" i="2"/>
  <c r="AT706" i="2"/>
  <c r="AS706" i="2"/>
  <c r="AT705" i="2"/>
  <c r="AS705" i="2"/>
  <c r="AT704" i="2"/>
  <c r="AS704" i="2"/>
  <c r="AT703" i="2"/>
  <c r="AS703" i="2"/>
  <c r="AT702" i="2"/>
  <c r="AS702" i="2"/>
  <c r="AT701" i="2"/>
  <c r="AS701" i="2"/>
  <c r="AT700" i="2"/>
  <c r="AS700" i="2"/>
  <c r="AT699" i="2"/>
  <c r="AS699" i="2"/>
  <c r="AT698" i="2"/>
  <c r="AS698" i="2"/>
  <c r="AT697" i="2"/>
  <c r="AS697" i="2"/>
  <c r="AT696" i="2"/>
  <c r="AS696" i="2"/>
  <c r="AT695" i="2"/>
  <c r="AS695" i="2"/>
  <c r="AT694" i="2"/>
  <c r="AS694" i="2"/>
  <c r="AT693" i="2"/>
  <c r="AS693" i="2"/>
  <c r="AT692" i="2"/>
  <c r="AS692" i="2"/>
  <c r="AT691" i="2"/>
  <c r="AS691" i="2"/>
  <c r="AT690" i="2"/>
  <c r="AS690" i="2"/>
  <c r="AT689" i="2"/>
  <c r="AS689" i="2"/>
  <c r="AT688" i="2"/>
  <c r="AS688" i="2"/>
  <c r="AT687" i="2"/>
  <c r="AS687" i="2"/>
  <c r="AT686" i="2"/>
  <c r="AS686" i="2"/>
  <c r="AT685" i="2"/>
  <c r="AS685" i="2"/>
  <c r="AT684" i="2"/>
  <c r="AS684" i="2"/>
  <c r="AT683" i="2"/>
  <c r="AS683" i="2"/>
  <c r="AT682" i="2"/>
  <c r="AS682" i="2"/>
  <c r="AT681" i="2"/>
  <c r="AS681" i="2"/>
  <c r="AT680" i="2"/>
  <c r="AS680" i="2"/>
  <c r="AT679" i="2"/>
  <c r="AS679" i="2"/>
  <c r="AT678" i="2"/>
  <c r="AS678" i="2"/>
  <c r="AT677" i="2"/>
  <c r="AS677" i="2"/>
  <c r="AT676" i="2"/>
  <c r="AS676" i="2"/>
  <c r="AT675" i="2"/>
  <c r="AS675" i="2"/>
  <c r="AT674" i="2"/>
  <c r="AS674" i="2"/>
  <c r="AT673" i="2"/>
  <c r="AS673" i="2"/>
  <c r="AT672" i="2"/>
  <c r="AS672" i="2"/>
  <c r="AT671" i="2"/>
  <c r="AS671" i="2"/>
  <c r="AT670" i="2"/>
  <c r="AS670" i="2"/>
  <c r="AT669" i="2"/>
  <c r="AS669" i="2"/>
  <c r="AT668" i="2"/>
  <c r="AS668" i="2"/>
  <c r="AT667" i="2"/>
  <c r="AS667" i="2"/>
  <c r="AT666" i="2"/>
  <c r="AS666" i="2"/>
  <c r="AT665" i="2"/>
  <c r="AS665" i="2"/>
  <c r="AT664" i="2"/>
  <c r="AS664" i="2"/>
  <c r="AT663" i="2"/>
  <c r="AS663" i="2"/>
  <c r="AT662" i="2"/>
  <c r="AS662" i="2"/>
  <c r="AT661" i="2"/>
  <c r="AS661" i="2"/>
  <c r="AT660" i="2"/>
  <c r="AS660" i="2"/>
  <c r="AT659" i="2"/>
  <c r="AS659" i="2"/>
  <c r="AT658" i="2"/>
  <c r="AS658" i="2"/>
  <c r="AT657" i="2"/>
  <c r="AS657" i="2"/>
  <c r="AT656" i="2"/>
  <c r="AS656" i="2"/>
  <c r="AT655" i="2"/>
  <c r="AS655" i="2"/>
  <c r="AT654" i="2"/>
  <c r="AS654" i="2"/>
  <c r="AT653" i="2"/>
  <c r="AS653" i="2"/>
  <c r="AT652" i="2"/>
  <c r="AS652" i="2"/>
  <c r="AT651" i="2"/>
  <c r="AS651" i="2"/>
  <c r="AT650" i="2"/>
  <c r="AS650" i="2"/>
  <c r="AT649" i="2"/>
  <c r="AS649" i="2"/>
  <c r="AT648" i="2"/>
  <c r="AS648" i="2"/>
  <c r="AT647" i="2"/>
  <c r="AS647" i="2"/>
  <c r="AT646" i="2"/>
  <c r="AS646" i="2"/>
  <c r="AT645" i="2"/>
  <c r="AS645" i="2"/>
  <c r="AT644" i="2"/>
  <c r="AS644" i="2"/>
  <c r="AT643" i="2"/>
  <c r="AS643" i="2"/>
  <c r="AT642" i="2"/>
  <c r="AS642" i="2"/>
  <c r="AT641" i="2"/>
  <c r="AS641" i="2"/>
  <c r="AT640" i="2"/>
  <c r="AS640" i="2"/>
  <c r="AT639" i="2"/>
  <c r="AS639" i="2"/>
  <c r="AT638" i="2"/>
  <c r="AS638" i="2"/>
  <c r="AT637" i="2"/>
  <c r="AS637" i="2"/>
  <c r="AT636" i="2"/>
  <c r="AS636" i="2"/>
  <c r="AT635" i="2"/>
  <c r="AS635" i="2"/>
  <c r="AT634" i="2"/>
  <c r="AS634" i="2"/>
  <c r="AT633" i="2"/>
  <c r="AS633" i="2"/>
  <c r="AT632" i="2"/>
  <c r="AS632" i="2"/>
  <c r="AT631" i="2"/>
  <c r="AS631" i="2"/>
  <c r="AT630" i="2"/>
  <c r="AS630" i="2"/>
  <c r="AT629" i="2"/>
  <c r="AS629" i="2"/>
  <c r="AT628" i="2"/>
  <c r="AS628" i="2"/>
  <c r="AT627" i="2"/>
  <c r="AS627" i="2"/>
  <c r="AT626" i="2"/>
  <c r="AS626" i="2"/>
  <c r="AT625" i="2"/>
  <c r="AS625" i="2"/>
  <c r="AT624" i="2"/>
  <c r="AS624" i="2"/>
  <c r="AT623" i="2"/>
  <c r="AS623" i="2"/>
  <c r="AT622" i="2"/>
  <c r="AS622" i="2"/>
  <c r="AT621" i="2"/>
  <c r="AS621" i="2"/>
  <c r="AT620" i="2"/>
  <c r="AS620" i="2"/>
  <c r="AT619" i="2"/>
  <c r="AS619" i="2"/>
  <c r="AT618" i="2"/>
  <c r="AS618" i="2"/>
  <c r="AT617" i="2"/>
  <c r="AS617" i="2"/>
  <c r="AT616" i="2"/>
  <c r="AS616" i="2"/>
  <c r="AT615" i="2"/>
  <c r="AS615" i="2"/>
  <c r="AT614" i="2"/>
  <c r="AS614" i="2"/>
  <c r="AT613" i="2"/>
  <c r="AS613" i="2"/>
  <c r="AT612" i="2"/>
  <c r="AS612" i="2"/>
  <c r="AT611" i="2"/>
  <c r="AS611" i="2"/>
  <c r="AT610" i="2"/>
  <c r="AS610" i="2"/>
  <c r="AT609" i="2"/>
  <c r="AS609" i="2"/>
  <c r="AT608" i="2"/>
  <c r="AS608" i="2"/>
  <c r="AT607" i="2"/>
  <c r="AS607" i="2"/>
  <c r="AT606" i="2"/>
  <c r="AS606" i="2"/>
  <c r="AT605" i="2"/>
  <c r="AS605" i="2"/>
  <c r="AT604" i="2"/>
  <c r="AS604" i="2"/>
  <c r="AT603" i="2"/>
  <c r="AS603" i="2"/>
  <c r="AT602" i="2"/>
  <c r="AS602" i="2"/>
  <c r="AT601" i="2"/>
  <c r="AS601" i="2"/>
  <c r="AT600" i="2"/>
  <c r="AS600" i="2"/>
  <c r="AT599" i="2"/>
  <c r="AS599" i="2"/>
  <c r="AT598" i="2"/>
  <c r="AS598" i="2"/>
  <c r="AT597" i="2"/>
  <c r="AS597" i="2"/>
  <c r="AT596" i="2"/>
  <c r="AS596" i="2"/>
  <c r="AT595" i="2"/>
  <c r="AS595" i="2"/>
  <c r="AT594" i="2"/>
  <c r="AS594" i="2"/>
  <c r="AT593" i="2"/>
  <c r="AS593" i="2"/>
  <c r="AT592" i="2"/>
  <c r="AS592" i="2"/>
  <c r="AT591" i="2"/>
  <c r="AS591" i="2"/>
  <c r="AT590" i="2"/>
  <c r="AS590" i="2"/>
  <c r="AT589" i="2"/>
  <c r="AS589" i="2"/>
  <c r="AT588" i="2"/>
  <c r="AS588" i="2"/>
  <c r="AT587" i="2"/>
  <c r="AS587" i="2"/>
  <c r="AT586" i="2"/>
  <c r="AS586" i="2"/>
  <c r="AT585" i="2"/>
  <c r="AS585" i="2"/>
  <c r="AT584" i="2"/>
  <c r="AS584" i="2"/>
  <c r="AT583" i="2"/>
  <c r="AS583" i="2"/>
  <c r="AT582" i="2"/>
  <c r="AS582" i="2"/>
  <c r="AT581" i="2"/>
  <c r="AS581" i="2"/>
  <c r="AT580" i="2"/>
  <c r="AS580" i="2"/>
  <c r="AT579" i="2"/>
  <c r="AS579" i="2"/>
  <c r="AT578" i="2"/>
  <c r="AS578" i="2"/>
  <c r="AT577" i="2"/>
  <c r="AS577" i="2"/>
  <c r="AT576" i="2"/>
  <c r="AS576" i="2"/>
  <c r="AT575" i="2"/>
  <c r="AS575" i="2"/>
  <c r="AT574" i="2"/>
  <c r="AS574" i="2"/>
  <c r="AT573" i="2"/>
  <c r="AS573" i="2"/>
  <c r="AT572" i="2"/>
  <c r="AS572" i="2"/>
  <c r="AT571" i="2"/>
  <c r="AS571" i="2"/>
  <c r="AT570" i="2"/>
  <c r="AS570" i="2"/>
  <c r="AT569" i="2"/>
  <c r="AS569" i="2"/>
  <c r="AT568" i="2"/>
  <c r="AS568" i="2"/>
  <c r="AT567" i="2"/>
  <c r="AS567" i="2"/>
  <c r="AT566" i="2"/>
  <c r="AS566" i="2"/>
  <c r="AT565" i="2"/>
  <c r="AS565" i="2"/>
  <c r="AT564" i="2"/>
  <c r="AS564" i="2"/>
  <c r="AT563" i="2"/>
  <c r="AS563" i="2"/>
  <c r="AT562" i="2"/>
  <c r="AS562" i="2"/>
  <c r="AT561" i="2"/>
  <c r="AS561" i="2"/>
  <c r="AT560" i="2"/>
  <c r="AS560" i="2"/>
  <c r="AT559" i="2"/>
  <c r="AS559" i="2"/>
  <c r="AT558" i="2"/>
  <c r="AS558" i="2"/>
  <c r="AT557" i="2"/>
  <c r="AS557" i="2"/>
  <c r="AT556" i="2"/>
  <c r="AS556" i="2"/>
  <c r="AT555" i="2"/>
  <c r="AS555" i="2"/>
  <c r="AT554" i="2"/>
  <c r="AS554" i="2"/>
  <c r="AT553" i="2"/>
  <c r="AS553" i="2"/>
  <c r="AT552" i="2"/>
  <c r="AS552" i="2"/>
  <c r="AT551" i="2"/>
  <c r="AS551" i="2"/>
  <c r="AT550" i="2"/>
  <c r="AS550" i="2"/>
  <c r="AT549" i="2"/>
  <c r="AS549" i="2"/>
  <c r="AT548" i="2"/>
  <c r="AS548" i="2"/>
  <c r="AT547" i="2"/>
  <c r="AS547" i="2"/>
  <c r="AT546" i="2"/>
  <c r="AS546" i="2"/>
  <c r="AT545" i="2"/>
  <c r="AS545" i="2"/>
  <c r="AT544" i="2"/>
  <c r="AS544" i="2"/>
  <c r="AT543" i="2"/>
  <c r="AS543" i="2"/>
  <c r="AT542" i="2"/>
  <c r="AS542" i="2"/>
  <c r="AT541" i="2"/>
  <c r="AS541" i="2"/>
  <c r="AT540" i="2"/>
  <c r="AS540" i="2"/>
  <c r="AT539" i="2"/>
  <c r="AS539" i="2"/>
  <c r="AT538" i="2"/>
  <c r="AS538" i="2"/>
  <c r="AT537" i="2"/>
  <c r="AS537" i="2"/>
  <c r="AT536" i="2"/>
  <c r="AS536" i="2"/>
  <c r="AT535" i="2"/>
  <c r="AS535" i="2"/>
  <c r="AT534" i="2"/>
  <c r="AS534" i="2"/>
  <c r="AT533" i="2"/>
  <c r="AS533" i="2"/>
  <c r="AT532" i="2"/>
  <c r="AS532" i="2"/>
  <c r="AT531" i="2"/>
  <c r="AS531" i="2"/>
  <c r="AT530" i="2"/>
  <c r="AS530" i="2"/>
  <c r="AT529" i="2"/>
  <c r="AS529" i="2"/>
  <c r="AT528" i="2"/>
  <c r="AS528" i="2"/>
  <c r="AT527" i="2"/>
  <c r="AS527" i="2"/>
  <c r="AT526" i="2"/>
  <c r="AS526" i="2"/>
  <c r="AT525" i="2"/>
  <c r="AS525" i="2"/>
  <c r="AT524" i="2"/>
  <c r="AS524" i="2"/>
  <c r="AT523" i="2"/>
  <c r="AS523" i="2"/>
  <c r="AT522" i="2"/>
  <c r="AS522" i="2"/>
  <c r="AT521" i="2"/>
  <c r="AS521" i="2"/>
  <c r="AT520" i="2"/>
  <c r="AS520" i="2"/>
  <c r="AT519" i="2"/>
  <c r="AS519" i="2"/>
  <c r="AT518" i="2"/>
  <c r="AS518" i="2"/>
  <c r="AT517" i="2"/>
  <c r="AS517" i="2"/>
  <c r="AT516" i="2"/>
  <c r="AS516" i="2"/>
  <c r="AT515" i="2"/>
  <c r="AS515" i="2"/>
  <c r="AT514" i="2"/>
  <c r="AS514" i="2"/>
  <c r="AT513" i="2"/>
  <c r="AS513" i="2"/>
  <c r="AT512" i="2"/>
  <c r="AS512" i="2"/>
  <c r="AT511" i="2"/>
  <c r="AS511" i="2"/>
  <c r="AT510" i="2"/>
  <c r="AS510" i="2"/>
  <c r="AT509" i="2"/>
  <c r="AS509" i="2"/>
  <c r="AT508" i="2"/>
  <c r="AS508" i="2"/>
  <c r="AT507" i="2"/>
  <c r="AS507" i="2"/>
  <c r="AT506" i="2"/>
  <c r="AS506" i="2"/>
  <c r="AT505" i="2"/>
  <c r="AS505" i="2"/>
  <c r="AT504" i="2"/>
  <c r="AS504" i="2"/>
  <c r="AT503" i="2"/>
  <c r="AS503" i="2"/>
  <c r="AT502" i="2"/>
  <c r="AS502" i="2"/>
  <c r="AT501" i="2"/>
  <c r="AS501" i="2"/>
  <c r="AT500" i="2"/>
  <c r="AS500" i="2"/>
  <c r="AT499" i="2"/>
  <c r="AS499" i="2"/>
  <c r="AT498" i="2"/>
  <c r="AS498" i="2"/>
  <c r="AT497" i="2"/>
  <c r="AS497" i="2"/>
  <c r="AT496" i="2"/>
  <c r="AS496" i="2"/>
  <c r="AT495" i="2"/>
  <c r="AS495" i="2"/>
  <c r="AT494" i="2"/>
  <c r="AS494" i="2"/>
  <c r="AT493" i="2"/>
  <c r="AS493" i="2"/>
  <c r="AT492" i="2"/>
  <c r="AS492" i="2"/>
  <c r="AT491" i="2"/>
  <c r="AS491" i="2"/>
  <c r="AT490" i="2"/>
  <c r="AS490" i="2"/>
  <c r="AT489" i="2"/>
  <c r="AS489" i="2"/>
  <c r="AT488" i="2"/>
  <c r="AS488" i="2"/>
  <c r="AT487" i="2"/>
  <c r="AS487" i="2"/>
  <c r="AT486" i="2"/>
  <c r="AS486" i="2"/>
  <c r="AT485" i="2"/>
  <c r="AS485" i="2"/>
  <c r="AT484" i="2"/>
  <c r="AS484" i="2"/>
  <c r="AT483" i="2"/>
  <c r="AS483" i="2"/>
  <c r="AT482" i="2"/>
  <c r="AS482" i="2"/>
  <c r="AT481" i="2"/>
  <c r="AS481" i="2"/>
  <c r="AT480" i="2"/>
  <c r="AS480" i="2"/>
  <c r="AT479" i="2"/>
  <c r="AS479" i="2"/>
  <c r="AT478" i="2"/>
  <c r="AS478" i="2"/>
  <c r="AT477" i="2"/>
  <c r="AS477" i="2"/>
  <c r="AT476" i="2"/>
  <c r="AS476" i="2"/>
  <c r="AT475" i="2"/>
  <c r="AS475" i="2"/>
  <c r="AT474" i="2"/>
  <c r="AS474" i="2"/>
  <c r="AT473" i="2"/>
  <c r="AS473" i="2"/>
  <c r="AT472" i="2"/>
  <c r="AS472" i="2"/>
  <c r="AT471" i="2"/>
  <c r="AS471" i="2"/>
  <c r="AT470" i="2"/>
  <c r="AS470" i="2"/>
  <c r="AT469" i="2"/>
  <c r="AS469" i="2"/>
  <c r="AT468" i="2"/>
  <c r="AS468" i="2"/>
  <c r="AT467" i="2"/>
  <c r="AS467" i="2"/>
  <c r="AT466" i="2"/>
  <c r="AS466" i="2"/>
  <c r="AT465" i="2"/>
  <c r="AS465" i="2"/>
  <c r="AT464" i="2"/>
  <c r="AS464" i="2"/>
  <c r="AT463" i="2"/>
  <c r="AS463" i="2"/>
  <c r="AT462" i="2"/>
  <c r="AS462" i="2"/>
  <c r="AT461" i="2"/>
  <c r="AS461" i="2"/>
  <c r="AT460" i="2"/>
  <c r="AS460" i="2"/>
  <c r="AT459" i="2"/>
  <c r="AS459" i="2"/>
  <c r="AT458" i="2"/>
  <c r="AS458" i="2"/>
  <c r="AT457" i="2"/>
  <c r="AS457" i="2"/>
  <c r="AT456" i="2"/>
  <c r="AS456" i="2"/>
  <c r="AT455" i="2"/>
  <c r="AS455" i="2"/>
  <c r="AT454" i="2"/>
  <c r="AS454" i="2"/>
  <c r="AT453" i="2"/>
  <c r="AS453" i="2"/>
  <c r="AT452" i="2"/>
  <c r="AS452" i="2"/>
  <c r="AT451" i="2"/>
  <c r="AS451" i="2"/>
  <c r="AT450" i="2"/>
  <c r="AS450" i="2"/>
  <c r="AT449" i="2"/>
  <c r="AS449" i="2"/>
  <c r="AT448" i="2"/>
  <c r="AS448" i="2"/>
  <c r="AT447" i="2"/>
  <c r="AS447" i="2"/>
  <c r="AT446" i="2"/>
  <c r="AS446" i="2"/>
  <c r="AT445" i="2"/>
  <c r="AS445" i="2"/>
  <c r="AT444" i="2"/>
  <c r="AS444" i="2"/>
  <c r="AT443" i="2"/>
  <c r="AS443" i="2"/>
  <c r="AT442" i="2"/>
  <c r="AS442" i="2"/>
  <c r="AT441" i="2"/>
  <c r="AS441" i="2"/>
  <c r="AT440" i="2"/>
  <c r="AS440" i="2"/>
  <c r="AT439" i="2"/>
  <c r="AS439" i="2"/>
  <c r="AT438" i="2"/>
  <c r="AS438" i="2"/>
  <c r="AT437" i="2"/>
  <c r="AS437" i="2"/>
  <c r="AT436" i="2"/>
  <c r="AS436" i="2"/>
  <c r="AT435" i="2"/>
  <c r="AS435" i="2"/>
  <c r="AT434" i="2"/>
  <c r="AS434" i="2"/>
  <c r="AT433" i="2"/>
  <c r="AS433" i="2"/>
  <c r="AT432" i="2"/>
  <c r="AS432" i="2"/>
  <c r="AT431" i="2"/>
  <c r="AS431" i="2"/>
  <c r="AT430" i="2"/>
  <c r="AS430" i="2"/>
  <c r="AT429" i="2"/>
  <c r="AS429" i="2"/>
  <c r="AT428" i="2"/>
  <c r="AS428" i="2"/>
  <c r="AT427" i="2"/>
  <c r="AS427" i="2"/>
  <c r="AT426" i="2"/>
  <c r="AS426" i="2"/>
  <c r="AT425" i="2"/>
  <c r="AS425" i="2"/>
  <c r="AT424" i="2"/>
  <c r="AS424" i="2"/>
  <c r="AT423" i="2"/>
  <c r="AS423" i="2"/>
  <c r="AT422" i="2"/>
  <c r="AS422" i="2"/>
  <c r="AT421" i="2"/>
  <c r="AS421" i="2"/>
  <c r="AT420" i="2"/>
  <c r="AS420" i="2"/>
  <c r="AT419" i="2"/>
  <c r="AS419" i="2"/>
  <c r="AT418" i="2"/>
  <c r="AS418" i="2"/>
  <c r="AT417" i="2"/>
  <c r="AS417" i="2"/>
  <c r="AT416" i="2"/>
  <c r="AS416" i="2"/>
  <c r="AT415" i="2"/>
  <c r="AS415" i="2"/>
  <c r="AT414" i="2"/>
  <c r="AS414" i="2"/>
  <c r="AT413" i="2"/>
  <c r="AS413" i="2"/>
  <c r="AT412" i="2"/>
  <c r="AS412" i="2"/>
  <c r="AT411" i="2"/>
  <c r="AS411" i="2"/>
  <c r="AT410" i="2"/>
  <c r="AS410" i="2"/>
  <c r="AT409" i="2"/>
  <c r="AS409" i="2"/>
  <c r="AT408" i="2"/>
  <c r="AS408" i="2"/>
  <c r="AT407" i="2"/>
  <c r="AS407" i="2"/>
  <c r="AT406" i="2"/>
  <c r="AS406" i="2"/>
  <c r="AT405" i="2"/>
  <c r="AS405" i="2"/>
  <c r="AT404" i="2"/>
  <c r="AS404" i="2"/>
  <c r="AT403" i="2"/>
  <c r="AS403" i="2"/>
  <c r="AT402" i="2"/>
  <c r="AS402" i="2"/>
  <c r="AT401" i="2"/>
  <c r="AS401" i="2"/>
  <c r="AT400" i="2"/>
  <c r="AS400" i="2"/>
  <c r="AT399" i="2"/>
  <c r="AS399" i="2"/>
  <c r="AT398" i="2"/>
  <c r="AS398" i="2"/>
  <c r="AT397" i="2"/>
  <c r="AS397" i="2"/>
  <c r="AT396" i="2"/>
  <c r="AS396" i="2"/>
  <c r="AT395" i="2"/>
  <c r="AS395" i="2"/>
  <c r="AT394" i="2"/>
  <c r="AS394" i="2"/>
  <c r="AT393" i="2"/>
  <c r="AS393" i="2"/>
  <c r="AT392" i="2"/>
  <c r="AS392" i="2"/>
  <c r="AT391" i="2"/>
  <c r="AS391" i="2"/>
  <c r="AT390" i="2"/>
  <c r="AS390" i="2"/>
  <c r="AT389" i="2"/>
  <c r="AS389" i="2"/>
  <c r="AT388" i="2"/>
  <c r="AS388" i="2"/>
  <c r="AT387" i="2"/>
  <c r="AS387" i="2"/>
  <c r="AT386" i="2"/>
  <c r="AS386" i="2"/>
  <c r="AT385" i="2"/>
  <c r="AS385" i="2"/>
  <c r="AT384" i="2"/>
  <c r="AS384" i="2"/>
  <c r="AT383" i="2"/>
  <c r="AS383" i="2"/>
  <c r="AT382" i="2"/>
  <c r="AS382" i="2"/>
  <c r="AT381" i="2"/>
  <c r="AS381" i="2"/>
  <c r="AT380" i="2"/>
  <c r="AS380" i="2"/>
  <c r="AT379" i="2"/>
  <c r="AS379" i="2"/>
  <c r="AT378" i="2"/>
  <c r="AS378" i="2"/>
  <c r="AT377" i="2"/>
  <c r="AS377" i="2"/>
  <c r="AT376" i="2"/>
  <c r="AS376" i="2"/>
  <c r="AT375" i="2"/>
  <c r="AS375" i="2"/>
  <c r="AT374" i="2"/>
  <c r="AS374" i="2"/>
  <c r="AT373" i="2"/>
  <c r="AS373" i="2"/>
  <c r="AT372" i="2"/>
  <c r="AS372" i="2"/>
  <c r="AT371" i="2"/>
  <c r="AS371" i="2"/>
  <c r="AT370" i="2"/>
  <c r="AS370" i="2"/>
  <c r="AT369" i="2"/>
  <c r="AS369" i="2"/>
  <c r="AT368" i="2"/>
  <c r="AS368" i="2"/>
  <c r="AT367" i="2"/>
  <c r="AS367" i="2"/>
  <c r="AT366" i="2"/>
  <c r="AS366" i="2"/>
  <c r="AT365" i="2"/>
  <c r="AS365" i="2"/>
  <c r="AT364" i="2"/>
  <c r="AS364" i="2"/>
  <c r="AT363" i="2"/>
  <c r="AS363" i="2"/>
  <c r="AT362" i="2"/>
  <c r="AS362" i="2"/>
  <c r="AT361" i="2"/>
  <c r="AS361" i="2"/>
  <c r="AT360" i="2"/>
  <c r="AS360" i="2"/>
  <c r="AT359" i="2"/>
  <c r="AS359" i="2"/>
  <c r="AT358" i="2"/>
  <c r="AS358" i="2"/>
  <c r="AT357" i="2"/>
  <c r="AS357" i="2"/>
  <c r="AT356" i="2"/>
  <c r="AS356" i="2"/>
  <c r="AT355" i="2"/>
  <c r="AS355" i="2"/>
  <c r="AT354" i="2"/>
  <c r="AS354" i="2"/>
  <c r="AT353" i="2"/>
  <c r="AS353" i="2"/>
  <c r="AT352" i="2"/>
  <c r="AS352" i="2"/>
  <c r="AT351" i="2"/>
  <c r="AS351" i="2"/>
  <c r="AT350" i="2"/>
  <c r="AS350" i="2"/>
  <c r="AT349" i="2"/>
  <c r="AS349" i="2"/>
  <c r="AT348" i="2"/>
  <c r="AS348" i="2"/>
  <c r="AT347" i="2"/>
  <c r="AS347" i="2"/>
  <c r="AT346" i="2"/>
  <c r="AS346" i="2"/>
  <c r="AT345" i="2"/>
  <c r="AS345" i="2"/>
  <c r="AT344" i="2"/>
  <c r="AS344" i="2"/>
  <c r="AT343" i="2"/>
  <c r="AS343" i="2"/>
  <c r="AT342" i="2"/>
  <c r="AS342" i="2"/>
  <c r="AT341" i="2"/>
  <c r="AS341" i="2"/>
  <c r="AT340" i="2"/>
  <c r="AS340" i="2"/>
  <c r="AT339" i="2"/>
  <c r="AS339" i="2"/>
  <c r="AT338" i="2"/>
  <c r="AS338" i="2"/>
  <c r="AT336" i="2"/>
  <c r="AS336" i="2"/>
  <c r="AT335" i="2"/>
  <c r="AS335" i="2"/>
  <c r="AT334" i="2"/>
  <c r="AS334" i="2"/>
  <c r="AT333" i="2"/>
  <c r="AS333" i="2"/>
  <c r="AT332" i="2"/>
  <c r="AS332" i="2"/>
  <c r="AT331" i="2"/>
  <c r="AS331" i="2"/>
  <c r="AT330" i="2"/>
  <c r="AS330" i="2"/>
  <c r="AT329" i="2"/>
  <c r="AS329" i="2"/>
  <c r="AT328" i="2"/>
  <c r="AS328" i="2"/>
  <c r="AT327" i="2"/>
  <c r="AS327" i="2"/>
  <c r="AT326" i="2"/>
  <c r="AS326" i="2"/>
  <c r="AT325" i="2"/>
  <c r="AS325" i="2"/>
  <c r="AT324" i="2"/>
  <c r="AS324" i="2"/>
  <c r="AT323" i="2"/>
  <c r="AS323" i="2"/>
  <c r="AT322" i="2"/>
  <c r="AS322" i="2"/>
  <c r="AT321" i="2"/>
  <c r="AS321" i="2"/>
  <c r="AT320" i="2"/>
  <c r="AS320" i="2"/>
  <c r="AT319" i="2"/>
  <c r="AS319" i="2"/>
  <c r="AT318" i="2"/>
  <c r="AS318" i="2"/>
  <c r="AT317" i="2"/>
  <c r="AS317" i="2"/>
  <c r="AT316" i="2"/>
  <c r="AS316" i="2"/>
  <c r="AT314" i="2"/>
  <c r="AS314" i="2"/>
  <c r="AT313" i="2"/>
  <c r="AS313" i="2"/>
  <c r="AT312" i="2"/>
  <c r="AS312" i="2"/>
  <c r="AG790" i="2"/>
  <c r="AF790" i="2"/>
  <c r="AG789" i="2"/>
  <c r="AF789" i="2"/>
  <c r="AG788" i="2"/>
  <c r="AF788" i="2"/>
  <c r="AG787" i="2"/>
  <c r="AF787" i="2"/>
  <c r="AG786" i="2"/>
  <c r="AF786" i="2"/>
  <c r="AG785" i="2"/>
  <c r="AF785" i="2"/>
  <c r="AG784" i="2"/>
  <c r="AF784" i="2"/>
  <c r="AG783" i="2"/>
  <c r="AF783" i="2"/>
  <c r="AG782" i="2"/>
  <c r="AF782" i="2"/>
  <c r="AG781" i="2"/>
  <c r="AF781" i="2"/>
  <c r="AG780" i="2"/>
  <c r="AF780" i="2"/>
  <c r="AG779" i="2"/>
  <c r="AF779" i="2"/>
  <c r="AG778" i="2"/>
  <c r="AF778" i="2"/>
  <c r="AG777" i="2"/>
  <c r="AF777" i="2"/>
  <c r="AG776" i="2"/>
  <c r="AF776" i="2"/>
  <c r="AG775" i="2"/>
  <c r="AF775" i="2"/>
  <c r="AG774" i="2"/>
  <c r="AF774" i="2"/>
  <c r="AG773" i="2"/>
  <c r="AF773" i="2"/>
  <c r="AG772" i="2"/>
  <c r="AF772" i="2"/>
  <c r="AG771" i="2"/>
  <c r="AF771" i="2"/>
  <c r="AG770" i="2"/>
  <c r="AF770" i="2"/>
  <c r="AG769" i="2"/>
  <c r="AF769" i="2"/>
  <c r="AG768" i="2"/>
  <c r="AF768" i="2"/>
  <c r="AG767" i="2"/>
  <c r="AF767" i="2"/>
  <c r="AG766" i="2"/>
  <c r="AF766" i="2"/>
  <c r="AG765" i="2"/>
  <c r="AF765" i="2"/>
  <c r="AG764" i="2"/>
  <c r="AF764" i="2"/>
  <c r="AG763" i="2"/>
  <c r="AF763" i="2"/>
  <c r="AG762" i="2"/>
  <c r="AF762" i="2"/>
  <c r="AG761" i="2"/>
  <c r="AF761" i="2"/>
  <c r="AG760" i="2"/>
  <c r="AF760" i="2"/>
  <c r="AG759" i="2"/>
  <c r="AF759" i="2"/>
  <c r="AG758" i="2"/>
  <c r="AF758" i="2"/>
  <c r="AG757" i="2"/>
  <c r="AF757" i="2"/>
  <c r="AG756" i="2"/>
  <c r="AF756" i="2"/>
  <c r="AG755" i="2"/>
  <c r="AF755" i="2"/>
  <c r="AG754" i="2"/>
  <c r="AF754" i="2"/>
  <c r="AG753" i="2"/>
  <c r="AF753" i="2"/>
  <c r="AG752" i="2"/>
  <c r="AF752" i="2"/>
  <c r="AG751" i="2"/>
  <c r="AF751" i="2"/>
  <c r="AG750" i="2"/>
  <c r="AF750" i="2"/>
  <c r="AG749" i="2"/>
  <c r="AF749" i="2"/>
  <c r="AG748" i="2"/>
  <c r="AF748" i="2"/>
  <c r="AG747" i="2"/>
  <c r="AF747" i="2"/>
  <c r="AG746" i="2"/>
  <c r="AF746" i="2"/>
  <c r="AG745" i="2"/>
  <c r="AF745" i="2"/>
  <c r="AG744" i="2"/>
  <c r="AF744" i="2"/>
  <c r="AG743" i="2"/>
  <c r="AF743" i="2"/>
  <c r="AG742" i="2"/>
  <c r="AF742" i="2"/>
  <c r="AG741" i="2"/>
  <c r="AF741" i="2"/>
  <c r="AG740" i="2"/>
  <c r="AF740" i="2"/>
  <c r="AG739" i="2"/>
  <c r="AF739" i="2"/>
  <c r="AG738" i="2"/>
  <c r="AF738" i="2"/>
  <c r="AG737" i="2"/>
  <c r="AF737" i="2"/>
  <c r="AG736" i="2"/>
  <c r="AF736" i="2"/>
  <c r="AG735" i="2"/>
  <c r="AF735" i="2"/>
  <c r="AG734" i="2"/>
  <c r="AF734" i="2"/>
  <c r="AG733" i="2"/>
  <c r="AF733" i="2"/>
  <c r="AG732" i="2"/>
  <c r="AF732" i="2"/>
  <c r="AG731" i="2"/>
  <c r="AF731" i="2"/>
  <c r="AG730" i="2"/>
  <c r="AF730" i="2"/>
  <c r="AG729" i="2"/>
  <c r="AF729" i="2"/>
  <c r="AG728" i="2"/>
  <c r="AF728" i="2"/>
  <c r="AG727" i="2"/>
  <c r="AF727" i="2"/>
  <c r="AG726" i="2"/>
  <c r="AF726" i="2"/>
  <c r="AG725" i="2"/>
  <c r="AF725" i="2"/>
  <c r="AG724" i="2"/>
  <c r="AF724" i="2"/>
  <c r="AG723" i="2"/>
  <c r="AF723" i="2"/>
  <c r="AG722" i="2"/>
  <c r="AF722" i="2"/>
  <c r="AG721" i="2"/>
  <c r="AF721" i="2"/>
  <c r="AG720" i="2"/>
  <c r="AF720" i="2"/>
  <c r="AG719" i="2"/>
  <c r="AF719" i="2"/>
  <c r="AG718" i="2"/>
  <c r="AF718" i="2"/>
  <c r="AG717" i="2"/>
  <c r="AF717" i="2"/>
  <c r="AG716" i="2"/>
  <c r="AF716" i="2"/>
  <c r="AG715" i="2"/>
  <c r="AF715" i="2"/>
  <c r="AG714" i="2"/>
  <c r="AF714" i="2"/>
  <c r="AG713" i="2"/>
  <c r="AF713" i="2"/>
  <c r="AG712" i="2"/>
  <c r="AF712" i="2"/>
  <c r="AG711" i="2"/>
  <c r="AF711" i="2"/>
  <c r="AG710" i="2"/>
  <c r="AF710" i="2"/>
  <c r="AG709" i="2"/>
  <c r="AF709" i="2"/>
  <c r="AG708" i="2"/>
  <c r="AF708" i="2"/>
  <c r="AG707" i="2"/>
  <c r="AF707" i="2"/>
  <c r="AG706" i="2"/>
  <c r="AF706" i="2"/>
  <c r="AG705" i="2"/>
  <c r="AF705" i="2"/>
  <c r="AG704" i="2"/>
  <c r="AF704" i="2"/>
  <c r="AG703" i="2"/>
  <c r="AF703" i="2"/>
  <c r="AG702" i="2"/>
  <c r="AF702" i="2"/>
  <c r="AG701" i="2"/>
  <c r="AF701" i="2"/>
  <c r="AG700" i="2"/>
  <c r="AF700" i="2"/>
  <c r="AG699" i="2"/>
  <c r="AF699" i="2"/>
  <c r="AG698" i="2"/>
  <c r="AF698" i="2"/>
  <c r="AG697" i="2"/>
  <c r="AF697" i="2"/>
  <c r="AG696" i="2"/>
  <c r="AF696" i="2"/>
  <c r="AG695" i="2"/>
  <c r="AF695" i="2"/>
  <c r="AG694" i="2"/>
  <c r="AF694" i="2"/>
  <c r="AG693" i="2"/>
  <c r="AF693" i="2"/>
  <c r="AG692" i="2"/>
  <c r="AF692" i="2"/>
  <c r="AG691" i="2"/>
  <c r="AF691" i="2"/>
  <c r="AG690" i="2"/>
  <c r="AF690" i="2"/>
  <c r="AG689" i="2"/>
  <c r="AF689" i="2"/>
  <c r="AG688" i="2"/>
  <c r="AF688" i="2"/>
  <c r="AG687" i="2"/>
  <c r="AF687" i="2"/>
  <c r="AG686" i="2"/>
  <c r="AF686" i="2"/>
  <c r="AG685" i="2"/>
  <c r="AF685" i="2"/>
  <c r="AG684" i="2"/>
  <c r="AF684" i="2"/>
  <c r="AG683" i="2"/>
  <c r="AF683" i="2"/>
  <c r="AG682" i="2"/>
  <c r="AF682" i="2"/>
  <c r="AG681" i="2"/>
  <c r="AF681" i="2"/>
  <c r="AG680" i="2"/>
  <c r="AF680" i="2"/>
  <c r="AG679" i="2"/>
  <c r="AF679" i="2"/>
  <c r="AG678" i="2"/>
  <c r="AF678" i="2"/>
  <c r="AG677" i="2"/>
  <c r="AF677" i="2"/>
  <c r="AG676" i="2"/>
  <c r="AF676" i="2"/>
  <c r="AG675" i="2"/>
  <c r="AF675" i="2"/>
  <c r="AG674" i="2"/>
  <c r="AF674" i="2"/>
  <c r="AG673" i="2"/>
  <c r="AF673" i="2"/>
  <c r="AG672" i="2"/>
  <c r="AF672" i="2"/>
  <c r="AG671" i="2"/>
  <c r="AF671" i="2"/>
  <c r="AG670" i="2"/>
  <c r="AF670" i="2"/>
  <c r="AG669" i="2"/>
  <c r="AF669" i="2"/>
  <c r="AG668" i="2"/>
  <c r="AF668" i="2"/>
  <c r="AG667" i="2"/>
  <c r="AF667" i="2"/>
  <c r="AG666" i="2"/>
  <c r="AF666" i="2"/>
  <c r="AG665" i="2"/>
  <c r="AF665" i="2"/>
  <c r="AG664" i="2"/>
  <c r="AF664" i="2"/>
  <c r="AG663" i="2"/>
  <c r="AF663" i="2"/>
  <c r="AG662" i="2"/>
  <c r="AF662" i="2"/>
  <c r="AG661" i="2"/>
  <c r="AF661" i="2"/>
  <c r="AG660" i="2"/>
  <c r="AF660" i="2"/>
  <c r="AG659" i="2"/>
  <c r="AF659" i="2"/>
  <c r="AG658" i="2"/>
  <c r="AF658" i="2"/>
  <c r="AG657" i="2"/>
  <c r="AF657" i="2"/>
  <c r="AG656" i="2"/>
  <c r="AF656" i="2"/>
  <c r="AG655" i="2"/>
  <c r="AF655" i="2"/>
  <c r="AG654" i="2"/>
  <c r="AF654" i="2"/>
  <c r="AG653" i="2"/>
  <c r="AF653" i="2"/>
  <c r="AG652" i="2"/>
  <c r="AF652" i="2"/>
  <c r="AG651" i="2"/>
  <c r="AF651" i="2"/>
  <c r="AG650" i="2"/>
  <c r="AF650" i="2"/>
  <c r="AG649" i="2"/>
  <c r="AF649" i="2"/>
  <c r="AG648" i="2"/>
  <c r="AF648" i="2"/>
  <c r="AG647" i="2"/>
  <c r="AF647" i="2"/>
  <c r="AG646" i="2"/>
  <c r="AF646" i="2"/>
  <c r="AG645" i="2"/>
  <c r="AF645" i="2"/>
  <c r="AG644" i="2"/>
  <c r="AF644" i="2"/>
  <c r="AG643" i="2"/>
  <c r="AF643" i="2"/>
  <c r="AG642" i="2"/>
  <c r="AF642" i="2"/>
  <c r="AG641" i="2"/>
  <c r="AF641" i="2"/>
  <c r="AG640" i="2"/>
  <c r="AF640" i="2"/>
  <c r="AG639" i="2"/>
  <c r="AF639" i="2"/>
  <c r="AG638" i="2"/>
  <c r="AF638" i="2"/>
  <c r="AG637" i="2"/>
  <c r="AF637" i="2"/>
  <c r="AG636" i="2"/>
  <c r="AF636" i="2"/>
  <c r="AG635" i="2"/>
  <c r="AF635" i="2"/>
  <c r="AG634" i="2"/>
  <c r="AF634" i="2"/>
  <c r="AG633" i="2"/>
  <c r="AF633" i="2"/>
  <c r="AG632" i="2"/>
  <c r="AF632" i="2"/>
  <c r="AG631" i="2"/>
  <c r="AF631" i="2"/>
  <c r="AG630" i="2"/>
  <c r="AF630" i="2"/>
  <c r="AG629" i="2"/>
  <c r="AF629" i="2"/>
  <c r="AG628" i="2"/>
  <c r="AF628" i="2"/>
  <c r="AG627" i="2"/>
  <c r="AF627" i="2"/>
  <c r="AG626" i="2"/>
  <c r="AF626" i="2"/>
  <c r="AG625" i="2"/>
  <c r="AF625" i="2"/>
  <c r="AG624" i="2"/>
  <c r="AF624" i="2"/>
  <c r="AG623" i="2"/>
  <c r="AF623" i="2"/>
  <c r="AG622" i="2"/>
  <c r="AF622" i="2"/>
  <c r="AG621" i="2"/>
  <c r="AF621" i="2"/>
  <c r="AG620" i="2"/>
  <c r="AF620" i="2"/>
  <c r="AG619" i="2"/>
  <c r="AF619" i="2"/>
  <c r="AG618" i="2"/>
  <c r="AF618" i="2"/>
  <c r="AG617" i="2"/>
  <c r="AF617" i="2"/>
  <c r="AG616" i="2"/>
  <c r="AF616" i="2"/>
  <c r="AG615" i="2"/>
  <c r="AF615" i="2"/>
  <c r="AG614" i="2"/>
  <c r="AF614" i="2"/>
  <c r="AG613" i="2"/>
  <c r="AF613" i="2"/>
  <c r="AG612" i="2"/>
  <c r="AF612" i="2"/>
  <c r="AG611" i="2"/>
  <c r="AF611" i="2"/>
  <c r="AG610" i="2"/>
  <c r="AF610" i="2"/>
  <c r="AG609" i="2"/>
  <c r="AF609" i="2"/>
  <c r="AG608" i="2"/>
  <c r="AF608" i="2"/>
  <c r="AG607" i="2"/>
  <c r="AF607" i="2"/>
  <c r="AG606" i="2"/>
  <c r="AF606" i="2"/>
  <c r="AG605" i="2"/>
  <c r="AF605" i="2"/>
  <c r="AG604" i="2"/>
  <c r="AF604" i="2"/>
  <c r="AG603" i="2"/>
  <c r="AF603" i="2"/>
  <c r="AG602" i="2"/>
  <c r="AF602" i="2"/>
  <c r="AG601" i="2"/>
  <c r="AF601" i="2"/>
  <c r="AG600" i="2"/>
  <c r="AF600" i="2"/>
  <c r="AG599" i="2"/>
  <c r="AF599" i="2"/>
  <c r="AG598" i="2"/>
  <c r="AF598" i="2"/>
  <c r="AG597" i="2"/>
  <c r="AF597" i="2"/>
  <c r="AG596" i="2"/>
  <c r="AF596" i="2"/>
  <c r="AG595" i="2"/>
  <c r="AF595" i="2"/>
  <c r="AG594" i="2"/>
  <c r="AF594" i="2"/>
  <c r="AG593" i="2"/>
  <c r="AF593" i="2"/>
  <c r="AG592" i="2"/>
  <c r="AF592" i="2"/>
  <c r="AG591" i="2"/>
  <c r="AF591" i="2"/>
  <c r="AG590" i="2"/>
  <c r="AF590" i="2"/>
  <c r="AG589" i="2"/>
  <c r="AF589" i="2"/>
  <c r="AG588" i="2"/>
  <c r="AF588" i="2"/>
  <c r="AG587" i="2"/>
  <c r="AF587" i="2"/>
  <c r="AG586" i="2"/>
  <c r="AF586" i="2"/>
  <c r="AG585" i="2"/>
  <c r="AF585" i="2"/>
  <c r="AG584" i="2"/>
  <c r="AF584" i="2"/>
  <c r="AG583" i="2"/>
  <c r="AF583" i="2"/>
  <c r="AG582" i="2"/>
  <c r="AF582" i="2"/>
  <c r="AG581" i="2"/>
  <c r="AF581" i="2"/>
  <c r="AG580" i="2"/>
  <c r="AF580" i="2"/>
  <c r="AG579" i="2"/>
  <c r="AF579" i="2"/>
  <c r="AG578" i="2"/>
  <c r="AF578" i="2"/>
  <c r="AG577" i="2"/>
  <c r="AF577" i="2"/>
  <c r="AG576" i="2"/>
  <c r="AF576" i="2"/>
  <c r="AG575" i="2"/>
  <c r="AF575" i="2"/>
  <c r="AG574" i="2"/>
  <c r="AF574" i="2"/>
  <c r="AG573" i="2"/>
  <c r="AF573" i="2"/>
  <c r="AG572" i="2"/>
  <c r="AF572" i="2"/>
  <c r="AG571" i="2"/>
  <c r="AF571" i="2"/>
  <c r="AG570" i="2"/>
  <c r="AF570" i="2"/>
  <c r="AG569" i="2"/>
  <c r="AF569" i="2"/>
  <c r="AG568" i="2"/>
  <c r="AF568" i="2"/>
  <c r="AG567" i="2"/>
  <c r="AF567" i="2"/>
  <c r="AG566" i="2"/>
  <c r="AF566" i="2"/>
  <c r="AG565" i="2"/>
  <c r="AF565" i="2"/>
  <c r="AG564" i="2"/>
  <c r="AF564" i="2"/>
  <c r="AG563" i="2"/>
  <c r="AF563" i="2"/>
  <c r="AG562" i="2"/>
  <c r="AF562" i="2"/>
  <c r="AG561" i="2"/>
  <c r="AF561" i="2"/>
  <c r="AG560" i="2"/>
  <c r="AF560" i="2"/>
  <c r="AG559" i="2"/>
  <c r="AF559" i="2"/>
  <c r="AG558" i="2"/>
  <c r="AF558" i="2"/>
  <c r="AG557" i="2"/>
  <c r="AF557" i="2"/>
  <c r="AG556" i="2"/>
  <c r="AF556" i="2"/>
  <c r="AG555" i="2"/>
  <c r="AF555" i="2"/>
  <c r="AG554" i="2"/>
  <c r="AF554" i="2"/>
  <c r="AG553" i="2"/>
  <c r="AF553" i="2"/>
  <c r="AG552" i="2"/>
  <c r="AF552" i="2"/>
  <c r="AG551" i="2"/>
  <c r="AF551" i="2"/>
  <c r="AG550" i="2"/>
  <c r="AF550" i="2"/>
  <c r="AG549" i="2"/>
  <c r="AF549" i="2"/>
  <c r="AG548" i="2"/>
  <c r="AF548" i="2"/>
  <c r="AG547" i="2"/>
  <c r="AF547" i="2"/>
  <c r="AG546" i="2"/>
  <c r="AF546" i="2"/>
  <c r="AG545" i="2"/>
  <c r="AF545" i="2"/>
  <c r="AG544" i="2"/>
  <c r="AF544" i="2"/>
  <c r="AG543" i="2"/>
  <c r="AF543" i="2"/>
  <c r="AG542" i="2"/>
  <c r="AF542" i="2"/>
  <c r="AG541" i="2"/>
  <c r="AF541" i="2"/>
  <c r="AG540" i="2"/>
  <c r="AF540" i="2"/>
  <c r="AG539" i="2"/>
  <c r="AF539" i="2"/>
  <c r="AG538" i="2"/>
  <c r="AF538" i="2"/>
  <c r="AG537" i="2"/>
  <c r="AF537" i="2"/>
  <c r="AG536" i="2"/>
  <c r="AF536" i="2"/>
  <c r="AG535" i="2"/>
  <c r="AF535" i="2"/>
  <c r="AG534" i="2"/>
  <c r="AF534" i="2"/>
  <c r="AG533" i="2"/>
  <c r="AF533" i="2"/>
  <c r="AG532" i="2"/>
  <c r="AF532" i="2"/>
  <c r="AG531" i="2"/>
  <c r="AF531" i="2"/>
  <c r="AG530" i="2"/>
  <c r="AF530" i="2"/>
  <c r="AG529" i="2"/>
  <c r="AF529" i="2"/>
  <c r="AG528" i="2"/>
  <c r="AF528" i="2"/>
  <c r="AG527" i="2"/>
  <c r="AF527" i="2"/>
  <c r="AG526" i="2"/>
  <c r="AF526" i="2"/>
  <c r="AG525" i="2"/>
  <c r="AF525" i="2"/>
  <c r="AG524" i="2"/>
  <c r="AF524" i="2"/>
  <c r="AG523" i="2"/>
  <c r="AF523" i="2"/>
  <c r="AG522" i="2"/>
  <c r="AF522" i="2"/>
  <c r="AG521" i="2"/>
  <c r="AF521" i="2"/>
  <c r="AG520" i="2"/>
  <c r="AF520" i="2"/>
  <c r="AG519" i="2"/>
  <c r="AF519" i="2"/>
  <c r="AG518" i="2"/>
  <c r="AF518" i="2"/>
  <c r="AG517" i="2"/>
  <c r="AF517" i="2"/>
  <c r="AG516" i="2"/>
  <c r="AF516" i="2"/>
  <c r="AG515" i="2"/>
  <c r="AF515" i="2"/>
  <c r="AG514" i="2"/>
  <c r="AF514" i="2"/>
  <c r="AG513" i="2"/>
  <c r="AF513" i="2"/>
  <c r="AG512" i="2"/>
  <c r="AF512" i="2"/>
  <c r="AG511" i="2"/>
  <c r="AF511" i="2"/>
  <c r="AG510" i="2"/>
  <c r="AF510" i="2"/>
  <c r="AG509" i="2"/>
  <c r="AF509" i="2"/>
  <c r="AG508" i="2"/>
  <c r="AF508" i="2"/>
  <c r="AG507" i="2"/>
  <c r="AF507" i="2"/>
  <c r="AG506" i="2"/>
  <c r="AF506" i="2"/>
  <c r="AG505" i="2"/>
  <c r="AF505" i="2"/>
  <c r="AG504" i="2"/>
  <c r="AF504" i="2"/>
  <c r="AG503" i="2"/>
  <c r="AF503" i="2"/>
  <c r="AG502" i="2"/>
  <c r="AF502" i="2"/>
  <c r="AG501" i="2"/>
  <c r="AF501" i="2"/>
  <c r="AG500" i="2"/>
  <c r="AF500" i="2"/>
  <c r="AG499" i="2"/>
  <c r="AF499" i="2"/>
  <c r="AG498" i="2"/>
  <c r="AF498" i="2"/>
  <c r="AG497" i="2"/>
  <c r="AF497" i="2"/>
  <c r="AG496" i="2"/>
  <c r="AF496" i="2"/>
  <c r="AG495" i="2"/>
  <c r="AF495" i="2"/>
  <c r="AG494" i="2"/>
  <c r="AF494" i="2"/>
  <c r="AG493" i="2"/>
  <c r="AF493" i="2"/>
  <c r="AG492" i="2"/>
  <c r="AF492" i="2"/>
  <c r="AG491" i="2"/>
  <c r="AF491" i="2"/>
  <c r="AG490" i="2"/>
  <c r="AF490" i="2"/>
  <c r="AG489" i="2"/>
  <c r="AF489" i="2"/>
  <c r="AG488" i="2"/>
  <c r="AF488" i="2"/>
  <c r="AG487" i="2"/>
  <c r="AF487" i="2"/>
  <c r="AG486" i="2"/>
  <c r="AF486" i="2"/>
  <c r="AG485" i="2"/>
  <c r="AF485" i="2"/>
  <c r="AG484" i="2"/>
  <c r="AF484" i="2"/>
  <c r="AG483" i="2"/>
  <c r="AF483" i="2"/>
  <c r="AG482" i="2"/>
  <c r="AF482" i="2"/>
  <c r="AG481" i="2"/>
  <c r="AF481" i="2"/>
  <c r="AG480" i="2"/>
  <c r="AF480" i="2"/>
  <c r="AG479" i="2"/>
  <c r="AF479" i="2"/>
  <c r="AG478" i="2"/>
  <c r="AF478" i="2"/>
  <c r="AG477" i="2"/>
  <c r="AF477" i="2"/>
  <c r="AG476" i="2"/>
  <c r="AF476" i="2"/>
  <c r="AG475" i="2"/>
  <c r="AF475" i="2"/>
  <c r="AG474" i="2"/>
  <c r="AF474" i="2"/>
  <c r="AG473" i="2"/>
  <c r="AF473" i="2"/>
  <c r="AG472" i="2"/>
  <c r="AF472" i="2"/>
  <c r="AG471" i="2"/>
  <c r="AF471" i="2"/>
  <c r="AG470" i="2"/>
  <c r="AF470" i="2"/>
  <c r="AG469" i="2"/>
  <c r="AF469" i="2"/>
  <c r="AG468" i="2"/>
  <c r="AF468" i="2"/>
  <c r="AG467" i="2"/>
  <c r="AF467" i="2"/>
  <c r="AG466" i="2"/>
  <c r="AF466" i="2"/>
  <c r="AG465" i="2"/>
  <c r="AF465" i="2"/>
  <c r="AG464" i="2"/>
  <c r="AF464" i="2"/>
  <c r="AG463" i="2"/>
  <c r="AF463" i="2"/>
  <c r="AG462" i="2"/>
  <c r="AF462" i="2"/>
  <c r="AG461" i="2"/>
  <c r="AF461" i="2"/>
  <c r="AG460" i="2"/>
  <c r="AF460" i="2"/>
  <c r="AG459" i="2"/>
  <c r="AF459" i="2"/>
  <c r="AG458" i="2"/>
  <c r="AF458" i="2"/>
  <c r="AG457" i="2"/>
  <c r="AF457" i="2"/>
  <c r="AG456" i="2"/>
  <c r="AF456" i="2"/>
  <c r="AG455" i="2"/>
  <c r="AF455" i="2"/>
  <c r="AG454" i="2"/>
  <c r="AF454" i="2"/>
  <c r="AG453" i="2"/>
  <c r="AF453" i="2"/>
  <c r="AG452" i="2"/>
  <c r="AF452" i="2"/>
  <c r="AG451" i="2"/>
  <c r="AF451" i="2"/>
  <c r="AG450" i="2"/>
  <c r="AF450" i="2"/>
  <c r="AG449" i="2"/>
  <c r="AF449" i="2"/>
  <c r="AG448" i="2"/>
  <c r="AF448" i="2"/>
  <c r="AG447" i="2"/>
  <c r="AF447" i="2"/>
  <c r="AG446" i="2"/>
  <c r="AF446" i="2"/>
  <c r="AG445" i="2"/>
  <c r="AF445" i="2"/>
  <c r="AG444" i="2"/>
  <c r="AF444" i="2"/>
  <c r="AG443" i="2"/>
  <c r="AF443" i="2"/>
  <c r="AG442" i="2"/>
  <c r="AF442" i="2"/>
  <c r="AG441" i="2"/>
  <c r="AF441" i="2"/>
  <c r="AG440" i="2"/>
  <c r="AF440" i="2"/>
  <c r="AG439" i="2"/>
  <c r="AF439" i="2"/>
  <c r="AG438" i="2"/>
  <c r="AF438" i="2"/>
  <c r="AG437" i="2"/>
  <c r="AF437" i="2"/>
  <c r="AG436" i="2"/>
  <c r="AF436" i="2"/>
  <c r="AG435" i="2"/>
  <c r="AF435" i="2"/>
  <c r="AG434" i="2"/>
  <c r="AF434" i="2"/>
  <c r="AG433" i="2"/>
  <c r="AF433" i="2"/>
  <c r="AG432" i="2"/>
  <c r="AF432" i="2"/>
  <c r="AG431" i="2"/>
  <c r="AF431" i="2"/>
  <c r="AG430" i="2"/>
  <c r="AF430" i="2"/>
  <c r="AG429" i="2"/>
  <c r="AF429" i="2"/>
  <c r="AG428" i="2"/>
  <c r="AF428" i="2"/>
  <c r="AG427" i="2"/>
  <c r="AF427" i="2"/>
  <c r="AG426" i="2"/>
  <c r="AF426" i="2"/>
  <c r="AG425" i="2"/>
  <c r="AF425" i="2"/>
  <c r="AG424" i="2"/>
  <c r="AF424" i="2"/>
  <c r="AG423" i="2"/>
  <c r="AF423" i="2"/>
  <c r="AG422" i="2"/>
  <c r="AF422" i="2"/>
  <c r="AG421" i="2"/>
  <c r="AF421" i="2"/>
  <c r="AG420" i="2"/>
  <c r="AF420" i="2"/>
  <c r="AG419" i="2"/>
  <c r="AF419" i="2"/>
  <c r="AG418" i="2"/>
  <c r="AF418" i="2"/>
  <c r="AG417" i="2"/>
  <c r="AF417" i="2"/>
  <c r="AG416" i="2"/>
  <c r="AF416" i="2"/>
  <c r="AG415" i="2"/>
  <c r="AF415" i="2"/>
  <c r="AG414" i="2"/>
  <c r="AF414" i="2"/>
  <c r="AG413" i="2"/>
  <c r="AF413" i="2"/>
  <c r="AG412" i="2"/>
  <c r="AF412" i="2"/>
  <c r="AG411" i="2"/>
  <c r="AF411" i="2"/>
  <c r="AG410" i="2"/>
  <c r="AF410" i="2"/>
  <c r="AG409" i="2"/>
  <c r="AF409" i="2"/>
  <c r="AG408" i="2"/>
  <c r="AF408" i="2"/>
  <c r="AG407" i="2"/>
  <c r="AF407" i="2"/>
  <c r="AG406" i="2"/>
  <c r="AF406" i="2"/>
  <c r="AG405" i="2"/>
  <c r="AF405" i="2"/>
  <c r="AG404" i="2"/>
  <c r="AF404" i="2"/>
  <c r="AG403" i="2"/>
  <c r="AF403" i="2"/>
  <c r="AG402" i="2"/>
  <c r="AF402" i="2"/>
  <c r="AG401" i="2"/>
  <c r="AF401" i="2"/>
  <c r="AG400" i="2"/>
  <c r="AF400" i="2"/>
  <c r="AG399" i="2"/>
  <c r="AF399" i="2"/>
  <c r="AG398" i="2"/>
  <c r="AF398" i="2"/>
  <c r="AG397" i="2"/>
  <c r="AF397" i="2"/>
  <c r="AG396" i="2"/>
  <c r="AF396" i="2"/>
  <c r="AG395" i="2"/>
  <c r="AF395" i="2"/>
  <c r="AG394" i="2"/>
  <c r="AF394" i="2"/>
  <c r="AG393" i="2"/>
  <c r="AF393" i="2"/>
  <c r="AG392" i="2"/>
  <c r="AF392" i="2"/>
  <c r="AG391" i="2"/>
  <c r="AF391" i="2"/>
  <c r="AG390" i="2"/>
  <c r="AF390" i="2"/>
  <c r="AG389" i="2"/>
  <c r="AF389" i="2"/>
  <c r="AG388" i="2"/>
  <c r="AF388" i="2"/>
  <c r="AG387" i="2"/>
  <c r="AF387" i="2"/>
  <c r="AG386" i="2"/>
  <c r="AF386" i="2"/>
  <c r="AG385" i="2"/>
  <c r="AF385" i="2"/>
  <c r="AG384" i="2"/>
  <c r="AF384" i="2"/>
  <c r="AG383" i="2"/>
  <c r="AF383" i="2"/>
  <c r="AG382" i="2"/>
  <c r="AF382" i="2"/>
  <c r="AG381" i="2"/>
  <c r="AF381" i="2"/>
  <c r="AG380" i="2"/>
  <c r="AF380" i="2"/>
  <c r="AG379" i="2"/>
  <c r="AF379" i="2"/>
  <c r="AG378" i="2"/>
  <c r="AF378" i="2"/>
  <c r="AG377" i="2"/>
  <c r="AF377" i="2"/>
  <c r="AG376" i="2"/>
  <c r="AF376" i="2"/>
  <c r="AG375" i="2"/>
  <c r="AF375" i="2"/>
  <c r="AG374" i="2"/>
  <c r="AF374" i="2"/>
  <c r="AG373" i="2"/>
  <c r="AF373" i="2"/>
  <c r="AG372" i="2"/>
  <c r="AF372" i="2"/>
  <c r="AG371" i="2"/>
  <c r="AF371" i="2"/>
  <c r="AG370" i="2"/>
  <c r="AF370" i="2"/>
  <c r="AG369" i="2"/>
  <c r="AF369" i="2"/>
  <c r="AG368" i="2"/>
  <c r="AF368" i="2"/>
  <c r="AG367" i="2"/>
  <c r="AF367" i="2"/>
  <c r="AG366" i="2"/>
  <c r="AF366" i="2"/>
  <c r="AG365" i="2"/>
  <c r="AF365" i="2"/>
  <c r="AG364" i="2"/>
  <c r="AF364" i="2"/>
  <c r="AG363" i="2"/>
  <c r="AF363" i="2"/>
  <c r="AG362" i="2"/>
  <c r="AF362" i="2"/>
  <c r="AG361" i="2"/>
  <c r="AF361" i="2"/>
  <c r="AG360" i="2"/>
  <c r="AF360" i="2"/>
  <c r="AG359" i="2"/>
  <c r="AF359" i="2"/>
  <c r="AG358" i="2"/>
  <c r="AF358" i="2"/>
  <c r="AG357" i="2"/>
  <c r="AF357" i="2"/>
  <c r="AG356" i="2"/>
  <c r="AF356" i="2"/>
  <c r="AG355" i="2"/>
  <c r="AF355" i="2"/>
  <c r="AG354" i="2"/>
  <c r="AF354" i="2"/>
  <c r="AG353" i="2"/>
  <c r="AF353" i="2"/>
  <c r="AG352" i="2"/>
  <c r="AF352" i="2"/>
  <c r="AG351" i="2"/>
  <c r="AF351" i="2"/>
  <c r="AG350" i="2"/>
  <c r="AF350" i="2"/>
  <c r="AG349" i="2"/>
  <c r="AF349" i="2"/>
  <c r="AG348" i="2"/>
  <c r="AF348" i="2"/>
  <c r="AG347" i="2"/>
  <c r="AF347" i="2"/>
  <c r="AG346" i="2"/>
  <c r="AF346" i="2"/>
  <c r="AG345" i="2"/>
  <c r="AF345" i="2"/>
  <c r="AG344" i="2"/>
  <c r="AF344" i="2"/>
  <c r="AG343" i="2"/>
  <c r="AF343" i="2"/>
  <c r="AG342" i="2"/>
  <c r="AF342" i="2"/>
  <c r="AG341" i="2"/>
  <c r="AF341" i="2"/>
  <c r="AG340" i="2"/>
  <c r="AF340" i="2"/>
  <c r="AG339" i="2"/>
  <c r="AF339" i="2"/>
  <c r="AG338" i="2"/>
  <c r="AF338" i="2"/>
  <c r="AG336" i="2"/>
  <c r="AF336" i="2"/>
  <c r="AG335" i="2"/>
  <c r="AF335" i="2"/>
  <c r="AG334" i="2"/>
  <c r="AF334" i="2"/>
  <c r="AG333" i="2"/>
  <c r="AF333" i="2"/>
  <c r="AG332" i="2"/>
  <c r="AF332" i="2"/>
  <c r="AG331" i="2"/>
  <c r="AF331" i="2"/>
  <c r="AG330" i="2"/>
  <c r="AF330" i="2"/>
  <c r="AG329" i="2"/>
  <c r="AF329" i="2"/>
  <c r="AG328" i="2"/>
  <c r="AF328" i="2"/>
  <c r="AG327" i="2"/>
  <c r="AF327" i="2"/>
  <c r="AG326" i="2"/>
  <c r="AF326" i="2"/>
  <c r="AG325" i="2"/>
  <c r="AF325" i="2"/>
  <c r="AG324" i="2"/>
  <c r="AF324" i="2"/>
  <c r="AG323" i="2"/>
  <c r="AF323" i="2"/>
  <c r="AG322" i="2"/>
  <c r="AF322" i="2"/>
  <c r="AG321" i="2"/>
  <c r="AF321" i="2"/>
  <c r="AG320" i="2"/>
  <c r="AF320" i="2"/>
  <c r="AG319" i="2"/>
  <c r="AF319" i="2"/>
  <c r="AG318" i="2"/>
  <c r="AF318" i="2"/>
  <c r="AG317" i="2"/>
  <c r="AF317" i="2"/>
  <c r="AG316" i="2"/>
  <c r="AF316" i="2"/>
  <c r="AG314" i="2"/>
  <c r="AF314" i="2"/>
  <c r="AG313" i="2"/>
  <c r="AF313" i="2"/>
  <c r="AG312" i="2"/>
  <c r="AF312" i="2"/>
  <c r="AG311" i="2"/>
  <c r="AF311" i="2"/>
  <c r="AG310" i="2"/>
  <c r="AF310" i="2"/>
  <c r="AG309" i="2"/>
  <c r="AF309" i="2"/>
  <c r="AG308" i="2"/>
  <c r="AF308" i="2"/>
  <c r="AG307" i="2"/>
  <c r="AF307" i="2"/>
  <c r="AG306" i="2"/>
  <c r="AF306" i="2"/>
  <c r="AG305" i="2"/>
  <c r="AF305" i="2"/>
  <c r="AG304" i="2"/>
  <c r="AF304" i="2"/>
  <c r="AG303" i="2"/>
  <c r="AF303" i="2"/>
  <c r="AG302" i="2"/>
  <c r="AF302" i="2"/>
  <c r="AG301" i="2"/>
  <c r="AF301" i="2"/>
  <c r="AG300" i="2"/>
  <c r="AF300" i="2"/>
  <c r="AG299" i="2"/>
  <c r="AF299" i="2"/>
  <c r="AG298" i="2"/>
  <c r="AF298" i="2"/>
  <c r="AG297" i="2"/>
  <c r="AF297" i="2"/>
  <c r="AG296" i="2"/>
  <c r="AF296" i="2"/>
  <c r="AG295" i="2"/>
  <c r="AF295" i="2"/>
  <c r="AG294" i="2"/>
  <c r="AF294" i="2"/>
  <c r="AG293" i="2"/>
  <c r="AF293" i="2"/>
  <c r="AG292" i="2"/>
  <c r="AF292" i="2"/>
  <c r="AG291" i="2"/>
  <c r="AF291" i="2"/>
  <c r="AG290" i="2"/>
  <c r="AF290" i="2"/>
  <c r="AG289" i="2"/>
  <c r="AF289" i="2"/>
  <c r="AG288" i="2"/>
  <c r="AF288" i="2"/>
  <c r="AG287" i="2"/>
  <c r="AF287" i="2"/>
  <c r="AG286" i="2"/>
  <c r="AF286" i="2"/>
  <c r="AG285" i="2"/>
  <c r="AF285" i="2"/>
  <c r="T80" i="2" l="1"/>
  <c r="W80" i="2" s="1"/>
  <c r="Z80" i="2" s="1"/>
  <c r="T1101" i="2"/>
  <c r="O1101" i="2"/>
  <c r="X477" i="2"/>
  <c r="S477" i="2"/>
  <c r="R477" i="2"/>
  <c r="Q477" i="2"/>
  <c r="P477" i="2"/>
  <c r="M477" i="2"/>
  <c r="L477" i="2"/>
  <c r="K477" i="2"/>
  <c r="W1101" i="2" l="1"/>
  <c r="Z1101" i="2" s="1"/>
  <c r="T477" i="2"/>
  <c r="W477" i="2" s="1"/>
  <c r="Z477" i="2" s="1"/>
  <c r="AL526" i="2" l="1"/>
  <c r="AK526" i="2"/>
  <c r="X526" i="2"/>
  <c r="S526" i="2"/>
  <c r="R526" i="2"/>
  <c r="Q526" i="2"/>
  <c r="P526" i="2"/>
  <c r="M526" i="2"/>
  <c r="L526" i="2"/>
  <c r="K526" i="2"/>
  <c r="G1202" i="2"/>
  <c r="F1202" i="2"/>
  <c r="D1202" i="2"/>
  <c r="AH526" i="2" l="1"/>
  <c r="T526" i="2"/>
  <c r="W526" i="2" l="1"/>
  <c r="Z526" i="2" s="1"/>
  <c r="X371" i="2" l="1"/>
  <c r="S371" i="2"/>
  <c r="R371" i="2"/>
  <c r="Q371" i="2"/>
  <c r="P371" i="2"/>
  <c r="M371" i="2"/>
  <c r="L371" i="2"/>
  <c r="K371" i="2"/>
  <c r="AT1100" i="2"/>
  <c r="AS1100" i="2"/>
  <c r="AL1100" i="2"/>
  <c r="AK1100" i="2"/>
  <c r="AG1100" i="2"/>
  <c r="AH1100" i="2" s="1"/>
  <c r="AF1100" i="2"/>
  <c r="X1100" i="2"/>
  <c r="S1100" i="2"/>
  <c r="R1100" i="2"/>
  <c r="Q1100" i="2"/>
  <c r="P1100" i="2"/>
  <c r="M1100" i="2"/>
  <c r="L1100" i="2"/>
  <c r="K1100" i="2"/>
  <c r="AT1099" i="2"/>
  <c r="AS1099" i="2"/>
  <c r="AL1099" i="2"/>
  <c r="AK1099" i="2"/>
  <c r="AG1099" i="2"/>
  <c r="AH1099" i="2" s="1"/>
  <c r="AF1099" i="2"/>
  <c r="X1099" i="2"/>
  <c r="S1099" i="2"/>
  <c r="R1099" i="2"/>
  <c r="Q1099" i="2"/>
  <c r="P1099" i="2"/>
  <c r="M1099" i="2"/>
  <c r="L1099" i="2"/>
  <c r="K1099" i="2"/>
  <c r="X372" i="2"/>
  <c r="S372" i="2"/>
  <c r="R372" i="2"/>
  <c r="Q372" i="2"/>
  <c r="P372" i="2"/>
  <c r="M372" i="2"/>
  <c r="L372" i="2"/>
  <c r="K372" i="2"/>
  <c r="AT290" i="2"/>
  <c r="AS290" i="2"/>
  <c r="AL290" i="2"/>
  <c r="AK290" i="2"/>
  <c r="X290" i="2"/>
  <c r="S290" i="2"/>
  <c r="R290" i="2"/>
  <c r="Q290" i="2"/>
  <c r="P290" i="2"/>
  <c r="M290" i="2"/>
  <c r="L290" i="2"/>
  <c r="K290" i="2"/>
  <c r="T371" i="2" l="1"/>
  <c r="W371" i="2" s="1"/>
  <c r="Z371" i="2" s="1"/>
  <c r="O1100" i="2"/>
  <c r="T1100" i="2"/>
  <c r="T1099" i="2"/>
  <c r="O1099" i="2"/>
  <c r="T372" i="2"/>
  <c r="W372" i="2" s="1"/>
  <c r="Z372" i="2" s="1"/>
  <c r="T290" i="2"/>
  <c r="O290" i="2"/>
  <c r="X1102" i="2"/>
  <c r="X1098" i="2"/>
  <c r="X1097" i="2"/>
  <c r="X1096" i="2"/>
  <c r="X1095" i="2"/>
  <c r="X1094" i="2"/>
  <c r="X1093" i="2"/>
  <c r="X1092" i="2"/>
  <c r="X1091" i="2"/>
  <c r="X1090" i="2"/>
  <c r="X1089" i="2"/>
  <c r="X1088" i="2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E1202" i="2" s="1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8" i="2"/>
  <c r="X227" i="2"/>
  <c r="X226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102" i="2"/>
  <c r="S1098" i="2"/>
  <c r="S1097" i="2"/>
  <c r="S1096" i="2"/>
  <c r="S1095" i="2"/>
  <c r="S1094" i="2"/>
  <c r="S1093" i="2"/>
  <c r="S1092" i="2"/>
  <c r="S1091" i="2"/>
  <c r="S1090" i="2"/>
  <c r="S1089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8" i="2"/>
  <c r="S227" i="2"/>
  <c r="S226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102" i="2"/>
  <c r="R1098" i="2"/>
  <c r="R1097" i="2"/>
  <c r="R1096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8" i="2"/>
  <c r="R227" i="2"/>
  <c r="R226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102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8" i="2"/>
  <c r="Q227" i="2"/>
  <c r="Q226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102" i="2"/>
  <c r="P1098" i="2"/>
  <c r="P1097" i="2"/>
  <c r="P1096" i="2"/>
  <c r="P1095" i="2"/>
  <c r="P1094" i="2"/>
  <c r="P1093" i="2"/>
  <c r="P1092" i="2"/>
  <c r="P1091" i="2"/>
  <c r="P1090" i="2"/>
  <c r="P1089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8" i="2"/>
  <c r="P227" i="2"/>
  <c r="P226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102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8" i="2"/>
  <c r="M227" i="2"/>
  <c r="M226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1102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8" i="2"/>
  <c r="L227" i="2"/>
  <c r="L226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102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8" i="2"/>
  <c r="K227" i="2"/>
  <c r="K226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3" i="2"/>
  <c r="K187" i="2"/>
  <c r="K186" i="2"/>
  <c r="K185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W1100" i="2" l="1"/>
  <c r="Z1100" i="2" s="1"/>
  <c r="W1099" i="2"/>
  <c r="Z1099" i="2" s="1"/>
  <c r="W290" i="2"/>
  <c r="Z290" i="2" s="1"/>
  <c r="T1102" i="2"/>
  <c r="T1096" i="2"/>
  <c r="T1098" i="2"/>
  <c r="T1097" i="2"/>
  <c r="T1095" i="2"/>
  <c r="T1093" i="2"/>
  <c r="T1094" i="2"/>
  <c r="T1000" i="2"/>
  <c r="T1004" i="2"/>
  <c r="T1008" i="2"/>
  <c r="T1012" i="2"/>
  <c r="T1016" i="2"/>
  <c r="T1024" i="2"/>
  <c r="T1028" i="2"/>
  <c r="T1032" i="2"/>
  <c r="T1036" i="2"/>
  <c r="T1040" i="2"/>
  <c r="T1044" i="2"/>
  <c r="T1048" i="2"/>
  <c r="T1052" i="2"/>
  <c r="T1056" i="2"/>
  <c r="T1060" i="2"/>
  <c r="T1064" i="2"/>
  <c r="T1068" i="2"/>
  <c r="T1072" i="2"/>
  <c r="T1076" i="2"/>
  <c r="T1080" i="2"/>
  <c r="T1084" i="2"/>
  <c r="T1088" i="2"/>
  <c r="T1092" i="2"/>
  <c r="T1085" i="2"/>
  <c r="T1089" i="2"/>
  <c r="T1086" i="2"/>
  <c r="T1090" i="2"/>
  <c r="T1091" i="2"/>
  <c r="T1087" i="2"/>
  <c r="T1083" i="2"/>
  <c r="T1081" i="2"/>
  <c r="T1082" i="2"/>
  <c r="T1077" i="2"/>
  <c r="T1078" i="2"/>
  <c r="T1079" i="2"/>
  <c r="T1075" i="2"/>
  <c r="T1061" i="2"/>
  <c r="T1065" i="2"/>
  <c r="T1069" i="2"/>
  <c r="T1073" i="2"/>
  <c r="T1062" i="2"/>
  <c r="T1066" i="2"/>
  <c r="T1070" i="2"/>
  <c r="T1074" i="2"/>
  <c r="T1063" i="2"/>
  <c r="T1067" i="2"/>
  <c r="T1071" i="2"/>
  <c r="T1053" i="2"/>
  <c r="T1057" i="2"/>
  <c r="T1054" i="2"/>
  <c r="T1058" i="2"/>
  <c r="T1055" i="2"/>
  <c r="T1059" i="2"/>
  <c r="T1051" i="2"/>
  <c r="T1045" i="2"/>
  <c r="T1049" i="2"/>
  <c r="T1050" i="2"/>
  <c r="T1047" i="2"/>
  <c r="T1046" i="2"/>
  <c r="T1043" i="2"/>
  <c r="T1021" i="2"/>
  <c r="T1025" i="2"/>
  <c r="T1029" i="2"/>
  <c r="T1033" i="2"/>
  <c r="T1037" i="2"/>
  <c r="T1041" i="2"/>
  <c r="T1022" i="2"/>
  <c r="T1026" i="2"/>
  <c r="T1030" i="2"/>
  <c r="T1034" i="2"/>
  <c r="T1038" i="2"/>
  <c r="T1042" i="2"/>
  <c r="T1023" i="2"/>
  <c r="T1027" i="2"/>
  <c r="T1031" i="2"/>
  <c r="T1035" i="2"/>
  <c r="T1039" i="2"/>
  <c r="T1020" i="2"/>
  <c r="T1019" i="2"/>
  <c r="T1018" i="2"/>
  <c r="T1009" i="2"/>
  <c r="T1013" i="2"/>
  <c r="T1017" i="2"/>
  <c r="T1015" i="2"/>
  <c r="T1010" i="2"/>
  <c r="T1014" i="2"/>
  <c r="T1011" i="2"/>
  <c r="T989" i="2"/>
  <c r="T993" i="2"/>
  <c r="T997" i="2"/>
  <c r="T1001" i="2"/>
  <c r="T1005" i="2"/>
  <c r="T1006" i="2"/>
  <c r="T1007" i="2"/>
  <c r="T1003" i="2"/>
  <c r="T998" i="2"/>
  <c r="T1002" i="2"/>
  <c r="T999" i="2"/>
  <c r="T992" i="2"/>
  <c r="T996" i="2"/>
  <c r="T994" i="2"/>
  <c r="T995" i="2"/>
  <c r="T991" i="2"/>
  <c r="T990" i="2"/>
  <c r="T987" i="2"/>
  <c r="T968" i="2"/>
  <c r="T972" i="2"/>
  <c r="T976" i="2"/>
  <c r="T980" i="2"/>
  <c r="T984" i="2"/>
  <c r="T988" i="2"/>
  <c r="T986" i="2"/>
  <c r="T985" i="2"/>
  <c r="T983" i="2"/>
  <c r="T982" i="2"/>
  <c r="T981" i="2"/>
  <c r="T974" i="2"/>
  <c r="T978" i="2"/>
  <c r="T979" i="2"/>
  <c r="T977" i="2"/>
  <c r="T975" i="2"/>
  <c r="T969" i="2"/>
  <c r="T973" i="2"/>
  <c r="T971" i="2"/>
  <c r="T970" i="2"/>
  <c r="T966" i="2"/>
  <c r="T967" i="2"/>
  <c r="T952" i="2"/>
  <c r="T956" i="2"/>
  <c r="T960" i="2"/>
  <c r="T964" i="2"/>
  <c r="T961" i="2"/>
  <c r="T965" i="2"/>
  <c r="T962" i="2"/>
  <c r="T963" i="2"/>
  <c r="T945" i="2"/>
  <c r="T949" i="2"/>
  <c r="T953" i="2"/>
  <c r="T957" i="2"/>
  <c r="T951" i="2"/>
  <c r="T955" i="2"/>
  <c r="T959" i="2"/>
  <c r="T942" i="2"/>
  <c r="T946" i="2"/>
  <c r="T950" i="2"/>
  <c r="T954" i="2"/>
  <c r="T958" i="2"/>
  <c r="T940" i="2"/>
  <c r="T944" i="2"/>
  <c r="T948" i="2"/>
  <c r="T943" i="2"/>
  <c r="T947" i="2"/>
  <c r="T941" i="2"/>
  <c r="T937" i="2"/>
  <c r="T938" i="2"/>
  <c r="T939" i="2"/>
  <c r="T928" i="2"/>
  <c r="T932" i="2"/>
  <c r="T936" i="2"/>
  <c r="T934" i="2"/>
  <c r="T935" i="2"/>
  <c r="T929" i="2"/>
  <c r="T933" i="2"/>
  <c r="T930" i="2"/>
  <c r="T931" i="2"/>
  <c r="T919" i="2"/>
  <c r="T923" i="2"/>
  <c r="T927" i="2"/>
  <c r="T926" i="2"/>
  <c r="T884" i="2"/>
  <c r="T888" i="2"/>
  <c r="T892" i="2"/>
  <c r="T896" i="2"/>
  <c r="T900" i="2"/>
  <c r="T904" i="2"/>
  <c r="T908" i="2"/>
  <c r="T912" i="2"/>
  <c r="T916" i="2"/>
  <c r="T920" i="2"/>
  <c r="T924" i="2"/>
  <c r="T921" i="2"/>
  <c r="T925" i="2"/>
  <c r="T918" i="2"/>
  <c r="T922" i="2"/>
  <c r="T917" i="2"/>
  <c r="T889" i="2"/>
  <c r="T893" i="2"/>
  <c r="T897" i="2"/>
  <c r="T901" i="2"/>
  <c r="T905" i="2"/>
  <c r="T909" i="2"/>
  <c r="T913" i="2"/>
  <c r="T910" i="2"/>
  <c r="T914" i="2"/>
  <c r="T915" i="2"/>
  <c r="T907" i="2"/>
  <c r="T911" i="2"/>
  <c r="T906" i="2"/>
  <c r="T903" i="2"/>
  <c r="T898" i="2"/>
  <c r="T902" i="2"/>
  <c r="T899" i="2"/>
  <c r="T895" i="2"/>
  <c r="T882" i="2"/>
  <c r="T886" i="2"/>
  <c r="T890" i="2"/>
  <c r="T894" i="2"/>
  <c r="T891" i="2"/>
  <c r="T887" i="2"/>
  <c r="T885" i="2"/>
  <c r="T883" i="2"/>
  <c r="T881" i="2"/>
  <c r="T860" i="2"/>
  <c r="T864" i="2"/>
  <c r="T868" i="2"/>
  <c r="T872" i="2"/>
  <c r="T876" i="2"/>
  <c r="T880" i="2"/>
  <c r="T878" i="2"/>
  <c r="T879" i="2"/>
  <c r="T873" i="2"/>
  <c r="T877" i="2"/>
  <c r="T874" i="2"/>
  <c r="T875" i="2"/>
  <c r="T857" i="2"/>
  <c r="T861" i="2"/>
  <c r="T865" i="2"/>
  <c r="T869" i="2"/>
  <c r="T858" i="2"/>
  <c r="T862" i="2"/>
  <c r="T866" i="2"/>
  <c r="T870" i="2"/>
  <c r="T863" i="2"/>
  <c r="T867" i="2"/>
  <c r="T871" i="2"/>
  <c r="T852" i="2"/>
  <c r="T856" i="2"/>
  <c r="T859" i="2"/>
  <c r="T849" i="2"/>
  <c r="T853" i="2"/>
  <c r="T794" i="2"/>
  <c r="T798" i="2"/>
  <c r="T802" i="2"/>
  <c r="T806" i="2"/>
  <c r="T810" i="2"/>
  <c r="T814" i="2"/>
  <c r="T818" i="2"/>
  <c r="T822" i="2"/>
  <c r="T826" i="2"/>
  <c r="T830" i="2"/>
  <c r="T834" i="2"/>
  <c r="T838" i="2"/>
  <c r="T842" i="2"/>
  <c r="T846" i="2"/>
  <c r="T850" i="2"/>
  <c r="T854" i="2"/>
  <c r="T839" i="2"/>
  <c r="T843" i="2"/>
  <c r="T847" i="2"/>
  <c r="T851" i="2"/>
  <c r="T855" i="2"/>
  <c r="T840" i="2"/>
  <c r="T844" i="2"/>
  <c r="T848" i="2"/>
  <c r="T837" i="2"/>
  <c r="T841" i="2"/>
  <c r="T845" i="2"/>
  <c r="T792" i="2"/>
  <c r="T796" i="2"/>
  <c r="T800" i="2"/>
  <c r="T804" i="2"/>
  <c r="T808" i="2"/>
  <c r="T812" i="2"/>
  <c r="T816" i="2"/>
  <c r="T820" i="2"/>
  <c r="T824" i="2"/>
  <c r="T828" i="2"/>
  <c r="T832" i="2"/>
  <c r="T836" i="2"/>
  <c r="T835" i="2"/>
  <c r="T833" i="2"/>
  <c r="T823" i="2"/>
  <c r="T827" i="2"/>
  <c r="T831" i="2"/>
  <c r="T793" i="2"/>
  <c r="T797" i="2"/>
  <c r="T801" i="2"/>
  <c r="T805" i="2"/>
  <c r="T809" i="2"/>
  <c r="T813" i="2"/>
  <c r="T817" i="2"/>
  <c r="T821" i="2"/>
  <c r="T825" i="2"/>
  <c r="T829" i="2"/>
  <c r="T779" i="2"/>
  <c r="T783" i="2"/>
  <c r="T787" i="2"/>
  <c r="T791" i="2"/>
  <c r="T795" i="2"/>
  <c r="T799" i="2"/>
  <c r="T803" i="2"/>
  <c r="T807" i="2"/>
  <c r="T811" i="2"/>
  <c r="T815" i="2"/>
  <c r="T819" i="2"/>
  <c r="T782" i="2"/>
  <c r="T786" i="2"/>
  <c r="T790" i="2"/>
  <c r="T760" i="2"/>
  <c r="T764" i="2"/>
  <c r="T768" i="2"/>
  <c r="T772" i="2"/>
  <c r="T776" i="2"/>
  <c r="T780" i="2"/>
  <c r="T784" i="2"/>
  <c r="T788" i="2"/>
  <c r="T761" i="2"/>
  <c r="T765" i="2"/>
  <c r="T769" i="2"/>
  <c r="T773" i="2"/>
  <c r="T777" i="2"/>
  <c r="T781" i="2"/>
  <c r="T785" i="2"/>
  <c r="T789" i="2"/>
  <c r="T766" i="2"/>
  <c r="T770" i="2"/>
  <c r="T774" i="2"/>
  <c r="T778" i="2"/>
  <c r="T771" i="2"/>
  <c r="T775" i="2"/>
  <c r="T767" i="2"/>
  <c r="T763" i="2"/>
  <c r="T762" i="2"/>
  <c r="T755" i="2"/>
  <c r="T759" i="2"/>
  <c r="T744" i="2"/>
  <c r="T748" i="2"/>
  <c r="T752" i="2"/>
  <c r="T756" i="2"/>
  <c r="T757" i="2"/>
  <c r="T754" i="2"/>
  <c r="T758" i="2"/>
  <c r="T753" i="2"/>
  <c r="T751" i="2"/>
  <c r="T749" i="2"/>
  <c r="T750" i="2"/>
  <c r="T735" i="2"/>
  <c r="T739" i="2"/>
  <c r="T743" i="2"/>
  <c r="T747" i="2"/>
  <c r="T741" i="2"/>
  <c r="T745" i="2"/>
  <c r="T746" i="2"/>
  <c r="T730" i="2"/>
  <c r="T734" i="2"/>
  <c r="T738" i="2"/>
  <c r="T742" i="2"/>
  <c r="T732" i="2"/>
  <c r="T736" i="2"/>
  <c r="T740" i="2"/>
  <c r="T733" i="2"/>
  <c r="T737" i="2"/>
  <c r="T731" i="2"/>
  <c r="T712" i="2"/>
  <c r="T716" i="2"/>
  <c r="T720" i="2"/>
  <c r="T724" i="2"/>
  <c r="T728" i="2"/>
  <c r="T717" i="2"/>
  <c r="T721" i="2"/>
  <c r="T725" i="2"/>
  <c r="T729" i="2"/>
  <c r="T718" i="2"/>
  <c r="T722" i="2"/>
  <c r="T726" i="2"/>
  <c r="T719" i="2"/>
  <c r="T723" i="2"/>
  <c r="T727" i="2"/>
  <c r="T715" i="2"/>
  <c r="T713" i="2"/>
  <c r="T714" i="2"/>
  <c r="T710" i="2"/>
  <c r="T707" i="2"/>
  <c r="T711" i="2"/>
  <c r="T700" i="2"/>
  <c r="T704" i="2"/>
  <c r="T708" i="2"/>
  <c r="T709" i="2"/>
  <c r="T701" i="2"/>
  <c r="T705" i="2"/>
  <c r="T706" i="2"/>
  <c r="T703" i="2"/>
  <c r="T702" i="2"/>
  <c r="T699" i="2"/>
  <c r="T698" i="2"/>
  <c r="T697" i="2"/>
  <c r="T691" i="2"/>
  <c r="T695" i="2"/>
  <c r="T636" i="2"/>
  <c r="T640" i="2"/>
  <c r="T644" i="2"/>
  <c r="T648" i="2"/>
  <c r="T652" i="2"/>
  <c r="T656" i="2"/>
  <c r="T660" i="2"/>
  <c r="T664" i="2"/>
  <c r="T668" i="2"/>
  <c r="T672" i="2"/>
  <c r="T676" i="2"/>
  <c r="T680" i="2"/>
  <c r="T684" i="2"/>
  <c r="T688" i="2"/>
  <c r="T692" i="2"/>
  <c r="T696" i="2"/>
  <c r="T693" i="2"/>
  <c r="T690" i="2"/>
  <c r="T694" i="2"/>
  <c r="T687" i="2"/>
  <c r="T689" i="2"/>
  <c r="T685" i="2"/>
  <c r="T686" i="2"/>
  <c r="T683" i="2"/>
  <c r="T681" i="2"/>
  <c r="T682" i="2"/>
  <c r="T678" i="2"/>
  <c r="T679" i="2"/>
  <c r="T677" i="2"/>
  <c r="T675" i="2"/>
  <c r="T674" i="2"/>
  <c r="T673" i="2"/>
  <c r="T671" i="2"/>
  <c r="T669" i="2"/>
  <c r="T670" i="2"/>
  <c r="T662" i="2"/>
  <c r="T666" i="2"/>
  <c r="T667" i="2"/>
  <c r="T661" i="2"/>
  <c r="T665" i="2"/>
  <c r="T663" i="2"/>
  <c r="T641" i="2"/>
  <c r="T645" i="2"/>
  <c r="T649" i="2"/>
  <c r="T653" i="2"/>
  <c r="T657" i="2"/>
  <c r="T654" i="2"/>
  <c r="T658" i="2"/>
  <c r="T659" i="2"/>
  <c r="T655" i="2"/>
  <c r="T634" i="2"/>
  <c r="T638" i="2"/>
  <c r="T642" i="2"/>
  <c r="T646" i="2"/>
  <c r="T650" i="2"/>
  <c r="T647" i="2"/>
  <c r="T651" i="2"/>
  <c r="T643" i="2"/>
  <c r="T639" i="2"/>
  <c r="T633" i="2"/>
  <c r="T637" i="2"/>
  <c r="T635" i="2"/>
  <c r="T624" i="2"/>
  <c r="T628" i="2"/>
  <c r="T632" i="2"/>
  <c r="T630" i="2"/>
  <c r="T631" i="2"/>
  <c r="T613" i="2"/>
  <c r="T617" i="2"/>
  <c r="T621" i="2"/>
  <c r="T625" i="2"/>
  <c r="T629" i="2"/>
  <c r="T627" i="2"/>
  <c r="T610" i="2"/>
  <c r="T614" i="2"/>
  <c r="T618" i="2"/>
  <c r="T622" i="2"/>
  <c r="T626" i="2"/>
  <c r="T623" i="2"/>
  <c r="T592" i="2"/>
  <c r="T596" i="2"/>
  <c r="T600" i="2"/>
  <c r="T604" i="2"/>
  <c r="T608" i="2"/>
  <c r="T612" i="2"/>
  <c r="T616" i="2"/>
  <c r="T620" i="2"/>
  <c r="T611" i="2"/>
  <c r="T615" i="2"/>
  <c r="T619" i="2"/>
  <c r="T609" i="2"/>
  <c r="T597" i="2"/>
  <c r="T601" i="2"/>
  <c r="T605" i="2"/>
  <c r="T594" i="2"/>
  <c r="T598" i="2"/>
  <c r="T602" i="2"/>
  <c r="T606" i="2"/>
  <c r="T595" i="2"/>
  <c r="T599" i="2"/>
  <c r="T603" i="2"/>
  <c r="T607" i="2"/>
  <c r="T589" i="2"/>
  <c r="T593" i="2"/>
  <c r="T568" i="2"/>
  <c r="T572" i="2"/>
  <c r="T576" i="2"/>
  <c r="T580" i="2"/>
  <c r="T584" i="2"/>
  <c r="T588" i="2"/>
  <c r="T591" i="2"/>
  <c r="T590" i="2"/>
  <c r="T587" i="2"/>
  <c r="T577" i="2"/>
  <c r="T581" i="2"/>
  <c r="T585" i="2"/>
  <c r="T586" i="2"/>
  <c r="T578" i="2"/>
  <c r="T582" i="2"/>
  <c r="T575" i="2"/>
  <c r="T579" i="2"/>
  <c r="T583" i="2"/>
  <c r="T574" i="2"/>
  <c r="T573" i="2"/>
  <c r="T566" i="2"/>
  <c r="T570" i="2"/>
  <c r="T571" i="2"/>
  <c r="T569" i="2"/>
  <c r="T567" i="2"/>
  <c r="T565" i="2"/>
  <c r="T536" i="2"/>
  <c r="T540" i="2"/>
  <c r="T544" i="2"/>
  <c r="T548" i="2"/>
  <c r="T552" i="2"/>
  <c r="T556" i="2"/>
  <c r="T560" i="2"/>
  <c r="T564" i="2"/>
  <c r="T562" i="2"/>
  <c r="T563" i="2"/>
  <c r="T561" i="2"/>
  <c r="T559" i="2"/>
  <c r="T558" i="2"/>
  <c r="T557" i="2"/>
  <c r="T555" i="2"/>
  <c r="T554" i="2"/>
  <c r="T553" i="2"/>
  <c r="T550" i="2"/>
  <c r="T551" i="2"/>
  <c r="T549" i="2"/>
  <c r="T537" i="2"/>
  <c r="T541" i="2"/>
  <c r="T545" i="2"/>
  <c r="T534" i="2"/>
  <c r="T538" i="2"/>
  <c r="T542" i="2"/>
  <c r="T546" i="2"/>
  <c r="T547" i="2"/>
  <c r="T543" i="2"/>
  <c r="T539" i="2"/>
  <c r="T535" i="2"/>
  <c r="T528" i="2"/>
  <c r="T532" i="2"/>
  <c r="T533" i="2"/>
  <c r="T531" i="2"/>
  <c r="T530" i="2"/>
  <c r="T520" i="2"/>
  <c r="T524" i="2"/>
  <c r="T529" i="2"/>
  <c r="T521" i="2"/>
  <c r="T525" i="2"/>
  <c r="T527" i="2"/>
  <c r="T519" i="2"/>
  <c r="T523" i="2"/>
  <c r="T522" i="2"/>
  <c r="T516" i="2"/>
  <c r="T517" i="2"/>
  <c r="T518" i="2"/>
  <c r="T515" i="2"/>
  <c r="T513" i="2"/>
  <c r="T510" i="2"/>
  <c r="T514" i="2"/>
  <c r="T512" i="2"/>
  <c r="T511" i="2"/>
  <c r="T509" i="2"/>
  <c r="T508" i="2"/>
  <c r="T503" i="2"/>
  <c r="T507" i="2"/>
  <c r="T506" i="2"/>
  <c r="T496" i="2"/>
  <c r="T500" i="2"/>
  <c r="T504" i="2"/>
  <c r="T501" i="2"/>
  <c r="T505" i="2"/>
  <c r="T498" i="2"/>
  <c r="T502" i="2"/>
  <c r="T487" i="2"/>
  <c r="T491" i="2"/>
  <c r="T495" i="2"/>
  <c r="T499" i="2"/>
  <c r="T497" i="2"/>
  <c r="T493" i="2"/>
  <c r="T494" i="2"/>
  <c r="T492" i="2"/>
  <c r="T488" i="2"/>
  <c r="T489" i="2"/>
  <c r="T490" i="2"/>
  <c r="T486" i="2"/>
  <c r="T483" i="2"/>
  <c r="T485" i="2"/>
  <c r="T484" i="2"/>
  <c r="T482" i="2"/>
  <c r="T481" i="2"/>
  <c r="T438" i="2"/>
  <c r="T442" i="2"/>
  <c r="W442" i="2" s="1"/>
  <c r="Z442" i="2" s="1"/>
  <c r="T446" i="2"/>
  <c r="T450" i="2"/>
  <c r="T454" i="2"/>
  <c r="T458" i="2"/>
  <c r="T462" i="2"/>
  <c r="T466" i="2"/>
  <c r="T470" i="2"/>
  <c r="T474" i="2"/>
  <c r="T479" i="2"/>
  <c r="T480" i="2"/>
  <c r="T463" i="2"/>
  <c r="T467" i="2"/>
  <c r="T471" i="2"/>
  <c r="T475" i="2"/>
  <c r="T472" i="2"/>
  <c r="T476" i="2"/>
  <c r="T473" i="2"/>
  <c r="T478" i="2"/>
  <c r="T464" i="2"/>
  <c r="T468" i="2"/>
  <c r="T465" i="2"/>
  <c r="T469" i="2"/>
  <c r="T461" i="2"/>
  <c r="T460" i="2"/>
  <c r="T457" i="2"/>
  <c r="T459" i="2"/>
  <c r="T456" i="2"/>
  <c r="T455" i="2"/>
  <c r="T452" i="2"/>
  <c r="T453" i="2"/>
  <c r="T451" i="2"/>
  <c r="T447" i="2"/>
  <c r="T444" i="2"/>
  <c r="T448" i="2"/>
  <c r="T449" i="2"/>
  <c r="T445" i="2"/>
  <c r="T443" i="2"/>
  <c r="T436" i="2"/>
  <c r="T440" i="2"/>
  <c r="T437" i="2"/>
  <c r="T441" i="2"/>
  <c r="T439" i="2"/>
  <c r="T390" i="2"/>
  <c r="W390" i="2" s="1"/>
  <c r="Z390" i="2" s="1"/>
  <c r="T394" i="2"/>
  <c r="W394" i="2" s="1"/>
  <c r="Z394" i="2" s="1"/>
  <c r="T398" i="2"/>
  <c r="W398" i="2" s="1"/>
  <c r="Z398" i="2" s="1"/>
  <c r="T402" i="2"/>
  <c r="W402" i="2" s="1"/>
  <c r="Z402" i="2" s="1"/>
  <c r="T406" i="2"/>
  <c r="W406" i="2" s="1"/>
  <c r="Z406" i="2" s="1"/>
  <c r="T410" i="2"/>
  <c r="T414" i="2"/>
  <c r="T418" i="2"/>
  <c r="T422" i="2"/>
  <c r="T426" i="2"/>
  <c r="W426" i="2" s="1"/>
  <c r="Z426" i="2" s="1"/>
  <c r="T430" i="2"/>
  <c r="W430" i="2" s="1"/>
  <c r="Z430" i="2" s="1"/>
  <c r="T434" i="2"/>
  <c r="T423" i="2"/>
  <c r="T427" i="2"/>
  <c r="W427" i="2" s="1"/>
  <c r="Z427" i="2" s="1"/>
  <c r="T431" i="2"/>
  <c r="W431" i="2" s="1"/>
  <c r="Z431" i="2" s="1"/>
  <c r="T435" i="2"/>
  <c r="T408" i="2"/>
  <c r="T412" i="2"/>
  <c r="T416" i="2"/>
  <c r="T420" i="2"/>
  <c r="T424" i="2"/>
  <c r="W424" i="2" s="1"/>
  <c r="Z424" i="2" s="1"/>
  <c r="T428" i="2"/>
  <c r="W428" i="2" s="1"/>
  <c r="Z428" i="2" s="1"/>
  <c r="T432" i="2"/>
  <c r="W432" i="2" s="1"/>
  <c r="Z432" i="2" s="1"/>
  <c r="T421" i="2"/>
  <c r="T425" i="2"/>
  <c r="W425" i="2" s="1"/>
  <c r="Z425" i="2" s="1"/>
  <c r="T429" i="2"/>
  <c r="W429" i="2" s="1"/>
  <c r="Z429" i="2" s="1"/>
  <c r="T433" i="2"/>
  <c r="T407" i="2"/>
  <c r="T411" i="2"/>
  <c r="T415" i="2"/>
  <c r="T419" i="2"/>
  <c r="T413" i="2"/>
  <c r="T417" i="2"/>
  <c r="T409" i="2"/>
  <c r="T379" i="2"/>
  <c r="W379" i="2" s="1"/>
  <c r="Z379" i="2" s="1"/>
  <c r="T383" i="2"/>
  <c r="T387" i="2"/>
  <c r="W387" i="2" s="1"/>
  <c r="Z387" i="2" s="1"/>
  <c r="T391" i="2"/>
  <c r="W391" i="2" s="1"/>
  <c r="Z391" i="2" s="1"/>
  <c r="T395" i="2"/>
  <c r="W395" i="2" s="1"/>
  <c r="Z395" i="2" s="1"/>
  <c r="T399" i="2"/>
  <c r="W399" i="2" s="1"/>
  <c r="Z399" i="2" s="1"/>
  <c r="T403" i="2"/>
  <c r="T400" i="2"/>
  <c r="W400" i="2" s="1"/>
  <c r="Z400" i="2" s="1"/>
  <c r="T404" i="2"/>
  <c r="T401" i="2"/>
  <c r="W401" i="2" s="1"/>
  <c r="Z401" i="2" s="1"/>
  <c r="T405" i="2"/>
  <c r="W405" i="2" s="1"/>
  <c r="Z405" i="2" s="1"/>
  <c r="T396" i="2"/>
  <c r="W396" i="2" s="1"/>
  <c r="Z396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392" i="2"/>
  <c r="W392" i="2" s="1"/>
  <c r="Z392" i="2" s="1"/>
  <c r="T386" i="2"/>
  <c r="W386" i="2" s="1"/>
  <c r="Z386" i="2" s="1"/>
  <c r="T384" i="2"/>
  <c r="W384" i="2" s="1"/>
  <c r="Z384" i="2" s="1"/>
  <c r="T388" i="2"/>
  <c r="W388" i="2" s="1"/>
  <c r="Z388" i="2" s="1"/>
  <c r="T378" i="2"/>
  <c r="W378" i="2" s="1"/>
  <c r="Z378" i="2" s="1"/>
  <c r="T382" i="2"/>
  <c r="W382" i="2" s="1"/>
  <c r="Z382" i="2" s="1"/>
  <c r="T381" i="2"/>
  <c r="W381" i="2" s="1"/>
  <c r="Z381" i="2" s="1"/>
  <c r="T380" i="2"/>
  <c r="W380" i="2" s="1"/>
  <c r="Z380" i="2" s="1"/>
  <c r="T377" i="2"/>
  <c r="W377" i="2" s="1"/>
  <c r="Z377" i="2" s="1"/>
  <c r="T376" i="2"/>
  <c r="W376" i="2" s="1"/>
  <c r="Z376" i="2" s="1"/>
  <c r="T375" i="2"/>
  <c r="W375" i="2" s="1"/>
  <c r="Z375" i="2" s="1"/>
  <c r="T373" i="2"/>
  <c r="W373" i="2" s="1"/>
  <c r="Z373" i="2" s="1"/>
  <c r="T368" i="2"/>
  <c r="W368" i="2" s="1"/>
  <c r="Z368" i="2" s="1"/>
  <c r="T374" i="2"/>
  <c r="W374" i="2" s="1"/>
  <c r="Z374" i="2" s="1"/>
  <c r="T369" i="2"/>
  <c r="W369" i="2" s="1"/>
  <c r="Z369" i="2" s="1"/>
  <c r="T370" i="2"/>
  <c r="W370" i="2" s="1"/>
  <c r="Z370" i="2" s="1"/>
  <c r="T366" i="2"/>
  <c r="W366" i="2" s="1"/>
  <c r="Z366" i="2" s="1"/>
  <c r="T367" i="2"/>
  <c r="W367" i="2" s="1"/>
  <c r="Z367" i="2" s="1"/>
  <c r="T361" i="2"/>
  <c r="W361" i="2" s="1"/>
  <c r="Z361" i="2" s="1"/>
  <c r="T365" i="2"/>
  <c r="W365" i="2" s="1"/>
  <c r="Z365" i="2" s="1"/>
  <c r="T364" i="2"/>
  <c r="W364" i="2" s="1"/>
  <c r="Z364" i="2" s="1"/>
  <c r="T362" i="2"/>
  <c r="W362" i="2" s="1"/>
  <c r="Z362" i="2" s="1"/>
  <c r="T363" i="2"/>
  <c r="W363" i="2" s="1"/>
  <c r="Z363" i="2" s="1"/>
  <c r="T352" i="2"/>
  <c r="W352" i="2" s="1"/>
  <c r="Z352" i="2" s="1"/>
  <c r="T356" i="2"/>
  <c r="T360" i="2"/>
  <c r="W360" i="2" s="1"/>
  <c r="Z360" i="2" s="1"/>
  <c r="T346" i="2"/>
  <c r="W346" i="2" s="1"/>
  <c r="Z346" i="2" s="1"/>
  <c r="T350" i="2"/>
  <c r="T354" i="2"/>
  <c r="W354" i="2" s="1"/>
  <c r="Z354" i="2" s="1"/>
  <c r="T358" i="2"/>
  <c r="W358" i="2" s="1"/>
  <c r="Z358" i="2" s="1"/>
  <c r="T359" i="2"/>
  <c r="W359" i="2" s="1"/>
  <c r="Z359" i="2" s="1"/>
  <c r="T349" i="2"/>
  <c r="T353" i="2"/>
  <c r="W353" i="2" s="1"/>
  <c r="Z353" i="2" s="1"/>
  <c r="T357" i="2"/>
  <c r="T351" i="2"/>
  <c r="W351" i="2" s="1"/>
  <c r="Z351" i="2" s="1"/>
  <c r="T355" i="2"/>
  <c r="T298" i="2"/>
  <c r="T302" i="2"/>
  <c r="W302" i="2" s="1"/>
  <c r="Z302" i="2" s="1"/>
  <c r="T306" i="2"/>
  <c r="W306" i="2" s="1"/>
  <c r="Z306" i="2" s="1"/>
  <c r="T310" i="2"/>
  <c r="W310" i="2" s="1"/>
  <c r="Z310" i="2" s="1"/>
  <c r="T314" i="2"/>
  <c r="W314" i="2" s="1"/>
  <c r="Z314" i="2" s="1"/>
  <c r="T319" i="2"/>
  <c r="W319" i="2" s="1"/>
  <c r="Z319" i="2" s="1"/>
  <c r="T323" i="2"/>
  <c r="W323" i="2" s="1"/>
  <c r="Z323" i="2" s="1"/>
  <c r="T327" i="2"/>
  <c r="W327" i="2" s="1"/>
  <c r="Z327" i="2" s="1"/>
  <c r="T331" i="2"/>
  <c r="W331" i="2" s="1"/>
  <c r="Z331" i="2" s="1"/>
  <c r="T335" i="2"/>
  <c r="W335" i="2" s="1"/>
  <c r="Z335" i="2" s="1"/>
  <c r="T340" i="2"/>
  <c r="T344" i="2"/>
  <c r="W344" i="2" s="1"/>
  <c r="Z344" i="2" s="1"/>
  <c r="T348" i="2"/>
  <c r="T343" i="2"/>
  <c r="W343" i="2" s="1"/>
  <c r="Z343" i="2" s="1"/>
  <c r="T347" i="2"/>
  <c r="T345" i="2"/>
  <c r="W345" i="2" s="1"/>
  <c r="Z345" i="2" s="1"/>
  <c r="T342" i="2"/>
  <c r="W342" i="2" s="1"/>
  <c r="Z342" i="2" s="1"/>
  <c r="T341" i="2"/>
  <c r="W341" i="2" s="1"/>
  <c r="Z341" i="2" s="1"/>
  <c r="T338" i="2"/>
  <c r="W338" i="2" s="1"/>
  <c r="Z338" i="2" s="1"/>
  <c r="T339" i="2"/>
  <c r="W339" i="2" s="1"/>
  <c r="Z339" i="2" s="1"/>
  <c r="T332" i="2"/>
  <c r="W332" i="2" s="1"/>
  <c r="Z332" i="2" s="1"/>
  <c r="T336" i="2"/>
  <c r="W336" i="2" s="1"/>
  <c r="Z336" i="2" s="1"/>
  <c r="T333" i="2"/>
  <c r="W333" i="2" s="1"/>
  <c r="Z333" i="2" s="1"/>
  <c r="T334" i="2"/>
  <c r="W334" i="2" s="1"/>
  <c r="Z334" i="2" s="1"/>
  <c r="T320" i="2"/>
  <c r="W320" i="2" s="1"/>
  <c r="Z320" i="2" s="1"/>
  <c r="T324" i="2"/>
  <c r="W324" i="2" s="1"/>
  <c r="Z324" i="2" s="1"/>
  <c r="T328" i="2"/>
  <c r="W328" i="2" s="1"/>
  <c r="Z328" i="2" s="1"/>
  <c r="T321" i="2"/>
  <c r="W321" i="2" s="1"/>
  <c r="Z321" i="2" s="1"/>
  <c r="T325" i="2"/>
  <c r="W325" i="2" s="1"/>
  <c r="Z325" i="2" s="1"/>
  <c r="T329" i="2"/>
  <c r="W329" i="2" s="1"/>
  <c r="Z329" i="2" s="1"/>
  <c r="T330" i="2"/>
  <c r="W330" i="2" s="1"/>
  <c r="Z330" i="2" s="1"/>
  <c r="T318" i="2"/>
  <c r="W318" i="2" s="1"/>
  <c r="Z318" i="2" s="1"/>
  <c r="T322" i="2"/>
  <c r="W322" i="2" s="1"/>
  <c r="Z322" i="2" s="1"/>
  <c r="T326" i="2"/>
  <c r="W326" i="2" s="1"/>
  <c r="Z326" i="2" s="1"/>
  <c r="T316" i="2"/>
  <c r="W316" i="2" s="1"/>
  <c r="Z316" i="2" s="1"/>
  <c r="T317" i="2"/>
  <c r="W317" i="2" s="1"/>
  <c r="Z317" i="2" s="1"/>
  <c r="T303" i="2"/>
  <c r="T307" i="2"/>
  <c r="W307" i="2" s="1"/>
  <c r="Z307" i="2" s="1"/>
  <c r="T311" i="2"/>
  <c r="W311" i="2" s="1"/>
  <c r="Z311" i="2" s="1"/>
  <c r="T309" i="2"/>
  <c r="W309" i="2" s="1"/>
  <c r="Z309" i="2" s="1"/>
  <c r="T313" i="2"/>
  <c r="W313" i="2" s="1"/>
  <c r="Z313" i="2" s="1"/>
  <c r="T312" i="2"/>
  <c r="W312" i="2" s="1"/>
  <c r="Z312" i="2" s="1"/>
  <c r="T304" i="2"/>
  <c r="W304" i="2" s="1"/>
  <c r="Z304" i="2" s="1"/>
  <c r="T308" i="2"/>
  <c r="W308" i="2" s="1"/>
  <c r="Z308" i="2" s="1"/>
  <c r="T301" i="2"/>
  <c r="W301" i="2" s="1"/>
  <c r="Z301" i="2" s="1"/>
  <c r="T305" i="2"/>
  <c r="W305" i="2" s="1"/>
  <c r="Z305" i="2" s="1"/>
  <c r="T299" i="2"/>
  <c r="T300" i="2"/>
  <c r="T297" i="2"/>
  <c r="T289" i="2"/>
  <c r="T294" i="2"/>
  <c r="T295" i="2"/>
  <c r="T296" i="2"/>
  <c r="T293" i="2"/>
  <c r="T292" i="2"/>
  <c r="T291" i="2"/>
  <c r="T288" i="2"/>
  <c r="W288" i="2" s="1"/>
  <c r="Z288" i="2" s="1"/>
  <c r="T286" i="2"/>
  <c r="W286" i="2" s="1"/>
  <c r="Z286" i="2" s="1"/>
  <c r="T287" i="2"/>
  <c r="W287" i="2" s="1"/>
  <c r="Z287" i="2" s="1"/>
  <c r="T277" i="2"/>
  <c r="W277" i="2" s="1"/>
  <c r="Z277" i="2" s="1"/>
  <c r="T281" i="2"/>
  <c r="W281" i="2" s="1"/>
  <c r="Z281" i="2" s="1"/>
  <c r="T285" i="2"/>
  <c r="W285" i="2" s="1"/>
  <c r="Z285" i="2" s="1"/>
  <c r="T284" i="2"/>
  <c r="W284" i="2" s="1"/>
  <c r="Z284" i="2" s="1"/>
  <c r="T282" i="2"/>
  <c r="W282" i="2" s="1"/>
  <c r="Z282" i="2" s="1"/>
  <c r="T279" i="2"/>
  <c r="W279" i="2" s="1"/>
  <c r="Z279" i="2" s="1"/>
  <c r="T283" i="2"/>
  <c r="W283" i="2" s="1"/>
  <c r="Z283" i="2" s="1"/>
  <c r="T276" i="2"/>
  <c r="T280" i="2"/>
  <c r="W280" i="2" s="1"/>
  <c r="Z280" i="2" s="1"/>
  <c r="T278" i="2"/>
  <c r="W278" i="2" s="1"/>
  <c r="Z278" i="2" s="1"/>
  <c r="T270" i="2"/>
  <c r="W270" i="2" s="1"/>
  <c r="Z270" i="2" s="1"/>
  <c r="T274" i="2"/>
  <c r="W274" i="2" s="1"/>
  <c r="Z274" i="2" s="1"/>
  <c r="T271" i="2"/>
  <c r="W271" i="2" s="1"/>
  <c r="Z271" i="2" s="1"/>
  <c r="T275" i="2"/>
  <c r="W275" i="2" s="1"/>
  <c r="Z275" i="2" s="1"/>
  <c r="T273" i="2"/>
  <c r="W273" i="2" s="1"/>
  <c r="Z273" i="2" s="1"/>
  <c r="T260" i="2"/>
  <c r="W260" i="2" s="1"/>
  <c r="Z260" i="2" s="1"/>
  <c r="T264" i="2"/>
  <c r="W264" i="2" s="1"/>
  <c r="Z264" i="2" s="1"/>
  <c r="T268" i="2"/>
  <c r="W268" i="2" s="1"/>
  <c r="Z268" i="2" s="1"/>
  <c r="T272" i="2"/>
  <c r="W272" i="2" s="1"/>
  <c r="Z272" i="2" s="1"/>
  <c r="T219" i="2"/>
  <c r="W219" i="2" s="1"/>
  <c r="Z219" i="2" s="1"/>
  <c r="T223" i="2"/>
  <c r="W223" i="2" s="1"/>
  <c r="Z223" i="2" s="1"/>
  <c r="T228" i="2"/>
  <c r="W228" i="2" s="1"/>
  <c r="Z228" i="2" s="1"/>
  <c r="T233" i="2"/>
  <c r="W233" i="2" s="1"/>
  <c r="Z233" i="2" s="1"/>
  <c r="T237" i="2"/>
  <c r="W237" i="2" s="1"/>
  <c r="Z237" i="2" s="1"/>
  <c r="T241" i="2"/>
  <c r="W241" i="2" s="1"/>
  <c r="Z241" i="2" s="1"/>
  <c r="T245" i="2"/>
  <c r="W245" i="2" s="1"/>
  <c r="Z245" i="2" s="1"/>
  <c r="T249" i="2"/>
  <c r="T253" i="2"/>
  <c r="T257" i="2"/>
  <c r="W257" i="2" s="1"/>
  <c r="Z257" i="2" s="1"/>
  <c r="T261" i="2"/>
  <c r="W261" i="2" s="1"/>
  <c r="Z261" i="2" s="1"/>
  <c r="T265" i="2"/>
  <c r="W265" i="2" s="1"/>
  <c r="Z265" i="2" s="1"/>
  <c r="T269" i="2"/>
  <c r="W269" i="2" s="1"/>
  <c r="Z269" i="2" s="1"/>
  <c r="T234" i="2"/>
  <c r="W234" i="2" s="1"/>
  <c r="Z234" i="2" s="1"/>
  <c r="T238" i="2"/>
  <c r="W238" i="2" s="1"/>
  <c r="Z238" i="2" s="1"/>
  <c r="T242" i="2"/>
  <c r="W242" i="2" s="1"/>
  <c r="Z242" i="2" s="1"/>
  <c r="T246" i="2"/>
  <c r="W246" i="2" s="1"/>
  <c r="Z246" i="2" s="1"/>
  <c r="T250" i="2"/>
  <c r="T254" i="2"/>
  <c r="W254" i="2" s="1"/>
  <c r="Z254" i="2" s="1"/>
  <c r="T258" i="2"/>
  <c r="W258" i="2" s="1"/>
  <c r="Z258" i="2" s="1"/>
  <c r="T262" i="2"/>
  <c r="W262" i="2" s="1"/>
  <c r="Z262" i="2" s="1"/>
  <c r="T266" i="2"/>
  <c r="W266" i="2" s="1"/>
  <c r="Z266" i="2" s="1"/>
  <c r="T263" i="2"/>
  <c r="W263" i="2" s="1"/>
  <c r="Z263" i="2" s="1"/>
  <c r="T267" i="2"/>
  <c r="W267" i="2" s="1"/>
  <c r="Z267" i="2" s="1"/>
  <c r="T247" i="2"/>
  <c r="W247" i="2" s="1"/>
  <c r="Z247" i="2" s="1"/>
  <c r="T251" i="2"/>
  <c r="T255" i="2"/>
  <c r="W255" i="2" s="1"/>
  <c r="Z255" i="2" s="1"/>
  <c r="T259" i="2"/>
  <c r="W259" i="2" s="1"/>
  <c r="Z259" i="2" s="1"/>
  <c r="T248" i="2"/>
  <c r="T252" i="2"/>
  <c r="T256" i="2"/>
  <c r="W256" i="2" s="1"/>
  <c r="Z256" i="2" s="1"/>
  <c r="T243" i="2"/>
  <c r="W243" i="2" s="1"/>
  <c r="Z243" i="2" s="1"/>
  <c r="T244" i="2"/>
  <c r="W244" i="2" s="1"/>
  <c r="Z244" i="2" s="1"/>
  <c r="T239" i="2"/>
  <c r="W239" i="2" s="1"/>
  <c r="Z239" i="2" s="1"/>
  <c r="T240" i="2"/>
  <c r="W240" i="2" s="1"/>
  <c r="Z240" i="2" s="1"/>
  <c r="T235" i="2"/>
  <c r="W235" i="2" s="1"/>
  <c r="Z235" i="2" s="1"/>
  <c r="T232" i="2"/>
  <c r="W232" i="2" s="1"/>
  <c r="Z232" i="2" s="1"/>
  <c r="T236" i="2"/>
  <c r="W236" i="2" s="1"/>
  <c r="Z236" i="2" s="1"/>
  <c r="T224" i="2"/>
  <c r="W224" i="2" s="1"/>
  <c r="Z224" i="2" s="1"/>
  <c r="T230" i="2"/>
  <c r="W230" i="2" s="1"/>
  <c r="Z230" i="2" s="1"/>
  <c r="T197" i="2"/>
  <c r="T201" i="2"/>
  <c r="W201" i="2" s="1"/>
  <c r="Z201" i="2" s="1"/>
  <c r="T205" i="2"/>
  <c r="W205" i="2" s="1"/>
  <c r="Z205" i="2" s="1"/>
  <c r="T209" i="2"/>
  <c r="W209" i="2" s="1"/>
  <c r="Z209" i="2" s="1"/>
  <c r="T213" i="2"/>
  <c r="W213" i="2" s="1"/>
  <c r="Z213" i="2" s="1"/>
  <c r="T217" i="2"/>
  <c r="W217" i="2" s="1"/>
  <c r="Z217" i="2" s="1"/>
  <c r="T221" i="2"/>
  <c r="W221" i="2" s="1"/>
  <c r="Z221" i="2" s="1"/>
  <c r="T226" i="2"/>
  <c r="W226" i="2" s="1"/>
  <c r="Z226" i="2" s="1"/>
  <c r="T231" i="2"/>
  <c r="W231" i="2" s="1"/>
  <c r="Z231" i="2" s="1"/>
  <c r="T227" i="2"/>
  <c r="W227" i="2" s="1"/>
  <c r="Z227" i="2" s="1"/>
  <c r="T218" i="2"/>
  <c r="W218" i="2" s="1"/>
  <c r="Z218" i="2" s="1"/>
  <c r="T222" i="2"/>
  <c r="W222" i="2" s="1"/>
  <c r="Z222" i="2" s="1"/>
  <c r="T220" i="2"/>
  <c r="W220" i="2" s="1"/>
  <c r="Z220" i="2" s="1"/>
  <c r="T211" i="2"/>
  <c r="W211" i="2" s="1"/>
  <c r="Z211" i="2" s="1"/>
  <c r="T215" i="2"/>
  <c r="W215" i="2" s="1"/>
  <c r="Z215" i="2" s="1"/>
  <c r="T196" i="2"/>
  <c r="T200" i="2"/>
  <c r="W200" i="2" s="1"/>
  <c r="Z200" i="2" s="1"/>
  <c r="T204" i="2"/>
  <c r="W204" i="2" s="1"/>
  <c r="Z204" i="2" s="1"/>
  <c r="T208" i="2"/>
  <c r="W208" i="2" s="1"/>
  <c r="Z208" i="2" s="1"/>
  <c r="T212" i="2"/>
  <c r="W212" i="2" s="1"/>
  <c r="Z212" i="2" s="1"/>
  <c r="T216" i="2"/>
  <c r="W216" i="2" s="1"/>
  <c r="Z216" i="2" s="1"/>
  <c r="T210" i="2"/>
  <c r="T214" i="2"/>
  <c r="W214" i="2" s="1"/>
  <c r="Z214" i="2" s="1"/>
  <c r="T199" i="2"/>
  <c r="W199" i="2" s="1"/>
  <c r="Z199" i="2" s="1"/>
  <c r="T203" i="2"/>
  <c r="W203" i="2" s="1"/>
  <c r="Z203" i="2" s="1"/>
  <c r="T207" i="2"/>
  <c r="W207" i="2" s="1"/>
  <c r="Z207" i="2" s="1"/>
  <c r="T198" i="2"/>
  <c r="W198" i="2" s="1"/>
  <c r="Z198" i="2" s="1"/>
  <c r="T202" i="2"/>
  <c r="W202" i="2" s="1"/>
  <c r="Z202" i="2" s="1"/>
  <c r="T206" i="2"/>
  <c r="T194" i="2"/>
  <c r="T187" i="2"/>
  <c r="T191" i="2"/>
  <c r="T195" i="2"/>
  <c r="T188" i="2"/>
  <c r="T192" i="2"/>
  <c r="T189" i="2"/>
  <c r="T193" i="2"/>
  <c r="T186" i="2"/>
  <c r="T190" i="2"/>
  <c r="T184" i="2"/>
  <c r="T185" i="2"/>
  <c r="T162" i="2"/>
  <c r="W162" i="2" s="1"/>
  <c r="Z162" i="2" s="1"/>
  <c r="T166" i="2"/>
  <c r="T170" i="2"/>
  <c r="T174" i="2"/>
  <c r="T179" i="2"/>
  <c r="T183" i="2"/>
  <c r="T182" i="2"/>
  <c r="T181" i="2"/>
  <c r="T180" i="2"/>
  <c r="T172" i="2"/>
  <c r="T177" i="2"/>
  <c r="T171" i="2"/>
  <c r="T176" i="2"/>
  <c r="T161" i="2"/>
  <c r="T165" i="2"/>
  <c r="T169" i="2"/>
  <c r="T173" i="2"/>
  <c r="T178" i="2"/>
  <c r="T159" i="2"/>
  <c r="T163" i="2"/>
  <c r="T167" i="2"/>
  <c r="T156" i="2"/>
  <c r="W156" i="2" s="1"/>
  <c r="Z156" i="2" s="1"/>
  <c r="T160" i="2"/>
  <c r="T164" i="2"/>
  <c r="T168" i="2"/>
  <c r="T138" i="2"/>
  <c r="T142" i="2"/>
  <c r="T146" i="2"/>
  <c r="T150" i="2"/>
  <c r="W150" i="2" s="1"/>
  <c r="Z150" i="2" s="1"/>
  <c r="T154" i="2"/>
  <c r="W154" i="2" s="1"/>
  <c r="Z154" i="2" s="1"/>
  <c r="T158" i="2"/>
  <c r="T157" i="2"/>
  <c r="W157" i="2" s="1"/>
  <c r="Z157" i="2" s="1"/>
  <c r="T151" i="2"/>
  <c r="W151" i="2" s="1"/>
  <c r="Z151" i="2" s="1"/>
  <c r="T155" i="2"/>
  <c r="W155" i="2" s="1"/>
  <c r="Z155" i="2" s="1"/>
  <c r="T152" i="2"/>
  <c r="W152" i="2" s="1"/>
  <c r="Z152" i="2" s="1"/>
  <c r="T149" i="2"/>
  <c r="W149" i="2" s="1"/>
  <c r="Z149" i="2" s="1"/>
  <c r="T153" i="2"/>
  <c r="W153" i="2" s="1"/>
  <c r="Z153" i="2" s="1"/>
  <c r="T148" i="2"/>
  <c r="T139" i="2"/>
  <c r="T143" i="2"/>
  <c r="T147" i="2"/>
  <c r="T132" i="2"/>
  <c r="T136" i="2"/>
  <c r="W136" i="2" s="1"/>
  <c r="Z136" i="2" s="1"/>
  <c r="T140" i="2"/>
  <c r="T144" i="2"/>
  <c r="T145" i="2"/>
  <c r="T141" i="2"/>
  <c r="W141" i="2" s="1"/>
  <c r="Z141" i="2" s="1"/>
  <c r="T137" i="2"/>
  <c r="T102" i="2"/>
  <c r="W102" i="2" s="1"/>
  <c r="Z102" i="2" s="1"/>
  <c r="T106" i="2"/>
  <c r="W106" i="2" s="1"/>
  <c r="Z106" i="2" s="1"/>
  <c r="T110" i="2"/>
  <c r="W110" i="2" s="1"/>
  <c r="Z110" i="2" s="1"/>
  <c r="T114" i="2"/>
  <c r="T118" i="2"/>
  <c r="W118" i="2" s="1"/>
  <c r="Z118" i="2" s="1"/>
  <c r="T122" i="2"/>
  <c r="W122" i="2" s="1"/>
  <c r="Z122" i="2" s="1"/>
  <c r="T126" i="2"/>
  <c r="W126" i="2" s="1"/>
  <c r="Z126" i="2" s="1"/>
  <c r="T130" i="2"/>
  <c r="W130" i="2" s="1"/>
  <c r="Z130" i="2" s="1"/>
  <c r="T134" i="2"/>
  <c r="W134" i="2" s="1"/>
  <c r="Z134" i="2" s="1"/>
  <c r="T135" i="2"/>
  <c r="W135" i="2" s="1"/>
  <c r="Z135" i="2" s="1"/>
  <c r="T133" i="2"/>
  <c r="T131" i="2"/>
  <c r="T123" i="2"/>
  <c r="W123" i="2" s="1"/>
  <c r="Z123" i="2" s="1"/>
  <c r="T127" i="2"/>
  <c r="T124" i="2"/>
  <c r="W124" i="2" s="1"/>
  <c r="Z124" i="2" s="1"/>
  <c r="T128" i="2"/>
  <c r="W128" i="2" s="1"/>
  <c r="Z128" i="2" s="1"/>
  <c r="T125" i="2"/>
  <c r="W125" i="2" s="1"/>
  <c r="Z125" i="2" s="1"/>
  <c r="T129" i="2"/>
  <c r="W129" i="2" s="1"/>
  <c r="Z129" i="2" s="1"/>
  <c r="T121" i="2"/>
  <c r="W121" i="2" s="1"/>
  <c r="Z121" i="2" s="1"/>
  <c r="T120" i="2"/>
  <c r="W120" i="2" s="1"/>
  <c r="Z120" i="2" s="1"/>
  <c r="T119" i="2"/>
  <c r="W119" i="2" s="1"/>
  <c r="Z119" i="2" s="1"/>
  <c r="T103" i="2"/>
  <c r="W103" i="2" s="1"/>
  <c r="Z103" i="2" s="1"/>
  <c r="T107" i="2"/>
  <c r="W107" i="2" s="1"/>
  <c r="Z107" i="2" s="1"/>
  <c r="T111" i="2"/>
  <c r="W111" i="2" s="1"/>
  <c r="Z111" i="2" s="1"/>
  <c r="T115" i="2"/>
  <c r="T104" i="2"/>
  <c r="W104" i="2" s="1"/>
  <c r="Z104" i="2" s="1"/>
  <c r="T108" i="2"/>
  <c r="W108" i="2" s="1"/>
  <c r="Z108" i="2" s="1"/>
  <c r="T112" i="2"/>
  <c r="W112" i="2" s="1"/>
  <c r="Z112" i="2" s="1"/>
  <c r="T116" i="2"/>
  <c r="T101" i="2"/>
  <c r="W101" i="2" s="1"/>
  <c r="Z101" i="2" s="1"/>
  <c r="T105" i="2"/>
  <c r="W105" i="2" s="1"/>
  <c r="Z105" i="2" s="1"/>
  <c r="T109" i="2"/>
  <c r="W109" i="2" s="1"/>
  <c r="Z109" i="2" s="1"/>
  <c r="T113" i="2"/>
  <c r="T117" i="2"/>
  <c r="W117" i="2" s="1"/>
  <c r="Z117" i="2" s="1"/>
  <c r="T98" i="2"/>
  <c r="W98" i="2" s="1"/>
  <c r="Z98" i="2" s="1"/>
  <c r="T100" i="2"/>
  <c r="T99" i="2"/>
  <c r="T96" i="2"/>
  <c r="W96" i="2" s="1"/>
  <c r="Z96" i="2" s="1"/>
  <c r="T97" i="2"/>
  <c r="W97" i="2" s="1"/>
  <c r="Z97" i="2" s="1"/>
  <c r="T86" i="2"/>
  <c r="W86" i="2" s="1"/>
  <c r="Z86" i="2" s="1"/>
  <c r="T90" i="2"/>
  <c r="W90" i="2" s="1"/>
  <c r="Z90" i="2" s="1"/>
  <c r="T94" i="2"/>
  <c r="W94" i="2" s="1"/>
  <c r="Z94" i="2" s="1"/>
  <c r="T95" i="2"/>
  <c r="W95" i="2" s="1"/>
  <c r="Z95" i="2" s="1"/>
  <c r="T89" i="2"/>
  <c r="W89" i="2" s="1"/>
  <c r="Z89" i="2" s="1"/>
  <c r="T93" i="2"/>
  <c r="W93" i="2" s="1"/>
  <c r="Z93" i="2" s="1"/>
  <c r="T92" i="2"/>
  <c r="W92" i="2" s="1"/>
  <c r="Z92" i="2" s="1"/>
  <c r="T91" i="2"/>
  <c r="W91" i="2" s="1"/>
  <c r="Z91" i="2" s="1"/>
  <c r="T87" i="2"/>
  <c r="W87" i="2" s="1"/>
  <c r="Z87" i="2" s="1"/>
  <c r="T84" i="2"/>
  <c r="W84" i="2" s="1"/>
  <c r="Z84" i="2" s="1"/>
  <c r="T88" i="2"/>
  <c r="W88" i="2" s="1"/>
  <c r="Z88" i="2" s="1"/>
  <c r="T85" i="2"/>
  <c r="T69" i="2"/>
  <c r="T73" i="2"/>
  <c r="W73" i="2" s="1"/>
  <c r="Z73" i="2" s="1"/>
  <c r="T77" i="2"/>
  <c r="W77" i="2" s="1"/>
  <c r="Z77" i="2" s="1"/>
  <c r="T82" i="2"/>
  <c r="W82" i="2" s="1"/>
  <c r="Z82" i="2" s="1"/>
  <c r="T70" i="2"/>
  <c r="T74" i="2"/>
  <c r="W74" i="2" s="1"/>
  <c r="Z74" i="2" s="1"/>
  <c r="T78" i="2"/>
  <c r="W78" i="2" s="1"/>
  <c r="Z78" i="2" s="1"/>
  <c r="T83" i="2"/>
  <c r="W83" i="2" s="1"/>
  <c r="Z83" i="2" s="1"/>
  <c r="T67" i="2"/>
  <c r="W67" i="2" s="1"/>
  <c r="Z67" i="2" s="1"/>
  <c r="T71" i="2"/>
  <c r="T75" i="2"/>
  <c r="T79" i="2"/>
  <c r="W79" i="2" s="1"/>
  <c r="Z79" i="2" s="1"/>
  <c r="T76" i="2"/>
  <c r="W76" i="2" s="1"/>
  <c r="Z76" i="2" s="1"/>
  <c r="T81" i="2"/>
  <c r="W81" i="2" s="1"/>
  <c r="Z81" i="2" s="1"/>
  <c r="T68" i="2"/>
  <c r="W68" i="2" s="1"/>
  <c r="Z68" i="2" s="1"/>
  <c r="T72" i="2"/>
  <c r="W72" i="2" s="1"/>
  <c r="Z72" i="2" s="1"/>
  <c r="T42" i="2"/>
  <c r="T46" i="2"/>
  <c r="W46" i="2" s="1"/>
  <c r="Z46" i="2" s="1"/>
  <c r="T50" i="2"/>
  <c r="W50" i="2" s="1"/>
  <c r="Z50" i="2" s="1"/>
  <c r="T57" i="2"/>
  <c r="W57" i="2" s="1"/>
  <c r="Z57" i="2" s="1"/>
  <c r="T61" i="2"/>
  <c r="W61" i="2" s="1"/>
  <c r="Z61" i="2" s="1"/>
  <c r="T65" i="2"/>
  <c r="W65" i="2" s="1"/>
  <c r="Z65" i="2" s="1"/>
  <c r="T66" i="2"/>
  <c r="T47" i="2"/>
  <c r="W47" i="2" s="1"/>
  <c r="Z47" i="2" s="1"/>
  <c r="T51" i="2"/>
  <c r="W51" i="2" s="1"/>
  <c r="Z51" i="2" s="1"/>
  <c r="T54" i="2"/>
  <c r="W54" i="2" s="1"/>
  <c r="Z54" i="2" s="1"/>
  <c r="T58" i="2"/>
  <c r="W58" i="2" s="1"/>
  <c r="Z58" i="2" s="1"/>
  <c r="T62" i="2"/>
  <c r="W62" i="2" s="1"/>
  <c r="Z62" i="2" s="1"/>
  <c r="T48" i="2"/>
  <c r="W48" i="2" s="1"/>
  <c r="Z48" i="2" s="1"/>
  <c r="T52" i="2"/>
  <c r="T55" i="2"/>
  <c r="W55" i="2" s="1"/>
  <c r="Z55" i="2" s="1"/>
  <c r="T59" i="2"/>
  <c r="W59" i="2" s="1"/>
  <c r="Z59" i="2" s="1"/>
  <c r="T63" i="2"/>
  <c r="W63" i="2" s="1"/>
  <c r="Z63" i="2" s="1"/>
  <c r="T49" i="2"/>
  <c r="W49" i="2" s="1"/>
  <c r="Z49" i="2" s="1"/>
  <c r="T53" i="2"/>
  <c r="T56" i="2"/>
  <c r="T60" i="2"/>
  <c r="W60" i="2" s="1"/>
  <c r="Z60" i="2" s="1"/>
  <c r="T64" i="2"/>
  <c r="W64" i="2" s="1"/>
  <c r="Z64" i="2" s="1"/>
  <c r="T44" i="2"/>
  <c r="W44" i="2" s="1"/>
  <c r="Z44" i="2" s="1"/>
  <c r="T45" i="2"/>
  <c r="W45" i="2" s="1"/>
  <c r="Z45" i="2" s="1"/>
  <c r="T20" i="2"/>
  <c r="T26" i="2"/>
  <c r="W26" i="2" s="1"/>
  <c r="Z26" i="2" s="1"/>
  <c r="T30" i="2"/>
  <c r="W30" i="2" s="1"/>
  <c r="Z30" i="2" s="1"/>
  <c r="T34" i="2"/>
  <c r="T38" i="2"/>
  <c r="T43" i="2"/>
  <c r="W43" i="2" s="1"/>
  <c r="Z43" i="2" s="1"/>
  <c r="T31" i="2"/>
  <c r="W31" i="2" s="1"/>
  <c r="Z31" i="2" s="1"/>
  <c r="T35" i="2"/>
  <c r="W35" i="2" s="1"/>
  <c r="Z35" i="2" s="1"/>
  <c r="T39" i="2"/>
  <c r="T40" i="2"/>
  <c r="T36" i="2"/>
  <c r="T29" i="2"/>
  <c r="W29" i="2" s="1"/>
  <c r="Z29" i="2" s="1"/>
  <c r="T33" i="2"/>
  <c r="W33" i="2" s="1"/>
  <c r="Z33" i="2" s="1"/>
  <c r="T37" i="2"/>
  <c r="T28" i="2"/>
  <c r="W28" i="2" s="1"/>
  <c r="Z28" i="2" s="1"/>
  <c r="T32" i="2"/>
  <c r="T15" i="2"/>
  <c r="T19" i="2"/>
  <c r="W19" i="2" s="1"/>
  <c r="Z19" i="2" s="1"/>
  <c r="T25" i="2"/>
  <c r="W25" i="2" s="1"/>
  <c r="Z25" i="2" s="1"/>
  <c r="T27" i="2"/>
  <c r="W27" i="2" s="1"/>
  <c r="Z27" i="2" s="1"/>
  <c r="T23" i="2"/>
  <c r="W23" i="2" s="1"/>
  <c r="Z23" i="2" s="1"/>
  <c r="T18" i="2"/>
  <c r="T24" i="2"/>
  <c r="W24" i="2" s="1"/>
  <c r="Z24" i="2" s="1"/>
  <c r="T8" i="2"/>
  <c r="W8" i="2" s="1"/>
  <c r="Z8" i="2" s="1"/>
  <c r="T12" i="2"/>
  <c r="T16" i="2"/>
  <c r="T13" i="2"/>
  <c r="W13" i="2" s="1"/>
  <c r="Z13" i="2" s="1"/>
  <c r="T17" i="2"/>
  <c r="T7" i="2"/>
  <c r="W7" i="2" s="1"/>
  <c r="Z7" i="2" s="1"/>
  <c r="T11" i="2"/>
  <c r="T14" i="2"/>
  <c r="T9" i="2"/>
  <c r="T10" i="2"/>
  <c r="T6" i="2"/>
  <c r="O1067" i="2"/>
  <c r="O1071" i="2"/>
  <c r="O1075" i="2"/>
  <c r="O1079" i="2"/>
  <c r="O1083" i="2"/>
  <c r="O1087" i="2"/>
  <c r="O1091" i="2"/>
  <c r="O1095" i="2"/>
  <c r="O1102" i="2"/>
  <c r="O1032" i="2"/>
  <c r="O1036" i="2"/>
  <c r="O1040" i="2"/>
  <c r="O1044" i="2"/>
  <c r="O1048" i="2"/>
  <c r="O1052" i="2"/>
  <c r="O1056" i="2"/>
  <c r="O1060" i="2"/>
  <c r="O1064" i="2"/>
  <c r="O1068" i="2"/>
  <c r="O1072" i="2"/>
  <c r="O1076" i="2"/>
  <c r="O1080" i="2"/>
  <c r="O1084" i="2"/>
  <c r="O1088" i="2"/>
  <c r="O1092" i="2"/>
  <c r="O1096" i="2"/>
  <c r="O1097" i="2"/>
  <c r="O1098" i="2"/>
  <c r="O1094" i="2"/>
  <c r="O1093" i="2"/>
  <c r="O1090" i="2"/>
  <c r="O1077" i="2"/>
  <c r="O1081" i="2"/>
  <c r="O1085" i="2"/>
  <c r="O1089" i="2"/>
  <c r="O1082" i="2"/>
  <c r="O1086" i="2"/>
  <c r="O1078" i="2"/>
  <c r="O1073" i="2"/>
  <c r="O1074" i="2"/>
  <c r="O1070" i="2"/>
  <c r="O1053" i="2"/>
  <c r="O1057" i="2"/>
  <c r="O1061" i="2"/>
  <c r="O1065" i="2"/>
  <c r="O1069" i="2"/>
  <c r="O1062" i="2"/>
  <c r="O1066" i="2"/>
  <c r="O1063" i="2"/>
  <c r="O1058" i="2"/>
  <c r="O1007" i="2"/>
  <c r="O1011" i="2"/>
  <c r="O1015" i="2"/>
  <c r="O1019" i="2"/>
  <c r="O1023" i="2"/>
  <c r="O1027" i="2"/>
  <c r="O1031" i="2"/>
  <c r="O1035" i="2"/>
  <c r="O1039" i="2"/>
  <c r="O1043" i="2"/>
  <c r="O1047" i="2"/>
  <c r="O1051" i="2"/>
  <c r="O1055" i="2"/>
  <c r="O1059" i="2"/>
  <c r="O1054" i="2"/>
  <c r="O1050" i="2"/>
  <c r="O1045" i="2"/>
  <c r="O1049" i="2"/>
  <c r="O1046" i="2"/>
  <c r="O1042" i="2"/>
  <c r="O1041" i="2"/>
  <c r="O1037" i="2"/>
  <c r="O1034" i="2"/>
  <c r="O1038" i="2"/>
  <c r="O1033" i="2"/>
  <c r="O952" i="2"/>
  <c r="O956" i="2"/>
  <c r="O960" i="2"/>
  <c r="O964" i="2"/>
  <c r="O968" i="2"/>
  <c r="O972" i="2"/>
  <c r="O976" i="2"/>
  <c r="O980" i="2"/>
  <c r="O984" i="2"/>
  <c r="O988" i="2"/>
  <c r="O992" i="2"/>
  <c r="O996" i="2"/>
  <c r="O1000" i="2"/>
  <c r="O1004" i="2"/>
  <c r="O1008" i="2"/>
  <c r="O1012" i="2"/>
  <c r="O1016" i="2"/>
  <c r="O1020" i="2"/>
  <c r="O1024" i="2"/>
  <c r="O1028" i="2"/>
  <c r="O1017" i="2"/>
  <c r="O1021" i="2"/>
  <c r="O1025" i="2"/>
  <c r="O1029" i="2"/>
  <c r="O1030" i="2"/>
  <c r="O1026" i="2"/>
  <c r="O1013" i="2"/>
  <c r="O1022" i="2"/>
  <c r="O1018" i="2"/>
  <c r="O1010" i="2"/>
  <c r="O1014" i="2"/>
  <c r="O977" i="2"/>
  <c r="O981" i="2"/>
  <c r="O985" i="2"/>
  <c r="O989" i="2"/>
  <c r="O993" i="2"/>
  <c r="O997" i="2"/>
  <c r="O1001" i="2"/>
  <c r="O1005" i="2"/>
  <c r="O1009" i="2"/>
  <c r="O998" i="2"/>
  <c r="O1002" i="2"/>
  <c r="O1006" i="2"/>
  <c r="O947" i="2"/>
  <c r="O951" i="2"/>
  <c r="O955" i="2"/>
  <c r="O959" i="2"/>
  <c r="O963" i="2"/>
  <c r="O967" i="2"/>
  <c r="O971" i="2"/>
  <c r="O975" i="2"/>
  <c r="O979" i="2"/>
  <c r="O983" i="2"/>
  <c r="O987" i="2"/>
  <c r="O991" i="2"/>
  <c r="O995" i="2"/>
  <c r="O999" i="2"/>
  <c r="O1003" i="2"/>
  <c r="O994" i="2"/>
  <c r="O990" i="2"/>
  <c r="O986" i="2"/>
  <c r="O978" i="2"/>
  <c r="O982" i="2"/>
  <c r="O974" i="2"/>
  <c r="O969" i="2"/>
  <c r="O973" i="2"/>
  <c r="O966" i="2"/>
  <c r="O970" i="2"/>
  <c r="O965" i="2"/>
  <c r="O957" i="2"/>
  <c r="O961" i="2"/>
  <c r="O958" i="2"/>
  <c r="O962" i="2"/>
  <c r="O949" i="2"/>
  <c r="O953" i="2"/>
  <c r="O954" i="2"/>
  <c r="O946" i="2"/>
  <c r="O950" i="2"/>
  <c r="O920" i="2"/>
  <c r="O924" i="2"/>
  <c r="O928" i="2"/>
  <c r="O932" i="2"/>
  <c r="O936" i="2"/>
  <c r="O940" i="2"/>
  <c r="O944" i="2"/>
  <c r="O948" i="2"/>
  <c r="O945" i="2"/>
  <c r="O847" i="2"/>
  <c r="O851" i="2"/>
  <c r="O855" i="2"/>
  <c r="O859" i="2"/>
  <c r="O863" i="2"/>
  <c r="O867" i="2"/>
  <c r="O871" i="2"/>
  <c r="O875" i="2"/>
  <c r="O879" i="2"/>
  <c r="O883" i="2"/>
  <c r="O887" i="2"/>
  <c r="O891" i="2"/>
  <c r="O895" i="2"/>
  <c r="O899" i="2"/>
  <c r="O903" i="2"/>
  <c r="O907" i="2"/>
  <c r="O911" i="2"/>
  <c r="O915" i="2"/>
  <c r="O919" i="2"/>
  <c r="O923" i="2"/>
  <c r="O927" i="2"/>
  <c r="O931" i="2"/>
  <c r="O935" i="2"/>
  <c r="O939" i="2"/>
  <c r="O943" i="2"/>
  <c r="O941" i="2"/>
  <c r="O942" i="2"/>
  <c r="O937" i="2"/>
  <c r="O938" i="2"/>
  <c r="O934" i="2"/>
  <c r="O933" i="2"/>
  <c r="O930" i="2"/>
  <c r="O925" i="2"/>
  <c r="O929" i="2"/>
  <c r="O926" i="2"/>
  <c r="O921" i="2"/>
  <c r="O918" i="2"/>
  <c r="O922" i="2"/>
  <c r="O917" i="2"/>
  <c r="O896" i="2"/>
  <c r="O900" i="2"/>
  <c r="O904" i="2"/>
  <c r="O908" i="2"/>
  <c r="O912" i="2"/>
  <c r="O916" i="2"/>
  <c r="O914" i="2"/>
  <c r="O913" i="2"/>
  <c r="O910" i="2"/>
  <c r="O909" i="2"/>
  <c r="O906" i="2"/>
  <c r="O905" i="2"/>
  <c r="O897" i="2"/>
  <c r="O901" i="2"/>
  <c r="O902" i="2"/>
  <c r="O898" i="2"/>
  <c r="O893" i="2"/>
  <c r="O894" i="2"/>
  <c r="O872" i="2"/>
  <c r="O876" i="2"/>
  <c r="O880" i="2"/>
  <c r="O884" i="2"/>
  <c r="O888" i="2"/>
  <c r="O892" i="2"/>
  <c r="O885" i="2"/>
  <c r="O889" i="2"/>
  <c r="O886" i="2"/>
  <c r="O890" i="2"/>
  <c r="O877" i="2"/>
  <c r="O881" i="2"/>
  <c r="O882" i="2"/>
  <c r="O878" i="2"/>
  <c r="O873" i="2"/>
  <c r="O874" i="2"/>
  <c r="O870" i="2"/>
  <c r="O868" i="2"/>
  <c r="O869" i="2"/>
  <c r="O866" i="2"/>
  <c r="O848" i="2"/>
  <c r="O852" i="2"/>
  <c r="O856" i="2"/>
  <c r="O860" i="2"/>
  <c r="O864" i="2"/>
  <c r="O857" i="2"/>
  <c r="O861" i="2"/>
  <c r="O865" i="2"/>
  <c r="O862" i="2"/>
  <c r="O858" i="2"/>
  <c r="O842" i="2"/>
  <c r="O846" i="2"/>
  <c r="O850" i="2"/>
  <c r="O854" i="2"/>
  <c r="O841" i="2"/>
  <c r="O845" i="2"/>
  <c r="O849" i="2"/>
  <c r="O853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6" i="2"/>
  <c r="O840" i="2"/>
  <c r="O844" i="2"/>
  <c r="O819" i="2"/>
  <c r="O823" i="2"/>
  <c r="O827" i="2"/>
  <c r="O831" i="2"/>
  <c r="O835" i="2"/>
  <c r="O839" i="2"/>
  <c r="O843" i="2"/>
  <c r="O825" i="2"/>
  <c r="O829" i="2"/>
  <c r="O833" i="2"/>
  <c r="O837" i="2"/>
  <c r="O830" i="2"/>
  <c r="O834" i="2"/>
  <c r="O838" i="2"/>
  <c r="O826" i="2"/>
  <c r="O813" i="2"/>
  <c r="O817" i="2"/>
  <c r="O821" i="2"/>
  <c r="O822" i="2"/>
  <c r="O818" i="2"/>
  <c r="O783" i="2"/>
  <c r="O787" i="2"/>
  <c r="O791" i="2"/>
  <c r="O795" i="2"/>
  <c r="O799" i="2"/>
  <c r="O803" i="2"/>
  <c r="O807" i="2"/>
  <c r="O811" i="2"/>
  <c r="O815" i="2"/>
  <c r="O814" i="2"/>
  <c r="O793" i="2"/>
  <c r="O797" i="2"/>
  <c r="O801" i="2"/>
  <c r="O805" i="2"/>
  <c r="O809" i="2"/>
  <c r="O810" i="2"/>
  <c r="O802" i="2"/>
  <c r="O806" i="2"/>
  <c r="O794" i="2"/>
  <c r="O798" i="2"/>
  <c r="O790" i="2"/>
  <c r="O789" i="2"/>
  <c r="O786" i="2"/>
  <c r="O785" i="2"/>
  <c r="O765" i="2"/>
  <c r="O773" i="2"/>
  <c r="O777" i="2"/>
  <c r="O761" i="2"/>
  <c r="O769" i="2"/>
  <c r="O781" i="2"/>
  <c r="O782" i="2"/>
  <c r="O743" i="2"/>
  <c r="O747" i="2"/>
  <c r="O751" i="2"/>
  <c r="O755" i="2"/>
  <c r="O759" i="2"/>
  <c r="O763" i="2"/>
  <c r="O767" i="2"/>
  <c r="O771" i="2"/>
  <c r="O775" i="2"/>
  <c r="O779" i="2"/>
  <c r="O762" i="2"/>
  <c r="O766" i="2"/>
  <c r="O770" i="2"/>
  <c r="O774" i="2"/>
  <c r="O778" i="2"/>
  <c r="O757" i="2"/>
  <c r="O754" i="2"/>
  <c r="O758" i="2"/>
  <c r="O749" i="2"/>
  <c r="O753" i="2"/>
  <c r="O750" i="2"/>
  <c r="O745" i="2"/>
  <c r="O746" i="2"/>
  <c r="O741" i="2"/>
  <c r="O742" i="2"/>
  <c r="O695" i="2"/>
  <c r="O699" i="2"/>
  <c r="O703" i="2"/>
  <c r="O707" i="2"/>
  <c r="O711" i="2"/>
  <c r="O715" i="2"/>
  <c r="O719" i="2"/>
  <c r="O723" i="2"/>
  <c r="O727" i="2"/>
  <c r="O731" i="2"/>
  <c r="O735" i="2"/>
  <c r="O739" i="2"/>
  <c r="O704" i="2"/>
  <c r="O708" i="2"/>
  <c r="O712" i="2"/>
  <c r="O716" i="2"/>
  <c r="O720" i="2"/>
  <c r="O724" i="2"/>
  <c r="O728" i="2"/>
  <c r="O732" i="2"/>
  <c r="O736" i="2"/>
  <c r="O740" i="2"/>
  <c r="O738" i="2"/>
  <c r="O737" i="2"/>
  <c r="O729" i="2"/>
  <c r="O733" i="2"/>
  <c r="O730" i="2"/>
  <c r="O734" i="2"/>
  <c r="O726" i="2"/>
  <c r="O721" i="2"/>
  <c r="O725" i="2"/>
  <c r="O722" i="2"/>
  <c r="O697" i="2"/>
  <c r="O701" i="2"/>
  <c r="O705" i="2"/>
  <c r="O709" i="2"/>
  <c r="O713" i="2"/>
  <c r="O717" i="2"/>
  <c r="O718" i="2"/>
  <c r="O714" i="2"/>
  <c r="O702" i="2"/>
  <c r="O706" i="2"/>
  <c r="O710" i="2"/>
  <c r="O640" i="2"/>
  <c r="O644" i="2"/>
  <c r="O648" i="2"/>
  <c r="O652" i="2"/>
  <c r="O656" i="2"/>
  <c r="O660" i="2"/>
  <c r="O664" i="2"/>
  <c r="O668" i="2"/>
  <c r="O672" i="2"/>
  <c r="O676" i="2"/>
  <c r="O680" i="2"/>
  <c r="O684" i="2"/>
  <c r="O688" i="2"/>
  <c r="O692" i="2"/>
  <c r="O696" i="2"/>
  <c r="O700" i="2"/>
  <c r="O698" i="2"/>
  <c r="O689" i="2"/>
  <c r="O693" i="2"/>
  <c r="O690" i="2"/>
  <c r="O694" i="2"/>
  <c r="O671" i="2"/>
  <c r="O675" i="2"/>
  <c r="O679" i="2"/>
  <c r="O683" i="2"/>
  <c r="O687" i="2"/>
  <c r="O691" i="2"/>
  <c r="O685" i="2"/>
  <c r="O682" i="2"/>
  <c r="O686" i="2"/>
  <c r="O681" i="2"/>
  <c r="O678" i="2"/>
  <c r="O677" i="2"/>
  <c r="O661" i="2"/>
  <c r="O665" i="2"/>
  <c r="O669" i="2"/>
  <c r="O673" i="2"/>
  <c r="O674" i="2"/>
  <c r="O666" i="2"/>
  <c r="O670" i="2"/>
  <c r="O478" i="2"/>
  <c r="O547" i="2"/>
  <c r="O559" i="2"/>
  <c r="O567" i="2"/>
  <c r="O571" i="2"/>
  <c r="O575" i="2"/>
  <c r="O579" i="2"/>
  <c r="O583" i="2"/>
  <c r="O587" i="2"/>
  <c r="O591" i="2"/>
  <c r="O595" i="2"/>
  <c r="O599" i="2"/>
  <c r="O603" i="2"/>
  <c r="O607" i="2"/>
  <c r="O611" i="2"/>
  <c r="O615" i="2"/>
  <c r="O619" i="2"/>
  <c r="O623" i="2"/>
  <c r="O627" i="2"/>
  <c r="O631" i="2"/>
  <c r="O635" i="2"/>
  <c r="O639" i="2"/>
  <c r="O643" i="2"/>
  <c r="O647" i="2"/>
  <c r="O651" i="2"/>
  <c r="O655" i="2"/>
  <c r="O659" i="2"/>
  <c r="O663" i="2"/>
  <c r="O667" i="2"/>
  <c r="O662" i="2"/>
  <c r="O657" i="2"/>
  <c r="O658" i="2"/>
  <c r="O653" i="2"/>
  <c r="O649" i="2"/>
  <c r="O646" i="2"/>
  <c r="O650" i="2"/>
  <c r="O654" i="2"/>
  <c r="O637" i="2"/>
  <c r="O641" i="2"/>
  <c r="O645" i="2"/>
  <c r="O638" i="2"/>
  <c r="O642" i="2"/>
  <c r="O628" i="2"/>
  <c r="O632" i="2"/>
  <c r="O636" i="2"/>
  <c r="O621" i="2"/>
  <c r="O633" i="2"/>
  <c r="O625" i="2"/>
  <c r="O629" i="2"/>
  <c r="O618" i="2"/>
  <c r="O622" i="2"/>
  <c r="O626" i="2"/>
  <c r="O630" i="2"/>
  <c r="O634" i="2"/>
  <c r="O592" i="2"/>
  <c r="O596" i="2"/>
  <c r="O600" i="2"/>
  <c r="O604" i="2"/>
  <c r="O608" i="2"/>
  <c r="O612" i="2"/>
  <c r="O616" i="2"/>
  <c r="O620" i="2"/>
  <c r="O624" i="2"/>
  <c r="O617" i="2"/>
  <c r="O614" i="2"/>
  <c r="O601" i="2"/>
  <c r="O605" i="2"/>
  <c r="O609" i="2"/>
  <c r="O613" i="2"/>
  <c r="O598" i="2"/>
  <c r="O602" i="2"/>
  <c r="O606" i="2"/>
  <c r="O610" i="2"/>
  <c r="O564" i="2"/>
  <c r="O568" i="2"/>
  <c r="O572" i="2"/>
  <c r="O576" i="2"/>
  <c r="O580" i="2"/>
  <c r="O584" i="2"/>
  <c r="O588" i="2"/>
  <c r="O597" i="2"/>
  <c r="O593" i="2"/>
  <c r="O594" i="2"/>
  <c r="O590" i="2"/>
  <c r="O589" i="2"/>
  <c r="O585" i="2"/>
  <c r="O586" i="2"/>
  <c r="O577" i="2"/>
  <c r="O581" i="2"/>
  <c r="O582" i="2"/>
  <c r="O578" i="2"/>
  <c r="O574" i="2"/>
  <c r="O573" i="2"/>
  <c r="O570" i="2"/>
  <c r="O569" i="2"/>
  <c r="O566" i="2"/>
  <c r="O565" i="2"/>
  <c r="O562" i="2"/>
  <c r="O548" i="2"/>
  <c r="O560" i="2"/>
  <c r="O561" i="2"/>
  <c r="O546" i="2"/>
  <c r="O409" i="2"/>
  <c r="O413" i="2"/>
  <c r="O417" i="2"/>
  <c r="O421" i="2"/>
  <c r="O433" i="2"/>
  <c r="O437" i="2"/>
  <c r="O445" i="2"/>
  <c r="O461" i="2"/>
  <c r="O465" i="2"/>
  <c r="O473" i="2"/>
  <c r="O466" i="2"/>
  <c r="O474" i="2"/>
  <c r="O479" i="2"/>
  <c r="O475" i="2"/>
  <c r="O460" i="2"/>
  <c r="O434" i="2"/>
  <c r="O438" i="2"/>
  <c r="O436" i="2"/>
  <c r="O418" i="2"/>
  <c r="O422" i="2"/>
  <c r="O415" i="2"/>
  <c r="O419" i="2"/>
  <c r="O423" i="2"/>
  <c r="O416" i="2"/>
  <c r="O410" i="2"/>
  <c r="O414" i="2"/>
  <c r="O412" i="2"/>
  <c r="O411" i="2"/>
  <c r="O408" i="2"/>
  <c r="O407" i="2"/>
  <c r="O403" i="2"/>
  <c r="O404" i="2"/>
  <c r="O383" i="2"/>
  <c r="O293" i="2"/>
  <c r="O297" i="2"/>
  <c r="O347" i="2"/>
  <c r="O355" i="2"/>
  <c r="O356" i="2"/>
  <c r="O357" i="2"/>
  <c r="O350" i="2"/>
  <c r="O348" i="2"/>
  <c r="O349" i="2"/>
  <c r="O300" i="2"/>
  <c r="O340" i="2"/>
  <c r="O298" i="2"/>
  <c r="O303" i="2"/>
  <c r="O299" i="2"/>
  <c r="O295" i="2"/>
  <c r="O296" i="2"/>
  <c r="O289" i="2"/>
  <c r="O294" i="2"/>
  <c r="O291" i="2"/>
  <c r="O292" i="2"/>
  <c r="O276" i="2"/>
  <c r="O186" i="2"/>
  <c r="O169" i="2"/>
  <c r="O173" i="2"/>
  <c r="O178" i="2"/>
  <c r="O182" i="2"/>
  <c r="O190" i="2"/>
  <c r="O194" i="2"/>
  <c r="O185" i="2"/>
  <c r="O206" i="2"/>
  <c r="O210" i="2"/>
  <c r="O248" i="2"/>
  <c r="O252" i="2"/>
  <c r="O168" i="2"/>
  <c r="O172" i="2"/>
  <c r="O177" i="2"/>
  <c r="O181" i="2"/>
  <c r="O189" i="2"/>
  <c r="O197" i="2"/>
  <c r="O251" i="2"/>
  <c r="O249" i="2"/>
  <c r="O253" i="2"/>
  <c r="O250" i="2"/>
  <c r="O196" i="2"/>
  <c r="O187" i="2"/>
  <c r="O170" i="2"/>
  <c r="O174" i="2"/>
  <c r="O179" i="2"/>
  <c r="O183" i="2"/>
  <c r="O191" i="2"/>
  <c r="O195" i="2"/>
  <c r="O193" i="2"/>
  <c r="O138" i="2"/>
  <c r="O142" i="2"/>
  <c r="O146" i="2"/>
  <c r="O158" i="2"/>
  <c r="O166" i="2"/>
  <c r="O192" i="2"/>
  <c r="O188" i="2"/>
  <c r="O184" i="2"/>
  <c r="O171" i="2"/>
  <c r="O176" i="2"/>
  <c r="O180" i="2"/>
  <c r="O161" i="2"/>
  <c r="O165" i="2"/>
  <c r="O164" i="2"/>
  <c r="O167" i="2"/>
  <c r="O159" i="2"/>
  <c r="O163" i="2"/>
  <c r="O160" i="2"/>
  <c r="O85" i="2"/>
  <c r="O113" i="2"/>
  <c r="O133" i="2"/>
  <c r="O137" i="2"/>
  <c r="O145" i="2"/>
  <c r="O144" i="2"/>
  <c r="O147" i="2"/>
  <c r="O148" i="2"/>
  <c r="O143" i="2"/>
  <c r="O140" i="2"/>
  <c r="O139" i="2"/>
  <c r="O132" i="2"/>
  <c r="O131" i="2"/>
  <c r="O127" i="2"/>
  <c r="O116" i="2"/>
  <c r="O114" i="2"/>
  <c r="O115" i="2"/>
  <c r="O100" i="2"/>
  <c r="O99" i="2"/>
  <c r="O71" i="2"/>
  <c r="O75" i="2"/>
  <c r="O70" i="2"/>
  <c r="O69" i="2"/>
  <c r="O66" i="2"/>
  <c r="O36" i="2"/>
  <c r="O40" i="2"/>
  <c r="O53" i="2"/>
  <c r="O56" i="2"/>
  <c r="O39" i="2"/>
  <c r="O52" i="2"/>
  <c r="O42" i="2"/>
  <c r="O11" i="2"/>
  <c r="O15" i="2"/>
  <c r="O37" i="2"/>
  <c r="O38" i="2"/>
  <c r="O34" i="2"/>
  <c r="O17" i="2"/>
  <c r="O9" i="2"/>
  <c r="O6" i="2"/>
  <c r="O10" i="2"/>
  <c r="O14" i="2"/>
  <c r="O18" i="2"/>
  <c r="O32" i="2"/>
  <c r="O16" i="2"/>
  <c r="O20" i="2"/>
  <c r="O12" i="2"/>
  <c r="AT139" i="2"/>
  <c r="AS139" i="2"/>
  <c r="AL139" i="2"/>
  <c r="AK139" i="2"/>
  <c r="AG139" i="2"/>
  <c r="AF139" i="2"/>
  <c r="W628" i="2" l="1"/>
  <c r="Z628" i="2" s="1"/>
  <c r="W634" i="2"/>
  <c r="Z634" i="2" s="1"/>
  <c r="W669" i="2"/>
  <c r="Z669" i="2" s="1"/>
  <c r="W714" i="2"/>
  <c r="Z714" i="2" s="1"/>
  <c r="W867" i="2"/>
  <c r="Z867" i="2" s="1"/>
  <c r="W911" i="2"/>
  <c r="Z911" i="2" s="1"/>
  <c r="W970" i="2"/>
  <c r="Z970" i="2" s="1"/>
  <c r="W1062" i="2"/>
  <c r="Z1062" i="2" s="1"/>
  <c r="W756" i="2"/>
  <c r="Z756" i="2" s="1"/>
  <c r="W862" i="2"/>
  <c r="Z862" i="2" s="1"/>
  <c r="W969" i="2"/>
  <c r="Z969" i="2" s="1"/>
  <c r="W535" i="2"/>
  <c r="Z535" i="2" s="1"/>
  <c r="W871" i="2"/>
  <c r="Z871" i="2" s="1"/>
  <c r="W957" i="2"/>
  <c r="Z957" i="2" s="1"/>
  <c r="W907" i="2"/>
  <c r="Z907" i="2" s="1"/>
  <c r="W863" i="2"/>
  <c r="Z863" i="2" s="1"/>
  <c r="W693" i="2"/>
  <c r="Z693" i="2" s="1"/>
  <c r="W569" i="2"/>
  <c r="Z569" i="2" s="1"/>
  <c r="W822" i="2"/>
  <c r="Z822" i="2" s="1"/>
  <c r="W565" i="2"/>
  <c r="Z565" i="2" s="1"/>
  <c r="W930" i="2"/>
  <c r="Z930" i="2" s="1"/>
  <c r="W731" i="2"/>
  <c r="Z731" i="2" s="1"/>
  <c r="W1031" i="2"/>
  <c r="Z1031" i="2" s="1"/>
  <c r="W1027" i="2"/>
  <c r="Z1027" i="2" s="1"/>
  <c r="W1023" i="2"/>
  <c r="Z1023" i="2" s="1"/>
  <c r="W703" i="2"/>
  <c r="Z703" i="2" s="1"/>
  <c r="W541" i="2"/>
  <c r="Z541" i="2" s="1"/>
  <c r="W864" i="2"/>
  <c r="Z864" i="2" s="1"/>
  <c r="W860" i="2"/>
  <c r="Z860" i="2" s="1"/>
  <c r="W748" i="2"/>
  <c r="Z748" i="2" s="1"/>
  <c r="W744" i="2"/>
  <c r="Z744" i="2" s="1"/>
  <c r="W694" i="2"/>
  <c r="Z694" i="2" s="1"/>
  <c r="W690" i="2"/>
  <c r="Z690" i="2" s="1"/>
  <c r="W875" i="2"/>
  <c r="Z875" i="2" s="1"/>
  <c r="W1035" i="2"/>
  <c r="Z1035" i="2" s="1"/>
  <c r="W1039" i="2"/>
  <c r="Z1039" i="2" s="1"/>
  <c r="W632" i="2"/>
  <c r="Z632" i="2" s="1"/>
  <c r="W933" i="2"/>
  <c r="Z933" i="2" s="1"/>
  <c r="W666" i="2"/>
  <c r="Z666" i="2" s="1"/>
  <c r="W939" i="2"/>
  <c r="Z939" i="2" s="1"/>
  <c r="W1057" i="2"/>
  <c r="Z1057" i="2" s="1"/>
  <c r="W667" i="2"/>
  <c r="Z667" i="2" s="1"/>
  <c r="W1097" i="2"/>
  <c r="Z1097" i="2" s="1"/>
  <c r="W412" i="2"/>
  <c r="Z412" i="2" s="1"/>
  <c r="W485" i="2"/>
  <c r="Z485" i="2" s="1"/>
  <c r="W617" i="2"/>
  <c r="Z617" i="2" s="1"/>
  <c r="W567" i="2"/>
  <c r="Z567" i="2" s="1"/>
  <c r="W868" i="2"/>
  <c r="Z868" i="2" s="1"/>
  <c r="W942" i="2"/>
  <c r="Z942" i="2" s="1"/>
  <c r="W972" i="2"/>
  <c r="Z972" i="2" s="1"/>
  <c r="W1046" i="2"/>
  <c r="Z1046" i="2" s="1"/>
  <c r="W184" i="2"/>
  <c r="Z184" i="2" s="1"/>
  <c r="W177" i="2"/>
  <c r="Z177" i="2" s="1"/>
  <c r="W561" i="2"/>
  <c r="Z561" i="2" s="1"/>
  <c r="W596" i="2"/>
  <c r="Z596" i="2" s="1"/>
  <c r="W820" i="2"/>
  <c r="Z820" i="2" s="1"/>
  <c r="W1092" i="2"/>
  <c r="Z1092" i="2" s="1"/>
  <c r="W1044" i="2"/>
  <c r="Z1044" i="2" s="1"/>
  <c r="W481" i="2"/>
  <c r="Z481" i="2" s="1"/>
  <c r="W504" i="2"/>
  <c r="Z504" i="2" s="1"/>
  <c r="W436" i="2"/>
  <c r="Z436" i="2" s="1"/>
  <c r="W1066" i="2"/>
  <c r="Z1066" i="2" s="1"/>
  <c r="W592" i="2"/>
  <c r="Z592" i="2" s="1"/>
  <c r="W1080" i="2"/>
  <c r="Z1080" i="2" s="1"/>
  <c r="W1032" i="2"/>
  <c r="Z1032" i="2" s="1"/>
  <c r="W897" i="2"/>
  <c r="Z897" i="2" s="1"/>
  <c r="W528" i="2"/>
  <c r="Z528" i="2" s="1"/>
  <c r="W630" i="2"/>
  <c r="Z630" i="2" s="1"/>
  <c r="W738" i="2"/>
  <c r="Z738" i="2" s="1"/>
  <c r="W163" i="2"/>
  <c r="Z163" i="2" s="1"/>
  <c r="W808" i="2"/>
  <c r="Z808" i="2" s="1"/>
  <c r="W619" i="2"/>
  <c r="Z619" i="2" s="1"/>
  <c r="W728" i="2"/>
  <c r="Z728" i="2" s="1"/>
  <c r="W42" i="2"/>
  <c r="Z42" i="2" s="1"/>
  <c r="W423" i="2"/>
  <c r="Z423" i="2" s="1"/>
  <c r="W383" i="2"/>
  <c r="Z383" i="2" s="1"/>
  <c r="W185" i="2"/>
  <c r="Z185" i="2" s="1"/>
  <c r="W438" i="2"/>
  <c r="Z438" i="2" s="1"/>
  <c r="W32" i="2"/>
  <c r="Z32" i="2" s="1"/>
  <c r="W190" i="2"/>
  <c r="Z190" i="2" s="1"/>
  <c r="W276" i="2"/>
  <c r="Z276" i="2" s="1"/>
  <c r="W1053" i="2"/>
  <c r="Z1053" i="2" s="1"/>
  <c r="W159" i="2"/>
  <c r="Z159" i="2" s="1"/>
  <c r="W663" i="2"/>
  <c r="Z663" i="2" s="1"/>
  <c r="W615" i="2"/>
  <c r="Z615" i="2" s="1"/>
  <c r="W804" i="2"/>
  <c r="Z804" i="2" s="1"/>
  <c r="W903" i="2"/>
  <c r="Z903" i="2" s="1"/>
  <c r="W1081" i="2"/>
  <c r="Z1081" i="2" s="1"/>
  <c r="W1076" i="2"/>
  <c r="Z1076" i="2" s="1"/>
  <c r="W509" i="2"/>
  <c r="Z509" i="2" s="1"/>
  <c r="W566" i="2"/>
  <c r="Z566" i="2" s="1"/>
  <c r="W551" i="2"/>
  <c r="Z551" i="2" s="1"/>
  <c r="W706" i="2"/>
  <c r="Z706" i="2" s="1"/>
  <c r="W724" i="2"/>
  <c r="Z724" i="2" s="1"/>
  <c r="W715" i="2"/>
  <c r="Z715" i="2" s="1"/>
  <c r="W767" i="2"/>
  <c r="Z767" i="2" s="1"/>
  <c r="W1001" i="2"/>
  <c r="Z1001" i="2" s="1"/>
  <c r="W1070" i="2"/>
  <c r="Z1070" i="2" s="1"/>
  <c r="W444" i="2"/>
  <c r="Z444" i="2" s="1"/>
  <c r="W973" i="2"/>
  <c r="Z973" i="2" s="1"/>
  <c r="W482" i="2"/>
  <c r="Z482" i="2" s="1"/>
  <c r="W1088" i="2"/>
  <c r="Z1088" i="2" s="1"/>
  <c r="W816" i="2"/>
  <c r="Z816" i="2" s="1"/>
  <c r="W1095" i="2"/>
  <c r="Z1095" i="2" s="1"/>
  <c r="W687" i="2"/>
  <c r="Z687" i="2" s="1"/>
  <c r="W899" i="2"/>
  <c r="Z899" i="2" s="1"/>
  <c r="W563" i="2"/>
  <c r="Z563" i="2" s="1"/>
  <c r="W1040" i="2"/>
  <c r="Z1040" i="2" s="1"/>
  <c r="W685" i="2"/>
  <c r="Z685" i="2" s="1"/>
  <c r="W869" i="2"/>
  <c r="Z869" i="2" s="1"/>
  <c r="W976" i="2"/>
  <c r="Z976" i="2" s="1"/>
  <c r="W1042" i="2"/>
  <c r="Z1042" i="2" s="1"/>
  <c r="W1085" i="2"/>
  <c r="Z1085" i="2" s="1"/>
  <c r="W1072" i="2"/>
  <c r="Z1072" i="2" s="1"/>
  <c r="W172" i="2"/>
  <c r="Z172" i="2" s="1"/>
  <c r="W582" i="2"/>
  <c r="Z582" i="2" s="1"/>
  <c r="W743" i="2"/>
  <c r="Z743" i="2" s="1"/>
  <c r="W980" i="2"/>
  <c r="Z980" i="2" s="1"/>
  <c r="W1089" i="2"/>
  <c r="Z1089" i="2" s="1"/>
  <c r="W515" i="2"/>
  <c r="Z515" i="2" s="1"/>
  <c r="W828" i="2"/>
  <c r="Z828" i="2" s="1"/>
  <c r="W623" i="2"/>
  <c r="Z623" i="2" s="1"/>
  <c r="W974" i="2"/>
  <c r="Z974" i="2" s="1"/>
  <c r="W562" i="2"/>
  <c r="Z562" i="2" s="1"/>
  <c r="W800" i="2"/>
  <c r="Z800" i="2" s="1"/>
  <c r="W906" i="2"/>
  <c r="Z906" i="2" s="1"/>
  <c r="W983" i="2"/>
  <c r="Z983" i="2" s="1"/>
  <c r="W997" i="2"/>
  <c r="Z997" i="2" s="1"/>
  <c r="W929" i="2"/>
  <c r="Z929" i="2" s="1"/>
  <c r="W168" i="2"/>
  <c r="Z168" i="2" s="1"/>
  <c r="W494" i="2"/>
  <c r="Z494" i="2" s="1"/>
  <c r="W176" i="2"/>
  <c r="Z176" i="2" s="1"/>
  <c r="W961" i="2"/>
  <c r="Z961" i="2" s="1"/>
  <c r="W171" i="2"/>
  <c r="Z171" i="2" s="1"/>
  <c r="W824" i="2"/>
  <c r="Z824" i="2" s="1"/>
  <c r="W69" i="2"/>
  <c r="Z69" i="2" s="1"/>
  <c r="W611" i="2"/>
  <c r="Z611" i="2" s="1"/>
  <c r="W727" i="2"/>
  <c r="Z727" i="2" s="1"/>
  <c r="W550" i="2"/>
  <c r="Z550" i="2" s="1"/>
  <c r="W720" i="2"/>
  <c r="Z720" i="2" s="1"/>
  <c r="W758" i="2"/>
  <c r="Z758" i="2" s="1"/>
  <c r="W765" i="2"/>
  <c r="Z765" i="2" s="1"/>
  <c r="W829" i="2"/>
  <c r="Z829" i="2" s="1"/>
  <c r="W612" i="2"/>
  <c r="Z612" i="2" s="1"/>
  <c r="W836" i="2"/>
  <c r="Z836" i="2" s="1"/>
  <c r="W878" i="2"/>
  <c r="Z878" i="2" s="1"/>
  <c r="W1060" i="2"/>
  <c r="Z1060" i="2" s="1"/>
  <c r="W529" i="2"/>
  <c r="Z529" i="2" s="1"/>
  <c r="W681" i="2"/>
  <c r="Z681" i="2" s="1"/>
  <c r="W708" i="2"/>
  <c r="Z708" i="2" s="1"/>
  <c r="W988" i="2"/>
  <c r="Z988" i="2" s="1"/>
  <c r="W633" i="2"/>
  <c r="Z633" i="2" s="1"/>
  <c r="W832" i="2"/>
  <c r="Z832" i="2" s="1"/>
  <c r="W914" i="2"/>
  <c r="Z914" i="2" s="1"/>
  <c r="W962" i="2"/>
  <c r="Z962" i="2" s="1"/>
  <c r="W404" i="2"/>
  <c r="Z404" i="2" s="1"/>
  <c r="W492" i="2"/>
  <c r="Z492" i="2" s="1"/>
  <c r="W557" i="2"/>
  <c r="Z557" i="2" s="1"/>
  <c r="W704" i="2"/>
  <c r="Z704" i="2" s="1"/>
  <c r="W695" i="2"/>
  <c r="Z695" i="2" s="1"/>
  <c r="W747" i="2"/>
  <c r="Z747" i="2" s="1"/>
  <c r="W999" i="2"/>
  <c r="Z999" i="2" s="1"/>
  <c r="W616" i="2"/>
  <c r="Z616" i="2" s="1"/>
  <c r="W719" i="2"/>
  <c r="Z719" i="2" s="1"/>
  <c r="W792" i="2"/>
  <c r="Z792" i="2" s="1"/>
  <c r="W891" i="2"/>
  <c r="Z891" i="2" s="1"/>
  <c r="W945" i="2"/>
  <c r="Z945" i="2" s="1"/>
  <c r="W635" i="2"/>
  <c r="Z635" i="2" s="1"/>
  <c r="W757" i="2"/>
  <c r="Z757" i="2" s="1"/>
  <c r="W989" i="2"/>
  <c r="Z989" i="2" s="1"/>
  <c r="W620" i="2"/>
  <c r="Z620" i="2" s="1"/>
  <c r="W723" i="2"/>
  <c r="Z723" i="2" s="1"/>
  <c r="W761" i="2"/>
  <c r="Z761" i="2" s="1"/>
  <c r="W810" i="2"/>
  <c r="Z810" i="2" s="1"/>
  <c r="W796" i="2"/>
  <c r="Z796" i="2" s="1"/>
  <c r="W1068" i="2"/>
  <c r="Z1068" i="2" s="1"/>
  <c r="W10" i="2"/>
  <c r="Z10" i="2" s="1"/>
  <c r="W553" i="2"/>
  <c r="Z553" i="2" s="1"/>
  <c r="W591" i="2"/>
  <c r="Z591" i="2" s="1"/>
  <c r="W543" i="2"/>
  <c r="Z543" i="2" s="1"/>
  <c r="W716" i="2"/>
  <c r="Z716" i="2" s="1"/>
  <c r="W754" i="2"/>
  <c r="Z754" i="2" s="1"/>
  <c r="W825" i="2"/>
  <c r="Z825" i="2" s="1"/>
  <c r="W993" i="2"/>
  <c r="Z993" i="2" s="1"/>
  <c r="W300" i="2"/>
  <c r="Z300" i="2" s="1"/>
  <c r="W742" i="2"/>
  <c r="Z742" i="2" s="1"/>
  <c r="W901" i="2"/>
  <c r="Z901" i="2" s="1"/>
  <c r="W1084" i="2"/>
  <c r="Z1084" i="2" s="1"/>
  <c r="W1036" i="2"/>
  <c r="Z1036" i="2" s="1"/>
  <c r="W1009" i="2"/>
  <c r="Z1009" i="2" s="1"/>
  <c r="W1056" i="2"/>
  <c r="Z1056" i="2" s="1"/>
  <c r="W984" i="2"/>
  <c r="Z984" i="2" s="1"/>
  <c r="W196" i="2"/>
  <c r="Z196" i="2" s="1"/>
  <c r="W968" i="2"/>
  <c r="Z968" i="2" s="1"/>
  <c r="W434" i="2"/>
  <c r="Z434" i="2" s="1"/>
  <c r="W1064" i="2"/>
  <c r="Z1064" i="2" s="1"/>
  <c r="W1003" i="2"/>
  <c r="Z1003" i="2" s="1"/>
  <c r="W158" i="2"/>
  <c r="Z158" i="2" s="1"/>
  <c r="W1005" i="2"/>
  <c r="Z1005" i="2" s="1"/>
  <c r="W712" i="2"/>
  <c r="Z712" i="2" s="1"/>
  <c r="W1048" i="2"/>
  <c r="Z1048" i="2" s="1"/>
  <c r="W489" i="2"/>
  <c r="Z489" i="2" s="1"/>
  <c r="W508" i="2"/>
  <c r="Z508" i="2" s="1"/>
  <c r="W186" i="2"/>
  <c r="Z186" i="2" s="1"/>
  <c r="W71" i="2"/>
  <c r="Z71" i="2" s="1"/>
  <c r="W604" i="2"/>
  <c r="Z604" i="2" s="1"/>
  <c r="W639" i="2"/>
  <c r="Z639" i="2" s="1"/>
  <c r="W448" i="2"/>
  <c r="Z448" i="2" s="1"/>
  <c r="W610" i="2"/>
  <c r="Z610" i="2" s="1"/>
  <c r="W812" i="2"/>
  <c r="Z812" i="2" s="1"/>
  <c r="W752" i="2"/>
  <c r="Z752" i="2" s="1"/>
  <c r="W1014" i="2"/>
  <c r="Z1014" i="2" s="1"/>
  <c r="W1013" i="2"/>
  <c r="Z1013" i="2" s="1"/>
  <c r="W1025" i="2"/>
  <c r="Z1025" i="2" s="1"/>
  <c r="W1024" i="2"/>
  <c r="Z1024" i="2" s="1"/>
  <c r="W1051" i="2"/>
  <c r="Z1051" i="2" s="1"/>
  <c r="W1078" i="2"/>
  <c r="Z1078" i="2" s="1"/>
  <c r="W1052" i="2"/>
  <c r="Z1052" i="2" s="1"/>
  <c r="W995" i="2"/>
  <c r="Z995" i="2" s="1"/>
  <c r="W1041" i="2"/>
  <c r="Z1041" i="2" s="1"/>
  <c r="W1007" i="2"/>
  <c r="Z1007" i="2" s="1"/>
  <c r="W1020" i="2"/>
  <c r="Z1020" i="2" s="1"/>
  <c r="W1004" i="2"/>
  <c r="Z1004" i="2" s="1"/>
  <c r="W1034" i="2"/>
  <c r="Z1034" i="2" s="1"/>
  <c r="W1054" i="2"/>
  <c r="Z1054" i="2" s="1"/>
  <c r="W1047" i="2"/>
  <c r="Z1047" i="2" s="1"/>
  <c r="W1065" i="2"/>
  <c r="Z1065" i="2" s="1"/>
  <c r="W1086" i="2"/>
  <c r="Z1086" i="2" s="1"/>
  <c r="W1102" i="2"/>
  <c r="Z1102" i="2" s="1"/>
  <c r="W1083" i="2"/>
  <c r="Z1083" i="2" s="1"/>
  <c r="W1067" i="2"/>
  <c r="Z1067" i="2" s="1"/>
  <c r="W1096" i="2"/>
  <c r="Z1096" i="2" s="1"/>
  <c r="W600" i="2"/>
  <c r="Z600" i="2" s="1"/>
  <c r="W1055" i="2"/>
  <c r="Z1055" i="2" s="1"/>
  <c r="W1073" i="2"/>
  <c r="Z1073" i="2" s="1"/>
  <c r="W1091" i="2"/>
  <c r="Z1091" i="2" s="1"/>
  <c r="W1075" i="2"/>
  <c r="Z1075" i="2" s="1"/>
  <c r="W1094" i="2"/>
  <c r="Z1094" i="2" s="1"/>
  <c r="W1082" i="2"/>
  <c r="Z1082" i="2" s="1"/>
  <c r="W1098" i="2"/>
  <c r="Z1098" i="2" s="1"/>
  <c r="W1087" i="2"/>
  <c r="Z1087" i="2" s="1"/>
  <c r="W1022" i="2"/>
  <c r="Z1022" i="2" s="1"/>
  <c r="W1029" i="2"/>
  <c r="Z1029" i="2" s="1"/>
  <c r="W1028" i="2"/>
  <c r="Z1028" i="2" s="1"/>
  <c r="W1045" i="2"/>
  <c r="Z1045" i="2" s="1"/>
  <c r="W1090" i="2"/>
  <c r="Z1090" i="2" s="1"/>
  <c r="W991" i="2"/>
  <c r="Z991" i="2" s="1"/>
  <c r="W1008" i="2"/>
  <c r="Z1008" i="2" s="1"/>
  <c r="W992" i="2"/>
  <c r="Z992" i="2" s="1"/>
  <c r="W1038" i="2"/>
  <c r="Z1038" i="2" s="1"/>
  <c r="W1019" i="2"/>
  <c r="Z1019" i="2" s="1"/>
  <c r="W1058" i="2"/>
  <c r="Z1058" i="2" s="1"/>
  <c r="W1069" i="2"/>
  <c r="Z1069" i="2" s="1"/>
  <c r="W1093" i="2"/>
  <c r="Z1093" i="2" s="1"/>
  <c r="W1071" i="2"/>
  <c r="Z1071" i="2" s="1"/>
  <c r="W1079" i="2"/>
  <c r="Z1079" i="2" s="1"/>
  <c r="W1077" i="2"/>
  <c r="Z1077" i="2" s="1"/>
  <c r="W1074" i="2"/>
  <c r="Z1074" i="2" s="1"/>
  <c r="W532" i="2"/>
  <c r="Z532" i="2" s="1"/>
  <c r="W1050" i="2"/>
  <c r="Z1050" i="2" s="1"/>
  <c r="W1063" i="2"/>
  <c r="Z1063" i="2" s="1"/>
  <c r="W1059" i="2"/>
  <c r="Z1059" i="2" s="1"/>
  <c r="W1061" i="2"/>
  <c r="Z1061" i="2" s="1"/>
  <c r="W1049" i="2"/>
  <c r="Z1049" i="2" s="1"/>
  <c r="W1043" i="2"/>
  <c r="Z1043" i="2" s="1"/>
  <c r="W1030" i="2"/>
  <c r="Z1030" i="2" s="1"/>
  <c r="W1037" i="2"/>
  <c r="Z1037" i="2" s="1"/>
  <c r="W990" i="2"/>
  <c r="Z990" i="2" s="1"/>
  <c r="W1012" i="2"/>
  <c r="Z1012" i="2" s="1"/>
  <c r="W996" i="2"/>
  <c r="Z996" i="2" s="1"/>
  <c r="W1033" i="2"/>
  <c r="Z1033" i="2" s="1"/>
  <c r="W1026" i="2"/>
  <c r="Z1026" i="2" s="1"/>
  <c r="W1021" i="2"/>
  <c r="Z1021" i="2" s="1"/>
  <c r="W1015" i="2"/>
  <c r="Z1015" i="2" s="1"/>
  <c r="W998" i="2"/>
  <c r="Z998" i="2" s="1"/>
  <c r="W1018" i="2"/>
  <c r="Z1018" i="2" s="1"/>
  <c r="W1017" i="2"/>
  <c r="Z1017" i="2" s="1"/>
  <c r="W1016" i="2"/>
  <c r="Z1016" i="2" s="1"/>
  <c r="W1011" i="2"/>
  <c r="Z1011" i="2" s="1"/>
  <c r="W1010" i="2"/>
  <c r="Z1010" i="2" s="1"/>
  <c r="W1006" i="2"/>
  <c r="Z1006" i="2" s="1"/>
  <c r="W994" i="2"/>
  <c r="Z994" i="2" s="1"/>
  <c r="W1002" i="2"/>
  <c r="Z1002" i="2" s="1"/>
  <c r="W1000" i="2"/>
  <c r="Z1000" i="2" s="1"/>
  <c r="W987" i="2"/>
  <c r="Z987" i="2" s="1"/>
  <c r="W927" i="2"/>
  <c r="Z927" i="2" s="1"/>
  <c r="W940" i="2"/>
  <c r="Z940" i="2" s="1"/>
  <c r="W924" i="2"/>
  <c r="Z924" i="2" s="1"/>
  <c r="W947" i="2"/>
  <c r="Z947" i="2" s="1"/>
  <c r="W977" i="2"/>
  <c r="Z977" i="2" s="1"/>
  <c r="W986" i="2"/>
  <c r="Z986" i="2" s="1"/>
  <c r="W889" i="2"/>
  <c r="Z889" i="2" s="1"/>
  <c r="W916" i="2"/>
  <c r="Z916" i="2" s="1"/>
  <c r="W900" i="2"/>
  <c r="Z900" i="2" s="1"/>
  <c r="W925" i="2"/>
  <c r="Z925" i="2" s="1"/>
  <c r="W954" i="2"/>
  <c r="Z954" i="2" s="1"/>
  <c r="W937" i="2"/>
  <c r="Z937" i="2" s="1"/>
  <c r="W953" i="2"/>
  <c r="Z953" i="2" s="1"/>
  <c r="W966" i="2"/>
  <c r="Z966" i="2" s="1"/>
  <c r="W959" i="2"/>
  <c r="Z959" i="2" s="1"/>
  <c r="W960" i="2"/>
  <c r="Z960" i="2" s="1"/>
  <c r="W890" i="2"/>
  <c r="Z890" i="2" s="1"/>
  <c r="W905" i="2"/>
  <c r="Z905" i="2" s="1"/>
  <c r="W919" i="2"/>
  <c r="Z919" i="2" s="1"/>
  <c r="W948" i="2"/>
  <c r="Z948" i="2" s="1"/>
  <c r="W932" i="2"/>
  <c r="Z932" i="2" s="1"/>
  <c r="W978" i="2"/>
  <c r="Z978" i="2" s="1"/>
  <c r="W985" i="2"/>
  <c r="Z985" i="2" s="1"/>
  <c r="W909" i="2"/>
  <c r="Z909" i="2" s="1"/>
  <c r="W918" i="2"/>
  <c r="Z918" i="2" s="1"/>
  <c r="W938" i="2"/>
  <c r="Z938" i="2" s="1"/>
  <c r="W943" i="2"/>
  <c r="Z943" i="2" s="1"/>
  <c r="W958" i="2"/>
  <c r="Z958" i="2" s="1"/>
  <c r="W979" i="2"/>
  <c r="Z979" i="2" s="1"/>
  <c r="W963" i="2"/>
  <c r="Z963" i="2" s="1"/>
  <c r="W964" i="2"/>
  <c r="Z964" i="2" s="1"/>
  <c r="W923" i="2"/>
  <c r="Z923" i="2" s="1"/>
  <c r="W936" i="2"/>
  <c r="Z936" i="2" s="1"/>
  <c r="W920" i="2"/>
  <c r="Z920" i="2" s="1"/>
  <c r="W982" i="2"/>
  <c r="Z982" i="2" s="1"/>
  <c r="W915" i="2"/>
  <c r="Z915" i="2" s="1"/>
  <c r="W967" i="2"/>
  <c r="Z967" i="2" s="1"/>
  <c r="W971" i="2"/>
  <c r="Z971" i="2" s="1"/>
  <c r="W981" i="2"/>
  <c r="Z981" i="2" s="1"/>
  <c r="W975" i="2"/>
  <c r="Z975" i="2" s="1"/>
  <c r="W965" i="2"/>
  <c r="Z965" i="2" s="1"/>
  <c r="W955" i="2"/>
  <c r="Z955" i="2" s="1"/>
  <c r="W956" i="2"/>
  <c r="Z956" i="2" s="1"/>
  <c r="W950" i="2"/>
  <c r="Z950" i="2" s="1"/>
  <c r="W949" i="2"/>
  <c r="Z949" i="2" s="1"/>
  <c r="W946" i="2"/>
  <c r="Z946" i="2" s="1"/>
  <c r="W951" i="2"/>
  <c r="Z951" i="2" s="1"/>
  <c r="W952" i="2"/>
  <c r="Z952" i="2" s="1"/>
  <c r="W922" i="2"/>
  <c r="Z922" i="2" s="1"/>
  <c r="W934" i="2"/>
  <c r="Z934" i="2" s="1"/>
  <c r="W944" i="2"/>
  <c r="Z944" i="2" s="1"/>
  <c r="W941" i="2"/>
  <c r="Z941" i="2" s="1"/>
  <c r="W921" i="2"/>
  <c r="Z921" i="2" s="1"/>
  <c r="W917" i="2"/>
  <c r="Z917" i="2" s="1"/>
  <c r="W926" i="2"/>
  <c r="Z926" i="2" s="1"/>
  <c r="W935" i="2"/>
  <c r="Z935" i="2" s="1"/>
  <c r="W931" i="2"/>
  <c r="Z931" i="2" s="1"/>
  <c r="W928" i="2"/>
  <c r="Z928" i="2" s="1"/>
  <c r="W831" i="2"/>
  <c r="Z831" i="2" s="1"/>
  <c r="W881" i="2"/>
  <c r="Z881" i="2" s="1"/>
  <c r="W879" i="2"/>
  <c r="Z879" i="2" s="1"/>
  <c r="W913" i="2"/>
  <c r="Z913" i="2" s="1"/>
  <c r="W912" i="2"/>
  <c r="Z912" i="2" s="1"/>
  <c r="W910" i="2"/>
  <c r="Z910" i="2" s="1"/>
  <c r="W908" i="2"/>
  <c r="Z908" i="2" s="1"/>
  <c r="W904" i="2"/>
  <c r="Z904" i="2" s="1"/>
  <c r="W902" i="2"/>
  <c r="Z902" i="2" s="1"/>
  <c r="W896" i="2"/>
  <c r="Z896" i="2" s="1"/>
  <c r="W898" i="2"/>
  <c r="Z898" i="2" s="1"/>
  <c r="W844" i="2"/>
  <c r="Z844" i="2" s="1"/>
  <c r="W845" i="2"/>
  <c r="Z845" i="2" s="1"/>
  <c r="W865" i="2"/>
  <c r="Z865" i="2" s="1"/>
  <c r="W866" i="2"/>
  <c r="Z866" i="2" s="1"/>
  <c r="W874" i="2"/>
  <c r="Z874" i="2" s="1"/>
  <c r="W894" i="2"/>
  <c r="Z894" i="2" s="1"/>
  <c r="W895" i="2"/>
  <c r="Z895" i="2" s="1"/>
  <c r="W847" i="2"/>
  <c r="Z847" i="2" s="1"/>
  <c r="W827" i="2"/>
  <c r="Z827" i="2" s="1"/>
  <c r="W893" i="2"/>
  <c r="Z893" i="2" s="1"/>
  <c r="W834" i="2"/>
  <c r="Z834" i="2" s="1"/>
  <c r="W849" i="2"/>
  <c r="Z849" i="2" s="1"/>
  <c r="W850" i="2"/>
  <c r="Z850" i="2" s="1"/>
  <c r="W888" i="2"/>
  <c r="Z888" i="2" s="1"/>
  <c r="W883" i="2"/>
  <c r="Z883" i="2" s="1"/>
  <c r="W892" i="2"/>
  <c r="Z892" i="2" s="1"/>
  <c r="W882" i="2"/>
  <c r="Z882" i="2" s="1"/>
  <c r="W887" i="2"/>
  <c r="Z887" i="2" s="1"/>
  <c r="W886" i="2"/>
  <c r="Z886" i="2" s="1"/>
  <c r="W884" i="2"/>
  <c r="Z884" i="2" s="1"/>
  <c r="W861" i="2"/>
  <c r="Z861" i="2" s="1"/>
  <c r="W877" i="2"/>
  <c r="Z877" i="2" s="1"/>
  <c r="W885" i="2"/>
  <c r="Z885" i="2" s="1"/>
  <c r="W880" i="2"/>
  <c r="Z880" i="2" s="1"/>
  <c r="W859" i="2"/>
  <c r="Z859" i="2" s="1"/>
  <c r="W876" i="2"/>
  <c r="Z876" i="2" s="1"/>
  <c r="W872" i="2"/>
  <c r="Z872" i="2" s="1"/>
  <c r="W873" i="2"/>
  <c r="Z873" i="2" s="1"/>
  <c r="W870" i="2"/>
  <c r="Z870" i="2" s="1"/>
  <c r="W842" i="2"/>
  <c r="Z842" i="2" s="1"/>
  <c r="W856" i="2"/>
  <c r="Z856" i="2" s="1"/>
  <c r="W838" i="2"/>
  <c r="Z838" i="2" s="1"/>
  <c r="W839" i="2"/>
  <c r="Z839" i="2" s="1"/>
  <c r="W853" i="2"/>
  <c r="Z853" i="2" s="1"/>
  <c r="W854" i="2"/>
  <c r="Z854" i="2" s="1"/>
  <c r="W858" i="2"/>
  <c r="Z858" i="2" s="1"/>
  <c r="W857" i="2"/>
  <c r="Z857" i="2" s="1"/>
  <c r="W852" i="2"/>
  <c r="Z852" i="2" s="1"/>
  <c r="W855" i="2"/>
  <c r="Z855" i="2" s="1"/>
  <c r="W790" i="2"/>
  <c r="Z790" i="2" s="1"/>
  <c r="W815" i="2"/>
  <c r="Z815" i="2" s="1"/>
  <c r="W799" i="2"/>
  <c r="Z799" i="2" s="1"/>
  <c r="W783" i="2"/>
  <c r="Z783" i="2" s="1"/>
  <c r="W835" i="2"/>
  <c r="Z835" i="2" s="1"/>
  <c r="W848" i="2"/>
  <c r="Z848" i="2" s="1"/>
  <c r="W851" i="2"/>
  <c r="Z851" i="2" s="1"/>
  <c r="W830" i="2"/>
  <c r="Z830" i="2" s="1"/>
  <c r="W846" i="2"/>
  <c r="Z846" i="2" s="1"/>
  <c r="W608" i="2"/>
  <c r="Z608" i="2" s="1"/>
  <c r="W755" i="2"/>
  <c r="Z755" i="2" s="1"/>
  <c r="W782" i="2"/>
  <c r="Z782" i="2" s="1"/>
  <c r="W807" i="2"/>
  <c r="Z807" i="2" s="1"/>
  <c r="W791" i="2"/>
  <c r="Z791" i="2" s="1"/>
  <c r="W843" i="2"/>
  <c r="Z843" i="2" s="1"/>
  <c r="W840" i="2"/>
  <c r="Z840" i="2" s="1"/>
  <c r="W841" i="2"/>
  <c r="Z841" i="2" s="1"/>
  <c r="W837" i="2"/>
  <c r="Z837" i="2" s="1"/>
  <c r="W833" i="2"/>
  <c r="Z833" i="2" s="1"/>
  <c r="W826" i="2"/>
  <c r="Z826" i="2" s="1"/>
  <c r="W750" i="2"/>
  <c r="Z750" i="2" s="1"/>
  <c r="W770" i="2"/>
  <c r="Z770" i="2" s="1"/>
  <c r="W775" i="2"/>
  <c r="Z775" i="2" s="1"/>
  <c r="W798" i="2"/>
  <c r="Z798" i="2" s="1"/>
  <c r="W797" i="2"/>
  <c r="Z797" i="2" s="1"/>
  <c r="W813" i="2"/>
  <c r="Z813" i="2" s="1"/>
  <c r="W780" i="2"/>
  <c r="Z780" i="2" s="1"/>
  <c r="W764" i="2"/>
  <c r="Z764" i="2" s="1"/>
  <c r="W778" i="2"/>
  <c r="Z778" i="2" s="1"/>
  <c r="W781" i="2"/>
  <c r="Z781" i="2" s="1"/>
  <c r="W789" i="2"/>
  <c r="Z789" i="2" s="1"/>
  <c r="W806" i="2"/>
  <c r="Z806" i="2" s="1"/>
  <c r="W805" i="2"/>
  <c r="Z805" i="2" s="1"/>
  <c r="W814" i="2"/>
  <c r="Z814" i="2" s="1"/>
  <c r="W821" i="2"/>
  <c r="Z821" i="2" s="1"/>
  <c r="W823" i="2"/>
  <c r="Z823" i="2" s="1"/>
  <c r="W788" i="2"/>
  <c r="Z788" i="2" s="1"/>
  <c r="W819" i="2"/>
  <c r="Z819" i="2" s="1"/>
  <c r="W677" i="2"/>
  <c r="Z677" i="2" s="1"/>
  <c r="W698" i="2"/>
  <c r="Z698" i="2" s="1"/>
  <c r="W734" i="2"/>
  <c r="Z734" i="2" s="1"/>
  <c r="W707" i="2"/>
  <c r="Z707" i="2" s="1"/>
  <c r="W759" i="2"/>
  <c r="Z759" i="2" s="1"/>
  <c r="W785" i="2"/>
  <c r="Z785" i="2" s="1"/>
  <c r="W811" i="2"/>
  <c r="Z811" i="2" s="1"/>
  <c r="W795" i="2"/>
  <c r="Z795" i="2" s="1"/>
  <c r="W818" i="2"/>
  <c r="Z818" i="2" s="1"/>
  <c r="W684" i="2"/>
  <c r="Z684" i="2" s="1"/>
  <c r="W668" i="2"/>
  <c r="Z668" i="2" s="1"/>
  <c r="W725" i="2"/>
  <c r="Z725" i="2" s="1"/>
  <c r="W735" i="2"/>
  <c r="Z735" i="2" s="1"/>
  <c r="W741" i="2"/>
  <c r="Z741" i="2" s="1"/>
  <c r="W753" i="2"/>
  <c r="Z753" i="2" s="1"/>
  <c r="W786" i="2"/>
  <c r="Z786" i="2" s="1"/>
  <c r="W774" i="2"/>
  <c r="Z774" i="2" s="1"/>
  <c r="W779" i="2"/>
  <c r="Z779" i="2" s="1"/>
  <c r="W769" i="2"/>
  <c r="Z769" i="2" s="1"/>
  <c r="W802" i="2"/>
  <c r="Z802" i="2" s="1"/>
  <c r="W801" i="2"/>
  <c r="Z801" i="2" s="1"/>
  <c r="W817" i="2"/>
  <c r="Z817" i="2" s="1"/>
  <c r="W784" i="2"/>
  <c r="Z784" i="2" s="1"/>
  <c r="W768" i="2"/>
  <c r="Z768" i="2" s="1"/>
  <c r="W809" i="2"/>
  <c r="Z809" i="2" s="1"/>
  <c r="W803" i="2"/>
  <c r="Z803" i="2" s="1"/>
  <c r="W794" i="2"/>
  <c r="Z794" i="2" s="1"/>
  <c r="W793" i="2"/>
  <c r="Z793" i="2" s="1"/>
  <c r="W787" i="2"/>
  <c r="Z787" i="2" s="1"/>
  <c r="W771" i="2"/>
  <c r="Z771" i="2" s="1"/>
  <c r="W777" i="2"/>
  <c r="Z777" i="2" s="1"/>
  <c r="W776" i="2"/>
  <c r="Z776" i="2" s="1"/>
  <c r="W739" i="2"/>
  <c r="Z739" i="2" s="1"/>
  <c r="W740" i="2"/>
  <c r="Z740" i="2" s="1"/>
  <c r="W751" i="2"/>
  <c r="Z751" i="2" s="1"/>
  <c r="W773" i="2"/>
  <c r="Z773" i="2" s="1"/>
  <c r="W772" i="2"/>
  <c r="Z772" i="2" s="1"/>
  <c r="W745" i="2"/>
  <c r="Z745" i="2" s="1"/>
  <c r="W763" i="2"/>
  <c r="Z763" i="2" s="1"/>
  <c r="W766" i="2"/>
  <c r="Z766" i="2" s="1"/>
  <c r="W762" i="2"/>
  <c r="Z762" i="2" s="1"/>
  <c r="W760" i="2"/>
  <c r="Z760" i="2" s="1"/>
  <c r="W749" i="2"/>
  <c r="Z749" i="2" s="1"/>
  <c r="W746" i="2"/>
  <c r="Z746" i="2" s="1"/>
  <c r="W649" i="2"/>
  <c r="Z649" i="2" s="1"/>
  <c r="W662" i="2"/>
  <c r="Z662" i="2" s="1"/>
  <c r="W673" i="2"/>
  <c r="Z673" i="2" s="1"/>
  <c r="W683" i="2"/>
  <c r="Z683" i="2" s="1"/>
  <c r="W722" i="2"/>
  <c r="Z722" i="2" s="1"/>
  <c r="W737" i="2"/>
  <c r="Z737" i="2" s="1"/>
  <c r="W732" i="2"/>
  <c r="Z732" i="2" s="1"/>
  <c r="W638" i="2"/>
  <c r="Z638" i="2" s="1"/>
  <c r="W679" i="2"/>
  <c r="Z679" i="2" s="1"/>
  <c r="W710" i="2"/>
  <c r="Z710" i="2" s="1"/>
  <c r="W705" i="2"/>
  <c r="Z705" i="2" s="1"/>
  <c r="W730" i="2"/>
  <c r="Z730" i="2" s="1"/>
  <c r="W658" i="2"/>
  <c r="Z658" i="2" s="1"/>
  <c r="W647" i="2"/>
  <c r="Z647" i="2" s="1"/>
  <c r="W665" i="2"/>
  <c r="Z665" i="2" s="1"/>
  <c r="W696" i="2"/>
  <c r="Z696" i="2" s="1"/>
  <c r="W680" i="2"/>
  <c r="Z680" i="2" s="1"/>
  <c r="W664" i="2"/>
  <c r="Z664" i="2" s="1"/>
  <c r="W648" i="2"/>
  <c r="Z648" i="2" s="1"/>
  <c r="W721" i="2"/>
  <c r="Z721" i="2" s="1"/>
  <c r="W699" i="2"/>
  <c r="Z699" i="2" s="1"/>
  <c r="W659" i="2"/>
  <c r="Z659" i="2" s="1"/>
  <c r="W671" i="2"/>
  <c r="Z671" i="2" s="1"/>
  <c r="W689" i="2"/>
  <c r="Z689" i="2" s="1"/>
  <c r="W726" i="2"/>
  <c r="Z726" i="2" s="1"/>
  <c r="W736" i="2"/>
  <c r="Z736" i="2" s="1"/>
  <c r="W733" i="2"/>
  <c r="Z733" i="2" s="1"/>
  <c r="W729" i="2"/>
  <c r="Z729" i="2" s="1"/>
  <c r="W718" i="2"/>
  <c r="Z718" i="2" s="1"/>
  <c r="W717" i="2"/>
  <c r="Z717" i="2" s="1"/>
  <c r="W621" i="2"/>
  <c r="Z621" i="2" s="1"/>
  <c r="W655" i="2"/>
  <c r="Z655" i="2" s="1"/>
  <c r="W607" i="2"/>
  <c r="Z607" i="2" s="1"/>
  <c r="W682" i="2"/>
  <c r="Z682" i="2" s="1"/>
  <c r="W688" i="2"/>
  <c r="Z688" i="2" s="1"/>
  <c r="W672" i="2"/>
  <c r="Z672" i="2" s="1"/>
  <c r="W656" i="2"/>
  <c r="Z656" i="2" s="1"/>
  <c r="W640" i="2"/>
  <c r="Z640" i="2" s="1"/>
  <c r="W709" i="2"/>
  <c r="Z709" i="2" s="1"/>
  <c r="W713" i="2"/>
  <c r="Z713" i="2" s="1"/>
  <c r="W711" i="2"/>
  <c r="Z711" i="2" s="1"/>
  <c r="W697" i="2"/>
  <c r="Z697" i="2" s="1"/>
  <c r="W700" i="2"/>
  <c r="Z700" i="2" s="1"/>
  <c r="W701" i="2"/>
  <c r="Z701" i="2" s="1"/>
  <c r="W702" i="2"/>
  <c r="Z702" i="2" s="1"/>
  <c r="W657" i="2"/>
  <c r="Z657" i="2" s="1"/>
  <c r="W692" i="2"/>
  <c r="Z692" i="2" s="1"/>
  <c r="W691" i="2"/>
  <c r="Z691" i="2" s="1"/>
  <c r="W678" i="2"/>
  <c r="Z678" i="2" s="1"/>
  <c r="W675" i="2"/>
  <c r="Z675" i="2" s="1"/>
  <c r="W686" i="2"/>
  <c r="Z686" i="2" s="1"/>
  <c r="W676" i="2"/>
  <c r="Z676" i="2" s="1"/>
  <c r="W674" i="2"/>
  <c r="Z674" i="2" s="1"/>
  <c r="W670" i="2"/>
  <c r="Z670" i="2" s="1"/>
  <c r="W181" i="2"/>
  <c r="Z181" i="2" s="1"/>
  <c r="W661" i="2"/>
  <c r="Z661" i="2" s="1"/>
  <c r="W660" i="2"/>
  <c r="Z660" i="2" s="1"/>
  <c r="W654" i="2"/>
  <c r="Z654" i="2" s="1"/>
  <c r="W601" i="2"/>
  <c r="Z601" i="2" s="1"/>
  <c r="W642" i="2"/>
  <c r="Z642" i="2" s="1"/>
  <c r="W637" i="2"/>
  <c r="Z637" i="2" s="1"/>
  <c r="W636" i="2"/>
  <c r="Z636" i="2" s="1"/>
  <c r="W653" i="2"/>
  <c r="Z653" i="2" s="1"/>
  <c r="W651" i="2"/>
  <c r="Z651" i="2" s="1"/>
  <c r="W603" i="2"/>
  <c r="Z603" i="2" s="1"/>
  <c r="W587" i="2"/>
  <c r="Z587" i="2" s="1"/>
  <c r="W652" i="2"/>
  <c r="Z652" i="2" s="1"/>
  <c r="W650" i="2"/>
  <c r="Z650" i="2" s="1"/>
  <c r="W646" i="2"/>
  <c r="Z646" i="2" s="1"/>
  <c r="W643" i="2"/>
  <c r="Z643" i="2" s="1"/>
  <c r="W645" i="2"/>
  <c r="Z645" i="2" s="1"/>
  <c r="W644" i="2"/>
  <c r="Z644" i="2" s="1"/>
  <c r="W641" i="2"/>
  <c r="Z641" i="2" s="1"/>
  <c r="W585" i="2"/>
  <c r="Z585" i="2" s="1"/>
  <c r="W593" i="2"/>
  <c r="Z593" i="2" s="1"/>
  <c r="W580" i="2"/>
  <c r="Z580" i="2" s="1"/>
  <c r="W598" i="2"/>
  <c r="Z598" i="2" s="1"/>
  <c r="W618" i="2"/>
  <c r="Z618" i="2" s="1"/>
  <c r="W575" i="2"/>
  <c r="Z575" i="2" s="1"/>
  <c r="W573" i="2"/>
  <c r="Z573" i="2" s="1"/>
  <c r="W597" i="2"/>
  <c r="Z597" i="2" s="1"/>
  <c r="W613" i="2"/>
  <c r="Z613" i="2" s="1"/>
  <c r="W629" i="2"/>
  <c r="Z629" i="2" s="1"/>
  <c r="W590" i="2"/>
  <c r="Z590" i="2" s="1"/>
  <c r="W599" i="2"/>
  <c r="Z599" i="2" s="1"/>
  <c r="W631" i="2"/>
  <c r="Z631" i="2" s="1"/>
  <c r="W622" i="2"/>
  <c r="Z622" i="2" s="1"/>
  <c r="W627" i="2"/>
  <c r="Z627" i="2" s="1"/>
  <c r="W606" i="2"/>
  <c r="Z606" i="2" s="1"/>
  <c r="W626" i="2"/>
  <c r="Z626" i="2" s="1"/>
  <c r="W605" i="2"/>
  <c r="Z605" i="2" s="1"/>
  <c r="W625" i="2"/>
  <c r="Z625" i="2" s="1"/>
  <c r="W624" i="2"/>
  <c r="Z624" i="2" s="1"/>
  <c r="W614" i="2"/>
  <c r="Z614" i="2" s="1"/>
  <c r="W609" i="2"/>
  <c r="Z609" i="2" s="1"/>
  <c r="W586" i="2"/>
  <c r="Z586" i="2" s="1"/>
  <c r="W584" i="2"/>
  <c r="Z584" i="2" s="1"/>
  <c r="W602" i="2"/>
  <c r="Z602" i="2" s="1"/>
  <c r="W594" i="2"/>
  <c r="Z594" i="2" s="1"/>
  <c r="W595" i="2"/>
  <c r="Z595" i="2" s="1"/>
  <c r="W588" i="2"/>
  <c r="Z588" i="2" s="1"/>
  <c r="W583" i="2"/>
  <c r="Z583" i="2" s="1"/>
  <c r="W589" i="2"/>
  <c r="Z589" i="2" s="1"/>
  <c r="W581" i="2"/>
  <c r="Z581" i="2" s="1"/>
  <c r="W579" i="2"/>
  <c r="Z579" i="2" s="1"/>
  <c r="W505" i="2"/>
  <c r="Z505" i="2" s="1"/>
  <c r="W549" i="2"/>
  <c r="Z549" i="2" s="1"/>
  <c r="W570" i="2"/>
  <c r="Z570" i="2" s="1"/>
  <c r="W564" i="2"/>
  <c r="Z564" i="2" s="1"/>
  <c r="W559" i="2"/>
  <c r="Z559" i="2" s="1"/>
  <c r="W577" i="2"/>
  <c r="Z577" i="2" s="1"/>
  <c r="W578" i="2"/>
  <c r="Z578" i="2" s="1"/>
  <c r="W576" i="2"/>
  <c r="Z576" i="2" s="1"/>
  <c r="W574" i="2"/>
  <c r="Z574" i="2" s="1"/>
  <c r="W572" i="2"/>
  <c r="Z572" i="2" s="1"/>
  <c r="W571" i="2"/>
  <c r="Z571" i="2" s="1"/>
  <c r="W560" i="2"/>
  <c r="Z560" i="2" s="1"/>
  <c r="W568" i="2"/>
  <c r="Z568" i="2" s="1"/>
  <c r="W544" i="2"/>
  <c r="Z544" i="2" s="1"/>
  <c r="W545" i="2"/>
  <c r="Z545" i="2" s="1"/>
  <c r="W555" i="2"/>
  <c r="Z555" i="2" s="1"/>
  <c r="W556" i="2"/>
  <c r="Z556" i="2" s="1"/>
  <c r="W558" i="2"/>
  <c r="Z558" i="2" s="1"/>
  <c r="W554" i="2"/>
  <c r="Z554" i="2" s="1"/>
  <c r="W552" i="2"/>
  <c r="Z552" i="2" s="1"/>
  <c r="W546" i="2"/>
  <c r="Z546" i="2" s="1"/>
  <c r="W548" i="2"/>
  <c r="Z548" i="2" s="1"/>
  <c r="W547" i="2"/>
  <c r="Z547" i="2" s="1"/>
  <c r="W531" i="2"/>
  <c r="Z531" i="2" s="1"/>
  <c r="W533" i="2"/>
  <c r="Z533" i="2" s="1"/>
  <c r="W542" i="2"/>
  <c r="Z542" i="2" s="1"/>
  <c r="W539" i="2"/>
  <c r="Z539" i="2" s="1"/>
  <c r="W540" i="2"/>
  <c r="Z540" i="2" s="1"/>
  <c r="W538" i="2"/>
  <c r="Z538" i="2" s="1"/>
  <c r="W537" i="2"/>
  <c r="Z537" i="2" s="1"/>
  <c r="W536" i="2"/>
  <c r="Z536" i="2" s="1"/>
  <c r="W534" i="2"/>
  <c r="Z534" i="2" s="1"/>
  <c r="W530" i="2"/>
  <c r="Z530" i="2" s="1"/>
  <c r="W527" i="2"/>
  <c r="Z527" i="2" s="1"/>
  <c r="W507" i="2"/>
  <c r="Z507" i="2" s="1"/>
  <c r="W524" i="2"/>
  <c r="Z524" i="2" s="1"/>
  <c r="W502" i="2"/>
  <c r="Z502" i="2" s="1"/>
  <c r="W525" i="2"/>
  <c r="Z525" i="2" s="1"/>
  <c r="W523" i="2"/>
  <c r="Z523" i="2" s="1"/>
  <c r="W518" i="2"/>
  <c r="Z518" i="2" s="1"/>
  <c r="W522" i="2"/>
  <c r="Z522" i="2" s="1"/>
  <c r="W521" i="2"/>
  <c r="Z521" i="2" s="1"/>
  <c r="W520" i="2"/>
  <c r="Z520" i="2" s="1"/>
  <c r="W519" i="2"/>
  <c r="Z519" i="2" s="1"/>
  <c r="W517" i="2"/>
  <c r="Z517" i="2" s="1"/>
  <c r="W457" i="2"/>
  <c r="Z457" i="2" s="1"/>
  <c r="W499" i="2"/>
  <c r="Z499" i="2" s="1"/>
  <c r="W516" i="2"/>
  <c r="Z516" i="2" s="1"/>
  <c r="W473" i="2"/>
  <c r="Z473" i="2" s="1"/>
  <c r="W441" i="2"/>
  <c r="Z441" i="2" s="1"/>
  <c r="W510" i="2"/>
  <c r="Z510" i="2" s="1"/>
  <c r="W452" i="2"/>
  <c r="Z452" i="2" s="1"/>
  <c r="W471" i="2"/>
  <c r="Z471" i="2" s="1"/>
  <c r="W501" i="2"/>
  <c r="Z501" i="2" s="1"/>
  <c r="W511" i="2"/>
  <c r="Z511" i="2" s="1"/>
  <c r="W513" i="2"/>
  <c r="Z513" i="2" s="1"/>
  <c r="W506" i="2"/>
  <c r="Z506" i="2" s="1"/>
  <c r="W514" i="2"/>
  <c r="Z514" i="2" s="1"/>
  <c r="W496" i="2"/>
  <c r="Z496" i="2" s="1"/>
  <c r="W512" i="2"/>
  <c r="Z512" i="2" s="1"/>
  <c r="W503" i="2"/>
  <c r="Z503" i="2" s="1"/>
  <c r="W296" i="2"/>
  <c r="Z296" i="2" s="1"/>
  <c r="W298" i="2"/>
  <c r="Z298" i="2" s="1"/>
  <c r="W348" i="2"/>
  <c r="Z348" i="2" s="1"/>
  <c r="W419" i="2"/>
  <c r="Z419" i="2" s="1"/>
  <c r="W443" i="2"/>
  <c r="Z443" i="2" s="1"/>
  <c r="W479" i="2"/>
  <c r="Z479" i="2" s="1"/>
  <c r="W462" i="2"/>
  <c r="Z462" i="2" s="1"/>
  <c r="W446" i="2"/>
  <c r="Z446" i="2" s="1"/>
  <c r="W500" i="2"/>
  <c r="Z500" i="2" s="1"/>
  <c r="W465" i="2"/>
  <c r="Z465" i="2" s="1"/>
  <c r="W433" i="2"/>
  <c r="Z433" i="2" s="1"/>
  <c r="W486" i="2"/>
  <c r="Z486" i="2" s="1"/>
  <c r="W498" i="2"/>
  <c r="Z498" i="2" s="1"/>
  <c r="W487" i="2"/>
  <c r="Z487" i="2" s="1"/>
  <c r="W488" i="2"/>
  <c r="Z488" i="2" s="1"/>
  <c r="W483" i="2"/>
  <c r="Z483" i="2" s="1"/>
  <c r="W497" i="2"/>
  <c r="Z497" i="2" s="1"/>
  <c r="W495" i="2"/>
  <c r="Z495" i="2" s="1"/>
  <c r="W493" i="2"/>
  <c r="Z493" i="2" s="1"/>
  <c r="W490" i="2"/>
  <c r="Z490" i="2" s="1"/>
  <c r="W491" i="2"/>
  <c r="Z491" i="2" s="1"/>
  <c r="W484" i="2"/>
  <c r="Z484" i="2" s="1"/>
  <c r="W403" i="2"/>
  <c r="Z403" i="2" s="1"/>
  <c r="W422" i="2"/>
  <c r="Z422" i="2" s="1"/>
  <c r="W451" i="2"/>
  <c r="Z451" i="2" s="1"/>
  <c r="W456" i="2"/>
  <c r="Z456" i="2" s="1"/>
  <c r="W440" i="2"/>
  <c r="Z440" i="2" s="1"/>
  <c r="W472" i="2"/>
  <c r="Z472" i="2" s="1"/>
  <c r="W470" i="2"/>
  <c r="Z470" i="2" s="1"/>
  <c r="W454" i="2"/>
  <c r="Z454" i="2" s="1"/>
  <c r="W417" i="2"/>
  <c r="Z417" i="2" s="1"/>
  <c r="W464" i="2"/>
  <c r="Z464" i="2" s="1"/>
  <c r="W449" i="2"/>
  <c r="Z449" i="2" s="1"/>
  <c r="W408" i="2"/>
  <c r="Z408" i="2" s="1"/>
  <c r="W411" i="2"/>
  <c r="Z411" i="2" s="1"/>
  <c r="W463" i="2"/>
  <c r="Z463" i="2" s="1"/>
  <c r="W461" i="2"/>
  <c r="Z461" i="2" s="1"/>
  <c r="W459" i="2"/>
  <c r="Z459" i="2" s="1"/>
  <c r="W475" i="2"/>
  <c r="Z475" i="2" s="1"/>
  <c r="W478" i="2"/>
  <c r="Z478" i="2" s="1"/>
  <c r="W439" i="2"/>
  <c r="Z439" i="2" s="1"/>
  <c r="W480" i="2"/>
  <c r="Z480" i="2" s="1"/>
  <c r="W466" i="2"/>
  <c r="Z466" i="2" s="1"/>
  <c r="W450" i="2"/>
  <c r="Z450" i="2" s="1"/>
  <c r="W469" i="2"/>
  <c r="Z469" i="2" s="1"/>
  <c r="W453" i="2"/>
  <c r="Z453" i="2" s="1"/>
  <c r="W476" i="2"/>
  <c r="Z476" i="2" s="1"/>
  <c r="W474" i="2"/>
  <c r="Z474" i="2" s="1"/>
  <c r="W468" i="2"/>
  <c r="Z468" i="2" s="1"/>
  <c r="W467" i="2"/>
  <c r="Z467" i="2" s="1"/>
  <c r="W460" i="2"/>
  <c r="Z460" i="2" s="1"/>
  <c r="W447" i="2"/>
  <c r="Z447" i="2" s="1"/>
  <c r="W455" i="2"/>
  <c r="Z455" i="2" s="1"/>
  <c r="W458" i="2"/>
  <c r="Z458" i="2" s="1"/>
  <c r="W445" i="2"/>
  <c r="Z445" i="2" s="1"/>
  <c r="W437" i="2"/>
  <c r="Z437" i="2" s="1"/>
  <c r="W410" i="2"/>
  <c r="Z410" i="2" s="1"/>
  <c r="W409" i="2"/>
  <c r="Z409" i="2" s="1"/>
  <c r="W415" i="2"/>
  <c r="Z415" i="2" s="1"/>
  <c r="W357" i="2"/>
  <c r="Z357" i="2" s="1"/>
  <c r="W407" i="2"/>
  <c r="Z407" i="2" s="1"/>
  <c r="W418" i="2"/>
  <c r="Z418" i="2" s="1"/>
  <c r="W413" i="2"/>
  <c r="Z413" i="2" s="1"/>
  <c r="W420" i="2"/>
  <c r="Z420" i="2" s="1"/>
  <c r="W435" i="2"/>
  <c r="Z435" i="2" s="1"/>
  <c r="W421" i="2"/>
  <c r="Z421" i="2" s="1"/>
  <c r="W297" i="2"/>
  <c r="Z297" i="2" s="1"/>
  <c r="W416" i="2"/>
  <c r="Z416" i="2" s="1"/>
  <c r="W356" i="2"/>
  <c r="Z356" i="2" s="1"/>
  <c r="W414" i="2"/>
  <c r="Z414" i="2" s="1"/>
  <c r="W350" i="2"/>
  <c r="Z350" i="2" s="1"/>
  <c r="W349" i="2"/>
  <c r="Z349" i="2" s="1"/>
  <c r="W355" i="2"/>
  <c r="Z355" i="2" s="1"/>
  <c r="W347" i="2"/>
  <c r="Z347" i="2" s="1"/>
  <c r="W340" i="2"/>
  <c r="Z340" i="2" s="1"/>
  <c r="W303" i="2"/>
  <c r="Z303" i="2" s="1"/>
  <c r="W289" i="2"/>
  <c r="Z289" i="2" s="1"/>
  <c r="W293" i="2"/>
  <c r="Z293" i="2" s="1"/>
  <c r="W253" i="2"/>
  <c r="Z253" i="2" s="1"/>
  <c r="W294" i="2"/>
  <c r="Z294" i="2" s="1"/>
  <c r="W299" i="2"/>
  <c r="Z299" i="2" s="1"/>
  <c r="W292" i="2"/>
  <c r="Z292" i="2" s="1"/>
  <c r="W295" i="2"/>
  <c r="Z295" i="2" s="1"/>
  <c r="W291" i="2"/>
  <c r="Z291" i="2" s="1"/>
  <c r="W75" i="2"/>
  <c r="Z75" i="2" s="1"/>
  <c r="W252" i="2"/>
  <c r="Z252" i="2" s="1"/>
  <c r="W251" i="2"/>
  <c r="Z251" i="2" s="1"/>
  <c r="W250" i="2"/>
  <c r="Z250" i="2" s="1"/>
  <c r="W249" i="2"/>
  <c r="Z249" i="2" s="1"/>
  <c r="W248" i="2"/>
  <c r="Z248" i="2" s="1"/>
  <c r="W195" i="2"/>
  <c r="Z195" i="2" s="1"/>
  <c r="W197" i="2"/>
  <c r="Z197" i="2" s="1"/>
  <c r="W206" i="2"/>
  <c r="Z206" i="2" s="1"/>
  <c r="W193" i="2"/>
  <c r="Z193" i="2" s="1"/>
  <c r="W192" i="2"/>
  <c r="Z192" i="2" s="1"/>
  <c r="W183" i="2"/>
  <c r="Z183" i="2" s="1"/>
  <c r="W187" i="2"/>
  <c r="Z187" i="2" s="1"/>
  <c r="W178" i="2"/>
  <c r="Z178" i="2" s="1"/>
  <c r="W210" i="2"/>
  <c r="Z210" i="2" s="1"/>
  <c r="W191" i="2"/>
  <c r="Z191" i="2" s="1"/>
  <c r="W160" i="2"/>
  <c r="Z160" i="2" s="1"/>
  <c r="W170" i="2"/>
  <c r="Z170" i="2" s="1"/>
  <c r="W189" i="2"/>
  <c r="Z189" i="2" s="1"/>
  <c r="W182" i="2"/>
  <c r="Z182" i="2" s="1"/>
  <c r="W53" i="2"/>
  <c r="Z53" i="2" s="1"/>
  <c r="W139" i="2"/>
  <c r="Z139" i="2" s="1"/>
  <c r="W133" i="2"/>
  <c r="Z133" i="2" s="1"/>
  <c r="W165" i="2"/>
  <c r="Z165" i="2" s="1"/>
  <c r="W194" i="2"/>
  <c r="Z194" i="2" s="1"/>
  <c r="W180" i="2"/>
  <c r="Z180" i="2" s="1"/>
  <c r="W188" i="2"/>
  <c r="Z188" i="2" s="1"/>
  <c r="W179" i="2"/>
  <c r="Z179" i="2" s="1"/>
  <c r="W173" i="2"/>
  <c r="Z173" i="2" s="1"/>
  <c r="W174" i="2"/>
  <c r="Z174" i="2" s="1"/>
  <c r="W169" i="2"/>
  <c r="Z169" i="2" s="1"/>
  <c r="W132" i="2"/>
  <c r="Z132" i="2" s="1"/>
  <c r="W148" i="2"/>
  <c r="Z148" i="2" s="1"/>
  <c r="W138" i="2"/>
  <c r="Z138" i="2" s="1"/>
  <c r="W166" i="2"/>
  <c r="Z166" i="2" s="1"/>
  <c r="W161" i="2"/>
  <c r="Z161" i="2" s="1"/>
  <c r="W167" i="2"/>
  <c r="Z167" i="2" s="1"/>
  <c r="W114" i="2"/>
  <c r="Z114" i="2" s="1"/>
  <c r="W137" i="2"/>
  <c r="Z137" i="2" s="1"/>
  <c r="W164" i="2"/>
  <c r="Z164" i="2" s="1"/>
  <c r="W34" i="2"/>
  <c r="Z34" i="2" s="1"/>
  <c r="W56" i="2"/>
  <c r="Z56" i="2" s="1"/>
  <c r="W142" i="2"/>
  <c r="Z142" i="2" s="1"/>
  <c r="W143" i="2"/>
  <c r="Z143" i="2" s="1"/>
  <c r="W146" i="2"/>
  <c r="Z146" i="2" s="1"/>
  <c r="W147" i="2"/>
  <c r="Z147" i="2" s="1"/>
  <c r="W145" i="2"/>
  <c r="Z145" i="2" s="1"/>
  <c r="W127" i="2"/>
  <c r="Z127" i="2" s="1"/>
  <c r="W144" i="2"/>
  <c r="Z144" i="2" s="1"/>
  <c r="W100" i="2"/>
  <c r="Z100" i="2" s="1"/>
  <c r="W140" i="2"/>
  <c r="Z140" i="2" s="1"/>
  <c r="W131" i="2"/>
  <c r="Z131" i="2" s="1"/>
  <c r="W116" i="2"/>
  <c r="Z116" i="2" s="1"/>
  <c r="W115" i="2"/>
  <c r="Z115" i="2" s="1"/>
  <c r="W113" i="2"/>
  <c r="Z113" i="2" s="1"/>
  <c r="W99" i="2"/>
  <c r="Z99" i="2" s="1"/>
  <c r="W85" i="2"/>
  <c r="Z85" i="2" s="1"/>
  <c r="W18" i="2"/>
  <c r="Z18" i="2" s="1"/>
  <c r="W37" i="2"/>
  <c r="Z37" i="2" s="1"/>
  <c r="W52" i="2"/>
  <c r="Z52" i="2" s="1"/>
  <c r="W40" i="2"/>
  <c r="Z40" i="2" s="1"/>
  <c r="W70" i="2"/>
  <c r="Z70" i="2" s="1"/>
  <c r="W66" i="2"/>
  <c r="Z66" i="2" s="1"/>
  <c r="W14" i="2"/>
  <c r="Z14" i="2" s="1"/>
  <c r="W36" i="2"/>
  <c r="Z36" i="2" s="1"/>
  <c r="W16" i="2"/>
  <c r="Z16" i="2" s="1"/>
  <c r="W11" i="2"/>
  <c r="Z11" i="2" s="1"/>
  <c r="W6" i="2"/>
  <c r="Z6" i="2" s="1"/>
  <c r="W38" i="2"/>
  <c r="Z38" i="2" s="1"/>
  <c r="W39" i="2"/>
  <c r="Z39" i="2" s="1"/>
  <c r="W9" i="2"/>
  <c r="Z9" i="2" s="1"/>
  <c r="W20" i="2"/>
  <c r="Z20" i="2" s="1"/>
  <c r="W17" i="2"/>
  <c r="Z17" i="2" s="1"/>
  <c r="W15" i="2"/>
  <c r="Z15" i="2" s="1"/>
  <c r="W12" i="2"/>
  <c r="Z12" i="2" s="1"/>
  <c r="AT1098" i="2"/>
  <c r="AS1098" i="2"/>
  <c r="AL1098" i="2"/>
  <c r="AK1098" i="2"/>
  <c r="AG1098" i="2"/>
  <c r="AH1098" i="2" s="1"/>
  <c r="AF1098" i="2"/>
  <c r="AT1097" i="2"/>
  <c r="AS1097" i="2"/>
  <c r="AL1097" i="2"/>
  <c r="AK1097" i="2"/>
  <c r="AG1097" i="2"/>
  <c r="AH1097" i="2" s="1"/>
  <c r="AF1097" i="2"/>
  <c r="AT1096" i="2"/>
  <c r="AS1096" i="2"/>
  <c r="AL1096" i="2"/>
  <c r="AK1096" i="2"/>
  <c r="AG1096" i="2"/>
  <c r="AH1096" i="2" s="1"/>
  <c r="AF1096" i="2"/>
  <c r="AT1095" i="2"/>
  <c r="AS1095" i="2"/>
  <c r="AL1095" i="2"/>
  <c r="AK1095" i="2"/>
  <c r="AG1095" i="2"/>
  <c r="AH1095" i="2" s="1"/>
  <c r="AF1095" i="2"/>
  <c r="AT1094" i="2"/>
  <c r="AS1094" i="2"/>
  <c r="AL1094" i="2"/>
  <c r="AK1094" i="2"/>
  <c r="AG1094" i="2"/>
  <c r="AH1094" i="2" s="1"/>
  <c r="AF1094" i="2"/>
  <c r="AT1093" i="2"/>
  <c r="AS1093" i="2"/>
  <c r="AL1093" i="2"/>
  <c r="AK1093" i="2"/>
  <c r="AG1093" i="2"/>
  <c r="AH1093" i="2" s="1"/>
  <c r="AF1093" i="2"/>
  <c r="AT1092" i="2"/>
  <c r="AS1092" i="2"/>
  <c r="AL1092" i="2"/>
  <c r="AK1092" i="2"/>
  <c r="AG1092" i="2"/>
  <c r="AH1092" i="2" s="1"/>
  <c r="AF1092" i="2"/>
  <c r="AT1091" i="2"/>
  <c r="AS1091" i="2"/>
  <c r="AL1091" i="2"/>
  <c r="AK1091" i="2"/>
  <c r="AG1091" i="2"/>
  <c r="AH1091" i="2" s="1"/>
  <c r="AF1091" i="2"/>
  <c r="AT1090" i="2"/>
  <c r="AS1090" i="2"/>
  <c r="AL1090" i="2"/>
  <c r="AK1090" i="2"/>
  <c r="AG1090" i="2"/>
  <c r="AH1090" i="2" s="1"/>
  <c r="AF1090" i="2"/>
  <c r="AT1089" i="2"/>
  <c r="AS1089" i="2"/>
  <c r="AL1089" i="2"/>
  <c r="AK1089" i="2"/>
  <c r="AG1089" i="2"/>
  <c r="AH1089" i="2" s="1"/>
  <c r="AF1089" i="2"/>
  <c r="AT1088" i="2"/>
  <c r="AS1088" i="2"/>
  <c r="AL1088" i="2"/>
  <c r="AK1088" i="2"/>
  <c r="AG1088" i="2"/>
  <c r="AH1088" i="2" s="1"/>
  <c r="AF1088" i="2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148" i="2"/>
  <c r="AS148" i="2"/>
  <c r="AL148" i="2"/>
  <c r="AK148" i="2"/>
  <c r="AG148" i="2"/>
  <c r="AF148" i="2"/>
  <c r="AT121" i="2"/>
  <c r="AS121" i="2"/>
  <c r="AL121" i="2"/>
  <c r="AK121" i="2"/>
  <c r="AG121" i="2"/>
  <c r="AF121" i="2"/>
  <c r="AT68" i="2"/>
  <c r="AS68" i="2"/>
  <c r="AL68" i="2"/>
  <c r="AK68" i="2"/>
  <c r="AG68" i="2"/>
  <c r="AF68" i="2"/>
  <c r="AK299" i="2"/>
  <c r="AL299" i="2"/>
  <c r="AK298" i="2"/>
  <c r="AL298" i="2"/>
  <c r="AK297" i="2"/>
  <c r="AL297" i="2"/>
  <c r="AK296" i="2"/>
  <c r="AL296" i="2"/>
  <c r="AK295" i="2"/>
  <c r="AL295" i="2"/>
  <c r="AK294" i="2"/>
  <c r="AL294" i="2"/>
  <c r="AK293" i="2"/>
  <c r="AL293" i="2"/>
  <c r="AT83" i="2"/>
  <c r="AS83" i="2"/>
  <c r="AL83" i="2"/>
  <c r="AK83" i="2"/>
  <c r="AG83" i="2"/>
  <c r="AH83" i="2" s="1"/>
  <c r="AF83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H121" i="2" l="1"/>
  <c r="AH68" i="2"/>
  <c r="AT84" i="2" l="1"/>
  <c r="AS84" i="2"/>
  <c r="AL84" i="2"/>
  <c r="AK84" i="2"/>
  <c r="AG84" i="2"/>
  <c r="AH84" i="2" s="1"/>
  <c r="AF84" i="2"/>
  <c r="AT991" i="2"/>
  <c r="AS991" i="2"/>
  <c r="AL991" i="2"/>
  <c r="AK991" i="2"/>
  <c r="AG991" i="2"/>
  <c r="AH991" i="2" s="1"/>
  <c r="AF991" i="2"/>
  <c r="AT990" i="2" l="1"/>
  <c r="AS990" i="2"/>
  <c r="AL990" i="2"/>
  <c r="AK990" i="2"/>
  <c r="AG990" i="2"/>
  <c r="AH990" i="2" s="1"/>
  <c r="AF990" i="2"/>
  <c r="AT989" i="2" l="1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311" i="2"/>
  <c r="AS311" i="2"/>
  <c r="AT310" i="2"/>
  <c r="AS310" i="2"/>
  <c r="AT309" i="2"/>
  <c r="AS309" i="2"/>
  <c r="AT308" i="2"/>
  <c r="AS308" i="2"/>
  <c r="AT307" i="2"/>
  <c r="AS30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8" i="2"/>
  <c r="AS228" i="2"/>
  <c r="AT227" i="2"/>
  <c r="AS227" i="2"/>
  <c r="AT226" i="2"/>
  <c r="AS226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7" i="2"/>
  <c r="AS147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8" i="2"/>
  <c r="AS138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L292" i="2"/>
  <c r="AK292" i="2"/>
  <c r="AL291" i="2"/>
  <c r="AK291" i="2"/>
  <c r="AL289" i="2"/>
  <c r="AK289" i="2"/>
  <c r="AL288" i="2"/>
  <c r="AK288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8" i="2"/>
  <c r="AK228" i="2"/>
  <c r="AL227" i="2"/>
  <c r="AK227" i="2"/>
  <c r="AL226" i="2"/>
  <c r="AK226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7" i="2"/>
  <c r="AK147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8" i="2"/>
  <c r="AK138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G284" i="2"/>
  <c r="AF284" i="2"/>
  <c r="AG283" i="2"/>
  <c r="AF283" i="2"/>
  <c r="AG282" i="2"/>
  <c r="AF282" i="2"/>
  <c r="AG281" i="2"/>
  <c r="AF28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8" i="2"/>
  <c r="AF228" i="2"/>
  <c r="AG227" i="2"/>
  <c r="AF227" i="2"/>
  <c r="AG226" i="2"/>
  <c r="AF226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7" i="2"/>
  <c r="AF147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8" i="2"/>
  <c r="AF138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 l="1"/>
  <c r="AS985" i="2"/>
  <c r="AL985" i="2"/>
  <c r="AK985" i="2"/>
  <c r="AG985" i="2"/>
  <c r="AH985" i="2" s="1"/>
  <c r="AF985" i="2"/>
  <c r="AT33" i="2"/>
  <c r="AS33" i="2"/>
  <c r="AL33" i="2"/>
  <c r="AK33" i="2"/>
  <c r="AG33" i="2"/>
  <c r="AH33" i="2" s="1"/>
  <c r="AF33" i="2"/>
  <c r="A1102" i="2"/>
  <c r="AT983" i="2" l="1"/>
  <c r="AS983" i="2"/>
  <c r="AL983" i="2"/>
  <c r="AK983" i="2"/>
  <c r="AG983" i="2"/>
  <c r="AH983" i="2" s="1"/>
  <c r="AF983" i="2"/>
  <c r="AT984" i="2"/>
  <c r="AS984" i="2"/>
  <c r="AL984" i="2"/>
  <c r="AK984" i="2"/>
  <c r="AG984" i="2"/>
  <c r="AH984" i="2" s="1"/>
  <c r="AF984" i="2"/>
  <c r="G1153" i="2"/>
  <c r="D1153" i="2"/>
  <c r="AT6" i="2"/>
  <c r="AS6" i="2"/>
  <c r="AL6" i="2"/>
  <c r="AK6" i="2"/>
  <c r="AG6" i="2"/>
  <c r="AH6" i="2" s="1"/>
  <c r="AF6" i="2"/>
  <c r="D1253" i="2" l="1"/>
  <c r="AG22" i="2" l="1"/>
  <c r="AK22" i="2"/>
  <c r="AL22" i="2"/>
  <c r="AS22" i="2"/>
  <c r="AT22" i="2"/>
  <c r="AG21" i="2" l="1"/>
  <c r="AK21" i="2"/>
  <c r="AL21" i="2"/>
  <c r="AS21" i="2"/>
  <c r="AT21" i="2"/>
  <c r="G1251" i="2" l="1"/>
  <c r="D1251" i="2"/>
  <c r="G1260" i="2"/>
  <c r="G1165" i="2"/>
  <c r="G1134" i="2"/>
  <c r="G1129" i="2"/>
  <c r="G1204" i="2"/>
  <c r="G1155" i="2"/>
  <c r="D1155" i="2"/>
  <c r="D1128" i="2" l="1"/>
  <c r="G1233" i="2" l="1"/>
  <c r="G1235" i="2" l="1"/>
  <c r="F1235" i="2"/>
  <c r="D1235" i="2"/>
  <c r="D1233" i="2"/>
  <c r="AT978" i="2"/>
  <c r="AS978" i="2"/>
  <c r="AT977" i="2"/>
  <c r="AS977" i="2"/>
  <c r="AT976" i="2"/>
  <c r="AS976" i="2"/>
  <c r="AT975" i="2"/>
  <c r="AS975" i="2"/>
  <c r="AT974" i="2"/>
  <c r="AS974" i="2"/>
  <c r="AT973" i="2"/>
  <c r="AS973" i="2"/>
  <c r="AT972" i="2"/>
  <c r="AS972" i="2"/>
  <c r="AT971" i="2"/>
  <c r="AS971" i="2"/>
  <c r="AT970" i="2"/>
  <c r="AS970" i="2"/>
  <c r="AT969" i="2"/>
  <c r="AS969" i="2"/>
  <c r="AT968" i="2"/>
  <c r="AS96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131" i="2"/>
  <c r="AS131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0" i="2"/>
  <c r="AS120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2" i="2"/>
  <c r="AS82" i="2"/>
  <c r="AT81" i="2"/>
  <c r="AS81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78" i="2"/>
  <c r="AK978" i="2"/>
  <c r="AG978" i="2"/>
  <c r="AH978" i="2" s="1"/>
  <c r="AF978" i="2"/>
  <c r="AL977" i="2"/>
  <c r="AK977" i="2"/>
  <c r="AG977" i="2"/>
  <c r="AH977" i="2" s="1"/>
  <c r="AF977" i="2"/>
  <c r="AL976" i="2"/>
  <c r="AK976" i="2"/>
  <c r="AG976" i="2"/>
  <c r="AH976" i="2" s="1"/>
  <c r="AF976" i="2"/>
  <c r="AL975" i="2"/>
  <c r="AK975" i="2"/>
  <c r="AG975" i="2"/>
  <c r="AH975" i="2" s="1"/>
  <c r="AF975" i="2"/>
  <c r="AL974" i="2"/>
  <c r="AK974" i="2"/>
  <c r="AG974" i="2"/>
  <c r="AH974" i="2" s="1"/>
  <c r="AF974" i="2"/>
  <c r="AL973" i="2"/>
  <c r="AK973" i="2"/>
  <c r="AG973" i="2"/>
  <c r="AH973" i="2" s="1"/>
  <c r="AF973" i="2"/>
  <c r="AL972" i="2"/>
  <c r="AK972" i="2"/>
  <c r="AG972" i="2"/>
  <c r="AH972" i="2" s="1"/>
  <c r="AF972" i="2"/>
  <c r="AL971" i="2"/>
  <c r="AK971" i="2"/>
  <c r="AG971" i="2"/>
  <c r="AH971" i="2" s="1"/>
  <c r="AF971" i="2"/>
  <c r="AL970" i="2"/>
  <c r="AK970" i="2"/>
  <c r="AG970" i="2"/>
  <c r="AH970" i="2" s="1"/>
  <c r="AF970" i="2"/>
  <c r="AL969" i="2"/>
  <c r="AK969" i="2"/>
  <c r="AG969" i="2"/>
  <c r="AH969" i="2" s="1"/>
  <c r="AF969" i="2"/>
  <c r="AL968" i="2"/>
  <c r="AK968" i="2"/>
  <c r="AG968" i="2"/>
  <c r="AH968" i="2" s="1"/>
  <c r="AF96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131" i="2"/>
  <c r="AK131" i="2"/>
  <c r="AG131" i="2"/>
  <c r="AF131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0" i="2"/>
  <c r="AK120" i="2"/>
  <c r="AG120" i="2"/>
  <c r="AF120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H99" i="2" s="1"/>
  <c r="AF99" i="2"/>
  <c r="AL98" i="2"/>
  <c r="AK98" i="2"/>
  <c r="AG98" i="2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2" i="2"/>
  <c r="AK82" i="2"/>
  <c r="AG82" i="2"/>
  <c r="AF82" i="2"/>
  <c r="AL81" i="2"/>
  <c r="AK81" i="2"/>
  <c r="AG81" i="2"/>
  <c r="AF81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2" i="2"/>
  <c r="AH111" i="2"/>
  <c r="AH110" i="2"/>
  <c r="AH130" i="2"/>
  <c r="AH128" i="2"/>
  <c r="AH129" i="2"/>
  <c r="AH127" i="2"/>
  <c r="AH126" i="2"/>
  <c r="AH124" i="2"/>
  <c r="AH125" i="2"/>
  <c r="AH123" i="2"/>
  <c r="AH131" i="2"/>
  <c r="AH116" i="2"/>
  <c r="AH115" i="2"/>
  <c r="AH122" i="2"/>
  <c r="AH120" i="2"/>
  <c r="AH119" i="2"/>
  <c r="AH118" i="2"/>
  <c r="AH117" i="2"/>
  <c r="AH109" i="2"/>
  <c r="AH108" i="2"/>
  <c r="AH107" i="2"/>
  <c r="AH106" i="2"/>
  <c r="AH105" i="2"/>
  <c r="AH104" i="2"/>
  <c r="AH114" i="2"/>
  <c r="AH113" i="2"/>
  <c r="AH85" i="2"/>
  <c r="AH92" i="2"/>
  <c r="AH91" i="2"/>
  <c r="AH90" i="2"/>
  <c r="AH89" i="2"/>
  <c r="AH88" i="2"/>
  <c r="AH87" i="2"/>
  <c r="AH86" i="2"/>
  <c r="AH98" i="2"/>
  <c r="AH97" i="2"/>
  <c r="AH96" i="2"/>
  <c r="AH95" i="2"/>
  <c r="AH94" i="2"/>
  <c r="AH93" i="2"/>
  <c r="AH102" i="2"/>
  <c r="AH101" i="2"/>
  <c r="AH103" i="2"/>
  <c r="AH100" i="2"/>
  <c r="AH65" i="2"/>
  <c r="AH64" i="2"/>
  <c r="AH63" i="2"/>
  <c r="AH61" i="2"/>
  <c r="AH62" i="2"/>
  <c r="AH56" i="2"/>
  <c r="AH74" i="2"/>
  <c r="AH73" i="2"/>
  <c r="AH72" i="2"/>
  <c r="AH76" i="2"/>
  <c r="AH82" i="2"/>
  <c r="AH81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2" i="2"/>
  <c r="AH53" i="2"/>
  <c r="AH58" i="2"/>
  <c r="AH57" i="2"/>
  <c r="AH42" i="2"/>
  <c r="AH40" i="2"/>
  <c r="AH39" i="2"/>
  <c r="AH48" i="2"/>
  <c r="AH47" i="2"/>
  <c r="AH46" i="2"/>
  <c r="AH45" i="2"/>
  <c r="AH44" i="2"/>
  <c r="AH43" i="2"/>
  <c r="AH51" i="2"/>
  <c r="AH50" i="2"/>
  <c r="AH49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72" i="2"/>
  <c r="D1172" i="2"/>
  <c r="E1235" i="2"/>
  <c r="G1253" i="2"/>
  <c r="G1248" i="2"/>
  <c r="D1248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T980" i="2"/>
  <c r="AS980" i="2"/>
  <c r="AL980" i="2"/>
  <c r="AK980" i="2"/>
  <c r="AG980" i="2"/>
  <c r="AH980" i="2" s="1"/>
  <c r="AF980" i="2"/>
  <c r="AT979" i="2"/>
  <c r="AS979" i="2"/>
  <c r="AL979" i="2"/>
  <c r="AK979" i="2"/>
  <c r="AG979" i="2"/>
  <c r="AH979" i="2" s="1"/>
  <c r="AF979" i="2"/>
  <c r="E1153" i="2" l="1"/>
  <c r="F1251" i="2"/>
  <c r="E1251" i="2"/>
  <c r="F1155" i="2"/>
  <c r="E1155" i="2"/>
  <c r="F1260" i="2"/>
  <c r="E1128" i="2"/>
  <c r="F1128" i="2"/>
  <c r="E1172" i="2"/>
  <c r="F1172" i="2"/>
  <c r="G1219" i="2"/>
  <c r="D1219" i="2"/>
  <c r="F1233" i="2" l="1"/>
  <c r="E1248" i="2" l="1"/>
  <c r="E1233" i="2"/>
  <c r="F1253" i="2"/>
  <c r="AT1102" i="2" l="1"/>
  <c r="AS1102" i="2"/>
  <c r="AT7" i="2"/>
  <c r="AS7" i="2"/>
  <c r="D1103" i="2" l="1"/>
  <c r="AK1102" i="2" l="1"/>
  <c r="AK7" i="2"/>
  <c r="AL7" i="2"/>
  <c r="AG7" i="2"/>
  <c r="AF7" i="2"/>
  <c r="AH7" i="2" l="1"/>
  <c r="G55" i="19"/>
  <c r="F1219" i="2" l="1"/>
  <c r="E1219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20" i="2" l="1"/>
  <c r="D1220" i="2"/>
  <c r="D1260" i="2" l="1"/>
  <c r="D1191" i="2"/>
  <c r="D1120" i="2"/>
  <c r="B63" i="19"/>
  <c r="AL1102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20" i="2"/>
  <c r="F1220" i="2"/>
  <c r="C72" i="18"/>
  <c r="K58" i="19"/>
  <c r="E1191" i="2"/>
  <c r="F1191" i="2"/>
  <c r="E1260" i="2"/>
  <c r="G1164" i="2" l="1"/>
  <c r="F1164" i="2"/>
  <c r="D1164" i="2"/>
  <c r="AG1102" i="2" l="1"/>
  <c r="AH1102" i="2" s="1"/>
  <c r="AF1102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48" i="2"/>
  <c r="E1164" i="2"/>
  <c r="G1198" i="2" l="1"/>
  <c r="D1198" i="2"/>
  <c r="G1177" i="2" l="1"/>
  <c r="F1177" i="2"/>
  <c r="D1177" i="2"/>
  <c r="D1176" i="2"/>
  <c r="G1116" i="2" l="1"/>
  <c r="F1116" i="2"/>
  <c r="E1116" i="2"/>
  <c r="D1116" i="2"/>
  <c r="E1120" i="2"/>
  <c r="G1120" i="2"/>
  <c r="D1121" i="2"/>
  <c r="D1122" i="2"/>
  <c r="D1123" i="2"/>
  <c r="E1118" i="2"/>
  <c r="D1118" i="2"/>
  <c r="G1195" i="2"/>
  <c r="D1195" i="2"/>
  <c r="E1194" i="2"/>
  <c r="D1194" i="2"/>
  <c r="G1225" i="2"/>
  <c r="D1225" i="2"/>
  <c r="G1126" i="2"/>
  <c r="D1126" i="2"/>
  <c r="D1125" i="2"/>
  <c r="E1198" i="2" l="1"/>
  <c r="F1198" i="2"/>
  <c r="E1177" i="2"/>
  <c r="F1120" i="2"/>
  <c r="G1227" i="2"/>
  <c r="E1126" i="2" l="1"/>
  <c r="F1126" i="2"/>
  <c r="E1195" i="2"/>
  <c r="F1195" i="2"/>
  <c r="F1225" i="2"/>
  <c r="E1225" i="2"/>
  <c r="E1125" i="2"/>
  <c r="E1137" i="2" l="1"/>
  <c r="C63" i="19"/>
  <c r="D63" i="19" s="1"/>
  <c r="D1109" i="2"/>
  <c r="E1109" i="2"/>
  <c r="F1109" i="2"/>
  <c r="B1110" i="2"/>
  <c r="B1111" i="2" s="1"/>
  <c r="B1112" i="2" s="1"/>
  <c r="B1113" i="2" s="1"/>
  <c r="B1114" i="2" s="1"/>
  <c r="B1115" i="2" s="1"/>
  <c r="B1116" i="2" s="1"/>
  <c r="B1117" i="2" s="1"/>
  <c r="B1118" i="2" s="1"/>
  <c r="D1110" i="2"/>
  <c r="E1110" i="2"/>
  <c r="F1110" i="2"/>
  <c r="D1111" i="2"/>
  <c r="E1111" i="2"/>
  <c r="F1111" i="2"/>
  <c r="AA1111" i="2"/>
  <c r="D1112" i="2"/>
  <c r="E1112" i="2"/>
  <c r="F1112" i="2"/>
  <c r="D1113" i="2"/>
  <c r="D1114" i="2"/>
  <c r="E1114" i="2"/>
  <c r="F1114" i="2"/>
  <c r="G1114" i="2"/>
  <c r="D1115" i="2"/>
  <c r="E1115" i="2"/>
  <c r="F1115" i="2"/>
  <c r="D1117" i="2"/>
  <c r="E1117" i="2"/>
  <c r="F1117" i="2"/>
  <c r="F1118" i="2"/>
  <c r="G1118" i="2"/>
  <c r="D1119" i="2"/>
  <c r="E1119" i="2"/>
  <c r="F1119" i="2"/>
  <c r="E1121" i="2"/>
  <c r="F1121" i="2"/>
  <c r="E1122" i="2"/>
  <c r="F1122" i="2"/>
  <c r="D1124" i="2"/>
  <c r="E1124" i="2"/>
  <c r="F1124" i="2"/>
  <c r="G1125" i="2"/>
  <c r="D1127" i="2"/>
  <c r="E1127" i="2"/>
  <c r="F1127" i="2"/>
  <c r="D1129" i="2"/>
  <c r="E1129" i="2"/>
  <c r="F1129" i="2"/>
  <c r="D1130" i="2"/>
  <c r="E1130" i="2"/>
  <c r="F1130" i="2"/>
  <c r="D1131" i="2"/>
  <c r="D1132" i="2"/>
  <c r="E1132" i="2"/>
  <c r="F1132" i="2"/>
  <c r="G1132" i="2"/>
  <c r="D1133" i="2"/>
  <c r="E1133" i="2"/>
  <c r="F1133" i="2"/>
  <c r="D1134" i="2"/>
  <c r="E1134" i="2"/>
  <c r="F1134" i="2"/>
  <c r="D1135" i="2"/>
  <c r="E1135" i="2"/>
  <c r="F1135" i="2"/>
  <c r="D1136" i="2"/>
  <c r="G1136" i="2"/>
  <c r="D1137" i="2"/>
  <c r="D1138" i="2"/>
  <c r="E1138" i="2"/>
  <c r="F1138" i="2"/>
  <c r="G1138" i="2"/>
  <c r="D1139" i="2"/>
  <c r="G1139" i="2"/>
  <c r="D1140" i="2"/>
  <c r="D1141" i="2"/>
  <c r="E1141" i="2"/>
  <c r="F1141" i="2"/>
  <c r="D1142" i="2"/>
  <c r="E1142" i="2"/>
  <c r="F1142" i="2"/>
  <c r="D1143" i="2"/>
  <c r="G1143" i="2"/>
  <c r="D1144" i="2"/>
  <c r="E1144" i="2"/>
  <c r="F1144" i="2"/>
  <c r="D1145" i="2"/>
  <c r="E1145" i="2"/>
  <c r="F1145" i="2"/>
  <c r="D1146" i="2"/>
  <c r="E1146" i="2"/>
  <c r="F1146" i="2"/>
  <c r="G1146" i="2"/>
  <c r="D1147" i="2"/>
  <c r="E1147" i="2"/>
  <c r="F1147" i="2"/>
  <c r="G1147" i="2"/>
  <c r="D1148" i="2"/>
  <c r="G1148" i="2"/>
  <c r="D1149" i="2"/>
  <c r="E1149" i="2"/>
  <c r="F1149" i="2"/>
  <c r="G1149" i="2"/>
  <c r="D1150" i="2"/>
  <c r="G1150" i="2"/>
  <c r="D1151" i="2"/>
  <c r="E1151" i="2"/>
  <c r="F1151" i="2"/>
  <c r="D1152" i="2"/>
  <c r="E1152" i="2"/>
  <c r="F1152" i="2"/>
  <c r="G1152" i="2"/>
  <c r="D1154" i="2"/>
  <c r="G1154" i="2"/>
  <c r="D1156" i="2"/>
  <c r="G1156" i="2"/>
  <c r="D1157" i="2"/>
  <c r="G1157" i="2"/>
  <c r="D1158" i="2"/>
  <c r="E1158" i="2"/>
  <c r="F1158" i="2"/>
  <c r="G1158" i="2"/>
  <c r="D1159" i="2"/>
  <c r="E1159" i="2"/>
  <c r="F1159" i="2"/>
  <c r="G1159" i="2"/>
  <c r="D1160" i="2"/>
  <c r="E1160" i="2"/>
  <c r="F1160" i="2"/>
  <c r="D1161" i="2"/>
  <c r="G1161" i="2"/>
  <c r="D1162" i="2"/>
  <c r="E1162" i="2"/>
  <c r="F1162" i="2"/>
  <c r="G1162" i="2"/>
  <c r="D1163" i="2"/>
  <c r="E1163" i="2"/>
  <c r="F1163" i="2"/>
  <c r="D1165" i="2"/>
  <c r="E1165" i="2"/>
  <c r="F1165" i="2"/>
  <c r="D1166" i="2"/>
  <c r="E1166" i="2"/>
  <c r="F1166" i="2"/>
  <c r="G1166" i="2"/>
  <c r="D1167" i="2"/>
  <c r="E1167" i="2"/>
  <c r="F1167" i="2"/>
  <c r="D1168" i="2"/>
  <c r="G1168" i="2"/>
  <c r="D1169" i="2"/>
  <c r="G1169" i="2"/>
  <c r="D1170" i="2"/>
  <c r="E1170" i="2"/>
  <c r="F1170" i="2"/>
  <c r="G1170" i="2"/>
  <c r="D1171" i="2"/>
  <c r="G1171" i="2"/>
  <c r="D1173" i="2"/>
  <c r="G1173" i="2"/>
  <c r="D1174" i="2"/>
  <c r="E1174" i="2"/>
  <c r="F1174" i="2"/>
  <c r="D1175" i="2"/>
  <c r="E1175" i="2"/>
  <c r="F1175" i="2"/>
  <c r="E1176" i="2"/>
  <c r="F1176" i="2"/>
  <c r="D1178" i="2"/>
  <c r="E1178" i="2"/>
  <c r="F1178" i="2"/>
  <c r="G1178" i="2"/>
  <c r="D1179" i="2"/>
  <c r="G1179" i="2"/>
  <c r="D1180" i="2"/>
  <c r="E1180" i="2"/>
  <c r="F1180" i="2"/>
  <c r="D1181" i="2"/>
  <c r="G1181" i="2"/>
  <c r="D1182" i="2"/>
  <c r="E1182" i="2"/>
  <c r="F1182" i="2"/>
  <c r="D1183" i="2"/>
  <c r="E1183" i="2"/>
  <c r="F1183" i="2"/>
  <c r="D1184" i="2"/>
  <c r="E1184" i="2"/>
  <c r="F1184" i="2"/>
  <c r="G1184" i="2"/>
  <c r="D1185" i="2"/>
  <c r="E1185" i="2"/>
  <c r="F1185" i="2"/>
  <c r="G1185" i="2"/>
  <c r="D1186" i="2"/>
  <c r="G1186" i="2"/>
  <c r="D1187" i="2"/>
  <c r="E1187" i="2"/>
  <c r="F1187" i="2"/>
  <c r="D1188" i="2"/>
  <c r="E1188" i="2"/>
  <c r="F1188" i="2"/>
  <c r="D1189" i="2"/>
  <c r="G1189" i="2"/>
  <c r="D1190" i="2"/>
  <c r="E1190" i="2"/>
  <c r="F1190" i="2"/>
  <c r="D1192" i="2"/>
  <c r="D1193" i="2"/>
  <c r="E1193" i="2"/>
  <c r="F1193" i="2"/>
  <c r="F1194" i="2"/>
  <c r="D1196" i="2"/>
  <c r="G1196" i="2"/>
  <c r="D1197" i="2"/>
  <c r="E1197" i="2"/>
  <c r="F1197" i="2"/>
  <c r="G1197" i="2"/>
  <c r="D1199" i="2"/>
  <c r="G1199" i="2"/>
  <c r="D1200" i="2"/>
  <c r="G1200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19" i="2" l="1"/>
  <c r="B1120" i="2" s="1"/>
  <c r="B1121" i="2" s="1"/>
  <c r="B1122" i="2" s="1"/>
  <c r="B1123" i="2" s="1"/>
  <c r="B1124" i="2" s="1"/>
  <c r="B1125" i="2" s="1"/>
  <c r="B1126" i="2" s="1"/>
  <c r="B1127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1" i="2" s="1"/>
  <c r="B1142" i="2" s="1"/>
  <c r="B1143" i="2" s="1"/>
  <c r="B1144" i="2" s="1"/>
  <c r="B1145" i="2" s="1"/>
  <c r="B1146" i="2" s="1"/>
  <c r="B1147" i="2" s="1"/>
  <c r="B1148" i="2" s="1"/>
  <c r="B1149" i="2" s="1"/>
  <c r="B1150" i="2" s="1"/>
  <c r="B1151" i="2" s="1"/>
  <c r="B1152" i="2" s="1"/>
  <c r="B1153" i="2" s="1"/>
  <c r="B1154" i="2" s="1"/>
  <c r="B1156" i="2" s="1"/>
  <c r="B1157" i="2" s="1"/>
  <c r="B1158" i="2" s="1"/>
  <c r="B1159" i="2" s="1"/>
  <c r="B1160" i="2" s="1"/>
  <c r="B1161" i="2" s="1"/>
  <c r="B1162" i="2" s="1"/>
  <c r="B1163" i="2" s="1"/>
  <c r="B1165" i="2" s="1"/>
  <c r="B1166" i="2" s="1"/>
  <c r="B1167" i="2" s="1"/>
  <c r="B1168" i="2" s="1"/>
  <c r="B1169" i="2" s="1"/>
  <c r="B1170" i="2" s="1"/>
  <c r="B1171" i="2" s="1"/>
  <c r="B1173" i="2" s="1"/>
  <c r="B1174" i="2" s="1"/>
  <c r="B1175" i="2" s="1"/>
  <c r="B1176" i="2" s="1"/>
  <c r="B1177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3" i="2" s="1"/>
  <c r="B1204" i="2" s="1"/>
  <c r="B1205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8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4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B1254" i="2" s="1"/>
  <c r="B1255" i="2" s="1"/>
  <c r="B1256" i="2" s="1"/>
  <c r="B1257" i="2" s="1"/>
  <c r="B1258" i="2" s="1"/>
  <c r="B1259" i="2" s="1"/>
  <c r="B1260" i="2" s="1"/>
  <c r="B1261" i="2" s="1"/>
  <c r="B1262" i="2" s="1"/>
  <c r="B1263" i="2" s="1"/>
  <c r="B1264" i="2" s="1"/>
  <c r="B1265" i="2" s="1"/>
  <c r="B1266" i="2" s="1"/>
  <c r="B1267" i="2" s="1"/>
  <c r="B1268" i="2" s="1"/>
  <c r="F1227" i="2"/>
  <c r="F1137" i="2"/>
  <c r="F1123" i="2"/>
  <c r="E1123" i="2"/>
  <c r="AA1112" i="2"/>
  <c r="G1252" i="2"/>
  <c r="D1252" i="2"/>
  <c r="G1265" i="2"/>
  <c r="G1201" i="2"/>
  <c r="D1201" i="2"/>
  <c r="E1161" i="2" l="1"/>
  <c r="F1161" i="2"/>
  <c r="E1139" i="2"/>
  <c r="F1139" i="2"/>
  <c r="F1252" i="2"/>
  <c r="F1189" i="2"/>
  <c r="E1189" i="2"/>
  <c r="E1252" i="2"/>
  <c r="G1212" i="2" l="1"/>
  <c r="D1212" i="2"/>
  <c r="E1211" i="2"/>
  <c r="D1211" i="2"/>
  <c r="E1201" i="2" l="1"/>
  <c r="E1218" i="2"/>
  <c r="E1230" i="2"/>
  <c r="E1242" i="2"/>
  <c r="E1265" i="2"/>
  <c r="E1169" i="2"/>
  <c r="G1231" i="2"/>
  <c r="D1231" i="2"/>
  <c r="D1230" i="2"/>
  <c r="E1288" i="2"/>
  <c r="E1231" i="2"/>
  <c r="E1268" i="2"/>
  <c r="F1186" i="2"/>
  <c r="T1286" i="2"/>
  <c r="F1215" i="2"/>
  <c r="E1216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40" i="2"/>
  <c r="E1263" i="2"/>
  <c r="C7" i="17"/>
  <c r="B9" i="17"/>
  <c r="B24" i="17"/>
  <c r="C29" i="17"/>
  <c r="F1131" i="2"/>
  <c r="C26" i="17"/>
  <c r="E1226" i="2"/>
  <c r="D1203" i="2"/>
  <c r="E1203" i="2"/>
  <c r="F1203" i="2"/>
  <c r="G1203" i="2"/>
  <c r="D1204" i="2"/>
  <c r="D1205" i="2"/>
  <c r="G1205" i="2"/>
  <c r="D1206" i="2"/>
  <c r="G1206" i="2"/>
  <c r="D1207" i="2"/>
  <c r="G1207" i="2"/>
  <c r="D1208" i="2"/>
  <c r="D1209" i="2"/>
  <c r="E1209" i="2"/>
  <c r="F1209" i="2"/>
  <c r="D1210" i="2"/>
  <c r="E1210" i="2"/>
  <c r="F1210" i="2"/>
  <c r="F1211" i="2"/>
  <c r="G1211" i="2"/>
  <c r="D1213" i="2"/>
  <c r="E1213" i="2"/>
  <c r="F1213" i="2"/>
  <c r="D1214" i="2"/>
  <c r="G1214" i="2"/>
  <c r="D1215" i="2"/>
  <c r="G1215" i="2"/>
  <c r="D1216" i="2"/>
  <c r="G1216" i="2"/>
  <c r="D1217" i="2"/>
  <c r="E1217" i="2"/>
  <c r="F1217" i="2"/>
  <c r="D1218" i="2"/>
  <c r="G1218" i="2"/>
  <c r="D1221" i="2"/>
  <c r="E1221" i="2"/>
  <c r="F1221" i="2"/>
  <c r="D1222" i="2"/>
  <c r="E1222" i="2"/>
  <c r="F1222" i="2"/>
  <c r="D1223" i="2"/>
  <c r="G1223" i="2"/>
  <c r="D1224" i="2"/>
  <c r="E1224" i="2"/>
  <c r="F1224" i="2"/>
  <c r="G1224" i="2"/>
  <c r="D1226" i="2"/>
  <c r="D1227" i="2"/>
  <c r="D1228" i="2"/>
  <c r="G1228" i="2"/>
  <c r="D1229" i="2"/>
  <c r="E1229" i="2"/>
  <c r="F1229" i="2"/>
  <c r="G1230" i="2"/>
  <c r="D1232" i="2"/>
  <c r="E1232" i="2"/>
  <c r="F1232" i="2"/>
  <c r="D1234" i="2"/>
  <c r="E1234" i="2"/>
  <c r="F1234" i="2"/>
  <c r="D1236" i="2"/>
  <c r="G1236" i="2"/>
  <c r="D1237" i="2"/>
  <c r="E1237" i="2"/>
  <c r="F1237" i="2"/>
  <c r="D1238" i="2"/>
  <c r="E1238" i="2"/>
  <c r="F1238" i="2"/>
  <c r="D1239" i="2"/>
  <c r="E1239" i="2"/>
  <c r="F1239" i="2"/>
  <c r="D1240" i="2"/>
  <c r="D1241" i="2"/>
  <c r="G1241" i="2"/>
  <c r="D1242" i="2"/>
  <c r="G1242" i="2"/>
  <c r="D1243" i="2"/>
  <c r="D1244" i="2"/>
  <c r="G1244" i="2"/>
  <c r="D1245" i="2"/>
  <c r="E1245" i="2"/>
  <c r="F1245" i="2"/>
  <c r="D1246" i="2"/>
  <c r="E1246" i="2"/>
  <c r="F1246" i="2"/>
  <c r="D1247" i="2"/>
  <c r="G1247" i="2"/>
  <c r="D1249" i="2"/>
  <c r="E1249" i="2"/>
  <c r="F1249" i="2"/>
  <c r="D1250" i="2"/>
  <c r="G1250" i="2"/>
  <c r="D1254" i="2"/>
  <c r="F1254" i="2"/>
  <c r="D1255" i="2"/>
  <c r="E1255" i="2"/>
  <c r="F1255" i="2"/>
  <c r="D1256" i="2"/>
  <c r="G1256" i="2"/>
  <c r="D1257" i="2"/>
  <c r="G1257" i="2"/>
  <c r="D1258" i="2"/>
  <c r="E1258" i="2"/>
  <c r="F1258" i="2"/>
  <c r="D1259" i="2"/>
  <c r="E1259" i="2"/>
  <c r="F1259" i="2"/>
  <c r="G1259" i="2"/>
  <c r="D1261" i="2"/>
  <c r="E1261" i="2"/>
  <c r="F1261" i="2"/>
  <c r="G1261" i="2"/>
  <c r="D1262" i="2"/>
  <c r="E1262" i="2"/>
  <c r="F1262" i="2"/>
  <c r="G1262" i="2"/>
  <c r="D1263" i="2"/>
  <c r="G1263" i="2"/>
  <c r="D1264" i="2"/>
  <c r="E1264" i="2"/>
  <c r="F1264" i="2"/>
  <c r="D1265" i="2"/>
  <c r="F1265" i="2"/>
  <c r="D1266" i="2"/>
  <c r="E1266" i="2"/>
  <c r="F1266" i="2"/>
  <c r="G1266" i="2"/>
  <c r="D1267" i="2"/>
  <c r="G1267" i="2"/>
  <c r="D1268" i="2"/>
  <c r="G1268" i="2"/>
  <c r="D1273" i="2"/>
  <c r="D1275" i="2"/>
  <c r="D1281" i="2"/>
  <c r="F1281" i="2" s="1"/>
  <c r="G1281" i="2"/>
  <c r="I1281" i="2" s="1"/>
  <c r="H1281" i="2"/>
  <c r="J1281" i="2"/>
  <c r="U1281" i="2" s="1"/>
  <c r="T1281" i="2"/>
  <c r="V1281" i="2"/>
  <c r="X1281" i="2" s="1"/>
  <c r="W1281" i="2"/>
  <c r="D1282" i="2"/>
  <c r="F1282" i="2" s="1"/>
  <c r="G1282" i="2"/>
  <c r="I1282" i="2" s="1"/>
  <c r="H1282" i="2"/>
  <c r="J1282" i="2"/>
  <c r="U1282" i="2" s="1"/>
  <c r="T1282" i="2"/>
  <c r="V1282" i="2"/>
  <c r="X1282" i="2" s="1"/>
  <c r="W1282" i="2"/>
  <c r="D1283" i="2"/>
  <c r="F1283" i="2" s="1"/>
  <c r="G1283" i="2"/>
  <c r="I1283" i="2" s="1"/>
  <c r="H1283" i="2"/>
  <c r="J1283" i="2"/>
  <c r="U1283" i="2" s="1"/>
  <c r="T1283" i="2"/>
  <c r="V1283" i="2"/>
  <c r="X1283" i="2" s="1"/>
  <c r="W1283" i="2"/>
  <c r="D1284" i="2"/>
  <c r="F1284" i="2" s="1"/>
  <c r="E1284" i="2"/>
  <c r="G1284" i="2"/>
  <c r="I1284" i="2" s="1"/>
  <c r="H1284" i="2"/>
  <c r="J1284" i="2"/>
  <c r="U1284" i="2" s="1"/>
  <c r="T1284" i="2"/>
  <c r="V1284" i="2"/>
  <c r="X1284" i="2" s="1"/>
  <c r="W1284" i="2"/>
  <c r="D1285" i="2"/>
  <c r="F1285" i="2" s="1"/>
  <c r="G1285" i="2"/>
  <c r="I1285" i="2" s="1"/>
  <c r="H1285" i="2"/>
  <c r="J1285" i="2"/>
  <c r="U1285" i="2" s="1"/>
  <c r="T1285" i="2"/>
  <c r="V1285" i="2"/>
  <c r="X1285" i="2" s="1"/>
  <c r="W1285" i="2"/>
  <c r="D1286" i="2"/>
  <c r="F1286" i="2" s="1"/>
  <c r="G1286" i="2"/>
  <c r="I1286" i="2" s="1"/>
  <c r="J1286" i="2"/>
  <c r="U1286" i="2" s="1"/>
  <c r="V1286" i="2"/>
  <c r="X1286" i="2" s="1"/>
  <c r="W1286" i="2"/>
  <c r="D1287" i="2"/>
  <c r="F1287" i="2" s="1"/>
  <c r="G1287" i="2"/>
  <c r="I1287" i="2" s="1"/>
  <c r="J1287" i="2"/>
  <c r="U1287" i="2" s="1"/>
  <c r="V1287" i="2"/>
  <c r="X1287" i="2" s="1"/>
  <c r="W1287" i="2"/>
  <c r="D1288" i="2"/>
  <c r="F1288" i="2" s="1"/>
  <c r="G1288" i="2"/>
  <c r="I1288" i="2" s="1"/>
  <c r="H1288" i="2"/>
  <c r="J1288" i="2"/>
  <c r="U1288" i="2" s="1"/>
  <c r="T1288" i="2"/>
  <c r="V1288" i="2"/>
  <c r="X1288" i="2" s="1"/>
  <c r="W1288" i="2"/>
  <c r="D1289" i="2"/>
  <c r="F1289" i="2" s="1"/>
  <c r="E1289" i="2"/>
  <c r="G1289" i="2"/>
  <c r="I1289" i="2" s="1"/>
  <c r="H1289" i="2"/>
  <c r="J1289" i="2"/>
  <c r="U1289" i="2" s="1"/>
  <c r="T1289" i="2"/>
  <c r="V1289" i="2"/>
  <c r="X1289" i="2" s="1"/>
  <c r="W1289" i="2"/>
  <c r="D1290" i="2"/>
  <c r="F1290" i="2" s="1"/>
  <c r="E1290" i="2"/>
  <c r="G1290" i="2"/>
  <c r="I1290" i="2" s="1"/>
  <c r="H1290" i="2"/>
  <c r="J1290" i="2"/>
  <c r="U1290" i="2" s="1"/>
  <c r="T1290" i="2"/>
  <c r="V1290" i="2"/>
  <c r="X1290" i="2" s="1"/>
  <c r="W1290" i="2"/>
  <c r="D1291" i="2"/>
  <c r="F1291" i="2" s="1"/>
  <c r="E1291" i="2"/>
  <c r="G1291" i="2"/>
  <c r="I1291" i="2" s="1"/>
  <c r="H1291" i="2"/>
  <c r="J1291" i="2"/>
  <c r="U1291" i="2" s="1"/>
  <c r="T1291" i="2"/>
  <c r="V1291" i="2"/>
  <c r="X1291" i="2" s="1"/>
  <c r="W1291" i="2"/>
  <c r="D1292" i="2"/>
  <c r="F1292" i="2" s="1"/>
  <c r="E1292" i="2"/>
  <c r="G1292" i="2"/>
  <c r="I1292" i="2" s="1"/>
  <c r="H1292" i="2"/>
  <c r="J1292" i="2"/>
  <c r="U1292" i="2" s="1"/>
  <c r="V1292" i="2"/>
  <c r="X1292" i="2" s="1"/>
  <c r="W1292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36" i="2"/>
  <c r="F1236" i="2"/>
  <c r="F1263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26" i="2"/>
  <c r="E1281" i="2"/>
  <c r="E1254" i="2"/>
  <c r="F1207" i="2"/>
  <c r="E1207" i="2"/>
  <c r="F1240" i="2"/>
  <c r="E1208" i="2"/>
  <c r="F1208" i="2"/>
  <c r="E1215" i="2"/>
  <c r="F1205" i="2"/>
  <c r="F1218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79" i="2"/>
  <c r="F1148" i="2"/>
  <c r="C39" i="4"/>
  <c r="C40" i="4" s="1"/>
  <c r="F1143" i="2"/>
  <c r="F1181" i="2"/>
  <c r="E1113" i="2"/>
  <c r="F1113" i="2"/>
  <c r="E1171" i="2"/>
  <c r="F1171" i="2"/>
  <c r="E1192" i="2"/>
  <c r="F1192" i="2"/>
  <c r="E1140" i="2"/>
  <c r="F1140" i="2"/>
  <c r="E1179" i="2"/>
  <c r="E1148" i="2"/>
  <c r="F1242" i="2"/>
  <c r="E1212" i="2"/>
  <c r="F1212" i="2"/>
  <c r="F1169" i="2"/>
  <c r="E1196" i="2"/>
  <c r="F1196" i="2"/>
  <c r="F1173" i="2"/>
  <c r="E1186" i="2"/>
  <c r="E1181" i="2"/>
  <c r="E1131" i="2"/>
  <c r="E1168" i="2"/>
  <c r="F1168" i="2"/>
  <c r="E1154" i="2"/>
  <c r="F1154" i="2"/>
  <c r="E1173" i="2"/>
  <c r="E1200" i="2"/>
  <c r="F1200" i="2"/>
  <c r="E1156" i="2"/>
  <c r="F1156" i="2"/>
  <c r="F1157" i="2"/>
  <c r="E1157" i="2"/>
  <c r="F1125" i="2"/>
  <c r="E1136" i="2"/>
  <c r="F1136" i="2"/>
  <c r="F1199" i="2"/>
  <c r="E1199" i="2"/>
  <c r="E1150" i="2"/>
  <c r="F1150" i="2"/>
  <c r="F1153" i="2"/>
  <c r="E1143" i="2"/>
  <c r="F1201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41" i="2"/>
  <c r="C34" i="11"/>
  <c r="C36" i="11" s="1"/>
  <c r="E1287" i="2"/>
  <c r="C26" i="11"/>
  <c r="C27" i="11"/>
  <c r="C28" i="11" s="1"/>
  <c r="R56" i="3"/>
  <c r="Q62" i="3" s="1"/>
  <c r="Q63" i="3" s="1"/>
  <c r="Q64" i="3" s="1"/>
  <c r="E1243" i="2"/>
  <c r="F1268" i="2"/>
  <c r="D1276" i="2"/>
  <c r="F1206" i="2"/>
  <c r="F1244" i="2"/>
  <c r="F1267" i="2"/>
  <c r="F1230" i="2"/>
  <c r="F1257" i="2"/>
  <c r="F1243" i="2"/>
  <c r="F1204" i="2"/>
  <c r="F1216" i="2"/>
  <c r="F1223" i="2"/>
  <c r="C42" i="4"/>
  <c r="F1250" i="2"/>
  <c r="F1256" i="2"/>
  <c r="U52" i="12"/>
  <c r="D49" i="4"/>
  <c r="E1223" i="2"/>
  <c r="F1231" i="2"/>
  <c r="E1250" i="2"/>
  <c r="E1256" i="2"/>
  <c r="F1228" i="2"/>
  <c r="F1214" i="2"/>
  <c r="H1286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47" i="2"/>
  <c r="Q69" i="3"/>
  <c r="Q71" i="3" s="1"/>
  <c r="E1206" i="2"/>
  <c r="E1244" i="2"/>
  <c r="E1267" i="2"/>
  <c r="R7" i="3"/>
  <c r="D7" i="11" s="1"/>
  <c r="D34" i="11" s="1"/>
  <c r="D36" i="11" s="1"/>
  <c r="Q61" i="3"/>
  <c r="E1204" i="2"/>
  <c r="E1227" i="2"/>
  <c r="T1287" i="2"/>
  <c r="E1282" i="2"/>
  <c r="E1286" i="2"/>
  <c r="E1241" i="2"/>
  <c r="P69" i="3"/>
  <c r="P71" i="3" s="1"/>
  <c r="C13" i="18"/>
  <c r="B12" i="18"/>
  <c r="T1292" i="2"/>
  <c r="C11" i="18"/>
  <c r="E1228" i="2"/>
  <c r="B11" i="18"/>
  <c r="E1214" i="2"/>
  <c r="E1283" i="2"/>
  <c r="C37" i="17"/>
  <c r="E1205" i="2"/>
  <c r="E1257" i="2"/>
  <c r="E1247" i="2"/>
  <c r="C86" i="18"/>
  <c r="H1287" i="2"/>
  <c r="C8" i="18"/>
  <c r="B6" i="18"/>
  <c r="C7" i="18"/>
  <c r="B9" i="18"/>
  <c r="B14" i="18"/>
  <c r="C10" i="18"/>
  <c r="B7" i="18"/>
  <c r="B13" i="18"/>
  <c r="C15" i="18"/>
  <c r="C16" i="18"/>
  <c r="G1270" i="2"/>
  <c r="D1270" i="2"/>
  <c r="D5" i="2" s="1"/>
  <c r="D1274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93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93" i="2"/>
  <c r="M9" i="12"/>
  <c r="F1293" i="2"/>
  <c r="U1293" i="2"/>
  <c r="G1293" i="2"/>
  <c r="J1293" i="2"/>
  <c r="V1293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93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93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71" i="2" l="1"/>
  <c r="C54" i="18"/>
  <c r="G58" i="19"/>
  <c r="C29" i="11"/>
  <c r="R70" i="3"/>
  <c r="C36" i="18"/>
  <c r="C58" i="19"/>
  <c r="A3" i="19" s="1"/>
  <c r="B36" i="18"/>
  <c r="R69" i="3"/>
  <c r="D81" i="15"/>
  <c r="D1296" i="2"/>
  <c r="D1297" i="2" s="1"/>
  <c r="H1293" i="2"/>
  <c r="F1270" i="2"/>
  <c r="T1293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80" i="2"/>
  <c r="D1303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85" i="2"/>
  <c r="E1293" i="2" s="1"/>
  <c r="X1103" i="2"/>
  <c r="E1253" i="2"/>
  <c r="E1270" i="2" s="1"/>
  <c r="E1280" i="2" l="1"/>
  <c r="B88" i="18"/>
  <c r="B82" i="18" s="1"/>
  <c r="X5" i="2"/>
</calcChain>
</file>

<file path=xl/sharedStrings.xml><?xml version="1.0" encoding="utf-8"?>
<sst xmlns="http://schemas.openxmlformats.org/spreadsheetml/2006/main" count="3565" uniqueCount="772">
  <si>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</si>
  <si>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</si>
  <si>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</si>
  <si>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</si>
  <si>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</si>
  <si>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</si>
  <si>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</si>
  <si>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</si>
  <si>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</si>
  <si>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</si>
  <si>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</si>
  <si>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</si>
  <si>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</si>
  <si>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</si>
  <si>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</si>
  <si>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</si>
  <si>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</si>
  <si>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</si>
  <si>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</si>
  <si>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</si>
  <si>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</si>
  <si>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</si>
  <si>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</si>
  <si>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</si>
  <si>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</si>
  <si>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</si>
  <si>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</si>
  <si>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</si>
  <si>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</si>
  <si>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</si>
  <si>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</si>
  <si>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</si>
  <si>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</si>
  <si>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</si>
  <si>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</si>
  <si>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</si>
  <si>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</si>
  <si>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</si>
  <si>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</si>
  <si>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</si>
  <si>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</si>
  <si>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</si>
  <si>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</si>
  <si>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</si>
  <si>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</si>
  <si>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</si>
  <si>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</si>
  <si>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</si>
  <si>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</si>
  <si>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</si>
  <si>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</si>
  <si>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</si>
  <si>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</si>
  <si>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</si>
  <si>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</si>
  <si>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</si>
  <si>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</si>
  <si>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</si>
  <si>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</si>
  <si>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</si>
  <si>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</si>
  <si>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</si>
  <si>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</si>
  <si>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</si>
  <si>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</si>
  <si>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</si>
  <si>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</si>
  <si>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</si>
  <si>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</si>
  <si>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</si>
  <si>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</si>
  <si>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</si>
  <si>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</si>
  <si>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</si>
  <si>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</si>
  <si>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</si>
  <si>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</si>
  <si>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</si>
  <si>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</si>
  <si>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</si>
  <si>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</si>
  <si>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</si>
  <si>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</si>
  <si>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</si>
  <si>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</si>
  <si>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</si>
  <si>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</si>
  <si>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</si>
  <si>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</si>
  <si>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</si>
  <si>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</si>
  <si>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</si>
  <si>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</si>
  <si>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</si>
  <si>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</si>
  <si>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</si>
  <si>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</si>
  <si>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</si>
  <si>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</si>
  <si>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</si>
  <si>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</si>
  <si>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</si>
  <si>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</si>
  <si>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</si>
  <si>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</si>
  <si>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</si>
  <si>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</si>
  <si>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</si>
  <si>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</si>
  <si>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</si>
  <si>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</si>
  <si>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</si>
  <si>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</si>
  <si>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</si>
  <si>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</si>
  <si>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</si>
  <si>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</si>
  <si>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</si>
  <si>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</si>
  <si>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</si>
  <si>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</si>
  <si>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</si>
  <si>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</si>
  <si>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</si>
  <si>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</si>
  <si>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</si>
  <si>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</si>
  <si>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</si>
  <si>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</si>
  <si>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</si>
  <si>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</si>
  <si>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</si>
  <si>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</si>
  <si>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</si>
  <si>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</si>
  <si>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</si>
  <si>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</si>
  <si>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</si>
  <si>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</si>
  <si>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</si>
  <si>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</si>
  <si>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</si>
  <si>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</si>
  <si>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</si>
  <si>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</si>
  <si>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</si>
  <si>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</si>
  <si>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</si>
  <si>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</si>
  <si>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</si>
  <si>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</si>
  <si>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</si>
  <si>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</si>
  <si>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</si>
  <si>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</si>
  <si>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</si>
  <si>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</si>
  <si>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</si>
  <si>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</si>
  <si>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</si>
  <si>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</si>
  <si>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</si>
  <si>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</si>
  <si>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</si>
  <si>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</si>
  <si>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</si>
  <si>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</si>
  <si>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</si>
  <si>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</si>
  <si>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</si>
  <si>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</si>
  <si>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</si>
  <si>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</si>
  <si>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</si>
  <si>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</si>
  <si>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</si>
  <si>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</si>
  <si>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</si>
  <si>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</si>
  <si>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</si>
  <si>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</si>
  <si>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</si>
  <si>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</si>
  <si>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</si>
  <si>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</si>
  <si>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</si>
  <si>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</si>
  <si>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</si>
  <si>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</si>
  <si>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</si>
  <si>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</si>
  <si>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</si>
  <si>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</si>
  <si>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</si>
  <si>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</si>
  <si>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</si>
  <si>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</si>
  <si>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</si>
  <si>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</si>
  <si>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</si>
  <si>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</si>
  <si>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</si>
  <si>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</si>
  <si>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</si>
  <si>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</si>
  <si>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</si>
  <si>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</si>
  <si>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</si>
  <si>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</si>
  <si>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</si>
  <si>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</si>
  <si>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</si>
  <si>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</si>
  <si>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</si>
  <si>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</si>
  <si>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</si>
  <si>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</si>
  <si>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</si>
  <si>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</si>
  <si>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</si>
  <si>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</si>
  <si>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</si>
  <si>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</si>
  <si>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</si>
  <si>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</si>
  <si>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</si>
  <si>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</si>
  <si>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</si>
  <si>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</si>
  <si>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</si>
  <si>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</si>
  <si>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</si>
  <si>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</si>
  <si>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</si>
  <si>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</si>
  <si>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</si>
  <si>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</si>
  <si>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</si>
  <si>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</si>
  <si>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</si>
  <si>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</si>
  <si>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</si>
  <si>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</si>
  <si>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</si>
  <si>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</si>
  <si>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</si>
  <si>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</si>
  <si>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</si>
  <si>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</si>
  <si>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</si>
  <si>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</si>
  <si>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</si>
  <si>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</si>
  <si>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</si>
  <si>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</si>
  <si>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</si>
  <si>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</si>
  <si>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</si>
  <si>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</si>
  <si>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</si>
  <si>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</si>
  <si>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</si>
  <si>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</si>
  <si>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</si>
  <si>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</si>
  <si>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</si>
  <si>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</si>
  <si>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</si>
  <si>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</si>
  <si>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</si>
  <si>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</si>
  <si>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</si>
  <si>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</si>
  <si>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</si>
  <si>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</si>
  <si>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</si>
  <si>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</si>
  <si>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</si>
  <si>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</si>
  <si>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</si>
  <si>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</si>
  <si>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</si>
  <si>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</si>
  <si>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</si>
  <si>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</si>
  <si>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</si>
  <si>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</si>
  <si>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</si>
  <si>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</si>
  <si>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</si>
  <si>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</si>
  <si>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</si>
  <si>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</si>
  <si>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</si>
  <si>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</si>
  <si>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</si>
  <si>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</si>
  <si>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</si>
  <si>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</si>
  <si>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</si>
  <si>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</si>
  <si>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</si>
  <si>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</si>
  <si>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</si>
  <si>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</si>
  <si>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</si>
  <si>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</si>
  <si>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</si>
  <si>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</si>
  <si>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</si>
  <si>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</si>
  <si>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</si>
  <si>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</si>
  <si>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</si>
  <si>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</si>
  <si>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</si>
  <si>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</si>
  <si>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</si>
  <si>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</si>
  <si>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</si>
  <si>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</si>
  <si>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</si>
  <si>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</si>
  <si>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</si>
  <si>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</si>
  <si>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</si>
  <si>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</si>
  <si>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</si>
  <si>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</si>
  <si>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</si>
  <si>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</si>
  <si>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</si>
  <si>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</si>
  <si>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</si>
  <si>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</si>
  <si>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</si>
  <si>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</si>
  <si>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</si>
  <si>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</si>
  <si>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</si>
  <si>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</si>
  <si>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</si>
  <si>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</si>
  <si>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</si>
  <si>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</si>
  <si>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</si>
  <si>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</si>
  <si>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</si>
  <si>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</si>
  <si>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</si>
  <si>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</si>
  <si>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</si>
  <si>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</si>
  <si>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</si>
  <si>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</si>
  <si>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</si>
  <si>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</si>
  <si>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</si>
  <si>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</si>
  <si>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</si>
  <si>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</si>
  <si>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</si>
  <si>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</si>
  <si>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</si>
  <si>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</si>
  <si>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</si>
  <si>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</si>
  <si>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</si>
  <si>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</si>
  <si>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</si>
  <si>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</si>
  <si>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</si>
  <si>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</si>
  <si>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</si>
  <si>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</si>
  <si>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</si>
  <si>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</si>
  <si>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</si>
  <si>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</si>
  <si>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</si>
  <si>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</si>
  <si>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</si>
  <si>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</si>
  <si>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</si>
  <si>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</si>
  <si>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</si>
  <si>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</si>
  <si>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</si>
  <si>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</si>
  <si>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</si>
  <si>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</si>
  <si>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</si>
  <si>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</si>
  <si>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</si>
  <si>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</si>
  <si>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</si>
  <si>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</si>
  <si>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</si>
  <si>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</si>
  <si>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</si>
  <si>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</si>
  <si>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</si>
  <si>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</si>
  <si>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</si>
  <si>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</si>
  <si>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</si>
  <si>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</si>
  <si>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</si>
  <si>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</si>
  <si>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</si>
  <si>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</si>
  <si>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</si>
  <si>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</si>
  <si>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</si>
  <si>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</si>
  <si>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</si>
  <si>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</si>
  <si>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</si>
  <si>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</si>
  <si>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</si>
  <si>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</si>
  <si>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</si>
  <si>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</si>
  <si>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</si>
  <si>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</si>
  <si>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</si>
  <si>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</si>
  <si>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</si>
  <si>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</si>
  <si>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</si>
  <si>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</si>
  <si>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</si>
  <si>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</si>
  <si>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</si>
  <si>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</si>
  <si>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</si>
  <si>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</si>
  <si>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</si>
  <si>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</si>
  <si>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>O0253453</t>
  </si>
  <si>
    <t>Elpi Cast</t>
  </si>
  <si>
    <t>Sgm</t>
  </si>
  <si>
    <t>O0260224</t>
  </si>
  <si>
    <t>O0260281</t>
  </si>
  <si>
    <t>O0260260</t>
  </si>
  <si>
    <t>O0260262</t>
  </si>
  <si>
    <t>O0260259</t>
  </si>
  <si>
    <t>COMMISSIONI COBRAL 2026 PER CALKOS</t>
  </si>
  <si>
    <t>Barre</t>
  </si>
  <si>
    <t>O0260461</t>
  </si>
  <si>
    <t>O0260415</t>
  </si>
  <si>
    <t>O0260513</t>
  </si>
  <si>
    <t>O0260624</t>
  </si>
  <si>
    <t>853/26OC</t>
  </si>
  <si>
    <t>903/26OC</t>
  </si>
  <si>
    <t>893/26OC</t>
  </si>
  <si>
    <t>891/26OC</t>
  </si>
  <si>
    <t>966/26OC</t>
  </si>
  <si>
    <t>962/26OC</t>
  </si>
  <si>
    <t>937/26OC</t>
  </si>
  <si>
    <t>938/26OC</t>
  </si>
  <si>
    <t>908/26OC</t>
  </si>
  <si>
    <t>967/26OC</t>
  </si>
  <si>
    <t>988/26OC</t>
  </si>
  <si>
    <t>1050/26OC</t>
  </si>
  <si>
    <t>1014/26OC</t>
  </si>
  <si>
    <t>1163/26OC</t>
  </si>
  <si>
    <t>O0260692/26OC</t>
  </si>
  <si>
    <t>O0260317</t>
  </si>
  <si>
    <t>SALDO</t>
  </si>
  <si>
    <t>cons Kg 600</t>
  </si>
  <si>
    <t>mancano Kg 300</t>
  </si>
  <si>
    <t>mancano Kg 500</t>
  </si>
  <si>
    <t>1276/26OC</t>
  </si>
  <si>
    <t>1275/26OC</t>
  </si>
  <si>
    <t>FATTURARE</t>
  </si>
  <si>
    <t>1283/26OC</t>
  </si>
  <si>
    <t>1286/26OC</t>
  </si>
  <si>
    <t>1330/26OC</t>
  </si>
  <si>
    <t>Elpi cast</t>
  </si>
  <si>
    <t>BCV</t>
  </si>
  <si>
    <t>1297/26OC</t>
  </si>
  <si>
    <t>1335/26OC</t>
  </si>
  <si>
    <t>F0688</t>
  </si>
  <si>
    <t>1354/26OC</t>
  </si>
  <si>
    <t>1337/26OC</t>
  </si>
  <si>
    <t>FINE_TABELLA</t>
  </si>
  <si>
    <t>__</t>
  </si>
  <si>
    <t>1409/26OC</t>
  </si>
  <si>
    <t>1392/26OC</t>
  </si>
  <si>
    <t>1414/26OC</t>
  </si>
  <si>
    <t>1398/26OC</t>
  </si>
  <si>
    <t>1394/26OC</t>
  </si>
  <si>
    <t>1097/26OC</t>
  </si>
  <si>
    <t>1098/26OC</t>
  </si>
  <si>
    <t>1412/26OC</t>
  </si>
  <si>
    <t>1413/26OC</t>
  </si>
  <si>
    <t>1452/26OC</t>
  </si>
  <si>
    <t>1462/26OC</t>
  </si>
  <si>
    <t>1485/26OC</t>
  </si>
  <si>
    <t>1488/26OC</t>
  </si>
  <si>
    <t>1502/26OC</t>
  </si>
  <si>
    <t>1503/26OC</t>
  </si>
  <si>
    <t>1476/26OC</t>
  </si>
  <si>
    <t>Pat</t>
  </si>
  <si>
    <t>1417/26OC</t>
  </si>
  <si>
    <t>1376/26OC</t>
  </si>
  <si>
    <t>1540/26OC</t>
  </si>
  <si>
    <t>1550/26OC</t>
  </si>
  <si>
    <t>1581/26OC</t>
  </si>
  <si>
    <t>1579/26OC</t>
  </si>
  <si>
    <t>0980/26OC</t>
  </si>
  <si>
    <t>1567/26OC</t>
  </si>
  <si>
    <t>1568/26OC</t>
  </si>
  <si>
    <t>1554/26OC</t>
  </si>
  <si>
    <t>1582/26OC</t>
  </si>
  <si>
    <t>1584/26OC</t>
  </si>
  <si>
    <t>1552/26OC</t>
  </si>
  <si>
    <t>1553/26OC</t>
  </si>
  <si>
    <t>F0275</t>
  </si>
  <si>
    <t>1623/26OC</t>
  </si>
  <si>
    <t>1621/26OC</t>
  </si>
  <si>
    <t>1613/26OC</t>
  </si>
  <si>
    <t>1634/26OC</t>
  </si>
  <si>
    <t>F035.26.04.28</t>
  </si>
  <si>
    <t>Barre/Saldo</t>
  </si>
  <si>
    <t>1680/26OC</t>
  </si>
  <si>
    <t>1671/26OC</t>
  </si>
  <si>
    <t>1641/26OC</t>
  </si>
  <si>
    <t>F0298,26,04,29</t>
  </si>
  <si>
    <t>1665/26OC</t>
  </si>
  <si>
    <t>1654/26OC</t>
  </si>
  <si>
    <t>1655/26OC</t>
  </si>
  <si>
    <t>1645/26OC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</si>
  <si>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</si>
  <si>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</si>
  <si>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</si>
  <si>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</si>
  <si>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</si>
  <si>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</si>
  <si>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</si>
  <si>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</si>
  <si>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</si>
  <si>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</si>
  <si>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</si>
  <si>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mancano Kg 150</t>
  </si>
  <si>
    <t>O0260362-1429/26V</t>
  </si>
  <si>
    <t>O0253453-1364/26V</t>
  </si>
  <si>
    <t>O0260397-1356/26V</t>
  </si>
  <si>
    <t>O0260397-1458/26V</t>
  </si>
  <si>
    <t>O0260660-1348/26V</t>
  </si>
  <si>
    <t>O0260657-1348/26V</t>
  </si>
  <si>
    <t>863/26OC-1348/26V</t>
  </si>
  <si>
    <t>864/26OC-1546/26V</t>
  </si>
  <si>
    <t>853/26OC-1673/26V</t>
  </si>
  <si>
    <t>0923/26OC-1264/26V</t>
  </si>
  <si>
    <t>0923/26OC-1420/26V</t>
  </si>
  <si>
    <t>0923/26OC-1464/26V</t>
  </si>
  <si>
    <t>0924/26OC-1607/26V</t>
  </si>
  <si>
    <t>0924/26OC-1586/26V</t>
  </si>
  <si>
    <t>0978/26OC-1264/26V</t>
  </si>
  <si>
    <t>0989/26O-1356/26V</t>
  </si>
  <si>
    <t>0986/26OC-1356/26V</t>
  </si>
  <si>
    <t>0983/26OC-1356/26V</t>
  </si>
  <si>
    <t>0980/26OC-1649/26V</t>
  </si>
  <si>
    <t>0980/26OC-1574/26V</t>
  </si>
  <si>
    <t>1027/26OC-1545/26V</t>
  </si>
  <si>
    <t>1027/26OC-1546/26V</t>
  </si>
  <si>
    <t>1027/26OC-1348/26V</t>
  </si>
  <si>
    <t>1023/26OC-1545/26V</t>
  </si>
  <si>
    <t>1023/26OC-1348/26V</t>
  </si>
  <si>
    <t>1023/26OC-1546/26V</t>
  </si>
  <si>
    <t>1080/26OC-1734/26V</t>
  </si>
  <si>
    <t>1078/26OC-1264/26V</t>
  </si>
  <si>
    <t>1078/26OC-1458/26V</t>
  </si>
  <si>
    <t>1079/26OC-1574/26V</t>
  </si>
  <si>
    <t>1096/26OC-1546/26V</t>
  </si>
  <si>
    <t>1096/26OC-1348/26V</t>
  </si>
  <si>
    <t>1645/26OC-1781/26V</t>
  </si>
  <si>
    <t>1566/26OC-1781/26V</t>
  </si>
  <si>
    <t>1560/26OC-1782/26V</t>
  </si>
  <si>
    <t>1567/26OC-1782/26V</t>
  </si>
  <si>
    <t>1505/26OC-1763</t>
  </si>
  <si>
    <t>1506/26OC-1763</t>
  </si>
  <si>
    <t>1507/26OC-1763</t>
  </si>
  <si>
    <t>1501/26OC-1787/26V</t>
  </si>
  <si>
    <t>1485/26OC-1724/26V</t>
  </si>
  <si>
    <t>1427/26OC-1738/26V</t>
  </si>
  <si>
    <t>1462/26OC-1779/26V</t>
  </si>
  <si>
    <t>1371/26OC-1671/26V</t>
  </si>
  <si>
    <t>1740/26OC</t>
  </si>
  <si>
    <t>1718/26OC</t>
  </si>
  <si>
    <t>1176/26OC-1348/26V</t>
  </si>
  <si>
    <t>1187/26OC-1291/26V</t>
  </si>
  <si>
    <t>1243/26OC-1723/26V</t>
  </si>
  <si>
    <t>1229/26OC-1607/26V</t>
  </si>
  <si>
    <t>1224/26OC-1607/26V</t>
  </si>
  <si>
    <t>1233/26OC-1574/26V</t>
  </si>
  <si>
    <t>1283/26OC-1674/26V</t>
  </si>
  <si>
    <t>1269/26OC-1546/26V</t>
  </si>
  <si>
    <t>1286/26OC-1674/26V</t>
  </si>
  <si>
    <t>1352/26OC-1546/26V</t>
  </si>
  <si>
    <t>1422/26OC-1546/26V</t>
  </si>
  <si>
    <t>1176/26OC-1797/26V</t>
  </si>
  <si>
    <t>1146/26OC-1545/26V</t>
  </si>
  <si>
    <t>1146/26OC-1348/26V</t>
  </si>
  <si>
    <t>1145/26OC-1348/26V</t>
  </si>
  <si>
    <t>1417/26OC-1797/26V</t>
  </si>
  <si>
    <t>1418/26OC-1797/26V</t>
  </si>
  <si>
    <t>1422/26OC-1797/26V</t>
  </si>
  <si>
    <t>1465/26OC-1797/26V</t>
  </si>
  <si>
    <t>1476/26OC-1797/26V</t>
  </si>
  <si>
    <t>1554/26OC-1797/26V</t>
  </si>
  <si>
    <t>1623/26OC-1797/26V</t>
  </si>
  <si>
    <t>1463/26OC-1797/26V</t>
  </si>
  <si>
    <t>1422/26OC-1803/26V</t>
  </si>
  <si>
    <t>1463/26OC-1803/26V</t>
  </si>
  <si>
    <t>1471/26OC-1803/26V</t>
  </si>
  <si>
    <t>1476/26OC-1803/26V</t>
  </si>
  <si>
    <t>1554/26OC-1803/26V</t>
  </si>
  <si>
    <t>1623/26OC-1803/26V</t>
  </si>
  <si>
    <t>0917/26OC-1785/26V</t>
  </si>
  <si>
    <t>1508/26OC-1785/26V</t>
  </si>
  <si>
    <t>1161/26OC-1790/26V</t>
  </si>
  <si>
    <t>1503/26OC-1804/26V</t>
  </si>
  <si>
    <t>1504/26OC-1804/26V</t>
  </si>
  <si>
    <t>1271/26OC-1753/26V</t>
  </si>
  <si>
    <t>1799/26OC</t>
  </si>
  <si>
    <t>1809/26OC</t>
  </si>
  <si>
    <t>1808/26OC</t>
  </si>
  <si>
    <t>1793/26OC</t>
  </si>
  <si>
    <t>1779/26OC</t>
  </si>
  <si>
    <t>1780/26OC</t>
  </si>
  <si>
    <t>1452/26OC-1828/26V</t>
  </si>
  <si>
    <t>O0260462-1818/26V</t>
  </si>
  <si>
    <t>1102/26OC-1765/26V</t>
  </si>
  <si>
    <t>1183/26OC-1765/26V</t>
  </si>
  <si>
    <t>1296/26OC-1829/26V</t>
  </si>
  <si>
    <t>1462/26OC-1829/26V</t>
  </si>
  <si>
    <t>1665/26OC-1829/26V</t>
  </si>
  <si>
    <t>1538/26OC-1826/26V</t>
  </si>
  <si>
    <t>1412/26OC-1718/26V</t>
  </si>
  <si>
    <t>1399/26OC-1757/26V</t>
  </si>
  <si>
    <t>1630/26OC-1820</t>
  </si>
  <si>
    <t>1632/26OC-1763</t>
  </si>
  <si>
    <t>1632/26OC-1820</t>
  </si>
  <si>
    <t>1417/26OC-1844/26V</t>
  </si>
  <si>
    <t>1418/26OC-1844/26V</t>
  </si>
  <si>
    <t>mancano Kg 190</t>
  </si>
  <si>
    <t>1422/26OC-1844/26V</t>
  </si>
  <si>
    <t>1467/26OC-1844/26V</t>
  </si>
  <si>
    <t>1565/26OC-1844/26V</t>
  </si>
  <si>
    <t>1576/26OC-1844/26V</t>
  </si>
  <si>
    <t>1680/26OC-1844/26V</t>
  </si>
  <si>
    <t>1554/26OC-1844/26V</t>
  </si>
  <si>
    <t>mancano Kg 760</t>
  </si>
  <si>
    <t>1329/26OC-1850/26V</t>
  </si>
  <si>
    <t>1558/26OC-1850/26V</t>
  </si>
  <si>
    <t>1546/26OC-1827/26V</t>
  </si>
  <si>
    <t>mancano Kg 250</t>
  </si>
  <si>
    <t>1622/26OC-1846/26V</t>
  </si>
  <si>
    <t>1457/26OC-1843/26V</t>
  </si>
  <si>
    <t>O0253453-1789/26V</t>
  </si>
  <si>
    <t>O0260415-1789/26V</t>
  </si>
  <si>
    <t>1540/26OC-1789/26V</t>
  </si>
  <si>
    <t>1163/26OC-1789/26V</t>
  </si>
  <si>
    <t>mancano Kg 520</t>
  </si>
  <si>
    <t>1825/26OC</t>
  </si>
  <si>
    <t>F0285.26.05.08</t>
  </si>
  <si>
    <t>1815/26OC</t>
  </si>
  <si>
    <t>1813/26OC</t>
  </si>
  <si>
    <t>1773/26OC</t>
  </si>
  <si>
    <t>1822/26OC</t>
  </si>
  <si>
    <t>1827/26OC</t>
  </si>
  <si>
    <t>1834/26OC</t>
  </si>
  <si>
    <t>1835/26OC</t>
  </si>
  <si>
    <t>1854/26OC</t>
  </si>
  <si>
    <t>1820/26OC</t>
  </si>
  <si>
    <t>1821/26OC</t>
  </si>
  <si>
    <t>1551/26OC-1864/26V</t>
  </si>
  <si>
    <t>1550/26OC-1864/26V</t>
  </si>
  <si>
    <t>1485/26OC-1859/26V</t>
  </si>
  <si>
    <t>1640/26OC-1859/26V</t>
  </si>
  <si>
    <t>1452/26OC-1861/26V</t>
  </si>
  <si>
    <t>1387/26OC-1796/26V</t>
  </si>
  <si>
    <t>1645/26OC-1858/26V</t>
  </si>
  <si>
    <t>Saldo</t>
  </si>
  <si>
    <t>O0260255-1842/26V</t>
  </si>
  <si>
    <t>1354/26OC-1842/26V</t>
  </si>
  <si>
    <t>1413/26OC-1842/26V</t>
  </si>
  <si>
    <t>1539/26OC-1842/26V</t>
  </si>
  <si>
    <t>1847/26OC</t>
  </si>
  <si>
    <t>1837/26OC</t>
  </si>
  <si>
    <t>1161/26OC-1885/26V</t>
  </si>
  <si>
    <t>1178/26OC-1877/26V</t>
  </si>
  <si>
    <t>1578/26OC-1883/26V</t>
  </si>
  <si>
    <t>1684/26OC-1876/26V</t>
  </si>
  <si>
    <t>MACANO KG 336</t>
  </si>
  <si>
    <t>1684/26OC-</t>
  </si>
  <si>
    <t>1243/26OC-1873/26V</t>
  </si>
  <si>
    <t>1645/26OC-1873/26V</t>
  </si>
  <si>
    <t>1615/26OC-1891/26V</t>
  </si>
  <si>
    <t>1501/26OC/1926/26V</t>
  </si>
  <si>
    <t>1183/26OC-1896/26V</t>
  </si>
  <si>
    <t>MANCANO KG 135</t>
  </si>
  <si>
    <t>1102/26OC-1903/26V</t>
  </si>
  <si>
    <t>1645/26OC-1899/26V</t>
  </si>
  <si>
    <t>1712/26OC-1899/26V</t>
  </si>
  <si>
    <t>1371/26OC-1894/26V</t>
  </si>
  <si>
    <t>1665/26OC-1916/26V</t>
  </si>
  <si>
    <t>1597/26OC-1927/26V</t>
  </si>
  <si>
    <t>1665/26OC-1930/26V</t>
  </si>
  <si>
    <t>1060/26OC-1856/26V</t>
  </si>
  <si>
    <t>1415/26OC-1856/26V</t>
  </si>
  <si>
    <t>1580/26OC-1936/26V</t>
  </si>
  <si>
    <t>1799/26OC-1958/26V</t>
  </si>
  <si>
    <t>1475//26OC-1959/26V</t>
  </si>
  <si>
    <t>1183/26OC</t>
  </si>
  <si>
    <t>1862/26OC</t>
  </si>
  <si>
    <t>Metalprofili</t>
  </si>
  <si>
    <t>1840/26OC</t>
  </si>
  <si>
    <t>1879/26OC</t>
  </si>
  <si>
    <t>1387/26OC-1795/26OC</t>
  </si>
  <si>
    <t>1588/26OC-1976/26OC</t>
  </si>
  <si>
    <t>1568/26OC-1970/26OC</t>
  </si>
  <si>
    <t>1504/26OC-1968/26OC</t>
  </si>
  <si>
    <t>1709/26OC-1968/26OC</t>
  </si>
  <si>
    <t>1889/26OC</t>
  </si>
  <si>
    <t>1868/26OC</t>
  </si>
  <si>
    <t>1867/26OC</t>
  </si>
  <si>
    <t>1864/26OC</t>
  </si>
  <si>
    <t>1866/26OC</t>
  </si>
  <si>
    <t>1869/26OC</t>
  </si>
  <si>
    <t>1876/26OC</t>
  </si>
  <si>
    <t>1883/26OC</t>
  </si>
  <si>
    <t>1887/26OC</t>
  </si>
  <si>
    <t>1893/26OC</t>
  </si>
  <si>
    <t>1894/26OC</t>
  </si>
  <si>
    <t>1901/26OC</t>
  </si>
  <si>
    <t>1859/26OC</t>
  </si>
  <si>
    <t>1871/26OC</t>
  </si>
  <si>
    <t>1877/26OC</t>
  </si>
  <si>
    <t>1915/26OC</t>
  </si>
  <si>
    <t>1718/26OC-1896/26V</t>
  </si>
  <si>
    <t>0983/26OC-1629/26V</t>
  </si>
  <si>
    <t>1552/26OC-1990/26V</t>
  </si>
  <si>
    <t>1708/26OC-1990/26V</t>
  </si>
  <si>
    <t>1861/26OC-1995/26V</t>
  </si>
  <si>
    <t>1452/26OC-1989/26V</t>
  </si>
  <si>
    <t>0858/26OC-1856/26V</t>
  </si>
  <si>
    <t>0858/26OC-1954/26V</t>
  </si>
  <si>
    <t>0858/26OC</t>
  </si>
  <si>
    <t>1596/26OC-2000/26V</t>
  </si>
  <si>
    <t>1552/26OC-2003/26V</t>
  </si>
  <si>
    <t>1560/26OC-1999/26V</t>
  </si>
  <si>
    <t>1567/26OC-1999/26V</t>
  </si>
  <si>
    <t>1584/26OC-1972/26V</t>
  </si>
  <si>
    <t>1417/26OC-1985/26V</t>
  </si>
  <si>
    <t>1471/26OC-1985/26V</t>
  </si>
  <si>
    <t>1554/26OC-1985/26V</t>
  </si>
  <si>
    <t>1576/26OC-1985/26V</t>
  </si>
  <si>
    <t>1623/26OC-1985/26V</t>
  </si>
  <si>
    <t>1680/26OC-1985/26V</t>
  </si>
  <si>
    <t>1695/26OC-1985/26V</t>
  </si>
  <si>
    <t>1422/26OC-1985/26V</t>
  </si>
  <si>
    <t>1463/26OC-1985/26V</t>
  </si>
  <si>
    <t>1919/26OC</t>
  </si>
  <si>
    <t>1939/26OC</t>
  </si>
  <si>
    <t>1936/26OC</t>
  </si>
  <si>
    <t>1930/26OC</t>
  </si>
  <si>
    <t>NEWO0250759</t>
  </si>
  <si>
    <t>NEWO0252610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</si>
</sst>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4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E3C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63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165" fontId="21" fillId="0" borderId="73" xfId="1" applyFont="1" applyBorder="1" applyProtection="1"/>
    <xf numFmtId="165" fontId="21" fillId="0" borderId="1" xfId="1" applyFont="1" applyBorder="1" applyProtection="1">
      <protection locked="0"/>
    </xf>
    <xf numFmtId="165" fontId="21" fillId="0" borderId="79" xfId="1" applyFont="1" applyBorder="1" applyProtection="1"/>
    <xf numFmtId="165" fontId="21" fillId="0" borderId="61" xfId="1" applyFont="1" applyBorder="1" applyProtection="1">
      <protection locked="0"/>
    </xf>
    <xf numFmtId="165" fontId="21" fillId="0" borderId="32" xfId="1" applyFont="1" applyBorder="1" applyProtection="1"/>
    <xf numFmtId="165" fontId="21" fillId="0" borderId="19" xfId="1" applyFont="1" applyBorder="1" applyProtection="1">
      <protection locked="0"/>
    </xf>
    <xf numFmtId="165" fontId="21" fillId="0" borderId="49" xfId="1" applyFont="1" applyBorder="1" applyProtection="1"/>
    <xf numFmtId="165" fontId="21" fillId="0" borderId="20" xfId="1" applyFont="1" applyBorder="1" applyProtection="1">
      <protection locked="0"/>
    </xf>
    <xf numFmtId="165" fontId="21" fillId="7" borderId="73" xfId="1" applyFont="1" applyFill="1" applyBorder="1" applyProtection="1"/>
    <xf numFmtId="165" fontId="21" fillId="0" borderId="73" xfId="1" applyFont="1" applyFill="1" applyBorder="1" applyProtection="1">
      <protection locked="0"/>
    </xf>
    <xf numFmtId="165" fontId="21" fillId="11" borderId="73" xfId="1" applyFont="1" applyFill="1" applyBorder="1" applyProtection="1">
      <protection locked="0"/>
    </xf>
    <xf numFmtId="165" fontId="21" fillId="10" borderId="73" xfId="1" applyFont="1" applyFill="1" applyBorder="1" applyProtection="1">
      <protection locked="0"/>
    </xf>
    <xf numFmtId="165" fontId="34" fillId="0" borderId="73" xfId="1" applyFont="1" applyBorder="1" applyProtection="1">
      <protection locked="0"/>
    </xf>
    <xf numFmtId="165" fontId="35" fillId="0" borderId="73" xfId="1" applyFont="1" applyBorder="1" applyProtection="1">
      <protection locked="0"/>
    </xf>
    <xf numFmtId="0" fontId="21" fillId="8" borderId="73" xfId="0" applyFont="1" applyFill="1" applyBorder="1" applyProtection="1">
      <protection locked="0"/>
    </xf>
    <xf numFmtId="4" fontId="21" fillId="8" borderId="73" xfId="0" applyNumberFormat="1" applyFont="1" applyFill="1" applyBorder="1" applyProtection="1">
      <protection locked="0"/>
    </xf>
    <xf numFmtId="165" fontId="21" fillId="8" borderId="73" xfId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12" borderId="73" xfId="1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65" fontId="38" fillId="0" borderId="79" xfId="1" applyFont="1" applyBorder="1" applyProtection="1">
      <protection locked="0"/>
    </xf>
    <xf numFmtId="0" fontId="38" fillId="0" borderId="73" xfId="0" applyFont="1" applyBorder="1" applyProtection="1">
      <protection locked="0"/>
    </xf>
    <xf numFmtId="165" fontId="38" fillId="0" borderId="73" xfId="1" applyFont="1" applyBorder="1" applyProtection="1">
      <protection locked="0"/>
    </xf>
    <xf numFmtId="2" fontId="37" fillId="0" borderId="1" xfId="0" applyNumberFormat="1" applyFont="1" applyBorder="1" applyAlignment="1">
      <alignment horizontal="center"/>
    </xf>
    <xf numFmtId="2" fontId="39" fillId="0" borderId="1" xfId="0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166" fontId="0" fillId="8" borderId="1" xfId="0" applyNumberFormat="1" applyFill="1" applyBorder="1" applyAlignment="1">
      <alignment horizontal="center"/>
    </xf>
    <xf numFmtId="166" fontId="37" fillId="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</cellXfs>
  <cellStyles count="2">
    <cellStyle name="Normale" xfId="0" builtinId="0"/>
    <cellStyle name="Valuta" xfId="1" builtinId="4"/>
  </cellStyles>
  <dxfs count="130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866775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13</xdr:col>
          <xdr:colOff>285750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303"/>
  <sheetViews>
    <sheetView topLeftCell="E4" zoomScaleNormal="100" zoomScaleSheetLayoutView="90" workbookViewId="0">
      <selection activeCell="I7" sqref="I7"/>
    </sheetView>
  </sheetViews>
  <sheetFormatPr defaultRowHeight="15" x14ac:dyDescent="0.25"/>
  <cols>
    <col min="1" max="1" width="2.140625" style="222" bestFit="1" customWidth="1"/>
    <col min="2" max="2" width="23.28515625" style="223" bestFit="1" customWidth="1"/>
    <col min="3" max="3" width="17.7109375" style="223" bestFit="1" customWidth="1"/>
    <col min="4" max="4" width="12.28515625" style="223" bestFit="1" customWidth="1"/>
    <col min="5" max="5" width="15" style="223" bestFit="1" customWidth="1"/>
    <col min="6" max="6" width="73.42578125" style="223" bestFit="1" customWidth="1"/>
    <col min="7" max="7" width="11.85546875" style="223" bestFit="1" customWidth="1"/>
    <col min="8" max="9" width="15" style="223" bestFit="1" customWidth="1"/>
    <col min="10" max="10" width="17.28515625" style="223" bestFit="1" customWidth="1"/>
    <col min="11" max="11" width="15" style="223" bestFit="1" customWidth="1"/>
    <col min="12" max="12" width="12.5703125" style="223" bestFit="1" customWidth="1"/>
    <col min="13" max="13" width="11" style="223" bestFit="1" customWidth="1"/>
    <col min="14" max="14" width="22.42578125" style="223" bestFit="1" customWidth="1"/>
    <col min="15" max="15" width="17.140625" style="223" bestFit="1" customWidth="1"/>
    <col min="16" max="16" width="15" style="223" bestFit="1" customWidth="1"/>
    <col min="17" max="17" width="12.5703125" style="223" bestFit="1" customWidth="1"/>
    <col min="18" max="18" width="11" style="223" bestFit="1" customWidth="1"/>
    <col min="19" max="19" width="12.42578125" style="223" bestFit="1" customWidth="1"/>
    <col min="20" max="20" width="21.85546875" style="223" bestFit="1" customWidth="1"/>
    <col min="21" max="21" width="20.5703125" style="223" bestFit="1" customWidth="1"/>
    <col min="22" max="22" width="27.28515625" style="223" bestFit="1" customWidth="1"/>
    <col min="23" max="23" width="19" style="223" bestFit="1" customWidth="1"/>
    <col min="24" max="24" width="17.85546875" style="223" bestFit="1" customWidth="1"/>
    <col min="25" max="25" width="22.5703125" style="223" bestFit="1" customWidth="1"/>
    <col min="26" max="26" width="15.42578125" style="223" bestFit="1" customWidth="1"/>
    <col min="27" max="27" width="29.7109375" style="223" bestFit="1" customWidth="1"/>
    <col min="28" max="28" width="8.28515625" style="223" bestFit="1" customWidth="1"/>
    <col min="29" max="29" width="8.85546875" style="223" bestFit="1" customWidth="1"/>
    <col min="30" max="30" width="17.7109375" style="223" bestFit="1" customWidth="1"/>
    <col min="31" max="31" width="17.28515625" style="223" bestFit="1" customWidth="1"/>
    <col min="32" max="32" width="10.7109375" style="225" bestFit="1" customWidth="1"/>
    <col min="33" max="33" width="7.1406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0.7109375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447</v>
      </c>
      <c r="G2" s="227"/>
      <c r="H2" s="227"/>
      <c r="I2" s="227"/>
      <c r="J2" s="227"/>
      <c r="K2" s="411" t="s">
        <v>487</v>
      </c>
    </row>
    <row r="3" spans="1:46" customFormat="1" ht="15.75" thickBot="1" x14ac:dyDescent="0.3">
      <c r="A3" s="372"/>
      <c r="B3" s="373"/>
      <c r="AD3" s="374" t="s">
        <v>475</v>
      </c>
      <c r="AF3" s="375"/>
      <c r="AG3" s="375"/>
    </row>
    <row r="4" spans="1:46" customFormat="1" ht="15.75" thickBot="1" x14ac:dyDescent="0.3">
      <c r="A4" s="372"/>
      <c r="B4" s="376"/>
      <c r="C4" s="11"/>
      <c r="D4" s="11"/>
      <c r="E4" s="377"/>
      <c r="F4" s="378" t="s">
        <v>53</v>
      </c>
      <c r="G4" s="379"/>
      <c r="H4" s="11"/>
      <c r="I4" s="11"/>
      <c r="J4" s="11"/>
      <c r="K4" s="380"/>
      <c r="L4" s="381"/>
      <c r="M4" s="381"/>
      <c r="N4" s="381"/>
      <c r="O4" s="377"/>
      <c r="P4" s="382"/>
      <c r="Q4" s="382"/>
      <c r="R4" s="382"/>
      <c r="S4" s="382"/>
      <c r="T4" s="378" t="s">
        <v>49</v>
      </c>
      <c r="U4" s="382"/>
      <c r="V4" s="382"/>
      <c r="W4" s="379"/>
      <c r="X4" s="11"/>
      <c r="Y4" s="11"/>
      <c r="Z4" s="11"/>
      <c r="AA4" s="11"/>
      <c r="AB4" s="11"/>
      <c r="AD4" s="383" t="s">
        <v>328</v>
      </c>
      <c r="AE4" s="384" t="s">
        <v>302</v>
      </c>
      <c r="AF4" s="385"/>
      <c r="AG4" s="385"/>
      <c r="AH4" s="384"/>
    </row>
    <row r="5" spans="1:46" customFormat="1" ht="27.75" customHeight="1" thickBot="1" x14ac:dyDescent="0.3">
      <c r="A5" s="372"/>
      <c r="B5" s="386" t="s">
        <v>372</v>
      </c>
      <c r="C5" s="387" t="s">
        <v>37</v>
      </c>
      <c r="D5" s="388" t="str">
        <f>IF(D1103=D1270,"Kg","ERRORE KG")</f>
        <v>Kg</v>
      </c>
      <c r="E5" s="389" t="s">
        <v>39</v>
      </c>
      <c r="F5" s="390" t="s">
        <v>51</v>
      </c>
      <c r="G5" s="391" t="s">
        <v>52</v>
      </c>
      <c r="H5" s="392" t="s">
        <v>40</v>
      </c>
      <c r="I5" s="392" t="s">
        <v>41</v>
      </c>
      <c r="J5" s="392" t="s">
        <v>42</v>
      </c>
      <c r="K5" s="393" t="s">
        <v>4</v>
      </c>
      <c r="L5" s="394" t="s">
        <v>5</v>
      </c>
      <c r="M5" s="394" t="s">
        <v>6</v>
      </c>
      <c r="N5" s="394" t="s">
        <v>190</v>
      </c>
      <c r="O5" s="389" t="s">
        <v>43</v>
      </c>
      <c r="P5" s="394" t="s">
        <v>4</v>
      </c>
      <c r="Q5" s="394" t="s">
        <v>5</v>
      </c>
      <c r="R5" s="394" t="s">
        <v>6</v>
      </c>
      <c r="S5" s="394" t="s">
        <v>173</v>
      </c>
      <c r="T5" s="390" t="s">
        <v>44</v>
      </c>
      <c r="U5" s="390" t="s">
        <v>88</v>
      </c>
      <c r="V5" s="395" t="s">
        <v>89</v>
      </c>
      <c r="W5" s="391" t="s">
        <v>45</v>
      </c>
      <c r="X5" s="387" t="str">
        <f>IF(ROUND(X1103,2)=ROUND(E1270,2),"Commissioni","ERRORE COMMISSIONI")</f>
        <v>Commissioni</v>
      </c>
      <c r="Y5" s="396" t="s">
        <v>46</v>
      </c>
      <c r="Z5" s="397" t="s">
        <v>50</v>
      </c>
      <c r="AA5" s="398" t="s">
        <v>292</v>
      </c>
      <c r="AB5" s="94" t="s">
        <v>47</v>
      </c>
      <c r="AC5" s="20" t="s">
        <v>120</v>
      </c>
      <c r="AD5" s="371">
        <f>SUMIF(AD7:AD1102,"OK",X7:X1102)</f>
        <v>63.5</v>
      </c>
      <c r="AE5" s="399">
        <f>SUMIF(AD7:AD1102,"OK",D7:D1102)</f>
        <v>1050</v>
      </c>
      <c r="AF5" s="400"/>
      <c r="AG5" s="400"/>
      <c r="AH5" s="399"/>
      <c r="AM5" s="78">
        <f>+AD5</f>
        <v>63.5</v>
      </c>
      <c r="AN5" s="78"/>
      <c r="AO5" s="78"/>
      <c r="AP5" s="78"/>
      <c r="AQ5" s="78"/>
    </row>
    <row r="6" spans="1:46" customFormat="1" ht="15.75" x14ac:dyDescent="0.25">
      <c r="A6" s="372"/>
      <c r="B6" s="401"/>
      <c r="C6" s="402"/>
      <c r="D6" s="403"/>
      <c r="E6" s="404"/>
      <c r="F6" s="405"/>
      <c r="G6" s="406"/>
      <c r="H6" s="407"/>
      <c r="I6" s="407"/>
      <c r="J6" s="413"/>
      <c r="K6" s="415">
        <f ca="1">ROUND(IF(ISERROR(OFFSET(Tabella!$A$1,MATCH(H6,Tabella!$A:$A,0)-1,MATCH(J6,Tabella!$A$1:$AC$1,0)-1)=TRUE),0,+OFFSET(Tabella!$A$1,MATCH(H6,Tabella!$A:$A,0)-1,MATCH(J6,Tabella!$A$1:$AC$1,0)-1)),4)</f>
        <v>0</v>
      </c>
      <c r="L6" s="417">
        <f ca="1">ROUND(IF(ISERROR(OFFSET(Ottone!$A$1,MATCH(H6,Ottone!$A:$A,0)-1,MATCH(J6,Ottone!$A$1:$Z$1,0)-1)=TRUE),0,OFFSET(Ottone!$A$1,MATCH(H6,Ottone!$A:$A,0)-1,MATCH(J6,Ottone!$A$1:$Z$1,0)-1))*IF(E6="Ottone",1,0),4)</f>
        <v>0</v>
      </c>
      <c r="M6" s="417">
        <f ca="1">ROUND(IF(ISERROR(OFFSET(Rame!$A$1,MATCH(H6,Rame!$A:$A,0)-1,MATCH(J6,Rame!$A$1:$AA$1,0)-1)=TRUE),0,OFFSET(Rame!$A$1,MATCH(H6,Rame!$A:$A,0)-1,MATCH(J6,Rame!$A$1:$AA$1,0)-1))*IF(E6="Rame",1,0),4)</f>
        <v>0</v>
      </c>
      <c r="N6" s="417"/>
      <c r="O6" s="417">
        <f ca="1">ROUND(SUM(K6:N6),4)</f>
        <v>0</v>
      </c>
      <c r="P6" s="417">
        <f ca="1">ROUND(+IF(ISERROR(OFFSET(Tabella!$G$1,MATCH(H6,Tabella!$G:$G,0)-1,MATCH(I6,Tabella!$G$1:$FG$1,0)-1)=TRUE),0,OFFSET(Tabella!$G$1,MATCH(H6,Tabella!$G:$G,0)-1,MATCH(I6,Tabella!$G$1:$AB$1,0)-1)),4)</f>
        <v>0</v>
      </c>
      <c r="Q6" s="417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17">
        <f ca="1">ROUND(IF(ISERROR(OFFSET(Rame!$F$1,MATCH(H6,Rame!$F:$F,0)-1,MATCH(I6,Rame!$F$1:$FF$1,0)-1)=TRUE),0,OFFSET(Rame!$F$1,MATCH(H6,Rame!$F:$F,0)-1,MATCH(I6,Rame!$F$1:$FF$1,0)-1))*IF(E6="Rame",1,0),4)</f>
        <v>0</v>
      </c>
      <c r="S6" s="417">
        <f ca="1">ROUND(IF(ISERROR(OFFSET(Bronzo!$A$1,MATCH(H6,Bronzo!$A:$A,0)-1,MATCH(I6,Bronzo!$A$1:$AA$1,0)-1)=TRUE),0,OFFSET(Bronzo!$A$1,MATCH(H6,Bronzo!$A:$A,0)-1,MATCH(I6,Bronzo!$A$1:$AA$1,0)-1)),4)</f>
        <v>0</v>
      </c>
      <c r="T6" s="417">
        <f t="shared" ref="T6:T20" ca="1" si="0">ROUND(SUM(P6:S6),4)</f>
        <v>0</v>
      </c>
      <c r="U6" s="415"/>
      <c r="V6" s="417">
        <v>0</v>
      </c>
      <c r="W6" s="419">
        <f t="shared" ref="W6:W20" ca="1" si="1">ROUND(+O6+T6+U6+V6,4)</f>
        <v>0</v>
      </c>
      <c r="X6" s="421">
        <f t="shared" ref="X6:X69" si="2">ROUND(+J6*D6,4)</f>
        <v>0</v>
      </c>
      <c r="Y6" s="413"/>
      <c r="Z6" s="413">
        <f t="shared" ref="Z6:Z20" ca="1" si="3">ROUND(+Y6-W6-F6,4)</f>
        <v>0</v>
      </c>
      <c r="AA6" s="408"/>
      <c r="AF6" s="375">
        <f ca="1">TODAY()</f>
        <v>46236</v>
      </c>
      <c r="AG6" s="375" t="b">
        <f>ISBLANK(AA6)</f>
        <v>1</v>
      </c>
      <c r="AH6" s="409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770</v>
      </c>
      <c r="C7" s="230" t="s">
        <v>297</v>
      </c>
      <c r="D7" s="231">
        <v>550</v>
      </c>
      <c r="E7" s="232" t="s">
        <v>4</v>
      </c>
      <c r="F7" s="233">
        <v>2.4700000000000002</v>
      </c>
      <c r="G7" s="234">
        <v>45727</v>
      </c>
      <c r="H7" s="455" t="s">
        <v>23</v>
      </c>
      <c r="I7" s="235" t="s">
        <v>7</v>
      </c>
      <c r="J7" s="456">
        <v>7.0000000000000007E-2</v>
      </c>
      <c r="K7" s="454">
        <f ca="1">ROUND(IF(ISERROR(OFFSET(Tabella!$A$1,MATCH(H7,Tabella!$A:$A,0)-1,MATCH(J7,Tabella!$A$1:$AC$1,0)-1)=TRUE),0,+OFFSET(Tabella!$A$1,MATCH(H7,Tabella!$A:$A,0)-1,MATCH(J7,Tabella!$A$1:$AC$1,0)-1)),4)</f>
        <v>1.25</v>
      </c>
      <c r="L7" s="238">
        <f ca="1">ROUND(IF(ISERROR(OFFSET(Ottone!$A$1,MATCH(H7,Ottone!$A:$A,0)-1,MATCH(J7,Ottone!$A$1:$Z$1,0)-1)=TRUE),0,OFFSET(Ottone!$A$1,MATCH(H7,Ottone!$A:$A,0)-1,MATCH(J7,Ottone!$A$1:$Z$1,0)-1))*IF(E7="Ottone",1,0),4)</f>
        <v>0</v>
      </c>
      <c r="M7" s="238">
        <f ca="1">ROUND(IF(ISERROR(OFFSET(Rame!$A$1,MATCH(H7,Rame!$A:$A,0)-1,MATCH(J7,Rame!$A$1:$AA$1,0)-1)=TRUE),0,OFFSET(Rame!$A$1,MATCH(H7,Rame!$A:$A,0)-1,MATCH(J7,Rame!$A$1:$AA$1,0)-1))*IF(E7="Rame",1,0),4)</f>
        <v>0</v>
      </c>
      <c r="N7" s="238">
        <v>0</v>
      </c>
      <c r="O7" s="238">
        <v>1.5</v>
      </c>
      <c r="P7" s="238">
        <f ca="1">ROUND(+IF(ISERROR(OFFSET(Tabella!$G$1,MATCH(H7,Tabella!$G:$G,0)-1,MATCH(I7,Tabella!$G$1:$FG$1,0)-1)=TRUE),0,OFFSET(Tabella!$G$1,MATCH(H7,Tabella!$G:$G,0)-1,MATCH(I7,Tabella!$G$1:$AB$1,0)-1)),4)</f>
        <v>0.2</v>
      </c>
      <c r="Q7" s="238">
        <f ca="1">ROUND(IF(ISERROR(OFFSET(Ottone!$F$1,MATCH(H7,Ottone!$A:$A,0)-1,MATCH(I7,Ottone!$F$1:$FF$1,0)-1)=TRUE),0,OFFSET(Ottone!$F$1,MATCH(H7,Ottone!$A:$A,0)-1,MATCH(I7,Ottone!$F$1:$FF$1,0)-1))*IF(E7="Ottone",1,0),4)</f>
        <v>0</v>
      </c>
      <c r="R7" s="238">
        <f ca="1">ROUND(IF(ISERROR(OFFSET(Rame!$F$1,MATCH(H7,Rame!$F:$F,0)-1,MATCH(I7,Rame!$F$1:$FF$1,0)-1)=TRUE),0,OFFSET(Rame!$F$1,MATCH(H7,Rame!$F:$F,0)-1,MATCH(I7,Rame!$F$1:$FF$1,0)-1))*IF(E7="Rame",1,0),4)</f>
        <v>0</v>
      </c>
      <c r="S7" s="238">
        <f ca="1">ROUND(IF(ISERROR(OFFSET(Bronzo!$A$1,MATCH(H7,Bronzo!$A:$A,0)-1,MATCH(I7,Bronzo!$A$1:$AA$1,0)-1)=TRUE),0,OFFSET(Bronzo!$A$1,MATCH(H7,Bronzo!$A:$A,0)-1,MATCH(I7,Bronzo!$A$1:$AA$1,0)-1)),4)</f>
        <v>0</v>
      </c>
      <c r="T7" s="238">
        <f t="shared" ca="1" si="0"/>
        <v>0.2</v>
      </c>
      <c r="U7" s="237"/>
      <c r="V7" s="238">
        <v>0</v>
      </c>
      <c r="W7" s="239">
        <f t="shared" ca="1" si="1"/>
        <v>1.7</v>
      </c>
      <c r="X7" s="240">
        <f t="shared" si="2"/>
        <v>38.5</v>
      </c>
      <c r="Y7" s="236">
        <v>4</v>
      </c>
      <c r="Z7" s="236">
        <f t="shared" ca="1" si="3"/>
        <v>-0.17</v>
      </c>
      <c r="AA7" s="241"/>
      <c r="AD7" s="223" t="s">
        <v>403</v>
      </c>
      <c r="AE7" s="223" t="s">
        <v>417</v>
      </c>
      <c r="AF7" s="225">
        <f t="shared" ref="AF7" ca="1" si="4">TODAY()</f>
        <v>46236</v>
      </c>
      <c r="AG7" s="225" t="b">
        <f t="shared" ref="AG7" si="5">ISBLANK(AA7)</f>
        <v>1</v>
      </c>
      <c r="AH7" s="242" t="str">
        <f t="shared" ref="AH7" si="6">IF(AG7=FALSE,_xlfn.DAYS(AA7,AF7),"")</f>
        <v/>
      </c>
      <c r="AK7" s="223">
        <f t="shared" ref="AK7" si="7">WEEKNUM(AA7)</f>
        <v>0</v>
      </c>
      <c r="AL7" s="223">
        <f t="shared" ref="AL7" si="8">YEAR(AA7)</f>
        <v>1900</v>
      </c>
      <c r="AS7" s="223">
        <f t="shared" ref="AS7" si="9">IF(AA7="",0,MONTH(AA7))</f>
        <v>0</v>
      </c>
      <c r="AT7" s="223">
        <f t="shared" ref="AT7" si="10">IF(AA7="",0,YEAR(AA7))</f>
        <v>0</v>
      </c>
    </row>
    <row r="8" spans="1:46" ht="15.75" x14ac:dyDescent="0.25">
      <c r="B8" s="229" t="s">
        <v>771</v>
      </c>
      <c r="C8" s="230" t="s">
        <v>212</v>
      </c>
      <c r="D8" s="231">
        <v>500</v>
      </c>
      <c r="E8" s="232" t="s">
        <v>4</v>
      </c>
      <c r="F8" s="233">
        <v>2.2599999999999998</v>
      </c>
      <c r="G8" s="234">
        <v>45931</v>
      </c>
      <c r="H8" s="235" t="s">
        <v>309</v>
      </c>
      <c r="I8" s="235"/>
      <c r="J8" s="236">
        <v>0.05</v>
      </c>
      <c r="K8" s="237">
        <f ca="1">ROUND(IF(ISERROR(OFFSET(Tabella!$A$1,MATCH(H8,Tabella!$A:$A,0)-1,MATCH(J8,Tabella!$A$1:$AC$1,0)-1)=TRUE),0,+OFFSET(Tabella!$A$1,MATCH(H8,Tabella!$A:$A,0)-1,MATCH(J8,Tabella!$A$1:$AC$1,0)-1)),4)</f>
        <v>0</v>
      </c>
      <c r="L8" s="238">
        <f ca="1">ROUND(IF(ISERROR(OFFSET(Ottone!$A$1,MATCH(H8,Ottone!$A:$A,0)-1,MATCH(J8,Ottone!$A$1:$Z$1,0)-1)=TRUE),0,OFFSET(Ottone!$A$1,MATCH(H8,Ottone!$A:$A,0)-1,MATCH(J8,Ottone!$A$1:$Z$1,0)-1))*IF(E8="Ottone",1,0),4)</f>
        <v>0</v>
      </c>
      <c r="M8" s="238">
        <f ca="1">ROUND(IF(ISERROR(OFFSET(Rame!$A$1,MATCH(H8,Rame!$A:$A,0)-1,MATCH(J8,Rame!$A$1:$AA$1,0)-1)=TRUE),0,OFFSET(Rame!$A$1,MATCH(H8,Rame!$A:$A,0)-1,MATCH(J8,Rame!$A$1:$AA$1,0)-1))*IF(E8="Rame",1,0),4)</f>
        <v>0</v>
      </c>
      <c r="N8" s="238">
        <v>0</v>
      </c>
      <c r="O8" s="238">
        <v>1.5</v>
      </c>
      <c r="P8" s="238">
        <f ca="1">ROUND(+IF(ISERROR(OFFSET(Tabella!$G$1,MATCH(H8,Tabella!$G:$G,0)-1,MATCH(I8,Tabella!$G$1:$FG$1,0)-1)=TRUE),0,OFFSET(Tabella!$G$1,MATCH(H8,Tabella!$G:$G,0)-1,MATCH(I8,Tabella!$G$1:$AB$1,0)-1)),4)</f>
        <v>0</v>
      </c>
      <c r="Q8" s="238">
        <f ca="1">ROUND(IF(ISERROR(OFFSET(Ottone!$F$1,MATCH(H8,Ottone!$A:$A,0)-1,MATCH(I8,Ottone!$F$1:$FF$1,0)-1)=TRUE),0,OFFSET(Ottone!$F$1,MATCH(H8,Ottone!$A:$A,0)-1,MATCH(I8,Ottone!$F$1:$FF$1,0)-1))*IF(E8="Ottone",1,0),4)</f>
        <v>0</v>
      </c>
      <c r="R8" s="238">
        <f ca="1">ROUND(IF(ISERROR(OFFSET(Rame!$F$1,MATCH(H8,Rame!$F:$F,0)-1,MATCH(I8,Rame!$F$1:$FF$1,0)-1)=TRUE),0,OFFSET(Rame!$F$1,MATCH(H8,Rame!$F:$F,0)-1,MATCH(I8,Rame!$F$1:$FF$1,0)-1))*IF(E8="Rame",1,0),4)</f>
        <v>0</v>
      </c>
      <c r="S8" s="238">
        <f ca="1">ROUND(IF(ISERROR(OFFSET(Bronzo!$A$1,MATCH(H8,Bronzo!$A:$A,0)-1,MATCH(I8,Bronzo!$A$1:$AA$1,0)-1)=TRUE),0,OFFSET(Bronzo!$A$1,MATCH(H8,Bronzo!$A:$A,0)-1,MATCH(I8,Bronzo!$A$1:$AA$1,0)-1)),4)</f>
        <v>0</v>
      </c>
      <c r="T8" s="238">
        <f t="shared" ca="1" si="0"/>
        <v>0</v>
      </c>
      <c r="U8" s="237"/>
      <c r="V8" s="238">
        <v>0</v>
      </c>
      <c r="W8" s="239">
        <f t="shared" ca="1" si="1"/>
        <v>1.5</v>
      </c>
      <c r="X8" s="240">
        <f t="shared" si="2"/>
        <v>25</v>
      </c>
      <c r="Y8" s="236">
        <v>3.73</v>
      </c>
      <c r="Z8" s="236">
        <f t="shared" ca="1" si="3"/>
        <v>-0.03</v>
      </c>
      <c r="AA8" s="241"/>
      <c r="AD8" s="223" t="s">
        <v>403</v>
      </c>
      <c r="AE8" s="223" t="s">
        <v>417</v>
      </c>
      <c r="AF8" s="225">
        <f t="shared" ref="AF8" ca="1" si="11">TODAY()</f>
        <v>46236</v>
      </c>
      <c r="AG8" s="225" t="b">
        <f t="shared" ref="AG8" si="12">ISBLANK(AA8)</f>
        <v>1</v>
      </c>
      <c r="AH8" s="242" t="str">
        <f t="shared" ref="AH8" si="13">IF(AG8=FALSE,_xlfn.DAYS(AA8,AF8),"")</f>
        <v/>
      </c>
      <c r="AK8" s="223">
        <f t="shared" ref="AK8" si="14">WEEKNUM(AA8)</f>
        <v>0</v>
      </c>
      <c r="AL8" s="223">
        <f t="shared" ref="AL8" si="15">YEAR(AA8)</f>
        <v>1900</v>
      </c>
      <c r="AS8" s="223">
        <f t="shared" ref="AS8" si="16">IF(AA8="",0,MONTH(AA8))</f>
        <v>0</v>
      </c>
      <c r="AT8" s="223">
        <f t="shared" ref="AT8" si="17">IF(AA8="",0,YEAR(AA8))</f>
        <v>0</v>
      </c>
    </row>
    <row r="9" spans="1:46" ht="15.75" x14ac:dyDescent="0.25">
      <c r="B9" s="229" t="s">
        <v>662</v>
      </c>
      <c r="C9" s="245" t="s">
        <v>330</v>
      </c>
      <c r="D9" s="246">
        <v>1020</v>
      </c>
      <c r="E9" s="232" t="s">
        <v>4</v>
      </c>
      <c r="F9" s="247">
        <v>3.03</v>
      </c>
      <c r="G9" s="234">
        <v>46009</v>
      </c>
      <c r="H9" s="235" t="s">
        <v>314</v>
      </c>
      <c r="I9" s="235"/>
      <c r="J9" s="236">
        <v>7.0000000000000007E-2</v>
      </c>
      <c r="K9" s="237">
        <f ca="1">ROUND(IF(ISERROR(OFFSET(Tabella!$A$1,MATCH(H9,Tabella!$A:$A,0)-1,MATCH(J9,Tabella!$A$1:$AC$1,0)-1)=TRUE),0,+OFFSET(Tabella!$A$1,MATCH(H9,Tabella!$A:$A,0)-1,MATCH(J9,Tabella!$A$1:$AC$1,0)-1)),4)</f>
        <v>1.25</v>
      </c>
      <c r="L9" s="238">
        <f ca="1">ROUND(IF(ISERROR(OFFSET(Ottone!$A$1,MATCH(H9,Ottone!$A:$A,0)-1,MATCH(J9,Ottone!$A$1:$Z$1,0)-1)=TRUE),0,OFFSET(Ottone!$A$1,MATCH(H9,Ottone!$A:$A,0)-1,MATCH(J9,Ottone!$A$1:$Z$1,0)-1))*IF(E9="Ottone",1,0),4)</f>
        <v>0</v>
      </c>
      <c r="M9" s="238">
        <f ca="1">ROUND(IF(ISERROR(OFFSET(Rame!$A$1,MATCH(H9,Rame!$A:$A,0)-1,MATCH(J9,Rame!$A$1:$AA$1,0)-1)=TRUE),0,OFFSET(Rame!$A$1,MATCH(H9,Rame!$A:$A,0)-1,MATCH(J9,Rame!$A$1:$AA$1,0)-1))*IF(E9="Rame",1,0),4)</f>
        <v>0</v>
      </c>
      <c r="N9" s="238">
        <v>0</v>
      </c>
      <c r="O9" s="238">
        <f ca="1">ROUND(SUM(K9:N9),4)</f>
        <v>1.25</v>
      </c>
      <c r="P9" s="238">
        <f ca="1">ROUND(+IF(ISERROR(OFFSET(Tabella!$G$1,MATCH(H9,Tabella!$G:$G,0)-1,MATCH(I9,Tabella!$G$1:$FG$1,0)-1)=TRUE),0,OFFSET(Tabella!$G$1,MATCH(H9,Tabella!$G:$G,0)-1,MATCH(I9,Tabella!$G$1:$AB$1,0)-1)),4)</f>
        <v>0</v>
      </c>
      <c r="Q9" s="238">
        <f ca="1">ROUND(IF(ISERROR(OFFSET(Ottone!$F$1,MATCH(H9,Ottone!$A:$A,0)-1,MATCH(I9,Ottone!$F$1:$FF$1,0)-1)=TRUE),0,OFFSET(Ottone!$F$1,MATCH(H9,Ottone!$A:$A,0)-1,MATCH(I9,Ottone!$F$1:$FF$1,0)-1))*IF(E9="Ottone",1,0),4)</f>
        <v>0</v>
      </c>
      <c r="R9" s="238">
        <f ca="1">ROUND(IF(ISERROR(OFFSET(Rame!$F$1,MATCH(H9,Rame!$F:$F,0)-1,MATCH(I9,Rame!$F$1:$FF$1,0)-1)=TRUE),0,OFFSET(Rame!$F$1,MATCH(H9,Rame!$F:$F,0)-1,MATCH(I9,Rame!$F$1:$FF$1,0)-1))*IF(E9="Rame",1,0),4)</f>
        <v>0</v>
      </c>
      <c r="S9" s="238">
        <f ca="1">ROUND(IF(ISERROR(OFFSET(Bronzo!$A$1,MATCH(H9,Bronzo!$A:$A,0)-1,MATCH(I9,Bronzo!$A$1:$AA$1,0)-1)=TRUE),0,OFFSET(Bronzo!$A$1,MATCH(H9,Bronzo!$A:$A,0)-1,MATCH(I9,Bronzo!$A$1:$AA$1,0)-1)),4)</f>
        <v>0</v>
      </c>
      <c r="T9" s="238">
        <f t="shared" ca="1" si="0"/>
        <v>0</v>
      </c>
      <c r="U9" s="237"/>
      <c r="V9" s="238">
        <v>0</v>
      </c>
      <c r="W9" s="239">
        <f t="shared" ca="1" si="1"/>
        <v>1.25</v>
      </c>
      <c r="X9" s="423">
        <f t="shared" si="2"/>
        <v>71.400000000000006</v>
      </c>
      <c r="Y9" s="426">
        <v>4.63</v>
      </c>
      <c r="Z9" s="236">
        <f t="shared" ca="1" si="3"/>
        <v>0.35</v>
      </c>
      <c r="AA9" s="241"/>
      <c r="AF9" s="225">
        <f t="shared" ref="AF9:AF11" ca="1" si="18">TODAY()</f>
        <v>46236</v>
      </c>
      <c r="AG9" s="225" t="b">
        <f t="shared" ref="AG9:AG11" si="19">ISBLANK(AA9)</f>
        <v>1</v>
      </c>
      <c r="AH9" s="242" t="str">
        <f t="shared" ref="AH9:AH11" si="20">IF(AG9=FALSE,_xlfn.DAYS(AA9,AF9),"")</f>
        <v/>
      </c>
      <c r="AK9" s="223">
        <f t="shared" ref="AK9:AK11" si="21">WEEKNUM(AA9)</f>
        <v>0</v>
      </c>
      <c r="AL9" s="223">
        <f t="shared" ref="AL9:AL11" si="22">YEAR(AA9)</f>
        <v>1900</v>
      </c>
      <c r="AS9" s="223">
        <f t="shared" ref="AS9:AS11" si="23">IF(AA9="",0,MONTH(AA9))</f>
        <v>0</v>
      </c>
      <c r="AT9" s="223">
        <f t="shared" ref="AT9:AT11" si="24">IF(AA9="",0,YEAR(AA9))</f>
        <v>0</v>
      </c>
    </row>
    <row r="10" spans="1:46" ht="15.75" x14ac:dyDescent="0.25">
      <c r="B10" s="229" t="s">
        <v>439</v>
      </c>
      <c r="C10" s="230" t="s">
        <v>330</v>
      </c>
      <c r="D10" s="231">
        <v>900</v>
      </c>
      <c r="E10" s="232" t="s">
        <v>4</v>
      </c>
      <c r="F10" s="244">
        <v>1.6</v>
      </c>
      <c r="G10" s="234">
        <v>46009</v>
      </c>
      <c r="H10" s="235" t="s">
        <v>17</v>
      </c>
      <c r="I10" s="235"/>
      <c r="J10" s="236">
        <v>7.0000000000000007E-2</v>
      </c>
      <c r="K10" s="237">
        <f ca="1">ROUND(IF(ISERROR(OFFSET(Tabella!$A$1,MATCH(H10,Tabella!$A:$A,0)-1,MATCH(J10,Tabella!$A$1:$AC$1,0)-1)=TRUE),0,+OFFSET(Tabella!$A$1,MATCH(H10,Tabella!$A:$A,0)-1,MATCH(J10,Tabella!$A$1:$AC$1,0)-1)),4)</f>
        <v>1.4</v>
      </c>
      <c r="L10" s="238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238">
        <f ca="1">ROUND(IF(ISERROR(OFFSET(Rame!$A$1,MATCH(H10,Rame!$A:$A,0)-1,MATCH(J10,Rame!$A$1:$AA$1,0)-1)=TRUE),0,OFFSET(Rame!$A$1,MATCH(H10,Rame!$A:$A,0)-1,MATCH(J10,Rame!$A$1:$AA$1,0)-1))*IF(E10="Rame",1,0),4)</f>
        <v>0</v>
      </c>
      <c r="N10" s="238">
        <v>0</v>
      </c>
      <c r="O10" s="238">
        <f ca="1">ROUND(SUM(K10:N10),4)</f>
        <v>1.4</v>
      </c>
      <c r="P10" s="238">
        <f ca="1">ROUND(+IF(ISERROR(OFFSET(Tabella!$G$1,MATCH(H10,Tabella!$G:$G,0)-1,MATCH(I10,Tabella!$G$1:$FG$1,0)-1)=TRUE),0,OFFSET(Tabella!$G$1,MATCH(H10,Tabella!$G:$G,0)-1,MATCH(I10,Tabella!$G$1:$AB$1,0)-1)),4)</f>
        <v>0</v>
      </c>
      <c r="Q10" s="238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238">
        <f ca="1">ROUND(IF(ISERROR(OFFSET(Rame!$F$1,MATCH(H10,Rame!$F:$F,0)-1,MATCH(I10,Rame!$F$1:$FF$1,0)-1)=TRUE),0,OFFSET(Rame!$F$1,MATCH(H10,Rame!$F:$F,0)-1,MATCH(I10,Rame!$F$1:$FF$1,0)-1))*IF(E10="Rame",1,0),4)</f>
        <v>0</v>
      </c>
      <c r="S10" s="238">
        <f ca="1">ROUND(IF(ISERROR(OFFSET(Bronzo!$A$1,MATCH(H10,Bronzo!$A:$A,0)-1,MATCH(I10,Bronzo!$A$1:$AA$1,0)-1)=TRUE),0,OFFSET(Bronzo!$A$1,MATCH(H10,Bronzo!$A:$A,0)-1,MATCH(I10,Bronzo!$A$1:$AA$1,0)-1)),4)</f>
        <v>0</v>
      </c>
      <c r="T10" s="238">
        <f t="shared" ca="1" si="0"/>
        <v>0</v>
      </c>
      <c r="U10" s="237"/>
      <c r="V10" s="238">
        <v>0</v>
      </c>
      <c r="W10" s="239">
        <f t="shared" ca="1" si="1"/>
        <v>1.4</v>
      </c>
      <c r="X10" s="240">
        <f t="shared" si="2"/>
        <v>63</v>
      </c>
      <c r="Y10" s="425">
        <v>1.6</v>
      </c>
      <c r="Z10" s="236">
        <f t="shared" ca="1" si="3"/>
        <v>-1.4</v>
      </c>
      <c r="AA10" s="241"/>
      <c r="AE10" s="223" t="s">
        <v>417</v>
      </c>
      <c r="AF10" s="225">
        <f t="shared" ca="1" si="18"/>
        <v>46236</v>
      </c>
      <c r="AG10" s="225" t="b">
        <f t="shared" si="19"/>
        <v>1</v>
      </c>
      <c r="AH10" s="242" t="str">
        <f t="shared" si="20"/>
        <v/>
      </c>
      <c r="AK10" s="223">
        <f t="shared" si="21"/>
        <v>0</v>
      </c>
      <c r="AL10" s="223">
        <f t="shared" si="22"/>
        <v>1900</v>
      </c>
      <c r="AS10" s="223">
        <f t="shared" si="23"/>
        <v>0</v>
      </c>
      <c r="AT10" s="223">
        <f t="shared" si="24"/>
        <v>0</v>
      </c>
    </row>
    <row r="11" spans="1:46" ht="15.75" x14ac:dyDescent="0.25">
      <c r="B11" s="229" t="s">
        <v>547</v>
      </c>
      <c r="C11" s="235" t="s">
        <v>330</v>
      </c>
      <c r="D11" s="243">
        <v>600</v>
      </c>
      <c r="E11" s="232" t="s">
        <v>4</v>
      </c>
      <c r="F11" s="247">
        <v>2.88</v>
      </c>
      <c r="G11" s="234">
        <v>46009</v>
      </c>
      <c r="H11" s="235" t="s">
        <v>17</v>
      </c>
      <c r="I11" s="235"/>
      <c r="J11" s="236">
        <v>7.0000000000000007E-2</v>
      </c>
      <c r="K11" s="237">
        <f ca="1">ROUND(IF(ISERROR(OFFSET(Tabella!$A$1,MATCH(H11,Tabella!$A:$A,0)-1,MATCH(J11,Tabella!$A$1:$AC$1,0)-1)=TRUE),0,+OFFSET(Tabella!$A$1,MATCH(H11,Tabella!$A:$A,0)-1,MATCH(J11,Tabella!$A$1:$AC$1,0)-1)),4)</f>
        <v>1.4</v>
      </c>
      <c r="L11" s="238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238">
        <f ca="1">ROUND(IF(ISERROR(OFFSET(Rame!$A$1,MATCH(H11,Rame!$A:$A,0)-1,MATCH(J11,Rame!$A$1:$AA$1,0)-1)=TRUE),0,OFFSET(Rame!$A$1,MATCH(H11,Rame!$A:$A,0)-1,MATCH(J11,Rame!$A$1:$AA$1,0)-1))*IF(E11="Rame",1,0),4)</f>
        <v>0</v>
      </c>
      <c r="N11" s="238">
        <v>0</v>
      </c>
      <c r="O11" s="238">
        <f ca="1">ROUND(SUM(K11:N11),4)</f>
        <v>1.4</v>
      </c>
      <c r="P11" s="238">
        <f ca="1">ROUND(+IF(ISERROR(OFFSET(Tabella!$G$1,MATCH(H11,Tabella!$G:$G,0)-1,MATCH(I11,Tabella!$G$1:$FG$1,0)-1)=TRUE),0,OFFSET(Tabella!$G$1,MATCH(H11,Tabella!$G:$G,0)-1,MATCH(I11,Tabella!$G$1:$AB$1,0)-1)),4)</f>
        <v>0</v>
      </c>
      <c r="Q11" s="238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238">
        <f ca="1">ROUND(IF(ISERROR(OFFSET(Rame!$F$1,MATCH(H11,Rame!$F:$F,0)-1,MATCH(I11,Rame!$F$1:$FF$1,0)-1)=TRUE),0,OFFSET(Rame!$F$1,MATCH(H11,Rame!$F:$F,0)-1,MATCH(I11,Rame!$F$1:$FF$1,0)-1))*IF(E11="Rame",1,0),4)</f>
        <v>0</v>
      </c>
      <c r="S11" s="238">
        <f ca="1">ROUND(IF(ISERROR(OFFSET(Bronzo!$A$1,MATCH(H11,Bronzo!$A:$A,0)-1,MATCH(I11,Bronzo!$A$1:$AA$1,0)-1)=TRUE),0,OFFSET(Bronzo!$A$1,MATCH(H11,Bronzo!$A:$A,0)-1,MATCH(I11,Bronzo!$A$1:$AA$1,0)-1)),4)</f>
        <v>0</v>
      </c>
      <c r="T11" s="238">
        <f t="shared" ca="1" si="0"/>
        <v>0</v>
      </c>
      <c r="U11" s="237"/>
      <c r="V11" s="238">
        <v>0</v>
      </c>
      <c r="W11" s="239">
        <f t="shared" ca="1" si="1"/>
        <v>1.4</v>
      </c>
      <c r="X11" s="422">
        <f t="shared" si="2"/>
        <v>42</v>
      </c>
      <c r="Y11" s="426">
        <v>4.4800000000000004</v>
      </c>
      <c r="Z11" s="236">
        <f t="shared" ca="1" si="3"/>
        <v>0.2</v>
      </c>
      <c r="AA11" s="241">
        <v>46161</v>
      </c>
      <c r="AF11" s="225">
        <f t="shared" ca="1" si="18"/>
        <v>46236</v>
      </c>
      <c r="AG11" s="225" t="b">
        <f t="shared" si="19"/>
        <v>0</v>
      </c>
      <c r="AH11" s="242">
        <f t="shared" ca="1" si="20"/>
        <v>-75</v>
      </c>
      <c r="AK11" s="223">
        <f t="shared" si="21"/>
        <v>21</v>
      </c>
      <c r="AL11" s="223">
        <f t="shared" si="22"/>
        <v>2026</v>
      </c>
      <c r="AS11" s="223">
        <f t="shared" si="23"/>
        <v>5</v>
      </c>
      <c r="AT11" s="223">
        <f t="shared" si="24"/>
        <v>2026</v>
      </c>
    </row>
    <row r="12" spans="1:46" ht="15.75" x14ac:dyDescent="0.25">
      <c r="B12" s="229" t="s">
        <v>687</v>
      </c>
      <c r="C12" s="245" t="s">
        <v>396</v>
      </c>
      <c r="D12" s="246">
        <v>2516</v>
      </c>
      <c r="E12" s="232" t="s">
        <v>4</v>
      </c>
      <c r="F12" s="233">
        <v>2.68</v>
      </c>
      <c r="G12" s="234">
        <v>46048</v>
      </c>
      <c r="H12" s="235" t="s">
        <v>28</v>
      </c>
      <c r="I12" s="235"/>
      <c r="J12" s="236">
        <v>7.0000000000000007E-2</v>
      </c>
      <c r="K12" s="237">
        <f ca="1">ROUND(IF(ISERROR(OFFSET(Tabella!$A$1,MATCH(H12,Tabella!$A:$A,0)-1,MATCH(J12,Tabella!$A$1:$AC$1,0)-1)=TRUE),0,+OFFSET(Tabella!$A$1,MATCH(H12,Tabella!$A:$A,0)-1,MATCH(J12,Tabella!$A$1:$AC$1,0)-1)),4)</f>
        <v>1.25</v>
      </c>
      <c r="L12" s="238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238">
        <f ca="1">ROUND(IF(ISERROR(OFFSET(Rame!$A$1,MATCH(H12,Rame!$A:$A,0)-1,MATCH(J12,Rame!$A$1:$AA$1,0)-1)=TRUE),0,OFFSET(Rame!$A$1,MATCH(H12,Rame!$A:$A,0)-1,MATCH(J12,Rame!$A$1:$AA$1,0)-1))*IF(E12="Rame",1,0),4)</f>
        <v>0</v>
      </c>
      <c r="N12" s="238">
        <v>0</v>
      </c>
      <c r="O12" s="238">
        <f ca="1">ROUND(SUM(K12:N12),4)</f>
        <v>1.25</v>
      </c>
      <c r="P12" s="238">
        <f ca="1">ROUND(+IF(ISERROR(OFFSET(Tabella!$G$1,MATCH(H12,Tabella!$G:$G,0)-1,MATCH(I12,Tabella!$G$1:$FG$1,0)-1)=TRUE),0,OFFSET(Tabella!$G$1,MATCH(H12,Tabella!$G:$G,0)-1,MATCH(I12,Tabella!$G$1:$AB$1,0)-1)),4)</f>
        <v>0</v>
      </c>
      <c r="Q12" s="238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238">
        <f ca="1">ROUND(IF(ISERROR(OFFSET(Rame!$F$1,MATCH(H12,Rame!$F:$F,0)-1,MATCH(I12,Rame!$F$1:$FF$1,0)-1)=TRUE),0,OFFSET(Rame!$F$1,MATCH(H12,Rame!$F:$F,0)-1,MATCH(I12,Rame!$F$1:$FF$1,0)-1))*IF(E12="Rame",1,0),4)</f>
        <v>0</v>
      </c>
      <c r="S12" s="238">
        <f ca="1">ROUND(IF(ISERROR(OFFSET(Bronzo!$A$1,MATCH(H12,Bronzo!$A:$A,0)-1,MATCH(I12,Bronzo!$A$1:$AA$1,0)-1)=TRUE),0,OFFSET(Bronzo!$A$1,MATCH(H12,Bronzo!$A:$A,0)-1,MATCH(I12,Bronzo!$A$1:$AA$1,0)-1)),4)</f>
        <v>0</v>
      </c>
      <c r="T12" s="238">
        <f t="shared" ca="1" si="0"/>
        <v>0</v>
      </c>
      <c r="U12" s="237"/>
      <c r="V12" s="238">
        <v>0</v>
      </c>
      <c r="W12" s="239">
        <f t="shared" ca="1" si="1"/>
        <v>1.25</v>
      </c>
      <c r="X12" s="423">
        <f t="shared" si="2"/>
        <v>176.12</v>
      </c>
      <c r="Y12" s="236">
        <v>4.4000000000000004</v>
      </c>
      <c r="Z12" s="236">
        <f t="shared" ca="1" si="3"/>
        <v>0.47</v>
      </c>
      <c r="AA12" s="241"/>
      <c r="AF12" s="225">
        <f t="shared" ref="AF12:AF18" ca="1" si="25">TODAY()</f>
        <v>46236</v>
      </c>
      <c r="AG12" s="225" t="b">
        <f t="shared" ref="AG12:AG16" si="26">ISBLANK(AA12)</f>
        <v>1</v>
      </c>
      <c r="AH12" s="242" t="str">
        <f t="shared" ref="AH12:AH16" si="27">IF(AG12=FALSE,_xlfn.DAYS(AA12,AF12),"")</f>
        <v/>
      </c>
      <c r="AK12" s="223">
        <f t="shared" ref="AK12:AK16" si="28">WEEKNUM(AA12)</f>
        <v>0</v>
      </c>
      <c r="AL12" s="223">
        <f t="shared" ref="AL12:AL16" si="29">YEAR(AA12)</f>
        <v>1900</v>
      </c>
      <c r="AS12" s="223">
        <f t="shared" ref="AS12:AS16" si="30">IF(AA12="",0,MONTH(AA12))</f>
        <v>0</v>
      </c>
      <c r="AT12" s="223">
        <f t="shared" ref="AT12:AT16" si="31">IF(AA12="",0,YEAR(AA12))</f>
        <v>0</v>
      </c>
    </row>
    <row r="13" spans="1:46" ht="15.75" x14ac:dyDescent="0.25">
      <c r="B13" s="229" t="s">
        <v>442</v>
      </c>
      <c r="C13" s="235" t="s">
        <v>260</v>
      </c>
      <c r="D13" s="243">
        <v>279</v>
      </c>
      <c r="E13" s="232" t="s">
        <v>4</v>
      </c>
      <c r="F13" s="233">
        <v>2.68</v>
      </c>
      <c r="G13" s="234">
        <v>46048</v>
      </c>
      <c r="H13" s="235" t="s">
        <v>19</v>
      </c>
      <c r="I13" s="235"/>
      <c r="J13" s="236">
        <v>0.05</v>
      </c>
      <c r="K13" s="237">
        <f ca="1">ROUND(IF(ISERROR(OFFSET(Tabella!$A$1,MATCH(H13,Tabella!$A:$A,0)-1,MATCH(J13,Tabella!$A$1:$AC$1,0)-1)=TRUE),0,+OFFSET(Tabella!$A$1,MATCH(H13,Tabella!$A:$A,0)-1,MATCH(J13,Tabella!$A$1:$AC$1,0)-1)),4)</f>
        <v>0</v>
      </c>
      <c r="L13" s="238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238">
        <f ca="1">ROUND(IF(ISERROR(OFFSET(Rame!$A$1,MATCH(H13,Rame!$A:$A,0)-1,MATCH(J13,Rame!$A$1:$AA$1,0)-1)=TRUE),0,OFFSET(Rame!$A$1,MATCH(H13,Rame!$A:$A,0)-1,MATCH(J13,Rame!$A$1:$AA$1,0)-1))*IF(E13="Rame",1,0),4)</f>
        <v>0</v>
      </c>
      <c r="N13" s="238">
        <v>0</v>
      </c>
      <c r="O13" s="238">
        <v>1.55</v>
      </c>
      <c r="P13" s="238">
        <f ca="1">ROUND(+IF(ISERROR(OFFSET(Tabella!$G$1,MATCH(H13,Tabella!$G:$G,0)-1,MATCH(I13,Tabella!$G$1:$FG$1,0)-1)=TRUE),0,OFFSET(Tabella!$G$1,MATCH(H13,Tabella!$G:$G,0)-1,MATCH(I13,Tabella!$G$1:$AB$1,0)-1)),4)</f>
        <v>0</v>
      </c>
      <c r="Q13" s="238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238">
        <f ca="1">ROUND(IF(ISERROR(OFFSET(Rame!$F$1,MATCH(H13,Rame!$F:$F,0)-1,MATCH(I13,Rame!$F$1:$FF$1,0)-1)=TRUE),0,OFFSET(Rame!$F$1,MATCH(H13,Rame!$F:$F,0)-1,MATCH(I13,Rame!$F$1:$FF$1,0)-1))*IF(E13="Rame",1,0),4)</f>
        <v>0</v>
      </c>
      <c r="S13" s="238">
        <f ca="1">ROUND(IF(ISERROR(OFFSET(Bronzo!$A$1,MATCH(H13,Bronzo!$A:$A,0)-1,MATCH(I13,Bronzo!$A$1:$AA$1,0)-1)=TRUE),0,OFFSET(Bronzo!$A$1,MATCH(H13,Bronzo!$A:$A,0)-1,MATCH(I13,Bronzo!$A$1:$AA$1,0)-1)),4)</f>
        <v>0</v>
      </c>
      <c r="T13" s="238">
        <f t="shared" ca="1" si="0"/>
        <v>0</v>
      </c>
      <c r="U13" s="237"/>
      <c r="V13" s="238">
        <v>0</v>
      </c>
      <c r="W13" s="239">
        <f t="shared" ca="1" si="1"/>
        <v>1.55</v>
      </c>
      <c r="X13" s="240">
        <f t="shared" si="2"/>
        <v>13.95</v>
      </c>
      <c r="Y13" s="236">
        <v>4</v>
      </c>
      <c r="Z13" s="236">
        <f t="shared" ca="1" si="3"/>
        <v>-0.23</v>
      </c>
      <c r="AA13" s="241">
        <v>46176</v>
      </c>
      <c r="AF13" s="225">
        <f t="shared" ca="1" si="25"/>
        <v>46236</v>
      </c>
      <c r="AG13" s="225" t="b">
        <f t="shared" si="26"/>
        <v>0</v>
      </c>
      <c r="AH13" s="242">
        <f t="shared" ca="1" si="27"/>
        <v>-60</v>
      </c>
      <c r="AK13" s="223">
        <f t="shared" si="28"/>
        <v>23</v>
      </c>
      <c r="AL13" s="223">
        <f t="shared" si="29"/>
        <v>2026</v>
      </c>
      <c r="AS13" s="223">
        <f t="shared" si="30"/>
        <v>6</v>
      </c>
      <c r="AT13" s="223">
        <f t="shared" si="31"/>
        <v>2026</v>
      </c>
    </row>
    <row r="14" spans="1:46" ht="15.75" x14ac:dyDescent="0.25">
      <c r="B14" s="229" t="s">
        <v>443</v>
      </c>
      <c r="C14" s="235" t="s">
        <v>396</v>
      </c>
      <c r="D14" s="243">
        <v>1000</v>
      </c>
      <c r="E14" s="232" t="s">
        <v>4</v>
      </c>
      <c r="F14" s="233">
        <v>2.68</v>
      </c>
      <c r="G14" s="234">
        <v>46048</v>
      </c>
      <c r="H14" s="235" t="s">
        <v>28</v>
      </c>
      <c r="I14" s="235"/>
      <c r="J14" s="236">
        <v>7.0000000000000007E-2</v>
      </c>
      <c r="K14" s="237">
        <f ca="1">ROUND(IF(ISERROR(OFFSET(Tabella!$A$1,MATCH(H14,Tabella!$A:$A,0)-1,MATCH(J14,Tabella!$A$1:$AC$1,0)-1)=TRUE),0,+OFFSET(Tabella!$A$1,MATCH(H14,Tabella!$A:$A,0)-1,MATCH(J14,Tabella!$A$1:$AC$1,0)-1)),4)</f>
        <v>1.25</v>
      </c>
      <c r="L14" s="238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238">
        <f ca="1">ROUND(IF(ISERROR(OFFSET(Rame!$A$1,MATCH(H14,Rame!$A:$A,0)-1,MATCH(J14,Rame!$A$1:$AA$1,0)-1)=TRUE),0,OFFSET(Rame!$A$1,MATCH(H14,Rame!$A:$A,0)-1,MATCH(J14,Rame!$A$1:$AA$1,0)-1))*IF(E14="Rame",1,0),4)</f>
        <v>0</v>
      </c>
      <c r="N14" s="238">
        <v>0</v>
      </c>
      <c r="O14" s="238">
        <f ca="1">ROUND(SUM(K14:N14),4)</f>
        <v>1.25</v>
      </c>
      <c r="P14" s="238">
        <f ca="1">ROUND(+IF(ISERROR(OFFSET(Tabella!$G$1,MATCH(H14,Tabella!$G:$G,0)-1,MATCH(I14,Tabella!$G$1:$FG$1,0)-1)=TRUE),0,OFFSET(Tabella!$G$1,MATCH(H14,Tabella!$G:$G,0)-1,MATCH(I14,Tabella!$G$1:$AB$1,0)-1)),4)</f>
        <v>0</v>
      </c>
      <c r="Q14" s="238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238">
        <f ca="1">ROUND(IF(ISERROR(OFFSET(Rame!$F$1,MATCH(H14,Rame!$F:$F,0)-1,MATCH(I14,Rame!$F$1:$FF$1,0)-1)=TRUE),0,OFFSET(Rame!$F$1,MATCH(H14,Rame!$F:$F,0)-1,MATCH(I14,Rame!$F$1:$FF$1,0)-1))*IF(E14="Rame",1,0),4)</f>
        <v>0</v>
      </c>
      <c r="S14" s="238">
        <f ca="1">ROUND(IF(ISERROR(OFFSET(Bronzo!$A$1,MATCH(H14,Bronzo!$A:$A,0)-1,MATCH(I14,Bronzo!$A$1:$AA$1,0)-1)=TRUE),0,OFFSET(Bronzo!$A$1,MATCH(H14,Bronzo!$A:$A,0)-1,MATCH(I14,Bronzo!$A$1:$AA$1,0)-1)),4)</f>
        <v>0</v>
      </c>
      <c r="T14" s="238">
        <f t="shared" ca="1" si="0"/>
        <v>0</v>
      </c>
      <c r="U14" s="237"/>
      <c r="V14" s="238">
        <v>0</v>
      </c>
      <c r="W14" s="239">
        <f t="shared" ca="1" si="1"/>
        <v>1.25</v>
      </c>
      <c r="X14" s="240">
        <f t="shared" si="2"/>
        <v>70</v>
      </c>
      <c r="Y14" s="236">
        <v>4.4000000000000004</v>
      </c>
      <c r="Z14" s="236">
        <f t="shared" ca="1" si="3"/>
        <v>0.47</v>
      </c>
      <c r="AA14" s="241">
        <v>46238</v>
      </c>
      <c r="AF14" s="225">
        <f t="shared" ca="1" si="25"/>
        <v>46236</v>
      </c>
      <c r="AG14" s="225" t="b">
        <f t="shared" si="26"/>
        <v>0</v>
      </c>
      <c r="AH14" s="242">
        <f t="shared" ca="1" si="27"/>
        <v>2</v>
      </c>
      <c r="AK14" s="223">
        <f t="shared" si="28"/>
        <v>32</v>
      </c>
      <c r="AL14" s="223">
        <f t="shared" si="29"/>
        <v>2026</v>
      </c>
      <c r="AS14" s="223">
        <f t="shared" si="30"/>
        <v>8</v>
      </c>
      <c r="AT14" s="223">
        <f t="shared" si="31"/>
        <v>2026</v>
      </c>
    </row>
    <row r="15" spans="1:46" ht="15.75" x14ac:dyDescent="0.25">
      <c r="B15" s="229" t="s">
        <v>444</v>
      </c>
      <c r="C15" s="235" t="s">
        <v>396</v>
      </c>
      <c r="D15" s="243">
        <v>1000</v>
      </c>
      <c r="E15" s="232" t="s">
        <v>4</v>
      </c>
      <c r="F15" s="233">
        <v>2.68</v>
      </c>
      <c r="G15" s="234">
        <v>46048</v>
      </c>
      <c r="H15" s="235" t="s">
        <v>28</v>
      </c>
      <c r="I15" s="235"/>
      <c r="J15" s="236">
        <v>7.0000000000000007E-2</v>
      </c>
      <c r="K15" s="237">
        <f ca="1">ROUND(IF(ISERROR(OFFSET(Tabella!$A$1,MATCH(H15,Tabella!$A:$A,0)-1,MATCH(J15,Tabella!$A$1:$AC$1,0)-1)=TRUE),0,+OFFSET(Tabella!$A$1,MATCH(H15,Tabella!$A:$A,0)-1,MATCH(J15,Tabella!$A$1:$AC$1,0)-1)),4)</f>
        <v>1.25</v>
      </c>
      <c r="L15" s="238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238">
        <f ca="1">ROUND(IF(ISERROR(OFFSET(Rame!$A$1,MATCH(H15,Rame!$A:$A,0)-1,MATCH(J15,Rame!$A$1:$AA$1,0)-1)=TRUE),0,OFFSET(Rame!$A$1,MATCH(H15,Rame!$A:$A,0)-1,MATCH(J15,Rame!$A$1:$AA$1,0)-1))*IF(E15="Rame",1,0),4)</f>
        <v>0</v>
      </c>
      <c r="N15" s="238">
        <v>0</v>
      </c>
      <c r="O15" s="238">
        <f ca="1">ROUND(SUM(K15:N15),4)</f>
        <v>1.25</v>
      </c>
      <c r="P15" s="238">
        <f ca="1">ROUND(+IF(ISERROR(OFFSET(Tabella!$G$1,MATCH(H15,Tabella!$G:$G,0)-1,MATCH(I15,Tabella!$G$1:$FG$1,0)-1)=TRUE),0,OFFSET(Tabella!$G$1,MATCH(H15,Tabella!$G:$G,0)-1,MATCH(I15,Tabella!$G$1:$AB$1,0)-1)),4)</f>
        <v>0</v>
      </c>
      <c r="Q15" s="238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238">
        <f ca="1">ROUND(IF(ISERROR(OFFSET(Rame!$F$1,MATCH(H15,Rame!$F:$F,0)-1,MATCH(I15,Rame!$F$1:$FF$1,0)-1)=TRUE),0,OFFSET(Rame!$F$1,MATCH(H15,Rame!$F:$F,0)-1,MATCH(I15,Rame!$F$1:$FF$1,0)-1))*IF(E15="Rame",1,0),4)</f>
        <v>0</v>
      </c>
      <c r="S15" s="238">
        <f ca="1">ROUND(IF(ISERROR(OFFSET(Bronzo!$A$1,MATCH(H15,Bronzo!$A:$A,0)-1,MATCH(I15,Bronzo!$A$1:$AA$1,0)-1)=TRUE),0,OFFSET(Bronzo!$A$1,MATCH(H15,Bronzo!$A:$A,0)-1,MATCH(I15,Bronzo!$A$1:$AA$1,0)-1)),4)</f>
        <v>0</v>
      </c>
      <c r="T15" s="238">
        <f t="shared" ca="1" si="0"/>
        <v>0</v>
      </c>
      <c r="U15" s="237"/>
      <c r="V15" s="238">
        <v>0</v>
      </c>
      <c r="W15" s="239">
        <f t="shared" ca="1" si="1"/>
        <v>1.25</v>
      </c>
      <c r="X15" s="240">
        <f t="shared" si="2"/>
        <v>70</v>
      </c>
      <c r="Y15" s="236">
        <v>4.4000000000000004</v>
      </c>
      <c r="Z15" s="236">
        <f t="shared" ca="1" si="3"/>
        <v>0.47</v>
      </c>
      <c r="AA15" s="241">
        <v>46304</v>
      </c>
      <c r="AF15" s="225">
        <f t="shared" ca="1" si="25"/>
        <v>46236</v>
      </c>
      <c r="AG15" s="225" t="b">
        <f t="shared" si="26"/>
        <v>0</v>
      </c>
      <c r="AH15" s="242">
        <f t="shared" ca="1" si="27"/>
        <v>68</v>
      </c>
      <c r="AK15" s="223">
        <f t="shared" si="28"/>
        <v>41</v>
      </c>
      <c r="AL15" s="223">
        <f t="shared" si="29"/>
        <v>2026</v>
      </c>
      <c r="AS15" s="223">
        <f t="shared" si="30"/>
        <v>10</v>
      </c>
      <c r="AT15" s="223">
        <f t="shared" si="31"/>
        <v>2026</v>
      </c>
    </row>
    <row r="16" spans="1:46" ht="15.75" x14ac:dyDescent="0.25">
      <c r="B16" s="229" t="s">
        <v>445</v>
      </c>
      <c r="C16" s="235" t="s">
        <v>396</v>
      </c>
      <c r="D16" s="243">
        <v>1000</v>
      </c>
      <c r="E16" s="232" t="s">
        <v>4</v>
      </c>
      <c r="F16" s="233">
        <v>2.68</v>
      </c>
      <c r="G16" s="234">
        <v>46048</v>
      </c>
      <c r="H16" s="235" t="s">
        <v>28</v>
      </c>
      <c r="I16" s="235"/>
      <c r="J16" s="236">
        <v>7.0000000000000007E-2</v>
      </c>
      <c r="K16" s="237">
        <f ca="1">ROUND(IF(ISERROR(OFFSET(Tabella!$A$1,MATCH(H16,Tabella!$A:$A,0)-1,MATCH(J16,Tabella!$A$1:$AC$1,0)-1)=TRUE),0,+OFFSET(Tabella!$A$1,MATCH(H16,Tabella!$A:$A,0)-1,MATCH(J16,Tabella!$A$1:$AC$1,0)-1)),4)</f>
        <v>1.25</v>
      </c>
      <c r="L16" s="238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238">
        <f ca="1">ROUND(IF(ISERROR(OFFSET(Rame!$A$1,MATCH(H16,Rame!$A:$A,0)-1,MATCH(J16,Rame!$A$1:$AA$1,0)-1)=TRUE),0,OFFSET(Rame!$A$1,MATCH(H16,Rame!$A:$A,0)-1,MATCH(J16,Rame!$A$1:$AA$1,0)-1))*IF(E16="Rame",1,0),4)</f>
        <v>0</v>
      </c>
      <c r="N16" s="238">
        <v>0</v>
      </c>
      <c r="O16" s="238">
        <f ca="1">ROUND(SUM(K16:N16),4)</f>
        <v>1.25</v>
      </c>
      <c r="P16" s="238">
        <f ca="1">ROUND(+IF(ISERROR(OFFSET(Tabella!$G$1,MATCH(H16,Tabella!$G:$G,0)-1,MATCH(I16,Tabella!$G$1:$FG$1,0)-1)=TRUE),0,OFFSET(Tabella!$G$1,MATCH(H16,Tabella!$G:$G,0)-1,MATCH(I16,Tabella!$G$1:$AB$1,0)-1)),4)</f>
        <v>0</v>
      </c>
      <c r="Q16" s="238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238">
        <f ca="1">ROUND(IF(ISERROR(OFFSET(Rame!$F$1,MATCH(H16,Rame!$F:$F,0)-1,MATCH(I16,Rame!$F$1:$FF$1,0)-1)=TRUE),0,OFFSET(Rame!$F$1,MATCH(H16,Rame!$F:$F,0)-1,MATCH(I16,Rame!$F$1:$FF$1,0)-1))*IF(E16="Rame",1,0),4)</f>
        <v>0</v>
      </c>
      <c r="S16" s="238">
        <f ca="1">ROUND(IF(ISERROR(OFFSET(Bronzo!$A$1,MATCH(H16,Bronzo!$A:$A,0)-1,MATCH(I16,Bronzo!$A$1:$AA$1,0)-1)=TRUE),0,OFFSET(Bronzo!$A$1,MATCH(H16,Bronzo!$A:$A,0)-1,MATCH(I16,Bronzo!$A$1:$AA$1,0)-1)),4)</f>
        <v>0</v>
      </c>
      <c r="T16" s="238">
        <f t="shared" ca="1" si="0"/>
        <v>0</v>
      </c>
      <c r="U16" s="237"/>
      <c r="V16" s="238">
        <v>0</v>
      </c>
      <c r="W16" s="239">
        <f t="shared" ca="1" si="1"/>
        <v>1.25</v>
      </c>
      <c r="X16" s="240">
        <f t="shared" si="2"/>
        <v>70</v>
      </c>
      <c r="Y16" s="236">
        <v>4.4000000000000004</v>
      </c>
      <c r="Z16" s="236">
        <f t="shared" ca="1" si="3"/>
        <v>0.47</v>
      </c>
      <c r="AA16" s="241">
        <v>46269</v>
      </c>
      <c r="AF16" s="225">
        <f t="shared" ca="1" si="25"/>
        <v>46236</v>
      </c>
      <c r="AG16" s="225" t="b">
        <f t="shared" si="26"/>
        <v>0</v>
      </c>
      <c r="AH16" s="242">
        <f t="shared" ca="1" si="27"/>
        <v>33</v>
      </c>
      <c r="AK16" s="223">
        <f t="shared" si="28"/>
        <v>36</v>
      </c>
      <c r="AL16" s="223">
        <f t="shared" si="29"/>
        <v>2026</v>
      </c>
      <c r="AS16" s="223">
        <f t="shared" si="30"/>
        <v>9</v>
      </c>
      <c r="AT16" s="223">
        <f t="shared" si="31"/>
        <v>2026</v>
      </c>
    </row>
    <row r="17" spans="2:46" ht="15.75" x14ac:dyDescent="0.25">
      <c r="B17" s="229" t="s">
        <v>446</v>
      </c>
      <c r="C17" s="235" t="s">
        <v>396</v>
      </c>
      <c r="D17" s="243">
        <v>1000</v>
      </c>
      <c r="E17" s="232" t="s">
        <v>4</v>
      </c>
      <c r="F17" s="233">
        <v>2.68</v>
      </c>
      <c r="G17" s="234">
        <v>46048</v>
      </c>
      <c r="H17" s="235" t="s">
        <v>28</v>
      </c>
      <c r="I17" s="235"/>
      <c r="J17" s="236">
        <v>7.0000000000000007E-2</v>
      </c>
      <c r="K17" s="237">
        <f ca="1">ROUND(IF(ISERROR(OFFSET(Tabella!$A$1,MATCH(H17,Tabella!$A:$A,0)-1,MATCH(J17,Tabella!$A$1:$AC$1,0)-1)=TRUE),0,+OFFSET(Tabella!$A$1,MATCH(H17,Tabella!$A:$A,0)-1,MATCH(J17,Tabella!$A$1:$AC$1,0)-1)),4)</f>
        <v>1.25</v>
      </c>
      <c r="L17" s="238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238">
        <f ca="1">ROUND(IF(ISERROR(OFFSET(Rame!$A$1,MATCH(H17,Rame!$A:$A,0)-1,MATCH(J17,Rame!$A$1:$AA$1,0)-1)=TRUE),0,OFFSET(Rame!$A$1,MATCH(H17,Rame!$A:$A,0)-1,MATCH(J17,Rame!$A$1:$AA$1,0)-1))*IF(E17="Rame",1,0),4)</f>
        <v>0</v>
      </c>
      <c r="N17" s="238">
        <v>0</v>
      </c>
      <c r="O17" s="238">
        <f ca="1">ROUND(SUM(K17:N17),4)</f>
        <v>1.25</v>
      </c>
      <c r="P17" s="238">
        <f ca="1">ROUND(+IF(ISERROR(OFFSET(Tabella!$G$1,MATCH(H17,Tabella!$G:$G,0)-1,MATCH(I17,Tabella!$G$1:$FG$1,0)-1)=TRUE),0,OFFSET(Tabella!$G$1,MATCH(H17,Tabella!$G:$G,0)-1,MATCH(I17,Tabella!$G$1:$AB$1,0)-1)),4)</f>
        <v>0</v>
      </c>
      <c r="Q17" s="238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238">
        <f ca="1">ROUND(IF(ISERROR(OFFSET(Rame!$F$1,MATCH(H17,Rame!$F:$F,0)-1,MATCH(I17,Rame!$F$1:$FF$1,0)-1)=TRUE),0,OFFSET(Rame!$F$1,MATCH(H17,Rame!$F:$F,0)-1,MATCH(I17,Rame!$F$1:$FF$1,0)-1))*IF(E17="Rame",1,0),4)</f>
        <v>0</v>
      </c>
      <c r="S17" s="238">
        <f ca="1">ROUND(IF(ISERROR(OFFSET(Bronzo!$A$1,MATCH(H17,Bronzo!$A:$A,0)-1,MATCH(I17,Bronzo!$A$1:$AA$1,0)-1)=TRUE),0,OFFSET(Bronzo!$A$1,MATCH(H17,Bronzo!$A:$A,0)-1,MATCH(I17,Bronzo!$A$1:$AA$1,0)-1)),4)</f>
        <v>0</v>
      </c>
      <c r="T17" s="238">
        <f t="shared" ca="1" si="0"/>
        <v>0</v>
      </c>
      <c r="U17" s="237"/>
      <c r="V17" s="238">
        <v>0</v>
      </c>
      <c r="W17" s="239">
        <f t="shared" ca="1" si="1"/>
        <v>1.25</v>
      </c>
      <c r="X17" s="240">
        <f t="shared" si="2"/>
        <v>70</v>
      </c>
      <c r="Y17" s="236">
        <v>4.4000000000000004</v>
      </c>
      <c r="Z17" s="236">
        <f t="shared" ca="1" si="3"/>
        <v>0.47</v>
      </c>
      <c r="AA17" s="241">
        <v>46192</v>
      </c>
      <c r="AF17" s="225">
        <f t="shared" ca="1" si="25"/>
        <v>46236</v>
      </c>
      <c r="AG17" s="225" t="b">
        <f t="shared" ref="AG17:AG21" si="32">ISBLANK(AA17)</f>
        <v>0</v>
      </c>
      <c r="AH17" s="242">
        <f t="shared" ref="AH17:AH20" ca="1" si="33">IF(AG17=FALSE,_xlfn.DAYS(AA17,AF17),"")</f>
        <v>-44</v>
      </c>
      <c r="AK17" s="223">
        <f t="shared" ref="AK17:AK21" si="34">WEEKNUM(AA17)</f>
        <v>25</v>
      </c>
      <c r="AL17" s="223">
        <f t="shared" ref="AL17:AL21" si="35">YEAR(AA17)</f>
        <v>2026</v>
      </c>
      <c r="AS17" s="223">
        <f t="shared" ref="AS17" si="36">IF(AA17="",0,MONTH(AA17))</f>
        <v>6</v>
      </c>
      <c r="AT17" s="223">
        <f t="shared" ref="AT17" si="37">IF(AA17="",0,YEAR(AA17))</f>
        <v>2026</v>
      </c>
    </row>
    <row r="18" spans="2:46" ht="15.75" x14ac:dyDescent="0.25">
      <c r="B18" s="229" t="s">
        <v>546</v>
      </c>
      <c r="C18" s="245" t="s">
        <v>212</v>
      </c>
      <c r="D18" s="246">
        <v>394</v>
      </c>
      <c r="E18" s="232" t="s">
        <v>6</v>
      </c>
      <c r="F18" s="247">
        <v>10.88</v>
      </c>
      <c r="G18" s="234">
        <v>46050</v>
      </c>
      <c r="H18" s="235" t="s">
        <v>14</v>
      </c>
      <c r="I18" s="235"/>
      <c r="J18" s="236">
        <v>0.1</v>
      </c>
      <c r="K18" s="237">
        <f ca="1">ROUND(IF(ISERROR(OFFSET(Tabella!$A$1,MATCH(H18,Tabella!$A:$A,0)-1,MATCH(J18,Tabella!$A$1:$AC$1,0)-1)=TRUE),0,+OFFSET(Tabella!$A$1,MATCH(H18,Tabella!$A:$A,0)-1,MATCH(J18,Tabella!$A$1:$AC$1,0)-1)),4)</f>
        <v>0</v>
      </c>
      <c r="L18" s="238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238">
        <f ca="1">ROUND(IF(ISERROR(OFFSET(Rame!$A$1,MATCH(H18,Rame!$A:$A,0)-1,MATCH(J18,Rame!$A$1:$AA$1,0)-1)=TRUE),0,OFFSET(Rame!$A$1,MATCH(H18,Rame!$A:$A,0)-1,MATCH(J18,Rame!$A$1:$AA$1,0)-1))*IF(E18="Rame",1,0),4)</f>
        <v>0.95</v>
      </c>
      <c r="N18" s="238">
        <v>0</v>
      </c>
      <c r="O18" s="238">
        <f ca="1">ROUND(SUM(K18:N18),4)</f>
        <v>0.95</v>
      </c>
      <c r="P18" s="238">
        <f ca="1">ROUND(+IF(ISERROR(OFFSET(Tabella!$G$1,MATCH(H18,Tabella!$G:$G,0)-1,MATCH(I18,Tabella!$G$1:$FG$1,0)-1)=TRUE),0,OFFSET(Tabella!$G$1,MATCH(H18,Tabella!$G:$G,0)-1,MATCH(I18,Tabella!$G$1:$AB$1,0)-1)),4)</f>
        <v>0</v>
      </c>
      <c r="Q18" s="238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238">
        <f ca="1">ROUND(IF(ISERROR(OFFSET(Rame!$F$1,MATCH(H18,Rame!$F:$F,0)-1,MATCH(I18,Rame!$F$1:$FF$1,0)-1)=TRUE),0,OFFSET(Rame!$F$1,MATCH(H18,Rame!$F:$F,0)-1,MATCH(I18,Rame!$F$1:$FF$1,0)-1))*IF(E18="Rame",1,0),4)</f>
        <v>0</v>
      </c>
      <c r="S18" s="238">
        <f ca="1">ROUND(IF(ISERROR(OFFSET(Bronzo!$A$1,MATCH(H18,Bronzo!$A:$A,0)-1,MATCH(I18,Bronzo!$A$1:$AA$1,0)-1)=TRUE),0,OFFSET(Bronzo!$A$1,MATCH(H18,Bronzo!$A:$A,0)-1,MATCH(I18,Bronzo!$A$1:$AA$1,0)-1)),4)</f>
        <v>0</v>
      </c>
      <c r="T18" s="238">
        <f t="shared" ca="1" si="0"/>
        <v>0</v>
      </c>
      <c r="U18" s="237"/>
      <c r="V18" s="238">
        <v>0</v>
      </c>
      <c r="W18" s="239">
        <f t="shared" ca="1" si="1"/>
        <v>0.95</v>
      </c>
      <c r="X18" s="423">
        <f t="shared" si="2"/>
        <v>39.4</v>
      </c>
      <c r="Y18" s="426">
        <v>14.28</v>
      </c>
      <c r="Z18" s="236">
        <f t="shared" ca="1" si="3"/>
        <v>2.4500000000000002</v>
      </c>
      <c r="AA18" s="241"/>
      <c r="AF18" s="225">
        <f t="shared" ca="1" si="25"/>
        <v>46236</v>
      </c>
      <c r="AG18" s="225" t="b">
        <f t="shared" si="32"/>
        <v>1</v>
      </c>
      <c r="AH18" s="242" t="str">
        <f t="shared" si="33"/>
        <v/>
      </c>
      <c r="AK18" s="223">
        <f t="shared" si="34"/>
        <v>0</v>
      </c>
      <c r="AL18" s="223">
        <f t="shared" si="35"/>
        <v>1900</v>
      </c>
      <c r="AS18" s="223">
        <f t="shared" ref="AS18:AS21" si="38">IF(AA18="",0,MONTH(AA18))</f>
        <v>0</v>
      </c>
      <c r="AT18" s="223">
        <f t="shared" ref="AT18:AT21" si="39">IF(AA18="",0,YEAR(AA18))</f>
        <v>0</v>
      </c>
    </row>
    <row r="19" spans="2:46" ht="15.75" x14ac:dyDescent="0.25">
      <c r="B19" s="229" t="s">
        <v>468</v>
      </c>
      <c r="C19" s="230" t="s">
        <v>212</v>
      </c>
      <c r="D19" s="231">
        <v>900</v>
      </c>
      <c r="E19" s="232" t="s">
        <v>4</v>
      </c>
      <c r="F19" s="233">
        <v>2.48</v>
      </c>
      <c r="G19" s="234">
        <v>46052</v>
      </c>
      <c r="H19" s="235" t="s">
        <v>21</v>
      </c>
      <c r="I19" s="235"/>
      <c r="J19" s="236">
        <v>0.05</v>
      </c>
      <c r="K19" s="237">
        <f ca="1">ROUND(IF(ISERROR(OFFSET(Tabella!$A$1,MATCH(H19,Tabella!$A:$A,0)-1,MATCH(J19,Tabella!$A$1:$AC$1,0)-1)=TRUE),0,+OFFSET(Tabella!$A$1,MATCH(H19,Tabella!$A:$A,0)-1,MATCH(J19,Tabella!$A$1:$AC$1,0)-1)),4)</f>
        <v>0</v>
      </c>
      <c r="L19" s="238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238">
        <f ca="1">ROUND(IF(ISERROR(OFFSET(Rame!$A$1,MATCH(H19,Rame!$A:$A,0)-1,MATCH(J19,Rame!$A$1:$AA$1,0)-1)=TRUE),0,OFFSET(Rame!$A$1,MATCH(H19,Rame!$A:$A,0)-1,MATCH(J19,Rame!$A$1:$AA$1,0)-1))*IF(E19="Rame",1,0),4)</f>
        <v>0</v>
      </c>
      <c r="N19" s="238">
        <v>0</v>
      </c>
      <c r="O19" s="238">
        <v>1.47</v>
      </c>
      <c r="P19" s="238">
        <f ca="1">ROUND(+IF(ISERROR(OFFSET(Tabella!$G$1,MATCH(H19,Tabella!$G:$G,0)-1,MATCH(I19,Tabella!$G$1:$FG$1,0)-1)=TRUE),0,OFFSET(Tabella!$G$1,MATCH(H19,Tabella!$G:$G,0)-1,MATCH(I19,Tabella!$G$1:$AB$1,0)-1)),4)</f>
        <v>0</v>
      </c>
      <c r="Q19" s="238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238">
        <f ca="1">ROUND(IF(ISERROR(OFFSET(Rame!$F$1,MATCH(H19,Rame!$F:$F,0)-1,MATCH(I19,Rame!$F$1:$FF$1,0)-1)=TRUE),0,OFFSET(Rame!$F$1,MATCH(H19,Rame!$F:$F,0)-1,MATCH(I19,Rame!$F$1:$FF$1,0)-1))*IF(E19="Rame",1,0),4)</f>
        <v>0</v>
      </c>
      <c r="S19" s="238">
        <f ca="1">ROUND(IF(ISERROR(OFFSET(Bronzo!$A$1,MATCH(H19,Bronzo!$A:$A,0)-1,MATCH(I19,Bronzo!$A$1:$AA$1,0)-1)=TRUE),0,OFFSET(Bronzo!$A$1,MATCH(H19,Bronzo!$A:$A,0)-1,MATCH(I19,Bronzo!$A$1:$AA$1,0)-1)),4)</f>
        <v>0</v>
      </c>
      <c r="T19" s="238">
        <f t="shared" ca="1" si="0"/>
        <v>0</v>
      </c>
      <c r="U19" s="237"/>
      <c r="V19" s="238">
        <v>0</v>
      </c>
      <c r="W19" s="239">
        <f t="shared" ca="1" si="1"/>
        <v>1.47</v>
      </c>
      <c r="X19" s="240">
        <f t="shared" si="2"/>
        <v>45</v>
      </c>
      <c r="Y19" s="236">
        <v>3.95</v>
      </c>
      <c r="Z19" s="236">
        <f t="shared" ca="1" si="3"/>
        <v>0</v>
      </c>
      <c r="AA19" s="241"/>
      <c r="AE19" s="223" t="s">
        <v>417</v>
      </c>
      <c r="AF19" s="225">
        <f t="shared" ref="AF19:AF20" ca="1" si="40">TODAY()</f>
        <v>46236</v>
      </c>
      <c r="AG19" s="225" t="b">
        <f t="shared" si="32"/>
        <v>1</v>
      </c>
      <c r="AH19" s="242" t="str">
        <f t="shared" si="33"/>
        <v/>
      </c>
      <c r="AK19" s="223">
        <f t="shared" si="34"/>
        <v>0</v>
      </c>
      <c r="AL19" s="223">
        <f t="shared" si="35"/>
        <v>1900</v>
      </c>
      <c r="AS19" s="223">
        <f t="shared" si="38"/>
        <v>0</v>
      </c>
      <c r="AT19" s="223">
        <f t="shared" si="39"/>
        <v>0</v>
      </c>
    </row>
    <row r="20" spans="2:46" ht="15.75" x14ac:dyDescent="0.25">
      <c r="B20" s="229" t="s">
        <v>446</v>
      </c>
      <c r="C20" s="235" t="s">
        <v>396</v>
      </c>
      <c r="D20" s="243">
        <v>600</v>
      </c>
      <c r="E20" s="232" t="s">
        <v>4</v>
      </c>
      <c r="F20" s="233">
        <v>2.65</v>
      </c>
      <c r="G20" s="234">
        <v>46052</v>
      </c>
      <c r="H20" s="235" t="s">
        <v>13</v>
      </c>
      <c r="I20" s="235"/>
      <c r="J20" s="236">
        <v>7.0000000000000007E-2</v>
      </c>
      <c r="K20" s="237">
        <f ca="1">ROUND(IF(ISERROR(OFFSET(Tabella!$A$1,MATCH(H20,Tabella!$A:$A,0)-1,MATCH(J20,Tabella!$A$1:$AC$1,0)-1)=TRUE),0,+OFFSET(Tabella!$A$1,MATCH(H20,Tabella!$A:$A,0)-1,MATCH(J20,Tabella!$A$1:$AC$1,0)-1)),4)</f>
        <v>1.4</v>
      </c>
      <c r="L20" s="238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238">
        <f ca="1">ROUND(IF(ISERROR(OFFSET(Rame!$A$1,MATCH(H20,Rame!$A:$A,0)-1,MATCH(J20,Rame!$A$1:$AA$1,0)-1)=TRUE),0,OFFSET(Rame!$A$1,MATCH(H20,Rame!$A:$A,0)-1,MATCH(J20,Rame!$A$1:$AA$1,0)-1))*IF(E20="Rame",1,0),4)</f>
        <v>0</v>
      </c>
      <c r="N20" s="238">
        <v>0</v>
      </c>
      <c r="O20" s="238">
        <f ca="1">ROUND(SUM(K20:N20),4)</f>
        <v>1.4</v>
      </c>
      <c r="P20" s="238">
        <f ca="1">ROUND(+IF(ISERROR(OFFSET(Tabella!$G$1,MATCH(H20,Tabella!$G:$G,0)-1,MATCH(I20,Tabella!$G$1:$FG$1,0)-1)=TRUE),0,OFFSET(Tabella!$G$1,MATCH(H20,Tabella!$G:$G,0)-1,MATCH(I20,Tabella!$G$1:$AB$1,0)-1)),4)</f>
        <v>0</v>
      </c>
      <c r="Q20" s="238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238">
        <f ca="1">ROUND(IF(ISERROR(OFFSET(Rame!$F$1,MATCH(H20,Rame!$F:$F,0)-1,MATCH(I20,Rame!$F$1:$FF$1,0)-1)=TRUE),0,OFFSET(Rame!$F$1,MATCH(H20,Rame!$F:$F,0)-1,MATCH(I20,Rame!$F$1:$FF$1,0)-1))*IF(E20="Rame",1,0),4)</f>
        <v>0</v>
      </c>
      <c r="S20" s="238">
        <f ca="1">ROUND(IF(ISERROR(OFFSET(Bronzo!$A$1,MATCH(H20,Bronzo!$A:$A,0)-1,MATCH(I20,Bronzo!$A$1:$AA$1,0)-1)=TRUE),0,OFFSET(Bronzo!$A$1,MATCH(H20,Bronzo!$A:$A,0)-1,MATCH(I20,Bronzo!$A$1:$AA$1,0)-1)),4)</f>
        <v>0</v>
      </c>
      <c r="T20" s="238">
        <f t="shared" ca="1" si="0"/>
        <v>0</v>
      </c>
      <c r="U20" s="237"/>
      <c r="V20" s="238">
        <v>0</v>
      </c>
      <c r="W20" s="239">
        <f t="shared" ca="1" si="1"/>
        <v>1.4</v>
      </c>
      <c r="X20" s="240">
        <f t="shared" si="2"/>
        <v>42</v>
      </c>
      <c r="Y20" s="236">
        <v>4.55</v>
      </c>
      <c r="Z20" s="236">
        <f t="shared" ca="1" si="3"/>
        <v>0.5</v>
      </c>
      <c r="AA20" s="241">
        <v>46192</v>
      </c>
      <c r="AF20" s="225">
        <f t="shared" ca="1" si="40"/>
        <v>46236</v>
      </c>
      <c r="AG20" s="225" t="b">
        <f t="shared" si="32"/>
        <v>0</v>
      </c>
      <c r="AH20" s="242">
        <f t="shared" ca="1" si="33"/>
        <v>-44</v>
      </c>
      <c r="AK20" s="223">
        <f t="shared" si="34"/>
        <v>25</v>
      </c>
      <c r="AL20" s="223">
        <f t="shared" si="35"/>
        <v>2026</v>
      </c>
      <c r="AS20" s="223">
        <f t="shared" si="38"/>
        <v>6</v>
      </c>
      <c r="AT20" s="223">
        <f t="shared" si="39"/>
        <v>2026</v>
      </c>
    </row>
    <row r="21" spans="2:46" ht="15.75" x14ac:dyDescent="0.25">
      <c r="B21" s="229" t="s">
        <v>446</v>
      </c>
      <c r="C21" s="235" t="s">
        <v>396</v>
      </c>
      <c r="D21" s="243">
        <v>500</v>
      </c>
      <c r="E21" s="232" t="s">
        <v>4</v>
      </c>
      <c r="F21" s="233">
        <v>2.6</v>
      </c>
      <c r="G21" s="234">
        <v>46052</v>
      </c>
      <c r="H21" s="235" t="s">
        <v>13</v>
      </c>
      <c r="I21" s="235"/>
      <c r="J21" s="236">
        <v>7.0000000000000007E-2</v>
      </c>
      <c r="K21" s="237"/>
      <c r="L21" s="238"/>
      <c r="M21" s="238"/>
      <c r="N21" s="238"/>
      <c r="O21" s="238">
        <v>1.5</v>
      </c>
      <c r="P21" s="238"/>
      <c r="Q21" s="238"/>
      <c r="R21" s="238"/>
      <c r="S21" s="238"/>
      <c r="T21" s="238"/>
      <c r="U21" s="237"/>
      <c r="V21" s="238"/>
      <c r="W21" s="239">
        <v>1.5</v>
      </c>
      <c r="X21" s="240">
        <f t="shared" si="2"/>
        <v>35</v>
      </c>
      <c r="Y21" s="236">
        <v>4.47</v>
      </c>
      <c r="Z21" s="236"/>
      <c r="AA21" s="241">
        <v>46192</v>
      </c>
      <c r="AG21" s="225" t="b">
        <f t="shared" si="32"/>
        <v>0</v>
      </c>
      <c r="AH21" s="242"/>
      <c r="AK21" s="223">
        <f t="shared" si="34"/>
        <v>25</v>
      </c>
      <c r="AL21" s="223">
        <f t="shared" si="35"/>
        <v>2026</v>
      </c>
      <c r="AS21" s="223">
        <f t="shared" si="38"/>
        <v>6</v>
      </c>
      <c r="AT21" s="223">
        <f t="shared" si="39"/>
        <v>2026</v>
      </c>
    </row>
    <row r="22" spans="2:46" ht="15.75" x14ac:dyDescent="0.25">
      <c r="B22" s="229" t="s">
        <v>446</v>
      </c>
      <c r="C22" s="235" t="s">
        <v>396</v>
      </c>
      <c r="D22" s="243">
        <v>1800</v>
      </c>
      <c r="E22" s="232" t="s">
        <v>4</v>
      </c>
      <c r="F22" s="233">
        <v>2.62</v>
      </c>
      <c r="G22" s="234">
        <v>46052</v>
      </c>
      <c r="H22" s="235" t="s">
        <v>28</v>
      </c>
      <c r="I22" s="235"/>
      <c r="J22" s="236">
        <v>7.0000000000000007E-2</v>
      </c>
      <c r="K22" s="237"/>
      <c r="L22" s="238"/>
      <c r="M22" s="238"/>
      <c r="N22" s="238"/>
      <c r="O22" s="238">
        <v>1.5</v>
      </c>
      <c r="P22" s="238"/>
      <c r="Q22" s="238"/>
      <c r="R22" s="238"/>
      <c r="S22" s="238"/>
      <c r="T22" s="238"/>
      <c r="U22" s="237"/>
      <c r="V22" s="238"/>
      <c r="W22" s="239">
        <v>1.5</v>
      </c>
      <c r="X22" s="240">
        <f t="shared" si="2"/>
        <v>126</v>
      </c>
      <c r="Y22" s="236">
        <v>4.55</v>
      </c>
      <c r="Z22" s="236"/>
      <c r="AA22" s="241">
        <v>46192</v>
      </c>
      <c r="AG22" s="225" t="b">
        <f t="shared" ref="AG22:AG30" si="41">ISBLANK(AA22)</f>
        <v>0</v>
      </c>
      <c r="AH22" s="242"/>
      <c r="AK22" s="223">
        <f t="shared" ref="AK22:AK30" si="42">WEEKNUM(AA22)</f>
        <v>25</v>
      </c>
      <c r="AL22" s="223">
        <f t="shared" ref="AL22:AL30" si="43">YEAR(AA22)</f>
        <v>2026</v>
      </c>
      <c r="AS22" s="223">
        <f t="shared" ref="AS22:AS31" si="44">IF(AA22="",0,MONTH(AA22))</f>
        <v>6</v>
      </c>
      <c r="AT22" s="223">
        <f t="shared" ref="AT22:AT31" si="45">IF(AA22="",0,YEAR(AA22))</f>
        <v>2026</v>
      </c>
    </row>
    <row r="23" spans="2:46" ht="15.75" x14ac:dyDescent="0.25">
      <c r="B23" s="229" t="s">
        <v>450</v>
      </c>
      <c r="C23" s="235" t="s">
        <v>330</v>
      </c>
      <c r="D23" s="243">
        <v>500</v>
      </c>
      <c r="E23" s="232" t="s">
        <v>4</v>
      </c>
      <c r="F23" s="244">
        <v>1.6</v>
      </c>
      <c r="G23" s="234">
        <v>46057</v>
      </c>
      <c r="H23" s="235" t="s">
        <v>21</v>
      </c>
      <c r="I23" s="235"/>
      <c r="J23" s="236">
        <v>7.0000000000000007E-2</v>
      </c>
      <c r="K23" s="237">
        <f ca="1">ROUND(IF(ISERROR(OFFSET(Tabella!$A$1,MATCH(H23,Tabella!$A:$A,0)-1,MATCH(J23,Tabella!$A$1:$AC$1,0)-1)=TRUE),0,+OFFSET(Tabella!$A$1,MATCH(H23,Tabella!$A:$A,0)-1,MATCH(J23,Tabella!$A$1:$AC$1,0)-1)),4)</f>
        <v>1.25</v>
      </c>
      <c r="L23" s="238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238">
        <f ca="1">ROUND(IF(ISERROR(OFFSET(Rame!$A$1,MATCH(H23,Rame!$A:$A,0)-1,MATCH(J23,Rame!$A$1:$AA$1,0)-1)=TRUE),0,OFFSET(Rame!$A$1,MATCH(H23,Rame!$A:$A,0)-1,MATCH(J23,Rame!$A$1:$AA$1,0)-1))*IF(E23="Rame",1,0),4)</f>
        <v>0</v>
      </c>
      <c r="N23" s="238">
        <v>0</v>
      </c>
      <c r="O23" s="238">
        <v>1.5</v>
      </c>
      <c r="P23" s="238">
        <f ca="1">ROUND(+IF(ISERROR(OFFSET(Tabella!$G$1,MATCH(H23,Tabella!$G:$G,0)-1,MATCH(I23,Tabella!$G$1:$FG$1,0)-1)=TRUE),0,OFFSET(Tabella!$G$1,MATCH(H23,Tabella!$G:$G,0)-1,MATCH(I23,Tabella!$G$1:$AB$1,0)-1)),4)</f>
        <v>0</v>
      </c>
      <c r="Q23" s="238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238">
        <f ca="1">ROUND(IF(ISERROR(OFFSET(Rame!$F$1,MATCH(H23,Rame!$F:$F,0)-1,MATCH(I23,Rame!$F$1:$FF$1,0)-1)=TRUE),0,OFFSET(Rame!$F$1,MATCH(H23,Rame!$F:$F,0)-1,MATCH(I23,Rame!$F$1:$FF$1,0)-1))*IF(E23="Rame",1,0),4)</f>
        <v>0</v>
      </c>
      <c r="S23" s="238">
        <f ca="1">ROUND(IF(ISERROR(OFFSET(Bronzo!$A$1,MATCH(H23,Bronzo!$A:$A,0)-1,MATCH(I23,Bronzo!$A$1:$AA$1,0)-1)=TRUE),0,OFFSET(Bronzo!$A$1,MATCH(H23,Bronzo!$A:$A,0)-1,MATCH(I23,Bronzo!$A$1:$AA$1,0)-1)),4)</f>
        <v>0</v>
      </c>
      <c r="T23" s="238">
        <f t="shared" ref="T23:T87" ca="1" si="46">ROUND(SUM(P23:S23),4)</f>
        <v>0</v>
      </c>
      <c r="U23" s="237"/>
      <c r="V23" s="238">
        <v>0</v>
      </c>
      <c r="W23" s="239">
        <f t="shared" ref="W23:W87" ca="1" si="47">ROUND(+O23+T23+U23+V23,4)</f>
        <v>1.5</v>
      </c>
      <c r="X23" s="240">
        <f t="shared" si="2"/>
        <v>35</v>
      </c>
      <c r="Y23" s="425">
        <v>1.5</v>
      </c>
      <c r="Z23" s="236">
        <f t="shared" ref="Z23:Z87" ca="1" si="48">ROUND(+Y23-W23-F23,4)</f>
        <v>-1.6</v>
      </c>
      <c r="AA23" s="241">
        <v>46167</v>
      </c>
      <c r="AF23" s="225">
        <f t="shared" ref="AF23:AF33" ca="1" si="49">TODAY()</f>
        <v>46236</v>
      </c>
      <c r="AG23" s="225" t="b">
        <f t="shared" si="41"/>
        <v>0</v>
      </c>
      <c r="AH23" s="242">
        <f t="shared" ref="AH23:AH30" ca="1" si="50">IF(AG23=FALSE,_xlfn.DAYS(AA23,AF23),"")</f>
        <v>-69</v>
      </c>
      <c r="AK23" s="223">
        <f t="shared" si="42"/>
        <v>22</v>
      </c>
      <c r="AL23" s="223">
        <f t="shared" si="43"/>
        <v>2026</v>
      </c>
      <c r="AS23" s="223">
        <f t="shared" si="44"/>
        <v>5</v>
      </c>
      <c r="AT23" s="223">
        <f t="shared" si="45"/>
        <v>2026</v>
      </c>
    </row>
    <row r="24" spans="2:46" ht="15.75" x14ac:dyDescent="0.25">
      <c r="B24" s="229" t="s">
        <v>663</v>
      </c>
      <c r="C24" s="245" t="s">
        <v>330</v>
      </c>
      <c r="D24" s="246">
        <v>2396</v>
      </c>
      <c r="E24" s="232" t="s">
        <v>4</v>
      </c>
      <c r="F24" s="247">
        <v>3.03</v>
      </c>
      <c r="G24" s="234">
        <v>46057</v>
      </c>
      <c r="H24" s="235" t="s">
        <v>24</v>
      </c>
      <c r="I24" s="235"/>
      <c r="J24" s="236">
        <v>7.0000000000000007E-2</v>
      </c>
      <c r="K24" s="237">
        <f ca="1">ROUND(IF(ISERROR(OFFSET(Tabella!$A$1,MATCH(H24,Tabella!$A:$A,0)-1,MATCH(J24,Tabella!$A$1:$AC$1,0)-1)=TRUE),0,+OFFSET(Tabella!$A$1,MATCH(H24,Tabella!$A:$A,0)-1,MATCH(J24,Tabella!$A$1:$AC$1,0)-1)),4)</f>
        <v>1.25</v>
      </c>
      <c r="L24" s="238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238">
        <f ca="1">ROUND(IF(ISERROR(OFFSET(Rame!$A$1,MATCH(H24,Rame!$A:$A,0)-1,MATCH(J24,Rame!$A$1:$AA$1,0)-1)=TRUE),0,OFFSET(Rame!$A$1,MATCH(H24,Rame!$A:$A,0)-1,MATCH(J24,Rame!$A$1:$AA$1,0)-1))*IF(E24="Rame",1,0),4)</f>
        <v>0</v>
      </c>
      <c r="N24" s="238">
        <v>0</v>
      </c>
      <c r="O24" s="238">
        <v>1.5</v>
      </c>
      <c r="P24" s="238">
        <f ca="1">ROUND(+IF(ISERROR(OFFSET(Tabella!$G$1,MATCH(H24,Tabella!$G:$G,0)-1,MATCH(I24,Tabella!$G$1:$FG$1,0)-1)=TRUE),0,OFFSET(Tabella!$G$1,MATCH(H24,Tabella!$G:$G,0)-1,MATCH(I24,Tabella!$G$1:$AB$1,0)-1)),4)</f>
        <v>0</v>
      </c>
      <c r="Q24" s="238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238">
        <f ca="1">ROUND(IF(ISERROR(OFFSET(Rame!$F$1,MATCH(H24,Rame!$F:$F,0)-1,MATCH(I24,Rame!$F$1:$FF$1,0)-1)=TRUE),0,OFFSET(Rame!$F$1,MATCH(H24,Rame!$F:$F,0)-1,MATCH(I24,Rame!$F$1:$FF$1,0)-1))*IF(E24="Rame",1,0),4)</f>
        <v>0</v>
      </c>
      <c r="S24" s="238">
        <f ca="1">ROUND(IF(ISERROR(OFFSET(Bronzo!$A$1,MATCH(H24,Bronzo!$A:$A,0)-1,MATCH(I24,Bronzo!$A$1:$AA$1,0)-1)=TRUE),0,OFFSET(Bronzo!$A$1,MATCH(H24,Bronzo!$A:$A,0)-1,MATCH(I24,Bronzo!$A$1:$AA$1,0)-1)),4)</f>
        <v>0</v>
      </c>
      <c r="T24" s="238">
        <f t="shared" ca="1" si="46"/>
        <v>0</v>
      </c>
      <c r="U24" s="237"/>
      <c r="V24" s="238">
        <v>0</v>
      </c>
      <c r="W24" s="239">
        <f t="shared" ca="1" si="47"/>
        <v>1.5</v>
      </c>
      <c r="X24" s="423">
        <f t="shared" si="2"/>
        <v>167.72</v>
      </c>
      <c r="Y24" s="426">
        <v>4.53</v>
      </c>
      <c r="Z24" s="236">
        <f t="shared" ca="1" si="48"/>
        <v>0</v>
      </c>
      <c r="AA24" s="241"/>
      <c r="AF24" s="225">
        <f t="shared" ca="1" si="49"/>
        <v>46236</v>
      </c>
      <c r="AG24" s="225" t="b">
        <f t="shared" si="41"/>
        <v>1</v>
      </c>
      <c r="AH24" s="242" t="str">
        <f t="shared" si="50"/>
        <v/>
      </c>
      <c r="AK24" s="223">
        <f t="shared" si="42"/>
        <v>0</v>
      </c>
      <c r="AL24" s="223">
        <f t="shared" si="43"/>
        <v>1900</v>
      </c>
      <c r="AS24" s="223">
        <f t="shared" si="44"/>
        <v>0</v>
      </c>
      <c r="AT24" s="223">
        <f t="shared" si="45"/>
        <v>0</v>
      </c>
    </row>
    <row r="25" spans="2:46" ht="15.75" x14ac:dyDescent="0.25">
      <c r="B25" s="229" t="s">
        <v>450</v>
      </c>
      <c r="C25" s="235" t="s">
        <v>330</v>
      </c>
      <c r="D25" s="243">
        <v>1800</v>
      </c>
      <c r="E25" s="232" t="s">
        <v>4</v>
      </c>
      <c r="F25" s="244">
        <v>1.6</v>
      </c>
      <c r="G25" s="234">
        <v>46057</v>
      </c>
      <c r="H25" s="235" t="s">
        <v>22</v>
      </c>
      <c r="I25" s="235"/>
      <c r="J25" s="236">
        <v>7.0000000000000007E-2</v>
      </c>
      <c r="K25" s="237">
        <f ca="1">ROUND(IF(ISERROR(OFFSET(Tabella!$A$1,MATCH(H25,Tabella!$A:$A,0)-1,MATCH(J25,Tabella!$A$1:$AC$1,0)-1)=TRUE),0,+OFFSET(Tabella!$A$1,MATCH(H25,Tabella!$A:$A,0)-1,MATCH(J25,Tabella!$A$1:$AC$1,0)-1)),4)</f>
        <v>1.25</v>
      </c>
      <c r="L25" s="238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238">
        <f ca="1">ROUND(IF(ISERROR(OFFSET(Rame!$A$1,MATCH(H25,Rame!$A:$A,0)-1,MATCH(J25,Rame!$A$1:$AA$1,0)-1)=TRUE),0,OFFSET(Rame!$A$1,MATCH(H25,Rame!$A:$A,0)-1,MATCH(J25,Rame!$A$1:$AA$1,0)-1))*IF(E25="Rame",1,0),4)</f>
        <v>0</v>
      </c>
      <c r="N25" s="238">
        <v>0</v>
      </c>
      <c r="O25" s="238">
        <v>1.5</v>
      </c>
      <c r="P25" s="238">
        <f ca="1">ROUND(+IF(ISERROR(OFFSET(Tabella!$G$1,MATCH(H25,Tabella!$G:$G,0)-1,MATCH(I25,Tabella!$G$1:$FG$1,0)-1)=TRUE),0,OFFSET(Tabella!$G$1,MATCH(H25,Tabella!$G:$G,0)-1,MATCH(I25,Tabella!$G$1:$AB$1,0)-1)),4)</f>
        <v>0</v>
      </c>
      <c r="Q25" s="238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238">
        <f ca="1">ROUND(IF(ISERROR(OFFSET(Rame!$F$1,MATCH(H25,Rame!$F:$F,0)-1,MATCH(I25,Rame!$F$1:$FF$1,0)-1)=TRUE),0,OFFSET(Rame!$F$1,MATCH(H25,Rame!$F:$F,0)-1,MATCH(I25,Rame!$F$1:$FF$1,0)-1))*IF(E25="Rame",1,0),4)</f>
        <v>0</v>
      </c>
      <c r="S25" s="238">
        <f ca="1">ROUND(IF(ISERROR(OFFSET(Bronzo!$A$1,MATCH(H25,Bronzo!$A:$A,0)-1,MATCH(I25,Bronzo!$A$1:$AA$1,0)-1)=TRUE),0,OFFSET(Bronzo!$A$1,MATCH(H25,Bronzo!$A:$A,0)-1,MATCH(I25,Bronzo!$A$1:$AA$1,0)-1)),4)</f>
        <v>0</v>
      </c>
      <c r="T25" s="238">
        <f t="shared" ca="1" si="46"/>
        <v>0</v>
      </c>
      <c r="U25" s="237"/>
      <c r="V25" s="238">
        <v>0</v>
      </c>
      <c r="W25" s="239">
        <f t="shared" ca="1" si="47"/>
        <v>1.5</v>
      </c>
      <c r="X25" s="240">
        <f t="shared" si="2"/>
        <v>126</v>
      </c>
      <c r="Y25" s="425">
        <v>1.5</v>
      </c>
      <c r="Z25" s="236">
        <f t="shared" ca="1" si="48"/>
        <v>-1.6</v>
      </c>
      <c r="AA25" s="241">
        <v>46146</v>
      </c>
      <c r="AF25" s="225">
        <f t="shared" ca="1" si="49"/>
        <v>46236</v>
      </c>
      <c r="AG25" s="225" t="b">
        <f t="shared" si="41"/>
        <v>0</v>
      </c>
      <c r="AH25" s="242">
        <f t="shared" ca="1" si="50"/>
        <v>-90</v>
      </c>
      <c r="AK25" s="223">
        <f t="shared" si="42"/>
        <v>19</v>
      </c>
      <c r="AL25" s="223">
        <f t="shared" si="43"/>
        <v>2026</v>
      </c>
      <c r="AS25" s="223">
        <f t="shared" si="44"/>
        <v>5</v>
      </c>
      <c r="AT25" s="223">
        <f t="shared" si="45"/>
        <v>2026</v>
      </c>
    </row>
    <row r="26" spans="2:46" ht="15.75" x14ac:dyDescent="0.25">
      <c r="B26" s="229" t="s">
        <v>663</v>
      </c>
      <c r="C26" s="245" t="s">
        <v>330</v>
      </c>
      <c r="D26" s="246">
        <v>2552</v>
      </c>
      <c r="E26" s="232" t="s">
        <v>4</v>
      </c>
      <c r="F26" s="247">
        <v>3.03</v>
      </c>
      <c r="G26" s="234">
        <v>46057</v>
      </c>
      <c r="H26" s="235" t="s">
        <v>26</v>
      </c>
      <c r="I26" s="235"/>
      <c r="J26" s="236">
        <v>7.0000000000000007E-2</v>
      </c>
      <c r="K26" s="237">
        <f ca="1">ROUND(IF(ISERROR(OFFSET(Tabella!$A$1,MATCH(H26,Tabella!$A:$A,0)-1,MATCH(J26,Tabella!$A$1:$AC$1,0)-1)=TRUE),0,+OFFSET(Tabella!$A$1,MATCH(H26,Tabella!$A:$A,0)-1,MATCH(J26,Tabella!$A$1:$AC$1,0)-1)),4)</f>
        <v>1.25</v>
      </c>
      <c r="L26" s="238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238">
        <f ca="1">ROUND(IF(ISERROR(OFFSET(Rame!$A$1,MATCH(H26,Rame!$A:$A,0)-1,MATCH(J26,Rame!$A$1:$AA$1,0)-1)=TRUE),0,OFFSET(Rame!$A$1,MATCH(H26,Rame!$A:$A,0)-1,MATCH(J26,Rame!$A$1:$AA$1,0)-1))*IF(E26="Rame",1,0),4)</f>
        <v>0</v>
      </c>
      <c r="N26" s="238">
        <v>0</v>
      </c>
      <c r="O26" s="238">
        <v>1.5</v>
      </c>
      <c r="P26" s="238">
        <f ca="1">ROUND(+IF(ISERROR(OFFSET(Tabella!$G$1,MATCH(H26,Tabella!$G:$G,0)-1,MATCH(I26,Tabella!$G$1:$FG$1,0)-1)=TRUE),0,OFFSET(Tabella!$G$1,MATCH(H26,Tabella!$G:$G,0)-1,MATCH(I26,Tabella!$G$1:$AB$1,0)-1)),4)</f>
        <v>0</v>
      </c>
      <c r="Q26" s="238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238">
        <f ca="1">ROUND(IF(ISERROR(OFFSET(Rame!$F$1,MATCH(H26,Rame!$F:$F,0)-1,MATCH(I26,Rame!$F$1:$FF$1,0)-1)=TRUE),0,OFFSET(Rame!$F$1,MATCH(H26,Rame!$F:$F,0)-1,MATCH(I26,Rame!$F$1:$FF$1,0)-1))*IF(E26="Rame",1,0),4)</f>
        <v>0</v>
      </c>
      <c r="S26" s="238">
        <f ca="1">ROUND(IF(ISERROR(OFFSET(Bronzo!$A$1,MATCH(H26,Bronzo!$A:$A,0)-1,MATCH(I26,Bronzo!$A$1:$AA$1,0)-1)=TRUE),0,OFFSET(Bronzo!$A$1,MATCH(H26,Bronzo!$A:$A,0)-1,MATCH(I26,Bronzo!$A$1:$AA$1,0)-1)),4)</f>
        <v>0</v>
      </c>
      <c r="T26" s="238">
        <f t="shared" ca="1" si="46"/>
        <v>0</v>
      </c>
      <c r="U26" s="237"/>
      <c r="V26" s="238">
        <v>0</v>
      </c>
      <c r="W26" s="239">
        <f t="shared" ca="1" si="47"/>
        <v>1.5</v>
      </c>
      <c r="X26" s="423">
        <f t="shared" si="2"/>
        <v>178.64</v>
      </c>
      <c r="Y26" s="426">
        <v>4.53</v>
      </c>
      <c r="Z26" s="236">
        <f t="shared" ca="1" si="48"/>
        <v>0</v>
      </c>
      <c r="AA26" s="241"/>
      <c r="AF26" s="225">
        <f t="shared" ca="1" si="49"/>
        <v>46236</v>
      </c>
      <c r="AG26" s="225" t="b">
        <f t="shared" si="41"/>
        <v>1</v>
      </c>
      <c r="AH26" s="242" t="str">
        <f t="shared" si="50"/>
        <v/>
      </c>
      <c r="AK26" s="223">
        <f t="shared" si="42"/>
        <v>0</v>
      </c>
      <c r="AL26" s="223">
        <f t="shared" si="43"/>
        <v>1900</v>
      </c>
      <c r="AS26" s="223">
        <f t="shared" si="44"/>
        <v>0</v>
      </c>
      <c r="AT26" s="223">
        <f t="shared" si="45"/>
        <v>0</v>
      </c>
    </row>
    <row r="27" spans="2:46" ht="15.75" x14ac:dyDescent="0.25">
      <c r="B27" s="229" t="s">
        <v>663</v>
      </c>
      <c r="C27" s="245" t="s">
        <v>330</v>
      </c>
      <c r="D27" s="246">
        <v>491</v>
      </c>
      <c r="E27" s="232" t="s">
        <v>4</v>
      </c>
      <c r="F27" s="247">
        <v>3.03</v>
      </c>
      <c r="G27" s="234">
        <v>46057</v>
      </c>
      <c r="H27" s="235" t="s">
        <v>314</v>
      </c>
      <c r="I27" s="235"/>
      <c r="J27" s="236">
        <v>7.0000000000000007E-2</v>
      </c>
      <c r="K27" s="237">
        <f ca="1">ROUND(IF(ISERROR(OFFSET(Tabella!$A$1,MATCH(H27,Tabella!$A:$A,0)-1,MATCH(J27,Tabella!$A$1:$AC$1,0)-1)=TRUE),0,+OFFSET(Tabella!$A$1,MATCH(H27,Tabella!$A:$A,0)-1,MATCH(J27,Tabella!$A$1:$AC$1,0)-1)),4)</f>
        <v>1.25</v>
      </c>
      <c r="L27" s="238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238">
        <f ca="1">ROUND(IF(ISERROR(OFFSET(Rame!$A$1,MATCH(H27,Rame!$A:$A,0)-1,MATCH(J27,Rame!$A$1:$AA$1,0)-1)=TRUE),0,OFFSET(Rame!$A$1,MATCH(H27,Rame!$A:$A,0)-1,MATCH(J27,Rame!$A$1:$AA$1,0)-1))*IF(E27="Rame",1,0),4)</f>
        <v>0</v>
      </c>
      <c r="N27" s="238">
        <v>0</v>
      </c>
      <c r="O27" s="238">
        <v>1.5</v>
      </c>
      <c r="P27" s="238">
        <f ca="1">ROUND(+IF(ISERROR(OFFSET(Tabella!$G$1,MATCH(H27,Tabella!$G:$G,0)-1,MATCH(I27,Tabella!$G$1:$FG$1,0)-1)=TRUE),0,OFFSET(Tabella!$G$1,MATCH(H27,Tabella!$G:$G,0)-1,MATCH(I27,Tabella!$G$1:$AB$1,0)-1)),4)</f>
        <v>0</v>
      </c>
      <c r="Q27" s="238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238">
        <f ca="1">ROUND(IF(ISERROR(OFFSET(Rame!$F$1,MATCH(H27,Rame!$F:$F,0)-1,MATCH(I27,Rame!$F$1:$FF$1,0)-1)=TRUE),0,OFFSET(Rame!$F$1,MATCH(H27,Rame!$F:$F,0)-1,MATCH(I27,Rame!$F$1:$FF$1,0)-1))*IF(E27="Rame",1,0),4)</f>
        <v>0</v>
      </c>
      <c r="S27" s="238">
        <f ca="1">ROUND(IF(ISERROR(OFFSET(Bronzo!$A$1,MATCH(H27,Bronzo!$A:$A,0)-1,MATCH(I27,Bronzo!$A$1:$AA$1,0)-1)=TRUE),0,OFFSET(Bronzo!$A$1,MATCH(H27,Bronzo!$A:$A,0)-1,MATCH(I27,Bronzo!$A$1:$AA$1,0)-1)),4)</f>
        <v>0</v>
      </c>
      <c r="T27" s="238">
        <f t="shared" ca="1" si="46"/>
        <v>0</v>
      </c>
      <c r="U27" s="237"/>
      <c r="V27" s="238">
        <v>0</v>
      </c>
      <c r="W27" s="239">
        <f t="shared" ca="1" si="47"/>
        <v>1.5</v>
      </c>
      <c r="X27" s="423">
        <f t="shared" si="2"/>
        <v>34.369999999999997</v>
      </c>
      <c r="Y27" s="426">
        <v>4.53</v>
      </c>
      <c r="Z27" s="236">
        <f t="shared" ca="1" si="48"/>
        <v>0</v>
      </c>
      <c r="AA27" s="241"/>
      <c r="AF27" s="225">
        <f t="shared" ca="1" si="49"/>
        <v>46236</v>
      </c>
      <c r="AG27" s="225" t="b">
        <f t="shared" si="41"/>
        <v>1</v>
      </c>
      <c r="AH27" s="242" t="str">
        <f t="shared" si="50"/>
        <v/>
      </c>
      <c r="AK27" s="223">
        <f t="shared" si="42"/>
        <v>0</v>
      </c>
      <c r="AL27" s="223">
        <f t="shared" si="43"/>
        <v>1900</v>
      </c>
      <c r="AS27" s="223">
        <f t="shared" si="44"/>
        <v>0</v>
      </c>
      <c r="AT27" s="223">
        <f t="shared" si="45"/>
        <v>0</v>
      </c>
    </row>
    <row r="28" spans="2:46" ht="15.75" x14ac:dyDescent="0.25">
      <c r="B28" s="229" t="s">
        <v>663</v>
      </c>
      <c r="C28" s="245" t="s">
        <v>330</v>
      </c>
      <c r="D28" s="246">
        <v>2672</v>
      </c>
      <c r="E28" s="232" t="s">
        <v>4</v>
      </c>
      <c r="F28" s="247">
        <v>3.03</v>
      </c>
      <c r="G28" s="234">
        <v>46057</v>
      </c>
      <c r="H28" s="235" t="s">
        <v>28</v>
      </c>
      <c r="I28" s="235"/>
      <c r="J28" s="236">
        <v>7.0000000000000007E-2</v>
      </c>
      <c r="K28" s="237">
        <f ca="1">ROUND(IF(ISERROR(OFFSET(Tabella!$A$1,MATCH(H28,Tabella!$A:$A,0)-1,MATCH(J28,Tabella!$A$1:$AC$1,0)-1)=TRUE),0,+OFFSET(Tabella!$A$1,MATCH(H28,Tabella!$A:$A,0)-1,MATCH(J28,Tabella!$A$1:$AC$1,0)-1)),4)</f>
        <v>1.25</v>
      </c>
      <c r="L28" s="238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238">
        <f ca="1">ROUND(IF(ISERROR(OFFSET(Rame!$A$1,MATCH(H28,Rame!$A:$A,0)-1,MATCH(J28,Rame!$A$1:$AA$1,0)-1)=TRUE),0,OFFSET(Rame!$A$1,MATCH(H28,Rame!$A:$A,0)-1,MATCH(J28,Rame!$A$1:$AA$1,0)-1))*IF(E28="Rame",1,0),4)</f>
        <v>0</v>
      </c>
      <c r="N28" s="238">
        <v>0</v>
      </c>
      <c r="O28" s="238">
        <v>1.5</v>
      </c>
      <c r="P28" s="238">
        <f ca="1">ROUND(+IF(ISERROR(OFFSET(Tabella!$G$1,MATCH(H28,Tabella!$G:$G,0)-1,MATCH(I28,Tabella!$G$1:$FG$1,0)-1)=TRUE),0,OFFSET(Tabella!$G$1,MATCH(H28,Tabella!$G:$G,0)-1,MATCH(I28,Tabella!$G$1:$AB$1,0)-1)),4)</f>
        <v>0</v>
      </c>
      <c r="Q28" s="238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238">
        <f ca="1">ROUND(IF(ISERROR(OFFSET(Rame!$F$1,MATCH(H28,Rame!$F:$F,0)-1,MATCH(I28,Rame!$F$1:$FF$1,0)-1)=TRUE),0,OFFSET(Rame!$F$1,MATCH(H28,Rame!$F:$F,0)-1,MATCH(I28,Rame!$F$1:$FF$1,0)-1))*IF(E28="Rame",1,0),4)</f>
        <v>0</v>
      </c>
      <c r="S28" s="238">
        <f ca="1">ROUND(IF(ISERROR(OFFSET(Bronzo!$A$1,MATCH(H28,Bronzo!$A:$A,0)-1,MATCH(I28,Bronzo!$A$1:$AA$1,0)-1)=TRUE),0,OFFSET(Bronzo!$A$1,MATCH(H28,Bronzo!$A:$A,0)-1,MATCH(I28,Bronzo!$A$1:$AA$1,0)-1)),4)</f>
        <v>0</v>
      </c>
      <c r="T28" s="238">
        <f t="shared" ca="1" si="46"/>
        <v>0</v>
      </c>
      <c r="U28" s="237"/>
      <c r="V28" s="238">
        <v>0</v>
      </c>
      <c r="W28" s="239">
        <f t="shared" ca="1" si="47"/>
        <v>1.5</v>
      </c>
      <c r="X28" s="423">
        <f t="shared" si="2"/>
        <v>187.04</v>
      </c>
      <c r="Y28" s="426">
        <v>4.53</v>
      </c>
      <c r="Z28" s="236">
        <f t="shared" ca="1" si="48"/>
        <v>0</v>
      </c>
      <c r="AA28" s="241"/>
      <c r="AF28" s="225">
        <f t="shared" ca="1" si="49"/>
        <v>46236</v>
      </c>
      <c r="AG28" s="225" t="b">
        <f t="shared" si="41"/>
        <v>1</v>
      </c>
      <c r="AH28" s="242" t="str">
        <f t="shared" si="50"/>
        <v/>
      </c>
      <c r="AK28" s="223">
        <f t="shared" si="42"/>
        <v>0</v>
      </c>
      <c r="AL28" s="223">
        <f t="shared" si="43"/>
        <v>1900</v>
      </c>
      <c r="AS28" s="223">
        <f t="shared" si="44"/>
        <v>0</v>
      </c>
      <c r="AT28" s="223">
        <f t="shared" si="45"/>
        <v>0</v>
      </c>
    </row>
    <row r="29" spans="2:46" ht="15.75" x14ac:dyDescent="0.25">
      <c r="B29" s="229" t="s">
        <v>548</v>
      </c>
      <c r="C29" s="245" t="s">
        <v>212</v>
      </c>
      <c r="D29" s="246">
        <v>7067</v>
      </c>
      <c r="E29" s="232" t="s">
        <v>4</v>
      </c>
      <c r="F29" s="233">
        <v>2.62</v>
      </c>
      <c r="G29" s="234">
        <v>46058</v>
      </c>
      <c r="H29" s="235" t="s">
        <v>23</v>
      </c>
      <c r="I29" s="235"/>
      <c r="J29" s="236">
        <v>0.05</v>
      </c>
      <c r="K29" s="237">
        <f ca="1">ROUND(IF(ISERROR(OFFSET(Tabella!$A$1,MATCH(H29,Tabella!$A:$A,0)-1,MATCH(J29,Tabella!$A$1:$AC$1,0)-1)=TRUE),0,+OFFSET(Tabella!$A$1,MATCH(H29,Tabella!$A:$A,0)-1,MATCH(J29,Tabella!$A$1:$AC$1,0)-1)),4)</f>
        <v>0</v>
      </c>
      <c r="L29" s="238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238">
        <f ca="1">ROUND(IF(ISERROR(OFFSET(Rame!$A$1,MATCH(H29,Rame!$A:$A,0)-1,MATCH(J29,Rame!$A$1:$AA$1,0)-1)=TRUE),0,OFFSET(Rame!$A$1,MATCH(H29,Rame!$A:$A,0)-1,MATCH(J29,Rame!$A$1:$AA$1,0)-1))*IF(E29="Rame",1,0),4)</f>
        <v>0</v>
      </c>
      <c r="N29" s="238">
        <v>0</v>
      </c>
      <c r="O29" s="238">
        <v>1.37</v>
      </c>
      <c r="P29" s="238">
        <f ca="1">ROUND(+IF(ISERROR(OFFSET(Tabella!$G$1,MATCH(H29,Tabella!$G:$G,0)-1,MATCH(I29,Tabella!$G$1:$FG$1,0)-1)=TRUE),0,OFFSET(Tabella!$G$1,MATCH(H29,Tabella!$G:$G,0)-1,MATCH(I29,Tabella!$G$1:$AB$1,0)-1)),4)</f>
        <v>0</v>
      </c>
      <c r="Q29" s="238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238">
        <f ca="1">ROUND(IF(ISERROR(OFFSET(Rame!$F$1,MATCH(H29,Rame!$F:$F,0)-1,MATCH(I29,Rame!$F$1:$FF$1,0)-1)=TRUE),0,OFFSET(Rame!$F$1,MATCH(H29,Rame!$F:$F,0)-1,MATCH(I29,Rame!$F$1:$FF$1,0)-1))*IF(E29="Rame",1,0),4)</f>
        <v>0</v>
      </c>
      <c r="S29" s="238">
        <f ca="1">ROUND(IF(ISERROR(OFFSET(Bronzo!$A$1,MATCH(H29,Bronzo!$A:$A,0)-1,MATCH(I29,Bronzo!$A$1:$AA$1,0)-1)=TRUE),0,OFFSET(Bronzo!$A$1,MATCH(H29,Bronzo!$A:$A,0)-1,MATCH(I29,Bronzo!$A$1:$AA$1,0)-1)),4)</f>
        <v>0</v>
      </c>
      <c r="T29" s="238">
        <f t="shared" ca="1" si="46"/>
        <v>0</v>
      </c>
      <c r="U29" s="237"/>
      <c r="V29" s="238">
        <v>0</v>
      </c>
      <c r="W29" s="239">
        <f t="shared" ca="1" si="47"/>
        <v>1.37</v>
      </c>
      <c r="X29" s="423">
        <f t="shared" si="2"/>
        <v>353.35</v>
      </c>
      <c r="Y29" s="236">
        <v>3.99</v>
      </c>
      <c r="Z29" s="236">
        <f t="shared" ca="1" si="48"/>
        <v>0</v>
      </c>
      <c r="AA29" s="241"/>
      <c r="AF29" s="225">
        <f t="shared" ca="1" si="49"/>
        <v>46236</v>
      </c>
      <c r="AG29" s="225" t="b">
        <f t="shared" si="41"/>
        <v>1</v>
      </c>
      <c r="AH29" s="242" t="str">
        <f t="shared" si="50"/>
        <v/>
      </c>
      <c r="AK29" s="223">
        <f t="shared" si="42"/>
        <v>0</v>
      </c>
      <c r="AL29" s="223">
        <f t="shared" si="43"/>
        <v>1900</v>
      </c>
      <c r="AS29" s="223">
        <f t="shared" si="44"/>
        <v>0</v>
      </c>
      <c r="AT29" s="223">
        <f t="shared" si="45"/>
        <v>0</v>
      </c>
    </row>
    <row r="30" spans="2:46" ht="15.75" x14ac:dyDescent="0.25">
      <c r="B30" s="229" t="s">
        <v>548</v>
      </c>
      <c r="C30" s="245" t="s">
        <v>212</v>
      </c>
      <c r="D30" s="246">
        <v>4653</v>
      </c>
      <c r="E30" s="232" t="s">
        <v>4</v>
      </c>
      <c r="F30" s="233">
        <v>2.62</v>
      </c>
      <c r="G30" s="234">
        <v>46058</v>
      </c>
      <c r="H30" s="235" t="s">
        <v>23</v>
      </c>
      <c r="I30" s="235"/>
      <c r="J30" s="236">
        <v>0.05</v>
      </c>
      <c r="K30" s="237">
        <f ca="1">ROUND(IF(ISERROR(OFFSET(Tabella!$A$1,MATCH(H30,Tabella!$A:$A,0)-1,MATCH(J30,Tabella!$A$1:$AC$1,0)-1)=TRUE),0,+OFFSET(Tabella!$A$1,MATCH(H30,Tabella!$A:$A,0)-1,MATCH(J30,Tabella!$A$1:$AC$1,0)-1)),4)</f>
        <v>0</v>
      </c>
      <c r="L30" s="238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238">
        <f ca="1">ROUND(IF(ISERROR(OFFSET(Rame!$A$1,MATCH(H30,Rame!$A:$A,0)-1,MATCH(J30,Rame!$A$1:$AA$1,0)-1)=TRUE),0,OFFSET(Rame!$A$1,MATCH(H30,Rame!$A:$A,0)-1,MATCH(J30,Rame!$A$1:$AA$1,0)-1))*IF(E30="Rame",1,0),4)</f>
        <v>0</v>
      </c>
      <c r="N30" s="238">
        <v>0</v>
      </c>
      <c r="O30" s="238">
        <v>1.37</v>
      </c>
      <c r="P30" s="238">
        <f ca="1">ROUND(+IF(ISERROR(OFFSET(Tabella!$G$1,MATCH(H30,Tabella!$G:$G,0)-1,MATCH(I30,Tabella!$G$1:$FG$1,0)-1)=TRUE),0,OFFSET(Tabella!$G$1,MATCH(H30,Tabella!$G:$G,0)-1,MATCH(I30,Tabella!$G$1:$AB$1,0)-1)),4)</f>
        <v>0</v>
      </c>
      <c r="Q30" s="238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238">
        <f ca="1">ROUND(IF(ISERROR(OFFSET(Rame!$F$1,MATCH(H30,Rame!$F:$F,0)-1,MATCH(I30,Rame!$F$1:$FF$1,0)-1)=TRUE),0,OFFSET(Rame!$F$1,MATCH(H30,Rame!$F:$F,0)-1,MATCH(I30,Rame!$F$1:$FF$1,0)-1))*IF(E30="Rame",1,0),4)</f>
        <v>0</v>
      </c>
      <c r="S30" s="238">
        <f ca="1">ROUND(IF(ISERROR(OFFSET(Bronzo!$A$1,MATCH(H30,Bronzo!$A:$A,0)-1,MATCH(I30,Bronzo!$A$1:$AA$1,0)-1)=TRUE),0,OFFSET(Bronzo!$A$1,MATCH(H30,Bronzo!$A:$A,0)-1,MATCH(I30,Bronzo!$A$1:$AA$1,0)-1)),4)</f>
        <v>0</v>
      </c>
      <c r="T30" s="238">
        <f t="shared" ca="1" si="46"/>
        <v>0</v>
      </c>
      <c r="U30" s="237"/>
      <c r="V30" s="238">
        <v>0</v>
      </c>
      <c r="W30" s="239">
        <f t="shared" ca="1" si="47"/>
        <v>1.37</v>
      </c>
      <c r="X30" s="423">
        <f t="shared" si="2"/>
        <v>232.65</v>
      </c>
      <c r="Y30" s="236">
        <v>3.99</v>
      </c>
      <c r="Z30" s="236">
        <f t="shared" ca="1" si="48"/>
        <v>0</v>
      </c>
      <c r="AA30" s="241"/>
      <c r="AF30" s="225">
        <f t="shared" ca="1" si="49"/>
        <v>46236</v>
      </c>
      <c r="AG30" s="225" t="b">
        <f t="shared" si="41"/>
        <v>1</v>
      </c>
      <c r="AH30" s="242" t="str">
        <f t="shared" si="50"/>
        <v/>
      </c>
      <c r="AK30" s="223">
        <f t="shared" si="42"/>
        <v>0</v>
      </c>
      <c r="AL30" s="223">
        <f t="shared" si="43"/>
        <v>1900</v>
      </c>
      <c r="AS30" s="223">
        <f t="shared" si="44"/>
        <v>0</v>
      </c>
      <c r="AT30" s="223">
        <f t="shared" si="45"/>
        <v>0</v>
      </c>
    </row>
    <row r="31" spans="2:46" ht="15.75" x14ac:dyDescent="0.25">
      <c r="B31" s="229" t="s">
        <v>449</v>
      </c>
      <c r="C31" s="235" t="s">
        <v>396</v>
      </c>
      <c r="D31" s="243">
        <v>300</v>
      </c>
      <c r="E31" s="232" t="s">
        <v>4</v>
      </c>
      <c r="F31" s="233">
        <v>2.6</v>
      </c>
      <c r="G31" s="234">
        <v>46063</v>
      </c>
      <c r="H31" s="235" t="s">
        <v>9</v>
      </c>
      <c r="I31" s="235"/>
      <c r="J31" s="236">
        <v>7.0000000000000007E-2</v>
      </c>
      <c r="K31" s="237">
        <f ca="1">ROUND(IF(ISERROR(OFFSET(Tabella!$A$1,MATCH(H31,Tabella!$A:$A,0)-1,MATCH(J31,Tabella!$A$1:$AC$1,0)-1)=TRUE),0,+OFFSET(Tabella!$A$1,MATCH(H31,Tabella!$A:$A,0)-1,MATCH(J31,Tabella!$A$1:$AC$1,0)-1)),4)</f>
        <v>1.6</v>
      </c>
      <c r="L31" s="238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238">
        <f ca="1">ROUND(IF(ISERROR(OFFSET(Rame!$A$1,MATCH(H31,Rame!$A:$A,0)-1,MATCH(J31,Rame!$A$1:$AA$1,0)-1)=TRUE),0,OFFSET(Rame!$A$1,MATCH(H31,Rame!$A:$A,0)-1,MATCH(J31,Rame!$A$1:$AA$1,0)-1))*IF(E31="Rame",1,0),4)</f>
        <v>0</v>
      </c>
      <c r="N31" s="238">
        <v>0</v>
      </c>
      <c r="O31" s="238">
        <v>1.8</v>
      </c>
      <c r="P31" s="238">
        <f ca="1">ROUND(+IF(ISERROR(OFFSET(Tabella!$G$1,MATCH(H31,Tabella!$G:$G,0)-1,MATCH(I31,Tabella!$G$1:$FG$1,0)-1)=TRUE),0,OFFSET(Tabella!$G$1,MATCH(H31,Tabella!$G:$G,0)-1,MATCH(I31,Tabella!$G$1:$AB$1,0)-1)),4)</f>
        <v>0</v>
      </c>
      <c r="Q31" s="238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238">
        <f ca="1">ROUND(IF(ISERROR(OFFSET(Rame!$F$1,MATCH(H31,Rame!$F:$F,0)-1,MATCH(I31,Rame!$F$1:$FF$1,0)-1)=TRUE),0,OFFSET(Rame!$F$1,MATCH(H31,Rame!$F:$F,0)-1,MATCH(I31,Rame!$F$1:$FF$1,0)-1))*IF(E31="Rame",1,0),4)</f>
        <v>0</v>
      </c>
      <c r="S31" s="238">
        <f ca="1">ROUND(IF(ISERROR(OFFSET(Bronzo!$A$1,MATCH(H31,Bronzo!$A:$A,0)-1,MATCH(I31,Bronzo!$A$1:$AA$1,0)-1)=TRUE),0,OFFSET(Bronzo!$A$1,MATCH(H31,Bronzo!$A:$A,0)-1,MATCH(I31,Bronzo!$A$1:$AA$1,0)-1)),4)</f>
        <v>0</v>
      </c>
      <c r="T31" s="238">
        <f t="shared" ca="1" si="46"/>
        <v>0</v>
      </c>
      <c r="U31" s="237"/>
      <c r="V31" s="238">
        <v>0</v>
      </c>
      <c r="W31" s="239">
        <f t="shared" ca="1" si="47"/>
        <v>1.8</v>
      </c>
      <c r="X31" s="240">
        <f t="shared" si="2"/>
        <v>21</v>
      </c>
      <c r="Y31" s="236">
        <v>4.62</v>
      </c>
      <c r="Z31" s="236">
        <f t="shared" ca="1" si="48"/>
        <v>0.22</v>
      </c>
      <c r="AA31" s="241">
        <v>46185</v>
      </c>
      <c r="AF31" s="225">
        <f t="shared" ca="1" si="49"/>
        <v>46236</v>
      </c>
      <c r="AG31" s="225" t="b">
        <f t="shared" ref="AG31:AG33" si="51">ISBLANK(AA31)</f>
        <v>0</v>
      </c>
      <c r="AH31" s="242">
        <f t="shared" ref="AH31:AH33" ca="1" si="52">IF(AG31=FALSE,_xlfn.DAYS(AA31,AF31),"")</f>
        <v>-51</v>
      </c>
      <c r="AK31" s="223">
        <f t="shared" ref="AK31:AK33" si="53">WEEKNUM(AA31)</f>
        <v>24</v>
      </c>
      <c r="AL31" s="223">
        <f t="shared" ref="AL31:AL33" si="54">YEAR(AA31)</f>
        <v>2026</v>
      </c>
      <c r="AS31" s="223">
        <f t="shared" si="44"/>
        <v>6</v>
      </c>
      <c r="AT31" s="223">
        <f t="shared" si="45"/>
        <v>2026</v>
      </c>
    </row>
    <row r="32" spans="2:46" ht="15.75" x14ac:dyDescent="0.25">
      <c r="B32" s="229" t="s">
        <v>634</v>
      </c>
      <c r="C32" s="245" t="s">
        <v>437</v>
      </c>
      <c r="D32" s="246">
        <v>518</v>
      </c>
      <c r="E32" s="232" t="s">
        <v>6</v>
      </c>
      <c r="F32" s="233">
        <v>10.92</v>
      </c>
      <c r="G32" s="234">
        <v>46063</v>
      </c>
      <c r="H32" s="235" t="s">
        <v>12</v>
      </c>
      <c r="I32" s="235"/>
      <c r="J32" s="236">
        <v>0.15</v>
      </c>
      <c r="K32" s="237">
        <f ca="1">ROUND(IF(ISERROR(OFFSET(Tabella!$A$1,MATCH(H32,Tabella!$A:$A,0)-1,MATCH(J32,Tabella!$A$1:$AC$1,0)-1)=TRUE),0,+OFFSET(Tabella!$A$1,MATCH(H32,Tabella!$A:$A,0)-1,MATCH(J32,Tabella!$A$1:$AC$1,0)-1)),4)</f>
        <v>0</v>
      </c>
      <c r="L32" s="238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238">
        <f ca="1">ROUND(IF(ISERROR(OFFSET(Rame!$A$1,MATCH(H32,Rame!$A:$A,0)-1,MATCH(J32,Rame!$A$1:$AA$1,0)-1)=TRUE),0,OFFSET(Rame!$A$1,MATCH(H32,Rame!$A:$A,0)-1,MATCH(J32,Rame!$A$1:$AA$1,0)-1))*IF(E32="Rame",1,0),4)</f>
        <v>1.25</v>
      </c>
      <c r="N32" s="238">
        <v>0</v>
      </c>
      <c r="O32" s="238">
        <f ca="1">ROUND(SUM(K32:N32),4)</f>
        <v>1.25</v>
      </c>
      <c r="P32" s="238">
        <f ca="1">ROUND(+IF(ISERROR(OFFSET(Tabella!$G$1,MATCH(H32,Tabella!$G:$G,0)-1,MATCH(I32,Tabella!$G$1:$FG$1,0)-1)=TRUE),0,OFFSET(Tabella!$G$1,MATCH(H32,Tabella!$G:$G,0)-1,MATCH(I32,Tabella!$G$1:$AB$1,0)-1)),4)</f>
        <v>0</v>
      </c>
      <c r="Q32" s="238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238">
        <f ca="1">ROUND(IF(ISERROR(OFFSET(Rame!$F$1,MATCH(H32,Rame!$F:$F,0)-1,MATCH(I32,Rame!$F$1:$FF$1,0)-1)=TRUE),0,OFFSET(Rame!$F$1,MATCH(H32,Rame!$F:$F,0)-1,MATCH(I32,Rame!$F$1:$FF$1,0)-1))*IF(E32="Rame",1,0),4)</f>
        <v>0</v>
      </c>
      <c r="S32" s="238">
        <f ca="1">ROUND(IF(ISERROR(OFFSET(Bronzo!$A$1,MATCH(H32,Bronzo!$A:$A,0)-1,MATCH(I32,Bronzo!$A$1:$AA$1,0)-1)=TRUE),0,OFFSET(Bronzo!$A$1,MATCH(H32,Bronzo!$A:$A,0)-1,MATCH(I32,Bronzo!$A$1:$AA$1,0)-1)),4)</f>
        <v>0</v>
      </c>
      <c r="T32" s="238">
        <f t="shared" ca="1" si="46"/>
        <v>0</v>
      </c>
      <c r="U32" s="237"/>
      <c r="V32" s="238">
        <v>0</v>
      </c>
      <c r="W32" s="239">
        <f t="shared" ca="1" si="47"/>
        <v>1.25</v>
      </c>
      <c r="X32" s="423">
        <f t="shared" si="2"/>
        <v>77.7</v>
      </c>
      <c r="Y32" s="236">
        <v>14.55</v>
      </c>
      <c r="Z32" s="236">
        <f t="shared" ca="1" si="48"/>
        <v>2.38</v>
      </c>
      <c r="AA32" s="241"/>
      <c r="AF32" s="225">
        <f t="shared" ca="1" si="49"/>
        <v>46236</v>
      </c>
      <c r="AG32" s="225" t="b">
        <f t="shared" si="51"/>
        <v>1</v>
      </c>
      <c r="AH32" s="242" t="str">
        <f t="shared" si="52"/>
        <v/>
      </c>
      <c r="AK32" s="223">
        <f t="shared" si="53"/>
        <v>0</v>
      </c>
      <c r="AL32" s="223">
        <f t="shared" si="54"/>
        <v>1900</v>
      </c>
      <c r="AS32" s="223">
        <f t="shared" ref="AS32:AS33" si="55">IF(AA32="",0,MONTH(AA32))</f>
        <v>0</v>
      </c>
      <c r="AT32" s="223">
        <f t="shared" ref="AT32:AT33" si="56">IF(AA32="",0,YEAR(AA32))</f>
        <v>0</v>
      </c>
    </row>
    <row r="33" spans="2:46" ht="15.75" x14ac:dyDescent="0.25">
      <c r="B33" s="229" t="s">
        <v>549</v>
      </c>
      <c r="C33" s="245" t="s">
        <v>212</v>
      </c>
      <c r="D33" s="246">
        <v>7337</v>
      </c>
      <c r="E33" s="232" t="s">
        <v>4</v>
      </c>
      <c r="F33" s="233">
        <v>2.62</v>
      </c>
      <c r="G33" s="234">
        <v>46058</v>
      </c>
      <c r="H33" s="235" t="s">
        <v>23</v>
      </c>
      <c r="I33" s="235"/>
      <c r="J33" s="236">
        <v>0.05</v>
      </c>
      <c r="K33" s="237">
        <f ca="1">ROUND(IF(ISERROR(OFFSET(Tabella!$A$1,MATCH(H33,Tabella!$A:$A,0)-1,MATCH(J33,Tabella!$A$1:$AC$1,0)-1)=TRUE),0,+OFFSET(Tabella!$A$1,MATCH(H33,Tabella!$A:$A,0)-1,MATCH(J33,Tabella!$A$1:$AC$1,0)-1)),4)</f>
        <v>0</v>
      </c>
      <c r="L33" s="238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238">
        <f ca="1">ROUND(IF(ISERROR(OFFSET(Rame!$A$1,MATCH(H33,Rame!$A:$A,0)-1,MATCH(J33,Rame!$A$1:$AA$1,0)-1)=TRUE),0,OFFSET(Rame!$A$1,MATCH(H33,Rame!$A:$A,0)-1,MATCH(J33,Rame!$A$1:$AA$1,0)-1))*IF(E33="Rame",1,0),4)</f>
        <v>0</v>
      </c>
      <c r="N33" s="238">
        <v>0</v>
      </c>
      <c r="O33" s="238">
        <v>1.37</v>
      </c>
      <c r="P33" s="238">
        <f ca="1">ROUND(+IF(ISERROR(OFFSET(Tabella!$G$1,MATCH(H33,Tabella!$G:$G,0)-1,MATCH(I33,Tabella!$G$1:$FG$1,0)-1)=TRUE),0,OFFSET(Tabella!$G$1,MATCH(H33,Tabella!$G:$G,0)-1,MATCH(I33,Tabella!$G$1:$AB$1,0)-1)),4)</f>
        <v>0</v>
      </c>
      <c r="Q33" s="238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238">
        <f ca="1">ROUND(IF(ISERROR(OFFSET(Rame!$F$1,MATCH(H33,Rame!$F:$F,0)-1,MATCH(I33,Rame!$F$1:$FF$1,0)-1)=TRUE),0,OFFSET(Rame!$F$1,MATCH(H33,Rame!$F:$F,0)-1,MATCH(I33,Rame!$F$1:$FF$1,0)-1))*IF(E33="Rame",1,0),4)</f>
        <v>0</v>
      </c>
      <c r="S33" s="238">
        <f ca="1">ROUND(IF(ISERROR(OFFSET(Bronzo!$A$1,MATCH(H33,Bronzo!$A:$A,0)-1,MATCH(I33,Bronzo!$A$1:$AA$1,0)-1)=TRUE),0,OFFSET(Bronzo!$A$1,MATCH(H33,Bronzo!$A:$A,0)-1,MATCH(I33,Bronzo!$A$1:$AA$1,0)-1)),4)</f>
        <v>0</v>
      </c>
      <c r="T33" s="238">
        <f t="shared" ca="1" si="46"/>
        <v>0</v>
      </c>
      <c r="U33" s="237"/>
      <c r="V33" s="238">
        <v>0</v>
      </c>
      <c r="W33" s="239">
        <f t="shared" ca="1" si="47"/>
        <v>1.37</v>
      </c>
      <c r="X33" s="423">
        <f t="shared" si="2"/>
        <v>366.85</v>
      </c>
      <c r="Y33" s="236">
        <v>3.99</v>
      </c>
      <c r="Z33" s="236">
        <f t="shared" ca="1" si="48"/>
        <v>0</v>
      </c>
      <c r="AA33" s="241"/>
      <c r="AF33" s="225">
        <f t="shared" ca="1" si="49"/>
        <v>46236</v>
      </c>
      <c r="AG33" s="225" t="b">
        <f t="shared" si="51"/>
        <v>1</v>
      </c>
      <c r="AH33" s="242" t="str">
        <f t="shared" si="52"/>
        <v/>
      </c>
      <c r="AK33" s="223">
        <f t="shared" si="53"/>
        <v>0</v>
      </c>
      <c r="AL33" s="223">
        <f t="shared" si="54"/>
        <v>1900</v>
      </c>
      <c r="AS33" s="223">
        <f t="shared" si="55"/>
        <v>0</v>
      </c>
      <c r="AT33" s="223">
        <f t="shared" si="56"/>
        <v>0</v>
      </c>
    </row>
    <row r="34" spans="2:46" ht="15.75" x14ac:dyDescent="0.25">
      <c r="B34" s="229" t="s">
        <v>451</v>
      </c>
      <c r="C34" s="235" t="s">
        <v>260</v>
      </c>
      <c r="D34" s="243">
        <v>800</v>
      </c>
      <c r="E34" s="232" t="s">
        <v>4</v>
      </c>
      <c r="F34" s="233">
        <v>2.58</v>
      </c>
      <c r="G34" s="234">
        <v>46071</v>
      </c>
      <c r="H34" s="235" t="s">
        <v>24</v>
      </c>
      <c r="I34" s="235"/>
      <c r="J34" s="236">
        <v>7.0000000000000007E-2</v>
      </c>
      <c r="K34" s="237">
        <f ca="1">ROUND(IF(ISERROR(OFFSET(Tabella!$A$1,MATCH(H34,Tabella!$A:$A,0)-1,MATCH(J34,Tabella!$A$1:$AC$1,0)-1)=TRUE),0,+OFFSET(Tabella!$A$1,MATCH(H34,Tabella!$A:$A,0)-1,MATCH(J34,Tabella!$A$1:$AC$1,0)-1)),4)</f>
        <v>1.25</v>
      </c>
      <c r="L34" s="238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238">
        <f ca="1">ROUND(IF(ISERROR(OFFSET(Rame!$A$1,MATCH(H34,Rame!$A:$A,0)-1,MATCH(J34,Rame!$A$1:$AA$1,0)-1)=TRUE),0,OFFSET(Rame!$A$1,MATCH(H34,Rame!$A:$A,0)-1,MATCH(J34,Rame!$A$1:$AA$1,0)-1))*IF(E34="Rame",1,0),4)</f>
        <v>0</v>
      </c>
      <c r="N34" s="238">
        <v>0</v>
      </c>
      <c r="O34" s="238">
        <f ca="1">ROUND(SUM(K34:N34),4)</f>
        <v>1.25</v>
      </c>
      <c r="P34" s="238">
        <f ca="1">ROUND(+IF(ISERROR(OFFSET(Tabella!$G$1,MATCH(H34,Tabella!$G:$G,0)-1,MATCH(I34,Tabella!$G$1:$FG$1,0)-1)=TRUE),0,OFFSET(Tabella!$G$1,MATCH(H34,Tabella!$G:$G,0)-1,MATCH(I34,Tabella!$G$1:$AB$1,0)-1)),4)</f>
        <v>0</v>
      </c>
      <c r="Q34" s="238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238">
        <f ca="1">ROUND(IF(ISERROR(OFFSET(Rame!$F$1,MATCH(H34,Rame!$F:$F,0)-1,MATCH(I34,Rame!$F$1:$FF$1,0)-1)=TRUE),0,OFFSET(Rame!$F$1,MATCH(H34,Rame!$F:$F,0)-1,MATCH(I34,Rame!$F$1:$FF$1,0)-1))*IF(E34="Rame",1,0),4)</f>
        <v>0</v>
      </c>
      <c r="S34" s="238">
        <f ca="1">ROUND(IF(ISERROR(OFFSET(Bronzo!$A$1,MATCH(H34,Bronzo!$A:$A,0)-1,MATCH(I34,Bronzo!$A$1:$AA$1,0)-1)=TRUE),0,OFFSET(Bronzo!$A$1,MATCH(H34,Bronzo!$A:$A,0)-1,MATCH(I34,Bronzo!$A$1:$AA$1,0)-1)),4)</f>
        <v>0</v>
      </c>
      <c r="T34" s="238">
        <f t="shared" ca="1" si="46"/>
        <v>0</v>
      </c>
      <c r="U34" s="237"/>
      <c r="V34" s="238">
        <v>0</v>
      </c>
      <c r="W34" s="239">
        <f t="shared" ca="1" si="47"/>
        <v>1.25</v>
      </c>
      <c r="X34" s="240">
        <f t="shared" si="2"/>
        <v>56</v>
      </c>
      <c r="Y34" s="236">
        <v>4.0999999999999996</v>
      </c>
      <c r="Z34" s="236">
        <f t="shared" ca="1" si="48"/>
        <v>0.27</v>
      </c>
      <c r="AA34" s="241">
        <v>46087</v>
      </c>
      <c r="AF34" s="225">
        <f t="shared" ref="AF34" ca="1" si="57">TODAY()</f>
        <v>46236</v>
      </c>
      <c r="AG34" s="225" t="b">
        <f t="shared" ref="AG34:AG35" si="58">ISBLANK(AA34)</f>
        <v>0</v>
      </c>
      <c r="AH34" s="242">
        <f t="shared" ref="AH34:AH35" ca="1" si="59">IF(AG34=FALSE,_xlfn.DAYS(AA34,AF34),"")</f>
        <v>-149</v>
      </c>
      <c r="AK34" s="223">
        <f t="shared" ref="AK34:AK35" si="60">WEEKNUM(AA34)</f>
        <v>10</v>
      </c>
      <c r="AL34" s="223">
        <f t="shared" ref="AL34:AL35" si="61">YEAR(AA34)</f>
        <v>2026</v>
      </c>
      <c r="AS34" s="223">
        <f t="shared" ref="AS34:AS35" si="62">IF(AA34="",0,MONTH(AA34))</f>
        <v>3</v>
      </c>
      <c r="AT34" s="223">
        <f t="shared" ref="AT34:AT35" si="63">IF(AA34="",0,YEAR(AA34))</f>
        <v>2026</v>
      </c>
    </row>
    <row r="35" spans="2:46" ht="15.75" x14ac:dyDescent="0.25">
      <c r="B35" s="229" t="s">
        <v>452</v>
      </c>
      <c r="C35" s="235" t="s">
        <v>396</v>
      </c>
      <c r="D35" s="243">
        <v>500</v>
      </c>
      <c r="E35" s="232" t="s">
        <v>4</v>
      </c>
      <c r="F35" s="233">
        <v>2.62</v>
      </c>
      <c r="G35" s="234">
        <v>46073</v>
      </c>
      <c r="H35" s="235" t="s">
        <v>28</v>
      </c>
      <c r="I35" s="235"/>
      <c r="J35" s="236">
        <v>7.0000000000000007E-2</v>
      </c>
      <c r="K35" s="237">
        <f ca="1">ROUND(IF(ISERROR(OFFSET(Tabella!$A$1,MATCH(H35,Tabella!$A:$A,0)-1,MATCH(J35,Tabella!$A$1:$AC$1,0)-1)=TRUE),0,+OFFSET(Tabella!$A$1,MATCH(H35,Tabella!$A:$A,0)-1,MATCH(J35,Tabella!$A$1:$AC$1,0)-1)),4)</f>
        <v>1.25</v>
      </c>
      <c r="L35" s="238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238">
        <f ca="1">ROUND(IF(ISERROR(OFFSET(Rame!$A$1,MATCH(H35,Rame!$A:$A,0)-1,MATCH(J35,Rame!$A$1:$AA$1,0)-1)=TRUE),0,OFFSET(Rame!$A$1,MATCH(H35,Rame!$A:$A,0)-1,MATCH(J35,Rame!$A$1:$AA$1,0)-1))*IF(E35="Rame",1,0),4)</f>
        <v>0</v>
      </c>
      <c r="N35" s="238">
        <v>0</v>
      </c>
      <c r="O35" s="238">
        <v>1.5</v>
      </c>
      <c r="P35" s="238">
        <f ca="1">ROUND(+IF(ISERROR(OFFSET(Tabella!$G$1,MATCH(H35,Tabella!$G:$G,0)-1,MATCH(I35,Tabella!$G$1:$FG$1,0)-1)=TRUE),0,OFFSET(Tabella!$G$1,MATCH(H35,Tabella!$G:$G,0)-1,MATCH(I35,Tabella!$G$1:$AB$1,0)-1)),4)</f>
        <v>0</v>
      </c>
      <c r="Q35" s="238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238">
        <f ca="1">ROUND(IF(ISERROR(OFFSET(Rame!$F$1,MATCH(H35,Rame!$F:$F,0)-1,MATCH(I35,Rame!$F$1:$FF$1,0)-1)=TRUE),0,OFFSET(Rame!$F$1,MATCH(H35,Rame!$F:$F,0)-1,MATCH(I35,Rame!$F$1:$FF$1,0)-1))*IF(E35="Rame",1,0),4)</f>
        <v>0</v>
      </c>
      <c r="S35" s="238">
        <f ca="1">ROUND(IF(ISERROR(OFFSET(Bronzo!$A$1,MATCH(H35,Bronzo!$A:$A,0)-1,MATCH(I35,Bronzo!$A$1:$AA$1,0)-1)=TRUE),0,OFFSET(Bronzo!$A$1,MATCH(H35,Bronzo!$A:$A,0)-1,MATCH(I35,Bronzo!$A$1:$AA$1,0)-1)),4)</f>
        <v>0</v>
      </c>
      <c r="T35" s="238">
        <f t="shared" ca="1" si="46"/>
        <v>0</v>
      </c>
      <c r="U35" s="237"/>
      <c r="V35" s="238">
        <v>0</v>
      </c>
      <c r="W35" s="239">
        <f t="shared" ca="1" si="47"/>
        <v>1.5</v>
      </c>
      <c r="X35" s="240">
        <f t="shared" si="2"/>
        <v>35</v>
      </c>
      <c r="Y35" s="236">
        <v>4.34</v>
      </c>
      <c r="Z35" s="236">
        <f t="shared" ca="1" si="48"/>
        <v>0.22</v>
      </c>
      <c r="AA35" s="241">
        <v>46213</v>
      </c>
      <c r="AF35" s="225">
        <f t="shared" ref="AF35:AF37" ca="1" si="64">TODAY()</f>
        <v>46236</v>
      </c>
      <c r="AG35" s="225" t="b">
        <f t="shared" si="58"/>
        <v>0</v>
      </c>
      <c r="AH35" s="242">
        <f t="shared" ca="1" si="59"/>
        <v>-23</v>
      </c>
      <c r="AK35" s="223">
        <f t="shared" si="60"/>
        <v>28</v>
      </c>
      <c r="AL35" s="223">
        <f t="shared" si="61"/>
        <v>2026</v>
      </c>
      <c r="AS35" s="223">
        <f t="shared" si="62"/>
        <v>7</v>
      </c>
      <c r="AT35" s="223">
        <f t="shared" si="63"/>
        <v>2026</v>
      </c>
    </row>
    <row r="36" spans="2:46" ht="15.75" x14ac:dyDescent="0.25">
      <c r="B36" s="229" t="s">
        <v>550</v>
      </c>
      <c r="C36" s="245" t="s">
        <v>263</v>
      </c>
      <c r="D36" s="246">
        <v>1011</v>
      </c>
      <c r="E36" s="232" t="s">
        <v>4</v>
      </c>
      <c r="F36" s="233">
        <v>2.69</v>
      </c>
      <c r="G36" s="234">
        <v>46079</v>
      </c>
      <c r="H36" s="235" t="s">
        <v>19</v>
      </c>
      <c r="I36" s="235"/>
      <c r="J36" s="236">
        <v>7.0000000000000007E-2</v>
      </c>
      <c r="K36" s="237">
        <f ca="1">ROUND(IF(ISERROR(OFFSET(Tabella!$A$1,MATCH(H36,Tabella!$A:$A,0)-1,MATCH(J36,Tabella!$A$1:$AC$1,0)-1)=TRUE),0,+OFFSET(Tabella!$A$1,MATCH(H36,Tabella!$A:$A,0)-1,MATCH(J36,Tabella!$A$1:$AC$1,0)-1)),4)</f>
        <v>1.35</v>
      </c>
      <c r="L36" s="238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238">
        <f ca="1">ROUND(IF(ISERROR(OFFSET(Rame!$A$1,MATCH(H36,Rame!$A:$A,0)-1,MATCH(J36,Rame!$A$1:$AA$1,0)-1)=TRUE),0,OFFSET(Rame!$A$1,MATCH(H36,Rame!$A:$A,0)-1,MATCH(J36,Rame!$A$1:$AA$1,0)-1))*IF(E36="Rame",1,0),4)</f>
        <v>0</v>
      </c>
      <c r="N36" s="238">
        <v>0</v>
      </c>
      <c r="O36" s="238">
        <f t="shared" ref="O36:O42" ca="1" si="65">ROUND(SUM(K36:N36),4)</f>
        <v>1.35</v>
      </c>
      <c r="P36" s="238">
        <f ca="1">ROUND(+IF(ISERROR(OFFSET(Tabella!$G$1,MATCH(H36,Tabella!$G:$G,0)-1,MATCH(I36,Tabella!$G$1:$FG$1,0)-1)=TRUE),0,OFFSET(Tabella!$G$1,MATCH(H36,Tabella!$G:$G,0)-1,MATCH(I36,Tabella!$G$1:$AB$1,0)-1)),4)</f>
        <v>0</v>
      </c>
      <c r="Q36" s="238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238">
        <f ca="1">ROUND(IF(ISERROR(OFFSET(Rame!$F$1,MATCH(H36,Rame!$F:$F,0)-1,MATCH(I36,Rame!$F$1:$FF$1,0)-1)=TRUE),0,OFFSET(Rame!$F$1,MATCH(H36,Rame!$F:$F,0)-1,MATCH(I36,Rame!$F$1:$FF$1,0)-1))*IF(E36="Rame",1,0),4)</f>
        <v>0</v>
      </c>
      <c r="S36" s="238">
        <f ca="1">ROUND(IF(ISERROR(OFFSET(Bronzo!$A$1,MATCH(H36,Bronzo!$A:$A,0)-1,MATCH(I36,Bronzo!$A$1:$AA$1,0)-1)=TRUE),0,OFFSET(Bronzo!$A$1,MATCH(H36,Bronzo!$A:$A,0)-1,MATCH(I36,Bronzo!$A$1:$AA$1,0)-1)),4)</f>
        <v>0</v>
      </c>
      <c r="T36" s="238">
        <f t="shared" ca="1" si="46"/>
        <v>0</v>
      </c>
      <c r="U36" s="237"/>
      <c r="V36" s="238">
        <v>0</v>
      </c>
      <c r="W36" s="239">
        <f t="shared" ca="1" si="47"/>
        <v>1.35</v>
      </c>
      <c r="X36" s="423">
        <f t="shared" si="2"/>
        <v>70.77</v>
      </c>
      <c r="Y36" s="236">
        <v>4.26</v>
      </c>
      <c r="Z36" s="236">
        <f t="shared" ca="1" si="48"/>
        <v>0.22</v>
      </c>
      <c r="AA36" s="241"/>
      <c r="AF36" s="225">
        <f t="shared" ca="1" si="64"/>
        <v>46236</v>
      </c>
      <c r="AG36" s="225" t="b">
        <f t="shared" ref="AG36:AG51" si="66">ISBLANK(AA36)</f>
        <v>1</v>
      </c>
      <c r="AH36" s="242" t="str">
        <f t="shared" ref="AH36:AH51" si="67">IF(AG36=FALSE,_xlfn.DAYS(AA36,AF36),"")</f>
        <v/>
      </c>
      <c r="AK36" s="223">
        <f t="shared" ref="AK36:AK51" si="68">WEEKNUM(AA36)</f>
        <v>0</v>
      </c>
      <c r="AL36" s="223">
        <f t="shared" ref="AL36:AL51" si="69">YEAR(AA36)</f>
        <v>1900</v>
      </c>
      <c r="AS36" s="223">
        <f t="shared" ref="AS36:AS52" si="70">IF(AA36="",0,MONTH(AA36))</f>
        <v>0</v>
      </c>
      <c r="AT36" s="223">
        <f t="shared" ref="AT36:AT52" si="71">IF(AA36="",0,YEAR(AA36))</f>
        <v>0</v>
      </c>
    </row>
    <row r="37" spans="2:46" ht="15.75" x14ac:dyDescent="0.25">
      <c r="B37" s="229" t="s">
        <v>551</v>
      </c>
      <c r="C37" s="245" t="s">
        <v>263</v>
      </c>
      <c r="D37" s="246">
        <v>1604</v>
      </c>
      <c r="E37" s="232" t="s">
        <v>4</v>
      </c>
      <c r="F37" s="233">
        <v>2.69</v>
      </c>
      <c r="G37" s="234">
        <v>46079</v>
      </c>
      <c r="H37" s="235" t="s">
        <v>243</v>
      </c>
      <c r="I37" s="235"/>
      <c r="J37" s="236">
        <v>7.0000000000000007E-2</v>
      </c>
      <c r="K37" s="237">
        <f ca="1">ROUND(IF(ISERROR(OFFSET(Tabella!$A$1,MATCH(H37,Tabella!$A:$A,0)-1,MATCH(J37,Tabella!$A$1:$AC$1,0)-1)=TRUE),0,+OFFSET(Tabella!$A$1,MATCH(H37,Tabella!$A:$A,0)-1,MATCH(J37,Tabella!$A$1:$AC$1,0)-1)),4)</f>
        <v>1.4</v>
      </c>
      <c r="L37" s="238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238">
        <f ca="1">ROUND(IF(ISERROR(OFFSET(Rame!$A$1,MATCH(H37,Rame!$A:$A,0)-1,MATCH(J37,Rame!$A$1:$AA$1,0)-1)=TRUE),0,OFFSET(Rame!$A$1,MATCH(H37,Rame!$A:$A,0)-1,MATCH(J37,Rame!$A$1:$AA$1,0)-1))*IF(E37="Rame",1,0),4)</f>
        <v>0</v>
      </c>
      <c r="N37" s="238">
        <v>0</v>
      </c>
      <c r="O37" s="238">
        <f t="shared" ca="1" si="65"/>
        <v>1.4</v>
      </c>
      <c r="P37" s="238">
        <f ca="1">ROUND(+IF(ISERROR(OFFSET(Tabella!$G$1,MATCH(H37,Tabella!$G:$G,0)-1,MATCH(I37,Tabella!$G$1:$FG$1,0)-1)=TRUE),0,OFFSET(Tabella!$G$1,MATCH(H37,Tabella!$G:$G,0)-1,MATCH(I37,Tabella!$G$1:$AB$1,0)-1)),4)</f>
        <v>0</v>
      </c>
      <c r="Q37" s="238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238">
        <f ca="1">ROUND(IF(ISERROR(OFFSET(Rame!$F$1,MATCH(H37,Rame!$F:$F,0)-1,MATCH(I37,Rame!$F$1:$FF$1,0)-1)=TRUE),0,OFFSET(Rame!$F$1,MATCH(H37,Rame!$F:$F,0)-1,MATCH(I37,Rame!$F$1:$FF$1,0)-1))*IF(E37="Rame",1,0),4)</f>
        <v>0</v>
      </c>
      <c r="S37" s="238">
        <f ca="1">ROUND(IF(ISERROR(OFFSET(Bronzo!$A$1,MATCH(H37,Bronzo!$A:$A,0)-1,MATCH(I37,Bronzo!$A$1:$AA$1,0)-1)=TRUE),0,OFFSET(Bronzo!$A$1,MATCH(H37,Bronzo!$A:$A,0)-1,MATCH(I37,Bronzo!$A$1:$AA$1,0)-1)),4)</f>
        <v>0</v>
      </c>
      <c r="T37" s="238">
        <f t="shared" ca="1" si="46"/>
        <v>0</v>
      </c>
      <c r="U37" s="237"/>
      <c r="V37" s="238">
        <v>0</v>
      </c>
      <c r="W37" s="239">
        <f t="shared" ca="1" si="47"/>
        <v>1.4</v>
      </c>
      <c r="X37" s="423">
        <f t="shared" si="2"/>
        <v>112.28</v>
      </c>
      <c r="Y37" s="236">
        <v>4.3600000000000003</v>
      </c>
      <c r="Z37" s="236">
        <f t="shared" ca="1" si="48"/>
        <v>0.27</v>
      </c>
      <c r="AA37" s="241"/>
      <c r="AF37" s="225">
        <f t="shared" ca="1" si="64"/>
        <v>46236</v>
      </c>
      <c r="AG37" s="225" t="b">
        <f t="shared" si="66"/>
        <v>1</v>
      </c>
      <c r="AH37" s="242" t="str">
        <f t="shared" si="67"/>
        <v/>
      </c>
      <c r="AK37" s="223">
        <f t="shared" si="68"/>
        <v>0</v>
      </c>
      <c r="AL37" s="223">
        <f t="shared" si="69"/>
        <v>1900</v>
      </c>
      <c r="AS37" s="223">
        <f t="shared" si="70"/>
        <v>0</v>
      </c>
      <c r="AT37" s="223">
        <f t="shared" si="71"/>
        <v>0</v>
      </c>
    </row>
    <row r="38" spans="2:46" ht="15.75" x14ac:dyDescent="0.25">
      <c r="B38" s="229" t="s">
        <v>467</v>
      </c>
      <c r="C38" s="235" t="s">
        <v>396</v>
      </c>
      <c r="D38" s="243">
        <v>700</v>
      </c>
      <c r="E38" s="232" t="s">
        <v>4</v>
      </c>
      <c r="F38" s="233">
        <v>2.65</v>
      </c>
      <c r="G38" s="234">
        <v>46079</v>
      </c>
      <c r="H38" s="235" t="s">
        <v>9</v>
      </c>
      <c r="I38" s="235"/>
      <c r="J38" s="236">
        <v>7.0000000000000007E-2</v>
      </c>
      <c r="K38" s="237">
        <f ca="1">ROUND(IF(ISERROR(OFFSET(Tabella!$A$1,MATCH(H38,Tabella!$A:$A,0)-1,MATCH(J38,Tabella!$A$1:$AC$1,0)-1)=TRUE),0,+OFFSET(Tabella!$A$1,MATCH(H38,Tabella!$A:$A,0)-1,MATCH(J38,Tabella!$A$1:$AC$1,0)-1)),4)</f>
        <v>1.6</v>
      </c>
      <c r="L38" s="238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238">
        <f ca="1">ROUND(IF(ISERROR(OFFSET(Rame!$A$1,MATCH(H38,Rame!$A:$A,0)-1,MATCH(J38,Rame!$A$1:$AA$1,0)-1)=TRUE),0,OFFSET(Rame!$A$1,MATCH(H38,Rame!$A:$A,0)-1,MATCH(J38,Rame!$A$1:$AA$1,0)-1))*IF(E38="Rame",1,0),4)</f>
        <v>0</v>
      </c>
      <c r="N38" s="238">
        <v>0</v>
      </c>
      <c r="O38" s="238">
        <f t="shared" ca="1" si="65"/>
        <v>1.6</v>
      </c>
      <c r="P38" s="238">
        <f ca="1">ROUND(+IF(ISERROR(OFFSET(Tabella!$G$1,MATCH(H38,Tabella!$G:$G,0)-1,MATCH(I38,Tabella!$G$1:$FG$1,0)-1)=TRUE),0,OFFSET(Tabella!$G$1,MATCH(H38,Tabella!$G:$G,0)-1,MATCH(I38,Tabella!$G$1:$AB$1,0)-1)),4)</f>
        <v>0</v>
      </c>
      <c r="Q38" s="238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238">
        <f ca="1">ROUND(IF(ISERROR(OFFSET(Rame!$F$1,MATCH(H38,Rame!$F:$F,0)-1,MATCH(I38,Rame!$F$1:$FF$1,0)-1)=TRUE),0,OFFSET(Rame!$F$1,MATCH(H38,Rame!$F:$F,0)-1,MATCH(I38,Rame!$F$1:$FF$1,0)-1))*IF(E38="Rame",1,0),4)</f>
        <v>0</v>
      </c>
      <c r="S38" s="238">
        <f ca="1">ROUND(IF(ISERROR(OFFSET(Bronzo!$A$1,MATCH(H38,Bronzo!$A:$A,0)-1,MATCH(I38,Bronzo!$A$1:$AA$1,0)-1)=TRUE),0,OFFSET(Bronzo!$A$1,MATCH(H38,Bronzo!$A:$A,0)-1,MATCH(I38,Bronzo!$A$1:$AA$1,0)-1)),4)</f>
        <v>0</v>
      </c>
      <c r="T38" s="238">
        <f t="shared" ca="1" si="46"/>
        <v>0</v>
      </c>
      <c r="U38" s="237"/>
      <c r="V38" s="238">
        <v>0</v>
      </c>
      <c r="W38" s="239">
        <f t="shared" ca="1" si="47"/>
        <v>1.6</v>
      </c>
      <c r="X38" s="240">
        <f t="shared" si="2"/>
        <v>49</v>
      </c>
      <c r="Y38" s="236">
        <v>4.67</v>
      </c>
      <c r="Z38" s="236">
        <f t="shared" ca="1" si="48"/>
        <v>0.42</v>
      </c>
      <c r="AA38" s="241">
        <v>46192</v>
      </c>
      <c r="AF38" s="225">
        <f t="shared" ref="AF38:AF58" ca="1" si="72">TODAY()</f>
        <v>46236</v>
      </c>
      <c r="AG38" s="225" t="b">
        <f t="shared" si="66"/>
        <v>0</v>
      </c>
      <c r="AH38" s="242">
        <f t="shared" ca="1" si="67"/>
        <v>-44</v>
      </c>
      <c r="AK38" s="223">
        <f t="shared" si="68"/>
        <v>25</v>
      </c>
      <c r="AL38" s="223">
        <f t="shared" si="69"/>
        <v>2026</v>
      </c>
      <c r="AS38" s="223">
        <f t="shared" si="70"/>
        <v>6</v>
      </c>
      <c r="AT38" s="223">
        <f t="shared" si="71"/>
        <v>2026</v>
      </c>
    </row>
    <row r="39" spans="2:46" ht="15.75" x14ac:dyDescent="0.25">
      <c r="B39" s="229" t="s">
        <v>750</v>
      </c>
      <c r="C39" s="245" t="s">
        <v>92</v>
      </c>
      <c r="D39" s="246">
        <v>2223</v>
      </c>
      <c r="E39" s="232" t="s">
        <v>4</v>
      </c>
      <c r="F39" s="233">
        <v>2.68</v>
      </c>
      <c r="G39" s="234">
        <v>46080</v>
      </c>
      <c r="H39" s="235" t="s">
        <v>21</v>
      </c>
      <c r="I39" s="235"/>
      <c r="J39" s="236">
        <v>7.0000000000000007E-2</v>
      </c>
      <c r="K39" s="237">
        <f ca="1">ROUND(IF(ISERROR(OFFSET(Tabella!$A$1,MATCH(H39,Tabella!$A:$A,0)-1,MATCH(J39,Tabella!$A$1:$AC$1,0)-1)=TRUE),0,+OFFSET(Tabella!$A$1,MATCH(H39,Tabella!$A:$A,0)-1,MATCH(J39,Tabella!$A$1:$AC$1,0)-1)),4)</f>
        <v>1.25</v>
      </c>
      <c r="L39" s="238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238">
        <f ca="1">ROUND(IF(ISERROR(OFFSET(Rame!$A$1,MATCH(H39,Rame!$A:$A,0)-1,MATCH(J39,Rame!$A$1:$AA$1,0)-1)=TRUE),0,OFFSET(Rame!$A$1,MATCH(H39,Rame!$A:$A,0)-1,MATCH(J39,Rame!$A$1:$AA$1,0)-1))*IF(E39="Rame",1,0),4)</f>
        <v>0</v>
      </c>
      <c r="N39" s="238">
        <v>0</v>
      </c>
      <c r="O39" s="238">
        <f t="shared" ca="1" si="65"/>
        <v>1.25</v>
      </c>
      <c r="P39" s="238">
        <f ca="1">ROUND(+IF(ISERROR(OFFSET(Tabella!$G$1,MATCH(H39,Tabella!$G:$G,0)-1,MATCH(I39,Tabella!$G$1:$FG$1,0)-1)=TRUE),0,OFFSET(Tabella!$G$1,MATCH(H39,Tabella!$G:$G,0)-1,MATCH(I39,Tabella!$G$1:$AB$1,0)-1)),4)</f>
        <v>0</v>
      </c>
      <c r="Q39" s="238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238">
        <f ca="1">ROUND(IF(ISERROR(OFFSET(Rame!$F$1,MATCH(H39,Rame!$F:$F,0)-1,MATCH(I39,Rame!$F$1:$FF$1,0)-1)=TRUE),0,OFFSET(Rame!$F$1,MATCH(H39,Rame!$F:$F,0)-1,MATCH(I39,Rame!$F$1:$FF$1,0)-1))*IF(E39="Rame",1,0),4)</f>
        <v>0</v>
      </c>
      <c r="S39" s="238">
        <f ca="1">ROUND(IF(ISERROR(OFFSET(Bronzo!$A$1,MATCH(H39,Bronzo!$A:$A,0)-1,MATCH(I39,Bronzo!$A$1:$AA$1,0)-1)=TRUE),0,OFFSET(Bronzo!$A$1,MATCH(H39,Bronzo!$A:$A,0)-1,MATCH(I39,Bronzo!$A$1:$AA$1,0)-1)),4)</f>
        <v>0</v>
      </c>
      <c r="T39" s="238">
        <f t="shared" ca="1" si="46"/>
        <v>0</v>
      </c>
      <c r="U39" s="237"/>
      <c r="V39" s="238">
        <v>0</v>
      </c>
      <c r="W39" s="239">
        <f t="shared" ca="1" si="47"/>
        <v>1.25</v>
      </c>
      <c r="X39" s="423">
        <f t="shared" si="2"/>
        <v>155.61000000000001</v>
      </c>
      <c r="Y39" s="236">
        <v>4.18</v>
      </c>
      <c r="Z39" s="236">
        <f t="shared" ca="1" si="48"/>
        <v>0.25</v>
      </c>
      <c r="AA39" s="241"/>
      <c r="AF39" s="225">
        <f t="shared" ca="1" si="72"/>
        <v>46236</v>
      </c>
      <c r="AG39" s="225" t="b">
        <f t="shared" si="66"/>
        <v>1</v>
      </c>
      <c r="AH39" s="242" t="str">
        <f t="shared" si="67"/>
        <v/>
      </c>
      <c r="AK39" s="223">
        <f t="shared" si="68"/>
        <v>0</v>
      </c>
      <c r="AL39" s="223">
        <f t="shared" si="69"/>
        <v>1900</v>
      </c>
      <c r="AS39" s="223">
        <f t="shared" si="70"/>
        <v>0</v>
      </c>
      <c r="AT39" s="223">
        <f t="shared" si="71"/>
        <v>0</v>
      </c>
    </row>
    <row r="40" spans="2:46" ht="15.75" x14ac:dyDescent="0.25">
      <c r="B40" s="229" t="s">
        <v>749</v>
      </c>
      <c r="C40" s="245" t="s">
        <v>92</v>
      </c>
      <c r="D40" s="246">
        <v>10300</v>
      </c>
      <c r="E40" s="232" t="s">
        <v>4</v>
      </c>
      <c r="F40" s="233">
        <v>2.68</v>
      </c>
      <c r="G40" s="234">
        <v>46080</v>
      </c>
      <c r="H40" s="235" t="s">
        <v>24</v>
      </c>
      <c r="I40" s="235"/>
      <c r="J40" s="236">
        <v>7.0000000000000007E-2</v>
      </c>
      <c r="K40" s="237">
        <f ca="1">ROUND(IF(ISERROR(OFFSET(Tabella!$A$1,MATCH(H40,Tabella!$A:$A,0)-1,MATCH(J40,Tabella!$A$1:$AC$1,0)-1)=TRUE),0,+OFFSET(Tabella!$A$1,MATCH(H40,Tabella!$A:$A,0)-1,MATCH(J40,Tabella!$A$1:$AC$1,0)-1)),4)</f>
        <v>1.25</v>
      </c>
      <c r="L40" s="238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238">
        <f ca="1">ROUND(IF(ISERROR(OFFSET(Rame!$A$1,MATCH(H40,Rame!$A:$A,0)-1,MATCH(J40,Rame!$A$1:$AA$1,0)-1)=TRUE),0,OFFSET(Rame!$A$1,MATCH(H40,Rame!$A:$A,0)-1,MATCH(J40,Rame!$A$1:$AA$1,0)-1))*IF(E40="Rame",1,0),4)</f>
        <v>0</v>
      </c>
      <c r="N40" s="238">
        <v>0</v>
      </c>
      <c r="O40" s="238">
        <f t="shared" ca="1" si="65"/>
        <v>1.25</v>
      </c>
      <c r="P40" s="238">
        <f ca="1">ROUND(+IF(ISERROR(OFFSET(Tabella!$G$1,MATCH(H40,Tabella!$G:$G,0)-1,MATCH(I40,Tabella!$G$1:$FG$1,0)-1)=TRUE),0,OFFSET(Tabella!$G$1,MATCH(H40,Tabella!$G:$G,0)-1,MATCH(I40,Tabella!$G$1:$AB$1,0)-1)),4)</f>
        <v>0</v>
      </c>
      <c r="Q40" s="238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238">
        <f ca="1">ROUND(IF(ISERROR(OFFSET(Rame!$F$1,MATCH(H40,Rame!$F:$F,0)-1,MATCH(I40,Rame!$F$1:$FF$1,0)-1)=TRUE),0,OFFSET(Rame!$F$1,MATCH(H40,Rame!$F:$F,0)-1,MATCH(I40,Rame!$F$1:$FF$1,0)-1))*IF(E40="Rame",1,0),4)</f>
        <v>0</v>
      </c>
      <c r="S40" s="238">
        <f ca="1">ROUND(IF(ISERROR(OFFSET(Bronzo!$A$1,MATCH(H40,Bronzo!$A:$A,0)-1,MATCH(I40,Bronzo!$A$1:$AA$1,0)-1)=TRUE),0,OFFSET(Bronzo!$A$1,MATCH(H40,Bronzo!$A:$A,0)-1,MATCH(I40,Bronzo!$A$1:$AA$1,0)-1)),4)</f>
        <v>0</v>
      </c>
      <c r="T40" s="238">
        <f t="shared" ca="1" si="46"/>
        <v>0</v>
      </c>
      <c r="U40" s="237"/>
      <c r="V40" s="238">
        <v>0</v>
      </c>
      <c r="W40" s="239">
        <f t="shared" ca="1" si="47"/>
        <v>1.25</v>
      </c>
      <c r="X40" s="423">
        <f t="shared" si="2"/>
        <v>721</v>
      </c>
      <c r="Y40" s="236">
        <v>4.18</v>
      </c>
      <c r="Z40" s="236">
        <f t="shared" ca="1" si="48"/>
        <v>0.25</v>
      </c>
      <c r="AA40" s="241"/>
      <c r="AF40" s="225">
        <f t="shared" ca="1" si="72"/>
        <v>46236</v>
      </c>
      <c r="AG40" s="225" t="b">
        <f t="shared" si="66"/>
        <v>1</v>
      </c>
      <c r="AH40" s="242" t="str">
        <f t="shared" si="67"/>
        <v/>
      </c>
      <c r="AK40" s="223">
        <f t="shared" si="68"/>
        <v>0</v>
      </c>
      <c r="AL40" s="223">
        <f t="shared" si="69"/>
        <v>1900</v>
      </c>
      <c r="AS40" s="223">
        <f t="shared" si="70"/>
        <v>0</v>
      </c>
      <c r="AT40" s="223">
        <f t="shared" si="71"/>
        <v>0</v>
      </c>
    </row>
    <row r="41" spans="2:46" ht="15.75" x14ac:dyDescent="0.25">
      <c r="B41" s="229" t="s">
        <v>751</v>
      </c>
      <c r="C41" s="230" t="s">
        <v>92</v>
      </c>
      <c r="D41" s="231">
        <v>1700</v>
      </c>
      <c r="E41" s="232" t="s">
        <v>4</v>
      </c>
      <c r="F41" s="233">
        <v>2.68</v>
      </c>
      <c r="G41" s="234">
        <v>46080</v>
      </c>
      <c r="H41" s="235" t="s">
        <v>24</v>
      </c>
      <c r="I41" s="235"/>
      <c r="J41" s="236">
        <v>7.0000000000000007E-2</v>
      </c>
      <c r="K41" s="237">
        <f ca="1">ROUND(IF(ISERROR(OFFSET(Tabella!$A$1,MATCH(H41,Tabella!$A:$A,0)-1,MATCH(J41,Tabella!$A$1:$AC$1,0)-1)=TRUE),0,+OFFSET(Tabella!$A$1,MATCH(H41,Tabella!$A:$A,0)-1,MATCH(J41,Tabella!$A$1:$AC$1,0)-1)),4)</f>
        <v>1.25</v>
      </c>
      <c r="L41" s="238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238">
        <f ca="1">ROUND(IF(ISERROR(OFFSET(Rame!$A$1,MATCH(H41,Rame!$A:$A,0)-1,MATCH(J41,Rame!$A$1:$AA$1,0)-1)=TRUE),0,OFFSET(Rame!$A$1,MATCH(H41,Rame!$A:$A,0)-1,MATCH(J41,Rame!$A$1:$AA$1,0)-1))*IF(E41="Rame",1,0),4)</f>
        <v>0</v>
      </c>
      <c r="N41" s="238">
        <v>0</v>
      </c>
      <c r="O41" s="238">
        <f t="shared" ref="O41" ca="1" si="73">ROUND(SUM(K41:N41),4)</f>
        <v>1.25</v>
      </c>
      <c r="P41" s="238">
        <f ca="1">ROUND(+IF(ISERROR(OFFSET(Tabella!$G$1,MATCH(H41,Tabella!$G:$G,0)-1,MATCH(I41,Tabella!$G$1:$FG$1,0)-1)=TRUE),0,OFFSET(Tabella!$G$1,MATCH(H41,Tabella!$G:$G,0)-1,MATCH(I41,Tabella!$G$1:$AB$1,0)-1)),4)</f>
        <v>0</v>
      </c>
      <c r="Q41" s="238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238">
        <f ca="1">ROUND(IF(ISERROR(OFFSET(Rame!$F$1,MATCH(H41,Rame!$F:$F,0)-1,MATCH(I41,Rame!$F$1:$FF$1,0)-1)=TRUE),0,OFFSET(Rame!$F$1,MATCH(H41,Rame!$F:$F,0)-1,MATCH(I41,Rame!$F$1:$FF$1,0)-1))*IF(E41="Rame",1,0),4)</f>
        <v>0</v>
      </c>
      <c r="S41" s="238">
        <f ca="1">ROUND(IF(ISERROR(OFFSET(Bronzo!$A$1,MATCH(H41,Bronzo!$A:$A,0)-1,MATCH(I41,Bronzo!$A$1:$AA$1,0)-1)=TRUE),0,OFFSET(Bronzo!$A$1,MATCH(H41,Bronzo!$A:$A,0)-1,MATCH(I41,Bronzo!$A$1:$AA$1,0)-1)),4)</f>
        <v>0</v>
      </c>
      <c r="T41" s="238">
        <f t="shared" ref="T41" ca="1" si="74">ROUND(SUM(P41:S41),4)</f>
        <v>0</v>
      </c>
      <c r="U41" s="237"/>
      <c r="V41" s="238">
        <v>0</v>
      </c>
      <c r="W41" s="239">
        <f t="shared" ref="W41" ca="1" si="75">ROUND(+O41+T41+U41+V41,4)</f>
        <v>1.25</v>
      </c>
      <c r="X41" s="240">
        <f t="shared" ref="X41" si="76">ROUND(+J41*D41,4)</f>
        <v>119</v>
      </c>
      <c r="Y41" s="236">
        <v>4.18</v>
      </c>
      <c r="Z41" s="236">
        <f t="shared" ref="Z41" ca="1" si="77">ROUND(+Y41-W41-F41,4)</f>
        <v>0.25</v>
      </c>
      <c r="AA41" s="241"/>
      <c r="AE41" s="223" t="s">
        <v>469</v>
      </c>
      <c r="AF41" s="225">
        <f t="shared" ca="1" si="72"/>
        <v>46236</v>
      </c>
      <c r="AG41" s="225" t="b">
        <f t="shared" ref="AG41" si="78">ISBLANK(AA41)</f>
        <v>1</v>
      </c>
      <c r="AH41" s="242" t="str">
        <f t="shared" ref="AH41" si="79">IF(AG41=FALSE,_xlfn.DAYS(AA41,AF41),"")</f>
        <v/>
      </c>
      <c r="AK41" s="223">
        <f t="shared" ref="AK41" si="80">WEEKNUM(AA41)</f>
        <v>0</v>
      </c>
      <c r="AL41" s="223">
        <f t="shared" ref="AL41" si="81">YEAR(AA41)</f>
        <v>1900</v>
      </c>
      <c r="AS41" s="223">
        <f t="shared" ref="AS41" si="82">IF(AA41="",0,MONTH(AA41))</f>
        <v>0</v>
      </c>
      <c r="AT41" s="223">
        <f t="shared" ref="AT41" si="83">IF(AA41="",0,YEAR(AA41))</f>
        <v>0</v>
      </c>
    </row>
    <row r="42" spans="2:46" ht="15.75" x14ac:dyDescent="0.25">
      <c r="B42" s="229" t="s">
        <v>749</v>
      </c>
      <c r="C42" s="245" t="s">
        <v>92</v>
      </c>
      <c r="D42" s="246">
        <v>1387</v>
      </c>
      <c r="E42" s="232" t="s">
        <v>4</v>
      </c>
      <c r="F42" s="233">
        <v>2.68</v>
      </c>
      <c r="G42" s="234">
        <v>46080</v>
      </c>
      <c r="H42" s="235" t="s">
        <v>315</v>
      </c>
      <c r="I42" s="235"/>
      <c r="J42" s="236">
        <v>7.0000000000000007E-2</v>
      </c>
      <c r="K42" s="237">
        <f ca="1">ROUND(IF(ISERROR(OFFSET(Tabella!$A$1,MATCH(H42,Tabella!$A:$A,0)-1,MATCH(J42,Tabella!$A$1:$AC$1,0)-1)=TRUE),0,+OFFSET(Tabella!$A$1,MATCH(H42,Tabella!$A:$A,0)-1,MATCH(J42,Tabella!$A$1:$AC$1,0)-1)),4)</f>
        <v>1.25</v>
      </c>
      <c r="L42" s="238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238">
        <f ca="1">ROUND(IF(ISERROR(OFFSET(Rame!$A$1,MATCH(H42,Rame!$A:$A,0)-1,MATCH(J42,Rame!$A$1:$AA$1,0)-1)=TRUE),0,OFFSET(Rame!$A$1,MATCH(H42,Rame!$A:$A,0)-1,MATCH(J42,Rame!$A$1:$AA$1,0)-1))*IF(E42="Rame",1,0),4)</f>
        <v>0</v>
      </c>
      <c r="N42" s="238">
        <v>0</v>
      </c>
      <c r="O42" s="238">
        <f t="shared" ca="1" si="65"/>
        <v>1.25</v>
      </c>
      <c r="P42" s="238">
        <f ca="1">ROUND(+IF(ISERROR(OFFSET(Tabella!$G$1,MATCH(H42,Tabella!$G:$G,0)-1,MATCH(I42,Tabella!$G$1:$FG$1,0)-1)=TRUE),0,OFFSET(Tabella!$G$1,MATCH(H42,Tabella!$G:$G,0)-1,MATCH(I42,Tabella!$G$1:$AB$1,0)-1)),4)</f>
        <v>0</v>
      </c>
      <c r="Q42" s="238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238">
        <f ca="1">ROUND(IF(ISERROR(OFFSET(Rame!$F$1,MATCH(H42,Rame!$F:$F,0)-1,MATCH(I42,Rame!$F$1:$FF$1,0)-1)=TRUE),0,OFFSET(Rame!$F$1,MATCH(H42,Rame!$F:$F,0)-1,MATCH(I42,Rame!$F$1:$FF$1,0)-1))*IF(E42="Rame",1,0),4)</f>
        <v>0</v>
      </c>
      <c r="S42" s="238">
        <f ca="1">ROUND(IF(ISERROR(OFFSET(Bronzo!$A$1,MATCH(H42,Bronzo!$A:$A,0)-1,MATCH(I42,Bronzo!$A$1:$AA$1,0)-1)=TRUE),0,OFFSET(Bronzo!$A$1,MATCH(H42,Bronzo!$A:$A,0)-1,MATCH(I42,Bronzo!$A$1:$AA$1,0)-1)),4)</f>
        <v>0</v>
      </c>
      <c r="T42" s="238">
        <f t="shared" ca="1" si="46"/>
        <v>0</v>
      </c>
      <c r="U42" s="237"/>
      <c r="V42" s="238">
        <v>0</v>
      </c>
      <c r="W42" s="239">
        <f t="shared" ca="1" si="47"/>
        <v>1.25</v>
      </c>
      <c r="X42" s="423">
        <f t="shared" si="2"/>
        <v>97.09</v>
      </c>
      <c r="Y42" s="236">
        <v>4.18</v>
      </c>
      <c r="Z42" s="236">
        <f t="shared" ca="1" si="48"/>
        <v>0.25</v>
      </c>
      <c r="AA42" s="241"/>
      <c r="AF42" s="225">
        <f t="shared" ca="1" si="72"/>
        <v>46236</v>
      </c>
      <c r="AG42" s="225" t="b">
        <f t="shared" si="66"/>
        <v>1</v>
      </c>
      <c r="AH42" s="242" t="str">
        <f t="shared" si="67"/>
        <v/>
      </c>
      <c r="AK42" s="223">
        <f t="shared" si="68"/>
        <v>0</v>
      </c>
      <c r="AL42" s="223">
        <f t="shared" si="69"/>
        <v>1900</v>
      </c>
      <c r="AS42" s="223">
        <f t="shared" si="70"/>
        <v>0</v>
      </c>
      <c r="AT42" s="223">
        <f t="shared" si="71"/>
        <v>0</v>
      </c>
    </row>
    <row r="43" spans="2:46" ht="15.75" x14ac:dyDescent="0.25">
      <c r="B43" s="229" t="s">
        <v>552</v>
      </c>
      <c r="C43" s="245" t="s">
        <v>263</v>
      </c>
      <c r="D43" s="246">
        <v>2624</v>
      </c>
      <c r="E43" s="232" t="s">
        <v>4</v>
      </c>
      <c r="F43" s="233">
        <v>2.61</v>
      </c>
      <c r="G43" s="234">
        <v>46084</v>
      </c>
      <c r="H43" s="235" t="s">
        <v>15</v>
      </c>
      <c r="I43" s="235"/>
      <c r="J43" s="236">
        <v>7.0000000000000007E-2</v>
      </c>
      <c r="K43" s="237">
        <f ca="1">ROUND(IF(ISERROR(OFFSET(Tabella!$A$1,MATCH(H43,Tabella!$A:$A,0)-1,MATCH(J43,Tabella!$A$1:$AC$1,0)-1)=TRUE),0,+OFFSET(Tabella!$A$1,MATCH(H43,Tabella!$A:$A,0)-1,MATCH(J43,Tabella!$A$1:$AC$1,0)-1)),4)</f>
        <v>1.4</v>
      </c>
      <c r="L43" s="238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238">
        <f ca="1">ROUND(IF(ISERROR(OFFSET(Rame!$A$1,MATCH(H43,Rame!$A:$A,0)-1,MATCH(J43,Rame!$A$1:$AA$1,0)-1)=TRUE),0,OFFSET(Rame!$A$1,MATCH(H43,Rame!$A:$A,0)-1,MATCH(J43,Rame!$A$1:$AA$1,0)-1))*IF(E43="Rame",1,0),4)</f>
        <v>0</v>
      </c>
      <c r="N43" s="238">
        <v>0</v>
      </c>
      <c r="O43" s="238">
        <v>1.65</v>
      </c>
      <c r="P43" s="238">
        <f ca="1">ROUND(+IF(ISERROR(OFFSET(Tabella!$G$1,MATCH(H43,Tabella!$G:$G,0)-1,MATCH(I43,Tabella!$G$1:$FG$1,0)-1)=TRUE),0,OFFSET(Tabella!$G$1,MATCH(H43,Tabella!$G:$G,0)-1,MATCH(I43,Tabella!$G$1:$AB$1,0)-1)),4)</f>
        <v>0</v>
      </c>
      <c r="Q43" s="238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238">
        <f ca="1">ROUND(IF(ISERROR(OFFSET(Rame!$F$1,MATCH(H43,Rame!$F:$F,0)-1,MATCH(I43,Rame!$F$1:$FF$1,0)-1)=TRUE),0,OFFSET(Rame!$F$1,MATCH(H43,Rame!$F:$F,0)-1,MATCH(I43,Rame!$F$1:$FF$1,0)-1))*IF(E43="Rame",1,0),4)</f>
        <v>0</v>
      </c>
      <c r="S43" s="238">
        <f ca="1">ROUND(IF(ISERROR(OFFSET(Bronzo!$A$1,MATCH(H43,Bronzo!$A:$A,0)-1,MATCH(I43,Bronzo!$A$1:$AA$1,0)-1)=TRUE),0,OFFSET(Bronzo!$A$1,MATCH(H43,Bronzo!$A:$A,0)-1,MATCH(I43,Bronzo!$A$1:$AA$1,0)-1)),4)</f>
        <v>0</v>
      </c>
      <c r="T43" s="238">
        <f t="shared" ca="1" si="46"/>
        <v>0</v>
      </c>
      <c r="U43" s="237"/>
      <c r="V43" s="238">
        <v>0</v>
      </c>
      <c r="W43" s="239">
        <f t="shared" ca="1" si="47"/>
        <v>1.65</v>
      </c>
      <c r="X43" s="423">
        <f t="shared" si="2"/>
        <v>183.68</v>
      </c>
      <c r="Y43" s="236">
        <v>4.33</v>
      </c>
      <c r="Z43" s="236">
        <f t="shared" ca="1" si="48"/>
        <v>7.0000000000000007E-2</v>
      </c>
      <c r="AA43" s="241"/>
      <c r="AF43" s="225">
        <f t="shared" ca="1" si="72"/>
        <v>46236</v>
      </c>
      <c r="AG43" s="225" t="b">
        <f t="shared" si="66"/>
        <v>1</v>
      </c>
      <c r="AH43" s="242" t="str">
        <f t="shared" si="67"/>
        <v/>
      </c>
      <c r="AK43" s="223">
        <f t="shared" si="68"/>
        <v>0</v>
      </c>
      <c r="AL43" s="223">
        <f t="shared" si="69"/>
        <v>1900</v>
      </c>
      <c r="AS43" s="223">
        <f t="shared" si="70"/>
        <v>0</v>
      </c>
      <c r="AT43" s="223">
        <f t="shared" si="71"/>
        <v>0</v>
      </c>
    </row>
    <row r="44" spans="2:46" ht="15.75" x14ac:dyDescent="0.25">
      <c r="B44" s="229" t="s">
        <v>552</v>
      </c>
      <c r="C44" s="245" t="s">
        <v>263</v>
      </c>
      <c r="D44" s="246">
        <v>891</v>
      </c>
      <c r="E44" s="232" t="s">
        <v>4</v>
      </c>
      <c r="F44" s="233">
        <v>2.61</v>
      </c>
      <c r="G44" s="234">
        <v>46084</v>
      </c>
      <c r="H44" s="235" t="s">
        <v>9</v>
      </c>
      <c r="I44" s="235"/>
      <c r="J44" s="236">
        <v>7.0000000000000007E-2</v>
      </c>
      <c r="K44" s="237">
        <f ca="1">ROUND(IF(ISERROR(OFFSET(Tabella!$A$1,MATCH(H44,Tabella!$A:$A,0)-1,MATCH(J44,Tabella!$A$1:$AC$1,0)-1)=TRUE),0,+OFFSET(Tabella!$A$1,MATCH(H44,Tabella!$A:$A,0)-1,MATCH(J44,Tabella!$A$1:$AC$1,0)-1)),4)</f>
        <v>1.6</v>
      </c>
      <c r="L44" s="238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238">
        <f ca="1">ROUND(IF(ISERROR(OFFSET(Rame!$A$1,MATCH(H44,Rame!$A:$A,0)-1,MATCH(J44,Rame!$A$1:$AA$1,0)-1)=TRUE),0,OFFSET(Rame!$A$1,MATCH(H44,Rame!$A:$A,0)-1,MATCH(J44,Rame!$A$1:$AA$1,0)-1))*IF(E44="Rame",1,0),4)</f>
        <v>0</v>
      </c>
      <c r="N44" s="238">
        <v>0</v>
      </c>
      <c r="O44" s="238">
        <v>1.8</v>
      </c>
      <c r="P44" s="238">
        <f ca="1">ROUND(+IF(ISERROR(OFFSET(Tabella!$G$1,MATCH(H44,Tabella!$G:$G,0)-1,MATCH(I44,Tabella!$G$1:$FG$1,0)-1)=TRUE),0,OFFSET(Tabella!$G$1,MATCH(H44,Tabella!$G:$G,0)-1,MATCH(I44,Tabella!$G$1:$AB$1,0)-1)),4)</f>
        <v>0</v>
      </c>
      <c r="Q44" s="238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238">
        <f ca="1">ROUND(IF(ISERROR(OFFSET(Rame!$F$1,MATCH(H44,Rame!$F:$F,0)-1,MATCH(I44,Rame!$F$1:$FF$1,0)-1)=TRUE),0,OFFSET(Rame!$F$1,MATCH(H44,Rame!$F:$F,0)-1,MATCH(I44,Rame!$F$1:$FF$1,0)-1))*IF(E44="Rame",1,0),4)</f>
        <v>0</v>
      </c>
      <c r="S44" s="238">
        <f ca="1">ROUND(IF(ISERROR(OFFSET(Bronzo!$A$1,MATCH(H44,Bronzo!$A:$A,0)-1,MATCH(I44,Bronzo!$A$1:$AA$1,0)-1)=TRUE),0,OFFSET(Bronzo!$A$1,MATCH(H44,Bronzo!$A:$A,0)-1,MATCH(I44,Bronzo!$A$1:$AA$1,0)-1)),4)</f>
        <v>0</v>
      </c>
      <c r="T44" s="238">
        <f t="shared" ca="1" si="46"/>
        <v>0</v>
      </c>
      <c r="U44" s="237"/>
      <c r="V44" s="238">
        <v>0</v>
      </c>
      <c r="W44" s="239">
        <f t="shared" ca="1" si="47"/>
        <v>1.8</v>
      </c>
      <c r="X44" s="423">
        <f t="shared" si="2"/>
        <v>62.37</v>
      </c>
      <c r="Y44" s="236">
        <v>4.4800000000000004</v>
      </c>
      <c r="Z44" s="236">
        <f t="shared" ca="1" si="48"/>
        <v>7.0000000000000007E-2</v>
      </c>
      <c r="AA44" s="241"/>
      <c r="AF44" s="225">
        <f t="shared" ca="1" si="72"/>
        <v>46236</v>
      </c>
      <c r="AG44" s="225" t="b">
        <f t="shared" si="66"/>
        <v>1</v>
      </c>
      <c r="AH44" s="242" t="str">
        <f t="shared" si="67"/>
        <v/>
      </c>
      <c r="AK44" s="223">
        <f t="shared" si="68"/>
        <v>0</v>
      </c>
      <c r="AL44" s="223">
        <f t="shared" si="69"/>
        <v>1900</v>
      </c>
      <c r="AS44" s="223">
        <f t="shared" si="70"/>
        <v>0</v>
      </c>
      <c r="AT44" s="223">
        <f t="shared" si="71"/>
        <v>0</v>
      </c>
    </row>
    <row r="45" spans="2:46" ht="15.75" x14ac:dyDescent="0.25">
      <c r="B45" s="229" t="s">
        <v>552</v>
      </c>
      <c r="C45" s="245" t="s">
        <v>263</v>
      </c>
      <c r="D45" s="246">
        <v>1636</v>
      </c>
      <c r="E45" s="232" t="s">
        <v>4</v>
      </c>
      <c r="F45" s="233">
        <v>2.61</v>
      </c>
      <c r="G45" s="234">
        <v>46084</v>
      </c>
      <c r="H45" s="235" t="s">
        <v>309</v>
      </c>
      <c r="I45" s="235"/>
      <c r="J45" s="236">
        <v>7.0000000000000007E-2</v>
      </c>
      <c r="K45" s="237">
        <f ca="1">ROUND(IF(ISERROR(OFFSET(Tabella!$A$1,MATCH(H45,Tabella!$A:$A,0)-1,MATCH(J45,Tabella!$A$1:$AC$1,0)-1)=TRUE),0,+OFFSET(Tabella!$A$1,MATCH(H45,Tabella!$A:$A,0)-1,MATCH(J45,Tabella!$A$1:$AC$1,0)-1)),4)</f>
        <v>1.25</v>
      </c>
      <c r="L45" s="238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238">
        <f ca="1">ROUND(IF(ISERROR(OFFSET(Rame!$A$1,MATCH(H45,Rame!$A:$A,0)-1,MATCH(J45,Rame!$A$1:$AA$1,0)-1)=TRUE),0,OFFSET(Rame!$A$1,MATCH(H45,Rame!$A:$A,0)-1,MATCH(J45,Rame!$A$1:$AA$1,0)-1))*IF(E45="Rame",1,0),4)</f>
        <v>0</v>
      </c>
      <c r="N45" s="238">
        <v>0</v>
      </c>
      <c r="O45" s="238">
        <v>1.5</v>
      </c>
      <c r="P45" s="238">
        <f ca="1">ROUND(+IF(ISERROR(OFFSET(Tabella!$G$1,MATCH(H45,Tabella!$G:$G,0)-1,MATCH(I45,Tabella!$G$1:$FG$1,0)-1)=TRUE),0,OFFSET(Tabella!$G$1,MATCH(H45,Tabella!$G:$G,0)-1,MATCH(I45,Tabella!$G$1:$AB$1,0)-1)),4)</f>
        <v>0</v>
      </c>
      <c r="Q45" s="238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238">
        <f ca="1">ROUND(IF(ISERROR(OFFSET(Rame!$F$1,MATCH(H45,Rame!$F:$F,0)-1,MATCH(I45,Rame!$F$1:$FF$1,0)-1)=TRUE),0,OFFSET(Rame!$F$1,MATCH(H45,Rame!$F:$F,0)-1,MATCH(I45,Rame!$F$1:$FF$1,0)-1))*IF(E45="Rame",1,0),4)</f>
        <v>0</v>
      </c>
      <c r="S45" s="238">
        <f ca="1">ROUND(IF(ISERROR(OFFSET(Bronzo!$A$1,MATCH(H45,Bronzo!$A:$A,0)-1,MATCH(I45,Bronzo!$A$1:$AA$1,0)-1)=TRUE),0,OFFSET(Bronzo!$A$1,MATCH(H45,Bronzo!$A:$A,0)-1,MATCH(I45,Bronzo!$A$1:$AA$1,0)-1)),4)</f>
        <v>0</v>
      </c>
      <c r="T45" s="238">
        <f t="shared" ca="1" si="46"/>
        <v>0</v>
      </c>
      <c r="U45" s="237"/>
      <c r="V45" s="238">
        <v>0</v>
      </c>
      <c r="W45" s="239">
        <f t="shared" ca="1" si="47"/>
        <v>1.5</v>
      </c>
      <c r="X45" s="423">
        <f t="shared" si="2"/>
        <v>114.52</v>
      </c>
      <c r="Y45" s="236">
        <v>4.18</v>
      </c>
      <c r="Z45" s="236">
        <f t="shared" ca="1" si="48"/>
        <v>7.0000000000000007E-2</v>
      </c>
      <c r="AA45" s="241"/>
      <c r="AF45" s="225">
        <f t="shared" ca="1" si="72"/>
        <v>46236</v>
      </c>
      <c r="AG45" s="225" t="b">
        <f t="shared" si="66"/>
        <v>1</v>
      </c>
      <c r="AH45" s="242" t="str">
        <f t="shared" si="67"/>
        <v/>
      </c>
      <c r="AK45" s="223">
        <f t="shared" si="68"/>
        <v>0</v>
      </c>
      <c r="AL45" s="223">
        <f t="shared" si="69"/>
        <v>1900</v>
      </c>
      <c r="AS45" s="223">
        <f t="shared" si="70"/>
        <v>0</v>
      </c>
      <c r="AT45" s="223">
        <f t="shared" si="71"/>
        <v>0</v>
      </c>
    </row>
    <row r="46" spans="2:46" ht="15.75" x14ac:dyDescent="0.25">
      <c r="B46" s="229" t="s">
        <v>552</v>
      </c>
      <c r="C46" s="245" t="s">
        <v>263</v>
      </c>
      <c r="D46" s="246">
        <v>1598</v>
      </c>
      <c r="E46" s="232" t="s">
        <v>4</v>
      </c>
      <c r="F46" s="233">
        <v>2.61</v>
      </c>
      <c r="G46" s="234">
        <v>46084</v>
      </c>
      <c r="H46" s="235" t="s">
        <v>322</v>
      </c>
      <c r="I46" s="235"/>
      <c r="J46" s="236">
        <v>7.0000000000000007E-2</v>
      </c>
      <c r="K46" s="237">
        <f ca="1">ROUND(IF(ISERROR(OFFSET(Tabella!$A$1,MATCH(H46,Tabella!$A:$A,0)-1,MATCH(J46,Tabella!$A$1:$AC$1,0)-1)=TRUE),0,+OFFSET(Tabella!$A$1,MATCH(H46,Tabella!$A:$A,0)-1,MATCH(J46,Tabella!$A$1:$AC$1,0)-1)),4)</f>
        <v>1.25</v>
      </c>
      <c r="L46" s="238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238">
        <f ca="1">ROUND(IF(ISERROR(OFFSET(Rame!$A$1,MATCH(H46,Rame!$A:$A,0)-1,MATCH(J46,Rame!$A$1:$AA$1,0)-1)=TRUE),0,OFFSET(Rame!$A$1,MATCH(H46,Rame!$A:$A,0)-1,MATCH(J46,Rame!$A$1:$AA$1,0)-1))*IF(E46="Rame",1,0),4)</f>
        <v>0</v>
      </c>
      <c r="N46" s="238">
        <v>0</v>
      </c>
      <c r="O46" s="238">
        <v>1.5</v>
      </c>
      <c r="P46" s="238">
        <f ca="1">ROUND(+IF(ISERROR(OFFSET(Tabella!$G$1,MATCH(H46,Tabella!$G:$G,0)-1,MATCH(I46,Tabella!$G$1:$FG$1,0)-1)=TRUE),0,OFFSET(Tabella!$G$1,MATCH(H46,Tabella!$G:$G,0)-1,MATCH(I46,Tabella!$G$1:$AB$1,0)-1)),4)</f>
        <v>0</v>
      </c>
      <c r="Q46" s="238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238">
        <f ca="1">ROUND(IF(ISERROR(OFFSET(Rame!$F$1,MATCH(H46,Rame!$F:$F,0)-1,MATCH(I46,Rame!$F$1:$FF$1,0)-1)=TRUE),0,OFFSET(Rame!$F$1,MATCH(H46,Rame!$F:$F,0)-1,MATCH(I46,Rame!$F$1:$FF$1,0)-1))*IF(E46="Rame",1,0),4)</f>
        <v>0</v>
      </c>
      <c r="S46" s="238">
        <f ca="1">ROUND(IF(ISERROR(OFFSET(Bronzo!$A$1,MATCH(H46,Bronzo!$A:$A,0)-1,MATCH(I46,Bronzo!$A$1:$AA$1,0)-1)=TRUE),0,OFFSET(Bronzo!$A$1,MATCH(H46,Bronzo!$A:$A,0)-1,MATCH(I46,Bronzo!$A$1:$AA$1,0)-1)),4)</f>
        <v>0</v>
      </c>
      <c r="T46" s="238">
        <f t="shared" ca="1" si="46"/>
        <v>0</v>
      </c>
      <c r="U46" s="237"/>
      <c r="V46" s="238">
        <v>0</v>
      </c>
      <c r="W46" s="239">
        <f t="shared" ca="1" si="47"/>
        <v>1.5</v>
      </c>
      <c r="X46" s="423">
        <f t="shared" si="2"/>
        <v>111.86</v>
      </c>
      <c r="Y46" s="236">
        <v>4.18</v>
      </c>
      <c r="Z46" s="236">
        <f t="shared" ca="1" si="48"/>
        <v>7.0000000000000007E-2</v>
      </c>
      <c r="AA46" s="241"/>
      <c r="AF46" s="225">
        <f t="shared" ca="1" si="72"/>
        <v>46236</v>
      </c>
      <c r="AG46" s="225" t="b">
        <f t="shared" si="66"/>
        <v>1</v>
      </c>
      <c r="AH46" s="242" t="str">
        <f t="shared" si="67"/>
        <v/>
      </c>
      <c r="AK46" s="223">
        <f t="shared" si="68"/>
        <v>0</v>
      </c>
      <c r="AL46" s="223">
        <f t="shared" si="69"/>
        <v>1900</v>
      </c>
      <c r="AS46" s="223">
        <f t="shared" si="70"/>
        <v>0</v>
      </c>
      <c r="AT46" s="223">
        <f t="shared" si="71"/>
        <v>0</v>
      </c>
    </row>
    <row r="47" spans="2:46" ht="15.75" x14ac:dyDescent="0.25">
      <c r="B47" s="229" t="s">
        <v>552</v>
      </c>
      <c r="C47" s="245" t="s">
        <v>263</v>
      </c>
      <c r="D47" s="246">
        <v>786</v>
      </c>
      <c r="E47" s="232" t="s">
        <v>4</v>
      </c>
      <c r="F47" s="233">
        <v>2.61</v>
      </c>
      <c r="G47" s="234">
        <v>46084</v>
      </c>
      <c r="H47" s="235" t="s">
        <v>314</v>
      </c>
      <c r="I47" s="235"/>
      <c r="J47" s="236">
        <v>7.0000000000000007E-2</v>
      </c>
      <c r="K47" s="237">
        <f ca="1">ROUND(IF(ISERROR(OFFSET(Tabella!$A$1,MATCH(H47,Tabella!$A:$A,0)-1,MATCH(J47,Tabella!$A$1:$AC$1,0)-1)=TRUE),0,+OFFSET(Tabella!$A$1,MATCH(H47,Tabella!$A:$A,0)-1,MATCH(J47,Tabella!$A$1:$AC$1,0)-1)),4)</f>
        <v>1.25</v>
      </c>
      <c r="L47" s="238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238">
        <f ca="1">ROUND(IF(ISERROR(OFFSET(Rame!$A$1,MATCH(H47,Rame!$A:$A,0)-1,MATCH(J47,Rame!$A$1:$AA$1,0)-1)=TRUE),0,OFFSET(Rame!$A$1,MATCH(H47,Rame!$A:$A,0)-1,MATCH(J47,Rame!$A$1:$AA$1,0)-1))*IF(E47="Rame",1,0),4)</f>
        <v>0</v>
      </c>
      <c r="N47" s="238">
        <v>0</v>
      </c>
      <c r="O47" s="238">
        <v>1.5</v>
      </c>
      <c r="P47" s="238">
        <f ca="1">ROUND(+IF(ISERROR(OFFSET(Tabella!$G$1,MATCH(H47,Tabella!$G:$G,0)-1,MATCH(I47,Tabella!$G$1:$FG$1,0)-1)=TRUE),0,OFFSET(Tabella!$G$1,MATCH(H47,Tabella!$G:$G,0)-1,MATCH(I47,Tabella!$G$1:$AB$1,0)-1)),4)</f>
        <v>0</v>
      </c>
      <c r="Q47" s="238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238">
        <f ca="1">ROUND(IF(ISERROR(OFFSET(Rame!$F$1,MATCH(H47,Rame!$F:$F,0)-1,MATCH(I47,Rame!$F$1:$FF$1,0)-1)=TRUE),0,OFFSET(Rame!$F$1,MATCH(H47,Rame!$F:$F,0)-1,MATCH(I47,Rame!$F$1:$FF$1,0)-1))*IF(E47="Rame",1,0),4)</f>
        <v>0</v>
      </c>
      <c r="S47" s="238">
        <f ca="1">ROUND(IF(ISERROR(OFFSET(Bronzo!$A$1,MATCH(H47,Bronzo!$A:$A,0)-1,MATCH(I47,Bronzo!$A$1:$AA$1,0)-1)=TRUE),0,OFFSET(Bronzo!$A$1,MATCH(H47,Bronzo!$A:$A,0)-1,MATCH(I47,Bronzo!$A$1:$AA$1,0)-1)),4)</f>
        <v>0</v>
      </c>
      <c r="T47" s="238">
        <f t="shared" ca="1" si="46"/>
        <v>0</v>
      </c>
      <c r="U47" s="237"/>
      <c r="V47" s="238">
        <v>0</v>
      </c>
      <c r="W47" s="239">
        <f t="shared" ca="1" si="47"/>
        <v>1.5</v>
      </c>
      <c r="X47" s="423">
        <f t="shared" si="2"/>
        <v>55.02</v>
      </c>
      <c r="Y47" s="236">
        <v>4.18</v>
      </c>
      <c r="Z47" s="236">
        <f t="shared" ca="1" si="48"/>
        <v>7.0000000000000007E-2</v>
      </c>
      <c r="AA47" s="241"/>
      <c r="AF47" s="225">
        <f t="shared" ca="1" si="72"/>
        <v>46236</v>
      </c>
      <c r="AG47" s="225" t="b">
        <f t="shared" si="66"/>
        <v>1</v>
      </c>
      <c r="AH47" s="242" t="str">
        <f t="shared" si="67"/>
        <v/>
      </c>
      <c r="AK47" s="223">
        <f t="shared" si="68"/>
        <v>0</v>
      </c>
      <c r="AL47" s="223">
        <f t="shared" si="69"/>
        <v>1900</v>
      </c>
      <c r="AS47" s="223">
        <f t="shared" si="70"/>
        <v>0</v>
      </c>
      <c r="AT47" s="223">
        <f t="shared" si="71"/>
        <v>0</v>
      </c>
    </row>
    <row r="48" spans="2:46" ht="15.75" x14ac:dyDescent="0.25">
      <c r="B48" s="229" t="s">
        <v>553</v>
      </c>
      <c r="C48" s="245" t="s">
        <v>263</v>
      </c>
      <c r="D48" s="246">
        <v>481</v>
      </c>
      <c r="E48" s="232" t="s">
        <v>4</v>
      </c>
      <c r="F48" s="233">
        <v>2.61</v>
      </c>
      <c r="G48" s="234">
        <v>46084</v>
      </c>
      <c r="H48" s="235" t="s">
        <v>15</v>
      </c>
      <c r="I48" s="235"/>
      <c r="J48" s="236">
        <v>7.0000000000000007E-2</v>
      </c>
      <c r="K48" s="237">
        <f ca="1">ROUND(IF(ISERROR(OFFSET(Tabella!$A$1,MATCH(H48,Tabella!$A:$A,0)-1,MATCH(J48,Tabella!$A$1:$AC$1,0)-1)=TRUE),0,+OFFSET(Tabella!$A$1,MATCH(H48,Tabella!$A:$A,0)-1,MATCH(J48,Tabella!$A$1:$AC$1,0)-1)),4)</f>
        <v>1.4</v>
      </c>
      <c r="L48" s="238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238">
        <f ca="1">ROUND(IF(ISERROR(OFFSET(Rame!$A$1,MATCH(H48,Rame!$A:$A,0)-1,MATCH(J48,Rame!$A$1:$AA$1,0)-1)=TRUE),0,OFFSET(Rame!$A$1,MATCH(H48,Rame!$A:$A,0)-1,MATCH(J48,Rame!$A$1:$AA$1,0)-1))*IF(E48="Rame",1,0),4)</f>
        <v>0</v>
      </c>
      <c r="N48" s="238">
        <v>0</v>
      </c>
      <c r="O48" s="238">
        <v>1.65</v>
      </c>
      <c r="P48" s="238">
        <f ca="1">ROUND(+IF(ISERROR(OFFSET(Tabella!$G$1,MATCH(H48,Tabella!$G:$G,0)-1,MATCH(I48,Tabella!$G$1:$FG$1,0)-1)=TRUE),0,OFFSET(Tabella!$G$1,MATCH(H48,Tabella!$G:$G,0)-1,MATCH(I48,Tabella!$G$1:$AB$1,0)-1)),4)</f>
        <v>0</v>
      </c>
      <c r="Q48" s="238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238">
        <f ca="1">ROUND(IF(ISERROR(OFFSET(Rame!$F$1,MATCH(H48,Rame!$F:$F,0)-1,MATCH(I48,Rame!$F$1:$FF$1,0)-1)=TRUE),0,OFFSET(Rame!$F$1,MATCH(H48,Rame!$F:$F,0)-1,MATCH(I48,Rame!$F$1:$FF$1,0)-1))*IF(E48="Rame",1,0),4)</f>
        <v>0</v>
      </c>
      <c r="S48" s="238">
        <f ca="1">ROUND(IF(ISERROR(OFFSET(Bronzo!$A$1,MATCH(H48,Bronzo!$A:$A,0)-1,MATCH(I48,Bronzo!$A$1:$AA$1,0)-1)=TRUE),0,OFFSET(Bronzo!$A$1,MATCH(H48,Bronzo!$A:$A,0)-1,MATCH(I48,Bronzo!$A$1:$AA$1,0)-1)),4)</f>
        <v>0</v>
      </c>
      <c r="T48" s="238">
        <f t="shared" ca="1" si="46"/>
        <v>0</v>
      </c>
      <c r="U48" s="237"/>
      <c r="V48" s="238">
        <v>0</v>
      </c>
      <c r="W48" s="239">
        <f t="shared" ca="1" si="47"/>
        <v>1.65</v>
      </c>
      <c r="X48" s="423">
        <f t="shared" si="2"/>
        <v>33.67</v>
      </c>
      <c r="Y48" s="236">
        <v>4.33</v>
      </c>
      <c r="Z48" s="236">
        <f t="shared" ca="1" si="48"/>
        <v>7.0000000000000007E-2</v>
      </c>
      <c r="AA48" s="241"/>
      <c r="AF48" s="225">
        <f t="shared" ca="1" si="72"/>
        <v>46236</v>
      </c>
      <c r="AG48" s="225" t="b">
        <f t="shared" si="66"/>
        <v>1</v>
      </c>
      <c r="AH48" s="242" t="str">
        <f t="shared" si="67"/>
        <v/>
      </c>
      <c r="AK48" s="223">
        <f t="shared" si="68"/>
        <v>0</v>
      </c>
      <c r="AL48" s="223">
        <f t="shared" si="69"/>
        <v>1900</v>
      </c>
      <c r="AS48" s="223">
        <f t="shared" si="70"/>
        <v>0</v>
      </c>
      <c r="AT48" s="223">
        <f t="shared" si="71"/>
        <v>0</v>
      </c>
    </row>
    <row r="49" spans="2:46" ht="15.75" x14ac:dyDescent="0.25">
      <c r="B49" s="229" t="s">
        <v>554</v>
      </c>
      <c r="C49" s="245" t="s">
        <v>438</v>
      </c>
      <c r="D49" s="246">
        <v>554</v>
      </c>
      <c r="E49" s="232" t="s">
        <v>4</v>
      </c>
      <c r="F49" s="233">
        <v>2.68</v>
      </c>
      <c r="G49" s="234">
        <v>46083</v>
      </c>
      <c r="H49" s="235" t="s">
        <v>21</v>
      </c>
      <c r="I49" s="235"/>
      <c r="J49" s="236">
        <v>0.1</v>
      </c>
      <c r="K49" s="237">
        <f ca="1">ROUND(IF(ISERROR(OFFSET(Tabella!$A$1,MATCH(H49,Tabella!$A:$A,0)-1,MATCH(J49,Tabella!$A$1:$AC$1,0)-1)=TRUE),0,+OFFSET(Tabella!$A$1,MATCH(H49,Tabella!$A:$A,0)-1,MATCH(J49,Tabella!$A$1:$AC$1,0)-1)),4)</f>
        <v>1.4</v>
      </c>
      <c r="L49" s="238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238">
        <f ca="1">ROUND(IF(ISERROR(OFFSET(Rame!$A$1,MATCH(H49,Rame!$A:$A,0)-1,MATCH(J49,Rame!$A$1:$AA$1,0)-1)=TRUE),0,OFFSET(Rame!$A$1,MATCH(H49,Rame!$A:$A,0)-1,MATCH(J49,Rame!$A$1:$AA$1,0)-1))*IF(E49="Rame",1,0),4)</f>
        <v>0</v>
      </c>
      <c r="N49" s="238">
        <v>0</v>
      </c>
      <c r="O49" s="238">
        <v>1.5</v>
      </c>
      <c r="P49" s="238">
        <f ca="1">ROUND(+IF(ISERROR(OFFSET(Tabella!$G$1,MATCH(H49,Tabella!$G:$G,0)-1,MATCH(I49,Tabella!$G$1:$FG$1,0)-1)=TRUE),0,OFFSET(Tabella!$G$1,MATCH(H49,Tabella!$G:$G,0)-1,MATCH(I49,Tabella!$G$1:$AB$1,0)-1)),4)</f>
        <v>0</v>
      </c>
      <c r="Q49" s="238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238">
        <f ca="1">ROUND(IF(ISERROR(OFFSET(Rame!$F$1,MATCH(H49,Rame!$F:$F,0)-1,MATCH(I49,Rame!$F$1:$FF$1,0)-1)=TRUE),0,OFFSET(Rame!$F$1,MATCH(H49,Rame!$F:$F,0)-1,MATCH(I49,Rame!$F$1:$FF$1,0)-1))*IF(E49="Rame",1,0),4)</f>
        <v>0</v>
      </c>
      <c r="S49" s="238">
        <f ca="1">ROUND(IF(ISERROR(OFFSET(Bronzo!$A$1,MATCH(H49,Bronzo!$A:$A,0)-1,MATCH(I49,Bronzo!$A$1:$AA$1,0)-1)=TRUE),0,OFFSET(Bronzo!$A$1,MATCH(H49,Bronzo!$A:$A,0)-1,MATCH(I49,Bronzo!$A$1:$AA$1,0)-1)),4)</f>
        <v>0</v>
      </c>
      <c r="T49" s="238">
        <f t="shared" ca="1" si="46"/>
        <v>0</v>
      </c>
      <c r="U49" s="237"/>
      <c r="V49" s="238">
        <v>0</v>
      </c>
      <c r="W49" s="239">
        <f t="shared" ca="1" si="47"/>
        <v>1.5</v>
      </c>
      <c r="X49" s="423">
        <f t="shared" si="2"/>
        <v>55.4</v>
      </c>
      <c r="Y49" s="236">
        <v>4.5</v>
      </c>
      <c r="Z49" s="236">
        <f t="shared" ca="1" si="48"/>
        <v>0.32</v>
      </c>
      <c r="AA49" s="241"/>
      <c r="AE49" s="223" t="s">
        <v>417</v>
      </c>
      <c r="AF49" s="225">
        <f t="shared" ca="1" si="72"/>
        <v>46236</v>
      </c>
      <c r="AG49" s="225" t="b">
        <f t="shared" si="66"/>
        <v>1</v>
      </c>
      <c r="AH49" s="242" t="str">
        <f t="shared" si="67"/>
        <v/>
      </c>
      <c r="AK49" s="223">
        <f t="shared" si="68"/>
        <v>0</v>
      </c>
      <c r="AL49" s="223">
        <f t="shared" si="69"/>
        <v>1900</v>
      </c>
      <c r="AS49" s="223">
        <f t="shared" si="70"/>
        <v>0</v>
      </c>
      <c r="AT49" s="223">
        <f t="shared" si="71"/>
        <v>0</v>
      </c>
    </row>
    <row r="50" spans="2:46" ht="15.75" x14ac:dyDescent="0.25">
      <c r="B50" s="229" t="s">
        <v>453</v>
      </c>
      <c r="C50" s="235" t="s">
        <v>438</v>
      </c>
      <c r="D50" s="243">
        <v>1100</v>
      </c>
      <c r="E50" s="232" t="s">
        <v>4</v>
      </c>
      <c r="F50" s="233">
        <v>2.68</v>
      </c>
      <c r="G50" s="234">
        <v>46083</v>
      </c>
      <c r="H50" s="235" t="s">
        <v>21</v>
      </c>
      <c r="I50" s="235"/>
      <c r="J50" s="236">
        <v>0.1</v>
      </c>
      <c r="K50" s="237">
        <f ca="1">ROUND(IF(ISERROR(OFFSET(Tabella!$A$1,MATCH(H50,Tabella!$A:$A,0)-1,MATCH(J50,Tabella!$A$1:$AC$1,0)-1)=TRUE),0,+OFFSET(Tabella!$A$1,MATCH(H50,Tabella!$A:$A,0)-1,MATCH(J50,Tabella!$A$1:$AC$1,0)-1)),4)</f>
        <v>1.4</v>
      </c>
      <c r="L50" s="238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238">
        <f ca="1">ROUND(IF(ISERROR(OFFSET(Rame!$A$1,MATCH(H50,Rame!$A:$A,0)-1,MATCH(J50,Rame!$A$1:$AA$1,0)-1)=TRUE),0,OFFSET(Rame!$A$1,MATCH(H50,Rame!$A:$A,0)-1,MATCH(J50,Rame!$A$1:$AA$1,0)-1))*IF(E50="Rame",1,0),4)</f>
        <v>0</v>
      </c>
      <c r="N50" s="238">
        <v>0</v>
      </c>
      <c r="O50" s="238">
        <v>1.5</v>
      </c>
      <c r="P50" s="238">
        <f ca="1">ROUND(+IF(ISERROR(OFFSET(Tabella!$G$1,MATCH(H50,Tabella!$G:$G,0)-1,MATCH(I50,Tabella!$G$1:$FG$1,0)-1)=TRUE),0,OFFSET(Tabella!$G$1,MATCH(H50,Tabella!$G:$G,0)-1,MATCH(I50,Tabella!$G$1:$AB$1,0)-1)),4)</f>
        <v>0</v>
      </c>
      <c r="Q50" s="238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238">
        <f ca="1">ROUND(IF(ISERROR(OFFSET(Rame!$F$1,MATCH(H50,Rame!$F:$F,0)-1,MATCH(I50,Rame!$F$1:$FF$1,0)-1)=TRUE),0,OFFSET(Rame!$F$1,MATCH(H50,Rame!$F:$F,0)-1,MATCH(I50,Rame!$F$1:$FF$1,0)-1))*IF(E50="Rame",1,0),4)</f>
        <v>0</v>
      </c>
      <c r="S50" s="238">
        <f ca="1">ROUND(IF(ISERROR(OFFSET(Bronzo!$A$1,MATCH(H50,Bronzo!$A:$A,0)-1,MATCH(I50,Bronzo!$A$1:$AA$1,0)-1)=TRUE),0,OFFSET(Bronzo!$A$1,MATCH(H50,Bronzo!$A:$A,0)-1,MATCH(I50,Bronzo!$A$1:$AA$1,0)-1)),4)</f>
        <v>0</v>
      </c>
      <c r="T50" s="238">
        <f t="shared" ca="1" si="46"/>
        <v>0</v>
      </c>
      <c r="U50" s="237"/>
      <c r="V50" s="238">
        <v>0</v>
      </c>
      <c r="W50" s="239">
        <f t="shared" ca="1" si="47"/>
        <v>1.5</v>
      </c>
      <c r="X50" s="240">
        <f t="shared" si="2"/>
        <v>110</v>
      </c>
      <c r="Y50" s="236">
        <v>4.5</v>
      </c>
      <c r="Z50" s="236">
        <f t="shared" ca="1" si="48"/>
        <v>0.32</v>
      </c>
      <c r="AA50" s="241">
        <v>46177</v>
      </c>
      <c r="AF50" s="225">
        <f t="shared" ca="1" si="72"/>
        <v>46236</v>
      </c>
      <c r="AG50" s="225" t="b">
        <f t="shared" si="66"/>
        <v>0</v>
      </c>
      <c r="AH50" s="242">
        <f t="shared" ca="1" si="67"/>
        <v>-59</v>
      </c>
      <c r="AK50" s="223">
        <f t="shared" si="68"/>
        <v>23</v>
      </c>
      <c r="AL50" s="223">
        <f t="shared" si="69"/>
        <v>2026</v>
      </c>
      <c r="AS50" s="223">
        <f t="shared" si="70"/>
        <v>6</v>
      </c>
      <c r="AT50" s="223">
        <f t="shared" si="71"/>
        <v>2026</v>
      </c>
    </row>
    <row r="51" spans="2:46" ht="15.75" x14ac:dyDescent="0.25">
      <c r="B51" s="229" t="s">
        <v>453</v>
      </c>
      <c r="C51" s="235" t="s">
        <v>438</v>
      </c>
      <c r="D51" s="243">
        <v>1400</v>
      </c>
      <c r="E51" s="232" t="s">
        <v>4</v>
      </c>
      <c r="F51" s="233">
        <v>2.68</v>
      </c>
      <c r="G51" s="234">
        <v>46083</v>
      </c>
      <c r="H51" s="235" t="s">
        <v>21</v>
      </c>
      <c r="I51" s="235"/>
      <c r="J51" s="236">
        <v>0.1</v>
      </c>
      <c r="K51" s="237">
        <f ca="1">ROUND(IF(ISERROR(OFFSET(Tabella!$A$1,MATCH(H51,Tabella!$A:$A,0)-1,MATCH(J51,Tabella!$A$1:$AC$1,0)-1)=TRUE),0,+OFFSET(Tabella!$A$1,MATCH(H51,Tabella!$A:$A,0)-1,MATCH(J51,Tabella!$A$1:$AC$1,0)-1)),4)</f>
        <v>1.4</v>
      </c>
      <c r="L51" s="238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238">
        <f ca="1">ROUND(IF(ISERROR(OFFSET(Rame!$A$1,MATCH(H51,Rame!$A:$A,0)-1,MATCH(J51,Rame!$A$1:$AA$1,0)-1)=TRUE),0,OFFSET(Rame!$A$1,MATCH(H51,Rame!$A:$A,0)-1,MATCH(J51,Rame!$A$1:$AA$1,0)-1))*IF(E51="Rame",1,0),4)</f>
        <v>0</v>
      </c>
      <c r="N51" s="238">
        <v>0</v>
      </c>
      <c r="O51" s="238">
        <v>1.5</v>
      </c>
      <c r="P51" s="238">
        <f ca="1">ROUND(+IF(ISERROR(OFFSET(Tabella!$G$1,MATCH(H51,Tabella!$G:$G,0)-1,MATCH(I51,Tabella!$G$1:$FG$1,0)-1)=TRUE),0,OFFSET(Tabella!$G$1,MATCH(H51,Tabella!$G:$G,0)-1,MATCH(I51,Tabella!$G$1:$AB$1,0)-1)),4)</f>
        <v>0</v>
      </c>
      <c r="Q51" s="238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238">
        <f ca="1">ROUND(IF(ISERROR(OFFSET(Rame!$F$1,MATCH(H51,Rame!$F:$F,0)-1,MATCH(I51,Rame!$F$1:$FF$1,0)-1)=TRUE),0,OFFSET(Rame!$F$1,MATCH(H51,Rame!$F:$F,0)-1,MATCH(I51,Rame!$F$1:$FF$1,0)-1))*IF(E51="Rame",1,0),4)</f>
        <v>0</v>
      </c>
      <c r="S51" s="238">
        <f ca="1">ROUND(IF(ISERROR(OFFSET(Bronzo!$A$1,MATCH(H51,Bronzo!$A:$A,0)-1,MATCH(I51,Bronzo!$A$1:$AA$1,0)-1)=TRUE),0,OFFSET(Bronzo!$A$1,MATCH(H51,Bronzo!$A:$A,0)-1,MATCH(I51,Bronzo!$A$1:$AA$1,0)-1)),4)</f>
        <v>0</v>
      </c>
      <c r="T51" s="238">
        <f t="shared" ca="1" si="46"/>
        <v>0</v>
      </c>
      <c r="U51" s="237"/>
      <c r="V51" s="238">
        <v>0</v>
      </c>
      <c r="W51" s="239">
        <f t="shared" ca="1" si="47"/>
        <v>1.5</v>
      </c>
      <c r="X51" s="240">
        <f t="shared" si="2"/>
        <v>140</v>
      </c>
      <c r="Y51" s="236">
        <v>4.5</v>
      </c>
      <c r="Z51" s="236">
        <f t="shared" ca="1" si="48"/>
        <v>0.32</v>
      </c>
      <c r="AA51" s="241">
        <v>46209</v>
      </c>
      <c r="AF51" s="225">
        <f t="shared" ca="1" si="72"/>
        <v>46236</v>
      </c>
      <c r="AG51" s="225" t="b">
        <f t="shared" si="66"/>
        <v>0</v>
      </c>
      <c r="AH51" s="242">
        <f t="shared" ca="1" si="67"/>
        <v>-27</v>
      </c>
      <c r="AK51" s="223">
        <f t="shared" si="68"/>
        <v>28</v>
      </c>
      <c r="AL51" s="223">
        <f t="shared" si="69"/>
        <v>2026</v>
      </c>
      <c r="AS51" s="223">
        <f t="shared" si="70"/>
        <v>7</v>
      </c>
      <c r="AT51" s="223">
        <f t="shared" si="71"/>
        <v>2026</v>
      </c>
    </row>
    <row r="52" spans="2:46" ht="15.75" x14ac:dyDescent="0.25">
      <c r="B52" s="229" t="s">
        <v>456</v>
      </c>
      <c r="C52" s="235" t="s">
        <v>396</v>
      </c>
      <c r="D52" s="243">
        <v>1300</v>
      </c>
      <c r="E52" s="232" t="s">
        <v>4</v>
      </c>
      <c r="F52" s="233">
        <v>2.87</v>
      </c>
      <c r="G52" s="234">
        <v>46084</v>
      </c>
      <c r="H52" s="235" t="s">
        <v>307</v>
      </c>
      <c r="I52" s="235"/>
      <c r="J52" s="236">
        <v>7.0000000000000007E-2</v>
      </c>
      <c r="K52" s="237">
        <f ca="1">ROUND(IF(ISERROR(OFFSET(Tabella!$A$1,MATCH(H52,Tabella!$A:$A,0)-1,MATCH(J52,Tabella!$A$1:$AC$1,0)-1)=TRUE),0,+OFFSET(Tabella!$A$1,MATCH(H52,Tabella!$A:$A,0)-1,MATCH(J52,Tabella!$A$1:$AC$1,0)-1)),4)</f>
        <v>1.25</v>
      </c>
      <c r="L52" s="238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238">
        <f ca="1">ROUND(IF(ISERROR(OFFSET(Rame!$A$1,MATCH(H52,Rame!$A:$A,0)-1,MATCH(J52,Rame!$A$1:$AA$1,0)-1)=TRUE),0,OFFSET(Rame!$A$1,MATCH(H52,Rame!$A:$A,0)-1,MATCH(J52,Rame!$A$1:$AA$1,0)-1))*IF(E52="Rame",1,0),4)</f>
        <v>0</v>
      </c>
      <c r="N52" s="238">
        <v>0</v>
      </c>
      <c r="O52" s="238">
        <f ca="1">ROUND(SUM(K52:N52),4)</f>
        <v>1.25</v>
      </c>
      <c r="P52" s="238">
        <f ca="1">ROUND(+IF(ISERROR(OFFSET(Tabella!$G$1,MATCH(H52,Tabella!$G:$G,0)-1,MATCH(I52,Tabella!$G$1:$FG$1,0)-1)=TRUE),0,OFFSET(Tabella!$G$1,MATCH(H52,Tabella!$G:$G,0)-1,MATCH(I52,Tabella!$G$1:$AB$1,0)-1)),4)</f>
        <v>0</v>
      </c>
      <c r="Q52" s="238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238">
        <f ca="1">ROUND(IF(ISERROR(OFFSET(Rame!$F$1,MATCH(H52,Rame!$F:$F,0)-1,MATCH(I52,Rame!$F$1:$FF$1,0)-1)=TRUE),0,OFFSET(Rame!$F$1,MATCH(H52,Rame!$F:$F,0)-1,MATCH(I52,Rame!$F$1:$FF$1,0)-1))*IF(E52="Rame",1,0),4)</f>
        <v>0</v>
      </c>
      <c r="S52" s="238">
        <f ca="1">ROUND(IF(ISERROR(OFFSET(Bronzo!$A$1,MATCH(H52,Bronzo!$A:$A,0)-1,MATCH(I52,Bronzo!$A$1:$AA$1,0)-1)=TRUE),0,OFFSET(Bronzo!$A$1,MATCH(H52,Bronzo!$A:$A,0)-1,MATCH(I52,Bronzo!$A$1:$AA$1,0)-1)),4)</f>
        <v>0</v>
      </c>
      <c r="T52" s="238">
        <f t="shared" ca="1" si="46"/>
        <v>0</v>
      </c>
      <c r="U52" s="237"/>
      <c r="V52" s="238">
        <v>0</v>
      </c>
      <c r="W52" s="239">
        <f t="shared" ca="1" si="47"/>
        <v>1.25</v>
      </c>
      <c r="X52" s="240">
        <f t="shared" si="2"/>
        <v>91</v>
      </c>
      <c r="Y52" s="236">
        <v>4.59</v>
      </c>
      <c r="Z52" s="236">
        <f t="shared" ca="1" si="48"/>
        <v>0.47</v>
      </c>
      <c r="AA52" s="241">
        <v>46239</v>
      </c>
      <c r="AF52" s="225">
        <f t="shared" ca="1" si="72"/>
        <v>46236</v>
      </c>
      <c r="AG52" s="225" t="b">
        <f t="shared" ref="AG52:AG66" si="84">ISBLANK(AA52)</f>
        <v>0</v>
      </c>
      <c r="AH52" s="242">
        <f t="shared" ref="AH52:AH66" ca="1" si="85">IF(AG52=FALSE,_xlfn.DAYS(AA52,AF52),"")</f>
        <v>3</v>
      </c>
      <c r="AK52" s="223">
        <f t="shared" ref="AK52:AK66" si="86">WEEKNUM(AA52)</f>
        <v>32</v>
      </c>
      <c r="AL52" s="223">
        <f t="shared" ref="AL52:AL66" si="87">YEAR(AA52)</f>
        <v>2026</v>
      </c>
      <c r="AS52" s="223">
        <f t="shared" si="70"/>
        <v>8</v>
      </c>
      <c r="AT52" s="223">
        <f t="shared" si="71"/>
        <v>2026</v>
      </c>
    </row>
    <row r="53" spans="2:46" ht="15.75" x14ac:dyDescent="0.25">
      <c r="B53" s="229" t="s">
        <v>455</v>
      </c>
      <c r="C53" s="235" t="s">
        <v>396</v>
      </c>
      <c r="D53" s="243">
        <v>1000</v>
      </c>
      <c r="E53" s="232" t="s">
        <v>4</v>
      </c>
      <c r="F53" s="233">
        <v>2.87</v>
      </c>
      <c r="G53" s="234">
        <v>46084</v>
      </c>
      <c r="H53" s="235" t="s">
        <v>308</v>
      </c>
      <c r="I53" s="235"/>
      <c r="J53" s="236">
        <v>7.0000000000000007E-2</v>
      </c>
      <c r="K53" s="237">
        <f ca="1">ROUND(IF(ISERROR(OFFSET(Tabella!$A$1,MATCH(H53,Tabella!$A:$A,0)-1,MATCH(J53,Tabella!$A$1:$AC$1,0)-1)=TRUE),0,+OFFSET(Tabella!$A$1,MATCH(H53,Tabella!$A:$A,0)-1,MATCH(J53,Tabella!$A$1:$AC$1,0)-1)),4)</f>
        <v>1.25</v>
      </c>
      <c r="L53" s="238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238">
        <f ca="1">ROUND(IF(ISERROR(OFFSET(Rame!$A$1,MATCH(H53,Rame!$A:$A,0)-1,MATCH(J53,Rame!$A$1:$AA$1,0)-1)=TRUE),0,OFFSET(Rame!$A$1,MATCH(H53,Rame!$A:$A,0)-1,MATCH(J53,Rame!$A$1:$AA$1,0)-1))*IF(E53="Rame",1,0),4)</f>
        <v>0</v>
      </c>
      <c r="N53" s="238">
        <v>0</v>
      </c>
      <c r="O53" s="238">
        <f ca="1">ROUND(SUM(K53:N53),4)</f>
        <v>1.25</v>
      </c>
      <c r="P53" s="238">
        <f ca="1">ROUND(+IF(ISERROR(OFFSET(Tabella!$G$1,MATCH(H53,Tabella!$G:$G,0)-1,MATCH(I53,Tabella!$G$1:$FG$1,0)-1)=TRUE),0,OFFSET(Tabella!$G$1,MATCH(H53,Tabella!$G:$G,0)-1,MATCH(I53,Tabella!$G$1:$AB$1,0)-1)),4)</f>
        <v>0</v>
      </c>
      <c r="Q53" s="238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238">
        <f ca="1">ROUND(IF(ISERROR(OFFSET(Rame!$F$1,MATCH(H53,Rame!$F:$F,0)-1,MATCH(I53,Rame!$F$1:$FF$1,0)-1)=TRUE),0,OFFSET(Rame!$F$1,MATCH(H53,Rame!$F:$F,0)-1,MATCH(I53,Rame!$F$1:$FF$1,0)-1))*IF(E53="Rame",1,0),4)</f>
        <v>0</v>
      </c>
      <c r="S53" s="238">
        <f ca="1">ROUND(IF(ISERROR(OFFSET(Bronzo!$A$1,MATCH(H53,Bronzo!$A:$A,0)-1,MATCH(I53,Bronzo!$A$1:$AA$1,0)-1)=TRUE),0,OFFSET(Bronzo!$A$1,MATCH(H53,Bronzo!$A:$A,0)-1,MATCH(I53,Bronzo!$A$1:$AA$1,0)-1)),4)</f>
        <v>0</v>
      </c>
      <c r="T53" s="238">
        <f t="shared" ca="1" si="46"/>
        <v>0</v>
      </c>
      <c r="U53" s="237"/>
      <c r="V53" s="238">
        <v>0</v>
      </c>
      <c r="W53" s="239">
        <f t="shared" ca="1" si="47"/>
        <v>1.25</v>
      </c>
      <c r="X53" s="240">
        <f t="shared" si="2"/>
        <v>70</v>
      </c>
      <c r="Y53" s="236">
        <v>4.59</v>
      </c>
      <c r="Z53" s="236">
        <f t="shared" ca="1" si="48"/>
        <v>0.47</v>
      </c>
      <c r="AA53" s="241">
        <v>46213</v>
      </c>
      <c r="AF53" s="225">
        <f t="shared" ca="1" si="72"/>
        <v>46236</v>
      </c>
      <c r="AG53" s="225" t="b">
        <f t="shared" si="84"/>
        <v>0</v>
      </c>
      <c r="AH53" s="242">
        <f t="shared" ca="1" si="85"/>
        <v>-23</v>
      </c>
      <c r="AK53" s="223">
        <f t="shared" si="86"/>
        <v>28</v>
      </c>
      <c r="AL53" s="223">
        <f t="shared" si="87"/>
        <v>2026</v>
      </c>
      <c r="AS53" s="223">
        <f t="shared" ref="AS53:AS66" si="88">IF(AA53="",0,MONTH(AA53))</f>
        <v>7</v>
      </c>
      <c r="AT53" s="223">
        <f t="shared" ref="AT53:AT66" si="89">IF(AA53="",0,YEAR(AA53))</f>
        <v>2026</v>
      </c>
    </row>
    <row r="54" spans="2:46" ht="15.75" x14ac:dyDescent="0.25">
      <c r="B54" s="229" t="s">
        <v>459</v>
      </c>
      <c r="C54" s="235" t="s">
        <v>396</v>
      </c>
      <c r="D54" s="243">
        <v>1000</v>
      </c>
      <c r="E54" s="232" t="s">
        <v>4</v>
      </c>
      <c r="F54" s="233">
        <v>2.85</v>
      </c>
      <c r="G54" s="234">
        <v>46086</v>
      </c>
      <c r="H54" s="235" t="s">
        <v>308</v>
      </c>
      <c r="I54" s="235"/>
      <c r="J54" s="236">
        <v>7.0000000000000007E-2</v>
      </c>
      <c r="K54" s="237">
        <f ca="1">ROUND(IF(ISERROR(OFFSET(Tabella!$A$1,MATCH(H54,Tabella!$A:$A,0)-1,MATCH(J54,Tabella!$A$1:$AC$1,0)-1)=TRUE),0,+OFFSET(Tabella!$A$1,MATCH(H54,Tabella!$A:$A,0)-1,MATCH(J54,Tabella!$A$1:$AC$1,0)-1)),4)</f>
        <v>1.25</v>
      </c>
      <c r="L54" s="238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238">
        <f ca="1">ROUND(IF(ISERROR(OFFSET(Rame!$A$1,MATCH(H54,Rame!$A:$A,0)-1,MATCH(J54,Rame!$A$1:$AA$1,0)-1)=TRUE),0,OFFSET(Rame!$A$1,MATCH(H54,Rame!$A:$A,0)-1,MATCH(J54,Rame!$A$1:$AA$1,0)-1))*IF(E54="Rame",1,0),4)</f>
        <v>0</v>
      </c>
      <c r="N54" s="238">
        <v>0</v>
      </c>
      <c r="O54" s="238">
        <v>1.5</v>
      </c>
      <c r="P54" s="238">
        <f ca="1">ROUND(+IF(ISERROR(OFFSET(Tabella!$G$1,MATCH(H54,Tabella!$G:$G,0)-1,MATCH(I54,Tabella!$G$1:$FG$1,0)-1)=TRUE),0,OFFSET(Tabella!$G$1,MATCH(H54,Tabella!$G:$G,0)-1,MATCH(I54,Tabella!$G$1:$AB$1,0)-1)),4)</f>
        <v>0</v>
      </c>
      <c r="Q54" s="238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238">
        <f ca="1">ROUND(IF(ISERROR(OFFSET(Rame!$F$1,MATCH(H54,Rame!$F:$F,0)-1,MATCH(I54,Rame!$F$1:$FF$1,0)-1)=TRUE),0,OFFSET(Rame!$F$1,MATCH(H54,Rame!$F:$F,0)-1,MATCH(I54,Rame!$F$1:$FF$1,0)-1))*IF(E54="Rame",1,0),4)</f>
        <v>0</v>
      </c>
      <c r="S54" s="238">
        <f ca="1">ROUND(IF(ISERROR(OFFSET(Bronzo!$A$1,MATCH(H54,Bronzo!$A:$A,0)-1,MATCH(I54,Bronzo!$A$1:$AA$1,0)-1)=TRUE),0,OFFSET(Bronzo!$A$1,MATCH(H54,Bronzo!$A:$A,0)-1,MATCH(I54,Bronzo!$A$1:$AA$1,0)-1)),4)</f>
        <v>0</v>
      </c>
      <c r="T54" s="238">
        <f t="shared" ca="1" si="46"/>
        <v>0</v>
      </c>
      <c r="U54" s="237"/>
      <c r="V54" s="238">
        <v>0</v>
      </c>
      <c r="W54" s="239">
        <f t="shared" ca="1" si="47"/>
        <v>1.5</v>
      </c>
      <c r="X54" s="240">
        <f t="shared" si="2"/>
        <v>70</v>
      </c>
      <c r="Y54" s="236">
        <v>4.57</v>
      </c>
      <c r="Z54" s="236">
        <f t="shared" ca="1" si="48"/>
        <v>0.22</v>
      </c>
      <c r="AA54" s="241">
        <v>46213</v>
      </c>
      <c r="AF54" s="225">
        <f t="shared" ca="1" si="72"/>
        <v>46236</v>
      </c>
      <c r="AG54" s="225" t="b">
        <f t="shared" si="84"/>
        <v>0</v>
      </c>
      <c r="AH54" s="242">
        <f t="shared" ca="1" si="85"/>
        <v>-23</v>
      </c>
      <c r="AK54" s="223">
        <f t="shared" si="86"/>
        <v>28</v>
      </c>
      <c r="AL54" s="223">
        <f t="shared" si="87"/>
        <v>2026</v>
      </c>
      <c r="AS54" s="223">
        <f t="shared" si="88"/>
        <v>7</v>
      </c>
      <c r="AT54" s="223">
        <f t="shared" si="89"/>
        <v>2026</v>
      </c>
    </row>
    <row r="55" spans="2:46" ht="15.75" x14ac:dyDescent="0.25">
      <c r="B55" s="229" t="s">
        <v>460</v>
      </c>
      <c r="C55" s="235" t="s">
        <v>396</v>
      </c>
      <c r="D55" s="243">
        <v>1500</v>
      </c>
      <c r="E55" s="232" t="s">
        <v>4</v>
      </c>
      <c r="F55" s="233">
        <v>2.85</v>
      </c>
      <c r="G55" s="234">
        <v>46086</v>
      </c>
      <c r="H55" s="235" t="s">
        <v>308</v>
      </c>
      <c r="I55" s="235"/>
      <c r="J55" s="236">
        <v>7.0000000000000007E-2</v>
      </c>
      <c r="K55" s="237">
        <f ca="1">ROUND(IF(ISERROR(OFFSET(Tabella!$A$1,MATCH(H55,Tabella!$A:$A,0)-1,MATCH(J55,Tabella!$A$1:$AC$1,0)-1)=TRUE),0,+OFFSET(Tabella!$A$1,MATCH(H55,Tabella!$A:$A,0)-1,MATCH(J55,Tabella!$A$1:$AC$1,0)-1)),4)</f>
        <v>1.25</v>
      </c>
      <c r="L55" s="238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238">
        <f ca="1">ROUND(IF(ISERROR(OFFSET(Rame!$A$1,MATCH(H55,Rame!$A:$A,0)-1,MATCH(J55,Rame!$A$1:$AA$1,0)-1)=TRUE),0,OFFSET(Rame!$A$1,MATCH(H55,Rame!$A:$A,0)-1,MATCH(J55,Rame!$A$1:$AA$1,0)-1))*IF(E55="Rame",1,0),4)</f>
        <v>0</v>
      </c>
      <c r="N55" s="238">
        <v>0</v>
      </c>
      <c r="O55" s="238">
        <v>1.5</v>
      </c>
      <c r="P55" s="238">
        <f ca="1">ROUND(+IF(ISERROR(OFFSET(Tabella!$G$1,MATCH(H55,Tabella!$G:$G,0)-1,MATCH(I55,Tabella!$G$1:$FG$1,0)-1)=TRUE),0,OFFSET(Tabella!$G$1,MATCH(H55,Tabella!$G:$G,0)-1,MATCH(I55,Tabella!$G$1:$AB$1,0)-1)),4)</f>
        <v>0</v>
      </c>
      <c r="Q55" s="238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238">
        <f ca="1">ROUND(IF(ISERROR(OFFSET(Rame!$F$1,MATCH(H55,Rame!$F:$F,0)-1,MATCH(I55,Rame!$F$1:$FF$1,0)-1)=TRUE),0,OFFSET(Rame!$F$1,MATCH(H55,Rame!$F:$F,0)-1,MATCH(I55,Rame!$F$1:$FF$1,0)-1))*IF(E55="Rame",1,0),4)</f>
        <v>0</v>
      </c>
      <c r="S55" s="238">
        <f ca="1">ROUND(IF(ISERROR(OFFSET(Bronzo!$A$1,MATCH(H55,Bronzo!$A:$A,0)-1,MATCH(I55,Bronzo!$A$1:$AA$1,0)-1)=TRUE),0,OFFSET(Bronzo!$A$1,MATCH(H55,Bronzo!$A:$A,0)-1,MATCH(I55,Bronzo!$A$1:$AA$1,0)-1)),4)</f>
        <v>0</v>
      </c>
      <c r="T55" s="238">
        <f t="shared" ca="1" si="46"/>
        <v>0</v>
      </c>
      <c r="U55" s="237"/>
      <c r="V55" s="238">
        <v>0</v>
      </c>
      <c r="W55" s="239">
        <f t="shared" ca="1" si="47"/>
        <v>1.5</v>
      </c>
      <c r="X55" s="240">
        <f t="shared" si="2"/>
        <v>105</v>
      </c>
      <c r="Y55" s="236">
        <v>4.57</v>
      </c>
      <c r="Z55" s="236">
        <f t="shared" ca="1" si="48"/>
        <v>0.22</v>
      </c>
      <c r="AA55" s="241">
        <v>46316</v>
      </c>
      <c r="AF55" s="225">
        <f t="shared" ca="1" si="72"/>
        <v>46236</v>
      </c>
      <c r="AG55" s="225" t="b">
        <f t="shared" si="84"/>
        <v>0</v>
      </c>
      <c r="AH55" s="242">
        <f t="shared" ca="1" si="85"/>
        <v>80</v>
      </c>
      <c r="AK55" s="223">
        <f t="shared" si="86"/>
        <v>43</v>
      </c>
      <c r="AL55" s="223">
        <f t="shared" si="87"/>
        <v>2026</v>
      </c>
      <c r="AS55" s="223">
        <f t="shared" si="88"/>
        <v>10</v>
      </c>
      <c r="AT55" s="223">
        <f t="shared" si="89"/>
        <v>2026</v>
      </c>
    </row>
    <row r="56" spans="2:46" ht="15.75" x14ac:dyDescent="0.25">
      <c r="B56" s="229" t="s">
        <v>717</v>
      </c>
      <c r="C56" s="235" t="s">
        <v>102</v>
      </c>
      <c r="D56" s="243">
        <v>3000</v>
      </c>
      <c r="E56" s="232" t="s">
        <v>4</v>
      </c>
      <c r="F56" s="233">
        <v>2.65</v>
      </c>
      <c r="G56" s="234">
        <v>46050</v>
      </c>
      <c r="H56" s="235" t="s">
        <v>23</v>
      </c>
      <c r="I56" s="235"/>
      <c r="J56" s="236">
        <v>7.0000000000000007E-2</v>
      </c>
      <c r="K56" s="237">
        <f ca="1">ROUND(IF(ISERROR(OFFSET(Tabella!$A$1,MATCH(H56,Tabella!$A:$A,0)-1,MATCH(J56,Tabella!$A$1:$AC$1,0)-1)=TRUE),0,+OFFSET(Tabella!$A$1,MATCH(H56,Tabella!$A:$A,0)-1,MATCH(J56,Tabella!$A$1:$AC$1,0)-1)),4)</f>
        <v>1.25</v>
      </c>
      <c r="L56" s="238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238">
        <f ca="1">ROUND(IF(ISERROR(OFFSET(Rame!$A$1,MATCH(H56,Rame!$A:$A,0)-1,MATCH(J56,Rame!$A$1:$AA$1,0)-1)=TRUE),0,OFFSET(Rame!$A$1,MATCH(H56,Rame!$A:$A,0)-1,MATCH(J56,Rame!$A$1:$AA$1,0)-1))*IF(E56="Rame",1,0),4)</f>
        <v>0</v>
      </c>
      <c r="N56" s="238">
        <v>0</v>
      </c>
      <c r="O56" s="238">
        <f ca="1">ROUND(SUM(K56:N56),4)</f>
        <v>1.25</v>
      </c>
      <c r="P56" s="238">
        <f ca="1">ROUND(+IF(ISERROR(OFFSET(Tabella!$G$1,MATCH(H56,Tabella!$G:$G,0)-1,MATCH(I56,Tabella!$G$1:$FG$1,0)-1)=TRUE),0,OFFSET(Tabella!$G$1,MATCH(H56,Tabella!$G:$G,0)-1,MATCH(I56,Tabella!$G$1:$AB$1,0)-1)),4)</f>
        <v>0</v>
      </c>
      <c r="Q56" s="238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238">
        <f ca="1">ROUND(IF(ISERROR(OFFSET(Rame!$F$1,MATCH(H56,Rame!$F:$F,0)-1,MATCH(I56,Rame!$F$1:$FF$1,0)-1)=TRUE),0,OFFSET(Rame!$F$1,MATCH(H56,Rame!$F:$F,0)-1,MATCH(I56,Rame!$F$1:$FF$1,0)-1))*IF(E56="Rame",1,0),4)</f>
        <v>0</v>
      </c>
      <c r="S56" s="238">
        <f ca="1">ROUND(IF(ISERROR(OFFSET(Bronzo!$A$1,MATCH(H56,Bronzo!$A:$A,0)-1,MATCH(I56,Bronzo!$A$1:$AA$1,0)-1)=TRUE),0,OFFSET(Bronzo!$A$1,MATCH(H56,Bronzo!$A:$A,0)-1,MATCH(I56,Bronzo!$A$1:$AA$1,0)-1)),4)</f>
        <v>0</v>
      </c>
      <c r="T56" s="238">
        <f t="shared" ca="1" si="46"/>
        <v>0</v>
      </c>
      <c r="U56" s="237"/>
      <c r="V56" s="238">
        <v>0</v>
      </c>
      <c r="W56" s="239">
        <f t="shared" ca="1" si="47"/>
        <v>1.25</v>
      </c>
      <c r="X56" s="240">
        <f t="shared" si="2"/>
        <v>210</v>
      </c>
      <c r="Y56" s="236">
        <v>4.1500000000000004</v>
      </c>
      <c r="Z56" s="236">
        <f t="shared" ca="1" si="48"/>
        <v>0.25</v>
      </c>
      <c r="AA56" s="241">
        <v>46177</v>
      </c>
      <c r="AF56" s="225">
        <f t="shared" ca="1" si="72"/>
        <v>46236</v>
      </c>
      <c r="AG56" s="225" t="b">
        <f t="shared" si="84"/>
        <v>0</v>
      </c>
      <c r="AH56" s="242">
        <f t="shared" ca="1" si="85"/>
        <v>-59</v>
      </c>
      <c r="AK56" s="223">
        <f t="shared" si="86"/>
        <v>23</v>
      </c>
      <c r="AL56" s="223">
        <f t="shared" si="87"/>
        <v>2026</v>
      </c>
      <c r="AS56" s="223">
        <f t="shared" si="88"/>
        <v>6</v>
      </c>
      <c r="AT56" s="223">
        <f t="shared" si="89"/>
        <v>2026</v>
      </c>
    </row>
    <row r="57" spans="2:46" ht="15.75" x14ac:dyDescent="0.25">
      <c r="B57" s="229" t="s">
        <v>454</v>
      </c>
      <c r="C57" s="235" t="s">
        <v>269</v>
      </c>
      <c r="D57" s="243">
        <v>1000</v>
      </c>
      <c r="E57" s="232" t="s">
        <v>4</v>
      </c>
      <c r="F57" s="233">
        <v>2.9</v>
      </c>
      <c r="G57" s="234">
        <v>46087</v>
      </c>
      <c r="H57" s="235" t="s">
        <v>26</v>
      </c>
      <c r="I57" s="235"/>
      <c r="J57" s="236">
        <v>0.13</v>
      </c>
      <c r="K57" s="237">
        <f ca="1">ROUND(IF(ISERROR(OFFSET(Tabella!$A$1,MATCH(H57,Tabella!$A:$A,0)-1,MATCH(J57,Tabella!$A$1:$AC$1,0)-1)=TRUE),0,+OFFSET(Tabella!$A$1,MATCH(H57,Tabella!$A:$A,0)-1,MATCH(J57,Tabella!$A$1:$AC$1,0)-1)),4)</f>
        <v>0</v>
      </c>
      <c r="L57" s="238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238">
        <f ca="1">ROUND(IF(ISERROR(OFFSET(Rame!$A$1,MATCH(H57,Rame!$A:$A,0)-1,MATCH(J57,Rame!$A$1:$AA$1,0)-1)=TRUE),0,OFFSET(Rame!$A$1,MATCH(H57,Rame!$A:$A,0)-1,MATCH(J57,Rame!$A$1:$AA$1,0)-1))*IF(E57="Rame",1,0),4)</f>
        <v>0</v>
      </c>
      <c r="N57" s="238">
        <v>0</v>
      </c>
      <c r="O57" s="238">
        <v>1.6</v>
      </c>
      <c r="P57" s="238">
        <f ca="1">ROUND(+IF(ISERROR(OFFSET(Tabella!$G$1,MATCH(H57,Tabella!$G:$G,0)-1,MATCH(I57,Tabella!$G$1:$FG$1,0)-1)=TRUE),0,OFFSET(Tabella!$G$1,MATCH(H57,Tabella!$G:$G,0)-1,MATCH(I57,Tabella!$G$1:$AB$1,0)-1)),4)</f>
        <v>0</v>
      </c>
      <c r="Q57" s="238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238">
        <f ca="1">ROUND(IF(ISERROR(OFFSET(Rame!$F$1,MATCH(H57,Rame!$F:$F,0)-1,MATCH(I57,Rame!$F$1:$FF$1,0)-1)=TRUE),0,OFFSET(Rame!$F$1,MATCH(H57,Rame!$F:$F,0)-1,MATCH(I57,Rame!$F$1:$FF$1,0)-1))*IF(E57="Rame",1,0),4)</f>
        <v>0</v>
      </c>
      <c r="S57" s="238">
        <f ca="1">ROUND(IF(ISERROR(OFFSET(Bronzo!$A$1,MATCH(H57,Bronzo!$A:$A,0)-1,MATCH(I57,Bronzo!$A$1:$AA$1,0)-1)=TRUE),0,OFFSET(Bronzo!$A$1,MATCH(H57,Bronzo!$A:$A,0)-1,MATCH(I57,Bronzo!$A$1:$AA$1,0)-1)),4)</f>
        <v>0</v>
      </c>
      <c r="T57" s="238">
        <f t="shared" ca="1" si="46"/>
        <v>0</v>
      </c>
      <c r="U57" s="237"/>
      <c r="V57" s="238">
        <v>0</v>
      </c>
      <c r="W57" s="239">
        <f t="shared" ca="1" si="47"/>
        <v>1.6</v>
      </c>
      <c r="X57" s="240">
        <f t="shared" si="2"/>
        <v>130</v>
      </c>
      <c r="Y57" s="236">
        <v>4.5999999999999996</v>
      </c>
      <c r="Z57" s="236">
        <f t="shared" ca="1" si="48"/>
        <v>0.1</v>
      </c>
      <c r="AA57" s="241">
        <v>46178</v>
      </c>
      <c r="AF57" s="225">
        <f t="shared" ca="1" si="72"/>
        <v>46236</v>
      </c>
      <c r="AG57" s="225" t="b">
        <f t="shared" si="84"/>
        <v>0</v>
      </c>
      <c r="AH57" s="242">
        <f t="shared" ca="1" si="85"/>
        <v>-58</v>
      </c>
      <c r="AK57" s="223">
        <f t="shared" si="86"/>
        <v>23</v>
      </c>
      <c r="AL57" s="223">
        <f t="shared" si="87"/>
        <v>2026</v>
      </c>
      <c r="AS57" s="223">
        <f t="shared" si="88"/>
        <v>6</v>
      </c>
      <c r="AT57" s="223">
        <f t="shared" si="89"/>
        <v>2026</v>
      </c>
    </row>
    <row r="58" spans="2:46" ht="15.75" x14ac:dyDescent="0.25">
      <c r="B58" s="229" t="s">
        <v>454</v>
      </c>
      <c r="C58" s="235" t="s">
        <v>269</v>
      </c>
      <c r="D58" s="243">
        <v>1000</v>
      </c>
      <c r="E58" s="232" t="s">
        <v>4</v>
      </c>
      <c r="F58" s="233">
        <v>2.9</v>
      </c>
      <c r="G58" s="234">
        <v>46087</v>
      </c>
      <c r="H58" s="235" t="s">
        <v>26</v>
      </c>
      <c r="I58" s="235"/>
      <c r="J58" s="236">
        <v>0.13</v>
      </c>
      <c r="K58" s="237">
        <f ca="1">ROUND(IF(ISERROR(OFFSET(Tabella!$A$1,MATCH(H58,Tabella!$A:$A,0)-1,MATCH(J58,Tabella!$A$1:$AC$1,0)-1)=TRUE),0,+OFFSET(Tabella!$A$1,MATCH(H58,Tabella!$A:$A,0)-1,MATCH(J58,Tabella!$A$1:$AC$1,0)-1)),4)</f>
        <v>0</v>
      </c>
      <c r="L58" s="238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238">
        <f ca="1">ROUND(IF(ISERROR(OFFSET(Rame!$A$1,MATCH(H58,Rame!$A:$A,0)-1,MATCH(J58,Rame!$A$1:$AA$1,0)-1)=TRUE),0,OFFSET(Rame!$A$1,MATCH(H58,Rame!$A:$A,0)-1,MATCH(J58,Rame!$A$1:$AA$1,0)-1))*IF(E58="Rame",1,0),4)</f>
        <v>0</v>
      </c>
      <c r="N58" s="238">
        <v>0</v>
      </c>
      <c r="O58" s="238">
        <v>1.6</v>
      </c>
      <c r="P58" s="238">
        <f ca="1">ROUND(+IF(ISERROR(OFFSET(Tabella!$G$1,MATCH(H58,Tabella!$G:$G,0)-1,MATCH(I58,Tabella!$G$1:$FG$1,0)-1)=TRUE),0,OFFSET(Tabella!$G$1,MATCH(H58,Tabella!$G:$G,0)-1,MATCH(I58,Tabella!$G$1:$AB$1,0)-1)),4)</f>
        <v>0</v>
      </c>
      <c r="Q58" s="238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238">
        <f ca="1">ROUND(IF(ISERROR(OFFSET(Rame!$F$1,MATCH(H58,Rame!$F:$F,0)-1,MATCH(I58,Rame!$F$1:$FF$1,0)-1)=TRUE),0,OFFSET(Rame!$F$1,MATCH(H58,Rame!$F:$F,0)-1,MATCH(I58,Rame!$F$1:$FF$1,0)-1))*IF(E58="Rame",1,0),4)</f>
        <v>0</v>
      </c>
      <c r="S58" s="238">
        <f ca="1">ROUND(IF(ISERROR(OFFSET(Bronzo!$A$1,MATCH(H58,Bronzo!$A:$A,0)-1,MATCH(I58,Bronzo!$A$1:$AA$1,0)-1)=TRUE),0,OFFSET(Bronzo!$A$1,MATCH(H58,Bronzo!$A:$A,0)-1,MATCH(I58,Bronzo!$A$1:$AA$1,0)-1)),4)</f>
        <v>0</v>
      </c>
      <c r="T58" s="238">
        <f t="shared" ca="1" si="46"/>
        <v>0</v>
      </c>
      <c r="U58" s="237"/>
      <c r="V58" s="238">
        <v>0</v>
      </c>
      <c r="W58" s="239">
        <f t="shared" ca="1" si="47"/>
        <v>1.6</v>
      </c>
      <c r="X58" s="240">
        <f t="shared" si="2"/>
        <v>130</v>
      </c>
      <c r="Y58" s="236">
        <v>4.5999999999999996</v>
      </c>
      <c r="Z58" s="236">
        <f t="shared" ca="1" si="48"/>
        <v>0.1</v>
      </c>
      <c r="AA58" s="241">
        <v>46275</v>
      </c>
      <c r="AF58" s="225">
        <f t="shared" ca="1" si="72"/>
        <v>46236</v>
      </c>
      <c r="AG58" s="225" t="b">
        <f t="shared" si="84"/>
        <v>0</v>
      </c>
      <c r="AH58" s="242">
        <f t="shared" ca="1" si="85"/>
        <v>39</v>
      </c>
      <c r="AK58" s="223">
        <f t="shared" si="86"/>
        <v>37</v>
      </c>
      <c r="AL58" s="223">
        <f t="shared" si="87"/>
        <v>2026</v>
      </c>
      <c r="AS58" s="223">
        <f t="shared" si="88"/>
        <v>9</v>
      </c>
      <c r="AT58" s="223">
        <f t="shared" si="89"/>
        <v>2026</v>
      </c>
    </row>
    <row r="59" spans="2:46" ht="15.75" x14ac:dyDescent="0.25">
      <c r="B59" s="229" t="s">
        <v>555</v>
      </c>
      <c r="C59" s="245" t="s">
        <v>212</v>
      </c>
      <c r="D59" s="246">
        <v>649</v>
      </c>
      <c r="E59" s="232" t="s">
        <v>4</v>
      </c>
      <c r="F59" s="233">
        <v>2.61</v>
      </c>
      <c r="G59" s="234">
        <v>46087</v>
      </c>
      <c r="H59" s="235" t="s">
        <v>22</v>
      </c>
      <c r="I59" s="235"/>
      <c r="J59" s="236">
        <v>0.05</v>
      </c>
      <c r="K59" s="237">
        <f ca="1">ROUND(IF(ISERROR(OFFSET(Tabella!$A$1,MATCH(H59,Tabella!$A:$A,0)-1,MATCH(J59,Tabella!$A$1:$AC$1,0)-1)=TRUE),0,+OFFSET(Tabella!$A$1,MATCH(H59,Tabella!$A:$A,0)-1,MATCH(J59,Tabella!$A$1:$AC$1,0)-1)),4)</f>
        <v>0</v>
      </c>
      <c r="L59" s="238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238">
        <f ca="1">ROUND(IF(ISERROR(OFFSET(Rame!$A$1,MATCH(H59,Rame!$A:$A,0)-1,MATCH(J59,Rame!$A$1:$AA$1,0)-1)=TRUE),0,OFFSET(Rame!$A$1,MATCH(H59,Rame!$A:$A,0)-1,MATCH(J59,Rame!$A$1:$AA$1,0)-1))*IF(E59="Rame",1,0),4)</f>
        <v>0</v>
      </c>
      <c r="N59" s="238">
        <v>0</v>
      </c>
      <c r="O59" s="238">
        <v>1.47</v>
      </c>
      <c r="P59" s="238">
        <f ca="1">ROUND(+IF(ISERROR(OFFSET(Tabella!$G$1,MATCH(H59,Tabella!$G:$G,0)-1,MATCH(I59,Tabella!$G$1:$FG$1,0)-1)=TRUE),0,OFFSET(Tabella!$G$1,MATCH(H59,Tabella!$G:$G,0)-1,MATCH(I59,Tabella!$G$1:$AB$1,0)-1)),4)</f>
        <v>0</v>
      </c>
      <c r="Q59" s="238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238">
        <f ca="1">ROUND(IF(ISERROR(OFFSET(Rame!$F$1,MATCH(H59,Rame!$F:$F,0)-1,MATCH(I59,Rame!$F$1:$FF$1,0)-1)=TRUE),0,OFFSET(Rame!$F$1,MATCH(H59,Rame!$F:$F,0)-1,MATCH(I59,Rame!$F$1:$FF$1,0)-1))*IF(E59="Rame",1,0),4)</f>
        <v>0</v>
      </c>
      <c r="S59" s="238">
        <f ca="1">ROUND(IF(ISERROR(OFFSET(Bronzo!$A$1,MATCH(H59,Bronzo!$A:$A,0)-1,MATCH(I59,Bronzo!$A$1:$AA$1,0)-1)=TRUE),0,OFFSET(Bronzo!$A$1,MATCH(H59,Bronzo!$A:$A,0)-1,MATCH(I59,Bronzo!$A$1:$AA$1,0)-1)),4)</f>
        <v>0</v>
      </c>
      <c r="T59" s="238">
        <f t="shared" ca="1" si="46"/>
        <v>0</v>
      </c>
      <c r="U59" s="237"/>
      <c r="V59" s="238">
        <v>0</v>
      </c>
      <c r="W59" s="239">
        <f t="shared" ca="1" si="47"/>
        <v>1.47</v>
      </c>
      <c r="X59" s="423">
        <f t="shared" si="2"/>
        <v>32.450000000000003</v>
      </c>
      <c r="Y59" s="236">
        <v>4.08</v>
      </c>
      <c r="Z59" s="236">
        <f t="shared" ca="1" si="48"/>
        <v>0</v>
      </c>
      <c r="AA59" s="241"/>
      <c r="AF59" s="225">
        <f t="shared" ref="AF59:AF80" ca="1" si="90">TODAY()</f>
        <v>46236</v>
      </c>
      <c r="AG59" s="225" t="b">
        <f t="shared" si="84"/>
        <v>1</v>
      </c>
      <c r="AH59" s="242" t="str">
        <f t="shared" si="85"/>
        <v/>
      </c>
      <c r="AK59" s="223">
        <f t="shared" si="86"/>
        <v>0</v>
      </c>
      <c r="AL59" s="223">
        <f t="shared" si="87"/>
        <v>1900</v>
      </c>
      <c r="AS59" s="223">
        <f t="shared" si="88"/>
        <v>0</v>
      </c>
      <c r="AT59" s="223">
        <f t="shared" si="89"/>
        <v>0</v>
      </c>
    </row>
    <row r="60" spans="2:46" ht="15.75" x14ac:dyDescent="0.25">
      <c r="B60" s="229" t="s">
        <v>556</v>
      </c>
      <c r="C60" s="245" t="s">
        <v>212</v>
      </c>
      <c r="D60" s="246">
        <v>3042</v>
      </c>
      <c r="E60" s="232" t="s">
        <v>4</v>
      </c>
      <c r="F60" s="233">
        <v>2.61</v>
      </c>
      <c r="G60" s="234">
        <v>6</v>
      </c>
      <c r="H60" s="235" t="s">
        <v>322</v>
      </c>
      <c r="I60" s="235"/>
      <c r="J60" s="236">
        <v>0.05</v>
      </c>
      <c r="K60" s="237">
        <f ca="1">ROUND(IF(ISERROR(OFFSET(Tabella!$A$1,MATCH(H60,Tabella!$A:$A,0)-1,MATCH(J60,Tabella!$A$1:$AC$1,0)-1)=TRUE),0,+OFFSET(Tabella!$A$1,MATCH(H60,Tabella!$A:$A,0)-1,MATCH(J60,Tabella!$A$1:$AC$1,0)-1)),4)</f>
        <v>0</v>
      </c>
      <c r="L60" s="238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238">
        <f ca="1">ROUND(IF(ISERROR(OFFSET(Rame!$A$1,MATCH(H60,Rame!$A:$A,0)-1,MATCH(J60,Rame!$A$1:$AA$1,0)-1)=TRUE),0,OFFSET(Rame!$A$1,MATCH(H60,Rame!$A:$A,0)-1,MATCH(J60,Rame!$A$1:$AA$1,0)-1))*IF(E60="Rame",1,0),4)</f>
        <v>0</v>
      </c>
      <c r="N60" s="238">
        <v>0</v>
      </c>
      <c r="O60" s="238">
        <v>1.47</v>
      </c>
      <c r="P60" s="238">
        <f ca="1">ROUND(+IF(ISERROR(OFFSET(Tabella!$G$1,MATCH(H60,Tabella!$G:$G,0)-1,MATCH(I60,Tabella!$G$1:$FG$1,0)-1)=TRUE),0,OFFSET(Tabella!$G$1,MATCH(H60,Tabella!$G:$G,0)-1,MATCH(I60,Tabella!$G$1:$AB$1,0)-1)),4)</f>
        <v>0</v>
      </c>
      <c r="Q60" s="238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238">
        <f ca="1">ROUND(IF(ISERROR(OFFSET(Rame!$F$1,MATCH(H60,Rame!$F:$F,0)-1,MATCH(I60,Rame!$F$1:$FF$1,0)-1)=TRUE),0,OFFSET(Rame!$F$1,MATCH(H60,Rame!$F:$F,0)-1,MATCH(I60,Rame!$F$1:$FF$1,0)-1))*IF(E60="Rame",1,0),4)</f>
        <v>0</v>
      </c>
      <c r="S60" s="238">
        <f ca="1">ROUND(IF(ISERROR(OFFSET(Bronzo!$A$1,MATCH(H60,Bronzo!$A:$A,0)-1,MATCH(I60,Bronzo!$A$1:$AA$1,0)-1)=TRUE),0,OFFSET(Bronzo!$A$1,MATCH(H60,Bronzo!$A:$A,0)-1,MATCH(I60,Bronzo!$A$1:$AA$1,0)-1)),4)</f>
        <v>0</v>
      </c>
      <c r="T60" s="238">
        <f t="shared" ca="1" si="46"/>
        <v>0</v>
      </c>
      <c r="U60" s="237"/>
      <c r="V60" s="238">
        <v>0</v>
      </c>
      <c r="W60" s="239">
        <f t="shared" ca="1" si="47"/>
        <v>1.47</v>
      </c>
      <c r="X60" s="423">
        <f t="shared" si="2"/>
        <v>152.1</v>
      </c>
      <c r="Y60" s="236">
        <v>4.08</v>
      </c>
      <c r="Z60" s="236">
        <f t="shared" ca="1" si="48"/>
        <v>0</v>
      </c>
      <c r="AA60" s="241"/>
      <c r="AF60" s="225">
        <f t="shared" ca="1" si="90"/>
        <v>46236</v>
      </c>
      <c r="AG60" s="225" t="b">
        <f t="shared" si="84"/>
        <v>1</v>
      </c>
      <c r="AH60" s="242" t="str">
        <f t="shared" si="85"/>
        <v/>
      </c>
      <c r="AK60" s="223">
        <f t="shared" si="86"/>
        <v>0</v>
      </c>
      <c r="AL60" s="223">
        <f t="shared" si="87"/>
        <v>1900</v>
      </c>
      <c r="AS60" s="223">
        <f t="shared" si="88"/>
        <v>0</v>
      </c>
      <c r="AT60" s="223">
        <f t="shared" si="89"/>
        <v>0</v>
      </c>
    </row>
    <row r="61" spans="2:46" ht="15.75" x14ac:dyDescent="0.25">
      <c r="B61" s="229" t="s">
        <v>557</v>
      </c>
      <c r="C61" s="245" t="s">
        <v>212</v>
      </c>
      <c r="D61" s="246">
        <v>354</v>
      </c>
      <c r="E61" s="232" t="s">
        <v>4</v>
      </c>
      <c r="F61" s="233">
        <v>2.61</v>
      </c>
      <c r="G61" s="234">
        <v>46087</v>
      </c>
      <c r="H61" s="235" t="s">
        <v>21</v>
      </c>
      <c r="I61" s="235"/>
      <c r="J61" s="236">
        <v>0.05</v>
      </c>
      <c r="K61" s="237">
        <f ca="1">ROUND(IF(ISERROR(OFFSET(Tabella!$A$1,MATCH(H61,Tabella!$A:$A,0)-1,MATCH(J61,Tabella!$A$1:$AC$1,0)-1)=TRUE),0,+OFFSET(Tabella!$A$1,MATCH(H61,Tabella!$A:$A,0)-1,MATCH(J61,Tabella!$A$1:$AC$1,0)-1)),4)</f>
        <v>0</v>
      </c>
      <c r="L61" s="238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238">
        <f ca="1">ROUND(IF(ISERROR(OFFSET(Rame!$A$1,MATCH(H61,Rame!$A:$A,0)-1,MATCH(J61,Rame!$A$1:$AA$1,0)-1)=TRUE),0,OFFSET(Rame!$A$1,MATCH(H61,Rame!$A:$A,0)-1,MATCH(J61,Rame!$A$1:$AA$1,0)-1))*IF(E61="Rame",1,0),4)</f>
        <v>0</v>
      </c>
      <c r="N61" s="238">
        <v>0</v>
      </c>
      <c r="O61" s="238">
        <v>1.47</v>
      </c>
      <c r="P61" s="238">
        <f ca="1">ROUND(+IF(ISERROR(OFFSET(Tabella!$G$1,MATCH(H61,Tabella!$G:$G,0)-1,MATCH(I61,Tabella!$G$1:$FG$1,0)-1)=TRUE),0,OFFSET(Tabella!$G$1,MATCH(H61,Tabella!$G:$G,0)-1,MATCH(I61,Tabella!$G$1:$AB$1,0)-1)),4)</f>
        <v>0</v>
      </c>
      <c r="Q61" s="238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238">
        <f ca="1">ROUND(IF(ISERROR(OFFSET(Rame!$F$1,MATCH(H61,Rame!$F:$F,0)-1,MATCH(I61,Rame!$F$1:$FF$1,0)-1)=TRUE),0,OFFSET(Rame!$F$1,MATCH(H61,Rame!$F:$F,0)-1,MATCH(I61,Rame!$F$1:$FF$1,0)-1))*IF(E61="Rame",1,0),4)</f>
        <v>0</v>
      </c>
      <c r="S61" s="238">
        <f ca="1">ROUND(IF(ISERROR(OFFSET(Bronzo!$A$1,MATCH(H61,Bronzo!$A:$A,0)-1,MATCH(I61,Bronzo!$A$1:$AA$1,0)-1)=TRUE),0,OFFSET(Bronzo!$A$1,MATCH(H61,Bronzo!$A:$A,0)-1,MATCH(I61,Bronzo!$A$1:$AA$1,0)-1)),4)</f>
        <v>0</v>
      </c>
      <c r="T61" s="238">
        <f t="shared" ca="1" si="46"/>
        <v>0</v>
      </c>
      <c r="U61" s="237"/>
      <c r="V61" s="238">
        <v>0</v>
      </c>
      <c r="W61" s="239">
        <f t="shared" ca="1" si="47"/>
        <v>1.47</v>
      </c>
      <c r="X61" s="423">
        <f t="shared" si="2"/>
        <v>17.7</v>
      </c>
      <c r="Y61" s="236">
        <v>4.08</v>
      </c>
      <c r="Z61" s="236">
        <f t="shared" ca="1" si="48"/>
        <v>0</v>
      </c>
      <c r="AA61" s="241"/>
      <c r="AF61" s="225">
        <f t="shared" ca="1" si="90"/>
        <v>46236</v>
      </c>
      <c r="AG61" s="225" t="b">
        <f t="shared" si="84"/>
        <v>1</v>
      </c>
      <c r="AH61" s="242" t="str">
        <f t="shared" si="85"/>
        <v/>
      </c>
      <c r="AK61" s="223">
        <f t="shared" si="86"/>
        <v>0</v>
      </c>
      <c r="AL61" s="223">
        <f t="shared" si="87"/>
        <v>1900</v>
      </c>
      <c r="AS61" s="223">
        <f t="shared" si="88"/>
        <v>0</v>
      </c>
      <c r="AT61" s="223">
        <f t="shared" si="89"/>
        <v>0</v>
      </c>
    </row>
    <row r="62" spans="2:46" ht="15.75" x14ac:dyDescent="0.25">
      <c r="B62" s="229" t="s">
        <v>555</v>
      </c>
      <c r="C62" s="245" t="s">
        <v>212</v>
      </c>
      <c r="D62" s="246">
        <v>661</v>
      </c>
      <c r="E62" s="232" t="s">
        <v>4</v>
      </c>
      <c r="F62" s="233">
        <v>2.61</v>
      </c>
      <c r="G62" s="234">
        <v>46087</v>
      </c>
      <c r="H62" s="235" t="s">
        <v>22</v>
      </c>
      <c r="I62" s="235"/>
      <c r="J62" s="236">
        <v>0.05</v>
      </c>
      <c r="K62" s="237">
        <f ca="1">ROUND(IF(ISERROR(OFFSET(Tabella!$A$1,MATCH(H62,Tabella!$A:$A,0)-1,MATCH(J62,Tabella!$A$1:$AC$1,0)-1)=TRUE),0,+OFFSET(Tabella!$A$1,MATCH(H62,Tabella!$A:$A,0)-1,MATCH(J62,Tabella!$A$1:$AC$1,0)-1)),4)</f>
        <v>0</v>
      </c>
      <c r="L62" s="238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238">
        <f ca="1">ROUND(IF(ISERROR(OFFSET(Rame!$A$1,MATCH(H62,Rame!$A:$A,0)-1,MATCH(J62,Rame!$A$1:$AA$1,0)-1)=TRUE),0,OFFSET(Rame!$A$1,MATCH(H62,Rame!$A:$A,0)-1,MATCH(J62,Rame!$A$1:$AA$1,0)-1))*IF(E62="Rame",1,0),4)</f>
        <v>0</v>
      </c>
      <c r="N62" s="238">
        <v>0</v>
      </c>
      <c r="O62" s="238">
        <v>1.47</v>
      </c>
      <c r="P62" s="238">
        <f ca="1">ROUND(+IF(ISERROR(OFFSET(Tabella!$G$1,MATCH(H62,Tabella!$G:$G,0)-1,MATCH(I62,Tabella!$G$1:$FG$1,0)-1)=TRUE),0,OFFSET(Tabella!$G$1,MATCH(H62,Tabella!$G:$G,0)-1,MATCH(I62,Tabella!$G$1:$AB$1,0)-1)),4)</f>
        <v>0</v>
      </c>
      <c r="Q62" s="238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238">
        <f ca="1">ROUND(IF(ISERROR(OFFSET(Rame!$F$1,MATCH(H62,Rame!$F:$F,0)-1,MATCH(I62,Rame!$F$1:$FF$1,0)-1)=TRUE),0,OFFSET(Rame!$F$1,MATCH(H62,Rame!$F:$F,0)-1,MATCH(I62,Rame!$F$1:$FF$1,0)-1))*IF(E62="Rame",1,0),4)</f>
        <v>0</v>
      </c>
      <c r="S62" s="238">
        <f ca="1">ROUND(IF(ISERROR(OFFSET(Bronzo!$A$1,MATCH(H62,Bronzo!$A:$A,0)-1,MATCH(I62,Bronzo!$A$1:$AA$1,0)-1)=TRUE),0,OFFSET(Bronzo!$A$1,MATCH(H62,Bronzo!$A:$A,0)-1,MATCH(I62,Bronzo!$A$1:$AA$1,0)-1)),4)</f>
        <v>0</v>
      </c>
      <c r="T62" s="238">
        <f t="shared" ca="1" si="46"/>
        <v>0</v>
      </c>
      <c r="U62" s="237"/>
      <c r="V62" s="238">
        <v>0</v>
      </c>
      <c r="W62" s="239">
        <f t="shared" ca="1" si="47"/>
        <v>1.47</v>
      </c>
      <c r="X62" s="423">
        <f t="shared" si="2"/>
        <v>33.049999999999997</v>
      </c>
      <c r="Y62" s="236">
        <v>4.08</v>
      </c>
      <c r="Z62" s="236">
        <f t="shared" ca="1" si="48"/>
        <v>0</v>
      </c>
      <c r="AA62" s="241"/>
      <c r="AF62" s="225">
        <f t="shared" ca="1" si="90"/>
        <v>46236</v>
      </c>
      <c r="AG62" s="225" t="b">
        <f t="shared" si="84"/>
        <v>1</v>
      </c>
      <c r="AH62" s="242" t="str">
        <f t="shared" si="85"/>
        <v/>
      </c>
      <c r="AK62" s="223">
        <f t="shared" si="86"/>
        <v>0</v>
      </c>
      <c r="AL62" s="223">
        <f t="shared" si="87"/>
        <v>1900</v>
      </c>
      <c r="AS62" s="223">
        <f t="shared" si="88"/>
        <v>0</v>
      </c>
      <c r="AT62" s="223">
        <f t="shared" si="89"/>
        <v>0</v>
      </c>
    </row>
    <row r="63" spans="2:46" ht="15.75" x14ac:dyDescent="0.25">
      <c r="B63" s="229" t="s">
        <v>555</v>
      </c>
      <c r="C63" s="245" t="s">
        <v>212</v>
      </c>
      <c r="D63" s="246">
        <v>1536</v>
      </c>
      <c r="E63" s="232" t="s">
        <v>4</v>
      </c>
      <c r="F63" s="233">
        <v>2.61</v>
      </c>
      <c r="G63" s="234">
        <v>46087</v>
      </c>
      <c r="H63" s="235" t="s">
        <v>308</v>
      </c>
      <c r="I63" s="235"/>
      <c r="J63" s="236">
        <v>0.05</v>
      </c>
      <c r="K63" s="237">
        <f ca="1">ROUND(IF(ISERROR(OFFSET(Tabella!$A$1,MATCH(H63,Tabella!$A:$A,0)-1,MATCH(J63,Tabella!$A$1:$AC$1,0)-1)=TRUE),0,+OFFSET(Tabella!$A$1,MATCH(H63,Tabella!$A:$A,0)-1,MATCH(J63,Tabella!$A$1:$AC$1,0)-1)),4)</f>
        <v>0</v>
      </c>
      <c r="L63" s="238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238">
        <f ca="1">ROUND(IF(ISERROR(OFFSET(Rame!$A$1,MATCH(H63,Rame!$A:$A,0)-1,MATCH(J63,Rame!$A$1:$AA$1,0)-1)=TRUE),0,OFFSET(Rame!$A$1,MATCH(H63,Rame!$A:$A,0)-1,MATCH(J63,Rame!$A$1:$AA$1,0)-1))*IF(E63="Rame",1,0),4)</f>
        <v>0</v>
      </c>
      <c r="N63" s="238">
        <v>0</v>
      </c>
      <c r="O63" s="238">
        <v>1.47</v>
      </c>
      <c r="P63" s="238">
        <f ca="1">ROUND(+IF(ISERROR(OFFSET(Tabella!$G$1,MATCH(H63,Tabella!$G:$G,0)-1,MATCH(I63,Tabella!$G$1:$FG$1,0)-1)=TRUE),0,OFFSET(Tabella!$G$1,MATCH(H63,Tabella!$G:$G,0)-1,MATCH(I63,Tabella!$G$1:$AB$1,0)-1)),4)</f>
        <v>0</v>
      </c>
      <c r="Q63" s="238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238">
        <f ca="1">ROUND(IF(ISERROR(OFFSET(Rame!$F$1,MATCH(H63,Rame!$F:$F,0)-1,MATCH(I63,Rame!$F$1:$FF$1,0)-1)=TRUE),0,OFFSET(Rame!$F$1,MATCH(H63,Rame!$F:$F,0)-1,MATCH(I63,Rame!$F$1:$FF$1,0)-1))*IF(E63="Rame",1,0),4)</f>
        <v>0</v>
      </c>
      <c r="S63" s="238">
        <f ca="1">ROUND(IF(ISERROR(OFFSET(Bronzo!$A$1,MATCH(H63,Bronzo!$A:$A,0)-1,MATCH(I63,Bronzo!$A$1:$AA$1,0)-1)=TRUE),0,OFFSET(Bronzo!$A$1,MATCH(H63,Bronzo!$A:$A,0)-1,MATCH(I63,Bronzo!$A$1:$AA$1,0)-1)),4)</f>
        <v>0</v>
      </c>
      <c r="T63" s="238">
        <f t="shared" ca="1" si="46"/>
        <v>0</v>
      </c>
      <c r="U63" s="237"/>
      <c r="V63" s="238">
        <v>0</v>
      </c>
      <c r="W63" s="239">
        <f t="shared" ca="1" si="47"/>
        <v>1.47</v>
      </c>
      <c r="X63" s="423">
        <f t="shared" si="2"/>
        <v>76.8</v>
      </c>
      <c r="Y63" s="236">
        <v>4.08</v>
      </c>
      <c r="Z63" s="236">
        <f t="shared" ca="1" si="48"/>
        <v>0</v>
      </c>
      <c r="AA63" s="241"/>
      <c r="AE63" s="223" t="s">
        <v>471</v>
      </c>
      <c r="AF63" s="225">
        <f t="shared" ca="1" si="90"/>
        <v>46236</v>
      </c>
      <c r="AG63" s="225" t="b">
        <f t="shared" si="84"/>
        <v>1</v>
      </c>
      <c r="AH63" s="242" t="str">
        <f t="shared" si="85"/>
        <v/>
      </c>
      <c r="AK63" s="223">
        <f t="shared" si="86"/>
        <v>0</v>
      </c>
      <c r="AL63" s="223">
        <f t="shared" si="87"/>
        <v>1900</v>
      </c>
      <c r="AS63" s="223">
        <f t="shared" si="88"/>
        <v>0</v>
      </c>
      <c r="AT63" s="223">
        <f t="shared" si="89"/>
        <v>0</v>
      </c>
    </row>
    <row r="64" spans="2:46" ht="15.75" x14ac:dyDescent="0.25">
      <c r="B64" s="229" t="s">
        <v>555</v>
      </c>
      <c r="C64" s="245" t="s">
        <v>212</v>
      </c>
      <c r="D64" s="246">
        <v>1358</v>
      </c>
      <c r="E64" s="232" t="s">
        <v>4</v>
      </c>
      <c r="F64" s="233">
        <v>2.61</v>
      </c>
      <c r="G64" s="234">
        <v>46087</v>
      </c>
      <c r="H64" s="235" t="s">
        <v>28</v>
      </c>
      <c r="I64" s="235"/>
      <c r="J64" s="236">
        <v>0.05</v>
      </c>
      <c r="K64" s="237">
        <f ca="1">ROUND(IF(ISERROR(OFFSET(Tabella!$A$1,MATCH(H64,Tabella!$A:$A,0)-1,MATCH(J64,Tabella!$A$1:$AC$1,0)-1)=TRUE),0,+OFFSET(Tabella!$A$1,MATCH(H64,Tabella!$A:$A,0)-1,MATCH(J64,Tabella!$A$1:$AC$1,0)-1)),4)</f>
        <v>0</v>
      </c>
      <c r="L64" s="238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238">
        <f ca="1">ROUND(IF(ISERROR(OFFSET(Rame!$A$1,MATCH(H64,Rame!$A:$A,0)-1,MATCH(J64,Rame!$A$1:$AA$1,0)-1)=TRUE),0,OFFSET(Rame!$A$1,MATCH(H64,Rame!$A:$A,0)-1,MATCH(J64,Rame!$A$1:$AA$1,0)-1))*IF(E64="Rame",1,0),4)</f>
        <v>0</v>
      </c>
      <c r="N64" s="238">
        <v>0</v>
      </c>
      <c r="O64" s="238">
        <v>1.47</v>
      </c>
      <c r="P64" s="238">
        <f ca="1">ROUND(+IF(ISERROR(OFFSET(Tabella!$G$1,MATCH(H64,Tabella!$G:$G,0)-1,MATCH(I64,Tabella!$G$1:$FG$1,0)-1)=TRUE),0,OFFSET(Tabella!$G$1,MATCH(H64,Tabella!$G:$G,0)-1,MATCH(I64,Tabella!$G$1:$AB$1,0)-1)),4)</f>
        <v>0</v>
      </c>
      <c r="Q64" s="238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238">
        <f ca="1">ROUND(IF(ISERROR(OFFSET(Rame!$F$1,MATCH(H64,Rame!$F:$F,0)-1,MATCH(I64,Rame!$F$1:$FF$1,0)-1)=TRUE),0,OFFSET(Rame!$F$1,MATCH(H64,Rame!$F:$F,0)-1,MATCH(I64,Rame!$F$1:$FF$1,0)-1))*IF(E64="Rame",1,0),4)</f>
        <v>0</v>
      </c>
      <c r="S64" s="238">
        <f ca="1">ROUND(IF(ISERROR(OFFSET(Bronzo!$A$1,MATCH(H64,Bronzo!$A:$A,0)-1,MATCH(I64,Bronzo!$A$1:$AA$1,0)-1)=TRUE),0,OFFSET(Bronzo!$A$1,MATCH(H64,Bronzo!$A:$A,0)-1,MATCH(I64,Bronzo!$A$1:$AA$1,0)-1)),4)</f>
        <v>0</v>
      </c>
      <c r="T64" s="238">
        <f t="shared" ca="1" si="46"/>
        <v>0</v>
      </c>
      <c r="U64" s="237"/>
      <c r="V64" s="238">
        <v>0</v>
      </c>
      <c r="W64" s="239">
        <f t="shared" ca="1" si="47"/>
        <v>1.47</v>
      </c>
      <c r="X64" s="423">
        <f t="shared" si="2"/>
        <v>67.900000000000006</v>
      </c>
      <c r="Y64" s="236">
        <v>4.08</v>
      </c>
      <c r="Z64" s="236">
        <f t="shared" ca="1" si="48"/>
        <v>0</v>
      </c>
      <c r="AA64" s="241"/>
      <c r="AF64" s="225">
        <f t="shared" ca="1" si="90"/>
        <v>46236</v>
      </c>
      <c r="AG64" s="225" t="b">
        <f t="shared" si="84"/>
        <v>1</v>
      </c>
      <c r="AH64" s="242" t="str">
        <f t="shared" si="85"/>
        <v/>
      </c>
      <c r="AK64" s="223">
        <f t="shared" si="86"/>
        <v>0</v>
      </c>
      <c r="AL64" s="223">
        <f t="shared" si="87"/>
        <v>1900</v>
      </c>
      <c r="AS64" s="223">
        <f t="shared" si="88"/>
        <v>0</v>
      </c>
      <c r="AT64" s="223">
        <f t="shared" si="89"/>
        <v>0</v>
      </c>
    </row>
    <row r="65" spans="2:46" ht="15.75" x14ac:dyDescent="0.25">
      <c r="B65" s="229" t="s">
        <v>555</v>
      </c>
      <c r="C65" s="245" t="s">
        <v>212</v>
      </c>
      <c r="D65" s="246">
        <v>852</v>
      </c>
      <c r="E65" s="232" t="s">
        <v>4</v>
      </c>
      <c r="F65" s="233">
        <v>2.61</v>
      </c>
      <c r="G65" s="234">
        <v>46087</v>
      </c>
      <c r="H65" s="235" t="s">
        <v>26</v>
      </c>
      <c r="I65" s="235"/>
      <c r="J65" s="236">
        <v>0.05</v>
      </c>
      <c r="K65" s="237">
        <f ca="1">ROUND(IF(ISERROR(OFFSET(Tabella!$A$1,MATCH(H65,Tabella!$A:$A,0)-1,MATCH(J65,Tabella!$A$1:$AC$1,0)-1)=TRUE),0,+OFFSET(Tabella!$A$1,MATCH(H65,Tabella!$A:$A,0)-1,MATCH(J65,Tabella!$A$1:$AC$1,0)-1)),4)</f>
        <v>0</v>
      </c>
      <c r="L65" s="238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238">
        <f ca="1">ROUND(IF(ISERROR(OFFSET(Rame!$A$1,MATCH(H65,Rame!$A:$A,0)-1,MATCH(J65,Rame!$A$1:$AA$1,0)-1)=TRUE),0,OFFSET(Rame!$A$1,MATCH(H65,Rame!$A:$A,0)-1,MATCH(J65,Rame!$A$1:$AA$1,0)-1))*IF(E65="Rame",1,0),4)</f>
        <v>0</v>
      </c>
      <c r="N65" s="238">
        <v>0</v>
      </c>
      <c r="O65" s="238">
        <v>1.47</v>
      </c>
      <c r="P65" s="238">
        <f ca="1">ROUND(+IF(ISERROR(OFFSET(Tabella!$G$1,MATCH(H65,Tabella!$G:$G,0)-1,MATCH(I65,Tabella!$G$1:$FG$1,0)-1)=TRUE),0,OFFSET(Tabella!$G$1,MATCH(H65,Tabella!$G:$G,0)-1,MATCH(I65,Tabella!$G$1:$AB$1,0)-1)),4)</f>
        <v>0</v>
      </c>
      <c r="Q65" s="238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238">
        <f ca="1">ROUND(IF(ISERROR(OFFSET(Rame!$F$1,MATCH(H65,Rame!$F:$F,0)-1,MATCH(I65,Rame!$F$1:$FF$1,0)-1)=TRUE),0,OFFSET(Rame!$F$1,MATCH(H65,Rame!$F:$F,0)-1,MATCH(I65,Rame!$F$1:$FF$1,0)-1))*IF(E65="Rame",1,0),4)</f>
        <v>0</v>
      </c>
      <c r="S65" s="238">
        <f ca="1">ROUND(IF(ISERROR(OFFSET(Bronzo!$A$1,MATCH(H65,Bronzo!$A:$A,0)-1,MATCH(I65,Bronzo!$A$1:$AA$1,0)-1)=TRUE),0,OFFSET(Bronzo!$A$1,MATCH(H65,Bronzo!$A:$A,0)-1,MATCH(I65,Bronzo!$A$1:$AA$1,0)-1)),4)</f>
        <v>0</v>
      </c>
      <c r="T65" s="238">
        <f t="shared" ca="1" si="46"/>
        <v>0</v>
      </c>
      <c r="U65" s="237"/>
      <c r="V65" s="238">
        <v>0</v>
      </c>
      <c r="W65" s="239">
        <f t="shared" ca="1" si="47"/>
        <v>1.47</v>
      </c>
      <c r="X65" s="423">
        <f t="shared" si="2"/>
        <v>42.6</v>
      </c>
      <c r="Y65" s="236">
        <v>4.08</v>
      </c>
      <c r="Z65" s="236">
        <f t="shared" ca="1" si="48"/>
        <v>0</v>
      </c>
      <c r="AA65" s="241"/>
      <c r="AF65" s="225">
        <f t="shared" ca="1" si="90"/>
        <v>46236</v>
      </c>
      <c r="AG65" s="225" t="b">
        <f t="shared" si="84"/>
        <v>1</v>
      </c>
      <c r="AH65" s="242" t="str">
        <f t="shared" si="85"/>
        <v/>
      </c>
      <c r="AK65" s="223">
        <f t="shared" si="86"/>
        <v>0</v>
      </c>
      <c r="AL65" s="223">
        <f t="shared" si="87"/>
        <v>1900</v>
      </c>
      <c r="AS65" s="223">
        <f t="shared" si="88"/>
        <v>0</v>
      </c>
      <c r="AT65" s="223">
        <f t="shared" si="89"/>
        <v>0</v>
      </c>
    </row>
    <row r="66" spans="2:46" ht="15.75" x14ac:dyDescent="0.25">
      <c r="B66" s="229" t="s">
        <v>461</v>
      </c>
      <c r="C66" s="235" t="s">
        <v>259</v>
      </c>
      <c r="D66" s="243">
        <v>400</v>
      </c>
      <c r="E66" s="232" t="s">
        <v>6</v>
      </c>
      <c r="F66" s="233">
        <v>11.05</v>
      </c>
      <c r="G66" s="234">
        <v>46087</v>
      </c>
      <c r="H66" s="235" t="s">
        <v>14</v>
      </c>
      <c r="I66" s="235"/>
      <c r="J66" s="236">
        <v>0.15</v>
      </c>
      <c r="K66" s="237">
        <f ca="1">ROUND(IF(ISERROR(OFFSET(Tabella!$A$1,MATCH(H66,Tabella!$A:$A,0)-1,MATCH(J66,Tabella!$A$1:$AC$1,0)-1)=TRUE),0,+OFFSET(Tabella!$A$1,MATCH(H66,Tabella!$A:$A,0)-1,MATCH(J66,Tabella!$A$1:$AC$1,0)-1)),4)</f>
        <v>0</v>
      </c>
      <c r="L66" s="238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238">
        <f ca="1">ROUND(IF(ISERROR(OFFSET(Rame!$A$1,MATCH(H66,Rame!$A:$A,0)-1,MATCH(J66,Rame!$A$1:$AA$1,0)-1)=TRUE),0,OFFSET(Rame!$A$1,MATCH(H66,Rame!$A:$A,0)-1,MATCH(J66,Rame!$A$1:$AA$1,0)-1))*IF(E66="Rame",1,0),4)</f>
        <v>1</v>
      </c>
      <c r="N66" s="238">
        <v>0</v>
      </c>
      <c r="O66" s="238">
        <f ca="1">ROUND(SUM(K66:N66),4)</f>
        <v>1</v>
      </c>
      <c r="P66" s="238">
        <f ca="1">ROUND(+IF(ISERROR(OFFSET(Tabella!$G$1,MATCH(H66,Tabella!$G:$G,0)-1,MATCH(I66,Tabella!$G$1:$FG$1,0)-1)=TRUE),0,OFFSET(Tabella!$G$1,MATCH(H66,Tabella!$G:$G,0)-1,MATCH(I66,Tabella!$G$1:$AB$1,0)-1)),4)</f>
        <v>0</v>
      </c>
      <c r="Q66" s="238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238">
        <f ca="1">ROUND(IF(ISERROR(OFFSET(Rame!$F$1,MATCH(H66,Rame!$F:$F,0)-1,MATCH(I66,Rame!$F$1:$FF$1,0)-1)=TRUE),0,OFFSET(Rame!$F$1,MATCH(H66,Rame!$F:$F,0)-1,MATCH(I66,Rame!$F$1:$FF$1,0)-1))*IF(E66="Rame",1,0),4)</f>
        <v>0</v>
      </c>
      <c r="S66" s="238">
        <f ca="1">ROUND(IF(ISERROR(OFFSET(Bronzo!$A$1,MATCH(H66,Bronzo!$A:$A,0)-1,MATCH(I66,Bronzo!$A$1:$AA$1,0)-1)=TRUE),0,OFFSET(Bronzo!$A$1,MATCH(H66,Bronzo!$A:$A,0)-1,MATCH(I66,Bronzo!$A$1:$AA$1,0)-1)),4)</f>
        <v>0</v>
      </c>
      <c r="T66" s="238">
        <f t="shared" ca="1" si="46"/>
        <v>0</v>
      </c>
      <c r="U66" s="237"/>
      <c r="V66" s="238">
        <v>0</v>
      </c>
      <c r="W66" s="239">
        <f t="shared" ca="1" si="47"/>
        <v>1</v>
      </c>
      <c r="X66" s="240">
        <f t="shared" si="2"/>
        <v>60</v>
      </c>
      <c r="Y66" s="236">
        <v>14.7</v>
      </c>
      <c r="Z66" s="236">
        <f t="shared" ca="1" si="48"/>
        <v>2.65</v>
      </c>
      <c r="AA66" s="241">
        <v>46122</v>
      </c>
      <c r="AF66" s="225">
        <f t="shared" ca="1" si="90"/>
        <v>46236</v>
      </c>
      <c r="AG66" s="225" t="b">
        <f t="shared" si="84"/>
        <v>0</v>
      </c>
      <c r="AH66" s="242">
        <f t="shared" ca="1" si="85"/>
        <v>-114</v>
      </c>
      <c r="AK66" s="223">
        <f t="shared" si="86"/>
        <v>15</v>
      </c>
      <c r="AL66" s="223">
        <f t="shared" si="87"/>
        <v>2026</v>
      </c>
      <c r="AS66" s="223">
        <f t="shared" si="88"/>
        <v>4</v>
      </c>
      <c r="AT66" s="223">
        <f t="shared" si="89"/>
        <v>2026</v>
      </c>
    </row>
    <row r="67" spans="2:46" ht="15.75" x14ac:dyDescent="0.25">
      <c r="B67" s="229" t="s">
        <v>558</v>
      </c>
      <c r="C67" s="245" t="s">
        <v>212</v>
      </c>
      <c r="D67" s="246">
        <v>516</v>
      </c>
      <c r="E67" s="232" t="s">
        <v>4</v>
      </c>
      <c r="F67" s="233">
        <v>2.61</v>
      </c>
      <c r="G67" s="234">
        <v>46091</v>
      </c>
      <c r="H67" s="235" t="s">
        <v>21</v>
      </c>
      <c r="I67" s="235"/>
      <c r="J67" s="236">
        <v>0.05</v>
      </c>
      <c r="K67" s="237">
        <f ca="1">ROUND(IF(ISERROR(OFFSET(Tabella!$A$1,MATCH(H67,Tabella!$A:$A,0)-1,MATCH(J67,Tabella!$A$1:$AC$1,0)-1)=TRUE),0,+OFFSET(Tabella!$A$1,MATCH(H67,Tabella!$A:$A,0)-1,MATCH(J67,Tabella!$A$1:$AC$1,0)-1)),4)</f>
        <v>0</v>
      </c>
      <c r="L67" s="238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238">
        <f ca="1">ROUND(IF(ISERROR(OFFSET(Rame!$A$1,MATCH(H67,Rame!$A:$A,0)-1,MATCH(J67,Rame!$A$1:$AA$1,0)-1)=TRUE),0,OFFSET(Rame!$A$1,MATCH(H67,Rame!$A:$A,0)-1,MATCH(J67,Rame!$A$1:$AA$1,0)-1))*IF(E67="Rame",1,0),4)</f>
        <v>0</v>
      </c>
      <c r="N67" s="238">
        <v>0</v>
      </c>
      <c r="O67" s="238">
        <v>1.5</v>
      </c>
      <c r="P67" s="238">
        <f ca="1">ROUND(+IF(ISERROR(OFFSET(Tabella!$G$1,MATCH(H67,Tabella!$G:$G,0)-1,MATCH(I67,Tabella!$G$1:$FG$1,0)-1)=TRUE),0,OFFSET(Tabella!$G$1,MATCH(H67,Tabella!$G:$G,0)-1,MATCH(I67,Tabella!$G$1:$AB$1,0)-1)),4)</f>
        <v>0</v>
      </c>
      <c r="Q67" s="238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238">
        <f ca="1">ROUND(IF(ISERROR(OFFSET(Rame!$F$1,MATCH(H67,Rame!$F:$F,0)-1,MATCH(I67,Rame!$F$1:$FF$1,0)-1)=TRUE),0,OFFSET(Rame!$F$1,MATCH(H67,Rame!$F:$F,0)-1,MATCH(I67,Rame!$F$1:$FF$1,0)-1))*IF(E67="Rame",1,0),4)</f>
        <v>0</v>
      </c>
      <c r="S67" s="238">
        <f ca="1">ROUND(IF(ISERROR(OFFSET(Bronzo!$A$1,MATCH(H67,Bronzo!$A:$A,0)-1,MATCH(I67,Bronzo!$A$1:$AA$1,0)-1)=TRUE),0,OFFSET(Bronzo!$A$1,MATCH(H67,Bronzo!$A:$A,0)-1,MATCH(I67,Bronzo!$A$1:$AA$1,0)-1)),4)</f>
        <v>0</v>
      </c>
      <c r="T67" s="238">
        <f t="shared" ca="1" si="46"/>
        <v>0</v>
      </c>
      <c r="U67" s="237"/>
      <c r="V67" s="238">
        <v>0</v>
      </c>
      <c r="W67" s="239">
        <f t="shared" ca="1" si="47"/>
        <v>1.5</v>
      </c>
      <c r="X67" s="423">
        <f t="shared" si="2"/>
        <v>25.8</v>
      </c>
      <c r="Y67" s="236">
        <v>4.08</v>
      </c>
      <c r="Z67" s="236">
        <f t="shared" ca="1" si="48"/>
        <v>-0.03</v>
      </c>
      <c r="AA67" s="241"/>
      <c r="AF67" s="225">
        <f t="shared" ca="1" si="90"/>
        <v>46236</v>
      </c>
      <c r="AG67" s="225" t="b">
        <f t="shared" ref="AG67:AG99" si="91">ISBLANK(AA67)</f>
        <v>1</v>
      </c>
      <c r="AH67" s="242" t="str">
        <f t="shared" ref="AH67:AH99" si="92">IF(AG67=FALSE,_xlfn.DAYS(AA67,AF67),"")</f>
        <v/>
      </c>
      <c r="AK67" s="223">
        <f t="shared" ref="AK67:AK99" si="93">WEEKNUM(AA67)</f>
        <v>0</v>
      </c>
      <c r="AL67" s="223">
        <f t="shared" ref="AL67:AL99" si="94">YEAR(AA67)</f>
        <v>1900</v>
      </c>
      <c r="AS67" s="223">
        <f t="shared" ref="AS67:AS102" si="95">IF(AA67="",0,MONTH(AA67))</f>
        <v>0</v>
      </c>
      <c r="AT67" s="223">
        <f t="shared" ref="AT67:AT102" si="96">IF(AA67="",0,YEAR(AA67))</f>
        <v>0</v>
      </c>
    </row>
    <row r="68" spans="2:46" ht="15.75" x14ac:dyDescent="0.25">
      <c r="B68" s="229" t="s">
        <v>559</v>
      </c>
      <c r="C68" s="245" t="s">
        <v>212</v>
      </c>
      <c r="D68" s="246">
        <v>903</v>
      </c>
      <c r="E68" s="232" t="s">
        <v>4</v>
      </c>
      <c r="F68" s="233">
        <v>2.61</v>
      </c>
      <c r="G68" s="234">
        <v>46091</v>
      </c>
      <c r="H68" s="235" t="s">
        <v>21</v>
      </c>
      <c r="I68" s="235"/>
      <c r="J68" s="236">
        <v>0.05</v>
      </c>
      <c r="K68" s="237">
        <f ca="1">ROUND(IF(ISERROR(OFFSET(Tabella!$A$1,MATCH(H68,Tabella!$A:$A,0)-1,MATCH(J68,Tabella!$A$1:$AC$1,0)-1)=TRUE),0,+OFFSET(Tabella!$A$1,MATCH(H68,Tabella!$A:$A,0)-1,MATCH(J68,Tabella!$A$1:$AC$1,0)-1)),4)</f>
        <v>0</v>
      </c>
      <c r="L68" s="238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238">
        <f ca="1">ROUND(IF(ISERROR(OFFSET(Rame!$A$1,MATCH(H68,Rame!$A:$A,0)-1,MATCH(J68,Rame!$A$1:$AA$1,0)-1)=TRUE),0,OFFSET(Rame!$A$1,MATCH(H68,Rame!$A:$A,0)-1,MATCH(J68,Rame!$A$1:$AA$1,0)-1))*IF(E68="Rame",1,0),4)</f>
        <v>0</v>
      </c>
      <c r="N68" s="238">
        <v>0</v>
      </c>
      <c r="O68" s="238">
        <v>1.5</v>
      </c>
      <c r="P68" s="238">
        <f ca="1">ROUND(+IF(ISERROR(OFFSET(Tabella!$G$1,MATCH(H68,Tabella!$G:$G,0)-1,MATCH(I68,Tabella!$G$1:$FG$1,0)-1)=TRUE),0,OFFSET(Tabella!$G$1,MATCH(H68,Tabella!$G:$G,0)-1,MATCH(I68,Tabella!$G$1:$AB$1,0)-1)),4)</f>
        <v>0</v>
      </c>
      <c r="Q68" s="238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238">
        <f ca="1">ROUND(IF(ISERROR(OFFSET(Rame!$F$1,MATCH(H68,Rame!$F:$F,0)-1,MATCH(I68,Rame!$F$1:$FF$1,0)-1)=TRUE),0,OFFSET(Rame!$F$1,MATCH(H68,Rame!$F:$F,0)-1,MATCH(I68,Rame!$F$1:$FF$1,0)-1))*IF(E68="Rame",1,0),4)</f>
        <v>0</v>
      </c>
      <c r="S68" s="238">
        <f ca="1">ROUND(IF(ISERROR(OFFSET(Bronzo!$A$1,MATCH(H68,Bronzo!$A:$A,0)-1,MATCH(I68,Bronzo!$A$1:$AA$1,0)-1)=TRUE),0,OFFSET(Bronzo!$A$1,MATCH(H68,Bronzo!$A:$A,0)-1,MATCH(I68,Bronzo!$A$1:$AA$1,0)-1)),4)</f>
        <v>0</v>
      </c>
      <c r="T68" s="238">
        <f t="shared" ca="1" si="46"/>
        <v>0</v>
      </c>
      <c r="U68" s="237"/>
      <c r="V68" s="238">
        <v>0</v>
      </c>
      <c r="W68" s="239">
        <f t="shared" ca="1" si="47"/>
        <v>1.5</v>
      </c>
      <c r="X68" s="423">
        <f t="shared" si="2"/>
        <v>45.15</v>
      </c>
      <c r="Y68" s="236">
        <v>4.08</v>
      </c>
      <c r="Z68" s="236">
        <f t="shared" ca="1" si="48"/>
        <v>-0.03</v>
      </c>
      <c r="AA68" s="241"/>
      <c r="AF68" s="225">
        <f t="shared" ca="1" si="90"/>
        <v>46236</v>
      </c>
      <c r="AG68" s="225" t="b">
        <f t="shared" ref="AG68" si="97">ISBLANK(AA68)</f>
        <v>1</v>
      </c>
      <c r="AH68" s="242" t="str">
        <f t="shared" ref="AH68" si="98">IF(AG68=FALSE,_xlfn.DAYS(AA68,AF68),"")</f>
        <v/>
      </c>
      <c r="AK68" s="223">
        <f t="shared" ref="AK68" si="99">WEEKNUM(AA68)</f>
        <v>0</v>
      </c>
      <c r="AL68" s="223">
        <f t="shared" ref="AL68" si="100">YEAR(AA68)</f>
        <v>1900</v>
      </c>
      <c r="AS68" s="223">
        <f t="shared" ref="AS68" si="101">IF(AA68="",0,MONTH(AA68))</f>
        <v>0</v>
      </c>
      <c r="AT68" s="223">
        <f t="shared" ref="AT68" si="102">IF(AA68="",0,YEAR(AA68))</f>
        <v>0</v>
      </c>
    </row>
    <row r="69" spans="2:46" ht="15.75" x14ac:dyDescent="0.25">
      <c r="B69" s="229" t="s">
        <v>621</v>
      </c>
      <c r="C69" s="245" t="s">
        <v>304</v>
      </c>
      <c r="D69" s="246">
        <v>293</v>
      </c>
      <c r="E69" s="232" t="s">
        <v>6</v>
      </c>
      <c r="F69" s="233">
        <v>11.1</v>
      </c>
      <c r="G69" s="234">
        <v>46091</v>
      </c>
      <c r="H69" s="235" t="s">
        <v>14</v>
      </c>
      <c r="I69" s="235"/>
      <c r="J69" s="236">
        <v>0.15</v>
      </c>
      <c r="K69" s="237">
        <f ca="1">ROUND(IF(ISERROR(OFFSET(Tabella!$A$1,MATCH(H69,Tabella!$A:$A,0)-1,MATCH(J69,Tabella!$A$1:$AC$1,0)-1)=TRUE),0,+OFFSET(Tabella!$A$1,MATCH(H69,Tabella!$A:$A,0)-1,MATCH(J69,Tabella!$A$1:$AC$1,0)-1)),4)</f>
        <v>0</v>
      </c>
      <c r="L69" s="238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238">
        <f ca="1">ROUND(IF(ISERROR(OFFSET(Rame!$A$1,MATCH(H69,Rame!$A:$A,0)-1,MATCH(J69,Rame!$A$1:$AA$1,0)-1)=TRUE),0,OFFSET(Rame!$A$1,MATCH(H69,Rame!$A:$A,0)-1,MATCH(J69,Rame!$A$1:$AA$1,0)-1))*IF(E69="Rame",1,0),4)</f>
        <v>1</v>
      </c>
      <c r="N69" s="238">
        <v>0</v>
      </c>
      <c r="O69" s="238">
        <f ca="1">ROUND(SUM(K69:N69),4)</f>
        <v>1</v>
      </c>
      <c r="P69" s="238">
        <f ca="1">ROUND(+IF(ISERROR(OFFSET(Tabella!$G$1,MATCH(H69,Tabella!$G:$G,0)-1,MATCH(I69,Tabella!$G$1:$FG$1,0)-1)=TRUE),0,OFFSET(Tabella!$G$1,MATCH(H69,Tabella!$G:$G,0)-1,MATCH(I69,Tabella!$G$1:$AB$1,0)-1)),4)</f>
        <v>0</v>
      </c>
      <c r="Q69" s="238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238">
        <f ca="1">ROUND(IF(ISERROR(OFFSET(Rame!$F$1,MATCH(H69,Rame!$F:$F,0)-1,MATCH(I69,Rame!$F$1:$FF$1,0)-1)=TRUE),0,OFFSET(Rame!$F$1,MATCH(H69,Rame!$F:$F,0)-1,MATCH(I69,Rame!$F$1:$FF$1,0)-1))*IF(E69="Rame",1,0),4)</f>
        <v>0</v>
      </c>
      <c r="S69" s="238">
        <f ca="1">ROUND(IF(ISERROR(OFFSET(Bronzo!$A$1,MATCH(H69,Bronzo!$A:$A,0)-1,MATCH(I69,Bronzo!$A$1:$AA$1,0)-1)=TRUE),0,OFFSET(Bronzo!$A$1,MATCH(H69,Bronzo!$A:$A,0)-1,MATCH(I69,Bronzo!$A$1:$AA$1,0)-1)),4)</f>
        <v>0</v>
      </c>
      <c r="T69" s="238">
        <f t="shared" ca="1" si="46"/>
        <v>0</v>
      </c>
      <c r="U69" s="237"/>
      <c r="V69" s="238">
        <v>0</v>
      </c>
      <c r="W69" s="239">
        <f t="shared" ca="1" si="47"/>
        <v>1</v>
      </c>
      <c r="X69" s="423">
        <f t="shared" si="2"/>
        <v>43.95</v>
      </c>
      <c r="Y69" s="236">
        <v>14.8</v>
      </c>
      <c r="Z69" s="236">
        <f t="shared" ca="1" si="48"/>
        <v>2.7</v>
      </c>
      <c r="AA69" s="241"/>
      <c r="AF69" s="225">
        <f t="shared" ca="1" si="90"/>
        <v>46236</v>
      </c>
      <c r="AG69" s="225" t="b">
        <f t="shared" si="91"/>
        <v>1</v>
      </c>
      <c r="AH69" s="242" t="str">
        <f t="shared" si="92"/>
        <v/>
      </c>
      <c r="AK69" s="223">
        <f t="shared" si="93"/>
        <v>0</v>
      </c>
      <c r="AL69" s="223">
        <f t="shared" si="94"/>
        <v>1900</v>
      </c>
      <c r="AS69" s="223">
        <f t="shared" si="95"/>
        <v>0</v>
      </c>
      <c r="AT69" s="223">
        <f t="shared" si="96"/>
        <v>0</v>
      </c>
    </row>
    <row r="70" spans="2:46" ht="15.75" x14ac:dyDescent="0.25">
      <c r="B70" s="229" t="s">
        <v>458</v>
      </c>
      <c r="C70" s="235" t="s">
        <v>396</v>
      </c>
      <c r="D70" s="243">
        <v>300</v>
      </c>
      <c r="E70" s="232" t="s">
        <v>4</v>
      </c>
      <c r="F70" s="233">
        <v>2.86</v>
      </c>
      <c r="G70" s="234">
        <v>46091</v>
      </c>
      <c r="H70" s="235" t="s">
        <v>9</v>
      </c>
      <c r="I70" s="235"/>
      <c r="J70" s="236">
        <v>7.0000000000000007E-2</v>
      </c>
      <c r="K70" s="237">
        <f ca="1">ROUND(IF(ISERROR(OFFSET(Tabella!$A$1,MATCH(H70,Tabella!$A:$A,0)-1,MATCH(J70,Tabella!$A$1:$AC$1,0)-1)=TRUE),0,+OFFSET(Tabella!$A$1,MATCH(H70,Tabella!$A:$A,0)-1,MATCH(J70,Tabella!$A$1:$AC$1,0)-1)),4)</f>
        <v>1.6</v>
      </c>
      <c r="L70" s="238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238">
        <f ca="1">ROUND(IF(ISERROR(OFFSET(Rame!$A$1,MATCH(H70,Rame!$A:$A,0)-1,MATCH(J70,Rame!$A$1:$AA$1,0)-1)=TRUE),0,OFFSET(Rame!$A$1,MATCH(H70,Rame!$A:$A,0)-1,MATCH(J70,Rame!$A$1:$AA$1,0)-1))*IF(E70="Rame",1,0),4)</f>
        <v>0</v>
      </c>
      <c r="N70" s="238">
        <v>0</v>
      </c>
      <c r="O70" s="238">
        <f ca="1">ROUND(SUM(K70:N70),4)</f>
        <v>1.6</v>
      </c>
      <c r="P70" s="238">
        <f ca="1">ROUND(+IF(ISERROR(OFFSET(Tabella!$G$1,MATCH(H70,Tabella!$G:$G,0)-1,MATCH(I70,Tabella!$G$1:$FG$1,0)-1)=TRUE),0,OFFSET(Tabella!$G$1,MATCH(H70,Tabella!$G:$G,0)-1,MATCH(I70,Tabella!$G$1:$AB$1,0)-1)),4)</f>
        <v>0</v>
      </c>
      <c r="Q70" s="238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238">
        <f ca="1">ROUND(IF(ISERROR(OFFSET(Rame!$F$1,MATCH(H70,Rame!$F:$F,0)-1,MATCH(I70,Rame!$F$1:$FF$1,0)-1)=TRUE),0,OFFSET(Rame!$F$1,MATCH(H70,Rame!$F:$F,0)-1,MATCH(I70,Rame!$F$1:$FF$1,0)-1))*IF(E70="Rame",1,0),4)</f>
        <v>0</v>
      </c>
      <c r="S70" s="238">
        <f ca="1">ROUND(IF(ISERROR(OFFSET(Bronzo!$A$1,MATCH(H70,Bronzo!$A:$A,0)-1,MATCH(I70,Bronzo!$A$1:$AA$1,0)-1)=TRUE),0,OFFSET(Bronzo!$A$1,MATCH(H70,Bronzo!$A:$A,0)-1,MATCH(I70,Bronzo!$A$1:$AA$1,0)-1)),4)</f>
        <v>0</v>
      </c>
      <c r="T70" s="238">
        <f t="shared" ca="1" si="46"/>
        <v>0</v>
      </c>
      <c r="U70" s="237"/>
      <c r="V70" s="238">
        <v>0</v>
      </c>
      <c r="W70" s="239">
        <f t="shared" ca="1" si="47"/>
        <v>1.6</v>
      </c>
      <c r="X70" s="240">
        <f t="shared" ref="X70:X134" si="103">ROUND(+J70*D70,4)</f>
        <v>21</v>
      </c>
      <c r="Y70" s="236">
        <v>4.88</v>
      </c>
      <c r="Z70" s="236">
        <f t="shared" ca="1" si="48"/>
        <v>0.42</v>
      </c>
      <c r="AA70" s="241">
        <v>46192</v>
      </c>
      <c r="AF70" s="225">
        <f t="shared" ca="1" si="90"/>
        <v>46236</v>
      </c>
      <c r="AG70" s="225" t="b">
        <f t="shared" si="91"/>
        <v>0</v>
      </c>
      <c r="AH70" s="242">
        <f t="shared" ca="1" si="92"/>
        <v>-44</v>
      </c>
      <c r="AK70" s="223">
        <f t="shared" si="93"/>
        <v>25</v>
      </c>
      <c r="AL70" s="223">
        <f t="shared" si="94"/>
        <v>2026</v>
      </c>
      <c r="AS70" s="223">
        <f t="shared" si="95"/>
        <v>6</v>
      </c>
      <c r="AT70" s="223">
        <f t="shared" si="96"/>
        <v>2026</v>
      </c>
    </row>
    <row r="71" spans="2:46" ht="15.75" x14ac:dyDescent="0.25">
      <c r="B71" s="229" t="s">
        <v>462</v>
      </c>
      <c r="C71" s="412" t="s">
        <v>437</v>
      </c>
      <c r="D71" s="243">
        <v>1500</v>
      </c>
      <c r="E71" s="232" t="s">
        <v>6</v>
      </c>
      <c r="F71" s="233">
        <v>11.22</v>
      </c>
      <c r="G71" s="234">
        <v>46091</v>
      </c>
      <c r="H71" s="235" t="s">
        <v>18</v>
      </c>
      <c r="I71" s="235"/>
      <c r="J71" s="236">
        <v>0.15</v>
      </c>
      <c r="K71" s="237">
        <f ca="1">ROUND(IF(ISERROR(OFFSET(Tabella!$A$1,MATCH(H71,Tabella!$A:$A,0)-1,MATCH(J71,Tabella!$A$1:$AC$1,0)-1)=TRUE),0,+OFFSET(Tabella!$A$1,MATCH(H71,Tabella!$A:$A,0)-1,MATCH(J71,Tabella!$A$1:$AC$1,0)-1)),4)</f>
        <v>0</v>
      </c>
      <c r="L71" s="238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238">
        <f ca="1">ROUND(IF(ISERROR(OFFSET(Rame!$A$1,MATCH(H71,Rame!$A:$A,0)-1,MATCH(J71,Rame!$A$1:$AA$1,0)-1)=TRUE),0,OFFSET(Rame!$A$1,MATCH(H71,Rame!$A:$A,0)-1,MATCH(J71,Rame!$A$1:$AA$1,0)-1))*IF(E71="Rame",1,0),4)</f>
        <v>0.82</v>
      </c>
      <c r="N71" s="238">
        <v>0</v>
      </c>
      <c r="O71" s="238">
        <f ca="1">ROUND(SUM(K71:N71),4)</f>
        <v>0.82</v>
      </c>
      <c r="P71" s="238">
        <f ca="1">ROUND(+IF(ISERROR(OFFSET(Tabella!$G$1,MATCH(H71,Tabella!$G:$G,0)-1,MATCH(I71,Tabella!$G$1:$FG$1,0)-1)=TRUE),0,OFFSET(Tabella!$G$1,MATCH(H71,Tabella!$G:$G,0)-1,MATCH(I71,Tabella!$G$1:$AB$1,0)-1)),4)</f>
        <v>0</v>
      </c>
      <c r="Q71" s="238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238">
        <f ca="1">ROUND(IF(ISERROR(OFFSET(Rame!$F$1,MATCH(H71,Rame!$F:$F,0)-1,MATCH(I71,Rame!$F$1:$FF$1,0)-1)=TRUE),0,OFFSET(Rame!$F$1,MATCH(H71,Rame!$F:$F,0)-1,MATCH(I71,Rame!$F$1:$FF$1,0)-1))*IF(E71="Rame",1,0),4)</f>
        <v>0</v>
      </c>
      <c r="S71" s="238">
        <f ca="1">ROUND(IF(ISERROR(OFFSET(Bronzo!$A$1,MATCH(H71,Bronzo!$A:$A,0)-1,MATCH(I71,Bronzo!$A$1:$AA$1,0)-1)=TRUE),0,OFFSET(Bronzo!$A$1,MATCH(H71,Bronzo!$A:$A,0)-1,MATCH(I71,Bronzo!$A$1:$AA$1,0)-1)),4)</f>
        <v>0</v>
      </c>
      <c r="T71" s="238">
        <f t="shared" ca="1" si="46"/>
        <v>0</v>
      </c>
      <c r="U71" s="237"/>
      <c r="V71" s="238">
        <v>0</v>
      </c>
      <c r="W71" s="239">
        <f t="shared" ca="1" si="47"/>
        <v>0.82</v>
      </c>
      <c r="X71" s="240">
        <f t="shared" si="103"/>
        <v>225</v>
      </c>
      <c r="Y71" s="236">
        <v>14.77</v>
      </c>
      <c r="Z71" s="236">
        <f t="shared" ca="1" si="48"/>
        <v>2.73</v>
      </c>
      <c r="AA71" s="241">
        <v>46169</v>
      </c>
      <c r="AF71" s="225">
        <f t="shared" ca="1" si="90"/>
        <v>46236</v>
      </c>
      <c r="AG71" s="225" t="b">
        <f t="shared" si="91"/>
        <v>0</v>
      </c>
      <c r="AH71" s="242">
        <f t="shared" ca="1" si="92"/>
        <v>-67</v>
      </c>
      <c r="AK71" s="223">
        <f t="shared" si="93"/>
        <v>22</v>
      </c>
      <c r="AL71" s="223">
        <f t="shared" si="94"/>
        <v>2026</v>
      </c>
      <c r="AS71" s="223">
        <f t="shared" si="95"/>
        <v>5</v>
      </c>
      <c r="AT71" s="223">
        <f t="shared" si="96"/>
        <v>2026</v>
      </c>
    </row>
    <row r="72" spans="2:46" ht="15.75" x14ac:dyDescent="0.25">
      <c r="B72" s="229" t="s">
        <v>463</v>
      </c>
      <c r="C72" s="235" t="s">
        <v>208</v>
      </c>
      <c r="D72" s="243">
        <v>5000</v>
      </c>
      <c r="E72" s="232" t="s">
        <v>4</v>
      </c>
      <c r="F72" s="233">
        <v>2.91</v>
      </c>
      <c r="G72" s="234">
        <v>46091</v>
      </c>
      <c r="H72" s="235" t="s">
        <v>13</v>
      </c>
      <c r="I72" s="235"/>
      <c r="J72" s="236">
        <v>0.05</v>
      </c>
      <c r="K72" s="237">
        <f ca="1">ROUND(IF(ISERROR(OFFSET(Tabella!$A$1,MATCH(H72,Tabella!$A:$A,0)-1,MATCH(J72,Tabella!$A$1:$AC$1,0)-1)=TRUE),0,+OFFSET(Tabella!$A$1,MATCH(H72,Tabella!$A:$A,0)-1,MATCH(J72,Tabella!$A$1:$AC$1,0)-1)),4)</f>
        <v>0</v>
      </c>
      <c r="L72" s="238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238">
        <f ca="1">ROUND(IF(ISERROR(OFFSET(Rame!$A$1,MATCH(H72,Rame!$A:$A,0)-1,MATCH(J72,Rame!$A$1:$AA$1,0)-1)=TRUE),0,OFFSET(Rame!$A$1,MATCH(H72,Rame!$A:$A,0)-1,MATCH(J72,Rame!$A$1:$AA$1,0)-1))*IF(E72="Rame",1,0),4)</f>
        <v>0</v>
      </c>
      <c r="N72" s="238">
        <v>0</v>
      </c>
      <c r="O72" s="238">
        <v>1.75</v>
      </c>
      <c r="P72" s="238">
        <f ca="1">ROUND(+IF(ISERROR(OFFSET(Tabella!$G$1,MATCH(H72,Tabella!$G:$G,0)-1,MATCH(I72,Tabella!$G$1:$FG$1,0)-1)=TRUE),0,OFFSET(Tabella!$G$1,MATCH(H72,Tabella!$G:$G,0)-1,MATCH(I72,Tabella!$G$1:$AB$1,0)-1)),4)</f>
        <v>0</v>
      </c>
      <c r="Q72" s="238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238">
        <f ca="1">ROUND(IF(ISERROR(OFFSET(Rame!$F$1,MATCH(H72,Rame!$F:$F,0)-1,MATCH(I72,Rame!$F$1:$FF$1,0)-1)=TRUE),0,OFFSET(Rame!$F$1,MATCH(H72,Rame!$F:$F,0)-1,MATCH(I72,Rame!$F$1:$FF$1,0)-1))*IF(E72="Rame",1,0),4)</f>
        <v>0</v>
      </c>
      <c r="S72" s="238">
        <f ca="1">ROUND(IF(ISERROR(OFFSET(Bronzo!$A$1,MATCH(H72,Bronzo!$A:$A,0)-1,MATCH(I72,Bronzo!$A$1:$AA$1,0)-1)=TRUE),0,OFFSET(Bronzo!$A$1,MATCH(H72,Bronzo!$A:$A,0)-1,MATCH(I72,Bronzo!$A$1:$AA$1,0)-1)),4)</f>
        <v>0</v>
      </c>
      <c r="T72" s="238">
        <f t="shared" ca="1" si="46"/>
        <v>0</v>
      </c>
      <c r="U72" s="237"/>
      <c r="V72" s="238">
        <v>0</v>
      </c>
      <c r="W72" s="239">
        <f t="shared" ca="1" si="47"/>
        <v>1.75</v>
      </c>
      <c r="X72" s="240">
        <f t="shared" si="103"/>
        <v>250</v>
      </c>
      <c r="Y72" s="236">
        <v>4.45</v>
      </c>
      <c r="Z72" s="236">
        <f t="shared" ca="1" si="48"/>
        <v>-0.21</v>
      </c>
      <c r="AA72" s="241">
        <v>46152</v>
      </c>
      <c r="AF72" s="225">
        <f t="shared" ca="1" si="90"/>
        <v>46236</v>
      </c>
      <c r="AG72" s="225" t="b">
        <f t="shared" si="91"/>
        <v>0</v>
      </c>
      <c r="AH72" s="242">
        <f t="shared" ca="1" si="92"/>
        <v>-84</v>
      </c>
      <c r="AK72" s="223">
        <f t="shared" si="93"/>
        <v>20</v>
      </c>
      <c r="AL72" s="223">
        <f t="shared" si="94"/>
        <v>2026</v>
      </c>
      <c r="AS72" s="223">
        <f t="shared" si="95"/>
        <v>5</v>
      </c>
      <c r="AT72" s="223">
        <f t="shared" si="96"/>
        <v>2026</v>
      </c>
    </row>
    <row r="73" spans="2:46" ht="15.75" x14ac:dyDescent="0.25">
      <c r="B73" s="229" t="s">
        <v>463</v>
      </c>
      <c r="C73" s="235" t="s">
        <v>208</v>
      </c>
      <c r="D73" s="243">
        <v>5000</v>
      </c>
      <c r="E73" s="232" t="s">
        <v>4</v>
      </c>
      <c r="F73" s="233">
        <v>2.91</v>
      </c>
      <c r="G73" s="234">
        <v>46091</v>
      </c>
      <c r="H73" s="235" t="s">
        <v>13</v>
      </c>
      <c r="I73" s="235"/>
      <c r="J73" s="236">
        <v>0.05</v>
      </c>
      <c r="K73" s="237">
        <f ca="1">ROUND(IF(ISERROR(OFFSET(Tabella!$A$1,MATCH(H73,Tabella!$A:$A,0)-1,MATCH(J73,Tabella!$A$1:$AC$1,0)-1)=TRUE),0,+OFFSET(Tabella!$A$1,MATCH(H73,Tabella!$A:$A,0)-1,MATCH(J73,Tabella!$A$1:$AC$1,0)-1)),4)</f>
        <v>0</v>
      </c>
      <c r="L73" s="238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238">
        <f ca="1">ROUND(IF(ISERROR(OFFSET(Rame!$A$1,MATCH(H73,Rame!$A:$A,0)-1,MATCH(J73,Rame!$A$1:$AA$1,0)-1)=TRUE),0,OFFSET(Rame!$A$1,MATCH(H73,Rame!$A:$A,0)-1,MATCH(J73,Rame!$A$1:$AA$1,0)-1))*IF(E73="Rame",1,0),4)</f>
        <v>0</v>
      </c>
      <c r="N73" s="238">
        <v>0</v>
      </c>
      <c r="O73" s="238">
        <v>1.75</v>
      </c>
      <c r="P73" s="238">
        <f ca="1">ROUND(+IF(ISERROR(OFFSET(Tabella!$G$1,MATCH(H73,Tabella!$G:$G,0)-1,MATCH(I73,Tabella!$G$1:$FG$1,0)-1)=TRUE),0,OFFSET(Tabella!$G$1,MATCH(H73,Tabella!$G:$G,0)-1,MATCH(I73,Tabella!$G$1:$AB$1,0)-1)),4)</f>
        <v>0</v>
      </c>
      <c r="Q73" s="238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238">
        <f ca="1">ROUND(IF(ISERROR(OFFSET(Rame!$F$1,MATCH(H73,Rame!$F:$F,0)-1,MATCH(I73,Rame!$F$1:$FF$1,0)-1)=TRUE),0,OFFSET(Rame!$F$1,MATCH(H73,Rame!$F:$F,0)-1,MATCH(I73,Rame!$F$1:$FF$1,0)-1))*IF(E73="Rame",1,0),4)</f>
        <v>0</v>
      </c>
      <c r="S73" s="238">
        <f ca="1">ROUND(IF(ISERROR(OFFSET(Bronzo!$A$1,MATCH(H73,Bronzo!$A:$A,0)-1,MATCH(I73,Bronzo!$A$1:$AA$1,0)-1)=TRUE),0,OFFSET(Bronzo!$A$1,MATCH(H73,Bronzo!$A:$A,0)-1,MATCH(I73,Bronzo!$A$1:$AA$1,0)-1)),4)</f>
        <v>0</v>
      </c>
      <c r="T73" s="238">
        <f t="shared" ca="1" si="46"/>
        <v>0</v>
      </c>
      <c r="U73" s="237"/>
      <c r="V73" s="238">
        <v>0</v>
      </c>
      <c r="W73" s="239">
        <f t="shared" ca="1" si="47"/>
        <v>1.75</v>
      </c>
      <c r="X73" s="240">
        <f t="shared" si="103"/>
        <v>250</v>
      </c>
      <c r="Y73" s="236">
        <v>4.45</v>
      </c>
      <c r="Z73" s="236">
        <f t="shared" ca="1" si="48"/>
        <v>-0.21</v>
      </c>
      <c r="AA73" s="241">
        <v>46183</v>
      </c>
      <c r="AF73" s="225">
        <f t="shared" ca="1" si="90"/>
        <v>46236</v>
      </c>
      <c r="AG73" s="225" t="b">
        <f t="shared" si="91"/>
        <v>0</v>
      </c>
      <c r="AH73" s="242">
        <f t="shared" ca="1" si="92"/>
        <v>-53</v>
      </c>
      <c r="AK73" s="223">
        <f t="shared" si="93"/>
        <v>24</v>
      </c>
      <c r="AL73" s="223">
        <f t="shared" si="94"/>
        <v>2026</v>
      </c>
      <c r="AS73" s="223">
        <f t="shared" si="95"/>
        <v>6</v>
      </c>
      <c r="AT73" s="223">
        <f t="shared" si="96"/>
        <v>2026</v>
      </c>
    </row>
    <row r="74" spans="2:46" ht="15.75" x14ac:dyDescent="0.25">
      <c r="B74" s="229" t="s">
        <v>463</v>
      </c>
      <c r="C74" s="235" t="s">
        <v>208</v>
      </c>
      <c r="D74" s="243">
        <v>5000</v>
      </c>
      <c r="E74" s="232" t="s">
        <v>4</v>
      </c>
      <c r="F74" s="233">
        <v>2.91</v>
      </c>
      <c r="G74" s="234">
        <v>46091</v>
      </c>
      <c r="H74" s="235" t="s">
        <v>13</v>
      </c>
      <c r="I74" s="235"/>
      <c r="J74" s="236">
        <v>0.05</v>
      </c>
      <c r="K74" s="237">
        <f ca="1">ROUND(IF(ISERROR(OFFSET(Tabella!$A$1,MATCH(H74,Tabella!$A:$A,0)-1,MATCH(J74,Tabella!$A$1:$AC$1,0)-1)=TRUE),0,+OFFSET(Tabella!$A$1,MATCH(H74,Tabella!$A:$A,0)-1,MATCH(J74,Tabella!$A$1:$AC$1,0)-1)),4)</f>
        <v>0</v>
      </c>
      <c r="L74" s="238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238">
        <f ca="1">ROUND(IF(ISERROR(OFFSET(Rame!$A$1,MATCH(H74,Rame!$A:$A,0)-1,MATCH(J74,Rame!$A$1:$AA$1,0)-1)=TRUE),0,OFFSET(Rame!$A$1,MATCH(H74,Rame!$A:$A,0)-1,MATCH(J74,Rame!$A$1:$AA$1,0)-1))*IF(E74="Rame",1,0),4)</f>
        <v>0</v>
      </c>
      <c r="N74" s="238">
        <v>0</v>
      </c>
      <c r="O74" s="238">
        <v>1.75</v>
      </c>
      <c r="P74" s="238">
        <f ca="1">ROUND(+IF(ISERROR(OFFSET(Tabella!$G$1,MATCH(H74,Tabella!$G:$G,0)-1,MATCH(I74,Tabella!$G$1:$FG$1,0)-1)=TRUE),0,OFFSET(Tabella!$G$1,MATCH(H74,Tabella!$G:$G,0)-1,MATCH(I74,Tabella!$G$1:$AB$1,0)-1)),4)</f>
        <v>0</v>
      </c>
      <c r="Q74" s="238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238">
        <f ca="1">ROUND(IF(ISERROR(OFFSET(Rame!$F$1,MATCH(H74,Rame!$F:$F,0)-1,MATCH(I74,Rame!$F$1:$FF$1,0)-1)=TRUE),0,OFFSET(Rame!$F$1,MATCH(H74,Rame!$F:$F,0)-1,MATCH(I74,Rame!$F$1:$FF$1,0)-1))*IF(E74="Rame",1,0),4)</f>
        <v>0</v>
      </c>
      <c r="S74" s="238">
        <f ca="1">ROUND(IF(ISERROR(OFFSET(Bronzo!$A$1,MATCH(H74,Bronzo!$A:$A,0)-1,MATCH(I74,Bronzo!$A$1:$AA$1,0)-1)=TRUE),0,OFFSET(Bronzo!$A$1,MATCH(H74,Bronzo!$A:$A,0)-1,MATCH(I74,Bronzo!$A$1:$AA$1,0)-1)),4)</f>
        <v>0</v>
      </c>
      <c r="T74" s="238">
        <f t="shared" ca="1" si="46"/>
        <v>0</v>
      </c>
      <c r="U74" s="237"/>
      <c r="V74" s="238">
        <v>0</v>
      </c>
      <c r="W74" s="239">
        <f t="shared" ca="1" si="47"/>
        <v>1.75</v>
      </c>
      <c r="X74" s="240">
        <f t="shared" si="103"/>
        <v>250</v>
      </c>
      <c r="Y74" s="236">
        <v>4.45</v>
      </c>
      <c r="Z74" s="236">
        <f t="shared" ca="1" si="48"/>
        <v>-0.21</v>
      </c>
      <c r="AA74" s="241">
        <v>46213</v>
      </c>
      <c r="AF74" s="225">
        <f t="shared" ca="1" si="90"/>
        <v>46236</v>
      </c>
      <c r="AG74" s="225" t="b">
        <f t="shared" si="91"/>
        <v>0</v>
      </c>
      <c r="AH74" s="242">
        <f t="shared" ca="1" si="92"/>
        <v>-23</v>
      </c>
      <c r="AK74" s="223">
        <f t="shared" si="93"/>
        <v>28</v>
      </c>
      <c r="AL74" s="223">
        <f t="shared" si="94"/>
        <v>2026</v>
      </c>
      <c r="AS74" s="223">
        <f t="shared" si="95"/>
        <v>7</v>
      </c>
      <c r="AT74" s="223">
        <f t="shared" si="96"/>
        <v>2026</v>
      </c>
    </row>
    <row r="75" spans="2:46" ht="15.75" x14ac:dyDescent="0.25">
      <c r="B75" s="229" t="s">
        <v>457</v>
      </c>
      <c r="C75" s="235" t="s">
        <v>438</v>
      </c>
      <c r="D75" s="243">
        <v>480</v>
      </c>
      <c r="E75" s="232" t="s">
        <v>4</v>
      </c>
      <c r="F75" s="233">
        <v>2.97</v>
      </c>
      <c r="G75" s="234">
        <v>46093</v>
      </c>
      <c r="H75" s="235" t="s">
        <v>28</v>
      </c>
      <c r="I75" s="235"/>
      <c r="J75" s="236">
        <v>0.1</v>
      </c>
      <c r="K75" s="237">
        <f ca="1">ROUND(IF(ISERROR(OFFSET(Tabella!$A$1,MATCH(H75,Tabella!$A:$A,0)-1,MATCH(J75,Tabella!$A$1:$AC$1,0)-1)=TRUE),0,+OFFSET(Tabella!$A$1,MATCH(H75,Tabella!$A:$A,0)-1,MATCH(J75,Tabella!$A$1:$AC$1,0)-1)),4)</f>
        <v>1.4</v>
      </c>
      <c r="L75" s="238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238">
        <f ca="1">ROUND(IF(ISERROR(OFFSET(Rame!$A$1,MATCH(H75,Rame!$A:$A,0)-1,MATCH(J75,Rame!$A$1:$AA$1,0)-1)=TRUE),0,OFFSET(Rame!$A$1,MATCH(H75,Rame!$A:$A,0)-1,MATCH(J75,Rame!$A$1:$AA$1,0)-1))*IF(E75="Rame",1,0),4)</f>
        <v>0</v>
      </c>
      <c r="N75" s="238">
        <v>0</v>
      </c>
      <c r="O75" s="238">
        <f ca="1">ROUND(SUM(K75:N75),4)</f>
        <v>1.4</v>
      </c>
      <c r="P75" s="238">
        <f ca="1">ROUND(+IF(ISERROR(OFFSET(Tabella!$G$1,MATCH(H75,Tabella!$G:$G,0)-1,MATCH(I75,Tabella!$G$1:$FG$1,0)-1)=TRUE),0,OFFSET(Tabella!$G$1,MATCH(H75,Tabella!$G:$G,0)-1,MATCH(I75,Tabella!$G$1:$AB$1,0)-1)),4)</f>
        <v>0</v>
      </c>
      <c r="Q75" s="238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238">
        <f ca="1">ROUND(IF(ISERROR(OFFSET(Rame!$F$1,MATCH(H75,Rame!$F:$F,0)-1,MATCH(I75,Rame!$F$1:$FF$1,0)-1)=TRUE),0,OFFSET(Rame!$F$1,MATCH(H75,Rame!$F:$F,0)-1,MATCH(I75,Rame!$F$1:$FF$1,0)-1))*IF(E75="Rame",1,0),4)</f>
        <v>0</v>
      </c>
      <c r="S75" s="238">
        <f ca="1">ROUND(IF(ISERROR(OFFSET(Bronzo!$A$1,MATCH(H75,Bronzo!$A:$A,0)-1,MATCH(I75,Bronzo!$A$1:$AA$1,0)-1)=TRUE),0,OFFSET(Bronzo!$A$1,MATCH(H75,Bronzo!$A:$A,0)-1,MATCH(I75,Bronzo!$A$1:$AA$1,0)-1)),4)</f>
        <v>0</v>
      </c>
      <c r="T75" s="238">
        <f t="shared" ca="1" si="46"/>
        <v>0</v>
      </c>
      <c r="U75" s="237"/>
      <c r="V75" s="238">
        <v>0</v>
      </c>
      <c r="W75" s="239">
        <f t="shared" ca="1" si="47"/>
        <v>1.4</v>
      </c>
      <c r="X75" s="240">
        <f t="shared" si="103"/>
        <v>48</v>
      </c>
      <c r="Y75" s="236">
        <v>4.7</v>
      </c>
      <c r="Z75" s="236">
        <f t="shared" ca="1" si="48"/>
        <v>0.33</v>
      </c>
      <c r="AA75" s="241">
        <v>46175</v>
      </c>
      <c r="AF75" s="225">
        <f t="shared" ca="1" si="90"/>
        <v>46236</v>
      </c>
      <c r="AG75" s="225" t="b">
        <f t="shared" si="91"/>
        <v>0</v>
      </c>
      <c r="AH75" s="242">
        <f t="shared" ca="1" si="92"/>
        <v>-61</v>
      </c>
      <c r="AK75" s="223">
        <f t="shared" si="93"/>
        <v>23</v>
      </c>
      <c r="AL75" s="223">
        <f t="shared" si="94"/>
        <v>2026</v>
      </c>
      <c r="AS75" s="223">
        <f t="shared" si="95"/>
        <v>6</v>
      </c>
      <c r="AT75" s="223">
        <f t="shared" si="96"/>
        <v>2026</v>
      </c>
    </row>
    <row r="76" spans="2:46" ht="15.75" x14ac:dyDescent="0.25">
      <c r="B76" s="229" t="s">
        <v>560</v>
      </c>
      <c r="C76" s="245" t="s">
        <v>212</v>
      </c>
      <c r="D76" s="246">
        <v>3523</v>
      </c>
      <c r="E76" s="232" t="s">
        <v>4</v>
      </c>
      <c r="F76" s="233">
        <v>2.61</v>
      </c>
      <c r="G76" s="234">
        <v>46093</v>
      </c>
      <c r="H76" s="235" t="s">
        <v>26</v>
      </c>
      <c r="I76" s="235"/>
      <c r="J76" s="236">
        <v>0.05</v>
      </c>
      <c r="K76" s="237">
        <f ca="1">ROUND(IF(ISERROR(OFFSET(Tabella!$A$1,MATCH(H76,Tabella!$A:$A,0)-1,MATCH(J76,Tabella!$A$1:$AC$1,0)-1)=TRUE),0,+OFFSET(Tabella!$A$1,MATCH(H76,Tabella!$A:$A,0)-1,MATCH(J76,Tabella!$A$1:$AC$1,0)-1)),4)</f>
        <v>0</v>
      </c>
      <c r="L76" s="238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238">
        <f ca="1">ROUND(IF(ISERROR(OFFSET(Rame!$A$1,MATCH(H76,Rame!$A:$A,0)-1,MATCH(J76,Rame!$A$1:$AA$1,0)-1)=TRUE),0,OFFSET(Rame!$A$1,MATCH(H76,Rame!$A:$A,0)-1,MATCH(J76,Rame!$A$1:$AA$1,0)-1))*IF(E76="Rame",1,0),4)</f>
        <v>0</v>
      </c>
      <c r="N76" s="238">
        <v>0</v>
      </c>
      <c r="O76" s="238">
        <v>1.47</v>
      </c>
      <c r="P76" s="238">
        <f ca="1">ROUND(+IF(ISERROR(OFFSET(Tabella!$G$1,MATCH(H76,Tabella!$G:$G,0)-1,MATCH(I76,Tabella!$G$1:$FG$1,0)-1)=TRUE),0,OFFSET(Tabella!$G$1,MATCH(H76,Tabella!$G:$G,0)-1,MATCH(I76,Tabella!$G$1:$AB$1,0)-1)),4)</f>
        <v>0</v>
      </c>
      <c r="Q76" s="238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238">
        <f ca="1">ROUND(IF(ISERROR(OFFSET(Rame!$F$1,MATCH(H76,Rame!$F:$F,0)-1,MATCH(I76,Rame!$F$1:$FF$1,0)-1)=TRUE),0,OFFSET(Rame!$F$1,MATCH(H76,Rame!$F:$F,0)-1,MATCH(I76,Rame!$F$1:$FF$1,0)-1))*IF(E76="Rame",1,0),4)</f>
        <v>0</v>
      </c>
      <c r="S76" s="238">
        <f ca="1">ROUND(IF(ISERROR(OFFSET(Bronzo!$A$1,MATCH(H76,Bronzo!$A:$A,0)-1,MATCH(I76,Bronzo!$A$1:$AA$1,0)-1)=TRUE),0,OFFSET(Bronzo!$A$1,MATCH(H76,Bronzo!$A:$A,0)-1,MATCH(I76,Bronzo!$A$1:$AA$1,0)-1)),4)</f>
        <v>0</v>
      </c>
      <c r="T76" s="238">
        <f t="shared" ca="1" si="46"/>
        <v>0</v>
      </c>
      <c r="U76" s="237"/>
      <c r="V76" s="238">
        <v>0</v>
      </c>
      <c r="W76" s="239">
        <f t="shared" ca="1" si="47"/>
        <v>1.47</v>
      </c>
      <c r="X76" s="423">
        <f t="shared" si="103"/>
        <v>176.15</v>
      </c>
      <c r="Y76" s="236">
        <v>4.08</v>
      </c>
      <c r="Z76" s="236">
        <f t="shared" ca="1" si="48"/>
        <v>0</v>
      </c>
      <c r="AA76" s="241"/>
      <c r="AE76" s="223" t="s">
        <v>472</v>
      </c>
      <c r="AF76" s="225">
        <f t="shared" ca="1" si="90"/>
        <v>46236</v>
      </c>
      <c r="AG76" s="225" t="b">
        <f t="shared" si="91"/>
        <v>1</v>
      </c>
      <c r="AH76" s="242" t="str">
        <f t="shared" si="92"/>
        <v/>
      </c>
      <c r="AK76" s="223">
        <f t="shared" si="93"/>
        <v>0</v>
      </c>
      <c r="AL76" s="223">
        <f t="shared" si="94"/>
        <v>1900</v>
      </c>
      <c r="AS76" s="223">
        <f t="shared" si="95"/>
        <v>0</v>
      </c>
      <c r="AT76" s="223">
        <f t="shared" si="96"/>
        <v>0</v>
      </c>
    </row>
    <row r="77" spans="2:46" ht="15.75" x14ac:dyDescent="0.25">
      <c r="B77" s="229" t="s">
        <v>561</v>
      </c>
      <c r="C77" s="245" t="s">
        <v>212</v>
      </c>
      <c r="D77" s="246">
        <v>2508</v>
      </c>
      <c r="E77" s="232" t="s">
        <v>4</v>
      </c>
      <c r="F77" s="233">
        <v>2.61</v>
      </c>
      <c r="G77" s="234">
        <v>46094</v>
      </c>
      <c r="H77" s="235" t="s">
        <v>17</v>
      </c>
      <c r="I77" s="235"/>
      <c r="J77" s="236">
        <v>0.05</v>
      </c>
      <c r="K77" s="237">
        <f ca="1">ROUND(IF(ISERROR(OFFSET(Tabella!$A$1,MATCH(H77,Tabella!$A:$A,0)-1,MATCH(J77,Tabella!$A$1:$AC$1,0)-1)=TRUE),0,+OFFSET(Tabella!$A$1,MATCH(H77,Tabella!$A:$A,0)-1,MATCH(J77,Tabella!$A$1:$AC$1,0)-1)),4)</f>
        <v>0</v>
      </c>
      <c r="L77" s="238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238">
        <f ca="1">ROUND(IF(ISERROR(OFFSET(Rame!$A$1,MATCH(H77,Rame!$A:$A,0)-1,MATCH(J77,Rame!$A$1:$AA$1,0)-1)=TRUE),0,OFFSET(Rame!$A$1,MATCH(H77,Rame!$A:$A,0)-1,MATCH(J77,Rame!$A$1:$AA$1,0)-1))*IF(E77="Rame",1,0),4)</f>
        <v>0</v>
      </c>
      <c r="N77" s="238">
        <v>0</v>
      </c>
      <c r="O77" s="238">
        <v>1.52</v>
      </c>
      <c r="P77" s="238">
        <f ca="1">ROUND(+IF(ISERROR(OFFSET(Tabella!$G$1,MATCH(H77,Tabella!$G:$G,0)-1,MATCH(I77,Tabella!$G$1:$FG$1,0)-1)=TRUE),0,OFFSET(Tabella!$G$1,MATCH(H77,Tabella!$G:$G,0)-1,MATCH(I77,Tabella!$G$1:$AB$1,0)-1)),4)</f>
        <v>0</v>
      </c>
      <c r="Q77" s="238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238">
        <f ca="1">ROUND(IF(ISERROR(OFFSET(Rame!$F$1,MATCH(H77,Rame!$F:$F,0)-1,MATCH(I77,Rame!$F$1:$FF$1,0)-1)=TRUE),0,OFFSET(Rame!$F$1,MATCH(H77,Rame!$F:$F,0)-1,MATCH(I77,Rame!$F$1:$FF$1,0)-1))*IF(E77="Rame",1,0),4)</f>
        <v>0</v>
      </c>
      <c r="S77" s="238">
        <f ca="1">ROUND(IF(ISERROR(OFFSET(Bronzo!$A$1,MATCH(H77,Bronzo!$A:$A,0)-1,MATCH(I77,Bronzo!$A$1:$AA$1,0)-1)=TRUE),0,OFFSET(Bronzo!$A$1,MATCH(H77,Bronzo!$A:$A,0)-1,MATCH(I77,Bronzo!$A$1:$AA$1,0)-1)),4)</f>
        <v>0</v>
      </c>
      <c r="T77" s="238">
        <f t="shared" ca="1" si="46"/>
        <v>0</v>
      </c>
      <c r="U77" s="237"/>
      <c r="V77" s="238">
        <v>0</v>
      </c>
      <c r="W77" s="239">
        <f t="shared" ca="1" si="47"/>
        <v>1.52</v>
      </c>
      <c r="X77" s="423">
        <f t="shared" si="103"/>
        <v>125.4</v>
      </c>
      <c r="Y77" s="236">
        <v>4.13</v>
      </c>
      <c r="Z77" s="236">
        <f t="shared" ca="1" si="48"/>
        <v>0</v>
      </c>
      <c r="AA77" s="241"/>
      <c r="AF77" s="225">
        <f t="shared" ca="1" si="90"/>
        <v>46236</v>
      </c>
      <c r="AG77" s="225" t="b">
        <f t="shared" si="91"/>
        <v>1</v>
      </c>
      <c r="AH77" s="242" t="str">
        <f t="shared" si="92"/>
        <v/>
      </c>
      <c r="AK77" s="223">
        <f t="shared" si="93"/>
        <v>0</v>
      </c>
      <c r="AL77" s="223">
        <f t="shared" si="94"/>
        <v>1900</v>
      </c>
      <c r="AS77" s="223">
        <f t="shared" si="95"/>
        <v>0</v>
      </c>
      <c r="AT77" s="223">
        <f t="shared" si="96"/>
        <v>0</v>
      </c>
    </row>
    <row r="78" spans="2:46" ht="15.75" x14ac:dyDescent="0.25">
      <c r="B78" s="229" t="s">
        <v>562</v>
      </c>
      <c r="C78" s="245" t="s">
        <v>212</v>
      </c>
      <c r="D78" s="246">
        <v>1116</v>
      </c>
      <c r="E78" s="232" t="s">
        <v>4</v>
      </c>
      <c r="F78" s="233">
        <v>2.61</v>
      </c>
      <c r="G78" s="234">
        <v>46094</v>
      </c>
      <c r="H78" s="235" t="s">
        <v>28</v>
      </c>
      <c r="I78" s="235"/>
      <c r="J78" s="236">
        <v>0.05</v>
      </c>
      <c r="K78" s="237">
        <f ca="1">ROUND(IF(ISERROR(OFFSET(Tabella!$A$1,MATCH(H78,Tabella!$A:$A,0)-1,MATCH(J78,Tabella!$A$1:$AC$1,0)-1)=TRUE),0,+OFFSET(Tabella!$A$1,MATCH(H78,Tabella!$A:$A,0)-1,MATCH(J78,Tabella!$A$1:$AC$1,0)-1)),4)</f>
        <v>0</v>
      </c>
      <c r="L78" s="238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238">
        <f ca="1">ROUND(IF(ISERROR(OFFSET(Rame!$A$1,MATCH(H78,Rame!$A:$A,0)-1,MATCH(J78,Rame!$A$1:$AA$1,0)-1)=TRUE),0,OFFSET(Rame!$A$1,MATCH(H78,Rame!$A:$A,0)-1,MATCH(J78,Rame!$A$1:$AA$1,0)-1))*IF(E78="Rame",1,0),4)</f>
        <v>0</v>
      </c>
      <c r="N78" s="238">
        <v>0</v>
      </c>
      <c r="O78" s="238">
        <v>1.47</v>
      </c>
      <c r="P78" s="238">
        <f ca="1">ROUND(+IF(ISERROR(OFFSET(Tabella!$G$1,MATCH(H78,Tabella!$G:$G,0)-1,MATCH(I78,Tabella!$G$1:$FG$1,0)-1)=TRUE),0,OFFSET(Tabella!$G$1,MATCH(H78,Tabella!$G:$G,0)-1,MATCH(I78,Tabella!$G$1:$AB$1,0)-1)),4)</f>
        <v>0</v>
      </c>
      <c r="Q78" s="238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238">
        <f ca="1">ROUND(IF(ISERROR(OFFSET(Rame!$F$1,MATCH(H78,Rame!$F:$F,0)-1,MATCH(I78,Rame!$F$1:$FF$1,0)-1)=TRUE),0,OFFSET(Rame!$F$1,MATCH(H78,Rame!$F:$F,0)-1,MATCH(I78,Rame!$F$1:$FF$1,0)-1))*IF(E78="Rame",1,0),4)</f>
        <v>0</v>
      </c>
      <c r="S78" s="238">
        <f ca="1">ROUND(IF(ISERROR(OFFSET(Bronzo!$A$1,MATCH(H78,Bronzo!$A:$A,0)-1,MATCH(I78,Bronzo!$A$1:$AA$1,0)-1)=TRUE),0,OFFSET(Bronzo!$A$1,MATCH(H78,Bronzo!$A:$A,0)-1,MATCH(I78,Bronzo!$A$1:$AA$1,0)-1)),4)</f>
        <v>0</v>
      </c>
      <c r="T78" s="238">
        <f t="shared" ca="1" si="46"/>
        <v>0</v>
      </c>
      <c r="U78" s="237"/>
      <c r="V78" s="238">
        <v>0</v>
      </c>
      <c r="W78" s="239">
        <f t="shared" ca="1" si="47"/>
        <v>1.47</v>
      </c>
      <c r="X78" s="423">
        <f t="shared" si="103"/>
        <v>55.8</v>
      </c>
      <c r="Y78" s="236">
        <v>4.08</v>
      </c>
      <c r="Z78" s="236">
        <f t="shared" ca="1" si="48"/>
        <v>0</v>
      </c>
      <c r="AA78" s="241"/>
      <c r="AF78" s="225">
        <f t="shared" ca="1" si="90"/>
        <v>46236</v>
      </c>
      <c r="AG78" s="225" t="b">
        <f t="shared" si="91"/>
        <v>1</v>
      </c>
      <c r="AH78" s="242" t="str">
        <f t="shared" si="92"/>
        <v/>
      </c>
      <c r="AK78" s="223">
        <f t="shared" si="93"/>
        <v>0</v>
      </c>
      <c r="AL78" s="223">
        <f t="shared" si="94"/>
        <v>1900</v>
      </c>
      <c r="AS78" s="223">
        <f t="shared" si="95"/>
        <v>0</v>
      </c>
      <c r="AT78" s="223">
        <f t="shared" si="96"/>
        <v>0</v>
      </c>
    </row>
    <row r="79" spans="2:46" ht="15.75" x14ac:dyDescent="0.25">
      <c r="B79" s="229" t="s">
        <v>563</v>
      </c>
      <c r="C79" s="245" t="s">
        <v>212</v>
      </c>
      <c r="D79" s="246">
        <v>4309</v>
      </c>
      <c r="E79" s="232" t="s">
        <v>4</v>
      </c>
      <c r="F79" s="233">
        <v>2.61</v>
      </c>
      <c r="G79" s="234">
        <v>46094</v>
      </c>
      <c r="H79" s="235" t="s">
        <v>310</v>
      </c>
      <c r="I79" s="235"/>
      <c r="J79" s="236">
        <v>0.05</v>
      </c>
      <c r="K79" s="237">
        <f ca="1">ROUND(IF(ISERROR(OFFSET(Tabella!$A$1,MATCH(H79,Tabella!$A:$A,0)-1,MATCH(J79,Tabella!$A$1:$AC$1,0)-1)=TRUE),0,+OFFSET(Tabella!$A$1,MATCH(H79,Tabella!$A:$A,0)-1,MATCH(J79,Tabella!$A$1:$AC$1,0)-1)),4)</f>
        <v>0</v>
      </c>
      <c r="L79" s="238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238">
        <f ca="1">ROUND(IF(ISERROR(OFFSET(Rame!$A$1,MATCH(H79,Rame!$A:$A,0)-1,MATCH(J79,Rame!$A$1:$AA$1,0)-1)=TRUE),0,OFFSET(Rame!$A$1,MATCH(H79,Rame!$A:$A,0)-1,MATCH(J79,Rame!$A$1:$AA$1,0)-1))*IF(E79="Rame",1,0),4)</f>
        <v>0</v>
      </c>
      <c r="N79" s="238">
        <v>0</v>
      </c>
      <c r="O79" s="238">
        <v>1.37</v>
      </c>
      <c r="P79" s="238">
        <f ca="1">ROUND(+IF(ISERROR(OFFSET(Tabella!$G$1,MATCH(H79,Tabella!$G:$G,0)-1,MATCH(I79,Tabella!$G$1:$FG$1,0)-1)=TRUE),0,OFFSET(Tabella!$G$1,MATCH(H79,Tabella!$G:$G,0)-1,MATCH(I79,Tabella!$G$1:$AB$1,0)-1)),4)</f>
        <v>0</v>
      </c>
      <c r="Q79" s="238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238">
        <f ca="1">ROUND(IF(ISERROR(OFFSET(Rame!$F$1,MATCH(H79,Rame!$F:$F,0)-1,MATCH(I79,Rame!$F$1:$FF$1,0)-1)=TRUE),0,OFFSET(Rame!$F$1,MATCH(H79,Rame!$F:$F,0)-1,MATCH(I79,Rame!$F$1:$FF$1,0)-1))*IF(E79="Rame",1,0),4)</f>
        <v>0</v>
      </c>
      <c r="S79" s="238">
        <f ca="1">ROUND(IF(ISERROR(OFFSET(Bronzo!$A$1,MATCH(H79,Bronzo!$A:$A,0)-1,MATCH(I79,Bronzo!$A$1:$AA$1,0)-1)=TRUE),0,OFFSET(Bronzo!$A$1,MATCH(H79,Bronzo!$A:$A,0)-1,MATCH(I79,Bronzo!$A$1:$AA$1,0)-1)),4)</f>
        <v>0</v>
      </c>
      <c r="T79" s="238">
        <f t="shared" ca="1" si="46"/>
        <v>0</v>
      </c>
      <c r="U79" s="237"/>
      <c r="V79" s="238">
        <v>0</v>
      </c>
      <c r="W79" s="239">
        <f t="shared" ca="1" si="47"/>
        <v>1.37</v>
      </c>
      <c r="X79" s="423">
        <f t="shared" si="103"/>
        <v>215.45</v>
      </c>
      <c r="Y79" s="236">
        <v>3.98</v>
      </c>
      <c r="Z79" s="236">
        <f t="shared" ca="1" si="48"/>
        <v>0</v>
      </c>
      <c r="AA79" s="241"/>
      <c r="AF79" s="225">
        <f t="shared" ca="1" si="90"/>
        <v>46236</v>
      </c>
      <c r="AG79" s="225" t="b">
        <f t="shared" si="91"/>
        <v>1</v>
      </c>
      <c r="AH79" s="242" t="str">
        <f t="shared" si="92"/>
        <v/>
      </c>
      <c r="AK79" s="223">
        <f t="shared" si="93"/>
        <v>0</v>
      </c>
      <c r="AL79" s="223">
        <f t="shared" si="94"/>
        <v>1900</v>
      </c>
      <c r="AS79" s="223">
        <f t="shared" si="95"/>
        <v>0</v>
      </c>
      <c r="AT79" s="223">
        <f t="shared" si="96"/>
        <v>0</v>
      </c>
    </row>
    <row r="80" spans="2:46" ht="15.75" x14ac:dyDescent="0.25">
      <c r="B80" s="229" t="s">
        <v>744</v>
      </c>
      <c r="C80" s="245" t="s">
        <v>212</v>
      </c>
      <c r="D80" s="246">
        <v>7955</v>
      </c>
      <c r="E80" s="232" t="s">
        <v>4</v>
      </c>
      <c r="F80" s="233">
        <v>2.61</v>
      </c>
      <c r="G80" s="234">
        <v>46094</v>
      </c>
      <c r="H80" s="235" t="s">
        <v>310</v>
      </c>
      <c r="I80" s="235"/>
      <c r="J80" s="236">
        <v>0.05</v>
      </c>
      <c r="K80" s="237">
        <f ca="1">ROUND(IF(ISERROR(OFFSET(Tabella!$A$1,MATCH(H80,Tabella!$A:$A,0)-1,MATCH(J80,Tabella!$A$1:$AC$1,0)-1)=TRUE),0,+OFFSET(Tabella!$A$1,MATCH(H80,Tabella!$A:$A,0)-1,MATCH(J80,Tabella!$A$1:$AC$1,0)-1)),4)</f>
        <v>0</v>
      </c>
      <c r="L80" s="238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238">
        <f ca="1">ROUND(IF(ISERROR(OFFSET(Rame!$A$1,MATCH(H80,Rame!$A:$A,0)-1,MATCH(J80,Rame!$A$1:$AA$1,0)-1)=TRUE),0,OFFSET(Rame!$A$1,MATCH(H80,Rame!$A:$A,0)-1,MATCH(J80,Rame!$A$1:$AA$1,0)-1))*IF(E80="Rame",1,0),4)</f>
        <v>0</v>
      </c>
      <c r="N80" s="238">
        <v>0</v>
      </c>
      <c r="O80" s="238">
        <v>1.37</v>
      </c>
      <c r="P80" s="238">
        <f ca="1">ROUND(+IF(ISERROR(OFFSET(Tabella!$G$1,MATCH(H80,Tabella!$G:$G,0)-1,MATCH(I80,Tabella!$G$1:$FG$1,0)-1)=TRUE),0,OFFSET(Tabella!$G$1,MATCH(H80,Tabella!$G:$G,0)-1,MATCH(I80,Tabella!$G$1:$AB$1,0)-1)),4)</f>
        <v>0</v>
      </c>
      <c r="Q80" s="238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238">
        <f ca="1">ROUND(IF(ISERROR(OFFSET(Rame!$F$1,MATCH(H80,Rame!$F:$F,0)-1,MATCH(I80,Rame!$F$1:$FF$1,0)-1)=TRUE),0,OFFSET(Rame!$F$1,MATCH(H80,Rame!$F:$F,0)-1,MATCH(I80,Rame!$F$1:$FF$1,0)-1))*IF(E80="Rame",1,0),4)</f>
        <v>0</v>
      </c>
      <c r="S80" s="238">
        <f ca="1">ROUND(IF(ISERROR(OFFSET(Bronzo!$A$1,MATCH(H80,Bronzo!$A:$A,0)-1,MATCH(I80,Bronzo!$A$1:$AA$1,0)-1)=TRUE),0,OFFSET(Bronzo!$A$1,MATCH(H80,Bronzo!$A:$A,0)-1,MATCH(I80,Bronzo!$A$1:$AA$1,0)-1)),4)</f>
        <v>0</v>
      </c>
      <c r="T80" s="238">
        <f t="shared" ref="T80" ca="1" si="104">ROUND(SUM(P80:S80),4)</f>
        <v>0</v>
      </c>
      <c r="U80" s="237"/>
      <c r="V80" s="238">
        <v>0</v>
      </c>
      <c r="W80" s="239">
        <f t="shared" ref="W80" ca="1" si="105">ROUND(+O80+T80+U80+V80,4)</f>
        <v>1.37</v>
      </c>
      <c r="X80" s="423">
        <f t="shared" ref="X80" si="106">ROUND(+J80*D80,4)</f>
        <v>397.75</v>
      </c>
      <c r="Y80" s="236">
        <v>3.98</v>
      </c>
      <c r="Z80" s="236">
        <f t="shared" ref="Z80" ca="1" si="107">ROUND(+Y80-W80-F80,4)</f>
        <v>0</v>
      </c>
      <c r="AA80" s="241"/>
      <c r="AF80" s="225">
        <f t="shared" ca="1" si="90"/>
        <v>46236</v>
      </c>
      <c r="AG80" s="225" t="b">
        <f t="shared" ref="AG80" si="108">ISBLANK(AA80)</f>
        <v>1</v>
      </c>
      <c r="AH80" s="242" t="str">
        <f t="shared" ref="AH80" si="109">IF(AG80=FALSE,_xlfn.DAYS(AA80,AF80),"")</f>
        <v/>
      </c>
      <c r="AK80" s="223">
        <f t="shared" ref="AK80" si="110">WEEKNUM(AA80)</f>
        <v>0</v>
      </c>
      <c r="AL80" s="223">
        <f t="shared" ref="AL80" si="111">YEAR(AA80)</f>
        <v>1900</v>
      </c>
      <c r="AS80" s="223">
        <f t="shared" ref="AS80" si="112">IF(AA80="",0,MONTH(AA80))</f>
        <v>0</v>
      </c>
      <c r="AT80" s="223">
        <f t="shared" ref="AT80" si="113">IF(AA80="",0,YEAR(AA80))</f>
        <v>0</v>
      </c>
    </row>
    <row r="81" spans="2:46" ht="15.75" x14ac:dyDescent="0.25">
      <c r="B81" s="229" t="s">
        <v>564</v>
      </c>
      <c r="C81" s="245" t="s">
        <v>212</v>
      </c>
      <c r="D81" s="246">
        <v>9486</v>
      </c>
      <c r="E81" s="232" t="s">
        <v>4</v>
      </c>
      <c r="F81" s="233">
        <v>2.61</v>
      </c>
      <c r="G81" s="234">
        <v>46094</v>
      </c>
      <c r="H81" s="235" t="s">
        <v>23</v>
      </c>
      <c r="I81" s="235"/>
      <c r="J81" s="236">
        <v>0.05</v>
      </c>
      <c r="K81" s="237">
        <f ca="1">ROUND(IF(ISERROR(OFFSET(Tabella!$A$1,MATCH(H81,Tabella!$A:$A,0)-1,MATCH(J81,Tabella!$A$1:$AC$1,0)-1)=TRUE),0,+OFFSET(Tabella!$A$1,MATCH(H81,Tabella!$A:$A,0)-1,MATCH(J81,Tabella!$A$1:$AC$1,0)-1)),4)</f>
        <v>0</v>
      </c>
      <c r="L81" s="238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238">
        <f ca="1">ROUND(IF(ISERROR(OFFSET(Rame!$A$1,MATCH(H81,Rame!$A:$A,0)-1,MATCH(J81,Rame!$A$1:$AA$1,0)-1)=TRUE),0,OFFSET(Rame!$A$1,MATCH(H81,Rame!$A:$A,0)-1,MATCH(J81,Rame!$A$1:$AA$1,0)-1))*IF(E81="Rame",1,0),4)</f>
        <v>0</v>
      </c>
      <c r="N81" s="238">
        <v>0</v>
      </c>
      <c r="O81" s="238">
        <v>1.37</v>
      </c>
      <c r="P81" s="238">
        <f ca="1">ROUND(+IF(ISERROR(OFFSET(Tabella!$G$1,MATCH(H81,Tabella!$G:$G,0)-1,MATCH(I81,Tabella!$G$1:$FG$1,0)-1)=TRUE),0,OFFSET(Tabella!$G$1,MATCH(H81,Tabella!$G:$G,0)-1,MATCH(I81,Tabella!$G$1:$AB$1,0)-1)),4)</f>
        <v>0</v>
      </c>
      <c r="Q81" s="238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238">
        <f ca="1">ROUND(IF(ISERROR(OFFSET(Rame!$F$1,MATCH(H81,Rame!$F:$F,0)-1,MATCH(I81,Rame!$F$1:$FF$1,0)-1)=TRUE),0,OFFSET(Rame!$F$1,MATCH(H81,Rame!$F:$F,0)-1,MATCH(I81,Rame!$F$1:$FF$1,0)-1))*IF(E81="Rame",1,0),4)</f>
        <v>0</v>
      </c>
      <c r="S81" s="238">
        <f ca="1">ROUND(IF(ISERROR(OFFSET(Bronzo!$A$1,MATCH(H81,Bronzo!$A:$A,0)-1,MATCH(I81,Bronzo!$A$1:$AA$1,0)-1)=TRUE),0,OFFSET(Bronzo!$A$1,MATCH(H81,Bronzo!$A:$A,0)-1,MATCH(I81,Bronzo!$A$1:$AA$1,0)-1)),4)</f>
        <v>0</v>
      </c>
      <c r="T81" s="238">
        <f t="shared" ca="1" si="46"/>
        <v>0</v>
      </c>
      <c r="U81" s="237"/>
      <c r="V81" s="238">
        <v>0</v>
      </c>
      <c r="W81" s="239">
        <f t="shared" ca="1" si="47"/>
        <v>1.37</v>
      </c>
      <c r="X81" s="423">
        <f t="shared" si="103"/>
        <v>474.3</v>
      </c>
      <c r="Y81" s="236">
        <v>3.98</v>
      </c>
      <c r="Z81" s="236">
        <f t="shared" ca="1" si="48"/>
        <v>0</v>
      </c>
      <c r="AA81" s="241"/>
      <c r="AF81" s="225">
        <f t="shared" ref="AF81:AF117" ca="1" si="114">TODAY()</f>
        <v>46236</v>
      </c>
      <c r="AG81" s="225" t="b">
        <f t="shared" si="91"/>
        <v>1</v>
      </c>
      <c r="AH81" s="242" t="str">
        <f t="shared" si="92"/>
        <v/>
      </c>
      <c r="AK81" s="223">
        <f t="shared" si="93"/>
        <v>0</v>
      </c>
      <c r="AL81" s="223">
        <f t="shared" si="94"/>
        <v>1900</v>
      </c>
      <c r="AS81" s="223">
        <f t="shared" si="95"/>
        <v>0</v>
      </c>
      <c r="AT81" s="223">
        <f t="shared" si="96"/>
        <v>0</v>
      </c>
    </row>
    <row r="82" spans="2:46" ht="15.75" x14ac:dyDescent="0.25">
      <c r="B82" s="229" t="s">
        <v>565</v>
      </c>
      <c r="C82" s="245" t="s">
        <v>212</v>
      </c>
      <c r="D82" s="246">
        <v>4356</v>
      </c>
      <c r="E82" s="232" t="s">
        <v>4</v>
      </c>
      <c r="F82" s="233">
        <v>2.61</v>
      </c>
      <c r="G82" s="234">
        <v>46094</v>
      </c>
      <c r="H82" s="235" t="s">
        <v>310</v>
      </c>
      <c r="I82" s="235"/>
      <c r="J82" s="236">
        <v>0.05</v>
      </c>
      <c r="K82" s="237">
        <f ca="1">ROUND(IF(ISERROR(OFFSET(Tabella!$A$1,MATCH(H82,Tabella!$A:$A,0)-1,MATCH(J82,Tabella!$A$1:$AC$1,0)-1)=TRUE),0,+OFFSET(Tabella!$A$1,MATCH(H82,Tabella!$A:$A,0)-1,MATCH(J82,Tabella!$A$1:$AC$1,0)-1)),4)</f>
        <v>0</v>
      </c>
      <c r="L82" s="238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238">
        <f ca="1">ROUND(IF(ISERROR(OFFSET(Rame!$A$1,MATCH(H82,Rame!$A:$A,0)-1,MATCH(J82,Rame!$A$1:$AA$1,0)-1)=TRUE),0,OFFSET(Rame!$A$1,MATCH(H82,Rame!$A:$A,0)-1,MATCH(J82,Rame!$A$1:$AA$1,0)-1))*IF(E82="Rame",1,0),4)</f>
        <v>0</v>
      </c>
      <c r="N82" s="238">
        <v>0</v>
      </c>
      <c r="O82" s="238">
        <v>1.37</v>
      </c>
      <c r="P82" s="238">
        <f ca="1">ROUND(+IF(ISERROR(OFFSET(Tabella!$G$1,MATCH(H82,Tabella!$G:$G,0)-1,MATCH(I82,Tabella!$G$1:$FG$1,0)-1)=TRUE),0,OFFSET(Tabella!$G$1,MATCH(H82,Tabella!$G:$G,0)-1,MATCH(I82,Tabella!$G$1:$AB$1,0)-1)),4)</f>
        <v>0</v>
      </c>
      <c r="Q82" s="238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238">
        <f ca="1">ROUND(IF(ISERROR(OFFSET(Rame!$F$1,MATCH(H82,Rame!$F:$F,0)-1,MATCH(I82,Rame!$F$1:$FF$1,0)-1)=TRUE),0,OFFSET(Rame!$F$1,MATCH(H82,Rame!$F:$F,0)-1,MATCH(I82,Rame!$F$1:$FF$1,0)-1))*IF(E82="Rame",1,0),4)</f>
        <v>0</v>
      </c>
      <c r="S82" s="238">
        <f ca="1">ROUND(IF(ISERROR(OFFSET(Bronzo!$A$1,MATCH(H82,Bronzo!$A:$A,0)-1,MATCH(I82,Bronzo!$A$1:$AA$1,0)-1)=TRUE),0,OFFSET(Bronzo!$A$1,MATCH(H82,Bronzo!$A:$A,0)-1,MATCH(I82,Bronzo!$A$1:$AA$1,0)-1)),4)</f>
        <v>0</v>
      </c>
      <c r="T82" s="238">
        <f t="shared" ca="1" si="46"/>
        <v>0</v>
      </c>
      <c r="U82" s="237"/>
      <c r="V82" s="238">
        <v>0</v>
      </c>
      <c r="W82" s="239">
        <f t="shared" ca="1" si="47"/>
        <v>1.37</v>
      </c>
      <c r="X82" s="423">
        <f t="shared" si="103"/>
        <v>217.8</v>
      </c>
      <c r="Y82" s="236">
        <v>3.98</v>
      </c>
      <c r="Z82" s="236">
        <f t="shared" ca="1" si="48"/>
        <v>0</v>
      </c>
      <c r="AA82" s="241"/>
      <c r="AF82" s="225">
        <f t="shared" ca="1" si="114"/>
        <v>46236</v>
      </c>
      <c r="AG82" s="225" t="b">
        <f t="shared" si="91"/>
        <v>1</v>
      </c>
      <c r="AH82" s="242" t="str">
        <f t="shared" si="92"/>
        <v/>
      </c>
      <c r="AK82" s="223">
        <f t="shared" si="93"/>
        <v>0</v>
      </c>
      <c r="AL82" s="223">
        <f t="shared" si="94"/>
        <v>1900</v>
      </c>
      <c r="AS82" s="223">
        <f t="shared" si="95"/>
        <v>0</v>
      </c>
      <c r="AT82" s="223">
        <f t="shared" si="96"/>
        <v>0</v>
      </c>
    </row>
    <row r="83" spans="2:46" ht="15.75" x14ac:dyDescent="0.25">
      <c r="B83" s="229" t="s">
        <v>511</v>
      </c>
      <c r="C83" s="230" t="s">
        <v>212</v>
      </c>
      <c r="D83" s="231">
        <v>1000</v>
      </c>
      <c r="E83" s="232" t="s">
        <v>4</v>
      </c>
      <c r="F83" s="233">
        <v>2.61</v>
      </c>
      <c r="G83" s="234">
        <v>46094</v>
      </c>
      <c r="H83" s="235" t="s">
        <v>310</v>
      </c>
      <c r="I83" s="235"/>
      <c r="J83" s="236">
        <v>0.05</v>
      </c>
      <c r="K83" s="237">
        <f ca="1">ROUND(IF(ISERROR(OFFSET(Tabella!$A$1,MATCH(H83,Tabella!$A:$A,0)-1,MATCH(J83,Tabella!$A$1:$AC$1,0)-1)=TRUE),0,+OFFSET(Tabella!$A$1,MATCH(H83,Tabella!$A:$A,0)-1,MATCH(J83,Tabella!$A$1:$AC$1,0)-1)),4)</f>
        <v>0</v>
      </c>
      <c r="L83" s="238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238">
        <f ca="1">ROUND(IF(ISERROR(OFFSET(Rame!$A$1,MATCH(H83,Rame!$A:$A,0)-1,MATCH(J83,Rame!$A$1:$AA$1,0)-1)=TRUE),0,OFFSET(Rame!$A$1,MATCH(H83,Rame!$A:$A,0)-1,MATCH(J83,Rame!$A$1:$AA$1,0)-1))*IF(E83="Rame",1,0),4)</f>
        <v>0</v>
      </c>
      <c r="N83" s="238">
        <v>0</v>
      </c>
      <c r="O83" s="238">
        <v>1.37</v>
      </c>
      <c r="P83" s="238">
        <f ca="1">ROUND(+IF(ISERROR(OFFSET(Tabella!$G$1,MATCH(H83,Tabella!$G:$G,0)-1,MATCH(I83,Tabella!$G$1:$FG$1,0)-1)=TRUE),0,OFFSET(Tabella!$G$1,MATCH(H83,Tabella!$G:$G,0)-1,MATCH(I83,Tabella!$G$1:$AB$1,0)-1)),4)</f>
        <v>0</v>
      </c>
      <c r="Q83" s="238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238">
        <f ca="1">ROUND(IF(ISERROR(OFFSET(Rame!$F$1,MATCH(H83,Rame!$F:$F,0)-1,MATCH(I83,Rame!$F$1:$FF$1,0)-1)=TRUE),0,OFFSET(Rame!$F$1,MATCH(H83,Rame!$F:$F,0)-1,MATCH(I83,Rame!$F$1:$FF$1,0)-1))*IF(E83="Rame",1,0),4)</f>
        <v>0</v>
      </c>
      <c r="S83" s="238">
        <f ca="1">ROUND(IF(ISERROR(OFFSET(Bronzo!$A$1,MATCH(H83,Bronzo!$A:$A,0)-1,MATCH(I83,Bronzo!$A$1:$AA$1,0)-1)=TRUE),0,OFFSET(Bronzo!$A$1,MATCH(H83,Bronzo!$A:$A,0)-1,MATCH(I83,Bronzo!$A$1:$AA$1,0)-1)),4)</f>
        <v>0</v>
      </c>
      <c r="T83" s="238">
        <f t="shared" ca="1" si="46"/>
        <v>0</v>
      </c>
      <c r="U83" s="237"/>
      <c r="V83" s="238">
        <v>0</v>
      </c>
      <c r="W83" s="239">
        <f t="shared" ca="1" si="47"/>
        <v>1.37</v>
      </c>
      <c r="X83" s="240">
        <f t="shared" si="103"/>
        <v>50</v>
      </c>
      <c r="Y83" s="236">
        <v>3.98</v>
      </c>
      <c r="Z83" s="236">
        <f t="shared" ca="1" si="48"/>
        <v>0</v>
      </c>
      <c r="AA83" s="241"/>
      <c r="AE83" s="223" t="s">
        <v>417</v>
      </c>
      <c r="AF83" s="225">
        <f t="shared" ca="1" si="114"/>
        <v>46236</v>
      </c>
      <c r="AG83" s="225" t="b">
        <f t="shared" ref="AG83" si="115">ISBLANK(AA83)</f>
        <v>1</v>
      </c>
      <c r="AH83" s="242" t="str">
        <f t="shared" ref="AH83" si="116">IF(AG83=FALSE,_xlfn.DAYS(AA83,AF83),"")</f>
        <v/>
      </c>
      <c r="AK83" s="223">
        <f t="shared" ref="AK83" si="117">WEEKNUM(AA83)</f>
        <v>0</v>
      </c>
      <c r="AL83" s="223">
        <f t="shared" ref="AL83" si="118">YEAR(AA83)</f>
        <v>1900</v>
      </c>
      <c r="AS83" s="223">
        <f t="shared" ref="AS83" si="119">IF(AA83="",0,MONTH(AA83))</f>
        <v>0</v>
      </c>
      <c r="AT83" s="223">
        <f t="shared" ref="AT83" si="120">IF(AA83="",0,YEAR(AA83))</f>
        <v>0</v>
      </c>
    </row>
    <row r="84" spans="2:46" ht="15.75" x14ac:dyDescent="0.25">
      <c r="B84" s="229" t="s">
        <v>464</v>
      </c>
      <c r="C84" s="230" t="s">
        <v>208</v>
      </c>
      <c r="D84" s="231">
        <v>350</v>
      </c>
      <c r="E84" s="232" t="s">
        <v>4</v>
      </c>
      <c r="F84" s="233">
        <v>2.62</v>
      </c>
      <c r="G84" s="234">
        <v>46094</v>
      </c>
      <c r="H84" s="235" t="s">
        <v>243</v>
      </c>
      <c r="I84" s="235"/>
      <c r="J84" s="236">
        <v>0.05</v>
      </c>
      <c r="K84" s="237">
        <f ca="1">ROUND(IF(ISERROR(OFFSET(Tabella!$A$1,MATCH(H84,Tabella!$A:$A,0)-1,MATCH(J84,Tabella!$A$1:$AC$1,0)-1)=TRUE),0,+OFFSET(Tabella!$A$1,MATCH(H84,Tabella!$A:$A,0)-1,MATCH(J84,Tabella!$A$1:$AC$1,0)-1)),4)</f>
        <v>0</v>
      </c>
      <c r="L84" s="238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238">
        <f ca="1">ROUND(IF(ISERROR(OFFSET(Rame!$A$1,MATCH(H84,Rame!$A:$A,0)-1,MATCH(J84,Rame!$A$1:$AA$1,0)-1)=TRUE),0,OFFSET(Rame!$A$1,MATCH(H84,Rame!$A:$A,0)-1,MATCH(J84,Rame!$A$1:$AA$1,0)-1))*IF(E84="Rame",1,0),4)</f>
        <v>0</v>
      </c>
      <c r="N84" s="238">
        <v>0</v>
      </c>
      <c r="O84" s="238">
        <v>1.6</v>
      </c>
      <c r="P84" s="238">
        <f ca="1">ROUND(+IF(ISERROR(OFFSET(Tabella!$G$1,MATCH(H84,Tabella!$G:$G,0)-1,MATCH(I84,Tabella!$G$1:$FG$1,0)-1)=TRUE),0,OFFSET(Tabella!$G$1,MATCH(H84,Tabella!$G:$G,0)-1,MATCH(I84,Tabella!$G$1:$AB$1,0)-1)),4)</f>
        <v>0</v>
      </c>
      <c r="Q84" s="238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238">
        <f ca="1">ROUND(IF(ISERROR(OFFSET(Rame!$F$1,MATCH(H84,Rame!$F:$F,0)-1,MATCH(I84,Rame!$F$1:$FF$1,0)-1)=TRUE),0,OFFSET(Rame!$F$1,MATCH(H84,Rame!$F:$F,0)-1,MATCH(I84,Rame!$F$1:$FF$1,0)-1))*IF(E84="Rame",1,0),4)</f>
        <v>0</v>
      </c>
      <c r="S84" s="238">
        <f ca="1">ROUND(IF(ISERROR(OFFSET(Bronzo!$A$1,MATCH(H84,Bronzo!$A:$A,0)-1,MATCH(I84,Bronzo!$A$1:$AA$1,0)-1)=TRUE),0,OFFSET(Bronzo!$A$1,MATCH(H84,Bronzo!$A:$A,0)-1,MATCH(I84,Bronzo!$A$1:$AA$1,0)-1)),4)</f>
        <v>0</v>
      </c>
      <c r="T84" s="238">
        <f t="shared" ca="1" si="46"/>
        <v>0</v>
      </c>
      <c r="U84" s="237"/>
      <c r="V84" s="238">
        <v>0</v>
      </c>
      <c r="W84" s="239">
        <f t="shared" ca="1" si="47"/>
        <v>1.6</v>
      </c>
      <c r="X84" s="240">
        <f t="shared" si="103"/>
        <v>17.5</v>
      </c>
      <c r="Y84" s="236">
        <v>4.2</v>
      </c>
      <c r="Z84" s="236">
        <f t="shared" ca="1" si="48"/>
        <v>-0.02</v>
      </c>
      <c r="AA84" s="241"/>
      <c r="AF84" s="225">
        <f t="shared" ca="1" si="114"/>
        <v>46236</v>
      </c>
      <c r="AG84" s="225" t="b">
        <f t="shared" ref="AG84" si="121">ISBLANK(AA84)</f>
        <v>1</v>
      </c>
      <c r="AH84" s="242" t="str">
        <f t="shared" ref="AH84" si="122">IF(AG84=FALSE,_xlfn.DAYS(AA84,AF84),"")</f>
        <v/>
      </c>
      <c r="AK84" s="223">
        <f t="shared" ref="AK84" si="123">WEEKNUM(AA84)</f>
        <v>0</v>
      </c>
      <c r="AL84" s="223">
        <f t="shared" ref="AL84" si="124">YEAR(AA84)</f>
        <v>1900</v>
      </c>
      <c r="AS84" s="223">
        <f t="shared" ref="AS84" si="125">IF(AA84="",0,MONTH(AA84))</f>
        <v>0</v>
      </c>
      <c r="AT84" s="223">
        <f t="shared" ref="AT84" si="126">IF(AA84="",0,YEAR(AA84))</f>
        <v>0</v>
      </c>
    </row>
    <row r="85" spans="2:46" ht="15.75" x14ac:dyDescent="0.25">
      <c r="B85" s="229" t="s">
        <v>712</v>
      </c>
      <c r="C85" s="245" t="s">
        <v>92</v>
      </c>
      <c r="D85" s="246">
        <v>1488</v>
      </c>
      <c r="E85" s="232" t="s">
        <v>4</v>
      </c>
      <c r="F85" s="233">
        <v>3.04</v>
      </c>
      <c r="G85" s="234">
        <v>46097</v>
      </c>
      <c r="H85" s="235" t="s">
        <v>28</v>
      </c>
      <c r="I85" s="235"/>
      <c r="J85" s="236">
        <v>7.0000000000000007E-2</v>
      </c>
      <c r="K85" s="237">
        <f ca="1">ROUND(IF(ISERROR(OFFSET(Tabella!$A$1,MATCH(H85,Tabella!$A:$A,0)-1,MATCH(J85,Tabella!$A$1:$AC$1,0)-1)=TRUE),0,+OFFSET(Tabella!$A$1,MATCH(H85,Tabella!$A:$A,0)-1,MATCH(J85,Tabella!$A$1:$AC$1,0)-1)),4)</f>
        <v>1.25</v>
      </c>
      <c r="L85" s="238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238">
        <f ca="1">ROUND(IF(ISERROR(OFFSET(Rame!$A$1,MATCH(H85,Rame!$A:$A,0)-1,MATCH(J85,Rame!$A$1:$AA$1,0)-1)=TRUE),0,OFFSET(Rame!$A$1,MATCH(H85,Rame!$A:$A,0)-1,MATCH(J85,Rame!$A$1:$AA$1,0)-1))*IF(E85="Rame",1,0),4)</f>
        <v>0</v>
      </c>
      <c r="N85" s="238">
        <v>0</v>
      </c>
      <c r="O85" s="238">
        <f ca="1">ROUND(SUM(K85:N85),4)</f>
        <v>1.25</v>
      </c>
      <c r="P85" s="238">
        <f ca="1">ROUND(+IF(ISERROR(OFFSET(Tabella!$G$1,MATCH(H85,Tabella!$G:$G,0)-1,MATCH(I85,Tabella!$G$1:$FG$1,0)-1)=TRUE),0,OFFSET(Tabella!$G$1,MATCH(H85,Tabella!$G:$G,0)-1,MATCH(I85,Tabella!$G$1:$AB$1,0)-1)),4)</f>
        <v>0</v>
      </c>
      <c r="Q85" s="238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238">
        <f ca="1">ROUND(IF(ISERROR(OFFSET(Rame!$F$1,MATCH(H85,Rame!$F:$F,0)-1,MATCH(I85,Rame!$F$1:$FF$1,0)-1)=TRUE),0,OFFSET(Rame!$F$1,MATCH(H85,Rame!$F:$F,0)-1,MATCH(I85,Rame!$F$1:$FF$1,0)-1))*IF(E85="Rame",1,0),4)</f>
        <v>0</v>
      </c>
      <c r="S85" s="238">
        <f ca="1">ROUND(IF(ISERROR(OFFSET(Bronzo!$A$1,MATCH(H85,Bronzo!$A:$A,0)-1,MATCH(I85,Bronzo!$A$1:$AA$1,0)-1)=TRUE),0,OFFSET(Bronzo!$A$1,MATCH(H85,Bronzo!$A:$A,0)-1,MATCH(I85,Bronzo!$A$1:$AA$1,0)-1)),4)</f>
        <v>0</v>
      </c>
      <c r="T85" s="238">
        <f t="shared" ca="1" si="46"/>
        <v>0</v>
      </c>
      <c r="U85" s="237"/>
      <c r="V85" s="238">
        <v>0</v>
      </c>
      <c r="W85" s="239">
        <f t="shared" ca="1" si="47"/>
        <v>1.25</v>
      </c>
      <c r="X85" s="423">
        <f t="shared" si="103"/>
        <v>104.16</v>
      </c>
      <c r="Y85" s="236">
        <v>4.6399999999999997</v>
      </c>
      <c r="Z85" s="236">
        <f t="shared" ca="1" si="48"/>
        <v>0.35</v>
      </c>
      <c r="AA85" s="241"/>
      <c r="AF85" s="225">
        <f t="shared" ca="1" si="114"/>
        <v>46236</v>
      </c>
      <c r="AG85" s="225" t="b">
        <f t="shared" si="91"/>
        <v>1</v>
      </c>
      <c r="AH85" s="242" t="str">
        <f t="shared" si="92"/>
        <v/>
      </c>
      <c r="AK85" s="223">
        <f t="shared" si="93"/>
        <v>0</v>
      </c>
      <c r="AL85" s="223">
        <f t="shared" si="94"/>
        <v>1900</v>
      </c>
      <c r="AS85" s="223">
        <f t="shared" si="95"/>
        <v>0</v>
      </c>
      <c r="AT85" s="223">
        <f t="shared" si="96"/>
        <v>0</v>
      </c>
    </row>
    <row r="86" spans="2:46" ht="15.75" x14ac:dyDescent="0.25">
      <c r="B86" s="229" t="s">
        <v>465</v>
      </c>
      <c r="C86" s="235" t="s">
        <v>263</v>
      </c>
      <c r="D86" s="243">
        <v>2300</v>
      </c>
      <c r="E86" s="232" t="s">
        <v>4</v>
      </c>
      <c r="F86" s="233">
        <v>2.61</v>
      </c>
      <c r="G86" s="234">
        <v>46094</v>
      </c>
      <c r="H86" s="235" t="s">
        <v>30</v>
      </c>
      <c r="I86" s="235"/>
      <c r="J86" s="236">
        <v>7.0000000000000007E-2</v>
      </c>
      <c r="K86" s="237">
        <f ca="1">ROUND(IF(ISERROR(OFFSET(Tabella!$A$1,MATCH(H86,Tabella!$A:$A,0)-1,MATCH(J86,Tabella!$A$1:$AC$1,0)-1)=TRUE),0,+OFFSET(Tabella!$A$1,MATCH(H86,Tabella!$A:$A,0)-1,MATCH(J86,Tabella!$A$1:$AC$1,0)-1)),4)</f>
        <v>1.3</v>
      </c>
      <c r="L86" s="238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238">
        <f ca="1">ROUND(IF(ISERROR(OFFSET(Rame!$A$1,MATCH(H86,Rame!$A:$A,0)-1,MATCH(J86,Rame!$A$1:$AA$1,0)-1)=TRUE),0,OFFSET(Rame!$A$1,MATCH(H86,Rame!$A:$A,0)-1,MATCH(J86,Rame!$A$1:$AA$1,0)-1))*IF(E86="Rame",1,0),4)</f>
        <v>0</v>
      </c>
      <c r="N86" s="238">
        <v>0</v>
      </c>
      <c r="O86" s="238">
        <v>1.57</v>
      </c>
      <c r="P86" s="238">
        <f ca="1">ROUND(+IF(ISERROR(OFFSET(Tabella!$G$1,MATCH(H86,Tabella!$G:$G,0)-1,MATCH(I86,Tabella!$G$1:$FG$1,0)-1)=TRUE),0,OFFSET(Tabella!$G$1,MATCH(H86,Tabella!$G:$G,0)-1,MATCH(I86,Tabella!$G$1:$AB$1,0)-1)),4)</f>
        <v>0</v>
      </c>
      <c r="Q86" s="238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238">
        <f ca="1">ROUND(IF(ISERROR(OFFSET(Rame!$F$1,MATCH(H86,Rame!$F:$F,0)-1,MATCH(I86,Rame!$F$1:$FF$1,0)-1)=TRUE),0,OFFSET(Rame!$F$1,MATCH(H86,Rame!$F:$F,0)-1,MATCH(I86,Rame!$F$1:$FF$1,0)-1))*IF(E86="Rame",1,0),4)</f>
        <v>0</v>
      </c>
      <c r="S86" s="238">
        <f ca="1">ROUND(IF(ISERROR(OFFSET(Bronzo!$A$1,MATCH(H86,Bronzo!$A:$A,0)-1,MATCH(I86,Bronzo!$A$1:$AA$1,0)-1)=TRUE),0,OFFSET(Bronzo!$A$1,MATCH(H86,Bronzo!$A:$A,0)-1,MATCH(I86,Bronzo!$A$1:$AA$1,0)-1)),4)</f>
        <v>0</v>
      </c>
      <c r="T86" s="238">
        <f t="shared" ca="1" si="46"/>
        <v>0</v>
      </c>
      <c r="U86" s="237"/>
      <c r="V86" s="238">
        <v>0</v>
      </c>
      <c r="W86" s="239">
        <f t="shared" ca="1" si="47"/>
        <v>1.57</v>
      </c>
      <c r="X86" s="240">
        <f t="shared" si="103"/>
        <v>161</v>
      </c>
      <c r="Y86" s="236">
        <v>4.18</v>
      </c>
      <c r="Z86" s="236">
        <f t="shared" ca="1" si="48"/>
        <v>0</v>
      </c>
      <c r="AA86" s="241">
        <v>46150</v>
      </c>
      <c r="AF86" s="225">
        <f t="shared" ca="1" si="114"/>
        <v>46236</v>
      </c>
      <c r="AG86" s="225" t="b">
        <f t="shared" si="91"/>
        <v>0</v>
      </c>
      <c r="AH86" s="242">
        <f t="shared" ca="1" si="92"/>
        <v>-86</v>
      </c>
      <c r="AK86" s="223">
        <f t="shared" si="93"/>
        <v>19</v>
      </c>
      <c r="AL86" s="223">
        <f t="shared" si="94"/>
        <v>2026</v>
      </c>
      <c r="AS86" s="223">
        <f t="shared" si="95"/>
        <v>5</v>
      </c>
      <c r="AT86" s="223">
        <f t="shared" si="96"/>
        <v>2026</v>
      </c>
    </row>
    <row r="87" spans="2:46" ht="15.75" x14ac:dyDescent="0.25">
      <c r="B87" s="229" t="s">
        <v>566</v>
      </c>
      <c r="C87" s="245" t="s">
        <v>263</v>
      </c>
      <c r="D87" s="246">
        <v>903</v>
      </c>
      <c r="E87" s="232" t="s">
        <v>4</v>
      </c>
      <c r="F87" s="233">
        <v>2.61</v>
      </c>
      <c r="G87" s="234">
        <v>46094</v>
      </c>
      <c r="H87" s="235" t="s">
        <v>13</v>
      </c>
      <c r="I87" s="235"/>
      <c r="J87" s="236">
        <v>7.0000000000000007E-2</v>
      </c>
      <c r="K87" s="237">
        <f ca="1">ROUND(IF(ISERROR(OFFSET(Tabella!$A$1,MATCH(H87,Tabella!$A:$A,0)-1,MATCH(J87,Tabella!$A$1:$AC$1,0)-1)=TRUE),0,+OFFSET(Tabella!$A$1,MATCH(H87,Tabella!$A:$A,0)-1,MATCH(J87,Tabella!$A$1:$AC$1,0)-1)),4)</f>
        <v>1.4</v>
      </c>
      <c r="L87" s="238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238">
        <f ca="1">ROUND(IF(ISERROR(OFFSET(Rame!$A$1,MATCH(H87,Rame!$A:$A,0)-1,MATCH(J87,Rame!$A$1:$AA$1,0)-1)=TRUE),0,OFFSET(Rame!$A$1,MATCH(H87,Rame!$A:$A,0)-1,MATCH(J87,Rame!$A$1:$AA$1,0)-1))*IF(E87="Rame",1,0),4)</f>
        <v>0</v>
      </c>
      <c r="N87" s="238">
        <v>0</v>
      </c>
      <c r="O87" s="238">
        <v>1.65</v>
      </c>
      <c r="P87" s="238">
        <f ca="1">ROUND(+IF(ISERROR(OFFSET(Tabella!$G$1,MATCH(H87,Tabella!$G:$G,0)-1,MATCH(I87,Tabella!$G$1:$FG$1,0)-1)=TRUE),0,OFFSET(Tabella!$G$1,MATCH(H87,Tabella!$G:$G,0)-1,MATCH(I87,Tabella!$G$1:$AB$1,0)-1)),4)</f>
        <v>0</v>
      </c>
      <c r="Q87" s="238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238">
        <f ca="1">ROUND(IF(ISERROR(OFFSET(Rame!$F$1,MATCH(H87,Rame!$F:$F,0)-1,MATCH(I87,Rame!$F$1:$FF$1,0)-1)=TRUE),0,OFFSET(Rame!$F$1,MATCH(H87,Rame!$F:$F,0)-1,MATCH(I87,Rame!$F$1:$FF$1,0)-1))*IF(E87="Rame",1,0),4)</f>
        <v>0</v>
      </c>
      <c r="S87" s="238">
        <f ca="1">ROUND(IF(ISERROR(OFFSET(Bronzo!$A$1,MATCH(H87,Bronzo!$A:$A,0)-1,MATCH(I87,Bronzo!$A$1:$AA$1,0)-1)=TRUE),0,OFFSET(Bronzo!$A$1,MATCH(H87,Bronzo!$A:$A,0)-1,MATCH(I87,Bronzo!$A$1:$AA$1,0)-1)),4)</f>
        <v>0</v>
      </c>
      <c r="T87" s="238">
        <f t="shared" ca="1" si="46"/>
        <v>0</v>
      </c>
      <c r="U87" s="237"/>
      <c r="V87" s="238">
        <v>0</v>
      </c>
      <c r="W87" s="239">
        <f t="shared" ca="1" si="47"/>
        <v>1.65</v>
      </c>
      <c r="X87" s="423">
        <f t="shared" si="103"/>
        <v>63.21</v>
      </c>
      <c r="Y87" s="236">
        <v>4.33</v>
      </c>
      <c r="Z87" s="236">
        <f t="shared" ca="1" si="48"/>
        <v>7.0000000000000007E-2</v>
      </c>
      <c r="AA87" s="241"/>
      <c r="AF87" s="225">
        <f t="shared" ca="1" si="114"/>
        <v>46236</v>
      </c>
      <c r="AG87" s="225" t="b">
        <f t="shared" si="91"/>
        <v>1</v>
      </c>
      <c r="AH87" s="242" t="str">
        <f t="shared" si="92"/>
        <v/>
      </c>
      <c r="AK87" s="223">
        <f t="shared" si="93"/>
        <v>0</v>
      </c>
      <c r="AL87" s="223">
        <f t="shared" si="94"/>
        <v>1900</v>
      </c>
      <c r="AS87" s="223">
        <f t="shared" si="95"/>
        <v>0</v>
      </c>
      <c r="AT87" s="223">
        <f t="shared" si="96"/>
        <v>0</v>
      </c>
    </row>
    <row r="88" spans="2:46" ht="15.75" x14ac:dyDescent="0.25">
      <c r="B88" s="229" t="s">
        <v>567</v>
      </c>
      <c r="C88" s="245" t="s">
        <v>263</v>
      </c>
      <c r="D88" s="246">
        <v>686</v>
      </c>
      <c r="E88" s="232" t="s">
        <v>4</v>
      </c>
      <c r="F88" s="233">
        <v>2.61</v>
      </c>
      <c r="G88" s="234">
        <v>46094</v>
      </c>
      <c r="H88" s="235" t="s">
        <v>25</v>
      </c>
      <c r="I88" s="235"/>
      <c r="J88" s="236">
        <v>7.0000000000000007E-2</v>
      </c>
      <c r="K88" s="237">
        <f ca="1">ROUND(IF(ISERROR(OFFSET(Tabella!$A$1,MATCH(H88,Tabella!$A:$A,0)-1,MATCH(J88,Tabella!$A$1:$AC$1,0)-1)=TRUE),0,+OFFSET(Tabella!$A$1,MATCH(H88,Tabella!$A:$A,0)-1,MATCH(J88,Tabella!$A$1:$AC$1,0)-1)),4)</f>
        <v>1.25</v>
      </c>
      <c r="L88" s="238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238">
        <f ca="1">ROUND(IF(ISERROR(OFFSET(Rame!$A$1,MATCH(H88,Rame!$A:$A,0)-1,MATCH(J88,Rame!$A$1:$AA$1,0)-1)=TRUE),0,OFFSET(Rame!$A$1,MATCH(H88,Rame!$A:$A,0)-1,MATCH(J88,Rame!$A$1:$AA$1,0)-1))*IF(E88="Rame",1,0),4)</f>
        <v>0</v>
      </c>
      <c r="N88" s="238">
        <v>0</v>
      </c>
      <c r="O88" s="238">
        <v>1.5</v>
      </c>
      <c r="P88" s="238">
        <f ca="1">ROUND(+IF(ISERROR(OFFSET(Tabella!$G$1,MATCH(H88,Tabella!$G:$G,0)-1,MATCH(I88,Tabella!$G$1:$FG$1,0)-1)=TRUE),0,OFFSET(Tabella!$G$1,MATCH(H88,Tabella!$G:$G,0)-1,MATCH(I88,Tabella!$G$1:$AB$1,0)-1)),4)</f>
        <v>0</v>
      </c>
      <c r="Q88" s="238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238">
        <f ca="1">ROUND(IF(ISERROR(OFFSET(Rame!$F$1,MATCH(H88,Rame!$F:$F,0)-1,MATCH(I88,Rame!$F$1:$FF$1,0)-1)=TRUE),0,OFFSET(Rame!$F$1,MATCH(H88,Rame!$F:$F,0)-1,MATCH(I88,Rame!$F$1:$FF$1,0)-1))*IF(E88="Rame",1,0),4)</f>
        <v>0</v>
      </c>
      <c r="S88" s="238">
        <f ca="1">ROUND(IF(ISERROR(OFFSET(Bronzo!$A$1,MATCH(H88,Bronzo!$A:$A,0)-1,MATCH(I88,Bronzo!$A$1:$AA$1,0)-1)=TRUE),0,OFFSET(Bronzo!$A$1,MATCH(H88,Bronzo!$A:$A,0)-1,MATCH(I88,Bronzo!$A$1:$AA$1,0)-1)),4)</f>
        <v>0</v>
      </c>
      <c r="T88" s="238">
        <f t="shared" ref="T88:T151" ca="1" si="127">ROUND(SUM(P88:S88),4)</f>
        <v>0</v>
      </c>
      <c r="U88" s="237"/>
      <c r="V88" s="238">
        <v>0</v>
      </c>
      <c r="W88" s="239">
        <f t="shared" ref="W88:W151" ca="1" si="128">ROUND(+O88+T88+U88+V88,4)</f>
        <v>1.5</v>
      </c>
      <c r="X88" s="423">
        <f t="shared" si="103"/>
        <v>48.02</v>
      </c>
      <c r="Y88" s="236">
        <v>4.18</v>
      </c>
      <c r="Z88" s="236">
        <f t="shared" ref="Z88:Z151" ca="1" si="129">ROUND(+Y88-W88-F88,4)</f>
        <v>7.0000000000000007E-2</v>
      </c>
      <c r="AA88" s="241"/>
      <c r="AF88" s="225">
        <f t="shared" ca="1" si="114"/>
        <v>46236</v>
      </c>
      <c r="AG88" s="225" t="b">
        <f t="shared" si="91"/>
        <v>1</v>
      </c>
      <c r="AH88" s="242" t="str">
        <f t="shared" si="92"/>
        <v/>
      </c>
      <c r="AK88" s="223">
        <f t="shared" si="93"/>
        <v>0</v>
      </c>
      <c r="AL88" s="223">
        <f t="shared" si="94"/>
        <v>1900</v>
      </c>
      <c r="AS88" s="223">
        <f t="shared" si="95"/>
        <v>0</v>
      </c>
      <c r="AT88" s="223">
        <f t="shared" si="96"/>
        <v>0</v>
      </c>
    </row>
    <row r="89" spans="2:46" ht="15.75" x14ac:dyDescent="0.25">
      <c r="B89" s="229" t="s">
        <v>567</v>
      </c>
      <c r="C89" s="245" t="s">
        <v>263</v>
      </c>
      <c r="D89" s="246">
        <v>1486</v>
      </c>
      <c r="E89" s="232" t="s">
        <v>4</v>
      </c>
      <c r="F89" s="233">
        <v>2.61</v>
      </c>
      <c r="G89" s="234">
        <v>46094</v>
      </c>
      <c r="H89" s="235" t="s">
        <v>322</v>
      </c>
      <c r="I89" s="235"/>
      <c r="J89" s="236">
        <v>7.0000000000000007E-2</v>
      </c>
      <c r="K89" s="237">
        <f ca="1">ROUND(IF(ISERROR(OFFSET(Tabella!$A$1,MATCH(H89,Tabella!$A:$A,0)-1,MATCH(J89,Tabella!$A$1:$AC$1,0)-1)=TRUE),0,+OFFSET(Tabella!$A$1,MATCH(H89,Tabella!$A:$A,0)-1,MATCH(J89,Tabella!$A$1:$AC$1,0)-1)),4)</f>
        <v>1.25</v>
      </c>
      <c r="L89" s="238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238">
        <f ca="1">ROUND(IF(ISERROR(OFFSET(Rame!$A$1,MATCH(H89,Rame!$A:$A,0)-1,MATCH(J89,Rame!$A$1:$AA$1,0)-1)=TRUE),0,OFFSET(Rame!$A$1,MATCH(H89,Rame!$A:$A,0)-1,MATCH(J89,Rame!$A$1:$AA$1,0)-1))*IF(E89="Rame",1,0),4)</f>
        <v>0</v>
      </c>
      <c r="N89" s="238">
        <v>0</v>
      </c>
      <c r="O89" s="238">
        <v>1.5</v>
      </c>
      <c r="P89" s="238">
        <f ca="1">ROUND(+IF(ISERROR(OFFSET(Tabella!$G$1,MATCH(H89,Tabella!$G:$G,0)-1,MATCH(I89,Tabella!$G$1:$FG$1,0)-1)=TRUE),0,OFFSET(Tabella!$G$1,MATCH(H89,Tabella!$G:$G,0)-1,MATCH(I89,Tabella!$G$1:$AB$1,0)-1)),4)</f>
        <v>0</v>
      </c>
      <c r="Q89" s="238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238">
        <f ca="1">ROUND(IF(ISERROR(OFFSET(Rame!$F$1,MATCH(H89,Rame!$F:$F,0)-1,MATCH(I89,Rame!$F$1:$FF$1,0)-1)=TRUE),0,OFFSET(Rame!$F$1,MATCH(H89,Rame!$F:$F,0)-1,MATCH(I89,Rame!$F$1:$FF$1,0)-1))*IF(E89="Rame",1,0),4)</f>
        <v>0</v>
      </c>
      <c r="S89" s="238">
        <f ca="1">ROUND(IF(ISERROR(OFFSET(Bronzo!$A$1,MATCH(H89,Bronzo!$A:$A,0)-1,MATCH(I89,Bronzo!$A$1:$AA$1,0)-1)=TRUE),0,OFFSET(Bronzo!$A$1,MATCH(H89,Bronzo!$A:$A,0)-1,MATCH(I89,Bronzo!$A$1:$AA$1,0)-1)),4)</f>
        <v>0</v>
      </c>
      <c r="T89" s="238">
        <f t="shared" ca="1" si="127"/>
        <v>0</v>
      </c>
      <c r="U89" s="237"/>
      <c r="V89" s="238">
        <v>0</v>
      </c>
      <c r="W89" s="239">
        <f t="shared" ca="1" si="128"/>
        <v>1.5</v>
      </c>
      <c r="X89" s="423">
        <f t="shared" si="103"/>
        <v>104.02</v>
      </c>
      <c r="Y89" s="236">
        <v>4.18</v>
      </c>
      <c r="Z89" s="236">
        <f t="shared" ca="1" si="129"/>
        <v>7.0000000000000007E-2</v>
      </c>
      <c r="AA89" s="241"/>
      <c r="AF89" s="225">
        <f t="shared" ca="1" si="114"/>
        <v>46236</v>
      </c>
      <c r="AG89" s="225" t="b">
        <f t="shared" si="91"/>
        <v>1</v>
      </c>
      <c r="AH89" s="242" t="str">
        <f t="shared" si="92"/>
        <v/>
      </c>
      <c r="AK89" s="223">
        <f t="shared" si="93"/>
        <v>0</v>
      </c>
      <c r="AL89" s="223">
        <f t="shared" si="94"/>
        <v>1900</v>
      </c>
      <c r="AS89" s="223">
        <f t="shared" si="95"/>
        <v>0</v>
      </c>
      <c r="AT89" s="223">
        <f t="shared" si="96"/>
        <v>0</v>
      </c>
    </row>
    <row r="90" spans="2:46" ht="15.75" x14ac:dyDescent="0.25">
      <c r="B90" s="229" t="s">
        <v>568</v>
      </c>
      <c r="C90" s="245" t="s">
        <v>263</v>
      </c>
      <c r="D90" s="246">
        <v>790</v>
      </c>
      <c r="E90" s="232" t="s">
        <v>4</v>
      </c>
      <c r="F90" s="233">
        <v>2.61</v>
      </c>
      <c r="G90" s="234">
        <v>46094</v>
      </c>
      <c r="H90" s="235" t="s">
        <v>314</v>
      </c>
      <c r="I90" s="235"/>
      <c r="J90" s="236">
        <v>7.0000000000000007E-2</v>
      </c>
      <c r="K90" s="237">
        <f ca="1">ROUND(IF(ISERROR(OFFSET(Tabella!$A$1,MATCH(H90,Tabella!$A:$A,0)-1,MATCH(J90,Tabella!$A$1:$AC$1,0)-1)=TRUE),0,+OFFSET(Tabella!$A$1,MATCH(H90,Tabella!$A:$A,0)-1,MATCH(J90,Tabella!$A$1:$AC$1,0)-1)),4)</f>
        <v>1.25</v>
      </c>
      <c r="L90" s="238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238">
        <f ca="1">ROUND(IF(ISERROR(OFFSET(Rame!$A$1,MATCH(H90,Rame!$A:$A,0)-1,MATCH(J90,Rame!$A$1:$AA$1,0)-1)=TRUE),0,OFFSET(Rame!$A$1,MATCH(H90,Rame!$A:$A,0)-1,MATCH(J90,Rame!$A$1:$AA$1,0)-1))*IF(E90="Rame",1,0),4)</f>
        <v>0</v>
      </c>
      <c r="N90" s="238">
        <v>0</v>
      </c>
      <c r="O90" s="238">
        <v>1.5</v>
      </c>
      <c r="P90" s="238">
        <f ca="1">ROUND(+IF(ISERROR(OFFSET(Tabella!$G$1,MATCH(H90,Tabella!$G:$G,0)-1,MATCH(I90,Tabella!$G$1:$FG$1,0)-1)=TRUE),0,OFFSET(Tabella!$G$1,MATCH(H90,Tabella!$G:$G,0)-1,MATCH(I90,Tabella!$G$1:$AB$1,0)-1)),4)</f>
        <v>0</v>
      </c>
      <c r="Q90" s="238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238">
        <f ca="1">ROUND(IF(ISERROR(OFFSET(Rame!$F$1,MATCH(H90,Rame!$F:$F,0)-1,MATCH(I90,Rame!$F$1:$FF$1,0)-1)=TRUE),0,OFFSET(Rame!$F$1,MATCH(H90,Rame!$F:$F,0)-1,MATCH(I90,Rame!$F$1:$FF$1,0)-1))*IF(E90="Rame",1,0),4)</f>
        <v>0</v>
      </c>
      <c r="S90" s="238">
        <f ca="1">ROUND(IF(ISERROR(OFFSET(Bronzo!$A$1,MATCH(H90,Bronzo!$A:$A,0)-1,MATCH(I90,Bronzo!$A$1:$AA$1,0)-1)=TRUE),0,OFFSET(Bronzo!$A$1,MATCH(H90,Bronzo!$A:$A,0)-1,MATCH(I90,Bronzo!$A$1:$AA$1,0)-1)),4)</f>
        <v>0</v>
      </c>
      <c r="T90" s="238">
        <f t="shared" ca="1" si="127"/>
        <v>0</v>
      </c>
      <c r="U90" s="237"/>
      <c r="V90" s="238">
        <v>0</v>
      </c>
      <c r="W90" s="239">
        <f t="shared" ca="1" si="128"/>
        <v>1.5</v>
      </c>
      <c r="X90" s="423">
        <f t="shared" si="103"/>
        <v>55.3</v>
      </c>
      <c r="Y90" s="236">
        <v>4.18</v>
      </c>
      <c r="Z90" s="236">
        <f t="shared" ca="1" si="129"/>
        <v>7.0000000000000007E-2</v>
      </c>
      <c r="AA90" s="241"/>
      <c r="AF90" s="225">
        <f t="shared" ca="1" si="114"/>
        <v>46236</v>
      </c>
      <c r="AG90" s="225" t="b">
        <f t="shared" si="91"/>
        <v>1</v>
      </c>
      <c r="AH90" s="242" t="str">
        <f t="shared" si="92"/>
        <v/>
      </c>
      <c r="AK90" s="223">
        <f t="shared" si="93"/>
        <v>0</v>
      </c>
      <c r="AL90" s="223">
        <f t="shared" si="94"/>
        <v>1900</v>
      </c>
      <c r="AS90" s="223">
        <f t="shared" si="95"/>
        <v>0</v>
      </c>
      <c r="AT90" s="223">
        <f t="shared" si="96"/>
        <v>0</v>
      </c>
    </row>
    <row r="91" spans="2:46" ht="15.75" x14ac:dyDescent="0.25">
      <c r="B91" s="229" t="s">
        <v>567</v>
      </c>
      <c r="C91" s="245" t="s">
        <v>263</v>
      </c>
      <c r="D91" s="246">
        <v>1472</v>
      </c>
      <c r="E91" s="232" t="s">
        <v>4</v>
      </c>
      <c r="F91" s="233">
        <v>2.61</v>
      </c>
      <c r="G91" s="234">
        <v>46094</v>
      </c>
      <c r="H91" s="235" t="s">
        <v>314</v>
      </c>
      <c r="I91" s="235"/>
      <c r="J91" s="236">
        <v>7.0000000000000007E-2</v>
      </c>
      <c r="K91" s="237">
        <f ca="1">ROUND(IF(ISERROR(OFFSET(Tabella!$A$1,MATCH(H91,Tabella!$A:$A,0)-1,MATCH(J91,Tabella!$A$1:$AC$1,0)-1)=TRUE),0,+OFFSET(Tabella!$A$1,MATCH(H91,Tabella!$A:$A,0)-1,MATCH(J91,Tabella!$A$1:$AC$1,0)-1)),4)</f>
        <v>1.25</v>
      </c>
      <c r="L91" s="238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238">
        <f ca="1">ROUND(IF(ISERROR(OFFSET(Rame!$A$1,MATCH(H91,Rame!$A:$A,0)-1,MATCH(J91,Rame!$A$1:$AA$1,0)-1)=TRUE),0,OFFSET(Rame!$A$1,MATCH(H91,Rame!$A:$A,0)-1,MATCH(J91,Rame!$A$1:$AA$1,0)-1))*IF(E91="Rame",1,0),4)</f>
        <v>0</v>
      </c>
      <c r="N91" s="238">
        <v>0</v>
      </c>
      <c r="O91" s="238">
        <v>1.5</v>
      </c>
      <c r="P91" s="238">
        <f ca="1">ROUND(+IF(ISERROR(OFFSET(Tabella!$G$1,MATCH(H91,Tabella!$G:$G,0)-1,MATCH(I91,Tabella!$G$1:$FG$1,0)-1)=TRUE),0,OFFSET(Tabella!$G$1,MATCH(H91,Tabella!$G:$G,0)-1,MATCH(I91,Tabella!$G$1:$AB$1,0)-1)),4)</f>
        <v>0</v>
      </c>
      <c r="Q91" s="238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238">
        <f ca="1">ROUND(IF(ISERROR(OFFSET(Rame!$F$1,MATCH(H91,Rame!$F:$F,0)-1,MATCH(I91,Rame!$F$1:$FF$1,0)-1)=TRUE),0,OFFSET(Rame!$F$1,MATCH(H91,Rame!$F:$F,0)-1,MATCH(I91,Rame!$F$1:$FF$1,0)-1))*IF(E91="Rame",1,0),4)</f>
        <v>0</v>
      </c>
      <c r="S91" s="238">
        <f ca="1">ROUND(IF(ISERROR(OFFSET(Bronzo!$A$1,MATCH(H91,Bronzo!$A:$A,0)-1,MATCH(I91,Bronzo!$A$1:$AA$1,0)-1)=TRUE),0,OFFSET(Bronzo!$A$1,MATCH(H91,Bronzo!$A:$A,0)-1,MATCH(I91,Bronzo!$A$1:$AA$1,0)-1)),4)</f>
        <v>0</v>
      </c>
      <c r="T91" s="238">
        <f t="shared" ca="1" si="127"/>
        <v>0</v>
      </c>
      <c r="U91" s="237"/>
      <c r="V91" s="238">
        <v>0</v>
      </c>
      <c r="W91" s="239">
        <f t="shared" ca="1" si="128"/>
        <v>1.5</v>
      </c>
      <c r="X91" s="423">
        <f t="shared" si="103"/>
        <v>103.04</v>
      </c>
      <c r="Y91" s="236">
        <v>4.18</v>
      </c>
      <c r="Z91" s="236">
        <f t="shared" ca="1" si="129"/>
        <v>7.0000000000000007E-2</v>
      </c>
      <c r="AA91" s="241"/>
      <c r="AF91" s="225">
        <f t="shared" ca="1" si="114"/>
        <v>46236</v>
      </c>
      <c r="AG91" s="225" t="b">
        <f t="shared" si="91"/>
        <v>1</v>
      </c>
      <c r="AH91" s="242" t="str">
        <f t="shared" si="92"/>
        <v/>
      </c>
      <c r="AK91" s="223">
        <f t="shared" si="93"/>
        <v>0</v>
      </c>
      <c r="AL91" s="223">
        <f t="shared" si="94"/>
        <v>1900</v>
      </c>
      <c r="AS91" s="223">
        <f t="shared" si="95"/>
        <v>0</v>
      </c>
      <c r="AT91" s="223">
        <f t="shared" si="96"/>
        <v>0</v>
      </c>
    </row>
    <row r="92" spans="2:46" ht="15.75" x14ac:dyDescent="0.25">
      <c r="B92" s="229" t="s">
        <v>568</v>
      </c>
      <c r="C92" s="245" t="s">
        <v>263</v>
      </c>
      <c r="D92" s="246">
        <v>485</v>
      </c>
      <c r="E92" s="232" t="s">
        <v>4</v>
      </c>
      <c r="F92" s="233">
        <v>2.61</v>
      </c>
      <c r="G92" s="234">
        <v>46094</v>
      </c>
      <c r="H92" s="235" t="s">
        <v>15</v>
      </c>
      <c r="I92" s="235"/>
      <c r="J92" s="236">
        <v>7.0000000000000007E-2</v>
      </c>
      <c r="K92" s="237">
        <f ca="1">ROUND(IF(ISERROR(OFFSET(Tabella!$A$1,MATCH(H92,Tabella!$A:$A,0)-1,MATCH(J92,Tabella!$A$1:$AC$1,0)-1)=TRUE),0,+OFFSET(Tabella!$A$1,MATCH(H92,Tabella!$A:$A,0)-1,MATCH(J92,Tabella!$A$1:$AC$1,0)-1)),4)</f>
        <v>1.4</v>
      </c>
      <c r="L92" s="238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238">
        <f ca="1">ROUND(IF(ISERROR(OFFSET(Rame!$A$1,MATCH(H92,Rame!$A:$A,0)-1,MATCH(J92,Rame!$A$1:$AA$1,0)-1)=TRUE),0,OFFSET(Rame!$A$1,MATCH(H92,Rame!$A:$A,0)-1,MATCH(J92,Rame!$A$1:$AA$1,0)-1))*IF(E92="Rame",1,0),4)</f>
        <v>0</v>
      </c>
      <c r="N92" s="238">
        <v>0</v>
      </c>
      <c r="O92" s="238">
        <v>1.65</v>
      </c>
      <c r="P92" s="238">
        <f ca="1">ROUND(+IF(ISERROR(OFFSET(Tabella!$G$1,MATCH(H92,Tabella!$G:$G,0)-1,MATCH(I92,Tabella!$G$1:$FG$1,0)-1)=TRUE),0,OFFSET(Tabella!$G$1,MATCH(H92,Tabella!$G:$G,0)-1,MATCH(I92,Tabella!$G$1:$AB$1,0)-1)),4)</f>
        <v>0</v>
      </c>
      <c r="Q92" s="238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238">
        <f ca="1">ROUND(IF(ISERROR(OFFSET(Rame!$F$1,MATCH(H92,Rame!$F:$F,0)-1,MATCH(I92,Rame!$F$1:$FF$1,0)-1)=TRUE),0,OFFSET(Rame!$F$1,MATCH(H92,Rame!$F:$F,0)-1,MATCH(I92,Rame!$F$1:$FF$1,0)-1))*IF(E92="Rame",1,0),4)</f>
        <v>0</v>
      </c>
      <c r="S92" s="238">
        <f ca="1">ROUND(IF(ISERROR(OFFSET(Bronzo!$A$1,MATCH(H92,Bronzo!$A:$A,0)-1,MATCH(I92,Bronzo!$A$1:$AA$1,0)-1)=TRUE),0,OFFSET(Bronzo!$A$1,MATCH(H92,Bronzo!$A:$A,0)-1,MATCH(I92,Bronzo!$A$1:$AA$1,0)-1)),4)</f>
        <v>0</v>
      </c>
      <c r="T92" s="238">
        <f t="shared" ca="1" si="127"/>
        <v>0</v>
      </c>
      <c r="U92" s="237"/>
      <c r="V92" s="238">
        <v>0</v>
      </c>
      <c r="W92" s="239">
        <f t="shared" ca="1" si="128"/>
        <v>1.65</v>
      </c>
      <c r="X92" s="423">
        <f t="shared" si="103"/>
        <v>33.950000000000003</v>
      </c>
      <c r="Y92" s="236">
        <v>4.33</v>
      </c>
      <c r="Z92" s="236">
        <f t="shared" ca="1" si="129"/>
        <v>7.0000000000000007E-2</v>
      </c>
      <c r="AA92" s="241"/>
      <c r="AF92" s="225">
        <f t="shared" ca="1" si="114"/>
        <v>46236</v>
      </c>
      <c r="AG92" s="225" t="b">
        <f t="shared" si="91"/>
        <v>1</v>
      </c>
      <c r="AH92" s="242" t="str">
        <f t="shared" si="92"/>
        <v/>
      </c>
      <c r="AK92" s="223">
        <f t="shared" si="93"/>
        <v>0</v>
      </c>
      <c r="AL92" s="223">
        <f t="shared" si="94"/>
        <v>1900</v>
      </c>
      <c r="AS92" s="223">
        <f t="shared" si="95"/>
        <v>0</v>
      </c>
      <c r="AT92" s="223">
        <f t="shared" si="96"/>
        <v>0</v>
      </c>
    </row>
    <row r="93" spans="2:46" ht="15.75" x14ac:dyDescent="0.25">
      <c r="B93" s="229" t="s">
        <v>569</v>
      </c>
      <c r="C93" s="245" t="s">
        <v>263</v>
      </c>
      <c r="D93" s="246">
        <v>973</v>
      </c>
      <c r="E93" s="232" t="s">
        <v>4</v>
      </c>
      <c r="F93" s="233">
        <v>2.61</v>
      </c>
      <c r="G93" s="234">
        <v>46094</v>
      </c>
      <c r="H93" s="235" t="s">
        <v>19</v>
      </c>
      <c r="I93" s="235"/>
      <c r="J93" s="236">
        <v>7.0000000000000007E-2</v>
      </c>
      <c r="K93" s="237">
        <f ca="1">ROUND(IF(ISERROR(OFFSET(Tabella!$A$1,MATCH(H93,Tabella!$A:$A,0)-1,MATCH(J93,Tabella!$A$1:$AC$1,0)-1)=TRUE),0,+OFFSET(Tabella!$A$1,MATCH(H93,Tabella!$A:$A,0)-1,MATCH(J93,Tabella!$A$1:$AC$1,0)-1)),4)</f>
        <v>1.35</v>
      </c>
      <c r="L93" s="238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238">
        <f ca="1">ROUND(IF(ISERROR(OFFSET(Rame!$A$1,MATCH(H93,Rame!$A:$A,0)-1,MATCH(J93,Rame!$A$1:$AA$1,0)-1)=TRUE),0,OFFSET(Rame!$A$1,MATCH(H93,Rame!$A:$A,0)-1,MATCH(J93,Rame!$A$1:$AA$1,0)-1))*IF(E93="Rame",1,0),4)</f>
        <v>0</v>
      </c>
      <c r="N93" s="238">
        <v>0</v>
      </c>
      <c r="O93" s="238">
        <v>1.55</v>
      </c>
      <c r="P93" s="238">
        <f ca="1">ROUND(+IF(ISERROR(OFFSET(Tabella!$G$1,MATCH(H93,Tabella!$G:$G,0)-1,MATCH(I93,Tabella!$G$1:$FG$1,0)-1)=TRUE),0,OFFSET(Tabella!$G$1,MATCH(H93,Tabella!$G:$G,0)-1,MATCH(I93,Tabella!$G$1:$AB$1,0)-1)),4)</f>
        <v>0</v>
      </c>
      <c r="Q93" s="238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238">
        <f ca="1">ROUND(IF(ISERROR(OFFSET(Rame!$F$1,MATCH(H93,Rame!$F:$F,0)-1,MATCH(I93,Rame!$F$1:$FF$1,0)-1)=TRUE),0,OFFSET(Rame!$F$1,MATCH(H93,Rame!$F:$F,0)-1,MATCH(I93,Rame!$F$1:$FF$1,0)-1))*IF(E93="Rame",1,0),4)</f>
        <v>0</v>
      </c>
      <c r="S93" s="238">
        <f ca="1">ROUND(IF(ISERROR(OFFSET(Bronzo!$A$1,MATCH(H93,Bronzo!$A:$A,0)-1,MATCH(I93,Bronzo!$A$1:$AA$1,0)-1)=TRUE),0,OFFSET(Bronzo!$A$1,MATCH(H93,Bronzo!$A:$A,0)-1,MATCH(I93,Bronzo!$A$1:$AA$1,0)-1)),4)</f>
        <v>0</v>
      </c>
      <c r="T93" s="238">
        <f t="shared" ca="1" si="127"/>
        <v>0</v>
      </c>
      <c r="U93" s="237"/>
      <c r="V93" s="238">
        <v>0</v>
      </c>
      <c r="W93" s="239">
        <f t="shared" ca="1" si="128"/>
        <v>1.55</v>
      </c>
      <c r="X93" s="423">
        <f t="shared" si="103"/>
        <v>68.11</v>
      </c>
      <c r="Y93" s="236">
        <v>4.18</v>
      </c>
      <c r="Z93" s="236">
        <f t="shared" ca="1" si="129"/>
        <v>0.02</v>
      </c>
      <c r="AA93" s="241"/>
      <c r="AF93" s="225">
        <f t="shared" ca="1" si="114"/>
        <v>46236</v>
      </c>
      <c r="AG93" s="225" t="b">
        <f t="shared" si="91"/>
        <v>1</v>
      </c>
      <c r="AH93" s="242" t="str">
        <f t="shared" si="92"/>
        <v/>
      </c>
      <c r="AK93" s="223">
        <f t="shared" si="93"/>
        <v>0</v>
      </c>
      <c r="AL93" s="223">
        <f t="shared" si="94"/>
        <v>1900</v>
      </c>
      <c r="AS93" s="223">
        <f t="shared" si="95"/>
        <v>0</v>
      </c>
      <c r="AT93" s="223">
        <f t="shared" si="96"/>
        <v>0</v>
      </c>
    </row>
    <row r="94" spans="2:46" ht="15.75" x14ac:dyDescent="0.25">
      <c r="B94" s="229" t="s">
        <v>570</v>
      </c>
      <c r="C94" s="245" t="s">
        <v>263</v>
      </c>
      <c r="D94" s="246">
        <v>902</v>
      </c>
      <c r="E94" s="232" t="s">
        <v>4</v>
      </c>
      <c r="F94" s="233">
        <v>2.61</v>
      </c>
      <c r="G94" s="234">
        <v>46094</v>
      </c>
      <c r="H94" s="235" t="s">
        <v>13</v>
      </c>
      <c r="I94" s="235"/>
      <c r="J94" s="236">
        <v>7.0000000000000007E-2</v>
      </c>
      <c r="K94" s="237">
        <f ca="1">ROUND(IF(ISERROR(OFFSET(Tabella!$A$1,MATCH(H94,Tabella!$A:$A,0)-1,MATCH(J94,Tabella!$A$1:$AC$1,0)-1)=TRUE),0,+OFFSET(Tabella!$A$1,MATCH(H94,Tabella!$A:$A,0)-1,MATCH(J94,Tabella!$A$1:$AC$1,0)-1)),4)</f>
        <v>1.4</v>
      </c>
      <c r="L94" s="238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238">
        <f ca="1">ROUND(IF(ISERROR(OFFSET(Rame!$A$1,MATCH(H94,Rame!$A:$A,0)-1,MATCH(J94,Rame!$A$1:$AA$1,0)-1)=TRUE),0,OFFSET(Rame!$A$1,MATCH(H94,Rame!$A:$A,0)-1,MATCH(J94,Rame!$A$1:$AA$1,0)-1))*IF(E94="Rame",1,0),4)</f>
        <v>0</v>
      </c>
      <c r="N94" s="238">
        <v>0</v>
      </c>
      <c r="O94" s="238">
        <v>1.65</v>
      </c>
      <c r="P94" s="238">
        <f ca="1">ROUND(+IF(ISERROR(OFFSET(Tabella!$G$1,MATCH(H94,Tabella!$G:$G,0)-1,MATCH(I94,Tabella!$G$1:$FG$1,0)-1)=TRUE),0,OFFSET(Tabella!$G$1,MATCH(H94,Tabella!$G:$G,0)-1,MATCH(I94,Tabella!$G$1:$AB$1,0)-1)),4)</f>
        <v>0</v>
      </c>
      <c r="Q94" s="238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238">
        <f ca="1">ROUND(IF(ISERROR(OFFSET(Rame!$F$1,MATCH(H94,Rame!$F:$F,0)-1,MATCH(I94,Rame!$F$1:$FF$1,0)-1)=TRUE),0,OFFSET(Rame!$F$1,MATCH(H94,Rame!$F:$F,0)-1,MATCH(I94,Rame!$F$1:$FF$1,0)-1))*IF(E94="Rame",1,0),4)</f>
        <v>0</v>
      </c>
      <c r="S94" s="238">
        <f ca="1">ROUND(IF(ISERROR(OFFSET(Bronzo!$A$1,MATCH(H94,Bronzo!$A:$A,0)-1,MATCH(I94,Bronzo!$A$1:$AA$1,0)-1)=TRUE),0,OFFSET(Bronzo!$A$1,MATCH(H94,Bronzo!$A:$A,0)-1,MATCH(I94,Bronzo!$A$1:$AA$1,0)-1)),4)</f>
        <v>0</v>
      </c>
      <c r="T94" s="238">
        <f t="shared" ca="1" si="127"/>
        <v>0</v>
      </c>
      <c r="U94" s="237"/>
      <c r="V94" s="238">
        <v>0</v>
      </c>
      <c r="W94" s="239">
        <f t="shared" ca="1" si="128"/>
        <v>1.65</v>
      </c>
      <c r="X94" s="423">
        <f t="shared" si="103"/>
        <v>63.14</v>
      </c>
      <c r="Y94" s="236">
        <v>4.33</v>
      </c>
      <c r="Z94" s="236">
        <f t="shared" ca="1" si="129"/>
        <v>7.0000000000000007E-2</v>
      </c>
      <c r="AA94" s="241"/>
      <c r="AF94" s="225">
        <f t="shared" ca="1" si="114"/>
        <v>46236</v>
      </c>
      <c r="AG94" s="225" t="b">
        <f t="shared" si="91"/>
        <v>1</v>
      </c>
      <c r="AH94" s="242" t="str">
        <f t="shared" si="92"/>
        <v/>
      </c>
      <c r="AK94" s="223">
        <f t="shared" si="93"/>
        <v>0</v>
      </c>
      <c r="AL94" s="223">
        <f t="shared" si="94"/>
        <v>1900</v>
      </c>
      <c r="AS94" s="223">
        <f t="shared" si="95"/>
        <v>0</v>
      </c>
      <c r="AT94" s="223">
        <f t="shared" si="96"/>
        <v>0</v>
      </c>
    </row>
    <row r="95" spans="2:46" ht="15.75" x14ac:dyDescent="0.25">
      <c r="B95" s="229" t="s">
        <v>571</v>
      </c>
      <c r="C95" s="245" t="s">
        <v>263</v>
      </c>
      <c r="D95" s="246">
        <v>1528</v>
      </c>
      <c r="E95" s="232" t="s">
        <v>4</v>
      </c>
      <c r="F95" s="233">
        <v>2.61</v>
      </c>
      <c r="G95" s="234">
        <v>46094</v>
      </c>
      <c r="H95" s="235" t="s">
        <v>322</v>
      </c>
      <c r="I95" s="235"/>
      <c r="J95" s="236">
        <v>7.0000000000000007E-2</v>
      </c>
      <c r="K95" s="237">
        <f ca="1">ROUND(IF(ISERROR(OFFSET(Tabella!$A$1,MATCH(H95,Tabella!$A:$A,0)-1,MATCH(J95,Tabella!$A$1:$AC$1,0)-1)=TRUE),0,+OFFSET(Tabella!$A$1,MATCH(H95,Tabella!$A:$A,0)-1,MATCH(J95,Tabella!$A$1:$AC$1,0)-1)),4)</f>
        <v>1.25</v>
      </c>
      <c r="L95" s="238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238">
        <f ca="1">ROUND(IF(ISERROR(OFFSET(Rame!$A$1,MATCH(H95,Rame!$A:$A,0)-1,MATCH(J95,Rame!$A$1:$AA$1,0)-1)=TRUE),0,OFFSET(Rame!$A$1,MATCH(H95,Rame!$A:$A,0)-1,MATCH(J95,Rame!$A$1:$AA$1,0)-1))*IF(E95="Rame",1,0),4)</f>
        <v>0</v>
      </c>
      <c r="N95" s="238">
        <v>0</v>
      </c>
      <c r="O95" s="238">
        <v>1.5</v>
      </c>
      <c r="P95" s="238">
        <f ca="1">ROUND(+IF(ISERROR(OFFSET(Tabella!$G$1,MATCH(H95,Tabella!$G:$G,0)-1,MATCH(I95,Tabella!$G$1:$FG$1,0)-1)=TRUE),0,OFFSET(Tabella!$G$1,MATCH(H95,Tabella!$G:$G,0)-1,MATCH(I95,Tabella!$G$1:$AB$1,0)-1)),4)</f>
        <v>0</v>
      </c>
      <c r="Q95" s="238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238">
        <f ca="1">ROUND(IF(ISERROR(OFFSET(Rame!$F$1,MATCH(H95,Rame!$F:$F,0)-1,MATCH(I95,Rame!$F$1:$FF$1,0)-1)=TRUE),0,OFFSET(Rame!$F$1,MATCH(H95,Rame!$F:$F,0)-1,MATCH(I95,Rame!$F$1:$FF$1,0)-1))*IF(E95="Rame",1,0),4)</f>
        <v>0</v>
      </c>
      <c r="S95" s="238">
        <f ca="1">ROUND(IF(ISERROR(OFFSET(Bronzo!$A$1,MATCH(H95,Bronzo!$A:$A,0)-1,MATCH(I95,Bronzo!$A$1:$AA$1,0)-1)=TRUE),0,OFFSET(Bronzo!$A$1,MATCH(H95,Bronzo!$A:$A,0)-1,MATCH(I95,Bronzo!$A$1:$AA$1,0)-1)),4)</f>
        <v>0</v>
      </c>
      <c r="T95" s="238">
        <f t="shared" ca="1" si="127"/>
        <v>0</v>
      </c>
      <c r="U95" s="237"/>
      <c r="V95" s="238">
        <v>0</v>
      </c>
      <c r="W95" s="239">
        <f t="shared" ca="1" si="128"/>
        <v>1.5</v>
      </c>
      <c r="X95" s="423">
        <f t="shared" si="103"/>
        <v>106.96</v>
      </c>
      <c r="Y95" s="236">
        <v>4.18</v>
      </c>
      <c r="Z95" s="236">
        <f t="shared" ca="1" si="129"/>
        <v>7.0000000000000007E-2</v>
      </c>
      <c r="AA95" s="241"/>
      <c r="AF95" s="225">
        <f t="shared" ca="1" si="114"/>
        <v>46236</v>
      </c>
      <c r="AG95" s="225" t="b">
        <f t="shared" si="91"/>
        <v>1</v>
      </c>
      <c r="AH95" s="242" t="str">
        <f t="shared" si="92"/>
        <v/>
      </c>
      <c r="AK95" s="223">
        <f t="shared" si="93"/>
        <v>0</v>
      </c>
      <c r="AL95" s="223">
        <f t="shared" si="94"/>
        <v>1900</v>
      </c>
      <c r="AS95" s="223">
        <f t="shared" si="95"/>
        <v>0</v>
      </c>
      <c r="AT95" s="223">
        <f t="shared" si="96"/>
        <v>0</v>
      </c>
    </row>
    <row r="96" spans="2:46" ht="15.75" x14ac:dyDescent="0.25">
      <c r="B96" s="229" t="s">
        <v>569</v>
      </c>
      <c r="C96" s="245" t="s">
        <v>263</v>
      </c>
      <c r="D96" s="246">
        <v>1628</v>
      </c>
      <c r="E96" s="232" t="s">
        <v>4</v>
      </c>
      <c r="F96" s="233">
        <v>2.61</v>
      </c>
      <c r="G96" s="234">
        <v>46094</v>
      </c>
      <c r="H96" s="235" t="s">
        <v>15</v>
      </c>
      <c r="I96" s="235"/>
      <c r="J96" s="236">
        <v>7.0000000000000007E-2</v>
      </c>
      <c r="K96" s="237">
        <f ca="1">ROUND(IF(ISERROR(OFFSET(Tabella!$A$1,MATCH(H96,Tabella!$A:$A,0)-1,MATCH(J96,Tabella!$A$1:$AC$1,0)-1)=TRUE),0,+OFFSET(Tabella!$A$1,MATCH(H96,Tabella!$A:$A,0)-1,MATCH(J96,Tabella!$A$1:$AC$1,0)-1)),4)</f>
        <v>1.4</v>
      </c>
      <c r="L96" s="238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238">
        <f ca="1">ROUND(IF(ISERROR(OFFSET(Rame!$A$1,MATCH(H96,Rame!$A:$A,0)-1,MATCH(J96,Rame!$A$1:$AA$1,0)-1)=TRUE),0,OFFSET(Rame!$A$1,MATCH(H96,Rame!$A:$A,0)-1,MATCH(J96,Rame!$A$1:$AA$1,0)-1))*IF(E96="Rame",1,0),4)</f>
        <v>0</v>
      </c>
      <c r="N96" s="238">
        <v>0</v>
      </c>
      <c r="O96" s="238">
        <v>1.65</v>
      </c>
      <c r="P96" s="238">
        <f ca="1">ROUND(+IF(ISERROR(OFFSET(Tabella!$G$1,MATCH(H96,Tabella!$G:$G,0)-1,MATCH(I96,Tabella!$G$1:$FG$1,0)-1)=TRUE),0,OFFSET(Tabella!$G$1,MATCH(H96,Tabella!$G:$G,0)-1,MATCH(I96,Tabella!$G$1:$AB$1,0)-1)),4)</f>
        <v>0</v>
      </c>
      <c r="Q96" s="238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238">
        <f ca="1">ROUND(IF(ISERROR(OFFSET(Rame!$F$1,MATCH(H96,Rame!$F:$F,0)-1,MATCH(I96,Rame!$F$1:$FF$1,0)-1)=TRUE),0,OFFSET(Rame!$F$1,MATCH(H96,Rame!$F:$F,0)-1,MATCH(I96,Rame!$F$1:$FF$1,0)-1))*IF(E96="Rame",1,0),4)</f>
        <v>0</v>
      </c>
      <c r="S96" s="238">
        <f ca="1">ROUND(IF(ISERROR(OFFSET(Bronzo!$A$1,MATCH(H96,Bronzo!$A:$A,0)-1,MATCH(I96,Bronzo!$A$1:$AA$1,0)-1)=TRUE),0,OFFSET(Bronzo!$A$1,MATCH(H96,Bronzo!$A:$A,0)-1,MATCH(I96,Bronzo!$A$1:$AA$1,0)-1)),4)</f>
        <v>0</v>
      </c>
      <c r="T96" s="238">
        <f t="shared" ca="1" si="127"/>
        <v>0</v>
      </c>
      <c r="U96" s="237"/>
      <c r="V96" s="238">
        <v>0</v>
      </c>
      <c r="W96" s="239">
        <f t="shared" ca="1" si="128"/>
        <v>1.65</v>
      </c>
      <c r="X96" s="423">
        <f t="shared" si="103"/>
        <v>113.96</v>
      </c>
      <c r="Y96" s="236">
        <v>4.33</v>
      </c>
      <c r="Z96" s="236">
        <f t="shared" ca="1" si="129"/>
        <v>7.0000000000000007E-2</v>
      </c>
      <c r="AA96" s="241"/>
      <c r="AF96" s="225">
        <f t="shared" ca="1" si="114"/>
        <v>46236</v>
      </c>
      <c r="AG96" s="225" t="b">
        <f t="shared" si="91"/>
        <v>1</v>
      </c>
      <c r="AH96" s="242" t="str">
        <f t="shared" si="92"/>
        <v/>
      </c>
      <c r="AK96" s="223">
        <f t="shared" si="93"/>
        <v>0</v>
      </c>
      <c r="AL96" s="223">
        <f t="shared" si="94"/>
        <v>1900</v>
      </c>
      <c r="AS96" s="223">
        <f t="shared" si="95"/>
        <v>0</v>
      </c>
      <c r="AT96" s="223">
        <f t="shared" si="96"/>
        <v>0</v>
      </c>
    </row>
    <row r="97" spans="2:46" ht="15.75" x14ac:dyDescent="0.25">
      <c r="B97" s="229" t="s">
        <v>571</v>
      </c>
      <c r="C97" s="245" t="s">
        <v>263</v>
      </c>
      <c r="D97" s="246">
        <v>739</v>
      </c>
      <c r="E97" s="232" t="s">
        <v>4</v>
      </c>
      <c r="F97" s="233">
        <v>2.61</v>
      </c>
      <c r="G97" s="234">
        <v>46094</v>
      </c>
      <c r="H97" s="235" t="s">
        <v>9</v>
      </c>
      <c r="I97" s="235"/>
      <c r="J97" s="236">
        <v>7.0000000000000007E-2</v>
      </c>
      <c r="K97" s="237">
        <f ca="1">ROUND(IF(ISERROR(OFFSET(Tabella!$A$1,MATCH(H97,Tabella!$A:$A,0)-1,MATCH(J97,Tabella!$A$1:$AC$1,0)-1)=TRUE),0,+OFFSET(Tabella!$A$1,MATCH(H97,Tabella!$A:$A,0)-1,MATCH(J97,Tabella!$A$1:$AC$1,0)-1)),4)</f>
        <v>1.6</v>
      </c>
      <c r="L97" s="238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238">
        <f ca="1">ROUND(IF(ISERROR(OFFSET(Rame!$A$1,MATCH(H97,Rame!$A:$A,0)-1,MATCH(J97,Rame!$A$1:$AA$1,0)-1)=TRUE),0,OFFSET(Rame!$A$1,MATCH(H97,Rame!$A:$A,0)-1,MATCH(J97,Rame!$A$1:$AA$1,0)-1))*IF(E97="Rame",1,0),4)</f>
        <v>0</v>
      </c>
      <c r="N97" s="238">
        <v>0</v>
      </c>
      <c r="O97" s="238">
        <v>1.8</v>
      </c>
      <c r="P97" s="238">
        <f ca="1">ROUND(+IF(ISERROR(OFFSET(Tabella!$G$1,MATCH(H97,Tabella!$G:$G,0)-1,MATCH(I97,Tabella!$G$1:$FG$1,0)-1)=TRUE),0,OFFSET(Tabella!$G$1,MATCH(H97,Tabella!$G:$G,0)-1,MATCH(I97,Tabella!$G$1:$AB$1,0)-1)),4)</f>
        <v>0</v>
      </c>
      <c r="Q97" s="238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238">
        <f ca="1">ROUND(IF(ISERROR(OFFSET(Rame!$F$1,MATCH(H97,Rame!$F:$F,0)-1,MATCH(I97,Rame!$F$1:$FF$1,0)-1)=TRUE),0,OFFSET(Rame!$F$1,MATCH(H97,Rame!$F:$F,0)-1,MATCH(I97,Rame!$F$1:$FF$1,0)-1))*IF(E97="Rame",1,0),4)</f>
        <v>0</v>
      </c>
      <c r="S97" s="238">
        <f ca="1">ROUND(IF(ISERROR(OFFSET(Bronzo!$A$1,MATCH(H97,Bronzo!$A:$A,0)-1,MATCH(I97,Bronzo!$A$1:$AA$1,0)-1)=TRUE),0,OFFSET(Bronzo!$A$1,MATCH(H97,Bronzo!$A:$A,0)-1,MATCH(I97,Bronzo!$A$1:$AA$1,0)-1)),4)</f>
        <v>0</v>
      </c>
      <c r="T97" s="238">
        <f t="shared" ca="1" si="127"/>
        <v>0</v>
      </c>
      <c r="U97" s="237"/>
      <c r="V97" s="238">
        <v>0</v>
      </c>
      <c r="W97" s="239">
        <f t="shared" ca="1" si="128"/>
        <v>1.8</v>
      </c>
      <c r="X97" s="423">
        <f t="shared" si="103"/>
        <v>51.73</v>
      </c>
      <c r="Y97" s="236">
        <v>4.4800000000000004</v>
      </c>
      <c r="Z97" s="236">
        <f t="shared" ca="1" si="129"/>
        <v>7.0000000000000007E-2</v>
      </c>
      <c r="AA97" s="241"/>
      <c r="AF97" s="225">
        <f t="shared" ca="1" si="114"/>
        <v>46236</v>
      </c>
      <c r="AG97" s="225" t="b">
        <f t="shared" si="91"/>
        <v>1</v>
      </c>
      <c r="AH97" s="242" t="str">
        <f t="shared" si="92"/>
        <v/>
      </c>
      <c r="AK97" s="223">
        <f t="shared" si="93"/>
        <v>0</v>
      </c>
      <c r="AL97" s="223">
        <f t="shared" si="94"/>
        <v>1900</v>
      </c>
      <c r="AS97" s="223">
        <f t="shared" si="95"/>
        <v>0</v>
      </c>
      <c r="AT97" s="223">
        <f t="shared" si="96"/>
        <v>0</v>
      </c>
    </row>
    <row r="98" spans="2:46" ht="15.75" x14ac:dyDescent="0.25">
      <c r="B98" s="229" t="s">
        <v>569</v>
      </c>
      <c r="C98" s="245" t="s">
        <v>263</v>
      </c>
      <c r="D98" s="246">
        <v>1610</v>
      </c>
      <c r="E98" s="232" t="s">
        <v>4</v>
      </c>
      <c r="F98" s="233">
        <v>2.61</v>
      </c>
      <c r="G98" s="234">
        <v>46094</v>
      </c>
      <c r="H98" s="235" t="s">
        <v>243</v>
      </c>
      <c r="I98" s="235"/>
      <c r="J98" s="236">
        <v>7.0000000000000007E-2</v>
      </c>
      <c r="K98" s="237">
        <f ca="1">ROUND(IF(ISERROR(OFFSET(Tabella!$A$1,MATCH(H98,Tabella!$A:$A,0)-1,MATCH(J98,Tabella!$A$1:$AC$1,0)-1)=TRUE),0,+OFFSET(Tabella!$A$1,MATCH(H98,Tabella!$A:$A,0)-1,MATCH(J98,Tabella!$A$1:$AC$1,0)-1)),4)</f>
        <v>1.4</v>
      </c>
      <c r="L98" s="238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238">
        <f ca="1">ROUND(IF(ISERROR(OFFSET(Rame!$A$1,MATCH(H98,Rame!$A:$A,0)-1,MATCH(J98,Rame!$A$1:$AA$1,0)-1)=TRUE),0,OFFSET(Rame!$A$1,MATCH(H98,Rame!$A:$A,0)-1,MATCH(J98,Rame!$A$1:$AA$1,0)-1))*IF(E98="Rame",1,0),4)</f>
        <v>0</v>
      </c>
      <c r="N98" s="238">
        <v>0</v>
      </c>
      <c r="O98" s="238">
        <v>1.6</v>
      </c>
      <c r="P98" s="238">
        <f ca="1">ROUND(+IF(ISERROR(OFFSET(Tabella!$G$1,MATCH(H98,Tabella!$G:$G,0)-1,MATCH(I98,Tabella!$G$1:$FG$1,0)-1)=TRUE),0,OFFSET(Tabella!$G$1,MATCH(H98,Tabella!$G:$G,0)-1,MATCH(I98,Tabella!$G$1:$AB$1,0)-1)),4)</f>
        <v>0</v>
      </c>
      <c r="Q98" s="238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238">
        <f ca="1">ROUND(IF(ISERROR(OFFSET(Rame!$F$1,MATCH(H98,Rame!$F:$F,0)-1,MATCH(I98,Rame!$F$1:$FF$1,0)-1)=TRUE),0,OFFSET(Rame!$F$1,MATCH(H98,Rame!$F:$F,0)-1,MATCH(I98,Rame!$F$1:$FF$1,0)-1))*IF(E98="Rame",1,0),4)</f>
        <v>0</v>
      </c>
      <c r="S98" s="238">
        <f ca="1">ROUND(IF(ISERROR(OFFSET(Bronzo!$A$1,MATCH(H98,Bronzo!$A:$A,0)-1,MATCH(I98,Bronzo!$A$1:$AA$1,0)-1)=TRUE),0,OFFSET(Bronzo!$A$1,MATCH(H98,Bronzo!$A:$A,0)-1,MATCH(I98,Bronzo!$A$1:$AA$1,0)-1)),4)</f>
        <v>0</v>
      </c>
      <c r="T98" s="238">
        <f t="shared" ca="1" si="127"/>
        <v>0</v>
      </c>
      <c r="U98" s="237"/>
      <c r="V98" s="238">
        <v>0</v>
      </c>
      <c r="W98" s="239">
        <f t="shared" ca="1" si="128"/>
        <v>1.6</v>
      </c>
      <c r="X98" s="423">
        <f t="shared" si="103"/>
        <v>112.7</v>
      </c>
      <c r="Y98" s="236">
        <v>4.28</v>
      </c>
      <c r="Z98" s="236">
        <f t="shared" ca="1" si="129"/>
        <v>7.0000000000000007E-2</v>
      </c>
      <c r="AA98" s="241"/>
      <c r="AF98" s="225">
        <f t="shared" ca="1" si="114"/>
        <v>46236</v>
      </c>
      <c r="AG98" s="225" t="b">
        <f t="shared" si="91"/>
        <v>1</v>
      </c>
      <c r="AH98" s="242" t="str">
        <f t="shared" si="92"/>
        <v/>
      </c>
      <c r="AK98" s="223">
        <f t="shared" si="93"/>
        <v>0</v>
      </c>
      <c r="AL98" s="223">
        <f t="shared" si="94"/>
        <v>1900</v>
      </c>
      <c r="AS98" s="223">
        <f t="shared" si="95"/>
        <v>0</v>
      </c>
      <c r="AT98" s="223">
        <f t="shared" si="96"/>
        <v>0</v>
      </c>
    </row>
    <row r="99" spans="2:46" ht="15.75" x14ac:dyDescent="0.25">
      <c r="B99" s="229"/>
      <c r="C99" s="248" t="s">
        <v>108</v>
      </c>
      <c r="D99" s="249">
        <v>650</v>
      </c>
      <c r="E99" s="232" t="s">
        <v>4</v>
      </c>
      <c r="F99" s="233">
        <v>2.98</v>
      </c>
      <c r="G99" s="234">
        <v>46097</v>
      </c>
      <c r="H99" s="235" t="s">
        <v>21</v>
      </c>
      <c r="I99" s="235"/>
      <c r="J99" s="236">
        <v>7.0000000000000007E-2</v>
      </c>
      <c r="K99" s="237">
        <f ca="1">ROUND(IF(ISERROR(OFFSET(Tabella!$A$1,MATCH(H99,Tabella!$A:$A,0)-1,MATCH(J99,Tabella!$A$1:$AC$1,0)-1)=TRUE),0,+OFFSET(Tabella!$A$1,MATCH(H99,Tabella!$A:$A,0)-1,MATCH(J99,Tabella!$A$1:$AC$1,0)-1)),4)</f>
        <v>1.25</v>
      </c>
      <c r="L99" s="238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238">
        <f ca="1">ROUND(IF(ISERROR(OFFSET(Rame!$A$1,MATCH(H99,Rame!$A:$A,0)-1,MATCH(J99,Rame!$A$1:$AA$1,0)-1)=TRUE),0,OFFSET(Rame!$A$1,MATCH(H99,Rame!$A:$A,0)-1,MATCH(J99,Rame!$A$1:$AA$1,0)-1))*IF(E99="Rame",1,0),4)</f>
        <v>0</v>
      </c>
      <c r="N99" s="238">
        <v>0</v>
      </c>
      <c r="O99" s="238">
        <f ca="1">ROUND(SUM(K99:N99),4)</f>
        <v>1.25</v>
      </c>
      <c r="P99" s="238">
        <f ca="1">ROUND(+IF(ISERROR(OFFSET(Tabella!$G$1,MATCH(H99,Tabella!$G:$G,0)-1,MATCH(I99,Tabella!$G$1:$FG$1,0)-1)=TRUE),0,OFFSET(Tabella!$G$1,MATCH(H99,Tabella!$G:$G,0)-1,MATCH(I99,Tabella!$G$1:$AB$1,0)-1)),4)</f>
        <v>0</v>
      </c>
      <c r="Q99" s="238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238">
        <f ca="1">ROUND(IF(ISERROR(OFFSET(Rame!$F$1,MATCH(H99,Rame!$F:$F,0)-1,MATCH(I99,Rame!$F$1:$FF$1,0)-1)=TRUE),0,OFFSET(Rame!$F$1,MATCH(H99,Rame!$F:$F,0)-1,MATCH(I99,Rame!$F$1:$FF$1,0)-1))*IF(E99="Rame",1,0),4)</f>
        <v>0</v>
      </c>
      <c r="S99" s="238">
        <f ca="1">ROUND(IF(ISERROR(OFFSET(Bronzo!$A$1,MATCH(H99,Bronzo!$A:$A,0)-1,MATCH(I99,Bronzo!$A$1:$AA$1,0)-1)=TRUE),0,OFFSET(Bronzo!$A$1,MATCH(H99,Bronzo!$A:$A,0)-1,MATCH(I99,Bronzo!$A$1:$AA$1,0)-1)),4)</f>
        <v>0</v>
      </c>
      <c r="T99" s="238">
        <f t="shared" ca="1" si="127"/>
        <v>0</v>
      </c>
      <c r="U99" s="237"/>
      <c r="V99" s="238">
        <v>0</v>
      </c>
      <c r="W99" s="239">
        <f t="shared" ca="1" si="128"/>
        <v>1.25</v>
      </c>
      <c r="X99" s="424">
        <f t="shared" si="103"/>
        <v>45.5</v>
      </c>
      <c r="Y99" s="236">
        <v>4.58</v>
      </c>
      <c r="Z99" s="236">
        <f t="shared" ca="1" si="129"/>
        <v>0.35</v>
      </c>
      <c r="AA99" s="241"/>
      <c r="AF99" s="225">
        <f t="shared" ca="1" si="114"/>
        <v>46236</v>
      </c>
      <c r="AG99" s="225" t="b">
        <f t="shared" si="91"/>
        <v>1</v>
      </c>
      <c r="AH99" s="242" t="str">
        <f t="shared" si="92"/>
        <v/>
      </c>
      <c r="AK99" s="223">
        <f t="shared" si="93"/>
        <v>0</v>
      </c>
      <c r="AL99" s="223">
        <f t="shared" si="94"/>
        <v>1900</v>
      </c>
      <c r="AS99" s="223">
        <f t="shared" si="95"/>
        <v>0</v>
      </c>
      <c r="AT99" s="223">
        <f t="shared" si="96"/>
        <v>0</v>
      </c>
    </row>
    <row r="100" spans="2:46" ht="15.75" x14ac:dyDescent="0.25">
      <c r="B100" s="229" t="s">
        <v>572</v>
      </c>
      <c r="C100" s="245" t="s">
        <v>97</v>
      </c>
      <c r="D100" s="246">
        <v>276</v>
      </c>
      <c r="E100" s="232" t="s">
        <v>6</v>
      </c>
      <c r="F100" s="233">
        <v>10.99</v>
      </c>
      <c r="G100" s="234">
        <v>46097</v>
      </c>
      <c r="H100" s="235" t="s">
        <v>14</v>
      </c>
      <c r="I100" s="235"/>
      <c r="J100" s="236">
        <v>0.15</v>
      </c>
      <c r="K100" s="237">
        <f ca="1">ROUND(IF(ISERROR(OFFSET(Tabella!$A$1,MATCH(H100,Tabella!$A:$A,0)-1,MATCH(J100,Tabella!$A$1:$AC$1,0)-1)=TRUE),0,+OFFSET(Tabella!$A$1,MATCH(H100,Tabella!$A:$A,0)-1,MATCH(J100,Tabella!$A$1:$AC$1,0)-1)),4)</f>
        <v>0</v>
      </c>
      <c r="L100" s="238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238">
        <f ca="1">ROUND(IF(ISERROR(OFFSET(Rame!$A$1,MATCH(H100,Rame!$A:$A,0)-1,MATCH(J100,Rame!$A$1:$AA$1,0)-1)=TRUE),0,OFFSET(Rame!$A$1,MATCH(H100,Rame!$A:$A,0)-1,MATCH(J100,Rame!$A$1:$AA$1,0)-1))*IF(E100="Rame",1,0),4)</f>
        <v>1</v>
      </c>
      <c r="N100" s="238">
        <v>0</v>
      </c>
      <c r="O100" s="238">
        <f ca="1">ROUND(SUM(K100:N100),4)</f>
        <v>1</v>
      </c>
      <c r="P100" s="238">
        <f ca="1">ROUND(+IF(ISERROR(OFFSET(Tabella!$G$1,MATCH(H100,Tabella!$G:$G,0)-1,MATCH(I100,Tabella!$G$1:$FG$1,0)-1)=TRUE),0,OFFSET(Tabella!$G$1,MATCH(H100,Tabella!$G:$G,0)-1,MATCH(I100,Tabella!$G$1:$AB$1,0)-1)),4)</f>
        <v>0</v>
      </c>
      <c r="Q100" s="238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238">
        <f ca="1">ROUND(IF(ISERROR(OFFSET(Rame!$F$1,MATCH(H100,Rame!$F:$F,0)-1,MATCH(I100,Rame!$F$1:$FF$1,0)-1)=TRUE),0,OFFSET(Rame!$F$1,MATCH(H100,Rame!$F:$F,0)-1,MATCH(I100,Rame!$F$1:$FF$1,0)-1))*IF(E100="Rame",1,0),4)</f>
        <v>0</v>
      </c>
      <c r="S100" s="238">
        <f ca="1">ROUND(IF(ISERROR(OFFSET(Bronzo!$A$1,MATCH(H100,Bronzo!$A:$A,0)-1,MATCH(I100,Bronzo!$A$1:$AA$1,0)-1)=TRUE),0,OFFSET(Bronzo!$A$1,MATCH(H100,Bronzo!$A:$A,0)-1,MATCH(I100,Bronzo!$A$1:$AA$1,0)-1)),4)</f>
        <v>0</v>
      </c>
      <c r="T100" s="238">
        <f t="shared" ca="1" si="127"/>
        <v>0</v>
      </c>
      <c r="U100" s="237"/>
      <c r="V100" s="238">
        <v>0</v>
      </c>
      <c r="W100" s="239">
        <f t="shared" ca="1" si="128"/>
        <v>1</v>
      </c>
      <c r="X100" s="423">
        <f t="shared" si="103"/>
        <v>41.4</v>
      </c>
      <c r="Y100" s="236">
        <v>14.6</v>
      </c>
      <c r="Z100" s="236">
        <f t="shared" ca="1" si="129"/>
        <v>2.61</v>
      </c>
      <c r="AA100" s="241"/>
      <c r="AF100" s="225">
        <f t="shared" ca="1" si="114"/>
        <v>46236</v>
      </c>
      <c r="AG100" s="225" t="b">
        <f t="shared" ref="AG100:AG128" si="130">ISBLANK(AA100)</f>
        <v>1</v>
      </c>
      <c r="AH100" s="242" t="str">
        <f t="shared" ref="AH100:AH128" si="131">IF(AG100=FALSE,_xlfn.DAYS(AA100,AF100),"")</f>
        <v/>
      </c>
      <c r="AK100" s="223">
        <f t="shared" ref="AK100:AK128" si="132">WEEKNUM(AA100)</f>
        <v>0</v>
      </c>
      <c r="AL100" s="223">
        <f t="shared" ref="AL100:AL128" si="133">YEAR(AA100)</f>
        <v>1900</v>
      </c>
      <c r="AS100" s="223">
        <f t="shared" si="95"/>
        <v>0</v>
      </c>
      <c r="AT100" s="223">
        <f t="shared" si="96"/>
        <v>0</v>
      </c>
    </row>
    <row r="101" spans="2:46" ht="15.75" x14ac:dyDescent="0.25">
      <c r="B101" s="229" t="s">
        <v>573</v>
      </c>
      <c r="C101" s="245" t="s">
        <v>212</v>
      </c>
      <c r="D101" s="246">
        <v>6979</v>
      </c>
      <c r="E101" s="232" t="s">
        <v>4</v>
      </c>
      <c r="F101" s="233">
        <v>2.61</v>
      </c>
      <c r="G101" s="234">
        <v>46099</v>
      </c>
      <c r="H101" s="235" t="s">
        <v>23</v>
      </c>
      <c r="I101" s="235"/>
      <c r="J101" s="236">
        <v>0.05</v>
      </c>
      <c r="K101" s="237">
        <f ca="1">ROUND(IF(ISERROR(OFFSET(Tabella!$A$1,MATCH(H101,Tabella!$A:$A,0)-1,MATCH(J101,Tabella!$A$1:$AC$1,0)-1)=TRUE),0,+OFFSET(Tabella!$A$1,MATCH(H101,Tabella!$A:$A,0)-1,MATCH(J101,Tabella!$A$1:$AC$1,0)-1)),4)</f>
        <v>0</v>
      </c>
      <c r="L101" s="238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238">
        <f ca="1">ROUND(IF(ISERROR(OFFSET(Rame!$A$1,MATCH(H101,Rame!$A:$A,0)-1,MATCH(J101,Rame!$A$1:$AA$1,0)-1)=TRUE),0,OFFSET(Rame!$A$1,MATCH(H101,Rame!$A:$A,0)-1,MATCH(J101,Rame!$A$1:$AA$1,0)-1))*IF(E101="Rame",1,0),4)</f>
        <v>0</v>
      </c>
      <c r="N101" s="238">
        <v>0</v>
      </c>
      <c r="O101" s="238">
        <v>1.37</v>
      </c>
      <c r="P101" s="238">
        <f ca="1">ROUND(+IF(ISERROR(OFFSET(Tabella!$G$1,MATCH(H101,Tabella!$G:$G,0)-1,MATCH(I101,Tabella!$G$1:$FG$1,0)-1)=TRUE),0,OFFSET(Tabella!$G$1,MATCH(H101,Tabella!$G:$G,0)-1,MATCH(I101,Tabella!$G$1:$AB$1,0)-1)),4)</f>
        <v>0</v>
      </c>
      <c r="Q101" s="238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238">
        <f ca="1">ROUND(IF(ISERROR(OFFSET(Rame!$F$1,MATCH(H101,Rame!$F:$F,0)-1,MATCH(I101,Rame!$F$1:$FF$1,0)-1)=TRUE),0,OFFSET(Rame!$F$1,MATCH(H101,Rame!$F:$F,0)-1,MATCH(I101,Rame!$F$1:$FF$1,0)-1))*IF(E101="Rame",1,0),4)</f>
        <v>0</v>
      </c>
      <c r="S101" s="238">
        <f ca="1">ROUND(IF(ISERROR(OFFSET(Bronzo!$A$1,MATCH(H101,Bronzo!$A:$A,0)-1,MATCH(I101,Bronzo!$A$1:$AA$1,0)-1)=TRUE),0,OFFSET(Bronzo!$A$1,MATCH(H101,Bronzo!$A:$A,0)-1,MATCH(I101,Bronzo!$A$1:$AA$1,0)-1)),4)</f>
        <v>0</v>
      </c>
      <c r="T101" s="238">
        <f t="shared" ca="1" si="127"/>
        <v>0</v>
      </c>
      <c r="U101" s="237"/>
      <c r="V101" s="238">
        <v>0</v>
      </c>
      <c r="W101" s="239">
        <f t="shared" ca="1" si="128"/>
        <v>1.37</v>
      </c>
      <c r="X101" s="423">
        <f t="shared" si="103"/>
        <v>348.95</v>
      </c>
      <c r="Y101" s="236">
        <v>3.98</v>
      </c>
      <c r="Z101" s="236">
        <f t="shared" ca="1" si="129"/>
        <v>0</v>
      </c>
      <c r="AA101" s="241"/>
      <c r="AE101" s="223" t="s">
        <v>470</v>
      </c>
      <c r="AF101" s="225">
        <f t="shared" ca="1" si="114"/>
        <v>46236</v>
      </c>
      <c r="AG101" s="225" t="b">
        <f t="shared" si="130"/>
        <v>1</v>
      </c>
      <c r="AH101" s="242" t="str">
        <f t="shared" si="131"/>
        <v/>
      </c>
      <c r="AK101" s="223">
        <f t="shared" si="132"/>
        <v>0</v>
      </c>
      <c r="AL101" s="223">
        <f t="shared" si="133"/>
        <v>1900</v>
      </c>
      <c r="AS101" s="223">
        <f t="shared" si="95"/>
        <v>0</v>
      </c>
      <c r="AT101" s="223">
        <f t="shared" si="96"/>
        <v>0</v>
      </c>
    </row>
    <row r="102" spans="2:46" ht="15.75" x14ac:dyDescent="0.25">
      <c r="B102" s="229" t="s">
        <v>574</v>
      </c>
      <c r="C102" s="245" t="s">
        <v>212</v>
      </c>
      <c r="D102" s="246">
        <v>7002</v>
      </c>
      <c r="E102" s="232" t="s">
        <v>4</v>
      </c>
      <c r="F102" s="233">
        <v>2.61</v>
      </c>
      <c r="G102" s="234">
        <v>46099</v>
      </c>
      <c r="H102" s="235" t="s">
        <v>23</v>
      </c>
      <c r="I102" s="235"/>
      <c r="J102" s="236">
        <v>0.05</v>
      </c>
      <c r="K102" s="237">
        <f ca="1">ROUND(IF(ISERROR(OFFSET(Tabella!$A$1,MATCH(H102,Tabella!$A:$A,0)-1,MATCH(J102,Tabella!$A$1:$AC$1,0)-1)=TRUE),0,+OFFSET(Tabella!$A$1,MATCH(H102,Tabella!$A:$A,0)-1,MATCH(J102,Tabella!$A$1:$AC$1,0)-1)),4)</f>
        <v>0</v>
      </c>
      <c r="L102" s="238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238">
        <f ca="1">ROUND(IF(ISERROR(OFFSET(Rame!$A$1,MATCH(H102,Rame!$A:$A,0)-1,MATCH(J102,Rame!$A$1:$AA$1,0)-1)=TRUE),0,OFFSET(Rame!$A$1,MATCH(H102,Rame!$A:$A,0)-1,MATCH(J102,Rame!$A$1:$AA$1,0)-1))*IF(E102="Rame",1,0),4)</f>
        <v>0</v>
      </c>
      <c r="N102" s="238">
        <v>0</v>
      </c>
      <c r="O102" s="238">
        <v>1.37</v>
      </c>
      <c r="P102" s="238">
        <f ca="1">ROUND(+IF(ISERROR(OFFSET(Tabella!$G$1,MATCH(H102,Tabella!$G:$G,0)-1,MATCH(I102,Tabella!$G$1:$FG$1,0)-1)=TRUE),0,OFFSET(Tabella!$G$1,MATCH(H102,Tabella!$G:$G,0)-1,MATCH(I102,Tabella!$G$1:$AB$1,0)-1)),4)</f>
        <v>0</v>
      </c>
      <c r="Q102" s="238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238">
        <f ca="1">ROUND(IF(ISERROR(OFFSET(Rame!$F$1,MATCH(H102,Rame!$F:$F,0)-1,MATCH(I102,Rame!$F$1:$FF$1,0)-1)=TRUE),0,OFFSET(Rame!$F$1,MATCH(H102,Rame!$F:$F,0)-1,MATCH(I102,Rame!$F$1:$FF$1,0)-1))*IF(E102="Rame",1,0),4)</f>
        <v>0</v>
      </c>
      <c r="S102" s="238">
        <f ca="1">ROUND(IF(ISERROR(OFFSET(Bronzo!$A$1,MATCH(H102,Bronzo!$A:$A,0)-1,MATCH(I102,Bronzo!$A$1:$AA$1,0)-1)=TRUE),0,OFFSET(Bronzo!$A$1,MATCH(H102,Bronzo!$A:$A,0)-1,MATCH(I102,Bronzo!$A$1:$AA$1,0)-1)),4)</f>
        <v>0</v>
      </c>
      <c r="T102" s="238">
        <f t="shared" ca="1" si="127"/>
        <v>0</v>
      </c>
      <c r="U102" s="237"/>
      <c r="V102" s="238">
        <v>0</v>
      </c>
      <c r="W102" s="239">
        <f t="shared" ca="1" si="128"/>
        <v>1.37</v>
      </c>
      <c r="X102" s="423">
        <f t="shared" si="103"/>
        <v>350.1</v>
      </c>
      <c r="Y102" s="236">
        <v>3.98</v>
      </c>
      <c r="Z102" s="236">
        <f t="shared" ca="1" si="129"/>
        <v>0</v>
      </c>
      <c r="AA102" s="241"/>
      <c r="AF102" s="225">
        <f t="shared" ca="1" si="114"/>
        <v>46236</v>
      </c>
      <c r="AG102" s="225" t="b">
        <f t="shared" si="130"/>
        <v>1</v>
      </c>
      <c r="AH102" s="242" t="str">
        <f t="shared" si="131"/>
        <v/>
      </c>
      <c r="AK102" s="223">
        <f t="shared" si="132"/>
        <v>0</v>
      </c>
      <c r="AL102" s="223">
        <f t="shared" si="133"/>
        <v>1900</v>
      </c>
      <c r="AS102" s="223">
        <f t="shared" si="95"/>
        <v>0</v>
      </c>
      <c r="AT102" s="223">
        <f t="shared" si="96"/>
        <v>0</v>
      </c>
    </row>
    <row r="103" spans="2:46" ht="15.75" x14ac:dyDescent="0.25">
      <c r="B103" s="229" t="s">
        <v>575</v>
      </c>
      <c r="C103" s="245" t="s">
        <v>212</v>
      </c>
      <c r="D103" s="246">
        <v>2022</v>
      </c>
      <c r="E103" s="232" t="s">
        <v>4</v>
      </c>
      <c r="F103" s="233">
        <v>2.61</v>
      </c>
      <c r="G103" s="234">
        <v>46099</v>
      </c>
      <c r="H103" s="235" t="s">
        <v>24</v>
      </c>
      <c r="I103" s="235"/>
      <c r="J103" s="236">
        <v>0.05</v>
      </c>
      <c r="K103" s="237">
        <f ca="1">ROUND(IF(ISERROR(OFFSET(Tabella!$A$1,MATCH(H103,Tabella!$A:$A,0)-1,MATCH(J103,Tabella!$A$1:$AC$1,0)-1)=TRUE),0,+OFFSET(Tabella!$A$1,MATCH(H103,Tabella!$A:$A,0)-1,MATCH(J103,Tabella!$A$1:$AC$1,0)-1)),4)</f>
        <v>0</v>
      </c>
      <c r="L103" s="238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238">
        <f ca="1">ROUND(IF(ISERROR(OFFSET(Rame!$A$1,MATCH(H103,Rame!$A:$A,0)-1,MATCH(J103,Rame!$A$1:$AA$1,0)-1)=TRUE),0,OFFSET(Rame!$A$1,MATCH(H103,Rame!$A:$A,0)-1,MATCH(J103,Rame!$A$1:$AA$1,0)-1))*IF(E103="Rame",1,0),4)</f>
        <v>0</v>
      </c>
      <c r="N103" s="238">
        <v>0</v>
      </c>
      <c r="O103" s="238">
        <v>1.47</v>
      </c>
      <c r="P103" s="238">
        <f ca="1">ROUND(+IF(ISERROR(OFFSET(Tabella!$G$1,MATCH(H103,Tabella!$G:$G,0)-1,MATCH(I103,Tabella!$G$1:$FG$1,0)-1)=TRUE),0,OFFSET(Tabella!$G$1,MATCH(H103,Tabella!$G:$G,0)-1,MATCH(I103,Tabella!$G$1:$AB$1,0)-1)),4)</f>
        <v>0</v>
      </c>
      <c r="Q103" s="238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238">
        <f ca="1">ROUND(IF(ISERROR(OFFSET(Rame!$F$1,MATCH(H103,Rame!$F:$F,0)-1,MATCH(I103,Rame!$F$1:$FF$1,0)-1)=TRUE),0,OFFSET(Rame!$F$1,MATCH(H103,Rame!$F:$F,0)-1,MATCH(I103,Rame!$F$1:$FF$1,0)-1))*IF(E103="Rame",1,0),4)</f>
        <v>0</v>
      </c>
      <c r="S103" s="238">
        <f ca="1">ROUND(IF(ISERROR(OFFSET(Bronzo!$A$1,MATCH(H103,Bronzo!$A:$A,0)-1,MATCH(I103,Bronzo!$A$1:$AA$1,0)-1)=TRUE),0,OFFSET(Bronzo!$A$1,MATCH(H103,Bronzo!$A:$A,0)-1,MATCH(I103,Bronzo!$A$1:$AA$1,0)-1)),4)</f>
        <v>0</v>
      </c>
      <c r="T103" s="238">
        <f t="shared" ca="1" si="127"/>
        <v>0</v>
      </c>
      <c r="U103" s="237"/>
      <c r="V103" s="238">
        <v>0</v>
      </c>
      <c r="W103" s="239">
        <f t="shared" ca="1" si="128"/>
        <v>1.47</v>
      </c>
      <c r="X103" s="423">
        <f t="shared" si="103"/>
        <v>101.1</v>
      </c>
      <c r="Y103" s="236">
        <v>4.08</v>
      </c>
      <c r="Z103" s="236">
        <f t="shared" ca="1" si="129"/>
        <v>0</v>
      </c>
      <c r="AA103" s="241"/>
      <c r="AF103" s="225">
        <f t="shared" ca="1" si="114"/>
        <v>46236</v>
      </c>
      <c r="AG103" s="225" t="b">
        <f t="shared" si="130"/>
        <v>1</v>
      </c>
      <c r="AH103" s="242" t="str">
        <f t="shared" si="131"/>
        <v/>
      </c>
      <c r="AK103" s="223">
        <f t="shared" si="132"/>
        <v>0</v>
      </c>
      <c r="AL103" s="223">
        <f t="shared" si="133"/>
        <v>1900</v>
      </c>
      <c r="AS103" s="223">
        <f t="shared" ref="AS103:AS131" si="134">IF(AA103="",0,MONTH(AA103))</f>
        <v>0</v>
      </c>
      <c r="AT103" s="223">
        <f t="shared" ref="AT103:AT131" si="135">IF(AA103="",0,YEAR(AA103))</f>
        <v>0</v>
      </c>
    </row>
    <row r="104" spans="2:46" ht="15.75" x14ac:dyDescent="0.25">
      <c r="B104" s="229" t="s">
        <v>576</v>
      </c>
      <c r="C104" s="245" t="s">
        <v>263</v>
      </c>
      <c r="D104" s="246">
        <v>969</v>
      </c>
      <c r="E104" s="232" t="s">
        <v>4</v>
      </c>
      <c r="F104" s="233">
        <v>2.61</v>
      </c>
      <c r="G104" s="234">
        <v>46100</v>
      </c>
      <c r="H104" s="235" t="s">
        <v>21</v>
      </c>
      <c r="I104" s="235"/>
      <c r="J104" s="236">
        <v>7.0000000000000007E-2</v>
      </c>
      <c r="K104" s="237">
        <f ca="1">ROUND(IF(ISERROR(OFFSET(Tabella!$A$1,MATCH(H104,Tabella!$A:$A,0)-1,MATCH(J104,Tabella!$A$1:$AC$1,0)-1)=TRUE),0,+OFFSET(Tabella!$A$1,MATCH(H104,Tabella!$A:$A,0)-1,MATCH(J104,Tabella!$A$1:$AC$1,0)-1)),4)</f>
        <v>1.25</v>
      </c>
      <c r="L104" s="238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238">
        <f ca="1">ROUND(IF(ISERROR(OFFSET(Rame!$A$1,MATCH(H104,Rame!$A:$A,0)-1,MATCH(J104,Rame!$A$1:$AA$1,0)-1)=TRUE),0,OFFSET(Rame!$A$1,MATCH(H104,Rame!$A:$A,0)-1,MATCH(J104,Rame!$A$1:$AA$1,0)-1))*IF(E104="Rame",1,0),4)</f>
        <v>0</v>
      </c>
      <c r="N104" s="238">
        <v>0</v>
      </c>
      <c r="O104" s="238">
        <v>1.57</v>
      </c>
      <c r="P104" s="238">
        <f ca="1">ROUND(+IF(ISERROR(OFFSET(Tabella!$G$1,MATCH(H104,Tabella!$G:$G,0)-1,MATCH(I104,Tabella!$G$1:$FG$1,0)-1)=TRUE),0,OFFSET(Tabella!$G$1,MATCH(H104,Tabella!$G:$G,0)-1,MATCH(I104,Tabella!$G$1:$AB$1,0)-1)),4)</f>
        <v>0</v>
      </c>
      <c r="Q104" s="238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238">
        <f ca="1">ROUND(IF(ISERROR(OFFSET(Rame!$F$1,MATCH(H104,Rame!$F:$F,0)-1,MATCH(I104,Rame!$F$1:$FF$1,0)-1)=TRUE),0,OFFSET(Rame!$F$1,MATCH(H104,Rame!$F:$F,0)-1,MATCH(I104,Rame!$F$1:$FF$1,0)-1))*IF(E104="Rame",1,0),4)</f>
        <v>0</v>
      </c>
      <c r="S104" s="238">
        <f ca="1">ROUND(IF(ISERROR(OFFSET(Bronzo!$A$1,MATCH(H104,Bronzo!$A:$A,0)-1,MATCH(I104,Bronzo!$A$1:$AA$1,0)-1)=TRUE),0,OFFSET(Bronzo!$A$1,MATCH(H104,Bronzo!$A:$A,0)-1,MATCH(I104,Bronzo!$A$1:$AA$1,0)-1)),4)</f>
        <v>0</v>
      </c>
      <c r="T104" s="238">
        <f t="shared" ca="1" si="127"/>
        <v>0</v>
      </c>
      <c r="U104" s="237"/>
      <c r="V104" s="238">
        <v>0</v>
      </c>
      <c r="W104" s="239">
        <f t="shared" ca="1" si="128"/>
        <v>1.57</v>
      </c>
      <c r="X104" s="423">
        <f t="shared" si="103"/>
        <v>67.83</v>
      </c>
      <c r="Y104" s="236">
        <v>4.18</v>
      </c>
      <c r="Z104" s="236">
        <f t="shared" ca="1" si="129"/>
        <v>0</v>
      </c>
      <c r="AA104" s="241"/>
      <c r="AF104" s="225">
        <f t="shared" ca="1" si="114"/>
        <v>46236</v>
      </c>
      <c r="AG104" s="225" t="b">
        <f t="shared" si="130"/>
        <v>1</v>
      </c>
      <c r="AH104" s="242" t="str">
        <f t="shared" si="131"/>
        <v/>
      </c>
      <c r="AK104" s="223">
        <f t="shared" si="132"/>
        <v>0</v>
      </c>
      <c r="AL104" s="223">
        <f t="shared" si="133"/>
        <v>1900</v>
      </c>
      <c r="AS104" s="223">
        <f t="shared" si="134"/>
        <v>0</v>
      </c>
      <c r="AT104" s="223">
        <f t="shared" si="135"/>
        <v>0</v>
      </c>
    </row>
    <row r="105" spans="2:46" ht="15.75" x14ac:dyDescent="0.25">
      <c r="B105" s="229" t="s">
        <v>577</v>
      </c>
      <c r="C105" s="245" t="s">
        <v>263</v>
      </c>
      <c r="D105" s="246">
        <v>686</v>
      </c>
      <c r="E105" s="232" t="s">
        <v>4</v>
      </c>
      <c r="F105" s="233">
        <v>2.61</v>
      </c>
      <c r="G105" s="234">
        <v>46100</v>
      </c>
      <c r="H105" s="235" t="s">
        <v>25</v>
      </c>
      <c r="I105" s="235"/>
      <c r="J105" s="236">
        <v>7.0000000000000007E-2</v>
      </c>
      <c r="K105" s="237">
        <f ca="1">ROUND(IF(ISERROR(OFFSET(Tabella!$A$1,MATCH(H105,Tabella!$A:$A,0)-1,MATCH(J105,Tabella!$A$1:$AC$1,0)-1)=TRUE),0,+OFFSET(Tabella!$A$1,MATCH(H105,Tabella!$A:$A,0)-1,MATCH(J105,Tabella!$A$1:$AC$1,0)-1)),4)</f>
        <v>1.25</v>
      </c>
      <c r="L105" s="238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238">
        <f ca="1">ROUND(IF(ISERROR(OFFSET(Rame!$A$1,MATCH(H105,Rame!$A:$A,0)-1,MATCH(J105,Rame!$A$1:$AA$1,0)-1)=TRUE),0,OFFSET(Rame!$A$1,MATCH(H105,Rame!$A:$A,0)-1,MATCH(J105,Rame!$A$1:$AA$1,0)-1))*IF(E105="Rame",1,0),4)</f>
        <v>0</v>
      </c>
      <c r="N105" s="238">
        <v>0</v>
      </c>
      <c r="O105" s="238">
        <v>1.57</v>
      </c>
      <c r="P105" s="238">
        <f ca="1">ROUND(+IF(ISERROR(OFFSET(Tabella!$G$1,MATCH(H105,Tabella!$G:$G,0)-1,MATCH(I105,Tabella!$G$1:$FG$1,0)-1)=TRUE),0,OFFSET(Tabella!$G$1,MATCH(H105,Tabella!$G:$G,0)-1,MATCH(I105,Tabella!$G$1:$AB$1,0)-1)),4)</f>
        <v>0</v>
      </c>
      <c r="Q105" s="238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238">
        <f ca="1">ROUND(IF(ISERROR(OFFSET(Rame!$F$1,MATCH(H105,Rame!$F:$F,0)-1,MATCH(I105,Rame!$F$1:$FF$1,0)-1)=TRUE),0,OFFSET(Rame!$F$1,MATCH(H105,Rame!$F:$F,0)-1,MATCH(I105,Rame!$F$1:$FF$1,0)-1))*IF(E105="Rame",1,0),4)</f>
        <v>0</v>
      </c>
      <c r="S105" s="238">
        <f ca="1">ROUND(IF(ISERROR(OFFSET(Bronzo!$A$1,MATCH(H105,Bronzo!$A:$A,0)-1,MATCH(I105,Bronzo!$A$1:$AA$1,0)-1)=TRUE),0,OFFSET(Bronzo!$A$1,MATCH(H105,Bronzo!$A:$A,0)-1,MATCH(I105,Bronzo!$A$1:$AA$1,0)-1)),4)</f>
        <v>0</v>
      </c>
      <c r="T105" s="238">
        <f t="shared" ca="1" si="127"/>
        <v>0</v>
      </c>
      <c r="U105" s="237"/>
      <c r="V105" s="238">
        <v>0</v>
      </c>
      <c r="W105" s="239">
        <f t="shared" ca="1" si="128"/>
        <v>1.57</v>
      </c>
      <c r="X105" s="423">
        <f t="shared" si="103"/>
        <v>48.02</v>
      </c>
      <c r="Y105" s="236">
        <v>4.18</v>
      </c>
      <c r="Z105" s="236">
        <f t="shared" ca="1" si="129"/>
        <v>0</v>
      </c>
      <c r="AA105" s="241"/>
      <c r="AF105" s="225">
        <f t="shared" ca="1" si="114"/>
        <v>46236</v>
      </c>
      <c r="AG105" s="225" t="b">
        <f t="shared" si="130"/>
        <v>1</v>
      </c>
      <c r="AH105" s="242" t="str">
        <f t="shared" si="131"/>
        <v/>
      </c>
      <c r="AK105" s="223">
        <f t="shared" si="132"/>
        <v>0</v>
      </c>
      <c r="AL105" s="223">
        <f t="shared" si="133"/>
        <v>1900</v>
      </c>
      <c r="AS105" s="223">
        <f t="shared" si="134"/>
        <v>0</v>
      </c>
      <c r="AT105" s="223">
        <f t="shared" si="135"/>
        <v>0</v>
      </c>
    </row>
    <row r="106" spans="2:46" ht="15.75" x14ac:dyDescent="0.25">
      <c r="B106" s="229" t="s">
        <v>576</v>
      </c>
      <c r="C106" s="245" t="s">
        <v>263</v>
      </c>
      <c r="D106" s="246">
        <v>1049</v>
      </c>
      <c r="E106" s="232" t="s">
        <v>4</v>
      </c>
      <c r="F106" s="233">
        <v>2.61</v>
      </c>
      <c r="G106" s="234">
        <v>46100</v>
      </c>
      <c r="H106" s="235" t="s">
        <v>15</v>
      </c>
      <c r="I106" s="235"/>
      <c r="J106" s="236">
        <v>7.0000000000000007E-2</v>
      </c>
      <c r="K106" s="237">
        <f ca="1">ROUND(IF(ISERROR(OFFSET(Tabella!$A$1,MATCH(H106,Tabella!$A:$A,0)-1,MATCH(J106,Tabella!$A$1:$AC$1,0)-1)=TRUE),0,+OFFSET(Tabella!$A$1,MATCH(H106,Tabella!$A:$A,0)-1,MATCH(J106,Tabella!$A$1:$AC$1,0)-1)),4)</f>
        <v>1.4</v>
      </c>
      <c r="L106" s="238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238">
        <f ca="1">ROUND(IF(ISERROR(OFFSET(Rame!$A$1,MATCH(H106,Rame!$A:$A,0)-1,MATCH(J106,Rame!$A$1:$AA$1,0)-1)=TRUE),0,OFFSET(Rame!$A$1,MATCH(H106,Rame!$A:$A,0)-1,MATCH(J106,Rame!$A$1:$AA$1,0)-1))*IF(E106="Rame",1,0),4)</f>
        <v>0</v>
      </c>
      <c r="N106" s="238">
        <v>0</v>
      </c>
      <c r="O106" s="238">
        <v>1.72</v>
      </c>
      <c r="P106" s="238">
        <f ca="1">ROUND(+IF(ISERROR(OFFSET(Tabella!$G$1,MATCH(H106,Tabella!$G:$G,0)-1,MATCH(I106,Tabella!$G$1:$FG$1,0)-1)=TRUE),0,OFFSET(Tabella!$G$1,MATCH(H106,Tabella!$G:$G,0)-1,MATCH(I106,Tabella!$G$1:$AB$1,0)-1)),4)</f>
        <v>0</v>
      </c>
      <c r="Q106" s="238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238">
        <f ca="1">ROUND(IF(ISERROR(OFFSET(Rame!$F$1,MATCH(H106,Rame!$F:$F,0)-1,MATCH(I106,Rame!$F$1:$FF$1,0)-1)=TRUE),0,OFFSET(Rame!$F$1,MATCH(H106,Rame!$F:$F,0)-1,MATCH(I106,Rame!$F$1:$FF$1,0)-1))*IF(E106="Rame",1,0),4)</f>
        <v>0</v>
      </c>
      <c r="S106" s="238">
        <f ca="1">ROUND(IF(ISERROR(OFFSET(Bronzo!$A$1,MATCH(H106,Bronzo!$A:$A,0)-1,MATCH(I106,Bronzo!$A$1:$AA$1,0)-1)=TRUE),0,OFFSET(Bronzo!$A$1,MATCH(H106,Bronzo!$A:$A,0)-1,MATCH(I106,Bronzo!$A$1:$AA$1,0)-1)),4)</f>
        <v>0</v>
      </c>
      <c r="T106" s="238">
        <f t="shared" ca="1" si="127"/>
        <v>0</v>
      </c>
      <c r="U106" s="237"/>
      <c r="V106" s="238">
        <v>0</v>
      </c>
      <c r="W106" s="239">
        <f t="shared" ca="1" si="128"/>
        <v>1.72</v>
      </c>
      <c r="X106" s="423">
        <f t="shared" si="103"/>
        <v>73.430000000000007</v>
      </c>
      <c r="Y106" s="236">
        <v>4.33</v>
      </c>
      <c r="Z106" s="236">
        <f t="shared" ca="1" si="129"/>
        <v>0</v>
      </c>
      <c r="AA106" s="241"/>
      <c r="AF106" s="225">
        <f t="shared" ca="1" si="114"/>
        <v>46236</v>
      </c>
      <c r="AG106" s="225" t="b">
        <f t="shared" si="130"/>
        <v>1</v>
      </c>
      <c r="AH106" s="242" t="str">
        <f t="shared" si="131"/>
        <v/>
      </c>
      <c r="AK106" s="223">
        <f t="shared" si="132"/>
        <v>0</v>
      </c>
      <c r="AL106" s="223">
        <f t="shared" si="133"/>
        <v>1900</v>
      </c>
      <c r="AS106" s="223">
        <f t="shared" si="134"/>
        <v>0</v>
      </c>
      <c r="AT106" s="223">
        <f t="shared" si="135"/>
        <v>0</v>
      </c>
    </row>
    <row r="107" spans="2:46" ht="15.75" x14ac:dyDescent="0.25">
      <c r="B107" s="229" t="s">
        <v>576</v>
      </c>
      <c r="C107" s="245" t="s">
        <v>263</v>
      </c>
      <c r="D107" s="246">
        <v>1516</v>
      </c>
      <c r="E107" s="232" t="s">
        <v>4</v>
      </c>
      <c r="F107" s="233">
        <v>2.61</v>
      </c>
      <c r="G107" s="234">
        <v>46100</v>
      </c>
      <c r="H107" s="235" t="s">
        <v>309</v>
      </c>
      <c r="I107" s="235"/>
      <c r="J107" s="236">
        <v>7.0000000000000007E-2</v>
      </c>
      <c r="K107" s="237">
        <f ca="1">ROUND(IF(ISERROR(OFFSET(Tabella!$A$1,MATCH(H107,Tabella!$A:$A,0)-1,MATCH(J107,Tabella!$A$1:$AC$1,0)-1)=TRUE),0,+OFFSET(Tabella!$A$1,MATCH(H107,Tabella!$A:$A,0)-1,MATCH(J107,Tabella!$A$1:$AC$1,0)-1)),4)</f>
        <v>1.25</v>
      </c>
      <c r="L107" s="238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238">
        <f ca="1">ROUND(IF(ISERROR(OFFSET(Rame!$A$1,MATCH(H107,Rame!$A:$A,0)-1,MATCH(J107,Rame!$A$1:$AA$1,0)-1)=TRUE),0,OFFSET(Rame!$A$1,MATCH(H107,Rame!$A:$A,0)-1,MATCH(J107,Rame!$A$1:$AA$1,0)-1))*IF(E107="Rame",1,0),4)</f>
        <v>0</v>
      </c>
      <c r="N107" s="238">
        <v>0</v>
      </c>
      <c r="O107" s="238">
        <v>1.57</v>
      </c>
      <c r="P107" s="238">
        <f ca="1">ROUND(+IF(ISERROR(OFFSET(Tabella!$G$1,MATCH(H107,Tabella!$G:$G,0)-1,MATCH(I107,Tabella!$G$1:$FG$1,0)-1)=TRUE),0,OFFSET(Tabella!$G$1,MATCH(H107,Tabella!$G:$G,0)-1,MATCH(I107,Tabella!$G$1:$AB$1,0)-1)),4)</f>
        <v>0</v>
      </c>
      <c r="Q107" s="238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238">
        <f ca="1">ROUND(IF(ISERROR(OFFSET(Rame!$F$1,MATCH(H107,Rame!$F:$F,0)-1,MATCH(I107,Rame!$F$1:$FF$1,0)-1)=TRUE),0,OFFSET(Rame!$F$1,MATCH(H107,Rame!$F:$F,0)-1,MATCH(I107,Rame!$F$1:$FF$1,0)-1))*IF(E107="Rame",1,0),4)</f>
        <v>0</v>
      </c>
      <c r="S107" s="238">
        <f ca="1">ROUND(IF(ISERROR(OFFSET(Bronzo!$A$1,MATCH(H107,Bronzo!$A:$A,0)-1,MATCH(I107,Bronzo!$A$1:$AA$1,0)-1)=TRUE),0,OFFSET(Bronzo!$A$1,MATCH(H107,Bronzo!$A:$A,0)-1,MATCH(I107,Bronzo!$A$1:$AA$1,0)-1)),4)</f>
        <v>0</v>
      </c>
      <c r="T107" s="238">
        <f t="shared" ca="1" si="127"/>
        <v>0</v>
      </c>
      <c r="U107" s="237"/>
      <c r="V107" s="238">
        <v>0</v>
      </c>
      <c r="W107" s="239">
        <f t="shared" ca="1" si="128"/>
        <v>1.57</v>
      </c>
      <c r="X107" s="423">
        <f t="shared" si="103"/>
        <v>106.12</v>
      </c>
      <c r="Y107" s="236">
        <v>4.18</v>
      </c>
      <c r="Z107" s="236">
        <f t="shared" ca="1" si="129"/>
        <v>0</v>
      </c>
      <c r="AA107" s="241"/>
      <c r="AF107" s="225">
        <f t="shared" ca="1" si="114"/>
        <v>46236</v>
      </c>
      <c r="AG107" s="225" t="b">
        <f t="shared" si="130"/>
        <v>1</v>
      </c>
      <c r="AH107" s="242" t="str">
        <f t="shared" si="131"/>
        <v/>
      </c>
      <c r="AK107" s="223">
        <f t="shared" si="132"/>
        <v>0</v>
      </c>
      <c r="AL107" s="223">
        <f t="shared" si="133"/>
        <v>1900</v>
      </c>
      <c r="AS107" s="223">
        <f t="shared" si="134"/>
        <v>0</v>
      </c>
      <c r="AT107" s="223">
        <f t="shared" si="135"/>
        <v>0</v>
      </c>
    </row>
    <row r="108" spans="2:46" ht="15.75" x14ac:dyDescent="0.25">
      <c r="B108" s="229" t="s">
        <v>576</v>
      </c>
      <c r="C108" s="245" t="s">
        <v>263</v>
      </c>
      <c r="D108" s="246">
        <v>1618</v>
      </c>
      <c r="E108" s="232" t="s">
        <v>4</v>
      </c>
      <c r="F108" s="233">
        <v>2.61</v>
      </c>
      <c r="G108" s="234">
        <v>46100</v>
      </c>
      <c r="H108" s="235" t="s">
        <v>9</v>
      </c>
      <c r="I108" s="235"/>
      <c r="J108" s="236">
        <v>7.0000000000000007E-2</v>
      </c>
      <c r="K108" s="237">
        <f ca="1">ROUND(IF(ISERROR(OFFSET(Tabella!$A$1,MATCH(H108,Tabella!$A:$A,0)-1,MATCH(J108,Tabella!$A$1:$AC$1,0)-1)=TRUE),0,+OFFSET(Tabella!$A$1,MATCH(H108,Tabella!$A:$A,0)-1,MATCH(J108,Tabella!$A$1:$AC$1,0)-1)),4)</f>
        <v>1.6</v>
      </c>
      <c r="L108" s="238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238">
        <f ca="1">ROUND(IF(ISERROR(OFFSET(Rame!$A$1,MATCH(H108,Rame!$A:$A,0)-1,MATCH(J108,Rame!$A$1:$AA$1,0)-1)=TRUE),0,OFFSET(Rame!$A$1,MATCH(H108,Rame!$A:$A,0)-1,MATCH(J108,Rame!$A$1:$AA$1,0)-1))*IF(E108="Rame",1,0),4)</f>
        <v>0</v>
      </c>
      <c r="N108" s="238">
        <v>0</v>
      </c>
      <c r="O108" s="238">
        <v>1.87</v>
      </c>
      <c r="P108" s="238">
        <f ca="1">ROUND(+IF(ISERROR(OFFSET(Tabella!$G$1,MATCH(H108,Tabella!$G:$G,0)-1,MATCH(I108,Tabella!$G$1:$FG$1,0)-1)=TRUE),0,OFFSET(Tabella!$G$1,MATCH(H108,Tabella!$G:$G,0)-1,MATCH(I108,Tabella!$G$1:$AB$1,0)-1)),4)</f>
        <v>0</v>
      </c>
      <c r="Q108" s="238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238">
        <f ca="1">ROUND(IF(ISERROR(OFFSET(Rame!$F$1,MATCH(H108,Rame!$F:$F,0)-1,MATCH(I108,Rame!$F$1:$FF$1,0)-1)=TRUE),0,OFFSET(Rame!$F$1,MATCH(H108,Rame!$F:$F,0)-1,MATCH(I108,Rame!$F$1:$FF$1,0)-1))*IF(E108="Rame",1,0),4)</f>
        <v>0</v>
      </c>
      <c r="S108" s="238">
        <f ca="1">ROUND(IF(ISERROR(OFFSET(Bronzo!$A$1,MATCH(H108,Bronzo!$A:$A,0)-1,MATCH(I108,Bronzo!$A$1:$AA$1,0)-1)=TRUE),0,OFFSET(Bronzo!$A$1,MATCH(H108,Bronzo!$A:$A,0)-1,MATCH(I108,Bronzo!$A$1:$AA$1,0)-1)),4)</f>
        <v>0</v>
      </c>
      <c r="T108" s="238">
        <f t="shared" ca="1" si="127"/>
        <v>0</v>
      </c>
      <c r="U108" s="237"/>
      <c r="V108" s="238">
        <v>0</v>
      </c>
      <c r="W108" s="239">
        <f t="shared" ca="1" si="128"/>
        <v>1.87</v>
      </c>
      <c r="X108" s="423">
        <f t="shared" si="103"/>
        <v>113.26</v>
      </c>
      <c r="Y108" s="236">
        <v>4.4800000000000004</v>
      </c>
      <c r="Z108" s="236">
        <f t="shared" ca="1" si="129"/>
        <v>0</v>
      </c>
      <c r="AA108" s="241"/>
      <c r="AF108" s="225">
        <f t="shared" ca="1" si="114"/>
        <v>46236</v>
      </c>
      <c r="AG108" s="225" t="b">
        <f t="shared" si="130"/>
        <v>1</v>
      </c>
      <c r="AH108" s="242" t="str">
        <f t="shared" si="131"/>
        <v/>
      </c>
      <c r="AK108" s="223">
        <f t="shared" si="132"/>
        <v>0</v>
      </c>
      <c r="AL108" s="223">
        <f t="shared" si="133"/>
        <v>1900</v>
      </c>
      <c r="AS108" s="223">
        <f t="shared" si="134"/>
        <v>0</v>
      </c>
      <c r="AT108" s="223">
        <f t="shared" si="135"/>
        <v>0</v>
      </c>
    </row>
    <row r="109" spans="2:46" ht="15.75" x14ac:dyDescent="0.25">
      <c r="B109" s="229" t="s">
        <v>576</v>
      </c>
      <c r="C109" s="245" t="s">
        <v>263</v>
      </c>
      <c r="D109" s="246">
        <v>1003</v>
      </c>
      <c r="E109" s="232" t="s">
        <v>4</v>
      </c>
      <c r="F109" s="233">
        <v>2.61</v>
      </c>
      <c r="G109" s="234">
        <v>46100</v>
      </c>
      <c r="H109" s="235" t="s">
        <v>15</v>
      </c>
      <c r="I109" s="235"/>
      <c r="J109" s="236">
        <v>7.0000000000000007E-2</v>
      </c>
      <c r="K109" s="237">
        <f ca="1">ROUND(IF(ISERROR(OFFSET(Tabella!$A$1,MATCH(H109,Tabella!$A:$A,0)-1,MATCH(J109,Tabella!$A$1:$AC$1,0)-1)=TRUE),0,+OFFSET(Tabella!$A$1,MATCH(H109,Tabella!$A:$A,0)-1,MATCH(J109,Tabella!$A$1:$AC$1,0)-1)),4)</f>
        <v>1.4</v>
      </c>
      <c r="L109" s="238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238">
        <f ca="1">ROUND(IF(ISERROR(OFFSET(Rame!$A$1,MATCH(H109,Rame!$A:$A,0)-1,MATCH(J109,Rame!$A$1:$AA$1,0)-1)=TRUE),0,OFFSET(Rame!$A$1,MATCH(H109,Rame!$A:$A,0)-1,MATCH(J109,Rame!$A$1:$AA$1,0)-1))*IF(E109="Rame",1,0),4)</f>
        <v>0</v>
      </c>
      <c r="N109" s="238">
        <v>0</v>
      </c>
      <c r="O109" s="238">
        <v>1.72</v>
      </c>
      <c r="P109" s="238">
        <f ca="1">ROUND(+IF(ISERROR(OFFSET(Tabella!$G$1,MATCH(H109,Tabella!$G:$G,0)-1,MATCH(I109,Tabella!$G$1:$FG$1,0)-1)=TRUE),0,OFFSET(Tabella!$G$1,MATCH(H109,Tabella!$G:$G,0)-1,MATCH(I109,Tabella!$G$1:$AB$1,0)-1)),4)</f>
        <v>0</v>
      </c>
      <c r="Q109" s="238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238">
        <f ca="1">ROUND(IF(ISERROR(OFFSET(Rame!$F$1,MATCH(H109,Rame!$F:$F,0)-1,MATCH(I109,Rame!$F$1:$FF$1,0)-1)=TRUE),0,OFFSET(Rame!$F$1,MATCH(H109,Rame!$F:$F,0)-1,MATCH(I109,Rame!$F$1:$FF$1,0)-1))*IF(E109="Rame",1,0),4)</f>
        <v>0</v>
      </c>
      <c r="S109" s="238">
        <f ca="1">ROUND(IF(ISERROR(OFFSET(Bronzo!$A$1,MATCH(H109,Bronzo!$A:$A,0)-1,MATCH(I109,Bronzo!$A$1:$AA$1,0)-1)=TRUE),0,OFFSET(Bronzo!$A$1,MATCH(H109,Bronzo!$A:$A,0)-1,MATCH(I109,Bronzo!$A$1:$AA$1,0)-1)),4)</f>
        <v>0</v>
      </c>
      <c r="T109" s="238">
        <f t="shared" ca="1" si="127"/>
        <v>0</v>
      </c>
      <c r="U109" s="237"/>
      <c r="V109" s="238">
        <v>0</v>
      </c>
      <c r="W109" s="239">
        <f t="shared" ca="1" si="128"/>
        <v>1.72</v>
      </c>
      <c r="X109" s="423">
        <f t="shared" si="103"/>
        <v>70.209999999999994</v>
      </c>
      <c r="Y109" s="236">
        <v>4.33</v>
      </c>
      <c r="Z109" s="236">
        <f t="shared" ca="1" si="129"/>
        <v>0</v>
      </c>
      <c r="AA109" s="241"/>
      <c r="AF109" s="225">
        <f t="shared" ca="1" si="114"/>
        <v>46236</v>
      </c>
      <c r="AG109" s="225" t="b">
        <f t="shared" si="130"/>
        <v>1</v>
      </c>
      <c r="AH109" s="242" t="str">
        <f t="shared" si="131"/>
        <v/>
      </c>
      <c r="AK109" s="223">
        <f t="shared" si="132"/>
        <v>0</v>
      </c>
      <c r="AL109" s="223">
        <f t="shared" si="133"/>
        <v>1900</v>
      </c>
      <c r="AS109" s="223">
        <f t="shared" si="134"/>
        <v>0</v>
      </c>
      <c r="AT109" s="223">
        <f t="shared" si="135"/>
        <v>0</v>
      </c>
    </row>
    <row r="110" spans="2:46" ht="15.75" x14ac:dyDescent="0.25">
      <c r="B110" s="229" t="s">
        <v>493</v>
      </c>
      <c r="C110" s="235" t="s">
        <v>396</v>
      </c>
      <c r="D110" s="243">
        <v>500</v>
      </c>
      <c r="E110" s="232" t="s">
        <v>4</v>
      </c>
      <c r="F110" s="233">
        <v>2.91</v>
      </c>
      <c r="G110" s="234">
        <v>46100</v>
      </c>
      <c r="H110" s="235" t="s">
        <v>11</v>
      </c>
      <c r="I110" s="235"/>
      <c r="J110" s="236">
        <v>0.1</v>
      </c>
      <c r="K110" s="237">
        <f ca="1">ROUND(IF(ISERROR(OFFSET(Tabella!$A$1,MATCH(H110,Tabella!$A:$A,0)-1,MATCH(J110,Tabella!$A$1:$AC$1,0)-1)=TRUE),0,+OFFSET(Tabella!$A$1,MATCH(H110,Tabella!$A:$A,0)-1,MATCH(J110,Tabella!$A$1:$AC$1,0)-1)),4)</f>
        <v>1.65</v>
      </c>
      <c r="L110" s="238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238">
        <f ca="1">ROUND(IF(ISERROR(OFFSET(Rame!$A$1,MATCH(H110,Rame!$A:$A,0)-1,MATCH(J110,Rame!$A$1:$AA$1,0)-1)=TRUE),0,OFFSET(Rame!$A$1,MATCH(H110,Rame!$A:$A,0)-1,MATCH(J110,Rame!$A$1:$AA$1,0)-1))*IF(E110="Rame",1,0),4)</f>
        <v>0</v>
      </c>
      <c r="N110" s="238">
        <v>0</v>
      </c>
      <c r="O110" s="238">
        <v>1.88</v>
      </c>
      <c r="P110" s="238">
        <f ca="1">ROUND(+IF(ISERROR(OFFSET(Tabella!$G$1,MATCH(H110,Tabella!$G:$G,0)-1,MATCH(I110,Tabella!$G$1:$FG$1,0)-1)=TRUE),0,OFFSET(Tabella!$G$1,MATCH(H110,Tabella!$G:$G,0)-1,MATCH(I110,Tabella!$G$1:$AB$1,0)-1)),4)</f>
        <v>0</v>
      </c>
      <c r="Q110" s="238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238">
        <f ca="1">ROUND(IF(ISERROR(OFFSET(Rame!$F$1,MATCH(H110,Rame!$F:$F,0)-1,MATCH(I110,Rame!$F$1:$FF$1,0)-1)=TRUE),0,OFFSET(Rame!$F$1,MATCH(H110,Rame!$F:$F,0)-1,MATCH(I110,Rame!$F$1:$FF$1,0)-1))*IF(E110="Rame",1,0),4)</f>
        <v>0</v>
      </c>
      <c r="S110" s="238">
        <f ca="1">ROUND(IF(ISERROR(OFFSET(Bronzo!$A$1,MATCH(H110,Bronzo!$A:$A,0)-1,MATCH(I110,Bronzo!$A$1:$AA$1,0)-1)=TRUE),0,OFFSET(Bronzo!$A$1,MATCH(H110,Bronzo!$A:$A,0)-1,MATCH(I110,Bronzo!$A$1:$AA$1,0)-1)),4)</f>
        <v>0</v>
      </c>
      <c r="T110" s="238">
        <f t="shared" ca="1" si="127"/>
        <v>0</v>
      </c>
      <c r="U110" s="237"/>
      <c r="V110" s="238">
        <v>0</v>
      </c>
      <c r="W110" s="239">
        <f t="shared" ca="1" si="128"/>
        <v>1.88</v>
      </c>
      <c r="X110" s="240">
        <f t="shared" si="103"/>
        <v>50</v>
      </c>
      <c r="Y110" s="236">
        <v>5.03</v>
      </c>
      <c r="Z110" s="236">
        <f t="shared" ca="1" si="129"/>
        <v>0.24</v>
      </c>
      <c r="AA110" s="241">
        <v>46192</v>
      </c>
      <c r="AF110" s="225">
        <f t="shared" ca="1" si="114"/>
        <v>46236</v>
      </c>
      <c r="AG110" s="225" t="b">
        <f t="shared" si="130"/>
        <v>0</v>
      </c>
      <c r="AH110" s="242">
        <f t="shared" ca="1" si="131"/>
        <v>-44</v>
      </c>
      <c r="AK110" s="223">
        <f t="shared" si="132"/>
        <v>25</v>
      </c>
      <c r="AL110" s="223">
        <f t="shared" si="133"/>
        <v>2026</v>
      </c>
      <c r="AS110" s="223">
        <f t="shared" si="134"/>
        <v>6</v>
      </c>
      <c r="AT110" s="223">
        <f t="shared" si="135"/>
        <v>2026</v>
      </c>
    </row>
    <row r="111" spans="2:46" ht="15.75" x14ac:dyDescent="0.25">
      <c r="B111" s="229" t="s">
        <v>493</v>
      </c>
      <c r="C111" s="235" t="s">
        <v>396</v>
      </c>
      <c r="D111" s="243">
        <v>1300</v>
      </c>
      <c r="E111" s="232" t="s">
        <v>4</v>
      </c>
      <c r="F111" s="233">
        <v>2.91</v>
      </c>
      <c r="G111" s="234">
        <v>46100</v>
      </c>
      <c r="H111" s="235" t="s">
        <v>11</v>
      </c>
      <c r="I111" s="235"/>
      <c r="J111" s="236">
        <v>0.1</v>
      </c>
      <c r="K111" s="237">
        <f ca="1">ROUND(IF(ISERROR(OFFSET(Tabella!$A$1,MATCH(H111,Tabella!$A:$A,0)-1,MATCH(J111,Tabella!$A$1:$AC$1,0)-1)=TRUE),0,+OFFSET(Tabella!$A$1,MATCH(H111,Tabella!$A:$A,0)-1,MATCH(J111,Tabella!$A$1:$AC$1,0)-1)),4)</f>
        <v>1.65</v>
      </c>
      <c r="L111" s="238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238">
        <f ca="1">ROUND(IF(ISERROR(OFFSET(Rame!$A$1,MATCH(H111,Rame!$A:$A,0)-1,MATCH(J111,Rame!$A$1:$AA$1,0)-1)=TRUE),0,OFFSET(Rame!$A$1,MATCH(H111,Rame!$A:$A,0)-1,MATCH(J111,Rame!$A$1:$AA$1,0)-1))*IF(E111="Rame",1,0),4)</f>
        <v>0</v>
      </c>
      <c r="N111" s="238">
        <v>0</v>
      </c>
      <c r="O111" s="238">
        <v>1.88</v>
      </c>
      <c r="P111" s="238">
        <f ca="1">ROUND(+IF(ISERROR(OFFSET(Tabella!$G$1,MATCH(H111,Tabella!$G:$G,0)-1,MATCH(I111,Tabella!$G$1:$FG$1,0)-1)=TRUE),0,OFFSET(Tabella!$G$1,MATCH(H111,Tabella!$G:$G,0)-1,MATCH(I111,Tabella!$G$1:$AB$1,0)-1)),4)</f>
        <v>0</v>
      </c>
      <c r="Q111" s="238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238">
        <f ca="1">ROUND(IF(ISERROR(OFFSET(Rame!$F$1,MATCH(H111,Rame!$F:$F,0)-1,MATCH(I111,Rame!$F$1:$FF$1,0)-1)=TRUE),0,OFFSET(Rame!$F$1,MATCH(H111,Rame!$F:$F,0)-1,MATCH(I111,Rame!$F$1:$FF$1,0)-1))*IF(E111="Rame",1,0),4)</f>
        <v>0</v>
      </c>
      <c r="S111" s="238">
        <f ca="1">ROUND(IF(ISERROR(OFFSET(Bronzo!$A$1,MATCH(H111,Bronzo!$A:$A,0)-1,MATCH(I111,Bronzo!$A$1:$AA$1,0)-1)=TRUE),0,OFFSET(Bronzo!$A$1,MATCH(H111,Bronzo!$A:$A,0)-1,MATCH(I111,Bronzo!$A$1:$AA$1,0)-1)),4)</f>
        <v>0</v>
      </c>
      <c r="T111" s="238">
        <f t="shared" ca="1" si="127"/>
        <v>0</v>
      </c>
      <c r="U111" s="237"/>
      <c r="V111" s="238">
        <v>0</v>
      </c>
      <c r="W111" s="239">
        <f t="shared" ca="1" si="128"/>
        <v>1.88</v>
      </c>
      <c r="X111" s="240">
        <f t="shared" si="103"/>
        <v>130</v>
      </c>
      <c r="Y111" s="236">
        <v>5.03</v>
      </c>
      <c r="Z111" s="236">
        <f t="shared" ca="1" si="129"/>
        <v>0.24</v>
      </c>
      <c r="AA111" s="241">
        <v>46192</v>
      </c>
      <c r="AF111" s="225">
        <f t="shared" ca="1" si="114"/>
        <v>46236</v>
      </c>
      <c r="AG111" s="225" t="b">
        <f t="shared" si="130"/>
        <v>0</v>
      </c>
      <c r="AH111" s="242">
        <f t="shared" ca="1" si="131"/>
        <v>-44</v>
      </c>
      <c r="AK111" s="223">
        <f t="shared" si="132"/>
        <v>25</v>
      </c>
      <c r="AL111" s="223">
        <f t="shared" si="133"/>
        <v>2026</v>
      </c>
      <c r="AS111" s="223">
        <f t="shared" si="134"/>
        <v>6</v>
      </c>
      <c r="AT111" s="223">
        <f t="shared" si="135"/>
        <v>2026</v>
      </c>
    </row>
    <row r="112" spans="2:46" ht="15.75" x14ac:dyDescent="0.25">
      <c r="B112" s="229" t="s">
        <v>494</v>
      </c>
      <c r="C112" s="235" t="s">
        <v>396</v>
      </c>
      <c r="D112" s="243">
        <v>1500</v>
      </c>
      <c r="E112" s="232" t="s">
        <v>4</v>
      </c>
      <c r="F112" s="233">
        <v>2.91</v>
      </c>
      <c r="G112" s="234">
        <v>46100</v>
      </c>
      <c r="H112" s="235" t="s">
        <v>9</v>
      </c>
      <c r="I112" s="235"/>
      <c r="J112" s="236">
        <v>7.0000000000000007E-2</v>
      </c>
      <c r="K112" s="237">
        <f ca="1">ROUND(IF(ISERROR(OFFSET(Tabella!$A$1,MATCH(H112,Tabella!$A:$A,0)-1,MATCH(J112,Tabella!$A$1:$AC$1,0)-1)=TRUE),0,+OFFSET(Tabella!$A$1,MATCH(H112,Tabella!$A:$A,0)-1,MATCH(J112,Tabella!$A$1:$AC$1,0)-1)),4)</f>
        <v>1.6</v>
      </c>
      <c r="L112" s="238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238">
        <f ca="1">ROUND(IF(ISERROR(OFFSET(Rame!$A$1,MATCH(H112,Rame!$A:$A,0)-1,MATCH(J112,Rame!$A$1:$AA$1,0)-1)=TRUE),0,OFFSET(Rame!$A$1,MATCH(H112,Rame!$A:$A,0)-1,MATCH(J112,Rame!$A$1:$AA$1,0)-1))*IF(E112="Rame",1,0),4)</f>
        <v>0</v>
      </c>
      <c r="N112" s="238">
        <v>0</v>
      </c>
      <c r="O112" s="238">
        <v>1.9</v>
      </c>
      <c r="P112" s="238">
        <f ca="1">ROUND(+IF(ISERROR(OFFSET(Tabella!$G$1,MATCH(H112,Tabella!$G:$G,0)-1,MATCH(I112,Tabella!$G$1:$FG$1,0)-1)=TRUE),0,OFFSET(Tabella!$G$1,MATCH(H112,Tabella!$G:$G,0)-1,MATCH(I112,Tabella!$G$1:$AB$1,0)-1)),4)</f>
        <v>0</v>
      </c>
      <c r="Q112" s="238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238">
        <f ca="1">ROUND(IF(ISERROR(OFFSET(Rame!$F$1,MATCH(H112,Rame!$F:$F,0)-1,MATCH(I112,Rame!$F$1:$FF$1,0)-1)=TRUE),0,OFFSET(Rame!$F$1,MATCH(H112,Rame!$F:$F,0)-1,MATCH(I112,Rame!$F$1:$FF$1,0)-1))*IF(E112="Rame",1,0),4)</f>
        <v>0</v>
      </c>
      <c r="S112" s="238">
        <f ca="1">ROUND(IF(ISERROR(OFFSET(Bronzo!$A$1,MATCH(H112,Bronzo!$A:$A,0)-1,MATCH(I112,Bronzo!$A$1:$AA$1,0)-1)=TRUE),0,OFFSET(Bronzo!$A$1,MATCH(H112,Bronzo!$A:$A,0)-1,MATCH(I112,Bronzo!$A$1:$AA$1,0)-1)),4)</f>
        <v>0</v>
      </c>
      <c r="T112" s="238">
        <f t="shared" ca="1" si="127"/>
        <v>0</v>
      </c>
      <c r="U112" s="237"/>
      <c r="V112" s="238">
        <v>0</v>
      </c>
      <c r="W112" s="239">
        <f t="shared" ca="1" si="128"/>
        <v>1.9</v>
      </c>
      <c r="X112" s="240">
        <f t="shared" si="103"/>
        <v>105</v>
      </c>
      <c r="Y112" s="236">
        <v>5.03</v>
      </c>
      <c r="Z112" s="236">
        <f t="shared" ca="1" si="129"/>
        <v>0.22</v>
      </c>
      <c r="AA112" s="241">
        <v>46297</v>
      </c>
      <c r="AF112" s="225">
        <f t="shared" ca="1" si="114"/>
        <v>46236</v>
      </c>
      <c r="AG112" s="225" t="b">
        <f t="shared" si="130"/>
        <v>0</v>
      </c>
      <c r="AH112" s="242">
        <f t="shared" ca="1" si="131"/>
        <v>61</v>
      </c>
      <c r="AK112" s="223">
        <f t="shared" si="132"/>
        <v>40</v>
      </c>
      <c r="AL112" s="223">
        <f t="shared" si="133"/>
        <v>2026</v>
      </c>
      <c r="AS112" s="223">
        <f t="shared" si="134"/>
        <v>10</v>
      </c>
      <c r="AT112" s="223">
        <f t="shared" si="135"/>
        <v>2026</v>
      </c>
    </row>
    <row r="113" spans="2:46" ht="15.75" x14ac:dyDescent="0.25">
      <c r="B113" s="229" t="s">
        <v>635</v>
      </c>
      <c r="C113" s="245" t="s">
        <v>102</v>
      </c>
      <c r="D113" s="246">
        <v>1086</v>
      </c>
      <c r="E113" s="232" t="s">
        <v>4</v>
      </c>
      <c r="F113" s="233">
        <v>2.65</v>
      </c>
      <c r="G113" s="234">
        <v>46050</v>
      </c>
      <c r="H113" s="235" t="s">
        <v>27</v>
      </c>
      <c r="I113" s="235"/>
      <c r="J113" s="236">
        <v>7.0000000000000007E-2</v>
      </c>
      <c r="K113" s="237">
        <f ca="1">ROUND(IF(ISERROR(OFFSET(Tabella!$A$1,MATCH(H113,Tabella!$A:$A,0)-1,MATCH(J113,Tabella!$A$1:$AC$1,0)-1)=TRUE),0,+OFFSET(Tabella!$A$1,MATCH(H113,Tabella!$A:$A,0)-1,MATCH(J113,Tabella!$A$1:$AC$1,0)-1)),4)</f>
        <v>1.25</v>
      </c>
      <c r="L113" s="238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238">
        <f ca="1">ROUND(IF(ISERROR(OFFSET(Rame!$A$1,MATCH(H113,Rame!$A:$A,0)-1,MATCH(J113,Rame!$A$1:$AA$1,0)-1)=TRUE),0,OFFSET(Rame!$A$1,MATCH(H113,Rame!$A:$A,0)-1,MATCH(J113,Rame!$A$1:$AA$1,0)-1))*IF(E113="Rame",1,0),4)</f>
        <v>0</v>
      </c>
      <c r="N113" s="238">
        <v>0</v>
      </c>
      <c r="O113" s="238">
        <f ca="1">ROUND(SUM(K113:N113),4)</f>
        <v>1.25</v>
      </c>
      <c r="P113" s="238">
        <f ca="1">ROUND(+IF(ISERROR(OFFSET(Tabella!$G$1,MATCH(H113,Tabella!$G:$G,0)-1,MATCH(I113,Tabella!$G$1:$FG$1,0)-1)=TRUE),0,OFFSET(Tabella!$G$1,MATCH(H113,Tabella!$G:$G,0)-1,MATCH(I113,Tabella!$G$1:$AB$1,0)-1)),4)</f>
        <v>0</v>
      </c>
      <c r="Q113" s="238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238">
        <f ca="1">ROUND(IF(ISERROR(OFFSET(Rame!$F$1,MATCH(H113,Rame!$F:$F,0)-1,MATCH(I113,Rame!$F$1:$FF$1,0)-1)=TRUE),0,OFFSET(Rame!$F$1,MATCH(H113,Rame!$F:$F,0)-1,MATCH(I113,Rame!$F$1:$FF$1,0)-1))*IF(E113="Rame",1,0),4)</f>
        <v>0</v>
      </c>
      <c r="S113" s="238">
        <f ca="1">ROUND(IF(ISERROR(OFFSET(Bronzo!$A$1,MATCH(H113,Bronzo!$A:$A,0)-1,MATCH(I113,Bronzo!$A$1:$AA$1,0)-1)=TRUE),0,OFFSET(Bronzo!$A$1,MATCH(H113,Bronzo!$A:$A,0)-1,MATCH(I113,Bronzo!$A$1:$AA$1,0)-1)),4)</f>
        <v>0</v>
      </c>
      <c r="T113" s="238">
        <f t="shared" ca="1" si="127"/>
        <v>0</v>
      </c>
      <c r="U113" s="237"/>
      <c r="V113" s="238">
        <v>0</v>
      </c>
      <c r="W113" s="239">
        <f t="shared" ca="1" si="128"/>
        <v>1.25</v>
      </c>
      <c r="X113" s="423">
        <f t="shared" si="103"/>
        <v>76.02</v>
      </c>
      <c r="Y113" s="236">
        <v>4.1500000000000004</v>
      </c>
      <c r="Z113" s="236">
        <f t="shared" ca="1" si="129"/>
        <v>0.25</v>
      </c>
      <c r="AA113" s="241"/>
      <c r="AF113" s="225">
        <f t="shared" ca="1" si="114"/>
        <v>46236</v>
      </c>
      <c r="AG113" s="225" t="b">
        <f t="shared" si="130"/>
        <v>1</v>
      </c>
      <c r="AH113" s="242" t="str">
        <f t="shared" si="131"/>
        <v/>
      </c>
      <c r="AK113" s="223">
        <f t="shared" si="132"/>
        <v>0</v>
      </c>
      <c r="AL113" s="223">
        <f t="shared" si="133"/>
        <v>1900</v>
      </c>
      <c r="AS113" s="223">
        <f t="shared" si="134"/>
        <v>0</v>
      </c>
      <c r="AT113" s="223">
        <f t="shared" si="135"/>
        <v>0</v>
      </c>
    </row>
    <row r="114" spans="2:46" ht="15.75" x14ac:dyDescent="0.25">
      <c r="B114" s="229" t="s">
        <v>705</v>
      </c>
      <c r="C114" s="245" t="s">
        <v>102</v>
      </c>
      <c r="D114" s="246">
        <v>1303</v>
      </c>
      <c r="E114" s="232" t="s">
        <v>4</v>
      </c>
      <c r="F114" s="233">
        <v>2.65</v>
      </c>
      <c r="G114" s="234">
        <v>46050</v>
      </c>
      <c r="H114" s="235" t="s">
        <v>27</v>
      </c>
      <c r="I114" s="235"/>
      <c r="J114" s="236">
        <v>7.0000000000000007E-2</v>
      </c>
      <c r="K114" s="237">
        <f ca="1">ROUND(IF(ISERROR(OFFSET(Tabella!$A$1,MATCH(H114,Tabella!$A:$A,0)-1,MATCH(J114,Tabella!$A$1:$AC$1,0)-1)=TRUE),0,+OFFSET(Tabella!$A$1,MATCH(H114,Tabella!$A:$A,0)-1,MATCH(J114,Tabella!$A$1:$AC$1,0)-1)),4)</f>
        <v>1.25</v>
      </c>
      <c r="L114" s="238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238">
        <f ca="1">ROUND(IF(ISERROR(OFFSET(Rame!$A$1,MATCH(H114,Rame!$A:$A,0)-1,MATCH(J114,Rame!$A$1:$AA$1,0)-1)=TRUE),0,OFFSET(Rame!$A$1,MATCH(H114,Rame!$A:$A,0)-1,MATCH(J114,Rame!$A$1:$AA$1,0)-1))*IF(E114="Rame",1,0),4)</f>
        <v>0</v>
      </c>
      <c r="N114" s="238">
        <v>0</v>
      </c>
      <c r="O114" s="238">
        <f ca="1">ROUND(SUM(K114:N114),4)</f>
        <v>1.25</v>
      </c>
      <c r="P114" s="238">
        <f ca="1">ROUND(+IF(ISERROR(OFFSET(Tabella!$G$1,MATCH(H114,Tabella!$G:$G,0)-1,MATCH(I114,Tabella!$G$1:$FG$1,0)-1)=TRUE),0,OFFSET(Tabella!$G$1,MATCH(H114,Tabella!$G:$G,0)-1,MATCH(I114,Tabella!$G$1:$AB$1,0)-1)),4)</f>
        <v>0</v>
      </c>
      <c r="Q114" s="238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238">
        <f ca="1">ROUND(IF(ISERROR(OFFSET(Rame!$F$1,MATCH(H114,Rame!$F:$F,0)-1,MATCH(I114,Rame!$F$1:$FF$1,0)-1)=TRUE),0,OFFSET(Rame!$F$1,MATCH(H114,Rame!$F:$F,0)-1,MATCH(I114,Rame!$F$1:$FF$1,0)-1))*IF(E114="Rame",1,0),4)</f>
        <v>0</v>
      </c>
      <c r="S114" s="238">
        <f ca="1">ROUND(IF(ISERROR(OFFSET(Bronzo!$A$1,MATCH(H114,Bronzo!$A:$A,0)-1,MATCH(I114,Bronzo!$A$1:$AA$1,0)-1)=TRUE),0,OFFSET(Bronzo!$A$1,MATCH(H114,Bronzo!$A:$A,0)-1,MATCH(I114,Bronzo!$A$1:$AA$1,0)-1)),4)</f>
        <v>0</v>
      </c>
      <c r="T114" s="238">
        <f t="shared" ca="1" si="127"/>
        <v>0</v>
      </c>
      <c r="U114" s="237"/>
      <c r="V114" s="238">
        <v>0</v>
      </c>
      <c r="W114" s="239">
        <f t="shared" ca="1" si="128"/>
        <v>1.25</v>
      </c>
      <c r="X114" s="423">
        <f t="shared" si="103"/>
        <v>91.21</v>
      </c>
      <c r="Y114" s="236">
        <v>4.1500000000000004</v>
      </c>
      <c r="Z114" s="236">
        <f t="shared" ca="1" si="129"/>
        <v>0.25</v>
      </c>
      <c r="AA114" s="241"/>
      <c r="AF114" s="225">
        <f t="shared" ca="1" si="114"/>
        <v>46236</v>
      </c>
      <c r="AG114" s="225" t="b">
        <f t="shared" si="130"/>
        <v>1</v>
      </c>
      <c r="AH114" s="242" t="str">
        <f t="shared" si="131"/>
        <v/>
      </c>
      <c r="AK114" s="223">
        <f t="shared" si="132"/>
        <v>0</v>
      </c>
      <c r="AL114" s="223">
        <f t="shared" si="133"/>
        <v>1900</v>
      </c>
      <c r="AS114" s="223">
        <f t="shared" si="134"/>
        <v>0</v>
      </c>
      <c r="AT114" s="223">
        <f t="shared" si="135"/>
        <v>0</v>
      </c>
    </row>
    <row r="115" spans="2:46" ht="15.75" x14ac:dyDescent="0.25">
      <c r="B115" s="229" t="s">
        <v>466</v>
      </c>
      <c r="C115" s="235" t="s">
        <v>330</v>
      </c>
      <c r="D115" s="243">
        <v>2000</v>
      </c>
      <c r="E115" s="232" t="s">
        <v>4</v>
      </c>
      <c r="F115" s="244">
        <v>1.7</v>
      </c>
      <c r="G115" s="234">
        <v>46099</v>
      </c>
      <c r="H115" s="235" t="s">
        <v>24</v>
      </c>
      <c r="I115" s="235"/>
      <c r="J115" s="236">
        <v>7.0000000000000007E-2</v>
      </c>
      <c r="K115" s="237">
        <f ca="1">ROUND(IF(ISERROR(OFFSET(Tabella!$A$1,MATCH(H115,Tabella!$A:$A,0)-1,MATCH(J115,Tabella!$A$1:$AC$1,0)-1)=TRUE),0,+OFFSET(Tabella!$A$1,MATCH(H115,Tabella!$A:$A,0)-1,MATCH(J115,Tabella!$A$1:$AC$1,0)-1)),4)</f>
        <v>1.25</v>
      </c>
      <c r="L115" s="238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238">
        <f ca="1">ROUND(IF(ISERROR(OFFSET(Rame!$A$1,MATCH(H115,Rame!$A:$A,0)-1,MATCH(J115,Rame!$A$1:$AA$1,0)-1)=TRUE),0,OFFSET(Rame!$A$1,MATCH(H115,Rame!$A:$A,0)-1,MATCH(J115,Rame!$A$1:$AA$1,0)-1))*IF(E115="Rame",1,0),4)</f>
        <v>0</v>
      </c>
      <c r="N115" s="238">
        <v>0</v>
      </c>
      <c r="O115" s="238">
        <f ca="1">ROUND(SUM(K115:N115),4)</f>
        <v>1.25</v>
      </c>
      <c r="P115" s="238">
        <f ca="1">ROUND(+IF(ISERROR(OFFSET(Tabella!$G$1,MATCH(H115,Tabella!$G:$G,0)-1,MATCH(I115,Tabella!$G$1:$FG$1,0)-1)=TRUE),0,OFFSET(Tabella!$G$1,MATCH(H115,Tabella!$G:$G,0)-1,MATCH(I115,Tabella!$G$1:$AB$1,0)-1)),4)</f>
        <v>0</v>
      </c>
      <c r="Q115" s="238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238">
        <f ca="1">ROUND(IF(ISERROR(OFFSET(Rame!$F$1,MATCH(H115,Rame!$F:$F,0)-1,MATCH(I115,Rame!$F$1:$FF$1,0)-1)=TRUE),0,OFFSET(Rame!$F$1,MATCH(H115,Rame!$F:$F,0)-1,MATCH(I115,Rame!$F$1:$FF$1,0)-1))*IF(E115="Rame",1,0),4)</f>
        <v>0</v>
      </c>
      <c r="S115" s="238">
        <f ca="1">ROUND(IF(ISERROR(OFFSET(Bronzo!$A$1,MATCH(H115,Bronzo!$A:$A,0)-1,MATCH(I115,Bronzo!$A$1:$AA$1,0)-1)=TRUE),0,OFFSET(Bronzo!$A$1,MATCH(H115,Bronzo!$A:$A,0)-1,MATCH(I115,Bronzo!$A$1:$AA$1,0)-1)),4)</f>
        <v>0</v>
      </c>
      <c r="T115" s="238">
        <f t="shared" ca="1" si="127"/>
        <v>0</v>
      </c>
      <c r="U115" s="237"/>
      <c r="V115" s="238">
        <v>0</v>
      </c>
      <c r="W115" s="239">
        <f t="shared" ca="1" si="128"/>
        <v>1.25</v>
      </c>
      <c r="X115" s="240">
        <f t="shared" si="103"/>
        <v>140</v>
      </c>
      <c r="Y115" s="425">
        <v>1.7</v>
      </c>
      <c r="Z115" s="236">
        <f t="shared" ca="1" si="129"/>
        <v>-1.25</v>
      </c>
      <c r="AA115" s="241">
        <v>46117</v>
      </c>
      <c r="AF115" s="225">
        <f t="shared" ca="1" si="114"/>
        <v>46236</v>
      </c>
      <c r="AG115" s="225" t="b">
        <f t="shared" si="130"/>
        <v>0</v>
      </c>
      <c r="AH115" s="242">
        <f t="shared" ca="1" si="131"/>
        <v>-119</v>
      </c>
      <c r="AK115" s="223">
        <f t="shared" si="132"/>
        <v>15</v>
      </c>
      <c r="AL115" s="223">
        <f t="shared" si="133"/>
        <v>2026</v>
      </c>
      <c r="AS115" s="223">
        <f t="shared" si="134"/>
        <v>4</v>
      </c>
      <c r="AT115" s="223">
        <f t="shared" si="135"/>
        <v>2026</v>
      </c>
    </row>
    <row r="116" spans="2:46" ht="15.75" x14ac:dyDescent="0.25">
      <c r="B116" s="229" t="s">
        <v>665</v>
      </c>
      <c r="C116" s="245" t="s">
        <v>330</v>
      </c>
      <c r="D116" s="246">
        <v>481</v>
      </c>
      <c r="E116" s="232" t="s">
        <v>4</v>
      </c>
      <c r="F116" s="244">
        <v>1.7</v>
      </c>
      <c r="G116" s="234">
        <v>46099</v>
      </c>
      <c r="H116" s="235" t="s">
        <v>314</v>
      </c>
      <c r="I116" s="235"/>
      <c r="J116" s="236">
        <v>7.0000000000000007E-2</v>
      </c>
      <c r="K116" s="237">
        <f ca="1">ROUND(IF(ISERROR(OFFSET(Tabella!$A$1,MATCH(H116,Tabella!$A:$A,0)-1,MATCH(J116,Tabella!$A$1:$AC$1,0)-1)=TRUE),0,+OFFSET(Tabella!$A$1,MATCH(H116,Tabella!$A:$A,0)-1,MATCH(J116,Tabella!$A$1:$AC$1,0)-1)),4)</f>
        <v>1.25</v>
      </c>
      <c r="L116" s="238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238">
        <f ca="1">ROUND(IF(ISERROR(OFFSET(Rame!$A$1,MATCH(H116,Rame!$A:$A,0)-1,MATCH(J116,Rame!$A$1:$AA$1,0)-1)=TRUE),0,OFFSET(Rame!$A$1,MATCH(H116,Rame!$A:$A,0)-1,MATCH(J116,Rame!$A$1:$AA$1,0)-1))*IF(E116="Rame",1,0),4)</f>
        <v>0</v>
      </c>
      <c r="N116" s="238">
        <v>0</v>
      </c>
      <c r="O116" s="238">
        <f ca="1">ROUND(SUM(K116:N116),4)</f>
        <v>1.25</v>
      </c>
      <c r="P116" s="238">
        <f ca="1">ROUND(+IF(ISERROR(OFFSET(Tabella!$G$1,MATCH(H116,Tabella!$G:$G,0)-1,MATCH(I116,Tabella!$G$1:$FG$1,0)-1)=TRUE),0,OFFSET(Tabella!$G$1,MATCH(H116,Tabella!$G:$G,0)-1,MATCH(I116,Tabella!$G$1:$AB$1,0)-1)),4)</f>
        <v>0</v>
      </c>
      <c r="Q116" s="238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238">
        <f ca="1">ROUND(IF(ISERROR(OFFSET(Rame!$F$1,MATCH(H116,Rame!$F:$F,0)-1,MATCH(I116,Rame!$F$1:$FF$1,0)-1)=TRUE),0,OFFSET(Rame!$F$1,MATCH(H116,Rame!$F:$F,0)-1,MATCH(I116,Rame!$F$1:$FF$1,0)-1))*IF(E116="Rame",1,0),4)</f>
        <v>0</v>
      </c>
      <c r="S116" s="238">
        <f ca="1">ROUND(IF(ISERROR(OFFSET(Bronzo!$A$1,MATCH(H116,Bronzo!$A:$A,0)-1,MATCH(I116,Bronzo!$A$1:$AA$1,0)-1)=TRUE),0,OFFSET(Bronzo!$A$1,MATCH(H116,Bronzo!$A:$A,0)-1,MATCH(I116,Bronzo!$A$1:$AA$1,0)-1)),4)</f>
        <v>0</v>
      </c>
      <c r="T116" s="238">
        <f t="shared" ca="1" si="127"/>
        <v>0</v>
      </c>
      <c r="U116" s="237"/>
      <c r="V116" s="238">
        <v>0</v>
      </c>
      <c r="W116" s="239">
        <f t="shared" ca="1" si="128"/>
        <v>1.25</v>
      </c>
      <c r="X116" s="423">
        <f t="shared" si="103"/>
        <v>33.67</v>
      </c>
      <c r="Y116" s="425">
        <v>1.7</v>
      </c>
      <c r="Z116" s="236">
        <f t="shared" ca="1" si="129"/>
        <v>-1.25</v>
      </c>
      <c r="AA116" s="241"/>
      <c r="AE116" s="223" t="s">
        <v>666</v>
      </c>
      <c r="AF116" s="225">
        <f t="shared" ca="1" si="114"/>
        <v>46236</v>
      </c>
      <c r="AG116" s="225" t="b">
        <f t="shared" si="130"/>
        <v>1</v>
      </c>
      <c r="AH116" s="242" t="str">
        <f t="shared" si="131"/>
        <v/>
      </c>
      <c r="AK116" s="223">
        <f t="shared" si="132"/>
        <v>0</v>
      </c>
      <c r="AL116" s="223">
        <f t="shared" si="133"/>
        <v>1900</v>
      </c>
      <c r="AS116" s="223">
        <f t="shared" si="134"/>
        <v>0</v>
      </c>
      <c r="AT116" s="223">
        <f t="shared" si="135"/>
        <v>0</v>
      </c>
    </row>
    <row r="117" spans="2:46" ht="15.75" x14ac:dyDescent="0.25">
      <c r="B117" s="229" t="s">
        <v>606</v>
      </c>
      <c r="C117" s="245" t="s">
        <v>263</v>
      </c>
      <c r="D117" s="246">
        <v>253</v>
      </c>
      <c r="E117" s="232" t="s">
        <v>4</v>
      </c>
      <c r="F117" s="233">
        <v>2.61</v>
      </c>
      <c r="G117" s="234">
        <v>46101</v>
      </c>
      <c r="H117" s="235" t="s">
        <v>9</v>
      </c>
      <c r="I117" s="235"/>
      <c r="J117" s="236">
        <v>7.0000000000000007E-2</v>
      </c>
      <c r="K117" s="237">
        <f ca="1">ROUND(IF(ISERROR(OFFSET(Tabella!$A$1,MATCH(H117,Tabella!$A:$A,0)-1,MATCH(J117,Tabella!$A$1:$AC$1,0)-1)=TRUE),0,+OFFSET(Tabella!$A$1,MATCH(H117,Tabella!$A:$A,0)-1,MATCH(J117,Tabella!$A$1:$AC$1,0)-1)),4)</f>
        <v>1.6</v>
      </c>
      <c r="L117" s="238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238">
        <f ca="1">ROUND(IF(ISERROR(OFFSET(Rame!$A$1,MATCH(H117,Rame!$A:$A,0)-1,MATCH(J117,Rame!$A$1:$AA$1,0)-1)=TRUE),0,OFFSET(Rame!$A$1,MATCH(H117,Rame!$A:$A,0)-1,MATCH(J117,Rame!$A$1:$AA$1,0)-1))*IF(E117="Rame",1,0),4)</f>
        <v>0</v>
      </c>
      <c r="N117" s="238">
        <v>0</v>
      </c>
      <c r="O117" s="238">
        <v>1.8</v>
      </c>
      <c r="P117" s="238">
        <f ca="1">ROUND(+IF(ISERROR(OFFSET(Tabella!$G$1,MATCH(H117,Tabella!$G:$G,0)-1,MATCH(I117,Tabella!$G$1:$FG$1,0)-1)=TRUE),0,OFFSET(Tabella!$G$1,MATCH(H117,Tabella!$G:$G,0)-1,MATCH(I117,Tabella!$G$1:$AB$1,0)-1)),4)</f>
        <v>0</v>
      </c>
      <c r="Q117" s="238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238">
        <f ca="1">ROUND(IF(ISERROR(OFFSET(Rame!$F$1,MATCH(H117,Rame!$F:$F,0)-1,MATCH(I117,Rame!$F$1:$FF$1,0)-1)=TRUE),0,OFFSET(Rame!$F$1,MATCH(H117,Rame!$F:$F,0)-1,MATCH(I117,Rame!$F$1:$FF$1,0)-1))*IF(E117="Rame",1,0),4)</f>
        <v>0</v>
      </c>
      <c r="S117" s="238">
        <f ca="1">ROUND(IF(ISERROR(OFFSET(Bronzo!$A$1,MATCH(H117,Bronzo!$A:$A,0)-1,MATCH(I117,Bronzo!$A$1:$AA$1,0)-1)=TRUE),0,OFFSET(Bronzo!$A$1,MATCH(H117,Bronzo!$A:$A,0)-1,MATCH(I117,Bronzo!$A$1:$AA$1,0)-1)),4)</f>
        <v>0</v>
      </c>
      <c r="T117" s="238">
        <f t="shared" ca="1" si="127"/>
        <v>0</v>
      </c>
      <c r="U117" s="237"/>
      <c r="V117" s="238">
        <v>0</v>
      </c>
      <c r="W117" s="239">
        <f t="shared" ca="1" si="128"/>
        <v>1.8</v>
      </c>
      <c r="X117" s="423">
        <f t="shared" si="103"/>
        <v>17.71</v>
      </c>
      <c r="Y117" s="236">
        <v>4.63</v>
      </c>
      <c r="Z117" s="236">
        <f t="shared" ca="1" si="129"/>
        <v>0.22</v>
      </c>
      <c r="AA117" s="241"/>
      <c r="AF117" s="225">
        <f t="shared" ca="1" si="114"/>
        <v>46236</v>
      </c>
      <c r="AG117" s="225" t="b">
        <f t="shared" si="130"/>
        <v>1</v>
      </c>
      <c r="AH117" s="242" t="str">
        <f t="shared" si="131"/>
        <v/>
      </c>
      <c r="AK117" s="223">
        <f t="shared" si="132"/>
        <v>0</v>
      </c>
      <c r="AL117" s="223">
        <f t="shared" si="133"/>
        <v>1900</v>
      </c>
      <c r="AS117" s="223">
        <f t="shared" si="134"/>
        <v>0</v>
      </c>
      <c r="AT117" s="223">
        <f t="shared" si="135"/>
        <v>0</v>
      </c>
    </row>
    <row r="118" spans="2:46" ht="15.75" x14ac:dyDescent="0.25">
      <c r="B118" s="229" t="s">
        <v>604</v>
      </c>
      <c r="C118" s="245" t="s">
        <v>263</v>
      </c>
      <c r="D118" s="246">
        <v>600</v>
      </c>
      <c r="E118" s="232" t="s">
        <v>4</v>
      </c>
      <c r="F118" s="233">
        <v>2.61</v>
      </c>
      <c r="G118" s="234">
        <v>46101</v>
      </c>
      <c r="H118" s="235" t="s">
        <v>13</v>
      </c>
      <c r="I118" s="235"/>
      <c r="J118" s="236">
        <v>7.0000000000000007E-2</v>
      </c>
      <c r="K118" s="237">
        <f ca="1">ROUND(IF(ISERROR(OFFSET(Tabella!$A$1,MATCH(H118,Tabella!$A:$A,0)-1,MATCH(J118,Tabella!$A$1:$AC$1,0)-1)=TRUE),0,+OFFSET(Tabella!$A$1,MATCH(H118,Tabella!$A:$A,0)-1,MATCH(J118,Tabella!$A$1:$AC$1,0)-1)),4)</f>
        <v>1.4</v>
      </c>
      <c r="L118" s="238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238">
        <f ca="1">ROUND(IF(ISERROR(OFFSET(Rame!$A$1,MATCH(H118,Rame!$A:$A,0)-1,MATCH(J118,Rame!$A$1:$AA$1,0)-1)=TRUE),0,OFFSET(Rame!$A$1,MATCH(H118,Rame!$A:$A,0)-1,MATCH(J118,Rame!$A$1:$AA$1,0)-1))*IF(E118="Rame",1,0),4)</f>
        <v>0</v>
      </c>
      <c r="N118" s="238">
        <v>0</v>
      </c>
      <c r="O118" s="238">
        <v>1.65</v>
      </c>
      <c r="P118" s="238">
        <f ca="1">ROUND(+IF(ISERROR(OFFSET(Tabella!$G$1,MATCH(H118,Tabella!$G:$G,0)-1,MATCH(I118,Tabella!$G$1:$FG$1,0)-1)=TRUE),0,OFFSET(Tabella!$G$1,MATCH(H118,Tabella!$G:$G,0)-1,MATCH(I118,Tabella!$G$1:$AB$1,0)-1)),4)</f>
        <v>0</v>
      </c>
      <c r="Q118" s="238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238">
        <f ca="1">ROUND(IF(ISERROR(OFFSET(Rame!$F$1,MATCH(H118,Rame!$F:$F,0)-1,MATCH(I118,Rame!$F$1:$FF$1,0)-1)=TRUE),0,OFFSET(Rame!$F$1,MATCH(H118,Rame!$F:$F,0)-1,MATCH(I118,Rame!$F$1:$FF$1,0)-1))*IF(E118="Rame",1,0),4)</f>
        <v>0</v>
      </c>
      <c r="S118" s="238">
        <f ca="1">ROUND(IF(ISERROR(OFFSET(Bronzo!$A$1,MATCH(H118,Bronzo!$A:$A,0)-1,MATCH(I118,Bronzo!$A$1:$AA$1,0)-1)=TRUE),0,OFFSET(Bronzo!$A$1,MATCH(H118,Bronzo!$A:$A,0)-1,MATCH(I118,Bronzo!$A$1:$AA$1,0)-1)),4)</f>
        <v>0</v>
      </c>
      <c r="T118" s="238">
        <f t="shared" ca="1" si="127"/>
        <v>0</v>
      </c>
      <c r="U118" s="237"/>
      <c r="V118" s="238">
        <v>0</v>
      </c>
      <c r="W118" s="239">
        <f t="shared" ca="1" si="128"/>
        <v>1.65</v>
      </c>
      <c r="X118" s="423">
        <f t="shared" si="103"/>
        <v>42</v>
      </c>
      <c r="Y118" s="236">
        <v>4.33</v>
      </c>
      <c r="Z118" s="236">
        <f t="shared" ca="1" si="129"/>
        <v>7.0000000000000007E-2</v>
      </c>
      <c r="AA118" s="241"/>
      <c r="AF118" s="225">
        <f t="shared" ref="AF118:AF907" ca="1" si="136">TODAY()</f>
        <v>46236</v>
      </c>
      <c r="AG118" s="225" t="b">
        <f t="shared" si="130"/>
        <v>1</v>
      </c>
      <c r="AH118" s="242" t="str">
        <f t="shared" si="131"/>
        <v/>
      </c>
      <c r="AK118" s="223">
        <f t="shared" si="132"/>
        <v>0</v>
      </c>
      <c r="AL118" s="223">
        <f t="shared" si="133"/>
        <v>1900</v>
      </c>
      <c r="AS118" s="223">
        <f t="shared" si="134"/>
        <v>0</v>
      </c>
      <c r="AT118" s="223">
        <f t="shared" si="135"/>
        <v>0</v>
      </c>
    </row>
    <row r="119" spans="2:46" ht="15.75" x14ac:dyDescent="0.25">
      <c r="B119" s="229" t="s">
        <v>605</v>
      </c>
      <c r="C119" s="245" t="s">
        <v>263</v>
      </c>
      <c r="D119" s="246">
        <v>611</v>
      </c>
      <c r="E119" s="232" t="s">
        <v>4</v>
      </c>
      <c r="F119" s="233">
        <v>2.61</v>
      </c>
      <c r="G119" s="234">
        <v>46101</v>
      </c>
      <c r="H119" s="235" t="s">
        <v>9</v>
      </c>
      <c r="I119" s="235"/>
      <c r="J119" s="236">
        <v>7.0000000000000007E-2</v>
      </c>
      <c r="K119" s="237">
        <f ca="1">ROUND(IF(ISERROR(OFFSET(Tabella!$A$1,MATCH(H119,Tabella!$A:$A,0)-1,MATCH(J119,Tabella!$A$1:$AC$1,0)-1)=TRUE),0,+OFFSET(Tabella!$A$1,MATCH(H119,Tabella!$A:$A,0)-1,MATCH(J119,Tabella!$A$1:$AC$1,0)-1)),4)</f>
        <v>1.6</v>
      </c>
      <c r="L119" s="238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238">
        <f ca="1">ROUND(IF(ISERROR(OFFSET(Rame!$A$1,MATCH(H119,Rame!$A:$A,0)-1,MATCH(J119,Rame!$A$1:$AA$1,0)-1)=TRUE),0,OFFSET(Rame!$A$1,MATCH(H119,Rame!$A:$A,0)-1,MATCH(J119,Rame!$A$1:$AA$1,0)-1))*IF(E119="Rame",1,0),4)</f>
        <v>0</v>
      </c>
      <c r="N119" s="238">
        <v>0</v>
      </c>
      <c r="O119" s="238">
        <v>1.8</v>
      </c>
      <c r="P119" s="238">
        <f ca="1">ROUND(+IF(ISERROR(OFFSET(Tabella!$G$1,MATCH(H119,Tabella!$G:$G,0)-1,MATCH(I119,Tabella!$G$1:$FG$1,0)-1)=TRUE),0,OFFSET(Tabella!$G$1,MATCH(H119,Tabella!$G:$G,0)-1,MATCH(I119,Tabella!$G$1:$AB$1,0)-1)),4)</f>
        <v>0</v>
      </c>
      <c r="Q119" s="238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238">
        <f ca="1">ROUND(IF(ISERROR(OFFSET(Rame!$F$1,MATCH(H119,Rame!$F:$F,0)-1,MATCH(I119,Rame!$F$1:$FF$1,0)-1)=TRUE),0,OFFSET(Rame!$F$1,MATCH(H119,Rame!$F:$F,0)-1,MATCH(I119,Rame!$F$1:$FF$1,0)-1))*IF(E119="Rame",1,0),4)</f>
        <v>0</v>
      </c>
      <c r="S119" s="238">
        <f ca="1">ROUND(IF(ISERROR(OFFSET(Bronzo!$A$1,MATCH(H119,Bronzo!$A:$A,0)-1,MATCH(I119,Bronzo!$A$1:$AA$1,0)-1)=TRUE),0,OFFSET(Bronzo!$A$1,MATCH(H119,Bronzo!$A:$A,0)-1,MATCH(I119,Bronzo!$A$1:$AA$1,0)-1)),4)</f>
        <v>0</v>
      </c>
      <c r="T119" s="238">
        <f t="shared" ca="1" si="127"/>
        <v>0</v>
      </c>
      <c r="U119" s="237"/>
      <c r="V119" s="238">
        <v>0</v>
      </c>
      <c r="W119" s="239">
        <f t="shared" ca="1" si="128"/>
        <v>1.8</v>
      </c>
      <c r="X119" s="423">
        <f t="shared" si="103"/>
        <v>42.77</v>
      </c>
      <c r="Y119" s="236">
        <v>4.4800000000000004</v>
      </c>
      <c r="Z119" s="236">
        <f t="shared" ca="1" si="129"/>
        <v>7.0000000000000007E-2</v>
      </c>
      <c r="AA119" s="241"/>
      <c r="AF119" s="225">
        <f t="shared" ca="1" si="136"/>
        <v>46236</v>
      </c>
      <c r="AG119" s="225" t="b">
        <f t="shared" si="130"/>
        <v>1</v>
      </c>
      <c r="AH119" s="242" t="str">
        <f t="shared" si="131"/>
        <v/>
      </c>
      <c r="AK119" s="223">
        <f t="shared" si="132"/>
        <v>0</v>
      </c>
      <c r="AL119" s="223">
        <f t="shared" si="133"/>
        <v>1900</v>
      </c>
      <c r="AS119" s="223">
        <f t="shared" si="134"/>
        <v>0</v>
      </c>
      <c r="AT119" s="223">
        <f t="shared" si="135"/>
        <v>0</v>
      </c>
    </row>
    <row r="120" spans="2:46" ht="15.75" x14ac:dyDescent="0.25">
      <c r="B120" s="229" t="s">
        <v>604</v>
      </c>
      <c r="C120" s="245" t="s">
        <v>263</v>
      </c>
      <c r="D120" s="246">
        <v>630</v>
      </c>
      <c r="E120" s="232" t="s">
        <v>4</v>
      </c>
      <c r="F120" s="233">
        <v>2.61</v>
      </c>
      <c r="G120" s="234">
        <v>46101</v>
      </c>
      <c r="H120" s="235" t="s">
        <v>9</v>
      </c>
      <c r="I120" s="235"/>
      <c r="J120" s="236">
        <v>7.0000000000000007E-2</v>
      </c>
      <c r="K120" s="237">
        <f ca="1">ROUND(IF(ISERROR(OFFSET(Tabella!$A$1,MATCH(H120,Tabella!$A:$A,0)-1,MATCH(J120,Tabella!$A$1:$AC$1,0)-1)=TRUE),0,+OFFSET(Tabella!$A$1,MATCH(H120,Tabella!$A:$A,0)-1,MATCH(J120,Tabella!$A$1:$AC$1,0)-1)),4)</f>
        <v>1.6</v>
      </c>
      <c r="L120" s="238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238">
        <f ca="1">ROUND(IF(ISERROR(OFFSET(Rame!$A$1,MATCH(H120,Rame!$A:$A,0)-1,MATCH(J120,Rame!$A$1:$AA$1,0)-1)=TRUE),0,OFFSET(Rame!$A$1,MATCH(H120,Rame!$A:$A,0)-1,MATCH(J120,Rame!$A$1:$AA$1,0)-1))*IF(E120="Rame",1,0),4)</f>
        <v>0</v>
      </c>
      <c r="N120" s="238">
        <v>0</v>
      </c>
      <c r="O120" s="238">
        <v>1.8</v>
      </c>
      <c r="P120" s="238">
        <f ca="1">ROUND(+IF(ISERROR(OFFSET(Tabella!$G$1,MATCH(H120,Tabella!$G:$G,0)-1,MATCH(I120,Tabella!$G$1:$FG$1,0)-1)=TRUE),0,OFFSET(Tabella!$G$1,MATCH(H120,Tabella!$G:$G,0)-1,MATCH(I120,Tabella!$G$1:$AB$1,0)-1)),4)</f>
        <v>0</v>
      </c>
      <c r="Q120" s="238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238">
        <f ca="1">ROUND(IF(ISERROR(OFFSET(Rame!$F$1,MATCH(H120,Rame!$F:$F,0)-1,MATCH(I120,Rame!$F$1:$FF$1,0)-1)=TRUE),0,OFFSET(Rame!$F$1,MATCH(H120,Rame!$F:$F,0)-1,MATCH(I120,Rame!$F$1:$FF$1,0)-1))*IF(E120="Rame",1,0),4)</f>
        <v>0</v>
      </c>
      <c r="S120" s="238">
        <f ca="1">ROUND(IF(ISERROR(OFFSET(Bronzo!$A$1,MATCH(H120,Bronzo!$A:$A,0)-1,MATCH(I120,Bronzo!$A$1:$AA$1,0)-1)=TRUE),0,OFFSET(Bronzo!$A$1,MATCH(H120,Bronzo!$A:$A,0)-1,MATCH(I120,Bronzo!$A$1:$AA$1,0)-1)),4)</f>
        <v>0</v>
      </c>
      <c r="T120" s="238">
        <f t="shared" ca="1" si="127"/>
        <v>0</v>
      </c>
      <c r="U120" s="237"/>
      <c r="V120" s="238">
        <v>0</v>
      </c>
      <c r="W120" s="239">
        <f t="shared" ca="1" si="128"/>
        <v>1.8</v>
      </c>
      <c r="X120" s="423">
        <f t="shared" si="103"/>
        <v>44.1</v>
      </c>
      <c r="Y120" s="236">
        <v>4.4800000000000004</v>
      </c>
      <c r="Z120" s="236">
        <f t="shared" ca="1" si="129"/>
        <v>7.0000000000000007E-2</v>
      </c>
      <c r="AA120" s="241"/>
      <c r="AF120" s="225">
        <f t="shared" ca="1" si="136"/>
        <v>46236</v>
      </c>
      <c r="AG120" s="225" t="b">
        <f t="shared" si="130"/>
        <v>1</v>
      </c>
      <c r="AH120" s="242" t="str">
        <f t="shared" si="131"/>
        <v/>
      </c>
      <c r="AK120" s="223">
        <f t="shared" si="132"/>
        <v>0</v>
      </c>
      <c r="AL120" s="223">
        <f t="shared" si="133"/>
        <v>1900</v>
      </c>
      <c r="AS120" s="223">
        <f t="shared" si="134"/>
        <v>0</v>
      </c>
      <c r="AT120" s="223">
        <f t="shared" si="135"/>
        <v>0</v>
      </c>
    </row>
    <row r="121" spans="2:46" ht="15.75" x14ac:dyDescent="0.25">
      <c r="B121" s="229" t="s">
        <v>693</v>
      </c>
      <c r="C121" s="245" t="s">
        <v>210</v>
      </c>
      <c r="D121" s="246">
        <v>6596</v>
      </c>
      <c r="E121" s="232" t="s">
        <v>4</v>
      </c>
      <c r="F121" s="233">
        <v>2.61</v>
      </c>
      <c r="G121" s="234">
        <v>46104</v>
      </c>
      <c r="H121" s="235" t="s">
        <v>326</v>
      </c>
      <c r="I121" s="235"/>
      <c r="J121" s="236">
        <v>0.05</v>
      </c>
      <c r="K121" s="237">
        <f ca="1">ROUND(IF(ISERROR(OFFSET(Tabella!$A$1,MATCH(H121,Tabella!$A:$A,0)-1,MATCH(J121,Tabella!$A$1:$AC$1,0)-1)=TRUE),0,+OFFSET(Tabella!$A$1,MATCH(H121,Tabella!$A:$A,0)-1,MATCH(J121,Tabella!$A$1:$AC$1,0)-1)),4)</f>
        <v>0</v>
      </c>
      <c r="L121" s="238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238">
        <f ca="1">ROUND(IF(ISERROR(OFFSET(Rame!$A$1,MATCH(H121,Rame!$A:$A,0)-1,MATCH(J121,Rame!$A$1:$AA$1,0)-1)=TRUE),0,OFFSET(Rame!$A$1,MATCH(H121,Rame!$A:$A,0)-1,MATCH(J121,Rame!$A$1:$AA$1,0)-1))*IF(E121="Rame",1,0),4)</f>
        <v>0</v>
      </c>
      <c r="N121" s="238">
        <v>0</v>
      </c>
      <c r="O121" s="238">
        <v>1.5</v>
      </c>
      <c r="P121" s="238">
        <f ca="1">ROUND(+IF(ISERROR(OFFSET(Tabella!$G$1,MATCH(H121,Tabella!$G:$G,0)-1,MATCH(I121,Tabella!$G$1:$FG$1,0)-1)=TRUE),0,OFFSET(Tabella!$G$1,MATCH(H121,Tabella!$G:$G,0)-1,MATCH(I121,Tabella!$G$1:$AB$1,0)-1)),4)</f>
        <v>0</v>
      </c>
      <c r="Q121" s="238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238">
        <f ca="1">ROUND(IF(ISERROR(OFFSET(Rame!$F$1,MATCH(H121,Rame!$F:$F,0)-1,MATCH(I121,Rame!$F$1:$FF$1,0)-1)=TRUE),0,OFFSET(Rame!$F$1,MATCH(H121,Rame!$F:$F,0)-1,MATCH(I121,Rame!$F$1:$FF$1,0)-1))*IF(E121="Rame",1,0),4)</f>
        <v>0</v>
      </c>
      <c r="S121" s="238">
        <f ca="1">ROUND(IF(ISERROR(OFFSET(Bronzo!$A$1,MATCH(H121,Bronzo!$A:$A,0)-1,MATCH(I121,Bronzo!$A$1:$AA$1,0)-1)=TRUE),0,OFFSET(Bronzo!$A$1,MATCH(H121,Bronzo!$A:$A,0)-1,MATCH(I121,Bronzo!$A$1:$AA$1,0)-1)),4)</f>
        <v>0</v>
      </c>
      <c r="T121" s="238">
        <f t="shared" ca="1" si="127"/>
        <v>0</v>
      </c>
      <c r="U121" s="237"/>
      <c r="V121" s="238">
        <v>0</v>
      </c>
      <c r="W121" s="239">
        <f t="shared" ca="1" si="128"/>
        <v>1.5</v>
      </c>
      <c r="X121" s="423">
        <f t="shared" si="103"/>
        <v>329.8</v>
      </c>
      <c r="Y121" s="236">
        <v>4.08</v>
      </c>
      <c r="Z121" s="236">
        <f t="shared" ca="1" si="129"/>
        <v>-0.03</v>
      </c>
      <c r="AA121" s="241"/>
      <c r="AE121" s="223" t="s">
        <v>469</v>
      </c>
      <c r="AF121" s="225">
        <f t="shared" ca="1" si="136"/>
        <v>46236</v>
      </c>
      <c r="AG121" s="225" t="b">
        <f t="shared" ref="AG121" si="137">ISBLANK(AA121)</f>
        <v>1</v>
      </c>
      <c r="AH121" s="242" t="str">
        <f t="shared" ref="AH121" si="138">IF(AG121=FALSE,_xlfn.DAYS(AA121,AF121),"")</f>
        <v/>
      </c>
      <c r="AK121" s="223">
        <f t="shared" ref="AK121" si="139">WEEKNUM(AA121)</f>
        <v>0</v>
      </c>
      <c r="AL121" s="223">
        <f t="shared" ref="AL121" si="140">YEAR(AA121)</f>
        <v>1900</v>
      </c>
      <c r="AS121" s="223">
        <f t="shared" ref="AS121" si="141">IF(AA121="",0,MONTH(AA121))</f>
        <v>0</v>
      </c>
      <c r="AT121" s="223">
        <f t="shared" ref="AT121" si="142">IF(AA121="",0,YEAR(AA121))</f>
        <v>0</v>
      </c>
    </row>
    <row r="122" spans="2:46" ht="15.75" x14ac:dyDescent="0.25">
      <c r="B122" s="229" t="s">
        <v>623</v>
      </c>
      <c r="C122" s="245" t="s">
        <v>210</v>
      </c>
      <c r="D122" s="246">
        <v>6658</v>
      </c>
      <c r="E122" s="232" t="s">
        <v>4</v>
      </c>
      <c r="F122" s="233">
        <v>2.61</v>
      </c>
      <c r="G122" s="234">
        <v>46104</v>
      </c>
      <c r="H122" s="235" t="s">
        <v>23</v>
      </c>
      <c r="I122" s="235"/>
      <c r="J122" s="236">
        <v>0.05</v>
      </c>
      <c r="K122" s="237">
        <f ca="1">ROUND(IF(ISERROR(OFFSET(Tabella!$A$1,MATCH(H122,Tabella!$A:$A,0)-1,MATCH(J122,Tabella!$A$1:$AC$1,0)-1)=TRUE),0,+OFFSET(Tabella!$A$1,MATCH(H122,Tabella!$A:$A,0)-1,MATCH(J122,Tabella!$A$1:$AC$1,0)-1)),4)</f>
        <v>0</v>
      </c>
      <c r="L122" s="238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238">
        <f ca="1">ROUND(IF(ISERROR(OFFSET(Rame!$A$1,MATCH(H122,Rame!$A:$A,0)-1,MATCH(J122,Rame!$A$1:$AA$1,0)-1)=TRUE),0,OFFSET(Rame!$A$1,MATCH(H122,Rame!$A:$A,0)-1,MATCH(J122,Rame!$A$1:$AA$1,0)-1))*IF(E122="Rame",1,0),4)</f>
        <v>0</v>
      </c>
      <c r="N122" s="238">
        <v>0</v>
      </c>
      <c r="O122" s="238">
        <v>1.5</v>
      </c>
      <c r="P122" s="238">
        <f ca="1">ROUND(+IF(ISERROR(OFFSET(Tabella!$G$1,MATCH(H122,Tabella!$G:$G,0)-1,MATCH(I122,Tabella!$G$1:$FG$1,0)-1)=TRUE),0,OFFSET(Tabella!$G$1,MATCH(H122,Tabella!$G:$G,0)-1,MATCH(I122,Tabella!$G$1:$AB$1,0)-1)),4)</f>
        <v>0</v>
      </c>
      <c r="Q122" s="238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238">
        <f ca="1">ROUND(IF(ISERROR(OFFSET(Rame!$F$1,MATCH(H122,Rame!$F:$F,0)-1,MATCH(I122,Rame!$F$1:$FF$1,0)-1)=TRUE),0,OFFSET(Rame!$F$1,MATCH(H122,Rame!$F:$F,0)-1,MATCH(I122,Rame!$F$1:$FF$1,0)-1))*IF(E122="Rame",1,0),4)</f>
        <v>0</v>
      </c>
      <c r="S122" s="238">
        <f ca="1">ROUND(IF(ISERROR(OFFSET(Bronzo!$A$1,MATCH(H122,Bronzo!$A:$A,0)-1,MATCH(I122,Bronzo!$A$1:$AA$1,0)-1)=TRUE),0,OFFSET(Bronzo!$A$1,MATCH(H122,Bronzo!$A:$A,0)-1,MATCH(I122,Bronzo!$A$1:$AA$1,0)-1)),4)</f>
        <v>0</v>
      </c>
      <c r="T122" s="238">
        <f t="shared" ca="1" si="127"/>
        <v>0</v>
      </c>
      <c r="U122" s="237"/>
      <c r="V122" s="238">
        <v>0</v>
      </c>
      <c r="W122" s="239">
        <f t="shared" ca="1" si="128"/>
        <v>1.5</v>
      </c>
      <c r="X122" s="423">
        <f t="shared" si="103"/>
        <v>332.9</v>
      </c>
      <c r="Y122" s="236">
        <v>4.08</v>
      </c>
      <c r="Z122" s="236">
        <f t="shared" ca="1" si="129"/>
        <v>-0.03</v>
      </c>
      <c r="AA122" s="241"/>
      <c r="AF122" s="225">
        <f t="shared" ca="1" si="136"/>
        <v>46236</v>
      </c>
      <c r="AG122" s="225" t="b">
        <f t="shared" si="130"/>
        <v>1</v>
      </c>
      <c r="AH122" s="242" t="str">
        <f t="shared" si="131"/>
        <v/>
      </c>
      <c r="AK122" s="223">
        <f t="shared" si="132"/>
        <v>0</v>
      </c>
      <c r="AL122" s="223">
        <f t="shared" si="133"/>
        <v>1900</v>
      </c>
      <c r="AS122" s="223">
        <f t="shared" si="134"/>
        <v>0</v>
      </c>
      <c r="AT122" s="223">
        <f t="shared" si="135"/>
        <v>0</v>
      </c>
    </row>
    <row r="123" spans="2:46" ht="15.75" x14ac:dyDescent="0.25">
      <c r="B123" s="229" t="s">
        <v>636</v>
      </c>
      <c r="C123" s="245" t="s">
        <v>102</v>
      </c>
      <c r="D123" s="246">
        <v>1735</v>
      </c>
      <c r="E123" s="232" t="s">
        <v>4</v>
      </c>
      <c r="F123" s="233">
        <v>2.65</v>
      </c>
      <c r="G123" s="234">
        <v>46050</v>
      </c>
      <c r="H123" s="235" t="s">
        <v>25</v>
      </c>
      <c r="I123" s="235"/>
      <c r="J123" s="236">
        <v>7.0000000000000007E-2</v>
      </c>
      <c r="K123" s="237">
        <f ca="1">ROUND(IF(ISERROR(OFFSET(Tabella!$A$1,MATCH(H123,Tabella!$A:$A,0)-1,MATCH(J123,Tabella!$A$1:$AC$1,0)-1)=TRUE),0,+OFFSET(Tabella!$A$1,MATCH(H123,Tabella!$A:$A,0)-1,MATCH(J123,Tabella!$A$1:$AC$1,0)-1)),4)</f>
        <v>1.25</v>
      </c>
      <c r="L123" s="238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238">
        <f ca="1">ROUND(IF(ISERROR(OFFSET(Rame!$A$1,MATCH(H123,Rame!$A:$A,0)-1,MATCH(J123,Rame!$A$1:$AA$1,0)-1)=TRUE),0,OFFSET(Rame!$A$1,MATCH(H123,Rame!$A:$A,0)-1,MATCH(J123,Rame!$A$1:$AA$1,0)-1))*IF(E123="Rame",1,0),4)</f>
        <v>0</v>
      </c>
      <c r="N123" s="238">
        <v>0</v>
      </c>
      <c r="O123" s="238">
        <v>1.5</v>
      </c>
      <c r="P123" s="238">
        <f ca="1">ROUND(+IF(ISERROR(OFFSET(Tabella!$G$1,MATCH(H123,Tabella!$G:$G,0)-1,MATCH(I123,Tabella!$G$1:$FG$1,0)-1)=TRUE),0,OFFSET(Tabella!$G$1,MATCH(H123,Tabella!$G:$G,0)-1,MATCH(I123,Tabella!$G$1:$AB$1,0)-1)),4)</f>
        <v>0</v>
      </c>
      <c r="Q123" s="238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238">
        <f ca="1">ROUND(IF(ISERROR(OFFSET(Rame!$F$1,MATCH(H123,Rame!$F:$F,0)-1,MATCH(I123,Rame!$F$1:$FF$1,0)-1)=TRUE),0,OFFSET(Rame!$F$1,MATCH(H123,Rame!$F:$F,0)-1,MATCH(I123,Rame!$F$1:$FF$1,0)-1))*IF(E123="Rame",1,0),4)</f>
        <v>0</v>
      </c>
      <c r="S123" s="238">
        <f ca="1">ROUND(IF(ISERROR(OFFSET(Bronzo!$A$1,MATCH(H123,Bronzo!$A:$A,0)-1,MATCH(I123,Bronzo!$A$1:$AA$1,0)-1)=TRUE),0,OFFSET(Bronzo!$A$1,MATCH(H123,Bronzo!$A:$A,0)-1,MATCH(I123,Bronzo!$A$1:$AA$1,0)-1)),4)</f>
        <v>0</v>
      </c>
      <c r="T123" s="238">
        <f t="shared" ca="1" si="127"/>
        <v>0</v>
      </c>
      <c r="U123" s="237"/>
      <c r="V123" s="238">
        <v>0</v>
      </c>
      <c r="W123" s="239">
        <f t="shared" ca="1" si="128"/>
        <v>1.5</v>
      </c>
      <c r="X123" s="423">
        <f t="shared" si="103"/>
        <v>121.45</v>
      </c>
      <c r="Y123" s="236">
        <v>4.1500000000000004</v>
      </c>
      <c r="Z123" s="236">
        <f t="shared" ca="1" si="129"/>
        <v>0</v>
      </c>
      <c r="AA123" s="241"/>
      <c r="AE123" s="223" t="s">
        <v>704</v>
      </c>
      <c r="AF123" s="225">
        <f t="shared" ca="1" si="136"/>
        <v>46236</v>
      </c>
      <c r="AG123" s="225" t="b">
        <f t="shared" si="130"/>
        <v>1</v>
      </c>
      <c r="AH123" s="242" t="str">
        <f t="shared" si="131"/>
        <v/>
      </c>
      <c r="AK123" s="223">
        <f t="shared" si="132"/>
        <v>0</v>
      </c>
      <c r="AL123" s="223">
        <f t="shared" si="133"/>
        <v>1900</v>
      </c>
      <c r="AS123" s="223">
        <f t="shared" si="134"/>
        <v>0</v>
      </c>
      <c r="AT123" s="223">
        <f t="shared" si="135"/>
        <v>0</v>
      </c>
    </row>
    <row r="124" spans="2:46" ht="15.75" x14ac:dyDescent="0.25">
      <c r="B124" s="229" t="s">
        <v>703</v>
      </c>
      <c r="C124" s="245" t="s">
        <v>102</v>
      </c>
      <c r="D124" s="246">
        <v>529</v>
      </c>
      <c r="E124" s="232" t="s">
        <v>4</v>
      </c>
      <c r="F124" s="233">
        <v>2.65</v>
      </c>
      <c r="G124" s="234">
        <v>46050</v>
      </c>
      <c r="H124" s="235" t="s">
        <v>24</v>
      </c>
      <c r="I124" s="235"/>
      <c r="J124" s="236">
        <v>7.0000000000000007E-2</v>
      </c>
      <c r="K124" s="237">
        <f ca="1">ROUND(IF(ISERROR(OFFSET(Tabella!$A$1,MATCH(H124,Tabella!$A:$A,0)-1,MATCH(J124,Tabella!$A$1:$AC$1,0)-1)=TRUE),0,+OFFSET(Tabella!$A$1,MATCH(H124,Tabella!$A:$A,0)-1,MATCH(J124,Tabella!$A$1:$AC$1,0)-1)),4)</f>
        <v>1.25</v>
      </c>
      <c r="L124" s="238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238">
        <f ca="1">ROUND(IF(ISERROR(OFFSET(Rame!$A$1,MATCH(H124,Rame!$A:$A,0)-1,MATCH(J124,Rame!$A$1:$AA$1,0)-1)=TRUE),0,OFFSET(Rame!$A$1,MATCH(H124,Rame!$A:$A,0)-1,MATCH(J124,Rame!$A$1:$AA$1,0)-1))*IF(E124="Rame",1,0),4)</f>
        <v>0</v>
      </c>
      <c r="N124" s="238">
        <v>0</v>
      </c>
      <c r="O124" s="238">
        <v>1.5</v>
      </c>
      <c r="P124" s="238">
        <f ca="1">ROUND(+IF(ISERROR(OFFSET(Tabella!$G$1,MATCH(H124,Tabella!$G:$G,0)-1,MATCH(I124,Tabella!$G$1:$FG$1,0)-1)=TRUE),0,OFFSET(Tabella!$G$1,MATCH(H124,Tabella!$G:$G,0)-1,MATCH(I124,Tabella!$G$1:$AB$1,0)-1)),4)</f>
        <v>0</v>
      </c>
      <c r="Q124" s="238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238">
        <f ca="1">ROUND(IF(ISERROR(OFFSET(Rame!$F$1,MATCH(H124,Rame!$F:$F,0)-1,MATCH(I124,Rame!$F$1:$FF$1,0)-1)=TRUE),0,OFFSET(Rame!$F$1,MATCH(H124,Rame!$F:$F,0)-1,MATCH(I124,Rame!$F$1:$FF$1,0)-1))*IF(E124="Rame",1,0),4)</f>
        <v>0</v>
      </c>
      <c r="S124" s="238">
        <f ca="1">ROUND(IF(ISERROR(OFFSET(Bronzo!$A$1,MATCH(H124,Bronzo!$A:$A,0)-1,MATCH(I124,Bronzo!$A$1:$AA$1,0)-1)=TRUE),0,OFFSET(Bronzo!$A$1,MATCH(H124,Bronzo!$A:$A,0)-1,MATCH(I124,Bronzo!$A$1:$AA$1,0)-1)),4)</f>
        <v>0</v>
      </c>
      <c r="T124" s="238">
        <f t="shared" ca="1" si="127"/>
        <v>0</v>
      </c>
      <c r="U124" s="237"/>
      <c r="V124" s="238">
        <v>0</v>
      </c>
      <c r="W124" s="239">
        <f t="shared" ca="1" si="128"/>
        <v>1.5</v>
      </c>
      <c r="X124" s="423">
        <f t="shared" si="103"/>
        <v>37.03</v>
      </c>
      <c r="Y124" s="236">
        <v>4.1500000000000004</v>
      </c>
      <c r="Z124" s="236">
        <f t="shared" ca="1" si="129"/>
        <v>0</v>
      </c>
      <c r="AA124" s="241"/>
      <c r="AF124" s="225">
        <f t="shared" ca="1" si="136"/>
        <v>46236</v>
      </c>
      <c r="AG124" s="225" t="b">
        <f t="shared" si="130"/>
        <v>1</v>
      </c>
      <c r="AH124" s="242" t="str">
        <f t="shared" si="131"/>
        <v/>
      </c>
      <c r="AK124" s="223">
        <f t="shared" si="132"/>
        <v>0</v>
      </c>
      <c r="AL124" s="223">
        <f t="shared" si="133"/>
        <v>1900</v>
      </c>
      <c r="AS124" s="223">
        <f t="shared" si="134"/>
        <v>0</v>
      </c>
      <c r="AT124" s="223">
        <f t="shared" si="135"/>
        <v>0</v>
      </c>
    </row>
    <row r="125" spans="2:46" ht="15.75" x14ac:dyDescent="0.25">
      <c r="B125" s="229" t="s">
        <v>703</v>
      </c>
      <c r="C125" s="245" t="s">
        <v>102</v>
      </c>
      <c r="D125" s="246">
        <v>884</v>
      </c>
      <c r="E125" s="232" t="s">
        <v>4</v>
      </c>
      <c r="F125" s="233">
        <v>2.65</v>
      </c>
      <c r="G125" s="234">
        <v>46050</v>
      </c>
      <c r="H125" s="235" t="s">
        <v>22</v>
      </c>
      <c r="I125" s="235"/>
      <c r="J125" s="236">
        <v>7.0000000000000007E-2</v>
      </c>
      <c r="K125" s="237">
        <f ca="1">ROUND(IF(ISERROR(OFFSET(Tabella!$A$1,MATCH(H125,Tabella!$A:$A,0)-1,MATCH(J125,Tabella!$A$1:$AC$1,0)-1)=TRUE),0,+OFFSET(Tabella!$A$1,MATCH(H125,Tabella!$A:$A,0)-1,MATCH(J125,Tabella!$A$1:$AC$1,0)-1)),4)</f>
        <v>1.25</v>
      </c>
      <c r="L125" s="238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238">
        <f ca="1">ROUND(IF(ISERROR(OFFSET(Rame!$A$1,MATCH(H125,Rame!$A:$A,0)-1,MATCH(J125,Rame!$A$1:$AA$1,0)-1)=TRUE),0,OFFSET(Rame!$A$1,MATCH(H125,Rame!$A:$A,0)-1,MATCH(J125,Rame!$A$1:$AA$1,0)-1))*IF(E125="Rame",1,0),4)</f>
        <v>0</v>
      </c>
      <c r="N125" s="238">
        <v>0</v>
      </c>
      <c r="O125" s="238">
        <v>1.5</v>
      </c>
      <c r="P125" s="238">
        <f ca="1">ROUND(+IF(ISERROR(OFFSET(Tabella!$G$1,MATCH(H125,Tabella!$G:$G,0)-1,MATCH(I125,Tabella!$G$1:$FG$1,0)-1)=TRUE),0,OFFSET(Tabella!$G$1,MATCH(H125,Tabella!$G:$G,0)-1,MATCH(I125,Tabella!$G$1:$AB$1,0)-1)),4)</f>
        <v>0</v>
      </c>
      <c r="Q125" s="238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238">
        <f ca="1">ROUND(IF(ISERROR(OFFSET(Rame!$F$1,MATCH(H125,Rame!$F:$F,0)-1,MATCH(I125,Rame!$F$1:$FF$1,0)-1)=TRUE),0,OFFSET(Rame!$F$1,MATCH(H125,Rame!$F:$F,0)-1,MATCH(I125,Rame!$F$1:$FF$1,0)-1))*IF(E125="Rame",1,0),4)</f>
        <v>0</v>
      </c>
      <c r="S125" s="238">
        <f ca="1">ROUND(IF(ISERROR(OFFSET(Bronzo!$A$1,MATCH(H125,Bronzo!$A:$A,0)-1,MATCH(I125,Bronzo!$A$1:$AA$1,0)-1)=TRUE),0,OFFSET(Bronzo!$A$1,MATCH(H125,Bronzo!$A:$A,0)-1,MATCH(I125,Bronzo!$A$1:$AA$1,0)-1)),4)</f>
        <v>0</v>
      </c>
      <c r="T125" s="238">
        <f t="shared" ca="1" si="127"/>
        <v>0</v>
      </c>
      <c r="U125" s="237"/>
      <c r="V125" s="238">
        <v>0</v>
      </c>
      <c r="W125" s="239">
        <f t="shared" ca="1" si="128"/>
        <v>1.5</v>
      </c>
      <c r="X125" s="423">
        <f t="shared" si="103"/>
        <v>61.88</v>
      </c>
      <c r="Y125" s="236">
        <v>4.1500000000000004</v>
      </c>
      <c r="Z125" s="236">
        <f t="shared" ca="1" si="129"/>
        <v>0</v>
      </c>
      <c r="AA125" s="241"/>
      <c r="AF125" s="225">
        <f t="shared" ca="1" si="136"/>
        <v>46236</v>
      </c>
      <c r="AG125" s="225" t="b">
        <f t="shared" si="130"/>
        <v>1</v>
      </c>
      <c r="AH125" s="242" t="str">
        <f t="shared" si="131"/>
        <v/>
      </c>
      <c r="AK125" s="223">
        <f t="shared" si="132"/>
        <v>0</v>
      </c>
      <c r="AL125" s="223">
        <f t="shared" si="133"/>
        <v>1900</v>
      </c>
      <c r="AS125" s="223">
        <f t="shared" si="134"/>
        <v>0</v>
      </c>
      <c r="AT125" s="223">
        <f t="shared" si="135"/>
        <v>0</v>
      </c>
    </row>
    <row r="126" spans="2:46" ht="15.75" x14ac:dyDescent="0.25">
      <c r="B126" s="229" t="s">
        <v>703</v>
      </c>
      <c r="C126" s="245" t="s">
        <v>102</v>
      </c>
      <c r="D126" s="246">
        <v>1893</v>
      </c>
      <c r="E126" s="232" t="s">
        <v>4</v>
      </c>
      <c r="F126" s="233">
        <v>2.65</v>
      </c>
      <c r="G126" s="234">
        <v>46050</v>
      </c>
      <c r="H126" s="235" t="s">
        <v>27</v>
      </c>
      <c r="I126" s="235"/>
      <c r="J126" s="236">
        <v>7.0000000000000007E-2</v>
      </c>
      <c r="K126" s="237">
        <f ca="1">ROUND(IF(ISERROR(OFFSET(Tabella!$A$1,MATCH(H126,Tabella!$A:$A,0)-1,MATCH(J126,Tabella!$A$1:$AC$1,0)-1)=TRUE),0,+OFFSET(Tabella!$A$1,MATCH(H126,Tabella!$A:$A,0)-1,MATCH(J126,Tabella!$A$1:$AC$1,0)-1)),4)</f>
        <v>1.25</v>
      </c>
      <c r="L126" s="238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238">
        <f ca="1">ROUND(IF(ISERROR(OFFSET(Rame!$A$1,MATCH(H126,Rame!$A:$A,0)-1,MATCH(J126,Rame!$A$1:$AA$1,0)-1)=TRUE),0,OFFSET(Rame!$A$1,MATCH(H126,Rame!$A:$A,0)-1,MATCH(J126,Rame!$A$1:$AA$1,0)-1))*IF(E126="Rame",1,0),4)</f>
        <v>0</v>
      </c>
      <c r="N126" s="238">
        <v>0</v>
      </c>
      <c r="O126" s="238">
        <v>1.5</v>
      </c>
      <c r="P126" s="238">
        <f ca="1">ROUND(+IF(ISERROR(OFFSET(Tabella!$G$1,MATCH(H126,Tabella!$G:$G,0)-1,MATCH(I126,Tabella!$G$1:$FG$1,0)-1)=TRUE),0,OFFSET(Tabella!$G$1,MATCH(H126,Tabella!$G:$G,0)-1,MATCH(I126,Tabella!$G$1:$AB$1,0)-1)),4)</f>
        <v>0</v>
      </c>
      <c r="Q126" s="238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238">
        <f ca="1">ROUND(IF(ISERROR(OFFSET(Rame!$F$1,MATCH(H126,Rame!$F:$F,0)-1,MATCH(I126,Rame!$F$1:$FF$1,0)-1)=TRUE),0,OFFSET(Rame!$F$1,MATCH(H126,Rame!$F:$F,0)-1,MATCH(I126,Rame!$F$1:$FF$1,0)-1))*IF(E126="Rame",1,0),4)</f>
        <v>0</v>
      </c>
      <c r="S126" s="238">
        <f ca="1">ROUND(IF(ISERROR(OFFSET(Bronzo!$A$1,MATCH(H126,Bronzo!$A:$A,0)-1,MATCH(I126,Bronzo!$A$1:$AA$1,0)-1)=TRUE),0,OFFSET(Bronzo!$A$1,MATCH(H126,Bronzo!$A:$A,0)-1,MATCH(I126,Bronzo!$A$1:$AA$1,0)-1)),4)</f>
        <v>0</v>
      </c>
      <c r="T126" s="238">
        <f t="shared" ca="1" si="127"/>
        <v>0</v>
      </c>
      <c r="U126" s="237"/>
      <c r="V126" s="238">
        <v>0</v>
      </c>
      <c r="W126" s="239">
        <f t="shared" ca="1" si="128"/>
        <v>1.5</v>
      </c>
      <c r="X126" s="423">
        <f t="shared" si="103"/>
        <v>132.51</v>
      </c>
      <c r="Y126" s="236">
        <v>4.1500000000000004</v>
      </c>
      <c r="Z126" s="236">
        <f t="shared" ca="1" si="129"/>
        <v>0</v>
      </c>
      <c r="AA126" s="241"/>
      <c r="AE126" s="223" t="s">
        <v>471</v>
      </c>
      <c r="AF126" s="225">
        <f t="shared" ca="1" si="136"/>
        <v>46236</v>
      </c>
      <c r="AG126" s="225" t="b">
        <f t="shared" si="130"/>
        <v>1</v>
      </c>
      <c r="AH126" s="242" t="str">
        <f t="shared" si="131"/>
        <v/>
      </c>
      <c r="AK126" s="223">
        <f t="shared" si="132"/>
        <v>0</v>
      </c>
      <c r="AL126" s="223">
        <f t="shared" si="133"/>
        <v>1900</v>
      </c>
      <c r="AS126" s="223">
        <f t="shared" si="134"/>
        <v>0</v>
      </c>
      <c r="AT126" s="223">
        <f t="shared" si="135"/>
        <v>0</v>
      </c>
    </row>
    <row r="127" spans="2:46" ht="15.75" x14ac:dyDescent="0.25">
      <c r="B127" s="229" t="s">
        <v>694</v>
      </c>
      <c r="C127" s="245" t="s">
        <v>210</v>
      </c>
      <c r="D127" s="246">
        <v>274</v>
      </c>
      <c r="E127" s="232" t="s">
        <v>6</v>
      </c>
      <c r="F127" s="233">
        <v>10.199999999999999</v>
      </c>
      <c r="G127" s="234">
        <v>46106</v>
      </c>
      <c r="H127" s="235" t="s">
        <v>12</v>
      </c>
      <c r="I127" s="235"/>
      <c r="J127" s="236">
        <v>0.15</v>
      </c>
      <c r="K127" s="237">
        <f ca="1">ROUND(IF(ISERROR(OFFSET(Tabella!$A$1,MATCH(H127,Tabella!$A:$A,0)-1,MATCH(J127,Tabella!$A$1:$AC$1,0)-1)=TRUE),0,+OFFSET(Tabella!$A$1,MATCH(H127,Tabella!$A:$A,0)-1,MATCH(J127,Tabella!$A$1:$AC$1,0)-1)),4)</f>
        <v>0</v>
      </c>
      <c r="L127" s="238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238">
        <f ca="1">ROUND(IF(ISERROR(OFFSET(Rame!$A$1,MATCH(H127,Rame!$A:$A,0)-1,MATCH(J127,Rame!$A$1:$AA$1,0)-1)=TRUE),0,OFFSET(Rame!$A$1,MATCH(H127,Rame!$A:$A,0)-1,MATCH(J127,Rame!$A$1:$AA$1,0)-1))*IF(E127="Rame",1,0),4)</f>
        <v>1.25</v>
      </c>
      <c r="N127" s="238">
        <v>0</v>
      </c>
      <c r="O127" s="238">
        <f ca="1">ROUND(SUM(K127:N127),4)</f>
        <v>1.25</v>
      </c>
      <c r="P127" s="238">
        <f ca="1">ROUND(+IF(ISERROR(OFFSET(Tabella!$G$1,MATCH(H127,Tabella!$G:$G,0)-1,MATCH(I127,Tabella!$G$1:$FG$1,0)-1)=TRUE),0,OFFSET(Tabella!$G$1,MATCH(H127,Tabella!$G:$G,0)-1,MATCH(I127,Tabella!$G$1:$AB$1,0)-1)),4)</f>
        <v>0</v>
      </c>
      <c r="Q127" s="238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238">
        <f ca="1">ROUND(IF(ISERROR(OFFSET(Rame!$F$1,MATCH(H127,Rame!$F:$F,0)-1,MATCH(I127,Rame!$F$1:$FF$1,0)-1)=TRUE),0,OFFSET(Rame!$F$1,MATCH(H127,Rame!$F:$F,0)-1,MATCH(I127,Rame!$F$1:$FF$1,0)-1))*IF(E127="Rame",1,0),4)</f>
        <v>0</v>
      </c>
      <c r="S127" s="238">
        <f ca="1">ROUND(IF(ISERROR(OFFSET(Bronzo!$A$1,MATCH(H127,Bronzo!$A:$A,0)-1,MATCH(I127,Bronzo!$A$1:$AA$1,0)-1)=TRUE),0,OFFSET(Bronzo!$A$1,MATCH(H127,Bronzo!$A:$A,0)-1,MATCH(I127,Bronzo!$A$1:$AA$1,0)-1)),4)</f>
        <v>0</v>
      </c>
      <c r="T127" s="238">
        <f t="shared" ca="1" si="127"/>
        <v>0</v>
      </c>
      <c r="U127" s="237"/>
      <c r="V127" s="238">
        <v>0</v>
      </c>
      <c r="W127" s="239">
        <f t="shared" ca="1" si="128"/>
        <v>1.25</v>
      </c>
      <c r="X127" s="423">
        <f t="shared" si="103"/>
        <v>41.1</v>
      </c>
      <c r="Y127" s="236">
        <v>13.9</v>
      </c>
      <c r="Z127" s="236">
        <f t="shared" ca="1" si="129"/>
        <v>2.4500000000000002</v>
      </c>
      <c r="AA127" s="241"/>
      <c r="AF127" s="225">
        <f t="shared" ca="1" si="136"/>
        <v>46236</v>
      </c>
      <c r="AG127" s="225" t="b">
        <f t="shared" si="130"/>
        <v>1</v>
      </c>
      <c r="AH127" s="242" t="str">
        <f t="shared" si="131"/>
        <v/>
      </c>
      <c r="AK127" s="223">
        <f t="shared" si="132"/>
        <v>0</v>
      </c>
      <c r="AL127" s="223">
        <f t="shared" si="133"/>
        <v>1900</v>
      </c>
      <c r="AS127" s="223">
        <f t="shared" si="134"/>
        <v>0</v>
      </c>
      <c r="AT127" s="223">
        <f t="shared" si="135"/>
        <v>0</v>
      </c>
    </row>
    <row r="128" spans="2:46" ht="15.75" x14ac:dyDescent="0.25">
      <c r="B128" s="229" t="s">
        <v>592</v>
      </c>
      <c r="C128" s="245" t="s">
        <v>263</v>
      </c>
      <c r="D128" s="246">
        <v>946</v>
      </c>
      <c r="E128" s="232" t="s">
        <v>4</v>
      </c>
      <c r="F128" s="233">
        <v>2.61</v>
      </c>
      <c r="G128" s="234">
        <v>46106</v>
      </c>
      <c r="H128" s="235" t="s">
        <v>19</v>
      </c>
      <c r="I128" s="235"/>
      <c r="J128" s="236">
        <v>7.0000000000000007E-2</v>
      </c>
      <c r="K128" s="237">
        <f ca="1">ROUND(IF(ISERROR(OFFSET(Tabella!$A$1,MATCH(H128,Tabella!$A:$A,0)-1,MATCH(J128,Tabella!$A$1:$AC$1,0)-1)=TRUE),0,+OFFSET(Tabella!$A$1,MATCH(H128,Tabella!$A:$A,0)-1,MATCH(J128,Tabella!$A$1:$AC$1,0)-1)),4)</f>
        <v>1.35</v>
      </c>
      <c r="L128" s="238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238">
        <f ca="1">ROUND(IF(ISERROR(OFFSET(Rame!$A$1,MATCH(H128,Rame!$A:$A,0)-1,MATCH(J128,Rame!$A$1:$AA$1,0)-1)=TRUE),0,OFFSET(Rame!$A$1,MATCH(H128,Rame!$A:$A,0)-1,MATCH(J128,Rame!$A$1:$AA$1,0)-1))*IF(E128="Rame",1,0),4)</f>
        <v>0</v>
      </c>
      <c r="N128" s="238">
        <v>0</v>
      </c>
      <c r="O128" s="238">
        <v>1.5</v>
      </c>
      <c r="P128" s="238">
        <f ca="1">ROUND(+IF(ISERROR(OFFSET(Tabella!$G$1,MATCH(H128,Tabella!$G:$G,0)-1,MATCH(I128,Tabella!$G$1:$FG$1,0)-1)=TRUE),0,OFFSET(Tabella!$G$1,MATCH(H128,Tabella!$G:$G,0)-1,MATCH(I128,Tabella!$G$1:$AB$1,0)-1)),4)</f>
        <v>0</v>
      </c>
      <c r="Q128" s="238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238">
        <f ca="1">ROUND(IF(ISERROR(OFFSET(Rame!$F$1,MATCH(H128,Rame!$F:$F,0)-1,MATCH(I128,Rame!$F$1:$FF$1,0)-1)=TRUE),0,OFFSET(Rame!$F$1,MATCH(H128,Rame!$F:$F,0)-1,MATCH(I128,Rame!$F$1:$FF$1,0)-1))*IF(E128="Rame",1,0),4)</f>
        <v>0</v>
      </c>
      <c r="S128" s="238">
        <f ca="1">ROUND(IF(ISERROR(OFFSET(Bronzo!$A$1,MATCH(H128,Bronzo!$A:$A,0)-1,MATCH(I128,Bronzo!$A$1:$AA$1,0)-1)=TRUE),0,OFFSET(Bronzo!$A$1,MATCH(H128,Bronzo!$A:$A,0)-1,MATCH(I128,Bronzo!$A$1:$AA$1,0)-1)),4)</f>
        <v>0</v>
      </c>
      <c r="T128" s="238">
        <f t="shared" ca="1" si="127"/>
        <v>0</v>
      </c>
      <c r="U128" s="237"/>
      <c r="V128" s="238">
        <v>0</v>
      </c>
      <c r="W128" s="239">
        <f t="shared" ca="1" si="128"/>
        <v>1.5</v>
      </c>
      <c r="X128" s="423">
        <f t="shared" si="103"/>
        <v>66.22</v>
      </c>
      <c r="Y128" s="236">
        <v>4.18</v>
      </c>
      <c r="Z128" s="236">
        <f t="shared" ca="1" si="129"/>
        <v>7.0000000000000007E-2</v>
      </c>
      <c r="AA128" s="241"/>
      <c r="AF128" s="225">
        <f t="shared" ca="1" si="136"/>
        <v>46236</v>
      </c>
      <c r="AG128" s="225" t="b">
        <f t="shared" si="130"/>
        <v>1</v>
      </c>
      <c r="AH128" s="242" t="str">
        <f t="shared" si="131"/>
        <v/>
      </c>
      <c r="AK128" s="223">
        <f t="shared" si="132"/>
        <v>0</v>
      </c>
      <c r="AL128" s="223">
        <f t="shared" si="133"/>
        <v>1900</v>
      </c>
      <c r="AS128" s="223">
        <f t="shared" si="134"/>
        <v>0</v>
      </c>
      <c r="AT128" s="223">
        <f t="shared" si="135"/>
        <v>0</v>
      </c>
    </row>
    <row r="129" spans="2:46" ht="15.75" x14ac:dyDescent="0.25">
      <c r="B129" s="229" t="s">
        <v>603</v>
      </c>
      <c r="C129" s="427" t="s">
        <v>263</v>
      </c>
      <c r="D129" s="428">
        <v>1761</v>
      </c>
      <c r="E129" s="232" t="s">
        <v>4</v>
      </c>
      <c r="F129" s="233">
        <v>2.61</v>
      </c>
      <c r="G129" s="234">
        <v>46106</v>
      </c>
      <c r="H129" s="235" t="s">
        <v>19</v>
      </c>
      <c r="I129" s="235"/>
      <c r="J129" s="236">
        <v>7.0000000000000007E-2</v>
      </c>
      <c r="K129" s="237">
        <f ca="1">ROUND(IF(ISERROR(OFFSET(Tabella!$A$1,MATCH(H129,Tabella!$A:$A,0)-1,MATCH(J129,Tabella!$A$1:$AC$1,0)-1)=TRUE),0,+OFFSET(Tabella!$A$1,MATCH(H129,Tabella!$A:$A,0)-1,MATCH(J129,Tabella!$A$1:$AC$1,0)-1)),4)</f>
        <v>1.35</v>
      </c>
      <c r="L129" s="238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238">
        <f ca="1">ROUND(IF(ISERROR(OFFSET(Rame!$A$1,MATCH(H129,Rame!$A:$A,0)-1,MATCH(J129,Rame!$A$1:$AA$1,0)-1)=TRUE),0,OFFSET(Rame!$A$1,MATCH(H129,Rame!$A:$A,0)-1,MATCH(J129,Rame!$A$1:$AA$1,0)-1))*IF(E129="Rame",1,0),4)</f>
        <v>0</v>
      </c>
      <c r="N129" s="238">
        <v>0</v>
      </c>
      <c r="O129" s="238">
        <v>1.5</v>
      </c>
      <c r="P129" s="238">
        <f ca="1">ROUND(+IF(ISERROR(OFFSET(Tabella!$G$1,MATCH(H129,Tabella!$G:$G,0)-1,MATCH(I129,Tabella!$G$1:$FG$1,0)-1)=TRUE),0,OFFSET(Tabella!$G$1,MATCH(H129,Tabella!$G:$G,0)-1,MATCH(I129,Tabella!$G$1:$AB$1,0)-1)),4)</f>
        <v>0</v>
      </c>
      <c r="Q129" s="238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238">
        <f ca="1">ROUND(IF(ISERROR(OFFSET(Rame!$F$1,MATCH(H129,Rame!$F:$F,0)-1,MATCH(I129,Rame!$F$1:$FF$1,0)-1)=TRUE),0,OFFSET(Rame!$F$1,MATCH(H129,Rame!$F:$F,0)-1,MATCH(I129,Rame!$F$1:$FF$1,0)-1))*IF(E129="Rame",1,0),4)</f>
        <v>0</v>
      </c>
      <c r="S129" s="238">
        <f ca="1">ROUND(IF(ISERROR(OFFSET(Bronzo!$A$1,MATCH(H129,Bronzo!$A:$A,0)-1,MATCH(I129,Bronzo!$A$1:$AA$1,0)-1)=TRUE),0,OFFSET(Bronzo!$A$1,MATCH(H129,Bronzo!$A:$A,0)-1,MATCH(I129,Bronzo!$A$1:$AA$1,0)-1)),4)</f>
        <v>0</v>
      </c>
      <c r="T129" s="238">
        <f t="shared" ca="1" si="127"/>
        <v>0</v>
      </c>
      <c r="U129" s="237"/>
      <c r="V129" s="238">
        <v>0</v>
      </c>
      <c r="W129" s="239">
        <f t="shared" ca="1" si="128"/>
        <v>1.5</v>
      </c>
      <c r="X129" s="429">
        <f t="shared" si="103"/>
        <v>123.27</v>
      </c>
      <c r="Y129" s="236">
        <v>4.18</v>
      </c>
      <c r="Z129" s="236">
        <f t="shared" ca="1" si="129"/>
        <v>7.0000000000000007E-2</v>
      </c>
      <c r="AA129" s="241"/>
      <c r="AF129" s="225">
        <f t="shared" ca="1" si="136"/>
        <v>46236</v>
      </c>
      <c r="AG129" s="225" t="b">
        <f t="shared" ref="AG129:AG939" si="143">ISBLANK(AA129)</f>
        <v>1</v>
      </c>
      <c r="AH129" s="242" t="str">
        <f t="shared" ref="AH129:AH939" si="144">IF(AG129=FALSE,_xlfn.DAYS(AA129,AF129),"")</f>
        <v/>
      </c>
      <c r="AK129" s="223">
        <f t="shared" ref="AK129:AK939" si="145">WEEKNUM(AA129)</f>
        <v>0</v>
      </c>
      <c r="AL129" s="223">
        <f t="shared" ref="AL129:AL939" si="146">YEAR(AA129)</f>
        <v>1900</v>
      </c>
      <c r="AS129" s="223">
        <f t="shared" si="134"/>
        <v>0</v>
      </c>
      <c r="AT129" s="223">
        <f t="shared" si="135"/>
        <v>0</v>
      </c>
    </row>
    <row r="130" spans="2:46" ht="15.75" x14ac:dyDescent="0.25">
      <c r="B130" s="229" t="s">
        <v>603</v>
      </c>
      <c r="C130" s="427" t="s">
        <v>263</v>
      </c>
      <c r="D130" s="428">
        <v>2688</v>
      </c>
      <c r="E130" s="232" t="s">
        <v>4</v>
      </c>
      <c r="F130" s="233">
        <v>2.61</v>
      </c>
      <c r="G130" s="234">
        <v>46106</v>
      </c>
      <c r="H130" s="235" t="s">
        <v>15</v>
      </c>
      <c r="I130" s="235"/>
      <c r="J130" s="236">
        <v>7.0000000000000007E-2</v>
      </c>
      <c r="K130" s="237">
        <f ca="1">ROUND(IF(ISERROR(OFFSET(Tabella!$A$1,MATCH(H130,Tabella!$A:$A,0)-1,MATCH(J130,Tabella!$A$1:$AC$1,0)-1)=TRUE),0,+OFFSET(Tabella!$A$1,MATCH(H130,Tabella!$A:$A,0)-1,MATCH(J130,Tabella!$A$1:$AC$1,0)-1)),4)</f>
        <v>1.4</v>
      </c>
      <c r="L130" s="238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238">
        <f ca="1">ROUND(IF(ISERROR(OFFSET(Rame!$A$1,MATCH(H130,Rame!$A:$A,0)-1,MATCH(J130,Rame!$A$1:$AA$1,0)-1)=TRUE),0,OFFSET(Rame!$A$1,MATCH(H130,Rame!$A:$A,0)-1,MATCH(J130,Rame!$A$1:$AA$1,0)-1))*IF(E130="Rame",1,0),4)</f>
        <v>0</v>
      </c>
      <c r="N130" s="238">
        <v>0</v>
      </c>
      <c r="O130" s="238">
        <v>1.65</v>
      </c>
      <c r="P130" s="238">
        <f ca="1">ROUND(+IF(ISERROR(OFFSET(Tabella!$G$1,MATCH(H130,Tabella!$G:$G,0)-1,MATCH(I130,Tabella!$G$1:$FG$1,0)-1)=TRUE),0,OFFSET(Tabella!$G$1,MATCH(H130,Tabella!$G:$G,0)-1,MATCH(I130,Tabella!$G$1:$AB$1,0)-1)),4)</f>
        <v>0</v>
      </c>
      <c r="Q130" s="238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238">
        <f ca="1">ROUND(IF(ISERROR(OFFSET(Rame!$F$1,MATCH(H130,Rame!$F:$F,0)-1,MATCH(I130,Rame!$F$1:$FF$1,0)-1)=TRUE),0,OFFSET(Rame!$F$1,MATCH(H130,Rame!$F:$F,0)-1,MATCH(I130,Rame!$F$1:$FF$1,0)-1))*IF(E130="Rame",1,0),4)</f>
        <v>0</v>
      </c>
      <c r="S130" s="238">
        <f ca="1">ROUND(IF(ISERROR(OFFSET(Bronzo!$A$1,MATCH(H130,Bronzo!$A:$A,0)-1,MATCH(I130,Bronzo!$A$1:$AA$1,0)-1)=TRUE),0,OFFSET(Bronzo!$A$1,MATCH(H130,Bronzo!$A:$A,0)-1,MATCH(I130,Bronzo!$A$1:$AA$1,0)-1)),4)</f>
        <v>0</v>
      </c>
      <c r="T130" s="238">
        <f t="shared" ca="1" si="127"/>
        <v>0</v>
      </c>
      <c r="U130" s="237"/>
      <c r="V130" s="238">
        <v>0</v>
      </c>
      <c r="W130" s="239">
        <f t="shared" ca="1" si="128"/>
        <v>1.65</v>
      </c>
      <c r="X130" s="429">
        <f t="shared" si="103"/>
        <v>188.16</v>
      </c>
      <c r="Y130" s="236">
        <v>4.33</v>
      </c>
      <c r="Z130" s="236">
        <f t="shared" ca="1" si="129"/>
        <v>7.0000000000000007E-2</v>
      </c>
      <c r="AA130" s="241"/>
      <c r="AF130" s="225">
        <f t="shared" ca="1" si="136"/>
        <v>46236</v>
      </c>
      <c r="AG130" s="225" t="b">
        <f t="shared" si="143"/>
        <v>1</v>
      </c>
      <c r="AH130" s="242" t="str">
        <f t="shared" si="144"/>
        <v/>
      </c>
      <c r="AK130" s="223">
        <f t="shared" si="145"/>
        <v>0</v>
      </c>
      <c r="AL130" s="223">
        <f t="shared" si="146"/>
        <v>1900</v>
      </c>
      <c r="AS130" s="223">
        <f t="shared" si="134"/>
        <v>0</v>
      </c>
      <c r="AT130" s="223">
        <f t="shared" si="135"/>
        <v>0</v>
      </c>
    </row>
    <row r="131" spans="2:46" ht="15.75" x14ac:dyDescent="0.25">
      <c r="B131" s="229" t="s">
        <v>593</v>
      </c>
      <c r="C131" s="245" t="s">
        <v>212</v>
      </c>
      <c r="D131" s="246">
        <v>428</v>
      </c>
      <c r="E131" s="232" t="s">
        <v>6</v>
      </c>
      <c r="F131" s="233">
        <v>10.47</v>
      </c>
      <c r="G131" s="234">
        <v>46107</v>
      </c>
      <c r="H131" s="235" t="s">
        <v>16</v>
      </c>
      <c r="I131" s="235"/>
      <c r="J131" s="236">
        <v>0.1</v>
      </c>
      <c r="K131" s="237">
        <f ca="1">ROUND(IF(ISERROR(OFFSET(Tabella!$A$1,MATCH(H131,Tabella!$A:$A,0)-1,MATCH(J131,Tabella!$A$1:$AC$1,0)-1)=TRUE),0,+OFFSET(Tabella!$A$1,MATCH(H131,Tabella!$A:$A,0)-1,MATCH(J131,Tabella!$A$1:$AC$1,0)-1)),4)</f>
        <v>0</v>
      </c>
      <c r="L131" s="238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238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238">
        <v>0</v>
      </c>
      <c r="O131" s="238">
        <f ca="1">ROUND(SUM(K131:N131),4)</f>
        <v>0.82</v>
      </c>
      <c r="P131" s="238">
        <f ca="1">ROUND(+IF(ISERROR(OFFSET(Tabella!$G$1,MATCH(H131,Tabella!$G:$G,0)-1,MATCH(I131,Tabella!$G$1:$FG$1,0)-1)=TRUE),0,OFFSET(Tabella!$G$1,MATCH(H131,Tabella!$G:$G,0)-1,MATCH(I131,Tabella!$G$1:$AB$1,0)-1)),4)</f>
        <v>0</v>
      </c>
      <c r="Q131" s="238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238">
        <f ca="1">ROUND(IF(ISERROR(OFFSET(Rame!$F$1,MATCH(H131,Rame!$F:$F,0)-1,MATCH(I131,Rame!$F$1:$FF$1,0)-1)=TRUE),0,OFFSET(Rame!$F$1,MATCH(H131,Rame!$F:$F,0)-1,MATCH(I131,Rame!$F$1:$FF$1,0)-1))*IF(E131="Rame",1,0),4)</f>
        <v>0</v>
      </c>
      <c r="S131" s="238">
        <f ca="1">ROUND(IF(ISERROR(OFFSET(Bronzo!$A$1,MATCH(H131,Bronzo!$A:$A,0)-1,MATCH(I131,Bronzo!$A$1:$AA$1,0)-1)=TRUE),0,OFFSET(Bronzo!$A$1,MATCH(H131,Bronzo!$A:$A,0)-1,MATCH(I131,Bronzo!$A$1:$AA$1,0)-1)),4)</f>
        <v>0</v>
      </c>
      <c r="T131" s="238">
        <f t="shared" ca="1" si="127"/>
        <v>0</v>
      </c>
      <c r="U131" s="237"/>
      <c r="V131" s="238">
        <v>0</v>
      </c>
      <c r="W131" s="239">
        <f t="shared" ca="1" si="128"/>
        <v>0.82</v>
      </c>
      <c r="X131" s="423">
        <f t="shared" si="103"/>
        <v>42.8</v>
      </c>
      <c r="Y131" s="236">
        <v>13.77</v>
      </c>
      <c r="Z131" s="236">
        <f t="shared" ca="1" si="129"/>
        <v>2.48</v>
      </c>
      <c r="AA131" s="241"/>
      <c r="AF131" s="225">
        <f t="shared" ca="1" si="136"/>
        <v>46236</v>
      </c>
      <c r="AG131" s="225" t="b">
        <f t="shared" si="143"/>
        <v>1</v>
      </c>
      <c r="AH131" s="242" t="str">
        <f t="shared" si="144"/>
        <v/>
      </c>
      <c r="AK131" s="223">
        <f t="shared" si="145"/>
        <v>0</v>
      </c>
      <c r="AL131" s="223">
        <f t="shared" si="146"/>
        <v>1900</v>
      </c>
      <c r="AS131" s="223">
        <f t="shared" si="134"/>
        <v>0</v>
      </c>
      <c r="AT131" s="223">
        <f t="shared" si="135"/>
        <v>0</v>
      </c>
    </row>
    <row r="132" spans="2:46" ht="15.75" x14ac:dyDescent="0.25">
      <c r="B132" s="229" t="s">
        <v>699</v>
      </c>
      <c r="C132" s="245" t="s">
        <v>108</v>
      </c>
      <c r="D132" s="246">
        <v>420</v>
      </c>
      <c r="E132" s="232" t="s">
        <v>6</v>
      </c>
      <c r="F132" s="233">
        <v>10.5</v>
      </c>
      <c r="G132" s="234">
        <v>46111</v>
      </c>
      <c r="H132" s="235" t="s">
        <v>18</v>
      </c>
      <c r="I132" s="235"/>
      <c r="J132" s="236">
        <v>0.15</v>
      </c>
      <c r="K132" s="237">
        <f ca="1">ROUND(IF(ISERROR(OFFSET(Tabella!$A$1,MATCH(H132,Tabella!$A:$A,0)-1,MATCH(J132,Tabella!$A$1:$AC$1,0)-1)=TRUE),0,+OFFSET(Tabella!$A$1,MATCH(H132,Tabella!$A:$A,0)-1,MATCH(J132,Tabella!$A$1:$AC$1,0)-1)),4)</f>
        <v>0</v>
      </c>
      <c r="L132" s="238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238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238">
        <v>0</v>
      </c>
      <c r="O132" s="238">
        <f ca="1">ROUND(SUM(K132:N132),4)</f>
        <v>0.82</v>
      </c>
      <c r="P132" s="238">
        <f ca="1">ROUND(+IF(ISERROR(OFFSET(Tabella!$G$1,MATCH(H132,Tabella!$G:$G,0)-1,MATCH(I132,Tabella!$G$1:$FG$1,0)-1)=TRUE),0,OFFSET(Tabella!$G$1,MATCH(H132,Tabella!$G:$G,0)-1,MATCH(I132,Tabella!$G$1:$AB$1,0)-1)),4)</f>
        <v>0</v>
      </c>
      <c r="Q132" s="238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238">
        <f ca="1">ROUND(IF(ISERROR(OFFSET(Rame!$F$1,MATCH(H132,Rame!$F:$F,0)-1,MATCH(I132,Rame!$F$1:$FF$1,0)-1)=TRUE),0,OFFSET(Rame!$F$1,MATCH(H132,Rame!$F:$F,0)-1,MATCH(I132,Rame!$F$1:$FF$1,0)-1))*IF(E132="Rame",1,0),4)</f>
        <v>0</v>
      </c>
      <c r="S132" s="238">
        <f ca="1">ROUND(IF(ISERROR(OFFSET(Bronzo!$A$1,MATCH(H132,Bronzo!$A:$A,0)-1,MATCH(I132,Bronzo!$A$1:$AA$1,0)-1)=TRUE),0,OFFSET(Bronzo!$A$1,MATCH(H132,Bronzo!$A:$A,0)-1,MATCH(I132,Bronzo!$A$1:$AA$1,0)-1)),4)</f>
        <v>0</v>
      </c>
      <c r="T132" s="238">
        <f t="shared" ca="1" si="127"/>
        <v>0</v>
      </c>
      <c r="U132" s="237"/>
      <c r="V132" s="238">
        <v>0</v>
      </c>
      <c r="W132" s="239">
        <f t="shared" ca="1" si="128"/>
        <v>0.82</v>
      </c>
      <c r="X132" s="423">
        <f t="shared" si="103"/>
        <v>63</v>
      </c>
      <c r="Y132" s="236">
        <v>14.05</v>
      </c>
      <c r="Z132" s="236">
        <f t="shared" ca="1" si="129"/>
        <v>2.73</v>
      </c>
      <c r="AA132" s="241"/>
      <c r="AF132" s="225">
        <f t="shared" ca="1" si="136"/>
        <v>46236</v>
      </c>
      <c r="AG132" s="225" t="b">
        <f t="shared" ref="AG132:AG154" si="147">ISBLANK(AA132)</f>
        <v>1</v>
      </c>
      <c r="AH132" s="242"/>
      <c r="AK132" s="223">
        <f t="shared" ref="AK132:AK155" si="148">WEEKNUM(AA132)</f>
        <v>0</v>
      </c>
      <c r="AL132" s="223">
        <f t="shared" ref="AL132:AL155" si="149">YEAR(AA132)</f>
        <v>1900</v>
      </c>
      <c r="AS132" s="223">
        <f t="shared" ref="AS132:AS155" si="150">IF(AA132="",0,MONTH(AA132))</f>
        <v>0</v>
      </c>
      <c r="AT132" s="223">
        <f t="shared" ref="AT132:AT155" si="151">IF(AA132="",0,YEAR(AA132))</f>
        <v>0</v>
      </c>
    </row>
    <row r="133" spans="2:46" ht="15.75" x14ac:dyDescent="0.25">
      <c r="B133" s="229" t="s">
        <v>594</v>
      </c>
      <c r="C133" s="245" t="s">
        <v>108</v>
      </c>
      <c r="D133" s="246">
        <v>318</v>
      </c>
      <c r="E133" s="232" t="s">
        <v>6</v>
      </c>
      <c r="F133" s="233">
        <v>10.5</v>
      </c>
      <c r="G133" s="234">
        <v>46111</v>
      </c>
      <c r="H133" s="235" t="s">
        <v>18</v>
      </c>
      <c r="I133" s="235"/>
      <c r="J133" s="236">
        <v>0.15</v>
      </c>
      <c r="K133" s="237">
        <f ca="1">ROUND(IF(ISERROR(OFFSET(Tabella!$A$1,MATCH(H133,Tabella!$A:$A,0)-1,MATCH(J133,Tabella!$A$1:$AC$1,0)-1)=TRUE),0,+OFFSET(Tabella!$A$1,MATCH(H133,Tabella!$A:$A,0)-1,MATCH(J133,Tabella!$A$1:$AC$1,0)-1)),4)</f>
        <v>0</v>
      </c>
      <c r="L133" s="238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238">
        <f ca="1">ROUND(IF(ISERROR(OFFSET(Rame!$A$1,MATCH(H133,Rame!$A:$A,0)-1,MATCH(J133,Rame!$A$1:$AA$1,0)-1)=TRUE),0,OFFSET(Rame!$A$1,MATCH(H133,Rame!$A:$A,0)-1,MATCH(J133,Rame!$A$1:$AA$1,0)-1))*IF(E133="Rame",1,0),4)</f>
        <v>0.82</v>
      </c>
      <c r="N133" s="238">
        <v>0</v>
      </c>
      <c r="O133" s="238">
        <f ca="1">ROUND(SUM(K133:N133),4)</f>
        <v>0.82</v>
      </c>
      <c r="P133" s="238">
        <f ca="1">ROUND(+IF(ISERROR(OFFSET(Tabella!$G$1,MATCH(H133,Tabella!$G:$G,0)-1,MATCH(I133,Tabella!$G$1:$FG$1,0)-1)=TRUE),0,OFFSET(Tabella!$G$1,MATCH(H133,Tabella!$G:$G,0)-1,MATCH(I133,Tabella!$G$1:$AB$1,0)-1)),4)</f>
        <v>0</v>
      </c>
      <c r="Q133" s="238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238">
        <f ca="1">ROUND(IF(ISERROR(OFFSET(Rame!$F$1,MATCH(H133,Rame!$F:$F,0)-1,MATCH(I133,Rame!$F$1:$FF$1,0)-1)=TRUE),0,OFFSET(Rame!$F$1,MATCH(H133,Rame!$F:$F,0)-1,MATCH(I133,Rame!$F$1:$FF$1,0)-1))*IF(E133="Rame",1,0),4)</f>
        <v>0</v>
      </c>
      <c r="S133" s="238">
        <f ca="1">ROUND(IF(ISERROR(OFFSET(Bronzo!$A$1,MATCH(H133,Bronzo!$A:$A,0)-1,MATCH(I133,Bronzo!$A$1:$AA$1,0)-1)=TRUE),0,OFFSET(Bronzo!$A$1,MATCH(H133,Bronzo!$A:$A,0)-1,MATCH(I133,Bronzo!$A$1:$AA$1,0)-1)),4)</f>
        <v>0</v>
      </c>
      <c r="T133" s="238">
        <f t="shared" ca="1" si="127"/>
        <v>0</v>
      </c>
      <c r="U133" s="237"/>
      <c r="V133" s="238">
        <v>0</v>
      </c>
      <c r="W133" s="239">
        <f t="shared" ca="1" si="128"/>
        <v>0.82</v>
      </c>
      <c r="X133" s="423">
        <f t="shared" si="103"/>
        <v>47.7</v>
      </c>
      <c r="Y133" s="236">
        <v>14.05</v>
      </c>
      <c r="Z133" s="236">
        <f t="shared" ca="1" si="129"/>
        <v>2.73</v>
      </c>
      <c r="AA133" s="241"/>
      <c r="AF133" s="225">
        <f t="shared" ca="1" si="136"/>
        <v>46236</v>
      </c>
      <c r="AG133" s="225" t="b">
        <f t="shared" si="147"/>
        <v>1</v>
      </c>
      <c r="AH133" s="242"/>
      <c r="AK133" s="223">
        <f t="shared" si="148"/>
        <v>0</v>
      </c>
      <c r="AL133" s="223">
        <f t="shared" si="149"/>
        <v>1900</v>
      </c>
      <c r="AS133" s="223">
        <f t="shared" si="150"/>
        <v>0</v>
      </c>
      <c r="AT133" s="223">
        <f t="shared" si="151"/>
        <v>0</v>
      </c>
    </row>
    <row r="134" spans="2:46" ht="15.75" x14ac:dyDescent="0.25">
      <c r="B134" s="229" t="s">
        <v>595</v>
      </c>
      <c r="C134" s="245" t="s">
        <v>212</v>
      </c>
      <c r="D134" s="246">
        <v>2151</v>
      </c>
      <c r="E134" s="232" t="s">
        <v>4</v>
      </c>
      <c r="F134" s="233">
        <v>2.61</v>
      </c>
      <c r="G134" s="234">
        <v>46111</v>
      </c>
      <c r="H134" s="235" t="s">
        <v>21</v>
      </c>
      <c r="I134" s="235"/>
      <c r="J134" s="236">
        <v>0.05</v>
      </c>
      <c r="K134" s="237">
        <f ca="1">ROUND(IF(ISERROR(OFFSET(Tabella!$A$1,MATCH(H134,Tabella!$A:$A,0)-1,MATCH(J134,Tabella!$A$1:$AC$1,0)-1)=TRUE),0,+OFFSET(Tabella!$A$1,MATCH(H134,Tabella!$A:$A,0)-1,MATCH(J134,Tabella!$A$1:$AC$1,0)-1)),4)</f>
        <v>0</v>
      </c>
      <c r="L134" s="238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238">
        <f ca="1">ROUND(IF(ISERROR(OFFSET(Rame!$A$1,MATCH(H134,Rame!$A:$A,0)-1,MATCH(J134,Rame!$A$1:$AA$1,0)-1)=TRUE),0,OFFSET(Rame!$A$1,MATCH(H134,Rame!$A:$A,0)-1,MATCH(J134,Rame!$A$1:$AA$1,0)-1))*IF(E134="Rame",1,0),4)</f>
        <v>0</v>
      </c>
      <c r="N134" s="238">
        <v>0</v>
      </c>
      <c r="O134" s="238">
        <v>1.47</v>
      </c>
      <c r="P134" s="238">
        <f ca="1">ROUND(+IF(ISERROR(OFFSET(Tabella!$G$1,MATCH(H134,Tabella!$G:$G,0)-1,MATCH(I134,Tabella!$G$1:$FG$1,0)-1)=TRUE),0,OFFSET(Tabella!$G$1,MATCH(H134,Tabella!$G:$G,0)-1,MATCH(I134,Tabella!$G$1:$AB$1,0)-1)),4)</f>
        <v>0</v>
      </c>
      <c r="Q134" s="238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238">
        <f ca="1">ROUND(IF(ISERROR(OFFSET(Rame!$F$1,MATCH(H134,Rame!$F:$F,0)-1,MATCH(I134,Rame!$F$1:$FF$1,0)-1)=TRUE),0,OFFSET(Rame!$F$1,MATCH(H134,Rame!$F:$F,0)-1,MATCH(I134,Rame!$F$1:$FF$1,0)-1))*IF(E134="Rame",1,0),4)</f>
        <v>0</v>
      </c>
      <c r="S134" s="238">
        <f ca="1">ROUND(IF(ISERROR(OFFSET(Bronzo!$A$1,MATCH(H134,Bronzo!$A:$A,0)-1,MATCH(I134,Bronzo!$A$1:$AA$1,0)-1)=TRUE),0,OFFSET(Bronzo!$A$1,MATCH(H134,Bronzo!$A:$A,0)-1,MATCH(I134,Bronzo!$A$1:$AA$1,0)-1)),4)</f>
        <v>0</v>
      </c>
      <c r="T134" s="238">
        <f t="shared" ca="1" si="127"/>
        <v>0</v>
      </c>
      <c r="U134" s="237"/>
      <c r="V134" s="238">
        <v>0</v>
      </c>
      <c r="W134" s="239">
        <f t="shared" ca="1" si="128"/>
        <v>1.47</v>
      </c>
      <c r="X134" s="423">
        <f t="shared" si="103"/>
        <v>107.55</v>
      </c>
      <c r="Y134" s="236">
        <v>4.08</v>
      </c>
      <c r="Z134" s="236">
        <f t="shared" ca="1" si="129"/>
        <v>0</v>
      </c>
      <c r="AA134" s="241"/>
      <c r="AF134" s="225">
        <f t="shared" ca="1" si="136"/>
        <v>46236</v>
      </c>
      <c r="AG134" s="225" t="b">
        <f t="shared" si="147"/>
        <v>1</v>
      </c>
      <c r="AH134" s="242"/>
      <c r="AK134" s="223">
        <f t="shared" si="148"/>
        <v>0</v>
      </c>
      <c r="AL134" s="223">
        <f t="shared" si="149"/>
        <v>1900</v>
      </c>
      <c r="AS134" s="223">
        <f t="shared" si="150"/>
        <v>0</v>
      </c>
      <c r="AT134" s="223">
        <f t="shared" si="151"/>
        <v>0</v>
      </c>
    </row>
    <row r="135" spans="2:46" ht="15.75" x14ac:dyDescent="0.25">
      <c r="B135" s="229" t="s">
        <v>596</v>
      </c>
      <c r="C135" s="245" t="s">
        <v>212</v>
      </c>
      <c r="D135" s="246">
        <v>2948</v>
      </c>
      <c r="E135" s="232" t="s">
        <v>4</v>
      </c>
      <c r="F135" s="233">
        <v>2.61</v>
      </c>
      <c r="G135" s="234">
        <v>46111</v>
      </c>
      <c r="H135" s="235" t="s">
        <v>21</v>
      </c>
      <c r="I135" s="235"/>
      <c r="J135" s="236">
        <v>0.05</v>
      </c>
      <c r="K135" s="237">
        <f ca="1">ROUND(IF(ISERROR(OFFSET(Tabella!$A$1,MATCH(H135,Tabella!$A:$A,0)-1,MATCH(J135,Tabella!$A$1:$AC$1,0)-1)=TRUE),0,+OFFSET(Tabella!$A$1,MATCH(H135,Tabella!$A:$A,0)-1,MATCH(J135,Tabella!$A$1:$AC$1,0)-1)),4)</f>
        <v>0</v>
      </c>
      <c r="L135" s="238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238">
        <f ca="1">ROUND(IF(ISERROR(OFFSET(Rame!$A$1,MATCH(H135,Rame!$A:$A,0)-1,MATCH(J135,Rame!$A$1:$AA$1,0)-1)=TRUE),0,OFFSET(Rame!$A$1,MATCH(H135,Rame!$A:$A,0)-1,MATCH(J135,Rame!$A$1:$AA$1,0)-1))*IF(E135="Rame",1,0),4)</f>
        <v>0</v>
      </c>
      <c r="N135" s="238">
        <v>0</v>
      </c>
      <c r="O135" s="238">
        <v>1.47</v>
      </c>
      <c r="P135" s="238">
        <f ca="1">ROUND(+IF(ISERROR(OFFSET(Tabella!$G$1,MATCH(H135,Tabella!$G:$G,0)-1,MATCH(I135,Tabella!$G$1:$FG$1,0)-1)=TRUE),0,OFFSET(Tabella!$G$1,MATCH(H135,Tabella!$G:$G,0)-1,MATCH(I135,Tabella!$G$1:$AB$1,0)-1)),4)</f>
        <v>0</v>
      </c>
      <c r="Q135" s="238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238">
        <f ca="1">ROUND(IF(ISERROR(OFFSET(Rame!$F$1,MATCH(H135,Rame!$F:$F,0)-1,MATCH(I135,Rame!$F$1:$FF$1,0)-1)=TRUE),0,OFFSET(Rame!$F$1,MATCH(H135,Rame!$F:$F,0)-1,MATCH(I135,Rame!$F$1:$FF$1,0)-1))*IF(E135="Rame",1,0),4)</f>
        <v>0</v>
      </c>
      <c r="S135" s="238">
        <f ca="1">ROUND(IF(ISERROR(OFFSET(Bronzo!$A$1,MATCH(H135,Bronzo!$A:$A,0)-1,MATCH(I135,Bronzo!$A$1:$AA$1,0)-1)=TRUE),0,OFFSET(Bronzo!$A$1,MATCH(H135,Bronzo!$A:$A,0)-1,MATCH(I135,Bronzo!$A$1:$AA$1,0)-1)),4)</f>
        <v>0</v>
      </c>
      <c r="T135" s="238">
        <f t="shared" ca="1" si="127"/>
        <v>0</v>
      </c>
      <c r="U135" s="237"/>
      <c r="V135" s="238">
        <v>0</v>
      </c>
      <c r="W135" s="239">
        <f t="shared" ca="1" si="128"/>
        <v>1.47</v>
      </c>
      <c r="X135" s="423">
        <f t="shared" ref="X135:X199" si="152">ROUND(+J135*D135,4)</f>
        <v>147.4</v>
      </c>
      <c r="Y135" s="236">
        <v>4.08</v>
      </c>
      <c r="Z135" s="236">
        <f t="shared" ca="1" si="129"/>
        <v>0</v>
      </c>
      <c r="AA135" s="241"/>
      <c r="AF135" s="225">
        <f t="shared" ca="1" si="136"/>
        <v>46236</v>
      </c>
      <c r="AG135" s="225" t="b">
        <f t="shared" si="147"/>
        <v>1</v>
      </c>
      <c r="AH135" s="242"/>
      <c r="AK135" s="223">
        <f t="shared" si="148"/>
        <v>0</v>
      </c>
      <c r="AL135" s="223">
        <f t="shared" si="149"/>
        <v>1900</v>
      </c>
      <c r="AS135" s="223">
        <f t="shared" si="150"/>
        <v>0</v>
      </c>
      <c r="AT135" s="223">
        <f t="shared" si="151"/>
        <v>0</v>
      </c>
    </row>
    <row r="136" spans="2:46" ht="15.75" x14ac:dyDescent="0.25">
      <c r="B136" s="229" t="s">
        <v>597</v>
      </c>
      <c r="C136" s="245" t="s">
        <v>212</v>
      </c>
      <c r="D136" s="246">
        <v>603</v>
      </c>
      <c r="E136" s="232" t="s">
        <v>4</v>
      </c>
      <c r="F136" s="233">
        <v>2.61</v>
      </c>
      <c r="G136" s="234">
        <v>46111</v>
      </c>
      <c r="H136" s="235" t="s">
        <v>13</v>
      </c>
      <c r="I136" s="235"/>
      <c r="J136" s="236">
        <v>0.05</v>
      </c>
      <c r="K136" s="237">
        <f ca="1">ROUND(IF(ISERROR(OFFSET(Tabella!$A$1,MATCH(H136,Tabella!$A:$A,0)-1,MATCH(J136,Tabella!$A$1:$AC$1,0)-1)=TRUE),0,+OFFSET(Tabella!$A$1,MATCH(H136,Tabella!$A:$A,0)-1,MATCH(J136,Tabella!$A$1:$AC$1,0)-1)),4)</f>
        <v>0</v>
      </c>
      <c r="L136" s="238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238">
        <f ca="1">ROUND(IF(ISERROR(OFFSET(Rame!$A$1,MATCH(H136,Rame!$A:$A,0)-1,MATCH(J136,Rame!$A$1:$AA$1,0)-1)=TRUE),0,OFFSET(Rame!$A$1,MATCH(H136,Rame!$A:$A,0)-1,MATCH(J136,Rame!$A$1:$AA$1,0)-1))*IF(E136="Rame",1,0),4)</f>
        <v>0</v>
      </c>
      <c r="N136" s="238">
        <v>0</v>
      </c>
      <c r="O136" s="238">
        <v>1.57</v>
      </c>
      <c r="P136" s="238">
        <f ca="1">ROUND(+IF(ISERROR(OFFSET(Tabella!$G$1,MATCH(H136,Tabella!$G:$G,0)-1,MATCH(I136,Tabella!$G$1:$FG$1,0)-1)=TRUE),0,OFFSET(Tabella!$G$1,MATCH(H136,Tabella!$G:$G,0)-1,MATCH(I136,Tabella!$G$1:$AB$1,0)-1)),4)</f>
        <v>0</v>
      </c>
      <c r="Q136" s="238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238">
        <f ca="1">ROUND(IF(ISERROR(OFFSET(Rame!$F$1,MATCH(H136,Rame!$F:$F,0)-1,MATCH(I136,Rame!$F$1:$FF$1,0)-1)=TRUE),0,OFFSET(Rame!$F$1,MATCH(H136,Rame!$F:$F,0)-1,MATCH(I136,Rame!$F$1:$FF$1,0)-1))*IF(E136="Rame",1,0),4)</f>
        <v>0</v>
      </c>
      <c r="S136" s="238">
        <f ca="1">ROUND(IF(ISERROR(OFFSET(Bronzo!$A$1,MATCH(H136,Bronzo!$A:$A,0)-1,MATCH(I136,Bronzo!$A$1:$AA$1,0)-1)=TRUE),0,OFFSET(Bronzo!$A$1,MATCH(H136,Bronzo!$A:$A,0)-1,MATCH(I136,Bronzo!$A$1:$AA$1,0)-1)),4)</f>
        <v>0</v>
      </c>
      <c r="T136" s="238">
        <f t="shared" ca="1" si="127"/>
        <v>0</v>
      </c>
      <c r="U136" s="237"/>
      <c r="V136" s="238">
        <v>0</v>
      </c>
      <c r="W136" s="239">
        <f t="shared" ca="1" si="128"/>
        <v>1.57</v>
      </c>
      <c r="X136" s="423">
        <f t="shared" si="152"/>
        <v>30.15</v>
      </c>
      <c r="Y136" s="236">
        <v>4.18</v>
      </c>
      <c r="Z136" s="236">
        <f t="shared" ca="1" si="129"/>
        <v>0</v>
      </c>
      <c r="AA136" s="241"/>
      <c r="AF136" s="225">
        <f t="shared" ca="1" si="136"/>
        <v>46236</v>
      </c>
      <c r="AG136" s="225" t="b">
        <f t="shared" si="147"/>
        <v>1</v>
      </c>
      <c r="AH136" s="242"/>
      <c r="AK136" s="223">
        <f t="shared" si="148"/>
        <v>0</v>
      </c>
      <c r="AL136" s="223">
        <f t="shared" si="149"/>
        <v>1900</v>
      </c>
      <c r="AS136" s="223">
        <f t="shared" si="150"/>
        <v>0</v>
      </c>
      <c r="AT136" s="223">
        <f t="shared" si="151"/>
        <v>0</v>
      </c>
    </row>
    <row r="137" spans="2:46" ht="15.75" x14ac:dyDescent="0.25">
      <c r="B137" s="229" t="s">
        <v>598</v>
      </c>
      <c r="C137" s="245" t="s">
        <v>102</v>
      </c>
      <c r="D137" s="246">
        <v>1037</v>
      </c>
      <c r="E137" s="232" t="s">
        <v>4</v>
      </c>
      <c r="F137" s="233">
        <v>2.8</v>
      </c>
      <c r="G137" s="234">
        <v>46112</v>
      </c>
      <c r="H137" s="235" t="s">
        <v>30</v>
      </c>
      <c r="I137" s="235"/>
      <c r="J137" s="236">
        <v>0.1</v>
      </c>
      <c r="K137" s="237">
        <f ca="1">ROUND(IF(ISERROR(OFFSET(Tabella!$A$1,MATCH(H137,Tabella!$A:$A,0)-1,MATCH(J137,Tabella!$A$1:$AC$1,0)-1)=TRUE),0,+OFFSET(Tabella!$A$1,MATCH(H137,Tabella!$A:$A,0)-1,MATCH(J137,Tabella!$A$1:$AC$1,0)-1)),4)</f>
        <v>1.5</v>
      </c>
      <c r="L137" s="238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238">
        <f ca="1">ROUND(IF(ISERROR(OFFSET(Rame!$A$1,MATCH(H137,Rame!$A:$A,0)-1,MATCH(J137,Rame!$A$1:$AA$1,0)-1)=TRUE),0,OFFSET(Rame!$A$1,MATCH(H137,Rame!$A:$A,0)-1,MATCH(J137,Rame!$A$1:$AA$1,0)-1))*IF(E137="Rame",1,0),4)</f>
        <v>0</v>
      </c>
      <c r="N137" s="238">
        <v>0</v>
      </c>
      <c r="O137" s="238">
        <f ca="1">ROUND(SUM(K137:N137),4)</f>
        <v>1.5</v>
      </c>
      <c r="P137" s="238">
        <f ca="1">ROUND(+IF(ISERROR(OFFSET(Tabella!$G$1,MATCH(H137,Tabella!$G:$G,0)-1,MATCH(I137,Tabella!$G$1:$FG$1,0)-1)=TRUE),0,OFFSET(Tabella!$G$1,MATCH(H137,Tabella!$G:$G,0)-1,MATCH(I137,Tabella!$G$1:$AB$1,0)-1)),4)</f>
        <v>0</v>
      </c>
      <c r="Q137" s="238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238">
        <f ca="1">ROUND(IF(ISERROR(OFFSET(Rame!$F$1,MATCH(H137,Rame!$F:$F,0)-1,MATCH(I137,Rame!$F$1:$FF$1,0)-1)=TRUE),0,OFFSET(Rame!$F$1,MATCH(H137,Rame!$F:$F,0)-1,MATCH(I137,Rame!$F$1:$FF$1,0)-1))*IF(E137="Rame",1,0),4)</f>
        <v>0</v>
      </c>
      <c r="S137" s="238">
        <f ca="1">ROUND(IF(ISERROR(OFFSET(Bronzo!$A$1,MATCH(H137,Bronzo!$A:$A,0)-1,MATCH(I137,Bronzo!$A$1:$AA$1,0)-1)=TRUE),0,OFFSET(Bronzo!$A$1,MATCH(H137,Bronzo!$A:$A,0)-1,MATCH(I137,Bronzo!$A$1:$AA$1,0)-1)),4)</f>
        <v>0</v>
      </c>
      <c r="T137" s="238">
        <f t="shared" ca="1" si="127"/>
        <v>0</v>
      </c>
      <c r="U137" s="237"/>
      <c r="V137" s="238">
        <v>0</v>
      </c>
      <c r="W137" s="239">
        <f t="shared" ca="1" si="128"/>
        <v>1.5</v>
      </c>
      <c r="X137" s="423">
        <f t="shared" si="152"/>
        <v>103.7</v>
      </c>
      <c r="Y137" s="236">
        <v>4.5</v>
      </c>
      <c r="Z137" s="236">
        <f t="shared" ca="1" si="129"/>
        <v>0.2</v>
      </c>
      <c r="AA137" s="241"/>
      <c r="AF137" s="225">
        <f t="shared" ca="1" si="136"/>
        <v>46236</v>
      </c>
      <c r="AG137" s="225" t="b">
        <f t="shared" si="147"/>
        <v>1</v>
      </c>
      <c r="AH137" s="242"/>
      <c r="AK137" s="223">
        <f t="shared" si="148"/>
        <v>0</v>
      </c>
      <c r="AL137" s="223">
        <f t="shared" si="149"/>
        <v>1900</v>
      </c>
      <c r="AS137" s="223">
        <f t="shared" si="150"/>
        <v>0</v>
      </c>
      <c r="AT137" s="223">
        <f t="shared" si="151"/>
        <v>0</v>
      </c>
    </row>
    <row r="138" spans="2:46" ht="15.75" x14ac:dyDescent="0.25">
      <c r="B138" s="229" t="s">
        <v>598</v>
      </c>
      <c r="C138" s="245" t="s">
        <v>102</v>
      </c>
      <c r="D138" s="246">
        <v>625</v>
      </c>
      <c r="E138" s="232" t="s">
        <v>4</v>
      </c>
      <c r="F138" s="233">
        <v>2.8</v>
      </c>
      <c r="G138" s="234">
        <v>46112</v>
      </c>
      <c r="H138" s="235" t="s">
        <v>30</v>
      </c>
      <c r="I138" s="235"/>
      <c r="J138" s="236">
        <v>0.1</v>
      </c>
      <c r="K138" s="237">
        <f ca="1">ROUND(IF(ISERROR(OFFSET(Tabella!$A$1,MATCH(H138,Tabella!$A:$A,0)-1,MATCH(J138,Tabella!$A$1:$AC$1,0)-1)=TRUE),0,+OFFSET(Tabella!$A$1,MATCH(H138,Tabella!$A:$A,0)-1,MATCH(J138,Tabella!$A$1:$AC$1,0)-1)),4)</f>
        <v>1.5</v>
      </c>
      <c r="L138" s="238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238">
        <f ca="1">ROUND(IF(ISERROR(OFFSET(Rame!$A$1,MATCH(H138,Rame!$A:$A,0)-1,MATCH(J138,Rame!$A$1:$AA$1,0)-1)=TRUE),0,OFFSET(Rame!$A$1,MATCH(H138,Rame!$A:$A,0)-1,MATCH(J138,Rame!$A$1:$AA$1,0)-1))*IF(E138="Rame",1,0),4)</f>
        <v>0</v>
      </c>
      <c r="N138" s="238">
        <v>0</v>
      </c>
      <c r="O138" s="238">
        <f ca="1">ROUND(SUM(K138:N138),4)</f>
        <v>1.5</v>
      </c>
      <c r="P138" s="238">
        <f ca="1">ROUND(+IF(ISERROR(OFFSET(Tabella!$G$1,MATCH(H138,Tabella!$G:$G,0)-1,MATCH(I138,Tabella!$G$1:$FG$1,0)-1)=TRUE),0,OFFSET(Tabella!$G$1,MATCH(H138,Tabella!$G:$G,0)-1,MATCH(I138,Tabella!$G$1:$AB$1,0)-1)),4)</f>
        <v>0</v>
      </c>
      <c r="Q138" s="238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238">
        <f ca="1">ROUND(IF(ISERROR(OFFSET(Rame!$F$1,MATCH(H138,Rame!$F:$F,0)-1,MATCH(I138,Rame!$F$1:$FF$1,0)-1)=TRUE),0,OFFSET(Rame!$F$1,MATCH(H138,Rame!$F:$F,0)-1,MATCH(I138,Rame!$F$1:$FF$1,0)-1))*IF(E138="Rame",1,0),4)</f>
        <v>0</v>
      </c>
      <c r="S138" s="238">
        <f ca="1">ROUND(IF(ISERROR(OFFSET(Bronzo!$A$1,MATCH(H138,Bronzo!$A:$A,0)-1,MATCH(I138,Bronzo!$A$1:$AA$1,0)-1)=TRUE),0,OFFSET(Bronzo!$A$1,MATCH(H138,Bronzo!$A:$A,0)-1,MATCH(I138,Bronzo!$A$1:$AA$1,0)-1)),4)</f>
        <v>0</v>
      </c>
      <c r="T138" s="238">
        <f t="shared" ca="1" si="127"/>
        <v>0</v>
      </c>
      <c r="U138" s="237"/>
      <c r="V138" s="238">
        <v>0</v>
      </c>
      <c r="W138" s="239">
        <f t="shared" ca="1" si="128"/>
        <v>1.5</v>
      </c>
      <c r="X138" s="423">
        <f t="shared" si="152"/>
        <v>62.5</v>
      </c>
      <c r="Y138" s="236">
        <v>4.5</v>
      </c>
      <c r="Z138" s="236">
        <f t="shared" ca="1" si="129"/>
        <v>0.2</v>
      </c>
      <c r="AA138" s="241"/>
      <c r="AF138" s="225">
        <f t="shared" ca="1" si="136"/>
        <v>46236</v>
      </c>
      <c r="AG138" s="225" t="b">
        <f t="shared" si="147"/>
        <v>1</v>
      </c>
      <c r="AH138" s="242"/>
      <c r="AK138" s="223">
        <f t="shared" si="148"/>
        <v>0</v>
      </c>
      <c r="AL138" s="223">
        <f t="shared" si="149"/>
        <v>1900</v>
      </c>
      <c r="AS138" s="223">
        <f t="shared" si="150"/>
        <v>0</v>
      </c>
      <c r="AT138" s="223">
        <f t="shared" si="151"/>
        <v>0</v>
      </c>
    </row>
    <row r="139" spans="2:46" ht="15.75" x14ac:dyDescent="0.25">
      <c r="B139" s="229" t="s">
        <v>476</v>
      </c>
      <c r="C139" s="230" t="s">
        <v>102</v>
      </c>
      <c r="D139" s="231">
        <v>400</v>
      </c>
      <c r="E139" s="232" t="s">
        <v>4</v>
      </c>
      <c r="F139" s="233">
        <v>2.8</v>
      </c>
      <c r="G139" s="234">
        <v>46112</v>
      </c>
      <c r="H139" s="235" t="s">
        <v>30</v>
      </c>
      <c r="I139" s="235"/>
      <c r="J139" s="236">
        <v>0.1</v>
      </c>
      <c r="K139" s="237">
        <f ca="1">ROUND(IF(ISERROR(OFFSET(Tabella!$A$1,MATCH(H139,Tabella!$A:$A,0)-1,MATCH(J139,Tabella!$A$1:$AC$1,0)-1)=TRUE),0,+OFFSET(Tabella!$A$1,MATCH(H139,Tabella!$A:$A,0)-1,MATCH(J139,Tabella!$A$1:$AC$1,0)-1)),4)</f>
        <v>1.5</v>
      </c>
      <c r="L139" s="238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238">
        <f ca="1">ROUND(IF(ISERROR(OFFSET(Rame!$A$1,MATCH(H139,Rame!$A:$A,0)-1,MATCH(J139,Rame!$A$1:$AA$1,0)-1)=TRUE),0,OFFSET(Rame!$A$1,MATCH(H139,Rame!$A:$A,0)-1,MATCH(J139,Rame!$A$1:$AA$1,0)-1))*IF(E139="Rame",1,0),4)</f>
        <v>0</v>
      </c>
      <c r="N139" s="238">
        <v>0</v>
      </c>
      <c r="O139" s="238">
        <f ca="1">ROUND(SUM(K139:N139),4)</f>
        <v>1.5</v>
      </c>
      <c r="P139" s="238">
        <f ca="1">ROUND(+IF(ISERROR(OFFSET(Tabella!$G$1,MATCH(H139,Tabella!$G:$G,0)-1,MATCH(I139,Tabella!$G$1:$FG$1,0)-1)=TRUE),0,OFFSET(Tabella!$G$1,MATCH(H139,Tabella!$G:$G,0)-1,MATCH(I139,Tabella!$G$1:$AB$1,0)-1)),4)</f>
        <v>0</v>
      </c>
      <c r="Q139" s="238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238">
        <f ca="1">ROUND(IF(ISERROR(OFFSET(Rame!$F$1,MATCH(H139,Rame!$F:$F,0)-1,MATCH(I139,Rame!$F$1:$FF$1,0)-1)=TRUE),0,OFFSET(Rame!$F$1,MATCH(H139,Rame!$F:$F,0)-1,MATCH(I139,Rame!$F$1:$FF$1,0)-1))*IF(E139="Rame",1,0),4)</f>
        <v>0</v>
      </c>
      <c r="S139" s="238">
        <f ca="1">ROUND(IF(ISERROR(OFFSET(Bronzo!$A$1,MATCH(H139,Bronzo!$A:$A,0)-1,MATCH(I139,Bronzo!$A$1:$AA$1,0)-1)=TRUE),0,OFFSET(Bronzo!$A$1,MATCH(H139,Bronzo!$A:$A,0)-1,MATCH(I139,Bronzo!$A$1:$AA$1,0)-1)),4)</f>
        <v>0</v>
      </c>
      <c r="T139" s="238">
        <f t="shared" ca="1" si="127"/>
        <v>0</v>
      </c>
      <c r="U139" s="237"/>
      <c r="V139" s="238">
        <v>0</v>
      </c>
      <c r="W139" s="239">
        <f t="shared" ca="1" si="128"/>
        <v>1.5</v>
      </c>
      <c r="X139" s="240">
        <f t="shared" si="152"/>
        <v>40</v>
      </c>
      <c r="Y139" s="236">
        <v>4.5</v>
      </c>
      <c r="Z139" s="236">
        <f t="shared" ca="1" si="129"/>
        <v>0.2</v>
      </c>
      <c r="AA139" s="241">
        <v>46176</v>
      </c>
      <c r="AE139" s="223" t="s">
        <v>525</v>
      </c>
      <c r="AF139" s="225">
        <f t="shared" ca="1" si="136"/>
        <v>46236</v>
      </c>
      <c r="AG139" s="225" t="b">
        <f t="shared" ref="AG139" si="153">ISBLANK(AA139)</f>
        <v>0</v>
      </c>
      <c r="AH139" s="242"/>
      <c r="AK139" s="223">
        <f t="shared" ref="AK139" si="154">WEEKNUM(AA139)</f>
        <v>23</v>
      </c>
      <c r="AL139" s="223">
        <f t="shared" ref="AL139" si="155">YEAR(AA139)</f>
        <v>2026</v>
      </c>
      <c r="AS139" s="223">
        <f t="shared" ref="AS139" si="156">IF(AA139="",0,MONTH(AA139))</f>
        <v>6</v>
      </c>
      <c r="AT139" s="223">
        <f t="shared" ref="AT139" si="157">IF(AA139="",0,YEAR(AA139))</f>
        <v>2026</v>
      </c>
    </row>
    <row r="140" spans="2:46" ht="15.75" x14ac:dyDescent="0.25">
      <c r="B140" s="229" t="s">
        <v>598</v>
      </c>
      <c r="C140" s="245" t="s">
        <v>102</v>
      </c>
      <c r="D140" s="246">
        <v>940</v>
      </c>
      <c r="E140" s="232" t="s">
        <v>4</v>
      </c>
      <c r="F140" s="233">
        <v>2.8</v>
      </c>
      <c r="G140" s="234">
        <v>46112</v>
      </c>
      <c r="H140" s="235" t="s">
        <v>30</v>
      </c>
      <c r="I140" s="235"/>
      <c r="J140" s="236">
        <v>0.1</v>
      </c>
      <c r="K140" s="237">
        <f ca="1">ROUND(IF(ISERROR(OFFSET(Tabella!$A$1,MATCH(H140,Tabella!$A:$A,0)-1,MATCH(J140,Tabella!$A$1:$AC$1,0)-1)=TRUE),0,+OFFSET(Tabella!$A$1,MATCH(H140,Tabella!$A:$A,0)-1,MATCH(J140,Tabella!$A$1:$AC$1,0)-1)),4)</f>
        <v>1.5</v>
      </c>
      <c r="L140" s="238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238">
        <f ca="1">ROUND(IF(ISERROR(OFFSET(Rame!$A$1,MATCH(H140,Rame!$A:$A,0)-1,MATCH(J140,Rame!$A$1:$AA$1,0)-1)=TRUE),0,OFFSET(Rame!$A$1,MATCH(H140,Rame!$A:$A,0)-1,MATCH(J140,Rame!$A$1:$AA$1,0)-1))*IF(E140="Rame",1,0),4)</f>
        <v>0</v>
      </c>
      <c r="N140" s="238">
        <v>0</v>
      </c>
      <c r="O140" s="238">
        <f ca="1">ROUND(SUM(K140:N140),4)</f>
        <v>1.5</v>
      </c>
      <c r="P140" s="238">
        <f ca="1">ROUND(+IF(ISERROR(OFFSET(Tabella!$G$1,MATCH(H140,Tabella!$G:$G,0)-1,MATCH(I140,Tabella!$G$1:$FG$1,0)-1)=TRUE),0,OFFSET(Tabella!$G$1,MATCH(H140,Tabella!$G:$G,0)-1,MATCH(I140,Tabella!$G$1:$AB$1,0)-1)),4)</f>
        <v>0</v>
      </c>
      <c r="Q140" s="238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238">
        <f ca="1">ROUND(IF(ISERROR(OFFSET(Rame!$F$1,MATCH(H140,Rame!$F:$F,0)-1,MATCH(I140,Rame!$F$1:$FF$1,0)-1)=TRUE),0,OFFSET(Rame!$F$1,MATCH(H140,Rame!$F:$F,0)-1,MATCH(I140,Rame!$F$1:$FF$1,0)-1))*IF(E140="Rame",1,0),4)</f>
        <v>0</v>
      </c>
      <c r="S140" s="238">
        <f ca="1">ROUND(IF(ISERROR(OFFSET(Bronzo!$A$1,MATCH(H140,Bronzo!$A:$A,0)-1,MATCH(I140,Bronzo!$A$1:$AA$1,0)-1)=TRUE),0,OFFSET(Bronzo!$A$1,MATCH(H140,Bronzo!$A:$A,0)-1,MATCH(I140,Bronzo!$A$1:$AA$1,0)-1)),4)</f>
        <v>0</v>
      </c>
      <c r="T140" s="238">
        <f t="shared" ca="1" si="127"/>
        <v>0</v>
      </c>
      <c r="U140" s="237"/>
      <c r="V140" s="238">
        <v>0</v>
      </c>
      <c r="W140" s="239">
        <f t="shared" ca="1" si="128"/>
        <v>1.5</v>
      </c>
      <c r="X140" s="423">
        <f t="shared" si="152"/>
        <v>94</v>
      </c>
      <c r="Y140" s="236">
        <v>4.5</v>
      </c>
      <c r="Z140" s="236">
        <f t="shared" ca="1" si="129"/>
        <v>0.2</v>
      </c>
      <c r="AA140" s="241"/>
      <c r="AF140" s="225">
        <f t="shared" ca="1" si="136"/>
        <v>46236</v>
      </c>
      <c r="AG140" s="225" t="b">
        <f t="shared" si="147"/>
        <v>1</v>
      </c>
      <c r="AH140" s="242"/>
      <c r="AK140" s="223">
        <f t="shared" si="148"/>
        <v>0</v>
      </c>
      <c r="AL140" s="223">
        <f t="shared" si="149"/>
        <v>1900</v>
      </c>
      <c r="AS140" s="223">
        <f t="shared" si="150"/>
        <v>0</v>
      </c>
      <c r="AT140" s="223">
        <f t="shared" si="151"/>
        <v>0</v>
      </c>
    </row>
    <row r="141" spans="2:46" ht="15.75" x14ac:dyDescent="0.25">
      <c r="B141" s="229" t="s">
        <v>599</v>
      </c>
      <c r="C141" s="245" t="s">
        <v>263</v>
      </c>
      <c r="D141" s="246">
        <v>1145</v>
      </c>
      <c r="E141" s="232" t="s">
        <v>4</v>
      </c>
      <c r="F141" s="233">
        <v>2.61</v>
      </c>
      <c r="G141" s="234">
        <v>46112</v>
      </c>
      <c r="H141" s="235" t="s">
        <v>15</v>
      </c>
      <c r="I141" s="235"/>
      <c r="J141" s="236">
        <v>7.0000000000000007E-2</v>
      </c>
      <c r="K141" s="237">
        <f ca="1">ROUND(IF(ISERROR(OFFSET(Tabella!$A$1,MATCH(H141,Tabella!$A:$A,0)-1,MATCH(J141,Tabella!$A$1:$AC$1,0)-1)=TRUE),0,+OFFSET(Tabella!$A$1,MATCH(H141,Tabella!$A:$A,0)-1,MATCH(J141,Tabella!$A$1:$AC$1,0)-1)),4)</f>
        <v>1.4</v>
      </c>
      <c r="L141" s="238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238">
        <f ca="1">ROUND(IF(ISERROR(OFFSET(Rame!$A$1,MATCH(H141,Rame!$A:$A,0)-1,MATCH(J141,Rame!$A$1:$AA$1,0)-1)=TRUE),0,OFFSET(Rame!$A$1,MATCH(H141,Rame!$A:$A,0)-1,MATCH(J141,Rame!$A$1:$AA$1,0)-1))*IF(E141="Rame",1,0),4)</f>
        <v>0</v>
      </c>
      <c r="N141" s="238">
        <v>0</v>
      </c>
      <c r="O141" s="238">
        <v>1.65</v>
      </c>
      <c r="P141" s="238">
        <f ca="1">ROUND(+IF(ISERROR(OFFSET(Tabella!$G$1,MATCH(H141,Tabella!$G:$G,0)-1,MATCH(I141,Tabella!$G$1:$FG$1,0)-1)=TRUE),0,OFFSET(Tabella!$G$1,MATCH(H141,Tabella!$G:$G,0)-1,MATCH(I141,Tabella!$G$1:$AB$1,0)-1)),4)</f>
        <v>0</v>
      </c>
      <c r="Q141" s="238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238">
        <f ca="1">ROUND(IF(ISERROR(OFFSET(Rame!$F$1,MATCH(H141,Rame!$F:$F,0)-1,MATCH(I141,Rame!$F$1:$FF$1,0)-1)=TRUE),0,OFFSET(Rame!$F$1,MATCH(H141,Rame!$F:$F,0)-1,MATCH(I141,Rame!$F$1:$FF$1,0)-1))*IF(E141="Rame",1,0),4)</f>
        <v>0</v>
      </c>
      <c r="S141" s="238">
        <f ca="1">ROUND(IF(ISERROR(OFFSET(Bronzo!$A$1,MATCH(H141,Bronzo!$A:$A,0)-1,MATCH(I141,Bronzo!$A$1:$AA$1,0)-1)=TRUE),0,OFFSET(Bronzo!$A$1,MATCH(H141,Bronzo!$A:$A,0)-1,MATCH(I141,Bronzo!$A$1:$AA$1,0)-1)),4)</f>
        <v>0</v>
      </c>
      <c r="T141" s="238">
        <f t="shared" ca="1" si="127"/>
        <v>0</v>
      </c>
      <c r="U141" s="237"/>
      <c r="V141" s="238">
        <v>0</v>
      </c>
      <c r="W141" s="239">
        <f t="shared" ca="1" si="128"/>
        <v>1.65</v>
      </c>
      <c r="X141" s="423">
        <f t="shared" si="152"/>
        <v>80.150000000000006</v>
      </c>
      <c r="Y141" s="236">
        <v>4.33</v>
      </c>
      <c r="Z141" s="236">
        <f t="shared" ca="1" si="129"/>
        <v>7.0000000000000007E-2</v>
      </c>
      <c r="AA141" s="241"/>
      <c r="AF141" s="225">
        <f t="shared" ca="1" si="136"/>
        <v>46236</v>
      </c>
      <c r="AG141" s="225" t="b">
        <f t="shared" si="147"/>
        <v>1</v>
      </c>
      <c r="AH141" s="242"/>
      <c r="AK141" s="223">
        <f t="shared" si="148"/>
        <v>0</v>
      </c>
      <c r="AL141" s="223">
        <f t="shared" si="149"/>
        <v>1900</v>
      </c>
      <c r="AS141" s="223">
        <f t="shared" si="150"/>
        <v>0</v>
      </c>
      <c r="AT141" s="223">
        <f t="shared" si="151"/>
        <v>0</v>
      </c>
    </row>
    <row r="142" spans="2:46" ht="15.75" x14ac:dyDescent="0.25">
      <c r="B142" s="229" t="s">
        <v>600</v>
      </c>
      <c r="C142" s="245" t="s">
        <v>102</v>
      </c>
      <c r="D142" s="246">
        <v>946</v>
      </c>
      <c r="E142" s="232" t="s">
        <v>4</v>
      </c>
      <c r="F142" s="233">
        <v>3</v>
      </c>
      <c r="G142" s="234">
        <v>46114</v>
      </c>
      <c r="H142" s="235" t="s">
        <v>30</v>
      </c>
      <c r="I142" s="235"/>
      <c r="J142" s="236">
        <v>0.1</v>
      </c>
      <c r="K142" s="237">
        <f ca="1">ROUND(IF(ISERROR(OFFSET(Tabella!$A$1,MATCH(H142,Tabella!$A:$A,0)-1,MATCH(J142,Tabella!$A$1:$AC$1,0)-1)=TRUE),0,+OFFSET(Tabella!$A$1,MATCH(H142,Tabella!$A:$A,0)-1,MATCH(J142,Tabella!$A$1:$AC$1,0)-1)),4)</f>
        <v>1.5</v>
      </c>
      <c r="L142" s="238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238">
        <f ca="1">ROUND(IF(ISERROR(OFFSET(Rame!$A$1,MATCH(H142,Rame!$A:$A,0)-1,MATCH(J142,Rame!$A$1:$AA$1,0)-1)=TRUE),0,OFFSET(Rame!$A$1,MATCH(H142,Rame!$A:$A,0)-1,MATCH(J142,Rame!$A$1:$AA$1,0)-1))*IF(E142="Rame",1,0),4)</f>
        <v>0</v>
      </c>
      <c r="N142" s="238">
        <v>0</v>
      </c>
      <c r="O142" s="238">
        <f t="shared" ref="O142:O148" ca="1" si="158">ROUND(SUM(K142:N142),4)</f>
        <v>1.5</v>
      </c>
      <c r="P142" s="238">
        <f ca="1">ROUND(+IF(ISERROR(OFFSET(Tabella!$G$1,MATCH(H142,Tabella!$G:$G,0)-1,MATCH(I142,Tabella!$G$1:$FG$1,0)-1)=TRUE),0,OFFSET(Tabella!$G$1,MATCH(H142,Tabella!$G:$G,0)-1,MATCH(I142,Tabella!$G$1:$AB$1,0)-1)),4)</f>
        <v>0</v>
      </c>
      <c r="Q142" s="238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238">
        <f ca="1">ROUND(IF(ISERROR(OFFSET(Rame!$F$1,MATCH(H142,Rame!$F:$F,0)-1,MATCH(I142,Rame!$F$1:$FF$1,0)-1)=TRUE),0,OFFSET(Rame!$F$1,MATCH(H142,Rame!$F:$F,0)-1,MATCH(I142,Rame!$F$1:$FF$1,0)-1))*IF(E142="Rame",1,0),4)</f>
        <v>0</v>
      </c>
      <c r="S142" s="238">
        <f ca="1">ROUND(IF(ISERROR(OFFSET(Bronzo!$A$1,MATCH(H142,Bronzo!$A:$A,0)-1,MATCH(I142,Bronzo!$A$1:$AA$1,0)-1)=TRUE),0,OFFSET(Bronzo!$A$1,MATCH(H142,Bronzo!$A:$A,0)-1,MATCH(I142,Bronzo!$A$1:$AA$1,0)-1)),4)</f>
        <v>0</v>
      </c>
      <c r="T142" s="238">
        <f t="shared" ca="1" si="127"/>
        <v>0</v>
      </c>
      <c r="U142" s="237"/>
      <c r="V142" s="238">
        <v>0</v>
      </c>
      <c r="W142" s="239">
        <f t="shared" ca="1" si="128"/>
        <v>1.5</v>
      </c>
      <c r="X142" s="423">
        <f t="shared" si="152"/>
        <v>94.6</v>
      </c>
      <c r="Y142" s="236">
        <v>4.5</v>
      </c>
      <c r="Z142" s="236">
        <f t="shared" ca="1" si="129"/>
        <v>0</v>
      </c>
      <c r="AA142" s="241"/>
      <c r="AF142" s="225">
        <f t="shared" ca="1" si="136"/>
        <v>46236</v>
      </c>
      <c r="AG142" s="225" t="b">
        <f t="shared" si="147"/>
        <v>1</v>
      </c>
      <c r="AH142" s="242"/>
      <c r="AK142" s="223">
        <f t="shared" si="148"/>
        <v>0</v>
      </c>
      <c r="AL142" s="223">
        <f t="shared" si="149"/>
        <v>1900</v>
      </c>
      <c r="AS142" s="223">
        <f t="shared" si="150"/>
        <v>0</v>
      </c>
      <c r="AT142" s="223">
        <f t="shared" si="151"/>
        <v>0</v>
      </c>
    </row>
    <row r="143" spans="2:46" ht="15.75" x14ac:dyDescent="0.25">
      <c r="B143" s="229" t="s">
        <v>477</v>
      </c>
      <c r="C143" s="235" t="s">
        <v>102</v>
      </c>
      <c r="D143" s="243">
        <v>1000</v>
      </c>
      <c r="E143" s="232" t="s">
        <v>4</v>
      </c>
      <c r="F143" s="233">
        <v>3</v>
      </c>
      <c r="G143" s="234">
        <v>46114</v>
      </c>
      <c r="H143" s="235" t="s">
        <v>30</v>
      </c>
      <c r="I143" s="235"/>
      <c r="J143" s="236">
        <v>0.1</v>
      </c>
      <c r="K143" s="237">
        <f ca="1">ROUND(IF(ISERROR(OFFSET(Tabella!$A$1,MATCH(H143,Tabella!$A:$A,0)-1,MATCH(J143,Tabella!$A$1:$AC$1,0)-1)=TRUE),0,+OFFSET(Tabella!$A$1,MATCH(H143,Tabella!$A:$A,0)-1,MATCH(J143,Tabella!$A$1:$AC$1,0)-1)),4)</f>
        <v>1.5</v>
      </c>
      <c r="L143" s="238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238">
        <f ca="1">ROUND(IF(ISERROR(OFFSET(Rame!$A$1,MATCH(H143,Rame!$A:$A,0)-1,MATCH(J143,Rame!$A$1:$AA$1,0)-1)=TRUE),0,OFFSET(Rame!$A$1,MATCH(H143,Rame!$A:$A,0)-1,MATCH(J143,Rame!$A$1:$AA$1,0)-1))*IF(E143="Rame",1,0),4)</f>
        <v>0</v>
      </c>
      <c r="N143" s="238">
        <v>0</v>
      </c>
      <c r="O143" s="238">
        <f t="shared" ca="1" si="158"/>
        <v>1.5</v>
      </c>
      <c r="P143" s="238">
        <f ca="1">ROUND(+IF(ISERROR(OFFSET(Tabella!$G$1,MATCH(H143,Tabella!$G:$G,0)-1,MATCH(I143,Tabella!$G$1:$FG$1,0)-1)=TRUE),0,OFFSET(Tabella!$G$1,MATCH(H143,Tabella!$G:$G,0)-1,MATCH(I143,Tabella!$G$1:$AB$1,0)-1)),4)</f>
        <v>0</v>
      </c>
      <c r="Q143" s="238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238">
        <f ca="1">ROUND(IF(ISERROR(OFFSET(Rame!$F$1,MATCH(H143,Rame!$F:$F,0)-1,MATCH(I143,Rame!$F$1:$FF$1,0)-1)=TRUE),0,OFFSET(Rame!$F$1,MATCH(H143,Rame!$F:$F,0)-1,MATCH(I143,Rame!$F$1:$FF$1,0)-1))*IF(E143="Rame",1,0),4)</f>
        <v>0</v>
      </c>
      <c r="S143" s="238">
        <f ca="1">ROUND(IF(ISERROR(OFFSET(Bronzo!$A$1,MATCH(H143,Bronzo!$A:$A,0)-1,MATCH(I143,Bronzo!$A$1:$AA$1,0)-1)=TRUE),0,OFFSET(Bronzo!$A$1,MATCH(H143,Bronzo!$A:$A,0)-1,MATCH(I143,Bronzo!$A$1:$AA$1,0)-1)),4)</f>
        <v>0</v>
      </c>
      <c r="T143" s="238">
        <f t="shared" ca="1" si="127"/>
        <v>0</v>
      </c>
      <c r="U143" s="237"/>
      <c r="V143" s="238">
        <v>0</v>
      </c>
      <c r="W143" s="239">
        <f t="shared" ca="1" si="128"/>
        <v>1.5</v>
      </c>
      <c r="X143" s="240">
        <f t="shared" si="152"/>
        <v>100</v>
      </c>
      <c r="Y143" s="236">
        <v>4.5</v>
      </c>
      <c r="Z143" s="236">
        <f t="shared" ca="1" si="129"/>
        <v>0</v>
      </c>
      <c r="AA143" s="241">
        <v>46176</v>
      </c>
      <c r="AE143" s="223" t="s">
        <v>448</v>
      </c>
      <c r="AF143" s="225">
        <f t="shared" ca="1" si="136"/>
        <v>46236</v>
      </c>
      <c r="AG143" s="225" t="b">
        <f t="shared" si="147"/>
        <v>0</v>
      </c>
      <c r="AH143" s="242"/>
      <c r="AK143" s="223">
        <f t="shared" si="148"/>
        <v>23</v>
      </c>
      <c r="AL143" s="223">
        <f t="shared" si="149"/>
        <v>2026</v>
      </c>
      <c r="AS143" s="223">
        <f t="shared" si="150"/>
        <v>6</v>
      </c>
      <c r="AT143" s="223">
        <f t="shared" si="151"/>
        <v>2026</v>
      </c>
    </row>
    <row r="144" spans="2:46" ht="15.75" x14ac:dyDescent="0.25">
      <c r="B144" s="229" t="s">
        <v>477</v>
      </c>
      <c r="C144" s="235" t="s">
        <v>102</v>
      </c>
      <c r="D144" s="243">
        <v>1000</v>
      </c>
      <c r="E144" s="232" t="s">
        <v>4</v>
      </c>
      <c r="F144" s="233">
        <v>3</v>
      </c>
      <c r="G144" s="234">
        <v>46114</v>
      </c>
      <c r="H144" s="235" t="s">
        <v>30</v>
      </c>
      <c r="I144" s="235"/>
      <c r="J144" s="236">
        <v>0.1</v>
      </c>
      <c r="K144" s="237">
        <f ca="1">ROUND(IF(ISERROR(OFFSET(Tabella!$A$1,MATCH(H144,Tabella!$A:$A,0)-1,MATCH(J144,Tabella!$A$1:$AC$1,0)-1)=TRUE),0,+OFFSET(Tabella!$A$1,MATCH(H144,Tabella!$A:$A,0)-1,MATCH(J144,Tabella!$A$1:$AC$1,0)-1)),4)</f>
        <v>1.5</v>
      </c>
      <c r="L144" s="238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238">
        <f ca="1">ROUND(IF(ISERROR(OFFSET(Rame!$A$1,MATCH(H144,Rame!$A:$A,0)-1,MATCH(J144,Rame!$A$1:$AA$1,0)-1)=TRUE),0,OFFSET(Rame!$A$1,MATCH(H144,Rame!$A:$A,0)-1,MATCH(J144,Rame!$A$1:$AA$1,0)-1))*IF(E144="Rame",1,0),4)</f>
        <v>0</v>
      </c>
      <c r="N144" s="238">
        <v>0</v>
      </c>
      <c r="O144" s="238">
        <f t="shared" ca="1" si="158"/>
        <v>1.5</v>
      </c>
      <c r="P144" s="238">
        <f ca="1">ROUND(+IF(ISERROR(OFFSET(Tabella!$G$1,MATCH(H144,Tabella!$G:$G,0)-1,MATCH(I144,Tabella!$G$1:$FG$1,0)-1)=TRUE),0,OFFSET(Tabella!$G$1,MATCH(H144,Tabella!$G:$G,0)-1,MATCH(I144,Tabella!$G$1:$AB$1,0)-1)),4)</f>
        <v>0</v>
      </c>
      <c r="Q144" s="238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238">
        <f ca="1">ROUND(IF(ISERROR(OFFSET(Rame!$F$1,MATCH(H144,Rame!$F:$F,0)-1,MATCH(I144,Rame!$F$1:$FF$1,0)-1)=TRUE),0,OFFSET(Rame!$F$1,MATCH(H144,Rame!$F:$F,0)-1,MATCH(I144,Rame!$F$1:$FF$1,0)-1))*IF(E144="Rame",1,0),4)</f>
        <v>0</v>
      </c>
      <c r="S144" s="238">
        <f ca="1">ROUND(IF(ISERROR(OFFSET(Bronzo!$A$1,MATCH(H144,Bronzo!$A:$A,0)-1,MATCH(I144,Bronzo!$A$1:$AA$1,0)-1)=TRUE),0,OFFSET(Bronzo!$A$1,MATCH(H144,Bronzo!$A:$A,0)-1,MATCH(I144,Bronzo!$A$1:$AA$1,0)-1)),4)</f>
        <v>0</v>
      </c>
      <c r="T144" s="238">
        <f t="shared" ca="1" si="127"/>
        <v>0</v>
      </c>
      <c r="U144" s="237"/>
      <c r="V144" s="238">
        <v>0</v>
      </c>
      <c r="W144" s="239">
        <f t="shared" ca="1" si="128"/>
        <v>1.5</v>
      </c>
      <c r="X144" s="240">
        <f t="shared" si="152"/>
        <v>100</v>
      </c>
      <c r="Y144" s="236">
        <v>4.5</v>
      </c>
      <c r="Z144" s="236">
        <f t="shared" ca="1" si="129"/>
        <v>0</v>
      </c>
      <c r="AA144" s="241">
        <v>46176</v>
      </c>
      <c r="AE144" s="223" t="s">
        <v>448</v>
      </c>
      <c r="AF144" s="225">
        <f t="shared" ca="1" si="136"/>
        <v>46236</v>
      </c>
      <c r="AG144" s="225" t="b">
        <f t="shared" si="147"/>
        <v>0</v>
      </c>
      <c r="AH144" s="242"/>
      <c r="AK144" s="223">
        <f t="shared" si="148"/>
        <v>23</v>
      </c>
      <c r="AL144" s="223">
        <f t="shared" si="149"/>
        <v>2026</v>
      </c>
      <c r="AS144" s="223">
        <f t="shared" si="150"/>
        <v>6</v>
      </c>
      <c r="AT144" s="223">
        <f t="shared" si="151"/>
        <v>2026</v>
      </c>
    </row>
    <row r="145" spans="2:46" ht="15.75" x14ac:dyDescent="0.25">
      <c r="B145" s="229" t="s">
        <v>474</v>
      </c>
      <c r="C145" s="235" t="s">
        <v>219</v>
      </c>
      <c r="D145" s="243">
        <v>1000</v>
      </c>
      <c r="E145" s="232" t="s">
        <v>6</v>
      </c>
      <c r="F145" s="233">
        <v>10.57</v>
      </c>
      <c r="G145" s="234">
        <v>46114</v>
      </c>
      <c r="H145" s="235" t="s">
        <v>12</v>
      </c>
      <c r="I145" s="235"/>
      <c r="J145" s="236">
        <v>0.15</v>
      </c>
      <c r="K145" s="237">
        <f ca="1">ROUND(IF(ISERROR(OFFSET(Tabella!$A$1,MATCH(H145,Tabella!$A:$A,0)-1,MATCH(J145,Tabella!$A$1:$AC$1,0)-1)=TRUE),0,+OFFSET(Tabella!$A$1,MATCH(H145,Tabella!$A:$A,0)-1,MATCH(J145,Tabella!$A$1:$AC$1,0)-1)),4)</f>
        <v>0</v>
      </c>
      <c r="L145" s="238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238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238">
        <v>0</v>
      </c>
      <c r="O145" s="238">
        <f t="shared" ca="1" si="158"/>
        <v>1.25</v>
      </c>
      <c r="P145" s="238">
        <f ca="1">ROUND(+IF(ISERROR(OFFSET(Tabella!$G$1,MATCH(H145,Tabella!$G:$G,0)-1,MATCH(I145,Tabella!$G$1:$FG$1,0)-1)=TRUE),0,OFFSET(Tabella!$G$1,MATCH(H145,Tabella!$G:$G,0)-1,MATCH(I145,Tabella!$G$1:$AB$1,0)-1)),4)</f>
        <v>0</v>
      </c>
      <c r="Q145" s="238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238">
        <f ca="1">ROUND(IF(ISERROR(OFFSET(Rame!$F$1,MATCH(H145,Rame!$F:$F,0)-1,MATCH(I145,Rame!$F$1:$FF$1,0)-1)=TRUE),0,OFFSET(Rame!$F$1,MATCH(H145,Rame!$F:$F,0)-1,MATCH(I145,Rame!$F$1:$FF$1,0)-1))*IF(E145="Rame",1,0),4)</f>
        <v>0</v>
      </c>
      <c r="S145" s="238">
        <f ca="1">ROUND(IF(ISERROR(OFFSET(Bronzo!$A$1,MATCH(H145,Bronzo!$A:$A,0)-1,MATCH(I145,Bronzo!$A$1:$AA$1,0)-1)=TRUE),0,OFFSET(Bronzo!$A$1,MATCH(H145,Bronzo!$A:$A,0)-1,MATCH(I145,Bronzo!$A$1:$AA$1,0)-1)),4)</f>
        <v>0</v>
      </c>
      <c r="T145" s="238">
        <f t="shared" ca="1" si="127"/>
        <v>0</v>
      </c>
      <c r="U145" s="237"/>
      <c r="V145" s="238">
        <v>0</v>
      </c>
      <c r="W145" s="239">
        <f t="shared" ca="1" si="128"/>
        <v>1.25</v>
      </c>
      <c r="X145" s="240">
        <f t="shared" si="152"/>
        <v>150</v>
      </c>
      <c r="Y145" s="236">
        <v>14.3</v>
      </c>
      <c r="Z145" s="236">
        <f t="shared" ca="1" si="129"/>
        <v>2.48</v>
      </c>
      <c r="AA145" s="241">
        <v>46169</v>
      </c>
      <c r="AF145" s="225">
        <f t="shared" ca="1" si="136"/>
        <v>46236</v>
      </c>
      <c r="AG145" s="225" t="b">
        <f t="shared" si="147"/>
        <v>0</v>
      </c>
      <c r="AH145" s="242"/>
      <c r="AK145" s="223">
        <f t="shared" si="148"/>
        <v>22</v>
      </c>
      <c r="AL145" s="223">
        <f t="shared" si="149"/>
        <v>2026</v>
      </c>
      <c r="AS145" s="223">
        <f t="shared" si="150"/>
        <v>5</v>
      </c>
      <c r="AT145" s="223">
        <f t="shared" si="151"/>
        <v>2026</v>
      </c>
    </row>
    <row r="146" spans="2:46" ht="15.75" x14ac:dyDescent="0.25">
      <c r="B146" s="229" t="s">
        <v>473</v>
      </c>
      <c r="C146" s="235" t="s">
        <v>219</v>
      </c>
      <c r="D146" s="243">
        <v>1000</v>
      </c>
      <c r="E146" s="232" t="s">
        <v>6</v>
      </c>
      <c r="F146" s="244">
        <v>3.7</v>
      </c>
      <c r="G146" s="234">
        <v>46114</v>
      </c>
      <c r="H146" s="235" t="s">
        <v>12</v>
      </c>
      <c r="I146" s="235"/>
      <c r="J146" s="236">
        <v>0.15</v>
      </c>
      <c r="K146" s="237">
        <f ca="1">ROUND(IF(ISERROR(OFFSET(Tabella!$A$1,MATCH(H146,Tabella!$A:$A,0)-1,MATCH(J146,Tabella!$A$1:$AC$1,0)-1)=TRUE),0,+OFFSET(Tabella!$A$1,MATCH(H146,Tabella!$A:$A,0)-1,MATCH(J146,Tabella!$A$1:$AC$1,0)-1)),4)</f>
        <v>0</v>
      </c>
      <c r="L146" s="238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238">
        <f ca="1">ROUND(IF(ISERROR(OFFSET(Rame!$A$1,MATCH(H146,Rame!$A:$A,0)-1,MATCH(J146,Rame!$A$1:$AA$1,0)-1)=TRUE),0,OFFSET(Rame!$A$1,MATCH(H146,Rame!$A:$A,0)-1,MATCH(J146,Rame!$A$1:$AA$1,0)-1))*IF(E146="Rame",1,0),4)</f>
        <v>1.25</v>
      </c>
      <c r="N146" s="238">
        <v>0</v>
      </c>
      <c r="O146" s="238">
        <f t="shared" ca="1" si="158"/>
        <v>1.25</v>
      </c>
      <c r="P146" s="238">
        <f ca="1">ROUND(+IF(ISERROR(OFFSET(Tabella!$G$1,MATCH(H146,Tabella!$G:$G,0)-1,MATCH(I146,Tabella!$G$1:$FG$1,0)-1)=TRUE),0,OFFSET(Tabella!$G$1,MATCH(H146,Tabella!$G:$G,0)-1,MATCH(I146,Tabella!$G$1:$AB$1,0)-1)),4)</f>
        <v>0</v>
      </c>
      <c r="Q146" s="238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238">
        <f ca="1">ROUND(IF(ISERROR(OFFSET(Rame!$F$1,MATCH(H146,Rame!$F:$F,0)-1,MATCH(I146,Rame!$F$1:$FF$1,0)-1)=TRUE),0,OFFSET(Rame!$F$1,MATCH(H146,Rame!$F:$F,0)-1,MATCH(I146,Rame!$F$1:$FF$1,0)-1))*IF(E146="Rame",1,0),4)</f>
        <v>0</v>
      </c>
      <c r="S146" s="238">
        <f ca="1">ROUND(IF(ISERROR(OFFSET(Bronzo!$A$1,MATCH(H146,Bronzo!$A:$A,0)-1,MATCH(I146,Bronzo!$A$1:$AA$1,0)-1)=TRUE),0,OFFSET(Bronzo!$A$1,MATCH(H146,Bronzo!$A:$A,0)-1,MATCH(I146,Bronzo!$A$1:$AA$1,0)-1)),4)</f>
        <v>0</v>
      </c>
      <c r="T146" s="238">
        <f t="shared" ca="1" si="127"/>
        <v>0</v>
      </c>
      <c r="U146" s="237"/>
      <c r="V146" s="238">
        <v>0</v>
      </c>
      <c r="W146" s="239">
        <f t="shared" ca="1" si="128"/>
        <v>1.25</v>
      </c>
      <c r="X146" s="240">
        <f t="shared" si="152"/>
        <v>150</v>
      </c>
      <c r="Y146" s="425">
        <v>3.7</v>
      </c>
      <c r="Z146" s="236">
        <f t="shared" ca="1" si="129"/>
        <v>-1.25</v>
      </c>
      <c r="AA146" s="241">
        <v>46281</v>
      </c>
      <c r="AF146" s="225">
        <f t="shared" ca="1" si="136"/>
        <v>46236</v>
      </c>
      <c r="AG146" s="225" t="b">
        <f t="shared" si="147"/>
        <v>0</v>
      </c>
      <c r="AH146" s="242"/>
      <c r="AK146" s="223">
        <f t="shared" si="148"/>
        <v>38</v>
      </c>
      <c r="AL146" s="223">
        <f t="shared" si="149"/>
        <v>2026</v>
      </c>
      <c r="AS146" s="223">
        <f t="shared" si="150"/>
        <v>9</v>
      </c>
      <c r="AT146" s="223">
        <f t="shared" si="151"/>
        <v>2026</v>
      </c>
    </row>
    <row r="147" spans="2:46" ht="15.75" x14ac:dyDescent="0.25">
      <c r="B147" s="229" t="s">
        <v>637</v>
      </c>
      <c r="C147" s="245" t="s">
        <v>297</v>
      </c>
      <c r="D147" s="246">
        <v>1364</v>
      </c>
      <c r="E147" s="232" t="s">
        <v>4</v>
      </c>
      <c r="F147" s="233">
        <v>3.03</v>
      </c>
      <c r="G147" s="234">
        <v>46114</v>
      </c>
      <c r="H147" s="235" t="s">
        <v>19</v>
      </c>
      <c r="I147" s="235"/>
      <c r="J147" s="236">
        <v>7.0000000000000007E-2</v>
      </c>
      <c r="K147" s="237">
        <f ca="1">ROUND(IF(ISERROR(OFFSET(Tabella!$A$1,MATCH(H147,Tabella!$A:$A,0)-1,MATCH(J147,Tabella!$A$1:$AC$1,0)-1)=TRUE),0,+OFFSET(Tabella!$A$1,MATCH(H147,Tabella!$A:$A,0)-1,MATCH(J147,Tabella!$A$1:$AC$1,0)-1)),4)</f>
        <v>1.35</v>
      </c>
      <c r="L147" s="238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238">
        <f ca="1">ROUND(IF(ISERROR(OFFSET(Rame!$A$1,MATCH(H147,Rame!$A:$A,0)-1,MATCH(J147,Rame!$A$1:$AA$1,0)-1)=TRUE),0,OFFSET(Rame!$A$1,MATCH(H147,Rame!$A:$A,0)-1,MATCH(J147,Rame!$A$1:$AA$1,0)-1))*IF(E147="Rame",1,0),4)</f>
        <v>0</v>
      </c>
      <c r="N147" s="238">
        <v>0</v>
      </c>
      <c r="O147" s="238">
        <f t="shared" ca="1" si="158"/>
        <v>1.35</v>
      </c>
      <c r="P147" s="238">
        <f ca="1">ROUND(+IF(ISERROR(OFFSET(Tabella!$G$1,MATCH(H147,Tabella!$G:$G,0)-1,MATCH(I147,Tabella!$G$1:$FG$1,0)-1)=TRUE),0,OFFSET(Tabella!$G$1,MATCH(H147,Tabella!$G:$G,0)-1,MATCH(I147,Tabella!$G$1:$AB$1,0)-1)),4)</f>
        <v>0</v>
      </c>
      <c r="Q147" s="238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238">
        <f ca="1">ROUND(IF(ISERROR(OFFSET(Rame!$F$1,MATCH(H147,Rame!$F:$F,0)-1,MATCH(I147,Rame!$F$1:$FF$1,0)-1)=TRUE),0,OFFSET(Rame!$F$1,MATCH(H147,Rame!$F:$F,0)-1,MATCH(I147,Rame!$F$1:$FF$1,0)-1))*IF(E147="Rame",1,0),4)</f>
        <v>0</v>
      </c>
      <c r="S147" s="238">
        <f ca="1">ROUND(IF(ISERROR(OFFSET(Bronzo!$A$1,MATCH(H147,Bronzo!$A:$A,0)-1,MATCH(I147,Bronzo!$A$1:$AA$1,0)-1)=TRUE),0,OFFSET(Bronzo!$A$1,MATCH(H147,Bronzo!$A:$A,0)-1,MATCH(I147,Bronzo!$A$1:$AA$1,0)-1)),4)</f>
        <v>0</v>
      </c>
      <c r="T147" s="238">
        <f t="shared" ca="1" si="127"/>
        <v>0</v>
      </c>
      <c r="U147" s="237"/>
      <c r="V147" s="238">
        <v>0</v>
      </c>
      <c r="W147" s="239">
        <f t="shared" ca="1" si="128"/>
        <v>1.35</v>
      </c>
      <c r="X147" s="423">
        <f t="shared" si="152"/>
        <v>95.48</v>
      </c>
      <c r="Y147" s="236">
        <v>4.7</v>
      </c>
      <c r="Z147" s="236">
        <f t="shared" ca="1" si="129"/>
        <v>0.32</v>
      </c>
      <c r="AA147" s="241"/>
      <c r="AE147" s="223" t="s">
        <v>659</v>
      </c>
      <c r="AF147" s="225">
        <f t="shared" ca="1" si="136"/>
        <v>46236</v>
      </c>
      <c r="AG147" s="225" t="b">
        <f t="shared" si="147"/>
        <v>1</v>
      </c>
      <c r="AH147" s="242"/>
      <c r="AK147" s="223">
        <f t="shared" si="148"/>
        <v>0</v>
      </c>
      <c r="AL147" s="223">
        <f t="shared" si="149"/>
        <v>1900</v>
      </c>
      <c r="AS147" s="223">
        <f t="shared" si="150"/>
        <v>0</v>
      </c>
      <c r="AT147" s="223">
        <f t="shared" si="151"/>
        <v>0</v>
      </c>
    </row>
    <row r="148" spans="2:46" ht="15.75" x14ac:dyDescent="0.25">
      <c r="B148" s="229" t="s">
        <v>481</v>
      </c>
      <c r="C148" s="235" t="s">
        <v>92</v>
      </c>
      <c r="D148" s="243">
        <v>600</v>
      </c>
      <c r="E148" s="232" t="s">
        <v>4</v>
      </c>
      <c r="F148" s="233">
        <v>2.97</v>
      </c>
      <c r="G148" s="234">
        <v>46114</v>
      </c>
      <c r="H148" s="235" t="s">
        <v>26</v>
      </c>
      <c r="I148" s="235"/>
      <c r="J148" s="236">
        <v>7.0000000000000007E-2</v>
      </c>
      <c r="K148" s="237">
        <f ca="1">ROUND(IF(ISERROR(OFFSET(Tabella!$A$1,MATCH(H148,Tabella!$A:$A,0)-1,MATCH(J148,Tabella!$A$1:$AC$1,0)-1)=TRUE),0,+OFFSET(Tabella!$A$1,MATCH(H148,Tabella!$A:$A,0)-1,MATCH(J148,Tabella!$A$1:$AC$1,0)-1)),4)</f>
        <v>1.25</v>
      </c>
      <c r="L148" s="238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238">
        <f ca="1">ROUND(IF(ISERROR(OFFSET(Rame!$A$1,MATCH(H148,Rame!$A:$A,0)-1,MATCH(J148,Rame!$A$1:$AA$1,0)-1)=TRUE),0,OFFSET(Rame!$A$1,MATCH(H148,Rame!$A:$A,0)-1,MATCH(J148,Rame!$A$1:$AA$1,0)-1))*IF(E148="Rame",1,0),4)</f>
        <v>0</v>
      </c>
      <c r="N148" s="238">
        <v>0</v>
      </c>
      <c r="O148" s="238">
        <f t="shared" ca="1" si="158"/>
        <v>1.25</v>
      </c>
      <c r="P148" s="238">
        <f ca="1">ROUND(+IF(ISERROR(OFFSET(Tabella!$G$1,MATCH(H148,Tabella!$G:$G,0)-1,MATCH(I148,Tabella!$G$1:$FG$1,0)-1)=TRUE),0,OFFSET(Tabella!$G$1,MATCH(H148,Tabella!$G:$G,0)-1,MATCH(I148,Tabella!$G$1:$AB$1,0)-1)),4)</f>
        <v>0</v>
      </c>
      <c r="Q148" s="238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238">
        <f ca="1">ROUND(IF(ISERROR(OFFSET(Rame!$F$1,MATCH(H148,Rame!$F:$F,0)-1,MATCH(I148,Rame!$F$1:$FF$1,0)-1)=TRUE),0,OFFSET(Rame!$F$1,MATCH(H148,Rame!$F:$F,0)-1,MATCH(I148,Rame!$F$1:$FF$1,0)-1))*IF(E148="Rame",1,0),4)</f>
        <v>0</v>
      </c>
      <c r="S148" s="238">
        <f ca="1">ROUND(IF(ISERROR(OFFSET(Bronzo!$A$1,MATCH(H148,Bronzo!$A:$A,0)-1,MATCH(I148,Bronzo!$A$1:$AA$1,0)-1)=TRUE),0,OFFSET(Bronzo!$A$1,MATCH(H148,Bronzo!$A:$A,0)-1,MATCH(I148,Bronzo!$A$1:$AA$1,0)-1)),4)</f>
        <v>0</v>
      </c>
      <c r="T148" s="238">
        <f t="shared" ca="1" si="127"/>
        <v>0</v>
      </c>
      <c r="U148" s="237"/>
      <c r="V148" s="238">
        <v>0</v>
      </c>
      <c r="W148" s="239">
        <f t="shared" ca="1" si="128"/>
        <v>1.25</v>
      </c>
      <c r="X148" s="240">
        <f t="shared" si="152"/>
        <v>42</v>
      </c>
      <c r="Y148" s="236">
        <v>4.57</v>
      </c>
      <c r="Z148" s="236">
        <f t="shared" ca="1" si="129"/>
        <v>0.35</v>
      </c>
      <c r="AA148" s="241"/>
      <c r="AE148" s="223" t="s">
        <v>417</v>
      </c>
      <c r="AF148" s="225">
        <f t="shared" ca="1" si="136"/>
        <v>46236</v>
      </c>
      <c r="AG148" s="225" t="b">
        <f t="shared" ref="AG148" si="159">ISBLANK(AA148)</f>
        <v>1</v>
      </c>
      <c r="AH148" s="242"/>
      <c r="AK148" s="223">
        <f t="shared" ref="AK148" si="160">WEEKNUM(AA148)</f>
        <v>0</v>
      </c>
      <c r="AL148" s="223">
        <f t="shared" ref="AL148" si="161">YEAR(AA148)</f>
        <v>1900</v>
      </c>
      <c r="AS148" s="223">
        <f t="shared" ref="AS148" si="162">IF(AA148="",0,MONTH(AA148))</f>
        <v>0</v>
      </c>
      <c r="AT148" s="223">
        <f t="shared" ref="AT148" si="163">IF(AA148="",0,YEAR(AA148))</f>
        <v>0</v>
      </c>
    </row>
    <row r="149" spans="2:46" ht="15.75" x14ac:dyDescent="0.25">
      <c r="B149" s="229" t="s">
        <v>482</v>
      </c>
      <c r="C149" s="235" t="s">
        <v>102</v>
      </c>
      <c r="D149" s="243">
        <v>900</v>
      </c>
      <c r="E149" s="232" t="s">
        <v>4</v>
      </c>
      <c r="F149" s="233">
        <v>2.65</v>
      </c>
      <c r="G149" s="234">
        <v>46050</v>
      </c>
      <c r="H149" s="235" t="s">
        <v>26</v>
      </c>
      <c r="I149" s="235"/>
      <c r="J149" s="236">
        <v>7.0000000000000007E-2</v>
      </c>
      <c r="K149" s="237">
        <f ca="1">ROUND(IF(ISERROR(OFFSET(Tabella!$A$1,MATCH(H149,Tabella!$A:$A,0)-1,MATCH(J149,Tabella!$A$1:$AC$1,0)-1)=TRUE),0,+OFFSET(Tabella!$A$1,MATCH(H149,Tabella!$A:$A,0)-1,MATCH(J149,Tabella!$A$1:$AC$1,0)-1)),4)</f>
        <v>1.25</v>
      </c>
      <c r="L149" s="238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238">
        <f ca="1">ROUND(IF(ISERROR(OFFSET(Rame!$A$1,MATCH(H149,Rame!$A:$A,0)-1,MATCH(J149,Rame!$A$1:$AA$1,0)-1)=TRUE),0,OFFSET(Rame!$A$1,MATCH(H149,Rame!$A:$A,0)-1,MATCH(J149,Rame!$A$1:$AA$1,0)-1))*IF(E149="Rame",1,0),4)</f>
        <v>0</v>
      </c>
      <c r="N149" s="238">
        <v>0</v>
      </c>
      <c r="O149" s="238">
        <v>1.6</v>
      </c>
      <c r="P149" s="238">
        <f ca="1">ROUND(+IF(ISERROR(OFFSET(Tabella!$G$1,MATCH(H149,Tabella!$G:$G,0)-1,MATCH(I149,Tabella!$G$1:$FG$1,0)-1)=TRUE),0,OFFSET(Tabella!$G$1,MATCH(H149,Tabella!$G:$G,0)-1,MATCH(I149,Tabella!$G$1:$AB$1,0)-1)),4)</f>
        <v>0</v>
      </c>
      <c r="Q149" s="238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238">
        <f ca="1">ROUND(IF(ISERROR(OFFSET(Rame!$F$1,MATCH(H149,Rame!$F:$F,0)-1,MATCH(I149,Rame!$F$1:$FF$1,0)-1)=TRUE),0,OFFSET(Rame!$F$1,MATCH(H149,Rame!$F:$F,0)-1,MATCH(I149,Rame!$F$1:$FF$1,0)-1))*IF(E149="Rame",1,0),4)</f>
        <v>0</v>
      </c>
      <c r="S149" s="238">
        <f ca="1">ROUND(IF(ISERROR(OFFSET(Bronzo!$A$1,MATCH(H149,Bronzo!$A:$A,0)-1,MATCH(I149,Bronzo!$A$1:$AA$1,0)-1)=TRUE),0,OFFSET(Bronzo!$A$1,MATCH(H149,Bronzo!$A:$A,0)-1,MATCH(I149,Bronzo!$A$1:$AA$1,0)-1)),4)</f>
        <v>0</v>
      </c>
      <c r="T149" s="238">
        <f t="shared" ca="1" si="127"/>
        <v>0</v>
      </c>
      <c r="U149" s="237"/>
      <c r="V149" s="238">
        <v>0</v>
      </c>
      <c r="W149" s="239">
        <f t="shared" ca="1" si="128"/>
        <v>1.6</v>
      </c>
      <c r="X149" s="240">
        <f t="shared" si="152"/>
        <v>63</v>
      </c>
      <c r="Y149" s="236">
        <v>4.1500000000000004</v>
      </c>
      <c r="Z149" s="236">
        <f t="shared" ca="1" si="129"/>
        <v>-0.1</v>
      </c>
      <c r="AA149" s="241">
        <v>46178</v>
      </c>
      <c r="AF149" s="225">
        <f t="shared" ca="1" si="136"/>
        <v>46236</v>
      </c>
      <c r="AG149" s="225" t="b">
        <f t="shared" si="147"/>
        <v>0</v>
      </c>
      <c r="AH149" s="242"/>
      <c r="AK149" s="223">
        <f t="shared" si="148"/>
        <v>23</v>
      </c>
      <c r="AL149" s="223">
        <f t="shared" si="149"/>
        <v>2026</v>
      </c>
      <c r="AS149" s="223">
        <f t="shared" si="150"/>
        <v>6</v>
      </c>
      <c r="AT149" s="223">
        <f t="shared" si="151"/>
        <v>2026</v>
      </c>
    </row>
    <row r="150" spans="2:46" ht="15.75" x14ac:dyDescent="0.25">
      <c r="B150" s="229" t="s">
        <v>482</v>
      </c>
      <c r="C150" s="235" t="s">
        <v>102</v>
      </c>
      <c r="D150" s="243">
        <v>1200</v>
      </c>
      <c r="E150" s="232" t="s">
        <v>4</v>
      </c>
      <c r="F150" s="233">
        <v>2.65</v>
      </c>
      <c r="G150" s="234">
        <v>46050</v>
      </c>
      <c r="H150" s="235" t="s">
        <v>27</v>
      </c>
      <c r="I150" s="235"/>
      <c r="J150" s="236">
        <v>7.0000000000000007E-2</v>
      </c>
      <c r="K150" s="237">
        <f ca="1">ROUND(IF(ISERROR(OFFSET(Tabella!$A$1,MATCH(H150,Tabella!$A:$A,0)-1,MATCH(J150,Tabella!$A$1:$AC$1,0)-1)=TRUE),0,+OFFSET(Tabella!$A$1,MATCH(H150,Tabella!$A:$A,0)-1,MATCH(J150,Tabella!$A$1:$AC$1,0)-1)),4)</f>
        <v>1.25</v>
      </c>
      <c r="L150" s="238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238">
        <f ca="1">ROUND(IF(ISERROR(OFFSET(Rame!$A$1,MATCH(H150,Rame!$A:$A,0)-1,MATCH(J150,Rame!$A$1:$AA$1,0)-1)=TRUE),0,OFFSET(Rame!$A$1,MATCH(H150,Rame!$A:$A,0)-1,MATCH(J150,Rame!$A$1:$AA$1,0)-1))*IF(E150="Rame",1,0),4)</f>
        <v>0</v>
      </c>
      <c r="N150" s="238">
        <v>0</v>
      </c>
      <c r="O150" s="238">
        <v>1.6</v>
      </c>
      <c r="P150" s="238">
        <f ca="1">ROUND(+IF(ISERROR(OFFSET(Tabella!$G$1,MATCH(H150,Tabella!$G:$G,0)-1,MATCH(I150,Tabella!$G$1:$FG$1,0)-1)=TRUE),0,OFFSET(Tabella!$G$1,MATCH(H150,Tabella!$G:$G,0)-1,MATCH(I150,Tabella!$G$1:$AB$1,0)-1)),4)</f>
        <v>0</v>
      </c>
      <c r="Q150" s="238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238">
        <f ca="1">ROUND(IF(ISERROR(OFFSET(Rame!$F$1,MATCH(H150,Rame!$F:$F,0)-1,MATCH(I150,Rame!$F$1:$FF$1,0)-1)=TRUE),0,OFFSET(Rame!$F$1,MATCH(H150,Rame!$F:$F,0)-1,MATCH(I150,Rame!$F$1:$FF$1,0)-1))*IF(E150="Rame",1,0),4)</f>
        <v>0</v>
      </c>
      <c r="S150" s="238">
        <f ca="1">ROUND(IF(ISERROR(OFFSET(Bronzo!$A$1,MATCH(H150,Bronzo!$A:$A,0)-1,MATCH(I150,Bronzo!$A$1:$AA$1,0)-1)=TRUE),0,OFFSET(Bronzo!$A$1,MATCH(H150,Bronzo!$A:$A,0)-1,MATCH(I150,Bronzo!$A$1:$AA$1,0)-1)),4)</f>
        <v>0</v>
      </c>
      <c r="T150" s="238">
        <f t="shared" ca="1" si="127"/>
        <v>0</v>
      </c>
      <c r="U150" s="237"/>
      <c r="V150" s="238">
        <v>0</v>
      </c>
      <c r="W150" s="239">
        <f t="shared" ca="1" si="128"/>
        <v>1.6</v>
      </c>
      <c r="X150" s="240">
        <f t="shared" si="152"/>
        <v>84</v>
      </c>
      <c r="Y150" s="236">
        <v>4.1500000000000004</v>
      </c>
      <c r="Z150" s="236">
        <f t="shared" ca="1" si="129"/>
        <v>-0.1</v>
      </c>
      <c r="AA150" s="241">
        <v>46199</v>
      </c>
      <c r="AF150" s="225">
        <f t="shared" ca="1" si="136"/>
        <v>46236</v>
      </c>
      <c r="AG150" s="225" t="b">
        <f t="shared" si="147"/>
        <v>0</v>
      </c>
      <c r="AH150" s="242"/>
      <c r="AK150" s="223">
        <f t="shared" si="148"/>
        <v>26</v>
      </c>
      <c r="AL150" s="223">
        <f t="shared" si="149"/>
        <v>2026</v>
      </c>
      <c r="AS150" s="223">
        <f t="shared" si="150"/>
        <v>6</v>
      </c>
      <c r="AT150" s="223">
        <f t="shared" si="151"/>
        <v>2026</v>
      </c>
    </row>
    <row r="151" spans="2:46" ht="15.75" x14ac:dyDescent="0.25">
      <c r="B151" s="229" t="s">
        <v>482</v>
      </c>
      <c r="C151" s="235" t="s">
        <v>102</v>
      </c>
      <c r="D151" s="243">
        <v>850</v>
      </c>
      <c r="E151" s="232" t="s">
        <v>4</v>
      </c>
      <c r="F151" s="233">
        <v>2.65</v>
      </c>
      <c r="G151" s="234">
        <v>46050</v>
      </c>
      <c r="H151" s="235" t="s">
        <v>13</v>
      </c>
      <c r="I151" s="235"/>
      <c r="J151" s="236">
        <v>7.0000000000000007E-2</v>
      </c>
      <c r="K151" s="237">
        <f ca="1">ROUND(IF(ISERROR(OFFSET(Tabella!$A$1,MATCH(H151,Tabella!$A:$A,0)-1,MATCH(J151,Tabella!$A$1:$AC$1,0)-1)=TRUE),0,+OFFSET(Tabella!$A$1,MATCH(H151,Tabella!$A:$A,0)-1,MATCH(J151,Tabella!$A$1:$AC$1,0)-1)),4)</f>
        <v>1.4</v>
      </c>
      <c r="L151" s="238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238">
        <f ca="1">ROUND(IF(ISERROR(OFFSET(Rame!$A$1,MATCH(H151,Rame!$A:$A,0)-1,MATCH(J151,Rame!$A$1:$AA$1,0)-1)=TRUE),0,OFFSET(Rame!$A$1,MATCH(H151,Rame!$A:$A,0)-1,MATCH(J151,Rame!$A$1:$AA$1,0)-1))*IF(E151="Rame",1,0),4)</f>
        <v>0</v>
      </c>
      <c r="N151" s="238">
        <v>0</v>
      </c>
      <c r="O151" s="238">
        <v>1.75</v>
      </c>
      <c r="P151" s="238">
        <f ca="1">ROUND(+IF(ISERROR(OFFSET(Tabella!$G$1,MATCH(H151,Tabella!$G:$G,0)-1,MATCH(I151,Tabella!$G$1:$FG$1,0)-1)=TRUE),0,OFFSET(Tabella!$G$1,MATCH(H151,Tabella!$G:$G,0)-1,MATCH(I151,Tabella!$G$1:$AB$1,0)-1)),4)</f>
        <v>0</v>
      </c>
      <c r="Q151" s="238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238">
        <f ca="1">ROUND(IF(ISERROR(OFFSET(Rame!$F$1,MATCH(H151,Rame!$F:$F,0)-1,MATCH(I151,Rame!$F$1:$FF$1,0)-1)=TRUE),0,OFFSET(Rame!$F$1,MATCH(H151,Rame!$F:$F,0)-1,MATCH(I151,Rame!$F$1:$FF$1,0)-1))*IF(E151="Rame",1,0),4)</f>
        <v>0</v>
      </c>
      <c r="S151" s="238">
        <f ca="1">ROUND(IF(ISERROR(OFFSET(Bronzo!$A$1,MATCH(H151,Bronzo!$A:$A,0)-1,MATCH(I151,Bronzo!$A$1:$AA$1,0)-1)=TRUE),0,OFFSET(Bronzo!$A$1,MATCH(H151,Bronzo!$A:$A,0)-1,MATCH(I151,Bronzo!$A$1:$AA$1,0)-1)),4)</f>
        <v>0</v>
      </c>
      <c r="T151" s="238">
        <f t="shared" ca="1" si="127"/>
        <v>0</v>
      </c>
      <c r="U151" s="237"/>
      <c r="V151" s="238">
        <v>0</v>
      </c>
      <c r="W151" s="239">
        <f t="shared" ca="1" si="128"/>
        <v>1.75</v>
      </c>
      <c r="X151" s="240">
        <f t="shared" si="152"/>
        <v>59.5</v>
      </c>
      <c r="Y151" s="236">
        <v>4.3</v>
      </c>
      <c r="Z151" s="236">
        <f t="shared" ca="1" si="129"/>
        <v>-0.1</v>
      </c>
      <c r="AA151" s="241">
        <v>46192</v>
      </c>
      <c r="AF151" s="225">
        <f t="shared" ca="1" si="136"/>
        <v>46236</v>
      </c>
      <c r="AG151" s="225" t="b">
        <f t="shared" si="147"/>
        <v>0</v>
      </c>
      <c r="AH151" s="242"/>
      <c r="AK151" s="223">
        <f t="shared" si="148"/>
        <v>25</v>
      </c>
      <c r="AL151" s="223">
        <f t="shared" si="149"/>
        <v>2026</v>
      </c>
      <c r="AS151" s="223">
        <f t="shared" si="150"/>
        <v>6</v>
      </c>
      <c r="AT151" s="223">
        <f t="shared" si="151"/>
        <v>2026</v>
      </c>
    </row>
    <row r="152" spans="2:46" ht="15.75" x14ac:dyDescent="0.25">
      <c r="B152" s="229" t="s">
        <v>482</v>
      </c>
      <c r="C152" s="235" t="s">
        <v>102</v>
      </c>
      <c r="D152" s="243">
        <v>2700</v>
      </c>
      <c r="E152" s="232" t="s">
        <v>4</v>
      </c>
      <c r="F152" s="233">
        <v>2.65</v>
      </c>
      <c r="G152" s="234">
        <v>46050</v>
      </c>
      <c r="H152" s="235" t="s">
        <v>27</v>
      </c>
      <c r="I152" s="235"/>
      <c r="J152" s="236">
        <v>7.0000000000000007E-2</v>
      </c>
      <c r="K152" s="237">
        <f ca="1">ROUND(IF(ISERROR(OFFSET(Tabella!$A$1,MATCH(H152,Tabella!$A:$A,0)-1,MATCH(J152,Tabella!$A$1:$AC$1,0)-1)=TRUE),0,+OFFSET(Tabella!$A$1,MATCH(H152,Tabella!$A:$A,0)-1,MATCH(J152,Tabella!$A$1:$AC$1,0)-1)),4)</f>
        <v>1.25</v>
      </c>
      <c r="L152" s="238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238">
        <f ca="1">ROUND(IF(ISERROR(OFFSET(Rame!$A$1,MATCH(H152,Rame!$A:$A,0)-1,MATCH(J152,Rame!$A$1:$AA$1,0)-1)=TRUE),0,OFFSET(Rame!$A$1,MATCH(H152,Rame!$A:$A,0)-1,MATCH(J152,Rame!$A$1:$AA$1,0)-1))*IF(E152="Rame",1,0),4)</f>
        <v>0</v>
      </c>
      <c r="N152" s="238">
        <v>0</v>
      </c>
      <c r="O152" s="238">
        <v>1.6</v>
      </c>
      <c r="P152" s="238">
        <f ca="1">ROUND(+IF(ISERROR(OFFSET(Tabella!$G$1,MATCH(H152,Tabella!$G:$G,0)-1,MATCH(I152,Tabella!$G$1:$FG$1,0)-1)=TRUE),0,OFFSET(Tabella!$G$1,MATCH(H152,Tabella!$G:$G,0)-1,MATCH(I152,Tabella!$G$1:$AB$1,0)-1)),4)</f>
        <v>0</v>
      </c>
      <c r="Q152" s="238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238">
        <f ca="1">ROUND(IF(ISERROR(OFFSET(Rame!$F$1,MATCH(H152,Rame!$F:$F,0)-1,MATCH(I152,Rame!$F$1:$FF$1,0)-1)=TRUE),0,OFFSET(Rame!$F$1,MATCH(H152,Rame!$F:$F,0)-1,MATCH(I152,Rame!$F$1:$FF$1,0)-1))*IF(E152="Rame",1,0),4)</f>
        <v>0</v>
      </c>
      <c r="S152" s="238">
        <f ca="1">ROUND(IF(ISERROR(OFFSET(Bronzo!$A$1,MATCH(H152,Bronzo!$A:$A,0)-1,MATCH(I152,Bronzo!$A$1:$AA$1,0)-1)=TRUE),0,OFFSET(Bronzo!$A$1,MATCH(H152,Bronzo!$A:$A,0)-1,MATCH(I152,Bronzo!$A$1:$AA$1,0)-1)),4)</f>
        <v>0</v>
      </c>
      <c r="T152" s="238">
        <f t="shared" ref="T152:T216" ca="1" si="164">ROUND(SUM(P152:S152),4)</f>
        <v>0</v>
      </c>
      <c r="U152" s="237"/>
      <c r="V152" s="238">
        <v>0</v>
      </c>
      <c r="W152" s="239">
        <f t="shared" ref="W152:W216" ca="1" si="165">ROUND(+O152+T152+U152+V152,4)</f>
        <v>1.6</v>
      </c>
      <c r="X152" s="240">
        <f t="shared" si="152"/>
        <v>189</v>
      </c>
      <c r="Y152" s="236">
        <v>4.1500000000000004</v>
      </c>
      <c r="Z152" s="236">
        <f t="shared" ref="Z152:Z216" ca="1" si="166">ROUND(+Y152-W152-F152,4)</f>
        <v>-0.1</v>
      </c>
      <c r="AA152" s="241">
        <v>46267</v>
      </c>
      <c r="AF152" s="225">
        <f t="shared" ca="1" si="136"/>
        <v>46236</v>
      </c>
      <c r="AG152" s="225" t="b">
        <f t="shared" si="147"/>
        <v>0</v>
      </c>
      <c r="AH152" s="242"/>
      <c r="AK152" s="223">
        <f t="shared" si="148"/>
        <v>36</v>
      </c>
      <c r="AL152" s="223">
        <f t="shared" si="149"/>
        <v>2026</v>
      </c>
      <c r="AS152" s="223">
        <f t="shared" si="150"/>
        <v>9</v>
      </c>
      <c r="AT152" s="223">
        <f t="shared" si="151"/>
        <v>2026</v>
      </c>
    </row>
    <row r="153" spans="2:46" ht="15.75" x14ac:dyDescent="0.25">
      <c r="B153" s="229" t="s">
        <v>482</v>
      </c>
      <c r="C153" s="235" t="s">
        <v>102</v>
      </c>
      <c r="D153" s="243">
        <v>2000</v>
      </c>
      <c r="E153" s="232" t="s">
        <v>4</v>
      </c>
      <c r="F153" s="233">
        <v>2.65</v>
      </c>
      <c r="G153" s="234">
        <v>46050</v>
      </c>
      <c r="H153" s="235" t="s">
        <v>25</v>
      </c>
      <c r="I153" s="235"/>
      <c r="J153" s="236">
        <v>7.0000000000000007E-2</v>
      </c>
      <c r="K153" s="237">
        <f ca="1">ROUND(IF(ISERROR(OFFSET(Tabella!$A$1,MATCH(H153,Tabella!$A:$A,0)-1,MATCH(J153,Tabella!$A$1:$AC$1,0)-1)=TRUE),0,+OFFSET(Tabella!$A$1,MATCH(H153,Tabella!$A:$A,0)-1,MATCH(J153,Tabella!$A$1:$AC$1,0)-1)),4)</f>
        <v>1.25</v>
      </c>
      <c r="L153" s="238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238">
        <f ca="1">ROUND(IF(ISERROR(OFFSET(Rame!$A$1,MATCH(H153,Rame!$A:$A,0)-1,MATCH(J153,Rame!$A$1:$AA$1,0)-1)=TRUE),0,OFFSET(Rame!$A$1,MATCH(H153,Rame!$A:$A,0)-1,MATCH(J153,Rame!$A$1:$AA$1,0)-1))*IF(E153="Rame",1,0),4)</f>
        <v>0</v>
      </c>
      <c r="N153" s="238">
        <v>0</v>
      </c>
      <c r="O153" s="238">
        <v>1.6</v>
      </c>
      <c r="P153" s="238">
        <f ca="1">ROUND(+IF(ISERROR(OFFSET(Tabella!$G$1,MATCH(H153,Tabella!$G:$G,0)-1,MATCH(I153,Tabella!$G$1:$FG$1,0)-1)=TRUE),0,OFFSET(Tabella!$G$1,MATCH(H153,Tabella!$G:$G,0)-1,MATCH(I153,Tabella!$G$1:$AB$1,0)-1)),4)</f>
        <v>0</v>
      </c>
      <c r="Q153" s="238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238">
        <f ca="1">ROUND(IF(ISERROR(OFFSET(Rame!$F$1,MATCH(H153,Rame!$F:$F,0)-1,MATCH(I153,Rame!$F$1:$FF$1,0)-1)=TRUE),0,OFFSET(Rame!$F$1,MATCH(H153,Rame!$F:$F,0)-1,MATCH(I153,Rame!$F$1:$FF$1,0)-1))*IF(E153="Rame",1,0),4)</f>
        <v>0</v>
      </c>
      <c r="S153" s="238">
        <f ca="1">ROUND(IF(ISERROR(OFFSET(Bronzo!$A$1,MATCH(H153,Bronzo!$A:$A,0)-1,MATCH(I153,Bronzo!$A$1:$AA$1,0)-1)=TRUE),0,OFFSET(Bronzo!$A$1,MATCH(H153,Bronzo!$A:$A,0)-1,MATCH(I153,Bronzo!$A$1:$AA$1,0)-1)),4)</f>
        <v>0</v>
      </c>
      <c r="T153" s="238">
        <f t="shared" ca="1" si="164"/>
        <v>0</v>
      </c>
      <c r="U153" s="237"/>
      <c r="V153" s="238">
        <v>0</v>
      </c>
      <c r="W153" s="239">
        <f t="shared" ca="1" si="165"/>
        <v>1.6</v>
      </c>
      <c r="X153" s="240">
        <f t="shared" si="152"/>
        <v>140</v>
      </c>
      <c r="Y153" s="236">
        <v>4.1500000000000004</v>
      </c>
      <c r="Z153" s="236">
        <f t="shared" ca="1" si="166"/>
        <v>-0.1</v>
      </c>
      <c r="AA153" s="241">
        <v>46267</v>
      </c>
      <c r="AF153" s="225">
        <f t="shared" ca="1" si="136"/>
        <v>46236</v>
      </c>
      <c r="AG153" s="225" t="b">
        <f t="shared" si="147"/>
        <v>0</v>
      </c>
      <c r="AH153" s="242"/>
      <c r="AK153" s="223">
        <f t="shared" si="148"/>
        <v>36</v>
      </c>
      <c r="AL153" s="223">
        <f t="shared" si="149"/>
        <v>2026</v>
      </c>
      <c r="AS153" s="223">
        <f t="shared" si="150"/>
        <v>9</v>
      </c>
      <c r="AT153" s="223">
        <f t="shared" si="151"/>
        <v>2026</v>
      </c>
    </row>
    <row r="154" spans="2:46" ht="15.75" x14ac:dyDescent="0.25">
      <c r="B154" s="229" t="s">
        <v>482</v>
      </c>
      <c r="C154" s="235" t="s">
        <v>102</v>
      </c>
      <c r="D154" s="243">
        <v>1700</v>
      </c>
      <c r="E154" s="232" t="s">
        <v>4</v>
      </c>
      <c r="F154" s="233">
        <v>2.65</v>
      </c>
      <c r="G154" s="234">
        <v>46050</v>
      </c>
      <c r="H154" s="235" t="s">
        <v>27</v>
      </c>
      <c r="I154" s="235"/>
      <c r="J154" s="236">
        <v>7.0000000000000007E-2</v>
      </c>
      <c r="K154" s="237">
        <f ca="1">ROUND(IF(ISERROR(OFFSET(Tabella!$A$1,MATCH(H154,Tabella!$A:$A,0)-1,MATCH(J154,Tabella!$A$1:$AC$1,0)-1)=TRUE),0,+OFFSET(Tabella!$A$1,MATCH(H154,Tabella!$A:$A,0)-1,MATCH(J154,Tabella!$A$1:$AC$1,0)-1)),4)</f>
        <v>1.25</v>
      </c>
      <c r="L154" s="238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238">
        <f ca="1">ROUND(IF(ISERROR(OFFSET(Rame!$A$1,MATCH(H154,Rame!$A:$A,0)-1,MATCH(J154,Rame!$A$1:$AA$1,0)-1)=TRUE),0,OFFSET(Rame!$A$1,MATCH(H154,Rame!$A:$A,0)-1,MATCH(J154,Rame!$A$1:$AA$1,0)-1))*IF(E154="Rame",1,0),4)</f>
        <v>0</v>
      </c>
      <c r="N154" s="238">
        <v>0</v>
      </c>
      <c r="O154" s="238">
        <v>1.6</v>
      </c>
      <c r="P154" s="238">
        <f ca="1">ROUND(+IF(ISERROR(OFFSET(Tabella!$G$1,MATCH(H154,Tabella!$G:$G,0)-1,MATCH(I154,Tabella!$G$1:$FG$1,0)-1)=TRUE),0,OFFSET(Tabella!$G$1,MATCH(H154,Tabella!$G:$G,0)-1,MATCH(I154,Tabella!$G$1:$AB$1,0)-1)),4)</f>
        <v>0</v>
      </c>
      <c r="Q154" s="238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238">
        <f ca="1">ROUND(IF(ISERROR(OFFSET(Rame!$F$1,MATCH(H154,Rame!$F:$F,0)-1,MATCH(I154,Rame!$F$1:$FF$1,0)-1)=TRUE),0,OFFSET(Rame!$F$1,MATCH(H154,Rame!$F:$F,0)-1,MATCH(I154,Rame!$F$1:$FF$1,0)-1))*IF(E154="Rame",1,0),4)</f>
        <v>0</v>
      </c>
      <c r="S154" s="238">
        <f ca="1">ROUND(IF(ISERROR(OFFSET(Bronzo!$A$1,MATCH(H154,Bronzo!$A:$A,0)-1,MATCH(I154,Bronzo!$A$1:$AA$1,0)-1)=TRUE),0,OFFSET(Bronzo!$A$1,MATCH(H154,Bronzo!$A:$A,0)-1,MATCH(I154,Bronzo!$A$1:$AA$1,0)-1)),4)</f>
        <v>0</v>
      </c>
      <c r="T154" s="238">
        <f t="shared" ca="1" si="164"/>
        <v>0</v>
      </c>
      <c r="U154" s="237"/>
      <c r="V154" s="238">
        <v>0</v>
      </c>
      <c r="W154" s="239">
        <f t="shared" ca="1" si="165"/>
        <v>1.6</v>
      </c>
      <c r="X154" s="240">
        <f t="shared" si="152"/>
        <v>119</v>
      </c>
      <c r="Y154" s="236">
        <v>4.1500000000000004</v>
      </c>
      <c r="Z154" s="236">
        <f t="shared" ca="1" si="166"/>
        <v>-0.1</v>
      </c>
      <c r="AA154" s="241">
        <v>46267</v>
      </c>
      <c r="AF154" s="225">
        <f t="shared" ca="1" si="136"/>
        <v>46236</v>
      </c>
      <c r="AG154" s="225" t="b">
        <f t="shared" si="147"/>
        <v>0</v>
      </c>
      <c r="AH154" s="242"/>
      <c r="AK154" s="223">
        <f t="shared" si="148"/>
        <v>36</v>
      </c>
      <c r="AL154" s="223">
        <f t="shared" si="149"/>
        <v>2026</v>
      </c>
      <c r="AS154" s="223">
        <f t="shared" si="150"/>
        <v>9</v>
      </c>
      <c r="AT154" s="223">
        <f t="shared" si="151"/>
        <v>2026</v>
      </c>
    </row>
    <row r="155" spans="2:46" ht="15.75" x14ac:dyDescent="0.25">
      <c r="B155" s="229" t="s">
        <v>485</v>
      </c>
      <c r="C155" s="235" t="s">
        <v>330</v>
      </c>
      <c r="D155" s="243">
        <v>2750</v>
      </c>
      <c r="E155" s="232" t="s">
        <v>4</v>
      </c>
      <c r="F155" s="244">
        <v>1.7</v>
      </c>
      <c r="G155" s="234">
        <v>46114</v>
      </c>
      <c r="H155" s="235" t="s">
        <v>25</v>
      </c>
      <c r="I155" s="235"/>
      <c r="J155" s="236">
        <v>7.0000000000000007E-2</v>
      </c>
      <c r="K155" s="237">
        <f ca="1">ROUND(IF(ISERROR(OFFSET(Tabella!$A$1,MATCH(H155,Tabella!$A:$A,0)-1,MATCH(J155,Tabella!$A$1:$AC$1,0)-1)=TRUE),0,+OFFSET(Tabella!$A$1,MATCH(H155,Tabella!$A:$A,0)-1,MATCH(J155,Tabella!$A$1:$AC$1,0)-1)),4)</f>
        <v>1.25</v>
      </c>
      <c r="L155" s="238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238">
        <f ca="1">ROUND(IF(ISERROR(OFFSET(Rame!$A$1,MATCH(H155,Rame!$A:$A,0)-1,MATCH(J155,Rame!$A$1:$AA$1,0)-1)=TRUE),0,OFFSET(Rame!$A$1,MATCH(H155,Rame!$A:$A,0)-1,MATCH(J155,Rame!$A$1:$AA$1,0)-1))*IF(E155="Rame",1,0),4)</f>
        <v>0</v>
      </c>
      <c r="N155" s="238">
        <v>0</v>
      </c>
      <c r="O155" s="238">
        <v>1.6</v>
      </c>
      <c r="P155" s="238">
        <f ca="1">ROUND(+IF(ISERROR(OFFSET(Tabella!$G$1,MATCH(H155,Tabella!$G:$G,0)-1,MATCH(I155,Tabella!$G$1:$FG$1,0)-1)=TRUE),0,OFFSET(Tabella!$G$1,MATCH(H155,Tabella!$G:$G,0)-1,MATCH(I155,Tabella!$G$1:$AB$1,0)-1)),4)</f>
        <v>0</v>
      </c>
      <c r="Q155" s="238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238">
        <f ca="1">ROUND(IF(ISERROR(OFFSET(Rame!$F$1,MATCH(H155,Rame!$F:$F,0)-1,MATCH(I155,Rame!$F$1:$FF$1,0)-1)=TRUE),0,OFFSET(Rame!$F$1,MATCH(H155,Rame!$F:$F,0)-1,MATCH(I155,Rame!$F$1:$FF$1,0)-1))*IF(E155="Rame",1,0),4)</f>
        <v>0</v>
      </c>
      <c r="S155" s="238">
        <f ca="1">ROUND(IF(ISERROR(OFFSET(Bronzo!$A$1,MATCH(H155,Bronzo!$A:$A,0)-1,MATCH(I155,Bronzo!$A$1:$AA$1,0)-1)=TRUE),0,OFFSET(Bronzo!$A$1,MATCH(H155,Bronzo!$A:$A,0)-1,MATCH(I155,Bronzo!$A$1:$AA$1,0)-1)),4)</f>
        <v>0</v>
      </c>
      <c r="T155" s="238">
        <f t="shared" ca="1" si="164"/>
        <v>0</v>
      </c>
      <c r="U155" s="237"/>
      <c r="V155" s="238">
        <v>0</v>
      </c>
      <c r="W155" s="239">
        <f t="shared" ca="1" si="165"/>
        <v>1.6</v>
      </c>
      <c r="X155" s="240">
        <f t="shared" si="152"/>
        <v>192.5</v>
      </c>
      <c r="Y155" s="425">
        <v>1.7</v>
      </c>
      <c r="Z155" s="236">
        <f t="shared" ca="1" si="166"/>
        <v>-1.6</v>
      </c>
      <c r="AA155" s="241">
        <v>46204</v>
      </c>
      <c r="AF155" s="225">
        <f t="shared" ca="1" si="136"/>
        <v>46236</v>
      </c>
      <c r="AG155" s="225" t="b">
        <f t="shared" ref="AG155:AG205" si="167">ISBLANK(AA155)</f>
        <v>0</v>
      </c>
      <c r="AH155" s="242"/>
      <c r="AK155" s="223">
        <f t="shared" si="148"/>
        <v>27</v>
      </c>
      <c r="AL155" s="223">
        <f t="shared" si="149"/>
        <v>2026</v>
      </c>
      <c r="AS155" s="223">
        <f t="shared" si="150"/>
        <v>7</v>
      </c>
      <c r="AT155" s="223">
        <f t="shared" si="151"/>
        <v>2026</v>
      </c>
    </row>
    <row r="156" spans="2:46" ht="15.75" x14ac:dyDescent="0.25">
      <c r="B156" s="229" t="s">
        <v>485</v>
      </c>
      <c r="C156" s="235" t="s">
        <v>330</v>
      </c>
      <c r="D156" s="243">
        <v>2000</v>
      </c>
      <c r="E156" s="232" t="s">
        <v>4</v>
      </c>
      <c r="F156" s="244">
        <v>1.7</v>
      </c>
      <c r="G156" s="234">
        <v>46114</v>
      </c>
      <c r="H156" s="235" t="s">
        <v>314</v>
      </c>
      <c r="I156" s="235"/>
      <c r="J156" s="236">
        <v>7.0000000000000007E-2</v>
      </c>
      <c r="K156" s="237">
        <f ca="1">ROUND(IF(ISERROR(OFFSET(Tabella!$A$1,MATCH(H156,Tabella!$A:$A,0)-1,MATCH(J156,Tabella!$A$1:$AC$1,0)-1)=TRUE),0,+OFFSET(Tabella!$A$1,MATCH(H156,Tabella!$A:$A,0)-1,MATCH(J156,Tabella!$A$1:$AC$1,0)-1)),4)</f>
        <v>1.25</v>
      </c>
      <c r="L156" s="238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238">
        <f ca="1">ROUND(IF(ISERROR(OFFSET(Rame!$A$1,MATCH(H156,Rame!$A:$A,0)-1,MATCH(J156,Rame!$A$1:$AA$1,0)-1)=TRUE),0,OFFSET(Rame!$A$1,MATCH(H156,Rame!$A:$A,0)-1,MATCH(J156,Rame!$A$1:$AA$1,0)-1))*IF(E156="Rame",1,0),4)</f>
        <v>0</v>
      </c>
      <c r="N156" s="238">
        <v>0</v>
      </c>
      <c r="O156" s="238">
        <v>1.6</v>
      </c>
      <c r="P156" s="238">
        <f ca="1">ROUND(+IF(ISERROR(OFFSET(Tabella!$G$1,MATCH(H156,Tabella!$G:$G,0)-1,MATCH(I156,Tabella!$G$1:$FG$1,0)-1)=TRUE),0,OFFSET(Tabella!$G$1,MATCH(H156,Tabella!$G:$G,0)-1,MATCH(I156,Tabella!$G$1:$AB$1,0)-1)),4)</f>
        <v>0</v>
      </c>
      <c r="Q156" s="238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238">
        <f ca="1">ROUND(IF(ISERROR(OFFSET(Rame!$F$1,MATCH(H156,Rame!$F:$F,0)-1,MATCH(I156,Rame!$F$1:$FF$1,0)-1)=TRUE),0,OFFSET(Rame!$F$1,MATCH(H156,Rame!$F:$F,0)-1,MATCH(I156,Rame!$F$1:$FF$1,0)-1))*IF(E156="Rame",1,0),4)</f>
        <v>0</v>
      </c>
      <c r="S156" s="238">
        <f ca="1">ROUND(IF(ISERROR(OFFSET(Bronzo!$A$1,MATCH(H156,Bronzo!$A:$A,0)-1,MATCH(I156,Bronzo!$A$1:$AA$1,0)-1)=TRUE),0,OFFSET(Bronzo!$A$1,MATCH(H156,Bronzo!$A:$A,0)-1,MATCH(I156,Bronzo!$A$1:$AA$1,0)-1)),4)</f>
        <v>0</v>
      </c>
      <c r="T156" s="238">
        <f t="shared" ca="1" si="164"/>
        <v>0</v>
      </c>
      <c r="U156" s="237"/>
      <c r="V156" s="238">
        <v>0</v>
      </c>
      <c r="W156" s="239">
        <f t="shared" ca="1" si="165"/>
        <v>1.6</v>
      </c>
      <c r="X156" s="240">
        <f t="shared" si="152"/>
        <v>140</v>
      </c>
      <c r="Y156" s="425">
        <v>1.7</v>
      </c>
      <c r="Z156" s="236">
        <f t="shared" ca="1" si="166"/>
        <v>-1.6</v>
      </c>
      <c r="AA156" s="241">
        <v>46204</v>
      </c>
      <c r="AF156" s="225">
        <f t="shared" ca="1" si="136"/>
        <v>46236</v>
      </c>
      <c r="AG156" s="225" t="b">
        <f t="shared" si="167"/>
        <v>0</v>
      </c>
      <c r="AH156" s="242"/>
      <c r="AK156" s="223">
        <f t="shared" ref="AK156:AK206" si="168">WEEKNUM(AA156)</f>
        <v>27</v>
      </c>
      <c r="AL156" s="223">
        <f t="shared" ref="AL156:AL206" si="169">YEAR(AA156)</f>
        <v>2026</v>
      </c>
      <c r="AS156" s="223">
        <f t="shared" ref="AS156:AS206" si="170">IF(AA156="",0,MONTH(AA156))</f>
        <v>7</v>
      </c>
      <c r="AT156" s="223">
        <f t="shared" ref="AT156:AT206" si="171">IF(AA156="",0,YEAR(AA156))</f>
        <v>2026</v>
      </c>
    </row>
    <row r="157" spans="2:46" ht="15.75" x14ac:dyDescent="0.25">
      <c r="B157" s="229" t="s">
        <v>485</v>
      </c>
      <c r="C157" s="235" t="s">
        <v>330</v>
      </c>
      <c r="D157" s="243">
        <v>200</v>
      </c>
      <c r="E157" s="232" t="s">
        <v>4</v>
      </c>
      <c r="F157" s="244">
        <v>1.7</v>
      </c>
      <c r="G157" s="234">
        <v>46114</v>
      </c>
      <c r="H157" s="235" t="s">
        <v>22</v>
      </c>
      <c r="I157" s="235"/>
      <c r="J157" s="236">
        <v>7.0000000000000007E-2</v>
      </c>
      <c r="K157" s="237">
        <f ca="1">ROUND(IF(ISERROR(OFFSET(Tabella!$A$1,MATCH(H157,Tabella!$A:$A,0)-1,MATCH(J157,Tabella!$A$1:$AC$1,0)-1)=TRUE),0,+OFFSET(Tabella!$A$1,MATCH(H157,Tabella!$A:$A,0)-1,MATCH(J157,Tabella!$A$1:$AC$1,0)-1)),4)</f>
        <v>1.25</v>
      </c>
      <c r="L157" s="238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238">
        <f ca="1">ROUND(IF(ISERROR(OFFSET(Rame!$A$1,MATCH(H157,Rame!$A:$A,0)-1,MATCH(J157,Rame!$A$1:$AA$1,0)-1)=TRUE),0,OFFSET(Rame!$A$1,MATCH(H157,Rame!$A:$A,0)-1,MATCH(J157,Rame!$A$1:$AA$1,0)-1))*IF(E157="Rame",1,0),4)</f>
        <v>0</v>
      </c>
      <c r="N157" s="238">
        <v>0</v>
      </c>
      <c r="O157" s="238">
        <v>1.6</v>
      </c>
      <c r="P157" s="238">
        <f ca="1">ROUND(+IF(ISERROR(OFFSET(Tabella!$G$1,MATCH(H157,Tabella!$G:$G,0)-1,MATCH(I157,Tabella!$G$1:$FG$1,0)-1)=TRUE),0,OFFSET(Tabella!$G$1,MATCH(H157,Tabella!$G:$G,0)-1,MATCH(I157,Tabella!$G$1:$AB$1,0)-1)),4)</f>
        <v>0</v>
      </c>
      <c r="Q157" s="238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238">
        <f ca="1">ROUND(IF(ISERROR(OFFSET(Rame!$F$1,MATCH(H157,Rame!$F:$F,0)-1,MATCH(I157,Rame!$F$1:$FF$1,0)-1)=TRUE),0,OFFSET(Rame!$F$1,MATCH(H157,Rame!$F:$F,0)-1,MATCH(I157,Rame!$F$1:$FF$1,0)-1))*IF(E157="Rame",1,0),4)</f>
        <v>0</v>
      </c>
      <c r="S157" s="238">
        <f ca="1">ROUND(IF(ISERROR(OFFSET(Bronzo!$A$1,MATCH(H157,Bronzo!$A:$A,0)-1,MATCH(I157,Bronzo!$A$1:$AA$1,0)-1)=TRUE),0,OFFSET(Bronzo!$A$1,MATCH(H157,Bronzo!$A:$A,0)-1,MATCH(I157,Bronzo!$A$1:$AA$1,0)-1)),4)</f>
        <v>0</v>
      </c>
      <c r="T157" s="238">
        <f t="shared" ca="1" si="164"/>
        <v>0</v>
      </c>
      <c r="U157" s="237"/>
      <c r="V157" s="238">
        <v>0</v>
      </c>
      <c r="W157" s="239">
        <f t="shared" ca="1" si="165"/>
        <v>1.6</v>
      </c>
      <c r="X157" s="240">
        <f t="shared" si="152"/>
        <v>14</v>
      </c>
      <c r="Y157" s="425">
        <v>1.7</v>
      </c>
      <c r="Z157" s="236">
        <f t="shared" ca="1" si="166"/>
        <v>-1.6</v>
      </c>
      <c r="AA157" s="241">
        <v>46204</v>
      </c>
      <c r="AF157" s="225">
        <f t="shared" ca="1" si="136"/>
        <v>46236</v>
      </c>
      <c r="AG157" s="225" t="b">
        <f t="shared" si="167"/>
        <v>0</v>
      </c>
      <c r="AH157" s="242"/>
      <c r="AK157" s="223">
        <f t="shared" si="168"/>
        <v>27</v>
      </c>
      <c r="AL157" s="223">
        <f t="shared" si="169"/>
        <v>2026</v>
      </c>
      <c r="AS157" s="223">
        <f t="shared" si="170"/>
        <v>7</v>
      </c>
      <c r="AT157" s="223">
        <f t="shared" si="171"/>
        <v>2026</v>
      </c>
    </row>
    <row r="158" spans="2:46" ht="15.75" x14ac:dyDescent="0.25">
      <c r="B158" s="229" t="s">
        <v>483</v>
      </c>
      <c r="C158" s="248" t="s">
        <v>418</v>
      </c>
      <c r="D158" s="249">
        <v>15100</v>
      </c>
      <c r="E158" s="232" t="s">
        <v>4</v>
      </c>
      <c r="F158" s="233">
        <v>2.97</v>
      </c>
      <c r="G158" s="234">
        <v>46115</v>
      </c>
      <c r="H158" s="235" t="s">
        <v>21</v>
      </c>
      <c r="I158" s="235"/>
      <c r="J158" s="236">
        <v>7.0000000000000007E-2</v>
      </c>
      <c r="K158" s="237">
        <f ca="1">ROUND(IF(ISERROR(OFFSET(Tabella!$A$1,MATCH(H158,Tabella!$A:$A,0)-1,MATCH(J158,Tabella!$A$1:$AC$1,0)-1)=TRUE),0,+OFFSET(Tabella!$A$1,MATCH(H158,Tabella!$A:$A,0)-1,MATCH(J158,Tabella!$A$1:$AC$1,0)-1)),4)</f>
        <v>1.25</v>
      </c>
      <c r="L158" s="238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238">
        <f ca="1">ROUND(IF(ISERROR(OFFSET(Rame!$A$1,MATCH(H158,Rame!$A:$A,0)-1,MATCH(J158,Rame!$A$1:$AA$1,0)-1)=TRUE),0,OFFSET(Rame!$A$1,MATCH(H158,Rame!$A:$A,0)-1,MATCH(J158,Rame!$A$1:$AA$1,0)-1))*IF(E158="Rame",1,0),4)</f>
        <v>0</v>
      </c>
      <c r="N158" s="238">
        <v>0</v>
      </c>
      <c r="O158" s="238">
        <f ca="1">ROUND(SUM(K158:N158),4)</f>
        <v>1.25</v>
      </c>
      <c r="P158" s="238">
        <f ca="1">ROUND(+IF(ISERROR(OFFSET(Tabella!$G$1,MATCH(H158,Tabella!$G:$G,0)-1,MATCH(I158,Tabella!$G$1:$FG$1,0)-1)=TRUE),0,OFFSET(Tabella!$G$1,MATCH(H158,Tabella!$G:$G,0)-1,MATCH(I158,Tabella!$G$1:$AB$1,0)-1)),4)</f>
        <v>0</v>
      </c>
      <c r="Q158" s="238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238">
        <f ca="1">ROUND(IF(ISERROR(OFFSET(Rame!$F$1,MATCH(H158,Rame!$F:$F,0)-1,MATCH(I158,Rame!$F$1:$FF$1,0)-1)=TRUE),0,OFFSET(Rame!$F$1,MATCH(H158,Rame!$F:$F,0)-1,MATCH(I158,Rame!$F$1:$FF$1,0)-1))*IF(E158="Rame",1,0),4)</f>
        <v>0</v>
      </c>
      <c r="S158" s="238">
        <f ca="1">ROUND(IF(ISERROR(OFFSET(Bronzo!$A$1,MATCH(H158,Bronzo!$A:$A,0)-1,MATCH(I158,Bronzo!$A$1:$AA$1,0)-1)=TRUE),0,OFFSET(Bronzo!$A$1,MATCH(H158,Bronzo!$A:$A,0)-1,MATCH(I158,Bronzo!$A$1:$AA$1,0)-1)),4)</f>
        <v>0</v>
      </c>
      <c r="T158" s="238">
        <f t="shared" ca="1" si="164"/>
        <v>0</v>
      </c>
      <c r="U158" s="237"/>
      <c r="V158" s="238">
        <v>0</v>
      </c>
      <c r="W158" s="239">
        <f t="shared" ca="1" si="165"/>
        <v>1.25</v>
      </c>
      <c r="X158" s="424">
        <f t="shared" si="152"/>
        <v>1057</v>
      </c>
      <c r="Y158" s="240">
        <v>4.57</v>
      </c>
      <c r="Z158" s="236">
        <f t="shared" ca="1" si="166"/>
        <v>0.35</v>
      </c>
      <c r="AA158" s="241">
        <v>46234</v>
      </c>
      <c r="AF158" s="225">
        <f t="shared" ca="1" si="136"/>
        <v>46236</v>
      </c>
      <c r="AG158" s="225" t="b">
        <f t="shared" si="167"/>
        <v>0</v>
      </c>
      <c r="AH158" s="242"/>
      <c r="AK158" s="223">
        <f t="shared" si="168"/>
        <v>31</v>
      </c>
      <c r="AL158" s="223">
        <f t="shared" si="169"/>
        <v>2026</v>
      </c>
      <c r="AS158" s="223">
        <f t="shared" si="170"/>
        <v>7</v>
      </c>
      <c r="AT158" s="223">
        <f t="shared" si="171"/>
        <v>2026</v>
      </c>
    </row>
    <row r="159" spans="2:46" ht="15.75" x14ac:dyDescent="0.25">
      <c r="B159" s="229" t="s">
        <v>688</v>
      </c>
      <c r="C159" s="245" t="s">
        <v>396</v>
      </c>
      <c r="D159" s="246">
        <v>216</v>
      </c>
      <c r="E159" s="232" t="s">
        <v>4</v>
      </c>
      <c r="F159" s="233">
        <v>2.97</v>
      </c>
      <c r="G159" s="234">
        <v>46119</v>
      </c>
      <c r="H159" s="235" t="s">
        <v>29</v>
      </c>
      <c r="I159" s="235"/>
      <c r="J159" s="236">
        <v>0.1</v>
      </c>
      <c r="K159" s="237">
        <f ca="1">ROUND(IF(ISERROR(OFFSET(Tabella!$A$1,MATCH(H159,Tabella!$A:$A,0)-1,MATCH(J159,Tabella!$A$1:$AC$1,0)-1)=TRUE),0,+OFFSET(Tabella!$A$1,MATCH(H159,Tabella!$A:$A,0)-1,MATCH(J159,Tabella!$A$1:$AC$1,0)-1)),4)</f>
        <v>1.5</v>
      </c>
      <c r="L159" s="238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238">
        <f ca="1">ROUND(IF(ISERROR(OFFSET(Rame!$A$1,MATCH(H159,Rame!$A:$A,0)-1,MATCH(J159,Rame!$A$1:$AA$1,0)-1)=TRUE),0,OFFSET(Rame!$A$1,MATCH(H159,Rame!$A:$A,0)-1,MATCH(J159,Rame!$A$1:$AA$1,0)-1))*IF(E159="Rame",1,0),4)</f>
        <v>0</v>
      </c>
      <c r="N159" s="238">
        <v>0</v>
      </c>
      <c r="O159" s="238">
        <f ca="1">ROUND(SUM(K159:N159),4)</f>
        <v>1.5</v>
      </c>
      <c r="P159" s="238">
        <f ca="1">ROUND(+IF(ISERROR(OFFSET(Tabella!$G$1,MATCH(H159,Tabella!$G:$G,0)-1,MATCH(I159,Tabella!$G$1:$FG$1,0)-1)=TRUE),0,OFFSET(Tabella!$G$1,MATCH(H159,Tabella!$G:$G,0)-1,MATCH(I159,Tabella!$G$1:$AB$1,0)-1)),4)</f>
        <v>0</v>
      </c>
      <c r="Q159" s="238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238">
        <f ca="1">ROUND(IF(ISERROR(OFFSET(Rame!$F$1,MATCH(H159,Rame!$F:$F,0)-1,MATCH(I159,Rame!$F$1:$FF$1,0)-1)=TRUE),0,OFFSET(Rame!$F$1,MATCH(H159,Rame!$F:$F,0)-1,MATCH(I159,Rame!$F$1:$FF$1,0)-1))*IF(E159="Rame",1,0),4)</f>
        <v>0</v>
      </c>
      <c r="S159" s="238">
        <f ca="1">ROUND(IF(ISERROR(OFFSET(Bronzo!$A$1,MATCH(H159,Bronzo!$A:$A,0)-1,MATCH(I159,Bronzo!$A$1:$AA$1,0)-1)=TRUE),0,OFFSET(Bronzo!$A$1,MATCH(H159,Bronzo!$A:$A,0)-1,MATCH(I159,Bronzo!$A$1:$AA$1,0)-1)),4)</f>
        <v>0</v>
      </c>
      <c r="T159" s="238">
        <f t="shared" ca="1" si="164"/>
        <v>0</v>
      </c>
      <c r="U159" s="237"/>
      <c r="V159" s="238">
        <v>0</v>
      </c>
      <c r="W159" s="239">
        <f t="shared" ca="1" si="165"/>
        <v>1.5</v>
      </c>
      <c r="X159" s="423">
        <f t="shared" si="152"/>
        <v>21.6</v>
      </c>
      <c r="Y159" s="236">
        <v>4.8600000000000003</v>
      </c>
      <c r="Z159" s="236">
        <f t="shared" ca="1" si="166"/>
        <v>0.39</v>
      </c>
      <c r="AA159" s="241"/>
      <c r="AF159" s="225">
        <f t="shared" ca="1" si="136"/>
        <v>46236</v>
      </c>
      <c r="AG159" s="225" t="b">
        <f t="shared" si="167"/>
        <v>1</v>
      </c>
      <c r="AH159" s="242"/>
      <c r="AK159" s="223">
        <f t="shared" si="168"/>
        <v>0</v>
      </c>
      <c r="AL159" s="223">
        <f t="shared" si="169"/>
        <v>1900</v>
      </c>
      <c r="AS159" s="223">
        <f t="shared" si="170"/>
        <v>0</v>
      </c>
      <c r="AT159" s="223">
        <f t="shared" si="171"/>
        <v>0</v>
      </c>
    </row>
    <row r="160" spans="2:46" ht="15.75" x14ac:dyDescent="0.25">
      <c r="B160" s="229" t="s">
        <v>484</v>
      </c>
      <c r="C160" s="235" t="s">
        <v>396</v>
      </c>
      <c r="D160" s="243">
        <v>200</v>
      </c>
      <c r="E160" s="232" t="s">
        <v>4</v>
      </c>
      <c r="F160" s="233">
        <v>2.97</v>
      </c>
      <c r="G160" s="234">
        <v>46119</v>
      </c>
      <c r="H160" s="235" t="s">
        <v>307</v>
      </c>
      <c r="I160" s="235"/>
      <c r="J160" s="236">
        <v>0.1</v>
      </c>
      <c r="K160" s="237">
        <f ca="1">ROUND(IF(ISERROR(OFFSET(Tabella!$A$1,MATCH(H160,Tabella!$A:$A,0)-1,MATCH(J160,Tabella!$A$1:$AC$1,0)-1)=TRUE),0,+OFFSET(Tabella!$A$1,MATCH(H160,Tabella!$A:$A,0)-1,MATCH(J160,Tabella!$A$1:$AC$1,0)-1)),4)</f>
        <v>1.4</v>
      </c>
      <c r="L160" s="238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238">
        <f ca="1">ROUND(IF(ISERROR(OFFSET(Rame!$A$1,MATCH(H160,Rame!$A:$A,0)-1,MATCH(J160,Rame!$A$1:$AA$1,0)-1)=TRUE),0,OFFSET(Rame!$A$1,MATCH(H160,Rame!$A:$A,0)-1,MATCH(J160,Rame!$A$1:$AA$1,0)-1))*IF(E160="Rame",1,0),4)</f>
        <v>0</v>
      </c>
      <c r="N160" s="238">
        <v>0</v>
      </c>
      <c r="O160" s="238">
        <f ca="1">ROUND(SUM(K160:N160),4)</f>
        <v>1.4</v>
      </c>
      <c r="P160" s="238">
        <f ca="1">ROUND(+IF(ISERROR(OFFSET(Tabella!$G$1,MATCH(H160,Tabella!$G:$G,0)-1,MATCH(I160,Tabella!$G$1:$FG$1,0)-1)=TRUE),0,OFFSET(Tabella!$G$1,MATCH(H160,Tabella!$G:$G,0)-1,MATCH(I160,Tabella!$G$1:$AB$1,0)-1)),4)</f>
        <v>0</v>
      </c>
      <c r="Q160" s="238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238">
        <f ca="1">ROUND(IF(ISERROR(OFFSET(Rame!$F$1,MATCH(H160,Rame!$F:$F,0)-1,MATCH(I160,Rame!$F$1:$FF$1,0)-1)=TRUE),0,OFFSET(Rame!$F$1,MATCH(H160,Rame!$F:$F,0)-1,MATCH(I160,Rame!$F$1:$FF$1,0)-1))*IF(E160="Rame",1,0),4)</f>
        <v>0</v>
      </c>
      <c r="S160" s="238">
        <f ca="1">ROUND(IF(ISERROR(OFFSET(Bronzo!$A$1,MATCH(H160,Bronzo!$A:$A,0)-1,MATCH(I160,Bronzo!$A$1:$AA$1,0)-1)=TRUE),0,OFFSET(Bronzo!$A$1,MATCH(H160,Bronzo!$A:$A,0)-1,MATCH(I160,Bronzo!$A$1:$AA$1,0)-1)),4)</f>
        <v>0</v>
      </c>
      <c r="T160" s="238">
        <f t="shared" ca="1" si="164"/>
        <v>0</v>
      </c>
      <c r="U160" s="237"/>
      <c r="V160" s="238">
        <v>0</v>
      </c>
      <c r="W160" s="239">
        <f t="shared" ca="1" si="165"/>
        <v>1.4</v>
      </c>
      <c r="X160" s="240">
        <f t="shared" si="152"/>
        <v>20</v>
      </c>
      <c r="Y160" s="236">
        <v>4.8600000000000003</v>
      </c>
      <c r="Z160" s="236">
        <f t="shared" ca="1" si="166"/>
        <v>0.49</v>
      </c>
      <c r="AA160" s="241">
        <v>46157</v>
      </c>
      <c r="AF160" s="225">
        <f t="shared" ca="1" si="136"/>
        <v>46236</v>
      </c>
      <c r="AG160" s="225" t="b">
        <f t="shared" si="167"/>
        <v>0</v>
      </c>
      <c r="AH160" s="242"/>
      <c r="AK160" s="223">
        <f t="shared" si="168"/>
        <v>20</v>
      </c>
      <c r="AL160" s="223">
        <f t="shared" si="169"/>
        <v>2026</v>
      </c>
      <c r="AS160" s="223">
        <f t="shared" si="170"/>
        <v>5</v>
      </c>
      <c r="AT160" s="223">
        <f t="shared" si="171"/>
        <v>2026</v>
      </c>
    </row>
    <row r="161" spans="2:46" ht="15.75" x14ac:dyDescent="0.25">
      <c r="B161" s="229" t="s">
        <v>656</v>
      </c>
      <c r="C161" s="245" t="s">
        <v>441</v>
      </c>
      <c r="D161" s="246">
        <v>290</v>
      </c>
      <c r="E161" s="232" t="s">
        <v>4</v>
      </c>
      <c r="F161" s="233">
        <v>2.97</v>
      </c>
      <c r="G161" s="234">
        <v>46119</v>
      </c>
      <c r="H161" s="235" t="s">
        <v>19</v>
      </c>
      <c r="I161" s="235"/>
      <c r="J161" s="236">
        <v>7.0000000000000007E-2</v>
      </c>
      <c r="K161" s="237">
        <f ca="1">ROUND(IF(ISERROR(OFFSET(Tabella!$A$1,MATCH(H161,Tabella!$A:$A,0)-1,MATCH(J161,Tabella!$A$1:$AC$1,0)-1)=TRUE),0,+OFFSET(Tabella!$A$1,MATCH(H161,Tabella!$A:$A,0)-1,MATCH(J161,Tabella!$A$1:$AC$1,0)-1)),4)</f>
        <v>1.35</v>
      </c>
      <c r="L161" s="238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238">
        <f ca="1">ROUND(IF(ISERROR(OFFSET(Rame!$A$1,MATCH(H161,Rame!$A:$A,0)-1,MATCH(J161,Rame!$A$1:$AA$1,0)-1)=TRUE),0,OFFSET(Rame!$A$1,MATCH(H161,Rame!$A:$A,0)-1,MATCH(J161,Rame!$A$1:$AA$1,0)-1))*IF(E161="Rame",1,0),4)</f>
        <v>0</v>
      </c>
      <c r="N161" s="238">
        <v>0</v>
      </c>
      <c r="O161" s="238">
        <f ca="1">ROUND(SUM(K161:N161),4)</f>
        <v>1.35</v>
      </c>
      <c r="P161" s="238">
        <f ca="1">ROUND(+IF(ISERROR(OFFSET(Tabella!$G$1,MATCH(H161,Tabella!$G:$G,0)-1,MATCH(I161,Tabella!$G$1:$FG$1,0)-1)=TRUE),0,OFFSET(Tabella!$G$1,MATCH(H161,Tabella!$G:$G,0)-1,MATCH(I161,Tabella!$G$1:$AB$1,0)-1)),4)</f>
        <v>0</v>
      </c>
      <c r="Q161" s="238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238">
        <f ca="1">ROUND(IF(ISERROR(OFFSET(Rame!$F$1,MATCH(H161,Rame!$F:$F,0)-1,MATCH(I161,Rame!$F$1:$FF$1,0)-1)=TRUE),0,OFFSET(Rame!$F$1,MATCH(H161,Rame!$F:$F,0)-1,MATCH(I161,Rame!$F$1:$FF$1,0)-1))*IF(E161="Rame",1,0),4)</f>
        <v>0</v>
      </c>
      <c r="S161" s="238">
        <f ca="1">ROUND(IF(ISERROR(OFFSET(Bronzo!$A$1,MATCH(H161,Bronzo!$A:$A,0)-1,MATCH(I161,Bronzo!$A$1:$AA$1,0)-1)=TRUE),0,OFFSET(Bronzo!$A$1,MATCH(H161,Bronzo!$A:$A,0)-1,MATCH(I161,Bronzo!$A$1:$AA$1,0)-1)),4)</f>
        <v>0</v>
      </c>
      <c r="T161" s="238">
        <f t="shared" ca="1" si="164"/>
        <v>0</v>
      </c>
      <c r="U161" s="237"/>
      <c r="V161" s="238">
        <v>0</v>
      </c>
      <c r="W161" s="239">
        <f t="shared" ca="1" si="165"/>
        <v>1.35</v>
      </c>
      <c r="X161" s="423">
        <f t="shared" si="152"/>
        <v>20.3</v>
      </c>
      <c r="Y161" s="236">
        <v>4.55</v>
      </c>
      <c r="Z161" s="236">
        <f t="shared" ca="1" si="166"/>
        <v>0.23</v>
      </c>
      <c r="AA161" s="241"/>
      <c r="AF161" s="225">
        <f t="shared" ca="1" si="136"/>
        <v>46236</v>
      </c>
      <c r="AG161" s="225" t="b">
        <f t="shared" si="167"/>
        <v>1</v>
      </c>
      <c r="AH161" s="242"/>
      <c r="AK161" s="223">
        <f t="shared" si="168"/>
        <v>0</v>
      </c>
      <c r="AL161" s="223">
        <f t="shared" si="169"/>
        <v>1900</v>
      </c>
      <c r="AS161" s="223">
        <f t="shared" si="170"/>
        <v>0</v>
      </c>
      <c r="AT161" s="223">
        <f t="shared" si="171"/>
        <v>0</v>
      </c>
    </row>
    <row r="162" spans="2:46" ht="15.75" x14ac:dyDescent="0.25">
      <c r="B162" s="229" t="s">
        <v>601</v>
      </c>
      <c r="C162" s="245" t="s">
        <v>263</v>
      </c>
      <c r="D162" s="246">
        <v>646</v>
      </c>
      <c r="E162" s="232" t="s">
        <v>4</v>
      </c>
      <c r="F162" s="233">
        <v>2.88</v>
      </c>
      <c r="G162" s="234">
        <v>46119</v>
      </c>
      <c r="H162" s="235" t="s">
        <v>13</v>
      </c>
      <c r="I162" s="235"/>
      <c r="J162" s="236">
        <v>7.0000000000000007E-2</v>
      </c>
      <c r="K162" s="237">
        <f ca="1">ROUND(IF(ISERROR(OFFSET(Tabella!$A$1,MATCH(H162,Tabella!$A:$A,0)-1,MATCH(J162,Tabella!$A$1:$AC$1,0)-1)=TRUE),0,+OFFSET(Tabella!$A$1,MATCH(H162,Tabella!$A:$A,0)-1,MATCH(J162,Tabella!$A$1:$AC$1,0)-1)),4)</f>
        <v>1.4</v>
      </c>
      <c r="L162" s="238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238">
        <f ca="1">ROUND(IF(ISERROR(OFFSET(Rame!$A$1,MATCH(H162,Rame!$A:$A,0)-1,MATCH(J162,Rame!$A$1:$AA$1,0)-1)=TRUE),0,OFFSET(Rame!$A$1,MATCH(H162,Rame!$A:$A,0)-1,MATCH(J162,Rame!$A$1:$AA$1,0)-1))*IF(E162="Rame",1,0),4)</f>
        <v>0</v>
      </c>
      <c r="N162" s="238">
        <v>0</v>
      </c>
      <c r="O162" s="238">
        <v>1.65</v>
      </c>
      <c r="P162" s="238">
        <f ca="1">ROUND(+IF(ISERROR(OFFSET(Tabella!$G$1,MATCH(H162,Tabella!$G:$G,0)-1,MATCH(I162,Tabella!$G$1:$FG$1,0)-1)=TRUE),0,OFFSET(Tabella!$G$1,MATCH(H162,Tabella!$G:$G,0)-1,MATCH(I162,Tabella!$G$1:$AB$1,0)-1)),4)</f>
        <v>0</v>
      </c>
      <c r="Q162" s="238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238">
        <f ca="1">ROUND(IF(ISERROR(OFFSET(Rame!$F$1,MATCH(H162,Rame!$F:$F,0)-1,MATCH(I162,Rame!$F$1:$FF$1,0)-1)=TRUE),0,OFFSET(Rame!$F$1,MATCH(H162,Rame!$F:$F,0)-1,MATCH(I162,Rame!$F$1:$FF$1,0)-1))*IF(E162="Rame",1,0),4)</f>
        <v>0</v>
      </c>
      <c r="S162" s="238">
        <f ca="1">ROUND(IF(ISERROR(OFFSET(Bronzo!$A$1,MATCH(H162,Bronzo!$A:$A,0)-1,MATCH(I162,Bronzo!$A$1:$AA$1,0)-1)=TRUE),0,OFFSET(Bronzo!$A$1,MATCH(H162,Bronzo!$A:$A,0)-1,MATCH(I162,Bronzo!$A$1:$AA$1,0)-1)),4)</f>
        <v>0</v>
      </c>
      <c r="T162" s="238">
        <f t="shared" ca="1" si="164"/>
        <v>0</v>
      </c>
      <c r="U162" s="237"/>
      <c r="V162" s="238">
        <v>0</v>
      </c>
      <c r="W162" s="239">
        <f t="shared" ca="1" si="165"/>
        <v>1.65</v>
      </c>
      <c r="X162" s="423">
        <f t="shared" si="152"/>
        <v>45.22</v>
      </c>
      <c r="Y162" s="236">
        <v>4.5999999999999996</v>
      </c>
      <c r="Z162" s="236">
        <f t="shared" ca="1" si="166"/>
        <v>7.0000000000000007E-2</v>
      </c>
      <c r="AA162" s="241"/>
      <c r="AF162" s="225">
        <f t="shared" ca="1" si="136"/>
        <v>46236</v>
      </c>
      <c r="AG162" s="225" t="b">
        <f t="shared" si="167"/>
        <v>1</v>
      </c>
      <c r="AH162" s="242"/>
      <c r="AK162" s="223">
        <f t="shared" si="168"/>
        <v>0</v>
      </c>
      <c r="AL162" s="223">
        <f t="shared" si="169"/>
        <v>1900</v>
      </c>
      <c r="AS162" s="223">
        <f t="shared" si="170"/>
        <v>0</v>
      </c>
      <c r="AT162" s="223">
        <f t="shared" si="171"/>
        <v>0</v>
      </c>
    </row>
    <row r="163" spans="2:46" ht="15.75" x14ac:dyDescent="0.25">
      <c r="B163" s="229" t="s">
        <v>478</v>
      </c>
      <c r="C163" s="235" t="s">
        <v>108</v>
      </c>
      <c r="D163" s="243">
        <v>1300</v>
      </c>
      <c r="E163" s="232" t="s">
        <v>4</v>
      </c>
      <c r="F163" s="233">
        <v>2.6</v>
      </c>
      <c r="G163" s="234">
        <v>46058</v>
      </c>
      <c r="H163" s="235" t="s">
        <v>13</v>
      </c>
      <c r="I163" s="235"/>
      <c r="J163" s="236">
        <v>7.0000000000000007E-2</v>
      </c>
      <c r="K163" s="237">
        <f ca="1">ROUND(IF(ISERROR(OFFSET(Tabella!$A$1,MATCH(H163,Tabella!$A:$A,0)-1,MATCH(J163,Tabella!$A$1:$AC$1,0)-1)=TRUE),0,+OFFSET(Tabella!$A$1,MATCH(H163,Tabella!$A:$A,0)-1,MATCH(J163,Tabella!$A$1:$AC$1,0)-1)),4)</f>
        <v>1.4</v>
      </c>
      <c r="L163" s="238">
        <f ca="1">ROUND(IF(ISERROR(OFFSET(Ottone!$A$1,MATCH(H163,Ottone!$A:$A,0)-1,MATCH(J163,Ottone!$A$1:$Z$1,0)-1)=TRUE),0,OFFSET(Ottone!$A$1,MATCH(H163,Ottone!$A:$A,0)-1,MATCH(J163,Ottone!$A$1:$Z$1,0)-1))*IF(E163="Ottone",1,0),4)</f>
        <v>0</v>
      </c>
      <c r="M163" s="238">
        <f ca="1">ROUND(IF(ISERROR(OFFSET(Rame!$A$1,MATCH(H163,Rame!$A:$A,0)-1,MATCH(J163,Rame!$A$1:$AA$1,0)-1)=TRUE),0,OFFSET(Rame!$A$1,MATCH(H163,Rame!$A:$A,0)-1,MATCH(J163,Rame!$A$1:$AA$1,0)-1))*IF(E163="Rame",1,0),4)</f>
        <v>0</v>
      </c>
      <c r="N163" s="238">
        <v>0</v>
      </c>
      <c r="O163" s="238">
        <f t="shared" ref="O163:O197" ca="1" si="172">ROUND(SUM(K163:N163),4)</f>
        <v>1.4</v>
      </c>
      <c r="P163" s="238">
        <f ca="1">ROUND(+IF(ISERROR(OFFSET(Tabella!$G$1,MATCH(H163,Tabella!$G:$G,0)-1,MATCH(I163,Tabella!$G$1:$FG$1,0)-1)=TRUE),0,OFFSET(Tabella!$G$1,MATCH(H163,Tabella!$G:$G,0)-1,MATCH(I163,Tabella!$G$1:$AB$1,0)-1)),4)</f>
        <v>0</v>
      </c>
      <c r="Q163" s="238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238">
        <f ca="1">ROUND(IF(ISERROR(OFFSET(Rame!$F$1,MATCH(H163,Rame!$F:$F,0)-1,MATCH(I163,Rame!$F$1:$FF$1,0)-1)=TRUE),0,OFFSET(Rame!$F$1,MATCH(H163,Rame!$F:$F,0)-1,MATCH(I163,Rame!$F$1:$FF$1,0)-1))*IF(E163="Rame",1,0),4)</f>
        <v>0</v>
      </c>
      <c r="S163" s="238">
        <f ca="1">ROUND(IF(ISERROR(OFFSET(Bronzo!$A$1,MATCH(H163,Bronzo!$A:$A,0)-1,MATCH(I163,Bronzo!$A$1:$AA$1,0)-1)=TRUE),0,OFFSET(Bronzo!$A$1,MATCH(H163,Bronzo!$A:$A,0)-1,MATCH(I163,Bronzo!$A$1:$AA$1,0)-1)),4)</f>
        <v>0</v>
      </c>
      <c r="T163" s="238">
        <f t="shared" ca="1" si="164"/>
        <v>0</v>
      </c>
      <c r="U163" s="237"/>
      <c r="V163" s="238">
        <v>0</v>
      </c>
      <c r="W163" s="239">
        <f t="shared" ca="1" si="165"/>
        <v>1.4</v>
      </c>
      <c r="X163" s="240">
        <f t="shared" si="152"/>
        <v>91</v>
      </c>
      <c r="Y163" s="236">
        <v>4.0999999999999996</v>
      </c>
      <c r="Z163" s="236">
        <f t="shared" ca="1" si="166"/>
        <v>0.1</v>
      </c>
      <c r="AA163" s="241">
        <v>46139</v>
      </c>
      <c r="AF163" s="225">
        <f t="shared" ca="1" si="136"/>
        <v>46236</v>
      </c>
      <c r="AG163" s="225" t="b">
        <f t="shared" si="167"/>
        <v>0</v>
      </c>
      <c r="AH163" s="242"/>
      <c r="AK163" s="223">
        <f t="shared" si="168"/>
        <v>18</v>
      </c>
      <c r="AL163" s="223">
        <f t="shared" si="169"/>
        <v>2026</v>
      </c>
      <c r="AS163" s="223">
        <f t="shared" si="170"/>
        <v>4</v>
      </c>
      <c r="AT163" s="223">
        <f t="shared" si="171"/>
        <v>2026</v>
      </c>
    </row>
    <row r="164" spans="2:46" ht="15.75" x14ac:dyDescent="0.25">
      <c r="B164" s="229" t="s">
        <v>489</v>
      </c>
      <c r="C164" s="235" t="s">
        <v>113</v>
      </c>
      <c r="D164" s="243">
        <v>500</v>
      </c>
      <c r="E164" s="232" t="s">
        <v>5</v>
      </c>
      <c r="F164" s="233">
        <v>9.6999999999999993</v>
      </c>
      <c r="G164" s="234">
        <v>46120</v>
      </c>
      <c r="H164" s="235" t="s">
        <v>18</v>
      </c>
      <c r="I164" s="235"/>
      <c r="J164" s="236">
        <v>0.15</v>
      </c>
      <c r="K164" s="237">
        <f ca="1">ROUND(IF(ISERROR(OFFSET(Tabella!$A$1,MATCH(H164,Tabella!$A:$A,0)-1,MATCH(J164,Tabella!$A$1:$AC$1,0)-1)=TRUE),0,+OFFSET(Tabella!$A$1,MATCH(H164,Tabella!$A:$A,0)-1,MATCH(J164,Tabella!$A$1:$AC$1,0)-1)),4)</f>
        <v>0</v>
      </c>
      <c r="L164" s="238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238">
        <f ca="1">ROUND(IF(ISERROR(OFFSET(Rame!$A$1,MATCH(H164,Rame!$A:$A,0)-1,MATCH(J164,Rame!$A$1:$AA$1,0)-1)=TRUE),0,OFFSET(Rame!$A$1,MATCH(H164,Rame!$A:$A,0)-1,MATCH(J164,Rame!$A$1:$AA$1,0)-1))*IF(E164="Rame",1,0),4)</f>
        <v>0</v>
      </c>
      <c r="N164" s="238">
        <v>0</v>
      </c>
      <c r="O164" s="238">
        <f t="shared" ca="1" si="172"/>
        <v>0.7</v>
      </c>
      <c r="P164" s="238">
        <f ca="1">ROUND(+IF(ISERROR(OFFSET(Tabella!$G$1,MATCH(H164,Tabella!$G:$G,0)-1,MATCH(I164,Tabella!$G$1:$FG$1,0)-1)=TRUE),0,OFFSET(Tabella!$G$1,MATCH(H164,Tabella!$G:$G,0)-1,MATCH(I164,Tabella!$G$1:$AB$1,0)-1)),4)</f>
        <v>0</v>
      </c>
      <c r="Q164" s="238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238">
        <f ca="1">ROUND(IF(ISERROR(OFFSET(Rame!$F$1,MATCH(H164,Rame!$F:$F,0)-1,MATCH(I164,Rame!$F$1:$FF$1,0)-1)=TRUE),0,OFFSET(Rame!$F$1,MATCH(H164,Rame!$F:$F,0)-1,MATCH(I164,Rame!$F$1:$FF$1,0)-1))*IF(E164="Rame",1,0),4)</f>
        <v>0</v>
      </c>
      <c r="S164" s="238">
        <f ca="1">ROUND(IF(ISERROR(OFFSET(Bronzo!$A$1,MATCH(H164,Bronzo!$A:$A,0)-1,MATCH(I164,Bronzo!$A$1:$AA$1,0)-1)=TRUE),0,OFFSET(Bronzo!$A$1,MATCH(H164,Bronzo!$A:$A,0)-1,MATCH(I164,Bronzo!$A$1:$AA$1,0)-1)),4)</f>
        <v>0</v>
      </c>
      <c r="T164" s="238">
        <f t="shared" ca="1" si="164"/>
        <v>0</v>
      </c>
      <c r="U164" s="237"/>
      <c r="V164" s="238">
        <v>0</v>
      </c>
      <c r="W164" s="239">
        <f t="shared" ca="1" si="165"/>
        <v>0.7</v>
      </c>
      <c r="X164" s="240">
        <f t="shared" si="152"/>
        <v>75</v>
      </c>
      <c r="Y164" s="236">
        <v>11.65</v>
      </c>
      <c r="Z164" s="236">
        <f t="shared" ca="1" si="166"/>
        <v>1.25</v>
      </c>
      <c r="AA164" s="241">
        <v>46196</v>
      </c>
      <c r="AF164" s="225">
        <f t="shared" ca="1" si="136"/>
        <v>46236</v>
      </c>
      <c r="AG164" s="225" t="b">
        <f t="shared" si="167"/>
        <v>0</v>
      </c>
      <c r="AH164" s="242"/>
      <c r="AK164" s="223">
        <f t="shared" si="168"/>
        <v>26</v>
      </c>
      <c r="AL164" s="223">
        <f t="shared" si="169"/>
        <v>2026</v>
      </c>
      <c r="AS164" s="223">
        <f t="shared" si="170"/>
        <v>6</v>
      </c>
      <c r="AT164" s="223">
        <f t="shared" si="171"/>
        <v>2026</v>
      </c>
    </row>
    <row r="165" spans="2:46" ht="15.75" x14ac:dyDescent="0.25">
      <c r="B165" s="229" t="s">
        <v>489</v>
      </c>
      <c r="C165" s="235" t="s">
        <v>113</v>
      </c>
      <c r="D165" s="243">
        <v>1000</v>
      </c>
      <c r="E165" s="232" t="s">
        <v>5</v>
      </c>
      <c r="F165" s="233">
        <v>9.6999999999999993</v>
      </c>
      <c r="G165" s="234">
        <v>46120</v>
      </c>
      <c r="H165" s="235" t="s">
        <v>18</v>
      </c>
      <c r="I165" s="235"/>
      <c r="J165" s="236">
        <v>0.15</v>
      </c>
      <c r="K165" s="237">
        <f ca="1">ROUND(IF(ISERROR(OFFSET(Tabella!$A$1,MATCH(H165,Tabella!$A:$A,0)-1,MATCH(J165,Tabella!$A$1:$AC$1,0)-1)=TRUE),0,+OFFSET(Tabella!$A$1,MATCH(H165,Tabella!$A:$A,0)-1,MATCH(J165,Tabella!$A$1:$AC$1,0)-1)),4)</f>
        <v>0</v>
      </c>
      <c r="L165" s="238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238">
        <f ca="1">ROUND(IF(ISERROR(OFFSET(Rame!$A$1,MATCH(H165,Rame!$A:$A,0)-1,MATCH(J165,Rame!$A$1:$AA$1,0)-1)=TRUE),0,OFFSET(Rame!$A$1,MATCH(H165,Rame!$A:$A,0)-1,MATCH(J165,Rame!$A$1:$AA$1,0)-1))*IF(E165="Rame",1,0),4)</f>
        <v>0</v>
      </c>
      <c r="N165" s="238">
        <v>0</v>
      </c>
      <c r="O165" s="238">
        <f t="shared" ca="1" si="172"/>
        <v>0.7</v>
      </c>
      <c r="P165" s="238">
        <f ca="1">ROUND(+IF(ISERROR(OFFSET(Tabella!$G$1,MATCH(H165,Tabella!$G:$G,0)-1,MATCH(I165,Tabella!$G$1:$FG$1,0)-1)=TRUE),0,OFFSET(Tabella!$G$1,MATCH(H165,Tabella!$G:$G,0)-1,MATCH(I165,Tabella!$G$1:$AB$1,0)-1)),4)</f>
        <v>0</v>
      </c>
      <c r="Q165" s="238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238">
        <f ca="1">ROUND(IF(ISERROR(OFFSET(Rame!$F$1,MATCH(H165,Rame!$F:$F,0)-1,MATCH(I165,Rame!$F$1:$FF$1,0)-1)=TRUE),0,OFFSET(Rame!$F$1,MATCH(H165,Rame!$F:$F,0)-1,MATCH(I165,Rame!$F$1:$FF$1,0)-1))*IF(E165="Rame",1,0),4)</f>
        <v>0</v>
      </c>
      <c r="S165" s="238">
        <f ca="1">ROUND(IF(ISERROR(OFFSET(Bronzo!$A$1,MATCH(H165,Bronzo!$A:$A,0)-1,MATCH(I165,Bronzo!$A$1:$AA$1,0)-1)=TRUE),0,OFFSET(Bronzo!$A$1,MATCH(H165,Bronzo!$A:$A,0)-1,MATCH(I165,Bronzo!$A$1:$AA$1,0)-1)),4)</f>
        <v>0</v>
      </c>
      <c r="T165" s="238">
        <f t="shared" ca="1" si="164"/>
        <v>0</v>
      </c>
      <c r="U165" s="237"/>
      <c r="V165" s="238">
        <v>0</v>
      </c>
      <c r="W165" s="239">
        <f t="shared" ca="1" si="165"/>
        <v>0.7</v>
      </c>
      <c r="X165" s="240">
        <f t="shared" si="152"/>
        <v>150</v>
      </c>
      <c r="Y165" s="236">
        <v>11.65</v>
      </c>
      <c r="Z165" s="236">
        <f t="shared" ca="1" si="166"/>
        <v>1.25</v>
      </c>
      <c r="AA165" s="241">
        <v>46196</v>
      </c>
      <c r="AF165" s="225">
        <f t="shared" ca="1" si="136"/>
        <v>46236</v>
      </c>
      <c r="AG165" s="225" t="b">
        <f t="shared" si="167"/>
        <v>0</v>
      </c>
      <c r="AH165" s="242"/>
      <c r="AK165" s="223">
        <f t="shared" si="168"/>
        <v>26</v>
      </c>
      <c r="AL165" s="223">
        <f t="shared" si="169"/>
        <v>2026</v>
      </c>
      <c r="AS165" s="223">
        <f t="shared" si="170"/>
        <v>6</v>
      </c>
      <c r="AT165" s="223">
        <f t="shared" si="171"/>
        <v>2026</v>
      </c>
    </row>
    <row r="166" spans="2:46" ht="15.75" x14ac:dyDescent="0.25">
      <c r="B166" s="229" t="s">
        <v>489</v>
      </c>
      <c r="C166" s="235" t="s">
        <v>113</v>
      </c>
      <c r="D166" s="243">
        <v>1000</v>
      </c>
      <c r="E166" s="232" t="s">
        <v>5</v>
      </c>
      <c r="F166" s="233">
        <v>9.6999999999999993</v>
      </c>
      <c r="G166" s="234">
        <v>46120</v>
      </c>
      <c r="H166" s="235" t="s">
        <v>18</v>
      </c>
      <c r="I166" s="235"/>
      <c r="J166" s="236">
        <v>0.15</v>
      </c>
      <c r="K166" s="237">
        <f ca="1">ROUND(IF(ISERROR(OFFSET(Tabella!$A$1,MATCH(H166,Tabella!$A:$A,0)-1,MATCH(J166,Tabella!$A$1:$AC$1,0)-1)=TRUE),0,+OFFSET(Tabella!$A$1,MATCH(H166,Tabella!$A:$A,0)-1,MATCH(J166,Tabella!$A$1:$AC$1,0)-1)),4)</f>
        <v>0</v>
      </c>
      <c r="L166" s="238">
        <f ca="1">ROUND(IF(ISERROR(OFFSET(Ottone!$A$1,MATCH(H166,Ottone!$A:$A,0)-1,MATCH(J166,Ottone!$A$1:$Z$1,0)-1)=TRUE),0,OFFSET(Ottone!$A$1,MATCH(H166,Ottone!$A:$A,0)-1,MATCH(J166,Ottone!$A$1:$Z$1,0)-1))*IF(E166="Ottone",1,0),4)</f>
        <v>0.7</v>
      </c>
      <c r="M166" s="238">
        <f ca="1">ROUND(IF(ISERROR(OFFSET(Rame!$A$1,MATCH(H166,Rame!$A:$A,0)-1,MATCH(J166,Rame!$A$1:$AA$1,0)-1)=TRUE),0,OFFSET(Rame!$A$1,MATCH(H166,Rame!$A:$A,0)-1,MATCH(J166,Rame!$A$1:$AA$1,0)-1))*IF(E166="Rame",1,0),4)</f>
        <v>0</v>
      </c>
      <c r="N166" s="238">
        <v>0</v>
      </c>
      <c r="O166" s="238">
        <f t="shared" ca="1" si="172"/>
        <v>0.7</v>
      </c>
      <c r="P166" s="238">
        <f ca="1">ROUND(+IF(ISERROR(OFFSET(Tabella!$G$1,MATCH(H166,Tabella!$G:$G,0)-1,MATCH(I166,Tabella!$G$1:$FG$1,0)-1)=TRUE),0,OFFSET(Tabella!$G$1,MATCH(H166,Tabella!$G:$G,0)-1,MATCH(I166,Tabella!$G$1:$AB$1,0)-1)),4)</f>
        <v>0</v>
      </c>
      <c r="Q166" s="238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238">
        <f ca="1">ROUND(IF(ISERROR(OFFSET(Rame!$F$1,MATCH(H166,Rame!$F:$F,0)-1,MATCH(I166,Rame!$F$1:$FF$1,0)-1)=TRUE),0,OFFSET(Rame!$F$1,MATCH(H166,Rame!$F:$F,0)-1,MATCH(I166,Rame!$F$1:$FF$1,0)-1))*IF(E166="Rame",1,0),4)</f>
        <v>0</v>
      </c>
      <c r="S166" s="238">
        <f ca="1">ROUND(IF(ISERROR(OFFSET(Bronzo!$A$1,MATCH(H166,Bronzo!$A:$A,0)-1,MATCH(I166,Bronzo!$A$1:$AA$1,0)-1)=TRUE),0,OFFSET(Bronzo!$A$1,MATCH(H166,Bronzo!$A:$A,0)-1,MATCH(I166,Bronzo!$A$1:$AA$1,0)-1)),4)</f>
        <v>0</v>
      </c>
      <c r="T166" s="238">
        <f t="shared" ca="1" si="164"/>
        <v>0</v>
      </c>
      <c r="U166" s="237"/>
      <c r="V166" s="238">
        <v>0</v>
      </c>
      <c r="W166" s="239">
        <f t="shared" ca="1" si="165"/>
        <v>0.7</v>
      </c>
      <c r="X166" s="240">
        <f t="shared" si="152"/>
        <v>150</v>
      </c>
      <c r="Y166" s="236">
        <v>11.65</v>
      </c>
      <c r="Z166" s="236">
        <f t="shared" ca="1" si="166"/>
        <v>1.25</v>
      </c>
      <c r="AA166" s="241">
        <v>46196</v>
      </c>
      <c r="AF166" s="225">
        <f t="shared" ca="1" si="136"/>
        <v>46236</v>
      </c>
      <c r="AG166" s="225" t="b">
        <f t="shared" si="167"/>
        <v>0</v>
      </c>
      <c r="AH166" s="242"/>
      <c r="AK166" s="223">
        <f t="shared" si="168"/>
        <v>26</v>
      </c>
      <c r="AL166" s="223">
        <f t="shared" si="169"/>
        <v>2026</v>
      </c>
      <c r="AS166" s="223">
        <f t="shared" si="170"/>
        <v>6</v>
      </c>
      <c r="AT166" s="223">
        <f t="shared" si="171"/>
        <v>2026</v>
      </c>
    </row>
    <row r="167" spans="2:46" ht="15.75" x14ac:dyDescent="0.25">
      <c r="B167" s="229" t="s">
        <v>490</v>
      </c>
      <c r="C167" s="235" t="s">
        <v>102</v>
      </c>
      <c r="D167" s="243">
        <v>3000</v>
      </c>
      <c r="E167" s="232" t="s">
        <v>4</v>
      </c>
      <c r="F167" s="233">
        <v>2.65</v>
      </c>
      <c r="G167" s="234">
        <v>46050</v>
      </c>
      <c r="H167" s="235" t="s">
        <v>27</v>
      </c>
      <c r="I167" s="235"/>
      <c r="J167" s="236">
        <v>7.0000000000000007E-2</v>
      </c>
      <c r="K167" s="237">
        <v>1.6</v>
      </c>
      <c r="L167" s="238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238">
        <f ca="1">ROUND(IF(ISERROR(OFFSET(Rame!$A$1,MATCH(H167,Rame!$A:$A,0)-1,MATCH(J167,Rame!$A$1:$AA$1,0)-1)=TRUE),0,OFFSET(Rame!$A$1,MATCH(H167,Rame!$A:$A,0)-1,MATCH(J167,Rame!$A$1:$AA$1,0)-1))*IF(E167="Rame",1,0),4)</f>
        <v>0</v>
      </c>
      <c r="N167" s="238">
        <v>0</v>
      </c>
      <c r="O167" s="238">
        <f t="shared" ca="1" si="172"/>
        <v>1.6</v>
      </c>
      <c r="P167" s="238">
        <f ca="1">ROUND(+IF(ISERROR(OFFSET(Tabella!$G$1,MATCH(H167,Tabella!$G:$G,0)-1,MATCH(I167,Tabella!$G$1:$FG$1,0)-1)=TRUE),0,OFFSET(Tabella!$G$1,MATCH(H167,Tabella!$G:$G,0)-1,MATCH(I167,Tabella!$G$1:$AB$1,0)-1)),4)</f>
        <v>0</v>
      </c>
      <c r="Q167" s="238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238">
        <f ca="1">ROUND(IF(ISERROR(OFFSET(Rame!$F$1,MATCH(H167,Rame!$F:$F,0)-1,MATCH(I167,Rame!$F$1:$FF$1,0)-1)=TRUE),0,OFFSET(Rame!$F$1,MATCH(H167,Rame!$F:$F,0)-1,MATCH(I167,Rame!$F$1:$FF$1,0)-1))*IF(E167="Rame",1,0),4)</f>
        <v>0</v>
      </c>
      <c r="S167" s="238">
        <f ca="1">ROUND(IF(ISERROR(OFFSET(Bronzo!$A$1,MATCH(H167,Bronzo!$A:$A,0)-1,MATCH(I167,Bronzo!$A$1:$AA$1,0)-1)=TRUE),0,OFFSET(Bronzo!$A$1,MATCH(H167,Bronzo!$A:$A,0)-1,MATCH(I167,Bronzo!$A$1:$AA$1,0)-1)),4)</f>
        <v>0</v>
      </c>
      <c r="T167" s="238">
        <f t="shared" ca="1" si="164"/>
        <v>0</v>
      </c>
      <c r="U167" s="237"/>
      <c r="V167" s="238">
        <v>0</v>
      </c>
      <c r="W167" s="239">
        <f t="shared" ca="1" si="165"/>
        <v>1.6</v>
      </c>
      <c r="X167" s="240">
        <f t="shared" si="152"/>
        <v>210</v>
      </c>
      <c r="Y167" s="236">
        <v>4.1500000000000004</v>
      </c>
      <c r="Z167" s="236">
        <f t="shared" ca="1" si="166"/>
        <v>-0.1</v>
      </c>
      <c r="AA167" s="241">
        <v>46183</v>
      </c>
      <c r="AF167" s="225">
        <f t="shared" ca="1" si="136"/>
        <v>46236</v>
      </c>
      <c r="AG167" s="225" t="b">
        <f t="shared" si="167"/>
        <v>0</v>
      </c>
      <c r="AH167" s="242"/>
      <c r="AK167" s="223">
        <f t="shared" si="168"/>
        <v>24</v>
      </c>
      <c r="AL167" s="223">
        <f t="shared" si="169"/>
        <v>2026</v>
      </c>
      <c r="AS167" s="223">
        <f t="shared" si="170"/>
        <v>6</v>
      </c>
      <c r="AT167" s="223">
        <f t="shared" si="171"/>
        <v>2026</v>
      </c>
    </row>
    <row r="168" spans="2:46" ht="15.75" x14ac:dyDescent="0.25">
      <c r="B168" s="229" t="s">
        <v>649</v>
      </c>
      <c r="C168" s="427" t="s">
        <v>263</v>
      </c>
      <c r="D168" s="428">
        <v>1461</v>
      </c>
      <c r="E168" s="232" t="s">
        <v>4</v>
      </c>
      <c r="F168" s="233">
        <v>2.88</v>
      </c>
      <c r="G168" s="234">
        <v>46120</v>
      </c>
      <c r="H168" s="235" t="s">
        <v>19</v>
      </c>
      <c r="I168" s="235"/>
      <c r="J168" s="236">
        <v>7.0000000000000007E-2</v>
      </c>
      <c r="K168" s="237">
        <v>1.68</v>
      </c>
      <c r="L168" s="238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238">
        <f ca="1">ROUND(IF(ISERROR(OFFSET(Rame!$A$1,MATCH(H168,Rame!$A:$A,0)-1,MATCH(J168,Rame!$A$1:$AA$1,0)-1)=TRUE),0,OFFSET(Rame!$A$1,MATCH(H168,Rame!$A:$A,0)-1,MATCH(J168,Rame!$A$1:$AA$1,0)-1))*IF(E168="Rame",1,0),4)</f>
        <v>0</v>
      </c>
      <c r="N168" s="238">
        <v>0</v>
      </c>
      <c r="O168" s="238">
        <f t="shared" ca="1" si="172"/>
        <v>1.68</v>
      </c>
      <c r="P168" s="238">
        <f ca="1">ROUND(+IF(ISERROR(OFFSET(Tabella!$G$1,MATCH(H168,Tabella!$G:$G,0)-1,MATCH(I168,Tabella!$G$1:$FG$1,0)-1)=TRUE),0,OFFSET(Tabella!$G$1,MATCH(H168,Tabella!$G:$G,0)-1,MATCH(I168,Tabella!$G$1:$AB$1,0)-1)),4)</f>
        <v>0</v>
      </c>
      <c r="Q168" s="238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238">
        <f ca="1">ROUND(IF(ISERROR(OFFSET(Rame!$F$1,MATCH(H168,Rame!$F:$F,0)-1,MATCH(I168,Rame!$F$1:$FF$1,0)-1)=TRUE),0,OFFSET(Rame!$F$1,MATCH(H168,Rame!$F:$F,0)-1,MATCH(I168,Rame!$F$1:$FF$1,0)-1))*IF(E168="Rame",1,0),4)</f>
        <v>0</v>
      </c>
      <c r="S168" s="238">
        <f ca="1">ROUND(IF(ISERROR(OFFSET(Bronzo!$A$1,MATCH(H168,Bronzo!$A:$A,0)-1,MATCH(I168,Bronzo!$A$1:$AA$1,0)-1)=TRUE),0,OFFSET(Bronzo!$A$1,MATCH(H168,Bronzo!$A:$A,0)-1,MATCH(I168,Bronzo!$A$1:$AA$1,0)-1)),4)</f>
        <v>0</v>
      </c>
      <c r="T168" s="238">
        <f t="shared" ca="1" si="164"/>
        <v>0</v>
      </c>
      <c r="U168" s="237"/>
      <c r="V168" s="238">
        <v>0</v>
      </c>
      <c r="W168" s="239">
        <f t="shared" ca="1" si="165"/>
        <v>1.68</v>
      </c>
      <c r="X168" s="429">
        <f t="shared" si="152"/>
        <v>102.27</v>
      </c>
      <c r="Y168" s="236">
        <v>4.5599999999999996</v>
      </c>
      <c r="Z168" s="236">
        <f t="shared" ca="1" si="166"/>
        <v>0</v>
      </c>
      <c r="AA168" s="241"/>
      <c r="AF168" s="225">
        <f t="shared" ca="1" si="136"/>
        <v>46236</v>
      </c>
      <c r="AG168" s="225" t="b">
        <f t="shared" si="167"/>
        <v>1</v>
      </c>
      <c r="AH168" s="242"/>
      <c r="AK168" s="223">
        <f t="shared" si="168"/>
        <v>0</v>
      </c>
      <c r="AL168" s="223">
        <f t="shared" si="169"/>
        <v>1900</v>
      </c>
      <c r="AS168" s="223">
        <f t="shared" si="170"/>
        <v>0</v>
      </c>
      <c r="AT168" s="223">
        <f t="shared" si="171"/>
        <v>0</v>
      </c>
    </row>
    <row r="169" spans="2:46" ht="15.75" x14ac:dyDescent="0.25">
      <c r="B169" s="229" t="s">
        <v>602</v>
      </c>
      <c r="C169" s="245" t="s">
        <v>263</v>
      </c>
      <c r="D169" s="246">
        <v>671</v>
      </c>
      <c r="E169" s="232" t="s">
        <v>4</v>
      </c>
      <c r="F169" s="233">
        <v>2.88</v>
      </c>
      <c r="G169" s="234">
        <v>46120</v>
      </c>
      <c r="H169" s="235" t="s">
        <v>25</v>
      </c>
      <c r="I169" s="235"/>
      <c r="J169" s="236">
        <v>7.0000000000000007E-2</v>
      </c>
      <c r="K169" s="237">
        <v>1.68</v>
      </c>
      <c r="L169" s="238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238">
        <f ca="1">ROUND(IF(ISERROR(OFFSET(Rame!$A$1,MATCH(H169,Rame!$A:$A,0)-1,MATCH(J169,Rame!$A$1:$AA$1,0)-1)=TRUE),0,OFFSET(Rame!$A$1,MATCH(H169,Rame!$A:$A,0)-1,MATCH(J169,Rame!$A$1:$AA$1,0)-1))*IF(E169="Rame",1,0),4)</f>
        <v>0</v>
      </c>
      <c r="N169" s="238">
        <v>0</v>
      </c>
      <c r="O169" s="238">
        <f t="shared" ca="1" si="172"/>
        <v>1.68</v>
      </c>
      <c r="P169" s="238">
        <f ca="1">ROUND(+IF(ISERROR(OFFSET(Tabella!$G$1,MATCH(H169,Tabella!$G:$G,0)-1,MATCH(I169,Tabella!$G$1:$FG$1,0)-1)=TRUE),0,OFFSET(Tabella!$G$1,MATCH(H169,Tabella!$G:$G,0)-1,MATCH(I169,Tabella!$G$1:$AB$1,0)-1)),4)</f>
        <v>0</v>
      </c>
      <c r="Q169" s="238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238">
        <f ca="1">ROUND(IF(ISERROR(OFFSET(Rame!$F$1,MATCH(H169,Rame!$F:$F,0)-1,MATCH(I169,Rame!$F$1:$FF$1,0)-1)=TRUE),0,OFFSET(Rame!$F$1,MATCH(H169,Rame!$F:$F,0)-1,MATCH(I169,Rame!$F$1:$FF$1,0)-1))*IF(E169="Rame",1,0),4)</f>
        <v>0</v>
      </c>
      <c r="S169" s="238">
        <f ca="1">ROUND(IF(ISERROR(OFFSET(Bronzo!$A$1,MATCH(H169,Bronzo!$A:$A,0)-1,MATCH(I169,Bronzo!$A$1:$AA$1,0)-1)=TRUE),0,OFFSET(Bronzo!$A$1,MATCH(H169,Bronzo!$A:$A,0)-1,MATCH(I169,Bronzo!$A$1:$AA$1,0)-1)),4)</f>
        <v>0</v>
      </c>
      <c r="T169" s="238">
        <f t="shared" ca="1" si="164"/>
        <v>0</v>
      </c>
      <c r="U169" s="237"/>
      <c r="V169" s="238">
        <v>0</v>
      </c>
      <c r="W169" s="239">
        <f t="shared" ca="1" si="165"/>
        <v>1.68</v>
      </c>
      <c r="X169" s="423">
        <f t="shared" si="152"/>
        <v>46.97</v>
      </c>
      <c r="Y169" s="236">
        <v>4.5599999999999996</v>
      </c>
      <c r="Z169" s="236">
        <f t="shared" ca="1" si="166"/>
        <v>0</v>
      </c>
      <c r="AA169" s="241"/>
      <c r="AF169" s="225">
        <f t="shared" ca="1" si="136"/>
        <v>46236</v>
      </c>
      <c r="AG169" s="225" t="b">
        <f t="shared" si="167"/>
        <v>1</v>
      </c>
      <c r="AH169" s="242"/>
      <c r="AK169" s="223">
        <f t="shared" si="168"/>
        <v>0</v>
      </c>
      <c r="AL169" s="223">
        <f t="shared" si="169"/>
        <v>1900</v>
      </c>
      <c r="AS169" s="223">
        <f t="shared" si="170"/>
        <v>0</v>
      </c>
      <c r="AT169" s="223">
        <f t="shared" si="171"/>
        <v>0</v>
      </c>
    </row>
    <row r="170" spans="2:46" ht="15.75" x14ac:dyDescent="0.25">
      <c r="B170" s="229" t="s">
        <v>602</v>
      </c>
      <c r="C170" s="245" t="s">
        <v>263</v>
      </c>
      <c r="D170" s="246">
        <v>1017</v>
      </c>
      <c r="E170" s="232" t="s">
        <v>4</v>
      </c>
      <c r="F170" s="233">
        <v>2.88</v>
      </c>
      <c r="G170" s="234">
        <v>46120</v>
      </c>
      <c r="H170" s="235" t="s">
        <v>9</v>
      </c>
      <c r="I170" s="235"/>
      <c r="J170" s="236">
        <v>7.0000000000000007E-2</v>
      </c>
      <c r="K170" s="237">
        <v>1.98</v>
      </c>
      <c r="L170" s="238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238">
        <f ca="1">ROUND(IF(ISERROR(OFFSET(Rame!$A$1,MATCH(H170,Rame!$A:$A,0)-1,MATCH(J170,Rame!$A$1:$AA$1,0)-1)=TRUE),0,OFFSET(Rame!$A$1,MATCH(H170,Rame!$A:$A,0)-1,MATCH(J170,Rame!$A$1:$AA$1,0)-1))*IF(E170="Rame",1,0),4)</f>
        <v>0</v>
      </c>
      <c r="N170" s="238">
        <v>0</v>
      </c>
      <c r="O170" s="238">
        <f t="shared" ca="1" si="172"/>
        <v>1.98</v>
      </c>
      <c r="P170" s="238">
        <f ca="1">ROUND(+IF(ISERROR(OFFSET(Tabella!$G$1,MATCH(H170,Tabella!$G:$G,0)-1,MATCH(I170,Tabella!$G$1:$FG$1,0)-1)=TRUE),0,OFFSET(Tabella!$G$1,MATCH(H170,Tabella!$G:$G,0)-1,MATCH(I170,Tabella!$G$1:$AB$1,0)-1)),4)</f>
        <v>0</v>
      </c>
      <c r="Q170" s="238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238">
        <f ca="1">ROUND(IF(ISERROR(OFFSET(Rame!$F$1,MATCH(H170,Rame!$F:$F,0)-1,MATCH(I170,Rame!$F$1:$FF$1,0)-1)=TRUE),0,OFFSET(Rame!$F$1,MATCH(H170,Rame!$F:$F,0)-1,MATCH(I170,Rame!$F$1:$FF$1,0)-1))*IF(E170="Rame",1,0),4)</f>
        <v>0</v>
      </c>
      <c r="S170" s="238">
        <f ca="1">ROUND(IF(ISERROR(OFFSET(Bronzo!$A$1,MATCH(H170,Bronzo!$A:$A,0)-1,MATCH(I170,Bronzo!$A$1:$AA$1,0)-1)=TRUE),0,OFFSET(Bronzo!$A$1,MATCH(H170,Bronzo!$A:$A,0)-1,MATCH(I170,Bronzo!$A$1:$AA$1,0)-1)),4)</f>
        <v>0</v>
      </c>
      <c r="T170" s="238">
        <f t="shared" ca="1" si="164"/>
        <v>0</v>
      </c>
      <c r="U170" s="237"/>
      <c r="V170" s="238">
        <v>0</v>
      </c>
      <c r="W170" s="239">
        <f t="shared" ca="1" si="165"/>
        <v>1.98</v>
      </c>
      <c r="X170" s="423">
        <f t="shared" si="152"/>
        <v>71.19</v>
      </c>
      <c r="Y170" s="236">
        <v>4.8600000000000003</v>
      </c>
      <c r="Z170" s="236">
        <f t="shared" ca="1" si="166"/>
        <v>0</v>
      </c>
      <c r="AA170" s="241"/>
      <c r="AF170" s="225">
        <f t="shared" ca="1" si="136"/>
        <v>46236</v>
      </c>
      <c r="AG170" s="225" t="b">
        <f t="shared" si="167"/>
        <v>1</v>
      </c>
      <c r="AH170" s="242"/>
      <c r="AK170" s="223">
        <f t="shared" si="168"/>
        <v>0</v>
      </c>
      <c r="AL170" s="223">
        <f t="shared" si="169"/>
        <v>1900</v>
      </c>
      <c r="AS170" s="223">
        <f t="shared" si="170"/>
        <v>0</v>
      </c>
      <c r="AT170" s="223">
        <f t="shared" si="171"/>
        <v>0</v>
      </c>
    </row>
    <row r="171" spans="2:46" ht="15.75" x14ac:dyDescent="0.25">
      <c r="B171" s="229" t="s">
        <v>609</v>
      </c>
      <c r="C171" s="427" t="s">
        <v>263</v>
      </c>
      <c r="D171" s="428">
        <v>1600</v>
      </c>
      <c r="E171" s="232" t="s">
        <v>4</v>
      </c>
      <c r="F171" s="233">
        <v>2.88</v>
      </c>
      <c r="G171" s="234">
        <v>46120</v>
      </c>
      <c r="H171" s="235" t="s">
        <v>309</v>
      </c>
      <c r="I171" s="235"/>
      <c r="J171" s="236">
        <v>7.0000000000000007E-2</v>
      </c>
      <c r="K171" s="237">
        <v>1.68</v>
      </c>
      <c r="L171" s="238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238">
        <f ca="1">ROUND(IF(ISERROR(OFFSET(Rame!$A$1,MATCH(H171,Rame!$A:$A,0)-1,MATCH(J171,Rame!$A$1:$AA$1,0)-1)=TRUE),0,OFFSET(Rame!$A$1,MATCH(H171,Rame!$A:$A,0)-1,MATCH(J171,Rame!$A$1:$AA$1,0)-1))*IF(E171="Rame",1,0),4)</f>
        <v>0</v>
      </c>
      <c r="N171" s="238">
        <v>0</v>
      </c>
      <c r="O171" s="238">
        <f t="shared" ca="1" si="172"/>
        <v>1.68</v>
      </c>
      <c r="P171" s="238">
        <f ca="1">ROUND(+IF(ISERROR(OFFSET(Tabella!$G$1,MATCH(H171,Tabella!$G:$G,0)-1,MATCH(I171,Tabella!$G$1:$FG$1,0)-1)=TRUE),0,OFFSET(Tabella!$G$1,MATCH(H171,Tabella!$G:$G,0)-1,MATCH(I171,Tabella!$G$1:$AB$1,0)-1)),4)</f>
        <v>0</v>
      </c>
      <c r="Q171" s="238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238">
        <f ca="1">ROUND(IF(ISERROR(OFFSET(Rame!$F$1,MATCH(H171,Rame!$F:$F,0)-1,MATCH(I171,Rame!$F$1:$FF$1,0)-1)=TRUE),0,OFFSET(Rame!$F$1,MATCH(H171,Rame!$F:$F,0)-1,MATCH(I171,Rame!$F$1:$FF$1,0)-1))*IF(E171="Rame",1,0),4)</f>
        <v>0</v>
      </c>
      <c r="S171" s="238">
        <f ca="1">ROUND(IF(ISERROR(OFFSET(Bronzo!$A$1,MATCH(H171,Bronzo!$A:$A,0)-1,MATCH(I171,Bronzo!$A$1:$AA$1,0)-1)=TRUE),0,OFFSET(Bronzo!$A$1,MATCH(H171,Bronzo!$A:$A,0)-1,MATCH(I171,Bronzo!$A$1:$AA$1,0)-1)),4)</f>
        <v>0</v>
      </c>
      <c r="T171" s="238">
        <f t="shared" ca="1" si="164"/>
        <v>0</v>
      </c>
      <c r="U171" s="237"/>
      <c r="V171" s="238">
        <v>0</v>
      </c>
      <c r="W171" s="239">
        <f t="shared" ca="1" si="165"/>
        <v>1.68</v>
      </c>
      <c r="X171" s="429">
        <f t="shared" si="152"/>
        <v>112</v>
      </c>
      <c r="Y171" s="236">
        <v>4.5599999999999996</v>
      </c>
      <c r="Z171" s="236">
        <f t="shared" ca="1" si="166"/>
        <v>0</v>
      </c>
      <c r="AA171" s="241"/>
      <c r="AF171" s="225">
        <f t="shared" ca="1" si="136"/>
        <v>46236</v>
      </c>
      <c r="AG171" s="225" t="b">
        <f t="shared" si="167"/>
        <v>1</v>
      </c>
      <c r="AH171" s="242"/>
      <c r="AK171" s="223">
        <f t="shared" si="168"/>
        <v>0</v>
      </c>
      <c r="AL171" s="223">
        <f t="shared" si="169"/>
        <v>1900</v>
      </c>
      <c r="AS171" s="223">
        <f t="shared" si="170"/>
        <v>0</v>
      </c>
      <c r="AT171" s="223">
        <f t="shared" si="171"/>
        <v>0</v>
      </c>
    </row>
    <row r="172" spans="2:46" ht="15.75" x14ac:dyDescent="0.25">
      <c r="B172" s="229" t="s">
        <v>609</v>
      </c>
      <c r="C172" s="427" t="s">
        <v>263</v>
      </c>
      <c r="D172" s="428">
        <v>1798</v>
      </c>
      <c r="E172" s="232" t="s">
        <v>4</v>
      </c>
      <c r="F172" s="233">
        <v>2.88</v>
      </c>
      <c r="G172" s="234">
        <v>46120</v>
      </c>
      <c r="H172" s="235" t="s">
        <v>322</v>
      </c>
      <c r="I172" s="235"/>
      <c r="J172" s="236">
        <v>7.0000000000000007E-2</v>
      </c>
      <c r="K172" s="237">
        <v>1.68</v>
      </c>
      <c r="L172" s="238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238">
        <f ca="1">ROUND(IF(ISERROR(OFFSET(Rame!$A$1,MATCH(H172,Rame!$A:$A,0)-1,MATCH(J172,Rame!$A$1:$AA$1,0)-1)=TRUE),0,OFFSET(Rame!$A$1,MATCH(H172,Rame!$A:$A,0)-1,MATCH(J172,Rame!$A$1:$AA$1,0)-1))*IF(E172="Rame",1,0),4)</f>
        <v>0</v>
      </c>
      <c r="N172" s="238">
        <v>0</v>
      </c>
      <c r="O172" s="238">
        <f t="shared" ca="1" si="172"/>
        <v>1.68</v>
      </c>
      <c r="P172" s="238">
        <f ca="1">ROUND(+IF(ISERROR(OFFSET(Tabella!$G$1,MATCH(H172,Tabella!$G:$G,0)-1,MATCH(I172,Tabella!$G$1:$FG$1,0)-1)=TRUE),0,OFFSET(Tabella!$G$1,MATCH(H172,Tabella!$G:$G,0)-1,MATCH(I172,Tabella!$G$1:$AB$1,0)-1)),4)</f>
        <v>0</v>
      </c>
      <c r="Q172" s="238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238">
        <f ca="1">ROUND(IF(ISERROR(OFFSET(Rame!$F$1,MATCH(H172,Rame!$F:$F,0)-1,MATCH(I172,Rame!$F$1:$FF$1,0)-1)=TRUE),0,OFFSET(Rame!$F$1,MATCH(H172,Rame!$F:$F,0)-1,MATCH(I172,Rame!$F$1:$FF$1,0)-1))*IF(E172="Rame",1,0),4)</f>
        <v>0</v>
      </c>
      <c r="S172" s="238">
        <f ca="1">ROUND(IF(ISERROR(OFFSET(Bronzo!$A$1,MATCH(H172,Bronzo!$A:$A,0)-1,MATCH(I172,Bronzo!$A$1:$AA$1,0)-1)=TRUE),0,OFFSET(Bronzo!$A$1,MATCH(H172,Bronzo!$A:$A,0)-1,MATCH(I172,Bronzo!$A$1:$AA$1,0)-1)),4)</f>
        <v>0</v>
      </c>
      <c r="T172" s="238">
        <f t="shared" ca="1" si="164"/>
        <v>0</v>
      </c>
      <c r="U172" s="237"/>
      <c r="V172" s="238">
        <v>0</v>
      </c>
      <c r="W172" s="239">
        <f t="shared" ca="1" si="165"/>
        <v>1.68</v>
      </c>
      <c r="X172" s="429">
        <f t="shared" si="152"/>
        <v>125.86</v>
      </c>
      <c r="Y172" s="236">
        <v>4.5599999999999996</v>
      </c>
      <c r="Z172" s="236">
        <f t="shared" ca="1" si="166"/>
        <v>0</v>
      </c>
      <c r="AA172" s="241"/>
      <c r="AF172" s="225">
        <f t="shared" ca="1" si="136"/>
        <v>46236</v>
      </c>
      <c r="AG172" s="225" t="b">
        <f t="shared" si="167"/>
        <v>1</v>
      </c>
      <c r="AH172" s="242"/>
      <c r="AK172" s="223">
        <f t="shared" si="168"/>
        <v>0</v>
      </c>
      <c r="AL172" s="223">
        <f t="shared" si="169"/>
        <v>1900</v>
      </c>
      <c r="AS172" s="223">
        <f t="shared" si="170"/>
        <v>0</v>
      </c>
      <c r="AT172" s="223">
        <f t="shared" si="171"/>
        <v>0</v>
      </c>
    </row>
    <row r="173" spans="2:46" ht="15.75" x14ac:dyDescent="0.25">
      <c r="B173" s="229" t="s">
        <v>609</v>
      </c>
      <c r="C173" s="427" t="s">
        <v>263</v>
      </c>
      <c r="D173" s="428">
        <v>1612</v>
      </c>
      <c r="E173" s="232" t="s">
        <v>4</v>
      </c>
      <c r="F173" s="233">
        <v>2.88</v>
      </c>
      <c r="G173" s="234">
        <v>46120</v>
      </c>
      <c r="H173" s="235" t="s">
        <v>314</v>
      </c>
      <c r="I173" s="235"/>
      <c r="J173" s="236">
        <v>7.0000000000000007E-2</v>
      </c>
      <c r="K173" s="237">
        <v>1.68</v>
      </c>
      <c r="L173" s="238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238">
        <f ca="1">ROUND(IF(ISERROR(OFFSET(Rame!$A$1,MATCH(H173,Rame!$A:$A,0)-1,MATCH(J173,Rame!$A$1:$AA$1,0)-1)=TRUE),0,OFFSET(Rame!$A$1,MATCH(H173,Rame!$A:$A,0)-1,MATCH(J173,Rame!$A$1:$AA$1,0)-1))*IF(E173="Rame",1,0),4)</f>
        <v>0</v>
      </c>
      <c r="N173" s="238">
        <v>0</v>
      </c>
      <c r="O173" s="238">
        <f t="shared" ca="1" si="172"/>
        <v>1.68</v>
      </c>
      <c r="P173" s="238">
        <f ca="1">ROUND(+IF(ISERROR(OFFSET(Tabella!$G$1,MATCH(H173,Tabella!$G:$G,0)-1,MATCH(I173,Tabella!$G$1:$FG$1,0)-1)=TRUE),0,OFFSET(Tabella!$G$1,MATCH(H173,Tabella!$G:$G,0)-1,MATCH(I173,Tabella!$G$1:$AB$1,0)-1)),4)</f>
        <v>0</v>
      </c>
      <c r="Q173" s="238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238">
        <f ca="1">ROUND(IF(ISERROR(OFFSET(Rame!$F$1,MATCH(H173,Rame!$F:$F,0)-1,MATCH(I173,Rame!$F$1:$FF$1,0)-1)=TRUE),0,OFFSET(Rame!$F$1,MATCH(H173,Rame!$F:$F,0)-1,MATCH(I173,Rame!$F$1:$FF$1,0)-1))*IF(E173="Rame",1,0),4)</f>
        <v>0</v>
      </c>
      <c r="S173" s="238">
        <f ca="1">ROUND(IF(ISERROR(OFFSET(Bronzo!$A$1,MATCH(H173,Bronzo!$A:$A,0)-1,MATCH(I173,Bronzo!$A$1:$AA$1,0)-1)=TRUE),0,OFFSET(Bronzo!$A$1,MATCH(H173,Bronzo!$A:$A,0)-1,MATCH(I173,Bronzo!$A$1:$AA$1,0)-1)),4)</f>
        <v>0</v>
      </c>
      <c r="T173" s="238">
        <f t="shared" ca="1" si="164"/>
        <v>0</v>
      </c>
      <c r="U173" s="237"/>
      <c r="V173" s="238">
        <v>0</v>
      </c>
      <c r="W173" s="239">
        <f t="shared" ca="1" si="165"/>
        <v>1.68</v>
      </c>
      <c r="X173" s="429">
        <f t="shared" si="152"/>
        <v>112.84</v>
      </c>
      <c r="Y173" s="236">
        <v>4.5599999999999996</v>
      </c>
      <c r="Z173" s="236">
        <f t="shared" ca="1" si="166"/>
        <v>0</v>
      </c>
      <c r="AA173" s="241"/>
      <c r="AF173" s="225">
        <f t="shared" ca="1" si="136"/>
        <v>46236</v>
      </c>
      <c r="AG173" s="225" t="b">
        <f t="shared" si="167"/>
        <v>1</v>
      </c>
      <c r="AH173" s="242"/>
      <c r="AK173" s="223">
        <f t="shared" si="168"/>
        <v>0</v>
      </c>
      <c r="AL173" s="223">
        <f t="shared" si="169"/>
        <v>1900</v>
      </c>
      <c r="AS173" s="223">
        <f t="shared" si="170"/>
        <v>0</v>
      </c>
      <c r="AT173" s="223">
        <f t="shared" si="171"/>
        <v>0</v>
      </c>
    </row>
    <row r="174" spans="2:46" ht="15.75" x14ac:dyDescent="0.25">
      <c r="B174" s="229" t="s">
        <v>615</v>
      </c>
      <c r="C174" s="427" t="s">
        <v>263</v>
      </c>
      <c r="D174" s="428">
        <v>708</v>
      </c>
      <c r="E174" s="232" t="s">
        <v>4</v>
      </c>
      <c r="F174" s="233">
        <v>2.88</v>
      </c>
      <c r="G174" s="234">
        <v>46120</v>
      </c>
      <c r="H174" s="235" t="s">
        <v>243</v>
      </c>
      <c r="I174" s="235"/>
      <c r="J174" s="236">
        <v>7.0000000000000007E-2</v>
      </c>
      <c r="K174" s="237">
        <v>1.78</v>
      </c>
      <c r="L174" s="238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238">
        <f ca="1">ROUND(IF(ISERROR(OFFSET(Rame!$A$1,MATCH(H174,Rame!$A:$A,0)-1,MATCH(J174,Rame!$A$1:$AA$1,0)-1)=TRUE),0,OFFSET(Rame!$A$1,MATCH(H174,Rame!$A:$A,0)-1,MATCH(J174,Rame!$A$1:$AA$1,0)-1))*IF(E174="Rame",1,0),4)</f>
        <v>0</v>
      </c>
      <c r="N174" s="238">
        <v>0</v>
      </c>
      <c r="O174" s="238">
        <f t="shared" ca="1" si="172"/>
        <v>1.78</v>
      </c>
      <c r="P174" s="238">
        <f ca="1">ROUND(+IF(ISERROR(OFFSET(Tabella!$G$1,MATCH(H174,Tabella!$G:$G,0)-1,MATCH(I174,Tabella!$G$1:$FG$1,0)-1)=TRUE),0,OFFSET(Tabella!$G$1,MATCH(H174,Tabella!$G:$G,0)-1,MATCH(I174,Tabella!$G$1:$AB$1,0)-1)),4)</f>
        <v>0</v>
      </c>
      <c r="Q174" s="238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238">
        <f ca="1">ROUND(IF(ISERROR(OFFSET(Rame!$F$1,MATCH(H174,Rame!$F:$F,0)-1,MATCH(I174,Rame!$F$1:$FF$1,0)-1)=TRUE),0,OFFSET(Rame!$F$1,MATCH(H174,Rame!$F:$F,0)-1,MATCH(I174,Rame!$F$1:$FF$1,0)-1))*IF(E174="Rame",1,0),4)</f>
        <v>0</v>
      </c>
      <c r="S174" s="238">
        <f ca="1">ROUND(IF(ISERROR(OFFSET(Bronzo!$A$1,MATCH(H174,Bronzo!$A:$A,0)-1,MATCH(I174,Bronzo!$A$1:$AA$1,0)-1)=TRUE),0,OFFSET(Bronzo!$A$1,MATCH(H174,Bronzo!$A:$A,0)-1,MATCH(I174,Bronzo!$A$1:$AA$1,0)-1)),4)</f>
        <v>0</v>
      </c>
      <c r="T174" s="238">
        <f t="shared" ca="1" si="164"/>
        <v>0</v>
      </c>
      <c r="U174" s="237"/>
      <c r="V174" s="238">
        <v>0</v>
      </c>
      <c r="W174" s="239">
        <f t="shared" ca="1" si="165"/>
        <v>1.78</v>
      </c>
      <c r="X174" s="429">
        <f t="shared" si="152"/>
        <v>49.56</v>
      </c>
      <c r="Y174" s="236">
        <v>4.66</v>
      </c>
      <c r="Z174" s="236">
        <f t="shared" ca="1" si="166"/>
        <v>0</v>
      </c>
      <c r="AA174" s="241"/>
      <c r="AF174" s="225">
        <f t="shared" ca="1" si="136"/>
        <v>46236</v>
      </c>
      <c r="AG174" s="225" t="b">
        <f t="shared" si="167"/>
        <v>1</v>
      </c>
      <c r="AH174" s="242"/>
      <c r="AK174" s="223">
        <f t="shared" si="168"/>
        <v>0</v>
      </c>
      <c r="AL174" s="223">
        <f t="shared" si="169"/>
        <v>1900</v>
      </c>
      <c r="AS174" s="223">
        <f t="shared" si="170"/>
        <v>0</v>
      </c>
      <c r="AT174" s="223">
        <f t="shared" si="171"/>
        <v>0</v>
      </c>
    </row>
    <row r="175" spans="2:46" ht="15.75" x14ac:dyDescent="0.25">
      <c r="B175" s="229" t="s">
        <v>764</v>
      </c>
      <c r="C175" s="427" t="s">
        <v>263</v>
      </c>
      <c r="D175" s="428">
        <v>333</v>
      </c>
      <c r="E175" s="232" t="s">
        <v>4</v>
      </c>
      <c r="F175" s="233">
        <v>2.88</v>
      </c>
      <c r="G175" s="234">
        <v>46120</v>
      </c>
      <c r="H175" s="235" t="s">
        <v>243</v>
      </c>
      <c r="I175" s="235"/>
      <c r="J175" s="236">
        <v>7.0000000000000007E-2</v>
      </c>
      <c r="K175" s="237">
        <v>1.78</v>
      </c>
      <c r="L175" s="238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238">
        <f ca="1">ROUND(IF(ISERROR(OFFSET(Rame!$A$1,MATCH(H175,Rame!$A:$A,0)-1,MATCH(J175,Rame!$A$1:$AA$1,0)-1)=TRUE),0,OFFSET(Rame!$A$1,MATCH(H175,Rame!$A:$A,0)-1,MATCH(J175,Rame!$A$1:$AA$1,0)-1))*IF(E175="Rame",1,0),4)</f>
        <v>0</v>
      </c>
      <c r="N175" s="238">
        <v>0</v>
      </c>
      <c r="O175" s="238">
        <f t="shared" ref="O175" ca="1" si="173">ROUND(SUM(K175:N175),4)</f>
        <v>1.78</v>
      </c>
      <c r="P175" s="238">
        <f ca="1">ROUND(+IF(ISERROR(OFFSET(Tabella!$G$1,MATCH(H175,Tabella!$G:$G,0)-1,MATCH(I175,Tabella!$G$1:$FG$1,0)-1)=TRUE),0,OFFSET(Tabella!$G$1,MATCH(H175,Tabella!$G:$G,0)-1,MATCH(I175,Tabella!$G$1:$AB$1,0)-1)),4)</f>
        <v>0</v>
      </c>
      <c r="Q175" s="238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238">
        <f ca="1">ROUND(IF(ISERROR(OFFSET(Rame!$F$1,MATCH(H175,Rame!$F:$F,0)-1,MATCH(I175,Rame!$F$1:$FF$1,0)-1)=TRUE),0,OFFSET(Rame!$F$1,MATCH(H175,Rame!$F:$F,0)-1,MATCH(I175,Rame!$F$1:$FF$1,0)-1))*IF(E175="Rame",1,0),4)</f>
        <v>0</v>
      </c>
      <c r="S175" s="238">
        <f ca="1">ROUND(IF(ISERROR(OFFSET(Bronzo!$A$1,MATCH(H175,Bronzo!$A:$A,0)-1,MATCH(I175,Bronzo!$A$1:$AA$1,0)-1)=TRUE),0,OFFSET(Bronzo!$A$1,MATCH(H175,Bronzo!$A:$A,0)-1,MATCH(I175,Bronzo!$A$1:$AA$1,0)-1)),4)</f>
        <v>0</v>
      </c>
      <c r="T175" s="238">
        <f t="shared" ref="T175" ca="1" si="174">ROUND(SUM(P175:S175),4)</f>
        <v>0</v>
      </c>
      <c r="U175" s="237"/>
      <c r="V175" s="238">
        <v>0</v>
      </c>
      <c r="W175" s="239">
        <f t="shared" ref="W175" ca="1" si="175">ROUND(+O175+T175+U175+V175,4)</f>
        <v>1.78</v>
      </c>
      <c r="X175" s="429">
        <f t="shared" ref="X175" si="176">ROUND(+J175*D175,4)</f>
        <v>23.31</v>
      </c>
      <c r="Y175" s="236">
        <v>4.66</v>
      </c>
      <c r="Z175" s="236">
        <f t="shared" ref="Z175" ca="1" si="177">ROUND(+Y175-W175-F175,4)</f>
        <v>0</v>
      </c>
      <c r="AA175" s="241"/>
      <c r="AF175" s="225">
        <f t="shared" ca="1" si="136"/>
        <v>46236</v>
      </c>
      <c r="AG175" s="225" t="b">
        <f t="shared" ref="AG175" si="178">ISBLANK(AA175)</f>
        <v>1</v>
      </c>
      <c r="AH175" s="242"/>
      <c r="AK175" s="223">
        <f t="shared" ref="AK175" si="179">WEEKNUM(AA175)</f>
        <v>0</v>
      </c>
      <c r="AL175" s="223">
        <f t="shared" ref="AL175" si="180">YEAR(AA175)</f>
        <v>1900</v>
      </c>
      <c r="AS175" s="223">
        <f t="shared" ref="AS175" si="181">IF(AA175="",0,MONTH(AA175))</f>
        <v>0</v>
      </c>
      <c r="AT175" s="223">
        <f t="shared" ref="AT175" si="182">IF(AA175="",0,YEAR(AA175))</f>
        <v>0</v>
      </c>
    </row>
    <row r="176" spans="2:46" ht="15.75" x14ac:dyDescent="0.25">
      <c r="B176" s="229" t="s">
        <v>608</v>
      </c>
      <c r="C176" s="427" t="s">
        <v>263</v>
      </c>
      <c r="D176" s="428">
        <v>1482</v>
      </c>
      <c r="E176" s="232" t="s">
        <v>4</v>
      </c>
      <c r="F176" s="233">
        <v>2.88</v>
      </c>
      <c r="G176" s="234">
        <v>46122</v>
      </c>
      <c r="H176" s="235" t="s">
        <v>322</v>
      </c>
      <c r="I176" s="235"/>
      <c r="J176" s="236">
        <v>7.0000000000000007E-2</v>
      </c>
      <c r="K176" s="237">
        <v>1.68</v>
      </c>
      <c r="L176" s="238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238">
        <f ca="1">ROUND(IF(ISERROR(OFFSET(Rame!$A$1,MATCH(H176,Rame!$A:$A,0)-1,MATCH(J176,Rame!$A$1:$AA$1,0)-1)=TRUE),0,OFFSET(Rame!$A$1,MATCH(H176,Rame!$A:$A,0)-1,MATCH(J176,Rame!$A$1:$AA$1,0)-1))*IF(E176="Rame",1,0),4)</f>
        <v>0</v>
      </c>
      <c r="N176" s="238">
        <v>0</v>
      </c>
      <c r="O176" s="238">
        <f t="shared" ca="1" si="172"/>
        <v>1.68</v>
      </c>
      <c r="P176" s="238">
        <f ca="1">ROUND(+IF(ISERROR(OFFSET(Tabella!$G$1,MATCH(H176,Tabella!$G:$G,0)-1,MATCH(I176,Tabella!$G$1:$FG$1,0)-1)=TRUE),0,OFFSET(Tabella!$G$1,MATCH(H176,Tabella!$G:$G,0)-1,MATCH(I176,Tabella!$G$1:$AB$1,0)-1)),4)</f>
        <v>0</v>
      </c>
      <c r="Q176" s="238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238">
        <f ca="1">ROUND(IF(ISERROR(OFFSET(Rame!$F$1,MATCH(H176,Rame!$F:$F,0)-1,MATCH(I176,Rame!$F$1:$FF$1,0)-1)=TRUE),0,OFFSET(Rame!$F$1,MATCH(H176,Rame!$F:$F,0)-1,MATCH(I176,Rame!$F$1:$FF$1,0)-1))*IF(E176="Rame",1,0),4)</f>
        <v>0</v>
      </c>
      <c r="S176" s="238">
        <f ca="1">ROUND(IF(ISERROR(OFFSET(Bronzo!$A$1,MATCH(H176,Bronzo!$A:$A,0)-1,MATCH(I176,Bronzo!$A$1:$AA$1,0)-1)=TRUE),0,OFFSET(Bronzo!$A$1,MATCH(H176,Bronzo!$A:$A,0)-1,MATCH(I176,Bronzo!$A$1:$AA$1,0)-1)),4)</f>
        <v>0</v>
      </c>
      <c r="T176" s="238">
        <f t="shared" ca="1" si="164"/>
        <v>0</v>
      </c>
      <c r="U176" s="237"/>
      <c r="V176" s="238">
        <v>0</v>
      </c>
      <c r="W176" s="239">
        <f t="shared" ca="1" si="165"/>
        <v>1.68</v>
      </c>
      <c r="X176" s="429">
        <f t="shared" si="152"/>
        <v>103.74</v>
      </c>
      <c r="Y176" s="236">
        <v>4.5599999999999996</v>
      </c>
      <c r="Z176" s="236">
        <f t="shared" ca="1" si="166"/>
        <v>0</v>
      </c>
      <c r="AA176" s="241"/>
      <c r="AF176" s="225">
        <f t="shared" ca="1" si="136"/>
        <v>46236</v>
      </c>
      <c r="AG176" s="225" t="b">
        <f t="shared" si="167"/>
        <v>1</v>
      </c>
      <c r="AH176" s="242"/>
      <c r="AK176" s="223">
        <f t="shared" si="168"/>
        <v>0</v>
      </c>
      <c r="AL176" s="223">
        <f t="shared" si="169"/>
        <v>1900</v>
      </c>
      <c r="AS176" s="223">
        <f t="shared" si="170"/>
        <v>0</v>
      </c>
      <c r="AT176" s="223">
        <f t="shared" si="171"/>
        <v>0</v>
      </c>
    </row>
    <row r="177" spans="2:46" ht="15.75" x14ac:dyDescent="0.25">
      <c r="B177" s="229" t="s">
        <v>647</v>
      </c>
      <c r="C177" s="427" t="s">
        <v>263</v>
      </c>
      <c r="D177" s="428">
        <v>310</v>
      </c>
      <c r="E177" s="232" t="s">
        <v>4</v>
      </c>
      <c r="F177" s="233">
        <v>2.88</v>
      </c>
      <c r="G177" s="234">
        <v>46122</v>
      </c>
      <c r="H177" s="235" t="s">
        <v>9</v>
      </c>
      <c r="I177" s="235"/>
      <c r="J177" s="236">
        <v>7.0000000000000007E-2</v>
      </c>
      <c r="K177" s="237">
        <v>2.13</v>
      </c>
      <c r="L177" s="238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238">
        <f ca="1">ROUND(IF(ISERROR(OFFSET(Rame!$A$1,MATCH(H177,Rame!$A:$A,0)-1,MATCH(J177,Rame!$A$1:$AA$1,0)-1)=TRUE),0,OFFSET(Rame!$A$1,MATCH(H177,Rame!$A:$A,0)-1,MATCH(J177,Rame!$A$1:$AA$1,0)-1))*IF(E177="Rame",1,0),4)</f>
        <v>0</v>
      </c>
      <c r="N177" s="238">
        <v>0</v>
      </c>
      <c r="O177" s="238">
        <f t="shared" ca="1" si="172"/>
        <v>2.13</v>
      </c>
      <c r="P177" s="238">
        <f ca="1">ROUND(+IF(ISERROR(OFFSET(Tabella!$G$1,MATCH(H177,Tabella!$G:$G,0)-1,MATCH(I177,Tabella!$G$1:$FG$1,0)-1)=TRUE),0,OFFSET(Tabella!$G$1,MATCH(H177,Tabella!$G:$G,0)-1,MATCH(I177,Tabella!$G$1:$AB$1,0)-1)),4)</f>
        <v>0</v>
      </c>
      <c r="Q177" s="238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238">
        <f ca="1">ROUND(IF(ISERROR(OFFSET(Rame!$F$1,MATCH(H177,Rame!$F:$F,0)-1,MATCH(I177,Rame!$F$1:$FF$1,0)-1)=TRUE),0,OFFSET(Rame!$F$1,MATCH(H177,Rame!$F:$F,0)-1,MATCH(I177,Rame!$F$1:$FF$1,0)-1))*IF(E177="Rame",1,0),4)</f>
        <v>0</v>
      </c>
      <c r="S177" s="238">
        <f ca="1">ROUND(IF(ISERROR(OFFSET(Bronzo!$A$1,MATCH(H177,Bronzo!$A:$A,0)-1,MATCH(I177,Bronzo!$A$1:$AA$1,0)-1)=TRUE),0,OFFSET(Bronzo!$A$1,MATCH(H177,Bronzo!$A:$A,0)-1,MATCH(I177,Bronzo!$A$1:$AA$1,0)-1)),4)</f>
        <v>0</v>
      </c>
      <c r="T177" s="238">
        <f t="shared" ca="1" si="164"/>
        <v>0</v>
      </c>
      <c r="U177" s="237"/>
      <c r="V177" s="238">
        <v>0</v>
      </c>
      <c r="W177" s="239">
        <f t="shared" ca="1" si="165"/>
        <v>2.13</v>
      </c>
      <c r="X177" s="429">
        <f t="shared" si="152"/>
        <v>21.7</v>
      </c>
      <c r="Y177" s="236">
        <v>5.01</v>
      </c>
      <c r="Z177" s="236">
        <f t="shared" ca="1" si="166"/>
        <v>0</v>
      </c>
      <c r="AA177" s="241"/>
      <c r="AE177" s="223" t="s">
        <v>648</v>
      </c>
      <c r="AF177" s="225">
        <f t="shared" ca="1" si="136"/>
        <v>46236</v>
      </c>
      <c r="AG177" s="225" t="b">
        <f t="shared" si="167"/>
        <v>1</v>
      </c>
      <c r="AH177" s="242"/>
      <c r="AK177" s="223">
        <f t="shared" si="168"/>
        <v>0</v>
      </c>
      <c r="AL177" s="223">
        <f t="shared" si="169"/>
        <v>1900</v>
      </c>
      <c r="AS177" s="223">
        <f t="shared" si="170"/>
        <v>0</v>
      </c>
      <c r="AT177" s="223">
        <f t="shared" si="171"/>
        <v>0</v>
      </c>
    </row>
    <row r="178" spans="2:46" ht="15.75" x14ac:dyDescent="0.25">
      <c r="B178" s="229" t="s">
        <v>646</v>
      </c>
      <c r="C178" s="427" t="s">
        <v>263</v>
      </c>
      <c r="D178" s="428">
        <v>1680</v>
      </c>
      <c r="E178" s="232" t="s">
        <v>4</v>
      </c>
      <c r="F178" s="233">
        <v>2.88</v>
      </c>
      <c r="G178" s="234">
        <v>46123</v>
      </c>
      <c r="H178" s="235" t="s">
        <v>24</v>
      </c>
      <c r="I178" s="235"/>
      <c r="J178" s="236">
        <v>7.0000000000000007E-2</v>
      </c>
      <c r="K178" s="237">
        <v>1.68</v>
      </c>
      <c r="L178" s="238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238">
        <f ca="1">ROUND(IF(ISERROR(OFFSET(Rame!$A$1,MATCH(H178,Rame!$A:$A,0)-1,MATCH(J178,Rame!$A$1:$AA$1,0)-1)=TRUE),0,OFFSET(Rame!$A$1,MATCH(H178,Rame!$A:$A,0)-1,MATCH(J178,Rame!$A$1:$AA$1,0)-1))*IF(E178="Rame",1,0),4)</f>
        <v>0</v>
      </c>
      <c r="N178" s="238">
        <v>0</v>
      </c>
      <c r="O178" s="238">
        <f t="shared" ca="1" si="172"/>
        <v>1.68</v>
      </c>
      <c r="P178" s="238">
        <f ca="1">ROUND(+IF(ISERROR(OFFSET(Tabella!$G$1,MATCH(H178,Tabella!$G:$G,0)-1,MATCH(I178,Tabella!$G$1:$FG$1,0)-1)=TRUE),0,OFFSET(Tabella!$G$1,MATCH(H178,Tabella!$G:$G,0)-1,MATCH(I178,Tabella!$G$1:$AB$1,0)-1)),4)</f>
        <v>0</v>
      </c>
      <c r="Q178" s="238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238">
        <f ca="1">ROUND(IF(ISERROR(OFFSET(Rame!$F$1,MATCH(H178,Rame!$F:$F,0)-1,MATCH(I178,Rame!$F$1:$FF$1,0)-1)=TRUE),0,OFFSET(Rame!$F$1,MATCH(H178,Rame!$F:$F,0)-1,MATCH(I178,Rame!$F$1:$FF$1,0)-1))*IF(E178="Rame",1,0),4)</f>
        <v>0</v>
      </c>
      <c r="S178" s="238">
        <f ca="1">ROUND(IF(ISERROR(OFFSET(Bronzo!$A$1,MATCH(H178,Bronzo!$A:$A,0)-1,MATCH(I178,Bronzo!$A$1:$AA$1,0)-1)=TRUE),0,OFFSET(Bronzo!$A$1,MATCH(H178,Bronzo!$A:$A,0)-1,MATCH(I178,Bronzo!$A$1:$AA$1,0)-1)),4)</f>
        <v>0</v>
      </c>
      <c r="T178" s="238">
        <f t="shared" ca="1" si="164"/>
        <v>0</v>
      </c>
      <c r="U178" s="237"/>
      <c r="V178" s="238">
        <v>0</v>
      </c>
      <c r="W178" s="239">
        <f t="shared" ca="1" si="165"/>
        <v>1.68</v>
      </c>
      <c r="X178" s="429">
        <f t="shared" si="152"/>
        <v>117.6</v>
      </c>
      <c r="Y178" s="236">
        <v>4.5599999999999996</v>
      </c>
      <c r="Z178" s="236">
        <f t="shared" ca="1" si="166"/>
        <v>0</v>
      </c>
      <c r="AA178" s="241"/>
      <c r="AF178" s="225">
        <f t="shared" ca="1" si="136"/>
        <v>46236</v>
      </c>
      <c r="AG178" s="225" t="b">
        <f t="shared" si="167"/>
        <v>1</v>
      </c>
      <c r="AH178" s="242"/>
      <c r="AK178" s="223">
        <f t="shared" si="168"/>
        <v>0</v>
      </c>
      <c r="AL178" s="223">
        <f t="shared" si="169"/>
        <v>1900</v>
      </c>
      <c r="AS178" s="223">
        <f t="shared" si="170"/>
        <v>0</v>
      </c>
      <c r="AT178" s="223">
        <f t="shared" si="171"/>
        <v>0</v>
      </c>
    </row>
    <row r="179" spans="2:46" ht="15.75" x14ac:dyDescent="0.25">
      <c r="B179" s="229" t="s">
        <v>757</v>
      </c>
      <c r="C179" s="427" t="s">
        <v>263</v>
      </c>
      <c r="D179" s="428">
        <v>1422</v>
      </c>
      <c r="E179" s="232" t="s">
        <v>4</v>
      </c>
      <c r="F179" s="233">
        <v>2.88</v>
      </c>
      <c r="G179" s="234">
        <v>46123</v>
      </c>
      <c r="H179" s="235" t="s">
        <v>24</v>
      </c>
      <c r="I179" s="235"/>
      <c r="J179" s="236">
        <v>7.0000000000000007E-2</v>
      </c>
      <c r="K179" s="237">
        <v>1.68</v>
      </c>
      <c r="L179" s="238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238">
        <f ca="1">ROUND(IF(ISERROR(OFFSET(Rame!$A$1,MATCH(H179,Rame!$A:$A,0)-1,MATCH(J179,Rame!$A$1:$AA$1,0)-1)=TRUE),0,OFFSET(Rame!$A$1,MATCH(H179,Rame!$A:$A,0)-1,MATCH(J179,Rame!$A$1:$AA$1,0)-1))*IF(E179="Rame",1,0),4)</f>
        <v>0</v>
      </c>
      <c r="N179" s="238">
        <v>0</v>
      </c>
      <c r="O179" s="238">
        <f t="shared" ca="1" si="172"/>
        <v>1.68</v>
      </c>
      <c r="P179" s="238">
        <f ca="1">ROUND(+IF(ISERROR(OFFSET(Tabella!$G$1,MATCH(H179,Tabella!$G:$G,0)-1,MATCH(I179,Tabella!$G$1:$FG$1,0)-1)=TRUE),0,OFFSET(Tabella!$G$1,MATCH(H179,Tabella!$G:$G,0)-1,MATCH(I179,Tabella!$G$1:$AB$1,0)-1)),4)</f>
        <v>0</v>
      </c>
      <c r="Q179" s="238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238">
        <f ca="1">ROUND(IF(ISERROR(OFFSET(Rame!$F$1,MATCH(H179,Rame!$F:$F,0)-1,MATCH(I179,Rame!$F$1:$FF$1,0)-1)=TRUE),0,OFFSET(Rame!$F$1,MATCH(H179,Rame!$F:$F,0)-1,MATCH(I179,Rame!$F$1:$FF$1,0)-1))*IF(E179="Rame",1,0),4)</f>
        <v>0</v>
      </c>
      <c r="S179" s="238">
        <f ca="1">ROUND(IF(ISERROR(OFFSET(Bronzo!$A$1,MATCH(H179,Bronzo!$A:$A,0)-1,MATCH(I179,Bronzo!$A$1:$AA$1,0)-1)=TRUE),0,OFFSET(Bronzo!$A$1,MATCH(H179,Bronzo!$A:$A,0)-1,MATCH(I179,Bronzo!$A$1:$AA$1,0)-1)),4)</f>
        <v>0</v>
      </c>
      <c r="T179" s="238">
        <f t="shared" ca="1" si="164"/>
        <v>0</v>
      </c>
      <c r="U179" s="237"/>
      <c r="V179" s="238">
        <v>0</v>
      </c>
      <c r="W179" s="239">
        <f t="shared" ca="1" si="165"/>
        <v>1.68</v>
      </c>
      <c r="X179" s="429">
        <f t="shared" si="152"/>
        <v>99.54</v>
      </c>
      <c r="Y179" s="236">
        <v>4.5599999999999996</v>
      </c>
      <c r="Z179" s="236">
        <f t="shared" ca="1" si="166"/>
        <v>0</v>
      </c>
      <c r="AA179" s="241"/>
      <c r="AF179" s="225">
        <f t="shared" ca="1" si="136"/>
        <v>46236</v>
      </c>
      <c r="AG179" s="225" t="b">
        <f t="shared" si="167"/>
        <v>1</v>
      </c>
      <c r="AH179" s="242"/>
      <c r="AK179" s="223">
        <f t="shared" si="168"/>
        <v>0</v>
      </c>
      <c r="AL179" s="223">
        <f t="shared" si="169"/>
        <v>1900</v>
      </c>
      <c r="AS179" s="223">
        <f t="shared" si="170"/>
        <v>0</v>
      </c>
      <c r="AT179" s="223">
        <f t="shared" si="171"/>
        <v>0</v>
      </c>
    </row>
    <row r="180" spans="2:46" ht="15.75" x14ac:dyDescent="0.25">
      <c r="B180" s="229" t="s">
        <v>505</v>
      </c>
      <c r="C180" s="230" t="s">
        <v>263</v>
      </c>
      <c r="D180" s="231">
        <v>1300</v>
      </c>
      <c r="E180" s="232" t="s">
        <v>4</v>
      </c>
      <c r="F180" s="233">
        <v>2.88</v>
      </c>
      <c r="G180" s="234">
        <v>46123</v>
      </c>
      <c r="H180" s="235" t="s">
        <v>24</v>
      </c>
      <c r="I180" s="235"/>
      <c r="J180" s="236">
        <v>7.0000000000000007E-2</v>
      </c>
      <c r="K180" s="237">
        <v>1.68</v>
      </c>
      <c r="L180" s="238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238">
        <f ca="1">ROUND(IF(ISERROR(OFFSET(Rame!$A$1,MATCH(H180,Rame!$A:$A,0)-1,MATCH(J180,Rame!$A$1:$AA$1,0)-1)=TRUE),0,OFFSET(Rame!$A$1,MATCH(H180,Rame!$A:$A,0)-1,MATCH(J180,Rame!$A$1:$AA$1,0)-1))*IF(E180="Rame",1,0),4)</f>
        <v>0</v>
      </c>
      <c r="N180" s="238">
        <v>0</v>
      </c>
      <c r="O180" s="238">
        <f t="shared" ca="1" si="172"/>
        <v>1.68</v>
      </c>
      <c r="P180" s="238">
        <f ca="1">ROUND(+IF(ISERROR(OFFSET(Tabella!$G$1,MATCH(H180,Tabella!$G:$G,0)-1,MATCH(I180,Tabella!$G$1:$FG$1,0)-1)=TRUE),0,OFFSET(Tabella!$G$1,MATCH(H180,Tabella!$G:$G,0)-1,MATCH(I180,Tabella!$G$1:$AB$1,0)-1)),4)</f>
        <v>0</v>
      </c>
      <c r="Q180" s="238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238">
        <f ca="1">ROUND(IF(ISERROR(OFFSET(Rame!$F$1,MATCH(H180,Rame!$F:$F,0)-1,MATCH(I180,Rame!$F$1:$FF$1,0)-1)=TRUE),0,OFFSET(Rame!$F$1,MATCH(H180,Rame!$F:$F,0)-1,MATCH(I180,Rame!$F$1:$FF$1,0)-1))*IF(E180="Rame",1,0),4)</f>
        <v>0</v>
      </c>
      <c r="S180" s="238">
        <f ca="1">ROUND(IF(ISERROR(OFFSET(Bronzo!$A$1,MATCH(H180,Bronzo!$A:$A,0)-1,MATCH(I180,Bronzo!$A$1:$AA$1,0)-1)=TRUE),0,OFFSET(Bronzo!$A$1,MATCH(H180,Bronzo!$A:$A,0)-1,MATCH(I180,Bronzo!$A$1:$AA$1,0)-1)),4)</f>
        <v>0</v>
      </c>
      <c r="T180" s="238">
        <f t="shared" ca="1" si="164"/>
        <v>0</v>
      </c>
      <c r="U180" s="237"/>
      <c r="V180" s="238">
        <v>0</v>
      </c>
      <c r="W180" s="239">
        <f t="shared" ca="1" si="165"/>
        <v>1.68</v>
      </c>
      <c r="X180" s="240">
        <f t="shared" si="152"/>
        <v>91</v>
      </c>
      <c r="Y180" s="236">
        <v>4.5599999999999996</v>
      </c>
      <c r="Z180" s="236">
        <f t="shared" ca="1" si="166"/>
        <v>0</v>
      </c>
      <c r="AA180" s="241">
        <v>46182</v>
      </c>
      <c r="AF180" s="225">
        <f t="shared" ca="1" si="136"/>
        <v>46236</v>
      </c>
      <c r="AG180" s="225" t="b">
        <f t="shared" si="167"/>
        <v>0</v>
      </c>
      <c r="AH180" s="242"/>
      <c r="AK180" s="223">
        <f t="shared" si="168"/>
        <v>24</v>
      </c>
      <c r="AL180" s="223">
        <f t="shared" si="169"/>
        <v>2026</v>
      </c>
      <c r="AS180" s="223">
        <f t="shared" si="170"/>
        <v>6</v>
      </c>
      <c r="AT180" s="223">
        <f t="shared" si="171"/>
        <v>2026</v>
      </c>
    </row>
    <row r="181" spans="2:46" ht="15.75" x14ac:dyDescent="0.25">
      <c r="B181" s="229" t="s">
        <v>607</v>
      </c>
      <c r="C181" s="427" t="s">
        <v>263</v>
      </c>
      <c r="D181" s="428">
        <v>1153</v>
      </c>
      <c r="E181" s="232" t="s">
        <v>4</v>
      </c>
      <c r="F181" s="233">
        <v>2.88</v>
      </c>
      <c r="G181" s="234">
        <v>46123</v>
      </c>
      <c r="H181" s="235" t="s">
        <v>243</v>
      </c>
      <c r="I181" s="235"/>
      <c r="J181" s="236">
        <v>7.0000000000000007E-2</v>
      </c>
      <c r="K181" s="237">
        <v>1.78</v>
      </c>
      <c r="L181" s="238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238">
        <f ca="1">ROUND(IF(ISERROR(OFFSET(Rame!$A$1,MATCH(H181,Rame!$A:$A,0)-1,MATCH(J181,Rame!$A$1:$AA$1,0)-1)=TRUE),0,OFFSET(Rame!$A$1,MATCH(H181,Rame!$A:$A,0)-1,MATCH(J181,Rame!$A$1:$AA$1,0)-1))*IF(E181="Rame",1,0),4)</f>
        <v>0</v>
      </c>
      <c r="N181" s="238">
        <v>0</v>
      </c>
      <c r="O181" s="238">
        <f t="shared" ca="1" si="172"/>
        <v>1.78</v>
      </c>
      <c r="P181" s="238">
        <f ca="1">ROUND(+IF(ISERROR(OFFSET(Tabella!$G$1,MATCH(H181,Tabella!$G:$G,0)-1,MATCH(I181,Tabella!$G$1:$FG$1,0)-1)=TRUE),0,OFFSET(Tabella!$G$1,MATCH(H181,Tabella!$G:$G,0)-1,MATCH(I181,Tabella!$G$1:$AB$1,0)-1)),4)</f>
        <v>0</v>
      </c>
      <c r="Q181" s="238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238">
        <f ca="1">ROUND(IF(ISERROR(OFFSET(Rame!$F$1,MATCH(H181,Rame!$F:$F,0)-1,MATCH(I181,Rame!$F$1:$FF$1,0)-1)=TRUE),0,OFFSET(Rame!$F$1,MATCH(H181,Rame!$F:$F,0)-1,MATCH(I181,Rame!$F$1:$FF$1,0)-1))*IF(E181="Rame",1,0),4)</f>
        <v>0</v>
      </c>
      <c r="S181" s="238">
        <f ca="1">ROUND(IF(ISERROR(OFFSET(Bronzo!$A$1,MATCH(H181,Bronzo!$A:$A,0)-1,MATCH(I181,Bronzo!$A$1:$AA$1,0)-1)=TRUE),0,OFFSET(Bronzo!$A$1,MATCH(H181,Bronzo!$A:$A,0)-1,MATCH(I181,Bronzo!$A$1:$AA$1,0)-1)),4)</f>
        <v>0</v>
      </c>
      <c r="T181" s="238">
        <f t="shared" ca="1" si="164"/>
        <v>0</v>
      </c>
      <c r="U181" s="237"/>
      <c r="V181" s="238">
        <v>0</v>
      </c>
      <c r="W181" s="239">
        <f t="shared" ca="1" si="165"/>
        <v>1.78</v>
      </c>
      <c r="X181" s="429">
        <f t="shared" si="152"/>
        <v>80.709999999999994</v>
      </c>
      <c r="Y181" s="236">
        <v>4.66</v>
      </c>
      <c r="Z181" s="236">
        <f t="shared" ca="1" si="166"/>
        <v>0</v>
      </c>
      <c r="AA181" s="241"/>
      <c r="AF181" s="225">
        <f t="shared" ca="1" si="136"/>
        <v>46236</v>
      </c>
      <c r="AG181" s="225" t="b">
        <f t="shared" si="167"/>
        <v>1</v>
      </c>
      <c r="AH181" s="242"/>
      <c r="AK181" s="223">
        <f t="shared" si="168"/>
        <v>0</v>
      </c>
      <c r="AL181" s="223">
        <f t="shared" si="169"/>
        <v>1900</v>
      </c>
      <c r="AS181" s="223">
        <f t="shared" si="170"/>
        <v>0</v>
      </c>
      <c r="AT181" s="223">
        <f t="shared" si="171"/>
        <v>0</v>
      </c>
    </row>
    <row r="182" spans="2:46" ht="15.75" x14ac:dyDescent="0.25">
      <c r="B182" s="229" t="s">
        <v>505</v>
      </c>
      <c r="C182" s="235" t="s">
        <v>263</v>
      </c>
      <c r="D182" s="243">
        <v>1000</v>
      </c>
      <c r="E182" s="232" t="s">
        <v>4</v>
      </c>
      <c r="F182" s="233">
        <v>2.88</v>
      </c>
      <c r="G182" s="234">
        <v>46123</v>
      </c>
      <c r="H182" s="235" t="s">
        <v>17</v>
      </c>
      <c r="I182" s="235"/>
      <c r="J182" s="236">
        <v>7.0000000000000007E-2</v>
      </c>
      <c r="K182" s="237">
        <v>1.78</v>
      </c>
      <c r="L182" s="238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238">
        <f ca="1">ROUND(IF(ISERROR(OFFSET(Rame!$A$1,MATCH(H182,Rame!$A:$A,0)-1,MATCH(J182,Rame!$A$1:$AA$1,0)-1)=TRUE),0,OFFSET(Rame!$A$1,MATCH(H182,Rame!$A:$A,0)-1,MATCH(J182,Rame!$A$1:$AA$1,0)-1))*IF(E182="Rame",1,0),4)</f>
        <v>0</v>
      </c>
      <c r="N182" s="238">
        <v>0</v>
      </c>
      <c r="O182" s="238">
        <f t="shared" ca="1" si="172"/>
        <v>1.78</v>
      </c>
      <c r="P182" s="238">
        <f ca="1">ROUND(+IF(ISERROR(OFFSET(Tabella!$G$1,MATCH(H182,Tabella!$G:$G,0)-1,MATCH(I182,Tabella!$G$1:$FG$1,0)-1)=TRUE),0,OFFSET(Tabella!$G$1,MATCH(H182,Tabella!$G:$G,0)-1,MATCH(I182,Tabella!$G$1:$AB$1,0)-1)),4)</f>
        <v>0</v>
      </c>
      <c r="Q182" s="238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238">
        <f ca="1">ROUND(IF(ISERROR(OFFSET(Rame!$F$1,MATCH(H182,Rame!$F:$F,0)-1,MATCH(I182,Rame!$F$1:$FF$1,0)-1)=TRUE),0,OFFSET(Rame!$F$1,MATCH(H182,Rame!$F:$F,0)-1,MATCH(I182,Rame!$F$1:$FF$1,0)-1))*IF(E182="Rame",1,0),4)</f>
        <v>0</v>
      </c>
      <c r="S182" s="238">
        <f ca="1">ROUND(IF(ISERROR(OFFSET(Bronzo!$A$1,MATCH(H182,Bronzo!$A:$A,0)-1,MATCH(I182,Bronzo!$A$1:$AA$1,0)-1)=TRUE),0,OFFSET(Bronzo!$A$1,MATCH(H182,Bronzo!$A:$A,0)-1,MATCH(I182,Bronzo!$A$1:$AA$1,0)-1)),4)</f>
        <v>0</v>
      </c>
      <c r="T182" s="238">
        <f t="shared" ca="1" si="164"/>
        <v>0</v>
      </c>
      <c r="U182" s="237"/>
      <c r="V182" s="238">
        <v>0</v>
      </c>
      <c r="W182" s="239">
        <f t="shared" ca="1" si="165"/>
        <v>1.78</v>
      </c>
      <c r="X182" s="240">
        <f t="shared" si="152"/>
        <v>70</v>
      </c>
      <c r="Y182" s="236">
        <v>4.66</v>
      </c>
      <c r="Z182" s="236">
        <f t="shared" ca="1" si="166"/>
        <v>0</v>
      </c>
      <c r="AA182" s="241">
        <v>46182</v>
      </c>
      <c r="AF182" s="225">
        <f t="shared" ca="1" si="136"/>
        <v>46236</v>
      </c>
      <c r="AG182" s="225" t="b">
        <f t="shared" si="167"/>
        <v>0</v>
      </c>
      <c r="AH182" s="242"/>
      <c r="AK182" s="223">
        <f t="shared" si="168"/>
        <v>24</v>
      </c>
      <c r="AL182" s="223">
        <f t="shared" si="169"/>
        <v>2026</v>
      </c>
      <c r="AS182" s="223">
        <f t="shared" si="170"/>
        <v>6</v>
      </c>
      <c r="AT182" s="223">
        <f t="shared" si="171"/>
        <v>2026</v>
      </c>
    </row>
    <row r="183" spans="2:46" ht="15.75" x14ac:dyDescent="0.25">
      <c r="B183" s="229" t="s">
        <v>713</v>
      </c>
      <c r="C183" s="245" t="s">
        <v>92</v>
      </c>
      <c r="D183" s="246">
        <v>462</v>
      </c>
      <c r="E183" s="232" t="s">
        <v>4</v>
      </c>
      <c r="F183" s="233">
        <v>2.96</v>
      </c>
      <c r="G183" s="234">
        <v>46121</v>
      </c>
      <c r="H183" s="235" t="s">
        <v>28</v>
      </c>
      <c r="I183" s="235"/>
      <c r="J183" s="236">
        <v>7.0000000000000007E-2</v>
      </c>
      <c r="K183" s="237">
        <v>1.6</v>
      </c>
      <c r="L183" s="238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238">
        <f ca="1">ROUND(IF(ISERROR(OFFSET(Rame!$A$1,MATCH(H183,Rame!$A:$A,0)-1,MATCH(J183,Rame!$A$1:$AA$1,0)-1)=TRUE),0,OFFSET(Rame!$A$1,MATCH(H183,Rame!$A:$A,0)-1,MATCH(J183,Rame!$A$1:$AA$1,0)-1))*IF(E183="Rame",1,0),4)</f>
        <v>0</v>
      </c>
      <c r="N183" s="238">
        <v>0</v>
      </c>
      <c r="O183" s="238">
        <f t="shared" ca="1" si="172"/>
        <v>1.6</v>
      </c>
      <c r="P183" s="238">
        <f ca="1">ROUND(+IF(ISERROR(OFFSET(Tabella!$G$1,MATCH(H183,Tabella!$G:$G,0)-1,MATCH(I183,Tabella!$G$1:$FG$1,0)-1)=TRUE),0,OFFSET(Tabella!$G$1,MATCH(H183,Tabella!$G:$G,0)-1,MATCH(I183,Tabella!$G$1:$AB$1,0)-1)),4)</f>
        <v>0</v>
      </c>
      <c r="Q183" s="238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238">
        <f ca="1">ROUND(IF(ISERROR(OFFSET(Rame!$F$1,MATCH(H183,Rame!$F:$F,0)-1,MATCH(I183,Rame!$F$1:$FF$1,0)-1)=TRUE),0,OFFSET(Rame!$F$1,MATCH(H183,Rame!$F:$F,0)-1,MATCH(I183,Rame!$F$1:$FF$1,0)-1))*IF(E183="Rame",1,0),4)</f>
        <v>0</v>
      </c>
      <c r="S183" s="238">
        <f ca="1">ROUND(IF(ISERROR(OFFSET(Bronzo!$A$1,MATCH(H183,Bronzo!$A:$A,0)-1,MATCH(I183,Bronzo!$A$1:$AA$1,0)-1)=TRUE),0,OFFSET(Bronzo!$A$1,MATCH(H183,Bronzo!$A:$A,0)-1,MATCH(I183,Bronzo!$A$1:$AA$1,0)-1)),4)</f>
        <v>0</v>
      </c>
      <c r="T183" s="238">
        <f t="shared" ca="1" si="164"/>
        <v>0</v>
      </c>
      <c r="U183" s="237"/>
      <c r="V183" s="238">
        <v>0</v>
      </c>
      <c r="W183" s="239">
        <f t="shared" ca="1" si="165"/>
        <v>1.6</v>
      </c>
      <c r="X183" s="423">
        <f t="shared" si="152"/>
        <v>32.340000000000003</v>
      </c>
      <c r="Y183" s="236">
        <v>4.5599999999999996</v>
      </c>
      <c r="Z183" s="236">
        <f t="shared" ca="1" si="166"/>
        <v>0</v>
      </c>
      <c r="AA183" s="241"/>
      <c r="AF183" s="225">
        <f t="shared" ca="1" si="136"/>
        <v>46236</v>
      </c>
      <c r="AG183" s="225" t="b">
        <f t="shared" si="167"/>
        <v>1</v>
      </c>
      <c r="AH183" s="242"/>
      <c r="AK183" s="223">
        <f t="shared" si="168"/>
        <v>0</v>
      </c>
      <c r="AL183" s="223">
        <f t="shared" si="169"/>
        <v>1900</v>
      </c>
      <c r="AS183" s="223">
        <f t="shared" si="170"/>
        <v>0</v>
      </c>
      <c r="AT183" s="223">
        <f t="shared" si="171"/>
        <v>0</v>
      </c>
    </row>
    <row r="184" spans="2:46" ht="15.75" x14ac:dyDescent="0.25">
      <c r="B184" s="229" t="s">
        <v>713</v>
      </c>
      <c r="C184" s="245" t="s">
        <v>92</v>
      </c>
      <c r="D184" s="246">
        <v>627</v>
      </c>
      <c r="E184" s="232" t="s">
        <v>4</v>
      </c>
      <c r="F184" s="233">
        <v>2.96</v>
      </c>
      <c r="G184" s="234">
        <v>46121</v>
      </c>
      <c r="H184" s="235" t="s">
        <v>28</v>
      </c>
      <c r="I184" s="235"/>
      <c r="J184" s="236">
        <v>7.0000000000000007E-2</v>
      </c>
      <c r="K184" s="237">
        <v>1.6</v>
      </c>
      <c r="L184" s="238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238">
        <f ca="1">ROUND(IF(ISERROR(OFFSET(Rame!$A$1,MATCH(H184,Rame!$A:$A,0)-1,MATCH(J184,Rame!$A$1:$AA$1,0)-1)=TRUE),0,OFFSET(Rame!$A$1,MATCH(H184,Rame!$A:$A,0)-1,MATCH(J184,Rame!$A$1:$AA$1,0)-1))*IF(E184="Rame",1,0),4)</f>
        <v>0</v>
      </c>
      <c r="N184" s="238">
        <v>0</v>
      </c>
      <c r="O184" s="238">
        <f t="shared" ca="1" si="172"/>
        <v>1.6</v>
      </c>
      <c r="P184" s="238">
        <f ca="1">ROUND(+IF(ISERROR(OFFSET(Tabella!$G$1,MATCH(H184,Tabella!$G:$G,0)-1,MATCH(I184,Tabella!$G$1:$FG$1,0)-1)=TRUE),0,OFFSET(Tabella!$G$1,MATCH(H184,Tabella!$G:$G,0)-1,MATCH(I184,Tabella!$G$1:$AB$1,0)-1)),4)</f>
        <v>0</v>
      </c>
      <c r="Q184" s="238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238">
        <f ca="1">ROUND(IF(ISERROR(OFFSET(Rame!$F$1,MATCH(H184,Rame!$F:$F,0)-1,MATCH(I184,Rame!$F$1:$FF$1,0)-1)=TRUE),0,OFFSET(Rame!$F$1,MATCH(H184,Rame!$F:$F,0)-1,MATCH(I184,Rame!$F$1:$FF$1,0)-1))*IF(E184="Rame",1,0),4)</f>
        <v>0</v>
      </c>
      <c r="S184" s="238">
        <f ca="1">ROUND(IF(ISERROR(OFFSET(Bronzo!$A$1,MATCH(H184,Bronzo!$A:$A,0)-1,MATCH(I184,Bronzo!$A$1:$AA$1,0)-1)=TRUE),0,OFFSET(Bronzo!$A$1,MATCH(H184,Bronzo!$A:$A,0)-1,MATCH(I184,Bronzo!$A$1:$AA$1,0)-1)),4)</f>
        <v>0</v>
      </c>
      <c r="T184" s="238">
        <f t="shared" ca="1" si="164"/>
        <v>0</v>
      </c>
      <c r="U184" s="237"/>
      <c r="V184" s="238">
        <v>0</v>
      </c>
      <c r="W184" s="239">
        <f t="shared" ca="1" si="165"/>
        <v>1.6</v>
      </c>
      <c r="X184" s="423">
        <f t="shared" si="152"/>
        <v>43.89</v>
      </c>
      <c r="Y184" s="236">
        <v>4.5599999999999996</v>
      </c>
      <c r="Z184" s="236">
        <f t="shared" ca="1" si="166"/>
        <v>0</v>
      </c>
      <c r="AA184" s="241"/>
      <c r="AF184" s="225">
        <f t="shared" ca="1" si="136"/>
        <v>46236</v>
      </c>
      <c r="AG184" s="225" t="b">
        <f t="shared" si="167"/>
        <v>1</v>
      </c>
      <c r="AH184" s="242"/>
      <c r="AK184" s="223">
        <f t="shared" si="168"/>
        <v>0</v>
      </c>
      <c r="AL184" s="223">
        <f t="shared" si="169"/>
        <v>1900</v>
      </c>
      <c r="AS184" s="223">
        <f t="shared" si="170"/>
        <v>0</v>
      </c>
      <c r="AT184" s="223">
        <f t="shared" si="171"/>
        <v>0</v>
      </c>
    </row>
    <row r="185" spans="2:46" ht="15.75" x14ac:dyDescent="0.25">
      <c r="B185" s="229" t="s">
        <v>708</v>
      </c>
      <c r="C185" s="245" t="s">
        <v>336</v>
      </c>
      <c r="D185" s="246">
        <v>1286</v>
      </c>
      <c r="E185" s="232" t="s">
        <v>6</v>
      </c>
      <c r="F185" s="233">
        <v>10.7</v>
      </c>
      <c r="G185" s="234">
        <v>46119</v>
      </c>
      <c r="H185" s="235" t="s">
        <v>16</v>
      </c>
      <c r="I185" s="235"/>
      <c r="J185" s="236">
        <v>0.15</v>
      </c>
      <c r="K185" s="237">
        <f ca="1">ROUND(IF(ISERROR(OFFSET(Tabella!$A$1,MATCH(H185,Tabella!$A:$A,0)-1,MATCH(J185,Tabella!$A$1:$AC$1,0)-1)=TRUE),0,+OFFSET(Tabella!$A$1,MATCH(H185,Tabella!$A:$A,0)-1,MATCH(J185,Tabella!$A$1:$AC$1,0)-1)),4)</f>
        <v>0</v>
      </c>
      <c r="L185" s="238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238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238">
        <v>0</v>
      </c>
      <c r="O185" s="238">
        <f t="shared" ca="1" si="172"/>
        <v>0.85</v>
      </c>
      <c r="P185" s="238">
        <f ca="1">ROUND(+IF(ISERROR(OFFSET(Tabella!$G$1,MATCH(H185,Tabella!$G:$G,0)-1,MATCH(I185,Tabella!$G$1:$FG$1,0)-1)=TRUE),0,OFFSET(Tabella!$G$1,MATCH(H185,Tabella!$G:$G,0)-1,MATCH(I185,Tabella!$G$1:$AB$1,0)-1)),4)</f>
        <v>0</v>
      </c>
      <c r="Q185" s="238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238">
        <f ca="1">ROUND(IF(ISERROR(OFFSET(Rame!$F$1,MATCH(H185,Rame!$F:$F,0)-1,MATCH(I185,Rame!$F$1:$FF$1,0)-1)=TRUE),0,OFFSET(Rame!$F$1,MATCH(H185,Rame!$F:$F,0)-1,MATCH(I185,Rame!$F$1:$FF$1,0)-1))*IF(E185="Rame",1,0),4)</f>
        <v>0</v>
      </c>
      <c r="S185" s="238">
        <f ca="1">ROUND(IF(ISERROR(OFFSET(Bronzo!$A$1,MATCH(H185,Bronzo!$A:$A,0)-1,MATCH(I185,Bronzo!$A$1:$AA$1,0)-1)=TRUE),0,OFFSET(Bronzo!$A$1,MATCH(H185,Bronzo!$A:$A,0)-1,MATCH(I185,Bronzo!$A$1:$AA$1,0)-1)),4)</f>
        <v>0</v>
      </c>
      <c r="T185" s="238">
        <f t="shared" ca="1" si="164"/>
        <v>0</v>
      </c>
      <c r="U185" s="237"/>
      <c r="V185" s="238">
        <v>0</v>
      </c>
      <c r="W185" s="239">
        <f t="shared" ca="1" si="165"/>
        <v>0.85</v>
      </c>
      <c r="X185" s="423">
        <f t="shared" si="152"/>
        <v>192.9</v>
      </c>
      <c r="Y185" s="236">
        <v>14.4</v>
      </c>
      <c r="Z185" s="236">
        <f t="shared" ca="1" si="166"/>
        <v>2.85</v>
      </c>
      <c r="AA185" s="241"/>
      <c r="AF185" s="225">
        <f t="shared" ca="1" si="136"/>
        <v>46236</v>
      </c>
      <c r="AG185" s="225" t="b">
        <f t="shared" si="167"/>
        <v>1</v>
      </c>
      <c r="AH185" s="242"/>
      <c r="AK185" s="223">
        <f t="shared" si="168"/>
        <v>0</v>
      </c>
      <c r="AL185" s="223">
        <f t="shared" si="169"/>
        <v>1900</v>
      </c>
      <c r="AS185" s="223">
        <f t="shared" si="170"/>
        <v>0</v>
      </c>
      <c r="AT185" s="223">
        <f t="shared" si="171"/>
        <v>0</v>
      </c>
    </row>
    <row r="186" spans="2:46" ht="15.75" x14ac:dyDescent="0.25">
      <c r="B186" s="229" t="s">
        <v>708</v>
      </c>
      <c r="C186" s="245" t="s">
        <v>336</v>
      </c>
      <c r="D186" s="246">
        <v>1380</v>
      </c>
      <c r="E186" s="232" t="s">
        <v>6</v>
      </c>
      <c r="F186" s="233">
        <v>10.7</v>
      </c>
      <c r="G186" s="234">
        <v>46119</v>
      </c>
      <c r="H186" s="235" t="s">
        <v>18</v>
      </c>
      <c r="I186" s="235"/>
      <c r="J186" s="236">
        <v>0.15</v>
      </c>
      <c r="K186" s="237">
        <f ca="1">ROUND(IF(ISERROR(OFFSET(Tabella!$A$1,MATCH(H186,Tabella!$A:$A,0)-1,MATCH(J186,Tabella!$A$1:$AC$1,0)-1)=TRUE),0,+OFFSET(Tabella!$A$1,MATCH(H186,Tabella!$A:$A,0)-1,MATCH(J186,Tabella!$A$1:$AC$1,0)-1)),4)</f>
        <v>0</v>
      </c>
      <c r="L186" s="238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238">
        <f ca="1">ROUND(IF(ISERROR(OFFSET(Rame!$A$1,MATCH(H186,Rame!$A:$A,0)-1,MATCH(J186,Rame!$A$1:$AA$1,0)-1)=TRUE),0,OFFSET(Rame!$A$1,MATCH(H186,Rame!$A:$A,0)-1,MATCH(J186,Rame!$A$1:$AA$1,0)-1))*IF(E186="Rame",1,0),4)</f>
        <v>0.82</v>
      </c>
      <c r="N186" s="238">
        <v>0</v>
      </c>
      <c r="O186" s="238">
        <f t="shared" ca="1" si="172"/>
        <v>0.82</v>
      </c>
      <c r="P186" s="238">
        <f ca="1">ROUND(+IF(ISERROR(OFFSET(Tabella!$G$1,MATCH(H186,Tabella!$G:$G,0)-1,MATCH(I186,Tabella!$G$1:$FG$1,0)-1)=TRUE),0,OFFSET(Tabella!$G$1,MATCH(H186,Tabella!$G:$G,0)-1,MATCH(I186,Tabella!$G$1:$AB$1,0)-1)),4)</f>
        <v>0</v>
      </c>
      <c r="Q186" s="238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238">
        <f ca="1">ROUND(IF(ISERROR(OFFSET(Rame!$F$1,MATCH(H186,Rame!$F:$F,0)-1,MATCH(I186,Rame!$F$1:$FF$1,0)-1)=TRUE),0,OFFSET(Rame!$F$1,MATCH(H186,Rame!$F:$F,0)-1,MATCH(I186,Rame!$F$1:$FF$1,0)-1))*IF(E186="Rame",1,0),4)</f>
        <v>0</v>
      </c>
      <c r="S186" s="238">
        <f ca="1">ROUND(IF(ISERROR(OFFSET(Bronzo!$A$1,MATCH(H186,Bronzo!$A:$A,0)-1,MATCH(I186,Bronzo!$A$1:$AA$1,0)-1)=TRUE),0,OFFSET(Bronzo!$A$1,MATCH(H186,Bronzo!$A:$A,0)-1,MATCH(I186,Bronzo!$A$1:$AA$1,0)-1)),4)</f>
        <v>0</v>
      </c>
      <c r="T186" s="238">
        <f t="shared" ca="1" si="164"/>
        <v>0</v>
      </c>
      <c r="U186" s="237"/>
      <c r="V186" s="238">
        <v>0</v>
      </c>
      <c r="W186" s="239">
        <f t="shared" ca="1" si="165"/>
        <v>0.82</v>
      </c>
      <c r="X186" s="423">
        <f t="shared" si="152"/>
        <v>207</v>
      </c>
      <c r="Y186" s="236">
        <v>14.4</v>
      </c>
      <c r="Z186" s="236">
        <f t="shared" ca="1" si="166"/>
        <v>2.88</v>
      </c>
      <c r="AA186" s="241"/>
      <c r="AF186" s="225">
        <f t="shared" ca="1" si="136"/>
        <v>46236</v>
      </c>
      <c r="AG186" s="225" t="b">
        <f t="shared" si="167"/>
        <v>1</v>
      </c>
      <c r="AH186" s="242"/>
      <c r="AK186" s="223">
        <f t="shared" si="168"/>
        <v>0</v>
      </c>
      <c r="AL186" s="223">
        <f t="shared" si="169"/>
        <v>1900</v>
      </c>
      <c r="AS186" s="223">
        <f t="shared" si="170"/>
        <v>0</v>
      </c>
      <c r="AT186" s="223">
        <f t="shared" si="171"/>
        <v>0</v>
      </c>
    </row>
    <row r="187" spans="2:46" ht="15.75" x14ac:dyDescent="0.25">
      <c r="B187" s="229" t="s">
        <v>589</v>
      </c>
      <c r="C187" s="245" t="s">
        <v>336</v>
      </c>
      <c r="D187" s="246">
        <v>520</v>
      </c>
      <c r="E187" s="232" t="s">
        <v>6</v>
      </c>
      <c r="F187" s="233">
        <v>10.7</v>
      </c>
      <c r="G187" s="234">
        <v>46119</v>
      </c>
      <c r="H187" s="235" t="s">
        <v>16</v>
      </c>
      <c r="I187" s="235"/>
      <c r="J187" s="236">
        <v>0.15</v>
      </c>
      <c r="K187" s="237">
        <f ca="1">ROUND(IF(ISERROR(OFFSET(Tabella!$A$1,MATCH(H187,Tabella!$A:$A,0)-1,MATCH(J187,Tabella!$A$1:$AC$1,0)-1)=TRUE),0,+OFFSET(Tabella!$A$1,MATCH(H187,Tabella!$A:$A,0)-1,MATCH(J187,Tabella!$A$1:$AC$1,0)-1)),4)</f>
        <v>0</v>
      </c>
      <c r="L187" s="238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238">
        <f ca="1">ROUND(IF(ISERROR(OFFSET(Rame!$A$1,MATCH(H187,Rame!$A:$A,0)-1,MATCH(J187,Rame!$A$1:$AA$1,0)-1)=TRUE),0,OFFSET(Rame!$A$1,MATCH(H187,Rame!$A:$A,0)-1,MATCH(J187,Rame!$A$1:$AA$1,0)-1))*IF(E187="Rame",1,0),4)</f>
        <v>0.85</v>
      </c>
      <c r="N187" s="238">
        <v>0</v>
      </c>
      <c r="O187" s="238">
        <f t="shared" ca="1" si="172"/>
        <v>0.85</v>
      </c>
      <c r="P187" s="238">
        <f ca="1">ROUND(+IF(ISERROR(OFFSET(Tabella!$G$1,MATCH(H187,Tabella!$G:$G,0)-1,MATCH(I187,Tabella!$G$1:$FG$1,0)-1)=TRUE),0,OFFSET(Tabella!$G$1,MATCH(H187,Tabella!$G:$G,0)-1,MATCH(I187,Tabella!$G$1:$AB$1,0)-1)),4)</f>
        <v>0</v>
      </c>
      <c r="Q187" s="238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238">
        <f ca="1">ROUND(IF(ISERROR(OFFSET(Rame!$F$1,MATCH(H187,Rame!$F:$F,0)-1,MATCH(I187,Rame!$F$1:$FF$1,0)-1)=TRUE),0,OFFSET(Rame!$F$1,MATCH(H187,Rame!$F:$F,0)-1,MATCH(I187,Rame!$F$1:$FF$1,0)-1))*IF(E187="Rame",1,0),4)</f>
        <v>0</v>
      </c>
      <c r="S187" s="238">
        <f ca="1">ROUND(IF(ISERROR(OFFSET(Bronzo!$A$1,MATCH(H187,Bronzo!$A:$A,0)-1,MATCH(I187,Bronzo!$A$1:$AA$1,0)-1)=TRUE),0,OFFSET(Bronzo!$A$1,MATCH(H187,Bronzo!$A:$A,0)-1,MATCH(I187,Bronzo!$A$1:$AA$1,0)-1)),4)</f>
        <v>0</v>
      </c>
      <c r="T187" s="238">
        <f t="shared" ca="1" si="164"/>
        <v>0</v>
      </c>
      <c r="U187" s="237"/>
      <c r="V187" s="238">
        <v>0</v>
      </c>
      <c r="W187" s="239">
        <f t="shared" ca="1" si="165"/>
        <v>0.85</v>
      </c>
      <c r="X187" s="423">
        <f t="shared" si="152"/>
        <v>78</v>
      </c>
      <c r="Y187" s="236">
        <v>14.4</v>
      </c>
      <c r="Z187" s="236">
        <f t="shared" ca="1" si="166"/>
        <v>2.85</v>
      </c>
      <c r="AA187" s="241"/>
      <c r="AF187" s="225">
        <f t="shared" ca="1" si="136"/>
        <v>46236</v>
      </c>
      <c r="AG187" s="225" t="b">
        <f t="shared" si="167"/>
        <v>1</v>
      </c>
      <c r="AH187" s="242"/>
      <c r="AK187" s="223">
        <f t="shared" si="168"/>
        <v>0</v>
      </c>
      <c r="AL187" s="223">
        <f t="shared" si="169"/>
        <v>1900</v>
      </c>
      <c r="AS187" s="223">
        <f t="shared" si="170"/>
        <v>0</v>
      </c>
      <c r="AT187" s="223">
        <f t="shared" si="171"/>
        <v>0</v>
      </c>
    </row>
    <row r="188" spans="2:46" ht="15.75" x14ac:dyDescent="0.25">
      <c r="B188" s="229" t="s">
        <v>589</v>
      </c>
      <c r="C188" s="245" t="s">
        <v>336</v>
      </c>
      <c r="D188" s="246">
        <v>534</v>
      </c>
      <c r="E188" s="232" t="s">
        <v>4</v>
      </c>
      <c r="F188" s="233">
        <v>2.98</v>
      </c>
      <c r="G188" s="234">
        <v>46119</v>
      </c>
      <c r="H188" s="235" t="s">
        <v>21</v>
      </c>
      <c r="I188" s="235"/>
      <c r="J188" s="236">
        <v>7.0000000000000007E-2</v>
      </c>
      <c r="K188" s="237">
        <v>1.6</v>
      </c>
      <c r="L188" s="238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238">
        <f ca="1">ROUND(IF(ISERROR(OFFSET(Rame!$A$1,MATCH(H188,Rame!$A:$A,0)-1,MATCH(J188,Rame!$A$1:$AA$1,0)-1)=TRUE),0,OFFSET(Rame!$A$1,MATCH(H188,Rame!$A:$A,0)-1,MATCH(J188,Rame!$A$1:$AA$1,0)-1))*IF(E188="Rame",1,0),4)</f>
        <v>0</v>
      </c>
      <c r="N188" s="238">
        <v>0</v>
      </c>
      <c r="O188" s="238">
        <f t="shared" ca="1" si="172"/>
        <v>1.6</v>
      </c>
      <c r="P188" s="238">
        <f ca="1">ROUND(+IF(ISERROR(OFFSET(Tabella!$G$1,MATCH(H188,Tabella!$G:$G,0)-1,MATCH(I188,Tabella!$G$1:$FG$1,0)-1)=TRUE),0,OFFSET(Tabella!$G$1,MATCH(H188,Tabella!$G:$G,0)-1,MATCH(I188,Tabella!$G$1:$AB$1,0)-1)),4)</f>
        <v>0</v>
      </c>
      <c r="Q188" s="238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238">
        <f ca="1">ROUND(IF(ISERROR(OFFSET(Rame!$F$1,MATCH(H188,Rame!$F:$F,0)-1,MATCH(I188,Rame!$F$1:$FF$1,0)-1)=TRUE),0,OFFSET(Rame!$F$1,MATCH(H188,Rame!$F:$F,0)-1,MATCH(I188,Rame!$F$1:$FF$1,0)-1))*IF(E188="Rame",1,0),4)</f>
        <v>0</v>
      </c>
      <c r="S188" s="238">
        <f ca="1">ROUND(IF(ISERROR(OFFSET(Bronzo!$A$1,MATCH(H188,Bronzo!$A:$A,0)-1,MATCH(I188,Bronzo!$A$1:$AA$1,0)-1)=TRUE),0,OFFSET(Bronzo!$A$1,MATCH(H188,Bronzo!$A:$A,0)-1,MATCH(I188,Bronzo!$A$1:$AA$1,0)-1)),4)</f>
        <v>0</v>
      </c>
      <c r="T188" s="238">
        <f t="shared" ca="1" si="164"/>
        <v>0</v>
      </c>
      <c r="U188" s="237"/>
      <c r="V188" s="238">
        <v>0</v>
      </c>
      <c r="W188" s="239">
        <f t="shared" ca="1" si="165"/>
        <v>1.6</v>
      </c>
      <c r="X188" s="423">
        <f t="shared" si="152"/>
        <v>37.380000000000003</v>
      </c>
      <c r="Y188" s="236">
        <v>4.8499999999999996</v>
      </c>
      <c r="Z188" s="236">
        <f t="shared" ca="1" si="166"/>
        <v>0.27</v>
      </c>
      <c r="AA188" s="241"/>
      <c r="AF188" s="225">
        <f t="shared" ca="1" si="136"/>
        <v>46236</v>
      </c>
      <c r="AG188" s="225" t="b">
        <f t="shared" si="167"/>
        <v>1</v>
      </c>
      <c r="AH188" s="242"/>
      <c r="AK188" s="223">
        <f t="shared" si="168"/>
        <v>0</v>
      </c>
      <c r="AL188" s="223">
        <f t="shared" si="169"/>
        <v>1900</v>
      </c>
      <c r="AS188" s="223">
        <f t="shared" si="170"/>
        <v>0</v>
      </c>
      <c r="AT188" s="223">
        <f t="shared" si="171"/>
        <v>0</v>
      </c>
    </row>
    <row r="189" spans="2:46" ht="15.75" x14ac:dyDescent="0.25">
      <c r="B189" s="229" t="s">
        <v>589</v>
      </c>
      <c r="C189" s="245" t="s">
        <v>336</v>
      </c>
      <c r="D189" s="246">
        <v>8074</v>
      </c>
      <c r="E189" s="232" t="s">
        <v>4</v>
      </c>
      <c r="F189" s="233">
        <v>2.98</v>
      </c>
      <c r="G189" s="234">
        <v>46119</v>
      </c>
      <c r="H189" s="235" t="s">
        <v>313</v>
      </c>
      <c r="I189" s="235"/>
      <c r="J189" s="236">
        <v>7.0000000000000007E-2</v>
      </c>
      <c r="K189" s="237">
        <v>1.6</v>
      </c>
      <c r="L189" s="238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238">
        <f ca="1">ROUND(IF(ISERROR(OFFSET(Rame!$A$1,MATCH(H189,Rame!$A:$A,0)-1,MATCH(J189,Rame!$A$1:$AA$1,0)-1)=TRUE),0,OFFSET(Rame!$A$1,MATCH(H189,Rame!$A:$A,0)-1,MATCH(J189,Rame!$A$1:$AA$1,0)-1))*IF(E189="Rame",1,0),4)</f>
        <v>0</v>
      </c>
      <c r="N189" s="238">
        <v>0</v>
      </c>
      <c r="O189" s="238">
        <f t="shared" ca="1" si="172"/>
        <v>1.6</v>
      </c>
      <c r="P189" s="238">
        <f ca="1">ROUND(+IF(ISERROR(OFFSET(Tabella!$G$1,MATCH(H189,Tabella!$G:$G,0)-1,MATCH(I189,Tabella!$G$1:$FG$1,0)-1)=TRUE),0,OFFSET(Tabella!$G$1,MATCH(H189,Tabella!$G:$G,0)-1,MATCH(I189,Tabella!$G$1:$AB$1,0)-1)),4)</f>
        <v>0</v>
      </c>
      <c r="Q189" s="238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238">
        <f ca="1">ROUND(IF(ISERROR(OFFSET(Rame!$F$1,MATCH(H189,Rame!$F:$F,0)-1,MATCH(I189,Rame!$F$1:$FF$1,0)-1)=TRUE),0,OFFSET(Rame!$F$1,MATCH(H189,Rame!$F:$F,0)-1,MATCH(I189,Rame!$F$1:$FF$1,0)-1))*IF(E189="Rame",1,0),4)</f>
        <v>0</v>
      </c>
      <c r="S189" s="238">
        <f ca="1">ROUND(IF(ISERROR(OFFSET(Bronzo!$A$1,MATCH(H189,Bronzo!$A:$A,0)-1,MATCH(I189,Bronzo!$A$1:$AA$1,0)-1)=TRUE),0,OFFSET(Bronzo!$A$1,MATCH(H189,Bronzo!$A:$A,0)-1,MATCH(I189,Bronzo!$A$1:$AA$1,0)-1)),4)</f>
        <v>0</v>
      </c>
      <c r="T189" s="238">
        <f t="shared" ca="1" si="164"/>
        <v>0</v>
      </c>
      <c r="U189" s="237"/>
      <c r="V189" s="238">
        <v>0</v>
      </c>
      <c r="W189" s="239">
        <f t="shared" ca="1" si="165"/>
        <v>1.6</v>
      </c>
      <c r="X189" s="423">
        <f t="shared" si="152"/>
        <v>565.17999999999995</v>
      </c>
      <c r="Y189" s="236">
        <v>4.8499999999999996</v>
      </c>
      <c r="Z189" s="236">
        <f t="shared" ca="1" si="166"/>
        <v>0.27</v>
      </c>
      <c r="AA189" s="241"/>
      <c r="AF189" s="225">
        <f t="shared" ca="1" si="136"/>
        <v>46236</v>
      </c>
      <c r="AG189" s="225" t="b">
        <f t="shared" si="167"/>
        <v>1</v>
      </c>
      <c r="AH189" s="242"/>
      <c r="AK189" s="223">
        <f t="shared" si="168"/>
        <v>0</v>
      </c>
      <c r="AL189" s="223">
        <f t="shared" si="169"/>
        <v>1900</v>
      </c>
      <c r="AS189" s="223">
        <f t="shared" si="170"/>
        <v>0</v>
      </c>
      <c r="AT189" s="223">
        <f t="shared" si="171"/>
        <v>0</v>
      </c>
    </row>
    <row r="190" spans="2:46" ht="15.75" x14ac:dyDescent="0.25">
      <c r="B190" s="229" t="s">
        <v>589</v>
      </c>
      <c r="C190" s="245" t="s">
        <v>336</v>
      </c>
      <c r="D190" s="246">
        <v>490</v>
      </c>
      <c r="E190" s="232" t="s">
        <v>4</v>
      </c>
      <c r="F190" s="233">
        <v>2.98</v>
      </c>
      <c r="G190" s="234">
        <v>46119</v>
      </c>
      <c r="H190" s="235" t="s">
        <v>9</v>
      </c>
      <c r="I190" s="235"/>
      <c r="J190" s="236">
        <v>7.0000000000000007E-2</v>
      </c>
      <c r="K190" s="237">
        <v>1.9</v>
      </c>
      <c r="L190" s="238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238">
        <f ca="1">ROUND(IF(ISERROR(OFFSET(Rame!$A$1,MATCH(H190,Rame!$A:$A,0)-1,MATCH(J190,Rame!$A$1:$AA$1,0)-1)=TRUE),0,OFFSET(Rame!$A$1,MATCH(H190,Rame!$A:$A,0)-1,MATCH(J190,Rame!$A$1:$AA$1,0)-1))*IF(E190="Rame",1,0),4)</f>
        <v>0</v>
      </c>
      <c r="N190" s="238">
        <v>0</v>
      </c>
      <c r="O190" s="238">
        <f t="shared" ca="1" si="172"/>
        <v>1.9</v>
      </c>
      <c r="P190" s="238">
        <f ca="1">ROUND(+IF(ISERROR(OFFSET(Tabella!$G$1,MATCH(H190,Tabella!$G:$G,0)-1,MATCH(I190,Tabella!$G$1:$FG$1,0)-1)=TRUE),0,OFFSET(Tabella!$G$1,MATCH(H190,Tabella!$G:$G,0)-1,MATCH(I190,Tabella!$G$1:$AB$1,0)-1)),4)</f>
        <v>0</v>
      </c>
      <c r="Q190" s="238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238">
        <f ca="1">ROUND(IF(ISERROR(OFFSET(Rame!$F$1,MATCH(H190,Rame!$F:$F,0)-1,MATCH(I190,Rame!$F$1:$FF$1,0)-1)=TRUE),0,OFFSET(Rame!$F$1,MATCH(H190,Rame!$F:$F,0)-1,MATCH(I190,Rame!$F$1:$FF$1,0)-1))*IF(E190="Rame",1,0),4)</f>
        <v>0</v>
      </c>
      <c r="S190" s="238">
        <f ca="1">ROUND(IF(ISERROR(OFFSET(Bronzo!$A$1,MATCH(H190,Bronzo!$A:$A,0)-1,MATCH(I190,Bronzo!$A$1:$AA$1,0)-1)=TRUE),0,OFFSET(Bronzo!$A$1,MATCH(H190,Bronzo!$A:$A,0)-1,MATCH(I190,Bronzo!$A$1:$AA$1,0)-1)),4)</f>
        <v>0</v>
      </c>
      <c r="T190" s="238">
        <f t="shared" ca="1" si="164"/>
        <v>0</v>
      </c>
      <c r="U190" s="237"/>
      <c r="V190" s="238">
        <v>0</v>
      </c>
      <c r="W190" s="239">
        <f t="shared" ca="1" si="165"/>
        <v>1.9</v>
      </c>
      <c r="X190" s="423">
        <f t="shared" si="152"/>
        <v>34.299999999999997</v>
      </c>
      <c r="Y190" s="236">
        <v>5.15</v>
      </c>
      <c r="Z190" s="236">
        <f t="shared" ca="1" si="166"/>
        <v>0.27</v>
      </c>
      <c r="AA190" s="241"/>
      <c r="AF190" s="225">
        <f t="shared" ca="1" si="136"/>
        <v>46236</v>
      </c>
      <c r="AG190" s="225" t="b">
        <f t="shared" si="167"/>
        <v>1</v>
      </c>
      <c r="AH190" s="242"/>
      <c r="AK190" s="223">
        <f t="shared" si="168"/>
        <v>0</v>
      </c>
      <c r="AL190" s="223">
        <f t="shared" si="169"/>
        <v>1900</v>
      </c>
      <c r="AS190" s="223">
        <f t="shared" si="170"/>
        <v>0</v>
      </c>
      <c r="AT190" s="223">
        <f t="shared" si="171"/>
        <v>0</v>
      </c>
    </row>
    <row r="191" spans="2:46" ht="15.75" x14ac:dyDescent="0.25">
      <c r="B191" s="229" t="s">
        <v>589</v>
      </c>
      <c r="C191" s="245" t="s">
        <v>336</v>
      </c>
      <c r="D191" s="246">
        <v>3746</v>
      </c>
      <c r="E191" s="232" t="s">
        <v>4</v>
      </c>
      <c r="F191" s="233">
        <v>2.98</v>
      </c>
      <c r="G191" s="234">
        <v>46119</v>
      </c>
      <c r="H191" s="235" t="s">
        <v>308</v>
      </c>
      <c r="I191" s="235"/>
      <c r="J191" s="236">
        <v>7.0000000000000007E-2</v>
      </c>
      <c r="K191" s="237">
        <v>1.6</v>
      </c>
      <c r="L191" s="238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238">
        <f ca="1">ROUND(IF(ISERROR(OFFSET(Rame!$A$1,MATCH(H191,Rame!$A:$A,0)-1,MATCH(J191,Rame!$A$1:$AA$1,0)-1)=TRUE),0,OFFSET(Rame!$A$1,MATCH(H191,Rame!$A:$A,0)-1,MATCH(J191,Rame!$A$1:$AA$1,0)-1))*IF(E191="Rame",1,0),4)</f>
        <v>0</v>
      </c>
      <c r="N191" s="238">
        <v>0</v>
      </c>
      <c r="O191" s="238">
        <f t="shared" ca="1" si="172"/>
        <v>1.6</v>
      </c>
      <c r="P191" s="238">
        <f ca="1">ROUND(+IF(ISERROR(OFFSET(Tabella!$G$1,MATCH(H191,Tabella!$G:$G,0)-1,MATCH(I191,Tabella!$G$1:$FG$1,0)-1)=TRUE),0,OFFSET(Tabella!$G$1,MATCH(H191,Tabella!$G:$G,0)-1,MATCH(I191,Tabella!$G$1:$AB$1,0)-1)),4)</f>
        <v>0</v>
      </c>
      <c r="Q191" s="238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238">
        <f ca="1">ROUND(IF(ISERROR(OFFSET(Rame!$F$1,MATCH(H191,Rame!$F:$F,0)-1,MATCH(I191,Rame!$F$1:$FF$1,0)-1)=TRUE),0,OFFSET(Rame!$F$1,MATCH(H191,Rame!$F:$F,0)-1,MATCH(I191,Rame!$F$1:$FF$1,0)-1))*IF(E191="Rame",1,0),4)</f>
        <v>0</v>
      </c>
      <c r="S191" s="238">
        <f ca="1">ROUND(IF(ISERROR(OFFSET(Bronzo!$A$1,MATCH(H191,Bronzo!$A:$A,0)-1,MATCH(I191,Bronzo!$A$1:$AA$1,0)-1)=TRUE),0,OFFSET(Bronzo!$A$1,MATCH(H191,Bronzo!$A:$A,0)-1,MATCH(I191,Bronzo!$A$1:$AA$1,0)-1)),4)</f>
        <v>0</v>
      </c>
      <c r="T191" s="238">
        <f t="shared" ca="1" si="164"/>
        <v>0</v>
      </c>
      <c r="U191" s="237"/>
      <c r="V191" s="238">
        <v>0</v>
      </c>
      <c r="W191" s="239">
        <f t="shared" ca="1" si="165"/>
        <v>1.6</v>
      </c>
      <c r="X191" s="423">
        <f t="shared" si="152"/>
        <v>262.22000000000003</v>
      </c>
      <c r="Y191" s="236">
        <v>4.8499999999999996</v>
      </c>
      <c r="Z191" s="236">
        <f t="shared" ca="1" si="166"/>
        <v>0.27</v>
      </c>
      <c r="AA191" s="241"/>
      <c r="AF191" s="225">
        <f t="shared" ca="1" si="136"/>
        <v>46236</v>
      </c>
      <c r="AG191" s="225" t="b">
        <f t="shared" si="167"/>
        <v>1</v>
      </c>
      <c r="AH191" s="242"/>
      <c r="AK191" s="223">
        <f t="shared" si="168"/>
        <v>0</v>
      </c>
      <c r="AL191" s="223">
        <f t="shared" si="169"/>
        <v>1900</v>
      </c>
      <c r="AS191" s="223">
        <f t="shared" si="170"/>
        <v>0</v>
      </c>
      <c r="AT191" s="223">
        <f t="shared" si="171"/>
        <v>0</v>
      </c>
    </row>
    <row r="192" spans="2:46" ht="15.75" x14ac:dyDescent="0.25">
      <c r="B192" s="229" t="s">
        <v>708</v>
      </c>
      <c r="C192" s="245" t="s">
        <v>336</v>
      </c>
      <c r="D192" s="246">
        <v>778</v>
      </c>
      <c r="E192" s="232" t="s">
        <v>4</v>
      </c>
      <c r="F192" s="233">
        <v>2.98</v>
      </c>
      <c r="G192" s="234">
        <v>46119</v>
      </c>
      <c r="H192" s="235" t="s">
        <v>28</v>
      </c>
      <c r="I192" s="235"/>
      <c r="J192" s="236">
        <v>7.0000000000000007E-2</v>
      </c>
      <c r="K192" s="237">
        <v>1.6</v>
      </c>
      <c r="L192" s="238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238">
        <f ca="1">ROUND(IF(ISERROR(OFFSET(Rame!$A$1,MATCH(H192,Rame!$A:$A,0)-1,MATCH(J192,Rame!$A$1:$AA$1,0)-1)=TRUE),0,OFFSET(Rame!$A$1,MATCH(H192,Rame!$A:$A,0)-1,MATCH(J192,Rame!$A$1:$AA$1,0)-1))*IF(E192="Rame",1,0),4)</f>
        <v>0</v>
      </c>
      <c r="N192" s="238">
        <v>0</v>
      </c>
      <c r="O192" s="238">
        <f t="shared" ca="1" si="172"/>
        <v>1.6</v>
      </c>
      <c r="P192" s="238">
        <f ca="1">ROUND(+IF(ISERROR(OFFSET(Tabella!$G$1,MATCH(H192,Tabella!$G:$G,0)-1,MATCH(I192,Tabella!$G$1:$FG$1,0)-1)=TRUE),0,OFFSET(Tabella!$G$1,MATCH(H192,Tabella!$G:$G,0)-1,MATCH(I192,Tabella!$G$1:$AB$1,0)-1)),4)</f>
        <v>0</v>
      </c>
      <c r="Q192" s="238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238">
        <f ca="1">ROUND(IF(ISERROR(OFFSET(Rame!$F$1,MATCH(H192,Rame!$F:$F,0)-1,MATCH(I192,Rame!$F$1:$FF$1,0)-1)=TRUE),0,OFFSET(Rame!$F$1,MATCH(H192,Rame!$F:$F,0)-1,MATCH(I192,Rame!$F$1:$FF$1,0)-1))*IF(E192="Rame",1,0),4)</f>
        <v>0</v>
      </c>
      <c r="S192" s="238">
        <f ca="1">ROUND(IF(ISERROR(OFFSET(Bronzo!$A$1,MATCH(H192,Bronzo!$A:$A,0)-1,MATCH(I192,Bronzo!$A$1:$AA$1,0)-1)=TRUE),0,OFFSET(Bronzo!$A$1,MATCH(H192,Bronzo!$A:$A,0)-1,MATCH(I192,Bronzo!$A$1:$AA$1,0)-1)),4)</f>
        <v>0</v>
      </c>
      <c r="T192" s="238">
        <f t="shared" ca="1" si="164"/>
        <v>0</v>
      </c>
      <c r="U192" s="237"/>
      <c r="V192" s="238">
        <v>0</v>
      </c>
      <c r="W192" s="239">
        <f t="shared" ca="1" si="165"/>
        <v>1.6</v>
      </c>
      <c r="X192" s="423">
        <f t="shared" si="152"/>
        <v>54.46</v>
      </c>
      <c r="Y192" s="236">
        <v>4.8499999999999996</v>
      </c>
      <c r="Z192" s="236">
        <f t="shared" ca="1" si="166"/>
        <v>0.27</v>
      </c>
      <c r="AA192" s="241"/>
      <c r="AF192" s="225">
        <f t="shared" ca="1" si="136"/>
        <v>46236</v>
      </c>
      <c r="AG192" s="225" t="b">
        <f t="shared" si="167"/>
        <v>1</v>
      </c>
      <c r="AH192" s="242"/>
      <c r="AK192" s="223">
        <f t="shared" si="168"/>
        <v>0</v>
      </c>
      <c r="AL192" s="223">
        <f t="shared" si="169"/>
        <v>1900</v>
      </c>
      <c r="AS192" s="223">
        <f t="shared" si="170"/>
        <v>0</v>
      </c>
      <c r="AT192" s="223">
        <f t="shared" si="171"/>
        <v>0</v>
      </c>
    </row>
    <row r="193" spans="2:46" ht="15.75" x14ac:dyDescent="0.25">
      <c r="B193" s="229" t="s">
        <v>506</v>
      </c>
      <c r="C193" s="235" t="s">
        <v>335</v>
      </c>
      <c r="D193" s="243">
        <v>900</v>
      </c>
      <c r="E193" s="232" t="s">
        <v>6</v>
      </c>
      <c r="F193" s="233">
        <v>10.65</v>
      </c>
      <c r="G193" s="234">
        <v>46121</v>
      </c>
      <c r="H193" s="235" t="s">
        <v>18</v>
      </c>
      <c r="I193" s="235"/>
      <c r="J193" s="236">
        <v>0.15</v>
      </c>
      <c r="K193" s="237">
        <f ca="1">ROUND(IF(ISERROR(OFFSET(Tabella!$A$1,MATCH(H193,Tabella!$A:$A,0)-1,MATCH(J193,Tabella!$A$1:$AC$1,0)-1)=TRUE),0,+OFFSET(Tabella!$A$1,MATCH(H193,Tabella!$A:$A,0)-1,MATCH(J193,Tabella!$A$1:$AC$1,0)-1)),4)</f>
        <v>0</v>
      </c>
      <c r="L193" s="238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238">
        <f ca="1">ROUND(IF(ISERROR(OFFSET(Rame!$A$1,MATCH(H193,Rame!$A:$A,0)-1,MATCH(J193,Rame!$A$1:$AA$1,0)-1)=TRUE),0,OFFSET(Rame!$A$1,MATCH(H193,Rame!$A:$A,0)-1,MATCH(J193,Rame!$A$1:$AA$1,0)-1))*IF(E193="Rame",1,0),4)</f>
        <v>0.82</v>
      </c>
      <c r="N193" s="238">
        <v>0</v>
      </c>
      <c r="O193" s="238">
        <f t="shared" ca="1" si="172"/>
        <v>0.82</v>
      </c>
      <c r="P193" s="238">
        <f ca="1">ROUND(+IF(ISERROR(OFFSET(Tabella!$G$1,MATCH(H193,Tabella!$G:$G,0)-1,MATCH(I193,Tabella!$G$1:$FG$1,0)-1)=TRUE),0,OFFSET(Tabella!$G$1,MATCH(H193,Tabella!$G:$G,0)-1,MATCH(I193,Tabella!$G$1:$AB$1,0)-1)),4)</f>
        <v>0</v>
      </c>
      <c r="Q193" s="238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238">
        <f ca="1">ROUND(IF(ISERROR(OFFSET(Rame!$F$1,MATCH(H193,Rame!$F:$F,0)-1,MATCH(I193,Rame!$F$1:$FF$1,0)-1)=TRUE),0,OFFSET(Rame!$F$1,MATCH(H193,Rame!$F:$F,0)-1,MATCH(I193,Rame!$F$1:$FF$1,0)-1))*IF(E193="Rame",1,0),4)</f>
        <v>0</v>
      </c>
      <c r="S193" s="238">
        <f ca="1">ROUND(IF(ISERROR(OFFSET(Bronzo!$A$1,MATCH(H193,Bronzo!$A:$A,0)-1,MATCH(I193,Bronzo!$A$1:$AA$1,0)-1)=TRUE),0,OFFSET(Bronzo!$A$1,MATCH(H193,Bronzo!$A:$A,0)-1,MATCH(I193,Bronzo!$A$1:$AA$1,0)-1)),4)</f>
        <v>0</v>
      </c>
      <c r="T193" s="238">
        <f t="shared" ca="1" si="164"/>
        <v>0</v>
      </c>
      <c r="U193" s="237"/>
      <c r="V193" s="238">
        <v>0</v>
      </c>
      <c r="W193" s="239">
        <f t="shared" ca="1" si="165"/>
        <v>0.82</v>
      </c>
      <c r="X193" s="240">
        <f t="shared" si="152"/>
        <v>135</v>
      </c>
      <c r="Y193" s="236">
        <v>14.2</v>
      </c>
      <c r="Z193" s="236">
        <f t="shared" ca="1" si="166"/>
        <v>2.73</v>
      </c>
      <c r="AA193" s="241">
        <v>46142</v>
      </c>
      <c r="AF193" s="225">
        <f t="shared" ca="1" si="136"/>
        <v>46236</v>
      </c>
      <c r="AG193" s="225" t="b">
        <f t="shared" si="167"/>
        <v>0</v>
      </c>
      <c r="AH193" s="242"/>
      <c r="AK193" s="223">
        <f t="shared" si="168"/>
        <v>18</v>
      </c>
      <c r="AL193" s="223">
        <f t="shared" si="169"/>
        <v>2026</v>
      </c>
      <c r="AS193" s="223">
        <f t="shared" si="170"/>
        <v>4</v>
      </c>
      <c r="AT193" s="223">
        <f t="shared" si="171"/>
        <v>2026</v>
      </c>
    </row>
    <row r="194" spans="2:46" ht="15.75" x14ac:dyDescent="0.25">
      <c r="B194" s="229" t="s">
        <v>492</v>
      </c>
      <c r="C194" s="235" t="s">
        <v>396</v>
      </c>
      <c r="D194" s="243">
        <v>500</v>
      </c>
      <c r="E194" s="232" t="s">
        <v>4</v>
      </c>
      <c r="F194" s="233">
        <v>3</v>
      </c>
      <c r="G194" s="234">
        <v>46122</v>
      </c>
      <c r="H194" s="235" t="s">
        <v>9</v>
      </c>
      <c r="I194" s="235"/>
      <c r="J194" s="236">
        <v>7.0000000000000007E-2</v>
      </c>
      <c r="K194" s="237">
        <v>1.9</v>
      </c>
      <c r="L194" s="238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238">
        <f ca="1">ROUND(IF(ISERROR(OFFSET(Rame!$A$1,MATCH(H194,Rame!$A:$A,0)-1,MATCH(J194,Rame!$A$1:$AA$1,0)-1)=TRUE),0,OFFSET(Rame!$A$1,MATCH(H194,Rame!$A:$A,0)-1,MATCH(J194,Rame!$A$1:$AA$1,0)-1))*IF(E194="Rame",1,0),4)</f>
        <v>0</v>
      </c>
      <c r="N194" s="238">
        <v>0</v>
      </c>
      <c r="O194" s="238">
        <f t="shared" ca="1" si="172"/>
        <v>1.9</v>
      </c>
      <c r="P194" s="238">
        <f ca="1">ROUND(+IF(ISERROR(OFFSET(Tabella!$G$1,MATCH(H194,Tabella!$G:$G,0)-1,MATCH(I194,Tabella!$G$1:$FG$1,0)-1)=TRUE),0,OFFSET(Tabella!$G$1,MATCH(H194,Tabella!$G:$G,0)-1,MATCH(I194,Tabella!$G$1:$AB$1,0)-1)),4)</f>
        <v>0</v>
      </c>
      <c r="Q194" s="238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238">
        <f ca="1">ROUND(IF(ISERROR(OFFSET(Rame!$F$1,MATCH(H194,Rame!$F:$F,0)-1,MATCH(I194,Rame!$F$1:$FF$1,0)-1)=TRUE),0,OFFSET(Rame!$F$1,MATCH(H194,Rame!$F:$F,0)-1,MATCH(I194,Rame!$F$1:$FF$1,0)-1))*IF(E194="Rame",1,0),4)</f>
        <v>0</v>
      </c>
      <c r="S194" s="238">
        <f ca="1">ROUND(IF(ISERROR(OFFSET(Bronzo!$A$1,MATCH(H194,Bronzo!$A:$A,0)-1,MATCH(I194,Bronzo!$A$1:$AA$1,0)-1)=TRUE),0,OFFSET(Bronzo!$A$1,MATCH(H194,Bronzo!$A:$A,0)-1,MATCH(I194,Bronzo!$A$1:$AA$1,0)-1)),4)</f>
        <v>0</v>
      </c>
      <c r="T194" s="238">
        <f t="shared" ca="1" si="164"/>
        <v>0</v>
      </c>
      <c r="U194" s="237"/>
      <c r="V194" s="238">
        <v>0</v>
      </c>
      <c r="W194" s="239">
        <f t="shared" ca="1" si="165"/>
        <v>1.9</v>
      </c>
      <c r="X194" s="240">
        <f t="shared" si="152"/>
        <v>35</v>
      </c>
      <c r="Y194" s="236">
        <v>5.12</v>
      </c>
      <c r="Z194" s="236">
        <f t="shared" ca="1" si="166"/>
        <v>0.22</v>
      </c>
      <c r="AA194" s="241">
        <v>46237</v>
      </c>
      <c r="AF194" s="225">
        <f t="shared" ca="1" si="136"/>
        <v>46236</v>
      </c>
      <c r="AG194" s="225" t="b">
        <f t="shared" si="167"/>
        <v>0</v>
      </c>
      <c r="AH194" s="242"/>
      <c r="AK194" s="223">
        <f t="shared" si="168"/>
        <v>32</v>
      </c>
      <c r="AL194" s="223">
        <f t="shared" si="169"/>
        <v>2026</v>
      </c>
      <c r="AS194" s="223">
        <f t="shared" si="170"/>
        <v>8</v>
      </c>
      <c r="AT194" s="223">
        <f t="shared" si="171"/>
        <v>2026</v>
      </c>
    </row>
    <row r="195" spans="2:46" ht="15.75" x14ac:dyDescent="0.25">
      <c r="B195" s="229" t="s">
        <v>491</v>
      </c>
      <c r="C195" s="235" t="s">
        <v>396</v>
      </c>
      <c r="D195" s="243">
        <v>1000</v>
      </c>
      <c r="E195" s="232" t="s">
        <v>4</v>
      </c>
      <c r="F195" s="233">
        <v>3</v>
      </c>
      <c r="G195" s="234">
        <v>46122</v>
      </c>
      <c r="H195" s="235" t="s">
        <v>28</v>
      </c>
      <c r="I195" s="235"/>
      <c r="J195" s="236">
        <v>7.0000000000000007E-2</v>
      </c>
      <c r="K195" s="237">
        <v>1.6</v>
      </c>
      <c r="L195" s="238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238">
        <f ca="1">ROUND(IF(ISERROR(OFFSET(Rame!$A$1,MATCH(H195,Rame!$A:$A,0)-1,MATCH(J195,Rame!$A$1:$AA$1,0)-1)=TRUE),0,OFFSET(Rame!$A$1,MATCH(H195,Rame!$A:$A,0)-1,MATCH(J195,Rame!$A$1:$AA$1,0)-1))*IF(E195="Rame",1,0),4)</f>
        <v>0</v>
      </c>
      <c r="N195" s="238">
        <v>0</v>
      </c>
      <c r="O195" s="238">
        <f t="shared" ca="1" si="172"/>
        <v>1.6</v>
      </c>
      <c r="P195" s="238">
        <f ca="1">ROUND(+IF(ISERROR(OFFSET(Tabella!$G$1,MATCH(H195,Tabella!$G:$G,0)-1,MATCH(I195,Tabella!$G$1:$FG$1,0)-1)=TRUE),0,OFFSET(Tabella!$G$1,MATCH(H195,Tabella!$G:$G,0)-1,MATCH(I195,Tabella!$G$1:$AB$1,0)-1)),4)</f>
        <v>0</v>
      </c>
      <c r="Q195" s="238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238">
        <f ca="1">ROUND(IF(ISERROR(OFFSET(Rame!$F$1,MATCH(H195,Rame!$F:$F,0)-1,MATCH(I195,Rame!$F$1:$FF$1,0)-1)=TRUE),0,OFFSET(Rame!$F$1,MATCH(H195,Rame!$F:$F,0)-1,MATCH(I195,Rame!$F$1:$FF$1,0)-1))*IF(E195="Rame",1,0),4)</f>
        <v>0</v>
      </c>
      <c r="S195" s="238">
        <f ca="1">ROUND(IF(ISERROR(OFFSET(Bronzo!$A$1,MATCH(H195,Bronzo!$A:$A,0)-1,MATCH(I195,Bronzo!$A$1:$AA$1,0)-1)=TRUE),0,OFFSET(Bronzo!$A$1,MATCH(H195,Bronzo!$A:$A,0)-1,MATCH(I195,Bronzo!$A$1:$AA$1,0)-1)),4)</f>
        <v>0</v>
      </c>
      <c r="T195" s="238">
        <f t="shared" ca="1" si="164"/>
        <v>0</v>
      </c>
      <c r="U195" s="237"/>
      <c r="V195" s="238">
        <v>0</v>
      </c>
      <c r="W195" s="239">
        <f t="shared" ca="1" si="165"/>
        <v>1.6</v>
      </c>
      <c r="X195" s="240">
        <f t="shared" si="152"/>
        <v>70</v>
      </c>
      <c r="Y195" s="236">
        <v>4.82</v>
      </c>
      <c r="Z195" s="236">
        <f t="shared" ca="1" si="166"/>
        <v>0.22</v>
      </c>
      <c r="AA195" s="241">
        <v>46339</v>
      </c>
      <c r="AF195" s="225">
        <f t="shared" ca="1" si="136"/>
        <v>46236</v>
      </c>
      <c r="AG195" s="225" t="b">
        <f t="shared" si="167"/>
        <v>0</v>
      </c>
      <c r="AH195" s="242"/>
      <c r="AK195" s="223">
        <f t="shared" si="168"/>
        <v>46</v>
      </c>
      <c r="AL195" s="223">
        <f t="shared" si="169"/>
        <v>2026</v>
      </c>
      <c r="AS195" s="223">
        <f t="shared" si="170"/>
        <v>11</v>
      </c>
      <c r="AT195" s="223">
        <f t="shared" si="171"/>
        <v>2026</v>
      </c>
    </row>
    <row r="196" spans="2:46" ht="15.75" x14ac:dyDescent="0.25">
      <c r="B196" s="229" t="s">
        <v>722</v>
      </c>
      <c r="C196" s="245" t="s">
        <v>108</v>
      </c>
      <c r="D196" s="246">
        <v>11824</v>
      </c>
      <c r="E196" s="232" t="s">
        <v>4</v>
      </c>
      <c r="F196" s="233">
        <v>2.96</v>
      </c>
      <c r="G196" s="234">
        <v>46122</v>
      </c>
      <c r="H196" s="235" t="s">
        <v>30</v>
      </c>
      <c r="I196" s="235"/>
      <c r="J196" s="236">
        <v>7.0000000000000007E-2</v>
      </c>
      <c r="K196" s="237">
        <v>1.6</v>
      </c>
      <c r="L196" s="238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238">
        <f ca="1">ROUND(IF(ISERROR(OFFSET(Rame!$A$1,MATCH(H196,Rame!$A:$A,0)-1,MATCH(J196,Rame!$A$1:$AA$1,0)-1)=TRUE),0,OFFSET(Rame!$A$1,MATCH(H196,Rame!$A:$A,0)-1,MATCH(J196,Rame!$A$1:$AA$1,0)-1))*IF(E196="Rame",1,0),4)</f>
        <v>0</v>
      </c>
      <c r="N196" s="238">
        <v>0</v>
      </c>
      <c r="O196" s="238">
        <f t="shared" ca="1" si="172"/>
        <v>1.6</v>
      </c>
      <c r="P196" s="238">
        <f ca="1">ROUND(+IF(ISERROR(OFFSET(Tabella!$G$1,MATCH(H196,Tabella!$G:$G,0)-1,MATCH(I196,Tabella!$G$1:$FG$1,0)-1)=TRUE),0,OFFSET(Tabella!$G$1,MATCH(H196,Tabella!$G:$G,0)-1,MATCH(I196,Tabella!$G$1:$AB$1,0)-1)),4)</f>
        <v>0</v>
      </c>
      <c r="Q196" s="238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238">
        <f ca="1">ROUND(IF(ISERROR(OFFSET(Rame!$F$1,MATCH(H196,Rame!$F:$F,0)-1,MATCH(I196,Rame!$F$1:$FF$1,0)-1)=TRUE),0,OFFSET(Rame!$F$1,MATCH(H196,Rame!$F:$F,0)-1,MATCH(I196,Rame!$F$1:$FF$1,0)-1))*IF(E196="Rame",1,0),4)</f>
        <v>0</v>
      </c>
      <c r="S196" s="238">
        <f ca="1">ROUND(IF(ISERROR(OFFSET(Bronzo!$A$1,MATCH(H196,Bronzo!$A:$A,0)-1,MATCH(I196,Bronzo!$A$1:$AA$1,0)-1)=TRUE),0,OFFSET(Bronzo!$A$1,MATCH(H196,Bronzo!$A:$A,0)-1,MATCH(I196,Bronzo!$A$1:$AA$1,0)-1)),4)</f>
        <v>0</v>
      </c>
      <c r="T196" s="238">
        <f t="shared" ca="1" si="164"/>
        <v>0</v>
      </c>
      <c r="U196" s="237"/>
      <c r="V196" s="238">
        <v>0</v>
      </c>
      <c r="W196" s="239">
        <f t="shared" ca="1" si="165"/>
        <v>1.6</v>
      </c>
      <c r="X196" s="423">
        <f t="shared" si="152"/>
        <v>827.68</v>
      </c>
      <c r="Y196" s="236">
        <v>4.5</v>
      </c>
      <c r="Z196" s="236">
        <f t="shared" ca="1" si="166"/>
        <v>-0.06</v>
      </c>
      <c r="AA196" s="241"/>
      <c r="AF196" s="225">
        <f t="shared" ca="1" si="136"/>
        <v>46236</v>
      </c>
      <c r="AG196" s="225" t="b">
        <f t="shared" si="167"/>
        <v>1</v>
      </c>
      <c r="AH196" s="242"/>
      <c r="AK196" s="223">
        <f t="shared" si="168"/>
        <v>0</v>
      </c>
      <c r="AL196" s="223">
        <f t="shared" si="169"/>
        <v>1900</v>
      </c>
      <c r="AS196" s="223">
        <f t="shared" si="170"/>
        <v>0</v>
      </c>
      <c r="AT196" s="223">
        <f t="shared" si="171"/>
        <v>0</v>
      </c>
    </row>
    <row r="197" spans="2:46" ht="15.75" x14ac:dyDescent="0.25">
      <c r="B197" s="229" t="s">
        <v>684</v>
      </c>
      <c r="C197" s="245" t="s">
        <v>108</v>
      </c>
      <c r="D197" s="246">
        <v>7290</v>
      </c>
      <c r="E197" s="232" t="s">
        <v>4</v>
      </c>
      <c r="F197" s="233">
        <v>2.96</v>
      </c>
      <c r="G197" s="234">
        <v>46122</v>
      </c>
      <c r="H197" s="235" t="s">
        <v>30</v>
      </c>
      <c r="I197" s="235"/>
      <c r="J197" s="236">
        <v>7.0000000000000007E-2</v>
      </c>
      <c r="K197" s="237">
        <v>1.6</v>
      </c>
      <c r="L197" s="238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238">
        <f ca="1">ROUND(IF(ISERROR(OFFSET(Rame!$A$1,MATCH(H197,Rame!$A:$A,0)-1,MATCH(J197,Rame!$A$1:$AA$1,0)-1)=TRUE),0,OFFSET(Rame!$A$1,MATCH(H197,Rame!$A:$A,0)-1,MATCH(J197,Rame!$A$1:$AA$1,0)-1))*IF(E197="Rame",1,0),4)</f>
        <v>0</v>
      </c>
      <c r="N197" s="238">
        <v>0</v>
      </c>
      <c r="O197" s="238">
        <f t="shared" ca="1" si="172"/>
        <v>1.6</v>
      </c>
      <c r="P197" s="238">
        <f ca="1">ROUND(+IF(ISERROR(OFFSET(Tabella!$G$1,MATCH(H197,Tabella!$G:$G,0)-1,MATCH(I197,Tabella!$G$1:$FG$1,0)-1)=TRUE),0,OFFSET(Tabella!$G$1,MATCH(H197,Tabella!$G:$G,0)-1,MATCH(I197,Tabella!$G$1:$AB$1,0)-1)),4)</f>
        <v>0</v>
      </c>
      <c r="Q197" s="238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238">
        <f ca="1">ROUND(IF(ISERROR(OFFSET(Rame!$F$1,MATCH(H197,Rame!$F:$F,0)-1,MATCH(I197,Rame!$F$1:$FF$1,0)-1)=TRUE),0,OFFSET(Rame!$F$1,MATCH(H197,Rame!$F:$F,0)-1,MATCH(I197,Rame!$F$1:$FF$1,0)-1))*IF(E197="Rame",1,0),4)</f>
        <v>0</v>
      </c>
      <c r="S197" s="238">
        <f ca="1">ROUND(IF(ISERROR(OFFSET(Bronzo!$A$1,MATCH(H197,Bronzo!$A:$A,0)-1,MATCH(I197,Bronzo!$A$1:$AA$1,0)-1)=TRUE),0,OFFSET(Bronzo!$A$1,MATCH(H197,Bronzo!$A:$A,0)-1,MATCH(I197,Bronzo!$A$1:$AA$1,0)-1)),4)</f>
        <v>0</v>
      </c>
      <c r="T197" s="238">
        <f t="shared" ca="1" si="164"/>
        <v>0</v>
      </c>
      <c r="U197" s="237"/>
      <c r="V197" s="238">
        <v>0</v>
      </c>
      <c r="W197" s="239">
        <f t="shared" ca="1" si="165"/>
        <v>1.6</v>
      </c>
      <c r="X197" s="423">
        <f t="shared" si="152"/>
        <v>510.3</v>
      </c>
      <c r="Y197" s="236">
        <v>4.5</v>
      </c>
      <c r="Z197" s="236">
        <f t="shared" ca="1" si="166"/>
        <v>-0.06</v>
      </c>
      <c r="AA197" s="241"/>
      <c r="AF197" s="225">
        <f t="shared" ca="1" si="136"/>
        <v>46236</v>
      </c>
      <c r="AG197" s="225" t="b">
        <f t="shared" si="167"/>
        <v>1</v>
      </c>
      <c r="AH197" s="242"/>
      <c r="AK197" s="223">
        <f t="shared" si="168"/>
        <v>0</v>
      </c>
      <c r="AL197" s="223">
        <f t="shared" si="169"/>
        <v>1900</v>
      </c>
      <c r="AS197" s="223">
        <f t="shared" si="170"/>
        <v>0</v>
      </c>
      <c r="AT197" s="223">
        <f t="shared" si="171"/>
        <v>0</v>
      </c>
    </row>
    <row r="198" spans="2:46" ht="15.75" x14ac:dyDescent="0.25">
      <c r="B198" s="229" t="s">
        <v>638</v>
      </c>
      <c r="C198" s="245" t="s">
        <v>297</v>
      </c>
      <c r="D198" s="246">
        <v>950</v>
      </c>
      <c r="E198" s="232" t="s">
        <v>4</v>
      </c>
      <c r="F198" s="233">
        <v>3.02</v>
      </c>
      <c r="G198" s="234">
        <v>46126</v>
      </c>
      <c r="H198" s="235" t="s">
        <v>26</v>
      </c>
      <c r="I198" s="235"/>
      <c r="J198" s="236">
        <v>7.0000000000000007E-2</v>
      </c>
      <c r="K198" s="237">
        <f ca="1">ROUND(IF(ISERROR(OFFSET(Tabella!$A$1,MATCH(H198,Tabella!$A:$A,0)-1,MATCH(J198,Tabella!$A$1:$AC$1,0)-1)=TRUE),0,+OFFSET(Tabella!$A$1,MATCH(H198,Tabella!$A:$A,0)-1,MATCH(J198,Tabella!$A$1:$AC$1,0)-1)),4)</f>
        <v>1.25</v>
      </c>
      <c r="L198" s="238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238">
        <f ca="1">ROUND(IF(ISERROR(OFFSET(Rame!$A$1,MATCH(H198,Rame!$A:$A,0)-1,MATCH(J198,Rame!$A$1:$AA$1,0)-1)=TRUE),0,OFFSET(Rame!$A$1,MATCH(H198,Rame!$A:$A,0)-1,MATCH(J198,Rame!$A$1:$AA$1,0)-1))*IF(E198="Rame",1,0),4)</f>
        <v>0</v>
      </c>
      <c r="N198" s="238">
        <v>0</v>
      </c>
      <c r="O198" s="238">
        <v>1.73</v>
      </c>
      <c r="P198" s="238">
        <f ca="1">ROUND(+IF(ISERROR(OFFSET(Tabella!$G$1,MATCH(H198,Tabella!$G:$G,0)-1,MATCH(I198,Tabella!$G$1:$FG$1,0)-1)=TRUE),0,OFFSET(Tabella!$G$1,MATCH(H198,Tabella!$G:$G,0)-1,MATCH(I198,Tabella!$G$1:$AB$1,0)-1)),4)</f>
        <v>0</v>
      </c>
      <c r="Q198" s="238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238">
        <f ca="1">ROUND(IF(ISERROR(OFFSET(Rame!$F$1,MATCH(H198,Rame!$F:$F,0)-1,MATCH(I198,Rame!$F$1:$FF$1,0)-1)=TRUE),0,OFFSET(Rame!$F$1,MATCH(H198,Rame!$F:$F,0)-1,MATCH(I198,Rame!$F$1:$FF$1,0)-1))*IF(E198="Rame",1,0),4)</f>
        <v>0</v>
      </c>
      <c r="S198" s="238">
        <f ca="1">ROUND(IF(ISERROR(OFFSET(Bronzo!$A$1,MATCH(H198,Bronzo!$A:$A,0)-1,MATCH(I198,Bronzo!$A$1:$AA$1,0)-1)=TRUE),0,OFFSET(Bronzo!$A$1,MATCH(H198,Bronzo!$A:$A,0)-1,MATCH(I198,Bronzo!$A$1:$AA$1,0)-1)),4)</f>
        <v>0</v>
      </c>
      <c r="T198" s="238">
        <f t="shared" ca="1" si="164"/>
        <v>0</v>
      </c>
      <c r="U198" s="237"/>
      <c r="V198" s="238">
        <v>0</v>
      </c>
      <c r="W198" s="239">
        <f t="shared" ca="1" si="165"/>
        <v>1.73</v>
      </c>
      <c r="X198" s="423">
        <f t="shared" si="152"/>
        <v>66.5</v>
      </c>
      <c r="Y198" s="236">
        <v>4.75</v>
      </c>
      <c r="Z198" s="236">
        <f t="shared" ca="1" si="166"/>
        <v>0</v>
      </c>
      <c r="AA198" s="241"/>
      <c r="AF198" s="225">
        <f t="shared" ca="1" si="136"/>
        <v>46236</v>
      </c>
      <c r="AG198" s="225" t="b">
        <f t="shared" si="167"/>
        <v>1</v>
      </c>
      <c r="AH198" s="242"/>
      <c r="AK198" s="223">
        <f t="shared" si="168"/>
        <v>0</v>
      </c>
      <c r="AL198" s="223">
        <f t="shared" si="169"/>
        <v>1900</v>
      </c>
      <c r="AS198" s="223">
        <f t="shared" si="170"/>
        <v>0</v>
      </c>
      <c r="AT198" s="223">
        <f t="shared" si="171"/>
        <v>0</v>
      </c>
    </row>
    <row r="199" spans="2:46" ht="15.75" x14ac:dyDescent="0.25">
      <c r="B199" s="229" t="s">
        <v>498</v>
      </c>
      <c r="C199" s="235" t="s">
        <v>297</v>
      </c>
      <c r="D199" s="243">
        <v>750</v>
      </c>
      <c r="E199" s="232" t="s">
        <v>4</v>
      </c>
      <c r="F199" s="233">
        <v>3.02</v>
      </c>
      <c r="G199" s="234">
        <v>46126</v>
      </c>
      <c r="H199" s="235" t="s">
        <v>311</v>
      </c>
      <c r="I199" s="235"/>
      <c r="J199" s="236">
        <v>7.0000000000000007E-2</v>
      </c>
      <c r="K199" s="237">
        <f ca="1">ROUND(IF(ISERROR(OFFSET(Tabella!$A$1,MATCH(H199,Tabella!$A:$A,0)-1,MATCH(J199,Tabella!$A$1:$AC$1,0)-1)=TRUE),0,+OFFSET(Tabella!$A$1,MATCH(H199,Tabella!$A:$A,0)-1,MATCH(J199,Tabella!$A$1:$AC$1,0)-1)),4)</f>
        <v>1.25</v>
      </c>
      <c r="L199" s="238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238">
        <f ca="1">ROUND(IF(ISERROR(OFFSET(Rame!$A$1,MATCH(H199,Rame!$A:$A,0)-1,MATCH(J199,Rame!$A$1:$AA$1,0)-1)=TRUE),0,OFFSET(Rame!$A$1,MATCH(H199,Rame!$A:$A,0)-1,MATCH(J199,Rame!$A$1:$AA$1,0)-1))*IF(E199="Rame",1,0),4)</f>
        <v>0</v>
      </c>
      <c r="N199" s="238">
        <v>0</v>
      </c>
      <c r="O199" s="238">
        <v>1.73</v>
      </c>
      <c r="P199" s="238">
        <f ca="1">ROUND(+IF(ISERROR(OFFSET(Tabella!$G$1,MATCH(H199,Tabella!$G:$G,0)-1,MATCH(I199,Tabella!$G$1:$FG$1,0)-1)=TRUE),0,OFFSET(Tabella!$G$1,MATCH(H199,Tabella!$G:$G,0)-1,MATCH(I199,Tabella!$G$1:$AB$1,0)-1)),4)</f>
        <v>0</v>
      </c>
      <c r="Q199" s="238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238">
        <f ca="1">ROUND(IF(ISERROR(OFFSET(Rame!$F$1,MATCH(H199,Rame!$F:$F,0)-1,MATCH(I199,Rame!$F$1:$FF$1,0)-1)=TRUE),0,OFFSET(Rame!$F$1,MATCH(H199,Rame!$F:$F,0)-1,MATCH(I199,Rame!$F$1:$FF$1,0)-1))*IF(E199="Rame",1,0),4)</f>
        <v>0</v>
      </c>
      <c r="S199" s="238">
        <f ca="1">ROUND(IF(ISERROR(OFFSET(Bronzo!$A$1,MATCH(H199,Bronzo!$A:$A,0)-1,MATCH(I199,Bronzo!$A$1:$AA$1,0)-1)=TRUE),0,OFFSET(Bronzo!$A$1,MATCH(H199,Bronzo!$A:$A,0)-1,MATCH(I199,Bronzo!$A$1:$AA$1,0)-1)),4)</f>
        <v>0</v>
      </c>
      <c r="T199" s="238">
        <f t="shared" ca="1" si="164"/>
        <v>0</v>
      </c>
      <c r="U199" s="237"/>
      <c r="V199" s="238">
        <v>0</v>
      </c>
      <c r="W199" s="239">
        <f t="shared" ca="1" si="165"/>
        <v>1.73</v>
      </c>
      <c r="X199" s="240">
        <f t="shared" si="152"/>
        <v>52.5</v>
      </c>
      <c r="Y199" s="236">
        <v>4.75</v>
      </c>
      <c r="Z199" s="236">
        <f t="shared" ca="1" si="166"/>
        <v>0</v>
      </c>
      <c r="AA199" s="241">
        <v>46153</v>
      </c>
      <c r="AF199" s="225">
        <f t="shared" ca="1" si="136"/>
        <v>46236</v>
      </c>
      <c r="AG199" s="225" t="b">
        <f t="shared" si="167"/>
        <v>0</v>
      </c>
      <c r="AH199" s="242"/>
      <c r="AK199" s="223">
        <f t="shared" si="168"/>
        <v>20</v>
      </c>
      <c r="AL199" s="223">
        <f t="shared" si="169"/>
        <v>2026</v>
      </c>
      <c r="AS199" s="223">
        <f t="shared" si="170"/>
        <v>5</v>
      </c>
      <c r="AT199" s="223">
        <f t="shared" si="171"/>
        <v>2026</v>
      </c>
    </row>
    <row r="200" spans="2:46" ht="15.75" x14ac:dyDescent="0.25">
      <c r="B200" s="229" t="s">
        <v>588</v>
      </c>
      <c r="C200" s="245" t="s">
        <v>297</v>
      </c>
      <c r="D200" s="246">
        <v>632</v>
      </c>
      <c r="E200" s="232" t="s">
        <v>4</v>
      </c>
      <c r="F200" s="233">
        <v>3.02</v>
      </c>
      <c r="G200" s="234">
        <v>46126</v>
      </c>
      <c r="H200" s="235" t="s">
        <v>308</v>
      </c>
      <c r="I200" s="235"/>
      <c r="J200" s="236">
        <v>7.0000000000000007E-2</v>
      </c>
      <c r="K200" s="237">
        <f ca="1">ROUND(IF(ISERROR(OFFSET(Tabella!$A$1,MATCH(H200,Tabella!$A:$A,0)-1,MATCH(J200,Tabella!$A$1:$AC$1,0)-1)=TRUE),0,+OFFSET(Tabella!$A$1,MATCH(H200,Tabella!$A:$A,0)-1,MATCH(J200,Tabella!$A$1:$AC$1,0)-1)),4)</f>
        <v>1.25</v>
      </c>
      <c r="L200" s="238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238">
        <f ca="1">ROUND(IF(ISERROR(OFFSET(Rame!$A$1,MATCH(H200,Rame!$A:$A,0)-1,MATCH(J200,Rame!$A$1:$AA$1,0)-1)=TRUE),0,OFFSET(Rame!$A$1,MATCH(H200,Rame!$A:$A,0)-1,MATCH(J200,Rame!$A$1:$AA$1,0)-1))*IF(E200="Rame",1,0),4)</f>
        <v>0</v>
      </c>
      <c r="N200" s="238">
        <v>0</v>
      </c>
      <c r="O200" s="238">
        <v>1.73</v>
      </c>
      <c r="P200" s="238">
        <f ca="1">ROUND(+IF(ISERROR(OFFSET(Tabella!$G$1,MATCH(H200,Tabella!$G:$G,0)-1,MATCH(I200,Tabella!$G$1:$FG$1,0)-1)=TRUE),0,OFFSET(Tabella!$G$1,MATCH(H200,Tabella!$G:$G,0)-1,MATCH(I200,Tabella!$G$1:$AB$1,0)-1)),4)</f>
        <v>0</v>
      </c>
      <c r="Q200" s="238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238">
        <f ca="1">ROUND(IF(ISERROR(OFFSET(Rame!$F$1,MATCH(H200,Rame!$F:$F,0)-1,MATCH(I200,Rame!$F$1:$FF$1,0)-1)=TRUE),0,OFFSET(Rame!$F$1,MATCH(H200,Rame!$F:$F,0)-1,MATCH(I200,Rame!$F$1:$FF$1,0)-1))*IF(E200="Rame",1,0),4)</f>
        <v>0</v>
      </c>
      <c r="S200" s="238">
        <f ca="1">ROUND(IF(ISERROR(OFFSET(Bronzo!$A$1,MATCH(H200,Bronzo!$A:$A,0)-1,MATCH(I200,Bronzo!$A$1:$AA$1,0)-1)=TRUE),0,OFFSET(Bronzo!$A$1,MATCH(H200,Bronzo!$A:$A,0)-1,MATCH(I200,Bronzo!$A$1:$AA$1,0)-1)),4)</f>
        <v>0</v>
      </c>
      <c r="T200" s="238">
        <f t="shared" ca="1" si="164"/>
        <v>0</v>
      </c>
      <c r="U200" s="237"/>
      <c r="V200" s="238">
        <v>0</v>
      </c>
      <c r="W200" s="239">
        <f t="shared" ca="1" si="165"/>
        <v>1.73</v>
      </c>
      <c r="X200" s="423">
        <f t="shared" ref="X200:X209" si="183">ROUND(+J200*D200,4)</f>
        <v>44.24</v>
      </c>
      <c r="Y200" s="236">
        <v>4.75</v>
      </c>
      <c r="Z200" s="236">
        <f t="shared" ca="1" si="166"/>
        <v>0</v>
      </c>
      <c r="AA200" s="241"/>
      <c r="AF200" s="225">
        <f t="shared" ca="1" si="136"/>
        <v>46236</v>
      </c>
      <c r="AG200" s="225" t="b">
        <f t="shared" si="167"/>
        <v>1</v>
      </c>
      <c r="AH200" s="242"/>
      <c r="AK200" s="223">
        <f t="shared" si="168"/>
        <v>0</v>
      </c>
      <c r="AL200" s="223">
        <f t="shared" si="169"/>
        <v>1900</v>
      </c>
      <c r="AS200" s="223">
        <f t="shared" si="170"/>
        <v>0</v>
      </c>
      <c r="AT200" s="223">
        <f t="shared" si="171"/>
        <v>0</v>
      </c>
    </row>
    <row r="201" spans="2:46" ht="15.75" x14ac:dyDescent="0.25">
      <c r="B201" s="229" t="s">
        <v>488</v>
      </c>
      <c r="C201" s="235" t="s">
        <v>438</v>
      </c>
      <c r="D201" s="243">
        <v>350</v>
      </c>
      <c r="E201" s="232" t="s">
        <v>4</v>
      </c>
      <c r="F201" s="233">
        <v>2.97</v>
      </c>
      <c r="G201" s="234">
        <v>46126</v>
      </c>
      <c r="H201" s="235" t="s">
        <v>28</v>
      </c>
      <c r="I201" s="235"/>
      <c r="J201" s="236">
        <v>0.1</v>
      </c>
      <c r="K201" s="237">
        <f ca="1">ROUND(IF(ISERROR(OFFSET(Tabella!$A$1,MATCH(H201,Tabella!$A:$A,0)-1,MATCH(J201,Tabella!$A$1:$AC$1,0)-1)=TRUE),0,+OFFSET(Tabella!$A$1,MATCH(H201,Tabella!$A:$A,0)-1,MATCH(J201,Tabella!$A$1:$AC$1,0)-1)),4)</f>
        <v>1.4</v>
      </c>
      <c r="L201" s="238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238">
        <f ca="1">ROUND(IF(ISERROR(OFFSET(Rame!$A$1,MATCH(H201,Rame!$A:$A,0)-1,MATCH(J201,Rame!$A$1:$AA$1,0)-1)=TRUE),0,OFFSET(Rame!$A$1,MATCH(H201,Rame!$A:$A,0)-1,MATCH(J201,Rame!$A$1:$AA$1,0)-1))*IF(E201="Rame",1,0),4)</f>
        <v>0</v>
      </c>
      <c r="N201" s="238">
        <v>0</v>
      </c>
      <c r="O201" s="238">
        <v>1.83</v>
      </c>
      <c r="P201" s="238">
        <f ca="1">ROUND(+IF(ISERROR(OFFSET(Tabella!$G$1,MATCH(H201,Tabella!$G:$G,0)-1,MATCH(I201,Tabella!$G$1:$FG$1,0)-1)=TRUE),0,OFFSET(Tabella!$G$1,MATCH(H201,Tabella!$G:$G,0)-1,MATCH(I201,Tabella!$G$1:$AB$1,0)-1)),4)</f>
        <v>0</v>
      </c>
      <c r="Q201" s="238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238">
        <f ca="1">ROUND(IF(ISERROR(OFFSET(Rame!$F$1,MATCH(H201,Rame!$F:$F,0)-1,MATCH(I201,Rame!$F$1:$FF$1,0)-1)=TRUE),0,OFFSET(Rame!$F$1,MATCH(H201,Rame!$F:$F,0)-1,MATCH(I201,Rame!$F$1:$FF$1,0)-1))*IF(E201="Rame",1,0),4)</f>
        <v>0</v>
      </c>
      <c r="S201" s="238">
        <f ca="1">ROUND(IF(ISERROR(OFFSET(Bronzo!$A$1,MATCH(H201,Bronzo!$A:$A,0)-1,MATCH(I201,Bronzo!$A$1:$AA$1,0)-1)=TRUE),0,OFFSET(Bronzo!$A$1,MATCH(H201,Bronzo!$A:$A,0)-1,MATCH(I201,Bronzo!$A$1:$AA$1,0)-1)),4)</f>
        <v>0</v>
      </c>
      <c r="T201" s="238">
        <f t="shared" ca="1" si="164"/>
        <v>0</v>
      </c>
      <c r="U201" s="237"/>
      <c r="V201" s="238">
        <v>0</v>
      </c>
      <c r="W201" s="239">
        <f t="shared" ca="1" si="165"/>
        <v>1.83</v>
      </c>
      <c r="X201" s="240">
        <f t="shared" si="183"/>
        <v>35</v>
      </c>
      <c r="Y201" s="236">
        <v>4.8499999999999996</v>
      </c>
      <c r="Z201" s="236">
        <f t="shared" ca="1" si="166"/>
        <v>0.05</v>
      </c>
      <c r="AA201" s="241">
        <v>46205</v>
      </c>
      <c r="AF201" s="225">
        <f t="shared" ca="1" si="136"/>
        <v>46236</v>
      </c>
      <c r="AG201" s="225" t="b">
        <f t="shared" si="167"/>
        <v>0</v>
      </c>
      <c r="AH201" s="242"/>
      <c r="AK201" s="223">
        <f t="shared" si="168"/>
        <v>27</v>
      </c>
      <c r="AL201" s="223">
        <f t="shared" si="169"/>
        <v>2026</v>
      </c>
      <c r="AS201" s="223">
        <f t="shared" si="170"/>
        <v>7</v>
      </c>
      <c r="AT201" s="223">
        <f t="shared" si="171"/>
        <v>2026</v>
      </c>
    </row>
    <row r="202" spans="2:46" ht="15.75" x14ac:dyDescent="0.25">
      <c r="B202" s="229" t="s">
        <v>496</v>
      </c>
      <c r="C202" s="235" t="s">
        <v>396</v>
      </c>
      <c r="D202" s="243">
        <v>200</v>
      </c>
      <c r="E202" s="232" t="s">
        <v>4</v>
      </c>
      <c r="F202" s="233">
        <v>3.07</v>
      </c>
      <c r="G202" s="234">
        <v>46125</v>
      </c>
      <c r="H202" s="235" t="s">
        <v>307</v>
      </c>
      <c r="I202" s="235"/>
      <c r="J202" s="236">
        <v>7.0000000000000007E-2</v>
      </c>
      <c r="K202" s="237">
        <f ca="1">ROUND(IF(ISERROR(OFFSET(Tabella!$A$1,MATCH(H202,Tabella!$A:$A,0)-1,MATCH(J202,Tabella!$A$1:$AC$1,0)-1)=TRUE),0,+OFFSET(Tabella!$A$1,MATCH(H202,Tabella!$A:$A,0)-1,MATCH(J202,Tabella!$A$1:$AC$1,0)-1)),4)</f>
        <v>1.25</v>
      </c>
      <c r="L202" s="238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238">
        <f ca="1">ROUND(IF(ISERROR(OFFSET(Rame!$A$1,MATCH(H202,Rame!$A:$A,0)-1,MATCH(J202,Rame!$A$1:$AA$1,0)-1)=TRUE),0,OFFSET(Rame!$A$1,MATCH(H202,Rame!$A:$A,0)-1,MATCH(J202,Rame!$A$1:$AA$1,0)-1))*IF(E202="Rame",1,0),4)</f>
        <v>0</v>
      </c>
      <c r="N202" s="238">
        <v>0</v>
      </c>
      <c r="O202" s="238">
        <v>1.6</v>
      </c>
      <c r="P202" s="238">
        <f ca="1">ROUND(+IF(ISERROR(OFFSET(Tabella!$G$1,MATCH(H202,Tabella!$G:$G,0)-1,MATCH(I202,Tabella!$G$1:$FG$1,0)-1)=TRUE),0,OFFSET(Tabella!$G$1,MATCH(H202,Tabella!$G:$G,0)-1,MATCH(I202,Tabella!$G$1:$AB$1,0)-1)),4)</f>
        <v>0</v>
      </c>
      <c r="Q202" s="238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238">
        <f ca="1">ROUND(IF(ISERROR(OFFSET(Rame!$F$1,MATCH(H202,Rame!$F:$F,0)-1,MATCH(I202,Rame!$F$1:$FF$1,0)-1)=TRUE),0,OFFSET(Rame!$F$1,MATCH(H202,Rame!$F:$F,0)-1,MATCH(I202,Rame!$F$1:$FF$1,0)-1))*IF(E202="Rame",1,0),4)</f>
        <v>0</v>
      </c>
      <c r="S202" s="238">
        <f ca="1">ROUND(IF(ISERROR(OFFSET(Bronzo!$A$1,MATCH(H202,Bronzo!$A:$A,0)-1,MATCH(I202,Bronzo!$A$1:$AA$1,0)-1)=TRUE),0,OFFSET(Bronzo!$A$1,MATCH(H202,Bronzo!$A:$A,0)-1,MATCH(I202,Bronzo!$A$1:$AA$1,0)-1)),4)</f>
        <v>0</v>
      </c>
      <c r="T202" s="238">
        <f t="shared" ca="1" si="164"/>
        <v>0</v>
      </c>
      <c r="U202" s="237"/>
      <c r="V202" s="238">
        <v>0</v>
      </c>
      <c r="W202" s="239">
        <f t="shared" ca="1" si="165"/>
        <v>1.6</v>
      </c>
      <c r="X202" s="240">
        <f t="shared" si="183"/>
        <v>14</v>
      </c>
      <c r="Y202" s="236">
        <v>4.8899999999999997</v>
      </c>
      <c r="Z202" s="236">
        <f t="shared" ca="1" si="166"/>
        <v>0.22</v>
      </c>
      <c r="AA202" s="241">
        <v>46150</v>
      </c>
      <c r="AF202" s="225">
        <f t="shared" ca="1" si="136"/>
        <v>46236</v>
      </c>
      <c r="AG202" s="225" t="b">
        <f t="shared" si="167"/>
        <v>0</v>
      </c>
      <c r="AH202" s="242"/>
      <c r="AK202" s="223">
        <f t="shared" si="168"/>
        <v>19</v>
      </c>
      <c r="AL202" s="223">
        <f t="shared" si="169"/>
        <v>2026</v>
      </c>
      <c r="AS202" s="223">
        <f t="shared" si="170"/>
        <v>5</v>
      </c>
      <c r="AT202" s="223">
        <f t="shared" si="171"/>
        <v>2026</v>
      </c>
    </row>
    <row r="203" spans="2:46" ht="15.75" x14ac:dyDescent="0.25">
      <c r="B203" s="229" t="s">
        <v>496</v>
      </c>
      <c r="C203" s="235" t="s">
        <v>396</v>
      </c>
      <c r="D203" s="243">
        <v>200</v>
      </c>
      <c r="E203" s="232" t="s">
        <v>4</v>
      </c>
      <c r="F203" s="233">
        <v>3.07</v>
      </c>
      <c r="G203" s="234">
        <v>46125</v>
      </c>
      <c r="H203" s="235" t="s">
        <v>11</v>
      </c>
      <c r="I203" s="235"/>
      <c r="J203" s="236">
        <v>7.0000000000000007E-2</v>
      </c>
      <c r="K203" s="237">
        <f ca="1">ROUND(IF(ISERROR(OFFSET(Tabella!$A$1,MATCH(H203,Tabella!$A:$A,0)-1,MATCH(J203,Tabella!$A$1:$AC$1,0)-1)=TRUE),0,+OFFSET(Tabella!$A$1,MATCH(H203,Tabella!$A:$A,0)-1,MATCH(J203,Tabella!$A$1:$AC$1,0)-1)),4)</f>
        <v>1.5</v>
      </c>
      <c r="L203" s="238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238">
        <f ca="1">ROUND(IF(ISERROR(OFFSET(Rame!$A$1,MATCH(H203,Rame!$A:$A,0)-1,MATCH(J203,Rame!$A$1:$AA$1,0)-1)=TRUE),0,OFFSET(Rame!$A$1,MATCH(H203,Rame!$A:$A,0)-1,MATCH(J203,Rame!$A$1:$AA$1,0)-1))*IF(E203="Rame",1,0),4)</f>
        <v>0</v>
      </c>
      <c r="N203" s="238">
        <v>0</v>
      </c>
      <c r="O203" s="238">
        <v>1.75</v>
      </c>
      <c r="P203" s="238">
        <f ca="1">ROUND(+IF(ISERROR(OFFSET(Tabella!$G$1,MATCH(H203,Tabella!$G:$G,0)-1,MATCH(I203,Tabella!$G$1:$FG$1,0)-1)=TRUE),0,OFFSET(Tabella!$G$1,MATCH(H203,Tabella!$G:$G,0)-1,MATCH(I203,Tabella!$G$1:$AB$1,0)-1)),4)</f>
        <v>0</v>
      </c>
      <c r="Q203" s="238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238">
        <f ca="1">ROUND(IF(ISERROR(OFFSET(Rame!$F$1,MATCH(H203,Rame!$F:$F,0)-1,MATCH(I203,Rame!$F$1:$FF$1,0)-1)=TRUE),0,OFFSET(Rame!$F$1,MATCH(H203,Rame!$F:$F,0)-1,MATCH(I203,Rame!$F$1:$FF$1,0)-1))*IF(E203="Rame",1,0),4)</f>
        <v>0</v>
      </c>
      <c r="S203" s="238">
        <f ca="1">ROUND(IF(ISERROR(OFFSET(Bronzo!$A$1,MATCH(H203,Bronzo!$A:$A,0)-1,MATCH(I203,Bronzo!$A$1:$AA$1,0)-1)=TRUE),0,OFFSET(Bronzo!$A$1,MATCH(H203,Bronzo!$A:$A,0)-1,MATCH(I203,Bronzo!$A$1:$AA$1,0)-1)),4)</f>
        <v>0</v>
      </c>
      <c r="T203" s="238">
        <f t="shared" ca="1" si="164"/>
        <v>0</v>
      </c>
      <c r="U203" s="237"/>
      <c r="V203" s="238">
        <v>0</v>
      </c>
      <c r="W203" s="239">
        <f t="shared" ca="1" si="165"/>
        <v>1.75</v>
      </c>
      <c r="X203" s="240">
        <f t="shared" si="183"/>
        <v>14</v>
      </c>
      <c r="Y203" s="236">
        <v>5.04</v>
      </c>
      <c r="Z203" s="236">
        <f t="shared" ca="1" si="166"/>
        <v>0.22</v>
      </c>
      <c r="AA203" s="241">
        <v>46150</v>
      </c>
      <c r="AF203" s="225">
        <f t="shared" ca="1" si="136"/>
        <v>46236</v>
      </c>
      <c r="AG203" s="225" t="b">
        <f t="shared" si="167"/>
        <v>0</v>
      </c>
      <c r="AH203" s="242"/>
      <c r="AK203" s="223">
        <f t="shared" si="168"/>
        <v>19</v>
      </c>
      <c r="AL203" s="223">
        <f t="shared" si="169"/>
        <v>2026</v>
      </c>
      <c r="AS203" s="223">
        <f t="shared" si="170"/>
        <v>5</v>
      </c>
      <c r="AT203" s="223">
        <f t="shared" si="171"/>
        <v>2026</v>
      </c>
    </row>
    <row r="204" spans="2:46" ht="15.75" x14ac:dyDescent="0.25">
      <c r="B204" s="229" t="s">
        <v>641</v>
      </c>
      <c r="C204" s="245" t="s">
        <v>396</v>
      </c>
      <c r="D204" s="246">
        <v>330</v>
      </c>
      <c r="E204" s="232" t="s">
        <v>4</v>
      </c>
      <c r="F204" s="233">
        <v>3.07</v>
      </c>
      <c r="G204" s="234">
        <v>46125</v>
      </c>
      <c r="H204" s="235" t="s">
        <v>23</v>
      </c>
      <c r="I204" s="235"/>
      <c r="J204" s="236">
        <v>7.0000000000000007E-2</v>
      </c>
      <c r="K204" s="237">
        <f ca="1">ROUND(IF(ISERROR(OFFSET(Tabella!$A$1,MATCH(H204,Tabella!$A:$A,0)-1,MATCH(J204,Tabella!$A$1:$AC$1,0)-1)=TRUE),0,+OFFSET(Tabella!$A$1,MATCH(H204,Tabella!$A:$A,0)-1,MATCH(J204,Tabella!$A$1:$AC$1,0)-1)),4)</f>
        <v>1.25</v>
      </c>
      <c r="L204" s="238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238">
        <f ca="1">ROUND(IF(ISERROR(OFFSET(Rame!$A$1,MATCH(H204,Rame!$A:$A,0)-1,MATCH(J204,Rame!$A$1:$AA$1,0)-1)=TRUE),0,OFFSET(Rame!$A$1,MATCH(H204,Rame!$A:$A,0)-1,MATCH(J204,Rame!$A$1:$AA$1,0)-1))*IF(E204="Rame",1,0),4)</f>
        <v>0</v>
      </c>
      <c r="N204" s="238">
        <v>0</v>
      </c>
      <c r="O204" s="238">
        <v>1.6</v>
      </c>
      <c r="P204" s="238">
        <f ca="1">ROUND(+IF(ISERROR(OFFSET(Tabella!$G$1,MATCH(H204,Tabella!$G:$G,0)-1,MATCH(I204,Tabella!$G$1:$FG$1,0)-1)=TRUE),0,OFFSET(Tabella!$G$1,MATCH(H204,Tabella!$G:$G,0)-1,MATCH(I204,Tabella!$G$1:$AB$1,0)-1)),4)</f>
        <v>0</v>
      </c>
      <c r="Q204" s="238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238">
        <f ca="1">ROUND(IF(ISERROR(OFFSET(Rame!$F$1,MATCH(H204,Rame!$F:$F,0)-1,MATCH(I204,Rame!$F$1:$FF$1,0)-1)=TRUE),0,OFFSET(Rame!$F$1,MATCH(H204,Rame!$F:$F,0)-1,MATCH(I204,Rame!$F$1:$FF$1,0)-1))*IF(E204="Rame",1,0),4)</f>
        <v>0</v>
      </c>
      <c r="S204" s="238">
        <f ca="1">ROUND(IF(ISERROR(OFFSET(Bronzo!$A$1,MATCH(H204,Bronzo!$A:$A,0)-1,MATCH(I204,Bronzo!$A$1:$AA$1,0)-1)=TRUE),0,OFFSET(Bronzo!$A$1,MATCH(H204,Bronzo!$A:$A,0)-1,MATCH(I204,Bronzo!$A$1:$AA$1,0)-1)),4)</f>
        <v>0</v>
      </c>
      <c r="T204" s="238">
        <f t="shared" ca="1" si="164"/>
        <v>0</v>
      </c>
      <c r="U204" s="237"/>
      <c r="V204" s="238">
        <v>0</v>
      </c>
      <c r="W204" s="239">
        <f t="shared" ca="1" si="165"/>
        <v>1.6</v>
      </c>
      <c r="X204" s="423">
        <f t="shared" si="183"/>
        <v>23.1</v>
      </c>
      <c r="Y204" s="236">
        <v>4.8899999999999997</v>
      </c>
      <c r="Z204" s="236">
        <f t="shared" ca="1" si="166"/>
        <v>0.22</v>
      </c>
      <c r="AA204" s="241"/>
      <c r="AF204" s="225">
        <f t="shared" ca="1" si="136"/>
        <v>46236</v>
      </c>
      <c r="AG204" s="225" t="b">
        <f t="shared" si="167"/>
        <v>1</v>
      </c>
      <c r="AH204" s="242"/>
      <c r="AK204" s="223">
        <f t="shared" si="168"/>
        <v>0</v>
      </c>
      <c r="AL204" s="223">
        <f t="shared" si="169"/>
        <v>1900</v>
      </c>
      <c r="AS204" s="223">
        <f t="shared" si="170"/>
        <v>0</v>
      </c>
      <c r="AT204" s="223">
        <f t="shared" si="171"/>
        <v>0</v>
      </c>
    </row>
    <row r="205" spans="2:46" ht="15.75" x14ac:dyDescent="0.25">
      <c r="B205" s="229" t="s">
        <v>642</v>
      </c>
      <c r="C205" s="245" t="s">
        <v>396</v>
      </c>
      <c r="D205" s="246">
        <v>622</v>
      </c>
      <c r="E205" s="232" t="s">
        <v>4</v>
      </c>
      <c r="F205" s="233">
        <v>3.07</v>
      </c>
      <c r="G205" s="234">
        <v>46125</v>
      </c>
      <c r="H205" s="235" t="s">
        <v>21</v>
      </c>
      <c r="I205" s="235"/>
      <c r="J205" s="236">
        <v>7.0000000000000007E-2</v>
      </c>
      <c r="K205" s="237">
        <f ca="1">ROUND(IF(ISERROR(OFFSET(Tabella!$A$1,MATCH(H205,Tabella!$A:$A,0)-1,MATCH(J205,Tabella!$A$1:$AC$1,0)-1)=TRUE),0,+OFFSET(Tabella!$A$1,MATCH(H205,Tabella!$A:$A,0)-1,MATCH(J205,Tabella!$A$1:$AC$1,0)-1)),4)</f>
        <v>1.25</v>
      </c>
      <c r="L205" s="238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238">
        <f ca="1">ROUND(IF(ISERROR(OFFSET(Rame!$A$1,MATCH(H205,Rame!$A:$A,0)-1,MATCH(J205,Rame!$A$1:$AA$1,0)-1)=TRUE),0,OFFSET(Rame!$A$1,MATCH(H205,Rame!$A:$A,0)-1,MATCH(J205,Rame!$A$1:$AA$1,0)-1))*IF(E205="Rame",1,0),4)</f>
        <v>0</v>
      </c>
      <c r="N205" s="238">
        <v>0</v>
      </c>
      <c r="O205" s="238">
        <v>1.6</v>
      </c>
      <c r="P205" s="238">
        <f ca="1">ROUND(+IF(ISERROR(OFFSET(Tabella!$G$1,MATCH(H205,Tabella!$G:$G,0)-1,MATCH(I205,Tabella!$G$1:$FG$1,0)-1)=TRUE),0,OFFSET(Tabella!$G$1,MATCH(H205,Tabella!$G:$G,0)-1,MATCH(I205,Tabella!$G$1:$AB$1,0)-1)),4)</f>
        <v>0</v>
      </c>
      <c r="Q205" s="238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238">
        <f ca="1">ROUND(IF(ISERROR(OFFSET(Rame!$F$1,MATCH(H205,Rame!$F:$F,0)-1,MATCH(I205,Rame!$F$1:$FF$1,0)-1)=TRUE),0,OFFSET(Rame!$F$1,MATCH(H205,Rame!$F:$F,0)-1,MATCH(I205,Rame!$F$1:$FF$1,0)-1))*IF(E205="Rame",1,0),4)</f>
        <v>0</v>
      </c>
      <c r="S205" s="238">
        <f ca="1">ROUND(IF(ISERROR(OFFSET(Bronzo!$A$1,MATCH(H205,Bronzo!$A:$A,0)-1,MATCH(I205,Bronzo!$A$1:$AA$1,0)-1)=TRUE),0,OFFSET(Bronzo!$A$1,MATCH(H205,Bronzo!$A:$A,0)-1,MATCH(I205,Bronzo!$A$1:$AA$1,0)-1)),4)</f>
        <v>0</v>
      </c>
      <c r="T205" s="238">
        <f t="shared" ca="1" si="164"/>
        <v>0</v>
      </c>
      <c r="U205" s="237"/>
      <c r="V205" s="238">
        <v>0</v>
      </c>
      <c r="W205" s="239">
        <f t="shared" ca="1" si="165"/>
        <v>1.6</v>
      </c>
      <c r="X205" s="423">
        <f t="shared" si="183"/>
        <v>43.54</v>
      </c>
      <c r="Y205" s="236">
        <v>4.8899999999999997</v>
      </c>
      <c r="Z205" s="236">
        <f t="shared" ca="1" si="166"/>
        <v>0.22</v>
      </c>
      <c r="AA205" s="241"/>
      <c r="AF205" s="225">
        <f t="shared" ca="1" si="136"/>
        <v>46236</v>
      </c>
      <c r="AG205" s="225" t="b">
        <f t="shared" si="167"/>
        <v>1</v>
      </c>
      <c r="AH205" s="242"/>
      <c r="AK205" s="223">
        <f t="shared" si="168"/>
        <v>0</v>
      </c>
      <c r="AL205" s="223">
        <f t="shared" si="169"/>
        <v>1900</v>
      </c>
      <c r="AS205" s="223">
        <f t="shared" si="170"/>
        <v>0</v>
      </c>
      <c r="AT205" s="223">
        <f t="shared" si="171"/>
        <v>0</v>
      </c>
    </row>
    <row r="206" spans="2:46" ht="15.75" x14ac:dyDescent="0.25">
      <c r="B206" s="229" t="s">
        <v>661</v>
      </c>
      <c r="C206" s="245" t="s">
        <v>400</v>
      </c>
      <c r="D206" s="246">
        <v>495</v>
      </c>
      <c r="E206" s="232" t="s">
        <v>6</v>
      </c>
      <c r="F206" s="233">
        <v>11.09</v>
      </c>
      <c r="G206" s="234">
        <v>46126</v>
      </c>
      <c r="H206" s="235" t="s">
        <v>18</v>
      </c>
      <c r="I206" s="235"/>
      <c r="J206" s="236">
        <v>0.15</v>
      </c>
      <c r="K206" s="237">
        <f ca="1">ROUND(IF(ISERROR(OFFSET(Tabella!$A$1,MATCH(H206,Tabella!$A:$A,0)-1,MATCH(J206,Tabella!$A$1:$AC$1,0)-1)=TRUE),0,+OFFSET(Tabella!$A$1,MATCH(H206,Tabella!$A:$A,0)-1,MATCH(J206,Tabella!$A$1:$AC$1,0)-1)),4)</f>
        <v>0</v>
      </c>
      <c r="L206" s="238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238">
        <f ca="1">ROUND(IF(ISERROR(OFFSET(Rame!$A$1,MATCH(H206,Rame!$A:$A,0)-1,MATCH(J206,Rame!$A$1:$AA$1,0)-1)=TRUE),0,OFFSET(Rame!$A$1,MATCH(H206,Rame!$A:$A,0)-1,MATCH(J206,Rame!$A$1:$AA$1,0)-1))*IF(E206="Rame",1,0),4)</f>
        <v>0.82</v>
      </c>
      <c r="N206" s="238">
        <v>0</v>
      </c>
      <c r="O206" s="238">
        <f ca="1">ROUND(SUM(K206:N206),4)</f>
        <v>0.82</v>
      </c>
      <c r="P206" s="238">
        <f ca="1">ROUND(+IF(ISERROR(OFFSET(Tabella!$G$1,MATCH(H206,Tabella!$G:$G,0)-1,MATCH(I206,Tabella!$G$1:$FG$1,0)-1)=TRUE),0,OFFSET(Tabella!$G$1,MATCH(H206,Tabella!$G:$G,0)-1,MATCH(I206,Tabella!$G$1:$AB$1,0)-1)),4)</f>
        <v>0</v>
      </c>
      <c r="Q206" s="238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238">
        <f ca="1">ROUND(IF(ISERROR(OFFSET(Rame!$F$1,MATCH(H206,Rame!$F:$F,0)-1,MATCH(I206,Rame!$F$1:$FF$1,0)-1)=TRUE),0,OFFSET(Rame!$F$1,MATCH(H206,Rame!$F:$F,0)-1,MATCH(I206,Rame!$F$1:$FF$1,0)-1))*IF(E206="Rame",1,0),4)</f>
        <v>0</v>
      </c>
      <c r="S206" s="238">
        <f ca="1">ROUND(IF(ISERROR(OFFSET(Bronzo!$A$1,MATCH(H206,Bronzo!$A:$A,0)-1,MATCH(I206,Bronzo!$A$1:$AA$1,0)-1)=TRUE),0,OFFSET(Bronzo!$A$1,MATCH(H206,Bronzo!$A:$A,0)-1,MATCH(I206,Bronzo!$A$1:$AA$1,0)-1)),4)</f>
        <v>0</v>
      </c>
      <c r="T206" s="238">
        <f t="shared" ca="1" si="164"/>
        <v>0</v>
      </c>
      <c r="U206" s="237"/>
      <c r="V206" s="238">
        <v>0</v>
      </c>
      <c r="W206" s="239">
        <f t="shared" ca="1" si="165"/>
        <v>0.82</v>
      </c>
      <c r="X206" s="423">
        <f t="shared" si="183"/>
        <v>74.25</v>
      </c>
      <c r="Y206" s="236">
        <v>14.7</v>
      </c>
      <c r="Z206" s="236">
        <f t="shared" ca="1" si="166"/>
        <v>2.79</v>
      </c>
      <c r="AA206" s="241"/>
      <c r="AF206" s="225">
        <f t="shared" ca="1" si="136"/>
        <v>46236</v>
      </c>
      <c r="AG206" s="225" t="b">
        <f t="shared" ref="AG206:AG258" si="184">ISBLANK(AA206)</f>
        <v>1</v>
      </c>
      <c r="AH206" s="242"/>
      <c r="AK206" s="223">
        <f t="shared" si="168"/>
        <v>0</v>
      </c>
      <c r="AL206" s="223">
        <f t="shared" si="169"/>
        <v>1900</v>
      </c>
      <c r="AS206" s="223">
        <f t="shared" si="170"/>
        <v>0</v>
      </c>
      <c r="AT206" s="223">
        <f t="shared" si="171"/>
        <v>0</v>
      </c>
    </row>
    <row r="207" spans="2:46" ht="15.75" x14ac:dyDescent="0.25">
      <c r="B207" s="229" t="s">
        <v>610</v>
      </c>
      <c r="C207" s="427" t="s">
        <v>263</v>
      </c>
      <c r="D207" s="428">
        <v>1934</v>
      </c>
      <c r="E207" s="232" t="s">
        <v>4</v>
      </c>
      <c r="F207" s="233">
        <v>2.88</v>
      </c>
      <c r="G207" s="234">
        <v>46127</v>
      </c>
      <c r="H207" s="235" t="s">
        <v>15</v>
      </c>
      <c r="I207" s="235"/>
      <c r="J207" s="236">
        <v>7.0000000000000007E-2</v>
      </c>
      <c r="K207" s="237">
        <f ca="1">ROUND(IF(ISERROR(OFFSET(Tabella!$A$1,MATCH(H207,Tabella!$A:$A,0)-1,MATCH(J207,Tabella!$A$1:$AC$1,0)-1)=TRUE),0,+OFFSET(Tabella!$A$1,MATCH(H207,Tabella!$A:$A,0)-1,MATCH(J207,Tabella!$A$1:$AC$1,0)-1)),4)</f>
        <v>1.4</v>
      </c>
      <c r="L207" s="238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238">
        <f ca="1">ROUND(IF(ISERROR(OFFSET(Rame!$A$1,MATCH(H207,Rame!$A:$A,0)-1,MATCH(J207,Rame!$A$1:$AA$1,0)-1)=TRUE),0,OFFSET(Rame!$A$1,MATCH(H207,Rame!$A:$A,0)-1,MATCH(J207,Rame!$A$1:$AA$1,0)-1))*IF(E207="Rame",1,0),4)</f>
        <v>0</v>
      </c>
      <c r="N207" s="238">
        <v>0</v>
      </c>
      <c r="O207" s="238">
        <v>1.83</v>
      </c>
      <c r="P207" s="238">
        <f ca="1">ROUND(+IF(ISERROR(OFFSET(Tabella!$G$1,MATCH(H207,Tabella!$G:$G,0)-1,MATCH(I207,Tabella!$G$1:$FG$1,0)-1)=TRUE),0,OFFSET(Tabella!$G$1,MATCH(H207,Tabella!$G:$G,0)-1,MATCH(I207,Tabella!$G$1:$AB$1,0)-1)),4)</f>
        <v>0</v>
      </c>
      <c r="Q207" s="238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238">
        <f ca="1">ROUND(IF(ISERROR(OFFSET(Rame!$F$1,MATCH(H207,Rame!$F:$F,0)-1,MATCH(I207,Rame!$F$1:$FF$1,0)-1)=TRUE),0,OFFSET(Rame!$F$1,MATCH(H207,Rame!$F:$F,0)-1,MATCH(I207,Rame!$F$1:$FF$1,0)-1))*IF(E207="Rame",1,0),4)</f>
        <v>0</v>
      </c>
      <c r="S207" s="238">
        <f ca="1">ROUND(IF(ISERROR(OFFSET(Bronzo!$A$1,MATCH(H207,Bronzo!$A:$A,0)-1,MATCH(I207,Bronzo!$A$1:$AA$1,0)-1)=TRUE),0,OFFSET(Bronzo!$A$1,MATCH(H207,Bronzo!$A:$A,0)-1,MATCH(I207,Bronzo!$A$1:$AA$1,0)-1)),4)</f>
        <v>0</v>
      </c>
      <c r="T207" s="238">
        <f t="shared" ca="1" si="164"/>
        <v>0</v>
      </c>
      <c r="U207" s="237"/>
      <c r="V207" s="238">
        <v>0</v>
      </c>
      <c r="W207" s="239">
        <f t="shared" ca="1" si="165"/>
        <v>1.83</v>
      </c>
      <c r="X207" s="429">
        <f t="shared" si="183"/>
        <v>135.38</v>
      </c>
      <c r="Y207" s="236">
        <v>4.71</v>
      </c>
      <c r="Z207" s="236">
        <f t="shared" ca="1" si="166"/>
        <v>0</v>
      </c>
      <c r="AA207" s="241"/>
      <c r="AF207" s="225">
        <f t="shared" ca="1" si="136"/>
        <v>46236</v>
      </c>
      <c r="AG207" s="225" t="b">
        <f t="shared" si="184"/>
        <v>1</v>
      </c>
      <c r="AH207" s="242"/>
      <c r="AK207" s="223">
        <f t="shared" ref="AK207:AK259" si="185">WEEKNUM(AA207)</f>
        <v>0</v>
      </c>
      <c r="AL207" s="223">
        <f t="shared" ref="AL207:AL259" si="186">YEAR(AA207)</f>
        <v>1900</v>
      </c>
      <c r="AS207" s="223">
        <f t="shared" ref="AS207:AS259" si="187">IF(AA207="",0,MONTH(AA207))</f>
        <v>0</v>
      </c>
      <c r="AT207" s="223">
        <f t="shared" ref="AT207:AT259" si="188">IF(AA207="",0,YEAR(AA207))</f>
        <v>0</v>
      </c>
    </row>
    <row r="208" spans="2:46" ht="15.75" x14ac:dyDescent="0.25">
      <c r="B208" s="229" t="s">
        <v>650</v>
      </c>
      <c r="C208" s="427" t="s">
        <v>263</v>
      </c>
      <c r="D208" s="428">
        <v>501</v>
      </c>
      <c r="E208" s="232" t="s">
        <v>4</v>
      </c>
      <c r="F208" s="233">
        <v>2.88</v>
      </c>
      <c r="G208" s="234">
        <v>46127</v>
      </c>
      <c r="H208" s="235" t="s">
        <v>19</v>
      </c>
      <c r="I208" s="235"/>
      <c r="J208" s="236">
        <v>7.0000000000000007E-2</v>
      </c>
      <c r="K208" s="237">
        <f ca="1">ROUND(IF(ISERROR(OFFSET(Tabella!$A$1,MATCH(H208,Tabella!$A:$A,0)-1,MATCH(J208,Tabella!$A$1:$AC$1,0)-1)=TRUE),0,+OFFSET(Tabella!$A$1,MATCH(H208,Tabella!$A:$A,0)-1,MATCH(J208,Tabella!$A$1:$AC$1,0)-1)),4)</f>
        <v>1.35</v>
      </c>
      <c r="L208" s="238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238">
        <f ca="1">ROUND(IF(ISERROR(OFFSET(Rame!$A$1,MATCH(H208,Rame!$A:$A,0)-1,MATCH(J208,Rame!$A$1:$AA$1,0)-1)=TRUE),0,OFFSET(Rame!$A$1,MATCH(H208,Rame!$A:$A,0)-1,MATCH(J208,Rame!$A$1:$AA$1,0)-1))*IF(E208="Rame",1,0),4)</f>
        <v>0</v>
      </c>
      <c r="N208" s="238">
        <v>0</v>
      </c>
      <c r="O208" s="238">
        <v>1.73</v>
      </c>
      <c r="P208" s="238">
        <f ca="1">ROUND(+IF(ISERROR(OFFSET(Tabella!$G$1,MATCH(H208,Tabella!$G:$G,0)-1,MATCH(I208,Tabella!$G$1:$FG$1,0)-1)=TRUE),0,OFFSET(Tabella!$G$1,MATCH(H208,Tabella!$G:$G,0)-1,MATCH(I208,Tabella!$G$1:$AB$1,0)-1)),4)</f>
        <v>0</v>
      </c>
      <c r="Q208" s="238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238">
        <f ca="1">ROUND(IF(ISERROR(OFFSET(Rame!$F$1,MATCH(H208,Rame!$F:$F,0)-1,MATCH(I208,Rame!$F$1:$FF$1,0)-1)=TRUE),0,OFFSET(Rame!$F$1,MATCH(H208,Rame!$F:$F,0)-1,MATCH(I208,Rame!$F$1:$FF$1,0)-1))*IF(E208="Rame",1,0),4)</f>
        <v>0</v>
      </c>
      <c r="S208" s="238">
        <f ca="1">ROUND(IF(ISERROR(OFFSET(Bronzo!$A$1,MATCH(H208,Bronzo!$A:$A,0)-1,MATCH(I208,Bronzo!$A$1:$AA$1,0)-1)=TRUE),0,OFFSET(Bronzo!$A$1,MATCH(H208,Bronzo!$A:$A,0)-1,MATCH(I208,Bronzo!$A$1:$AA$1,0)-1)),4)</f>
        <v>0</v>
      </c>
      <c r="T208" s="238">
        <f t="shared" ca="1" si="164"/>
        <v>0</v>
      </c>
      <c r="U208" s="237"/>
      <c r="V208" s="238">
        <v>0</v>
      </c>
      <c r="W208" s="239">
        <f t="shared" ca="1" si="165"/>
        <v>1.73</v>
      </c>
      <c r="X208" s="429">
        <f t="shared" si="183"/>
        <v>35.07</v>
      </c>
      <c r="Y208" s="236">
        <v>4.5599999999999996</v>
      </c>
      <c r="Z208" s="236">
        <f t="shared" ca="1" si="166"/>
        <v>-0.05</v>
      </c>
      <c r="AA208" s="241"/>
      <c r="AF208" s="225">
        <f t="shared" ca="1" si="136"/>
        <v>46236</v>
      </c>
      <c r="AG208" s="225" t="b">
        <f t="shared" si="184"/>
        <v>1</v>
      </c>
      <c r="AH208" s="242"/>
      <c r="AK208" s="223">
        <f t="shared" si="185"/>
        <v>0</v>
      </c>
      <c r="AL208" s="223">
        <f t="shared" si="186"/>
        <v>1900</v>
      </c>
      <c r="AS208" s="223">
        <f t="shared" si="187"/>
        <v>0</v>
      </c>
      <c r="AT208" s="223">
        <f t="shared" si="188"/>
        <v>0</v>
      </c>
    </row>
    <row r="209" spans="2:46" ht="15.75" x14ac:dyDescent="0.25">
      <c r="B209" s="229" t="s">
        <v>587</v>
      </c>
      <c r="C209" s="245" t="s">
        <v>257</v>
      </c>
      <c r="D209" s="246">
        <v>1498</v>
      </c>
      <c r="E209" s="232" t="s">
        <v>4</v>
      </c>
      <c r="F209" s="233">
        <v>3.02</v>
      </c>
      <c r="G209" s="234">
        <v>46127</v>
      </c>
      <c r="H209" s="235" t="s">
        <v>322</v>
      </c>
      <c r="I209" s="235"/>
      <c r="J209" s="236">
        <v>7.0000000000000007E-2</v>
      </c>
      <c r="K209" s="237">
        <f ca="1">ROUND(IF(ISERROR(OFFSET(Tabella!$A$1,MATCH(H209,Tabella!$A:$A,0)-1,MATCH(J209,Tabella!$A$1:$AC$1,0)-1)=TRUE),0,+OFFSET(Tabella!$A$1,MATCH(H209,Tabella!$A:$A,0)-1,MATCH(J209,Tabella!$A$1:$AC$1,0)-1)),4)</f>
        <v>1.25</v>
      </c>
      <c r="L209" s="238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238">
        <f ca="1">ROUND(IF(ISERROR(OFFSET(Rame!$A$1,MATCH(H209,Rame!$A:$A,0)-1,MATCH(J209,Rame!$A$1:$AA$1,0)-1)=TRUE),0,OFFSET(Rame!$A$1,MATCH(H209,Rame!$A:$A,0)-1,MATCH(J209,Rame!$A$1:$AA$1,0)-1))*IF(E209="Rame",1,0),4)</f>
        <v>0</v>
      </c>
      <c r="N209" s="238">
        <v>0</v>
      </c>
      <c r="O209" s="238">
        <v>1.73</v>
      </c>
      <c r="P209" s="238">
        <f ca="1">ROUND(+IF(ISERROR(OFFSET(Tabella!$G$1,MATCH(H209,Tabella!$G:$G,0)-1,MATCH(I209,Tabella!$G$1:$FG$1,0)-1)=TRUE),0,OFFSET(Tabella!$G$1,MATCH(H209,Tabella!$G:$G,0)-1,MATCH(I209,Tabella!$G$1:$AB$1,0)-1)),4)</f>
        <v>0</v>
      </c>
      <c r="Q209" s="238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238">
        <f ca="1">ROUND(IF(ISERROR(OFFSET(Rame!$F$1,MATCH(H209,Rame!$F:$F,0)-1,MATCH(I209,Rame!$F$1:$FF$1,0)-1)=TRUE),0,OFFSET(Rame!$F$1,MATCH(H209,Rame!$F:$F,0)-1,MATCH(I209,Rame!$F$1:$FF$1,0)-1))*IF(E209="Rame",1,0),4)</f>
        <v>0</v>
      </c>
      <c r="S209" s="238">
        <f ca="1">ROUND(IF(ISERROR(OFFSET(Bronzo!$A$1,MATCH(H209,Bronzo!$A:$A,0)-1,MATCH(I209,Bronzo!$A$1:$AA$1,0)-1)=TRUE),0,OFFSET(Bronzo!$A$1,MATCH(H209,Bronzo!$A:$A,0)-1,MATCH(I209,Bronzo!$A$1:$AA$1,0)-1)),4)</f>
        <v>0</v>
      </c>
      <c r="T209" s="238">
        <f t="shared" ca="1" si="164"/>
        <v>0</v>
      </c>
      <c r="U209" s="237"/>
      <c r="V209" s="238">
        <v>0</v>
      </c>
      <c r="W209" s="239">
        <f t="shared" ca="1" si="165"/>
        <v>1.73</v>
      </c>
      <c r="X209" s="423">
        <f t="shared" si="183"/>
        <v>104.86</v>
      </c>
      <c r="Y209" s="236">
        <v>4.7</v>
      </c>
      <c r="Z209" s="236">
        <f t="shared" ca="1" si="166"/>
        <v>-0.05</v>
      </c>
      <c r="AA209" s="241"/>
      <c r="AF209" s="225">
        <f t="shared" ca="1" si="136"/>
        <v>46236</v>
      </c>
      <c r="AG209" s="225" t="b">
        <f t="shared" si="184"/>
        <v>1</v>
      </c>
      <c r="AH209" s="242"/>
      <c r="AK209" s="223">
        <f t="shared" si="185"/>
        <v>0</v>
      </c>
      <c r="AL209" s="223">
        <f t="shared" si="186"/>
        <v>1900</v>
      </c>
      <c r="AS209" s="223">
        <f t="shared" si="187"/>
        <v>0</v>
      </c>
      <c r="AT209" s="223">
        <f t="shared" si="188"/>
        <v>0</v>
      </c>
    </row>
    <row r="210" spans="2:46" ht="15.75" x14ac:dyDescent="0.25">
      <c r="B210" s="229" t="s">
        <v>519</v>
      </c>
      <c r="C210" s="248" t="s">
        <v>479</v>
      </c>
      <c r="D210" s="249">
        <v>12400</v>
      </c>
      <c r="E210" s="232" t="s">
        <v>4</v>
      </c>
      <c r="F210" s="233">
        <v>3.02</v>
      </c>
      <c r="G210" s="234">
        <v>46127</v>
      </c>
      <c r="H210" s="235" t="s">
        <v>21</v>
      </c>
      <c r="I210" s="235"/>
      <c r="J210" s="236">
        <v>7.0000000000000007E-2</v>
      </c>
      <c r="K210" s="237">
        <f ca="1">ROUND(IF(ISERROR(OFFSET(Tabella!$A$1,MATCH(H210,Tabella!$A:$A,0)-1,MATCH(J210,Tabella!$A$1:$AC$1,0)-1)=TRUE),0,+OFFSET(Tabella!$A$1,MATCH(H210,Tabella!$A:$A,0)-1,MATCH(J210,Tabella!$A$1:$AC$1,0)-1)),4)</f>
        <v>1.25</v>
      </c>
      <c r="L210" s="238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238">
        <f ca="1">ROUND(IF(ISERROR(OFFSET(Rame!$A$1,MATCH(H210,Rame!$A:$A,0)-1,MATCH(J210,Rame!$A$1:$AA$1,0)-1)=TRUE),0,OFFSET(Rame!$A$1,MATCH(H210,Rame!$A:$A,0)-1,MATCH(J210,Rame!$A$1:$AA$1,0)-1))*IF(E210="Rame",1,0),4)</f>
        <v>0</v>
      </c>
      <c r="N210" s="238">
        <v>0</v>
      </c>
      <c r="O210" s="238">
        <f ca="1">ROUND(SUM(K210:N210),4)</f>
        <v>1.25</v>
      </c>
      <c r="P210" s="238">
        <f ca="1">ROUND(+IF(ISERROR(OFFSET(Tabella!$G$1,MATCH(H210,Tabella!$G:$G,0)-1,MATCH(I210,Tabella!$G$1:$FG$1,0)-1)=TRUE),0,OFFSET(Tabella!$G$1,MATCH(H210,Tabella!$G:$G,0)-1,MATCH(I210,Tabella!$G$1:$AB$1,0)-1)),4)</f>
        <v>0</v>
      </c>
      <c r="Q210" s="238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238">
        <f ca="1">ROUND(IF(ISERROR(OFFSET(Rame!$F$1,MATCH(H210,Rame!$F:$F,0)-1,MATCH(I210,Rame!$F$1:$FF$1,0)-1)=TRUE),0,OFFSET(Rame!$F$1,MATCH(H210,Rame!$F:$F,0)-1,MATCH(I210,Rame!$F$1:$FF$1,0)-1))*IF(E210="Rame",1,0),4)</f>
        <v>0</v>
      </c>
      <c r="S210" s="238">
        <f ca="1">ROUND(IF(ISERROR(OFFSET(Bronzo!$A$1,MATCH(H210,Bronzo!$A:$A,0)-1,MATCH(I210,Bronzo!$A$1:$AA$1,0)-1)=TRUE),0,OFFSET(Bronzo!$A$1,MATCH(H210,Bronzo!$A:$A,0)-1,MATCH(I210,Bronzo!$A$1:$AA$1,0)-1)),4)</f>
        <v>0</v>
      </c>
      <c r="T210" s="238">
        <f t="shared" ca="1" si="164"/>
        <v>0</v>
      </c>
      <c r="U210" s="237"/>
      <c r="V210" s="238">
        <v>0</v>
      </c>
      <c r="W210" s="239">
        <f t="shared" ca="1" si="165"/>
        <v>1.25</v>
      </c>
      <c r="X210" s="424"/>
      <c r="Y210" s="236">
        <v>4.6500000000000004</v>
      </c>
      <c r="Z210" s="236">
        <f t="shared" ca="1" si="166"/>
        <v>0.38</v>
      </c>
      <c r="AA210" s="241">
        <v>46234</v>
      </c>
      <c r="AF210" s="225">
        <f t="shared" ca="1" si="136"/>
        <v>46236</v>
      </c>
      <c r="AG210" s="225" t="b">
        <f t="shared" si="184"/>
        <v>0</v>
      </c>
      <c r="AH210" s="242"/>
      <c r="AK210" s="223">
        <f t="shared" si="185"/>
        <v>31</v>
      </c>
      <c r="AL210" s="223">
        <f t="shared" si="186"/>
        <v>2026</v>
      </c>
      <c r="AS210" s="223">
        <f t="shared" si="187"/>
        <v>7</v>
      </c>
      <c r="AT210" s="223">
        <f t="shared" si="188"/>
        <v>2026</v>
      </c>
    </row>
    <row r="211" spans="2:46" ht="15.75" x14ac:dyDescent="0.25">
      <c r="B211" s="229" t="s">
        <v>497</v>
      </c>
      <c r="C211" s="235" t="s">
        <v>219</v>
      </c>
      <c r="D211" s="243">
        <v>1100</v>
      </c>
      <c r="E211" s="232" t="s">
        <v>4</v>
      </c>
      <c r="F211" s="233">
        <v>3.02</v>
      </c>
      <c r="G211" s="234">
        <v>46127</v>
      </c>
      <c r="H211" s="235" t="s">
        <v>25</v>
      </c>
      <c r="I211" s="235"/>
      <c r="J211" s="236">
        <v>0.05</v>
      </c>
      <c r="K211" s="237">
        <f ca="1">ROUND(IF(ISERROR(OFFSET(Tabella!$A$1,MATCH(H211,Tabella!$A:$A,0)-1,MATCH(J211,Tabella!$A$1:$AC$1,0)-1)=TRUE),0,+OFFSET(Tabella!$A$1,MATCH(H211,Tabella!$A:$A,0)-1,MATCH(J211,Tabella!$A$1:$AC$1,0)-1)),4)</f>
        <v>0</v>
      </c>
      <c r="L211" s="238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238">
        <f ca="1">ROUND(IF(ISERROR(OFFSET(Rame!$A$1,MATCH(H211,Rame!$A:$A,0)-1,MATCH(J211,Rame!$A$1:$AA$1,0)-1)=TRUE),0,OFFSET(Rame!$A$1,MATCH(H211,Rame!$A:$A,0)-1,MATCH(J211,Rame!$A$1:$AA$1,0)-1))*IF(E211="Rame",1,0),4)</f>
        <v>0</v>
      </c>
      <c r="N211" s="238">
        <v>0</v>
      </c>
      <c r="O211" s="238">
        <v>1.73</v>
      </c>
      <c r="P211" s="238">
        <f ca="1">ROUND(+IF(ISERROR(OFFSET(Tabella!$G$1,MATCH(H211,Tabella!$G:$G,0)-1,MATCH(I211,Tabella!$G$1:$FG$1,0)-1)=TRUE),0,OFFSET(Tabella!$G$1,MATCH(H211,Tabella!$G:$G,0)-1,MATCH(I211,Tabella!$G$1:$AB$1,0)-1)),4)</f>
        <v>0</v>
      </c>
      <c r="Q211" s="238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238">
        <f ca="1">ROUND(IF(ISERROR(OFFSET(Rame!$F$1,MATCH(H211,Rame!$F:$F,0)-1,MATCH(I211,Rame!$F$1:$FF$1,0)-1)=TRUE),0,OFFSET(Rame!$F$1,MATCH(H211,Rame!$F:$F,0)-1,MATCH(I211,Rame!$F$1:$FF$1,0)-1))*IF(E211="Rame",1,0),4)</f>
        <v>0</v>
      </c>
      <c r="S211" s="238">
        <f ca="1">ROUND(IF(ISERROR(OFFSET(Bronzo!$A$1,MATCH(H211,Bronzo!$A:$A,0)-1,MATCH(I211,Bronzo!$A$1:$AA$1,0)-1)=TRUE),0,OFFSET(Bronzo!$A$1,MATCH(H211,Bronzo!$A:$A,0)-1,MATCH(I211,Bronzo!$A$1:$AA$1,0)-1)),4)</f>
        <v>0</v>
      </c>
      <c r="T211" s="238">
        <f t="shared" ca="1" si="164"/>
        <v>0</v>
      </c>
      <c r="U211" s="237"/>
      <c r="V211" s="238">
        <v>0</v>
      </c>
      <c r="W211" s="239">
        <f t="shared" ca="1" si="165"/>
        <v>1.73</v>
      </c>
      <c r="X211" s="240">
        <f t="shared" ref="X211:X276" si="189">ROUND(+J211*D211,4)</f>
        <v>55</v>
      </c>
      <c r="Y211" s="236">
        <v>4.7</v>
      </c>
      <c r="Z211" s="236">
        <f t="shared" ca="1" si="166"/>
        <v>-0.05</v>
      </c>
      <c r="AA211" s="241">
        <v>46157</v>
      </c>
      <c r="AF211" s="225">
        <f t="shared" ca="1" si="136"/>
        <v>46236</v>
      </c>
      <c r="AG211" s="225" t="b">
        <f t="shared" si="184"/>
        <v>0</v>
      </c>
      <c r="AH211" s="242"/>
      <c r="AK211" s="223">
        <f t="shared" si="185"/>
        <v>20</v>
      </c>
      <c r="AL211" s="223">
        <f t="shared" si="186"/>
        <v>2026</v>
      </c>
      <c r="AS211" s="223">
        <f t="shared" si="187"/>
        <v>5</v>
      </c>
      <c r="AT211" s="223">
        <f t="shared" si="188"/>
        <v>2026</v>
      </c>
    </row>
    <row r="212" spans="2:46" ht="15.75" x14ac:dyDescent="0.25">
      <c r="B212" s="229" t="s">
        <v>683</v>
      </c>
      <c r="C212" s="245" t="s">
        <v>219</v>
      </c>
      <c r="D212" s="246">
        <v>549</v>
      </c>
      <c r="E212" s="232" t="s">
        <v>4</v>
      </c>
      <c r="F212" s="233">
        <v>3.02</v>
      </c>
      <c r="G212" s="234">
        <v>46127</v>
      </c>
      <c r="H212" s="235" t="s">
        <v>26</v>
      </c>
      <c r="I212" s="235"/>
      <c r="J212" s="236">
        <v>0.05</v>
      </c>
      <c r="K212" s="237">
        <f ca="1">ROUND(IF(ISERROR(OFFSET(Tabella!$A$1,MATCH(H212,Tabella!$A:$A,0)-1,MATCH(J212,Tabella!$A$1:$AC$1,0)-1)=TRUE),0,+OFFSET(Tabella!$A$1,MATCH(H212,Tabella!$A:$A,0)-1,MATCH(J212,Tabella!$A$1:$AC$1,0)-1)),4)</f>
        <v>0</v>
      </c>
      <c r="L212" s="238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238">
        <f ca="1">ROUND(IF(ISERROR(OFFSET(Rame!$A$1,MATCH(H212,Rame!$A:$A,0)-1,MATCH(J212,Rame!$A$1:$AA$1,0)-1)=TRUE),0,OFFSET(Rame!$A$1,MATCH(H212,Rame!$A:$A,0)-1,MATCH(J212,Rame!$A$1:$AA$1,0)-1))*IF(E212="Rame",1,0),4)</f>
        <v>0</v>
      </c>
      <c r="N212" s="238">
        <v>0</v>
      </c>
      <c r="O212" s="238">
        <v>1.73</v>
      </c>
      <c r="P212" s="238">
        <f ca="1">ROUND(+IF(ISERROR(OFFSET(Tabella!$G$1,MATCH(H212,Tabella!$G:$G,0)-1,MATCH(I212,Tabella!$G$1:$FG$1,0)-1)=TRUE),0,OFFSET(Tabella!$G$1,MATCH(H212,Tabella!$G:$G,0)-1,MATCH(I212,Tabella!$G$1:$AB$1,0)-1)),4)</f>
        <v>0</v>
      </c>
      <c r="Q212" s="238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238">
        <f ca="1">ROUND(IF(ISERROR(OFFSET(Rame!$F$1,MATCH(H212,Rame!$F:$F,0)-1,MATCH(I212,Rame!$F$1:$FF$1,0)-1)=TRUE),0,OFFSET(Rame!$F$1,MATCH(H212,Rame!$F:$F,0)-1,MATCH(I212,Rame!$F$1:$FF$1,0)-1))*IF(E212="Rame",1,0),4)</f>
        <v>0</v>
      </c>
      <c r="S212" s="238">
        <f ca="1">ROUND(IF(ISERROR(OFFSET(Bronzo!$A$1,MATCH(H212,Bronzo!$A:$A,0)-1,MATCH(I212,Bronzo!$A$1:$AA$1,0)-1)=TRUE),0,OFFSET(Bronzo!$A$1,MATCH(H212,Bronzo!$A:$A,0)-1,MATCH(I212,Bronzo!$A$1:$AA$1,0)-1)),4)</f>
        <v>0</v>
      </c>
      <c r="T212" s="238">
        <f t="shared" ca="1" si="164"/>
        <v>0</v>
      </c>
      <c r="U212" s="237"/>
      <c r="V212" s="238">
        <v>0</v>
      </c>
      <c r="W212" s="239">
        <f t="shared" ca="1" si="165"/>
        <v>1.73</v>
      </c>
      <c r="X212" s="423">
        <f t="shared" si="189"/>
        <v>27.45</v>
      </c>
      <c r="Y212" s="236">
        <v>4.7</v>
      </c>
      <c r="Z212" s="236">
        <f t="shared" ca="1" si="166"/>
        <v>-0.05</v>
      </c>
      <c r="AA212" s="241"/>
      <c r="AF212" s="225">
        <f t="shared" ca="1" si="136"/>
        <v>46236</v>
      </c>
      <c r="AG212" s="225" t="b">
        <f t="shared" si="184"/>
        <v>1</v>
      </c>
      <c r="AH212" s="242"/>
      <c r="AK212" s="223">
        <f t="shared" si="185"/>
        <v>0</v>
      </c>
      <c r="AL212" s="223">
        <f t="shared" si="186"/>
        <v>1900</v>
      </c>
      <c r="AS212" s="223">
        <f t="shared" si="187"/>
        <v>0</v>
      </c>
      <c r="AT212" s="223">
        <f t="shared" si="188"/>
        <v>0</v>
      </c>
    </row>
    <row r="213" spans="2:46" ht="15.75" x14ac:dyDescent="0.25">
      <c r="B213" s="229" t="s">
        <v>633</v>
      </c>
      <c r="C213" s="245" t="s">
        <v>219</v>
      </c>
      <c r="D213" s="246">
        <v>540</v>
      </c>
      <c r="E213" s="232" t="s">
        <v>4</v>
      </c>
      <c r="F213" s="233">
        <v>3.02</v>
      </c>
      <c r="G213" s="234">
        <v>46127</v>
      </c>
      <c r="H213" s="235" t="s">
        <v>22</v>
      </c>
      <c r="I213" s="235"/>
      <c r="J213" s="236">
        <v>0.05</v>
      </c>
      <c r="K213" s="237">
        <f ca="1">ROUND(IF(ISERROR(OFFSET(Tabella!$A$1,MATCH(H213,Tabella!$A:$A,0)-1,MATCH(J213,Tabella!$A$1:$AC$1,0)-1)=TRUE),0,+OFFSET(Tabella!$A$1,MATCH(H213,Tabella!$A:$A,0)-1,MATCH(J213,Tabella!$A$1:$AC$1,0)-1)),4)</f>
        <v>0</v>
      </c>
      <c r="L213" s="238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238">
        <f ca="1">ROUND(IF(ISERROR(OFFSET(Rame!$A$1,MATCH(H213,Rame!$A:$A,0)-1,MATCH(J213,Rame!$A$1:$AA$1,0)-1)=TRUE),0,OFFSET(Rame!$A$1,MATCH(H213,Rame!$A:$A,0)-1,MATCH(J213,Rame!$A$1:$AA$1,0)-1))*IF(E213="Rame",1,0),4)</f>
        <v>0</v>
      </c>
      <c r="N213" s="238">
        <v>0</v>
      </c>
      <c r="O213" s="238">
        <v>1.73</v>
      </c>
      <c r="P213" s="238">
        <f ca="1">ROUND(+IF(ISERROR(OFFSET(Tabella!$G$1,MATCH(H213,Tabella!$G:$G,0)-1,MATCH(I213,Tabella!$G$1:$FG$1,0)-1)=TRUE),0,OFFSET(Tabella!$G$1,MATCH(H213,Tabella!$G:$G,0)-1,MATCH(I213,Tabella!$G$1:$AB$1,0)-1)),4)</f>
        <v>0</v>
      </c>
      <c r="Q213" s="238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238">
        <f ca="1">ROUND(IF(ISERROR(OFFSET(Rame!$F$1,MATCH(H213,Rame!$F:$F,0)-1,MATCH(I213,Rame!$F$1:$FF$1,0)-1)=TRUE),0,OFFSET(Rame!$F$1,MATCH(H213,Rame!$F:$F,0)-1,MATCH(I213,Rame!$F$1:$FF$1,0)-1))*IF(E213="Rame",1,0),4)</f>
        <v>0</v>
      </c>
      <c r="S213" s="238">
        <f ca="1">ROUND(IF(ISERROR(OFFSET(Bronzo!$A$1,MATCH(H213,Bronzo!$A:$A,0)-1,MATCH(I213,Bronzo!$A$1:$AA$1,0)-1)=TRUE),0,OFFSET(Bronzo!$A$1,MATCH(H213,Bronzo!$A:$A,0)-1,MATCH(I213,Bronzo!$A$1:$AA$1,0)-1)),4)</f>
        <v>0</v>
      </c>
      <c r="T213" s="238">
        <f t="shared" ca="1" si="164"/>
        <v>0</v>
      </c>
      <c r="U213" s="237"/>
      <c r="V213" s="238">
        <v>0</v>
      </c>
      <c r="W213" s="239">
        <f t="shared" ca="1" si="165"/>
        <v>1.73</v>
      </c>
      <c r="X213" s="423">
        <f t="shared" si="189"/>
        <v>27</v>
      </c>
      <c r="Y213" s="236">
        <v>4.7</v>
      </c>
      <c r="Z213" s="236">
        <f t="shared" ca="1" si="166"/>
        <v>-0.05</v>
      </c>
      <c r="AA213" s="241"/>
      <c r="AF213" s="225">
        <f t="shared" ca="1" si="136"/>
        <v>46236</v>
      </c>
      <c r="AG213" s="225" t="b">
        <f t="shared" si="184"/>
        <v>1</v>
      </c>
      <c r="AH213" s="242"/>
      <c r="AK213" s="223">
        <f t="shared" si="185"/>
        <v>0</v>
      </c>
      <c r="AL213" s="223">
        <f t="shared" si="186"/>
        <v>1900</v>
      </c>
      <c r="AS213" s="223">
        <f t="shared" si="187"/>
        <v>0</v>
      </c>
      <c r="AT213" s="223">
        <f t="shared" si="188"/>
        <v>0</v>
      </c>
    </row>
    <row r="214" spans="2:46" ht="15.75" x14ac:dyDescent="0.25">
      <c r="B214" s="229" t="s">
        <v>748</v>
      </c>
      <c r="C214" s="245" t="s">
        <v>219</v>
      </c>
      <c r="D214" s="246">
        <v>430</v>
      </c>
      <c r="E214" s="232" t="s">
        <v>4</v>
      </c>
      <c r="F214" s="233">
        <v>3.02</v>
      </c>
      <c r="G214" s="234">
        <v>46127</v>
      </c>
      <c r="H214" s="235" t="s">
        <v>23</v>
      </c>
      <c r="I214" s="235"/>
      <c r="J214" s="236">
        <v>0.05</v>
      </c>
      <c r="K214" s="237">
        <f ca="1">ROUND(IF(ISERROR(OFFSET(Tabella!$A$1,MATCH(H214,Tabella!$A:$A,0)-1,MATCH(J214,Tabella!$A$1:$AC$1,0)-1)=TRUE),0,+OFFSET(Tabella!$A$1,MATCH(H214,Tabella!$A:$A,0)-1,MATCH(J214,Tabella!$A$1:$AC$1,0)-1)),4)</f>
        <v>0</v>
      </c>
      <c r="L214" s="238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238">
        <f ca="1">ROUND(IF(ISERROR(OFFSET(Rame!$A$1,MATCH(H214,Rame!$A:$A,0)-1,MATCH(J214,Rame!$A$1:$AA$1,0)-1)=TRUE),0,OFFSET(Rame!$A$1,MATCH(H214,Rame!$A:$A,0)-1,MATCH(J214,Rame!$A$1:$AA$1,0)-1))*IF(E214="Rame",1,0),4)</f>
        <v>0</v>
      </c>
      <c r="N214" s="238">
        <v>0</v>
      </c>
      <c r="O214" s="238">
        <v>1.73</v>
      </c>
      <c r="P214" s="238">
        <f ca="1">ROUND(+IF(ISERROR(OFFSET(Tabella!$G$1,MATCH(H214,Tabella!$G:$G,0)-1,MATCH(I214,Tabella!$G$1:$FG$1,0)-1)=TRUE),0,OFFSET(Tabella!$G$1,MATCH(H214,Tabella!$G:$G,0)-1,MATCH(I214,Tabella!$G$1:$AB$1,0)-1)),4)</f>
        <v>0</v>
      </c>
      <c r="Q214" s="238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238">
        <f ca="1">ROUND(IF(ISERROR(OFFSET(Rame!$F$1,MATCH(H214,Rame!$F:$F,0)-1,MATCH(I214,Rame!$F$1:$FF$1,0)-1)=TRUE),0,OFFSET(Rame!$F$1,MATCH(H214,Rame!$F:$F,0)-1,MATCH(I214,Rame!$F$1:$FF$1,0)-1))*IF(E214="Rame",1,0),4)</f>
        <v>0</v>
      </c>
      <c r="S214" s="238">
        <f ca="1">ROUND(IF(ISERROR(OFFSET(Bronzo!$A$1,MATCH(H214,Bronzo!$A:$A,0)-1,MATCH(I214,Bronzo!$A$1:$AA$1,0)-1)=TRUE),0,OFFSET(Bronzo!$A$1,MATCH(H214,Bronzo!$A:$A,0)-1,MATCH(I214,Bronzo!$A$1:$AA$1,0)-1)),4)</f>
        <v>0</v>
      </c>
      <c r="T214" s="238">
        <f t="shared" ca="1" si="164"/>
        <v>0</v>
      </c>
      <c r="U214" s="237"/>
      <c r="V214" s="238">
        <v>0</v>
      </c>
      <c r="W214" s="239">
        <f t="shared" ca="1" si="165"/>
        <v>1.73</v>
      </c>
      <c r="X214" s="423">
        <f t="shared" si="189"/>
        <v>21.5</v>
      </c>
      <c r="Y214" s="236">
        <v>4.7</v>
      </c>
      <c r="Z214" s="236">
        <f t="shared" ca="1" si="166"/>
        <v>-0.05</v>
      </c>
      <c r="AA214" s="241"/>
      <c r="AF214" s="225">
        <f t="shared" ca="1" si="136"/>
        <v>46236</v>
      </c>
      <c r="AG214" s="225" t="b">
        <f t="shared" si="184"/>
        <v>1</v>
      </c>
      <c r="AH214" s="242"/>
      <c r="AK214" s="223">
        <f t="shared" si="185"/>
        <v>0</v>
      </c>
      <c r="AL214" s="223">
        <f t="shared" si="186"/>
        <v>1900</v>
      </c>
      <c r="AS214" s="223">
        <f t="shared" si="187"/>
        <v>0</v>
      </c>
      <c r="AT214" s="223">
        <f t="shared" si="188"/>
        <v>0</v>
      </c>
    </row>
    <row r="215" spans="2:46" ht="15.75" x14ac:dyDescent="0.25">
      <c r="B215" s="229" t="s">
        <v>683</v>
      </c>
      <c r="C215" s="245" t="s">
        <v>219</v>
      </c>
      <c r="D215" s="246">
        <v>1136</v>
      </c>
      <c r="E215" s="232" t="s">
        <v>4</v>
      </c>
      <c r="F215" s="233">
        <v>3.02</v>
      </c>
      <c r="G215" s="234">
        <v>46127</v>
      </c>
      <c r="H215" s="235" t="s">
        <v>25</v>
      </c>
      <c r="I215" s="235"/>
      <c r="J215" s="236">
        <v>0.05</v>
      </c>
      <c r="K215" s="237">
        <f ca="1">ROUND(IF(ISERROR(OFFSET(Tabella!$A$1,MATCH(H215,Tabella!$A:$A,0)-1,MATCH(J215,Tabella!$A$1:$AC$1,0)-1)=TRUE),0,+OFFSET(Tabella!$A$1,MATCH(H215,Tabella!$A:$A,0)-1,MATCH(J215,Tabella!$A$1:$AC$1,0)-1)),4)</f>
        <v>0</v>
      </c>
      <c r="L215" s="238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238">
        <f ca="1">ROUND(IF(ISERROR(OFFSET(Rame!$A$1,MATCH(H215,Rame!$A:$A,0)-1,MATCH(J215,Rame!$A$1:$AA$1,0)-1)=TRUE),0,OFFSET(Rame!$A$1,MATCH(H215,Rame!$A:$A,0)-1,MATCH(J215,Rame!$A$1:$AA$1,0)-1))*IF(E215="Rame",1,0),4)</f>
        <v>0</v>
      </c>
      <c r="N215" s="238">
        <v>0</v>
      </c>
      <c r="O215" s="238">
        <v>1.73</v>
      </c>
      <c r="P215" s="238">
        <f ca="1">ROUND(+IF(ISERROR(OFFSET(Tabella!$G$1,MATCH(H215,Tabella!$G:$G,0)-1,MATCH(I215,Tabella!$G$1:$FG$1,0)-1)=TRUE),0,OFFSET(Tabella!$G$1,MATCH(H215,Tabella!$G:$G,0)-1,MATCH(I215,Tabella!$G$1:$AB$1,0)-1)),4)</f>
        <v>0</v>
      </c>
      <c r="Q215" s="238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238">
        <f ca="1">ROUND(IF(ISERROR(OFFSET(Rame!$F$1,MATCH(H215,Rame!$F:$F,0)-1,MATCH(I215,Rame!$F$1:$FF$1,0)-1)=TRUE),0,OFFSET(Rame!$F$1,MATCH(H215,Rame!$F:$F,0)-1,MATCH(I215,Rame!$F$1:$FF$1,0)-1))*IF(E215="Rame",1,0),4)</f>
        <v>0</v>
      </c>
      <c r="S215" s="238">
        <f ca="1">ROUND(IF(ISERROR(OFFSET(Bronzo!$A$1,MATCH(H215,Bronzo!$A:$A,0)-1,MATCH(I215,Bronzo!$A$1:$AA$1,0)-1)=TRUE),0,OFFSET(Bronzo!$A$1,MATCH(H215,Bronzo!$A:$A,0)-1,MATCH(I215,Bronzo!$A$1:$AA$1,0)-1)),4)</f>
        <v>0</v>
      </c>
      <c r="T215" s="238">
        <f t="shared" ca="1" si="164"/>
        <v>0</v>
      </c>
      <c r="U215" s="237"/>
      <c r="V215" s="238">
        <v>0</v>
      </c>
      <c r="W215" s="239">
        <f t="shared" ca="1" si="165"/>
        <v>1.73</v>
      </c>
      <c r="X215" s="423">
        <f t="shared" si="189"/>
        <v>56.8</v>
      </c>
      <c r="Y215" s="236">
        <v>4.7</v>
      </c>
      <c r="Z215" s="236">
        <f t="shared" ca="1" si="166"/>
        <v>-0.05</v>
      </c>
      <c r="AA215" s="241"/>
      <c r="AF215" s="225">
        <f t="shared" ca="1" si="136"/>
        <v>46236</v>
      </c>
      <c r="AG215" s="225" t="b">
        <f t="shared" si="184"/>
        <v>1</v>
      </c>
      <c r="AH215" s="242"/>
      <c r="AK215" s="223">
        <f t="shared" si="185"/>
        <v>0</v>
      </c>
      <c r="AL215" s="223">
        <f t="shared" si="186"/>
        <v>1900</v>
      </c>
      <c r="AS215" s="223">
        <f t="shared" si="187"/>
        <v>0</v>
      </c>
      <c r="AT215" s="223">
        <f t="shared" si="188"/>
        <v>0</v>
      </c>
    </row>
    <row r="216" spans="2:46" ht="15.75" x14ac:dyDescent="0.25">
      <c r="B216" s="229" t="s">
        <v>497</v>
      </c>
      <c r="C216" s="235" t="s">
        <v>219</v>
      </c>
      <c r="D216" s="243">
        <v>500</v>
      </c>
      <c r="E216" s="232" t="s">
        <v>4</v>
      </c>
      <c r="F216" s="233">
        <v>3.02</v>
      </c>
      <c r="G216" s="234">
        <v>46127</v>
      </c>
      <c r="H216" s="235" t="s">
        <v>25</v>
      </c>
      <c r="I216" s="235"/>
      <c r="J216" s="236">
        <v>0.05</v>
      </c>
      <c r="K216" s="237">
        <f ca="1">ROUND(IF(ISERROR(OFFSET(Tabella!$A$1,MATCH(H216,Tabella!$A:$A,0)-1,MATCH(J216,Tabella!$A$1:$AC$1,0)-1)=TRUE),0,+OFFSET(Tabella!$A$1,MATCH(H216,Tabella!$A:$A,0)-1,MATCH(J216,Tabella!$A$1:$AC$1,0)-1)),4)</f>
        <v>0</v>
      </c>
      <c r="L216" s="238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238">
        <f ca="1">ROUND(IF(ISERROR(OFFSET(Rame!$A$1,MATCH(H216,Rame!$A:$A,0)-1,MATCH(J216,Rame!$A$1:$AA$1,0)-1)=TRUE),0,OFFSET(Rame!$A$1,MATCH(H216,Rame!$A:$A,0)-1,MATCH(J216,Rame!$A$1:$AA$1,0)-1))*IF(E216="Rame",1,0),4)</f>
        <v>0</v>
      </c>
      <c r="N216" s="238">
        <v>0</v>
      </c>
      <c r="O216" s="238">
        <v>1.73</v>
      </c>
      <c r="P216" s="238">
        <f ca="1">ROUND(+IF(ISERROR(OFFSET(Tabella!$G$1,MATCH(H216,Tabella!$G:$G,0)-1,MATCH(I216,Tabella!$G$1:$FG$1,0)-1)=TRUE),0,OFFSET(Tabella!$G$1,MATCH(H216,Tabella!$G:$G,0)-1,MATCH(I216,Tabella!$G$1:$AB$1,0)-1)),4)</f>
        <v>0</v>
      </c>
      <c r="Q216" s="238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238">
        <f ca="1">ROUND(IF(ISERROR(OFFSET(Rame!$F$1,MATCH(H216,Rame!$F:$F,0)-1,MATCH(I216,Rame!$F$1:$FF$1,0)-1)=TRUE),0,OFFSET(Rame!$F$1,MATCH(H216,Rame!$F:$F,0)-1,MATCH(I216,Rame!$F$1:$FF$1,0)-1))*IF(E216="Rame",1,0),4)</f>
        <v>0</v>
      </c>
      <c r="S216" s="238">
        <f ca="1">ROUND(IF(ISERROR(OFFSET(Bronzo!$A$1,MATCH(H216,Bronzo!$A:$A,0)-1,MATCH(I216,Bronzo!$A$1:$AA$1,0)-1)=TRUE),0,OFFSET(Bronzo!$A$1,MATCH(H216,Bronzo!$A:$A,0)-1,MATCH(I216,Bronzo!$A$1:$AA$1,0)-1)),4)</f>
        <v>0</v>
      </c>
      <c r="T216" s="238">
        <f t="shared" ca="1" si="164"/>
        <v>0</v>
      </c>
      <c r="U216" s="237"/>
      <c r="V216" s="238">
        <v>0</v>
      </c>
      <c r="W216" s="239">
        <f t="shared" ca="1" si="165"/>
        <v>1.73</v>
      </c>
      <c r="X216" s="240">
        <f t="shared" si="189"/>
        <v>25</v>
      </c>
      <c r="Y216" s="236">
        <v>4.7</v>
      </c>
      <c r="Z216" s="236">
        <f t="shared" ca="1" si="166"/>
        <v>-0.05</v>
      </c>
      <c r="AA216" s="241">
        <v>46162</v>
      </c>
      <c r="AF216" s="225">
        <f t="shared" ca="1" si="136"/>
        <v>46236</v>
      </c>
      <c r="AG216" s="225" t="b">
        <f t="shared" si="184"/>
        <v>0</v>
      </c>
      <c r="AH216" s="242"/>
      <c r="AK216" s="223">
        <f t="shared" si="185"/>
        <v>21</v>
      </c>
      <c r="AL216" s="223">
        <f t="shared" si="186"/>
        <v>2026</v>
      </c>
      <c r="AS216" s="223">
        <f t="shared" si="187"/>
        <v>5</v>
      </c>
      <c r="AT216" s="223">
        <f t="shared" si="188"/>
        <v>2026</v>
      </c>
    </row>
    <row r="217" spans="2:46" ht="15.75" x14ac:dyDescent="0.25">
      <c r="B217" s="229" t="s">
        <v>586</v>
      </c>
      <c r="C217" s="245" t="s">
        <v>208</v>
      </c>
      <c r="D217" s="246">
        <v>325</v>
      </c>
      <c r="E217" s="232" t="s">
        <v>4</v>
      </c>
      <c r="F217" s="233">
        <v>2.91</v>
      </c>
      <c r="G217" s="234">
        <v>46091</v>
      </c>
      <c r="H217" s="235" t="s">
        <v>15</v>
      </c>
      <c r="I217" s="235"/>
      <c r="J217" s="236">
        <v>7.0000000000000007E-2</v>
      </c>
      <c r="K217" s="237">
        <f ca="1">ROUND(IF(ISERROR(OFFSET(Tabella!$A$1,MATCH(H217,Tabella!$A:$A,0)-1,MATCH(J217,Tabella!$A$1:$AC$1,0)-1)=TRUE),0,+OFFSET(Tabella!$A$1,MATCH(H217,Tabella!$A:$A,0)-1,MATCH(J217,Tabella!$A$1:$AC$1,0)-1)),4)</f>
        <v>1.4</v>
      </c>
      <c r="L217" s="238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238">
        <f ca="1">ROUND(IF(ISERROR(OFFSET(Rame!$A$1,MATCH(H217,Rame!$A:$A,0)-1,MATCH(J217,Rame!$A$1:$AA$1,0)-1)=TRUE),0,OFFSET(Rame!$A$1,MATCH(H217,Rame!$A:$A,0)-1,MATCH(J217,Rame!$A$1:$AA$1,0)-1))*IF(E217="Rame",1,0),4)</f>
        <v>0</v>
      </c>
      <c r="N217" s="238">
        <v>0</v>
      </c>
      <c r="O217" s="238">
        <v>1.65</v>
      </c>
      <c r="P217" s="238">
        <f ca="1">ROUND(+IF(ISERROR(OFFSET(Tabella!$G$1,MATCH(H217,Tabella!$G:$G,0)-1,MATCH(I217,Tabella!$G$1:$FG$1,0)-1)=TRUE),0,OFFSET(Tabella!$G$1,MATCH(H217,Tabella!$G:$G,0)-1,MATCH(I217,Tabella!$G$1:$AB$1,0)-1)),4)</f>
        <v>0</v>
      </c>
      <c r="Q217" s="238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238">
        <f ca="1">ROUND(IF(ISERROR(OFFSET(Rame!$F$1,MATCH(H217,Rame!$F:$F,0)-1,MATCH(I217,Rame!$F$1:$FF$1,0)-1)=TRUE),0,OFFSET(Rame!$F$1,MATCH(H217,Rame!$F:$F,0)-1,MATCH(I217,Rame!$F$1:$FF$1,0)-1))*IF(E217="Rame",1,0),4)</f>
        <v>0</v>
      </c>
      <c r="S217" s="238">
        <f ca="1">ROUND(IF(ISERROR(OFFSET(Bronzo!$A$1,MATCH(H217,Bronzo!$A:$A,0)-1,MATCH(I217,Bronzo!$A$1:$AA$1,0)-1)=TRUE),0,OFFSET(Bronzo!$A$1,MATCH(H217,Bronzo!$A:$A,0)-1,MATCH(I217,Bronzo!$A$1:$AA$1,0)-1)),4)</f>
        <v>0</v>
      </c>
      <c r="T217" s="238">
        <f t="shared" ref="T217:T282" ca="1" si="190">ROUND(SUM(P217:S217),4)</f>
        <v>0</v>
      </c>
      <c r="U217" s="237"/>
      <c r="V217" s="238">
        <v>0</v>
      </c>
      <c r="W217" s="239">
        <f t="shared" ref="W217:W282" ca="1" si="191">ROUND(+O217+T217+U217+V217,4)</f>
        <v>1.65</v>
      </c>
      <c r="X217" s="423">
        <f t="shared" si="189"/>
        <v>22.75</v>
      </c>
      <c r="Y217" s="236">
        <v>4.45</v>
      </c>
      <c r="Z217" s="236">
        <f t="shared" ref="Z217:Z282" ca="1" si="192">ROUND(+Y217-W217-F217,4)</f>
        <v>-0.11</v>
      </c>
      <c r="AA217" s="241"/>
      <c r="AF217" s="225">
        <f t="shared" ca="1" si="136"/>
        <v>46236</v>
      </c>
      <c r="AG217" s="225" t="b">
        <f t="shared" si="184"/>
        <v>1</v>
      </c>
      <c r="AH217" s="242"/>
      <c r="AK217" s="223">
        <f t="shared" si="185"/>
        <v>0</v>
      </c>
      <c r="AL217" s="223">
        <f t="shared" si="186"/>
        <v>1900</v>
      </c>
      <c r="AS217" s="223">
        <f t="shared" si="187"/>
        <v>0</v>
      </c>
      <c r="AT217" s="223">
        <f t="shared" si="188"/>
        <v>0</v>
      </c>
    </row>
    <row r="218" spans="2:46" ht="15.75" x14ac:dyDescent="0.25">
      <c r="B218" s="229" t="s">
        <v>586</v>
      </c>
      <c r="C218" s="245" t="s">
        <v>208</v>
      </c>
      <c r="D218" s="246">
        <v>372</v>
      </c>
      <c r="E218" s="232" t="s">
        <v>4</v>
      </c>
      <c r="F218" s="233">
        <v>2.91</v>
      </c>
      <c r="G218" s="234">
        <v>46091</v>
      </c>
      <c r="H218" s="235" t="s">
        <v>13</v>
      </c>
      <c r="I218" s="235"/>
      <c r="J218" s="236">
        <v>7.0000000000000007E-2</v>
      </c>
      <c r="K218" s="237">
        <f ca="1">ROUND(IF(ISERROR(OFFSET(Tabella!$A$1,MATCH(H218,Tabella!$A:$A,0)-1,MATCH(J218,Tabella!$A$1:$AC$1,0)-1)=TRUE),0,+OFFSET(Tabella!$A$1,MATCH(H218,Tabella!$A:$A,0)-1,MATCH(J218,Tabella!$A$1:$AC$1,0)-1)),4)</f>
        <v>1.4</v>
      </c>
      <c r="L218" s="238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238">
        <f ca="1">ROUND(IF(ISERROR(OFFSET(Rame!$A$1,MATCH(H218,Rame!$A:$A,0)-1,MATCH(J218,Rame!$A$1:$AA$1,0)-1)=TRUE),0,OFFSET(Rame!$A$1,MATCH(H218,Rame!$A:$A,0)-1,MATCH(J218,Rame!$A$1:$AA$1,0)-1))*IF(E218="Rame",1,0),4)</f>
        <v>0</v>
      </c>
      <c r="N218" s="238">
        <v>0</v>
      </c>
      <c r="O218" s="238">
        <v>1.65</v>
      </c>
      <c r="P218" s="238">
        <f ca="1">ROUND(+IF(ISERROR(OFFSET(Tabella!$G$1,MATCH(H218,Tabella!$G:$G,0)-1,MATCH(I218,Tabella!$G$1:$FG$1,0)-1)=TRUE),0,OFFSET(Tabella!$G$1,MATCH(H218,Tabella!$G:$G,0)-1,MATCH(I218,Tabella!$G$1:$AB$1,0)-1)),4)</f>
        <v>0</v>
      </c>
      <c r="Q218" s="238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238">
        <f ca="1">ROUND(IF(ISERROR(OFFSET(Rame!$F$1,MATCH(H218,Rame!$F:$F,0)-1,MATCH(I218,Rame!$F$1:$FF$1,0)-1)=TRUE),0,OFFSET(Rame!$F$1,MATCH(H218,Rame!$F:$F,0)-1,MATCH(I218,Rame!$F$1:$FF$1,0)-1))*IF(E218="Rame",1,0),4)</f>
        <v>0</v>
      </c>
      <c r="S218" s="238">
        <f ca="1">ROUND(IF(ISERROR(OFFSET(Bronzo!$A$1,MATCH(H218,Bronzo!$A:$A,0)-1,MATCH(I218,Bronzo!$A$1:$AA$1,0)-1)=TRUE),0,OFFSET(Bronzo!$A$1,MATCH(H218,Bronzo!$A:$A,0)-1,MATCH(I218,Bronzo!$A$1:$AA$1,0)-1)),4)</f>
        <v>0</v>
      </c>
      <c r="T218" s="238">
        <f t="shared" ca="1" si="190"/>
        <v>0</v>
      </c>
      <c r="U218" s="237"/>
      <c r="V218" s="238">
        <v>0</v>
      </c>
      <c r="W218" s="239">
        <f t="shared" ca="1" si="191"/>
        <v>1.65</v>
      </c>
      <c r="X218" s="423">
        <f t="shared" si="189"/>
        <v>26.04</v>
      </c>
      <c r="Y218" s="236">
        <v>4.45</v>
      </c>
      <c r="Z218" s="236">
        <f t="shared" ca="1" si="192"/>
        <v>-0.11</v>
      </c>
      <c r="AA218" s="241"/>
      <c r="AF218" s="225">
        <f t="shared" ca="1" si="136"/>
        <v>46236</v>
      </c>
      <c r="AG218" s="225" t="b">
        <f t="shared" si="184"/>
        <v>1</v>
      </c>
      <c r="AH218" s="242"/>
      <c r="AK218" s="223">
        <f t="shared" si="185"/>
        <v>0</v>
      </c>
      <c r="AL218" s="223">
        <f t="shared" si="186"/>
        <v>1900</v>
      </c>
      <c r="AS218" s="223">
        <f t="shared" si="187"/>
        <v>0</v>
      </c>
      <c r="AT218" s="223">
        <f t="shared" si="188"/>
        <v>0</v>
      </c>
    </row>
    <row r="219" spans="2:46" ht="15.75" x14ac:dyDescent="0.25">
      <c r="B219" s="229" t="s">
        <v>499</v>
      </c>
      <c r="C219" s="235" t="s">
        <v>208</v>
      </c>
      <c r="D219" s="243">
        <v>500</v>
      </c>
      <c r="E219" s="232" t="s">
        <v>4</v>
      </c>
      <c r="F219" s="233">
        <v>2.91</v>
      </c>
      <c r="G219" s="234">
        <v>46091</v>
      </c>
      <c r="H219" s="235" t="s">
        <v>243</v>
      </c>
      <c r="I219" s="235"/>
      <c r="J219" s="236">
        <v>7.0000000000000007E-2</v>
      </c>
      <c r="K219" s="237">
        <f ca="1">ROUND(IF(ISERROR(OFFSET(Tabella!$A$1,MATCH(H219,Tabella!$A:$A,0)-1,MATCH(J219,Tabella!$A$1:$AC$1,0)-1)=TRUE),0,+OFFSET(Tabella!$A$1,MATCH(H219,Tabella!$A:$A,0)-1,MATCH(J219,Tabella!$A$1:$AC$1,0)-1)),4)</f>
        <v>1.4</v>
      </c>
      <c r="L219" s="238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238">
        <f ca="1">ROUND(IF(ISERROR(OFFSET(Rame!$A$1,MATCH(H219,Rame!$A:$A,0)-1,MATCH(J219,Rame!$A$1:$AA$1,0)-1)=TRUE),0,OFFSET(Rame!$A$1,MATCH(H219,Rame!$A:$A,0)-1,MATCH(J219,Rame!$A$1:$AA$1,0)-1))*IF(E219="Rame",1,0),4)</f>
        <v>0</v>
      </c>
      <c r="N219" s="238">
        <v>0</v>
      </c>
      <c r="O219" s="238">
        <v>1.6</v>
      </c>
      <c r="P219" s="238">
        <f ca="1">ROUND(+IF(ISERROR(OFFSET(Tabella!$G$1,MATCH(H219,Tabella!$G:$G,0)-1,MATCH(I219,Tabella!$G$1:$FG$1,0)-1)=TRUE),0,OFFSET(Tabella!$G$1,MATCH(H219,Tabella!$G:$G,0)-1,MATCH(I219,Tabella!$G$1:$AB$1,0)-1)),4)</f>
        <v>0</v>
      </c>
      <c r="Q219" s="238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238">
        <f ca="1">ROUND(IF(ISERROR(OFFSET(Rame!$F$1,MATCH(H219,Rame!$F:$F,0)-1,MATCH(I219,Rame!$F$1:$FF$1,0)-1)=TRUE),0,OFFSET(Rame!$F$1,MATCH(H219,Rame!$F:$F,0)-1,MATCH(I219,Rame!$F$1:$FF$1,0)-1))*IF(E219="Rame",1,0),4)</f>
        <v>0</v>
      </c>
      <c r="S219" s="238">
        <f ca="1">ROUND(IF(ISERROR(OFFSET(Bronzo!$A$1,MATCH(H219,Bronzo!$A:$A,0)-1,MATCH(I219,Bronzo!$A$1:$AA$1,0)-1)=TRUE),0,OFFSET(Bronzo!$A$1,MATCH(H219,Bronzo!$A:$A,0)-1,MATCH(I219,Bronzo!$A$1:$AA$1,0)-1)),4)</f>
        <v>0</v>
      </c>
      <c r="T219" s="238">
        <f t="shared" ca="1" si="190"/>
        <v>0</v>
      </c>
      <c r="U219" s="237"/>
      <c r="V219" s="238">
        <v>0</v>
      </c>
      <c r="W219" s="239">
        <f t="shared" ca="1" si="191"/>
        <v>1.6</v>
      </c>
      <c r="X219" s="240">
        <f t="shared" si="189"/>
        <v>35</v>
      </c>
      <c r="Y219" s="236">
        <v>4.4000000000000004</v>
      </c>
      <c r="Z219" s="236">
        <f t="shared" ca="1" si="192"/>
        <v>-0.11</v>
      </c>
      <c r="AA219" s="241">
        <v>46153</v>
      </c>
      <c r="AF219" s="225">
        <f t="shared" ca="1" si="136"/>
        <v>46236</v>
      </c>
      <c r="AG219" s="225" t="b">
        <f t="shared" si="184"/>
        <v>0</v>
      </c>
      <c r="AH219" s="242"/>
      <c r="AK219" s="223">
        <f t="shared" si="185"/>
        <v>20</v>
      </c>
      <c r="AL219" s="223">
        <f t="shared" si="186"/>
        <v>2026</v>
      </c>
      <c r="AS219" s="223">
        <f t="shared" si="187"/>
        <v>5</v>
      </c>
      <c r="AT219" s="223">
        <f t="shared" si="188"/>
        <v>2026</v>
      </c>
    </row>
    <row r="220" spans="2:46" ht="15.75" x14ac:dyDescent="0.25">
      <c r="B220" s="229" t="s">
        <v>499</v>
      </c>
      <c r="C220" s="235" t="s">
        <v>208</v>
      </c>
      <c r="D220" s="243">
        <v>500</v>
      </c>
      <c r="E220" s="232" t="s">
        <v>4</v>
      </c>
      <c r="F220" s="233">
        <v>2.91</v>
      </c>
      <c r="G220" s="234">
        <v>46091</v>
      </c>
      <c r="H220" s="235" t="s">
        <v>13</v>
      </c>
      <c r="I220" s="235"/>
      <c r="J220" s="236">
        <v>7.0000000000000007E-2</v>
      </c>
      <c r="K220" s="237">
        <f ca="1">ROUND(IF(ISERROR(OFFSET(Tabella!$A$1,MATCH(H220,Tabella!$A:$A,0)-1,MATCH(J220,Tabella!$A$1:$AC$1,0)-1)=TRUE),0,+OFFSET(Tabella!$A$1,MATCH(H220,Tabella!$A:$A,0)-1,MATCH(J220,Tabella!$A$1:$AC$1,0)-1)),4)</f>
        <v>1.4</v>
      </c>
      <c r="L220" s="238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238">
        <f ca="1">ROUND(IF(ISERROR(OFFSET(Rame!$A$1,MATCH(H220,Rame!$A:$A,0)-1,MATCH(J220,Rame!$A$1:$AA$1,0)-1)=TRUE),0,OFFSET(Rame!$A$1,MATCH(H220,Rame!$A:$A,0)-1,MATCH(J220,Rame!$A$1:$AA$1,0)-1))*IF(E220="Rame",1,0),4)</f>
        <v>0</v>
      </c>
      <c r="N220" s="238">
        <v>0</v>
      </c>
      <c r="O220" s="238">
        <v>1.65</v>
      </c>
      <c r="P220" s="238">
        <f ca="1">ROUND(+IF(ISERROR(OFFSET(Tabella!$G$1,MATCH(H220,Tabella!$G:$G,0)-1,MATCH(I220,Tabella!$G$1:$FG$1,0)-1)=TRUE),0,OFFSET(Tabella!$G$1,MATCH(H220,Tabella!$G:$G,0)-1,MATCH(I220,Tabella!$G$1:$AB$1,0)-1)),4)</f>
        <v>0</v>
      </c>
      <c r="Q220" s="238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238">
        <f ca="1">ROUND(IF(ISERROR(OFFSET(Rame!$F$1,MATCH(H220,Rame!$F:$F,0)-1,MATCH(I220,Rame!$F$1:$FF$1,0)-1)=TRUE),0,OFFSET(Rame!$F$1,MATCH(H220,Rame!$F:$F,0)-1,MATCH(I220,Rame!$F$1:$FF$1,0)-1))*IF(E220="Rame",1,0),4)</f>
        <v>0</v>
      </c>
      <c r="S220" s="238">
        <f ca="1">ROUND(IF(ISERROR(OFFSET(Bronzo!$A$1,MATCH(H220,Bronzo!$A:$A,0)-1,MATCH(I220,Bronzo!$A$1:$AA$1,0)-1)=TRUE),0,OFFSET(Bronzo!$A$1,MATCH(H220,Bronzo!$A:$A,0)-1,MATCH(I220,Bronzo!$A$1:$AA$1,0)-1)),4)</f>
        <v>0</v>
      </c>
      <c r="T220" s="238">
        <f t="shared" ca="1" si="190"/>
        <v>0</v>
      </c>
      <c r="U220" s="237"/>
      <c r="V220" s="238">
        <v>0</v>
      </c>
      <c r="W220" s="239">
        <f t="shared" ca="1" si="191"/>
        <v>1.65</v>
      </c>
      <c r="X220" s="240">
        <f t="shared" si="189"/>
        <v>35</v>
      </c>
      <c r="Y220" s="236">
        <v>4.45</v>
      </c>
      <c r="Z220" s="236">
        <f t="shared" ca="1" si="192"/>
        <v>-0.11</v>
      </c>
      <c r="AA220" s="241">
        <v>46153</v>
      </c>
      <c r="AF220" s="225">
        <f t="shared" ca="1" si="136"/>
        <v>46236</v>
      </c>
      <c r="AG220" s="225" t="b">
        <f t="shared" si="184"/>
        <v>0</v>
      </c>
      <c r="AH220" s="242"/>
      <c r="AK220" s="223">
        <f t="shared" si="185"/>
        <v>20</v>
      </c>
      <c r="AL220" s="223">
        <f t="shared" si="186"/>
        <v>2026</v>
      </c>
      <c r="AS220" s="223">
        <f t="shared" si="187"/>
        <v>5</v>
      </c>
      <c r="AT220" s="223">
        <f t="shared" si="188"/>
        <v>2026</v>
      </c>
    </row>
    <row r="221" spans="2:46" ht="15.75" x14ac:dyDescent="0.25">
      <c r="B221" s="229" t="s">
        <v>586</v>
      </c>
      <c r="C221" s="245" t="s">
        <v>208</v>
      </c>
      <c r="D221" s="246">
        <v>614</v>
      </c>
      <c r="E221" s="232" t="s">
        <v>4</v>
      </c>
      <c r="F221" s="233">
        <v>2.91</v>
      </c>
      <c r="G221" s="234">
        <v>46091</v>
      </c>
      <c r="H221" s="235" t="s">
        <v>15</v>
      </c>
      <c r="I221" s="235"/>
      <c r="J221" s="236">
        <v>7.0000000000000007E-2</v>
      </c>
      <c r="K221" s="237">
        <f ca="1">ROUND(IF(ISERROR(OFFSET(Tabella!$A$1,MATCH(H221,Tabella!$A:$A,0)-1,MATCH(J221,Tabella!$A$1:$AC$1,0)-1)=TRUE),0,+OFFSET(Tabella!$A$1,MATCH(H221,Tabella!$A:$A,0)-1,MATCH(J221,Tabella!$A$1:$AC$1,0)-1)),4)</f>
        <v>1.4</v>
      </c>
      <c r="L221" s="238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238">
        <f ca="1">ROUND(IF(ISERROR(OFFSET(Rame!$A$1,MATCH(H221,Rame!$A:$A,0)-1,MATCH(J221,Rame!$A$1:$AA$1,0)-1)=TRUE),0,OFFSET(Rame!$A$1,MATCH(H221,Rame!$A:$A,0)-1,MATCH(J221,Rame!$A$1:$AA$1,0)-1))*IF(E221="Rame",1,0),4)</f>
        <v>0</v>
      </c>
      <c r="N221" s="238">
        <v>0</v>
      </c>
      <c r="O221" s="238">
        <v>1.65</v>
      </c>
      <c r="P221" s="238">
        <f ca="1">ROUND(+IF(ISERROR(OFFSET(Tabella!$G$1,MATCH(H221,Tabella!$G:$G,0)-1,MATCH(I221,Tabella!$G$1:$FG$1,0)-1)=TRUE),0,OFFSET(Tabella!$G$1,MATCH(H221,Tabella!$G:$G,0)-1,MATCH(I221,Tabella!$G$1:$AB$1,0)-1)),4)</f>
        <v>0</v>
      </c>
      <c r="Q221" s="238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238">
        <f ca="1">ROUND(IF(ISERROR(OFFSET(Rame!$F$1,MATCH(H221,Rame!$F:$F,0)-1,MATCH(I221,Rame!$F$1:$FF$1,0)-1)=TRUE),0,OFFSET(Rame!$F$1,MATCH(H221,Rame!$F:$F,0)-1,MATCH(I221,Rame!$F$1:$FF$1,0)-1))*IF(E221="Rame",1,0),4)</f>
        <v>0</v>
      </c>
      <c r="S221" s="238">
        <f ca="1">ROUND(IF(ISERROR(OFFSET(Bronzo!$A$1,MATCH(H221,Bronzo!$A:$A,0)-1,MATCH(I221,Bronzo!$A$1:$AA$1,0)-1)=TRUE),0,OFFSET(Bronzo!$A$1,MATCH(H221,Bronzo!$A:$A,0)-1,MATCH(I221,Bronzo!$A$1:$AA$1,0)-1)),4)</f>
        <v>0</v>
      </c>
      <c r="T221" s="238">
        <f t="shared" ca="1" si="190"/>
        <v>0</v>
      </c>
      <c r="U221" s="237"/>
      <c r="V221" s="238">
        <v>0</v>
      </c>
      <c r="W221" s="239">
        <f t="shared" ca="1" si="191"/>
        <v>1.65</v>
      </c>
      <c r="X221" s="423">
        <f t="shared" si="189"/>
        <v>42.98</v>
      </c>
      <c r="Y221" s="236">
        <v>4.45</v>
      </c>
      <c r="Z221" s="236">
        <f t="shared" ca="1" si="192"/>
        <v>-0.11</v>
      </c>
      <c r="AA221" s="241"/>
      <c r="AF221" s="225">
        <f t="shared" ca="1" si="136"/>
        <v>46236</v>
      </c>
      <c r="AG221" s="225" t="b">
        <f t="shared" si="184"/>
        <v>1</v>
      </c>
      <c r="AH221" s="242"/>
      <c r="AK221" s="223">
        <f t="shared" si="185"/>
        <v>0</v>
      </c>
      <c r="AL221" s="223">
        <f t="shared" si="186"/>
        <v>1900</v>
      </c>
      <c r="AS221" s="223">
        <f t="shared" si="187"/>
        <v>0</v>
      </c>
      <c r="AT221" s="223">
        <f t="shared" si="188"/>
        <v>0</v>
      </c>
    </row>
    <row r="222" spans="2:46" ht="15.75" x14ac:dyDescent="0.25">
      <c r="B222" s="229" t="s">
        <v>499</v>
      </c>
      <c r="C222" s="235" t="s">
        <v>208</v>
      </c>
      <c r="D222" s="243">
        <v>500</v>
      </c>
      <c r="E222" s="232" t="s">
        <v>4</v>
      </c>
      <c r="F222" s="233">
        <v>2.91</v>
      </c>
      <c r="G222" s="234">
        <v>46091</v>
      </c>
      <c r="H222" s="235" t="s">
        <v>25</v>
      </c>
      <c r="I222" s="235"/>
      <c r="J222" s="236">
        <v>7.0000000000000007E-2</v>
      </c>
      <c r="K222" s="237">
        <f ca="1">ROUND(IF(ISERROR(OFFSET(Tabella!$A$1,MATCH(H222,Tabella!$A:$A,0)-1,MATCH(J222,Tabella!$A$1:$AC$1,0)-1)=TRUE),0,+OFFSET(Tabella!$A$1,MATCH(H222,Tabella!$A:$A,0)-1,MATCH(J222,Tabella!$A$1:$AC$1,0)-1)),4)</f>
        <v>1.25</v>
      </c>
      <c r="L222" s="238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238">
        <f ca="1">ROUND(IF(ISERROR(OFFSET(Rame!$A$1,MATCH(H222,Rame!$A:$A,0)-1,MATCH(J222,Rame!$A$1:$AA$1,0)-1)=TRUE),0,OFFSET(Rame!$A$1,MATCH(H222,Rame!$A:$A,0)-1,MATCH(J222,Rame!$A$1:$AA$1,0)-1))*IF(E222="Rame",1,0),4)</f>
        <v>0</v>
      </c>
      <c r="N222" s="238">
        <v>0</v>
      </c>
      <c r="O222" s="238">
        <v>1.5</v>
      </c>
      <c r="P222" s="238">
        <f ca="1">ROUND(+IF(ISERROR(OFFSET(Tabella!$G$1,MATCH(H222,Tabella!$G:$G,0)-1,MATCH(I222,Tabella!$G$1:$FG$1,0)-1)=TRUE),0,OFFSET(Tabella!$G$1,MATCH(H222,Tabella!$G:$G,0)-1,MATCH(I222,Tabella!$G$1:$AB$1,0)-1)),4)</f>
        <v>0</v>
      </c>
      <c r="Q222" s="238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238">
        <f ca="1">ROUND(IF(ISERROR(OFFSET(Rame!$F$1,MATCH(H222,Rame!$F:$F,0)-1,MATCH(I222,Rame!$F$1:$FF$1,0)-1)=TRUE),0,OFFSET(Rame!$F$1,MATCH(H222,Rame!$F:$F,0)-1,MATCH(I222,Rame!$F$1:$FF$1,0)-1))*IF(E222="Rame",1,0),4)</f>
        <v>0</v>
      </c>
      <c r="S222" s="238">
        <f ca="1">ROUND(IF(ISERROR(OFFSET(Bronzo!$A$1,MATCH(H222,Bronzo!$A:$A,0)-1,MATCH(I222,Bronzo!$A$1:$AA$1,0)-1)=TRUE),0,OFFSET(Bronzo!$A$1,MATCH(H222,Bronzo!$A:$A,0)-1,MATCH(I222,Bronzo!$A$1:$AA$1,0)-1)),4)</f>
        <v>0</v>
      </c>
      <c r="T222" s="238">
        <f t="shared" ca="1" si="190"/>
        <v>0</v>
      </c>
      <c r="U222" s="237"/>
      <c r="V222" s="238">
        <v>0</v>
      </c>
      <c r="W222" s="239">
        <f t="shared" ca="1" si="191"/>
        <v>1.5</v>
      </c>
      <c r="X222" s="240">
        <f t="shared" si="189"/>
        <v>35</v>
      </c>
      <c r="Y222" s="236">
        <v>4.3</v>
      </c>
      <c r="Z222" s="236">
        <f t="shared" ca="1" si="192"/>
        <v>-0.11</v>
      </c>
      <c r="AA222" s="241">
        <v>46178</v>
      </c>
      <c r="AF222" s="225">
        <f t="shared" ca="1" si="136"/>
        <v>46236</v>
      </c>
      <c r="AG222" s="225" t="b">
        <f t="shared" si="184"/>
        <v>0</v>
      </c>
      <c r="AH222" s="242"/>
      <c r="AK222" s="223">
        <f t="shared" si="185"/>
        <v>23</v>
      </c>
      <c r="AL222" s="223">
        <f t="shared" si="186"/>
        <v>2026</v>
      </c>
      <c r="AS222" s="223">
        <f t="shared" si="187"/>
        <v>6</v>
      </c>
      <c r="AT222" s="223">
        <f t="shared" si="188"/>
        <v>2026</v>
      </c>
    </row>
    <row r="223" spans="2:46" ht="15.75" x14ac:dyDescent="0.25">
      <c r="B223" s="229" t="s">
        <v>681</v>
      </c>
      <c r="C223" s="245" t="s">
        <v>208</v>
      </c>
      <c r="D223" s="246">
        <v>1144</v>
      </c>
      <c r="E223" s="232" t="s">
        <v>4</v>
      </c>
      <c r="F223" s="233">
        <v>2.91</v>
      </c>
      <c r="G223" s="234">
        <v>46091</v>
      </c>
      <c r="H223" s="235" t="s">
        <v>25</v>
      </c>
      <c r="I223" s="235"/>
      <c r="J223" s="236">
        <v>7.0000000000000007E-2</v>
      </c>
      <c r="K223" s="237">
        <f ca="1">ROUND(IF(ISERROR(OFFSET(Tabella!$A$1,MATCH(H223,Tabella!$A:$A,0)-1,MATCH(J223,Tabella!$A$1:$AC$1,0)-1)=TRUE),0,+OFFSET(Tabella!$A$1,MATCH(H223,Tabella!$A:$A,0)-1,MATCH(J223,Tabella!$A$1:$AC$1,0)-1)),4)</f>
        <v>1.25</v>
      </c>
      <c r="L223" s="238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238">
        <f ca="1">ROUND(IF(ISERROR(OFFSET(Rame!$A$1,MATCH(H223,Rame!$A:$A,0)-1,MATCH(J223,Rame!$A$1:$AA$1,0)-1)=TRUE),0,OFFSET(Rame!$A$1,MATCH(H223,Rame!$A:$A,0)-1,MATCH(J223,Rame!$A$1:$AA$1,0)-1))*IF(E223="Rame",1,0),4)</f>
        <v>0</v>
      </c>
      <c r="N223" s="238">
        <v>0</v>
      </c>
      <c r="O223" s="238">
        <v>1.5</v>
      </c>
      <c r="P223" s="238">
        <f ca="1">ROUND(+IF(ISERROR(OFFSET(Tabella!$G$1,MATCH(H223,Tabella!$G:$G,0)-1,MATCH(I223,Tabella!$G$1:$FG$1,0)-1)=TRUE),0,OFFSET(Tabella!$G$1,MATCH(H223,Tabella!$G:$G,0)-1,MATCH(I223,Tabella!$G$1:$AB$1,0)-1)),4)</f>
        <v>0</v>
      </c>
      <c r="Q223" s="238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238">
        <f ca="1">ROUND(IF(ISERROR(OFFSET(Rame!$F$1,MATCH(H223,Rame!$F:$F,0)-1,MATCH(I223,Rame!$F$1:$FF$1,0)-1)=TRUE),0,OFFSET(Rame!$F$1,MATCH(H223,Rame!$F:$F,0)-1,MATCH(I223,Rame!$F$1:$FF$1,0)-1))*IF(E223="Rame",1,0),4)</f>
        <v>0</v>
      </c>
      <c r="S223" s="238">
        <f ca="1">ROUND(IF(ISERROR(OFFSET(Bronzo!$A$1,MATCH(H223,Bronzo!$A:$A,0)-1,MATCH(I223,Bronzo!$A$1:$AA$1,0)-1)=TRUE),0,OFFSET(Bronzo!$A$1,MATCH(H223,Bronzo!$A:$A,0)-1,MATCH(I223,Bronzo!$A$1:$AA$1,0)-1)),4)</f>
        <v>0</v>
      </c>
      <c r="T223" s="238">
        <f t="shared" ca="1" si="190"/>
        <v>0</v>
      </c>
      <c r="U223" s="237"/>
      <c r="V223" s="238">
        <v>0</v>
      </c>
      <c r="W223" s="239">
        <f t="shared" ca="1" si="191"/>
        <v>1.5</v>
      </c>
      <c r="X223" s="423">
        <f t="shared" si="189"/>
        <v>80.08</v>
      </c>
      <c r="Y223" s="236">
        <v>4.3</v>
      </c>
      <c r="Z223" s="236">
        <f t="shared" ca="1" si="192"/>
        <v>-0.11</v>
      </c>
      <c r="AA223" s="241"/>
      <c r="AF223" s="225">
        <f t="shared" ca="1" si="136"/>
        <v>46236</v>
      </c>
      <c r="AG223" s="225" t="b">
        <f t="shared" si="184"/>
        <v>1</v>
      </c>
      <c r="AH223" s="242"/>
      <c r="AK223" s="223">
        <f t="shared" si="185"/>
        <v>0</v>
      </c>
      <c r="AL223" s="223">
        <f t="shared" si="186"/>
        <v>1900</v>
      </c>
      <c r="AS223" s="223">
        <f t="shared" si="187"/>
        <v>0</v>
      </c>
      <c r="AT223" s="223">
        <f t="shared" si="188"/>
        <v>0</v>
      </c>
    </row>
    <row r="224" spans="2:46" ht="15.75" x14ac:dyDescent="0.25">
      <c r="B224" s="229" t="s">
        <v>617</v>
      </c>
      <c r="C224" s="427" t="s">
        <v>263</v>
      </c>
      <c r="D224" s="428">
        <v>386</v>
      </c>
      <c r="E224" s="232" t="s">
        <v>4</v>
      </c>
      <c r="F224" s="233">
        <v>2.88</v>
      </c>
      <c r="G224" s="234">
        <v>46127</v>
      </c>
      <c r="H224" s="235" t="s">
        <v>15</v>
      </c>
      <c r="I224" s="235"/>
      <c r="J224" s="236">
        <v>7.0000000000000007E-2</v>
      </c>
      <c r="K224" s="237">
        <f ca="1">ROUND(IF(ISERROR(OFFSET(Tabella!$A$1,MATCH(H224,Tabella!$A:$A,0)-1,MATCH(J224,Tabella!$A$1:$AC$1,0)-1)=TRUE),0,+OFFSET(Tabella!$A$1,MATCH(H224,Tabella!$A:$A,0)-1,MATCH(J224,Tabella!$A$1:$AC$1,0)-1)),4)</f>
        <v>1.4</v>
      </c>
      <c r="L224" s="238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238">
        <f ca="1">ROUND(IF(ISERROR(OFFSET(Rame!$A$1,MATCH(H224,Rame!$A:$A,0)-1,MATCH(J224,Rame!$A$1:$AA$1,0)-1)=TRUE),0,OFFSET(Rame!$A$1,MATCH(H224,Rame!$A:$A,0)-1,MATCH(J224,Rame!$A$1:$AA$1,0)-1))*IF(E224="Rame",1,0),4)</f>
        <v>0</v>
      </c>
      <c r="N224" s="238">
        <v>0</v>
      </c>
      <c r="O224" s="238">
        <v>1.88</v>
      </c>
      <c r="P224" s="238">
        <f ca="1">ROUND(+IF(ISERROR(OFFSET(Tabella!$G$1,MATCH(H224,Tabella!$G:$G,0)-1,MATCH(I224,Tabella!$G$1:$FG$1,0)-1)=TRUE),0,OFFSET(Tabella!$G$1,MATCH(H224,Tabella!$G:$G,0)-1,MATCH(I224,Tabella!$G$1:$AB$1,0)-1)),4)</f>
        <v>0</v>
      </c>
      <c r="Q224" s="238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238">
        <f ca="1">ROUND(IF(ISERROR(OFFSET(Rame!$F$1,MATCH(H224,Rame!$F:$F,0)-1,MATCH(I224,Rame!$F$1:$FF$1,0)-1)=TRUE),0,OFFSET(Rame!$F$1,MATCH(H224,Rame!$F:$F,0)-1,MATCH(I224,Rame!$F$1:$FF$1,0)-1))*IF(E224="Rame",1,0),4)</f>
        <v>0</v>
      </c>
      <c r="S224" s="238">
        <f ca="1">ROUND(IF(ISERROR(OFFSET(Bronzo!$A$1,MATCH(H224,Bronzo!$A:$A,0)-1,MATCH(I224,Bronzo!$A$1:$AA$1,0)-1)=TRUE),0,OFFSET(Bronzo!$A$1,MATCH(H224,Bronzo!$A:$A,0)-1,MATCH(I224,Bronzo!$A$1:$AA$1,0)-1)),4)</f>
        <v>0</v>
      </c>
      <c r="T224" s="238">
        <f t="shared" ca="1" si="190"/>
        <v>0</v>
      </c>
      <c r="U224" s="237"/>
      <c r="V224" s="238">
        <v>0</v>
      </c>
      <c r="W224" s="239">
        <f t="shared" ca="1" si="191"/>
        <v>1.88</v>
      </c>
      <c r="X224" s="429">
        <f t="shared" si="189"/>
        <v>27.02</v>
      </c>
      <c r="Y224" s="236">
        <v>4.71</v>
      </c>
      <c r="Z224" s="236">
        <f t="shared" ca="1" si="192"/>
        <v>-0.05</v>
      </c>
      <c r="AA224" s="241"/>
      <c r="AF224" s="225">
        <f t="shared" ca="1" si="136"/>
        <v>46236</v>
      </c>
      <c r="AG224" s="225" t="b">
        <f t="shared" si="184"/>
        <v>1</v>
      </c>
      <c r="AH224" s="242"/>
      <c r="AK224" s="223">
        <f t="shared" si="185"/>
        <v>0</v>
      </c>
      <c r="AL224" s="223">
        <f t="shared" si="186"/>
        <v>1900</v>
      </c>
      <c r="AS224" s="223">
        <f t="shared" si="187"/>
        <v>0</v>
      </c>
      <c r="AT224" s="223">
        <f t="shared" si="188"/>
        <v>0</v>
      </c>
    </row>
    <row r="225" spans="2:46" ht="15.75" x14ac:dyDescent="0.25">
      <c r="B225" s="229" t="s">
        <v>758</v>
      </c>
      <c r="C225" s="427" t="s">
        <v>263</v>
      </c>
      <c r="D225" s="428">
        <v>2823</v>
      </c>
      <c r="E225" s="232" t="s">
        <v>4</v>
      </c>
      <c r="F225" s="233">
        <v>2.88</v>
      </c>
      <c r="G225" s="234">
        <v>46127</v>
      </c>
      <c r="H225" s="235" t="s">
        <v>15</v>
      </c>
      <c r="I225" s="235"/>
      <c r="J225" s="236">
        <v>7.0000000000000007E-2</v>
      </c>
      <c r="K225" s="237">
        <f ca="1">ROUND(IF(ISERROR(OFFSET(Tabella!$A$1,MATCH(H225,Tabella!$A:$A,0)-1,MATCH(J225,Tabella!$A$1:$AC$1,0)-1)=TRUE),0,+OFFSET(Tabella!$A$1,MATCH(H225,Tabella!$A:$A,0)-1,MATCH(J225,Tabella!$A$1:$AC$1,0)-1)),4)</f>
        <v>1.4</v>
      </c>
      <c r="L225" s="238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238">
        <f ca="1">ROUND(IF(ISERROR(OFFSET(Rame!$A$1,MATCH(H225,Rame!$A:$A,0)-1,MATCH(J225,Rame!$A$1:$AA$1,0)-1)=TRUE),0,OFFSET(Rame!$A$1,MATCH(H225,Rame!$A:$A,0)-1,MATCH(J225,Rame!$A$1:$AA$1,0)-1))*IF(E225="Rame",1,0),4)</f>
        <v>0</v>
      </c>
      <c r="N225" s="238">
        <v>0</v>
      </c>
      <c r="O225" s="238">
        <v>1.88</v>
      </c>
      <c r="P225" s="238">
        <f ca="1">ROUND(+IF(ISERROR(OFFSET(Tabella!$G$1,MATCH(H225,Tabella!$G:$G,0)-1,MATCH(I225,Tabella!$G$1:$FG$1,0)-1)=TRUE),0,OFFSET(Tabella!$G$1,MATCH(H225,Tabella!$G:$G,0)-1,MATCH(I225,Tabella!$G$1:$AB$1,0)-1)),4)</f>
        <v>0</v>
      </c>
      <c r="Q225" s="238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238">
        <f ca="1">ROUND(IF(ISERROR(OFFSET(Rame!$F$1,MATCH(H225,Rame!$F:$F,0)-1,MATCH(I225,Rame!$F$1:$FF$1,0)-1)=TRUE),0,OFFSET(Rame!$F$1,MATCH(H225,Rame!$F:$F,0)-1,MATCH(I225,Rame!$F$1:$FF$1,0)-1))*IF(E225="Rame",1,0),4)</f>
        <v>0</v>
      </c>
      <c r="S225" s="238">
        <f ca="1">ROUND(IF(ISERROR(OFFSET(Bronzo!$A$1,MATCH(H225,Bronzo!$A:$A,0)-1,MATCH(I225,Bronzo!$A$1:$AA$1,0)-1)=TRUE),0,OFFSET(Bronzo!$A$1,MATCH(H225,Bronzo!$A:$A,0)-1,MATCH(I225,Bronzo!$A$1:$AA$1,0)-1)),4)</f>
        <v>0</v>
      </c>
      <c r="T225" s="238">
        <f t="shared" ref="T225" ca="1" si="193">ROUND(SUM(P225:S225),4)</f>
        <v>0</v>
      </c>
      <c r="U225" s="237"/>
      <c r="V225" s="238">
        <v>0</v>
      </c>
      <c r="W225" s="239">
        <f t="shared" ref="W225" ca="1" si="194">ROUND(+O225+T225+U225+V225,4)</f>
        <v>1.88</v>
      </c>
      <c r="X225" s="429">
        <f t="shared" ref="X225" si="195">ROUND(+J225*D225,4)</f>
        <v>197.61</v>
      </c>
      <c r="Y225" s="236">
        <v>4.71</v>
      </c>
      <c r="Z225" s="236">
        <f t="shared" ref="Z225" ca="1" si="196">ROUND(+Y225-W225-F225,4)</f>
        <v>-0.05</v>
      </c>
      <c r="AA225" s="241"/>
      <c r="AF225" s="225">
        <f t="shared" ca="1" si="136"/>
        <v>46236</v>
      </c>
      <c r="AG225" s="225" t="b">
        <f t="shared" ref="AG225" si="197">ISBLANK(AA225)</f>
        <v>1</v>
      </c>
      <c r="AH225" s="242"/>
      <c r="AK225" s="223">
        <f t="shared" ref="AK225" si="198">WEEKNUM(AA225)</f>
        <v>0</v>
      </c>
      <c r="AL225" s="223">
        <f t="shared" ref="AL225" si="199">YEAR(AA225)</f>
        <v>1900</v>
      </c>
      <c r="AS225" s="223">
        <f t="shared" ref="AS225" si="200">IF(AA225="",0,MONTH(AA225))</f>
        <v>0</v>
      </c>
      <c r="AT225" s="223">
        <f t="shared" ref="AT225" si="201">IF(AA225="",0,YEAR(AA225))</f>
        <v>0</v>
      </c>
    </row>
    <row r="226" spans="2:46" ht="15.75" x14ac:dyDescent="0.25">
      <c r="B226" s="229" t="s">
        <v>617</v>
      </c>
      <c r="C226" s="427" t="s">
        <v>263</v>
      </c>
      <c r="D226" s="428">
        <v>1574</v>
      </c>
      <c r="E226" s="232" t="s">
        <v>4</v>
      </c>
      <c r="F226" s="233">
        <v>2.88</v>
      </c>
      <c r="G226" s="234">
        <v>46127</v>
      </c>
      <c r="H226" s="235" t="s">
        <v>309</v>
      </c>
      <c r="I226" s="235"/>
      <c r="J226" s="236">
        <v>7.0000000000000007E-2</v>
      </c>
      <c r="K226" s="237">
        <f ca="1">ROUND(IF(ISERROR(OFFSET(Tabella!$A$1,MATCH(H226,Tabella!$A:$A,0)-1,MATCH(J226,Tabella!$A$1:$AC$1,0)-1)=TRUE),0,+OFFSET(Tabella!$A$1,MATCH(H226,Tabella!$A:$A,0)-1,MATCH(J226,Tabella!$A$1:$AC$1,0)-1)),4)</f>
        <v>1.25</v>
      </c>
      <c r="L226" s="238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238">
        <f ca="1">ROUND(IF(ISERROR(OFFSET(Rame!$A$1,MATCH(H226,Rame!$A:$A,0)-1,MATCH(J226,Rame!$A$1:$AA$1,0)-1)=TRUE),0,OFFSET(Rame!$A$1,MATCH(H226,Rame!$A:$A,0)-1,MATCH(J226,Rame!$A$1:$AA$1,0)-1))*IF(E226="Rame",1,0),4)</f>
        <v>0</v>
      </c>
      <c r="N226" s="238">
        <v>0</v>
      </c>
      <c r="O226" s="238">
        <v>1.73</v>
      </c>
      <c r="P226" s="238">
        <f ca="1">ROUND(+IF(ISERROR(OFFSET(Tabella!$G$1,MATCH(H226,Tabella!$G:$G,0)-1,MATCH(I226,Tabella!$G$1:$FG$1,0)-1)=TRUE),0,OFFSET(Tabella!$G$1,MATCH(H226,Tabella!$G:$G,0)-1,MATCH(I226,Tabella!$G$1:$AB$1,0)-1)),4)</f>
        <v>0</v>
      </c>
      <c r="Q226" s="238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238">
        <f ca="1">ROUND(IF(ISERROR(OFFSET(Rame!$F$1,MATCH(H226,Rame!$F:$F,0)-1,MATCH(I226,Rame!$F$1:$FF$1,0)-1)=TRUE),0,OFFSET(Rame!$F$1,MATCH(H226,Rame!$F:$F,0)-1,MATCH(I226,Rame!$F$1:$FF$1,0)-1))*IF(E226="Rame",1,0),4)</f>
        <v>0</v>
      </c>
      <c r="S226" s="238">
        <f ca="1">ROUND(IF(ISERROR(OFFSET(Bronzo!$A$1,MATCH(H226,Bronzo!$A:$A,0)-1,MATCH(I226,Bronzo!$A$1:$AA$1,0)-1)=TRUE),0,OFFSET(Bronzo!$A$1,MATCH(H226,Bronzo!$A:$A,0)-1,MATCH(I226,Bronzo!$A$1:$AA$1,0)-1)),4)</f>
        <v>0</v>
      </c>
      <c r="T226" s="238">
        <f t="shared" ca="1" si="190"/>
        <v>0</v>
      </c>
      <c r="U226" s="237"/>
      <c r="V226" s="238">
        <v>0</v>
      </c>
      <c r="W226" s="239">
        <f t="shared" ca="1" si="191"/>
        <v>1.73</v>
      </c>
      <c r="X226" s="429">
        <f t="shared" si="189"/>
        <v>110.18</v>
      </c>
      <c r="Y226" s="236">
        <v>4.5599999999999996</v>
      </c>
      <c r="Z226" s="236">
        <f t="shared" ca="1" si="192"/>
        <v>-0.05</v>
      </c>
      <c r="AA226" s="241"/>
      <c r="AF226" s="225">
        <f t="shared" ca="1" si="136"/>
        <v>46236</v>
      </c>
      <c r="AG226" s="225" t="b">
        <f t="shared" si="184"/>
        <v>1</v>
      </c>
      <c r="AH226" s="242"/>
      <c r="AK226" s="223">
        <f t="shared" si="185"/>
        <v>0</v>
      </c>
      <c r="AL226" s="223">
        <f t="shared" si="186"/>
        <v>1900</v>
      </c>
      <c r="AS226" s="223">
        <f t="shared" si="187"/>
        <v>0</v>
      </c>
      <c r="AT226" s="223">
        <f t="shared" si="188"/>
        <v>0</v>
      </c>
    </row>
    <row r="227" spans="2:46" ht="15.75" x14ac:dyDescent="0.25">
      <c r="B227" s="229" t="s">
        <v>617</v>
      </c>
      <c r="C227" s="427" t="s">
        <v>263</v>
      </c>
      <c r="D227" s="428">
        <v>456</v>
      </c>
      <c r="E227" s="232" t="s">
        <v>4</v>
      </c>
      <c r="F227" s="233">
        <v>2.88</v>
      </c>
      <c r="G227" s="234">
        <v>46127</v>
      </c>
      <c r="H227" s="235" t="s">
        <v>9</v>
      </c>
      <c r="I227" s="235"/>
      <c r="J227" s="236">
        <v>7.0000000000000007E-2</v>
      </c>
      <c r="K227" s="237">
        <f ca="1">ROUND(IF(ISERROR(OFFSET(Tabella!$A$1,MATCH(H227,Tabella!$A:$A,0)-1,MATCH(J227,Tabella!$A$1:$AC$1,0)-1)=TRUE),0,+OFFSET(Tabella!$A$1,MATCH(H227,Tabella!$A:$A,0)-1,MATCH(J227,Tabella!$A$1:$AC$1,0)-1)),4)</f>
        <v>1.6</v>
      </c>
      <c r="L227" s="238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238">
        <f ca="1">ROUND(IF(ISERROR(OFFSET(Rame!$A$1,MATCH(H227,Rame!$A:$A,0)-1,MATCH(J227,Rame!$A$1:$AA$1,0)-1)=TRUE),0,OFFSET(Rame!$A$1,MATCH(H227,Rame!$A:$A,0)-1,MATCH(J227,Rame!$A$1:$AA$1,0)-1))*IF(E227="Rame",1,0),4)</f>
        <v>0</v>
      </c>
      <c r="N227" s="238">
        <v>0</v>
      </c>
      <c r="O227" s="238">
        <v>2.0299999999999998</v>
      </c>
      <c r="P227" s="238">
        <f ca="1">ROUND(+IF(ISERROR(OFFSET(Tabella!$G$1,MATCH(H227,Tabella!$G:$G,0)-1,MATCH(I227,Tabella!$G$1:$FG$1,0)-1)=TRUE),0,OFFSET(Tabella!$G$1,MATCH(H227,Tabella!$G:$G,0)-1,MATCH(I227,Tabella!$G$1:$AB$1,0)-1)),4)</f>
        <v>0</v>
      </c>
      <c r="Q227" s="238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238">
        <f ca="1">ROUND(IF(ISERROR(OFFSET(Rame!$F$1,MATCH(H227,Rame!$F:$F,0)-1,MATCH(I227,Rame!$F$1:$FF$1,0)-1)=TRUE),0,OFFSET(Rame!$F$1,MATCH(H227,Rame!$F:$F,0)-1,MATCH(I227,Rame!$F$1:$FF$1,0)-1))*IF(E227="Rame",1,0),4)</f>
        <v>0</v>
      </c>
      <c r="S227" s="238">
        <f ca="1">ROUND(IF(ISERROR(OFFSET(Bronzo!$A$1,MATCH(H227,Bronzo!$A:$A,0)-1,MATCH(I227,Bronzo!$A$1:$AA$1,0)-1)=TRUE),0,OFFSET(Bronzo!$A$1,MATCH(H227,Bronzo!$A:$A,0)-1,MATCH(I227,Bronzo!$A$1:$AA$1,0)-1)),4)</f>
        <v>0</v>
      </c>
      <c r="T227" s="238">
        <f t="shared" ca="1" si="190"/>
        <v>0</v>
      </c>
      <c r="U227" s="237"/>
      <c r="V227" s="238">
        <v>0</v>
      </c>
      <c r="W227" s="239">
        <f t="shared" ca="1" si="191"/>
        <v>2.0299999999999998</v>
      </c>
      <c r="X227" s="429">
        <f t="shared" si="189"/>
        <v>31.92</v>
      </c>
      <c r="Y227" s="236">
        <v>4.8600000000000003</v>
      </c>
      <c r="Z227" s="236">
        <f t="shared" ca="1" si="192"/>
        <v>-0.05</v>
      </c>
      <c r="AA227" s="241"/>
      <c r="AF227" s="225">
        <f t="shared" ca="1" si="136"/>
        <v>46236</v>
      </c>
      <c r="AG227" s="225" t="b">
        <f t="shared" si="184"/>
        <v>1</v>
      </c>
      <c r="AH227" s="242"/>
      <c r="AK227" s="223">
        <f t="shared" si="185"/>
        <v>0</v>
      </c>
      <c r="AL227" s="223">
        <f t="shared" si="186"/>
        <v>1900</v>
      </c>
      <c r="AS227" s="223">
        <f t="shared" si="187"/>
        <v>0</v>
      </c>
      <c r="AT227" s="223">
        <f t="shared" si="188"/>
        <v>0</v>
      </c>
    </row>
    <row r="228" spans="2:46" ht="15.75" x14ac:dyDescent="0.25">
      <c r="B228" s="229" t="s">
        <v>616</v>
      </c>
      <c r="C228" s="427" t="s">
        <v>263</v>
      </c>
      <c r="D228" s="428">
        <v>808</v>
      </c>
      <c r="E228" s="232" t="s">
        <v>4</v>
      </c>
      <c r="F228" s="233">
        <v>2.88</v>
      </c>
      <c r="G228" s="234">
        <v>46127</v>
      </c>
      <c r="H228" s="235" t="s">
        <v>17</v>
      </c>
      <c r="I228" s="235"/>
      <c r="J228" s="236">
        <v>7.0000000000000007E-2</v>
      </c>
      <c r="K228" s="237">
        <f ca="1">ROUND(IF(ISERROR(OFFSET(Tabella!$A$1,MATCH(H228,Tabella!$A:$A,0)-1,MATCH(J228,Tabella!$A$1:$AC$1,0)-1)=TRUE),0,+OFFSET(Tabella!$A$1,MATCH(H228,Tabella!$A:$A,0)-1,MATCH(J228,Tabella!$A$1:$AC$1,0)-1)),4)</f>
        <v>1.4</v>
      </c>
      <c r="L228" s="238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238">
        <f ca="1">ROUND(IF(ISERROR(OFFSET(Rame!$A$1,MATCH(H228,Rame!$A:$A,0)-1,MATCH(J228,Rame!$A$1:$AA$1,0)-1)=TRUE),0,OFFSET(Rame!$A$1,MATCH(H228,Rame!$A:$A,0)-1,MATCH(J228,Rame!$A$1:$AA$1,0)-1))*IF(E228="Rame",1,0),4)</f>
        <v>0</v>
      </c>
      <c r="N228" s="238">
        <v>0</v>
      </c>
      <c r="O228" s="238">
        <v>1.83</v>
      </c>
      <c r="P228" s="238">
        <f ca="1">ROUND(+IF(ISERROR(OFFSET(Tabella!$G$1,MATCH(H228,Tabella!$G:$G,0)-1,MATCH(I228,Tabella!$G$1:$FG$1,0)-1)=TRUE),0,OFFSET(Tabella!$G$1,MATCH(H228,Tabella!$G:$G,0)-1,MATCH(I228,Tabella!$G$1:$AB$1,0)-1)),4)</f>
        <v>0</v>
      </c>
      <c r="Q228" s="238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238">
        <f ca="1">ROUND(IF(ISERROR(OFFSET(Rame!$F$1,MATCH(H228,Rame!$F:$F,0)-1,MATCH(I228,Rame!$F$1:$FF$1,0)-1)=TRUE),0,OFFSET(Rame!$F$1,MATCH(H228,Rame!$F:$F,0)-1,MATCH(I228,Rame!$F$1:$FF$1,0)-1))*IF(E228="Rame",1,0),4)</f>
        <v>0</v>
      </c>
      <c r="S228" s="238">
        <f ca="1">ROUND(IF(ISERROR(OFFSET(Bronzo!$A$1,MATCH(H228,Bronzo!$A:$A,0)-1,MATCH(I228,Bronzo!$A$1:$AA$1,0)-1)=TRUE),0,OFFSET(Bronzo!$A$1,MATCH(H228,Bronzo!$A:$A,0)-1,MATCH(I228,Bronzo!$A$1:$AA$1,0)-1)),4)</f>
        <v>0</v>
      </c>
      <c r="T228" s="238">
        <f t="shared" ca="1" si="190"/>
        <v>0</v>
      </c>
      <c r="U228" s="237"/>
      <c r="V228" s="238">
        <v>0</v>
      </c>
      <c r="W228" s="239">
        <f t="shared" ca="1" si="191"/>
        <v>1.83</v>
      </c>
      <c r="X228" s="429">
        <f t="shared" si="189"/>
        <v>56.56</v>
      </c>
      <c r="Y228" s="236">
        <v>4.66</v>
      </c>
      <c r="Z228" s="236">
        <f t="shared" ca="1" si="192"/>
        <v>-0.05</v>
      </c>
      <c r="AA228" s="241"/>
      <c r="AF228" s="225">
        <f t="shared" ca="1" si="136"/>
        <v>46236</v>
      </c>
      <c r="AG228" s="225" t="b">
        <f t="shared" si="184"/>
        <v>1</v>
      </c>
      <c r="AH228" s="242"/>
      <c r="AK228" s="223">
        <f t="shared" si="185"/>
        <v>0</v>
      </c>
      <c r="AL228" s="223">
        <f t="shared" si="186"/>
        <v>1900</v>
      </c>
      <c r="AS228" s="223">
        <f t="shared" si="187"/>
        <v>0</v>
      </c>
      <c r="AT228" s="223">
        <f t="shared" si="188"/>
        <v>0</v>
      </c>
    </row>
    <row r="229" spans="2:46" ht="15.75" x14ac:dyDescent="0.25">
      <c r="B229" s="229" t="s">
        <v>765</v>
      </c>
      <c r="C229" s="427" t="s">
        <v>263</v>
      </c>
      <c r="D229" s="428">
        <v>747</v>
      </c>
      <c r="E229" s="232" t="s">
        <v>4</v>
      </c>
      <c r="F229" s="233">
        <v>2.88</v>
      </c>
      <c r="G229" s="234">
        <v>46127</v>
      </c>
      <c r="H229" s="235" t="s">
        <v>17</v>
      </c>
      <c r="I229" s="235"/>
      <c r="J229" s="236">
        <v>7.0000000000000007E-2</v>
      </c>
      <c r="K229" s="237">
        <f ca="1">ROUND(IF(ISERROR(OFFSET(Tabella!$A$1,MATCH(H229,Tabella!$A:$A,0)-1,MATCH(J229,Tabella!$A$1:$AC$1,0)-1)=TRUE),0,+OFFSET(Tabella!$A$1,MATCH(H229,Tabella!$A:$A,0)-1,MATCH(J229,Tabella!$A$1:$AC$1,0)-1)),4)</f>
        <v>1.4</v>
      </c>
      <c r="L229" s="238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238">
        <f ca="1">ROUND(IF(ISERROR(OFFSET(Rame!$A$1,MATCH(H229,Rame!$A:$A,0)-1,MATCH(J229,Rame!$A$1:$AA$1,0)-1)=TRUE),0,OFFSET(Rame!$A$1,MATCH(H229,Rame!$A:$A,0)-1,MATCH(J229,Rame!$A$1:$AA$1,0)-1))*IF(E229="Rame",1,0),4)</f>
        <v>0</v>
      </c>
      <c r="N229" s="238">
        <v>0</v>
      </c>
      <c r="O229" s="238">
        <v>1.83</v>
      </c>
      <c r="P229" s="238">
        <f ca="1">ROUND(+IF(ISERROR(OFFSET(Tabella!$G$1,MATCH(H229,Tabella!$G:$G,0)-1,MATCH(I229,Tabella!$G$1:$FG$1,0)-1)=TRUE),0,OFFSET(Tabella!$G$1,MATCH(H229,Tabella!$G:$G,0)-1,MATCH(I229,Tabella!$G$1:$AB$1,0)-1)),4)</f>
        <v>0</v>
      </c>
      <c r="Q229" s="238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238">
        <f ca="1">ROUND(IF(ISERROR(OFFSET(Rame!$F$1,MATCH(H229,Rame!$F:$F,0)-1,MATCH(I229,Rame!$F$1:$FF$1,0)-1)=TRUE),0,OFFSET(Rame!$F$1,MATCH(H229,Rame!$F:$F,0)-1,MATCH(I229,Rame!$F$1:$FF$1,0)-1))*IF(E229="Rame",1,0),4)</f>
        <v>0</v>
      </c>
      <c r="S229" s="238">
        <f ca="1">ROUND(IF(ISERROR(OFFSET(Bronzo!$A$1,MATCH(H229,Bronzo!$A:$A,0)-1,MATCH(I229,Bronzo!$A$1:$AA$1,0)-1)=TRUE),0,OFFSET(Bronzo!$A$1,MATCH(H229,Bronzo!$A:$A,0)-1,MATCH(I229,Bronzo!$A$1:$AA$1,0)-1)),4)</f>
        <v>0</v>
      </c>
      <c r="T229" s="238">
        <f t="shared" ref="T229" ca="1" si="202">ROUND(SUM(P229:S229),4)</f>
        <v>0</v>
      </c>
      <c r="U229" s="237"/>
      <c r="V229" s="238">
        <v>0</v>
      </c>
      <c r="W229" s="239">
        <f t="shared" ref="W229" ca="1" si="203">ROUND(+O229+T229+U229+V229,4)</f>
        <v>1.83</v>
      </c>
      <c r="X229" s="429">
        <f t="shared" ref="X229" si="204">ROUND(+J229*D229,4)</f>
        <v>52.29</v>
      </c>
      <c r="Y229" s="236">
        <v>4.66</v>
      </c>
      <c r="Z229" s="236">
        <f t="shared" ref="Z229" ca="1" si="205">ROUND(+Y229-W229-F229,4)</f>
        <v>-0.05</v>
      </c>
      <c r="AA229" s="241"/>
      <c r="AF229" s="225">
        <f t="shared" ca="1" si="136"/>
        <v>46236</v>
      </c>
      <c r="AG229" s="225" t="b">
        <f t="shared" ref="AG229" si="206">ISBLANK(AA229)</f>
        <v>1</v>
      </c>
      <c r="AH229" s="242"/>
      <c r="AK229" s="223">
        <f t="shared" ref="AK229" si="207">WEEKNUM(AA229)</f>
        <v>0</v>
      </c>
      <c r="AL229" s="223">
        <f t="shared" ref="AL229" si="208">YEAR(AA229)</f>
        <v>1900</v>
      </c>
      <c r="AS229" s="223">
        <f t="shared" ref="AS229" si="209">IF(AA229="",0,MONTH(AA229))</f>
        <v>0</v>
      </c>
      <c r="AT229" s="223">
        <f t="shared" ref="AT229" si="210">IF(AA229="",0,YEAR(AA229))</f>
        <v>0</v>
      </c>
    </row>
    <row r="230" spans="2:46" ht="15.75" x14ac:dyDescent="0.25">
      <c r="B230" s="229" t="s">
        <v>614</v>
      </c>
      <c r="C230" s="427" t="s">
        <v>263</v>
      </c>
      <c r="D230" s="428">
        <v>1099</v>
      </c>
      <c r="E230" s="232" t="s">
        <v>4</v>
      </c>
      <c r="F230" s="233">
        <v>2.88</v>
      </c>
      <c r="G230" s="234">
        <v>46127</v>
      </c>
      <c r="H230" s="235" t="s">
        <v>9</v>
      </c>
      <c r="I230" s="235"/>
      <c r="J230" s="236">
        <v>7.0000000000000007E-2</v>
      </c>
      <c r="K230" s="237">
        <f ca="1">ROUND(IF(ISERROR(OFFSET(Tabella!$A$1,MATCH(H230,Tabella!$A:$A,0)-1,MATCH(J230,Tabella!$A$1:$AC$1,0)-1)=TRUE),0,+OFFSET(Tabella!$A$1,MATCH(H230,Tabella!$A:$A,0)-1,MATCH(J230,Tabella!$A$1:$AC$1,0)-1)),4)</f>
        <v>1.6</v>
      </c>
      <c r="L230" s="238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238">
        <f ca="1">ROUND(IF(ISERROR(OFFSET(Rame!$A$1,MATCH(H230,Rame!$A:$A,0)-1,MATCH(J230,Rame!$A$1:$AA$1,0)-1)=TRUE),0,OFFSET(Rame!$A$1,MATCH(H230,Rame!$A:$A,0)-1,MATCH(J230,Rame!$A$1:$AA$1,0)-1))*IF(E230="Rame",1,0),4)</f>
        <v>0</v>
      </c>
      <c r="N230" s="238">
        <v>0</v>
      </c>
      <c r="O230" s="238">
        <v>2.0299999999999998</v>
      </c>
      <c r="P230" s="238">
        <f ca="1">ROUND(+IF(ISERROR(OFFSET(Tabella!$G$1,MATCH(H230,Tabella!$G:$G,0)-1,MATCH(I230,Tabella!$G$1:$FG$1,0)-1)=TRUE),0,OFFSET(Tabella!$G$1,MATCH(H230,Tabella!$G:$G,0)-1,MATCH(I230,Tabella!$G$1:$AB$1,0)-1)),4)</f>
        <v>0</v>
      </c>
      <c r="Q230" s="238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238">
        <f ca="1">ROUND(IF(ISERROR(OFFSET(Rame!$F$1,MATCH(H230,Rame!$F:$F,0)-1,MATCH(I230,Rame!$F$1:$FF$1,0)-1)=TRUE),0,OFFSET(Rame!$F$1,MATCH(H230,Rame!$F:$F,0)-1,MATCH(I230,Rame!$F$1:$FF$1,0)-1))*IF(E230="Rame",1,0),4)</f>
        <v>0</v>
      </c>
      <c r="S230" s="238">
        <f ca="1">ROUND(IF(ISERROR(OFFSET(Bronzo!$A$1,MATCH(H230,Bronzo!$A:$A,0)-1,MATCH(I230,Bronzo!$A$1:$AA$1,0)-1)=TRUE),0,OFFSET(Bronzo!$A$1,MATCH(H230,Bronzo!$A:$A,0)-1,MATCH(I230,Bronzo!$A$1:$AA$1,0)-1)),4)</f>
        <v>0</v>
      </c>
      <c r="T230" s="238">
        <f t="shared" ca="1" si="190"/>
        <v>0</v>
      </c>
      <c r="U230" s="237"/>
      <c r="V230" s="238">
        <v>0</v>
      </c>
      <c r="W230" s="239">
        <f t="shared" ca="1" si="191"/>
        <v>2.0299999999999998</v>
      </c>
      <c r="X230" s="429">
        <f t="shared" si="189"/>
        <v>76.930000000000007</v>
      </c>
      <c r="Y230" s="236">
        <v>4.8600000000000003</v>
      </c>
      <c r="Z230" s="236">
        <f t="shared" ca="1" si="192"/>
        <v>-0.05</v>
      </c>
      <c r="AA230" s="241"/>
      <c r="AF230" s="225">
        <f t="shared" ca="1" si="136"/>
        <v>46236</v>
      </c>
      <c r="AG230" s="225" t="b">
        <f t="shared" si="184"/>
        <v>1</v>
      </c>
      <c r="AH230" s="242"/>
      <c r="AK230" s="223">
        <f t="shared" si="185"/>
        <v>0</v>
      </c>
      <c r="AL230" s="223">
        <f t="shared" si="186"/>
        <v>1900</v>
      </c>
      <c r="AS230" s="223">
        <f t="shared" si="187"/>
        <v>0</v>
      </c>
      <c r="AT230" s="223">
        <f t="shared" si="188"/>
        <v>0</v>
      </c>
    </row>
    <row r="231" spans="2:46" ht="15.75" x14ac:dyDescent="0.25">
      <c r="B231" s="229" t="s">
        <v>618</v>
      </c>
      <c r="C231" s="427" t="s">
        <v>263</v>
      </c>
      <c r="D231" s="428">
        <v>2114</v>
      </c>
      <c r="E231" s="232" t="s">
        <v>4</v>
      </c>
      <c r="F231" s="233">
        <v>2.88</v>
      </c>
      <c r="G231" s="234">
        <v>46127</v>
      </c>
      <c r="H231" s="235" t="s">
        <v>9</v>
      </c>
      <c r="I231" s="235"/>
      <c r="J231" s="236">
        <v>7.0000000000000007E-2</v>
      </c>
      <c r="K231" s="237">
        <f ca="1">ROUND(IF(ISERROR(OFFSET(Tabella!$A$1,MATCH(H231,Tabella!$A:$A,0)-1,MATCH(J231,Tabella!$A$1:$AC$1,0)-1)=TRUE),0,+OFFSET(Tabella!$A$1,MATCH(H231,Tabella!$A:$A,0)-1,MATCH(J231,Tabella!$A$1:$AC$1,0)-1)),4)</f>
        <v>1.6</v>
      </c>
      <c r="L231" s="238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238">
        <f ca="1">ROUND(IF(ISERROR(OFFSET(Rame!$A$1,MATCH(H231,Rame!$A:$A,0)-1,MATCH(J231,Rame!$A$1:$AA$1,0)-1)=TRUE),0,OFFSET(Rame!$A$1,MATCH(H231,Rame!$A:$A,0)-1,MATCH(J231,Rame!$A$1:$AA$1,0)-1))*IF(E231="Rame",1,0),4)</f>
        <v>0</v>
      </c>
      <c r="N231" s="238">
        <v>0</v>
      </c>
      <c r="O231" s="238">
        <v>2.0299999999999998</v>
      </c>
      <c r="P231" s="238">
        <f ca="1">ROUND(+IF(ISERROR(OFFSET(Tabella!$G$1,MATCH(H231,Tabella!$G:$G,0)-1,MATCH(I231,Tabella!$G$1:$FG$1,0)-1)=TRUE),0,OFFSET(Tabella!$G$1,MATCH(H231,Tabella!$G:$G,0)-1,MATCH(I231,Tabella!$G$1:$AB$1,0)-1)),4)</f>
        <v>0</v>
      </c>
      <c r="Q231" s="238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238">
        <f ca="1">ROUND(IF(ISERROR(OFFSET(Rame!$F$1,MATCH(H231,Rame!$F:$F,0)-1,MATCH(I231,Rame!$F$1:$FF$1,0)-1)=TRUE),0,OFFSET(Rame!$F$1,MATCH(H231,Rame!$F:$F,0)-1,MATCH(I231,Rame!$F$1:$FF$1,0)-1))*IF(E231="Rame",1,0),4)</f>
        <v>0</v>
      </c>
      <c r="S231" s="238">
        <f ca="1">ROUND(IF(ISERROR(OFFSET(Bronzo!$A$1,MATCH(H231,Bronzo!$A:$A,0)-1,MATCH(I231,Bronzo!$A$1:$AA$1,0)-1)=TRUE),0,OFFSET(Bronzo!$A$1,MATCH(H231,Bronzo!$A:$A,0)-1,MATCH(I231,Bronzo!$A$1:$AA$1,0)-1)),4)</f>
        <v>0</v>
      </c>
      <c r="T231" s="238">
        <f t="shared" ca="1" si="190"/>
        <v>0</v>
      </c>
      <c r="U231" s="237"/>
      <c r="V231" s="238">
        <v>0</v>
      </c>
      <c r="W231" s="239">
        <f t="shared" ca="1" si="191"/>
        <v>2.0299999999999998</v>
      </c>
      <c r="X231" s="429">
        <f t="shared" si="189"/>
        <v>147.97999999999999</v>
      </c>
      <c r="Y231" s="236">
        <v>4.8600000000000003</v>
      </c>
      <c r="Z231" s="236">
        <f t="shared" ca="1" si="192"/>
        <v>-0.05</v>
      </c>
      <c r="AA231" s="241"/>
      <c r="AF231" s="225">
        <f t="shared" ca="1" si="136"/>
        <v>46236</v>
      </c>
      <c r="AG231" s="225" t="b">
        <f t="shared" si="184"/>
        <v>1</v>
      </c>
      <c r="AH231" s="242"/>
      <c r="AK231" s="223">
        <f t="shared" si="185"/>
        <v>0</v>
      </c>
      <c r="AL231" s="223">
        <f t="shared" si="186"/>
        <v>1900</v>
      </c>
      <c r="AS231" s="223">
        <f t="shared" si="187"/>
        <v>0</v>
      </c>
      <c r="AT231" s="223">
        <f t="shared" si="188"/>
        <v>0</v>
      </c>
    </row>
    <row r="232" spans="2:46" ht="15.75" x14ac:dyDescent="0.25">
      <c r="B232" s="229" t="s">
        <v>611</v>
      </c>
      <c r="C232" s="427" t="s">
        <v>263</v>
      </c>
      <c r="D232" s="428">
        <v>1598</v>
      </c>
      <c r="E232" s="232" t="s">
        <v>4</v>
      </c>
      <c r="F232" s="233">
        <v>2.88</v>
      </c>
      <c r="G232" s="234">
        <v>46127</v>
      </c>
      <c r="H232" s="235" t="s">
        <v>314</v>
      </c>
      <c r="I232" s="235"/>
      <c r="J232" s="236">
        <v>7.0000000000000007E-2</v>
      </c>
      <c r="K232" s="237">
        <f ca="1">ROUND(IF(ISERROR(OFFSET(Tabella!$A$1,MATCH(H232,Tabella!$A:$A,0)-1,MATCH(J232,Tabella!$A$1:$AC$1,0)-1)=TRUE),0,+OFFSET(Tabella!$A$1,MATCH(H232,Tabella!$A:$A,0)-1,MATCH(J232,Tabella!$A$1:$AC$1,0)-1)),4)</f>
        <v>1.25</v>
      </c>
      <c r="L232" s="238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238">
        <f ca="1">ROUND(IF(ISERROR(OFFSET(Rame!$A$1,MATCH(H232,Rame!$A:$A,0)-1,MATCH(J232,Rame!$A$1:$AA$1,0)-1)=TRUE),0,OFFSET(Rame!$A$1,MATCH(H232,Rame!$A:$A,0)-1,MATCH(J232,Rame!$A$1:$AA$1,0)-1))*IF(E232="Rame",1,0),4)</f>
        <v>0</v>
      </c>
      <c r="N232" s="238">
        <v>0</v>
      </c>
      <c r="O232" s="238">
        <v>1.73</v>
      </c>
      <c r="P232" s="238">
        <f ca="1">ROUND(+IF(ISERROR(OFFSET(Tabella!$G$1,MATCH(H232,Tabella!$G:$G,0)-1,MATCH(I232,Tabella!$G$1:$FG$1,0)-1)=TRUE),0,OFFSET(Tabella!$G$1,MATCH(H232,Tabella!$G:$G,0)-1,MATCH(I232,Tabella!$G$1:$AB$1,0)-1)),4)</f>
        <v>0</v>
      </c>
      <c r="Q232" s="238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238">
        <f ca="1">ROUND(IF(ISERROR(OFFSET(Rame!$F$1,MATCH(H232,Rame!$F:$F,0)-1,MATCH(I232,Rame!$F$1:$FF$1,0)-1)=TRUE),0,OFFSET(Rame!$F$1,MATCH(H232,Rame!$F:$F,0)-1,MATCH(I232,Rame!$F$1:$FF$1,0)-1))*IF(E232="Rame",1,0),4)</f>
        <v>0</v>
      </c>
      <c r="S232" s="238">
        <f ca="1">ROUND(IF(ISERROR(OFFSET(Bronzo!$A$1,MATCH(H232,Bronzo!$A:$A,0)-1,MATCH(I232,Bronzo!$A$1:$AA$1,0)-1)=TRUE),0,OFFSET(Bronzo!$A$1,MATCH(H232,Bronzo!$A:$A,0)-1,MATCH(I232,Bronzo!$A$1:$AA$1,0)-1)),4)</f>
        <v>0</v>
      </c>
      <c r="T232" s="238">
        <f t="shared" ca="1" si="190"/>
        <v>0</v>
      </c>
      <c r="U232" s="237"/>
      <c r="V232" s="238">
        <v>0</v>
      </c>
      <c r="W232" s="239">
        <f t="shared" ca="1" si="191"/>
        <v>1.73</v>
      </c>
      <c r="X232" s="429">
        <f t="shared" si="189"/>
        <v>111.86</v>
      </c>
      <c r="Y232" s="236">
        <v>4.5599999999999996</v>
      </c>
      <c r="Z232" s="236">
        <f t="shared" ca="1" si="192"/>
        <v>-0.05</v>
      </c>
      <c r="AA232" s="241"/>
      <c r="AF232" s="225">
        <f t="shared" ca="1" si="136"/>
        <v>46236</v>
      </c>
      <c r="AG232" s="225" t="b">
        <f t="shared" si="184"/>
        <v>1</v>
      </c>
      <c r="AH232" s="242"/>
      <c r="AK232" s="223">
        <f t="shared" si="185"/>
        <v>0</v>
      </c>
      <c r="AL232" s="223">
        <f t="shared" si="186"/>
        <v>1900</v>
      </c>
      <c r="AS232" s="223">
        <f t="shared" si="187"/>
        <v>0</v>
      </c>
      <c r="AT232" s="223">
        <f t="shared" si="188"/>
        <v>0</v>
      </c>
    </row>
    <row r="233" spans="2:46" ht="15.75" x14ac:dyDescent="0.25">
      <c r="B233" s="229" t="s">
        <v>503</v>
      </c>
      <c r="C233" s="235" t="s">
        <v>263</v>
      </c>
      <c r="D233" s="243">
        <v>1500</v>
      </c>
      <c r="E233" s="232" t="s">
        <v>4</v>
      </c>
      <c r="F233" s="233">
        <v>2.88</v>
      </c>
      <c r="G233" s="234">
        <v>46127</v>
      </c>
      <c r="H233" s="235" t="s">
        <v>314</v>
      </c>
      <c r="I233" s="235"/>
      <c r="J233" s="236">
        <v>7.0000000000000007E-2</v>
      </c>
      <c r="K233" s="237">
        <f ca="1">ROUND(IF(ISERROR(OFFSET(Tabella!$A$1,MATCH(H233,Tabella!$A:$A,0)-1,MATCH(J233,Tabella!$A$1:$AC$1,0)-1)=TRUE),0,+OFFSET(Tabella!$A$1,MATCH(H233,Tabella!$A:$A,0)-1,MATCH(J233,Tabella!$A$1:$AC$1,0)-1)),4)</f>
        <v>1.25</v>
      </c>
      <c r="L233" s="238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238">
        <f ca="1">ROUND(IF(ISERROR(OFFSET(Rame!$A$1,MATCH(H233,Rame!$A:$A,0)-1,MATCH(J233,Rame!$A$1:$AA$1,0)-1)=TRUE),0,OFFSET(Rame!$A$1,MATCH(H233,Rame!$A:$A,0)-1,MATCH(J233,Rame!$A$1:$AA$1,0)-1))*IF(E233="Rame",1,0),4)</f>
        <v>0</v>
      </c>
      <c r="N233" s="238">
        <v>0</v>
      </c>
      <c r="O233" s="238">
        <v>1.73</v>
      </c>
      <c r="P233" s="238">
        <f ca="1">ROUND(+IF(ISERROR(OFFSET(Tabella!$G$1,MATCH(H233,Tabella!$G:$G,0)-1,MATCH(I233,Tabella!$G$1:$FG$1,0)-1)=TRUE),0,OFFSET(Tabella!$G$1,MATCH(H233,Tabella!$G:$G,0)-1,MATCH(I233,Tabella!$G$1:$AB$1,0)-1)),4)</f>
        <v>0</v>
      </c>
      <c r="Q233" s="238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238">
        <f ca="1">ROUND(IF(ISERROR(OFFSET(Rame!$F$1,MATCH(H233,Rame!$F:$F,0)-1,MATCH(I233,Rame!$F$1:$FF$1,0)-1)=TRUE),0,OFFSET(Rame!$F$1,MATCH(H233,Rame!$F:$F,0)-1,MATCH(I233,Rame!$F$1:$FF$1,0)-1))*IF(E233="Rame",1,0),4)</f>
        <v>0</v>
      </c>
      <c r="S233" s="238">
        <f ca="1">ROUND(IF(ISERROR(OFFSET(Bronzo!$A$1,MATCH(H233,Bronzo!$A:$A,0)-1,MATCH(I233,Bronzo!$A$1:$AA$1,0)-1)=TRUE),0,OFFSET(Bronzo!$A$1,MATCH(H233,Bronzo!$A:$A,0)-1,MATCH(I233,Bronzo!$A$1:$AA$1,0)-1)),4)</f>
        <v>0</v>
      </c>
      <c r="T233" s="238">
        <f t="shared" ca="1" si="190"/>
        <v>0</v>
      </c>
      <c r="U233" s="237"/>
      <c r="V233" s="238">
        <v>0</v>
      </c>
      <c r="W233" s="239">
        <f t="shared" ca="1" si="191"/>
        <v>1.73</v>
      </c>
      <c r="X233" s="240">
        <f t="shared" si="189"/>
        <v>105</v>
      </c>
      <c r="Y233" s="236">
        <v>4.5599999999999996</v>
      </c>
      <c r="Z233" s="236">
        <f t="shared" ca="1" si="192"/>
        <v>-0.05</v>
      </c>
      <c r="AA233" s="241">
        <v>46168</v>
      </c>
      <c r="AF233" s="225">
        <f t="shared" ca="1" si="136"/>
        <v>46236</v>
      </c>
      <c r="AG233" s="225" t="b">
        <f t="shared" si="184"/>
        <v>0</v>
      </c>
      <c r="AH233" s="242"/>
      <c r="AK233" s="223">
        <f t="shared" si="185"/>
        <v>22</v>
      </c>
      <c r="AL233" s="223">
        <f t="shared" si="186"/>
        <v>2026</v>
      </c>
      <c r="AS233" s="223">
        <f t="shared" si="187"/>
        <v>5</v>
      </c>
      <c r="AT233" s="223">
        <f t="shared" si="188"/>
        <v>2026</v>
      </c>
    </row>
    <row r="234" spans="2:46" ht="15.75" x14ac:dyDescent="0.25">
      <c r="B234" s="229" t="s">
        <v>611</v>
      </c>
      <c r="C234" s="427" t="s">
        <v>263</v>
      </c>
      <c r="D234" s="428">
        <v>998</v>
      </c>
      <c r="E234" s="232" t="s">
        <v>4</v>
      </c>
      <c r="F234" s="233">
        <v>2.88</v>
      </c>
      <c r="G234" s="234">
        <v>46127</v>
      </c>
      <c r="H234" s="235" t="s">
        <v>15</v>
      </c>
      <c r="I234" s="235"/>
      <c r="J234" s="236">
        <v>7.0000000000000007E-2</v>
      </c>
      <c r="K234" s="237">
        <f ca="1">ROUND(IF(ISERROR(OFFSET(Tabella!$A$1,MATCH(H234,Tabella!$A:$A,0)-1,MATCH(J234,Tabella!$A$1:$AC$1,0)-1)=TRUE),0,+OFFSET(Tabella!$A$1,MATCH(H234,Tabella!$A:$A,0)-1,MATCH(J234,Tabella!$A$1:$AC$1,0)-1)),4)</f>
        <v>1.4</v>
      </c>
      <c r="L234" s="238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238">
        <f ca="1">ROUND(IF(ISERROR(OFFSET(Rame!$A$1,MATCH(H234,Rame!$A:$A,0)-1,MATCH(J234,Rame!$A$1:$AA$1,0)-1)=TRUE),0,OFFSET(Rame!$A$1,MATCH(H234,Rame!$A:$A,0)-1,MATCH(J234,Rame!$A$1:$AA$1,0)-1))*IF(E234="Rame",1,0),4)</f>
        <v>0</v>
      </c>
      <c r="N234" s="238">
        <v>0</v>
      </c>
      <c r="O234" s="238">
        <v>1.88</v>
      </c>
      <c r="P234" s="238">
        <f ca="1">ROUND(+IF(ISERROR(OFFSET(Tabella!$G$1,MATCH(H234,Tabella!$G:$G,0)-1,MATCH(I234,Tabella!$G$1:$FG$1,0)-1)=TRUE),0,OFFSET(Tabella!$G$1,MATCH(H234,Tabella!$G:$G,0)-1,MATCH(I234,Tabella!$G$1:$AB$1,0)-1)),4)</f>
        <v>0</v>
      </c>
      <c r="Q234" s="238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238">
        <f ca="1">ROUND(IF(ISERROR(OFFSET(Rame!$F$1,MATCH(H234,Rame!$F:$F,0)-1,MATCH(I234,Rame!$F$1:$FF$1,0)-1)=TRUE),0,OFFSET(Rame!$F$1,MATCH(H234,Rame!$F:$F,0)-1,MATCH(I234,Rame!$F$1:$FF$1,0)-1))*IF(E234="Rame",1,0),4)</f>
        <v>0</v>
      </c>
      <c r="S234" s="238">
        <f ca="1">ROUND(IF(ISERROR(OFFSET(Bronzo!$A$1,MATCH(H234,Bronzo!$A:$A,0)-1,MATCH(I234,Bronzo!$A$1:$AA$1,0)-1)=TRUE),0,OFFSET(Bronzo!$A$1,MATCH(H234,Bronzo!$A:$A,0)-1,MATCH(I234,Bronzo!$A$1:$AA$1,0)-1)),4)</f>
        <v>0</v>
      </c>
      <c r="T234" s="238">
        <f t="shared" ca="1" si="190"/>
        <v>0</v>
      </c>
      <c r="U234" s="237"/>
      <c r="V234" s="238">
        <v>0</v>
      </c>
      <c r="W234" s="239">
        <f t="shared" ca="1" si="191"/>
        <v>1.88</v>
      </c>
      <c r="X234" s="429">
        <f t="shared" si="189"/>
        <v>69.86</v>
      </c>
      <c r="Y234" s="236">
        <v>4.71</v>
      </c>
      <c r="Z234" s="236">
        <f t="shared" ca="1" si="192"/>
        <v>-0.05</v>
      </c>
      <c r="AA234" s="241"/>
      <c r="AF234" s="225">
        <f t="shared" ca="1" si="136"/>
        <v>46236</v>
      </c>
      <c r="AG234" s="225" t="b">
        <f t="shared" si="184"/>
        <v>1</v>
      </c>
      <c r="AH234" s="242"/>
      <c r="AK234" s="223">
        <f t="shared" si="185"/>
        <v>0</v>
      </c>
      <c r="AL234" s="223">
        <f t="shared" si="186"/>
        <v>1900</v>
      </c>
      <c r="AS234" s="223">
        <f t="shared" si="187"/>
        <v>0</v>
      </c>
      <c r="AT234" s="223">
        <f t="shared" si="188"/>
        <v>0</v>
      </c>
    </row>
    <row r="235" spans="2:46" ht="15.75" x14ac:dyDescent="0.25">
      <c r="B235" s="229" t="s">
        <v>611</v>
      </c>
      <c r="C235" s="427" t="s">
        <v>263</v>
      </c>
      <c r="D235" s="428">
        <v>1432</v>
      </c>
      <c r="E235" s="232" t="s">
        <v>4</v>
      </c>
      <c r="F235" s="233">
        <v>2.88</v>
      </c>
      <c r="G235" s="234">
        <v>46127</v>
      </c>
      <c r="H235" s="235" t="s">
        <v>243</v>
      </c>
      <c r="I235" s="235"/>
      <c r="J235" s="236">
        <v>7.0000000000000007E-2</v>
      </c>
      <c r="K235" s="237">
        <f ca="1">ROUND(IF(ISERROR(OFFSET(Tabella!$A$1,MATCH(H235,Tabella!$A:$A,0)-1,MATCH(J235,Tabella!$A$1:$AC$1,0)-1)=TRUE),0,+OFFSET(Tabella!$A$1,MATCH(H235,Tabella!$A:$A,0)-1,MATCH(J235,Tabella!$A$1:$AC$1,0)-1)),4)</f>
        <v>1.4</v>
      </c>
      <c r="L235" s="238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238">
        <f ca="1">ROUND(IF(ISERROR(OFFSET(Rame!$A$1,MATCH(H235,Rame!$A:$A,0)-1,MATCH(J235,Rame!$A$1:$AA$1,0)-1)=TRUE),0,OFFSET(Rame!$A$1,MATCH(H235,Rame!$A:$A,0)-1,MATCH(J235,Rame!$A$1:$AA$1,0)-1))*IF(E235="Rame",1,0),4)</f>
        <v>0</v>
      </c>
      <c r="N235" s="238">
        <v>0</v>
      </c>
      <c r="O235" s="238">
        <v>1.83</v>
      </c>
      <c r="P235" s="238">
        <f ca="1">ROUND(+IF(ISERROR(OFFSET(Tabella!$G$1,MATCH(H235,Tabella!$G:$G,0)-1,MATCH(I235,Tabella!$G$1:$FG$1,0)-1)=TRUE),0,OFFSET(Tabella!$G$1,MATCH(H235,Tabella!$G:$G,0)-1,MATCH(I235,Tabella!$G$1:$AB$1,0)-1)),4)</f>
        <v>0</v>
      </c>
      <c r="Q235" s="238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238">
        <f ca="1">ROUND(IF(ISERROR(OFFSET(Rame!$F$1,MATCH(H235,Rame!$F:$F,0)-1,MATCH(I235,Rame!$F$1:$FF$1,0)-1)=TRUE),0,OFFSET(Rame!$F$1,MATCH(H235,Rame!$F:$F,0)-1,MATCH(I235,Rame!$F$1:$FF$1,0)-1))*IF(E235="Rame",1,0),4)</f>
        <v>0</v>
      </c>
      <c r="S235" s="238">
        <f ca="1">ROUND(IF(ISERROR(OFFSET(Bronzo!$A$1,MATCH(H235,Bronzo!$A:$A,0)-1,MATCH(I235,Bronzo!$A$1:$AA$1,0)-1)=TRUE),0,OFFSET(Bronzo!$A$1,MATCH(H235,Bronzo!$A:$A,0)-1,MATCH(I235,Bronzo!$A$1:$AA$1,0)-1)),4)</f>
        <v>0</v>
      </c>
      <c r="T235" s="238">
        <f t="shared" ca="1" si="190"/>
        <v>0</v>
      </c>
      <c r="U235" s="237"/>
      <c r="V235" s="238">
        <v>0</v>
      </c>
      <c r="W235" s="239">
        <f t="shared" ca="1" si="191"/>
        <v>1.83</v>
      </c>
      <c r="X235" s="429">
        <f t="shared" si="189"/>
        <v>100.24</v>
      </c>
      <c r="Y235" s="236">
        <v>4.66</v>
      </c>
      <c r="Z235" s="236">
        <f t="shared" ca="1" si="192"/>
        <v>-0.05</v>
      </c>
      <c r="AA235" s="241"/>
      <c r="AF235" s="225">
        <f t="shared" ca="1" si="136"/>
        <v>46236</v>
      </c>
      <c r="AG235" s="225" t="b">
        <f t="shared" si="184"/>
        <v>1</v>
      </c>
      <c r="AH235" s="242"/>
      <c r="AK235" s="223">
        <f t="shared" si="185"/>
        <v>0</v>
      </c>
      <c r="AL235" s="223">
        <f t="shared" si="186"/>
        <v>1900</v>
      </c>
      <c r="AS235" s="223">
        <f t="shared" si="187"/>
        <v>0</v>
      </c>
      <c r="AT235" s="223">
        <f t="shared" si="188"/>
        <v>0</v>
      </c>
    </row>
    <row r="236" spans="2:46" ht="15.75" x14ac:dyDescent="0.25">
      <c r="B236" s="229" t="s">
        <v>495</v>
      </c>
      <c r="C236" s="235" t="s">
        <v>396</v>
      </c>
      <c r="D236" s="243">
        <v>300</v>
      </c>
      <c r="E236" s="232" t="s">
        <v>4</v>
      </c>
      <c r="F236" s="233">
        <v>3.07</v>
      </c>
      <c r="G236" s="234">
        <v>46125</v>
      </c>
      <c r="H236" s="235" t="s">
        <v>23</v>
      </c>
      <c r="I236" s="235"/>
      <c r="J236" s="236">
        <v>7.0000000000000007E-2</v>
      </c>
      <c r="K236" s="237">
        <f ca="1">ROUND(IF(ISERROR(OFFSET(Tabella!$A$1,MATCH(H236,Tabella!$A:$A,0)-1,MATCH(J236,Tabella!$A$1:$AC$1,0)-1)=TRUE),0,+OFFSET(Tabella!$A$1,MATCH(H236,Tabella!$A:$A,0)-1,MATCH(J236,Tabella!$A$1:$AC$1,0)-1)),4)</f>
        <v>1.25</v>
      </c>
      <c r="L236" s="238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238">
        <f ca="1">ROUND(IF(ISERROR(OFFSET(Rame!$A$1,MATCH(H236,Rame!$A:$A,0)-1,MATCH(J236,Rame!$A$1:$AA$1,0)-1)=TRUE),0,OFFSET(Rame!$A$1,MATCH(H236,Rame!$A:$A,0)-1,MATCH(J236,Rame!$A$1:$AA$1,0)-1))*IF(E236="Rame",1,0),4)</f>
        <v>0</v>
      </c>
      <c r="N236" s="238">
        <v>0</v>
      </c>
      <c r="O236" s="238">
        <v>1.6</v>
      </c>
      <c r="P236" s="238">
        <f ca="1">ROUND(+IF(ISERROR(OFFSET(Tabella!$G$1,MATCH(H236,Tabella!$G:$G,0)-1,MATCH(I236,Tabella!$G$1:$FG$1,0)-1)=TRUE),0,OFFSET(Tabella!$G$1,MATCH(H236,Tabella!$G:$G,0)-1,MATCH(I236,Tabella!$G$1:$AB$1,0)-1)),4)</f>
        <v>0</v>
      </c>
      <c r="Q236" s="238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238">
        <f ca="1">ROUND(IF(ISERROR(OFFSET(Rame!$F$1,MATCH(H236,Rame!$F:$F,0)-1,MATCH(I236,Rame!$F$1:$FF$1,0)-1)=TRUE),0,OFFSET(Rame!$F$1,MATCH(H236,Rame!$F:$F,0)-1,MATCH(I236,Rame!$F$1:$FF$1,0)-1))*IF(E236="Rame",1,0),4)</f>
        <v>0</v>
      </c>
      <c r="S236" s="238">
        <f ca="1">ROUND(IF(ISERROR(OFFSET(Bronzo!$A$1,MATCH(H236,Bronzo!$A:$A,0)-1,MATCH(I236,Bronzo!$A$1:$AA$1,0)-1)=TRUE),0,OFFSET(Bronzo!$A$1,MATCH(H236,Bronzo!$A:$A,0)-1,MATCH(I236,Bronzo!$A$1:$AA$1,0)-1)),4)</f>
        <v>0</v>
      </c>
      <c r="T236" s="238">
        <f t="shared" ca="1" si="190"/>
        <v>0</v>
      </c>
      <c r="U236" s="237"/>
      <c r="V236" s="238">
        <v>0</v>
      </c>
      <c r="W236" s="239">
        <f t="shared" ca="1" si="191"/>
        <v>1.6</v>
      </c>
      <c r="X236" s="240">
        <f t="shared" si="189"/>
        <v>21</v>
      </c>
      <c r="Y236" s="236">
        <v>4.8899999999999997</v>
      </c>
      <c r="Z236" s="236">
        <f t="shared" ca="1" si="192"/>
        <v>0.22</v>
      </c>
      <c r="AA236" s="241">
        <v>46146</v>
      </c>
      <c r="AF236" s="225">
        <f t="shared" ca="1" si="136"/>
        <v>46236</v>
      </c>
      <c r="AG236" s="225" t="b">
        <f t="shared" si="184"/>
        <v>0</v>
      </c>
      <c r="AH236" s="242"/>
      <c r="AK236" s="223">
        <f t="shared" si="185"/>
        <v>19</v>
      </c>
      <c r="AL236" s="223">
        <f t="shared" si="186"/>
        <v>2026</v>
      </c>
      <c r="AS236" s="223">
        <f t="shared" si="187"/>
        <v>5</v>
      </c>
      <c r="AT236" s="223">
        <f t="shared" si="188"/>
        <v>2026</v>
      </c>
    </row>
    <row r="237" spans="2:46" ht="15.75" x14ac:dyDescent="0.25">
      <c r="B237" s="229" t="s">
        <v>496</v>
      </c>
      <c r="C237" s="235" t="s">
        <v>396</v>
      </c>
      <c r="D237" s="243">
        <v>200</v>
      </c>
      <c r="E237" s="232" t="s">
        <v>4</v>
      </c>
      <c r="F237" s="233">
        <v>3.07</v>
      </c>
      <c r="G237" s="234">
        <v>46125</v>
      </c>
      <c r="H237" s="235" t="s">
        <v>307</v>
      </c>
      <c r="I237" s="235"/>
      <c r="J237" s="236">
        <v>7.0000000000000007E-2</v>
      </c>
      <c r="K237" s="237">
        <f ca="1">ROUND(IF(ISERROR(OFFSET(Tabella!$A$1,MATCH(H237,Tabella!$A:$A,0)-1,MATCH(J237,Tabella!$A$1:$AC$1,0)-1)=TRUE),0,+OFFSET(Tabella!$A$1,MATCH(H237,Tabella!$A:$A,0)-1,MATCH(J237,Tabella!$A$1:$AC$1,0)-1)),4)</f>
        <v>1.25</v>
      </c>
      <c r="L237" s="238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238">
        <f ca="1">ROUND(IF(ISERROR(OFFSET(Rame!$A$1,MATCH(H237,Rame!$A:$A,0)-1,MATCH(J237,Rame!$A$1:$AA$1,0)-1)=TRUE),0,OFFSET(Rame!$A$1,MATCH(H237,Rame!$A:$A,0)-1,MATCH(J237,Rame!$A$1:$AA$1,0)-1))*IF(E237="Rame",1,0),4)</f>
        <v>0</v>
      </c>
      <c r="N237" s="238">
        <v>0</v>
      </c>
      <c r="O237" s="238">
        <v>1.6</v>
      </c>
      <c r="P237" s="238">
        <f ca="1">ROUND(+IF(ISERROR(OFFSET(Tabella!$G$1,MATCH(H237,Tabella!$G:$G,0)-1,MATCH(I237,Tabella!$G$1:$FG$1,0)-1)=TRUE),0,OFFSET(Tabella!$G$1,MATCH(H237,Tabella!$G:$G,0)-1,MATCH(I237,Tabella!$G$1:$AB$1,0)-1)),4)</f>
        <v>0</v>
      </c>
      <c r="Q237" s="238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238">
        <f ca="1">ROUND(IF(ISERROR(OFFSET(Rame!$F$1,MATCH(H237,Rame!$F:$F,0)-1,MATCH(I237,Rame!$F$1:$FF$1,0)-1)=TRUE),0,OFFSET(Rame!$F$1,MATCH(H237,Rame!$F:$F,0)-1,MATCH(I237,Rame!$F$1:$FF$1,0)-1))*IF(E237="Rame",1,0),4)</f>
        <v>0</v>
      </c>
      <c r="S237" s="238">
        <f ca="1">ROUND(IF(ISERROR(OFFSET(Bronzo!$A$1,MATCH(H237,Bronzo!$A:$A,0)-1,MATCH(I237,Bronzo!$A$1:$AA$1,0)-1)=TRUE),0,OFFSET(Bronzo!$A$1,MATCH(H237,Bronzo!$A:$A,0)-1,MATCH(I237,Bronzo!$A$1:$AA$1,0)-1)),4)</f>
        <v>0</v>
      </c>
      <c r="T237" s="238">
        <f t="shared" ca="1" si="190"/>
        <v>0</v>
      </c>
      <c r="U237" s="237"/>
      <c r="V237" s="238">
        <v>0</v>
      </c>
      <c r="W237" s="239">
        <f t="shared" ca="1" si="191"/>
        <v>1.6</v>
      </c>
      <c r="X237" s="240">
        <f t="shared" si="189"/>
        <v>14</v>
      </c>
      <c r="Y237" s="236">
        <v>4.8899999999999997</v>
      </c>
      <c r="Z237" s="236">
        <f t="shared" ca="1" si="192"/>
        <v>0.22</v>
      </c>
      <c r="AA237" s="241">
        <v>46150</v>
      </c>
      <c r="AF237" s="225">
        <f t="shared" ca="1" si="136"/>
        <v>46236</v>
      </c>
      <c r="AG237" s="225" t="b">
        <f t="shared" si="184"/>
        <v>0</v>
      </c>
      <c r="AH237" s="242"/>
      <c r="AK237" s="223">
        <f t="shared" si="185"/>
        <v>19</v>
      </c>
      <c r="AL237" s="223">
        <f t="shared" si="186"/>
        <v>2026</v>
      </c>
      <c r="AS237" s="223">
        <f t="shared" si="187"/>
        <v>5</v>
      </c>
      <c r="AT237" s="223">
        <f t="shared" si="188"/>
        <v>2026</v>
      </c>
    </row>
    <row r="238" spans="2:46" ht="15.75" x14ac:dyDescent="0.25">
      <c r="B238" s="229" t="s">
        <v>689</v>
      </c>
      <c r="C238" s="245" t="s">
        <v>396</v>
      </c>
      <c r="D238" s="246">
        <v>215</v>
      </c>
      <c r="E238" s="232" t="s">
        <v>4</v>
      </c>
      <c r="F238" s="233">
        <v>3.07</v>
      </c>
      <c r="G238" s="234">
        <v>46125</v>
      </c>
      <c r="H238" s="235" t="s">
        <v>11</v>
      </c>
      <c r="I238" s="235"/>
      <c r="J238" s="236">
        <v>7.0000000000000007E-2</v>
      </c>
      <c r="K238" s="237">
        <f ca="1">ROUND(IF(ISERROR(OFFSET(Tabella!$A$1,MATCH(H238,Tabella!$A:$A,0)-1,MATCH(J238,Tabella!$A$1:$AC$1,0)-1)=TRUE),0,+OFFSET(Tabella!$A$1,MATCH(H238,Tabella!$A:$A,0)-1,MATCH(J238,Tabella!$A$1:$AC$1,0)-1)),4)</f>
        <v>1.5</v>
      </c>
      <c r="L238" s="238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238">
        <f ca="1">ROUND(IF(ISERROR(OFFSET(Rame!$A$1,MATCH(H238,Rame!$A:$A,0)-1,MATCH(J238,Rame!$A$1:$AA$1,0)-1)=TRUE),0,OFFSET(Rame!$A$1,MATCH(H238,Rame!$A:$A,0)-1,MATCH(J238,Rame!$A$1:$AA$1,0)-1))*IF(E238="Rame",1,0),4)</f>
        <v>0</v>
      </c>
      <c r="N238" s="238">
        <v>0</v>
      </c>
      <c r="O238" s="238">
        <v>1.75</v>
      </c>
      <c r="P238" s="238">
        <f ca="1">ROUND(+IF(ISERROR(OFFSET(Tabella!$G$1,MATCH(H238,Tabella!$G:$G,0)-1,MATCH(I238,Tabella!$G$1:$FG$1,0)-1)=TRUE),0,OFFSET(Tabella!$G$1,MATCH(H238,Tabella!$G:$G,0)-1,MATCH(I238,Tabella!$G$1:$AB$1,0)-1)),4)</f>
        <v>0</v>
      </c>
      <c r="Q238" s="238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238">
        <f ca="1">ROUND(IF(ISERROR(OFFSET(Rame!$F$1,MATCH(H238,Rame!$F:$F,0)-1,MATCH(I238,Rame!$F$1:$FF$1,0)-1)=TRUE),0,OFFSET(Rame!$F$1,MATCH(H238,Rame!$F:$F,0)-1,MATCH(I238,Rame!$F$1:$FF$1,0)-1))*IF(E238="Rame",1,0),4)</f>
        <v>0</v>
      </c>
      <c r="S238" s="238">
        <f ca="1">ROUND(IF(ISERROR(OFFSET(Bronzo!$A$1,MATCH(H238,Bronzo!$A:$A,0)-1,MATCH(I238,Bronzo!$A$1:$AA$1,0)-1)=TRUE),0,OFFSET(Bronzo!$A$1,MATCH(H238,Bronzo!$A:$A,0)-1,MATCH(I238,Bronzo!$A$1:$AA$1,0)-1)),4)</f>
        <v>0</v>
      </c>
      <c r="T238" s="238">
        <f t="shared" ca="1" si="190"/>
        <v>0</v>
      </c>
      <c r="U238" s="237"/>
      <c r="V238" s="238">
        <v>0</v>
      </c>
      <c r="W238" s="239">
        <f t="shared" ca="1" si="191"/>
        <v>1.75</v>
      </c>
      <c r="X238" s="423">
        <f t="shared" si="189"/>
        <v>15.05</v>
      </c>
      <c r="Y238" s="236">
        <v>5.19</v>
      </c>
      <c r="Z238" s="236">
        <f t="shared" ca="1" si="192"/>
        <v>0.37</v>
      </c>
      <c r="AA238" s="241"/>
      <c r="AF238" s="225">
        <f t="shared" ca="1" si="136"/>
        <v>46236</v>
      </c>
      <c r="AG238" s="225" t="b">
        <f t="shared" si="184"/>
        <v>1</v>
      </c>
      <c r="AH238" s="242"/>
      <c r="AK238" s="223">
        <f t="shared" si="185"/>
        <v>0</v>
      </c>
      <c r="AL238" s="223">
        <f t="shared" si="186"/>
        <v>1900</v>
      </c>
      <c r="AS238" s="223">
        <f t="shared" si="187"/>
        <v>0</v>
      </c>
      <c r="AT238" s="223">
        <f t="shared" si="188"/>
        <v>0</v>
      </c>
    </row>
    <row r="239" spans="2:46" ht="15.75" x14ac:dyDescent="0.25">
      <c r="B239" s="229" t="s">
        <v>716</v>
      </c>
      <c r="C239" s="245" t="s">
        <v>228</v>
      </c>
      <c r="D239" s="246">
        <v>306</v>
      </c>
      <c r="E239" s="232" t="s">
        <v>4</v>
      </c>
      <c r="F239" s="233">
        <v>3.08</v>
      </c>
      <c r="G239" s="234">
        <v>46129</v>
      </c>
      <c r="H239" s="235" t="s">
        <v>17</v>
      </c>
      <c r="I239" s="235"/>
      <c r="J239" s="236">
        <v>0.3</v>
      </c>
      <c r="K239" s="237">
        <f ca="1">ROUND(IF(ISERROR(OFFSET(Tabella!$A$1,MATCH(H239,Tabella!$A:$A,0)-1,MATCH(J239,Tabella!$A$1:$AC$1,0)-1)=TRUE),0,+OFFSET(Tabella!$A$1,MATCH(H239,Tabella!$A:$A,0)-1,MATCH(J239,Tabella!$A$1:$AC$1,0)-1)),4)</f>
        <v>0</v>
      </c>
      <c r="L239" s="238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238">
        <f ca="1">ROUND(IF(ISERROR(OFFSET(Rame!$A$1,MATCH(H239,Rame!$A:$A,0)-1,MATCH(J239,Rame!$A$1:$AA$1,0)-1)=TRUE),0,OFFSET(Rame!$A$1,MATCH(H239,Rame!$A:$A,0)-1,MATCH(J239,Rame!$A$1:$AA$1,0)-1))*IF(E239="Rame",1,0),4)</f>
        <v>0</v>
      </c>
      <c r="N239" s="238">
        <v>0</v>
      </c>
      <c r="O239" s="238">
        <v>2.1</v>
      </c>
      <c r="P239" s="238">
        <f ca="1">ROUND(+IF(ISERROR(OFFSET(Tabella!$G$1,MATCH(H239,Tabella!$G:$G,0)-1,MATCH(I239,Tabella!$G$1:$FG$1,0)-1)=TRUE),0,OFFSET(Tabella!$G$1,MATCH(H239,Tabella!$G:$G,0)-1,MATCH(I239,Tabella!$G$1:$AB$1,0)-1)),4)</f>
        <v>0</v>
      </c>
      <c r="Q239" s="238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238">
        <f ca="1">ROUND(IF(ISERROR(OFFSET(Rame!$F$1,MATCH(H239,Rame!$F:$F,0)-1,MATCH(I239,Rame!$F$1:$FF$1,0)-1)=TRUE),0,OFFSET(Rame!$F$1,MATCH(H239,Rame!$F:$F,0)-1,MATCH(I239,Rame!$F$1:$FF$1,0)-1))*IF(E239="Rame",1,0),4)</f>
        <v>0</v>
      </c>
      <c r="S239" s="238">
        <f ca="1">ROUND(IF(ISERROR(OFFSET(Bronzo!$A$1,MATCH(H239,Bronzo!$A:$A,0)-1,MATCH(I239,Bronzo!$A$1:$AA$1,0)-1)=TRUE),0,OFFSET(Bronzo!$A$1,MATCH(H239,Bronzo!$A:$A,0)-1,MATCH(I239,Bronzo!$A$1:$AA$1,0)-1)),4)</f>
        <v>0</v>
      </c>
      <c r="T239" s="238">
        <f t="shared" ca="1" si="190"/>
        <v>0</v>
      </c>
      <c r="U239" s="237"/>
      <c r="V239" s="238">
        <v>0</v>
      </c>
      <c r="W239" s="239">
        <f t="shared" ca="1" si="191"/>
        <v>2.1</v>
      </c>
      <c r="X239" s="423">
        <f t="shared" si="189"/>
        <v>91.8</v>
      </c>
      <c r="Y239" s="236">
        <v>5.9</v>
      </c>
      <c r="Z239" s="236">
        <f t="shared" ca="1" si="192"/>
        <v>0.72</v>
      </c>
      <c r="AA239" s="241"/>
      <c r="AF239" s="225">
        <f t="shared" ca="1" si="136"/>
        <v>46236</v>
      </c>
      <c r="AG239" s="225" t="b">
        <f t="shared" si="184"/>
        <v>1</v>
      </c>
      <c r="AH239" s="242"/>
      <c r="AK239" s="223">
        <f t="shared" si="185"/>
        <v>0</v>
      </c>
      <c r="AL239" s="223">
        <f t="shared" si="186"/>
        <v>1900</v>
      </c>
      <c r="AS239" s="223">
        <f t="shared" si="187"/>
        <v>0</v>
      </c>
      <c r="AT239" s="223">
        <f t="shared" si="188"/>
        <v>0</v>
      </c>
    </row>
    <row r="240" spans="2:46" ht="15.75" x14ac:dyDescent="0.25">
      <c r="B240" s="229" t="s">
        <v>716</v>
      </c>
      <c r="C240" s="245" t="s">
        <v>228</v>
      </c>
      <c r="D240" s="246">
        <v>255</v>
      </c>
      <c r="E240" s="232" t="s">
        <v>4</v>
      </c>
      <c r="F240" s="233">
        <v>3.08</v>
      </c>
      <c r="G240" s="234">
        <v>46129</v>
      </c>
      <c r="H240" s="235" t="s">
        <v>19</v>
      </c>
      <c r="I240" s="235"/>
      <c r="J240" s="236">
        <v>0.3</v>
      </c>
      <c r="K240" s="237">
        <f ca="1">ROUND(IF(ISERROR(OFFSET(Tabella!$A$1,MATCH(H240,Tabella!$A:$A,0)-1,MATCH(J240,Tabella!$A$1:$AC$1,0)-1)=TRUE),0,+OFFSET(Tabella!$A$1,MATCH(H240,Tabella!$A:$A,0)-1,MATCH(J240,Tabella!$A$1:$AC$1,0)-1)),4)</f>
        <v>0</v>
      </c>
      <c r="L240" s="238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238">
        <f ca="1">ROUND(IF(ISERROR(OFFSET(Rame!$A$1,MATCH(H240,Rame!$A:$A,0)-1,MATCH(J240,Rame!$A$1:$AA$1,0)-1)=TRUE),0,OFFSET(Rame!$A$1,MATCH(H240,Rame!$A:$A,0)-1,MATCH(J240,Rame!$A$1:$AA$1,0)-1))*IF(E240="Rame",1,0),4)</f>
        <v>0</v>
      </c>
      <c r="N240" s="238">
        <v>0</v>
      </c>
      <c r="O240" s="238">
        <v>2.0699999999999998</v>
      </c>
      <c r="P240" s="238">
        <f ca="1">ROUND(+IF(ISERROR(OFFSET(Tabella!$G$1,MATCH(H240,Tabella!$G:$G,0)-1,MATCH(I240,Tabella!$G$1:$FG$1,0)-1)=TRUE),0,OFFSET(Tabella!$G$1,MATCH(H240,Tabella!$G:$G,0)-1,MATCH(I240,Tabella!$G$1:$AB$1,0)-1)),4)</f>
        <v>0</v>
      </c>
      <c r="Q240" s="238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238">
        <f ca="1">ROUND(IF(ISERROR(OFFSET(Rame!$F$1,MATCH(H240,Rame!$F:$F,0)-1,MATCH(I240,Rame!$F$1:$FF$1,0)-1)=TRUE),0,OFFSET(Rame!$F$1,MATCH(H240,Rame!$F:$F,0)-1,MATCH(I240,Rame!$F$1:$FF$1,0)-1))*IF(E240="Rame",1,0),4)</f>
        <v>0</v>
      </c>
      <c r="S240" s="238">
        <f ca="1">ROUND(IF(ISERROR(OFFSET(Bronzo!$A$1,MATCH(H240,Bronzo!$A:$A,0)-1,MATCH(I240,Bronzo!$A$1:$AA$1,0)-1)=TRUE),0,OFFSET(Bronzo!$A$1,MATCH(H240,Bronzo!$A:$A,0)-1,MATCH(I240,Bronzo!$A$1:$AA$1,0)-1)),4)</f>
        <v>0</v>
      </c>
      <c r="T240" s="238">
        <f t="shared" ca="1" si="190"/>
        <v>0</v>
      </c>
      <c r="U240" s="237"/>
      <c r="V240" s="238">
        <v>0</v>
      </c>
      <c r="W240" s="239">
        <f t="shared" ca="1" si="191"/>
        <v>2.0699999999999998</v>
      </c>
      <c r="X240" s="423">
        <f t="shared" si="189"/>
        <v>76.5</v>
      </c>
      <c r="Y240" s="236">
        <v>5.9</v>
      </c>
      <c r="Z240" s="236">
        <f t="shared" ca="1" si="192"/>
        <v>0.75</v>
      </c>
      <c r="AA240" s="241"/>
      <c r="AF240" s="225">
        <f t="shared" ca="1" si="136"/>
        <v>46236</v>
      </c>
      <c r="AG240" s="225" t="b">
        <f t="shared" si="184"/>
        <v>1</v>
      </c>
      <c r="AH240" s="242"/>
      <c r="AK240" s="223">
        <f t="shared" si="185"/>
        <v>0</v>
      </c>
      <c r="AL240" s="223">
        <f t="shared" si="186"/>
        <v>1900</v>
      </c>
      <c r="AS240" s="223">
        <f t="shared" si="187"/>
        <v>0</v>
      </c>
      <c r="AT240" s="223">
        <f t="shared" si="188"/>
        <v>0</v>
      </c>
    </row>
    <row r="241" spans="2:46" ht="15.75" x14ac:dyDescent="0.25">
      <c r="B241" s="229" t="s">
        <v>640</v>
      </c>
      <c r="C241" s="245" t="s">
        <v>396</v>
      </c>
      <c r="D241" s="246">
        <v>854</v>
      </c>
      <c r="E241" s="232" t="s">
        <v>4</v>
      </c>
      <c r="F241" s="233">
        <v>3.09</v>
      </c>
      <c r="G241" s="234">
        <v>46129</v>
      </c>
      <c r="H241" s="235" t="s">
        <v>29</v>
      </c>
      <c r="I241" s="235"/>
      <c r="J241" s="236">
        <v>7.0000000000000007E-2</v>
      </c>
      <c r="K241" s="237">
        <f ca="1">ROUND(IF(ISERROR(OFFSET(Tabella!$A$1,MATCH(H241,Tabella!$A:$A,0)-1,MATCH(J241,Tabella!$A$1:$AC$1,0)-1)=TRUE),0,+OFFSET(Tabella!$A$1,MATCH(H241,Tabella!$A:$A,0)-1,MATCH(J241,Tabella!$A$1:$AC$1,0)-1)),4)</f>
        <v>1.3</v>
      </c>
      <c r="L241" s="238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238">
        <f ca="1">ROUND(IF(ISERROR(OFFSET(Rame!$A$1,MATCH(H241,Rame!$A:$A,0)-1,MATCH(J241,Rame!$A$1:$AA$1,0)-1)=TRUE),0,OFFSET(Rame!$A$1,MATCH(H241,Rame!$A:$A,0)-1,MATCH(J241,Rame!$A$1:$AA$1,0)-1))*IF(E241="Rame",1,0),4)</f>
        <v>0</v>
      </c>
      <c r="N241" s="238">
        <v>0</v>
      </c>
      <c r="O241" s="238">
        <v>1.6</v>
      </c>
      <c r="P241" s="238">
        <f ca="1">ROUND(+IF(ISERROR(OFFSET(Tabella!$G$1,MATCH(H241,Tabella!$G:$G,0)-1,MATCH(I241,Tabella!$G$1:$FG$1,0)-1)=TRUE),0,OFFSET(Tabella!$G$1,MATCH(H241,Tabella!$G:$G,0)-1,MATCH(I241,Tabella!$G$1:$AB$1,0)-1)),4)</f>
        <v>0</v>
      </c>
      <c r="Q241" s="238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238">
        <f ca="1">ROUND(IF(ISERROR(OFFSET(Rame!$F$1,MATCH(H241,Rame!$F:$F,0)-1,MATCH(I241,Rame!$F$1:$FF$1,0)-1)=TRUE),0,OFFSET(Rame!$F$1,MATCH(H241,Rame!$F:$F,0)-1,MATCH(I241,Rame!$F$1:$FF$1,0)-1))*IF(E241="Rame",1,0),4)</f>
        <v>0</v>
      </c>
      <c r="S241" s="238">
        <f ca="1">ROUND(IF(ISERROR(OFFSET(Bronzo!$A$1,MATCH(H241,Bronzo!$A:$A,0)-1,MATCH(I241,Bronzo!$A$1:$AA$1,0)-1)=TRUE),0,OFFSET(Bronzo!$A$1,MATCH(H241,Bronzo!$A:$A,0)-1,MATCH(I241,Bronzo!$A$1:$AA$1,0)-1)),4)</f>
        <v>0</v>
      </c>
      <c r="T241" s="238">
        <f t="shared" ca="1" si="190"/>
        <v>0</v>
      </c>
      <c r="U241" s="237"/>
      <c r="V241" s="238">
        <v>0</v>
      </c>
      <c r="W241" s="239">
        <f t="shared" ca="1" si="191"/>
        <v>1.6</v>
      </c>
      <c r="X241" s="423">
        <f t="shared" si="189"/>
        <v>59.78</v>
      </c>
      <c r="Y241" s="236">
        <v>4.91</v>
      </c>
      <c r="Z241" s="236">
        <f t="shared" ca="1" si="192"/>
        <v>0.22</v>
      </c>
      <c r="AA241" s="241"/>
      <c r="AF241" s="225">
        <f t="shared" ca="1" si="136"/>
        <v>46236</v>
      </c>
      <c r="AG241" s="225" t="b">
        <f t="shared" si="184"/>
        <v>1</v>
      </c>
      <c r="AH241" s="242"/>
      <c r="AK241" s="223">
        <f t="shared" si="185"/>
        <v>0</v>
      </c>
      <c r="AL241" s="223">
        <f t="shared" si="186"/>
        <v>1900</v>
      </c>
      <c r="AS241" s="223">
        <f t="shared" si="187"/>
        <v>0</v>
      </c>
      <c r="AT241" s="223">
        <f t="shared" si="188"/>
        <v>0</v>
      </c>
    </row>
    <row r="242" spans="2:46" ht="15.75" x14ac:dyDescent="0.25">
      <c r="B242" s="229" t="s">
        <v>500</v>
      </c>
      <c r="C242" s="235" t="s">
        <v>92</v>
      </c>
      <c r="D242" s="243">
        <v>2500</v>
      </c>
      <c r="E242" s="232" t="s">
        <v>4</v>
      </c>
      <c r="F242" s="233">
        <v>3.09</v>
      </c>
      <c r="G242" s="234">
        <v>46129</v>
      </c>
      <c r="H242" s="235" t="s">
        <v>21</v>
      </c>
      <c r="I242" s="235"/>
      <c r="J242" s="236">
        <v>7.0000000000000007E-2</v>
      </c>
      <c r="K242" s="237">
        <f ca="1">ROUND(IF(ISERROR(OFFSET(Tabella!$A$1,MATCH(H242,Tabella!$A:$A,0)-1,MATCH(J242,Tabella!$A$1:$AC$1,0)-1)=TRUE),0,+OFFSET(Tabella!$A$1,MATCH(H242,Tabella!$A:$A,0)-1,MATCH(J242,Tabella!$A$1:$AC$1,0)-1)),4)</f>
        <v>1.25</v>
      </c>
      <c r="L242" s="238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238">
        <f ca="1">ROUND(IF(ISERROR(OFFSET(Rame!$A$1,MATCH(H242,Rame!$A:$A,0)-1,MATCH(J242,Rame!$A$1:$AA$1,0)-1)=TRUE),0,OFFSET(Rame!$A$1,MATCH(H242,Rame!$A:$A,0)-1,MATCH(J242,Rame!$A$1:$AA$1,0)-1))*IF(E242="Rame",1,0),4)</f>
        <v>0</v>
      </c>
      <c r="N242" s="238">
        <v>0</v>
      </c>
      <c r="O242" s="238">
        <v>1.73</v>
      </c>
      <c r="P242" s="238">
        <f ca="1">ROUND(+IF(ISERROR(OFFSET(Tabella!$G$1,MATCH(H242,Tabella!$G:$G,0)-1,MATCH(I242,Tabella!$G$1:$FG$1,0)-1)=TRUE),0,OFFSET(Tabella!$G$1,MATCH(H242,Tabella!$G:$G,0)-1,MATCH(I242,Tabella!$G$1:$AB$1,0)-1)),4)</f>
        <v>0</v>
      </c>
      <c r="Q242" s="238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238">
        <f ca="1">ROUND(IF(ISERROR(OFFSET(Rame!$F$1,MATCH(H242,Rame!$F:$F,0)-1,MATCH(I242,Rame!$F$1:$FF$1,0)-1)=TRUE),0,OFFSET(Rame!$F$1,MATCH(H242,Rame!$F:$F,0)-1,MATCH(I242,Rame!$F$1:$FF$1,0)-1))*IF(E242="Rame",1,0),4)</f>
        <v>0</v>
      </c>
      <c r="S242" s="238">
        <f ca="1">ROUND(IF(ISERROR(OFFSET(Bronzo!$A$1,MATCH(H242,Bronzo!$A:$A,0)-1,MATCH(I242,Bronzo!$A$1:$AA$1,0)-1)=TRUE),0,OFFSET(Bronzo!$A$1,MATCH(H242,Bronzo!$A:$A,0)-1,MATCH(I242,Bronzo!$A$1:$AA$1,0)-1)),4)</f>
        <v>0</v>
      </c>
      <c r="T242" s="238">
        <f t="shared" ca="1" si="190"/>
        <v>0</v>
      </c>
      <c r="U242" s="237"/>
      <c r="V242" s="238">
        <v>0</v>
      </c>
      <c r="W242" s="239">
        <f t="shared" ca="1" si="191"/>
        <v>1.73</v>
      </c>
      <c r="X242" s="240">
        <f t="shared" si="189"/>
        <v>175</v>
      </c>
      <c r="Y242" s="236">
        <v>4.82</v>
      </c>
      <c r="Z242" s="236">
        <f t="shared" ca="1" si="192"/>
        <v>0</v>
      </c>
      <c r="AA242" s="241">
        <v>46177</v>
      </c>
      <c r="AF242" s="225">
        <f t="shared" ca="1" si="136"/>
        <v>46236</v>
      </c>
      <c r="AG242" s="225" t="b">
        <f t="shared" si="184"/>
        <v>0</v>
      </c>
      <c r="AH242" s="242"/>
      <c r="AK242" s="223">
        <f t="shared" si="185"/>
        <v>23</v>
      </c>
      <c r="AL242" s="223">
        <f t="shared" si="186"/>
        <v>2026</v>
      </c>
      <c r="AS242" s="223">
        <f t="shared" si="187"/>
        <v>6</v>
      </c>
      <c r="AT242" s="223">
        <f t="shared" si="188"/>
        <v>2026</v>
      </c>
    </row>
    <row r="243" spans="2:46" ht="15.75" x14ac:dyDescent="0.25">
      <c r="B243" s="229" t="s">
        <v>500</v>
      </c>
      <c r="C243" s="235" t="s">
        <v>92</v>
      </c>
      <c r="D243" s="243">
        <v>11000</v>
      </c>
      <c r="E243" s="232" t="s">
        <v>4</v>
      </c>
      <c r="F243" s="233">
        <v>3.09</v>
      </c>
      <c r="G243" s="234">
        <v>46129</v>
      </c>
      <c r="H243" s="235" t="s">
        <v>24</v>
      </c>
      <c r="I243" s="235"/>
      <c r="J243" s="236">
        <v>7.0000000000000007E-2</v>
      </c>
      <c r="K243" s="237">
        <f ca="1">ROUND(IF(ISERROR(OFFSET(Tabella!$A$1,MATCH(H243,Tabella!$A:$A,0)-1,MATCH(J243,Tabella!$A$1:$AC$1,0)-1)=TRUE),0,+OFFSET(Tabella!$A$1,MATCH(H243,Tabella!$A:$A,0)-1,MATCH(J243,Tabella!$A$1:$AC$1,0)-1)),4)</f>
        <v>1.25</v>
      </c>
      <c r="L243" s="238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238">
        <f ca="1">ROUND(IF(ISERROR(OFFSET(Rame!$A$1,MATCH(H243,Rame!$A:$A,0)-1,MATCH(J243,Rame!$A$1:$AA$1,0)-1)=TRUE),0,OFFSET(Rame!$A$1,MATCH(H243,Rame!$A:$A,0)-1,MATCH(J243,Rame!$A$1:$AA$1,0)-1))*IF(E243="Rame",1,0),4)</f>
        <v>0</v>
      </c>
      <c r="N243" s="238">
        <v>0</v>
      </c>
      <c r="O243" s="238">
        <v>1.73</v>
      </c>
      <c r="P243" s="238">
        <f ca="1">ROUND(+IF(ISERROR(OFFSET(Tabella!$G$1,MATCH(H243,Tabella!$G:$G,0)-1,MATCH(I243,Tabella!$G$1:$FG$1,0)-1)=TRUE),0,OFFSET(Tabella!$G$1,MATCH(H243,Tabella!$G:$G,0)-1,MATCH(I243,Tabella!$G$1:$AB$1,0)-1)),4)</f>
        <v>0</v>
      </c>
      <c r="Q243" s="238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238">
        <f ca="1">ROUND(IF(ISERROR(OFFSET(Rame!$F$1,MATCH(H243,Rame!$F:$F,0)-1,MATCH(I243,Rame!$F$1:$FF$1,0)-1)=TRUE),0,OFFSET(Rame!$F$1,MATCH(H243,Rame!$F:$F,0)-1,MATCH(I243,Rame!$F$1:$FF$1,0)-1))*IF(E243="Rame",1,0),4)</f>
        <v>0</v>
      </c>
      <c r="S243" s="238">
        <f ca="1">ROUND(IF(ISERROR(OFFSET(Bronzo!$A$1,MATCH(H243,Bronzo!$A:$A,0)-1,MATCH(I243,Bronzo!$A$1:$AA$1,0)-1)=TRUE),0,OFFSET(Bronzo!$A$1,MATCH(H243,Bronzo!$A:$A,0)-1,MATCH(I243,Bronzo!$A$1:$AA$1,0)-1)),4)</f>
        <v>0</v>
      </c>
      <c r="T243" s="238">
        <f t="shared" ca="1" si="190"/>
        <v>0</v>
      </c>
      <c r="U243" s="237"/>
      <c r="V243" s="238">
        <v>0</v>
      </c>
      <c r="W243" s="239">
        <f t="shared" ca="1" si="191"/>
        <v>1.73</v>
      </c>
      <c r="X243" s="240">
        <f t="shared" si="189"/>
        <v>770</v>
      </c>
      <c r="Y243" s="236">
        <v>4.82</v>
      </c>
      <c r="Z243" s="236">
        <f t="shared" ca="1" si="192"/>
        <v>0</v>
      </c>
      <c r="AA243" s="241">
        <v>46177</v>
      </c>
      <c r="AF243" s="225">
        <f t="shared" ca="1" si="136"/>
        <v>46236</v>
      </c>
      <c r="AG243" s="225" t="b">
        <f t="shared" si="184"/>
        <v>0</v>
      </c>
      <c r="AH243" s="242"/>
      <c r="AK243" s="223">
        <f t="shared" si="185"/>
        <v>23</v>
      </c>
      <c r="AL243" s="223">
        <f t="shared" si="186"/>
        <v>2026</v>
      </c>
      <c r="AS243" s="223">
        <f t="shared" si="187"/>
        <v>6</v>
      </c>
      <c r="AT243" s="223">
        <f t="shared" si="188"/>
        <v>2026</v>
      </c>
    </row>
    <row r="244" spans="2:46" ht="15.75" x14ac:dyDescent="0.25">
      <c r="B244" s="229" t="s">
        <v>500</v>
      </c>
      <c r="C244" s="235" t="s">
        <v>92</v>
      </c>
      <c r="D244" s="243">
        <v>600</v>
      </c>
      <c r="E244" s="232" t="s">
        <v>4</v>
      </c>
      <c r="F244" s="233">
        <v>3.09</v>
      </c>
      <c r="G244" s="234">
        <v>46129</v>
      </c>
      <c r="H244" s="235" t="s">
        <v>315</v>
      </c>
      <c r="I244" s="235"/>
      <c r="J244" s="236">
        <v>7.0000000000000007E-2</v>
      </c>
      <c r="K244" s="237">
        <f ca="1">ROUND(IF(ISERROR(OFFSET(Tabella!$A$1,MATCH(H244,Tabella!$A:$A,0)-1,MATCH(J244,Tabella!$A$1:$AC$1,0)-1)=TRUE),0,+OFFSET(Tabella!$A$1,MATCH(H244,Tabella!$A:$A,0)-1,MATCH(J244,Tabella!$A$1:$AC$1,0)-1)),4)</f>
        <v>1.25</v>
      </c>
      <c r="L244" s="238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238">
        <f ca="1">ROUND(IF(ISERROR(OFFSET(Rame!$A$1,MATCH(H244,Rame!$A:$A,0)-1,MATCH(J244,Rame!$A$1:$AA$1,0)-1)=TRUE),0,OFFSET(Rame!$A$1,MATCH(H244,Rame!$A:$A,0)-1,MATCH(J244,Rame!$A$1:$AA$1,0)-1))*IF(E244="Rame",1,0),4)</f>
        <v>0</v>
      </c>
      <c r="N244" s="238">
        <v>0</v>
      </c>
      <c r="O244" s="238">
        <v>1.73</v>
      </c>
      <c r="P244" s="238">
        <f ca="1">ROUND(+IF(ISERROR(OFFSET(Tabella!$G$1,MATCH(H244,Tabella!$G:$G,0)-1,MATCH(I244,Tabella!$G$1:$FG$1,0)-1)=TRUE),0,OFFSET(Tabella!$G$1,MATCH(H244,Tabella!$G:$G,0)-1,MATCH(I244,Tabella!$G$1:$AB$1,0)-1)),4)</f>
        <v>0</v>
      </c>
      <c r="Q244" s="238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238">
        <f ca="1">ROUND(IF(ISERROR(OFFSET(Rame!$F$1,MATCH(H244,Rame!$F:$F,0)-1,MATCH(I244,Rame!$F$1:$FF$1,0)-1)=TRUE),0,OFFSET(Rame!$F$1,MATCH(H244,Rame!$F:$F,0)-1,MATCH(I244,Rame!$F$1:$FF$1,0)-1))*IF(E244="Rame",1,0),4)</f>
        <v>0</v>
      </c>
      <c r="S244" s="238">
        <f ca="1">ROUND(IF(ISERROR(OFFSET(Bronzo!$A$1,MATCH(H244,Bronzo!$A:$A,0)-1,MATCH(I244,Bronzo!$A$1:$AA$1,0)-1)=TRUE),0,OFFSET(Bronzo!$A$1,MATCH(H244,Bronzo!$A:$A,0)-1,MATCH(I244,Bronzo!$A$1:$AA$1,0)-1)),4)</f>
        <v>0</v>
      </c>
      <c r="T244" s="238">
        <f t="shared" ca="1" si="190"/>
        <v>0</v>
      </c>
      <c r="U244" s="237"/>
      <c r="V244" s="238">
        <v>0</v>
      </c>
      <c r="W244" s="239">
        <f t="shared" ca="1" si="191"/>
        <v>1.73</v>
      </c>
      <c r="X244" s="240">
        <f t="shared" si="189"/>
        <v>42</v>
      </c>
      <c r="Y244" s="236">
        <v>4.82</v>
      </c>
      <c r="Z244" s="236">
        <f t="shared" ca="1" si="192"/>
        <v>0</v>
      </c>
      <c r="AA244" s="241">
        <v>46177</v>
      </c>
      <c r="AF244" s="225">
        <f t="shared" ca="1" si="136"/>
        <v>46236</v>
      </c>
      <c r="AG244" s="225" t="b">
        <f t="shared" si="184"/>
        <v>0</v>
      </c>
      <c r="AH244" s="242"/>
      <c r="AK244" s="223">
        <f t="shared" si="185"/>
        <v>23</v>
      </c>
      <c r="AL244" s="223">
        <f t="shared" si="186"/>
        <v>2026</v>
      </c>
      <c r="AS244" s="223">
        <f t="shared" si="187"/>
        <v>6</v>
      </c>
      <c r="AT244" s="223">
        <f t="shared" si="188"/>
        <v>2026</v>
      </c>
    </row>
    <row r="245" spans="2:46" ht="15.75" x14ac:dyDescent="0.25">
      <c r="B245" s="229" t="s">
        <v>702</v>
      </c>
      <c r="C245" s="245" t="s">
        <v>114</v>
      </c>
      <c r="D245" s="246">
        <v>590</v>
      </c>
      <c r="E245" s="232" t="s">
        <v>4</v>
      </c>
      <c r="F245" s="233">
        <v>2.66</v>
      </c>
      <c r="G245" s="234">
        <v>46049</v>
      </c>
      <c r="H245" s="235" t="s">
        <v>11</v>
      </c>
      <c r="I245" s="235"/>
      <c r="J245" s="236">
        <v>7.0000000000000007E-2</v>
      </c>
      <c r="K245" s="237">
        <f ca="1">ROUND(IF(ISERROR(OFFSET(Tabella!$A$1,MATCH(H245,Tabella!$A:$A,0)-1,MATCH(J245,Tabella!$A$1:$AC$1,0)-1)=TRUE),0,+OFFSET(Tabella!$A$1,MATCH(H245,Tabella!$A:$A,0)-1,MATCH(J245,Tabella!$A$1:$AC$1,0)-1)),4)</f>
        <v>1.5</v>
      </c>
      <c r="L245" s="238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238">
        <f ca="1">ROUND(IF(ISERROR(OFFSET(Rame!$A$1,MATCH(H245,Rame!$A:$A,0)-1,MATCH(J245,Rame!$A$1:$AA$1,0)-1)=TRUE),0,OFFSET(Rame!$A$1,MATCH(H245,Rame!$A:$A,0)-1,MATCH(J245,Rame!$A$1:$AA$1,0)-1))*IF(E245="Rame",1,0),4)</f>
        <v>0</v>
      </c>
      <c r="N245" s="238">
        <v>0</v>
      </c>
      <c r="O245" s="238">
        <v>1.78</v>
      </c>
      <c r="P245" s="238">
        <f ca="1">ROUND(+IF(ISERROR(OFFSET(Tabella!$G$1,MATCH(H245,Tabella!$G:$G,0)-1,MATCH(I245,Tabella!$G$1:$FG$1,0)-1)=TRUE),0,OFFSET(Tabella!$G$1,MATCH(H245,Tabella!$G:$G,0)-1,MATCH(I245,Tabella!$G$1:$AB$1,0)-1)),4)</f>
        <v>0</v>
      </c>
      <c r="Q245" s="238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238">
        <f ca="1">ROUND(IF(ISERROR(OFFSET(Rame!$F$1,MATCH(H245,Rame!$F:$F,0)-1,MATCH(I245,Rame!$F$1:$FF$1,0)-1)=TRUE),0,OFFSET(Rame!$F$1,MATCH(H245,Rame!$F:$F,0)-1,MATCH(I245,Rame!$F$1:$FF$1,0)-1))*IF(E245="Rame",1,0),4)</f>
        <v>0</v>
      </c>
      <c r="S245" s="238">
        <f ca="1">ROUND(IF(ISERROR(OFFSET(Bronzo!$A$1,MATCH(H245,Bronzo!$A:$A,0)-1,MATCH(I245,Bronzo!$A$1:$AA$1,0)-1)=TRUE),0,OFFSET(Bronzo!$A$1,MATCH(H245,Bronzo!$A:$A,0)-1,MATCH(I245,Bronzo!$A$1:$AA$1,0)-1)),4)</f>
        <v>0</v>
      </c>
      <c r="T245" s="238">
        <f t="shared" ca="1" si="190"/>
        <v>0</v>
      </c>
      <c r="U245" s="237"/>
      <c r="V245" s="238">
        <v>0</v>
      </c>
      <c r="W245" s="239">
        <f t="shared" ca="1" si="191"/>
        <v>1.78</v>
      </c>
      <c r="X245" s="423">
        <f t="shared" si="189"/>
        <v>41.3</v>
      </c>
      <c r="Y245" s="236">
        <v>4.3</v>
      </c>
      <c r="Z245" s="236">
        <f t="shared" ca="1" si="192"/>
        <v>-0.14000000000000001</v>
      </c>
      <c r="AA245" s="241"/>
      <c r="AF245" s="225">
        <f t="shared" ca="1" si="136"/>
        <v>46236</v>
      </c>
      <c r="AG245" s="225" t="b">
        <f t="shared" si="184"/>
        <v>1</v>
      </c>
      <c r="AH245" s="242"/>
      <c r="AK245" s="223">
        <f t="shared" si="185"/>
        <v>0</v>
      </c>
      <c r="AL245" s="223">
        <f t="shared" si="186"/>
        <v>1900</v>
      </c>
      <c r="AS245" s="223">
        <f t="shared" si="187"/>
        <v>0</v>
      </c>
      <c r="AT245" s="223">
        <f t="shared" si="188"/>
        <v>0</v>
      </c>
    </row>
    <row r="246" spans="2:46" ht="15.75" x14ac:dyDescent="0.25">
      <c r="B246" s="229" t="s">
        <v>585</v>
      </c>
      <c r="C246" s="245" t="s">
        <v>114</v>
      </c>
      <c r="D246" s="246">
        <v>1258</v>
      </c>
      <c r="E246" s="232" t="s">
        <v>4</v>
      </c>
      <c r="F246" s="233">
        <v>2.66</v>
      </c>
      <c r="G246" s="234">
        <v>46049</v>
      </c>
      <c r="H246" s="235" t="s">
        <v>243</v>
      </c>
      <c r="I246" s="235"/>
      <c r="J246" s="236">
        <v>7.0000000000000007E-2</v>
      </c>
      <c r="K246" s="237">
        <f ca="1">ROUND(IF(ISERROR(OFFSET(Tabella!$A$1,MATCH(H246,Tabella!$A:$A,0)-1,MATCH(J246,Tabella!$A$1:$AC$1,0)-1)=TRUE),0,+OFFSET(Tabella!$A$1,MATCH(H246,Tabella!$A:$A,0)-1,MATCH(J246,Tabella!$A$1:$AC$1,0)-1)),4)</f>
        <v>1.4</v>
      </c>
      <c r="L246" s="238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238">
        <f ca="1">ROUND(IF(ISERROR(OFFSET(Rame!$A$1,MATCH(H246,Rame!$A:$A,0)-1,MATCH(J246,Rame!$A$1:$AA$1,0)-1)=TRUE),0,OFFSET(Rame!$A$1,MATCH(H246,Rame!$A:$A,0)-1,MATCH(J246,Rame!$A$1:$AA$1,0)-1))*IF(E246="Rame",1,0),4)</f>
        <v>0</v>
      </c>
      <c r="N246" s="238">
        <v>0</v>
      </c>
      <c r="O246" s="238">
        <v>1.73</v>
      </c>
      <c r="P246" s="238">
        <f ca="1">ROUND(+IF(ISERROR(OFFSET(Tabella!$G$1,MATCH(H246,Tabella!$G:$G,0)-1,MATCH(I246,Tabella!$G$1:$FG$1,0)-1)=TRUE),0,OFFSET(Tabella!$G$1,MATCH(H246,Tabella!$G:$G,0)-1,MATCH(I246,Tabella!$G$1:$AB$1,0)-1)),4)</f>
        <v>0</v>
      </c>
      <c r="Q246" s="238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238">
        <f ca="1">ROUND(IF(ISERROR(OFFSET(Rame!$F$1,MATCH(H246,Rame!$F:$F,0)-1,MATCH(I246,Rame!$F$1:$FF$1,0)-1)=TRUE),0,OFFSET(Rame!$F$1,MATCH(H246,Rame!$F:$F,0)-1,MATCH(I246,Rame!$F$1:$FF$1,0)-1))*IF(E246="Rame",1,0),4)</f>
        <v>0</v>
      </c>
      <c r="S246" s="238">
        <f ca="1">ROUND(IF(ISERROR(OFFSET(Bronzo!$A$1,MATCH(H246,Bronzo!$A:$A,0)-1,MATCH(I246,Bronzo!$A$1:$AA$1,0)-1)=TRUE),0,OFFSET(Bronzo!$A$1,MATCH(H246,Bronzo!$A:$A,0)-1,MATCH(I246,Bronzo!$A$1:$AA$1,0)-1)),4)</f>
        <v>0</v>
      </c>
      <c r="T246" s="238">
        <f t="shared" ca="1" si="190"/>
        <v>0</v>
      </c>
      <c r="U246" s="237"/>
      <c r="V246" s="238">
        <v>0</v>
      </c>
      <c r="W246" s="239">
        <f t="shared" ca="1" si="191"/>
        <v>1.73</v>
      </c>
      <c r="X246" s="423">
        <f t="shared" si="189"/>
        <v>88.06</v>
      </c>
      <c r="Y246" s="236">
        <v>4.25</v>
      </c>
      <c r="Z246" s="236">
        <f t="shared" ca="1" si="192"/>
        <v>-0.14000000000000001</v>
      </c>
      <c r="AA246" s="241"/>
      <c r="AF246" s="225">
        <f t="shared" ca="1" si="136"/>
        <v>46236</v>
      </c>
      <c r="AG246" s="225" t="b">
        <f t="shared" si="184"/>
        <v>1</v>
      </c>
      <c r="AH246" s="242"/>
      <c r="AK246" s="223">
        <f t="shared" si="185"/>
        <v>0</v>
      </c>
      <c r="AL246" s="223">
        <f t="shared" si="186"/>
        <v>1900</v>
      </c>
      <c r="AS246" s="223">
        <f t="shared" si="187"/>
        <v>0</v>
      </c>
      <c r="AT246" s="223">
        <f t="shared" si="188"/>
        <v>0</v>
      </c>
    </row>
    <row r="247" spans="2:46" ht="15.75" x14ac:dyDescent="0.25">
      <c r="B247" s="229" t="s">
        <v>585</v>
      </c>
      <c r="C247" s="245" t="s">
        <v>114</v>
      </c>
      <c r="D247" s="246">
        <v>1170</v>
      </c>
      <c r="E247" s="232" t="s">
        <v>4</v>
      </c>
      <c r="F247" s="233">
        <v>3.02</v>
      </c>
      <c r="G247" s="234">
        <v>46132</v>
      </c>
      <c r="H247" s="235" t="s">
        <v>25</v>
      </c>
      <c r="I247" s="235"/>
      <c r="J247" s="236">
        <v>7.0000000000000007E-2</v>
      </c>
      <c r="K247" s="237">
        <f ca="1">ROUND(IF(ISERROR(OFFSET(Tabella!$A$1,MATCH(H247,Tabella!$A:$A,0)-1,MATCH(J247,Tabella!$A$1:$AC$1,0)-1)=TRUE),0,+OFFSET(Tabella!$A$1,MATCH(H247,Tabella!$A:$A,0)-1,MATCH(J247,Tabella!$A$1:$AC$1,0)-1)),4)</f>
        <v>1.25</v>
      </c>
      <c r="L247" s="238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238">
        <f ca="1">ROUND(IF(ISERROR(OFFSET(Rame!$A$1,MATCH(H247,Rame!$A:$A,0)-1,MATCH(J247,Rame!$A$1:$AA$1,0)-1)=TRUE),0,OFFSET(Rame!$A$1,MATCH(H247,Rame!$A:$A,0)-1,MATCH(J247,Rame!$A$1:$AA$1,0)-1))*IF(E247="Rame",1,0),4)</f>
        <v>0</v>
      </c>
      <c r="N247" s="238">
        <v>0</v>
      </c>
      <c r="O247" s="238">
        <v>1.73</v>
      </c>
      <c r="P247" s="238">
        <f ca="1">ROUND(+IF(ISERROR(OFFSET(Tabella!$G$1,MATCH(H247,Tabella!$G:$G,0)-1,MATCH(I247,Tabella!$G$1:$FG$1,0)-1)=TRUE),0,OFFSET(Tabella!$G$1,MATCH(H247,Tabella!$G:$G,0)-1,MATCH(I247,Tabella!$G$1:$AB$1,0)-1)),4)</f>
        <v>0</v>
      </c>
      <c r="Q247" s="238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238">
        <f ca="1">ROUND(IF(ISERROR(OFFSET(Rame!$F$1,MATCH(H247,Rame!$F:$F,0)-1,MATCH(I247,Rame!$F$1:$FF$1,0)-1)=TRUE),0,OFFSET(Rame!$F$1,MATCH(H247,Rame!$F:$F,0)-1,MATCH(I247,Rame!$F$1:$FF$1,0)-1))*IF(E247="Rame",1,0),4)</f>
        <v>0</v>
      </c>
      <c r="S247" s="238">
        <f ca="1">ROUND(IF(ISERROR(OFFSET(Bronzo!$A$1,MATCH(H247,Bronzo!$A:$A,0)-1,MATCH(I247,Bronzo!$A$1:$AA$1,0)-1)=TRUE),0,OFFSET(Bronzo!$A$1,MATCH(H247,Bronzo!$A:$A,0)-1,MATCH(I247,Bronzo!$A$1:$AA$1,0)-1)),4)</f>
        <v>0</v>
      </c>
      <c r="T247" s="238">
        <f t="shared" ca="1" si="190"/>
        <v>0</v>
      </c>
      <c r="U247" s="237"/>
      <c r="V247" s="238">
        <v>0</v>
      </c>
      <c r="W247" s="239">
        <f t="shared" ca="1" si="191"/>
        <v>1.73</v>
      </c>
      <c r="X247" s="423">
        <f t="shared" si="189"/>
        <v>81.900000000000006</v>
      </c>
      <c r="Y247" s="236">
        <v>4.75</v>
      </c>
      <c r="Z247" s="236">
        <f t="shared" ca="1" si="192"/>
        <v>0</v>
      </c>
      <c r="AA247" s="241"/>
      <c r="AF247" s="225">
        <f t="shared" ca="1" si="136"/>
        <v>46236</v>
      </c>
      <c r="AG247" s="225" t="b">
        <f t="shared" si="184"/>
        <v>1</v>
      </c>
      <c r="AH247" s="242"/>
      <c r="AK247" s="223">
        <f t="shared" si="185"/>
        <v>0</v>
      </c>
      <c r="AL247" s="223">
        <f t="shared" si="186"/>
        <v>1900</v>
      </c>
      <c r="AS247" s="223">
        <f t="shared" si="187"/>
        <v>0</v>
      </c>
      <c r="AT247" s="223">
        <f t="shared" si="188"/>
        <v>0</v>
      </c>
    </row>
    <row r="248" spans="2:46" ht="15.75" x14ac:dyDescent="0.25">
      <c r="B248" s="229" t="s">
        <v>502</v>
      </c>
      <c r="C248" s="235" t="s">
        <v>212</v>
      </c>
      <c r="D248" s="243">
        <v>600</v>
      </c>
      <c r="E248" s="232" t="s">
        <v>6</v>
      </c>
      <c r="F248" s="233">
        <v>11.19</v>
      </c>
      <c r="G248" s="234">
        <v>46132</v>
      </c>
      <c r="H248" s="235" t="s">
        <v>18</v>
      </c>
      <c r="I248" s="235"/>
      <c r="J248" s="236">
        <v>0.1</v>
      </c>
      <c r="K248" s="237">
        <f ca="1">ROUND(IF(ISERROR(OFFSET(Tabella!$A$1,MATCH(H248,Tabella!$A:$A,0)-1,MATCH(J248,Tabella!$A$1:$AC$1,0)-1)=TRUE),0,+OFFSET(Tabella!$A$1,MATCH(H248,Tabella!$A:$A,0)-1,MATCH(J248,Tabella!$A$1:$AC$1,0)-1)),4)</f>
        <v>0</v>
      </c>
      <c r="L248" s="238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238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238">
        <v>0</v>
      </c>
      <c r="O248" s="238">
        <f t="shared" ref="O248:O253" ca="1" si="211">ROUND(SUM(K248:N248),4)</f>
        <v>0.78</v>
      </c>
      <c r="P248" s="238">
        <f ca="1">ROUND(+IF(ISERROR(OFFSET(Tabella!$G$1,MATCH(H248,Tabella!$G:$G,0)-1,MATCH(I248,Tabella!$G$1:$FG$1,0)-1)=TRUE),0,OFFSET(Tabella!$G$1,MATCH(H248,Tabella!$G:$G,0)-1,MATCH(I248,Tabella!$G$1:$AB$1,0)-1)),4)</f>
        <v>0</v>
      </c>
      <c r="Q248" s="238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238">
        <f ca="1">ROUND(IF(ISERROR(OFFSET(Rame!$F$1,MATCH(H248,Rame!$F:$F,0)-1,MATCH(I248,Rame!$F$1:$FF$1,0)-1)=TRUE),0,OFFSET(Rame!$F$1,MATCH(H248,Rame!$F:$F,0)-1,MATCH(I248,Rame!$F$1:$FF$1,0)-1))*IF(E248="Rame",1,0),4)</f>
        <v>0</v>
      </c>
      <c r="S248" s="238">
        <f ca="1">ROUND(IF(ISERROR(OFFSET(Bronzo!$A$1,MATCH(H248,Bronzo!$A:$A,0)-1,MATCH(I248,Bronzo!$A$1:$AA$1,0)-1)=TRUE),0,OFFSET(Bronzo!$A$1,MATCH(H248,Bronzo!$A:$A,0)-1,MATCH(I248,Bronzo!$A$1:$AA$1,0)-1)),4)</f>
        <v>0</v>
      </c>
      <c r="T248" s="238">
        <f t="shared" ca="1" si="190"/>
        <v>0</v>
      </c>
      <c r="U248" s="237"/>
      <c r="V248" s="238">
        <v>0</v>
      </c>
      <c r="W248" s="239">
        <f t="shared" ca="1" si="191"/>
        <v>0.78</v>
      </c>
      <c r="X248" s="240">
        <f t="shared" si="189"/>
        <v>60</v>
      </c>
      <c r="Y248" s="236">
        <v>14.44</v>
      </c>
      <c r="Z248" s="236">
        <f t="shared" ca="1" si="192"/>
        <v>2.4700000000000002</v>
      </c>
      <c r="AA248" s="241">
        <v>46150</v>
      </c>
      <c r="AF248" s="225">
        <f t="shared" ca="1" si="136"/>
        <v>46236</v>
      </c>
      <c r="AG248" s="225" t="b">
        <f t="shared" si="184"/>
        <v>0</v>
      </c>
      <c r="AH248" s="242"/>
      <c r="AK248" s="223">
        <f t="shared" si="185"/>
        <v>19</v>
      </c>
      <c r="AL248" s="223">
        <f t="shared" si="186"/>
        <v>2026</v>
      </c>
      <c r="AS248" s="223">
        <f t="shared" si="187"/>
        <v>5</v>
      </c>
      <c r="AT248" s="223">
        <f t="shared" si="188"/>
        <v>2026</v>
      </c>
    </row>
    <row r="249" spans="2:46" ht="15.75" x14ac:dyDescent="0.25">
      <c r="B249" s="229" t="s">
        <v>624</v>
      </c>
      <c r="C249" s="427" t="s">
        <v>212</v>
      </c>
      <c r="D249" s="428">
        <v>587</v>
      </c>
      <c r="E249" s="232" t="s">
        <v>6</v>
      </c>
      <c r="F249" s="233">
        <v>11.19</v>
      </c>
      <c r="G249" s="234">
        <v>46132</v>
      </c>
      <c r="H249" s="235" t="s">
        <v>12</v>
      </c>
      <c r="I249" s="235"/>
      <c r="J249" s="236">
        <v>0.1</v>
      </c>
      <c r="K249" s="237">
        <f ca="1">ROUND(IF(ISERROR(OFFSET(Tabella!$A$1,MATCH(H249,Tabella!$A:$A,0)-1,MATCH(J249,Tabella!$A$1:$AC$1,0)-1)=TRUE),0,+OFFSET(Tabella!$A$1,MATCH(H249,Tabella!$A:$A,0)-1,MATCH(J249,Tabella!$A$1:$AC$1,0)-1)),4)</f>
        <v>0</v>
      </c>
      <c r="L249" s="238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238">
        <f ca="1">ROUND(IF(ISERROR(OFFSET(Rame!$A$1,MATCH(H249,Rame!$A:$A,0)-1,MATCH(J249,Rame!$A$1:$AA$1,0)-1)=TRUE),0,OFFSET(Rame!$A$1,MATCH(H249,Rame!$A:$A,0)-1,MATCH(J249,Rame!$A$1:$AA$1,0)-1))*IF(E249="Rame",1,0),4)</f>
        <v>1.1000000000000001</v>
      </c>
      <c r="N249" s="238">
        <v>0</v>
      </c>
      <c r="O249" s="238">
        <f t="shared" ca="1" si="211"/>
        <v>1.1000000000000001</v>
      </c>
      <c r="P249" s="238">
        <f ca="1">ROUND(+IF(ISERROR(OFFSET(Tabella!$G$1,MATCH(H249,Tabella!$G:$G,0)-1,MATCH(I249,Tabella!$G$1:$FG$1,0)-1)=TRUE),0,OFFSET(Tabella!$G$1,MATCH(H249,Tabella!$G:$G,0)-1,MATCH(I249,Tabella!$G$1:$AB$1,0)-1)),4)</f>
        <v>0</v>
      </c>
      <c r="Q249" s="238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238">
        <f ca="1">ROUND(IF(ISERROR(OFFSET(Rame!$F$1,MATCH(H249,Rame!$F:$F,0)-1,MATCH(I249,Rame!$F$1:$FF$1,0)-1)=TRUE),0,OFFSET(Rame!$F$1,MATCH(H249,Rame!$F:$F,0)-1,MATCH(I249,Rame!$F$1:$FF$1,0)-1))*IF(E249="Rame",1,0),4)</f>
        <v>0</v>
      </c>
      <c r="S249" s="238">
        <f ca="1">ROUND(IF(ISERROR(OFFSET(Bronzo!$A$1,MATCH(H249,Bronzo!$A:$A,0)-1,MATCH(I249,Bronzo!$A$1:$AA$1,0)-1)=TRUE),0,OFFSET(Bronzo!$A$1,MATCH(H249,Bronzo!$A:$A,0)-1,MATCH(I249,Bronzo!$A$1:$AA$1,0)-1)),4)</f>
        <v>0</v>
      </c>
      <c r="T249" s="238">
        <f t="shared" ca="1" si="190"/>
        <v>0</v>
      </c>
      <c r="U249" s="237"/>
      <c r="V249" s="238">
        <v>0</v>
      </c>
      <c r="W249" s="239">
        <f t="shared" ca="1" si="191"/>
        <v>1.1000000000000001</v>
      </c>
      <c r="X249" s="429">
        <f t="shared" si="189"/>
        <v>58.7</v>
      </c>
      <c r="Y249" s="236">
        <v>14.69</v>
      </c>
      <c r="Z249" s="236">
        <f t="shared" ca="1" si="192"/>
        <v>2.4</v>
      </c>
      <c r="AA249" s="241"/>
      <c r="AF249" s="225">
        <f t="shared" ca="1" si="136"/>
        <v>46236</v>
      </c>
      <c r="AG249" s="225" t="b">
        <f t="shared" si="184"/>
        <v>1</v>
      </c>
      <c r="AH249" s="242"/>
      <c r="AK249" s="223">
        <f t="shared" si="185"/>
        <v>0</v>
      </c>
      <c r="AL249" s="223">
        <f t="shared" si="186"/>
        <v>1900</v>
      </c>
      <c r="AS249" s="223">
        <f t="shared" si="187"/>
        <v>0</v>
      </c>
      <c r="AT249" s="223">
        <f t="shared" si="188"/>
        <v>0</v>
      </c>
    </row>
    <row r="250" spans="2:46" ht="15.75" x14ac:dyDescent="0.25">
      <c r="B250" s="229" t="s">
        <v>502</v>
      </c>
      <c r="C250" s="235" t="s">
        <v>212</v>
      </c>
      <c r="D250" s="243">
        <v>1000</v>
      </c>
      <c r="E250" s="232" t="s">
        <v>6</v>
      </c>
      <c r="F250" s="233">
        <v>11.19</v>
      </c>
      <c r="G250" s="234">
        <v>46132</v>
      </c>
      <c r="H250" s="235" t="s">
        <v>16</v>
      </c>
      <c r="I250" s="235"/>
      <c r="J250" s="236">
        <v>0.1</v>
      </c>
      <c r="K250" s="237">
        <f ca="1">ROUND(IF(ISERROR(OFFSET(Tabella!$A$1,MATCH(H250,Tabella!$A:$A,0)-1,MATCH(J250,Tabella!$A$1:$AC$1,0)-1)=TRUE),0,+OFFSET(Tabella!$A$1,MATCH(H250,Tabella!$A:$A,0)-1,MATCH(J250,Tabella!$A$1:$AC$1,0)-1)),4)</f>
        <v>0</v>
      </c>
      <c r="L250" s="238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238">
        <f ca="1">ROUND(IF(ISERROR(OFFSET(Rame!$A$1,MATCH(H250,Rame!$A:$A,0)-1,MATCH(J250,Rame!$A$1:$AA$1,0)-1)=TRUE),0,OFFSET(Rame!$A$1,MATCH(H250,Rame!$A:$A,0)-1,MATCH(J250,Rame!$A$1:$AA$1,0)-1))*IF(E250="Rame",1,0),4)</f>
        <v>0.82</v>
      </c>
      <c r="N250" s="238">
        <v>0</v>
      </c>
      <c r="O250" s="238">
        <f t="shared" ca="1" si="211"/>
        <v>0.82</v>
      </c>
      <c r="P250" s="238">
        <f ca="1">ROUND(+IF(ISERROR(OFFSET(Tabella!$G$1,MATCH(H250,Tabella!$G:$G,0)-1,MATCH(I250,Tabella!$G$1:$FG$1,0)-1)=TRUE),0,OFFSET(Tabella!$G$1,MATCH(H250,Tabella!$G:$G,0)-1,MATCH(I250,Tabella!$G$1:$AB$1,0)-1)),4)</f>
        <v>0</v>
      </c>
      <c r="Q250" s="238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238">
        <f ca="1">ROUND(IF(ISERROR(OFFSET(Rame!$F$1,MATCH(H250,Rame!$F:$F,0)-1,MATCH(I250,Rame!$F$1:$FF$1,0)-1)=TRUE),0,OFFSET(Rame!$F$1,MATCH(H250,Rame!$F:$F,0)-1,MATCH(I250,Rame!$F$1:$FF$1,0)-1))*IF(E250="Rame",1,0),4)</f>
        <v>0</v>
      </c>
      <c r="S250" s="238">
        <f ca="1">ROUND(IF(ISERROR(OFFSET(Bronzo!$A$1,MATCH(H250,Bronzo!$A:$A,0)-1,MATCH(I250,Bronzo!$A$1:$AA$1,0)-1)=TRUE),0,OFFSET(Bronzo!$A$1,MATCH(H250,Bronzo!$A:$A,0)-1,MATCH(I250,Bronzo!$A$1:$AA$1,0)-1)),4)</f>
        <v>0</v>
      </c>
      <c r="T250" s="238">
        <f t="shared" ca="1" si="190"/>
        <v>0</v>
      </c>
      <c r="U250" s="237"/>
      <c r="V250" s="238">
        <v>0</v>
      </c>
      <c r="W250" s="239">
        <f t="shared" ca="1" si="191"/>
        <v>0.82</v>
      </c>
      <c r="X250" s="240">
        <f t="shared" si="189"/>
        <v>100</v>
      </c>
      <c r="Y250" s="236">
        <v>14.49</v>
      </c>
      <c r="Z250" s="236">
        <f t="shared" ca="1" si="192"/>
        <v>2.48</v>
      </c>
      <c r="AA250" s="241">
        <v>46150</v>
      </c>
      <c r="AF250" s="225">
        <f t="shared" ca="1" si="136"/>
        <v>46236</v>
      </c>
      <c r="AG250" s="225" t="b">
        <f t="shared" si="184"/>
        <v>0</v>
      </c>
      <c r="AH250" s="242"/>
      <c r="AK250" s="223">
        <f t="shared" si="185"/>
        <v>19</v>
      </c>
      <c r="AL250" s="223">
        <f t="shared" si="186"/>
        <v>2026</v>
      </c>
      <c r="AS250" s="223">
        <f t="shared" si="187"/>
        <v>5</v>
      </c>
      <c r="AT250" s="223">
        <f t="shared" si="188"/>
        <v>2026</v>
      </c>
    </row>
    <row r="251" spans="2:46" ht="15.75" x14ac:dyDescent="0.25">
      <c r="B251" s="229" t="s">
        <v>502</v>
      </c>
      <c r="C251" s="235" t="s">
        <v>212</v>
      </c>
      <c r="D251" s="243">
        <v>2300</v>
      </c>
      <c r="E251" s="232" t="s">
        <v>6</v>
      </c>
      <c r="F251" s="233">
        <v>11.19</v>
      </c>
      <c r="G251" s="234">
        <v>46132</v>
      </c>
      <c r="H251" s="235" t="s">
        <v>18</v>
      </c>
      <c r="I251" s="235"/>
      <c r="J251" s="236">
        <v>0.1</v>
      </c>
      <c r="K251" s="237">
        <f ca="1">ROUND(IF(ISERROR(OFFSET(Tabella!$A$1,MATCH(H251,Tabella!$A:$A,0)-1,MATCH(J251,Tabella!$A$1:$AC$1,0)-1)=TRUE),0,+OFFSET(Tabella!$A$1,MATCH(H251,Tabella!$A:$A,0)-1,MATCH(J251,Tabella!$A$1:$AC$1,0)-1)),4)</f>
        <v>0</v>
      </c>
      <c r="L251" s="238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238">
        <f ca="1">ROUND(IF(ISERROR(OFFSET(Rame!$A$1,MATCH(H251,Rame!$A:$A,0)-1,MATCH(J251,Rame!$A$1:$AA$1,0)-1)=TRUE),0,OFFSET(Rame!$A$1,MATCH(H251,Rame!$A:$A,0)-1,MATCH(J251,Rame!$A$1:$AA$1,0)-1))*IF(E251="Rame",1,0),4)</f>
        <v>0.78</v>
      </c>
      <c r="N251" s="238">
        <v>0</v>
      </c>
      <c r="O251" s="238">
        <f t="shared" ca="1" si="211"/>
        <v>0.78</v>
      </c>
      <c r="P251" s="238">
        <f ca="1">ROUND(+IF(ISERROR(OFFSET(Tabella!$G$1,MATCH(H251,Tabella!$G:$G,0)-1,MATCH(I251,Tabella!$G$1:$FG$1,0)-1)=TRUE),0,OFFSET(Tabella!$G$1,MATCH(H251,Tabella!$G:$G,0)-1,MATCH(I251,Tabella!$G$1:$AB$1,0)-1)),4)</f>
        <v>0</v>
      </c>
      <c r="Q251" s="238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238">
        <f ca="1">ROUND(IF(ISERROR(OFFSET(Rame!$F$1,MATCH(H251,Rame!$F:$F,0)-1,MATCH(I251,Rame!$F$1:$FF$1,0)-1)=TRUE),0,OFFSET(Rame!$F$1,MATCH(H251,Rame!$F:$F,0)-1,MATCH(I251,Rame!$F$1:$FF$1,0)-1))*IF(E251="Rame",1,0),4)</f>
        <v>0</v>
      </c>
      <c r="S251" s="238">
        <f ca="1">ROUND(IF(ISERROR(OFFSET(Bronzo!$A$1,MATCH(H251,Bronzo!$A:$A,0)-1,MATCH(I251,Bronzo!$A$1:$AA$1,0)-1)=TRUE),0,OFFSET(Bronzo!$A$1,MATCH(H251,Bronzo!$A:$A,0)-1,MATCH(I251,Bronzo!$A$1:$AA$1,0)-1)),4)</f>
        <v>0</v>
      </c>
      <c r="T251" s="238">
        <f t="shared" ca="1" si="190"/>
        <v>0</v>
      </c>
      <c r="U251" s="237"/>
      <c r="V251" s="238">
        <v>0</v>
      </c>
      <c r="W251" s="239">
        <f t="shared" ca="1" si="191"/>
        <v>0.78</v>
      </c>
      <c r="X251" s="240">
        <f t="shared" si="189"/>
        <v>230</v>
      </c>
      <c r="Y251" s="236">
        <v>14.49</v>
      </c>
      <c r="Z251" s="236">
        <f t="shared" ca="1" si="192"/>
        <v>2.52</v>
      </c>
      <c r="AA251" s="241">
        <v>46150</v>
      </c>
      <c r="AF251" s="225">
        <f t="shared" ca="1" si="136"/>
        <v>46236</v>
      </c>
      <c r="AG251" s="225" t="b">
        <f t="shared" si="184"/>
        <v>0</v>
      </c>
      <c r="AH251" s="242"/>
      <c r="AK251" s="223">
        <f t="shared" si="185"/>
        <v>19</v>
      </c>
      <c r="AL251" s="223">
        <f t="shared" si="186"/>
        <v>2026</v>
      </c>
      <c r="AS251" s="223">
        <f t="shared" si="187"/>
        <v>5</v>
      </c>
      <c r="AT251" s="223">
        <f t="shared" si="188"/>
        <v>2026</v>
      </c>
    </row>
    <row r="252" spans="2:46" ht="15.75" x14ac:dyDescent="0.25">
      <c r="B252" s="229" t="s">
        <v>725</v>
      </c>
      <c r="C252" s="427" t="s">
        <v>212</v>
      </c>
      <c r="D252" s="428">
        <v>512</v>
      </c>
      <c r="E252" s="232" t="s">
        <v>6</v>
      </c>
      <c r="F252" s="233">
        <v>11.19</v>
      </c>
      <c r="G252" s="234">
        <v>46132</v>
      </c>
      <c r="H252" s="235" t="s">
        <v>18</v>
      </c>
      <c r="I252" s="235"/>
      <c r="J252" s="236">
        <v>0.1</v>
      </c>
      <c r="K252" s="237">
        <f ca="1">ROUND(IF(ISERROR(OFFSET(Tabella!$A$1,MATCH(H252,Tabella!$A:$A,0)-1,MATCH(J252,Tabella!$A$1:$AC$1,0)-1)=TRUE),0,+OFFSET(Tabella!$A$1,MATCH(H252,Tabella!$A:$A,0)-1,MATCH(J252,Tabella!$A$1:$AC$1,0)-1)),4)</f>
        <v>0</v>
      </c>
      <c r="L252" s="238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238">
        <f ca="1">ROUND(IF(ISERROR(OFFSET(Rame!$A$1,MATCH(H252,Rame!$A:$A,0)-1,MATCH(J252,Rame!$A$1:$AA$1,0)-1)=TRUE),0,OFFSET(Rame!$A$1,MATCH(H252,Rame!$A:$A,0)-1,MATCH(J252,Rame!$A$1:$AA$1,0)-1))*IF(E252="Rame",1,0),4)</f>
        <v>0.78</v>
      </c>
      <c r="N252" s="238">
        <v>0</v>
      </c>
      <c r="O252" s="238">
        <f t="shared" ca="1" si="211"/>
        <v>0.78</v>
      </c>
      <c r="P252" s="238">
        <f ca="1">ROUND(+IF(ISERROR(OFFSET(Tabella!$G$1,MATCH(H252,Tabella!$G:$G,0)-1,MATCH(I252,Tabella!$G$1:$FG$1,0)-1)=TRUE),0,OFFSET(Tabella!$G$1,MATCH(H252,Tabella!$G:$G,0)-1,MATCH(I252,Tabella!$G$1:$AB$1,0)-1)),4)</f>
        <v>0</v>
      </c>
      <c r="Q252" s="238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238">
        <f ca="1">ROUND(IF(ISERROR(OFFSET(Rame!$F$1,MATCH(H252,Rame!$F:$F,0)-1,MATCH(I252,Rame!$F$1:$FF$1,0)-1)=TRUE),0,OFFSET(Rame!$F$1,MATCH(H252,Rame!$F:$F,0)-1,MATCH(I252,Rame!$F$1:$FF$1,0)-1))*IF(E252="Rame",1,0),4)</f>
        <v>0</v>
      </c>
      <c r="S252" s="238">
        <f ca="1">ROUND(IF(ISERROR(OFFSET(Bronzo!$A$1,MATCH(H252,Bronzo!$A:$A,0)-1,MATCH(I252,Bronzo!$A$1:$AA$1,0)-1)=TRUE),0,OFFSET(Bronzo!$A$1,MATCH(H252,Bronzo!$A:$A,0)-1,MATCH(I252,Bronzo!$A$1:$AA$1,0)-1)),4)</f>
        <v>0</v>
      </c>
      <c r="T252" s="238">
        <f t="shared" ca="1" si="190"/>
        <v>0</v>
      </c>
      <c r="U252" s="237"/>
      <c r="V252" s="238">
        <v>0</v>
      </c>
      <c r="W252" s="239">
        <f t="shared" ca="1" si="191"/>
        <v>0.78</v>
      </c>
      <c r="X252" s="429">
        <f t="shared" si="189"/>
        <v>51.2</v>
      </c>
      <c r="Y252" s="236">
        <v>14.64</v>
      </c>
      <c r="Z252" s="236">
        <f t="shared" ca="1" si="192"/>
        <v>2.67</v>
      </c>
      <c r="AA252" s="241"/>
      <c r="AF252" s="225">
        <f t="shared" ca="1" si="136"/>
        <v>46236</v>
      </c>
      <c r="AG252" s="225" t="b">
        <f t="shared" si="184"/>
        <v>1</v>
      </c>
      <c r="AH252" s="242"/>
      <c r="AK252" s="223">
        <f t="shared" si="185"/>
        <v>0</v>
      </c>
      <c r="AL252" s="223">
        <f t="shared" si="186"/>
        <v>1900</v>
      </c>
      <c r="AS252" s="223">
        <f t="shared" si="187"/>
        <v>0</v>
      </c>
      <c r="AT252" s="223">
        <f t="shared" si="188"/>
        <v>0</v>
      </c>
    </row>
    <row r="253" spans="2:46" ht="15.75" x14ac:dyDescent="0.25">
      <c r="B253" s="229" t="s">
        <v>625</v>
      </c>
      <c r="C253" s="427" t="s">
        <v>212</v>
      </c>
      <c r="D253" s="428">
        <v>288</v>
      </c>
      <c r="E253" s="232" t="s">
        <v>6</v>
      </c>
      <c r="F253" s="233">
        <v>11.19</v>
      </c>
      <c r="G253" s="234">
        <v>46132</v>
      </c>
      <c r="H253" s="235" t="s">
        <v>18</v>
      </c>
      <c r="I253" s="235"/>
      <c r="J253" s="236">
        <v>0.1</v>
      </c>
      <c r="K253" s="237">
        <f ca="1">ROUND(IF(ISERROR(OFFSET(Tabella!$A$1,MATCH(H253,Tabella!$A:$A,0)-1,MATCH(J253,Tabella!$A$1:$AC$1,0)-1)=TRUE),0,+OFFSET(Tabella!$A$1,MATCH(H253,Tabella!$A:$A,0)-1,MATCH(J253,Tabella!$A$1:$AC$1,0)-1)),4)</f>
        <v>0</v>
      </c>
      <c r="L253" s="238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238">
        <f ca="1">ROUND(IF(ISERROR(OFFSET(Rame!$A$1,MATCH(H253,Rame!$A:$A,0)-1,MATCH(J253,Rame!$A$1:$AA$1,0)-1)=TRUE),0,OFFSET(Rame!$A$1,MATCH(H253,Rame!$A:$A,0)-1,MATCH(J253,Rame!$A$1:$AA$1,0)-1))*IF(E253="Rame",1,0),4)</f>
        <v>0.78</v>
      </c>
      <c r="N253" s="238">
        <v>0</v>
      </c>
      <c r="O253" s="238">
        <f t="shared" ca="1" si="211"/>
        <v>0.78</v>
      </c>
      <c r="P253" s="238">
        <f ca="1">ROUND(+IF(ISERROR(OFFSET(Tabella!$G$1,MATCH(H253,Tabella!$G:$G,0)-1,MATCH(I253,Tabella!$G$1:$FG$1,0)-1)=TRUE),0,OFFSET(Tabella!$G$1,MATCH(H253,Tabella!$G:$G,0)-1,MATCH(I253,Tabella!$G$1:$AB$1,0)-1)),4)</f>
        <v>0</v>
      </c>
      <c r="Q253" s="238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238">
        <f ca="1">ROUND(IF(ISERROR(OFFSET(Rame!$F$1,MATCH(H253,Rame!$F:$F,0)-1,MATCH(I253,Rame!$F$1:$FF$1,0)-1)=TRUE),0,OFFSET(Rame!$F$1,MATCH(H253,Rame!$F:$F,0)-1,MATCH(I253,Rame!$F$1:$FF$1,0)-1))*IF(E253="Rame",1,0),4)</f>
        <v>0</v>
      </c>
      <c r="S253" s="238">
        <f ca="1">ROUND(IF(ISERROR(OFFSET(Bronzo!$A$1,MATCH(H253,Bronzo!$A:$A,0)-1,MATCH(I253,Bronzo!$A$1:$AA$1,0)-1)=TRUE),0,OFFSET(Bronzo!$A$1,MATCH(H253,Bronzo!$A:$A,0)-1,MATCH(I253,Bronzo!$A$1:$AA$1,0)-1)),4)</f>
        <v>0</v>
      </c>
      <c r="T253" s="238">
        <f t="shared" ca="1" si="190"/>
        <v>0</v>
      </c>
      <c r="U253" s="237"/>
      <c r="V253" s="238">
        <v>0</v>
      </c>
      <c r="W253" s="239">
        <f t="shared" ca="1" si="191"/>
        <v>0.78</v>
      </c>
      <c r="X253" s="429">
        <f t="shared" si="189"/>
        <v>28.8</v>
      </c>
      <c r="Y253" s="236">
        <v>14.64</v>
      </c>
      <c r="Z253" s="236">
        <f t="shared" ca="1" si="192"/>
        <v>2.67</v>
      </c>
      <c r="AA253" s="241"/>
      <c r="AF253" s="225">
        <f t="shared" ca="1" si="136"/>
        <v>46236</v>
      </c>
      <c r="AG253" s="225" t="b">
        <f t="shared" si="184"/>
        <v>1</v>
      </c>
      <c r="AH253" s="242"/>
      <c r="AK253" s="223">
        <f t="shared" si="185"/>
        <v>0</v>
      </c>
      <c r="AL253" s="223">
        <f t="shared" si="186"/>
        <v>1900</v>
      </c>
      <c r="AS253" s="223">
        <f t="shared" si="187"/>
        <v>0</v>
      </c>
      <c r="AT253" s="223">
        <f t="shared" si="188"/>
        <v>0</v>
      </c>
    </row>
    <row r="254" spans="2:46" ht="15.75" x14ac:dyDescent="0.25">
      <c r="B254" s="229" t="s">
        <v>582</v>
      </c>
      <c r="C254" s="245" t="s">
        <v>479</v>
      </c>
      <c r="D254" s="246">
        <v>3732</v>
      </c>
      <c r="E254" s="232" t="s">
        <v>4</v>
      </c>
      <c r="F254" s="233">
        <v>2.62</v>
      </c>
      <c r="G254" s="234">
        <v>46080</v>
      </c>
      <c r="H254" s="235" t="s">
        <v>15</v>
      </c>
      <c r="I254" s="235"/>
      <c r="J254" s="236">
        <v>7.0000000000000007E-2</v>
      </c>
      <c r="K254" s="237">
        <f ca="1">ROUND(IF(ISERROR(OFFSET(Tabella!$A$1,MATCH(H254,Tabella!$A:$A,0)-1,MATCH(J254,Tabella!$A$1:$AC$1,0)-1)=TRUE),0,+OFFSET(Tabella!$A$1,MATCH(H254,Tabella!$A:$A,0)-1,MATCH(J254,Tabella!$A$1:$AC$1,0)-1)),4)</f>
        <v>1.4</v>
      </c>
      <c r="L254" s="238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238">
        <f ca="1">ROUND(IF(ISERROR(OFFSET(Rame!$A$1,MATCH(H254,Rame!$A:$A,0)-1,MATCH(J254,Rame!$A$1:$AA$1,0)-1)=TRUE),0,OFFSET(Rame!$A$1,MATCH(H254,Rame!$A:$A,0)-1,MATCH(J254,Rame!$A$1:$AA$1,0)-1))*IF(E254="Rame",1,0),4)</f>
        <v>0</v>
      </c>
      <c r="N254" s="238">
        <v>0</v>
      </c>
      <c r="O254" s="238">
        <v>1.75</v>
      </c>
      <c r="P254" s="238">
        <f ca="1">ROUND(+IF(ISERROR(OFFSET(Tabella!$G$1,MATCH(H254,Tabella!$G:$G,0)-1,MATCH(I254,Tabella!$G$1:$FG$1,0)-1)=TRUE),0,OFFSET(Tabella!$G$1,MATCH(H254,Tabella!$G:$G,0)-1,MATCH(I254,Tabella!$G$1:$AB$1,0)-1)),4)</f>
        <v>0</v>
      </c>
      <c r="Q254" s="238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238">
        <f ca="1">ROUND(IF(ISERROR(OFFSET(Rame!$F$1,MATCH(H254,Rame!$F:$F,0)-1,MATCH(I254,Rame!$F$1:$FF$1,0)-1)=TRUE),0,OFFSET(Rame!$F$1,MATCH(H254,Rame!$F:$F,0)-1,MATCH(I254,Rame!$F$1:$FF$1,0)-1))*IF(E254="Rame",1,0),4)</f>
        <v>0</v>
      </c>
      <c r="S254" s="238">
        <f ca="1">ROUND(IF(ISERROR(OFFSET(Bronzo!$A$1,MATCH(H254,Bronzo!$A:$A,0)-1,MATCH(I254,Bronzo!$A$1:$AA$1,0)-1)=TRUE),0,OFFSET(Bronzo!$A$1,MATCH(H254,Bronzo!$A:$A,0)-1,MATCH(I254,Bronzo!$A$1:$AA$1,0)-1)),4)</f>
        <v>0</v>
      </c>
      <c r="T254" s="238">
        <f t="shared" ca="1" si="190"/>
        <v>0</v>
      </c>
      <c r="U254" s="237"/>
      <c r="V254" s="238">
        <v>0</v>
      </c>
      <c r="W254" s="239">
        <f t="shared" ca="1" si="191"/>
        <v>1.75</v>
      </c>
      <c r="X254" s="423">
        <f t="shared" si="189"/>
        <v>261.24</v>
      </c>
      <c r="Y254" s="236">
        <v>4.25</v>
      </c>
      <c r="Z254" s="236">
        <f t="shared" ca="1" si="192"/>
        <v>-0.12</v>
      </c>
      <c r="AA254" s="241"/>
      <c r="AF254" s="225">
        <f t="shared" ca="1" si="136"/>
        <v>46236</v>
      </c>
      <c r="AG254" s="225" t="b">
        <f t="shared" si="184"/>
        <v>1</v>
      </c>
      <c r="AH254" s="242"/>
      <c r="AK254" s="223">
        <f t="shared" si="185"/>
        <v>0</v>
      </c>
      <c r="AL254" s="223">
        <f t="shared" si="186"/>
        <v>1900</v>
      </c>
      <c r="AS254" s="223">
        <f t="shared" si="187"/>
        <v>0</v>
      </c>
      <c r="AT254" s="223">
        <f t="shared" si="188"/>
        <v>0</v>
      </c>
    </row>
    <row r="255" spans="2:46" ht="15.75" x14ac:dyDescent="0.25">
      <c r="B255" s="229" t="s">
        <v>582</v>
      </c>
      <c r="C255" s="245" t="s">
        <v>479</v>
      </c>
      <c r="D255" s="246">
        <v>3965</v>
      </c>
      <c r="E255" s="232" t="s">
        <v>4</v>
      </c>
      <c r="F255" s="233">
        <v>2.62</v>
      </c>
      <c r="G255" s="234">
        <v>46080</v>
      </c>
      <c r="H255" s="235" t="s">
        <v>17</v>
      </c>
      <c r="I255" s="235"/>
      <c r="J255" s="236">
        <v>7.0000000000000007E-2</v>
      </c>
      <c r="K255" s="237">
        <f ca="1">ROUND(IF(ISERROR(OFFSET(Tabella!$A$1,MATCH(H255,Tabella!$A:$A,0)-1,MATCH(J255,Tabella!$A$1:$AC$1,0)-1)=TRUE),0,+OFFSET(Tabella!$A$1,MATCH(H255,Tabella!$A:$A,0)-1,MATCH(J255,Tabella!$A$1:$AC$1,0)-1)),4)</f>
        <v>1.4</v>
      </c>
      <c r="L255" s="238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238">
        <f ca="1">ROUND(IF(ISERROR(OFFSET(Rame!$A$1,MATCH(H255,Rame!$A:$A,0)-1,MATCH(J255,Rame!$A$1:$AA$1,0)-1)=TRUE),0,OFFSET(Rame!$A$1,MATCH(H255,Rame!$A:$A,0)-1,MATCH(J255,Rame!$A$1:$AA$1,0)-1))*IF(E255="Rame",1,0),4)</f>
        <v>0</v>
      </c>
      <c r="N255" s="238">
        <v>0</v>
      </c>
      <c r="O255" s="238">
        <v>1.6</v>
      </c>
      <c r="P255" s="238">
        <f ca="1">ROUND(+IF(ISERROR(OFFSET(Tabella!$G$1,MATCH(H255,Tabella!$G:$G,0)-1,MATCH(I255,Tabella!$G$1:$FG$1,0)-1)=TRUE),0,OFFSET(Tabella!$G$1,MATCH(H255,Tabella!$G:$G,0)-1,MATCH(I255,Tabella!$G$1:$AB$1,0)-1)),4)</f>
        <v>0</v>
      </c>
      <c r="Q255" s="238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238">
        <f ca="1">ROUND(IF(ISERROR(OFFSET(Rame!$F$1,MATCH(H255,Rame!$F:$F,0)-1,MATCH(I255,Rame!$F$1:$FF$1,0)-1)=TRUE),0,OFFSET(Rame!$F$1,MATCH(H255,Rame!$F:$F,0)-1,MATCH(I255,Rame!$F$1:$FF$1,0)-1))*IF(E255="Rame",1,0),4)</f>
        <v>0</v>
      </c>
      <c r="S255" s="238">
        <f ca="1">ROUND(IF(ISERROR(OFFSET(Bronzo!$A$1,MATCH(H255,Bronzo!$A:$A,0)-1,MATCH(I255,Bronzo!$A$1:$AA$1,0)-1)=TRUE),0,OFFSET(Bronzo!$A$1,MATCH(H255,Bronzo!$A:$A,0)-1,MATCH(I255,Bronzo!$A$1:$AA$1,0)-1)),4)</f>
        <v>0</v>
      </c>
      <c r="T255" s="238">
        <f t="shared" ca="1" si="190"/>
        <v>0</v>
      </c>
      <c r="U255" s="237"/>
      <c r="V255" s="238">
        <v>0</v>
      </c>
      <c r="W255" s="239">
        <f t="shared" ca="1" si="191"/>
        <v>1.6</v>
      </c>
      <c r="X255" s="423">
        <f t="shared" si="189"/>
        <v>277.55</v>
      </c>
      <c r="Y255" s="236">
        <v>4.2</v>
      </c>
      <c r="Z255" s="236">
        <f t="shared" ca="1" si="192"/>
        <v>-0.02</v>
      </c>
      <c r="AA255" s="241"/>
      <c r="AF255" s="225">
        <f t="shared" ca="1" si="136"/>
        <v>46236</v>
      </c>
      <c r="AG255" s="225" t="b">
        <f t="shared" si="184"/>
        <v>1</v>
      </c>
      <c r="AH255" s="242"/>
      <c r="AK255" s="223">
        <f t="shared" si="185"/>
        <v>0</v>
      </c>
      <c r="AL255" s="223">
        <f t="shared" si="186"/>
        <v>1900</v>
      </c>
      <c r="AS255" s="223">
        <f t="shared" si="187"/>
        <v>0</v>
      </c>
      <c r="AT255" s="223">
        <f t="shared" si="188"/>
        <v>0</v>
      </c>
    </row>
    <row r="256" spans="2:46" ht="15.75" x14ac:dyDescent="0.25">
      <c r="B256" s="229" t="s">
        <v>582</v>
      </c>
      <c r="C256" s="245" t="s">
        <v>479</v>
      </c>
      <c r="D256" s="246">
        <v>1983</v>
      </c>
      <c r="E256" s="232" t="s">
        <v>4</v>
      </c>
      <c r="F256" s="233">
        <v>2.62</v>
      </c>
      <c r="G256" s="234">
        <v>46080</v>
      </c>
      <c r="H256" s="235" t="s">
        <v>21</v>
      </c>
      <c r="I256" s="235"/>
      <c r="J256" s="236">
        <v>7.0000000000000007E-2</v>
      </c>
      <c r="K256" s="237">
        <f ca="1">ROUND(IF(ISERROR(OFFSET(Tabella!$A$1,MATCH(H256,Tabella!$A:$A,0)-1,MATCH(J256,Tabella!$A$1:$AC$1,0)-1)=TRUE),0,+OFFSET(Tabella!$A$1,MATCH(H256,Tabella!$A:$A,0)-1,MATCH(J256,Tabella!$A$1:$AC$1,0)-1)),4)</f>
        <v>1.25</v>
      </c>
      <c r="L256" s="238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238">
        <f ca="1">ROUND(IF(ISERROR(OFFSET(Rame!$A$1,MATCH(H256,Rame!$A:$A,0)-1,MATCH(J256,Rame!$A$1:$AA$1,0)-1)=TRUE),0,OFFSET(Rame!$A$1,MATCH(H256,Rame!$A:$A,0)-1,MATCH(J256,Rame!$A$1:$AA$1,0)-1))*IF(E256="Rame",1,0),4)</f>
        <v>0</v>
      </c>
      <c r="N256" s="238">
        <v>0</v>
      </c>
      <c r="O256" s="238">
        <v>1.5</v>
      </c>
      <c r="P256" s="238">
        <f ca="1">ROUND(+IF(ISERROR(OFFSET(Tabella!$G$1,MATCH(H256,Tabella!$G:$G,0)-1,MATCH(I256,Tabella!$G$1:$FG$1,0)-1)=TRUE),0,OFFSET(Tabella!$G$1,MATCH(H256,Tabella!$G:$G,0)-1,MATCH(I256,Tabella!$G$1:$AB$1,0)-1)),4)</f>
        <v>0</v>
      </c>
      <c r="Q256" s="238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238">
        <f ca="1">ROUND(IF(ISERROR(OFFSET(Rame!$F$1,MATCH(H256,Rame!$F:$F,0)-1,MATCH(I256,Rame!$F$1:$FF$1,0)-1)=TRUE),0,OFFSET(Rame!$F$1,MATCH(H256,Rame!$F:$F,0)-1,MATCH(I256,Rame!$F$1:$FF$1,0)-1))*IF(E256="Rame",1,0),4)</f>
        <v>0</v>
      </c>
      <c r="S256" s="238">
        <f ca="1">ROUND(IF(ISERROR(OFFSET(Bronzo!$A$1,MATCH(H256,Bronzo!$A:$A,0)-1,MATCH(I256,Bronzo!$A$1:$AA$1,0)-1)=TRUE),0,OFFSET(Bronzo!$A$1,MATCH(H256,Bronzo!$A:$A,0)-1,MATCH(I256,Bronzo!$A$1:$AA$1,0)-1)),4)</f>
        <v>0</v>
      </c>
      <c r="T256" s="238">
        <f t="shared" ca="1" si="190"/>
        <v>0</v>
      </c>
      <c r="U256" s="237"/>
      <c r="V256" s="238">
        <v>0</v>
      </c>
      <c r="W256" s="239">
        <f t="shared" ca="1" si="191"/>
        <v>1.5</v>
      </c>
      <c r="X256" s="423">
        <f t="shared" si="189"/>
        <v>138.81</v>
      </c>
      <c r="Y256" s="236">
        <v>4.0999999999999996</v>
      </c>
      <c r="Z256" s="236">
        <f t="shared" ca="1" si="192"/>
        <v>-0.02</v>
      </c>
      <c r="AA256" s="241"/>
      <c r="AF256" s="225">
        <f t="shared" ca="1" si="136"/>
        <v>46236</v>
      </c>
      <c r="AG256" s="225" t="b">
        <f t="shared" si="184"/>
        <v>1</v>
      </c>
      <c r="AH256" s="242"/>
      <c r="AK256" s="223">
        <f t="shared" si="185"/>
        <v>0</v>
      </c>
      <c r="AL256" s="223">
        <f t="shared" si="186"/>
        <v>1900</v>
      </c>
      <c r="AS256" s="223">
        <f t="shared" si="187"/>
        <v>0</v>
      </c>
      <c r="AT256" s="223">
        <f t="shared" si="188"/>
        <v>0</v>
      </c>
    </row>
    <row r="257" spans="2:46" ht="15.75" x14ac:dyDescent="0.25">
      <c r="B257" s="229" t="s">
        <v>583</v>
      </c>
      <c r="C257" s="245" t="s">
        <v>479</v>
      </c>
      <c r="D257" s="246">
        <v>1000</v>
      </c>
      <c r="E257" s="232" t="s">
        <v>4</v>
      </c>
      <c r="F257" s="233">
        <v>2.62</v>
      </c>
      <c r="G257" s="234">
        <v>46080</v>
      </c>
      <c r="H257" s="235" t="s">
        <v>322</v>
      </c>
      <c r="I257" s="235"/>
      <c r="J257" s="236">
        <v>7.0000000000000007E-2</v>
      </c>
      <c r="K257" s="237">
        <f ca="1">ROUND(IF(ISERROR(OFFSET(Tabella!$A$1,MATCH(H257,Tabella!$A:$A,0)-1,MATCH(J257,Tabella!$A$1:$AC$1,0)-1)=TRUE),0,+OFFSET(Tabella!$A$1,MATCH(H257,Tabella!$A:$A,0)-1,MATCH(J257,Tabella!$A$1:$AC$1,0)-1)),4)</f>
        <v>1.25</v>
      </c>
      <c r="L257" s="238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238">
        <f ca="1">ROUND(IF(ISERROR(OFFSET(Rame!$A$1,MATCH(H257,Rame!$A:$A,0)-1,MATCH(J257,Rame!$A$1:$AA$1,0)-1)=TRUE),0,OFFSET(Rame!$A$1,MATCH(H257,Rame!$A:$A,0)-1,MATCH(J257,Rame!$A$1:$AA$1,0)-1))*IF(E257="Rame",1,0),4)</f>
        <v>0</v>
      </c>
      <c r="N257" s="238">
        <v>0</v>
      </c>
      <c r="O257" s="238">
        <v>1.5</v>
      </c>
      <c r="P257" s="238">
        <f ca="1">ROUND(+IF(ISERROR(OFFSET(Tabella!$G$1,MATCH(H257,Tabella!$G:$G,0)-1,MATCH(I257,Tabella!$G$1:$FG$1,0)-1)=TRUE),0,OFFSET(Tabella!$G$1,MATCH(H257,Tabella!$G:$G,0)-1,MATCH(I257,Tabella!$G$1:$AB$1,0)-1)),4)</f>
        <v>0</v>
      </c>
      <c r="Q257" s="238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238">
        <f ca="1">ROUND(IF(ISERROR(OFFSET(Rame!$F$1,MATCH(H257,Rame!$F:$F,0)-1,MATCH(I257,Rame!$F$1:$FF$1,0)-1)=TRUE),0,OFFSET(Rame!$F$1,MATCH(H257,Rame!$F:$F,0)-1,MATCH(I257,Rame!$F$1:$FF$1,0)-1))*IF(E257="Rame",1,0),4)</f>
        <v>0</v>
      </c>
      <c r="S257" s="238">
        <f ca="1">ROUND(IF(ISERROR(OFFSET(Bronzo!$A$1,MATCH(H257,Bronzo!$A:$A,0)-1,MATCH(I257,Bronzo!$A$1:$AA$1,0)-1)=TRUE),0,OFFSET(Bronzo!$A$1,MATCH(H257,Bronzo!$A:$A,0)-1,MATCH(I257,Bronzo!$A$1:$AA$1,0)-1)),4)</f>
        <v>0</v>
      </c>
      <c r="T257" s="238">
        <f t="shared" ca="1" si="190"/>
        <v>0</v>
      </c>
      <c r="U257" s="237"/>
      <c r="V257" s="238">
        <v>0</v>
      </c>
      <c r="W257" s="239">
        <f t="shared" ca="1" si="191"/>
        <v>1.5</v>
      </c>
      <c r="X257" s="423">
        <f t="shared" si="189"/>
        <v>70</v>
      </c>
      <c r="Y257" s="236">
        <v>4.0999999999999996</v>
      </c>
      <c r="Z257" s="236">
        <f t="shared" ca="1" si="192"/>
        <v>-0.02</v>
      </c>
      <c r="AA257" s="241"/>
      <c r="AF257" s="225">
        <f t="shared" ca="1" si="136"/>
        <v>46236</v>
      </c>
      <c r="AG257" s="225" t="b">
        <f t="shared" si="184"/>
        <v>1</v>
      </c>
      <c r="AH257" s="242"/>
      <c r="AK257" s="223">
        <f t="shared" si="185"/>
        <v>0</v>
      </c>
      <c r="AL257" s="223">
        <f t="shared" si="186"/>
        <v>1900</v>
      </c>
      <c r="AS257" s="223">
        <f t="shared" si="187"/>
        <v>0</v>
      </c>
      <c r="AT257" s="223">
        <f t="shared" si="188"/>
        <v>0</v>
      </c>
    </row>
    <row r="258" spans="2:46" ht="15.75" x14ac:dyDescent="0.25">
      <c r="B258" s="229" t="s">
        <v>583</v>
      </c>
      <c r="C258" s="245" t="s">
        <v>479</v>
      </c>
      <c r="D258" s="246">
        <v>940</v>
      </c>
      <c r="E258" s="232" t="s">
        <v>4</v>
      </c>
      <c r="F258" s="233">
        <v>2.62</v>
      </c>
      <c r="G258" s="234">
        <v>46080</v>
      </c>
      <c r="H258" s="235" t="s">
        <v>322</v>
      </c>
      <c r="I258" s="235"/>
      <c r="J258" s="236">
        <v>7.0000000000000007E-2</v>
      </c>
      <c r="K258" s="237">
        <f ca="1">ROUND(IF(ISERROR(OFFSET(Tabella!$A$1,MATCH(H258,Tabella!$A:$A,0)-1,MATCH(J258,Tabella!$A$1:$AC$1,0)-1)=TRUE),0,+OFFSET(Tabella!$A$1,MATCH(H258,Tabella!$A:$A,0)-1,MATCH(J258,Tabella!$A$1:$AC$1,0)-1)),4)</f>
        <v>1.25</v>
      </c>
      <c r="L258" s="238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238">
        <f ca="1">ROUND(IF(ISERROR(OFFSET(Rame!$A$1,MATCH(H258,Rame!$A:$A,0)-1,MATCH(J258,Rame!$A$1:$AA$1,0)-1)=TRUE),0,OFFSET(Rame!$A$1,MATCH(H258,Rame!$A:$A,0)-1,MATCH(J258,Rame!$A$1:$AA$1,0)-1))*IF(E258="Rame",1,0),4)</f>
        <v>0</v>
      </c>
      <c r="N258" s="238">
        <v>0</v>
      </c>
      <c r="O258" s="238">
        <v>1.5</v>
      </c>
      <c r="P258" s="238">
        <f ca="1">ROUND(+IF(ISERROR(OFFSET(Tabella!$G$1,MATCH(H258,Tabella!$G:$G,0)-1,MATCH(I258,Tabella!$G$1:$FG$1,0)-1)=TRUE),0,OFFSET(Tabella!$G$1,MATCH(H258,Tabella!$G:$G,0)-1,MATCH(I258,Tabella!$G$1:$AB$1,0)-1)),4)</f>
        <v>0</v>
      </c>
      <c r="Q258" s="238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238">
        <f ca="1">ROUND(IF(ISERROR(OFFSET(Rame!$F$1,MATCH(H258,Rame!$F:$F,0)-1,MATCH(I258,Rame!$F$1:$FF$1,0)-1)=TRUE),0,OFFSET(Rame!$F$1,MATCH(H258,Rame!$F:$F,0)-1,MATCH(I258,Rame!$F$1:$FF$1,0)-1))*IF(E258="Rame",1,0),4)</f>
        <v>0</v>
      </c>
      <c r="S258" s="238">
        <f ca="1">ROUND(IF(ISERROR(OFFSET(Bronzo!$A$1,MATCH(H258,Bronzo!$A:$A,0)-1,MATCH(I258,Bronzo!$A$1:$AA$1,0)-1)=TRUE),0,OFFSET(Bronzo!$A$1,MATCH(H258,Bronzo!$A:$A,0)-1,MATCH(I258,Bronzo!$A$1:$AA$1,0)-1)),4)</f>
        <v>0</v>
      </c>
      <c r="T258" s="238">
        <f t="shared" ca="1" si="190"/>
        <v>0</v>
      </c>
      <c r="U258" s="237"/>
      <c r="V258" s="238">
        <v>0</v>
      </c>
      <c r="W258" s="239">
        <f t="shared" ca="1" si="191"/>
        <v>1.5</v>
      </c>
      <c r="X258" s="423">
        <f t="shared" si="189"/>
        <v>65.8</v>
      </c>
      <c r="Y258" s="236">
        <v>4.0999999999999996</v>
      </c>
      <c r="Z258" s="236">
        <f t="shared" ca="1" si="192"/>
        <v>-0.02</v>
      </c>
      <c r="AA258" s="241"/>
      <c r="AF258" s="225">
        <f t="shared" ca="1" si="136"/>
        <v>46236</v>
      </c>
      <c r="AG258" s="225" t="b">
        <f t="shared" si="184"/>
        <v>1</v>
      </c>
      <c r="AH258" s="242"/>
      <c r="AK258" s="223">
        <f t="shared" si="185"/>
        <v>0</v>
      </c>
      <c r="AL258" s="223">
        <f t="shared" si="186"/>
        <v>1900</v>
      </c>
      <c r="AS258" s="223">
        <f t="shared" si="187"/>
        <v>0</v>
      </c>
      <c r="AT258" s="223">
        <f t="shared" si="188"/>
        <v>0</v>
      </c>
    </row>
    <row r="259" spans="2:46" ht="15.75" x14ac:dyDescent="0.25">
      <c r="B259" s="229" t="s">
        <v>583</v>
      </c>
      <c r="C259" s="245" t="s">
        <v>479</v>
      </c>
      <c r="D259" s="246">
        <v>2872</v>
      </c>
      <c r="E259" s="232" t="s">
        <v>4</v>
      </c>
      <c r="F259" s="233">
        <v>2.62</v>
      </c>
      <c r="G259" s="234">
        <v>46080</v>
      </c>
      <c r="H259" s="235" t="s">
        <v>25</v>
      </c>
      <c r="I259" s="235"/>
      <c r="J259" s="236">
        <v>7.0000000000000007E-2</v>
      </c>
      <c r="K259" s="237">
        <f ca="1">ROUND(IF(ISERROR(OFFSET(Tabella!$A$1,MATCH(H259,Tabella!$A:$A,0)-1,MATCH(J259,Tabella!$A$1:$AC$1,0)-1)=TRUE),0,+OFFSET(Tabella!$A$1,MATCH(H259,Tabella!$A:$A,0)-1,MATCH(J259,Tabella!$A$1:$AC$1,0)-1)),4)</f>
        <v>1.25</v>
      </c>
      <c r="L259" s="238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238">
        <f ca="1">ROUND(IF(ISERROR(OFFSET(Rame!$A$1,MATCH(H259,Rame!$A:$A,0)-1,MATCH(J259,Rame!$A$1:$AA$1,0)-1)=TRUE),0,OFFSET(Rame!$A$1,MATCH(H259,Rame!$A:$A,0)-1,MATCH(J259,Rame!$A$1:$AA$1,0)-1))*IF(E259="Rame",1,0),4)</f>
        <v>0</v>
      </c>
      <c r="N259" s="238">
        <v>0</v>
      </c>
      <c r="O259" s="238">
        <v>1.5</v>
      </c>
      <c r="P259" s="238">
        <f ca="1">ROUND(+IF(ISERROR(OFFSET(Tabella!$G$1,MATCH(H259,Tabella!$G:$G,0)-1,MATCH(I259,Tabella!$G$1:$FG$1,0)-1)=TRUE),0,OFFSET(Tabella!$G$1,MATCH(H259,Tabella!$G:$G,0)-1,MATCH(I259,Tabella!$G$1:$AB$1,0)-1)),4)</f>
        <v>0</v>
      </c>
      <c r="Q259" s="238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238">
        <f ca="1">ROUND(IF(ISERROR(OFFSET(Rame!$F$1,MATCH(H259,Rame!$F:$F,0)-1,MATCH(I259,Rame!$F$1:$FF$1,0)-1)=TRUE),0,OFFSET(Rame!$F$1,MATCH(H259,Rame!$F:$F,0)-1,MATCH(I259,Rame!$F$1:$FF$1,0)-1))*IF(E259="Rame",1,0),4)</f>
        <v>0</v>
      </c>
      <c r="S259" s="238">
        <f ca="1">ROUND(IF(ISERROR(OFFSET(Bronzo!$A$1,MATCH(H259,Bronzo!$A:$A,0)-1,MATCH(I259,Bronzo!$A$1:$AA$1,0)-1)=TRUE),0,OFFSET(Bronzo!$A$1,MATCH(H259,Bronzo!$A:$A,0)-1,MATCH(I259,Bronzo!$A$1:$AA$1,0)-1)),4)</f>
        <v>0</v>
      </c>
      <c r="T259" s="238">
        <f t="shared" ca="1" si="190"/>
        <v>0</v>
      </c>
      <c r="U259" s="237"/>
      <c r="V259" s="238">
        <v>0</v>
      </c>
      <c r="W259" s="239">
        <f t="shared" ca="1" si="191"/>
        <v>1.5</v>
      </c>
      <c r="X259" s="423">
        <f t="shared" si="189"/>
        <v>201.04</v>
      </c>
      <c r="Y259" s="236">
        <v>4.0999999999999996</v>
      </c>
      <c r="Z259" s="236">
        <f t="shared" ca="1" si="192"/>
        <v>-0.02</v>
      </c>
      <c r="AA259" s="241"/>
      <c r="AF259" s="225">
        <f t="shared" ref="AF259:AF323" ca="1" si="212">TODAY()</f>
        <v>46236</v>
      </c>
      <c r="AG259" s="225" t="b">
        <f t="shared" ref="AG259:AG284" si="213">ISBLANK(AA259)</f>
        <v>1</v>
      </c>
      <c r="AH259" s="242"/>
      <c r="AK259" s="223">
        <f t="shared" si="185"/>
        <v>0</v>
      </c>
      <c r="AL259" s="223">
        <f t="shared" si="186"/>
        <v>1900</v>
      </c>
      <c r="AS259" s="223">
        <f t="shared" si="187"/>
        <v>0</v>
      </c>
      <c r="AT259" s="223">
        <f t="shared" si="188"/>
        <v>0</v>
      </c>
    </row>
    <row r="260" spans="2:46" ht="15.75" x14ac:dyDescent="0.25">
      <c r="B260" s="229" t="s">
        <v>584</v>
      </c>
      <c r="C260" s="245" t="s">
        <v>479</v>
      </c>
      <c r="D260" s="246">
        <v>907</v>
      </c>
      <c r="E260" s="232" t="s">
        <v>4</v>
      </c>
      <c r="F260" s="233">
        <v>2.62</v>
      </c>
      <c r="G260" s="234">
        <v>46080</v>
      </c>
      <c r="H260" s="235" t="s">
        <v>23</v>
      </c>
      <c r="I260" s="235"/>
      <c r="J260" s="236">
        <v>7.0000000000000007E-2</v>
      </c>
      <c r="K260" s="237">
        <f ca="1">ROUND(IF(ISERROR(OFFSET(Tabella!$A$1,MATCH(H260,Tabella!$A:$A,0)-1,MATCH(J260,Tabella!$A$1:$AC$1,0)-1)=TRUE),0,+OFFSET(Tabella!$A$1,MATCH(H260,Tabella!$A:$A,0)-1,MATCH(J260,Tabella!$A$1:$AC$1,0)-1)),4)</f>
        <v>1.25</v>
      </c>
      <c r="L260" s="238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238">
        <f ca="1">ROUND(IF(ISERROR(OFFSET(Rame!$A$1,MATCH(H260,Rame!$A:$A,0)-1,MATCH(J260,Rame!$A$1:$AA$1,0)-1)=TRUE),0,OFFSET(Rame!$A$1,MATCH(H260,Rame!$A:$A,0)-1,MATCH(J260,Rame!$A$1:$AA$1,0)-1))*IF(E260="Rame",1,0),4)</f>
        <v>0</v>
      </c>
      <c r="N260" s="238">
        <v>0</v>
      </c>
      <c r="O260" s="238">
        <v>1.5</v>
      </c>
      <c r="P260" s="238">
        <f ca="1">ROUND(+IF(ISERROR(OFFSET(Tabella!$G$1,MATCH(H260,Tabella!$G:$G,0)-1,MATCH(I260,Tabella!$G$1:$FG$1,0)-1)=TRUE),0,OFFSET(Tabella!$G$1,MATCH(H260,Tabella!$G:$G,0)-1,MATCH(I260,Tabella!$G$1:$AB$1,0)-1)),4)</f>
        <v>0</v>
      </c>
      <c r="Q260" s="238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238">
        <f ca="1">ROUND(IF(ISERROR(OFFSET(Rame!$F$1,MATCH(H260,Rame!$F:$F,0)-1,MATCH(I260,Rame!$F$1:$FF$1,0)-1)=TRUE),0,OFFSET(Rame!$F$1,MATCH(H260,Rame!$F:$F,0)-1,MATCH(I260,Rame!$F$1:$FF$1,0)-1))*IF(E260="Rame",1,0),4)</f>
        <v>0</v>
      </c>
      <c r="S260" s="238">
        <f ca="1">ROUND(IF(ISERROR(OFFSET(Bronzo!$A$1,MATCH(H260,Bronzo!$A:$A,0)-1,MATCH(I260,Bronzo!$A$1:$AA$1,0)-1)=TRUE),0,OFFSET(Bronzo!$A$1,MATCH(H260,Bronzo!$A:$A,0)-1,MATCH(I260,Bronzo!$A$1:$AA$1,0)-1)),4)</f>
        <v>0</v>
      </c>
      <c r="T260" s="238">
        <f t="shared" ca="1" si="190"/>
        <v>0</v>
      </c>
      <c r="U260" s="237"/>
      <c r="V260" s="238">
        <v>0</v>
      </c>
      <c r="W260" s="239">
        <f t="shared" ca="1" si="191"/>
        <v>1.5</v>
      </c>
      <c r="X260" s="423">
        <f t="shared" si="189"/>
        <v>63.49</v>
      </c>
      <c r="Y260" s="236">
        <v>4.0999999999999996</v>
      </c>
      <c r="Z260" s="236">
        <f t="shared" ca="1" si="192"/>
        <v>-0.02</v>
      </c>
      <c r="AA260" s="241"/>
      <c r="AF260" s="225">
        <f t="shared" ca="1" si="212"/>
        <v>46236</v>
      </c>
      <c r="AG260" s="225" t="b">
        <f t="shared" si="213"/>
        <v>1</v>
      </c>
      <c r="AH260" s="242"/>
      <c r="AK260" s="223">
        <f t="shared" ref="AK260:AK299" si="214">WEEKNUM(AA260)</f>
        <v>0</v>
      </c>
      <c r="AL260" s="223">
        <f t="shared" ref="AL260:AL299" si="215">YEAR(AA260)</f>
        <v>1900</v>
      </c>
      <c r="AS260" s="223">
        <f t="shared" ref="AS260:AS311" si="216">IF(AA260="",0,MONTH(AA260))</f>
        <v>0</v>
      </c>
      <c r="AT260" s="223">
        <f t="shared" ref="AT260:AT311" si="217">IF(AA260="",0,YEAR(AA260))</f>
        <v>0</v>
      </c>
    </row>
    <row r="261" spans="2:46" ht="15.75" x14ac:dyDescent="0.25">
      <c r="B261" s="229" t="s">
        <v>584</v>
      </c>
      <c r="C261" s="245" t="s">
        <v>479</v>
      </c>
      <c r="D261" s="246">
        <v>909</v>
      </c>
      <c r="E261" s="232" t="s">
        <v>4</v>
      </c>
      <c r="F261" s="233">
        <v>2.62</v>
      </c>
      <c r="G261" s="234">
        <v>46080</v>
      </c>
      <c r="H261" s="235" t="s">
        <v>21</v>
      </c>
      <c r="I261" s="235"/>
      <c r="J261" s="236">
        <v>7.0000000000000007E-2</v>
      </c>
      <c r="K261" s="237">
        <f ca="1">ROUND(IF(ISERROR(OFFSET(Tabella!$A$1,MATCH(H261,Tabella!$A:$A,0)-1,MATCH(J261,Tabella!$A$1:$AC$1,0)-1)=TRUE),0,+OFFSET(Tabella!$A$1,MATCH(H261,Tabella!$A:$A,0)-1,MATCH(J261,Tabella!$A$1:$AC$1,0)-1)),4)</f>
        <v>1.25</v>
      </c>
      <c r="L261" s="238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238">
        <f ca="1">ROUND(IF(ISERROR(OFFSET(Rame!$A$1,MATCH(H261,Rame!$A:$A,0)-1,MATCH(J261,Rame!$A$1:$AA$1,0)-1)=TRUE),0,OFFSET(Rame!$A$1,MATCH(H261,Rame!$A:$A,0)-1,MATCH(J261,Rame!$A$1:$AA$1,0)-1))*IF(E261="Rame",1,0),4)</f>
        <v>0</v>
      </c>
      <c r="N261" s="238">
        <v>0</v>
      </c>
      <c r="O261" s="238">
        <v>1.5</v>
      </c>
      <c r="P261" s="238">
        <f ca="1">ROUND(+IF(ISERROR(OFFSET(Tabella!$G$1,MATCH(H261,Tabella!$G:$G,0)-1,MATCH(I261,Tabella!$G$1:$FG$1,0)-1)=TRUE),0,OFFSET(Tabella!$G$1,MATCH(H261,Tabella!$G:$G,0)-1,MATCH(I261,Tabella!$G$1:$AB$1,0)-1)),4)</f>
        <v>0</v>
      </c>
      <c r="Q261" s="238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238">
        <f ca="1">ROUND(IF(ISERROR(OFFSET(Rame!$F$1,MATCH(H261,Rame!$F:$F,0)-1,MATCH(I261,Rame!$F$1:$FF$1,0)-1)=TRUE),0,OFFSET(Rame!$F$1,MATCH(H261,Rame!$F:$F,0)-1,MATCH(I261,Rame!$F$1:$FF$1,0)-1))*IF(E261="Rame",1,0),4)</f>
        <v>0</v>
      </c>
      <c r="S261" s="238">
        <f ca="1">ROUND(IF(ISERROR(OFFSET(Bronzo!$A$1,MATCH(H261,Bronzo!$A:$A,0)-1,MATCH(I261,Bronzo!$A$1:$AA$1,0)-1)=TRUE),0,OFFSET(Bronzo!$A$1,MATCH(H261,Bronzo!$A:$A,0)-1,MATCH(I261,Bronzo!$A$1:$AA$1,0)-1)),4)</f>
        <v>0</v>
      </c>
      <c r="T261" s="238">
        <f t="shared" ca="1" si="190"/>
        <v>0</v>
      </c>
      <c r="U261" s="237"/>
      <c r="V261" s="238">
        <v>0</v>
      </c>
      <c r="W261" s="239">
        <f t="shared" ca="1" si="191"/>
        <v>1.5</v>
      </c>
      <c r="X261" s="423">
        <f t="shared" si="189"/>
        <v>63.63</v>
      </c>
      <c r="Y261" s="236">
        <v>4.0999999999999996</v>
      </c>
      <c r="Z261" s="236">
        <f t="shared" ca="1" si="192"/>
        <v>-0.02</v>
      </c>
      <c r="AA261" s="241"/>
      <c r="AF261" s="225">
        <f t="shared" ca="1" si="212"/>
        <v>46236</v>
      </c>
      <c r="AG261" s="225" t="b">
        <f t="shared" si="213"/>
        <v>1</v>
      </c>
      <c r="AH261" s="242"/>
      <c r="AK261" s="223">
        <f t="shared" si="214"/>
        <v>0</v>
      </c>
      <c r="AL261" s="223">
        <f t="shared" si="215"/>
        <v>1900</v>
      </c>
      <c r="AS261" s="223">
        <f t="shared" si="216"/>
        <v>0</v>
      </c>
      <c r="AT261" s="223">
        <f t="shared" si="217"/>
        <v>0</v>
      </c>
    </row>
    <row r="262" spans="2:46" ht="15.75" x14ac:dyDescent="0.25">
      <c r="B262" s="229" t="s">
        <v>584</v>
      </c>
      <c r="C262" s="245" t="s">
        <v>479</v>
      </c>
      <c r="D262" s="246">
        <v>970</v>
      </c>
      <c r="E262" s="232" t="s">
        <v>4</v>
      </c>
      <c r="F262" s="233">
        <v>2.62</v>
      </c>
      <c r="G262" s="234">
        <v>46080</v>
      </c>
      <c r="H262" s="235" t="s">
        <v>27</v>
      </c>
      <c r="I262" s="235"/>
      <c r="J262" s="236">
        <v>7.0000000000000007E-2</v>
      </c>
      <c r="K262" s="237">
        <f ca="1">ROUND(IF(ISERROR(OFFSET(Tabella!$A$1,MATCH(H262,Tabella!$A:$A,0)-1,MATCH(J262,Tabella!$A$1:$AC$1,0)-1)=TRUE),0,+OFFSET(Tabella!$A$1,MATCH(H262,Tabella!$A:$A,0)-1,MATCH(J262,Tabella!$A$1:$AC$1,0)-1)),4)</f>
        <v>1.25</v>
      </c>
      <c r="L262" s="238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238">
        <f ca="1">ROUND(IF(ISERROR(OFFSET(Rame!$A$1,MATCH(H262,Rame!$A:$A,0)-1,MATCH(J262,Rame!$A$1:$AA$1,0)-1)=TRUE),0,OFFSET(Rame!$A$1,MATCH(H262,Rame!$A:$A,0)-1,MATCH(J262,Rame!$A$1:$AA$1,0)-1))*IF(E262="Rame",1,0),4)</f>
        <v>0</v>
      </c>
      <c r="N262" s="238">
        <v>0</v>
      </c>
      <c r="O262" s="238">
        <v>1.5</v>
      </c>
      <c r="P262" s="238">
        <f ca="1">ROUND(+IF(ISERROR(OFFSET(Tabella!$G$1,MATCH(H262,Tabella!$G:$G,0)-1,MATCH(I262,Tabella!$G$1:$FG$1,0)-1)=TRUE),0,OFFSET(Tabella!$G$1,MATCH(H262,Tabella!$G:$G,0)-1,MATCH(I262,Tabella!$G$1:$AB$1,0)-1)),4)</f>
        <v>0</v>
      </c>
      <c r="Q262" s="238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238">
        <f ca="1">ROUND(IF(ISERROR(OFFSET(Rame!$F$1,MATCH(H262,Rame!$F:$F,0)-1,MATCH(I262,Rame!$F$1:$FF$1,0)-1)=TRUE),0,OFFSET(Rame!$F$1,MATCH(H262,Rame!$F:$F,0)-1,MATCH(I262,Rame!$F$1:$FF$1,0)-1))*IF(E262="Rame",1,0),4)</f>
        <v>0</v>
      </c>
      <c r="S262" s="238">
        <f ca="1">ROUND(IF(ISERROR(OFFSET(Bronzo!$A$1,MATCH(H262,Bronzo!$A:$A,0)-1,MATCH(I262,Bronzo!$A$1:$AA$1,0)-1)=TRUE),0,OFFSET(Bronzo!$A$1,MATCH(H262,Bronzo!$A:$A,0)-1,MATCH(I262,Bronzo!$A$1:$AA$1,0)-1)),4)</f>
        <v>0</v>
      </c>
      <c r="T262" s="238">
        <f t="shared" ca="1" si="190"/>
        <v>0</v>
      </c>
      <c r="U262" s="237"/>
      <c r="V262" s="238">
        <v>0</v>
      </c>
      <c r="W262" s="239">
        <f t="shared" ca="1" si="191"/>
        <v>1.5</v>
      </c>
      <c r="X262" s="423">
        <f t="shared" si="189"/>
        <v>67.900000000000006</v>
      </c>
      <c r="Y262" s="236">
        <v>4.0999999999999996</v>
      </c>
      <c r="Z262" s="236">
        <f t="shared" ca="1" si="192"/>
        <v>-0.02</v>
      </c>
      <c r="AA262" s="241"/>
      <c r="AF262" s="225">
        <f t="shared" ca="1" si="212"/>
        <v>46236</v>
      </c>
      <c r="AG262" s="225" t="b">
        <f t="shared" si="213"/>
        <v>1</v>
      </c>
      <c r="AH262" s="242"/>
      <c r="AK262" s="223">
        <f t="shared" si="214"/>
        <v>0</v>
      </c>
      <c r="AL262" s="223">
        <f t="shared" si="215"/>
        <v>1900</v>
      </c>
      <c r="AS262" s="223">
        <f t="shared" si="216"/>
        <v>0</v>
      </c>
      <c r="AT262" s="223">
        <f t="shared" si="217"/>
        <v>0</v>
      </c>
    </row>
    <row r="263" spans="2:46" ht="15.75" x14ac:dyDescent="0.25">
      <c r="B263" s="229" t="s">
        <v>584</v>
      </c>
      <c r="C263" s="245" t="s">
        <v>479</v>
      </c>
      <c r="D263" s="246">
        <v>2834</v>
      </c>
      <c r="E263" s="232" t="s">
        <v>4</v>
      </c>
      <c r="F263" s="233">
        <v>2.62</v>
      </c>
      <c r="G263" s="234">
        <v>46080</v>
      </c>
      <c r="H263" s="235" t="s">
        <v>28</v>
      </c>
      <c r="I263" s="235"/>
      <c r="J263" s="236">
        <v>7.0000000000000007E-2</v>
      </c>
      <c r="K263" s="237">
        <f ca="1">ROUND(IF(ISERROR(OFFSET(Tabella!$A$1,MATCH(H263,Tabella!$A:$A,0)-1,MATCH(J263,Tabella!$A$1:$AC$1,0)-1)=TRUE),0,+OFFSET(Tabella!$A$1,MATCH(H263,Tabella!$A:$A,0)-1,MATCH(J263,Tabella!$A$1:$AC$1,0)-1)),4)</f>
        <v>1.25</v>
      </c>
      <c r="L263" s="238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238">
        <f ca="1">ROUND(IF(ISERROR(OFFSET(Rame!$A$1,MATCH(H263,Rame!$A:$A,0)-1,MATCH(J263,Rame!$A$1:$AA$1,0)-1)=TRUE),0,OFFSET(Rame!$A$1,MATCH(H263,Rame!$A:$A,0)-1,MATCH(J263,Rame!$A$1:$AA$1,0)-1))*IF(E263="Rame",1,0),4)</f>
        <v>0</v>
      </c>
      <c r="N263" s="238">
        <v>0</v>
      </c>
      <c r="O263" s="238">
        <v>1.5</v>
      </c>
      <c r="P263" s="238">
        <f ca="1">ROUND(+IF(ISERROR(OFFSET(Tabella!$G$1,MATCH(H263,Tabella!$G:$G,0)-1,MATCH(I263,Tabella!$G$1:$FG$1,0)-1)=TRUE),0,OFFSET(Tabella!$G$1,MATCH(H263,Tabella!$G:$G,0)-1,MATCH(I263,Tabella!$G$1:$AB$1,0)-1)),4)</f>
        <v>0</v>
      </c>
      <c r="Q263" s="238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238">
        <f ca="1">ROUND(IF(ISERROR(OFFSET(Rame!$F$1,MATCH(H263,Rame!$F:$F,0)-1,MATCH(I263,Rame!$F$1:$FF$1,0)-1)=TRUE),0,OFFSET(Rame!$F$1,MATCH(H263,Rame!$F:$F,0)-1,MATCH(I263,Rame!$F$1:$FF$1,0)-1))*IF(E263="Rame",1,0),4)</f>
        <v>0</v>
      </c>
      <c r="S263" s="238">
        <f ca="1">ROUND(IF(ISERROR(OFFSET(Bronzo!$A$1,MATCH(H263,Bronzo!$A:$A,0)-1,MATCH(I263,Bronzo!$A$1:$AA$1,0)-1)=TRUE),0,OFFSET(Bronzo!$A$1,MATCH(H263,Bronzo!$A:$A,0)-1,MATCH(I263,Bronzo!$A$1:$AA$1,0)-1)),4)</f>
        <v>0</v>
      </c>
      <c r="T263" s="238">
        <f t="shared" ca="1" si="190"/>
        <v>0</v>
      </c>
      <c r="U263" s="237"/>
      <c r="V263" s="238">
        <v>0</v>
      </c>
      <c r="W263" s="239">
        <f t="shared" ca="1" si="191"/>
        <v>1.5</v>
      </c>
      <c r="X263" s="423">
        <f t="shared" si="189"/>
        <v>198.38</v>
      </c>
      <c r="Y263" s="236">
        <v>4.0999999999999996</v>
      </c>
      <c r="Z263" s="236">
        <f t="shared" ca="1" si="192"/>
        <v>-0.02</v>
      </c>
      <c r="AA263" s="241"/>
      <c r="AF263" s="225">
        <f t="shared" ca="1" si="212"/>
        <v>46236</v>
      </c>
      <c r="AG263" s="225" t="b">
        <f t="shared" si="213"/>
        <v>1</v>
      </c>
      <c r="AH263" s="242"/>
      <c r="AK263" s="223">
        <f t="shared" si="214"/>
        <v>0</v>
      </c>
      <c r="AL263" s="223">
        <f t="shared" si="215"/>
        <v>1900</v>
      </c>
      <c r="AS263" s="223">
        <f t="shared" si="216"/>
        <v>0</v>
      </c>
      <c r="AT263" s="223">
        <f t="shared" si="217"/>
        <v>0</v>
      </c>
    </row>
    <row r="264" spans="2:46" ht="15.75" x14ac:dyDescent="0.25">
      <c r="B264" s="229" t="s">
        <v>584</v>
      </c>
      <c r="C264" s="245" t="s">
        <v>479</v>
      </c>
      <c r="D264" s="246">
        <v>1978</v>
      </c>
      <c r="E264" s="232" t="s">
        <v>4</v>
      </c>
      <c r="F264" s="233">
        <v>2.62</v>
      </c>
      <c r="G264" s="234">
        <v>46080</v>
      </c>
      <c r="H264" s="235" t="s">
        <v>28</v>
      </c>
      <c r="I264" s="235"/>
      <c r="J264" s="236">
        <v>7.0000000000000007E-2</v>
      </c>
      <c r="K264" s="237">
        <f ca="1">ROUND(IF(ISERROR(OFFSET(Tabella!$A$1,MATCH(H264,Tabella!$A:$A,0)-1,MATCH(J264,Tabella!$A$1:$AC$1,0)-1)=TRUE),0,+OFFSET(Tabella!$A$1,MATCH(H264,Tabella!$A:$A,0)-1,MATCH(J264,Tabella!$A$1:$AC$1,0)-1)),4)</f>
        <v>1.25</v>
      </c>
      <c r="L264" s="238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238">
        <f ca="1">ROUND(IF(ISERROR(OFFSET(Rame!$A$1,MATCH(H264,Rame!$A:$A,0)-1,MATCH(J264,Rame!$A$1:$AA$1,0)-1)=TRUE),0,OFFSET(Rame!$A$1,MATCH(H264,Rame!$A:$A,0)-1,MATCH(J264,Rame!$A$1:$AA$1,0)-1))*IF(E264="Rame",1,0),4)</f>
        <v>0</v>
      </c>
      <c r="N264" s="238">
        <v>0</v>
      </c>
      <c r="O264" s="238">
        <v>1.5</v>
      </c>
      <c r="P264" s="238">
        <f ca="1">ROUND(+IF(ISERROR(OFFSET(Tabella!$G$1,MATCH(H264,Tabella!$G:$G,0)-1,MATCH(I264,Tabella!$G$1:$FG$1,0)-1)=TRUE),0,OFFSET(Tabella!$G$1,MATCH(H264,Tabella!$G:$G,0)-1,MATCH(I264,Tabella!$G$1:$AB$1,0)-1)),4)</f>
        <v>0</v>
      </c>
      <c r="Q264" s="238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238">
        <f ca="1">ROUND(IF(ISERROR(OFFSET(Rame!$F$1,MATCH(H264,Rame!$F:$F,0)-1,MATCH(I264,Rame!$F$1:$FF$1,0)-1)=TRUE),0,OFFSET(Rame!$F$1,MATCH(H264,Rame!$F:$F,0)-1,MATCH(I264,Rame!$F$1:$FF$1,0)-1))*IF(E264="Rame",1,0),4)</f>
        <v>0</v>
      </c>
      <c r="S264" s="238">
        <f ca="1">ROUND(IF(ISERROR(OFFSET(Bronzo!$A$1,MATCH(H264,Bronzo!$A:$A,0)-1,MATCH(I264,Bronzo!$A$1:$AA$1,0)-1)=TRUE),0,OFFSET(Bronzo!$A$1,MATCH(H264,Bronzo!$A:$A,0)-1,MATCH(I264,Bronzo!$A$1:$AA$1,0)-1)),4)</f>
        <v>0</v>
      </c>
      <c r="T264" s="238">
        <f t="shared" ca="1" si="190"/>
        <v>0</v>
      </c>
      <c r="U264" s="237"/>
      <c r="V264" s="238">
        <v>0</v>
      </c>
      <c r="W264" s="239">
        <f t="shared" ca="1" si="191"/>
        <v>1.5</v>
      </c>
      <c r="X264" s="423">
        <f t="shared" si="189"/>
        <v>138.46</v>
      </c>
      <c r="Y264" s="236">
        <v>4.0999999999999996</v>
      </c>
      <c r="Z264" s="236">
        <f t="shared" ca="1" si="192"/>
        <v>-0.02</v>
      </c>
      <c r="AA264" s="241"/>
      <c r="AF264" s="225">
        <f t="shared" ca="1" si="212"/>
        <v>46236</v>
      </c>
      <c r="AG264" s="225" t="b">
        <f t="shared" si="213"/>
        <v>1</v>
      </c>
      <c r="AH264" s="242"/>
      <c r="AK264" s="223">
        <f t="shared" si="214"/>
        <v>0</v>
      </c>
      <c r="AL264" s="223">
        <f t="shared" si="215"/>
        <v>1900</v>
      </c>
      <c r="AS264" s="223">
        <f t="shared" si="216"/>
        <v>0</v>
      </c>
      <c r="AT264" s="223">
        <f t="shared" si="217"/>
        <v>0</v>
      </c>
    </row>
    <row r="265" spans="2:46" ht="15.75" x14ac:dyDescent="0.25">
      <c r="B265" s="229" t="s">
        <v>507</v>
      </c>
      <c r="C265" s="235" t="s">
        <v>330</v>
      </c>
      <c r="D265" s="243">
        <v>1200</v>
      </c>
      <c r="E265" s="232" t="s">
        <v>4</v>
      </c>
      <c r="F265" s="244">
        <v>1.7</v>
      </c>
      <c r="G265" s="234">
        <v>46120</v>
      </c>
      <c r="H265" s="235" t="s">
        <v>17</v>
      </c>
      <c r="I265" s="235"/>
      <c r="J265" s="236">
        <v>7.0000000000000007E-2</v>
      </c>
      <c r="K265" s="237">
        <f ca="1">ROUND(IF(ISERROR(OFFSET(Tabella!$A$1,MATCH(H265,Tabella!$A:$A,0)-1,MATCH(J265,Tabella!$A$1:$AC$1,0)-1)=TRUE),0,+OFFSET(Tabella!$A$1,MATCH(H265,Tabella!$A:$A,0)-1,MATCH(J265,Tabella!$A$1:$AC$1,0)-1)),4)</f>
        <v>1.4</v>
      </c>
      <c r="L265" s="238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238">
        <f ca="1">ROUND(IF(ISERROR(OFFSET(Rame!$A$1,MATCH(H265,Rame!$A:$A,0)-1,MATCH(J265,Rame!$A$1:$AA$1,0)-1)=TRUE),0,OFFSET(Rame!$A$1,MATCH(H265,Rame!$A:$A,0)-1,MATCH(J265,Rame!$A$1:$AA$1,0)-1))*IF(E265="Rame",1,0),4)</f>
        <v>0</v>
      </c>
      <c r="N265" s="238">
        <v>0</v>
      </c>
      <c r="O265" s="238">
        <v>1.6</v>
      </c>
      <c r="P265" s="238">
        <f ca="1">ROUND(+IF(ISERROR(OFFSET(Tabella!$G$1,MATCH(H265,Tabella!$G:$G,0)-1,MATCH(I265,Tabella!$G$1:$FG$1,0)-1)=TRUE),0,OFFSET(Tabella!$G$1,MATCH(H265,Tabella!$G:$G,0)-1,MATCH(I265,Tabella!$G$1:$AB$1,0)-1)),4)</f>
        <v>0</v>
      </c>
      <c r="Q265" s="238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238">
        <f ca="1">ROUND(IF(ISERROR(OFFSET(Rame!$F$1,MATCH(H265,Rame!$F:$F,0)-1,MATCH(I265,Rame!$F$1:$FF$1,0)-1)=TRUE),0,OFFSET(Rame!$F$1,MATCH(H265,Rame!$F:$F,0)-1,MATCH(I265,Rame!$F$1:$FF$1,0)-1))*IF(E265="Rame",1,0),4)</f>
        <v>0</v>
      </c>
      <c r="S265" s="238">
        <f ca="1">ROUND(IF(ISERROR(OFFSET(Bronzo!$A$1,MATCH(H265,Bronzo!$A:$A,0)-1,MATCH(I265,Bronzo!$A$1:$AA$1,0)-1)=TRUE),0,OFFSET(Bronzo!$A$1,MATCH(H265,Bronzo!$A:$A,0)-1,MATCH(I265,Bronzo!$A$1:$AA$1,0)-1)),4)</f>
        <v>0</v>
      </c>
      <c r="T265" s="238">
        <f t="shared" ca="1" si="190"/>
        <v>0</v>
      </c>
      <c r="U265" s="237"/>
      <c r="V265" s="238">
        <v>0</v>
      </c>
      <c r="W265" s="239">
        <f t="shared" ca="1" si="191"/>
        <v>1.6</v>
      </c>
      <c r="X265" s="240">
        <f t="shared" si="189"/>
        <v>84</v>
      </c>
      <c r="Y265" s="425">
        <v>1.7</v>
      </c>
      <c r="Z265" s="236">
        <f t="shared" ca="1" si="192"/>
        <v>-1.6</v>
      </c>
      <c r="AA265" s="241">
        <v>46198</v>
      </c>
      <c r="AF265" s="225">
        <f t="shared" ca="1" si="212"/>
        <v>46236</v>
      </c>
      <c r="AG265" s="225" t="b">
        <f t="shared" si="213"/>
        <v>0</v>
      </c>
      <c r="AH265" s="242"/>
      <c r="AK265" s="223">
        <f t="shared" si="214"/>
        <v>26</v>
      </c>
      <c r="AL265" s="223">
        <f t="shared" si="215"/>
        <v>2026</v>
      </c>
      <c r="AS265" s="223">
        <f t="shared" si="216"/>
        <v>6</v>
      </c>
      <c r="AT265" s="223">
        <f t="shared" si="217"/>
        <v>2026</v>
      </c>
    </row>
    <row r="266" spans="2:46" ht="15.75" x14ac:dyDescent="0.25">
      <c r="B266" s="229" t="s">
        <v>507</v>
      </c>
      <c r="C266" s="235" t="s">
        <v>330</v>
      </c>
      <c r="D266" s="243">
        <v>600</v>
      </c>
      <c r="E266" s="232" t="s">
        <v>4</v>
      </c>
      <c r="F266" s="244">
        <v>1.7</v>
      </c>
      <c r="G266" s="234">
        <v>46120</v>
      </c>
      <c r="H266" s="235" t="s">
        <v>19</v>
      </c>
      <c r="I266" s="235"/>
      <c r="J266" s="236">
        <v>7.0000000000000007E-2</v>
      </c>
      <c r="K266" s="237">
        <f ca="1">ROUND(IF(ISERROR(OFFSET(Tabella!$A$1,MATCH(H266,Tabella!$A:$A,0)-1,MATCH(J266,Tabella!$A$1:$AC$1,0)-1)=TRUE),0,+OFFSET(Tabella!$A$1,MATCH(H266,Tabella!$A:$A,0)-1,MATCH(J266,Tabella!$A$1:$AC$1,0)-1)),4)</f>
        <v>1.35</v>
      </c>
      <c r="L266" s="238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238">
        <f ca="1">ROUND(IF(ISERROR(OFFSET(Rame!$A$1,MATCH(H266,Rame!$A:$A,0)-1,MATCH(J266,Rame!$A$1:$AA$1,0)-1)=TRUE),0,OFFSET(Rame!$A$1,MATCH(H266,Rame!$A:$A,0)-1,MATCH(J266,Rame!$A$1:$AA$1,0)-1))*IF(E266="Rame",1,0),4)</f>
        <v>0</v>
      </c>
      <c r="N266" s="238">
        <v>0</v>
      </c>
      <c r="O266" s="238">
        <v>1.6</v>
      </c>
      <c r="P266" s="238">
        <f ca="1">ROUND(+IF(ISERROR(OFFSET(Tabella!$G$1,MATCH(H266,Tabella!$G:$G,0)-1,MATCH(I266,Tabella!$G$1:$FG$1,0)-1)=TRUE),0,OFFSET(Tabella!$G$1,MATCH(H266,Tabella!$G:$G,0)-1,MATCH(I266,Tabella!$G$1:$AB$1,0)-1)),4)</f>
        <v>0</v>
      </c>
      <c r="Q266" s="238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238">
        <f ca="1">ROUND(IF(ISERROR(OFFSET(Rame!$F$1,MATCH(H266,Rame!$F:$F,0)-1,MATCH(I266,Rame!$F$1:$FF$1,0)-1)=TRUE),0,OFFSET(Rame!$F$1,MATCH(H266,Rame!$F:$F,0)-1,MATCH(I266,Rame!$F$1:$FF$1,0)-1))*IF(E266="Rame",1,0),4)</f>
        <v>0</v>
      </c>
      <c r="S266" s="238">
        <f ca="1">ROUND(IF(ISERROR(OFFSET(Bronzo!$A$1,MATCH(H266,Bronzo!$A:$A,0)-1,MATCH(I266,Bronzo!$A$1:$AA$1,0)-1)=TRUE),0,OFFSET(Bronzo!$A$1,MATCH(H266,Bronzo!$A:$A,0)-1,MATCH(I266,Bronzo!$A$1:$AA$1,0)-1)),4)</f>
        <v>0</v>
      </c>
      <c r="T266" s="238">
        <f t="shared" ca="1" si="190"/>
        <v>0</v>
      </c>
      <c r="U266" s="237"/>
      <c r="V266" s="238">
        <v>0</v>
      </c>
      <c r="W266" s="239">
        <f t="shared" ca="1" si="191"/>
        <v>1.6</v>
      </c>
      <c r="X266" s="240">
        <f t="shared" si="189"/>
        <v>42</v>
      </c>
      <c r="Y266" s="425">
        <v>1.7</v>
      </c>
      <c r="Z266" s="236">
        <f t="shared" ca="1" si="192"/>
        <v>-1.6</v>
      </c>
      <c r="AA266" s="241">
        <v>46184</v>
      </c>
      <c r="AF266" s="225">
        <f t="shared" ca="1" si="212"/>
        <v>46236</v>
      </c>
      <c r="AG266" s="225" t="b">
        <f t="shared" si="213"/>
        <v>0</v>
      </c>
      <c r="AH266" s="242"/>
      <c r="AK266" s="223">
        <f t="shared" si="214"/>
        <v>24</v>
      </c>
      <c r="AL266" s="223">
        <f t="shared" si="215"/>
        <v>2026</v>
      </c>
      <c r="AS266" s="223">
        <f t="shared" si="216"/>
        <v>6</v>
      </c>
      <c r="AT266" s="223">
        <f t="shared" si="217"/>
        <v>2026</v>
      </c>
    </row>
    <row r="267" spans="2:46" ht="15.75" x14ac:dyDescent="0.25">
      <c r="B267" s="229" t="s">
        <v>507</v>
      </c>
      <c r="C267" s="235" t="s">
        <v>330</v>
      </c>
      <c r="D267" s="243">
        <v>1000</v>
      </c>
      <c r="E267" s="232" t="s">
        <v>4</v>
      </c>
      <c r="F267" s="244">
        <v>1.7</v>
      </c>
      <c r="G267" s="234">
        <v>46120</v>
      </c>
      <c r="H267" s="235" t="s">
        <v>21</v>
      </c>
      <c r="I267" s="235"/>
      <c r="J267" s="236">
        <v>7.0000000000000007E-2</v>
      </c>
      <c r="K267" s="237">
        <f ca="1">ROUND(IF(ISERROR(OFFSET(Tabella!$A$1,MATCH(H267,Tabella!$A:$A,0)-1,MATCH(J267,Tabella!$A$1:$AC$1,0)-1)=TRUE),0,+OFFSET(Tabella!$A$1,MATCH(H267,Tabella!$A:$A,0)-1,MATCH(J267,Tabella!$A$1:$AC$1,0)-1)),4)</f>
        <v>1.25</v>
      </c>
      <c r="L267" s="238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238">
        <f ca="1">ROUND(IF(ISERROR(OFFSET(Rame!$A$1,MATCH(H267,Rame!$A:$A,0)-1,MATCH(J267,Rame!$A$1:$AA$1,0)-1)=TRUE),0,OFFSET(Rame!$A$1,MATCH(H267,Rame!$A:$A,0)-1,MATCH(J267,Rame!$A$1:$AA$1,0)-1))*IF(E267="Rame",1,0),4)</f>
        <v>0</v>
      </c>
      <c r="N267" s="238">
        <v>0</v>
      </c>
      <c r="O267" s="238">
        <v>1.6</v>
      </c>
      <c r="P267" s="238">
        <f ca="1">ROUND(+IF(ISERROR(OFFSET(Tabella!$G$1,MATCH(H267,Tabella!$G:$G,0)-1,MATCH(I267,Tabella!$G$1:$FG$1,0)-1)=TRUE),0,OFFSET(Tabella!$G$1,MATCH(H267,Tabella!$G:$G,0)-1,MATCH(I267,Tabella!$G$1:$AB$1,0)-1)),4)</f>
        <v>0</v>
      </c>
      <c r="Q267" s="238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238">
        <f ca="1">ROUND(IF(ISERROR(OFFSET(Rame!$F$1,MATCH(H267,Rame!$F:$F,0)-1,MATCH(I267,Rame!$F$1:$FF$1,0)-1)=TRUE),0,OFFSET(Rame!$F$1,MATCH(H267,Rame!$F:$F,0)-1,MATCH(I267,Rame!$F$1:$FF$1,0)-1))*IF(E267="Rame",1,0),4)</f>
        <v>0</v>
      </c>
      <c r="S267" s="238">
        <f ca="1">ROUND(IF(ISERROR(OFFSET(Bronzo!$A$1,MATCH(H267,Bronzo!$A:$A,0)-1,MATCH(I267,Bronzo!$A$1:$AA$1,0)-1)=TRUE),0,OFFSET(Bronzo!$A$1,MATCH(H267,Bronzo!$A:$A,0)-1,MATCH(I267,Bronzo!$A$1:$AA$1,0)-1)),4)</f>
        <v>0</v>
      </c>
      <c r="T267" s="238">
        <f t="shared" ca="1" si="190"/>
        <v>0</v>
      </c>
      <c r="U267" s="237"/>
      <c r="V267" s="238">
        <v>0</v>
      </c>
      <c r="W267" s="239">
        <f t="shared" ca="1" si="191"/>
        <v>1.6</v>
      </c>
      <c r="X267" s="240">
        <f t="shared" si="189"/>
        <v>70</v>
      </c>
      <c r="Y267" s="425">
        <v>1.7</v>
      </c>
      <c r="Z267" s="236">
        <f t="shared" ca="1" si="192"/>
        <v>-1.6</v>
      </c>
      <c r="AA267" s="241">
        <v>46167</v>
      </c>
      <c r="AF267" s="225">
        <f t="shared" ca="1" si="212"/>
        <v>46236</v>
      </c>
      <c r="AG267" s="225" t="b">
        <f t="shared" si="213"/>
        <v>0</v>
      </c>
      <c r="AH267" s="242"/>
      <c r="AK267" s="223">
        <f t="shared" si="214"/>
        <v>22</v>
      </c>
      <c r="AL267" s="223">
        <f t="shared" si="215"/>
        <v>2026</v>
      </c>
      <c r="AS267" s="223">
        <f t="shared" si="216"/>
        <v>5</v>
      </c>
      <c r="AT267" s="223">
        <f t="shared" si="217"/>
        <v>2026</v>
      </c>
    </row>
    <row r="268" spans="2:46" ht="15.75" x14ac:dyDescent="0.25">
      <c r="B268" s="229" t="s">
        <v>507</v>
      </c>
      <c r="C268" s="235" t="s">
        <v>330</v>
      </c>
      <c r="D268" s="243">
        <v>1000</v>
      </c>
      <c r="E268" s="232" t="s">
        <v>4</v>
      </c>
      <c r="F268" s="244">
        <v>1.7</v>
      </c>
      <c r="G268" s="234">
        <v>46120</v>
      </c>
      <c r="H268" s="235" t="s">
        <v>21</v>
      </c>
      <c r="I268" s="235"/>
      <c r="J268" s="236">
        <v>7.0000000000000007E-2</v>
      </c>
      <c r="K268" s="237">
        <f ca="1">ROUND(IF(ISERROR(OFFSET(Tabella!$A$1,MATCH(H268,Tabella!$A:$A,0)-1,MATCH(J268,Tabella!$A$1:$AC$1,0)-1)=TRUE),0,+OFFSET(Tabella!$A$1,MATCH(H268,Tabella!$A:$A,0)-1,MATCH(J268,Tabella!$A$1:$AC$1,0)-1)),4)</f>
        <v>1.25</v>
      </c>
      <c r="L268" s="238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238">
        <f ca="1">ROUND(IF(ISERROR(OFFSET(Rame!$A$1,MATCH(H268,Rame!$A:$A,0)-1,MATCH(J268,Rame!$A$1:$AA$1,0)-1)=TRUE),0,OFFSET(Rame!$A$1,MATCH(H268,Rame!$A:$A,0)-1,MATCH(J268,Rame!$A$1:$AA$1,0)-1))*IF(E268="Rame",1,0),4)</f>
        <v>0</v>
      </c>
      <c r="N268" s="238">
        <v>0</v>
      </c>
      <c r="O268" s="238">
        <v>1.6</v>
      </c>
      <c r="P268" s="238">
        <f ca="1">ROUND(+IF(ISERROR(OFFSET(Tabella!$G$1,MATCH(H268,Tabella!$G:$G,0)-1,MATCH(I268,Tabella!$G$1:$FG$1,0)-1)=TRUE),0,OFFSET(Tabella!$G$1,MATCH(H268,Tabella!$G:$G,0)-1,MATCH(I268,Tabella!$G$1:$AB$1,0)-1)),4)</f>
        <v>0</v>
      </c>
      <c r="Q268" s="238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238">
        <f ca="1">ROUND(IF(ISERROR(OFFSET(Rame!$F$1,MATCH(H268,Rame!$F:$F,0)-1,MATCH(I268,Rame!$F$1:$FF$1,0)-1)=TRUE),0,OFFSET(Rame!$F$1,MATCH(H268,Rame!$F:$F,0)-1,MATCH(I268,Rame!$F$1:$FF$1,0)-1))*IF(E268="Rame",1,0),4)</f>
        <v>0</v>
      </c>
      <c r="S268" s="238">
        <f ca="1">ROUND(IF(ISERROR(OFFSET(Bronzo!$A$1,MATCH(H268,Bronzo!$A:$A,0)-1,MATCH(I268,Bronzo!$A$1:$AA$1,0)-1)=TRUE),0,OFFSET(Bronzo!$A$1,MATCH(H268,Bronzo!$A:$A,0)-1,MATCH(I268,Bronzo!$A$1:$AA$1,0)-1)),4)</f>
        <v>0</v>
      </c>
      <c r="T268" s="238">
        <f t="shared" ca="1" si="190"/>
        <v>0</v>
      </c>
      <c r="U268" s="237"/>
      <c r="V268" s="238">
        <v>0</v>
      </c>
      <c r="W268" s="239">
        <f t="shared" ca="1" si="191"/>
        <v>1.6</v>
      </c>
      <c r="X268" s="240">
        <f t="shared" si="189"/>
        <v>70</v>
      </c>
      <c r="Y268" s="425">
        <v>1.7</v>
      </c>
      <c r="Z268" s="236">
        <f t="shared" ca="1" si="192"/>
        <v>-1.6</v>
      </c>
      <c r="AA268" s="241">
        <v>46169</v>
      </c>
      <c r="AF268" s="225">
        <f t="shared" ca="1" si="212"/>
        <v>46236</v>
      </c>
      <c r="AG268" s="225" t="b">
        <f t="shared" si="213"/>
        <v>0</v>
      </c>
      <c r="AH268" s="242"/>
      <c r="AK268" s="223">
        <f t="shared" si="214"/>
        <v>22</v>
      </c>
      <c r="AL268" s="223">
        <f t="shared" si="215"/>
        <v>2026</v>
      </c>
      <c r="AS268" s="223">
        <f t="shared" si="216"/>
        <v>5</v>
      </c>
      <c r="AT268" s="223">
        <f t="shared" si="217"/>
        <v>2026</v>
      </c>
    </row>
    <row r="269" spans="2:46" ht="15.75" x14ac:dyDescent="0.25">
      <c r="B269" s="229" t="s">
        <v>507</v>
      </c>
      <c r="C269" s="235" t="s">
        <v>330</v>
      </c>
      <c r="D269" s="243">
        <v>2000</v>
      </c>
      <c r="E269" s="232" t="s">
        <v>4</v>
      </c>
      <c r="F269" s="244">
        <v>1.7</v>
      </c>
      <c r="G269" s="234">
        <v>46120</v>
      </c>
      <c r="H269" s="235" t="s">
        <v>24</v>
      </c>
      <c r="I269" s="235"/>
      <c r="J269" s="236">
        <v>7.0000000000000007E-2</v>
      </c>
      <c r="K269" s="237">
        <f ca="1">ROUND(IF(ISERROR(OFFSET(Tabella!$A$1,MATCH(H269,Tabella!$A:$A,0)-1,MATCH(J269,Tabella!$A$1:$AC$1,0)-1)=TRUE),0,+OFFSET(Tabella!$A$1,MATCH(H269,Tabella!$A:$A,0)-1,MATCH(J269,Tabella!$A$1:$AC$1,0)-1)),4)</f>
        <v>1.25</v>
      </c>
      <c r="L269" s="238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238">
        <f ca="1">ROUND(IF(ISERROR(OFFSET(Rame!$A$1,MATCH(H269,Rame!$A:$A,0)-1,MATCH(J269,Rame!$A$1:$AA$1,0)-1)=TRUE),0,OFFSET(Rame!$A$1,MATCH(H269,Rame!$A:$A,0)-1,MATCH(J269,Rame!$A$1:$AA$1,0)-1))*IF(E269="Rame",1,0),4)</f>
        <v>0</v>
      </c>
      <c r="N269" s="238">
        <v>0</v>
      </c>
      <c r="O269" s="238">
        <v>1.6</v>
      </c>
      <c r="P269" s="238">
        <f ca="1">ROUND(+IF(ISERROR(OFFSET(Tabella!$G$1,MATCH(H269,Tabella!$G:$G,0)-1,MATCH(I269,Tabella!$G$1:$FG$1,0)-1)=TRUE),0,OFFSET(Tabella!$G$1,MATCH(H269,Tabella!$G:$G,0)-1,MATCH(I269,Tabella!$G$1:$AB$1,0)-1)),4)</f>
        <v>0</v>
      </c>
      <c r="Q269" s="238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238">
        <f ca="1">ROUND(IF(ISERROR(OFFSET(Rame!$F$1,MATCH(H269,Rame!$F:$F,0)-1,MATCH(I269,Rame!$F$1:$FF$1,0)-1)=TRUE),0,OFFSET(Rame!$F$1,MATCH(H269,Rame!$F:$F,0)-1,MATCH(I269,Rame!$F$1:$FF$1,0)-1))*IF(E269="Rame",1,0),4)</f>
        <v>0</v>
      </c>
      <c r="S269" s="238">
        <f ca="1">ROUND(IF(ISERROR(OFFSET(Bronzo!$A$1,MATCH(H269,Bronzo!$A:$A,0)-1,MATCH(I269,Bronzo!$A$1:$AA$1,0)-1)=TRUE),0,OFFSET(Bronzo!$A$1,MATCH(H269,Bronzo!$A:$A,0)-1,MATCH(I269,Bronzo!$A$1:$AA$1,0)-1)),4)</f>
        <v>0</v>
      </c>
      <c r="T269" s="238">
        <f t="shared" ca="1" si="190"/>
        <v>0</v>
      </c>
      <c r="U269" s="237"/>
      <c r="V269" s="238">
        <v>0</v>
      </c>
      <c r="W269" s="239">
        <f t="shared" ca="1" si="191"/>
        <v>1.6</v>
      </c>
      <c r="X269" s="240">
        <f t="shared" si="189"/>
        <v>140</v>
      </c>
      <c r="Y269" s="425">
        <v>1.7</v>
      </c>
      <c r="Z269" s="236">
        <f t="shared" ca="1" si="192"/>
        <v>-1.6</v>
      </c>
      <c r="AA269" s="241">
        <v>46169</v>
      </c>
      <c r="AF269" s="225">
        <f t="shared" ca="1" si="212"/>
        <v>46236</v>
      </c>
      <c r="AG269" s="225" t="b">
        <f t="shared" si="213"/>
        <v>0</v>
      </c>
      <c r="AH269" s="242"/>
      <c r="AK269" s="223">
        <f t="shared" si="214"/>
        <v>22</v>
      </c>
      <c r="AL269" s="223">
        <f t="shared" si="215"/>
        <v>2026</v>
      </c>
      <c r="AS269" s="223">
        <f t="shared" si="216"/>
        <v>5</v>
      </c>
      <c r="AT269" s="223">
        <f t="shared" si="217"/>
        <v>2026</v>
      </c>
    </row>
    <row r="270" spans="2:46" ht="15.75" x14ac:dyDescent="0.25">
      <c r="B270" s="229" t="s">
        <v>507</v>
      </c>
      <c r="C270" s="235" t="s">
        <v>330</v>
      </c>
      <c r="D270" s="243">
        <v>600</v>
      </c>
      <c r="E270" s="232" t="s">
        <v>4</v>
      </c>
      <c r="F270" s="244">
        <v>1.7</v>
      </c>
      <c r="G270" s="234">
        <v>46120</v>
      </c>
      <c r="H270" s="235" t="s">
        <v>13</v>
      </c>
      <c r="I270" s="235"/>
      <c r="J270" s="236">
        <v>7.0000000000000007E-2</v>
      </c>
      <c r="K270" s="237">
        <f ca="1">ROUND(IF(ISERROR(OFFSET(Tabella!$A$1,MATCH(H270,Tabella!$A:$A,0)-1,MATCH(J270,Tabella!$A$1:$AC$1,0)-1)=TRUE),0,+OFFSET(Tabella!$A$1,MATCH(H270,Tabella!$A:$A,0)-1,MATCH(J270,Tabella!$A$1:$AC$1,0)-1)),4)</f>
        <v>1.4</v>
      </c>
      <c r="L270" s="238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238">
        <f ca="1">ROUND(IF(ISERROR(OFFSET(Rame!$A$1,MATCH(H270,Rame!$A:$A,0)-1,MATCH(J270,Rame!$A$1:$AA$1,0)-1)=TRUE),0,OFFSET(Rame!$A$1,MATCH(H270,Rame!$A:$A,0)-1,MATCH(J270,Rame!$A$1:$AA$1,0)-1))*IF(E270="Rame",1,0),4)</f>
        <v>0</v>
      </c>
      <c r="N270" s="238">
        <v>0</v>
      </c>
      <c r="O270" s="238">
        <v>1.6</v>
      </c>
      <c r="P270" s="238">
        <f ca="1">ROUND(+IF(ISERROR(OFFSET(Tabella!$G$1,MATCH(H270,Tabella!$G:$G,0)-1,MATCH(I270,Tabella!$G$1:$FG$1,0)-1)=TRUE),0,OFFSET(Tabella!$G$1,MATCH(H270,Tabella!$G:$G,0)-1,MATCH(I270,Tabella!$G$1:$AB$1,0)-1)),4)</f>
        <v>0</v>
      </c>
      <c r="Q270" s="238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238">
        <f ca="1">ROUND(IF(ISERROR(OFFSET(Rame!$F$1,MATCH(H270,Rame!$F:$F,0)-1,MATCH(I270,Rame!$F$1:$FF$1,0)-1)=TRUE),0,OFFSET(Rame!$F$1,MATCH(H270,Rame!$F:$F,0)-1,MATCH(I270,Rame!$F$1:$FF$1,0)-1))*IF(E270="Rame",1,0),4)</f>
        <v>0</v>
      </c>
      <c r="S270" s="238">
        <f ca="1">ROUND(IF(ISERROR(OFFSET(Bronzo!$A$1,MATCH(H270,Bronzo!$A:$A,0)-1,MATCH(I270,Bronzo!$A$1:$AA$1,0)-1)=TRUE),0,OFFSET(Bronzo!$A$1,MATCH(H270,Bronzo!$A:$A,0)-1,MATCH(I270,Bronzo!$A$1:$AA$1,0)-1)),4)</f>
        <v>0</v>
      </c>
      <c r="T270" s="238">
        <f t="shared" ca="1" si="190"/>
        <v>0</v>
      </c>
      <c r="U270" s="237"/>
      <c r="V270" s="238">
        <v>0</v>
      </c>
      <c r="W270" s="239">
        <f t="shared" ca="1" si="191"/>
        <v>1.6</v>
      </c>
      <c r="X270" s="240">
        <f t="shared" si="189"/>
        <v>42</v>
      </c>
      <c r="Y270" s="425">
        <v>1.7</v>
      </c>
      <c r="Z270" s="236">
        <f t="shared" ca="1" si="192"/>
        <v>-1.6</v>
      </c>
      <c r="AA270" s="241">
        <v>46169</v>
      </c>
      <c r="AF270" s="225">
        <f t="shared" ca="1" si="212"/>
        <v>46236</v>
      </c>
      <c r="AG270" s="225" t="b">
        <f t="shared" si="213"/>
        <v>0</v>
      </c>
      <c r="AH270" s="242"/>
      <c r="AK270" s="223">
        <f t="shared" si="214"/>
        <v>22</v>
      </c>
      <c r="AL270" s="223">
        <f t="shared" si="215"/>
        <v>2026</v>
      </c>
      <c r="AS270" s="223">
        <f t="shared" si="216"/>
        <v>5</v>
      </c>
      <c r="AT270" s="223">
        <f t="shared" si="217"/>
        <v>2026</v>
      </c>
    </row>
    <row r="271" spans="2:46" ht="15.75" x14ac:dyDescent="0.25">
      <c r="B271" s="229" t="s">
        <v>507</v>
      </c>
      <c r="C271" s="235" t="s">
        <v>330</v>
      </c>
      <c r="D271" s="243">
        <v>500</v>
      </c>
      <c r="E271" s="232" t="s">
        <v>4</v>
      </c>
      <c r="F271" s="244">
        <v>1.7</v>
      </c>
      <c r="G271" s="234">
        <v>46120</v>
      </c>
      <c r="H271" s="235" t="s">
        <v>13</v>
      </c>
      <c r="I271" s="235"/>
      <c r="J271" s="236">
        <v>7.0000000000000007E-2</v>
      </c>
      <c r="K271" s="237">
        <f ca="1">ROUND(IF(ISERROR(OFFSET(Tabella!$A$1,MATCH(H271,Tabella!$A:$A,0)-1,MATCH(J271,Tabella!$A$1:$AC$1,0)-1)=TRUE),0,+OFFSET(Tabella!$A$1,MATCH(H271,Tabella!$A:$A,0)-1,MATCH(J271,Tabella!$A$1:$AC$1,0)-1)),4)</f>
        <v>1.4</v>
      </c>
      <c r="L271" s="238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238">
        <f ca="1">ROUND(IF(ISERROR(OFFSET(Rame!$A$1,MATCH(H271,Rame!$A:$A,0)-1,MATCH(J271,Rame!$A$1:$AA$1,0)-1)=TRUE),0,OFFSET(Rame!$A$1,MATCH(H271,Rame!$A:$A,0)-1,MATCH(J271,Rame!$A$1:$AA$1,0)-1))*IF(E271="Rame",1,0),4)</f>
        <v>0</v>
      </c>
      <c r="N271" s="238">
        <v>0</v>
      </c>
      <c r="O271" s="238">
        <v>1.6</v>
      </c>
      <c r="P271" s="238">
        <f ca="1">ROUND(+IF(ISERROR(OFFSET(Tabella!$G$1,MATCH(H271,Tabella!$G:$G,0)-1,MATCH(I271,Tabella!$G$1:$FG$1,0)-1)=TRUE),0,OFFSET(Tabella!$G$1,MATCH(H271,Tabella!$G:$G,0)-1,MATCH(I271,Tabella!$G$1:$AB$1,0)-1)),4)</f>
        <v>0</v>
      </c>
      <c r="Q271" s="238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238">
        <f ca="1">ROUND(IF(ISERROR(OFFSET(Rame!$F$1,MATCH(H271,Rame!$F:$F,0)-1,MATCH(I271,Rame!$F$1:$FF$1,0)-1)=TRUE),0,OFFSET(Rame!$F$1,MATCH(H271,Rame!$F:$F,0)-1,MATCH(I271,Rame!$F$1:$FF$1,0)-1))*IF(E271="Rame",1,0),4)</f>
        <v>0</v>
      </c>
      <c r="S271" s="238">
        <f ca="1">ROUND(IF(ISERROR(OFFSET(Bronzo!$A$1,MATCH(H271,Bronzo!$A:$A,0)-1,MATCH(I271,Bronzo!$A$1:$AA$1,0)-1)=TRUE),0,OFFSET(Bronzo!$A$1,MATCH(H271,Bronzo!$A:$A,0)-1,MATCH(I271,Bronzo!$A$1:$AA$1,0)-1)),4)</f>
        <v>0</v>
      </c>
      <c r="T271" s="238">
        <f t="shared" ca="1" si="190"/>
        <v>0</v>
      </c>
      <c r="U271" s="237"/>
      <c r="V271" s="238">
        <v>0</v>
      </c>
      <c r="W271" s="239">
        <f t="shared" ca="1" si="191"/>
        <v>1.6</v>
      </c>
      <c r="X271" s="240">
        <f t="shared" si="189"/>
        <v>35</v>
      </c>
      <c r="Y271" s="425">
        <v>1.7</v>
      </c>
      <c r="Z271" s="236">
        <f t="shared" ca="1" si="192"/>
        <v>-1.6</v>
      </c>
      <c r="AA271" s="241">
        <v>46195</v>
      </c>
      <c r="AF271" s="225">
        <f t="shared" ca="1" si="212"/>
        <v>46236</v>
      </c>
      <c r="AG271" s="225" t="b">
        <f t="shared" si="213"/>
        <v>0</v>
      </c>
      <c r="AH271" s="242"/>
      <c r="AK271" s="223">
        <f t="shared" si="214"/>
        <v>26</v>
      </c>
      <c r="AL271" s="223">
        <f t="shared" si="215"/>
        <v>2026</v>
      </c>
      <c r="AS271" s="223">
        <f t="shared" si="216"/>
        <v>6</v>
      </c>
      <c r="AT271" s="223">
        <f t="shared" si="217"/>
        <v>2026</v>
      </c>
    </row>
    <row r="272" spans="2:46" ht="15.75" x14ac:dyDescent="0.25">
      <c r="B272" s="229" t="s">
        <v>507</v>
      </c>
      <c r="C272" s="235" t="s">
        <v>330</v>
      </c>
      <c r="D272" s="243">
        <v>1200</v>
      </c>
      <c r="E272" s="232" t="s">
        <v>4</v>
      </c>
      <c r="F272" s="244">
        <v>1.7</v>
      </c>
      <c r="G272" s="234">
        <v>46120</v>
      </c>
      <c r="H272" s="235" t="s">
        <v>17</v>
      </c>
      <c r="I272" s="235"/>
      <c r="J272" s="236">
        <v>7.0000000000000007E-2</v>
      </c>
      <c r="K272" s="237">
        <f ca="1">ROUND(IF(ISERROR(OFFSET(Tabella!$A$1,MATCH(H272,Tabella!$A:$A,0)-1,MATCH(J272,Tabella!$A$1:$AC$1,0)-1)=TRUE),0,+OFFSET(Tabella!$A$1,MATCH(H272,Tabella!$A:$A,0)-1,MATCH(J272,Tabella!$A$1:$AC$1,0)-1)),4)</f>
        <v>1.4</v>
      </c>
      <c r="L272" s="238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238">
        <f ca="1">ROUND(IF(ISERROR(OFFSET(Rame!$A$1,MATCH(H272,Rame!$A:$A,0)-1,MATCH(J272,Rame!$A$1:$AA$1,0)-1)=TRUE),0,OFFSET(Rame!$A$1,MATCH(H272,Rame!$A:$A,0)-1,MATCH(J272,Rame!$A$1:$AA$1,0)-1))*IF(E272="Rame",1,0),4)</f>
        <v>0</v>
      </c>
      <c r="N272" s="238">
        <v>0</v>
      </c>
      <c r="O272" s="238">
        <v>1.6</v>
      </c>
      <c r="P272" s="238">
        <f ca="1">ROUND(+IF(ISERROR(OFFSET(Tabella!$G$1,MATCH(H272,Tabella!$G:$G,0)-1,MATCH(I272,Tabella!$G$1:$FG$1,0)-1)=TRUE),0,OFFSET(Tabella!$G$1,MATCH(H272,Tabella!$G:$G,0)-1,MATCH(I272,Tabella!$G$1:$AB$1,0)-1)),4)</f>
        <v>0</v>
      </c>
      <c r="Q272" s="238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238">
        <f ca="1">ROUND(IF(ISERROR(OFFSET(Rame!$F$1,MATCH(H272,Rame!$F:$F,0)-1,MATCH(I272,Rame!$F$1:$FF$1,0)-1)=TRUE),0,OFFSET(Rame!$F$1,MATCH(H272,Rame!$F:$F,0)-1,MATCH(I272,Rame!$F$1:$FF$1,0)-1))*IF(E272="Rame",1,0),4)</f>
        <v>0</v>
      </c>
      <c r="S272" s="238">
        <f ca="1">ROUND(IF(ISERROR(OFFSET(Bronzo!$A$1,MATCH(H272,Bronzo!$A:$A,0)-1,MATCH(I272,Bronzo!$A$1:$AA$1,0)-1)=TRUE),0,OFFSET(Bronzo!$A$1,MATCH(H272,Bronzo!$A:$A,0)-1,MATCH(I272,Bronzo!$A$1:$AA$1,0)-1)),4)</f>
        <v>0</v>
      </c>
      <c r="T272" s="238">
        <f t="shared" ca="1" si="190"/>
        <v>0</v>
      </c>
      <c r="U272" s="237"/>
      <c r="V272" s="238">
        <v>0</v>
      </c>
      <c r="W272" s="239">
        <f t="shared" ca="1" si="191"/>
        <v>1.6</v>
      </c>
      <c r="X272" s="240">
        <f t="shared" si="189"/>
        <v>84</v>
      </c>
      <c r="Y272" s="425">
        <v>1.7</v>
      </c>
      <c r="Z272" s="236">
        <f t="shared" ca="1" si="192"/>
        <v>-1.6</v>
      </c>
      <c r="AA272" s="241">
        <v>46195</v>
      </c>
      <c r="AF272" s="225">
        <f t="shared" ca="1" si="212"/>
        <v>46236</v>
      </c>
      <c r="AG272" s="225" t="b">
        <f t="shared" si="213"/>
        <v>0</v>
      </c>
      <c r="AH272" s="242"/>
      <c r="AK272" s="223">
        <f t="shared" si="214"/>
        <v>26</v>
      </c>
      <c r="AL272" s="223">
        <f t="shared" si="215"/>
        <v>2026</v>
      </c>
      <c r="AS272" s="223">
        <f t="shared" si="216"/>
        <v>6</v>
      </c>
      <c r="AT272" s="223">
        <f t="shared" si="217"/>
        <v>2026</v>
      </c>
    </row>
    <row r="273" spans="2:46" ht="15.75" x14ac:dyDescent="0.25">
      <c r="B273" s="229" t="s">
        <v>507</v>
      </c>
      <c r="C273" s="235" t="s">
        <v>330</v>
      </c>
      <c r="D273" s="243">
        <v>1200</v>
      </c>
      <c r="E273" s="232" t="s">
        <v>4</v>
      </c>
      <c r="F273" s="244">
        <v>1.7</v>
      </c>
      <c r="G273" s="234">
        <v>46120</v>
      </c>
      <c r="H273" s="235" t="s">
        <v>17</v>
      </c>
      <c r="I273" s="235"/>
      <c r="J273" s="236">
        <v>7.0000000000000007E-2</v>
      </c>
      <c r="K273" s="237">
        <f ca="1">ROUND(IF(ISERROR(OFFSET(Tabella!$A$1,MATCH(H273,Tabella!$A:$A,0)-1,MATCH(J273,Tabella!$A$1:$AC$1,0)-1)=TRUE),0,+OFFSET(Tabella!$A$1,MATCH(H273,Tabella!$A:$A,0)-1,MATCH(J273,Tabella!$A$1:$AC$1,0)-1)),4)</f>
        <v>1.4</v>
      </c>
      <c r="L273" s="238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238">
        <f ca="1">ROUND(IF(ISERROR(OFFSET(Rame!$A$1,MATCH(H273,Rame!$A:$A,0)-1,MATCH(J273,Rame!$A$1:$AA$1,0)-1)=TRUE),0,OFFSET(Rame!$A$1,MATCH(H273,Rame!$A:$A,0)-1,MATCH(J273,Rame!$A$1:$AA$1,0)-1))*IF(E273="Rame",1,0),4)</f>
        <v>0</v>
      </c>
      <c r="N273" s="238">
        <v>0</v>
      </c>
      <c r="O273" s="238">
        <v>1.6</v>
      </c>
      <c r="P273" s="238">
        <f ca="1">ROUND(+IF(ISERROR(OFFSET(Tabella!$G$1,MATCH(H273,Tabella!$G:$G,0)-1,MATCH(I273,Tabella!$G$1:$FG$1,0)-1)=TRUE),0,OFFSET(Tabella!$G$1,MATCH(H273,Tabella!$G:$G,0)-1,MATCH(I273,Tabella!$G$1:$AB$1,0)-1)),4)</f>
        <v>0</v>
      </c>
      <c r="Q273" s="238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238">
        <f ca="1">ROUND(IF(ISERROR(OFFSET(Rame!$F$1,MATCH(H273,Rame!$F:$F,0)-1,MATCH(I273,Rame!$F$1:$FF$1,0)-1)=TRUE),0,OFFSET(Rame!$F$1,MATCH(H273,Rame!$F:$F,0)-1,MATCH(I273,Rame!$F$1:$FF$1,0)-1))*IF(E273="Rame",1,0),4)</f>
        <v>0</v>
      </c>
      <c r="S273" s="238">
        <f ca="1">ROUND(IF(ISERROR(OFFSET(Bronzo!$A$1,MATCH(H273,Bronzo!$A:$A,0)-1,MATCH(I273,Bronzo!$A$1:$AA$1,0)-1)=TRUE),0,OFFSET(Bronzo!$A$1,MATCH(H273,Bronzo!$A:$A,0)-1,MATCH(I273,Bronzo!$A$1:$AA$1,0)-1)),4)</f>
        <v>0</v>
      </c>
      <c r="T273" s="238">
        <f t="shared" ca="1" si="190"/>
        <v>0</v>
      </c>
      <c r="U273" s="237"/>
      <c r="V273" s="238">
        <v>0</v>
      </c>
      <c r="W273" s="239">
        <f t="shared" ca="1" si="191"/>
        <v>1.6</v>
      </c>
      <c r="X273" s="240">
        <f t="shared" si="189"/>
        <v>84</v>
      </c>
      <c r="Y273" s="425">
        <v>1.7</v>
      </c>
      <c r="Z273" s="236">
        <f t="shared" ca="1" si="192"/>
        <v>-1.6</v>
      </c>
      <c r="AA273" s="241">
        <v>46181</v>
      </c>
      <c r="AF273" s="225">
        <f t="shared" ca="1" si="212"/>
        <v>46236</v>
      </c>
      <c r="AG273" s="225" t="b">
        <f t="shared" si="213"/>
        <v>0</v>
      </c>
      <c r="AH273" s="242"/>
      <c r="AK273" s="223">
        <f t="shared" si="214"/>
        <v>24</v>
      </c>
      <c r="AL273" s="223">
        <f t="shared" si="215"/>
        <v>2026</v>
      </c>
      <c r="AS273" s="223">
        <f t="shared" si="216"/>
        <v>6</v>
      </c>
      <c r="AT273" s="223">
        <f t="shared" si="217"/>
        <v>2026</v>
      </c>
    </row>
    <row r="274" spans="2:46" ht="15.75" x14ac:dyDescent="0.25">
      <c r="B274" s="229" t="s">
        <v>664</v>
      </c>
      <c r="C274" s="245" t="s">
        <v>330</v>
      </c>
      <c r="D274" s="246">
        <v>2319</v>
      </c>
      <c r="E274" s="232" t="s">
        <v>4</v>
      </c>
      <c r="F274" s="247">
        <v>3.03</v>
      </c>
      <c r="G274" s="234">
        <v>46120</v>
      </c>
      <c r="H274" s="235" t="s">
        <v>24</v>
      </c>
      <c r="I274" s="235"/>
      <c r="J274" s="236">
        <v>7.0000000000000007E-2</v>
      </c>
      <c r="K274" s="237">
        <f ca="1">ROUND(IF(ISERROR(OFFSET(Tabella!$A$1,MATCH(H274,Tabella!$A:$A,0)-1,MATCH(J274,Tabella!$A$1:$AC$1,0)-1)=TRUE),0,+OFFSET(Tabella!$A$1,MATCH(H274,Tabella!$A:$A,0)-1,MATCH(J274,Tabella!$A$1:$AC$1,0)-1)),4)</f>
        <v>1.25</v>
      </c>
      <c r="L274" s="238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238">
        <f ca="1">ROUND(IF(ISERROR(OFFSET(Rame!$A$1,MATCH(H274,Rame!$A:$A,0)-1,MATCH(J274,Rame!$A$1:$AA$1,0)-1)=TRUE),0,OFFSET(Rame!$A$1,MATCH(H274,Rame!$A:$A,0)-1,MATCH(J274,Rame!$A$1:$AA$1,0)-1))*IF(E274="Rame",1,0),4)</f>
        <v>0</v>
      </c>
      <c r="N274" s="238">
        <v>0</v>
      </c>
      <c r="O274" s="238">
        <v>1.6</v>
      </c>
      <c r="P274" s="238">
        <f ca="1">ROUND(+IF(ISERROR(OFFSET(Tabella!$G$1,MATCH(H274,Tabella!$G:$G,0)-1,MATCH(I274,Tabella!$G$1:$FG$1,0)-1)=TRUE),0,OFFSET(Tabella!$G$1,MATCH(H274,Tabella!$G:$G,0)-1,MATCH(I274,Tabella!$G$1:$AB$1,0)-1)),4)</f>
        <v>0</v>
      </c>
      <c r="Q274" s="238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238">
        <f ca="1">ROUND(IF(ISERROR(OFFSET(Rame!$F$1,MATCH(H274,Rame!$F:$F,0)-1,MATCH(I274,Rame!$F$1:$FF$1,0)-1)=TRUE),0,OFFSET(Rame!$F$1,MATCH(H274,Rame!$F:$F,0)-1,MATCH(I274,Rame!$F$1:$FF$1,0)-1))*IF(E274="Rame",1,0),4)</f>
        <v>0</v>
      </c>
      <c r="S274" s="238">
        <f ca="1">ROUND(IF(ISERROR(OFFSET(Bronzo!$A$1,MATCH(H274,Bronzo!$A:$A,0)-1,MATCH(I274,Bronzo!$A$1:$AA$1,0)-1)=TRUE),0,OFFSET(Bronzo!$A$1,MATCH(H274,Bronzo!$A:$A,0)-1,MATCH(I274,Bronzo!$A$1:$AA$1,0)-1)),4)</f>
        <v>0</v>
      </c>
      <c r="T274" s="238">
        <f t="shared" ca="1" si="190"/>
        <v>0</v>
      </c>
      <c r="U274" s="237"/>
      <c r="V274" s="238">
        <v>0</v>
      </c>
      <c r="W274" s="239">
        <f t="shared" ca="1" si="191"/>
        <v>1.6</v>
      </c>
      <c r="X274" s="423">
        <f t="shared" si="189"/>
        <v>162.33000000000001</v>
      </c>
      <c r="Y274" s="426">
        <v>4.7300000000000004</v>
      </c>
      <c r="Z274" s="236">
        <f t="shared" ca="1" si="192"/>
        <v>0.1</v>
      </c>
      <c r="AA274" s="241"/>
      <c r="AF274" s="225">
        <f t="shared" ca="1" si="212"/>
        <v>46236</v>
      </c>
      <c r="AG274" s="225" t="b">
        <f t="shared" si="213"/>
        <v>1</v>
      </c>
      <c r="AH274" s="242"/>
      <c r="AK274" s="223">
        <f t="shared" si="214"/>
        <v>0</v>
      </c>
      <c r="AL274" s="223">
        <f t="shared" si="215"/>
        <v>1900</v>
      </c>
      <c r="AS274" s="223">
        <f t="shared" si="216"/>
        <v>0</v>
      </c>
      <c r="AT274" s="223">
        <f t="shared" si="217"/>
        <v>0</v>
      </c>
    </row>
    <row r="275" spans="2:46" ht="15.75" x14ac:dyDescent="0.25">
      <c r="B275" s="229" t="s">
        <v>690</v>
      </c>
      <c r="C275" s="245" t="s">
        <v>396</v>
      </c>
      <c r="D275" s="246">
        <v>224</v>
      </c>
      <c r="E275" s="232" t="s">
        <v>4</v>
      </c>
      <c r="F275" s="233">
        <v>3.01</v>
      </c>
      <c r="G275" s="234">
        <v>46129</v>
      </c>
      <c r="H275" s="235" t="s">
        <v>29</v>
      </c>
      <c r="I275" s="235"/>
      <c r="J275" s="236">
        <v>7.0000000000000007E-2</v>
      </c>
      <c r="K275" s="237">
        <f ca="1">ROUND(IF(ISERROR(OFFSET(Tabella!$A$1,MATCH(H275,Tabella!$A:$A,0)-1,MATCH(J275,Tabella!$A$1:$AC$1,0)-1)=TRUE),0,+OFFSET(Tabella!$A$1,MATCH(H275,Tabella!$A:$A,0)-1,MATCH(J275,Tabella!$A$1:$AC$1,0)-1)),4)</f>
        <v>1.3</v>
      </c>
      <c r="L275" s="238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238">
        <f ca="1">ROUND(IF(ISERROR(OFFSET(Rame!$A$1,MATCH(H275,Rame!$A:$A,0)-1,MATCH(J275,Rame!$A$1:$AA$1,0)-1)=TRUE),0,OFFSET(Rame!$A$1,MATCH(H275,Rame!$A:$A,0)-1,MATCH(J275,Rame!$A$1:$AA$1,0)-1))*IF(E275="Rame",1,0),4)</f>
        <v>0</v>
      </c>
      <c r="N275" s="238">
        <v>0</v>
      </c>
      <c r="O275" s="238">
        <v>1.6</v>
      </c>
      <c r="P275" s="238">
        <f ca="1">ROUND(+IF(ISERROR(OFFSET(Tabella!$G$1,MATCH(H275,Tabella!$G:$G,0)-1,MATCH(I275,Tabella!$G$1:$FG$1,0)-1)=TRUE),0,OFFSET(Tabella!$G$1,MATCH(H275,Tabella!$G:$G,0)-1,MATCH(I275,Tabella!$G$1:$AB$1,0)-1)),4)</f>
        <v>0</v>
      </c>
      <c r="Q275" s="238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238">
        <f ca="1">ROUND(IF(ISERROR(OFFSET(Rame!$F$1,MATCH(H275,Rame!$F:$F,0)-1,MATCH(I275,Rame!$F$1:$FF$1,0)-1)=TRUE),0,OFFSET(Rame!$F$1,MATCH(H275,Rame!$F:$F,0)-1,MATCH(I275,Rame!$F$1:$FF$1,0)-1))*IF(E275="Rame",1,0),4)</f>
        <v>0</v>
      </c>
      <c r="S275" s="238">
        <f ca="1">ROUND(IF(ISERROR(OFFSET(Bronzo!$A$1,MATCH(H275,Bronzo!$A:$A,0)-1,MATCH(I275,Bronzo!$A$1:$AA$1,0)-1)=TRUE),0,OFFSET(Bronzo!$A$1,MATCH(H275,Bronzo!$A:$A,0)-1,MATCH(I275,Bronzo!$A$1:$AA$1,0)-1)),4)</f>
        <v>0</v>
      </c>
      <c r="T275" s="238">
        <f t="shared" ca="1" si="190"/>
        <v>0</v>
      </c>
      <c r="U275" s="237"/>
      <c r="V275" s="238">
        <v>0</v>
      </c>
      <c r="W275" s="239">
        <f t="shared" ca="1" si="191"/>
        <v>1.6</v>
      </c>
      <c r="X275" s="423">
        <f t="shared" si="189"/>
        <v>15.68</v>
      </c>
      <c r="Y275" s="236">
        <v>4.83</v>
      </c>
      <c r="Z275" s="236">
        <f t="shared" ca="1" si="192"/>
        <v>0.22</v>
      </c>
      <c r="AA275" s="241"/>
      <c r="AF275" s="225">
        <f t="shared" ca="1" si="212"/>
        <v>46236</v>
      </c>
      <c r="AG275" s="225" t="b">
        <f t="shared" si="213"/>
        <v>1</v>
      </c>
      <c r="AH275" s="242"/>
      <c r="AK275" s="223">
        <f t="shared" si="214"/>
        <v>0</v>
      </c>
      <c r="AL275" s="223">
        <f t="shared" si="215"/>
        <v>1900</v>
      </c>
      <c r="AS275" s="223">
        <f t="shared" si="216"/>
        <v>0</v>
      </c>
      <c r="AT275" s="223">
        <f t="shared" si="217"/>
        <v>0</v>
      </c>
    </row>
    <row r="276" spans="2:46" ht="15.75" x14ac:dyDescent="0.25">
      <c r="B276" s="229" t="s">
        <v>501</v>
      </c>
      <c r="C276" s="235" t="s">
        <v>336</v>
      </c>
      <c r="D276" s="243">
        <v>1000</v>
      </c>
      <c r="E276" s="232" t="s">
        <v>6</v>
      </c>
      <c r="F276" s="233">
        <v>11.18</v>
      </c>
      <c r="G276" s="234">
        <v>46128</v>
      </c>
      <c r="H276" s="235" t="s">
        <v>12</v>
      </c>
      <c r="I276" s="235"/>
      <c r="J276" s="236">
        <v>0.15</v>
      </c>
      <c r="K276" s="237">
        <f ca="1">ROUND(IF(ISERROR(OFFSET(Tabella!$A$1,MATCH(H276,Tabella!$A:$A,0)-1,MATCH(J276,Tabella!$A$1:$AC$1,0)-1)=TRUE),0,+OFFSET(Tabella!$A$1,MATCH(H276,Tabella!$A:$A,0)-1,MATCH(J276,Tabella!$A$1:$AC$1,0)-1)),4)</f>
        <v>0</v>
      </c>
      <c r="L276" s="238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238">
        <f ca="1">ROUND(IF(ISERROR(OFFSET(Rame!$A$1,MATCH(H276,Rame!$A:$A,0)-1,MATCH(J276,Rame!$A$1:$AA$1,0)-1)=TRUE),0,OFFSET(Rame!$A$1,MATCH(H276,Rame!$A:$A,0)-1,MATCH(J276,Rame!$A$1:$AA$1,0)-1))*IF(E276="Rame",1,0),4)</f>
        <v>1.25</v>
      </c>
      <c r="N276" s="238">
        <v>0</v>
      </c>
      <c r="O276" s="238">
        <f ca="1">ROUND(SUM(K276:N276),4)</f>
        <v>1.25</v>
      </c>
      <c r="P276" s="238">
        <f ca="1">ROUND(+IF(ISERROR(OFFSET(Tabella!$G$1,MATCH(H276,Tabella!$G:$G,0)-1,MATCH(I276,Tabella!$G$1:$FG$1,0)-1)=TRUE),0,OFFSET(Tabella!$G$1,MATCH(H276,Tabella!$G:$G,0)-1,MATCH(I276,Tabella!$G$1:$AB$1,0)-1)),4)</f>
        <v>0</v>
      </c>
      <c r="Q276" s="238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238">
        <f ca="1">ROUND(IF(ISERROR(OFFSET(Rame!$F$1,MATCH(H276,Rame!$F:$F,0)-1,MATCH(I276,Rame!$F$1:$FF$1,0)-1)=TRUE),0,OFFSET(Rame!$F$1,MATCH(H276,Rame!$F:$F,0)-1,MATCH(I276,Rame!$F$1:$FF$1,0)-1))*IF(E276="Rame",1,0),4)</f>
        <v>0</v>
      </c>
      <c r="S276" s="238">
        <f ca="1">ROUND(IF(ISERROR(OFFSET(Bronzo!$A$1,MATCH(H276,Bronzo!$A:$A,0)-1,MATCH(I276,Bronzo!$A$1:$AA$1,0)-1)=TRUE),0,OFFSET(Bronzo!$A$1,MATCH(H276,Bronzo!$A:$A,0)-1,MATCH(I276,Bronzo!$A$1:$AA$1,0)-1)),4)</f>
        <v>0</v>
      </c>
      <c r="T276" s="238">
        <f t="shared" ca="1" si="190"/>
        <v>0</v>
      </c>
      <c r="U276" s="237"/>
      <c r="V276" s="238">
        <v>0</v>
      </c>
      <c r="W276" s="239">
        <f t="shared" ca="1" si="191"/>
        <v>1.25</v>
      </c>
      <c r="X276" s="240">
        <f t="shared" si="189"/>
        <v>150</v>
      </c>
      <c r="Y276" s="236">
        <v>15.2</v>
      </c>
      <c r="Z276" s="236">
        <f t="shared" ca="1" si="192"/>
        <v>2.77</v>
      </c>
      <c r="AA276" s="241">
        <v>46169</v>
      </c>
      <c r="AF276" s="225">
        <f t="shared" ca="1" si="212"/>
        <v>46236</v>
      </c>
      <c r="AG276" s="225" t="b">
        <f t="shared" si="213"/>
        <v>0</v>
      </c>
      <c r="AH276" s="242"/>
      <c r="AK276" s="223">
        <f t="shared" si="214"/>
        <v>22</v>
      </c>
      <c r="AL276" s="223">
        <f t="shared" si="215"/>
        <v>2026</v>
      </c>
      <c r="AS276" s="223">
        <f t="shared" si="216"/>
        <v>5</v>
      </c>
      <c r="AT276" s="223">
        <f t="shared" si="217"/>
        <v>2026</v>
      </c>
    </row>
    <row r="277" spans="2:46" ht="15.75" x14ac:dyDescent="0.25">
      <c r="B277" s="229" t="s">
        <v>754</v>
      </c>
      <c r="C277" s="245" t="s">
        <v>208</v>
      </c>
      <c r="D277" s="246">
        <v>357</v>
      </c>
      <c r="E277" s="232" t="s">
        <v>6</v>
      </c>
      <c r="F277" s="233">
        <v>11.18</v>
      </c>
      <c r="G277" s="234">
        <v>46133</v>
      </c>
      <c r="H277" s="235" t="s">
        <v>14</v>
      </c>
      <c r="I277" s="235"/>
      <c r="J277" s="236">
        <v>0.05</v>
      </c>
      <c r="K277" s="237">
        <f ca="1">ROUND(IF(ISERROR(OFFSET(Tabella!$A$1,MATCH(H277,Tabella!$A:$A,0)-1,MATCH(J277,Tabella!$A$1:$AC$1,0)-1)=TRUE),0,+OFFSET(Tabella!$A$1,MATCH(H277,Tabella!$A:$A,0)-1,MATCH(J277,Tabella!$A$1:$AC$1,0)-1)),4)</f>
        <v>0</v>
      </c>
      <c r="L277" s="238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238">
        <f ca="1">ROUND(IF(ISERROR(OFFSET(Rame!$A$1,MATCH(H277,Rame!$A:$A,0)-1,MATCH(J277,Rame!$A$1:$AA$1,0)-1)=TRUE),0,OFFSET(Rame!$A$1,MATCH(H277,Rame!$A:$A,0)-1,MATCH(J277,Rame!$A$1:$AA$1,0)-1))*IF(E277="Rame",1,0),4)</f>
        <v>0</v>
      </c>
      <c r="N277" s="238">
        <v>0</v>
      </c>
      <c r="O277" s="238">
        <v>1</v>
      </c>
      <c r="P277" s="238">
        <f ca="1">ROUND(+IF(ISERROR(OFFSET(Tabella!$G$1,MATCH(H277,Tabella!$G:$G,0)-1,MATCH(I277,Tabella!$G$1:$FG$1,0)-1)=TRUE),0,OFFSET(Tabella!$G$1,MATCH(H277,Tabella!$G:$G,0)-1,MATCH(I277,Tabella!$G$1:$AB$1,0)-1)),4)</f>
        <v>0</v>
      </c>
      <c r="Q277" s="238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238">
        <f ca="1">ROUND(IF(ISERROR(OFFSET(Rame!$F$1,MATCH(H277,Rame!$F:$F,0)-1,MATCH(I277,Rame!$F$1:$FF$1,0)-1)=TRUE),0,OFFSET(Rame!$F$1,MATCH(H277,Rame!$F:$F,0)-1,MATCH(I277,Rame!$F$1:$FF$1,0)-1))*IF(E277="Rame",1,0),4)</f>
        <v>0</v>
      </c>
      <c r="S277" s="238">
        <f ca="1">ROUND(IF(ISERROR(OFFSET(Bronzo!$A$1,MATCH(H277,Bronzo!$A:$A,0)-1,MATCH(I277,Bronzo!$A$1:$AA$1,0)-1)=TRUE),0,OFFSET(Bronzo!$A$1,MATCH(H277,Bronzo!$A:$A,0)-1,MATCH(I277,Bronzo!$A$1:$AA$1,0)-1)),4)</f>
        <v>0</v>
      </c>
      <c r="T277" s="238">
        <f t="shared" ca="1" si="190"/>
        <v>0</v>
      </c>
      <c r="U277" s="237"/>
      <c r="V277" s="238">
        <v>0</v>
      </c>
      <c r="W277" s="239">
        <f t="shared" ca="1" si="191"/>
        <v>1</v>
      </c>
      <c r="X277" s="423">
        <f t="shared" ref="X277:X343" si="218">ROUND(+J277*D277,4)</f>
        <v>17.850000000000001</v>
      </c>
      <c r="Y277" s="236">
        <v>14.5</v>
      </c>
      <c r="Z277" s="236">
        <f t="shared" ca="1" si="192"/>
        <v>2.3199999999999998</v>
      </c>
      <c r="AA277" s="241"/>
      <c r="AF277" s="225">
        <f t="shared" ca="1" si="212"/>
        <v>46236</v>
      </c>
      <c r="AG277" s="225" t="b">
        <f t="shared" si="213"/>
        <v>1</v>
      </c>
      <c r="AH277" s="242"/>
      <c r="AK277" s="223">
        <f t="shared" si="214"/>
        <v>0</v>
      </c>
      <c r="AL277" s="223">
        <f t="shared" si="215"/>
        <v>1900</v>
      </c>
      <c r="AS277" s="223">
        <f t="shared" si="216"/>
        <v>0</v>
      </c>
      <c r="AT277" s="223">
        <f t="shared" si="217"/>
        <v>0</v>
      </c>
    </row>
    <row r="278" spans="2:46" ht="15.75" x14ac:dyDescent="0.25">
      <c r="B278" s="229" t="s">
        <v>580</v>
      </c>
      <c r="C278" s="245" t="s">
        <v>208</v>
      </c>
      <c r="D278" s="246">
        <v>270</v>
      </c>
      <c r="E278" s="232" t="s">
        <v>6</v>
      </c>
      <c r="F278" s="233">
        <v>11.18</v>
      </c>
      <c r="G278" s="234">
        <v>46133</v>
      </c>
      <c r="H278" s="235" t="s">
        <v>14</v>
      </c>
      <c r="I278" s="235"/>
      <c r="J278" s="236">
        <v>0.05</v>
      </c>
      <c r="K278" s="237">
        <f ca="1">ROUND(IF(ISERROR(OFFSET(Tabella!$A$1,MATCH(H278,Tabella!$A:$A,0)-1,MATCH(J278,Tabella!$A$1:$AC$1,0)-1)=TRUE),0,+OFFSET(Tabella!$A$1,MATCH(H278,Tabella!$A:$A,0)-1,MATCH(J278,Tabella!$A$1:$AC$1,0)-1)),4)</f>
        <v>0</v>
      </c>
      <c r="L278" s="238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238">
        <f ca="1">ROUND(IF(ISERROR(OFFSET(Rame!$A$1,MATCH(H278,Rame!$A:$A,0)-1,MATCH(J278,Rame!$A$1:$AA$1,0)-1)=TRUE),0,OFFSET(Rame!$A$1,MATCH(H278,Rame!$A:$A,0)-1,MATCH(J278,Rame!$A$1:$AA$1,0)-1))*IF(E278="Rame",1,0),4)</f>
        <v>0</v>
      </c>
      <c r="N278" s="238">
        <v>0</v>
      </c>
      <c r="O278" s="238">
        <v>1</v>
      </c>
      <c r="P278" s="238">
        <f ca="1">ROUND(+IF(ISERROR(OFFSET(Tabella!$G$1,MATCH(H278,Tabella!$G:$G,0)-1,MATCH(I278,Tabella!$G$1:$FG$1,0)-1)=TRUE),0,OFFSET(Tabella!$G$1,MATCH(H278,Tabella!$G:$G,0)-1,MATCH(I278,Tabella!$G$1:$AB$1,0)-1)),4)</f>
        <v>0</v>
      </c>
      <c r="Q278" s="238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238">
        <f ca="1">ROUND(IF(ISERROR(OFFSET(Rame!$F$1,MATCH(H278,Rame!$F:$F,0)-1,MATCH(I278,Rame!$F$1:$FF$1,0)-1)=TRUE),0,OFFSET(Rame!$F$1,MATCH(H278,Rame!$F:$F,0)-1,MATCH(I278,Rame!$F$1:$FF$1,0)-1))*IF(E278="Rame",1,0),4)</f>
        <v>0</v>
      </c>
      <c r="S278" s="238">
        <f ca="1">ROUND(IF(ISERROR(OFFSET(Bronzo!$A$1,MATCH(H278,Bronzo!$A:$A,0)-1,MATCH(I278,Bronzo!$A$1:$AA$1,0)-1)=TRUE),0,OFFSET(Bronzo!$A$1,MATCH(H278,Bronzo!$A:$A,0)-1,MATCH(I278,Bronzo!$A$1:$AA$1,0)-1)),4)</f>
        <v>0</v>
      </c>
      <c r="T278" s="238">
        <f t="shared" ca="1" si="190"/>
        <v>0</v>
      </c>
      <c r="U278" s="237"/>
      <c r="V278" s="238">
        <v>0</v>
      </c>
      <c r="W278" s="239">
        <f t="shared" ca="1" si="191"/>
        <v>1</v>
      </c>
      <c r="X278" s="423">
        <f t="shared" si="218"/>
        <v>13.5</v>
      </c>
      <c r="Y278" s="236">
        <v>14.5</v>
      </c>
      <c r="Z278" s="236">
        <f t="shared" ca="1" si="192"/>
        <v>2.3199999999999998</v>
      </c>
      <c r="AA278" s="241"/>
      <c r="AF278" s="225">
        <f t="shared" ca="1" si="212"/>
        <v>46236</v>
      </c>
      <c r="AG278" s="225" t="b">
        <f t="shared" si="213"/>
        <v>1</v>
      </c>
      <c r="AH278" s="242"/>
      <c r="AK278" s="223">
        <f t="shared" si="214"/>
        <v>0</v>
      </c>
      <c r="AL278" s="223">
        <f t="shared" si="215"/>
        <v>1900</v>
      </c>
      <c r="AS278" s="223">
        <f t="shared" si="216"/>
        <v>0</v>
      </c>
      <c r="AT278" s="223">
        <f t="shared" si="217"/>
        <v>0</v>
      </c>
    </row>
    <row r="279" spans="2:46" ht="15.75" x14ac:dyDescent="0.25">
      <c r="B279" s="229" t="s">
        <v>512</v>
      </c>
      <c r="C279" s="235" t="s">
        <v>208</v>
      </c>
      <c r="D279" s="243">
        <v>700</v>
      </c>
      <c r="E279" s="232" t="s">
        <v>4</v>
      </c>
      <c r="F279" s="233">
        <v>2.91</v>
      </c>
      <c r="G279" s="234">
        <v>46091</v>
      </c>
      <c r="H279" s="235" t="s">
        <v>322</v>
      </c>
      <c r="I279" s="235"/>
      <c r="J279" s="236">
        <v>7.0000000000000007E-2</v>
      </c>
      <c r="K279" s="237">
        <f ca="1">ROUND(IF(ISERROR(OFFSET(Tabella!$A$1,MATCH(H279,Tabella!$A:$A,0)-1,MATCH(J279,Tabella!$A$1:$AC$1,0)-1)=TRUE),0,+OFFSET(Tabella!$A$1,MATCH(H279,Tabella!$A:$A,0)-1,MATCH(J279,Tabella!$A$1:$AC$1,0)-1)),4)</f>
        <v>1.25</v>
      </c>
      <c r="L279" s="238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238">
        <f ca="1">ROUND(IF(ISERROR(OFFSET(Rame!$A$1,MATCH(H279,Rame!$A:$A,0)-1,MATCH(J279,Rame!$A$1:$AA$1,0)-1)=TRUE),0,OFFSET(Rame!$A$1,MATCH(H279,Rame!$A:$A,0)-1,MATCH(J279,Rame!$A$1:$AA$1,0)-1))*IF(E279="Rame",1,0),4)</f>
        <v>0</v>
      </c>
      <c r="N279" s="238">
        <v>0</v>
      </c>
      <c r="O279" s="238">
        <v>1.5</v>
      </c>
      <c r="P279" s="238">
        <f ca="1">ROUND(+IF(ISERROR(OFFSET(Tabella!$G$1,MATCH(H279,Tabella!$G:$G,0)-1,MATCH(I279,Tabella!$G$1:$FG$1,0)-1)=TRUE),0,OFFSET(Tabella!$G$1,MATCH(H279,Tabella!$G:$G,0)-1,MATCH(I279,Tabella!$G$1:$AB$1,0)-1)),4)</f>
        <v>0</v>
      </c>
      <c r="Q279" s="238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238">
        <f ca="1">ROUND(IF(ISERROR(OFFSET(Rame!$F$1,MATCH(H279,Rame!$F:$F,0)-1,MATCH(I279,Rame!$F$1:$FF$1,0)-1)=TRUE),0,OFFSET(Rame!$F$1,MATCH(H279,Rame!$F:$F,0)-1,MATCH(I279,Rame!$F$1:$FF$1,0)-1))*IF(E279="Rame",1,0),4)</f>
        <v>0</v>
      </c>
      <c r="S279" s="238">
        <f ca="1">ROUND(IF(ISERROR(OFFSET(Bronzo!$A$1,MATCH(H279,Bronzo!$A:$A,0)-1,MATCH(I279,Bronzo!$A$1:$AA$1,0)-1)=TRUE),0,OFFSET(Bronzo!$A$1,MATCH(H279,Bronzo!$A:$A,0)-1,MATCH(I279,Bronzo!$A$1:$AA$1,0)-1)),4)</f>
        <v>0</v>
      </c>
      <c r="T279" s="238">
        <f t="shared" ca="1" si="190"/>
        <v>0</v>
      </c>
      <c r="U279" s="237"/>
      <c r="V279" s="238">
        <v>0</v>
      </c>
      <c r="W279" s="239">
        <f t="shared" ca="1" si="191"/>
        <v>1.5</v>
      </c>
      <c r="X279" s="240">
        <f t="shared" si="218"/>
        <v>49</v>
      </c>
      <c r="Y279" s="236">
        <v>4.3</v>
      </c>
      <c r="Z279" s="236">
        <f t="shared" ca="1" si="192"/>
        <v>-0.11</v>
      </c>
      <c r="AA279" s="241">
        <v>46156</v>
      </c>
      <c r="AF279" s="225">
        <f t="shared" ca="1" si="212"/>
        <v>46236</v>
      </c>
      <c r="AG279" s="225" t="b">
        <f t="shared" si="213"/>
        <v>0</v>
      </c>
      <c r="AH279" s="242"/>
      <c r="AK279" s="223">
        <f t="shared" si="214"/>
        <v>20</v>
      </c>
      <c r="AL279" s="223">
        <f t="shared" si="215"/>
        <v>2026</v>
      </c>
      <c r="AS279" s="223">
        <f t="shared" si="216"/>
        <v>5</v>
      </c>
      <c r="AT279" s="223">
        <f t="shared" si="217"/>
        <v>2026</v>
      </c>
    </row>
    <row r="280" spans="2:46" ht="15.75" x14ac:dyDescent="0.25">
      <c r="B280" s="229" t="s">
        <v>581</v>
      </c>
      <c r="C280" s="245" t="s">
        <v>208</v>
      </c>
      <c r="D280" s="246">
        <v>392</v>
      </c>
      <c r="E280" s="232" t="s">
        <v>4</v>
      </c>
      <c r="F280" s="233">
        <v>2.91</v>
      </c>
      <c r="G280" s="234">
        <v>46091</v>
      </c>
      <c r="H280" s="235" t="s">
        <v>243</v>
      </c>
      <c r="I280" s="235"/>
      <c r="J280" s="236">
        <v>7.0000000000000007E-2</v>
      </c>
      <c r="K280" s="237">
        <f ca="1">ROUND(IF(ISERROR(OFFSET(Tabella!$A$1,MATCH(H280,Tabella!$A:$A,0)-1,MATCH(J280,Tabella!$A$1:$AC$1,0)-1)=TRUE),0,+OFFSET(Tabella!$A$1,MATCH(H280,Tabella!$A:$A,0)-1,MATCH(J280,Tabella!$A$1:$AC$1,0)-1)),4)</f>
        <v>1.4</v>
      </c>
      <c r="L280" s="238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238">
        <f ca="1">ROUND(IF(ISERROR(OFFSET(Rame!$A$1,MATCH(H280,Rame!$A:$A,0)-1,MATCH(J280,Rame!$A$1:$AA$1,0)-1)=TRUE),0,OFFSET(Rame!$A$1,MATCH(H280,Rame!$A:$A,0)-1,MATCH(J280,Rame!$A$1:$AA$1,0)-1))*IF(E280="Rame",1,0),4)</f>
        <v>0</v>
      </c>
      <c r="N280" s="238">
        <v>0</v>
      </c>
      <c r="O280" s="238">
        <v>1.6</v>
      </c>
      <c r="P280" s="238">
        <f ca="1">ROUND(+IF(ISERROR(OFFSET(Tabella!$G$1,MATCH(H280,Tabella!$G:$G,0)-1,MATCH(I280,Tabella!$G$1:$FG$1,0)-1)=TRUE),0,OFFSET(Tabella!$G$1,MATCH(H280,Tabella!$G:$G,0)-1,MATCH(I280,Tabella!$G$1:$AB$1,0)-1)),4)</f>
        <v>0</v>
      </c>
      <c r="Q280" s="238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238">
        <f ca="1">ROUND(IF(ISERROR(OFFSET(Rame!$F$1,MATCH(H280,Rame!$F:$F,0)-1,MATCH(I280,Rame!$F$1:$FF$1,0)-1)=TRUE),0,OFFSET(Rame!$F$1,MATCH(H280,Rame!$F:$F,0)-1,MATCH(I280,Rame!$F$1:$FF$1,0)-1))*IF(E280="Rame",1,0),4)</f>
        <v>0</v>
      </c>
      <c r="S280" s="238">
        <f ca="1">ROUND(IF(ISERROR(OFFSET(Bronzo!$A$1,MATCH(H280,Bronzo!$A:$A,0)-1,MATCH(I280,Bronzo!$A$1:$AA$1,0)-1)=TRUE),0,OFFSET(Bronzo!$A$1,MATCH(H280,Bronzo!$A:$A,0)-1,MATCH(I280,Bronzo!$A$1:$AA$1,0)-1)),4)</f>
        <v>0</v>
      </c>
      <c r="T280" s="238">
        <f t="shared" ca="1" si="190"/>
        <v>0</v>
      </c>
      <c r="U280" s="237"/>
      <c r="V280" s="238">
        <v>0</v>
      </c>
      <c r="W280" s="239">
        <f t="shared" ca="1" si="191"/>
        <v>1.6</v>
      </c>
      <c r="X280" s="423">
        <f t="shared" si="218"/>
        <v>27.44</v>
      </c>
      <c r="Y280" s="236">
        <v>4.4000000000000004</v>
      </c>
      <c r="Z280" s="236">
        <f t="shared" ca="1" si="192"/>
        <v>-0.11</v>
      </c>
      <c r="AA280" s="241"/>
      <c r="AE280" s="223" t="s">
        <v>545</v>
      </c>
      <c r="AF280" s="225">
        <f t="shared" ca="1" si="212"/>
        <v>46236</v>
      </c>
      <c r="AG280" s="225" t="b">
        <f t="shared" si="213"/>
        <v>1</v>
      </c>
      <c r="AH280" s="242"/>
      <c r="AK280" s="223">
        <f t="shared" si="214"/>
        <v>0</v>
      </c>
      <c r="AL280" s="223">
        <f t="shared" si="215"/>
        <v>1900</v>
      </c>
      <c r="AS280" s="223">
        <f t="shared" si="216"/>
        <v>0</v>
      </c>
      <c r="AT280" s="223">
        <f t="shared" si="217"/>
        <v>0</v>
      </c>
    </row>
    <row r="281" spans="2:46" ht="15.75" x14ac:dyDescent="0.25">
      <c r="B281" s="229" t="s">
        <v>581</v>
      </c>
      <c r="C281" s="245" t="s">
        <v>208</v>
      </c>
      <c r="D281" s="246">
        <v>793</v>
      </c>
      <c r="E281" s="232" t="s">
        <v>4</v>
      </c>
      <c r="F281" s="233">
        <v>2.91</v>
      </c>
      <c r="G281" s="234">
        <v>46091</v>
      </c>
      <c r="H281" s="235" t="s">
        <v>24</v>
      </c>
      <c r="I281" s="235"/>
      <c r="J281" s="236">
        <v>7.0000000000000007E-2</v>
      </c>
      <c r="K281" s="237">
        <f ca="1">ROUND(IF(ISERROR(OFFSET(Tabella!$A$1,MATCH(H281,Tabella!$A:$A,0)-1,MATCH(J281,Tabella!$A$1:$AC$1,0)-1)=TRUE),0,+OFFSET(Tabella!$A$1,MATCH(H281,Tabella!$A:$A,0)-1,MATCH(J281,Tabella!$A$1:$AC$1,0)-1)),4)</f>
        <v>1.25</v>
      </c>
      <c r="L281" s="238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238">
        <f ca="1">ROUND(IF(ISERROR(OFFSET(Rame!$A$1,MATCH(H281,Rame!$A:$A,0)-1,MATCH(J281,Rame!$A$1:$AA$1,0)-1)=TRUE),0,OFFSET(Rame!$A$1,MATCH(H281,Rame!$A:$A,0)-1,MATCH(J281,Rame!$A$1:$AA$1,0)-1))*IF(E281="Rame",1,0),4)</f>
        <v>0</v>
      </c>
      <c r="N281" s="238">
        <v>0</v>
      </c>
      <c r="O281" s="238">
        <v>1.5</v>
      </c>
      <c r="P281" s="238">
        <f ca="1">ROUND(+IF(ISERROR(OFFSET(Tabella!$G$1,MATCH(H281,Tabella!$G:$G,0)-1,MATCH(I281,Tabella!$G$1:$FG$1,0)-1)=TRUE),0,OFFSET(Tabella!$G$1,MATCH(H281,Tabella!$G:$G,0)-1,MATCH(I281,Tabella!$G$1:$AB$1,0)-1)),4)</f>
        <v>0</v>
      </c>
      <c r="Q281" s="238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238">
        <f ca="1">ROUND(IF(ISERROR(OFFSET(Rame!$F$1,MATCH(H281,Rame!$F:$F,0)-1,MATCH(I281,Rame!$F$1:$FF$1,0)-1)=TRUE),0,OFFSET(Rame!$F$1,MATCH(H281,Rame!$F:$F,0)-1,MATCH(I281,Rame!$F$1:$FF$1,0)-1))*IF(E281="Rame",1,0),4)</f>
        <v>0</v>
      </c>
      <c r="S281" s="238">
        <f ca="1">ROUND(IF(ISERROR(OFFSET(Bronzo!$A$1,MATCH(H281,Bronzo!$A:$A,0)-1,MATCH(I281,Bronzo!$A$1:$AA$1,0)-1)=TRUE),0,OFFSET(Bronzo!$A$1,MATCH(H281,Bronzo!$A:$A,0)-1,MATCH(I281,Bronzo!$A$1:$AA$1,0)-1)),4)</f>
        <v>0</v>
      </c>
      <c r="T281" s="238">
        <f t="shared" ca="1" si="190"/>
        <v>0</v>
      </c>
      <c r="U281" s="237"/>
      <c r="V281" s="238">
        <v>0</v>
      </c>
      <c r="W281" s="239">
        <f t="shared" ca="1" si="191"/>
        <v>1.5</v>
      </c>
      <c r="X281" s="423">
        <f t="shared" si="218"/>
        <v>55.51</v>
      </c>
      <c r="Y281" s="236">
        <v>4.3</v>
      </c>
      <c r="Z281" s="236">
        <f t="shared" ca="1" si="192"/>
        <v>-0.11</v>
      </c>
      <c r="AA281" s="241"/>
      <c r="AF281" s="225">
        <f t="shared" ca="1" si="212"/>
        <v>46236</v>
      </c>
      <c r="AG281" s="225" t="b">
        <f t="shared" si="213"/>
        <v>1</v>
      </c>
      <c r="AH281" s="242"/>
      <c r="AK281" s="223">
        <f t="shared" si="214"/>
        <v>0</v>
      </c>
      <c r="AL281" s="223">
        <f t="shared" si="215"/>
        <v>1900</v>
      </c>
      <c r="AS281" s="223">
        <f t="shared" si="216"/>
        <v>0</v>
      </c>
      <c r="AT281" s="223">
        <f t="shared" si="217"/>
        <v>0</v>
      </c>
    </row>
    <row r="282" spans="2:46" ht="15.75" x14ac:dyDescent="0.25">
      <c r="B282" s="229" t="s">
        <v>755</v>
      </c>
      <c r="C282" s="245" t="s">
        <v>208</v>
      </c>
      <c r="D282" s="246">
        <v>870</v>
      </c>
      <c r="E282" s="232" t="s">
        <v>4</v>
      </c>
      <c r="F282" s="233">
        <v>2.91</v>
      </c>
      <c r="G282" s="234">
        <v>46091</v>
      </c>
      <c r="H282" s="235" t="s">
        <v>22</v>
      </c>
      <c r="I282" s="235"/>
      <c r="J282" s="236">
        <v>7.0000000000000007E-2</v>
      </c>
      <c r="K282" s="237">
        <f ca="1">ROUND(IF(ISERROR(OFFSET(Tabella!$A$1,MATCH(H282,Tabella!$A:$A,0)-1,MATCH(J282,Tabella!$A$1:$AC$1,0)-1)=TRUE),0,+OFFSET(Tabella!$A$1,MATCH(H282,Tabella!$A:$A,0)-1,MATCH(J282,Tabella!$A$1:$AC$1,0)-1)),4)</f>
        <v>1.25</v>
      </c>
      <c r="L282" s="238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238">
        <f ca="1">ROUND(IF(ISERROR(OFFSET(Rame!$A$1,MATCH(H282,Rame!$A:$A,0)-1,MATCH(J282,Rame!$A$1:$AA$1,0)-1)=TRUE),0,OFFSET(Rame!$A$1,MATCH(H282,Rame!$A:$A,0)-1,MATCH(J282,Rame!$A$1:$AA$1,0)-1))*IF(E282="Rame",1,0),4)</f>
        <v>0</v>
      </c>
      <c r="N282" s="238">
        <v>0</v>
      </c>
      <c r="O282" s="238">
        <v>1.5</v>
      </c>
      <c r="P282" s="238">
        <f ca="1">ROUND(+IF(ISERROR(OFFSET(Tabella!$G$1,MATCH(H282,Tabella!$G:$G,0)-1,MATCH(I282,Tabella!$G$1:$FG$1,0)-1)=TRUE),0,OFFSET(Tabella!$G$1,MATCH(H282,Tabella!$G:$G,0)-1,MATCH(I282,Tabella!$G$1:$AB$1,0)-1)),4)</f>
        <v>0</v>
      </c>
      <c r="Q282" s="238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238">
        <f ca="1">ROUND(IF(ISERROR(OFFSET(Rame!$F$1,MATCH(H282,Rame!$F:$F,0)-1,MATCH(I282,Rame!$F$1:$FF$1,0)-1)=TRUE),0,OFFSET(Rame!$F$1,MATCH(H282,Rame!$F:$F,0)-1,MATCH(I282,Rame!$F$1:$FF$1,0)-1))*IF(E282="Rame",1,0),4)</f>
        <v>0</v>
      </c>
      <c r="S282" s="238">
        <f ca="1">ROUND(IF(ISERROR(OFFSET(Bronzo!$A$1,MATCH(H282,Bronzo!$A:$A,0)-1,MATCH(I282,Bronzo!$A$1:$AA$1,0)-1)=TRUE),0,OFFSET(Bronzo!$A$1,MATCH(H282,Bronzo!$A:$A,0)-1,MATCH(I282,Bronzo!$A$1:$AA$1,0)-1)),4)</f>
        <v>0</v>
      </c>
      <c r="T282" s="238">
        <f t="shared" ca="1" si="190"/>
        <v>0</v>
      </c>
      <c r="U282" s="237"/>
      <c r="V282" s="238">
        <v>0</v>
      </c>
      <c r="W282" s="239">
        <f t="shared" ca="1" si="191"/>
        <v>1.5</v>
      </c>
      <c r="X282" s="423">
        <f t="shared" si="218"/>
        <v>60.9</v>
      </c>
      <c r="Y282" s="236">
        <v>4.3</v>
      </c>
      <c r="Z282" s="236">
        <f t="shared" ca="1" si="192"/>
        <v>-0.11</v>
      </c>
      <c r="AA282" s="241"/>
      <c r="AF282" s="225">
        <f t="shared" ca="1" si="212"/>
        <v>46236</v>
      </c>
      <c r="AG282" s="225" t="b">
        <f t="shared" si="213"/>
        <v>1</v>
      </c>
      <c r="AH282" s="242"/>
      <c r="AK282" s="223">
        <f t="shared" si="214"/>
        <v>0</v>
      </c>
      <c r="AL282" s="223">
        <f t="shared" si="215"/>
        <v>1900</v>
      </c>
      <c r="AS282" s="223">
        <f t="shared" si="216"/>
        <v>0</v>
      </c>
      <c r="AT282" s="223">
        <f t="shared" si="217"/>
        <v>0</v>
      </c>
    </row>
    <row r="283" spans="2:46" ht="15.75" x14ac:dyDescent="0.25">
      <c r="B283" s="229" t="s">
        <v>612</v>
      </c>
      <c r="C283" s="427" t="s">
        <v>263</v>
      </c>
      <c r="D283" s="428">
        <v>660</v>
      </c>
      <c r="E283" s="232" t="s">
        <v>4</v>
      </c>
      <c r="F283" s="233">
        <v>2.88</v>
      </c>
      <c r="G283" s="234">
        <v>46133</v>
      </c>
      <c r="H283" s="235" t="s">
        <v>25</v>
      </c>
      <c r="I283" s="235"/>
      <c r="J283" s="236">
        <v>7.0000000000000007E-2</v>
      </c>
      <c r="K283" s="237">
        <f ca="1">ROUND(IF(ISERROR(OFFSET(Tabella!$A$1,MATCH(H283,Tabella!$A:$A,0)-1,MATCH(J283,Tabella!$A$1:$AC$1,0)-1)=TRUE),0,+OFFSET(Tabella!$A$1,MATCH(H283,Tabella!$A:$A,0)-1,MATCH(J283,Tabella!$A$1:$AC$1,0)-1)),4)</f>
        <v>1.25</v>
      </c>
      <c r="L283" s="238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238">
        <f ca="1">ROUND(IF(ISERROR(OFFSET(Rame!$A$1,MATCH(H283,Rame!$A:$A,0)-1,MATCH(J283,Rame!$A$1:$AA$1,0)-1)=TRUE),0,OFFSET(Rame!$A$1,MATCH(H283,Rame!$A:$A,0)-1,MATCH(J283,Rame!$A$1:$AA$1,0)-1))*IF(E283="Rame",1,0),4)</f>
        <v>0</v>
      </c>
      <c r="N283" s="238">
        <v>0</v>
      </c>
      <c r="O283" s="238">
        <v>1.73</v>
      </c>
      <c r="P283" s="238">
        <f ca="1">ROUND(+IF(ISERROR(OFFSET(Tabella!$G$1,MATCH(H283,Tabella!$G:$G,0)-1,MATCH(I283,Tabella!$G$1:$FG$1,0)-1)=TRUE),0,OFFSET(Tabella!$G$1,MATCH(H283,Tabella!$G:$G,0)-1,MATCH(I283,Tabella!$G$1:$AB$1,0)-1)),4)</f>
        <v>0</v>
      </c>
      <c r="Q283" s="238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238">
        <f ca="1">ROUND(IF(ISERROR(OFFSET(Rame!$F$1,MATCH(H283,Rame!$F:$F,0)-1,MATCH(I283,Rame!$F$1:$FF$1,0)-1)=TRUE),0,OFFSET(Rame!$F$1,MATCH(H283,Rame!$F:$F,0)-1,MATCH(I283,Rame!$F$1:$FF$1,0)-1))*IF(E283="Rame",1,0),4)</f>
        <v>0</v>
      </c>
      <c r="S283" s="238">
        <f ca="1">ROUND(IF(ISERROR(OFFSET(Bronzo!$A$1,MATCH(H283,Bronzo!$A:$A,0)-1,MATCH(I283,Bronzo!$A$1:$AA$1,0)-1)=TRUE),0,OFFSET(Bronzo!$A$1,MATCH(H283,Bronzo!$A:$A,0)-1,MATCH(I283,Bronzo!$A$1:$AA$1,0)-1)),4)</f>
        <v>0</v>
      </c>
      <c r="T283" s="238">
        <f t="shared" ref="T283:T349" ca="1" si="219">ROUND(SUM(P283:S283),4)</f>
        <v>0</v>
      </c>
      <c r="U283" s="237"/>
      <c r="V283" s="238">
        <v>0</v>
      </c>
      <c r="W283" s="239">
        <f t="shared" ref="W283:W349" ca="1" si="220">ROUND(+O283+T283+U283+V283,4)</f>
        <v>1.73</v>
      </c>
      <c r="X283" s="429">
        <f t="shared" si="218"/>
        <v>46.2</v>
      </c>
      <c r="Y283" s="236">
        <v>4.5599999999999996</v>
      </c>
      <c r="Z283" s="236">
        <f t="shared" ref="Z283:Z349" ca="1" si="221">ROUND(+Y283-W283-F283,4)</f>
        <v>-0.05</v>
      </c>
      <c r="AA283" s="241"/>
      <c r="AF283" s="225">
        <f t="shared" ca="1" si="212"/>
        <v>46236</v>
      </c>
      <c r="AG283" s="225" t="b">
        <f t="shared" si="213"/>
        <v>1</v>
      </c>
      <c r="AH283" s="242"/>
      <c r="AK283" s="223">
        <f t="shared" si="214"/>
        <v>0</v>
      </c>
      <c r="AL283" s="223">
        <f t="shared" si="215"/>
        <v>1900</v>
      </c>
      <c r="AS283" s="223">
        <f t="shared" si="216"/>
        <v>0</v>
      </c>
      <c r="AT283" s="223">
        <f t="shared" si="217"/>
        <v>0</v>
      </c>
    </row>
    <row r="284" spans="2:46" ht="15.75" x14ac:dyDescent="0.25">
      <c r="B284" s="229" t="s">
        <v>759</v>
      </c>
      <c r="C284" s="427" t="s">
        <v>263</v>
      </c>
      <c r="D284" s="428">
        <v>2251</v>
      </c>
      <c r="E284" s="232" t="s">
        <v>4</v>
      </c>
      <c r="F284" s="233">
        <v>2.88</v>
      </c>
      <c r="G284" s="234">
        <v>46133</v>
      </c>
      <c r="H284" s="235" t="s">
        <v>15</v>
      </c>
      <c r="I284" s="235"/>
      <c r="J284" s="236">
        <v>7.0000000000000007E-2</v>
      </c>
      <c r="K284" s="237">
        <f ca="1">ROUND(IF(ISERROR(OFFSET(Tabella!$A$1,MATCH(H284,Tabella!$A:$A,0)-1,MATCH(J284,Tabella!$A$1:$AC$1,0)-1)=TRUE),0,+OFFSET(Tabella!$A$1,MATCH(H284,Tabella!$A:$A,0)-1,MATCH(J284,Tabella!$A$1:$AC$1,0)-1)),4)</f>
        <v>1.4</v>
      </c>
      <c r="L284" s="238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238">
        <f ca="1">ROUND(IF(ISERROR(OFFSET(Rame!$A$1,MATCH(H284,Rame!$A:$A,0)-1,MATCH(J284,Rame!$A$1:$AA$1,0)-1)=TRUE),0,OFFSET(Rame!$A$1,MATCH(H284,Rame!$A:$A,0)-1,MATCH(J284,Rame!$A$1:$AA$1,0)-1))*IF(E284="Rame",1,0),4)</f>
        <v>0</v>
      </c>
      <c r="N284" s="238">
        <v>0</v>
      </c>
      <c r="O284" s="238">
        <v>1.88</v>
      </c>
      <c r="P284" s="238">
        <f ca="1">ROUND(+IF(ISERROR(OFFSET(Tabella!$G$1,MATCH(H284,Tabella!$G:$G,0)-1,MATCH(I284,Tabella!$G$1:$FG$1,0)-1)=TRUE),0,OFFSET(Tabella!$G$1,MATCH(H284,Tabella!$G:$G,0)-1,MATCH(I284,Tabella!$G$1:$AB$1,0)-1)),4)</f>
        <v>0</v>
      </c>
      <c r="Q284" s="238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238">
        <f ca="1">ROUND(IF(ISERROR(OFFSET(Rame!$F$1,MATCH(H284,Rame!$F:$F,0)-1,MATCH(I284,Rame!$F$1:$FF$1,0)-1)=TRUE),0,OFFSET(Rame!$F$1,MATCH(H284,Rame!$F:$F,0)-1,MATCH(I284,Rame!$F$1:$FF$1,0)-1))*IF(E284="Rame",1,0),4)</f>
        <v>0</v>
      </c>
      <c r="S284" s="238">
        <f ca="1">ROUND(IF(ISERROR(OFFSET(Bronzo!$A$1,MATCH(H284,Bronzo!$A:$A,0)-1,MATCH(I284,Bronzo!$A$1:$AA$1,0)-1)=TRUE),0,OFFSET(Bronzo!$A$1,MATCH(H284,Bronzo!$A:$A,0)-1,MATCH(I284,Bronzo!$A$1:$AA$1,0)-1)),4)</f>
        <v>0</v>
      </c>
      <c r="T284" s="238">
        <f t="shared" ca="1" si="219"/>
        <v>0</v>
      </c>
      <c r="U284" s="237"/>
      <c r="V284" s="238">
        <v>0</v>
      </c>
      <c r="W284" s="239">
        <f t="shared" ca="1" si="220"/>
        <v>1.88</v>
      </c>
      <c r="X284" s="429">
        <f t="shared" si="218"/>
        <v>157.57</v>
      </c>
      <c r="Y284" s="236">
        <v>4.71</v>
      </c>
      <c r="Z284" s="236">
        <f t="shared" ca="1" si="221"/>
        <v>-0.05</v>
      </c>
      <c r="AA284" s="241"/>
      <c r="AF284" s="225">
        <f t="shared" ca="1" si="212"/>
        <v>46236</v>
      </c>
      <c r="AG284" s="225" t="b">
        <f t="shared" si="213"/>
        <v>1</v>
      </c>
      <c r="AH284" s="242"/>
      <c r="AK284" s="223">
        <f t="shared" si="214"/>
        <v>0</v>
      </c>
      <c r="AL284" s="223">
        <f t="shared" si="215"/>
        <v>1900</v>
      </c>
      <c r="AS284" s="223">
        <f t="shared" si="216"/>
        <v>0</v>
      </c>
      <c r="AT284" s="223">
        <f t="shared" si="217"/>
        <v>0</v>
      </c>
    </row>
    <row r="285" spans="2:46" ht="15.75" x14ac:dyDescent="0.25">
      <c r="B285" s="229" t="s">
        <v>619</v>
      </c>
      <c r="C285" s="427" t="s">
        <v>263</v>
      </c>
      <c r="D285" s="428">
        <v>1010</v>
      </c>
      <c r="E285" s="232" t="s">
        <v>4</v>
      </c>
      <c r="F285" s="233">
        <v>2.88</v>
      </c>
      <c r="G285" s="234">
        <v>46133</v>
      </c>
      <c r="H285" s="235" t="s">
        <v>17</v>
      </c>
      <c r="I285" s="235"/>
      <c r="J285" s="236">
        <v>7.0000000000000007E-2</v>
      </c>
      <c r="K285" s="237">
        <f ca="1">ROUND(IF(ISERROR(OFFSET(Tabella!$A$1,MATCH(H285,Tabella!$A:$A,0)-1,MATCH(J285,Tabella!$A$1:$AC$1,0)-1)=TRUE),0,+OFFSET(Tabella!$A$1,MATCH(H285,Tabella!$A:$A,0)-1,MATCH(J285,Tabella!$A$1:$AC$1,0)-1)),4)</f>
        <v>1.4</v>
      </c>
      <c r="L285" s="238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238">
        <f ca="1">ROUND(IF(ISERROR(OFFSET(Rame!$A$1,MATCH(H285,Rame!$A:$A,0)-1,MATCH(J285,Rame!$A$1:$AA$1,0)-1)=TRUE),0,OFFSET(Rame!$A$1,MATCH(H285,Rame!$A:$A,0)-1,MATCH(J285,Rame!$A$1:$AA$1,0)-1))*IF(E285="Rame",1,0),4)</f>
        <v>0</v>
      </c>
      <c r="N285" s="238">
        <v>0</v>
      </c>
      <c r="O285" s="238">
        <v>1.83</v>
      </c>
      <c r="P285" s="238">
        <f ca="1">ROUND(+IF(ISERROR(OFFSET(Tabella!$G$1,MATCH(H285,Tabella!$G:$G,0)-1,MATCH(I285,Tabella!$G$1:$FG$1,0)-1)=TRUE),0,OFFSET(Tabella!$G$1,MATCH(H285,Tabella!$G:$G,0)-1,MATCH(I285,Tabella!$G$1:$AB$1,0)-1)),4)</f>
        <v>0</v>
      </c>
      <c r="Q285" s="238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238">
        <f ca="1">ROUND(IF(ISERROR(OFFSET(Rame!$F$1,MATCH(H285,Rame!$F:$F,0)-1,MATCH(I285,Rame!$F$1:$FF$1,0)-1)=TRUE),0,OFFSET(Rame!$F$1,MATCH(H285,Rame!$F:$F,0)-1,MATCH(I285,Rame!$F$1:$FF$1,0)-1))*IF(E285="Rame",1,0),4)</f>
        <v>0</v>
      </c>
      <c r="S285" s="238">
        <f ca="1">ROUND(IF(ISERROR(OFFSET(Bronzo!$A$1,MATCH(H285,Bronzo!$A:$A,0)-1,MATCH(I285,Bronzo!$A$1:$AA$1,0)-1)=TRUE),0,OFFSET(Bronzo!$A$1,MATCH(H285,Bronzo!$A:$A,0)-1,MATCH(I285,Bronzo!$A$1:$AA$1,0)-1)),4)</f>
        <v>0</v>
      </c>
      <c r="T285" s="238">
        <f t="shared" ca="1" si="219"/>
        <v>0</v>
      </c>
      <c r="U285" s="237"/>
      <c r="V285" s="238">
        <v>0</v>
      </c>
      <c r="W285" s="239">
        <f t="shared" ca="1" si="220"/>
        <v>1.83</v>
      </c>
      <c r="X285" s="429">
        <f t="shared" si="218"/>
        <v>70.7</v>
      </c>
      <c r="Y285" s="236">
        <v>4.66</v>
      </c>
      <c r="Z285" s="236">
        <f t="shared" ca="1" si="221"/>
        <v>-0.05</v>
      </c>
      <c r="AA285" s="241"/>
      <c r="AF285" s="225">
        <f t="shared" ca="1" si="212"/>
        <v>46236</v>
      </c>
      <c r="AG285" s="225" t="b">
        <f t="shared" ref="AG285:AG350" si="222">ISBLANK(AA285)</f>
        <v>1</v>
      </c>
      <c r="AH285" s="242"/>
      <c r="AK285" s="223">
        <f t="shared" si="214"/>
        <v>0</v>
      </c>
      <c r="AL285" s="223">
        <f t="shared" si="215"/>
        <v>1900</v>
      </c>
      <c r="AS285" s="223">
        <f t="shared" si="216"/>
        <v>0</v>
      </c>
      <c r="AT285" s="223">
        <f t="shared" si="217"/>
        <v>0</v>
      </c>
    </row>
    <row r="286" spans="2:46" ht="15.75" x14ac:dyDescent="0.25">
      <c r="B286" s="229" t="s">
        <v>654</v>
      </c>
      <c r="C286" s="427" t="s">
        <v>263</v>
      </c>
      <c r="D286" s="428">
        <v>246</v>
      </c>
      <c r="E286" s="232" t="s">
        <v>4</v>
      </c>
      <c r="F286" s="233">
        <v>2.88</v>
      </c>
      <c r="G286" s="234">
        <v>46133</v>
      </c>
      <c r="H286" s="235" t="s">
        <v>9</v>
      </c>
      <c r="I286" s="235"/>
      <c r="J286" s="236">
        <v>7.0000000000000007E-2</v>
      </c>
      <c r="K286" s="237">
        <f ca="1">ROUND(IF(ISERROR(OFFSET(Tabella!$A$1,MATCH(H286,Tabella!$A:$A,0)-1,MATCH(J286,Tabella!$A$1:$AC$1,0)-1)=TRUE),0,+OFFSET(Tabella!$A$1,MATCH(H286,Tabella!$A:$A,0)-1,MATCH(J286,Tabella!$A$1:$AC$1,0)-1)),4)</f>
        <v>1.6</v>
      </c>
      <c r="L286" s="238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238">
        <f ca="1">ROUND(IF(ISERROR(OFFSET(Rame!$A$1,MATCH(H286,Rame!$A:$A,0)-1,MATCH(J286,Rame!$A$1:$AA$1,0)-1)=TRUE),0,OFFSET(Rame!$A$1,MATCH(H286,Rame!$A:$A,0)-1,MATCH(J286,Rame!$A$1:$AA$1,0)-1))*IF(E286="Rame",1,0),4)</f>
        <v>0</v>
      </c>
      <c r="N286" s="238">
        <v>0</v>
      </c>
      <c r="O286" s="238">
        <v>2.0299999999999998</v>
      </c>
      <c r="P286" s="238">
        <f ca="1">ROUND(+IF(ISERROR(OFFSET(Tabella!$G$1,MATCH(H286,Tabella!$G:$G,0)-1,MATCH(I286,Tabella!$G$1:$FG$1,0)-1)=TRUE),0,OFFSET(Tabella!$G$1,MATCH(H286,Tabella!$G:$G,0)-1,MATCH(I286,Tabella!$G$1:$AB$1,0)-1)),4)</f>
        <v>0</v>
      </c>
      <c r="Q286" s="238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238">
        <f ca="1">ROUND(IF(ISERROR(OFFSET(Rame!$F$1,MATCH(H286,Rame!$F:$F,0)-1,MATCH(I286,Rame!$F$1:$FF$1,0)-1)=TRUE),0,OFFSET(Rame!$F$1,MATCH(H286,Rame!$F:$F,0)-1,MATCH(I286,Rame!$F$1:$FF$1,0)-1))*IF(E286="Rame",1,0),4)</f>
        <v>0</v>
      </c>
      <c r="S286" s="238">
        <f ca="1">ROUND(IF(ISERROR(OFFSET(Bronzo!$A$1,MATCH(H286,Bronzo!$A:$A,0)-1,MATCH(I286,Bronzo!$A$1:$AA$1,0)-1)=TRUE),0,OFFSET(Bronzo!$A$1,MATCH(H286,Bronzo!$A:$A,0)-1,MATCH(I286,Bronzo!$A$1:$AA$1,0)-1)),4)</f>
        <v>0</v>
      </c>
      <c r="T286" s="238">
        <f t="shared" ca="1" si="219"/>
        <v>0</v>
      </c>
      <c r="U286" s="237"/>
      <c r="V286" s="238">
        <v>0</v>
      </c>
      <c r="W286" s="239">
        <f t="shared" ca="1" si="220"/>
        <v>2.0299999999999998</v>
      </c>
      <c r="X286" s="429">
        <f t="shared" si="218"/>
        <v>17.22</v>
      </c>
      <c r="Y286" s="236">
        <v>4.8600000000000003</v>
      </c>
      <c r="Z286" s="236">
        <f t="shared" ca="1" si="221"/>
        <v>-0.05</v>
      </c>
      <c r="AA286" s="241"/>
      <c r="AE286" s="223" t="s">
        <v>655</v>
      </c>
      <c r="AF286" s="225">
        <f t="shared" ca="1" si="212"/>
        <v>46236</v>
      </c>
      <c r="AG286" s="225" t="b">
        <f t="shared" si="222"/>
        <v>1</v>
      </c>
      <c r="AH286" s="242"/>
      <c r="AK286" s="223">
        <f t="shared" si="214"/>
        <v>0</v>
      </c>
      <c r="AL286" s="223">
        <f t="shared" si="215"/>
        <v>1900</v>
      </c>
      <c r="AS286" s="223">
        <f t="shared" si="216"/>
        <v>0</v>
      </c>
      <c r="AT286" s="223">
        <f t="shared" si="217"/>
        <v>0</v>
      </c>
    </row>
    <row r="287" spans="2:46" ht="15.75" x14ac:dyDescent="0.25">
      <c r="B287" s="229" t="s">
        <v>514</v>
      </c>
      <c r="C287" s="235" t="s">
        <v>263</v>
      </c>
      <c r="D287" s="243">
        <v>2000</v>
      </c>
      <c r="E287" s="232" t="s">
        <v>4</v>
      </c>
      <c r="F287" s="233">
        <v>2.88</v>
      </c>
      <c r="G287" s="234">
        <v>46133</v>
      </c>
      <c r="H287" s="235" t="s">
        <v>322</v>
      </c>
      <c r="I287" s="235"/>
      <c r="J287" s="236">
        <v>7.0000000000000007E-2</v>
      </c>
      <c r="K287" s="237">
        <f ca="1">ROUND(IF(ISERROR(OFFSET(Tabella!$A$1,MATCH(H287,Tabella!$A:$A,0)-1,MATCH(J287,Tabella!$A$1:$AC$1,0)-1)=TRUE),0,+OFFSET(Tabella!$A$1,MATCH(H287,Tabella!$A:$A,0)-1,MATCH(J287,Tabella!$A$1:$AC$1,0)-1)),4)</f>
        <v>1.25</v>
      </c>
      <c r="L287" s="238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238">
        <f ca="1">ROUND(IF(ISERROR(OFFSET(Rame!$A$1,MATCH(H287,Rame!$A:$A,0)-1,MATCH(J287,Rame!$A$1:$AA$1,0)-1)=TRUE),0,OFFSET(Rame!$A$1,MATCH(H287,Rame!$A:$A,0)-1,MATCH(J287,Rame!$A$1:$AA$1,0)-1))*IF(E287="Rame",1,0),4)</f>
        <v>0</v>
      </c>
      <c r="N287" s="238">
        <v>0</v>
      </c>
      <c r="O287" s="238">
        <v>1.73</v>
      </c>
      <c r="P287" s="238">
        <f ca="1">ROUND(+IF(ISERROR(OFFSET(Tabella!$G$1,MATCH(H287,Tabella!$G:$G,0)-1,MATCH(I287,Tabella!$G$1:$FG$1,0)-1)=TRUE),0,OFFSET(Tabella!$G$1,MATCH(H287,Tabella!$G:$G,0)-1,MATCH(I287,Tabella!$G$1:$AB$1,0)-1)),4)</f>
        <v>0</v>
      </c>
      <c r="Q287" s="238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238">
        <f ca="1">ROUND(IF(ISERROR(OFFSET(Rame!$F$1,MATCH(H287,Rame!$F:$F,0)-1,MATCH(I287,Rame!$F$1:$FF$1,0)-1)=TRUE),0,OFFSET(Rame!$F$1,MATCH(H287,Rame!$F:$F,0)-1,MATCH(I287,Rame!$F$1:$FF$1,0)-1))*IF(E287="Rame",1,0),4)</f>
        <v>0</v>
      </c>
      <c r="S287" s="238">
        <f ca="1">ROUND(IF(ISERROR(OFFSET(Bronzo!$A$1,MATCH(H287,Bronzo!$A:$A,0)-1,MATCH(I287,Bronzo!$A$1:$AA$1,0)-1)=TRUE),0,OFFSET(Bronzo!$A$1,MATCH(H287,Bronzo!$A:$A,0)-1,MATCH(I287,Bronzo!$A$1:$AA$1,0)-1)),4)</f>
        <v>0</v>
      </c>
      <c r="T287" s="238">
        <f t="shared" ca="1" si="219"/>
        <v>0</v>
      </c>
      <c r="U287" s="237"/>
      <c r="V287" s="238">
        <v>0</v>
      </c>
      <c r="W287" s="239">
        <f t="shared" ca="1" si="220"/>
        <v>1.73</v>
      </c>
      <c r="X287" s="240">
        <f t="shared" si="218"/>
        <v>140</v>
      </c>
      <c r="Y287" s="236">
        <v>4.5599999999999996</v>
      </c>
      <c r="Z287" s="236">
        <f t="shared" ca="1" si="221"/>
        <v>-0.05</v>
      </c>
      <c r="AA287" s="241">
        <v>46168</v>
      </c>
      <c r="AF287" s="225">
        <f t="shared" ca="1" si="212"/>
        <v>46236</v>
      </c>
      <c r="AG287" s="225" t="b">
        <f t="shared" si="222"/>
        <v>0</v>
      </c>
      <c r="AH287" s="242"/>
      <c r="AK287" s="223">
        <f t="shared" si="214"/>
        <v>22</v>
      </c>
      <c r="AL287" s="223">
        <f t="shared" si="215"/>
        <v>2026</v>
      </c>
      <c r="AS287" s="223">
        <f t="shared" si="216"/>
        <v>5</v>
      </c>
      <c r="AT287" s="223">
        <f t="shared" si="217"/>
        <v>2026</v>
      </c>
    </row>
    <row r="288" spans="2:46" ht="15.75" x14ac:dyDescent="0.25">
      <c r="B288" s="229" t="s">
        <v>514</v>
      </c>
      <c r="C288" s="235" t="s">
        <v>263</v>
      </c>
      <c r="D288" s="243">
        <v>1500</v>
      </c>
      <c r="E288" s="232" t="s">
        <v>4</v>
      </c>
      <c r="F288" s="233">
        <v>2.88</v>
      </c>
      <c r="G288" s="234">
        <v>46133</v>
      </c>
      <c r="H288" s="235" t="s">
        <v>314</v>
      </c>
      <c r="I288" s="235"/>
      <c r="J288" s="236">
        <v>7.0000000000000007E-2</v>
      </c>
      <c r="K288" s="237">
        <f ca="1">ROUND(IF(ISERROR(OFFSET(Tabella!$A$1,MATCH(H288,Tabella!$A:$A,0)-1,MATCH(J288,Tabella!$A$1:$AC$1,0)-1)=TRUE),0,+OFFSET(Tabella!$A$1,MATCH(H288,Tabella!$A:$A,0)-1,MATCH(J288,Tabella!$A$1:$AC$1,0)-1)),4)</f>
        <v>1.25</v>
      </c>
      <c r="L288" s="238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238">
        <f ca="1">ROUND(IF(ISERROR(OFFSET(Rame!$A$1,MATCH(H288,Rame!$A:$A,0)-1,MATCH(J288,Rame!$A$1:$AA$1,0)-1)=TRUE),0,OFFSET(Rame!$A$1,MATCH(H288,Rame!$A:$A,0)-1,MATCH(J288,Rame!$A$1:$AA$1,0)-1))*IF(E288="Rame",1,0),4)</f>
        <v>0</v>
      </c>
      <c r="N288" s="238">
        <v>0</v>
      </c>
      <c r="O288" s="238">
        <v>1.73</v>
      </c>
      <c r="P288" s="238">
        <f ca="1">ROUND(+IF(ISERROR(OFFSET(Tabella!$G$1,MATCH(H288,Tabella!$G:$G,0)-1,MATCH(I288,Tabella!$G$1:$FG$1,0)-1)=TRUE),0,OFFSET(Tabella!$G$1,MATCH(H288,Tabella!$G:$G,0)-1,MATCH(I288,Tabella!$G$1:$AB$1,0)-1)),4)</f>
        <v>0</v>
      </c>
      <c r="Q288" s="238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238">
        <f ca="1">ROUND(IF(ISERROR(OFFSET(Rame!$F$1,MATCH(H288,Rame!$F:$F,0)-1,MATCH(I288,Rame!$F$1:$FF$1,0)-1)=TRUE),0,OFFSET(Rame!$F$1,MATCH(H288,Rame!$F:$F,0)-1,MATCH(I288,Rame!$F$1:$FF$1,0)-1))*IF(E288="Rame",1,0),4)</f>
        <v>0</v>
      </c>
      <c r="S288" s="238">
        <f ca="1">ROUND(IF(ISERROR(OFFSET(Bronzo!$A$1,MATCH(H288,Bronzo!$A:$A,0)-1,MATCH(I288,Bronzo!$A$1:$AA$1,0)-1)=TRUE),0,OFFSET(Bronzo!$A$1,MATCH(H288,Bronzo!$A:$A,0)-1,MATCH(I288,Bronzo!$A$1:$AA$1,0)-1)),4)</f>
        <v>0</v>
      </c>
      <c r="T288" s="238">
        <f t="shared" ca="1" si="219"/>
        <v>0</v>
      </c>
      <c r="U288" s="237"/>
      <c r="V288" s="238">
        <v>0</v>
      </c>
      <c r="W288" s="239">
        <f t="shared" ca="1" si="220"/>
        <v>1.73</v>
      </c>
      <c r="X288" s="240">
        <f t="shared" si="218"/>
        <v>105</v>
      </c>
      <c r="Y288" s="236">
        <v>4.5599999999999996</v>
      </c>
      <c r="Z288" s="236">
        <f t="shared" ca="1" si="221"/>
        <v>-0.05</v>
      </c>
      <c r="AA288" s="241">
        <v>46168</v>
      </c>
      <c r="AF288" s="225">
        <f t="shared" ca="1" si="212"/>
        <v>46236</v>
      </c>
      <c r="AG288" s="225" t="b">
        <f t="shared" si="222"/>
        <v>0</v>
      </c>
      <c r="AH288" s="242"/>
      <c r="AK288" s="223">
        <f t="shared" si="214"/>
        <v>22</v>
      </c>
      <c r="AL288" s="223">
        <f t="shared" si="215"/>
        <v>2026</v>
      </c>
      <c r="AS288" s="223">
        <f t="shared" si="216"/>
        <v>5</v>
      </c>
      <c r="AT288" s="223">
        <f t="shared" si="217"/>
        <v>2026</v>
      </c>
    </row>
    <row r="289" spans="2:46" ht="15.75" x14ac:dyDescent="0.25">
      <c r="B289" s="229" t="s">
        <v>680</v>
      </c>
      <c r="C289" s="427" t="s">
        <v>212</v>
      </c>
      <c r="D289" s="428">
        <v>2434</v>
      </c>
      <c r="E289" s="232" t="s">
        <v>6</v>
      </c>
      <c r="F289" s="233">
        <v>11.21</v>
      </c>
      <c r="G289" s="234">
        <v>46133</v>
      </c>
      <c r="H289" s="235" t="s">
        <v>16</v>
      </c>
      <c r="I289" s="235"/>
      <c r="J289" s="236">
        <v>0.1</v>
      </c>
      <c r="K289" s="237">
        <f ca="1">ROUND(IF(ISERROR(OFFSET(Tabella!$A$1,MATCH(H289,Tabella!$A:$A,0)-1,MATCH(J289,Tabella!$A$1:$AC$1,0)-1)=TRUE),0,+OFFSET(Tabella!$A$1,MATCH(H289,Tabella!$A:$A,0)-1,MATCH(J289,Tabella!$A$1:$AC$1,0)-1)),4)</f>
        <v>0</v>
      </c>
      <c r="L289" s="238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238">
        <f ca="1">ROUND(IF(ISERROR(OFFSET(Rame!$A$1,MATCH(H289,Rame!$A:$A,0)-1,MATCH(J289,Rame!$A$1:$AA$1,0)-1)=TRUE),0,OFFSET(Rame!$A$1,MATCH(H289,Rame!$A:$A,0)-1,MATCH(J289,Rame!$A$1:$AA$1,0)-1))*IF(E289="Rame",1,0),4)</f>
        <v>0.82</v>
      </c>
      <c r="N289" s="238">
        <v>0</v>
      </c>
      <c r="O289" s="238">
        <f t="shared" ref="O289:O300" ca="1" si="223">ROUND(SUM(K289:N289),4)</f>
        <v>0.82</v>
      </c>
      <c r="P289" s="238">
        <f ca="1">ROUND(+IF(ISERROR(OFFSET(Tabella!$G$1,MATCH(H289,Tabella!$G:$G,0)-1,MATCH(I289,Tabella!$G$1:$FG$1,0)-1)=TRUE),0,OFFSET(Tabella!$G$1,MATCH(H289,Tabella!$G:$G,0)-1,MATCH(I289,Tabella!$G$1:$AB$1,0)-1)),4)</f>
        <v>0</v>
      </c>
      <c r="Q289" s="238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238">
        <f ca="1">ROUND(IF(ISERROR(OFFSET(Rame!$F$1,MATCH(H289,Rame!$F:$F,0)-1,MATCH(I289,Rame!$F$1:$FF$1,0)-1)=TRUE),0,OFFSET(Rame!$F$1,MATCH(H289,Rame!$F:$F,0)-1,MATCH(I289,Rame!$F$1:$FF$1,0)-1))*IF(E289="Rame",1,0),4)</f>
        <v>0</v>
      </c>
      <c r="S289" s="238">
        <f ca="1">ROUND(IF(ISERROR(OFFSET(Bronzo!$A$1,MATCH(H289,Bronzo!$A:$A,0)-1,MATCH(I289,Bronzo!$A$1:$AA$1,0)-1)=TRUE),0,OFFSET(Bronzo!$A$1,MATCH(H289,Bronzo!$A:$A,0)-1,MATCH(I289,Bronzo!$A$1:$AA$1,0)-1)),4)</f>
        <v>0</v>
      </c>
      <c r="T289" s="238">
        <f t="shared" ca="1" si="219"/>
        <v>0</v>
      </c>
      <c r="U289" s="237"/>
      <c r="V289" s="238">
        <v>0</v>
      </c>
      <c r="W289" s="239">
        <f t="shared" ca="1" si="220"/>
        <v>0.82</v>
      </c>
      <c r="X289" s="429">
        <f t="shared" si="218"/>
        <v>243.4</v>
      </c>
      <c r="Y289" s="236">
        <v>14.51</v>
      </c>
      <c r="Z289" s="236">
        <f t="shared" ca="1" si="221"/>
        <v>2.48</v>
      </c>
      <c r="AA289" s="241"/>
      <c r="AF289" s="225">
        <f t="shared" ca="1" si="212"/>
        <v>46236</v>
      </c>
      <c r="AG289" s="225" t="b">
        <f t="shared" si="222"/>
        <v>1</v>
      </c>
      <c r="AH289" s="242"/>
      <c r="AK289" s="223">
        <f t="shared" si="214"/>
        <v>0</v>
      </c>
      <c r="AL289" s="223">
        <f t="shared" si="215"/>
        <v>1900</v>
      </c>
      <c r="AS289" s="223">
        <f t="shared" si="216"/>
        <v>0</v>
      </c>
      <c r="AT289" s="223">
        <f t="shared" si="217"/>
        <v>0</v>
      </c>
    </row>
    <row r="290" spans="2:46" ht="15.75" x14ac:dyDescent="0.25">
      <c r="B290" s="229" t="s">
        <v>508</v>
      </c>
      <c r="C290" s="230" t="s">
        <v>212</v>
      </c>
      <c r="D290" s="231">
        <v>2600</v>
      </c>
      <c r="E290" s="232" t="s">
        <v>6</v>
      </c>
      <c r="F290" s="233">
        <v>11.21</v>
      </c>
      <c r="G290" s="234">
        <v>46133</v>
      </c>
      <c r="H290" s="235" t="s">
        <v>16</v>
      </c>
      <c r="I290" s="235"/>
      <c r="J290" s="236">
        <v>0.1</v>
      </c>
      <c r="K290" s="237">
        <f ca="1">ROUND(IF(ISERROR(OFFSET(Tabella!$A$1,MATCH(H290,Tabella!$A:$A,0)-1,MATCH(J290,Tabella!$A$1:$AC$1,0)-1)=TRUE),0,+OFFSET(Tabella!$A$1,MATCH(H290,Tabella!$A:$A,0)-1,MATCH(J290,Tabella!$A$1:$AC$1,0)-1)),4)</f>
        <v>0</v>
      </c>
      <c r="L290" s="238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238">
        <f ca="1">ROUND(IF(ISERROR(OFFSET(Rame!$A$1,MATCH(H290,Rame!$A:$A,0)-1,MATCH(J290,Rame!$A$1:$AA$1,0)-1)=TRUE),0,OFFSET(Rame!$A$1,MATCH(H290,Rame!$A:$A,0)-1,MATCH(J290,Rame!$A$1:$AA$1,0)-1))*IF(E290="Rame",1,0),4)</f>
        <v>0.82</v>
      </c>
      <c r="N290" s="238">
        <v>0</v>
      </c>
      <c r="O290" s="238">
        <f t="shared" ref="O290" ca="1" si="224">ROUND(SUM(K290:N290),4)</f>
        <v>0.82</v>
      </c>
      <c r="P290" s="238">
        <f ca="1">ROUND(+IF(ISERROR(OFFSET(Tabella!$G$1,MATCH(H290,Tabella!$G:$G,0)-1,MATCH(I290,Tabella!$G$1:$FG$1,0)-1)=TRUE),0,OFFSET(Tabella!$G$1,MATCH(H290,Tabella!$G:$G,0)-1,MATCH(I290,Tabella!$G$1:$AB$1,0)-1)),4)</f>
        <v>0</v>
      </c>
      <c r="Q290" s="238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238">
        <f ca="1">ROUND(IF(ISERROR(OFFSET(Rame!$F$1,MATCH(H290,Rame!$F:$F,0)-1,MATCH(I290,Rame!$F$1:$FF$1,0)-1)=TRUE),0,OFFSET(Rame!$F$1,MATCH(H290,Rame!$F:$F,0)-1,MATCH(I290,Rame!$F$1:$FF$1,0)-1))*IF(E290="Rame",1,0),4)</f>
        <v>0</v>
      </c>
      <c r="S290" s="238">
        <f ca="1">ROUND(IF(ISERROR(OFFSET(Bronzo!$A$1,MATCH(H290,Bronzo!$A:$A,0)-1,MATCH(I290,Bronzo!$A$1:$AA$1,0)-1)=TRUE),0,OFFSET(Bronzo!$A$1,MATCH(H290,Bronzo!$A:$A,0)-1,MATCH(I290,Bronzo!$A$1:$AA$1,0)-1)),4)</f>
        <v>0</v>
      </c>
      <c r="T290" s="238">
        <f t="shared" ref="T290" ca="1" si="225">ROUND(SUM(P290:S290),4)</f>
        <v>0</v>
      </c>
      <c r="U290" s="237"/>
      <c r="V290" s="238">
        <v>0</v>
      </c>
      <c r="W290" s="239">
        <f t="shared" ref="W290" ca="1" si="226">ROUND(+O290+T290+U290+V290,4)</f>
        <v>0.82</v>
      </c>
      <c r="X290" s="240">
        <f t="shared" ref="X290" si="227">ROUND(+J290*D290,4)</f>
        <v>260</v>
      </c>
      <c r="Y290" s="236">
        <v>14.51</v>
      </c>
      <c r="Z290" s="236">
        <f t="shared" ref="Z290" ca="1" si="228">ROUND(+Y290-W290-F290,4)</f>
        <v>2.48</v>
      </c>
      <c r="AA290" s="241">
        <v>46161</v>
      </c>
      <c r="AE290" s="223" t="s">
        <v>417</v>
      </c>
      <c r="AF290" s="225">
        <f t="shared" ca="1" si="212"/>
        <v>46236</v>
      </c>
      <c r="AG290" s="225" t="b">
        <f t="shared" si="222"/>
        <v>0</v>
      </c>
      <c r="AH290" s="242"/>
      <c r="AK290" s="223">
        <f t="shared" ref="AK290" si="229">WEEKNUM(AA290)</f>
        <v>21</v>
      </c>
      <c r="AL290" s="223">
        <f t="shared" ref="AL290" si="230">YEAR(AA290)</f>
        <v>2026</v>
      </c>
      <c r="AS290" s="223">
        <f t="shared" ref="AS290" si="231">IF(AA290="",0,MONTH(AA290))</f>
        <v>5</v>
      </c>
      <c r="AT290" s="223">
        <f t="shared" ref="AT290" si="232">IF(AA290="",0,YEAR(AA290))</f>
        <v>2026</v>
      </c>
    </row>
    <row r="291" spans="2:46" ht="15.75" x14ac:dyDescent="0.25">
      <c r="B291" s="229" t="s">
        <v>679</v>
      </c>
      <c r="C291" s="427" t="s">
        <v>212</v>
      </c>
      <c r="D291" s="428">
        <v>1023</v>
      </c>
      <c r="E291" s="232" t="s">
        <v>6</v>
      </c>
      <c r="F291" s="233">
        <v>11.21</v>
      </c>
      <c r="G291" s="234">
        <v>46133</v>
      </c>
      <c r="H291" s="235" t="s">
        <v>12</v>
      </c>
      <c r="I291" s="235"/>
      <c r="J291" s="236">
        <v>0.1</v>
      </c>
      <c r="K291" s="237">
        <f ca="1">ROUND(IF(ISERROR(OFFSET(Tabella!$A$1,MATCH(H291,Tabella!$A:$A,0)-1,MATCH(J291,Tabella!$A$1:$AC$1,0)-1)=TRUE),0,+OFFSET(Tabella!$A$1,MATCH(H291,Tabella!$A:$A,0)-1,MATCH(J291,Tabella!$A$1:$AC$1,0)-1)),4)</f>
        <v>0</v>
      </c>
      <c r="L291" s="238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238">
        <f ca="1">ROUND(IF(ISERROR(OFFSET(Rame!$A$1,MATCH(H291,Rame!$A:$A,0)-1,MATCH(J291,Rame!$A$1:$AA$1,0)-1)=TRUE),0,OFFSET(Rame!$A$1,MATCH(H291,Rame!$A:$A,0)-1,MATCH(J291,Rame!$A$1:$AA$1,0)-1))*IF(E291="Rame",1,0),4)</f>
        <v>1.1000000000000001</v>
      </c>
      <c r="N291" s="238">
        <v>0</v>
      </c>
      <c r="O291" s="238">
        <f t="shared" ca="1" si="223"/>
        <v>1.1000000000000001</v>
      </c>
      <c r="P291" s="238">
        <f ca="1">ROUND(+IF(ISERROR(OFFSET(Tabella!$G$1,MATCH(H291,Tabella!$G:$G,0)-1,MATCH(I291,Tabella!$G$1:$FG$1,0)-1)=TRUE),0,OFFSET(Tabella!$G$1,MATCH(H291,Tabella!$G:$G,0)-1,MATCH(I291,Tabella!$G$1:$AB$1,0)-1)),4)</f>
        <v>0</v>
      </c>
      <c r="Q291" s="238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238">
        <f ca="1">ROUND(IF(ISERROR(OFFSET(Rame!$F$1,MATCH(H291,Rame!$F:$F,0)-1,MATCH(I291,Rame!$F$1:$FF$1,0)-1)=TRUE),0,OFFSET(Rame!$F$1,MATCH(H291,Rame!$F:$F,0)-1,MATCH(I291,Rame!$F$1:$FF$1,0)-1))*IF(E291="Rame",1,0),4)</f>
        <v>0</v>
      </c>
      <c r="S291" s="238">
        <f ca="1">ROUND(IF(ISERROR(OFFSET(Bronzo!$A$1,MATCH(H291,Bronzo!$A:$A,0)-1,MATCH(I291,Bronzo!$A$1:$AA$1,0)-1)=TRUE),0,OFFSET(Bronzo!$A$1,MATCH(H291,Bronzo!$A:$A,0)-1,MATCH(I291,Bronzo!$A$1:$AA$1,0)-1)),4)</f>
        <v>0</v>
      </c>
      <c r="T291" s="238">
        <f t="shared" ca="1" si="219"/>
        <v>0</v>
      </c>
      <c r="U291" s="237"/>
      <c r="V291" s="238">
        <v>0</v>
      </c>
      <c r="W291" s="239">
        <f t="shared" ca="1" si="220"/>
        <v>1.1000000000000001</v>
      </c>
      <c r="X291" s="429">
        <f t="shared" si="218"/>
        <v>102.3</v>
      </c>
      <c r="Y291" s="236">
        <v>14.91</v>
      </c>
      <c r="Z291" s="236">
        <f t="shared" ca="1" si="221"/>
        <v>2.6</v>
      </c>
      <c r="AA291" s="241"/>
      <c r="AF291" s="225">
        <f t="shared" ca="1" si="212"/>
        <v>46236</v>
      </c>
      <c r="AG291" s="225" t="b">
        <f t="shared" si="222"/>
        <v>1</v>
      </c>
      <c r="AH291" s="242"/>
      <c r="AK291" s="223">
        <f t="shared" si="214"/>
        <v>0</v>
      </c>
      <c r="AL291" s="223">
        <f t="shared" si="215"/>
        <v>1900</v>
      </c>
      <c r="AS291" s="223">
        <f t="shared" si="216"/>
        <v>0</v>
      </c>
      <c r="AT291" s="223">
        <f t="shared" si="217"/>
        <v>0</v>
      </c>
    </row>
    <row r="292" spans="2:46" ht="15.75" x14ac:dyDescent="0.25">
      <c r="B292" s="229" t="s">
        <v>753</v>
      </c>
      <c r="C292" s="427" t="s">
        <v>212</v>
      </c>
      <c r="D292" s="428">
        <v>2524</v>
      </c>
      <c r="E292" s="232" t="s">
        <v>6</v>
      </c>
      <c r="F292" s="233">
        <v>11.21</v>
      </c>
      <c r="G292" s="234">
        <v>46133</v>
      </c>
      <c r="H292" s="235" t="s">
        <v>18</v>
      </c>
      <c r="I292" s="235"/>
      <c r="J292" s="236">
        <v>0.1</v>
      </c>
      <c r="K292" s="237">
        <f ca="1">ROUND(IF(ISERROR(OFFSET(Tabella!$A$1,MATCH(H292,Tabella!$A:$A,0)-1,MATCH(J292,Tabella!$A$1:$AC$1,0)-1)=TRUE),0,+OFFSET(Tabella!$A$1,MATCH(H292,Tabella!$A:$A,0)-1,MATCH(J292,Tabella!$A$1:$AC$1,0)-1)),4)</f>
        <v>0</v>
      </c>
      <c r="L292" s="238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238">
        <f ca="1">ROUND(IF(ISERROR(OFFSET(Rame!$A$1,MATCH(H292,Rame!$A:$A,0)-1,MATCH(J292,Rame!$A$1:$AA$1,0)-1)=TRUE),0,OFFSET(Rame!$A$1,MATCH(H292,Rame!$A:$A,0)-1,MATCH(J292,Rame!$A$1:$AA$1,0)-1))*IF(E292="Rame",1,0),4)</f>
        <v>0.78</v>
      </c>
      <c r="N292" s="238">
        <v>0</v>
      </c>
      <c r="O292" s="238">
        <f t="shared" ca="1" si="223"/>
        <v>0.78</v>
      </c>
      <c r="P292" s="238">
        <f ca="1">ROUND(+IF(ISERROR(OFFSET(Tabella!$G$1,MATCH(H292,Tabella!$G:$G,0)-1,MATCH(I292,Tabella!$G$1:$FG$1,0)-1)=TRUE),0,OFFSET(Tabella!$G$1,MATCH(H292,Tabella!$G:$G,0)-1,MATCH(I292,Tabella!$G$1:$AB$1,0)-1)),4)</f>
        <v>0</v>
      </c>
      <c r="Q292" s="238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238">
        <f ca="1">ROUND(IF(ISERROR(OFFSET(Rame!$F$1,MATCH(H292,Rame!$F:$F,0)-1,MATCH(I292,Rame!$F$1:$FF$1,0)-1)=TRUE),0,OFFSET(Rame!$F$1,MATCH(H292,Rame!$F:$F,0)-1,MATCH(I292,Rame!$F$1:$FF$1,0)-1))*IF(E292="Rame",1,0),4)</f>
        <v>0</v>
      </c>
      <c r="S292" s="238">
        <f ca="1">ROUND(IF(ISERROR(OFFSET(Bronzo!$A$1,MATCH(H292,Bronzo!$A:$A,0)-1,MATCH(I292,Bronzo!$A$1:$AA$1,0)-1)=TRUE),0,OFFSET(Bronzo!$A$1,MATCH(H292,Bronzo!$A:$A,0)-1,MATCH(I292,Bronzo!$A$1:$AA$1,0)-1)),4)</f>
        <v>0</v>
      </c>
      <c r="T292" s="238">
        <f t="shared" ca="1" si="219"/>
        <v>0</v>
      </c>
      <c r="U292" s="237"/>
      <c r="V292" s="238">
        <v>0</v>
      </c>
      <c r="W292" s="239">
        <f t="shared" ca="1" si="220"/>
        <v>0.78</v>
      </c>
      <c r="X292" s="429">
        <f t="shared" si="218"/>
        <v>252.4</v>
      </c>
      <c r="Y292" s="236">
        <v>14.46</v>
      </c>
      <c r="Z292" s="236">
        <f t="shared" ca="1" si="221"/>
        <v>2.4700000000000002</v>
      </c>
      <c r="AA292" s="241"/>
      <c r="AF292" s="225">
        <f t="shared" ca="1" si="212"/>
        <v>46236</v>
      </c>
      <c r="AG292" s="225" t="b">
        <f t="shared" si="222"/>
        <v>1</v>
      </c>
      <c r="AH292" s="242"/>
      <c r="AK292" s="223">
        <f t="shared" si="214"/>
        <v>0</v>
      </c>
      <c r="AL292" s="223">
        <f t="shared" si="215"/>
        <v>1900</v>
      </c>
      <c r="AS292" s="223">
        <f t="shared" si="216"/>
        <v>0</v>
      </c>
      <c r="AT292" s="223">
        <f t="shared" si="217"/>
        <v>0</v>
      </c>
    </row>
    <row r="293" spans="2:46" ht="15.75" x14ac:dyDescent="0.25">
      <c r="B293" s="229" t="s">
        <v>745</v>
      </c>
      <c r="C293" s="427" t="s">
        <v>212</v>
      </c>
      <c r="D293" s="428">
        <v>1686</v>
      </c>
      <c r="E293" s="232" t="s">
        <v>6</v>
      </c>
      <c r="F293" s="233">
        <v>11.21</v>
      </c>
      <c r="G293" s="234">
        <v>46133</v>
      </c>
      <c r="H293" s="235" t="s">
        <v>16</v>
      </c>
      <c r="I293" s="235"/>
      <c r="J293" s="236">
        <v>0.1</v>
      </c>
      <c r="K293" s="237">
        <f ca="1">ROUND(IF(ISERROR(OFFSET(Tabella!$A$1,MATCH(H293,Tabella!$A:$A,0)-1,MATCH(J293,Tabella!$A$1:$AC$1,0)-1)=TRUE),0,+OFFSET(Tabella!$A$1,MATCH(H293,Tabella!$A:$A,0)-1,MATCH(J293,Tabella!$A$1:$AC$1,0)-1)),4)</f>
        <v>0</v>
      </c>
      <c r="L293" s="238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238">
        <f ca="1">ROUND(IF(ISERROR(OFFSET(Rame!$A$1,MATCH(H293,Rame!$A:$A,0)-1,MATCH(J293,Rame!$A$1:$AA$1,0)-1)=TRUE),0,OFFSET(Rame!$A$1,MATCH(H293,Rame!$A:$A,0)-1,MATCH(J293,Rame!$A$1:$AA$1,0)-1))*IF(E293="Rame",1,0),4)</f>
        <v>0.82</v>
      </c>
      <c r="N293" s="238">
        <v>0</v>
      </c>
      <c r="O293" s="238">
        <f t="shared" ca="1" si="223"/>
        <v>0.82</v>
      </c>
      <c r="P293" s="238">
        <f ca="1">ROUND(+IF(ISERROR(OFFSET(Tabella!$G$1,MATCH(H293,Tabella!$G:$G,0)-1,MATCH(I293,Tabella!$G$1:$FG$1,0)-1)=TRUE),0,OFFSET(Tabella!$G$1,MATCH(H293,Tabella!$G:$G,0)-1,MATCH(I293,Tabella!$G$1:$AB$1,0)-1)),4)</f>
        <v>0</v>
      </c>
      <c r="Q293" s="238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238">
        <f ca="1">ROUND(IF(ISERROR(OFFSET(Rame!$F$1,MATCH(H293,Rame!$F:$F,0)-1,MATCH(I293,Rame!$F$1:$FF$1,0)-1)=TRUE),0,OFFSET(Rame!$F$1,MATCH(H293,Rame!$F:$F,0)-1,MATCH(I293,Rame!$F$1:$FF$1,0)-1))*IF(E293="Rame",1,0),4)</f>
        <v>0</v>
      </c>
      <c r="S293" s="238">
        <f ca="1">ROUND(IF(ISERROR(OFFSET(Bronzo!$A$1,MATCH(H293,Bronzo!$A:$A,0)-1,MATCH(I293,Bronzo!$A$1:$AA$1,0)-1)=TRUE),0,OFFSET(Bronzo!$A$1,MATCH(H293,Bronzo!$A:$A,0)-1,MATCH(I293,Bronzo!$A$1:$AA$1,0)-1)),4)</f>
        <v>0</v>
      </c>
      <c r="T293" s="238">
        <f t="shared" ca="1" si="219"/>
        <v>0</v>
      </c>
      <c r="U293" s="237"/>
      <c r="V293" s="238">
        <v>0</v>
      </c>
      <c r="W293" s="239">
        <f t="shared" ca="1" si="220"/>
        <v>0.82</v>
      </c>
      <c r="X293" s="429">
        <f t="shared" si="218"/>
        <v>168.6</v>
      </c>
      <c r="Y293" s="236">
        <v>14.51</v>
      </c>
      <c r="Z293" s="236">
        <f t="shared" ca="1" si="221"/>
        <v>2.48</v>
      </c>
      <c r="AA293" s="241"/>
      <c r="AF293" s="225">
        <f t="shared" ca="1" si="212"/>
        <v>46236</v>
      </c>
      <c r="AG293" s="225" t="b">
        <f t="shared" si="222"/>
        <v>1</v>
      </c>
      <c r="AH293" s="242"/>
      <c r="AK293" s="223">
        <f t="shared" si="214"/>
        <v>0</v>
      </c>
      <c r="AL293" s="223">
        <f t="shared" si="215"/>
        <v>1900</v>
      </c>
      <c r="AS293" s="223">
        <f t="shared" si="216"/>
        <v>0</v>
      </c>
      <c r="AT293" s="223">
        <f t="shared" si="217"/>
        <v>0</v>
      </c>
    </row>
    <row r="294" spans="2:46" ht="15.75" x14ac:dyDescent="0.25">
      <c r="B294" s="229" t="s">
        <v>517</v>
      </c>
      <c r="C294" s="235" t="s">
        <v>212</v>
      </c>
      <c r="D294" s="243">
        <v>950</v>
      </c>
      <c r="E294" s="232" t="s">
        <v>6</v>
      </c>
      <c r="F294" s="233">
        <v>11.21</v>
      </c>
      <c r="G294" s="234">
        <v>46133</v>
      </c>
      <c r="H294" s="235" t="s">
        <v>18</v>
      </c>
      <c r="I294" s="235"/>
      <c r="J294" s="236">
        <v>0.1</v>
      </c>
      <c r="K294" s="237">
        <f ca="1">ROUND(IF(ISERROR(OFFSET(Tabella!$A$1,MATCH(H294,Tabella!$A:$A,0)-1,MATCH(J294,Tabella!$A$1:$AC$1,0)-1)=TRUE),0,+OFFSET(Tabella!$A$1,MATCH(H294,Tabella!$A:$A,0)-1,MATCH(J294,Tabella!$A$1:$AC$1,0)-1)),4)</f>
        <v>0</v>
      </c>
      <c r="L294" s="238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238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238">
        <v>0</v>
      </c>
      <c r="O294" s="238">
        <f t="shared" ca="1" si="223"/>
        <v>0.78</v>
      </c>
      <c r="P294" s="238">
        <f ca="1">ROUND(+IF(ISERROR(OFFSET(Tabella!$G$1,MATCH(H294,Tabella!$G:$G,0)-1,MATCH(I294,Tabella!$G$1:$FG$1,0)-1)=TRUE),0,OFFSET(Tabella!$G$1,MATCH(H294,Tabella!$G:$G,0)-1,MATCH(I294,Tabella!$G$1:$AB$1,0)-1)),4)</f>
        <v>0</v>
      </c>
      <c r="Q294" s="238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238">
        <f ca="1">ROUND(IF(ISERROR(OFFSET(Rame!$F$1,MATCH(H294,Rame!$F:$F,0)-1,MATCH(I294,Rame!$F$1:$FF$1,0)-1)=TRUE),0,OFFSET(Rame!$F$1,MATCH(H294,Rame!$F:$F,0)-1,MATCH(I294,Rame!$F$1:$FF$1,0)-1))*IF(E294="Rame",1,0),4)</f>
        <v>0</v>
      </c>
      <c r="S294" s="238">
        <f ca="1">ROUND(IF(ISERROR(OFFSET(Bronzo!$A$1,MATCH(H294,Bronzo!$A:$A,0)-1,MATCH(I294,Bronzo!$A$1:$AA$1,0)-1)=TRUE),0,OFFSET(Bronzo!$A$1,MATCH(H294,Bronzo!$A:$A,0)-1,MATCH(I294,Bronzo!$A$1:$AA$1,0)-1)),4)</f>
        <v>0</v>
      </c>
      <c r="T294" s="238">
        <f t="shared" ca="1" si="219"/>
        <v>0</v>
      </c>
      <c r="U294" s="237"/>
      <c r="V294" s="238">
        <v>0</v>
      </c>
      <c r="W294" s="239">
        <f t="shared" ca="1" si="220"/>
        <v>0.78</v>
      </c>
      <c r="X294" s="240">
        <f t="shared" si="218"/>
        <v>95</v>
      </c>
      <c r="Y294" s="236">
        <v>14.51</v>
      </c>
      <c r="Z294" s="236">
        <f t="shared" ca="1" si="221"/>
        <v>2.52</v>
      </c>
      <c r="AA294" s="241">
        <v>46181</v>
      </c>
      <c r="AF294" s="225">
        <f t="shared" ca="1" si="212"/>
        <v>46236</v>
      </c>
      <c r="AG294" s="225" t="b">
        <f t="shared" si="222"/>
        <v>0</v>
      </c>
      <c r="AH294" s="242"/>
      <c r="AK294" s="223">
        <f t="shared" si="214"/>
        <v>24</v>
      </c>
      <c r="AL294" s="223">
        <f t="shared" si="215"/>
        <v>2026</v>
      </c>
      <c r="AS294" s="223">
        <f t="shared" si="216"/>
        <v>6</v>
      </c>
      <c r="AT294" s="223">
        <f t="shared" si="217"/>
        <v>2026</v>
      </c>
    </row>
    <row r="295" spans="2:46" ht="15.75" x14ac:dyDescent="0.25">
      <c r="B295" s="229" t="s">
        <v>518</v>
      </c>
      <c r="C295" s="235" t="s">
        <v>212</v>
      </c>
      <c r="D295" s="243">
        <v>1300</v>
      </c>
      <c r="E295" s="232" t="s">
        <v>6</v>
      </c>
      <c r="F295" s="233">
        <v>11.21</v>
      </c>
      <c r="G295" s="234">
        <v>46133</v>
      </c>
      <c r="H295" s="235" t="s">
        <v>18</v>
      </c>
      <c r="I295" s="235"/>
      <c r="J295" s="236">
        <v>0.1</v>
      </c>
      <c r="K295" s="237">
        <f ca="1">ROUND(IF(ISERROR(OFFSET(Tabella!$A$1,MATCH(H295,Tabella!$A:$A,0)-1,MATCH(J295,Tabella!$A$1:$AC$1,0)-1)=TRUE),0,+OFFSET(Tabella!$A$1,MATCH(H295,Tabella!$A:$A,0)-1,MATCH(J295,Tabella!$A$1:$AC$1,0)-1)),4)</f>
        <v>0</v>
      </c>
      <c r="L295" s="238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238">
        <f ca="1">ROUND(IF(ISERROR(OFFSET(Rame!$A$1,MATCH(H295,Rame!$A:$A,0)-1,MATCH(J295,Rame!$A$1:$AA$1,0)-1)=TRUE),0,OFFSET(Rame!$A$1,MATCH(H295,Rame!$A:$A,0)-1,MATCH(J295,Rame!$A$1:$AA$1,0)-1))*IF(E295="Rame",1,0),4)</f>
        <v>0.78</v>
      </c>
      <c r="N295" s="238">
        <v>0</v>
      </c>
      <c r="O295" s="238">
        <f t="shared" ca="1" si="223"/>
        <v>0.78</v>
      </c>
      <c r="P295" s="238">
        <f ca="1">ROUND(+IF(ISERROR(OFFSET(Tabella!$G$1,MATCH(H295,Tabella!$G:$G,0)-1,MATCH(I295,Tabella!$G$1:$FG$1,0)-1)=TRUE),0,OFFSET(Tabella!$G$1,MATCH(H295,Tabella!$G:$G,0)-1,MATCH(I295,Tabella!$G$1:$AB$1,0)-1)),4)</f>
        <v>0</v>
      </c>
      <c r="Q295" s="238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238">
        <f ca="1">ROUND(IF(ISERROR(OFFSET(Rame!$F$1,MATCH(H295,Rame!$F:$F,0)-1,MATCH(I295,Rame!$F$1:$FF$1,0)-1)=TRUE),0,OFFSET(Rame!$F$1,MATCH(H295,Rame!$F:$F,0)-1,MATCH(I295,Rame!$F$1:$FF$1,0)-1))*IF(E295="Rame",1,0),4)</f>
        <v>0</v>
      </c>
      <c r="S295" s="238">
        <f ca="1">ROUND(IF(ISERROR(OFFSET(Bronzo!$A$1,MATCH(H295,Bronzo!$A:$A,0)-1,MATCH(I295,Bronzo!$A$1:$AA$1,0)-1)=TRUE),0,OFFSET(Bronzo!$A$1,MATCH(H295,Bronzo!$A:$A,0)-1,MATCH(I295,Bronzo!$A$1:$AA$1,0)-1)),4)</f>
        <v>0</v>
      </c>
      <c r="T295" s="238">
        <f t="shared" ca="1" si="219"/>
        <v>0</v>
      </c>
      <c r="U295" s="237"/>
      <c r="V295" s="238">
        <v>0</v>
      </c>
      <c r="W295" s="239">
        <f t="shared" ca="1" si="220"/>
        <v>0.78</v>
      </c>
      <c r="X295" s="240">
        <f t="shared" si="218"/>
        <v>130</v>
      </c>
      <c r="Y295" s="236">
        <v>14.51</v>
      </c>
      <c r="Z295" s="236">
        <f t="shared" ca="1" si="221"/>
        <v>2.52</v>
      </c>
      <c r="AA295" s="241">
        <v>46181</v>
      </c>
      <c r="AF295" s="225">
        <f t="shared" ca="1" si="212"/>
        <v>46236</v>
      </c>
      <c r="AG295" s="225" t="b">
        <f t="shared" si="222"/>
        <v>0</v>
      </c>
      <c r="AH295" s="242"/>
      <c r="AK295" s="223">
        <f t="shared" si="214"/>
        <v>24</v>
      </c>
      <c r="AL295" s="223">
        <f t="shared" si="215"/>
        <v>2026</v>
      </c>
      <c r="AS295" s="223">
        <f t="shared" si="216"/>
        <v>6</v>
      </c>
      <c r="AT295" s="223">
        <f t="shared" si="217"/>
        <v>2026</v>
      </c>
    </row>
    <row r="296" spans="2:46" ht="15.75" x14ac:dyDescent="0.25">
      <c r="B296" s="229" t="s">
        <v>518</v>
      </c>
      <c r="C296" s="235" t="s">
        <v>212</v>
      </c>
      <c r="D296" s="243">
        <v>1100</v>
      </c>
      <c r="E296" s="232" t="s">
        <v>6</v>
      </c>
      <c r="F296" s="233">
        <v>11.21</v>
      </c>
      <c r="G296" s="234">
        <v>46133</v>
      </c>
      <c r="H296" s="235" t="s">
        <v>14</v>
      </c>
      <c r="I296" s="235"/>
      <c r="J296" s="236">
        <v>0.1</v>
      </c>
      <c r="K296" s="237">
        <f ca="1">ROUND(IF(ISERROR(OFFSET(Tabella!$A$1,MATCH(H296,Tabella!$A:$A,0)-1,MATCH(J296,Tabella!$A$1:$AC$1,0)-1)=TRUE),0,+OFFSET(Tabella!$A$1,MATCH(H296,Tabella!$A:$A,0)-1,MATCH(J296,Tabella!$A$1:$AC$1,0)-1)),4)</f>
        <v>0</v>
      </c>
      <c r="L296" s="238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238">
        <f ca="1">ROUND(IF(ISERROR(OFFSET(Rame!$A$1,MATCH(H296,Rame!$A:$A,0)-1,MATCH(J296,Rame!$A$1:$AA$1,0)-1)=TRUE),0,OFFSET(Rame!$A$1,MATCH(H296,Rame!$A:$A,0)-1,MATCH(J296,Rame!$A$1:$AA$1,0)-1))*IF(E296="Rame",1,0),4)</f>
        <v>0.95</v>
      </c>
      <c r="N296" s="238">
        <v>0</v>
      </c>
      <c r="O296" s="238">
        <f t="shared" ca="1" si="223"/>
        <v>0.95</v>
      </c>
      <c r="P296" s="238">
        <f ca="1">ROUND(+IF(ISERROR(OFFSET(Tabella!$G$1,MATCH(H296,Tabella!$G:$G,0)-1,MATCH(I296,Tabella!$G$1:$FG$1,0)-1)=TRUE),0,OFFSET(Tabella!$G$1,MATCH(H296,Tabella!$G:$G,0)-1,MATCH(I296,Tabella!$G$1:$AB$1,0)-1)),4)</f>
        <v>0</v>
      </c>
      <c r="Q296" s="238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238">
        <f ca="1">ROUND(IF(ISERROR(OFFSET(Rame!$F$1,MATCH(H296,Rame!$F:$F,0)-1,MATCH(I296,Rame!$F$1:$FF$1,0)-1)=TRUE),0,OFFSET(Rame!$F$1,MATCH(H296,Rame!$F:$F,0)-1,MATCH(I296,Rame!$F$1:$FF$1,0)-1))*IF(E296="Rame",1,0),4)</f>
        <v>0</v>
      </c>
      <c r="S296" s="238">
        <f ca="1">ROUND(IF(ISERROR(OFFSET(Bronzo!$A$1,MATCH(H296,Bronzo!$A:$A,0)-1,MATCH(I296,Bronzo!$A$1:$AA$1,0)-1)=TRUE),0,OFFSET(Bronzo!$A$1,MATCH(H296,Bronzo!$A:$A,0)-1,MATCH(I296,Bronzo!$A$1:$AA$1,0)-1)),4)</f>
        <v>0</v>
      </c>
      <c r="T296" s="238">
        <f t="shared" ca="1" si="219"/>
        <v>0</v>
      </c>
      <c r="U296" s="237"/>
      <c r="V296" s="238">
        <v>0</v>
      </c>
      <c r="W296" s="239">
        <f t="shared" ca="1" si="220"/>
        <v>0.95</v>
      </c>
      <c r="X296" s="240">
        <f t="shared" si="218"/>
        <v>110</v>
      </c>
      <c r="Y296" s="236">
        <v>14.61</v>
      </c>
      <c r="Z296" s="236">
        <f t="shared" ca="1" si="221"/>
        <v>2.4500000000000002</v>
      </c>
      <c r="AA296" s="241">
        <v>46188</v>
      </c>
      <c r="AF296" s="225">
        <f t="shared" ca="1" si="212"/>
        <v>46236</v>
      </c>
      <c r="AG296" s="225" t="b">
        <f t="shared" si="222"/>
        <v>0</v>
      </c>
      <c r="AH296" s="242"/>
      <c r="AK296" s="223">
        <f t="shared" si="214"/>
        <v>25</v>
      </c>
      <c r="AL296" s="223">
        <f t="shared" si="215"/>
        <v>2026</v>
      </c>
      <c r="AS296" s="223">
        <f t="shared" si="216"/>
        <v>6</v>
      </c>
      <c r="AT296" s="223">
        <f t="shared" si="217"/>
        <v>2026</v>
      </c>
    </row>
    <row r="297" spans="2:46" ht="15.75" x14ac:dyDescent="0.25">
      <c r="B297" s="229" t="s">
        <v>518</v>
      </c>
      <c r="C297" s="235" t="s">
        <v>212</v>
      </c>
      <c r="D297" s="243">
        <v>800</v>
      </c>
      <c r="E297" s="232" t="s">
        <v>6</v>
      </c>
      <c r="F297" s="233">
        <v>11.21</v>
      </c>
      <c r="G297" s="234">
        <v>46133</v>
      </c>
      <c r="H297" s="235" t="s">
        <v>16</v>
      </c>
      <c r="I297" s="235"/>
      <c r="J297" s="236">
        <v>0.1</v>
      </c>
      <c r="K297" s="237">
        <f ca="1">ROUND(IF(ISERROR(OFFSET(Tabella!$A$1,MATCH(H297,Tabella!$A:$A,0)-1,MATCH(J297,Tabella!$A$1:$AC$1,0)-1)=TRUE),0,+OFFSET(Tabella!$A$1,MATCH(H297,Tabella!$A:$A,0)-1,MATCH(J297,Tabella!$A$1:$AC$1,0)-1)),4)</f>
        <v>0</v>
      </c>
      <c r="L297" s="238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238">
        <f ca="1">ROUND(IF(ISERROR(OFFSET(Rame!$A$1,MATCH(H297,Rame!$A:$A,0)-1,MATCH(J297,Rame!$A$1:$AA$1,0)-1)=TRUE),0,OFFSET(Rame!$A$1,MATCH(H297,Rame!$A:$A,0)-1,MATCH(J297,Rame!$A$1:$AA$1,0)-1))*IF(E297="Rame",1,0),4)</f>
        <v>0.82</v>
      </c>
      <c r="N297" s="238">
        <v>0</v>
      </c>
      <c r="O297" s="238">
        <f t="shared" ca="1" si="223"/>
        <v>0.82</v>
      </c>
      <c r="P297" s="238">
        <f ca="1">ROUND(+IF(ISERROR(OFFSET(Tabella!$G$1,MATCH(H297,Tabella!$G:$G,0)-1,MATCH(I297,Tabella!$G$1:$FG$1,0)-1)=TRUE),0,OFFSET(Tabella!$G$1,MATCH(H297,Tabella!$G:$G,0)-1,MATCH(I297,Tabella!$G$1:$AB$1,0)-1)),4)</f>
        <v>0</v>
      </c>
      <c r="Q297" s="238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238">
        <f ca="1">ROUND(IF(ISERROR(OFFSET(Rame!$F$1,MATCH(H297,Rame!$F:$F,0)-1,MATCH(I297,Rame!$F$1:$FF$1,0)-1)=TRUE),0,OFFSET(Rame!$F$1,MATCH(H297,Rame!$F:$F,0)-1,MATCH(I297,Rame!$F$1:$FF$1,0)-1))*IF(E297="Rame",1,0),4)</f>
        <v>0</v>
      </c>
      <c r="S297" s="238">
        <f ca="1">ROUND(IF(ISERROR(OFFSET(Bronzo!$A$1,MATCH(H297,Bronzo!$A:$A,0)-1,MATCH(I297,Bronzo!$A$1:$AA$1,0)-1)=TRUE),0,OFFSET(Bronzo!$A$1,MATCH(H297,Bronzo!$A:$A,0)-1,MATCH(I297,Bronzo!$A$1:$AA$1,0)-1)),4)</f>
        <v>0</v>
      </c>
      <c r="T297" s="238">
        <f t="shared" ca="1" si="219"/>
        <v>0</v>
      </c>
      <c r="U297" s="237"/>
      <c r="V297" s="238">
        <v>0</v>
      </c>
      <c r="W297" s="239">
        <f t="shared" ca="1" si="220"/>
        <v>0.82</v>
      </c>
      <c r="X297" s="240">
        <f t="shared" si="218"/>
        <v>80</v>
      </c>
      <c r="Y297" s="236">
        <v>14.51</v>
      </c>
      <c r="Z297" s="236">
        <f t="shared" ca="1" si="221"/>
        <v>2.48</v>
      </c>
      <c r="AA297" s="241">
        <v>46204</v>
      </c>
      <c r="AF297" s="225">
        <f t="shared" ca="1" si="212"/>
        <v>46236</v>
      </c>
      <c r="AG297" s="225" t="b">
        <f t="shared" si="222"/>
        <v>0</v>
      </c>
      <c r="AH297" s="242"/>
      <c r="AK297" s="223">
        <f t="shared" si="214"/>
        <v>27</v>
      </c>
      <c r="AL297" s="223">
        <f t="shared" si="215"/>
        <v>2026</v>
      </c>
      <c r="AS297" s="223">
        <f t="shared" si="216"/>
        <v>7</v>
      </c>
      <c r="AT297" s="223">
        <f t="shared" si="217"/>
        <v>2026</v>
      </c>
    </row>
    <row r="298" spans="2:46" ht="15.75" x14ac:dyDescent="0.25">
      <c r="B298" s="229" t="s">
        <v>518</v>
      </c>
      <c r="C298" s="235" t="s">
        <v>212</v>
      </c>
      <c r="D298" s="243">
        <v>300</v>
      </c>
      <c r="E298" s="232" t="s">
        <v>6</v>
      </c>
      <c r="F298" s="233">
        <v>11.21</v>
      </c>
      <c r="G298" s="234">
        <v>46133</v>
      </c>
      <c r="H298" s="235" t="s">
        <v>14</v>
      </c>
      <c r="I298" s="235"/>
      <c r="J298" s="236">
        <v>0.1</v>
      </c>
      <c r="K298" s="237">
        <f ca="1">ROUND(IF(ISERROR(OFFSET(Tabella!$A$1,MATCH(H298,Tabella!$A:$A,0)-1,MATCH(J298,Tabella!$A$1:$AC$1,0)-1)=TRUE),0,+OFFSET(Tabella!$A$1,MATCH(H298,Tabella!$A:$A,0)-1,MATCH(J298,Tabella!$A$1:$AC$1,0)-1)),4)</f>
        <v>0</v>
      </c>
      <c r="L298" s="238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238">
        <f ca="1">ROUND(IF(ISERROR(OFFSET(Rame!$A$1,MATCH(H298,Rame!$A:$A,0)-1,MATCH(J298,Rame!$A$1:$AA$1,0)-1)=TRUE),0,OFFSET(Rame!$A$1,MATCH(H298,Rame!$A:$A,0)-1,MATCH(J298,Rame!$A$1:$AA$1,0)-1))*IF(E298="Rame",1,0),4)</f>
        <v>0.95</v>
      </c>
      <c r="N298" s="238">
        <v>0</v>
      </c>
      <c r="O298" s="238">
        <f t="shared" ca="1" si="223"/>
        <v>0.95</v>
      </c>
      <c r="P298" s="238">
        <f ca="1">ROUND(+IF(ISERROR(OFFSET(Tabella!$G$1,MATCH(H298,Tabella!$G:$G,0)-1,MATCH(I298,Tabella!$G$1:$FG$1,0)-1)=TRUE),0,OFFSET(Tabella!$G$1,MATCH(H298,Tabella!$G:$G,0)-1,MATCH(I298,Tabella!$G$1:$AB$1,0)-1)),4)</f>
        <v>0</v>
      </c>
      <c r="Q298" s="238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238">
        <f ca="1">ROUND(IF(ISERROR(OFFSET(Rame!$F$1,MATCH(H298,Rame!$F:$F,0)-1,MATCH(I298,Rame!$F$1:$FF$1,0)-1)=TRUE),0,OFFSET(Rame!$F$1,MATCH(H298,Rame!$F:$F,0)-1,MATCH(I298,Rame!$F$1:$FF$1,0)-1))*IF(E298="Rame",1,0),4)</f>
        <v>0</v>
      </c>
      <c r="S298" s="238">
        <f ca="1">ROUND(IF(ISERROR(OFFSET(Bronzo!$A$1,MATCH(H298,Bronzo!$A:$A,0)-1,MATCH(I298,Bronzo!$A$1:$AA$1,0)-1)=TRUE),0,OFFSET(Bronzo!$A$1,MATCH(H298,Bronzo!$A:$A,0)-1,MATCH(I298,Bronzo!$A$1:$AA$1,0)-1)),4)</f>
        <v>0</v>
      </c>
      <c r="T298" s="238">
        <f t="shared" ca="1" si="219"/>
        <v>0</v>
      </c>
      <c r="U298" s="237"/>
      <c r="V298" s="238">
        <v>0</v>
      </c>
      <c r="W298" s="239">
        <f t="shared" ca="1" si="220"/>
        <v>0.95</v>
      </c>
      <c r="X298" s="240">
        <f t="shared" si="218"/>
        <v>30</v>
      </c>
      <c r="Y298" s="236">
        <v>14.61</v>
      </c>
      <c r="Z298" s="236">
        <f t="shared" ca="1" si="221"/>
        <v>2.4500000000000002</v>
      </c>
      <c r="AA298" s="241">
        <v>46204</v>
      </c>
      <c r="AF298" s="225">
        <f t="shared" ca="1" si="212"/>
        <v>46236</v>
      </c>
      <c r="AG298" s="225" t="b">
        <f t="shared" si="222"/>
        <v>0</v>
      </c>
      <c r="AH298" s="242"/>
      <c r="AK298" s="223">
        <f t="shared" si="214"/>
        <v>27</v>
      </c>
      <c r="AL298" s="223">
        <f t="shared" si="215"/>
        <v>2026</v>
      </c>
      <c r="AS298" s="223">
        <f t="shared" si="216"/>
        <v>7</v>
      </c>
      <c r="AT298" s="223">
        <f t="shared" si="217"/>
        <v>2026</v>
      </c>
    </row>
    <row r="299" spans="2:46" ht="15.75" x14ac:dyDescent="0.25">
      <c r="B299" s="229" t="s">
        <v>518</v>
      </c>
      <c r="C299" s="235" t="s">
        <v>212</v>
      </c>
      <c r="D299" s="243">
        <v>700</v>
      </c>
      <c r="E299" s="232" t="s">
        <v>6</v>
      </c>
      <c r="F299" s="233">
        <v>11.21</v>
      </c>
      <c r="G299" s="234">
        <v>46133</v>
      </c>
      <c r="H299" s="235" t="s">
        <v>18</v>
      </c>
      <c r="I299" s="235"/>
      <c r="J299" s="236">
        <v>0.1</v>
      </c>
      <c r="K299" s="237">
        <f ca="1">ROUND(IF(ISERROR(OFFSET(Tabella!$A$1,MATCH(H299,Tabella!$A:$A,0)-1,MATCH(J299,Tabella!$A$1:$AC$1,0)-1)=TRUE),0,+OFFSET(Tabella!$A$1,MATCH(H299,Tabella!$A:$A,0)-1,MATCH(J299,Tabella!$A$1:$AC$1,0)-1)),4)</f>
        <v>0</v>
      </c>
      <c r="L299" s="238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238">
        <f ca="1">ROUND(IF(ISERROR(OFFSET(Rame!$A$1,MATCH(H299,Rame!$A:$A,0)-1,MATCH(J299,Rame!$A$1:$AA$1,0)-1)=TRUE),0,OFFSET(Rame!$A$1,MATCH(H299,Rame!$A:$A,0)-1,MATCH(J299,Rame!$A$1:$AA$1,0)-1))*IF(E299="Rame",1,0),4)</f>
        <v>0.78</v>
      </c>
      <c r="N299" s="238">
        <v>0</v>
      </c>
      <c r="O299" s="238">
        <f t="shared" ca="1" si="223"/>
        <v>0.78</v>
      </c>
      <c r="P299" s="238">
        <f ca="1">ROUND(+IF(ISERROR(OFFSET(Tabella!$G$1,MATCH(H299,Tabella!$G:$G,0)-1,MATCH(I299,Tabella!$G$1:$FG$1,0)-1)=TRUE),0,OFFSET(Tabella!$G$1,MATCH(H299,Tabella!$G:$G,0)-1,MATCH(I299,Tabella!$G$1:$AB$1,0)-1)),4)</f>
        <v>0</v>
      </c>
      <c r="Q299" s="238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238">
        <f ca="1">ROUND(IF(ISERROR(OFFSET(Rame!$F$1,MATCH(H299,Rame!$F:$F,0)-1,MATCH(I299,Rame!$F$1:$FF$1,0)-1)=TRUE),0,OFFSET(Rame!$F$1,MATCH(H299,Rame!$F:$F,0)-1,MATCH(I299,Rame!$F$1:$FF$1,0)-1))*IF(E299="Rame",1,0),4)</f>
        <v>0</v>
      </c>
      <c r="S299" s="238">
        <f ca="1">ROUND(IF(ISERROR(OFFSET(Bronzo!$A$1,MATCH(H299,Bronzo!$A:$A,0)-1,MATCH(I299,Bronzo!$A$1:$AA$1,0)-1)=TRUE),0,OFFSET(Bronzo!$A$1,MATCH(H299,Bronzo!$A:$A,0)-1,MATCH(I299,Bronzo!$A$1:$AA$1,0)-1)),4)</f>
        <v>0</v>
      </c>
      <c r="T299" s="238">
        <f t="shared" ca="1" si="219"/>
        <v>0</v>
      </c>
      <c r="U299" s="237"/>
      <c r="V299" s="238">
        <v>0</v>
      </c>
      <c r="W299" s="239">
        <f t="shared" ca="1" si="220"/>
        <v>0.78</v>
      </c>
      <c r="X299" s="240">
        <f t="shared" si="218"/>
        <v>70</v>
      </c>
      <c r="Y299" s="236">
        <v>14.46</v>
      </c>
      <c r="Z299" s="236">
        <f t="shared" ca="1" si="221"/>
        <v>2.4700000000000002</v>
      </c>
      <c r="AA299" s="241">
        <v>46209</v>
      </c>
      <c r="AF299" s="225">
        <f t="shared" ca="1" si="212"/>
        <v>46236</v>
      </c>
      <c r="AG299" s="225" t="b">
        <f t="shared" si="222"/>
        <v>0</v>
      </c>
      <c r="AH299" s="242"/>
      <c r="AK299" s="223">
        <f t="shared" si="214"/>
        <v>28</v>
      </c>
      <c r="AL299" s="223">
        <f t="shared" si="215"/>
        <v>2026</v>
      </c>
      <c r="AS299" s="223">
        <f t="shared" si="216"/>
        <v>7</v>
      </c>
      <c r="AT299" s="223">
        <f t="shared" si="217"/>
        <v>2026</v>
      </c>
    </row>
    <row r="300" spans="2:46" ht="15.75" x14ac:dyDescent="0.25">
      <c r="B300" s="229" t="s">
        <v>622</v>
      </c>
      <c r="C300" s="245" t="s">
        <v>304</v>
      </c>
      <c r="D300" s="246">
        <v>433</v>
      </c>
      <c r="E300" s="232" t="s">
        <v>6</v>
      </c>
      <c r="F300" s="233">
        <v>11.21</v>
      </c>
      <c r="G300" s="234">
        <v>46133</v>
      </c>
      <c r="H300" s="235" t="s">
        <v>14</v>
      </c>
      <c r="I300" s="235"/>
      <c r="J300" s="236">
        <v>0.15</v>
      </c>
      <c r="K300" s="237">
        <f ca="1">ROUND(IF(ISERROR(OFFSET(Tabella!$A$1,MATCH(H300,Tabella!$A:$A,0)-1,MATCH(J300,Tabella!$A$1:$AC$1,0)-1)=TRUE),0,+OFFSET(Tabella!$A$1,MATCH(H300,Tabella!$A:$A,0)-1,MATCH(J300,Tabella!$A$1:$AC$1,0)-1)),4)</f>
        <v>0</v>
      </c>
      <c r="L300" s="238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238">
        <f ca="1">ROUND(IF(ISERROR(OFFSET(Rame!$A$1,MATCH(H300,Rame!$A:$A,0)-1,MATCH(J300,Rame!$A$1:$AA$1,0)-1)=TRUE),0,OFFSET(Rame!$A$1,MATCH(H300,Rame!$A:$A,0)-1,MATCH(J300,Rame!$A$1:$AA$1,0)-1))*IF(E300="Rame",1,0),4)</f>
        <v>1</v>
      </c>
      <c r="N300" s="238">
        <v>0</v>
      </c>
      <c r="O300" s="238">
        <f t="shared" ca="1" si="223"/>
        <v>1</v>
      </c>
      <c r="P300" s="238">
        <f ca="1">ROUND(+IF(ISERROR(OFFSET(Tabella!$G$1,MATCH(H300,Tabella!$G:$G,0)-1,MATCH(I300,Tabella!$G$1:$FG$1,0)-1)=TRUE),0,OFFSET(Tabella!$G$1,MATCH(H300,Tabella!$G:$G,0)-1,MATCH(I300,Tabella!$G$1:$AB$1,0)-1)),4)</f>
        <v>0</v>
      </c>
      <c r="Q300" s="238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238">
        <f ca="1">ROUND(IF(ISERROR(OFFSET(Rame!$F$1,MATCH(H300,Rame!$F:$F,0)-1,MATCH(I300,Rame!$F$1:$FF$1,0)-1)=TRUE),0,OFFSET(Rame!$F$1,MATCH(H300,Rame!$F:$F,0)-1,MATCH(I300,Rame!$F$1:$FF$1,0)-1))*IF(E300="Rame",1,0),4)</f>
        <v>0</v>
      </c>
      <c r="S300" s="238">
        <f ca="1">ROUND(IF(ISERROR(OFFSET(Bronzo!$A$1,MATCH(H300,Bronzo!$A:$A,0)-1,MATCH(I300,Bronzo!$A$1:$AA$1,0)-1)=TRUE),0,OFFSET(Bronzo!$A$1,MATCH(H300,Bronzo!$A:$A,0)-1,MATCH(I300,Bronzo!$A$1:$AA$1,0)-1)),4)</f>
        <v>0</v>
      </c>
      <c r="T300" s="238">
        <f t="shared" ca="1" si="219"/>
        <v>0</v>
      </c>
      <c r="U300" s="237"/>
      <c r="V300" s="238">
        <v>0</v>
      </c>
      <c r="W300" s="239">
        <f t="shared" ca="1" si="220"/>
        <v>1</v>
      </c>
      <c r="X300" s="423">
        <f t="shared" si="218"/>
        <v>64.95</v>
      </c>
      <c r="Y300" s="236">
        <v>14.9</v>
      </c>
      <c r="Z300" s="236">
        <f t="shared" ca="1" si="221"/>
        <v>2.69</v>
      </c>
      <c r="AA300" s="241"/>
      <c r="AF300" s="225">
        <f t="shared" ca="1" si="212"/>
        <v>46236</v>
      </c>
      <c r="AG300" s="225" t="b">
        <f t="shared" si="222"/>
        <v>1</v>
      </c>
      <c r="AH300" s="242"/>
      <c r="AS300" s="223">
        <f t="shared" si="216"/>
        <v>0</v>
      </c>
      <c r="AT300" s="223">
        <f t="shared" si="217"/>
        <v>0</v>
      </c>
    </row>
    <row r="301" spans="2:46" ht="15.75" x14ac:dyDescent="0.25">
      <c r="B301" s="229" t="s">
        <v>510</v>
      </c>
      <c r="C301" s="235" t="s">
        <v>396</v>
      </c>
      <c r="D301" s="243">
        <v>200</v>
      </c>
      <c r="E301" s="232" t="s">
        <v>4</v>
      </c>
      <c r="F301" s="233">
        <v>3.07</v>
      </c>
      <c r="G301" s="234">
        <v>46134</v>
      </c>
      <c r="H301" s="235" t="s">
        <v>19</v>
      </c>
      <c r="I301" s="235"/>
      <c r="J301" s="236">
        <v>7.0000000000000007E-2</v>
      </c>
      <c r="K301" s="237">
        <f ca="1">ROUND(IF(ISERROR(OFFSET(Tabella!$A$1,MATCH(H301,Tabella!$A:$A,0)-1,MATCH(J301,Tabella!$A$1:$AC$1,0)-1)=TRUE),0,+OFFSET(Tabella!$A$1,MATCH(H301,Tabella!$A:$A,0)-1,MATCH(J301,Tabella!$A$1:$AC$1,0)-1)),4)</f>
        <v>1.35</v>
      </c>
      <c r="L301" s="238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238">
        <f ca="1">ROUND(IF(ISERROR(OFFSET(Rame!$A$1,MATCH(H301,Rame!$A:$A,0)-1,MATCH(J301,Rame!$A$1:$AA$1,0)-1)=TRUE),0,OFFSET(Rame!$A$1,MATCH(H301,Rame!$A:$A,0)-1,MATCH(J301,Rame!$A$1:$AA$1,0)-1))*IF(E301="Rame",1,0),4)</f>
        <v>0</v>
      </c>
      <c r="N301" s="238">
        <v>0</v>
      </c>
      <c r="O301" s="238">
        <v>1.78</v>
      </c>
      <c r="P301" s="238">
        <f ca="1">ROUND(+IF(ISERROR(OFFSET(Tabella!$G$1,MATCH(H301,Tabella!$G:$G,0)-1,MATCH(I301,Tabella!$G$1:$FG$1,0)-1)=TRUE),0,OFFSET(Tabella!$G$1,MATCH(H301,Tabella!$G:$G,0)-1,MATCH(I301,Tabella!$G$1:$AB$1,0)-1)),4)</f>
        <v>0</v>
      </c>
      <c r="Q301" s="238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238">
        <f ca="1">ROUND(IF(ISERROR(OFFSET(Rame!$F$1,MATCH(H301,Rame!$F:$F,0)-1,MATCH(I301,Rame!$F$1:$FF$1,0)-1)=TRUE),0,OFFSET(Rame!$F$1,MATCH(H301,Rame!$F:$F,0)-1,MATCH(I301,Rame!$F$1:$FF$1,0)-1))*IF(E301="Rame",1,0),4)</f>
        <v>0</v>
      </c>
      <c r="S301" s="238">
        <f ca="1">ROUND(IF(ISERROR(OFFSET(Bronzo!$A$1,MATCH(H301,Bronzo!$A:$A,0)-1,MATCH(I301,Bronzo!$A$1:$AA$1,0)-1)=TRUE),0,OFFSET(Bronzo!$A$1,MATCH(H301,Bronzo!$A:$A,0)-1,MATCH(I301,Bronzo!$A$1:$AA$1,0)-1)),4)</f>
        <v>0</v>
      </c>
      <c r="T301" s="238">
        <f t="shared" ca="1" si="219"/>
        <v>0</v>
      </c>
      <c r="U301" s="237"/>
      <c r="V301" s="238">
        <v>0</v>
      </c>
      <c r="W301" s="239">
        <f t="shared" ca="1" si="220"/>
        <v>1.78</v>
      </c>
      <c r="X301" s="240">
        <f t="shared" si="218"/>
        <v>14</v>
      </c>
      <c r="Y301" s="236">
        <v>5.07</v>
      </c>
      <c r="Z301" s="236">
        <f t="shared" ca="1" si="221"/>
        <v>0.22</v>
      </c>
      <c r="AA301" s="241">
        <v>46185</v>
      </c>
      <c r="AF301" s="225">
        <f t="shared" ca="1" si="212"/>
        <v>46236</v>
      </c>
      <c r="AG301" s="225" t="b">
        <f t="shared" si="222"/>
        <v>0</v>
      </c>
      <c r="AH301" s="242"/>
      <c r="AS301" s="223">
        <f t="shared" si="216"/>
        <v>6</v>
      </c>
      <c r="AT301" s="223">
        <f t="shared" si="217"/>
        <v>2026</v>
      </c>
    </row>
    <row r="302" spans="2:46" ht="15.75" x14ac:dyDescent="0.25">
      <c r="B302" s="229" t="s">
        <v>509</v>
      </c>
      <c r="C302" s="235" t="s">
        <v>396</v>
      </c>
      <c r="D302" s="243">
        <v>700</v>
      </c>
      <c r="E302" s="232" t="s">
        <v>4</v>
      </c>
      <c r="F302" s="233">
        <v>3.07</v>
      </c>
      <c r="G302" s="234">
        <v>46134</v>
      </c>
      <c r="H302" s="235" t="s">
        <v>25</v>
      </c>
      <c r="I302" s="235"/>
      <c r="J302" s="236">
        <v>7.0000000000000007E-2</v>
      </c>
      <c r="K302" s="237">
        <f ca="1">ROUND(IF(ISERROR(OFFSET(Tabella!$A$1,MATCH(H302,Tabella!$A:$A,0)-1,MATCH(J302,Tabella!$A$1:$AC$1,0)-1)=TRUE),0,+OFFSET(Tabella!$A$1,MATCH(H302,Tabella!$A:$A,0)-1,MATCH(J302,Tabella!$A$1:$AC$1,0)-1)),4)</f>
        <v>1.25</v>
      </c>
      <c r="L302" s="238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238">
        <f ca="1">ROUND(IF(ISERROR(OFFSET(Rame!$A$1,MATCH(H302,Rame!$A:$A,0)-1,MATCH(J302,Rame!$A$1:$AA$1,0)-1)=TRUE),0,OFFSET(Rame!$A$1,MATCH(H302,Rame!$A:$A,0)-1,MATCH(J302,Rame!$A$1:$AA$1,0)-1))*IF(E302="Rame",1,0),4)</f>
        <v>0</v>
      </c>
      <c r="N302" s="238">
        <v>0</v>
      </c>
      <c r="O302" s="238">
        <v>1.73</v>
      </c>
      <c r="P302" s="238">
        <f ca="1">ROUND(+IF(ISERROR(OFFSET(Tabella!$G$1,MATCH(H302,Tabella!$G:$G,0)-1,MATCH(I302,Tabella!$G$1:$FG$1,0)-1)=TRUE),0,OFFSET(Tabella!$G$1,MATCH(H302,Tabella!$G:$G,0)-1,MATCH(I302,Tabella!$G$1:$AB$1,0)-1)),4)</f>
        <v>0</v>
      </c>
      <c r="Q302" s="238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238">
        <f ca="1">ROUND(IF(ISERROR(OFFSET(Rame!$F$1,MATCH(H302,Rame!$F:$F,0)-1,MATCH(I302,Rame!$F$1:$FF$1,0)-1)=TRUE),0,OFFSET(Rame!$F$1,MATCH(H302,Rame!$F:$F,0)-1,MATCH(I302,Rame!$F$1:$FF$1,0)-1))*IF(E302="Rame",1,0),4)</f>
        <v>0</v>
      </c>
      <c r="S302" s="238">
        <f ca="1">ROUND(IF(ISERROR(OFFSET(Bronzo!$A$1,MATCH(H302,Bronzo!$A:$A,0)-1,MATCH(I302,Bronzo!$A$1:$AA$1,0)-1)=TRUE),0,OFFSET(Bronzo!$A$1,MATCH(H302,Bronzo!$A:$A,0)-1,MATCH(I302,Bronzo!$A$1:$AA$1,0)-1)),4)</f>
        <v>0</v>
      </c>
      <c r="T302" s="238">
        <f t="shared" ca="1" si="219"/>
        <v>0</v>
      </c>
      <c r="U302" s="237"/>
      <c r="V302" s="238">
        <v>0</v>
      </c>
      <c r="W302" s="239">
        <f t="shared" ca="1" si="220"/>
        <v>1.73</v>
      </c>
      <c r="X302" s="240">
        <f t="shared" si="218"/>
        <v>49</v>
      </c>
      <c r="Y302" s="236">
        <v>5.0199999999999996</v>
      </c>
      <c r="Z302" s="236">
        <f t="shared" ca="1" si="221"/>
        <v>0.22</v>
      </c>
      <c r="AA302" s="241">
        <v>46164</v>
      </c>
      <c r="AF302" s="225">
        <f t="shared" ca="1" si="212"/>
        <v>46236</v>
      </c>
      <c r="AG302" s="225" t="b">
        <f t="shared" si="222"/>
        <v>0</v>
      </c>
      <c r="AH302" s="242"/>
      <c r="AS302" s="223">
        <f t="shared" si="216"/>
        <v>5</v>
      </c>
      <c r="AT302" s="223">
        <f t="shared" si="217"/>
        <v>2026</v>
      </c>
    </row>
    <row r="303" spans="2:46" ht="15.75" x14ac:dyDescent="0.25">
      <c r="B303" s="229" t="s">
        <v>695</v>
      </c>
      <c r="C303" s="245" t="s">
        <v>103</v>
      </c>
      <c r="D303" s="246">
        <v>1004</v>
      </c>
      <c r="E303" s="232" t="s">
        <v>6</v>
      </c>
      <c r="F303" s="233">
        <v>11.29</v>
      </c>
      <c r="G303" s="234">
        <v>46134</v>
      </c>
      <c r="H303" s="235" t="s">
        <v>18</v>
      </c>
      <c r="I303" s="235"/>
      <c r="J303" s="236">
        <v>0.15</v>
      </c>
      <c r="K303" s="237">
        <f ca="1">ROUND(IF(ISERROR(OFFSET(Tabella!$A$1,MATCH(H303,Tabella!$A:$A,0)-1,MATCH(J303,Tabella!$A$1:$AC$1,0)-1)=TRUE),0,+OFFSET(Tabella!$A$1,MATCH(H303,Tabella!$A:$A,0)-1,MATCH(J303,Tabella!$A$1:$AC$1,0)-1)),4)</f>
        <v>0</v>
      </c>
      <c r="L303" s="238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238">
        <f ca="1">ROUND(IF(ISERROR(OFFSET(Rame!$A$1,MATCH(H303,Rame!$A:$A,0)-1,MATCH(J303,Rame!$A$1:$AA$1,0)-1)=TRUE),0,OFFSET(Rame!$A$1,MATCH(H303,Rame!$A:$A,0)-1,MATCH(J303,Rame!$A$1:$AA$1,0)-1))*IF(E303="Rame",1,0),4)</f>
        <v>0.82</v>
      </c>
      <c r="N303" s="238">
        <v>0</v>
      </c>
      <c r="O303" s="238">
        <f ca="1">ROUND(SUM(K303:N303),4)</f>
        <v>0.82</v>
      </c>
      <c r="P303" s="238">
        <f ca="1">ROUND(+IF(ISERROR(OFFSET(Tabella!$G$1,MATCH(H303,Tabella!$G:$G,0)-1,MATCH(I303,Tabella!$G$1:$FG$1,0)-1)=TRUE),0,OFFSET(Tabella!$G$1,MATCH(H303,Tabella!$G:$G,0)-1,MATCH(I303,Tabella!$G$1:$AB$1,0)-1)),4)</f>
        <v>0</v>
      </c>
      <c r="Q303" s="238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238">
        <f ca="1">ROUND(IF(ISERROR(OFFSET(Rame!$F$1,MATCH(H303,Rame!$F:$F,0)-1,MATCH(I303,Rame!$F$1:$FF$1,0)-1)=TRUE),0,OFFSET(Rame!$F$1,MATCH(H303,Rame!$F:$F,0)-1,MATCH(I303,Rame!$F$1:$FF$1,0)-1))*IF(E303="Rame",1,0),4)</f>
        <v>0</v>
      </c>
      <c r="S303" s="238">
        <f ca="1">ROUND(IF(ISERROR(OFFSET(Bronzo!$A$1,MATCH(H303,Bronzo!$A:$A,0)-1,MATCH(I303,Bronzo!$A$1:$AA$1,0)-1)=TRUE),0,OFFSET(Bronzo!$A$1,MATCH(H303,Bronzo!$A:$A,0)-1,MATCH(I303,Bronzo!$A$1:$AA$1,0)-1)),4)</f>
        <v>0</v>
      </c>
      <c r="T303" s="238">
        <f t="shared" ca="1" si="219"/>
        <v>0</v>
      </c>
      <c r="U303" s="237"/>
      <c r="V303" s="238">
        <v>0</v>
      </c>
      <c r="W303" s="239">
        <f t="shared" ca="1" si="220"/>
        <v>0.82</v>
      </c>
      <c r="X303" s="423">
        <f t="shared" si="218"/>
        <v>150.6</v>
      </c>
      <c r="Y303" s="236">
        <v>14.85</v>
      </c>
      <c r="Z303" s="236">
        <f t="shared" ca="1" si="221"/>
        <v>2.74</v>
      </c>
      <c r="AA303" s="241"/>
      <c r="AF303" s="225">
        <f t="shared" ca="1" si="212"/>
        <v>46236</v>
      </c>
      <c r="AG303" s="225" t="b">
        <f t="shared" si="222"/>
        <v>1</v>
      </c>
      <c r="AH303" s="242"/>
      <c r="AS303" s="223">
        <f t="shared" si="216"/>
        <v>0</v>
      </c>
      <c r="AT303" s="223">
        <f t="shared" si="217"/>
        <v>0</v>
      </c>
    </row>
    <row r="304" spans="2:46" ht="15.75" x14ac:dyDescent="0.25">
      <c r="B304" s="229" t="s">
        <v>657</v>
      </c>
      <c r="C304" s="245" t="s">
        <v>441</v>
      </c>
      <c r="D304" s="246">
        <v>224</v>
      </c>
      <c r="E304" s="232" t="s">
        <v>4</v>
      </c>
      <c r="F304" s="233">
        <v>3.03</v>
      </c>
      <c r="G304" s="234">
        <v>46134</v>
      </c>
      <c r="H304" s="235" t="s">
        <v>22</v>
      </c>
      <c r="I304" s="235"/>
      <c r="J304" s="236">
        <v>7.0000000000000007E-2</v>
      </c>
      <c r="K304" s="237">
        <f ca="1">ROUND(IF(ISERROR(OFFSET(Tabella!$A$1,MATCH(H304,Tabella!$A:$A,0)-1,MATCH(J304,Tabella!$A$1:$AC$1,0)-1)=TRUE),0,+OFFSET(Tabella!$A$1,MATCH(H304,Tabella!$A:$A,0)-1,MATCH(J304,Tabella!$A$1:$AC$1,0)-1)),4)</f>
        <v>1.25</v>
      </c>
      <c r="L304" s="238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238">
        <f ca="1">ROUND(IF(ISERROR(OFFSET(Rame!$A$1,MATCH(H304,Rame!$A:$A,0)-1,MATCH(J304,Rame!$A$1:$AA$1,0)-1)=TRUE),0,OFFSET(Rame!$A$1,MATCH(H304,Rame!$A:$A,0)-1,MATCH(J304,Rame!$A$1:$AA$1,0)-1))*IF(E304="Rame",1,0),4)</f>
        <v>0</v>
      </c>
      <c r="N304" s="238">
        <v>0</v>
      </c>
      <c r="O304" s="238">
        <v>1.73</v>
      </c>
      <c r="P304" s="238">
        <f ca="1">ROUND(+IF(ISERROR(OFFSET(Tabella!$G$1,MATCH(H304,Tabella!$G:$G,0)-1,MATCH(I304,Tabella!$G$1:$FG$1,0)-1)=TRUE),0,OFFSET(Tabella!$G$1,MATCH(H304,Tabella!$G:$G,0)-1,MATCH(I304,Tabella!$G$1:$AB$1,0)-1)),4)</f>
        <v>0</v>
      </c>
      <c r="Q304" s="238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238">
        <f ca="1">ROUND(IF(ISERROR(OFFSET(Rame!$F$1,MATCH(H304,Rame!$F:$F,0)-1,MATCH(I304,Rame!$F$1:$FF$1,0)-1)=TRUE),0,OFFSET(Rame!$F$1,MATCH(H304,Rame!$F:$F,0)-1,MATCH(I304,Rame!$F$1:$FF$1,0)-1))*IF(E304="Rame",1,0),4)</f>
        <v>0</v>
      </c>
      <c r="S304" s="238">
        <f ca="1">ROUND(IF(ISERROR(OFFSET(Bronzo!$A$1,MATCH(H304,Bronzo!$A:$A,0)-1,MATCH(I304,Bronzo!$A$1:$AA$1,0)-1)=TRUE),0,OFFSET(Bronzo!$A$1,MATCH(H304,Bronzo!$A:$A,0)-1,MATCH(I304,Bronzo!$A$1:$AA$1,0)-1)),4)</f>
        <v>0</v>
      </c>
      <c r="T304" s="238">
        <f t="shared" ca="1" si="219"/>
        <v>0</v>
      </c>
      <c r="U304" s="237"/>
      <c r="V304" s="238">
        <v>0</v>
      </c>
      <c r="W304" s="239">
        <f t="shared" ca="1" si="220"/>
        <v>1.73</v>
      </c>
      <c r="X304" s="423">
        <f t="shared" si="218"/>
        <v>15.68</v>
      </c>
      <c r="Y304" s="236">
        <v>4.9000000000000004</v>
      </c>
      <c r="Z304" s="236">
        <f t="shared" ca="1" si="221"/>
        <v>0.14000000000000001</v>
      </c>
      <c r="AA304" s="241"/>
      <c r="AF304" s="225">
        <f t="shared" ca="1" si="212"/>
        <v>46236</v>
      </c>
      <c r="AG304" s="225" t="b">
        <f t="shared" si="222"/>
        <v>1</v>
      </c>
      <c r="AH304" s="242"/>
      <c r="AS304" s="223">
        <f t="shared" si="216"/>
        <v>0</v>
      </c>
      <c r="AT304" s="223">
        <f t="shared" si="217"/>
        <v>0</v>
      </c>
    </row>
    <row r="305" spans="2:46" ht="15.75" x14ac:dyDescent="0.25">
      <c r="B305" s="229" t="s">
        <v>724</v>
      </c>
      <c r="C305" s="245" t="s">
        <v>208</v>
      </c>
      <c r="D305" s="246">
        <v>756</v>
      </c>
      <c r="E305" s="232" t="s">
        <v>4</v>
      </c>
      <c r="F305" s="233">
        <v>3.07</v>
      </c>
      <c r="G305" s="234">
        <v>46134</v>
      </c>
      <c r="H305" s="235" t="s">
        <v>310</v>
      </c>
      <c r="I305" s="235"/>
      <c r="J305" s="236">
        <v>7.0000000000000007E-2</v>
      </c>
      <c r="K305" s="237">
        <f ca="1">ROUND(IF(ISERROR(OFFSET(Tabella!$A$1,MATCH(H305,Tabella!$A:$A,0)-1,MATCH(J305,Tabella!$A$1:$AC$1,0)-1)=TRUE),0,+OFFSET(Tabella!$A$1,MATCH(H305,Tabella!$A:$A,0)-1,MATCH(J305,Tabella!$A$1:$AC$1,0)-1)),4)</f>
        <v>1.25</v>
      </c>
      <c r="L305" s="238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238">
        <f ca="1">ROUND(IF(ISERROR(OFFSET(Rame!$A$1,MATCH(H305,Rame!$A:$A,0)-1,MATCH(J305,Rame!$A$1:$AA$1,0)-1)=TRUE),0,OFFSET(Rame!$A$1,MATCH(H305,Rame!$A:$A,0)-1,MATCH(J305,Rame!$A$1:$AA$1,0)-1))*IF(E305="Rame",1,0),4)</f>
        <v>0</v>
      </c>
      <c r="N305" s="238">
        <v>0</v>
      </c>
      <c r="O305" s="238">
        <v>1.73</v>
      </c>
      <c r="P305" s="238">
        <f ca="1">ROUND(+IF(ISERROR(OFFSET(Tabella!$G$1,MATCH(H305,Tabella!$G:$G,0)-1,MATCH(I305,Tabella!$G$1:$FG$1,0)-1)=TRUE),0,OFFSET(Tabella!$G$1,MATCH(H305,Tabella!$G:$G,0)-1,MATCH(I305,Tabella!$G$1:$AB$1,0)-1)),4)</f>
        <v>0</v>
      </c>
      <c r="Q305" s="238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238">
        <f ca="1">ROUND(IF(ISERROR(OFFSET(Rame!$F$1,MATCH(H305,Rame!$F:$F,0)-1,MATCH(I305,Rame!$F$1:$FF$1,0)-1)=TRUE),0,OFFSET(Rame!$F$1,MATCH(H305,Rame!$F:$F,0)-1,MATCH(I305,Rame!$F$1:$FF$1,0)-1))*IF(E305="Rame",1,0),4)</f>
        <v>0</v>
      </c>
      <c r="S305" s="238">
        <f ca="1">ROUND(IF(ISERROR(OFFSET(Bronzo!$A$1,MATCH(H305,Bronzo!$A:$A,0)-1,MATCH(I305,Bronzo!$A$1:$AA$1,0)-1)=TRUE),0,OFFSET(Bronzo!$A$1,MATCH(H305,Bronzo!$A:$A,0)-1,MATCH(I305,Bronzo!$A$1:$AA$1,0)-1)),4)</f>
        <v>0</v>
      </c>
      <c r="T305" s="238">
        <f t="shared" ca="1" si="219"/>
        <v>0</v>
      </c>
      <c r="U305" s="237"/>
      <c r="V305" s="238">
        <v>0</v>
      </c>
      <c r="W305" s="239">
        <f t="shared" ca="1" si="220"/>
        <v>1.73</v>
      </c>
      <c r="X305" s="423">
        <f t="shared" si="218"/>
        <v>52.92</v>
      </c>
      <c r="Y305" s="236">
        <v>4.8</v>
      </c>
      <c r="Z305" s="236">
        <f t="shared" ca="1" si="221"/>
        <v>0</v>
      </c>
      <c r="AA305" s="241"/>
      <c r="AF305" s="225">
        <f t="shared" ca="1" si="212"/>
        <v>46236</v>
      </c>
      <c r="AG305" s="225" t="b">
        <f t="shared" si="222"/>
        <v>1</v>
      </c>
      <c r="AH305" s="242"/>
      <c r="AS305" s="223">
        <f t="shared" si="216"/>
        <v>0</v>
      </c>
      <c r="AT305" s="223">
        <f t="shared" si="217"/>
        <v>0</v>
      </c>
    </row>
    <row r="306" spans="2:46" ht="15.75" x14ac:dyDescent="0.25">
      <c r="B306" s="229" t="s">
        <v>513</v>
      </c>
      <c r="C306" s="235" t="s">
        <v>208</v>
      </c>
      <c r="D306" s="243">
        <v>500</v>
      </c>
      <c r="E306" s="232" t="s">
        <v>4</v>
      </c>
      <c r="F306" s="233">
        <v>3.07</v>
      </c>
      <c r="G306" s="234">
        <v>46134</v>
      </c>
      <c r="H306" s="235" t="s">
        <v>15</v>
      </c>
      <c r="I306" s="235"/>
      <c r="J306" s="236">
        <v>7.0000000000000007E-2</v>
      </c>
      <c r="K306" s="237">
        <f ca="1">ROUND(IF(ISERROR(OFFSET(Tabella!$A$1,MATCH(H306,Tabella!$A:$A,0)-1,MATCH(J306,Tabella!$A$1:$AC$1,0)-1)=TRUE),0,+OFFSET(Tabella!$A$1,MATCH(H306,Tabella!$A:$A,0)-1,MATCH(J306,Tabella!$A$1:$AC$1,0)-1)),4)</f>
        <v>1.4</v>
      </c>
      <c r="L306" s="238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238">
        <f ca="1">ROUND(IF(ISERROR(OFFSET(Rame!$A$1,MATCH(H306,Rame!$A:$A,0)-1,MATCH(J306,Rame!$A$1:$AA$1,0)-1)=TRUE),0,OFFSET(Rame!$A$1,MATCH(H306,Rame!$A:$A,0)-1,MATCH(J306,Rame!$A$1:$AA$1,0)-1))*IF(E306="Rame",1,0),4)</f>
        <v>0</v>
      </c>
      <c r="N306" s="238">
        <v>0</v>
      </c>
      <c r="O306" s="238">
        <v>1.88</v>
      </c>
      <c r="P306" s="238">
        <f ca="1">ROUND(+IF(ISERROR(OFFSET(Tabella!$G$1,MATCH(H306,Tabella!$G:$G,0)-1,MATCH(I306,Tabella!$G$1:$FG$1,0)-1)=TRUE),0,OFFSET(Tabella!$G$1,MATCH(H306,Tabella!$G:$G,0)-1,MATCH(I306,Tabella!$G$1:$AB$1,0)-1)),4)</f>
        <v>0</v>
      </c>
      <c r="Q306" s="238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238">
        <f ca="1">ROUND(IF(ISERROR(OFFSET(Rame!$F$1,MATCH(H306,Rame!$F:$F,0)-1,MATCH(I306,Rame!$F$1:$FF$1,0)-1)=TRUE),0,OFFSET(Rame!$F$1,MATCH(H306,Rame!$F:$F,0)-1,MATCH(I306,Rame!$F$1:$FF$1,0)-1))*IF(E306="Rame",1,0),4)</f>
        <v>0</v>
      </c>
      <c r="S306" s="238">
        <f ca="1">ROUND(IF(ISERROR(OFFSET(Bronzo!$A$1,MATCH(H306,Bronzo!$A:$A,0)-1,MATCH(I306,Bronzo!$A$1:$AA$1,0)-1)=TRUE),0,OFFSET(Bronzo!$A$1,MATCH(H306,Bronzo!$A:$A,0)-1,MATCH(I306,Bronzo!$A$1:$AA$1,0)-1)),4)</f>
        <v>0</v>
      </c>
      <c r="T306" s="238">
        <f t="shared" ca="1" si="219"/>
        <v>0</v>
      </c>
      <c r="U306" s="237"/>
      <c r="V306" s="238">
        <v>0</v>
      </c>
      <c r="W306" s="239">
        <f t="shared" ca="1" si="220"/>
        <v>1.88</v>
      </c>
      <c r="X306" s="240">
        <f t="shared" si="218"/>
        <v>35</v>
      </c>
      <c r="Y306" s="236">
        <v>4.95</v>
      </c>
      <c r="Z306" s="236">
        <f t="shared" ca="1" si="221"/>
        <v>0</v>
      </c>
      <c r="AA306" s="241">
        <v>46127</v>
      </c>
      <c r="AF306" s="225">
        <f t="shared" ca="1" si="212"/>
        <v>46236</v>
      </c>
      <c r="AG306" s="225" t="b">
        <f t="shared" si="222"/>
        <v>0</v>
      </c>
      <c r="AH306" s="242"/>
      <c r="AS306" s="223">
        <f t="shared" si="216"/>
        <v>4</v>
      </c>
      <c r="AT306" s="223">
        <f t="shared" si="217"/>
        <v>2026</v>
      </c>
    </row>
    <row r="307" spans="2:46" ht="15.75" x14ac:dyDescent="0.25">
      <c r="B307" s="229"/>
      <c r="C307" s="235" t="s">
        <v>208</v>
      </c>
      <c r="D307" s="243">
        <v>700</v>
      </c>
      <c r="E307" s="232" t="s">
        <v>4</v>
      </c>
      <c r="F307" s="233">
        <v>3.07</v>
      </c>
      <c r="G307" s="234">
        <v>46134</v>
      </c>
      <c r="H307" s="235" t="s">
        <v>322</v>
      </c>
      <c r="I307" s="235"/>
      <c r="J307" s="236">
        <v>7.0000000000000007E-2</v>
      </c>
      <c r="K307" s="237">
        <f ca="1">ROUND(IF(ISERROR(OFFSET(Tabella!$A$1,MATCH(H307,Tabella!$A:$A,0)-1,MATCH(J307,Tabella!$A$1:$AC$1,0)-1)=TRUE),0,+OFFSET(Tabella!$A$1,MATCH(H307,Tabella!$A:$A,0)-1,MATCH(J307,Tabella!$A$1:$AC$1,0)-1)),4)</f>
        <v>1.25</v>
      </c>
      <c r="L307" s="238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238">
        <f ca="1">ROUND(IF(ISERROR(OFFSET(Rame!$A$1,MATCH(H307,Rame!$A:$A,0)-1,MATCH(J307,Rame!$A$1:$AA$1,0)-1)=TRUE),0,OFFSET(Rame!$A$1,MATCH(H307,Rame!$A:$A,0)-1,MATCH(J307,Rame!$A$1:$AA$1,0)-1))*IF(E307="Rame",1,0),4)</f>
        <v>0</v>
      </c>
      <c r="N307" s="238">
        <v>0</v>
      </c>
      <c r="O307" s="238">
        <v>1.73</v>
      </c>
      <c r="P307" s="238">
        <f ca="1">ROUND(+IF(ISERROR(OFFSET(Tabella!$G$1,MATCH(H307,Tabella!$G:$G,0)-1,MATCH(I307,Tabella!$G$1:$FG$1,0)-1)=TRUE),0,OFFSET(Tabella!$G$1,MATCH(H307,Tabella!$G:$G,0)-1,MATCH(I307,Tabella!$G$1:$AB$1,0)-1)),4)</f>
        <v>0</v>
      </c>
      <c r="Q307" s="238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238">
        <f ca="1">ROUND(IF(ISERROR(OFFSET(Rame!$F$1,MATCH(H307,Rame!$F:$F,0)-1,MATCH(I307,Rame!$F$1:$FF$1,0)-1)=TRUE),0,OFFSET(Rame!$F$1,MATCH(H307,Rame!$F:$F,0)-1,MATCH(I307,Rame!$F$1:$FF$1,0)-1))*IF(E307="Rame",1,0),4)</f>
        <v>0</v>
      </c>
      <c r="S307" s="238">
        <f ca="1">ROUND(IF(ISERROR(OFFSET(Bronzo!$A$1,MATCH(H307,Bronzo!$A:$A,0)-1,MATCH(I307,Bronzo!$A$1:$AA$1,0)-1)=TRUE),0,OFFSET(Bronzo!$A$1,MATCH(H307,Bronzo!$A:$A,0)-1,MATCH(I307,Bronzo!$A$1:$AA$1,0)-1)),4)</f>
        <v>0</v>
      </c>
      <c r="T307" s="238">
        <f t="shared" ca="1" si="219"/>
        <v>0</v>
      </c>
      <c r="U307" s="237"/>
      <c r="V307" s="238">
        <v>0</v>
      </c>
      <c r="W307" s="239">
        <f t="shared" ca="1" si="220"/>
        <v>1.73</v>
      </c>
      <c r="X307" s="240">
        <f t="shared" si="218"/>
        <v>49</v>
      </c>
      <c r="Y307" s="236">
        <v>4.8</v>
      </c>
      <c r="Z307" s="236">
        <f t="shared" ca="1" si="221"/>
        <v>0</v>
      </c>
      <c r="AA307" s="241"/>
      <c r="AF307" s="225">
        <f t="shared" ca="1" si="212"/>
        <v>46236</v>
      </c>
      <c r="AG307" s="225" t="b">
        <f t="shared" si="222"/>
        <v>1</v>
      </c>
      <c r="AH307" s="242"/>
      <c r="AS307" s="223">
        <f t="shared" si="216"/>
        <v>0</v>
      </c>
      <c r="AT307" s="223">
        <f t="shared" si="217"/>
        <v>0</v>
      </c>
    </row>
    <row r="308" spans="2:46" ht="15.75" x14ac:dyDescent="0.25">
      <c r="B308" s="229"/>
      <c r="C308" s="235" t="s">
        <v>208</v>
      </c>
      <c r="D308" s="243">
        <v>800</v>
      </c>
      <c r="E308" s="232" t="s">
        <v>4</v>
      </c>
      <c r="F308" s="233">
        <v>3.07</v>
      </c>
      <c r="G308" s="234">
        <v>46134</v>
      </c>
      <c r="H308" s="235" t="s">
        <v>22</v>
      </c>
      <c r="I308" s="235"/>
      <c r="J308" s="236">
        <v>7.0000000000000007E-2</v>
      </c>
      <c r="K308" s="237">
        <f ca="1">ROUND(IF(ISERROR(OFFSET(Tabella!$A$1,MATCH(H308,Tabella!$A:$A,0)-1,MATCH(J308,Tabella!$A$1:$AC$1,0)-1)=TRUE),0,+OFFSET(Tabella!$A$1,MATCH(H308,Tabella!$A:$A,0)-1,MATCH(J308,Tabella!$A$1:$AC$1,0)-1)),4)</f>
        <v>1.25</v>
      </c>
      <c r="L308" s="238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238">
        <f ca="1">ROUND(IF(ISERROR(OFFSET(Rame!$A$1,MATCH(H308,Rame!$A:$A,0)-1,MATCH(J308,Rame!$A$1:$AA$1,0)-1)=TRUE),0,OFFSET(Rame!$A$1,MATCH(H308,Rame!$A:$A,0)-1,MATCH(J308,Rame!$A$1:$AA$1,0)-1))*IF(E308="Rame",1,0),4)</f>
        <v>0</v>
      </c>
      <c r="N308" s="238">
        <v>0</v>
      </c>
      <c r="O308" s="238">
        <v>1.73</v>
      </c>
      <c r="P308" s="238">
        <f ca="1">ROUND(+IF(ISERROR(OFFSET(Tabella!$G$1,MATCH(H308,Tabella!$G:$G,0)-1,MATCH(I308,Tabella!$G$1:$FG$1,0)-1)=TRUE),0,OFFSET(Tabella!$G$1,MATCH(H308,Tabella!$G:$G,0)-1,MATCH(I308,Tabella!$G$1:$AB$1,0)-1)),4)</f>
        <v>0</v>
      </c>
      <c r="Q308" s="238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238">
        <f ca="1">ROUND(IF(ISERROR(OFFSET(Rame!$F$1,MATCH(H308,Rame!$F:$F,0)-1,MATCH(I308,Rame!$F$1:$FF$1,0)-1)=TRUE),0,OFFSET(Rame!$F$1,MATCH(H308,Rame!$F:$F,0)-1,MATCH(I308,Rame!$F$1:$FF$1,0)-1))*IF(E308="Rame",1,0),4)</f>
        <v>0</v>
      </c>
      <c r="S308" s="238">
        <f ca="1">ROUND(IF(ISERROR(OFFSET(Bronzo!$A$1,MATCH(H308,Bronzo!$A:$A,0)-1,MATCH(I308,Bronzo!$A$1:$AA$1,0)-1)=TRUE),0,OFFSET(Bronzo!$A$1,MATCH(H308,Bronzo!$A:$A,0)-1,MATCH(I308,Bronzo!$A$1:$AA$1,0)-1)),4)</f>
        <v>0</v>
      </c>
      <c r="T308" s="238">
        <f t="shared" ca="1" si="219"/>
        <v>0</v>
      </c>
      <c r="U308" s="237"/>
      <c r="V308" s="238">
        <v>0</v>
      </c>
      <c r="W308" s="239">
        <f t="shared" ca="1" si="220"/>
        <v>1.73</v>
      </c>
      <c r="X308" s="240">
        <f t="shared" si="218"/>
        <v>56</v>
      </c>
      <c r="Y308" s="236">
        <v>4.8</v>
      </c>
      <c r="Z308" s="236">
        <f t="shared" ca="1" si="221"/>
        <v>0</v>
      </c>
      <c r="AA308" s="241"/>
      <c r="AF308" s="225">
        <f t="shared" ca="1" si="212"/>
        <v>46236</v>
      </c>
      <c r="AG308" s="225" t="b">
        <f t="shared" si="222"/>
        <v>1</v>
      </c>
      <c r="AH308" s="242"/>
      <c r="AS308" s="223">
        <f t="shared" si="216"/>
        <v>0</v>
      </c>
      <c r="AT308" s="223">
        <f t="shared" si="217"/>
        <v>0</v>
      </c>
    </row>
    <row r="309" spans="2:46" ht="15.75" x14ac:dyDescent="0.25">
      <c r="B309" s="229"/>
      <c r="C309" s="235" t="s">
        <v>208</v>
      </c>
      <c r="D309" s="243">
        <v>500</v>
      </c>
      <c r="E309" s="232" t="s">
        <v>4</v>
      </c>
      <c r="F309" s="233">
        <v>3.07</v>
      </c>
      <c r="G309" s="234">
        <v>46134</v>
      </c>
      <c r="H309" s="235" t="s">
        <v>243</v>
      </c>
      <c r="I309" s="235"/>
      <c r="J309" s="236">
        <v>7.0000000000000007E-2</v>
      </c>
      <c r="K309" s="237">
        <f ca="1">ROUND(IF(ISERROR(OFFSET(Tabella!$A$1,MATCH(H309,Tabella!$A:$A,0)-1,MATCH(J309,Tabella!$A$1:$AC$1,0)-1)=TRUE),0,+OFFSET(Tabella!$A$1,MATCH(H309,Tabella!$A:$A,0)-1,MATCH(J309,Tabella!$A$1:$AC$1,0)-1)),4)</f>
        <v>1.4</v>
      </c>
      <c r="L309" s="238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238">
        <f ca="1">ROUND(IF(ISERROR(OFFSET(Rame!$A$1,MATCH(H309,Rame!$A:$A,0)-1,MATCH(J309,Rame!$A$1:$AA$1,0)-1)=TRUE),0,OFFSET(Rame!$A$1,MATCH(H309,Rame!$A:$A,0)-1,MATCH(J309,Rame!$A$1:$AA$1,0)-1))*IF(E309="Rame",1,0),4)</f>
        <v>0</v>
      </c>
      <c r="N309" s="238">
        <v>0</v>
      </c>
      <c r="O309" s="238">
        <v>1.83</v>
      </c>
      <c r="P309" s="238">
        <f ca="1">ROUND(+IF(ISERROR(OFFSET(Tabella!$G$1,MATCH(H309,Tabella!$G:$G,0)-1,MATCH(I309,Tabella!$G$1:$FG$1,0)-1)=TRUE),0,OFFSET(Tabella!$G$1,MATCH(H309,Tabella!$G:$G,0)-1,MATCH(I309,Tabella!$G$1:$AB$1,0)-1)),4)</f>
        <v>0</v>
      </c>
      <c r="Q309" s="238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238">
        <f ca="1">ROUND(IF(ISERROR(OFFSET(Rame!$F$1,MATCH(H309,Rame!$F:$F,0)-1,MATCH(I309,Rame!$F$1:$FF$1,0)-1)=TRUE),0,OFFSET(Rame!$F$1,MATCH(H309,Rame!$F:$F,0)-1,MATCH(I309,Rame!$F$1:$FF$1,0)-1))*IF(E309="Rame",1,0),4)</f>
        <v>0</v>
      </c>
      <c r="S309" s="238">
        <f ca="1">ROUND(IF(ISERROR(OFFSET(Bronzo!$A$1,MATCH(H309,Bronzo!$A:$A,0)-1,MATCH(I309,Bronzo!$A$1:$AA$1,0)-1)=TRUE),0,OFFSET(Bronzo!$A$1,MATCH(H309,Bronzo!$A:$A,0)-1,MATCH(I309,Bronzo!$A$1:$AA$1,0)-1)),4)</f>
        <v>0</v>
      </c>
      <c r="T309" s="238">
        <f t="shared" ca="1" si="219"/>
        <v>0</v>
      </c>
      <c r="U309" s="237"/>
      <c r="V309" s="238">
        <v>0</v>
      </c>
      <c r="W309" s="239">
        <f t="shared" ca="1" si="220"/>
        <v>1.83</v>
      </c>
      <c r="X309" s="240">
        <f t="shared" si="218"/>
        <v>35</v>
      </c>
      <c r="Y309" s="236">
        <v>4.9000000000000004</v>
      </c>
      <c r="Z309" s="236">
        <f t="shared" ca="1" si="221"/>
        <v>0</v>
      </c>
      <c r="AA309" s="241"/>
      <c r="AF309" s="225">
        <f t="shared" ca="1" si="212"/>
        <v>46236</v>
      </c>
      <c r="AG309" s="225" t="b">
        <f t="shared" si="222"/>
        <v>1</v>
      </c>
      <c r="AH309" s="242"/>
      <c r="AS309" s="223">
        <f t="shared" si="216"/>
        <v>0</v>
      </c>
      <c r="AT309" s="223">
        <f t="shared" si="217"/>
        <v>0</v>
      </c>
    </row>
    <row r="310" spans="2:46" ht="15.75" x14ac:dyDescent="0.25">
      <c r="B310" s="229"/>
      <c r="C310" s="235" t="s">
        <v>208</v>
      </c>
      <c r="D310" s="243">
        <v>500</v>
      </c>
      <c r="E310" s="232" t="s">
        <v>4</v>
      </c>
      <c r="F310" s="233">
        <v>3.07</v>
      </c>
      <c r="G310" s="234">
        <v>46134</v>
      </c>
      <c r="H310" s="235" t="s">
        <v>24</v>
      </c>
      <c r="I310" s="235"/>
      <c r="J310" s="236">
        <v>7.0000000000000007E-2</v>
      </c>
      <c r="K310" s="237">
        <f ca="1">ROUND(IF(ISERROR(OFFSET(Tabella!$A$1,MATCH(H310,Tabella!$A:$A,0)-1,MATCH(J310,Tabella!$A$1:$AC$1,0)-1)=TRUE),0,+OFFSET(Tabella!$A$1,MATCH(H310,Tabella!$A:$A,0)-1,MATCH(J310,Tabella!$A$1:$AC$1,0)-1)),4)</f>
        <v>1.25</v>
      </c>
      <c r="L310" s="238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238">
        <f ca="1">ROUND(IF(ISERROR(OFFSET(Rame!$A$1,MATCH(H310,Rame!$A:$A,0)-1,MATCH(J310,Rame!$A$1:$AA$1,0)-1)=TRUE),0,OFFSET(Rame!$A$1,MATCH(H310,Rame!$A:$A,0)-1,MATCH(J310,Rame!$A$1:$AA$1,0)-1))*IF(E310="Rame",1,0),4)</f>
        <v>0</v>
      </c>
      <c r="N310" s="238">
        <v>0</v>
      </c>
      <c r="O310" s="238">
        <v>1.73</v>
      </c>
      <c r="P310" s="238">
        <f ca="1">ROUND(+IF(ISERROR(OFFSET(Tabella!$G$1,MATCH(H310,Tabella!$G:$G,0)-1,MATCH(I310,Tabella!$G$1:$FG$1,0)-1)=TRUE),0,OFFSET(Tabella!$G$1,MATCH(H310,Tabella!$G:$G,0)-1,MATCH(I310,Tabella!$G$1:$AB$1,0)-1)),4)</f>
        <v>0</v>
      </c>
      <c r="Q310" s="238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238">
        <f ca="1">ROUND(IF(ISERROR(OFFSET(Rame!$F$1,MATCH(H310,Rame!$F:$F,0)-1,MATCH(I310,Rame!$F$1:$FF$1,0)-1)=TRUE),0,OFFSET(Rame!$F$1,MATCH(H310,Rame!$F:$F,0)-1,MATCH(I310,Rame!$F$1:$FF$1,0)-1))*IF(E310="Rame",1,0),4)</f>
        <v>0</v>
      </c>
      <c r="S310" s="238">
        <f ca="1">ROUND(IF(ISERROR(OFFSET(Bronzo!$A$1,MATCH(H310,Bronzo!$A:$A,0)-1,MATCH(I310,Bronzo!$A$1:$AA$1,0)-1)=TRUE),0,OFFSET(Bronzo!$A$1,MATCH(H310,Bronzo!$A:$A,0)-1,MATCH(I310,Bronzo!$A$1:$AA$1,0)-1)),4)</f>
        <v>0</v>
      </c>
      <c r="T310" s="238">
        <f t="shared" ca="1" si="219"/>
        <v>0</v>
      </c>
      <c r="U310" s="237"/>
      <c r="V310" s="238">
        <v>0</v>
      </c>
      <c r="W310" s="239">
        <f t="shared" ca="1" si="220"/>
        <v>1.73</v>
      </c>
      <c r="X310" s="240">
        <f t="shared" si="218"/>
        <v>35</v>
      </c>
      <c r="Y310" s="236">
        <v>4.8</v>
      </c>
      <c r="Z310" s="236">
        <f t="shared" ca="1" si="221"/>
        <v>0</v>
      </c>
      <c r="AA310" s="241"/>
      <c r="AF310" s="225">
        <f t="shared" ca="1" si="212"/>
        <v>46236</v>
      </c>
      <c r="AG310" s="225" t="b">
        <f t="shared" si="222"/>
        <v>1</v>
      </c>
      <c r="AH310" s="242"/>
      <c r="AS310" s="223">
        <f t="shared" si="216"/>
        <v>0</v>
      </c>
      <c r="AT310" s="223">
        <f t="shared" si="217"/>
        <v>0</v>
      </c>
    </row>
    <row r="311" spans="2:46" ht="15.75" x14ac:dyDescent="0.25">
      <c r="B311" s="229" t="s">
        <v>756</v>
      </c>
      <c r="C311" s="245" t="s">
        <v>418</v>
      </c>
      <c r="D311" s="246">
        <v>3542</v>
      </c>
      <c r="E311" s="232" t="s">
        <v>4</v>
      </c>
      <c r="F311" s="233">
        <v>2.97</v>
      </c>
      <c r="G311" s="234">
        <v>46115</v>
      </c>
      <c r="H311" s="235" t="s">
        <v>314</v>
      </c>
      <c r="I311" s="235"/>
      <c r="J311" s="236">
        <v>7.0000000000000007E-2</v>
      </c>
      <c r="K311" s="237">
        <f ca="1">ROUND(IF(ISERROR(OFFSET(Tabella!$A$1,MATCH(H311,Tabella!$A:$A,0)-1,MATCH(J311,Tabella!$A$1:$AC$1,0)-1)=TRUE),0,+OFFSET(Tabella!$A$1,MATCH(H311,Tabella!$A:$A,0)-1,MATCH(J311,Tabella!$A$1:$AC$1,0)-1)),4)</f>
        <v>1.25</v>
      </c>
      <c r="L311" s="238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238">
        <f ca="1">ROUND(IF(ISERROR(OFFSET(Rame!$A$1,MATCH(H311,Rame!$A:$A,0)-1,MATCH(J311,Rame!$A$1:$AA$1,0)-1)=TRUE),0,OFFSET(Rame!$A$1,MATCH(H311,Rame!$A:$A,0)-1,MATCH(J311,Rame!$A$1:$AA$1,0)-1))*IF(E311="Rame",1,0),4)</f>
        <v>0</v>
      </c>
      <c r="N311" s="238">
        <v>0</v>
      </c>
      <c r="O311" s="238">
        <v>1.73</v>
      </c>
      <c r="P311" s="238">
        <f ca="1">ROUND(+IF(ISERROR(OFFSET(Tabella!$G$1,MATCH(H311,Tabella!$G:$G,0)-1,MATCH(I311,Tabella!$G$1:$FG$1,0)-1)=TRUE),0,OFFSET(Tabella!$G$1,MATCH(H311,Tabella!$G:$G,0)-1,MATCH(I311,Tabella!$G$1:$AB$1,0)-1)),4)</f>
        <v>0</v>
      </c>
      <c r="Q311" s="238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238">
        <f ca="1">ROUND(IF(ISERROR(OFFSET(Rame!$F$1,MATCH(H311,Rame!$F:$F,0)-1,MATCH(I311,Rame!$F$1:$FF$1,0)-1)=TRUE),0,OFFSET(Rame!$F$1,MATCH(H311,Rame!$F:$F,0)-1,MATCH(I311,Rame!$F$1:$FF$1,0)-1))*IF(E311="Rame",1,0),4)</f>
        <v>0</v>
      </c>
      <c r="S311" s="238">
        <f ca="1">ROUND(IF(ISERROR(OFFSET(Bronzo!$A$1,MATCH(H311,Bronzo!$A:$A,0)-1,MATCH(I311,Bronzo!$A$1:$AA$1,0)-1)=TRUE),0,OFFSET(Bronzo!$A$1,MATCH(H311,Bronzo!$A:$A,0)-1,MATCH(I311,Bronzo!$A$1:$AA$1,0)-1)),4)</f>
        <v>0</v>
      </c>
      <c r="T311" s="238">
        <f t="shared" ca="1" si="219"/>
        <v>0</v>
      </c>
      <c r="U311" s="237"/>
      <c r="V311" s="238">
        <v>0</v>
      </c>
      <c r="W311" s="239">
        <f t="shared" ca="1" si="220"/>
        <v>1.73</v>
      </c>
      <c r="X311" s="423">
        <f t="shared" si="218"/>
        <v>247.94</v>
      </c>
      <c r="Y311" s="236">
        <v>4.57</v>
      </c>
      <c r="Z311" s="236">
        <f t="shared" ca="1" si="221"/>
        <v>-0.13</v>
      </c>
      <c r="AA311" s="241"/>
      <c r="AF311" s="225">
        <f t="shared" ca="1" si="212"/>
        <v>46236</v>
      </c>
      <c r="AG311" s="225" t="b">
        <f t="shared" si="222"/>
        <v>1</v>
      </c>
      <c r="AH311" s="242"/>
      <c r="AS311" s="223">
        <f t="shared" si="216"/>
        <v>0</v>
      </c>
      <c r="AT311" s="223">
        <f t="shared" si="217"/>
        <v>0</v>
      </c>
    </row>
    <row r="312" spans="2:46" ht="15.75" x14ac:dyDescent="0.25">
      <c r="B312" s="229" t="s">
        <v>756</v>
      </c>
      <c r="C312" s="245" t="s">
        <v>418</v>
      </c>
      <c r="D312" s="246">
        <v>2208</v>
      </c>
      <c r="E312" s="232" t="s">
        <v>4</v>
      </c>
      <c r="F312" s="233">
        <v>2.97</v>
      </c>
      <c r="G312" s="234">
        <v>46115</v>
      </c>
      <c r="H312" s="235" t="s">
        <v>325</v>
      </c>
      <c r="I312" s="235"/>
      <c r="J312" s="236">
        <v>7.0000000000000007E-2</v>
      </c>
      <c r="K312" s="237">
        <f ca="1">ROUND(IF(ISERROR(OFFSET(Tabella!$A$1,MATCH(H312,Tabella!$A:$A,0)-1,MATCH(J312,Tabella!$A$1:$AC$1,0)-1)=TRUE),0,+OFFSET(Tabella!$A$1,MATCH(H312,Tabella!$A:$A,0)-1,MATCH(J312,Tabella!$A$1:$AC$1,0)-1)),4)</f>
        <v>1.25</v>
      </c>
      <c r="L312" s="238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238">
        <f ca="1">ROUND(IF(ISERROR(OFFSET(Rame!$A$1,MATCH(H312,Rame!$A:$A,0)-1,MATCH(J312,Rame!$A$1:$AA$1,0)-1)=TRUE),0,OFFSET(Rame!$A$1,MATCH(H312,Rame!$A:$A,0)-1,MATCH(J312,Rame!$A$1:$AA$1,0)-1))*IF(E312="Rame",1,0),4)</f>
        <v>0</v>
      </c>
      <c r="N312" s="238">
        <v>0</v>
      </c>
      <c r="O312" s="238">
        <v>1.73</v>
      </c>
      <c r="P312" s="238">
        <f ca="1">ROUND(+IF(ISERROR(OFFSET(Tabella!$G$1,MATCH(H312,Tabella!$G:$G,0)-1,MATCH(I312,Tabella!$G$1:$FG$1,0)-1)=TRUE),0,OFFSET(Tabella!$G$1,MATCH(H312,Tabella!$G:$G,0)-1,MATCH(I312,Tabella!$G$1:$AB$1,0)-1)),4)</f>
        <v>0</v>
      </c>
      <c r="Q312" s="238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238">
        <f ca="1">ROUND(IF(ISERROR(OFFSET(Rame!$F$1,MATCH(H312,Rame!$F:$F,0)-1,MATCH(I312,Rame!$F$1:$FF$1,0)-1)=TRUE),0,OFFSET(Rame!$F$1,MATCH(H312,Rame!$F:$F,0)-1,MATCH(I312,Rame!$F$1:$FF$1,0)-1))*IF(E312="Rame",1,0),4)</f>
        <v>0</v>
      </c>
      <c r="S312" s="238">
        <f ca="1">ROUND(IF(ISERROR(OFFSET(Bronzo!$A$1,MATCH(H312,Bronzo!$A:$A,0)-1,MATCH(I312,Bronzo!$A$1:$AA$1,0)-1)=TRUE),0,OFFSET(Bronzo!$A$1,MATCH(H312,Bronzo!$A:$A,0)-1,MATCH(I312,Bronzo!$A$1:$AA$1,0)-1)),4)</f>
        <v>0</v>
      </c>
      <c r="T312" s="238">
        <f t="shared" ca="1" si="219"/>
        <v>0</v>
      </c>
      <c r="U312" s="237"/>
      <c r="V312" s="238">
        <v>0</v>
      </c>
      <c r="W312" s="239">
        <f t="shared" ca="1" si="220"/>
        <v>1.73</v>
      </c>
      <c r="X312" s="423">
        <f t="shared" si="218"/>
        <v>154.56</v>
      </c>
      <c r="Y312" s="236">
        <v>4.57</v>
      </c>
      <c r="Z312" s="236">
        <f t="shared" ca="1" si="221"/>
        <v>-0.13</v>
      </c>
      <c r="AA312" s="241"/>
      <c r="AF312" s="225">
        <f t="shared" ca="1" si="212"/>
        <v>46236</v>
      </c>
      <c r="AG312" s="225" t="b">
        <f t="shared" si="222"/>
        <v>1</v>
      </c>
      <c r="AH312" s="242"/>
      <c r="AS312" s="223">
        <f t="shared" ref="AS312:AS377" si="233">IF(AA312="",0,MONTH(AA312))</f>
        <v>0</v>
      </c>
      <c r="AT312" s="223">
        <f t="shared" ref="AT312:AT377" si="234">IF(AA312="",0,YEAR(AA312))</f>
        <v>0</v>
      </c>
    </row>
    <row r="313" spans="2:46" ht="15.75" x14ac:dyDescent="0.25">
      <c r="B313" s="229" t="s">
        <v>516</v>
      </c>
      <c r="C313" s="235" t="s">
        <v>418</v>
      </c>
      <c r="D313" s="243">
        <v>1500</v>
      </c>
      <c r="E313" s="232" t="s">
        <v>4</v>
      </c>
      <c r="F313" s="233">
        <v>2.97</v>
      </c>
      <c r="G313" s="234">
        <v>46115</v>
      </c>
      <c r="H313" s="235" t="s">
        <v>24</v>
      </c>
      <c r="I313" s="235"/>
      <c r="J313" s="236">
        <v>7.0000000000000007E-2</v>
      </c>
      <c r="K313" s="237">
        <f ca="1">ROUND(IF(ISERROR(OFFSET(Tabella!$A$1,MATCH(H313,Tabella!$A:$A,0)-1,MATCH(J313,Tabella!$A$1:$AC$1,0)-1)=TRUE),0,+OFFSET(Tabella!$A$1,MATCH(H313,Tabella!$A:$A,0)-1,MATCH(J313,Tabella!$A$1:$AC$1,0)-1)),4)</f>
        <v>1.25</v>
      </c>
      <c r="L313" s="238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238">
        <f ca="1">ROUND(IF(ISERROR(OFFSET(Rame!$A$1,MATCH(H313,Rame!$A:$A,0)-1,MATCH(J313,Rame!$A$1:$AA$1,0)-1)=TRUE),0,OFFSET(Rame!$A$1,MATCH(H313,Rame!$A:$A,0)-1,MATCH(J313,Rame!$A$1:$AA$1,0)-1))*IF(E313="Rame",1,0),4)</f>
        <v>0</v>
      </c>
      <c r="N313" s="238">
        <v>0</v>
      </c>
      <c r="O313" s="238">
        <v>1.73</v>
      </c>
      <c r="P313" s="238">
        <f ca="1">ROUND(+IF(ISERROR(OFFSET(Tabella!$G$1,MATCH(H313,Tabella!$G:$G,0)-1,MATCH(I313,Tabella!$G$1:$FG$1,0)-1)=TRUE),0,OFFSET(Tabella!$G$1,MATCH(H313,Tabella!$G:$G,0)-1,MATCH(I313,Tabella!$G$1:$AB$1,0)-1)),4)</f>
        <v>0</v>
      </c>
      <c r="Q313" s="238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238">
        <f ca="1">ROUND(IF(ISERROR(OFFSET(Rame!$F$1,MATCH(H313,Rame!$F:$F,0)-1,MATCH(I313,Rame!$F$1:$FF$1,0)-1)=TRUE),0,OFFSET(Rame!$F$1,MATCH(H313,Rame!$F:$F,0)-1,MATCH(I313,Rame!$F$1:$FF$1,0)-1))*IF(E313="Rame",1,0),4)</f>
        <v>0</v>
      </c>
      <c r="S313" s="238">
        <f ca="1">ROUND(IF(ISERROR(OFFSET(Bronzo!$A$1,MATCH(H313,Bronzo!$A:$A,0)-1,MATCH(I313,Bronzo!$A$1:$AA$1,0)-1)=TRUE),0,OFFSET(Bronzo!$A$1,MATCH(H313,Bronzo!$A:$A,0)-1,MATCH(I313,Bronzo!$A$1:$AA$1,0)-1)),4)</f>
        <v>0</v>
      </c>
      <c r="T313" s="238">
        <f t="shared" ca="1" si="219"/>
        <v>0</v>
      </c>
      <c r="U313" s="237"/>
      <c r="V313" s="238">
        <v>0</v>
      </c>
      <c r="W313" s="239">
        <f t="shared" ca="1" si="220"/>
        <v>1.73</v>
      </c>
      <c r="X313" s="240">
        <f t="shared" si="218"/>
        <v>105</v>
      </c>
      <c r="Y313" s="236">
        <v>4.57</v>
      </c>
      <c r="Z313" s="236">
        <f t="shared" ca="1" si="221"/>
        <v>-0.13</v>
      </c>
      <c r="AA313" s="241">
        <v>46155</v>
      </c>
      <c r="AF313" s="225">
        <f t="shared" ca="1" si="212"/>
        <v>46236</v>
      </c>
      <c r="AG313" s="225" t="b">
        <f t="shared" si="222"/>
        <v>0</v>
      </c>
      <c r="AH313" s="242"/>
      <c r="AS313" s="223">
        <f t="shared" si="233"/>
        <v>5</v>
      </c>
      <c r="AT313" s="223">
        <f t="shared" si="234"/>
        <v>2026</v>
      </c>
    </row>
    <row r="314" spans="2:46" ht="15.75" x14ac:dyDescent="0.25">
      <c r="B314" s="229" t="s">
        <v>756</v>
      </c>
      <c r="C314" s="245" t="s">
        <v>418</v>
      </c>
      <c r="D314" s="246">
        <v>1937</v>
      </c>
      <c r="E314" s="232" t="s">
        <v>4</v>
      </c>
      <c r="F314" s="233">
        <v>2.97</v>
      </c>
      <c r="G314" s="234">
        <v>46115</v>
      </c>
      <c r="H314" s="235" t="s">
        <v>322</v>
      </c>
      <c r="I314" s="235"/>
      <c r="J314" s="236">
        <v>7.0000000000000007E-2</v>
      </c>
      <c r="K314" s="237">
        <f ca="1">ROUND(IF(ISERROR(OFFSET(Tabella!$A$1,MATCH(H314,Tabella!$A:$A,0)-1,MATCH(J314,Tabella!$A$1:$AC$1,0)-1)=TRUE),0,+OFFSET(Tabella!$A$1,MATCH(H314,Tabella!$A:$A,0)-1,MATCH(J314,Tabella!$A$1:$AC$1,0)-1)),4)</f>
        <v>1.25</v>
      </c>
      <c r="L314" s="238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238">
        <f ca="1">ROUND(IF(ISERROR(OFFSET(Rame!$A$1,MATCH(H314,Rame!$A:$A,0)-1,MATCH(J314,Rame!$A$1:$AA$1,0)-1)=TRUE),0,OFFSET(Rame!$A$1,MATCH(H314,Rame!$A:$A,0)-1,MATCH(J314,Rame!$A$1:$AA$1,0)-1))*IF(E314="Rame",1,0),4)</f>
        <v>0</v>
      </c>
      <c r="N314" s="238">
        <v>0</v>
      </c>
      <c r="O314" s="238">
        <v>1.73</v>
      </c>
      <c r="P314" s="238">
        <f ca="1">ROUND(+IF(ISERROR(OFFSET(Tabella!$G$1,MATCH(H314,Tabella!$G:$G,0)-1,MATCH(I314,Tabella!$G$1:$FG$1,0)-1)=TRUE),0,OFFSET(Tabella!$G$1,MATCH(H314,Tabella!$G:$G,0)-1,MATCH(I314,Tabella!$G$1:$AB$1,0)-1)),4)</f>
        <v>0</v>
      </c>
      <c r="Q314" s="238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238">
        <f ca="1">ROUND(IF(ISERROR(OFFSET(Rame!$F$1,MATCH(H314,Rame!$F:$F,0)-1,MATCH(I314,Rame!$F$1:$FF$1,0)-1)=TRUE),0,OFFSET(Rame!$F$1,MATCH(H314,Rame!$F:$F,0)-1,MATCH(I314,Rame!$F$1:$FF$1,0)-1))*IF(E314="Rame",1,0),4)</f>
        <v>0</v>
      </c>
      <c r="S314" s="238">
        <f ca="1">ROUND(IF(ISERROR(OFFSET(Bronzo!$A$1,MATCH(H314,Bronzo!$A:$A,0)-1,MATCH(I314,Bronzo!$A$1:$AA$1,0)-1)=TRUE),0,OFFSET(Bronzo!$A$1,MATCH(H314,Bronzo!$A:$A,0)-1,MATCH(I314,Bronzo!$A$1:$AA$1,0)-1)),4)</f>
        <v>0</v>
      </c>
      <c r="T314" s="238">
        <f t="shared" ca="1" si="219"/>
        <v>0</v>
      </c>
      <c r="U314" s="237"/>
      <c r="V314" s="238">
        <v>0</v>
      </c>
      <c r="W314" s="239">
        <f t="shared" ca="1" si="220"/>
        <v>1.73</v>
      </c>
      <c r="X314" s="423">
        <f t="shared" si="218"/>
        <v>135.59</v>
      </c>
      <c r="Y314" s="236">
        <v>4.57</v>
      </c>
      <c r="Z314" s="236">
        <f t="shared" ca="1" si="221"/>
        <v>-0.13</v>
      </c>
      <c r="AA314" s="241"/>
      <c r="AF314" s="225">
        <f t="shared" ca="1" si="212"/>
        <v>46236</v>
      </c>
      <c r="AG314" s="225" t="b">
        <f t="shared" si="222"/>
        <v>1</v>
      </c>
      <c r="AH314" s="242"/>
      <c r="AS314" s="223">
        <f t="shared" si="233"/>
        <v>0</v>
      </c>
      <c r="AT314" s="223">
        <f t="shared" si="234"/>
        <v>0</v>
      </c>
    </row>
    <row r="315" spans="2:46" ht="15.75" x14ac:dyDescent="0.25">
      <c r="B315" s="229" t="s">
        <v>516</v>
      </c>
      <c r="C315" s="230" t="s">
        <v>418</v>
      </c>
      <c r="D315" s="231">
        <v>500</v>
      </c>
      <c r="E315" s="232" t="s">
        <v>4</v>
      </c>
      <c r="F315" s="233">
        <v>2.97</v>
      </c>
      <c r="G315" s="234">
        <v>46115</v>
      </c>
      <c r="H315" s="235" t="s">
        <v>322</v>
      </c>
      <c r="I315" s="235"/>
      <c r="J315" s="236">
        <v>7.0000000000000007E-2</v>
      </c>
      <c r="K315" s="237">
        <f ca="1">ROUND(IF(ISERROR(OFFSET(Tabella!$A$1,MATCH(H315,Tabella!$A:$A,0)-1,MATCH(J315,Tabella!$A$1:$AC$1,0)-1)=TRUE),0,+OFFSET(Tabella!$A$1,MATCH(H315,Tabella!$A:$A,0)-1,MATCH(J315,Tabella!$A$1:$AC$1,0)-1)),4)</f>
        <v>1.25</v>
      </c>
      <c r="L315" s="238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238">
        <f ca="1">ROUND(IF(ISERROR(OFFSET(Rame!$A$1,MATCH(H315,Rame!$A:$A,0)-1,MATCH(J315,Rame!$A$1:$AA$1,0)-1)=TRUE),0,OFFSET(Rame!$A$1,MATCH(H315,Rame!$A:$A,0)-1,MATCH(J315,Rame!$A$1:$AA$1,0)-1))*IF(E315="Rame",1,0),4)</f>
        <v>0</v>
      </c>
      <c r="N315" s="238">
        <v>0</v>
      </c>
      <c r="O315" s="238">
        <v>1.73</v>
      </c>
      <c r="P315" s="238">
        <f ca="1">ROUND(+IF(ISERROR(OFFSET(Tabella!$G$1,MATCH(H315,Tabella!$G:$G,0)-1,MATCH(I315,Tabella!$G$1:$FG$1,0)-1)=TRUE),0,OFFSET(Tabella!$G$1,MATCH(H315,Tabella!$G:$G,0)-1,MATCH(I315,Tabella!$G$1:$AB$1,0)-1)),4)</f>
        <v>0</v>
      </c>
      <c r="Q315" s="238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238">
        <f ca="1">ROUND(IF(ISERROR(OFFSET(Rame!$F$1,MATCH(H315,Rame!$F:$F,0)-1,MATCH(I315,Rame!$F$1:$FF$1,0)-1)=TRUE),0,OFFSET(Rame!$F$1,MATCH(H315,Rame!$F:$F,0)-1,MATCH(I315,Rame!$F$1:$FF$1,0)-1))*IF(E315="Rame",1,0),4)</f>
        <v>0</v>
      </c>
      <c r="S315" s="238">
        <f ca="1">ROUND(IF(ISERROR(OFFSET(Bronzo!$A$1,MATCH(H315,Bronzo!$A:$A,0)-1,MATCH(I315,Bronzo!$A$1:$AA$1,0)-1)=TRUE),0,OFFSET(Bronzo!$A$1,MATCH(H315,Bronzo!$A:$A,0)-1,MATCH(I315,Bronzo!$A$1:$AA$1,0)-1)),4)</f>
        <v>0</v>
      </c>
      <c r="T315" s="238">
        <f t="shared" ref="T315" ca="1" si="235">ROUND(SUM(P315:S315),4)</f>
        <v>0</v>
      </c>
      <c r="U315" s="237"/>
      <c r="V315" s="238">
        <v>0</v>
      </c>
      <c r="W315" s="239">
        <f t="shared" ref="W315" ca="1" si="236">ROUND(+O315+T315+U315+V315,4)</f>
        <v>1.73</v>
      </c>
      <c r="X315" s="240">
        <f t="shared" ref="X315" si="237">ROUND(+J315*D315,4)</f>
        <v>35</v>
      </c>
      <c r="Y315" s="236">
        <v>4.57</v>
      </c>
      <c r="Z315" s="236">
        <f t="shared" ref="Z315" ca="1" si="238">ROUND(+Y315-W315-F315,4)</f>
        <v>-0.13</v>
      </c>
      <c r="AA315" s="241">
        <v>46155</v>
      </c>
      <c r="AE315" s="223" t="s">
        <v>469</v>
      </c>
      <c r="AF315" s="225">
        <f t="shared" ca="1" si="212"/>
        <v>46236</v>
      </c>
      <c r="AG315" s="225" t="b">
        <f t="shared" ref="AG315" si="239">ISBLANK(AA315)</f>
        <v>0</v>
      </c>
      <c r="AH315" s="242"/>
      <c r="AS315" s="223">
        <f t="shared" ref="AS315" si="240">IF(AA315="",0,MONTH(AA315))</f>
        <v>5</v>
      </c>
      <c r="AT315" s="223">
        <f t="shared" ref="AT315" si="241">IF(AA315="",0,YEAR(AA315))</f>
        <v>2026</v>
      </c>
    </row>
    <row r="316" spans="2:46" ht="15.75" x14ac:dyDescent="0.25">
      <c r="B316" s="229" t="s">
        <v>756</v>
      </c>
      <c r="C316" s="245" t="s">
        <v>418</v>
      </c>
      <c r="D316" s="246">
        <v>1094</v>
      </c>
      <c r="E316" s="232" t="s">
        <v>4</v>
      </c>
      <c r="F316" s="233">
        <v>2.97</v>
      </c>
      <c r="G316" s="234">
        <v>46115</v>
      </c>
      <c r="H316" s="235" t="s">
        <v>21</v>
      </c>
      <c r="I316" s="235"/>
      <c r="J316" s="236">
        <v>7.0000000000000007E-2</v>
      </c>
      <c r="K316" s="237">
        <f ca="1">ROUND(IF(ISERROR(OFFSET(Tabella!$A$1,MATCH(H316,Tabella!$A:$A,0)-1,MATCH(J316,Tabella!$A$1:$AC$1,0)-1)=TRUE),0,+OFFSET(Tabella!$A$1,MATCH(H316,Tabella!$A:$A,0)-1,MATCH(J316,Tabella!$A$1:$AC$1,0)-1)),4)</f>
        <v>1.25</v>
      </c>
      <c r="L316" s="238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238">
        <f ca="1">ROUND(IF(ISERROR(OFFSET(Rame!$A$1,MATCH(H316,Rame!$A:$A,0)-1,MATCH(J316,Rame!$A$1:$AA$1,0)-1)=TRUE),0,OFFSET(Rame!$A$1,MATCH(H316,Rame!$A:$A,0)-1,MATCH(J316,Rame!$A$1:$AA$1,0)-1))*IF(E316="Rame",1,0),4)</f>
        <v>0</v>
      </c>
      <c r="N316" s="238">
        <v>0</v>
      </c>
      <c r="O316" s="238">
        <v>1.73</v>
      </c>
      <c r="P316" s="238">
        <f ca="1">ROUND(+IF(ISERROR(OFFSET(Tabella!$G$1,MATCH(H316,Tabella!$G:$G,0)-1,MATCH(I316,Tabella!$G$1:$FG$1,0)-1)=TRUE),0,OFFSET(Tabella!$G$1,MATCH(H316,Tabella!$G:$G,0)-1,MATCH(I316,Tabella!$G$1:$AB$1,0)-1)),4)</f>
        <v>0</v>
      </c>
      <c r="Q316" s="238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238">
        <f ca="1">ROUND(IF(ISERROR(OFFSET(Rame!$F$1,MATCH(H316,Rame!$F:$F,0)-1,MATCH(I316,Rame!$F$1:$FF$1,0)-1)=TRUE),0,OFFSET(Rame!$F$1,MATCH(H316,Rame!$F:$F,0)-1,MATCH(I316,Rame!$F$1:$FF$1,0)-1))*IF(E316="Rame",1,0),4)</f>
        <v>0</v>
      </c>
      <c r="S316" s="238">
        <f ca="1">ROUND(IF(ISERROR(OFFSET(Bronzo!$A$1,MATCH(H316,Bronzo!$A:$A,0)-1,MATCH(I316,Bronzo!$A$1:$AA$1,0)-1)=TRUE),0,OFFSET(Bronzo!$A$1,MATCH(H316,Bronzo!$A:$A,0)-1,MATCH(I316,Bronzo!$A$1:$AA$1,0)-1)),4)</f>
        <v>0</v>
      </c>
      <c r="T316" s="238">
        <f t="shared" ca="1" si="219"/>
        <v>0</v>
      </c>
      <c r="U316" s="237"/>
      <c r="V316" s="238">
        <v>0</v>
      </c>
      <c r="W316" s="239">
        <f t="shared" ca="1" si="220"/>
        <v>1.73</v>
      </c>
      <c r="X316" s="423">
        <f t="shared" si="218"/>
        <v>76.58</v>
      </c>
      <c r="Y316" s="236">
        <v>4.57</v>
      </c>
      <c r="Z316" s="236">
        <f t="shared" ca="1" si="221"/>
        <v>-0.13</v>
      </c>
      <c r="AA316" s="241"/>
      <c r="AF316" s="225">
        <f t="shared" ca="1" si="212"/>
        <v>46236</v>
      </c>
      <c r="AG316" s="225" t="b">
        <f t="shared" si="222"/>
        <v>1</v>
      </c>
      <c r="AH316" s="242"/>
      <c r="AS316" s="223">
        <f t="shared" si="233"/>
        <v>0</v>
      </c>
      <c r="AT316" s="223">
        <f t="shared" si="234"/>
        <v>0</v>
      </c>
    </row>
    <row r="317" spans="2:46" ht="15.75" x14ac:dyDescent="0.25">
      <c r="B317" s="229" t="s">
        <v>756</v>
      </c>
      <c r="C317" s="245" t="s">
        <v>418</v>
      </c>
      <c r="D317" s="246">
        <v>1217</v>
      </c>
      <c r="E317" s="232" t="s">
        <v>4</v>
      </c>
      <c r="F317" s="233">
        <v>2.97</v>
      </c>
      <c r="G317" s="234">
        <v>46115</v>
      </c>
      <c r="H317" s="235" t="s">
        <v>22</v>
      </c>
      <c r="I317" s="235"/>
      <c r="J317" s="236">
        <v>7.0000000000000007E-2</v>
      </c>
      <c r="K317" s="237">
        <f ca="1">ROUND(IF(ISERROR(OFFSET(Tabella!$A$1,MATCH(H317,Tabella!$A:$A,0)-1,MATCH(J317,Tabella!$A$1:$AC$1,0)-1)=TRUE),0,+OFFSET(Tabella!$A$1,MATCH(H317,Tabella!$A:$A,0)-1,MATCH(J317,Tabella!$A$1:$AC$1,0)-1)),4)</f>
        <v>1.25</v>
      </c>
      <c r="L317" s="238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238">
        <f ca="1">ROUND(IF(ISERROR(OFFSET(Rame!$A$1,MATCH(H317,Rame!$A:$A,0)-1,MATCH(J317,Rame!$A$1:$AA$1,0)-1)=TRUE),0,OFFSET(Rame!$A$1,MATCH(H317,Rame!$A:$A,0)-1,MATCH(J317,Rame!$A$1:$AA$1,0)-1))*IF(E317="Rame",1,0),4)</f>
        <v>0</v>
      </c>
      <c r="N317" s="238">
        <v>0</v>
      </c>
      <c r="O317" s="238">
        <v>1.73</v>
      </c>
      <c r="P317" s="238">
        <f ca="1">ROUND(+IF(ISERROR(OFFSET(Tabella!$G$1,MATCH(H317,Tabella!$G:$G,0)-1,MATCH(I317,Tabella!$G$1:$FG$1,0)-1)=TRUE),0,OFFSET(Tabella!$G$1,MATCH(H317,Tabella!$G:$G,0)-1,MATCH(I317,Tabella!$G$1:$AB$1,0)-1)),4)</f>
        <v>0</v>
      </c>
      <c r="Q317" s="238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238">
        <f ca="1">ROUND(IF(ISERROR(OFFSET(Rame!$F$1,MATCH(H317,Rame!$F:$F,0)-1,MATCH(I317,Rame!$F$1:$FF$1,0)-1)=TRUE),0,OFFSET(Rame!$F$1,MATCH(H317,Rame!$F:$F,0)-1,MATCH(I317,Rame!$F$1:$FF$1,0)-1))*IF(E317="Rame",1,0),4)</f>
        <v>0</v>
      </c>
      <c r="S317" s="238">
        <f ca="1">ROUND(IF(ISERROR(OFFSET(Bronzo!$A$1,MATCH(H317,Bronzo!$A:$A,0)-1,MATCH(I317,Bronzo!$A$1:$AA$1,0)-1)=TRUE),0,OFFSET(Bronzo!$A$1,MATCH(H317,Bronzo!$A:$A,0)-1,MATCH(I317,Bronzo!$A$1:$AA$1,0)-1)),4)</f>
        <v>0</v>
      </c>
      <c r="T317" s="238">
        <f t="shared" ca="1" si="219"/>
        <v>0</v>
      </c>
      <c r="U317" s="237"/>
      <c r="V317" s="238">
        <v>0</v>
      </c>
      <c r="W317" s="239">
        <f t="shared" ca="1" si="220"/>
        <v>1.73</v>
      </c>
      <c r="X317" s="423">
        <f t="shared" si="218"/>
        <v>85.19</v>
      </c>
      <c r="Y317" s="236">
        <v>4.57</v>
      </c>
      <c r="Z317" s="236">
        <f t="shared" ca="1" si="221"/>
        <v>-0.13</v>
      </c>
      <c r="AA317" s="241"/>
      <c r="AF317" s="225">
        <f t="shared" ca="1" si="212"/>
        <v>46236</v>
      </c>
      <c r="AG317" s="225" t="b">
        <f t="shared" si="222"/>
        <v>1</v>
      </c>
      <c r="AH317" s="242"/>
      <c r="AS317" s="223">
        <f t="shared" si="233"/>
        <v>0</v>
      </c>
      <c r="AT317" s="223">
        <f t="shared" si="234"/>
        <v>0</v>
      </c>
    </row>
    <row r="318" spans="2:46" ht="15.75" x14ac:dyDescent="0.25">
      <c r="B318" s="229" t="s">
        <v>516</v>
      </c>
      <c r="C318" s="235" t="s">
        <v>418</v>
      </c>
      <c r="D318" s="243">
        <v>2000</v>
      </c>
      <c r="E318" s="232" t="s">
        <v>4</v>
      </c>
      <c r="F318" s="233">
        <v>2.97</v>
      </c>
      <c r="G318" s="234">
        <v>46115</v>
      </c>
      <c r="H318" s="235" t="s">
        <v>28</v>
      </c>
      <c r="I318" s="235"/>
      <c r="J318" s="236">
        <v>7.0000000000000007E-2</v>
      </c>
      <c r="K318" s="237">
        <f ca="1">ROUND(IF(ISERROR(OFFSET(Tabella!$A$1,MATCH(H318,Tabella!$A:$A,0)-1,MATCH(J318,Tabella!$A$1:$AC$1,0)-1)=TRUE),0,+OFFSET(Tabella!$A$1,MATCH(H318,Tabella!$A:$A,0)-1,MATCH(J318,Tabella!$A$1:$AC$1,0)-1)),4)</f>
        <v>1.25</v>
      </c>
      <c r="L318" s="238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238">
        <f ca="1">ROUND(IF(ISERROR(OFFSET(Rame!$A$1,MATCH(H318,Rame!$A:$A,0)-1,MATCH(J318,Rame!$A$1:$AA$1,0)-1)=TRUE),0,OFFSET(Rame!$A$1,MATCH(H318,Rame!$A:$A,0)-1,MATCH(J318,Rame!$A$1:$AA$1,0)-1))*IF(E318="Rame",1,0),4)</f>
        <v>0</v>
      </c>
      <c r="N318" s="238">
        <v>0</v>
      </c>
      <c r="O318" s="238">
        <v>1.73</v>
      </c>
      <c r="P318" s="238">
        <f ca="1">ROUND(+IF(ISERROR(OFFSET(Tabella!$G$1,MATCH(H318,Tabella!$G:$G,0)-1,MATCH(I318,Tabella!$G$1:$FG$1,0)-1)=TRUE),0,OFFSET(Tabella!$G$1,MATCH(H318,Tabella!$G:$G,0)-1,MATCH(I318,Tabella!$G$1:$AB$1,0)-1)),4)</f>
        <v>0</v>
      </c>
      <c r="Q318" s="238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238">
        <f ca="1">ROUND(IF(ISERROR(OFFSET(Rame!$F$1,MATCH(H318,Rame!$F:$F,0)-1,MATCH(I318,Rame!$F$1:$FF$1,0)-1)=TRUE),0,OFFSET(Rame!$F$1,MATCH(H318,Rame!$F:$F,0)-1,MATCH(I318,Rame!$F$1:$FF$1,0)-1))*IF(E318="Rame",1,0),4)</f>
        <v>0</v>
      </c>
      <c r="S318" s="238">
        <f ca="1">ROUND(IF(ISERROR(OFFSET(Bronzo!$A$1,MATCH(H318,Bronzo!$A:$A,0)-1,MATCH(I318,Bronzo!$A$1:$AA$1,0)-1)=TRUE),0,OFFSET(Bronzo!$A$1,MATCH(H318,Bronzo!$A:$A,0)-1,MATCH(I318,Bronzo!$A$1:$AA$1,0)-1)),4)</f>
        <v>0</v>
      </c>
      <c r="T318" s="238">
        <f t="shared" ca="1" si="219"/>
        <v>0</v>
      </c>
      <c r="U318" s="237"/>
      <c r="V318" s="238">
        <v>0</v>
      </c>
      <c r="W318" s="239">
        <f t="shared" ca="1" si="220"/>
        <v>1.73</v>
      </c>
      <c r="X318" s="240">
        <f t="shared" si="218"/>
        <v>140</v>
      </c>
      <c r="Y318" s="236">
        <v>4.57</v>
      </c>
      <c r="Z318" s="236">
        <f t="shared" ca="1" si="221"/>
        <v>-0.13</v>
      </c>
      <c r="AA318" s="241">
        <v>46155</v>
      </c>
      <c r="AF318" s="225">
        <f t="shared" ca="1" si="212"/>
        <v>46236</v>
      </c>
      <c r="AG318" s="225" t="b">
        <f t="shared" si="222"/>
        <v>0</v>
      </c>
      <c r="AH318" s="242"/>
      <c r="AS318" s="223">
        <f t="shared" si="233"/>
        <v>5</v>
      </c>
      <c r="AT318" s="223">
        <f t="shared" si="234"/>
        <v>2026</v>
      </c>
    </row>
    <row r="319" spans="2:46" ht="15.75" x14ac:dyDescent="0.25">
      <c r="B319" s="229" t="s">
        <v>756</v>
      </c>
      <c r="C319" s="245" t="s">
        <v>418</v>
      </c>
      <c r="D319" s="246">
        <v>1044</v>
      </c>
      <c r="E319" s="232" t="s">
        <v>4</v>
      </c>
      <c r="F319" s="233">
        <v>2.97</v>
      </c>
      <c r="G319" s="234">
        <v>46115</v>
      </c>
      <c r="H319" s="235" t="s">
        <v>310</v>
      </c>
      <c r="I319" s="235"/>
      <c r="J319" s="236">
        <v>7.0000000000000007E-2</v>
      </c>
      <c r="K319" s="237">
        <f ca="1">ROUND(IF(ISERROR(OFFSET(Tabella!$A$1,MATCH(H319,Tabella!$A:$A,0)-1,MATCH(J319,Tabella!$A$1:$AC$1,0)-1)=TRUE),0,+OFFSET(Tabella!$A$1,MATCH(H319,Tabella!$A:$A,0)-1,MATCH(J319,Tabella!$A$1:$AC$1,0)-1)),4)</f>
        <v>1.25</v>
      </c>
      <c r="L319" s="238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238">
        <f ca="1">ROUND(IF(ISERROR(OFFSET(Rame!$A$1,MATCH(H319,Rame!$A:$A,0)-1,MATCH(J319,Rame!$A$1:$AA$1,0)-1)=TRUE),0,OFFSET(Rame!$A$1,MATCH(H319,Rame!$A:$A,0)-1,MATCH(J319,Rame!$A$1:$AA$1,0)-1))*IF(E319="Rame",1,0),4)</f>
        <v>0</v>
      </c>
      <c r="N319" s="238">
        <v>0</v>
      </c>
      <c r="O319" s="238">
        <v>1.73</v>
      </c>
      <c r="P319" s="238">
        <f ca="1">ROUND(+IF(ISERROR(OFFSET(Tabella!$G$1,MATCH(H319,Tabella!$G:$G,0)-1,MATCH(I319,Tabella!$G$1:$FG$1,0)-1)=TRUE),0,OFFSET(Tabella!$G$1,MATCH(H319,Tabella!$G:$G,0)-1,MATCH(I319,Tabella!$G$1:$AB$1,0)-1)),4)</f>
        <v>0</v>
      </c>
      <c r="Q319" s="238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238">
        <f ca="1">ROUND(IF(ISERROR(OFFSET(Rame!$F$1,MATCH(H319,Rame!$F:$F,0)-1,MATCH(I319,Rame!$F$1:$FF$1,0)-1)=TRUE),0,OFFSET(Rame!$F$1,MATCH(H319,Rame!$F:$F,0)-1,MATCH(I319,Rame!$F$1:$FF$1,0)-1))*IF(E319="Rame",1,0),4)</f>
        <v>0</v>
      </c>
      <c r="S319" s="238">
        <f ca="1">ROUND(IF(ISERROR(OFFSET(Bronzo!$A$1,MATCH(H319,Bronzo!$A:$A,0)-1,MATCH(I319,Bronzo!$A$1:$AA$1,0)-1)=TRUE),0,OFFSET(Bronzo!$A$1,MATCH(H319,Bronzo!$A:$A,0)-1,MATCH(I319,Bronzo!$A$1:$AA$1,0)-1)),4)</f>
        <v>0</v>
      </c>
      <c r="T319" s="238">
        <f t="shared" ca="1" si="219"/>
        <v>0</v>
      </c>
      <c r="U319" s="237"/>
      <c r="V319" s="238">
        <v>0</v>
      </c>
      <c r="W319" s="239">
        <f t="shared" ca="1" si="220"/>
        <v>1.73</v>
      </c>
      <c r="X319" s="423">
        <f t="shared" si="218"/>
        <v>73.08</v>
      </c>
      <c r="Y319" s="236">
        <v>4.57</v>
      </c>
      <c r="Z319" s="236">
        <f t="shared" ca="1" si="221"/>
        <v>-0.13</v>
      </c>
      <c r="AA319" s="241"/>
      <c r="AF319" s="225">
        <f t="shared" ca="1" si="212"/>
        <v>46236</v>
      </c>
      <c r="AG319" s="225" t="b">
        <f t="shared" si="222"/>
        <v>1</v>
      </c>
      <c r="AH319" s="242"/>
      <c r="AS319" s="223">
        <f t="shared" si="233"/>
        <v>0</v>
      </c>
      <c r="AT319" s="223">
        <f t="shared" si="234"/>
        <v>0</v>
      </c>
    </row>
    <row r="320" spans="2:46" ht="15.75" x14ac:dyDescent="0.25">
      <c r="B320" s="229" t="s">
        <v>658</v>
      </c>
      <c r="C320" s="245" t="s">
        <v>504</v>
      </c>
      <c r="D320" s="246">
        <v>374</v>
      </c>
      <c r="E320" s="232" t="s">
        <v>4</v>
      </c>
      <c r="F320" s="233">
        <v>3.07</v>
      </c>
      <c r="G320" s="234">
        <v>46135</v>
      </c>
      <c r="H320" s="235" t="s">
        <v>22</v>
      </c>
      <c r="I320" s="235"/>
      <c r="J320" s="236">
        <v>7.0000000000000007E-2</v>
      </c>
      <c r="K320" s="237">
        <f ca="1">ROUND(IF(ISERROR(OFFSET(Tabella!$A$1,MATCH(H320,Tabella!$A:$A,0)-1,MATCH(J320,Tabella!$A$1:$AC$1,0)-1)=TRUE),0,+OFFSET(Tabella!$A$1,MATCH(H320,Tabella!$A:$A,0)-1,MATCH(J320,Tabella!$A$1:$AC$1,0)-1)),4)</f>
        <v>1.25</v>
      </c>
      <c r="L320" s="238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238">
        <f ca="1">ROUND(IF(ISERROR(OFFSET(Rame!$A$1,MATCH(H320,Rame!$A:$A,0)-1,MATCH(J320,Rame!$A$1:$AA$1,0)-1)=TRUE),0,OFFSET(Rame!$A$1,MATCH(H320,Rame!$A:$A,0)-1,MATCH(J320,Rame!$A$1:$AA$1,0)-1))*IF(E320="Rame",1,0),4)</f>
        <v>0</v>
      </c>
      <c r="N320" s="238">
        <v>0</v>
      </c>
      <c r="O320" s="238">
        <v>1.73</v>
      </c>
      <c r="P320" s="238">
        <f ca="1">ROUND(+IF(ISERROR(OFFSET(Tabella!$G$1,MATCH(H320,Tabella!$G:$G,0)-1,MATCH(I320,Tabella!$G$1:$FG$1,0)-1)=TRUE),0,OFFSET(Tabella!$G$1,MATCH(H320,Tabella!$G:$G,0)-1,MATCH(I320,Tabella!$G$1:$AB$1,0)-1)),4)</f>
        <v>0</v>
      </c>
      <c r="Q320" s="238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238">
        <f ca="1">ROUND(IF(ISERROR(OFFSET(Rame!$F$1,MATCH(H320,Rame!$F:$F,0)-1,MATCH(I320,Rame!$F$1:$FF$1,0)-1)=TRUE),0,OFFSET(Rame!$F$1,MATCH(H320,Rame!$F:$F,0)-1,MATCH(I320,Rame!$F$1:$FF$1,0)-1))*IF(E320="Rame",1,0),4)</f>
        <v>0</v>
      </c>
      <c r="S320" s="238">
        <f ca="1">ROUND(IF(ISERROR(OFFSET(Bronzo!$A$1,MATCH(H320,Bronzo!$A:$A,0)-1,MATCH(I320,Bronzo!$A$1:$AA$1,0)-1)=TRUE),0,OFFSET(Bronzo!$A$1,MATCH(H320,Bronzo!$A:$A,0)-1,MATCH(I320,Bronzo!$A$1:$AA$1,0)-1)),4)</f>
        <v>0</v>
      </c>
      <c r="T320" s="238">
        <f t="shared" ca="1" si="219"/>
        <v>0</v>
      </c>
      <c r="U320" s="237"/>
      <c r="V320" s="238">
        <v>0</v>
      </c>
      <c r="W320" s="239">
        <f t="shared" ca="1" si="220"/>
        <v>1.73</v>
      </c>
      <c r="X320" s="423">
        <f t="shared" si="218"/>
        <v>26.18</v>
      </c>
      <c r="Y320" s="236">
        <v>4.8</v>
      </c>
      <c r="Z320" s="236">
        <f t="shared" ca="1" si="221"/>
        <v>0</v>
      </c>
      <c r="AA320" s="241"/>
      <c r="AF320" s="225">
        <f t="shared" ca="1" si="212"/>
        <v>46236</v>
      </c>
      <c r="AG320" s="225" t="b">
        <f t="shared" si="222"/>
        <v>1</v>
      </c>
      <c r="AH320" s="242"/>
      <c r="AS320" s="223">
        <f t="shared" si="233"/>
        <v>0</v>
      </c>
      <c r="AT320" s="223">
        <f t="shared" si="234"/>
        <v>0</v>
      </c>
    </row>
    <row r="321" spans="2:46" ht="15.75" x14ac:dyDescent="0.25">
      <c r="B321" s="229" t="s">
        <v>515</v>
      </c>
      <c r="C321" s="235" t="s">
        <v>102</v>
      </c>
      <c r="D321" s="243">
        <v>1800</v>
      </c>
      <c r="E321" s="232" t="s">
        <v>4</v>
      </c>
      <c r="F321" s="233">
        <v>2.65</v>
      </c>
      <c r="G321" s="234">
        <v>46050</v>
      </c>
      <c r="H321" s="235" t="s">
        <v>27</v>
      </c>
      <c r="I321" s="235"/>
      <c r="J321" s="236">
        <v>7.0000000000000007E-2</v>
      </c>
      <c r="K321" s="237">
        <f ca="1">ROUND(IF(ISERROR(OFFSET(Tabella!$A$1,MATCH(H321,Tabella!$A:$A,0)-1,MATCH(J321,Tabella!$A$1:$AC$1,0)-1)=TRUE),0,+OFFSET(Tabella!$A$1,MATCH(H321,Tabella!$A:$A,0)-1,MATCH(J321,Tabella!$A$1:$AC$1,0)-1)),4)</f>
        <v>1.25</v>
      </c>
      <c r="L321" s="238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238">
        <f ca="1">ROUND(IF(ISERROR(OFFSET(Rame!$A$1,MATCH(H321,Rame!$A:$A,0)-1,MATCH(J321,Rame!$A$1:$AA$1,0)-1)=TRUE),0,OFFSET(Rame!$A$1,MATCH(H321,Rame!$A:$A,0)-1,MATCH(J321,Rame!$A$1:$AA$1,0)-1))*IF(E321="Rame",1,0),4)</f>
        <v>0</v>
      </c>
      <c r="N321" s="238">
        <v>0</v>
      </c>
      <c r="O321" s="238">
        <v>1.5</v>
      </c>
      <c r="P321" s="238">
        <f ca="1">ROUND(+IF(ISERROR(OFFSET(Tabella!$G$1,MATCH(H321,Tabella!$G:$G,0)-1,MATCH(I321,Tabella!$G$1:$FG$1,0)-1)=TRUE),0,OFFSET(Tabella!$G$1,MATCH(H321,Tabella!$G:$G,0)-1,MATCH(I321,Tabella!$G$1:$AB$1,0)-1)),4)</f>
        <v>0</v>
      </c>
      <c r="Q321" s="238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238">
        <f ca="1">ROUND(IF(ISERROR(OFFSET(Rame!$F$1,MATCH(H321,Rame!$F:$F,0)-1,MATCH(I321,Rame!$F$1:$FF$1,0)-1)=TRUE),0,OFFSET(Rame!$F$1,MATCH(H321,Rame!$F:$F,0)-1,MATCH(I321,Rame!$F$1:$FF$1,0)-1))*IF(E321="Rame",1,0),4)</f>
        <v>0</v>
      </c>
      <c r="S321" s="238">
        <f ca="1">ROUND(IF(ISERROR(OFFSET(Bronzo!$A$1,MATCH(H321,Bronzo!$A:$A,0)-1,MATCH(I321,Bronzo!$A$1:$AA$1,0)-1)=TRUE),0,OFFSET(Bronzo!$A$1,MATCH(H321,Bronzo!$A:$A,0)-1,MATCH(I321,Bronzo!$A$1:$AA$1,0)-1)),4)</f>
        <v>0</v>
      </c>
      <c r="T321" s="238">
        <f t="shared" ca="1" si="219"/>
        <v>0</v>
      </c>
      <c r="U321" s="237"/>
      <c r="V321" s="238">
        <v>0</v>
      </c>
      <c r="W321" s="239">
        <f t="shared" ca="1" si="220"/>
        <v>1.5</v>
      </c>
      <c r="X321" s="240">
        <f t="shared" si="218"/>
        <v>126</v>
      </c>
      <c r="Y321" s="236">
        <v>4.1500000000000004</v>
      </c>
      <c r="Z321" s="236">
        <f t="shared" ca="1" si="221"/>
        <v>0</v>
      </c>
      <c r="AA321" s="241">
        <v>46176</v>
      </c>
      <c r="AD321" s="238"/>
      <c r="AF321" s="225">
        <f t="shared" ca="1" si="212"/>
        <v>46236</v>
      </c>
      <c r="AG321" s="225" t="b">
        <f t="shared" si="222"/>
        <v>0</v>
      </c>
      <c r="AH321" s="242"/>
      <c r="AS321" s="223">
        <f t="shared" si="233"/>
        <v>6</v>
      </c>
      <c r="AT321" s="223">
        <f t="shared" si="234"/>
        <v>2026</v>
      </c>
    </row>
    <row r="322" spans="2:46" ht="15.75" x14ac:dyDescent="0.25">
      <c r="B322" s="229" t="s">
        <v>515</v>
      </c>
      <c r="C322" s="235" t="s">
        <v>102</v>
      </c>
      <c r="D322" s="243">
        <v>1200</v>
      </c>
      <c r="E322" s="232" t="s">
        <v>4</v>
      </c>
      <c r="F322" s="233">
        <v>2.65</v>
      </c>
      <c r="G322" s="234">
        <v>46050</v>
      </c>
      <c r="H322" s="235" t="s">
        <v>27</v>
      </c>
      <c r="I322" s="235"/>
      <c r="J322" s="236">
        <v>7.0000000000000007E-2</v>
      </c>
      <c r="K322" s="237">
        <f ca="1">ROUND(IF(ISERROR(OFFSET(Tabella!$A$1,MATCH(H322,Tabella!$A:$A,0)-1,MATCH(J322,Tabella!$A$1:$AC$1,0)-1)=TRUE),0,+OFFSET(Tabella!$A$1,MATCH(H322,Tabella!$A:$A,0)-1,MATCH(J322,Tabella!$A$1:$AC$1,0)-1)),4)</f>
        <v>1.25</v>
      </c>
      <c r="L322" s="238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238">
        <f ca="1">ROUND(IF(ISERROR(OFFSET(Rame!$A$1,MATCH(H322,Rame!$A:$A,0)-1,MATCH(J322,Rame!$A$1:$AA$1,0)-1)=TRUE),0,OFFSET(Rame!$A$1,MATCH(H322,Rame!$A:$A,0)-1,MATCH(J322,Rame!$A$1:$AA$1,0)-1))*IF(E322="Rame",1,0),4)</f>
        <v>0</v>
      </c>
      <c r="N322" s="238">
        <v>0</v>
      </c>
      <c r="O322" s="238">
        <v>1.5</v>
      </c>
      <c r="P322" s="238">
        <f ca="1">ROUND(+IF(ISERROR(OFFSET(Tabella!$G$1,MATCH(H322,Tabella!$G:$G,0)-1,MATCH(I322,Tabella!$G$1:$FG$1,0)-1)=TRUE),0,OFFSET(Tabella!$G$1,MATCH(H322,Tabella!$G:$G,0)-1,MATCH(I322,Tabella!$G$1:$AB$1,0)-1)),4)</f>
        <v>0</v>
      </c>
      <c r="Q322" s="238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238">
        <f ca="1">ROUND(IF(ISERROR(OFFSET(Rame!$F$1,MATCH(H322,Rame!$F:$F,0)-1,MATCH(I322,Rame!$F$1:$FF$1,0)-1)=TRUE),0,OFFSET(Rame!$F$1,MATCH(H322,Rame!$F:$F,0)-1,MATCH(I322,Rame!$F$1:$FF$1,0)-1))*IF(E322="Rame",1,0),4)</f>
        <v>0</v>
      </c>
      <c r="S322" s="238">
        <f ca="1">ROUND(IF(ISERROR(OFFSET(Bronzo!$A$1,MATCH(H322,Bronzo!$A:$A,0)-1,MATCH(I322,Bronzo!$A$1:$AA$1,0)-1)=TRUE),0,OFFSET(Bronzo!$A$1,MATCH(H322,Bronzo!$A:$A,0)-1,MATCH(I322,Bronzo!$A$1:$AA$1,0)-1)),4)</f>
        <v>0</v>
      </c>
      <c r="T322" s="238">
        <f t="shared" ca="1" si="219"/>
        <v>0</v>
      </c>
      <c r="U322" s="237"/>
      <c r="V322" s="238">
        <v>0</v>
      </c>
      <c r="W322" s="239">
        <f t="shared" ca="1" si="220"/>
        <v>1.5</v>
      </c>
      <c r="X322" s="240">
        <f t="shared" si="218"/>
        <v>84</v>
      </c>
      <c r="Y322" s="236">
        <v>4.1500000000000004</v>
      </c>
      <c r="Z322" s="236">
        <f t="shared" ca="1" si="221"/>
        <v>0</v>
      </c>
      <c r="AA322" s="241">
        <v>46183</v>
      </c>
      <c r="AF322" s="225">
        <f t="shared" ca="1" si="212"/>
        <v>46236</v>
      </c>
      <c r="AG322" s="225" t="b">
        <f t="shared" si="222"/>
        <v>0</v>
      </c>
      <c r="AH322" s="242"/>
      <c r="AS322" s="223">
        <f t="shared" si="233"/>
        <v>6</v>
      </c>
      <c r="AT322" s="223">
        <f t="shared" si="234"/>
        <v>2026</v>
      </c>
    </row>
    <row r="323" spans="2:46" ht="15.75" x14ac:dyDescent="0.25">
      <c r="B323" s="229" t="s">
        <v>515</v>
      </c>
      <c r="C323" s="235" t="s">
        <v>102</v>
      </c>
      <c r="D323" s="243">
        <v>2200</v>
      </c>
      <c r="E323" s="232" t="s">
        <v>4</v>
      </c>
      <c r="F323" s="233">
        <v>2.65</v>
      </c>
      <c r="G323" s="234">
        <v>46050</v>
      </c>
      <c r="H323" s="235" t="s">
        <v>310</v>
      </c>
      <c r="I323" s="235"/>
      <c r="J323" s="236">
        <v>7.0000000000000007E-2</v>
      </c>
      <c r="K323" s="237">
        <f ca="1">ROUND(IF(ISERROR(OFFSET(Tabella!$A$1,MATCH(H323,Tabella!$A:$A,0)-1,MATCH(J323,Tabella!$A$1:$AC$1,0)-1)=TRUE),0,+OFFSET(Tabella!$A$1,MATCH(H323,Tabella!$A:$A,0)-1,MATCH(J323,Tabella!$A$1:$AC$1,0)-1)),4)</f>
        <v>1.25</v>
      </c>
      <c r="L323" s="238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238">
        <f ca="1">ROUND(IF(ISERROR(OFFSET(Rame!$A$1,MATCH(H323,Rame!$A:$A,0)-1,MATCH(J323,Rame!$A$1:$AA$1,0)-1)=TRUE),0,OFFSET(Rame!$A$1,MATCH(H323,Rame!$A:$A,0)-1,MATCH(J323,Rame!$A$1:$AA$1,0)-1))*IF(E323="Rame",1,0),4)</f>
        <v>0</v>
      </c>
      <c r="N323" s="238">
        <v>0</v>
      </c>
      <c r="O323" s="238">
        <v>1.5</v>
      </c>
      <c r="P323" s="238">
        <f ca="1">ROUND(+IF(ISERROR(OFFSET(Tabella!$G$1,MATCH(H323,Tabella!$G:$G,0)-1,MATCH(I323,Tabella!$G$1:$FG$1,0)-1)=TRUE),0,OFFSET(Tabella!$G$1,MATCH(H323,Tabella!$G:$G,0)-1,MATCH(I323,Tabella!$G$1:$AB$1,0)-1)),4)</f>
        <v>0</v>
      </c>
      <c r="Q323" s="238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238">
        <f ca="1">ROUND(IF(ISERROR(OFFSET(Rame!$F$1,MATCH(H323,Rame!$F:$F,0)-1,MATCH(I323,Rame!$F$1:$FF$1,0)-1)=TRUE),0,OFFSET(Rame!$F$1,MATCH(H323,Rame!$F:$F,0)-1,MATCH(I323,Rame!$F$1:$FF$1,0)-1))*IF(E323="Rame",1,0),4)</f>
        <v>0</v>
      </c>
      <c r="S323" s="238">
        <f ca="1">ROUND(IF(ISERROR(OFFSET(Bronzo!$A$1,MATCH(H323,Bronzo!$A:$A,0)-1,MATCH(I323,Bronzo!$A$1:$AA$1,0)-1)=TRUE),0,OFFSET(Bronzo!$A$1,MATCH(H323,Bronzo!$A:$A,0)-1,MATCH(I323,Bronzo!$A$1:$AA$1,0)-1)),4)</f>
        <v>0</v>
      </c>
      <c r="T323" s="238">
        <f t="shared" ca="1" si="219"/>
        <v>0</v>
      </c>
      <c r="U323" s="237"/>
      <c r="V323" s="238">
        <v>0</v>
      </c>
      <c r="W323" s="239">
        <f t="shared" ca="1" si="220"/>
        <v>1.5</v>
      </c>
      <c r="X323" s="240">
        <f t="shared" si="218"/>
        <v>154</v>
      </c>
      <c r="Y323" s="236">
        <v>4.1500000000000004</v>
      </c>
      <c r="Z323" s="236">
        <f t="shared" ca="1" si="221"/>
        <v>0</v>
      </c>
      <c r="AA323" s="241">
        <v>46183</v>
      </c>
      <c r="AF323" s="225">
        <f t="shared" ca="1" si="212"/>
        <v>46236</v>
      </c>
      <c r="AG323" s="225" t="b">
        <f t="shared" si="222"/>
        <v>0</v>
      </c>
      <c r="AH323" s="242"/>
      <c r="AS323" s="223">
        <f t="shared" si="233"/>
        <v>6</v>
      </c>
      <c r="AT323" s="223">
        <f t="shared" si="234"/>
        <v>2026</v>
      </c>
    </row>
    <row r="324" spans="2:46" ht="15.75" x14ac:dyDescent="0.25">
      <c r="B324" s="229" t="s">
        <v>515</v>
      </c>
      <c r="C324" s="235" t="s">
        <v>102</v>
      </c>
      <c r="D324" s="243">
        <v>1800</v>
      </c>
      <c r="E324" s="232" t="s">
        <v>4</v>
      </c>
      <c r="F324" s="233">
        <v>2.65</v>
      </c>
      <c r="G324" s="234">
        <v>46050</v>
      </c>
      <c r="H324" s="235" t="s">
        <v>25</v>
      </c>
      <c r="I324" s="235"/>
      <c r="J324" s="236">
        <v>7.0000000000000007E-2</v>
      </c>
      <c r="K324" s="237">
        <f ca="1">ROUND(IF(ISERROR(OFFSET(Tabella!$A$1,MATCH(H324,Tabella!$A:$A,0)-1,MATCH(J324,Tabella!$A$1:$AC$1,0)-1)=TRUE),0,+OFFSET(Tabella!$A$1,MATCH(H324,Tabella!$A:$A,0)-1,MATCH(J324,Tabella!$A$1:$AC$1,0)-1)),4)</f>
        <v>1.25</v>
      </c>
      <c r="L324" s="238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238">
        <f ca="1">ROUND(IF(ISERROR(OFFSET(Rame!$A$1,MATCH(H324,Rame!$A:$A,0)-1,MATCH(J324,Rame!$A$1:$AA$1,0)-1)=TRUE),0,OFFSET(Rame!$A$1,MATCH(H324,Rame!$A:$A,0)-1,MATCH(J324,Rame!$A$1:$AA$1,0)-1))*IF(E324="Rame",1,0),4)</f>
        <v>0</v>
      </c>
      <c r="N324" s="238">
        <v>0</v>
      </c>
      <c r="O324" s="238">
        <v>1.5</v>
      </c>
      <c r="P324" s="238">
        <f ca="1">ROUND(+IF(ISERROR(OFFSET(Tabella!$G$1,MATCH(H324,Tabella!$G:$G,0)-1,MATCH(I324,Tabella!$G$1:$FG$1,0)-1)=TRUE),0,OFFSET(Tabella!$G$1,MATCH(H324,Tabella!$G:$G,0)-1,MATCH(I324,Tabella!$G$1:$AB$1,0)-1)),4)</f>
        <v>0</v>
      </c>
      <c r="Q324" s="238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238">
        <f ca="1">ROUND(IF(ISERROR(OFFSET(Rame!$F$1,MATCH(H324,Rame!$F:$F,0)-1,MATCH(I324,Rame!$F$1:$FF$1,0)-1)=TRUE),0,OFFSET(Rame!$F$1,MATCH(H324,Rame!$F:$F,0)-1,MATCH(I324,Rame!$F$1:$FF$1,0)-1))*IF(E324="Rame",1,0),4)</f>
        <v>0</v>
      </c>
      <c r="S324" s="238">
        <f ca="1">ROUND(IF(ISERROR(OFFSET(Bronzo!$A$1,MATCH(H324,Bronzo!$A:$A,0)-1,MATCH(I324,Bronzo!$A$1:$AA$1,0)-1)=TRUE),0,OFFSET(Bronzo!$A$1,MATCH(H324,Bronzo!$A:$A,0)-1,MATCH(I324,Bronzo!$A$1:$AA$1,0)-1)),4)</f>
        <v>0</v>
      </c>
      <c r="T324" s="238">
        <f t="shared" ca="1" si="219"/>
        <v>0</v>
      </c>
      <c r="U324" s="237"/>
      <c r="V324" s="238">
        <v>0</v>
      </c>
      <c r="W324" s="239">
        <f t="shared" ca="1" si="220"/>
        <v>1.5</v>
      </c>
      <c r="X324" s="240">
        <f t="shared" si="218"/>
        <v>126</v>
      </c>
      <c r="Y324" s="236">
        <v>4.1500000000000004</v>
      </c>
      <c r="Z324" s="236">
        <f t="shared" ca="1" si="221"/>
        <v>0</v>
      </c>
      <c r="AA324" s="241">
        <v>46183</v>
      </c>
      <c r="AF324" s="225">
        <f t="shared" ref="AF324:AF388" ca="1" si="242">TODAY()</f>
        <v>46236</v>
      </c>
      <c r="AG324" s="225" t="b">
        <f t="shared" si="222"/>
        <v>0</v>
      </c>
      <c r="AH324" s="242"/>
      <c r="AS324" s="223">
        <f t="shared" si="233"/>
        <v>6</v>
      </c>
      <c r="AT324" s="223">
        <f t="shared" si="234"/>
        <v>2026</v>
      </c>
    </row>
    <row r="325" spans="2:46" ht="15.75" x14ac:dyDescent="0.25">
      <c r="B325" s="229" t="s">
        <v>515</v>
      </c>
      <c r="C325" s="235" t="s">
        <v>102</v>
      </c>
      <c r="D325" s="243">
        <v>2500</v>
      </c>
      <c r="E325" s="232" t="s">
        <v>4</v>
      </c>
      <c r="F325" s="233">
        <v>2.65</v>
      </c>
      <c r="G325" s="234">
        <v>46050</v>
      </c>
      <c r="H325" s="235" t="s">
        <v>21</v>
      </c>
      <c r="I325" s="235"/>
      <c r="J325" s="236">
        <v>7.0000000000000007E-2</v>
      </c>
      <c r="K325" s="237">
        <f ca="1">ROUND(IF(ISERROR(OFFSET(Tabella!$A$1,MATCH(H325,Tabella!$A:$A,0)-1,MATCH(J325,Tabella!$A$1:$AC$1,0)-1)=TRUE),0,+OFFSET(Tabella!$A$1,MATCH(H325,Tabella!$A:$A,0)-1,MATCH(J325,Tabella!$A$1:$AC$1,0)-1)),4)</f>
        <v>1.25</v>
      </c>
      <c r="L325" s="238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238">
        <f ca="1">ROUND(IF(ISERROR(OFFSET(Rame!$A$1,MATCH(H325,Rame!$A:$A,0)-1,MATCH(J325,Rame!$A$1:$AA$1,0)-1)=TRUE),0,OFFSET(Rame!$A$1,MATCH(H325,Rame!$A:$A,0)-1,MATCH(J325,Rame!$A$1:$AA$1,0)-1))*IF(E325="Rame",1,0),4)</f>
        <v>0</v>
      </c>
      <c r="N325" s="238">
        <v>0</v>
      </c>
      <c r="O325" s="238">
        <v>1.5</v>
      </c>
      <c r="P325" s="238">
        <f ca="1">ROUND(+IF(ISERROR(OFFSET(Tabella!$G$1,MATCH(H325,Tabella!$G:$G,0)-1,MATCH(I325,Tabella!$G$1:$FG$1,0)-1)=TRUE),0,OFFSET(Tabella!$G$1,MATCH(H325,Tabella!$G:$G,0)-1,MATCH(I325,Tabella!$G$1:$AB$1,0)-1)),4)</f>
        <v>0</v>
      </c>
      <c r="Q325" s="238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238">
        <f ca="1">ROUND(IF(ISERROR(OFFSET(Rame!$F$1,MATCH(H325,Rame!$F:$F,0)-1,MATCH(I325,Rame!$F$1:$FF$1,0)-1)=TRUE),0,OFFSET(Rame!$F$1,MATCH(H325,Rame!$F:$F,0)-1,MATCH(I325,Rame!$F$1:$FF$1,0)-1))*IF(E325="Rame",1,0),4)</f>
        <v>0</v>
      </c>
      <c r="S325" s="238">
        <f ca="1">ROUND(IF(ISERROR(OFFSET(Bronzo!$A$1,MATCH(H325,Bronzo!$A:$A,0)-1,MATCH(I325,Bronzo!$A$1:$AA$1,0)-1)=TRUE),0,OFFSET(Bronzo!$A$1,MATCH(H325,Bronzo!$A:$A,0)-1,MATCH(I325,Bronzo!$A$1:$AA$1,0)-1)),4)</f>
        <v>0</v>
      </c>
      <c r="T325" s="238">
        <f t="shared" ca="1" si="219"/>
        <v>0</v>
      </c>
      <c r="U325" s="237"/>
      <c r="V325" s="238">
        <v>0</v>
      </c>
      <c r="W325" s="239">
        <f t="shared" ca="1" si="220"/>
        <v>1.5</v>
      </c>
      <c r="X325" s="240">
        <f t="shared" si="218"/>
        <v>175</v>
      </c>
      <c r="Y325" s="236">
        <v>4.1500000000000004</v>
      </c>
      <c r="Z325" s="236">
        <f t="shared" ca="1" si="221"/>
        <v>0</v>
      </c>
      <c r="AA325" s="241">
        <v>46192</v>
      </c>
      <c r="AF325" s="225">
        <f t="shared" ca="1" si="242"/>
        <v>46236</v>
      </c>
      <c r="AG325" s="225" t="b">
        <f t="shared" si="222"/>
        <v>0</v>
      </c>
      <c r="AH325" s="242"/>
      <c r="AS325" s="223">
        <f t="shared" si="233"/>
        <v>6</v>
      </c>
      <c r="AT325" s="223">
        <f t="shared" si="234"/>
        <v>2026</v>
      </c>
    </row>
    <row r="326" spans="2:46" ht="15.75" x14ac:dyDescent="0.25">
      <c r="B326" s="229" t="s">
        <v>515</v>
      </c>
      <c r="C326" s="235" t="s">
        <v>102</v>
      </c>
      <c r="D326" s="243">
        <v>1300</v>
      </c>
      <c r="E326" s="232" t="s">
        <v>4</v>
      </c>
      <c r="F326" s="233">
        <v>2.65</v>
      </c>
      <c r="G326" s="234">
        <v>46050</v>
      </c>
      <c r="H326" s="235" t="s">
        <v>23</v>
      </c>
      <c r="I326" s="235"/>
      <c r="J326" s="236">
        <v>7.0000000000000007E-2</v>
      </c>
      <c r="K326" s="237">
        <f ca="1">ROUND(IF(ISERROR(OFFSET(Tabella!$A$1,MATCH(H326,Tabella!$A:$A,0)-1,MATCH(J326,Tabella!$A$1:$AC$1,0)-1)=TRUE),0,+OFFSET(Tabella!$A$1,MATCH(H326,Tabella!$A:$A,0)-1,MATCH(J326,Tabella!$A$1:$AC$1,0)-1)),4)</f>
        <v>1.25</v>
      </c>
      <c r="L326" s="238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238">
        <f ca="1">ROUND(IF(ISERROR(OFFSET(Rame!$A$1,MATCH(H326,Rame!$A:$A,0)-1,MATCH(J326,Rame!$A$1:$AA$1,0)-1)=TRUE),0,OFFSET(Rame!$A$1,MATCH(H326,Rame!$A:$A,0)-1,MATCH(J326,Rame!$A$1:$AA$1,0)-1))*IF(E326="Rame",1,0),4)</f>
        <v>0</v>
      </c>
      <c r="N326" s="238">
        <v>0</v>
      </c>
      <c r="O326" s="238">
        <v>1.5</v>
      </c>
      <c r="P326" s="238">
        <f ca="1">ROUND(+IF(ISERROR(OFFSET(Tabella!$G$1,MATCH(H326,Tabella!$G:$G,0)-1,MATCH(I326,Tabella!$G$1:$FG$1,0)-1)=TRUE),0,OFFSET(Tabella!$G$1,MATCH(H326,Tabella!$G:$G,0)-1,MATCH(I326,Tabella!$G$1:$AB$1,0)-1)),4)</f>
        <v>0</v>
      </c>
      <c r="Q326" s="238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238">
        <f ca="1">ROUND(IF(ISERROR(OFFSET(Rame!$F$1,MATCH(H326,Rame!$F:$F,0)-1,MATCH(I326,Rame!$F$1:$FF$1,0)-1)=TRUE),0,OFFSET(Rame!$F$1,MATCH(H326,Rame!$F:$F,0)-1,MATCH(I326,Rame!$F$1:$FF$1,0)-1))*IF(E326="Rame",1,0),4)</f>
        <v>0</v>
      </c>
      <c r="S326" s="238">
        <f ca="1">ROUND(IF(ISERROR(OFFSET(Bronzo!$A$1,MATCH(H326,Bronzo!$A:$A,0)-1,MATCH(I326,Bronzo!$A$1:$AA$1,0)-1)=TRUE),0,OFFSET(Bronzo!$A$1,MATCH(H326,Bronzo!$A:$A,0)-1,MATCH(I326,Bronzo!$A$1:$AA$1,0)-1)),4)</f>
        <v>0</v>
      </c>
      <c r="T326" s="238">
        <f t="shared" ca="1" si="219"/>
        <v>0</v>
      </c>
      <c r="U326" s="237"/>
      <c r="V326" s="238">
        <v>0</v>
      </c>
      <c r="W326" s="239">
        <f t="shared" ca="1" si="220"/>
        <v>1.5</v>
      </c>
      <c r="X326" s="240">
        <f t="shared" si="218"/>
        <v>91</v>
      </c>
      <c r="Y326" s="236">
        <v>4.1500000000000004</v>
      </c>
      <c r="Z326" s="236">
        <f t="shared" ca="1" si="221"/>
        <v>0</v>
      </c>
      <c r="AA326" s="241">
        <v>46261</v>
      </c>
      <c r="AF326" s="225">
        <f t="shared" ca="1" si="242"/>
        <v>46236</v>
      </c>
      <c r="AG326" s="225" t="b">
        <f t="shared" si="222"/>
        <v>0</v>
      </c>
      <c r="AH326" s="242"/>
      <c r="AS326" s="223">
        <f t="shared" si="233"/>
        <v>8</v>
      </c>
      <c r="AT326" s="223">
        <f t="shared" si="234"/>
        <v>2026</v>
      </c>
    </row>
    <row r="327" spans="2:46" ht="15.75" x14ac:dyDescent="0.25">
      <c r="B327" s="229" t="s">
        <v>651</v>
      </c>
      <c r="C327" s="427" t="s">
        <v>263</v>
      </c>
      <c r="D327" s="428">
        <v>624</v>
      </c>
      <c r="E327" s="232" t="s">
        <v>4</v>
      </c>
      <c r="F327" s="233">
        <v>2.88</v>
      </c>
      <c r="G327" s="234">
        <v>46135</v>
      </c>
      <c r="H327" s="235" t="s">
        <v>9</v>
      </c>
      <c r="I327" s="235"/>
      <c r="J327" s="236">
        <v>7.0000000000000007E-2</v>
      </c>
      <c r="K327" s="237">
        <f ca="1">ROUND(IF(ISERROR(OFFSET(Tabella!$A$1,MATCH(H327,Tabella!$A:$A,0)-1,MATCH(J327,Tabella!$A$1:$AC$1,0)-1)=TRUE),0,+OFFSET(Tabella!$A$1,MATCH(H327,Tabella!$A:$A,0)-1,MATCH(J327,Tabella!$A$1:$AC$1,0)-1)),4)</f>
        <v>1.6</v>
      </c>
      <c r="L327" s="238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238">
        <f ca="1">ROUND(IF(ISERROR(OFFSET(Rame!$A$1,MATCH(H327,Rame!$A:$A,0)-1,MATCH(J327,Rame!$A$1:$AA$1,0)-1)=TRUE),0,OFFSET(Rame!$A$1,MATCH(H327,Rame!$A:$A,0)-1,MATCH(J327,Rame!$A$1:$AA$1,0)-1))*IF(E327="Rame",1,0),4)</f>
        <v>0</v>
      </c>
      <c r="N327" s="238">
        <v>0</v>
      </c>
      <c r="O327" s="238">
        <v>2.1800000000000002</v>
      </c>
      <c r="P327" s="238">
        <f ca="1">ROUND(+IF(ISERROR(OFFSET(Tabella!$G$1,MATCH(H327,Tabella!$G:$G,0)-1,MATCH(I327,Tabella!$G$1:$FG$1,0)-1)=TRUE),0,OFFSET(Tabella!$G$1,MATCH(H327,Tabella!$G:$G,0)-1,MATCH(I327,Tabella!$G$1:$AB$1,0)-1)),4)</f>
        <v>0</v>
      </c>
      <c r="Q327" s="238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238">
        <f ca="1">ROUND(IF(ISERROR(OFFSET(Rame!$F$1,MATCH(H327,Rame!$F:$F,0)-1,MATCH(I327,Rame!$F$1:$FF$1,0)-1)=TRUE),0,OFFSET(Rame!$F$1,MATCH(H327,Rame!$F:$F,0)-1,MATCH(I327,Rame!$F$1:$FF$1,0)-1))*IF(E327="Rame",1,0),4)</f>
        <v>0</v>
      </c>
      <c r="S327" s="238">
        <f ca="1">ROUND(IF(ISERROR(OFFSET(Bronzo!$A$1,MATCH(H327,Bronzo!$A:$A,0)-1,MATCH(I327,Bronzo!$A$1:$AA$1,0)-1)=TRUE),0,OFFSET(Bronzo!$A$1,MATCH(H327,Bronzo!$A:$A,0)-1,MATCH(I327,Bronzo!$A$1:$AA$1,0)-1)),4)</f>
        <v>0</v>
      </c>
      <c r="T327" s="238">
        <f t="shared" ca="1" si="219"/>
        <v>0</v>
      </c>
      <c r="U327" s="237"/>
      <c r="V327" s="238">
        <v>0</v>
      </c>
      <c r="W327" s="239">
        <f t="shared" ca="1" si="220"/>
        <v>2.1800000000000002</v>
      </c>
      <c r="X327" s="429">
        <f t="shared" si="218"/>
        <v>43.68</v>
      </c>
      <c r="Y327" s="236">
        <v>5.01</v>
      </c>
      <c r="Z327" s="236">
        <f t="shared" ca="1" si="221"/>
        <v>-0.05</v>
      </c>
      <c r="AA327" s="241"/>
      <c r="AF327" s="225">
        <f t="shared" ca="1" si="242"/>
        <v>46236</v>
      </c>
      <c r="AG327" s="225" t="b">
        <f t="shared" si="222"/>
        <v>1</v>
      </c>
      <c r="AH327" s="242"/>
      <c r="AS327" s="223">
        <f t="shared" si="233"/>
        <v>0</v>
      </c>
      <c r="AT327" s="223">
        <f t="shared" si="234"/>
        <v>0</v>
      </c>
    </row>
    <row r="328" spans="2:46" ht="15.75" x14ac:dyDescent="0.25">
      <c r="B328" s="229" t="s">
        <v>760</v>
      </c>
      <c r="C328" s="427" t="s">
        <v>263</v>
      </c>
      <c r="D328" s="428">
        <v>1178</v>
      </c>
      <c r="E328" s="232" t="s">
        <v>4</v>
      </c>
      <c r="F328" s="233">
        <v>2.88</v>
      </c>
      <c r="G328" s="234">
        <v>46135</v>
      </c>
      <c r="H328" s="235" t="s">
        <v>15</v>
      </c>
      <c r="I328" s="235"/>
      <c r="J328" s="236">
        <v>7.0000000000000007E-2</v>
      </c>
      <c r="K328" s="237">
        <f ca="1">ROUND(IF(ISERROR(OFFSET(Tabella!$A$1,MATCH(H328,Tabella!$A:$A,0)-1,MATCH(J328,Tabella!$A$1:$AC$1,0)-1)=TRUE),0,+OFFSET(Tabella!$A$1,MATCH(H328,Tabella!$A:$A,0)-1,MATCH(J328,Tabella!$A$1:$AC$1,0)-1)),4)</f>
        <v>1.4</v>
      </c>
      <c r="L328" s="238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238">
        <f ca="1">ROUND(IF(ISERROR(OFFSET(Rame!$A$1,MATCH(H328,Rame!$A:$A,0)-1,MATCH(J328,Rame!$A$1:$AA$1,0)-1)=TRUE),0,OFFSET(Rame!$A$1,MATCH(H328,Rame!$A:$A,0)-1,MATCH(J328,Rame!$A$1:$AA$1,0)-1))*IF(E328="Rame",1,0),4)</f>
        <v>0</v>
      </c>
      <c r="N328" s="238">
        <v>0</v>
      </c>
      <c r="O328" s="238">
        <v>1.88</v>
      </c>
      <c r="P328" s="238">
        <f ca="1">ROUND(+IF(ISERROR(OFFSET(Tabella!$G$1,MATCH(H328,Tabella!$G:$G,0)-1,MATCH(I328,Tabella!$G$1:$FG$1,0)-1)=TRUE),0,OFFSET(Tabella!$G$1,MATCH(H328,Tabella!$G:$G,0)-1,MATCH(I328,Tabella!$G$1:$AB$1,0)-1)),4)</f>
        <v>0</v>
      </c>
      <c r="Q328" s="238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238">
        <f ca="1">ROUND(IF(ISERROR(OFFSET(Rame!$F$1,MATCH(H328,Rame!$F:$F,0)-1,MATCH(I328,Rame!$F$1:$FF$1,0)-1)=TRUE),0,OFFSET(Rame!$F$1,MATCH(H328,Rame!$F:$F,0)-1,MATCH(I328,Rame!$F$1:$FF$1,0)-1))*IF(E328="Rame",1,0),4)</f>
        <v>0</v>
      </c>
      <c r="S328" s="238">
        <f ca="1">ROUND(IF(ISERROR(OFFSET(Bronzo!$A$1,MATCH(H328,Bronzo!$A:$A,0)-1,MATCH(I328,Bronzo!$A$1:$AA$1,0)-1)=TRUE),0,OFFSET(Bronzo!$A$1,MATCH(H328,Bronzo!$A:$A,0)-1,MATCH(I328,Bronzo!$A$1:$AA$1,0)-1)),4)</f>
        <v>0</v>
      </c>
      <c r="T328" s="238">
        <f t="shared" ca="1" si="219"/>
        <v>0</v>
      </c>
      <c r="U328" s="237"/>
      <c r="V328" s="238">
        <v>0</v>
      </c>
      <c r="W328" s="239">
        <f t="shared" ca="1" si="220"/>
        <v>1.88</v>
      </c>
      <c r="X328" s="429">
        <f t="shared" si="218"/>
        <v>82.46</v>
      </c>
      <c r="Y328" s="236">
        <v>4.71</v>
      </c>
      <c r="Z328" s="236">
        <f t="shared" ca="1" si="221"/>
        <v>-0.05</v>
      </c>
      <c r="AA328" s="241"/>
      <c r="AF328" s="225">
        <f t="shared" ca="1" si="242"/>
        <v>46236</v>
      </c>
      <c r="AG328" s="225" t="b">
        <f t="shared" si="222"/>
        <v>1</v>
      </c>
      <c r="AH328" s="242"/>
      <c r="AS328" s="223">
        <f t="shared" si="233"/>
        <v>0</v>
      </c>
      <c r="AT328" s="223">
        <f t="shared" si="234"/>
        <v>0</v>
      </c>
    </row>
    <row r="329" spans="2:46" ht="15.75" x14ac:dyDescent="0.25">
      <c r="B329" s="229" t="s">
        <v>652</v>
      </c>
      <c r="C329" s="427" t="s">
        <v>263</v>
      </c>
      <c r="D329" s="428">
        <v>187</v>
      </c>
      <c r="E329" s="232" t="s">
        <v>4</v>
      </c>
      <c r="F329" s="233">
        <v>2.88</v>
      </c>
      <c r="G329" s="234">
        <v>46135</v>
      </c>
      <c r="H329" s="235" t="s">
        <v>9</v>
      </c>
      <c r="I329" s="235"/>
      <c r="J329" s="236">
        <v>7.0000000000000007E-2</v>
      </c>
      <c r="K329" s="237">
        <f ca="1">ROUND(IF(ISERROR(OFFSET(Tabella!$A$1,MATCH(H329,Tabella!$A:$A,0)-1,MATCH(J329,Tabella!$A$1:$AC$1,0)-1)=TRUE),0,+OFFSET(Tabella!$A$1,MATCH(H329,Tabella!$A:$A,0)-1,MATCH(J329,Tabella!$A$1:$AC$1,0)-1)),4)</f>
        <v>1.6</v>
      </c>
      <c r="L329" s="238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238">
        <f ca="1">ROUND(IF(ISERROR(OFFSET(Rame!$A$1,MATCH(H329,Rame!$A:$A,0)-1,MATCH(J329,Rame!$A$1:$AA$1,0)-1)=TRUE),0,OFFSET(Rame!$A$1,MATCH(H329,Rame!$A:$A,0)-1,MATCH(J329,Rame!$A$1:$AA$1,0)-1))*IF(E329="Rame",1,0),4)</f>
        <v>0</v>
      </c>
      <c r="N329" s="238">
        <v>0</v>
      </c>
      <c r="O329" s="238">
        <v>2.1800000000000002</v>
      </c>
      <c r="P329" s="238">
        <f ca="1">ROUND(+IF(ISERROR(OFFSET(Tabella!$G$1,MATCH(H329,Tabella!$G:$G,0)-1,MATCH(I329,Tabella!$G$1:$FG$1,0)-1)=TRUE),0,OFFSET(Tabella!$G$1,MATCH(H329,Tabella!$G:$G,0)-1,MATCH(I329,Tabella!$G$1:$AB$1,0)-1)),4)</f>
        <v>0</v>
      </c>
      <c r="Q329" s="238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238">
        <f ca="1">ROUND(IF(ISERROR(OFFSET(Rame!$F$1,MATCH(H329,Rame!$F:$F,0)-1,MATCH(I329,Rame!$F$1:$FF$1,0)-1)=TRUE),0,OFFSET(Rame!$F$1,MATCH(H329,Rame!$F:$F,0)-1,MATCH(I329,Rame!$F$1:$FF$1,0)-1))*IF(E329="Rame",1,0),4)</f>
        <v>0</v>
      </c>
      <c r="S329" s="238">
        <f ca="1">ROUND(IF(ISERROR(OFFSET(Bronzo!$A$1,MATCH(H329,Bronzo!$A:$A,0)-1,MATCH(I329,Bronzo!$A$1:$AA$1,0)-1)=TRUE),0,OFFSET(Bronzo!$A$1,MATCH(H329,Bronzo!$A:$A,0)-1,MATCH(I329,Bronzo!$A$1:$AA$1,0)-1)),4)</f>
        <v>0</v>
      </c>
      <c r="T329" s="238">
        <f t="shared" ca="1" si="219"/>
        <v>0</v>
      </c>
      <c r="U329" s="237"/>
      <c r="V329" s="238">
        <v>0</v>
      </c>
      <c r="W329" s="239">
        <f t="shared" ca="1" si="220"/>
        <v>2.1800000000000002</v>
      </c>
      <c r="X329" s="429">
        <f t="shared" si="218"/>
        <v>13.09</v>
      </c>
      <c r="Y329" s="236">
        <v>5.01</v>
      </c>
      <c r="Z329" s="236">
        <f t="shared" ca="1" si="221"/>
        <v>-0.05</v>
      </c>
      <c r="AA329" s="241"/>
      <c r="AF329" s="225">
        <f t="shared" ca="1" si="242"/>
        <v>46236</v>
      </c>
      <c r="AG329" s="225" t="b">
        <f t="shared" si="222"/>
        <v>1</v>
      </c>
      <c r="AH329" s="242"/>
      <c r="AS329" s="223">
        <f t="shared" si="233"/>
        <v>0</v>
      </c>
      <c r="AT329" s="223">
        <f t="shared" si="234"/>
        <v>0</v>
      </c>
    </row>
    <row r="330" spans="2:46" ht="15.75" x14ac:dyDescent="0.25">
      <c r="B330" s="229" t="s">
        <v>760</v>
      </c>
      <c r="C330" s="427" t="s">
        <v>263</v>
      </c>
      <c r="D330" s="428">
        <v>730</v>
      </c>
      <c r="E330" s="232" t="s">
        <v>4</v>
      </c>
      <c r="F330" s="233">
        <v>2.88</v>
      </c>
      <c r="G330" s="234">
        <v>46135</v>
      </c>
      <c r="H330" s="235" t="s">
        <v>15</v>
      </c>
      <c r="I330" s="235"/>
      <c r="J330" s="236">
        <v>7.0000000000000007E-2</v>
      </c>
      <c r="K330" s="237">
        <f ca="1">ROUND(IF(ISERROR(OFFSET(Tabella!$A$1,MATCH(H330,Tabella!$A:$A,0)-1,MATCH(J330,Tabella!$A$1:$AC$1,0)-1)=TRUE),0,+OFFSET(Tabella!$A$1,MATCH(H330,Tabella!$A:$A,0)-1,MATCH(J330,Tabella!$A$1:$AC$1,0)-1)),4)</f>
        <v>1.4</v>
      </c>
      <c r="L330" s="238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238">
        <f ca="1">ROUND(IF(ISERROR(OFFSET(Rame!$A$1,MATCH(H330,Rame!$A:$A,0)-1,MATCH(J330,Rame!$A$1:$AA$1,0)-1)=TRUE),0,OFFSET(Rame!$A$1,MATCH(H330,Rame!$A:$A,0)-1,MATCH(J330,Rame!$A$1:$AA$1,0)-1))*IF(E330="Rame",1,0),4)</f>
        <v>0</v>
      </c>
      <c r="N330" s="238">
        <v>0</v>
      </c>
      <c r="O330" s="238">
        <v>1.88</v>
      </c>
      <c r="P330" s="238">
        <f ca="1">ROUND(+IF(ISERROR(OFFSET(Tabella!$G$1,MATCH(H330,Tabella!$G:$G,0)-1,MATCH(I330,Tabella!$G$1:$FG$1,0)-1)=TRUE),0,OFFSET(Tabella!$G$1,MATCH(H330,Tabella!$G:$G,0)-1,MATCH(I330,Tabella!$G$1:$AB$1,0)-1)),4)</f>
        <v>0</v>
      </c>
      <c r="Q330" s="238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238">
        <f ca="1">ROUND(IF(ISERROR(OFFSET(Rame!$F$1,MATCH(H330,Rame!$F:$F,0)-1,MATCH(I330,Rame!$F$1:$FF$1,0)-1)=TRUE),0,OFFSET(Rame!$F$1,MATCH(H330,Rame!$F:$F,0)-1,MATCH(I330,Rame!$F$1:$FF$1,0)-1))*IF(E330="Rame",1,0),4)</f>
        <v>0</v>
      </c>
      <c r="S330" s="238">
        <f ca="1">ROUND(IF(ISERROR(OFFSET(Bronzo!$A$1,MATCH(H330,Bronzo!$A:$A,0)-1,MATCH(I330,Bronzo!$A$1:$AA$1,0)-1)=TRUE),0,OFFSET(Bronzo!$A$1,MATCH(H330,Bronzo!$A:$A,0)-1,MATCH(I330,Bronzo!$A$1:$AA$1,0)-1)),4)</f>
        <v>0</v>
      </c>
      <c r="T330" s="238">
        <f t="shared" ca="1" si="219"/>
        <v>0</v>
      </c>
      <c r="U330" s="237"/>
      <c r="V330" s="238">
        <v>0</v>
      </c>
      <c r="W330" s="239">
        <f t="shared" ca="1" si="220"/>
        <v>1.88</v>
      </c>
      <c r="X330" s="429">
        <f t="shared" si="218"/>
        <v>51.1</v>
      </c>
      <c r="Y330" s="236">
        <v>4.71</v>
      </c>
      <c r="Z330" s="236">
        <f t="shared" ca="1" si="221"/>
        <v>-0.05</v>
      </c>
      <c r="AA330" s="241"/>
      <c r="AF330" s="225">
        <f t="shared" ca="1" si="242"/>
        <v>46236</v>
      </c>
      <c r="AG330" s="225" t="b">
        <f t="shared" si="222"/>
        <v>1</v>
      </c>
      <c r="AH330" s="242"/>
      <c r="AS330" s="223">
        <f t="shared" si="233"/>
        <v>0</v>
      </c>
      <c r="AT330" s="223">
        <f t="shared" si="234"/>
        <v>0</v>
      </c>
    </row>
    <row r="331" spans="2:46" ht="15.75" x14ac:dyDescent="0.25">
      <c r="B331" s="229" t="s">
        <v>761</v>
      </c>
      <c r="C331" s="427" t="s">
        <v>263</v>
      </c>
      <c r="D331" s="428">
        <v>1236</v>
      </c>
      <c r="E331" s="232" t="s">
        <v>4</v>
      </c>
      <c r="F331" s="233">
        <v>2.88</v>
      </c>
      <c r="G331" s="234">
        <v>46136</v>
      </c>
      <c r="H331" s="235" t="s">
        <v>13</v>
      </c>
      <c r="I331" s="235"/>
      <c r="J331" s="236">
        <v>7.0000000000000007E-2</v>
      </c>
      <c r="K331" s="237">
        <f ca="1">ROUND(IF(ISERROR(OFFSET(Tabella!$A$1,MATCH(H331,Tabella!$A:$A,0)-1,MATCH(J331,Tabella!$A$1:$AC$1,0)-1)=TRUE),0,+OFFSET(Tabella!$A$1,MATCH(H331,Tabella!$A:$A,0)-1,MATCH(J331,Tabella!$A$1:$AC$1,0)-1)),4)</f>
        <v>1.4</v>
      </c>
      <c r="L331" s="238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238">
        <f ca="1">ROUND(IF(ISERROR(OFFSET(Rame!$A$1,MATCH(H331,Rame!$A:$A,0)-1,MATCH(J331,Rame!$A$1:$AA$1,0)-1)=TRUE),0,OFFSET(Rame!$A$1,MATCH(H331,Rame!$A:$A,0)-1,MATCH(J331,Rame!$A$1:$AA$1,0)-1))*IF(E331="Rame",1,0),4)</f>
        <v>0</v>
      </c>
      <c r="N331" s="238">
        <v>0</v>
      </c>
      <c r="O331" s="238">
        <v>1.88</v>
      </c>
      <c r="P331" s="238">
        <f ca="1">ROUND(+IF(ISERROR(OFFSET(Tabella!$G$1,MATCH(H331,Tabella!$G:$G,0)-1,MATCH(I331,Tabella!$G$1:$FG$1,0)-1)=TRUE),0,OFFSET(Tabella!$G$1,MATCH(H331,Tabella!$G:$G,0)-1,MATCH(I331,Tabella!$G$1:$AB$1,0)-1)),4)</f>
        <v>0</v>
      </c>
      <c r="Q331" s="238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238">
        <f ca="1">ROUND(IF(ISERROR(OFFSET(Rame!$F$1,MATCH(H331,Rame!$F:$F,0)-1,MATCH(I331,Rame!$F$1:$FF$1,0)-1)=TRUE),0,OFFSET(Rame!$F$1,MATCH(H331,Rame!$F:$F,0)-1,MATCH(I331,Rame!$F$1:$FF$1,0)-1))*IF(E331="Rame",1,0),4)</f>
        <v>0</v>
      </c>
      <c r="S331" s="238">
        <f ca="1">ROUND(IF(ISERROR(OFFSET(Bronzo!$A$1,MATCH(H331,Bronzo!$A:$A,0)-1,MATCH(I331,Bronzo!$A$1:$AA$1,0)-1)=TRUE),0,OFFSET(Bronzo!$A$1,MATCH(H331,Bronzo!$A:$A,0)-1,MATCH(I331,Bronzo!$A$1:$AA$1,0)-1)),4)</f>
        <v>0</v>
      </c>
      <c r="T331" s="238">
        <f t="shared" ca="1" si="219"/>
        <v>0</v>
      </c>
      <c r="U331" s="237"/>
      <c r="V331" s="238">
        <v>0</v>
      </c>
      <c r="W331" s="239">
        <f t="shared" ca="1" si="220"/>
        <v>1.88</v>
      </c>
      <c r="X331" s="429">
        <f t="shared" si="218"/>
        <v>86.52</v>
      </c>
      <c r="Y331" s="236">
        <v>4.71</v>
      </c>
      <c r="Z331" s="236">
        <f t="shared" ca="1" si="221"/>
        <v>-0.05</v>
      </c>
      <c r="AA331" s="241"/>
      <c r="AF331" s="225">
        <f t="shared" ca="1" si="242"/>
        <v>46236</v>
      </c>
      <c r="AG331" s="225" t="b">
        <f t="shared" si="222"/>
        <v>1</v>
      </c>
      <c r="AH331" s="242"/>
      <c r="AS331" s="223">
        <f t="shared" si="233"/>
        <v>0</v>
      </c>
      <c r="AT331" s="223">
        <f t="shared" si="234"/>
        <v>0</v>
      </c>
    </row>
    <row r="332" spans="2:46" ht="15.75" x14ac:dyDescent="0.25">
      <c r="B332" s="229" t="s">
        <v>761</v>
      </c>
      <c r="C332" s="427" t="s">
        <v>263</v>
      </c>
      <c r="D332" s="428">
        <v>1258</v>
      </c>
      <c r="E332" s="232" t="s">
        <v>4</v>
      </c>
      <c r="F332" s="233">
        <v>2.88</v>
      </c>
      <c r="G332" s="234">
        <v>46136</v>
      </c>
      <c r="H332" s="235" t="s">
        <v>22</v>
      </c>
      <c r="I332" s="235"/>
      <c r="J332" s="236">
        <v>7.0000000000000007E-2</v>
      </c>
      <c r="K332" s="237">
        <f ca="1">ROUND(IF(ISERROR(OFFSET(Tabella!$A$1,MATCH(H332,Tabella!$A:$A,0)-1,MATCH(J332,Tabella!$A$1:$AC$1,0)-1)=TRUE),0,+OFFSET(Tabella!$A$1,MATCH(H332,Tabella!$A:$A,0)-1,MATCH(J332,Tabella!$A$1:$AC$1,0)-1)),4)</f>
        <v>1.25</v>
      </c>
      <c r="L332" s="238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238">
        <f ca="1">ROUND(IF(ISERROR(OFFSET(Rame!$A$1,MATCH(H332,Rame!$A:$A,0)-1,MATCH(J332,Rame!$A$1:$AA$1,0)-1)=TRUE),0,OFFSET(Rame!$A$1,MATCH(H332,Rame!$A:$A,0)-1,MATCH(J332,Rame!$A$1:$AA$1,0)-1))*IF(E332="Rame",1,0),4)</f>
        <v>0</v>
      </c>
      <c r="N332" s="238">
        <v>0</v>
      </c>
      <c r="O332" s="238">
        <v>1.73</v>
      </c>
      <c r="P332" s="238">
        <f ca="1">ROUND(+IF(ISERROR(OFFSET(Tabella!$G$1,MATCH(H332,Tabella!$G:$G,0)-1,MATCH(I332,Tabella!$G$1:$FG$1,0)-1)=TRUE),0,OFFSET(Tabella!$G$1,MATCH(H332,Tabella!$G:$G,0)-1,MATCH(I332,Tabella!$G$1:$AB$1,0)-1)),4)</f>
        <v>0</v>
      </c>
      <c r="Q332" s="238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238">
        <f ca="1">ROUND(IF(ISERROR(OFFSET(Rame!$F$1,MATCH(H332,Rame!$F:$F,0)-1,MATCH(I332,Rame!$F$1:$FF$1,0)-1)=TRUE),0,OFFSET(Rame!$F$1,MATCH(H332,Rame!$F:$F,0)-1,MATCH(I332,Rame!$F$1:$FF$1,0)-1))*IF(E332="Rame",1,0),4)</f>
        <v>0</v>
      </c>
      <c r="S332" s="238">
        <f ca="1">ROUND(IF(ISERROR(OFFSET(Bronzo!$A$1,MATCH(H332,Bronzo!$A:$A,0)-1,MATCH(I332,Bronzo!$A$1:$AA$1,0)-1)=TRUE),0,OFFSET(Bronzo!$A$1,MATCH(H332,Bronzo!$A:$A,0)-1,MATCH(I332,Bronzo!$A$1:$AA$1,0)-1)),4)</f>
        <v>0</v>
      </c>
      <c r="T332" s="238">
        <f t="shared" ca="1" si="219"/>
        <v>0</v>
      </c>
      <c r="U332" s="237"/>
      <c r="V332" s="238">
        <v>0</v>
      </c>
      <c r="W332" s="239">
        <f t="shared" ca="1" si="220"/>
        <v>1.73</v>
      </c>
      <c r="X332" s="429">
        <f t="shared" si="218"/>
        <v>88.06</v>
      </c>
      <c r="Y332" s="236">
        <v>4.5599999999999996</v>
      </c>
      <c r="Z332" s="236">
        <f t="shared" ca="1" si="221"/>
        <v>-0.05</v>
      </c>
      <c r="AA332" s="241"/>
      <c r="AF332" s="225">
        <f t="shared" ca="1" si="242"/>
        <v>46236</v>
      </c>
      <c r="AG332" s="225" t="b">
        <f t="shared" si="222"/>
        <v>1</v>
      </c>
      <c r="AH332" s="242"/>
      <c r="AS332" s="223">
        <f t="shared" si="233"/>
        <v>0</v>
      </c>
      <c r="AT332" s="223">
        <f t="shared" si="234"/>
        <v>0</v>
      </c>
    </row>
    <row r="333" spans="2:46" ht="15.75" x14ac:dyDescent="0.25">
      <c r="B333" s="229" t="s">
        <v>520</v>
      </c>
      <c r="C333" s="235" t="s">
        <v>263</v>
      </c>
      <c r="D333" s="243">
        <v>2000</v>
      </c>
      <c r="E333" s="232" t="s">
        <v>4</v>
      </c>
      <c r="F333" s="233">
        <v>2.88</v>
      </c>
      <c r="G333" s="234">
        <v>46136</v>
      </c>
      <c r="H333" s="235" t="s">
        <v>322</v>
      </c>
      <c r="I333" s="235"/>
      <c r="J333" s="236">
        <v>7.0000000000000007E-2</v>
      </c>
      <c r="K333" s="237">
        <f ca="1">ROUND(IF(ISERROR(OFFSET(Tabella!$A$1,MATCH(H333,Tabella!$A:$A,0)-1,MATCH(J333,Tabella!$A$1:$AC$1,0)-1)=TRUE),0,+OFFSET(Tabella!$A$1,MATCH(H333,Tabella!$A:$A,0)-1,MATCH(J333,Tabella!$A$1:$AC$1,0)-1)),4)</f>
        <v>1.25</v>
      </c>
      <c r="L333" s="238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238">
        <f ca="1">ROUND(IF(ISERROR(OFFSET(Rame!$A$1,MATCH(H333,Rame!$A:$A,0)-1,MATCH(J333,Rame!$A$1:$AA$1,0)-1)=TRUE),0,OFFSET(Rame!$A$1,MATCH(H333,Rame!$A:$A,0)-1,MATCH(J333,Rame!$A$1:$AA$1,0)-1))*IF(E333="Rame",1,0),4)</f>
        <v>0</v>
      </c>
      <c r="N333" s="238">
        <v>0</v>
      </c>
      <c r="O333" s="238">
        <v>1.73</v>
      </c>
      <c r="P333" s="238">
        <f ca="1">ROUND(+IF(ISERROR(OFFSET(Tabella!$G$1,MATCH(H333,Tabella!$G:$G,0)-1,MATCH(I333,Tabella!$G$1:$FG$1,0)-1)=TRUE),0,OFFSET(Tabella!$G$1,MATCH(H333,Tabella!$G:$G,0)-1,MATCH(I333,Tabella!$G$1:$AB$1,0)-1)),4)</f>
        <v>0</v>
      </c>
      <c r="Q333" s="238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238">
        <f ca="1">ROUND(IF(ISERROR(OFFSET(Rame!$F$1,MATCH(H333,Rame!$F:$F,0)-1,MATCH(I333,Rame!$F$1:$FF$1,0)-1)=TRUE),0,OFFSET(Rame!$F$1,MATCH(H333,Rame!$F:$F,0)-1,MATCH(I333,Rame!$F$1:$FF$1,0)-1))*IF(E333="Rame",1,0),4)</f>
        <v>0</v>
      </c>
      <c r="S333" s="238">
        <f ca="1">ROUND(IF(ISERROR(OFFSET(Bronzo!$A$1,MATCH(H333,Bronzo!$A:$A,0)-1,MATCH(I333,Bronzo!$A$1:$AA$1,0)-1)=TRUE),0,OFFSET(Bronzo!$A$1,MATCH(H333,Bronzo!$A:$A,0)-1,MATCH(I333,Bronzo!$A$1:$AA$1,0)-1)),4)</f>
        <v>0</v>
      </c>
      <c r="T333" s="238">
        <f t="shared" ca="1" si="219"/>
        <v>0</v>
      </c>
      <c r="U333" s="237"/>
      <c r="V333" s="238">
        <v>0</v>
      </c>
      <c r="W333" s="239">
        <f t="shared" ca="1" si="220"/>
        <v>1.73</v>
      </c>
      <c r="X333" s="240">
        <f t="shared" si="218"/>
        <v>140</v>
      </c>
      <c r="Y333" s="236">
        <v>4.5599999999999996</v>
      </c>
      <c r="Z333" s="236">
        <f t="shared" ca="1" si="221"/>
        <v>-0.05</v>
      </c>
      <c r="AA333" s="241">
        <v>46168</v>
      </c>
      <c r="AF333" s="225">
        <f t="shared" ca="1" si="242"/>
        <v>46236</v>
      </c>
      <c r="AG333" s="225" t="b">
        <f t="shared" si="222"/>
        <v>0</v>
      </c>
      <c r="AH333" s="242"/>
      <c r="AS333" s="223">
        <f t="shared" si="233"/>
        <v>5</v>
      </c>
      <c r="AT333" s="223">
        <f t="shared" si="234"/>
        <v>2026</v>
      </c>
    </row>
    <row r="334" spans="2:46" ht="15.75" x14ac:dyDescent="0.25">
      <c r="B334" s="229" t="s">
        <v>620</v>
      </c>
      <c r="C334" s="427" t="s">
        <v>263</v>
      </c>
      <c r="D334" s="428">
        <v>787</v>
      </c>
      <c r="E334" s="232" t="s">
        <v>4</v>
      </c>
      <c r="F334" s="233">
        <v>2.88</v>
      </c>
      <c r="G334" s="234">
        <v>46136</v>
      </c>
      <c r="H334" s="235" t="s">
        <v>9</v>
      </c>
      <c r="I334" s="235"/>
      <c r="J334" s="236">
        <v>7.0000000000000007E-2</v>
      </c>
      <c r="K334" s="237">
        <f ca="1">ROUND(IF(ISERROR(OFFSET(Tabella!$A$1,MATCH(H334,Tabella!$A:$A,0)-1,MATCH(J334,Tabella!$A$1:$AC$1,0)-1)=TRUE),0,+OFFSET(Tabella!$A$1,MATCH(H334,Tabella!$A:$A,0)-1,MATCH(J334,Tabella!$A$1:$AC$1,0)-1)),4)</f>
        <v>1.6</v>
      </c>
      <c r="L334" s="238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238">
        <f ca="1">ROUND(IF(ISERROR(OFFSET(Rame!$A$1,MATCH(H334,Rame!$A:$A,0)-1,MATCH(J334,Rame!$A$1:$AA$1,0)-1)=TRUE),0,OFFSET(Rame!$A$1,MATCH(H334,Rame!$A:$A,0)-1,MATCH(J334,Rame!$A$1:$AA$1,0)-1))*IF(E334="Rame",1,0),4)</f>
        <v>0</v>
      </c>
      <c r="N334" s="238">
        <v>0</v>
      </c>
      <c r="O334" s="238">
        <v>2.0299999999999998</v>
      </c>
      <c r="P334" s="238">
        <f ca="1">ROUND(+IF(ISERROR(OFFSET(Tabella!$G$1,MATCH(H334,Tabella!$G:$G,0)-1,MATCH(I334,Tabella!$G$1:$FG$1,0)-1)=TRUE),0,OFFSET(Tabella!$G$1,MATCH(H334,Tabella!$G:$G,0)-1,MATCH(I334,Tabella!$G$1:$AB$1,0)-1)),4)</f>
        <v>0</v>
      </c>
      <c r="Q334" s="238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238">
        <f ca="1">ROUND(IF(ISERROR(OFFSET(Rame!$F$1,MATCH(H334,Rame!$F:$F,0)-1,MATCH(I334,Rame!$F$1:$FF$1,0)-1)=TRUE),0,OFFSET(Rame!$F$1,MATCH(H334,Rame!$F:$F,0)-1,MATCH(I334,Rame!$F$1:$FF$1,0)-1))*IF(E334="Rame",1,0),4)</f>
        <v>0</v>
      </c>
      <c r="S334" s="238">
        <f ca="1">ROUND(IF(ISERROR(OFFSET(Bronzo!$A$1,MATCH(H334,Bronzo!$A:$A,0)-1,MATCH(I334,Bronzo!$A$1:$AA$1,0)-1)=TRUE),0,OFFSET(Bronzo!$A$1,MATCH(H334,Bronzo!$A:$A,0)-1,MATCH(I334,Bronzo!$A$1:$AA$1,0)-1)),4)</f>
        <v>0</v>
      </c>
      <c r="T334" s="238">
        <f t="shared" ca="1" si="219"/>
        <v>0</v>
      </c>
      <c r="U334" s="237"/>
      <c r="V334" s="238">
        <v>0</v>
      </c>
      <c r="W334" s="239">
        <f t="shared" ca="1" si="220"/>
        <v>2.0299999999999998</v>
      </c>
      <c r="X334" s="429">
        <f t="shared" si="218"/>
        <v>55.09</v>
      </c>
      <c r="Y334" s="236">
        <v>4.8600000000000003</v>
      </c>
      <c r="Z334" s="236">
        <f t="shared" ca="1" si="221"/>
        <v>-0.05</v>
      </c>
      <c r="AA334" s="241"/>
      <c r="AF334" s="225">
        <f t="shared" ca="1" si="242"/>
        <v>46236</v>
      </c>
      <c r="AG334" s="225" t="b">
        <f t="shared" si="222"/>
        <v>1</v>
      </c>
      <c r="AH334" s="242"/>
      <c r="AS334" s="223">
        <f t="shared" si="233"/>
        <v>0</v>
      </c>
      <c r="AT334" s="223">
        <f t="shared" si="234"/>
        <v>0</v>
      </c>
    </row>
    <row r="335" spans="2:46" ht="15.75" x14ac:dyDescent="0.25">
      <c r="B335" s="229" t="s">
        <v>613</v>
      </c>
      <c r="C335" s="427" t="s">
        <v>263</v>
      </c>
      <c r="D335" s="428">
        <v>1564</v>
      </c>
      <c r="E335" s="232" t="s">
        <v>4</v>
      </c>
      <c r="F335" s="233">
        <v>2.88</v>
      </c>
      <c r="G335" s="234">
        <v>46136</v>
      </c>
      <c r="H335" s="235" t="s">
        <v>322</v>
      </c>
      <c r="I335" s="235"/>
      <c r="J335" s="236">
        <v>7.0000000000000007E-2</v>
      </c>
      <c r="K335" s="237">
        <f ca="1">ROUND(IF(ISERROR(OFFSET(Tabella!$A$1,MATCH(H335,Tabella!$A:$A,0)-1,MATCH(J335,Tabella!$A$1:$AC$1,0)-1)=TRUE),0,+OFFSET(Tabella!$A$1,MATCH(H335,Tabella!$A:$A,0)-1,MATCH(J335,Tabella!$A$1:$AC$1,0)-1)),4)</f>
        <v>1.25</v>
      </c>
      <c r="L335" s="238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238">
        <f ca="1">ROUND(IF(ISERROR(OFFSET(Rame!$A$1,MATCH(H335,Rame!$A:$A,0)-1,MATCH(J335,Rame!$A$1:$AA$1,0)-1)=TRUE),0,OFFSET(Rame!$A$1,MATCH(H335,Rame!$A:$A,0)-1,MATCH(J335,Rame!$A$1:$AA$1,0)-1))*IF(E335="Rame",1,0),4)</f>
        <v>0</v>
      </c>
      <c r="N335" s="238">
        <v>0</v>
      </c>
      <c r="O335" s="238">
        <v>1.73</v>
      </c>
      <c r="P335" s="238">
        <f ca="1">ROUND(+IF(ISERROR(OFFSET(Tabella!$G$1,MATCH(H335,Tabella!$G:$G,0)-1,MATCH(I335,Tabella!$G$1:$FG$1,0)-1)=TRUE),0,OFFSET(Tabella!$G$1,MATCH(H335,Tabella!$G:$G,0)-1,MATCH(I335,Tabella!$G$1:$AB$1,0)-1)),4)</f>
        <v>0</v>
      </c>
      <c r="Q335" s="238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238">
        <f ca="1">ROUND(IF(ISERROR(OFFSET(Rame!$F$1,MATCH(H335,Rame!$F:$F,0)-1,MATCH(I335,Rame!$F$1:$FF$1,0)-1)=TRUE),0,OFFSET(Rame!$F$1,MATCH(H335,Rame!$F:$F,0)-1,MATCH(I335,Rame!$F$1:$FF$1,0)-1))*IF(E335="Rame",1,0),4)</f>
        <v>0</v>
      </c>
      <c r="S335" s="238">
        <f ca="1">ROUND(IF(ISERROR(OFFSET(Bronzo!$A$1,MATCH(H335,Bronzo!$A:$A,0)-1,MATCH(I335,Bronzo!$A$1:$AA$1,0)-1)=TRUE),0,OFFSET(Bronzo!$A$1,MATCH(H335,Bronzo!$A:$A,0)-1,MATCH(I335,Bronzo!$A$1:$AA$1,0)-1)),4)</f>
        <v>0</v>
      </c>
      <c r="T335" s="238">
        <f t="shared" ca="1" si="219"/>
        <v>0</v>
      </c>
      <c r="U335" s="237"/>
      <c r="V335" s="238">
        <v>0</v>
      </c>
      <c r="W335" s="239">
        <f t="shared" ca="1" si="220"/>
        <v>1.73</v>
      </c>
      <c r="X335" s="429">
        <f t="shared" si="218"/>
        <v>109.48</v>
      </c>
      <c r="Y335" s="236">
        <v>4.5599999999999996</v>
      </c>
      <c r="Z335" s="236">
        <f t="shared" ca="1" si="221"/>
        <v>-0.05</v>
      </c>
      <c r="AA335" s="241"/>
      <c r="AF335" s="225">
        <f t="shared" ca="1" si="242"/>
        <v>46236</v>
      </c>
      <c r="AG335" s="225" t="b">
        <f t="shared" si="222"/>
        <v>1</v>
      </c>
      <c r="AH335" s="242"/>
      <c r="AS335" s="223">
        <f t="shared" si="233"/>
        <v>0</v>
      </c>
      <c r="AT335" s="223">
        <f t="shared" si="234"/>
        <v>0</v>
      </c>
    </row>
    <row r="336" spans="2:46" ht="15.75" x14ac:dyDescent="0.25">
      <c r="B336" s="229" t="s">
        <v>761</v>
      </c>
      <c r="C336" s="427" t="s">
        <v>263</v>
      </c>
      <c r="D336" s="428">
        <v>1666</v>
      </c>
      <c r="E336" s="232" t="s">
        <v>4</v>
      </c>
      <c r="F336" s="233">
        <v>2.88</v>
      </c>
      <c r="G336" s="234">
        <v>46136</v>
      </c>
      <c r="H336" s="235" t="s">
        <v>243</v>
      </c>
      <c r="I336" s="235"/>
      <c r="J336" s="236">
        <v>7.0000000000000007E-2</v>
      </c>
      <c r="K336" s="237">
        <f ca="1">ROUND(IF(ISERROR(OFFSET(Tabella!$A$1,MATCH(H336,Tabella!$A:$A,0)-1,MATCH(J336,Tabella!$A$1:$AC$1,0)-1)=TRUE),0,+OFFSET(Tabella!$A$1,MATCH(H336,Tabella!$A:$A,0)-1,MATCH(J336,Tabella!$A$1:$AC$1,0)-1)),4)</f>
        <v>1.4</v>
      </c>
      <c r="L336" s="238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238">
        <f ca="1">ROUND(IF(ISERROR(OFFSET(Rame!$A$1,MATCH(H336,Rame!$A:$A,0)-1,MATCH(J336,Rame!$A$1:$AA$1,0)-1)=TRUE),0,OFFSET(Rame!$A$1,MATCH(H336,Rame!$A:$A,0)-1,MATCH(J336,Rame!$A$1:$AA$1,0)-1))*IF(E336="Rame",1,0),4)</f>
        <v>0</v>
      </c>
      <c r="N336" s="238">
        <v>0</v>
      </c>
      <c r="O336" s="238">
        <v>1.83</v>
      </c>
      <c r="P336" s="238">
        <f ca="1">ROUND(+IF(ISERROR(OFFSET(Tabella!$G$1,MATCH(H336,Tabella!$G:$G,0)-1,MATCH(I336,Tabella!$G$1:$FG$1,0)-1)=TRUE),0,OFFSET(Tabella!$G$1,MATCH(H336,Tabella!$G:$G,0)-1,MATCH(I336,Tabella!$G$1:$AB$1,0)-1)),4)</f>
        <v>0</v>
      </c>
      <c r="Q336" s="238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238">
        <f ca="1">ROUND(IF(ISERROR(OFFSET(Rame!$F$1,MATCH(H336,Rame!$F:$F,0)-1,MATCH(I336,Rame!$F$1:$FF$1,0)-1)=TRUE),0,OFFSET(Rame!$F$1,MATCH(H336,Rame!$F:$F,0)-1,MATCH(I336,Rame!$F$1:$FF$1,0)-1))*IF(E336="Rame",1,0),4)</f>
        <v>0</v>
      </c>
      <c r="S336" s="238">
        <f ca="1">ROUND(IF(ISERROR(OFFSET(Bronzo!$A$1,MATCH(H336,Bronzo!$A:$A,0)-1,MATCH(I336,Bronzo!$A$1:$AA$1,0)-1)=TRUE),0,OFFSET(Bronzo!$A$1,MATCH(H336,Bronzo!$A:$A,0)-1,MATCH(I336,Bronzo!$A$1:$AA$1,0)-1)),4)</f>
        <v>0</v>
      </c>
      <c r="T336" s="238">
        <f t="shared" ca="1" si="219"/>
        <v>0</v>
      </c>
      <c r="U336" s="237"/>
      <c r="V336" s="238">
        <v>0</v>
      </c>
      <c r="W336" s="239">
        <f t="shared" ca="1" si="220"/>
        <v>1.83</v>
      </c>
      <c r="X336" s="429">
        <f t="shared" si="218"/>
        <v>116.62</v>
      </c>
      <c r="Y336" s="236">
        <v>4.66</v>
      </c>
      <c r="Z336" s="236">
        <f t="shared" ca="1" si="221"/>
        <v>-0.05</v>
      </c>
      <c r="AA336" s="241"/>
      <c r="AF336" s="225">
        <f t="shared" ca="1" si="242"/>
        <v>46236</v>
      </c>
      <c r="AG336" s="225" t="b">
        <f t="shared" si="222"/>
        <v>1</v>
      </c>
      <c r="AH336" s="242"/>
      <c r="AS336" s="223">
        <f t="shared" si="233"/>
        <v>0</v>
      </c>
      <c r="AT336" s="223">
        <f t="shared" si="234"/>
        <v>0</v>
      </c>
    </row>
    <row r="337" spans="2:46" ht="15.75" x14ac:dyDescent="0.25">
      <c r="B337" s="229" t="s">
        <v>520</v>
      </c>
      <c r="C337" s="235" t="s">
        <v>263</v>
      </c>
      <c r="D337" s="243">
        <v>800</v>
      </c>
      <c r="E337" s="232" t="s">
        <v>4</v>
      </c>
      <c r="F337" s="233">
        <v>2.88</v>
      </c>
      <c r="G337" s="234">
        <v>46136</v>
      </c>
      <c r="H337" s="235" t="s">
        <v>243</v>
      </c>
      <c r="I337" s="235"/>
      <c r="J337" s="236">
        <v>7.0000000000000007E-2</v>
      </c>
      <c r="K337" s="237">
        <f ca="1">ROUND(IF(ISERROR(OFFSET(Tabella!$A$1,MATCH(H337,Tabella!$A:$A,0)-1,MATCH(J337,Tabella!$A$1:$AC$1,0)-1)=TRUE),0,+OFFSET(Tabella!$A$1,MATCH(H337,Tabella!$A:$A,0)-1,MATCH(J337,Tabella!$A$1:$AC$1,0)-1)),4)</f>
        <v>1.4</v>
      </c>
      <c r="L337" s="238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238">
        <f ca="1">ROUND(IF(ISERROR(OFFSET(Rame!$A$1,MATCH(H337,Rame!$A:$A,0)-1,MATCH(J337,Rame!$A$1:$AA$1,0)-1)=TRUE),0,OFFSET(Rame!$A$1,MATCH(H337,Rame!$A:$A,0)-1,MATCH(J337,Rame!$A$1:$AA$1,0)-1))*IF(E337="Rame",1,0),4)</f>
        <v>0</v>
      </c>
      <c r="N337" s="238">
        <v>0</v>
      </c>
      <c r="O337" s="238">
        <v>1.83</v>
      </c>
      <c r="P337" s="238">
        <f ca="1">ROUND(+IF(ISERROR(OFFSET(Tabella!$G$1,MATCH(H337,Tabella!$G:$G,0)-1,MATCH(I337,Tabella!$G$1:$FG$1,0)-1)=TRUE),0,OFFSET(Tabella!$G$1,MATCH(H337,Tabella!$G:$G,0)-1,MATCH(I337,Tabella!$G$1:$AB$1,0)-1)),4)</f>
        <v>0</v>
      </c>
      <c r="Q337" s="238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238">
        <f ca="1">ROUND(IF(ISERROR(OFFSET(Rame!$F$1,MATCH(H337,Rame!$F:$F,0)-1,MATCH(I337,Rame!$F$1:$FF$1,0)-1)=TRUE),0,OFFSET(Rame!$F$1,MATCH(H337,Rame!$F:$F,0)-1,MATCH(I337,Rame!$F$1:$FF$1,0)-1))*IF(E337="Rame",1,0),4)</f>
        <v>0</v>
      </c>
      <c r="S337" s="238">
        <f ca="1">ROUND(IF(ISERROR(OFFSET(Bronzo!$A$1,MATCH(H337,Bronzo!$A:$A,0)-1,MATCH(I337,Bronzo!$A$1:$AA$1,0)-1)=TRUE),0,OFFSET(Bronzo!$A$1,MATCH(H337,Bronzo!$A:$A,0)-1,MATCH(I337,Bronzo!$A$1:$AA$1,0)-1)),4)</f>
        <v>0</v>
      </c>
      <c r="T337" s="238">
        <f t="shared" ref="T337" ca="1" si="243">ROUND(SUM(P337:S337),4)</f>
        <v>0</v>
      </c>
      <c r="U337" s="237"/>
      <c r="V337" s="238">
        <v>0</v>
      </c>
      <c r="W337" s="239">
        <f t="shared" ref="W337" ca="1" si="244">ROUND(+O337+T337+U337+V337,4)</f>
        <v>1.83</v>
      </c>
      <c r="X337" s="240">
        <f t="shared" ref="X337" si="245">ROUND(+J337*D337,4)</f>
        <v>56</v>
      </c>
      <c r="Y337" s="236">
        <v>4.66</v>
      </c>
      <c r="Z337" s="236">
        <f t="shared" ref="Z337" ca="1" si="246">ROUND(+Y337-W337-F337,4)</f>
        <v>-0.05</v>
      </c>
      <c r="AA337" s="241">
        <v>46168</v>
      </c>
      <c r="AF337" s="225">
        <f t="shared" ca="1" si="242"/>
        <v>46236</v>
      </c>
      <c r="AG337" s="225" t="b">
        <f t="shared" ref="AG337" si="247">ISBLANK(AA337)</f>
        <v>0</v>
      </c>
      <c r="AH337" s="242"/>
      <c r="AS337" s="223">
        <f t="shared" ref="AS337" si="248">IF(AA337="",0,MONTH(AA337))</f>
        <v>5</v>
      </c>
      <c r="AT337" s="223">
        <f t="shared" ref="AT337" si="249">IF(AA337="",0,YEAR(AA337))</f>
        <v>2026</v>
      </c>
    </row>
    <row r="338" spans="2:46" ht="15.75" x14ac:dyDescent="0.25">
      <c r="B338" s="229" t="s">
        <v>660</v>
      </c>
      <c r="C338" s="245" t="s">
        <v>103</v>
      </c>
      <c r="D338" s="246">
        <v>1202</v>
      </c>
      <c r="E338" s="232" t="s">
        <v>4</v>
      </c>
      <c r="F338" s="233">
        <v>2.62</v>
      </c>
      <c r="G338" s="234">
        <v>46076</v>
      </c>
      <c r="H338" s="235" t="s">
        <v>27</v>
      </c>
      <c r="I338" s="235"/>
      <c r="J338" s="236">
        <v>7.0000000000000007E-2</v>
      </c>
      <c r="K338" s="237">
        <f ca="1">ROUND(IF(ISERROR(OFFSET(Tabella!$A$1,MATCH(H338,Tabella!$A:$A,0)-1,MATCH(J338,Tabella!$A$1:$AC$1,0)-1)=TRUE),0,+OFFSET(Tabella!$A$1,MATCH(H338,Tabella!$A:$A,0)-1,MATCH(J338,Tabella!$A$1:$AC$1,0)-1)),4)</f>
        <v>1.25</v>
      </c>
      <c r="L338" s="238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238">
        <f ca="1">ROUND(IF(ISERROR(OFFSET(Rame!$A$1,MATCH(H338,Rame!$A:$A,0)-1,MATCH(J338,Rame!$A$1:$AA$1,0)-1)=TRUE),0,OFFSET(Rame!$A$1,MATCH(H338,Rame!$A:$A,0)-1,MATCH(J338,Rame!$A$1:$AA$1,0)-1))*IF(E338="Rame",1,0),4)</f>
        <v>0</v>
      </c>
      <c r="N338" s="238">
        <v>0</v>
      </c>
      <c r="O338" s="238">
        <v>1.5</v>
      </c>
      <c r="P338" s="238">
        <f ca="1">ROUND(+IF(ISERROR(OFFSET(Tabella!$G$1,MATCH(H338,Tabella!$G:$G,0)-1,MATCH(I338,Tabella!$G$1:$FG$1,0)-1)=TRUE),0,OFFSET(Tabella!$G$1,MATCH(H338,Tabella!$G:$G,0)-1,MATCH(I338,Tabella!$G$1:$AB$1,0)-1)),4)</f>
        <v>0</v>
      </c>
      <c r="Q338" s="238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238">
        <f ca="1">ROUND(IF(ISERROR(OFFSET(Rame!$F$1,MATCH(H338,Rame!$F:$F,0)-1,MATCH(I338,Rame!$F$1:$FF$1,0)-1)=TRUE),0,OFFSET(Rame!$F$1,MATCH(H338,Rame!$F:$F,0)-1,MATCH(I338,Rame!$F$1:$FF$1,0)-1))*IF(E338="Rame",1,0),4)</f>
        <v>0</v>
      </c>
      <c r="S338" s="238">
        <f ca="1">ROUND(IF(ISERROR(OFFSET(Bronzo!$A$1,MATCH(H338,Bronzo!$A:$A,0)-1,MATCH(I338,Bronzo!$A$1:$AA$1,0)-1)=TRUE),0,OFFSET(Bronzo!$A$1,MATCH(H338,Bronzo!$A:$A,0)-1,MATCH(I338,Bronzo!$A$1:$AA$1,0)-1)),4)</f>
        <v>0</v>
      </c>
      <c r="T338" s="238">
        <f t="shared" ca="1" si="219"/>
        <v>0</v>
      </c>
      <c r="U338" s="237"/>
      <c r="V338" s="238">
        <v>0</v>
      </c>
      <c r="W338" s="239">
        <f t="shared" ca="1" si="220"/>
        <v>1.5</v>
      </c>
      <c r="X338" s="423">
        <f t="shared" si="218"/>
        <v>84.14</v>
      </c>
      <c r="Y338" s="236">
        <v>4.0999999999999996</v>
      </c>
      <c r="Z338" s="236">
        <f t="shared" ca="1" si="221"/>
        <v>-0.02</v>
      </c>
      <c r="AA338" s="241"/>
      <c r="AF338" s="225">
        <f t="shared" ca="1" si="242"/>
        <v>46236</v>
      </c>
      <c r="AG338" s="225" t="b">
        <f t="shared" si="222"/>
        <v>1</v>
      </c>
      <c r="AH338" s="242"/>
      <c r="AS338" s="223">
        <f t="shared" si="233"/>
        <v>0</v>
      </c>
      <c r="AT338" s="223">
        <f t="shared" si="234"/>
        <v>0</v>
      </c>
    </row>
    <row r="339" spans="2:46" ht="15.75" x14ac:dyDescent="0.25">
      <c r="B339" s="229" t="s">
        <v>521</v>
      </c>
      <c r="C339" s="235" t="s">
        <v>208</v>
      </c>
      <c r="D339" s="243">
        <v>500</v>
      </c>
      <c r="E339" s="232" t="s">
        <v>4</v>
      </c>
      <c r="F339" s="233">
        <v>3.07</v>
      </c>
      <c r="G339" s="234">
        <v>46136</v>
      </c>
      <c r="H339" s="235" t="s">
        <v>25</v>
      </c>
      <c r="I339" s="235"/>
      <c r="J339" s="236">
        <v>7.0000000000000007E-2</v>
      </c>
      <c r="K339" s="237">
        <f ca="1">ROUND(IF(ISERROR(OFFSET(Tabella!$A$1,MATCH(H339,Tabella!$A:$A,0)-1,MATCH(J339,Tabella!$A$1:$AC$1,0)-1)=TRUE),0,+OFFSET(Tabella!$A$1,MATCH(H339,Tabella!$A:$A,0)-1,MATCH(J339,Tabella!$A$1:$AC$1,0)-1)),4)</f>
        <v>1.25</v>
      </c>
      <c r="L339" s="238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238">
        <f ca="1">ROUND(IF(ISERROR(OFFSET(Rame!$A$1,MATCH(H339,Rame!$A:$A,0)-1,MATCH(J339,Rame!$A$1:$AA$1,0)-1)=TRUE),0,OFFSET(Rame!$A$1,MATCH(H339,Rame!$A:$A,0)-1,MATCH(J339,Rame!$A$1:$AA$1,0)-1))*IF(E339="Rame",1,0),4)</f>
        <v>0</v>
      </c>
      <c r="N339" s="238">
        <v>0</v>
      </c>
      <c r="O339" s="238">
        <v>1.73</v>
      </c>
      <c r="P339" s="238">
        <f ca="1">ROUND(+IF(ISERROR(OFFSET(Tabella!$G$1,MATCH(H339,Tabella!$G:$G,0)-1,MATCH(I339,Tabella!$G$1:$FG$1,0)-1)=TRUE),0,OFFSET(Tabella!$G$1,MATCH(H339,Tabella!$G:$G,0)-1,MATCH(I339,Tabella!$G$1:$AB$1,0)-1)),4)</f>
        <v>0</v>
      </c>
      <c r="Q339" s="238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238">
        <f ca="1">ROUND(IF(ISERROR(OFFSET(Rame!$F$1,MATCH(H339,Rame!$F:$F,0)-1,MATCH(I339,Rame!$F$1:$FF$1,0)-1)=TRUE),0,OFFSET(Rame!$F$1,MATCH(H339,Rame!$F:$F,0)-1,MATCH(I339,Rame!$F$1:$FF$1,0)-1))*IF(E339="Rame",1,0),4)</f>
        <v>0</v>
      </c>
      <c r="S339" s="238">
        <f ca="1">ROUND(IF(ISERROR(OFFSET(Bronzo!$A$1,MATCH(H339,Bronzo!$A:$A,0)-1,MATCH(I339,Bronzo!$A$1:$AA$1,0)-1)=TRUE),0,OFFSET(Bronzo!$A$1,MATCH(H339,Bronzo!$A:$A,0)-1,MATCH(I339,Bronzo!$A$1:$AA$1,0)-1)),4)</f>
        <v>0</v>
      </c>
      <c r="T339" s="238">
        <f t="shared" ca="1" si="219"/>
        <v>0</v>
      </c>
      <c r="U339" s="237"/>
      <c r="V339" s="238">
        <v>0</v>
      </c>
      <c r="W339" s="239">
        <f t="shared" ca="1" si="220"/>
        <v>1.73</v>
      </c>
      <c r="X339" s="240">
        <f t="shared" si="218"/>
        <v>35</v>
      </c>
      <c r="Y339" s="236">
        <v>4.8</v>
      </c>
      <c r="Z339" s="236">
        <f t="shared" ca="1" si="221"/>
        <v>0</v>
      </c>
      <c r="AA339" s="241">
        <v>46168</v>
      </c>
      <c r="AF339" s="225">
        <f t="shared" ca="1" si="242"/>
        <v>46236</v>
      </c>
      <c r="AG339" s="225" t="b">
        <f t="shared" si="222"/>
        <v>0</v>
      </c>
      <c r="AH339" s="242"/>
      <c r="AS339" s="223">
        <f t="shared" si="233"/>
        <v>5</v>
      </c>
      <c r="AT339" s="223">
        <f t="shared" si="234"/>
        <v>2026</v>
      </c>
    </row>
    <row r="340" spans="2:46" ht="15.75" x14ac:dyDescent="0.25">
      <c r="B340" s="229" t="s">
        <v>723</v>
      </c>
      <c r="C340" s="245" t="s">
        <v>401</v>
      </c>
      <c r="D340" s="246">
        <v>378</v>
      </c>
      <c r="E340" s="232" t="s">
        <v>6</v>
      </c>
      <c r="F340" s="233">
        <v>11.29</v>
      </c>
      <c r="G340" s="234">
        <v>46139</v>
      </c>
      <c r="H340" s="235" t="s">
        <v>14</v>
      </c>
      <c r="I340" s="235"/>
      <c r="J340" s="236">
        <v>0.15</v>
      </c>
      <c r="K340" s="237">
        <f ca="1">ROUND(IF(ISERROR(OFFSET(Tabella!$A$1,MATCH(H340,Tabella!$A:$A,0)-1,MATCH(J340,Tabella!$A$1:$AC$1,0)-1)=TRUE),0,+OFFSET(Tabella!$A$1,MATCH(H340,Tabella!$A:$A,0)-1,MATCH(J340,Tabella!$A$1:$AC$1,0)-1)),4)</f>
        <v>0</v>
      </c>
      <c r="L340" s="238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238">
        <f ca="1">ROUND(IF(ISERROR(OFFSET(Rame!$A$1,MATCH(H340,Rame!$A:$A,0)-1,MATCH(J340,Rame!$A$1:$AA$1,0)-1)=TRUE),0,OFFSET(Rame!$A$1,MATCH(H340,Rame!$A:$A,0)-1,MATCH(J340,Rame!$A$1:$AA$1,0)-1))*IF(E340="Rame",1,0),4)</f>
        <v>1</v>
      </c>
      <c r="N340" s="238">
        <v>0</v>
      </c>
      <c r="O340" s="238">
        <f ca="1">ROUND(SUM(K340:N340),4)</f>
        <v>1</v>
      </c>
      <c r="P340" s="238">
        <f ca="1">ROUND(+IF(ISERROR(OFFSET(Tabella!$G$1,MATCH(H340,Tabella!$G:$G,0)-1,MATCH(I340,Tabella!$G$1:$FG$1,0)-1)=TRUE),0,OFFSET(Tabella!$G$1,MATCH(H340,Tabella!$G:$G,0)-1,MATCH(I340,Tabella!$G$1:$AB$1,0)-1)),4)</f>
        <v>0</v>
      </c>
      <c r="Q340" s="238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238">
        <f ca="1">ROUND(IF(ISERROR(OFFSET(Rame!$F$1,MATCH(H340,Rame!$F:$F,0)-1,MATCH(I340,Rame!$F$1:$FF$1,0)-1)=TRUE),0,OFFSET(Rame!$F$1,MATCH(H340,Rame!$F:$F,0)-1,MATCH(I340,Rame!$F$1:$FF$1,0)-1))*IF(E340="Rame",1,0),4)</f>
        <v>0</v>
      </c>
      <c r="S340" s="238">
        <f ca="1">ROUND(IF(ISERROR(OFFSET(Bronzo!$A$1,MATCH(H340,Bronzo!$A:$A,0)-1,MATCH(I340,Bronzo!$A$1:$AA$1,0)-1)=TRUE),0,OFFSET(Bronzo!$A$1,MATCH(H340,Bronzo!$A:$A,0)-1,MATCH(I340,Bronzo!$A$1:$AA$1,0)-1)),4)</f>
        <v>0</v>
      </c>
      <c r="T340" s="238">
        <f t="shared" ca="1" si="219"/>
        <v>0</v>
      </c>
      <c r="U340" s="237"/>
      <c r="V340" s="238">
        <v>0</v>
      </c>
      <c r="W340" s="239">
        <f t="shared" ca="1" si="220"/>
        <v>1</v>
      </c>
      <c r="X340" s="423">
        <f t="shared" si="218"/>
        <v>56.7</v>
      </c>
      <c r="Y340" s="236">
        <v>15.05</v>
      </c>
      <c r="Z340" s="236">
        <f t="shared" ca="1" si="221"/>
        <v>2.76</v>
      </c>
      <c r="AA340" s="241"/>
      <c r="AF340" s="225">
        <f t="shared" ca="1" si="242"/>
        <v>46236</v>
      </c>
      <c r="AG340" s="225" t="b">
        <f t="shared" si="222"/>
        <v>1</v>
      </c>
      <c r="AH340" s="242"/>
      <c r="AS340" s="223">
        <f t="shared" si="233"/>
        <v>0</v>
      </c>
      <c r="AT340" s="223">
        <f t="shared" si="234"/>
        <v>0</v>
      </c>
    </row>
    <row r="341" spans="2:46" ht="15.75" x14ac:dyDescent="0.25">
      <c r="B341" s="229" t="s">
        <v>752</v>
      </c>
      <c r="C341" s="245" t="s">
        <v>260</v>
      </c>
      <c r="D341" s="246">
        <v>872</v>
      </c>
      <c r="E341" s="232" t="s">
        <v>4</v>
      </c>
      <c r="F341" s="233">
        <v>3.02</v>
      </c>
      <c r="G341" s="234">
        <v>46133</v>
      </c>
      <c r="H341" s="235" t="s">
        <v>244</v>
      </c>
      <c r="I341" s="235"/>
      <c r="J341" s="236">
        <v>7.0000000000000007E-2</v>
      </c>
      <c r="K341" s="237">
        <f ca="1">ROUND(IF(ISERROR(OFFSET(Tabella!$A$1,MATCH(H341,Tabella!$A:$A,0)-1,MATCH(J341,Tabella!$A$1:$AC$1,0)-1)=TRUE),0,+OFFSET(Tabella!$A$1,MATCH(H341,Tabella!$A:$A,0)-1,MATCH(J341,Tabella!$A$1:$AC$1,0)-1)),4)</f>
        <v>1.35</v>
      </c>
      <c r="L341" s="238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238">
        <f ca="1">ROUND(IF(ISERROR(OFFSET(Rame!$A$1,MATCH(H341,Rame!$A:$A,0)-1,MATCH(J341,Rame!$A$1:$AA$1,0)-1)=TRUE),0,OFFSET(Rame!$A$1,MATCH(H341,Rame!$A:$A,0)-1,MATCH(J341,Rame!$A$1:$AA$1,0)-1))*IF(E341="Rame",1,0),4)</f>
        <v>0</v>
      </c>
      <c r="N341" s="238">
        <v>0</v>
      </c>
      <c r="O341" s="238">
        <v>1.78</v>
      </c>
      <c r="P341" s="238">
        <f ca="1">ROUND(+IF(ISERROR(OFFSET(Tabella!$G$1,MATCH(H341,Tabella!$G:$G,0)-1,MATCH(I341,Tabella!$G$1:$FG$1,0)-1)=TRUE),0,OFFSET(Tabella!$G$1,MATCH(H341,Tabella!$G:$G,0)-1,MATCH(I341,Tabella!$G$1:$AB$1,0)-1)),4)</f>
        <v>0</v>
      </c>
      <c r="Q341" s="238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238">
        <f ca="1">ROUND(IF(ISERROR(OFFSET(Rame!$F$1,MATCH(H341,Rame!$F:$F,0)-1,MATCH(I341,Rame!$F$1:$FF$1,0)-1)=TRUE),0,OFFSET(Rame!$F$1,MATCH(H341,Rame!$F:$F,0)-1,MATCH(I341,Rame!$F$1:$FF$1,0)-1))*IF(E341="Rame",1,0),4)</f>
        <v>0</v>
      </c>
      <c r="S341" s="238">
        <f ca="1">ROUND(IF(ISERROR(OFFSET(Bronzo!$A$1,MATCH(H341,Bronzo!$A:$A,0)-1,MATCH(I341,Bronzo!$A$1:$AA$1,0)-1)=TRUE),0,OFFSET(Bronzo!$A$1,MATCH(H341,Bronzo!$A:$A,0)-1,MATCH(I341,Bronzo!$A$1:$AA$1,0)-1)),4)</f>
        <v>0</v>
      </c>
      <c r="T341" s="238">
        <f t="shared" ca="1" si="219"/>
        <v>0</v>
      </c>
      <c r="U341" s="237"/>
      <c r="V341" s="238">
        <v>0</v>
      </c>
      <c r="W341" s="239">
        <f t="shared" ca="1" si="220"/>
        <v>1.78</v>
      </c>
      <c r="X341" s="423">
        <f t="shared" si="218"/>
        <v>61.04</v>
      </c>
      <c r="Y341" s="236">
        <v>4.8</v>
      </c>
      <c r="Z341" s="236">
        <f t="shared" ca="1" si="221"/>
        <v>0</v>
      </c>
      <c r="AA341" s="241"/>
      <c r="AF341" s="225">
        <f t="shared" ca="1" si="242"/>
        <v>46236</v>
      </c>
      <c r="AG341" s="225" t="b">
        <f t="shared" si="222"/>
        <v>1</v>
      </c>
      <c r="AH341" s="242"/>
      <c r="AS341" s="223">
        <f t="shared" si="233"/>
        <v>0</v>
      </c>
      <c r="AT341" s="223">
        <f t="shared" si="234"/>
        <v>0</v>
      </c>
    </row>
    <row r="342" spans="2:46" ht="15.75" x14ac:dyDescent="0.25">
      <c r="B342" s="229" t="s">
        <v>710</v>
      </c>
      <c r="C342" s="245" t="s">
        <v>260</v>
      </c>
      <c r="D342" s="246">
        <v>640</v>
      </c>
      <c r="E342" s="232" t="s">
        <v>4</v>
      </c>
      <c r="F342" s="233">
        <v>3.02</v>
      </c>
      <c r="G342" s="234">
        <v>46133</v>
      </c>
      <c r="H342" s="235" t="s">
        <v>24</v>
      </c>
      <c r="I342" s="235"/>
      <c r="J342" s="236">
        <v>7.0000000000000007E-2</v>
      </c>
      <c r="K342" s="237">
        <f ca="1">ROUND(IF(ISERROR(OFFSET(Tabella!$A$1,MATCH(H342,Tabella!$A:$A,0)-1,MATCH(J342,Tabella!$A$1:$AC$1,0)-1)=TRUE),0,+OFFSET(Tabella!$A$1,MATCH(H342,Tabella!$A:$A,0)-1,MATCH(J342,Tabella!$A$1:$AC$1,0)-1)),4)</f>
        <v>1.25</v>
      </c>
      <c r="L342" s="238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238">
        <f ca="1">ROUND(IF(ISERROR(OFFSET(Rame!$A$1,MATCH(H342,Rame!$A:$A,0)-1,MATCH(J342,Rame!$A$1:$AA$1,0)-1)=TRUE),0,OFFSET(Rame!$A$1,MATCH(H342,Rame!$A:$A,0)-1,MATCH(J342,Rame!$A$1:$AA$1,0)-1))*IF(E342="Rame",1,0),4)</f>
        <v>0</v>
      </c>
      <c r="N342" s="238">
        <v>0</v>
      </c>
      <c r="O342" s="238">
        <v>1.73</v>
      </c>
      <c r="P342" s="238">
        <f ca="1">ROUND(+IF(ISERROR(OFFSET(Tabella!$G$1,MATCH(H342,Tabella!$G:$G,0)-1,MATCH(I342,Tabella!$G$1:$FG$1,0)-1)=TRUE),0,OFFSET(Tabella!$G$1,MATCH(H342,Tabella!$G:$G,0)-1,MATCH(I342,Tabella!$G$1:$AB$1,0)-1)),4)</f>
        <v>0</v>
      </c>
      <c r="Q342" s="238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238">
        <f ca="1">ROUND(IF(ISERROR(OFFSET(Rame!$F$1,MATCH(H342,Rame!$F:$F,0)-1,MATCH(I342,Rame!$F$1:$FF$1,0)-1)=TRUE),0,OFFSET(Rame!$F$1,MATCH(H342,Rame!$F:$F,0)-1,MATCH(I342,Rame!$F$1:$FF$1,0)-1))*IF(E342="Rame",1,0),4)</f>
        <v>0</v>
      </c>
      <c r="S342" s="238">
        <f ca="1">ROUND(IF(ISERROR(OFFSET(Bronzo!$A$1,MATCH(H342,Bronzo!$A:$A,0)-1,MATCH(I342,Bronzo!$A$1:$AA$1,0)-1)=TRUE),0,OFFSET(Bronzo!$A$1,MATCH(H342,Bronzo!$A:$A,0)-1,MATCH(I342,Bronzo!$A$1:$AA$1,0)-1)),4)</f>
        <v>0</v>
      </c>
      <c r="T342" s="238">
        <f t="shared" ca="1" si="219"/>
        <v>0</v>
      </c>
      <c r="U342" s="237"/>
      <c r="V342" s="238">
        <v>0</v>
      </c>
      <c r="W342" s="239">
        <f t="shared" ca="1" si="220"/>
        <v>1.73</v>
      </c>
      <c r="X342" s="423">
        <f t="shared" si="218"/>
        <v>44.8</v>
      </c>
      <c r="Y342" s="236">
        <v>4.8</v>
      </c>
      <c r="Z342" s="236">
        <f t="shared" ca="1" si="221"/>
        <v>0.05</v>
      </c>
      <c r="AA342" s="241"/>
      <c r="AF342" s="225">
        <f t="shared" ca="1" si="242"/>
        <v>46236</v>
      </c>
      <c r="AG342" s="225" t="b">
        <f t="shared" si="222"/>
        <v>1</v>
      </c>
      <c r="AH342" s="242"/>
      <c r="AS342" s="223">
        <f t="shared" si="233"/>
        <v>0</v>
      </c>
      <c r="AT342" s="223">
        <f t="shared" si="234"/>
        <v>0</v>
      </c>
    </row>
    <row r="343" spans="2:46" ht="15.75" x14ac:dyDescent="0.25">
      <c r="B343" s="229" t="s">
        <v>579</v>
      </c>
      <c r="C343" s="245" t="s">
        <v>108</v>
      </c>
      <c r="D343" s="246">
        <v>644</v>
      </c>
      <c r="E343" s="232" t="s">
        <v>4</v>
      </c>
      <c r="F343" s="233">
        <v>2.98</v>
      </c>
      <c r="G343" s="234">
        <v>46097</v>
      </c>
      <c r="H343" s="235" t="s">
        <v>308</v>
      </c>
      <c r="I343" s="235"/>
      <c r="J343" s="236">
        <v>7.0000000000000007E-2</v>
      </c>
      <c r="K343" s="237">
        <f ca="1">ROUND(IF(ISERROR(OFFSET(Tabella!$A$1,MATCH(H343,Tabella!$A:$A,0)-1,MATCH(J343,Tabella!$A$1:$AC$1,0)-1)=TRUE),0,+OFFSET(Tabella!$A$1,MATCH(H343,Tabella!$A:$A,0)-1,MATCH(J343,Tabella!$A$1:$AC$1,0)-1)),4)</f>
        <v>1.25</v>
      </c>
      <c r="L343" s="238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238">
        <f ca="1">ROUND(IF(ISERROR(OFFSET(Rame!$A$1,MATCH(H343,Rame!$A:$A,0)-1,MATCH(J343,Rame!$A$1:$AA$1,0)-1)=TRUE),0,OFFSET(Rame!$A$1,MATCH(H343,Rame!$A:$A,0)-1,MATCH(J343,Rame!$A$1:$AA$1,0)-1))*IF(E343="Rame",1,0),4)</f>
        <v>0</v>
      </c>
      <c r="N343" s="238">
        <v>0</v>
      </c>
      <c r="O343" s="238">
        <v>1.6</v>
      </c>
      <c r="P343" s="238">
        <f ca="1">ROUND(+IF(ISERROR(OFFSET(Tabella!$G$1,MATCH(H343,Tabella!$G:$G,0)-1,MATCH(I343,Tabella!$G$1:$FG$1,0)-1)=TRUE),0,OFFSET(Tabella!$G$1,MATCH(H343,Tabella!$G:$G,0)-1,MATCH(I343,Tabella!$G$1:$AB$1,0)-1)),4)</f>
        <v>0</v>
      </c>
      <c r="Q343" s="238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238">
        <f ca="1">ROUND(IF(ISERROR(OFFSET(Rame!$F$1,MATCH(H343,Rame!$F:$F,0)-1,MATCH(I343,Rame!$F$1:$FF$1,0)-1)=TRUE),0,OFFSET(Rame!$F$1,MATCH(H343,Rame!$F:$F,0)-1,MATCH(I343,Rame!$F$1:$FF$1,0)-1))*IF(E343="Rame",1,0),4)</f>
        <v>0</v>
      </c>
      <c r="S343" s="238">
        <f ca="1">ROUND(IF(ISERROR(OFFSET(Bronzo!$A$1,MATCH(H343,Bronzo!$A:$A,0)-1,MATCH(I343,Bronzo!$A$1:$AA$1,0)-1)=TRUE),0,OFFSET(Bronzo!$A$1,MATCH(H343,Bronzo!$A:$A,0)-1,MATCH(I343,Bronzo!$A$1:$AA$1,0)-1)),4)</f>
        <v>0</v>
      </c>
      <c r="T343" s="238">
        <f t="shared" ca="1" si="219"/>
        <v>0</v>
      </c>
      <c r="U343" s="237"/>
      <c r="V343" s="238">
        <v>0</v>
      </c>
      <c r="W343" s="239">
        <f t="shared" ca="1" si="220"/>
        <v>1.6</v>
      </c>
      <c r="X343" s="423">
        <f t="shared" si="218"/>
        <v>45.08</v>
      </c>
      <c r="Y343" s="236">
        <v>4.58</v>
      </c>
      <c r="Z343" s="236">
        <f t="shared" ca="1" si="221"/>
        <v>0</v>
      </c>
      <c r="AA343" s="241"/>
      <c r="AF343" s="225">
        <f t="shared" ca="1" si="242"/>
        <v>46236</v>
      </c>
      <c r="AG343" s="225" t="b">
        <f t="shared" si="222"/>
        <v>1</v>
      </c>
      <c r="AH343" s="242"/>
      <c r="AS343" s="223">
        <f t="shared" si="233"/>
        <v>0</v>
      </c>
      <c r="AT343" s="223">
        <f t="shared" si="234"/>
        <v>0</v>
      </c>
    </row>
    <row r="344" spans="2:46" ht="15.75" x14ac:dyDescent="0.25">
      <c r="B344" s="229" t="s">
        <v>579</v>
      </c>
      <c r="C344" s="245" t="s">
        <v>108</v>
      </c>
      <c r="D344" s="246">
        <v>1082</v>
      </c>
      <c r="E344" s="232" t="s">
        <v>4</v>
      </c>
      <c r="F344" s="233">
        <v>2.98</v>
      </c>
      <c r="G344" s="234">
        <v>46097</v>
      </c>
      <c r="H344" s="235" t="s">
        <v>308</v>
      </c>
      <c r="I344" s="235"/>
      <c r="J344" s="236">
        <v>7.0000000000000007E-2</v>
      </c>
      <c r="K344" s="237">
        <f ca="1">ROUND(IF(ISERROR(OFFSET(Tabella!$A$1,MATCH(H344,Tabella!$A:$A,0)-1,MATCH(J344,Tabella!$A$1:$AC$1,0)-1)=TRUE),0,+OFFSET(Tabella!$A$1,MATCH(H344,Tabella!$A:$A,0)-1,MATCH(J344,Tabella!$A$1:$AC$1,0)-1)),4)</f>
        <v>1.25</v>
      </c>
      <c r="L344" s="238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238">
        <f ca="1">ROUND(IF(ISERROR(OFFSET(Rame!$A$1,MATCH(H344,Rame!$A:$A,0)-1,MATCH(J344,Rame!$A$1:$AA$1,0)-1)=TRUE),0,OFFSET(Rame!$A$1,MATCH(H344,Rame!$A:$A,0)-1,MATCH(J344,Rame!$A$1:$AA$1,0)-1))*IF(E344="Rame",1,0),4)</f>
        <v>0</v>
      </c>
      <c r="N344" s="238">
        <v>0</v>
      </c>
      <c r="O344" s="238">
        <v>1.6</v>
      </c>
      <c r="P344" s="238">
        <f ca="1">ROUND(+IF(ISERROR(OFFSET(Tabella!$G$1,MATCH(H344,Tabella!$G:$G,0)-1,MATCH(I344,Tabella!$G$1:$FG$1,0)-1)=TRUE),0,OFFSET(Tabella!$G$1,MATCH(H344,Tabella!$G:$G,0)-1,MATCH(I344,Tabella!$G$1:$AB$1,0)-1)),4)</f>
        <v>0</v>
      </c>
      <c r="Q344" s="238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238">
        <f ca="1">ROUND(IF(ISERROR(OFFSET(Rame!$F$1,MATCH(H344,Rame!$F:$F,0)-1,MATCH(I344,Rame!$F$1:$FF$1,0)-1)=TRUE),0,OFFSET(Rame!$F$1,MATCH(H344,Rame!$F:$F,0)-1,MATCH(I344,Rame!$F$1:$FF$1,0)-1))*IF(E344="Rame",1,0),4)</f>
        <v>0</v>
      </c>
      <c r="S344" s="238">
        <f ca="1">ROUND(IF(ISERROR(OFFSET(Bronzo!$A$1,MATCH(H344,Bronzo!$A:$A,0)-1,MATCH(I344,Bronzo!$A$1:$AA$1,0)-1)=TRUE),0,OFFSET(Bronzo!$A$1,MATCH(H344,Bronzo!$A:$A,0)-1,MATCH(I344,Bronzo!$A$1:$AA$1,0)-1)),4)</f>
        <v>0</v>
      </c>
      <c r="T344" s="238">
        <f t="shared" ca="1" si="219"/>
        <v>0</v>
      </c>
      <c r="U344" s="237"/>
      <c r="V344" s="238">
        <v>0</v>
      </c>
      <c r="W344" s="239">
        <f t="shared" ca="1" si="220"/>
        <v>1.6</v>
      </c>
      <c r="X344" s="423">
        <f t="shared" ref="X344:X409" si="250">ROUND(+J344*D344,4)</f>
        <v>75.739999999999995</v>
      </c>
      <c r="Y344" s="236">
        <v>4.58</v>
      </c>
      <c r="Z344" s="236">
        <f t="shared" ca="1" si="221"/>
        <v>0</v>
      </c>
      <c r="AA344" s="241"/>
      <c r="AF344" s="225">
        <f t="shared" ca="1" si="242"/>
        <v>46236</v>
      </c>
      <c r="AG344" s="225" t="b">
        <f t="shared" si="222"/>
        <v>1</v>
      </c>
      <c r="AH344" s="242"/>
      <c r="AS344" s="223">
        <f t="shared" si="233"/>
        <v>0</v>
      </c>
      <c r="AT344" s="223">
        <f t="shared" si="234"/>
        <v>0</v>
      </c>
    </row>
    <row r="345" spans="2:46" ht="15.75" x14ac:dyDescent="0.25">
      <c r="B345" s="229" t="s">
        <v>579</v>
      </c>
      <c r="C345" s="245" t="s">
        <v>108</v>
      </c>
      <c r="D345" s="246">
        <v>1196</v>
      </c>
      <c r="E345" s="232" t="s">
        <v>4</v>
      </c>
      <c r="F345" s="233">
        <v>2.98</v>
      </c>
      <c r="G345" s="234">
        <v>46097</v>
      </c>
      <c r="H345" s="235" t="s">
        <v>308</v>
      </c>
      <c r="I345" s="235"/>
      <c r="J345" s="236">
        <v>7.0000000000000007E-2</v>
      </c>
      <c r="K345" s="237">
        <f ca="1">ROUND(IF(ISERROR(OFFSET(Tabella!$A$1,MATCH(H345,Tabella!$A:$A,0)-1,MATCH(J345,Tabella!$A$1:$AC$1,0)-1)=TRUE),0,+OFFSET(Tabella!$A$1,MATCH(H345,Tabella!$A:$A,0)-1,MATCH(J345,Tabella!$A$1:$AC$1,0)-1)),4)</f>
        <v>1.25</v>
      </c>
      <c r="L345" s="238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238">
        <f ca="1">ROUND(IF(ISERROR(OFFSET(Rame!$A$1,MATCH(H345,Rame!$A:$A,0)-1,MATCH(J345,Rame!$A$1:$AA$1,0)-1)=TRUE),0,OFFSET(Rame!$A$1,MATCH(H345,Rame!$A:$A,0)-1,MATCH(J345,Rame!$A$1:$AA$1,0)-1))*IF(E345="Rame",1,0),4)</f>
        <v>0</v>
      </c>
      <c r="N345" s="238">
        <v>0</v>
      </c>
      <c r="O345" s="238">
        <v>1.6</v>
      </c>
      <c r="P345" s="238">
        <f ca="1">ROUND(+IF(ISERROR(OFFSET(Tabella!$G$1,MATCH(H345,Tabella!$G:$G,0)-1,MATCH(I345,Tabella!$G$1:$FG$1,0)-1)=TRUE),0,OFFSET(Tabella!$G$1,MATCH(H345,Tabella!$G:$G,0)-1,MATCH(I345,Tabella!$G$1:$AB$1,0)-1)),4)</f>
        <v>0</v>
      </c>
      <c r="Q345" s="238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238">
        <f ca="1">ROUND(IF(ISERROR(OFFSET(Rame!$F$1,MATCH(H345,Rame!$F:$F,0)-1,MATCH(I345,Rame!$F$1:$FF$1,0)-1)=TRUE),0,OFFSET(Rame!$F$1,MATCH(H345,Rame!$F:$F,0)-1,MATCH(I345,Rame!$F$1:$FF$1,0)-1))*IF(E345="Rame",1,0),4)</f>
        <v>0</v>
      </c>
      <c r="S345" s="238">
        <f ca="1">ROUND(IF(ISERROR(OFFSET(Bronzo!$A$1,MATCH(H345,Bronzo!$A:$A,0)-1,MATCH(I345,Bronzo!$A$1:$AA$1,0)-1)=TRUE),0,OFFSET(Bronzo!$A$1,MATCH(H345,Bronzo!$A:$A,0)-1,MATCH(I345,Bronzo!$A$1:$AA$1,0)-1)),4)</f>
        <v>0</v>
      </c>
      <c r="T345" s="238">
        <f t="shared" ca="1" si="219"/>
        <v>0</v>
      </c>
      <c r="U345" s="237"/>
      <c r="V345" s="238">
        <v>0</v>
      </c>
      <c r="W345" s="239">
        <f t="shared" ca="1" si="220"/>
        <v>1.6</v>
      </c>
      <c r="X345" s="423">
        <f t="shared" si="250"/>
        <v>83.72</v>
      </c>
      <c r="Y345" s="236">
        <v>4.58</v>
      </c>
      <c r="Z345" s="236">
        <f t="shared" ca="1" si="221"/>
        <v>0</v>
      </c>
      <c r="AA345" s="241"/>
      <c r="AF345" s="225">
        <f t="shared" ca="1" si="242"/>
        <v>46236</v>
      </c>
      <c r="AG345" s="225" t="b">
        <f t="shared" si="222"/>
        <v>1</v>
      </c>
      <c r="AH345" s="242"/>
      <c r="AS345" s="223">
        <f t="shared" si="233"/>
        <v>0</v>
      </c>
      <c r="AT345" s="223">
        <f t="shared" si="234"/>
        <v>0</v>
      </c>
    </row>
    <row r="346" spans="2:46" ht="15.75" x14ac:dyDescent="0.25">
      <c r="B346" s="229" t="s">
        <v>714</v>
      </c>
      <c r="C346" s="245" t="s">
        <v>108</v>
      </c>
      <c r="D346" s="246">
        <v>634</v>
      </c>
      <c r="E346" s="232" t="s">
        <v>4</v>
      </c>
      <c r="F346" s="233">
        <v>2.98</v>
      </c>
      <c r="G346" s="234">
        <v>46097</v>
      </c>
      <c r="H346" s="235" t="s">
        <v>29</v>
      </c>
      <c r="I346" s="235"/>
      <c r="J346" s="236">
        <v>7.0000000000000007E-2</v>
      </c>
      <c r="K346" s="237">
        <f ca="1">ROUND(IF(ISERROR(OFFSET(Tabella!$A$1,MATCH(H346,Tabella!$A:$A,0)-1,MATCH(J346,Tabella!$A$1:$AC$1,0)-1)=TRUE),0,+OFFSET(Tabella!$A$1,MATCH(H346,Tabella!$A:$A,0)-1,MATCH(J346,Tabella!$A$1:$AC$1,0)-1)),4)</f>
        <v>1.3</v>
      </c>
      <c r="L346" s="238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238">
        <f ca="1">ROUND(IF(ISERROR(OFFSET(Rame!$A$1,MATCH(H346,Rame!$A:$A,0)-1,MATCH(J346,Rame!$A$1:$AA$1,0)-1)=TRUE),0,OFFSET(Rame!$A$1,MATCH(H346,Rame!$A:$A,0)-1,MATCH(J346,Rame!$A$1:$AA$1,0)-1))*IF(E346="Rame",1,0),4)</f>
        <v>0</v>
      </c>
      <c r="N346" s="238">
        <v>0</v>
      </c>
      <c r="O346" s="238">
        <v>1.6</v>
      </c>
      <c r="P346" s="238">
        <f ca="1">ROUND(+IF(ISERROR(OFFSET(Tabella!$G$1,MATCH(H346,Tabella!$G:$G,0)-1,MATCH(I346,Tabella!$G$1:$FG$1,0)-1)=TRUE),0,OFFSET(Tabella!$G$1,MATCH(H346,Tabella!$G:$G,0)-1,MATCH(I346,Tabella!$G$1:$AB$1,0)-1)),4)</f>
        <v>0</v>
      </c>
      <c r="Q346" s="238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238">
        <f ca="1">ROUND(IF(ISERROR(OFFSET(Rame!$F$1,MATCH(H346,Rame!$F:$F,0)-1,MATCH(I346,Rame!$F$1:$FF$1,0)-1)=TRUE),0,OFFSET(Rame!$F$1,MATCH(H346,Rame!$F:$F,0)-1,MATCH(I346,Rame!$F$1:$FF$1,0)-1))*IF(E346="Rame",1,0),4)</f>
        <v>0</v>
      </c>
      <c r="S346" s="238">
        <f ca="1">ROUND(IF(ISERROR(OFFSET(Bronzo!$A$1,MATCH(H346,Bronzo!$A:$A,0)-1,MATCH(I346,Bronzo!$A$1:$AA$1,0)-1)=TRUE),0,OFFSET(Bronzo!$A$1,MATCH(H346,Bronzo!$A:$A,0)-1,MATCH(I346,Bronzo!$A$1:$AA$1,0)-1)),4)</f>
        <v>0</v>
      </c>
      <c r="T346" s="238">
        <f t="shared" ca="1" si="219"/>
        <v>0</v>
      </c>
      <c r="U346" s="237"/>
      <c r="V346" s="238">
        <v>0</v>
      </c>
      <c r="W346" s="239">
        <f t="shared" ca="1" si="220"/>
        <v>1.6</v>
      </c>
      <c r="X346" s="423">
        <f t="shared" si="250"/>
        <v>44.38</v>
      </c>
      <c r="Y346" s="236">
        <v>4.58</v>
      </c>
      <c r="Z346" s="236">
        <f t="shared" ca="1" si="221"/>
        <v>0</v>
      </c>
      <c r="AA346" s="241"/>
      <c r="AF346" s="225">
        <f t="shared" ca="1" si="242"/>
        <v>46236</v>
      </c>
      <c r="AG346" s="225" t="b">
        <f t="shared" si="222"/>
        <v>1</v>
      </c>
      <c r="AH346" s="242"/>
      <c r="AS346" s="223">
        <f t="shared" si="233"/>
        <v>0</v>
      </c>
      <c r="AT346" s="223">
        <f t="shared" si="234"/>
        <v>0</v>
      </c>
    </row>
    <row r="347" spans="2:46" ht="15.75" x14ac:dyDescent="0.25">
      <c r="B347" s="229" t="s">
        <v>645</v>
      </c>
      <c r="C347" s="245" t="s">
        <v>440</v>
      </c>
      <c r="D347" s="246">
        <v>1429</v>
      </c>
      <c r="E347" s="232" t="s">
        <v>4</v>
      </c>
      <c r="F347" s="233">
        <v>2.62</v>
      </c>
      <c r="G347" s="234">
        <v>46076</v>
      </c>
      <c r="H347" s="235" t="s">
        <v>15</v>
      </c>
      <c r="I347" s="235"/>
      <c r="J347" s="236">
        <v>7.0000000000000007E-2</v>
      </c>
      <c r="K347" s="237">
        <f ca="1">ROUND(IF(ISERROR(OFFSET(Tabella!$A$1,MATCH(H347,Tabella!$A:$A,0)-1,MATCH(J347,Tabella!$A$1:$AC$1,0)-1)=TRUE),0,+OFFSET(Tabella!$A$1,MATCH(H347,Tabella!$A:$A,0)-1,MATCH(J347,Tabella!$A$1:$AC$1,0)-1)),4)</f>
        <v>1.4</v>
      </c>
      <c r="L347" s="238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238">
        <f ca="1">ROUND(IF(ISERROR(OFFSET(Rame!$A$1,MATCH(H347,Rame!$A:$A,0)-1,MATCH(J347,Rame!$A$1:$AA$1,0)-1)=TRUE),0,OFFSET(Rame!$A$1,MATCH(H347,Rame!$A:$A,0)-1,MATCH(J347,Rame!$A$1:$AA$1,0)-1))*IF(E347="Rame",1,0),4)</f>
        <v>0</v>
      </c>
      <c r="N347" s="238">
        <v>0</v>
      </c>
      <c r="O347" s="238">
        <f ca="1">ROUND(SUM(K347:N347),4)</f>
        <v>1.4</v>
      </c>
      <c r="P347" s="238">
        <f ca="1">ROUND(+IF(ISERROR(OFFSET(Tabella!$G$1,MATCH(H347,Tabella!$G:$G,0)-1,MATCH(I347,Tabella!$G$1:$FG$1,0)-1)=TRUE),0,OFFSET(Tabella!$G$1,MATCH(H347,Tabella!$G:$G,0)-1,MATCH(I347,Tabella!$G$1:$AB$1,0)-1)),4)</f>
        <v>0</v>
      </c>
      <c r="Q347" s="238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238">
        <f ca="1">ROUND(IF(ISERROR(OFFSET(Rame!$F$1,MATCH(H347,Rame!$F:$F,0)-1,MATCH(I347,Rame!$F$1:$FF$1,0)-1)=TRUE),0,OFFSET(Rame!$F$1,MATCH(H347,Rame!$F:$F,0)-1,MATCH(I347,Rame!$F$1:$FF$1,0)-1))*IF(E347="Rame",1,0),4)</f>
        <v>0</v>
      </c>
      <c r="S347" s="238">
        <f ca="1">ROUND(IF(ISERROR(OFFSET(Bronzo!$A$1,MATCH(H347,Bronzo!$A:$A,0)-1,MATCH(I347,Bronzo!$A$1:$AA$1,0)-1)=TRUE),0,OFFSET(Bronzo!$A$1,MATCH(H347,Bronzo!$A:$A,0)-1,MATCH(I347,Bronzo!$A$1:$AA$1,0)-1)),4)</f>
        <v>0</v>
      </c>
      <c r="T347" s="238">
        <f t="shared" ca="1" si="219"/>
        <v>0</v>
      </c>
      <c r="U347" s="237"/>
      <c r="V347" s="238">
        <v>0</v>
      </c>
      <c r="W347" s="239">
        <f t="shared" ca="1" si="220"/>
        <v>1.4</v>
      </c>
      <c r="X347" s="423">
        <f t="shared" si="250"/>
        <v>100.03</v>
      </c>
      <c r="Y347" s="236">
        <v>4.25</v>
      </c>
      <c r="Z347" s="236">
        <f t="shared" ca="1" si="221"/>
        <v>0.23</v>
      </c>
      <c r="AA347" s="241"/>
      <c r="AF347" s="225">
        <f t="shared" ca="1" si="242"/>
        <v>46236</v>
      </c>
      <c r="AG347" s="225" t="b">
        <f t="shared" si="222"/>
        <v>1</v>
      </c>
      <c r="AH347" s="242"/>
      <c r="AS347" s="223">
        <f t="shared" si="233"/>
        <v>0</v>
      </c>
      <c r="AT347" s="223">
        <f t="shared" si="234"/>
        <v>0</v>
      </c>
    </row>
    <row r="348" spans="2:46" ht="15.75" x14ac:dyDescent="0.25">
      <c r="B348" s="229" t="s">
        <v>644</v>
      </c>
      <c r="C348" s="245" t="s">
        <v>440</v>
      </c>
      <c r="D348" s="246">
        <v>538</v>
      </c>
      <c r="E348" s="232" t="s">
        <v>4</v>
      </c>
      <c r="F348" s="233">
        <v>2.62</v>
      </c>
      <c r="G348" s="234">
        <v>46076</v>
      </c>
      <c r="H348" s="235" t="s">
        <v>17</v>
      </c>
      <c r="I348" s="235"/>
      <c r="J348" s="236">
        <v>7.0000000000000007E-2</v>
      </c>
      <c r="K348" s="237">
        <f ca="1">ROUND(IF(ISERROR(OFFSET(Tabella!$A$1,MATCH(H348,Tabella!$A:$A,0)-1,MATCH(J348,Tabella!$A$1:$AC$1,0)-1)=TRUE),0,+OFFSET(Tabella!$A$1,MATCH(H348,Tabella!$A:$A,0)-1,MATCH(J348,Tabella!$A$1:$AC$1,0)-1)),4)</f>
        <v>1.4</v>
      </c>
      <c r="L348" s="238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238">
        <f ca="1">ROUND(IF(ISERROR(OFFSET(Rame!$A$1,MATCH(H348,Rame!$A:$A,0)-1,MATCH(J348,Rame!$A$1:$AA$1,0)-1)=TRUE),0,OFFSET(Rame!$A$1,MATCH(H348,Rame!$A:$A,0)-1,MATCH(J348,Rame!$A$1:$AA$1,0)-1))*IF(E348="Rame",1,0),4)</f>
        <v>0</v>
      </c>
      <c r="N348" s="238">
        <v>0</v>
      </c>
      <c r="O348" s="238">
        <f ca="1">ROUND(SUM(K348:N348),4)</f>
        <v>1.4</v>
      </c>
      <c r="P348" s="238">
        <f ca="1">ROUND(+IF(ISERROR(OFFSET(Tabella!$G$1,MATCH(H348,Tabella!$G:$G,0)-1,MATCH(I348,Tabella!$G$1:$FG$1,0)-1)=TRUE),0,OFFSET(Tabella!$G$1,MATCH(H348,Tabella!$G:$G,0)-1,MATCH(I348,Tabella!$G$1:$AB$1,0)-1)),4)</f>
        <v>0</v>
      </c>
      <c r="Q348" s="238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238">
        <f ca="1">ROUND(IF(ISERROR(OFFSET(Rame!$F$1,MATCH(H348,Rame!$F:$F,0)-1,MATCH(I348,Rame!$F$1:$FF$1,0)-1)=TRUE),0,OFFSET(Rame!$F$1,MATCH(H348,Rame!$F:$F,0)-1,MATCH(I348,Rame!$F$1:$FF$1,0)-1))*IF(E348="Rame",1,0),4)</f>
        <v>0</v>
      </c>
      <c r="S348" s="238">
        <f ca="1">ROUND(IF(ISERROR(OFFSET(Bronzo!$A$1,MATCH(H348,Bronzo!$A:$A,0)-1,MATCH(I348,Bronzo!$A$1:$AA$1,0)-1)=TRUE),0,OFFSET(Bronzo!$A$1,MATCH(H348,Bronzo!$A:$A,0)-1,MATCH(I348,Bronzo!$A$1:$AA$1,0)-1)),4)</f>
        <v>0</v>
      </c>
      <c r="T348" s="238">
        <f t="shared" ca="1" si="219"/>
        <v>0</v>
      </c>
      <c r="U348" s="237"/>
      <c r="V348" s="238">
        <v>0</v>
      </c>
      <c r="W348" s="239">
        <f t="shared" ca="1" si="220"/>
        <v>1.4</v>
      </c>
      <c r="X348" s="423">
        <f t="shared" si="250"/>
        <v>37.659999999999997</v>
      </c>
      <c r="Y348" s="236">
        <v>4.2</v>
      </c>
      <c r="Z348" s="236">
        <f t="shared" ca="1" si="221"/>
        <v>0.18</v>
      </c>
      <c r="AA348" s="241"/>
      <c r="AF348" s="225">
        <f t="shared" ca="1" si="242"/>
        <v>46236</v>
      </c>
      <c r="AG348" s="225" t="b">
        <f t="shared" si="222"/>
        <v>1</v>
      </c>
      <c r="AH348" s="242"/>
      <c r="AS348" s="223">
        <f t="shared" si="233"/>
        <v>0</v>
      </c>
      <c r="AT348" s="223">
        <f t="shared" si="234"/>
        <v>0</v>
      </c>
    </row>
    <row r="349" spans="2:46" ht="15.75" x14ac:dyDescent="0.25">
      <c r="B349" s="229" t="s">
        <v>643</v>
      </c>
      <c r="C349" s="245" t="s">
        <v>440</v>
      </c>
      <c r="D349" s="246">
        <v>1756</v>
      </c>
      <c r="E349" s="232" t="s">
        <v>4</v>
      </c>
      <c r="F349" s="233">
        <v>2.62</v>
      </c>
      <c r="G349" s="234">
        <v>46076</v>
      </c>
      <c r="H349" s="235" t="s">
        <v>308</v>
      </c>
      <c r="I349" s="235"/>
      <c r="J349" s="236">
        <v>7.0000000000000007E-2</v>
      </c>
      <c r="K349" s="237">
        <f ca="1">ROUND(IF(ISERROR(OFFSET(Tabella!$A$1,MATCH(H349,Tabella!$A:$A,0)-1,MATCH(J349,Tabella!$A$1:$AC$1,0)-1)=TRUE),0,+OFFSET(Tabella!$A$1,MATCH(H349,Tabella!$A:$A,0)-1,MATCH(J349,Tabella!$A$1:$AC$1,0)-1)),4)</f>
        <v>1.25</v>
      </c>
      <c r="L349" s="238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238">
        <f ca="1">ROUND(IF(ISERROR(OFFSET(Rame!$A$1,MATCH(H349,Rame!$A:$A,0)-1,MATCH(J349,Rame!$A$1:$AA$1,0)-1)=TRUE),0,OFFSET(Rame!$A$1,MATCH(H349,Rame!$A:$A,0)-1,MATCH(J349,Rame!$A$1:$AA$1,0)-1))*IF(E349="Rame",1,0),4)</f>
        <v>0</v>
      </c>
      <c r="N349" s="238">
        <v>0</v>
      </c>
      <c r="O349" s="238">
        <f ca="1">ROUND(SUM(K349:N349),4)</f>
        <v>1.25</v>
      </c>
      <c r="P349" s="238">
        <f ca="1">ROUND(+IF(ISERROR(OFFSET(Tabella!$G$1,MATCH(H349,Tabella!$G:$G,0)-1,MATCH(I349,Tabella!$G$1:$FG$1,0)-1)=TRUE),0,OFFSET(Tabella!$G$1,MATCH(H349,Tabella!$G:$G,0)-1,MATCH(I349,Tabella!$G$1:$AB$1,0)-1)),4)</f>
        <v>0</v>
      </c>
      <c r="Q349" s="238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238">
        <f ca="1">ROUND(IF(ISERROR(OFFSET(Rame!$F$1,MATCH(H349,Rame!$F:$F,0)-1,MATCH(I349,Rame!$F$1:$FF$1,0)-1)=TRUE),0,OFFSET(Rame!$F$1,MATCH(H349,Rame!$F:$F,0)-1,MATCH(I349,Rame!$F$1:$FF$1,0)-1))*IF(E349="Rame",1,0),4)</f>
        <v>0</v>
      </c>
      <c r="S349" s="238">
        <f ca="1">ROUND(IF(ISERROR(OFFSET(Bronzo!$A$1,MATCH(H349,Bronzo!$A:$A,0)-1,MATCH(I349,Bronzo!$A$1:$AA$1,0)-1)=TRUE),0,OFFSET(Bronzo!$A$1,MATCH(H349,Bronzo!$A:$A,0)-1,MATCH(I349,Bronzo!$A$1:$AA$1,0)-1)),4)</f>
        <v>0</v>
      </c>
      <c r="T349" s="238">
        <f t="shared" ca="1" si="219"/>
        <v>0</v>
      </c>
      <c r="U349" s="237"/>
      <c r="V349" s="238">
        <v>0</v>
      </c>
      <c r="W349" s="239">
        <f t="shared" ca="1" si="220"/>
        <v>1.25</v>
      </c>
      <c r="X349" s="423">
        <f t="shared" si="250"/>
        <v>122.92</v>
      </c>
      <c r="Y349" s="236">
        <v>4.0999999999999996</v>
      </c>
      <c r="Z349" s="236">
        <f t="shared" ca="1" si="221"/>
        <v>0.23</v>
      </c>
      <c r="AA349" s="241"/>
      <c r="AF349" s="225">
        <f t="shared" ca="1" si="242"/>
        <v>46236</v>
      </c>
      <c r="AG349" s="225" t="b">
        <f t="shared" si="222"/>
        <v>1</v>
      </c>
      <c r="AH349" s="242"/>
      <c r="AS349" s="223">
        <f t="shared" si="233"/>
        <v>0</v>
      </c>
      <c r="AT349" s="223">
        <f t="shared" si="234"/>
        <v>0</v>
      </c>
    </row>
    <row r="350" spans="2:46" ht="15.75" x14ac:dyDescent="0.25">
      <c r="B350" s="229" t="s">
        <v>529</v>
      </c>
      <c r="C350" s="248" t="s">
        <v>208</v>
      </c>
      <c r="D350" s="249">
        <v>5700</v>
      </c>
      <c r="E350" s="232" t="s">
        <v>4</v>
      </c>
      <c r="F350" s="233">
        <v>3.04</v>
      </c>
      <c r="G350" s="234">
        <v>46139</v>
      </c>
      <c r="H350" s="235" t="s">
        <v>21</v>
      </c>
      <c r="I350" s="235"/>
      <c r="J350" s="236">
        <v>7.0000000000000007E-2</v>
      </c>
      <c r="K350" s="237">
        <f ca="1">ROUND(IF(ISERROR(OFFSET(Tabella!$A$1,MATCH(H350,Tabella!$A:$A,0)-1,MATCH(J350,Tabella!$A$1:$AC$1,0)-1)=TRUE),0,+OFFSET(Tabella!$A$1,MATCH(H350,Tabella!$A:$A,0)-1,MATCH(J350,Tabella!$A$1:$AC$1,0)-1)),4)</f>
        <v>1.25</v>
      </c>
      <c r="L350" s="238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238">
        <f ca="1">ROUND(IF(ISERROR(OFFSET(Rame!$A$1,MATCH(H350,Rame!$A:$A,0)-1,MATCH(J350,Rame!$A$1:$AA$1,0)-1)=TRUE),0,OFFSET(Rame!$A$1,MATCH(H350,Rame!$A:$A,0)-1,MATCH(J350,Rame!$A$1:$AA$1,0)-1))*IF(E350="Rame",1,0),4)</f>
        <v>0</v>
      </c>
      <c r="N350" s="238">
        <v>0</v>
      </c>
      <c r="O350" s="238">
        <f ca="1">ROUND(SUM(K350:N350),4)</f>
        <v>1.25</v>
      </c>
      <c r="P350" s="238">
        <f ca="1">ROUND(+IF(ISERROR(OFFSET(Tabella!$G$1,MATCH(H350,Tabella!$G:$G,0)-1,MATCH(I350,Tabella!$G$1:$FG$1,0)-1)=TRUE),0,OFFSET(Tabella!$G$1,MATCH(H350,Tabella!$G:$G,0)-1,MATCH(I350,Tabella!$G$1:$AB$1,0)-1)),4)</f>
        <v>0</v>
      </c>
      <c r="Q350" s="238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238">
        <f ca="1">ROUND(IF(ISERROR(OFFSET(Rame!$F$1,MATCH(H350,Rame!$F:$F,0)-1,MATCH(I350,Rame!$F$1:$FF$1,0)-1)=TRUE),0,OFFSET(Rame!$F$1,MATCH(H350,Rame!$F:$F,0)-1,MATCH(I350,Rame!$F$1:$FF$1,0)-1))*IF(E350="Rame",1,0),4)</f>
        <v>0</v>
      </c>
      <c r="S350" s="238">
        <f ca="1">ROUND(IF(ISERROR(OFFSET(Bronzo!$A$1,MATCH(H350,Bronzo!$A:$A,0)-1,MATCH(I350,Bronzo!$A$1:$AA$1,0)-1)=TRUE),0,OFFSET(Bronzo!$A$1,MATCH(H350,Bronzo!$A:$A,0)-1,MATCH(I350,Bronzo!$A$1:$AA$1,0)-1)),4)</f>
        <v>0</v>
      </c>
      <c r="T350" s="238">
        <f t="shared" ref="T350:T415" ca="1" si="251">ROUND(SUM(P350:S350),4)</f>
        <v>0</v>
      </c>
      <c r="U350" s="237"/>
      <c r="V350" s="238">
        <v>0</v>
      </c>
      <c r="W350" s="239">
        <f t="shared" ref="W350:W415" ca="1" si="252">ROUND(+O350+T350+U350+V350,4)</f>
        <v>1.25</v>
      </c>
      <c r="X350" s="424">
        <f t="shared" si="250"/>
        <v>399</v>
      </c>
      <c r="Y350" s="236">
        <v>4.75</v>
      </c>
      <c r="Z350" s="236">
        <f t="shared" ref="Z350:Z415" ca="1" si="253">ROUND(+Y350-W350-F350,4)</f>
        <v>0.46</v>
      </c>
      <c r="AA350" s="241">
        <v>46203</v>
      </c>
      <c r="AF350" s="225">
        <f t="shared" ca="1" si="242"/>
        <v>46236</v>
      </c>
      <c r="AG350" s="225" t="b">
        <f t="shared" si="222"/>
        <v>0</v>
      </c>
      <c r="AH350" s="242"/>
      <c r="AS350" s="223">
        <f t="shared" si="233"/>
        <v>6</v>
      </c>
      <c r="AT350" s="223">
        <f t="shared" si="234"/>
        <v>2026</v>
      </c>
    </row>
    <row r="351" spans="2:46" ht="15.75" x14ac:dyDescent="0.25">
      <c r="B351" s="229" t="s">
        <v>682</v>
      </c>
      <c r="C351" s="245" t="s">
        <v>208</v>
      </c>
      <c r="D351" s="246">
        <v>570</v>
      </c>
      <c r="E351" s="232" t="s">
        <v>4</v>
      </c>
      <c r="F351" s="233">
        <v>3.04</v>
      </c>
      <c r="G351" s="234">
        <v>46139</v>
      </c>
      <c r="H351" s="235" t="s">
        <v>243</v>
      </c>
      <c r="I351" s="235"/>
      <c r="J351" s="236">
        <v>7.0000000000000007E-2</v>
      </c>
      <c r="K351" s="237">
        <f ca="1">ROUND(IF(ISERROR(OFFSET(Tabella!$A$1,MATCH(H351,Tabella!$A:$A,0)-1,MATCH(J351,Tabella!$A$1:$AC$1,0)-1)=TRUE),0,+OFFSET(Tabella!$A$1,MATCH(H351,Tabella!$A:$A,0)-1,MATCH(J351,Tabella!$A$1:$AC$1,0)-1)),4)</f>
        <v>1.4</v>
      </c>
      <c r="L351" s="238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238">
        <f ca="1">ROUND(IF(ISERROR(OFFSET(Rame!$A$1,MATCH(H351,Rame!$A:$A,0)-1,MATCH(J351,Rame!$A$1:$AA$1,0)-1)=TRUE),0,OFFSET(Rame!$A$1,MATCH(H351,Rame!$A:$A,0)-1,MATCH(J351,Rame!$A$1:$AA$1,0)-1))*IF(E351="Rame",1,0),4)</f>
        <v>0</v>
      </c>
      <c r="N351" s="238">
        <v>0</v>
      </c>
      <c r="O351" s="238">
        <v>1.83</v>
      </c>
      <c r="P351" s="238">
        <f ca="1">ROUND(+IF(ISERROR(OFFSET(Tabella!$G$1,MATCH(H351,Tabella!$G:$G,0)-1,MATCH(I351,Tabella!$G$1:$FG$1,0)-1)=TRUE),0,OFFSET(Tabella!$G$1,MATCH(H351,Tabella!$G:$G,0)-1,MATCH(I351,Tabella!$G$1:$AB$1,0)-1)),4)</f>
        <v>0</v>
      </c>
      <c r="Q351" s="238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238">
        <f ca="1">ROUND(IF(ISERROR(OFFSET(Rame!$F$1,MATCH(H351,Rame!$F:$F,0)-1,MATCH(I351,Rame!$F$1:$FF$1,0)-1)=TRUE),0,OFFSET(Rame!$F$1,MATCH(H351,Rame!$F:$F,0)-1,MATCH(I351,Rame!$F$1:$FF$1,0)-1))*IF(E351="Rame",1,0),4)</f>
        <v>0</v>
      </c>
      <c r="S351" s="238">
        <f ca="1">ROUND(IF(ISERROR(OFFSET(Bronzo!$A$1,MATCH(H351,Bronzo!$A:$A,0)-1,MATCH(I351,Bronzo!$A$1:$AA$1,0)-1)=TRUE),0,OFFSET(Bronzo!$A$1,MATCH(H351,Bronzo!$A:$A,0)-1,MATCH(I351,Bronzo!$A$1:$AA$1,0)-1)),4)</f>
        <v>0</v>
      </c>
      <c r="T351" s="238">
        <f t="shared" ca="1" si="251"/>
        <v>0</v>
      </c>
      <c r="U351" s="237"/>
      <c r="V351" s="238">
        <v>0</v>
      </c>
      <c r="W351" s="239">
        <f t="shared" ca="1" si="252"/>
        <v>1.83</v>
      </c>
      <c r="X351" s="423">
        <f t="shared" si="250"/>
        <v>39.9</v>
      </c>
      <c r="Y351" s="236">
        <v>4.8499999999999996</v>
      </c>
      <c r="Z351" s="236">
        <f t="shared" ca="1" si="253"/>
        <v>-0.02</v>
      </c>
      <c r="AA351" s="241"/>
      <c r="AF351" s="225">
        <f t="shared" ca="1" si="242"/>
        <v>46236</v>
      </c>
      <c r="AG351" s="225" t="b">
        <f t="shared" ref="AG351:AG414" si="254">ISBLANK(AA351)</f>
        <v>1</v>
      </c>
      <c r="AH351" s="242"/>
      <c r="AS351" s="223">
        <f t="shared" si="233"/>
        <v>0</v>
      </c>
      <c r="AT351" s="223">
        <f t="shared" si="234"/>
        <v>0</v>
      </c>
    </row>
    <row r="352" spans="2:46" ht="15.75" x14ac:dyDescent="0.25">
      <c r="B352" s="229" t="s">
        <v>544</v>
      </c>
      <c r="C352" s="235" t="s">
        <v>208</v>
      </c>
      <c r="D352" s="243">
        <v>700</v>
      </c>
      <c r="E352" s="232" t="s">
        <v>4</v>
      </c>
      <c r="F352" s="233">
        <v>3.04</v>
      </c>
      <c r="G352" s="234">
        <v>46139</v>
      </c>
      <c r="H352" s="235" t="s">
        <v>306</v>
      </c>
      <c r="I352" s="235"/>
      <c r="J352" s="236">
        <v>7.0000000000000007E-2</v>
      </c>
      <c r="K352" s="237">
        <f ca="1">ROUND(IF(ISERROR(OFFSET(Tabella!$A$1,MATCH(H352,Tabella!$A:$A,0)-1,MATCH(J352,Tabella!$A$1:$AC$1,0)-1)=TRUE),0,+OFFSET(Tabella!$A$1,MATCH(H352,Tabella!$A:$A,0)-1,MATCH(J352,Tabella!$A$1:$AC$1,0)-1)),4)</f>
        <v>1.25</v>
      </c>
      <c r="L352" s="238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238">
        <f ca="1">ROUND(IF(ISERROR(OFFSET(Rame!$A$1,MATCH(H352,Rame!$A:$A,0)-1,MATCH(J352,Rame!$A$1:$AA$1,0)-1)=TRUE),0,OFFSET(Rame!$A$1,MATCH(H352,Rame!$A:$A,0)-1,MATCH(J352,Rame!$A$1:$AA$1,0)-1))*IF(E352="Rame",1,0),4)</f>
        <v>0</v>
      </c>
      <c r="N352" s="238">
        <v>0</v>
      </c>
      <c r="O352" s="238">
        <v>1.73</v>
      </c>
      <c r="P352" s="238">
        <f ca="1">ROUND(+IF(ISERROR(OFFSET(Tabella!$G$1,MATCH(H352,Tabella!$G:$G,0)-1,MATCH(I352,Tabella!$G$1:$FG$1,0)-1)=TRUE),0,OFFSET(Tabella!$G$1,MATCH(H352,Tabella!$G:$G,0)-1,MATCH(I352,Tabella!$G$1:$AB$1,0)-1)),4)</f>
        <v>0</v>
      </c>
      <c r="Q352" s="238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238">
        <f ca="1">ROUND(IF(ISERROR(OFFSET(Rame!$F$1,MATCH(H352,Rame!$F:$F,0)-1,MATCH(I352,Rame!$F$1:$FF$1,0)-1)=TRUE),0,OFFSET(Rame!$F$1,MATCH(H352,Rame!$F:$F,0)-1,MATCH(I352,Rame!$F$1:$FF$1,0)-1))*IF(E352="Rame",1,0),4)</f>
        <v>0</v>
      </c>
      <c r="S352" s="238">
        <f ca="1">ROUND(IF(ISERROR(OFFSET(Bronzo!$A$1,MATCH(H352,Bronzo!$A:$A,0)-1,MATCH(I352,Bronzo!$A$1:$AA$1,0)-1)=TRUE),0,OFFSET(Bronzo!$A$1,MATCH(H352,Bronzo!$A:$A,0)-1,MATCH(I352,Bronzo!$A$1:$AA$1,0)-1)),4)</f>
        <v>0</v>
      </c>
      <c r="T352" s="238">
        <f t="shared" ca="1" si="251"/>
        <v>0</v>
      </c>
      <c r="U352" s="237"/>
      <c r="V352" s="238">
        <v>0</v>
      </c>
      <c r="W352" s="239">
        <f t="shared" ca="1" si="252"/>
        <v>1.73</v>
      </c>
      <c r="X352" s="240">
        <f t="shared" si="250"/>
        <v>49</v>
      </c>
      <c r="Y352" s="236">
        <v>4.75</v>
      </c>
      <c r="Z352" s="236">
        <f t="shared" ca="1" si="253"/>
        <v>-0.02</v>
      </c>
      <c r="AA352" s="241">
        <v>46280</v>
      </c>
      <c r="AF352" s="225">
        <f t="shared" ca="1" si="242"/>
        <v>46236</v>
      </c>
      <c r="AG352" s="225" t="b">
        <f t="shared" si="254"/>
        <v>0</v>
      </c>
      <c r="AH352" s="242"/>
      <c r="AS352" s="223">
        <f t="shared" si="233"/>
        <v>9</v>
      </c>
      <c r="AT352" s="223">
        <f t="shared" si="234"/>
        <v>2026</v>
      </c>
    </row>
    <row r="353" spans="2:46" ht="15.75" x14ac:dyDescent="0.25">
      <c r="B353" s="229" t="s">
        <v>528</v>
      </c>
      <c r="C353" s="235" t="s">
        <v>208</v>
      </c>
      <c r="D353" s="243">
        <v>700</v>
      </c>
      <c r="E353" s="232" t="s">
        <v>4</v>
      </c>
      <c r="F353" s="233">
        <v>3.04</v>
      </c>
      <c r="G353" s="234">
        <v>46139</v>
      </c>
      <c r="H353" s="235" t="s">
        <v>306</v>
      </c>
      <c r="I353" s="235"/>
      <c r="J353" s="236">
        <v>7.0000000000000007E-2</v>
      </c>
      <c r="K353" s="237">
        <f ca="1">ROUND(IF(ISERROR(OFFSET(Tabella!$A$1,MATCH(H353,Tabella!$A:$A,0)-1,MATCH(J353,Tabella!$A$1:$AC$1,0)-1)=TRUE),0,+OFFSET(Tabella!$A$1,MATCH(H353,Tabella!$A:$A,0)-1,MATCH(J353,Tabella!$A$1:$AC$1,0)-1)),4)</f>
        <v>1.25</v>
      </c>
      <c r="L353" s="238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238">
        <f ca="1">ROUND(IF(ISERROR(OFFSET(Rame!$A$1,MATCH(H353,Rame!$A:$A,0)-1,MATCH(J353,Rame!$A$1:$AA$1,0)-1)=TRUE),0,OFFSET(Rame!$A$1,MATCH(H353,Rame!$A:$A,0)-1,MATCH(J353,Rame!$A$1:$AA$1,0)-1))*IF(E353="Rame",1,0),4)</f>
        <v>0</v>
      </c>
      <c r="N353" s="238">
        <v>0</v>
      </c>
      <c r="O353" s="238">
        <v>1.73</v>
      </c>
      <c r="P353" s="238">
        <f ca="1">ROUND(+IF(ISERROR(OFFSET(Tabella!$G$1,MATCH(H353,Tabella!$G:$G,0)-1,MATCH(I353,Tabella!$G$1:$FG$1,0)-1)=TRUE),0,OFFSET(Tabella!$G$1,MATCH(H353,Tabella!$G:$G,0)-1,MATCH(I353,Tabella!$G$1:$AB$1,0)-1)),4)</f>
        <v>0</v>
      </c>
      <c r="Q353" s="238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238">
        <f ca="1">ROUND(IF(ISERROR(OFFSET(Rame!$F$1,MATCH(H353,Rame!$F:$F,0)-1,MATCH(I353,Rame!$F$1:$FF$1,0)-1)=TRUE),0,OFFSET(Rame!$F$1,MATCH(H353,Rame!$F:$F,0)-1,MATCH(I353,Rame!$F$1:$FF$1,0)-1))*IF(E353="Rame",1,0),4)</f>
        <v>0</v>
      </c>
      <c r="S353" s="238">
        <f ca="1">ROUND(IF(ISERROR(OFFSET(Bronzo!$A$1,MATCH(H353,Bronzo!$A:$A,0)-1,MATCH(I353,Bronzo!$A$1:$AA$1,0)-1)=TRUE),0,OFFSET(Bronzo!$A$1,MATCH(H353,Bronzo!$A:$A,0)-1,MATCH(I353,Bronzo!$A$1:$AA$1,0)-1)),4)</f>
        <v>0</v>
      </c>
      <c r="T353" s="238">
        <f t="shared" ca="1" si="251"/>
        <v>0</v>
      </c>
      <c r="U353" s="237"/>
      <c r="V353" s="238">
        <v>0</v>
      </c>
      <c r="W353" s="239">
        <f t="shared" ca="1" si="252"/>
        <v>1.73</v>
      </c>
      <c r="X353" s="240">
        <f t="shared" si="250"/>
        <v>49</v>
      </c>
      <c r="Y353" s="236">
        <v>4.75</v>
      </c>
      <c r="Z353" s="236">
        <f t="shared" ca="1" si="253"/>
        <v>-0.02</v>
      </c>
      <c r="AA353" s="241">
        <v>46189</v>
      </c>
      <c r="AF353" s="225">
        <f t="shared" ca="1" si="242"/>
        <v>46236</v>
      </c>
      <c r="AG353" s="225" t="b">
        <f t="shared" si="254"/>
        <v>0</v>
      </c>
      <c r="AH353" s="242"/>
      <c r="AS353" s="223">
        <f t="shared" si="233"/>
        <v>6</v>
      </c>
      <c r="AT353" s="223">
        <f t="shared" si="234"/>
        <v>2026</v>
      </c>
    </row>
    <row r="354" spans="2:46" ht="15.75" x14ac:dyDescent="0.25">
      <c r="B354" s="229" t="s">
        <v>528</v>
      </c>
      <c r="C354" s="235" t="s">
        <v>208</v>
      </c>
      <c r="D354" s="243">
        <v>500</v>
      </c>
      <c r="E354" s="232" t="s">
        <v>4</v>
      </c>
      <c r="F354" s="233">
        <v>3.04</v>
      </c>
      <c r="G354" s="234">
        <v>46139</v>
      </c>
      <c r="H354" s="235" t="s">
        <v>314</v>
      </c>
      <c r="I354" s="235"/>
      <c r="J354" s="236">
        <v>7.0000000000000007E-2</v>
      </c>
      <c r="K354" s="237">
        <f ca="1">ROUND(IF(ISERROR(OFFSET(Tabella!$A$1,MATCH(H354,Tabella!$A:$A,0)-1,MATCH(J354,Tabella!$A$1:$AC$1,0)-1)=TRUE),0,+OFFSET(Tabella!$A$1,MATCH(H354,Tabella!$A:$A,0)-1,MATCH(J354,Tabella!$A$1:$AC$1,0)-1)),4)</f>
        <v>1.25</v>
      </c>
      <c r="L354" s="238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238">
        <f ca="1">ROUND(IF(ISERROR(OFFSET(Rame!$A$1,MATCH(H354,Rame!$A:$A,0)-1,MATCH(J354,Rame!$A$1:$AA$1,0)-1)=TRUE),0,OFFSET(Rame!$A$1,MATCH(H354,Rame!$A:$A,0)-1,MATCH(J354,Rame!$A$1:$AA$1,0)-1))*IF(E354="Rame",1,0),4)</f>
        <v>0</v>
      </c>
      <c r="N354" s="238">
        <v>0</v>
      </c>
      <c r="O354" s="238">
        <v>1.73</v>
      </c>
      <c r="P354" s="238">
        <f ca="1">ROUND(+IF(ISERROR(OFFSET(Tabella!$G$1,MATCH(H354,Tabella!$G:$G,0)-1,MATCH(I354,Tabella!$G$1:$FG$1,0)-1)=TRUE),0,OFFSET(Tabella!$G$1,MATCH(H354,Tabella!$G:$G,0)-1,MATCH(I354,Tabella!$G$1:$AB$1,0)-1)),4)</f>
        <v>0</v>
      </c>
      <c r="Q354" s="238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238">
        <f ca="1">ROUND(IF(ISERROR(OFFSET(Rame!$F$1,MATCH(H354,Rame!$F:$F,0)-1,MATCH(I354,Rame!$F$1:$FF$1,0)-1)=TRUE),0,OFFSET(Rame!$F$1,MATCH(H354,Rame!$F:$F,0)-1,MATCH(I354,Rame!$F$1:$FF$1,0)-1))*IF(E354="Rame",1,0),4)</f>
        <v>0</v>
      </c>
      <c r="S354" s="238">
        <f ca="1">ROUND(IF(ISERROR(OFFSET(Bronzo!$A$1,MATCH(H354,Bronzo!$A:$A,0)-1,MATCH(I354,Bronzo!$A$1:$AA$1,0)-1)=TRUE),0,OFFSET(Bronzo!$A$1,MATCH(H354,Bronzo!$A:$A,0)-1,MATCH(I354,Bronzo!$A$1:$AA$1,0)-1)),4)</f>
        <v>0</v>
      </c>
      <c r="T354" s="238">
        <f t="shared" ca="1" si="251"/>
        <v>0</v>
      </c>
      <c r="U354" s="237"/>
      <c r="V354" s="238">
        <v>0</v>
      </c>
      <c r="W354" s="239">
        <f t="shared" ca="1" si="252"/>
        <v>1.73</v>
      </c>
      <c r="X354" s="240">
        <f t="shared" si="250"/>
        <v>35</v>
      </c>
      <c r="Y354" s="236">
        <v>4.75</v>
      </c>
      <c r="Z354" s="236">
        <f t="shared" ca="1" si="253"/>
        <v>-0.02</v>
      </c>
      <c r="AA354" s="241">
        <v>46189</v>
      </c>
      <c r="AF354" s="225">
        <f t="shared" ca="1" si="242"/>
        <v>46236</v>
      </c>
      <c r="AG354" s="225" t="b">
        <f t="shared" si="254"/>
        <v>0</v>
      </c>
      <c r="AH354" s="242"/>
      <c r="AS354" s="223">
        <f t="shared" si="233"/>
        <v>6</v>
      </c>
      <c r="AT354" s="223">
        <f t="shared" si="234"/>
        <v>2026</v>
      </c>
    </row>
    <row r="355" spans="2:46" ht="15.75" x14ac:dyDescent="0.25">
      <c r="B355" s="229" t="s">
        <v>522</v>
      </c>
      <c r="C355" s="235" t="s">
        <v>269</v>
      </c>
      <c r="D355" s="243">
        <v>1200</v>
      </c>
      <c r="E355" s="232" t="s">
        <v>6</v>
      </c>
      <c r="F355" s="233">
        <v>11.08</v>
      </c>
      <c r="G355" s="234">
        <v>46140</v>
      </c>
      <c r="H355" s="235" t="s">
        <v>18</v>
      </c>
      <c r="I355" s="235"/>
      <c r="J355" s="236">
        <v>0.15</v>
      </c>
      <c r="K355" s="237">
        <f ca="1">ROUND(IF(ISERROR(OFFSET(Tabella!$A$1,MATCH(H355,Tabella!$A:$A,0)-1,MATCH(J355,Tabella!$A$1:$AC$1,0)-1)=TRUE),0,+OFFSET(Tabella!$A$1,MATCH(H355,Tabella!$A:$A,0)-1,MATCH(J355,Tabella!$A$1:$AC$1,0)-1)),4)</f>
        <v>0</v>
      </c>
      <c r="L355" s="238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238">
        <f ca="1">ROUND(IF(ISERROR(OFFSET(Rame!$A$1,MATCH(H355,Rame!$A:$A,0)-1,MATCH(J355,Rame!$A$1:$AA$1,0)-1)=TRUE),0,OFFSET(Rame!$A$1,MATCH(H355,Rame!$A:$A,0)-1,MATCH(J355,Rame!$A$1:$AA$1,0)-1))*IF(E355="Rame",1,0),4)</f>
        <v>0.82</v>
      </c>
      <c r="N355" s="238">
        <v>0</v>
      </c>
      <c r="O355" s="238">
        <f ca="1">ROUND(SUM(K355:N355),4)</f>
        <v>0.82</v>
      </c>
      <c r="P355" s="238">
        <f ca="1">ROUND(+IF(ISERROR(OFFSET(Tabella!$G$1,MATCH(H355,Tabella!$G:$G,0)-1,MATCH(I355,Tabella!$G$1:$FG$1,0)-1)=TRUE),0,OFFSET(Tabella!$G$1,MATCH(H355,Tabella!$G:$G,0)-1,MATCH(I355,Tabella!$G$1:$AB$1,0)-1)),4)</f>
        <v>0</v>
      </c>
      <c r="Q355" s="238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238">
        <f ca="1">ROUND(IF(ISERROR(OFFSET(Rame!$F$1,MATCH(H355,Rame!$F:$F,0)-1,MATCH(I355,Rame!$F$1:$FF$1,0)-1)=TRUE),0,OFFSET(Rame!$F$1,MATCH(H355,Rame!$F:$F,0)-1,MATCH(I355,Rame!$F$1:$FF$1,0)-1))*IF(E355="Rame",1,0),4)</f>
        <v>0</v>
      </c>
      <c r="S355" s="238">
        <f ca="1">ROUND(IF(ISERROR(OFFSET(Bronzo!$A$1,MATCH(H355,Bronzo!$A:$A,0)-1,MATCH(I355,Bronzo!$A$1:$AA$1,0)-1)=TRUE),0,OFFSET(Bronzo!$A$1,MATCH(H355,Bronzo!$A:$A,0)-1,MATCH(I355,Bronzo!$A$1:$AA$1,0)-1)),4)</f>
        <v>0</v>
      </c>
      <c r="T355" s="238">
        <f t="shared" ca="1" si="251"/>
        <v>0</v>
      </c>
      <c r="U355" s="237"/>
      <c r="V355" s="238">
        <v>0</v>
      </c>
      <c r="W355" s="239">
        <f t="shared" ca="1" si="252"/>
        <v>0.82</v>
      </c>
      <c r="X355" s="240">
        <f t="shared" si="250"/>
        <v>180</v>
      </c>
      <c r="Y355" s="236">
        <v>15.6</v>
      </c>
      <c r="Z355" s="236">
        <f t="shared" ca="1" si="253"/>
        <v>3.7</v>
      </c>
      <c r="AA355" s="241">
        <v>46227</v>
      </c>
      <c r="AF355" s="225">
        <f t="shared" ca="1" si="242"/>
        <v>46236</v>
      </c>
      <c r="AG355" s="225" t="b">
        <f t="shared" si="254"/>
        <v>0</v>
      </c>
      <c r="AH355" s="242"/>
      <c r="AS355" s="223">
        <f t="shared" si="233"/>
        <v>7</v>
      </c>
      <c r="AT355" s="223">
        <f t="shared" si="234"/>
        <v>2026</v>
      </c>
    </row>
    <row r="356" spans="2:46" ht="15.75" x14ac:dyDescent="0.25">
      <c r="B356" s="229" t="s">
        <v>524</v>
      </c>
      <c r="C356" s="248" t="s">
        <v>108</v>
      </c>
      <c r="D356" s="249">
        <v>47000</v>
      </c>
      <c r="E356" s="232" t="s">
        <v>4</v>
      </c>
      <c r="F356" s="233">
        <v>3.07</v>
      </c>
      <c r="G356" s="234">
        <v>46140</v>
      </c>
      <c r="H356" s="235" t="s">
        <v>21</v>
      </c>
      <c r="I356" s="235"/>
      <c r="J356" s="236">
        <v>7.0000000000000007E-2</v>
      </c>
      <c r="K356" s="237">
        <f ca="1">ROUND(IF(ISERROR(OFFSET(Tabella!$A$1,MATCH(H356,Tabella!$A:$A,0)-1,MATCH(J356,Tabella!$A$1:$AC$1,0)-1)=TRUE),0,+OFFSET(Tabella!$A$1,MATCH(H356,Tabella!$A:$A,0)-1,MATCH(J356,Tabella!$A$1:$AC$1,0)-1)),4)</f>
        <v>1.25</v>
      </c>
      <c r="L356" s="238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238">
        <f ca="1">ROUND(IF(ISERROR(OFFSET(Rame!$A$1,MATCH(H356,Rame!$A:$A,0)-1,MATCH(J356,Rame!$A$1:$AA$1,0)-1)=TRUE),0,OFFSET(Rame!$A$1,MATCH(H356,Rame!$A:$A,0)-1,MATCH(J356,Rame!$A$1:$AA$1,0)-1))*IF(E356="Rame",1,0),4)</f>
        <v>0</v>
      </c>
      <c r="N356" s="238">
        <v>0</v>
      </c>
      <c r="O356" s="238">
        <f ca="1">ROUND(SUM(K356:N356),4)</f>
        <v>1.25</v>
      </c>
      <c r="P356" s="238">
        <f ca="1">ROUND(+IF(ISERROR(OFFSET(Tabella!$G$1,MATCH(H356,Tabella!$G:$G,0)-1,MATCH(I356,Tabella!$G$1:$FG$1,0)-1)=TRUE),0,OFFSET(Tabella!$G$1,MATCH(H356,Tabella!$G:$G,0)-1,MATCH(I356,Tabella!$G$1:$AB$1,0)-1)),4)</f>
        <v>0</v>
      </c>
      <c r="Q356" s="238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238">
        <f ca="1">ROUND(IF(ISERROR(OFFSET(Rame!$F$1,MATCH(H356,Rame!$F:$F,0)-1,MATCH(I356,Rame!$F$1:$FF$1,0)-1)=TRUE),0,OFFSET(Rame!$F$1,MATCH(H356,Rame!$F:$F,0)-1,MATCH(I356,Rame!$F$1:$FF$1,0)-1))*IF(E356="Rame",1,0),4)</f>
        <v>0</v>
      </c>
      <c r="S356" s="238">
        <f ca="1">ROUND(IF(ISERROR(OFFSET(Bronzo!$A$1,MATCH(H356,Bronzo!$A:$A,0)-1,MATCH(I356,Bronzo!$A$1:$AA$1,0)-1)=TRUE),0,OFFSET(Bronzo!$A$1,MATCH(H356,Bronzo!$A:$A,0)-1,MATCH(I356,Bronzo!$A$1:$AA$1,0)-1)),4)</f>
        <v>0</v>
      </c>
      <c r="T356" s="238">
        <f t="shared" ca="1" si="251"/>
        <v>0</v>
      </c>
      <c r="U356" s="237"/>
      <c r="V356" s="238">
        <v>0</v>
      </c>
      <c r="W356" s="239">
        <f t="shared" ca="1" si="252"/>
        <v>1.25</v>
      </c>
      <c r="X356" s="424">
        <f t="shared" si="250"/>
        <v>3290</v>
      </c>
      <c r="Y356" s="236">
        <v>4.78</v>
      </c>
      <c r="Z356" s="236">
        <f t="shared" ca="1" si="253"/>
        <v>0.46</v>
      </c>
      <c r="AA356" s="241">
        <v>46234</v>
      </c>
      <c r="AF356" s="225">
        <f t="shared" ca="1" si="242"/>
        <v>46236</v>
      </c>
      <c r="AG356" s="225" t="b">
        <f t="shared" si="254"/>
        <v>0</v>
      </c>
      <c r="AH356" s="242"/>
      <c r="AS356" s="223">
        <f t="shared" si="233"/>
        <v>7</v>
      </c>
      <c r="AT356" s="223">
        <f t="shared" si="234"/>
        <v>2026</v>
      </c>
    </row>
    <row r="357" spans="2:46" ht="15.75" x14ac:dyDescent="0.25">
      <c r="B357" s="229" t="s">
        <v>531</v>
      </c>
      <c r="C357" s="235" t="s">
        <v>401</v>
      </c>
      <c r="D357" s="243">
        <v>400</v>
      </c>
      <c r="E357" s="232" t="s">
        <v>6</v>
      </c>
      <c r="F357" s="233">
        <v>11.25</v>
      </c>
      <c r="G357" s="234">
        <v>46140</v>
      </c>
      <c r="H357" s="235" t="s">
        <v>16</v>
      </c>
      <c r="I357" s="235"/>
      <c r="J357" s="236">
        <v>0.15</v>
      </c>
      <c r="K357" s="237">
        <f ca="1">ROUND(IF(ISERROR(OFFSET(Tabella!$A$1,MATCH(H357,Tabella!$A:$A,0)-1,MATCH(J357,Tabella!$A$1:$AC$1,0)-1)=TRUE),0,+OFFSET(Tabella!$A$1,MATCH(H357,Tabella!$A:$A,0)-1,MATCH(J357,Tabella!$A$1:$AC$1,0)-1)),4)</f>
        <v>0</v>
      </c>
      <c r="L357" s="238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238">
        <f ca="1">ROUND(IF(ISERROR(OFFSET(Rame!$A$1,MATCH(H357,Rame!$A:$A,0)-1,MATCH(J357,Rame!$A$1:$AA$1,0)-1)=TRUE),0,OFFSET(Rame!$A$1,MATCH(H357,Rame!$A:$A,0)-1,MATCH(J357,Rame!$A$1:$AA$1,0)-1))*IF(E357="Rame",1,0),4)</f>
        <v>0.85</v>
      </c>
      <c r="N357" s="238">
        <v>0</v>
      </c>
      <c r="O357" s="238">
        <f ca="1">ROUND(SUM(K357:N357),4)</f>
        <v>0.85</v>
      </c>
      <c r="P357" s="238">
        <f ca="1">ROUND(+IF(ISERROR(OFFSET(Tabella!$G$1,MATCH(H357,Tabella!$G:$G,0)-1,MATCH(I357,Tabella!$G$1:$FG$1,0)-1)=TRUE),0,OFFSET(Tabella!$G$1,MATCH(H357,Tabella!$G:$G,0)-1,MATCH(I357,Tabella!$G$1:$AB$1,0)-1)),4)</f>
        <v>0</v>
      </c>
      <c r="Q357" s="238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238">
        <f ca="1">ROUND(IF(ISERROR(OFFSET(Rame!$F$1,MATCH(H357,Rame!$F:$F,0)-1,MATCH(I357,Rame!$F$1:$FF$1,0)-1)=TRUE),0,OFFSET(Rame!$F$1,MATCH(H357,Rame!$F:$F,0)-1,MATCH(I357,Rame!$F$1:$FF$1,0)-1))*IF(E357="Rame",1,0),4)</f>
        <v>0</v>
      </c>
      <c r="S357" s="238">
        <f ca="1">ROUND(IF(ISERROR(OFFSET(Bronzo!$A$1,MATCH(H357,Bronzo!$A:$A,0)-1,MATCH(I357,Bronzo!$A$1:$AA$1,0)-1)=TRUE),0,OFFSET(Bronzo!$A$1,MATCH(H357,Bronzo!$A:$A,0)-1,MATCH(I357,Bronzo!$A$1:$AA$1,0)-1)),4)</f>
        <v>0</v>
      </c>
      <c r="T357" s="238">
        <f t="shared" ca="1" si="251"/>
        <v>0</v>
      </c>
      <c r="U357" s="237"/>
      <c r="V357" s="238">
        <v>0</v>
      </c>
      <c r="W357" s="239">
        <f t="shared" ca="1" si="252"/>
        <v>0.85</v>
      </c>
      <c r="X357" s="240">
        <f t="shared" si="250"/>
        <v>60</v>
      </c>
      <c r="Y357" s="236">
        <v>14.8</v>
      </c>
      <c r="Z357" s="236">
        <f t="shared" ca="1" si="253"/>
        <v>2.7</v>
      </c>
      <c r="AA357" s="241">
        <v>46164</v>
      </c>
      <c r="AF357" s="225">
        <f t="shared" ca="1" si="242"/>
        <v>46236</v>
      </c>
      <c r="AG357" s="225" t="b">
        <f t="shared" si="254"/>
        <v>0</v>
      </c>
      <c r="AH357" s="242"/>
      <c r="AS357" s="223">
        <f t="shared" si="233"/>
        <v>5</v>
      </c>
      <c r="AT357" s="223">
        <f t="shared" si="234"/>
        <v>2026</v>
      </c>
    </row>
    <row r="358" spans="2:46" ht="15.75" x14ac:dyDescent="0.25">
      <c r="B358" s="229" t="s">
        <v>530</v>
      </c>
      <c r="C358" s="235" t="s">
        <v>297</v>
      </c>
      <c r="D358" s="243">
        <v>800</v>
      </c>
      <c r="E358" s="232" t="s">
        <v>4</v>
      </c>
      <c r="F358" s="233">
        <v>3.03</v>
      </c>
      <c r="G358" s="234">
        <v>46140</v>
      </c>
      <c r="H358" s="235" t="s">
        <v>27</v>
      </c>
      <c r="I358" s="235"/>
      <c r="J358" s="236">
        <v>0.05</v>
      </c>
      <c r="K358" s="237">
        <f ca="1">ROUND(IF(ISERROR(OFFSET(Tabella!$A$1,MATCH(H358,Tabella!$A:$A,0)-1,MATCH(J358,Tabella!$A$1:$AC$1,0)-1)=TRUE),0,+OFFSET(Tabella!$A$1,MATCH(H358,Tabella!$A:$A,0)-1,MATCH(J358,Tabella!$A$1:$AC$1,0)-1)),4)</f>
        <v>0</v>
      </c>
      <c r="L358" s="238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238">
        <f ca="1">ROUND(IF(ISERROR(OFFSET(Rame!$A$1,MATCH(H358,Rame!$A:$A,0)-1,MATCH(J358,Rame!$A$1:$AA$1,0)-1)=TRUE),0,OFFSET(Rame!$A$1,MATCH(H358,Rame!$A:$A,0)-1,MATCH(J358,Rame!$A$1:$AA$1,0)-1))*IF(E358="Rame",1,0),4)</f>
        <v>0</v>
      </c>
      <c r="N358" s="238">
        <v>0</v>
      </c>
      <c r="O358" s="238">
        <v>1.73</v>
      </c>
      <c r="P358" s="238">
        <f ca="1">ROUND(+IF(ISERROR(OFFSET(Tabella!$G$1,MATCH(H358,Tabella!$G:$G,0)-1,MATCH(I358,Tabella!$G$1:$FG$1,0)-1)=TRUE),0,OFFSET(Tabella!$G$1,MATCH(H358,Tabella!$G:$G,0)-1,MATCH(I358,Tabella!$G$1:$AB$1,0)-1)),4)</f>
        <v>0</v>
      </c>
      <c r="Q358" s="238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238">
        <f ca="1">ROUND(IF(ISERROR(OFFSET(Rame!$F$1,MATCH(H358,Rame!$F:$F,0)-1,MATCH(I358,Rame!$F$1:$FF$1,0)-1)=TRUE),0,OFFSET(Rame!$F$1,MATCH(H358,Rame!$F:$F,0)-1,MATCH(I358,Rame!$F$1:$FF$1,0)-1))*IF(E358="Rame",1,0),4)</f>
        <v>0</v>
      </c>
      <c r="S358" s="238">
        <f ca="1">ROUND(IF(ISERROR(OFFSET(Bronzo!$A$1,MATCH(H358,Bronzo!$A:$A,0)-1,MATCH(I358,Bronzo!$A$1:$AA$1,0)-1)=TRUE),0,OFFSET(Bronzo!$A$1,MATCH(H358,Bronzo!$A:$A,0)-1,MATCH(I358,Bronzo!$A$1:$AA$1,0)-1)),4)</f>
        <v>0</v>
      </c>
      <c r="T358" s="238">
        <f t="shared" ca="1" si="251"/>
        <v>0</v>
      </c>
      <c r="U358" s="237"/>
      <c r="V358" s="238">
        <v>0</v>
      </c>
      <c r="W358" s="239">
        <f t="shared" ca="1" si="252"/>
        <v>1.73</v>
      </c>
      <c r="X358" s="240">
        <f t="shared" si="250"/>
        <v>40</v>
      </c>
      <c r="Y358" s="236">
        <v>4.7</v>
      </c>
      <c r="Z358" s="236">
        <f t="shared" ca="1" si="253"/>
        <v>-0.06</v>
      </c>
      <c r="AA358" s="241">
        <v>46164</v>
      </c>
      <c r="AF358" s="225">
        <f t="shared" ca="1" si="242"/>
        <v>46236</v>
      </c>
      <c r="AG358" s="225" t="b">
        <f t="shared" si="254"/>
        <v>0</v>
      </c>
      <c r="AH358" s="242"/>
      <c r="AS358" s="223">
        <f t="shared" si="233"/>
        <v>5</v>
      </c>
      <c r="AT358" s="223">
        <f t="shared" si="234"/>
        <v>2026</v>
      </c>
    </row>
    <row r="359" spans="2:46" ht="15.75" x14ac:dyDescent="0.25">
      <c r="B359" s="229" t="s">
        <v>530</v>
      </c>
      <c r="C359" s="235" t="s">
        <v>297</v>
      </c>
      <c r="D359" s="243">
        <v>500</v>
      </c>
      <c r="E359" s="232" t="s">
        <v>4</v>
      </c>
      <c r="F359" s="233">
        <v>3.03</v>
      </c>
      <c r="G359" s="234">
        <v>46140</v>
      </c>
      <c r="H359" s="235" t="s">
        <v>25</v>
      </c>
      <c r="I359" s="235"/>
      <c r="J359" s="236">
        <v>0.05</v>
      </c>
      <c r="K359" s="237">
        <f ca="1">ROUND(IF(ISERROR(OFFSET(Tabella!$A$1,MATCH(H359,Tabella!$A:$A,0)-1,MATCH(J359,Tabella!$A$1:$AC$1,0)-1)=TRUE),0,+OFFSET(Tabella!$A$1,MATCH(H359,Tabella!$A:$A,0)-1,MATCH(J359,Tabella!$A$1:$AC$1,0)-1)),4)</f>
        <v>0</v>
      </c>
      <c r="L359" s="238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238">
        <f ca="1">ROUND(IF(ISERROR(OFFSET(Rame!$A$1,MATCH(H359,Rame!$A:$A,0)-1,MATCH(J359,Rame!$A$1:$AA$1,0)-1)=TRUE),0,OFFSET(Rame!$A$1,MATCH(H359,Rame!$A:$A,0)-1,MATCH(J359,Rame!$A$1:$AA$1,0)-1))*IF(E359="Rame",1,0),4)</f>
        <v>0</v>
      </c>
      <c r="N359" s="238">
        <v>0</v>
      </c>
      <c r="O359" s="238">
        <v>1.73</v>
      </c>
      <c r="P359" s="238">
        <f ca="1">ROUND(+IF(ISERROR(OFFSET(Tabella!$G$1,MATCH(H359,Tabella!$G:$G,0)-1,MATCH(I359,Tabella!$G$1:$FG$1,0)-1)=TRUE),0,OFFSET(Tabella!$G$1,MATCH(H359,Tabella!$G:$G,0)-1,MATCH(I359,Tabella!$G$1:$AB$1,0)-1)),4)</f>
        <v>0</v>
      </c>
      <c r="Q359" s="238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238">
        <f ca="1">ROUND(IF(ISERROR(OFFSET(Rame!$F$1,MATCH(H359,Rame!$F:$F,0)-1,MATCH(I359,Rame!$F$1:$FF$1,0)-1)=TRUE),0,OFFSET(Rame!$F$1,MATCH(H359,Rame!$F:$F,0)-1,MATCH(I359,Rame!$F$1:$FF$1,0)-1))*IF(E359="Rame",1,0),4)</f>
        <v>0</v>
      </c>
      <c r="S359" s="238">
        <f ca="1">ROUND(IF(ISERROR(OFFSET(Bronzo!$A$1,MATCH(H359,Bronzo!$A:$A,0)-1,MATCH(I359,Bronzo!$A$1:$AA$1,0)-1)=TRUE),0,OFFSET(Bronzo!$A$1,MATCH(H359,Bronzo!$A:$A,0)-1,MATCH(I359,Bronzo!$A$1:$AA$1,0)-1)),4)</f>
        <v>0</v>
      </c>
      <c r="T359" s="238">
        <f t="shared" ca="1" si="251"/>
        <v>0</v>
      </c>
      <c r="U359" s="237"/>
      <c r="V359" s="238">
        <v>0</v>
      </c>
      <c r="W359" s="239">
        <f t="shared" ca="1" si="252"/>
        <v>1.73</v>
      </c>
      <c r="X359" s="240">
        <f t="shared" si="250"/>
        <v>25</v>
      </c>
      <c r="Y359" s="236">
        <v>4.7</v>
      </c>
      <c r="Z359" s="236">
        <f t="shared" ca="1" si="253"/>
        <v>-0.06</v>
      </c>
      <c r="AA359" s="241">
        <v>46164</v>
      </c>
      <c r="AF359" s="225">
        <f t="shared" ca="1" si="242"/>
        <v>46236</v>
      </c>
      <c r="AG359" s="225" t="b">
        <f t="shared" si="254"/>
        <v>0</v>
      </c>
      <c r="AH359" s="242"/>
      <c r="AS359" s="223">
        <f t="shared" si="233"/>
        <v>5</v>
      </c>
      <c r="AT359" s="223">
        <f t="shared" si="234"/>
        <v>2026</v>
      </c>
    </row>
    <row r="360" spans="2:46" ht="15.75" x14ac:dyDescent="0.25">
      <c r="B360" s="229" t="s">
        <v>530</v>
      </c>
      <c r="C360" s="235" t="s">
        <v>297</v>
      </c>
      <c r="D360" s="243">
        <v>500</v>
      </c>
      <c r="E360" s="232" t="s">
        <v>4</v>
      </c>
      <c r="F360" s="233">
        <v>3.03</v>
      </c>
      <c r="G360" s="234">
        <v>46140</v>
      </c>
      <c r="H360" s="235" t="s">
        <v>26</v>
      </c>
      <c r="I360" s="235"/>
      <c r="J360" s="236">
        <v>0.05</v>
      </c>
      <c r="K360" s="237">
        <f ca="1">ROUND(IF(ISERROR(OFFSET(Tabella!$A$1,MATCH(H360,Tabella!$A:$A,0)-1,MATCH(J360,Tabella!$A$1:$AC$1,0)-1)=TRUE),0,+OFFSET(Tabella!$A$1,MATCH(H360,Tabella!$A:$A,0)-1,MATCH(J360,Tabella!$A$1:$AC$1,0)-1)),4)</f>
        <v>0</v>
      </c>
      <c r="L360" s="238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238">
        <f ca="1">ROUND(IF(ISERROR(OFFSET(Rame!$A$1,MATCH(H360,Rame!$A:$A,0)-1,MATCH(J360,Rame!$A$1:$AA$1,0)-1)=TRUE),0,OFFSET(Rame!$A$1,MATCH(H360,Rame!$A:$A,0)-1,MATCH(J360,Rame!$A$1:$AA$1,0)-1))*IF(E360="Rame",1,0),4)</f>
        <v>0</v>
      </c>
      <c r="N360" s="238">
        <v>0</v>
      </c>
      <c r="O360" s="238">
        <v>1.73</v>
      </c>
      <c r="P360" s="238">
        <f ca="1">ROUND(+IF(ISERROR(OFFSET(Tabella!$G$1,MATCH(H360,Tabella!$G:$G,0)-1,MATCH(I360,Tabella!$G$1:$FG$1,0)-1)=TRUE),0,OFFSET(Tabella!$G$1,MATCH(H360,Tabella!$G:$G,0)-1,MATCH(I360,Tabella!$G$1:$AB$1,0)-1)),4)</f>
        <v>0</v>
      </c>
      <c r="Q360" s="238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238">
        <f ca="1">ROUND(IF(ISERROR(OFFSET(Rame!$F$1,MATCH(H360,Rame!$F:$F,0)-1,MATCH(I360,Rame!$F$1:$FF$1,0)-1)=TRUE),0,OFFSET(Rame!$F$1,MATCH(H360,Rame!$F:$F,0)-1,MATCH(I360,Rame!$F$1:$FF$1,0)-1))*IF(E360="Rame",1,0),4)</f>
        <v>0</v>
      </c>
      <c r="S360" s="238">
        <f ca="1">ROUND(IF(ISERROR(OFFSET(Bronzo!$A$1,MATCH(H360,Bronzo!$A:$A,0)-1,MATCH(I360,Bronzo!$A$1:$AA$1,0)-1)=TRUE),0,OFFSET(Bronzo!$A$1,MATCH(H360,Bronzo!$A:$A,0)-1,MATCH(I360,Bronzo!$A$1:$AA$1,0)-1)),4)</f>
        <v>0</v>
      </c>
      <c r="T360" s="238">
        <f t="shared" ca="1" si="251"/>
        <v>0</v>
      </c>
      <c r="U360" s="237"/>
      <c r="V360" s="238">
        <v>0</v>
      </c>
      <c r="W360" s="239">
        <f t="shared" ca="1" si="252"/>
        <v>1.73</v>
      </c>
      <c r="X360" s="240">
        <f t="shared" si="250"/>
        <v>25</v>
      </c>
      <c r="Y360" s="236">
        <v>4.7</v>
      </c>
      <c r="Z360" s="236">
        <f t="shared" ca="1" si="253"/>
        <v>-0.06</v>
      </c>
      <c r="AA360" s="241">
        <v>46164</v>
      </c>
      <c r="AF360" s="225">
        <f t="shared" ca="1" si="242"/>
        <v>46236</v>
      </c>
      <c r="AG360" s="225" t="b">
        <f t="shared" si="254"/>
        <v>0</v>
      </c>
      <c r="AH360" s="242"/>
      <c r="AS360" s="223">
        <f t="shared" si="233"/>
        <v>5</v>
      </c>
      <c r="AT360" s="223">
        <f t="shared" si="234"/>
        <v>2026</v>
      </c>
    </row>
    <row r="361" spans="2:46" ht="15.75" x14ac:dyDescent="0.25">
      <c r="B361" s="229" t="s">
        <v>711</v>
      </c>
      <c r="C361" s="245" t="s">
        <v>297</v>
      </c>
      <c r="D361" s="246">
        <v>592</v>
      </c>
      <c r="E361" s="232" t="s">
        <v>4</v>
      </c>
      <c r="F361" s="233">
        <v>3.03</v>
      </c>
      <c r="G361" s="234">
        <v>46140</v>
      </c>
      <c r="H361" s="235" t="s">
        <v>314</v>
      </c>
      <c r="I361" s="235"/>
      <c r="J361" s="236">
        <v>0.05</v>
      </c>
      <c r="K361" s="237">
        <f ca="1">ROUND(IF(ISERROR(OFFSET(Tabella!$A$1,MATCH(H361,Tabella!$A:$A,0)-1,MATCH(J361,Tabella!$A$1:$AC$1,0)-1)=TRUE),0,+OFFSET(Tabella!$A$1,MATCH(H361,Tabella!$A:$A,0)-1,MATCH(J361,Tabella!$A$1:$AC$1,0)-1)),4)</f>
        <v>0</v>
      </c>
      <c r="L361" s="238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238">
        <f ca="1">ROUND(IF(ISERROR(OFFSET(Rame!$A$1,MATCH(H361,Rame!$A:$A,0)-1,MATCH(J361,Rame!$A$1:$AA$1,0)-1)=TRUE),0,OFFSET(Rame!$A$1,MATCH(H361,Rame!$A:$A,0)-1,MATCH(J361,Rame!$A$1:$AA$1,0)-1))*IF(E361="Rame",1,0),4)</f>
        <v>0</v>
      </c>
      <c r="N361" s="238">
        <v>0</v>
      </c>
      <c r="O361" s="238">
        <v>1.73</v>
      </c>
      <c r="P361" s="238">
        <f ca="1">ROUND(+IF(ISERROR(OFFSET(Tabella!$G$1,MATCH(H361,Tabella!$G:$G,0)-1,MATCH(I361,Tabella!$G$1:$FG$1,0)-1)=TRUE),0,OFFSET(Tabella!$G$1,MATCH(H361,Tabella!$G:$G,0)-1,MATCH(I361,Tabella!$G$1:$AB$1,0)-1)),4)</f>
        <v>0</v>
      </c>
      <c r="Q361" s="238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238">
        <f ca="1">ROUND(IF(ISERROR(OFFSET(Rame!$F$1,MATCH(H361,Rame!$F:$F,0)-1,MATCH(I361,Rame!$F$1:$FF$1,0)-1)=TRUE),0,OFFSET(Rame!$F$1,MATCH(H361,Rame!$F:$F,0)-1,MATCH(I361,Rame!$F$1:$FF$1,0)-1))*IF(E361="Rame",1,0),4)</f>
        <v>0</v>
      </c>
      <c r="S361" s="238">
        <f ca="1">ROUND(IF(ISERROR(OFFSET(Bronzo!$A$1,MATCH(H361,Bronzo!$A:$A,0)-1,MATCH(I361,Bronzo!$A$1:$AA$1,0)-1)=TRUE),0,OFFSET(Bronzo!$A$1,MATCH(H361,Bronzo!$A:$A,0)-1,MATCH(I361,Bronzo!$A$1:$AA$1,0)-1)),4)</f>
        <v>0</v>
      </c>
      <c r="T361" s="238">
        <f t="shared" ca="1" si="251"/>
        <v>0</v>
      </c>
      <c r="U361" s="237"/>
      <c r="V361" s="238">
        <v>0</v>
      </c>
      <c r="W361" s="239">
        <f t="shared" ca="1" si="252"/>
        <v>1.73</v>
      </c>
      <c r="X361" s="423">
        <f t="shared" si="250"/>
        <v>29.6</v>
      </c>
      <c r="Y361" s="236">
        <v>4.7</v>
      </c>
      <c r="Z361" s="236">
        <f t="shared" ca="1" si="253"/>
        <v>-0.06</v>
      </c>
      <c r="AA361" s="241"/>
      <c r="AF361" s="225">
        <f t="shared" ca="1" si="242"/>
        <v>46236</v>
      </c>
      <c r="AG361" s="225" t="b">
        <f t="shared" si="254"/>
        <v>1</v>
      </c>
      <c r="AH361" s="242"/>
      <c r="AS361" s="223">
        <f t="shared" si="233"/>
        <v>0</v>
      </c>
      <c r="AT361" s="223">
        <f t="shared" si="234"/>
        <v>0</v>
      </c>
    </row>
    <row r="362" spans="2:46" ht="15.75" x14ac:dyDescent="0.25">
      <c r="B362" s="229" t="s">
        <v>709</v>
      </c>
      <c r="C362" s="245" t="s">
        <v>297</v>
      </c>
      <c r="D362" s="246">
        <v>1040</v>
      </c>
      <c r="E362" s="232" t="s">
        <v>4</v>
      </c>
      <c r="F362" s="233">
        <v>3.03</v>
      </c>
      <c r="G362" s="234">
        <v>46140</v>
      </c>
      <c r="H362" s="235" t="s">
        <v>23</v>
      </c>
      <c r="I362" s="235"/>
      <c r="J362" s="236">
        <v>0.05</v>
      </c>
      <c r="K362" s="237">
        <f ca="1">ROUND(IF(ISERROR(OFFSET(Tabella!$A$1,MATCH(H362,Tabella!$A:$A,0)-1,MATCH(J362,Tabella!$A$1:$AC$1,0)-1)=TRUE),0,+OFFSET(Tabella!$A$1,MATCH(H362,Tabella!$A:$A,0)-1,MATCH(J362,Tabella!$A$1:$AC$1,0)-1)),4)</f>
        <v>0</v>
      </c>
      <c r="L362" s="238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238">
        <f ca="1">ROUND(IF(ISERROR(OFFSET(Rame!$A$1,MATCH(H362,Rame!$A:$A,0)-1,MATCH(J362,Rame!$A$1:$AA$1,0)-1)=TRUE),0,OFFSET(Rame!$A$1,MATCH(H362,Rame!$A:$A,0)-1,MATCH(J362,Rame!$A$1:$AA$1,0)-1))*IF(E362="Rame",1,0),4)</f>
        <v>0</v>
      </c>
      <c r="N362" s="238">
        <v>0</v>
      </c>
      <c r="O362" s="238">
        <v>1.73</v>
      </c>
      <c r="P362" s="238">
        <f ca="1">ROUND(+IF(ISERROR(OFFSET(Tabella!$G$1,MATCH(H362,Tabella!$G:$G,0)-1,MATCH(I362,Tabella!$G$1:$FG$1,0)-1)=TRUE),0,OFFSET(Tabella!$G$1,MATCH(H362,Tabella!$G:$G,0)-1,MATCH(I362,Tabella!$G$1:$AB$1,0)-1)),4)</f>
        <v>0</v>
      </c>
      <c r="Q362" s="238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238">
        <f ca="1">ROUND(IF(ISERROR(OFFSET(Rame!$F$1,MATCH(H362,Rame!$F:$F,0)-1,MATCH(I362,Rame!$F$1:$FF$1,0)-1)=TRUE),0,OFFSET(Rame!$F$1,MATCH(H362,Rame!$F:$F,0)-1,MATCH(I362,Rame!$F$1:$FF$1,0)-1))*IF(E362="Rame",1,0),4)</f>
        <v>0</v>
      </c>
      <c r="S362" s="238">
        <f ca="1">ROUND(IF(ISERROR(OFFSET(Bronzo!$A$1,MATCH(H362,Bronzo!$A:$A,0)-1,MATCH(I362,Bronzo!$A$1:$AA$1,0)-1)=TRUE),0,OFFSET(Bronzo!$A$1,MATCH(H362,Bronzo!$A:$A,0)-1,MATCH(I362,Bronzo!$A$1:$AA$1,0)-1)),4)</f>
        <v>0</v>
      </c>
      <c r="T362" s="238">
        <f t="shared" ca="1" si="251"/>
        <v>0</v>
      </c>
      <c r="U362" s="237"/>
      <c r="V362" s="238">
        <v>0</v>
      </c>
      <c r="W362" s="239">
        <f t="shared" ca="1" si="252"/>
        <v>1.73</v>
      </c>
      <c r="X362" s="423">
        <f t="shared" si="250"/>
        <v>52</v>
      </c>
      <c r="Y362" s="236">
        <v>4.7</v>
      </c>
      <c r="Z362" s="236">
        <f t="shared" ca="1" si="253"/>
        <v>-0.06</v>
      </c>
      <c r="AA362" s="241"/>
      <c r="AF362" s="225">
        <f t="shared" ca="1" si="242"/>
        <v>46236</v>
      </c>
      <c r="AG362" s="225" t="b">
        <f t="shared" si="254"/>
        <v>1</v>
      </c>
      <c r="AH362" s="242"/>
      <c r="AS362" s="223">
        <f t="shared" si="233"/>
        <v>0</v>
      </c>
      <c r="AT362" s="223">
        <f t="shared" si="234"/>
        <v>0</v>
      </c>
    </row>
    <row r="363" spans="2:46" ht="15.75" x14ac:dyDescent="0.25">
      <c r="B363" s="229" t="s">
        <v>639</v>
      </c>
      <c r="C363" s="245" t="s">
        <v>297</v>
      </c>
      <c r="D363" s="246">
        <v>836</v>
      </c>
      <c r="E363" s="232" t="s">
        <v>4</v>
      </c>
      <c r="F363" s="233">
        <v>3.03</v>
      </c>
      <c r="G363" s="234">
        <v>46140</v>
      </c>
      <c r="H363" s="235" t="s">
        <v>22</v>
      </c>
      <c r="I363" s="235"/>
      <c r="J363" s="236">
        <v>0.05</v>
      </c>
      <c r="K363" s="237">
        <f ca="1">ROUND(IF(ISERROR(OFFSET(Tabella!$A$1,MATCH(H363,Tabella!$A:$A,0)-1,MATCH(J363,Tabella!$A$1:$AC$1,0)-1)=TRUE),0,+OFFSET(Tabella!$A$1,MATCH(H363,Tabella!$A:$A,0)-1,MATCH(J363,Tabella!$A$1:$AC$1,0)-1)),4)</f>
        <v>0</v>
      </c>
      <c r="L363" s="238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238">
        <f ca="1">ROUND(IF(ISERROR(OFFSET(Rame!$A$1,MATCH(H363,Rame!$A:$A,0)-1,MATCH(J363,Rame!$A$1:$AA$1,0)-1)=TRUE),0,OFFSET(Rame!$A$1,MATCH(H363,Rame!$A:$A,0)-1,MATCH(J363,Rame!$A$1:$AA$1,0)-1))*IF(E363="Rame",1,0),4)</f>
        <v>0</v>
      </c>
      <c r="N363" s="238">
        <v>0</v>
      </c>
      <c r="O363" s="238">
        <v>1.73</v>
      </c>
      <c r="P363" s="238">
        <f ca="1">ROUND(+IF(ISERROR(OFFSET(Tabella!$G$1,MATCH(H363,Tabella!$G:$G,0)-1,MATCH(I363,Tabella!$G$1:$FG$1,0)-1)=TRUE),0,OFFSET(Tabella!$G$1,MATCH(H363,Tabella!$G:$G,0)-1,MATCH(I363,Tabella!$G$1:$AB$1,0)-1)),4)</f>
        <v>0</v>
      </c>
      <c r="Q363" s="238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238">
        <f ca="1">ROUND(IF(ISERROR(OFFSET(Rame!$F$1,MATCH(H363,Rame!$F:$F,0)-1,MATCH(I363,Rame!$F$1:$FF$1,0)-1)=TRUE),0,OFFSET(Rame!$F$1,MATCH(H363,Rame!$F:$F,0)-1,MATCH(I363,Rame!$F$1:$FF$1,0)-1))*IF(E363="Rame",1,0),4)</f>
        <v>0</v>
      </c>
      <c r="S363" s="238">
        <f ca="1">ROUND(IF(ISERROR(OFFSET(Bronzo!$A$1,MATCH(H363,Bronzo!$A:$A,0)-1,MATCH(I363,Bronzo!$A$1:$AA$1,0)-1)=TRUE),0,OFFSET(Bronzo!$A$1,MATCH(H363,Bronzo!$A:$A,0)-1,MATCH(I363,Bronzo!$A$1:$AA$1,0)-1)),4)</f>
        <v>0</v>
      </c>
      <c r="T363" s="238">
        <f t="shared" ca="1" si="251"/>
        <v>0</v>
      </c>
      <c r="U363" s="237"/>
      <c r="V363" s="238">
        <v>0</v>
      </c>
      <c r="W363" s="239">
        <f t="shared" ca="1" si="252"/>
        <v>1.73</v>
      </c>
      <c r="X363" s="423">
        <f t="shared" si="250"/>
        <v>41.8</v>
      </c>
      <c r="Y363" s="236">
        <v>4.7</v>
      </c>
      <c r="Z363" s="236">
        <f t="shared" ca="1" si="253"/>
        <v>-0.06</v>
      </c>
      <c r="AA363" s="241"/>
      <c r="AF363" s="225">
        <f t="shared" ca="1" si="242"/>
        <v>46236</v>
      </c>
      <c r="AG363" s="225" t="b">
        <f t="shared" si="254"/>
        <v>1</v>
      </c>
      <c r="AH363" s="242"/>
      <c r="AS363" s="223">
        <f t="shared" si="233"/>
        <v>0</v>
      </c>
      <c r="AT363" s="223">
        <f t="shared" si="234"/>
        <v>0</v>
      </c>
    </row>
    <row r="364" spans="2:46" ht="15.75" x14ac:dyDescent="0.25">
      <c r="B364" s="229" t="s">
        <v>530</v>
      </c>
      <c r="C364" s="235" t="s">
        <v>297</v>
      </c>
      <c r="D364" s="243">
        <v>400</v>
      </c>
      <c r="E364" s="232" t="s">
        <v>4</v>
      </c>
      <c r="F364" s="233">
        <v>3.03</v>
      </c>
      <c r="G364" s="234">
        <v>46140</v>
      </c>
      <c r="H364" s="235" t="s">
        <v>21</v>
      </c>
      <c r="I364" s="235"/>
      <c r="J364" s="236">
        <v>0.05</v>
      </c>
      <c r="K364" s="237">
        <f ca="1">ROUND(IF(ISERROR(OFFSET(Tabella!$A$1,MATCH(H364,Tabella!$A:$A,0)-1,MATCH(J364,Tabella!$A$1:$AC$1,0)-1)=TRUE),0,+OFFSET(Tabella!$A$1,MATCH(H364,Tabella!$A:$A,0)-1,MATCH(J364,Tabella!$A$1:$AC$1,0)-1)),4)</f>
        <v>0</v>
      </c>
      <c r="L364" s="238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238">
        <f ca="1">ROUND(IF(ISERROR(OFFSET(Rame!$A$1,MATCH(H364,Rame!$A:$A,0)-1,MATCH(J364,Rame!$A$1:$AA$1,0)-1)=TRUE),0,OFFSET(Rame!$A$1,MATCH(H364,Rame!$A:$A,0)-1,MATCH(J364,Rame!$A$1:$AA$1,0)-1))*IF(E364="Rame",1,0),4)</f>
        <v>0</v>
      </c>
      <c r="N364" s="238">
        <v>0</v>
      </c>
      <c r="O364" s="238">
        <v>1.73</v>
      </c>
      <c r="P364" s="238">
        <f ca="1">ROUND(+IF(ISERROR(OFFSET(Tabella!$G$1,MATCH(H364,Tabella!$G:$G,0)-1,MATCH(I364,Tabella!$G$1:$FG$1,0)-1)=TRUE),0,OFFSET(Tabella!$G$1,MATCH(H364,Tabella!$G:$G,0)-1,MATCH(I364,Tabella!$G$1:$AB$1,0)-1)),4)</f>
        <v>0</v>
      </c>
      <c r="Q364" s="238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238">
        <f ca="1">ROUND(IF(ISERROR(OFFSET(Rame!$F$1,MATCH(H364,Rame!$F:$F,0)-1,MATCH(I364,Rame!$F$1:$FF$1,0)-1)=TRUE),0,OFFSET(Rame!$F$1,MATCH(H364,Rame!$F:$F,0)-1,MATCH(I364,Rame!$F$1:$FF$1,0)-1))*IF(E364="Rame",1,0),4)</f>
        <v>0</v>
      </c>
      <c r="S364" s="238">
        <f ca="1">ROUND(IF(ISERROR(OFFSET(Bronzo!$A$1,MATCH(H364,Bronzo!$A:$A,0)-1,MATCH(I364,Bronzo!$A$1:$AA$1,0)-1)=TRUE),0,OFFSET(Bronzo!$A$1,MATCH(H364,Bronzo!$A:$A,0)-1,MATCH(I364,Bronzo!$A$1:$AA$1,0)-1)),4)</f>
        <v>0</v>
      </c>
      <c r="T364" s="238">
        <f t="shared" ca="1" si="251"/>
        <v>0</v>
      </c>
      <c r="U364" s="237"/>
      <c r="V364" s="238">
        <v>0</v>
      </c>
      <c r="W364" s="239">
        <f t="shared" ca="1" si="252"/>
        <v>1.73</v>
      </c>
      <c r="X364" s="240">
        <f t="shared" si="250"/>
        <v>20</v>
      </c>
      <c r="Y364" s="236">
        <v>4.7</v>
      </c>
      <c r="Z364" s="236">
        <f t="shared" ca="1" si="253"/>
        <v>-0.06</v>
      </c>
      <c r="AA364" s="241">
        <v>46164</v>
      </c>
      <c r="AF364" s="225">
        <f t="shared" ca="1" si="242"/>
        <v>46236</v>
      </c>
      <c r="AG364" s="225" t="b">
        <f t="shared" si="254"/>
        <v>0</v>
      </c>
      <c r="AH364" s="242"/>
      <c r="AS364" s="223">
        <f t="shared" si="233"/>
        <v>5</v>
      </c>
      <c r="AT364" s="223">
        <f t="shared" si="234"/>
        <v>2026</v>
      </c>
    </row>
    <row r="365" spans="2:46" ht="15.75" x14ac:dyDescent="0.25">
      <c r="B365" s="229" t="s">
        <v>700</v>
      </c>
      <c r="C365" s="245" t="s">
        <v>108</v>
      </c>
      <c r="D365" s="246">
        <v>892</v>
      </c>
      <c r="E365" s="232" t="s">
        <v>4</v>
      </c>
      <c r="F365" s="233">
        <v>2.98</v>
      </c>
      <c r="G365" s="234">
        <v>46097</v>
      </c>
      <c r="H365" s="235" t="s">
        <v>29</v>
      </c>
      <c r="I365" s="235"/>
      <c r="J365" s="236">
        <v>7.0000000000000007E-2</v>
      </c>
      <c r="K365" s="237">
        <f ca="1">ROUND(IF(ISERROR(OFFSET(Tabella!$A$1,MATCH(H365,Tabella!$A:$A,0)-1,MATCH(J365,Tabella!$A$1:$AC$1,0)-1)=TRUE),0,+OFFSET(Tabella!$A$1,MATCH(H365,Tabella!$A:$A,0)-1,MATCH(J365,Tabella!$A$1:$AC$1,0)-1)),4)</f>
        <v>1.3</v>
      </c>
      <c r="L365" s="238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238">
        <f ca="1">ROUND(IF(ISERROR(OFFSET(Rame!$A$1,MATCH(H365,Rame!$A:$A,0)-1,MATCH(J365,Rame!$A$1:$AA$1,0)-1)=TRUE),0,OFFSET(Rame!$A$1,MATCH(H365,Rame!$A:$A,0)-1,MATCH(J365,Rame!$A$1:$AA$1,0)-1))*IF(E365="Rame",1,0),4)</f>
        <v>0</v>
      </c>
      <c r="N365" s="238">
        <v>0</v>
      </c>
      <c r="O365" s="238">
        <v>1.6</v>
      </c>
      <c r="P365" s="238">
        <f ca="1">ROUND(+IF(ISERROR(OFFSET(Tabella!$G$1,MATCH(H365,Tabella!$G:$G,0)-1,MATCH(I365,Tabella!$G$1:$FG$1,0)-1)=TRUE),0,OFFSET(Tabella!$G$1,MATCH(H365,Tabella!$G:$G,0)-1,MATCH(I365,Tabella!$G$1:$AB$1,0)-1)),4)</f>
        <v>0</v>
      </c>
      <c r="Q365" s="238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238">
        <f ca="1">ROUND(IF(ISERROR(OFFSET(Rame!$F$1,MATCH(H365,Rame!$F:$F,0)-1,MATCH(I365,Rame!$F$1:$FF$1,0)-1)=TRUE),0,OFFSET(Rame!$F$1,MATCH(H365,Rame!$F:$F,0)-1,MATCH(I365,Rame!$F$1:$FF$1,0)-1))*IF(E365="Rame",1,0),4)</f>
        <v>0</v>
      </c>
      <c r="S365" s="238">
        <f ca="1">ROUND(IF(ISERROR(OFFSET(Bronzo!$A$1,MATCH(H365,Bronzo!$A:$A,0)-1,MATCH(I365,Bronzo!$A$1:$AA$1,0)-1)=TRUE),0,OFFSET(Bronzo!$A$1,MATCH(H365,Bronzo!$A:$A,0)-1,MATCH(I365,Bronzo!$A$1:$AA$1,0)-1)),4)</f>
        <v>0</v>
      </c>
      <c r="T365" s="238">
        <f t="shared" ca="1" si="251"/>
        <v>0</v>
      </c>
      <c r="U365" s="237"/>
      <c r="V365" s="238">
        <v>0</v>
      </c>
      <c r="W365" s="239">
        <f t="shared" ca="1" si="252"/>
        <v>1.6</v>
      </c>
      <c r="X365" s="423">
        <f t="shared" si="250"/>
        <v>62.44</v>
      </c>
      <c r="Y365" s="236">
        <v>4.58</v>
      </c>
      <c r="Z365" s="236">
        <f t="shared" ca="1" si="253"/>
        <v>0</v>
      </c>
      <c r="AA365" s="241"/>
      <c r="AF365" s="225">
        <f t="shared" ca="1" si="242"/>
        <v>46236</v>
      </c>
      <c r="AG365" s="225" t="b">
        <f t="shared" si="254"/>
        <v>1</v>
      </c>
      <c r="AH365" s="242"/>
      <c r="AS365" s="223">
        <f t="shared" si="233"/>
        <v>0</v>
      </c>
      <c r="AT365" s="223">
        <f t="shared" si="234"/>
        <v>0</v>
      </c>
    </row>
    <row r="366" spans="2:46" ht="15.75" x14ac:dyDescent="0.25">
      <c r="B366" s="229" t="s">
        <v>700</v>
      </c>
      <c r="C366" s="245" t="s">
        <v>108</v>
      </c>
      <c r="D366" s="246">
        <v>1009</v>
      </c>
      <c r="E366" s="232" t="s">
        <v>4</v>
      </c>
      <c r="F366" s="233">
        <v>2.98</v>
      </c>
      <c r="G366" s="234">
        <v>46097</v>
      </c>
      <c r="H366" s="235" t="s">
        <v>314</v>
      </c>
      <c r="I366" s="235"/>
      <c r="J366" s="236">
        <v>7.0000000000000007E-2</v>
      </c>
      <c r="K366" s="237">
        <f ca="1">ROUND(IF(ISERROR(OFFSET(Tabella!$A$1,MATCH(H366,Tabella!$A:$A,0)-1,MATCH(J366,Tabella!$A$1:$AC$1,0)-1)=TRUE),0,+OFFSET(Tabella!$A$1,MATCH(H366,Tabella!$A:$A,0)-1,MATCH(J366,Tabella!$A$1:$AC$1,0)-1)),4)</f>
        <v>1.25</v>
      </c>
      <c r="L366" s="238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238">
        <f ca="1">ROUND(IF(ISERROR(OFFSET(Rame!$A$1,MATCH(H366,Rame!$A:$A,0)-1,MATCH(J366,Rame!$A$1:$AA$1,0)-1)=TRUE),0,OFFSET(Rame!$A$1,MATCH(H366,Rame!$A:$A,0)-1,MATCH(J366,Rame!$A$1:$AA$1,0)-1))*IF(E366="Rame",1,0),4)</f>
        <v>0</v>
      </c>
      <c r="N366" s="238">
        <v>0</v>
      </c>
      <c r="O366" s="238">
        <v>1.6</v>
      </c>
      <c r="P366" s="238">
        <f ca="1">ROUND(+IF(ISERROR(OFFSET(Tabella!$G$1,MATCH(H366,Tabella!$G:$G,0)-1,MATCH(I366,Tabella!$G$1:$FG$1,0)-1)=TRUE),0,OFFSET(Tabella!$G$1,MATCH(H366,Tabella!$G:$G,0)-1,MATCH(I366,Tabella!$G$1:$AB$1,0)-1)),4)</f>
        <v>0</v>
      </c>
      <c r="Q366" s="238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238">
        <f ca="1">ROUND(IF(ISERROR(OFFSET(Rame!$F$1,MATCH(H366,Rame!$F:$F,0)-1,MATCH(I366,Rame!$F$1:$FF$1,0)-1)=TRUE),0,OFFSET(Rame!$F$1,MATCH(H366,Rame!$F:$F,0)-1,MATCH(I366,Rame!$F$1:$FF$1,0)-1))*IF(E366="Rame",1,0),4)</f>
        <v>0</v>
      </c>
      <c r="S366" s="238">
        <f ca="1">ROUND(IF(ISERROR(OFFSET(Bronzo!$A$1,MATCH(H366,Bronzo!$A:$A,0)-1,MATCH(I366,Bronzo!$A$1:$AA$1,0)-1)=TRUE),0,OFFSET(Bronzo!$A$1,MATCH(H366,Bronzo!$A:$A,0)-1,MATCH(I366,Bronzo!$A$1:$AA$1,0)-1)),4)</f>
        <v>0</v>
      </c>
      <c r="T366" s="238">
        <f t="shared" ca="1" si="251"/>
        <v>0</v>
      </c>
      <c r="U366" s="237"/>
      <c r="V366" s="238">
        <v>0</v>
      </c>
      <c r="W366" s="239">
        <f t="shared" ca="1" si="252"/>
        <v>1.6</v>
      </c>
      <c r="X366" s="423">
        <f t="shared" si="250"/>
        <v>70.63</v>
      </c>
      <c r="Y366" s="236">
        <v>4.58</v>
      </c>
      <c r="Z366" s="236">
        <f t="shared" ca="1" si="253"/>
        <v>0</v>
      </c>
      <c r="AA366" s="241"/>
      <c r="AF366" s="225">
        <f t="shared" ca="1" si="242"/>
        <v>46236</v>
      </c>
      <c r="AG366" s="225" t="b">
        <f t="shared" si="254"/>
        <v>1</v>
      </c>
      <c r="AH366" s="242"/>
      <c r="AS366" s="223">
        <f t="shared" si="233"/>
        <v>0</v>
      </c>
      <c r="AT366" s="223">
        <f t="shared" si="234"/>
        <v>0</v>
      </c>
    </row>
    <row r="367" spans="2:46" ht="15.75" x14ac:dyDescent="0.25">
      <c r="B367" s="229" t="s">
        <v>685</v>
      </c>
      <c r="C367" s="245" t="s">
        <v>108</v>
      </c>
      <c r="D367" s="246">
        <v>651</v>
      </c>
      <c r="E367" s="232" t="s">
        <v>4</v>
      </c>
      <c r="F367" s="233">
        <v>2.98</v>
      </c>
      <c r="G367" s="234">
        <v>46097</v>
      </c>
      <c r="H367" s="235" t="s">
        <v>13</v>
      </c>
      <c r="I367" s="235"/>
      <c r="J367" s="236">
        <v>7.0000000000000007E-2</v>
      </c>
      <c r="K367" s="237">
        <f ca="1">ROUND(IF(ISERROR(OFFSET(Tabella!$A$1,MATCH(H367,Tabella!$A:$A,0)-1,MATCH(J367,Tabella!$A$1:$AC$1,0)-1)=TRUE),0,+OFFSET(Tabella!$A$1,MATCH(H367,Tabella!$A:$A,0)-1,MATCH(J367,Tabella!$A$1:$AC$1,0)-1)),4)</f>
        <v>1.4</v>
      </c>
      <c r="L367" s="238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238">
        <f ca="1">ROUND(IF(ISERROR(OFFSET(Rame!$A$1,MATCH(H367,Rame!$A:$A,0)-1,MATCH(J367,Rame!$A$1:$AA$1,0)-1)=TRUE),0,OFFSET(Rame!$A$1,MATCH(H367,Rame!$A:$A,0)-1,MATCH(J367,Rame!$A$1:$AA$1,0)-1))*IF(E367="Rame",1,0),4)</f>
        <v>0</v>
      </c>
      <c r="N367" s="238">
        <v>0</v>
      </c>
      <c r="O367" s="238">
        <v>1.75</v>
      </c>
      <c r="P367" s="238">
        <f ca="1">ROUND(+IF(ISERROR(OFFSET(Tabella!$G$1,MATCH(H367,Tabella!$G:$G,0)-1,MATCH(I367,Tabella!$G$1:$FG$1,0)-1)=TRUE),0,OFFSET(Tabella!$G$1,MATCH(H367,Tabella!$G:$G,0)-1,MATCH(I367,Tabella!$G$1:$AB$1,0)-1)),4)</f>
        <v>0</v>
      </c>
      <c r="Q367" s="238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238">
        <f ca="1">ROUND(IF(ISERROR(OFFSET(Rame!$F$1,MATCH(H367,Rame!$F:$F,0)-1,MATCH(I367,Rame!$F$1:$FF$1,0)-1)=TRUE),0,OFFSET(Rame!$F$1,MATCH(H367,Rame!$F:$F,0)-1,MATCH(I367,Rame!$F$1:$FF$1,0)-1))*IF(E367="Rame",1,0),4)</f>
        <v>0</v>
      </c>
      <c r="S367" s="238">
        <f ca="1">ROUND(IF(ISERROR(OFFSET(Bronzo!$A$1,MATCH(H367,Bronzo!$A:$A,0)-1,MATCH(I367,Bronzo!$A$1:$AA$1,0)-1)=TRUE),0,OFFSET(Bronzo!$A$1,MATCH(H367,Bronzo!$A:$A,0)-1,MATCH(I367,Bronzo!$A$1:$AA$1,0)-1)),4)</f>
        <v>0</v>
      </c>
      <c r="T367" s="238">
        <f t="shared" ca="1" si="251"/>
        <v>0</v>
      </c>
      <c r="U367" s="237"/>
      <c r="V367" s="238">
        <v>0</v>
      </c>
      <c r="W367" s="239">
        <f t="shared" ca="1" si="252"/>
        <v>1.75</v>
      </c>
      <c r="X367" s="423">
        <f t="shared" si="250"/>
        <v>45.57</v>
      </c>
      <c r="Y367" s="236">
        <v>4.7300000000000004</v>
      </c>
      <c r="Z367" s="236">
        <f t="shared" ca="1" si="253"/>
        <v>0</v>
      </c>
      <c r="AA367" s="241"/>
      <c r="AF367" s="225">
        <f t="shared" ca="1" si="242"/>
        <v>46236</v>
      </c>
      <c r="AG367" s="225" t="b">
        <f t="shared" si="254"/>
        <v>1</v>
      </c>
      <c r="AH367" s="242"/>
      <c r="AS367" s="223">
        <f t="shared" si="233"/>
        <v>0</v>
      </c>
      <c r="AT367" s="223">
        <f t="shared" si="234"/>
        <v>0</v>
      </c>
    </row>
    <row r="368" spans="2:46" ht="15.75" x14ac:dyDescent="0.25">
      <c r="B368" s="229" t="s">
        <v>706</v>
      </c>
      <c r="C368" s="245" t="s">
        <v>108</v>
      </c>
      <c r="D368" s="246">
        <v>500</v>
      </c>
      <c r="E368" s="232" t="s">
        <v>4</v>
      </c>
      <c r="F368" s="233">
        <v>2.98</v>
      </c>
      <c r="G368" s="234">
        <v>46097</v>
      </c>
      <c r="H368" s="235" t="s">
        <v>21</v>
      </c>
      <c r="I368" s="235"/>
      <c r="J368" s="236">
        <v>7.0000000000000007E-2</v>
      </c>
      <c r="K368" s="237">
        <f ca="1">ROUND(IF(ISERROR(OFFSET(Tabella!$A$1,MATCH(H368,Tabella!$A:$A,0)-1,MATCH(J368,Tabella!$A$1:$AC$1,0)-1)=TRUE),0,+OFFSET(Tabella!$A$1,MATCH(H368,Tabella!$A:$A,0)-1,MATCH(J368,Tabella!$A$1:$AC$1,0)-1)),4)</f>
        <v>1.25</v>
      </c>
      <c r="L368" s="238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238">
        <f ca="1">ROUND(IF(ISERROR(OFFSET(Rame!$A$1,MATCH(H368,Rame!$A:$A,0)-1,MATCH(J368,Rame!$A$1:$AA$1,0)-1)=TRUE),0,OFFSET(Rame!$A$1,MATCH(H368,Rame!$A:$A,0)-1,MATCH(J368,Rame!$A$1:$AA$1,0)-1))*IF(E368="Rame",1,0),4)</f>
        <v>0</v>
      </c>
      <c r="N368" s="238">
        <v>0</v>
      </c>
      <c r="O368" s="238">
        <v>1.6</v>
      </c>
      <c r="P368" s="238">
        <f ca="1">ROUND(+IF(ISERROR(OFFSET(Tabella!$G$1,MATCH(H368,Tabella!$G:$G,0)-1,MATCH(I368,Tabella!$G$1:$FG$1,0)-1)=TRUE),0,OFFSET(Tabella!$G$1,MATCH(H368,Tabella!$G:$G,0)-1,MATCH(I368,Tabella!$G$1:$AB$1,0)-1)),4)</f>
        <v>0</v>
      </c>
      <c r="Q368" s="238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238">
        <f ca="1">ROUND(IF(ISERROR(OFFSET(Rame!$F$1,MATCH(H368,Rame!$F:$F,0)-1,MATCH(I368,Rame!$F$1:$FF$1,0)-1)=TRUE),0,OFFSET(Rame!$F$1,MATCH(H368,Rame!$F:$F,0)-1,MATCH(I368,Rame!$F$1:$FF$1,0)-1))*IF(E368="Rame",1,0),4)</f>
        <v>0</v>
      </c>
      <c r="S368" s="238">
        <f ca="1">ROUND(IF(ISERROR(OFFSET(Bronzo!$A$1,MATCH(H368,Bronzo!$A:$A,0)-1,MATCH(I368,Bronzo!$A$1:$AA$1,0)-1)=TRUE),0,OFFSET(Bronzo!$A$1,MATCH(H368,Bronzo!$A:$A,0)-1,MATCH(I368,Bronzo!$A$1:$AA$1,0)-1)),4)</f>
        <v>0</v>
      </c>
      <c r="T368" s="238">
        <f t="shared" ca="1" si="251"/>
        <v>0</v>
      </c>
      <c r="U368" s="237"/>
      <c r="V368" s="238">
        <v>0</v>
      </c>
      <c r="W368" s="239">
        <f t="shared" ca="1" si="252"/>
        <v>1.6</v>
      </c>
      <c r="X368" s="423">
        <f t="shared" si="250"/>
        <v>35</v>
      </c>
      <c r="Y368" s="236">
        <v>4.58</v>
      </c>
      <c r="Z368" s="236">
        <f t="shared" ca="1" si="253"/>
        <v>0</v>
      </c>
      <c r="AA368" s="241"/>
      <c r="AF368" s="225">
        <f t="shared" ca="1" si="242"/>
        <v>46236</v>
      </c>
      <c r="AG368" s="225" t="b">
        <f t="shared" si="254"/>
        <v>1</v>
      </c>
      <c r="AH368" s="242"/>
      <c r="AS368" s="223">
        <f t="shared" si="233"/>
        <v>0</v>
      </c>
      <c r="AT368" s="223">
        <f t="shared" si="234"/>
        <v>0</v>
      </c>
    </row>
    <row r="369" spans="2:46" ht="15.75" x14ac:dyDescent="0.25">
      <c r="B369" s="229" t="s">
        <v>700</v>
      </c>
      <c r="C369" s="245" t="s">
        <v>108</v>
      </c>
      <c r="D369" s="246">
        <v>2014</v>
      </c>
      <c r="E369" s="232" t="s">
        <v>4</v>
      </c>
      <c r="F369" s="233">
        <v>2.98</v>
      </c>
      <c r="G369" s="234">
        <v>46097</v>
      </c>
      <c r="H369" s="235" t="s">
        <v>19</v>
      </c>
      <c r="I369" s="235"/>
      <c r="J369" s="236">
        <v>7.0000000000000007E-2</v>
      </c>
      <c r="K369" s="237">
        <f ca="1">ROUND(IF(ISERROR(OFFSET(Tabella!$A$1,MATCH(H369,Tabella!$A:$A,0)-1,MATCH(J369,Tabella!$A$1:$AC$1,0)-1)=TRUE),0,+OFFSET(Tabella!$A$1,MATCH(H369,Tabella!$A:$A,0)-1,MATCH(J369,Tabella!$A$1:$AC$1,0)-1)),4)</f>
        <v>1.35</v>
      </c>
      <c r="L369" s="238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238">
        <f ca="1">ROUND(IF(ISERROR(OFFSET(Rame!$A$1,MATCH(H369,Rame!$A:$A,0)-1,MATCH(J369,Rame!$A$1:$AA$1,0)-1)=TRUE),0,OFFSET(Rame!$A$1,MATCH(H369,Rame!$A:$A,0)-1,MATCH(J369,Rame!$A$1:$AA$1,0)-1))*IF(E369="Rame",1,0),4)</f>
        <v>0</v>
      </c>
      <c r="N369" s="238">
        <v>0</v>
      </c>
      <c r="O369" s="238">
        <v>1.65</v>
      </c>
      <c r="P369" s="238">
        <f ca="1">ROUND(+IF(ISERROR(OFFSET(Tabella!$G$1,MATCH(H369,Tabella!$G:$G,0)-1,MATCH(I369,Tabella!$G$1:$FG$1,0)-1)=TRUE),0,OFFSET(Tabella!$G$1,MATCH(H369,Tabella!$G:$G,0)-1,MATCH(I369,Tabella!$G$1:$AB$1,0)-1)),4)</f>
        <v>0</v>
      </c>
      <c r="Q369" s="238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238">
        <f ca="1">ROUND(IF(ISERROR(OFFSET(Rame!$F$1,MATCH(H369,Rame!$F:$F,0)-1,MATCH(I369,Rame!$F$1:$FF$1,0)-1)=TRUE),0,OFFSET(Rame!$F$1,MATCH(H369,Rame!$F:$F,0)-1,MATCH(I369,Rame!$F$1:$FF$1,0)-1))*IF(E369="Rame",1,0),4)</f>
        <v>0</v>
      </c>
      <c r="S369" s="238">
        <f ca="1">ROUND(IF(ISERROR(OFFSET(Bronzo!$A$1,MATCH(H369,Bronzo!$A:$A,0)-1,MATCH(I369,Bronzo!$A$1:$AA$1,0)-1)=TRUE),0,OFFSET(Bronzo!$A$1,MATCH(H369,Bronzo!$A:$A,0)-1,MATCH(I369,Bronzo!$A$1:$AA$1,0)-1)),4)</f>
        <v>0</v>
      </c>
      <c r="T369" s="238">
        <f t="shared" ca="1" si="251"/>
        <v>0</v>
      </c>
      <c r="U369" s="237"/>
      <c r="V369" s="238">
        <v>0</v>
      </c>
      <c r="W369" s="239">
        <f t="shared" ca="1" si="252"/>
        <v>1.65</v>
      </c>
      <c r="X369" s="423">
        <f t="shared" si="250"/>
        <v>140.97999999999999</v>
      </c>
      <c r="Y369" s="236">
        <v>4.63</v>
      </c>
      <c r="Z369" s="236">
        <f t="shared" ca="1" si="253"/>
        <v>0</v>
      </c>
      <c r="AA369" s="241"/>
      <c r="AF369" s="225">
        <f t="shared" ca="1" si="242"/>
        <v>46236</v>
      </c>
      <c r="AG369" s="225" t="b">
        <f t="shared" si="254"/>
        <v>1</v>
      </c>
      <c r="AH369" s="242"/>
      <c r="AS369" s="223">
        <f t="shared" si="233"/>
        <v>0</v>
      </c>
      <c r="AT369" s="223">
        <f t="shared" si="234"/>
        <v>0</v>
      </c>
    </row>
    <row r="370" spans="2:46" ht="15.75" x14ac:dyDescent="0.25">
      <c r="B370" s="229" t="s">
        <v>578</v>
      </c>
      <c r="C370" s="245" t="s">
        <v>108</v>
      </c>
      <c r="D370" s="246">
        <v>462</v>
      </c>
      <c r="E370" s="232" t="s">
        <v>4</v>
      </c>
      <c r="F370" s="233">
        <v>2.98</v>
      </c>
      <c r="G370" s="234">
        <v>46097</v>
      </c>
      <c r="H370" s="235" t="s">
        <v>322</v>
      </c>
      <c r="I370" s="235"/>
      <c r="J370" s="236">
        <v>7.0000000000000007E-2</v>
      </c>
      <c r="K370" s="237">
        <f ca="1">ROUND(IF(ISERROR(OFFSET(Tabella!$A$1,MATCH(H370,Tabella!$A:$A,0)-1,MATCH(J370,Tabella!$A$1:$AC$1,0)-1)=TRUE),0,+OFFSET(Tabella!$A$1,MATCH(H370,Tabella!$A:$A,0)-1,MATCH(J370,Tabella!$A$1:$AC$1,0)-1)),4)</f>
        <v>1.25</v>
      </c>
      <c r="L370" s="238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238">
        <f ca="1">ROUND(IF(ISERROR(OFFSET(Rame!$A$1,MATCH(H370,Rame!$A:$A,0)-1,MATCH(J370,Rame!$A$1:$AA$1,0)-1)=TRUE),0,OFFSET(Rame!$A$1,MATCH(H370,Rame!$A:$A,0)-1,MATCH(J370,Rame!$A$1:$AA$1,0)-1))*IF(E370="Rame",1,0),4)</f>
        <v>0</v>
      </c>
      <c r="N370" s="238">
        <v>0</v>
      </c>
      <c r="O370" s="238">
        <v>1.6</v>
      </c>
      <c r="P370" s="238">
        <f ca="1">ROUND(+IF(ISERROR(OFFSET(Tabella!$G$1,MATCH(H370,Tabella!$G:$G,0)-1,MATCH(I370,Tabella!$G$1:$FG$1,0)-1)=TRUE),0,OFFSET(Tabella!$G$1,MATCH(H370,Tabella!$G:$G,0)-1,MATCH(I370,Tabella!$G$1:$AB$1,0)-1)),4)</f>
        <v>0</v>
      </c>
      <c r="Q370" s="238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238">
        <f ca="1">ROUND(IF(ISERROR(OFFSET(Rame!$F$1,MATCH(H370,Rame!$F:$F,0)-1,MATCH(I370,Rame!$F$1:$FF$1,0)-1)=TRUE),0,OFFSET(Rame!$F$1,MATCH(H370,Rame!$F:$F,0)-1,MATCH(I370,Rame!$F$1:$FF$1,0)-1))*IF(E370="Rame",1,0),4)</f>
        <v>0</v>
      </c>
      <c r="S370" s="238">
        <f ca="1">ROUND(IF(ISERROR(OFFSET(Bronzo!$A$1,MATCH(H370,Bronzo!$A:$A,0)-1,MATCH(I370,Bronzo!$A$1:$AA$1,0)-1)=TRUE),0,OFFSET(Bronzo!$A$1,MATCH(H370,Bronzo!$A:$A,0)-1,MATCH(I370,Bronzo!$A$1:$AA$1,0)-1)),4)</f>
        <v>0</v>
      </c>
      <c r="T370" s="238">
        <f t="shared" ca="1" si="251"/>
        <v>0</v>
      </c>
      <c r="U370" s="237"/>
      <c r="V370" s="238">
        <v>0</v>
      </c>
      <c r="W370" s="239">
        <f t="shared" ca="1" si="252"/>
        <v>1.6</v>
      </c>
      <c r="X370" s="423">
        <f t="shared" si="250"/>
        <v>32.340000000000003</v>
      </c>
      <c r="Y370" s="236">
        <v>4.58</v>
      </c>
      <c r="Z370" s="236">
        <f t="shared" ca="1" si="253"/>
        <v>0</v>
      </c>
      <c r="AA370" s="241"/>
      <c r="AF370" s="225">
        <f t="shared" ca="1" si="242"/>
        <v>46236</v>
      </c>
      <c r="AG370" s="225" t="b">
        <f t="shared" si="254"/>
        <v>1</v>
      </c>
      <c r="AH370" s="242"/>
      <c r="AS370" s="223">
        <f t="shared" si="233"/>
        <v>0</v>
      </c>
      <c r="AT370" s="223">
        <f t="shared" si="234"/>
        <v>0</v>
      </c>
    </row>
    <row r="371" spans="2:46" ht="15.75" x14ac:dyDescent="0.25">
      <c r="B371" s="229" t="s">
        <v>706</v>
      </c>
      <c r="C371" s="245" t="s">
        <v>108</v>
      </c>
      <c r="D371" s="246">
        <v>210</v>
      </c>
      <c r="E371" s="232" t="s">
        <v>4</v>
      </c>
      <c r="F371" s="233">
        <v>2.98</v>
      </c>
      <c r="G371" s="234">
        <v>46097</v>
      </c>
      <c r="H371" s="235" t="s">
        <v>322</v>
      </c>
      <c r="I371" s="235"/>
      <c r="J371" s="236">
        <v>7.0000000000000007E-2</v>
      </c>
      <c r="K371" s="237">
        <f ca="1">ROUND(IF(ISERROR(OFFSET(Tabella!$A$1,MATCH(H371,Tabella!$A:$A,0)-1,MATCH(J371,Tabella!$A$1:$AC$1,0)-1)=TRUE),0,+OFFSET(Tabella!$A$1,MATCH(H371,Tabella!$A:$A,0)-1,MATCH(J371,Tabella!$A$1:$AC$1,0)-1)),4)</f>
        <v>1.25</v>
      </c>
      <c r="L371" s="238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238">
        <f ca="1">ROUND(IF(ISERROR(OFFSET(Rame!$A$1,MATCH(H371,Rame!$A:$A,0)-1,MATCH(J371,Rame!$A$1:$AA$1,0)-1)=TRUE),0,OFFSET(Rame!$A$1,MATCH(H371,Rame!$A:$A,0)-1,MATCH(J371,Rame!$A$1:$AA$1,0)-1))*IF(E371="Rame",1,0),4)</f>
        <v>0</v>
      </c>
      <c r="N371" s="238">
        <v>0</v>
      </c>
      <c r="O371" s="238">
        <v>1.6</v>
      </c>
      <c r="P371" s="238">
        <f ca="1">ROUND(+IF(ISERROR(OFFSET(Tabella!$G$1,MATCH(H371,Tabella!$G:$G,0)-1,MATCH(I371,Tabella!$G$1:$FG$1,0)-1)=TRUE),0,OFFSET(Tabella!$G$1,MATCH(H371,Tabella!$G:$G,0)-1,MATCH(I371,Tabella!$G$1:$AB$1,0)-1)),4)</f>
        <v>0</v>
      </c>
      <c r="Q371" s="238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238">
        <f ca="1">ROUND(IF(ISERROR(OFFSET(Rame!$F$1,MATCH(H371,Rame!$F:$F,0)-1,MATCH(I371,Rame!$F$1:$FF$1,0)-1)=TRUE),0,OFFSET(Rame!$F$1,MATCH(H371,Rame!$F:$F,0)-1,MATCH(I371,Rame!$F$1:$FF$1,0)-1))*IF(E371="Rame",1,0),4)</f>
        <v>0</v>
      </c>
      <c r="S371" s="238">
        <f ca="1">ROUND(IF(ISERROR(OFFSET(Bronzo!$A$1,MATCH(H371,Bronzo!$A:$A,0)-1,MATCH(I371,Bronzo!$A$1:$AA$1,0)-1)=TRUE),0,OFFSET(Bronzo!$A$1,MATCH(H371,Bronzo!$A:$A,0)-1,MATCH(I371,Bronzo!$A$1:$AA$1,0)-1)),4)</f>
        <v>0</v>
      </c>
      <c r="T371" s="238">
        <f t="shared" ref="T371" ca="1" si="255">ROUND(SUM(P371:S371),4)</f>
        <v>0</v>
      </c>
      <c r="U371" s="237"/>
      <c r="V371" s="238">
        <v>0</v>
      </c>
      <c r="W371" s="239">
        <f t="shared" ref="W371" ca="1" si="256">ROUND(+O371+T371+U371+V371,4)</f>
        <v>1.6</v>
      </c>
      <c r="X371" s="423">
        <f t="shared" ref="X371" si="257">ROUND(+J371*D371,4)</f>
        <v>14.7</v>
      </c>
      <c r="Y371" s="236">
        <v>4.58</v>
      </c>
      <c r="Z371" s="236">
        <f t="shared" ref="Z371" ca="1" si="258">ROUND(+Y371-W371-F371,4)</f>
        <v>0</v>
      </c>
      <c r="AA371" s="241"/>
      <c r="AF371" s="225">
        <f t="shared" ca="1" si="242"/>
        <v>46236</v>
      </c>
      <c r="AG371" s="225" t="b">
        <f t="shared" si="254"/>
        <v>1</v>
      </c>
      <c r="AH371" s="242"/>
      <c r="AS371" s="223">
        <f t="shared" si="233"/>
        <v>0</v>
      </c>
      <c r="AT371" s="223">
        <f t="shared" si="234"/>
        <v>0</v>
      </c>
    </row>
    <row r="372" spans="2:46" ht="15.75" x14ac:dyDescent="0.25">
      <c r="B372" s="229" t="s">
        <v>533</v>
      </c>
      <c r="C372" s="230" t="s">
        <v>108</v>
      </c>
      <c r="D372" s="231">
        <v>700</v>
      </c>
      <c r="E372" s="232" t="s">
        <v>4</v>
      </c>
      <c r="F372" s="233">
        <v>2.98</v>
      </c>
      <c r="G372" s="234">
        <v>46097</v>
      </c>
      <c r="H372" s="235" t="s">
        <v>322</v>
      </c>
      <c r="I372" s="235"/>
      <c r="J372" s="236">
        <v>7.0000000000000007E-2</v>
      </c>
      <c r="K372" s="237">
        <f ca="1">ROUND(IF(ISERROR(OFFSET(Tabella!$A$1,MATCH(H372,Tabella!$A:$A,0)-1,MATCH(J372,Tabella!$A$1:$AC$1,0)-1)=TRUE),0,+OFFSET(Tabella!$A$1,MATCH(H372,Tabella!$A:$A,0)-1,MATCH(J372,Tabella!$A$1:$AC$1,0)-1)),4)</f>
        <v>1.25</v>
      </c>
      <c r="L372" s="238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238">
        <f ca="1">ROUND(IF(ISERROR(OFFSET(Rame!$A$1,MATCH(H372,Rame!$A:$A,0)-1,MATCH(J372,Rame!$A$1:$AA$1,0)-1)=TRUE),0,OFFSET(Rame!$A$1,MATCH(H372,Rame!$A:$A,0)-1,MATCH(J372,Rame!$A$1:$AA$1,0)-1))*IF(E372="Rame",1,0),4)</f>
        <v>0</v>
      </c>
      <c r="N372" s="238">
        <v>0</v>
      </c>
      <c r="O372" s="238">
        <v>1.6</v>
      </c>
      <c r="P372" s="238">
        <f ca="1">ROUND(+IF(ISERROR(OFFSET(Tabella!$G$1,MATCH(H372,Tabella!$G:$G,0)-1,MATCH(I372,Tabella!$G$1:$FG$1,0)-1)=TRUE),0,OFFSET(Tabella!$G$1,MATCH(H372,Tabella!$G:$G,0)-1,MATCH(I372,Tabella!$G$1:$AB$1,0)-1)),4)</f>
        <v>0</v>
      </c>
      <c r="Q372" s="238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238">
        <f ca="1">ROUND(IF(ISERROR(OFFSET(Rame!$F$1,MATCH(H372,Rame!$F:$F,0)-1,MATCH(I372,Rame!$F$1:$FF$1,0)-1)=TRUE),0,OFFSET(Rame!$F$1,MATCH(H372,Rame!$F:$F,0)-1,MATCH(I372,Rame!$F$1:$FF$1,0)-1))*IF(E372="Rame",1,0),4)</f>
        <v>0</v>
      </c>
      <c r="S372" s="238">
        <f ca="1">ROUND(IF(ISERROR(OFFSET(Bronzo!$A$1,MATCH(H372,Bronzo!$A:$A,0)-1,MATCH(I372,Bronzo!$A$1:$AA$1,0)-1)=TRUE),0,OFFSET(Bronzo!$A$1,MATCH(H372,Bronzo!$A:$A,0)-1,MATCH(I372,Bronzo!$A$1:$AA$1,0)-1)),4)</f>
        <v>0</v>
      </c>
      <c r="T372" s="238">
        <f t="shared" ref="T372" ca="1" si="259">ROUND(SUM(P372:S372),4)</f>
        <v>0</v>
      </c>
      <c r="U372" s="237"/>
      <c r="V372" s="238">
        <v>0</v>
      </c>
      <c r="W372" s="239">
        <f t="shared" ref="W372" ca="1" si="260">ROUND(+O372+T372+U372+V372,4)</f>
        <v>1.6</v>
      </c>
      <c r="X372" s="240">
        <f t="shared" ref="X372" si="261">ROUND(+J372*D372,4)</f>
        <v>49</v>
      </c>
      <c r="Y372" s="236">
        <v>4.58</v>
      </c>
      <c r="Z372" s="236">
        <f t="shared" ref="Z372" ca="1" si="262">ROUND(+Y372-W372-F372,4)</f>
        <v>0</v>
      </c>
      <c r="AA372" s="241"/>
      <c r="AE372" s="223" t="s">
        <v>686</v>
      </c>
      <c r="AF372" s="225">
        <f t="shared" ca="1" si="242"/>
        <v>46236</v>
      </c>
      <c r="AG372" s="225" t="b">
        <f t="shared" si="254"/>
        <v>1</v>
      </c>
      <c r="AH372" s="242"/>
      <c r="AS372" s="223">
        <f t="shared" si="233"/>
        <v>0</v>
      </c>
      <c r="AT372" s="223">
        <f t="shared" si="234"/>
        <v>0</v>
      </c>
    </row>
    <row r="373" spans="2:46" ht="15.75" x14ac:dyDescent="0.25">
      <c r="B373" s="229" t="s">
        <v>685</v>
      </c>
      <c r="C373" s="245" t="s">
        <v>108</v>
      </c>
      <c r="D373" s="246">
        <v>1102</v>
      </c>
      <c r="E373" s="232" t="s">
        <v>4</v>
      </c>
      <c r="F373" s="233">
        <v>2.98</v>
      </c>
      <c r="G373" s="234">
        <v>46097</v>
      </c>
      <c r="H373" s="235" t="s">
        <v>326</v>
      </c>
      <c r="I373" s="235"/>
      <c r="J373" s="236">
        <v>7.0000000000000007E-2</v>
      </c>
      <c r="K373" s="237">
        <f ca="1">ROUND(IF(ISERROR(OFFSET(Tabella!$A$1,MATCH(H373,Tabella!$A:$A,0)-1,MATCH(J373,Tabella!$A$1:$AC$1,0)-1)=TRUE),0,+OFFSET(Tabella!$A$1,MATCH(H373,Tabella!$A:$A,0)-1,MATCH(J373,Tabella!$A$1:$AC$1,0)-1)),4)</f>
        <v>1.25</v>
      </c>
      <c r="L373" s="238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238">
        <f ca="1">ROUND(IF(ISERROR(OFFSET(Rame!$A$1,MATCH(H373,Rame!$A:$A,0)-1,MATCH(J373,Rame!$A$1:$AA$1,0)-1)=TRUE),0,OFFSET(Rame!$A$1,MATCH(H373,Rame!$A:$A,0)-1,MATCH(J373,Rame!$A$1:$AA$1,0)-1))*IF(E373="Rame",1,0),4)</f>
        <v>0</v>
      </c>
      <c r="N373" s="238">
        <v>0</v>
      </c>
      <c r="O373" s="238">
        <v>1.6</v>
      </c>
      <c r="P373" s="238">
        <f ca="1">ROUND(+IF(ISERROR(OFFSET(Tabella!$G$1,MATCH(H373,Tabella!$G:$G,0)-1,MATCH(I373,Tabella!$G$1:$FG$1,0)-1)=TRUE),0,OFFSET(Tabella!$G$1,MATCH(H373,Tabella!$G:$G,0)-1,MATCH(I373,Tabella!$G$1:$AB$1,0)-1)),4)</f>
        <v>0</v>
      </c>
      <c r="Q373" s="238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238">
        <f ca="1">ROUND(IF(ISERROR(OFFSET(Rame!$F$1,MATCH(H373,Rame!$F:$F,0)-1,MATCH(I373,Rame!$F$1:$FF$1,0)-1)=TRUE),0,OFFSET(Rame!$F$1,MATCH(H373,Rame!$F:$F,0)-1,MATCH(I373,Rame!$F$1:$FF$1,0)-1))*IF(E373="Rame",1,0),4)</f>
        <v>0</v>
      </c>
      <c r="S373" s="238">
        <f ca="1">ROUND(IF(ISERROR(OFFSET(Bronzo!$A$1,MATCH(H373,Bronzo!$A:$A,0)-1,MATCH(I373,Bronzo!$A$1:$AA$1,0)-1)=TRUE),0,OFFSET(Bronzo!$A$1,MATCH(H373,Bronzo!$A:$A,0)-1,MATCH(I373,Bronzo!$A$1:$AA$1,0)-1)),4)</f>
        <v>0</v>
      </c>
      <c r="T373" s="238">
        <f t="shared" ca="1" si="251"/>
        <v>0</v>
      </c>
      <c r="U373" s="237"/>
      <c r="V373" s="238">
        <v>0</v>
      </c>
      <c r="W373" s="239">
        <f t="shared" ca="1" si="252"/>
        <v>1.6</v>
      </c>
      <c r="X373" s="423">
        <f t="shared" si="250"/>
        <v>77.14</v>
      </c>
      <c r="Y373" s="236">
        <v>4.58</v>
      </c>
      <c r="Z373" s="236">
        <f t="shared" ca="1" si="253"/>
        <v>0</v>
      </c>
      <c r="AA373" s="241"/>
      <c r="AF373" s="225">
        <f t="shared" ca="1" si="242"/>
        <v>46236</v>
      </c>
      <c r="AG373" s="225" t="b">
        <f t="shared" si="254"/>
        <v>1</v>
      </c>
      <c r="AH373" s="242"/>
      <c r="AS373" s="223">
        <f t="shared" si="233"/>
        <v>0</v>
      </c>
      <c r="AT373" s="223">
        <f t="shared" si="234"/>
        <v>0</v>
      </c>
    </row>
    <row r="374" spans="2:46" ht="15.75" x14ac:dyDescent="0.25">
      <c r="B374" s="229" t="s">
        <v>685</v>
      </c>
      <c r="C374" s="245" t="s">
        <v>108</v>
      </c>
      <c r="D374" s="246">
        <v>872</v>
      </c>
      <c r="E374" s="232" t="s">
        <v>4</v>
      </c>
      <c r="F374" s="233">
        <v>2.98</v>
      </c>
      <c r="G374" s="234">
        <v>46097</v>
      </c>
      <c r="H374" s="235" t="s">
        <v>29</v>
      </c>
      <c r="I374" s="235"/>
      <c r="J374" s="236">
        <v>7.0000000000000007E-2</v>
      </c>
      <c r="K374" s="237">
        <f ca="1">ROUND(IF(ISERROR(OFFSET(Tabella!$A$1,MATCH(H374,Tabella!$A:$A,0)-1,MATCH(J374,Tabella!$A$1:$AC$1,0)-1)=TRUE),0,+OFFSET(Tabella!$A$1,MATCH(H374,Tabella!$A:$A,0)-1,MATCH(J374,Tabella!$A$1:$AC$1,0)-1)),4)</f>
        <v>1.3</v>
      </c>
      <c r="L374" s="238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238">
        <f ca="1">ROUND(IF(ISERROR(OFFSET(Rame!$A$1,MATCH(H374,Rame!$A:$A,0)-1,MATCH(J374,Rame!$A$1:$AA$1,0)-1)=TRUE),0,OFFSET(Rame!$A$1,MATCH(H374,Rame!$A:$A,0)-1,MATCH(J374,Rame!$A$1:$AA$1,0)-1))*IF(E374="Rame",1,0),4)</f>
        <v>0</v>
      </c>
      <c r="N374" s="238">
        <v>0</v>
      </c>
      <c r="O374" s="238">
        <v>1.6</v>
      </c>
      <c r="P374" s="238">
        <f ca="1">ROUND(+IF(ISERROR(OFFSET(Tabella!$G$1,MATCH(H374,Tabella!$G:$G,0)-1,MATCH(I374,Tabella!$G$1:$FG$1,0)-1)=TRUE),0,OFFSET(Tabella!$G$1,MATCH(H374,Tabella!$G:$G,0)-1,MATCH(I374,Tabella!$G$1:$AB$1,0)-1)),4)</f>
        <v>0</v>
      </c>
      <c r="Q374" s="238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238">
        <f ca="1">ROUND(IF(ISERROR(OFFSET(Rame!$F$1,MATCH(H374,Rame!$F:$F,0)-1,MATCH(I374,Rame!$F$1:$FF$1,0)-1)=TRUE),0,OFFSET(Rame!$F$1,MATCH(H374,Rame!$F:$F,0)-1,MATCH(I374,Rame!$F$1:$FF$1,0)-1))*IF(E374="Rame",1,0),4)</f>
        <v>0</v>
      </c>
      <c r="S374" s="238">
        <f ca="1">ROUND(IF(ISERROR(OFFSET(Bronzo!$A$1,MATCH(H374,Bronzo!$A:$A,0)-1,MATCH(I374,Bronzo!$A$1:$AA$1,0)-1)=TRUE),0,OFFSET(Bronzo!$A$1,MATCH(H374,Bronzo!$A:$A,0)-1,MATCH(I374,Bronzo!$A$1:$AA$1,0)-1)),4)</f>
        <v>0</v>
      </c>
      <c r="T374" s="238">
        <f t="shared" ca="1" si="251"/>
        <v>0</v>
      </c>
      <c r="U374" s="237"/>
      <c r="V374" s="238">
        <v>0</v>
      </c>
      <c r="W374" s="239">
        <f t="shared" ca="1" si="252"/>
        <v>1.6</v>
      </c>
      <c r="X374" s="423">
        <f t="shared" si="250"/>
        <v>61.04</v>
      </c>
      <c r="Y374" s="236">
        <v>4.58</v>
      </c>
      <c r="Z374" s="236">
        <f t="shared" ca="1" si="253"/>
        <v>0</v>
      </c>
      <c r="AA374" s="241"/>
      <c r="AF374" s="225">
        <f t="shared" ca="1" si="242"/>
        <v>46236</v>
      </c>
      <c r="AG374" s="225" t="b">
        <f t="shared" si="254"/>
        <v>1</v>
      </c>
      <c r="AH374" s="242"/>
      <c r="AS374" s="223">
        <f t="shared" si="233"/>
        <v>0</v>
      </c>
      <c r="AT374" s="223">
        <f t="shared" si="234"/>
        <v>0</v>
      </c>
    </row>
    <row r="375" spans="2:46" ht="15.75" x14ac:dyDescent="0.25">
      <c r="B375" s="229" t="s">
        <v>523</v>
      </c>
      <c r="C375" s="235" t="s">
        <v>108</v>
      </c>
      <c r="D375" s="243">
        <v>250</v>
      </c>
      <c r="E375" s="232" t="s">
        <v>4</v>
      </c>
      <c r="F375" s="233">
        <v>3.03</v>
      </c>
      <c r="G375" s="234">
        <v>46141</v>
      </c>
      <c r="H375" s="235" t="s">
        <v>30</v>
      </c>
      <c r="I375" s="235"/>
      <c r="J375" s="236">
        <v>0.13</v>
      </c>
      <c r="K375" s="237">
        <f ca="1">ROUND(IF(ISERROR(OFFSET(Tabella!$A$1,MATCH(H375,Tabella!$A:$A,0)-1,MATCH(J375,Tabella!$A$1:$AC$1,0)-1)=TRUE),0,+OFFSET(Tabella!$A$1,MATCH(H375,Tabella!$A:$A,0)-1,MATCH(J375,Tabella!$A$1:$AC$1,0)-1)),4)</f>
        <v>0</v>
      </c>
      <c r="L375" s="238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238">
        <f ca="1">ROUND(IF(ISERROR(OFFSET(Rame!$A$1,MATCH(H375,Rame!$A:$A,0)-1,MATCH(J375,Rame!$A$1:$AA$1,0)-1)=TRUE),0,OFFSET(Rame!$A$1,MATCH(H375,Rame!$A:$A,0)-1,MATCH(J375,Rame!$A$1:$AA$1,0)-1))*IF(E375="Rame",1,0),4)</f>
        <v>0</v>
      </c>
      <c r="N375" s="238">
        <v>0</v>
      </c>
      <c r="O375" s="238">
        <v>1.6</v>
      </c>
      <c r="P375" s="238">
        <f ca="1">ROUND(+IF(ISERROR(OFFSET(Tabella!$G$1,MATCH(H375,Tabella!$G:$G,0)-1,MATCH(I375,Tabella!$G$1:$FG$1,0)-1)=TRUE),0,OFFSET(Tabella!$G$1,MATCH(H375,Tabella!$G:$G,0)-1,MATCH(I375,Tabella!$G$1:$AB$1,0)-1)),4)</f>
        <v>0</v>
      </c>
      <c r="Q375" s="238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238">
        <f ca="1">ROUND(IF(ISERROR(OFFSET(Rame!$F$1,MATCH(H375,Rame!$F:$F,0)-1,MATCH(I375,Rame!$F$1:$FF$1,0)-1)=TRUE),0,OFFSET(Rame!$F$1,MATCH(H375,Rame!$F:$F,0)-1,MATCH(I375,Rame!$F$1:$FF$1,0)-1))*IF(E375="Rame",1,0),4)</f>
        <v>0</v>
      </c>
      <c r="S375" s="238">
        <f ca="1">ROUND(IF(ISERROR(OFFSET(Bronzo!$A$1,MATCH(H375,Bronzo!$A:$A,0)-1,MATCH(I375,Bronzo!$A$1:$AA$1,0)-1)=TRUE),0,OFFSET(Bronzo!$A$1,MATCH(H375,Bronzo!$A:$A,0)-1,MATCH(I375,Bronzo!$A$1:$AA$1,0)-1)),4)</f>
        <v>0</v>
      </c>
      <c r="T375" s="238">
        <f t="shared" ca="1" si="251"/>
        <v>0</v>
      </c>
      <c r="U375" s="237"/>
      <c r="V375" s="238">
        <v>0</v>
      </c>
      <c r="W375" s="239">
        <f t="shared" ca="1" si="252"/>
        <v>1.6</v>
      </c>
      <c r="X375" s="240">
        <f t="shared" si="250"/>
        <v>32.5</v>
      </c>
      <c r="Y375" s="236">
        <v>5.4</v>
      </c>
      <c r="Z375" s="236">
        <f t="shared" ca="1" si="253"/>
        <v>0.77</v>
      </c>
      <c r="AA375" s="241">
        <v>46178</v>
      </c>
      <c r="AF375" s="225">
        <f t="shared" ca="1" si="242"/>
        <v>46236</v>
      </c>
      <c r="AG375" s="225" t="b">
        <f t="shared" si="254"/>
        <v>0</v>
      </c>
      <c r="AH375" s="242"/>
      <c r="AS375" s="223">
        <f t="shared" si="233"/>
        <v>6</v>
      </c>
      <c r="AT375" s="223">
        <f t="shared" si="234"/>
        <v>2026</v>
      </c>
    </row>
    <row r="376" spans="2:46" ht="15.75" x14ac:dyDescent="0.25">
      <c r="B376" s="229"/>
      <c r="C376" s="235" t="s">
        <v>396</v>
      </c>
      <c r="D376" s="243">
        <v>500</v>
      </c>
      <c r="E376" s="232" t="s">
        <v>4</v>
      </c>
      <c r="F376" s="233">
        <v>3.03</v>
      </c>
      <c r="G376" s="234">
        <v>46141</v>
      </c>
      <c r="H376" s="235" t="s">
        <v>22</v>
      </c>
      <c r="I376" s="235"/>
      <c r="J376" s="236">
        <v>7.0000000000000007E-2</v>
      </c>
      <c r="K376" s="237">
        <f ca="1">ROUND(IF(ISERROR(OFFSET(Tabella!$A$1,MATCH(H376,Tabella!$A:$A,0)-1,MATCH(J376,Tabella!$A$1:$AC$1,0)-1)=TRUE),0,+OFFSET(Tabella!$A$1,MATCH(H376,Tabella!$A:$A,0)-1,MATCH(J376,Tabella!$A$1:$AC$1,0)-1)),4)</f>
        <v>1.25</v>
      </c>
      <c r="L376" s="238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238">
        <f ca="1">ROUND(IF(ISERROR(OFFSET(Rame!$A$1,MATCH(H376,Rame!$A:$A,0)-1,MATCH(J376,Rame!$A$1:$AA$1,0)-1)=TRUE),0,OFFSET(Rame!$A$1,MATCH(H376,Rame!$A:$A,0)-1,MATCH(J376,Rame!$A$1:$AA$1,0)-1))*IF(E376="Rame",1,0),4)</f>
        <v>0</v>
      </c>
      <c r="N376" s="238">
        <v>0</v>
      </c>
      <c r="O376" s="238">
        <v>1.73</v>
      </c>
      <c r="P376" s="238">
        <f ca="1">ROUND(+IF(ISERROR(OFFSET(Tabella!$G$1,MATCH(H376,Tabella!$G:$G,0)-1,MATCH(I376,Tabella!$G$1:$FG$1,0)-1)=TRUE),0,OFFSET(Tabella!$G$1,MATCH(H376,Tabella!$G:$G,0)-1,MATCH(I376,Tabella!$G$1:$AB$1,0)-1)),4)</f>
        <v>0</v>
      </c>
      <c r="Q376" s="238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238">
        <f ca="1">ROUND(IF(ISERROR(OFFSET(Rame!$F$1,MATCH(H376,Rame!$F:$F,0)-1,MATCH(I376,Rame!$F$1:$FF$1,0)-1)=TRUE),0,OFFSET(Rame!$F$1,MATCH(H376,Rame!$F:$F,0)-1,MATCH(I376,Rame!$F$1:$FF$1,0)-1))*IF(E376="Rame",1,0),4)</f>
        <v>0</v>
      </c>
      <c r="S376" s="238">
        <f ca="1">ROUND(IF(ISERROR(OFFSET(Bronzo!$A$1,MATCH(H376,Bronzo!$A:$A,0)-1,MATCH(I376,Bronzo!$A$1:$AA$1,0)-1)=TRUE),0,OFFSET(Bronzo!$A$1,MATCH(H376,Bronzo!$A:$A,0)-1,MATCH(I376,Bronzo!$A$1:$AA$1,0)-1)),4)</f>
        <v>0</v>
      </c>
      <c r="T376" s="238">
        <f t="shared" ca="1" si="251"/>
        <v>0</v>
      </c>
      <c r="U376" s="237"/>
      <c r="V376" s="238">
        <v>0</v>
      </c>
      <c r="W376" s="239">
        <f t="shared" ca="1" si="252"/>
        <v>1.73</v>
      </c>
      <c r="X376" s="240">
        <f t="shared" si="250"/>
        <v>35</v>
      </c>
      <c r="Y376" s="236">
        <v>4.9800000000000004</v>
      </c>
      <c r="Z376" s="236">
        <f t="shared" ca="1" si="253"/>
        <v>0.22</v>
      </c>
      <c r="AA376" s="241"/>
      <c r="AF376" s="225">
        <f t="shared" ca="1" si="242"/>
        <v>46236</v>
      </c>
      <c r="AG376" s="225" t="b">
        <f t="shared" si="254"/>
        <v>1</v>
      </c>
      <c r="AH376" s="242"/>
      <c r="AS376" s="223">
        <f t="shared" si="233"/>
        <v>0</v>
      </c>
      <c r="AT376" s="223">
        <f t="shared" si="234"/>
        <v>0</v>
      </c>
    </row>
    <row r="377" spans="2:46" ht="15.75" x14ac:dyDescent="0.25">
      <c r="B377" s="229" t="s">
        <v>527</v>
      </c>
      <c r="C377" s="235" t="s">
        <v>396</v>
      </c>
      <c r="D377" s="243">
        <v>200</v>
      </c>
      <c r="E377" s="232" t="s">
        <v>4</v>
      </c>
      <c r="F377" s="233">
        <v>3.03</v>
      </c>
      <c r="G377" s="234">
        <v>46141</v>
      </c>
      <c r="H377" s="235" t="s">
        <v>307</v>
      </c>
      <c r="I377" s="235"/>
      <c r="J377" s="236">
        <v>7.0000000000000007E-2</v>
      </c>
      <c r="K377" s="237">
        <f ca="1">ROUND(IF(ISERROR(OFFSET(Tabella!$A$1,MATCH(H377,Tabella!$A:$A,0)-1,MATCH(J377,Tabella!$A$1:$AC$1,0)-1)=TRUE),0,+OFFSET(Tabella!$A$1,MATCH(H377,Tabella!$A:$A,0)-1,MATCH(J377,Tabella!$A$1:$AC$1,0)-1)),4)</f>
        <v>1.25</v>
      </c>
      <c r="L377" s="238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238">
        <f ca="1">ROUND(IF(ISERROR(OFFSET(Rame!$A$1,MATCH(H377,Rame!$A:$A,0)-1,MATCH(J377,Rame!$A$1:$AA$1,0)-1)=TRUE),0,OFFSET(Rame!$A$1,MATCH(H377,Rame!$A:$A,0)-1,MATCH(J377,Rame!$A$1:$AA$1,0)-1))*IF(E377="Rame",1,0),4)</f>
        <v>0</v>
      </c>
      <c r="N377" s="238">
        <v>0</v>
      </c>
      <c r="O377" s="238">
        <v>1.73</v>
      </c>
      <c r="P377" s="238">
        <f ca="1">ROUND(+IF(ISERROR(OFFSET(Tabella!$G$1,MATCH(H377,Tabella!$G:$G,0)-1,MATCH(I377,Tabella!$G$1:$FG$1,0)-1)=TRUE),0,OFFSET(Tabella!$G$1,MATCH(H377,Tabella!$G:$G,0)-1,MATCH(I377,Tabella!$G$1:$AB$1,0)-1)),4)</f>
        <v>0</v>
      </c>
      <c r="Q377" s="238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238">
        <f ca="1">ROUND(IF(ISERROR(OFFSET(Rame!$F$1,MATCH(H377,Rame!$F:$F,0)-1,MATCH(I377,Rame!$F$1:$FF$1,0)-1)=TRUE),0,OFFSET(Rame!$F$1,MATCH(H377,Rame!$F:$F,0)-1,MATCH(I377,Rame!$F$1:$FF$1,0)-1))*IF(E377="Rame",1,0),4)</f>
        <v>0</v>
      </c>
      <c r="S377" s="238">
        <f ca="1">ROUND(IF(ISERROR(OFFSET(Bronzo!$A$1,MATCH(H377,Bronzo!$A:$A,0)-1,MATCH(I377,Bronzo!$A$1:$AA$1,0)-1)=TRUE),0,OFFSET(Bronzo!$A$1,MATCH(H377,Bronzo!$A:$A,0)-1,MATCH(I377,Bronzo!$A$1:$AA$1,0)-1)),4)</f>
        <v>0</v>
      </c>
      <c r="T377" s="238">
        <f t="shared" ca="1" si="251"/>
        <v>0</v>
      </c>
      <c r="U377" s="237"/>
      <c r="V377" s="238">
        <v>0</v>
      </c>
      <c r="W377" s="239">
        <f t="shared" ca="1" si="252"/>
        <v>1.73</v>
      </c>
      <c r="X377" s="240">
        <f t="shared" si="250"/>
        <v>14</v>
      </c>
      <c r="Y377" s="236">
        <v>4.9800000000000004</v>
      </c>
      <c r="Z377" s="236">
        <f t="shared" ca="1" si="253"/>
        <v>0.22</v>
      </c>
      <c r="AA377" s="241">
        <v>46185</v>
      </c>
      <c r="AF377" s="225">
        <f t="shared" ca="1" si="242"/>
        <v>46236</v>
      </c>
      <c r="AG377" s="225" t="b">
        <f t="shared" si="254"/>
        <v>0</v>
      </c>
      <c r="AH377" s="242"/>
      <c r="AS377" s="223">
        <f t="shared" si="233"/>
        <v>6</v>
      </c>
      <c r="AT377" s="223">
        <f t="shared" si="234"/>
        <v>2026</v>
      </c>
    </row>
    <row r="378" spans="2:46" ht="15.75" x14ac:dyDescent="0.25">
      <c r="B378" s="229" t="s">
        <v>527</v>
      </c>
      <c r="C378" s="235" t="s">
        <v>396</v>
      </c>
      <c r="D378" s="243">
        <v>500</v>
      </c>
      <c r="E378" s="232" t="s">
        <v>4</v>
      </c>
      <c r="F378" s="233">
        <v>3.03</v>
      </c>
      <c r="G378" s="234">
        <v>46141</v>
      </c>
      <c r="H378" s="235" t="s">
        <v>308</v>
      </c>
      <c r="I378" s="235"/>
      <c r="J378" s="236">
        <v>7.0000000000000007E-2</v>
      </c>
      <c r="K378" s="237">
        <f ca="1">ROUND(IF(ISERROR(OFFSET(Tabella!$A$1,MATCH(H378,Tabella!$A:$A,0)-1,MATCH(J378,Tabella!$A$1:$AC$1,0)-1)=TRUE),0,+OFFSET(Tabella!$A$1,MATCH(H378,Tabella!$A:$A,0)-1,MATCH(J378,Tabella!$A$1:$AC$1,0)-1)),4)</f>
        <v>1.25</v>
      </c>
      <c r="L378" s="238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238">
        <f ca="1">ROUND(IF(ISERROR(OFFSET(Rame!$A$1,MATCH(H378,Rame!$A:$A,0)-1,MATCH(J378,Rame!$A$1:$AA$1,0)-1)=TRUE),0,OFFSET(Rame!$A$1,MATCH(H378,Rame!$A:$A,0)-1,MATCH(J378,Rame!$A$1:$AA$1,0)-1))*IF(E378="Rame",1,0),4)</f>
        <v>0</v>
      </c>
      <c r="N378" s="238">
        <v>0</v>
      </c>
      <c r="O378" s="238">
        <v>1.73</v>
      </c>
      <c r="P378" s="238">
        <f ca="1">ROUND(+IF(ISERROR(OFFSET(Tabella!$G$1,MATCH(H378,Tabella!$G:$G,0)-1,MATCH(I378,Tabella!$G$1:$FG$1,0)-1)=TRUE),0,OFFSET(Tabella!$G$1,MATCH(H378,Tabella!$G:$G,0)-1,MATCH(I378,Tabella!$G$1:$AB$1,0)-1)),4)</f>
        <v>0</v>
      </c>
      <c r="Q378" s="238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238">
        <f ca="1">ROUND(IF(ISERROR(OFFSET(Rame!$F$1,MATCH(H378,Rame!$F:$F,0)-1,MATCH(I378,Rame!$F$1:$FF$1,0)-1)=TRUE),0,OFFSET(Rame!$F$1,MATCH(H378,Rame!$F:$F,0)-1,MATCH(I378,Rame!$F$1:$FF$1,0)-1))*IF(E378="Rame",1,0),4)</f>
        <v>0</v>
      </c>
      <c r="S378" s="238">
        <f ca="1">ROUND(IF(ISERROR(OFFSET(Bronzo!$A$1,MATCH(H378,Bronzo!$A:$A,0)-1,MATCH(I378,Bronzo!$A$1:$AA$1,0)-1)=TRUE),0,OFFSET(Bronzo!$A$1,MATCH(H378,Bronzo!$A:$A,0)-1,MATCH(I378,Bronzo!$A$1:$AA$1,0)-1)),4)</f>
        <v>0</v>
      </c>
      <c r="T378" s="238">
        <f t="shared" ca="1" si="251"/>
        <v>0</v>
      </c>
      <c r="U378" s="237"/>
      <c r="V378" s="238">
        <v>0</v>
      </c>
      <c r="W378" s="239">
        <f t="shared" ca="1" si="252"/>
        <v>1.73</v>
      </c>
      <c r="X378" s="240">
        <f t="shared" si="250"/>
        <v>35</v>
      </c>
      <c r="Y378" s="236">
        <v>4.9800000000000004</v>
      </c>
      <c r="Z378" s="236">
        <f t="shared" ca="1" si="253"/>
        <v>0.22</v>
      </c>
      <c r="AA378" s="241">
        <v>46185</v>
      </c>
      <c r="AF378" s="225">
        <f t="shared" ca="1" si="242"/>
        <v>46236</v>
      </c>
      <c r="AG378" s="225" t="b">
        <f t="shared" si="254"/>
        <v>0</v>
      </c>
      <c r="AH378" s="242"/>
      <c r="AS378" s="223">
        <f t="shared" ref="AS378:AS441" si="263">IF(AA378="",0,MONTH(AA378))</f>
        <v>6</v>
      </c>
      <c r="AT378" s="223">
        <f t="shared" ref="AT378:AT441" si="264">IF(AA378="",0,YEAR(AA378))</f>
        <v>2026</v>
      </c>
    </row>
    <row r="379" spans="2:46" ht="15.75" x14ac:dyDescent="0.25">
      <c r="B379" s="229" t="s">
        <v>527</v>
      </c>
      <c r="C379" s="235" t="s">
        <v>396</v>
      </c>
      <c r="D379" s="243">
        <v>300</v>
      </c>
      <c r="E379" s="232" t="s">
        <v>4</v>
      </c>
      <c r="F379" s="233">
        <v>3.03</v>
      </c>
      <c r="G379" s="234">
        <v>46141</v>
      </c>
      <c r="H379" s="235" t="s">
        <v>21</v>
      </c>
      <c r="I379" s="235"/>
      <c r="J379" s="236">
        <v>7.0000000000000007E-2</v>
      </c>
      <c r="K379" s="237">
        <f ca="1">ROUND(IF(ISERROR(OFFSET(Tabella!$A$1,MATCH(H379,Tabella!$A:$A,0)-1,MATCH(J379,Tabella!$A$1:$AC$1,0)-1)=TRUE),0,+OFFSET(Tabella!$A$1,MATCH(H379,Tabella!$A:$A,0)-1,MATCH(J379,Tabella!$A$1:$AC$1,0)-1)),4)</f>
        <v>1.25</v>
      </c>
      <c r="L379" s="238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238">
        <f ca="1">ROUND(IF(ISERROR(OFFSET(Rame!$A$1,MATCH(H379,Rame!$A:$A,0)-1,MATCH(J379,Rame!$A$1:$AA$1,0)-1)=TRUE),0,OFFSET(Rame!$A$1,MATCH(H379,Rame!$A:$A,0)-1,MATCH(J379,Rame!$A$1:$AA$1,0)-1))*IF(E379="Rame",1,0),4)</f>
        <v>0</v>
      </c>
      <c r="N379" s="238">
        <v>0</v>
      </c>
      <c r="O379" s="238">
        <v>1.73</v>
      </c>
      <c r="P379" s="238">
        <f ca="1">ROUND(+IF(ISERROR(OFFSET(Tabella!$G$1,MATCH(H379,Tabella!$G:$G,0)-1,MATCH(I379,Tabella!$G$1:$FG$1,0)-1)=TRUE),0,OFFSET(Tabella!$G$1,MATCH(H379,Tabella!$G:$G,0)-1,MATCH(I379,Tabella!$G$1:$AB$1,0)-1)),4)</f>
        <v>0</v>
      </c>
      <c r="Q379" s="238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238">
        <f ca="1">ROUND(IF(ISERROR(OFFSET(Rame!$F$1,MATCH(H379,Rame!$F:$F,0)-1,MATCH(I379,Rame!$F$1:$FF$1,0)-1)=TRUE),0,OFFSET(Rame!$F$1,MATCH(H379,Rame!$F:$F,0)-1,MATCH(I379,Rame!$F$1:$FF$1,0)-1))*IF(E379="Rame",1,0),4)</f>
        <v>0</v>
      </c>
      <c r="S379" s="238">
        <f ca="1">ROUND(IF(ISERROR(OFFSET(Bronzo!$A$1,MATCH(H379,Bronzo!$A:$A,0)-1,MATCH(I379,Bronzo!$A$1:$AA$1,0)-1)=TRUE),0,OFFSET(Bronzo!$A$1,MATCH(H379,Bronzo!$A:$A,0)-1,MATCH(I379,Bronzo!$A$1:$AA$1,0)-1)),4)</f>
        <v>0</v>
      </c>
      <c r="T379" s="238">
        <f t="shared" ca="1" si="251"/>
        <v>0</v>
      </c>
      <c r="U379" s="237"/>
      <c r="V379" s="238">
        <v>0</v>
      </c>
      <c r="W379" s="239">
        <f t="shared" ca="1" si="252"/>
        <v>1.73</v>
      </c>
      <c r="X379" s="240">
        <f t="shared" si="250"/>
        <v>21</v>
      </c>
      <c r="Y379" s="236">
        <v>4.9800000000000004</v>
      </c>
      <c r="Z379" s="236">
        <f t="shared" ca="1" si="253"/>
        <v>0.22</v>
      </c>
      <c r="AA379" s="241">
        <v>46185</v>
      </c>
      <c r="AF379" s="225">
        <f t="shared" ca="1" si="242"/>
        <v>46236</v>
      </c>
      <c r="AG379" s="225" t="b">
        <f t="shared" si="254"/>
        <v>0</v>
      </c>
      <c r="AH379" s="242"/>
      <c r="AS379" s="223">
        <f t="shared" si="263"/>
        <v>6</v>
      </c>
      <c r="AT379" s="223">
        <f t="shared" si="264"/>
        <v>2026</v>
      </c>
    </row>
    <row r="380" spans="2:46" ht="15.75" x14ac:dyDescent="0.25">
      <c r="B380" s="229" t="s">
        <v>527</v>
      </c>
      <c r="C380" s="235" t="s">
        <v>396</v>
      </c>
      <c r="D380" s="243">
        <v>300</v>
      </c>
      <c r="E380" s="232" t="s">
        <v>4</v>
      </c>
      <c r="F380" s="233">
        <v>3.03</v>
      </c>
      <c r="G380" s="234">
        <v>46141</v>
      </c>
      <c r="H380" s="235" t="s">
        <v>13</v>
      </c>
      <c r="I380" s="235"/>
      <c r="J380" s="236">
        <v>7.0000000000000007E-2</v>
      </c>
      <c r="K380" s="237">
        <f ca="1">ROUND(IF(ISERROR(OFFSET(Tabella!$A$1,MATCH(H380,Tabella!$A:$A,0)-1,MATCH(J380,Tabella!$A$1:$AC$1,0)-1)=TRUE),0,+OFFSET(Tabella!$A$1,MATCH(H380,Tabella!$A:$A,0)-1,MATCH(J380,Tabella!$A$1:$AC$1,0)-1)),4)</f>
        <v>1.4</v>
      </c>
      <c r="L380" s="238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238">
        <f ca="1">ROUND(IF(ISERROR(OFFSET(Rame!$A$1,MATCH(H380,Rame!$A:$A,0)-1,MATCH(J380,Rame!$A$1:$AA$1,0)-1)=TRUE),0,OFFSET(Rame!$A$1,MATCH(H380,Rame!$A:$A,0)-1,MATCH(J380,Rame!$A$1:$AA$1,0)-1))*IF(E380="Rame",1,0),4)</f>
        <v>0</v>
      </c>
      <c r="N380" s="238">
        <v>0</v>
      </c>
      <c r="O380" s="238">
        <v>1.93</v>
      </c>
      <c r="P380" s="238">
        <f ca="1">ROUND(+IF(ISERROR(OFFSET(Tabella!$G$1,MATCH(H380,Tabella!$G:$G,0)-1,MATCH(I380,Tabella!$G$1:$FG$1,0)-1)=TRUE),0,OFFSET(Tabella!$G$1,MATCH(H380,Tabella!$G:$G,0)-1,MATCH(I380,Tabella!$G$1:$AB$1,0)-1)),4)</f>
        <v>0</v>
      </c>
      <c r="Q380" s="238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238">
        <f ca="1">ROUND(IF(ISERROR(OFFSET(Rame!$F$1,MATCH(H380,Rame!$F:$F,0)-1,MATCH(I380,Rame!$F$1:$FF$1,0)-1)=TRUE),0,OFFSET(Rame!$F$1,MATCH(H380,Rame!$F:$F,0)-1,MATCH(I380,Rame!$F$1:$FF$1,0)-1))*IF(E380="Rame",1,0),4)</f>
        <v>0</v>
      </c>
      <c r="S380" s="238">
        <f ca="1">ROUND(IF(ISERROR(OFFSET(Bronzo!$A$1,MATCH(H380,Bronzo!$A:$A,0)-1,MATCH(I380,Bronzo!$A$1:$AA$1,0)-1)=TRUE),0,OFFSET(Bronzo!$A$1,MATCH(H380,Bronzo!$A:$A,0)-1,MATCH(I380,Bronzo!$A$1:$AA$1,0)-1)),4)</f>
        <v>0</v>
      </c>
      <c r="T380" s="238">
        <f t="shared" ca="1" si="251"/>
        <v>0</v>
      </c>
      <c r="U380" s="237"/>
      <c r="V380" s="238">
        <v>0</v>
      </c>
      <c r="W380" s="239">
        <f t="shared" ca="1" si="252"/>
        <v>1.93</v>
      </c>
      <c r="X380" s="240">
        <f t="shared" si="250"/>
        <v>21</v>
      </c>
      <c r="Y380" s="236">
        <v>5.18</v>
      </c>
      <c r="Z380" s="236">
        <f t="shared" ca="1" si="253"/>
        <v>0.22</v>
      </c>
      <c r="AA380" s="241">
        <v>46185</v>
      </c>
      <c r="AF380" s="225">
        <f t="shared" ca="1" si="242"/>
        <v>46236</v>
      </c>
      <c r="AG380" s="225" t="b">
        <f t="shared" si="254"/>
        <v>0</v>
      </c>
      <c r="AH380" s="242"/>
      <c r="AS380" s="223">
        <f t="shared" si="263"/>
        <v>6</v>
      </c>
      <c r="AT380" s="223">
        <f t="shared" si="264"/>
        <v>2026</v>
      </c>
    </row>
    <row r="381" spans="2:46" ht="15.75" x14ac:dyDescent="0.25">
      <c r="B381" s="229" t="s">
        <v>527</v>
      </c>
      <c r="C381" s="235" t="s">
        <v>396</v>
      </c>
      <c r="D381" s="243">
        <v>500</v>
      </c>
      <c r="E381" s="232" t="s">
        <v>4</v>
      </c>
      <c r="F381" s="233">
        <v>3.03</v>
      </c>
      <c r="G381" s="234">
        <v>46141</v>
      </c>
      <c r="H381" s="235" t="s">
        <v>22</v>
      </c>
      <c r="I381" s="235"/>
      <c r="J381" s="236">
        <v>7.0000000000000007E-2</v>
      </c>
      <c r="K381" s="237">
        <f ca="1">ROUND(IF(ISERROR(OFFSET(Tabella!$A$1,MATCH(H381,Tabella!$A:$A,0)-1,MATCH(J381,Tabella!$A$1:$AC$1,0)-1)=TRUE),0,+OFFSET(Tabella!$A$1,MATCH(H381,Tabella!$A:$A,0)-1,MATCH(J381,Tabella!$A$1:$AC$1,0)-1)),4)</f>
        <v>1.25</v>
      </c>
      <c r="L381" s="238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238">
        <f ca="1">ROUND(IF(ISERROR(OFFSET(Rame!$A$1,MATCH(H381,Rame!$A:$A,0)-1,MATCH(J381,Rame!$A$1:$AA$1,0)-1)=TRUE),0,OFFSET(Rame!$A$1,MATCH(H381,Rame!$A:$A,0)-1,MATCH(J381,Rame!$A$1:$AA$1,0)-1))*IF(E381="Rame",1,0),4)</f>
        <v>0</v>
      </c>
      <c r="N381" s="238">
        <v>0</v>
      </c>
      <c r="O381" s="238">
        <v>1.73</v>
      </c>
      <c r="P381" s="238">
        <f ca="1">ROUND(+IF(ISERROR(OFFSET(Tabella!$G$1,MATCH(H381,Tabella!$G:$G,0)-1,MATCH(I381,Tabella!$G$1:$FG$1,0)-1)=TRUE),0,OFFSET(Tabella!$G$1,MATCH(H381,Tabella!$G:$G,0)-1,MATCH(I381,Tabella!$G$1:$AB$1,0)-1)),4)</f>
        <v>0</v>
      </c>
      <c r="Q381" s="238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238">
        <f ca="1">ROUND(IF(ISERROR(OFFSET(Rame!$F$1,MATCH(H381,Rame!$F:$F,0)-1,MATCH(I381,Rame!$F$1:$FF$1,0)-1)=TRUE),0,OFFSET(Rame!$F$1,MATCH(H381,Rame!$F:$F,0)-1,MATCH(I381,Rame!$F$1:$FF$1,0)-1))*IF(E381="Rame",1,0),4)</f>
        <v>0</v>
      </c>
      <c r="S381" s="238">
        <f ca="1">ROUND(IF(ISERROR(OFFSET(Bronzo!$A$1,MATCH(H381,Bronzo!$A:$A,0)-1,MATCH(I381,Bronzo!$A$1:$AA$1,0)-1)=TRUE),0,OFFSET(Bronzo!$A$1,MATCH(H381,Bronzo!$A:$A,0)-1,MATCH(I381,Bronzo!$A$1:$AA$1,0)-1)),4)</f>
        <v>0</v>
      </c>
      <c r="T381" s="238">
        <f t="shared" ca="1" si="251"/>
        <v>0</v>
      </c>
      <c r="U381" s="237"/>
      <c r="V381" s="238">
        <v>0</v>
      </c>
      <c r="W381" s="239">
        <f t="shared" ca="1" si="252"/>
        <v>1.73</v>
      </c>
      <c r="X381" s="240">
        <f t="shared" si="250"/>
        <v>35</v>
      </c>
      <c r="Y381" s="236">
        <v>4.9800000000000004</v>
      </c>
      <c r="Z381" s="236">
        <f t="shared" ca="1" si="253"/>
        <v>0.22</v>
      </c>
      <c r="AA381" s="241">
        <v>46185</v>
      </c>
      <c r="AF381" s="225">
        <f t="shared" ca="1" si="242"/>
        <v>46236</v>
      </c>
      <c r="AG381" s="225" t="b">
        <f t="shared" si="254"/>
        <v>0</v>
      </c>
      <c r="AH381" s="242"/>
      <c r="AS381" s="223">
        <f t="shared" si="263"/>
        <v>6</v>
      </c>
      <c r="AT381" s="223">
        <f t="shared" si="264"/>
        <v>2026</v>
      </c>
    </row>
    <row r="382" spans="2:46" ht="15.75" x14ac:dyDescent="0.25">
      <c r="B382" s="229" t="s">
        <v>527</v>
      </c>
      <c r="C382" s="235" t="s">
        <v>396</v>
      </c>
      <c r="D382" s="243">
        <v>200</v>
      </c>
      <c r="E382" s="232" t="s">
        <v>4</v>
      </c>
      <c r="F382" s="233">
        <v>3.03</v>
      </c>
      <c r="G382" s="234">
        <v>46141</v>
      </c>
      <c r="H382" s="235" t="s">
        <v>19</v>
      </c>
      <c r="I382" s="235"/>
      <c r="J382" s="236">
        <v>7.0000000000000007E-2</v>
      </c>
      <c r="K382" s="237">
        <f ca="1">ROUND(IF(ISERROR(OFFSET(Tabella!$A$1,MATCH(H382,Tabella!$A:$A,0)-1,MATCH(J382,Tabella!$A$1:$AC$1,0)-1)=TRUE),0,+OFFSET(Tabella!$A$1,MATCH(H382,Tabella!$A:$A,0)-1,MATCH(J382,Tabella!$A$1:$AC$1,0)-1)),4)</f>
        <v>1.35</v>
      </c>
      <c r="L382" s="238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238">
        <f ca="1">ROUND(IF(ISERROR(OFFSET(Rame!$A$1,MATCH(H382,Rame!$A:$A,0)-1,MATCH(J382,Rame!$A$1:$AA$1,0)-1)=TRUE),0,OFFSET(Rame!$A$1,MATCH(H382,Rame!$A:$A,0)-1,MATCH(J382,Rame!$A$1:$AA$1,0)-1))*IF(E382="Rame",1,0),4)</f>
        <v>0</v>
      </c>
      <c r="N382" s="238">
        <v>0</v>
      </c>
      <c r="O382" s="238">
        <v>1.78</v>
      </c>
      <c r="P382" s="238">
        <f ca="1">ROUND(+IF(ISERROR(OFFSET(Tabella!$G$1,MATCH(H382,Tabella!$G:$G,0)-1,MATCH(I382,Tabella!$G$1:$FG$1,0)-1)=TRUE),0,OFFSET(Tabella!$G$1,MATCH(H382,Tabella!$G:$G,0)-1,MATCH(I382,Tabella!$G$1:$AB$1,0)-1)),4)</f>
        <v>0</v>
      </c>
      <c r="Q382" s="238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238">
        <f ca="1">ROUND(IF(ISERROR(OFFSET(Rame!$F$1,MATCH(H382,Rame!$F:$F,0)-1,MATCH(I382,Rame!$F$1:$FF$1,0)-1)=TRUE),0,OFFSET(Rame!$F$1,MATCH(H382,Rame!$F:$F,0)-1,MATCH(I382,Rame!$F$1:$FF$1,0)-1))*IF(E382="Rame",1,0),4)</f>
        <v>0</v>
      </c>
      <c r="S382" s="238">
        <f ca="1">ROUND(IF(ISERROR(OFFSET(Bronzo!$A$1,MATCH(H382,Bronzo!$A:$A,0)-1,MATCH(I382,Bronzo!$A$1:$AA$1,0)-1)=TRUE),0,OFFSET(Bronzo!$A$1,MATCH(H382,Bronzo!$A:$A,0)-1,MATCH(I382,Bronzo!$A$1:$AA$1,0)-1)),4)</f>
        <v>0</v>
      </c>
      <c r="T382" s="238">
        <f t="shared" ca="1" si="251"/>
        <v>0</v>
      </c>
      <c r="U382" s="237"/>
      <c r="V382" s="238">
        <v>0</v>
      </c>
      <c r="W382" s="239">
        <f t="shared" ca="1" si="252"/>
        <v>1.78</v>
      </c>
      <c r="X382" s="240">
        <f t="shared" si="250"/>
        <v>14</v>
      </c>
      <c r="Y382" s="236">
        <v>5.03</v>
      </c>
      <c r="Z382" s="236">
        <f t="shared" ca="1" si="253"/>
        <v>0.22</v>
      </c>
      <c r="AA382" s="241">
        <v>46185</v>
      </c>
      <c r="AF382" s="225">
        <f t="shared" ca="1" si="242"/>
        <v>46236</v>
      </c>
      <c r="AG382" s="225" t="b">
        <f t="shared" si="254"/>
        <v>0</v>
      </c>
      <c r="AH382" s="242"/>
      <c r="AS382" s="223">
        <f t="shared" si="263"/>
        <v>6</v>
      </c>
      <c r="AT382" s="223">
        <f t="shared" si="264"/>
        <v>2026</v>
      </c>
    </row>
    <row r="383" spans="2:46" ht="15.75" x14ac:dyDescent="0.25">
      <c r="B383" s="229" t="s">
        <v>701</v>
      </c>
      <c r="C383" s="245" t="s">
        <v>393</v>
      </c>
      <c r="D383" s="246">
        <v>120</v>
      </c>
      <c r="E383" s="232" t="s">
        <v>6</v>
      </c>
      <c r="F383" s="233">
        <v>11.25</v>
      </c>
      <c r="G383" s="234">
        <v>46141</v>
      </c>
      <c r="H383" s="235" t="s">
        <v>16</v>
      </c>
      <c r="I383" s="235"/>
      <c r="J383" s="236">
        <v>0.15</v>
      </c>
      <c r="K383" s="237">
        <f ca="1">ROUND(IF(ISERROR(OFFSET(Tabella!$A$1,MATCH(H383,Tabella!$A:$A,0)-1,MATCH(J383,Tabella!$A$1:$AC$1,0)-1)=TRUE),0,+OFFSET(Tabella!$A$1,MATCH(H383,Tabella!$A:$A,0)-1,MATCH(J383,Tabella!$A$1:$AC$1,0)-1)),4)</f>
        <v>0</v>
      </c>
      <c r="L383" s="238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238">
        <f ca="1">ROUND(IF(ISERROR(OFFSET(Rame!$A$1,MATCH(H383,Rame!$A:$A,0)-1,MATCH(J383,Rame!$A$1:$AA$1,0)-1)=TRUE),0,OFFSET(Rame!$A$1,MATCH(H383,Rame!$A:$A,0)-1,MATCH(J383,Rame!$A$1:$AA$1,0)-1))*IF(E383="Rame",1,0),4)</f>
        <v>0.85</v>
      </c>
      <c r="N383" s="238">
        <v>0</v>
      </c>
      <c r="O383" s="238">
        <f ca="1">ROUND(SUM(K383:N383),4)</f>
        <v>0.85</v>
      </c>
      <c r="P383" s="238">
        <f ca="1">ROUND(+IF(ISERROR(OFFSET(Tabella!$G$1,MATCH(H383,Tabella!$G:$G,0)-1,MATCH(I383,Tabella!$G$1:$FG$1,0)-1)=TRUE),0,OFFSET(Tabella!$G$1,MATCH(H383,Tabella!$G:$G,0)-1,MATCH(I383,Tabella!$G$1:$AB$1,0)-1)),4)</f>
        <v>0</v>
      </c>
      <c r="Q383" s="238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238">
        <f ca="1">ROUND(IF(ISERROR(OFFSET(Rame!$F$1,MATCH(H383,Rame!$F:$F,0)-1,MATCH(I383,Rame!$F$1:$FF$1,0)-1)=TRUE),0,OFFSET(Rame!$F$1,MATCH(H383,Rame!$F:$F,0)-1,MATCH(I383,Rame!$F$1:$FF$1,0)-1))*IF(E383="Rame",1,0),4)</f>
        <v>0</v>
      </c>
      <c r="S383" s="238">
        <f ca="1">ROUND(IF(ISERROR(OFFSET(Bronzo!$A$1,MATCH(H383,Bronzo!$A:$A,0)-1,MATCH(I383,Bronzo!$A$1:$AA$1,0)-1)=TRUE),0,OFFSET(Bronzo!$A$1,MATCH(H383,Bronzo!$A:$A,0)-1,MATCH(I383,Bronzo!$A$1:$AA$1,0)-1)),4)</f>
        <v>0</v>
      </c>
      <c r="T383" s="238">
        <f t="shared" ca="1" si="251"/>
        <v>0</v>
      </c>
      <c r="U383" s="237"/>
      <c r="V383" s="238">
        <v>0</v>
      </c>
      <c r="W383" s="239">
        <f t="shared" ca="1" si="252"/>
        <v>0.85</v>
      </c>
      <c r="X383" s="423">
        <f t="shared" si="250"/>
        <v>18</v>
      </c>
      <c r="Y383" s="236">
        <v>16.850000000000001</v>
      </c>
      <c r="Z383" s="236">
        <f t="shared" ca="1" si="253"/>
        <v>4.75</v>
      </c>
      <c r="AA383" s="241"/>
      <c r="AF383" s="225">
        <f t="shared" ca="1" si="242"/>
        <v>46236</v>
      </c>
      <c r="AG383" s="225" t="b">
        <f t="shared" si="254"/>
        <v>1</v>
      </c>
      <c r="AH383" s="242"/>
      <c r="AS383" s="223">
        <f t="shared" si="263"/>
        <v>0</v>
      </c>
      <c r="AT383" s="223">
        <f t="shared" si="264"/>
        <v>0</v>
      </c>
    </row>
    <row r="384" spans="2:46" ht="15.75" x14ac:dyDescent="0.25">
      <c r="B384" s="229" t="s">
        <v>540</v>
      </c>
      <c r="C384" s="235" t="s">
        <v>92</v>
      </c>
      <c r="D384" s="243">
        <v>300</v>
      </c>
      <c r="E384" s="232" t="s">
        <v>4</v>
      </c>
      <c r="F384" s="233">
        <v>2.98</v>
      </c>
      <c r="G384" s="234">
        <v>46142</v>
      </c>
      <c r="H384" s="235" t="s">
        <v>22</v>
      </c>
      <c r="I384" s="235"/>
      <c r="J384" s="236">
        <v>7.0000000000000007E-2</v>
      </c>
      <c r="K384" s="237">
        <f ca="1">ROUND(IF(ISERROR(OFFSET(Tabella!$A$1,MATCH(H384,Tabella!$A:$A,0)-1,MATCH(J384,Tabella!$A$1:$AC$1,0)-1)=TRUE),0,+OFFSET(Tabella!$A$1,MATCH(H384,Tabella!$A:$A,0)-1,MATCH(J384,Tabella!$A$1:$AC$1,0)-1)),4)</f>
        <v>1.25</v>
      </c>
      <c r="L384" s="238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238">
        <f ca="1">ROUND(IF(ISERROR(OFFSET(Rame!$A$1,MATCH(H384,Rame!$A:$A,0)-1,MATCH(J384,Rame!$A$1:$AA$1,0)-1)=TRUE),0,OFFSET(Rame!$A$1,MATCH(H384,Rame!$A:$A,0)-1,MATCH(J384,Rame!$A$1:$AA$1,0)-1))*IF(E384="Rame",1,0),4)</f>
        <v>0</v>
      </c>
      <c r="N384" s="238">
        <v>0</v>
      </c>
      <c r="O384" s="238">
        <v>1.73</v>
      </c>
      <c r="P384" s="238">
        <f ca="1">ROUND(+IF(ISERROR(OFFSET(Tabella!$G$1,MATCH(H384,Tabella!$G:$G,0)-1,MATCH(I384,Tabella!$G$1:$FG$1,0)-1)=TRUE),0,OFFSET(Tabella!$G$1,MATCH(H384,Tabella!$G:$G,0)-1,MATCH(I384,Tabella!$G$1:$AB$1,0)-1)),4)</f>
        <v>0</v>
      </c>
      <c r="Q384" s="238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238">
        <f ca="1">ROUND(IF(ISERROR(OFFSET(Rame!$F$1,MATCH(H384,Rame!$F:$F,0)-1,MATCH(I384,Rame!$F$1:$FF$1,0)-1)=TRUE),0,OFFSET(Rame!$F$1,MATCH(H384,Rame!$F:$F,0)-1,MATCH(I384,Rame!$F$1:$FF$1,0)-1))*IF(E384="Rame",1,0),4)</f>
        <v>0</v>
      </c>
      <c r="S384" s="238">
        <f ca="1">ROUND(IF(ISERROR(OFFSET(Bronzo!$A$1,MATCH(H384,Bronzo!$A:$A,0)-1,MATCH(I384,Bronzo!$A$1:$AA$1,0)-1)=TRUE),0,OFFSET(Bronzo!$A$1,MATCH(H384,Bronzo!$A:$A,0)-1,MATCH(I384,Bronzo!$A$1:$AA$1,0)-1)),4)</f>
        <v>0</v>
      </c>
      <c r="T384" s="238">
        <f t="shared" ca="1" si="251"/>
        <v>0</v>
      </c>
      <c r="U384" s="237"/>
      <c r="V384" s="238">
        <v>0</v>
      </c>
      <c r="W384" s="239">
        <f t="shared" ca="1" si="252"/>
        <v>1.73</v>
      </c>
      <c r="X384" s="240">
        <f t="shared" si="250"/>
        <v>21</v>
      </c>
      <c r="Y384" s="236">
        <v>4.71</v>
      </c>
      <c r="Z384" s="236">
        <f t="shared" ca="1" si="253"/>
        <v>0</v>
      </c>
      <c r="AA384" s="241">
        <v>46177</v>
      </c>
      <c r="AF384" s="225">
        <f t="shared" ca="1" si="242"/>
        <v>46236</v>
      </c>
      <c r="AG384" s="225" t="b">
        <f t="shared" si="254"/>
        <v>0</v>
      </c>
      <c r="AH384" s="242"/>
      <c r="AS384" s="223">
        <f t="shared" si="263"/>
        <v>6</v>
      </c>
      <c r="AT384" s="223">
        <f t="shared" si="264"/>
        <v>2026</v>
      </c>
    </row>
    <row r="385" spans="2:46" ht="15.75" x14ac:dyDescent="0.25">
      <c r="B385" s="229" t="s">
        <v>540</v>
      </c>
      <c r="C385" s="235" t="s">
        <v>92</v>
      </c>
      <c r="D385" s="243">
        <v>600</v>
      </c>
      <c r="E385" s="232" t="s">
        <v>4</v>
      </c>
      <c r="F385" s="233">
        <v>2.98</v>
      </c>
      <c r="G385" s="234">
        <v>46142</v>
      </c>
      <c r="H385" s="235" t="s">
        <v>26</v>
      </c>
      <c r="I385" s="235"/>
      <c r="J385" s="236">
        <v>7.0000000000000007E-2</v>
      </c>
      <c r="K385" s="237">
        <f ca="1">ROUND(IF(ISERROR(OFFSET(Tabella!$A$1,MATCH(H385,Tabella!$A:$A,0)-1,MATCH(J385,Tabella!$A$1:$AC$1,0)-1)=TRUE),0,+OFFSET(Tabella!$A$1,MATCH(H385,Tabella!$A:$A,0)-1,MATCH(J385,Tabella!$A$1:$AC$1,0)-1)),4)</f>
        <v>1.25</v>
      </c>
      <c r="L385" s="238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238">
        <f ca="1">ROUND(IF(ISERROR(OFFSET(Rame!$A$1,MATCH(H385,Rame!$A:$A,0)-1,MATCH(J385,Rame!$A$1:$AA$1,0)-1)=TRUE),0,OFFSET(Rame!$A$1,MATCH(H385,Rame!$A:$A,0)-1,MATCH(J385,Rame!$A$1:$AA$1,0)-1))*IF(E385="Rame",1,0),4)</f>
        <v>0</v>
      </c>
      <c r="N385" s="238">
        <v>0</v>
      </c>
      <c r="O385" s="238">
        <v>1.73</v>
      </c>
      <c r="P385" s="238">
        <f ca="1">ROUND(+IF(ISERROR(OFFSET(Tabella!$G$1,MATCH(H385,Tabella!$G:$G,0)-1,MATCH(I385,Tabella!$G$1:$FG$1,0)-1)=TRUE),0,OFFSET(Tabella!$G$1,MATCH(H385,Tabella!$G:$G,0)-1,MATCH(I385,Tabella!$G$1:$AB$1,0)-1)),4)</f>
        <v>0</v>
      </c>
      <c r="Q385" s="238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238">
        <f ca="1">ROUND(IF(ISERROR(OFFSET(Rame!$F$1,MATCH(H385,Rame!$F:$F,0)-1,MATCH(I385,Rame!$F$1:$FF$1,0)-1)=TRUE),0,OFFSET(Rame!$F$1,MATCH(H385,Rame!$F:$F,0)-1,MATCH(I385,Rame!$F$1:$FF$1,0)-1))*IF(E385="Rame",1,0),4)</f>
        <v>0</v>
      </c>
      <c r="S385" s="238">
        <f ca="1">ROUND(IF(ISERROR(OFFSET(Bronzo!$A$1,MATCH(H385,Bronzo!$A:$A,0)-1,MATCH(I385,Bronzo!$A$1:$AA$1,0)-1)=TRUE),0,OFFSET(Bronzo!$A$1,MATCH(H385,Bronzo!$A:$A,0)-1,MATCH(I385,Bronzo!$A$1:$AA$1,0)-1)),4)</f>
        <v>0</v>
      </c>
      <c r="T385" s="238">
        <f t="shared" ca="1" si="251"/>
        <v>0</v>
      </c>
      <c r="U385" s="237"/>
      <c r="V385" s="238">
        <v>0</v>
      </c>
      <c r="W385" s="239">
        <f t="shared" ca="1" si="252"/>
        <v>1.73</v>
      </c>
      <c r="X385" s="240">
        <f t="shared" si="250"/>
        <v>42</v>
      </c>
      <c r="Y385" s="236">
        <v>4.71</v>
      </c>
      <c r="Z385" s="236">
        <f t="shared" ca="1" si="253"/>
        <v>0</v>
      </c>
      <c r="AA385" s="241">
        <v>46177</v>
      </c>
      <c r="AF385" s="225">
        <f t="shared" ca="1" si="242"/>
        <v>46236</v>
      </c>
      <c r="AG385" s="225" t="b">
        <f t="shared" si="254"/>
        <v>0</v>
      </c>
      <c r="AH385" s="242"/>
      <c r="AS385" s="223">
        <f t="shared" si="263"/>
        <v>6</v>
      </c>
      <c r="AT385" s="223">
        <f t="shared" si="264"/>
        <v>2026</v>
      </c>
    </row>
    <row r="386" spans="2:46" ht="15.75" x14ac:dyDescent="0.25">
      <c r="B386" s="229" t="s">
        <v>540</v>
      </c>
      <c r="C386" s="235" t="s">
        <v>92</v>
      </c>
      <c r="D386" s="243">
        <v>500</v>
      </c>
      <c r="E386" s="232" t="s">
        <v>4</v>
      </c>
      <c r="F386" s="233">
        <v>2.98</v>
      </c>
      <c r="G386" s="234">
        <v>46142</v>
      </c>
      <c r="H386" s="235" t="s">
        <v>28</v>
      </c>
      <c r="I386" s="235"/>
      <c r="J386" s="236">
        <v>7.0000000000000007E-2</v>
      </c>
      <c r="K386" s="237">
        <f ca="1">ROUND(IF(ISERROR(OFFSET(Tabella!$A$1,MATCH(H386,Tabella!$A:$A,0)-1,MATCH(J386,Tabella!$A$1:$AC$1,0)-1)=TRUE),0,+OFFSET(Tabella!$A$1,MATCH(H386,Tabella!$A:$A,0)-1,MATCH(J386,Tabella!$A$1:$AC$1,0)-1)),4)</f>
        <v>1.25</v>
      </c>
      <c r="L386" s="238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238">
        <f ca="1">ROUND(IF(ISERROR(OFFSET(Rame!$A$1,MATCH(H386,Rame!$A:$A,0)-1,MATCH(J386,Rame!$A$1:$AA$1,0)-1)=TRUE),0,OFFSET(Rame!$A$1,MATCH(H386,Rame!$A:$A,0)-1,MATCH(J386,Rame!$A$1:$AA$1,0)-1))*IF(E386="Rame",1,0),4)</f>
        <v>0</v>
      </c>
      <c r="N386" s="238">
        <v>0</v>
      </c>
      <c r="O386" s="238">
        <v>1.73</v>
      </c>
      <c r="P386" s="238">
        <f ca="1">ROUND(+IF(ISERROR(OFFSET(Tabella!$G$1,MATCH(H386,Tabella!$G:$G,0)-1,MATCH(I386,Tabella!$G$1:$FG$1,0)-1)=TRUE),0,OFFSET(Tabella!$G$1,MATCH(H386,Tabella!$G:$G,0)-1,MATCH(I386,Tabella!$G$1:$AB$1,0)-1)),4)</f>
        <v>0</v>
      </c>
      <c r="Q386" s="238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238">
        <f ca="1">ROUND(IF(ISERROR(OFFSET(Rame!$F$1,MATCH(H386,Rame!$F:$F,0)-1,MATCH(I386,Rame!$F$1:$FF$1,0)-1)=TRUE),0,OFFSET(Rame!$F$1,MATCH(H386,Rame!$F:$F,0)-1,MATCH(I386,Rame!$F$1:$FF$1,0)-1))*IF(E386="Rame",1,0),4)</f>
        <v>0</v>
      </c>
      <c r="S386" s="238">
        <f ca="1">ROUND(IF(ISERROR(OFFSET(Bronzo!$A$1,MATCH(H386,Bronzo!$A:$A,0)-1,MATCH(I386,Bronzo!$A$1:$AA$1,0)-1)=TRUE),0,OFFSET(Bronzo!$A$1,MATCH(H386,Bronzo!$A:$A,0)-1,MATCH(I386,Bronzo!$A$1:$AA$1,0)-1)),4)</f>
        <v>0</v>
      </c>
      <c r="T386" s="238">
        <f t="shared" ca="1" si="251"/>
        <v>0</v>
      </c>
      <c r="U386" s="237"/>
      <c r="V386" s="238">
        <v>0</v>
      </c>
      <c r="W386" s="239">
        <f t="shared" ca="1" si="252"/>
        <v>1.73</v>
      </c>
      <c r="X386" s="240">
        <f t="shared" si="250"/>
        <v>35</v>
      </c>
      <c r="Y386" s="236">
        <v>4.71</v>
      </c>
      <c r="Z386" s="236">
        <f t="shared" ca="1" si="253"/>
        <v>0</v>
      </c>
      <c r="AA386" s="241">
        <v>46177</v>
      </c>
      <c r="AF386" s="225">
        <f t="shared" ca="1" si="242"/>
        <v>46236</v>
      </c>
      <c r="AG386" s="225" t="b">
        <f t="shared" si="254"/>
        <v>0</v>
      </c>
      <c r="AH386" s="242"/>
      <c r="AS386" s="223">
        <f t="shared" si="263"/>
        <v>6</v>
      </c>
      <c r="AT386" s="223">
        <f t="shared" si="264"/>
        <v>2026</v>
      </c>
    </row>
    <row r="387" spans="2:46" ht="15.75" x14ac:dyDescent="0.25">
      <c r="B387" s="229" t="s">
        <v>536</v>
      </c>
      <c r="C387" s="235" t="s">
        <v>297</v>
      </c>
      <c r="D387" s="243">
        <v>300</v>
      </c>
      <c r="E387" s="232" t="s">
        <v>4</v>
      </c>
      <c r="F387" s="233">
        <v>2.98</v>
      </c>
      <c r="G387" s="234">
        <v>46142</v>
      </c>
      <c r="H387" s="235" t="s">
        <v>9</v>
      </c>
      <c r="I387" s="235"/>
      <c r="J387" s="236">
        <v>0.1</v>
      </c>
      <c r="K387" s="237">
        <f ca="1">ROUND(IF(ISERROR(OFFSET(Tabella!$A$1,MATCH(H387,Tabella!$A:$A,0)-1,MATCH(J387,Tabella!$A$1:$AC$1,0)-1)=TRUE),0,+OFFSET(Tabella!$A$1,MATCH(H387,Tabella!$A:$A,0)-1,MATCH(J387,Tabella!$A$1:$AC$1,0)-1)),4)</f>
        <v>1.75</v>
      </c>
      <c r="L387" s="238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238">
        <f ca="1">ROUND(IF(ISERROR(OFFSET(Rame!$A$1,MATCH(H387,Rame!$A:$A,0)-1,MATCH(J387,Rame!$A$1:$AA$1,0)-1)=TRUE),0,OFFSET(Rame!$A$1,MATCH(H387,Rame!$A:$A,0)-1,MATCH(J387,Rame!$A$1:$AA$1,0)-1))*IF(E387="Rame",1,0),4)</f>
        <v>0</v>
      </c>
      <c r="N387" s="238">
        <v>0</v>
      </c>
      <c r="O387" s="238">
        <v>2.13</v>
      </c>
      <c r="P387" s="238">
        <f ca="1">ROUND(+IF(ISERROR(OFFSET(Tabella!$G$1,MATCH(H387,Tabella!$G:$G,0)-1,MATCH(I387,Tabella!$G$1:$FG$1,0)-1)=TRUE),0,OFFSET(Tabella!$G$1,MATCH(H387,Tabella!$G:$G,0)-1,MATCH(I387,Tabella!$G$1:$AB$1,0)-1)),4)</f>
        <v>0</v>
      </c>
      <c r="Q387" s="238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238">
        <f ca="1">ROUND(IF(ISERROR(OFFSET(Rame!$F$1,MATCH(H387,Rame!$F:$F,0)-1,MATCH(I387,Rame!$F$1:$FF$1,0)-1)=TRUE),0,OFFSET(Rame!$F$1,MATCH(H387,Rame!$F:$F,0)-1,MATCH(I387,Rame!$F$1:$FF$1,0)-1))*IF(E387="Rame",1,0),4)</f>
        <v>0</v>
      </c>
      <c r="S387" s="238">
        <f ca="1">ROUND(IF(ISERROR(OFFSET(Bronzo!$A$1,MATCH(H387,Bronzo!$A:$A,0)-1,MATCH(I387,Bronzo!$A$1:$AA$1,0)-1)=TRUE),0,OFFSET(Bronzo!$A$1,MATCH(H387,Bronzo!$A:$A,0)-1,MATCH(I387,Bronzo!$A$1:$AA$1,0)-1)),4)</f>
        <v>0</v>
      </c>
      <c r="T387" s="238">
        <f t="shared" ca="1" si="251"/>
        <v>0</v>
      </c>
      <c r="U387" s="237"/>
      <c r="V387" s="238">
        <v>0</v>
      </c>
      <c r="W387" s="239">
        <f t="shared" ca="1" si="252"/>
        <v>2.13</v>
      </c>
      <c r="X387" s="240">
        <f t="shared" si="250"/>
        <v>30</v>
      </c>
      <c r="Y387" s="236">
        <v>5.16</v>
      </c>
      <c r="Z387" s="236">
        <f t="shared" ca="1" si="253"/>
        <v>0.05</v>
      </c>
      <c r="AA387" s="241">
        <v>46164</v>
      </c>
      <c r="AF387" s="225">
        <f t="shared" ca="1" si="242"/>
        <v>46236</v>
      </c>
      <c r="AG387" s="225" t="b">
        <f t="shared" si="254"/>
        <v>0</v>
      </c>
      <c r="AH387" s="242"/>
      <c r="AS387" s="223">
        <f t="shared" si="263"/>
        <v>5</v>
      </c>
      <c r="AT387" s="223">
        <f t="shared" si="264"/>
        <v>2026</v>
      </c>
    </row>
    <row r="388" spans="2:46" ht="15.75" x14ac:dyDescent="0.25">
      <c r="B388" s="229" t="s">
        <v>535</v>
      </c>
      <c r="C388" s="235" t="s">
        <v>263</v>
      </c>
      <c r="D388" s="243">
        <v>550</v>
      </c>
      <c r="E388" s="232" t="s">
        <v>4</v>
      </c>
      <c r="F388" s="233">
        <v>2.88</v>
      </c>
      <c r="G388" s="234">
        <v>46142</v>
      </c>
      <c r="H388" s="235" t="s">
        <v>21</v>
      </c>
      <c r="I388" s="235"/>
      <c r="J388" s="236">
        <v>7.0000000000000007E-2</v>
      </c>
      <c r="K388" s="237">
        <f ca="1">ROUND(IF(ISERROR(OFFSET(Tabella!$A$1,MATCH(H388,Tabella!$A:$A,0)-1,MATCH(J388,Tabella!$A$1:$AC$1,0)-1)=TRUE),0,+OFFSET(Tabella!$A$1,MATCH(H388,Tabella!$A:$A,0)-1,MATCH(J388,Tabella!$A$1:$AC$1,0)-1)),4)</f>
        <v>1.25</v>
      </c>
      <c r="L388" s="238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238">
        <f ca="1">ROUND(IF(ISERROR(OFFSET(Rame!$A$1,MATCH(H388,Rame!$A:$A,0)-1,MATCH(J388,Rame!$A$1:$AA$1,0)-1)=TRUE),0,OFFSET(Rame!$A$1,MATCH(H388,Rame!$A:$A,0)-1,MATCH(J388,Rame!$A$1:$AA$1,0)-1))*IF(E388="Rame",1,0),4)</f>
        <v>0</v>
      </c>
      <c r="N388" s="238">
        <v>0</v>
      </c>
      <c r="O388" s="238">
        <v>1.73</v>
      </c>
      <c r="P388" s="238">
        <f ca="1">ROUND(+IF(ISERROR(OFFSET(Tabella!$G$1,MATCH(H388,Tabella!$G:$G,0)-1,MATCH(I388,Tabella!$G$1:$FG$1,0)-1)=TRUE),0,OFFSET(Tabella!$G$1,MATCH(H388,Tabella!$G:$G,0)-1,MATCH(I388,Tabella!$G$1:$AB$1,0)-1)),4)</f>
        <v>0</v>
      </c>
      <c r="Q388" s="238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238">
        <f ca="1">ROUND(IF(ISERROR(OFFSET(Rame!$F$1,MATCH(H388,Rame!$F:$F,0)-1,MATCH(I388,Rame!$F$1:$FF$1,0)-1)=TRUE),0,OFFSET(Rame!$F$1,MATCH(H388,Rame!$F:$F,0)-1,MATCH(I388,Rame!$F$1:$FF$1,0)-1))*IF(E388="Rame",1,0),4)</f>
        <v>0</v>
      </c>
      <c r="S388" s="238">
        <f ca="1">ROUND(IF(ISERROR(OFFSET(Bronzo!$A$1,MATCH(H388,Bronzo!$A:$A,0)-1,MATCH(I388,Bronzo!$A$1:$AA$1,0)-1)=TRUE),0,OFFSET(Bronzo!$A$1,MATCH(H388,Bronzo!$A:$A,0)-1,MATCH(I388,Bronzo!$A$1:$AA$1,0)-1)),4)</f>
        <v>0</v>
      </c>
      <c r="T388" s="238">
        <f t="shared" ca="1" si="251"/>
        <v>0</v>
      </c>
      <c r="U388" s="237"/>
      <c r="V388" s="238">
        <v>0</v>
      </c>
      <c r="W388" s="239">
        <f t="shared" ca="1" si="252"/>
        <v>1.73</v>
      </c>
      <c r="X388" s="240">
        <f t="shared" si="250"/>
        <v>38.5</v>
      </c>
      <c r="Y388" s="236">
        <v>4.5599999999999996</v>
      </c>
      <c r="Z388" s="236">
        <f t="shared" ca="1" si="253"/>
        <v>-0.05</v>
      </c>
      <c r="AA388" s="241">
        <v>46196</v>
      </c>
      <c r="AF388" s="225">
        <f t="shared" ca="1" si="242"/>
        <v>46236</v>
      </c>
      <c r="AG388" s="225" t="b">
        <f t="shared" si="254"/>
        <v>0</v>
      </c>
      <c r="AH388" s="242"/>
      <c r="AS388" s="223">
        <f t="shared" si="263"/>
        <v>6</v>
      </c>
      <c r="AT388" s="223">
        <f t="shared" si="264"/>
        <v>2026</v>
      </c>
    </row>
    <row r="389" spans="2:46" ht="15.75" x14ac:dyDescent="0.25">
      <c r="B389" s="229" t="s">
        <v>535</v>
      </c>
      <c r="C389" s="235" t="s">
        <v>263</v>
      </c>
      <c r="D389" s="243">
        <v>1000</v>
      </c>
      <c r="E389" s="232" t="s">
        <v>4</v>
      </c>
      <c r="F389" s="233">
        <v>2.88</v>
      </c>
      <c r="G389" s="234">
        <v>46142</v>
      </c>
      <c r="H389" s="235" t="s">
        <v>22</v>
      </c>
      <c r="I389" s="235"/>
      <c r="J389" s="236">
        <v>7.0000000000000007E-2</v>
      </c>
      <c r="K389" s="237">
        <f ca="1">ROUND(IF(ISERROR(OFFSET(Tabella!$A$1,MATCH(H389,Tabella!$A:$A,0)-1,MATCH(J389,Tabella!$A$1:$AC$1,0)-1)=TRUE),0,+OFFSET(Tabella!$A$1,MATCH(H389,Tabella!$A:$A,0)-1,MATCH(J389,Tabella!$A$1:$AC$1,0)-1)),4)</f>
        <v>1.25</v>
      </c>
      <c r="L389" s="238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238">
        <f ca="1">ROUND(IF(ISERROR(OFFSET(Rame!$A$1,MATCH(H389,Rame!$A:$A,0)-1,MATCH(J389,Rame!$A$1:$AA$1,0)-1)=TRUE),0,OFFSET(Rame!$A$1,MATCH(H389,Rame!$A:$A,0)-1,MATCH(J389,Rame!$A$1:$AA$1,0)-1))*IF(E389="Rame",1,0),4)</f>
        <v>0</v>
      </c>
      <c r="N389" s="238">
        <v>0</v>
      </c>
      <c r="O389" s="238">
        <v>1.73</v>
      </c>
      <c r="P389" s="238">
        <f ca="1">ROUND(+IF(ISERROR(OFFSET(Tabella!$G$1,MATCH(H389,Tabella!$G:$G,0)-1,MATCH(I389,Tabella!$G$1:$FG$1,0)-1)=TRUE),0,OFFSET(Tabella!$G$1,MATCH(H389,Tabella!$G:$G,0)-1,MATCH(I389,Tabella!$G$1:$AB$1,0)-1)),4)</f>
        <v>0</v>
      </c>
      <c r="Q389" s="238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238">
        <f ca="1">ROUND(IF(ISERROR(OFFSET(Rame!$F$1,MATCH(H389,Rame!$F:$F,0)-1,MATCH(I389,Rame!$F$1:$FF$1,0)-1)=TRUE),0,OFFSET(Rame!$F$1,MATCH(H389,Rame!$F:$F,0)-1,MATCH(I389,Rame!$F$1:$FF$1,0)-1))*IF(E389="Rame",1,0),4)</f>
        <v>0</v>
      </c>
      <c r="S389" s="238">
        <f ca="1">ROUND(IF(ISERROR(OFFSET(Bronzo!$A$1,MATCH(H389,Bronzo!$A:$A,0)-1,MATCH(I389,Bronzo!$A$1:$AA$1,0)-1)=TRUE),0,OFFSET(Bronzo!$A$1,MATCH(H389,Bronzo!$A:$A,0)-1,MATCH(I389,Bronzo!$A$1:$AA$1,0)-1)),4)</f>
        <v>0</v>
      </c>
      <c r="T389" s="238">
        <f t="shared" ca="1" si="251"/>
        <v>0</v>
      </c>
      <c r="U389" s="237"/>
      <c r="V389" s="238">
        <v>0</v>
      </c>
      <c r="W389" s="239">
        <f t="shared" ca="1" si="252"/>
        <v>1.73</v>
      </c>
      <c r="X389" s="240">
        <f t="shared" si="250"/>
        <v>70</v>
      </c>
      <c r="Y389" s="236">
        <v>4.5599999999999996</v>
      </c>
      <c r="Z389" s="236">
        <f t="shared" ca="1" si="253"/>
        <v>-0.05</v>
      </c>
      <c r="AA389" s="241">
        <v>46168</v>
      </c>
      <c r="AF389" s="225">
        <f t="shared" ref="AF389:AF452" ca="1" si="265">TODAY()</f>
        <v>46236</v>
      </c>
      <c r="AG389" s="225" t="b">
        <f t="shared" si="254"/>
        <v>0</v>
      </c>
      <c r="AH389" s="242"/>
      <c r="AS389" s="223">
        <f t="shared" si="263"/>
        <v>5</v>
      </c>
      <c r="AT389" s="223">
        <f t="shared" si="264"/>
        <v>2026</v>
      </c>
    </row>
    <row r="390" spans="2:46" ht="15.75" x14ac:dyDescent="0.25">
      <c r="B390" s="229" t="s">
        <v>535</v>
      </c>
      <c r="C390" s="235" t="s">
        <v>263</v>
      </c>
      <c r="D390" s="243">
        <v>500</v>
      </c>
      <c r="E390" s="232" t="s">
        <v>4</v>
      </c>
      <c r="F390" s="233">
        <v>2.88</v>
      </c>
      <c r="G390" s="234">
        <v>46142</v>
      </c>
      <c r="H390" s="235" t="s">
        <v>9</v>
      </c>
      <c r="I390" s="235"/>
      <c r="J390" s="236">
        <v>7.0000000000000007E-2</v>
      </c>
      <c r="K390" s="237">
        <f ca="1">ROUND(IF(ISERROR(OFFSET(Tabella!$A$1,MATCH(H390,Tabella!$A:$A,0)-1,MATCH(J390,Tabella!$A$1:$AC$1,0)-1)=TRUE),0,+OFFSET(Tabella!$A$1,MATCH(H390,Tabella!$A:$A,0)-1,MATCH(J390,Tabella!$A$1:$AC$1,0)-1)),4)</f>
        <v>1.6</v>
      </c>
      <c r="L390" s="238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238">
        <f ca="1">ROUND(IF(ISERROR(OFFSET(Rame!$A$1,MATCH(H390,Rame!$A:$A,0)-1,MATCH(J390,Rame!$A$1:$AA$1,0)-1)=TRUE),0,OFFSET(Rame!$A$1,MATCH(H390,Rame!$A:$A,0)-1,MATCH(J390,Rame!$A$1:$AA$1,0)-1))*IF(E390="Rame",1,0),4)</f>
        <v>0</v>
      </c>
      <c r="N390" s="238">
        <v>0</v>
      </c>
      <c r="O390" s="238">
        <v>2.0299999999999998</v>
      </c>
      <c r="P390" s="238">
        <f ca="1">ROUND(+IF(ISERROR(OFFSET(Tabella!$G$1,MATCH(H390,Tabella!$G:$G,0)-1,MATCH(I390,Tabella!$G$1:$FG$1,0)-1)=TRUE),0,OFFSET(Tabella!$G$1,MATCH(H390,Tabella!$G:$G,0)-1,MATCH(I390,Tabella!$G$1:$AB$1,0)-1)),4)</f>
        <v>0</v>
      </c>
      <c r="Q390" s="238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238">
        <f ca="1">ROUND(IF(ISERROR(OFFSET(Rame!$F$1,MATCH(H390,Rame!$F:$F,0)-1,MATCH(I390,Rame!$F$1:$FF$1,0)-1)=TRUE),0,OFFSET(Rame!$F$1,MATCH(H390,Rame!$F:$F,0)-1,MATCH(I390,Rame!$F$1:$FF$1,0)-1))*IF(E390="Rame",1,0),4)</f>
        <v>0</v>
      </c>
      <c r="S390" s="238">
        <f ca="1">ROUND(IF(ISERROR(OFFSET(Bronzo!$A$1,MATCH(H390,Bronzo!$A:$A,0)-1,MATCH(I390,Bronzo!$A$1:$AA$1,0)-1)=TRUE),0,OFFSET(Bronzo!$A$1,MATCH(H390,Bronzo!$A:$A,0)-1,MATCH(I390,Bronzo!$A$1:$AA$1,0)-1)),4)</f>
        <v>0</v>
      </c>
      <c r="T390" s="238">
        <f t="shared" ca="1" si="251"/>
        <v>0</v>
      </c>
      <c r="U390" s="237"/>
      <c r="V390" s="238">
        <v>0</v>
      </c>
      <c r="W390" s="239">
        <f t="shared" ca="1" si="252"/>
        <v>2.0299999999999998</v>
      </c>
      <c r="X390" s="240">
        <f t="shared" si="250"/>
        <v>35</v>
      </c>
      <c r="Y390" s="236">
        <v>4.8600000000000003</v>
      </c>
      <c r="Z390" s="236">
        <f t="shared" ca="1" si="253"/>
        <v>-0.05</v>
      </c>
      <c r="AA390" s="241">
        <v>46168</v>
      </c>
      <c r="AF390" s="225">
        <f t="shared" ca="1" si="265"/>
        <v>46236</v>
      </c>
      <c r="AG390" s="225" t="b">
        <f t="shared" si="254"/>
        <v>0</v>
      </c>
      <c r="AH390" s="242"/>
      <c r="AS390" s="223">
        <f t="shared" si="263"/>
        <v>5</v>
      </c>
      <c r="AT390" s="223">
        <f t="shared" si="264"/>
        <v>2026</v>
      </c>
    </row>
    <row r="391" spans="2:46" ht="15.75" x14ac:dyDescent="0.25">
      <c r="B391" s="229" t="s">
        <v>535</v>
      </c>
      <c r="C391" s="235" t="s">
        <v>263</v>
      </c>
      <c r="D391" s="243">
        <v>750</v>
      </c>
      <c r="E391" s="232" t="s">
        <v>4</v>
      </c>
      <c r="F391" s="233">
        <v>2.88</v>
      </c>
      <c r="G391" s="234">
        <v>46142</v>
      </c>
      <c r="H391" s="235" t="s">
        <v>309</v>
      </c>
      <c r="I391" s="235"/>
      <c r="J391" s="236">
        <v>7.0000000000000007E-2</v>
      </c>
      <c r="K391" s="237">
        <f ca="1">ROUND(IF(ISERROR(OFFSET(Tabella!$A$1,MATCH(H391,Tabella!$A:$A,0)-1,MATCH(J391,Tabella!$A$1:$AC$1,0)-1)=TRUE),0,+OFFSET(Tabella!$A$1,MATCH(H391,Tabella!$A:$A,0)-1,MATCH(J391,Tabella!$A$1:$AC$1,0)-1)),4)</f>
        <v>1.25</v>
      </c>
      <c r="L391" s="238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238">
        <f ca="1">ROUND(IF(ISERROR(OFFSET(Rame!$A$1,MATCH(H391,Rame!$A:$A,0)-1,MATCH(J391,Rame!$A$1:$AA$1,0)-1)=TRUE),0,OFFSET(Rame!$A$1,MATCH(H391,Rame!$A:$A,0)-1,MATCH(J391,Rame!$A$1:$AA$1,0)-1))*IF(E391="Rame",1,0),4)</f>
        <v>0</v>
      </c>
      <c r="N391" s="238">
        <v>0</v>
      </c>
      <c r="O391" s="238">
        <v>1.73</v>
      </c>
      <c r="P391" s="238">
        <f ca="1">ROUND(+IF(ISERROR(OFFSET(Tabella!$G$1,MATCH(H391,Tabella!$G:$G,0)-1,MATCH(I391,Tabella!$G$1:$FG$1,0)-1)=TRUE),0,OFFSET(Tabella!$G$1,MATCH(H391,Tabella!$G:$G,0)-1,MATCH(I391,Tabella!$G$1:$AB$1,0)-1)),4)</f>
        <v>0</v>
      </c>
      <c r="Q391" s="238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238">
        <f ca="1">ROUND(IF(ISERROR(OFFSET(Rame!$F$1,MATCH(H391,Rame!$F:$F,0)-1,MATCH(I391,Rame!$F$1:$FF$1,0)-1)=TRUE),0,OFFSET(Rame!$F$1,MATCH(H391,Rame!$F:$F,0)-1,MATCH(I391,Rame!$F$1:$FF$1,0)-1))*IF(E391="Rame",1,0),4)</f>
        <v>0</v>
      </c>
      <c r="S391" s="238">
        <f ca="1">ROUND(IF(ISERROR(OFFSET(Bronzo!$A$1,MATCH(H391,Bronzo!$A:$A,0)-1,MATCH(I391,Bronzo!$A$1:$AA$1,0)-1)=TRUE),0,OFFSET(Bronzo!$A$1,MATCH(H391,Bronzo!$A:$A,0)-1,MATCH(I391,Bronzo!$A$1:$AA$1,0)-1)),4)</f>
        <v>0</v>
      </c>
      <c r="T391" s="238">
        <f t="shared" ca="1" si="251"/>
        <v>0</v>
      </c>
      <c r="U391" s="237"/>
      <c r="V391" s="238">
        <v>0</v>
      </c>
      <c r="W391" s="239">
        <f t="shared" ca="1" si="252"/>
        <v>1.73</v>
      </c>
      <c r="X391" s="240">
        <f t="shared" si="250"/>
        <v>52.5</v>
      </c>
      <c r="Y391" s="236">
        <v>4.5599999999999996</v>
      </c>
      <c r="Z391" s="236">
        <f t="shared" ca="1" si="253"/>
        <v>-0.05</v>
      </c>
      <c r="AA391" s="241">
        <v>46199</v>
      </c>
      <c r="AF391" s="225">
        <f t="shared" ca="1" si="265"/>
        <v>46236</v>
      </c>
      <c r="AG391" s="225" t="b">
        <f t="shared" si="254"/>
        <v>0</v>
      </c>
      <c r="AH391" s="242"/>
      <c r="AS391" s="223">
        <f t="shared" si="263"/>
        <v>6</v>
      </c>
      <c r="AT391" s="223">
        <f t="shared" si="264"/>
        <v>2026</v>
      </c>
    </row>
    <row r="392" spans="2:46" ht="15.75" x14ac:dyDescent="0.25">
      <c r="B392" s="229" t="s">
        <v>535</v>
      </c>
      <c r="C392" s="235" t="s">
        <v>263</v>
      </c>
      <c r="D392" s="243">
        <v>100</v>
      </c>
      <c r="E392" s="232" t="s">
        <v>4</v>
      </c>
      <c r="F392" s="233">
        <v>2.88</v>
      </c>
      <c r="G392" s="234">
        <v>46142</v>
      </c>
      <c r="H392" s="235" t="s">
        <v>9</v>
      </c>
      <c r="I392" s="235"/>
      <c r="J392" s="236">
        <v>7.0000000000000007E-2</v>
      </c>
      <c r="K392" s="237">
        <f ca="1">ROUND(IF(ISERROR(OFFSET(Tabella!$A$1,MATCH(H392,Tabella!$A:$A,0)-1,MATCH(J392,Tabella!$A$1:$AC$1,0)-1)=TRUE),0,+OFFSET(Tabella!$A$1,MATCH(H392,Tabella!$A:$A,0)-1,MATCH(J392,Tabella!$A$1:$AC$1,0)-1)),4)</f>
        <v>1.6</v>
      </c>
      <c r="L392" s="238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238">
        <f ca="1">ROUND(IF(ISERROR(OFFSET(Rame!$A$1,MATCH(H392,Rame!$A:$A,0)-1,MATCH(J392,Rame!$A$1:$AA$1,0)-1)=TRUE),0,OFFSET(Rame!$A$1,MATCH(H392,Rame!$A:$A,0)-1,MATCH(J392,Rame!$A$1:$AA$1,0)-1))*IF(E392="Rame",1,0),4)</f>
        <v>0</v>
      </c>
      <c r="N392" s="238">
        <v>0</v>
      </c>
      <c r="O392" s="238">
        <v>2.0299999999999998</v>
      </c>
      <c r="P392" s="238">
        <f ca="1">ROUND(+IF(ISERROR(OFFSET(Tabella!$G$1,MATCH(H392,Tabella!$G:$G,0)-1,MATCH(I392,Tabella!$G$1:$FG$1,0)-1)=TRUE),0,OFFSET(Tabella!$G$1,MATCH(H392,Tabella!$G:$G,0)-1,MATCH(I392,Tabella!$G$1:$AB$1,0)-1)),4)</f>
        <v>0</v>
      </c>
      <c r="Q392" s="238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238">
        <f ca="1">ROUND(IF(ISERROR(OFFSET(Rame!$F$1,MATCH(H392,Rame!$F:$F,0)-1,MATCH(I392,Rame!$F$1:$FF$1,0)-1)=TRUE),0,OFFSET(Rame!$F$1,MATCH(H392,Rame!$F:$F,0)-1,MATCH(I392,Rame!$F$1:$FF$1,0)-1))*IF(E392="Rame",1,0),4)</f>
        <v>0</v>
      </c>
      <c r="S392" s="238">
        <f ca="1">ROUND(IF(ISERROR(OFFSET(Bronzo!$A$1,MATCH(H392,Bronzo!$A:$A,0)-1,MATCH(I392,Bronzo!$A$1:$AA$1,0)-1)=TRUE),0,OFFSET(Bronzo!$A$1,MATCH(H392,Bronzo!$A:$A,0)-1,MATCH(I392,Bronzo!$A$1:$AA$1,0)-1)),4)</f>
        <v>0</v>
      </c>
      <c r="T392" s="238">
        <f t="shared" ca="1" si="251"/>
        <v>0</v>
      </c>
      <c r="U392" s="237"/>
      <c r="V392" s="238">
        <v>0</v>
      </c>
      <c r="W392" s="239">
        <f t="shared" ca="1" si="252"/>
        <v>2.0299999999999998</v>
      </c>
      <c r="X392" s="240">
        <f t="shared" si="250"/>
        <v>7</v>
      </c>
      <c r="Y392" s="236">
        <v>4.8600000000000003</v>
      </c>
      <c r="Z392" s="236">
        <f t="shared" ca="1" si="253"/>
        <v>-0.05</v>
      </c>
      <c r="AA392" s="241">
        <v>46168</v>
      </c>
      <c r="AF392" s="225">
        <f t="shared" ca="1" si="265"/>
        <v>46236</v>
      </c>
      <c r="AG392" s="225" t="b">
        <f t="shared" si="254"/>
        <v>0</v>
      </c>
      <c r="AH392" s="242"/>
      <c r="AS392" s="223">
        <f t="shared" si="263"/>
        <v>5</v>
      </c>
      <c r="AT392" s="223">
        <f t="shared" si="264"/>
        <v>2026</v>
      </c>
    </row>
    <row r="393" spans="2:46" ht="15.75" x14ac:dyDescent="0.25">
      <c r="B393" s="229" t="s">
        <v>534</v>
      </c>
      <c r="C393" s="235" t="s">
        <v>263</v>
      </c>
      <c r="D393" s="243">
        <v>1500</v>
      </c>
      <c r="E393" s="232" t="s">
        <v>4</v>
      </c>
      <c r="F393" s="233">
        <v>2.88</v>
      </c>
      <c r="G393" s="234">
        <v>46142</v>
      </c>
      <c r="H393" s="235" t="s">
        <v>13</v>
      </c>
      <c r="I393" s="235"/>
      <c r="J393" s="236">
        <v>7.0000000000000007E-2</v>
      </c>
      <c r="K393" s="237">
        <f ca="1">ROUND(IF(ISERROR(OFFSET(Tabella!$A$1,MATCH(H393,Tabella!$A:$A,0)-1,MATCH(J393,Tabella!$A$1:$AC$1,0)-1)=TRUE),0,+OFFSET(Tabella!$A$1,MATCH(H393,Tabella!$A:$A,0)-1,MATCH(J393,Tabella!$A$1:$AC$1,0)-1)),4)</f>
        <v>1.4</v>
      </c>
      <c r="L393" s="238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238">
        <f ca="1">ROUND(IF(ISERROR(OFFSET(Rame!$A$1,MATCH(H393,Rame!$A:$A,0)-1,MATCH(J393,Rame!$A$1:$AA$1,0)-1)=TRUE),0,OFFSET(Rame!$A$1,MATCH(H393,Rame!$A:$A,0)-1,MATCH(J393,Rame!$A$1:$AA$1,0)-1))*IF(E393="Rame",1,0),4)</f>
        <v>0</v>
      </c>
      <c r="N393" s="238">
        <v>0</v>
      </c>
      <c r="O393" s="238">
        <v>1.88</v>
      </c>
      <c r="P393" s="238">
        <f ca="1">ROUND(+IF(ISERROR(OFFSET(Tabella!$G$1,MATCH(H393,Tabella!$G:$G,0)-1,MATCH(I393,Tabella!$G$1:$FG$1,0)-1)=TRUE),0,OFFSET(Tabella!$G$1,MATCH(H393,Tabella!$G:$G,0)-1,MATCH(I393,Tabella!$G$1:$AB$1,0)-1)),4)</f>
        <v>0</v>
      </c>
      <c r="Q393" s="238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238">
        <f ca="1">ROUND(IF(ISERROR(OFFSET(Rame!$F$1,MATCH(H393,Rame!$F:$F,0)-1,MATCH(I393,Rame!$F$1:$FF$1,0)-1)=TRUE),0,OFFSET(Rame!$F$1,MATCH(H393,Rame!$F:$F,0)-1,MATCH(I393,Rame!$F$1:$FF$1,0)-1))*IF(E393="Rame",1,0),4)</f>
        <v>0</v>
      </c>
      <c r="S393" s="238">
        <f ca="1">ROUND(IF(ISERROR(OFFSET(Bronzo!$A$1,MATCH(H393,Bronzo!$A:$A,0)-1,MATCH(I393,Bronzo!$A$1:$AA$1,0)-1)=TRUE),0,OFFSET(Bronzo!$A$1,MATCH(H393,Bronzo!$A:$A,0)-1,MATCH(I393,Bronzo!$A$1:$AA$1,0)-1)),4)</f>
        <v>0</v>
      </c>
      <c r="T393" s="238">
        <f t="shared" ca="1" si="251"/>
        <v>0</v>
      </c>
      <c r="U393" s="237"/>
      <c r="V393" s="238">
        <v>0</v>
      </c>
      <c r="W393" s="239">
        <f t="shared" ca="1" si="252"/>
        <v>1.88</v>
      </c>
      <c r="X393" s="240">
        <f t="shared" si="250"/>
        <v>105</v>
      </c>
      <c r="Y393" s="236">
        <v>4.71</v>
      </c>
      <c r="Z393" s="236">
        <f t="shared" ca="1" si="253"/>
        <v>-0.05</v>
      </c>
      <c r="AA393" s="241">
        <v>46182</v>
      </c>
      <c r="AF393" s="225">
        <f t="shared" ca="1" si="265"/>
        <v>46236</v>
      </c>
      <c r="AG393" s="225" t="b">
        <f t="shared" si="254"/>
        <v>0</v>
      </c>
      <c r="AH393" s="242"/>
      <c r="AS393" s="223">
        <f t="shared" si="263"/>
        <v>6</v>
      </c>
      <c r="AT393" s="223">
        <f t="shared" si="264"/>
        <v>2026</v>
      </c>
    </row>
    <row r="394" spans="2:46" ht="15.75" x14ac:dyDescent="0.25">
      <c r="B394" s="229" t="s">
        <v>534</v>
      </c>
      <c r="C394" s="235" t="s">
        <v>263</v>
      </c>
      <c r="D394" s="243">
        <v>1300</v>
      </c>
      <c r="E394" s="232" t="s">
        <v>4</v>
      </c>
      <c r="F394" s="233">
        <v>2.88</v>
      </c>
      <c r="G394" s="234">
        <v>46142</v>
      </c>
      <c r="H394" s="235" t="s">
        <v>25</v>
      </c>
      <c r="I394" s="235"/>
      <c r="J394" s="236">
        <v>7.0000000000000007E-2</v>
      </c>
      <c r="K394" s="237">
        <f ca="1">ROUND(IF(ISERROR(OFFSET(Tabella!$A$1,MATCH(H394,Tabella!$A:$A,0)-1,MATCH(J394,Tabella!$A$1:$AC$1,0)-1)=TRUE),0,+OFFSET(Tabella!$A$1,MATCH(H394,Tabella!$A:$A,0)-1,MATCH(J394,Tabella!$A$1:$AC$1,0)-1)),4)</f>
        <v>1.25</v>
      </c>
      <c r="L394" s="238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238">
        <f ca="1">ROUND(IF(ISERROR(OFFSET(Rame!$A$1,MATCH(H394,Rame!$A:$A,0)-1,MATCH(J394,Rame!$A$1:$AA$1,0)-1)=TRUE),0,OFFSET(Rame!$A$1,MATCH(H394,Rame!$A:$A,0)-1,MATCH(J394,Rame!$A$1:$AA$1,0)-1))*IF(E394="Rame",1,0),4)</f>
        <v>0</v>
      </c>
      <c r="N394" s="238">
        <v>0</v>
      </c>
      <c r="O394" s="238">
        <v>1.73</v>
      </c>
      <c r="P394" s="238">
        <f ca="1">ROUND(+IF(ISERROR(OFFSET(Tabella!$G$1,MATCH(H394,Tabella!$G:$G,0)-1,MATCH(I394,Tabella!$G$1:$FG$1,0)-1)=TRUE),0,OFFSET(Tabella!$G$1,MATCH(H394,Tabella!$G:$G,0)-1,MATCH(I394,Tabella!$G$1:$AB$1,0)-1)),4)</f>
        <v>0</v>
      </c>
      <c r="Q394" s="238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238">
        <f ca="1">ROUND(IF(ISERROR(OFFSET(Rame!$F$1,MATCH(H394,Rame!$F:$F,0)-1,MATCH(I394,Rame!$F$1:$FF$1,0)-1)=TRUE),0,OFFSET(Rame!$F$1,MATCH(H394,Rame!$F:$F,0)-1,MATCH(I394,Rame!$F$1:$FF$1,0)-1))*IF(E394="Rame",1,0),4)</f>
        <v>0</v>
      </c>
      <c r="S394" s="238">
        <f ca="1">ROUND(IF(ISERROR(OFFSET(Bronzo!$A$1,MATCH(H394,Bronzo!$A:$A,0)-1,MATCH(I394,Bronzo!$A$1:$AA$1,0)-1)=TRUE),0,OFFSET(Bronzo!$A$1,MATCH(H394,Bronzo!$A:$A,0)-1,MATCH(I394,Bronzo!$A$1:$AA$1,0)-1)),4)</f>
        <v>0</v>
      </c>
      <c r="T394" s="238">
        <f t="shared" ca="1" si="251"/>
        <v>0</v>
      </c>
      <c r="U394" s="237"/>
      <c r="V394" s="238">
        <v>0</v>
      </c>
      <c r="W394" s="239">
        <f t="shared" ca="1" si="252"/>
        <v>1.73</v>
      </c>
      <c r="X394" s="240">
        <f t="shared" si="250"/>
        <v>91</v>
      </c>
      <c r="Y394" s="236">
        <v>4.5599999999999996</v>
      </c>
      <c r="Z394" s="236">
        <f t="shared" ca="1" si="253"/>
        <v>-0.05</v>
      </c>
      <c r="AA394" s="241">
        <v>46182</v>
      </c>
      <c r="AF394" s="225">
        <f t="shared" ca="1" si="265"/>
        <v>46236</v>
      </c>
      <c r="AG394" s="225" t="b">
        <f t="shared" si="254"/>
        <v>0</v>
      </c>
      <c r="AH394" s="242"/>
      <c r="AS394" s="223">
        <f t="shared" si="263"/>
        <v>6</v>
      </c>
      <c r="AT394" s="223">
        <f t="shared" si="264"/>
        <v>2026</v>
      </c>
    </row>
    <row r="395" spans="2:46" ht="15.75" x14ac:dyDescent="0.25">
      <c r="B395" s="229" t="s">
        <v>534</v>
      </c>
      <c r="C395" s="235" t="s">
        <v>263</v>
      </c>
      <c r="D395" s="243">
        <v>4500</v>
      </c>
      <c r="E395" s="232" t="s">
        <v>4</v>
      </c>
      <c r="F395" s="233">
        <v>2.88</v>
      </c>
      <c r="G395" s="234">
        <v>46142</v>
      </c>
      <c r="H395" s="235" t="s">
        <v>15</v>
      </c>
      <c r="I395" s="235"/>
      <c r="J395" s="236">
        <v>7.0000000000000007E-2</v>
      </c>
      <c r="K395" s="237">
        <f ca="1">ROUND(IF(ISERROR(OFFSET(Tabella!$A$1,MATCH(H395,Tabella!$A:$A,0)-1,MATCH(J395,Tabella!$A$1:$AC$1,0)-1)=TRUE),0,+OFFSET(Tabella!$A$1,MATCH(H395,Tabella!$A:$A,0)-1,MATCH(J395,Tabella!$A$1:$AC$1,0)-1)),4)</f>
        <v>1.4</v>
      </c>
      <c r="L395" s="238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238">
        <f ca="1">ROUND(IF(ISERROR(OFFSET(Rame!$A$1,MATCH(H395,Rame!$A:$A,0)-1,MATCH(J395,Rame!$A$1:$AA$1,0)-1)=TRUE),0,OFFSET(Rame!$A$1,MATCH(H395,Rame!$A:$A,0)-1,MATCH(J395,Rame!$A$1:$AA$1,0)-1))*IF(E395="Rame",1,0),4)</f>
        <v>0</v>
      </c>
      <c r="N395" s="238">
        <v>0</v>
      </c>
      <c r="O395" s="238">
        <v>1.88</v>
      </c>
      <c r="P395" s="238">
        <f ca="1">ROUND(+IF(ISERROR(OFFSET(Tabella!$G$1,MATCH(H395,Tabella!$G:$G,0)-1,MATCH(I395,Tabella!$G$1:$FG$1,0)-1)=TRUE),0,OFFSET(Tabella!$G$1,MATCH(H395,Tabella!$G:$G,0)-1,MATCH(I395,Tabella!$G$1:$AB$1,0)-1)),4)</f>
        <v>0</v>
      </c>
      <c r="Q395" s="238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238">
        <f ca="1">ROUND(IF(ISERROR(OFFSET(Rame!$F$1,MATCH(H395,Rame!$F:$F,0)-1,MATCH(I395,Rame!$F$1:$FF$1,0)-1)=TRUE),0,OFFSET(Rame!$F$1,MATCH(H395,Rame!$F:$F,0)-1,MATCH(I395,Rame!$F$1:$FF$1,0)-1))*IF(E395="Rame",1,0),4)</f>
        <v>0</v>
      </c>
      <c r="S395" s="238">
        <f ca="1">ROUND(IF(ISERROR(OFFSET(Bronzo!$A$1,MATCH(H395,Bronzo!$A:$A,0)-1,MATCH(I395,Bronzo!$A$1:$AA$1,0)-1)=TRUE),0,OFFSET(Bronzo!$A$1,MATCH(H395,Bronzo!$A:$A,0)-1,MATCH(I395,Bronzo!$A$1:$AA$1,0)-1)),4)</f>
        <v>0</v>
      </c>
      <c r="T395" s="238">
        <f t="shared" ca="1" si="251"/>
        <v>0</v>
      </c>
      <c r="U395" s="237"/>
      <c r="V395" s="238">
        <v>0</v>
      </c>
      <c r="W395" s="239">
        <f t="shared" ca="1" si="252"/>
        <v>1.88</v>
      </c>
      <c r="X395" s="240">
        <f t="shared" si="250"/>
        <v>315</v>
      </c>
      <c r="Y395" s="236">
        <v>4.71</v>
      </c>
      <c r="Z395" s="236">
        <f t="shared" ca="1" si="253"/>
        <v>-0.05</v>
      </c>
      <c r="AA395" s="241">
        <v>46182</v>
      </c>
      <c r="AF395" s="225">
        <f t="shared" ca="1" si="265"/>
        <v>46236</v>
      </c>
      <c r="AG395" s="225" t="b">
        <f t="shared" si="254"/>
        <v>0</v>
      </c>
      <c r="AH395" s="242"/>
      <c r="AS395" s="223">
        <f t="shared" si="263"/>
        <v>6</v>
      </c>
      <c r="AT395" s="223">
        <f t="shared" si="264"/>
        <v>2026</v>
      </c>
    </row>
    <row r="396" spans="2:46" ht="15.75" x14ac:dyDescent="0.25">
      <c r="B396" s="229" t="s">
        <v>534</v>
      </c>
      <c r="C396" s="235" t="s">
        <v>263</v>
      </c>
      <c r="D396" s="243">
        <v>2000</v>
      </c>
      <c r="E396" s="232" t="s">
        <v>4</v>
      </c>
      <c r="F396" s="233">
        <v>2.88</v>
      </c>
      <c r="G396" s="234">
        <v>46142</v>
      </c>
      <c r="H396" s="235" t="s">
        <v>17</v>
      </c>
      <c r="I396" s="235"/>
      <c r="J396" s="236">
        <v>7.0000000000000007E-2</v>
      </c>
      <c r="K396" s="237">
        <f ca="1">ROUND(IF(ISERROR(OFFSET(Tabella!$A$1,MATCH(H396,Tabella!$A:$A,0)-1,MATCH(J396,Tabella!$A$1:$AC$1,0)-1)=TRUE),0,+OFFSET(Tabella!$A$1,MATCH(H396,Tabella!$A:$A,0)-1,MATCH(J396,Tabella!$A$1:$AC$1,0)-1)),4)</f>
        <v>1.4</v>
      </c>
      <c r="L396" s="238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238">
        <f ca="1">ROUND(IF(ISERROR(OFFSET(Rame!$A$1,MATCH(H396,Rame!$A:$A,0)-1,MATCH(J396,Rame!$A$1:$AA$1,0)-1)=TRUE),0,OFFSET(Rame!$A$1,MATCH(H396,Rame!$A:$A,0)-1,MATCH(J396,Rame!$A$1:$AA$1,0)-1))*IF(E396="Rame",1,0),4)</f>
        <v>0</v>
      </c>
      <c r="N396" s="238">
        <v>0</v>
      </c>
      <c r="O396" s="238">
        <v>1.83</v>
      </c>
      <c r="P396" s="238">
        <f ca="1">ROUND(+IF(ISERROR(OFFSET(Tabella!$G$1,MATCH(H396,Tabella!$G:$G,0)-1,MATCH(I396,Tabella!$G$1:$FG$1,0)-1)=TRUE),0,OFFSET(Tabella!$G$1,MATCH(H396,Tabella!$G:$G,0)-1,MATCH(I396,Tabella!$G$1:$AB$1,0)-1)),4)</f>
        <v>0</v>
      </c>
      <c r="Q396" s="238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238">
        <f ca="1">ROUND(IF(ISERROR(OFFSET(Rame!$F$1,MATCH(H396,Rame!$F:$F,0)-1,MATCH(I396,Rame!$F$1:$FF$1,0)-1)=TRUE),0,OFFSET(Rame!$F$1,MATCH(H396,Rame!$F:$F,0)-1,MATCH(I396,Rame!$F$1:$FF$1,0)-1))*IF(E396="Rame",1,0),4)</f>
        <v>0</v>
      </c>
      <c r="S396" s="238">
        <f ca="1">ROUND(IF(ISERROR(OFFSET(Bronzo!$A$1,MATCH(H396,Bronzo!$A:$A,0)-1,MATCH(I396,Bronzo!$A$1:$AA$1,0)-1)=TRUE),0,OFFSET(Bronzo!$A$1,MATCH(H396,Bronzo!$A:$A,0)-1,MATCH(I396,Bronzo!$A$1:$AA$1,0)-1)),4)</f>
        <v>0</v>
      </c>
      <c r="T396" s="238">
        <f t="shared" ca="1" si="251"/>
        <v>0</v>
      </c>
      <c r="U396" s="237"/>
      <c r="V396" s="238">
        <v>0</v>
      </c>
      <c r="W396" s="239">
        <f t="shared" ca="1" si="252"/>
        <v>1.83</v>
      </c>
      <c r="X396" s="240">
        <f t="shared" si="250"/>
        <v>140</v>
      </c>
      <c r="Y396" s="236">
        <v>4.66</v>
      </c>
      <c r="Z396" s="236">
        <f t="shared" ca="1" si="253"/>
        <v>-0.05</v>
      </c>
      <c r="AA396" s="241">
        <v>46182</v>
      </c>
      <c r="AF396" s="225">
        <f t="shared" ca="1" si="265"/>
        <v>46236</v>
      </c>
      <c r="AG396" s="225" t="b">
        <f t="shared" si="254"/>
        <v>0</v>
      </c>
      <c r="AH396" s="242"/>
      <c r="AS396" s="223">
        <f t="shared" si="263"/>
        <v>6</v>
      </c>
      <c r="AT396" s="223">
        <f t="shared" si="264"/>
        <v>2026</v>
      </c>
    </row>
    <row r="397" spans="2:46" ht="15.75" x14ac:dyDescent="0.25">
      <c r="B397" s="229" t="s">
        <v>763</v>
      </c>
      <c r="C397" s="427" t="s">
        <v>263</v>
      </c>
      <c r="D397" s="428">
        <v>653</v>
      </c>
      <c r="E397" s="232" t="s">
        <v>4</v>
      </c>
      <c r="F397" s="233">
        <v>2.88</v>
      </c>
      <c r="G397" s="234">
        <v>46142</v>
      </c>
      <c r="H397" s="235" t="s">
        <v>11</v>
      </c>
      <c r="I397" s="235"/>
      <c r="J397" s="236">
        <v>7.0000000000000007E-2</v>
      </c>
      <c r="K397" s="237">
        <f ca="1">ROUND(IF(ISERROR(OFFSET(Tabella!$A$1,MATCH(H397,Tabella!$A:$A,0)-1,MATCH(J397,Tabella!$A$1:$AC$1,0)-1)=TRUE),0,+OFFSET(Tabella!$A$1,MATCH(H397,Tabella!$A:$A,0)-1,MATCH(J397,Tabella!$A$1:$AC$1,0)-1)),4)</f>
        <v>1.5</v>
      </c>
      <c r="L397" s="238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238">
        <f ca="1">ROUND(IF(ISERROR(OFFSET(Rame!$A$1,MATCH(H397,Rame!$A:$A,0)-1,MATCH(J397,Rame!$A$1:$AA$1,0)-1)=TRUE),0,OFFSET(Rame!$A$1,MATCH(H397,Rame!$A:$A,0)-1,MATCH(J397,Rame!$A$1:$AA$1,0)-1))*IF(E397="Rame",1,0),4)</f>
        <v>0</v>
      </c>
      <c r="N397" s="238">
        <v>0</v>
      </c>
      <c r="O397" s="238">
        <v>1.88</v>
      </c>
      <c r="P397" s="238">
        <f ca="1">ROUND(+IF(ISERROR(OFFSET(Tabella!$G$1,MATCH(H397,Tabella!$G:$G,0)-1,MATCH(I397,Tabella!$G$1:$FG$1,0)-1)=TRUE),0,OFFSET(Tabella!$G$1,MATCH(H397,Tabella!$G:$G,0)-1,MATCH(I397,Tabella!$G$1:$AB$1,0)-1)),4)</f>
        <v>0</v>
      </c>
      <c r="Q397" s="238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238">
        <f ca="1">ROUND(IF(ISERROR(OFFSET(Rame!$F$1,MATCH(H397,Rame!$F:$F,0)-1,MATCH(I397,Rame!$F$1:$FF$1,0)-1)=TRUE),0,OFFSET(Rame!$F$1,MATCH(H397,Rame!$F:$F,0)-1,MATCH(I397,Rame!$F$1:$FF$1,0)-1))*IF(E397="Rame",1,0),4)</f>
        <v>0</v>
      </c>
      <c r="S397" s="238">
        <f ca="1">ROUND(IF(ISERROR(OFFSET(Bronzo!$A$1,MATCH(H397,Bronzo!$A:$A,0)-1,MATCH(I397,Bronzo!$A$1:$AA$1,0)-1)=TRUE),0,OFFSET(Bronzo!$A$1,MATCH(H397,Bronzo!$A:$A,0)-1,MATCH(I397,Bronzo!$A$1:$AA$1,0)-1)),4)</f>
        <v>0</v>
      </c>
      <c r="T397" s="238">
        <f t="shared" ca="1" si="251"/>
        <v>0</v>
      </c>
      <c r="U397" s="237"/>
      <c r="V397" s="238">
        <v>0</v>
      </c>
      <c r="W397" s="239">
        <f t="shared" ca="1" si="252"/>
        <v>1.88</v>
      </c>
      <c r="X397" s="429">
        <f t="shared" si="250"/>
        <v>45.71</v>
      </c>
      <c r="Y397" s="236">
        <v>4.8600000000000003</v>
      </c>
      <c r="Z397" s="236">
        <f t="shared" ca="1" si="253"/>
        <v>0.1</v>
      </c>
      <c r="AA397" s="241"/>
      <c r="AF397" s="225">
        <f t="shared" ca="1" si="265"/>
        <v>46236</v>
      </c>
      <c r="AG397" s="225" t="b">
        <f t="shared" si="254"/>
        <v>1</v>
      </c>
      <c r="AH397" s="242"/>
      <c r="AS397" s="223">
        <f t="shared" si="263"/>
        <v>0</v>
      </c>
      <c r="AT397" s="223">
        <f t="shared" si="264"/>
        <v>0</v>
      </c>
    </row>
    <row r="398" spans="2:46" ht="15.75" x14ac:dyDescent="0.25">
      <c r="B398" s="229" t="s">
        <v>534</v>
      </c>
      <c r="C398" s="235" t="s">
        <v>263</v>
      </c>
      <c r="D398" s="243">
        <v>3000</v>
      </c>
      <c r="E398" s="232" t="s">
        <v>4</v>
      </c>
      <c r="F398" s="233">
        <v>2.88</v>
      </c>
      <c r="G398" s="234">
        <v>46142</v>
      </c>
      <c r="H398" s="235" t="s">
        <v>314</v>
      </c>
      <c r="I398" s="235"/>
      <c r="J398" s="236">
        <v>7.0000000000000007E-2</v>
      </c>
      <c r="K398" s="237">
        <f ca="1">ROUND(IF(ISERROR(OFFSET(Tabella!$A$1,MATCH(H398,Tabella!$A:$A,0)-1,MATCH(J398,Tabella!$A$1:$AC$1,0)-1)=TRUE),0,+OFFSET(Tabella!$A$1,MATCH(H398,Tabella!$A:$A,0)-1,MATCH(J398,Tabella!$A$1:$AC$1,0)-1)),4)</f>
        <v>1.25</v>
      </c>
      <c r="L398" s="238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238">
        <f ca="1">ROUND(IF(ISERROR(OFFSET(Rame!$A$1,MATCH(H398,Rame!$A:$A,0)-1,MATCH(J398,Rame!$A$1:$AA$1,0)-1)=TRUE),0,OFFSET(Rame!$A$1,MATCH(H398,Rame!$A:$A,0)-1,MATCH(J398,Rame!$A$1:$AA$1,0)-1))*IF(E398="Rame",1,0),4)</f>
        <v>0</v>
      </c>
      <c r="N398" s="238">
        <v>0</v>
      </c>
      <c r="O398" s="238">
        <v>1.73</v>
      </c>
      <c r="P398" s="238">
        <f ca="1">ROUND(+IF(ISERROR(OFFSET(Tabella!$G$1,MATCH(H398,Tabella!$G:$G,0)-1,MATCH(I398,Tabella!$G$1:$FG$1,0)-1)=TRUE),0,OFFSET(Tabella!$G$1,MATCH(H398,Tabella!$G:$G,0)-1,MATCH(I398,Tabella!$G$1:$AB$1,0)-1)),4)</f>
        <v>0</v>
      </c>
      <c r="Q398" s="238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238">
        <f ca="1">ROUND(IF(ISERROR(OFFSET(Rame!$F$1,MATCH(H398,Rame!$F:$F,0)-1,MATCH(I398,Rame!$F$1:$FF$1,0)-1)=TRUE),0,OFFSET(Rame!$F$1,MATCH(H398,Rame!$F:$F,0)-1,MATCH(I398,Rame!$F$1:$FF$1,0)-1))*IF(E398="Rame",1,0),4)</f>
        <v>0</v>
      </c>
      <c r="S398" s="238">
        <f ca="1">ROUND(IF(ISERROR(OFFSET(Bronzo!$A$1,MATCH(H398,Bronzo!$A:$A,0)-1,MATCH(I398,Bronzo!$A$1:$AA$1,0)-1)=TRUE),0,OFFSET(Bronzo!$A$1,MATCH(H398,Bronzo!$A:$A,0)-1,MATCH(I398,Bronzo!$A$1:$AA$1,0)-1)),4)</f>
        <v>0</v>
      </c>
      <c r="T398" s="238">
        <f t="shared" ca="1" si="251"/>
        <v>0</v>
      </c>
      <c r="U398" s="237"/>
      <c r="V398" s="238">
        <v>0</v>
      </c>
      <c r="W398" s="239">
        <f t="shared" ca="1" si="252"/>
        <v>1.73</v>
      </c>
      <c r="X398" s="240">
        <f t="shared" si="250"/>
        <v>210</v>
      </c>
      <c r="Y398" s="236">
        <v>4.5599999999999996</v>
      </c>
      <c r="Z398" s="236">
        <f t="shared" ca="1" si="253"/>
        <v>-0.05</v>
      </c>
      <c r="AA398" s="241">
        <v>46182</v>
      </c>
      <c r="AF398" s="225">
        <f t="shared" ca="1" si="265"/>
        <v>46236</v>
      </c>
      <c r="AG398" s="225" t="b">
        <f t="shared" si="254"/>
        <v>0</v>
      </c>
      <c r="AH398" s="242"/>
      <c r="AS398" s="223">
        <f t="shared" si="263"/>
        <v>6</v>
      </c>
      <c r="AT398" s="223">
        <f t="shared" si="264"/>
        <v>2026</v>
      </c>
    </row>
    <row r="399" spans="2:46" ht="15.75" x14ac:dyDescent="0.25">
      <c r="B399" s="229" t="s">
        <v>762</v>
      </c>
      <c r="C399" s="427" t="s">
        <v>263</v>
      </c>
      <c r="D399" s="428">
        <v>1041</v>
      </c>
      <c r="E399" s="232" t="s">
        <v>4</v>
      </c>
      <c r="F399" s="233">
        <v>2.88</v>
      </c>
      <c r="G399" s="234">
        <v>46142</v>
      </c>
      <c r="H399" s="235" t="s">
        <v>17</v>
      </c>
      <c r="I399" s="235"/>
      <c r="J399" s="236">
        <v>7.0000000000000007E-2</v>
      </c>
      <c r="K399" s="237">
        <f ca="1">ROUND(IF(ISERROR(OFFSET(Tabella!$A$1,MATCH(H399,Tabella!$A:$A,0)-1,MATCH(J399,Tabella!$A$1:$AC$1,0)-1)=TRUE),0,+OFFSET(Tabella!$A$1,MATCH(H399,Tabella!$A:$A,0)-1,MATCH(J399,Tabella!$A$1:$AC$1,0)-1)),4)</f>
        <v>1.4</v>
      </c>
      <c r="L399" s="238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238">
        <f ca="1">ROUND(IF(ISERROR(OFFSET(Rame!$A$1,MATCH(H399,Rame!$A:$A,0)-1,MATCH(J399,Rame!$A$1:$AA$1,0)-1)=TRUE),0,OFFSET(Rame!$A$1,MATCH(H399,Rame!$A:$A,0)-1,MATCH(J399,Rame!$A$1:$AA$1,0)-1))*IF(E399="Rame",1,0),4)</f>
        <v>0</v>
      </c>
      <c r="N399" s="238">
        <v>0</v>
      </c>
      <c r="O399" s="238">
        <v>1.83</v>
      </c>
      <c r="P399" s="238">
        <f ca="1">ROUND(+IF(ISERROR(OFFSET(Tabella!$G$1,MATCH(H399,Tabella!$G:$G,0)-1,MATCH(I399,Tabella!$G$1:$FG$1,0)-1)=TRUE),0,OFFSET(Tabella!$G$1,MATCH(H399,Tabella!$G:$G,0)-1,MATCH(I399,Tabella!$G$1:$AB$1,0)-1)),4)</f>
        <v>0</v>
      </c>
      <c r="Q399" s="238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238">
        <f ca="1">ROUND(IF(ISERROR(OFFSET(Rame!$F$1,MATCH(H399,Rame!$F:$F,0)-1,MATCH(I399,Rame!$F$1:$FF$1,0)-1)=TRUE),0,OFFSET(Rame!$F$1,MATCH(H399,Rame!$F:$F,0)-1,MATCH(I399,Rame!$F$1:$FF$1,0)-1))*IF(E399="Rame",1,0),4)</f>
        <v>0</v>
      </c>
      <c r="S399" s="238">
        <f ca="1">ROUND(IF(ISERROR(OFFSET(Bronzo!$A$1,MATCH(H399,Bronzo!$A:$A,0)-1,MATCH(I399,Bronzo!$A$1:$AA$1,0)-1)=TRUE),0,OFFSET(Bronzo!$A$1,MATCH(H399,Bronzo!$A:$A,0)-1,MATCH(I399,Bronzo!$A$1:$AA$1,0)-1)),4)</f>
        <v>0</v>
      </c>
      <c r="T399" s="238">
        <f t="shared" ca="1" si="251"/>
        <v>0</v>
      </c>
      <c r="U399" s="237"/>
      <c r="V399" s="238">
        <v>0</v>
      </c>
      <c r="W399" s="239">
        <f t="shared" ca="1" si="252"/>
        <v>1.83</v>
      </c>
      <c r="X399" s="429">
        <f t="shared" si="250"/>
        <v>72.87</v>
      </c>
      <c r="Y399" s="236">
        <v>4.66</v>
      </c>
      <c r="Z399" s="236">
        <f t="shared" ca="1" si="253"/>
        <v>-0.05</v>
      </c>
      <c r="AA399" s="241"/>
      <c r="AF399" s="225">
        <f t="shared" ca="1" si="265"/>
        <v>46236</v>
      </c>
      <c r="AG399" s="225" t="b">
        <f t="shared" si="254"/>
        <v>1</v>
      </c>
      <c r="AH399" s="242"/>
      <c r="AS399" s="223">
        <f t="shared" si="263"/>
        <v>0</v>
      </c>
      <c r="AT399" s="223">
        <f t="shared" si="264"/>
        <v>0</v>
      </c>
    </row>
    <row r="400" spans="2:46" ht="15.75" x14ac:dyDescent="0.25">
      <c r="B400" s="229" t="s">
        <v>526</v>
      </c>
      <c r="C400" s="235" t="s">
        <v>263</v>
      </c>
      <c r="D400" s="243">
        <v>900</v>
      </c>
      <c r="E400" s="232" t="s">
        <v>4</v>
      </c>
      <c r="F400" s="233">
        <v>2.88</v>
      </c>
      <c r="G400" s="234">
        <v>46142</v>
      </c>
      <c r="H400" s="235" t="s">
        <v>22</v>
      </c>
      <c r="I400" s="235"/>
      <c r="J400" s="236">
        <v>7.0000000000000007E-2</v>
      </c>
      <c r="K400" s="237">
        <f ca="1">ROUND(IF(ISERROR(OFFSET(Tabella!$A$1,MATCH(H400,Tabella!$A:$A,0)-1,MATCH(J400,Tabella!$A$1:$AC$1,0)-1)=TRUE),0,+OFFSET(Tabella!$A$1,MATCH(H400,Tabella!$A:$A,0)-1,MATCH(J400,Tabella!$A$1:$AC$1,0)-1)),4)</f>
        <v>1.25</v>
      </c>
      <c r="L400" s="238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238">
        <f ca="1">ROUND(IF(ISERROR(OFFSET(Rame!$A$1,MATCH(H400,Rame!$A:$A,0)-1,MATCH(J400,Rame!$A$1:$AA$1,0)-1)=TRUE),0,OFFSET(Rame!$A$1,MATCH(H400,Rame!$A:$A,0)-1,MATCH(J400,Rame!$A$1:$AA$1,0)-1))*IF(E400="Rame",1,0),4)</f>
        <v>0</v>
      </c>
      <c r="N400" s="238">
        <v>0</v>
      </c>
      <c r="O400" s="238">
        <v>1.73</v>
      </c>
      <c r="P400" s="238">
        <f ca="1">ROUND(+IF(ISERROR(OFFSET(Tabella!$G$1,MATCH(H400,Tabella!$G:$G,0)-1,MATCH(I400,Tabella!$G$1:$FG$1,0)-1)=TRUE),0,OFFSET(Tabella!$G$1,MATCH(H400,Tabella!$G:$G,0)-1,MATCH(I400,Tabella!$G$1:$AB$1,0)-1)),4)</f>
        <v>0</v>
      </c>
      <c r="Q400" s="238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238">
        <f ca="1">ROUND(IF(ISERROR(OFFSET(Rame!$F$1,MATCH(H400,Rame!$F:$F,0)-1,MATCH(I400,Rame!$F$1:$FF$1,0)-1)=TRUE),0,OFFSET(Rame!$F$1,MATCH(H400,Rame!$F:$F,0)-1,MATCH(I400,Rame!$F$1:$FF$1,0)-1))*IF(E400="Rame",1,0),4)</f>
        <v>0</v>
      </c>
      <c r="S400" s="238">
        <f ca="1">ROUND(IF(ISERROR(OFFSET(Bronzo!$A$1,MATCH(H400,Bronzo!$A:$A,0)-1,MATCH(I400,Bronzo!$A$1:$AA$1,0)-1)=TRUE),0,OFFSET(Bronzo!$A$1,MATCH(H400,Bronzo!$A:$A,0)-1,MATCH(I400,Bronzo!$A$1:$AA$1,0)-1)),4)</f>
        <v>0</v>
      </c>
      <c r="T400" s="238">
        <f t="shared" ca="1" si="251"/>
        <v>0</v>
      </c>
      <c r="U400" s="237"/>
      <c r="V400" s="238">
        <v>0</v>
      </c>
      <c r="W400" s="239">
        <f t="shared" ca="1" si="252"/>
        <v>1.73</v>
      </c>
      <c r="X400" s="240">
        <f t="shared" si="250"/>
        <v>63</v>
      </c>
      <c r="Y400" s="236">
        <v>4.5599999999999996</v>
      </c>
      <c r="Z400" s="236">
        <f t="shared" ca="1" si="253"/>
        <v>-0.05</v>
      </c>
      <c r="AA400" s="241">
        <v>46196</v>
      </c>
      <c r="AF400" s="225">
        <f t="shared" ca="1" si="265"/>
        <v>46236</v>
      </c>
      <c r="AG400" s="225" t="b">
        <f t="shared" si="254"/>
        <v>0</v>
      </c>
      <c r="AH400" s="242"/>
      <c r="AS400" s="223">
        <f t="shared" si="263"/>
        <v>6</v>
      </c>
      <c r="AT400" s="223">
        <f t="shared" si="264"/>
        <v>2026</v>
      </c>
    </row>
    <row r="401" spans="2:46" ht="15.75" x14ac:dyDescent="0.25">
      <c r="B401" s="229" t="s">
        <v>762</v>
      </c>
      <c r="C401" s="427" t="s">
        <v>263</v>
      </c>
      <c r="D401" s="428">
        <v>1138</v>
      </c>
      <c r="E401" s="232" t="s">
        <v>4</v>
      </c>
      <c r="F401" s="233">
        <v>2.88</v>
      </c>
      <c r="G401" s="234">
        <v>46142</v>
      </c>
      <c r="H401" s="235" t="s">
        <v>9</v>
      </c>
      <c r="I401" s="235"/>
      <c r="J401" s="236">
        <v>7.0000000000000007E-2</v>
      </c>
      <c r="K401" s="237">
        <f ca="1">ROUND(IF(ISERROR(OFFSET(Tabella!$A$1,MATCH(H401,Tabella!$A:$A,0)-1,MATCH(J401,Tabella!$A$1:$AC$1,0)-1)=TRUE),0,+OFFSET(Tabella!$A$1,MATCH(H401,Tabella!$A:$A,0)-1,MATCH(J401,Tabella!$A$1:$AC$1,0)-1)),4)</f>
        <v>1.6</v>
      </c>
      <c r="L401" s="238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238">
        <f ca="1">ROUND(IF(ISERROR(OFFSET(Rame!$A$1,MATCH(H401,Rame!$A:$A,0)-1,MATCH(J401,Rame!$A$1:$AA$1,0)-1)=TRUE),0,OFFSET(Rame!$A$1,MATCH(H401,Rame!$A:$A,0)-1,MATCH(J401,Rame!$A$1:$AA$1,0)-1))*IF(E401="Rame",1,0),4)</f>
        <v>0</v>
      </c>
      <c r="N401" s="238">
        <v>0</v>
      </c>
      <c r="O401" s="238">
        <v>2.0299999999999998</v>
      </c>
      <c r="P401" s="238">
        <f ca="1">ROUND(+IF(ISERROR(OFFSET(Tabella!$G$1,MATCH(H401,Tabella!$G:$G,0)-1,MATCH(I401,Tabella!$G$1:$FG$1,0)-1)=TRUE),0,OFFSET(Tabella!$G$1,MATCH(H401,Tabella!$G:$G,0)-1,MATCH(I401,Tabella!$G$1:$AB$1,0)-1)),4)</f>
        <v>0</v>
      </c>
      <c r="Q401" s="238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238">
        <f ca="1">ROUND(IF(ISERROR(OFFSET(Rame!$F$1,MATCH(H401,Rame!$F:$F,0)-1,MATCH(I401,Rame!$F$1:$FF$1,0)-1)=TRUE),0,OFFSET(Rame!$F$1,MATCH(H401,Rame!$F:$F,0)-1,MATCH(I401,Rame!$F$1:$FF$1,0)-1))*IF(E401="Rame",1,0),4)</f>
        <v>0</v>
      </c>
      <c r="S401" s="238">
        <f ca="1">ROUND(IF(ISERROR(OFFSET(Bronzo!$A$1,MATCH(H401,Bronzo!$A:$A,0)-1,MATCH(I401,Bronzo!$A$1:$AA$1,0)-1)=TRUE),0,OFFSET(Bronzo!$A$1,MATCH(H401,Bronzo!$A:$A,0)-1,MATCH(I401,Bronzo!$A$1:$AA$1,0)-1)),4)</f>
        <v>0</v>
      </c>
      <c r="T401" s="238">
        <f t="shared" ca="1" si="251"/>
        <v>0</v>
      </c>
      <c r="U401" s="237"/>
      <c r="V401" s="238">
        <v>0</v>
      </c>
      <c r="W401" s="239">
        <f t="shared" ca="1" si="252"/>
        <v>2.0299999999999998</v>
      </c>
      <c r="X401" s="429">
        <f t="shared" si="250"/>
        <v>79.66</v>
      </c>
      <c r="Y401" s="236">
        <v>4.8600000000000003</v>
      </c>
      <c r="Z401" s="236">
        <f t="shared" ca="1" si="253"/>
        <v>-0.05</v>
      </c>
      <c r="AA401" s="241"/>
      <c r="AF401" s="225">
        <f t="shared" ca="1" si="265"/>
        <v>46236</v>
      </c>
      <c r="AG401" s="225" t="b">
        <f t="shared" si="254"/>
        <v>1</v>
      </c>
      <c r="AH401" s="242"/>
      <c r="AS401" s="223">
        <f t="shared" si="263"/>
        <v>0</v>
      </c>
      <c r="AT401" s="223">
        <f t="shared" si="264"/>
        <v>0</v>
      </c>
    </row>
    <row r="402" spans="2:46" ht="15.75" x14ac:dyDescent="0.25">
      <c r="B402" s="229" t="s">
        <v>653</v>
      </c>
      <c r="C402" s="427" t="s">
        <v>263</v>
      </c>
      <c r="D402" s="428">
        <v>1207</v>
      </c>
      <c r="E402" s="232" t="s">
        <v>4</v>
      </c>
      <c r="F402" s="233">
        <v>2.88</v>
      </c>
      <c r="G402" s="234">
        <v>46142</v>
      </c>
      <c r="H402" s="235" t="s">
        <v>24</v>
      </c>
      <c r="I402" s="235"/>
      <c r="J402" s="236">
        <v>7.0000000000000007E-2</v>
      </c>
      <c r="K402" s="237">
        <f ca="1">ROUND(IF(ISERROR(OFFSET(Tabella!$A$1,MATCH(H402,Tabella!$A:$A,0)-1,MATCH(J402,Tabella!$A$1:$AC$1,0)-1)=TRUE),0,+OFFSET(Tabella!$A$1,MATCH(H402,Tabella!$A:$A,0)-1,MATCH(J402,Tabella!$A$1:$AC$1,0)-1)),4)</f>
        <v>1.25</v>
      </c>
      <c r="L402" s="238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238">
        <f ca="1">ROUND(IF(ISERROR(OFFSET(Rame!$A$1,MATCH(H402,Rame!$A:$A,0)-1,MATCH(J402,Rame!$A$1:$AA$1,0)-1)=TRUE),0,OFFSET(Rame!$A$1,MATCH(H402,Rame!$A:$A,0)-1,MATCH(J402,Rame!$A$1:$AA$1,0)-1))*IF(E402="Rame",1,0),4)</f>
        <v>0</v>
      </c>
      <c r="N402" s="238">
        <v>0</v>
      </c>
      <c r="O402" s="238">
        <v>1.73</v>
      </c>
      <c r="P402" s="238">
        <f ca="1">ROUND(+IF(ISERROR(OFFSET(Tabella!$G$1,MATCH(H402,Tabella!$G:$G,0)-1,MATCH(I402,Tabella!$G$1:$FG$1,0)-1)=TRUE),0,OFFSET(Tabella!$G$1,MATCH(H402,Tabella!$G:$G,0)-1,MATCH(I402,Tabella!$G$1:$AB$1,0)-1)),4)</f>
        <v>0</v>
      </c>
      <c r="Q402" s="238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238">
        <f ca="1">ROUND(IF(ISERROR(OFFSET(Rame!$F$1,MATCH(H402,Rame!$F:$F,0)-1,MATCH(I402,Rame!$F$1:$FF$1,0)-1)=TRUE),0,OFFSET(Rame!$F$1,MATCH(H402,Rame!$F:$F,0)-1,MATCH(I402,Rame!$F$1:$FF$1,0)-1))*IF(E402="Rame",1,0),4)</f>
        <v>0</v>
      </c>
      <c r="S402" s="238">
        <f ca="1">ROUND(IF(ISERROR(OFFSET(Bronzo!$A$1,MATCH(H402,Bronzo!$A:$A,0)-1,MATCH(I402,Bronzo!$A$1:$AA$1,0)-1)=TRUE),0,OFFSET(Bronzo!$A$1,MATCH(H402,Bronzo!$A:$A,0)-1,MATCH(I402,Bronzo!$A$1:$AA$1,0)-1)),4)</f>
        <v>0</v>
      </c>
      <c r="T402" s="238">
        <f t="shared" ca="1" si="251"/>
        <v>0</v>
      </c>
      <c r="U402" s="237"/>
      <c r="V402" s="238">
        <v>0</v>
      </c>
      <c r="W402" s="239">
        <f t="shared" ca="1" si="252"/>
        <v>1.73</v>
      </c>
      <c r="X402" s="429">
        <f t="shared" si="250"/>
        <v>84.49</v>
      </c>
      <c r="Y402" s="236">
        <v>4.5599999999999996</v>
      </c>
      <c r="Z402" s="236">
        <f t="shared" ca="1" si="253"/>
        <v>-0.05</v>
      </c>
      <c r="AA402" s="241"/>
      <c r="AF402" s="225">
        <f t="shared" ca="1" si="265"/>
        <v>46236</v>
      </c>
      <c r="AG402" s="225" t="b">
        <f t="shared" si="254"/>
        <v>1</v>
      </c>
      <c r="AH402" s="242"/>
      <c r="AS402" s="223">
        <f t="shared" si="263"/>
        <v>0</v>
      </c>
      <c r="AT402" s="223">
        <f t="shared" si="264"/>
        <v>0</v>
      </c>
    </row>
    <row r="403" spans="2:46" ht="15.75" x14ac:dyDescent="0.25">
      <c r="B403" s="229" t="s">
        <v>532</v>
      </c>
      <c r="C403" s="235" t="s">
        <v>108</v>
      </c>
      <c r="D403" s="243">
        <v>1300</v>
      </c>
      <c r="E403" s="232" t="s">
        <v>4</v>
      </c>
      <c r="F403" s="233">
        <v>2.98</v>
      </c>
      <c r="G403" s="234">
        <v>46142</v>
      </c>
      <c r="H403" s="235" t="s">
        <v>29</v>
      </c>
      <c r="I403" s="235"/>
      <c r="J403" s="236">
        <v>7.0000000000000007E-2</v>
      </c>
      <c r="K403" s="237">
        <f ca="1">ROUND(IF(ISERROR(OFFSET(Tabella!$A$1,MATCH(H403,Tabella!$A:$A,0)-1,MATCH(J403,Tabella!$A$1:$AC$1,0)-1)=TRUE),0,+OFFSET(Tabella!$A$1,MATCH(H403,Tabella!$A:$A,0)-1,MATCH(J403,Tabella!$A$1:$AC$1,0)-1)),4)</f>
        <v>1.3</v>
      </c>
      <c r="L403" s="238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238">
        <f ca="1">ROUND(IF(ISERROR(OFFSET(Rame!$A$1,MATCH(H403,Rame!$A:$A,0)-1,MATCH(J403,Rame!$A$1:$AA$1,0)-1)=TRUE),0,OFFSET(Rame!$A$1,MATCH(H403,Rame!$A:$A,0)-1,MATCH(J403,Rame!$A$1:$AA$1,0)-1))*IF(E403="Rame",1,0),4)</f>
        <v>0</v>
      </c>
      <c r="N403" s="238">
        <v>0</v>
      </c>
      <c r="O403" s="238">
        <f ca="1">ROUND(SUM(K403:N403),4)</f>
        <v>1.3</v>
      </c>
      <c r="P403" s="238">
        <f ca="1">ROUND(+IF(ISERROR(OFFSET(Tabella!$G$1,MATCH(H403,Tabella!$G:$G,0)-1,MATCH(I403,Tabella!$G$1:$FG$1,0)-1)=TRUE),0,OFFSET(Tabella!$G$1,MATCH(H403,Tabella!$G:$G,0)-1,MATCH(I403,Tabella!$G$1:$AB$1,0)-1)),4)</f>
        <v>0</v>
      </c>
      <c r="Q403" s="238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238">
        <f ca="1">ROUND(IF(ISERROR(OFFSET(Rame!$F$1,MATCH(H403,Rame!$F:$F,0)-1,MATCH(I403,Rame!$F$1:$FF$1,0)-1)=TRUE),0,OFFSET(Rame!$F$1,MATCH(H403,Rame!$F:$F,0)-1,MATCH(I403,Rame!$F$1:$FF$1,0)-1))*IF(E403="Rame",1,0),4)</f>
        <v>0</v>
      </c>
      <c r="S403" s="238">
        <f ca="1">ROUND(IF(ISERROR(OFFSET(Bronzo!$A$1,MATCH(H403,Bronzo!$A:$A,0)-1,MATCH(I403,Bronzo!$A$1:$AA$1,0)-1)=TRUE),0,OFFSET(Bronzo!$A$1,MATCH(H403,Bronzo!$A:$A,0)-1,MATCH(I403,Bronzo!$A$1:$AA$1,0)-1)),4)</f>
        <v>0</v>
      </c>
      <c r="T403" s="238">
        <f t="shared" ca="1" si="251"/>
        <v>0</v>
      </c>
      <c r="U403" s="237"/>
      <c r="V403" s="238">
        <v>0</v>
      </c>
      <c r="W403" s="239">
        <f t="shared" ca="1" si="252"/>
        <v>1.3</v>
      </c>
      <c r="X403" s="240">
        <f t="shared" si="250"/>
        <v>91</v>
      </c>
      <c r="Y403" s="236">
        <v>4.58</v>
      </c>
      <c r="Z403" s="236">
        <f t="shared" ca="1" si="253"/>
        <v>0.3</v>
      </c>
      <c r="AA403" s="241">
        <v>46160</v>
      </c>
      <c r="AF403" s="225">
        <f t="shared" ca="1" si="265"/>
        <v>46236</v>
      </c>
      <c r="AG403" s="225" t="b">
        <f t="shared" si="254"/>
        <v>0</v>
      </c>
      <c r="AH403" s="242"/>
      <c r="AS403" s="223">
        <f t="shared" si="263"/>
        <v>5</v>
      </c>
      <c r="AT403" s="223">
        <f t="shared" si="264"/>
        <v>2026</v>
      </c>
    </row>
    <row r="404" spans="2:46" ht="15.75" x14ac:dyDescent="0.25">
      <c r="B404" s="229" t="s">
        <v>539</v>
      </c>
      <c r="C404" s="235" t="s">
        <v>396</v>
      </c>
      <c r="D404" s="243">
        <v>400</v>
      </c>
      <c r="E404" s="232" t="s">
        <v>4</v>
      </c>
      <c r="F404" s="233">
        <v>3.02</v>
      </c>
      <c r="G404" s="234">
        <v>46140</v>
      </c>
      <c r="H404" s="235" t="s">
        <v>17</v>
      </c>
      <c r="I404" s="235"/>
      <c r="J404" s="236">
        <v>7.0000000000000007E-2</v>
      </c>
      <c r="K404" s="237">
        <f ca="1">ROUND(IF(ISERROR(OFFSET(Tabella!$A$1,MATCH(H404,Tabella!$A:$A,0)-1,MATCH(J404,Tabella!$A$1:$AC$1,0)-1)=TRUE),0,+OFFSET(Tabella!$A$1,MATCH(H404,Tabella!$A:$A,0)-1,MATCH(J404,Tabella!$A$1:$AC$1,0)-1)),4)</f>
        <v>1.4</v>
      </c>
      <c r="L404" s="238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238">
        <f ca="1">ROUND(IF(ISERROR(OFFSET(Rame!$A$1,MATCH(H404,Rame!$A:$A,0)-1,MATCH(J404,Rame!$A$1:$AA$1,0)-1)=TRUE),0,OFFSET(Rame!$A$1,MATCH(H404,Rame!$A:$A,0)-1,MATCH(J404,Rame!$A$1:$AA$1,0)-1))*IF(E404="Rame",1,0),4)</f>
        <v>0</v>
      </c>
      <c r="N404" s="238">
        <v>0</v>
      </c>
      <c r="O404" s="238">
        <f ca="1">ROUND(SUM(K404:N404),4)</f>
        <v>1.4</v>
      </c>
      <c r="P404" s="238">
        <f ca="1">ROUND(+IF(ISERROR(OFFSET(Tabella!$G$1,MATCH(H404,Tabella!$G:$G,0)-1,MATCH(I404,Tabella!$G$1:$FG$1,0)-1)=TRUE),0,OFFSET(Tabella!$G$1,MATCH(H404,Tabella!$G:$G,0)-1,MATCH(I404,Tabella!$G$1:$AB$1,0)-1)),4)</f>
        <v>0</v>
      </c>
      <c r="Q404" s="238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238">
        <f ca="1">ROUND(IF(ISERROR(OFFSET(Rame!$F$1,MATCH(H404,Rame!$F:$F,0)-1,MATCH(I404,Rame!$F$1:$FF$1,0)-1)=TRUE),0,OFFSET(Rame!$F$1,MATCH(H404,Rame!$F:$F,0)-1,MATCH(I404,Rame!$F$1:$FF$1,0)-1))*IF(E404="Rame",1,0),4)</f>
        <v>0</v>
      </c>
      <c r="S404" s="238">
        <f ca="1">ROUND(IF(ISERROR(OFFSET(Bronzo!$A$1,MATCH(H404,Bronzo!$A:$A,0)-1,MATCH(I404,Bronzo!$A$1:$AA$1,0)-1)=TRUE),0,OFFSET(Bronzo!$A$1,MATCH(H404,Bronzo!$A:$A,0)-1,MATCH(I404,Bronzo!$A$1:$AA$1,0)-1)),4)</f>
        <v>0</v>
      </c>
      <c r="T404" s="238">
        <f t="shared" ca="1" si="251"/>
        <v>0</v>
      </c>
      <c r="U404" s="237"/>
      <c r="V404" s="238">
        <v>0</v>
      </c>
      <c r="W404" s="239">
        <f t="shared" ca="1" si="252"/>
        <v>1.4</v>
      </c>
      <c r="X404" s="240">
        <f t="shared" si="250"/>
        <v>28</v>
      </c>
      <c r="Y404" s="236">
        <v>5.07</v>
      </c>
      <c r="Z404" s="236">
        <f t="shared" ca="1" si="253"/>
        <v>0.65</v>
      </c>
      <c r="AA404" s="241">
        <v>46154</v>
      </c>
      <c r="AF404" s="225">
        <f t="shared" ca="1" si="265"/>
        <v>46236</v>
      </c>
      <c r="AG404" s="225" t="b">
        <f t="shared" si="254"/>
        <v>0</v>
      </c>
      <c r="AH404" s="242"/>
      <c r="AS404" s="223">
        <f t="shared" si="263"/>
        <v>5</v>
      </c>
      <c r="AT404" s="223">
        <f t="shared" si="264"/>
        <v>2026</v>
      </c>
    </row>
    <row r="405" spans="2:46" ht="15.75" x14ac:dyDescent="0.25">
      <c r="B405" s="229" t="s">
        <v>746</v>
      </c>
      <c r="C405" s="427" t="s">
        <v>212</v>
      </c>
      <c r="D405" s="428">
        <v>3744</v>
      </c>
      <c r="E405" s="232" t="s">
        <v>4</v>
      </c>
      <c r="F405" s="233">
        <v>3.03</v>
      </c>
      <c r="G405" s="234">
        <v>46146</v>
      </c>
      <c r="H405" s="235" t="s">
        <v>23</v>
      </c>
      <c r="I405" s="235"/>
      <c r="J405" s="236">
        <v>0.05</v>
      </c>
      <c r="K405" s="237">
        <f ca="1">ROUND(IF(ISERROR(OFFSET(Tabella!$A$1,MATCH(H405,Tabella!$A:$A,0)-1,MATCH(J405,Tabella!$A$1:$AC$1,0)-1)=TRUE),0,+OFFSET(Tabella!$A$1,MATCH(H405,Tabella!$A:$A,0)-1,MATCH(J405,Tabella!$A$1:$AC$1,0)-1)),4)</f>
        <v>0</v>
      </c>
      <c r="L405" s="238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238">
        <f ca="1">ROUND(IF(ISERROR(OFFSET(Rame!$A$1,MATCH(H405,Rame!$A:$A,0)-1,MATCH(J405,Rame!$A$1:$AA$1,0)-1)=TRUE),0,OFFSET(Rame!$A$1,MATCH(H405,Rame!$A:$A,0)-1,MATCH(J405,Rame!$A$1:$AA$1,0)-1))*IF(E405="Rame",1,0),4)</f>
        <v>0</v>
      </c>
      <c r="N405" s="238">
        <v>0</v>
      </c>
      <c r="O405" s="238">
        <v>1.73</v>
      </c>
      <c r="P405" s="238">
        <f ca="1">ROUND(+IF(ISERROR(OFFSET(Tabella!$G$1,MATCH(H405,Tabella!$G:$G,0)-1,MATCH(I405,Tabella!$G$1:$FG$1,0)-1)=TRUE),0,OFFSET(Tabella!$G$1,MATCH(H405,Tabella!$G:$G,0)-1,MATCH(I405,Tabella!$G$1:$AB$1,0)-1)),4)</f>
        <v>0</v>
      </c>
      <c r="Q405" s="238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238">
        <f ca="1">ROUND(IF(ISERROR(OFFSET(Rame!$F$1,MATCH(H405,Rame!$F:$F,0)-1,MATCH(I405,Rame!$F$1:$FF$1,0)-1)=TRUE),0,OFFSET(Rame!$F$1,MATCH(H405,Rame!$F:$F,0)-1,MATCH(I405,Rame!$F$1:$FF$1,0)-1))*IF(E405="Rame",1,0),4)</f>
        <v>0</v>
      </c>
      <c r="S405" s="238">
        <f ca="1">ROUND(IF(ISERROR(OFFSET(Bronzo!$A$1,MATCH(H405,Bronzo!$A:$A,0)-1,MATCH(I405,Bronzo!$A$1:$AA$1,0)-1)=TRUE),0,OFFSET(Bronzo!$A$1,MATCH(H405,Bronzo!$A:$A,0)-1,MATCH(I405,Bronzo!$A$1:$AA$1,0)-1)),4)</f>
        <v>0</v>
      </c>
      <c r="T405" s="238">
        <f t="shared" ca="1" si="251"/>
        <v>0</v>
      </c>
      <c r="U405" s="237"/>
      <c r="V405" s="238">
        <v>0</v>
      </c>
      <c r="W405" s="239">
        <f t="shared" ca="1" si="252"/>
        <v>1.73</v>
      </c>
      <c r="X405" s="429">
        <f t="shared" si="250"/>
        <v>187.2</v>
      </c>
      <c r="Y405" s="236">
        <v>4.63</v>
      </c>
      <c r="Z405" s="236">
        <f t="shared" ca="1" si="253"/>
        <v>-0.13</v>
      </c>
      <c r="AA405" s="241"/>
      <c r="AF405" s="225">
        <f t="shared" ca="1" si="265"/>
        <v>46236</v>
      </c>
      <c r="AG405" s="225" t="b">
        <f t="shared" si="254"/>
        <v>1</v>
      </c>
      <c r="AH405" s="242"/>
      <c r="AS405" s="223">
        <f t="shared" si="263"/>
        <v>0</v>
      </c>
      <c r="AT405" s="223">
        <f t="shared" si="264"/>
        <v>0</v>
      </c>
    </row>
    <row r="406" spans="2:46" ht="15.75" x14ac:dyDescent="0.25">
      <c r="B406" s="229" t="s">
        <v>726</v>
      </c>
      <c r="C406" s="427" t="s">
        <v>212</v>
      </c>
      <c r="D406" s="428">
        <v>868</v>
      </c>
      <c r="E406" s="232" t="s">
        <v>4</v>
      </c>
      <c r="F406" s="233">
        <v>3.03</v>
      </c>
      <c r="G406" s="234">
        <v>46146</v>
      </c>
      <c r="H406" s="235" t="s">
        <v>9</v>
      </c>
      <c r="I406" s="235"/>
      <c r="J406" s="236">
        <v>0.05</v>
      </c>
      <c r="K406" s="237">
        <f ca="1">ROUND(IF(ISERROR(OFFSET(Tabella!$A$1,MATCH(H406,Tabella!$A:$A,0)-1,MATCH(J406,Tabella!$A$1:$AC$1,0)-1)=TRUE),0,+OFFSET(Tabella!$A$1,MATCH(H406,Tabella!$A:$A,0)-1,MATCH(J406,Tabella!$A$1:$AC$1,0)-1)),4)</f>
        <v>0</v>
      </c>
      <c r="L406" s="238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238">
        <f ca="1">ROUND(IF(ISERROR(OFFSET(Rame!$A$1,MATCH(H406,Rame!$A:$A,0)-1,MATCH(J406,Rame!$A$1:$AA$1,0)-1)=TRUE),0,OFFSET(Rame!$A$1,MATCH(H406,Rame!$A:$A,0)-1,MATCH(J406,Rame!$A$1:$AA$1,0)-1))*IF(E406="Rame",1,0),4)</f>
        <v>0</v>
      </c>
      <c r="N406" s="238">
        <v>0</v>
      </c>
      <c r="O406" s="238">
        <v>2.0299999999999998</v>
      </c>
      <c r="P406" s="238">
        <f ca="1">ROUND(+IF(ISERROR(OFFSET(Tabella!$G$1,MATCH(H406,Tabella!$G:$G,0)-1,MATCH(I406,Tabella!$G$1:$FG$1,0)-1)=TRUE),0,OFFSET(Tabella!$G$1,MATCH(H406,Tabella!$G:$G,0)-1,MATCH(I406,Tabella!$G$1:$AB$1,0)-1)),4)</f>
        <v>0</v>
      </c>
      <c r="Q406" s="238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238">
        <f ca="1">ROUND(IF(ISERROR(OFFSET(Rame!$F$1,MATCH(H406,Rame!$F:$F,0)-1,MATCH(I406,Rame!$F$1:$FF$1,0)-1)=TRUE),0,OFFSET(Rame!$F$1,MATCH(H406,Rame!$F:$F,0)-1,MATCH(I406,Rame!$F$1:$FF$1,0)-1))*IF(E406="Rame",1,0),4)</f>
        <v>0</v>
      </c>
      <c r="S406" s="238">
        <f ca="1">ROUND(IF(ISERROR(OFFSET(Bronzo!$A$1,MATCH(H406,Bronzo!$A:$A,0)-1,MATCH(I406,Bronzo!$A$1:$AA$1,0)-1)=TRUE),0,OFFSET(Bronzo!$A$1,MATCH(H406,Bronzo!$A:$A,0)-1,MATCH(I406,Bronzo!$A$1:$AA$1,0)-1)),4)</f>
        <v>0</v>
      </c>
      <c r="T406" s="238">
        <f t="shared" ca="1" si="251"/>
        <v>0</v>
      </c>
      <c r="U406" s="237"/>
      <c r="V406" s="238">
        <v>0</v>
      </c>
      <c r="W406" s="239">
        <f t="shared" ca="1" si="252"/>
        <v>2.0299999999999998</v>
      </c>
      <c r="X406" s="429">
        <f t="shared" si="250"/>
        <v>43.4</v>
      </c>
      <c r="Y406" s="236">
        <v>4.93</v>
      </c>
      <c r="Z406" s="236">
        <f t="shared" ca="1" si="253"/>
        <v>-0.13</v>
      </c>
      <c r="AA406" s="241"/>
      <c r="AF406" s="225">
        <f t="shared" ca="1" si="265"/>
        <v>46236</v>
      </c>
      <c r="AG406" s="225" t="b">
        <f t="shared" si="254"/>
        <v>1</v>
      </c>
      <c r="AH406" s="242"/>
      <c r="AS406" s="223">
        <f t="shared" si="263"/>
        <v>0</v>
      </c>
      <c r="AT406" s="223">
        <f t="shared" si="264"/>
        <v>0</v>
      </c>
    </row>
    <row r="407" spans="2:46" ht="15.75" x14ac:dyDescent="0.25">
      <c r="B407" s="229" t="s">
        <v>696</v>
      </c>
      <c r="C407" s="245" t="s">
        <v>246</v>
      </c>
      <c r="D407" s="246">
        <v>2498</v>
      </c>
      <c r="E407" s="232" t="s">
        <v>4</v>
      </c>
      <c r="F407" s="233">
        <v>2.98</v>
      </c>
      <c r="G407" s="234">
        <v>46146</v>
      </c>
      <c r="H407" s="235" t="s">
        <v>314</v>
      </c>
      <c r="I407" s="235"/>
      <c r="J407" s="236">
        <v>7.0000000000000007E-2</v>
      </c>
      <c r="K407" s="237">
        <f ca="1">ROUND(IF(ISERROR(OFFSET(Tabella!$A$1,MATCH(H407,Tabella!$A:$A,0)-1,MATCH(J407,Tabella!$A$1:$AC$1,0)-1)=TRUE),0,+OFFSET(Tabella!$A$1,MATCH(H407,Tabella!$A:$A,0)-1,MATCH(J407,Tabella!$A$1:$AC$1,0)-1)),4)</f>
        <v>1.25</v>
      </c>
      <c r="L407" s="238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238">
        <f ca="1">ROUND(IF(ISERROR(OFFSET(Rame!$A$1,MATCH(H407,Rame!$A:$A,0)-1,MATCH(J407,Rame!$A$1:$AA$1,0)-1)=TRUE),0,OFFSET(Rame!$A$1,MATCH(H407,Rame!$A:$A,0)-1,MATCH(J407,Rame!$A$1:$AA$1,0)-1))*IF(E407="Rame",1,0),4)</f>
        <v>0</v>
      </c>
      <c r="N407" s="238">
        <v>0</v>
      </c>
      <c r="O407" s="238">
        <f t="shared" ref="O407:O423" ca="1" si="266">ROUND(SUM(K407:N407),4)</f>
        <v>1.25</v>
      </c>
      <c r="P407" s="238">
        <f ca="1">ROUND(+IF(ISERROR(OFFSET(Tabella!$G$1,MATCH(H407,Tabella!$G:$G,0)-1,MATCH(I407,Tabella!$G$1:$FG$1,0)-1)=TRUE),0,OFFSET(Tabella!$G$1,MATCH(H407,Tabella!$G:$G,0)-1,MATCH(I407,Tabella!$G$1:$AB$1,0)-1)),4)</f>
        <v>0</v>
      </c>
      <c r="Q407" s="238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238">
        <f ca="1">ROUND(IF(ISERROR(OFFSET(Rame!$F$1,MATCH(H407,Rame!$F:$F,0)-1,MATCH(I407,Rame!$F$1:$FF$1,0)-1)=TRUE),0,OFFSET(Rame!$F$1,MATCH(H407,Rame!$F:$F,0)-1,MATCH(I407,Rame!$F$1:$FF$1,0)-1))*IF(E407="Rame",1,0),4)</f>
        <v>0</v>
      </c>
      <c r="S407" s="238">
        <f ca="1">ROUND(IF(ISERROR(OFFSET(Bronzo!$A$1,MATCH(H407,Bronzo!$A:$A,0)-1,MATCH(I407,Bronzo!$A$1:$AA$1,0)-1)=TRUE),0,OFFSET(Bronzo!$A$1,MATCH(H407,Bronzo!$A:$A,0)-1,MATCH(I407,Bronzo!$A$1:$AA$1,0)-1)),4)</f>
        <v>0</v>
      </c>
      <c r="T407" s="238">
        <f t="shared" ca="1" si="251"/>
        <v>0</v>
      </c>
      <c r="U407" s="237"/>
      <c r="V407" s="238">
        <v>0</v>
      </c>
      <c r="W407" s="239">
        <f t="shared" ca="1" si="252"/>
        <v>1.25</v>
      </c>
      <c r="X407" s="423">
        <f t="shared" si="250"/>
        <v>174.86</v>
      </c>
      <c r="Y407" s="236">
        <v>4.7</v>
      </c>
      <c r="Z407" s="236">
        <f t="shared" ca="1" si="253"/>
        <v>0.47</v>
      </c>
      <c r="AA407" s="241"/>
      <c r="AE407" s="223" t="s">
        <v>697</v>
      </c>
      <c r="AF407" s="225">
        <f t="shared" ca="1" si="265"/>
        <v>46236</v>
      </c>
      <c r="AG407" s="225" t="b">
        <f t="shared" si="254"/>
        <v>1</v>
      </c>
      <c r="AH407" s="242"/>
      <c r="AS407" s="223">
        <f t="shared" si="263"/>
        <v>0</v>
      </c>
      <c r="AT407" s="223">
        <f t="shared" si="264"/>
        <v>0</v>
      </c>
    </row>
    <row r="408" spans="2:46" ht="15.75" x14ac:dyDescent="0.25">
      <c r="B408" s="229" t="s">
        <v>698</v>
      </c>
      <c r="C408" s="235" t="s">
        <v>246</v>
      </c>
      <c r="D408" s="243">
        <v>1380</v>
      </c>
      <c r="E408" s="232" t="s">
        <v>4</v>
      </c>
      <c r="F408" s="233">
        <v>2.98</v>
      </c>
      <c r="G408" s="234">
        <v>46146</v>
      </c>
      <c r="H408" s="235" t="s">
        <v>29</v>
      </c>
      <c r="I408" s="235"/>
      <c r="J408" s="236">
        <v>7.0000000000000007E-2</v>
      </c>
      <c r="K408" s="237">
        <f ca="1">ROUND(IF(ISERROR(OFFSET(Tabella!$A$1,MATCH(H408,Tabella!$A:$A,0)-1,MATCH(J408,Tabella!$A$1:$AC$1,0)-1)=TRUE),0,+OFFSET(Tabella!$A$1,MATCH(H408,Tabella!$A:$A,0)-1,MATCH(J408,Tabella!$A$1:$AC$1,0)-1)),4)</f>
        <v>1.3</v>
      </c>
      <c r="L408" s="238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238">
        <f ca="1">ROUND(IF(ISERROR(OFFSET(Rame!$A$1,MATCH(H408,Rame!$A:$A,0)-1,MATCH(J408,Rame!$A$1:$AA$1,0)-1)=TRUE),0,OFFSET(Rame!$A$1,MATCH(H408,Rame!$A:$A,0)-1,MATCH(J408,Rame!$A$1:$AA$1,0)-1))*IF(E408="Rame",1,0),4)</f>
        <v>0</v>
      </c>
      <c r="N408" s="238">
        <v>0</v>
      </c>
      <c r="O408" s="238">
        <f t="shared" ca="1" si="266"/>
        <v>1.3</v>
      </c>
      <c r="P408" s="238">
        <f ca="1">ROUND(+IF(ISERROR(OFFSET(Tabella!$G$1,MATCH(H408,Tabella!$G:$G,0)-1,MATCH(I408,Tabella!$G$1:$FG$1,0)-1)=TRUE),0,OFFSET(Tabella!$G$1,MATCH(H408,Tabella!$G:$G,0)-1,MATCH(I408,Tabella!$G$1:$AB$1,0)-1)),4)</f>
        <v>0</v>
      </c>
      <c r="Q408" s="238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238">
        <f ca="1">ROUND(IF(ISERROR(OFFSET(Rame!$F$1,MATCH(H408,Rame!$F:$F,0)-1,MATCH(I408,Rame!$F$1:$FF$1,0)-1)=TRUE),0,OFFSET(Rame!$F$1,MATCH(H408,Rame!$F:$F,0)-1,MATCH(I408,Rame!$F$1:$FF$1,0)-1))*IF(E408="Rame",1,0),4)</f>
        <v>0</v>
      </c>
      <c r="S408" s="238">
        <f ca="1">ROUND(IF(ISERROR(OFFSET(Bronzo!$A$1,MATCH(H408,Bronzo!$A:$A,0)-1,MATCH(I408,Bronzo!$A$1:$AA$1,0)-1)=TRUE),0,OFFSET(Bronzo!$A$1,MATCH(H408,Bronzo!$A:$A,0)-1,MATCH(I408,Bronzo!$A$1:$AA$1,0)-1)),4)</f>
        <v>0</v>
      </c>
      <c r="T408" s="238">
        <f t="shared" ca="1" si="251"/>
        <v>0</v>
      </c>
      <c r="U408" s="237"/>
      <c r="V408" s="238">
        <v>0</v>
      </c>
      <c r="W408" s="239">
        <f t="shared" ca="1" si="252"/>
        <v>1.3</v>
      </c>
      <c r="X408" s="422">
        <f t="shared" si="250"/>
        <v>96.6</v>
      </c>
      <c r="Y408" s="236">
        <v>4.7</v>
      </c>
      <c r="Z408" s="236">
        <f t="shared" ca="1" si="253"/>
        <v>0.42</v>
      </c>
      <c r="AA408" s="241">
        <v>46163</v>
      </c>
      <c r="AF408" s="225">
        <f t="shared" ca="1" si="265"/>
        <v>46236</v>
      </c>
      <c r="AG408" s="225" t="b">
        <f t="shared" si="254"/>
        <v>0</v>
      </c>
      <c r="AH408" s="242"/>
      <c r="AS408" s="223">
        <f t="shared" si="263"/>
        <v>5</v>
      </c>
      <c r="AT408" s="223">
        <f t="shared" si="264"/>
        <v>2026</v>
      </c>
    </row>
    <row r="409" spans="2:46" ht="15.75" x14ac:dyDescent="0.25">
      <c r="B409" s="229" t="s">
        <v>538</v>
      </c>
      <c r="C409" s="235" t="s">
        <v>396</v>
      </c>
      <c r="D409" s="243">
        <v>500</v>
      </c>
      <c r="E409" s="232" t="s">
        <v>4</v>
      </c>
      <c r="F409" s="233">
        <v>3</v>
      </c>
      <c r="G409" s="234">
        <v>46146</v>
      </c>
      <c r="H409" s="235" t="s">
        <v>23</v>
      </c>
      <c r="I409" s="235"/>
      <c r="J409" s="236">
        <v>7.0000000000000007E-2</v>
      </c>
      <c r="K409" s="237">
        <f ca="1">ROUND(IF(ISERROR(OFFSET(Tabella!$A$1,MATCH(H409,Tabella!$A:$A,0)-1,MATCH(J409,Tabella!$A$1:$AC$1,0)-1)=TRUE),0,+OFFSET(Tabella!$A$1,MATCH(H409,Tabella!$A:$A,0)-1,MATCH(J409,Tabella!$A$1:$AC$1,0)-1)),4)</f>
        <v>1.25</v>
      </c>
      <c r="L409" s="238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238">
        <f ca="1">ROUND(IF(ISERROR(OFFSET(Rame!$A$1,MATCH(H409,Rame!$A:$A,0)-1,MATCH(J409,Rame!$A$1:$AA$1,0)-1)=TRUE),0,OFFSET(Rame!$A$1,MATCH(H409,Rame!$A:$A,0)-1,MATCH(J409,Rame!$A$1:$AA$1,0)-1))*IF(E409="Rame",1,0),4)</f>
        <v>0</v>
      </c>
      <c r="N409" s="238">
        <v>0</v>
      </c>
      <c r="O409" s="238">
        <f t="shared" ca="1" si="266"/>
        <v>1.25</v>
      </c>
      <c r="P409" s="238">
        <f ca="1">ROUND(+IF(ISERROR(OFFSET(Tabella!$G$1,MATCH(H409,Tabella!$G:$G,0)-1,MATCH(I409,Tabella!$G$1:$FG$1,0)-1)=TRUE),0,OFFSET(Tabella!$G$1,MATCH(H409,Tabella!$G:$G,0)-1,MATCH(I409,Tabella!$G$1:$AB$1,0)-1)),4)</f>
        <v>0</v>
      </c>
      <c r="Q409" s="238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238">
        <f ca="1">ROUND(IF(ISERROR(OFFSET(Rame!$F$1,MATCH(H409,Rame!$F:$F,0)-1,MATCH(I409,Rame!$F$1:$FF$1,0)-1)=TRUE),0,OFFSET(Rame!$F$1,MATCH(H409,Rame!$F:$F,0)-1,MATCH(I409,Rame!$F$1:$FF$1,0)-1))*IF(E409="Rame",1,0),4)</f>
        <v>0</v>
      </c>
      <c r="S409" s="238">
        <f ca="1">ROUND(IF(ISERROR(OFFSET(Bronzo!$A$1,MATCH(H409,Bronzo!$A:$A,0)-1,MATCH(I409,Bronzo!$A$1:$AA$1,0)-1)=TRUE),0,OFFSET(Bronzo!$A$1,MATCH(H409,Bronzo!$A:$A,0)-1,MATCH(I409,Bronzo!$A$1:$AA$1,0)-1)),4)</f>
        <v>0</v>
      </c>
      <c r="T409" s="238">
        <f t="shared" ca="1" si="251"/>
        <v>0</v>
      </c>
      <c r="U409" s="237"/>
      <c r="V409" s="238">
        <v>0</v>
      </c>
      <c r="W409" s="239">
        <f t="shared" ca="1" si="252"/>
        <v>1.25</v>
      </c>
      <c r="X409" s="240">
        <f t="shared" si="250"/>
        <v>35</v>
      </c>
      <c r="Y409" s="236">
        <v>4.95</v>
      </c>
      <c r="Z409" s="236">
        <f t="shared" ca="1" si="253"/>
        <v>0.7</v>
      </c>
      <c r="AA409" s="241">
        <v>46164</v>
      </c>
      <c r="AF409" s="225">
        <f t="shared" ca="1" si="265"/>
        <v>46236</v>
      </c>
      <c r="AG409" s="225" t="b">
        <f t="shared" si="254"/>
        <v>0</v>
      </c>
      <c r="AH409" s="242"/>
      <c r="AS409" s="223">
        <f t="shared" si="263"/>
        <v>5</v>
      </c>
      <c r="AT409" s="223">
        <f t="shared" si="264"/>
        <v>2026</v>
      </c>
    </row>
    <row r="410" spans="2:46" ht="15.75" x14ac:dyDescent="0.25">
      <c r="B410" s="229" t="s">
        <v>537</v>
      </c>
      <c r="C410" s="235" t="s">
        <v>297</v>
      </c>
      <c r="D410" s="243">
        <v>150</v>
      </c>
      <c r="E410" s="232" t="s">
        <v>6</v>
      </c>
      <c r="F410" s="233">
        <v>11.03</v>
      </c>
      <c r="G410" s="234">
        <v>46147</v>
      </c>
      <c r="H410" s="235" t="s">
        <v>18</v>
      </c>
      <c r="I410" s="235"/>
      <c r="J410" s="236">
        <v>0.15</v>
      </c>
      <c r="K410" s="237">
        <f ca="1">ROUND(IF(ISERROR(OFFSET(Tabella!$A$1,MATCH(H410,Tabella!$A:$A,0)-1,MATCH(J410,Tabella!$A$1:$AC$1,0)-1)=TRUE),0,+OFFSET(Tabella!$A$1,MATCH(H410,Tabella!$A:$A,0)-1,MATCH(J410,Tabella!$A$1:$AC$1,0)-1)),4)</f>
        <v>0</v>
      </c>
      <c r="L410" s="238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238">
        <f ca="1">ROUND(IF(ISERROR(OFFSET(Rame!$A$1,MATCH(H410,Rame!$A:$A,0)-1,MATCH(J410,Rame!$A$1:$AA$1,0)-1)=TRUE),0,OFFSET(Rame!$A$1,MATCH(H410,Rame!$A:$A,0)-1,MATCH(J410,Rame!$A$1:$AA$1,0)-1))*IF(E410="Rame",1,0),4)</f>
        <v>0.82</v>
      </c>
      <c r="N410" s="238">
        <v>0</v>
      </c>
      <c r="O410" s="238">
        <f t="shared" ca="1" si="266"/>
        <v>0.82</v>
      </c>
      <c r="P410" s="238">
        <f ca="1">ROUND(+IF(ISERROR(OFFSET(Tabella!$G$1,MATCH(H410,Tabella!$G:$G,0)-1,MATCH(I410,Tabella!$G$1:$FG$1,0)-1)=TRUE),0,OFFSET(Tabella!$G$1,MATCH(H410,Tabella!$G:$G,0)-1,MATCH(I410,Tabella!$G$1:$AB$1,0)-1)),4)</f>
        <v>0</v>
      </c>
      <c r="Q410" s="238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238">
        <f ca="1">ROUND(IF(ISERROR(OFFSET(Rame!$F$1,MATCH(H410,Rame!$F:$F,0)-1,MATCH(I410,Rame!$F$1:$FF$1,0)-1)=TRUE),0,OFFSET(Rame!$F$1,MATCH(H410,Rame!$F:$F,0)-1,MATCH(I410,Rame!$F$1:$FF$1,0)-1))*IF(E410="Rame",1,0),4)</f>
        <v>0</v>
      </c>
      <c r="S410" s="238">
        <f ca="1">ROUND(IF(ISERROR(OFFSET(Bronzo!$A$1,MATCH(H410,Bronzo!$A:$A,0)-1,MATCH(I410,Bronzo!$A$1:$AA$1,0)-1)=TRUE),0,OFFSET(Bronzo!$A$1,MATCH(H410,Bronzo!$A:$A,0)-1,MATCH(I410,Bronzo!$A$1:$AA$1,0)-1)),4)</f>
        <v>0</v>
      </c>
      <c r="T410" s="238">
        <f t="shared" ca="1" si="251"/>
        <v>0</v>
      </c>
      <c r="U410" s="237"/>
      <c r="V410" s="238">
        <v>0</v>
      </c>
      <c r="W410" s="239">
        <f t="shared" ca="1" si="252"/>
        <v>0.82</v>
      </c>
      <c r="X410" s="240">
        <f t="shared" ref="X410:X473" si="267">ROUND(+J410*D410,4)</f>
        <v>22.5</v>
      </c>
      <c r="Y410" s="236">
        <v>14</v>
      </c>
      <c r="Z410" s="236">
        <f t="shared" ca="1" si="253"/>
        <v>2.15</v>
      </c>
      <c r="AA410" s="241">
        <v>46163</v>
      </c>
      <c r="AF410" s="225">
        <f t="shared" ca="1" si="265"/>
        <v>46236</v>
      </c>
      <c r="AG410" s="225" t="b">
        <f t="shared" si="254"/>
        <v>0</v>
      </c>
      <c r="AH410" s="242"/>
      <c r="AS410" s="223">
        <f t="shared" si="263"/>
        <v>5</v>
      </c>
      <c r="AT410" s="223">
        <f t="shared" si="264"/>
        <v>2026</v>
      </c>
    </row>
    <row r="411" spans="2:46" ht="15.75" x14ac:dyDescent="0.25">
      <c r="B411" s="229" t="s">
        <v>743</v>
      </c>
      <c r="C411" s="245" t="s">
        <v>102</v>
      </c>
      <c r="D411" s="246">
        <v>957.7</v>
      </c>
      <c r="E411" s="232" t="s">
        <v>4</v>
      </c>
      <c r="F411" s="233">
        <v>2.99</v>
      </c>
      <c r="G411" s="234">
        <v>46147</v>
      </c>
      <c r="H411" s="235" t="s">
        <v>30</v>
      </c>
      <c r="I411" s="235"/>
      <c r="J411" s="236">
        <v>7.0000000000000007E-2</v>
      </c>
      <c r="K411" s="237">
        <f ca="1">ROUND(IF(ISERROR(OFFSET(Tabella!$A$1,MATCH(H411,Tabella!$A:$A,0)-1,MATCH(J411,Tabella!$A$1:$AC$1,0)-1)=TRUE),0,+OFFSET(Tabella!$A$1,MATCH(H411,Tabella!$A:$A,0)-1,MATCH(J411,Tabella!$A$1:$AC$1,0)-1)),4)</f>
        <v>1.3</v>
      </c>
      <c r="L411" s="238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238">
        <f ca="1">ROUND(IF(ISERROR(OFFSET(Rame!$A$1,MATCH(H411,Rame!$A:$A,0)-1,MATCH(J411,Rame!$A$1:$AA$1,0)-1)=TRUE),0,OFFSET(Rame!$A$1,MATCH(H411,Rame!$A:$A,0)-1,MATCH(J411,Rame!$A$1:$AA$1,0)-1))*IF(E411="Rame",1,0),4)</f>
        <v>0</v>
      </c>
      <c r="N411" s="238">
        <v>0</v>
      </c>
      <c r="O411" s="238">
        <f t="shared" ca="1" si="266"/>
        <v>1.3</v>
      </c>
      <c r="P411" s="238">
        <f ca="1">ROUND(+IF(ISERROR(OFFSET(Tabella!$G$1,MATCH(H411,Tabella!$G:$G,0)-1,MATCH(I411,Tabella!$G$1:$FG$1,0)-1)=TRUE),0,OFFSET(Tabella!$G$1,MATCH(H411,Tabella!$G:$G,0)-1,MATCH(I411,Tabella!$G$1:$AB$1,0)-1)),4)</f>
        <v>0</v>
      </c>
      <c r="Q411" s="238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238">
        <f ca="1">ROUND(IF(ISERROR(OFFSET(Rame!$F$1,MATCH(H411,Rame!$F:$F,0)-1,MATCH(I411,Rame!$F$1:$FF$1,0)-1)=TRUE),0,OFFSET(Rame!$F$1,MATCH(H411,Rame!$F:$F,0)-1,MATCH(I411,Rame!$F$1:$FF$1,0)-1))*IF(E411="Rame",1,0),4)</f>
        <v>0</v>
      </c>
      <c r="S411" s="238">
        <f ca="1">ROUND(IF(ISERROR(OFFSET(Bronzo!$A$1,MATCH(H411,Bronzo!$A:$A,0)-1,MATCH(I411,Bronzo!$A$1:$AA$1,0)-1)=TRUE),0,OFFSET(Bronzo!$A$1,MATCH(H411,Bronzo!$A:$A,0)-1,MATCH(I411,Bronzo!$A$1:$AA$1,0)-1)),4)</f>
        <v>0</v>
      </c>
      <c r="T411" s="238">
        <f t="shared" ca="1" si="251"/>
        <v>0</v>
      </c>
      <c r="U411" s="237"/>
      <c r="V411" s="238">
        <v>0</v>
      </c>
      <c r="W411" s="239">
        <f t="shared" ca="1" si="252"/>
        <v>1.3</v>
      </c>
      <c r="X411" s="423">
        <f t="shared" si="267"/>
        <v>67.039000000000001</v>
      </c>
      <c r="Y411" s="236">
        <v>4.7</v>
      </c>
      <c r="Z411" s="236">
        <f t="shared" ca="1" si="253"/>
        <v>0.41</v>
      </c>
      <c r="AA411" s="241"/>
      <c r="AE411" s="223" t="s">
        <v>448</v>
      </c>
      <c r="AF411" s="225">
        <f t="shared" ca="1" si="265"/>
        <v>46236</v>
      </c>
      <c r="AG411" s="225" t="b">
        <f t="shared" si="254"/>
        <v>1</v>
      </c>
      <c r="AH411" s="242"/>
      <c r="AS411" s="223">
        <f t="shared" si="263"/>
        <v>0</v>
      </c>
      <c r="AT411" s="223">
        <f t="shared" si="264"/>
        <v>0</v>
      </c>
    </row>
    <row r="412" spans="2:46" ht="15.75" x14ac:dyDescent="0.25">
      <c r="B412" s="229" t="s">
        <v>591</v>
      </c>
      <c r="C412" s="235" t="s">
        <v>102</v>
      </c>
      <c r="D412" s="243">
        <v>1000</v>
      </c>
      <c r="E412" s="232" t="s">
        <v>4</v>
      </c>
      <c r="F412" s="233">
        <v>2.99</v>
      </c>
      <c r="G412" s="234">
        <v>46147</v>
      </c>
      <c r="H412" s="235" t="s">
        <v>30</v>
      </c>
      <c r="I412" s="235"/>
      <c r="J412" s="236">
        <v>7.0000000000000007E-2</v>
      </c>
      <c r="K412" s="237">
        <f ca="1">ROUND(IF(ISERROR(OFFSET(Tabella!$A$1,MATCH(H412,Tabella!$A:$A,0)-1,MATCH(J412,Tabella!$A$1:$AC$1,0)-1)=TRUE),0,+OFFSET(Tabella!$A$1,MATCH(H412,Tabella!$A:$A,0)-1,MATCH(J412,Tabella!$A$1:$AC$1,0)-1)),4)</f>
        <v>1.3</v>
      </c>
      <c r="L412" s="238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238">
        <f ca="1">ROUND(IF(ISERROR(OFFSET(Rame!$A$1,MATCH(H412,Rame!$A:$A,0)-1,MATCH(J412,Rame!$A$1:$AA$1,0)-1)=TRUE),0,OFFSET(Rame!$A$1,MATCH(H412,Rame!$A:$A,0)-1,MATCH(J412,Rame!$A$1:$AA$1,0)-1))*IF(E412="Rame",1,0),4)</f>
        <v>0</v>
      </c>
      <c r="N412" s="238">
        <v>0</v>
      </c>
      <c r="O412" s="238">
        <f t="shared" ca="1" si="266"/>
        <v>1.3</v>
      </c>
      <c r="P412" s="238">
        <f ca="1">ROUND(+IF(ISERROR(OFFSET(Tabella!$G$1,MATCH(H412,Tabella!$G:$G,0)-1,MATCH(I412,Tabella!$G$1:$FG$1,0)-1)=TRUE),0,OFFSET(Tabella!$G$1,MATCH(H412,Tabella!$G:$G,0)-1,MATCH(I412,Tabella!$G$1:$AB$1,0)-1)),4)</f>
        <v>0</v>
      </c>
      <c r="Q412" s="238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238">
        <f ca="1">ROUND(IF(ISERROR(OFFSET(Rame!$F$1,MATCH(H412,Rame!$F:$F,0)-1,MATCH(I412,Rame!$F$1:$FF$1,0)-1)=TRUE),0,OFFSET(Rame!$F$1,MATCH(H412,Rame!$F:$F,0)-1,MATCH(I412,Rame!$F$1:$FF$1,0)-1))*IF(E412="Rame",1,0),4)</f>
        <v>0</v>
      </c>
      <c r="S412" s="238">
        <f ca="1">ROUND(IF(ISERROR(OFFSET(Bronzo!$A$1,MATCH(H412,Bronzo!$A:$A,0)-1,MATCH(I412,Bronzo!$A$1:$AA$1,0)-1)=TRUE),0,OFFSET(Bronzo!$A$1,MATCH(H412,Bronzo!$A:$A,0)-1,MATCH(I412,Bronzo!$A$1:$AA$1,0)-1)),4)</f>
        <v>0</v>
      </c>
      <c r="T412" s="238">
        <f t="shared" ca="1" si="251"/>
        <v>0</v>
      </c>
      <c r="U412" s="237"/>
      <c r="V412" s="238">
        <v>0</v>
      </c>
      <c r="W412" s="239">
        <f t="shared" ca="1" si="252"/>
        <v>1.3</v>
      </c>
      <c r="X412" s="240">
        <f t="shared" si="267"/>
        <v>70</v>
      </c>
      <c r="Y412" s="236">
        <v>5.4</v>
      </c>
      <c r="Z412" s="236">
        <f t="shared" ca="1" si="253"/>
        <v>1.1100000000000001</v>
      </c>
      <c r="AA412" s="241">
        <v>46209</v>
      </c>
      <c r="AE412" s="223" t="s">
        <v>448</v>
      </c>
      <c r="AF412" s="225">
        <f t="shared" ca="1" si="265"/>
        <v>46236</v>
      </c>
      <c r="AG412" s="225" t="b">
        <f t="shared" si="254"/>
        <v>0</v>
      </c>
      <c r="AH412" s="242"/>
      <c r="AS412" s="223">
        <f t="shared" si="263"/>
        <v>7</v>
      </c>
      <c r="AT412" s="223">
        <f t="shared" si="264"/>
        <v>2026</v>
      </c>
    </row>
    <row r="413" spans="2:46" ht="15.75" x14ac:dyDescent="0.25">
      <c r="B413" s="229" t="s">
        <v>591</v>
      </c>
      <c r="C413" s="235" t="s">
        <v>102</v>
      </c>
      <c r="D413" s="243">
        <v>1000</v>
      </c>
      <c r="E413" s="232" t="s">
        <v>4</v>
      </c>
      <c r="F413" s="233">
        <v>2.99</v>
      </c>
      <c r="G413" s="234">
        <v>46147</v>
      </c>
      <c r="H413" s="235" t="s">
        <v>30</v>
      </c>
      <c r="I413" s="235"/>
      <c r="J413" s="236">
        <v>7.0000000000000007E-2</v>
      </c>
      <c r="K413" s="237">
        <f ca="1">ROUND(IF(ISERROR(OFFSET(Tabella!$A$1,MATCH(H413,Tabella!$A:$A,0)-1,MATCH(J413,Tabella!$A$1:$AC$1,0)-1)=TRUE),0,+OFFSET(Tabella!$A$1,MATCH(H413,Tabella!$A:$A,0)-1,MATCH(J413,Tabella!$A$1:$AC$1,0)-1)),4)</f>
        <v>1.3</v>
      </c>
      <c r="L413" s="238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238">
        <f ca="1">ROUND(IF(ISERROR(OFFSET(Rame!$A$1,MATCH(H413,Rame!$A:$A,0)-1,MATCH(J413,Rame!$A$1:$AA$1,0)-1)=TRUE),0,OFFSET(Rame!$A$1,MATCH(H413,Rame!$A:$A,0)-1,MATCH(J413,Rame!$A$1:$AA$1,0)-1))*IF(E413="Rame",1,0),4)</f>
        <v>0</v>
      </c>
      <c r="N413" s="238">
        <v>0</v>
      </c>
      <c r="O413" s="238">
        <f t="shared" ca="1" si="266"/>
        <v>1.3</v>
      </c>
      <c r="P413" s="238">
        <f ca="1">ROUND(+IF(ISERROR(OFFSET(Tabella!$G$1,MATCH(H413,Tabella!$G:$G,0)-1,MATCH(I413,Tabella!$G$1:$FG$1,0)-1)=TRUE),0,OFFSET(Tabella!$G$1,MATCH(H413,Tabella!$G:$G,0)-1,MATCH(I413,Tabella!$G$1:$AB$1,0)-1)),4)</f>
        <v>0</v>
      </c>
      <c r="Q413" s="238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238">
        <f ca="1">ROUND(IF(ISERROR(OFFSET(Rame!$F$1,MATCH(H413,Rame!$F:$F,0)-1,MATCH(I413,Rame!$F$1:$FF$1,0)-1)=TRUE),0,OFFSET(Rame!$F$1,MATCH(H413,Rame!$F:$F,0)-1,MATCH(I413,Rame!$F$1:$FF$1,0)-1))*IF(E413="Rame",1,0),4)</f>
        <v>0</v>
      </c>
      <c r="S413" s="238">
        <f ca="1">ROUND(IF(ISERROR(OFFSET(Bronzo!$A$1,MATCH(H413,Bronzo!$A:$A,0)-1,MATCH(I413,Bronzo!$A$1:$AA$1,0)-1)=TRUE),0,OFFSET(Bronzo!$A$1,MATCH(H413,Bronzo!$A:$A,0)-1,MATCH(I413,Bronzo!$A$1:$AA$1,0)-1)),4)</f>
        <v>0</v>
      </c>
      <c r="T413" s="238">
        <f t="shared" ca="1" si="251"/>
        <v>0</v>
      </c>
      <c r="U413" s="237"/>
      <c r="V413" s="238">
        <v>0</v>
      </c>
      <c r="W413" s="239">
        <f t="shared" ca="1" si="252"/>
        <v>1.3</v>
      </c>
      <c r="X413" s="240">
        <f t="shared" si="267"/>
        <v>70</v>
      </c>
      <c r="Y413" s="236">
        <v>5.4</v>
      </c>
      <c r="Z413" s="236">
        <f t="shared" ca="1" si="253"/>
        <v>1.1100000000000001</v>
      </c>
      <c r="AA413" s="241">
        <v>46209</v>
      </c>
      <c r="AE413" s="223" t="s">
        <v>448</v>
      </c>
      <c r="AF413" s="225">
        <f t="shared" ca="1" si="265"/>
        <v>46236</v>
      </c>
      <c r="AG413" s="225" t="b">
        <f t="shared" si="254"/>
        <v>0</v>
      </c>
      <c r="AH413" s="242"/>
      <c r="AS413" s="223">
        <f t="shared" si="263"/>
        <v>7</v>
      </c>
      <c r="AT413" s="223">
        <f t="shared" si="264"/>
        <v>2026</v>
      </c>
    </row>
    <row r="414" spans="2:46" ht="15.75" x14ac:dyDescent="0.25">
      <c r="B414" s="229" t="s">
        <v>541</v>
      </c>
      <c r="C414" s="235" t="s">
        <v>92</v>
      </c>
      <c r="D414" s="243">
        <v>500</v>
      </c>
      <c r="E414" s="232" t="s">
        <v>4</v>
      </c>
      <c r="F414" s="233">
        <v>3.02</v>
      </c>
      <c r="G414" s="234">
        <v>46147</v>
      </c>
      <c r="H414" s="235" t="s">
        <v>22</v>
      </c>
      <c r="I414" s="235"/>
      <c r="J414" s="236">
        <v>7.0000000000000007E-2</v>
      </c>
      <c r="K414" s="237">
        <f ca="1">ROUND(IF(ISERROR(OFFSET(Tabella!$A$1,MATCH(H414,Tabella!$A:$A,0)-1,MATCH(J414,Tabella!$A$1:$AC$1,0)-1)=TRUE),0,+OFFSET(Tabella!$A$1,MATCH(H414,Tabella!$A:$A,0)-1,MATCH(J414,Tabella!$A$1:$AC$1,0)-1)),4)</f>
        <v>1.25</v>
      </c>
      <c r="L414" s="238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238">
        <f ca="1">ROUND(IF(ISERROR(OFFSET(Rame!$A$1,MATCH(H414,Rame!$A:$A,0)-1,MATCH(J414,Rame!$A$1:$AA$1,0)-1)=TRUE),0,OFFSET(Rame!$A$1,MATCH(H414,Rame!$A:$A,0)-1,MATCH(J414,Rame!$A$1:$AA$1,0)-1))*IF(E414="Rame",1,0),4)</f>
        <v>0</v>
      </c>
      <c r="N414" s="238">
        <v>0</v>
      </c>
      <c r="O414" s="238">
        <f t="shared" ca="1" si="266"/>
        <v>1.25</v>
      </c>
      <c r="P414" s="238">
        <f ca="1">ROUND(+IF(ISERROR(OFFSET(Tabella!$G$1,MATCH(H414,Tabella!$G:$G,0)-1,MATCH(I414,Tabella!$G$1:$FG$1,0)-1)=TRUE),0,OFFSET(Tabella!$G$1,MATCH(H414,Tabella!$G:$G,0)-1,MATCH(I414,Tabella!$G$1:$AB$1,0)-1)),4)</f>
        <v>0</v>
      </c>
      <c r="Q414" s="238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238">
        <f ca="1">ROUND(IF(ISERROR(OFFSET(Rame!$F$1,MATCH(H414,Rame!$F:$F,0)-1,MATCH(I414,Rame!$F$1:$FF$1,0)-1)=TRUE),0,OFFSET(Rame!$F$1,MATCH(H414,Rame!$F:$F,0)-1,MATCH(I414,Rame!$F$1:$FF$1,0)-1))*IF(E414="Rame",1,0),4)</f>
        <v>0</v>
      </c>
      <c r="S414" s="238">
        <f ca="1">ROUND(IF(ISERROR(OFFSET(Bronzo!$A$1,MATCH(H414,Bronzo!$A:$A,0)-1,MATCH(I414,Bronzo!$A$1:$AA$1,0)-1)=TRUE),0,OFFSET(Bronzo!$A$1,MATCH(H414,Bronzo!$A:$A,0)-1,MATCH(I414,Bronzo!$A$1:$AA$1,0)-1)),4)</f>
        <v>0</v>
      </c>
      <c r="T414" s="238">
        <f t="shared" ca="1" si="251"/>
        <v>0</v>
      </c>
      <c r="U414" s="237"/>
      <c r="V414" s="238">
        <v>0</v>
      </c>
      <c r="W414" s="239">
        <f t="shared" ca="1" si="252"/>
        <v>1.25</v>
      </c>
      <c r="X414" s="240">
        <f t="shared" si="267"/>
        <v>35</v>
      </c>
      <c r="Y414" s="236">
        <v>4.75</v>
      </c>
      <c r="Z414" s="236">
        <f t="shared" ca="1" si="253"/>
        <v>0.48</v>
      </c>
      <c r="AA414" s="241">
        <v>46177</v>
      </c>
      <c r="AF414" s="225">
        <f t="shared" ca="1" si="265"/>
        <v>46236</v>
      </c>
      <c r="AG414" s="225" t="b">
        <f t="shared" si="254"/>
        <v>0</v>
      </c>
      <c r="AH414" s="242"/>
      <c r="AS414" s="223">
        <f t="shared" si="263"/>
        <v>6</v>
      </c>
      <c r="AT414" s="223">
        <f t="shared" si="264"/>
        <v>2026</v>
      </c>
    </row>
    <row r="415" spans="2:46" ht="15.75" x14ac:dyDescent="0.25">
      <c r="B415" s="229" t="s">
        <v>541</v>
      </c>
      <c r="C415" s="235" t="s">
        <v>92</v>
      </c>
      <c r="D415" s="243">
        <v>300</v>
      </c>
      <c r="E415" s="232" t="s">
        <v>4</v>
      </c>
      <c r="F415" s="233">
        <v>3.02</v>
      </c>
      <c r="G415" s="234">
        <v>46147</v>
      </c>
      <c r="H415" s="235" t="s">
        <v>26</v>
      </c>
      <c r="I415" s="235"/>
      <c r="J415" s="236">
        <v>7.0000000000000007E-2</v>
      </c>
      <c r="K415" s="237">
        <f ca="1">ROUND(IF(ISERROR(OFFSET(Tabella!$A$1,MATCH(H415,Tabella!$A:$A,0)-1,MATCH(J415,Tabella!$A$1:$AC$1,0)-1)=TRUE),0,+OFFSET(Tabella!$A$1,MATCH(H415,Tabella!$A:$A,0)-1,MATCH(J415,Tabella!$A$1:$AC$1,0)-1)),4)</f>
        <v>1.25</v>
      </c>
      <c r="L415" s="238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238">
        <f ca="1">ROUND(IF(ISERROR(OFFSET(Rame!$A$1,MATCH(H415,Rame!$A:$A,0)-1,MATCH(J415,Rame!$A$1:$AA$1,0)-1)=TRUE),0,OFFSET(Rame!$A$1,MATCH(H415,Rame!$A:$A,0)-1,MATCH(J415,Rame!$A$1:$AA$1,0)-1))*IF(E415="Rame",1,0),4)</f>
        <v>0</v>
      </c>
      <c r="N415" s="238">
        <v>0</v>
      </c>
      <c r="O415" s="238">
        <f t="shared" ca="1" si="266"/>
        <v>1.25</v>
      </c>
      <c r="P415" s="238">
        <f ca="1">ROUND(+IF(ISERROR(OFFSET(Tabella!$G$1,MATCH(H415,Tabella!$G:$G,0)-1,MATCH(I415,Tabella!$G$1:$FG$1,0)-1)=TRUE),0,OFFSET(Tabella!$G$1,MATCH(H415,Tabella!$G:$G,0)-1,MATCH(I415,Tabella!$G$1:$AB$1,0)-1)),4)</f>
        <v>0</v>
      </c>
      <c r="Q415" s="238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238">
        <f ca="1">ROUND(IF(ISERROR(OFFSET(Rame!$F$1,MATCH(H415,Rame!$F:$F,0)-1,MATCH(I415,Rame!$F$1:$FF$1,0)-1)=TRUE),0,OFFSET(Rame!$F$1,MATCH(H415,Rame!$F:$F,0)-1,MATCH(I415,Rame!$F$1:$FF$1,0)-1))*IF(E415="Rame",1,0),4)</f>
        <v>0</v>
      </c>
      <c r="S415" s="238">
        <f ca="1">ROUND(IF(ISERROR(OFFSET(Bronzo!$A$1,MATCH(H415,Bronzo!$A:$A,0)-1,MATCH(I415,Bronzo!$A$1:$AA$1,0)-1)=TRUE),0,OFFSET(Bronzo!$A$1,MATCH(H415,Bronzo!$A:$A,0)-1,MATCH(I415,Bronzo!$A$1:$AA$1,0)-1)),4)</f>
        <v>0</v>
      </c>
      <c r="T415" s="238">
        <f t="shared" ca="1" si="251"/>
        <v>0</v>
      </c>
      <c r="U415" s="237"/>
      <c r="V415" s="238">
        <v>0</v>
      </c>
      <c r="W415" s="239">
        <f t="shared" ca="1" si="252"/>
        <v>1.25</v>
      </c>
      <c r="X415" s="240">
        <f t="shared" si="267"/>
        <v>21</v>
      </c>
      <c r="Y415" s="236">
        <v>4.75</v>
      </c>
      <c r="Z415" s="236">
        <f t="shared" ca="1" si="253"/>
        <v>0.48</v>
      </c>
      <c r="AA415" s="241">
        <v>46177</v>
      </c>
      <c r="AF415" s="225">
        <f t="shared" ca="1" si="265"/>
        <v>46236</v>
      </c>
      <c r="AG415" s="225" t="b">
        <f t="shared" ref="AG415:AG478" si="268">ISBLANK(AA415)</f>
        <v>0</v>
      </c>
      <c r="AH415" s="242"/>
      <c r="AS415" s="223">
        <f t="shared" si="263"/>
        <v>6</v>
      </c>
      <c r="AT415" s="223">
        <f t="shared" si="264"/>
        <v>2026</v>
      </c>
    </row>
    <row r="416" spans="2:46" ht="15.75" x14ac:dyDescent="0.25">
      <c r="B416" s="229" t="s">
        <v>542</v>
      </c>
      <c r="C416" s="235" t="s">
        <v>102</v>
      </c>
      <c r="D416" s="243">
        <v>1300</v>
      </c>
      <c r="E416" s="232" t="s">
        <v>4</v>
      </c>
      <c r="F416" s="233">
        <v>2.65</v>
      </c>
      <c r="G416" s="234">
        <v>46050</v>
      </c>
      <c r="H416" s="235" t="s">
        <v>28</v>
      </c>
      <c r="I416" s="235"/>
      <c r="J416" s="236">
        <v>7.0000000000000007E-2</v>
      </c>
      <c r="K416" s="237">
        <f ca="1">ROUND(IF(ISERROR(OFFSET(Tabella!$A$1,MATCH(H416,Tabella!$A:$A,0)-1,MATCH(J416,Tabella!$A$1:$AC$1,0)-1)=TRUE),0,+OFFSET(Tabella!$A$1,MATCH(H416,Tabella!$A:$A,0)-1,MATCH(J416,Tabella!$A$1:$AC$1,0)-1)),4)</f>
        <v>1.25</v>
      </c>
      <c r="L416" s="238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238">
        <f ca="1">ROUND(IF(ISERROR(OFFSET(Rame!$A$1,MATCH(H416,Rame!$A:$A,0)-1,MATCH(J416,Rame!$A$1:$AA$1,0)-1)=TRUE),0,OFFSET(Rame!$A$1,MATCH(H416,Rame!$A:$A,0)-1,MATCH(J416,Rame!$A$1:$AA$1,0)-1))*IF(E416="Rame",1,0),4)</f>
        <v>0</v>
      </c>
      <c r="N416" s="238">
        <v>0</v>
      </c>
      <c r="O416" s="238">
        <f t="shared" ca="1" si="266"/>
        <v>1.25</v>
      </c>
      <c r="P416" s="238">
        <f ca="1">ROUND(+IF(ISERROR(OFFSET(Tabella!$G$1,MATCH(H416,Tabella!$G:$G,0)-1,MATCH(I416,Tabella!$G$1:$FG$1,0)-1)=TRUE),0,OFFSET(Tabella!$G$1,MATCH(H416,Tabella!$G:$G,0)-1,MATCH(I416,Tabella!$G$1:$AB$1,0)-1)),4)</f>
        <v>0</v>
      </c>
      <c r="Q416" s="238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238">
        <f ca="1">ROUND(IF(ISERROR(OFFSET(Rame!$F$1,MATCH(H416,Rame!$F:$F,0)-1,MATCH(I416,Rame!$F$1:$FF$1,0)-1)=TRUE),0,OFFSET(Rame!$F$1,MATCH(H416,Rame!$F:$F,0)-1,MATCH(I416,Rame!$F$1:$FF$1,0)-1))*IF(E416="Rame",1,0),4)</f>
        <v>0</v>
      </c>
      <c r="S416" s="238">
        <f ca="1">ROUND(IF(ISERROR(OFFSET(Bronzo!$A$1,MATCH(H416,Bronzo!$A:$A,0)-1,MATCH(I416,Bronzo!$A$1:$AA$1,0)-1)=TRUE),0,OFFSET(Bronzo!$A$1,MATCH(H416,Bronzo!$A:$A,0)-1,MATCH(I416,Bronzo!$A$1:$AA$1,0)-1)),4)</f>
        <v>0</v>
      </c>
      <c r="T416" s="238">
        <f t="shared" ref="T416:T480" ca="1" si="269">ROUND(SUM(P416:S416),4)</f>
        <v>0</v>
      </c>
      <c r="U416" s="237"/>
      <c r="V416" s="238">
        <v>0</v>
      </c>
      <c r="W416" s="239">
        <f t="shared" ref="W416:W480" ca="1" si="270">ROUND(+O416+T416+U416+V416,4)</f>
        <v>1.25</v>
      </c>
      <c r="X416" s="240">
        <f t="shared" si="267"/>
        <v>91</v>
      </c>
      <c r="Y416" s="236">
        <v>4.1500000000000004</v>
      </c>
      <c r="Z416" s="236">
        <f t="shared" ref="Z416:Z480" ca="1" si="271">ROUND(+Y416-W416-F416,4)</f>
        <v>0.25</v>
      </c>
      <c r="AA416" s="241">
        <v>46168</v>
      </c>
      <c r="AF416" s="225">
        <f t="shared" ca="1" si="265"/>
        <v>46236</v>
      </c>
      <c r="AG416" s="225" t="b">
        <f t="shared" si="268"/>
        <v>0</v>
      </c>
      <c r="AH416" s="242"/>
      <c r="AS416" s="223">
        <f t="shared" si="263"/>
        <v>5</v>
      </c>
      <c r="AT416" s="223">
        <f t="shared" si="264"/>
        <v>2026</v>
      </c>
    </row>
    <row r="417" spans="2:46" ht="15.75" x14ac:dyDescent="0.25">
      <c r="B417" s="229" t="s">
        <v>542</v>
      </c>
      <c r="C417" s="235" t="s">
        <v>102</v>
      </c>
      <c r="D417" s="243">
        <v>1000</v>
      </c>
      <c r="E417" s="232" t="s">
        <v>4</v>
      </c>
      <c r="F417" s="233">
        <v>2.65</v>
      </c>
      <c r="G417" s="234">
        <v>46050</v>
      </c>
      <c r="H417" s="235" t="s">
        <v>19</v>
      </c>
      <c r="I417" s="235"/>
      <c r="J417" s="236">
        <v>7.0000000000000007E-2</v>
      </c>
      <c r="K417" s="237">
        <f ca="1">ROUND(IF(ISERROR(OFFSET(Tabella!$A$1,MATCH(H417,Tabella!$A:$A,0)-1,MATCH(J417,Tabella!$A$1:$AC$1,0)-1)=TRUE),0,+OFFSET(Tabella!$A$1,MATCH(H417,Tabella!$A:$A,0)-1,MATCH(J417,Tabella!$A$1:$AC$1,0)-1)),4)</f>
        <v>1.35</v>
      </c>
      <c r="L417" s="238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238">
        <f ca="1">ROUND(IF(ISERROR(OFFSET(Rame!$A$1,MATCH(H417,Rame!$A:$A,0)-1,MATCH(J417,Rame!$A$1:$AA$1,0)-1)=TRUE),0,OFFSET(Rame!$A$1,MATCH(H417,Rame!$A:$A,0)-1,MATCH(J417,Rame!$A$1:$AA$1,0)-1))*IF(E417="Rame",1,0),4)</f>
        <v>0</v>
      </c>
      <c r="N417" s="238">
        <v>0</v>
      </c>
      <c r="O417" s="238">
        <f t="shared" ca="1" si="266"/>
        <v>1.35</v>
      </c>
      <c r="P417" s="238">
        <f ca="1">ROUND(+IF(ISERROR(OFFSET(Tabella!$G$1,MATCH(H417,Tabella!$G:$G,0)-1,MATCH(I417,Tabella!$G$1:$FG$1,0)-1)=TRUE),0,OFFSET(Tabella!$G$1,MATCH(H417,Tabella!$G:$G,0)-1,MATCH(I417,Tabella!$G$1:$AB$1,0)-1)),4)</f>
        <v>0</v>
      </c>
      <c r="Q417" s="238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238">
        <f ca="1">ROUND(IF(ISERROR(OFFSET(Rame!$F$1,MATCH(H417,Rame!$F:$F,0)-1,MATCH(I417,Rame!$F$1:$FF$1,0)-1)=TRUE),0,OFFSET(Rame!$F$1,MATCH(H417,Rame!$F:$F,0)-1,MATCH(I417,Rame!$F$1:$FF$1,0)-1))*IF(E417="Rame",1,0),4)</f>
        <v>0</v>
      </c>
      <c r="S417" s="238">
        <f ca="1">ROUND(IF(ISERROR(OFFSET(Bronzo!$A$1,MATCH(H417,Bronzo!$A:$A,0)-1,MATCH(I417,Bronzo!$A$1:$AA$1,0)-1)=TRUE),0,OFFSET(Bronzo!$A$1,MATCH(H417,Bronzo!$A:$A,0)-1,MATCH(I417,Bronzo!$A$1:$AA$1,0)-1)),4)</f>
        <v>0</v>
      </c>
      <c r="T417" s="238">
        <f t="shared" ca="1" si="269"/>
        <v>0</v>
      </c>
      <c r="U417" s="237"/>
      <c r="V417" s="238">
        <v>0</v>
      </c>
      <c r="W417" s="239">
        <f t="shared" ca="1" si="270"/>
        <v>1.35</v>
      </c>
      <c r="X417" s="240">
        <f t="shared" si="267"/>
        <v>70</v>
      </c>
      <c r="Y417" s="236">
        <v>4.2</v>
      </c>
      <c r="Z417" s="236">
        <f t="shared" ca="1" si="271"/>
        <v>0.2</v>
      </c>
      <c r="AA417" s="241">
        <v>46178</v>
      </c>
      <c r="AF417" s="225">
        <f t="shared" ca="1" si="265"/>
        <v>46236</v>
      </c>
      <c r="AG417" s="225" t="b">
        <f t="shared" si="268"/>
        <v>0</v>
      </c>
      <c r="AH417" s="242"/>
      <c r="AS417" s="223">
        <f t="shared" si="263"/>
        <v>6</v>
      </c>
      <c r="AT417" s="223">
        <f t="shared" si="264"/>
        <v>2026</v>
      </c>
    </row>
    <row r="418" spans="2:46" ht="15.75" x14ac:dyDescent="0.25">
      <c r="B418" s="229" t="s">
        <v>542</v>
      </c>
      <c r="C418" s="235" t="s">
        <v>102</v>
      </c>
      <c r="D418" s="243">
        <v>1200</v>
      </c>
      <c r="E418" s="232" t="s">
        <v>4</v>
      </c>
      <c r="F418" s="233">
        <v>2.65</v>
      </c>
      <c r="G418" s="234">
        <v>46050</v>
      </c>
      <c r="H418" s="235" t="s">
        <v>22</v>
      </c>
      <c r="I418" s="235"/>
      <c r="J418" s="236">
        <v>7.0000000000000007E-2</v>
      </c>
      <c r="K418" s="237">
        <f ca="1">ROUND(IF(ISERROR(OFFSET(Tabella!$A$1,MATCH(H418,Tabella!$A:$A,0)-1,MATCH(J418,Tabella!$A$1:$AC$1,0)-1)=TRUE),0,+OFFSET(Tabella!$A$1,MATCH(H418,Tabella!$A:$A,0)-1,MATCH(J418,Tabella!$A$1:$AC$1,0)-1)),4)</f>
        <v>1.25</v>
      </c>
      <c r="L418" s="238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238">
        <f ca="1">ROUND(IF(ISERROR(OFFSET(Rame!$A$1,MATCH(H418,Rame!$A:$A,0)-1,MATCH(J418,Rame!$A$1:$AA$1,0)-1)=TRUE),0,OFFSET(Rame!$A$1,MATCH(H418,Rame!$A:$A,0)-1,MATCH(J418,Rame!$A$1:$AA$1,0)-1))*IF(E418="Rame",1,0),4)</f>
        <v>0</v>
      </c>
      <c r="N418" s="238">
        <v>0</v>
      </c>
      <c r="O418" s="238">
        <f t="shared" ca="1" si="266"/>
        <v>1.25</v>
      </c>
      <c r="P418" s="238">
        <f ca="1">ROUND(+IF(ISERROR(OFFSET(Tabella!$G$1,MATCH(H418,Tabella!$G:$G,0)-1,MATCH(I418,Tabella!$G$1:$FG$1,0)-1)=TRUE),0,OFFSET(Tabella!$G$1,MATCH(H418,Tabella!$G:$G,0)-1,MATCH(I418,Tabella!$G$1:$AB$1,0)-1)),4)</f>
        <v>0</v>
      </c>
      <c r="Q418" s="238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238">
        <f ca="1">ROUND(IF(ISERROR(OFFSET(Rame!$F$1,MATCH(H418,Rame!$F:$F,0)-1,MATCH(I418,Rame!$F$1:$FF$1,0)-1)=TRUE),0,OFFSET(Rame!$F$1,MATCH(H418,Rame!$F:$F,0)-1,MATCH(I418,Rame!$F$1:$FF$1,0)-1))*IF(E418="Rame",1,0),4)</f>
        <v>0</v>
      </c>
      <c r="S418" s="238">
        <f ca="1">ROUND(IF(ISERROR(OFFSET(Bronzo!$A$1,MATCH(H418,Bronzo!$A:$A,0)-1,MATCH(I418,Bronzo!$A$1:$AA$1,0)-1)=TRUE),0,OFFSET(Bronzo!$A$1,MATCH(H418,Bronzo!$A:$A,0)-1,MATCH(I418,Bronzo!$A$1:$AA$1,0)-1)),4)</f>
        <v>0</v>
      </c>
      <c r="T418" s="238">
        <f t="shared" ca="1" si="269"/>
        <v>0</v>
      </c>
      <c r="U418" s="237"/>
      <c r="V418" s="238">
        <v>0</v>
      </c>
      <c r="W418" s="239">
        <f t="shared" ca="1" si="270"/>
        <v>1.25</v>
      </c>
      <c r="X418" s="240">
        <f t="shared" si="267"/>
        <v>84</v>
      </c>
      <c r="Y418" s="236">
        <v>4.1500000000000004</v>
      </c>
      <c r="Z418" s="236">
        <f t="shared" ca="1" si="271"/>
        <v>0.25</v>
      </c>
      <c r="AA418" s="241">
        <v>46178</v>
      </c>
      <c r="AF418" s="225">
        <f t="shared" ca="1" si="265"/>
        <v>46236</v>
      </c>
      <c r="AG418" s="225" t="b">
        <f t="shared" si="268"/>
        <v>0</v>
      </c>
      <c r="AH418" s="242"/>
      <c r="AS418" s="223">
        <f t="shared" si="263"/>
        <v>6</v>
      </c>
      <c r="AT418" s="223">
        <f t="shared" si="264"/>
        <v>2026</v>
      </c>
    </row>
    <row r="419" spans="2:46" ht="15.75" x14ac:dyDescent="0.25">
      <c r="B419" s="229" t="s">
        <v>542</v>
      </c>
      <c r="C419" s="235" t="s">
        <v>102</v>
      </c>
      <c r="D419" s="243">
        <v>1000</v>
      </c>
      <c r="E419" s="232" t="s">
        <v>4</v>
      </c>
      <c r="F419" s="233">
        <v>2.65</v>
      </c>
      <c r="G419" s="234">
        <v>46050</v>
      </c>
      <c r="H419" s="235" t="s">
        <v>9</v>
      </c>
      <c r="I419" s="235"/>
      <c r="J419" s="236">
        <v>7.0000000000000007E-2</v>
      </c>
      <c r="K419" s="237">
        <f ca="1">ROUND(IF(ISERROR(OFFSET(Tabella!$A$1,MATCH(H419,Tabella!$A:$A,0)-1,MATCH(J419,Tabella!$A$1:$AC$1,0)-1)=TRUE),0,+OFFSET(Tabella!$A$1,MATCH(H419,Tabella!$A:$A,0)-1,MATCH(J419,Tabella!$A$1:$AC$1,0)-1)),4)</f>
        <v>1.6</v>
      </c>
      <c r="L419" s="238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238">
        <f ca="1">ROUND(IF(ISERROR(OFFSET(Rame!$A$1,MATCH(H419,Rame!$A:$A,0)-1,MATCH(J419,Rame!$A$1:$AA$1,0)-1)=TRUE),0,OFFSET(Rame!$A$1,MATCH(H419,Rame!$A:$A,0)-1,MATCH(J419,Rame!$A$1:$AA$1,0)-1))*IF(E419="Rame",1,0),4)</f>
        <v>0</v>
      </c>
      <c r="N419" s="238">
        <v>0</v>
      </c>
      <c r="O419" s="238">
        <f t="shared" ca="1" si="266"/>
        <v>1.6</v>
      </c>
      <c r="P419" s="238">
        <f ca="1">ROUND(+IF(ISERROR(OFFSET(Tabella!$G$1,MATCH(H419,Tabella!$G:$G,0)-1,MATCH(I419,Tabella!$G$1:$FG$1,0)-1)=TRUE),0,OFFSET(Tabella!$G$1,MATCH(H419,Tabella!$G:$G,0)-1,MATCH(I419,Tabella!$G$1:$AB$1,0)-1)),4)</f>
        <v>0</v>
      </c>
      <c r="Q419" s="238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238">
        <f ca="1">ROUND(IF(ISERROR(OFFSET(Rame!$F$1,MATCH(H419,Rame!$F:$F,0)-1,MATCH(I419,Rame!$F$1:$FF$1,0)-1)=TRUE),0,OFFSET(Rame!$F$1,MATCH(H419,Rame!$F:$F,0)-1,MATCH(I419,Rame!$F$1:$FF$1,0)-1))*IF(E419="Rame",1,0),4)</f>
        <v>0</v>
      </c>
      <c r="S419" s="238">
        <f ca="1">ROUND(IF(ISERROR(OFFSET(Bronzo!$A$1,MATCH(H419,Bronzo!$A:$A,0)-1,MATCH(I419,Bronzo!$A$1:$AA$1,0)-1)=TRUE),0,OFFSET(Bronzo!$A$1,MATCH(H419,Bronzo!$A:$A,0)-1,MATCH(I419,Bronzo!$A$1:$AA$1,0)-1)),4)</f>
        <v>0</v>
      </c>
      <c r="T419" s="238">
        <f t="shared" ca="1" si="269"/>
        <v>0</v>
      </c>
      <c r="U419" s="237"/>
      <c r="V419" s="238">
        <v>0</v>
      </c>
      <c r="W419" s="239">
        <f t="shared" ca="1" si="270"/>
        <v>1.6</v>
      </c>
      <c r="X419" s="240">
        <f t="shared" si="267"/>
        <v>70</v>
      </c>
      <c r="Y419" s="236">
        <v>4.4000000000000004</v>
      </c>
      <c r="Z419" s="236">
        <f t="shared" ca="1" si="271"/>
        <v>0.15</v>
      </c>
      <c r="AA419" s="241">
        <v>46192</v>
      </c>
      <c r="AF419" s="225">
        <f t="shared" ca="1" si="265"/>
        <v>46236</v>
      </c>
      <c r="AG419" s="225" t="b">
        <f t="shared" si="268"/>
        <v>0</v>
      </c>
      <c r="AH419" s="242"/>
      <c r="AS419" s="223">
        <f t="shared" si="263"/>
        <v>6</v>
      </c>
      <c r="AT419" s="223">
        <f t="shared" si="264"/>
        <v>2026</v>
      </c>
    </row>
    <row r="420" spans="2:46" ht="15.75" x14ac:dyDescent="0.25">
      <c r="B420" s="229" t="s">
        <v>543</v>
      </c>
      <c r="C420" s="235" t="s">
        <v>418</v>
      </c>
      <c r="D420" s="243">
        <v>1000</v>
      </c>
      <c r="E420" s="232" t="s">
        <v>4</v>
      </c>
      <c r="F420" s="233">
        <v>2.97</v>
      </c>
      <c r="G420" s="234">
        <v>46115</v>
      </c>
      <c r="H420" s="235" t="s">
        <v>21</v>
      </c>
      <c r="I420" s="235"/>
      <c r="J420" s="236">
        <v>7.0000000000000007E-2</v>
      </c>
      <c r="K420" s="237">
        <f ca="1">ROUND(IF(ISERROR(OFFSET(Tabella!$A$1,MATCH(H420,Tabella!$A:$A,0)-1,MATCH(J420,Tabella!$A$1:$AC$1,0)-1)=TRUE),0,+OFFSET(Tabella!$A$1,MATCH(H420,Tabella!$A:$A,0)-1,MATCH(J420,Tabella!$A$1:$AC$1,0)-1)),4)</f>
        <v>1.25</v>
      </c>
      <c r="L420" s="238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238">
        <f ca="1">ROUND(IF(ISERROR(OFFSET(Rame!$A$1,MATCH(H420,Rame!$A:$A,0)-1,MATCH(J420,Rame!$A$1:$AA$1,0)-1)=TRUE),0,OFFSET(Rame!$A$1,MATCH(H420,Rame!$A:$A,0)-1,MATCH(J420,Rame!$A$1:$AA$1,0)-1))*IF(E420="Rame",1,0),4)</f>
        <v>0</v>
      </c>
      <c r="N420" s="238">
        <v>0</v>
      </c>
      <c r="O420" s="238">
        <v>1.73</v>
      </c>
      <c r="P420" s="238">
        <f ca="1">ROUND(+IF(ISERROR(OFFSET(Tabella!$G$1,MATCH(H420,Tabella!$G:$G,0)-1,MATCH(I420,Tabella!$G$1:$FG$1,0)-1)=TRUE),0,OFFSET(Tabella!$G$1,MATCH(H420,Tabella!$G:$G,0)-1,MATCH(I420,Tabella!$G$1:$AB$1,0)-1)),4)</f>
        <v>0</v>
      </c>
      <c r="Q420" s="238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238">
        <f ca="1">ROUND(IF(ISERROR(OFFSET(Rame!$F$1,MATCH(H420,Rame!$F:$F,0)-1,MATCH(I420,Rame!$F$1:$FF$1,0)-1)=TRUE),0,OFFSET(Rame!$F$1,MATCH(H420,Rame!$F:$F,0)-1,MATCH(I420,Rame!$F$1:$FF$1,0)-1))*IF(E420="Rame",1,0),4)</f>
        <v>0</v>
      </c>
      <c r="S420" s="238">
        <f ca="1">ROUND(IF(ISERROR(OFFSET(Bronzo!$A$1,MATCH(H420,Bronzo!$A:$A,0)-1,MATCH(I420,Bronzo!$A$1:$AA$1,0)-1)=TRUE),0,OFFSET(Bronzo!$A$1,MATCH(H420,Bronzo!$A:$A,0)-1,MATCH(I420,Bronzo!$A$1:$AA$1,0)-1)),4)</f>
        <v>0</v>
      </c>
      <c r="T420" s="238">
        <f t="shared" ca="1" si="269"/>
        <v>0</v>
      </c>
      <c r="U420" s="237"/>
      <c r="V420" s="238">
        <v>0</v>
      </c>
      <c r="W420" s="239">
        <f t="shared" ca="1" si="270"/>
        <v>1.73</v>
      </c>
      <c r="X420" s="240">
        <f t="shared" si="267"/>
        <v>70</v>
      </c>
      <c r="Y420" s="236">
        <v>4.57</v>
      </c>
      <c r="Z420" s="236">
        <f t="shared" ca="1" si="271"/>
        <v>-0.13</v>
      </c>
      <c r="AA420" s="241">
        <v>46168</v>
      </c>
      <c r="AF420" s="225">
        <f t="shared" ca="1" si="265"/>
        <v>46236</v>
      </c>
      <c r="AG420" s="225" t="b">
        <f t="shared" si="268"/>
        <v>0</v>
      </c>
      <c r="AH420" s="242"/>
      <c r="AS420" s="223">
        <f t="shared" si="263"/>
        <v>5</v>
      </c>
      <c r="AT420" s="223">
        <f t="shared" si="264"/>
        <v>2026</v>
      </c>
    </row>
    <row r="421" spans="2:46" ht="15.75" x14ac:dyDescent="0.25">
      <c r="B421" s="229" t="s">
        <v>631</v>
      </c>
      <c r="C421" s="235" t="s">
        <v>396</v>
      </c>
      <c r="D421" s="243">
        <v>300</v>
      </c>
      <c r="E421" s="232" t="s">
        <v>4</v>
      </c>
      <c r="F421" s="233">
        <v>2.96</v>
      </c>
      <c r="G421" s="234">
        <v>46148</v>
      </c>
      <c r="H421" s="235" t="s">
        <v>11</v>
      </c>
      <c r="I421" s="235"/>
      <c r="J421" s="236">
        <v>7.0000000000000007E-2</v>
      </c>
      <c r="K421" s="237">
        <f ca="1">ROUND(IF(ISERROR(OFFSET(Tabella!$A$1,MATCH(H421,Tabella!$A:$A,0)-1,MATCH(J421,Tabella!$A$1:$AC$1,0)-1)=TRUE),0,+OFFSET(Tabella!$A$1,MATCH(H421,Tabella!$A:$A,0)-1,MATCH(J421,Tabella!$A$1:$AC$1,0)-1)),4)</f>
        <v>1.5</v>
      </c>
      <c r="L421" s="238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238">
        <f ca="1">ROUND(IF(ISERROR(OFFSET(Rame!$A$1,MATCH(H421,Rame!$A:$A,0)-1,MATCH(J421,Rame!$A$1:$AA$1,0)-1)=TRUE),0,OFFSET(Rame!$A$1,MATCH(H421,Rame!$A:$A,0)-1,MATCH(J421,Rame!$A$1:$AA$1,0)-1))*IF(E421="Rame",1,0),4)</f>
        <v>0</v>
      </c>
      <c r="N421" s="238">
        <v>0</v>
      </c>
      <c r="O421" s="238">
        <f t="shared" ca="1" si="266"/>
        <v>1.5</v>
      </c>
      <c r="P421" s="238">
        <f ca="1">ROUND(+IF(ISERROR(OFFSET(Tabella!$G$1,MATCH(H421,Tabella!$G:$G,0)-1,MATCH(I421,Tabella!$G$1:$FG$1,0)-1)=TRUE),0,OFFSET(Tabella!$G$1,MATCH(H421,Tabella!$G:$G,0)-1,MATCH(I421,Tabella!$G$1:$AB$1,0)-1)),4)</f>
        <v>0</v>
      </c>
      <c r="Q421" s="238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238">
        <f ca="1">ROUND(IF(ISERROR(OFFSET(Rame!$F$1,MATCH(H421,Rame!$F:$F,0)-1,MATCH(I421,Rame!$F$1:$FF$1,0)-1)=TRUE),0,OFFSET(Rame!$F$1,MATCH(H421,Rame!$F:$F,0)-1,MATCH(I421,Rame!$F$1:$FF$1,0)-1))*IF(E421="Rame",1,0),4)</f>
        <v>0</v>
      </c>
      <c r="S421" s="238">
        <f ca="1">ROUND(IF(ISERROR(OFFSET(Bronzo!$A$1,MATCH(H421,Bronzo!$A:$A,0)-1,MATCH(I421,Bronzo!$A$1:$AA$1,0)-1)=TRUE),0,OFFSET(Bronzo!$A$1,MATCH(H421,Bronzo!$A:$A,0)-1,MATCH(I421,Bronzo!$A$1:$AA$1,0)-1)),4)</f>
        <v>0</v>
      </c>
      <c r="T421" s="238">
        <f t="shared" ca="1" si="269"/>
        <v>0</v>
      </c>
      <c r="U421" s="237"/>
      <c r="V421" s="238">
        <v>0</v>
      </c>
      <c r="W421" s="239">
        <f t="shared" ca="1" si="270"/>
        <v>1.5</v>
      </c>
      <c r="X421" s="240">
        <f t="shared" si="267"/>
        <v>21</v>
      </c>
      <c r="Y421" s="236">
        <v>5.21</v>
      </c>
      <c r="Z421" s="236">
        <f t="shared" ca="1" si="271"/>
        <v>0.75</v>
      </c>
      <c r="AA421" s="241">
        <v>46178</v>
      </c>
      <c r="AF421" s="225">
        <f t="shared" ca="1" si="265"/>
        <v>46236</v>
      </c>
      <c r="AG421" s="225" t="b">
        <f t="shared" si="268"/>
        <v>0</v>
      </c>
      <c r="AH421" s="242"/>
      <c r="AS421" s="223">
        <f t="shared" si="263"/>
        <v>6</v>
      </c>
      <c r="AT421" s="223">
        <f t="shared" si="264"/>
        <v>2026</v>
      </c>
    </row>
    <row r="422" spans="2:46" ht="15.75" x14ac:dyDescent="0.25">
      <c r="B422" s="229" t="s">
        <v>632</v>
      </c>
      <c r="C422" s="235" t="s">
        <v>396</v>
      </c>
      <c r="D422" s="243">
        <v>500</v>
      </c>
      <c r="E422" s="232" t="s">
        <v>4</v>
      </c>
      <c r="F422" s="233">
        <v>2.96</v>
      </c>
      <c r="G422" s="234">
        <v>46148</v>
      </c>
      <c r="H422" s="235" t="s">
        <v>11</v>
      </c>
      <c r="I422" s="235"/>
      <c r="J422" s="236">
        <v>7.0000000000000007E-2</v>
      </c>
      <c r="K422" s="237">
        <f ca="1">ROUND(IF(ISERROR(OFFSET(Tabella!$A$1,MATCH(H422,Tabella!$A:$A,0)-1,MATCH(J422,Tabella!$A$1:$AC$1,0)-1)=TRUE),0,+OFFSET(Tabella!$A$1,MATCH(H422,Tabella!$A:$A,0)-1,MATCH(J422,Tabella!$A$1:$AC$1,0)-1)),4)</f>
        <v>1.5</v>
      </c>
      <c r="L422" s="238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238">
        <f ca="1">ROUND(IF(ISERROR(OFFSET(Rame!$A$1,MATCH(H422,Rame!$A:$A,0)-1,MATCH(J422,Rame!$A$1:$AA$1,0)-1)=TRUE),0,OFFSET(Rame!$A$1,MATCH(H422,Rame!$A:$A,0)-1,MATCH(J422,Rame!$A$1:$AA$1,0)-1))*IF(E422="Rame",1,0),4)</f>
        <v>0</v>
      </c>
      <c r="N422" s="238">
        <v>0</v>
      </c>
      <c r="O422" s="238">
        <f t="shared" ca="1" si="266"/>
        <v>1.5</v>
      </c>
      <c r="P422" s="238">
        <f ca="1">ROUND(+IF(ISERROR(OFFSET(Tabella!$G$1,MATCH(H422,Tabella!$G:$G,0)-1,MATCH(I422,Tabella!$G$1:$FG$1,0)-1)=TRUE),0,OFFSET(Tabella!$G$1,MATCH(H422,Tabella!$G:$G,0)-1,MATCH(I422,Tabella!$G$1:$AB$1,0)-1)),4)</f>
        <v>0</v>
      </c>
      <c r="Q422" s="238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238">
        <f ca="1">ROUND(IF(ISERROR(OFFSET(Rame!$F$1,MATCH(H422,Rame!$F:$F,0)-1,MATCH(I422,Rame!$F$1:$FF$1,0)-1)=TRUE),0,OFFSET(Rame!$F$1,MATCH(H422,Rame!$F:$F,0)-1,MATCH(I422,Rame!$F$1:$FF$1,0)-1))*IF(E422="Rame",1,0),4)</f>
        <v>0</v>
      </c>
      <c r="S422" s="238">
        <f ca="1">ROUND(IF(ISERROR(OFFSET(Bronzo!$A$1,MATCH(H422,Bronzo!$A:$A,0)-1,MATCH(I422,Bronzo!$A$1:$AA$1,0)-1)=TRUE),0,OFFSET(Bronzo!$A$1,MATCH(H422,Bronzo!$A:$A,0)-1,MATCH(I422,Bronzo!$A$1:$AA$1,0)-1)),4)</f>
        <v>0</v>
      </c>
      <c r="T422" s="238">
        <f t="shared" ca="1" si="269"/>
        <v>0</v>
      </c>
      <c r="U422" s="237"/>
      <c r="V422" s="238">
        <v>0</v>
      </c>
      <c r="W422" s="239">
        <f t="shared" ca="1" si="270"/>
        <v>1.5</v>
      </c>
      <c r="X422" s="240">
        <f t="shared" si="267"/>
        <v>35</v>
      </c>
      <c r="Y422" s="236">
        <v>5.21</v>
      </c>
      <c r="Z422" s="236">
        <f t="shared" ca="1" si="271"/>
        <v>0.75</v>
      </c>
      <c r="AA422" s="241">
        <v>46199</v>
      </c>
      <c r="AF422" s="225">
        <f t="shared" ca="1" si="265"/>
        <v>46236</v>
      </c>
      <c r="AG422" s="225" t="b">
        <f t="shared" si="268"/>
        <v>0</v>
      </c>
      <c r="AH422" s="242"/>
      <c r="AS422" s="223">
        <f t="shared" si="263"/>
        <v>6</v>
      </c>
      <c r="AT422" s="223">
        <f t="shared" si="264"/>
        <v>2026</v>
      </c>
    </row>
    <row r="423" spans="2:46" ht="15.75" x14ac:dyDescent="0.25">
      <c r="B423" s="229" t="s">
        <v>707</v>
      </c>
      <c r="C423" s="245" t="s">
        <v>108</v>
      </c>
      <c r="D423" s="246">
        <v>681</v>
      </c>
      <c r="E423" s="232" t="s">
        <v>4</v>
      </c>
      <c r="F423" s="233">
        <v>2.98</v>
      </c>
      <c r="G423" s="234">
        <v>46097</v>
      </c>
      <c r="H423" s="235" t="s">
        <v>9</v>
      </c>
      <c r="I423" s="235"/>
      <c r="J423" s="236">
        <v>7.0000000000000007E-2</v>
      </c>
      <c r="K423" s="237">
        <f ca="1">ROUND(IF(ISERROR(OFFSET(Tabella!$A$1,MATCH(H423,Tabella!$A:$A,0)-1,MATCH(J423,Tabella!$A$1:$AC$1,0)-1)=TRUE),0,+OFFSET(Tabella!$A$1,MATCH(H423,Tabella!$A:$A,0)-1,MATCH(J423,Tabella!$A$1:$AC$1,0)-1)),4)</f>
        <v>1.6</v>
      </c>
      <c r="L423" s="238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238">
        <f ca="1">ROUND(IF(ISERROR(OFFSET(Rame!$A$1,MATCH(H423,Rame!$A:$A,0)-1,MATCH(J423,Rame!$A$1:$AA$1,0)-1)=TRUE),0,OFFSET(Rame!$A$1,MATCH(H423,Rame!$A:$A,0)-1,MATCH(J423,Rame!$A$1:$AA$1,0)-1))*IF(E423="Rame",1,0),4)</f>
        <v>0</v>
      </c>
      <c r="N423" s="238">
        <v>0</v>
      </c>
      <c r="O423" s="238">
        <f t="shared" ca="1" si="266"/>
        <v>1.6</v>
      </c>
      <c r="P423" s="238">
        <f ca="1">ROUND(+IF(ISERROR(OFFSET(Tabella!$G$1,MATCH(H423,Tabella!$G:$G,0)-1,MATCH(I423,Tabella!$G$1:$FG$1,0)-1)=TRUE),0,OFFSET(Tabella!$G$1,MATCH(H423,Tabella!$G:$G,0)-1,MATCH(I423,Tabella!$G$1:$AB$1,0)-1)),4)</f>
        <v>0</v>
      </c>
      <c r="Q423" s="238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238">
        <f ca="1">ROUND(IF(ISERROR(OFFSET(Rame!$F$1,MATCH(H423,Rame!$F:$F,0)-1,MATCH(I423,Rame!$F$1:$FF$1,0)-1)=TRUE),0,OFFSET(Rame!$F$1,MATCH(H423,Rame!$F:$F,0)-1,MATCH(I423,Rame!$F$1:$FF$1,0)-1))*IF(E423="Rame",1,0),4)</f>
        <v>0</v>
      </c>
      <c r="S423" s="238">
        <f ca="1">ROUND(IF(ISERROR(OFFSET(Bronzo!$A$1,MATCH(H423,Bronzo!$A:$A,0)-1,MATCH(I423,Bronzo!$A$1:$AA$1,0)-1)=TRUE),0,OFFSET(Bronzo!$A$1,MATCH(H423,Bronzo!$A:$A,0)-1,MATCH(I423,Bronzo!$A$1:$AA$1,0)-1)),4)</f>
        <v>0</v>
      </c>
      <c r="T423" s="238">
        <f t="shared" ca="1" si="269"/>
        <v>0</v>
      </c>
      <c r="U423" s="237"/>
      <c r="V423" s="238">
        <v>0</v>
      </c>
      <c r="W423" s="239">
        <f t="shared" ca="1" si="270"/>
        <v>1.6</v>
      </c>
      <c r="X423" s="423">
        <f t="shared" si="267"/>
        <v>47.67</v>
      </c>
      <c r="Y423" s="236">
        <v>4.88</v>
      </c>
      <c r="Z423" s="236">
        <f t="shared" ca="1" si="271"/>
        <v>0.3</v>
      </c>
      <c r="AA423" s="241"/>
      <c r="AF423" s="225">
        <f t="shared" ca="1" si="265"/>
        <v>46236</v>
      </c>
      <c r="AG423" s="225" t="b">
        <f t="shared" si="268"/>
        <v>1</v>
      </c>
      <c r="AH423" s="242"/>
      <c r="AS423" s="223">
        <f t="shared" si="263"/>
        <v>0</v>
      </c>
      <c r="AT423" s="223">
        <f t="shared" si="264"/>
        <v>0</v>
      </c>
    </row>
    <row r="424" spans="2:46" ht="15.75" x14ac:dyDescent="0.25">
      <c r="B424" s="229" t="s">
        <v>671</v>
      </c>
      <c r="C424" s="235" t="s">
        <v>208</v>
      </c>
      <c r="D424" s="243">
        <v>3500</v>
      </c>
      <c r="E424" s="232" t="s">
        <v>4</v>
      </c>
      <c r="F424" s="233">
        <v>2.98</v>
      </c>
      <c r="G424" s="234">
        <v>46150</v>
      </c>
      <c r="H424" s="235" t="s">
        <v>24</v>
      </c>
      <c r="I424" s="235"/>
      <c r="J424" s="236">
        <v>0.05</v>
      </c>
      <c r="K424" s="237">
        <f ca="1">ROUND(IF(ISERROR(OFFSET(Tabella!$A$1,MATCH(H424,Tabella!$A:$A,0)-1,MATCH(J424,Tabella!$A$1:$AC$1,0)-1)=TRUE),0,+OFFSET(Tabella!$A$1,MATCH(H424,Tabella!$A:$A,0)-1,MATCH(J424,Tabella!$A$1:$AC$1,0)-1)),4)</f>
        <v>0</v>
      </c>
      <c r="L424" s="238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238">
        <f ca="1">ROUND(IF(ISERROR(OFFSET(Rame!$A$1,MATCH(H424,Rame!$A:$A,0)-1,MATCH(J424,Rame!$A$1:$AA$1,0)-1)=TRUE),0,OFFSET(Rame!$A$1,MATCH(H424,Rame!$A:$A,0)-1,MATCH(J424,Rame!$A$1:$AA$1,0)-1))*IF(E424="Rame",1,0),4)</f>
        <v>0</v>
      </c>
      <c r="N424" s="238">
        <v>0</v>
      </c>
      <c r="O424" s="238">
        <v>1.73</v>
      </c>
      <c r="P424" s="238">
        <f ca="1">ROUND(+IF(ISERROR(OFFSET(Tabella!$G$1,MATCH(H424,Tabella!$G:$G,0)-1,MATCH(I424,Tabella!$G$1:$FG$1,0)-1)=TRUE),0,OFFSET(Tabella!$G$1,MATCH(H424,Tabella!$G:$G,0)-1,MATCH(I424,Tabella!$G$1:$AB$1,0)-1)),4)</f>
        <v>0</v>
      </c>
      <c r="Q424" s="238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238">
        <f ca="1">ROUND(IF(ISERROR(OFFSET(Rame!$F$1,MATCH(H424,Rame!$F:$F,0)-1,MATCH(I424,Rame!$F$1:$FF$1,0)-1)=TRUE),0,OFFSET(Rame!$F$1,MATCH(H424,Rame!$F:$F,0)-1,MATCH(I424,Rame!$F$1:$FF$1,0)-1))*IF(E424="Rame",1,0),4)</f>
        <v>0</v>
      </c>
      <c r="S424" s="238">
        <f ca="1">ROUND(IF(ISERROR(OFFSET(Bronzo!$A$1,MATCH(H424,Bronzo!$A:$A,0)-1,MATCH(I424,Bronzo!$A$1:$AA$1,0)-1)=TRUE),0,OFFSET(Bronzo!$A$1,MATCH(H424,Bronzo!$A:$A,0)-1,MATCH(I424,Bronzo!$A$1:$AA$1,0)-1)),4)</f>
        <v>0</v>
      </c>
      <c r="T424" s="238">
        <f t="shared" ca="1" si="269"/>
        <v>0</v>
      </c>
      <c r="U424" s="237"/>
      <c r="V424" s="238">
        <v>0</v>
      </c>
      <c r="W424" s="239">
        <f t="shared" ca="1" si="270"/>
        <v>1.73</v>
      </c>
      <c r="X424" s="240">
        <f t="shared" si="267"/>
        <v>175</v>
      </c>
      <c r="Y424" s="236">
        <v>4.68</v>
      </c>
      <c r="Z424" s="236">
        <f t="shared" ca="1" si="271"/>
        <v>-0.03</v>
      </c>
      <c r="AA424" s="241">
        <v>46169</v>
      </c>
      <c r="AF424" s="225">
        <f t="shared" ca="1" si="265"/>
        <v>46236</v>
      </c>
      <c r="AG424" s="225" t="b">
        <f t="shared" si="268"/>
        <v>0</v>
      </c>
      <c r="AH424" s="242"/>
      <c r="AS424" s="223">
        <f t="shared" si="263"/>
        <v>5</v>
      </c>
      <c r="AT424" s="223">
        <f t="shared" si="264"/>
        <v>2026</v>
      </c>
    </row>
    <row r="425" spans="2:46" ht="15.75" x14ac:dyDescent="0.25">
      <c r="B425" s="229" t="s">
        <v>671</v>
      </c>
      <c r="C425" s="235" t="s">
        <v>208</v>
      </c>
      <c r="D425" s="243">
        <v>8500</v>
      </c>
      <c r="E425" s="232" t="s">
        <v>4</v>
      </c>
      <c r="F425" s="233">
        <v>2.98</v>
      </c>
      <c r="G425" s="234">
        <v>46150</v>
      </c>
      <c r="H425" s="235" t="s">
        <v>24</v>
      </c>
      <c r="I425" s="235"/>
      <c r="J425" s="236">
        <v>0.05</v>
      </c>
      <c r="K425" s="237">
        <f ca="1">ROUND(IF(ISERROR(OFFSET(Tabella!$A$1,MATCH(H425,Tabella!$A:$A,0)-1,MATCH(J425,Tabella!$A$1:$AC$1,0)-1)=TRUE),0,+OFFSET(Tabella!$A$1,MATCH(H425,Tabella!$A:$A,0)-1,MATCH(J425,Tabella!$A$1:$AC$1,0)-1)),4)</f>
        <v>0</v>
      </c>
      <c r="L425" s="238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238">
        <f ca="1">ROUND(IF(ISERROR(OFFSET(Rame!$A$1,MATCH(H425,Rame!$A:$A,0)-1,MATCH(J425,Rame!$A$1:$AA$1,0)-1)=TRUE),0,OFFSET(Rame!$A$1,MATCH(H425,Rame!$A:$A,0)-1,MATCH(J425,Rame!$A$1:$AA$1,0)-1))*IF(E425="Rame",1,0),4)</f>
        <v>0</v>
      </c>
      <c r="N425" s="238">
        <v>0</v>
      </c>
      <c r="O425" s="238">
        <v>1.73</v>
      </c>
      <c r="P425" s="238">
        <f ca="1">ROUND(+IF(ISERROR(OFFSET(Tabella!$G$1,MATCH(H425,Tabella!$G:$G,0)-1,MATCH(I425,Tabella!$G$1:$FG$1,0)-1)=TRUE),0,OFFSET(Tabella!$G$1,MATCH(H425,Tabella!$G:$G,0)-1,MATCH(I425,Tabella!$G$1:$AB$1,0)-1)),4)</f>
        <v>0</v>
      </c>
      <c r="Q425" s="238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238">
        <f ca="1">ROUND(IF(ISERROR(OFFSET(Rame!$F$1,MATCH(H425,Rame!$F:$F,0)-1,MATCH(I425,Rame!$F$1:$FF$1,0)-1)=TRUE),0,OFFSET(Rame!$F$1,MATCH(H425,Rame!$F:$F,0)-1,MATCH(I425,Rame!$F$1:$FF$1,0)-1))*IF(E425="Rame",1,0),4)</f>
        <v>0</v>
      </c>
      <c r="S425" s="238">
        <f ca="1">ROUND(IF(ISERROR(OFFSET(Bronzo!$A$1,MATCH(H425,Bronzo!$A:$A,0)-1,MATCH(I425,Bronzo!$A$1:$AA$1,0)-1)=TRUE),0,OFFSET(Bronzo!$A$1,MATCH(H425,Bronzo!$A:$A,0)-1,MATCH(I425,Bronzo!$A$1:$AA$1,0)-1)),4)</f>
        <v>0</v>
      </c>
      <c r="T425" s="238">
        <f t="shared" ca="1" si="269"/>
        <v>0</v>
      </c>
      <c r="U425" s="237"/>
      <c r="V425" s="238">
        <v>0</v>
      </c>
      <c r="W425" s="239">
        <f t="shared" ca="1" si="270"/>
        <v>1.73</v>
      </c>
      <c r="X425" s="240">
        <f t="shared" si="267"/>
        <v>425</v>
      </c>
      <c r="Y425" s="236">
        <v>4.68</v>
      </c>
      <c r="Z425" s="236">
        <f t="shared" ca="1" si="271"/>
        <v>-0.03</v>
      </c>
      <c r="AA425" s="241">
        <v>46193</v>
      </c>
      <c r="AF425" s="225">
        <f t="shared" ca="1" si="265"/>
        <v>46236</v>
      </c>
      <c r="AG425" s="225" t="b">
        <f t="shared" si="268"/>
        <v>0</v>
      </c>
      <c r="AH425" s="242"/>
      <c r="AS425" s="223">
        <f t="shared" si="263"/>
        <v>6</v>
      </c>
      <c r="AT425" s="223">
        <f t="shared" si="264"/>
        <v>2026</v>
      </c>
    </row>
    <row r="426" spans="2:46" ht="15.75" x14ac:dyDescent="0.25">
      <c r="B426" s="229" t="s">
        <v>671</v>
      </c>
      <c r="C426" s="235" t="s">
        <v>208</v>
      </c>
      <c r="D426" s="243">
        <v>8000</v>
      </c>
      <c r="E426" s="232" t="s">
        <v>4</v>
      </c>
      <c r="F426" s="233">
        <v>2.98</v>
      </c>
      <c r="G426" s="234">
        <v>46150</v>
      </c>
      <c r="H426" s="235" t="s">
        <v>24</v>
      </c>
      <c r="I426" s="235"/>
      <c r="J426" s="236">
        <v>0.05</v>
      </c>
      <c r="K426" s="237">
        <f ca="1">ROUND(IF(ISERROR(OFFSET(Tabella!$A$1,MATCH(H426,Tabella!$A:$A,0)-1,MATCH(J426,Tabella!$A$1:$AC$1,0)-1)=TRUE),0,+OFFSET(Tabella!$A$1,MATCH(H426,Tabella!$A:$A,0)-1,MATCH(J426,Tabella!$A$1:$AC$1,0)-1)),4)</f>
        <v>0</v>
      </c>
      <c r="L426" s="238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238">
        <f ca="1">ROUND(IF(ISERROR(OFFSET(Rame!$A$1,MATCH(H426,Rame!$A:$A,0)-1,MATCH(J426,Rame!$A$1:$AA$1,0)-1)=TRUE),0,OFFSET(Rame!$A$1,MATCH(H426,Rame!$A:$A,0)-1,MATCH(J426,Rame!$A$1:$AA$1,0)-1))*IF(E426="Rame",1,0),4)</f>
        <v>0</v>
      </c>
      <c r="N426" s="238">
        <v>0</v>
      </c>
      <c r="O426" s="238">
        <v>1.73</v>
      </c>
      <c r="P426" s="238">
        <f ca="1">ROUND(+IF(ISERROR(OFFSET(Tabella!$G$1,MATCH(H426,Tabella!$G:$G,0)-1,MATCH(I426,Tabella!$G$1:$FG$1,0)-1)=TRUE),0,OFFSET(Tabella!$G$1,MATCH(H426,Tabella!$G:$G,0)-1,MATCH(I426,Tabella!$G$1:$AB$1,0)-1)),4)</f>
        <v>0</v>
      </c>
      <c r="Q426" s="238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238">
        <f ca="1">ROUND(IF(ISERROR(OFFSET(Rame!$F$1,MATCH(H426,Rame!$F:$F,0)-1,MATCH(I426,Rame!$F$1:$FF$1,0)-1)=TRUE),0,OFFSET(Rame!$F$1,MATCH(H426,Rame!$F:$F,0)-1,MATCH(I426,Rame!$F$1:$FF$1,0)-1))*IF(E426="Rame",1,0),4)</f>
        <v>0</v>
      </c>
      <c r="S426" s="238">
        <f ca="1">ROUND(IF(ISERROR(OFFSET(Bronzo!$A$1,MATCH(H426,Bronzo!$A:$A,0)-1,MATCH(I426,Bronzo!$A$1:$AA$1,0)-1)=TRUE),0,OFFSET(Bronzo!$A$1,MATCH(H426,Bronzo!$A:$A,0)-1,MATCH(I426,Bronzo!$A$1:$AA$1,0)-1)),4)</f>
        <v>0</v>
      </c>
      <c r="T426" s="238">
        <f t="shared" ca="1" si="269"/>
        <v>0</v>
      </c>
      <c r="U426" s="237"/>
      <c r="V426" s="238">
        <v>0</v>
      </c>
      <c r="W426" s="239">
        <f t="shared" ca="1" si="270"/>
        <v>1.73</v>
      </c>
      <c r="X426" s="240">
        <f t="shared" si="267"/>
        <v>400</v>
      </c>
      <c r="Y426" s="236">
        <v>4.68</v>
      </c>
      <c r="Z426" s="236">
        <f t="shared" ca="1" si="271"/>
        <v>-0.03</v>
      </c>
      <c r="AA426" s="241">
        <v>46213</v>
      </c>
      <c r="AF426" s="225">
        <f t="shared" ca="1" si="265"/>
        <v>46236</v>
      </c>
      <c r="AG426" s="225" t="b">
        <f t="shared" si="268"/>
        <v>0</v>
      </c>
      <c r="AH426" s="242"/>
      <c r="AS426" s="223">
        <f t="shared" si="263"/>
        <v>7</v>
      </c>
      <c r="AT426" s="223">
        <f t="shared" si="264"/>
        <v>2026</v>
      </c>
    </row>
    <row r="427" spans="2:46" ht="15.75" x14ac:dyDescent="0.25">
      <c r="B427" s="229" t="s">
        <v>627</v>
      </c>
      <c r="C427" s="235" t="s">
        <v>297</v>
      </c>
      <c r="D427" s="243">
        <v>800</v>
      </c>
      <c r="E427" s="232" t="s">
        <v>4</v>
      </c>
      <c r="F427" s="233">
        <v>2.98</v>
      </c>
      <c r="G427" s="234">
        <v>46150</v>
      </c>
      <c r="H427" s="235" t="s">
        <v>27</v>
      </c>
      <c r="I427" s="235"/>
      <c r="J427" s="236">
        <v>7.0000000000000007E-2</v>
      </c>
      <c r="K427" s="237">
        <f ca="1">ROUND(IF(ISERROR(OFFSET(Tabella!$A$1,MATCH(H427,Tabella!$A:$A,0)-1,MATCH(J427,Tabella!$A$1:$AC$1,0)-1)=TRUE),0,+OFFSET(Tabella!$A$1,MATCH(H427,Tabella!$A:$A,0)-1,MATCH(J427,Tabella!$A$1:$AC$1,0)-1)),4)</f>
        <v>1.25</v>
      </c>
      <c r="L427" s="238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238">
        <f ca="1">ROUND(IF(ISERROR(OFFSET(Rame!$A$1,MATCH(H427,Rame!$A:$A,0)-1,MATCH(J427,Rame!$A$1:$AA$1,0)-1)=TRUE),0,OFFSET(Rame!$A$1,MATCH(H427,Rame!$A:$A,0)-1,MATCH(J427,Rame!$A$1:$AA$1,0)-1))*IF(E427="Rame",1,0),4)</f>
        <v>0</v>
      </c>
      <c r="N427" s="238">
        <v>0</v>
      </c>
      <c r="O427" s="238">
        <v>1.73</v>
      </c>
      <c r="P427" s="238">
        <f ca="1">ROUND(+IF(ISERROR(OFFSET(Tabella!$G$1,MATCH(H427,Tabella!$G:$G,0)-1,MATCH(I427,Tabella!$G$1:$FG$1,0)-1)=TRUE),0,OFFSET(Tabella!$G$1,MATCH(H427,Tabella!$G:$G,0)-1,MATCH(I427,Tabella!$G$1:$AB$1,0)-1)),4)</f>
        <v>0</v>
      </c>
      <c r="Q427" s="238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238">
        <f ca="1">ROUND(IF(ISERROR(OFFSET(Rame!$F$1,MATCH(H427,Rame!$F:$F,0)-1,MATCH(I427,Rame!$F$1:$FF$1,0)-1)=TRUE),0,OFFSET(Rame!$F$1,MATCH(H427,Rame!$F:$F,0)-1,MATCH(I427,Rame!$F$1:$FF$1,0)-1))*IF(E427="Rame",1,0),4)</f>
        <v>0</v>
      </c>
      <c r="S427" s="238">
        <f ca="1">ROUND(IF(ISERROR(OFFSET(Bronzo!$A$1,MATCH(H427,Bronzo!$A:$A,0)-1,MATCH(I427,Bronzo!$A$1:$AA$1,0)-1)=TRUE),0,OFFSET(Bronzo!$A$1,MATCH(H427,Bronzo!$A:$A,0)-1,MATCH(I427,Bronzo!$A$1:$AA$1,0)-1)),4)</f>
        <v>0</v>
      </c>
      <c r="T427" s="238">
        <f t="shared" ca="1" si="269"/>
        <v>0</v>
      </c>
      <c r="U427" s="237"/>
      <c r="V427" s="238">
        <v>0</v>
      </c>
      <c r="W427" s="239">
        <f t="shared" ca="1" si="270"/>
        <v>1.73</v>
      </c>
      <c r="X427" s="240">
        <f t="shared" si="267"/>
        <v>56</v>
      </c>
      <c r="Y427" s="236">
        <v>4.7300000000000004</v>
      </c>
      <c r="Z427" s="236">
        <f t="shared" ca="1" si="271"/>
        <v>0.02</v>
      </c>
      <c r="AA427" s="241">
        <v>46170</v>
      </c>
      <c r="AF427" s="225">
        <f t="shared" ca="1" si="265"/>
        <v>46236</v>
      </c>
      <c r="AG427" s="225" t="b">
        <f t="shared" si="268"/>
        <v>0</v>
      </c>
      <c r="AH427" s="242"/>
      <c r="AS427" s="223">
        <f t="shared" si="263"/>
        <v>5</v>
      </c>
      <c r="AT427" s="223">
        <f t="shared" si="264"/>
        <v>2026</v>
      </c>
    </row>
    <row r="428" spans="2:46" ht="15.75" x14ac:dyDescent="0.25">
      <c r="B428" s="229" t="s">
        <v>715</v>
      </c>
      <c r="C428" s="245" t="s">
        <v>297</v>
      </c>
      <c r="D428" s="246">
        <v>500</v>
      </c>
      <c r="E428" s="232" t="s">
        <v>4</v>
      </c>
      <c r="F428" s="233">
        <v>2.98</v>
      </c>
      <c r="G428" s="234">
        <v>46150</v>
      </c>
      <c r="H428" s="235" t="s">
        <v>17</v>
      </c>
      <c r="I428" s="235"/>
      <c r="J428" s="236">
        <v>7.0000000000000007E-2</v>
      </c>
      <c r="K428" s="237">
        <f ca="1">ROUND(IF(ISERROR(OFFSET(Tabella!$A$1,MATCH(H428,Tabella!$A:$A,0)-1,MATCH(J428,Tabella!$A$1:$AC$1,0)-1)=TRUE),0,+OFFSET(Tabella!$A$1,MATCH(H428,Tabella!$A:$A,0)-1,MATCH(J428,Tabella!$A$1:$AC$1,0)-1)),4)</f>
        <v>1.4</v>
      </c>
      <c r="L428" s="238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238">
        <f ca="1">ROUND(IF(ISERROR(OFFSET(Rame!$A$1,MATCH(H428,Rame!$A:$A,0)-1,MATCH(J428,Rame!$A$1:$AA$1,0)-1)=TRUE),0,OFFSET(Rame!$A$1,MATCH(H428,Rame!$A:$A,0)-1,MATCH(J428,Rame!$A$1:$AA$1,0)-1))*IF(E428="Rame",1,0),4)</f>
        <v>0</v>
      </c>
      <c r="N428" s="238">
        <v>0</v>
      </c>
      <c r="O428" s="238">
        <v>1.83</v>
      </c>
      <c r="P428" s="238">
        <f ca="1">ROUND(+IF(ISERROR(OFFSET(Tabella!$G$1,MATCH(H428,Tabella!$G:$G,0)-1,MATCH(I428,Tabella!$G$1:$FG$1,0)-1)=TRUE),0,OFFSET(Tabella!$G$1,MATCH(H428,Tabella!$G:$G,0)-1,MATCH(I428,Tabella!$G$1:$AB$1,0)-1)),4)</f>
        <v>0</v>
      </c>
      <c r="Q428" s="238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238">
        <f ca="1">ROUND(IF(ISERROR(OFFSET(Rame!$F$1,MATCH(H428,Rame!$F:$F,0)-1,MATCH(I428,Rame!$F$1:$FF$1,0)-1)=TRUE),0,OFFSET(Rame!$F$1,MATCH(H428,Rame!$F:$F,0)-1,MATCH(I428,Rame!$F$1:$FF$1,0)-1))*IF(E428="Rame",1,0),4)</f>
        <v>0</v>
      </c>
      <c r="S428" s="238">
        <f ca="1">ROUND(IF(ISERROR(OFFSET(Bronzo!$A$1,MATCH(H428,Bronzo!$A:$A,0)-1,MATCH(I428,Bronzo!$A$1:$AA$1,0)-1)=TRUE),0,OFFSET(Bronzo!$A$1,MATCH(H428,Bronzo!$A:$A,0)-1,MATCH(I428,Bronzo!$A$1:$AA$1,0)-1)),4)</f>
        <v>0</v>
      </c>
      <c r="T428" s="238">
        <f t="shared" ca="1" si="269"/>
        <v>0</v>
      </c>
      <c r="U428" s="237"/>
      <c r="V428" s="238">
        <v>0</v>
      </c>
      <c r="W428" s="239">
        <f t="shared" ca="1" si="270"/>
        <v>1.83</v>
      </c>
      <c r="X428" s="423">
        <f t="shared" si="267"/>
        <v>35</v>
      </c>
      <c r="Y428" s="236">
        <v>4.83</v>
      </c>
      <c r="Z428" s="236">
        <f t="shared" ca="1" si="271"/>
        <v>0.02</v>
      </c>
      <c r="AA428" s="241"/>
      <c r="AF428" s="225">
        <f t="shared" ca="1" si="265"/>
        <v>46236</v>
      </c>
      <c r="AG428" s="225" t="b">
        <f t="shared" si="268"/>
        <v>1</v>
      </c>
      <c r="AH428" s="242"/>
      <c r="AS428" s="223">
        <f t="shared" si="263"/>
        <v>0</v>
      </c>
      <c r="AT428" s="223">
        <f t="shared" si="264"/>
        <v>0</v>
      </c>
    </row>
    <row r="429" spans="2:46" ht="15.75" x14ac:dyDescent="0.25">
      <c r="B429" s="229" t="s">
        <v>627</v>
      </c>
      <c r="C429" s="235" t="s">
        <v>297</v>
      </c>
      <c r="D429" s="243">
        <v>1100</v>
      </c>
      <c r="E429" s="232" t="s">
        <v>4</v>
      </c>
      <c r="F429" s="233">
        <v>2.98</v>
      </c>
      <c r="G429" s="234">
        <v>46150</v>
      </c>
      <c r="H429" s="235" t="s">
        <v>17</v>
      </c>
      <c r="I429" s="235"/>
      <c r="J429" s="236">
        <v>7.0000000000000007E-2</v>
      </c>
      <c r="K429" s="237">
        <f ca="1">ROUND(IF(ISERROR(OFFSET(Tabella!$A$1,MATCH(H429,Tabella!$A:$A,0)-1,MATCH(J429,Tabella!$A$1:$AC$1,0)-1)=TRUE),0,+OFFSET(Tabella!$A$1,MATCH(H429,Tabella!$A:$A,0)-1,MATCH(J429,Tabella!$A$1:$AC$1,0)-1)),4)</f>
        <v>1.4</v>
      </c>
      <c r="L429" s="238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238">
        <f ca="1">ROUND(IF(ISERROR(OFFSET(Rame!$A$1,MATCH(H429,Rame!$A:$A,0)-1,MATCH(J429,Rame!$A$1:$AA$1,0)-1)=TRUE),0,OFFSET(Rame!$A$1,MATCH(H429,Rame!$A:$A,0)-1,MATCH(J429,Rame!$A$1:$AA$1,0)-1))*IF(E429="Rame",1,0),4)</f>
        <v>0</v>
      </c>
      <c r="N429" s="238">
        <v>0</v>
      </c>
      <c r="O429" s="238">
        <v>1.73</v>
      </c>
      <c r="P429" s="238">
        <f ca="1">ROUND(+IF(ISERROR(OFFSET(Tabella!$G$1,MATCH(H429,Tabella!$G:$G,0)-1,MATCH(I429,Tabella!$G$1:$FG$1,0)-1)=TRUE),0,OFFSET(Tabella!$G$1,MATCH(H429,Tabella!$G:$G,0)-1,MATCH(I429,Tabella!$G$1:$AB$1,0)-1)),4)</f>
        <v>0</v>
      </c>
      <c r="Q429" s="238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238">
        <f ca="1">ROUND(IF(ISERROR(OFFSET(Rame!$F$1,MATCH(H429,Rame!$F:$F,0)-1,MATCH(I429,Rame!$F$1:$FF$1,0)-1)=TRUE),0,OFFSET(Rame!$F$1,MATCH(H429,Rame!$F:$F,0)-1,MATCH(I429,Rame!$F$1:$FF$1,0)-1))*IF(E429="Rame",1,0),4)</f>
        <v>0</v>
      </c>
      <c r="S429" s="238">
        <f ca="1">ROUND(IF(ISERROR(OFFSET(Bronzo!$A$1,MATCH(H429,Bronzo!$A:$A,0)-1,MATCH(I429,Bronzo!$A$1:$AA$1,0)-1)=TRUE),0,OFFSET(Bronzo!$A$1,MATCH(H429,Bronzo!$A:$A,0)-1,MATCH(I429,Bronzo!$A$1:$AA$1,0)-1)),4)</f>
        <v>0</v>
      </c>
      <c r="T429" s="238">
        <f t="shared" ca="1" si="269"/>
        <v>0</v>
      </c>
      <c r="U429" s="237"/>
      <c r="V429" s="238">
        <v>0</v>
      </c>
      <c r="W429" s="239">
        <f t="shared" ca="1" si="270"/>
        <v>1.73</v>
      </c>
      <c r="X429" s="240">
        <f t="shared" si="267"/>
        <v>77</v>
      </c>
      <c r="Y429" s="236">
        <v>4.83</v>
      </c>
      <c r="Z429" s="236">
        <f t="shared" ca="1" si="271"/>
        <v>0.12</v>
      </c>
      <c r="AA429" s="241">
        <v>46170</v>
      </c>
      <c r="AF429" s="225">
        <f t="shared" ca="1" si="265"/>
        <v>46236</v>
      </c>
      <c r="AG429" s="225" t="b">
        <f t="shared" si="268"/>
        <v>0</v>
      </c>
      <c r="AH429" s="242"/>
      <c r="AS429" s="223">
        <f t="shared" si="263"/>
        <v>5</v>
      </c>
      <c r="AT429" s="223">
        <f t="shared" si="264"/>
        <v>2026</v>
      </c>
    </row>
    <row r="430" spans="2:46" ht="15.75" x14ac:dyDescent="0.25">
      <c r="B430" s="229" t="s">
        <v>627</v>
      </c>
      <c r="C430" s="235" t="s">
        <v>297</v>
      </c>
      <c r="D430" s="243">
        <v>500</v>
      </c>
      <c r="E430" s="232" t="s">
        <v>4</v>
      </c>
      <c r="F430" s="233">
        <v>2.98</v>
      </c>
      <c r="G430" s="234">
        <v>46150</v>
      </c>
      <c r="H430" s="235" t="s">
        <v>19</v>
      </c>
      <c r="I430" s="235"/>
      <c r="J430" s="236">
        <v>7.0000000000000007E-2</v>
      </c>
      <c r="K430" s="237">
        <f ca="1">ROUND(IF(ISERROR(OFFSET(Tabella!$A$1,MATCH(H430,Tabella!$A:$A,0)-1,MATCH(J430,Tabella!$A$1:$AC$1,0)-1)=TRUE),0,+OFFSET(Tabella!$A$1,MATCH(H430,Tabella!$A:$A,0)-1,MATCH(J430,Tabella!$A$1:$AC$1,0)-1)),4)</f>
        <v>1.35</v>
      </c>
      <c r="L430" s="238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238">
        <f ca="1">ROUND(IF(ISERROR(OFFSET(Rame!$A$1,MATCH(H430,Rame!$A:$A,0)-1,MATCH(J430,Rame!$A$1:$AA$1,0)-1)=TRUE),0,OFFSET(Rame!$A$1,MATCH(H430,Rame!$A:$A,0)-1,MATCH(J430,Rame!$A$1:$AA$1,0)-1))*IF(E430="Rame",1,0),4)</f>
        <v>0</v>
      </c>
      <c r="N430" s="238">
        <v>0</v>
      </c>
      <c r="O430" s="238">
        <v>1.78</v>
      </c>
      <c r="P430" s="238">
        <f ca="1">ROUND(+IF(ISERROR(OFFSET(Tabella!$G$1,MATCH(H430,Tabella!$G:$G,0)-1,MATCH(I430,Tabella!$G$1:$FG$1,0)-1)=TRUE),0,OFFSET(Tabella!$G$1,MATCH(H430,Tabella!$G:$G,0)-1,MATCH(I430,Tabella!$G$1:$AB$1,0)-1)),4)</f>
        <v>0</v>
      </c>
      <c r="Q430" s="238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238">
        <f ca="1">ROUND(IF(ISERROR(OFFSET(Rame!$F$1,MATCH(H430,Rame!$F:$F,0)-1,MATCH(I430,Rame!$F$1:$FF$1,0)-1)=TRUE),0,OFFSET(Rame!$F$1,MATCH(H430,Rame!$F:$F,0)-1,MATCH(I430,Rame!$F$1:$FF$1,0)-1))*IF(E430="Rame",1,0),4)</f>
        <v>0</v>
      </c>
      <c r="S430" s="238">
        <f ca="1">ROUND(IF(ISERROR(OFFSET(Bronzo!$A$1,MATCH(H430,Bronzo!$A:$A,0)-1,MATCH(I430,Bronzo!$A$1:$AA$1,0)-1)=TRUE),0,OFFSET(Bronzo!$A$1,MATCH(H430,Bronzo!$A:$A,0)-1,MATCH(I430,Bronzo!$A$1:$AA$1,0)-1)),4)</f>
        <v>0</v>
      </c>
      <c r="T430" s="238">
        <f t="shared" ca="1" si="269"/>
        <v>0</v>
      </c>
      <c r="U430" s="237"/>
      <c r="V430" s="238">
        <v>0</v>
      </c>
      <c r="W430" s="239">
        <f t="shared" ca="1" si="270"/>
        <v>1.78</v>
      </c>
      <c r="X430" s="240">
        <f t="shared" si="267"/>
        <v>35</v>
      </c>
      <c r="Y430" s="236">
        <v>4.78</v>
      </c>
      <c r="Z430" s="236">
        <f t="shared" ca="1" si="271"/>
        <v>0.02</v>
      </c>
      <c r="AA430" s="241">
        <v>46170</v>
      </c>
      <c r="AF430" s="225">
        <f t="shared" ca="1" si="265"/>
        <v>46236</v>
      </c>
      <c r="AG430" s="225" t="b">
        <f t="shared" si="268"/>
        <v>0</v>
      </c>
      <c r="AH430" s="242"/>
      <c r="AS430" s="223">
        <f t="shared" si="263"/>
        <v>5</v>
      </c>
      <c r="AT430" s="223">
        <f t="shared" si="264"/>
        <v>2026</v>
      </c>
    </row>
    <row r="431" spans="2:46" ht="15.75" x14ac:dyDescent="0.25">
      <c r="B431" s="229" t="s">
        <v>627</v>
      </c>
      <c r="C431" s="235" t="s">
        <v>297</v>
      </c>
      <c r="D431" s="243">
        <v>500</v>
      </c>
      <c r="E431" s="232" t="s">
        <v>4</v>
      </c>
      <c r="F431" s="233">
        <v>2.98</v>
      </c>
      <c r="G431" s="234">
        <v>46150</v>
      </c>
      <c r="H431" s="235" t="s">
        <v>17</v>
      </c>
      <c r="I431" s="235"/>
      <c r="J431" s="236">
        <v>7.0000000000000007E-2</v>
      </c>
      <c r="K431" s="237">
        <f ca="1">ROUND(IF(ISERROR(OFFSET(Tabella!$A$1,MATCH(H431,Tabella!$A:$A,0)-1,MATCH(J431,Tabella!$A$1:$AC$1,0)-1)=TRUE),0,+OFFSET(Tabella!$A$1,MATCH(H431,Tabella!$A:$A,0)-1,MATCH(J431,Tabella!$A$1:$AC$1,0)-1)),4)</f>
        <v>1.4</v>
      </c>
      <c r="L431" s="238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238">
        <f ca="1">ROUND(IF(ISERROR(OFFSET(Rame!$A$1,MATCH(H431,Rame!$A:$A,0)-1,MATCH(J431,Rame!$A$1:$AA$1,0)-1)=TRUE),0,OFFSET(Rame!$A$1,MATCH(H431,Rame!$A:$A,0)-1,MATCH(J431,Rame!$A$1:$AA$1,0)-1))*IF(E431="Rame",1,0),4)</f>
        <v>0</v>
      </c>
      <c r="N431" s="238">
        <v>0</v>
      </c>
      <c r="O431" s="238">
        <v>1.83</v>
      </c>
      <c r="P431" s="238">
        <f ca="1">ROUND(+IF(ISERROR(OFFSET(Tabella!$G$1,MATCH(H431,Tabella!$G:$G,0)-1,MATCH(I431,Tabella!$G$1:$FG$1,0)-1)=TRUE),0,OFFSET(Tabella!$G$1,MATCH(H431,Tabella!$G:$G,0)-1,MATCH(I431,Tabella!$G$1:$AB$1,0)-1)),4)</f>
        <v>0</v>
      </c>
      <c r="Q431" s="238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238">
        <f ca="1">ROUND(IF(ISERROR(OFFSET(Rame!$F$1,MATCH(H431,Rame!$F:$F,0)-1,MATCH(I431,Rame!$F$1:$FF$1,0)-1)=TRUE),0,OFFSET(Rame!$F$1,MATCH(H431,Rame!$F:$F,0)-1,MATCH(I431,Rame!$F$1:$FF$1,0)-1))*IF(E431="Rame",1,0),4)</f>
        <v>0</v>
      </c>
      <c r="S431" s="238">
        <f ca="1">ROUND(IF(ISERROR(OFFSET(Bronzo!$A$1,MATCH(H431,Bronzo!$A:$A,0)-1,MATCH(I431,Bronzo!$A$1:$AA$1,0)-1)=TRUE),0,OFFSET(Bronzo!$A$1,MATCH(H431,Bronzo!$A:$A,0)-1,MATCH(I431,Bronzo!$A$1:$AA$1,0)-1)),4)</f>
        <v>0</v>
      </c>
      <c r="T431" s="238">
        <f t="shared" ca="1" si="269"/>
        <v>0</v>
      </c>
      <c r="U431" s="237"/>
      <c r="V431" s="238">
        <v>0</v>
      </c>
      <c r="W431" s="239">
        <f t="shared" ca="1" si="270"/>
        <v>1.83</v>
      </c>
      <c r="X431" s="240">
        <f t="shared" si="267"/>
        <v>35</v>
      </c>
      <c r="Y431" s="236">
        <v>4.83</v>
      </c>
      <c r="Z431" s="236">
        <f t="shared" ca="1" si="271"/>
        <v>0.02</v>
      </c>
      <c r="AA431" s="241">
        <v>46170</v>
      </c>
      <c r="AF431" s="225">
        <f t="shared" ca="1" si="265"/>
        <v>46236</v>
      </c>
      <c r="AG431" s="225" t="b">
        <f t="shared" si="268"/>
        <v>0</v>
      </c>
      <c r="AH431" s="242"/>
      <c r="AS431" s="223">
        <f t="shared" si="263"/>
        <v>5</v>
      </c>
      <c r="AT431" s="223">
        <f t="shared" si="264"/>
        <v>2026</v>
      </c>
    </row>
    <row r="432" spans="2:46" ht="15.75" x14ac:dyDescent="0.25">
      <c r="B432" s="229" t="s">
        <v>590</v>
      </c>
      <c r="C432" s="235" t="s">
        <v>441</v>
      </c>
      <c r="D432" s="243">
        <v>1600</v>
      </c>
      <c r="E432" s="232" t="s">
        <v>4</v>
      </c>
      <c r="F432" s="233">
        <v>2.98</v>
      </c>
      <c r="G432" s="234">
        <v>46150</v>
      </c>
      <c r="H432" s="235" t="s">
        <v>25</v>
      </c>
      <c r="I432" s="235"/>
      <c r="J432" s="236">
        <v>7.0000000000000007E-2</v>
      </c>
      <c r="K432" s="237">
        <f ca="1">ROUND(IF(ISERROR(OFFSET(Tabella!$A$1,MATCH(H432,Tabella!$A:$A,0)-1,MATCH(J432,Tabella!$A$1:$AC$1,0)-1)=TRUE),0,+OFFSET(Tabella!$A$1,MATCH(H432,Tabella!$A:$A,0)-1,MATCH(J432,Tabella!$A$1:$AC$1,0)-1)),4)</f>
        <v>1.25</v>
      </c>
      <c r="L432" s="238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238">
        <f ca="1">ROUND(IF(ISERROR(OFFSET(Rame!$A$1,MATCH(H432,Rame!$A:$A,0)-1,MATCH(J432,Rame!$A$1:$AA$1,0)-1)=TRUE),0,OFFSET(Rame!$A$1,MATCH(H432,Rame!$A:$A,0)-1,MATCH(J432,Rame!$A$1:$AA$1,0)-1))*IF(E432="Rame",1,0),4)</f>
        <v>0</v>
      </c>
      <c r="N432" s="238">
        <v>0</v>
      </c>
      <c r="O432" s="238">
        <v>1.73</v>
      </c>
      <c r="P432" s="238">
        <f ca="1">ROUND(+IF(ISERROR(OFFSET(Tabella!$G$1,MATCH(H432,Tabella!$G:$G,0)-1,MATCH(I432,Tabella!$G$1:$FG$1,0)-1)=TRUE),0,OFFSET(Tabella!$G$1,MATCH(H432,Tabella!$G:$G,0)-1,MATCH(I432,Tabella!$G$1:$AB$1,0)-1)),4)</f>
        <v>0</v>
      </c>
      <c r="Q432" s="238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238">
        <f ca="1">ROUND(IF(ISERROR(OFFSET(Rame!$F$1,MATCH(H432,Rame!$F:$F,0)-1,MATCH(I432,Rame!$F$1:$FF$1,0)-1)=TRUE),0,OFFSET(Rame!$F$1,MATCH(H432,Rame!$F:$F,0)-1,MATCH(I432,Rame!$F$1:$FF$1,0)-1))*IF(E432="Rame",1,0),4)</f>
        <v>0</v>
      </c>
      <c r="S432" s="238">
        <f ca="1">ROUND(IF(ISERROR(OFFSET(Bronzo!$A$1,MATCH(H432,Bronzo!$A:$A,0)-1,MATCH(I432,Bronzo!$A$1:$AA$1,0)-1)=TRUE),0,OFFSET(Bronzo!$A$1,MATCH(H432,Bronzo!$A:$A,0)-1,MATCH(I432,Bronzo!$A$1:$AA$1,0)-1)),4)</f>
        <v>0</v>
      </c>
      <c r="T432" s="238">
        <f t="shared" ca="1" si="269"/>
        <v>0</v>
      </c>
      <c r="U432" s="237"/>
      <c r="V432" s="238">
        <v>0</v>
      </c>
      <c r="W432" s="239">
        <f t="shared" ca="1" si="270"/>
        <v>1.73</v>
      </c>
      <c r="X432" s="240">
        <f t="shared" si="267"/>
        <v>112</v>
      </c>
      <c r="Y432" s="236">
        <v>4.7300000000000004</v>
      </c>
      <c r="Z432" s="236">
        <f t="shared" ca="1" si="271"/>
        <v>0.02</v>
      </c>
      <c r="AA432" s="241">
        <v>46205</v>
      </c>
      <c r="AF432" s="225">
        <f t="shared" ca="1" si="265"/>
        <v>46236</v>
      </c>
      <c r="AG432" s="225" t="b">
        <f t="shared" si="268"/>
        <v>0</v>
      </c>
      <c r="AH432" s="242"/>
      <c r="AS432" s="223">
        <f t="shared" si="263"/>
        <v>7</v>
      </c>
      <c r="AT432" s="223">
        <f t="shared" si="264"/>
        <v>2026</v>
      </c>
    </row>
    <row r="433" spans="2:46" ht="15.75" x14ac:dyDescent="0.25">
      <c r="B433" s="229" t="s">
        <v>630</v>
      </c>
      <c r="C433" s="235" t="s">
        <v>210</v>
      </c>
      <c r="D433" s="243">
        <v>700</v>
      </c>
      <c r="E433" s="232" t="s">
        <v>6</v>
      </c>
      <c r="F433" s="233">
        <v>11.42</v>
      </c>
      <c r="G433" s="234">
        <v>46150</v>
      </c>
      <c r="H433" s="235" t="s">
        <v>12</v>
      </c>
      <c r="I433" s="235"/>
      <c r="J433" s="236">
        <v>0.15</v>
      </c>
      <c r="K433" s="237">
        <f ca="1">ROUND(IF(ISERROR(OFFSET(Tabella!$A$1,MATCH(H433,Tabella!$A:$A,0)-1,MATCH(J433,Tabella!$A$1:$AC$1,0)-1)=TRUE),0,+OFFSET(Tabella!$A$1,MATCH(H433,Tabella!$A:$A,0)-1,MATCH(J433,Tabella!$A$1:$AC$1,0)-1)),4)</f>
        <v>0</v>
      </c>
      <c r="L433" s="238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238">
        <f ca="1">ROUND(IF(ISERROR(OFFSET(Rame!$A$1,MATCH(H433,Rame!$A:$A,0)-1,MATCH(J433,Rame!$A$1:$AA$1,0)-1)=TRUE),0,OFFSET(Rame!$A$1,MATCH(H433,Rame!$A:$A,0)-1,MATCH(J433,Rame!$A$1:$AA$1,0)-1))*IF(E433="Rame",1,0),4)</f>
        <v>1.25</v>
      </c>
      <c r="N433" s="238">
        <v>0</v>
      </c>
      <c r="O433" s="238">
        <f t="shared" ref="O433:O479" ca="1" si="272">ROUND(SUM(K433:N433),4)</f>
        <v>1.25</v>
      </c>
      <c r="P433" s="238">
        <f ca="1">ROUND(+IF(ISERROR(OFFSET(Tabella!$G$1,MATCH(H433,Tabella!$G:$G,0)-1,MATCH(I433,Tabella!$G$1:$FG$1,0)-1)=TRUE),0,OFFSET(Tabella!$G$1,MATCH(H433,Tabella!$G:$G,0)-1,MATCH(I433,Tabella!$G$1:$AB$1,0)-1)),4)</f>
        <v>0</v>
      </c>
      <c r="Q433" s="238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238">
        <f ca="1">ROUND(IF(ISERROR(OFFSET(Rame!$F$1,MATCH(H433,Rame!$F:$F,0)-1,MATCH(I433,Rame!$F$1:$FF$1,0)-1)=TRUE),0,OFFSET(Rame!$F$1,MATCH(H433,Rame!$F:$F,0)-1,MATCH(I433,Rame!$F$1:$FF$1,0)-1))*IF(E433="Rame",1,0),4)</f>
        <v>0</v>
      </c>
      <c r="S433" s="238">
        <f ca="1">ROUND(IF(ISERROR(OFFSET(Bronzo!$A$1,MATCH(H433,Bronzo!$A:$A,0)-1,MATCH(I433,Bronzo!$A$1:$AA$1,0)-1)=TRUE),0,OFFSET(Bronzo!$A$1,MATCH(H433,Bronzo!$A:$A,0)-1,MATCH(I433,Bronzo!$A$1:$AA$1,0)-1)),4)</f>
        <v>0</v>
      </c>
      <c r="T433" s="238">
        <f t="shared" ca="1" si="269"/>
        <v>0</v>
      </c>
      <c r="U433" s="237"/>
      <c r="V433" s="238">
        <v>0</v>
      </c>
      <c r="W433" s="239">
        <f t="shared" ca="1" si="270"/>
        <v>1.25</v>
      </c>
      <c r="X433" s="240">
        <f t="shared" si="267"/>
        <v>105</v>
      </c>
      <c r="Y433" s="236">
        <v>15</v>
      </c>
      <c r="Z433" s="236">
        <f t="shared" ca="1" si="271"/>
        <v>2.33</v>
      </c>
      <c r="AA433" s="241">
        <v>46178</v>
      </c>
      <c r="AF433" s="225">
        <f t="shared" ca="1" si="265"/>
        <v>46236</v>
      </c>
      <c r="AG433" s="225" t="b">
        <f t="shared" si="268"/>
        <v>0</v>
      </c>
      <c r="AH433" s="242"/>
      <c r="AS433" s="223">
        <f t="shared" si="263"/>
        <v>6</v>
      </c>
      <c r="AT433" s="223">
        <f t="shared" si="264"/>
        <v>2026</v>
      </c>
    </row>
    <row r="434" spans="2:46" ht="15.75" x14ac:dyDescent="0.25">
      <c r="B434" s="229" t="s">
        <v>668</v>
      </c>
      <c r="C434" s="248" t="s">
        <v>102</v>
      </c>
      <c r="D434" s="249">
        <v>16500</v>
      </c>
      <c r="E434" s="232" t="s">
        <v>4</v>
      </c>
      <c r="F434" s="233">
        <v>2.97</v>
      </c>
      <c r="G434" s="234">
        <v>46150</v>
      </c>
      <c r="H434" s="235" t="s">
        <v>21</v>
      </c>
      <c r="I434" s="235"/>
      <c r="J434" s="236">
        <v>7.0000000000000007E-2</v>
      </c>
      <c r="K434" s="237">
        <f ca="1">ROUND(IF(ISERROR(OFFSET(Tabella!$A$1,MATCH(H434,Tabella!$A:$A,0)-1,MATCH(J434,Tabella!$A$1:$AC$1,0)-1)=TRUE),0,+OFFSET(Tabella!$A$1,MATCH(H434,Tabella!$A:$A,0)-1,MATCH(J434,Tabella!$A$1:$AC$1,0)-1)),4)</f>
        <v>1.25</v>
      </c>
      <c r="L434" s="238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238">
        <f ca="1">ROUND(IF(ISERROR(OFFSET(Rame!$A$1,MATCH(H434,Rame!$A:$A,0)-1,MATCH(J434,Rame!$A$1:$AA$1,0)-1)=TRUE),0,OFFSET(Rame!$A$1,MATCH(H434,Rame!$A:$A,0)-1,MATCH(J434,Rame!$A$1:$AA$1,0)-1))*IF(E434="Rame",1,0),4)</f>
        <v>0</v>
      </c>
      <c r="N434" s="238">
        <v>0</v>
      </c>
      <c r="O434" s="238">
        <f t="shared" ca="1" si="272"/>
        <v>1.25</v>
      </c>
      <c r="P434" s="238">
        <f ca="1">ROUND(+IF(ISERROR(OFFSET(Tabella!$G$1,MATCH(H434,Tabella!$G:$G,0)-1,MATCH(I434,Tabella!$G$1:$FG$1,0)-1)=TRUE),0,OFFSET(Tabella!$G$1,MATCH(H434,Tabella!$G:$G,0)-1,MATCH(I434,Tabella!$G$1:$AB$1,0)-1)),4)</f>
        <v>0</v>
      </c>
      <c r="Q434" s="238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238">
        <f ca="1">ROUND(IF(ISERROR(OFFSET(Rame!$F$1,MATCH(H434,Rame!$F:$F,0)-1,MATCH(I434,Rame!$F$1:$FF$1,0)-1)=TRUE),0,OFFSET(Rame!$F$1,MATCH(H434,Rame!$F:$F,0)-1,MATCH(I434,Rame!$F$1:$FF$1,0)-1))*IF(E434="Rame",1,0),4)</f>
        <v>0</v>
      </c>
      <c r="S434" s="238">
        <f ca="1">ROUND(IF(ISERROR(OFFSET(Bronzo!$A$1,MATCH(H434,Bronzo!$A:$A,0)-1,MATCH(I434,Bronzo!$A$1:$AA$1,0)-1)=TRUE),0,OFFSET(Bronzo!$A$1,MATCH(H434,Bronzo!$A:$A,0)-1,MATCH(I434,Bronzo!$A$1:$AA$1,0)-1)),4)</f>
        <v>0</v>
      </c>
      <c r="T434" s="238">
        <f t="shared" ca="1" si="269"/>
        <v>0</v>
      </c>
      <c r="U434" s="237"/>
      <c r="V434" s="238">
        <v>0</v>
      </c>
      <c r="W434" s="239">
        <f t="shared" ca="1" si="270"/>
        <v>1.25</v>
      </c>
      <c r="X434" s="424">
        <f t="shared" si="267"/>
        <v>1155</v>
      </c>
      <c r="Y434" s="236">
        <v>4.7</v>
      </c>
      <c r="Z434" s="236">
        <f t="shared" ca="1" si="271"/>
        <v>0.48</v>
      </c>
      <c r="AA434" s="241">
        <v>46203</v>
      </c>
      <c r="AF434" s="225">
        <f t="shared" ca="1" si="265"/>
        <v>46236</v>
      </c>
      <c r="AG434" s="225" t="b">
        <f t="shared" si="268"/>
        <v>0</v>
      </c>
      <c r="AH434" s="242"/>
      <c r="AS434" s="223">
        <f t="shared" si="263"/>
        <v>6</v>
      </c>
      <c r="AT434" s="223">
        <f t="shared" si="264"/>
        <v>2026</v>
      </c>
    </row>
    <row r="435" spans="2:46" ht="15.75" x14ac:dyDescent="0.25">
      <c r="B435" s="229" t="s">
        <v>626</v>
      </c>
      <c r="C435" s="245" t="s">
        <v>418</v>
      </c>
      <c r="D435" s="246">
        <v>2357</v>
      </c>
      <c r="E435" s="232" t="s">
        <v>4</v>
      </c>
      <c r="F435" s="233">
        <v>2.97</v>
      </c>
      <c r="G435" s="234">
        <v>46113</v>
      </c>
      <c r="H435" s="235" t="s">
        <v>23</v>
      </c>
      <c r="I435" s="235"/>
      <c r="J435" s="236">
        <v>7.0000000000000007E-2</v>
      </c>
      <c r="K435" s="237">
        <f ca="1">ROUND(IF(ISERROR(OFFSET(Tabella!$A$1,MATCH(H435,Tabella!$A:$A,0)-1,MATCH(J435,Tabella!$A$1:$AC$1,0)-1)=TRUE),0,+OFFSET(Tabella!$A$1,MATCH(H435,Tabella!$A:$A,0)-1,MATCH(J435,Tabella!$A$1:$AC$1,0)-1)),4)</f>
        <v>1.25</v>
      </c>
      <c r="L435" s="238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238">
        <f ca="1">ROUND(IF(ISERROR(OFFSET(Rame!$A$1,MATCH(H435,Rame!$A:$A,0)-1,MATCH(J435,Rame!$A$1:$AA$1,0)-1)=TRUE),0,OFFSET(Rame!$A$1,MATCH(H435,Rame!$A:$A,0)-1,MATCH(J435,Rame!$A$1:$AA$1,0)-1))*IF(E435="Rame",1,0),4)</f>
        <v>0</v>
      </c>
      <c r="N435" s="238">
        <v>0</v>
      </c>
      <c r="O435" s="238">
        <v>1.73</v>
      </c>
      <c r="P435" s="238">
        <f ca="1">ROUND(+IF(ISERROR(OFFSET(Tabella!$G$1,MATCH(H435,Tabella!$G:$G,0)-1,MATCH(I435,Tabella!$G$1:$FG$1,0)-1)=TRUE),0,OFFSET(Tabella!$G$1,MATCH(H435,Tabella!$G:$G,0)-1,MATCH(I435,Tabella!$G$1:$AB$1,0)-1)),4)</f>
        <v>0</v>
      </c>
      <c r="Q435" s="238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238">
        <f ca="1">ROUND(IF(ISERROR(OFFSET(Rame!$F$1,MATCH(H435,Rame!$F:$F,0)-1,MATCH(I435,Rame!$F$1:$FF$1,0)-1)=TRUE),0,OFFSET(Rame!$F$1,MATCH(H435,Rame!$F:$F,0)-1,MATCH(I435,Rame!$F$1:$FF$1,0)-1))*IF(E435="Rame",1,0),4)</f>
        <v>0</v>
      </c>
      <c r="S435" s="238">
        <f ca="1">ROUND(IF(ISERROR(OFFSET(Bronzo!$A$1,MATCH(H435,Bronzo!$A:$A,0)-1,MATCH(I435,Bronzo!$A$1:$AA$1,0)-1)=TRUE),0,OFFSET(Bronzo!$A$1,MATCH(H435,Bronzo!$A:$A,0)-1,MATCH(I435,Bronzo!$A$1:$AA$1,0)-1)),4)</f>
        <v>0</v>
      </c>
      <c r="T435" s="238">
        <f t="shared" ca="1" si="269"/>
        <v>0</v>
      </c>
      <c r="U435" s="237"/>
      <c r="V435" s="238">
        <v>0</v>
      </c>
      <c r="W435" s="239">
        <f t="shared" ca="1" si="270"/>
        <v>1.73</v>
      </c>
      <c r="X435" s="423">
        <f t="shared" si="267"/>
        <v>164.99</v>
      </c>
      <c r="Y435" s="236">
        <v>4.57</v>
      </c>
      <c r="Z435" s="236">
        <f t="shared" ca="1" si="271"/>
        <v>-0.13</v>
      </c>
      <c r="AA435" s="241"/>
      <c r="AF435" s="225">
        <f t="shared" ca="1" si="265"/>
        <v>46236</v>
      </c>
      <c r="AG435" s="225" t="b">
        <f t="shared" si="268"/>
        <v>1</v>
      </c>
      <c r="AH435" s="242"/>
      <c r="AS435" s="223">
        <f t="shared" si="263"/>
        <v>0</v>
      </c>
      <c r="AT435" s="223">
        <f t="shared" si="264"/>
        <v>0</v>
      </c>
    </row>
    <row r="436" spans="2:46" ht="15.75" x14ac:dyDescent="0.25">
      <c r="B436" s="229" t="s">
        <v>672</v>
      </c>
      <c r="C436" s="235" t="s">
        <v>208</v>
      </c>
      <c r="D436" s="243">
        <v>600</v>
      </c>
      <c r="E436" s="232" t="s">
        <v>4</v>
      </c>
      <c r="F436" s="233">
        <v>3.04</v>
      </c>
      <c r="G436" s="234">
        <v>46139</v>
      </c>
      <c r="H436" s="235" t="s">
        <v>314</v>
      </c>
      <c r="I436" s="235"/>
      <c r="J436" s="236">
        <v>7.0000000000000007E-2</v>
      </c>
      <c r="K436" s="237">
        <f ca="1">ROUND(IF(ISERROR(OFFSET(Tabella!$A$1,MATCH(H436,Tabella!$A:$A,0)-1,MATCH(J436,Tabella!$A$1:$AC$1,0)-1)=TRUE),0,+OFFSET(Tabella!$A$1,MATCH(H436,Tabella!$A:$A,0)-1,MATCH(J436,Tabella!$A$1:$AC$1,0)-1)),4)</f>
        <v>1.25</v>
      </c>
      <c r="L436" s="238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238">
        <f ca="1">ROUND(IF(ISERROR(OFFSET(Rame!$A$1,MATCH(H436,Rame!$A:$A,0)-1,MATCH(J436,Rame!$A$1:$AA$1,0)-1)=TRUE),0,OFFSET(Rame!$A$1,MATCH(H436,Rame!$A:$A,0)-1,MATCH(J436,Rame!$A$1:$AA$1,0)-1))*IF(E436="Rame",1,0),4)</f>
        <v>0</v>
      </c>
      <c r="N436" s="238">
        <v>0</v>
      </c>
      <c r="O436" s="238">
        <f t="shared" ca="1" si="272"/>
        <v>1.25</v>
      </c>
      <c r="P436" s="238">
        <f ca="1">ROUND(+IF(ISERROR(OFFSET(Tabella!$G$1,MATCH(H436,Tabella!$G:$G,0)-1,MATCH(I436,Tabella!$G$1:$FG$1,0)-1)=TRUE),0,OFFSET(Tabella!$G$1,MATCH(H436,Tabella!$G:$G,0)-1,MATCH(I436,Tabella!$G$1:$AB$1,0)-1)),4)</f>
        <v>0</v>
      </c>
      <c r="Q436" s="238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238">
        <f ca="1">ROUND(IF(ISERROR(OFFSET(Rame!$F$1,MATCH(H436,Rame!$F:$F,0)-1,MATCH(I436,Rame!$F$1:$FF$1,0)-1)=TRUE),0,OFFSET(Rame!$F$1,MATCH(H436,Rame!$F:$F,0)-1,MATCH(I436,Rame!$F$1:$FF$1,0)-1))*IF(E436="Rame",1,0),4)</f>
        <v>0</v>
      </c>
      <c r="S436" s="238">
        <f ca="1">ROUND(IF(ISERROR(OFFSET(Bronzo!$A$1,MATCH(H436,Bronzo!$A:$A,0)-1,MATCH(I436,Bronzo!$A$1:$AA$1,0)-1)=TRUE),0,OFFSET(Bronzo!$A$1,MATCH(H436,Bronzo!$A:$A,0)-1,MATCH(I436,Bronzo!$A$1:$AA$1,0)-1)),4)</f>
        <v>0</v>
      </c>
      <c r="T436" s="238">
        <f t="shared" ca="1" si="269"/>
        <v>0</v>
      </c>
      <c r="U436" s="237"/>
      <c r="V436" s="238">
        <v>0</v>
      </c>
      <c r="W436" s="239">
        <f t="shared" ca="1" si="270"/>
        <v>1.25</v>
      </c>
      <c r="X436" s="240">
        <f t="shared" si="267"/>
        <v>42</v>
      </c>
      <c r="Y436" s="236">
        <v>4.75</v>
      </c>
      <c r="Z436" s="236">
        <f t="shared" ca="1" si="271"/>
        <v>0.46</v>
      </c>
      <c r="AA436" s="241">
        <v>46178</v>
      </c>
      <c r="AF436" s="225">
        <f t="shared" ca="1" si="265"/>
        <v>46236</v>
      </c>
      <c r="AG436" s="225" t="b">
        <f t="shared" si="268"/>
        <v>0</v>
      </c>
      <c r="AH436" s="242"/>
      <c r="AS436" s="223">
        <f t="shared" si="263"/>
        <v>6</v>
      </c>
      <c r="AT436" s="223">
        <f t="shared" si="264"/>
        <v>2026</v>
      </c>
    </row>
    <row r="437" spans="2:46" ht="15.75" x14ac:dyDescent="0.25">
      <c r="B437" s="229" t="s">
        <v>672</v>
      </c>
      <c r="C437" s="235" t="s">
        <v>208</v>
      </c>
      <c r="D437" s="243">
        <v>1300</v>
      </c>
      <c r="E437" s="232" t="s">
        <v>4</v>
      </c>
      <c r="F437" s="233">
        <v>3.04</v>
      </c>
      <c r="G437" s="234">
        <v>46139</v>
      </c>
      <c r="H437" s="235" t="s">
        <v>22</v>
      </c>
      <c r="I437" s="235"/>
      <c r="J437" s="236">
        <v>7.0000000000000007E-2</v>
      </c>
      <c r="K437" s="237">
        <f ca="1">ROUND(IF(ISERROR(OFFSET(Tabella!$A$1,MATCH(H437,Tabella!$A:$A,0)-1,MATCH(J437,Tabella!$A$1:$AC$1,0)-1)=TRUE),0,+OFFSET(Tabella!$A$1,MATCH(H437,Tabella!$A:$A,0)-1,MATCH(J437,Tabella!$A$1:$AC$1,0)-1)),4)</f>
        <v>1.25</v>
      </c>
      <c r="L437" s="238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238">
        <f ca="1">ROUND(IF(ISERROR(OFFSET(Rame!$A$1,MATCH(H437,Rame!$A:$A,0)-1,MATCH(J437,Rame!$A$1:$AA$1,0)-1)=TRUE),0,OFFSET(Rame!$A$1,MATCH(H437,Rame!$A:$A,0)-1,MATCH(J437,Rame!$A$1:$AA$1,0)-1))*IF(E437="Rame",1,0),4)</f>
        <v>0</v>
      </c>
      <c r="N437" s="238">
        <v>0</v>
      </c>
      <c r="O437" s="238">
        <f t="shared" ca="1" si="272"/>
        <v>1.25</v>
      </c>
      <c r="P437" s="238">
        <f ca="1">ROUND(+IF(ISERROR(OFFSET(Tabella!$G$1,MATCH(H437,Tabella!$G:$G,0)-1,MATCH(I437,Tabella!$G$1:$FG$1,0)-1)=TRUE),0,OFFSET(Tabella!$G$1,MATCH(H437,Tabella!$G:$G,0)-1,MATCH(I437,Tabella!$G$1:$AB$1,0)-1)),4)</f>
        <v>0</v>
      </c>
      <c r="Q437" s="238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238">
        <f ca="1">ROUND(IF(ISERROR(OFFSET(Rame!$F$1,MATCH(H437,Rame!$F:$F,0)-1,MATCH(I437,Rame!$F$1:$FF$1,0)-1)=TRUE),0,OFFSET(Rame!$F$1,MATCH(H437,Rame!$F:$F,0)-1,MATCH(I437,Rame!$F$1:$FF$1,0)-1))*IF(E437="Rame",1,0),4)</f>
        <v>0</v>
      </c>
      <c r="S437" s="238">
        <f ca="1">ROUND(IF(ISERROR(OFFSET(Bronzo!$A$1,MATCH(H437,Bronzo!$A:$A,0)-1,MATCH(I437,Bronzo!$A$1:$AA$1,0)-1)=TRUE),0,OFFSET(Bronzo!$A$1,MATCH(H437,Bronzo!$A:$A,0)-1,MATCH(I437,Bronzo!$A$1:$AA$1,0)-1)),4)</f>
        <v>0</v>
      </c>
      <c r="T437" s="238">
        <f t="shared" ca="1" si="269"/>
        <v>0</v>
      </c>
      <c r="U437" s="237"/>
      <c r="V437" s="238">
        <v>0</v>
      </c>
      <c r="W437" s="239">
        <f t="shared" ca="1" si="270"/>
        <v>1.25</v>
      </c>
      <c r="X437" s="240">
        <f t="shared" si="267"/>
        <v>91</v>
      </c>
      <c r="Y437" s="236">
        <v>4.75</v>
      </c>
      <c r="Z437" s="236">
        <f t="shared" ca="1" si="271"/>
        <v>0.46</v>
      </c>
      <c r="AA437" s="241">
        <v>46178</v>
      </c>
      <c r="AF437" s="225">
        <f t="shared" ca="1" si="265"/>
        <v>46236</v>
      </c>
      <c r="AG437" s="225" t="b">
        <f t="shared" si="268"/>
        <v>0</v>
      </c>
      <c r="AH437" s="242"/>
      <c r="AS437" s="223">
        <f t="shared" si="263"/>
        <v>6</v>
      </c>
      <c r="AT437" s="223">
        <f t="shared" si="264"/>
        <v>2026</v>
      </c>
    </row>
    <row r="438" spans="2:46" ht="15.75" x14ac:dyDescent="0.25">
      <c r="B438" s="229" t="s">
        <v>672</v>
      </c>
      <c r="C438" s="235" t="s">
        <v>208</v>
      </c>
      <c r="D438" s="243">
        <v>1700</v>
      </c>
      <c r="E438" s="232" t="s">
        <v>4</v>
      </c>
      <c r="F438" s="233">
        <v>3.04</v>
      </c>
      <c r="G438" s="234">
        <v>46139</v>
      </c>
      <c r="H438" s="235" t="s">
        <v>308</v>
      </c>
      <c r="I438" s="235"/>
      <c r="J438" s="236">
        <v>7.0000000000000007E-2</v>
      </c>
      <c r="K438" s="237">
        <f ca="1">ROUND(IF(ISERROR(OFFSET(Tabella!$A$1,MATCH(H438,Tabella!$A:$A,0)-1,MATCH(J438,Tabella!$A$1:$AC$1,0)-1)=TRUE),0,+OFFSET(Tabella!$A$1,MATCH(H438,Tabella!$A:$A,0)-1,MATCH(J438,Tabella!$A$1:$AC$1,0)-1)),4)</f>
        <v>1.25</v>
      </c>
      <c r="L438" s="238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238">
        <f ca="1">ROUND(IF(ISERROR(OFFSET(Rame!$A$1,MATCH(H438,Rame!$A:$A,0)-1,MATCH(J438,Rame!$A$1:$AA$1,0)-1)=TRUE),0,OFFSET(Rame!$A$1,MATCH(H438,Rame!$A:$A,0)-1,MATCH(J438,Rame!$A$1:$AA$1,0)-1))*IF(E438="Rame",1,0),4)</f>
        <v>0</v>
      </c>
      <c r="N438" s="238">
        <v>0</v>
      </c>
      <c r="O438" s="238">
        <f t="shared" ca="1" si="272"/>
        <v>1.25</v>
      </c>
      <c r="P438" s="238">
        <f ca="1">ROUND(+IF(ISERROR(OFFSET(Tabella!$G$1,MATCH(H438,Tabella!$G:$G,0)-1,MATCH(I438,Tabella!$G$1:$FG$1,0)-1)=TRUE),0,OFFSET(Tabella!$G$1,MATCH(H438,Tabella!$G:$G,0)-1,MATCH(I438,Tabella!$G$1:$AB$1,0)-1)),4)</f>
        <v>0</v>
      </c>
      <c r="Q438" s="238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238">
        <f ca="1">ROUND(IF(ISERROR(OFFSET(Rame!$F$1,MATCH(H438,Rame!$F:$F,0)-1,MATCH(I438,Rame!$F$1:$FF$1,0)-1)=TRUE),0,OFFSET(Rame!$F$1,MATCH(H438,Rame!$F:$F,0)-1,MATCH(I438,Rame!$F$1:$FF$1,0)-1))*IF(E438="Rame",1,0),4)</f>
        <v>0</v>
      </c>
      <c r="S438" s="238">
        <f ca="1">ROUND(IF(ISERROR(OFFSET(Bronzo!$A$1,MATCH(H438,Bronzo!$A:$A,0)-1,MATCH(I438,Bronzo!$A$1:$AA$1,0)-1)=TRUE),0,OFFSET(Bronzo!$A$1,MATCH(H438,Bronzo!$A:$A,0)-1,MATCH(I438,Bronzo!$A$1:$AA$1,0)-1)),4)</f>
        <v>0</v>
      </c>
      <c r="T438" s="238">
        <f t="shared" ca="1" si="269"/>
        <v>0</v>
      </c>
      <c r="U438" s="237"/>
      <c r="V438" s="238">
        <v>0</v>
      </c>
      <c r="W438" s="239">
        <f t="shared" ca="1" si="270"/>
        <v>1.25</v>
      </c>
      <c r="X438" s="240">
        <f t="shared" si="267"/>
        <v>119</v>
      </c>
      <c r="Y438" s="236">
        <v>4.75</v>
      </c>
      <c r="Z438" s="236">
        <f t="shared" ca="1" si="271"/>
        <v>0.46</v>
      </c>
      <c r="AA438" s="241">
        <v>46178</v>
      </c>
      <c r="AF438" s="225">
        <f t="shared" ca="1" si="265"/>
        <v>46236</v>
      </c>
      <c r="AG438" s="225" t="b">
        <f t="shared" si="268"/>
        <v>0</v>
      </c>
      <c r="AH438" s="242"/>
      <c r="AS438" s="223">
        <f t="shared" si="263"/>
        <v>6</v>
      </c>
      <c r="AT438" s="223">
        <f t="shared" si="264"/>
        <v>2026</v>
      </c>
    </row>
    <row r="439" spans="2:46" ht="15.75" x14ac:dyDescent="0.25">
      <c r="B439" s="229" t="s">
        <v>629</v>
      </c>
      <c r="C439" s="235" t="s">
        <v>103</v>
      </c>
      <c r="D439" s="243">
        <v>1800</v>
      </c>
      <c r="E439" s="232" t="s">
        <v>4</v>
      </c>
      <c r="F439" s="233">
        <v>3.02</v>
      </c>
      <c r="G439" s="234">
        <v>46127</v>
      </c>
      <c r="H439" s="235" t="s">
        <v>27</v>
      </c>
      <c r="I439" s="235"/>
      <c r="J439" s="236"/>
      <c r="K439" s="237">
        <f ca="1">ROUND(IF(ISERROR(OFFSET(Tabella!$A$1,MATCH(H439,Tabella!$A:$A,0)-1,MATCH(J439,Tabella!$A$1:$AC$1,0)-1)=TRUE),0,+OFFSET(Tabella!$A$1,MATCH(H439,Tabella!$A:$A,0)-1,MATCH(J439,Tabella!$A$1:$AC$1,0)-1)),4)</f>
        <v>0</v>
      </c>
      <c r="L439" s="238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238">
        <f ca="1">ROUND(IF(ISERROR(OFFSET(Rame!$A$1,MATCH(H439,Rame!$A:$A,0)-1,MATCH(J439,Rame!$A$1:$AA$1,0)-1)=TRUE),0,OFFSET(Rame!$A$1,MATCH(H439,Rame!$A:$A,0)-1,MATCH(J439,Rame!$A$1:$AA$1,0)-1))*IF(E439="Rame",1,0),4)</f>
        <v>0</v>
      </c>
      <c r="N439" s="238">
        <v>0</v>
      </c>
      <c r="O439" s="238">
        <v>1.73</v>
      </c>
      <c r="P439" s="238">
        <f ca="1">ROUND(+IF(ISERROR(OFFSET(Tabella!$G$1,MATCH(H439,Tabella!$G:$G,0)-1,MATCH(I439,Tabella!$G$1:$FG$1,0)-1)=TRUE),0,OFFSET(Tabella!$G$1,MATCH(H439,Tabella!$G:$G,0)-1,MATCH(I439,Tabella!$G$1:$AB$1,0)-1)),4)</f>
        <v>0</v>
      </c>
      <c r="Q439" s="238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238">
        <f ca="1">ROUND(IF(ISERROR(OFFSET(Rame!$F$1,MATCH(H439,Rame!$F:$F,0)-1,MATCH(I439,Rame!$F$1:$FF$1,0)-1)=TRUE),0,OFFSET(Rame!$F$1,MATCH(H439,Rame!$F:$F,0)-1,MATCH(I439,Rame!$F$1:$FF$1,0)-1))*IF(E439="Rame",1,0),4)</f>
        <v>0</v>
      </c>
      <c r="S439" s="238">
        <f ca="1">ROUND(IF(ISERROR(OFFSET(Bronzo!$A$1,MATCH(H439,Bronzo!$A:$A,0)-1,MATCH(I439,Bronzo!$A$1:$AA$1,0)-1)=TRUE),0,OFFSET(Bronzo!$A$1,MATCH(H439,Bronzo!$A:$A,0)-1,MATCH(I439,Bronzo!$A$1:$AA$1,0)-1)),4)</f>
        <v>0</v>
      </c>
      <c r="T439" s="238">
        <f t="shared" ca="1" si="269"/>
        <v>0</v>
      </c>
      <c r="U439" s="237"/>
      <c r="V439" s="238">
        <v>0</v>
      </c>
      <c r="W439" s="239">
        <f t="shared" ca="1" si="270"/>
        <v>1.73</v>
      </c>
      <c r="X439" s="240">
        <f t="shared" si="267"/>
        <v>0</v>
      </c>
      <c r="Y439" s="236"/>
      <c r="Z439" s="236">
        <f t="shared" ca="1" si="271"/>
        <v>-4.75</v>
      </c>
      <c r="AA439" s="241">
        <v>46171</v>
      </c>
      <c r="AF439" s="225">
        <f t="shared" ca="1" si="265"/>
        <v>46236</v>
      </c>
      <c r="AG439" s="225" t="b">
        <f t="shared" si="268"/>
        <v>0</v>
      </c>
      <c r="AH439" s="242"/>
      <c r="AS439" s="223">
        <f t="shared" si="263"/>
        <v>5</v>
      </c>
      <c r="AT439" s="223">
        <f t="shared" si="264"/>
        <v>2026</v>
      </c>
    </row>
    <row r="440" spans="2:46" ht="15.75" x14ac:dyDescent="0.25">
      <c r="B440" s="229" t="s">
        <v>677</v>
      </c>
      <c r="C440" s="235" t="s">
        <v>396</v>
      </c>
      <c r="D440" s="243">
        <v>200</v>
      </c>
      <c r="E440" s="232" t="s">
        <v>4</v>
      </c>
      <c r="F440" s="233">
        <v>3.02</v>
      </c>
      <c r="G440" s="234">
        <v>46154</v>
      </c>
      <c r="H440" s="235" t="s">
        <v>9</v>
      </c>
      <c r="I440" s="235"/>
      <c r="J440" s="236">
        <v>7.0000000000000007E-2</v>
      </c>
      <c r="K440" s="237">
        <f ca="1">ROUND(IF(ISERROR(OFFSET(Tabella!$A$1,MATCH(H440,Tabella!$A:$A,0)-1,MATCH(J440,Tabella!$A$1:$AC$1,0)-1)=TRUE),0,+OFFSET(Tabella!$A$1,MATCH(H440,Tabella!$A:$A,0)-1,MATCH(J440,Tabella!$A$1:$AC$1,0)-1)),4)</f>
        <v>1.6</v>
      </c>
      <c r="L440" s="238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238">
        <f ca="1">ROUND(IF(ISERROR(OFFSET(Rame!$A$1,MATCH(H440,Rame!$A:$A,0)-1,MATCH(J440,Rame!$A$1:$AA$1,0)-1)=TRUE),0,OFFSET(Rame!$A$1,MATCH(H440,Rame!$A:$A,0)-1,MATCH(J440,Rame!$A$1:$AA$1,0)-1))*IF(E440="Rame",1,0),4)</f>
        <v>0</v>
      </c>
      <c r="N440" s="238">
        <v>0</v>
      </c>
      <c r="O440" s="238">
        <v>2.2000000000000002</v>
      </c>
      <c r="P440" s="238">
        <f ca="1">ROUND(+IF(ISERROR(OFFSET(Tabella!$G$1,MATCH(H440,Tabella!$G:$G,0)-1,MATCH(I440,Tabella!$G$1:$FG$1,0)-1)=TRUE),0,OFFSET(Tabella!$G$1,MATCH(H440,Tabella!$G:$G,0)-1,MATCH(I440,Tabella!$G$1:$AB$1,0)-1)),4)</f>
        <v>0</v>
      </c>
      <c r="Q440" s="238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238">
        <f ca="1">ROUND(IF(ISERROR(OFFSET(Rame!$F$1,MATCH(H440,Rame!$F:$F,0)-1,MATCH(I440,Rame!$F$1:$FF$1,0)-1)=TRUE),0,OFFSET(Rame!$F$1,MATCH(H440,Rame!$F:$F,0)-1,MATCH(I440,Rame!$F$1:$FF$1,0)-1))*IF(E440="Rame",1,0),4)</f>
        <v>0</v>
      </c>
      <c r="S440" s="238">
        <f ca="1">ROUND(IF(ISERROR(OFFSET(Bronzo!$A$1,MATCH(H440,Bronzo!$A:$A,0)-1,MATCH(I440,Bronzo!$A$1:$AA$1,0)-1)=TRUE),0,OFFSET(Bronzo!$A$1,MATCH(H440,Bronzo!$A:$A,0)-1,MATCH(I440,Bronzo!$A$1:$AA$1,0)-1)),4)</f>
        <v>0</v>
      </c>
      <c r="T440" s="238">
        <f t="shared" ca="1" si="269"/>
        <v>0</v>
      </c>
      <c r="U440" s="237"/>
      <c r="V440" s="238">
        <v>0</v>
      </c>
      <c r="W440" s="239">
        <f t="shared" ca="1" si="270"/>
        <v>2.2000000000000002</v>
      </c>
      <c r="X440" s="240">
        <f t="shared" si="267"/>
        <v>14</v>
      </c>
      <c r="Y440" s="236">
        <v>5.44</v>
      </c>
      <c r="Z440" s="236">
        <f t="shared" ca="1" si="271"/>
        <v>0.22</v>
      </c>
      <c r="AA440" s="241">
        <v>46237</v>
      </c>
      <c r="AF440" s="225">
        <f t="shared" ca="1" si="265"/>
        <v>46236</v>
      </c>
      <c r="AG440" s="225" t="b">
        <f t="shared" si="268"/>
        <v>0</v>
      </c>
      <c r="AH440" s="242"/>
      <c r="AS440" s="223">
        <f t="shared" si="263"/>
        <v>8</v>
      </c>
      <c r="AT440" s="223">
        <f t="shared" si="264"/>
        <v>2026</v>
      </c>
    </row>
    <row r="441" spans="2:46" ht="15.75" x14ac:dyDescent="0.25">
      <c r="B441" s="229" t="s">
        <v>678</v>
      </c>
      <c r="C441" s="235" t="s">
        <v>396</v>
      </c>
      <c r="D441" s="243">
        <v>400</v>
      </c>
      <c r="E441" s="232" t="s">
        <v>4</v>
      </c>
      <c r="F441" s="233">
        <v>3.02</v>
      </c>
      <c r="G441" s="234">
        <v>46154</v>
      </c>
      <c r="H441" s="235" t="s">
        <v>17</v>
      </c>
      <c r="I441" s="235"/>
      <c r="J441" s="236">
        <v>7.0000000000000007E-2</v>
      </c>
      <c r="K441" s="237">
        <f ca="1">ROUND(IF(ISERROR(OFFSET(Tabella!$A$1,MATCH(H441,Tabella!$A:$A,0)-1,MATCH(J441,Tabella!$A$1:$AC$1,0)-1)=TRUE),0,+OFFSET(Tabella!$A$1,MATCH(H441,Tabella!$A:$A,0)-1,MATCH(J441,Tabella!$A$1:$AC$1,0)-1)),4)</f>
        <v>1.4</v>
      </c>
      <c r="L441" s="238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238">
        <f ca="1">ROUND(IF(ISERROR(OFFSET(Rame!$A$1,MATCH(H441,Rame!$A:$A,0)-1,MATCH(J441,Rame!$A$1:$AA$1,0)-1)=TRUE),0,OFFSET(Rame!$A$1,MATCH(H441,Rame!$A:$A,0)-1,MATCH(J441,Rame!$A$1:$AA$1,0)-1))*IF(E441="Rame",1,0),4)</f>
        <v>0</v>
      </c>
      <c r="N441" s="238">
        <v>0</v>
      </c>
      <c r="O441" s="238">
        <v>2</v>
      </c>
      <c r="P441" s="238">
        <f ca="1">ROUND(+IF(ISERROR(OFFSET(Tabella!$G$1,MATCH(H441,Tabella!$G:$G,0)-1,MATCH(I441,Tabella!$G$1:$FG$1,0)-1)=TRUE),0,OFFSET(Tabella!$G$1,MATCH(H441,Tabella!$G:$G,0)-1,MATCH(I441,Tabella!$G$1:$AB$1,0)-1)),4)</f>
        <v>0</v>
      </c>
      <c r="Q441" s="238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238">
        <f ca="1">ROUND(IF(ISERROR(OFFSET(Rame!$F$1,MATCH(H441,Rame!$F:$F,0)-1,MATCH(I441,Rame!$F$1:$FF$1,0)-1)=TRUE),0,OFFSET(Rame!$F$1,MATCH(H441,Rame!$F:$F,0)-1,MATCH(I441,Rame!$F$1:$FF$1,0)-1))*IF(E441="Rame",1,0),4)</f>
        <v>0</v>
      </c>
      <c r="S441" s="238">
        <f ca="1">ROUND(IF(ISERROR(OFFSET(Bronzo!$A$1,MATCH(H441,Bronzo!$A:$A,0)-1,MATCH(I441,Bronzo!$A$1:$AA$1,0)-1)=TRUE),0,OFFSET(Bronzo!$A$1,MATCH(H441,Bronzo!$A:$A,0)-1,MATCH(I441,Bronzo!$A$1:$AA$1,0)-1)),4)</f>
        <v>0</v>
      </c>
      <c r="T441" s="238">
        <f t="shared" ca="1" si="269"/>
        <v>0</v>
      </c>
      <c r="U441" s="237"/>
      <c r="V441" s="238">
        <v>0</v>
      </c>
      <c r="W441" s="239">
        <f t="shared" ca="1" si="270"/>
        <v>2</v>
      </c>
      <c r="X441" s="240">
        <f t="shared" si="267"/>
        <v>28</v>
      </c>
      <c r="Y441" s="236">
        <v>5.24</v>
      </c>
      <c r="Z441" s="236">
        <f t="shared" ca="1" si="271"/>
        <v>0.22</v>
      </c>
      <c r="AA441" s="241">
        <v>46185</v>
      </c>
      <c r="AF441" s="225">
        <f t="shared" ca="1" si="265"/>
        <v>46236</v>
      </c>
      <c r="AG441" s="225" t="b">
        <f t="shared" si="268"/>
        <v>0</v>
      </c>
      <c r="AH441" s="242"/>
      <c r="AS441" s="223">
        <f t="shared" si="263"/>
        <v>6</v>
      </c>
      <c r="AT441" s="223">
        <f t="shared" si="264"/>
        <v>2026</v>
      </c>
    </row>
    <row r="442" spans="2:46" ht="15.75" x14ac:dyDescent="0.25">
      <c r="B442" s="229" t="s">
        <v>667</v>
      </c>
      <c r="C442" s="235" t="s">
        <v>376</v>
      </c>
      <c r="D442" s="243">
        <v>2000</v>
      </c>
      <c r="E442" s="232" t="s">
        <v>4</v>
      </c>
      <c r="F442" s="233">
        <v>2.98</v>
      </c>
      <c r="G442" s="234">
        <v>46153</v>
      </c>
      <c r="H442" s="235" t="s">
        <v>22</v>
      </c>
      <c r="I442" s="235"/>
      <c r="J442" s="236">
        <v>7.0000000000000007E-2</v>
      </c>
      <c r="K442" s="237">
        <f ca="1">ROUND(IF(ISERROR(OFFSET(Tabella!$A$1,MATCH(H442,Tabella!$A:$A,0)-1,MATCH(J442,Tabella!$A$1:$AC$1,0)-1)=TRUE),0,+OFFSET(Tabella!$A$1,MATCH(H442,Tabella!$A:$A,0)-1,MATCH(J442,Tabella!$A$1:$AC$1,0)-1)),4)</f>
        <v>1.25</v>
      </c>
      <c r="L442" s="238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238">
        <f ca="1">ROUND(IF(ISERROR(OFFSET(Rame!$A$1,MATCH(H442,Rame!$A:$A,0)-1,MATCH(J442,Rame!$A$1:$AA$1,0)-1)=TRUE),0,OFFSET(Rame!$A$1,MATCH(H442,Rame!$A:$A,0)-1,MATCH(J442,Rame!$A$1:$AA$1,0)-1))*IF(E442="Rame",1,0),4)</f>
        <v>0</v>
      </c>
      <c r="N442" s="238">
        <v>0</v>
      </c>
      <c r="O442" s="238">
        <v>1.73</v>
      </c>
      <c r="P442" s="238">
        <f ca="1">ROUND(+IF(ISERROR(OFFSET(Tabella!$G$1,MATCH(H442,Tabella!$G:$G,0)-1,MATCH(I442,Tabella!$G$1:$FG$1,0)-1)=TRUE),0,OFFSET(Tabella!$G$1,MATCH(H442,Tabella!$G:$G,0)-1,MATCH(I442,Tabella!$G$1:$AB$1,0)-1)),4)</f>
        <v>0</v>
      </c>
      <c r="Q442" s="238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238">
        <f ca="1">ROUND(IF(ISERROR(OFFSET(Rame!$F$1,MATCH(H442,Rame!$F:$F,0)-1,MATCH(I442,Rame!$F$1:$FF$1,0)-1)=TRUE),0,OFFSET(Rame!$F$1,MATCH(H442,Rame!$F:$F,0)-1,MATCH(I442,Rame!$F$1:$FF$1,0)-1))*IF(E442="Rame",1,0),4)</f>
        <v>0</v>
      </c>
      <c r="S442" s="238">
        <f ca="1">ROUND(IF(ISERROR(OFFSET(Bronzo!$A$1,MATCH(H442,Bronzo!$A:$A,0)-1,MATCH(I442,Bronzo!$A$1:$AA$1,0)-1)=TRUE),0,OFFSET(Bronzo!$A$1,MATCH(H442,Bronzo!$A:$A,0)-1,MATCH(I442,Bronzo!$A$1:$AA$1,0)-1)),4)</f>
        <v>0</v>
      </c>
      <c r="T442" s="238">
        <f t="shared" ca="1" si="269"/>
        <v>0</v>
      </c>
      <c r="U442" s="237"/>
      <c r="V442" s="238">
        <v>0</v>
      </c>
      <c r="W442" s="239">
        <f t="shared" ca="1" si="270"/>
        <v>1.73</v>
      </c>
      <c r="X442" s="240">
        <f t="shared" si="267"/>
        <v>140</v>
      </c>
      <c r="Y442" s="236">
        <v>4.7</v>
      </c>
      <c r="Z442" s="236">
        <f t="shared" ca="1" si="271"/>
        <v>-0.01</v>
      </c>
      <c r="AA442" s="241">
        <v>46198</v>
      </c>
      <c r="AF442" s="225">
        <f t="shared" ca="1" si="265"/>
        <v>46236</v>
      </c>
      <c r="AG442" s="225" t="b">
        <f t="shared" si="268"/>
        <v>0</v>
      </c>
      <c r="AH442" s="242"/>
      <c r="AS442" s="223">
        <f t="shared" ref="AS442:AS505" si="273">IF(AA442="",0,MONTH(AA442))</f>
        <v>6</v>
      </c>
      <c r="AT442" s="223">
        <f t="shared" ref="AT442:AT505" si="274">IF(AA442="",0,YEAR(AA442))</f>
        <v>2026</v>
      </c>
    </row>
    <row r="443" spans="2:46" ht="15.75" x14ac:dyDescent="0.25">
      <c r="B443" s="229" t="s">
        <v>667</v>
      </c>
      <c r="C443" s="235" t="s">
        <v>376</v>
      </c>
      <c r="D443" s="243">
        <v>500</v>
      </c>
      <c r="E443" s="232" t="s">
        <v>4</v>
      </c>
      <c r="F443" s="233">
        <v>2.98</v>
      </c>
      <c r="G443" s="234">
        <v>46153</v>
      </c>
      <c r="H443" s="235" t="s">
        <v>25</v>
      </c>
      <c r="I443" s="235"/>
      <c r="J443" s="236">
        <v>7.0000000000000007E-2</v>
      </c>
      <c r="K443" s="237">
        <f ca="1">ROUND(IF(ISERROR(OFFSET(Tabella!$A$1,MATCH(H443,Tabella!$A:$A,0)-1,MATCH(J443,Tabella!$A$1:$AC$1,0)-1)=TRUE),0,+OFFSET(Tabella!$A$1,MATCH(H443,Tabella!$A:$A,0)-1,MATCH(J443,Tabella!$A$1:$AC$1,0)-1)),4)</f>
        <v>1.25</v>
      </c>
      <c r="L443" s="238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238">
        <f ca="1">ROUND(IF(ISERROR(OFFSET(Rame!$A$1,MATCH(H443,Rame!$A:$A,0)-1,MATCH(J443,Rame!$A$1:$AA$1,0)-1)=TRUE),0,OFFSET(Rame!$A$1,MATCH(H443,Rame!$A:$A,0)-1,MATCH(J443,Rame!$A$1:$AA$1,0)-1))*IF(E443="Rame",1,0),4)</f>
        <v>0</v>
      </c>
      <c r="N443" s="238">
        <v>0</v>
      </c>
      <c r="O443" s="238">
        <v>1.73</v>
      </c>
      <c r="P443" s="238">
        <f ca="1">ROUND(+IF(ISERROR(OFFSET(Tabella!$G$1,MATCH(H443,Tabella!$G:$G,0)-1,MATCH(I443,Tabella!$G$1:$FG$1,0)-1)=TRUE),0,OFFSET(Tabella!$G$1,MATCH(H443,Tabella!$G:$G,0)-1,MATCH(I443,Tabella!$G$1:$AB$1,0)-1)),4)</f>
        <v>0</v>
      </c>
      <c r="Q443" s="238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238">
        <f ca="1">ROUND(IF(ISERROR(OFFSET(Rame!$F$1,MATCH(H443,Rame!$F:$F,0)-1,MATCH(I443,Rame!$F$1:$FF$1,0)-1)=TRUE),0,OFFSET(Rame!$F$1,MATCH(H443,Rame!$F:$F,0)-1,MATCH(I443,Rame!$F$1:$FF$1,0)-1))*IF(E443="Rame",1,0),4)</f>
        <v>0</v>
      </c>
      <c r="S443" s="238">
        <f ca="1">ROUND(IF(ISERROR(OFFSET(Bronzo!$A$1,MATCH(H443,Bronzo!$A:$A,0)-1,MATCH(I443,Bronzo!$A$1:$AA$1,0)-1)=TRUE),0,OFFSET(Bronzo!$A$1,MATCH(H443,Bronzo!$A:$A,0)-1,MATCH(I443,Bronzo!$A$1:$AA$1,0)-1)),4)</f>
        <v>0</v>
      </c>
      <c r="T443" s="238">
        <f t="shared" ca="1" si="269"/>
        <v>0</v>
      </c>
      <c r="U443" s="237"/>
      <c r="V443" s="238">
        <v>0</v>
      </c>
      <c r="W443" s="239">
        <f t="shared" ca="1" si="270"/>
        <v>1.73</v>
      </c>
      <c r="X443" s="240">
        <f t="shared" si="267"/>
        <v>35</v>
      </c>
      <c r="Y443" s="236">
        <v>4.7</v>
      </c>
      <c r="Z443" s="236">
        <f t="shared" ca="1" si="271"/>
        <v>-0.01</v>
      </c>
      <c r="AA443" s="241">
        <v>46198</v>
      </c>
      <c r="AF443" s="225">
        <f t="shared" ca="1" si="265"/>
        <v>46236</v>
      </c>
      <c r="AG443" s="225" t="b">
        <f t="shared" si="268"/>
        <v>0</v>
      </c>
      <c r="AH443" s="242"/>
      <c r="AS443" s="223">
        <f t="shared" si="273"/>
        <v>6</v>
      </c>
      <c r="AT443" s="223">
        <f t="shared" si="274"/>
        <v>2026</v>
      </c>
    </row>
    <row r="444" spans="2:46" ht="15.75" x14ac:dyDescent="0.25">
      <c r="B444" s="229" t="s">
        <v>667</v>
      </c>
      <c r="C444" s="235" t="s">
        <v>376</v>
      </c>
      <c r="D444" s="243">
        <v>500</v>
      </c>
      <c r="E444" s="232" t="s">
        <v>4</v>
      </c>
      <c r="F444" s="233">
        <v>2.98</v>
      </c>
      <c r="G444" s="234">
        <v>46153</v>
      </c>
      <c r="H444" s="235" t="s">
        <v>26</v>
      </c>
      <c r="I444" s="235"/>
      <c r="J444" s="236">
        <v>7.0000000000000007E-2</v>
      </c>
      <c r="K444" s="237">
        <f ca="1">ROUND(IF(ISERROR(OFFSET(Tabella!$A$1,MATCH(H444,Tabella!$A:$A,0)-1,MATCH(J444,Tabella!$A$1:$AC$1,0)-1)=TRUE),0,+OFFSET(Tabella!$A$1,MATCH(H444,Tabella!$A:$A,0)-1,MATCH(J444,Tabella!$A$1:$AC$1,0)-1)),4)</f>
        <v>1.25</v>
      </c>
      <c r="L444" s="238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238">
        <f ca="1">ROUND(IF(ISERROR(OFFSET(Rame!$A$1,MATCH(H444,Rame!$A:$A,0)-1,MATCH(J444,Rame!$A$1:$AA$1,0)-1)=TRUE),0,OFFSET(Rame!$A$1,MATCH(H444,Rame!$A:$A,0)-1,MATCH(J444,Rame!$A$1:$AA$1,0)-1))*IF(E444="Rame",1,0),4)</f>
        <v>0</v>
      </c>
      <c r="N444" s="238">
        <v>0</v>
      </c>
      <c r="O444" s="238">
        <v>1.73</v>
      </c>
      <c r="P444" s="238">
        <f ca="1">ROUND(+IF(ISERROR(OFFSET(Tabella!$G$1,MATCH(H444,Tabella!$G:$G,0)-1,MATCH(I444,Tabella!$G$1:$FG$1,0)-1)=TRUE),0,OFFSET(Tabella!$G$1,MATCH(H444,Tabella!$G:$G,0)-1,MATCH(I444,Tabella!$G$1:$AB$1,0)-1)),4)</f>
        <v>0</v>
      </c>
      <c r="Q444" s="238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238">
        <f ca="1">ROUND(IF(ISERROR(OFFSET(Rame!$F$1,MATCH(H444,Rame!$F:$F,0)-1,MATCH(I444,Rame!$F$1:$FF$1,0)-1)=TRUE),0,OFFSET(Rame!$F$1,MATCH(H444,Rame!$F:$F,0)-1,MATCH(I444,Rame!$F$1:$FF$1,0)-1))*IF(E444="Rame",1,0),4)</f>
        <v>0</v>
      </c>
      <c r="S444" s="238">
        <f ca="1">ROUND(IF(ISERROR(OFFSET(Bronzo!$A$1,MATCH(H444,Bronzo!$A:$A,0)-1,MATCH(I444,Bronzo!$A$1:$AA$1,0)-1)=TRUE),0,OFFSET(Bronzo!$A$1,MATCH(H444,Bronzo!$A:$A,0)-1,MATCH(I444,Bronzo!$A$1:$AA$1,0)-1)),4)</f>
        <v>0</v>
      </c>
      <c r="T444" s="238">
        <f t="shared" ca="1" si="269"/>
        <v>0</v>
      </c>
      <c r="U444" s="237"/>
      <c r="V444" s="238">
        <v>0</v>
      </c>
      <c r="W444" s="239">
        <f t="shared" ca="1" si="270"/>
        <v>1.73</v>
      </c>
      <c r="X444" s="240">
        <f t="shared" si="267"/>
        <v>35</v>
      </c>
      <c r="Y444" s="236">
        <v>4.7</v>
      </c>
      <c r="Z444" s="236">
        <f t="shared" ca="1" si="271"/>
        <v>-0.01</v>
      </c>
      <c r="AA444" s="241">
        <v>46198</v>
      </c>
      <c r="AF444" s="225">
        <f t="shared" ca="1" si="265"/>
        <v>46236</v>
      </c>
      <c r="AG444" s="225" t="b">
        <f t="shared" si="268"/>
        <v>0</v>
      </c>
      <c r="AH444" s="242"/>
      <c r="AS444" s="223">
        <f t="shared" si="273"/>
        <v>6</v>
      </c>
      <c r="AT444" s="223">
        <f t="shared" si="274"/>
        <v>2026</v>
      </c>
    </row>
    <row r="445" spans="2:46" ht="15.75" x14ac:dyDescent="0.25">
      <c r="B445" s="229" t="s">
        <v>628</v>
      </c>
      <c r="C445" s="235" t="s">
        <v>92</v>
      </c>
      <c r="D445" s="243">
        <v>600</v>
      </c>
      <c r="E445" s="232" t="s">
        <v>4</v>
      </c>
      <c r="F445" s="233">
        <v>2.98</v>
      </c>
      <c r="G445" s="234">
        <v>46150</v>
      </c>
      <c r="H445" s="235" t="s">
        <v>26</v>
      </c>
      <c r="I445" s="235"/>
      <c r="J445" s="236">
        <v>7.0000000000000007E-2</v>
      </c>
      <c r="K445" s="237">
        <f ca="1">ROUND(IF(ISERROR(OFFSET(Tabella!$A$1,MATCH(H445,Tabella!$A:$A,0)-1,MATCH(J445,Tabella!$A$1:$AC$1,0)-1)=TRUE),0,+OFFSET(Tabella!$A$1,MATCH(H445,Tabella!$A:$A,0)-1,MATCH(J445,Tabella!$A$1:$AC$1,0)-1)),4)</f>
        <v>1.25</v>
      </c>
      <c r="L445" s="238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238">
        <f ca="1">ROUND(IF(ISERROR(OFFSET(Rame!$A$1,MATCH(H445,Rame!$A:$A,0)-1,MATCH(J445,Rame!$A$1:$AA$1,0)-1)=TRUE),0,OFFSET(Rame!$A$1,MATCH(H445,Rame!$A:$A,0)-1,MATCH(J445,Rame!$A$1:$AA$1,0)-1))*IF(E445="Rame",1,0),4)</f>
        <v>0</v>
      </c>
      <c r="N445" s="238">
        <v>0</v>
      </c>
      <c r="O445" s="238">
        <f t="shared" ca="1" si="272"/>
        <v>1.25</v>
      </c>
      <c r="P445" s="238">
        <f ca="1">ROUND(+IF(ISERROR(OFFSET(Tabella!$G$1,MATCH(H445,Tabella!$G:$G,0)-1,MATCH(I445,Tabella!$G$1:$FG$1,0)-1)=TRUE),0,OFFSET(Tabella!$G$1,MATCH(H445,Tabella!$G:$G,0)-1,MATCH(I445,Tabella!$G$1:$AB$1,0)-1)),4)</f>
        <v>0</v>
      </c>
      <c r="Q445" s="238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238">
        <f ca="1">ROUND(IF(ISERROR(OFFSET(Rame!$F$1,MATCH(H445,Rame!$F:$F,0)-1,MATCH(I445,Rame!$F$1:$FF$1,0)-1)=TRUE),0,OFFSET(Rame!$F$1,MATCH(H445,Rame!$F:$F,0)-1,MATCH(I445,Rame!$F$1:$FF$1,0)-1))*IF(E445="Rame",1,0),4)</f>
        <v>0</v>
      </c>
      <c r="S445" s="238">
        <f ca="1">ROUND(IF(ISERROR(OFFSET(Bronzo!$A$1,MATCH(H445,Bronzo!$A:$A,0)-1,MATCH(I445,Bronzo!$A$1:$AA$1,0)-1)=TRUE),0,OFFSET(Bronzo!$A$1,MATCH(H445,Bronzo!$A:$A,0)-1,MATCH(I445,Bronzo!$A$1:$AA$1,0)-1)),4)</f>
        <v>0</v>
      </c>
      <c r="T445" s="238">
        <f t="shared" ca="1" si="269"/>
        <v>0</v>
      </c>
      <c r="U445" s="237"/>
      <c r="V445" s="238">
        <v>0</v>
      </c>
      <c r="W445" s="239">
        <f t="shared" ca="1" si="270"/>
        <v>1.25</v>
      </c>
      <c r="X445" s="240">
        <f t="shared" si="267"/>
        <v>42</v>
      </c>
      <c r="Y445" s="236">
        <v>4.88</v>
      </c>
      <c r="Z445" s="236">
        <f t="shared" ca="1" si="271"/>
        <v>0.65</v>
      </c>
      <c r="AA445" s="241">
        <v>46206</v>
      </c>
      <c r="AF445" s="225">
        <f t="shared" ca="1" si="265"/>
        <v>46236</v>
      </c>
      <c r="AG445" s="225" t="b">
        <f t="shared" si="268"/>
        <v>0</v>
      </c>
      <c r="AH445" s="242"/>
      <c r="AS445" s="223">
        <f t="shared" si="273"/>
        <v>7</v>
      </c>
      <c r="AT445" s="223">
        <f t="shared" si="274"/>
        <v>2026</v>
      </c>
    </row>
    <row r="446" spans="2:46" ht="15.75" x14ac:dyDescent="0.25">
      <c r="B446" s="229" t="s">
        <v>670</v>
      </c>
      <c r="C446" s="235" t="s">
        <v>263</v>
      </c>
      <c r="D446" s="243">
        <v>1000</v>
      </c>
      <c r="E446" s="232" t="s">
        <v>4</v>
      </c>
      <c r="F446" s="233">
        <v>3.03</v>
      </c>
      <c r="G446" s="234">
        <v>46153</v>
      </c>
      <c r="H446" s="235" t="s">
        <v>17</v>
      </c>
      <c r="I446" s="235"/>
      <c r="J446" s="236">
        <v>7.0000000000000007E-2</v>
      </c>
      <c r="K446" s="237">
        <f ca="1">ROUND(IF(ISERROR(OFFSET(Tabella!$A$1,MATCH(H446,Tabella!$A:$A,0)-1,MATCH(J446,Tabella!$A$1:$AC$1,0)-1)=TRUE),0,+OFFSET(Tabella!$A$1,MATCH(H446,Tabella!$A:$A,0)-1,MATCH(J446,Tabella!$A$1:$AC$1,0)-1)),4)</f>
        <v>1.4</v>
      </c>
      <c r="L446" s="238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238">
        <f ca="1">ROUND(IF(ISERROR(OFFSET(Rame!$A$1,MATCH(H446,Rame!$A:$A,0)-1,MATCH(J446,Rame!$A$1:$AA$1,0)-1)=TRUE),0,OFFSET(Rame!$A$1,MATCH(H446,Rame!$A:$A,0)-1,MATCH(J446,Rame!$A$1:$AA$1,0)-1))*IF(E446="Rame",1,0),4)</f>
        <v>0</v>
      </c>
      <c r="N446" s="238">
        <v>0</v>
      </c>
      <c r="O446" s="238">
        <v>1.83</v>
      </c>
      <c r="P446" s="238">
        <f ca="1">ROUND(+IF(ISERROR(OFFSET(Tabella!$G$1,MATCH(H446,Tabella!$G:$G,0)-1,MATCH(I446,Tabella!$G$1:$FG$1,0)-1)=TRUE),0,OFFSET(Tabella!$G$1,MATCH(H446,Tabella!$G:$G,0)-1,MATCH(I446,Tabella!$G$1:$AB$1,0)-1)),4)</f>
        <v>0</v>
      </c>
      <c r="Q446" s="238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238">
        <f ca="1">ROUND(IF(ISERROR(OFFSET(Rame!$F$1,MATCH(H446,Rame!$F:$F,0)-1,MATCH(I446,Rame!$F$1:$FF$1,0)-1)=TRUE),0,OFFSET(Rame!$F$1,MATCH(H446,Rame!$F:$F,0)-1,MATCH(I446,Rame!$F$1:$FF$1,0)-1))*IF(E446="Rame",1,0),4)</f>
        <v>0</v>
      </c>
      <c r="S446" s="238">
        <f ca="1">ROUND(IF(ISERROR(OFFSET(Bronzo!$A$1,MATCH(H446,Bronzo!$A:$A,0)-1,MATCH(I446,Bronzo!$A$1:$AA$1,0)-1)=TRUE),0,OFFSET(Bronzo!$A$1,MATCH(H446,Bronzo!$A:$A,0)-1,MATCH(I446,Bronzo!$A$1:$AA$1,0)-1)),4)</f>
        <v>0</v>
      </c>
      <c r="T446" s="238">
        <f t="shared" ca="1" si="269"/>
        <v>0</v>
      </c>
      <c r="U446" s="237"/>
      <c r="V446" s="238">
        <v>0</v>
      </c>
      <c r="W446" s="239">
        <f t="shared" ca="1" si="270"/>
        <v>1.83</v>
      </c>
      <c r="X446" s="240">
        <f t="shared" si="267"/>
        <v>70</v>
      </c>
      <c r="Y446" s="236">
        <v>4.8099999999999996</v>
      </c>
      <c r="Z446" s="236">
        <f t="shared" ca="1" si="271"/>
        <v>-0.05</v>
      </c>
      <c r="AA446" s="241">
        <v>46182</v>
      </c>
      <c r="AF446" s="225">
        <f t="shared" ca="1" si="265"/>
        <v>46236</v>
      </c>
      <c r="AG446" s="225" t="b">
        <f t="shared" si="268"/>
        <v>0</v>
      </c>
      <c r="AH446" s="242"/>
      <c r="AS446" s="223">
        <f t="shared" si="273"/>
        <v>6</v>
      </c>
      <c r="AT446" s="223">
        <f t="shared" si="274"/>
        <v>2026</v>
      </c>
    </row>
    <row r="447" spans="2:46" ht="15.75" x14ac:dyDescent="0.25">
      <c r="B447" s="229" t="s">
        <v>670</v>
      </c>
      <c r="C447" s="235" t="s">
        <v>263</v>
      </c>
      <c r="D447" s="243">
        <v>1000</v>
      </c>
      <c r="E447" s="232" t="s">
        <v>4</v>
      </c>
      <c r="F447" s="233">
        <v>3.03</v>
      </c>
      <c r="G447" s="234">
        <v>46153</v>
      </c>
      <c r="H447" s="235" t="s">
        <v>13</v>
      </c>
      <c r="I447" s="235"/>
      <c r="J447" s="236">
        <v>7.0000000000000007E-2</v>
      </c>
      <c r="K447" s="237">
        <f ca="1">ROUND(IF(ISERROR(OFFSET(Tabella!$A$1,MATCH(H447,Tabella!$A:$A,0)-1,MATCH(J447,Tabella!$A$1:$AC$1,0)-1)=TRUE),0,+OFFSET(Tabella!$A$1,MATCH(H447,Tabella!$A:$A,0)-1,MATCH(J447,Tabella!$A$1:$AC$1,0)-1)),4)</f>
        <v>1.4</v>
      </c>
      <c r="L447" s="238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238">
        <f ca="1">ROUND(IF(ISERROR(OFFSET(Rame!$A$1,MATCH(H447,Rame!$A:$A,0)-1,MATCH(J447,Rame!$A$1:$AA$1,0)-1)=TRUE),0,OFFSET(Rame!$A$1,MATCH(H447,Rame!$A:$A,0)-1,MATCH(J447,Rame!$A$1:$AA$1,0)-1))*IF(E447="Rame",1,0),4)</f>
        <v>0</v>
      </c>
      <c r="N447" s="238">
        <v>0</v>
      </c>
      <c r="O447" s="238">
        <v>1.88</v>
      </c>
      <c r="P447" s="238">
        <f ca="1">ROUND(+IF(ISERROR(OFFSET(Tabella!$G$1,MATCH(H447,Tabella!$G:$G,0)-1,MATCH(I447,Tabella!$G$1:$FG$1,0)-1)=TRUE),0,OFFSET(Tabella!$G$1,MATCH(H447,Tabella!$G:$G,0)-1,MATCH(I447,Tabella!$G$1:$AB$1,0)-1)),4)</f>
        <v>0</v>
      </c>
      <c r="Q447" s="238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238">
        <f ca="1">ROUND(IF(ISERROR(OFFSET(Rame!$F$1,MATCH(H447,Rame!$F:$F,0)-1,MATCH(I447,Rame!$F$1:$FF$1,0)-1)=TRUE),0,OFFSET(Rame!$F$1,MATCH(H447,Rame!$F:$F,0)-1,MATCH(I447,Rame!$F$1:$FF$1,0)-1))*IF(E447="Rame",1,0),4)</f>
        <v>0</v>
      </c>
      <c r="S447" s="238">
        <f ca="1">ROUND(IF(ISERROR(OFFSET(Bronzo!$A$1,MATCH(H447,Bronzo!$A:$A,0)-1,MATCH(I447,Bronzo!$A$1:$AA$1,0)-1)=TRUE),0,OFFSET(Bronzo!$A$1,MATCH(H447,Bronzo!$A:$A,0)-1,MATCH(I447,Bronzo!$A$1:$AA$1,0)-1)),4)</f>
        <v>0</v>
      </c>
      <c r="T447" s="238">
        <f t="shared" ca="1" si="269"/>
        <v>0</v>
      </c>
      <c r="U447" s="237"/>
      <c r="V447" s="238">
        <v>0</v>
      </c>
      <c r="W447" s="239">
        <f t="shared" ca="1" si="270"/>
        <v>1.88</v>
      </c>
      <c r="X447" s="240">
        <f t="shared" si="267"/>
        <v>70</v>
      </c>
      <c r="Y447" s="236">
        <v>4.8600000000000003</v>
      </c>
      <c r="Z447" s="236">
        <f t="shared" ca="1" si="271"/>
        <v>-0.05</v>
      </c>
      <c r="AA447" s="241">
        <v>46196</v>
      </c>
      <c r="AF447" s="225">
        <f t="shared" ca="1" si="265"/>
        <v>46236</v>
      </c>
      <c r="AG447" s="225" t="b">
        <f t="shared" si="268"/>
        <v>0</v>
      </c>
      <c r="AH447" s="242"/>
      <c r="AS447" s="223">
        <f t="shared" si="273"/>
        <v>6</v>
      </c>
      <c r="AT447" s="223">
        <f t="shared" si="274"/>
        <v>2026</v>
      </c>
    </row>
    <row r="448" spans="2:46" ht="15.75" x14ac:dyDescent="0.25">
      <c r="B448" s="229" t="s">
        <v>670</v>
      </c>
      <c r="C448" s="235" t="s">
        <v>263</v>
      </c>
      <c r="D448" s="243">
        <v>1500</v>
      </c>
      <c r="E448" s="232" t="s">
        <v>4</v>
      </c>
      <c r="F448" s="233">
        <v>3.03</v>
      </c>
      <c r="G448" s="234">
        <v>46153</v>
      </c>
      <c r="H448" s="235" t="s">
        <v>322</v>
      </c>
      <c r="I448" s="235"/>
      <c r="J448" s="236">
        <v>7.0000000000000007E-2</v>
      </c>
      <c r="K448" s="237">
        <f ca="1">ROUND(IF(ISERROR(OFFSET(Tabella!$A$1,MATCH(H448,Tabella!$A:$A,0)-1,MATCH(J448,Tabella!$A$1:$AC$1,0)-1)=TRUE),0,+OFFSET(Tabella!$A$1,MATCH(H448,Tabella!$A:$A,0)-1,MATCH(J448,Tabella!$A$1:$AC$1,0)-1)),4)</f>
        <v>1.25</v>
      </c>
      <c r="L448" s="238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238">
        <f ca="1">ROUND(IF(ISERROR(OFFSET(Rame!$A$1,MATCH(H448,Rame!$A:$A,0)-1,MATCH(J448,Rame!$A$1:$AA$1,0)-1)=TRUE),0,OFFSET(Rame!$A$1,MATCH(H448,Rame!$A:$A,0)-1,MATCH(J448,Rame!$A$1:$AA$1,0)-1))*IF(E448="Rame",1,0),4)</f>
        <v>0</v>
      </c>
      <c r="N448" s="238">
        <v>0</v>
      </c>
      <c r="O448" s="238">
        <v>1.73</v>
      </c>
      <c r="P448" s="238">
        <f ca="1">ROUND(+IF(ISERROR(OFFSET(Tabella!$G$1,MATCH(H448,Tabella!$G:$G,0)-1,MATCH(I448,Tabella!$G$1:$FG$1,0)-1)=TRUE),0,OFFSET(Tabella!$G$1,MATCH(H448,Tabella!$G:$G,0)-1,MATCH(I448,Tabella!$G$1:$AB$1,0)-1)),4)</f>
        <v>0</v>
      </c>
      <c r="Q448" s="238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238">
        <f ca="1">ROUND(IF(ISERROR(OFFSET(Rame!$F$1,MATCH(H448,Rame!$F:$F,0)-1,MATCH(I448,Rame!$F$1:$FF$1,0)-1)=TRUE),0,OFFSET(Rame!$F$1,MATCH(H448,Rame!$F:$F,0)-1,MATCH(I448,Rame!$F$1:$FF$1,0)-1))*IF(E448="Rame",1,0),4)</f>
        <v>0</v>
      </c>
      <c r="S448" s="238">
        <f ca="1">ROUND(IF(ISERROR(OFFSET(Bronzo!$A$1,MATCH(H448,Bronzo!$A:$A,0)-1,MATCH(I448,Bronzo!$A$1:$AA$1,0)-1)=TRUE),0,OFFSET(Bronzo!$A$1,MATCH(H448,Bronzo!$A:$A,0)-1,MATCH(I448,Bronzo!$A$1:$AA$1,0)-1)),4)</f>
        <v>0</v>
      </c>
      <c r="T448" s="238">
        <f t="shared" ca="1" si="269"/>
        <v>0</v>
      </c>
      <c r="U448" s="237"/>
      <c r="V448" s="238">
        <v>0</v>
      </c>
      <c r="W448" s="239">
        <f t="shared" ca="1" si="270"/>
        <v>1.73</v>
      </c>
      <c r="X448" s="240">
        <f t="shared" si="267"/>
        <v>105</v>
      </c>
      <c r="Y448" s="236">
        <v>4.71</v>
      </c>
      <c r="Z448" s="236">
        <f t="shared" ca="1" si="271"/>
        <v>-0.05</v>
      </c>
      <c r="AA448" s="241">
        <v>46182</v>
      </c>
      <c r="AF448" s="225">
        <f t="shared" ca="1" si="265"/>
        <v>46236</v>
      </c>
      <c r="AG448" s="225" t="b">
        <f t="shared" si="268"/>
        <v>0</v>
      </c>
      <c r="AH448" s="242"/>
      <c r="AS448" s="223">
        <f t="shared" si="273"/>
        <v>6</v>
      </c>
      <c r="AT448" s="223">
        <f t="shared" si="274"/>
        <v>2026</v>
      </c>
    </row>
    <row r="449" spans="2:46" ht="15.75" x14ac:dyDescent="0.25">
      <c r="B449" s="229" t="s">
        <v>670</v>
      </c>
      <c r="C449" s="235" t="s">
        <v>263</v>
      </c>
      <c r="D449" s="243">
        <v>3500</v>
      </c>
      <c r="E449" s="232" t="s">
        <v>4</v>
      </c>
      <c r="F449" s="233">
        <v>3.03</v>
      </c>
      <c r="G449" s="234">
        <v>46153</v>
      </c>
      <c r="H449" s="235" t="s">
        <v>15</v>
      </c>
      <c r="I449" s="235"/>
      <c r="J449" s="236">
        <v>7.0000000000000007E-2</v>
      </c>
      <c r="K449" s="237">
        <f ca="1">ROUND(IF(ISERROR(OFFSET(Tabella!$A$1,MATCH(H449,Tabella!$A:$A,0)-1,MATCH(J449,Tabella!$A$1:$AC$1,0)-1)=TRUE),0,+OFFSET(Tabella!$A$1,MATCH(H449,Tabella!$A:$A,0)-1,MATCH(J449,Tabella!$A$1:$AC$1,0)-1)),4)</f>
        <v>1.4</v>
      </c>
      <c r="L449" s="238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238">
        <f ca="1">ROUND(IF(ISERROR(OFFSET(Rame!$A$1,MATCH(H449,Rame!$A:$A,0)-1,MATCH(J449,Rame!$A$1:$AA$1,0)-1)=TRUE),0,OFFSET(Rame!$A$1,MATCH(H449,Rame!$A:$A,0)-1,MATCH(J449,Rame!$A$1:$AA$1,0)-1))*IF(E449="Rame",1,0),4)</f>
        <v>0</v>
      </c>
      <c r="N449" s="238">
        <v>0</v>
      </c>
      <c r="O449" s="238">
        <v>1.88</v>
      </c>
      <c r="P449" s="238">
        <f ca="1">ROUND(+IF(ISERROR(OFFSET(Tabella!$G$1,MATCH(H449,Tabella!$G:$G,0)-1,MATCH(I449,Tabella!$G$1:$FG$1,0)-1)=TRUE),0,OFFSET(Tabella!$G$1,MATCH(H449,Tabella!$G:$G,0)-1,MATCH(I449,Tabella!$G$1:$AB$1,0)-1)),4)</f>
        <v>0</v>
      </c>
      <c r="Q449" s="238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238">
        <f ca="1">ROUND(IF(ISERROR(OFFSET(Rame!$F$1,MATCH(H449,Rame!$F:$F,0)-1,MATCH(I449,Rame!$F$1:$FF$1,0)-1)=TRUE),0,OFFSET(Rame!$F$1,MATCH(H449,Rame!$F:$F,0)-1,MATCH(I449,Rame!$F$1:$FF$1,0)-1))*IF(E449="Rame",1,0),4)</f>
        <v>0</v>
      </c>
      <c r="S449" s="238">
        <f ca="1">ROUND(IF(ISERROR(OFFSET(Bronzo!$A$1,MATCH(H449,Bronzo!$A:$A,0)-1,MATCH(I449,Bronzo!$A$1:$AA$1,0)-1)=TRUE),0,OFFSET(Bronzo!$A$1,MATCH(H449,Bronzo!$A:$A,0)-1,MATCH(I449,Bronzo!$A$1:$AA$1,0)-1)),4)</f>
        <v>0</v>
      </c>
      <c r="T449" s="238">
        <f t="shared" ca="1" si="269"/>
        <v>0</v>
      </c>
      <c r="U449" s="237"/>
      <c r="V449" s="238">
        <v>0</v>
      </c>
      <c r="W449" s="239">
        <f t="shared" ca="1" si="270"/>
        <v>1.88</v>
      </c>
      <c r="X449" s="240">
        <f t="shared" si="267"/>
        <v>245</v>
      </c>
      <c r="Y449" s="236">
        <v>4.8600000000000003</v>
      </c>
      <c r="Z449" s="236">
        <f t="shared" ca="1" si="271"/>
        <v>-0.05</v>
      </c>
      <c r="AA449" s="241">
        <v>46196</v>
      </c>
      <c r="AF449" s="225">
        <f t="shared" ca="1" si="265"/>
        <v>46236</v>
      </c>
      <c r="AG449" s="225" t="b">
        <f t="shared" si="268"/>
        <v>0</v>
      </c>
      <c r="AH449" s="242"/>
      <c r="AS449" s="223">
        <f t="shared" si="273"/>
        <v>6</v>
      </c>
      <c r="AT449" s="223">
        <f t="shared" si="274"/>
        <v>2026</v>
      </c>
    </row>
    <row r="450" spans="2:46" ht="15.75" x14ac:dyDescent="0.25">
      <c r="B450" s="229" t="s">
        <v>670</v>
      </c>
      <c r="C450" s="235" t="s">
        <v>263</v>
      </c>
      <c r="D450" s="243">
        <v>600</v>
      </c>
      <c r="E450" s="232" t="s">
        <v>4</v>
      </c>
      <c r="F450" s="233">
        <v>3.03</v>
      </c>
      <c r="G450" s="234">
        <v>46153</v>
      </c>
      <c r="H450" s="235" t="s">
        <v>11</v>
      </c>
      <c r="I450" s="235"/>
      <c r="J450" s="236">
        <v>7.0000000000000007E-2</v>
      </c>
      <c r="K450" s="237">
        <f ca="1">ROUND(IF(ISERROR(OFFSET(Tabella!$A$1,MATCH(H450,Tabella!$A:$A,0)-1,MATCH(J450,Tabella!$A$1:$AC$1,0)-1)=TRUE),0,+OFFSET(Tabella!$A$1,MATCH(H450,Tabella!$A:$A,0)-1,MATCH(J450,Tabella!$A$1:$AC$1,0)-1)),4)</f>
        <v>1.5</v>
      </c>
      <c r="L450" s="238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238">
        <f ca="1">ROUND(IF(ISERROR(OFFSET(Rame!$A$1,MATCH(H450,Rame!$A:$A,0)-1,MATCH(J450,Rame!$A$1:$AA$1,0)-1)=TRUE),0,OFFSET(Rame!$A$1,MATCH(H450,Rame!$A:$A,0)-1,MATCH(J450,Rame!$A$1:$AA$1,0)-1))*IF(E450="Rame",1,0),4)</f>
        <v>0</v>
      </c>
      <c r="N450" s="238">
        <v>0</v>
      </c>
      <c r="O450" s="238">
        <v>1.88</v>
      </c>
      <c r="P450" s="238">
        <f ca="1">ROUND(+IF(ISERROR(OFFSET(Tabella!$G$1,MATCH(H450,Tabella!$G:$G,0)-1,MATCH(I450,Tabella!$G$1:$FG$1,0)-1)=TRUE),0,OFFSET(Tabella!$G$1,MATCH(H450,Tabella!$G:$G,0)-1,MATCH(I450,Tabella!$G$1:$AB$1,0)-1)),4)</f>
        <v>0</v>
      </c>
      <c r="Q450" s="238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238">
        <f ca="1">ROUND(IF(ISERROR(OFFSET(Rame!$F$1,MATCH(H450,Rame!$F:$F,0)-1,MATCH(I450,Rame!$F$1:$FF$1,0)-1)=TRUE),0,OFFSET(Rame!$F$1,MATCH(H450,Rame!$F:$F,0)-1,MATCH(I450,Rame!$F$1:$FF$1,0)-1))*IF(E450="Rame",1,0),4)</f>
        <v>0</v>
      </c>
      <c r="S450" s="238">
        <f ca="1">ROUND(IF(ISERROR(OFFSET(Bronzo!$A$1,MATCH(H450,Bronzo!$A:$A,0)-1,MATCH(I450,Bronzo!$A$1:$AA$1,0)-1)=TRUE),0,OFFSET(Bronzo!$A$1,MATCH(H450,Bronzo!$A:$A,0)-1,MATCH(I450,Bronzo!$A$1:$AA$1,0)-1)),4)</f>
        <v>0</v>
      </c>
      <c r="T450" s="238">
        <f t="shared" ca="1" si="269"/>
        <v>0</v>
      </c>
      <c r="U450" s="237"/>
      <c r="V450" s="238">
        <v>0</v>
      </c>
      <c r="W450" s="239">
        <f t="shared" ca="1" si="270"/>
        <v>1.88</v>
      </c>
      <c r="X450" s="240">
        <f t="shared" si="267"/>
        <v>42</v>
      </c>
      <c r="Y450" s="236">
        <v>5.01</v>
      </c>
      <c r="Z450" s="236">
        <f t="shared" ca="1" si="271"/>
        <v>0.1</v>
      </c>
      <c r="AA450" s="241">
        <v>46182</v>
      </c>
      <c r="AF450" s="225">
        <f t="shared" ca="1" si="265"/>
        <v>46236</v>
      </c>
      <c r="AG450" s="225" t="b">
        <f t="shared" si="268"/>
        <v>0</v>
      </c>
      <c r="AH450" s="242"/>
      <c r="AS450" s="223">
        <f t="shared" si="273"/>
        <v>6</v>
      </c>
      <c r="AT450" s="223">
        <f t="shared" si="274"/>
        <v>2026</v>
      </c>
    </row>
    <row r="451" spans="2:46" ht="15.75" x14ac:dyDescent="0.25">
      <c r="B451" s="229" t="s">
        <v>670</v>
      </c>
      <c r="C451" s="235" t="s">
        <v>263</v>
      </c>
      <c r="D451" s="243">
        <v>750</v>
      </c>
      <c r="E451" s="232" t="s">
        <v>4</v>
      </c>
      <c r="F451" s="233">
        <v>3.03</v>
      </c>
      <c r="G451" s="234">
        <v>46153</v>
      </c>
      <c r="H451" s="235" t="s">
        <v>309</v>
      </c>
      <c r="I451" s="235"/>
      <c r="J451" s="236">
        <v>7.0000000000000007E-2</v>
      </c>
      <c r="K451" s="237">
        <f ca="1">ROUND(IF(ISERROR(OFFSET(Tabella!$A$1,MATCH(H451,Tabella!$A:$A,0)-1,MATCH(J451,Tabella!$A$1:$AC$1,0)-1)=TRUE),0,+OFFSET(Tabella!$A$1,MATCH(H451,Tabella!$A:$A,0)-1,MATCH(J451,Tabella!$A$1:$AC$1,0)-1)),4)</f>
        <v>1.25</v>
      </c>
      <c r="L451" s="238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238">
        <f ca="1">ROUND(IF(ISERROR(OFFSET(Rame!$A$1,MATCH(H451,Rame!$A:$A,0)-1,MATCH(J451,Rame!$A$1:$AA$1,0)-1)=TRUE),0,OFFSET(Rame!$A$1,MATCH(H451,Rame!$A:$A,0)-1,MATCH(J451,Rame!$A$1:$AA$1,0)-1))*IF(E451="Rame",1,0),4)</f>
        <v>0</v>
      </c>
      <c r="N451" s="238">
        <v>0</v>
      </c>
      <c r="O451" s="238">
        <v>1.73</v>
      </c>
      <c r="P451" s="238">
        <f ca="1">ROUND(+IF(ISERROR(OFFSET(Tabella!$G$1,MATCH(H451,Tabella!$G:$G,0)-1,MATCH(I451,Tabella!$G$1:$FG$1,0)-1)=TRUE),0,OFFSET(Tabella!$G$1,MATCH(H451,Tabella!$G:$G,0)-1,MATCH(I451,Tabella!$G$1:$AB$1,0)-1)),4)</f>
        <v>0</v>
      </c>
      <c r="Q451" s="238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238">
        <f ca="1">ROUND(IF(ISERROR(OFFSET(Rame!$F$1,MATCH(H451,Rame!$F:$F,0)-1,MATCH(I451,Rame!$F$1:$FF$1,0)-1)=TRUE),0,OFFSET(Rame!$F$1,MATCH(H451,Rame!$F:$F,0)-1,MATCH(I451,Rame!$F$1:$FF$1,0)-1))*IF(E451="Rame",1,0),4)</f>
        <v>0</v>
      </c>
      <c r="S451" s="238">
        <f ca="1">ROUND(IF(ISERROR(OFFSET(Bronzo!$A$1,MATCH(H451,Bronzo!$A:$A,0)-1,MATCH(I451,Bronzo!$A$1:$AA$1,0)-1)=TRUE),0,OFFSET(Bronzo!$A$1,MATCH(H451,Bronzo!$A:$A,0)-1,MATCH(I451,Bronzo!$A$1:$AA$1,0)-1)),4)</f>
        <v>0</v>
      </c>
      <c r="T451" s="238">
        <f t="shared" ca="1" si="269"/>
        <v>0</v>
      </c>
      <c r="U451" s="237"/>
      <c r="V451" s="238">
        <v>0</v>
      </c>
      <c r="W451" s="239">
        <f t="shared" ca="1" si="270"/>
        <v>1.73</v>
      </c>
      <c r="X451" s="240">
        <f t="shared" si="267"/>
        <v>52.5</v>
      </c>
      <c r="Y451" s="236">
        <v>4.71</v>
      </c>
      <c r="Z451" s="236">
        <f t="shared" ca="1" si="271"/>
        <v>-0.05</v>
      </c>
      <c r="AA451" s="241">
        <v>46182</v>
      </c>
      <c r="AF451" s="225">
        <f t="shared" ca="1" si="265"/>
        <v>46236</v>
      </c>
      <c r="AG451" s="225" t="b">
        <f t="shared" si="268"/>
        <v>0</v>
      </c>
      <c r="AH451" s="242"/>
      <c r="AS451" s="223">
        <f t="shared" si="273"/>
        <v>6</v>
      </c>
      <c r="AT451" s="223">
        <f t="shared" si="274"/>
        <v>2026</v>
      </c>
    </row>
    <row r="452" spans="2:46" ht="15.75" x14ac:dyDescent="0.25">
      <c r="B452" s="229" t="s">
        <v>670</v>
      </c>
      <c r="C452" s="235" t="s">
        <v>263</v>
      </c>
      <c r="D452" s="243">
        <v>600</v>
      </c>
      <c r="E452" s="232" t="s">
        <v>4</v>
      </c>
      <c r="F452" s="233">
        <v>3.03</v>
      </c>
      <c r="G452" s="234">
        <v>46153</v>
      </c>
      <c r="H452" s="235" t="s">
        <v>9</v>
      </c>
      <c r="I452" s="235"/>
      <c r="J452" s="236">
        <v>7.0000000000000007E-2</v>
      </c>
      <c r="K452" s="237">
        <f ca="1">ROUND(IF(ISERROR(OFFSET(Tabella!$A$1,MATCH(H452,Tabella!$A:$A,0)-1,MATCH(J452,Tabella!$A$1:$AC$1,0)-1)=TRUE),0,+OFFSET(Tabella!$A$1,MATCH(H452,Tabella!$A:$A,0)-1,MATCH(J452,Tabella!$A$1:$AC$1,0)-1)),4)</f>
        <v>1.6</v>
      </c>
      <c r="L452" s="238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238">
        <f ca="1">ROUND(IF(ISERROR(OFFSET(Rame!$A$1,MATCH(H452,Rame!$A:$A,0)-1,MATCH(J452,Rame!$A$1:$AA$1,0)-1)=TRUE),0,OFFSET(Rame!$A$1,MATCH(H452,Rame!$A:$A,0)-1,MATCH(J452,Rame!$A$1:$AA$1,0)-1))*IF(E452="Rame",1,0),4)</f>
        <v>0</v>
      </c>
      <c r="N452" s="238">
        <v>0</v>
      </c>
      <c r="O452" s="238">
        <v>2.0299999999999998</v>
      </c>
      <c r="P452" s="238">
        <f ca="1">ROUND(+IF(ISERROR(OFFSET(Tabella!$G$1,MATCH(H452,Tabella!$G:$G,0)-1,MATCH(I452,Tabella!$G$1:$FG$1,0)-1)=TRUE),0,OFFSET(Tabella!$G$1,MATCH(H452,Tabella!$G:$G,0)-1,MATCH(I452,Tabella!$G$1:$AB$1,0)-1)),4)</f>
        <v>0</v>
      </c>
      <c r="Q452" s="238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238">
        <f ca="1">ROUND(IF(ISERROR(OFFSET(Rame!$F$1,MATCH(H452,Rame!$F:$F,0)-1,MATCH(I452,Rame!$F$1:$FF$1,0)-1)=TRUE),0,OFFSET(Rame!$F$1,MATCH(H452,Rame!$F:$F,0)-1,MATCH(I452,Rame!$F$1:$FF$1,0)-1))*IF(E452="Rame",1,0),4)</f>
        <v>0</v>
      </c>
      <c r="S452" s="238">
        <f ca="1">ROUND(IF(ISERROR(OFFSET(Bronzo!$A$1,MATCH(H452,Bronzo!$A:$A,0)-1,MATCH(I452,Bronzo!$A$1:$AA$1,0)-1)=TRUE),0,OFFSET(Bronzo!$A$1,MATCH(H452,Bronzo!$A:$A,0)-1,MATCH(I452,Bronzo!$A$1:$AA$1,0)-1)),4)</f>
        <v>0</v>
      </c>
      <c r="T452" s="238">
        <f t="shared" ca="1" si="269"/>
        <v>0</v>
      </c>
      <c r="U452" s="237"/>
      <c r="V452" s="238">
        <v>0</v>
      </c>
      <c r="W452" s="239">
        <f t="shared" ca="1" si="270"/>
        <v>2.0299999999999998</v>
      </c>
      <c r="X452" s="240">
        <f t="shared" si="267"/>
        <v>42</v>
      </c>
      <c r="Y452" s="236">
        <v>5.01</v>
      </c>
      <c r="Z452" s="236">
        <f t="shared" ca="1" si="271"/>
        <v>-0.05</v>
      </c>
      <c r="AA452" s="241">
        <v>46182</v>
      </c>
      <c r="AF452" s="225">
        <f t="shared" ca="1" si="265"/>
        <v>46236</v>
      </c>
      <c r="AG452" s="225" t="b">
        <f t="shared" si="268"/>
        <v>0</v>
      </c>
      <c r="AH452" s="242"/>
      <c r="AS452" s="223">
        <f t="shared" si="273"/>
        <v>6</v>
      </c>
      <c r="AT452" s="223">
        <f t="shared" si="274"/>
        <v>2026</v>
      </c>
    </row>
    <row r="453" spans="2:46" ht="15.75" x14ac:dyDescent="0.25">
      <c r="B453" s="229" t="s">
        <v>670</v>
      </c>
      <c r="C453" s="235" t="s">
        <v>263</v>
      </c>
      <c r="D453" s="243">
        <v>1500</v>
      </c>
      <c r="E453" s="232" t="s">
        <v>4</v>
      </c>
      <c r="F453" s="233">
        <v>3.03</v>
      </c>
      <c r="G453" s="234">
        <v>46153</v>
      </c>
      <c r="H453" s="235" t="s">
        <v>322</v>
      </c>
      <c r="I453" s="235"/>
      <c r="J453" s="236">
        <v>7.0000000000000007E-2</v>
      </c>
      <c r="K453" s="237">
        <f ca="1">ROUND(IF(ISERROR(OFFSET(Tabella!$A$1,MATCH(H453,Tabella!$A:$A,0)-1,MATCH(J453,Tabella!$A$1:$AC$1,0)-1)=TRUE),0,+OFFSET(Tabella!$A$1,MATCH(H453,Tabella!$A:$A,0)-1,MATCH(J453,Tabella!$A$1:$AC$1,0)-1)),4)</f>
        <v>1.25</v>
      </c>
      <c r="L453" s="238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238">
        <f ca="1">ROUND(IF(ISERROR(OFFSET(Rame!$A$1,MATCH(H453,Rame!$A:$A,0)-1,MATCH(J453,Rame!$A$1:$AA$1,0)-1)=TRUE),0,OFFSET(Rame!$A$1,MATCH(H453,Rame!$A:$A,0)-1,MATCH(J453,Rame!$A$1:$AA$1,0)-1))*IF(E453="Rame",1,0),4)</f>
        <v>0</v>
      </c>
      <c r="N453" s="238">
        <v>0</v>
      </c>
      <c r="O453" s="238">
        <v>1.73</v>
      </c>
      <c r="P453" s="238">
        <f ca="1">ROUND(+IF(ISERROR(OFFSET(Tabella!$G$1,MATCH(H453,Tabella!$G:$G,0)-1,MATCH(I453,Tabella!$G$1:$FG$1,0)-1)=TRUE),0,OFFSET(Tabella!$G$1,MATCH(H453,Tabella!$G:$G,0)-1,MATCH(I453,Tabella!$G$1:$AB$1,0)-1)),4)</f>
        <v>0</v>
      </c>
      <c r="Q453" s="238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238">
        <f ca="1">ROUND(IF(ISERROR(OFFSET(Rame!$F$1,MATCH(H453,Rame!$F:$F,0)-1,MATCH(I453,Rame!$F$1:$FF$1,0)-1)=TRUE),0,OFFSET(Rame!$F$1,MATCH(H453,Rame!$F:$F,0)-1,MATCH(I453,Rame!$F$1:$FF$1,0)-1))*IF(E453="Rame",1,0),4)</f>
        <v>0</v>
      </c>
      <c r="S453" s="238">
        <f ca="1">ROUND(IF(ISERROR(OFFSET(Bronzo!$A$1,MATCH(H453,Bronzo!$A:$A,0)-1,MATCH(I453,Bronzo!$A$1:$AA$1,0)-1)=TRUE),0,OFFSET(Bronzo!$A$1,MATCH(H453,Bronzo!$A:$A,0)-1,MATCH(I453,Bronzo!$A$1:$AA$1,0)-1)),4)</f>
        <v>0</v>
      </c>
      <c r="T453" s="238">
        <f t="shared" ca="1" si="269"/>
        <v>0</v>
      </c>
      <c r="U453" s="237"/>
      <c r="V453" s="238">
        <v>0</v>
      </c>
      <c r="W453" s="239">
        <f t="shared" ca="1" si="270"/>
        <v>1.73</v>
      </c>
      <c r="X453" s="240">
        <f t="shared" si="267"/>
        <v>105</v>
      </c>
      <c r="Y453" s="236">
        <v>4.71</v>
      </c>
      <c r="Z453" s="236">
        <f t="shared" ca="1" si="271"/>
        <v>-0.05</v>
      </c>
      <c r="AA453" s="241">
        <v>46182</v>
      </c>
      <c r="AF453" s="225">
        <f t="shared" ref="AF453:AF516" ca="1" si="275">TODAY()</f>
        <v>46236</v>
      </c>
      <c r="AG453" s="225" t="b">
        <f t="shared" si="268"/>
        <v>0</v>
      </c>
      <c r="AH453" s="242"/>
      <c r="AS453" s="223">
        <f t="shared" si="273"/>
        <v>6</v>
      </c>
      <c r="AT453" s="223">
        <f t="shared" si="274"/>
        <v>2026</v>
      </c>
    </row>
    <row r="454" spans="2:46" ht="15.75" x14ac:dyDescent="0.25">
      <c r="B454" s="229" t="s">
        <v>669</v>
      </c>
      <c r="C454" s="235" t="s">
        <v>263</v>
      </c>
      <c r="D454" s="243">
        <v>3500</v>
      </c>
      <c r="E454" s="232" t="s">
        <v>4</v>
      </c>
      <c r="F454" s="233">
        <v>3.03</v>
      </c>
      <c r="G454" s="234">
        <v>46153</v>
      </c>
      <c r="H454" s="235" t="s">
        <v>15</v>
      </c>
      <c r="I454" s="235"/>
      <c r="J454" s="236">
        <v>7.0000000000000007E-2</v>
      </c>
      <c r="K454" s="237">
        <f ca="1">ROUND(IF(ISERROR(OFFSET(Tabella!$A$1,MATCH(H454,Tabella!$A:$A,0)-1,MATCH(J454,Tabella!$A$1:$AC$1,0)-1)=TRUE),0,+OFFSET(Tabella!$A$1,MATCH(H454,Tabella!$A:$A,0)-1,MATCH(J454,Tabella!$A$1:$AC$1,0)-1)),4)</f>
        <v>1.4</v>
      </c>
      <c r="L454" s="238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238">
        <f ca="1">ROUND(IF(ISERROR(OFFSET(Rame!$A$1,MATCH(H454,Rame!$A:$A,0)-1,MATCH(J454,Rame!$A$1:$AA$1,0)-1)=TRUE),0,OFFSET(Rame!$A$1,MATCH(H454,Rame!$A:$A,0)-1,MATCH(J454,Rame!$A$1:$AA$1,0)-1))*IF(E454="Rame",1,0),4)</f>
        <v>0</v>
      </c>
      <c r="N454" s="238">
        <v>0</v>
      </c>
      <c r="O454" s="238">
        <v>1.88</v>
      </c>
      <c r="P454" s="238">
        <f ca="1">ROUND(+IF(ISERROR(OFFSET(Tabella!$G$1,MATCH(H454,Tabella!$G:$G,0)-1,MATCH(I454,Tabella!$G$1:$FG$1,0)-1)=TRUE),0,OFFSET(Tabella!$G$1,MATCH(H454,Tabella!$G:$G,0)-1,MATCH(I454,Tabella!$G$1:$AB$1,0)-1)),4)</f>
        <v>0</v>
      </c>
      <c r="Q454" s="238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238">
        <f ca="1">ROUND(IF(ISERROR(OFFSET(Rame!$F$1,MATCH(H454,Rame!$F:$F,0)-1,MATCH(I454,Rame!$F$1:$FF$1,0)-1)=TRUE),0,OFFSET(Rame!$F$1,MATCH(H454,Rame!$F:$F,0)-1,MATCH(I454,Rame!$F$1:$FF$1,0)-1))*IF(E454="Rame",1,0),4)</f>
        <v>0</v>
      </c>
      <c r="S454" s="238">
        <f ca="1">ROUND(IF(ISERROR(OFFSET(Bronzo!$A$1,MATCH(H454,Bronzo!$A:$A,0)-1,MATCH(I454,Bronzo!$A$1:$AA$1,0)-1)=TRUE),0,OFFSET(Bronzo!$A$1,MATCH(H454,Bronzo!$A:$A,0)-1,MATCH(I454,Bronzo!$A$1:$AA$1,0)-1)),4)</f>
        <v>0</v>
      </c>
      <c r="T454" s="238">
        <f t="shared" ca="1" si="269"/>
        <v>0</v>
      </c>
      <c r="U454" s="237"/>
      <c r="V454" s="238">
        <v>0</v>
      </c>
      <c r="W454" s="239">
        <f t="shared" ca="1" si="270"/>
        <v>1.88</v>
      </c>
      <c r="X454" s="240">
        <f t="shared" si="267"/>
        <v>245</v>
      </c>
      <c r="Y454" s="236">
        <v>4.8600000000000003</v>
      </c>
      <c r="Z454" s="236">
        <f t="shared" ca="1" si="271"/>
        <v>-0.05</v>
      </c>
      <c r="AA454" s="241">
        <v>46182</v>
      </c>
      <c r="AF454" s="225">
        <f t="shared" ca="1" si="275"/>
        <v>46236</v>
      </c>
      <c r="AG454" s="225" t="b">
        <f t="shared" si="268"/>
        <v>0</v>
      </c>
      <c r="AH454" s="242"/>
      <c r="AS454" s="223">
        <f t="shared" si="273"/>
        <v>6</v>
      </c>
      <c r="AT454" s="223">
        <f t="shared" si="274"/>
        <v>2026</v>
      </c>
    </row>
    <row r="455" spans="2:46" ht="15.75" x14ac:dyDescent="0.25">
      <c r="B455" s="229" t="s">
        <v>669</v>
      </c>
      <c r="C455" s="235" t="s">
        <v>263</v>
      </c>
      <c r="D455" s="243">
        <v>2500</v>
      </c>
      <c r="E455" s="232" t="s">
        <v>4</v>
      </c>
      <c r="F455" s="233">
        <v>3.03</v>
      </c>
      <c r="G455" s="234">
        <v>46153</v>
      </c>
      <c r="H455" s="235" t="s">
        <v>15</v>
      </c>
      <c r="I455" s="235"/>
      <c r="J455" s="236">
        <v>7.0000000000000007E-2</v>
      </c>
      <c r="K455" s="237">
        <f ca="1">ROUND(IF(ISERROR(OFFSET(Tabella!$A$1,MATCH(H455,Tabella!$A:$A,0)-1,MATCH(J455,Tabella!$A$1:$AC$1,0)-1)=TRUE),0,+OFFSET(Tabella!$A$1,MATCH(H455,Tabella!$A:$A,0)-1,MATCH(J455,Tabella!$A$1:$AC$1,0)-1)),4)</f>
        <v>1.4</v>
      </c>
      <c r="L455" s="238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238">
        <f ca="1">ROUND(IF(ISERROR(OFFSET(Rame!$A$1,MATCH(H455,Rame!$A:$A,0)-1,MATCH(J455,Rame!$A$1:$AA$1,0)-1)=TRUE),0,OFFSET(Rame!$A$1,MATCH(H455,Rame!$A:$A,0)-1,MATCH(J455,Rame!$A$1:$AA$1,0)-1))*IF(E455="Rame",1,0),4)</f>
        <v>0</v>
      </c>
      <c r="N455" s="238">
        <v>0</v>
      </c>
      <c r="O455" s="238">
        <v>1.88</v>
      </c>
      <c r="P455" s="238">
        <f ca="1">ROUND(+IF(ISERROR(OFFSET(Tabella!$G$1,MATCH(H455,Tabella!$G:$G,0)-1,MATCH(I455,Tabella!$G$1:$FG$1,0)-1)=TRUE),0,OFFSET(Tabella!$G$1,MATCH(H455,Tabella!$G:$G,0)-1,MATCH(I455,Tabella!$G$1:$AB$1,0)-1)),4)</f>
        <v>0</v>
      </c>
      <c r="Q455" s="238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238">
        <f ca="1">ROUND(IF(ISERROR(OFFSET(Rame!$F$1,MATCH(H455,Rame!$F:$F,0)-1,MATCH(I455,Rame!$F$1:$FF$1,0)-1)=TRUE),0,OFFSET(Rame!$F$1,MATCH(H455,Rame!$F:$F,0)-1,MATCH(I455,Rame!$F$1:$FF$1,0)-1))*IF(E455="Rame",1,0),4)</f>
        <v>0</v>
      </c>
      <c r="S455" s="238">
        <f ca="1">ROUND(IF(ISERROR(OFFSET(Bronzo!$A$1,MATCH(H455,Bronzo!$A:$A,0)-1,MATCH(I455,Bronzo!$A$1:$AA$1,0)-1)=TRUE),0,OFFSET(Bronzo!$A$1,MATCH(H455,Bronzo!$A:$A,0)-1,MATCH(I455,Bronzo!$A$1:$AA$1,0)-1)),4)</f>
        <v>0</v>
      </c>
      <c r="T455" s="238">
        <f t="shared" ca="1" si="269"/>
        <v>0</v>
      </c>
      <c r="U455" s="237"/>
      <c r="V455" s="238">
        <v>0</v>
      </c>
      <c r="W455" s="239">
        <f t="shared" ca="1" si="270"/>
        <v>1.88</v>
      </c>
      <c r="X455" s="240">
        <f t="shared" si="267"/>
        <v>175</v>
      </c>
      <c r="Y455" s="236">
        <v>4.8600000000000003</v>
      </c>
      <c r="Z455" s="236">
        <f t="shared" ca="1" si="271"/>
        <v>-0.05</v>
      </c>
      <c r="AA455" s="241">
        <v>46196</v>
      </c>
      <c r="AF455" s="225">
        <f t="shared" ca="1" si="275"/>
        <v>46236</v>
      </c>
      <c r="AG455" s="225" t="b">
        <f t="shared" si="268"/>
        <v>0</v>
      </c>
      <c r="AH455" s="242"/>
      <c r="AS455" s="223">
        <f t="shared" si="273"/>
        <v>6</v>
      </c>
      <c r="AT455" s="223">
        <f t="shared" si="274"/>
        <v>2026</v>
      </c>
    </row>
    <row r="456" spans="2:46" ht="15.75" x14ac:dyDescent="0.25">
      <c r="B456" s="229" t="s">
        <v>669</v>
      </c>
      <c r="C456" s="235" t="s">
        <v>263</v>
      </c>
      <c r="D456" s="243">
        <v>800</v>
      </c>
      <c r="E456" s="232" t="s">
        <v>4</v>
      </c>
      <c r="F456" s="233">
        <v>3.03</v>
      </c>
      <c r="G456" s="234">
        <v>46153</v>
      </c>
      <c r="H456" s="235" t="s">
        <v>17</v>
      </c>
      <c r="I456" s="235"/>
      <c r="J456" s="236">
        <v>7.0000000000000007E-2</v>
      </c>
      <c r="K456" s="237">
        <f ca="1">ROUND(IF(ISERROR(OFFSET(Tabella!$A$1,MATCH(H456,Tabella!$A:$A,0)-1,MATCH(J456,Tabella!$A$1:$AC$1,0)-1)=TRUE),0,+OFFSET(Tabella!$A$1,MATCH(H456,Tabella!$A:$A,0)-1,MATCH(J456,Tabella!$A$1:$AC$1,0)-1)),4)</f>
        <v>1.4</v>
      </c>
      <c r="L456" s="238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238">
        <f ca="1">ROUND(IF(ISERROR(OFFSET(Rame!$A$1,MATCH(H456,Rame!$A:$A,0)-1,MATCH(J456,Rame!$A$1:$AA$1,0)-1)=TRUE),0,OFFSET(Rame!$A$1,MATCH(H456,Rame!$A:$A,0)-1,MATCH(J456,Rame!$A$1:$AA$1,0)-1))*IF(E456="Rame",1,0),4)</f>
        <v>0</v>
      </c>
      <c r="N456" s="238">
        <v>0</v>
      </c>
      <c r="O456" s="238">
        <v>1.83</v>
      </c>
      <c r="P456" s="238">
        <f ca="1">ROUND(+IF(ISERROR(OFFSET(Tabella!$G$1,MATCH(H456,Tabella!$G:$G,0)-1,MATCH(I456,Tabella!$G$1:$FG$1,0)-1)=TRUE),0,OFFSET(Tabella!$G$1,MATCH(H456,Tabella!$G:$G,0)-1,MATCH(I456,Tabella!$G$1:$AB$1,0)-1)),4)</f>
        <v>0</v>
      </c>
      <c r="Q456" s="238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238">
        <f ca="1">ROUND(IF(ISERROR(OFFSET(Rame!$F$1,MATCH(H456,Rame!$F:$F,0)-1,MATCH(I456,Rame!$F$1:$FF$1,0)-1)=TRUE),0,OFFSET(Rame!$F$1,MATCH(H456,Rame!$F:$F,0)-1,MATCH(I456,Rame!$F$1:$FF$1,0)-1))*IF(E456="Rame",1,0),4)</f>
        <v>0</v>
      </c>
      <c r="S456" s="238">
        <f ca="1">ROUND(IF(ISERROR(OFFSET(Bronzo!$A$1,MATCH(H456,Bronzo!$A:$A,0)-1,MATCH(I456,Bronzo!$A$1:$AA$1,0)-1)=TRUE),0,OFFSET(Bronzo!$A$1,MATCH(H456,Bronzo!$A:$A,0)-1,MATCH(I456,Bronzo!$A$1:$AA$1,0)-1)),4)</f>
        <v>0</v>
      </c>
      <c r="T456" s="238">
        <f t="shared" ca="1" si="269"/>
        <v>0</v>
      </c>
      <c r="U456" s="237"/>
      <c r="V456" s="238">
        <v>0</v>
      </c>
      <c r="W456" s="239">
        <f t="shared" ca="1" si="270"/>
        <v>1.83</v>
      </c>
      <c r="X456" s="240">
        <f t="shared" si="267"/>
        <v>56</v>
      </c>
      <c r="Y456" s="236">
        <v>4.8099999999999996</v>
      </c>
      <c r="Z456" s="236">
        <f t="shared" ca="1" si="271"/>
        <v>-0.05</v>
      </c>
      <c r="AA456" s="241">
        <v>46210</v>
      </c>
      <c r="AF456" s="225">
        <f t="shared" ca="1" si="275"/>
        <v>46236</v>
      </c>
      <c r="AG456" s="225" t="b">
        <f t="shared" si="268"/>
        <v>0</v>
      </c>
      <c r="AH456" s="242"/>
      <c r="AS456" s="223">
        <f t="shared" si="273"/>
        <v>7</v>
      </c>
      <c r="AT456" s="223">
        <f t="shared" si="274"/>
        <v>2026</v>
      </c>
    </row>
    <row r="457" spans="2:46" ht="15.75" x14ac:dyDescent="0.25">
      <c r="B457" s="229" t="s">
        <v>669</v>
      </c>
      <c r="C457" s="235" t="s">
        <v>263</v>
      </c>
      <c r="D457" s="243">
        <v>800</v>
      </c>
      <c r="E457" s="232" t="s">
        <v>4</v>
      </c>
      <c r="F457" s="233">
        <v>3.03</v>
      </c>
      <c r="G457" s="234">
        <v>46153</v>
      </c>
      <c r="H457" s="235" t="s">
        <v>17</v>
      </c>
      <c r="I457" s="235"/>
      <c r="J457" s="236">
        <v>7.0000000000000007E-2</v>
      </c>
      <c r="K457" s="237">
        <f ca="1">ROUND(IF(ISERROR(OFFSET(Tabella!$A$1,MATCH(H457,Tabella!$A:$A,0)-1,MATCH(J457,Tabella!$A$1:$AC$1,0)-1)=TRUE),0,+OFFSET(Tabella!$A$1,MATCH(H457,Tabella!$A:$A,0)-1,MATCH(J457,Tabella!$A$1:$AC$1,0)-1)),4)</f>
        <v>1.4</v>
      </c>
      <c r="L457" s="238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238">
        <f ca="1">ROUND(IF(ISERROR(OFFSET(Rame!$A$1,MATCH(H457,Rame!$A:$A,0)-1,MATCH(J457,Rame!$A$1:$AA$1,0)-1)=TRUE),0,OFFSET(Rame!$A$1,MATCH(H457,Rame!$A:$A,0)-1,MATCH(J457,Rame!$A$1:$AA$1,0)-1))*IF(E457="Rame",1,0),4)</f>
        <v>0</v>
      </c>
      <c r="N457" s="238">
        <v>0</v>
      </c>
      <c r="O457" s="238">
        <v>1.83</v>
      </c>
      <c r="P457" s="238">
        <f ca="1">ROUND(+IF(ISERROR(OFFSET(Tabella!$G$1,MATCH(H457,Tabella!$G:$G,0)-1,MATCH(I457,Tabella!$G$1:$FG$1,0)-1)=TRUE),0,OFFSET(Tabella!$G$1,MATCH(H457,Tabella!$G:$G,0)-1,MATCH(I457,Tabella!$G$1:$AB$1,0)-1)),4)</f>
        <v>0</v>
      </c>
      <c r="Q457" s="238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238">
        <f ca="1">ROUND(IF(ISERROR(OFFSET(Rame!$F$1,MATCH(H457,Rame!$F:$F,0)-1,MATCH(I457,Rame!$F$1:$FF$1,0)-1)=TRUE),0,OFFSET(Rame!$F$1,MATCH(H457,Rame!$F:$F,0)-1,MATCH(I457,Rame!$F$1:$FF$1,0)-1))*IF(E457="Rame",1,0),4)</f>
        <v>0</v>
      </c>
      <c r="S457" s="238">
        <f ca="1">ROUND(IF(ISERROR(OFFSET(Bronzo!$A$1,MATCH(H457,Bronzo!$A:$A,0)-1,MATCH(I457,Bronzo!$A$1:$AA$1,0)-1)=TRUE),0,OFFSET(Bronzo!$A$1,MATCH(H457,Bronzo!$A:$A,0)-1,MATCH(I457,Bronzo!$A$1:$AA$1,0)-1)),4)</f>
        <v>0</v>
      </c>
      <c r="T457" s="238">
        <f t="shared" ca="1" si="269"/>
        <v>0</v>
      </c>
      <c r="U457" s="237"/>
      <c r="V457" s="238">
        <v>0</v>
      </c>
      <c r="W457" s="239">
        <f t="shared" ca="1" si="270"/>
        <v>1.83</v>
      </c>
      <c r="X457" s="240">
        <f t="shared" si="267"/>
        <v>56</v>
      </c>
      <c r="Y457" s="236">
        <v>4.8099999999999996</v>
      </c>
      <c r="Z457" s="236">
        <f t="shared" ca="1" si="271"/>
        <v>-0.05</v>
      </c>
      <c r="AA457" s="241">
        <v>46224</v>
      </c>
      <c r="AF457" s="225">
        <f t="shared" ca="1" si="275"/>
        <v>46236</v>
      </c>
      <c r="AG457" s="225" t="b">
        <f t="shared" si="268"/>
        <v>0</v>
      </c>
      <c r="AH457" s="242"/>
      <c r="AS457" s="223">
        <f t="shared" si="273"/>
        <v>7</v>
      </c>
      <c r="AT457" s="223">
        <f t="shared" si="274"/>
        <v>2026</v>
      </c>
    </row>
    <row r="458" spans="2:46" ht="15.75" x14ac:dyDescent="0.25">
      <c r="B458" s="229" t="s">
        <v>669</v>
      </c>
      <c r="C458" s="235" t="s">
        <v>263</v>
      </c>
      <c r="D458" s="243">
        <v>600</v>
      </c>
      <c r="E458" s="232" t="s">
        <v>4</v>
      </c>
      <c r="F458" s="233">
        <v>3.03</v>
      </c>
      <c r="G458" s="234">
        <v>46153</v>
      </c>
      <c r="H458" s="235" t="s">
        <v>9</v>
      </c>
      <c r="I458" s="235"/>
      <c r="J458" s="236">
        <v>7.0000000000000007E-2</v>
      </c>
      <c r="K458" s="237">
        <f ca="1">ROUND(IF(ISERROR(OFFSET(Tabella!$A$1,MATCH(H458,Tabella!$A:$A,0)-1,MATCH(J458,Tabella!$A$1:$AC$1,0)-1)=TRUE),0,+OFFSET(Tabella!$A$1,MATCH(H458,Tabella!$A:$A,0)-1,MATCH(J458,Tabella!$A$1:$AC$1,0)-1)),4)</f>
        <v>1.6</v>
      </c>
      <c r="L458" s="238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238">
        <f ca="1">ROUND(IF(ISERROR(OFFSET(Rame!$A$1,MATCH(H458,Rame!$A:$A,0)-1,MATCH(J458,Rame!$A$1:$AA$1,0)-1)=TRUE),0,OFFSET(Rame!$A$1,MATCH(H458,Rame!$A:$A,0)-1,MATCH(J458,Rame!$A$1:$AA$1,0)-1))*IF(E458="Rame",1,0),4)</f>
        <v>0</v>
      </c>
      <c r="N458" s="238">
        <v>0</v>
      </c>
      <c r="O458" s="238">
        <v>2.0299999999999998</v>
      </c>
      <c r="P458" s="238">
        <f ca="1">ROUND(+IF(ISERROR(OFFSET(Tabella!$G$1,MATCH(H458,Tabella!$G:$G,0)-1,MATCH(I458,Tabella!$G$1:$FG$1,0)-1)=TRUE),0,OFFSET(Tabella!$G$1,MATCH(H458,Tabella!$G:$G,0)-1,MATCH(I458,Tabella!$G$1:$AB$1,0)-1)),4)</f>
        <v>0</v>
      </c>
      <c r="Q458" s="238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238">
        <f ca="1">ROUND(IF(ISERROR(OFFSET(Rame!$F$1,MATCH(H458,Rame!$F:$F,0)-1,MATCH(I458,Rame!$F$1:$FF$1,0)-1)=TRUE),0,OFFSET(Rame!$F$1,MATCH(H458,Rame!$F:$F,0)-1,MATCH(I458,Rame!$F$1:$FF$1,0)-1))*IF(E458="Rame",1,0),4)</f>
        <v>0</v>
      </c>
      <c r="S458" s="238">
        <f ca="1">ROUND(IF(ISERROR(OFFSET(Bronzo!$A$1,MATCH(H458,Bronzo!$A:$A,0)-1,MATCH(I458,Bronzo!$A$1:$AA$1,0)-1)=TRUE),0,OFFSET(Bronzo!$A$1,MATCH(H458,Bronzo!$A:$A,0)-1,MATCH(I458,Bronzo!$A$1:$AA$1,0)-1)),4)</f>
        <v>0</v>
      </c>
      <c r="T458" s="238">
        <f t="shared" ca="1" si="269"/>
        <v>0</v>
      </c>
      <c r="U458" s="237"/>
      <c r="V458" s="238">
        <v>0</v>
      </c>
      <c r="W458" s="239">
        <f t="shared" ca="1" si="270"/>
        <v>2.0299999999999998</v>
      </c>
      <c r="X458" s="240">
        <f t="shared" si="267"/>
        <v>42</v>
      </c>
      <c r="Y458" s="236">
        <v>5.01</v>
      </c>
      <c r="Z458" s="236">
        <f t="shared" ca="1" si="271"/>
        <v>-0.05</v>
      </c>
      <c r="AA458" s="241">
        <v>46182</v>
      </c>
      <c r="AF458" s="225">
        <f t="shared" ca="1" si="275"/>
        <v>46236</v>
      </c>
      <c r="AG458" s="225" t="b">
        <f t="shared" si="268"/>
        <v>0</v>
      </c>
      <c r="AH458" s="242"/>
      <c r="AS458" s="223">
        <f t="shared" si="273"/>
        <v>6</v>
      </c>
      <c r="AT458" s="223">
        <f t="shared" si="274"/>
        <v>2026</v>
      </c>
    </row>
    <row r="459" spans="2:46" ht="15.75" x14ac:dyDescent="0.25">
      <c r="B459" s="229" t="s">
        <v>669</v>
      </c>
      <c r="C459" s="235" t="s">
        <v>263</v>
      </c>
      <c r="D459" s="243">
        <v>2500</v>
      </c>
      <c r="E459" s="232" t="s">
        <v>4</v>
      </c>
      <c r="F459" s="233">
        <v>3.03</v>
      </c>
      <c r="G459" s="234">
        <v>46153</v>
      </c>
      <c r="H459" s="235" t="s">
        <v>322</v>
      </c>
      <c r="I459" s="235"/>
      <c r="J459" s="236">
        <v>7.0000000000000007E-2</v>
      </c>
      <c r="K459" s="237">
        <f ca="1">ROUND(IF(ISERROR(OFFSET(Tabella!$A$1,MATCH(H459,Tabella!$A:$A,0)-1,MATCH(J459,Tabella!$A$1:$AC$1,0)-1)=TRUE),0,+OFFSET(Tabella!$A$1,MATCH(H459,Tabella!$A:$A,0)-1,MATCH(J459,Tabella!$A$1:$AC$1,0)-1)),4)</f>
        <v>1.25</v>
      </c>
      <c r="L459" s="238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238">
        <f ca="1">ROUND(IF(ISERROR(OFFSET(Rame!$A$1,MATCH(H459,Rame!$A:$A,0)-1,MATCH(J459,Rame!$A$1:$AA$1,0)-1)=TRUE),0,OFFSET(Rame!$A$1,MATCH(H459,Rame!$A:$A,0)-1,MATCH(J459,Rame!$A$1:$AA$1,0)-1))*IF(E459="Rame",1,0),4)</f>
        <v>0</v>
      </c>
      <c r="N459" s="238">
        <v>0</v>
      </c>
      <c r="O459" s="238">
        <v>1.73</v>
      </c>
      <c r="P459" s="238">
        <f ca="1">ROUND(+IF(ISERROR(OFFSET(Tabella!$G$1,MATCH(H459,Tabella!$G:$G,0)-1,MATCH(I459,Tabella!$G$1:$FG$1,0)-1)=TRUE),0,OFFSET(Tabella!$G$1,MATCH(H459,Tabella!$G:$G,0)-1,MATCH(I459,Tabella!$G$1:$AB$1,0)-1)),4)</f>
        <v>0</v>
      </c>
      <c r="Q459" s="238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238">
        <f ca="1">ROUND(IF(ISERROR(OFFSET(Rame!$F$1,MATCH(H459,Rame!$F:$F,0)-1,MATCH(I459,Rame!$F$1:$FF$1,0)-1)=TRUE),0,OFFSET(Rame!$F$1,MATCH(H459,Rame!$F:$F,0)-1,MATCH(I459,Rame!$F$1:$FF$1,0)-1))*IF(E459="Rame",1,0),4)</f>
        <v>0</v>
      </c>
      <c r="S459" s="238">
        <f ca="1">ROUND(IF(ISERROR(OFFSET(Bronzo!$A$1,MATCH(H459,Bronzo!$A:$A,0)-1,MATCH(I459,Bronzo!$A$1:$AA$1,0)-1)=TRUE),0,OFFSET(Bronzo!$A$1,MATCH(H459,Bronzo!$A:$A,0)-1,MATCH(I459,Bronzo!$A$1:$AA$1,0)-1)),4)</f>
        <v>0</v>
      </c>
      <c r="T459" s="238">
        <f t="shared" ca="1" si="269"/>
        <v>0</v>
      </c>
      <c r="U459" s="237"/>
      <c r="V459" s="238">
        <v>0</v>
      </c>
      <c r="W459" s="239">
        <f t="shared" ca="1" si="270"/>
        <v>1.73</v>
      </c>
      <c r="X459" s="240">
        <f t="shared" si="267"/>
        <v>175</v>
      </c>
      <c r="Y459" s="236">
        <v>4.71</v>
      </c>
      <c r="Z459" s="236">
        <f t="shared" ca="1" si="271"/>
        <v>-0.05</v>
      </c>
      <c r="AA459" s="241">
        <v>46196</v>
      </c>
      <c r="AF459" s="225">
        <f t="shared" ca="1" si="275"/>
        <v>46236</v>
      </c>
      <c r="AG459" s="225" t="b">
        <f t="shared" si="268"/>
        <v>0</v>
      </c>
      <c r="AH459" s="242"/>
      <c r="AS459" s="223">
        <f t="shared" si="273"/>
        <v>6</v>
      </c>
      <c r="AT459" s="223">
        <f t="shared" si="274"/>
        <v>2026</v>
      </c>
    </row>
    <row r="460" spans="2:46" ht="15.75" x14ac:dyDescent="0.25">
      <c r="B460" s="229" t="s">
        <v>674</v>
      </c>
      <c r="C460" s="235" t="s">
        <v>252</v>
      </c>
      <c r="D460" s="243">
        <v>400</v>
      </c>
      <c r="E460" s="232" t="s">
        <v>6</v>
      </c>
      <c r="F460" s="233">
        <v>11.43</v>
      </c>
      <c r="G460" s="234">
        <v>46150</v>
      </c>
      <c r="H460" s="235" t="s">
        <v>14</v>
      </c>
      <c r="I460" s="235"/>
      <c r="J460" s="236">
        <v>0.1</v>
      </c>
      <c r="K460" s="237">
        <f ca="1">ROUND(IF(ISERROR(OFFSET(Tabella!$A$1,MATCH(H460,Tabella!$A:$A,0)-1,MATCH(J460,Tabella!$A$1:$AC$1,0)-1)=TRUE),0,+OFFSET(Tabella!$A$1,MATCH(H460,Tabella!$A:$A,0)-1,MATCH(J460,Tabella!$A$1:$AC$1,0)-1)),4)</f>
        <v>0</v>
      </c>
      <c r="L460" s="238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238">
        <f ca="1">ROUND(IF(ISERROR(OFFSET(Rame!$A$1,MATCH(H460,Rame!$A:$A,0)-1,MATCH(J460,Rame!$A$1:$AA$1,0)-1)=TRUE),0,OFFSET(Rame!$A$1,MATCH(H460,Rame!$A:$A,0)-1,MATCH(J460,Rame!$A$1:$AA$1,0)-1))*IF(E460="Rame",1,0),4)</f>
        <v>0.95</v>
      </c>
      <c r="N460" s="238">
        <v>0</v>
      </c>
      <c r="O460" s="238">
        <f t="shared" ca="1" si="272"/>
        <v>0.95</v>
      </c>
      <c r="P460" s="238">
        <f ca="1">ROUND(+IF(ISERROR(OFFSET(Tabella!$G$1,MATCH(H460,Tabella!$G:$G,0)-1,MATCH(I460,Tabella!$G$1:$FG$1,0)-1)=TRUE),0,OFFSET(Tabella!$G$1,MATCH(H460,Tabella!$G:$G,0)-1,MATCH(I460,Tabella!$G$1:$AB$1,0)-1)),4)</f>
        <v>0</v>
      </c>
      <c r="Q460" s="238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238">
        <f ca="1">ROUND(IF(ISERROR(OFFSET(Rame!$F$1,MATCH(H460,Rame!$F:$F,0)-1,MATCH(I460,Rame!$F$1:$FF$1,0)-1)=TRUE),0,OFFSET(Rame!$F$1,MATCH(H460,Rame!$F:$F,0)-1,MATCH(I460,Rame!$F$1:$FF$1,0)-1))*IF(E460="Rame",1,0),4)</f>
        <v>0</v>
      </c>
      <c r="S460" s="238">
        <f ca="1">ROUND(IF(ISERROR(OFFSET(Bronzo!$A$1,MATCH(H460,Bronzo!$A:$A,0)-1,MATCH(I460,Bronzo!$A$1:$AA$1,0)-1)=TRUE),0,OFFSET(Bronzo!$A$1,MATCH(H460,Bronzo!$A:$A,0)-1,MATCH(I460,Bronzo!$A$1:$AA$1,0)-1)),4)</f>
        <v>0</v>
      </c>
      <c r="T460" s="238">
        <f t="shared" ca="1" si="269"/>
        <v>0</v>
      </c>
      <c r="U460" s="237"/>
      <c r="V460" s="238">
        <v>0</v>
      </c>
      <c r="W460" s="239">
        <f t="shared" ca="1" si="270"/>
        <v>0.95</v>
      </c>
      <c r="X460" s="240">
        <f t="shared" si="267"/>
        <v>40</v>
      </c>
      <c r="Y460" s="236">
        <v>14.9</v>
      </c>
      <c r="Z460" s="236">
        <f t="shared" ca="1" si="271"/>
        <v>2.52</v>
      </c>
      <c r="AA460" s="241">
        <v>46181</v>
      </c>
      <c r="AF460" s="225">
        <f t="shared" ca="1" si="275"/>
        <v>46236</v>
      </c>
      <c r="AG460" s="225" t="b">
        <f t="shared" si="268"/>
        <v>0</v>
      </c>
      <c r="AH460" s="242"/>
      <c r="AS460" s="223">
        <f t="shared" si="273"/>
        <v>6</v>
      </c>
      <c r="AT460" s="223">
        <f t="shared" si="274"/>
        <v>2026</v>
      </c>
    </row>
    <row r="461" spans="2:46" ht="15.75" x14ac:dyDescent="0.25">
      <c r="B461" s="229" t="s">
        <v>675</v>
      </c>
      <c r="C461" s="235" t="s">
        <v>376</v>
      </c>
      <c r="D461" s="243">
        <v>160</v>
      </c>
      <c r="E461" s="232" t="s">
        <v>6</v>
      </c>
      <c r="F461" s="233">
        <v>10.47</v>
      </c>
      <c r="G461" s="234">
        <v>46154</v>
      </c>
      <c r="H461" s="235" t="s">
        <v>16</v>
      </c>
      <c r="I461" s="235"/>
      <c r="J461" s="236">
        <v>0.15</v>
      </c>
      <c r="K461" s="237">
        <f ca="1">ROUND(IF(ISERROR(OFFSET(Tabella!$A$1,MATCH(H461,Tabella!$A:$A,0)-1,MATCH(J461,Tabella!$A$1:$AC$1,0)-1)=TRUE),0,+OFFSET(Tabella!$A$1,MATCH(H461,Tabella!$A:$A,0)-1,MATCH(J461,Tabella!$A$1:$AC$1,0)-1)),4)</f>
        <v>0</v>
      </c>
      <c r="L461" s="238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238">
        <f ca="1">ROUND(IF(ISERROR(OFFSET(Rame!$A$1,MATCH(H461,Rame!$A:$A,0)-1,MATCH(J461,Rame!$A$1:$AA$1,0)-1)=TRUE),0,OFFSET(Rame!$A$1,MATCH(H461,Rame!$A:$A,0)-1,MATCH(J461,Rame!$A$1:$AA$1,0)-1))*IF(E461="Rame",1,0),4)</f>
        <v>0.85</v>
      </c>
      <c r="N461" s="238">
        <v>0</v>
      </c>
      <c r="O461" s="238">
        <f t="shared" ca="1" si="272"/>
        <v>0.85</v>
      </c>
      <c r="P461" s="238">
        <f ca="1">ROUND(+IF(ISERROR(OFFSET(Tabella!$G$1,MATCH(H461,Tabella!$G:$G,0)-1,MATCH(I461,Tabella!$G$1:$FG$1,0)-1)=TRUE),0,OFFSET(Tabella!$G$1,MATCH(H461,Tabella!$G:$G,0)-1,MATCH(I461,Tabella!$G$1:$AB$1,0)-1)),4)</f>
        <v>0</v>
      </c>
      <c r="Q461" s="238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238">
        <f ca="1">ROUND(IF(ISERROR(OFFSET(Rame!$F$1,MATCH(H461,Rame!$F:$F,0)-1,MATCH(I461,Rame!$F$1:$FF$1,0)-1)=TRUE),0,OFFSET(Rame!$F$1,MATCH(H461,Rame!$F:$F,0)-1,MATCH(I461,Rame!$F$1:$FF$1,0)-1))*IF(E461="Rame",1,0),4)</f>
        <v>0</v>
      </c>
      <c r="S461" s="238">
        <f ca="1">ROUND(IF(ISERROR(OFFSET(Bronzo!$A$1,MATCH(H461,Bronzo!$A:$A,0)-1,MATCH(I461,Bronzo!$A$1:$AA$1,0)-1)=TRUE),0,OFFSET(Bronzo!$A$1,MATCH(H461,Bronzo!$A:$A,0)-1,MATCH(I461,Bronzo!$A$1:$AA$1,0)-1)),4)</f>
        <v>0</v>
      </c>
      <c r="T461" s="238">
        <f t="shared" ca="1" si="269"/>
        <v>0</v>
      </c>
      <c r="U461" s="237"/>
      <c r="V461" s="238">
        <v>0</v>
      </c>
      <c r="W461" s="239">
        <f t="shared" ca="1" si="270"/>
        <v>0.85</v>
      </c>
      <c r="X461" s="240">
        <f t="shared" si="267"/>
        <v>24</v>
      </c>
      <c r="Y461" s="236">
        <v>15.1</v>
      </c>
      <c r="Z461" s="236">
        <f t="shared" ca="1" si="271"/>
        <v>3.78</v>
      </c>
      <c r="AA461" s="241">
        <v>46171</v>
      </c>
      <c r="AF461" s="225">
        <f t="shared" ca="1" si="275"/>
        <v>46236</v>
      </c>
      <c r="AG461" s="225" t="b">
        <f t="shared" si="268"/>
        <v>0</v>
      </c>
      <c r="AH461" s="242"/>
      <c r="AS461" s="223">
        <f t="shared" si="273"/>
        <v>5</v>
      </c>
      <c r="AT461" s="223">
        <f t="shared" si="274"/>
        <v>2026</v>
      </c>
    </row>
    <row r="462" spans="2:46" ht="15.75" x14ac:dyDescent="0.25">
      <c r="B462" s="229" t="s">
        <v>676</v>
      </c>
      <c r="C462" s="235" t="s">
        <v>297</v>
      </c>
      <c r="D462" s="243">
        <v>800</v>
      </c>
      <c r="E462" s="232" t="s">
        <v>4</v>
      </c>
      <c r="F462" s="233">
        <v>3.03</v>
      </c>
      <c r="G462" s="234">
        <v>46154</v>
      </c>
      <c r="H462" s="235" t="s">
        <v>308</v>
      </c>
      <c r="I462" s="235"/>
      <c r="J462" s="236">
        <v>0.05</v>
      </c>
      <c r="K462" s="237">
        <f ca="1">ROUND(IF(ISERROR(OFFSET(Tabella!$A$1,MATCH(H462,Tabella!$A:$A,0)-1,MATCH(J462,Tabella!$A$1:$AC$1,0)-1)=TRUE),0,+OFFSET(Tabella!$A$1,MATCH(H462,Tabella!$A:$A,0)-1,MATCH(J462,Tabella!$A$1:$AC$1,0)-1)),4)</f>
        <v>0</v>
      </c>
      <c r="L462" s="238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238">
        <f ca="1">ROUND(IF(ISERROR(OFFSET(Rame!$A$1,MATCH(H462,Rame!$A:$A,0)-1,MATCH(J462,Rame!$A$1:$AA$1,0)-1)=TRUE),0,OFFSET(Rame!$A$1,MATCH(H462,Rame!$A:$A,0)-1,MATCH(J462,Rame!$A$1:$AA$1,0)-1))*IF(E462="Rame",1,0),4)</f>
        <v>0</v>
      </c>
      <c r="N462" s="238">
        <v>0</v>
      </c>
      <c r="O462" s="238">
        <v>1.9</v>
      </c>
      <c r="P462" s="238">
        <f ca="1">ROUND(+IF(ISERROR(OFFSET(Tabella!$G$1,MATCH(H462,Tabella!$G:$G,0)-1,MATCH(I462,Tabella!$G$1:$FG$1,0)-1)=TRUE),0,OFFSET(Tabella!$G$1,MATCH(H462,Tabella!$G:$G,0)-1,MATCH(I462,Tabella!$G$1:$AB$1,0)-1)),4)</f>
        <v>0</v>
      </c>
      <c r="Q462" s="238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238">
        <f ca="1">ROUND(IF(ISERROR(OFFSET(Rame!$F$1,MATCH(H462,Rame!$F:$F,0)-1,MATCH(I462,Rame!$F$1:$FF$1,0)-1)=TRUE),0,OFFSET(Rame!$F$1,MATCH(H462,Rame!$F:$F,0)-1,MATCH(I462,Rame!$F$1:$FF$1,0)-1))*IF(E462="Rame",1,0),4)</f>
        <v>0</v>
      </c>
      <c r="S462" s="238">
        <f ca="1">ROUND(IF(ISERROR(OFFSET(Bronzo!$A$1,MATCH(H462,Bronzo!$A:$A,0)-1,MATCH(I462,Bronzo!$A$1:$AA$1,0)-1)=TRUE),0,OFFSET(Bronzo!$A$1,MATCH(H462,Bronzo!$A:$A,0)-1,MATCH(I462,Bronzo!$A$1:$AA$1,0)-1)),4)</f>
        <v>0</v>
      </c>
      <c r="T462" s="238">
        <f t="shared" ca="1" si="269"/>
        <v>0</v>
      </c>
      <c r="U462" s="237"/>
      <c r="V462" s="238">
        <v>0</v>
      </c>
      <c r="W462" s="239">
        <f t="shared" ca="1" si="270"/>
        <v>1.9</v>
      </c>
      <c r="X462" s="240">
        <f t="shared" si="267"/>
        <v>40</v>
      </c>
      <c r="Y462" s="236">
        <v>4.8499999999999996</v>
      </c>
      <c r="Z462" s="236">
        <f t="shared" ca="1" si="271"/>
        <v>-0.08</v>
      </c>
      <c r="AA462" s="241">
        <v>46176</v>
      </c>
      <c r="AF462" s="225">
        <f t="shared" ca="1" si="275"/>
        <v>46236</v>
      </c>
      <c r="AG462" s="225" t="b">
        <f t="shared" si="268"/>
        <v>0</v>
      </c>
      <c r="AH462" s="242"/>
      <c r="AS462" s="223">
        <f t="shared" si="273"/>
        <v>6</v>
      </c>
      <c r="AT462" s="223">
        <f t="shared" si="274"/>
        <v>2026</v>
      </c>
    </row>
    <row r="463" spans="2:46" ht="15.75" x14ac:dyDescent="0.25">
      <c r="B463" s="229" t="s">
        <v>676</v>
      </c>
      <c r="C463" s="235" t="s">
        <v>297</v>
      </c>
      <c r="D463" s="243">
        <v>1600</v>
      </c>
      <c r="E463" s="232" t="s">
        <v>4</v>
      </c>
      <c r="F463" s="233">
        <v>3.03</v>
      </c>
      <c r="G463" s="234">
        <v>46154</v>
      </c>
      <c r="H463" s="235" t="s">
        <v>314</v>
      </c>
      <c r="I463" s="235"/>
      <c r="J463" s="236">
        <v>0.05</v>
      </c>
      <c r="K463" s="237">
        <f ca="1">ROUND(IF(ISERROR(OFFSET(Tabella!$A$1,MATCH(H463,Tabella!$A:$A,0)-1,MATCH(J463,Tabella!$A$1:$AC$1,0)-1)=TRUE),0,+OFFSET(Tabella!$A$1,MATCH(H463,Tabella!$A:$A,0)-1,MATCH(J463,Tabella!$A$1:$AC$1,0)-1)),4)</f>
        <v>0</v>
      </c>
      <c r="L463" s="238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238">
        <f ca="1">ROUND(IF(ISERROR(OFFSET(Rame!$A$1,MATCH(H463,Rame!$A:$A,0)-1,MATCH(J463,Rame!$A$1:$AA$1,0)-1)=TRUE),0,OFFSET(Rame!$A$1,MATCH(H463,Rame!$A:$A,0)-1,MATCH(J463,Rame!$A$1:$AA$1,0)-1))*IF(E463="Rame",1,0),4)</f>
        <v>0</v>
      </c>
      <c r="N463" s="238">
        <v>0</v>
      </c>
      <c r="O463" s="238">
        <v>1.9</v>
      </c>
      <c r="P463" s="238">
        <f ca="1">ROUND(+IF(ISERROR(OFFSET(Tabella!$G$1,MATCH(H463,Tabella!$G:$G,0)-1,MATCH(I463,Tabella!$G$1:$FG$1,0)-1)=TRUE),0,OFFSET(Tabella!$G$1,MATCH(H463,Tabella!$G:$G,0)-1,MATCH(I463,Tabella!$G$1:$AB$1,0)-1)),4)</f>
        <v>0</v>
      </c>
      <c r="Q463" s="238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238">
        <f ca="1">ROUND(IF(ISERROR(OFFSET(Rame!$F$1,MATCH(H463,Rame!$F:$F,0)-1,MATCH(I463,Rame!$F$1:$FF$1,0)-1)=TRUE),0,OFFSET(Rame!$F$1,MATCH(H463,Rame!$F:$F,0)-1,MATCH(I463,Rame!$F$1:$FF$1,0)-1))*IF(E463="Rame",1,0),4)</f>
        <v>0</v>
      </c>
      <c r="S463" s="238">
        <f ca="1">ROUND(IF(ISERROR(OFFSET(Bronzo!$A$1,MATCH(H463,Bronzo!$A:$A,0)-1,MATCH(I463,Bronzo!$A$1:$AA$1,0)-1)=TRUE),0,OFFSET(Bronzo!$A$1,MATCH(H463,Bronzo!$A:$A,0)-1,MATCH(I463,Bronzo!$A$1:$AA$1,0)-1)),4)</f>
        <v>0</v>
      </c>
      <c r="T463" s="238">
        <f t="shared" ca="1" si="269"/>
        <v>0</v>
      </c>
      <c r="U463" s="237"/>
      <c r="V463" s="238">
        <v>0</v>
      </c>
      <c r="W463" s="239">
        <f t="shared" ca="1" si="270"/>
        <v>1.9</v>
      </c>
      <c r="X463" s="240">
        <f t="shared" si="267"/>
        <v>80</v>
      </c>
      <c r="Y463" s="236">
        <v>4.8499999999999996</v>
      </c>
      <c r="Z463" s="236">
        <f t="shared" ca="1" si="271"/>
        <v>-0.08</v>
      </c>
      <c r="AA463" s="241">
        <v>46176</v>
      </c>
      <c r="AF463" s="225">
        <f t="shared" ca="1" si="275"/>
        <v>46236</v>
      </c>
      <c r="AG463" s="225" t="b">
        <f t="shared" si="268"/>
        <v>0</v>
      </c>
      <c r="AH463" s="242"/>
      <c r="AS463" s="223">
        <f t="shared" si="273"/>
        <v>6</v>
      </c>
      <c r="AT463" s="223">
        <f t="shared" si="274"/>
        <v>2026</v>
      </c>
    </row>
    <row r="464" spans="2:46" ht="15.75" x14ac:dyDescent="0.25">
      <c r="B464" s="229" t="s">
        <v>676</v>
      </c>
      <c r="C464" s="235" t="s">
        <v>297</v>
      </c>
      <c r="D464" s="243">
        <v>900</v>
      </c>
      <c r="E464" s="232" t="s">
        <v>4</v>
      </c>
      <c r="F464" s="233">
        <v>3.03</v>
      </c>
      <c r="G464" s="234">
        <v>46154</v>
      </c>
      <c r="H464" s="235" t="s">
        <v>22</v>
      </c>
      <c r="I464" s="235"/>
      <c r="J464" s="236">
        <v>0.05</v>
      </c>
      <c r="K464" s="237">
        <f ca="1">ROUND(IF(ISERROR(OFFSET(Tabella!$A$1,MATCH(H464,Tabella!$A:$A,0)-1,MATCH(J464,Tabella!$A$1:$AC$1,0)-1)=TRUE),0,+OFFSET(Tabella!$A$1,MATCH(H464,Tabella!$A:$A,0)-1,MATCH(J464,Tabella!$A$1:$AC$1,0)-1)),4)</f>
        <v>0</v>
      </c>
      <c r="L464" s="238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238">
        <f ca="1">ROUND(IF(ISERROR(OFFSET(Rame!$A$1,MATCH(H464,Rame!$A:$A,0)-1,MATCH(J464,Rame!$A$1:$AA$1,0)-1)=TRUE),0,OFFSET(Rame!$A$1,MATCH(H464,Rame!$A:$A,0)-1,MATCH(J464,Rame!$A$1:$AA$1,0)-1))*IF(E464="Rame",1,0),4)</f>
        <v>0</v>
      </c>
      <c r="N464" s="238">
        <v>0</v>
      </c>
      <c r="O464" s="238">
        <v>1.9</v>
      </c>
      <c r="P464" s="238">
        <f ca="1">ROUND(+IF(ISERROR(OFFSET(Tabella!$G$1,MATCH(H464,Tabella!$G:$G,0)-1,MATCH(I464,Tabella!$G$1:$FG$1,0)-1)=TRUE),0,OFFSET(Tabella!$G$1,MATCH(H464,Tabella!$G:$G,0)-1,MATCH(I464,Tabella!$G$1:$AB$1,0)-1)),4)</f>
        <v>0</v>
      </c>
      <c r="Q464" s="238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238">
        <f ca="1">ROUND(IF(ISERROR(OFFSET(Rame!$F$1,MATCH(H464,Rame!$F:$F,0)-1,MATCH(I464,Rame!$F$1:$FF$1,0)-1)=TRUE),0,OFFSET(Rame!$F$1,MATCH(H464,Rame!$F:$F,0)-1,MATCH(I464,Rame!$F$1:$FF$1,0)-1))*IF(E464="Rame",1,0),4)</f>
        <v>0</v>
      </c>
      <c r="S464" s="238">
        <f ca="1">ROUND(IF(ISERROR(OFFSET(Bronzo!$A$1,MATCH(H464,Bronzo!$A:$A,0)-1,MATCH(I464,Bronzo!$A$1:$AA$1,0)-1)=TRUE),0,OFFSET(Bronzo!$A$1,MATCH(H464,Bronzo!$A:$A,0)-1,MATCH(I464,Bronzo!$A$1:$AA$1,0)-1)),4)</f>
        <v>0</v>
      </c>
      <c r="T464" s="238">
        <f t="shared" ca="1" si="269"/>
        <v>0</v>
      </c>
      <c r="U464" s="237"/>
      <c r="V464" s="238">
        <v>0</v>
      </c>
      <c r="W464" s="239">
        <f t="shared" ca="1" si="270"/>
        <v>1.9</v>
      </c>
      <c r="X464" s="240">
        <f t="shared" si="267"/>
        <v>45</v>
      </c>
      <c r="Y464" s="236">
        <v>4.8499999999999996</v>
      </c>
      <c r="Z464" s="236">
        <f t="shared" ca="1" si="271"/>
        <v>-0.08</v>
      </c>
      <c r="AA464" s="241">
        <v>46176</v>
      </c>
      <c r="AF464" s="225">
        <f t="shared" ca="1" si="275"/>
        <v>46236</v>
      </c>
      <c r="AG464" s="225" t="b">
        <f t="shared" si="268"/>
        <v>0</v>
      </c>
      <c r="AH464" s="242"/>
      <c r="AS464" s="223">
        <f t="shared" si="273"/>
        <v>6</v>
      </c>
      <c r="AT464" s="223">
        <f t="shared" si="274"/>
        <v>2026</v>
      </c>
    </row>
    <row r="465" spans="2:46" ht="15.75" x14ac:dyDescent="0.25">
      <c r="B465" s="229" t="s">
        <v>673</v>
      </c>
      <c r="C465" s="235" t="s">
        <v>336</v>
      </c>
      <c r="D465" s="243">
        <v>630</v>
      </c>
      <c r="E465" s="232" t="s">
        <v>6</v>
      </c>
      <c r="F465" s="233">
        <v>12.03</v>
      </c>
      <c r="G465" s="234">
        <v>46155</v>
      </c>
      <c r="H465" s="235" t="s">
        <v>20</v>
      </c>
      <c r="I465" s="235"/>
      <c r="J465" s="236">
        <v>0.15</v>
      </c>
      <c r="K465" s="237">
        <f ca="1">ROUND(IF(ISERROR(OFFSET(Tabella!$A$1,MATCH(H465,Tabella!$A:$A,0)-1,MATCH(J465,Tabella!$A$1:$AC$1,0)-1)=TRUE),0,+OFFSET(Tabella!$A$1,MATCH(H465,Tabella!$A:$A,0)-1,MATCH(J465,Tabella!$A$1:$AC$1,0)-1)),4)</f>
        <v>0</v>
      </c>
      <c r="L465" s="238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238">
        <f ca="1">ROUND(IF(ISERROR(OFFSET(Rame!$A$1,MATCH(H465,Rame!$A:$A,0)-1,MATCH(J465,Rame!$A$1:$AA$1,0)-1)=TRUE),0,OFFSET(Rame!$A$1,MATCH(H465,Rame!$A:$A,0)-1,MATCH(J465,Rame!$A$1:$AA$1,0)-1))*IF(E465="Rame",1,0),4)</f>
        <v>1</v>
      </c>
      <c r="N465" s="238">
        <v>0</v>
      </c>
      <c r="O465" s="238">
        <f t="shared" ca="1" si="272"/>
        <v>1</v>
      </c>
      <c r="P465" s="238">
        <f ca="1">ROUND(+IF(ISERROR(OFFSET(Tabella!$G$1,MATCH(H465,Tabella!$G:$G,0)-1,MATCH(I465,Tabella!$G$1:$FG$1,0)-1)=TRUE),0,OFFSET(Tabella!$G$1,MATCH(H465,Tabella!$G:$G,0)-1,MATCH(I465,Tabella!$G$1:$AB$1,0)-1)),4)</f>
        <v>0</v>
      </c>
      <c r="Q465" s="238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238">
        <f ca="1">ROUND(IF(ISERROR(OFFSET(Rame!$F$1,MATCH(H465,Rame!$F:$F,0)-1,MATCH(I465,Rame!$F$1:$FF$1,0)-1)=TRUE),0,OFFSET(Rame!$F$1,MATCH(H465,Rame!$F:$F,0)-1,MATCH(I465,Rame!$F$1:$FF$1,0)-1))*IF(E465="Rame",1,0),4)</f>
        <v>0</v>
      </c>
      <c r="S465" s="238">
        <f ca="1">ROUND(IF(ISERROR(OFFSET(Bronzo!$A$1,MATCH(H465,Bronzo!$A:$A,0)-1,MATCH(I465,Bronzo!$A$1:$AA$1,0)-1)=TRUE),0,OFFSET(Bronzo!$A$1,MATCH(H465,Bronzo!$A:$A,0)-1,MATCH(I465,Bronzo!$A$1:$AA$1,0)-1)),4)</f>
        <v>0</v>
      </c>
      <c r="T465" s="238">
        <f t="shared" ca="1" si="269"/>
        <v>0</v>
      </c>
      <c r="U465" s="237"/>
      <c r="V465" s="238">
        <v>0</v>
      </c>
      <c r="W465" s="239">
        <f t="shared" ca="1" si="270"/>
        <v>1</v>
      </c>
      <c r="X465" s="240">
        <f t="shared" si="267"/>
        <v>94.5</v>
      </c>
      <c r="Y465" s="236">
        <v>15.9</v>
      </c>
      <c r="Z465" s="236">
        <f t="shared" ca="1" si="271"/>
        <v>2.87</v>
      </c>
      <c r="AA465" s="241">
        <v>46218</v>
      </c>
      <c r="AF465" s="225">
        <f t="shared" ca="1" si="275"/>
        <v>46236</v>
      </c>
      <c r="AG465" s="225" t="b">
        <f t="shared" si="268"/>
        <v>0</v>
      </c>
      <c r="AH465" s="242"/>
      <c r="AS465" s="223">
        <f t="shared" si="273"/>
        <v>7</v>
      </c>
      <c r="AT465" s="223">
        <f t="shared" si="274"/>
        <v>2026</v>
      </c>
    </row>
    <row r="466" spans="2:46" ht="15.75" x14ac:dyDescent="0.25">
      <c r="B466" s="229" t="s">
        <v>673</v>
      </c>
      <c r="C466" s="235" t="s">
        <v>336</v>
      </c>
      <c r="D466" s="243">
        <v>800</v>
      </c>
      <c r="E466" s="232" t="s">
        <v>4</v>
      </c>
      <c r="F466" s="233">
        <v>12.03</v>
      </c>
      <c r="G466" s="234">
        <v>46155</v>
      </c>
      <c r="H466" s="235" t="s">
        <v>29</v>
      </c>
      <c r="I466" s="235"/>
      <c r="J466" s="236">
        <v>0.1</v>
      </c>
      <c r="K466" s="237">
        <f ca="1">ROUND(IF(ISERROR(OFFSET(Tabella!$A$1,MATCH(H466,Tabella!$A:$A,0)-1,MATCH(J466,Tabella!$A$1:$AC$1,0)-1)=TRUE),0,+OFFSET(Tabella!$A$1,MATCH(H466,Tabella!$A:$A,0)-1,MATCH(J466,Tabella!$A$1:$AC$1,0)-1)),4)</f>
        <v>1.5</v>
      </c>
      <c r="L466" s="238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238">
        <f ca="1">ROUND(IF(ISERROR(OFFSET(Rame!$A$1,MATCH(H466,Rame!$A:$A,0)-1,MATCH(J466,Rame!$A$1:$AA$1,0)-1)=TRUE),0,OFFSET(Rame!$A$1,MATCH(H466,Rame!$A:$A,0)-1,MATCH(J466,Rame!$A$1:$AA$1,0)-1))*IF(E466="Rame",1,0),4)</f>
        <v>0</v>
      </c>
      <c r="N466" s="238">
        <v>0</v>
      </c>
      <c r="O466" s="238">
        <f t="shared" ca="1" si="272"/>
        <v>1.5</v>
      </c>
      <c r="P466" s="238">
        <f ca="1">ROUND(+IF(ISERROR(OFFSET(Tabella!$G$1,MATCH(H466,Tabella!$G:$G,0)-1,MATCH(I466,Tabella!$G$1:$FG$1,0)-1)=TRUE),0,OFFSET(Tabella!$G$1,MATCH(H466,Tabella!$G:$G,0)-1,MATCH(I466,Tabella!$G$1:$AB$1,0)-1)),4)</f>
        <v>0</v>
      </c>
      <c r="Q466" s="238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238">
        <f ca="1">ROUND(IF(ISERROR(OFFSET(Rame!$F$1,MATCH(H466,Rame!$F:$F,0)-1,MATCH(I466,Rame!$F$1:$FF$1,0)-1)=TRUE),0,OFFSET(Rame!$F$1,MATCH(H466,Rame!$F:$F,0)-1,MATCH(I466,Rame!$F$1:$FF$1,0)-1))*IF(E466="Rame",1,0),4)</f>
        <v>0</v>
      </c>
      <c r="S466" s="238">
        <f ca="1">ROUND(IF(ISERROR(OFFSET(Bronzo!$A$1,MATCH(H466,Bronzo!$A:$A,0)-1,MATCH(I466,Bronzo!$A$1:$AA$1,0)-1)=TRUE),0,OFFSET(Bronzo!$A$1,MATCH(H466,Bronzo!$A:$A,0)-1,MATCH(I466,Bronzo!$A$1:$AA$1,0)-1)),4)</f>
        <v>0</v>
      </c>
      <c r="T466" s="238">
        <f t="shared" ca="1" si="269"/>
        <v>0</v>
      </c>
      <c r="U466" s="237"/>
      <c r="V466" s="238">
        <v>0</v>
      </c>
      <c r="W466" s="239">
        <f t="shared" ca="1" si="270"/>
        <v>1.5</v>
      </c>
      <c r="X466" s="240">
        <f t="shared" si="267"/>
        <v>80</v>
      </c>
      <c r="Y466" s="236">
        <v>5.7</v>
      </c>
      <c r="Z466" s="236">
        <f t="shared" ca="1" si="271"/>
        <v>-7.83</v>
      </c>
      <c r="AA466" s="241">
        <v>46183</v>
      </c>
      <c r="AF466" s="225">
        <f t="shared" ca="1" si="275"/>
        <v>46236</v>
      </c>
      <c r="AG466" s="225" t="b">
        <f t="shared" si="268"/>
        <v>0</v>
      </c>
      <c r="AH466" s="242"/>
      <c r="AS466" s="223">
        <f t="shared" si="273"/>
        <v>6</v>
      </c>
      <c r="AT466" s="223">
        <f t="shared" si="274"/>
        <v>2026</v>
      </c>
    </row>
    <row r="467" spans="2:46" ht="15.75" x14ac:dyDescent="0.25">
      <c r="B467" s="229" t="s">
        <v>739</v>
      </c>
      <c r="C467" s="235" t="s">
        <v>103</v>
      </c>
      <c r="D467" s="243">
        <v>800</v>
      </c>
      <c r="E467" s="232" t="s">
        <v>4</v>
      </c>
      <c r="F467" s="233">
        <v>3.02</v>
      </c>
      <c r="G467" s="234">
        <v>46127</v>
      </c>
      <c r="H467" s="235" t="s">
        <v>322</v>
      </c>
      <c r="I467" s="235"/>
      <c r="J467" s="236"/>
      <c r="K467" s="237">
        <f ca="1">ROUND(IF(ISERROR(OFFSET(Tabella!$A$1,MATCH(H467,Tabella!$A:$A,0)-1,MATCH(J467,Tabella!$A$1:$AC$1,0)-1)=TRUE),0,+OFFSET(Tabella!$A$1,MATCH(H467,Tabella!$A:$A,0)-1,MATCH(J467,Tabella!$A$1:$AC$1,0)-1)),4)</f>
        <v>0</v>
      </c>
      <c r="L467" s="238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238">
        <f ca="1">ROUND(IF(ISERROR(OFFSET(Rame!$A$1,MATCH(H467,Rame!$A:$A,0)-1,MATCH(J467,Rame!$A$1:$AA$1,0)-1)=TRUE),0,OFFSET(Rame!$A$1,MATCH(H467,Rame!$A:$A,0)-1,MATCH(J467,Rame!$A$1:$AA$1,0)-1))*IF(E467="Rame",1,0),4)</f>
        <v>0</v>
      </c>
      <c r="N467" s="238">
        <v>0</v>
      </c>
      <c r="O467" s="238">
        <v>1.5</v>
      </c>
      <c r="P467" s="238">
        <f ca="1">ROUND(+IF(ISERROR(OFFSET(Tabella!$G$1,MATCH(H467,Tabella!$G:$G,0)-1,MATCH(I467,Tabella!$G$1:$FG$1,0)-1)=TRUE),0,OFFSET(Tabella!$G$1,MATCH(H467,Tabella!$G:$G,0)-1,MATCH(I467,Tabella!$G$1:$AB$1,0)-1)),4)</f>
        <v>0</v>
      </c>
      <c r="Q467" s="238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238">
        <f ca="1">ROUND(IF(ISERROR(OFFSET(Rame!$F$1,MATCH(H467,Rame!$F:$F,0)-1,MATCH(I467,Rame!$F$1:$FF$1,0)-1)=TRUE),0,OFFSET(Rame!$F$1,MATCH(H467,Rame!$F:$F,0)-1,MATCH(I467,Rame!$F$1:$FF$1,0)-1))*IF(E467="Rame",1,0),4)</f>
        <v>0</v>
      </c>
      <c r="S467" s="238">
        <f ca="1">ROUND(IF(ISERROR(OFFSET(Bronzo!$A$1,MATCH(H467,Bronzo!$A:$A,0)-1,MATCH(I467,Bronzo!$A$1:$AA$1,0)-1)=TRUE),0,OFFSET(Bronzo!$A$1,MATCH(H467,Bronzo!$A:$A,0)-1,MATCH(I467,Bronzo!$A$1:$AA$1,0)-1)),4)</f>
        <v>0</v>
      </c>
      <c r="T467" s="238">
        <f t="shared" ca="1" si="269"/>
        <v>0</v>
      </c>
      <c r="U467" s="237"/>
      <c r="V467" s="238">
        <v>0</v>
      </c>
      <c r="W467" s="239">
        <f t="shared" ca="1" si="270"/>
        <v>1.5</v>
      </c>
      <c r="X467" s="240">
        <f t="shared" si="267"/>
        <v>0</v>
      </c>
      <c r="Y467" s="236">
        <v>4.6500000000000004</v>
      </c>
      <c r="Z467" s="236">
        <f t="shared" ca="1" si="271"/>
        <v>0.13</v>
      </c>
      <c r="AA467" s="241">
        <v>46178</v>
      </c>
      <c r="AF467" s="225">
        <f t="shared" ca="1" si="275"/>
        <v>46236</v>
      </c>
      <c r="AG467" s="225" t="b">
        <f t="shared" si="268"/>
        <v>0</v>
      </c>
      <c r="AH467" s="242"/>
      <c r="AS467" s="223">
        <f t="shared" si="273"/>
        <v>6</v>
      </c>
      <c r="AT467" s="223">
        <f t="shared" si="274"/>
        <v>2026</v>
      </c>
    </row>
    <row r="468" spans="2:46" ht="15.75" x14ac:dyDescent="0.25">
      <c r="B468" s="229" t="s">
        <v>732</v>
      </c>
      <c r="C468" s="235" t="s">
        <v>208</v>
      </c>
      <c r="D468" s="243">
        <v>200</v>
      </c>
      <c r="E468" s="232" t="s">
        <v>4</v>
      </c>
      <c r="F468" s="233">
        <v>3.04</v>
      </c>
      <c r="G468" s="234">
        <v>46139</v>
      </c>
      <c r="H468" s="235" t="s">
        <v>13</v>
      </c>
      <c r="I468" s="235"/>
      <c r="J468" s="236">
        <v>7.0000000000000007E-2</v>
      </c>
      <c r="K468" s="237">
        <f ca="1">ROUND(IF(ISERROR(OFFSET(Tabella!$A$1,MATCH(H468,Tabella!$A:$A,0)-1,MATCH(J468,Tabella!$A$1:$AC$1,0)-1)=TRUE),0,+OFFSET(Tabella!$A$1,MATCH(H468,Tabella!$A:$A,0)-1,MATCH(J468,Tabella!$A$1:$AC$1,0)-1)),4)</f>
        <v>1.4</v>
      </c>
      <c r="L468" s="238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238">
        <f ca="1">ROUND(IF(ISERROR(OFFSET(Rame!$A$1,MATCH(H468,Rame!$A:$A,0)-1,MATCH(J468,Rame!$A$1:$AA$1,0)-1)=TRUE),0,OFFSET(Rame!$A$1,MATCH(H468,Rame!$A:$A,0)-1,MATCH(J468,Rame!$A$1:$AA$1,0)-1))*IF(E468="Rame",1,0),4)</f>
        <v>0</v>
      </c>
      <c r="N468" s="238">
        <v>0</v>
      </c>
      <c r="O468" s="238">
        <v>1.88</v>
      </c>
      <c r="P468" s="238">
        <f ca="1">ROUND(+IF(ISERROR(OFFSET(Tabella!$G$1,MATCH(H468,Tabella!$G:$G,0)-1,MATCH(I468,Tabella!$G$1:$FG$1,0)-1)=TRUE),0,OFFSET(Tabella!$G$1,MATCH(H468,Tabella!$G:$G,0)-1,MATCH(I468,Tabella!$G$1:$AB$1,0)-1)),4)</f>
        <v>0</v>
      </c>
      <c r="Q468" s="238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238">
        <f ca="1">ROUND(IF(ISERROR(OFFSET(Rame!$F$1,MATCH(H468,Rame!$F:$F,0)-1,MATCH(I468,Rame!$F$1:$FF$1,0)-1)=TRUE),0,OFFSET(Rame!$F$1,MATCH(H468,Rame!$F:$F,0)-1,MATCH(I468,Rame!$F$1:$FF$1,0)-1))*IF(E468="Rame",1,0),4)</f>
        <v>0</v>
      </c>
      <c r="S468" s="238">
        <f ca="1">ROUND(IF(ISERROR(OFFSET(Bronzo!$A$1,MATCH(H468,Bronzo!$A:$A,0)-1,MATCH(I468,Bronzo!$A$1:$AA$1,0)-1)=TRUE),0,OFFSET(Bronzo!$A$1,MATCH(H468,Bronzo!$A:$A,0)-1,MATCH(I468,Bronzo!$A$1:$AA$1,0)-1)),4)</f>
        <v>0</v>
      </c>
      <c r="T468" s="238">
        <f t="shared" ca="1" si="269"/>
        <v>0</v>
      </c>
      <c r="U468" s="237"/>
      <c r="V468" s="238">
        <v>0</v>
      </c>
      <c r="W468" s="239">
        <f t="shared" ca="1" si="270"/>
        <v>1.88</v>
      </c>
      <c r="X468" s="240">
        <f t="shared" si="267"/>
        <v>14</v>
      </c>
      <c r="Y468" s="236">
        <v>4.9000000000000004</v>
      </c>
      <c r="Z468" s="236">
        <f t="shared" ca="1" si="271"/>
        <v>-0.02</v>
      </c>
      <c r="AA468" s="241">
        <v>46183</v>
      </c>
      <c r="AF468" s="225">
        <f t="shared" ca="1" si="275"/>
        <v>46236</v>
      </c>
      <c r="AG468" s="225" t="b">
        <f t="shared" si="268"/>
        <v>0</v>
      </c>
      <c r="AH468" s="242"/>
      <c r="AS468" s="223">
        <f t="shared" si="273"/>
        <v>6</v>
      </c>
      <c r="AT468" s="223">
        <f t="shared" si="274"/>
        <v>2026</v>
      </c>
    </row>
    <row r="469" spans="2:46" ht="15.75" x14ac:dyDescent="0.25">
      <c r="B469" s="229" t="s">
        <v>732</v>
      </c>
      <c r="C469" s="235" t="s">
        <v>208</v>
      </c>
      <c r="D469" s="243">
        <v>1000</v>
      </c>
      <c r="E469" s="232" t="s">
        <v>4</v>
      </c>
      <c r="F469" s="233">
        <v>3.04</v>
      </c>
      <c r="G469" s="234">
        <v>46139</v>
      </c>
      <c r="H469" s="235" t="s">
        <v>243</v>
      </c>
      <c r="I469" s="235"/>
      <c r="J469" s="236">
        <v>7.0000000000000007E-2</v>
      </c>
      <c r="K469" s="237">
        <f ca="1">ROUND(IF(ISERROR(OFFSET(Tabella!$A$1,MATCH(H469,Tabella!$A:$A,0)-1,MATCH(J469,Tabella!$A$1:$AC$1,0)-1)=TRUE),0,+OFFSET(Tabella!$A$1,MATCH(H469,Tabella!$A:$A,0)-1,MATCH(J469,Tabella!$A$1:$AC$1,0)-1)),4)</f>
        <v>1.4</v>
      </c>
      <c r="L469" s="238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238">
        <f ca="1">ROUND(IF(ISERROR(OFFSET(Rame!$A$1,MATCH(H469,Rame!$A:$A,0)-1,MATCH(J469,Rame!$A$1:$AA$1,0)-1)=TRUE),0,OFFSET(Rame!$A$1,MATCH(H469,Rame!$A:$A,0)-1,MATCH(J469,Rame!$A$1:$AA$1,0)-1))*IF(E469="Rame",1,0),4)</f>
        <v>0</v>
      </c>
      <c r="N469" s="238">
        <v>0</v>
      </c>
      <c r="O469" s="238">
        <v>1.83</v>
      </c>
      <c r="P469" s="238">
        <f ca="1">ROUND(+IF(ISERROR(OFFSET(Tabella!$G$1,MATCH(H469,Tabella!$G:$G,0)-1,MATCH(I469,Tabella!$G$1:$FG$1,0)-1)=TRUE),0,OFFSET(Tabella!$G$1,MATCH(H469,Tabella!$G:$G,0)-1,MATCH(I469,Tabella!$G$1:$AB$1,0)-1)),4)</f>
        <v>0</v>
      </c>
      <c r="Q469" s="238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238">
        <f ca="1">ROUND(IF(ISERROR(OFFSET(Rame!$F$1,MATCH(H469,Rame!$F:$F,0)-1,MATCH(I469,Rame!$F$1:$FF$1,0)-1)=TRUE),0,OFFSET(Rame!$F$1,MATCH(H469,Rame!$F:$F,0)-1,MATCH(I469,Rame!$F$1:$FF$1,0)-1))*IF(E469="Rame",1,0),4)</f>
        <v>0</v>
      </c>
      <c r="S469" s="238">
        <f ca="1">ROUND(IF(ISERROR(OFFSET(Bronzo!$A$1,MATCH(H469,Bronzo!$A:$A,0)-1,MATCH(I469,Bronzo!$A$1:$AA$1,0)-1)=TRUE),0,OFFSET(Bronzo!$A$1,MATCH(H469,Bronzo!$A:$A,0)-1,MATCH(I469,Bronzo!$A$1:$AA$1,0)-1)),4)</f>
        <v>0</v>
      </c>
      <c r="T469" s="238">
        <f t="shared" ca="1" si="269"/>
        <v>0</v>
      </c>
      <c r="U469" s="237"/>
      <c r="V469" s="238">
        <v>0</v>
      </c>
      <c r="W469" s="239">
        <f t="shared" ca="1" si="270"/>
        <v>1.83</v>
      </c>
      <c r="X469" s="240">
        <f t="shared" si="267"/>
        <v>70</v>
      </c>
      <c r="Y469" s="236">
        <v>4.8499999999999996</v>
      </c>
      <c r="Z469" s="236">
        <f t="shared" ca="1" si="271"/>
        <v>-0.02</v>
      </c>
      <c r="AA469" s="241">
        <v>46183</v>
      </c>
      <c r="AF469" s="225">
        <f t="shared" ca="1" si="275"/>
        <v>46236</v>
      </c>
      <c r="AG469" s="225" t="b">
        <f t="shared" si="268"/>
        <v>0</v>
      </c>
      <c r="AH469" s="242"/>
      <c r="AS469" s="223">
        <f t="shared" si="273"/>
        <v>6</v>
      </c>
      <c r="AT469" s="223">
        <f t="shared" si="274"/>
        <v>2026</v>
      </c>
    </row>
    <row r="470" spans="2:46" ht="15.75" x14ac:dyDescent="0.25">
      <c r="B470" s="229" t="s">
        <v>732</v>
      </c>
      <c r="C470" s="235" t="s">
        <v>208</v>
      </c>
      <c r="D470" s="243">
        <v>200</v>
      </c>
      <c r="E470" s="232" t="s">
        <v>4</v>
      </c>
      <c r="F470" s="233">
        <v>3.04</v>
      </c>
      <c r="G470" s="234">
        <v>46139</v>
      </c>
      <c r="H470" s="235" t="s">
        <v>15</v>
      </c>
      <c r="I470" s="235"/>
      <c r="J470" s="236">
        <v>7.0000000000000007E-2</v>
      </c>
      <c r="K470" s="237">
        <f ca="1">ROUND(IF(ISERROR(OFFSET(Tabella!$A$1,MATCH(H470,Tabella!$A:$A,0)-1,MATCH(J470,Tabella!$A$1:$AC$1,0)-1)=TRUE),0,+OFFSET(Tabella!$A$1,MATCH(H470,Tabella!$A:$A,0)-1,MATCH(J470,Tabella!$A$1:$AC$1,0)-1)),4)</f>
        <v>1.4</v>
      </c>
      <c r="L470" s="238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238">
        <f ca="1">ROUND(IF(ISERROR(OFFSET(Rame!$A$1,MATCH(H470,Rame!$A:$A,0)-1,MATCH(J470,Rame!$A$1:$AA$1,0)-1)=TRUE),0,OFFSET(Rame!$A$1,MATCH(H470,Rame!$A:$A,0)-1,MATCH(J470,Rame!$A$1:$AA$1,0)-1))*IF(E470="Rame",1,0),4)</f>
        <v>0</v>
      </c>
      <c r="N470" s="238">
        <v>0</v>
      </c>
      <c r="O470" s="238">
        <v>1.88</v>
      </c>
      <c r="P470" s="238">
        <f ca="1">ROUND(+IF(ISERROR(OFFSET(Tabella!$G$1,MATCH(H470,Tabella!$G:$G,0)-1,MATCH(I470,Tabella!$G$1:$FG$1,0)-1)=TRUE),0,OFFSET(Tabella!$G$1,MATCH(H470,Tabella!$G:$G,0)-1,MATCH(I470,Tabella!$G$1:$AB$1,0)-1)),4)</f>
        <v>0</v>
      </c>
      <c r="Q470" s="238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238">
        <f ca="1">ROUND(IF(ISERROR(OFFSET(Rame!$F$1,MATCH(H470,Rame!$F:$F,0)-1,MATCH(I470,Rame!$F$1:$FF$1,0)-1)=TRUE),0,OFFSET(Rame!$F$1,MATCH(H470,Rame!$F:$F,0)-1,MATCH(I470,Rame!$F$1:$FF$1,0)-1))*IF(E470="Rame",1,0),4)</f>
        <v>0</v>
      </c>
      <c r="S470" s="238">
        <f ca="1">ROUND(IF(ISERROR(OFFSET(Bronzo!$A$1,MATCH(H470,Bronzo!$A:$A,0)-1,MATCH(I470,Bronzo!$A$1:$AA$1,0)-1)=TRUE),0,OFFSET(Bronzo!$A$1,MATCH(H470,Bronzo!$A:$A,0)-1,MATCH(I470,Bronzo!$A$1:$AA$1,0)-1)),4)</f>
        <v>0</v>
      </c>
      <c r="T470" s="238">
        <f t="shared" ca="1" si="269"/>
        <v>0</v>
      </c>
      <c r="U470" s="237"/>
      <c r="V470" s="238">
        <v>0</v>
      </c>
      <c r="W470" s="239">
        <f t="shared" ca="1" si="270"/>
        <v>1.88</v>
      </c>
      <c r="X470" s="240">
        <f t="shared" si="267"/>
        <v>14</v>
      </c>
      <c r="Y470" s="236">
        <v>4.9000000000000004</v>
      </c>
      <c r="Z470" s="236">
        <f t="shared" ca="1" si="271"/>
        <v>-0.02</v>
      </c>
      <c r="AA470" s="241">
        <v>46183</v>
      </c>
      <c r="AF470" s="225">
        <f t="shared" ca="1" si="275"/>
        <v>46236</v>
      </c>
      <c r="AG470" s="225" t="b">
        <f t="shared" si="268"/>
        <v>0</v>
      </c>
      <c r="AH470" s="242"/>
      <c r="AS470" s="223">
        <f t="shared" si="273"/>
        <v>6</v>
      </c>
      <c r="AT470" s="223">
        <f t="shared" si="274"/>
        <v>2026</v>
      </c>
    </row>
    <row r="471" spans="2:46" ht="15.75" x14ac:dyDescent="0.25">
      <c r="B471" s="229" t="s">
        <v>692</v>
      </c>
      <c r="C471" s="235" t="s">
        <v>438</v>
      </c>
      <c r="D471" s="243">
        <v>250</v>
      </c>
      <c r="E471" s="232" t="s">
        <v>4</v>
      </c>
      <c r="F471" s="233">
        <v>3.03</v>
      </c>
      <c r="G471" s="234">
        <v>46154</v>
      </c>
      <c r="H471" s="235" t="s">
        <v>19</v>
      </c>
      <c r="I471" s="235"/>
      <c r="J471" s="236">
        <v>0.1</v>
      </c>
      <c r="K471" s="237">
        <f ca="1">ROUND(IF(ISERROR(OFFSET(Tabella!$A$1,MATCH(H471,Tabella!$A:$A,0)-1,MATCH(J471,Tabella!$A$1:$AC$1,0)-1)=TRUE),0,+OFFSET(Tabella!$A$1,MATCH(H471,Tabella!$A:$A,0)-1,MATCH(J471,Tabella!$A$1:$AC$1,0)-1)),4)</f>
        <v>1.6</v>
      </c>
      <c r="L471" s="238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238">
        <f ca="1">ROUND(IF(ISERROR(OFFSET(Rame!$A$1,MATCH(H471,Rame!$A:$A,0)-1,MATCH(J471,Rame!$A$1:$AA$1,0)-1)=TRUE),0,OFFSET(Rame!$A$1,MATCH(H471,Rame!$A:$A,0)-1,MATCH(J471,Rame!$A$1:$AA$1,0)-1))*IF(E471="Rame",1,0),4)</f>
        <v>0</v>
      </c>
      <c r="N471" s="238">
        <v>0</v>
      </c>
      <c r="O471" s="238">
        <v>2.0499999999999998</v>
      </c>
      <c r="P471" s="238">
        <f ca="1">ROUND(+IF(ISERROR(OFFSET(Tabella!$G$1,MATCH(H471,Tabella!$G:$G,0)-1,MATCH(I471,Tabella!$G$1:$FG$1,0)-1)=TRUE),0,OFFSET(Tabella!$G$1,MATCH(H471,Tabella!$G:$G,0)-1,MATCH(I471,Tabella!$G$1:$AB$1,0)-1)),4)</f>
        <v>0</v>
      </c>
      <c r="Q471" s="238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238">
        <f ca="1">ROUND(IF(ISERROR(OFFSET(Rame!$F$1,MATCH(H471,Rame!$F:$F,0)-1,MATCH(I471,Rame!$F$1:$FF$1,0)-1)=TRUE),0,OFFSET(Rame!$F$1,MATCH(H471,Rame!$F:$F,0)-1,MATCH(I471,Rame!$F$1:$FF$1,0)-1))*IF(E471="Rame",1,0),4)</f>
        <v>0</v>
      </c>
      <c r="S471" s="238">
        <f ca="1">ROUND(IF(ISERROR(OFFSET(Bronzo!$A$1,MATCH(H471,Bronzo!$A:$A,0)-1,MATCH(I471,Bronzo!$A$1:$AA$1,0)-1)=TRUE),0,OFFSET(Bronzo!$A$1,MATCH(H471,Bronzo!$A:$A,0)-1,MATCH(I471,Bronzo!$A$1:$AA$1,0)-1)),4)</f>
        <v>0</v>
      </c>
      <c r="T471" s="238">
        <f t="shared" ca="1" si="269"/>
        <v>0</v>
      </c>
      <c r="U471" s="237"/>
      <c r="V471" s="238">
        <v>0</v>
      </c>
      <c r="W471" s="239">
        <f t="shared" ca="1" si="270"/>
        <v>2.0499999999999998</v>
      </c>
      <c r="X471" s="240">
        <f t="shared" si="267"/>
        <v>25</v>
      </c>
      <c r="Y471" s="236">
        <v>5.05</v>
      </c>
      <c r="Z471" s="236">
        <f t="shared" ca="1" si="271"/>
        <v>-0.03</v>
      </c>
      <c r="AA471" s="241">
        <v>46184</v>
      </c>
      <c r="AF471" s="225">
        <f t="shared" ca="1" si="275"/>
        <v>46236</v>
      </c>
      <c r="AG471" s="225" t="b">
        <f t="shared" si="268"/>
        <v>0</v>
      </c>
      <c r="AH471" s="242"/>
      <c r="AS471" s="223">
        <f t="shared" si="273"/>
        <v>6</v>
      </c>
      <c r="AT471" s="223">
        <f t="shared" si="274"/>
        <v>2026</v>
      </c>
    </row>
    <row r="472" spans="2:46" ht="15.75" x14ac:dyDescent="0.25">
      <c r="B472" s="229" t="s">
        <v>692</v>
      </c>
      <c r="C472" s="235" t="s">
        <v>438</v>
      </c>
      <c r="D472" s="243">
        <v>250</v>
      </c>
      <c r="E472" s="232" t="s">
        <v>4</v>
      </c>
      <c r="F472" s="233">
        <v>3.03</v>
      </c>
      <c r="G472" s="234">
        <v>46154</v>
      </c>
      <c r="H472" s="235" t="s">
        <v>25</v>
      </c>
      <c r="I472" s="235"/>
      <c r="J472" s="236">
        <v>0.1</v>
      </c>
      <c r="K472" s="237">
        <f ca="1">ROUND(IF(ISERROR(OFFSET(Tabella!$A$1,MATCH(H472,Tabella!$A:$A,0)-1,MATCH(J472,Tabella!$A$1:$AC$1,0)-1)=TRUE),0,+OFFSET(Tabella!$A$1,MATCH(H472,Tabella!$A:$A,0)-1,MATCH(J472,Tabella!$A$1:$AC$1,0)-1)),4)</f>
        <v>1.4</v>
      </c>
      <c r="L472" s="238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238">
        <f ca="1">ROUND(IF(ISERROR(OFFSET(Rame!$A$1,MATCH(H472,Rame!$A:$A,0)-1,MATCH(J472,Rame!$A$1:$AA$1,0)-1)=TRUE),0,OFFSET(Rame!$A$1,MATCH(H472,Rame!$A:$A,0)-1,MATCH(J472,Rame!$A$1:$AA$1,0)-1))*IF(E472="Rame",1,0),4)</f>
        <v>0</v>
      </c>
      <c r="N472" s="238">
        <v>0</v>
      </c>
      <c r="O472" s="238">
        <v>2</v>
      </c>
      <c r="P472" s="238">
        <f ca="1">ROUND(+IF(ISERROR(OFFSET(Tabella!$G$1,MATCH(H472,Tabella!$G:$G,0)-1,MATCH(I472,Tabella!$G$1:$FG$1,0)-1)=TRUE),0,OFFSET(Tabella!$G$1,MATCH(H472,Tabella!$G:$G,0)-1,MATCH(I472,Tabella!$G$1:$AB$1,0)-1)),4)</f>
        <v>0</v>
      </c>
      <c r="Q472" s="238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238">
        <f ca="1">ROUND(IF(ISERROR(OFFSET(Rame!$F$1,MATCH(H472,Rame!$F:$F,0)-1,MATCH(I472,Rame!$F$1:$FF$1,0)-1)=TRUE),0,OFFSET(Rame!$F$1,MATCH(H472,Rame!$F:$F,0)-1,MATCH(I472,Rame!$F$1:$FF$1,0)-1))*IF(E472="Rame",1,0),4)</f>
        <v>0</v>
      </c>
      <c r="S472" s="238">
        <f ca="1">ROUND(IF(ISERROR(OFFSET(Bronzo!$A$1,MATCH(H472,Bronzo!$A:$A,0)-1,MATCH(I472,Bronzo!$A$1:$AA$1,0)-1)=TRUE),0,OFFSET(Bronzo!$A$1,MATCH(H472,Bronzo!$A:$A,0)-1,MATCH(I472,Bronzo!$A$1:$AA$1,0)-1)),4)</f>
        <v>0</v>
      </c>
      <c r="T472" s="238">
        <f t="shared" ca="1" si="269"/>
        <v>0</v>
      </c>
      <c r="U472" s="237"/>
      <c r="V472" s="238">
        <v>0</v>
      </c>
      <c r="W472" s="239">
        <f t="shared" ca="1" si="270"/>
        <v>2</v>
      </c>
      <c r="X472" s="240">
        <f t="shared" si="267"/>
        <v>25</v>
      </c>
      <c r="Y472" s="236">
        <v>5.05</v>
      </c>
      <c r="Z472" s="236">
        <f t="shared" ca="1" si="271"/>
        <v>0.02</v>
      </c>
      <c r="AA472" s="241">
        <v>46184</v>
      </c>
      <c r="AF472" s="225">
        <f t="shared" ca="1" si="275"/>
        <v>46236</v>
      </c>
      <c r="AG472" s="225" t="b">
        <f t="shared" si="268"/>
        <v>0</v>
      </c>
      <c r="AH472" s="242"/>
      <c r="AS472" s="223">
        <f t="shared" si="273"/>
        <v>6</v>
      </c>
      <c r="AT472" s="223">
        <f t="shared" si="274"/>
        <v>2026</v>
      </c>
    </row>
    <row r="473" spans="2:46" ht="15.75" x14ac:dyDescent="0.25">
      <c r="B473" s="229" t="s">
        <v>733</v>
      </c>
      <c r="C473" s="235" t="s">
        <v>92</v>
      </c>
      <c r="D473" s="243">
        <v>1000</v>
      </c>
      <c r="E473" s="232" t="s">
        <v>4</v>
      </c>
      <c r="F473" s="233">
        <v>3.14</v>
      </c>
      <c r="G473" s="234">
        <v>46157</v>
      </c>
      <c r="H473" s="235" t="s">
        <v>24</v>
      </c>
      <c r="I473" s="235"/>
      <c r="J473" s="236">
        <v>7.0000000000000007E-2</v>
      </c>
      <c r="K473" s="237">
        <f ca="1">ROUND(IF(ISERROR(OFFSET(Tabella!$A$1,MATCH(H473,Tabella!$A:$A,0)-1,MATCH(J473,Tabella!$A$1:$AC$1,0)-1)=TRUE),0,+OFFSET(Tabella!$A$1,MATCH(H473,Tabella!$A:$A,0)-1,MATCH(J473,Tabella!$A$1:$AC$1,0)-1)),4)</f>
        <v>1.25</v>
      </c>
      <c r="L473" s="238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238">
        <f ca="1">ROUND(IF(ISERROR(OFFSET(Rame!$A$1,MATCH(H473,Rame!$A:$A,0)-1,MATCH(J473,Rame!$A$1:$AA$1,0)-1)=TRUE),0,OFFSET(Rame!$A$1,MATCH(H473,Rame!$A:$A,0)-1,MATCH(J473,Rame!$A$1:$AA$1,0)-1))*IF(E473="Rame",1,0),4)</f>
        <v>0</v>
      </c>
      <c r="N473" s="238">
        <v>0</v>
      </c>
      <c r="O473" s="238">
        <f t="shared" ca="1" si="272"/>
        <v>1.25</v>
      </c>
      <c r="P473" s="238">
        <f ca="1">ROUND(+IF(ISERROR(OFFSET(Tabella!$G$1,MATCH(H473,Tabella!$G:$G,0)-1,MATCH(I473,Tabella!$G$1:$FG$1,0)-1)=TRUE),0,OFFSET(Tabella!$G$1,MATCH(H473,Tabella!$G:$G,0)-1,MATCH(I473,Tabella!$G$1:$AB$1,0)-1)),4)</f>
        <v>0</v>
      </c>
      <c r="Q473" s="238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238">
        <f ca="1">ROUND(IF(ISERROR(OFFSET(Rame!$F$1,MATCH(H473,Rame!$F:$F,0)-1,MATCH(I473,Rame!$F$1:$FF$1,0)-1)=TRUE),0,OFFSET(Rame!$F$1,MATCH(H473,Rame!$F:$F,0)-1,MATCH(I473,Rame!$F$1:$FF$1,0)-1))*IF(E473="Rame",1,0),4)</f>
        <v>0</v>
      </c>
      <c r="S473" s="238">
        <f ca="1">ROUND(IF(ISERROR(OFFSET(Bronzo!$A$1,MATCH(H473,Bronzo!$A:$A,0)-1,MATCH(I473,Bronzo!$A$1:$AA$1,0)-1)=TRUE),0,OFFSET(Bronzo!$A$1,MATCH(H473,Bronzo!$A:$A,0)-1,MATCH(I473,Bronzo!$A$1:$AA$1,0)-1)),4)</f>
        <v>0</v>
      </c>
      <c r="T473" s="238">
        <f t="shared" ca="1" si="269"/>
        <v>0</v>
      </c>
      <c r="U473" s="237"/>
      <c r="V473" s="238">
        <v>0</v>
      </c>
      <c r="W473" s="239">
        <f t="shared" ca="1" si="270"/>
        <v>1.25</v>
      </c>
      <c r="X473" s="240">
        <f t="shared" si="267"/>
        <v>70</v>
      </c>
      <c r="Y473" s="236">
        <v>5.04</v>
      </c>
      <c r="Z473" s="236">
        <f t="shared" ca="1" si="271"/>
        <v>0.65</v>
      </c>
      <c r="AA473" s="241">
        <v>46185</v>
      </c>
      <c r="AF473" s="225">
        <f t="shared" ca="1" si="275"/>
        <v>46236</v>
      </c>
      <c r="AG473" s="225" t="b">
        <f t="shared" si="268"/>
        <v>0</v>
      </c>
      <c r="AH473" s="242"/>
      <c r="AS473" s="223">
        <f t="shared" si="273"/>
        <v>6</v>
      </c>
      <c r="AT473" s="223">
        <f t="shared" si="274"/>
        <v>2026</v>
      </c>
    </row>
    <row r="474" spans="2:46" ht="15.75" x14ac:dyDescent="0.25">
      <c r="B474" s="229" t="s">
        <v>733</v>
      </c>
      <c r="C474" s="235" t="s">
        <v>92</v>
      </c>
      <c r="D474" s="243">
        <v>1000</v>
      </c>
      <c r="E474" s="232" t="s">
        <v>4</v>
      </c>
      <c r="F474" s="233">
        <v>3.14</v>
      </c>
      <c r="G474" s="234">
        <v>46157</v>
      </c>
      <c r="H474" s="235" t="s">
        <v>28</v>
      </c>
      <c r="I474" s="235"/>
      <c r="J474" s="236">
        <v>7.0000000000000007E-2</v>
      </c>
      <c r="K474" s="237">
        <f ca="1">ROUND(IF(ISERROR(OFFSET(Tabella!$A$1,MATCH(H474,Tabella!$A:$A,0)-1,MATCH(J474,Tabella!$A$1:$AC$1,0)-1)=TRUE),0,+OFFSET(Tabella!$A$1,MATCH(H474,Tabella!$A:$A,0)-1,MATCH(J474,Tabella!$A$1:$AC$1,0)-1)),4)</f>
        <v>1.25</v>
      </c>
      <c r="L474" s="238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238">
        <f ca="1">ROUND(IF(ISERROR(OFFSET(Rame!$A$1,MATCH(H474,Rame!$A:$A,0)-1,MATCH(J474,Rame!$A$1:$AA$1,0)-1)=TRUE),0,OFFSET(Rame!$A$1,MATCH(H474,Rame!$A:$A,0)-1,MATCH(J474,Rame!$A$1:$AA$1,0)-1))*IF(E474="Rame",1,0),4)</f>
        <v>0</v>
      </c>
      <c r="N474" s="238">
        <v>0</v>
      </c>
      <c r="O474" s="238">
        <f t="shared" ca="1" si="272"/>
        <v>1.25</v>
      </c>
      <c r="P474" s="238">
        <f ca="1">ROUND(+IF(ISERROR(OFFSET(Tabella!$G$1,MATCH(H474,Tabella!$G:$G,0)-1,MATCH(I474,Tabella!$G$1:$FG$1,0)-1)=TRUE),0,OFFSET(Tabella!$G$1,MATCH(H474,Tabella!$G:$G,0)-1,MATCH(I474,Tabella!$G$1:$AB$1,0)-1)),4)</f>
        <v>0</v>
      </c>
      <c r="Q474" s="238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238">
        <f ca="1">ROUND(IF(ISERROR(OFFSET(Rame!$F$1,MATCH(H474,Rame!$F:$F,0)-1,MATCH(I474,Rame!$F$1:$FF$1,0)-1)=TRUE),0,OFFSET(Rame!$F$1,MATCH(H474,Rame!$F:$F,0)-1,MATCH(I474,Rame!$F$1:$FF$1,0)-1))*IF(E474="Rame",1,0),4)</f>
        <v>0</v>
      </c>
      <c r="S474" s="238">
        <f ca="1">ROUND(IF(ISERROR(OFFSET(Bronzo!$A$1,MATCH(H474,Bronzo!$A:$A,0)-1,MATCH(I474,Bronzo!$A$1:$AA$1,0)-1)=TRUE),0,OFFSET(Bronzo!$A$1,MATCH(H474,Bronzo!$A:$A,0)-1,MATCH(I474,Bronzo!$A$1:$AA$1,0)-1)),4)</f>
        <v>0</v>
      </c>
      <c r="T474" s="238">
        <f t="shared" ca="1" si="269"/>
        <v>0</v>
      </c>
      <c r="U474" s="237"/>
      <c r="V474" s="238">
        <v>0</v>
      </c>
      <c r="W474" s="239">
        <f t="shared" ca="1" si="270"/>
        <v>1.25</v>
      </c>
      <c r="X474" s="240">
        <f t="shared" ref="X474:X539" si="276">ROUND(+J474*D474,4)</f>
        <v>70</v>
      </c>
      <c r="Y474" s="236">
        <v>5.04</v>
      </c>
      <c r="Z474" s="236">
        <f t="shared" ca="1" si="271"/>
        <v>0.65</v>
      </c>
      <c r="AA474" s="241">
        <v>46185</v>
      </c>
      <c r="AF474" s="225">
        <f t="shared" ca="1" si="275"/>
        <v>46236</v>
      </c>
      <c r="AG474" s="225" t="b">
        <f t="shared" si="268"/>
        <v>0</v>
      </c>
      <c r="AH474" s="242"/>
      <c r="AS474" s="223">
        <f t="shared" si="273"/>
        <v>6</v>
      </c>
      <c r="AT474" s="223">
        <f t="shared" si="274"/>
        <v>2026</v>
      </c>
    </row>
    <row r="475" spans="2:46" ht="15.75" x14ac:dyDescent="0.25">
      <c r="B475" s="229" t="s">
        <v>741</v>
      </c>
      <c r="C475" s="235" t="s">
        <v>396</v>
      </c>
      <c r="D475" s="243">
        <v>200</v>
      </c>
      <c r="E475" s="232" t="s">
        <v>4</v>
      </c>
      <c r="F475" s="233">
        <v>3.09</v>
      </c>
      <c r="G475" s="234">
        <v>46157</v>
      </c>
      <c r="H475" s="235" t="s">
        <v>9</v>
      </c>
      <c r="I475" s="235"/>
      <c r="J475" s="236">
        <v>7.0000000000000007E-2</v>
      </c>
      <c r="K475" s="237">
        <f ca="1">ROUND(IF(ISERROR(OFFSET(Tabella!$A$1,MATCH(H475,Tabella!$A:$A,0)-1,MATCH(J475,Tabella!$A$1:$AC$1,0)-1)=TRUE),0,+OFFSET(Tabella!$A$1,MATCH(H475,Tabella!$A:$A,0)-1,MATCH(J475,Tabella!$A$1:$AC$1,0)-1)),4)</f>
        <v>1.6</v>
      </c>
      <c r="L475" s="238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238">
        <f ca="1">ROUND(IF(ISERROR(OFFSET(Rame!$A$1,MATCH(H475,Rame!$A:$A,0)-1,MATCH(J475,Rame!$A$1:$AA$1,0)-1)=TRUE),0,OFFSET(Rame!$A$1,MATCH(H475,Rame!$A:$A,0)-1,MATCH(J475,Rame!$A$1:$AA$1,0)-1))*IF(E475="Rame",1,0),4)</f>
        <v>0</v>
      </c>
      <c r="N475" s="238">
        <v>0</v>
      </c>
      <c r="O475" s="238">
        <f t="shared" ca="1" si="272"/>
        <v>1.6</v>
      </c>
      <c r="P475" s="238">
        <f ca="1">ROUND(+IF(ISERROR(OFFSET(Tabella!$G$1,MATCH(H475,Tabella!$G:$G,0)-1,MATCH(I475,Tabella!$G$1:$FG$1,0)-1)=TRUE),0,OFFSET(Tabella!$G$1,MATCH(H475,Tabella!$G:$G,0)-1,MATCH(I475,Tabella!$G$1:$AB$1,0)-1)),4)</f>
        <v>0</v>
      </c>
      <c r="Q475" s="238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238">
        <f ca="1">ROUND(IF(ISERROR(OFFSET(Rame!$F$1,MATCH(H475,Rame!$F:$F,0)-1,MATCH(I475,Rame!$F$1:$FF$1,0)-1)=TRUE),0,OFFSET(Rame!$F$1,MATCH(H475,Rame!$F:$F,0)-1,MATCH(I475,Rame!$F$1:$FF$1,0)-1))*IF(E475="Rame",1,0),4)</f>
        <v>0</v>
      </c>
      <c r="S475" s="238">
        <f ca="1">ROUND(IF(ISERROR(OFFSET(Bronzo!$A$1,MATCH(H475,Bronzo!$A:$A,0)-1,MATCH(I475,Bronzo!$A$1:$AA$1,0)-1)=TRUE),0,OFFSET(Bronzo!$A$1,MATCH(H475,Bronzo!$A:$A,0)-1,MATCH(I475,Bronzo!$A$1:$AA$1,0)-1)),4)</f>
        <v>0</v>
      </c>
      <c r="T475" s="238">
        <f t="shared" ca="1" si="269"/>
        <v>0</v>
      </c>
      <c r="U475" s="237"/>
      <c r="V475" s="238">
        <v>0</v>
      </c>
      <c r="W475" s="239">
        <f t="shared" ca="1" si="270"/>
        <v>1.6</v>
      </c>
      <c r="X475" s="240">
        <f t="shared" si="276"/>
        <v>14</v>
      </c>
      <c r="Y475" s="236">
        <v>5.51</v>
      </c>
      <c r="Z475" s="236">
        <f t="shared" ca="1" si="271"/>
        <v>0.82</v>
      </c>
      <c r="AA475" s="241">
        <v>46192</v>
      </c>
      <c r="AF475" s="225">
        <f t="shared" ca="1" si="275"/>
        <v>46236</v>
      </c>
      <c r="AG475" s="225" t="b">
        <f t="shared" si="268"/>
        <v>0</v>
      </c>
      <c r="AH475" s="242"/>
      <c r="AS475" s="223">
        <f t="shared" si="273"/>
        <v>6</v>
      </c>
      <c r="AT475" s="223">
        <f t="shared" si="274"/>
        <v>2026</v>
      </c>
    </row>
    <row r="476" spans="2:46" ht="15.75" x14ac:dyDescent="0.25">
      <c r="B476" s="229" t="s">
        <v>740</v>
      </c>
      <c r="C476" s="235" t="s">
        <v>330</v>
      </c>
      <c r="D476" s="243">
        <v>4000</v>
      </c>
      <c r="E476" s="232" t="s">
        <v>4</v>
      </c>
      <c r="F476" s="244">
        <v>2</v>
      </c>
      <c r="G476" s="234">
        <v>46157</v>
      </c>
      <c r="H476" s="235" t="s">
        <v>24</v>
      </c>
      <c r="I476" s="235"/>
      <c r="J476" s="236">
        <v>7.0000000000000007E-2</v>
      </c>
      <c r="K476" s="237">
        <f ca="1">ROUND(IF(ISERROR(OFFSET(Tabella!$A$1,MATCH(H476,Tabella!$A:$A,0)-1,MATCH(J476,Tabella!$A$1:$AC$1,0)-1)=TRUE),0,+OFFSET(Tabella!$A$1,MATCH(H476,Tabella!$A:$A,0)-1,MATCH(J476,Tabella!$A$1:$AC$1,0)-1)),4)</f>
        <v>1.25</v>
      </c>
      <c r="L476" s="238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238">
        <f ca="1">ROUND(IF(ISERROR(OFFSET(Rame!$A$1,MATCH(H476,Rame!$A:$A,0)-1,MATCH(J476,Rame!$A$1:$AA$1,0)-1)=TRUE),0,OFFSET(Rame!$A$1,MATCH(H476,Rame!$A:$A,0)-1,MATCH(J476,Rame!$A$1:$AA$1,0)-1))*IF(E476="Rame",1,0),4)</f>
        <v>0</v>
      </c>
      <c r="N476" s="238">
        <v>0</v>
      </c>
      <c r="O476" s="238">
        <v>1.9</v>
      </c>
      <c r="P476" s="238">
        <f ca="1">ROUND(+IF(ISERROR(OFFSET(Tabella!$G$1,MATCH(H476,Tabella!$G:$G,0)-1,MATCH(I476,Tabella!$G$1:$FG$1,0)-1)=TRUE),0,OFFSET(Tabella!$G$1,MATCH(H476,Tabella!$G:$G,0)-1,MATCH(I476,Tabella!$G$1:$AB$1,0)-1)),4)</f>
        <v>0</v>
      </c>
      <c r="Q476" s="238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238">
        <f ca="1">ROUND(IF(ISERROR(OFFSET(Rame!$F$1,MATCH(H476,Rame!$F:$F,0)-1,MATCH(I476,Rame!$F$1:$FF$1,0)-1)=TRUE),0,OFFSET(Rame!$F$1,MATCH(H476,Rame!$F:$F,0)-1,MATCH(I476,Rame!$F$1:$FF$1,0)-1))*IF(E476="Rame",1,0),4)</f>
        <v>0</v>
      </c>
      <c r="S476" s="238">
        <f ca="1">ROUND(IF(ISERROR(OFFSET(Bronzo!$A$1,MATCH(H476,Bronzo!$A:$A,0)-1,MATCH(I476,Bronzo!$A$1:$AA$1,0)-1)=TRUE),0,OFFSET(Bronzo!$A$1,MATCH(H476,Bronzo!$A:$A,0)-1,MATCH(I476,Bronzo!$A$1:$AA$1,0)-1)),4)</f>
        <v>0</v>
      </c>
      <c r="T476" s="238">
        <f t="shared" ca="1" si="269"/>
        <v>0</v>
      </c>
      <c r="U476" s="237"/>
      <c r="V476" s="238">
        <v>0</v>
      </c>
      <c r="W476" s="239">
        <f t="shared" ca="1" si="270"/>
        <v>1.9</v>
      </c>
      <c r="X476" s="240">
        <f t="shared" si="276"/>
        <v>280</v>
      </c>
      <c r="Y476" s="425">
        <v>2</v>
      </c>
      <c r="Z476" s="236">
        <f t="shared" ca="1" si="271"/>
        <v>-1.9</v>
      </c>
      <c r="AA476" s="241">
        <v>46201</v>
      </c>
      <c r="AF476" s="225">
        <f t="shared" ca="1" si="275"/>
        <v>46236</v>
      </c>
      <c r="AG476" s="225" t="b">
        <f t="shared" si="268"/>
        <v>0</v>
      </c>
      <c r="AH476" s="242"/>
      <c r="AS476" s="223">
        <f t="shared" si="273"/>
        <v>6</v>
      </c>
      <c r="AT476" s="223">
        <f t="shared" si="274"/>
        <v>2026</v>
      </c>
    </row>
    <row r="477" spans="2:46" ht="15.75" x14ac:dyDescent="0.25">
      <c r="B477" s="229" t="s">
        <v>740</v>
      </c>
      <c r="C477" s="235" t="s">
        <v>330</v>
      </c>
      <c r="D477" s="243">
        <v>2000</v>
      </c>
      <c r="E477" s="232" t="s">
        <v>4</v>
      </c>
      <c r="F477" s="244">
        <v>2</v>
      </c>
      <c r="G477" s="234">
        <v>46157</v>
      </c>
      <c r="H477" s="235" t="s">
        <v>306</v>
      </c>
      <c r="I477" s="235"/>
      <c r="J477" s="236">
        <v>7.0000000000000007E-2</v>
      </c>
      <c r="K477" s="237">
        <f ca="1">ROUND(IF(ISERROR(OFFSET(Tabella!$A$1,MATCH(H477,Tabella!$A:$A,0)-1,MATCH(J477,Tabella!$A$1:$AC$1,0)-1)=TRUE),0,+OFFSET(Tabella!$A$1,MATCH(H477,Tabella!$A:$A,0)-1,MATCH(J477,Tabella!$A$1:$AC$1,0)-1)),4)</f>
        <v>1.25</v>
      </c>
      <c r="L477" s="238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238">
        <f ca="1">ROUND(IF(ISERROR(OFFSET(Rame!$A$1,MATCH(H477,Rame!$A:$A,0)-1,MATCH(J477,Rame!$A$1:$AA$1,0)-1)=TRUE),0,OFFSET(Rame!$A$1,MATCH(H477,Rame!$A:$A,0)-1,MATCH(J477,Rame!$A$1:$AA$1,0)-1))*IF(E477="Rame",1,0),4)</f>
        <v>0</v>
      </c>
      <c r="N477" s="238">
        <v>0</v>
      </c>
      <c r="O477" s="238">
        <v>1.9</v>
      </c>
      <c r="P477" s="238">
        <f ca="1">ROUND(+IF(ISERROR(OFFSET(Tabella!$G$1,MATCH(H477,Tabella!$G:$G,0)-1,MATCH(I477,Tabella!$G$1:$FG$1,0)-1)=TRUE),0,OFFSET(Tabella!$G$1,MATCH(H477,Tabella!$G:$G,0)-1,MATCH(I477,Tabella!$G$1:$AB$1,0)-1)),4)</f>
        <v>0</v>
      </c>
      <c r="Q477" s="238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238">
        <f ca="1">ROUND(IF(ISERROR(OFFSET(Rame!$F$1,MATCH(H477,Rame!$F:$F,0)-1,MATCH(I477,Rame!$F$1:$FF$1,0)-1)=TRUE),0,OFFSET(Rame!$F$1,MATCH(H477,Rame!$F:$F,0)-1,MATCH(I477,Rame!$F$1:$FF$1,0)-1))*IF(E477="Rame",1,0),4)</f>
        <v>0</v>
      </c>
      <c r="S477" s="238">
        <f ca="1">ROUND(IF(ISERROR(OFFSET(Bronzo!$A$1,MATCH(H477,Bronzo!$A:$A,0)-1,MATCH(I477,Bronzo!$A$1:$AA$1,0)-1)=TRUE),0,OFFSET(Bronzo!$A$1,MATCH(H477,Bronzo!$A:$A,0)-1,MATCH(I477,Bronzo!$A$1:$AA$1,0)-1)),4)</f>
        <v>0</v>
      </c>
      <c r="T477" s="238">
        <f t="shared" ref="T477" ca="1" si="277">ROUND(SUM(P477:S477),4)</f>
        <v>0</v>
      </c>
      <c r="U477" s="237"/>
      <c r="V477" s="238">
        <v>0</v>
      </c>
      <c r="W477" s="239">
        <f t="shared" ref="W477" ca="1" si="278">ROUND(+O477+T477+U477+V477,4)</f>
        <v>1.9</v>
      </c>
      <c r="X477" s="240">
        <f t="shared" ref="X477" si="279">ROUND(+J477*D477,4)</f>
        <v>140</v>
      </c>
      <c r="Y477" s="425">
        <v>2</v>
      </c>
      <c r="Z477" s="236">
        <f t="shared" ref="Z477" ca="1" si="280">ROUND(+Y477-W477-F477,4)</f>
        <v>-1.9</v>
      </c>
      <c r="AA477" s="241">
        <v>46239</v>
      </c>
      <c r="AF477" s="225">
        <f t="shared" ca="1" si="275"/>
        <v>46236</v>
      </c>
      <c r="AG477" s="225" t="b">
        <f t="shared" si="268"/>
        <v>0</v>
      </c>
      <c r="AH477" s="242"/>
      <c r="AS477" s="223">
        <f t="shared" si="273"/>
        <v>8</v>
      </c>
      <c r="AT477" s="223">
        <f t="shared" si="274"/>
        <v>2026</v>
      </c>
    </row>
    <row r="478" spans="2:46" ht="15.75" x14ac:dyDescent="0.25">
      <c r="B478" s="229" t="s">
        <v>691</v>
      </c>
      <c r="C478" s="235" t="s">
        <v>401</v>
      </c>
      <c r="D478" s="243">
        <v>400</v>
      </c>
      <c r="E478" s="232" t="s">
        <v>6</v>
      </c>
      <c r="F478" s="233">
        <v>11.65</v>
      </c>
      <c r="G478" s="234">
        <v>46157</v>
      </c>
      <c r="H478" s="235" t="s">
        <v>12</v>
      </c>
      <c r="I478" s="235"/>
      <c r="J478" s="236">
        <v>0.15</v>
      </c>
      <c r="K478" s="237">
        <f ca="1">ROUND(IF(ISERROR(OFFSET(Tabella!$A$1,MATCH(H478,Tabella!$A:$A,0)-1,MATCH(J478,Tabella!$A$1:$AC$1,0)-1)=TRUE),0,+OFFSET(Tabella!$A$1,MATCH(H478,Tabella!$A:$A,0)-1,MATCH(J478,Tabella!$A$1:$AC$1,0)-1)),4)</f>
        <v>0</v>
      </c>
      <c r="L478" s="238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238">
        <f ca="1">ROUND(IF(ISERROR(OFFSET(Rame!$A$1,MATCH(H478,Rame!$A:$A,0)-1,MATCH(J478,Rame!$A$1:$AA$1,0)-1)=TRUE),0,OFFSET(Rame!$A$1,MATCH(H478,Rame!$A:$A,0)-1,MATCH(J478,Rame!$A$1:$AA$1,0)-1))*IF(E478="Rame",1,0),4)</f>
        <v>1.25</v>
      </c>
      <c r="N478" s="238">
        <v>0</v>
      </c>
      <c r="O478" s="238">
        <f t="shared" ca="1" si="272"/>
        <v>1.25</v>
      </c>
      <c r="P478" s="238">
        <f ca="1">ROUND(+IF(ISERROR(OFFSET(Tabella!$G$1,MATCH(H478,Tabella!$G:$G,0)-1,MATCH(I478,Tabella!$G$1:$FG$1,0)-1)=TRUE),0,OFFSET(Tabella!$G$1,MATCH(H478,Tabella!$G:$G,0)-1,MATCH(I478,Tabella!$G$1:$AB$1,0)-1)),4)</f>
        <v>0</v>
      </c>
      <c r="Q478" s="238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238">
        <f ca="1">ROUND(IF(ISERROR(OFFSET(Rame!$F$1,MATCH(H478,Rame!$F:$F,0)-1,MATCH(I478,Rame!$F$1:$FF$1,0)-1)=TRUE),0,OFFSET(Rame!$F$1,MATCH(H478,Rame!$F:$F,0)-1,MATCH(I478,Rame!$F$1:$FF$1,0)-1))*IF(E478="Rame",1,0),4)</f>
        <v>0</v>
      </c>
      <c r="S478" s="238">
        <f ca="1">ROUND(IF(ISERROR(OFFSET(Bronzo!$A$1,MATCH(H478,Bronzo!$A:$A,0)-1,MATCH(I478,Bronzo!$A$1:$AA$1,0)-1)=TRUE),0,OFFSET(Bronzo!$A$1,MATCH(H478,Bronzo!$A:$A,0)-1,MATCH(I478,Bronzo!$A$1:$AA$1,0)-1)),4)</f>
        <v>0</v>
      </c>
      <c r="T478" s="238">
        <f t="shared" ca="1" si="269"/>
        <v>0</v>
      </c>
      <c r="U478" s="237"/>
      <c r="V478" s="238">
        <v>0</v>
      </c>
      <c r="W478" s="239">
        <f t="shared" ca="1" si="270"/>
        <v>1.25</v>
      </c>
      <c r="X478" s="240">
        <f t="shared" si="276"/>
        <v>60</v>
      </c>
      <c r="Y478" s="236">
        <v>15.5</v>
      </c>
      <c r="Z478" s="236">
        <f t="shared" ca="1" si="271"/>
        <v>2.6</v>
      </c>
      <c r="AA478" s="241">
        <v>46192</v>
      </c>
      <c r="AF478" s="225">
        <f t="shared" ca="1" si="275"/>
        <v>46236</v>
      </c>
      <c r="AG478" s="225" t="b">
        <f t="shared" si="268"/>
        <v>0</v>
      </c>
      <c r="AH478" s="242"/>
      <c r="AS478" s="223">
        <f t="shared" si="273"/>
        <v>6</v>
      </c>
      <c r="AT478" s="223">
        <f t="shared" si="274"/>
        <v>2026</v>
      </c>
    </row>
    <row r="479" spans="2:46" ht="15.75" x14ac:dyDescent="0.25">
      <c r="B479" s="229" t="s">
        <v>691</v>
      </c>
      <c r="C479" s="235" t="s">
        <v>401</v>
      </c>
      <c r="D479" s="243">
        <v>400</v>
      </c>
      <c r="E479" s="232" t="s">
        <v>6</v>
      </c>
      <c r="F479" s="233">
        <v>11.65</v>
      </c>
      <c r="G479" s="234">
        <v>46157</v>
      </c>
      <c r="H479" s="235" t="s">
        <v>12</v>
      </c>
      <c r="I479" s="235"/>
      <c r="J479" s="236">
        <v>0.15</v>
      </c>
      <c r="K479" s="237">
        <f ca="1">ROUND(IF(ISERROR(OFFSET(Tabella!$A$1,MATCH(H479,Tabella!$A:$A,0)-1,MATCH(J479,Tabella!$A$1:$AC$1,0)-1)=TRUE),0,+OFFSET(Tabella!$A$1,MATCH(H479,Tabella!$A:$A,0)-1,MATCH(J479,Tabella!$A$1:$AC$1,0)-1)),4)</f>
        <v>0</v>
      </c>
      <c r="L479" s="238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238">
        <f ca="1">ROUND(IF(ISERROR(OFFSET(Rame!$A$1,MATCH(H479,Rame!$A:$A,0)-1,MATCH(J479,Rame!$A$1:$AA$1,0)-1)=TRUE),0,OFFSET(Rame!$A$1,MATCH(H479,Rame!$A:$A,0)-1,MATCH(J479,Rame!$A$1:$AA$1,0)-1))*IF(E479="Rame",1,0),4)</f>
        <v>1.25</v>
      </c>
      <c r="N479" s="238">
        <v>0</v>
      </c>
      <c r="O479" s="238">
        <f t="shared" ca="1" si="272"/>
        <v>1.25</v>
      </c>
      <c r="P479" s="238">
        <f ca="1">ROUND(+IF(ISERROR(OFFSET(Tabella!$G$1,MATCH(H479,Tabella!$G:$G,0)-1,MATCH(I479,Tabella!$G$1:$FG$1,0)-1)=TRUE),0,OFFSET(Tabella!$G$1,MATCH(H479,Tabella!$G:$G,0)-1,MATCH(I479,Tabella!$G$1:$AB$1,0)-1)),4)</f>
        <v>0</v>
      </c>
      <c r="Q479" s="238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238">
        <f ca="1">ROUND(IF(ISERROR(OFFSET(Rame!$F$1,MATCH(H479,Rame!$F:$F,0)-1,MATCH(I479,Rame!$F$1:$FF$1,0)-1)=TRUE),0,OFFSET(Rame!$F$1,MATCH(H479,Rame!$F:$F,0)-1,MATCH(I479,Rame!$F$1:$FF$1,0)-1))*IF(E479="Rame",1,0),4)</f>
        <v>0</v>
      </c>
      <c r="S479" s="238">
        <f ca="1">ROUND(IF(ISERROR(OFFSET(Bronzo!$A$1,MATCH(H479,Bronzo!$A:$A,0)-1,MATCH(I479,Bronzo!$A$1:$AA$1,0)-1)=TRUE),0,OFFSET(Bronzo!$A$1,MATCH(H479,Bronzo!$A:$A,0)-1,MATCH(I479,Bronzo!$A$1:$AA$1,0)-1)),4)</f>
        <v>0</v>
      </c>
      <c r="T479" s="238">
        <f t="shared" ca="1" si="269"/>
        <v>0</v>
      </c>
      <c r="U479" s="237"/>
      <c r="V479" s="238">
        <v>0</v>
      </c>
      <c r="W479" s="239">
        <f t="shared" ca="1" si="270"/>
        <v>1.25</v>
      </c>
      <c r="X479" s="240">
        <f t="shared" si="276"/>
        <v>60</v>
      </c>
      <c r="Y479" s="236">
        <v>15.5</v>
      </c>
      <c r="Z479" s="236">
        <f t="shared" ca="1" si="271"/>
        <v>2.6</v>
      </c>
      <c r="AA479" s="241">
        <v>46192</v>
      </c>
      <c r="AF479" s="225">
        <f t="shared" ca="1" si="275"/>
        <v>46236</v>
      </c>
      <c r="AG479" s="225" t="b">
        <f t="shared" ref="AG479:AG542" si="281">ISBLANK(AA479)</f>
        <v>0</v>
      </c>
      <c r="AH479" s="242"/>
      <c r="AS479" s="223">
        <f t="shared" si="273"/>
        <v>6</v>
      </c>
      <c r="AT479" s="223">
        <f t="shared" si="274"/>
        <v>2026</v>
      </c>
    </row>
    <row r="480" spans="2:46" ht="15.75" x14ac:dyDescent="0.25">
      <c r="B480" s="229" t="s">
        <v>720</v>
      </c>
      <c r="C480" s="235" t="s">
        <v>263</v>
      </c>
      <c r="D480" s="243">
        <v>250</v>
      </c>
      <c r="E480" s="232" t="s">
        <v>4</v>
      </c>
      <c r="F480" s="233">
        <v>3.03</v>
      </c>
      <c r="G480" s="234">
        <v>46157</v>
      </c>
      <c r="H480" s="235" t="s">
        <v>9</v>
      </c>
      <c r="I480" s="235"/>
      <c r="J480" s="236">
        <v>7.0000000000000007E-2</v>
      </c>
      <c r="K480" s="237">
        <f ca="1">ROUND(IF(ISERROR(OFFSET(Tabella!$A$1,MATCH(H480,Tabella!$A:$A,0)-1,MATCH(J480,Tabella!$A$1:$AC$1,0)-1)=TRUE),0,+OFFSET(Tabella!$A$1,MATCH(H480,Tabella!$A:$A,0)-1,MATCH(J480,Tabella!$A$1:$AC$1,0)-1)),4)</f>
        <v>1.6</v>
      </c>
      <c r="L480" s="238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238">
        <f ca="1">ROUND(IF(ISERROR(OFFSET(Rame!$A$1,MATCH(H480,Rame!$A:$A,0)-1,MATCH(J480,Rame!$A$1:$AA$1,0)-1)=TRUE),0,OFFSET(Rame!$A$1,MATCH(H480,Rame!$A:$A,0)-1,MATCH(J480,Rame!$A$1:$AA$1,0)-1))*IF(E480="Rame",1,0),4)</f>
        <v>0</v>
      </c>
      <c r="N480" s="238">
        <v>0</v>
      </c>
      <c r="O480" s="238">
        <v>2.13</v>
      </c>
      <c r="P480" s="238">
        <f ca="1">ROUND(+IF(ISERROR(OFFSET(Tabella!$G$1,MATCH(H480,Tabella!$G:$G,0)-1,MATCH(I480,Tabella!$G$1:$FG$1,0)-1)=TRUE),0,OFFSET(Tabella!$G$1,MATCH(H480,Tabella!$G:$G,0)-1,MATCH(I480,Tabella!$G$1:$AB$1,0)-1)),4)</f>
        <v>0</v>
      </c>
      <c r="Q480" s="238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238">
        <f ca="1">ROUND(IF(ISERROR(OFFSET(Rame!$F$1,MATCH(H480,Rame!$F:$F,0)-1,MATCH(I480,Rame!$F$1:$FF$1,0)-1)=TRUE),0,OFFSET(Rame!$F$1,MATCH(H480,Rame!$F:$F,0)-1,MATCH(I480,Rame!$F$1:$FF$1,0)-1))*IF(E480="Rame",1,0),4)</f>
        <v>0</v>
      </c>
      <c r="S480" s="238">
        <f ca="1">ROUND(IF(ISERROR(OFFSET(Bronzo!$A$1,MATCH(H480,Bronzo!$A:$A,0)-1,MATCH(I480,Bronzo!$A$1:$AA$1,0)-1)=TRUE),0,OFFSET(Bronzo!$A$1,MATCH(H480,Bronzo!$A:$A,0)-1,MATCH(I480,Bronzo!$A$1:$AA$1,0)-1)),4)</f>
        <v>0</v>
      </c>
      <c r="T480" s="238">
        <f t="shared" ca="1" si="269"/>
        <v>0</v>
      </c>
      <c r="U480" s="237"/>
      <c r="V480" s="238">
        <v>0</v>
      </c>
      <c r="W480" s="239">
        <f t="shared" ca="1" si="270"/>
        <v>2.13</v>
      </c>
      <c r="X480" s="240">
        <f t="shared" si="276"/>
        <v>17.5</v>
      </c>
      <c r="Y480" s="236">
        <v>5.18</v>
      </c>
      <c r="Z480" s="236">
        <f t="shared" ca="1" si="271"/>
        <v>0.02</v>
      </c>
      <c r="AA480" s="241">
        <v>46168</v>
      </c>
      <c r="AF480" s="225">
        <f t="shared" ca="1" si="275"/>
        <v>46236</v>
      </c>
      <c r="AG480" s="225" t="b">
        <f t="shared" si="281"/>
        <v>0</v>
      </c>
      <c r="AH480" s="242"/>
      <c r="AS480" s="223">
        <f t="shared" si="273"/>
        <v>5</v>
      </c>
      <c r="AT480" s="223">
        <f t="shared" si="274"/>
        <v>2026</v>
      </c>
    </row>
    <row r="481" spans="2:46" ht="15.75" x14ac:dyDescent="0.25">
      <c r="B481" s="229" t="s">
        <v>747</v>
      </c>
      <c r="C481" s="245" t="s">
        <v>108</v>
      </c>
      <c r="D481" s="246">
        <v>290</v>
      </c>
      <c r="E481" s="232" t="s">
        <v>4</v>
      </c>
      <c r="F481" s="233">
        <v>2.98</v>
      </c>
      <c r="G481" s="234">
        <v>46097</v>
      </c>
      <c r="H481" s="235" t="s">
        <v>9</v>
      </c>
      <c r="I481" s="235"/>
      <c r="J481" s="236">
        <v>7.0000000000000007E-2</v>
      </c>
      <c r="K481" s="237">
        <f ca="1">ROUND(IF(ISERROR(OFFSET(Tabella!$A$1,MATCH(H481,Tabella!$A:$A,0)-1,MATCH(J481,Tabella!$A$1:$AC$1,0)-1)=TRUE),0,+OFFSET(Tabella!$A$1,MATCH(H481,Tabella!$A:$A,0)-1,MATCH(J481,Tabella!$A$1:$AC$1,0)-1)),4)</f>
        <v>1.6</v>
      </c>
      <c r="L481" s="238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238">
        <f ca="1">ROUND(IF(ISERROR(OFFSET(Rame!$A$1,MATCH(H481,Rame!$A:$A,0)-1,MATCH(J481,Rame!$A$1:$AA$1,0)-1)=TRUE),0,OFFSET(Rame!$A$1,MATCH(H481,Rame!$A:$A,0)-1,MATCH(J481,Rame!$A$1:$AA$1,0)-1))*IF(E481="Rame",1,0),4)</f>
        <v>0</v>
      </c>
      <c r="N481" s="238">
        <v>0</v>
      </c>
      <c r="O481" s="238">
        <v>1.85</v>
      </c>
      <c r="P481" s="238">
        <f ca="1">ROUND(+IF(ISERROR(OFFSET(Tabella!$G$1,MATCH(H481,Tabella!$G:$G,0)-1,MATCH(I481,Tabella!$G$1:$FG$1,0)-1)=TRUE),0,OFFSET(Tabella!$G$1,MATCH(H481,Tabella!$G:$G,0)-1,MATCH(I481,Tabella!$G$1:$AB$1,0)-1)),4)</f>
        <v>0</v>
      </c>
      <c r="Q481" s="238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238">
        <f ca="1">ROUND(IF(ISERROR(OFFSET(Rame!$F$1,MATCH(H481,Rame!$F:$F,0)-1,MATCH(I481,Rame!$F$1:$FF$1,0)-1)=TRUE),0,OFFSET(Rame!$F$1,MATCH(H481,Rame!$F:$F,0)-1,MATCH(I481,Rame!$F$1:$FF$1,0)-1))*IF(E481="Rame",1,0),4)</f>
        <v>0</v>
      </c>
      <c r="S481" s="238">
        <f ca="1">ROUND(IF(ISERROR(OFFSET(Bronzo!$A$1,MATCH(H481,Bronzo!$A:$A,0)-1,MATCH(I481,Bronzo!$A$1:$AA$1,0)-1)=TRUE),0,OFFSET(Bronzo!$A$1,MATCH(H481,Bronzo!$A:$A,0)-1,MATCH(I481,Bronzo!$A$1:$AA$1,0)-1)),4)</f>
        <v>0</v>
      </c>
      <c r="T481" s="238">
        <f t="shared" ref="T481:T545" ca="1" si="282">ROUND(SUM(P481:S481),4)</f>
        <v>0</v>
      </c>
      <c r="U481" s="237"/>
      <c r="V481" s="238">
        <v>0</v>
      </c>
      <c r="W481" s="239">
        <f t="shared" ref="W481:W545" ca="1" si="283">ROUND(+O481+T481+U481+V481,4)</f>
        <v>1.85</v>
      </c>
      <c r="X481" s="423">
        <f t="shared" si="276"/>
        <v>20.3</v>
      </c>
      <c r="Y481" s="236">
        <v>4.88</v>
      </c>
      <c r="Z481" s="236">
        <f t="shared" ref="Z481:Z545" ca="1" si="284">ROUND(+Y481-W481-F481,4)</f>
        <v>0.05</v>
      </c>
      <c r="AA481" s="241"/>
      <c r="AF481" s="225">
        <f t="shared" ca="1" si="275"/>
        <v>46236</v>
      </c>
      <c r="AG481" s="225" t="b">
        <f t="shared" si="281"/>
        <v>1</v>
      </c>
      <c r="AH481" s="242"/>
      <c r="AS481" s="223">
        <f t="shared" si="273"/>
        <v>0</v>
      </c>
      <c r="AT481" s="223">
        <f t="shared" si="274"/>
        <v>0</v>
      </c>
    </row>
    <row r="482" spans="2:46" ht="15.75" x14ac:dyDescent="0.25">
      <c r="B482" s="229" t="s">
        <v>718</v>
      </c>
      <c r="C482" s="235" t="s">
        <v>108</v>
      </c>
      <c r="D482" s="243">
        <v>500</v>
      </c>
      <c r="E482" s="232" t="s">
        <v>4</v>
      </c>
      <c r="F482" s="233">
        <v>2.98</v>
      </c>
      <c r="G482" s="234">
        <v>46097</v>
      </c>
      <c r="H482" s="235" t="s">
        <v>17</v>
      </c>
      <c r="I482" s="235"/>
      <c r="J482" s="236">
        <v>7.0000000000000007E-2</v>
      </c>
      <c r="K482" s="237">
        <f ca="1">ROUND(IF(ISERROR(OFFSET(Tabella!$A$1,MATCH(H482,Tabella!$A:$A,0)-1,MATCH(J482,Tabella!$A$1:$AC$1,0)-1)=TRUE),0,+OFFSET(Tabella!$A$1,MATCH(H482,Tabella!$A:$A,0)-1,MATCH(J482,Tabella!$A$1:$AC$1,0)-1)),4)</f>
        <v>1.4</v>
      </c>
      <c r="L482" s="238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238">
        <f ca="1">ROUND(IF(ISERROR(OFFSET(Rame!$A$1,MATCH(H482,Rame!$A:$A,0)-1,MATCH(J482,Rame!$A$1:$AA$1,0)-1)=TRUE),0,OFFSET(Rame!$A$1,MATCH(H482,Rame!$A:$A,0)-1,MATCH(J482,Rame!$A$1:$AA$1,0)-1))*IF(E482="Rame",1,0),4)</f>
        <v>0</v>
      </c>
      <c r="N482" s="238">
        <v>0</v>
      </c>
      <c r="O482" s="238">
        <v>1.65</v>
      </c>
      <c r="P482" s="238">
        <f ca="1">ROUND(+IF(ISERROR(OFFSET(Tabella!$G$1,MATCH(H482,Tabella!$G:$G,0)-1,MATCH(I482,Tabella!$G$1:$FG$1,0)-1)=TRUE),0,OFFSET(Tabella!$G$1,MATCH(H482,Tabella!$G:$G,0)-1,MATCH(I482,Tabella!$G$1:$AB$1,0)-1)),4)</f>
        <v>0</v>
      </c>
      <c r="Q482" s="238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238">
        <f ca="1">ROUND(IF(ISERROR(OFFSET(Rame!$F$1,MATCH(H482,Rame!$F:$F,0)-1,MATCH(I482,Rame!$F$1:$FF$1,0)-1)=TRUE),0,OFFSET(Rame!$F$1,MATCH(H482,Rame!$F:$F,0)-1,MATCH(I482,Rame!$F$1:$FF$1,0)-1))*IF(E482="Rame",1,0),4)</f>
        <v>0</v>
      </c>
      <c r="S482" s="238">
        <f ca="1">ROUND(IF(ISERROR(OFFSET(Bronzo!$A$1,MATCH(H482,Bronzo!$A:$A,0)-1,MATCH(I482,Bronzo!$A$1:$AA$1,0)-1)=TRUE),0,OFFSET(Bronzo!$A$1,MATCH(H482,Bronzo!$A:$A,0)-1,MATCH(I482,Bronzo!$A$1:$AA$1,0)-1)),4)</f>
        <v>0</v>
      </c>
      <c r="T482" s="238">
        <f t="shared" ca="1" si="282"/>
        <v>0</v>
      </c>
      <c r="U482" s="237"/>
      <c r="V482" s="238">
        <v>0</v>
      </c>
      <c r="W482" s="239">
        <f t="shared" ca="1" si="283"/>
        <v>1.65</v>
      </c>
      <c r="X482" s="240">
        <f t="shared" si="276"/>
        <v>35</v>
      </c>
      <c r="Y482" s="236">
        <v>4.68</v>
      </c>
      <c r="Z482" s="236">
        <f t="shared" ca="1" si="284"/>
        <v>0.05</v>
      </c>
      <c r="AA482" s="241">
        <v>46181</v>
      </c>
      <c r="AF482" s="225">
        <f t="shared" ca="1" si="275"/>
        <v>46236</v>
      </c>
      <c r="AG482" s="225" t="b">
        <f t="shared" si="281"/>
        <v>0</v>
      </c>
      <c r="AH482" s="242"/>
      <c r="AS482" s="223">
        <f t="shared" si="273"/>
        <v>6</v>
      </c>
      <c r="AT482" s="223">
        <f t="shared" si="274"/>
        <v>2026</v>
      </c>
    </row>
    <row r="483" spans="2:46" ht="15.75" x14ac:dyDescent="0.25">
      <c r="B483" s="229" t="s">
        <v>718</v>
      </c>
      <c r="C483" s="235" t="s">
        <v>108</v>
      </c>
      <c r="D483" s="243">
        <v>400</v>
      </c>
      <c r="E483" s="232" t="s">
        <v>4</v>
      </c>
      <c r="F483" s="233">
        <v>2.98</v>
      </c>
      <c r="G483" s="234">
        <v>46097</v>
      </c>
      <c r="H483" s="235" t="s">
        <v>13</v>
      </c>
      <c r="I483" s="235"/>
      <c r="J483" s="236">
        <v>7.0000000000000007E-2</v>
      </c>
      <c r="K483" s="237">
        <f ca="1">ROUND(IF(ISERROR(OFFSET(Tabella!$A$1,MATCH(H483,Tabella!$A:$A,0)-1,MATCH(J483,Tabella!$A$1:$AC$1,0)-1)=TRUE),0,+OFFSET(Tabella!$A$1,MATCH(H483,Tabella!$A:$A,0)-1,MATCH(J483,Tabella!$A$1:$AC$1,0)-1)),4)</f>
        <v>1.4</v>
      </c>
      <c r="L483" s="238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238">
        <f ca="1">ROUND(IF(ISERROR(OFFSET(Rame!$A$1,MATCH(H483,Rame!$A:$A,0)-1,MATCH(J483,Rame!$A$1:$AA$1,0)-1)=TRUE),0,OFFSET(Rame!$A$1,MATCH(H483,Rame!$A:$A,0)-1,MATCH(J483,Rame!$A$1:$AA$1,0)-1))*IF(E483="Rame",1,0),4)</f>
        <v>0</v>
      </c>
      <c r="N483" s="238">
        <v>0</v>
      </c>
      <c r="O483" s="238">
        <v>1.75</v>
      </c>
      <c r="P483" s="238">
        <f ca="1">ROUND(+IF(ISERROR(OFFSET(Tabella!$G$1,MATCH(H483,Tabella!$G:$G,0)-1,MATCH(I483,Tabella!$G$1:$FG$1,0)-1)=TRUE),0,OFFSET(Tabella!$G$1,MATCH(H483,Tabella!$G:$G,0)-1,MATCH(I483,Tabella!$G$1:$AB$1,0)-1)),4)</f>
        <v>0</v>
      </c>
      <c r="Q483" s="238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238">
        <f ca="1">ROUND(IF(ISERROR(OFFSET(Rame!$F$1,MATCH(H483,Rame!$F:$F,0)-1,MATCH(I483,Rame!$F$1:$FF$1,0)-1)=TRUE),0,OFFSET(Rame!$F$1,MATCH(H483,Rame!$F:$F,0)-1,MATCH(I483,Rame!$F$1:$FF$1,0)-1))*IF(E483="Rame",1,0),4)</f>
        <v>0</v>
      </c>
      <c r="S483" s="238">
        <f ca="1">ROUND(IF(ISERROR(OFFSET(Bronzo!$A$1,MATCH(H483,Bronzo!$A:$A,0)-1,MATCH(I483,Bronzo!$A$1:$AA$1,0)-1)=TRUE),0,OFFSET(Bronzo!$A$1,MATCH(H483,Bronzo!$A:$A,0)-1,MATCH(I483,Bronzo!$A$1:$AA$1,0)-1)),4)</f>
        <v>0</v>
      </c>
      <c r="T483" s="238">
        <f t="shared" ca="1" si="282"/>
        <v>0</v>
      </c>
      <c r="U483" s="237"/>
      <c r="V483" s="238">
        <v>0</v>
      </c>
      <c r="W483" s="239">
        <f t="shared" ca="1" si="283"/>
        <v>1.75</v>
      </c>
      <c r="X483" s="240">
        <f t="shared" si="276"/>
        <v>28</v>
      </c>
      <c r="Y483" s="236">
        <v>4.7300000000000004</v>
      </c>
      <c r="Z483" s="236">
        <f t="shared" ca="1" si="284"/>
        <v>0</v>
      </c>
      <c r="AA483" s="241">
        <v>46181</v>
      </c>
      <c r="AF483" s="225">
        <f t="shared" ca="1" si="275"/>
        <v>46236</v>
      </c>
      <c r="AG483" s="225" t="b">
        <f t="shared" si="281"/>
        <v>0</v>
      </c>
      <c r="AH483" s="242"/>
      <c r="AS483" s="223">
        <f t="shared" si="273"/>
        <v>6</v>
      </c>
      <c r="AT483" s="223">
        <f t="shared" si="274"/>
        <v>2026</v>
      </c>
    </row>
    <row r="484" spans="2:46" ht="15.75" x14ac:dyDescent="0.25">
      <c r="B484" s="229" t="s">
        <v>718</v>
      </c>
      <c r="C484" s="235" t="s">
        <v>108</v>
      </c>
      <c r="D484" s="243">
        <v>300</v>
      </c>
      <c r="E484" s="232" t="s">
        <v>4</v>
      </c>
      <c r="F484" s="233">
        <v>2.98</v>
      </c>
      <c r="G484" s="234">
        <v>46097</v>
      </c>
      <c r="H484" s="235" t="s">
        <v>13</v>
      </c>
      <c r="I484" s="235"/>
      <c r="J484" s="236">
        <v>7.0000000000000007E-2</v>
      </c>
      <c r="K484" s="237">
        <f ca="1">ROUND(IF(ISERROR(OFFSET(Tabella!$A$1,MATCH(H484,Tabella!$A:$A,0)-1,MATCH(J484,Tabella!$A$1:$AC$1,0)-1)=TRUE),0,+OFFSET(Tabella!$A$1,MATCH(H484,Tabella!$A:$A,0)-1,MATCH(J484,Tabella!$A$1:$AC$1,0)-1)),4)</f>
        <v>1.4</v>
      </c>
      <c r="L484" s="238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238">
        <f ca="1">ROUND(IF(ISERROR(OFFSET(Rame!$A$1,MATCH(H484,Rame!$A:$A,0)-1,MATCH(J484,Rame!$A$1:$AA$1,0)-1)=TRUE),0,OFFSET(Rame!$A$1,MATCH(H484,Rame!$A:$A,0)-1,MATCH(J484,Rame!$A$1:$AA$1,0)-1))*IF(E484="Rame",1,0),4)</f>
        <v>0</v>
      </c>
      <c r="N484" s="238">
        <v>0</v>
      </c>
      <c r="O484" s="238">
        <v>1.75</v>
      </c>
      <c r="P484" s="238">
        <f ca="1">ROUND(+IF(ISERROR(OFFSET(Tabella!$G$1,MATCH(H484,Tabella!$G:$G,0)-1,MATCH(I484,Tabella!$G$1:$FG$1,0)-1)=TRUE),0,OFFSET(Tabella!$G$1,MATCH(H484,Tabella!$G:$G,0)-1,MATCH(I484,Tabella!$G$1:$AB$1,0)-1)),4)</f>
        <v>0</v>
      </c>
      <c r="Q484" s="238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238">
        <f ca="1">ROUND(IF(ISERROR(OFFSET(Rame!$F$1,MATCH(H484,Rame!$F:$F,0)-1,MATCH(I484,Rame!$F$1:$FF$1,0)-1)=TRUE),0,OFFSET(Rame!$F$1,MATCH(H484,Rame!$F:$F,0)-1,MATCH(I484,Rame!$F$1:$FF$1,0)-1))*IF(E484="Rame",1,0),4)</f>
        <v>0</v>
      </c>
      <c r="S484" s="238">
        <f ca="1">ROUND(IF(ISERROR(OFFSET(Bronzo!$A$1,MATCH(H484,Bronzo!$A:$A,0)-1,MATCH(I484,Bronzo!$A$1:$AA$1,0)-1)=TRUE),0,OFFSET(Bronzo!$A$1,MATCH(H484,Bronzo!$A:$A,0)-1,MATCH(I484,Bronzo!$A$1:$AA$1,0)-1)),4)</f>
        <v>0</v>
      </c>
      <c r="T484" s="238">
        <f t="shared" ca="1" si="282"/>
        <v>0</v>
      </c>
      <c r="U484" s="237"/>
      <c r="V484" s="238">
        <v>0</v>
      </c>
      <c r="W484" s="239">
        <f t="shared" ca="1" si="283"/>
        <v>1.75</v>
      </c>
      <c r="X484" s="240">
        <f t="shared" si="276"/>
        <v>21</v>
      </c>
      <c r="Y484" s="236">
        <v>4.7300000000000004</v>
      </c>
      <c r="Z484" s="236">
        <f t="shared" ca="1" si="284"/>
        <v>0</v>
      </c>
      <c r="AA484" s="241">
        <v>46181</v>
      </c>
      <c r="AF484" s="225">
        <f t="shared" ca="1" si="275"/>
        <v>46236</v>
      </c>
      <c r="AG484" s="225" t="b">
        <f t="shared" si="281"/>
        <v>0</v>
      </c>
      <c r="AH484" s="242"/>
      <c r="AS484" s="223">
        <f t="shared" si="273"/>
        <v>6</v>
      </c>
      <c r="AT484" s="223">
        <f t="shared" si="274"/>
        <v>2026</v>
      </c>
    </row>
    <row r="485" spans="2:46" ht="15.75" x14ac:dyDescent="0.25">
      <c r="B485" s="229" t="s">
        <v>718</v>
      </c>
      <c r="C485" s="235" t="s">
        <v>108</v>
      </c>
      <c r="D485" s="243">
        <v>400</v>
      </c>
      <c r="E485" s="232" t="s">
        <v>4</v>
      </c>
      <c r="F485" s="233">
        <v>2.98</v>
      </c>
      <c r="G485" s="234">
        <v>46097</v>
      </c>
      <c r="H485" s="235" t="s">
        <v>308</v>
      </c>
      <c r="I485" s="235"/>
      <c r="J485" s="236">
        <v>7.0000000000000007E-2</v>
      </c>
      <c r="K485" s="237">
        <f ca="1">ROUND(IF(ISERROR(OFFSET(Tabella!$A$1,MATCH(H485,Tabella!$A:$A,0)-1,MATCH(J485,Tabella!$A$1:$AC$1,0)-1)=TRUE),0,+OFFSET(Tabella!$A$1,MATCH(H485,Tabella!$A:$A,0)-1,MATCH(J485,Tabella!$A$1:$AC$1,0)-1)),4)</f>
        <v>1.25</v>
      </c>
      <c r="L485" s="238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238">
        <f ca="1">ROUND(IF(ISERROR(OFFSET(Rame!$A$1,MATCH(H485,Rame!$A:$A,0)-1,MATCH(J485,Rame!$A$1:$AA$1,0)-1)=TRUE),0,OFFSET(Rame!$A$1,MATCH(H485,Rame!$A:$A,0)-1,MATCH(J485,Rame!$A$1:$AA$1,0)-1))*IF(E485="Rame",1,0),4)</f>
        <v>0</v>
      </c>
      <c r="N485" s="238">
        <v>0</v>
      </c>
      <c r="O485" s="238">
        <v>1.6</v>
      </c>
      <c r="P485" s="238">
        <f ca="1">ROUND(+IF(ISERROR(OFFSET(Tabella!$G$1,MATCH(H485,Tabella!$G:$G,0)-1,MATCH(I485,Tabella!$G$1:$FG$1,0)-1)=TRUE),0,OFFSET(Tabella!$G$1,MATCH(H485,Tabella!$G:$G,0)-1,MATCH(I485,Tabella!$G$1:$AB$1,0)-1)),4)</f>
        <v>0</v>
      </c>
      <c r="Q485" s="238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238">
        <f ca="1">ROUND(IF(ISERROR(OFFSET(Rame!$F$1,MATCH(H485,Rame!$F:$F,0)-1,MATCH(I485,Rame!$F$1:$FF$1,0)-1)=TRUE),0,OFFSET(Rame!$F$1,MATCH(H485,Rame!$F:$F,0)-1,MATCH(I485,Rame!$F$1:$FF$1,0)-1))*IF(E485="Rame",1,0),4)</f>
        <v>0</v>
      </c>
      <c r="S485" s="238">
        <f ca="1">ROUND(IF(ISERROR(OFFSET(Bronzo!$A$1,MATCH(H485,Bronzo!$A:$A,0)-1,MATCH(I485,Bronzo!$A$1:$AA$1,0)-1)=TRUE),0,OFFSET(Bronzo!$A$1,MATCH(H485,Bronzo!$A:$A,0)-1,MATCH(I485,Bronzo!$A$1:$AA$1,0)-1)),4)</f>
        <v>0</v>
      </c>
      <c r="T485" s="238">
        <f t="shared" ca="1" si="282"/>
        <v>0</v>
      </c>
      <c r="U485" s="237"/>
      <c r="V485" s="238">
        <v>0</v>
      </c>
      <c r="W485" s="239">
        <f t="shared" ca="1" si="283"/>
        <v>1.6</v>
      </c>
      <c r="X485" s="240">
        <f t="shared" si="276"/>
        <v>28</v>
      </c>
      <c r="Y485" s="236">
        <v>4.58</v>
      </c>
      <c r="Z485" s="236">
        <f t="shared" ca="1" si="284"/>
        <v>0</v>
      </c>
      <c r="AA485" s="241">
        <v>46181</v>
      </c>
      <c r="AF485" s="225">
        <f t="shared" ca="1" si="275"/>
        <v>46236</v>
      </c>
      <c r="AG485" s="225" t="b">
        <f t="shared" si="281"/>
        <v>0</v>
      </c>
      <c r="AH485" s="242"/>
      <c r="AS485" s="223">
        <f t="shared" si="273"/>
        <v>6</v>
      </c>
      <c r="AT485" s="223">
        <f t="shared" si="274"/>
        <v>2026</v>
      </c>
    </row>
    <row r="486" spans="2:46" ht="15.75" x14ac:dyDescent="0.25">
      <c r="B486" s="229" t="s">
        <v>718</v>
      </c>
      <c r="C486" s="235" t="s">
        <v>108</v>
      </c>
      <c r="D486" s="243">
        <v>1000</v>
      </c>
      <c r="E486" s="232" t="s">
        <v>4</v>
      </c>
      <c r="F486" s="233">
        <v>2.98</v>
      </c>
      <c r="G486" s="234">
        <v>46097</v>
      </c>
      <c r="H486" s="235" t="s">
        <v>29</v>
      </c>
      <c r="I486" s="235"/>
      <c r="J486" s="236">
        <v>7.0000000000000007E-2</v>
      </c>
      <c r="K486" s="237">
        <f ca="1">ROUND(IF(ISERROR(OFFSET(Tabella!$A$1,MATCH(H486,Tabella!$A:$A,0)-1,MATCH(J486,Tabella!$A$1:$AC$1,0)-1)=TRUE),0,+OFFSET(Tabella!$A$1,MATCH(H486,Tabella!$A:$A,0)-1,MATCH(J486,Tabella!$A$1:$AC$1,0)-1)),4)</f>
        <v>1.3</v>
      </c>
      <c r="L486" s="238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238">
        <f ca="1">ROUND(IF(ISERROR(OFFSET(Rame!$A$1,MATCH(H486,Rame!$A:$A,0)-1,MATCH(J486,Rame!$A$1:$AA$1,0)-1)=TRUE),0,OFFSET(Rame!$A$1,MATCH(H486,Rame!$A:$A,0)-1,MATCH(J486,Rame!$A$1:$AA$1,0)-1))*IF(E486="Rame",1,0),4)</f>
        <v>0</v>
      </c>
      <c r="N486" s="238">
        <v>0</v>
      </c>
      <c r="O486" s="238">
        <v>1.6</v>
      </c>
      <c r="P486" s="238">
        <f ca="1">ROUND(+IF(ISERROR(OFFSET(Tabella!$G$1,MATCH(H486,Tabella!$G:$G,0)-1,MATCH(I486,Tabella!$G$1:$FG$1,0)-1)=TRUE),0,OFFSET(Tabella!$G$1,MATCH(H486,Tabella!$G:$G,0)-1,MATCH(I486,Tabella!$G$1:$AB$1,0)-1)),4)</f>
        <v>0</v>
      </c>
      <c r="Q486" s="238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238">
        <f ca="1">ROUND(IF(ISERROR(OFFSET(Rame!$F$1,MATCH(H486,Rame!$F:$F,0)-1,MATCH(I486,Rame!$F$1:$FF$1,0)-1)=TRUE),0,OFFSET(Rame!$F$1,MATCH(H486,Rame!$F:$F,0)-1,MATCH(I486,Rame!$F$1:$FF$1,0)-1))*IF(E486="Rame",1,0),4)</f>
        <v>0</v>
      </c>
      <c r="S486" s="238">
        <f ca="1">ROUND(IF(ISERROR(OFFSET(Bronzo!$A$1,MATCH(H486,Bronzo!$A:$A,0)-1,MATCH(I486,Bronzo!$A$1:$AA$1,0)-1)=TRUE),0,OFFSET(Bronzo!$A$1,MATCH(H486,Bronzo!$A:$A,0)-1,MATCH(I486,Bronzo!$A$1:$AA$1,0)-1)),4)</f>
        <v>0</v>
      </c>
      <c r="T486" s="238">
        <f t="shared" ca="1" si="282"/>
        <v>0</v>
      </c>
      <c r="U486" s="237"/>
      <c r="V486" s="238">
        <v>0</v>
      </c>
      <c r="W486" s="239">
        <f t="shared" ca="1" si="283"/>
        <v>1.6</v>
      </c>
      <c r="X486" s="240">
        <f t="shared" si="276"/>
        <v>70</v>
      </c>
      <c r="Y486" s="236">
        <v>4.58</v>
      </c>
      <c r="Z486" s="236">
        <f t="shared" ca="1" si="284"/>
        <v>0</v>
      </c>
      <c r="AA486" s="241">
        <v>46195</v>
      </c>
      <c r="AF486" s="225">
        <f t="shared" ca="1" si="275"/>
        <v>46236</v>
      </c>
      <c r="AG486" s="225" t="b">
        <f t="shared" si="281"/>
        <v>0</v>
      </c>
      <c r="AH486" s="242"/>
      <c r="AS486" s="223">
        <f t="shared" si="273"/>
        <v>6</v>
      </c>
      <c r="AT486" s="223">
        <f t="shared" si="274"/>
        <v>2026</v>
      </c>
    </row>
    <row r="487" spans="2:46" ht="15.75" x14ac:dyDescent="0.25">
      <c r="B487" s="229" t="s">
        <v>718</v>
      </c>
      <c r="C487" s="235" t="s">
        <v>108</v>
      </c>
      <c r="D487" s="243">
        <v>600</v>
      </c>
      <c r="E487" s="232" t="s">
        <v>4</v>
      </c>
      <c r="F487" s="233">
        <v>2.98</v>
      </c>
      <c r="G487" s="234">
        <v>46097</v>
      </c>
      <c r="H487" s="235" t="s">
        <v>22</v>
      </c>
      <c r="I487" s="235"/>
      <c r="J487" s="236">
        <v>7.0000000000000007E-2</v>
      </c>
      <c r="K487" s="237">
        <f ca="1">ROUND(IF(ISERROR(OFFSET(Tabella!$A$1,MATCH(H487,Tabella!$A:$A,0)-1,MATCH(J487,Tabella!$A$1:$AC$1,0)-1)=TRUE),0,+OFFSET(Tabella!$A$1,MATCH(H487,Tabella!$A:$A,0)-1,MATCH(J487,Tabella!$A$1:$AC$1,0)-1)),4)</f>
        <v>1.25</v>
      </c>
      <c r="L487" s="238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238">
        <f ca="1">ROUND(IF(ISERROR(OFFSET(Rame!$A$1,MATCH(H487,Rame!$A:$A,0)-1,MATCH(J487,Rame!$A$1:$AA$1,0)-1)=TRUE),0,OFFSET(Rame!$A$1,MATCH(H487,Rame!$A:$A,0)-1,MATCH(J487,Rame!$A$1:$AA$1,0)-1))*IF(E487="Rame",1,0),4)</f>
        <v>0</v>
      </c>
      <c r="N487" s="238">
        <v>0</v>
      </c>
      <c r="O487" s="238">
        <v>1.6</v>
      </c>
      <c r="P487" s="238">
        <f ca="1">ROUND(+IF(ISERROR(OFFSET(Tabella!$G$1,MATCH(H487,Tabella!$G:$G,0)-1,MATCH(I487,Tabella!$G$1:$FG$1,0)-1)=TRUE),0,OFFSET(Tabella!$G$1,MATCH(H487,Tabella!$G:$G,0)-1,MATCH(I487,Tabella!$G$1:$AB$1,0)-1)),4)</f>
        <v>0</v>
      </c>
      <c r="Q487" s="238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238">
        <f ca="1">ROUND(IF(ISERROR(OFFSET(Rame!$F$1,MATCH(H487,Rame!$F:$F,0)-1,MATCH(I487,Rame!$F$1:$FF$1,0)-1)=TRUE),0,OFFSET(Rame!$F$1,MATCH(H487,Rame!$F:$F,0)-1,MATCH(I487,Rame!$F$1:$FF$1,0)-1))*IF(E487="Rame",1,0),4)</f>
        <v>0</v>
      </c>
      <c r="S487" s="238">
        <f ca="1">ROUND(IF(ISERROR(OFFSET(Bronzo!$A$1,MATCH(H487,Bronzo!$A:$A,0)-1,MATCH(I487,Bronzo!$A$1:$AA$1,0)-1)=TRUE),0,OFFSET(Bronzo!$A$1,MATCH(H487,Bronzo!$A:$A,0)-1,MATCH(I487,Bronzo!$A$1:$AA$1,0)-1)),4)</f>
        <v>0</v>
      </c>
      <c r="T487" s="238">
        <f t="shared" ca="1" si="282"/>
        <v>0</v>
      </c>
      <c r="U487" s="237"/>
      <c r="V487" s="238">
        <v>0</v>
      </c>
      <c r="W487" s="239">
        <f t="shared" ca="1" si="283"/>
        <v>1.6</v>
      </c>
      <c r="X487" s="240">
        <f t="shared" si="276"/>
        <v>42</v>
      </c>
      <c r="Y487" s="236">
        <v>4.58</v>
      </c>
      <c r="Z487" s="236">
        <f t="shared" ca="1" si="284"/>
        <v>0</v>
      </c>
      <c r="AA487" s="241">
        <v>46181</v>
      </c>
      <c r="AF487" s="225">
        <f t="shared" ca="1" si="275"/>
        <v>46236</v>
      </c>
      <c r="AG487" s="225" t="b">
        <f t="shared" si="281"/>
        <v>0</v>
      </c>
      <c r="AH487" s="242"/>
      <c r="AS487" s="223">
        <f t="shared" si="273"/>
        <v>6</v>
      </c>
      <c r="AT487" s="223">
        <f t="shared" si="274"/>
        <v>2026</v>
      </c>
    </row>
    <row r="488" spans="2:46" ht="15.75" x14ac:dyDescent="0.25">
      <c r="B488" s="229" t="s">
        <v>728</v>
      </c>
      <c r="C488" s="235" t="s">
        <v>440</v>
      </c>
      <c r="D488" s="243">
        <v>1800</v>
      </c>
      <c r="E488" s="232" t="s">
        <v>4</v>
      </c>
      <c r="F488" s="233">
        <v>3.02</v>
      </c>
      <c r="G488" s="234">
        <v>46127</v>
      </c>
      <c r="H488" s="235" t="s">
        <v>27</v>
      </c>
      <c r="I488" s="235"/>
      <c r="J488" s="236"/>
      <c r="K488" s="237">
        <f ca="1">ROUND(IF(ISERROR(OFFSET(Tabella!$A$1,MATCH(H488,Tabella!$A:$A,0)-1,MATCH(J488,Tabella!$A$1:$AC$1,0)-1)=TRUE),0,+OFFSET(Tabella!$A$1,MATCH(H488,Tabella!$A:$A,0)-1,MATCH(J488,Tabella!$A$1:$AC$1,0)-1)),4)</f>
        <v>0</v>
      </c>
      <c r="L488" s="238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238">
        <f ca="1">ROUND(IF(ISERROR(OFFSET(Rame!$A$1,MATCH(H488,Rame!$A:$A,0)-1,MATCH(J488,Rame!$A$1:$AA$1,0)-1)=TRUE),0,OFFSET(Rame!$A$1,MATCH(H488,Rame!$A:$A,0)-1,MATCH(J488,Rame!$A$1:$AA$1,0)-1))*IF(E488="Rame",1,0),4)</f>
        <v>0</v>
      </c>
      <c r="N488" s="238">
        <v>0</v>
      </c>
      <c r="O488" s="238">
        <v>1.5</v>
      </c>
      <c r="P488" s="238">
        <f ca="1">ROUND(+IF(ISERROR(OFFSET(Tabella!$G$1,MATCH(H488,Tabella!$G:$G,0)-1,MATCH(I488,Tabella!$G$1:$FG$1,0)-1)=TRUE),0,OFFSET(Tabella!$G$1,MATCH(H488,Tabella!$G:$G,0)-1,MATCH(I488,Tabella!$G$1:$AB$1,0)-1)),4)</f>
        <v>0</v>
      </c>
      <c r="Q488" s="238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238">
        <f ca="1">ROUND(IF(ISERROR(OFFSET(Rame!$F$1,MATCH(H488,Rame!$F:$F,0)-1,MATCH(I488,Rame!$F$1:$FF$1,0)-1)=TRUE),0,OFFSET(Rame!$F$1,MATCH(H488,Rame!$F:$F,0)-1,MATCH(I488,Rame!$F$1:$FF$1,0)-1))*IF(E488="Rame",1,0),4)</f>
        <v>0</v>
      </c>
      <c r="S488" s="238">
        <f ca="1">ROUND(IF(ISERROR(OFFSET(Bronzo!$A$1,MATCH(H488,Bronzo!$A:$A,0)-1,MATCH(I488,Bronzo!$A$1:$AA$1,0)-1)=TRUE),0,OFFSET(Bronzo!$A$1,MATCH(H488,Bronzo!$A:$A,0)-1,MATCH(I488,Bronzo!$A$1:$AA$1,0)-1)),4)</f>
        <v>0</v>
      </c>
      <c r="T488" s="238">
        <f t="shared" ca="1" si="282"/>
        <v>0</v>
      </c>
      <c r="U488" s="237"/>
      <c r="V488" s="238">
        <v>0</v>
      </c>
      <c r="W488" s="239">
        <f t="shared" ca="1" si="283"/>
        <v>1.5</v>
      </c>
      <c r="X488" s="240">
        <f t="shared" si="276"/>
        <v>0</v>
      </c>
      <c r="Y488" s="236">
        <v>4.6500000000000004</v>
      </c>
      <c r="Z488" s="236">
        <f t="shared" ca="1" si="284"/>
        <v>0.13</v>
      </c>
      <c r="AA488" s="241">
        <v>46178</v>
      </c>
      <c r="AF488" s="225">
        <f t="shared" ca="1" si="275"/>
        <v>46236</v>
      </c>
      <c r="AG488" s="225" t="b">
        <f t="shared" si="281"/>
        <v>0</v>
      </c>
      <c r="AH488" s="242"/>
      <c r="AS488" s="223">
        <f t="shared" si="273"/>
        <v>6</v>
      </c>
      <c r="AT488" s="223">
        <f t="shared" si="274"/>
        <v>2026</v>
      </c>
    </row>
    <row r="489" spans="2:46" ht="15.75" x14ac:dyDescent="0.25">
      <c r="B489" s="229" t="s">
        <v>728</v>
      </c>
      <c r="C489" s="235" t="s">
        <v>440</v>
      </c>
      <c r="D489" s="243">
        <v>900</v>
      </c>
      <c r="E489" s="232" t="s">
        <v>4</v>
      </c>
      <c r="F489" s="233">
        <v>3.02</v>
      </c>
      <c r="G489" s="234">
        <v>46127</v>
      </c>
      <c r="H489" s="235" t="s">
        <v>27</v>
      </c>
      <c r="I489" s="235"/>
      <c r="J489" s="236"/>
      <c r="K489" s="237">
        <f ca="1">ROUND(IF(ISERROR(OFFSET(Tabella!$A$1,MATCH(H489,Tabella!$A:$A,0)-1,MATCH(J489,Tabella!$A$1:$AC$1,0)-1)=TRUE),0,+OFFSET(Tabella!$A$1,MATCH(H489,Tabella!$A:$A,0)-1,MATCH(J489,Tabella!$A$1:$AC$1,0)-1)),4)</f>
        <v>0</v>
      </c>
      <c r="L489" s="238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238">
        <f ca="1">ROUND(IF(ISERROR(OFFSET(Rame!$A$1,MATCH(H489,Rame!$A:$A,0)-1,MATCH(J489,Rame!$A$1:$AA$1,0)-1)=TRUE),0,OFFSET(Rame!$A$1,MATCH(H489,Rame!$A:$A,0)-1,MATCH(J489,Rame!$A$1:$AA$1,0)-1))*IF(E489="Rame",1,0),4)</f>
        <v>0</v>
      </c>
      <c r="N489" s="238">
        <v>0</v>
      </c>
      <c r="O489" s="238">
        <v>1.5</v>
      </c>
      <c r="P489" s="238">
        <f ca="1">ROUND(+IF(ISERROR(OFFSET(Tabella!$G$1,MATCH(H489,Tabella!$G:$G,0)-1,MATCH(I489,Tabella!$G$1:$FG$1,0)-1)=TRUE),0,OFFSET(Tabella!$G$1,MATCH(H489,Tabella!$G:$G,0)-1,MATCH(I489,Tabella!$G$1:$AB$1,0)-1)),4)</f>
        <v>0</v>
      </c>
      <c r="Q489" s="238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238">
        <f ca="1">ROUND(IF(ISERROR(OFFSET(Rame!$F$1,MATCH(H489,Rame!$F:$F,0)-1,MATCH(I489,Rame!$F$1:$FF$1,0)-1)=TRUE),0,OFFSET(Rame!$F$1,MATCH(H489,Rame!$F:$F,0)-1,MATCH(I489,Rame!$F$1:$FF$1,0)-1))*IF(E489="Rame",1,0),4)</f>
        <v>0</v>
      </c>
      <c r="S489" s="238">
        <f ca="1">ROUND(IF(ISERROR(OFFSET(Bronzo!$A$1,MATCH(H489,Bronzo!$A:$A,0)-1,MATCH(I489,Bronzo!$A$1:$AA$1,0)-1)=TRUE),0,OFFSET(Bronzo!$A$1,MATCH(H489,Bronzo!$A:$A,0)-1,MATCH(I489,Bronzo!$A$1:$AA$1,0)-1)),4)</f>
        <v>0</v>
      </c>
      <c r="T489" s="238">
        <f t="shared" ca="1" si="282"/>
        <v>0</v>
      </c>
      <c r="U489" s="237"/>
      <c r="V489" s="238">
        <v>0</v>
      </c>
      <c r="W489" s="239">
        <f t="shared" ca="1" si="283"/>
        <v>1.5</v>
      </c>
      <c r="X489" s="240">
        <f t="shared" si="276"/>
        <v>0</v>
      </c>
      <c r="Y489" s="236">
        <v>4.6500000000000004</v>
      </c>
      <c r="Z489" s="236">
        <f t="shared" ca="1" si="284"/>
        <v>0.13</v>
      </c>
      <c r="AA489" s="241">
        <v>46178</v>
      </c>
      <c r="AF489" s="225">
        <f t="shared" ca="1" si="275"/>
        <v>46236</v>
      </c>
      <c r="AG489" s="225" t="b">
        <f t="shared" si="281"/>
        <v>0</v>
      </c>
      <c r="AH489" s="242"/>
      <c r="AS489" s="223">
        <f t="shared" si="273"/>
        <v>6</v>
      </c>
      <c r="AT489" s="223">
        <f t="shared" si="274"/>
        <v>2026</v>
      </c>
    </row>
    <row r="490" spans="2:46" ht="15.75" x14ac:dyDescent="0.25">
      <c r="B490" s="229" t="s">
        <v>729</v>
      </c>
      <c r="C490" s="235" t="s">
        <v>440</v>
      </c>
      <c r="D490" s="243">
        <v>900</v>
      </c>
      <c r="E490" s="232" t="s">
        <v>4</v>
      </c>
      <c r="F490" s="233">
        <v>3.02</v>
      </c>
      <c r="G490" s="234">
        <v>46127</v>
      </c>
      <c r="H490" s="235" t="s">
        <v>326</v>
      </c>
      <c r="I490" s="235"/>
      <c r="J490" s="236"/>
      <c r="K490" s="237">
        <f ca="1">ROUND(IF(ISERROR(OFFSET(Tabella!$A$1,MATCH(H490,Tabella!$A:$A,0)-1,MATCH(J490,Tabella!$A$1:$AC$1,0)-1)=TRUE),0,+OFFSET(Tabella!$A$1,MATCH(H490,Tabella!$A:$A,0)-1,MATCH(J490,Tabella!$A$1:$AC$1,0)-1)),4)</f>
        <v>0</v>
      </c>
      <c r="L490" s="238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238">
        <f ca="1">ROUND(IF(ISERROR(OFFSET(Rame!$A$1,MATCH(H490,Rame!$A:$A,0)-1,MATCH(J490,Rame!$A$1:$AA$1,0)-1)=TRUE),0,OFFSET(Rame!$A$1,MATCH(H490,Rame!$A:$A,0)-1,MATCH(J490,Rame!$A$1:$AA$1,0)-1))*IF(E490="Rame",1,0),4)</f>
        <v>0</v>
      </c>
      <c r="N490" s="238">
        <v>0</v>
      </c>
      <c r="O490" s="238">
        <v>1.5</v>
      </c>
      <c r="P490" s="238">
        <f ca="1">ROUND(+IF(ISERROR(OFFSET(Tabella!$G$1,MATCH(H490,Tabella!$G:$G,0)-1,MATCH(I490,Tabella!$G$1:$FG$1,0)-1)=TRUE),0,OFFSET(Tabella!$G$1,MATCH(H490,Tabella!$G:$G,0)-1,MATCH(I490,Tabella!$G$1:$AB$1,0)-1)),4)</f>
        <v>0</v>
      </c>
      <c r="Q490" s="238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238">
        <f ca="1">ROUND(IF(ISERROR(OFFSET(Rame!$F$1,MATCH(H490,Rame!$F:$F,0)-1,MATCH(I490,Rame!$F$1:$FF$1,0)-1)=TRUE),0,OFFSET(Rame!$F$1,MATCH(H490,Rame!$F:$F,0)-1,MATCH(I490,Rame!$F$1:$FF$1,0)-1))*IF(E490="Rame",1,0),4)</f>
        <v>0</v>
      </c>
      <c r="S490" s="238">
        <f ca="1">ROUND(IF(ISERROR(OFFSET(Bronzo!$A$1,MATCH(H490,Bronzo!$A:$A,0)-1,MATCH(I490,Bronzo!$A$1:$AA$1,0)-1)=TRUE),0,OFFSET(Bronzo!$A$1,MATCH(H490,Bronzo!$A:$A,0)-1,MATCH(I490,Bronzo!$A$1:$AA$1,0)-1)),4)</f>
        <v>0</v>
      </c>
      <c r="T490" s="238">
        <f t="shared" ca="1" si="282"/>
        <v>0</v>
      </c>
      <c r="U490" s="237"/>
      <c r="V490" s="238">
        <v>0</v>
      </c>
      <c r="W490" s="239">
        <f t="shared" ca="1" si="283"/>
        <v>1.5</v>
      </c>
      <c r="X490" s="240">
        <f t="shared" si="276"/>
        <v>0</v>
      </c>
      <c r="Y490" s="236">
        <v>4.6500000000000004</v>
      </c>
      <c r="Z490" s="236">
        <f t="shared" ca="1" si="284"/>
        <v>0.13</v>
      </c>
      <c r="AA490" s="241">
        <v>46178</v>
      </c>
      <c r="AF490" s="225">
        <f t="shared" ca="1" si="275"/>
        <v>46236</v>
      </c>
      <c r="AG490" s="225" t="b">
        <f t="shared" si="281"/>
        <v>0</v>
      </c>
      <c r="AH490" s="242"/>
      <c r="AS490" s="223">
        <f t="shared" si="273"/>
        <v>6</v>
      </c>
      <c r="AT490" s="223">
        <f t="shared" si="274"/>
        <v>2026</v>
      </c>
    </row>
    <row r="491" spans="2:46" ht="15.75" x14ac:dyDescent="0.25">
      <c r="B491" s="229" t="s">
        <v>729</v>
      </c>
      <c r="C491" s="235" t="s">
        <v>440</v>
      </c>
      <c r="D491" s="243">
        <v>1800</v>
      </c>
      <c r="E491" s="232" t="s">
        <v>4</v>
      </c>
      <c r="F491" s="233">
        <v>3.02</v>
      </c>
      <c r="G491" s="234">
        <v>46127</v>
      </c>
      <c r="H491" s="235" t="s">
        <v>326</v>
      </c>
      <c r="I491" s="235"/>
      <c r="J491" s="236"/>
      <c r="K491" s="237">
        <f ca="1">ROUND(IF(ISERROR(OFFSET(Tabella!$A$1,MATCH(H491,Tabella!$A:$A,0)-1,MATCH(J491,Tabella!$A$1:$AC$1,0)-1)=TRUE),0,+OFFSET(Tabella!$A$1,MATCH(H491,Tabella!$A:$A,0)-1,MATCH(J491,Tabella!$A$1:$AC$1,0)-1)),4)</f>
        <v>0</v>
      </c>
      <c r="L491" s="238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238">
        <f ca="1">ROUND(IF(ISERROR(OFFSET(Rame!$A$1,MATCH(H491,Rame!$A:$A,0)-1,MATCH(J491,Rame!$A$1:$AA$1,0)-1)=TRUE),0,OFFSET(Rame!$A$1,MATCH(H491,Rame!$A:$A,0)-1,MATCH(J491,Rame!$A$1:$AA$1,0)-1))*IF(E491="Rame",1,0),4)</f>
        <v>0</v>
      </c>
      <c r="N491" s="238">
        <v>0</v>
      </c>
      <c r="O491" s="238">
        <v>1.5</v>
      </c>
      <c r="P491" s="238">
        <f ca="1">ROUND(+IF(ISERROR(OFFSET(Tabella!$G$1,MATCH(H491,Tabella!$G:$G,0)-1,MATCH(I491,Tabella!$G$1:$FG$1,0)-1)=TRUE),0,OFFSET(Tabella!$G$1,MATCH(H491,Tabella!$G:$G,0)-1,MATCH(I491,Tabella!$G$1:$AB$1,0)-1)),4)</f>
        <v>0</v>
      </c>
      <c r="Q491" s="238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238">
        <f ca="1">ROUND(IF(ISERROR(OFFSET(Rame!$F$1,MATCH(H491,Rame!$F:$F,0)-1,MATCH(I491,Rame!$F$1:$FF$1,0)-1)=TRUE),0,OFFSET(Rame!$F$1,MATCH(H491,Rame!$F:$F,0)-1,MATCH(I491,Rame!$F$1:$FF$1,0)-1))*IF(E491="Rame",1,0),4)</f>
        <v>0</v>
      </c>
      <c r="S491" s="238">
        <f ca="1">ROUND(IF(ISERROR(OFFSET(Bronzo!$A$1,MATCH(H491,Bronzo!$A:$A,0)-1,MATCH(I491,Bronzo!$A$1:$AA$1,0)-1)=TRUE),0,OFFSET(Bronzo!$A$1,MATCH(H491,Bronzo!$A:$A,0)-1,MATCH(I491,Bronzo!$A$1:$AA$1,0)-1)),4)</f>
        <v>0</v>
      </c>
      <c r="T491" s="238">
        <f t="shared" ca="1" si="282"/>
        <v>0</v>
      </c>
      <c r="U491" s="237"/>
      <c r="V491" s="238">
        <v>0</v>
      </c>
      <c r="W491" s="239">
        <f t="shared" ca="1" si="283"/>
        <v>1.5</v>
      </c>
      <c r="X491" s="240">
        <f t="shared" si="276"/>
        <v>0</v>
      </c>
      <c r="Y491" s="236">
        <v>4.6500000000000004</v>
      </c>
      <c r="Z491" s="236">
        <f t="shared" ca="1" si="284"/>
        <v>0.13</v>
      </c>
      <c r="AA491" s="241">
        <v>46178</v>
      </c>
      <c r="AF491" s="225">
        <f t="shared" ca="1" si="275"/>
        <v>46236</v>
      </c>
      <c r="AG491" s="225" t="b">
        <f t="shared" si="281"/>
        <v>0</v>
      </c>
      <c r="AH491" s="242"/>
      <c r="AS491" s="223">
        <f t="shared" si="273"/>
        <v>6</v>
      </c>
      <c r="AT491" s="223">
        <f t="shared" si="274"/>
        <v>2026</v>
      </c>
    </row>
    <row r="492" spans="2:46" ht="15.75" x14ac:dyDescent="0.25">
      <c r="B492" s="229" t="s">
        <v>731</v>
      </c>
      <c r="C492" s="235" t="s">
        <v>440</v>
      </c>
      <c r="D492" s="243">
        <v>900</v>
      </c>
      <c r="E492" s="232" t="s">
        <v>4</v>
      </c>
      <c r="F492" s="233">
        <v>3.02</v>
      </c>
      <c r="G492" s="234">
        <v>46127</v>
      </c>
      <c r="H492" s="235" t="s">
        <v>322</v>
      </c>
      <c r="I492" s="235"/>
      <c r="J492" s="236"/>
      <c r="K492" s="237">
        <f ca="1">ROUND(IF(ISERROR(OFFSET(Tabella!$A$1,MATCH(H492,Tabella!$A:$A,0)-1,MATCH(J492,Tabella!$A$1:$AC$1,0)-1)=TRUE),0,+OFFSET(Tabella!$A$1,MATCH(H492,Tabella!$A:$A,0)-1,MATCH(J492,Tabella!$A$1:$AC$1,0)-1)),4)</f>
        <v>0</v>
      </c>
      <c r="L492" s="238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238">
        <f ca="1">ROUND(IF(ISERROR(OFFSET(Rame!$A$1,MATCH(H492,Rame!$A:$A,0)-1,MATCH(J492,Rame!$A$1:$AA$1,0)-1)=TRUE),0,OFFSET(Rame!$A$1,MATCH(H492,Rame!$A:$A,0)-1,MATCH(J492,Rame!$A$1:$AA$1,0)-1))*IF(E492="Rame",1,0),4)</f>
        <v>0</v>
      </c>
      <c r="N492" s="238">
        <v>0</v>
      </c>
      <c r="O492" s="238">
        <v>1.5</v>
      </c>
      <c r="P492" s="238">
        <f ca="1">ROUND(+IF(ISERROR(OFFSET(Tabella!$G$1,MATCH(H492,Tabella!$G:$G,0)-1,MATCH(I492,Tabella!$G$1:$FG$1,0)-1)=TRUE),0,OFFSET(Tabella!$G$1,MATCH(H492,Tabella!$G:$G,0)-1,MATCH(I492,Tabella!$G$1:$AB$1,0)-1)),4)</f>
        <v>0</v>
      </c>
      <c r="Q492" s="238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238">
        <f ca="1">ROUND(IF(ISERROR(OFFSET(Rame!$F$1,MATCH(H492,Rame!$F:$F,0)-1,MATCH(I492,Rame!$F$1:$FF$1,0)-1)=TRUE),0,OFFSET(Rame!$F$1,MATCH(H492,Rame!$F:$F,0)-1,MATCH(I492,Rame!$F$1:$FF$1,0)-1))*IF(E492="Rame",1,0),4)</f>
        <v>0</v>
      </c>
      <c r="S492" s="238">
        <f ca="1">ROUND(IF(ISERROR(OFFSET(Bronzo!$A$1,MATCH(H492,Bronzo!$A:$A,0)-1,MATCH(I492,Bronzo!$A$1:$AA$1,0)-1)=TRUE),0,OFFSET(Bronzo!$A$1,MATCH(H492,Bronzo!$A:$A,0)-1,MATCH(I492,Bronzo!$A$1:$AA$1,0)-1)),4)</f>
        <v>0</v>
      </c>
      <c r="T492" s="238">
        <f t="shared" ca="1" si="282"/>
        <v>0</v>
      </c>
      <c r="U492" s="237"/>
      <c r="V492" s="238">
        <v>0</v>
      </c>
      <c r="W492" s="239">
        <f t="shared" ca="1" si="283"/>
        <v>1.5</v>
      </c>
      <c r="X492" s="240">
        <f t="shared" si="276"/>
        <v>0</v>
      </c>
      <c r="Y492" s="236">
        <v>4.6500000000000004</v>
      </c>
      <c r="Z492" s="236">
        <f t="shared" ca="1" si="284"/>
        <v>0.13</v>
      </c>
      <c r="AA492" s="241">
        <v>46178</v>
      </c>
      <c r="AF492" s="225">
        <f t="shared" ca="1" si="275"/>
        <v>46236</v>
      </c>
      <c r="AG492" s="225" t="b">
        <f t="shared" si="281"/>
        <v>0</v>
      </c>
      <c r="AH492" s="242"/>
      <c r="AS492" s="223">
        <f t="shared" si="273"/>
        <v>6</v>
      </c>
      <c r="AT492" s="223">
        <f t="shared" si="274"/>
        <v>2026</v>
      </c>
    </row>
    <row r="493" spans="2:46" ht="15.75" x14ac:dyDescent="0.25">
      <c r="B493" s="229" t="s">
        <v>731</v>
      </c>
      <c r="C493" s="235" t="s">
        <v>440</v>
      </c>
      <c r="D493" s="243">
        <v>900</v>
      </c>
      <c r="E493" s="232" t="s">
        <v>4</v>
      </c>
      <c r="F493" s="233">
        <v>3.02</v>
      </c>
      <c r="G493" s="234">
        <v>46127</v>
      </c>
      <c r="H493" s="235" t="s">
        <v>322</v>
      </c>
      <c r="I493" s="235"/>
      <c r="J493" s="236"/>
      <c r="K493" s="237">
        <f ca="1">ROUND(IF(ISERROR(OFFSET(Tabella!$A$1,MATCH(H493,Tabella!$A:$A,0)-1,MATCH(J493,Tabella!$A$1:$AC$1,0)-1)=TRUE),0,+OFFSET(Tabella!$A$1,MATCH(H493,Tabella!$A:$A,0)-1,MATCH(J493,Tabella!$A$1:$AC$1,0)-1)),4)</f>
        <v>0</v>
      </c>
      <c r="L493" s="238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238">
        <f ca="1">ROUND(IF(ISERROR(OFFSET(Rame!$A$1,MATCH(H493,Rame!$A:$A,0)-1,MATCH(J493,Rame!$A$1:$AA$1,0)-1)=TRUE),0,OFFSET(Rame!$A$1,MATCH(H493,Rame!$A:$A,0)-1,MATCH(J493,Rame!$A$1:$AA$1,0)-1))*IF(E493="Rame",1,0),4)</f>
        <v>0</v>
      </c>
      <c r="N493" s="238">
        <v>0</v>
      </c>
      <c r="O493" s="238">
        <v>1.5</v>
      </c>
      <c r="P493" s="238">
        <f ca="1">ROUND(+IF(ISERROR(OFFSET(Tabella!$G$1,MATCH(H493,Tabella!$G:$G,0)-1,MATCH(I493,Tabella!$G$1:$FG$1,0)-1)=TRUE),0,OFFSET(Tabella!$G$1,MATCH(H493,Tabella!$G:$G,0)-1,MATCH(I493,Tabella!$G$1:$AB$1,0)-1)),4)</f>
        <v>0</v>
      </c>
      <c r="Q493" s="238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238">
        <f ca="1">ROUND(IF(ISERROR(OFFSET(Rame!$F$1,MATCH(H493,Rame!$F:$F,0)-1,MATCH(I493,Rame!$F$1:$FF$1,0)-1)=TRUE),0,OFFSET(Rame!$F$1,MATCH(H493,Rame!$F:$F,0)-1,MATCH(I493,Rame!$F$1:$FF$1,0)-1))*IF(E493="Rame",1,0),4)</f>
        <v>0</v>
      </c>
      <c r="S493" s="238">
        <f ca="1">ROUND(IF(ISERROR(OFFSET(Bronzo!$A$1,MATCH(H493,Bronzo!$A:$A,0)-1,MATCH(I493,Bronzo!$A$1:$AA$1,0)-1)=TRUE),0,OFFSET(Bronzo!$A$1,MATCH(H493,Bronzo!$A:$A,0)-1,MATCH(I493,Bronzo!$A$1:$AA$1,0)-1)),4)</f>
        <v>0</v>
      </c>
      <c r="T493" s="238">
        <f t="shared" ca="1" si="282"/>
        <v>0</v>
      </c>
      <c r="U493" s="237"/>
      <c r="V493" s="238">
        <v>0</v>
      </c>
      <c r="W493" s="239">
        <f t="shared" ca="1" si="283"/>
        <v>1.5</v>
      </c>
      <c r="X493" s="240">
        <f t="shared" si="276"/>
        <v>0</v>
      </c>
      <c r="Y493" s="236">
        <v>4.6500000000000004</v>
      </c>
      <c r="Z493" s="236">
        <f t="shared" ca="1" si="284"/>
        <v>0.13</v>
      </c>
      <c r="AA493" s="241">
        <v>46178</v>
      </c>
      <c r="AF493" s="225">
        <f t="shared" ca="1" si="275"/>
        <v>46236</v>
      </c>
      <c r="AG493" s="225" t="b">
        <f t="shared" si="281"/>
        <v>0</v>
      </c>
      <c r="AH493" s="242"/>
      <c r="AS493" s="223">
        <f t="shared" si="273"/>
        <v>6</v>
      </c>
      <c r="AT493" s="223">
        <f t="shared" si="274"/>
        <v>2026</v>
      </c>
    </row>
    <row r="494" spans="2:46" ht="15.75" x14ac:dyDescent="0.25">
      <c r="B494" s="229" t="s">
        <v>730</v>
      </c>
      <c r="C494" s="235" t="s">
        <v>440</v>
      </c>
      <c r="D494" s="243">
        <v>600</v>
      </c>
      <c r="E494" s="232" t="s">
        <v>4</v>
      </c>
      <c r="F494" s="233">
        <v>3.02</v>
      </c>
      <c r="G494" s="234">
        <v>46127</v>
      </c>
      <c r="H494" s="235" t="s">
        <v>22</v>
      </c>
      <c r="I494" s="235"/>
      <c r="J494" s="236"/>
      <c r="K494" s="237">
        <f ca="1">ROUND(IF(ISERROR(OFFSET(Tabella!$A$1,MATCH(H494,Tabella!$A:$A,0)-1,MATCH(J494,Tabella!$A$1:$AC$1,0)-1)=TRUE),0,+OFFSET(Tabella!$A$1,MATCH(H494,Tabella!$A:$A,0)-1,MATCH(J494,Tabella!$A$1:$AC$1,0)-1)),4)</f>
        <v>0</v>
      </c>
      <c r="L494" s="238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238">
        <f ca="1">ROUND(IF(ISERROR(OFFSET(Rame!$A$1,MATCH(H494,Rame!$A:$A,0)-1,MATCH(J494,Rame!$A$1:$AA$1,0)-1)=TRUE),0,OFFSET(Rame!$A$1,MATCH(H494,Rame!$A:$A,0)-1,MATCH(J494,Rame!$A$1:$AA$1,0)-1))*IF(E494="Rame",1,0),4)</f>
        <v>0</v>
      </c>
      <c r="N494" s="238">
        <v>0</v>
      </c>
      <c r="O494" s="238">
        <v>1.5</v>
      </c>
      <c r="P494" s="238">
        <f ca="1">ROUND(+IF(ISERROR(OFFSET(Tabella!$G$1,MATCH(H494,Tabella!$G:$G,0)-1,MATCH(I494,Tabella!$G$1:$FG$1,0)-1)=TRUE),0,OFFSET(Tabella!$G$1,MATCH(H494,Tabella!$G:$G,0)-1,MATCH(I494,Tabella!$G$1:$AB$1,0)-1)),4)</f>
        <v>0</v>
      </c>
      <c r="Q494" s="238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238">
        <f ca="1">ROUND(IF(ISERROR(OFFSET(Rame!$F$1,MATCH(H494,Rame!$F:$F,0)-1,MATCH(I494,Rame!$F$1:$FF$1,0)-1)=TRUE),0,OFFSET(Rame!$F$1,MATCH(H494,Rame!$F:$F,0)-1,MATCH(I494,Rame!$F$1:$FF$1,0)-1))*IF(E494="Rame",1,0),4)</f>
        <v>0</v>
      </c>
      <c r="S494" s="238">
        <f ca="1">ROUND(IF(ISERROR(OFFSET(Bronzo!$A$1,MATCH(H494,Bronzo!$A:$A,0)-1,MATCH(I494,Bronzo!$A$1:$AA$1,0)-1)=TRUE),0,OFFSET(Bronzo!$A$1,MATCH(H494,Bronzo!$A:$A,0)-1,MATCH(I494,Bronzo!$A$1:$AA$1,0)-1)),4)</f>
        <v>0</v>
      </c>
      <c r="T494" s="238">
        <f t="shared" ca="1" si="282"/>
        <v>0</v>
      </c>
      <c r="U494" s="237"/>
      <c r="V494" s="238">
        <v>0</v>
      </c>
      <c r="W494" s="239">
        <f t="shared" ca="1" si="283"/>
        <v>1.5</v>
      </c>
      <c r="X494" s="240">
        <f t="shared" si="276"/>
        <v>0</v>
      </c>
      <c r="Y494" s="236">
        <v>4.6500000000000004</v>
      </c>
      <c r="Z494" s="236">
        <f t="shared" ca="1" si="284"/>
        <v>0.13</v>
      </c>
      <c r="AA494" s="241">
        <v>46178</v>
      </c>
      <c r="AF494" s="225">
        <f t="shared" ca="1" si="275"/>
        <v>46236</v>
      </c>
      <c r="AG494" s="225" t="b">
        <f t="shared" si="281"/>
        <v>0</v>
      </c>
      <c r="AH494" s="242"/>
      <c r="AS494" s="223">
        <f t="shared" si="273"/>
        <v>6</v>
      </c>
      <c r="AT494" s="223">
        <f t="shared" si="274"/>
        <v>2026</v>
      </c>
    </row>
    <row r="495" spans="2:46" ht="15.75" x14ac:dyDescent="0.25">
      <c r="B495" s="229" t="s">
        <v>730</v>
      </c>
      <c r="C495" s="235" t="s">
        <v>440</v>
      </c>
      <c r="D495" s="243">
        <v>900</v>
      </c>
      <c r="E495" s="232" t="s">
        <v>4</v>
      </c>
      <c r="F495" s="233">
        <v>3.02</v>
      </c>
      <c r="G495" s="234">
        <v>46127</v>
      </c>
      <c r="H495" s="235" t="s">
        <v>24</v>
      </c>
      <c r="I495" s="235"/>
      <c r="J495" s="236"/>
      <c r="K495" s="237">
        <f ca="1">ROUND(IF(ISERROR(OFFSET(Tabella!$A$1,MATCH(H495,Tabella!$A:$A,0)-1,MATCH(J495,Tabella!$A$1:$AC$1,0)-1)=TRUE),0,+OFFSET(Tabella!$A$1,MATCH(H495,Tabella!$A:$A,0)-1,MATCH(J495,Tabella!$A$1:$AC$1,0)-1)),4)</f>
        <v>0</v>
      </c>
      <c r="L495" s="238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238">
        <f ca="1">ROUND(IF(ISERROR(OFFSET(Rame!$A$1,MATCH(H495,Rame!$A:$A,0)-1,MATCH(J495,Rame!$A$1:$AA$1,0)-1)=TRUE),0,OFFSET(Rame!$A$1,MATCH(H495,Rame!$A:$A,0)-1,MATCH(J495,Rame!$A$1:$AA$1,0)-1))*IF(E495="Rame",1,0),4)</f>
        <v>0</v>
      </c>
      <c r="N495" s="238">
        <v>0</v>
      </c>
      <c r="O495" s="238">
        <v>1.5</v>
      </c>
      <c r="P495" s="238">
        <f ca="1">ROUND(+IF(ISERROR(OFFSET(Tabella!$G$1,MATCH(H495,Tabella!$G:$G,0)-1,MATCH(I495,Tabella!$G$1:$FG$1,0)-1)=TRUE),0,OFFSET(Tabella!$G$1,MATCH(H495,Tabella!$G:$G,0)-1,MATCH(I495,Tabella!$G$1:$AB$1,0)-1)),4)</f>
        <v>0</v>
      </c>
      <c r="Q495" s="238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238">
        <f ca="1">ROUND(IF(ISERROR(OFFSET(Rame!$F$1,MATCH(H495,Rame!$F:$F,0)-1,MATCH(I495,Rame!$F$1:$FF$1,0)-1)=TRUE),0,OFFSET(Rame!$F$1,MATCH(H495,Rame!$F:$F,0)-1,MATCH(I495,Rame!$F$1:$FF$1,0)-1))*IF(E495="Rame",1,0),4)</f>
        <v>0</v>
      </c>
      <c r="S495" s="238">
        <f ca="1">ROUND(IF(ISERROR(OFFSET(Bronzo!$A$1,MATCH(H495,Bronzo!$A:$A,0)-1,MATCH(I495,Bronzo!$A$1:$AA$1,0)-1)=TRUE),0,OFFSET(Bronzo!$A$1,MATCH(H495,Bronzo!$A:$A,0)-1,MATCH(I495,Bronzo!$A$1:$AA$1,0)-1)),4)</f>
        <v>0</v>
      </c>
      <c r="T495" s="238">
        <f t="shared" ca="1" si="282"/>
        <v>0</v>
      </c>
      <c r="U495" s="237"/>
      <c r="V495" s="238">
        <v>0</v>
      </c>
      <c r="W495" s="239">
        <f t="shared" ca="1" si="283"/>
        <v>1.5</v>
      </c>
      <c r="X495" s="240">
        <f t="shared" si="276"/>
        <v>0</v>
      </c>
      <c r="Y495" s="236">
        <v>4.6500000000000004</v>
      </c>
      <c r="Z495" s="236">
        <f t="shared" ca="1" si="284"/>
        <v>0.13</v>
      </c>
      <c r="AA495" s="241">
        <v>46178</v>
      </c>
      <c r="AF495" s="225">
        <f t="shared" ca="1" si="275"/>
        <v>46236</v>
      </c>
      <c r="AG495" s="225" t="b">
        <f t="shared" si="281"/>
        <v>0</v>
      </c>
      <c r="AH495" s="242"/>
      <c r="AS495" s="223">
        <f t="shared" si="273"/>
        <v>6</v>
      </c>
      <c r="AT495" s="223">
        <f t="shared" si="274"/>
        <v>2026</v>
      </c>
    </row>
    <row r="496" spans="2:46" ht="15.75" x14ac:dyDescent="0.25">
      <c r="B496" s="229" t="s">
        <v>730</v>
      </c>
      <c r="C496" s="235" t="s">
        <v>440</v>
      </c>
      <c r="D496" s="243">
        <v>2700</v>
      </c>
      <c r="E496" s="232" t="s">
        <v>4</v>
      </c>
      <c r="F496" s="233">
        <v>3.02</v>
      </c>
      <c r="G496" s="234">
        <v>46127</v>
      </c>
      <c r="H496" s="235" t="s">
        <v>25</v>
      </c>
      <c r="I496" s="235"/>
      <c r="J496" s="236"/>
      <c r="K496" s="237">
        <f ca="1">ROUND(IF(ISERROR(OFFSET(Tabella!$A$1,MATCH(H496,Tabella!$A:$A,0)-1,MATCH(J496,Tabella!$A$1:$AC$1,0)-1)=TRUE),0,+OFFSET(Tabella!$A$1,MATCH(H496,Tabella!$A:$A,0)-1,MATCH(J496,Tabella!$A$1:$AC$1,0)-1)),4)</f>
        <v>0</v>
      </c>
      <c r="L496" s="238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238">
        <f ca="1">ROUND(IF(ISERROR(OFFSET(Rame!$A$1,MATCH(H496,Rame!$A:$A,0)-1,MATCH(J496,Rame!$A$1:$AA$1,0)-1)=TRUE),0,OFFSET(Rame!$A$1,MATCH(H496,Rame!$A:$A,0)-1,MATCH(J496,Rame!$A$1:$AA$1,0)-1))*IF(E496="Rame",1,0),4)</f>
        <v>0</v>
      </c>
      <c r="N496" s="238">
        <v>0</v>
      </c>
      <c r="O496" s="238">
        <v>1.5</v>
      </c>
      <c r="P496" s="238">
        <f ca="1">ROUND(+IF(ISERROR(OFFSET(Tabella!$G$1,MATCH(H496,Tabella!$G:$G,0)-1,MATCH(I496,Tabella!$G$1:$FG$1,0)-1)=TRUE),0,OFFSET(Tabella!$G$1,MATCH(H496,Tabella!$G:$G,0)-1,MATCH(I496,Tabella!$G$1:$AB$1,0)-1)),4)</f>
        <v>0</v>
      </c>
      <c r="Q496" s="238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238">
        <f ca="1">ROUND(IF(ISERROR(OFFSET(Rame!$F$1,MATCH(H496,Rame!$F:$F,0)-1,MATCH(I496,Rame!$F$1:$FF$1,0)-1)=TRUE),0,OFFSET(Rame!$F$1,MATCH(H496,Rame!$F:$F,0)-1,MATCH(I496,Rame!$F$1:$FF$1,0)-1))*IF(E496="Rame",1,0),4)</f>
        <v>0</v>
      </c>
      <c r="S496" s="238">
        <f ca="1">ROUND(IF(ISERROR(OFFSET(Bronzo!$A$1,MATCH(H496,Bronzo!$A:$A,0)-1,MATCH(I496,Bronzo!$A$1:$AA$1,0)-1)=TRUE),0,OFFSET(Bronzo!$A$1,MATCH(H496,Bronzo!$A:$A,0)-1,MATCH(I496,Bronzo!$A$1:$AA$1,0)-1)),4)</f>
        <v>0</v>
      </c>
      <c r="T496" s="238">
        <f t="shared" ca="1" si="282"/>
        <v>0</v>
      </c>
      <c r="U496" s="237"/>
      <c r="V496" s="238">
        <v>0</v>
      </c>
      <c r="W496" s="239">
        <f t="shared" ca="1" si="283"/>
        <v>1.5</v>
      </c>
      <c r="X496" s="240">
        <f t="shared" si="276"/>
        <v>0</v>
      </c>
      <c r="Y496" s="236">
        <v>4.6500000000000004</v>
      </c>
      <c r="Z496" s="236">
        <f t="shared" ca="1" si="284"/>
        <v>0.13</v>
      </c>
      <c r="AA496" s="241">
        <v>46178</v>
      </c>
      <c r="AF496" s="225">
        <f t="shared" ca="1" si="275"/>
        <v>46236</v>
      </c>
      <c r="AG496" s="225" t="b">
        <f t="shared" si="281"/>
        <v>0</v>
      </c>
      <c r="AH496" s="242"/>
      <c r="AS496" s="223">
        <f t="shared" si="273"/>
        <v>6</v>
      </c>
      <c r="AT496" s="223">
        <f t="shared" si="274"/>
        <v>2026</v>
      </c>
    </row>
    <row r="497" spans="2:46" ht="15.75" x14ac:dyDescent="0.25">
      <c r="B497" s="229" t="s">
        <v>730</v>
      </c>
      <c r="C497" s="235" t="s">
        <v>440</v>
      </c>
      <c r="D497" s="243">
        <v>2700</v>
      </c>
      <c r="E497" s="232" t="s">
        <v>4</v>
      </c>
      <c r="F497" s="233">
        <v>3.02</v>
      </c>
      <c r="G497" s="234">
        <v>46127</v>
      </c>
      <c r="H497" s="235" t="s">
        <v>28</v>
      </c>
      <c r="I497" s="235"/>
      <c r="J497" s="236"/>
      <c r="K497" s="237">
        <f ca="1">ROUND(IF(ISERROR(OFFSET(Tabella!$A$1,MATCH(H497,Tabella!$A:$A,0)-1,MATCH(J497,Tabella!$A$1:$AC$1,0)-1)=TRUE),0,+OFFSET(Tabella!$A$1,MATCH(H497,Tabella!$A:$A,0)-1,MATCH(J497,Tabella!$A$1:$AC$1,0)-1)),4)</f>
        <v>0</v>
      </c>
      <c r="L497" s="238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238">
        <f ca="1">ROUND(IF(ISERROR(OFFSET(Rame!$A$1,MATCH(H497,Rame!$A:$A,0)-1,MATCH(J497,Rame!$A$1:$AA$1,0)-1)=TRUE),0,OFFSET(Rame!$A$1,MATCH(H497,Rame!$A:$A,0)-1,MATCH(J497,Rame!$A$1:$AA$1,0)-1))*IF(E497="Rame",1,0),4)</f>
        <v>0</v>
      </c>
      <c r="N497" s="238">
        <v>0</v>
      </c>
      <c r="O497" s="238">
        <v>1.5</v>
      </c>
      <c r="P497" s="238">
        <f ca="1">ROUND(+IF(ISERROR(OFFSET(Tabella!$G$1,MATCH(H497,Tabella!$G:$G,0)-1,MATCH(I497,Tabella!$G$1:$FG$1,0)-1)=TRUE),0,OFFSET(Tabella!$G$1,MATCH(H497,Tabella!$G:$G,0)-1,MATCH(I497,Tabella!$G$1:$AB$1,0)-1)),4)</f>
        <v>0</v>
      </c>
      <c r="Q497" s="238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238">
        <f ca="1">ROUND(IF(ISERROR(OFFSET(Rame!$F$1,MATCH(H497,Rame!$F:$F,0)-1,MATCH(I497,Rame!$F$1:$FF$1,0)-1)=TRUE),0,OFFSET(Rame!$F$1,MATCH(H497,Rame!$F:$F,0)-1,MATCH(I497,Rame!$F$1:$FF$1,0)-1))*IF(E497="Rame",1,0),4)</f>
        <v>0</v>
      </c>
      <c r="S497" s="238">
        <f ca="1">ROUND(IF(ISERROR(OFFSET(Bronzo!$A$1,MATCH(H497,Bronzo!$A:$A,0)-1,MATCH(I497,Bronzo!$A$1:$AA$1,0)-1)=TRUE),0,OFFSET(Bronzo!$A$1,MATCH(H497,Bronzo!$A:$A,0)-1,MATCH(I497,Bronzo!$A$1:$AA$1,0)-1)),4)</f>
        <v>0</v>
      </c>
      <c r="T497" s="238">
        <f t="shared" ca="1" si="282"/>
        <v>0</v>
      </c>
      <c r="U497" s="237"/>
      <c r="V497" s="238">
        <v>0</v>
      </c>
      <c r="W497" s="239">
        <f t="shared" ca="1" si="283"/>
        <v>1.5</v>
      </c>
      <c r="X497" s="240">
        <f t="shared" si="276"/>
        <v>0</v>
      </c>
      <c r="Y497" s="236">
        <v>4.6500000000000004</v>
      </c>
      <c r="Z497" s="236">
        <f t="shared" ca="1" si="284"/>
        <v>0.13</v>
      </c>
      <c r="AA497" s="241">
        <v>46178</v>
      </c>
      <c r="AF497" s="225">
        <f t="shared" ca="1" si="275"/>
        <v>46236</v>
      </c>
      <c r="AG497" s="225" t="b">
        <f t="shared" si="281"/>
        <v>0</v>
      </c>
      <c r="AH497" s="242"/>
      <c r="AS497" s="223">
        <f t="shared" si="273"/>
        <v>6</v>
      </c>
      <c r="AT497" s="223">
        <f t="shared" si="274"/>
        <v>2026</v>
      </c>
    </row>
    <row r="498" spans="2:46" ht="15.75" x14ac:dyDescent="0.25">
      <c r="B498" s="229" t="s">
        <v>730</v>
      </c>
      <c r="C498" s="235" t="s">
        <v>440</v>
      </c>
      <c r="D498" s="243">
        <v>900</v>
      </c>
      <c r="E498" s="232" t="s">
        <v>4</v>
      </c>
      <c r="F498" s="233">
        <v>3.02</v>
      </c>
      <c r="G498" s="234">
        <v>46127</v>
      </c>
      <c r="H498" s="235" t="s">
        <v>28</v>
      </c>
      <c r="I498" s="235"/>
      <c r="J498" s="236"/>
      <c r="K498" s="237">
        <f ca="1">ROUND(IF(ISERROR(OFFSET(Tabella!$A$1,MATCH(H498,Tabella!$A:$A,0)-1,MATCH(J498,Tabella!$A$1:$AC$1,0)-1)=TRUE),0,+OFFSET(Tabella!$A$1,MATCH(H498,Tabella!$A:$A,0)-1,MATCH(J498,Tabella!$A$1:$AC$1,0)-1)),4)</f>
        <v>0</v>
      </c>
      <c r="L498" s="238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238">
        <f ca="1">ROUND(IF(ISERROR(OFFSET(Rame!$A$1,MATCH(H498,Rame!$A:$A,0)-1,MATCH(J498,Rame!$A$1:$AA$1,0)-1)=TRUE),0,OFFSET(Rame!$A$1,MATCH(H498,Rame!$A:$A,0)-1,MATCH(J498,Rame!$A$1:$AA$1,0)-1))*IF(E498="Rame",1,0),4)</f>
        <v>0</v>
      </c>
      <c r="N498" s="238">
        <v>0</v>
      </c>
      <c r="O498" s="238">
        <v>1.5</v>
      </c>
      <c r="P498" s="238">
        <f ca="1">ROUND(+IF(ISERROR(OFFSET(Tabella!$G$1,MATCH(H498,Tabella!$G:$G,0)-1,MATCH(I498,Tabella!$G$1:$FG$1,0)-1)=TRUE),0,OFFSET(Tabella!$G$1,MATCH(H498,Tabella!$G:$G,0)-1,MATCH(I498,Tabella!$G$1:$AB$1,0)-1)),4)</f>
        <v>0</v>
      </c>
      <c r="Q498" s="238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238">
        <f ca="1">ROUND(IF(ISERROR(OFFSET(Rame!$F$1,MATCH(H498,Rame!$F:$F,0)-1,MATCH(I498,Rame!$F$1:$FF$1,0)-1)=TRUE),0,OFFSET(Rame!$F$1,MATCH(H498,Rame!$F:$F,0)-1,MATCH(I498,Rame!$F$1:$FF$1,0)-1))*IF(E498="Rame",1,0),4)</f>
        <v>0</v>
      </c>
      <c r="S498" s="238">
        <f ca="1">ROUND(IF(ISERROR(OFFSET(Bronzo!$A$1,MATCH(H498,Bronzo!$A:$A,0)-1,MATCH(I498,Bronzo!$A$1:$AA$1,0)-1)=TRUE),0,OFFSET(Bronzo!$A$1,MATCH(H498,Bronzo!$A:$A,0)-1,MATCH(I498,Bronzo!$A$1:$AA$1,0)-1)),4)</f>
        <v>0</v>
      </c>
      <c r="T498" s="238">
        <f t="shared" ca="1" si="282"/>
        <v>0</v>
      </c>
      <c r="U498" s="237"/>
      <c r="V498" s="238">
        <v>0</v>
      </c>
      <c r="W498" s="239">
        <f t="shared" ca="1" si="283"/>
        <v>1.5</v>
      </c>
      <c r="X498" s="240">
        <f t="shared" si="276"/>
        <v>0</v>
      </c>
      <c r="Y498" s="236">
        <v>4.6500000000000004</v>
      </c>
      <c r="Z498" s="236">
        <f t="shared" ca="1" si="284"/>
        <v>0.13</v>
      </c>
      <c r="AA498" s="241">
        <v>46178</v>
      </c>
      <c r="AF498" s="225">
        <f t="shared" ca="1" si="275"/>
        <v>46236</v>
      </c>
      <c r="AG498" s="225" t="b">
        <f t="shared" si="281"/>
        <v>0</v>
      </c>
      <c r="AH498" s="242"/>
      <c r="AS498" s="223">
        <f t="shared" si="273"/>
        <v>6</v>
      </c>
      <c r="AT498" s="223">
        <f t="shared" si="274"/>
        <v>2026</v>
      </c>
    </row>
    <row r="499" spans="2:46" ht="15.75" x14ac:dyDescent="0.25">
      <c r="B499" s="229" t="s">
        <v>766</v>
      </c>
      <c r="C499" s="235" t="s">
        <v>206</v>
      </c>
      <c r="D499" s="243">
        <v>300</v>
      </c>
      <c r="E499" s="232" t="s">
        <v>6</v>
      </c>
      <c r="F499" s="233">
        <v>11.54</v>
      </c>
      <c r="G499" s="234">
        <v>46161</v>
      </c>
      <c r="H499" s="235" t="s">
        <v>18</v>
      </c>
      <c r="I499" s="235"/>
      <c r="J499" s="236">
        <v>0.15</v>
      </c>
      <c r="K499" s="237">
        <f ca="1">ROUND(IF(ISERROR(OFFSET(Tabella!$A$1,MATCH(H499,Tabella!$A:$A,0)-1,MATCH(J499,Tabella!$A$1:$AC$1,0)-1)=TRUE),0,+OFFSET(Tabella!$A$1,MATCH(H499,Tabella!$A:$A,0)-1,MATCH(J499,Tabella!$A$1:$AC$1,0)-1)),4)</f>
        <v>0</v>
      </c>
      <c r="L499" s="238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238">
        <f ca="1">ROUND(IF(ISERROR(OFFSET(Rame!$A$1,MATCH(H499,Rame!$A:$A,0)-1,MATCH(J499,Rame!$A$1:$AA$1,0)-1)=TRUE),0,OFFSET(Rame!$A$1,MATCH(H499,Rame!$A:$A,0)-1,MATCH(J499,Rame!$A$1:$AA$1,0)-1))*IF(E499="Rame",1,0),4)</f>
        <v>0.82</v>
      </c>
      <c r="N499" s="238">
        <v>0</v>
      </c>
      <c r="O499" s="238">
        <v>3.55</v>
      </c>
      <c r="P499" s="238">
        <f ca="1">ROUND(+IF(ISERROR(OFFSET(Tabella!$G$1,MATCH(H499,Tabella!$G:$G,0)-1,MATCH(I499,Tabella!$G$1:$FG$1,0)-1)=TRUE),0,OFFSET(Tabella!$G$1,MATCH(H499,Tabella!$G:$G,0)-1,MATCH(I499,Tabella!$G$1:$AB$1,0)-1)),4)</f>
        <v>0</v>
      </c>
      <c r="Q499" s="238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238">
        <f ca="1">ROUND(IF(ISERROR(OFFSET(Rame!$F$1,MATCH(H499,Rame!$F:$F,0)-1,MATCH(I499,Rame!$F$1:$FF$1,0)-1)=TRUE),0,OFFSET(Rame!$F$1,MATCH(H499,Rame!$F:$F,0)-1,MATCH(I499,Rame!$F$1:$FF$1,0)-1))*IF(E499="Rame",1,0),4)</f>
        <v>0</v>
      </c>
      <c r="S499" s="238">
        <f ca="1">ROUND(IF(ISERROR(OFFSET(Bronzo!$A$1,MATCH(H499,Bronzo!$A:$A,0)-1,MATCH(I499,Bronzo!$A$1:$AA$1,0)-1)=TRUE),0,OFFSET(Bronzo!$A$1,MATCH(H499,Bronzo!$A:$A,0)-1,MATCH(I499,Bronzo!$A$1:$AA$1,0)-1)),4)</f>
        <v>0</v>
      </c>
      <c r="T499" s="238">
        <f t="shared" ca="1" si="282"/>
        <v>0</v>
      </c>
      <c r="U499" s="237"/>
      <c r="V499" s="238">
        <v>0</v>
      </c>
      <c r="W499" s="239">
        <f t="shared" ca="1" si="283"/>
        <v>3.55</v>
      </c>
      <c r="X499" s="240">
        <f t="shared" si="276"/>
        <v>45</v>
      </c>
      <c r="Y499" s="236">
        <v>15.7</v>
      </c>
      <c r="Z499" s="236">
        <f t="shared" ca="1" si="284"/>
        <v>0.61</v>
      </c>
      <c r="AA499" s="241">
        <v>46195</v>
      </c>
      <c r="AF499" s="225">
        <f t="shared" ca="1" si="275"/>
        <v>46236</v>
      </c>
      <c r="AG499" s="225" t="b">
        <f t="shared" si="281"/>
        <v>0</v>
      </c>
      <c r="AH499" s="242"/>
      <c r="AS499" s="223">
        <f t="shared" si="273"/>
        <v>6</v>
      </c>
      <c r="AT499" s="223">
        <f t="shared" si="274"/>
        <v>2026</v>
      </c>
    </row>
    <row r="500" spans="2:46" ht="15.75" x14ac:dyDescent="0.25">
      <c r="B500" s="229" t="s">
        <v>766</v>
      </c>
      <c r="C500" s="235" t="s">
        <v>206</v>
      </c>
      <c r="D500" s="243">
        <v>300</v>
      </c>
      <c r="E500" s="232" t="s">
        <v>6</v>
      </c>
      <c r="F500" s="233">
        <v>11.54</v>
      </c>
      <c r="G500" s="234">
        <v>46161</v>
      </c>
      <c r="H500" s="235" t="s">
        <v>18</v>
      </c>
      <c r="I500" s="235"/>
      <c r="J500" s="236">
        <v>0.15</v>
      </c>
      <c r="K500" s="237">
        <f ca="1">ROUND(IF(ISERROR(OFFSET(Tabella!$A$1,MATCH(H500,Tabella!$A:$A,0)-1,MATCH(J500,Tabella!$A$1:$AC$1,0)-1)=TRUE),0,+OFFSET(Tabella!$A$1,MATCH(H500,Tabella!$A:$A,0)-1,MATCH(J500,Tabella!$A$1:$AC$1,0)-1)),4)</f>
        <v>0</v>
      </c>
      <c r="L500" s="238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238">
        <f ca="1">ROUND(IF(ISERROR(OFFSET(Rame!$A$1,MATCH(H500,Rame!$A:$A,0)-1,MATCH(J500,Rame!$A$1:$AA$1,0)-1)=TRUE),0,OFFSET(Rame!$A$1,MATCH(H500,Rame!$A:$A,0)-1,MATCH(J500,Rame!$A$1:$AA$1,0)-1))*IF(E500="Rame",1,0),4)</f>
        <v>0.82</v>
      </c>
      <c r="N500" s="238">
        <v>0</v>
      </c>
      <c r="O500" s="238">
        <v>3.55</v>
      </c>
      <c r="P500" s="238">
        <f ca="1">ROUND(+IF(ISERROR(OFFSET(Tabella!$G$1,MATCH(H500,Tabella!$G:$G,0)-1,MATCH(I500,Tabella!$G$1:$FG$1,0)-1)=TRUE),0,OFFSET(Tabella!$G$1,MATCH(H500,Tabella!$G:$G,0)-1,MATCH(I500,Tabella!$G$1:$AB$1,0)-1)),4)</f>
        <v>0</v>
      </c>
      <c r="Q500" s="238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238">
        <f ca="1">ROUND(IF(ISERROR(OFFSET(Rame!$F$1,MATCH(H500,Rame!$F:$F,0)-1,MATCH(I500,Rame!$F$1:$FF$1,0)-1)=TRUE),0,OFFSET(Rame!$F$1,MATCH(H500,Rame!$F:$F,0)-1,MATCH(I500,Rame!$F$1:$FF$1,0)-1))*IF(E500="Rame",1,0),4)</f>
        <v>0</v>
      </c>
      <c r="S500" s="238">
        <f ca="1">ROUND(IF(ISERROR(OFFSET(Bronzo!$A$1,MATCH(H500,Bronzo!$A:$A,0)-1,MATCH(I500,Bronzo!$A$1:$AA$1,0)-1)=TRUE),0,OFFSET(Bronzo!$A$1,MATCH(H500,Bronzo!$A:$A,0)-1,MATCH(I500,Bronzo!$A$1:$AA$1,0)-1)),4)</f>
        <v>0</v>
      </c>
      <c r="T500" s="238">
        <f t="shared" ca="1" si="282"/>
        <v>0</v>
      </c>
      <c r="U500" s="237"/>
      <c r="V500" s="238">
        <v>0</v>
      </c>
      <c r="W500" s="239">
        <f t="shared" ca="1" si="283"/>
        <v>3.55</v>
      </c>
      <c r="X500" s="240">
        <f t="shared" si="276"/>
        <v>45</v>
      </c>
      <c r="Y500" s="236">
        <v>15.7</v>
      </c>
      <c r="Z500" s="236">
        <f t="shared" ca="1" si="284"/>
        <v>0.61</v>
      </c>
      <c r="AA500" s="241">
        <v>46195</v>
      </c>
      <c r="AF500" s="225">
        <f t="shared" ca="1" si="275"/>
        <v>46236</v>
      </c>
      <c r="AG500" s="225" t="b">
        <f t="shared" si="281"/>
        <v>0</v>
      </c>
      <c r="AH500" s="242"/>
      <c r="AS500" s="223">
        <f t="shared" si="273"/>
        <v>6</v>
      </c>
      <c r="AT500" s="223">
        <f t="shared" si="274"/>
        <v>2026</v>
      </c>
    </row>
    <row r="501" spans="2:46" ht="15.75" x14ac:dyDescent="0.25">
      <c r="B501" s="229" t="s">
        <v>766</v>
      </c>
      <c r="C501" s="235" t="s">
        <v>206</v>
      </c>
      <c r="D501" s="243">
        <v>300</v>
      </c>
      <c r="E501" s="232" t="s">
        <v>6</v>
      </c>
      <c r="F501" s="233">
        <v>11.54</v>
      </c>
      <c r="G501" s="234">
        <v>46161</v>
      </c>
      <c r="H501" s="235" t="s">
        <v>18</v>
      </c>
      <c r="I501" s="235"/>
      <c r="J501" s="236">
        <v>0.15</v>
      </c>
      <c r="K501" s="237">
        <f ca="1">ROUND(IF(ISERROR(OFFSET(Tabella!$A$1,MATCH(H501,Tabella!$A:$A,0)-1,MATCH(J501,Tabella!$A$1:$AC$1,0)-1)=TRUE),0,+OFFSET(Tabella!$A$1,MATCH(H501,Tabella!$A:$A,0)-1,MATCH(J501,Tabella!$A$1:$AC$1,0)-1)),4)</f>
        <v>0</v>
      </c>
      <c r="L501" s="238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238">
        <f ca="1">ROUND(IF(ISERROR(OFFSET(Rame!$A$1,MATCH(H501,Rame!$A:$A,0)-1,MATCH(J501,Rame!$A$1:$AA$1,0)-1)=TRUE),0,OFFSET(Rame!$A$1,MATCH(H501,Rame!$A:$A,0)-1,MATCH(J501,Rame!$A$1:$AA$1,0)-1))*IF(E501="Rame",1,0),4)</f>
        <v>0.82</v>
      </c>
      <c r="N501" s="238">
        <v>0</v>
      </c>
      <c r="O501" s="238">
        <v>3.55</v>
      </c>
      <c r="P501" s="238">
        <f ca="1">ROUND(+IF(ISERROR(OFFSET(Tabella!$G$1,MATCH(H501,Tabella!$G:$G,0)-1,MATCH(I501,Tabella!$G$1:$FG$1,0)-1)=TRUE),0,OFFSET(Tabella!$G$1,MATCH(H501,Tabella!$G:$G,0)-1,MATCH(I501,Tabella!$G$1:$AB$1,0)-1)),4)</f>
        <v>0</v>
      </c>
      <c r="Q501" s="238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238">
        <f ca="1">ROUND(IF(ISERROR(OFFSET(Rame!$F$1,MATCH(H501,Rame!$F:$F,0)-1,MATCH(I501,Rame!$F$1:$FF$1,0)-1)=TRUE),0,OFFSET(Rame!$F$1,MATCH(H501,Rame!$F:$F,0)-1,MATCH(I501,Rame!$F$1:$FF$1,0)-1))*IF(E501="Rame",1,0),4)</f>
        <v>0</v>
      </c>
      <c r="S501" s="238">
        <f ca="1">ROUND(IF(ISERROR(OFFSET(Bronzo!$A$1,MATCH(H501,Bronzo!$A:$A,0)-1,MATCH(I501,Bronzo!$A$1:$AA$1,0)-1)=TRUE),0,OFFSET(Bronzo!$A$1,MATCH(H501,Bronzo!$A:$A,0)-1,MATCH(I501,Bronzo!$A$1:$AA$1,0)-1)),4)</f>
        <v>0</v>
      </c>
      <c r="T501" s="238">
        <f t="shared" ca="1" si="282"/>
        <v>0</v>
      </c>
      <c r="U501" s="237"/>
      <c r="V501" s="238">
        <v>0</v>
      </c>
      <c r="W501" s="239">
        <f t="shared" ca="1" si="283"/>
        <v>3.55</v>
      </c>
      <c r="X501" s="240">
        <f t="shared" si="276"/>
        <v>45</v>
      </c>
      <c r="Y501" s="236">
        <v>15.7</v>
      </c>
      <c r="Z501" s="236">
        <f t="shared" ca="1" si="284"/>
        <v>0.61</v>
      </c>
      <c r="AA501" s="241">
        <v>46195</v>
      </c>
      <c r="AF501" s="225">
        <f t="shared" ca="1" si="275"/>
        <v>46236</v>
      </c>
      <c r="AG501" s="225" t="b">
        <f t="shared" si="281"/>
        <v>0</v>
      </c>
      <c r="AH501" s="242"/>
      <c r="AS501" s="223">
        <f t="shared" si="273"/>
        <v>6</v>
      </c>
      <c r="AT501" s="223">
        <f t="shared" si="274"/>
        <v>2026</v>
      </c>
    </row>
    <row r="502" spans="2:46" ht="15.75" x14ac:dyDescent="0.25">
      <c r="B502" s="229" t="s">
        <v>768</v>
      </c>
      <c r="C502" s="235" t="s">
        <v>441</v>
      </c>
      <c r="D502" s="243">
        <v>600</v>
      </c>
      <c r="E502" s="232" t="s">
        <v>6</v>
      </c>
      <c r="F502" s="233">
        <v>11.54</v>
      </c>
      <c r="G502" s="234">
        <v>46161</v>
      </c>
      <c r="H502" s="235" t="s">
        <v>16</v>
      </c>
      <c r="I502" s="235"/>
      <c r="J502" s="236">
        <v>0.15</v>
      </c>
      <c r="K502" s="237">
        <f ca="1">ROUND(IF(ISERROR(OFFSET(Tabella!$A$1,MATCH(H502,Tabella!$A:$A,0)-1,MATCH(J502,Tabella!$A$1:$AC$1,0)-1)=TRUE),0,+OFFSET(Tabella!$A$1,MATCH(H502,Tabella!$A:$A,0)-1,MATCH(J502,Tabella!$A$1:$AC$1,0)-1)),4)</f>
        <v>0</v>
      </c>
      <c r="L502" s="238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238">
        <f ca="1">ROUND(IF(ISERROR(OFFSET(Rame!$A$1,MATCH(H502,Rame!$A:$A,0)-1,MATCH(J502,Rame!$A$1:$AA$1,0)-1)=TRUE),0,OFFSET(Rame!$A$1,MATCH(H502,Rame!$A:$A,0)-1,MATCH(J502,Rame!$A$1:$AA$1,0)-1))*IF(E502="Rame",1,0),4)</f>
        <v>0.85</v>
      </c>
      <c r="N502" s="238">
        <v>0</v>
      </c>
      <c r="O502" s="238">
        <v>3.55</v>
      </c>
      <c r="P502" s="238">
        <f ca="1">ROUND(+IF(ISERROR(OFFSET(Tabella!$G$1,MATCH(H502,Tabella!$G:$G,0)-1,MATCH(I502,Tabella!$G$1:$FG$1,0)-1)=TRUE),0,OFFSET(Tabella!$G$1,MATCH(H502,Tabella!$G:$G,0)-1,MATCH(I502,Tabella!$G$1:$AB$1,0)-1)),4)</f>
        <v>0</v>
      </c>
      <c r="Q502" s="238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238">
        <f ca="1">ROUND(IF(ISERROR(OFFSET(Rame!$F$1,MATCH(H502,Rame!$F:$F,0)-1,MATCH(I502,Rame!$F$1:$FF$1,0)-1)=TRUE),0,OFFSET(Rame!$F$1,MATCH(H502,Rame!$F:$F,0)-1,MATCH(I502,Rame!$F$1:$FF$1,0)-1))*IF(E502="Rame",1,0),4)</f>
        <v>0</v>
      </c>
      <c r="S502" s="238">
        <f ca="1">ROUND(IF(ISERROR(OFFSET(Bronzo!$A$1,MATCH(H502,Bronzo!$A:$A,0)-1,MATCH(I502,Bronzo!$A$1:$AA$1,0)-1)=TRUE),0,OFFSET(Bronzo!$A$1,MATCH(H502,Bronzo!$A:$A,0)-1,MATCH(I502,Bronzo!$A$1:$AA$1,0)-1)),4)</f>
        <v>0</v>
      </c>
      <c r="T502" s="238">
        <f t="shared" ca="1" si="282"/>
        <v>0</v>
      </c>
      <c r="U502" s="237"/>
      <c r="V502" s="238">
        <v>0</v>
      </c>
      <c r="W502" s="239">
        <f t="shared" ca="1" si="283"/>
        <v>3.55</v>
      </c>
      <c r="X502" s="240">
        <f t="shared" si="276"/>
        <v>90</v>
      </c>
      <c r="Y502" s="236">
        <v>15.15</v>
      </c>
      <c r="Z502" s="236">
        <f t="shared" ca="1" si="284"/>
        <v>0.06</v>
      </c>
      <c r="AA502" s="241">
        <v>46184</v>
      </c>
      <c r="AF502" s="225">
        <f t="shared" ca="1" si="275"/>
        <v>46236</v>
      </c>
      <c r="AG502" s="225" t="b">
        <f t="shared" si="281"/>
        <v>0</v>
      </c>
      <c r="AH502" s="242"/>
      <c r="AS502" s="223">
        <f t="shared" si="273"/>
        <v>6</v>
      </c>
      <c r="AT502" s="223">
        <f t="shared" si="274"/>
        <v>2026</v>
      </c>
    </row>
    <row r="503" spans="2:46" ht="15.75" x14ac:dyDescent="0.25">
      <c r="B503" s="229"/>
      <c r="C503" s="235" t="s">
        <v>719</v>
      </c>
      <c r="D503" s="243">
        <v>2500</v>
      </c>
      <c r="E503" s="232" t="s">
        <v>6</v>
      </c>
      <c r="F503" s="233">
        <v>11.54</v>
      </c>
      <c r="G503" s="234">
        <v>46161</v>
      </c>
      <c r="H503" s="235" t="s">
        <v>16</v>
      </c>
      <c r="I503" s="235"/>
      <c r="J503" s="236">
        <v>0.1</v>
      </c>
      <c r="K503" s="237">
        <f ca="1">ROUND(IF(ISERROR(OFFSET(Tabella!$A$1,MATCH(H503,Tabella!$A:$A,0)-1,MATCH(J503,Tabella!$A$1:$AC$1,0)-1)=TRUE),0,+OFFSET(Tabella!$A$1,MATCH(H503,Tabella!$A:$A,0)-1,MATCH(J503,Tabella!$A$1:$AC$1,0)-1)),4)</f>
        <v>0</v>
      </c>
      <c r="L503" s="238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238">
        <f ca="1">ROUND(IF(ISERROR(OFFSET(Rame!$A$1,MATCH(H503,Rame!$A:$A,0)-1,MATCH(J503,Rame!$A$1:$AA$1,0)-1)=TRUE),0,OFFSET(Rame!$A$1,MATCH(H503,Rame!$A:$A,0)-1,MATCH(J503,Rame!$A$1:$AA$1,0)-1))*IF(E503="Rame",1,0),4)</f>
        <v>0.82</v>
      </c>
      <c r="N503" s="238">
        <v>0</v>
      </c>
      <c r="O503" s="238">
        <v>3.55</v>
      </c>
      <c r="P503" s="238">
        <f ca="1">ROUND(+IF(ISERROR(OFFSET(Tabella!$G$1,MATCH(H503,Tabella!$G:$G,0)-1,MATCH(I503,Tabella!$G$1:$FG$1,0)-1)=TRUE),0,OFFSET(Tabella!$G$1,MATCH(H503,Tabella!$G:$G,0)-1,MATCH(I503,Tabella!$G$1:$AB$1,0)-1)),4)</f>
        <v>0</v>
      </c>
      <c r="Q503" s="238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238">
        <f ca="1">ROUND(IF(ISERROR(OFFSET(Rame!$F$1,MATCH(H503,Rame!$F:$F,0)-1,MATCH(I503,Rame!$F$1:$FF$1,0)-1)=TRUE),0,OFFSET(Rame!$F$1,MATCH(H503,Rame!$F:$F,0)-1,MATCH(I503,Rame!$F$1:$FF$1,0)-1))*IF(E503="Rame",1,0),4)</f>
        <v>0</v>
      </c>
      <c r="S503" s="238">
        <f ca="1">ROUND(IF(ISERROR(OFFSET(Bronzo!$A$1,MATCH(H503,Bronzo!$A:$A,0)-1,MATCH(I503,Bronzo!$A$1:$AA$1,0)-1)=TRUE),0,OFFSET(Bronzo!$A$1,MATCH(H503,Bronzo!$A:$A,0)-1,MATCH(I503,Bronzo!$A$1:$AA$1,0)-1)),4)</f>
        <v>0</v>
      </c>
      <c r="T503" s="238">
        <f t="shared" ca="1" si="282"/>
        <v>0</v>
      </c>
      <c r="U503" s="237"/>
      <c r="V503" s="238">
        <v>0</v>
      </c>
      <c r="W503" s="239">
        <f t="shared" ca="1" si="283"/>
        <v>3.55</v>
      </c>
      <c r="X503" s="240">
        <f t="shared" si="276"/>
        <v>250</v>
      </c>
      <c r="Y503" s="236">
        <v>15</v>
      </c>
      <c r="Z503" s="236">
        <f t="shared" ca="1" si="284"/>
        <v>-0.09</v>
      </c>
      <c r="AA503" s="241"/>
      <c r="AF503" s="225">
        <f t="shared" ca="1" si="275"/>
        <v>46236</v>
      </c>
      <c r="AG503" s="225" t="b">
        <f t="shared" si="281"/>
        <v>1</v>
      </c>
      <c r="AH503" s="242"/>
      <c r="AS503" s="223">
        <f t="shared" si="273"/>
        <v>0</v>
      </c>
      <c r="AT503" s="223">
        <f t="shared" si="274"/>
        <v>0</v>
      </c>
    </row>
    <row r="504" spans="2:46" ht="15.75" x14ac:dyDescent="0.25">
      <c r="B504" s="229" t="s">
        <v>734</v>
      </c>
      <c r="C504" s="235" t="s">
        <v>396</v>
      </c>
      <c r="D504" s="243">
        <v>500</v>
      </c>
      <c r="E504" s="232" t="s">
        <v>4</v>
      </c>
      <c r="F504" s="233">
        <v>3.09</v>
      </c>
      <c r="G504" s="234">
        <v>46161</v>
      </c>
      <c r="H504" s="235" t="s">
        <v>9</v>
      </c>
      <c r="I504" s="235"/>
      <c r="J504" s="236">
        <v>7.0000000000000007E-2</v>
      </c>
      <c r="K504" s="237">
        <f ca="1">ROUND(IF(ISERROR(OFFSET(Tabella!$A$1,MATCH(H504,Tabella!$A:$A,0)-1,MATCH(J504,Tabella!$A$1:$AC$1,0)-1)=TRUE),0,+OFFSET(Tabella!$A$1,MATCH(H504,Tabella!$A:$A,0)-1,MATCH(J504,Tabella!$A$1:$AC$1,0)-1)),4)</f>
        <v>1.6</v>
      </c>
      <c r="L504" s="238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238">
        <f ca="1">ROUND(IF(ISERROR(OFFSET(Rame!$A$1,MATCH(H504,Rame!$A:$A,0)-1,MATCH(J504,Rame!$A$1:$AA$1,0)-1)=TRUE),0,OFFSET(Rame!$A$1,MATCH(H504,Rame!$A:$A,0)-1,MATCH(J504,Rame!$A$1:$AA$1,0)-1))*IF(E504="Rame",1,0),4)</f>
        <v>0</v>
      </c>
      <c r="N504" s="238">
        <v>0</v>
      </c>
      <c r="O504" s="238">
        <v>2.2000000000000002</v>
      </c>
      <c r="P504" s="238">
        <f ca="1">ROUND(+IF(ISERROR(OFFSET(Tabella!$G$1,MATCH(H504,Tabella!$G:$G,0)-1,MATCH(I504,Tabella!$G$1:$FG$1,0)-1)=TRUE),0,OFFSET(Tabella!$G$1,MATCH(H504,Tabella!$G:$G,0)-1,MATCH(I504,Tabella!$G$1:$AB$1,0)-1)),4)</f>
        <v>0</v>
      </c>
      <c r="Q504" s="238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238">
        <f ca="1">ROUND(IF(ISERROR(OFFSET(Rame!$F$1,MATCH(H504,Rame!$F:$F,0)-1,MATCH(I504,Rame!$F$1:$FF$1,0)-1)=TRUE),0,OFFSET(Rame!$F$1,MATCH(H504,Rame!$F:$F,0)-1,MATCH(I504,Rame!$F$1:$FF$1,0)-1))*IF(E504="Rame",1,0),4)</f>
        <v>0</v>
      </c>
      <c r="S504" s="238">
        <f ca="1">ROUND(IF(ISERROR(OFFSET(Bronzo!$A$1,MATCH(H504,Bronzo!$A:$A,0)-1,MATCH(I504,Bronzo!$A$1:$AA$1,0)-1)=TRUE),0,OFFSET(Bronzo!$A$1,MATCH(H504,Bronzo!$A:$A,0)-1,MATCH(I504,Bronzo!$A$1:$AA$1,0)-1)),4)</f>
        <v>0</v>
      </c>
      <c r="T504" s="238">
        <f t="shared" ca="1" si="282"/>
        <v>0</v>
      </c>
      <c r="U504" s="237"/>
      <c r="V504" s="238">
        <v>0</v>
      </c>
      <c r="W504" s="239">
        <f t="shared" ca="1" si="283"/>
        <v>2.2000000000000002</v>
      </c>
      <c r="X504" s="240">
        <f t="shared" si="276"/>
        <v>35</v>
      </c>
      <c r="Y504" s="236">
        <v>5.51</v>
      </c>
      <c r="Z504" s="236">
        <f t="shared" ca="1" si="284"/>
        <v>0.22</v>
      </c>
      <c r="AA504" s="241">
        <v>46199</v>
      </c>
      <c r="AF504" s="225">
        <f t="shared" ca="1" si="275"/>
        <v>46236</v>
      </c>
      <c r="AG504" s="225" t="b">
        <f t="shared" si="281"/>
        <v>0</v>
      </c>
      <c r="AH504" s="242"/>
      <c r="AS504" s="223">
        <f t="shared" si="273"/>
        <v>6</v>
      </c>
      <c r="AT504" s="223">
        <f t="shared" si="274"/>
        <v>2026</v>
      </c>
    </row>
    <row r="505" spans="2:46" ht="15.75" x14ac:dyDescent="0.25">
      <c r="B505" s="229" t="s">
        <v>734</v>
      </c>
      <c r="C505" s="235" t="s">
        <v>396</v>
      </c>
      <c r="D505" s="243">
        <v>400</v>
      </c>
      <c r="E505" s="232" t="s">
        <v>4</v>
      </c>
      <c r="F505" s="233">
        <v>3.09</v>
      </c>
      <c r="G505" s="234">
        <v>46161</v>
      </c>
      <c r="H505" s="235" t="s">
        <v>23</v>
      </c>
      <c r="I505" s="235"/>
      <c r="J505" s="236">
        <v>7.0000000000000007E-2</v>
      </c>
      <c r="K505" s="237">
        <f ca="1">ROUND(IF(ISERROR(OFFSET(Tabella!$A$1,MATCH(H505,Tabella!$A:$A,0)-1,MATCH(J505,Tabella!$A$1:$AC$1,0)-1)=TRUE),0,+OFFSET(Tabella!$A$1,MATCH(H505,Tabella!$A:$A,0)-1,MATCH(J505,Tabella!$A$1:$AC$1,0)-1)),4)</f>
        <v>1.25</v>
      </c>
      <c r="L505" s="238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238">
        <f ca="1">ROUND(IF(ISERROR(OFFSET(Rame!$A$1,MATCH(H505,Rame!$A:$A,0)-1,MATCH(J505,Rame!$A$1:$AA$1,0)-1)=TRUE),0,OFFSET(Rame!$A$1,MATCH(H505,Rame!$A:$A,0)-1,MATCH(J505,Rame!$A$1:$AA$1,0)-1))*IF(E505="Rame",1,0),4)</f>
        <v>0</v>
      </c>
      <c r="N505" s="238">
        <v>0</v>
      </c>
      <c r="O505" s="238">
        <v>1.9</v>
      </c>
      <c r="P505" s="238">
        <f ca="1">ROUND(+IF(ISERROR(OFFSET(Tabella!$G$1,MATCH(H505,Tabella!$G:$G,0)-1,MATCH(I505,Tabella!$G$1:$FG$1,0)-1)=TRUE),0,OFFSET(Tabella!$G$1,MATCH(H505,Tabella!$G:$G,0)-1,MATCH(I505,Tabella!$G$1:$AB$1,0)-1)),4)</f>
        <v>0</v>
      </c>
      <c r="Q505" s="238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238">
        <f ca="1">ROUND(IF(ISERROR(OFFSET(Rame!$F$1,MATCH(H505,Rame!$F:$F,0)-1,MATCH(I505,Rame!$F$1:$FF$1,0)-1)=TRUE),0,OFFSET(Rame!$F$1,MATCH(H505,Rame!$F:$F,0)-1,MATCH(I505,Rame!$F$1:$FF$1,0)-1))*IF(E505="Rame",1,0),4)</f>
        <v>0</v>
      </c>
      <c r="S505" s="238">
        <f ca="1">ROUND(IF(ISERROR(OFFSET(Bronzo!$A$1,MATCH(H505,Bronzo!$A:$A,0)-1,MATCH(I505,Bronzo!$A$1:$AA$1,0)-1)=TRUE),0,OFFSET(Bronzo!$A$1,MATCH(H505,Bronzo!$A:$A,0)-1,MATCH(I505,Bronzo!$A$1:$AA$1,0)-1)),4)</f>
        <v>0</v>
      </c>
      <c r="T505" s="238">
        <f t="shared" ca="1" si="282"/>
        <v>0</v>
      </c>
      <c r="U505" s="237"/>
      <c r="V505" s="238">
        <v>0</v>
      </c>
      <c r="W505" s="239">
        <f t="shared" ca="1" si="283"/>
        <v>1.9</v>
      </c>
      <c r="X505" s="240">
        <f t="shared" si="276"/>
        <v>28</v>
      </c>
      <c r="Y505" s="236">
        <v>5.21</v>
      </c>
      <c r="Z505" s="236">
        <f t="shared" ca="1" si="284"/>
        <v>0.22</v>
      </c>
      <c r="AA505" s="241">
        <v>46199</v>
      </c>
      <c r="AF505" s="225">
        <f t="shared" ca="1" si="275"/>
        <v>46236</v>
      </c>
      <c r="AG505" s="225" t="b">
        <f t="shared" si="281"/>
        <v>0</v>
      </c>
      <c r="AH505" s="242"/>
      <c r="AS505" s="223">
        <f t="shared" si="273"/>
        <v>6</v>
      </c>
      <c r="AT505" s="223">
        <f t="shared" si="274"/>
        <v>2026</v>
      </c>
    </row>
    <row r="506" spans="2:46" ht="15.75" x14ac:dyDescent="0.25">
      <c r="B506" s="229" t="s">
        <v>734</v>
      </c>
      <c r="C506" s="235" t="s">
        <v>396</v>
      </c>
      <c r="D506" s="243">
        <v>600</v>
      </c>
      <c r="E506" s="232" t="s">
        <v>4</v>
      </c>
      <c r="F506" s="233">
        <v>3.09</v>
      </c>
      <c r="G506" s="234">
        <v>46161</v>
      </c>
      <c r="H506" s="235" t="s">
        <v>22</v>
      </c>
      <c r="I506" s="235"/>
      <c r="J506" s="236">
        <v>7.0000000000000007E-2</v>
      </c>
      <c r="K506" s="237">
        <f ca="1">ROUND(IF(ISERROR(OFFSET(Tabella!$A$1,MATCH(H506,Tabella!$A:$A,0)-1,MATCH(J506,Tabella!$A$1:$AC$1,0)-1)=TRUE),0,+OFFSET(Tabella!$A$1,MATCH(H506,Tabella!$A:$A,0)-1,MATCH(J506,Tabella!$A$1:$AC$1,0)-1)),4)</f>
        <v>1.25</v>
      </c>
      <c r="L506" s="238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238">
        <f ca="1">ROUND(IF(ISERROR(OFFSET(Rame!$A$1,MATCH(H506,Rame!$A:$A,0)-1,MATCH(J506,Rame!$A$1:$AA$1,0)-1)=TRUE),0,OFFSET(Rame!$A$1,MATCH(H506,Rame!$A:$A,0)-1,MATCH(J506,Rame!$A$1:$AA$1,0)-1))*IF(E506="Rame",1,0),4)</f>
        <v>0</v>
      </c>
      <c r="N506" s="238">
        <v>0</v>
      </c>
      <c r="O506" s="238">
        <v>1.9</v>
      </c>
      <c r="P506" s="238">
        <f ca="1">ROUND(+IF(ISERROR(OFFSET(Tabella!$G$1,MATCH(H506,Tabella!$G:$G,0)-1,MATCH(I506,Tabella!$G$1:$FG$1,0)-1)=TRUE),0,OFFSET(Tabella!$G$1,MATCH(H506,Tabella!$G:$G,0)-1,MATCH(I506,Tabella!$G$1:$AB$1,0)-1)),4)</f>
        <v>0</v>
      </c>
      <c r="Q506" s="238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238">
        <f ca="1">ROUND(IF(ISERROR(OFFSET(Rame!$F$1,MATCH(H506,Rame!$F:$F,0)-1,MATCH(I506,Rame!$F$1:$FF$1,0)-1)=TRUE),0,OFFSET(Rame!$F$1,MATCH(H506,Rame!$F:$F,0)-1,MATCH(I506,Rame!$F$1:$FF$1,0)-1))*IF(E506="Rame",1,0),4)</f>
        <v>0</v>
      </c>
      <c r="S506" s="238">
        <f ca="1">ROUND(IF(ISERROR(OFFSET(Bronzo!$A$1,MATCH(H506,Bronzo!$A:$A,0)-1,MATCH(I506,Bronzo!$A$1:$AA$1,0)-1)=TRUE),0,OFFSET(Bronzo!$A$1,MATCH(H506,Bronzo!$A:$A,0)-1,MATCH(I506,Bronzo!$A$1:$AA$1,0)-1)),4)</f>
        <v>0</v>
      </c>
      <c r="T506" s="238">
        <f t="shared" ca="1" si="282"/>
        <v>0</v>
      </c>
      <c r="U506" s="237"/>
      <c r="V506" s="238">
        <v>0</v>
      </c>
      <c r="W506" s="239">
        <f t="shared" ca="1" si="283"/>
        <v>1.9</v>
      </c>
      <c r="X506" s="240">
        <f t="shared" si="276"/>
        <v>42</v>
      </c>
      <c r="Y506" s="236">
        <v>5.21</v>
      </c>
      <c r="Z506" s="236">
        <f t="shared" ca="1" si="284"/>
        <v>0.22</v>
      </c>
      <c r="AA506" s="241">
        <v>46199</v>
      </c>
      <c r="AF506" s="225">
        <f t="shared" ca="1" si="275"/>
        <v>46236</v>
      </c>
      <c r="AG506" s="225" t="b">
        <f t="shared" si="281"/>
        <v>0</v>
      </c>
      <c r="AH506" s="242"/>
      <c r="AS506" s="223">
        <f t="shared" ref="AS506:AS569" si="285">IF(AA506="",0,MONTH(AA506))</f>
        <v>6</v>
      </c>
      <c r="AT506" s="223">
        <f t="shared" ref="AT506:AT569" si="286">IF(AA506="",0,YEAR(AA506))</f>
        <v>2026</v>
      </c>
    </row>
    <row r="507" spans="2:46" ht="15.75" x14ac:dyDescent="0.25">
      <c r="B507" s="229" t="s">
        <v>734</v>
      </c>
      <c r="C507" s="235" t="s">
        <v>396</v>
      </c>
      <c r="D507" s="243">
        <v>400</v>
      </c>
      <c r="E507" s="232" t="s">
        <v>4</v>
      </c>
      <c r="F507" s="233">
        <v>3.09</v>
      </c>
      <c r="G507" s="234">
        <v>46161</v>
      </c>
      <c r="H507" s="235" t="s">
        <v>11</v>
      </c>
      <c r="I507" s="235"/>
      <c r="J507" s="236">
        <v>7.0000000000000007E-2</v>
      </c>
      <c r="K507" s="237">
        <f ca="1">ROUND(IF(ISERROR(OFFSET(Tabella!$A$1,MATCH(H507,Tabella!$A:$A,0)-1,MATCH(J507,Tabella!$A$1:$AC$1,0)-1)=TRUE),0,+OFFSET(Tabella!$A$1,MATCH(H507,Tabella!$A:$A,0)-1,MATCH(J507,Tabella!$A$1:$AC$1,0)-1)),4)</f>
        <v>1.5</v>
      </c>
      <c r="L507" s="238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238">
        <f ca="1">ROUND(IF(ISERROR(OFFSET(Rame!$A$1,MATCH(H507,Rame!$A:$A,0)-1,MATCH(J507,Rame!$A$1:$AA$1,0)-1)=TRUE),0,OFFSET(Rame!$A$1,MATCH(H507,Rame!$A:$A,0)-1,MATCH(J507,Rame!$A$1:$AA$1,0)-1))*IF(E507="Rame",1,0),4)</f>
        <v>0</v>
      </c>
      <c r="N507" s="238">
        <v>0</v>
      </c>
      <c r="O507" s="238">
        <v>2.0499999999999998</v>
      </c>
      <c r="P507" s="238">
        <f ca="1">ROUND(+IF(ISERROR(OFFSET(Tabella!$G$1,MATCH(H507,Tabella!$G:$G,0)-1,MATCH(I507,Tabella!$G$1:$FG$1,0)-1)=TRUE),0,OFFSET(Tabella!$G$1,MATCH(H507,Tabella!$G:$G,0)-1,MATCH(I507,Tabella!$G$1:$AB$1,0)-1)),4)</f>
        <v>0</v>
      </c>
      <c r="Q507" s="238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238">
        <f ca="1">ROUND(IF(ISERROR(OFFSET(Rame!$F$1,MATCH(H507,Rame!$F:$F,0)-1,MATCH(I507,Rame!$F$1:$FF$1,0)-1)=TRUE),0,OFFSET(Rame!$F$1,MATCH(H507,Rame!$F:$F,0)-1,MATCH(I507,Rame!$F$1:$FF$1,0)-1))*IF(E507="Rame",1,0),4)</f>
        <v>0</v>
      </c>
      <c r="S507" s="238">
        <f ca="1">ROUND(IF(ISERROR(OFFSET(Bronzo!$A$1,MATCH(H507,Bronzo!$A:$A,0)-1,MATCH(I507,Bronzo!$A$1:$AA$1,0)-1)=TRUE),0,OFFSET(Bronzo!$A$1,MATCH(H507,Bronzo!$A:$A,0)-1,MATCH(I507,Bronzo!$A$1:$AA$1,0)-1)),4)</f>
        <v>0</v>
      </c>
      <c r="T507" s="238">
        <f t="shared" ca="1" si="282"/>
        <v>0</v>
      </c>
      <c r="U507" s="237"/>
      <c r="V507" s="238">
        <v>0</v>
      </c>
      <c r="W507" s="239">
        <f t="shared" ca="1" si="283"/>
        <v>2.0499999999999998</v>
      </c>
      <c r="X507" s="240">
        <f t="shared" si="276"/>
        <v>28</v>
      </c>
      <c r="Y507" s="236">
        <v>5.51</v>
      </c>
      <c r="Z507" s="236">
        <f t="shared" ca="1" si="284"/>
        <v>0.37</v>
      </c>
      <c r="AA507" s="241">
        <v>46199</v>
      </c>
      <c r="AF507" s="225">
        <f t="shared" ca="1" si="275"/>
        <v>46236</v>
      </c>
      <c r="AG507" s="225" t="b">
        <f t="shared" si="281"/>
        <v>0</v>
      </c>
      <c r="AH507" s="242"/>
      <c r="AS507" s="223">
        <f t="shared" si="285"/>
        <v>6</v>
      </c>
      <c r="AT507" s="223">
        <f t="shared" si="286"/>
        <v>2026</v>
      </c>
    </row>
    <row r="508" spans="2:46" ht="15.75" x14ac:dyDescent="0.25">
      <c r="B508" s="229" t="s">
        <v>734</v>
      </c>
      <c r="C508" s="235" t="s">
        <v>396</v>
      </c>
      <c r="D508" s="243">
        <v>400</v>
      </c>
      <c r="E508" s="232" t="s">
        <v>4</v>
      </c>
      <c r="F508" s="233">
        <v>3.09</v>
      </c>
      <c r="G508" s="234">
        <v>46161</v>
      </c>
      <c r="H508" s="235" t="s">
        <v>23</v>
      </c>
      <c r="I508" s="235"/>
      <c r="J508" s="236">
        <v>7.0000000000000007E-2</v>
      </c>
      <c r="K508" s="237">
        <f ca="1">ROUND(IF(ISERROR(OFFSET(Tabella!$A$1,MATCH(H508,Tabella!$A:$A,0)-1,MATCH(J508,Tabella!$A$1:$AC$1,0)-1)=TRUE),0,+OFFSET(Tabella!$A$1,MATCH(H508,Tabella!$A:$A,0)-1,MATCH(J508,Tabella!$A$1:$AC$1,0)-1)),4)</f>
        <v>1.25</v>
      </c>
      <c r="L508" s="238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238">
        <f ca="1">ROUND(IF(ISERROR(OFFSET(Rame!$A$1,MATCH(H508,Rame!$A:$A,0)-1,MATCH(J508,Rame!$A$1:$AA$1,0)-1)=TRUE),0,OFFSET(Rame!$A$1,MATCH(H508,Rame!$A:$A,0)-1,MATCH(J508,Rame!$A$1:$AA$1,0)-1))*IF(E508="Rame",1,0),4)</f>
        <v>0</v>
      </c>
      <c r="N508" s="238">
        <v>0</v>
      </c>
      <c r="O508" s="238">
        <v>1.9</v>
      </c>
      <c r="P508" s="238">
        <f ca="1">ROUND(+IF(ISERROR(OFFSET(Tabella!$G$1,MATCH(H508,Tabella!$G:$G,0)-1,MATCH(I508,Tabella!$G$1:$FG$1,0)-1)=TRUE),0,OFFSET(Tabella!$G$1,MATCH(H508,Tabella!$G:$G,0)-1,MATCH(I508,Tabella!$G$1:$AB$1,0)-1)),4)</f>
        <v>0</v>
      </c>
      <c r="Q508" s="238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238">
        <f ca="1">ROUND(IF(ISERROR(OFFSET(Rame!$F$1,MATCH(H508,Rame!$F:$F,0)-1,MATCH(I508,Rame!$F$1:$FF$1,0)-1)=TRUE),0,OFFSET(Rame!$F$1,MATCH(H508,Rame!$F:$F,0)-1,MATCH(I508,Rame!$F$1:$FF$1,0)-1))*IF(E508="Rame",1,0),4)</f>
        <v>0</v>
      </c>
      <c r="S508" s="238">
        <f ca="1">ROUND(IF(ISERROR(OFFSET(Bronzo!$A$1,MATCH(H508,Bronzo!$A:$A,0)-1,MATCH(I508,Bronzo!$A$1:$AA$1,0)-1)=TRUE),0,OFFSET(Bronzo!$A$1,MATCH(H508,Bronzo!$A:$A,0)-1,MATCH(I508,Bronzo!$A$1:$AA$1,0)-1)),4)</f>
        <v>0</v>
      </c>
      <c r="T508" s="238">
        <f t="shared" ca="1" si="282"/>
        <v>0</v>
      </c>
      <c r="U508" s="237"/>
      <c r="V508" s="238">
        <v>0</v>
      </c>
      <c r="W508" s="239">
        <f t="shared" ca="1" si="283"/>
        <v>1.9</v>
      </c>
      <c r="X508" s="240">
        <f t="shared" si="276"/>
        <v>28</v>
      </c>
      <c r="Y508" s="236">
        <v>5.21</v>
      </c>
      <c r="Z508" s="236">
        <f t="shared" ca="1" si="284"/>
        <v>0.22</v>
      </c>
      <c r="AA508" s="241">
        <v>46199</v>
      </c>
      <c r="AF508" s="225">
        <f t="shared" ca="1" si="275"/>
        <v>46236</v>
      </c>
      <c r="AG508" s="225" t="b">
        <f t="shared" si="281"/>
        <v>0</v>
      </c>
      <c r="AH508" s="242"/>
      <c r="AS508" s="223">
        <f t="shared" si="285"/>
        <v>6</v>
      </c>
      <c r="AT508" s="223">
        <f t="shared" si="286"/>
        <v>2026</v>
      </c>
    </row>
    <row r="509" spans="2:46" ht="15.75" x14ac:dyDescent="0.25">
      <c r="B509" s="229" t="s">
        <v>734</v>
      </c>
      <c r="C509" s="235" t="s">
        <v>396</v>
      </c>
      <c r="D509" s="243">
        <v>300</v>
      </c>
      <c r="E509" s="232" t="s">
        <v>4</v>
      </c>
      <c r="F509" s="233">
        <v>3.09</v>
      </c>
      <c r="G509" s="234">
        <v>46161</v>
      </c>
      <c r="H509" s="235" t="s">
        <v>19</v>
      </c>
      <c r="I509" s="235"/>
      <c r="J509" s="236">
        <v>7.0000000000000007E-2</v>
      </c>
      <c r="K509" s="237">
        <f ca="1">ROUND(IF(ISERROR(OFFSET(Tabella!$A$1,MATCH(H509,Tabella!$A:$A,0)-1,MATCH(J509,Tabella!$A$1:$AC$1,0)-1)=TRUE),0,+OFFSET(Tabella!$A$1,MATCH(H509,Tabella!$A:$A,0)-1,MATCH(J509,Tabella!$A$1:$AC$1,0)-1)),4)</f>
        <v>1.35</v>
      </c>
      <c r="L509" s="238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238">
        <f ca="1">ROUND(IF(ISERROR(OFFSET(Rame!$A$1,MATCH(H509,Rame!$A:$A,0)-1,MATCH(J509,Rame!$A$1:$AA$1,0)-1)=TRUE),0,OFFSET(Rame!$A$1,MATCH(H509,Rame!$A:$A,0)-1,MATCH(J509,Rame!$A$1:$AA$1,0)-1))*IF(E509="Rame",1,0),4)</f>
        <v>0</v>
      </c>
      <c r="N509" s="238">
        <v>0</v>
      </c>
      <c r="O509" s="238">
        <v>0.95</v>
      </c>
      <c r="P509" s="238">
        <f ca="1">ROUND(+IF(ISERROR(OFFSET(Tabella!$G$1,MATCH(H509,Tabella!$G:$G,0)-1,MATCH(I509,Tabella!$G$1:$FG$1,0)-1)=TRUE),0,OFFSET(Tabella!$G$1,MATCH(H509,Tabella!$G:$G,0)-1,MATCH(I509,Tabella!$G$1:$AB$1,0)-1)),4)</f>
        <v>0</v>
      </c>
      <c r="Q509" s="238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238">
        <f ca="1">ROUND(IF(ISERROR(OFFSET(Rame!$F$1,MATCH(H509,Rame!$F:$F,0)-1,MATCH(I509,Rame!$F$1:$FF$1,0)-1)=TRUE),0,OFFSET(Rame!$F$1,MATCH(H509,Rame!$F:$F,0)-1,MATCH(I509,Rame!$F$1:$FF$1,0)-1))*IF(E509="Rame",1,0),4)</f>
        <v>0</v>
      </c>
      <c r="S509" s="238">
        <f ca="1">ROUND(IF(ISERROR(OFFSET(Bronzo!$A$1,MATCH(H509,Bronzo!$A:$A,0)-1,MATCH(I509,Bronzo!$A$1:$AA$1,0)-1)=TRUE),0,OFFSET(Bronzo!$A$1,MATCH(H509,Bronzo!$A:$A,0)-1,MATCH(I509,Bronzo!$A$1:$AA$1,0)-1)),4)</f>
        <v>0</v>
      </c>
      <c r="T509" s="238">
        <f t="shared" ca="1" si="282"/>
        <v>0</v>
      </c>
      <c r="U509" s="237"/>
      <c r="V509" s="238">
        <v>0</v>
      </c>
      <c r="W509" s="239">
        <f t="shared" ca="1" si="283"/>
        <v>0.95</v>
      </c>
      <c r="X509" s="240">
        <f t="shared" si="276"/>
        <v>21</v>
      </c>
      <c r="Y509" s="236">
        <v>5.26</v>
      </c>
      <c r="Z509" s="236">
        <f t="shared" ca="1" si="284"/>
        <v>1.22</v>
      </c>
      <c r="AA509" s="241">
        <v>46199</v>
      </c>
      <c r="AF509" s="225">
        <f t="shared" ca="1" si="275"/>
        <v>46236</v>
      </c>
      <c r="AG509" s="225" t="b">
        <f t="shared" si="281"/>
        <v>0</v>
      </c>
      <c r="AH509" s="242"/>
      <c r="AS509" s="223">
        <f t="shared" si="285"/>
        <v>6</v>
      </c>
      <c r="AT509" s="223">
        <f t="shared" si="286"/>
        <v>2026</v>
      </c>
    </row>
    <row r="510" spans="2:46" ht="15.75" x14ac:dyDescent="0.25">
      <c r="B510" s="229" t="s">
        <v>734</v>
      </c>
      <c r="C510" s="235" t="s">
        <v>396</v>
      </c>
      <c r="D510" s="243">
        <v>300</v>
      </c>
      <c r="E510" s="232" t="s">
        <v>4</v>
      </c>
      <c r="F510" s="233">
        <v>3.09</v>
      </c>
      <c r="G510" s="234">
        <v>46161</v>
      </c>
      <c r="H510" s="235" t="s">
        <v>11</v>
      </c>
      <c r="I510" s="235"/>
      <c r="J510" s="236">
        <v>7.0000000000000007E-2</v>
      </c>
      <c r="K510" s="237">
        <f ca="1">ROUND(IF(ISERROR(OFFSET(Tabella!$A$1,MATCH(H510,Tabella!$A:$A,0)-1,MATCH(J510,Tabella!$A$1:$AC$1,0)-1)=TRUE),0,+OFFSET(Tabella!$A$1,MATCH(H510,Tabella!$A:$A,0)-1,MATCH(J510,Tabella!$A$1:$AC$1,0)-1)),4)</f>
        <v>1.5</v>
      </c>
      <c r="L510" s="238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238">
        <f ca="1">ROUND(IF(ISERROR(OFFSET(Rame!$A$1,MATCH(H510,Rame!$A:$A,0)-1,MATCH(J510,Rame!$A$1:$AA$1,0)-1)=TRUE),0,OFFSET(Rame!$A$1,MATCH(H510,Rame!$A:$A,0)-1,MATCH(J510,Rame!$A$1:$AA$1,0)-1))*IF(E510="Rame",1,0),4)</f>
        <v>0</v>
      </c>
      <c r="N510" s="238">
        <v>0</v>
      </c>
      <c r="O510" s="238">
        <v>2.0499999999999998</v>
      </c>
      <c r="P510" s="238">
        <f ca="1">ROUND(+IF(ISERROR(OFFSET(Tabella!$G$1,MATCH(H510,Tabella!$G:$G,0)-1,MATCH(I510,Tabella!$G$1:$FG$1,0)-1)=TRUE),0,OFFSET(Tabella!$G$1,MATCH(H510,Tabella!$G:$G,0)-1,MATCH(I510,Tabella!$G$1:$AB$1,0)-1)),4)</f>
        <v>0</v>
      </c>
      <c r="Q510" s="238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238">
        <f ca="1">ROUND(IF(ISERROR(OFFSET(Rame!$F$1,MATCH(H510,Rame!$F:$F,0)-1,MATCH(I510,Rame!$F$1:$FF$1,0)-1)=TRUE),0,OFFSET(Rame!$F$1,MATCH(H510,Rame!$F:$F,0)-1,MATCH(I510,Rame!$F$1:$FF$1,0)-1))*IF(E510="Rame",1,0),4)</f>
        <v>0</v>
      </c>
      <c r="S510" s="238">
        <f ca="1">ROUND(IF(ISERROR(OFFSET(Bronzo!$A$1,MATCH(H510,Bronzo!$A:$A,0)-1,MATCH(I510,Bronzo!$A$1:$AA$1,0)-1)=TRUE),0,OFFSET(Bronzo!$A$1,MATCH(H510,Bronzo!$A:$A,0)-1,MATCH(I510,Bronzo!$A$1:$AA$1,0)-1)),4)</f>
        <v>0</v>
      </c>
      <c r="T510" s="238">
        <f t="shared" ca="1" si="282"/>
        <v>0</v>
      </c>
      <c r="U510" s="237"/>
      <c r="V510" s="238">
        <v>0</v>
      </c>
      <c r="W510" s="239">
        <f t="shared" ca="1" si="283"/>
        <v>2.0499999999999998</v>
      </c>
      <c r="X510" s="240">
        <f t="shared" si="276"/>
        <v>21</v>
      </c>
      <c r="Y510" s="236">
        <v>5.51</v>
      </c>
      <c r="Z510" s="236">
        <f t="shared" ca="1" si="284"/>
        <v>0.37</v>
      </c>
      <c r="AA510" s="241">
        <v>46199</v>
      </c>
      <c r="AF510" s="225">
        <f t="shared" ca="1" si="275"/>
        <v>46236</v>
      </c>
      <c r="AG510" s="225" t="b">
        <f t="shared" si="281"/>
        <v>0</v>
      </c>
      <c r="AH510" s="242"/>
      <c r="AS510" s="223">
        <f t="shared" si="285"/>
        <v>6</v>
      </c>
      <c r="AT510" s="223">
        <f t="shared" si="286"/>
        <v>2026</v>
      </c>
    </row>
    <row r="511" spans="2:46" ht="15.75" x14ac:dyDescent="0.25">
      <c r="B511" s="229" t="s">
        <v>734</v>
      </c>
      <c r="C511" s="235" t="s">
        <v>396</v>
      </c>
      <c r="D511" s="243">
        <v>300</v>
      </c>
      <c r="E511" s="232" t="s">
        <v>4</v>
      </c>
      <c r="F511" s="233">
        <v>3.09</v>
      </c>
      <c r="G511" s="234">
        <v>46161</v>
      </c>
      <c r="H511" s="235" t="s">
        <v>307</v>
      </c>
      <c r="I511" s="235"/>
      <c r="J511" s="236">
        <v>7.0000000000000007E-2</v>
      </c>
      <c r="K511" s="237">
        <f ca="1">ROUND(IF(ISERROR(OFFSET(Tabella!$A$1,MATCH(H511,Tabella!$A:$A,0)-1,MATCH(J511,Tabella!$A$1:$AC$1,0)-1)=TRUE),0,+OFFSET(Tabella!$A$1,MATCH(H511,Tabella!$A:$A,0)-1,MATCH(J511,Tabella!$A$1:$AC$1,0)-1)),4)</f>
        <v>1.25</v>
      </c>
      <c r="L511" s="238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238">
        <f ca="1">ROUND(IF(ISERROR(OFFSET(Rame!$A$1,MATCH(H511,Rame!$A:$A,0)-1,MATCH(J511,Rame!$A$1:$AA$1,0)-1)=TRUE),0,OFFSET(Rame!$A$1,MATCH(H511,Rame!$A:$A,0)-1,MATCH(J511,Rame!$A$1:$AA$1,0)-1))*IF(E511="Rame",1,0),4)</f>
        <v>0</v>
      </c>
      <c r="N511" s="238">
        <v>0</v>
      </c>
      <c r="O511" s="238">
        <v>1.9</v>
      </c>
      <c r="P511" s="238">
        <f ca="1">ROUND(+IF(ISERROR(OFFSET(Tabella!$G$1,MATCH(H511,Tabella!$G:$G,0)-1,MATCH(I511,Tabella!$G$1:$FG$1,0)-1)=TRUE),0,OFFSET(Tabella!$G$1,MATCH(H511,Tabella!$G:$G,0)-1,MATCH(I511,Tabella!$G$1:$AB$1,0)-1)),4)</f>
        <v>0</v>
      </c>
      <c r="Q511" s="238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238">
        <f ca="1">ROUND(IF(ISERROR(OFFSET(Rame!$F$1,MATCH(H511,Rame!$F:$F,0)-1,MATCH(I511,Rame!$F$1:$FF$1,0)-1)=TRUE),0,OFFSET(Rame!$F$1,MATCH(H511,Rame!$F:$F,0)-1,MATCH(I511,Rame!$F$1:$FF$1,0)-1))*IF(E511="Rame",1,0),4)</f>
        <v>0</v>
      </c>
      <c r="S511" s="238">
        <f ca="1">ROUND(IF(ISERROR(OFFSET(Bronzo!$A$1,MATCH(H511,Bronzo!$A:$A,0)-1,MATCH(I511,Bronzo!$A$1:$AA$1,0)-1)=TRUE),0,OFFSET(Bronzo!$A$1,MATCH(H511,Bronzo!$A:$A,0)-1,MATCH(I511,Bronzo!$A$1:$AA$1,0)-1)),4)</f>
        <v>0</v>
      </c>
      <c r="T511" s="238">
        <f t="shared" ca="1" si="282"/>
        <v>0</v>
      </c>
      <c r="U511" s="237"/>
      <c r="V511" s="238">
        <v>0</v>
      </c>
      <c r="W511" s="239">
        <f t="shared" ca="1" si="283"/>
        <v>1.9</v>
      </c>
      <c r="X511" s="240">
        <f t="shared" si="276"/>
        <v>21</v>
      </c>
      <c r="Y511" s="236">
        <v>5.21</v>
      </c>
      <c r="Z511" s="236">
        <f t="shared" ca="1" si="284"/>
        <v>0.22</v>
      </c>
      <c r="AA511" s="241">
        <v>46199</v>
      </c>
      <c r="AF511" s="225">
        <f t="shared" ca="1" si="275"/>
        <v>46236</v>
      </c>
      <c r="AG511" s="225" t="b">
        <f t="shared" si="281"/>
        <v>0</v>
      </c>
      <c r="AH511" s="242"/>
      <c r="AS511" s="223">
        <f t="shared" si="285"/>
        <v>6</v>
      </c>
      <c r="AT511" s="223">
        <f t="shared" si="286"/>
        <v>2026</v>
      </c>
    </row>
    <row r="512" spans="2:46" ht="15.75" x14ac:dyDescent="0.25">
      <c r="B512" s="229" t="s">
        <v>734</v>
      </c>
      <c r="C512" s="235" t="s">
        <v>396</v>
      </c>
      <c r="D512" s="243">
        <v>200</v>
      </c>
      <c r="E512" s="232" t="s">
        <v>4</v>
      </c>
      <c r="F512" s="233">
        <v>3.09</v>
      </c>
      <c r="G512" s="234">
        <v>46161</v>
      </c>
      <c r="H512" s="235" t="s">
        <v>21</v>
      </c>
      <c r="I512" s="235"/>
      <c r="J512" s="236">
        <v>7.0000000000000007E-2</v>
      </c>
      <c r="K512" s="237">
        <f ca="1">ROUND(IF(ISERROR(OFFSET(Tabella!$A$1,MATCH(H512,Tabella!$A:$A,0)-1,MATCH(J512,Tabella!$A$1:$AC$1,0)-1)=TRUE),0,+OFFSET(Tabella!$A$1,MATCH(H512,Tabella!$A:$A,0)-1,MATCH(J512,Tabella!$A$1:$AC$1,0)-1)),4)</f>
        <v>1.25</v>
      </c>
      <c r="L512" s="238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238">
        <f ca="1">ROUND(IF(ISERROR(OFFSET(Rame!$A$1,MATCH(H512,Rame!$A:$A,0)-1,MATCH(J512,Rame!$A$1:$AA$1,0)-1)=TRUE),0,OFFSET(Rame!$A$1,MATCH(H512,Rame!$A:$A,0)-1,MATCH(J512,Rame!$A$1:$AA$1,0)-1))*IF(E512="Rame",1,0),4)</f>
        <v>0</v>
      </c>
      <c r="N512" s="238">
        <v>0</v>
      </c>
      <c r="O512" s="238">
        <v>1.9</v>
      </c>
      <c r="P512" s="238">
        <f ca="1">ROUND(+IF(ISERROR(OFFSET(Tabella!$G$1,MATCH(H512,Tabella!$G:$G,0)-1,MATCH(I512,Tabella!$G$1:$FG$1,0)-1)=TRUE),0,OFFSET(Tabella!$G$1,MATCH(H512,Tabella!$G:$G,0)-1,MATCH(I512,Tabella!$G$1:$AB$1,0)-1)),4)</f>
        <v>0</v>
      </c>
      <c r="Q512" s="238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238">
        <f ca="1">ROUND(IF(ISERROR(OFFSET(Rame!$F$1,MATCH(H512,Rame!$F:$F,0)-1,MATCH(I512,Rame!$F$1:$FF$1,0)-1)=TRUE),0,OFFSET(Rame!$F$1,MATCH(H512,Rame!$F:$F,0)-1,MATCH(I512,Rame!$F$1:$FF$1,0)-1))*IF(E512="Rame",1,0),4)</f>
        <v>0</v>
      </c>
      <c r="S512" s="238">
        <f ca="1">ROUND(IF(ISERROR(OFFSET(Bronzo!$A$1,MATCH(H512,Bronzo!$A:$A,0)-1,MATCH(I512,Bronzo!$A$1:$AA$1,0)-1)=TRUE),0,OFFSET(Bronzo!$A$1,MATCH(H512,Bronzo!$A:$A,0)-1,MATCH(I512,Bronzo!$A$1:$AA$1,0)-1)),4)</f>
        <v>0</v>
      </c>
      <c r="T512" s="238">
        <f t="shared" ca="1" si="282"/>
        <v>0</v>
      </c>
      <c r="U512" s="237"/>
      <c r="V512" s="238">
        <v>0</v>
      </c>
      <c r="W512" s="239">
        <f t="shared" ca="1" si="283"/>
        <v>1.9</v>
      </c>
      <c r="X512" s="240">
        <f t="shared" si="276"/>
        <v>14</v>
      </c>
      <c r="Y512" s="236">
        <v>5.21</v>
      </c>
      <c r="Z512" s="236">
        <f t="shared" ca="1" si="284"/>
        <v>0.22</v>
      </c>
      <c r="AA512" s="241">
        <v>46199</v>
      </c>
      <c r="AF512" s="225">
        <f t="shared" ca="1" si="275"/>
        <v>46236</v>
      </c>
      <c r="AG512" s="225" t="b">
        <f t="shared" si="281"/>
        <v>0</v>
      </c>
      <c r="AH512" s="242"/>
      <c r="AS512" s="223">
        <f t="shared" si="285"/>
        <v>6</v>
      </c>
      <c r="AT512" s="223">
        <f t="shared" si="286"/>
        <v>2026</v>
      </c>
    </row>
    <row r="513" spans="1:46" ht="15.75" x14ac:dyDescent="0.25">
      <c r="B513" s="229" t="s">
        <v>734</v>
      </c>
      <c r="C513" s="235" t="s">
        <v>396</v>
      </c>
      <c r="D513" s="243">
        <v>300</v>
      </c>
      <c r="E513" s="232" t="s">
        <v>4</v>
      </c>
      <c r="F513" s="233">
        <v>3.09</v>
      </c>
      <c r="G513" s="234">
        <v>46161</v>
      </c>
      <c r="H513" s="235" t="s">
        <v>308</v>
      </c>
      <c r="I513" s="235"/>
      <c r="J513" s="236">
        <v>7.0000000000000007E-2</v>
      </c>
      <c r="K513" s="237">
        <f ca="1">ROUND(IF(ISERROR(OFFSET(Tabella!$A$1,MATCH(H513,Tabella!$A:$A,0)-1,MATCH(J513,Tabella!$A$1:$AC$1,0)-1)=TRUE),0,+OFFSET(Tabella!$A$1,MATCH(H513,Tabella!$A:$A,0)-1,MATCH(J513,Tabella!$A$1:$AC$1,0)-1)),4)</f>
        <v>1.25</v>
      </c>
      <c r="L513" s="238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238">
        <f ca="1">ROUND(IF(ISERROR(OFFSET(Rame!$A$1,MATCH(H513,Rame!$A:$A,0)-1,MATCH(J513,Rame!$A$1:$AA$1,0)-1)=TRUE),0,OFFSET(Rame!$A$1,MATCH(H513,Rame!$A:$A,0)-1,MATCH(J513,Rame!$A$1:$AA$1,0)-1))*IF(E513="Rame",1,0),4)</f>
        <v>0</v>
      </c>
      <c r="N513" s="238">
        <v>0</v>
      </c>
      <c r="O513" s="238">
        <v>1.9</v>
      </c>
      <c r="P513" s="238">
        <f ca="1">ROUND(+IF(ISERROR(OFFSET(Tabella!$G$1,MATCH(H513,Tabella!$G:$G,0)-1,MATCH(I513,Tabella!$G$1:$FG$1,0)-1)=TRUE),0,OFFSET(Tabella!$G$1,MATCH(H513,Tabella!$G:$G,0)-1,MATCH(I513,Tabella!$G$1:$AB$1,0)-1)),4)</f>
        <v>0</v>
      </c>
      <c r="Q513" s="238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238">
        <f ca="1">ROUND(IF(ISERROR(OFFSET(Rame!$F$1,MATCH(H513,Rame!$F:$F,0)-1,MATCH(I513,Rame!$F$1:$FF$1,0)-1)=TRUE),0,OFFSET(Rame!$F$1,MATCH(H513,Rame!$F:$F,0)-1,MATCH(I513,Rame!$F$1:$FF$1,0)-1))*IF(E513="Rame",1,0),4)</f>
        <v>0</v>
      </c>
      <c r="S513" s="238">
        <f ca="1">ROUND(IF(ISERROR(OFFSET(Bronzo!$A$1,MATCH(H513,Bronzo!$A:$A,0)-1,MATCH(I513,Bronzo!$A$1:$AA$1,0)-1)=TRUE),0,OFFSET(Bronzo!$A$1,MATCH(H513,Bronzo!$A:$A,0)-1,MATCH(I513,Bronzo!$A$1:$AA$1,0)-1)),4)</f>
        <v>0</v>
      </c>
      <c r="T513" s="238">
        <f t="shared" ca="1" si="282"/>
        <v>0</v>
      </c>
      <c r="U513" s="237"/>
      <c r="V513" s="238">
        <v>0</v>
      </c>
      <c r="W513" s="239">
        <f t="shared" ca="1" si="283"/>
        <v>1.9</v>
      </c>
      <c r="X513" s="240">
        <f t="shared" si="276"/>
        <v>21</v>
      </c>
      <c r="Y513" s="236">
        <v>5.21</v>
      </c>
      <c r="Z513" s="236">
        <f t="shared" ca="1" si="284"/>
        <v>0.22</v>
      </c>
      <c r="AA513" s="241">
        <v>46199</v>
      </c>
      <c r="AF513" s="225">
        <f t="shared" ca="1" si="275"/>
        <v>46236</v>
      </c>
      <c r="AG513" s="225" t="b">
        <f t="shared" si="281"/>
        <v>0</v>
      </c>
      <c r="AH513" s="242"/>
      <c r="AS513" s="223">
        <f t="shared" si="285"/>
        <v>6</v>
      </c>
      <c r="AT513" s="223">
        <f t="shared" si="286"/>
        <v>2026</v>
      </c>
    </row>
    <row r="514" spans="1:46" ht="15.75" x14ac:dyDescent="0.25">
      <c r="B514" s="229" t="s">
        <v>734</v>
      </c>
      <c r="C514" s="235" t="s">
        <v>396</v>
      </c>
      <c r="D514" s="243">
        <v>300</v>
      </c>
      <c r="E514" s="232" t="s">
        <v>4</v>
      </c>
      <c r="F514" s="233">
        <v>3.09</v>
      </c>
      <c r="G514" s="234">
        <v>46161</v>
      </c>
      <c r="H514" s="235" t="s">
        <v>19</v>
      </c>
      <c r="I514" s="235"/>
      <c r="J514" s="236">
        <v>7.0000000000000007E-2</v>
      </c>
      <c r="K514" s="237">
        <f ca="1">ROUND(IF(ISERROR(OFFSET(Tabella!$A$1,MATCH(H514,Tabella!$A:$A,0)-1,MATCH(J514,Tabella!$A$1:$AC$1,0)-1)=TRUE),0,+OFFSET(Tabella!$A$1,MATCH(H514,Tabella!$A:$A,0)-1,MATCH(J514,Tabella!$A$1:$AC$1,0)-1)),4)</f>
        <v>1.35</v>
      </c>
      <c r="L514" s="238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238">
        <f ca="1">ROUND(IF(ISERROR(OFFSET(Rame!$A$1,MATCH(H514,Rame!$A:$A,0)-1,MATCH(J514,Rame!$A$1:$AA$1,0)-1)=TRUE),0,OFFSET(Rame!$A$1,MATCH(H514,Rame!$A:$A,0)-1,MATCH(J514,Rame!$A$1:$AA$1,0)-1))*IF(E514="Rame",1,0),4)</f>
        <v>0</v>
      </c>
      <c r="N514" s="238">
        <v>0</v>
      </c>
      <c r="O514" s="238">
        <v>1.95</v>
      </c>
      <c r="P514" s="238">
        <f ca="1">ROUND(+IF(ISERROR(OFFSET(Tabella!$G$1,MATCH(H514,Tabella!$G:$G,0)-1,MATCH(I514,Tabella!$G$1:$FG$1,0)-1)=TRUE),0,OFFSET(Tabella!$G$1,MATCH(H514,Tabella!$G:$G,0)-1,MATCH(I514,Tabella!$G$1:$AB$1,0)-1)),4)</f>
        <v>0</v>
      </c>
      <c r="Q514" s="238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238">
        <f ca="1">ROUND(IF(ISERROR(OFFSET(Rame!$F$1,MATCH(H514,Rame!$F:$F,0)-1,MATCH(I514,Rame!$F$1:$FF$1,0)-1)=TRUE),0,OFFSET(Rame!$F$1,MATCH(H514,Rame!$F:$F,0)-1,MATCH(I514,Rame!$F$1:$FF$1,0)-1))*IF(E514="Rame",1,0),4)</f>
        <v>0</v>
      </c>
      <c r="S514" s="238">
        <f ca="1">ROUND(IF(ISERROR(OFFSET(Bronzo!$A$1,MATCH(H514,Bronzo!$A:$A,0)-1,MATCH(I514,Bronzo!$A$1:$AA$1,0)-1)=TRUE),0,OFFSET(Bronzo!$A$1,MATCH(H514,Bronzo!$A:$A,0)-1,MATCH(I514,Bronzo!$A$1:$AA$1,0)-1)),4)</f>
        <v>0</v>
      </c>
      <c r="T514" s="238">
        <f t="shared" ca="1" si="282"/>
        <v>0</v>
      </c>
      <c r="U514" s="237"/>
      <c r="V514" s="238">
        <v>0</v>
      </c>
      <c r="W514" s="239">
        <f t="shared" ca="1" si="283"/>
        <v>1.95</v>
      </c>
      <c r="X514" s="240">
        <f t="shared" si="276"/>
        <v>21</v>
      </c>
      <c r="Y514" s="236">
        <v>5.26</v>
      </c>
      <c r="Z514" s="236">
        <f t="shared" ca="1" si="284"/>
        <v>0.22</v>
      </c>
      <c r="AA514" s="241">
        <v>46199</v>
      </c>
      <c r="AF514" s="225">
        <f t="shared" ca="1" si="275"/>
        <v>46236</v>
      </c>
      <c r="AG514" s="225" t="b">
        <f t="shared" si="281"/>
        <v>0</v>
      </c>
      <c r="AH514" s="242"/>
      <c r="AS514" s="223">
        <f t="shared" si="285"/>
        <v>6</v>
      </c>
      <c r="AT514" s="223">
        <f t="shared" si="286"/>
        <v>2026</v>
      </c>
    </row>
    <row r="515" spans="1:46" ht="15.75" x14ac:dyDescent="0.25">
      <c r="B515" s="229" t="s">
        <v>727</v>
      </c>
      <c r="C515" s="235" t="s">
        <v>396</v>
      </c>
      <c r="D515" s="243">
        <v>1500</v>
      </c>
      <c r="E515" s="232" t="s">
        <v>4</v>
      </c>
      <c r="F515" s="233">
        <v>3.09</v>
      </c>
      <c r="G515" s="234">
        <v>46161</v>
      </c>
      <c r="H515" s="235" t="s">
        <v>308</v>
      </c>
      <c r="I515" s="235"/>
      <c r="J515" s="236">
        <v>7.0000000000000007E-2</v>
      </c>
      <c r="K515" s="237">
        <f ca="1">ROUND(IF(ISERROR(OFFSET(Tabella!$A$1,MATCH(H515,Tabella!$A:$A,0)-1,MATCH(J515,Tabella!$A$1:$AC$1,0)-1)=TRUE),0,+OFFSET(Tabella!$A$1,MATCH(H515,Tabella!$A:$A,0)-1,MATCH(J515,Tabella!$A$1:$AC$1,0)-1)),4)</f>
        <v>1.25</v>
      </c>
      <c r="L515" s="238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238">
        <f ca="1">ROUND(IF(ISERROR(OFFSET(Rame!$A$1,MATCH(H515,Rame!$A:$A,0)-1,MATCH(J515,Rame!$A$1:$AA$1,0)-1)=TRUE),0,OFFSET(Rame!$A$1,MATCH(H515,Rame!$A:$A,0)-1,MATCH(J515,Rame!$A$1:$AA$1,0)-1))*IF(E515="Rame",1,0),4)</f>
        <v>0</v>
      </c>
      <c r="N515" s="238">
        <v>0</v>
      </c>
      <c r="O515" s="238">
        <v>1.9</v>
      </c>
      <c r="P515" s="238">
        <f ca="1">ROUND(+IF(ISERROR(OFFSET(Tabella!$G$1,MATCH(H515,Tabella!$G:$G,0)-1,MATCH(I515,Tabella!$G$1:$FG$1,0)-1)=TRUE),0,OFFSET(Tabella!$G$1,MATCH(H515,Tabella!$G:$G,0)-1,MATCH(I515,Tabella!$G$1:$AB$1,0)-1)),4)</f>
        <v>0</v>
      </c>
      <c r="Q515" s="238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238">
        <f ca="1">ROUND(IF(ISERROR(OFFSET(Rame!$F$1,MATCH(H515,Rame!$F:$F,0)-1,MATCH(I515,Rame!$F$1:$FF$1,0)-1)=TRUE),0,OFFSET(Rame!$F$1,MATCH(H515,Rame!$F:$F,0)-1,MATCH(I515,Rame!$F$1:$FF$1,0)-1))*IF(E515="Rame",1,0),4)</f>
        <v>0</v>
      </c>
      <c r="S515" s="238">
        <f ca="1">ROUND(IF(ISERROR(OFFSET(Bronzo!$A$1,MATCH(H515,Bronzo!$A:$A,0)-1,MATCH(I515,Bronzo!$A$1:$AA$1,0)-1)=TRUE),0,OFFSET(Bronzo!$A$1,MATCH(H515,Bronzo!$A:$A,0)-1,MATCH(I515,Bronzo!$A$1:$AA$1,0)-1)),4)</f>
        <v>0</v>
      </c>
      <c r="T515" s="238">
        <f t="shared" ca="1" si="282"/>
        <v>0</v>
      </c>
      <c r="U515" s="237"/>
      <c r="V515" s="238">
        <v>0</v>
      </c>
      <c r="W515" s="239">
        <f t="shared" ca="1" si="283"/>
        <v>1.9</v>
      </c>
      <c r="X515" s="240">
        <f t="shared" si="276"/>
        <v>105</v>
      </c>
      <c r="Y515" s="236">
        <v>5.21</v>
      </c>
      <c r="Z515" s="236">
        <f t="shared" ca="1" si="284"/>
        <v>0.22</v>
      </c>
      <c r="AA515" s="241">
        <v>46302</v>
      </c>
      <c r="AF515" s="225">
        <f t="shared" ca="1" si="275"/>
        <v>46236</v>
      </c>
      <c r="AG515" s="225" t="b">
        <f t="shared" si="281"/>
        <v>0</v>
      </c>
      <c r="AH515" s="242"/>
      <c r="AS515" s="223">
        <f t="shared" si="285"/>
        <v>10</v>
      </c>
      <c r="AT515" s="223">
        <f t="shared" si="286"/>
        <v>2026</v>
      </c>
    </row>
    <row r="516" spans="1:46" ht="15.75" x14ac:dyDescent="0.25">
      <c r="B516" s="229" t="s">
        <v>727</v>
      </c>
      <c r="C516" s="235" t="s">
        <v>396</v>
      </c>
      <c r="D516" s="243">
        <v>400</v>
      </c>
      <c r="E516" s="232" t="s">
        <v>4</v>
      </c>
      <c r="F516" s="233">
        <v>3.09</v>
      </c>
      <c r="G516" s="234">
        <v>46161</v>
      </c>
      <c r="H516" s="235" t="s">
        <v>25</v>
      </c>
      <c r="I516" s="235"/>
      <c r="J516" s="236">
        <v>7.0000000000000007E-2</v>
      </c>
      <c r="K516" s="237">
        <f ca="1">ROUND(IF(ISERROR(OFFSET(Tabella!$A$1,MATCH(H516,Tabella!$A:$A,0)-1,MATCH(J516,Tabella!$A$1:$AC$1,0)-1)=TRUE),0,+OFFSET(Tabella!$A$1,MATCH(H516,Tabella!$A:$A,0)-1,MATCH(J516,Tabella!$A$1:$AC$1,0)-1)),4)</f>
        <v>1.25</v>
      </c>
      <c r="L516" s="238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238">
        <f ca="1">ROUND(IF(ISERROR(OFFSET(Rame!$A$1,MATCH(H516,Rame!$A:$A,0)-1,MATCH(J516,Rame!$A$1:$AA$1,0)-1)=TRUE),0,OFFSET(Rame!$A$1,MATCH(H516,Rame!$A:$A,0)-1,MATCH(J516,Rame!$A$1:$AA$1,0)-1))*IF(E516="Rame",1,0),4)</f>
        <v>0</v>
      </c>
      <c r="N516" s="238">
        <v>0</v>
      </c>
      <c r="O516" s="238">
        <v>1.9</v>
      </c>
      <c r="P516" s="238">
        <f ca="1">ROUND(+IF(ISERROR(OFFSET(Tabella!$G$1,MATCH(H516,Tabella!$G:$G,0)-1,MATCH(I516,Tabella!$G$1:$FG$1,0)-1)=TRUE),0,OFFSET(Tabella!$G$1,MATCH(H516,Tabella!$G:$G,0)-1,MATCH(I516,Tabella!$G$1:$AB$1,0)-1)),4)</f>
        <v>0</v>
      </c>
      <c r="Q516" s="238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238">
        <f ca="1">ROUND(IF(ISERROR(OFFSET(Rame!$F$1,MATCH(H516,Rame!$F:$F,0)-1,MATCH(I516,Rame!$F$1:$FF$1,0)-1)=TRUE),0,OFFSET(Rame!$F$1,MATCH(H516,Rame!$F:$F,0)-1,MATCH(I516,Rame!$F$1:$FF$1,0)-1))*IF(E516="Rame",1,0),4)</f>
        <v>0</v>
      </c>
      <c r="S516" s="238">
        <f ca="1">ROUND(IF(ISERROR(OFFSET(Bronzo!$A$1,MATCH(H516,Bronzo!$A:$A,0)-1,MATCH(I516,Bronzo!$A$1:$AA$1,0)-1)=TRUE),0,OFFSET(Bronzo!$A$1,MATCH(H516,Bronzo!$A:$A,0)-1,MATCH(I516,Bronzo!$A$1:$AA$1,0)-1)),4)</f>
        <v>0</v>
      </c>
      <c r="T516" s="238">
        <f t="shared" ca="1" si="282"/>
        <v>0</v>
      </c>
      <c r="U516" s="237"/>
      <c r="V516" s="238">
        <v>0</v>
      </c>
      <c r="W516" s="239">
        <f t="shared" ca="1" si="283"/>
        <v>1.9</v>
      </c>
      <c r="X516" s="240">
        <f t="shared" si="276"/>
        <v>28</v>
      </c>
      <c r="Y516" s="236">
        <v>5.21</v>
      </c>
      <c r="Z516" s="236">
        <f t="shared" ca="1" si="284"/>
        <v>0.22</v>
      </c>
      <c r="AA516" s="241">
        <v>46302</v>
      </c>
      <c r="AF516" s="225">
        <f t="shared" ca="1" si="275"/>
        <v>46236</v>
      </c>
      <c r="AG516" s="225" t="b">
        <f t="shared" si="281"/>
        <v>0</v>
      </c>
      <c r="AH516" s="242"/>
      <c r="AS516" s="223">
        <f t="shared" si="285"/>
        <v>10</v>
      </c>
      <c r="AT516" s="223">
        <f t="shared" si="286"/>
        <v>2026</v>
      </c>
    </row>
    <row r="517" spans="1:46" ht="15.75" x14ac:dyDescent="0.25">
      <c r="B517" s="229" t="s">
        <v>727</v>
      </c>
      <c r="C517" s="235" t="s">
        <v>396</v>
      </c>
      <c r="D517" s="243">
        <v>500</v>
      </c>
      <c r="E517" s="232" t="s">
        <v>4</v>
      </c>
      <c r="F517" s="233">
        <v>3.09</v>
      </c>
      <c r="G517" s="234">
        <v>46161</v>
      </c>
      <c r="H517" s="235" t="s">
        <v>243</v>
      </c>
      <c r="I517" s="235"/>
      <c r="J517" s="236">
        <v>7.0000000000000007E-2</v>
      </c>
      <c r="K517" s="237">
        <f ca="1">ROUND(IF(ISERROR(OFFSET(Tabella!$A$1,MATCH(H517,Tabella!$A:$A,0)-1,MATCH(J517,Tabella!$A$1:$AC$1,0)-1)=TRUE),0,+OFFSET(Tabella!$A$1,MATCH(H517,Tabella!$A:$A,0)-1,MATCH(J517,Tabella!$A$1:$AC$1,0)-1)),4)</f>
        <v>1.4</v>
      </c>
      <c r="L517" s="238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238">
        <f ca="1">ROUND(IF(ISERROR(OFFSET(Rame!$A$1,MATCH(H517,Rame!$A:$A,0)-1,MATCH(J517,Rame!$A$1:$AA$1,0)-1)=TRUE),0,OFFSET(Rame!$A$1,MATCH(H517,Rame!$A:$A,0)-1,MATCH(J517,Rame!$A$1:$AA$1,0)-1))*IF(E517="Rame",1,0),4)</f>
        <v>0</v>
      </c>
      <c r="N517" s="238">
        <v>0</v>
      </c>
      <c r="O517" s="238">
        <v>2</v>
      </c>
      <c r="P517" s="238">
        <f ca="1">ROUND(+IF(ISERROR(OFFSET(Tabella!$G$1,MATCH(H517,Tabella!$G:$G,0)-1,MATCH(I517,Tabella!$G$1:$FG$1,0)-1)=TRUE),0,OFFSET(Tabella!$G$1,MATCH(H517,Tabella!$G:$G,0)-1,MATCH(I517,Tabella!$G$1:$AB$1,0)-1)),4)</f>
        <v>0</v>
      </c>
      <c r="Q517" s="238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238">
        <f ca="1">ROUND(IF(ISERROR(OFFSET(Rame!$F$1,MATCH(H517,Rame!$F:$F,0)-1,MATCH(I517,Rame!$F$1:$FF$1,0)-1)=TRUE),0,OFFSET(Rame!$F$1,MATCH(H517,Rame!$F:$F,0)-1,MATCH(I517,Rame!$F$1:$FF$1,0)-1))*IF(E517="Rame",1,0),4)</f>
        <v>0</v>
      </c>
      <c r="S517" s="238">
        <f ca="1">ROUND(IF(ISERROR(OFFSET(Bronzo!$A$1,MATCH(H517,Bronzo!$A:$A,0)-1,MATCH(I517,Bronzo!$A$1:$AA$1,0)-1)=TRUE),0,OFFSET(Bronzo!$A$1,MATCH(H517,Bronzo!$A:$A,0)-1,MATCH(I517,Bronzo!$A$1:$AA$1,0)-1)),4)</f>
        <v>0</v>
      </c>
      <c r="T517" s="238">
        <f t="shared" ca="1" si="282"/>
        <v>0</v>
      </c>
      <c r="U517" s="237"/>
      <c r="V517" s="238">
        <v>0</v>
      </c>
      <c r="W517" s="239">
        <f t="shared" ca="1" si="283"/>
        <v>2</v>
      </c>
      <c r="X517" s="240">
        <f t="shared" si="276"/>
        <v>35</v>
      </c>
      <c r="Y517" s="236">
        <v>5.31</v>
      </c>
      <c r="Z517" s="236">
        <f t="shared" ca="1" si="284"/>
        <v>0.22</v>
      </c>
      <c r="AA517" s="241">
        <v>46302</v>
      </c>
      <c r="AF517" s="225">
        <f t="shared" ref="AF517:AF580" ca="1" si="287">TODAY()</f>
        <v>46236</v>
      </c>
      <c r="AG517" s="225" t="b">
        <f t="shared" si="281"/>
        <v>0</v>
      </c>
      <c r="AH517" s="242"/>
      <c r="AS517" s="223">
        <f t="shared" si="285"/>
        <v>10</v>
      </c>
      <c r="AT517" s="223">
        <f t="shared" si="286"/>
        <v>2026</v>
      </c>
    </row>
    <row r="518" spans="1:46" ht="15.75" x14ac:dyDescent="0.25">
      <c r="B518" s="229" t="s">
        <v>727</v>
      </c>
      <c r="C518" s="235" t="s">
        <v>396</v>
      </c>
      <c r="D518" s="243">
        <v>400</v>
      </c>
      <c r="E518" s="232" t="s">
        <v>4</v>
      </c>
      <c r="F518" s="233">
        <v>3.09</v>
      </c>
      <c r="G518" s="234">
        <v>46161</v>
      </c>
      <c r="H518" s="235" t="s">
        <v>9</v>
      </c>
      <c r="I518" s="235"/>
      <c r="J518" s="236">
        <v>7.0000000000000007E-2</v>
      </c>
      <c r="K518" s="237">
        <f ca="1">ROUND(IF(ISERROR(OFFSET(Tabella!$A$1,MATCH(H518,Tabella!$A:$A,0)-1,MATCH(J518,Tabella!$A$1:$AC$1,0)-1)=TRUE),0,+OFFSET(Tabella!$A$1,MATCH(H518,Tabella!$A:$A,0)-1,MATCH(J518,Tabella!$A$1:$AC$1,0)-1)),4)</f>
        <v>1.6</v>
      </c>
      <c r="L518" s="238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238">
        <f ca="1">ROUND(IF(ISERROR(OFFSET(Rame!$A$1,MATCH(H518,Rame!$A:$A,0)-1,MATCH(J518,Rame!$A$1:$AA$1,0)-1)=TRUE),0,OFFSET(Rame!$A$1,MATCH(H518,Rame!$A:$A,0)-1,MATCH(J518,Rame!$A$1:$AA$1,0)-1))*IF(E518="Rame",1,0),4)</f>
        <v>0</v>
      </c>
      <c r="N518" s="238">
        <v>0</v>
      </c>
      <c r="O518" s="238">
        <v>2.2000000000000002</v>
      </c>
      <c r="P518" s="238">
        <f ca="1">ROUND(+IF(ISERROR(OFFSET(Tabella!$G$1,MATCH(H518,Tabella!$G:$G,0)-1,MATCH(I518,Tabella!$G$1:$FG$1,0)-1)=TRUE),0,OFFSET(Tabella!$G$1,MATCH(H518,Tabella!$G:$G,0)-1,MATCH(I518,Tabella!$G$1:$AB$1,0)-1)),4)</f>
        <v>0</v>
      </c>
      <c r="Q518" s="238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238">
        <f ca="1">ROUND(IF(ISERROR(OFFSET(Rame!$F$1,MATCH(H518,Rame!$F:$F,0)-1,MATCH(I518,Rame!$F$1:$FF$1,0)-1)=TRUE),0,OFFSET(Rame!$F$1,MATCH(H518,Rame!$F:$F,0)-1,MATCH(I518,Rame!$F$1:$FF$1,0)-1))*IF(E518="Rame",1,0),4)</f>
        <v>0</v>
      </c>
      <c r="S518" s="238">
        <f ca="1">ROUND(IF(ISERROR(OFFSET(Bronzo!$A$1,MATCH(H518,Bronzo!$A:$A,0)-1,MATCH(I518,Bronzo!$A$1:$AA$1,0)-1)=TRUE),0,OFFSET(Bronzo!$A$1,MATCH(H518,Bronzo!$A:$A,0)-1,MATCH(I518,Bronzo!$A$1:$AA$1,0)-1)),4)</f>
        <v>0</v>
      </c>
      <c r="T518" s="238">
        <f t="shared" ca="1" si="282"/>
        <v>0</v>
      </c>
      <c r="U518" s="237"/>
      <c r="V518" s="238">
        <v>0</v>
      </c>
      <c r="W518" s="239">
        <f t="shared" ca="1" si="283"/>
        <v>2.2000000000000002</v>
      </c>
      <c r="X518" s="240">
        <f t="shared" si="276"/>
        <v>28</v>
      </c>
      <c r="Y518" s="236">
        <v>5.51</v>
      </c>
      <c r="Z518" s="236">
        <f t="shared" ca="1" si="284"/>
        <v>0.22</v>
      </c>
      <c r="AA518" s="241">
        <v>46302</v>
      </c>
      <c r="AF518" s="225">
        <f t="shared" ca="1" si="287"/>
        <v>46236</v>
      </c>
      <c r="AG518" s="225" t="b">
        <f t="shared" si="281"/>
        <v>0</v>
      </c>
      <c r="AH518" s="242"/>
      <c r="AS518" s="223">
        <f t="shared" si="285"/>
        <v>10</v>
      </c>
      <c r="AT518" s="223">
        <f t="shared" si="286"/>
        <v>2026</v>
      </c>
    </row>
    <row r="519" spans="1:46" ht="15.75" x14ac:dyDescent="0.25">
      <c r="B519" s="229" t="s">
        <v>727</v>
      </c>
      <c r="C519" s="235" t="s">
        <v>396</v>
      </c>
      <c r="D519" s="243">
        <v>400</v>
      </c>
      <c r="E519" s="232" t="s">
        <v>4</v>
      </c>
      <c r="F519" s="233">
        <v>3.09</v>
      </c>
      <c r="G519" s="234">
        <v>46161</v>
      </c>
      <c r="H519" s="235" t="s">
        <v>307</v>
      </c>
      <c r="I519" s="235"/>
      <c r="J519" s="236">
        <v>7.0000000000000007E-2</v>
      </c>
      <c r="K519" s="237">
        <f ca="1">ROUND(IF(ISERROR(OFFSET(Tabella!$A$1,MATCH(H519,Tabella!$A:$A,0)-1,MATCH(J519,Tabella!$A$1:$AC$1,0)-1)=TRUE),0,+OFFSET(Tabella!$A$1,MATCH(H519,Tabella!$A:$A,0)-1,MATCH(J519,Tabella!$A$1:$AC$1,0)-1)),4)</f>
        <v>1.25</v>
      </c>
      <c r="L519" s="238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238">
        <f ca="1">ROUND(IF(ISERROR(OFFSET(Rame!$A$1,MATCH(H519,Rame!$A:$A,0)-1,MATCH(J519,Rame!$A$1:$AA$1,0)-1)=TRUE),0,OFFSET(Rame!$A$1,MATCH(H519,Rame!$A:$A,0)-1,MATCH(J519,Rame!$A$1:$AA$1,0)-1))*IF(E519="Rame",1,0),4)</f>
        <v>0</v>
      </c>
      <c r="N519" s="238">
        <v>0</v>
      </c>
      <c r="O519" s="238">
        <v>1.9</v>
      </c>
      <c r="P519" s="238">
        <f ca="1">ROUND(+IF(ISERROR(OFFSET(Tabella!$G$1,MATCH(H519,Tabella!$G:$G,0)-1,MATCH(I519,Tabella!$G$1:$FG$1,0)-1)=TRUE),0,OFFSET(Tabella!$G$1,MATCH(H519,Tabella!$G:$G,0)-1,MATCH(I519,Tabella!$G$1:$AB$1,0)-1)),4)</f>
        <v>0</v>
      </c>
      <c r="Q519" s="238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238">
        <f ca="1">ROUND(IF(ISERROR(OFFSET(Rame!$F$1,MATCH(H519,Rame!$F:$F,0)-1,MATCH(I519,Rame!$F$1:$FF$1,0)-1)=TRUE),0,OFFSET(Rame!$F$1,MATCH(H519,Rame!$F:$F,0)-1,MATCH(I519,Rame!$F$1:$FF$1,0)-1))*IF(E519="Rame",1,0),4)</f>
        <v>0</v>
      </c>
      <c r="S519" s="238">
        <f ca="1">ROUND(IF(ISERROR(OFFSET(Bronzo!$A$1,MATCH(H519,Bronzo!$A:$A,0)-1,MATCH(I519,Bronzo!$A$1:$AA$1,0)-1)=TRUE),0,OFFSET(Bronzo!$A$1,MATCH(H519,Bronzo!$A:$A,0)-1,MATCH(I519,Bronzo!$A$1:$AA$1,0)-1)),4)</f>
        <v>0</v>
      </c>
      <c r="T519" s="238">
        <f t="shared" ca="1" si="282"/>
        <v>0</v>
      </c>
      <c r="U519" s="237"/>
      <c r="V519" s="238">
        <v>0</v>
      </c>
      <c r="W519" s="239">
        <f t="shared" ca="1" si="283"/>
        <v>1.9</v>
      </c>
      <c r="X519" s="240">
        <f t="shared" si="276"/>
        <v>28</v>
      </c>
      <c r="Y519" s="236">
        <v>5.21</v>
      </c>
      <c r="Z519" s="236">
        <f t="shared" ca="1" si="284"/>
        <v>0.22</v>
      </c>
      <c r="AA519" s="241">
        <v>46302</v>
      </c>
      <c r="AF519" s="225">
        <f t="shared" ca="1" si="287"/>
        <v>46236</v>
      </c>
      <c r="AG519" s="225" t="b">
        <f t="shared" si="281"/>
        <v>0</v>
      </c>
      <c r="AH519" s="242"/>
      <c r="AS519" s="223">
        <f t="shared" si="285"/>
        <v>10</v>
      </c>
      <c r="AT519" s="223">
        <f t="shared" si="286"/>
        <v>2026</v>
      </c>
    </row>
    <row r="520" spans="1:46" ht="15.75" x14ac:dyDescent="0.25">
      <c r="B520" s="229" t="s">
        <v>727</v>
      </c>
      <c r="C520" s="235" t="s">
        <v>396</v>
      </c>
      <c r="D520" s="243">
        <v>300</v>
      </c>
      <c r="E520" s="232" t="s">
        <v>4</v>
      </c>
      <c r="F520" s="233">
        <v>3.09</v>
      </c>
      <c r="G520" s="234">
        <v>46161</v>
      </c>
      <c r="H520" s="235" t="s">
        <v>17</v>
      </c>
      <c r="I520" s="235"/>
      <c r="J520" s="236">
        <v>7.0000000000000007E-2</v>
      </c>
      <c r="K520" s="237">
        <f ca="1">ROUND(IF(ISERROR(OFFSET(Tabella!$A$1,MATCH(H520,Tabella!$A:$A,0)-1,MATCH(J520,Tabella!$A$1:$AC$1,0)-1)=TRUE),0,+OFFSET(Tabella!$A$1,MATCH(H520,Tabella!$A:$A,0)-1,MATCH(J520,Tabella!$A$1:$AC$1,0)-1)),4)</f>
        <v>1.4</v>
      </c>
      <c r="L520" s="238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238">
        <f ca="1">ROUND(IF(ISERROR(OFFSET(Rame!$A$1,MATCH(H520,Rame!$A:$A,0)-1,MATCH(J520,Rame!$A$1:$AA$1,0)-1)=TRUE),0,OFFSET(Rame!$A$1,MATCH(H520,Rame!$A:$A,0)-1,MATCH(J520,Rame!$A$1:$AA$1,0)-1))*IF(E520="Rame",1,0),4)</f>
        <v>0</v>
      </c>
      <c r="N520" s="238">
        <v>0</v>
      </c>
      <c r="O520" s="238">
        <v>2</v>
      </c>
      <c r="P520" s="238">
        <f ca="1">ROUND(+IF(ISERROR(OFFSET(Tabella!$G$1,MATCH(H520,Tabella!$G:$G,0)-1,MATCH(I520,Tabella!$G$1:$FG$1,0)-1)=TRUE),0,OFFSET(Tabella!$G$1,MATCH(H520,Tabella!$G:$G,0)-1,MATCH(I520,Tabella!$G$1:$AB$1,0)-1)),4)</f>
        <v>0</v>
      </c>
      <c r="Q520" s="238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238">
        <f ca="1">ROUND(IF(ISERROR(OFFSET(Rame!$F$1,MATCH(H520,Rame!$F:$F,0)-1,MATCH(I520,Rame!$F$1:$FF$1,0)-1)=TRUE),0,OFFSET(Rame!$F$1,MATCH(H520,Rame!$F:$F,0)-1,MATCH(I520,Rame!$F$1:$FF$1,0)-1))*IF(E520="Rame",1,0),4)</f>
        <v>0</v>
      </c>
      <c r="S520" s="238">
        <f ca="1">ROUND(IF(ISERROR(OFFSET(Bronzo!$A$1,MATCH(H520,Bronzo!$A:$A,0)-1,MATCH(I520,Bronzo!$A$1:$AA$1,0)-1)=TRUE),0,OFFSET(Bronzo!$A$1,MATCH(H520,Bronzo!$A:$A,0)-1,MATCH(I520,Bronzo!$A$1:$AA$1,0)-1)),4)</f>
        <v>0</v>
      </c>
      <c r="T520" s="238">
        <f t="shared" ca="1" si="282"/>
        <v>0</v>
      </c>
      <c r="U520" s="237"/>
      <c r="V520" s="238">
        <v>0</v>
      </c>
      <c r="W520" s="239">
        <f t="shared" ca="1" si="283"/>
        <v>2</v>
      </c>
      <c r="X520" s="240">
        <f t="shared" si="276"/>
        <v>21</v>
      </c>
      <c r="Y520" s="236">
        <v>5.31</v>
      </c>
      <c r="Z520" s="236">
        <f t="shared" ca="1" si="284"/>
        <v>0.22</v>
      </c>
      <c r="AA520" s="241">
        <v>46302</v>
      </c>
      <c r="AF520" s="225">
        <f t="shared" ca="1" si="287"/>
        <v>46236</v>
      </c>
      <c r="AG520" s="225" t="b">
        <f t="shared" si="281"/>
        <v>0</v>
      </c>
      <c r="AH520" s="242"/>
      <c r="AS520" s="223">
        <f t="shared" si="285"/>
        <v>10</v>
      </c>
      <c r="AT520" s="223">
        <f t="shared" si="286"/>
        <v>2026</v>
      </c>
    </row>
    <row r="521" spans="1:46" ht="15.75" x14ac:dyDescent="0.25">
      <c r="B521" s="229" t="s">
        <v>727</v>
      </c>
      <c r="C521" s="235" t="s">
        <v>396</v>
      </c>
      <c r="D521" s="243">
        <v>300</v>
      </c>
      <c r="E521" s="232" t="s">
        <v>4</v>
      </c>
      <c r="F521" s="233">
        <v>3.09</v>
      </c>
      <c r="G521" s="234">
        <v>46161</v>
      </c>
      <c r="H521" s="235" t="s">
        <v>308</v>
      </c>
      <c r="I521" s="235"/>
      <c r="J521" s="236">
        <v>7.0000000000000007E-2</v>
      </c>
      <c r="K521" s="237">
        <f ca="1">ROUND(IF(ISERROR(OFFSET(Tabella!$A$1,MATCH(H521,Tabella!$A:$A,0)-1,MATCH(J521,Tabella!$A$1:$AC$1,0)-1)=TRUE),0,+OFFSET(Tabella!$A$1,MATCH(H521,Tabella!$A:$A,0)-1,MATCH(J521,Tabella!$A$1:$AC$1,0)-1)),4)</f>
        <v>1.25</v>
      </c>
      <c r="L521" s="238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238">
        <f ca="1">ROUND(IF(ISERROR(OFFSET(Rame!$A$1,MATCH(H521,Rame!$A:$A,0)-1,MATCH(J521,Rame!$A$1:$AA$1,0)-1)=TRUE),0,OFFSET(Rame!$A$1,MATCH(H521,Rame!$A:$A,0)-1,MATCH(J521,Rame!$A$1:$AA$1,0)-1))*IF(E521="Rame",1,0),4)</f>
        <v>0</v>
      </c>
      <c r="N521" s="238">
        <v>0</v>
      </c>
      <c r="O521" s="238">
        <v>1.9</v>
      </c>
      <c r="P521" s="238">
        <f ca="1">ROUND(+IF(ISERROR(OFFSET(Tabella!$G$1,MATCH(H521,Tabella!$G:$G,0)-1,MATCH(I521,Tabella!$G$1:$FG$1,0)-1)=TRUE),0,OFFSET(Tabella!$G$1,MATCH(H521,Tabella!$G:$G,0)-1,MATCH(I521,Tabella!$G$1:$AB$1,0)-1)),4)</f>
        <v>0</v>
      </c>
      <c r="Q521" s="238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238">
        <f ca="1">ROUND(IF(ISERROR(OFFSET(Rame!$F$1,MATCH(H521,Rame!$F:$F,0)-1,MATCH(I521,Rame!$F$1:$FF$1,0)-1)=TRUE),0,OFFSET(Rame!$F$1,MATCH(H521,Rame!$F:$F,0)-1,MATCH(I521,Rame!$F$1:$FF$1,0)-1))*IF(E521="Rame",1,0),4)</f>
        <v>0</v>
      </c>
      <c r="S521" s="238">
        <f ca="1">ROUND(IF(ISERROR(OFFSET(Bronzo!$A$1,MATCH(H521,Bronzo!$A:$A,0)-1,MATCH(I521,Bronzo!$A$1:$AA$1,0)-1)=TRUE),0,OFFSET(Bronzo!$A$1,MATCH(H521,Bronzo!$A:$A,0)-1,MATCH(I521,Bronzo!$A$1:$AA$1,0)-1)),4)</f>
        <v>0</v>
      </c>
      <c r="T521" s="238">
        <f t="shared" ca="1" si="282"/>
        <v>0</v>
      </c>
      <c r="U521" s="237"/>
      <c r="V521" s="238">
        <v>0</v>
      </c>
      <c r="W521" s="239">
        <f t="shared" ca="1" si="283"/>
        <v>1.9</v>
      </c>
      <c r="X521" s="240">
        <f t="shared" si="276"/>
        <v>21</v>
      </c>
      <c r="Y521" s="236">
        <v>5.21</v>
      </c>
      <c r="Z521" s="236">
        <f t="shared" ca="1" si="284"/>
        <v>0.22</v>
      </c>
      <c r="AA521" s="241">
        <v>46302</v>
      </c>
      <c r="AF521" s="225">
        <f t="shared" ca="1" si="287"/>
        <v>46236</v>
      </c>
      <c r="AG521" s="225" t="b">
        <f t="shared" si="281"/>
        <v>0</v>
      </c>
      <c r="AH521" s="242"/>
      <c r="AS521" s="223">
        <f t="shared" si="285"/>
        <v>10</v>
      </c>
      <c r="AT521" s="223">
        <f t="shared" si="286"/>
        <v>2026</v>
      </c>
    </row>
    <row r="522" spans="1:46" ht="15.75" x14ac:dyDescent="0.25">
      <c r="B522" s="229" t="s">
        <v>736</v>
      </c>
      <c r="C522" s="235" t="s">
        <v>263</v>
      </c>
      <c r="D522" s="243">
        <v>1000</v>
      </c>
      <c r="E522" s="232" t="s">
        <v>4</v>
      </c>
      <c r="F522" s="233">
        <v>3.03</v>
      </c>
      <c r="G522" s="234">
        <v>46157</v>
      </c>
      <c r="H522" s="235" t="s">
        <v>22</v>
      </c>
      <c r="I522" s="235"/>
      <c r="J522" s="236">
        <v>7.0000000000000007E-2</v>
      </c>
      <c r="K522" s="237">
        <f ca="1">ROUND(IF(ISERROR(OFFSET(Tabella!$A$1,MATCH(H522,Tabella!$A:$A,0)-1,MATCH(J522,Tabella!$A$1:$AC$1,0)-1)=TRUE),0,+OFFSET(Tabella!$A$1,MATCH(H522,Tabella!$A:$A,0)-1,MATCH(J522,Tabella!$A$1:$AC$1,0)-1)),4)</f>
        <v>1.25</v>
      </c>
      <c r="L522" s="238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238">
        <f ca="1">ROUND(IF(ISERROR(OFFSET(Rame!$A$1,MATCH(H522,Rame!$A:$A,0)-1,MATCH(J522,Rame!$A$1:$AA$1,0)-1)=TRUE),0,OFFSET(Rame!$A$1,MATCH(H522,Rame!$A:$A,0)-1,MATCH(J522,Rame!$A$1:$AA$1,0)-1))*IF(E522="Rame",1,0),4)</f>
        <v>0</v>
      </c>
      <c r="N522" s="238">
        <v>0</v>
      </c>
      <c r="O522" s="238">
        <v>1.73</v>
      </c>
      <c r="P522" s="238">
        <f ca="1">ROUND(+IF(ISERROR(OFFSET(Tabella!$G$1,MATCH(H522,Tabella!$G:$G,0)-1,MATCH(I522,Tabella!$G$1:$FG$1,0)-1)=TRUE),0,OFFSET(Tabella!$G$1,MATCH(H522,Tabella!$G:$G,0)-1,MATCH(I522,Tabella!$G$1:$AB$1,0)-1)),4)</f>
        <v>0</v>
      </c>
      <c r="Q522" s="238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238">
        <f ca="1">ROUND(IF(ISERROR(OFFSET(Rame!$F$1,MATCH(H522,Rame!$F:$F,0)-1,MATCH(I522,Rame!$F$1:$FF$1,0)-1)=TRUE),0,OFFSET(Rame!$F$1,MATCH(H522,Rame!$F:$F,0)-1,MATCH(I522,Rame!$F$1:$FF$1,0)-1))*IF(E522="Rame",1,0),4)</f>
        <v>0</v>
      </c>
      <c r="S522" s="238">
        <f ca="1">ROUND(IF(ISERROR(OFFSET(Bronzo!$A$1,MATCH(H522,Bronzo!$A:$A,0)-1,MATCH(I522,Bronzo!$A$1:$AA$1,0)-1)=TRUE),0,OFFSET(Bronzo!$A$1,MATCH(H522,Bronzo!$A:$A,0)-1,MATCH(I522,Bronzo!$A$1:$AA$1,0)-1)),4)</f>
        <v>0</v>
      </c>
      <c r="T522" s="238">
        <f t="shared" ca="1" si="282"/>
        <v>0</v>
      </c>
      <c r="U522" s="237"/>
      <c r="V522" s="238">
        <v>0</v>
      </c>
      <c r="W522" s="239">
        <f t="shared" ca="1" si="283"/>
        <v>1.73</v>
      </c>
      <c r="X522" s="240">
        <f t="shared" si="276"/>
        <v>70</v>
      </c>
      <c r="Y522" s="236">
        <v>4.71</v>
      </c>
      <c r="Z522" s="236">
        <f t="shared" ca="1" si="284"/>
        <v>-0.05</v>
      </c>
      <c r="AA522" s="241">
        <v>46182</v>
      </c>
      <c r="AF522" s="225">
        <f t="shared" ca="1" si="287"/>
        <v>46236</v>
      </c>
      <c r="AG522" s="225" t="b">
        <f t="shared" si="281"/>
        <v>0</v>
      </c>
      <c r="AH522" s="242"/>
      <c r="AS522" s="223">
        <f t="shared" si="285"/>
        <v>6</v>
      </c>
      <c r="AT522" s="223">
        <f t="shared" si="286"/>
        <v>2026</v>
      </c>
    </row>
    <row r="523" spans="1:46" ht="15.75" x14ac:dyDescent="0.25">
      <c r="B523" s="229" t="s">
        <v>737</v>
      </c>
      <c r="C523" s="235" t="s">
        <v>263</v>
      </c>
      <c r="D523" s="243">
        <v>1000</v>
      </c>
      <c r="E523" s="232" t="s">
        <v>4</v>
      </c>
      <c r="F523" s="233">
        <v>3.03</v>
      </c>
      <c r="G523" s="234">
        <v>46161</v>
      </c>
      <c r="H523" s="235" t="s">
        <v>243</v>
      </c>
      <c r="I523" s="235"/>
      <c r="J523" s="236">
        <v>7.0000000000000007E-2</v>
      </c>
      <c r="K523" s="237">
        <f ca="1">ROUND(IF(ISERROR(OFFSET(Tabella!$A$1,MATCH(H523,Tabella!$A:$A,0)-1,MATCH(J523,Tabella!$A$1:$AC$1,0)-1)=TRUE),0,+OFFSET(Tabella!$A$1,MATCH(H523,Tabella!$A:$A,0)-1,MATCH(J523,Tabella!$A$1:$AC$1,0)-1)),4)</f>
        <v>1.4</v>
      </c>
      <c r="L523" s="238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238">
        <f ca="1">ROUND(IF(ISERROR(OFFSET(Rame!$A$1,MATCH(H523,Rame!$A:$A,0)-1,MATCH(J523,Rame!$A$1:$AA$1,0)-1)=TRUE),0,OFFSET(Rame!$A$1,MATCH(H523,Rame!$A:$A,0)-1,MATCH(J523,Rame!$A$1:$AA$1,0)-1))*IF(E523="Rame",1,0),4)</f>
        <v>0</v>
      </c>
      <c r="N523" s="238">
        <v>0</v>
      </c>
      <c r="O523" s="238">
        <v>1.83</v>
      </c>
      <c r="P523" s="238">
        <f ca="1">ROUND(+IF(ISERROR(OFFSET(Tabella!$G$1,MATCH(H523,Tabella!$G:$G,0)-1,MATCH(I523,Tabella!$G$1:$FG$1,0)-1)=TRUE),0,OFFSET(Tabella!$G$1,MATCH(H523,Tabella!$G:$G,0)-1,MATCH(I523,Tabella!$G$1:$AB$1,0)-1)),4)</f>
        <v>0</v>
      </c>
      <c r="Q523" s="238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238">
        <f ca="1">ROUND(IF(ISERROR(OFFSET(Rame!$F$1,MATCH(H523,Rame!$F:$F,0)-1,MATCH(I523,Rame!$F$1:$FF$1,0)-1)=TRUE),0,OFFSET(Rame!$F$1,MATCH(H523,Rame!$F:$F,0)-1,MATCH(I523,Rame!$F$1:$FF$1,0)-1))*IF(E523="Rame",1,0),4)</f>
        <v>0</v>
      </c>
      <c r="S523" s="238">
        <f ca="1">ROUND(IF(ISERROR(OFFSET(Bronzo!$A$1,MATCH(H523,Bronzo!$A:$A,0)-1,MATCH(I523,Bronzo!$A$1:$AA$1,0)-1)=TRUE),0,OFFSET(Bronzo!$A$1,MATCH(H523,Bronzo!$A:$A,0)-1,MATCH(I523,Bronzo!$A$1:$AA$1,0)-1)),4)</f>
        <v>0</v>
      </c>
      <c r="T523" s="238">
        <f t="shared" ca="1" si="282"/>
        <v>0</v>
      </c>
      <c r="U523" s="237"/>
      <c r="V523" s="238">
        <v>0</v>
      </c>
      <c r="W523" s="239">
        <f t="shared" ca="1" si="283"/>
        <v>1.83</v>
      </c>
      <c r="X523" s="240">
        <f t="shared" si="276"/>
        <v>70</v>
      </c>
      <c r="Y523" s="236">
        <v>4.8099999999999996</v>
      </c>
      <c r="Z523" s="236">
        <f t="shared" ca="1" si="284"/>
        <v>-0.05</v>
      </c>
      <c r="AA523" s="241">
        <v>46196</v>
      </c>
      <c r="AF523" s="225">
        <f t="shared" ca="1" si="287"/>
        <v>46236</v>
      </c>
      <c r="AG523" s="225" t="b">
        <f t="shared" si="281"/>
        <v>0</v>
      </c>
      <c r="AH523" s="242"/>
      <c r="AS523" s="223">
        <f t="shared" si="285"/>
        <v>6</v>
      </c>
      <c r="AT523" s="223">
        <f t="shared" si="286"/>
        <v>2026</v>
      </c>
    </row>
    <row r="524" spans="1:46" ht="15.75" x14ac:dyDescent="0.25">
      <c r="B524" s="229" t="s">
        <v>742</v>
      </c>
      <c r="C524" s="235" t="s">
        <v>263</v>
      </c>
      <c r="D524" s="243">
        <v>700</v>
      </c>
      <c r="E524" s="232" t="s">
        <v>4</v>
      </c>
      <c r="F524" s="233">
        <v>3.03</v>
      </c>
      <c r="G524" s="234">
        <v>46162</v>
      </c>
      <c r="H524" s="235" t="s">
        <v>22</v>
      </c>
      <c r="I524" s="235"/>
      <c r="J524" s="236">
        <v>7.0000000000000007E-2</v>
      </c>
      <c r="K524" s="237">
        <f ca="1">ROUND(IF(ISERROR(OFFSET(Tabella!$A$1,MATCH(H524,Tabella!$A:$A,0)-1,MATCH(J524,Tabella!$A$1:$AC$1,0)-1)=TRUE),0,+OFFSET(Tabella!$A$1,MATCH(H524,Tabella!$A:$A,0)-1,MATCH(J524,Tabella!$A$1:$AC$1,0)-1)),4)</f>
        <v>1.25</v>
      </c>
      <c r="L524" s="238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238">
        <f ca="1">ROUND(IF(ISERROR(OFFSET(Rame!$A$1,MATCH(H524,Rame!$A:$A,0)-1,MATCH(J524,Rame!$A$1:$AA$1,0)-1)=TRUE),0,OFFSET(Rame!$A$1,MATCH(H524,Rame!$A:$A,0)-1,MATCH(J524,Rame!$A$1:$AA$1,0)-1))*IF(E524="Rame",1,0),4)</f>
        <v>0</v>
      </c>
      <c r="N524" s="238">
        <v>0</v>
      </c>
      <c r="O524" s="238">
        <v>1.73</v>
      </c>
      <c r="P524" s="238">
        <f ca="1">ROUND(+IF(ISERROR(OFFSET(Tabella!$G$1,MATCH(H524,Tabella!$G:$G,0)-1,MATCH(I524,Tabella!$G$1:$FG$1,0)-1)=TRUE),0,OFFSET(Tabella!$G$1,MATCH(H524,Tabella!$G:$G,0)-1,MATCH(I524,Tabella!$G$1:$AB$1,0)-1)),4)</f>
        <v>0</v>
      </c>
      <c r="Q524" s="238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238">
        <f ca="1">ROUND(IF(ISERROR(OFFSET(Rame!$F$1,MATCH(H524,Rame!$F:$F,0)-1,MATCH(I524,Rame!$F$1:$FF$1,0)-1)=TRUE),0,OFFSET(Rame!$F$1,MATCH(H524,Rame!$F:$F,0)-1,MATCH(I524,Rame!$F$1:$FF$1,0)-1))*IF(E524="Rame",1,0),4)</f>
        <v>0</v>
      </c>
      <c r="S524" s="238">
        <f ca="1">ROUND(IF(ISERROR(OFFSET(Bronzo!$A$1,MATCH(H524,Bronzo!$A:$A,0)-1,MATCH(I524,Bronzo!$A$1:$AA$1,0)-1)=TRUE),0,OFFSET(Bronzo!$A$1,MATCH(H524,Bronzo!$A:$A,0)-1,MATCH(I524,Bronzo!$A$1:$AA$1,0)-1)),4)</f>
        <v>0</v>
      </c>
      <c r="T524" s="238">
        <f t="shared" ca="1" si="282"/>
        <v>0</v>
      </c>
      <c r="U524" s="237"/>
      <c r="V524" s="238">
        <v>0</v>
      </c>
      <c r="W524" s="239">
        <f t="shared" ca="1" si="283"/>
        <v>1.73</v>
      </c>
      <c r="X524" s="240">
        <f t="shared" si="276"/>
        <v>49</v>
      </c>
      <c r="Y524" s="236">
        <v>4.71</v>
      </c>
      <c r="Z524" s="236">
        <f t="shared" ca="1" si="284"/>
        <v>-0.05</v>
      </c>
      <c r="AA524" s="241">
        <v>46185</v>
      </c>
      <c r="AF524" s="225">
        <f t="shared" ca="1" si="287"/>
        <v>46236</v>
      </c>
      <c r="AG524" s="225" t="b">
        <f t="shared" si="281"/>
        <v>0</v>
      </c>
      <c r="AH524" s="242"/>
      <c r="AS524" s="223">
        <f t="shared" si="285"/>
        <v>6</v>
      </c>
      <c r="AT524" s="223">
        <f t="shared" si="286"/>
        <v>2026</v>
      </c>
    </row>
    <row r="525" spans="1:46" ht="15.75" x14ac:dyDescent="0.25">
      <c r="B525" s="229" t="s">
        <v>742</v>
      </c>
      <c r="C525" s="235" t="s">
        <v>263</v>
      </c>
      <c r="D525" s="243">
        <v>500</v>
      </c>
      <c r="E525" s="232" t="s">
        <v>4</v>
      </c>
      <c r="F525" s="233">
        <v>3.03</v>
      </c>
      <c r="G525" s="234">
        <v>46162</v>
      </c>
      <c r="H525" s="235" t="s">
        <v>13</v>
      </c>
      <c r="I525" s="235"/>
      <c r="J525" s="236">
        <v>7.0000000000000007E-2</v>
      </c>
      <c r="K525" s="237">
        <f ca="1">ROUND(IF(ISERROR(OFFSET(Tabella!$A$1,MATCH(H525,Tabella!$A:$A,0)-1,MATCH(J525,Tabella!$A$1:$AC$1,0)-1)=TRUE),0,+OFFSET(Tabella!$A$1,MATCH(H525,Tabella!$A:$A,0)-1,MATCH(J525,Tabella!$A$1:$AC$1,0)-1)),4)</f>
        <v>1.4</v>
      </c>
      <c r="L525" s="238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238">
        <f ca="1">ROUND(IF(ISERROR(OFFSET(Rame!$A$1,MATCH(H525,Rame!$A:$A,0)-1,MATCH(J525,Rame!$A$1:$AA$1,0)-1)=TRUE),0,OFFSET(Rame!$A$1,MATCH(H525,Rame!$A:$A,0)-1,MATCH(J525,Rame!$A$1:$AA$1,0)-1))*IF(E525="Rame",1,0),4)</f>
        <v>0</v>
      </c>
      <c r="N525" s="238">
        <v>0</v>
      </c>
      <c r="O525" s="238">
        <v>1.88</v>
      </c>
      <c r="P525" s="238">
        <f ca="1">ROUND(+IF(ISERROR(OFFSET(Tabella!$G$1,MATCH(H525,Tabella!$G:$G,0)-1,MATCH(I525,Tabella!$G$1:$FG$1,0)-1)=TRUE),0,OFFSET(Tabella!$G$1,MATCH(H525,Tabella!$G:$G,0)-1,MATCH(I525,Tabella!$G$1:$AB$1,0)-1)),4)</f>
        <v>0</v>
      </c>
      <c r="Q525" s="238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238">
        <f ca="1">ROUND(IF(ISERROR(OFFSET(Rame!$F$1,MATCH(H525,Rame!$F:$F,0)-1,MATCH(I525,Rame!$F$1:$FF$1,0)-1)=TRUE),0,OFFSET(Rame!$F$1,MATCH(H525,Rame!$F:$F,0)-1,MATCH(I525,Rame!$F$1:$FF$1,0)-1))*IF(E525="Rame",1,0),4)</f>
        <v>0</v>
      </c>
      <c r="S525" s="238">
        <f ca="1">ROUND(IF(ISERROR(OFFSET(Bronzo!$A$1,MATCH(H525,Bronzo!$A:$A,0)-1,MATCH(I525,Bronzo!$A$1:$AA$1,0)-1)=TRUE),0,OFFSET(Bronzo!$A$1,MATCH(H525,Bronzo!$A:$A,0)-1,MATCH(I525,Bronzo!$A$1:$AA$1,0)-1)),4)</f>
        <v>0</v>
      </c>
      <c r="T525" s="238">
        <f t="shared" ca="1" si="282"/>
        <v>0</v>
      </c>
      <c r="U525" s="237"/>
      <c r="V525" s="238">
        <v>0</v>
      </c>
      <c r="W525" s="239">
        <f t="shared" ca="1" si="283"/>
        <v>1.88</v>
      </c>
      <c r="X525" s="240">
        <f t="shared" si="276"/>
        <v>35</v>
      </c>
      <c r="Y525" s="236">
        <v>4.8600000000000003</v>
      </c>
      <c r="Z525" s="236">
        <f t="shared" ca="1" si="284"/>
        <v>-0.05</v>
      </c>
      <c r="AA525" s="241">
        <v>46185</v>
      </c>
      <c r="AF525" s="225">
        <f t="shared" ca="1" si="287"/>
        <v>46236</v>
      </c>
      <c r="AG525" s="225" t="b">
        <f t="shared" si="281"/>
        <v>0</v>
      </c>
      <c r="AH525" s="242"/>
      <c r="AS525" s="223">
        <f t="shared" si="285"/>
        <v>6</v>
      </c>
      <c r="AT525" s="223">
        <f t="shared" si="286"/>
        <v>2026</v>
      </c>
    </row>
    <row r="526" spans="1:46" customFormat="1" ht="15.75" x14ac:dyDescent="0.25">
      <c r="A526" s="372"/>
      <c r="B526" s="229" t="s">
        <v>742</v>
      </c>
      <c r="C526" s="235" t="s">
        <v>263</v>
      </c>
      <c r="D526" s="403">
        <v>1000</v>
      </c>
      <c r="E526" s="404" t="s">
        <v>4</v>
      </c>
      <c r="F526" s="233">
        <v>3.03</v>
      </c>
      <c r="G526" s="234">
        <v>46162</v>
      </c>
      <c r="H526" s="407" t="s">
        <v>13</v>
      </c>
      <c r="I526" s="407"/>
      <c r="J526" s="236">
        <v>7.0000000000000007E-2</v>
      </c>
      <c r="K526" s="415">
        <f ca="1">ROUND(IF(ISERROR(OFFSET(Tabella!$A$1,MATCH(H526,Tabella!$A:$A,0)-1,MATCH(J526,Tabella!$A$1:$AC$1,0)-1)=TRUE),0,+OFFSET(Tabella!$A$1,MATCH(H526,Tabella!$A:$A,0)-1,MATCH(J526,Tabella!$A$1:$AC$1,0)-1)),4)</f>
        <v>1.4</v>
      </c>
      <c r="L526" s="417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17">
        <f ca="1">ROUND(IF(ISERROR(OFFSET(Rame!$A$1,MATCH(H526,Rame!$A:$A,0)-1,MATCH(J526,Rame!$A$1:$AA$1,0)-1)=TRUE),0,OFFSET(Rame!$A$1,MATCH(H526,Rame!$A:$A,0)-1,MATCH(J526,Rame!$A$1:$AA$1,0)-1))*IF(E526="Rame",1,0),4)</f>
        <v>0</v>
      </c>
      <c r="N526" s="417"/>
      <c r="O526" s="417">
        <v>1.88</v>
      </c>
      <c r="P526" s="417">
        <f ca="1">ROUND(+IF(ISERROR(OFFSET(Tabella!$G$1,MATCH(H526,Tabella!$G:$G,0)-1,MATCH(I526,Tabella!$G$1:$FG$1,0)-1)=TRUE),0,OFFSET(Tabella!$G$1,MATCH(H526,Tabella!$G:$G,0)-1,MATCH(I526,Tabella!$G$1:$AB$1,0)-1)),4)</f>
        <v>0</v>
      </c>
      <c r="Q526" s="417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17">
        <f ca="1">ROUND(IF(ISERROR(OFFSET(Rame!$F$1,MATCH(H526,Rame!$F:$F,0)-1,MATCH(I526,Rame!$F$1:$FF$1,0)-1)=TRUE),0,OFFSET(Rame!$F$1,MATCH(H526,Rame!$F:$F,0)-1,MATCH(I526,Rame!$F$1:$FF$1,0)-1))*IF(E526="Rame",1,0),4)</f>
        <v>0</v>
      </c>
      <c r="S526" s="417">
        <f ca="1">ROUND(IF(ISERROR(OFFSET(Bronzo!$A$1,MATCH(H526,Bronzo!$A:$A,0)-1,MATCH(I526,Bronzo!$A$1:$AA$1,0)-1)=TRUE),0,OFFSET(Bronzo!$A$1,MATCH(H526,Bronzo!$A:$A,0)-1,MATCH(I526,Bronzo!$A$1:$AA$1,0)-1)),4)</f>
        <v>0</v>
      </c>
      <c r="T526" s="417">
        <f t="shared" ca="1" si="282"/>
        <v>0</v>
      </c>
      <c r="U526" s="415"/>
      <c r="V526" s="417">
        <v>0</v>
      </c>
      <c r="W526" s="419">
        <f t="shared" ca="1" si="283"/>
        <v>1.88</v>
      </c>
      <c r="X526" s="421">
        <f t="shared" si="276"/>
        <v>70</v>
      </c>
      <c r="Y526" s="413">
        <v>4.8600000000000003</v>
      </c>
      <c r="Z526" s="413">
        <f t="shared" ca="1" si="284"/>
        <v>-0.05</v>
      </c>
      <c r="AA526" s="408">
        <v>46196</v>
      </c>
      <c r="AF526" s="225">
        <f t="shared" ca="1" si="287"/>
        <v>46236</v>
      </c>
      <c r="AG526" s="225" t="b">
        <f t="shared" si="281"/>
        <v>0</v>
      </c>
      <c r="AH526" s="409">
        <f ca="1">IF(AG526=FALSE,_xlfn.DAYS(AA526,AF526),"")</f>
        <v>-40</v>
      </c>
      <c r="AK526">
        <f>WEEKNUM(AA526)</f>
        <v>26</v>
      </c>
      <c r="AL526">
        <f>YEAR(AA526)</f>
        <v>2026</v>
      </c>
      <c r="AS526" s="223">
        <f t="shared" si="285"/>
        <v>6</v>
      </c>
      <c r="AT526" s="223">
        <f t="shared" si="286"/>
        <v>2026</v>
      </c>
    </row>
    <row r="527" spans="1:46" ht="15.75" x14ac:dyDescent="0.25">
      <c r="B527" s="229" t="s">
        <v>742</v>
      </c>
      <c r="C527" s="235" t="s">
        <v>263</v>
      </c>
      <c r="D527" s="243">
        <v>1300</v>
      </c>
      <c r="E527" s="232" t="s">
        <v>4</v>
      </c>
      <c r="F527" s="233">
        <v>3.03</v>
      </c>
      <c r="G527" s="234">
        <v>46162</v>
      </c>
      <c r="H527" s="235" t="s">
        <v>25</v>
      </c>
      <c r="I527" s="235"/>
      <c r="J527" s="236">
        <v>7.0000000000000007E-2</v>
      </c>
      <c r="K527" s="237">
        <f ca="1">ROUND(IF(ISERROR(OFFSET(Tabella!$A$1,MATCH(H527,Tabella!$A:$A,0)-1,MATCH(J527,Tabella!$A$1:$AC$1,0)-1)=TRUE),0,+OFFSET(Tabella!$A$1,MATCH(H527,Tabella!$A:$A,0)-1,MATCH(J527,Tabella!$A$1:$AC$1,0)-1)),4)</f>
        <v>1.25</v>
      </c>
      <c r="L527" s="238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238">
        <f ca="1">ROUND(IF(ISERROR(OFFSET(Rame!$A$1,MATCH(H527,Rame!$A:$A,0)-1,MATCH(J527,Rame!$A$1:$AA$1,0)-1)=TRUE),0,OFFSET(Rame!$A$1,MATCH(H527,Rame!$A:$A,0)-1,MATCH(J527,Rame!$A$1:$AA$1,0)-1))*IF(E527="Rame",1,0),4)</f>
        <v>0</v>
      </c>
      <c r="N527" s="238">
        <v>0</v>
      </c>
      <c r="O527" s="238">
        <v>1.73</v>
      </c>
      <c r="P527" s="238">
        <f ca="1">ROUND(+IF(ISERROR(OFFSET(Tabella!$G$1,MATCH(H527,Tabella!$G:$G,0)-1,MATCH(I527,Tabella!$G$1:$FG$1,0)-1)=TRUE),0,OFFSET(Tabella!$G$1,MATCH(H527,Tabella!$G:$G,0)-1,MATCH(I527,Tabella!$G$1:$AB$1,0)-1)),4)</f>
        <v>0</v>
      </c>
      <c r="Q527" s="238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238">
        <f ca="1">ROUND(IF(ISERROR(OFFSET(Rame!$F$1,MATCH(H527,Rame!$F:$F,0)-1,MATCH(I527,Rame!$F$1:$FF$1,0)-1)=TRUE),0,OFFSET(Rame!$F$1,MATCH(H527,Rame!$F:$F,0)-1,MATCH(I527,Rame!$F$1:$FF$1,0)-1))*IF(E527="Rame",1,0),4)</f>
        <v>0</v>
      </c>
      <c r="S527" s="238">
        <f ca="1">ROUND(IF(ISERROR(OFFSET(Bronzo!$A$1,MATCH(H527,Bronzo!$A:$A,0)-1,MATCH(I527,Bronzo!$A$1:$AA$1,0)-1)=TRUE),0,OFFSET(Bronzo!$A$1,MATCH(H527,Bronzo!$A:$A,0)-1,MATCH(I527,Bronzo!$A$1:$AA$1,0)-1)),4)</f>
        <v>0</v>
      </c>
      <c r="T527" s="238">
        <f t="shared" ca="1" si="282"/>
        <v>0</v>
      </c>
      <c r="U527" s="237"/>
      <c r="V527" s="238">
        <v>0</v>
      </c>
      <c r="W527" s="239">
        <f t="shared" ca="1" si="283"/>
        <v>1.73</v>
      </c>
      <c r="X527" s="240">
        <f t="shared" si="276"/>
        <v>91</v>
      </c>
      <c r="Y527" s="236">
        <v>4.71</v>
      </c>
      <c r="Z527" s="236">
        <f t="shared" ca="1" si="284"/>
        <v>-0.05</v>
      </c>
      <c r="AA527" s="241">
        <v>46185</v>
      </c>
      <c r="AF527" s="225">
        <f t="shared" ca="1" si="287"/>
        <v>46236</v>
      </c>
      <c r="AG527" s="225" t="b">
        <f t="shared" si="281"/>
        <v>0</v>
      </c>
      <c r="AH527" s="242"/>
      <c r="AS527" s="223">
        <f t="shared" si="285"/>
        <v>6</v>
      </c>
      <c r="AT527" s="223">
        <f t="shared" si="286"/>
        <v>2026</v>
      </c>
    </row>
    <row r="528" spans="1:46" ht="15.75" x14ac:dyDescent="0.25">
      <c r="B528" s="229" t="s">
        <v>742</v>
      </c>
      <c r="C528" s="235" t="s">
        <v>263</v>
      </c>
      <c r="D528" s="243">
        <v>800</v>
      </c>
      <c r="E528" s="232" t="s">
        <v>4</v>
      </c>
      <c r="F528" s="233">
        <v>3.03</v>
      </c>
      <c r="G528" s="234">
        <v>46162</v>
      </c>
      <c r="H528" s="235" t="s">
        <v>9</v>
      </c>
      <c r="I528" s="235"/>
      <c r="J528" s="236">
        <v>7.0000000000000007E-2</v>
      </c>
      <c r="K528" s="237">
        <f ca="1">ROUND(IF(ISERROR(OFFSET(Tabella!$A$1,MATCH(H528,Tabella!$A:$A,0)-1,MATCH(J528,Tabella!$A$1:$AC$1,0)-1)=TRUE),0,+OFFSET(Tabella!$A$1,MATCH(H528,Tabella!$A:$A,0)-1,MATCH(J528,Tabella!$A$1:$AC$1,0)-1)),4)</f>
        <v>1.6</v>
      </c>
      <c r="L528" s="238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238">
        <f ca="1">ROUND(IF(ISERROR(OFFSET(Rame!$A$1,MATCH(H528,Rame!$A:$A,0)-1,MATCH(J528,Rame!$A$1:$AA$1,0)-1)=TRUE),0,OFFSET(Rame!$A$1,MATCH(H528,Rame!$A:$A,0)-1,MATCH(J528,Rame!$A$1:$AA$1,0)-1))*IF(E528="Rame",1,0),4)</f>
        <v>0</v>
      </c>
      <c r="N528" s="238">
        <v>0</v>
      </c>
      <c r="O528" s="238">
        <v>2.0299999999999998</v>
      </c>
      <c r="P528" s="238">
        <f ca="1">ROUND(+IF(ISERROR(OFFSET(Tabella!$G$1,MATCH(H528,Tabella!$G:$G,0)-1,MATCH(I528,Tabella!$G$1:$FG$1,0)-1)=TRUE),0,OFFSET(Tabella!$G$1,MATCH(H528,Tabella!$G:$G,0)-1,MATCH(I528,Tabella!$G$1:$AB$1,0)-1)),4)</f>
        <v>0</v>
      </c>
      <c r="Q528" s="238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238">
        <f ca="1">ROUND(IF(ISERROR(OFFSET(Rame!$F$1,MATCH(H528,Rame!$F:$F,0)-1,MATCH(I528,Rame!$F$1:$FF$1,0)-1)=TRUE),0,OFFSET(Rame!$F$1,MATCH(H528,Rame!$F:$F,0)-1,MATCH(I528,Rame!$F$1:$FF$1,0)-1))*IF(E528="Rame",1,0),4)</f>
        <v>0</v>
      </c>
      <c r="S528" s="238">
        <f ca="1">ROUND(IF(ISERROR(OFFSET(Bronzo!$A$1,MATCH(H528,Bronzo!$A:$A,0)-1,MATCH(I528,Bronzo!$A$1:$AA$1,0)-1)=TRUE),0,OFFSET(Bronzo!$A$1,MATCH(H528,Bronzo!$A:$A,0)-1,MATCH(I528,Bronzo!$A$1:$AA$1,0)-1)),4)</f>
        <v>0</v>
      </c>
      <c r="T528" s="238">
        <f t="shared" ca="1" si="282"/>
        <v>0</v>
      </c>
      <c r="U528" s="237"/>
      <c r="V528" s="238">
        <v>0</v>
      </c>
      <c r="W528" s="239">
        <f t="shared" ca="1" si="283"/>
        <v>2.0299999999999998</v>
      </c>
      <c r="X528" s="240">
        <f t="shared" si="276"/>
        <v>56</v>
      </c>
      <c r="Y528" s="236">
        <v>5.01</v>
      </c>
      <c r="Z528" s="236">
        <f t="shared" ca="1" si="284"/>
        <v>-0.05</v>
      </c>
      <c r="AA528" s="241">
        <v>46185</v>
      </c>
      <c r="AF528" s="225">
        <f t="shared" ca="1" si="287"/>
        <v>46236</v>
      </c>
      <c r="AG528" s="225" t="b">
        <f t="shared" si="281"/>
        <v>0</v>
      </c>
      <c r="AH528" s="242"/>
      <c r="AS528" s="223">
        <f t="shared" si="285"/>
        <v>6</v>
      </c>
      <c r="AT528" s="223">
        <f t="shared" si="286"/>
        <v>2026</v>
      </c>
    </row>
    <row r="529" spans="2:46" ht="15.75" x14ac:dyDescent="0.25">
      <c r="B529" s="229" t="s">
        <v>742</v>
      </c>
      <c r="C529" s="235" t="s">
        <v>263</v>
      </c>
      <c r="D529" s="243">
        <v>750</v>
      </c>
      <c r="E529" s="232" t="s">
        <v>4</v>
      </c>
      <c r="F529" s="233">
        <v>3.03</v>
      </c>
      <c r="G529" s="234">
        <v>46162</v>
      </c>
      <c r="H529" s="235" t="s">
        <v>309</v>
      </c>
      <c r="I529" s="235"/>
      <c r="J529" s="236">
        <v>7.0000000000000007E-2</v>
      </c>
      <c r="K529" s="237">
        <f ca="1">ROUND(IF(ISERROR(OFFSET(Tabella!$A$1,MATCH(H529,Tabella!$A:$A,0)-1,MATCH(J529,Tabella!$A$1:$AC$1,0)-1)=TRUE),0,+OFFSET(Tabella!$A$1,MATCH(H529,Tabella!$A:$A,0)-1,MATCH(J529,Tabella!$A$1:$AC$1,0)-1)),4)</f>
        <v>1.25</v>
      </c>
      <c r="L529" s="238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238">
        <f ca="1">ROUND(IF(ISERROR(OFFSET(Rame!$A$1,MATCH(H529,Rame!$A:$A,0)-1,MATCH(J529,Rame!$A$1:$AA$1,0)-1)=TRUE),0,OFFSET(Rame!$A$1,MATCH(H529,Rame!$A:$A,0)-1,MATCH(J529,Rame!$A$1:$AA$1,0)-1))*IF(E529="Rame",1,0),4)</f>
        <v>0</v>
      </c>
      <c r="N529" s="238">
        <v>0</v>
      </c>
      <c r="O529" s="238">
        <v>1.73</v>
      </c>
      <c r="P529" s="238">
        <f ca="1">ROUND(+IF(ISERROR(OFFSET(Tabella!$G$1,MATCH(H529,Tabella!$G:$G,0)-1,MATCH(I529,Tabella!$G$1:$FG$1,0)-1)=TRUE),0,OFFSET(Tabella!$G$1,MATCH(H529,Tabella!$G:$G,0)-1,MATCH(I529,Tabella!$G$1:$AB$1,0)-1)),4)</f>
        <v>0</v>
      </c>
      <c r="Q529" s="238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238">
        <f ca="1">ROUND(IF(ISERROR(OFFSET(Rame!$F$1,MATCH(H529,Rame!$F:$F,0)-1,MATCH(I529,Rame!$F$1:$FF$1,0)-1)=TRUE),0,OFFSET(Rame!$F$1,MATCH(H529,Rame!$F:$F,0)-1,MATCH(I529,Rame!$F$1:$FF$1,0)-1))*IF(E529="Rame",1,0),4)</f>
        <v>0</v>
      </c>
      <c r="S529" s="238">
        <f ca="1">ROUND(IF(ISERROR(OFFSET(Bronzo!$A$1,MATCH(H529,Bronzo!$A:$A,0)-1,MATCH(I529,Bronzo!$A$1:$AA$1,0)-1)=TRUE),0,OFFSET(Bronzo!$A$1,MATCH(H529,Bronzo!$A:$A,0)-1,MATCH(I529,Bronzo!$A$1:$AA$1,0)-1)),4)</f>
        <v>0</v>
      </c>
      <c r="T529" s="238">
        <f t="shared" ca="1" si="282"/>
        <v>0</v>
      </c>
      <c r="U529" s="237"/>
      <c r="V529" s="238">
        <v>0</v>
      </c>
      <c r="W529" s="239">
        <f t="shared" ca="1" si="283"/>
        <v>1.73</v>
      </c>
      <c r="X529" s="240">
        <f t="shared" si="276"/>
        <v>52.5</v>
      </c>
      <c r="Y529" s="236">
        <v>4.71</v>
      </c>
      <c r="Z529" s="236">
        <f t="shared" ca="1" si="284"/>
        <v>-0.05</v>
      </c>
      <c r="AA529" s="241">
        <v>46185</v>
      </c>
      <c r="AF529" s="225">
        <f t="shared" ca="1" si="287"/>
        <v>46236</v>
      </c>
      <c r="AG529" s="225" t="b">
        <f t="shared" si="281"/>
        <v>0</v>
      </c>
      <c r="AH529" s="242"/>
      <c r="AS529" s="223">
        <f t="shared" si="285"/>
        <v>6</v>
      </c>
      <c r="AT529" s="223">
        <f t="shared" si="286"/>
        <v>2026</v>
      </c>
    </row>
    <row r="530" spans="2:46" ht="15.75" x14ac:dyDescent="0.25">
      <c r="B530" s="229" t="s">
        <v>742</v>
      </c>
      <c r="C530" s="235" t="s">
        <v>263</v>
      </c>
      <c r="D530" s="243">
        <v>1500</v>
      </c>
      <c r="E530" s="232" t="s">
        <v>4</v>
      </c>
      <c r="F530" s="233">
        <v>3.03</v>
      </c>
      <c r="G530" s="234">
        <v>46162</v>
      </c>
      <c r="H530" s="235" t="s">
        <v>309</v>
      </c>
      <c r="I530" s="235"/>
      <c r="J530" s="236">
        <v>7.0000000000000007E-2</v>
      </c>
      <c r="K530" s="237">
        <f ca="1">ROUND(IF(ISERROR(OFFSET(Tabella!$A$1,MATCH(H530,Tabella!$A:$A,0)-1,MATCH(J530,Tabella!$A$1:$AC$1,0)-1)=TRUE),0,+OFFSET(Tabella!$A$1,MATCH(H530,Tabella!$A:$A,0)-1,MATCH(J530,Tabella!$A$1:$AC$1,0)-1)),4)</f>
        <v>1.25</v>
      </c>
      <c r="L530" s="238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238">
        <f ca="1">ROUND(IF(ISERROR(OFFSET(Rame!$A$1,MATCH(H530,Rame!$A:$A,0)-1,MATCH(J530,Rame!$A$1:$AA$1,0)-1)=TRUE),0,OFFSET(Rame!$A$1,MATCH(H530,Rame!$A:$A,0)-1,MATCH(J530,Rame!$A$1:$AA$1,0)-1))*IF(E530="Rame",1,0),4)</f>
        <v>0</v>
      </c>
      <c r="N530" s="238">
        <v>0</v>
      </c>
      <c r="O530" s="238">
        <v>1.73</v>
      </c>
      <c r="P530" s="238">
        <f ca="1">ROUND(+IF(ISERROR(OFFSET(Tabella!$G$1,MATCH(H530,Tabella!$G:$G,0)-1,MATCH(I530,Tabella!$G$1:$FG$1,0)-1)=TRUE),0,OFFSET(Tabella!$G$1,MATCH(H530,Tabella!$G:$G,0)-1,MATCH(I530,Tabella!$G$1:$AB$1,0)-1)),4)</f>
        <v>0</v>
      </c>
      <c r="Q530" s="238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238">
        <f ca="1">ROUND(IF(ISERROR(OFFSET(Rame!$F$1,MATCH(H530,Rame!$F:$F,0)-1,MATCH(I530,Rame!$F$1:$FF$1,0)-1)=TRUE),0,OFFSET(Rame!$F$1,MATCH(H530,Rame!$F:$F,0)-1,MATCH(I530,Rame!$F$1:$FF$1,0)-1))*IF(E530="Rame",1,0),4)</f>
        <v>0</v>
      </c>
      <c r="S530" s="238">
        <f ca="1">ROUND(IF(ISERROR(OFFSET(Bronzo!$A$1,MATCH(H530,Bronzo!$A:$A,0)-1,MATCH(I530,Bronzo!$A$1:$AA$1,0)-1)=TRUE),0,OFFSET(Bronzo!$A$1,MATCH(H530,Bronzo!$A:$A,0)-1,MATCH(I530,Bronzo!$A$1:$AA$1,0)-1)),4)</f>
        <v>0</v>
      </c>
      <c r="T530" s="238">
        <f t="shared" ca="1" si="282"/>
        <v>0</v>
      </c>
      <c r="U530" s="237"/>
      <c r="V530" s="238">
        <v>0</v>
      </c>
      <c r="W530" s="239">
        <f t="shared" ca="1" si="283"/>
        <v>1.73</v>
      </c>
      <c r="X530" s="240">
        <f t="shared" si="276"/>
        <v>105</v>
      </c>
      <c r="Y530" s="236">
        <v>4.71</v>
      </c>
      <c r="Z530" s="236">
        <f t="shared" ca="1" si="284"/>
        <v>-0.05</v>
      </c>
      <c r="AA530" s="241">
        <v>46196</v>
      </c>
      <c r="AF530" s="225">
        <f t="shared" ca="1" si="287"/>
        <v>46236</v>
      </c>
      <c r="AG530" s="225" t="b">
        <f t="shared" si="281"/>
        <v>0</v>
      </c>
      <c r="AH530" s="242"/>
      <c r="AS530" s="223">
        <f t="shared" si="285"/>
        <v>6</v>
      </c>
      <c r="AT530" s="223">
        <f t="shared" si="286"/>
        <v>2026</v>
      </c>
    </row>
    <row r="531" spans="2:46" ht="15.75" x14ac:dyDescent="0.25">
      <c r="B531" s="229" t="s">
        <v>742</v>
      </c>
      <c r="C531" s="235" t="s">
        <v>263</v>
      </c>
      <c r="D531" s="243">
        <v>500</v>
      </c>
      <c r="E531" s="232" t="s">
        <v>4</v>
      </c>
      <c r="F531" s="233">
        <v>3.03</v>
      </c>
      <c r="G531" s="234">
        <v>46162</v>
      </c>
      <c r="H531" s="235" t="s">
        <v>9</v>
      </c>
      <c r="I531" s="235"/>
      <c r="J531" s="236">
        <v>7.0000000000000007E-2</v>
      </c>
      <c r="K531" s="237">
        <f ca="1">ROUND(IF(ISERROR(OFFSET(Tabella!$A$1,MATCH(H531,Tabella!$A:$A,0)-1,MATCH(J531,Tabella!$A$1:$AC$1,0)-1)=TRUE),0,+OFFSET(Tabella!$A$1,MATCH(H531,Tabella!$A:$A,0)-1,MATCH(J531,Tabella!$A$1:$AC$1,0)-1)),4)</f>
        <v>1.6</v>
      </c>
      <c r="L531" s="238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238">
        <f ca="1">ROUND(IF(ISERROR(OFFSET(Rame!$A$1,MATCH(H531,Rame!$A:$A,0)-1,MATCH(J531,Rame!$A$1:$AA$1,0)-1)=TRUE),0,OFFSET(Rame!$A$1,MATCH(H531,Rame!$A:$A,0)-1,MATCH(J531,Rame!$A$1:$AA$1,0)-1))*IF(E531="Rame",1,0),4)</f>
        <v>0</v>
      </c>
      <c r="N531" s="238">
        <v>0</v>
      </c>
      <c r="O531" s="238">
        <v>2.0299999999999998</v>
      </c>
      <c r="P531" s="238">
        <f ca="1">ROUND(+IF(ISERROR(OFFSET(Tabella!$G$1,MATCH(H531,Tabella!$G:$G,0)-1,MATCH(I531,Tabella!$G$1:$FG$1,0)-1)=TRUE),0,OFFSET(Tabella!$G$1,MATCH(H531,Tabella!$G:$G,0)-1,MATCH(I531,Tabella!$G$1:$AB$1,0)-1)),4)</f>
        <v>0</v>
      </c>
      <c r="Q531" s="238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238">
        <f ca="1">ROUND(IF(ISERROR(OFFSET(Rame!$F$1,MATCH(H531,Rame!$F:$F,0)-1,MATCH(I531,Rame!$F$1:$FF$1,0)-1)=TRUE),0,OFFSET(Rame!$F$1,MATCH(H531,Rame!$F:$F,0)-1,MATCH(I531,Rame!$F$1:$FF$1,0)-1))*IF(E531="Rame",1,0),4)</f>
        <v>0</v>
      </c>
      <c r="S531" s="238">
        <f ca="1">ROUND(IF(ISERROR(OFFSET(Bronzo!$A$1,MATCH(H531,Bronzo!$A:$A,0)-1,MATCH(I531,Bronzo!$A$1:$AA$1,0)-1)=TRUE),0,OFFSET(Bronzo!$A$1,MATCH(H531,Bronzo!$A:$A,0)-1,MATCH(I531,Bronzo!$A$1:$AA$1,0)-1)),4)</f>
        <v>0</v>
      </c>
      <c r="T531" s="238">
        <f t="shared" ca="1" si="282"/>
        <v>0</v>
      </c>
      <c r="U531" s="237"/>
      <c r="V531" s="238">
        <v>0</v>
      </c>
      <c r="W531" s="239">
        <f t="shared" ca="1" si="283"/>
        <v>2.0299999999999998</v>
      </c>
      <c r="X531" s="240">
        <f t="shared" si="276"/>
        <v>35</v>
      </c>
      <c r="Y531" s="236">
        <v>5.01</v>
      </c>
      <c r="Z531" s="236">
        <f t="shared" ca="1" si="284"/>
        <v>-0.05</v>
      </c>
      <c r="AA531" s="241">
        <v>46196</v>
      </c>
      <c r="AF531" s="225">
        <f t="shared" ca="1" si="287"/>
        <v>46236</v>
      </c>
      <c r="AG531" s="225" t="b">
        <f t="shared" si="281"/>
        <v>0</v>
      </c>
      <c r="AH531" s="242"/>
      <c r="AS531" s="223">
        <f t="shared" si="285"/>
        <v>6</v>
      </c>
      <c r="AT531" s="223">
        <f t="shared" si="286"/>
        <v>2026</v>
      </c>
    </row>
    <row r="532" spans="2:46" ht="15.75" x14ac:dyDescent="0.25">
      <c r="B532" s="229" t="s">
        <v>742</v>
      </c>
      <c r="C532" s="235" t="s">
        <v>263</v>
      </c>
      <c r="D532" s="243">
        <v>600</v>
      </c>
      <c r="E532" s="232" t="s">
        <v>4</v>
      </c>
      <c r="F532" s="233">
        <v>3.03</v>
      </c>
      <c r="G532" s="234">
        <v>46162</v>
      </c>
      <c r="H532" s="235" t="s">
        <v>9</v>
      </c>
      <c r="I532" s="235"/>
      <c r="J532" s="236">
        <v>7.0000000000000007E-2</v>
      </c>
      <c r="K532" s="237">
        <f ca="1">ROUND(IF(ISERROR(OFFSET(Tabella!$A$1,MATCH(H532,Tabella!$A:$A,0)-1,MATCH(J532,Tabella!$A$1:$AC$1,0)-1)=TRUE),0,+OFFSET(Tabella!$A$1,MATCH(H532,Tabella!$A:$A,0)-1,MATCH(J532,Tabella!$A$1:$AC$1,0)-1)),4)</f>
        <v>1.6</v>
      </c>
      <c r="L532" s="238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238">
        <f ca="1">ROUND(IF(ISERROR(OFFSET(Rame!$A$1,MATCH(H532,Rame!$A:$A,0)-1,MATCH(J532,Rame!$A$1:$AA$1,0)-1)=TRUE),0,OFFSET(Rame!$A$1,MATCH(H532,Rame!$A:$A,0)-1,MATCH(J532,Rame!$A$1:$AA$1,0)-1))*IF(E532="Rame",1,0),4)</f>
        <v>0</v>
      </c>
      <c r="N532" s="238">
        <v>0</v>
      </c>
      <c r="O532" s="238">
        <v>2.0299999999999998</v>
      </c>
      <c r="P532" s="238">
        <f ca="1">ROUND(+IF(ISERROR(OFFSET(Tabella!$G$1,MATCH(H532,Tabella!$G:$G,0)-1,MATCH(I532,Tabella!$G$1:$FG$1,0)-1)=TRUE),0,OFFSET(Tabella!$G$1,MATCH(H532,Tabella!$G:$G,0)-1,MATCH(I532,Tabella!$G$1:$AB$1,0)-1)),4)</f>
        <v>0</v>
      </c>
      <c r="Q532" s="238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238">
        <f ca="1">ROUND(IF(ISERROR(OFFSET(Rame!$F$1,MATCH(H532,Rame!$F:$F,0)-1,MATCH(I532,Rame!$F$1:$FF$1,0)-1)=TRUE),0,OFFSET(Rame!$F$1,MATCH(H532,Rame!$F:$F,0)-1,MATCH(I532,Rame!$F$1:$FF$1,0)-1))*IF(E532="Rame",1,0),4)</f>
        <v>0</v>
      </c>
      <c r="S532" s="238">
        <f ca="1">ROUND(IF(ISERROR(OFFSET(Bronzo!$A$1,MATCH(H532,Bronzo!$A:$A,0)-1,MATCH(I532,Bronzo!$A$1:$AA$1,0)-1)=TRUE),0,OFFSET(Bronzo!$A$1,MATCH(H532,Bronzo!$A:$A,0)-1,MATCH(I532,Bronzo!$A$1:$AA$1,0)-1)),4)</f>
        <v>0</v>
      </c>
      <c r="T532" s="238">
        <f t="shared" ca="1" si="282"/>
        <v>0</v>
      </c>
      <c r="U532" s="237"/>
      <c r="V532" s="238">
        <v>0</v>
      </c>
      <c r="W532" s="239">
        <f t="shared" ca="1" si="283"/>
        <v>2.0299999999999998</v>
      </c>
      <c r="X532" s="240">
        <f t="shared" si="276"/>
        <v>42</v>
      </c>
      <c r="Y532" s="236">
        <v>5.01</v>
      </c>
      <c r="Z532" s="236">
        <f t="shared" ca="1" si="284"/>
        <v>-0.05</v>
      </c>
      <c r="AA532" s="241">
        <v>46185</v>
      </c>
      <c r="AF532" s="225">
        <f t="shared" ca="1" si="287"/>
        <v>46236</v>
      </c>
      <c r="AG532" s="225" t="b">
        <f t="shared" si="281"/>
        <v>0</v>
      </c>
      <c r="AH532" s="242"/>
      <c r="AS532" s="223">
        <f t="shared" si="285"/>
        <v>6</v>
      </c>
      <c r="AT532" s="223">
        <f t="shared" si="286"/>
        <v>2026</v>
      </c>
    </row>
    <row r="533" spans="2:46" ht="15.75" x14ac:dyDescent="0.25">
      <c r="B533" s="229" t="s">
        <v>742</v>
      </c>
      <c r="C533" s="235" t="s">
        <v>263</v>
      </c>
      <c r="D533" s="243">
        <v>1500</v>
      </c>
      <c r="E533" s="232" t="s">
        <v>4</v>
      </c>
      <c r="F533" s="233">
        <v>3.03</v>
      </c>
      <c r="G533" s="234">
        <v>46162</v>
      </c>
      <c r="H533" s="235" t="s">
        <v>314</v>
      </c>
      <c r="I533" s="235"/>
      <c r="J533" s="236">
        <v>7.0000000000000007E-2</v>
      </c>
      <c r="K533" s="237">
        <f ca="1">ROUND(IF(ISERROR(OFFSET(Tabella!$A$1,MATCH(H533,Tabella!$A:$A,0)-1,MATCH(J533,Tabella!$A$1:$AC$1,0)-1)=TRUE),0,+OFFSET(Tabella!$A$1,MATCH(H533,Tabella!$A:$A,0)-1,MATCH(J533,Tabella!$A$1:$AC$1,0)-1)),4)</f>
        <v>1.25</v>
      </c>
      <c r="L533" s="238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238">
        <f ca="1">ROUND(IF(ISERROR(OFFSET(Rame!$A$1,MATCH(H533,Rame!$A:$A,0)-1,MATCH(J533,Rame!$A$1:$AA$1,0)-1)=TRUE),0,OFFSET(Rame!$A$1,MATCH(H533,Rame!$A:$A,0)-1,MATCH(J533,Rame!$A$1:$AA$1,0)-1))*IF(E533="Rame",1,0),4)</f>
        <v>0</v>
      </c>
      <c r="N533" s="238">
        <v>0</v>
      </c>
      <c r="O533" s="238">
        <v>1.73</v>
      </c>
      <c r="P533" s="238">
        <f ca="1">ROUND(+IF(ISERROR(OFFSET(Tabella!$G$1,MATCH(H533,Tabella!$G:$G,0)-1,MATCH(I533,Tabella!$G$1:$FG$1,0)-1)=TRUE),0,OFFSET(Tabella!$G$1,MATCH(H533,Tabella!$G:$G,0)-1,MATCH(I533,Tabella!$G$1:$AB$1,0)-1)),4)</f>
        <v>0</v>
      </c>
      <c r="Q533" s="238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238">
        <f ca="1">ROUND(IF(ISERROR(OFFSET(Rame!$F$1,MATCH(H533,Rame!$F:$F,0)-1,MATCH(I533,Rame!$F$1:$FF$1,0)-1)=TRUE),0,OFFSET(Rame!$F$1,MATCH(H533,Rame!$F:$F,0)-1,MATCH(I533,Rame!$F$1:$FF$1,0)-1))*IF(E533="Rame",1,0),4)</f>
        <v>0</v>
      </c>
      <c r="S533" s="238">
        <f ca="1">ROUND(IF(ISERROR(OFFSET(Bronzo!$A$1,MATCH(H533,Bronzo!$A:$A,0)-1,MATCH(I533,Bronzo!$A$1:$AA$1,0)-1)=TRUE),0,OFFSET(Bronzo!$A$1,MATCH(H533,Bronzo!$A:$A,0)-1,MATCH(I533,Bronzo!$A$1:$AA$1,0)-1)),4)</f>
        <v>0</v>
      </c>
      <c r="T533" s="238">
        <f t="shared" ca="1" si="282"/>
        <v>0</v>
      </c>
      <c r="U533" s="237"/>
      <c r="V533" s="238">
        <v>0</v>
      </c>
      <c r="W533" s="239">
        <f t="shared" ca="1" si="283"/>
        <v>1.73</v>
      </c>
      <c r="X533" s="240">
        <f t="shared" si="276"/>
        <v>105</v>
      </c>
      <c r="Y533" s="236">
        <v>4.71</v>
      </c>
      <c r="Z533" s="236">
        <f t="shared" ca="1" si="284"/>
        <v>-0.05</v>
      </c>
      <c r="AA533" s="241">
        <v>46196</v>
      </c>
      <c r="AF533" s="225">
        <f t="shared" ca="1" si="287"/>
        <v>46236</v>
      </c>
      <c r="AG533" s="225" t="b">
        <f t="shared" si="281"/>
        <v>0</v>
      </c>
      <c r="AH533" s="242"/>
      <c r="AS533" s="223">
        <f t="shared" si="285"/>
        <v>6</v>
      </c>
      <c r="AT533" s="223">
        <f t="shared" si="286"/>
        <v>2026</v>
      </c>
    </row>
    <row r="534" spans="2:46" ht="15.75" x14ac:dyDescent="0.25">
      <c r="B534" s="229" t="s">
        <v>742</v>
      </c>
      <c r="C534" s="235" t="s">
        <v>263</v>
      </c>
      <c r="D534" s="243">
        <v>700</v>
      </c>
      <c r="E534" s="232" t="s">
        <v>4</v>
      </c>
      <c r="F534" s="233">
        <v>3.03</v>
      </c>
      <c r="G534" s="234">
        <v>46162</v>
      </c>
      <c r="H534" s="235" t="s">
        <v>15</v>
      </c>
      <c r="I534" s="235"/>
      <c r="J534" s="236">
        <v>7.0000000000000007E-2</v>
      </c>
      <c r="K534" s="237">
        <f ca="1">ROUND(IF(ISERROR(OFFSET(Tabella!$A$1,MATCH(H534,Tabella!$A:$A,0)-1,MATCH(J534,Tabella!$A$1:$AC$1,0)-1)=TRUE),0,+OFFSET(Tabella!$A$1,MATCH(H534,Tabella!$A:$A,0)-1,MATCH(J534,Tabella!$A$1:$AC$1,0)-1)),4)</f>
        <v>1.4</v>
      </c>
      <c r="L534" s="238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238">
        <f ca="1">ROUND(IF(ISERROR(OFFSET(Rame!$A$1,MATCH(H534,Rame!$A:$A,0)-1,MATCH(J534,Rame!$A$1:$AA$1,0)-1)=TRUE),0,OFFSET(Rame!$A$1,MATCH(H534,Rame!$A:$A,0)-1,MATCH(J534,Rame!$A$1:$AA$1,0)-1))*IF(E534="Rame",1,0),4)</f>
        <v>0</v>
      </c>
      <c r="N534" s="238">
        <v>0</v>
      </c>
      <c r="O534" s="238">
        <v>1.88</v>
      </c>
      <c r="P534" s="238">
        <f ca="1">ROUND(+IF(ISERROR(OFFSET(Tabella!$G$1,MATCH(H534,Tabella!$G:$G,0)-1,MATCH(I534,Tabella!$G$1:$FG$1,0)-1)=TRUE),0,OFFSET(Tabella!$G$1,MATCH(H534,Tabella!$G:$G,0)-1,MATCH(I534,Tabella!$G$1:$AB$1,0)-1)),4)</f>
        <v>0</v>
      </c>
      <c r="Q534" s="238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238">
        <f ca="1">ROUND(IF(ISERROR(OFFSET(Rame!$F$1,MATCH(H534,Rame!$F:$F,0)-1,MATCH(I534,Rame!$F$1:$FF$1,0)-1)=TRUE),0,OFFSET(Rame!$F$1,MATCH(H534,Rame!$F:$F,0)-1,MATCH(I534,Rame!$F$1:$FF$1,0)-1))*IF(E534="Rame",1,0),4)</f>
        <v>0</v>
      </c>
      <c r="S534" s="238">
        <f ca="1">ROUND(IF(ISERROR(OFFSET(Bronzo!$A$1,MATCH(H534,Bronzo!$A:$A,0)-1,MATCH(I534,Bronzo!$A$1:$AA$1,0)-1)=TRUE),0,OFFSET(Bronzo!$A$1,MATCH(H534,Bronzo!$A:$A,0)-1,MATCH(I534,Bronzo!$A$1:$AA$1,0)-1)),4)</f>
        <v>0</v>
      </c>
      <c r="T534" s="238">
        <f t="shared" ca="1" si="282"/>
        <v>0</v>
      </c>
      <c r="U534" s="237"/>
      <c r="V534" s="238">
        <v>0</v>
      </c>
      <c r="W534" s="239">
        <f t="shared" ca="1" si="283"/>
        <v>1.88</v>
      </c>
      <c r="X534" s="240">
        <f t="shared" si="276"/>
        <v>49</v>
      </c>
      <c r="Y534" s="236">
        <v>4.8600000000000003</v>
      </c>
      <c r="Z534" s="236">
        <f t="shared" ca="1" si="284"/>
        <v>-0.05</v>
      </c>
      <c r="AA534" s="241">
        <v>46185</v>
      </c>
      <c r="AF534" s="225">
        <f t="shared" ca="1" si="287"/>
        <v>46236</v>
      </c>
      <c r="AG534" s="225" t="b">
        <f t="shared" si="281"/>
        <v>0</v>
      </c>
      <c r="AH534" s="242"/>
      <c r="AS534" s="223">
        <f t="shared" si="285"/>
        <v>6</v>
      </c>
      <c r="AT534" s="223">
        <f t="shared" si="286"/>
        <v>2026</v>
      </c>
    </row>
    <row r="535" spans="2:46" ht="15.75" x14ac:dyDescent="0.25">
      <c r="B535" s="229" t="s">
        <v>742</v>
      </c>
      <c r="C535" s="235" t="s">
        <v>263</v>
      </c>
      <c r="D535" s="243">
        <v>1000</v>
      </c>
      <c r="E535" s="232" t="s">
        <v>4</v>
      </c>
      <c r="F535" s="233">
        <v>3.03</v>
      </c>
      <c r="G535" s="234">
        <v>46162</v>
      </c>
      <c r="H535" s="235" t="s">
        <v>243</v>
      </c>
      <c r="I535" s="235"/>
      <c r="J535" s="236">
        <v>7.0000000000000007E-2</v>
      </c>
      <c r="K535" s="237">
        <f ca="1">ROUND(IF(ISERROR(OFFSET(Tabella!$A$1,MATCH(H535,Tabella!$A:$A,0)-1,MATCH(J535,Tabella!$A$1:$AC$1,0)-1)=TRUE),0,+OFFSET(Tabella!$A$1,MATCH(H535,Tabella!$A:$A,0)-1,MATCH(J535,Tabella!$A$1:$AC$1,0)-1)),4)</f>
        <v>1.4</v>
      </c>
      <c r="L535" s="238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238">
        <f ca="1">ROUND(IF(ISERROR(OFFSET(Rame!$A$1,MATCH(H535,Rame!$A:$A,0)-1,MATCH(J535,Rame!$A$1:$AA$1,0)-1)=TRUE),0,OFFSET(Rame!$A$1,MATCH(H535,Rame!$A:$A,0)-1,MATCH(J535,Rame!$A$1:$AA$1,0)-1))*IF(E535="Rame",1,0),4)</f>
        <v>0</v>
      </c>
      <c r="N535" s="238">
        <v>0</v>
      </c>
      <c r="O535" s="238">
        <v>1.83</v>
      </c>
      <c r="P535" s="238">
        <f ca="1">ROUND(+IF(ISERROR(OFFSET(Tabella!$G$1,MATCH(H535,Tabella!$G:$G,0)-1,MATCH(I535,Tabella!$G$1:$FG$1,0)-1)=TRUE),0,OFFSET(Tabella!$G$1,MATCH(H535,Tabella!$G:$G,0)-1,MATCH(I535,Tabella!$G$1:$AB$1,0)-1)),4)</f>
        <v>0</v>
      </c>
      <c r="Q535" s="238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238">
        <f ca="1">ROUND(IF(ISERROR(OFFSET(Rame!$F$1,MATCH(H535,Rame!$F:$F,0)-1,MATCH(I535,Rame!$F$1:$FF$1,0)-1)=TRUE),0,OFFSET(Rame!$F$1,MATCH(H535,Rame!$F:$F,0)-1,MATCH(I535,Rame!$F$1:$FF$1,0)-1))*IF(E535="Rame",1,0),4)</f>
        <v>0</v>
      </c>
      <c r="S535" s="238">
        <f ca="1">ROUND(IF(ISERROR(OFFSET(Bronzo!$A$1,MATCH(H535,Bronzo!$A:$A,0)-1,MATCH(I535,Bronzo!$A$1:$AA$1,0)-1)=TRUE),0,OFFSET(Bronzo!$A$1,MATCH(H535,Bronzo!$A:$A,0)-1,MATCH(I535,Bronzo!$A$1:$AA$1,0)-1)),4)</f>
        <v>0</v>
      </c>
      <c r="T535" s="238">
        <f t="shared" ca="1" si="282"/>
        <v>0</v>
      </c>
      <c r="U535" s="237"/>
      <c r="V535" s="238">
        <v>0</v>
      </c>
      <c r="W535" s="239">
        <f t="shared" ca="1" si="283"/>
        <v>1.83</v>
      </c>
      <c r="X535" s="240">
        <f t="shared" si="276"/>
        <v>70</v>
      </c>
      <c r="Y535" s="236">
        <v>4.8099999999999996</v>
      </c>
      <c r="Z535" s="236">
        <f t="shared" ca="1" si="284"/>
        <v>-0.05</v>
      </c>
      <c r="AA535" s="241">
        <v>46185</v>
      </c>
      <c r="AF535" s="225">
        <f t="shared" ca="1" si="287"/>
        <v>46236</v>
      </c>
      <c r="AG535" s="225" t="b">
        <f t="shared" si="281"/>
        <v>0</v>
      </c>
      <c r="AH535" s="242"/>
      <c r="AS535" s="223">
        <f t="shared" si="285"/>
        <v>6</v>
      </c>
      <c r="AT535" s="223">
        <f t="shared" si="286"/>
        <v>2026</v>
      </c>
    </row>
    <row r="536" spans="2:46" ht="15.75" x14ac:dyDescent="0.25">
      <c r="B536" s="229" t="s">
        <v>738</v>
      </c>
      <c r="C536" s="235" t="s">
        <v>208</v>
      </c>
      <c r="D536" s="243">
        <v>300</v>
      </c>
      <c r="E536" s="232" t="s">
        <v>4</v>
      </c>
      <c r="F536" s="233">
        <v>3.04</v>
      </c>
      <c r="G536" s="234">
        <v>46139</v>
      </c>
      <c r="H536" s="235" t="s">
        <v>19</v>
      </c>
      <c r="I536" s="235"/>
      <c r="J536" s="236">
        <v>7.0000000000000007E-2</v>
      </c>
      <c r="K536" s="237">
        <f ca="1">ROUND(IF(ISERROR(OFFSET(Tabella!$A$1,MATCH(H536,Tabella!$A:$A,0)-1,MATCH(J536,Tabella!$A$1:$AC$1,0)-1)=TRUE),0,+OFFSET(Tabella!$A$1,MATCH(H536,Tabella!$A:$A,0)-1,MATCH(J536,Tabella!$A$1:$AC$1,0)-1)),4)</f>
        <v>1.35</v>
      </c>
      <c r="L536" s="238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238">
        <f ca="1">ROUND(IF(ISERROR(OFFSET(Rame!$A$1,MATCH(H536,Rame!$A:$A,0)-1,MATCH(J536,Rame!$A$1:$AA$1,0)-1)=TRUE),0,OFFSET(Rame!$A$1,MATCH(H536,Rame!$A:$A,0)-1,MATCH(J536,Rame!$A$1:$AA$1,0)-1))*IF(E536="Rame",1,0),4)</f>
        <v>0</v>
      </c>
      <c r="N536" s="238">
        <v>0</v>
      </c>
      <c r="O536" s="238">
        <v>1.78</v>
      </c>
      <c r="P536" s="238">
        <f ca="1">ROUND(+IF(ISERROR(OFFSET(Tabella!$G$1,MATCH(H536,Tabella!$G:$G,0)-1,MATCH(I536,Tabella!$G$1:$FG$1,0)-1)=TRUE),0,OFFSET(Tabella!$G$1,MATCH(H536,Tabella!$G:$G,0)-1,MATCH(I536,Tabella!$G$1:$AB$1,0)-1)),4)</f>
        <v>0</v>
      </c>
      <c r="Q536" s="238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238">
        <f ca="1">ROUND(IF(ISERROR(OFFSET(Rame!$F$1,MATCH(H536,Rame!$F:$F,0)-1,MATCH(I536,Rame!$F$1:$FF$1,0)-1)=TRUE),0,OFFSET(Rame!$F$1,MATCH(H536,Rame!$F:$F,0)-1,MATCH(I536,Rame!$F$1:$FF$1,0)-1))*IF(E536="Rame",1,0),4)</f>
        <v>0</v>
      </c>
      <c r="S536" s="238">
        <f ca="1">ROUND(IF(ISERROR(OFFSET(Bronzo!$A$1,MATCH(H536,Bronzo!$A:$A,0)-1,MATCH(I536,Bronzo!$A$1:$AA$1,0)-1)=TRUE),0,OFFSET(Bronzo!$A$1,MATCH(H536,Bronzo!$A:$A,0)-1,MATCH(I536,Bronzo!$A$1:$AA$1,0)-1)),4)</f>
        <v>0</v>
      </c>
      <c r="T536" s="238">
        <f t="shared" ca="1" si="282"/>
        <v>0</v>
      </c>
      <c r="U536" s="237"/>
      <c r="V536" s="238">
        <v>0</v>
      </c>
      <c r="W536" s="239">
        <f t="shared" ca="1" si="283"/>
        <v>1.78</v>
      </c>
      <c r="X536" s="240">
        <f t="shared" si="276"/>
        <v>21</v>
      </c>
      <c r="Y536" s="236">
        <v>4.8</v>
      </c>
      <c r="Z536" s="236">
        <f t="shared" ca="1" si="284"/>
        <v>-0.02</v>
      </c>
      <c r="AA536" s="241">
        <v>46189</v>
      </c>
      <c r="AF536" s="225">
        <f t="shared" ca="1" si="287"/>
        <v>46236</v>
      </c>
      <c r="AG536" s="225" t="b">
        <f t="shared" si="281"/>
        <v>0</v>
      </c>
      <c r="AH536" s="242"/>
      <c r="AS536" s="223">
        <f t="shared" si="285"/>
        <v>6</v>
      </c>
      <c r="AT536" s="223">
        <f t="shared" si="286"/>
        <v>2026</v>
      </c>
    </row>
    <row r="537" spans="2:46" ht="15.75" x14ac:dyDescent="0.25">
      <c r="B537" s="229" t="s">
        <v>738</v>
      </c>
      <c r="C537" s="235" t="s">
        <v>208</v>
      </c>
      <c r="D537" s="243">
        <v>800</v>
      </c>
      <c r="E537" s="232" t="s">
        <v>4</v>
      </c>
      <c r="F537" s="233">
        <v>3.04</v>
      </c>
      <c r="G537" s="234">
        <v>46139</v>
      </c>
      <c r="H537" s="235" t="s">
        <v>22</v>
      </c>
      <c r="I537" s="235"/>
      <c r="J537" s="236">
        <v>7.0000000000000007E-2</v>
      </c>
      <c r="K537" s="237">
        <f ca="1">ROUND(IF(ISERROR(OFFSET(Tabella!$A$1,MATCH(H537,Tabella!$A:$A,0)-1,MATCH(J537,Tabella!$A$1:$AC$1,0)-1)=TRUE),0,+OFFSET(Tabella!$A$1,MATCH(H537,Tabella!$A:$A,0)-1,MATCH(J537,Tabella!$A$1:$AC$1,0)-1)),4)</f>
        <v>1.25</v>
      </c>
      <c r="L537" s="238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238">
        <f ca="1">ROUND(IF(ISERROR(OFFSET(Rame!$A$1,MATCH(H537,Rame!$A:$A,0)-1,MATCH(J537,Rame!$A$1:$AA$1,0)-1)=TRUE),0,OFFSET(Rame!$A$1,MATCH(H537,Rame!$A:$A,0)-1,MATCH(J537,Rame!$A$1:$AA$1,0)-1))*IF(E537="Rame",1,0),4)</f>
        <v>0</v>
      </c>
      <c r="N537" s="238">
        <v>0</v>
      </c>
      <c r="O537" s="238">
        <v>1.73</v>
      </c>
      <c r="P537" s="238">
        <f ca="1">ROUND(+IF(ISERROR(OFFSET(Tabella!$G$1,MATCH(H537,Tabella!$G:$G,0)-1,MATCH(I537,Tabella!$G$1:$FG$1,0)-1)=TRUE),0,OFFSET(Tabella!$G$1,MATCH(H537,Tabella!$G:$G,0)-1,MATCH(I537,Tabella!$G$1:$AB$1,0)-1)),4)</f>
        <v>0</v>
      </c>
      <c r="Q537" s="238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238">
        <f ca="1">ROUND(IF(ISERROR(OFFSET(Rame!$F$1,MATCH(H537,Rame!$F:$F,0)-1,MATCH(I537,Rame!$F$1:$FF$1,0)-1)=TRUE),0,OFFSET(Rame!$F$1,MATCH(H537,Rame!$F:$F,0)-1,MATCH(I537,Rame!$F$1:$FF$1,0)-1))*IF(E537="Rame",1,0),4)</f>
        <v>0</v>
      </c>
      <c r="S537" s="238">
        <f ca="1">ROUND(IF(ISERROR(OFFSET(Bronzo!$A$1,MATCH(H537,Bronzo!$A:$A,0)-1,MATCH(I537,Bronzo!$A$1:$AA$1,0)-1)=TRUE),0,OFFSET(Bronzo!$A$1,MATCH(H537,Bronzo!$A:$A,0)-1,MATCH(I537,Bronzo!$A$1:$AA$1,0)-1)),4)</f>
        <v>0</v>
      </c>
      <c r="T537" s="238">
        <f t="shared" ca="1" si="282"/>
        <v>0</v>
      </c>
      <c r="U537" s="237"/>
      <c r="V537" s="238">
        <v>0</v>
      </c>
      <c r="W537" s="239">
        <f t="shared" ca="1" si="283"/>
        <v>1.73</v>
      </c>
      <c r="X537" s="240">
        <f t="shared" si="276"/>
        <v>56</v>
      </c>
      <c r="Y537" s="236">
        <v>4.75</v>
      </c>
      <c r="Z537" s="236">
        <f t="shared" ca="1" si="284"/>
        <v>-0.02</v>
      </c>
      <c r="AA537" s="241">
        <v>46189</v>
      </c>
      <c r="AF537" s="225">
        <f t="shared" ca="1" si="287"/>
        <v>46236</v>
      </c>
      <c r="AG537" s="225" t="b">
        <f t="shared" si="281"/>
        <v>0</v>
      </c>
      <c r="AH537" s="242"/>
      <c r="AS537" s="223">
        <f t="shared" si="285"/>
        <v>6</v>
      </c>
      <c r="AT537" s="223">
        <f t="shared" si="286"/>
        <v>2026</v>
      </c>
    </row>
    <row r="538" spans="2:46" ht="15.75" x14ac:dyDescent="0.25">
      <c r="B538" s="229" t="s">
        <v>738</v>
      </c>
      <c r="C538" s="235" t="s">
        <v>208</v>
      </c>
      <c r="D538" s="243">
        <v>900</v>
      </c>
      <c r="E538" s="232" t="s">
        <v>4</v>
      </c>
      <c r="F538" s="233">
        <v>3.04</v>
      </c>
      <c r="G538" s="234">
        <v>46139</v>
      </c>
      <c r="H538" s="235" t="s">
        <v>25</v>
      </c>
      <c r="I538" s="235"/>
      <c r="J538" s="236">
        <v>7.0000000000000007E-2</v>
      </c>
      <c r="K538" s="237">
        <f ca="1">ROUND(IF(ISERROR(OFFSET(Tabella!$A$1,MATCH(H538,Tabella!$A:$A,0)-1,MATCH(J538,Tabella!$A$1:$AC$1,0)-1)=TRUE),0,+OFFSET(Tabella!$A$1,MATCH(H538,Tabella!$A:$A,0)-1,MATCH(J538,Tabella!$A$1:$AC$1,0)-1)),4)</f>
        <v>1.25</v>
      </c>
      <c r="L538" s="238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238">
        <f ca="1">ROUND(IF(ISERROR(OFFSET(Rame!$A$1,MATCH(H538,Rame!$A:$A,0)-1,MATCH(J538,Rame!$A$1:$AA$1,0)-1)=TRUE),0,OFFSET(Rame!$A$1,MATCH(H538,Rame!$A:$A,0)-1,MATCH(J538,Rame!$A$1:$AA$1,0)-1))*IF(E538="Rame",1,0),4)</f>
        <v>0</v>
      </c>
      <c r="N538" s="238">
        <v>0</v>
      </c>
      <c r="O538" s="238">
        <v>1.73</v>
      </c>
      <c r="P538" s="238">
        <f ca="1">ROUND(+IF(ISERROR(OFFSET(Tabella!$G$1,MATCH(H538,Tabella!$G:$G,0)-1,MATCH(I538,Tabella!$G$1:$FG$1,0)-1)=TRUE),0,OFFSET(Tabella!$G$1,MATCH(H538,Tabella!$G:$G,0)-1,MATCH(I538,Tabella!$G$1:$AB$1,0)-1)),4)</f>
        <v>0</v>
      </c>
      <c r="Q538" s="238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238">
        <f ca="1">ROUND(IF(ISERROR(OFFSET(Rame!$F$1,MATCH(H538,Rame!$F:$F,0)-1,MATCH(I538,Rame!$F$1:$FF$1,0)-1)=TRUE),0,OFFSET(Rame!$F$1,MATCH(H538,Rame!$F:$F,0)-1,MATCH(I538,Rame!$F$1:$FF$1,0)-1))*IF(E538="Rame",1,0),4)</f>
        <v>0</v>
      </c>
      <c r="S538" s="238">
        <f ca="1">ROUND(IF(ISERROR(OFFSET(Bronzo!$A$1,MATCH(H538,Bronzo!$A:$A,0)-1,MATCH(I538,Bronzo!$A$1:$AA$1,0)-1)=TRUE),0,OFFSET(Bronzo!$A$1,MATCH(H538,Bronzo!$A:$A,0)-1,MATCH(I538,Bronzo!$A$1:$AA$1,0)-1)),4)</f>
        <v>0</v>
      </c>
      <c r="T538" s="238">
        <f t="shared" ca="1" si="282"/>
        <v>0</v>
      </c>
      <c r="U538" s="237"/>
      <c r="V538" s="238">
        <v>0</v>
      </c>
      <c r="W538" s="239">
        <f t="shared" ca="1" si="283"/>
        <v>1.73</v>
      </c>
      <c r="X538" s="240">
        <f t="shared" si="276"/>
        <v>63</v>
      </c>
      <c r="Y538" s="236">
        <v>4.75</v>
      </c>
      <c r="Z538" s="236">
        <f t="shared" ca="1" si="284"/>
        <v>-0.02</v>
      </c>
      <c r="AA538" s="241">
        <v>46189</v>
      </c>
      <c r="AF538" s="225">
        <f t="shared" ca="1" si="287"/>
        <v>46236</v>
      </c>
      <c r="AG538" s="225" t="b">
        <f t="shared" si="281"/>
        <v>0</v>
      </c>
      <c r="AH538" s="242"/>
      <c r="AS538" s="223">
        <f t="shared" si="285"/>
        <v>6</v>
      </c>
      <c r="AT538" s="223">
        <f t="shared" si="286"/>
        <v>2026</v>
      </c>
    </row>
    <row r="539" spans="2:46" ht="15.75" x14ac:dyDescent="0.25">
      <c r="B539" s="229" t="s">
        <v>738</v>
      </c>
      <c r="C539" s="235" t="s">
        <v>208</v>
      </c>
      <c r="D539" s="243">
        <v>500</v>
      </c>
      <c r="E539" s="232" t="s">
        <v>4</v>
      </c>
      <c r="F539" s="233">
        <v>3.04</v>
      </c>
      <c r="G539" s="234">
        <v>46139</v>
      </c>
      <c r="H539" s="235" t="s">
        <v>310</v>
      </c>
      <c r="I539" s="235"/>
      <c r="J539" s="236">
        <v>7.0000000000000007E-2</v>
      </c>
      <c r="K539" s="237">
        <f ca="1">ROUND(IF(ISERROR(OFFSET(Tabella!$A$1,MATCH(H539,Tabella!$A:$A,0)-1,MATCH(J539,Tabella!$A$1:$AC$1,0)-1)=TRUE),0,+OFFSET(Tabella!$A$1,MATCH(H539,Tabella!$A:$A,0)-1,MATCH(J539,Tabella!$A$1:$AC$1,0)-1)),4)</f>
        <v>1.25</v>
      </c>
      <c r="L539" s="238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238">
        <f ca="1">ROUND(IF(ISERROR(OFFSET(Rame!$A$1,MATCH(H539,Rame!$A:$A,0)-1,MATCH(J539,Rame!$A$1:$AA$1,0)-1)=TRUE),0,OFFSET(Rame!$A$1,MATCH(H539,Rame!$A:$A,0)-1,MATCH(J539,Rame!$A$1:$AA$1,0)-1))*IF(E539="Rame",1,0),4)</f>
        <v>0</v>
      </c>
      <c r="N539" s="238">
        <v>0</v>
      </c>
      <c r="O539" s="238">
        <v>1.73</v>
      </c>
      <c r="P539" s="238">
        <f ca="1">ROUND(+IF(ISERROR(OFFSET(Tabella!$G$1,MATCH(H539,Tabella!$G:$G,0)-1,MATCH(I539,Tabella!$G$1:$FG$1,0)-1)=TRUE),0,OFFSET(Tabella!$G$1,MATCH(H539,Tabella!$G:$G,0)-1,MATCH(I539,Tabella!$G$1:$AB$1,0)-1)),4)</f>
        <v>0</v>
      </c>
      <c r="Q539" s="238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238">
        <f ca="1">ROUND(IF(ISERROR(OFFSET(Rame!$F$1,MATCH(H539,Rame!$F:$F,0)-1,MATCH(I539,Rame!$F$1:$FF$1,0)-1)=TRUE),0,OFFSET(Rame!$F$1,MATCH(H539,Rame!$F:$F,0)-1,MATCH(I539,Rame!$F$1:$FF$1,0)-1))*IF(E539="Rame",1,0),4)</f>
        <v>0</v>
      </c>
      <c r="S539" s="238">
        <f ca="1">ROUND(IF(ISERROR(OFFSET(Bronzo!$A$1,MATCH(H539,Bronzo!$A:$A,0)-1,MATCH(I539,Bronzo!$A$1:$AA$1,0)-1)=TRUE),0,OFFSET(Bronzo!$A$1,MATCH(H539,Bronzo!$A:$A,0)-1,MATCH(I539,Bronzo!$A$1:$AA$1,0)-1)),4)</f>
        <v>0</v>
      </c>
      <c r="T539" s="238">
        <f t="shared" ca="1" si="282"/>
        <v>0</v>
      </c>
      <c r="U539" s="237"/>
      <c r="V539" s="238">
        <v>0</v>
      </c>
      <c r="W539" s="239">
        <f t="shared" ca="1" si="283"/>
        <v>1.73</v>
      </c>
      <c r="X539" s="240">
        <f t="shared" si="276"/>
        <v>35</v>
      </c>
      <c r="Y539" s="236">
        <v>4.75</v>
      </c>
      <c r="Z539" s="236">
        <f t="shared" ca="1" si="284"/>
        <v>-0.02</v>
      </c>
      <c r="AA539" s="241">
        <v>46189</v>
      </c>
      <c r="AF539" s="225">
        <f t="shared" ca="1" si="287"/>
        <v>46236</v>
      </c>
      <c r="AG539" s="225" t="b">
        <f t="shared" si="281"/>
        <v>0</v>
      </c>
      <c r="AH539" s="242"/>
      <c r="AS539" s="223">
        <f t="shared" si="285"/>
        <v>6</v>
      </c>
      <c r="AT539" s="223">
        <f t="shared" si="286"/>
        <v>2026</v>
      </c>
    </row>
    <row r="540" spans="2:46" ht="15.75" x14ac:dyDescent="0.25">
      <c r="B540" s="229" t="s">
        <v>721</v>
      </c>
      <c r="C540" s="235" t="s">
        <v>108</v>
      </c>
      <c r="D540" s="243">
        <v>500</v>
      </c>
      <c r="E540" s="232" t="s">
        <v>4</v>
      </c>
      <c r="F540" s="233">
        <v>3.07</v>
      </c>
      <c r="G540" s="234">
        <v>46140</v>
      </c>
      <c r="H540" s="235" t="s">
        <v>28</v>
      </c>
      <c r="I540" s="235"/>
      <c r="J540" s="236">
        <v>7.0000000000000007E-2</v>
      </c>
      <c r="K540" s="237">
        <f ca="1">ROUND(IF(ISERROR(OFFSET(Tabella!$A$1,MATCH(H540,Tabella!$A:$A,0)-1,MATCH(J540,Tabella!$A$1:$AC$1,0)-1)=TRUE),0,+OFFSET(Tabella!$A$1,MATCH(H540,Tabella!$A:$A,0)-1,MATCH(J540,Tabella!$A$1:$AC$1,0)-1)),4)</f>
        <v>1.25</v>
      </c>
      <c r="L540" s="238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238">
        <f ca="1">ROUND(IF(ISERROR(OFFSET(Rame!$A$1,MATCH(H540,Rame!$A:$A,0)-1,MATCH(J540,Rame!$A$1:$AA$1,0)-1)=TRUE),0,OFFSET(Rame!$A$1,MATCH(H540,Rame!$A:$A,0)-1,MATCH(J540,Rame!$A$1:$AA$1,0)-1))*IF(E540="Rame",1,0),4)</f>
        <v>0</v>
      </c>
      <c r="N540" s="238">
        <v>0</v>
      </c>
      <c r="O540" s="238">
        <v>1.73</v>
      </c>
      <c r="P540" s="238">
        <f ca="1">ROUND(+IF(ISERROR(OFFSET(Tabella!$G$1,MATCH(H540,Tabella!$G:$G,0)-1,MATCH(I540,Tabella!$G$1:$FG$1,0)-1)=TRUE),0,OFFSET(Tabella!$G$1,MATCH(H540,Tabella!$G:$G,0)-1,MATCH(I540,Tabella!$G$1:$AB$1,0)-1)),4)</f>
        <v>0</v>
      </c>
      <c r="Q540" s="238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238">
        <f ca="1">ROUND(IF(ISERROR(OFFSET(Rame!$F$1,MATCH(H540,Rame!$F:$F,0)-1,MATCH(I540,Rame!$F$1:$FF$1,0)-1)=TRUE),0,OFFSET(Rame!$F$1,MATCH(H540,Rame!$F:$F,0)-1,MATCH(I540,Rame!$F$1:$FF$1,0)-1))*IF(E540="Rame",1,0),4)</f>
        <v>0</v>
      </c>
      <c r="S540" s="238">
        <f ca="1">ROUND(IF(ISERROR(OFFSET(Bronzo!$A$1,MATCH(H540,Bronzo!$A:$A,0)-1,MATCH(I540,Bronzo!$A$1:$AA$1,0)-1)=TRUE),0,OFFSET(Bronzo!$A$1,MATCH(H540,Bronzo!$A:$A,0)-1,MATCH(I540,Bronzo!$A$1:$AA$1,0)-1)),4)</f>
        <v>0</v>
      </c>
      <c r="T540" s="238">
        <f t="shared" ca="1" si="282"/>
        <v>0</v>
      </c>
      <c r="U540" s="237"/>
      <c r="V540" s="238">
        <v>0</v>
      </c>
      <c r="W540" s="239">
        <f t="shared" ca="1" si="283"/>
        <v>1.73</v>
      </c>
      <c r="X540" s="240">
        <f t="shared" ref="X540:X603" si="288">ROUND(+J540*D540,4)</f>
        <v>35</v>
      </c>
      <c r="Y540" s="236">
        <v>4.8</v>
      </c>
      <c r="Z540" s="236">
        <f t="shared" ca="1" si="284"/>
        <v>0</v>
      </c>
      <c r="AA540" s="241">
        <v>46185</v>
      </c>
      <c r="AF540" s="225">
        <f t="shared" ca="1" si="287"/>
        <v>46236</v>
      </c>
      <c r="AG540" s="225" t="b">
        <f t="shared" si="281"/>
        <v>0</v>
      </c>
      <c r="AH540" s="242"/>
      <c r="AS540" s="223">
        <f t="shared" si="285"/>
        <v>6</v>
      </c>
      <c r="AT540" s="223">
        <f t="shared" si="286"/>
        <v>2026</v>
      </c>
    </row>
    <row r="541" spans="2:46" ht="15.75" x14ac:dyDescent="0.25">
      <c r="B541" s="229" t="s">
        <v>721</v>
      </c>
      <c r="C541" s="235" t="s">
        <v>108</v>
      </c>
      <c r="D541" s="243">
        <v>500</v>
      </c>
      <c r="E541" s="232" t="s">
        <v>4</v>
      </c>
      <c r="F541" s="233">
        <v>3.07</v>
      </c>
      <c r="G541" s="234">
        <v>46140</v>
      </c>
      <c r="H541" s="235" t="s">
        <v>13</v>
      </c>
      <c r="I541" s="235"/>
      <c r="J541" s="236">
        <v>7.0000000000000007E-2</v>
      </c>
      <c r="K541" s="237">
        <f ca="1">ROUND(IF(ISERROR(OFFSET(Tabella!$A$1,MATCH(H541,Tabella!$A:$A,0)-1,MATCH(J541,Tabella!$A$1:$AC$1,0)-1)=TRUE),0,+OFFSET(Tabella!$A$1,MATCH(H541,Tabella!$A:$A,0)-1,MATCH(J541,Tabella!$A$1:$AC$1,0)-1)),4)</f>
        <v>1.4</v>
      </c>
      <c r="L541" s="238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238">
        <f ca="1">ROUND(IF(ISERROR(OFFSET(Rame!$A$1,MATCH(H541,Rame!$A:$A,0)-1,MATCH(J541,Rame!$A$1:$AA$1,0)-1)=TRUE),0,OFFSET(Rame!$A$1,MATCH(H541,Rame!$A:$A,0)-1,MATCH(J541,Rame!$A$1:$AA$1,0)-1))*IF(E541="Rame",1,0),4)</f>
        <v>0</v>
      </c>
      <c r="N541" s="238">
        <v>0</v>
      </c>
      <c r="O541" s="238">
        <v>1.88</v>
      </c>
      <c r="P541" s="238">
        <f ca="1">ROUND(+IF(ISERROR(OFFSET(Tabella!$G$1,MATCH(H541,Tabella!$G:$G,0)-1,MATCH(I541,Tabella!$G$1:$FG$1,0)-1)=TRUE),0,OFFSET(Tabella!$G$1,MATCH(H541,Tabella!$G:$G,0)-1,MATCH(I541,Tabella!$G$1:$AB$1,0)-1)),4)</f>
        <v>0</v>
      </c>
      <c r="Q541" s="238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238">
        <f ca="1">ROUND(IF(ISERROR(OFFSET(Rame!$F$1,MATCH(H541,Rame!$F:$F,0)-1,MATCH(I541,Rame!$F$1:$FF$1,0)-1)=TRUE),0,OFFSET(Rame!$F$1,MATCH(H541,Rame!$F:$F,0)-1,MATCH(I541,Rame!$F$1:$FF$1,0)-1))*IF(E541="Rame",1,0),4)</f>
        <v>0</v>
      </c>
      <c r="S541" s="238">
        <f ca="1">ROUND(IF(ISERROR(OFFSET(Bronzo!$A$1,MATCH(H541,Bronzo!$A:$A,0)-1,MATCH(I541,Bronzo!$A$1:$AA$1,0)-1)=TRUE),0,OFFSET(Bronzo!$A$1,MATCH(H541,Bronzo!$A:$A,0)-1,MATCH(I541,Bronzo!$A$1:$AA$1,0)-1)),4)</f>
        <v>0</v>
      </c>
      <c r="T541" s="238">
        <f t="shared" ca="1" si="282"/>
        <v>0</v>
      </c>
      <c r="U541" s="237"/>
      <c r="V541" s="238">
        <v>0</v>
      </c>
      <c r="W541" s="239">
        <f t="shared" ca="1" si="283"/>
        <v>1.88</v>
      </c>
      <c r="X541" s="240">
        <f t="shared" si="288"/>
        <v>35</v>
      </c>
      <c r="Y541" s="236">
        <v>4.95</v>
      </c>
      <c r="Z541" s="236">
        <f t="shared" ca="1" si="284"/>
        <v>0</v>
      </c>
      <c r="AA541" s="241">
        <v>46185</v>
      </c>
      <c r="AF541" s="225">
        <f t="shared" ca="1" si="287"/>
        <v>46236</v>
      </c>
      <c r="AG541" s="225" t="b">
        <f t="shared" si="281"/>
        <v>0</v>
      </c>
      <c r="AH541" s="242"/>
      <c r="AS541" s="223">
        <f t="shared" si="285"/>
        <v>6</v>
      </c>
      <c r="AT541" s="223">
        <f t="shared" si="286"/>
        <v>2026</v>
      </c>
    </row>
    <row r="542" spans="2:46" ht="15.75" x14ac:dyDescent="0.25">
      <c r="B542" s="229" t="s">
        <v>721</v>
      </c>
      <c r="C542" s="235" t="s">
        <v>108</v>
      </c>
      <c r="D542" s="243">
        <v>1000</v>
      </c>
      <c r="E542" s="232" t="s">
        <v>4</v>
      </c>
      <c r="F542" s="233">
        <v>3.07</v>
      </c>
      <c r="G542" s="234">
        <v>46140</v>
      </c>
      <c r="H542" s="235" t="s">
        <v>25</v>
      </c>
      <c r="I542" s="235"/>
      <c r="J542" s="236">
        <v>7.0000000000000007E-2</v>
      </c>
      <c r="K542" s="237">
        <f ca="1">ROUND(IF(ISERROR(OFFSET(Tabella!$A$1,MATCH(H542,Tabella!$A:$A,0)-1,MATCH(J542,Tabella!$A$1:$AC$1,0)-1)=TRUE),0,+OFFSET(Tabella!$A$1,MATCH(H542,Tabella!$A:$A,0)-1,MATCH(J542,Tabella!$A$1:$AC$1,0)-1)),4)</f>
        <v>1.25</v>
      </c>
      <c r="L542" s="238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238">
        <f ca="1">ROUND(IF(ISERROR(OFFSET(Rame!$A$1,MATCH(H542,Rame!$A:$A,0)-1,MATCH(J542,Rame!$A$1:$AA$1,0)-1)=TRUE),0,OFFSET(Rame!$A$1,MATCH(H542,Rame!$A:$A,0)-1,MATCH(J542,Rame!$A$1:$AA$1,0)-1))*IF(E542="Rame",1,0),4)</f>
        <v>0</v>
      </c>
      <c r="N542" s="238">
        <v>0</v>
      </c>
      <c r="O542" s="238">
        <v>1.73</v>
      </c>
      <c r="P542" s="238">
        <f ca="1">ROUND(+IF(ISERROR(OFFSET(Tabella!$G$1,MATCH(H542,Tabella!$G:$G,0)-1,MATCH(I542,Tabella!$G$1:$FG$1,0)-1)=TRUE),0,OFFSET(Tabella!$G$1,MATCH(H542,Tabella!$G:$G,0)-1,MATCH(I542,Tabella!$G$1:$AB$1,0)-1)),4)</f>
        <v>0</v>
      </c>
      <c r="Q542" s="238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238">
        <f ca="1">ROUND(IF(ISERROR(OFFSET(Rame!$F$1,MATCH(H542,Rame!$F:$F,0)-1,MATCH(I542,Rame!$F$1:$FF$1,0)-1)=TRUE),0,OFFSET(Rame!$F$1,MATCH(H542,Rame!$F:$F,0)-1,MATCH(I542,Rame!$F$1:$FF$1,0)-1))*IF(E542="Rame",1,0),4)</f>
        <v>0</v>
      </c>
      <c r="S542" s="238">
        <f ca="1">ROUND(IF(ISERROR(OFFSET(Bronzo!$A$1,MATCH(H542,Bronzo!$A:$A,0)-1,MATCH(I542,Bronzo!$A$1:$AA$1,0)-1)=TRUE),0,OFFSET(Bronzo!$A$1,MATCH(H542,Bronzo!$A:$A,0)-1,MATCH(I542,Bronzo!$A$1:$AA$1,0)-1)),4)</f>
        <v>0</v>
      </c>
      <c r="T542" s="238">
        <f t="shared" ca="1" si="282"/>
        <v>0</v>
      </c>
      <c r="U542" s="237"/>
      <c r="V542" s="238">
        <v>0</v>
      </c>
      <c r="W542" s="239">
        <f t="shared" ca="1" si="283"/>
        <v>1.73</v>
      </c>
      <c r="X542" s="240">
        <f t="shared" si="288"/>
        <v>70</v>
      </c>
      <c r="Y542" s="236">
        <v>4.8</v>
      </c>
      <c r="Z542" s="236">
        <f t="shared" ca="1" si="284"/>
        <v>0</v>
      </c>
      <c r="AA542" s="241">
        <v>46185</v>
      </c>
      <c r="AF542" s="225">
        <f t="shared" ca="1" si="287"/>
        <v>46236</v>
      </c>
      <c r="AG542" s="225" t="b">
        <f t="shared" si="281"/>
        <v>0</v>
      </c>
      <c r="AH542" s="242"/>
      <c r="AS542" s="223">
        <f t="shared" si="285"/>
        <v>6</v>
      </c>
      <c r="AT542" s="223">
        <f t="shared" si="286"/>
        <v>2026</v>
      </c>
    </row>
    <row r="543" spans="2:46" ht="15.75" x14ac:dyDescent="0.25">
      <c r="B543" s="229" t="s">
        <v>735</v>
      </c>
      <c r="C543" s="235" t="s">
        <v>418</v>
      </c>
      <c r="D543" s="243">
        <v>1000</v>
      </c>
      <c r="E543" s="232" t="s">
        <v>4</v>
      </c>
      <c r="F543" s="233">
        <v>2.97</v>
      </c>
      <c r="G543" s="234">
        <v>46115</v>
      </c>
      <c r="H543" s="235" t="s">
        <v>28</v>
      </c>
      <c r="I543" s="235"/>
      <c r="J543" s="236">
        <v>7.0000000000000007E-2</v>
      </c>
      <c r="K543" s="237">
        <f ca="1">ROUND(IF(ISERROR(OFFSET(Tabella!$A$1,MATCH(H543,Tabella!$A:$A,0)-1,MATCH(J543,Tabella!$A$1:$AC$1,0)-1)=TRUE),0,+OFFSET(Tabella!$A$1,MATCH(H543,Tabella!$A:$A,0)-1,MATCH(J543,Tabella!$A$1:$AC$1,0)-1)),4)</f>
        <v>1.25</v>
      </c>
      <c r="L543" s="238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238">
        <f ca="1">ROUND(IF(ISERROR(OFFSET(Rame!$A$1,MATCH(H543,Rame!$A:$A,0)-1,MATCH(J543,Rame!$A$1:$AA$1,0)-1)=TRUE),0,OFFSET(Rame!$A$1,MATCH(H543,Rame!$A:$A,0)-1,MATCH(J543,Rame!$A$1:$AA$1,0)-1))*IF(E543="Rame",1,0),4)</f>
        <v>0</v>
      </c>
      <c r="N543" s="238">
        <v>0</v>
      </c>
      <c r="O543" s="238">
        <v>1.73</v>
      </c>
      <c r="P543" s="238">
        <f ca="1">ROUND(+IF(ISERROR(OFFSET(Tabella!$G$1,MATCH(H543,Tabella!$G:$G,0)-1,MATCH(I543,Tabella!$G$1:$FG$1,0)-1)=TRUE),0,OFFSET(Tabella!$G$1,MATCH(H543,Tabella!$G:$G,0)-1,MATCH(I543,Tabella!$G$1:$AB$1,0)-1)),4)</f>
        <v>0</v>
      </c>
      <c r="Q543" s="238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238">
        <f ca="1">ROUND(IF(ISERROR(OFFSET(Rame!$F$1,MATCH(H543,Rame!$F:$F,0)-1,MATCH(I543,Rame!$F$1:$FF$1,0)-1)=TRUE),0,OFFSET(Rame!$F$1,MATCH(H543,Rame!$F:$F,0)-1,MATCH(I543,Rame!$F$1:$FF$1,0)-1))*IF(E543="Rame",1,0),4)</f>
        <v>0</v>
      </c>
      <c r="S543" s="238">
        <f ca="1">ROUND(IF(ISERROR(OFFSET(Bronzo!$A$1,MATCH(H543,Bronzo!$A:$A,0)-1,MATCH(I543,Bronzo!$A$1:$AA$1,0)-1)=TRUE),0,OFFSET(Bronzo!$A$1,MATCH(H543,Bronzo!$A:$A,0)-1,MATCH(I543,Bronzo!$A$1:$AA$1,0)-1)),4)</f>
        <v>0</v>
      </c>
      <c r="T543" s="238">
        <f t="shared" ca="1" si="282"/>
        <v>0</v>
      </c>
      <c r="U543" s="237"/>
      <c r="V543" s="238">
        <v>0</v>
      </c>
      <c r="W543" s="239">
        <f t="shared" ca="1" si="283"/>
        <v>1.73</v>
      </c>
      <c r="X543" s="240">
        <f t="shared" si="288"/>
        <v>70</v>
      </c>
      <c r="Y543" s="236">
        <v>4.57</v>
      </c>
      <c r="Z543" s="236">
        <f t="shared" ca="1" si="284"/>
        <v>-0.13</v>
      </c>
      <c r="AA543" s="241">
        <v>46189</v>
      </c>
      <c r="AF543" s="225">
        <f t="shared" ca="1" si="287"/>
        <v>46236</v>
      </c>
      <c r="AG543" s="225" t="b">
        <f t="shared" ref="AG543:AG606" si="289">ISBLANK(AA543)</f>
        <v>0</v>
      </c>
      <c r="AH543" s="242"/>
      <c r="AS543" s="223">
        <f t="shared" si="285"/>
        <v>6</v>
      </c>
      <c r="AT543" s="223">
        <f t="shared" si="286"/>
        <v>2026</v>
      </c>
    </row>
    <row r="544" spans="2:46" ht="15.75" x14ac:dyDescent="0.25">
      <c r="B544" s="229"/>
      <c r="C544" s="235" t="s">
        <v>199</v>
      </c>
      <c r="D544" s="243">
        <v>1000</v>
      </c>
      <c r="E544" s="232" t="s">
        <v>4</v>
      </c>
      <c r="F544" s="233">
        <v>3.09</v>
      </c>
      <c r="G544" s="234">
        <v>46162</v>
      </c>
      <c r="H544" s="235" t="s">
        <v>25</v>
      </c>
      <c r="I544" s="235"/>
      <c r="J544" s="236">
        <v>7.0000000000000007E-2</v>
      </c>
      <c r="K544" s="237">
        <f ca="1">ROUND(IF(ISERROR(OFFSET(Tabella!$A$1,MATCH(H544,Tabella!$A:$A,0)-1,MATCH(J544,Tabella!$A$1:$AC$1,0)-1)=TRUE),0,+OFFSET(Tabella!$A$1,MATCH(H544,Tabella!$A:$A,0)-1,MATCH(J544,Tabella!$A$1:$AC$1,0)-1)),4)</f>
        <v>1.25</v>
      </c>
      <c r="L544" s="238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238">
        <f ca="1">ROUND(IF(ISERROR(OFFSET(Rame!$A$1,MATCH(H544,Rame!$A:$A,0)-1,MATCH(J544,Rame!$A$1:$AA$1,0)-1)=TRUE),0,OFFSET(Rame!$A$1,MATCH(H544,Rame!$A:$A,0)-1,MATCH(J544,Rame!$A$1:$AA$1,0)-1))*IF(E544="Rame",1,0),4)</f>
        <v>0</v>
      </c>
      <c r="N544" s="238">
        <v>0</v>
      </c>
      <c r="O544" s="238">
        <v>1.73</v>
      </c>
      <c r="P544" s="238">
        <f ca="1">ROUND(+IF(ISERROR(OFFSET(Tabella!$G$1,MATCH(H544,Tabella!$G:$G,0)-1,MATCH(I544,Tabella!$G$1:$FG$1,0)-1)=TRUE),0,OFFSET(Tabella!$G$1,MATCH(H544,Tabella!$G:$G,0)-1,MATCH(I544,Tabella!$G$1:$AB$1,0)-1)),4)</f>
        <v>0</v>
      </c>
      <c r="Q544" s="238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238">
        <f ca="1">ROUND(IF(ISERROR(OFFSET(Rame!$F$1,MATCH(H544,Rame!$F:$F,0)-1,MATCH(I544,Rame!$F$1:$FF$1,0)-1)=TRUE),0,OFFSET(Rame!$F$1,MATCH(H544,Rame!$F:$F,0)-1,MATCH(I544,Rame!$F$1:$FF$1,0)-1))*IF(E544="Rame",1,0),4)</f>
        <v>0</v>
      </c>
      <c r="S544" s="238">
        <f ca="1">ROUND(IF(ISERROR(OFFSET(Bronzo!$A$1,MATCH(H544,Bronzo!$A:$A,0)-1,MATCH(I544,Bronzo!$A$1:$AA$1,0)-1)=TRUE),0,OFFSET(Bronzo!$A$1,MATCH(H544,Bronzo!$A:$A,0)-1,MATCH(I544,Bronzo!$A$1:$AA$1,0)-1)),4)</f>
        <v>0</v>
      </c>
      <c r="T544" s="238">
        <f t="shared" ca="1" si="282"/>
        <v>0</v>
      </c>
      <c r="U544" s="237"/>
      <c r="V544" s="238">
        <v>0</v>
      </c>
      <c r="W544" s="239">
        <f t="shared" ca="1" si="283"/>
        <v>1.73</v>
      </c>
      <c r="X544" s="240">
        <f t="shared" si="288"/>
        <v>70</v>
      </c>
      <c r="Y544" s="236">
        <v>5.2</v>
      </c>
      <c r="Z544" s="236">
        <f t="shared" ca="1" si="284"/>
        <v>0.38</v>
      </c>
      <c r="AA544" s="241"/>
      <c r="AF544" s="225">
        <f t="shared" ca="1" si="287"/>
        <v>46236</v>
      </c>
      <c r="AG544" s="225" t="b">
        <f t="shared" si="289"/>
        <v>1</v>
      </c>
      <c r="AH544" s="242"/>
      <c r="AS544" s="223">
        <f t="shared" si="285"/>
        <v>0</v>
      </c>
      <c r="AT544" s="223">
        <f t="shared" si="286"/>
        <v>0</v>
      </c>
    </row>
    <row r="545" spans="2:46" ht="15.75" x14ac:dyDescent="0.25">
      <c r="B545" s="229"/>
      <c r="C545" s="235" t="s">
        <v>102</v>
      </c>
      <c r="D545" s="243">
        <v>3500</v>
      </c>
      <c r="E545" s="232" t="s">
        <v>4</v>
      </c>
      <c r="F545" s="233">
        <v>2.97</v>
      </c>
      <c r="G545" s="234">
        <v>46150</v>
      </c>
      <c r="H545" s="235" t="s">
        <v>27</v>
      </c>
      <c r="I545" s="235"/>
      <c r="J545" s="236">
        <v>7.0000000000000007E-2</v>
      </c>
      <c r="K545" s="237">
        <f ca="1">ROUND(IF(ISERROR(OFFSET(Tabella!$A$1,MATCH(H545,Tabella!$A:$A,0)-1,MATCH(J545,Tabella!$A$1:$AC$1,0)-1)=TRUE),0,+OFFSET(Tabella!$A$1,MATCH(H545,Tabella!$A:$A,0)-1,MATCH(J545,Tabella!$A$1:$AC$1,0)-1)),4)</f>
        <v>1.25</v>
      </c>
      <c r="L545" s="238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238">
        <f ca="1">ROUND(IF(ISERROR(OFFSET(Rame!$A$1,MATCH(H545,Rame!$A:$A,0)-1,MATCH(J545,Rame!$A$1:$AA$1,0)-1)=TRUE),0,OFFSET(Rame!$A$1,MATCH(H545,Rame!$A:$A,0)-1,MATCH(J545,Rame!$A$1:$AA$1,0)-1))*IF(E545="Rame",1,0),4)</f>
        <v>0</v>
      </c>
      <c r="N545" s="238">
        <v>0</v>
      </c>
      <c r="O545" s="238">
        <v>1.73</v>
      </c>
      <c r="P545" s="238">
        <f ca="1">ROUND(+IF(ISERROR(OFFSET(Tabella!$G$1,MATCH(H545,Tabella!$G:$G,0)-1,MATCH(I545,Tabella!$G$1:$FG$1,0)-1)=TRUE),0,OFFSET(Tabella!$G$1,MATCH(H545,Tabella!$G:$G,0)-1,MATCH(I545,Tabella!$G$1:$AB$1,0)-1)),4)</f>
        <v>0</v>
      </c>
      <c r="Q545" s="238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238">
        <f ca="1">ROUND(IF(ISERROR(OFFSET(Rame!$F$1,MATCH(H545,Rame!$F:$F,0)-1,MATCH(I545,Rame!$F$1:$FF$1,0)-1)=TRUE),0,OFFSET(Rame!$F$1,MATCH(H545,Rame!$F:$F,0)-1,MATCH(I545,Rame!$F$1:$FF$1,0)-1))*IF(E545="Rame",1,0),4)</f>
        <v>0</v>
      </c>
      <c r="S545" s="238">
        <f ca="1">ROUND(IF(ISERROR(OFFSET(Bronzo!$A$1,MATCH(H545,Bronzo!$A:$A,0)-1,MATCH(I545,Bronzo!$A$1:$AA$1,0)-1)=TRUE),0,OFFSET(Bronzo!$A$1,MATCH(H545,Bronzo!$A:$A,0)-1,MATCH(I545,Bronzo!$A$1:$AA$1,0)-1)),4)</f>
        <v>0</v>
      </c>
      <c r="T545" s="238">
        <f t="shared" ca="1" si="282"/>
        <v>0</v>
      </c>
      <c r="U545" s="237"/>
      <c r="V545" s="238">
        <v>0</v>
      </c>
      <c r="W545" s="239">
        <f t="shared" ca="1" si="283"/>
        <v>1.73</v>
      </c>
      <c r="X545" s="240">
        <f t="shared" si="288"/>
        <v>245</v>
      </c>
      <c r="Y545" s="236">
        <v>4.7</v>
      </c>
      <c r="Z545" s="236">
        <f t="shared" ca="1" si="284"/>
        <v>0</v>
      </c>
      <c r="AA545" s="241">
        <v>46199</v>
      </c>
      <c r="AF545" s="225">
        <f t="shared" ca="1" si="287"/>
        <v>46236</v>
      </c>
      <c r="AG545" s="225" t="b">
        <f t="shared" si="289"/>
        <v>0</v>
      </c>
      <c r="AH545" s="242"/>
      <c r="AS545" s="223">
        <f t="shared" si="285"/>
        <v>6</v>
      </c>
      <c r="AT545" s="223">
        <f t="shared" si="286"/>
        <v>2026</v>
      </c>
    </row>
    <row r="546" spans="2:46" ht="15.75" x14ac:dyDescent="0.25">
      <c r="B546" s="229"/>
      <c r="C546" s="235" t="s">
        <v>97</v>
      </c>
      <c r="D546" s="243">
        <v>500</v>
      </c>
      <c r="E546" s="232" t="s">
        <v>6</v>
      </c>
      <c r="F546" s="233">
        <v>11.54</v>
      </c>
      <c r="G546" s="234">
        <v>46161</v>
      </c>
      <c r="H546" s="235" t="s">
        <v>14</v>
      </c>
      <c r="I546" s="235"/>
      <c r="J546" s="236">
        <v>0.1</v>
      </c>
      <c r="K546" s="237">
        <f ca="1">ROUND(IF(ISERROR(OFFSET(Tabella!$A$1,MATCH(H546,Tabella!$A:$A,0)-1,MATCH(J546,Tabella!$A$1:$AC$1,0)-1)=TRUE),0,+OFFSET(Tabella!$A$1,MATCH(H546,Tabella!$A:$A,0)-1,MATCH(J546,Tabella!$A$1:$AC$1,0)-1)),4)</f>
        <v>0</v>
      </c>
      <c r="L546" s="238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238">
        <f ca="1">ROUND(IF(ISERROR(OFFSET(Rame!$A$1,MATCH(H546,Rame!$A:$A,0)-1,MATCH(J546,Rame!$A$1:$AA$1,0)-1)=TRUE),0,OFFSET(Rame!$A$1,MATCH(H546,Rame!$A:$A,0)-1,MATCH(J546,Rame!$A$1:$AA$1,0)-1))*IF(E546="Rame",1,0),4)</f>
        <v>0.95</v>
      </c>
      <c r="N546" s="238">
        <v>0</v>
      </c>
      <c r="O546" s="238">
        <f t="shared" ref="O546:O562" ca="1" si="290">ROUND(SUM(K546:N546),4)</f>
        <v>0.95</v>
      </c>
      <c r="P546" s="238">
        <f ca="1">ROUND(+IF(ISERROR(OFFSET(Tabella!$G$1,MATCH(H546,Tabella!$G:$G,0)-1,MATCH(I546,Tabella!$G$1:$FG$1,0)-1)=TRUE),0,OFFSET(Tabella!$G$1,MATCH(H546,Tabella!$G:$G,0)-1,MATCH(I546,Tabella!$G$1:$AB$1,0)-1)),4)</f>
        <v>0</v>
      </c>
      <c r="Q546" s="238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238">
        <f ca="1">ROUND(IF(ISERROR(OFFSET(Rame!$F$1,MATCH(H546,Rame!$F:$F,0)-1,MATCH(I546,Rame!$F$1:$FF$1,0)-1)=TRUE),0,OFFSET(Rame!$F$1,MATCH(H546,Rame!$F:$F,0)-1,MATCH(I546,Rame!$F$1:$FF$1,0)-1))*IF(E546="Rame",1,0),4)</f>
        <v>0</v>
      </c>
      <c r="S546" s="238">
        <f ca="1">ROUND(IF(ISERROR(OFFSET(Bronzo!$A$1,MATCH(H546,Bronzo!$A:$A,0)-1,MATCH(I546,Bronzo!$A$1:$AA$1,0)-1)=TRUE),0,OFFSET(Bronzo!$A$1,MATCH(H546,Bronzo!$A:$A,0)-1,MATCH(I546,Bronzo!$A$1:$AA$1,0)-1)),4)</f>
        <v>0</v>
      </c>
      <c r="T546" s="238">
        <f t="shared" ref="T546:T609" ca="1" si="291">ROUND(SUM(P546:S546),4)</f>
        <v>0</v>
      </c>
      <c r="U546" s="237"/>
      <c r="V546" s="238">
        <v>0</v>
      </c>
      <c r="W546" s="239">
        <f t="shared" ref="W546:W609" ca="1" si="292">ROUND(+O546+T546+U546+V546,4)</f>
        <v>0.95</v>
      </c>
      <c r="X546" s="240">
        <f t="shared" si="288"/>
        <v>50</v>
      </c>
      <c r="Y546" s="236">
        <v>14.98</v>
      </c>
      <c r="Z546" s="236">
        <f t="shared" ref="Z546:Z609" ca="1" si="293">ROUND(+Y546-W546-F546,4)</f>
        <v>2.4900000000000002</v>
      </c>
      <c r="AA546" s="241"/>
      <c r="AF546" s="225">
        <f t="shared" ca="1" si="287"/>
        <v>46236</v>
      </c>
      <c r="AG546" s="225" t="b">
        <f t="shared" si="289"/>
        <v>1</v>
      </c>
      <c r="AH546" s="242"/>
      <c r="AS546" s="223">
        <f t="shared" si="285"/>
        <v>0</v>
      </c>
      <c r="AT546" s="223">
        <f t="shared" si="286"/>
        <v>0</v>
      </c>
    </row>
    <row r="547" spans="2:46" ht="15.75" x14ac:dyDescent="0.25">
      <c r="B547" s="229"/>
      <c r="C547" s="235" t="s">
        <v>97</v>
      </c>
      <c r="D547" s="243">
        <v>700</v>
      </c>
      <c r="E547" s="232" t="s">
        <v>6</v>
      </c>
      <c r="F547" s="233">
        <v>11.54</v>
      </c>
      <c r="G547" s="234">
        <v>46161</v>
      </c>
      <c r="H547" s="235" t="s">
        <v>16</v>
      </c>
      <c r="I547" s="235"/>
      <c r="J547" s="236">
        <v>0.1</v>
      </c>
      <c r="K547" s="237">
        <f ca="1">ROUND(IF(ISERROR(OFFSET(Tabella!$A$1,MATCH(H547,Tabella!$A:$A,0)-1,MATCH(J547,Tabella!$A$1:$AC$1,0)-1)=TRUE),0,+OFFSET(Tabella!$A$1,MATCH(H547,Tabella!$A:$A,0)-1,MATCH(J547,Tabella!$A$1:$AC$1,0)-1)),4)</f>
        <v>0</v>
      </c>
      <c r="L547" s="238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238">
        <f ca="1">ROUND(IF(ISERROR(OFFSET(Rame!$A$1,MATCH(H547,Rame!$A:$A,0)-1,MATCH(J547,Rame!$A$1:$AA$1,0)-1)=TRUE),0,OFFSET(Rame!$A$1,MATCH(H547,Rame!$A:$A,0)-1,MATCH(J547,Rame!$A$1:$AA$1,0)-1))*IF(E547="Rame",1,0),4)</f>
        <v>0.82</v>
      </c>
      <c r="N547" s="238">
        <v>0</v>
      </c>
      <c r="O547" s="238">
        <f t="shared" ca="1" si="290"/>
        <v>0.82</v>
      </c>
      <c r="P547" s="238">
        <f ca="1">ROUND(+IF(ISERROR(OFFSET(Tabella!$G$1,MATCH(H547,Tabella!$G:$G,0)-1,MATCH(I547,Tabella!$G$1:$FG$1,0)-1)=TRUE),0,OFFSET(Tabella!$G$1,MATCH(H547,Tabella!$G:$G,0)-1,MATCH(I547,Tabella!$G$1:$AB$1,0)-1)),4)</f>
        <v>0</v>
      </c>
      <c r="Q547" s="238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238">
        <f ca="1">ROUND(IF(ISERROR(OFFSET(Rame!$F$1,MATCH(H547,Rame!$F:$F,0)-1,MATCH(I547,Rame!$F$1:$FF$1,0)-1)=TRUE),0,OFFSET(Rame!$F$1,MATCH(H547,Rame!$F:$F,0)-1,MATCH(I547,Rame!$F$1:$FF$1,0)-1))*IF(E547="Rame",1,0),4)</f>
        <v>0</v>
      </c>
      <c r="S547" s="238">
        <f ca="1">ROUND(IF(ISERROR(OFFSET(Bronzo!$A$1,MATCH(H547,Bronzo!$A:$A,0)-1,MATCH(I547,Bronzo!$A$1:$AA$1,0)-1)=TRUE),0,OFFSET(Bronzo!$A$1,MATCH(H547,Bronzo!$A:$A,0)-1,MATCH(I547,Bronzo!$A$1:$AA$1,0)-1)),4)</f>
        <v>0</v>
      </c>
      <c r="T547" s="238">
        <f t="shared" ca="1" si="291"/>
        <v>0</v>
      </c>
      <c r="U547" s="237"/>
      <c r="V547" s="238">
        <v>0</v>
      </c>
      <c r="W547" s="239">
        <f t="shared" ca="1" si="292"/>
        <v>0.82</v>
      </c>
      <c r="X547" s="240">
        <f t="shared" si="288"/>
        <v>70</v>
      </c>
      <c r="Y547" s="236">
        <v>14.88</v>
      </c>
      <c r="Z547" s="236">
        <f t="shared" ca="1" si="293"/>
        <v>2.52</v>
      </c>
      <c r="AA547" s="241"/>
      <c r="AF547" s="225">
        <f t="shared" ca="1" si="287"/>
        <v>46236</v>
      </c>
      <c r="AG547" s="225" t="b">
        <f t="shared" si="289"/>
        <v>1</v>
      </c>
      <c r="AH547" s="242"/>
      <c r="AS547" s="223">
        <f t="shared" si="285"/>
        <v>0</v>
      </c>
      <c r="AT547" s="223">
        <f t="shared" si="286"/>
        <v>0</v>
      </c>
    </row>
    <row r="548" spans="2:46" ht="15.75" x14ac:dyDescent="0.25">
      <c r="B548" s="229" t="s">
        <v>767</v>
      </c>
      <c r="C548" s="235" t="s">
        <v>441</v>
      </c>
      <c r="D548" s="243">
        <v>610</v>
      </c>
      <c r="E548" s="232" t="s">
        <v>6</v>
      </c>
      <c r="F548" s="233">
        <v>11.58</v>
      </c>
      <c r="G548" s="234">
        <v>46164</v>
      </c>
      <c r="H548" s="235" t="s">
        <v>14</v>
      </c>
      <c r="I548" s="235"/>
      <c r="J548" s="236">
        <v>0.15</v>
      </c>
      <c r="K548" s="237">
        <f ca="1">ROUND(IF(ISERROR(OFFSET(Tabella!$A$1,MATCH(H548,Tabella!$A:$A,0)-1,MATCH(J548,Tabella!$A$1:$AC$1,0)-1)=TRUE),0,+OFFSET(Tabella!$A$1,MATCH(H548,Tabella!$A:$A,0)-1,MATCH(J548,Tabella!$A$1:$AC$1,0)-1)),4)</f>
        <v>0</v>
      </c>
      <c r="L548" s="238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238">
        <f ca="1">ROUND(IF(ISERROR(OFFSET(Rame!$A$1,MATCH(H548,Rame!$A:$A,0)-1,MATCH(J548,Rame!$A$1:$AA$1,0)-1)=TRUE),0,OFFSET(Rame!$A$1,MATCH(H548,Rame!$A:$A,0)-1,MATCH(J548,Rame!$A$1:$AA$1,0)-1))*IF(E548="Rame",1,0),4)</f>
        <v>1</v>
      </c>
      <c r="N548" s="238">
        <v>0</v>
      </c>
      <c r="O548" s="238">
        <f t="shared" ca="1" si="290"/>
        <v>1</v>
      </c>
      <c r="P548" s="238">
        <f ca="1">ROUND(+IF(ISERROR(OFFSET(Tabella!$G$1,MATCH(H548,Tabella!$G:$G,0)-1,MATCH(I548,Tabella!$G$1:$FG$1,0)-1)=TRUE),0,OFFSET(Tabella!$G$1,MATCH(H548,Tabella!$G:$G,0)-1,MATCH(I548,Tabella!$G$1:$AB$1,0)-1)),4)</f>
        <v>0</v>
      </c>
      <c r="Q548" s="238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238">
        <f ca="1">ROUND(IF(ISERROR(OFFSET(Rame!$F$1,MATCH(H548,Rame!$F:$F,0)-1,MATCH(I548,Rame!$F$1:$FF$1,0)-1)=TRUE),0,OFFSET(Rame!$F$1,MATCH(H548,Rame!$F:$F,0)-1,MATCH(I548,Rame!$F$1:$FF$1,0)-1))*IF(E548="Rame",1,0),4)</f>
        <v>0</v>
      </c>
      <c r="S548" s="238">
        <f ca="1">ROUND(IF(ISERROR(OFFSET(Bronzo!$A$1,MATCH(H548,Bronzo!$A:$A,0)-1,MATCH(I548,Bronzo!$A$1:$AA$1,0)-1)=TRUE),0,OFFSET(Bronzo!$A$1,MATCH(H548,Bronzo!$A:$A,0)-1,MATCH(I548,Bronzo!$A$1:$AA$1,0)-1)),4)</f>
        <v>0</v>
      </c>
      <c r="T548" s="238">
        <f t="shared" ca="1" si="291"/>
        <v>0</v>
      </c>
      <c r="U548" s="237"/>
      <c r="V548" s="238">
        <v>0</v>
      </c>
      <c r="W548" s="239">
        <f t="shared" ca="1" si="292"/>
        <v>1</v>
      </c>
      <c r="X548" s="240">
        <f t="shared" si="288"/>
        <v>91.5</v>
      </c>
      <c r="Y548" s="236">
        <v>15.15</v>
      </c>
      <c r="Z548" s="236">
        <f t="shared" ca="1" si="293"/>
        <v>2.57</v>
      </c>
      <c r="AA548" s="241">
        <v>46189</v>
      </c>
      <c r="AF548" s="225">
        <f t="shared" ca="1" si="287"/>
        <v>46236</v>
      </c>
      <c r="AG548" s="225" t="b">
        <f t="shared" si="289"/>
        <v>0</v>
      </c>
      <c r="AH548" s="242"/>
      <c r="AS548" s="223">
        <f t="shared" si="285"/>
        <v>6</v>
      </c>
      <c r="AT548" s="223">
        <f t="shared" si="286"/>
        <v>2026</v>
      </c>
    </row>
    <row r="549" spans="2:46" ht="15.75" x14ac:dyDescent="0.25">
      <c r="B549" s="229"/>
      <c r="C549" s="235" t="s">
        <v>396</v>
      </c>
      <c r="D549" s="243">
        <v>200</v>
      </c>
      <c r="E549" s="232" t="s">
        <v>4</v>
      </c>
      <c r="F549" s="233">
        <v>3.16</v>
      </c>
      <c r="G549" s="234">
        <v>46163</v>
      </c>
      <c r="H549" s="235" t="s">
        <v>25</v>
      </c>
      <c r="I549" s="235"/>
      <c r="J549" s="236">
        <v>7.0000000000000007E-2</v>
      </c>
      <c r="K549" s="237">
        <f ca="1">ROUND(IF(ISERROR(OFFSET(Tabella!$A$1,MATCH(H549,Tabella!$A:$A,0)-1,MATCH(J549,Tabella!$A$1:$AC$1,0)-1)=TRUE),0,+OFFSET(Tabella!$A$1,MATCH(H549,Tabella!$A:$A,0)-1,MATCH(J549,Tabella!$A$1:$AC$1,0)-1)),4)</f>
        <v>1.25</v>
      </c>
      <c r="L549" s="238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238">
        <f ca="1">ROUND(IF(ISERROR(OFFSET(Rame!$A$1,MATCH(H549,Rame!$A:$A,0)-1,MATCH(J549,Rame!$A$1:$AA$1,0)-1)=TRUE),0,OFFSET(Rame!$A$1,MATCH(H549,Rame!$A:$A,0)-1,MATCH(J549,Rame!$A$1:$AA$1,0)-1))*IF(E549="Rame",1,0),4)</f>
        <v>0</v>
      </c>
      <c r="N549" s="238">
        <v>0</v>
      </c>
      <c r="O549" s="238">
        <v>1.9</v>
      </c>
      <c r="P549" s="238">
        <f ca="1">ROUND(+IF(ISERROR(OFFSET(Tabella!$G$1,MATCH(H549,Tabella!$G:$G,0)-1,MATCH(I549,Tabella!$G$1:$FG$1,0)-1)=TRUE),0,OFFSET(Tabella!$G$1,MATCH(H549,Tabella!$G:$G,0)-1,MATCH(I549,Tabella!$G$1:$AB$1,0)-1)),4)</f>
        <v>0</v>
      </c>
      <c r="Q549" s="238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238">
        <f ca="1">ROUND(IF(ISERROR(OFFSET(Rame!$F$1,MATCH(H549,Rame!$F:$F,0)-1,MATCH(I549,Rame!$F$1:$FF$1,0)-1)=TRUE),0,OFFSET(Rame!$F$1,MATCH(H549,Rame!$F:$F,0)-1,MATCH(I549,Rame!$F$1:$FF$1,0)-1))*IF(E549="Rame",1,0),4)</f>
        <v>0</v>
      </c>
      <c r="S549" s="238">
        <f ca="1">ROUND(IF(ISERROR(OFFSET(Bronzo!$A$1,MATCH(H549,Bronzo!$A:$A,0)-1,MATCH(I549,Bronzo!$A$1:$AA$1,0)-1)=TRUE),0,OFFSET(Bronzo!$A$1,MATCH(H549,Bronzo!$A:$A,0)-1,MATCH(I549,Bronzo!$A$1:$AA$1,0)-1)),4)</f>
        <v>0</v>
      </c>
      <c r="T549" s="238">
        <f t="shared" ca="1" si="291"/>
        <v>0</v>
      </c>
      <c r="U549" s="237"/>
      <c r="V549" s="238">
        <v>0</v>
      </c>
      <c r="W549" s="239">
        <f t="shared" ca="1" si="292"/>
        <v>1.9</v>
      </c>
      <c r="X549" s="240">
        <f t="shared" si="288"/>
        <v>14</v>
      </c>
      <c r="Y549" s="236">
        <v>5.28</v>
      </c>
      <c r="Z549" s="236">
        <f t="shared" ca="1" si="293"/>
        <v>0.22</v>
      </c>
      <c r="AA549" s="241"/>
      <c r="AF549" s="225">
        <f t="shared" ca="1" si="287"/>
        <v>46236</v>
      </c>
      <c r="AG549" s="225" t="b">
        <f t="shared" si="289"/>
        <v>1</v>
      </c>
      <c r="AH549" s="242"/>
      <c r="AS549" s="223">
        <f t="shared" si="285"/>
        <v>0</v>
      </c>
      <c r="AT549" s="223">
        <f t="shared" si="286"/>
        <v>0</v>
      </c>
    </row>
    <row r="550" spans="2:46" ht="15.75" x14ac:dyDescent="0.25">
      <c r="B550" s="229"/>
      <c r="C550" s="235" t="s">
        <v>396</v>
      </c>
      <c r="D550" s="243">
        <v>500</v>
      </c>
      <c r="E550" s="232" t="s">
        <v>4</v>
      </c>
      <c r="F550" s="233">
        <v>3.16</v>
      </c>
      <c r="G550" s="234">
        <v>46163</v>
      </c>
      <c r="H550" s="235" t="s">
        <v>307</v>
      </c>
      <c r="I550" s="235"/>
      <c r="J550" s="236">
        <v>7.0000000000000007E-2</v>
      </c>
      <c r="K550" s="237">
        <f ca="1">ROUND(IF(ISERROR(OFFSET(Tabella!$A$1,MATCH(H550,Tabella!$A:$A,0)-1,MATCH(J550,Tabella!$A$1:$AC$1,0)-1)=TRUE),0,+OFFSET(Tabella!$A$1,MATCH(H550,Tabella!$A:$A,0)-1,MATCH(J550,Tabella!$A$1:$AC$1,0)-1)),4)</f>
        <v>1.25</v>
      </c>
      <c r="L550" s="238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238">
        <f ca="1">ROUND(IF(ISERROR(OFFSET(Rame!$A$1,MATCH(H550,Rame!$A:$A,0)-1,MATCH(J550,Rame!$A$1:$AA$1,0)-1)=TRUE),0,OFFSET(Rame!$A$1,MATCH(H550,Rame!$A:$A,0)-1,MATCH(J550,Rame!$A$1:$AA$1,0)-1))*IF(E550="Rame",1,0),4)</f>
        <v>0</v>
      </c>
      <c r="N550" s="238">
        <v>0</v>
      </c>
      <c r="O550" s="238">
        <v>1.9</v>
      </c>
      <c r="P550" s="238">
        <f ca="1">ROUND(+IF(ISERROR(OFFSET(Tabella!$G$1,MATCH(H550,Tabella!$G:$G,0)-1,MATCH(I550,Tabella!$G$1:$FG$1,0)-1)=TRUE),0,OFFSET(Tabella!$G$1,MATCH(H550,Tabella!$G:$G,0)-1,MATCH(I550,Tabella!$G$1:$AB$1,0)-1)),4)</f>
        <v>0</v>
      </c>
      <c r="Q550" s="238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238">
        <f ca="1">ROUND(IF(ISERROR(OFFSET(Rame!$F$1,MATCH(H550,Rame!$F:$F,0)-1,MATCH(I550,Rame!$F$1:$FF$1,0)-1)=TRUE),0,OFFSET(Rame!$F$1,MATCH(H550,Rame!$F:$F,0)-1,MATCH(I550,Rame!$F$1:$FF$1,0)-1))*IF(E550="Rame",1,0),4)</f>
        <v>0</v>
      </c>
      <c r="S550" s="238">
        <f ca="1">ROUND(IF(ISERROR(OFFSET(Bronzo!$A$1,MATCH(H550,Bronzo!$A:$A,0)-1,MATCH(I550,Bronzo!$A$1:$AA$1,0)-1)=TRUE),0,OFFSET(Bronzo!$A$1,MATCH(H550,Bronzo!$A:$A,0)-1,MATCH(I550,Bronzo!$A$1:$AA$1,0)-1)),4)</f>
        <v>0</v>
      </c>
      <c r="T550" s="238">
        <f t="shared" ca="1" si="291"/>
        <v>0</v>
      </c>
      <c r="U550" s="237"/>
      <c r="V550" s="238">
        <v>0</v>
      </c>
      <c r="W550" s="239">
        <f t="shared" ca="1" si="292"/>
        <v>1.9</v>
      </c>
      <c r="X550" s="240">
        <f t="shared" si="288"/>
        <v>35</v>
      </c>
      <c r="Y550" s="236">
        <v>5.28</v>
      </c>
      <c r="Z550" s="236">
        <f t="shared" ca="1" si="293"/>
        <v>0.22</v>
      </c>
      <c r="AA550" s="241"/>
      <c r="AF550" s="225">
        <f t="shared" ca="1" si="287"/>
        <v>46236</v>
      </c>
      <c r="AG550" s="225" t="b">
        <f t="shared" si="289"/>
        <v>1</v>
      </c>
      <c r="AH550" s="242"/>
      <c r="AS550" s="223">
        <f t="shared" si="285"/>
        <v>0</v>
      </c>
      <c r="AT550" s="223">
        <f t="shared" si="286"/>
        <v>0</v>
      </c>
    </row>
    <row r="551" spans="2:46" ht="15.75" x14ac:dyDescent="0.25">
      <c r="B551" s="229"/>
      <c r="C551" s="235" t="s">
        <v>418</v>
      </c>
      <c r="D551" s="243">
        <v>4500</v>
      </c>
      <c r="E551" s="232" t="s">
        <v>4</v>
      </c>
      <c r="F551" s="233">
        <v>2.97</v>
      </c>
      <c r="G551" s="234">
        <v>46115</v>
      </c>
      <c r="H551" s="235" t="s">
        <v>28</v>
      </c>
      <c r="I551" s="235"/>
      <c r="J551" s="236">
        <v>7.0000000000000007E-2</v>
      </c>
      <c r="K551" s="237">
        <f ca="1">ROUND(IF(ISERROR(OFFSET(Tabella!$A$1,MATCH(H551,Tabella!$A:$A,0)-1,MATCH(J551,Tabella!$A$1:$AC$1,0)-1)=TRUE),0,+OFFSET(Tabella!$A$1,MATCH(H551,Tabella!$A:$A,0)-1,MATCH(J551,Tabella!$A$1:$AC$1,0)-1)),4)</f>
        <v>1.25</v>
      </c>
      <c r="L551" s="238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238">
        <f ca="1">ROUND(IF(ISERROR(OFFSET(Rame!$A$1,MATCH(H551,Rame!$A:$A,0)-1,MATCH(J551,Rame!$A$1:$AA$1,0)-1)=TRUE),0,OFFSET(Rame!$A$1,MATCH(H551,Rame!$A:$A,0)-1,MATCH(J551,Rame!$A$1:$AA$1,0)-1))*IF(E551="Rame",1,0),4)</f>
        <v>0</v>
      </c>
      <c r="N551" s="238">
        <v>0</v>
      </c>
      <c r="O551" s="238">
        <v>1.73</v>
      </c>
      <c r="P551" s="238">
        <f ca="1">ROUND(+IF(ISERROR(OFFSET(Tabella!$G$1,MATCH(H551,Tabella!$G:$G,0)-1,MATCH(I551,Tabella!$G$1:$FG$1,0)-1)=TRUE),0,OFFSET(Tabella!$G$1,MATCH(H551,Tabella!$G:$G,0)-1,MATCH(I551,Tabella!$G$1:$AB$1,0)-1)),4)</f>
        <v>0</v>
      </c>
      <c r="Q551" s="238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238">
        <f ca="1">ROUND(IF(ISERROR(OFFSET(Rame!$F$1,MATCH(H551,Rame!$F:$F,0)-1,MATCH(I551,Rame!$F$1:$FF$1,0)-1)=TRUE),0,OFFSET(Rame!$F$1,MATCH(H551,Rame!$F:$F,0)-1,MATCH(I551,Rame!$F$1:$FF$1,0)-1))*IF(E551="Rame",1,0),4)</f>
        <v>0</v>
      </c>
      <c r="S551" s="238">
        <f ca="1">ROUND(IF(ISERROR(OFFSET(Bronzo!$A$1,MATCH(H551,Bronzo!$A:$A,0)-1,MATCH(I551,Bronzo!$A$1:$AA$1,0)-1)=TRUE),0,OFFSET(Bronzo!$A$1,MATCH(H551,Bronzo!$A:$A,0)-1,MATCH(I551,Bronzo!$A$1:$AA$1,0)-1)),4)</f>
        <v>0</v>
      </c>
      <c r="T551" s="238">
        <f t="shared" ca="1" si="291"/>
        <v>0</v>
      </c>
      <c r="U551" s="237"/>
      <c r="V551" s="238">
        <v>0</v>
      </c>
      <c r="W551" s="239">
        <f t="shared" ca="1" si="292"/>
        <v>1.73</v>
      </c>
      <c r="X551" s="240">
        <f t="shared" si="288"/>
        <v>315</v>
      </c>
      <c r="Y551" s="236">
        <v>4.57</v>
      </c>
      <c r="Z551" s="236">
        <f t="shared" ca="1" si="293"/>
        <v>-0.13</v>
      </c>
      <c r="AA551" s="241"/>
      <c r="AF551" s="225">
        <f t="shared" ca="1" si="287"/>
        <v>46236</v>
      </c>
      <c r="AG551" s="225" t="b">
        <f t="shared" si="289"/>
        <v>1</v>
      </c>
      <c r="AH551" s="242"/>
      <c r="AS551" s="223">
        <f t="shared" si="285"/>
        <v>0</v>
      </c>
      <c r="AT551" s="223">
        <f t="shared" si="286"/>
        <v>0</v>
      </c>
    </row>
    <row r="552" spans="2:46" ht="15.75" x14ac:dyDescent="0.25">
      <c r="B552" s="229"/>
      <c r="C552" s="235" t="s">
        <v>418</v>
      </c>
      <c r="D552" s="243">
        <v>4500</v>
      </c>
      <c r="E552" s="232" t="s">
        <v>4</v>
      </c>
      <c r="F552" s="233">
        <v>2.97</v>
      </c>
      <c r="G552" s="234">
        <v>46115</v>
      </c>
      <c r="H552" s="235" t="s">
        <v>28</v>
      </c>
      <c r="I552" s="235"/>
      <c r="J552" s="236">
        <v>7.0000000000000007E-2</v>
      </c>
      <c r="K552" s="237">
        <f ca="1">ROUND(IF(ISERROR(OFFSET(Tabella!$A$1,MATCH(H552,Tabella!$A:$A,0)-1,MATCH(J552,Tabella!$A$1:$AC$1,0)-1)=TRUE),0,+OFFSET(Tabella!$A$1,MATCH(H552,Tabella!$A:$A,0)-1,MATCH(J552,Tabella!$A$1:$AC$1,0)-1)),4)</f>
        <v>1.25</v>
      </c>
      <c r="L552" s="238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238">
        <f ca="1">ROUND(IF(ISERROR(OFFSET(Rame!$A$1,MATCH(H552,Rame!$A:$A,0)-1,MATCH(J552,Rame!$A$1:$AA$1,0)-1)=TRUE),0,OFFSET(Rame!$A$1,MATCH(H552,Rame!$A:$A,0)-1,MATCH(J552,Rame!$A$1:$AA$1,0)-1))*IF(E552="Rame",1,0),4)</f>
        <v>0</v>
      </c>
      <c r="N552" s="238">
        <v>0</v>
      </c>
      <c r="O552" s="238">
        <v>1.73</v>
      </c>
      <c r="P552" s="238">
        <f ca="1">ROUND(+IF(ISERROR(OFFSET(Tabella!$G$1,MATCH(H552,Tabella!$G:$G,0)-1,MATCH(I552,Tabella!$G$1:$FG$1,0)-1)=TRUE),0,OFFSET(Tabella!$G$1,MATCH(H552,Tabella!$G:$G,0)-1,MATCH(I552,Tabella!$G$1:$AB$1,0)-1)),4)</f>
        <v>0</v>
      </c>
      <c r="Q552" s="238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238">
        <f ca="1">ROUND(IF(ISERROR(OFFSET(Rame!$F$1,MATCH(H552,Rame!$F:$F,0)-1,MATCH(I552,Rame!$F$1:$FF$1,0)-1)=TRUE),0,OFFSET(Rame!$F$1,MATCH(H552,Rame!$F:$F,0)-1,MATCH(I552,Rame!$F$1:$FF$1,0)-1))*IF(E552="Rame",1,0),4)</f>
        <v>0</v>
      </c>
      <c r="S552" s="238">
        <f ca="1">ROUND(IF(ISERROR(OFFSET(Bronzo!$A$1,MATCH(H552,Bronzo!$A:$A,0)-1,MATCH(I552,Bronzo!$A$1:$AA$1,0)-1)=TRUE),0,OFFSET(Bronzo!$A$1,MATCH(H552,Bronzo!$A:$A,0)-1,MATCH(I552,Bronzo!$A$1:$AA$1,0)-1)),4)</f>
        <v>0</v>
      </c>
      <c r="T552" s="238">
        <f t="shared" ca="1" si="291"/>
        <v>0</v>
      </c>
      <c r="U552" s="237"/>
      <c r="V552" s="238">
        <v>0</v>
      </c>
      <c r="W552" s="239">
        <f t="shared" ca="1" si="292"/>
        <v>1.73</v>
      </c>
      <c r="X552" s="240">
        <f t="shared" si="288"/>
        <v>315</v>
      </c>
      <c r="Y552" s="236">
        <v>4.57</v>
      </c>
      <c r="Z552" s="236">
        <f t="shared" ca="1" si="293"/>
        <v>-0.13</v>
      </c>
      <c r="AA552" s="241"/>
      <c r="AF552" s="225">
        <f t="shared" ca="1" si="287"/>
        <v>46236</v>
      </c>
      <c r="AG552" s="225" t="b">
        <f t="shared" si="289"/>
        <v>1</v>
      </c>
      <c r="AH552" s="242"/>
      <c r="AS552" s="223">
        <f t="shared" si="285"/>
        <v>0</v>
      </c>
      <c r="AT552" s="223">
        <f t="shared" si="286"/>
        <v>0</v>
      </c>
    </row>
    <row r="553" spans="2:46" ht="15.75" x14ac:dyDescent="0.25">
      <c r="B553" s="229" t="s">
        <v>769</v>
      </c>
      <c r="C553" s="235" t="s">
        <v>108</v>
      </c>
      <c r="D553" s="243">
        <v>1000</v>
      </c>
      <c r="E553" s="232" t="s">
        <v>4</v>
      </c>
      <c r="F553" s="233">
        <v>3.07</v>
      </c>
      <c r="G553" s="234">
        <v>46140</v>
      </c>
      <c r="H553" s="235" t="s">
        <v>28</v>
      </c>
      <c r="I553" s="235"/>
      <c r="J553" s="236">
        <v>7.0000000000000007E-2</v>
      </c>
      <c r="K553" s="237">
        <f ca="1">ROUND(IF(ISERROR(OFFSET(Tabella!$A$1,MATCH(H553,Tabella!$A:$A,0)-1,MATCH(J553,Tabella!$A$1:$AC$1,0)-1)=TRUE),0,+OFFSET(Tabella!$A$1,MATCH(H553,Tabella!$A:$A,0)-1,MATCH(J553,Tabella!$A$1:$AC$1,0)-1)),4)</f>
        <v>1.25</v>
      </c>
      <c r="L553" s="238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238">
        <f ca="1">ROUND(IF(ISERROR(OFFSET(Rame!$A$1,MATCH(H553,Rame!$A:$A,0)-1,MATCH(J553,Rame!$A$1:$AA$1,0)-1)=TRUE),0,OFFSET(Rame!$A$1,MATCH(H553,Rame!$A:$A,0)-1,MATCH(J553,Rame!$A$1:$AA$1,0)-1))*IF(E553="Rame",1,0),4)</f>
        <v>0</v>
      </c>
      <c r="N553" s="238">
        <v>0</v>
      </c>
      <c r="O553" s="238">
        <v>1.73</v>
      </c>
      <c r="P553" s="238">
        <f ca="1">ROUND(+IF(ISERROR(OFFSET(Tabella!$G$1,MATCH(H553,Tabella!$G:$G,0)-1,MATCH(I553,Tabella!$G$1:$FG$1,0)-1)=TRUE),0,OFFSET(Tabella!$G$1,MATCH(H553,Tabella!$G:$G,0)-1,MATCH(I553,Tabella!$G$1:$AB$1,0)-1)),4)</f>
        <v>0</v>
      </c>
      <c r="Q553" s="238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238">
        <f ca="1">ROUND(IF(ISERROR(OFFSET(Rame!$F$1,MATCH(H553,Rame!$F:$F,0)-1,MATCH(I553,Rame!$F$1:$FF$1,0)-1)=TRUE),0,OFFSET(Rame!$F$1,MATCH(H553,Rame!$F:$F,0)-1,MATCH(I553,Rame!$F$1:$FF$1,0)-1))*IF(E553="Rame",1,0),4)</f>
        <v>0</v>
      </c>
      <c r="S553" s="238">
        <f ca="1">ROUND(IF(ISERROR(OFFSET(Bronzo!$A$1,MATCH(H553,Bronzo!$A:$A,0)-1,MATCH(I553,Bronzo!$A$1:$AA$1,0)-1)=TRUE),0,OFFSET(Bronzo!$A$1,MATCH(H553,Bronzo!$A:$A,0)-1,MATCH(I553,Bronzo!$A$1:$AA$1,0)-1)),4)</f>
        <v>0</v>
      </c>
      <c r="T553" s="238">
        <f t="shared" ca="1" si="291"/>
        <v>0</v>
      </c>
      <c r="U553" s="237"/>
      <c r="V553" s="238">
        <v>0</v>
      </c>
      <c r="W553" s="239">
        <f t="shared" ca="1" si="292"/>
        <v>1.73</v>
      </c>
      <c r="X553" s="240">
        <f t="shared" si="288"/>
        <v>70</v>
      </c>
      <c r="Y553" s="236">
        <v>4.57</v>
      </c>
      <c r="Z553" s="236">
        <f t="shared" ca="1" si="293"/>
        <v>-0.23</v>
      </c>
      <c r="AA553" s="241">
        <v>46185</v>
      </c>
      <c r="AF553" s="225">
        <f t="shared" ca="1" si="287"/>
        <v>46236</v>
      </c>
      <c r="AG553" s="225" t="b">
        <f t="shared" si="289"/>
        <v>0</v>
      </c>
      <c r="AH553" s="242"/>
      <c r="AS553" s="223">
        <f t="shared" si="285"/>
        <v>6</v>
      </c>
      <c r="AT553" s="223">
        <f t="shared" si="286"/>
        <v>2026</v>
      </c>
    </row>
    <row r="554" spans="2:46" ht="15.75" x14ac:dyDescent="0.25">
      <c r="B554" s="229"/>
      <c r="C554" s="235" t="s">
        <v>259</v>
      </c>
      <c r="D554" s="243">
        <v>7300</v>
      </c>
      <c r="E554" s="232" t="s">
        <v>4</v>
      </c>
      <c r="F554" s="233">
        <v>3.14</v>
      </c>
      <c r="G554" s="234">
        <v>46167</v>
      </c>
      <c r="H554" s="235" t="s">
        <v>29</v>
      </c>
      <c r="I554" s="235"/>
      <c r="J554" s="236">
        <v>0.05</v>
      </c>
      <c r="K554" s="237">
        <f ca="1">ROUND(IF(ISERROR(OFFSET(Tabella!$A$1,MATCH(H554,Tabella!$A:$A,0)-1,MATCH(J554,Tabella!$A$1:$AC$1,0)-1)=TRUE),0,+OFFSET(Tabella!$A$1,MATCH(H554,Tabella!$A:$A,0)-1,MATCH(J554,Tabella!$A$1:$AC$1,0)-1)),4)</f>
        <v>0</v>
      </c>
      <c r="L554" s="238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238">
        <f ca="1">ROUND(IF(ISERROR(OFFSET(Rame!$A$1,MATCH(H554,Rame!$A:$A,0)-1,MATCH(J554,Rame!$A$1:$AA$1,0)-1)=TRUE),0,OFFSET(Rame!$A$1,MATCH(H554,Rame!$A:$A,0)-1,MATCH(J554,Rame!$A$1:$AA$1,0)-1))*IF(E554="Rame",1,0),4)</f>
        <v>0</v>
      </c>
      <c r="N554" s="238">
        <v>0</v>
      </c>
      <c r="O554" s="238">
        <v>1.9</v>
      </c>
      <c r="P554" s="238">
        <f ca="1">ROUND(+IF(ISERROR(OFFSET(Tabella!$G$1,MATCH(H554,Tabella!$G:$G,0)-1,MATCH(I554,Tabella!$G$1:$FG$1,0)-1)=TRUE),0,OFFSET(Tabella!$G$1,MATCH(H554,Tabella!$G:$G,0)-1,MATCH(I554,Tabella!$G$1:$AB$1,0)-1)),4)</f>
        <v>0</v>
      </c>
      <c r="Q554" s="238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238">
        <f ca="1">ROUND(IF(ISERROR(OFFSET(Rame!$F$1,MATCH(H554,Rame!$F:$F,0)-1,MATCH(I554,Rame!$F$1:$FF$1,0)-1)=TRUE),0,OFFSET(Rame!$F$1,MATCH(H554,Rame!$F:$F,0)-1,MATCH(I554,Rame!$F$1:$FF$1,0)-1))*IF(E554="Rame",1,0),4)</f>
        <v>0</v>
      </c>
      <c r="S554" s="238">
        <f ca="1">ROUND(IF(ISERROR(OFFSET(Bronzo!$A$1,MATCH(H554,Bronzo!$A:$A,0)-1,MATCH(I554,Bronzo!$A$1:$AA$1,0)-1)=TRUE),0,OFFSET(Bronzo!$A$1,MATCH(H554,Bronzo!$A:$A,0)-1,MATCH(I554,Bronzo!$A$1:$AA$1,0)-1)),4)</f>
        <v>0</v>
      </c>
      <c r="T554" s="238">
        <f t="shared" ca="1" si="291"/>
        <v>0</v>
      </c>
      <c r="U554" s="237"/>
      <c r="V554" s="238">
        <v>0</v>
      </c>
      <c r="W554" s="239">
        <f t="shared" ca="1" si="292"/>
        <v>1.9</v>
      </c>
      <c r="X554" s="240">
        <f t="shared" si="288"/>
        <v>365</v>
      </c>
      <c r="Y554" s="236">
        <v>4.9000000000000004</v>
      </c>
      <c r="Z554" s="236">
        <f t="shared" ca="1" si="293"/>
        <v>-0.14000000000000001</v>
      </c>
      <c r="AA554" s="241"/>
      <c r="AF554" s="225">
        <f t="shared" ca="1" si="287"/>
        <v>46236</v>
      </c>
      <c r="AG554" s="225" t="b">
        <f t="shared" si="289"/>
        <v>1</v>
      </c>
      <c r="AH554" s="242"/>
      <c r="AS554" s="223">
        <f t="shared" si="285"/>
        <v>0</v>
      </c>
      <c r="AT554" s="223">
        <f t="shared" si="286"/>
        <v>0</v>
      </c>
    </row>
    <row r="555" spans="2:46" ht="15.75" x14ac:dyDescent="0.25">
      <c r="B555" s="229"/>
      <c r="C555" s="235" t="s">
        <v>222</v>
      </c>
      <c r="D555" s="243">
        <v>300</v>
      </c>
      <c r="E555" s="232" t="s">
        <v>4</v>
      </c>
      <c r="F555" s="233">
        <v>3.14</v>
      </c>
      <c r="G555" s="234">
        <v>46168</v>
      </c>
      <c r="H555" s="235" t="s">
        <v>27</v>
      </c>
      <c r="I555" s="235"/>
      <c r="J555" s="236">
        <v>7.0000000000000007E-2</v>
      </c>
      <c r="K555" s="237">
        <f ca="1">ROUND(IF(ISERROR(OFFSET(Tabella!$A$1,MATCH(H555,Tabella!$A:$A,0)-1,MATCH(J555,Tabella!$A$1:$AC$1,0)-1)=TRUE),0,+OFFSET(Tabella!$A$1,MATCH(H555,Tabella!$A:$A,0)-1,MATCH(J555,Tabella!$A$1:$AC$1,0)-1)),4)</f>
        <v>1.25</v>
      </c>
      <c r="L555" s="238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238">
        <f ca="1">ROUND(IF(ISERROR(OFFSET(Rame!$A$1,MATCH(H555,Rame!$A:$A,0)-1,MATCH(J555,Rame!$A$1:$AA$1,0)-1)=TRUE),0,OFFSET(Rame!$A$1,MATCH(H555,Rame!$A:$A,0)-1,MATCH(J555,Rame!$A$1:$AA$1,0)-1))*IF(E555="Rame",1,0),4)</f>
        <v>0</v>
      </c>
      <c r="N555" s="238">
        <v>0</v>
      </c>
      <c r="O555" s="238">
        <v>2</v>
      </c>
      <c r="P555" s="238">
        <f ca="1">ROUND(+IF(ISERROR(OFFSET(Tabella!$G$1,MATCH(H555,Tabella!$G:$G,0)-1,MATCH(I555,Tabella!$G$1:$FG$1,0)-1)=TRUE),0,OFFSET(Tabella!$G$1,MATCH(H555,Tabella!$G:$G,0)-1,MATCH(I555,Tabella!$G$1:$AB$1,0)-1)),4)</f>
        <v>0</v>
      </c>
      <c r="Q555" s="238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238">
        <f ca="1">ROUND(IF(ISERROR(OFFSET(Rame!$F$1,MATCH(H555,Rame!$F:$F,0)-1,MATCH(I555,Rame!$F$1:$FF$1,0)-1)=TRUE),0,OFFSET(Rame!$F$1,MATCH(H555,Rame!$F:$F,0)-1,MATCH(I555,Rame!$F$1:$FF$1,0)-1))*IF(E555="Rame",1,0),4)</f>
        <v>0</v>
      </c>
      <c r="S555" s="238">
        <f ca="1">ROUND(IF(ISERROR(OFFSET(Bronzo!$A$1,MATCH(H555,Bronzo!$A:$A,0)-1,MATCH(I555,Bronzo!$A$1:$AA$1,0)-1)=TRUE),0,OFFSET(Bronzo!$A$1,MATCH(H555,Bronzo!$A:$A,0)-1,MATCH(I555,Bronzo!$A$1:$AA$1,0)-1)),4)</f>
        <v>0</v>
      </c>
      <c r="T555" s="238">
        <f t="shared" ca="1" si="291"/>
        <v>0</v>
      </c>
      <c r="U555" s="237"/>
      <c r="V555" s="238">
        <v>0</v>
      </c>
      <c r="W555" s="239">
        <f t="shared" ca="1" si="292"/>
        <v>2</v>
      </c>
      <c r="X555" s="240">
        <f t="shared" si="288"/>
        <v>21</v>
      </c>
      <c r="Y555" s="236">
        <v>5.0999999999999996</v>
      </c>
      <c r="Z555" s="236">
        <f t="shared" ca="1" si="293"/>
        <v>-0.04</v>
      </c>
      <c r="AA555" s="241"/>
      <c r="AF555" s="225">
        <f t="shared" ca="1" si="287"/>
        <v>46236</v>
      </c>
      <c r="AG555" s="225" t="b">
        <f t="shared" si="289"/>
        <v>1</v>
      </c>
      <c r="AH555" s="242"/>
      <c r="AS555" s="223">
        <f t="shared" si="285"/>
        <v>0</v>
      </c>
      <c r="AT555" s="223">
        <f t="shared" si="286"/>
        <v>0</v>
      </c>
    </row>
    <row r="556" spans="2:46" ht="15.75" x14ac:dyDescent="0.25">
      <c r="B556" s="229"/>
      <c r="C556" s="235" t="s">
        <v>263</v>
      </c>
      <c r="D556" s="243">
        <v>1000</v>
      </c>
      <c r="E556" s="232" t="s">
        <v>4</v>
      </c>
      <c r="F556" s="233">
        <v>3.03</v>
      </c>
      <c r="G556" s="234">
        <v>46167</v>
      </c>
      <c r="H556" s="235" t="s">
        <v>9</v>
      </c>
      <c r="I556" s="235"/>
      <c r="J556" s="236">
        <v>7.0000000000000007E-2</v>
      </c>
      <c r="K556" s="237">
        <f ca="1">ROUND(IF(ISERROR(OFFSET(Tabella!$A$1,MATCH(H556,Tabella!$A:$A,0)-1,MATCH(J556,Tabella!$A$1:$AC$1,0)-1)=TRUE),0,+OFFSET(Tabella!$A$1,MATCH(H556,Tabella!$A:$A,0)-1,MATCH(J556,Tabella!$A$1:$AC$1,0)-1)),4)</f>
        <v>1.6</v>
      </c>
      <c r="L556" s="238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238">
        <f ca="1">ROUND(IF(ISERROR(OFFSET(Rame!$A$1,MATCH(H556,Rame!$A:$A,0)-1,MATCH(J556,Rame!$A$1:$AA$1,0)-1)=TRUE),0,OFFSET(Rame!$A$1,MATCH(H556,Rame!$A:$A,0)-1,MATCH(J556,Rame!$A$1:$AA$1,0)-1))*IF(E556="Rame",1,0),4)</f>
        <v>0</v>
      </c>
      <c r="N556" s="238">
        <v>0</v>
      </c>
      <c r="O556" s="238">
        <v>2.0299999999999998</v>
      </c>
      <c r="P556" s="238">
        <f ca="1">ROUND(+IF(ISERROR(OFFSET(Tabella!$G$1,MATCH(H556,Tabella!$G:$G,0)-1,MATCH(I556,Tabella!$G$1:$FG$1,0)-1)=TRUE),0,OFFSET(Tabella!$G$1,MATCH(H556,Tabella!$G:$G,0)-1,MATCH(I556,Tabella!$G$1:$AB$1,0)-1)),4)</f>
        <v>0</v>
      </c>
      <c r="Q556" s="238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238">
        <f ca="1">ROUND(IF(ISERROR(OFFSET(Rame!$F$1,MATCH(H556,Rame!$F:$F,0)-1,MATCH(I556,Rame!$F$1:$FF$1,0)-1)=TRUE),0,OFFSET(Rame!$F$1,MATCH(H556,Rame!$F:$F,0)-1,MATCH(I556,Rame!$F$1:$FF$1,0)-1))*IF(E556="Rame",1,0),4)</f>
        <v>0</v>
      </c>
      <c r="S556" s="238">
        <f ca="1">ROUND(IF(ISERROR(OFFSET(Bronzo!$A$1,MATCH(H556,Bronzo!$A:$A,0)-1,MATCH(I556,Bronzo!$A$1:$AA$1,0)-1)=TRUE),0,OFFSET(Bronzo!$A$1,MATCH(H556,Bronzo!$A:$A,0)-1,MATCH(I556,Bronzo!$A$1:$AA$1,0)-1)),4)</f>
        <v>0</v>
      </c>
      <c r="T556" s="238">
        <f t="shared" ca="1" si="291"/>
        <v>0</v>
      </c>
      <c r="U556" s="237"/>
      <c r="V556" s="238">
        <v>0</v>
      </c>
      <c r="W556" s="239">
        <f t="shared" ca="1" si="292"/>
        <v>2.0299999999999998</v>
      </c>
      <c r="X556" s="240">
        <f t="shared" si="288"/>
        <v>70</v>
      </c>
      <c r="Y556" s="236">
        <v>5.01</v>
      </c>
      <c r="Z556" s="236">
        <f t="shared" ca="1" si="293"/>
        <v>-0.05</v>
      </c>
      <c r="AA556" s="241"/>
      <c r="AF556" s="225">
        <f t="shared" ca="1" si="287"/>
        <v>46236</v>
      </c>
      <c r="AG556" s="225" t="b">
        <f t="shared" si="289"/>
        <v>1</v>
      </c>
      <c r="AH556" s="242"/>
      <c r="AS556" s="223">
        <f t="shared" si="285"/>
        <v>0</v>
      </c>
      <c r="AT556" s="223">
        <f t="shared" si="286"/>
        <v>0</v>
      </c>
    </row>
    <row r="557" spans="2:46" ht="15.75" x14ac:dyDescent="0.25">
      <c r="B557" s="229"/>
      <c r="C557" s="235" t="s">
        <v>263</v>
      </c>
      <c r="D557" s="243">
        <v>1500</v>
      </c>
      <c r="E557" s="232" t="s">
        <v>4</v>
      </c>
      <c r="F557" s="233">
        <v>3.03</v>
      </c>
      <c r="G557" s="234">
        <v>46167</v>
      </c>
      <c r="H557" s="235" t="s">
        <v>314</v>
      </c>
      <c r="I557" s="235"/>
      <c r="J557" s="236">
        <v>7.0000000000000007E-2</v>
      </c>
      <c r="K557" s="237">
        <f ca="1">ROUND(IF(ISERROR(OFFSET(Tabella!$A$1,MATCH(H557,Tabella!$A:$A,0)-1,MATCH(J557,Tabella!$A$1:$AC$1,0)-1)=TRUE),0,+OFFSET(Tabella!$A$1,MATCH(H557,Tabella!$A:$A,0)-1,MATCH(J557,Tabella!$A$1:$AC$1,0)-1)),4)</f>
        <v>1.25</v>
      </c>
      <c r="L557" s="238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238">
        <f ca="1">ROUND(IF(ISERROR(OFFSET(Rame!$A$1,MATCH(H557,Rame!$A:$A,0)-1,MATCH(J557,Rame!$A$1:$AA$1,0)-1)=TRUE),0,OFFSET(Rame!$A$1,MATCH(H557,Rame!$A:$A,0)-1,MATCH(J557,Rame!$A$1:$AA$1,0)-1))*IF(E557="Rame",1,0),4)</f>
        <v>0</v>
      </c>
      <c r="N557" s="238">
        <v>0</v>
      </c>
      <c r="O557" s="238">
        <v>1.73</v>
      </c>
      <c r="P557" s="238">
        <f ca="1">ROUND(+IF(ISERROR(OFFSET(Tabella!$G$1,MATCH(H557,Tabella!$G:$G,0)-1,MATCH(I557,Tabella!$G$1:$FG$1,0)-1)=TRUE),0,OFFSET(Tabella!$G$1,MATCH(H557,Tabella!$G:$G,0)-1,MATCH(I557,Tabella!$G$1:$AB$1,0)-1)),4)</f>
        <v>0</v>
      </c>
      <c r="Q557" s="238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238">
        <f ca="1">ROUND(IF(ISERROR(OFFSET(Rame!$F$1,MATCH(H557,Rame!$F:$F,0)-1,MATCH(I557,Rame!$F$1:$FF$1,0)-1)=TRUE),0,OFFSET(Rame!$F$1,MATCH(H557,Rame!$F:$F,0)-1,MATCH(I557,Rame!$F$1:$FF$1,0)-1))*IF(E557="Rame",1,0),4)</f>
        <v>0</v>
      </c>
      <c r="S557" s="238">
        <f ca="1">ROUND(IF(ISERROR(OFFSET(Bronzo!$A$1,MATCH(H557,Bronzo!$A:$A,0)-1,MATCH(I557,Bronzo!$A$1:$AA$1,0)-1)=TRUE),0,OFFSET(Bronzo!$A$1,MATCH(H557,Bronzo!$A:$A,0)-1,MATCH(I557,Bronzo!$A$1:$AA$1,0)-1)),4)</f>
        <v>0</v>
      </c>
      <c r="T557" s="238">
        <f t="shared" ca="1" si="291"/>
        <v>0</v>
      </c>
      <c r="U557" s="237"/>
      <c r="V557" s="238">
        <v>0</v>
      </c>
      <c r="W557" s="239">
        <f t="shared" ca="1" si="292"/>
        <v>1.73</v>
      </c>
      <c r="X557" s="240">
        <f t="shared" si="288"/>
        <v>105</v>
      </c>
      <c r="Y557" s="236">
        <v>4.41</v>
      </c>
      <c r="Z557" s="236">
        <f t="shared" ca="1" si="293"/>
        <v>-0.35</v>
      </c>
      <c r="AA557" s="241"/>
      <c r="AF557" s="225">
        <f t="shared" ca="1" si="287"/>
        <v>46236</v>
      </c>
      <c r="AG557" s="225" t="b">
        <f t="shared" si="289"/>
        <v>1</v>
      </c>
      <c r="AH557" s="242"/>
      <c r="AS557" s="223">
        <f t="shared" si="285"/>
        <v>0</v>
      </c>
      <c r="AT557" s="223">
        <f t="shared" si="286"/>
        <v>0</v>
      </c>
    </row>
    <row r="558" spans="2:46" ht="15.75" x14ac:dyDescent="0.25">
      <c r="B558" s="229"/>
      <c r="C558" s="430" t="s">
        <v>208</v>
      </c>
      <c r="D558" s="431">
        <v>15000</v>
      </c>
      <c r="E558" s="232" t="s">
        <v>4</v>
      </c>
      <c r="F558" s="233">
        <v>3.14</v>
      </c>
      <c r="G558" s="234">
        <v>46168</v>
      </c>
      <c r="H558" s="235" t="s">
        <v>30</v>
      </c>
      <c r="I558" s="235"/>
      <c r="J558" s="236">
        <v>0.05</v>
      </c>
      <c r="K558" s="237">
        <f ca="1">ROUND(IF(ISERROR(OFFSET(Tabella!$A$1,MATCH(H558,Tabella!$A:$A,0)-1,MATCH(J558,Tabella!$A$1:$AC$1,0)-1)=TRUE),0,+OFFSET(Tabella!$A$1,MATCH(H558,Tabella!$A:$A,0)-1,MATCH(J558,Tabella!$A$1:$AC$1,0)-1)),4)</f>
        <v>0</v>
      </c>
      <c r="L558" s="238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238">
        <f ca="1">ROUND(IF(ISERROR(OFFSET(Rame!$A$1,MATCH(H558,Rame!$A:$A,0)-1,MATCH(J558,Rame!$A$1:$AA$1,0)-1)=TRUE),0,OFFSET(Rame!$A$1,MATCH(H558,Rame!$A:$A,0)-1,MATCH(J558,Rame!$A$1:$AA$1,0)-1))*IF(E558="Rame",1,0),4)</f>
        <v>0</v>
      </c>
      <c r="N558" s="238">
        <v>0</v>
      </c>
      <c r="O558" s="238">
        <v>1.9</v>
      </c>
      <c r="P558" s="238">
        <f ca="1">ROUND(+IF(ISERROR(OFFSET(Tabella!$G$1,MATCH(H558,Tabella!$G:$G,0)-1,MATCH(I558,Tabella!$G$1:$FG$1,0)-1)=TRUE),0,OFFSET(Tabella!$G$1,MATCH(H558,Tabella!$G:$G,0)-1,MATCH(I558,Tabella!$G$1:$AB$1,0)-1)),4)</f>
        <v>0</v>
      </c>
      <c r="Q558" s="238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238">
        <f ca="1">ROUND(IF(ISERROR(OFFSET(Rame!$F$1,MATCH(H558,Rame!$F:$F,0)-1,MATCH(I558,Rame!$F$1:$FF$1,0)-1)=TRUE),0,OFFSET(Rame!$F$1,MATCH(H558,Rame!$F:$F,0)-1,MATCH(I558,Rame!$F$1:$FF$1,0)-1))*IF(E558="Rame",1,0),4)</f>
        <v>0</v>
      </c>
      <c r="S558" s="238">
        <f ca="1">ROUND(IF(ISERROR(OFFSET(Bronzo!$A$1,MATCH(H558,Bronzo!$A:$A,0)-1,MATCH(I558,Bronzo!$A$1:$AA$1,0)-1)=TRUE),0,OFFSET(Bronzo!$A$1,MATCH(H558,Bronzo!$A:$A,0)-1,MATCH(I558,Bronzo!$A$1:$AA$1,0)-1)),4)</f>
        <v>0</v>
      </c>
      <c r="T558" s="238">
        <f t="shared" ca="1" si="291"/>
        <v>0</v>
      </c>
      <c r="U558" s="237"/>
      <c r="V558" s="238">
        <v>0</v>
      </c>
      <c r="W558" s="239">
        <f t="shared" ca="1" si="292"/>
        <v>1.9</v>
      </c>
      <c r="X558" s="432">
        <f t="shared" si="288"/>
        <v>750</v>
      </c>
      <c r="Y558" s="236">
        <v>4.95</v>
      </c>
      <c r="Z558" s="236">
        <f t="shared" ca="1" si="293"/>
        <v>-0.09</v>
      </c>
      <c r="AA558" s="241"/>
      <c r="AF558" s="225">
        <f t="shared" ca="1" si="287"/>
        <v>46236</v>
      </c>
      <c r="AG558" s="225" t="b">
        <f t="shared" si="289"/>
        <v>1</v>
      </c>
      <c r="AH558" s="242"/>
      <c r="AS558" s="223">
        <f t="shared" si="285"/>
        <v>0</v>
      </c>
      <c r="AT558" s="223">
        <f t="shared" si="286"/>
        <v>0</v>
      </c>
    </row>
    <row r="559" spans="2:46" ht="15.75" x14ac:dyDescent="0.25">
      <c r="B559" s="229"/>
      <c r="C559" s="235" t="s">
        <v>97</v>
      </c>
      <c r="D559" s="243">
        <v>800</v>
      </c>
      <c r="E559" s="232" t="s">
        <v>6</v>
      </c>
      <c r="F559" s="233">
        <v>11.67</v>
      </c>
      <c r="G559" s="234">
        <v>46169</v>
      </c>
      <c r="H559" s="235" t="s">
        <v>10</v>
      </c>
      <c r="I559" s="235"/>
      <c r="J559" s="236">
        <v>0.15</v>
      </c>
      <c r="K559" s="237">
        <f ca="1">ROUND(IF(ISERROR(OFFSET(Tabella!$A$1,MATCH(H559,Tabella!$A:$A,0)-1,MATCH(J559,Tabella!$A$1:$AC$1,0)-1)=TRUE),0,+OFFSET(Tabella!$A$1,MATCH(H559,Tabella!$A:$A,0)-1,MATCH(J559,Tabella!$A$1:$AC$1,0)-1)),4)</f>
        <v>0</v>
      </c>
      <c r="L559" s="238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238">
        <f ca="1">ROUND(IF(ISERROR(OFFSET(Rame!$A$1,MATCH(H559,Rame!$A:$A,0)-1,MATCH(J559,Rame!$A$1:$AA$1,0)-1)=TRUE),0,OFFSET(Rame!$A$1,MATCH(H559,Rame!$A:$A,0)-1,MATCH(J559,Rame!$A$1:$AA$1,0)-1))*IF(E559="Rame",1,0),4)</f>
        <v>1.43</v>
      </c>
      <c r="N559" s="238">
        <v>0</v>
      </c>
      <c r="O559" s="238">
        <f t="shared" ca="1" si="290"/>
        <v>1.43</v>
      </c>
      <c r="P559" s="238">
        <f ca="1">ROUND(+IF(ISERROR(OFFSET(Tabella!$G$1,MATCH(H559,Tabella!$G:$G,0)-1,MATCH(I559,Tabella!$G$1:$FG$1,0)-1)=TRUE),0,OFFSET(Tabella!$G$1,MATCH(H559,Tabella!$G:$G,0)-1,MATCH(I559,Tabella!$G$1:$AB$1,0)-1)),4)</f>
        <v>0</v>
      </c>
      <c r="Q559" s="238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238">
        <f ca="1">ROUND(IF(ISERROR(OFFSET(Rame!$F$1,MATCH(H559,Rame!$F:$F,0)-1,MATCH(I559,Rame!$F$1:$FF$1,0)-1)=TRUE),0,OFFSET(Rame!$F$1,MATCH(H559,Rame!$F:$F,0)-1,MATCH(I559,Rame!$F$1:$FF$1,0)-1))*IF(E559="Rame",1,0),4)</f>
        <v>0</v>
      </c>
      <c r="S559" s="238">
        <f ca="1">ROUND(IF(ISERROR(OFFSET(Bronzo!$A$1,MATCH(H559,Bronzo!$A:$A,0)-1,MATCH(I559,Bronzo!$A$1:$AA$1,0)-1)=TRUE),0,OFFSET(Bronzo!$A$1,MATCH(H559,Bronzo!$A:$A,0)-1,MATCH(I559,Bronzo!$A$1:$AA$1,0)-1)),4)</f>
        <v>0</v>
      </c>
      <c r="T559" s="238">
        <f t="shared" ca="1" si="291"/>
        <v>0</v>
      </c>
      <c r="U559" s="237"/>
      <c r="V559" s="238">
        <v>0</v>
      </c>
      <c r="W559" s="239">
        <f t="shared" ca="1" si="292"/>
        <v>1.43</v>
      </c>
      <c r="X559" s="240">
        <f t="shared" si="288"/>
        <v>120</v>
      </c>
      <c r="Y559" s="236">
        <v>15.5</v>
      </c>
      <c r="Z559" s="236">
        <f t="shared" ca="1" si="293"/>
        <v>2.4</v>
      </c>
      <c r="AA559" s="241"/>
      <c r="AF559" s="225">
        <f t="shared" ca="1" si="287"/>
        <v>46236</v>
      </c>
      <c r="AG559" s="225" t="b">
        <f t="shared" si="289"/>
        <v>1</v>
      </c>
      <c r="AH559" s="242"/>
      <c r="AS559" s="223">
        <f t="shared" si="285"/>
        <v>0</v>
      </c>
      <c r="AT559" s="223">
        <f t="shared" si="286"/>
        <v>0</v>
      </c>
    </row>
    <row r="560" spans="2:46" ht="15.75" x14ac:dyDescent="0.25">
      <c r="B560" s="229"/>
      <c r="C560" s="235" t="s">
        <v>400</v>
      </c>
      <c r="D560" s="243">
        <v>500</v>
      </c>
      <c r="E560" s="232" t="s">
        <v>6</v>
      </c>
      <c r="F560" s="233">
        <v>11.66</v>
      </c>
      <c r="G560" s="234">
        <v>46169</v>
      </c>
      <c r="H560" s="235" t="s">
        <v>18</v>
      </c>
      <c r="I560" s="235"/>
      <c r="J560" s="236">
        <v>0.15</v>
      </c>
      <c r="K560" s="237">
        <f ca="1">ROUND(IF(ISERROR(OFFSET(Tabella!$A$1,MATCH(H560,Tabella!$A:$A,0)-1,MATCH(J560,Tabella!$A$1:$AC$1,0)-1)=TRUE),0,+OFFSET(Tabella!$A$1,MATCH(H560,Tabella!$A:$A,0)-1,MATCH(J560,Tabella!$A$1:$AC$1,0)-1)),4)</f>
        <v>0</v>
      </c>
      <c r="L560" s="238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238">
        <f ca="1">ROUND(IF(ISERROR(OFFSET(Rame!$A$1,MATCH(H560,Rame!$A:$A,0)-1,MATCH(J560,Rame!$A$1:$AA$1,0)-1)=TRUE),0,OFFSET(Rame!$A$1,MATCH(H560,Rame!$A:$A,0)-1,MATCH(J560,Rame!$A$1:$AA$1,0)-1))*IF(E560="Rame",1,0),4)</f>
        <v>0.82</v>
      </c>
      <c r="N560" s="238">
        <v>0</v>
      </c>
      <c r="O560" s="238">
        <f t="shared" ca="1" si="290"/>
        <v>0.82</v>
      </c>
      <c r="P560" s="238">
        <f ca="1">ROUND(+IF(ISERROR(OFFSET(Tabella!$G$1,MATCH(H560,Tabella!$G:$G,0)-1,MATCH(I560,Tabella!$G$1:$FG$1,0)-1)=TRUE),0,OFFSET(Tabella!$G$1,MATCH(H560,Tabella!$G:$G,0)-1,MATCH(I560,Tabella!$G$1:$AB$1,0)-1)),4)</f>
        <v>0</v>
      </c>
      <c r="Q560" s="238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238">
        <f ca="1">ROUND(IF(ISERROR(OFFSET(Rame!$F$1,MATCH(H560,Rame!$F:$F,0)-1,MATCH(I560,Rame!$F$1:$FF$1,0)-1)=TRUE),0,OFFSET(Rame!$F$1,MATCH(H560,Rame!$F:$F,0)-1,MATCH(I560,Rame!$F$1:$FF$1,0)-1))*IF(E560="Rame",1,0),4)</f>
        <v>0</v>
      </c>
      <c r="S560" s="238">
        <f ca="1">ROUND(IF(ISERROR(OFFSET(Bronzo!$A$1,MATCH(H560,Bronzo!$A:$A,0)-1,MATCH(I560,Bronzo!$A$1:$AA$1,0)-1)=TRUE),0,OFFSET(Bronzo!$A$1,MATCH(H560,Bronzo!$A:$A,0)-1,MATCH(I560,Bronzo!$A$1:$AA$1,0)-1)),4)</f>
        <v>0</v>
      </c>
      <c r="T560" s="238">
        <f t="shared" ca="1" si="291"/>
        <v>0</v>
      </c>
      <c r="U560" s="237"/>
      <c r="V560" s="238">
        <v>0</v>
      </c>
      <c r="W560" s="239">
        <f t="shared" ca="1" si="292"/>
        <v>0.82</v>
      </c>
      <c r="X560" s="240">
        <f t="shared" si="288"/>
        <v>75</v>
      </c>
      <c r="Y560" s="236">
        <v>15.2</v>
      </c>
      <c r="Z560" s="236">
        <f t="shared" ca="1" si="293"/>
        <v>2.72</v>
      </c>
      <c r="AA560" s="241"/>
      <c r="AF560" s="225">
        <f t="shared" ca="1" si="287"/>
        <v>46236</v>
      </c>
      <c r="AG560" s="225" t="b">
        <f t="shared" si="289"/>
        <v>1</v>
      </c>
      <c r="AH560" s="242"/>
      <c r="AS560" s="223">
        <f t="shared" si="285"/>
        <v>0</v>
      </c>
      <c r="AT560" s="223">
        <f t="shared" si="286"/>
        <v>0</v>
      </c>
    </row>
    <row r="561" spans="2:46" ht="15.75" x14ac:dyDescent="0.25">
      <c r="B561" s="229"/>
      <c r="C561" s="235" t="s">
        <v>400</v>
      </c>
      <c r="D561" s="243">
        <v>300</v>
      </c>
      <c r="E561" s="232" t="s">
        <v>6</v>
      </c>
      <c r="F561" s="233">
        <v>11.66</v>
      </c>
      <c r="G561" s="234">
        <v>46169</v>
      </c>
      <c r="H561" s="235" t="s">
        <v>18</v>
      </c>
      <c r="I561" s="235"/>
      <c r="J561" s="236">
        <v>0.15</v>
      </c>
      <c r="K561" s="237">
        <f ca="1">ROUND(IF(ISERROR(OFFSET(Tabella!$A$1,MATCH(H561,Tabella!$A:$A,0)-1,MATCH(J561,Tabella!$A$1:$AC$1,0)-1)=TRUE),0,+OFFSET(Tabella!$A$1,MATCH(H561,Tabella!$A:$A,0)-1,MATCH(J561,Tabella!$A$1:$AC$1,0)-1)),4)</f>
        <v>0</v>
      </c>
      <c r="L561" s="238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238">
        <f ca="1">ROUND(IF(ISERROR(OFFSET(Rame!$A$1,MATCH(H561,Rame!$A:$A,0)-1,MATCH(J561,Rame!$A$1:$AA$1,0)-1)=TRUE),0,OFFSET(Rame!$A$1,MATCH(H561,Rame!$A:$A,0)-1,MATCH(J561,Rame!$A$1:$AA$1,0)-1))*IF(E561="Rame",1,0),4)</f>
        <v>0.82</v>
      </c>
      <c r="N561" s="238">
        <v>0</v>
      </c>
      <c r="O561" s="238">
        <f t="shared" ca="1" si="290"/>
        <v>0.82</v>
      </c>
      <c r="P561" s="238">
        <f ca="1">ROUND(+IF(ISERROR(OFFSET(Tabella!$G$1,MATCH(H561,Tabella!$G:$G,0)-1,MATCH(I561,Tabella!$G$1:$FG$1,0)-1)=TRUE),0,OFFSET(Tabella!$G$1,MATCH(H561,Tabella!$G:$G,0)-1,MATCH(I561,Tabella!$G$1:$AB$1,0)-1)),4)</f>
        <v>0</v>
      </c>
      <c r="Q561" s="238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238">
        <f ca="1">ROUND(IF(ISERROR(OFFSET(Rame!$F$1,MATCH(H561,Rame!$F:$F,0)-1,MATCH(I561,Rame!$F$1:$FF$1,0)-1)=TRUE),0,OFFSET(Rame!$F$1,MATCH(H561,Rame!$F:$F,0)-1,MATCH(I561,Rame!$F$1:$FF$1,0)-1))*IF(E561="Rame",1,0),4)</f>
        <v>0</v>
      </c>
      <c r="S561" s="238">
        <f ca="1">ROUND(IF(ISERROR(OFFSET(Bronzo!$A$1,MATCH(H561,Bronzo!$A:$A,0)-1,MATCH(I561,Bronzo!$A$1:$AA$1,0)-1)=TRUE),0,OFFSET(Bronzo!$A$1,MATCH(H561,Bronzo!$A:$A,0)-1,MATCH(I561,Bronzo!$A$1:$AA$1,0)-1)),4)</f>
        <v>0</v>
      </c>
      <c r="T561" s="238">
        <f t="shared" ca="1" si="291"/>
        <v>0</v>
      </c>
      <c r="U561" s="237"/>
      <c r="V561" s="238">
        <v>0</v>
      </c>
      <c r="W561" s="239">
        <f t="shared" ca="1" si="292"/>
        <v>0.82</v>
      </c>
      <c r="X561" s="240">
        <f t="shared" si="288"/>
        <v>45</v>
      </c>
      <c r="Y561" s="236">
        <v>15.2</v>
      </c>
      <c r="Z561" s="236">
        <f t="shared" ca="1" si="293"/>
        <v>2.72</v>
      </c>
      <c r="AA561" s="241"/>
      <c r="AF561" s="225">
        <f t="shared" ca="1" si="287"/>
        <v>46236</v>
      </c>
      <c r="AG561" s="225" t="b">
        <f t="shared" si="289"/>
        <v>1</v>
      </c>
      <c r="AH561" s="242"/>
      <c r="AS561" s="223">
        <f t="shared" si="285"/>
        <v>0</v>
      </c>
      <c r="AT561" s="223">
        <f t="shared" si="286"/>
        <v>0</v>
      </c>
    </row>
    <row r="562" spans="2:46" ht="15.75" x14ac:dyDescent="0.25">
      <c r="B562" s="229"/>
      <c r="C562" s="235" t="s">
        <v>102</v>
      </c>
      <c r="D562" s="243">
        <v>1000</v>
      </c>
      <c r="E562" s="232" t="s">
        <v>4</v>
      </c>
      <c r="F562" s="233">
        <v>3.14</v>
      </c>
      <c r="G562" s="234">
        <v>46169</v>
      </c>
      <c r="H562" s="235" t="s">
        <v>30</v>
      </c>
      <c r="I562" s="235"/>
      <c r="J562" s="236">
        <v>0.1</v>
      </c>
      <c r="K562" s="237">
        <f ca="1">ROUND(IF(ISERROR(OFFSET(Tabella!$A$1,MATCH(H562,Tabella!$A:$A,0)-1,MATCH(J562,Tabella!$A$1:$AC$1,0)-1)=TRUE),0,+OFFSET(Tabella!$A$1,MATCH(H562,Tabella!$A:$A,0)-1,MATCH(J562,Tabella!$A$1:$AC$1,0)-1)),4)</f>
        <v>1.5</v>
      </c>
      <c r="L562" s="238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238">
        <f ca="1">ROUND(IF(ISERROR(OFFSET(Rame!$A$1,MATCH(H562,Rame!$A:$A,0)-1,MATCH(J562,Rame!$A$1:$AA$1,0)-1)=TRUE),0,OFFSET(Rame!$A$1,MATCH(H562,Rame!$A:$A,0)-1,MATCH(J562,Rame!$A$1:$AA$1,0)-1))*IF(E562="Rame",1,0),4)</f>
        <v>0</v>
      </c>
      <c r="N562" s="238">
        <v>0</v>
      </c>
      <c r="O562" s="238">
        <f t="shared" ca="1" si="290"/>
        <v>1.5</v>
      </c>
      <c r="P562" s="238">
        <f ca="1">ROUND(+IF(ISERROR(OFFSET(Tabella!$G$1,MATCH(H562,Tabella!$G:$G,0)-1,MATCH(I562,Tabella!$G$1:$FG$1,0)-1)=TRUE),0,OFFSET(Tabella!$G$1,MATCH(H562,Tabella!$G:$G,0)-1,MATCH(I562,Tabella!$G$1:$AB$1,0)-1)),4)</f>
        <v>0</v>
      </c>
      <c r="Q562" s="238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238">
        <f ca="1">ROUND(IF(ISERROR(OFFSET(Rame!$F$1,MATCH(H562,Rame!$F:$F,0)-1,MATCH(I562,Rame!$F$1:$FF$1,0)-1)=TRUE),0,OFFSET(Rame!$F$1,MATCH(H562,Rame!$F:$F,0)-1,MATCH(I562,Rame!$F$1:$FF$1,0)-1))*IF(E562="Rame",1,0),4)</f>
        <v>0</v>
      </c>
      <c r="S562" s="238">
        <f ca="1">ROUND(IF(ISERROR(OFFSET(Bronzo!$A$1,MATCH(H562,Bronzo!$A:$A,0)-1,MATCH(I562,Bronzo!$A$1:$AA$1,0)-1)=TRUE),0,OFFSET(Bronzo!$A$1,MATCH(H562,Bronzo!$A:$A,0)-1,MATCH(I562,Bronzo!$A$1:$AA$1,0)-1)),4)</f>
        <v>0</v>
      </c>
      <c r="T562" s="238">
        <f t="shared" ca="1" si="291"/>
        <v>0</v>
      </c>
      <c r="U562" s="237"/>
      <c r="V562" s="238">
        <v>0</v>
      </c>
      <c r="W562" s="239">
        <f t="shared" ca="1" si="292"/>
        <v>1.5</v>
      </c>
      <c r="X562" s="240">
        <f t="shared" si="288"/>
        <v>100</v>
      </c>
      <c r="Y562" s="236">
        <v>5.4</v>
      </c>
      <c r="Z562" s="236">
        <f t="shared" ca="1" si="293"/>
        <v>0.76</v>
      </c>
      <c r="AA562" s="241"/>
      <c r="AF562" s="225">
        <f t="shared" ca="1" si="287"/>
        <v>46236</v>
      </c>
      <c r="AG562" s="225" t="b">
        <f t="shared" si="289"/>
        <v>1</v>
      </c>
      <c r="AH562" s="242"/>
      <c r="AS562" s="223">
        <f t="shared" si="285"/>
        <v>0</v>
      </c>
      <c r="AT562" s="223">
        <f t="shared" si="286"/>
        <v>0</v>
      </c>
    </row>
    <row r="563" spans="2:46" ht="15.75" x14ac:dyDescent="0.25">
      <c r="B563" s="229"/>
      <c r="C563" s="430" t="s">
        <v>418</v>
      </c>
      <c r="D563" s="431">
        <v>30000</v>
      </c>
      <c r="E563" s="232" t="s">
        <v>4</v>
      </c>
      <c r="F563" s="233">
        <v>3.15</v>
      </c>
      <c r="G563" s="234">
        <v>46169</v>
      </c>
      <c r="H563" s="235" t="s">
        <v>21</v>
      </c>
      <c r="I563" s="235"/>
      <c r="J563" s="236">
        <v>0.05</v>
      </c>
      <c r="K563" s="237">
        <f ca="1">ROUND(IF(ISERROR(OFFSET(Tabella!$A$1,MATCH(H563,Tabella!$A:$A,0)-1,MATCH(J563,Tabella!$A$1:$AC$1,0)-1)=TRUE),0,+OFFSET(Tabella!$A$1,MATCH(H563,Tabella!$A:$A,0)-1,MATCH(J563,Tabella!$A$1:$AC$1,0)-1)),4)</f>
        <v>0</v>
      </c>
      <c r="L563" s="238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238">
        <f ca="1">ROUND(IF(ISERROR(OFFSET(Rame!$A$1,MATCH(H563,Rame!$A:$A,0)-1,MATCH(J563,Rame!$A$1:$AA$1,0)-1)=TRUE),0,OFFSET(Rame!$A$1,MATCH(H563,Rame!$A:$A,0)-1,MATCH(J563,Rame!$A$1:$AA$1,0)-1))*IF(E563="Rame",1,0),4)</f>
        <v>0</v>
      </c>
      <c r="N563" s="238">
        <v>0</v>
      </c>
      <c r="O563" s="238">
        <v>1.9</v>
      </c>
      <c r="P563" s="238">
        <f ca="1">ROUND(+IF(ISERROR(OFFSET(Tabella!$G$1,MATCH(H563,Tabella!$G:$G,0)-1,MATCH(I563,Tabella!$G$1:$FG$1,0)-1)=TRUE),0,OFFSET(Tabella!$G$1,MATCH(H563,Tabella!$G:$G,0)-1,MATCH(I563,Tabella!$G$1:$AB$1,0)-1)),4)</f>
        <v>0</v>
      </c>
      <c r="Q563" s="238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238">
        <f ca="1">ROUND(IF(ISERROR(OFFSET(Rame!$F$1,MATCH(H563,Rame!$F:$F,0)-1,MATCH(I563,Rame!$F$1:$FF$1,0)-1)=TRUE),0,OFFSET(Rame!$F$1,MATCH(H563,Rame!$F:$F,0)-1,MATCH(I563,Rame!$F$1:$FF$1,0)-1))*IF(E563="Rame",1,0),4)</f>
        <v>0</v>
      </c>
      <c r="S563" s="238">
        <f ca="1">ROUND(IF(ISERROR(OFFSET(Bronzo!$A$1,MATCH(H563,Bronzo!$A:$A,0)-1,MATCH(I563,Bronzo!$A$1:$AA$1,0)-1)=TRUE),0,OFFSET(Bronzo!$A$1,MATCH(H563,Bronzo!$A:$A,0)-1,MATCH(I563,Bronzo!$A$1:$AA$1,0)-1)),4)</f>
        <v>0</v>
      </c>
      <c r="T563" s="238">
        <f t="shared" ca="1" si="291"/>
        <v>0</v>
      </c>
      <c r="U563" s="237"/>
      <c r="V563" s="238">
        <v>0</v>
      </c>
      <c r="W563" s="239">
        <f t="shared" ca="1" si="292"/>
        <v>1.9</v>
      </c>
      <c r="X563" s="432">
        <f t="shared" si="288"/>
        <v>1500</v>
      </c>
      <c r="Y563" s="236">
        <v>4.9800000000000004</v>
      </c>
      <c r="Z563" s="236">
        <f t="shared" ca="1" si="293"/>
        <v>-7.0000000000000007E-2</v>
      </c>
      <c r="AA563" s="241">
        <v>46275</v>
      </c>
      <c r="AF563" s="225">
        <f t="shared" ca="1" si="287"/>
        <v>46236</v>
      </c>
      <c r="AG563" s="225" t="b">
        <f t="shared" si="289"/>
        <v>0</v>
      </c>
      <c r="AH563" s="242"/>
      <c r="AS563" s="223">
        <f t="shared" si="285"/>
        <v>9</v>
      </c>
      <c r="AT563" s="223">
        <f t="shared" si="286"/>
        <v>2026</v>
      </c>
    </row>
    <row r="564" spans="2:46" ht="15.75" x14ac:dyDescent="0.25">
      <c r="B564" s="229"/>
      <c r="C564" s="235"/>
      <c r="D564" s="243"/>
      <c r="E564" s="232"/>
      <c r="F564" s="233"/>
      <c r="G564" s="234"/>
      <c r="H564" s="235"/>
      <c r="I564" s="235"/>
      <c r="J564" s="236"/>
      <c r="K564" s="237">
        <f ca="1">ROUND(IF(ISERROR(OFFSET(Tabella!$A$1,MATCH(H564,Tabella!$A:$A,0)-1,MATCH(J564,Tabella!$A$1:$AC$1,0)-1)=TRUE),0,+OFFSET(Tabella!$A$1,MATCH(H564,Tabella!$A:$A,0)-1,MATCH(J564,Tabella!$A$1:$AC$1,0)-1)),4)</f>
        <v>0</v>
      </c>
      <c r="L564" s="238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238">
        <f ca="1">ROUND(IF(ISERROR(OFFSET(Rame!$A$1,MATCH(H564,Rame!$A:$A,0)-1,MATCH(J564,Rame!$A$1:$AA$1,0)-1)=TRUE),0,OFFSET(Rame!$A$1,MATCH(H564,Rame!$A:$A,0)-1,MATCH(J564,Rame!$A$1:$AA$1,0)-1))*IF(E564="Rame",1,0),4)</f>
        <v>0</v>
      </c>
      <c r="N564" s="238">
        <v>0</v>
      </c>
      <c r="O564" s="238">
        <f t="shared" ref="O564:O626" ca="1" si="294">ROUND(SUM(K564:N564),4)</f>
        <v>0</v>
      </c>
      <c r="P564" s="238">
        <f ca="1">ROUND(+IF(ISERROR(OFFSET(Tabella!$G$1,MATCH(H564,Tabella!$G:$G,0)-1,MATCH(I564,Tabella!$G$1:$FG$1,0)-1)=TRUE),0,OFFSET(Tabella!$G$1,MATCH(H564,Tabella!$G:$G,0)-1,MATCH(I564,Tabella!$G$1:$AB$1,0)-1)),4)</f>
        <v>0</v>
      </c>
      <c r="Q564" s="238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238">
        <f ca="1">ROUND(IF(ISERROR(OFFSET(Rame!$F$1,MATCH(H564,Rame!$F:$F,0)-1,MATCH(I564,Rame!$F$1:$FF$1,0)-1)=TRUE),0,OFFSET(Rame!$F$1,MATCH(H564,Rame!$F:$F,0)-1,MATCH(I564,Rame!$F$1:$FF$1,0)-1))*IF(E564="Rame",1,0),4)</f>
        <v>0</v>
      </c>
      <c r="S564" s="238">
        <f ca="1">ROUND(IF(ISERROR(OFFSET(Bronzo!$A$1,MATCH(H564,Bronzo!$A:$A,0)-1,MATCH(I564,Bronzo!$A$1:$AA$1,0)-1)=TRUE),0,OFFSET(Bronzo!$A$1,MATCH(H564,Bronzo!$A:$A,0)-1,MATCH(I564,Bronzo!$A$1:$AA$1,0)-1)),4)</f>
        <v>0</v>
      </c>
      <c r="T564" s="238">
        <f t="shared" ca="1" si="291"/>
        <v>0</v>
      </c>
      <c r="U564" s="237"/>
      <c r="V564" s="238">
        <v>0</v>
      </c>
      <c r="W564" s="239">
        <f t="shared" ca="1" si="292"/>
        <v>0</v>
      </c>
      <c r="X564" s="240">
        <f t="shared" si="288"/>
        <v>0</v>
      </c>
      <c r="Y564" s="236"/>
      <c r="Z564" s="236">
        <f t="shared" ca="1" si="293"/>
        <v>0</v>
      </c>
      <c r="AA564" s="241"/>
      <c r="AF564" s="225">
        <f t="shared" ca="1" si="287"/>
        <v>46236</v>
      </c>
      <c r="AG564" s="225" t="b">
        <f t="shared" si="289"/>
        <v>1</v>
      </c>
      <c r="AH564" s="242"/>
      <c r="AS564" s="223">
        <f t="shared" si="285"/>
        <v>0</v>
      </c>
      <c r="AT564" s="223">
        <f t="shared" si="286"/>
        <v>0</v>
      </c>
    </row>
    <row r="565" spans="2:46" ht="15.75" x14ac:dyDescent="0.25">
      <c r="B565" s="229"/>
      <c r="C565" s="235"/>
      <c r="D565" s="243"/>
      <c r="E565" s="232"/>
      <c r="F565" s="233"/>
      <c r="G565" s="234"/>
      <c r="H565" s="235"/>
      <c r="I565" s="235"/>
      <c r="J565" s="236"/>
      <c r="K565" s="237">
        <f ca="1">ROUND(IF(ISERROR(OFFSET(Tabella!$A$1,MATCH(H565,Tabella!$A:$A,0)-1,MATCH(J565,Tabella!$A$1:$AC$1,0)-1)=TRUE),0,+OFFSET(Tabella!$A$1,MATCH(H565,Tabella!$A:$A,0)-1,MATCH(J565,Tabella!$A$1:$AC$1,0)-1)),4)</f>
        <v>0</v>
      </c>
      <c r="L565" s="238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238">
        <f ca="1">ROUND(IF(ISERROR(OFFSET(Rame!$A$1,MATCH(H565,Rame!$A:$A,0)-1,MATCH(J565,Rame!$A$1:$AA$1,0)-1)=TRUE),0,OFFSET(Rame!$A$1,MATCH(H565,Rame!$A:$A,0)-1,MATCH(J565,Rame!$A$1:$AA$1,0)-1))*IF(E565="Rame",1,0),4)</f>
        <v>0</v>
      </c>
      <c r="N565" s="238">
        <v>0</v>
      </c>
      <c r="O565" s="238">
        <f t="shared" ca="1" si="294"/>
        <v>0</v>
      </c>
      <c r="P565" s="238">
        <f ca="1">ROUND(+IF(ISERROR(OFFSET(Tabella!$G$1,MATCH(H565,Tabella!$G:$G,0)-1,MATCH(I565,Tabella!$G$1:$FG$1,0)-1)=TRUE),0,OFFSET(Tabella!$G$1,MATCH(H565,Tabella!$G:$G,0)-1,MATCH(I565,Tabella!$G$1:$AB$1,0)-1)),4)</f>
        <v>0</v>
      </c>
      <c r="Q565" s="238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238">
        <f ca="1">ROUND(IF(ISERROR(OFFSET(Rame!$F$1,MATCH(H565,Rame!$F:$F,0)-1,MATCH(I565,Rame!$F$1:$FF$1,0)-1)=TRUE),0,OFFSET(Rame!$F$1,MATCH(H565,Rame!$F:$F,0)-1,MATCH(I565,Rame!$F$1:$FF$1,0)-1))*IF(E565="Rame",1,0),4)</f>
        <v>0</v>
      </c>
      <c r="S565" s="238">
        <f ca="1">ROUND(IF(ISERROR(OFFSET(Bronzo!$A$1,MATCH(H565,Bronzo!$A:$A,0)-1,MATCH(I565,Bronzo!$A$1:$AA$1,0)-1)=TRUE),0,OFFSET(Bronzo!$A$1,MATCH(H565,Bronzo!$A:$A,0)-1,MATCH(I565,Bronzo!$A$1:$AA$1,0)-1)),4)</f>
        <v>0</v>
      </c>
      <c r="T565" s="238">
        <f t="shared" ca="1" si="291"/>
        <v>0</v>
      </c>
      <c r="U565" s="237"/>
      <c r="V565" s="238">
        <v>0</v>
      </c>
      <c r="W565" s="239">
        <f t="shared" ca="1" si="292"/>
        <v>0</v>
      </c>
      <c r="X565" s="240">
        <f t="shared" si="288"/>
        <v>0</v>
      </c>
      <c r="Y565" s="236"/>
      <c r="Z565" s="236">
        <f t="shared" ca="1" si="293"/>
        <v>0</v>
      </c>
      <c r="AA565" s="241"/>
      <c r="AF565" s="225">
        <f t="shared" ca="1" si="287"/>
        <v>46236</v>
      </c>
      <c r="AG565" s="225" t="b">
        <f t="shared" si="289"/>
        <v>1</v>
      </c>
      <c r="AH565" s="242"/>
      <c r="AS565" s="223">
        <f t="shared" si="285"/>
        <v>0</v>
      </c>
      <c r="AT565" s="223">
        <f t="shared" si="286"/>
        <v>0</v>
      </c>
    </row>
    <row r="566" spans="2:46" ht="15.75" x14ac:dyDescent="0.25">
      <c r="B566" s="229"/>
      <c r="C566" s="235"/>
      <c r="D566" s="243"/>
      <c r="E566" s="232"/>
      <c r="F566" s="233"/>
      <c r="G566" s="234"/>
      <c r="H566" s="235"/>
      <c r="I566" s="235"/>
      <c r="J566" s="236"/>
      <c r="K566" s="237">
        <f ca="1">ROUND(IF(ISERROR(OFFSET(Tabella!$A$1,MATCH(H566,Tabella!$A:$A,0)-1,MATCH(J566,Tabella!$A$1:$AC$1,0)-1)=TRUE),0,+OFFSET(Tabella!$A$1,MATCH(H566,Tabella!$A:$A,0)-1,MATCH(J566,Tabella!$A$1:$AC$1,0)-1)),4)</f>
        <v>0</v>
      </c>
      <c r="L566" s="238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238">
        <f ca="1">ROUND(IF(ISERROR(OFFSET(Rame!$A$1,MATCH(H566,Rame!$A:$A,0)-1,MATCH(J566,Rame!$A$1:$AA$1,0)-1)=TRUE),0,OFFSET(Rame!$A$1,MATCH(H566,Rame!$A:$A,0)-1,MATCH(J566,Rame!$A$1:$AA$1,0)-1))*IF(E566="Rame",1,0),4)</f>
        <v>0</v>
      </c>
      <c r="N566" s="238">
        <v>0</v>
      </c>
      <c r="O566" s="238">
        <f t="shared" ca="1" si="294"/>
        <v>0</v>
      </c>
      <c r="P566" s="238">
        <f ca="1">ROUND(+IF(ISERROR(OFFSET(Tabella!$G$1,MATCH(H566,Tabella!$G:$G,0)-1,MATCH(I566,Tabella!$G$1:$FG$1,0)-1)=TRUE),0,OFFSET(Tabella!$G$1,MATCH(H566,Tabella!$G:$G,0)-1,MATCH(I566,Tabella!$G$1:$AB$1,0)-1)),4)</f>
        <v>0</v>
      </c>
      <c r="Q566" s="238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238">
        <f ca="1">ROUND(IF(ISERROR(OFFSET(Rame!$F$1,MATCH(H566,Rame!$F:$F,0)-1,MATCH(I566,Rame!$F$1:$FF$1,0)-1)=TRUE),0,OFFSET(Rame!$F$1,MATCH(H566,Rame!$F:$F,0)-1,MATCH(I566,Rame!$F$1:$FF$1,0)-1))*IF(E566="Rame",1,0),4)</f>
        <v>0</v>
      </c>
      <c r="S566" s="238">
        <f ca="1">ROUND(IF(ISERROR(OFFSET(Bronzo!$A$1,MATCH(H566,Bronzo!$A:$A,0)-1,MATCH(I566,Bronzo!$A$1:$AA$1,0)-1)=TRUE),0,OFFSET(Bronzo!$A$1,MATCH(H566,Bronzo!$A:$A,0)-1,MATCH(I566,Bronzo!$A$1:$AA$1,0)-1)),4)</f>
        <v>0</v>
      </c>
      <c r="T566" s="238">
        <f t="shared" ca="1" si="291"/>
        <v>0</v>
      </c>
      <c r="U566" s="237"/>
      <c r="V566" s="238">
        <v>0</v>
      </c>
      <c r="W566" s="239">
        <f t="shared" ca="1" si="292"/>
        <v>0</v>
      </c>
      <c r="X566" s="240">
        <f t="shared" si="288"/>
        <v>0</v>
      </c>
      <c r="Y566" s="236"/>
      <c r="Z566" s="236">
        <f t="shared" ca="1" si="293"/>
        <v>0</v>
      </c>
      <c r="AA566" s="241"/>
      <c r="AF566" s="225">
        <f t="shared" ca="1" si="287"/>
        <v>46236</v>
      </c>
      <c r="AG566" s="225" t="b">
        <f t="shared" si="289"/>
        <v>1</v>
      </c>
      <c r="AH566" s="242"/>
      <c r="AS566" s="223">
        <f t="shared" si="285"/>
        <v>0</v>
      </c>
      <c r="AT566" s="223">
        <f t="shared" si="286"/>
        <v>0</v>
      </c>
    </row>
    <row r="567" spans="2:46" ht="15.75" x14ac:dyDescent="0.25">
      <c r="B567" s="229"/>
      <c r="C567" s="235"/>
      <c r="D567" s="243"/>
      <c r="E567" s="232"/>
      <c r="F567" s="233"/>
      <c r="G567" s="234"/>
      <c r="H567" s="235"/>
      <c r="I567" s="235"/>
      <c r="J567" s="236"/>
      <c r="K567" s="237">
        <f ca="1">ROUND(IF(ISERROR(OFFSET(Tabella!$A$1,MATCH(H567,Tabella!$A:$A,0)-1,MATCH(J567,Tabella!$A$1:$AC$1,0)-1)=TRUE),0,+OFFSET(Tabella!$A$1,MATCH(H567,Tabella!$A:$A,0)-1,MATCH(J567,Tabella!$A$1:$AC$1,0)-1)),4)</f>
        <v>0</v>
      </c>
      <c r="L567" s="238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238">
        <f ca="1">ROUND(IF(ISERROR(OFFSET(Rame!$A$1,MATCH(H567,Rame!$A:$A,0)-1,MATCH(J567,Rame!$A$1:$AA$1,0)-1)=TRUE),0,OFFSET(Rame!$A$1,MATCH(H567,Rame!$A:$A,0)-1,MATCH(J567,Rame!$A$1:$AA$1,0)-1))*IF(E567="Rame",1,0),4)</f>
        <v>0</v>
      </c>
      <c r="N567" s="238">
        <v>0</v>
      </c>
      <c r="O567" s="238">
        <f t="shared" ca="1" si="294"/>
        <v>0</v>
      </c>
      <c r="P567" s="238">
        <f ca="1">ROUND(+IF(ISERROR(OFFSET(Tabella!$G$1,MATCH(H567,Tabella!$G:$G,0)-1,MATCH(I567,Tabella!$G$1:$FG$1,0)-1)=TRUE),0,OFFSET(Tabella!$G$1,MATCH(H567,Tabella!$G:$G,0)-1,MATCH(I567,Tabella!$G$1:$AB$1,0)-1)),4)</f>
        <v>0</v>
      </c>
      <c r="Q567" s="238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238">
        <f ca="1">ROUND(IF(ISERROR(OFFSET(Rame!$F$1,MATCH(H567,Rame!$F:$F,0)-1,MATCH(I567,Rame!$F$1:$FF$1,0)-1)=TRUE),0,OFFSET(Rame!$F$1,MATCH(H567,Rame!$F:$F,0)-1,MATCH(I567,Rame!$F$1:$FF$1,0)-1))*IF(E567="Rame",1,0),4)</f>
        <v>0</v>
      </c>
      <c r="S567" s="238">
        <f ca="1">ROUND(IF(ISERROR(OFFSET(Bronzo!$A$1,MATCH(H567,Bronzo!$A:$A,0)-1,MATCH(I567,Bronzo!$A$1:$AA$1,0)-1)=TRUE),0,OFFSET(Bronzo!$A$1,MATCH(H567,Bronzo!$A:$A,0)-1,MATCH(I567,Bronzo!$A$1:$AA$1,0)-1)),4)</f>
        <v>0</v>
      </c>
      <c r="T567" s="238">
        <f t="shared" ca="1" si="291"/>
        <v>0</v>
      </c>
      <c r="U567" s="237"/>
      <c r="V567" s="238">
        <v>0</v>
      </c>
      <c r="W567" s="239">
        <f t="shared" ca="1" si="292"/>
        <v>0</v>
      </c>
      <c r="X567" s="240">
        <f t="shared" si="288"/>
        <v>0</v>
      </c>
      <c r="Y567" s="236"/>
      <c r="Z567" s="236">
        <f t="shared" ca="1" si="293"/>
        <v>0</v>
      </c>
      <c r="AA567" s="241"/>
      <c r="AF567" s="225">
        <f t="shared" ca="1" si="287"/>
        <v>46236</v>
      </c>
      <c r="AG567" s="225" t="b">
        <f t="shared" si="289"/>
        <v>1</v>
      </c>
      <c r="AH567" s="242"/>
      <c r="AS567" s="223">
        <f t="shared" si="285"/>
        <v>0</v>
      </c>
      <c r="AT567" s="223">
        <f t="shared" si="286"/>
        <v>0</v>
      </c>
    </row>
    <row r="568" spans="2:46" ht="15.75" x14ac:dyDescent="0.25">
      <c r="B568" s="229"/>
      <c r="C568" s="235"/>
      <c r="D568" s="243"/>
      <c r="E568" s="232"/>
      <c r="F568" s="233"/>
      <c r="G568" s="234"/>
      <c r="H568" s="235"/>
      <c r="I568" s="235"/>
      <c r="J568" s="236"/>
      <c r="K568" s="237">
        <f ca="1">ROUND(IF(ISERROR(OFFSET(Tabella!$A$1,MATCH(H568,Tabella!$A:$A,0)-1,MATCH(J568,Tabella!$A$1:$AC$1,0)-1)=TRUE),0,+OFFSET(Tabella!$A$1,MATCH(H568,Tabella!$A:$A,0)-1,MATCH(J568,Tabella!$A$1:$AC$1,0)-1)),4)</f>
        <v>0</v>
      </c>
      <c r="L568" s="238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238">
        <f ca="1">ROUND(IF(ISERROR(OFFSET(Rame!$A$1,MATCH(H568,Rame!$A:$A,0)-1,MATCH(J568,Rame!$A$1:$AA$1,0)-1)=TRUE),0,OFFSET(Rame!$A$1,MATCH(H568,Rame!$A:$A,0)-1,MATCH(J568,Rame!$A$1:$AA$1,0)-1))*IF(E568="Rame",1,0),4)</f>
        <v>0</v>
      </c>
      <c r="N568" s="238">
        <v>0</v>
      </c>
      <c r="O568" s="238">
        <f t="shared" ca="1" si="294"/>
        <v>0</v>
      </c>
      <c r="P568" s="238">
        <f ca="1">ROUND(+IF(ISERROR(OFFSET(Tabella!$G$1,MATCH(H568,Tabella!$G:$G,0)-1,MATCH(I568,Tabella!$G$1:$FG$1,0)-1)=TRUE),0,OFFSET(Tabella!$G$1,MATCH(H568,Tabella!$G:$G,0)-1,MATCH(I568,Tabella!$G$1:$AB$1,0)-1)),4)</f>
        <v>0</v>
      </c>
      <c r="Q568" s="238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238">
        <f ca="1">ROUND(IF(ISERROR(OFFSET(Rame!$F$1,MATCH(H568,Rame!$F:$F,0)-1,MATCH(I568,Rame!$F$1:$FF$1,0)-1)=TRUE),0,OFFSET(Rame!$F$1,MATCH(H568,Rame!$F:$F,0)-1,MATCH(I568,Rame!$F$1:$FF$1,0)-1))*IF(E568="Rame",1,0),4)</f>
        <v>0</v>
      </c>
      <c r="S568" s="238">
        <f ca="1">ROUND(IF(ISERROR(OFFSET(Bronzo!$A$1,MATCH(H568,Bronzo!$A:$A,0)-1,MATCH(I568,Bronzo!$A$1:$AA$1,0)-1)=TRUE),0,OFFSET(Bronzo!$A$1,MATCH(H568,Bronzo!$A:$A,0)-1,MATCH(I568,Bronzo!$A$1:$AA$1,0)-1)),4)</f>
        <v>0</v>
      </c>
      <c r="T568" s="238">
        <f t="shared" ca="1" si="291"/>
        <v>0</v>
      </c>
      <c r="U568" s="237"/>
      <c r="V568" s="238">
        <v>0</v>
      </c>
      <c r="W568" s="239">
        <f t="shared" ca="1" si="292"/>
        <v>0</v>
      </c>
      <c r="X568" s="240">
        <f t="shared" si="288"/>
        <v>0</v>
      </c>
      <c r="Y568" s="236"/>
      <c r="Z568" s="236">
        <f t="shared" ca="1" si="293"/>
        <v>0</v>
      </c>
      <c r="AA568" s="241"/>
      <c r="AF568" s="225">
        <f t="shared" ca="1" si="287"/>
        <v>46236</v>
      </c>
      <c r="AG568" s="225" t="b">
        <f t="shared" si="289"/>
        <v>1</v>
      </c>
      <c r="AH568" s="242"/>
      <c r="AS568" s="223">
        <f t="shared" si="285"/>
        <v>0</v>
      </c>
      <c r="AT568" s="223">
        <f t="shared" si="286"/>
        <v>0</v>
      </c>
    </row>
    <row r="569" spans="2:46" ht="15.75" x14ac:dyDescent="0.25">
      <c r="B569" s="229"/>
      <c r="C569" s="235"/>
      <c r="D569" s="243"/>
      <c r="E569" s="232"/>
      <c r="F569" s="233"/>
      <c r="G569" s="234"/>
      <c r="H569" s="235"/>
      <c r="I569" s="235"/>
      <c r="J569" s="236"/>
      <c r="K569" s="237">
        <f ca="1">ROUND(IF(ISERROR(OFFSET(Tabella!$A$1,MATCH(H569,Tabella!$A:$A,0)-1,MATCH(J569,Tabella!$A$1:$AC$1,0)-1)=TRUE),0,+OFFSET(Tabella!$A$1,MATCH(H569,Tabella!$A:$A,0)-1,MATCH(J569,Tabella!$A$1:$AC$1,0)-1)),4)</f>
        <v>0</v>
      </c>
      <c r="L569" s="238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238">
        <f ca="1">ROUND(IF(ISERROR(OFFSET(Rame!$A$1,MATCH(H569,Rame!$A:$A,0)-1,MATCH(J569,Rame!$A$1:$AA$1,0)-1)=TRUE),0,OFFSET(Rame!$A$1,MATCH(H569,Rame!$A:$A,0)-1,MATCH(J569,Rame!$A$1:$AA$1,0)-1))*IF(E569="Rame",1,0),4)</f>
        <v>0</v>
      </c>
      <c r="N569" s="238">
        <v>0</v>
      </c>
      <c r="O569" s="238">
        <f t="shared" ca="1" si="294"/>
        <v>0</v>
      </c>
      <c r="P569" s="238">
        <f ca="1">ROUND(+IF(ISERROR(OFFSET(Tabella!$G$1,MATCH(H569,Tabella!$G:$G,0)-1,MATCH(I569,Tabella!$G$1:$FG$1,0)-1)=TRUE),0,OFFSET(Tabella!$G$1,MATCH(H569,Tabella!$G:$G,0)-1,MATCH(I569,Tabella!$G$1:$AB$1,0)-1)),4)</f>
        <v>0</v>
      </c>
      <c r="Q569" s="238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238">
        <f ca="1">ROUND(IF(ISERROR(OFFSET(Rame!$F$1,MATCH(H569,Rame!$F:$F,0)-1,MATCH(I569,Rame!$F$1:$FF$1,0)-1)=TRUE),0,OFFSET(Rame!$F$1,MATCH(H569,Rame!$F:$F,0)-1,MATCH(I569,Rame!$F$1:$FF$1,0)-1))*IF(E569="Rame",1,0),4)</f>
        <v>0</v>
      </c>
      <c r="S569" s="238">
        <f ca="1">ROUND(IF(ISERROR(OFFSET(Bronzo!$A$1,MATCH(H569,Bronzo!$A:$A,0)-1,MATCH(I569,Bronzo!$A$1:$AA$1,0)-1)=TRUE),0,OFFSET(Bronzo!$A$1,MATCH(H569,Bronzo!$A:$A,0)-1,MATCH(I569,Bronzo!$A$1:$AA$1,0)-1)),4)</f>
        <v>0</v>
      </c>
      <c r="T569" s="238">
        <f t="shared" ca="1" si="291"/>
        <v>0</v>
      </c>
      <c r="U569" s="237"/>
      <c r="V569" s="238">
        <v>0</v>
      </c>
      <c r="W569" s="239">
        <f t="shared" ca="1" si="292"/>
        <v>0</v>
      </c>
      <c r="X569" s="240">
        <f t="shared" si="288"/>
        <v>0</v>
      </c>
      <c r="Y569" s="236"/>
      <c r="Z569" s="236">
        <f t="shared" ca="1" si="293"/>
        <v>0</v>
      </c>
      <c r="AA569" s="241"/>
      <c r="AF569" s="225">
        <f t="shared" ca="1" si="287"/>
        <v>46236</v>
      </c>
      <c r="AG569" s="225" t="b">
        <f t="shared" si="289"/>
        <v>1</v>
      </c>
      <c r="AH569" s="242"/>
      <c r="AS569" s="223">
        <f t="shared" si="285"/>
        <v>0</v>
      </c>
      <c r="AT569" s="223">
        <f t="shared" si="286"/>
        <v>0</v>
      </c>
    </row>
    <row r="570" spans="2:46" ht="15.75" x14ac:dyDescent="0.25">
      <c r="B570" s="229"/>
      <c r="C570" s="235"/>
      <c r="D570" s="243"/>
      <c r="E570" s="232"/>
      <c r="F570" s="233"/>
      <c r="G570" s="234"/>
      <c r="H570" s="235"/>
      <c r="I570" s="235"/>
      <c r="J570" s="236"/>
      <c r="K570" s="237">
        <f ca="1">ROUND(IF(ISERROR(OFFSET(Tabella!$A$1,MATCH(H570,Tabella!$A:$A,0)-1,MATCH(J570,Tabella!$A$1:$AC$1,0)-1)=TRUE),0,+OFFSET(Tabella!$A$1,MATCH(H570,Tabella!$A:$A,0)-1,MATCH(J570,Tabella!$A$1:$AC$1,0)-1)),4)</f>
        <v>0</v>
      </c>
      <c r="L570" s="238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238">
        <f ca="1">ROUND(IF(ISERROR(OFFSET(Rame!$A$1,MATCH(H570,Rame!$A:$A,0)-1,MATCH(J570,Rame!$A$1:$AA$1,0)-1)=TRUE),0,OFFSET(Rame!$A$1,MATCH(H570,Rame!$A:$A,0)-1,MATCH(J570,Rame!$A$1:$AA$1,0)-1))*IF(E570="Rame",1,0),4)</f>
        <v>0</v>
      </c>
      <c r="N570" s="238">
        <v>0</v>
      </c>
      <c r="O570" s="238">
        <f t="shared" ca="1" si="294"/>
        <v>0</v>
      </c>
      <c r="P570" s="238">
        <f ca="1">ROUND(+IF(ISERROR(OFFSET(Tabella!$G$1,MATCH(H570,Tabella!$G:$G,0)-1,MATCH(I570,Tabella!$G$1:$FG$1,0)-1)=TRUE),0,OFFSET(Tabella!$G$1,MATCH(H570,Tabella!$G:$G,0)-1,MATCH(I570,Tabella!$G$1:$AB$1,0)-1)),4)</f>
        <v>0</v>
      </c>
      <c r="Q570" s="238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238">
        <f ca="1">ROUND(IF(ISERROR(OFFSET(Rame!$F$1,MATCH(H570,Rame!$F:$F,0)-1,MATCH(I570,Rame!$F$1:$FF$1,0)-1)=TRUE),0,OFFSET(Rame!$F$1,MATCH(H570,Rame!$F:$F,0)-1,MATCH(I570,Rame!$F$1:$FF$1,0)-1))*IF(E570="Rame",1,0),4)</f>
        <v>0</v>
      </c>
      <c r="S570" s="238">
        <f ca="1">ROUND(IF(ISERROR(OFFSET(Bronzo!$A$1,MATCH(H570,Bronzo!$A:$A,0)-1,MATCH(I570,Bronzo!$A$1:$AA$1,0)-1)=TRUE),0,OFFSET(Bronzo!$A$1,MATCH(H570,Bronzo!$A:$A,0)-1,MATCH(I570,Bronzo!$A$1:$AA$1,0)-1)),4)</f>
        <v>0</v>
      </c>
      <c r="T570" s="238">
        <f t="shared" ca="1" si="291"/>
        <v>0</v>
      </c>
      <c r="U570" s="237"/>
      <c r="V570" s="238">
        <v>0</v>
      </c>
      <c r="W570" s="239">
        <f t="shared" ca="1" si="292"/>
        <v>0</v>
      </c>
      <c r="X570" s="240">
        <f t="shared" si="288"/>
        <v>0</v>
      </c>
      <c r="Y570" s="236"/>
      <c r="Z570" s="236">
        <f t="shared" ca="1" si="293"/>
        <v>0</v>
      </c>
      <c r="AA570" s="241"/>
      <c r="AF570" s="225">
        <f t="shared" ca="1" si="287"/>
        <v>46236</v>
      </c>
      <c r="AG570" s="225" t="b">
        <f t="shared" si="289"/>
        <v>1</v>
      </c>
      <c r="AH570" s="242"/>
      <c r="AS570" s="223">
        <f t="shared" ref="AS570:AS633" si="295">IF(AA570="",0,MONTH(AA570))</f>
        <v>0</v>
      </c>
      <c r="AT570" s="223">
        <f t="shared" ref="AT570:AT633" si="296">IF(AA570="",0,YEAR(AA570))</f>
        <v>0</v>
      </c>
    </row>
    <row r="571" spans="2:46" ht="15.75" x14ac:dyDescent="0.25">
      <c r="B571" s="229"/>
      <c r="C571" s="235"/>
      <c r="D571" s="243"/>
      <c r="E571" s="232"/>
      <c r="F571" s="233"/>
      <c r="G571" s="234"/>
      <c r="H571" s="235"/>
      <c r="I571" s="235"/>
      <c r="J571" s="236"/>
      <c r="K571" s="237">
        <f ca="1">ROUND(IF(ISERROR(OFFSET(Tabella!$A$1,MATCH(H571,Tabella!$A:$A,0)-1,MATCH(J571,Tabella!$A$1:$AC$1,0)-1)=TRUE),0,+OFFSET(Tabella!$A$1,MATCH(H571,Tabella!$A:$A,0)-1,MATCH(J571,Tabella!$A$1:$AC$1,0)-1)),4)</f>
        <v>0</v>
      </c>
      <c r="L571" s="238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238">
        <f ca="1">ROUND(IF(ISERROR(OFFSET(Rame!$A$1,MATCH(H571,Rame!$A:$A,0)-1,MATCH(J571,Rame!$A$1:$AA$1,0)-1)=TRUE),0,OFFSET(Rame!$A$1,MATCH(H571,Rame!$A:$A,0)-1,MATCH(J571,Rame!$A$1:$AA$1,0)-1))*IF(E571="Rame",1,0),4)</f>
        <v>0</v>
      </c>
      <c r="N571" s="238">
        <v>0</v>
      </c>
      <c r="O571" s="238">
        <f t="shared" ca="1" si="294"/>
        <v>0</v>
      </c>
      <c r="P571" s="238">
        <f ca="1">ROUND(+IF(ISERROR(OFFSET(Tabella!$G$1,MATCH(H571,Tabella!$G:$G,0)-1,MATCH(I571,Tabella!$G$1:$FG$1,0)-1)=TRUE),0,OFFSET(Tabella!$G$1,MATCH(H571,Tabella!$G:$G,0)-1,MATCH(I571,Tabella!$G$1:$AB$1,0)-1)),4)</f>
        <v>0</v>
      </c>
      <c r="Q571" s="238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238">
        <f ca="1">ROUND(IF(ISERROR(OFFSET(Rame!$F$1,MATCH(H571,Rame!$F:$F,0)-1,MATCH(I571,Rame!$F$1:$FF$1,0)-1)=TRUE),0,OFFSET(Rame!$F$1,MATCH(H571,Rame!$F:$F,0)-1,MATCH(I571,Rame!$F$1:$FF$1,0)-1))*IF(E571="Rame",1,0),4)</f>
        <v>0</v>
      </c>
      <c r="S571" s="238">
        <f ca="1">ROUND(IF(ISERROR(OFFSET(Bronzo!$A$1,MATCH(H571,Bronzo!$A:$A,0)-1,MATCH(I571,Bronzo!$A$1:$AA$1,0)-1)=TRUE),0,OFFSET(Bronzo!$A$1,MATCH(H571,Bronzo!$A:$A,0)-1,MATCH(I571,Bronzo!$A$1:$AA$1,0)-1)),4)</f>
        <v>0</v>
      </c>
      <c r="T571" s="238">
        <f t="shared" ca="1" si="291"/>
        <v>0</v>
      </c>
      <c r="U571" s="237"/>
      <c r="V571" s="238">
        <v>0</v>
      </c>
      <c r="W571" s="239">
        <f t="shared" ca="1" si="292"/>
        <v>0</v>
      </c>
      <c r="X571" s="240">
        <f t="shared" si="288"/>
        <v>0</v>
      </c>
      <c r="Y571" s="236"/>
      <c r="Z571" s="236">
        <f t="shared" ca="1" si="293"/>
        <v>0</v>
      </c>
      <c r="AA571" s="241"/>
      <c r="AF571" s="225">
        <f t="shared" ca="1" si="287"/>
        <v>46236</v>
      </c>
      <c r="AG571" s="225" t="b">
        <f t="shared" si="289"/>
        <v>1</v>
      </c>
      <c r="AH571" s="242"/>
      <c r="AS571" s="223">
        <f t="shared" si="295"/>
        <v>0</v>
      </c>
      <c r="AT571" s="223">
        <f t="shared" si="296"/>
        <v>0</v>
      </c>
    </row>
    <row r="572" spans="2:46" ht="15.75" x14ac:dyDescent="0.25">
      <c r="B572" s="229"/>
      <c r="C572" s="235"/>
      <c r="D572" s="243"/>
      <c r="E572" s="232"/>
      <c r="F572" s="233"/>
      <c r="G572" s="234"/>
      <c r="H572" s="235"/>
      <c r="I572" s="235"/>
      <c r="J572" s="236"/>
      <c r="K572" s="237">
        <f ca="1">ROUND(IF(ISERROR(OFFSET(Tabella!$A$1,MATCH(H572,Tabella!$A:$A,0)-1,MATCH(J572,Tabella!$A$1:$AC$1,0)-1)=TRUE),0,+OFFSET(Tabella!$A$1,MATCH(H572,Tabella!$A:$A,0)-1,MATCH(J572,Tabella!$A$1:$AC$1,0)-1)),4)</f>
        <v>0</v>
      </c>
      <c r="L572" s="238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238">
        <f ca="1">ROUND(IF(ISERROR(OFFSET(Rame!$A$1,MATCH(H572,Rame!$A:$A,0)-1,MATCH(J572,Rame!$A$1:$AA$1,0)-1)=TRUE),0,OFFSET(Rame!$A$1,MATCH(H572,Rame!$A:$A,0)-1,MATCH(J572,Rame!$A$1:$AA$1,0)-1))*IF(E572="Rame",1,0),4)</f>
        <v>0</v>
      </c>
      <c r="N572" s="238">
        <v>0</v>
      </c>
      <c r="O572" s="238">
        <f t="shared" ca="1" si="294"/>
        <v>0</v>
      </c>
      <c r="P572" s="238">
        <f ca="1">ROUND(+IF(ISERROR(OFFSET(Tabella!$G$1,MATCH(H572,Tabella!$G:$G,0)-1,MATCH(I572,Tabella!$G$1:$FG$1,0)-1)=TRUE),0,OFFSET(Tabella!$G$1,MATCH(H572,Tabella!$G:$G,0)-1,MATCH(I572,Tabella!$G$1:$AB$1,0)-1)),4)</f>
        <v>0</v>
      </c>
      <c r="Q572" s="238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238">
        <f ca="1">ROUND(IF(ISERROR(OFFSET(Rame!$F$1,MATCH(H572,Rame!$F:$F,0)-1,MATCH(I572,Rame!$F$1:$FF$1,0)-1)=TRUE),0,OFFSET(Rame!$F$1,MATCH(H572,Rame!$F:$F,0)-1,MATCH(I572,Rame!$F$1:$FF$1,0)-1))*IF(E572="Rame",1,0),4)</f>
        <v>0</v>
      </c>
      <c r="S572" s="238">
        <f ca="1">ROUND(IF(ISERROR(OFFSET(Bronzo!$A$1,MATCH(H572,Bronzo!$A:$A,0)-1,MATCH(I572,Bronzo!$A$1:$AA$1,0)-1)=TRUE),0,OFFSET(Bronzo!$A$1,MATCH(H572,Bronzo!$A:$A,0)-1,MATCH(I572,Bronzo!$A$1:$AA$1,0)-1)),4)</f>
        <v>0</v>
      </c>
      <c r="T572" s="238">
        <f t="shared" ca="1" si="291"/>
        <v>0</v>
      </c>
      <c r="U572" s="237"/>
      <c r="V572" s="238">
        <v>0</v>
      </c>
      <c r="W572" s="239">
        <f t="shared" ca="1" si="292"/>
        <v>0</v>
      </c>
      <c r="X572" s="240">
        <f t="shared" si="288"/>
        <v>0</v>
      </c>
      <c r="Y572" s="236"/>
      <c r="Z572" s="236">
        <f t="shared" ca="1" si="293"/>
        <v>0</v>
      </c>
      <c r="AA572" s="241"/>
      <c r="AF572" s="225">
        <f t="shared" ca="1" si="287"/>
        <v>46236</v>
      </c>
      <c r="AG572" s="225" t="b">
        <f t="shared" si="289"/>
        <v>1</v>
      </c>
      <c r="AH572" s="242"/>
      <c r="AS572" s="223">
        <f t="shared" si="295"/>
        <v>0</v>
      </c>
      <c r="AT572" s="223">
        <f t="shared" si="296"/>
        <v>0</v>
      </c>
    </row>
    <row r="573" spans="2:46" ht="15.75" x14ac:dyDescent="0.25">
      <c r="B573" s="229"/>
      <c r="C573" s="235"/>
      <c r="D573" s="243"/>
      <c r="E573" s="232"/>
      <c r="F573" s="233"/>
      <c r="G573" s="234"/>
      <c r="H573" s="235"/>
      <c r="I573" s="235"/>
      <c r="J573" s="236"/>
      <c r="K573" s="237">
        <f ca="1">ROUND(IF(ISERROR(OFFSET(Tabella!$A$1,MATCH(H573,Tabella!$A:$A,0)-1,MATCH(J573,Tabella!$A$1:$AC$1,0)-1)=TRUE),0,+OFFSET(Tabella!$A$1,MATCH(H573,Tabella!$A:$A,0)-1,MATCH(J573,Tabella!$A$1:$AC$1,0)-1)),4)</f>
        <v>0</v>
      </c>
      <c r="L573" s="238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238">
        <f ca="1">ROUND(IF(ISERROR(OFFSET(Rame!$A$1,MATCH(H573,Rame!$A:$A,0)-1,MATCH(J573,Rame!$A$1:$AA$1,0)-1)=TRUE),0,OFFSET(Rame!$A$1,MATCH(H573,Rame!$A:$A,0)-1,MATCH(J573,Rame!$A$1:$AA$1,0)-1))*IF(E573="Rame",1,0),4)</f>
        <v>0</v>
      </c>
      <c r="N573" s="238">
        <v>0</v>
      </c>
      <c r="O573" s="238">
        <f t="shared" ca="1" si="294"/>
        <v>0</v>
      </c>
      <c r="P573" s="238">
        <f ca="1">ROUND(+IF(ISERROR(OFFSET(Tabella!$G$1,MATCH(H573,Tabella!$G:$G,0)-1,MATCH(I573,Tabella!$G$1:$FG$1,0)-1)=TRUE),0,OFFSET(Tabella!$G$1,MATCH(H573,Tabella!$G:$G,0)-1,MATCH(I573,Tabella!$G$1:$AB$1,0)-1)),4)</f>
        <v>0</v>
      </c>
      <c r="Q573" s="238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238">
        <f ca="1">ROUND(IF(ISERROR(OFFSET(Rame!$F$1,MATCH(H573,Rame!$F:$F,0)-1,MATCH(I573,Rame!$F$1:$FF$1,0)-1)=TRUE),0,OFFSET(Rame!$F$1,MATCH(H573,Rame!$F:$F,0)-1,MATCH(I573,Rame!$F$1:$FF$1,0)-1))*IF(E573="Rame",1,0),4)</f>
        <v>0</v>
      </c>
      <c r="S573" s="238">
        <f ca="1">ROUND(IF(ISERROR(OFFSET(Bronzo!$A$1,MATCH(H573,Bronzo!$A:$A,0)-1,MATCH(I573,Bronzo!$A$1:$AA$1,0)-1)=TRUE),0,OFFSET(Bronzo!$A$1,MATCH(H573,Bronzo!$A:$A,0)-1,MATCH(I573,Bronzo!$A$1:$AA$1,0)-1)),4)</f>
        <v>0</v>
      </c>
      <c r="T573" s="238">
        <f t="shared" ca="1" si="291"/>
        <v>0</v>
      </c>
      <c r="U573" s="237"/>
      <c r="V573" s="238">
        <v>0</v>
      </c>
      <c r="W573" s="239">
        <f t="shared" ca="1" si="292"/>
        <v>0</v>
      </c>
      <c r="X573" s="240">
        <f t="shared" si="288"/>
        <v>0</v>
      </c>
      <c r="Y573" s="236"/>
      <c r="Z573" s="236">
        <f t="shared" ca="1" si="293"/>
        <v>0</v>
      </c>
      <c r="AA573" s="241"/>
      <c r="AF573" s="225">
        <f t="shared" ca="1" si="287"/>
        <v>46236</v>
      </c>
      <c r="AG573" s="225" t="b">
        <f t="shared" si="289"/>
        <v>1</v>
      </c>
      <c r="AH573" s="242"/>
      <c r="AS573" s="223">
        <f t="shared" si="295"/>
        <v>0</v>
      </c>
      <c r="AT573" s="223">
        <f t="shared" si="296"/>
        <v>0</v>
      </c>
    </row>
    <row r="574" spans="2:46" ht="15.75" x14ac:dyDescent="0.25">
      <c r="B574" s="229"/>
      <c r="C574" s="235"/>
      <c r="D574" s="243"/>
      <c r="E574" s="232"/>
      <c r="F574" s="233"/>
      <c r="G574" s="234"/>
      <c r="H574" s="235"/>
      <c r="I574" s="235"/>
      <c r="J574" s="236"/>
      <c r="K574" s="237">
        <f ca="1">ROUND(IF(ISERROR(OFFSET(Tabella!$A$1,MATCH(H574,Tabella!$A:$A,0)-1,MATCH(J574,Tabella!$A$1:$AC$1,0)-1)=TRUE),0,+OFFSET(Tabella!$A$1,MATCH(H574,Tabella!$A:$A,0)-1,MATCH(J574,Tabella!$A$1:$AC$1,0)-1)),4)</f>
        <v>0</v>
      </c>
      <c r="L574" s="238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238">
        <f ca="1">ROUND(IF(ISERROR(OFFSET(Rame!$A$1,MATCH(H574,Rame!$A:$A,0)-1,MATCH(J574,Rame!$A$1:$AA$1,0)-1)=TRUE),0,OFFSET(Rame!$A$1,MATCH(H574,Rame!$A:$A,0)-1,MATCH(J574,Rame!$A$1:$AA$1,0)-1))*IF(E574="Rame",1,0),4)</f>
        <v>0</v>
      </c>
      <c r="N574" s="238">
        <v>0</v>
      </c>
      <c r="O574" s="238">
        <f t="shared" ca="1" si="294"/>
        <v>0</v>
      </c>
      <c r="P574" s="238">
        <f ca="1">ROUND(+IF(ISERROR(OFFSET(Tabella!$G$1,MATCH(H574,Tabella!$G:$G,0)-1,MATCH(I574,Tabella!$G$1:$FG$1,0)-1)=TRUE),0,OFFSET(Tabella!$G$1,MATCH(H574,Tabella!$G:$G,0)-1,MATCH(I574,Tabella!$G$1:$AB$1,0)-1)),4)</f>
        <v>0</v>
      </c>
      <c r="Q574" s="238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238">
        <f ca="1">ROUND(IF(ISERROR(OFFSET(Rame!$F$1,MATCH(H574,Rame!$F:$F,0)-1,MATCH(I574,Rame!$F$1:$FF$1,0)-1)=TRUE),0,OFFSET(Rame!$F$1,MATCH(H574,Rame!$F:$F,0)-1,MATCH(I574,Rame!$F$1:$FF$1,0)-1))*IF(E574="Rame",1,0),4)</f>
        <v>0</v>
      </c>
      <c r="S574" s="238">
        <f ca="1">ROUND(IF(ISERROR(OFFSET(Bronzo!$A$1,MATCH(H574,Bronzo!$A:$A,0)-1,MATCH(I574,Bronzo!$A$1:$AA$1,0)-1)=TRUE),0,OFFSET(Bronzo!$A$1,MATCH(H574,Bronzo!$A:$A,0)-1,MATCH(I574,Bronzo!$A$1:$AA$1,0)-1)),4)</f>
        <v>0</v>
      </c>
      <c r="T574" s="238">
        <f t="shared" ca="1" si="291"/>
        <v>0</v>
      </c>
      <c r="U574" s="237"/>
      <c r="V574" s="238">
        <v>0</v>
      </c>
      <c r="W574" s="239">
        <f t="shared" ca="1" si="292"/>
        <v>0</v>
      </c>
      <c r="X574" s="240">
        <f t="shared" si="288"/>
        <v>0</v>
      </c>
      <c r="Y574" s="236"/>
      <c r="Z574" s="236">
        <f t="shared" ca="1" si="293"/>
        <v>0</v>
      </c>
      <c r="AA574" s="241"/>
      <c r="AF574" s="225">
        <f t="shared" ca="1" si="287"/>
        <v>46236</v>
      </c>
      <c r="AG574" s="225" t="b">
        <f t="shared" si="289"/>
        <v>1</v>
      </c>
      <c r="AH574" s="242"/>
      <c r="AS574" s="223">
        <f t="shared" si="295"/>
        <v>0</v>
      </c>
      <c r="AT574" s="223">
        <f t="shared" si="296"/>
        <v>0</v>
      </c>
    </row>
    <row r="575" spans="2:46" ht="15.75" x14ac:dyDescent="0.25">
      <c r="B575" s="229"/>
      <c r="C575" s="235"/>
      <c r="D575" s="243"/>
      <c r="E575" s="232"/>
      <c r="F575" s="233"/>
      <c r="G575" s="234"/>
      <c r="H575" s="235"/>
      <c r="I575" s="235"/>
      <c r="J575" s="236"/>
      <c r="K575" s="237">
        <f ca="1">ROUND(IF(ISERROR(OFFSET(Tabella!$A$1,MATCH(H575,Tabella!$A:$A,0)-1,MATCH(J575,Tabella!$A$1:$AC$1,0)-1)=TRUE),0,+OFFSET(Tabella!$A$1,MATCH(H575,Tabella!$A:$A,0)-1,MATCH(J575,Tabella!$A$1:$AC$1,0)-1)),4)</f>
        <v>0</v>
      </c>
      <c r="L575" s="238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238">
        <f ca="1">ROUND(IF(ISERROR(OFFSET(Rame!$A$1,MATCH(H575,Rame!$A:$A,0)-1,MATCH(J575,Rame!$A$1:$AA$1,0)-1)=TRUE),0,OFFSET(Rame!$A$1,MATCH(H575,Rame!$A:$A,0)-1,MATCH(J575,Rame!$A$1:$AA$1,0)-1))*IF(E575="Rame",1,0),4)</f>
        <v>0</v>
      </c>
      <c r="N575" s="238">
        <v>0</v>
      </c>
      <c r="O575" s="238">
        <f t="shared" ca="1" si="294"/>
        <v>0</v>
      </c>
      <c r="P575" s="238">
        <f ca="1">ROUND(+IF(ISERROR(OFFSET(Tabella!$G$1,MATCH(H575,Tabella!$G:$G,0)-1,MATCH(I575,Tabella!$G$1:$FG$1,0)-1)=TRUE),0,OFFSET(Tabella!$G$1,MATCH(H575,Tabella!$G:$G,0)-1,MATCH(I575,Tabella!$G$1:$AB$1,0)-1)),4)</f>
        <v>0</v>
      </c>
      <c r="Q575" s="238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238">
        <f ca="1">ROUND(IF(ISERROR(OFFSET(Rame!$F$1,MATCH(H575,Rame!$F:$F,0)-1,MATCH(I575,Rame!$F$1:$FF$1,0)-1)=TRUE),0,OFFSET(Rame!$F$1,MATCH(H575,Rame!$F:$F,0)-1,MATCH(I575,Rame!$F$1:$FF$1,0)-1))*IF(E575="Rame",1,0),4)</f>
        <v>0</v>
      </c>
      <c r="S575" s="238">
        <f ca="1">ROUND(IF(ISERROR(OFFSET(Bronzo!$A$1,MATCH(H575,Bronzo!$A:$A,0)-1,MATCH(I575,Bronzo!$A$1:$AA$1,0)-1)=TRUE),0,OFFSET(Bronzo!$A$1,MATCH(H575,Bronzo!$A:$A,0)-1,MATCH(I575,Bronzo!$A$1:$AA$1,0)-1)),4)</f>
        <v>0</v>
      </c>
      <c r="T575" s="238">
        <f t="shared" ca="1" si="291"/>
        <v>0</v>
      </c>
      <c r="U575" s="237"/>
      <c r="V575" s="238">
        <v>0</v>
      </c>
      <c r="W575" s="239">
        <f t="shared" ca="1" si="292"/>
        <v>0</v>
      </c>
      <c r="X575" s="240">
        <f t="shared" si="288"/>
        <v>0</v>
      </c>
      <c r="Y575" s="236"/>
      <c r="Z575" s="236">
        <f t="shared" ca="1" si="293"/>
        <v>0</v>
      </c>
      <c r="AA575" s="241"/>
      <c r="AF575" s="225">
        <f t="shared" ca="1" si="287"/>
        <v>46236</v>
      </c>
      <c r="AG575" s="225" t="b">
        <f t="shared" si="289"/>
        <v>1</v>
      </c>
      <c r="AH575" s="242"/>
      <c r="AS575" s="223">
        <f t="shared" si="295"/>
        <v>0</v>
      </c>
      <c r="AT575" s="223">
        <f t="shared" si="296"/>
        <v>0</v>
      </c>
    </row>
    <row r="576" spans="2:46" ht="15.75" x14ac:dyDescent="0.25">
      <c r="B576" s="229"/>
      <c r="C576" s="235"/>
      <c r="D576" s="243"/>
      <c r="E576" s="232"/>
      <c r="F576" s="233"/>
      <c r="G576" s="234"/>
      <c r="H576" s="235"/>
      <c r="I576" s="235"/>
      <c r="J576" s="236"/>
      <c r="K576" s="237">
        <f ca="1">ROUND(IF(ISERROR(OFFSET(Tabella!$A$1,MATCH(H576,Tabella!$A:$A,0)-1,MATCH(J576,Tabella!$A$1:$AC$1,0)-1)=TRUE),0,+OFFSET(Tabella!$A$1,MATCH(H576,Tabella!$A:$A,0)-1,MATCH(J576,Tabella!$A$1:$AC$1,0)-1)),4)</f>
        <v>0</v>
      </c>
      <c r="L576" s="238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238">
        <f ca="1">ROUND(IF(ISERROR(OFFSET(Rame!$A$1,MATCH(H576,Rame!$A:$A,0)-1,MATCH(J576,Rame!$A$1:$AA$1,0)-1)=TRUE),0,OFFSET(Rame!$A$1,MATCH(H576,Rame!$A:$A,0)-1,MATCH(J576,Rame!$A$1:$AA$1,0)-1))*IF(E576="Rame",1,0),4)</f>
        <v>0</v>
      </c>
      <c r="N576" s="238">
        <v>0</v>
      </c>
      <c r="O576" s="238">
        <f t="shared" ca="1" si="294"/>
        <v>0</v>
      </c>
      <c r="P576" s="238">
        <f ca="1">ROUND(+IF(ISERROR(OFFSET(Tabella!$G$1,MATCH(H576,Tabella!$G:$G,0)-1,MATCH(I576,Tabella!$G$1:$FG$1,0)-1)=TRUE),0,OFFSET(Tabella!$G$1,MATCH(H576,Tabella!$G:$G,0)-1,MATCH(I576,Tabella!$G$1:$AB$1,0)-1)),4)</f>
        <v>0</v>
      </c>
      <c r="Q576" s="238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238">
        <f ca="1">ROUND(IF(ISERROR(OFFSET(Rame!$F$1,MATCH(H576,Rame!$F:$F,0)-1,MATCH(I576,Rame!$F$1:$FF$1,0)-1)=TRUE),0,OFFSET(Rame!$F$1,MATCH(H576,Rame!$F:$F,0)-1,MATCH(I576,Rame!$F$1:$FF$1,0)-1))*IF(E576="Rame",1,0),4)</f>
        <v>0</v>
      </c>
      <c r="S576" s="238">
        <f ca="1">ROUND(IF(ISERROR(OFFSET(Bronzo!$A$1,MATCH(H576,Bronzo!$A:$A,0)-1,MATCH(I576,Bronzo!$A$1:$AA$1,0)-1)=TRUE),0,OFFSET(Bronzo!$A$1,MATCH(H576,Bronzo!$A:$A,0)-1,MATCH(I576,Bronzo!$A$1:$AA$1,0)-1)),4)</f>
        <v>0</v>
      </c>
      <c r="T576" s="238">
        <f t="shared" ca="1" si="291"/>
        <v>0</v>
      </c>
      <c r="U576" s="237"/>
      <c r="V576" s="238">
        <v>0</v>
      </c>
      <c r="W576" s="239">
        <f t="shared" ca="1" si="292"/>
        <v>0</v>
      </c>
      <c r="X576" s="240">
        <f t="shared" si="288"/>
        <v>0</v>
      </c>
      <c r="Y576" s="236"/>
      <c r="Z576" s="236">
        <f t="shared" ca="1" si="293"/>
        <v>0</v>
      </c>
      <c r="AA576" s="241"/>
      <c r="AF576" s="225">
        <f t="shared" ca="1" si="287"/>
        <v>46236</v>
      </c>
      <c r="AG576" s="225" t="b">
        <f t="shared" si="289"/>
        <v>1</v>
      </c>
      <c r="AH576" s="242"/>
      <c r="AS576" s="223">
        <f t="shared" si="295"/>
        <v>0</v>
      </c>
      <c r="AT576" s="223">
        <f t="shared" si="296"/>
        <v>0</v>
      </c>
    </row>
    <row r="577" spans="2:46" ht="15.75" x14ac:dyDescent="0.25">
      <c r="B577" s="229"/>
      <c r="C577" s="235"/>
      <c r="D577" s="243"/>
      <c r="E577" s="232"/>
      <c r="F577" s="233"/>
      <c r="G577" s="234"/>
      <c r="H577" s="235"/>
      <c r="I577" s="235"/>
      <c r="J577" s="236"/>
      <c r="K577" s="237">
        <f ca="1">ROUND(IF(ISERROR(OFFSET(Tabella!$A$1,MATCH(H577,Tabella!$A:$A,0)-1,MATCH(J577,Tabella!$A$1:$AC$1,0)-1)=TRUE),0,+OFFSET(Tabella!$A$1,MATCH(H577,Tabella!$A:$A,0)-1,MATCH(J577,Tabella!$A$1:$AC$1,0)-1)),4)</f>
        <v>0</v>
      </c>
      <c r="L577" s="238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238">
        <f ca="1">ROUND(IF(ISERROR(OFFSET(Rame!$A$1,MATCH(H577,Rame!$A:$A,0)-1,MATCH(J577,Rame!$A$1:$AA$1,0)-1)=TRUE),0,OFFSET(Rame!$A$1,MATCH(H577,Rame!$A:$A,0)-1,MATCH(J577,Rame!$A$1:$AA$1,0)-1))*IF(E577="Rame",1,0),4)</f>
        <v>0</v>
      </c>
      <c r="N577" s="238">
        <v>0</v>
      </c>
      <c r="O577" s="238">
        <f t="shared" ca="1" si="294"/>
        <v>0</v>
      </c>
      <c r="P577" s="238">
        <f ca="1">ROUND(+IF(ISERROR(OFFSET(Tabella!$G$1,MATCH(H577,Tabella!$G:$G,0)-1,MATCH(I577,Tabella!$G$1:$FG$1,0)-1)=TRUE),0,OFFSET(Tabella!$G$1,MATCH(H577,Tabella!$G:$G,0)-1,MATCH(I577,Tabella!$G$1:$AB$1,0)-1)),4)</f>
        <v>0</v>
      </c>
      <c r="Q577" s="238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238">
        <f ca="1">ROUND(IF(ISERROR(OFFSET(Rame!$F$1,MATCH(H577,Rame!$F:$F,0)-1,MATCH(I577,Rame!$F$1:$FF$1,0)-1)=TRUE),0,OFFSET(Rame!$F$1,MATCH(H577,Rame!$F:$F,0)-1,MATCH(I577,Rame!$F$1:$FF$1,0)-1))*IF(E577="Rame",1,0),4)</f>
        <v>0</v>
      </c>
      <c r="S577" s="238">
        <f ca="1">ROUND(IF(ISERROR(OFFSET(Bronzo!$A$1,MATCH(H577,Bronzo!$A:$A,0)-1,MATCH(I577,Bronzo!$A$1:$AA$1,0)-1)=TRUE),0,OFFSET(Bronzo!$A$1,MATCH(H577,Bronzo!$A:$A,0)-1,MATCH(I577,Bronzo!$A$1:$AA$1,0)-1)),4)</f>
        <v>0</v>
      </c>
      <c r="T577" s="238">
        <f t="shared" ca="1" si="291"/>
        <v>0</v>
      </c>
      <c r="U577" s="237"/>
      <c r="V577" s="238">
        <v>0</v>
      </c>
      <c r="W577" s="239">
        <f t="shared" ca="1" si="292"/>
        <v>0</v>
      </c>
      <c r="X577" s="240">
        <f t="shared" si="288"/>
        <v>0</v>
      </c>
      <c r="Y577" s="236"/>
      <c r="Z577" s="236">
        <f t="shared" ca="1" si="293"/>
        <v>0</v>
      </c>
      <c r="AA577" s="241"/>
      <c r="AF577" s="225">
        <f t="shared" ca="1" si="287"/>
        <v>46236</v>
      </c>
      <c r="AG577" s="225" t="b">
        <f t="shared" si="289"/>
        <v>1</v>
      </c>
      <c r="AH577" s="242"/>
      <c r="AS577" s="223">
        <f t="shared" si="295"/>
        <v>0</v>
      </c>
      <c r="AT577" s="223">
        <f t="shared" si="296"/>
        <v>0</v>
      </c>
    </row>
    <row r="578" spans="2:46" ht="15.75" x14ac:dyDescent="0.25">
      <c r="B578" s="229"/>
      <c r="C578" s="235"/>
      <c r="D578" s="243"/>
      <c r="E578" s="232"/>
      <c r="F578" s="233"/>
      <c r="G578" s="234"/>
      <c r="H578" s="235"/>
      <c r="I578" s="235"/>
      <c r="J578" s="236"/>
      <c r="K578" s="237">
        <f ca="1">ROUND(IF(ISERROR(OFFSET(Tabella!$A$1,MATCH(H578,Tabella!$A:$A,0)-1,MATCH(J578,Tabella!$A$1:$AC$1,0)-1)=TRUE),0,+OFFSET(Tabella!$A$1,MATCH(H578,Tabella!$A:$A,0)-1,MATCH(J578,Tabella!$A$1:$AC$1,0)-1)),4)</f>
        <v>0</v>
      </c>
      <c r="L578" s="238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238">
        <f ca="1">ROUND(IF(ISERROR(OFFSET(Rame!$A$1,MATCH(H578,Rame!$A:$A,0)-1,MATCH(J578,Rame!$A$1:$AA$1,0)-1)=TRUE),0,OFFSET(Rame!$A$1,MATCH(H578,Rame!$A:$A,0)-1,MATCH(J578,Rame!$A$1:$AA$1,0)-1))*IF(E578="Rame",1,0),4)</f>
        <v>0</v>
      </c>
      <c r="N578" s="238">
        <v>0</v>
      </c>
      <c r="O578" s="238">
        <f t="shared" ca="1" si="294"/>
        <v>0</v>
      </c>
      <c r="P578" s="238">
        <f ca="1">ROUND(+IF(ISERROR(OFFSET(Tabella!$G$1,MATCH(H578,Tabella!$G:$G,0)-1,MATCH(I578,Tabella!$G$1:$FG$1,0)-1)=TRUE),0,OFFSET(Tabella!$G$1,MATCH(H578,Tabella!$G:$G,0)-1,MATCH(I578,Tabella!$G$1:$AB$1,0)-1)),4)</f>
        <v>0</v>
      </c>
      <c r="Q578" s="238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238">
        <f ca="1">ROUND(IF(ISERROR(OFFSET(Rame!$F$1,MATCH(H578,Rame!$F:$F,0)-1,MATCH(I578,Rame!$F$1:$FF$1,0)-1)=TRUE),0,OFFSET(Rame!$F$1,MATCH(H578,Rame!$F:$F,0)-1,MATCH(I578,Rame!$F$1:$FF$1,0)-1))*IF(E578="Rame",1,0),4)</f>
        <v>0</v>
      </c>
      <c r="S578" s="238">
        <f ca="1">ROUND(IF(ISERROR(OFFSET(Bronzo!$A$1,MATCH(H578,Bronzo!$A:$A,0)-1,MATCH(I578,Bronzo!$A$1:$AA$1,0)-1)=TRUE),0,OFFSET(Bronzo!$A$1,MATCH(H578,Bronzo!$A:$A,0)-1,MATCH(I578,Bronzo!$A$1:$AA$1,0)-1)),4)</f>
        <v>0</v>
      </c>
      <c r="T578" s="238">
        <f t="shared" ca="1" si="291"/>
        <v>0</v>
      </c>
      <c r="U578" s="237"/>
      <c r="V578" s="238">
        <v>0</v>
      </c>
      <c r="W578" s="239">
        <f t="shared" ca="1" si="292"/>
        <v>0</v>
      </c>
      <c r="X578" s="240">
        <f t="shared" si="288"/>
        <v>0</v>
      </c>
      <c r="Y578" s="236"/>
      <c r="Z578" s="236">
        <f t="shared" ca="1" si="293"/>
        <v>0</v>
      </c>
      <c r="AA578" s="241"/>
      <c r="AF578" s="225">
        <f t="shared" ca="1" si="287"/>
        <v>46236</v>
      </c>
      <c r="AG578" s="225" t="b">
        <f t="shared" si="289"/>
        <v>1</v>
      </c>
      <c r="AH578" s="242"/>
      <c r="AS578" s="223">
        <f t="shared" si="295"/>
        <v>0</v>
      </c>
      <c r="AT578" s="223">
        <f t="shared" si="296"/>
        <v>0</v>
      </c>
    </row>
    <row r="579" spans="2:46" ht="15.75" x14ac:dyDescent="0.25">
      <c r="B579" s="229"/>
      <c r="C579" s="235"/>
      <c r="D579" s="243"/>
      <c r="E579" s="232"/>
      <c r="F579" s="233"/>
      <c r="G579" s="234"/>
      <c r="H579" s="235"/>
      <c r="I579" s="235"/>
      <c r="J579" s="236"/>
      <c r="K579" s="237">
        <f ca="1">ROUND(IF(ISERROR(OFFSET(Tabella!$A$1,MATCH(H579,Tabella!$A:$A,0)-1,MATCH(J579,Tabella!$A$1:$AC$1,0)-1)=TRUE),0,+OFFSET(Tabella!$A$1,MATCH(H579,Tabella!$A:$A,0)-1,MATCH(J579,Tabella!$A$1:$AC$1,0)-1)),4)</f>
        <v>0</v>
      </c>
      <c r="L579" s="238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238">
        <f ca="1">ROUND(IF(ISERROR(OFFSET(Rame!$A$1,MATCH(H579,Rame!$A:$A,0)-1,MATCH(J579,Rame!$A$1:$AA$1,0)-1)=TRUE),0,OFFSET(Rame!$A$1,MATCH(H579,Rame!$A:$A,0)-1,MATCH(J579,Rame!$A$1:$AA$1,0)-1))*IF(E579="Rame",1,0),4)</f>
        <v>0</v>
      </c>
      <c r="N579" s="238">
        <v>0</v>
      </c>
      <c r="O579" s="238">
        <f t="shared" ca="1" si="294"/>
        <v>0</v>
      </c>
      <c r="P579" s="238">
        <f ca="1">ROUND(+IF(ISERROR(OFFSET(Tabella!$G$1,MATCH(H579,Tabella!$G:$G,0)-1,MATCH(I579,Tabella!$G$1:$FG$1,0)-1)=TRUE),0,OFFSET(Tabella!$G$1,MATCH(H579,Tabella!$G:$G,0)-1,MATCH(I579,Tabella!$G$1:$AB$1,0)-1)),4)</f>
        <v>0</v>
      </c>
      <c r="Q579" s="238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238">
        <f ca="1">ROUND(IF(ISERROR(OFFSET(Rame!$F$1,MATCH(H579,Rame!$F:$F,0)-1,MATCH(I579,Rame!$F$1:$FF$1,0)-1)=TRUE),0,OFFSET(Rame!$F$1,MATCH(H579,Rame!$F:$F,0)-1,MATCH(I579,Rame!$F$1:$FF$1,0)-1))*IF(E579="Rame",1,0),4)</f>
        <v>0</v>
      </c>
      <c r="S579" s="238">
        <f ca="1">ROUND(IF(ISERROR(OFFSET(Bronzo!$A$1,MATCH(H579,Bronzo!$A:$A,0)-1,MATCH(I579,Bronzo!$A$1:$AA$1,0)-1)=TRUE),0,OFFSET(Bronzo!$A$1,MATCH(H579,Bronzo!$A:$A,0)-1,MATCH(I579,Bronzo!$A$1:$AA$1,0)-1)),4)</f>
        <v>0</v>
      </c>
      <c r="T579" s="238">
        <f t="shared" ca="1" si="291"/>
        <v>0</v>
      </c>
      <c r="U579" s="237"/>
      <c r="V579" s="238">
        <v>0</v>
      </c>
      <c r="W579" s="239">
        <f t="shared" ca="1" si="292"/>
        <v>0</v>
      </c>
      <c r="X579" s="240">
        <f t="shared" si="288"/>
        <v>0</v>
      </c>
      <c r="Y579" s="236"/>
      <c r="Z579" s="236">
        <f t="shared" ca="1" si="293"/>
        <v>0</v>
      </c>
      <c r="AA579" s="241"/>
      <c r="AF579" s="225">
        <f t="shared" ca="1" si="287"/>
        <v>46236</v>
      </c>
      <c r="AG579" s="225" t="b">
        <f t="shared" si="289"/>
        <v>1</v>
      </c>
      <c r="AH579" s="242"/>
      <c r="AS579" s="223">
        <f t="shared" si="295"/>
        <v>0</v>
      </c>
      <c r="AT579" s="223">
        <f t="shared" si="296"/>
        <v>0</v>
      </c>
    </row>
    <row r="580" spans="2:46" ht="15.75" x14ac:dyDescent="0.25">
      <c r="B580" s="229"/>
      <c r="C580" s="235"/>
      <c r="D580" s="243"/>
      <c r="E580" s="232"/>
      <c r="F580" s="233"/>
      <c r="G580" s="234"/>
      <c r="H580" s="235"/>
      <c r="I580" s="235"/>
      <c r="J580" s="236"/>
      <c r="K580" s="237">
        <f ca="1">ROUND(IF(ISERROR(OFFSET(Tabella!$A$1,MATCH(H580,Tabella!$A:$A,0)-1,MATCH(J580,Tabella!$A$1:$AC$1,0)-1)=TRUE),0,+OFFSET(Tabella!$A$1,MATCH(H580,Tabella!$A:$A,0)-1,MATCH(J580,Tabella!$A$1:$AC$1,0)-1)),4)</f>
        <v>0</v>
      </c>
      <c r="L580" s="238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238">
        <f ca="1">ROUND(IF(ISERROR(OFFSET(Rame!$A$1,MATCH(H580,Rame!$A:$A,0)-1,MATCH(J580,Rame!$A$1:$AA$1,0)-1)=TRUE),0,OFFSET(Rame!$A$1,MATCH(H580,Rame!$A:$A,0)-1,MATCH(J580,Rame!$A$1:$AA$1,0)-1))*IF(E580="Rame",1,0),4)</f>
        <v>0</v>
      </c>
      <c r="N580" s="238">
        <v>0</v>
      </c>
      <c r="O580" s="238">
        <f t="shared" ca="1" si="294"/>
        <v>0</v>
      </c>
      <c r="P580" s="238">
        <f ca="1">ROUND(+IF(ISERROR(OFFSET(Tabella!$G$1,MATCH(H580,Tabella!$G:$G,0)-1,MATCH(I580,Tabella!$G$1:$FG$1,0)-1)=TRUE),0,OFFSET(Tabella!$G$1,MATCH(H580,Tabella!$G:$G,0)-1,MATCH(I580,Tabella!$G$1:$AB$1,0)-1)),4)</f>
        <v>0</v>
      </c>
      <c r="Q580" s="238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238">
        <f ca="1">ROUND(IF(ISERROR(OFFSET(Rame!$F$1,MATCH(H580,Rame!$F:$F,0)-1,MATCH(I580,Rame!$F$1:$FF$1,0)-1)=TRUE),0,OFFSET(Rame!$F$1,MATCH(H580,Rame!$F:$F,0)-1,MATCH(I580,Rame!$F$1:$FF$1,0)-1))*IF(E580="Rame",1,0),4)</f>
        <v>0</v>
      </c>
      <c r="S580" s="238">
        <f ca="1">ROUND(IF(ISERROR(OFFSET(Bronzo!$A$1,MATCH(H580,Bronzo!$A:$A,0)-1,MATCH(I580,Bronzo!$A$1:$AA$1,0)-1)=TRUE),0,OFFSET(Bronzo!$A$1,MATCH(H580,Bronzo!$A:$A,0)-1,MATCH(I580,Bronzo!$A$1:$AA$1,0)-1)),4)</f>
        <v>0</v>
      </c>
      <c r="T580" s="238">
        <f t="shared" ca="1" si="291"/>
        <v>0</v>
      </c>
      <c r="U580" s="237"/>
      <c r="V580" s="238">
        <v>0</v>
      </c>
      <c r="W580" s="239">
        <f t="shared" ca="1" si="292"/>
        <v>0</v>
      </c>
      <c r="X580" s="240">
        <f t="shared" si="288"/>
        <v>0</v>
      </c>
      <c r="Y580" s="236"/>
      <c r="Z580" s="236">
        <f t="shared" ca="1" si="293"/>
        <v>0</v>
      </c>
      <c r="AA580" s="241"/>
      <c r="AF580" s="225">
        <f t="shared" ca="1" si="287"/>
        <v>46236</v>
      </c>
      <c r="AG580" s="225" t="b">
        <f t="shared" si="289"/>
        <v>1</v>
      </c>
      <c r="AH580" s="242"/>
      <c r="AS580" s="223">
        <f t="shared" si="295"/>
        <v>0</v>
      </c>
      <c r="AT580" s="223">
        <f t="shared" si="296"/>
        <v>0</v>
      </c>
    </row>
    <row r="581" spans="2:46" ht="15.75" x14ac:dyDescent="0.25">
      <c r="B581" s="229"/>
      <c r="C581" s="235"/>
      <c r="D581" s="243"/>
      <c r="E581" s="232"/>
      <c r="F581" s="233"/>
      <c r="G581" s="234"/>
      <c r="H581" s="235"/>
      <c r="I581" s="235"/>
      <c r="J581" s="236"/>
      <c r="K581" s="237">
        <f ca="1">ROUND(IF(ISERROR(OFFSET(Tabella!$A$1,MATCH(H581,Tabella!$A:$A,0)-1,MATCH(J581,Tabella!$A$1:$AC$1,0)-1)=TRUE),0,+OFFSET(Tabella!$A$1,MATCH(H581,Tabella!$A:$A,0)-1,MATCH(J581,Tabella!$A$1:$AC$1,0)-1)),4)</f>
        <v>0</v>
      </c>
      <c r="L581" s="238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238">
        <f ca="1">ROUND(IF(ISERROR(OFFSET(Rame!$A$1,MATCH(H581,Rame!$A:$A,0)-1,MATCH(J581,Rame!$A$1:$AA$1,0)-1)=TRUE),0,OFFSET(Rame!$A$1,MATCH(H581,Rame!$A:$A,0)-1,MATCH(J581,Rame!$A$1:$AA$1,0)-1))*IF(E581="Rame",1,0),4)</f>
        <v>0</v>
      </c>
      <c r="N581" s="238">
        <v>0</v>
      </c>
      <c r="O581" s="238">
        <f t="shared" ca="1" si="294"/>
        <v>0</v>
      </c>
      <c r="P581" s="238">
        <f ca="1">ROUND(+IF(ISERROR(OFFSET(Tabella!$G$1,MATCH(H581,Tabella!$G:$G,0)-1,MATCH(I581,Tabella!$G$1:$FG$1,0)-1)=TRUE),0,OFFSET(Tabella!$G$1,MATCH(H581,Tabella!$G:$G,0)-1,MATCH(I581,Tabella!$G$1:$AB$1,0)-1)),4)</f>
        <v>0</v>
      </c>
      <c r="Q581" s="238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238">
        <f ca="1">ROUND(IF(ISERROR(OFFSET(Rame!$F$1,MATCH(H581,Rame!$F:$F,0)-1,MATCH(I581,Rame!$F$1:$FF$1,0)-1)=TRUE),0,OFFSET(Rame!$F$1,MATCH(H581,Rame!$F:$F,0)-1,MATCH(I581,Rame!$F$1:$FF$1,0)-1))*IF(E581="Rame",1,0),4)</f>
        <v>0</v>
      </c>
      <c r="S581" s="238">
        <f ca="1">ROUND(IF(ISERROR(OFFSET(Bronzo!$A$1,MATCH(H581,Bronzo!$A:$A,0)-1,MATCH(I581,Bronzo!$A$1:$AA$1,0)-1)=TRUE),0,OFFSET(Bronzo!$A$1,MATCH(H581,Bronzo!$A:$A,0)-1,MATCH(I581,Bronzo!$A$1:$AA$1,0)-1)),4)</f>
        <v>0</v>
      </c>
      <c r="T581" s="238">
        <f t="shared" ca="1" si="291"/>
        <v>0</v>
      </c>
      <c r="U581" s="237"/>
      <c r="V581" s="238">
        <v>0</v>
      </c>
      <c r="W581" s="239">
        <f t="shared" ca="1" si="292"/>
        <v>0</v>
      </c>
      <c r="X581" s="240">
        <f t="shared" si="288"/>
        <v>0</v>
      </c>
      <c r="Y581" s="236"/>
      <c r="Z581" s="236">
        <f t="shared" ca="1" si="293"/>
        <v>0</v>
      </c>
      <c r="AA581" s="241"/>
      <c r="AF581" s="225">
        <f t="shared" ref="AF581:AF644" ca="1" si="297">TODAY()</f>
        <v>46236</v>
      </c>
      <c r="AG581" s="225" t="b">
        <f t="shared" si="289"/>
        <v>1</v>
      </c>
      <c r="AH581" s="242"/>
      <c r="AS581" s="223">
        <f t="shared" si="295"/>
        <v>0</v>
      </c>
      <c r="AT581" s="223">
        <f t="shared" si="296"/>
        <v>0</v>
      </c>
    </row>
    <row r="582" spans="2:46" ht="15.75" x14ac:dyDescent="0.25">
      <c r="B582" s="229"/>
      <c r="C582" s="235"/>
      <c r="D582" s="243"/>
      <c r="E582" s="232"/>
      <c r="F582" s="233"/>
      <c r="G582" s="234"/>
      <c r="H582" s="235"/>
      <c r="I582" s="235"/>
      <c r="J582" s="236"/>
      <c r="K582" s="237">
        <f ca="1">ROUND(IF(ISERROR(OFFSET(Tabella!$A$1,MATCH(H582,Tabella!$A:$A,0)-1,MATCH(J582,Tabella!$A$1:$AC$1,0)-1)=TRUE),0,+OFFSET(Tabella!$A$1,MATCH(H582,Tabella!$A:$A,0)-1,MATCH(J582,Tabella!$A$1:$AC$1,0)-1)),4)</f>
        <v>0</v>
      </c>
      <c r="L582" s="238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238">
        <f ca="1">ROUND(IF(ISERROR(OFFSET(Rame!$A$1,MATCH(H582,Rame!$A:$A,0)-1,MATCH(J582,Rame!$A$1:$AA$1,0)-1)=TRUE),0,OFFSET(Rame!$A$1,MATCH(H582,Rame!$A:$A,0)-1,MATCH(J582,Rame!$A$1:$AA$1,0)-1))*IF(E582="Rame",1,0),4)</f>
        <v>0</v>
      </c>
      <c r="N582" s="238">
        <v>0</v>
      </c>
      <c r="O582" s="238">
        <f t="shared" ca="1" si="294"/>
        <v>0</v>
      </c>
      <c r="P582" s="238">
        <f ca="1">ROUND(+IF(ISERROR(OFFSET(Tabella!$G$1,MATCH(H582,Tabella!$G:$G,0)-1,MATCH(I582,Tabella!$G$1:$FG$1,0)-1)=TRUE),0,OFFSET(Tabella!$G$1,MATCH(H582,Tabella!$G:$G,0)-1,MATCH(I582,Tabella!$G$1:$AB$1,0)-1)),4)</f>
        <v>0</v>
      </c>
      <c r="Q582" s="238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238">
        <f ca="1">ROUND(IF(ISERROR(OFFSET(Rame!$F$1,MATCH(H582,Rame!$F:$F,0)-1,MATCH(I582,Rame!$F$1:$FF$1,0)-1)=TRUE),0,OFFSET(Rame!$F$1,MATCH(H582,Rame!$F:$F,0)-1,MATCH(I582,Rame!$F$1:$FF$1,0)-1))*IF(E582="Rame",1,0),4)</f>
        <v>0</v>
      </c>
      <c r="S582" s="238">
        <f ca="1">ROUND(IF(ISERROR(OFFSET(Bronzo!$A$1,MATCH(H582,Bronzo!$A:$A,0)-1,MATCH(I582,Bronzo!$A$1:$AA$1,0)-1)=TRUE),0,OFFSET(Bronzo!$A$1,MATCH(H582,Bronzo!$A:$A,0)-1,MATCH(I582,Bronzo!$A$1:$AA$1,0)-1)),4)</f>
        <v>0</v>
      </c>
      <c r="T582" s="238">
        <f t="shared" ca="1" si="291"/>
        <v>0</v>
      </c>
      <c r="U582" s="237"/>
      <c r="V582" s="238">
        <v>0</v>
      </c>
      <c r="W582" s="239">
        <f t="shared" ca="1" si="292"/>
        <v>0</v>
      </c>
      <c r="X582" s="240">
        <f t="shared" si="288"/>
        <v>0</v>
      </c>
      <c r="Y582" s="236"/>
      <c r="Z582" s="236">
        <f t="shared" ca="1" si="293"/>
        <v>0</v>
      </c>
      <c r="AA582" s="241"/>
      <c r="AF582" s="225">
        <f t="shared" ca="1" si="297"/>
        <v>46236</v>
      </c>
      <c r="AG582" s="225" t="b">
        <f t="shared" si="289"/>
        <v>1</v>
      </c>
      <c r="AH582" s="242"/>
      <c r="AS582" s="223">
        <f t="shared" si="295"/>
        <v>0</v>
      </c>
      <c r="AT582" s="223">
        <f t="shared" si="296"/>
        <v>0</v>
      </c>
    </row>
    <row r="583" spans="2:46" ht="15.75" x14ac:dyDescent="0.25">
      <c r="B583" s="229"/>
      <c r="C583" s="235"/>
      <c r="D583" s="243"/>
      <c r="E583" s="232"/>
      <c r="F583" s="233"/>
      <c r="G583" s="234"/>
      <c r="H583" s="235"/>
      <c r="I583" s="235"/>
      <c r="J583" s="236"/>
      <c r="K583" s="237">
        <f ca="1">ROUND(IF(ISERROR(OFFSET(Tabella!$A$1,MATCH(H583,Tabella!$A:$A,0)-1,MATCH(J583,Tabella!$A$1:$AC$1,0)-1)=TRUE),0,+OFFSET(Tabella!$A$1,MATCH(H583,Tabella!$A:$A,0)-1,MATCH(J583,Tabella!$A$1:$AC$1,0)-1)),4)</f>
        <v>0</v>
      </c>
      <c r="L583" s="238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238">
        <f ca="1">ROUND(IF(ISERROR(OFFSET(Rame!$A$1,MATCH(H583,Rame!$A:$A,0)-1,MATCH(J583,Rame!$A$1:$AA$1,0)-1)=TRUE),0,OFFSET(Rame!$A$1,MATCH(H583,Rame!$A:$A,0)-1,MATCH(J583,Rame!$A$1:$AA$1,0)-1))*IF(E583="Rame",1,0),4)</f>
        <v>0</v>
      </c>
      <c r="N583" s="238">
        <v>0</v>
      </c>
      <c r="O583" s="238">
        <f t="shared" ca="1" si="294"/>
        <v>0</v>
      </c>
      <c r="P583" s="238">
        <f ca="1">ROUND(+IF(ISERROR(OFFSET(Tabella!$G$1,MATCH(H583,Tabella!$G:$G,0)-1,MATCH(I583,Tabella!$G$1:$FG$1,0)-1)=TRUE),0,OFFSET(Tabella!$G$1,MATCH(H583,Tabella!$G:$G,0)-1,MATCH(I583,Tabella!$G$1:$AB$1,0)-1)),4)</f>
        <v>0</v>
      </c>
      <c r="Q583" s="238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238">
        <f ca="1">ROUND(IF(ISERROR(OFFSET(Rame!$F$1,MATCH(H583,Rame!$F:$F,0)-1,MATCH(I583,Rame!$F$1:$FF$1,0)-1)=TRUE),0,OFFSET(Rame!$F$1,MATCH(H583,Rame!$F:$F,0)-1,MATCH(I583,Rame!$F$1:$FF$1,0)-1))*IF(E583="Rame",1,0),4)</f>
        <v>0</v>
      </c>
      <c r="S583" s="238">
        <f ca="1">ROUND(IF(ISERROR(OFFSET(Bronzo!$A$1,MATCH(H583,Bronzo!$A:$A,0)-1,MATCH(I583,Bronzo!$A$1:$AA$1,0)-1)=TRUE),0,OFFSET(Bronzo!$A$1,MATCH(H583,Bronzo!$A:$A,0)-1,MATCH(I583,Bronzo!$A$1:$AA$1,0)-1)),4)</f>
        <v>0</v>
      </c>
      <c r="T583" s="238">
        <f t="shared" ca="1" si="291"/>
        <v>0</v>
      </c>
      <c r="U583" s="237"/>
      <c r="V583" s="238">
        <v>0</v>
      </c>
      <c r="W583" s="239">
        <f t="shared" ca="1" si="292"/>
        <v>0</v>
      </c>
      <c r="X583" s="240">
        <f t="shared" si="288"/>
        <v>0</v>
      </c>
      <c r="Y583" s="236"/>
      <c r="Z583" s="236">
        <f t="shared" ca="1" si="293"/>
        <v>0</v>
      </c>
      <c r="AA583" s="241"/>
      <c r="AF583" s="225">
        <f t="shared" ca="1" si="297"/>
        <v>46236</v>
      </c>
      <c r="AG583" s="225" t="b">
        <f t="shared" si="289"/>
        <v>1</v>
      </c>
      <c r="AH583" s="242"/>
      <c r="AS583" s="223">
        <f t="shared" si="295"/>
        <v>0</v>
      </c>
      <c r="AT583" s="223">
        <f t="shared" si="296"/>
        <v>0</v>
      </c>
    </row>
    <row r="584" spans="2:46" ht="15.75" x14ac:dyDescent="0.25">
      <c r="B584" s="229"/>
      <c r="C584" s="235"/>
      <c r="D584" s="243"/>
      <c r="E584" s="232"/>
      <c r="F584" s="233"/>
      <c r="G584" s="234"/>
      <c r="H584" s="235"/>
      <c r="I584" s="235"/>
      <c r="J584" s="236"/>
      <c r="K584" s="237">
        <f ca="1">ROUND(IF(ISERROR(OFFSET(Tabella!$A$1,MATCH(H584,Tabella!$A:$A,0)-1,MATCH(J584,Tabella!$A$1:$AC$1,0)-1)=TRUE),0,+OFFSET(Tabella!$A$1,MATCH(H584,Tabella!$A:$A,0)-1,MATCH(J584,Tabella!$A$1:$AC$1,0)-1)),4)</f>
        <v>0</v>
      </c>
      <c r="L584" s="238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238">
        <f ca="1">ROUND(IF(ISERROR(OFFSET(Rame!$A$1,MATCH(H584,Rame!$A:$A,0)-1,MATCH(J584,Rame!$A$1:$AA$1,0)-1)=TRUE),0,OFFSET(Rame!$A$1,MATCH(H584,Rame!$A:$A,0)-1,MATCH(J584,Rame!$A$1:$AA$1,0)-1))*IF(E584="Rame",1,0),4)</f>
        <v>0</v>
      </c>
      <c r="N584" s="238">
        <v>0</v>
      </c>
      <c r="O584" s="238">
        <f t="shared" ca="1" si="294"/>
        <v>0</v>
      </c>
      <c r="P584" s="238">
        <f ca="1">ROUND(+IF(ISERROR(OFFSET(Tabella!$G$1,MATCH(H584,Tabella!$G:$G,0)-1,MATCH(I584,Tabella!$G$1:$FG$1,0)-1)=TRUE),0,OFFSET(Tabella!$G$1,MATCH(H584,Tabella!$G:$G,0)-1,MATCH(I584,Tabella!$G$1:$AB$1,0)-1)),4)</f>
        <v>0</v>
      </c>
      <c r="Q584" s="238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238">
        <f ca="1">ROUND(IF(ISERROR(OFFSET(Rame!$F$1,MATCH(H584,Rame!$F:$F,0)-1,MATCH(I584,Rame!$F$1:$FF$1,0)-1)=TRUE),0,OFFSET(Rame!$F$1,MATCH(H584,Rame!$F:$F,0)-1,MATCH(I584,Rame!$F$1:$FF$1,0)-1))*IF(E584="Rame",1,0),4)</f>
        <v>0</v>
      </c>
      <c r="S584" s="238">
        <f ca="1">ROUND(IF(ISERROR(OFFSET(Bronzo!$A$1,MATCH(H584,Bronzo!$A:$A,0)-1,MATCH(I584,Bronzo!$A$1:$AA$1,0)-1)=TRUE),0,OFFSET(Bronzo!$A$1,MATCH(H584,Bronzo!$A:$A,0)-1,MATCH(I584,Bronzo!$A$1:$AA$1,0)-1)),4)</f>
        <v>0</v>
      </c>
      <c r="T584" s="238">
        <f t="shared" ca="1" si="291"/>
        <v>0</v>
      </c>
      <c r="U584" s="237"/>
      <c r="V584" s="238">
        <v>0</v>
      </c>
      <c r="W584" s="239">
        <f t="shared" ca="1" si="292"/>
        <v>0</v>
      </c>
      <c r="X584" s="240">
        <f t="shared" si="288"/>
        <v>0</v>
      </c>
      <c r="Y584" s="236"/>
      <c r="Z584" s="236">
        <f t="shared" ca="1" si="293"/>
        <v>0</v>
      </c>
      <c r="AA584" s="241"/>
      <c r="AF584" s="225">
        <f t="shared" ca="1" si="297"/>
        <v>46236</v>
      </c>
      <c r="AG584" s="225" t="b">
        <f t="shared" si="289"/>
        <v>1</v>
      </c>
      <c r="AH584" s="242"/>
      <c r="AS584" s="223">
        <f t="shared" si="295"/>
        <v>0</v>
      </c>
      <c r="AT584" s="223">
        <f t="shared" si="296"/>
        <v>0</v>
      </c>
    </row>
    <row r="585" spans="2:46" ht="15.75" x14ac:dyDescent="0.25">
      <c r="B585" s="229"/>
      <c r="C585" s="235"/>
      <c r="D585" s="243"/>
      <c r="E585" s="232"/>
      <c r="F585" s="233"/>
      <c r="G585" s="234"/>
      <c r="H585" s="235"/>
      <c r="I585" s="235"/>
      <c r="J585" s="236"/>
      <c r="K585" s="237">
        <f ca="1">ROUND(IF(ISERROR(OFFSET(Tabella!$A$1,MATCH(H585,Tabella!$A:$A,0)-1,MATCH(J585,Tabella!$A$1:$AC$1,0)-1)=TRUE),0,+OFFSET(Tabella!$A$1,MATCH(H585,Tabella!$A:$A,0)-1,MATCH(J585,Tabella!$A$1:$AC$1,0)-1)),4)</f>
        <v>0</v>
      </c>
      <c r="L585" s="238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238">
        <f ca="1">ROUND(IF(ISERROR(OFFSET(Rame!$A$1,MATCH(H585,Rame!$A:$A,0)-1,MATCH(J585,Rame!$A$1:$AA$1,0)-1)=TRUE),0,OFFSET(Rame!$A$1,MATCH(H585,Rame!$A:$A,0)-1,MATCH(J585,Rame!$A$1:$AA$1,0)-1))*IF(E585="Rame",1,0),4)</f>
        <v>0</v>
      </c>
      <c r="N585" s="238">
        <v>0</v>
      </c>
      <c r="O585" s="238">
        <f t="shared" ca="1" si="294"/>
        <v>0</v>
      </c>
      <c r="P585" s="238">
        <f ca="1">ROUND(+IF(ISERROR(OFFSET(Tabella!$G$1,MATCH(H585,Tabella!$G:$G,0)-1,MATCH(I585,Tabella!$G$1:$FG$1,0)-1)=TRUE),0,OFFSET(Tabella!$G$1,MATCH(H585,Tabella!$G:$G,0)-1,MATCH(I585,Tabella!$G$1:$AB$1,0)-1)),4)</f>
        <v>0</v>
      </c>
      <c r="Q585" s="238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238">
        <f ca="1">ROUND(IF(ISERROR(OFFSET(Rame!$F$1,MATCH(H585,Rame!$F:$F,0)-1,MATCH(I585,Rame!$F$1:$FF$1,0)-1)=TRUE),0,OFFSET(Rame!$F$1,MATCH(H585,Rame!$F:$F,0)-1,MATCH(I585,Rame!$F$1:$FF$1,0)-1))*IF(E585="Rame",1,0),4)</f>
        <v>0</v>
      </c>
      <c r="S585" s="238">
        <f ca="1">ROUND(IF(ISERROR(OFFSET(Bronzo!$A$1,MATCH(H585,Bronzo!$A:$A,0)-1,MATCH(I585,Bronzo!$A$1:$AA$1,0)-1)=TRUE),0,OFFSET(Bronzo!$A$1,MATCH(H585,Bronzo!$A:$A,0)-1,MATCH(I585,Bronzo!$A$1:$AA$1,0)-1)),4)</f>
        <v>0</v>
      </c>
      <c r="T585" s="238">
        <f t="shared" ca="1" si="291"/>
        <v>0</v>
      </c>
      <c r="U585" s="237"/>
      <c r="V585" s="238">
        <v>0</v>
      </c>
      <c r="W585" s="239">
        <f t="shared" ca="1" si="292"/>
        <v>0</v>
      </c>
      <c r="X585" s="240">
        <f t="shared" si="288"/>
        <v>0</v>
      </c>
      <c r="Y585" s="236"/>
      <c r="Z585" s="236">
        <f t="shared" ca="1" si="293"/>
        <v>0</v>
      </c>
      <c r="AA585" s="241"/>
      <c r="AF585" s="225">
        <f t="shared" ca="1" si="297"/>
        <v>46236</v>
      </c>
      <c r="AG585" s="225" t="b">
        <f t="shared" si="289"/>
        <v>1</v>
      </c>
      <c r="AH585" s="242"/>
      <c r="AS585" s="223">
        <f t="shared" si="295"/>
        <v>0</v>
      </c>
      <c r="AT585" s="223">
        <f t="shared" si="296"/>
        <v>0</v>
      </c>
    </row>
    <row r="586" spans="2:46" ht="15.75" x14ac:dyDescent="0.25">
      <c r="B586" s="229"/>
      <c r="C586" s="235"/>
      <c r="D586" s="243"/>
      <c r="E586" s="232"/>
      <c r="F586" s="233"/>
      <c r="G586" s="234"/>
      <c r="H586" s="235"/>
      <c r="I586" s="235"/>
      <c r="J586" s="236"/>
      <c r="K586" s="237">
        <f ca="1">ROUND(IF(ISERROR(OFFSET(Tabella!$A$1,MATCH(H586,Tabella!$A:$A,0)-1,MATCH(J586,Tabella!$A$1:$AC$1,0)-1)=TRUE),0,+OFFSET(Tabella!$A$1,MATCH(H586,Tabella!$A:$A,0)-1,MATCH(J586,Tabella!$A$1:$AC$1,0)-1)),4)</f>
        <v>0</v>
      </c>
      <c r="L586" s="238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238">
        <f ca="1">ROUND(IF(ISERROR(OFFSET(Rame!$A$1,MATCH(H586,Rame!$A:$A,0)-1,MATCH(J586,Rame!$A$1:$AA$1,0)-1)=TRUE),0,OFFSET(Rame!$A$1,MATCH(H586,Rame!$A:$A,0)-1,MATCH(J586,Rame!$A$1:$AA$1,0)-1))*IF(E586="Rame",1,0),4)</f>
        <v>0</v>
      </c>
      <c r="N586" s="238">
        <v>0</v>
      </c>
      <c r="O586" s="238">
        <f t="shared" ca="1" si="294"/>
        <v>0</v>
      </c>
      <c r="P586" s="238">
        <f ca="1">ROUND(+IF(ISERROR(OFFSET(Tabella!$G$1,MATCH(H586,Tabella!$G:$G,0)-1,MATCH(I586,Tabella!$G$1:$FG$1,0)-1)=TRUE),0,OFFSET(Tabella!$G$1,MATCH(H586,Tabella!$G:$G,0)-1,MATCH(I586,Tabella!$G$1:$AB$1,0)-1)),4)</f>
        <v>0</v>
      </c>
      <c r="Q586" s="238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238">
        <f ca="1">ROUND(IF(ISERROR(OFFSET(Rame!$F$1,MATCH(H586,Rame!$F:$F,0)-1,MATCH(I586,Rame!$F$1:$FF$1,0)-1)=TRUE),0,OFFSET(Rame!$F$1,MATCH(H586,Rame!$F:$F,0)-1,MATCH(I586,Rame!$F$1:$FF$1,0)-1))*IF(E586="Rame",1,0),4)</f>
        <v>0</v>
      </c>
      <c r="S586" s="238">
        <f ca="1">ROUND(IF(ISERROR(OFFSET(Bronzo!$A$1,MATCH(H586,Bronzo!$A:$A,0)-1,MATCH(I586,Bronzo!$A$1:$AA$1,0)-1)=TRUE),0,OFFSET(Bronzo!$A$1,MATCH(H586,Bronzo!$A:$A,0)-1,MATCH(I586,Bronzo!$A$1:$AA$1,0)-1)),4)</f>
        <v>0</v>
      </c>
      <c r="T586" s="238">
        <f t="shared" ca="1" si="291"/>
        <v>0</v>
      </c>
      <c r="U586" s="237"/>
      <c r="V586" s="238">
        <v>0</v>
      </c>
      <c r="W586" s="239">
        <f t="shared" ca="1" si="292"/>
        <v>0</v>
      </c>
      <c r="X586" s="240">
        <f t="shared" si="288"/>
        <v>0</v>
      </c>
      <c r="Y586" s="236"/>
      <c r="Z586" s="236">
        <f t="shared" ca="1" si="293"/>
        <v>0</v>
      </c>
      <c r="AA586" s="241"/>
      <c r="AF586" s="225">
        <f t="shared" ca="1" si="297"/>
        <v>46236</v>
      </c>
      <c r="AG586" s="225" t="b">
        <f t="shared" si="289"/>
        <v>1</v>
      </c>
      <c r="AH586" s="242"/>
      <c r="AS586" s="223">
        <f t="shared" si="295"/>
        <v>0</v>
      </c>
      <c r="AT586" s="223">
        <f t="shared" si="296"/>
        <v>0</v>
      </c>
    </row>
    <row r="587" spans="2:46" ht="15.75" x14ac:dyDescent="0.25">
      <c r="B587" s="229"/>
      <c r="C587" s="235"/>
      <c r="D587" s="243"/>
      <c r="E587" s="232"/>
      <c r="F587" s="233"/>
      <c r="G587" s="234"/>
      <c r="H587" s="235"/>
      <c r="I587" s="235"/>
      <c r="J587" s="236"/>
      <c r="K587" s="237">
        <f ca="1">ROUND(IF(ISERROR(OFFSET(Tabella!$A$1,MATCH(H587,Tabella!$A:$A,0)-1,MATCH(J587,Tabella!$A$1:$AC$1,0)-1)=TRUE),0,+OFFSET(Tabella!$A$1,MATCH(H587,Tabella!$A:$A,0)-1,MATCH(J587,Tabella!$A$1:$AC$1,0)-1)),4)</f>
        <v>0</v>
      </c>
      <c r="L587" s="238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238">
        <f ca="1">ROUND(IF(ISERROR(OFFSET(Rame!$A$1,MATCH(H587,Rame!$A:$A,0)-1,MATCH(J587,Rame!$A$1:$AA$1,0)-1)=TRUE),0,OFFSET(Rame!$A$1,MATCH(H587,Rame!$A:$A,0)-1,MATCH(J587,Rame!$A$1:$AA$1,0)-1))*IF(E587="Rame",1,0),4)</f>
        <v>0</v>
      </c>
      <c r="N587" s="238">
        <v>0</v>
      </c>
      <c r="O587" s="238">
        <f t="shared" ca="1" si="294"/>
        <v>0</v>
      </c>
      <c r="P587" s="238">
        <f ca="1">ROUND(+IF(ISERROR(OFFSET(Tabella!$G$1,MATCH(H587,Tabella!$G:$G,0)-1,MATCH(I587,Tabella!$G$1:$FG$1,0)-1)=TRUE),0,OFFSET(Tabella!$G$1,MATCH(H587,Tabella!$G:$G,0)-1,MATCH(I587,Tabella!$G$1:$AB$1,0)-1)),4)</f>
        <v>0</v>
      </c>
      <c r="Q587" s="238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238">
        <f ca="1">ROUND(IF(ISERROR(OFFSET(Rame!$F$1,MATCH(H587,Rame!$F:$F,0)-1,MATCH(I587,Rame!$F$1:$FF$1,0)-1)=TRUE),0,OFFSET(Rame!$F$1,MATCH(H587,Rame!$F:$F,0)-1,MATCH(I587,Rame!$F$1:$FF$1,0)-1))*IF(E587="Rame",1,0),4)</f>
        <v>0</v>
      </c>
      <c r="S587" s="238">
        <f ca="1">ROUND(IF(ISERROR(OFFSET(Bronzo!$A$1,MATCH(H587,Bronzo!$A:$A,0)-1,MATCH(I587,Bronzo!$A$1:$AA$1,0)-1)=TRUE),0,OFFSET(Bronzo!$A$1,MATCH(H587,Bronzo!$A:$A,0)-1,MATCH(I587,Bronzo!$A$1:$AA$1,0)-1)),4)</f>
        <v>0</v>
      </c>
      <c r="T587" s="238">
        <f t="shared" ca="1" si="291"/>
        <v>0</v>
      </c>
      <c r="U587" s="237"/>
      <c r="V587" s="238">
        <v>0</v>
      </c>
      <c r="W587" s="239">
        <f t="shared" ca="1" si="292"/>
        <v>0</v>
      </c>
      <c r="X587" s="240">
        <f t="shared" si="288"/>
        <v>0</v>
      </c>
      <c r="Y587" s="236"/>
      <c r="Z587" s="236">
        <f t="shared" ca="1" si="293"/>
        <v>0</v>
      </c>
      <c r="AA587" s="241"/>
      <c r="AF587" s="225">
        <f t="shared" ca="1" si="297"/>
        <v>46236</v>
      </c>
      <c r="AG587" s="225" t="b">
        <f t="shared" si="289"/>
        <v>1</v>
      </c>
      <c r="AH587" s="242"/>
      <c r="AS587" s="223">
        <f t="shared" si="295"/>
        <v>0</v>
      </c>
      <c r="AT587" s="223">
        <f t="shared" si="296"/>
        <v>0</v>
      </c>
    </row>
    <row r="588" spans="2:46" ht="15.75" x14ac:dyDescent="0.25">
      <c r="B588" s="229"/>
      <c r="C588" s="235"/>
      <c r="D588" s="243"/>
      <c r="E588" s="232"/>
      <c r="F588" s="233"/>
      <c r="G588" s="234"/>
      <c r="H588" s="235"/>
      <c r="I588" s="235"/>
      <c r="J588" s="236"/>
      <c r="K588" s="237">
        <f ca="1">ROUND(IF(ISERROR(OFFSET(Tabella!$A$1,MATCH(H588,Tabella!$A:$A,0)-1,MATCH(J588,Tabella!$A$1:$AC$1,0)-1)=TRUE),0,+OFFSET(Tabella!$A$1,MATCH(H588,Tabella!$A:$A,0)-1,MATCH(J588,Tabella!$A$1:$AC$1,0)-1)),4)</f>
        <v>0</v>
      </c>
      <c r="L588" s="238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238">
        <f ca="1">ROUND(IF(ISERROR(OFFSET(Rame!$A$1,MATCH(H588,Rame!$A:$A,0)-1,MATCH(J588,Rame!$A$1:$AA$1,0)-1)=TRUE),0,OFFSET(Rame!$A$1,MATCH(H588,Rame!$A:$A,0)-1,MATCH(J588,Rame!$A$1:$AA$1,0)-1))*IF(E588="Rame",1,0),4)</f>
        <v>0</v>
      </c>
      <c r="N588" s="238">
        <v>0</v>
      </c>
      <c r="O588" s="238">
        <f t="shared" ca="1" si="294"/>
        <v>0</v>
      </c>
      <c r="P588" s="238">
        <f ca="1">ROUND(+IF(ISERROR(OFFSET(Tabella!$G$1,MATCH(H588,Tabella!$G:$G,0)-1,MATCH(I588,Tabella!$G$1:$FG$1,0)-1)=TRUE),0,OFFSET(Tabella!$G$1,MATCH(H588,Tabella!$G:$G,0)-1,MATCH(I588,Tabella!$G$1:$AB$1,0)-1)),4)</f>
        <v>0</v>
      </c>
      <c r="Q588" s="238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238">
        <f ca="1">ROUND(IF(ISERROR(OFFSET(Rame!$F$1,MATCH(H588,Rame!$F:$F,0)-1,MATCH(I588,Rame!$F$1:$FF$1,0)-1)=TRUE),0,OFFSET(Rame!$F$1,MATCH(H588,Rame!$F:$F,0)-1,MATCH(I588,Rame!$F$1:$FF$1,0)-1))*IF(E588="Rame",1,0),4)</f>
        <v>0</v>
      </c>
      <c r="S588" s="238">
        <f ca="1">ROUND(IF(ISERROR(OFFSET(Bronzo!$A$1,MATCH(H588,Bronzo!$A:$A,0)-1,MATCH(I588,Bronzo!$A$1:$AA$1,0)-1)=TRUE),0,OFFSET(Bronzo!$A$1,MATCH(H588,Bronzo!$A:$A,0)-1,MATCH(I588,Bronzo!$A$1:$AA$1,0)-1)),4)</f>
        <v>0</v>
      </c>
      <c r="T588" s="238">
        <f t="shared" ca="1" si="291"/>
        <v>0</v>
      </c>
      <c r="U588" s="237"/>
      <c r="V588" s="238">
        <v>0</v>
      </c>
      <c r="W588" s="239">
        <f t="shared" ca="1" si="292"/>
        <v>0</v>
      </c>
      <c r="X588" s="240">
        <f t="shared" si="288"/>
        <v>0</v>
      </c>
      <c r="Y588" s="236"/>
      <c r="Z588" s="236">
        <f t="shared" ca="1" si="293"/>
        <v>0</v>
      </c>
      <c r="AA588" s="241"/>
      <c r="AF588" s="225">
        <f t="shared" ca="1" si="297"/>
        <v>46236</v>
      </c>
      <c r="AG588" s="225" t="b">
        <f t="shared" si="289"/>
        <v>1</v>
      </c>
      <c r="AH588" s="242"/>
      <c r="AS588" s="223">
        <f t="shared" si="295"/>
        <v>0</v>
      </c>
      <c r="AT588" s="223">
        <f t="shared" si="296"/>
        <v>0</v>
      </c>
    </row>
    <row r="589" spans="2:46" ht="15.75" x14ac:dyDescent="0.25">
      <c r="B589" s="229"/>
      <c r="C589" s="235"/>
      <c r="D589" s="243"/>
      <c r="E589" s="232"/>
      <c r="F589" s="233"/>
      <c r="G589" s="234"/>
      <c r="H589" s="235"/>
      <c r="I589" s="235"/>
      <c r="J589" s="236"/>
      <c r="K589" s="237">
        <f ca="1">ROUND(IF(ISERROR(OFFSET(Tabella!$A$1,MATCH(H589,Tabella!$A:$A,0)-1,MATCH(J589,Tabella!$A$1:$AC$1,0)-1)=TRUE),0,+OFFSET(Tabella!$A$1,MATCH(H589,Tabella!$A:$A,0)-1,MATCH(J589,Tabella!$A$1:$AC$1,0)-1)),4)</f>
        <v>0</v>
      </c>
      <c r="L589" s="238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238">
        <f ca="1">ROUND(IF(ISERROR(OFFSET(Rame!$A$1,MATCH(H589,Rame!$A:$A,0)-1,MATCH(J589,Rame!$A$1:$AA$1,0)-1)=TRUE),0,OFFSET(Rame!$A$1,MATCH(H589,Rame!$A:$A,0)-1,MATCH(J589,Rame!$A$1:$AA$1,0)-1))*IF(E589="Rame",1,0),4)</f>
        <v>0</v>
      </c>
      <c r="N589" s="238">
        <v>0</v>
      </c>
      <c r="O589" s="238">
        <f t="shared" ca="1" si="294"/>
        <v>0</v>
      </c>
      <c r="P589" s="238">
        <f ca="1">ROUND(+IF(ISERROR(OFFSET(Tabella!$G$1,MATCH(H589,Tabella!$G:$G,0)-1,MATCH(I589,Tabella!$G$1:$FG$1,0)-1)=TRUE),0,OFFSET(Tabella!$G$1,MATCH(H589,Tabella!$G:$G,0)-1,MATCH(I589,Tabella!$G$1:$AB$1,0)-1)),4)</f>
        <v>0</v>
      </c>
      <c r="Q589" s="238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238">
        <f ca="1">ROUND(IF(ISERROR(OFFSET(Rame!$F$1,MATCH(H589,Rame!$F:$F,0)-1,MATCH(I589,Rame!$F$1:$FF$1,0)-1)=TRUE),0,OFFSET(Rame!$F$1,MATCH(H589,Rame!$F:$F,0)-1,MATCH(I589,Rame!$F$1:$FF$1,0)-1))*IF(E589="Rame",1,0),4)</f>
        <v>0</v>
      </c>
      <c r="S589" s="238">
        <f ca="1">ROUND(IF(ISERROR(OFFSET(Bronzo!$A$1,MATCH(H589,Bronzo!$A:$A,0)-1,MATCH(I589,Bronzo!$A$1:$AA$1,0)-1)=TRUE),0,OFFSET(Bronzo!$A$1,MATCH(H589,Bronzo!$A:$A,0)-1,MATCH(I589,Bronzo!$A$1:$AA$1,0)-1)),4)</f>
        <v>0</v>
      </c>
      <c r="T589" s="238">
        <f t="shared" ca="1" si="291"/>
        <v>0</v>
      </c>
      <c r="U589" s="237"/>
      <c r="V589" s="238">
        <v>0</v>
      </c>
      <c r="W589" s="239">
        <f t="shared" ca="1" si="292"/>
        <v>0</v>
      </c>
      <c r="X589" s="240">
        <f t="shared" si="288"/>
        <v>0</v>
      </c>
      <c r="Y589" s="236"/>
      <c r="Z589" s="236">
        <f t="shared" ca="1" si="293"/>
        <v>0</v>
      </c>
      <c r="AA589" s="241"/>
      <c r="AF589" s="225">
        <f t="shared" ca="1" si="297"/>
        <v>46236</v>
      </c>
      <c r="AG589" s="225" t="b">
        <f t="shared" si="289"/>
        <v>1</v>
      </c>
      <c r="AH589" s="242"/>
      <c r="AS589" s="223">
        <f t="shared" si="295"/>
        <v>0</v>
      </c>
      <c r="AT589" s="223">
        <f t="shared" si="296"/>
        <v>0</v>
      </c>
    </row>
    <row r="590" spans="2:46" ht="15.75" x14ac:dyDescent="0.25">
      <c r="B590" s="229"/>
      <c r="C590" s="235"/>
      <c r="D590" s="243"/>
      <c r="E590" s="232"/>
      <c r="F590" s="233"/>
      <c r="G590" s="234"/>
      <c r="H590" s="235"/>
      <c r="I590" s="235"/>
      <c r="J590" s="236"/>
      <c r="K590" s="237">
        <f ca="1">ROUND(IF(ISERROR(OFFSET(Tabella!$A$1,MATCH(H590,Tabella!$A:$A,0)-1,MATCH(J590,Tabella!$A$1:$AC$1,0)-1)=TRUE),0,+OFFSET(Tabella!$A$1,MATCH(H590,Tabella!$A:$A,0)-1,MATCH(J590,Tabella!$A$1:$AC$1,0)-1)),4)</f>
        <v>0</v>
      </c>
      <c r="L590" s="238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238">
        <f ca="1">ROUND(IF(ISERROR(OFFSET(Rame!$A$1,MATCH(H590,Rame!$A:$A,0)-1,MATCH(J590,Rame!$A$1:$AA$1,0)-1)=TRUE),0,OFFSET(Rame!$A$1,MATCH(H590,Rame!$A:$A,0)-1,MATCH(J590,Rame!$A$1:$AA$1,0)-1))*IF(E590="Rame",1,0),4)</f>
        <v>0</v>
      </c>
      <c r="N590" s="238">
        <v>0</v>
      </c>
      <c r="O590" s="238">
        <f t="shared" ca="1" si="294"/>
        <v>0</v>
      </c>
      <c r="P590" s="238">
        <f ca="1">ROUND(+IF(ISERROR(OFFSET(Tabella!$G$1,MATCH(H590,Tabella!$G:$G,0)-1,MATCH(I590,Tabella!$G$1:$FG$1,0)-1)=TRUE),0,OFFSET(Tabella!$G$1,MATCH(H590,Tabella!$G:$G,0)-1,MATCH(I590,Tabella!$G$1:$AB$1,0)-1)),4)</f>
        <v>0</v>
      </c>
      <c r="Q590" s="238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238">
        <f ca="1">ROUND(IF(ISERROR(OFFSET(Rame!$F$1,MATCH(H590,Rame!$F:$F,0)-1,MATCH(I590,Rame!$F$1:$FF$1,0)-1)=TRUE),0,OFFSET(Rame!$F$1,MATCH(H590,Rame!$F:$F,0)-1,MATCH(I590,Rame!$F$1:$FF$1,0)-1))*IF(E590="Rame",1,0),4)</f>
        <v>0</v>
      </c>
      <c r="S590" s="238">
        <f ca="1">ROUND(IF(ISERROR(OFFSET(Bronzo!$A$1,MATCH(H590,Bronzo!$A:$A,0)-1,MATCH(I590,Bronzo!$A$1:$AA$1,0)-1)=TRUE),0,OFFSET(Bronzo!$A$1,MATCH(H590,Bronzo!$A:$A,0)-1,MATCH(I590,Bronzo!$A$1:$AA$1,0)-1)),4)</f>
        <v>0</v>
      </c>
      <c r="T590" s="238">
        <f t="shared" ca="1" si="291"/>
        <v>0</v>
      </c>
      <c r="U590" s="237"/>
      <c r="V590" s="238">
        <v>0</v>
      </c>
      <c r="W590" s="239">
        <f t="shared" ca="1" si="292"/>
        <v>0</v>
      </c>
      <c r="X590" s="240">
        <f t="shared" si="288"/>
        <v>0</v>
      </c>
      <c r="Y590" s="236"/>
      <c r="Z590" s="236">
        <f t="shared" ca="1" si="293"/>
        <v>0</v>
      </c>
      <c r="AA590" s="241"/>
      <c r="AF590" s="225">
        <f t="shared" ca="1" si="297"/>
        <v>46236</v>
      </c>
      <c r="AG590" s="225" t="b">
        <f t="shared" si="289"/>
        <v>1</v>
      </c>
      <c r="AH590" s="242"/>
      <c r="AS590" s="223">
        <f t="shared" si="295"/>
        <v>0</v>
      </c>
      <c r="AT590" s="223">
        <f t="shared" si="296"/>
        <v>0</v>
      </c>
    </row>
    <row r="591" spans="2:46" ht="15.75" x14ac:dyDescent="0.25">
      <c r="B591" s="229"/>
      <c r="C591" s="235"/>
      <c r="D591" s="243"/>
      <c r="E591" s="232"/>
      <c r="F591" s="233"/>
      <c r="G591" s="234"/>
      <c r="H591" s="235"/>
      <c r="I591" s="235"/>
      <c r="J591" s="236"/>
      <c r="K591" s="237">
        <f ca="1">ROUND(IF(ISERROR(OFFSET(Tabella!$A$1,MATCH(H591,Tabella!$A:$A,0)-1,MATCH(J591,Tabella!$A$1:$AC$1,0)-1)=TRUE),0,+OFFSET(Tabella!$A$1,MATCH(H591,Tabella!$A:$A,0)-1,MATCH(J591,Tabella!$A$1:$AC$1,0)-1)),4)</f>
        <v>0</v>
      </c>
      <c r="L591" s="238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238">
        <f ca="1">ROUND(IF(ISERROR(OFFSET(Rame!$A$1,MATCH(H591,Rame!$A:$A,0)-1,MATCH(J591,Rame!$A$1:$AA$1,0)-1)=TRUE),0,OFFSET(Rame!$A$1,MATCH(H591,Rame!$A:$A,0)-1,MATCH(J591,Rame!$A$1:$AA$1,0)-1))*IF(E591="Rame",1,0),4)</f>
        <v>0</v>
      </c>
      <c r="N591" s="238">
        <v>0</v>
      </c>
      <c r="O591" s="238">
        <f t="shared" ca="1" si="294"/>
        <v>0</v>
      </c>
      <c r="P591" s="238">
        <f ca="1">ROUND(+IF(ISERROR(OFFSET(Tabella!$G$1,MATCH(H591,Tabella!$G:$G,0)-1,MATCH(I591,Tabella!$G$1:$FG$1,0)-1)=TRUE),0,OFFSET(Tabella!$G$1,MATCH(H591,Tabella!$G:$G,0)-1,MATCH(I591,Tabella!$G$1:$AB$1,0)-1)),4)</f>
        <v>0</v>
      </c>
      <c r="Q591" s="238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238">
        <f ca="1">ROUND(IF(ISERROR(OFFSET(Rame!$F$1,MATCH(H591,Rame!$F:$F,0)-1,MATCH(I591,Rame!$F$1:$FF$1,0)-1)=TRUE),0,OFFSET(Rame!$F$1,MATCH(H591,Rame!$F:$F,0)-1,MATCH(I591,Rame!$F$1:$FF$1,0)-1))*IF(E591="Rame",1,0),4)</f>
        <v>0</v>
      </c>
      <c r="S591" s="238">
        <f ca="1">ROUND(IF(ISERROR(OFFSET(Bronzo!$A$1,MATCH(H591,Bronzo!$A:$A,0)-1,MATCH(I591,Bronzo!$A$1:$AA$1,0)-1)=TRUE),0,OFFSET(Bronzo!$A$1,MATCH(H591,Bronzo!$A:$A,0)-1,MATCH(I591,Bronzo!$A$1:$AA$1,0)-1)),4)</f>
        <v>0</v>
      </c>
      <c r="T591" s="238">
        <f t="shared" ca="1" si="291"/>
        <v>0</v>
      </c>
      <c r="U591" s="237"/>
      <c r="V591" s="238">
        <v>0</v>
      </c>
      <c r="W591" s="239">
        <f t="shared" ca="1" si="292"/>
        <v>0</v>
      </c>
      <c r="X591" s="240">
        <f t="shared" si="288"/>
        <v>0</v>
      </c>
      <c r="Y591" s="236"/>
      <c r="Z591" s="236">
        <f t="shared" ca="1" si="293"/>
        <v>0</v>
      </c>
      <c r="AA591" s="241"/>
      <c r="AF591" s="225">
        <f t="shared" ca="1" si="297"/>
        <v>46236</v>
      </c>
      <c r="AG591" s="225" t="b">
        <f t="shared" si="289"/>
        <v>1</v>
      </c>
      <c r="AH591" s="242"/>
      <c r="AS591" s="223">
        <f t="shared" si="295"/>
        <v>0</v>
      </c>
      <c r="AT591" s="223">
        <f t="shared" si="296"/>
        <v>0</v>
      </c>
    </row>
    <row r="592" spans="2:46" ht="15.75" x14ac:dyDescent="0.25">
      <c r="B592" s="229"/>
      <c r="C592" s="235"/>
      <c r="D592" s="243"/>
      <c r="E592" s="232"/>
      <c r="F592" s="233"/>
      <c r="G592" s="234"/>
      <c r="H592" s="235"/>
      <c r="I592" s="235"/>
      <c r="J592" s="236"/>
      <c r="K592" s="237">
        <f ca="1">ROUND(IF(ISERROR(OFFSET(Tabella!$A$1,MATCH(H592,Tabella!$A:$A,0)-1,MATCH(J592,Tabella!$A$1:$AC$1,0)-1)=TRUE),0,+OFFSET(Tabella!$A$1,MATCH(H592,Tabella!$A:$A,0)-1,MATCH(J592,Tabella!$A$1:$AC$1,0)-1)),4)</f>
        <v>0</v>
      </c>
      <c r="L592" s="238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238">
        <f ca="1">ROUND(IF(ISERROR(OFFSET(Rame!$A$1,MATCH(H592,Rame!$A:$A,0)-1,MATCH(J592,Rame!$A$1:$AA$1,0)-1)=TRUE),0,OFFSET(Rame!$A$1,MATCH(H592,Rame!$A:$A,0)-1,MATCH(J592,Rame!$A$1:$AA$1,0)-1))*IF(E592="Rame",1,0),4)</f>
        <v>0</v>
      </c>
      <c r="N592" s="238">
        <v>0</v>
      </c>
      <c r="O592" s="238">
        <f t="shared" ca="1" si="294"/>
        <v>0</v>
      </c>
      <c r="P592" s="238">
        <f ca="1">ROUND(+IF(ISERROR(OFFSET(Tabella!$G$1,MATCH(H592,Tabella!$G:$G,0)-1,MATCH(I592,Tabella!$G$1:$FG$1,0)-1)=TRUE),0,OFFSET(Tabella!$G$1,MATCH(H592,Tabella!$G:$G,0)-1,MATCH(I592,Tabella!$G$1:$AB$1,0)-1)),4)</f>
        <v>0</v>
      </c>
      <c r="Q592" s="238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238">
        <f ca="1">ROUND(IF(ISERROR(OFFSET(Rame!$F$1,MATCH(H592,Rame!$F:$F,0)-1,MATCH(I592,Rame!$F$1:$FF$1,0)-1)=TRUE),0,OFFSET(Rame!$F$1,MATCH(H592,Rame!$F:$F,0)-1,MATCH(I592,Rame!$F$1:$FF$1,0)-1))*IF(E592="Rame",1,0),4)</f>
        <v>0</v>
      </c>
      <c r="S592" s="238">
        <f ca="1">ROUND(IF(ISERROR(OFFSET(Bronzo!$A$1,MATCH(H592,Bronzo!$A:$A,0)-1,MATCH(I592,Bronzo!$A$1:$AA$1,0)-1)=TRUE),0,OFFSET(Bronzo!$A$1,MATCH(H592,Bronzo!$A:$A,0)-1,MATCH(I592,Bronzo!$A$1:$AA$1,0)-1)),4)</f>
        <v>0</v>
      </c>
      <c r="T592" s="238">
        <f t="shared" ca="1" si="291"/>
        <v>0</v>
      </c>
      <c r="U592" s="237"/>
      <c r="V592" s="238">
        <v>0</v>
      </c>
      <c r="W592" s="239">
        <f t="shared" ca="1" si="292"/>
        <v>0</v>
      </c>
      <c r="X592" s="240">
        <f t="shared" si="288"/>
        <v>0</v>
      </c>
      <c r="Y592" s="236"/>
      <c r="Z592" s="236">
        <f t="shared" ca="1" si="293"/>
        <v>0</v>
      </c>
      <c r="AA592" s="241"/>
      <c r="AF592" s="225">
        <f t="shared" ca="1" si="297"/>
        <v>46236</v>
      </c>
      <c r="AG592" s="225" t="b">
        <f t="shared" si="289"/>
        <v>1</v>
      </c>
      <c r="AH592" s="242"/>
      <c r="AS592" s="223">
        <f t="shared" si="295"/>
        <v>0</v>
      </c>
      <c r="AT592" s="223">
        <f t="shared" si="296"/>
        <v>0</v>
      </c>
    </row>
    <row r="593" spans="2:46" ht="15.75" x14ac:dyDescent="0.25">
      <c r="B593" s="229"/>
      <c r="C593" s="235"/>
      <c r="D593" s="243"/>
      <c r="E593" s="232"/>
      <c r="F593" s="233"/>
      <c r="G593" s="234"/>
      <c r="H593" s="235"/>
      <c r="I593" s="235"/>
      <c r="J593" s="236"/>
      <c r="K593" s="237">
        <f ca="1">ROUND(IF(ISERROR(OFFSET(Tabella!$A$1,MATCH(H593,Tabella!$A:$A,0)-1,MATCH(J593,Tabella!$A$1:$AC$1,0)-1)=TRUE),0,+OFFSET(Tabella!$A$1,MATCH(H593,Tabella!$A:$A,0)-1,MATCH(J593,Tabella!$A$1:$AC$1,0)-1)),4)</f>
        <v>0</v>
      </c>
      <c r="L593" s="238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238">
        <f ca="1">ROUND(IF(ISERROR(OFFSET(Rame!$A$1,MATCH(H593,Rame!$A:$A,0)-1,MATCH(J593,Rame!$A$1:$AA$1,0)-1)=TRUE),0,OFFSET(Rame!$A$1,MATCH(H593,Rame!$A:$A,0)-1,MATCH(J593,Rame!$A$1:$AA$1,0)-1))*IF(E593="Rame",1,0),4)</f>
        <v>0</v>
      </c>
      <c r="N593" s="238">
        <v>0</v>
      </c>
      <c r="O593" s="238">
        <f t="shared" ca="1" si="294"/>
        <v>0</v>
      </c>
      <c r="P593" s="238">
        <f ca="1">ROUND(+IF(ISERROR(OFFSET(Tabella!$G$1,MATCH(H593,Tabella!$G:$G,0)-1,MATCH(I593,Tabella!$G$1:$FG$1,0)-1)=TRUE),0,OFFSET(Tabella!$G$1,MATCH(H593,Tabella!$G:$G,0)-1,MATCH(I593,Tabella!$G$1:$AB$1,0)-1)),4)</f>
        <v>0</v>
      </c>
      <c r="Q593" s="238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238">
        <f ca="1">ROUND(IF(ISERROR(OFFSET(Rame!$F$1,MATCH(H593,Rame!$F:$F,0)-1,MATCH(I593,Rame!$F$1:$FF$1,0)-1)=TRUE),0,OFFSET(Rame!$F$1,MATCH(H593,Rame!$F:$F,0)-1,MATCH(I593,Rame!$F$1:$FF$1,0)-1))*IF(E593="Rame",1,0),4)</f>
        <v>0</v>
      </c>
      <c r="S593" s="238">
        <f ca="1">ROUND(IF(ISERROR(OFFSET(Bronzo!$A$1,MATCH(H593,Bronzo!$A:$A,0)-1,MATCH(I593,Bronzo!$A$1:$AA$1,0)-1)=TRUE),0,OFFSET(Bronzo!$A$1,MATCH(H593,Bronzo!$A:$A,0)-1,MATCH(I593,Bronzo!$A$1:$AA$1,0)-1)),4)</f>
        <v>0</v>
      </c>
      <c r="T593" s="238">
        <f t="shared" ca="1" si="291"/>
        <v>0</v>
      </c>
      <c r="U593" s="237"/>
      <c r="V593" s="238">
        <v>0</v>
      </c>
      <c r="W593" s="239">
        <f t="shared" ca="1" si="292"/>
        <v>0</v>
      </c>
      <c r="X593" s="240">
        <f t="shared" si="288"/>
        <v>0</v>
      </c>
      <c r="Y593" s="236"/>
      <c r="Z593" s="236">
        <f t="shared" ca="1" si="293"/>
        <v>0</v>
      </c>
      <c r="AA593" s="241"/>
      <c r="AF593" s="225">
        <f t="shared" ca="1" si="297"/>
        <v>46236</v>
      </c>
      <c r="AG593" s="225" t="b">
        <f t="shared" si="289"/>
        <v>1</v>
      </c>
      <c r="AH593" s="242"/>
      <c r="AS593" s="223">
        <f t="shared" si="295"/>
        <v>0</v>
      </c>
      <c r="AT593" s="223">
        <f t="shared" si="296"/>
        <v>0</v>
      </c>
    </row>
    <row r="594" spans="2:46" ht="15.75" x14ac:dyDescent="0.25">
      <c r="B594" s="229"/>
      <c r="C594" s="235"/>
      <c r="D594" s="243"/>
      <c r="E594" s="232"/>
      <c r="F594" s="233"/>
      <c r="G594" s="234"/>
      <c r="H594" s="235"/>
      <c r="I594" s="235"/>
      <c r="J594" s="236"/>
      <c r="K594" s="237">
        <f ca="1">ROUND(IF(ISERROR(OFFSET(Tabella!$A$1,MATCH(H594,Tabella!$A:$A,0)-1,MATCH(J594,Tabella!$A$1:$AC$1,0)-1)=TRUE),0,+OFFSET(Tabella!$A$1,MATCH(H594,Tabella!$A:$A,0)-1,MATCH(J594,Tabella!$A$1:$AC$1,0)-1)),4)</f>
        <v>0</v>
      </c>
      <c r="L594" s="238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238">
        <f ca="1">ROUND(IF(ISERROR(OFFSET(Rame!$A$1,MATCH(H594,Rame!$A:$A,0)-1,MATCH(J594,Rame!$A$1:$AA$1,0)-1)=TRUE),0,OFFSET(Rame!$A$1,MATCH(H594,Rame!$A:$A,0)-1,MATCH(J594,Rame!$A$1:$AA$1,0)-1))*IF(E594="Rame",1,0),4)</f>
        <v>0</v>
      </c>
      <c r="N594" s="238">
        <v>0</v>
      </c>
      <c r="O594" s="238">
        <f t="shared" ca="1" si="294"/>
        <v>0</v>
      </c>
      <c r="P594" s="238">
        <f ca="1">ROUND(+IF(ISERROR(OFFSET(Tabella!$G$1,MATCH(H594,Tabella!$G:$G,0)-1,MATCH(I594,Tabella!$G$1:$FG$1,0)-1)=TRUE),0,OFFSET(Tabella!$G$1,MATCH(H594,Tabella!$G:$G,0)-1,MATCH(I594,Tabella!$G$1:$AB$1,0)-1)),4)</f>
        <v>0</v>
      </c>
      <c r="Q594" s="238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238">
        <f ca="1">ROUND(IF(ISERROR(OFFSET(Rame!$F$1,MATCH(H594,Rame!$F:$F,0)-1,MATCH(I594,Rame!$F$1:$FF$1,0)-1)=TRUE),0,OFFSET(Rame!$F$1,MATCH(H594,Rame!$F:$F,0)-1,MATCH(I594,Rame!$F$1:$FF$1,0)-1))*IF(E594="Rame",1,0),4)</f>
        <v>0</v>
      </c>
      <c r="S594" s="238">
        <f ca="1">ROUND(IF(ISERROR(OFFSET(Bronzo!$A$1,MATCH(H594,Bronzo!$A:$A,0)-1,MATCH(I594,Bronzo!$A$1:$AA$1,0)-1)=TRUE),0,OFFSET(Bronzo!$A$1,MATCH(H594,Bronzo!$A:$A,0)-1,MATCH(I594,Bronzo!$A$1:$AA$1,0)-1)),4)</f>
        <v>0</v>
      </c>
      <c r="T594" s="238">
        <f t="shared" ca="1" si="291"/>
        <v>0</v>
      </c>
      <c r="U594" s="237"/>
      <c r="V594" s="238">
        <v>0</v>
      </c>
      <c r="W594" s="239">
        <f t="shared" ca="1" si="292"/>
        <v>0</v>
      </c>
      <c r="X594" s="240">
        <f t="shared" si="288"/>
        <v>0</v>
      </c>
      <c r="Y594" s="236"/>
      <c r="Z594" s="236">
        <f t="shared" ca="1" si="293"/>
        <v>0</v>
      </c>
      <c r="AA594" s="241"/>
      <c r="AF594" s="225">
        <f t="shared" ca="1" si="297"/>
        <v>46236</v>
      </c>
      <c r="AG594" s="225" t="b">
        <f t="shared" si="289"/>
        <v>1</v>
      </c>
      <c r="AH594" s="242"/>
      <c r="AS594" s="223">
        <f t="shared" si="295"/>
        <v>0</v>
      </c>
      <c r="AT594" s="223">
        <f t="shared" si="296"/>
        <v>0</v>
      </c>
    </row>
    <row r="595" spans="2:46" ht="15.75" x14ac:dyDescent="0.25">
      <c r="B595" s="229"/>
      <c r="C595" s="235"/>
      <c r="D595" s="243"/>
      <c r="E595" s="232"/>
      <c r="F595" s="233"/>
      <c r="G595" s="234"/>
      <c r="H595" s="235"/>
      <c r="I595" s="235"/>
      <c r="J595" s="236"/>
      <c r="K595" s="237">
        <f ca="1">ROUND(IF(ISERROR(OFFSET(Tabella!$A$1,MATCH(H595,Tabella!$A:$A,0)-1,MATCH(J595,Tabella!$A$1:$AC$1,0)-1)=TRUE),0,+OFFSET(Tabella!$A$1,MATCH(H595,Tabella!$A:$A,0)-1,MATCH(J595,Tabella!$A$1:$AC$1,0)-1)),4)</f>
        <v>0</v>
      </c>
      <c r="L595" s="238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238">
        <f ca="1">ROUND(IF(ISERROR(OFFSET(Rame!$A$1,MATCH(H595,Rame!$A:$A,0)-1,MATCH(J595,Rame!$A$1:$AA$1,0)-1)=TRUE),0,OFFSET(Rame!$A$1,MATCH(H595,Rame!$A:$A,0)-1,MATCH(J595,Rame!$A$1:$AA$1,0)-1))*IF(E595="Rame",1,0),4)</f>
        <v>0</v>
      </c>
      <c r="N595" s="238">
        <v>0</v>
      </c>
      <c r="O595" s="238">
        <f t="shared" ca="1" si="294"/>
        <v>0</v>
      </c>
      <c r="P595" s="238">
        <f ca="1">ROUND(+IF(ISERROR(OFFSET(Tabella!$G$1,MATCH(H595,Tabella!$G:$G,0)-1,MATCH(I595,Tabella!$G$1:$FG$1,0)-1)=TRUE),0,OFFSET(Tabella!$G$1,MATCH(H595,Tabella!$G:$G,0)-1,MATCH(I595,Tabella!$G$1:$AB$1,0)-1)),4)</f>
        <v>0</v>
      </c>
      <c r="Q595" s="238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238">
        <f ca="1">ROUND(IF(ISERROR(OFFSET(Rame!$F$1,MATCH(H595,Rame!$F:$F,0)-1,MATCH(I595,Rame!$F$1:$FF$1,0)-1)=TRUE),0,OFFSET(Rame!$F$1,MATCH(H595,Rame!$F:$F,0)-1,MATCH(I595,Rame!$F$1:$FF$1,0)-1))*IF(E595="Rame",1,0),4)</f>
        <v>0</v>
      </c>
      <c r="S595" s="238">
        <f ca="1">ROUND(IF(ISERROR(OFFSET(Bronzo!$A$1,MATCH(H595,Bronzo!$A:$A,0)-1,MATCH(I595,Bronzo!$A$1:$AA$1,0)-1)=TRUE),0,OFFSET(Bronzo!$A$1,MATCH(H595,Bronzo!$A:$A,0)-1,MATCH(I595,Bronzo!$A$1:$AA$1,0)-1)),4)</f>
        <v>0</v>
      </c>
      <c r="T595" s="238">
        <f t="shared" ca="1" si="291"/>
        <v>0</v>
      </c>
      <c r="U595" s="237"/>
      <c r="V595" s="238">
        <v>0</v>
      </c>
      <c r="W595" s="239">
        <f t="shared" ca="1" si="292"/>
        <v>0</v>
      </c>
      <c r="X595" s="240">
        <f t="shared" si="288"/>
        <v>0</v>
      </c>
      <c r="Y595" s="236"/>
      <c r="Z595" s="236">
        <f t="shared" ca="1" si="293"/>
        <v>0</v>
      </c>
      <c r="AA595" s="241"/>
      <c r="AF595" s="225">
        <f t="shared" ca="1" si="297"/>
        <v>46236</v>
      </c>
      <c r="AG595" s="225" t="b">
        <f t="shared" si="289"/>
        <v>1</v>
      </c>
      <c r="AH595" s="242"/>
      <c r="AS595" s="223">
        <f t="shared" si="295"/>
        <v>0</v>
      </c>
      <c r="AT595" s="223">
        <f t="shared" si="296"/>
        <v>0</v>
      </c>
    </row>
    <row r="596" spans="2:46" ht="15.75" x14ac:dyDescent="0.25">
      <c r="B596" s="229"/>
      <c r="C596" s="235"/>
      <c r="D596" s="243"/>
      <c r="E596" s="232"/>
      <c r="F596" s="233"/>
      <c r="G596" s="234"/>
      <c r="H596" s="235"/>
      <c r="I596" s="235"/>
      <c r="J596" s="236"/>
      <c r="K596" s="237">
        <f ca="1">ROUND(IF(ISERROR(OFFSET(Tabella!$A$1,MATCH(H596,Tabella!$A:$A,0)-1,MATCH(J596,Tabella!$A$1:$AC$1,0)-1)=TRUE),0,+OFFSET(Tabella!$A$1,MATCH(H596,Tabella!$A:$A,0)-1,MATCH(J596,Tabella!$A$1:$AC$1,0)-1)),4)</f>
        <v>0</v>
      </c>
      <c r="L596" s="238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238">
        <f ca="1">ROUND(IF(ISERROR(OFFSET(Rame!$A$1,MATCH(H596,Rame!$A:$A,0)-1,MATCH(J596,Rame!$A$1:$AA$1,0)-1)=TRUE),0,OFFSET(Rame!$A$1,MATCH(H596,Rame!$A:$A,0)-1,MATCH(J596,Rame!$A$1:$AA$1,0)-1))*IF(E596="Rame",1,0),4)</f>
        <v>0</v>
      </c>
      <c r="N596" s="238">
        <v>0</v>
      </c>
      <c r="O596" s="238">
        <f t="shared" ca="1" si="294"/>
        <v>0</v>
      </c>
      <c r="P596" s="238">
        <f ca="1">ROUND(+IF(ISERROR(OFFSET(Tabella!$G$1,MATCH(H596,Tabella!$G:$G,0)-1,MATCH(I596,Tabella!$G$1:$FG$1,0)-1)=TRUE),0,OFFSET(Tabella!$G$1,MATCH(H596,Tabella!$G:$G,0)-1,MATCH(I596,Tabella!$G$1:$AB$1,0)-1)),4)</f>
        <v>0</v>
      </c>
      <c r="Q596" s="238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238">
        <f ca="1">ROUND(IF(ISERROR(OFFSET(Rame!$F$1,MATCH(H596,Rame!$F:$F,0)-1,MATCH(I596,Rame!$F$1:$FF$1,0)-1)=TRUE),0,OFFSET(Rame!$F$1,MATCH(H596,Rame!$F:$F,0)-1,MATCH(I596,Rame!$F$1:$FF$1,0)-1))*IF(E596="Rame",1,0),4)</f>
        <v>0</v>
      </c>
      <c r="S596" s="238">
        <f ca="1">ROUND(IF(ISERROR(OFFSET(Bronzo!$A$1,MATCH(H596,Bronzo!$A:$A,0)-1,MATCH(I596,Bronzo!$A$1:$AA$1,0)-1)=TRUE),0,OFFSET(Bronzo!$A$1,MATCH(H596,Bronzo!$A:$A,0)-1,MATCH(I596,Bronzo!$A$1:$AA$1,0)-1)),4)</f>
        <v>0</v>
      </c>
      <c r="T596" s="238">
        <f t="shared" ca="1" si="291"/>
        <v>0</v>
      </c>
      <c r="U596" s="237"/>
      <c r="V596" s="238">
        <v>0</v>
      </c>
      <c r="W596" s="239">
        <f t="shared" ca="1" si="292"/>
        <v>0</v>
      </c>
      <c r="X596" s="240">
        <f t="shared" si="288"/>
        <v>0</v>
      </c>
      <c r="Y596" s="236"/>
      <c r="Z596" s="236">
        <f t="shared" ca="1" si="293"/>
        <v>0</v>
      </c>
      <c r="AA596" s="241"/>
      <c r="AF596" s="225">
        <f t="shared" ca="1" si="297"/>
        <v>46236</v>
      </c>
      <c r="AG596" s="225" t="b">
        <f t="shared" si="289"/>
        <v>1</v>
      </c>
      <c r="AH596" s="242"/>
      <c r="AS596" s="223">
        <f t="shared" si="295"/>
        <v>0</v>
      </c>
      <c r="AT596" s="223">
        <f t="shared" si="296"/>
        <v>0</v>
      </c>
    </row>
    <row r="597" spans="2:46" ht="15.75" x14ac:dyDescent="0.25">
      <c r="B597" s="229"/>
      <c r="C597" s="235"/>
      <c r="D597" s="243"/>
      <c r="E597" s="232"/>
      <c r="F597" s="233"/>
      <c r="G597" s="234"/>
      <c r="H597" s="235"/>
      <c r="I597" s="235"/>
      <c r="J597" s="236"/>
      <c r="K597" s="237">
        <f ca="1">ROUND(IF(ISERROR(OFFSET(Tabella!$A$1,MATCH(H597,Tabella!$A:$A,0)-1,MATCH(J597,Tabella!$A$1:$AC$1,0)-1)=TRUE),0,+OFFSET(Tabella!$A$1,MATCH(H597,Tabella!$A:$A,0)-1,MATCH(J597,Tabella!$A$1:$AC$1,0)-1)),4)</f>
        <v>0</v>
      </c>
      <c r="L597" s="238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238">
        <f ca="1">ROUND(IF(ISERROR(OFFSET(Rame!$A$1,MATCH(H597,Rame!$A:$A,0)-1,MATCH(J597,Rame!$A$1:$AA$1,0)-1)=TRUE),0,OFFSET(Rame!$A$1,MATCH(H597,Rame!$A:$A,0)-1,MATCH(J597,Rame!$A$1:$AA$1,0)-1))*IF(E597="Rame",1,0),4)</f>
        <v>0</v>
      </c>
      <c r="N597" s="238">
        <v>0</v>
      </c>
      <c r="O597" s="238">
        <f t="shared" ca="1" si="294"/>
        <v>0</v>
      </c>
      <c r="P597" s="238">
        <f ca="1">ROUND(+IF(ISERROR(OFFSET(Tabella!$G$1,MATCH(H597,Tabella!$G:$G,0)-1,MATCH(I597,Tabella!$G$1:$FG$1,0)-1)=TRUE),0,OFFSET(Tabella!$G$1,MATCH(H597,Tabella!$G:$G,0)-1,MATCH(I597,Tabella!$G$1:$AB$1,0)-1)),4)</f>
        <v>0</v>
      </c>
      <c r="Q597" s="238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238">
        <f ca="1">ROUND(IF(ISERROR(OFFSET(Rame!$F$1,MATCH(H597,Rame!$F:$F,0)-1,MATCH(I597,Rame!$F$1:$FF$1,0)-1)=TRUE),0,OFFSET(Rame!$F$1,MATCH(H597,Rame!$F:$F,0)-1,MATCH(I597,Rame!$F$1:$FF$1,0)-1))*IF(E597="Rame",1,0),4)</f>
        <v>0</v>
      </c>
      <c r="S597" s="238">
        <f ca="1">ROUND(IF(ISERROR(OFFSET(Bronzo!$A$1,MATCH(H597,Bronzo!$A:$A,0)-1,MATCH(I597,Bronzo!$A$1:$AA$1,0)-1)=TRUE),0,OFFSET(Bronzo!$A$1,MATCH(H597,Bronzo!$A:$A,0)-1,MATCH(I597,Bronzo!$A$1:$AA$1,0)-1)),4)</f>
        <v>0</v>
      </c>
      <c r="T597" s="238">
        <f t="shared" ca="1" si="291"/>
        <v>0</v>
      </c>
      <c r="U597" s="237"/>
      <c r="V597" s="238">
        <v>0</v>
      </c>
      <c r="W597" s="239">
        <f t="shared" ca="1" si="292"/>
        <v>0</v>
      </c>
      <c r="X597" s="240">
        <f t="shared" si="288"/>
        <v>0</v>
      </c>
      <c r="Y597" s="236"/>
      <c r="Z597" s="236">
        <f t="shared" ca="1" si="293"/>
        <v>0</v>
      </c>
      <c r="AA597" s="241"/>
      <c r="AF597" s="225">
        <f t="shared" ca="1" si="297"/>
        <v>46236</v>
      </c>
      <c r="AG597" s="225" t="b">
        <f t="shared" si="289"/>
        <v>1</v>
      </c>
      <c r="AH597" s="242"/>
      <c r="AS597" s="223">
        <f t="shared" si="295"/>
        <v>0</v>
      </c>
      <c r="AT597" s="223">
        <f t="shared" si="296"/>
        <v>0</v>
      </c>
    </row>
    <row r="598" spans="2:46" ht="15.75" x14ac:dyDescent="0.25">
      <c r="B598" s="229"/>
      <c r="C598" s="235"/>
      <c r="D598" s="243"/>
      <c r="E598" s="232"/>
      <c r="F598" s="233"/>
      <c r="G598" s="234"/>
      <c r="H598" s="235"/>
      <c r="I598" s="235"/>
      <c r="J598" s="236"/>
      <c r="K598" s="237">
        <f ca="1">ROUND(IF(ISERROR(OFFSET(Tabella!$A$1,MATCH(H598,Tabella!$A:$A,0)-1,MATCH(J598,Tabella!$A$1:$AC$1,0)-1)=TRUE),0,+OFFSET(Tabella!$A$1,MATCH(H598,Tabella!$A:$A,0)-1,MATCH(J598,Tabella!$A$1:$AC$1,0)-1)),4)</f>
        <v>0</v>
      </c>
      <c r="L598" s="238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238">
        <f ca="1">ROUND(IF(ISERROR(OFFSET(Rame!$A$1,MATCH(H598,Rame!$A:$A,0)-1,MATCH(J598,Rame!$A$1:$AA$1,0)-1)=TRUE),0,OFFSET(Rame!$A$1,MATCH(H598,Rame!$A:$A,0)-1,MATCH(J598,Rame!$A$1:$AA$1,0)-1))*IF(E598="Rame",1,0),4)</f>
        <v>0</v>
      </c>
      <c r="N598" s="238">
        <v>0</v>
      </c>
      <c r="O598" s="238">
        <f t="shared" ca="1" si="294"/>
        <v>0</v>
      </c>
      <c r="P598" s="238">
        <f ca="1">ROUND(+IF(ISERROR(OFFSET(Tabella!$G$1,MATCH(H598,Tabella!$G:$G,0)-1,MATCH(I598,Tabella!$G$1:$FG$1,0)-1)=TRUE),0,OFFSET(Tabella!$G$1,MATCH(H598,Tabella!$G:$G,0)-1,MATCH(I598,Tabella!$G$1:$AB$1,0)-1)),4)</f>
        <v>0</v>
      </c>
      <c r="Q598" s="238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238">
        <f ca="1">ROUND(IF(ISERROR(OFFSET(Rame!$F$1,MATCH(H598,Rame!$F:$F,0)-1,MATCH(I598,Rame!$F$1:$FF$1,0)-1)=TRUE),0,OFFSET(Rame!$F$1,MATCH(H598,Rame!$F:$F,0)-1,MATCH(I598,Rame!$F$1:$FF$1,0)-1))*IF(E598="Rame",1,0),4)</f>
        <v>0</v>
      </c>
      <c r="S598" s="238">
        <f ca="1">ROUND(IF(ISERROR(OFFSET(Bronzo!$A$1,MATCH(H598,Bronzo!$A:$A,0)-1,MATCH(I598,Bronzo!$A$1:$AA$1,0)-1)=TRUE),0,OFFSET(Bronzo!$A$1,MATCH(H598,Bronzo!$A:$A,0)-1,MATCH(I598,Bronzo!$A$1:$AA$1,0)-1)),4)</f>
        <v>0</v>
      </c>
      <c r="T598" s="238">
        <f t="shared" ca="1" si="291"/>
        <v>0</v>
      </c>
      <c r="U598" s="237"/>
      <c r="V598" s="238">
        <v>0</v>
      </c>
      <c r="W598" s="239">
        <f t="shared" ca="1" si="292"/>
        <v>0</v>
      </c>
      <c r="X598" s="240">
        <f t="shared" si="288"/>
        <v>0</v>
      </c>
      <c r="Y598" s="236"/>
      <c r="Z598" s="236">
        <f t="shared" ca="1" si="293"/>
        <v>0</v>
      </c>
      <c r="AA598" s="241"/>
      <c r="AF598" s="225">
        <f t="shared" ca="1" si="297"/>
        <v>46236</v>
      </c>
      <c r="AG598" s="225" t="b">
        <f t="shared" si="289"/>
        <v>1</v>
      </c>
      <c r="AH598" s="242"/>
      <c r="AS598" s="223">
        <f t="shared" si="295"/>
        <v>0</v>
      </c>
      <c r="AT598" s="223">
        <f t="shared" si="296"/>
        <v>0</v>
      </c>
    </row>
    <row r="599" spans="2:46" ht="15.75" x14ac:dyDescent="0.25">
      <c r="B599" s="229"/>
      <c r="C599" s="235"/>
      <c r="D599" s="243"/>
      <c r="E599" s="232"/>
      <c r="F599" s="233"/>
      <c r="G599" s="234"/>
      <c r="H599" s="235"/>
      <c r="I599" s="235"/>
      <c r="J599" s="236"/>
      <c r="K599" s="237">
        <f ca="1">ROUND(IF(ISERROR(OFFSET(Tabella!$A$1,MATCH(H599,Tabella!$A:$A,0)-1,MATCH(J599,Tabella!$A$1:$AC$1,0)-1)=TRUE),0,+OFFSET(Tabella!$A$1,MATCH(H599,Tabella!$A:$A,0)-1,MATCH(J599,Tabella!$A$1:$AC$1,0)-1)),4)</f>
        <v>0</v>
      </c>
      <c r="L599" s="238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238">
        <f ca="1">ROUND(IF(ISERROR(OFFSET(Rame!$A$1,MATCH(H599,Rame!$A:$A,0)-1,MATCH(J599,Rame!$A$1:$AA$1,0)-1)=TRUE),0,OFFSET(Rame!$A$1,MATCH(H599,Rame!$A:$A,0)-1,MATCH(J599,Rame!$A$1:$AA$1,0)-1))*IF(E599="Rame",1,0),4)</f>
        <v>0</v>
      </c>
      <c r="N599" s="238">
        <v>0</v>
      </c>
      <c r="O599" s="238">
        <f t="shared" ca="1" si="294"/>
        <v>0</v>
      </c>
      <c r="P599" s="238">
        <f ca="1">ROUND(+IF(ISERROR(OFFSET(Tabella!$G$1,MATCH(H599,Tabella!$G:$G,0)-1,MATCH(I599,Tabella!$G$1:$FG$1,0)-1)=TRUE),0,OFFSET(Tabella!$G$1,MATCH(H599,Tabella!$G:$G,0)-1,MATCH(I599,Tabella!$G$1:$AB$1,0)-1)),4)</f>
        <v>0</v>
      </c>
      <c r="Q599" s="238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238">
        <f ca="1">ROUND(IF(ISERROR(OFFSET(Rame!$F$1,MATCH(H599,Rame!$F:$F,0)-1,MATCH(I599,Rame!$F$1:$FF$1,0)-1)=TRUE),0,OFFSET(Rame!$F$1,MATCH(H599,Rame!$F:$F,0)-1,MATCH(I599,Rame!$F$1:$FF$1,0)-1))*IF(E599="Rame",1,0),4)</f>
        <v>0</v>
      </c>
      <c r="S599" s="238">
        <f ca="1">ROUND(IF(ISERROR(OFFSET(Bronzo!$A$1,MATCH(H599,Bronzo!$A:$A,0)-1,MATCH(I599,Bronzo!$A$1:$AA$1,0)-1)=TRUE),0,OFFSET(Bronzo!$A$1,MATCH(H599,Bronzo!$A:$A,0)-1,MATCH(I599,Bronzo!$A$1:$AA$1,0)-1)),4)</f>
        <v>0</v>
      </c>
      <c r="T599" s="238">
        <f t="shared" ca="1" si="291"/>
        <v>0</v>
      </c>
      <c r="U599" s="237"/>
      <c r="V599" s="238">
        <v>0</v>
      </c>
      <c r="W599" s="239">
        <f t="shared" ca="1" si="292"/>
        <v>0</v>
      </c>
      <c r="X599" s="240">
        <f t="shared" si="288"/>
        <v>0</v>
      </c>
      <c r="Y599" s="236"/>
      <c r="Z599" s="236">
        <f t="shared" ca="1" si="293"/>
        <v>0</v>
      </c>
      <c r="AA599" s="241"/>
      <c r="AF599" s="225">
        <f t="shared" ca="1" si="297"/>
        <v>46236</v>
      </c>
      <c r="AG599" s="225" t="b">
        <f t="shared" si="289"/>
        <v>1</v>
      </c>
      <c r="AH599" s="242"/>
      <c r="AS599" s="223">
        <f t="shared" si="295"/>
        <v>0</v>
      </c>
      <c r="AT599" s="223">
        <f t="shared" si="296"/>
        <v>0</v>
      </c>
    </row>
    <row r="600" spans="2:46" ht="15.75" x14ac:dyDescent="0.25">
      <c r="B600" s="229"/>
      <c r="C600" s="235"/>
      <c r="D600" s="243"/>
      <c r="E600" s="232"/>
      <c r="F600" s="233"/>
      <c r="G600" s="234"/>
      <c r="H600" s="235"/>
      <c r="I600" s="235"/>
      <c r="J600" s="236"/>
      <c r="K600" s="237">
        <f ca="1">ROUND(IF(ISERROR(OFFSET(Tabella!$A$1,MATCH(H600,Tabella!$A:$A,0)-1,MATCH(J600,Tabella!$A$1:$AC$1,0)-1)=TRUE),0,+OFFSET(Tabella!$A$1,MATCH(H600,Tabella!$A:$A,0)-1,MATCH(J600,Tabella!$A$1:$AC$1,0)-1)),4)</f>
        <v>0</v>
      </c>
      <c r="L600" s="238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238">
        <f ca="1">ROUND(IF(ISERROR(OFFSET(Rame!$A$1,MATCH(H600,Rame!$A:$A,0)-1,MATCH(J600,Rame!$A$1:$AA$1,0)-1)=TRUE),0,OFFSET(Rame!$A$1,MATCH(H600,Rame!$A:$A,0)-1,MATCH(J600,Rame!$A$1:$AA$1,0)-1))*IF(E600="Rame",1,0),4)</f>
        <v>0</v>
      </c>
      <c r="N600" s="238">
        <v>0</v>
      </c>
      <c r="O600" s="238">
        <f t="shared" ca="1" si="294"/>
        <v>0</v>
      </c>
      <c r="P600" s="238">
        <f ca="1">ROUND(+IF(ISERROR(OFFSET(Tabella!$G$1,MATCH(H600,Tabella!$G:$G,0)-1,MATCH(I600,Tabella!$G$1:$FG$1,0)-1)=TRUE),0,OFFSET(Tabella!$G$1,MATCH(H600,Tabella!$G:$G,0)-1,MATCH(I600,Tabella!$G$1:$AB$1,0)-1)),4)</f>
        <v>0</v>
      </c>
      <c r="Q600" s="238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238">
        <f ca="1">ROUND(IF(ISERROR(OFFSET(Rame!$F$1,MATCH(H600,Rame!$F:$F,0)-1,MATCH(I600,Rame!$F$1:$FF$1,0)-1)=TRUE),0,OFFSET(Rame!$F$1,MATCH(H600,Rame!$F:$F,0)-1,MATCH(I600,Rame!$F$1:$FF$1,0)-1))*IF(E600="Rame",1,0),4)</f>
        <v>0</v>
      </c>
      <c r="S600" s="238">
        <f ca="1">ROUND(IF(ISERROR(OFFSET(Bronzo!$A$1,MATCH(H600,Bronzo!$A:$A,0)-1,MATCH(I600,Bronzo!$A$1:$AA$1,0)-1)=TRUE),0,OFFSET(Bronzo!$A$1,MATCH(H600,Bronzo!$A:$A,0)-1,MATCH(I600,Bronzo!$A$1:$AA$1,0)-1)),4)</f>
        <v>0</v>
      </c>
      <c r="T600" s="238">
        <f t="shared" ca="1" si="291"/>
        <v>0</v>
      </c>
      <c r="U600" s="237"/>
      <c r="V600" s="238">
        <v>0</v>
      </c>
      <c r="W600" s="239">
        <f t="shared" ca="1" si="292"/>
        <v>0</v>
      </c>
      <c r="X600" s="240">
        <f t="shared" si="288"/>
        <v>0</v>
      </c>
      <c r="Y600" s="236"/>
      <c r="Z600" s="236">
        <f t="shared" ca="1" si="293"/>
        <v>0</v>
      </c>
      <c r="AA600" s="241"/>
      <c r="AF600" s="225">
        <f t="shared" ca="1" si="297"/>
        <v>46236</v>
      </c>
      <c r="AG600" s="225" t="b">
        <f t="shared" si="289"/>
        <v>1</v>
      </c>
      <c r="AH600" s="242"/>
      <c r="AS600" s="223">
        <f t="shared" si="295"/>
        <v>0</v>
      </c>
      <c r="AT600" s="223">
        <f t="shared" si="296"/>
        <v>0</v>
      </c>
    </row>
    <row r="601" spans="2:46" ht="15.75" x14ac:dyDescent="0.25">
      <c r="B601" s="229"/>
      <c r="C601" s="235"/>
      <c r="D601" s="243"/>
      <c r="E601" s="232"/>
      <c r="F601" s="233"/>
      <c r="G601" s="234"/>
      <c r="H601" s="235"/>
      <c r="I601" s="235"/>
      <c r="J601" s="236"/>
      <c r="K601" s="237">
        <f ca="1">ROUND(IF(ISERROR(OFFSET(Tabella!$A$1,MATCH(H601,Tabella!$A:$A,0)-1,MATCH(J601,Tabella!$A$1:$AC$1,0)-1)=TRUE),0,+OFFSET(Tabella!$A$1,MATCH(H601,Tabella!$A:$A,0)-1,MATCH(J601,Tabella!$A$1:$AC$1,0)-1)),4)</f>
        <v>0</v>
      </c>
      <c r="L601" s="238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238">
        <f ca="1">ROUND(IF(ISERROR(OFFSET(Rame!$A$1,MATCH(H601,Rame!$A:$A,0)-1,MATCH(J601,Rame!$A$1:$AA$1,0)-1)=TRUE),0,OFFSET(Rame!$A$1,MATCH(H601,Rame!$A:$A,0)-1,MATCH(J601,Rame!$A$1:$AA$1,0)-1))*IF(E601="Rame",1,0),4)</f>
        <v>0</v>
      </c>
      <c r="N601" s="238">
        <v>0</v>
      </c>
      <c r="O601" s="238">
        <f t="shared" ca="1" si="294"/>
        <v>0</v>
      </c>
      <c r="P601" s="238">
        <f ca="1">ROUND(+IF(ISERROR(OFFSET(Tabella!$G$1,MATCH(H601,Tabella!$G:$G,0)-1,MATCH(I601,Tabella!$G$1:$FG$1,0)-1)=TRUE),0,OFFSET(Tabella!$G$1,MATCH(H601,Tabella!$G:$G,0)-1,MATCH(I601,Tabella!$G$1:$AB$1,0)-1)),4)</f>
        <v>0</v>
      </c>
      <c r="Q601" s="238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238">
        <f ca="1">ROUND(IF(ISERROR(OFFSET(Rame!$F$1,MATCH(H601,Rame!$F:$F,0)-1,MATCH(I601,Rame!$F$1:$FF$1,0)-1)=TRUE),0,OFFSET(Rame!$F$1,MATCH(H601,Rame!$F:$F,0)-1,MATCH(I601,Rame!$F$1:$FF$1,0)-1))*IF(E601="Rame",1,0),4)</f>
        <v>0</v>
      </c>
      <c r="S601" s="238">
        <f ca="1">ROUND(IF(ISERROR(OFFSET(Bronzo!$A$1,MATCH(H601,Bronzo!$A:$A,0)-1,MATCH(I601,Bronzo!$A$1:$AA$1,0)-1)=TRUE),0,OFFSET(Bronzo!$A$1,MATCH(H601,Bronzo!$A:$A,0)-1,MATCH(I601,Bronzo!$A$1:$AA$1,0)-1)),4)</f>
        <v>0</v>
      </c>
      <c r="T601" s="238">
        <f t="shared" ca="1" si="291"/>
        <v>0</v>
      </c>
      <c r="U601" s="237"/>
      <c r="V601" s="238">
        <v>0</v>
      </c>
      <c r="W601" s="239">
        <f t="shared" ca="1" si="292"/>
        <v>0</v>
      </c>
      <c r="X601" s="240">
        <f t="shared" si="288"/>
        <v>0</v>
      </c>
      <c r="Y601" s="236"/>
      <c r="Z601" s="236">
        <f t="shared" ca="1" si="293"/>
        <v>0</v>
      </c>
      <c r="AA601" s="241"/>
      <c r="AF601" s="225">
        <f t="shared" ca="1" si="297"/>
        <v>46236</v>
      </c>
      <c r="AG601" s="225" t="b">
        <f t="shared" si="289"/>
        <v>1</v>
      </c>
      <c r="AH601" s="242"/>
      <c r="AS601" s="223">
        <f t="shared" si="295"/>
        <v>0</v>
      </c>
      <c r="AT601" s="223">
        <f t="shared" si="296"/>
        <v>0</v>
      </c>
    </row>
    <row r="602" spans="2:46" ht="15.75" x14ac:dyDescent="0.25">
      <c r="B602" s="229"/>
      <c r="C602" s="235"/>
      <c r="D602" s="243"/>
      <c r="E602" s="232"/>
      <c r="F602" s="233"/>
      <c r="G602" s="234"/>
      <c r="H602" s="235"/>
      <c r="I602" s="235"/>
      <c r="J602" s="236"/>
      <c r="K602" s="237">
        <f ca="1">ROUND(IF(ISERROR(OFFSET(Tabella!$A$1,MATCH(H602,Tabella!$A:$A,0)-1,MATCH(J602,Tabella!$A$1:$AC$1,0)-1)=TRUE),0,+OFFSET(Tabella!$A$1,MATCH(H602,Tabella!$A:$A,0)-1,MATCH(J602,Tabella!$A$1:$AC$1,0)-1)),4)</f>
        <v>0</v>
      </c>
      <c r="L602" s="238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238">
        <f ca="1">ROUND(IF(ISERROR(OFFSET(Rame!$A$1,MATCH(H602,Rame!$A:$A,0)-1,MATCH(J602,Rame!$A$1:$AA$1,0)-1)=TRUE),0,OFFSET(Rame!$A$1,MATCH(H602,Rame!$A:$A,0)-1,MATCH(J602,Rame!$A$1:$AA$1,0)-1))*IF(E602="Rame",1,0),4)</f>
        <v>0</v>
      </c>
      <c r="N602" s="238">
        <v>0</v>
      </c>
      <c r="O602" s="238">
        <f t="shared" ca="1" si="294"/>
        <v>0</v>
      </c>
      <c r="P602" s="238">
        <f ca="1">ROUND(+IF(ISERROR(OFFSET(Tabella!$G$1,MATCH(H602,Tabella!$G:$G,0)-1,MATCH(I602,Tabella!$G$1:$FG$1,0)-1)=TRUE),0,OFFSET(Tabella!$G$1,MATCH(H602,Tabella!$G:$G,0)-1,MATCH(I602,Tabella!$G$1:$AB$1,0)-1)),4)</f>
        <v>0</v>
      </c>
      <c r="Q602" s="238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238">
        <f ca="1">ROUND(IF(ISERROR(OFFSET(Rame!$F$1,MATCH(H602,Rame!$F:$F,0)-1,MATCH(I602,Rame!$F$1:$FF$1,0)-1)=TRUE),0,OFFSET(Rame!$F$1,MATCH(H602,Rame!$F:$F,0)-1,MATCH(I602,Rame!$F$1:$FF$1,0)-1))*IF(E602="Rame",1,0),4)</f>
        <v>0</v>
      </c>
      <c r="S602" s="238">
        <f ca="1">ROUND(IF(ISERROR(OFFSET(Bronzo!$A$1,MATCH(H602,Bronzo!$A:$A,0)-1,MATCH(I602,Bronzo!$A$1:$AA$1,0)-1)=TRUE),0,OFFSET(Bronzo!$A$1,MATCH(H602,Bronzo!$A:$A,0)-1,MATCH(I602,Bronzo!$A$1:$AA$1,0)-1)),4)</f>
        <v>0</v>
      </c>
      <c r="T602" s="238">
        <f t="shared" ca="1" si="291"/>
        <v>0</v>
      </c>
      <c r="U602" s="237"/>
      <c r="V602" s="238">
        <v>0</v>
      </c>
      <c r="W602" s="239">
        <f t="shared" ca="1" si="292"/>
        <v>0</v>
      </c>
      <c r="X602" s="240">
        <f t="shared" si="288"/>
        <v>0</v>
      </c>
      <c r="Y602" s="236"/>
      <c r="Z602" s="236">
        <f t="shared" ca="1" si="293"/>
        <v>0</v>
      </c>
      <c r="AA602" s="241"/>
      <c r="AF602" s="225">
        <f t="shared" ca="1" si="297"/>
        <v>46236</v>
      </c>
      <c r="AG602" s="225" t="b">
        <f t="shared" si="289"/>
        <v>1</v>
      </c>
      <c r="AH602" s="242"/>
      <c r="AS602" s="223">
        <f t="shared" si="295"/>
        <v>0</v>
      </c>
      <c r="AT602" s="223">
        <f t="shared" si="296"/>
        <v>0</v>
      </c>
    </row>
    <row r="603" spans="2:46" ht="15.75" x14ac:dyDescent="0.25">
      <c r="B603" s="229"/>
      <c r="C603" s="235"/>
      <c r="D603" s="243"/>
      <c r="E603" s="232"/>
      <c r="F603" s="233"/>
      <c r="G603" s="234"/>
      <c r="H603" s="235"/>
      <c r="I603" s="235"/>
      <c r="J603" s="236"/>
      <c r="K603" s="237">
        <f ca="1">ROUND(IF(ISERROR(OFFSET(Tabella!$A$1,MATCH(H603,Tabella!$A:$A,0)-1,MATCH(J603,Tabella!$A$1:$AC$1,0)-1)=TRUE),0,+OFFSET(Tabella!$A$1,MATCH(H603,Tabella!$A:$A,0)-1,MATCH(J603,Tabella!$A$1:$AC$1,0)-1)),4)</f>
        <v>0</v>
      </c>
      <c r="L603" s="238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238">
        <f ca="1">ROUND(IF(ISERROR(OFFSET(Rame!$A$1,MATCH(H603,Rame!$A:$A,0)-1,MATCH(J603,Rame!$A$1:$AA$1,0)-1)=TRUE),0,OFFSET(Rame!$A$1,MATCH(H603,Rame!$A:$A,0)-1,MATCH(J603,Rame!$A$1:$AA$1,0)-1))*IF(E603="Rame",1,0),4)</f>
        <v>0</v>
      </c>
      <c r="N603" s="238">
        <v>0</v>
      </c>
      <c r="O603" s="238">
        <f t="shared" ca="1" si="294"/>
        <v>0</v>
      </c>
      <c r="P603" s="238">
        <f ca="1">ROUND(+IF(ISERROR(OFFSET(Tabella!$G$1,MATCH(H603,Tabella!$G:$G,0)-1,MATCH(I603,Tabella!$G$1:$FG$1,0)-1)=TRUE),0,OFFSET(Tabella!$G$1,MATCH(H603,Tabella!$G:$G,0)-1,MATCH(I603,Tabella!$G$1:$AB$1,0)-1)),4)</f>
        <v>0</v>
      </c>
      <c r="Q603" s="238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238">
        <f ca="1">ROUND(IF(ISERROR(OFFSET(Rame!$F$1,MATCH(H603,Rame!$F:$F,0)-1,MATCH(I603,Rame!$F$1:$FF$1,0)-1)=TRUE),0,OFFSET(Rame!$F$1,MATCH(H603,Rame!$F:$F,0)-1,MATCH(I603,Rame!$F$1:$FF$1,0)-1))*IF(E603="Rame",1,0),4)</f>
        <v>0</v>
      </c>
      <c r="S603" s="238">
        <f ca="1">ROUND(IF(ISERROR(OFFSET(Bronzo!$A$1,MATCH(H603,Bronzo!$A:$A,0)-1,MATCH(I603,Bronzo!$A$1:$AA$1,0)-1)=TRUE),0,OFFSET(Bronzo!$A$1,MATCH(H603,Bronzo!$A:$A,0)-1,MATCH(I603,Bronzo!$A$1:$AA$1,0)-1)),4)</f>
        <v>0</v>
      </c>
      <c r="T603" s="238">
        <f t="shared" ca="1" si="291"/>
        <v>0</v>
      </c>
      <c r="U603" s="237"/>
      <c r="V603" s="238">
        <v>0</v>
      </c>
      <c r="W603" s="239">
        <f t="shared" ca="1" si="292"/>
        <v>0</v>
      </c>
      <c r="X603" s="240">
        <f t="shared" si="288"/>
        <v>0</v>
      </c>
      <c r="Y603" s="236"/>
      <c r="Z603" s="236">
        <f t="shared" ca="1" si="293"/>
        <v>0</v>
      </c>
      <c r="AA603" s="241"/>
      <c r="AF603" s="225">
        <f t="shared" ca="1" si="297"/>
        <v>46236</v>
      </c>
      <c r="AG603" s="225" t="b">
        <f t="shared" si="289"/>
        <v>1</v>
      </c>
      <c r="AH603" s="242"/>
      <c r="AS603" s="223">
        <f t="shared" si="295"/>
        <v>0</v>
      </c>
      <c r="AT603" s="223">
        <f t="shared" si="296"/>
        <v>0</v>
      </c>
    </row>
    <row r="604" spans="2:46" ht="15.75" x14ac:dyDescent="0.25">
      <c r="B604" s="229"/>
      <c r="C604" s="235"/>
      <c r="D604" s="243"/>
      <c r="E604" s="232"/>
      <c r="F604" s="233"/>
      <c r="G604" s="234"/>
      <c r="H604" s="235"/>
      <c r="I604" s="235"/>
      <c r="J604" s="236"/>
      <c r="K604" s="237">
        <f ca="1">ROUND(IF(ISERROR(OFFSET(Tabella!$A$1,MATCH(H604,Tabella!$A:$A,0)-1,MATCH(J604,Tabella!$A$1:$AC$1,0)-1)=TRUE),0,+OFFSET(Tabella!$A$1,MATCH(H604,Tabella!$A:$A,0)-1,MATCH(J604,Tabella!$A$1:$AC$1,0)-1)),4)</f>
        <v>0</v>
      </c>
      <c r="L604" s="238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238">
        <f ca="1">ROUND(IF(ISERROR(OFFSET(Rame!$A$1,MATCH(H604,Rame!$A:$A,0)-1,MATCH(J604,Rame!$A$1:$AA$1,0)-1)=TRUE),0,OFFSET(Rame!$A$1,MATCH(H604,Rame!$A:$A,0)-1,MATCH(J604,Rame!$A$1:$AA$1,0)-1))*IF(E604="Rame",1,0),4)</f>
        <v>0</v>
      </c>
      <c r="N604" s="238">
        <v>0</v>
      </c>
      <c r="O604" s="238">
        <f t="shared" ca="1" si="294"/>
        <v>0</v>
      </c>
      <c r="P604" s="238">
        <f ca="1">ROUND(+IF(ISERROR(OFFSET(Tabella!$G$1,MATCH(H604,Tabella!$G:$G,0)-1,MATCH(I604,Tabella!$G$1:$FG$1,0)-1)=TRUE),0,OFFSET(Tabella!$G$1,MATCH(H604,Tabella!$G:$G,0)-1,MATCH(I604,Tabella!$G$1:$AB$1,0)-1)),4)</f>
        <v>0</v>
      </c>
      <c r="Q604" s="238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238">
        <f ca="1">ROUND(IF(ISERROR(OFFSET(Rame!$F$1,MATCH(H604,Rame!$F:$F,0)-1,MATCH(I604,Rame!$F$1:$FF$1,0)-1)=TRUE),0,OFFSET(Rame!$F$1,MATCH(H604,Rame!$F:$F,0)-1,MATCH(I604,Rame!$F$1:$FF$1,0)-1))*IF(E604="Rame",1,0),4)</f>
        <v>0</v>
      </c>
      <c r="S604" s="238">
        <f ca="1">ROUND(IF(ISERROR(OFFSET(Bronzo!$A$1,MATCH(H604,Bronzo!$A:$A,0)-1,MATCH(I604,Bronzo!$A$1:$AA$1,0)-1)=TRUE),0,OFFSET(Bronzo!$A$1,MATCH(H604,Bronzo!$A:$A,0)-1,MATCH(I604,Bronzo!$A$1:$AA$1,0)-1)),4)</f>
        <v>0</v>
      </c>
      <c r="T604" s="238">
        <f t="shared" ca="1" si="291"/>
        <v>0</v>
      </c>
      <c r="U604" s="237"/>
      <c r="V604" s="238">
        <v>0</v>
      </c>
      <c r="W604" s="239">
        <f t="shared" ca="1" si="292"/>
        <v>0</v>
      </c>
      <c r="X604" s="240">
        <f t="shared" ref="X604:X667" si="298">ROUND(+J604*D604,4)</f>
        <v>0</v>
      </c>
      <c r="Y604" s="236"/>
      <c r="Z604" s="236">
        <f t="shared" ca="1" si="293"/>
        <v>0</v>
      </c>
      <c r="AA604" s="241"/>
      <c r="AF604" s="225">
        <f t="shared" ca="1" si="297"/>
        <v>46236</v>
      </c>
      <c r="AG604" s="225" t="b">
        <f t="shared" si="289"/>
        <v>1</v>
      </c>
      <c r="AH604" s="242"/>
      <c r="AS604" s="223">
        <f t="shared" si="295"/>
        <v>0</v>
      </c>
      <c r="AT604" s="223">
        <f t="shared" si="296"/>
        <v>0</v>
      </c>
    </row>
    <row r="605" spans="2:46" ht="15.75" x14ac:dyDescent="0.25">
      <c r="B605" s="229"/>
      <c r="C605" s="235"/>
      <c r="D605" s="243"/>
      <c r="E605" s="232"/>
      <c r="F605" s="233"/>
      <c r="G605" s="234"/>
      <c r="H605" s="235"/>
      <c r="I605" s="235"/>
      <c r="J605" s="236"/>
      <c r="K605" s="237">
        <f ca="1">ROUND(IF(ISERROR(OFFSET(Tabella!$A$1,MATCH(H605,Tabella!$A:$A,0)-1,MATCH(J605,Tabella!$A$1:$AC$1,0)-1)=TRUE),0,+OFFSET(Tabella!$A$1,MATCH(H605,Tabella!$A:$A,0)-1,MATCH(J605,Tabella!$A$1:$AC$1,0)-1)),4)</f>
        <v>0</v>
      </c>
      <c r="L605" s="238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238">
        <f ca="1">ROUND(IF(ISERROR(OFFSET(Rame!$A$1,MATCH(H605,Rame!$A:$A,0)-1,MATCH(J605,Rame!$A$1:$AA$1,0)-1)=TRUE),0,OFFSET(Rame!$A$1,MATCH(H605,Rame!$A:$A,0)-1,MATCH(J605,Rame!$A$1:$AA$1,0)-1))*IF(E605="Rame",1,0),4)</f>
        <v>0</v>
      </c>
      <c r="N605" s="238">
        <v>0</v>
      </c>
      <c r="O605" s="238">
        <f t="shared" ca="1" si="294"/>
        <v>0</v>
      </c>
      <c r="P605" s="238">
        <f ca="1">ROUND(+IF(ISERROR(OFFSET(Tabella!$G$1,MATCH(H605,Tabella!$G:$G,0)-1,MATCH(I605,Tabella!$G$1:$FG$1,0)-1)=TRUE),0,OFFSET(Tabella!$G$1,MATCH(H605,Tabella!$G:$G,0)-1,MATCH(I605,Tabella!$G$1:$AB$1,0)-1)),4)</f>
        <v>0</v>
      </c>
      <c r="Q605" s="238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238">
        <f ca="1">ROUND(IF(ISERROR(OFFSET(Rame!$F$1,MATCH(H605,Rame!$F:$F,0)-1,MATCH(I605,Rame!$F$1:$FF$1,0)-1)=TRUE),0,OFFSET(Rame!$F$1,MATCH(H605,Rame!$F:$F,0)-1,MATCH(I605,Rame!$F$1:$FF$1,0)-1))*IF(E605="Rame",1,0),4)</f>
        <v>0</v>
      </c>
      <c r="S605" s="238">
        <f ca="1">ROUND(IF(ISERROR(OFFSET(Bronzo!$A$1,MATCH(H605,Bronzo!$A:$A,0)-1,MATCH(I605,Bronzo!$A$1:$AA$1,0)-1)=TRUE),0,OFFSET(Bronzo!$A$1,MATCH(H605,Bronzo!$A:$A,0)-1,MATCH(I605,Bronzo!$A$1:$AA$1,0)-1)),4)</f>
        <v>0</v>
      </c>
      <c r="T605" s="238">
        <f t="shared" ca="1" si="291"/>
        <v>0</v>
      </c>
      <c r="U605" s="237"/>
      <c r="V605" s="238">
        <v>0</v>
      </c>
      <c r="W605" s="239">
        <f t="shared" ca="1" si="292"/>
        <v>0</v>
      </c>
      <c r="X605" s="240">
        <f t="shared" si="298"/>
        <v>0</v>
      </c>
      <c r="Y605" s="236"/>
      <c r="Z605" s="236">
        <f t="shared" ca="1" si="293"/>
        <v>0</v>
      </c>
      <c r="AA605" s="241"/>
      <c r="AF605" s="225">
        <f t="shared" ca="1" si="297"/>
        <v>46236</v>
      </c>
      <c r="AG605" s="225" t="b">
        <f t="shared" si="289"/>
        <v>1</v>
      </c>
      <c r="AH605" s="242"/>
      <c r="AS605" s="223">
        <f t="shared" si="295"/>
        <v>0</v>
      </c>
      <c r="AT605" s="223">
        <f t="shared" si="296"/>
        <v>0</v>
      </c>
    </row>
    <row r="606" spans="2:46" ht="15.75" x14ac:dyDescent="0.25">
      <c r="B606" s="229"/>
      <c r="C606" s="235"/>
      <c r="D606" s="243"/>
      <c r="E606" s="232"/>
      <c r="F606" s="233"/>
      <c r="G606" s="234"/>
      <c r="H606" s="235"/>
      <c r="I606" s="235"/>
      <c r="J606" s="236"/>
      <c r="K606" s="237">
        <f ca="1">ROUND(IF(ISERROR(OFFSET(Tabella!$A$1,MATCH(H606,Tabella!$A:$A,0)-1,MATCH(J606,Tabella!$A$1:$AC$1,0)-1)=TRUE),0,+OFFSET(Tabella!$A$1,MATCH(H606,Tabella!$A:$A,0)-1,MATCH(J606,Tabella!$A$1:$AC$1,0)-1)),4)</f>
        <v>0</v>
      </c>
      <c r="L606" s="238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238">
        <f ca="1">ROUND(IF(ISERROR(OFFSET(Rame!$A$1,MATCH(H606,Rame!$A:$A,0)-1,MATCH(J606,Rame!$A$1:$AA$1,0)-1)=TRUE),0,OFFSET(Rame!$A$1,MATCH(H606,Rame!$A:$A,0)-1,MATCH(J606,Rame!$A$1:$AA$1,0)-1))*IF(E606="Rame",1,0),4)</f>
        <v>0</v>
      </c>
      <c r="N606" s="238">
        <v>0</v>
      </c>
      <c r="O606" s="238">
        <f t="shared" ca="1" si="294"/>
        <v>0</v>
      </c>
      <c r="P606" s="238">
        <f ca="1">ROUND(+IF(ISERROR(OFFSET(Tabella!$G$1,MATCH(H606,Tabella!$G:$G,0)-1,MATCH(I606,Tabella!$G$1:$FG$1,0)-1)=TRUE),0,OFFSET(Tabella!$G$1,MATCH(H606,Tabella!$G:$G,0)-1,MATCH(I606,Tabella!$G$1:$AB$1,0)-1)),4)</f>
        <v>0</v>
      </c>
      <c r="Q606" s="238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238">
        <f ca="1">ROUND(IF(ISERROR(OFFSET(Rame!$F$1,MATCH(H606,Rame!$F:$F,0)-1,MATCH(I606,Rame!$F$1:$FF$1,0)-1)=TRUE),0,OFFSET(Rame!$F$1,MATCH(H606,Rame!$F:$F,0)-1,MATCH(I606,Rame!$F$1:$FF$1,0)-1))*IF(E606="Rame",1,0),4)</f>
        <v>0</v>
      </c>
      <c r="S606" s="238">
        <f ca="1">ROUND(IF(ISERROR(OFFSET(Bronzo!$A$1,MATCH(H606,Bronzo!$A:$A,0)-1,MATCH(I606,Bronzo!$A$1:$AA$1,0)-1)=TRUE),0,OFFSET(Bronzo!$A$1,MATCH(H606,Bronzo!$A:$A,0)-1,MATCH(I606,Bronzo!$A$1:$AA$1,0)-1)),4)</f>
        <v>0</v>
      </c>
      <c r="T606" s="238">
        <f t="shared" ca="1" si="291"/>
        <v>0</v>
      </c>
      <c r="U606" s="237"/>
      <c r="V606" s="238">
        <v>0</v>
      </c>
      <c r="W606" s="239">
        <f t="shared" ca="1" si="292"/>
        <v>0</v>
      </c>
      <c r="X606" s="240">
        <f t="shared" si="298"/>
        <v>0</v>
      </c>
      <c r="Y606" s="236"/>
      <c r="Z606" s="236">
        <f t="shared" ca="1" si="293"/>
        <v>0</v>
      </c>
      <c r="AA606" s="241"/>
      <c r="AF606" s="225">
        <f t="shared" ca="1" si="297"/>
        <v>46236</v>
      </c>
      <c r="AG606" s="225" t="b">
        <f t="shared" si="289"/>
        <v>1</v>
      </c>
      <c r="AH606" s="242"/>
      <c r="AS606" s="223">
        <f t="shared" si="295"/>
        <v>0</v>
      </c>
      <c r="AT606" s="223">
        <f t="shared" si="296"/>
        <v>0</v>
      </c>
    </row>
    <row r="607" spans="2:46" ht="15.75" x14ac:dyDescent="0.25">
      <c r="B607" s="229"/>
      <c r="C607" s="235"/>
      <c r="D607" s="243"/>
      <c r="E607" s="232"/>
      <c r="F607" s="233"/>
      <c r="G607" s="234"/>
      <c r="H607" s="235"/>
      <c r="I607" s="235"/>
      <c r="J607" s="236"/>
      <c r="K607" s="237">
        <f ca="1">ROUND(IF(ISERROR(OFFSET(Tabella!$A$1,MATCH(H607,Tabella!$A:$A,0)-1,MATCH(J607,Tabella!$A$1:$AC$1,0)-1)=TRUE),0,+OFFSET(Tabella!$A$1,MATCH(H607,Tabella!$A:$A,0)-1,MATCH(J607,Tabella!$A$1:$AC$1,0)-1)),4)</f>
        <v>0</v>
      </c>
      <c r="L607" s="238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238">
        <f ca="1">ROUND(IF(ISERROR(OFFSET(Rame!$A$1,MATCH(H607,Rame!$A:$A,0)-1,MATCH(J607,Rame!$A$1:$AA$1,0)-1)=TRUE),0,OFFSET(Rame!$A$1,MATCH(H607,Rame!$A:$A,0)-1,MATCH(J607,Rame!$A$1:$AA$1,0)-1))*IF(E607="Rame",1,0),4)</f>
        <v>0</v>
      </c>
      <c r="N607" s="238">
        <v>0</v>
      </c>
      <c r="O607" s="238">
        <f t="shared" ca="1" si="294"/>
        <v>0</v>
      </c>
      <c r="P607" s="238">
        <f ca="1">ROUND(+IF(ISERROR(OFFSET(Tabella!$G$1,MATCH(H607,Tabella!$G:$G,0)-1,MATCH(I607,Tabella!$G$1:$FG$1,0)-1)=TRUE),0,OFFSET(Tabella!$G$1,MATCH(H607,Tabella!$G:$G,0)-1,MATCH(I607,Tabella!$G$1:$AB$1,0)-1)),4)</f>
        <v>0</v>
      </c>
      <c r="Q607" s="238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238">
        <f ca="1">ROUND(IF(ISERROR(OFFSET(Rame!$F$1,MATCH(H607,Rame!$F:$F,0)-1,MATCH(I607,Rame!$F$1:$FF$1,0)-1)=TRUE),0,OFFSET(Rame!$F$1,MATCH(H607,Rame!$F:$F,0)-1,MATCH(I607,Rame!$F$1:$FF$1,0)-1))*IF(E607="Rame",1,0),4)</f>
        <v>0</v>
      </c>
      <c r="S607" s="238">
        <f ca="1">ROUND(IF(ISERROR(OFFSET(Bronzo!$A$1,MATCH(H607,Bronzo!$A:$A,0)-1,MATCH(I607,Bronzo!$A$1:$AA$1,0)-1)=TRUE),0,OFFSET(Bronzo!$A$1,MATCH(H607,Bronzo!$A:$A,0)-1,MATCH(I607,Bronzo!$A$1:$AA$1,0)-1)),4)</f>
        <v>0</v>
      </c>
      <c r="T607" s="238">
        <f t="shared" ca="1" si="291"/>
        <v>0</v>
      </c>
      <c r="U607" s="237"/>
      <c r="V607" s="238">
        <v>0</v>
      </c>
      <c r="W607" s="239">
        <f t="shared" ca="1" si="292"/>
        <v>0</v>
      </c>
      <c r="X607" s="240">
        <f t="shared" si="298"/>
        <v>0</v>
      </c>
      <c r="Y607" s="236"/>
      <c r="Z607" s="236">
        <f t="shared" ca="1" si="293"/>
        <v>0</v>
      </c>
      <c r="AA607" s="241"/>
      <c r="AF607" s="225">
        <f t="shared" ca="1" si="297"/>
        <v>46236</v>
      </c>
      <c r="AG607" s="225" t="b">
        <f t="shared" ref="AG607:AG670" si="299">ISBLANK(AA607)</f>
        <v>1</v>
      </c>
      <c r="AH607" s="242"/>
      <c r="AS607" s="223">
        <f t="shared" si="295"/>
        <v>0</v>
      </c>
      <c r="AT607" s="223">
        <f t="shared" si="296"/>
        <v>0</v>
      </c>
    </row>
    <row r="608" spans="2:46" ht="15.75" x14ac:dyDescent="0.25">
      <c r="B608" s="229"/>
      <c r="C608" s="235"/>
      <c r="D608" s="243"/>
      <c r="E608" s="232"/>
      <c r="F608" s="233"/>
      <c r="G608" s="234"/>
      <c r="H608" s="235"/>
      <c r="I608" s="235"/>
      <c r="J608" s="236"/>
      <c r="K608" s="237">
        <f ca="1">ROUND(IF(ISERROR(OFFSET(Tabella!$A$1,MATCH(H608,Tabella!$A:$A,0)-1,MATCH(J608,Tabella!$A$1:$AC$1,0)-1)=TRUE),0,+OFFSET(Tabella!$A$1,MATCH(H608,Tabella!$A:$A,0)-1,MATCH(J608,Tabella!$A$1:$AC$1,0)-1)),4)</f>
        <v>0</v>
      </c>
      <c r="L608" s="238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238">
        <f ca="1">ROUND(IF(ISERROR(OFFSET(Rame!$A$1,MATCH(H608,Rame!$A:$A,0)-1,MATCH(J608,Rame!$A$1:$AA$1,0)-1)=TRUE),0,OFFSET(Rame!$A$1,MATCH(H608,Rame!$A:$A,0)-1,MATCH(J608,Rame!$A$1:$AA$1,0)-1))*IF(E608="Rame",1,0),4)</f>
        <v>0</v>
      </c>
      <c r="N608" s="238">
        <v>0</v>
      </c>
      <c r="O608" s="238">
        <f t="shared" ca="1" si="294"/>
        <v>0</v>
      </c>
      <c r="P608" s="238">
        <f ca="1">ROUND(+IF(ISERROR(OFFSET(Tabella!$G$1,MATCH(H608,Tabella!$G:$G,0)-1,MATCH(I608,Tabella!$G$1:$FG$1,0)-1)=TRUE),0,OFFSET(Tabella!$G$1,MATCH(H608,Tabella!$G:$G,0)-1,MATCH(I608,Tabella!$G$1:$AB$1,0)-1)),4)</f>
        <v>0</v>
      </c>
      <c r="Q608" s="238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238">
        <f ca="1">ROUND(IF(ISERROR(OFFSET(Rame!$F$1,MATCH(H608,Rame!$F:$F,0)-1,MATCH(I608,Rame!$F$1:$FF$1,0)-1)=TRUE),0,OFFSET(Rame!$F$1,MATCH(H608,Rame!$F:$F,0)-1,MATCH(I608,Rame!$F$1:$FF$1,0)-1))*IF(E608="Rame",1,0),4)</f>
        <v>0</v>
      </c>
      <c r="S608" s="238">
        <f ca="1">ROUND(IF(ISERROR(OFFSET(Bronzo!$A$1,MATCH(H608,Bronzo!$A:$A,0)-1,MATCH(I608,Bronzo!$A$1:$AA$1,0)-1)=TRUE),0,OFFSET(Bronzo!$A$1,MATCH(H608,Bronzo!$A:$A,0)-1,MATCH(I608,Bronzo!$A$1:$AA$1,0)-1)),4)</f>
        <v>0</v>
      </c>
      <c r="T608" s="238">
        <f t="shared" ca="1" si="291"/>
        <v>0</v>
      </c>
      <c r="U608" s="237"/>
      <c r="V608" s="238">
        <v>0</v>
      </c>
      <c r="W608" s="239">
        <f t="shared" ca="1" si="292"/>
        <v>0</v>
      </c>
      <c r="X608" s="240">
        <f t="shared" si="298"/>
        <v>0</v>
      </c>
      <c r="Y608" s="236"/>
      <c r="Z608" s="236">
        <f t="shared" ca="1" si="293"/>
        <v>0</v>
      </c>
      <c r="AA608" s="241"/>
      <c r="AF608" s="225">
        <f t="shared" ca="1" si="297"/>
        <v>46236</v>
      </c>
      <c r="AG608" s="225" t="b">
        <f t="shared" si="299"/>
        <v>1</v>
      </c>
      <c r="AH608" s="242"/>
      <c r="AS608" s="223">
        <f t="shared" si="295"/>
        <v>0</v>
      </c>
      <c r="AT608" s="223">
        <f t="shared" si="296"/>
        <v>0</v>
      </c>
    </row>
    <row r="609" spans="2:46" ht="15.75" x14ac:dyDescent="0.25">
      <c r="B609" s="229"/>
      <c r="C609" s="235"/>
      <c r="D609" s="243"/>
      <c r="E609" s="232"/>
      <c r="F609" s="233"/>
      <c r="G609" s="234"/>
      <c r="H609" s="235"/>
      <c r="I609" s="235"/>
      <c r="J609" s="236"/>
      <c r="K609" s="237">
        <f ca="1">ROUND(IF(ISERROR(OFFSET(Tabella!$A$1,MATCH(H609,Tabella!$A:$A,0)-1,MATCH(J609,Tabella!$A$1:$AC$1,0)-1)=TRUE),0,+OFFSET(Tabella!$A$1,MATCH(H609,Tabella!$A:$A,0)-1,MATCH(J609,Tabella!$A$1:$AC$1,0)-1)),4)</f>
        <v>0</v>
      </c>
      <c r="L609" s="238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238">
        <f ca="1">ROUND(IF(ISERROR(OFFSET(Rame!$A$1,MATCH(H609,Rame!$A:$A,0)-1,MATCH(J609,Rame!$A$1:$AA$1,0)-1)=TRUE),0,OFFSET(Rame!$A$1,MATCH(H609,Rame!$A:$A,0)-1,MATCH(J609,Rame!$A$1:$AA$1,0)-1))*IF(E609="Rame",1,0),4)</f>
        <v>0</v>
      </c>
      <c r="N609" s="238">
        <v>0</v>
      </c>
      <c r="O609" s="238">
        <f t="shared" ca="1" si="294"/>
        <v>0</v>
      </c>
      <c r="P609" s="238">
        <f ca="1">ROUND(+IF(ISERROR(OFFSET(Tabella!$G$1,MATCH(H609,Tabella!$G:$G,0)-1,MATCH(I609,Tabella!$G$1:$FG$1,0)-1)=TRUE),0,OFFSET(Tabella!$G$1,MATCH(H609,Tabella!$G:$G,0)-1,MATCH(I609,Tabella!$G$1:$AB$1,0)-1)),4)</f>
        <v>0</v>
      </c>
      <c r="Q609" s="238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238">
        <f ca="1">ROUND(IF(ISERROR(OFFSET(Rame!$F$1,MATCH(H609,Rame!$F:$F,0)-1,MATCH(I609,Rame!$F$1:$FF$1,0)-1)=TRUE),0,OFFSET(Rame!$F$1,MATCH(H609,Rame!$F:$F,0)-1,MATCH(I609,Rame!$F$1:$FF$1,0)-1))*IF(E609="Rame",1,0),4)</f>
        <v>0</v>
      </c>
      <c r="S609" s="238">
        <f ca="1">ROUND(IF(ISERROR(OFFSET(Bronzo!$A$1,MATCH(H609,Bronzo!$A:$A,0)-1,MATCH(I609,Bronzo!$A$1:$AA$1,0)-1)=TRUE),0,OFFSET(Bronzo!$A$1,MATCH(H609,Bronzo!$A:$A,0)-1,MATCH(I609,Bronzo!$A$1:$AA$1,0)-1)),4)</f>
        <v>0</v>
      </c>
      <c r="T609" s="238">
        <f t="shared" ca="1" si="291"/>
        <v>0</v>
      </c>
      <c r="U609" s="237"/>
      <c r="V609" s="238">
        <v>0</v>
      </c>
      <c r="W609" s="239">
        <f t="shared" ca="1" si="292"/>
        <v>0</v>
      </c>
      <c r="X609" s="240">
        <f t="shared" si="298"/>
        <v>0</v>
      </c>
      <c r="Y609" s="236"/>
      <c r="Z609" s="236">
        <f t="shared" ca="1" si="293"/>
        <v>0</v>
      </c>
      <c r="AA609" s="241"/>
      <c r="AF609" s="225">
        <f t="shared" ca="1" si="297"/>
        <v>46236</v>
      </c>
      <c r="AG609" s="225" t="b">
        <f t="shared" si="299"/>
        <v>1</v>
      </c>
      <c r="AH609" s="242"/>
      <c r="AS609" s="223">
        <f t="shared" si="295"/>
        <v>0</v>
      </c>
      <c r="AT609" s="223">
        <f t="shared" si="296"/>
        <v>0</v>
      </c>
    </row>
    <row r="610" spans="2:46" ht="15.75" x14ac:dyDescent="0.25">
      <c r="B610" s="229"/>
      <c r="C610" s="235"/>
      <c r="D610" s="243"/>
      <c r="E610" s="232"/>
      <c r="F610" s="233"/>
      <c r="G610" s="234"/>
      <c r="H610" s="235"/>
      <c r="I610" s="235"/>
      <c r="J610" s="236"/>
      <c r="K610" s="237">
        <f ca="1">ROUND(IF(ISERROR(OFFSET(Tabella!$A$1,MATCH(H610,Tabella!$A:$A,0)-1,MATCH(J610,Tabella!$A$1:$AC$1,0)-1)=TRUE),0,+OFFSET(Tabella!$A$1,MATCH(H610,Tabella!$A:$A,0)-1,MATCH(J610,Tabella!$A$1:$AC$1,0)-1)),4)</f>
        <v>0</v>
      </c>
      <c r="L610" s="238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238">
        <f ca="1">ROUND(IF(ISERROR(OFFSET(Rame!$A$1,MATCH(H610,Rame!$A:$A,0)-1,MATCH(J610,Rame!$A$1:$AA$1,0)-1)=TRUE),0,OFFSET(Rame!$A$1,MATCH(H610,Rame!$A:$A,0)-1,MATCH(J610,Rame!$A$1:$AA$1,0)-1))*IF(E610="Rame",1,0),4)</f>
        <v>0</v>
      </c>
      <c r="N610" s="238">
        <v>0</v>
      </c>
      <c r="O610" s="238">
        <f t="shared" ca="1" si="294"/>
        <v>0</v>
      </c>
      <c r="P610" s="238">
        <f ca="1">ROUND(+IF(ISERROR(OFFSET(Tabella!$G$1,MATCH(H610,Tabella!$G:$G,0)-1,MATCH(I610,Tabella!$G$1:$FG$1,0)-1)=TRUE),0,OFFSET(Tabella!$G$1,MATCH(H610,Tabella!$G:$G,0)-1,MATCH(I610,Tabella!$G$1:$AB$1,0)-1)),4)</f>
        <v>0</v>
      </c>
      <c r="Q610" s="238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238">
        <f ca="1">ROUND(IF(ISERROR(OFFSET(Rame!$F$1,MATCH(H610,Rame!$F:$F,0)-1,MATCH(I610,Rame!$F$1:$FF$1,0)-1)=TRUE),0,OFFSET(Rame!$F$1,MATCH(H610,Rame!$F:$F,0)-1,MATCH(I610,Rame!$F$1:$FF$1,0)-1))*IF(E610="Rame",1,0),4)</f>
        <v>0</v>
      </c>
      <c r="S610" s="238">
        <f ca="1">ROUND(IF(ISERROR(OFFSET(Bronzo!$A$1,MATCH(H610,Bronzo!$A:$A,0)-1,MATCH(I610,Bronzo!$A$1:$AA$1,0)-1)=TRUE),0,OFFSET(Bronzo!$A$1,MATCH(H610,Bronzo!$A:$A,0)-1,MATCH(I610,Bronzo!$A$1:$AA$1,0)-1)),4)</f>
        <v>0</v>
      </c>
      <c r="T610" s="238">
        <f t="shared" ref="T610:T673" ca="1" si="300">ROUND(SUM(P610:S610),4)</f>
        <v>0</v>
      </c>
      <c r="U610" s="237"/>
      <c r="V610" s="238">
        <v>0</v>
      </c>
      <c r="W610" s="239">
        <f t="shared" ref="W610:W673" ca="1" si="301">ROUND(+O610+T610+U610+V610,4)</f>
        <v>0</v>
      </c>
      <c r="X610" s="240">
        <f t="shared" si="298"/>
        <v>0</v>
      </c>
      <c r="Y610" s="236"/>
      <c r="Z610" s="236">
        <f t="shared" ref="Z610:Z673" ca="1" si="302">ROUND(+Y610-W610-F610,4)</f>
        <v>0</v>
      </c>
      <c r="AA610" s="241"/>
      <c r="AF610" s="225">
        <f t="shared" ca="1" si="297"/>
        <v>46236</v>
      </c>
      <c r="AG610" s="225" t="b">
        <f t="shared" si="299"/>
        <v>1</v>
      </c>
      <c r="AH610" s="242"/>
      <c r="AS610" s="223">
        <f t="shared" si="295"/>
        <v>0</v>
      </c>
      <c r="AT610" s="223">
        <f t="shared" si="296"/>
        <v>0</v>
      </c>
    </row>
    <row r="611" spans="2:46" ht="15.75" x14ac:dyDescent="0.25">
      <c r="B611" s="229"/>
      <c r="C611" s="235"/>
      <c r="D611" s="243"/>
      <c r="E611" s="232"/>
      <c r="F611" s="233"/>
      <c r="G611" s="234"/>
      <c r="H611" s="235"/>
      <c r="I611" s="235"/>
      <c r="J611" s="236"/>
      <c r="K611" s="237">
        <f ca="1">ROUND(IF(ISERROR(OFFSET(Tabella!$A$1,MATCH(H611,Tabella!$A:$A,0)-1,MATCH(J611,Tabella!$A$1:$AC$1,0)-1)=TRUE),0,+OFFSET(Tabella!$A$1,MATCH(H611,Tabella!$A:$A,0)-1,MATCH(J611,Tabella!$A$1:$AC$1,0)-1)),4)</f>
        <v>0</v>
      </c>
      <c r="L611" s="238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238">
        <f ca="1">ROUND(IF(ISERROR(OFFSET(Rame!$A$1,MATCH(H611,Rame!$A:$A,0)-1,MATCH(J611,Rame!$A$1:$AA$1,0)-1)=TRUE),0,OFFSET(Rame!$A$1,MATCH(H611,Rame!$A:$A,0)-1,MATCH(J611,Rame!$A$1:$AA$1,0)-1))*IF(E611="Rame",1,0),4)</f>
        <v>0</v>
      </c>
      <c r="N611" s="238">
        <v>0</v>
      </c>
      <c r="O611" s="238">
        <f t="shared" ca="1" si="294"/>
        <v>0</v>
      </c>
      <c r="P611" s="238">
        <f ca="1">ROUND(+IF(ISERROR(OFFSET(Tabella!$G$1,MATCH(H611,Tabella!$G:$G,0)-1,MATCH(I611,Tabella!$G$1:$FG$1,0)-1)=TRUE),0,OFFSET(Tabella!$G$1,MATCH(H611,Tabella!$G:$G,0)-1,MATCH(I611,Tabella!$G$1:$AB$1,0)-1)),4)</f>
        <v>0</v>
      </c>
      <c r="Q611" s="238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238">
        <f ca="1">ROUND(IF(ISERROR(OFFSET(Rame!$F$1,MATCH(H611,Rame!$F:$F,0)-1,MATCH(I611,Rame!$F$1:$FF$1,0)-1)=TRUE),0,OFFSET(Rame!$F$1,MATCH(H611,Rame!$F:$F,0)-1,MATCH(I611,Rame!$F$1:$FF$1,0)-1))*IF(E611="Rame",1,0),4)</f>
        <v>0</v>
      </c>
      <c r="S611" s="238">
        <f ca="1">ROUND(IF(ISERROR(OFFSET(Bronzo!$A$1,MATCH(H611,Bronzo!$A:$A,0)-1,MATCH(I611,Bronzo!$A$1:$AA$1,0)-1)=TRUE),0,OFFSET(Bronzo!$A$1,MATCH(H611,Bronzo!$A:$A,0)-1,MATCH(I611,Bronzo!$A$1:$AA$1,0)-1)),4)</f>
        <v>0</v>
      </c>
      <c r="T611" s="238">
        <f t="shared" ca="1" si="300"/>
        <v>0</v>
      </c>
      <c r="U611" s="237"/>
      <c r="V611" s="238">
        <v>0</v>
      </c>
      <c r="W611" s="239">
        <f t="shared" ca="1" si="301"/>
        <v>0</v>
      </c>
      <c r="X611" s="240">
        <f t="shared" si="298"/>
        <v>0</v>
      </c>
      <c r="Y611" s="236"/>
      <c r="Z611" s="236">
        <f t="shared" ca="1" si="302"/>
        <v>0</v>
      </c>
      <c r="AA611" s="241"/>
      <c r="AF611" s="225">
        <f t="shared" ca="1" si="297"/>
        <v>46236</v>
      </c>
      <c r="AG611" s="225" t="b">
        <f t="shared" si="299"/>
        <v>1</v>
      </c>
      <c r="AH611" s="242"/>
      <c r="AS611" s="223">
        <f t="shared" si="295"/>
        <v>0</v>
      </c>
      <c r="AT611" s="223">
        <f t="shared" si="296"/>
        <v>0</v>
      </c>
    </row>
    <row r="612" spans="2:46" ht="15.75" x14ac:dyDescent="0.25">
      <c r="B612" s="229"/>
      <c r="C612" s="235"/>
      <c r="D612" s="243"/>
      <c r="E612" s="232"/>
      <c r="F612" s="233"/>
      <c r="G612" s="234"/>
      <c r="H612" s="235"/>
      <c r="I612" s="235"/>
      <c r="J612" s="236"/>
      <c r="K612" s="237">
        <f ca="1">ROUND(IF(ISERROR(OFFSET(Tabella!$A$1,MATCH(H612,Tabella!$A:$A,0)-1,MATCH(J612,Tabella!$A$1:$AC$1,0)-1)=TRUE),0,+OFFSET(Tabella!$A$1,MATCH(H612,Tabella!$A:$A,0)-1,MATCH(J612,Tabella!$A$1:$AC$1,0)-1)),4)</f>
        <v>0</v>
      </c>
      <c r="L612" s="238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238">
        <f ca="1">ROUND(IF(ISERROR(OFFSET(Rame!$A$1,MATCH(H612,Rame!$A:$A,0)-1,MATCH(J612,Rame!$A$1:$AA$1,0)-1)=TRUE),0,OFFSET(Rame!$A$1,MATCH(H612,Rame!$A:$A,0)-1,MATCH(J612,Rame!$A$1:$AA$1,0)-1))*IF(E612="Rame",1,0),4)</f>
        <v>0</v>
      </c>
      <c r="N612" s="238">
        <v>0</v>
      </c>
      <c r="O612" s="238">
        <f t="shared" ca="1" si="294"/>
        <v>0</v>
      </c>
      <c r="P612" s="238">
        <f ca="1">ROUND(+IF(ISERROR(OFFSET(Tabella!$G$1,MATCH(H612,Tabella!$G:$G,0)-1,MATCH(I612,Tabella!$G$1:$FG$1,0)-1)=TRUE),0,OFFSET(Tabella!$G$1,MATCH(H612,Tabella!$G:$G,0)-1,MATCH(I612,Tabella!$G$1:$AB$1,0)-1)),4)</f>
        <v>0</v>
      </c>
      <c r="Q612" s="238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238">
        <f ca="1">ROUND(IF(ISERROR(OFFSET(Rame!$F$1,MATCH(H612,Rame!$F:$F,0)-1,MATCH(I612,Rame!$F$1:$FF$1,0)-1)=TRUE),0,OFFSET(Rame!$F$1,MATCH(H612,Rame!$F:$F,0)-1,MATCH(I612,Rame!$F$1:$FF$1,0)-1))*IF(E612="Rame",1,0),4)</f>
        <v>0</v>
      </c>
      <c r="S612" s="238">
        <f ca="1">ROUND(IF(ISERROR(OFFSET(Bronzo!$A$1,MATCH(H612,Bronzo!$A:$A,0)-1,MATCH(I612,Bronzo!$A$1:$AA$1,0)-1)=TRUE),0,OFFSET(Bronzo!$A$1,MATCH(H612,Bronzo!$A:$A,0)-1,MATCH(I612,Bronzo!$A$1:$AA$1,0)-1)),4)</f>
        <v>0</v>
      </c>
      <c r="T612" s="238">
        <f t="shared" ca="1" si="300"/>
        <v>0</v>
      </c>
      <c r="U612" s="237"/>
      <c r="V612" s="238">
        <v>0</v>
      </c>
      <c r="W612" s="239">
        <f t="shared" ca="1" si="301"/>
        <v>0</v>
      </c>
      <c r="X612" s="240">
        <f t="shared" si="298"/>
        <v>0</v>
      </c>
      <c r="Y612" s="236"/>
      <c r="Z612" s="236">
        <f t="shared" ca="1" si="302"/>
        <v>0</v>
      </c>
      <c r="AA612" s="241"/>
      <c r="AF612" s="225">
        <f t="shared" ca="1" si="297"/>
        <v>46236</v>
      </c>
      <c r="AG612" s="225" t="b">
        <f t="shared" si="299"/>
        <v>1</v>
      </c>
      <c r="AH612" s="242"/>
      <c r="AS612" s="223">
        <f t="shared" si="295"/>
        <v>0</v>
      </c>
      <c r="AT612" s="223">
        <f t="shared" si="296"/>
        <v>0</v>
      </c>
    </row>
    <row r="613" spans="2:46" ht="15.75" x14ac:dyDescent="0.25">
      <c r="B613" s="229"/>
      <c r="C613" s="235"/>
      <c r="D613" s="243"/>
      <c r="E613" s="232"/>
      <c r="F613" s="233"/>
      <c r="G613" s="234"/>
      <c r="H613" s="235"/>
      <c r="I613" s="235"/>
      <c r="J613" s="236"/>
      <c r="K613" s="237">
        <f ca="1">ROUND(IF(ISERROR(OFFSET(Tabella!$A$1,MATCH(H613,Tabella!$A:$A,0)-1,MATCH(J613,Tabella!$A$1:$AC$1,0)-1)=TRUE),0,+OFFSET(Tabella!$A$1,MATCH(H613,Tabella!$A:$A,0)-1,MATCH(J613,Tabella!$A$1:$AC$1,0)-1)),4)</f>
        <v>0</v>
      </c>
      <c r="L613" s="238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238">
        <f ca="1">ROUND(IF(ISERROR(OFFSET(Rame!$A$1,MATCH(H613,Rame!$A:$A,0)-1,MATCH(J613,Rame!$A$1:$AA$1,0)-1)=TRUE),0,OFFSET(Rame!$A$1,MATCH(H613,Rame!$A:$A,0)-1,MATCH(J613,Rame!$A$1:$AA$1,0)-1))*IF(E613="Rame",1,0),4)</f>
        <v>0</v>
      </c>
      <c r="N613" s="238">
        <v>0</v>
      </c>
      <c r="O613" s="238">
        <f t="shared" ca="1" si="294"/>
        <v>0</v>
      </c>
      <c r="P613" s="238">
        <f ca="1">ROUND(+IF(ISERROR(OFFSET(Tabella!$G$1,MATCH(H613,Tabella!$G:$G,0)-1,MATCH(I613,Tabella!$G$1:$FG$1,0)-1)=TRUE),0,OFFSET(Tabella!$G$1,MATCH(H613,Tabella!$G:$G,0)-1,MATCH(I613,Tabella!$G$1:$AB$1,0)-1)),4)</f>
        <v>0</v>
      </c>
      <c r="Q613" s="238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238">
        <f ca="1">ROUND(IF(ISERROR(OFFSET(Rame!$F$1,MATCH(H613,Rame!$F:$F,0)-1,MATCH(I613,Rame!$F$1:$FF$1,0)-1)=TRUE),0,OFFSET(Rame!$F$1,MATCH(H613,Rame!$F:$F,0)-1,MATCH(I613,Rame!$F$1:$FF$1,0)-1))*IF(E613="Rame",1,0),4)</f>
        <v>0</v>
      </c>
      <c r="S613" s="238">
        <f ca="1">ROUND(IF(ISERROR(OFFSET(Bronzo!$A$1,MATCH(H613,Bronzo!$A:$A,0)-1,MATCH(I613,Bronzo!$A$1:$AA$1,0)-1)=TRUE),0,OFFSET(Bronzo!$A$1,MATCH(H613,Bronzo!$A:$A,0)-1,MATCH(I613,Bronzo!$A$1:$AA$1,0)-1)),4)</f>
        <v>0</v>
      </c>
      <c r="T613" s="238">
        <f t="shared" ca="1" si="300"/>
        <v>0</v>
      </c>
      <c r="U613" s="237"/>
      <c r="V613" s="238">
        <v>0</v>
      </c>
      <c r="W613" s="239">
        <f t="shared" ca="1" si="301"/>
        <v>0</v>
      </c>
      <c r="X613" s="240">
        <f t="shared" si="298"/>
        <v>0</v>
      </c>
      <c r="Y613" s="236"/>
      <c r="Z613" s="236">
        <f t="shared" ca="1" si="302"/>
        <v>0</v>
      </c>
      <c r="AA613" s="241"/>
      <c r="AF613" s="225">
        <f t="shared" ca="1" si="297"/>
        <v>46236</v>
      </c>
      <c r="AG613" s="225" t="b">
        <f t="shared" si="299"/>
        <v>1</v>
      </c>
      <c r="AH613" s="242"/>
      <c r="AS613" s="223">
        <f t="shared" si="295"/>
        <v>0</v>
      </c>
      <c r="AT613" s="223">
        <f t="shared" si="296"/>
        <v>0</v>
      </c>
    </row>
    <row r="614" spans="2:46" ht="15.75" x14ac:dyDescent="0.25">
      <c r="B614" s="229"/>
      <c r="C614" s="235"/>
      <c r="D614" s="243"/>
      <c r="E614" s="232"/>
      <c r="F614" s="233"/>
      <c r="G614" s="234"/>
      <c r="H614" s="235"/>
      <c r="I614" s="235"/>
      <c r="J614" s="236"/>
      <c r="K614" s="237">
        <f ca="1">ROUND(IF(ISERROR(OFFSET(Tabella!$A$1,MATCH(H614,Tabella!$A:$A,0)-1,MATCH(J614,Tabella!$A$1:$AC$1,0)-1)=TRUE),0,+OFFSET(Tabella!$A$1,MATCH(H614,Tabella!$A:$A,0)-1,MATCH(J614,Tabella!$A$1:$AC$1,0)-1)),4)</f>
        <v>0</v>
      </c>
      <c r="L614" s="238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238">
        <f ca="1">ROUND(IF(ISERROR(OFFSET(Rame!$A$1,MATCH(H614,Rame!$A:$A,0)-1,MATCH(J614,Rame!$A$1:$AA$1,0)-1)=TRUE),0,OFFSET(Rame!$A$1,MATCH(H614,Rame!$A:$A,0)-1,MATCH(J614,Rame!$A$1:$AA$1,0)-1))*IF(E614="Rame",1,0),4)</f>
        <v>0</v>
      </c>
      <c r="N614" s="238">
        <v>0</v>
      </c>
      <c r="O614" s="238">
        <f t="shared" ca="1" si="294"/>
        <v>0</v>
      </c>
      <c r="P614" s="238">
        <f ca="1">ROUND(+IF(ISERROR(OFFSET(Tabella!$G$1,MATCH(H614,Tabella!$G:$G,0)-1,MATCH(I614,Tabella!$G$1:$FG$1,0)-1)=TRUE),0,OFFSET(Tabella!$G$1,MATCH(H614,Tabella!$G:$G,0)-1,MATCH(I614,Tabella!$G$1:$AB$1,0)-1)),4)</f>
        <v>0</v>
      </c>
      <c r="Q614" s="238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238">
        <f ca="1">ROUND(IF(ISERROR(OFFSET(Rame!$F$1,MATCH(H614,Rame!$F:$F,0)-1,MATCH(I614,Rame!$F$1:$FF$1,0)-1)=TRUE),0,OFFSET(Rame!$F$1,MATCH(H614,Rame!$F:$F,0)-1,MATCH(I614,Rame!$F$1:$FF$1,0)-1))*IF(E614="Rame",1,0),4)</f>
        <v>0</v>
      </c>
      <c r="S614" s="238">
        <f ca="1">ROUND(IF(ISERROR(OFFSET(Bronzo!$A$1,MATCH(H614,Bronzo!$A:$A,0)-1,MATCH(I614,Bronzo!$A$1:$AA$1,0)-1)=TRUE),0,OFFSET(Bronzo!$A$1,MATCH(H614,Bronzo!$A:$A,0)-1,MATCH(I614,Bronzo!$A$1:$AA$1,0)-1)),4)</f>
        <v>0</v>
      </c>
      <c r="T614" s="238">
        <f t="shared" ca="1" si="300"/>
        <v>0</v>
      </c>
      <c r="U614" s="237"/>
      <c r="V614" s="238">
        <v>0</v>
      </c>
      <c r="W614" s="239">
        <f t="shared" ca="1" si="301"/>
        <v>0</v>
      </c>
      <c r="X614" s="240">
        <f t="shared" si="298"/>
        <v>0</v>
      </c>
      <c r="Y614" s="236"/>
      <c r="Z614" s="236">
        <f t="shared" ca="1" si="302"/>
        <v>0</v>
      </c>
      <c r="AA614" s="241"/>
      <c r="AF614" s="225">
        <f t="shared" ca="1" si="297"/>
        <v>46236</v>
      </c>
      <c r="AG614" s="225" t="b">
        <f t="shared" si="299"/>
        <v>1</v>
      </c>
      <c r="AH614" s="242"/>
      <c r="AS614" s="223">
        <f t="shared" si="295"/>
        <v>0</v>
      </c>
      <c r="AT614" s="223">
        <f t="shared" si="296"/>
        <v>0</v>
      </c>
    </row>
    <row r="615" spans="2:46" ht="15.75" x14ac:dyDescent="0.25">
      <c r="B615" s="229"/>
      <c r="C615" s="235"/>
      <c r="D615" s="243"/>
      <c r="E615" s="232"/>
      <c r="F615" s="233"/>
      <c r="G615" s="234"/>
      <c r="H615" s="235"/>
      <c r="I615" s="235"/>
      <c r="J615" s="236"/>
      <c r="K615" s="237">
        <f ca="1">ROUND(IF(ISERROR(OFFSET(Tabella!$A$1,MATCH(H615,Tabella!$A:$A,0)-1,MATCH(J615,Tabella!$A$1:$AC$1,0)-1)=TRUE),0,+OFFSET(Tabella!$A$1,MATCH(H615,Tabella!$A:$A,0)-1,MATCH(J615,Tabella!$A$1:$AC$1,0)-1)),4)</f>
        <v>0</v>
      </c>
      <c r="L615" s="238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238">
        <f ca="1">ROUND(IF(ISERROR(OFFSET(Rame!$A$1,MATCH(H615,Rame!$A:$A,0)-1,MATCH(J615,Rame!$A$1:$AA$1,0)-1)=TRUE),0,OFFSET(Rame!$A$1,MATCH(H615,Rame!$A:$A,0)-1,MATCH(J615,Rame!$A$1:$AA$1,0)-1))*IF(E615="Rame",1,0),4)</f>
        <v>0</v>
      </c>
      <c r="N615" s="238">
        <v>0</v>
      </c>
      <c r="O615" s="238">
        <f t="shared" ca="1" si="294"/>
        <v>0</v>
      </c>
      <c r="P615" s="238">
        <f ca="1">ROUND(+IF(ISERROR(OFFSET(Tabella!$G$1,MATCH(H615,Tabella!$G:$G,0)-1,MATCH(I615,Tabella!$G$1:$FG$1,0)-1)=TRUE),0,OFFSET(Tabella!$G$1,MATCH(H615,Tabella!$G:$G,0)-1,MATCH(I615,Tabella!$G$1:$AB$1,0)-1)),4)</f>
        <v>0</v>
      </c>
      <c r="Q615" s="238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238">
        <f ca="1">ROUND(IF(ISERROR(OFFSET(Rame!$F$1,MATCH(H615,Rame!$F:$F,0)-1,MATCH(I615,Rame!$F$1:$FF$1,0)-1)=TRUE),0,OFFSET(Rame!$F$1,MATCH(H615,Rame!$F:$F,0)-1,MATCH(I615,Rame!$F$1:$FF$1,0)-1))*IF(E615="Rame",1,0),4)</f>
        <v>0</v>
      </c>
      <c r="S615" s="238">
        <f ca="1">ROUND(IF(ISERROR(OFFSET(Bronzo!$A$1,MATCH(H615,Bronzo!$A:$A,0)-1,MATCH(I615,Bronzo!$A$1:$AA$1,0)-1)=TRUE),0,OFFSET(Bronzo!$A$1,MATCH(H615,Bronzo!$A:$A,0)-1,MATCH(I615,Bronzo!$A$1:$AA$1,0)-1)),4)</f>
        <v>0</v>
      </c>
      <c r="T615" s="238">
        <f t="shared" ca="1" si="300"/>
        <v>0</v>
      </c>
      <c r="U615" s="237"/>
      <c r="V615" s="238">
        <v>0</v>
      </c>
      <c r="W615" s="239">
        <f t="shared" ca="1" si="301"/>
        <v>0</v>
      </c>
      <c r="X615" s="240">
        <f t="shared" si="298"/>
        <v>0</v>
      </c>
      <c r="Y615" s="236"/>
      <c r="Z615" s="236">
        <f t="shared" ca="1" si="302"/>
        <v>0</v>
      </c>
      <c r="AA615" s="241"/>
      <c r="AF615" s="225">
        <f t="shared" ca="1" si="297"/>
        <v>46236</v>
      </c>
      <c r="AG615" s="225" t="b">
        <f t="shared" si="299"/>
        <v>1</v>
      </c>
      <c r="AH615" s="242"/>
      <c r="AS615" s="223">
        <f t="shared" si="295"/>
        <v>0</v>
      </c>
      <c r="AT615" s="223">
        <f t="shared" si="296"/>
        <v>0</v>
      </c>
    </row>
    <row r="616" spans="2:46" ht="15.75" x14ac:dyDescent="0.25">
      <c r="B616" s="229"/>
      <c r="C616" s="235"/>
      <c r="D616" s="243"/>
      <c r="E616" s="232"/>
      <c r="F616" s="233"/>
      <c r="G616" s="234"/>
      <c r="H616" s="235"/>
      <c r="I616" s="235"/>
      <c r="J616" s="236"/>
      <c r="K616" s="237">
        <f ca="1">ROUND(IF(ISERROR(OFFSET(Tabella!$A$1,MATCH(H616,Tabella!$A:$A,0)-1,MATCH(J616,Tabella!$A$1:$AC$1,0)-1)=TRUE),0,+OFFSET(Tabella!$A$1,MATCH(H616,Tabella!$A:$A,0)-1,MATCH(J616,Tabella!$A$1:$AC$1,0)-1)),4)</f>
        <v>0</v>
      </c>
      <c r="L616" s="238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238">
        <f ca="1">ROUND(IF(ISERROR(OFFSET(Rame!$A$1,MATCH(H616,Rame!$A:$A,0)-1,MATCH(J616,Rame!$A$1:$AA$1,0)-1)=TRUE),0,OFFSET(Rame!$A$1,MATCH(H616,Rame!$A:$A,0)-1,MATCH(J616,Rame!$A$1:$AA$1,0)-1))*IF(E616="Rame",1,0),4)</f>
        <v>0</v>
      </c>
      <c r="N616" s="238">
        <v>0</v>
      </c>
      <c r="O616" s="238">
        <f t="shared" ca="1" si="294"/>
        <v>0</v>
      </c>
      <c r="P616" s="238">
        <f ca="1">ROUND(+IF(ISERROR(OFFSET(Tabella!$G$1,MATCH(H616,Tabella!$G:$G,0)-1,MATCH(I616,Tabella!$G$1:$FG$1,0)-1)=TRUE),0,OFFSET(Tabella!$G$1,MATCH(H616,Tabella!$G:$G,0)-1,MATCH(I616,Tabella!$G$1:$AB$1,0)-1)),4)</f>
        <v>0</v>
      </c>
      <c r="Q616" s="238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238">
        <f ca="1">ROUND(IF(ISERROR(OFFSET(Rame!$F$1,MATCH(H616,Rame!$F:$F,0)-1,MATCH(I616,Rame!$F$1:$FF$1,0)-1)=TRUE),0,OFFSET(Rame!$F$1,MATCH(H616,Rame!$F:$F,0)-1,MATCH(I616,Rame!$F$1:$FF$1,0)-1))*IF(E616="Rame",1,0),4)</f>
        <v>0</v>
      </c>
      <c r="S616" s="238">
        <f ca="1">ROUND(IF(ISERROR(OFFSET(Bronzo!$A$1,MATCH(H616,Bronzo!$A:$A,0)-1,MATCH(I616,Bronzo!$A$1:$AA$1,0)-1)=TRUE),0,OFFSET(Bronzo!$A$1,MATCH(H616,Bronzo!$A:$A,0)-1,MATCH(I616,Bronzo!$A$1:$AA$1,0)-1)),4)</f>
        <v>0</v>
      </c>
      <c r="T616" s="238">
        <f t="shared" ca="1" si="300"/>
        <v>0</v>
      </c>
      <c r="U616" s="237"/>
      <c r="V616" s="238">
        <v>0</v>
      </c>
      <c r="W616" s="239">
        <f t="shared" ca="1" si="301"/>
        <v>0</v>
      </c>
      <c r="X616" s="240">
        <f t="shared" si="298"/>
        <v>0</v>
      </c>
      <c r="Y616" s="236"/>
      <c r="Z616" s="236">
        <f t="shared" ca="1" si="302"/>
        <v>0</v>
      </c>
      <c r="AA616" s="241"/>
      <c r="AF616" s="225">
        <f t="shared" ca="1" si="297"/>
        <v>46236</v>
      </c>
      <c r="AG616" s="225" t="b">
        <f t="shared" si="299"/>
        <v>1</v>
      </c>
      <c r="AH616" s="242"/>
      <c r="AS616" s="223">
        <f t="shared" si="295"/>
        <v>0</v>
      </c>
      <c r="AT616" s="223">
        <f t="shared" si="296"/>
        <v>0</v>
      </c>
    </row>
    <row r="617" spans="2:46" ht="15.75" x14ac:dyDescent="0.25">
      <c r="B617" s="229"/>
      <c r="C617" s="235"/>
      <c r="D617" s="243"/>
      <c r="E617" s="232"/>
      <c r="F617" s="233"/>
      <c r="G617" s="234"/>
      <c r="H617" s="235"/>
      <c r="I617" s="235"/>
      <c r="J617" s="236"/>
      <c r="K617" s="237">
        <f ca="1">ROUND(IF(ISERROR(OFFSET(Tabella!$A$1,MATCH(H617,Tabella!$A:$A,0)-1,MATCH(J617,Tabella!$A$1:$AC$1,0)-1)=TRUE),0,+OFFSET(Tabella!$A$1,MATCH(H617,Tabella!$A:$A,0)-1,MATCH(J617,Tabella!$A$1:$AC$1,0)-1)),4)</f>
        <v>0</v>
      </c>
      <c r="L617" s="238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238">
        <f ca="1">ROUND(IF(ISERROR(OFFSET(Rame!$A$1,MATCH(H617,Rame!$A:$A,0)-1,MATCH(J617,Rame!$A$1:$AA$1,0)-1)=TRUE),0,OFFSET(Rame!$A$1,MATCH(H617,Rame!$A:$A,0)-1,MATCH(J617,Rame!$A$1:$AA$1,0)-1))*IF(E617="Rame",1,0),4)</f>
        <v>0</v>
      </c>
      <c r="N617" s="238">
        <v>0</v>
      </c>
      <c r="O617" s="238">
        <f t="shared" ca="1" si="294"/>
        <v>0</v>
      </c>
      <c r="P617" s="238">
        <f ca="1">ROUND(+IF(ISERROR(OFFSET(Tabella!$G$1,MATCH(H617,Tabella!$G:$G,0)-1,MATCH(I617,Tabella!$G$1:$FG$1,0)-1)=TRUE),0,OFFSET(Tabella!$G$1,MATCH(H617,Tabella!$G:$G,0)-1,MATCH(I617,Tabella!$G$1:$AB$1,0)-1)),4)</f>
        <v>0</v>
      </c>
      <c r="Q617" s="238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238">
        <f ca="1">ROUND(IF(ISERROR(OFFSET(Rame!$F$1,MATCH(H617,Rame!$F:$F,0)-1,MATCH(I617,Rame!$F$1:$FF$1,0)-1)=TRUE),0,OFFSET(Rame!$F$1,MATCH(H617,Rame!$F:$F,0)-1,MATCH(I617,Rame!$F$1:$FF$1,0)-1))*IF(E617="Rame",1,0),4)</f>
        <v>0</v>
      </c>
      <c r="S617" s="238">
        <f ca="1">ROUND(IF(ISERROR(OFFSET(Bronzo!$A$1,MATCH(H617,Bronzo!$A:$A,0)-1,MATCH(I617,Bronzo!$A$1:$AA$1,0)-1)=TRUE),0,OFFSET(Bronzo!$A$1,MATCH(H617,Bronzo!$A:$A,0)-1,MATCH(I617,Bronzo!$A$1:$AA$1,0)-1)),4)</f>
        <v>0</v>
      </c>
      <c r="T617" s="238">
        <f t="shared" ca="1" si="300"/>
        <v>0</v>
      </c>
      <c r="U617" s="237"/>
      <c r="V617" s="238">
        <v>0</v>
      </c>
      <c r="W617" s="239">
        <f t="shared" ca="1" si="301"/>
        <v>0</v>
      </c>
      <c r="X617" s="240">
        <f t="shared" si="298"/>
        <v>0</v>
      </c>
      <c r="Y617" s="236"/>
      <c r="Z617" s="236">
        <f t="shared" ca="1" si="302"/>
        <v>0</v>
      </c>
      <c r="AA617" s="241"/>
      <c r="AF617" s="225">
        <f t="shared" ca="1" si="297"/>
        <v>46236</v>
      </c>
      <c r="AG617" s="225" t="b">
        <f t="shared" si="299"/>
        <v>1</v>
      </c>
      <c r="AH617" s="242"/>
      <c r="AS617" s="223">
        <f t="shared" si="295"/>
        <v>0</v>
      </c>
      <c r="AT617" s="223">
        <f t="shared" si="296"/>
        <v>0</v>
      </c>
    </row>
    <row r="618" spans="2:46" ht="15.75" x14ac:dyDescent="0.25">
      <c r="B618" s="229"/>
      <c r="C618" s="235"/>
      <c r="D618" s="243"/>
      <c r="E618" s="232"/>
      <c r="F618" s="233"/>
      <c r="G618" s="234"/>
      <c r="H618" s="235"/>
      <c r="I618" s="235"/>
      <c r="J618" s="236"/>
      <c r="K618" s="237">
        <f ca="1">ROUND(IF(ISERROR(OFFSET(Tabella!$A$1,MATCH(H618,Tabella!$A:$A,0)-1,MATCH(J618,Tabella!$A$1:$AC$1,0)-1)=TRUE),0,+OFFSET(Tabella!$A$1,MATCH(H618,Tabella!$A:$A,0)-1,MATCH(J618,Tabella!$A$1:$AC$1,0)-1)),4)</f>
        <v>0</v>
      </c>
      <c r="L618" s="238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238">
        <f ca="1">ROUND(IF(ISERROR(OFFSET(Rame!$A$1,MATCH(H618,Rame!$A:$A,0)-1,MATCH(J618,Rame!$A$1:$AA$1,0)-1)=TRUE),0,OFFSET(Rame!$A$1,MATCH(H618,Rame!$A:$A,0)-1,MATCH(J618,Rame!$A$1:$AA$1,0)-1))*IF(E618="Rame",1,0),4)</f>
        <v>0</v>
      </c>
      <c r="N618" s="238">
        <v>0</v>
      </c>
      <c r="O618" s="238">
        <f t="shared" ca="1" si="294"/>
        <v>0</v>
      </c>
      <c r="P618" s="238">
        <f ca="1">ROUND(+IF(ISERROR(OFFSET(Tabella!$G$1,MATCH(H618,Tabella!$G:$G,0)-1,MATCH(I618,Tabella!$G$1:$FG$1,0)-1)=TRUE),0,OFFSET(Tabella!$G$1,MATCH(H618,Tabella!$G:$G,0)-1,MATCH(I618,Tabella!$G$1:$AB$1,0)-1)),4)</f>
        <v>0</v>
      </c>
      <c r="Q618" s="238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238">
        <f ca="1">ROUND(IF(ISERROR(OFFSET(Rame!$F$1,MATCH(H618,Rame!$F:$F,0)-1,MATCH(I618,Rame!$F$1:$FF$1,0)-1)=TRUE),0,OFFSET(Rame!$F$1,MATCH(H618,Rame!$F:$F,0)-1,MATCH(I618,Rame!$F$1:$FF$1,0)-1))*IF(E618="Rame",1,0),4)</f>
        <v>0</v>
      </c>
      <c r="S618" s="238">
        <f ca="1">ROUND(IF(ISERROR(OFFSET(Bronzo!$A$1,MATCH(H618,Bronzo!$A:$A,0)-1,MATCH(I618,Bronzo!$A$1:$AA$1,0)-1)=TRUE),0,OFFSET(Bronzo!$A$1,MATCH(H618,Bronzo!$A:$A,0)-1,MATCH(I618,Bronzo!$A$1:$AA$1,0)-1)),4)</f>
        <v>0</v>
      </c>
      <c r="T618" s="238">
        <f t="shared" ca="1" si="300"/>
        <v>0</v>
      </c>
      <c r="U618" s="237"/>
      <c r="V618" s="238">
        <v>0</v>
      </c>
      <c r="W618" s="239">
        <f t="shared" ca="1" si="301"/>
        <v>0</v>
      </c>
      <c r="X618" s="240">
        <f t="shared" si="298"/>
        <v>0</v>
      </c>
      <c r="Y618" s="236"/>
      <c r="Z618" s="236">
        <f t="shared" ca="1" si="302"/>
        <v>0</v>
      </c>
      <c r="AA618" s="241"/>
      <c r="AF618" s="225">
        <f t="shared" ca="1" si="297"/>
        <v>46236</v>
      </c>
      <c r="AG618" s="225" t="b">
        <f t="shared" si="299"/>
        <v>1</v>
      </c>
      <c r="AH618" s="242"/>
      <c r="AS618" s="223">
        <f t="shared" si="295"/>
        <v>0</v>
      </c>
      <c r="AT618" s="223">
        <f t="shared" si="296"/>
        <v>0</v>
      </c>
    </row>
    <row r="619" spans="2:46" ht="15.75" x14ac:dyDescent="0.25">
      <c r="B619" s="229"/>
      <c r="C619" s="235"/>
      <c r="D619" s="243"/>
      <c r="E619" s="232"/>
      <c r="F619" s="233"/>
      <c r="G619" s="234"/>
      <c r="H619" s="235"/>
      <c r="I619" s="235"/>
      <c r="J619" s="236"/>
      <c r="K619" s="237">
        <f ca="1">ROUND(IF(ISERROR(OFFSET(Tabella!$A$1,MATCH(H619,Tabella!$A:$A,0)-1,MATCH(J619,Tabella!$A$1:$AC$1,0)-1)=TRUE),0,+OFFSET(Tabella!$A$1,MATCH(H619,Tabella!$A:$A,0)-1,MATCH(J619,Tabella!$A$1:$AC$1,0)-1)),4)</f>
        <v>0</v>
      </c>
      <c r="L619" s="238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238">
        <f ca="1">ROUND(IF(ISERROR(OFFSET(Rame!$A$1,MATCH(H619,Rame!$A:$A,0)-1,MATCH(J619,Rame!$A$1:$AA$1,0)-1)=TRUE),0,OFFSET(Rame!$A$1,MATCH(H619,Rame!$A:$A,0)-1,MATCH(J619,Rame!$A$1:$AA$1,0)-1))*IF(E619="Rame",1,0),4)</f>
        <v>0</v>
      </c>
      <c r="N619" s="238">
        <v>0</v>
      </c>
      <c r="O619" s="238">
        <f t="shared" ca="1" si="294"/>
        <v>0</v>
      </c>
      <c r="P619" s="238">
        <f ca="1">ROUND(+IF(ISERROR(OFFSET(Tabella!$G$1,MATCH(H619,Tabella!$G:$G,0)-1,MATCH(I619,Tabella!$G$1:$FG$1,0)-1)=TRUE),0,OFFSET(Tabella!$G$1,MATCH(H619,Tabella!$G:$G,0)-1,MATCH(I619,Tabella!$G$1:$AB$1,0)-1)),4)</f>
        <v>0</v>
      </c>
      <c r="Q619" s="238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238">
        <f ca="1">ROUND(IF(ISERROR(OFFSET(Rame!$F$1,MATCH(H619,Rame!$F:$F,0)-1,MATCH(I619,Rame!$F$1:$FF$1,0)-1)=TRUE),0,OFFSET(Rame!$F$1,MATCH(H619,Rame!$F:$F,0)-1,MATCH(I619,Rame!$F$1:$FF$1,0)-1))*IF(E619="Rame",1,0),4)</f>
        <v>0</v>
      </c>
      <c r="S619" s="238">
        <f ca="1">ROUND(IF(ISERROR(OFFSET(Bronzo!$A$1,MATCH(H619,Bronzo!$A:$A,0)-1,MATCH(I619,Bronzo!$A$1:$AA$1,0)-1)=TRUE),0,OFFSET(Bronzo!$A$1,MATCH(H619,Bronzo!$A:$A,0)-1,MATCH(I619,Bronzo!$A$1:$AA$1,0)-1)),4)</f>
        <v>0</v>
      </c>
      <c r="T619" s="238">
        <f t="shared" ca="1" si="300"/>
        <v>0</v>
      </c>
      <c r="U619" s="237"/>
      <c r="V619" s="238">
        <v>0</v>
      </c>
      <c r="W619" s="239">
        <f t="shared" ca="1" si="301"/>
        <v>0</v>
      </c>
      <c r="X619" s="240">
        <f t="shared" si="298"/>
        <v>0</v>
      </c>
      <c r="Y619" s="236"/>
      <c r="Z619" s="236">
        <f t="shared" ca="1" si="302"/>
        <v>0</v>
      </c>
      <c r="AA619" s="241"/>
      <c r="AF619" s="225">
        <f t="shared" ca="1" si="297"/>
        <v>46236</v>
      </c>
      <c r="AG619" s="225" t="b">
        <f t="shared" si="299"/>
        <v>1</v>
      </c>
      <c r="AH619" s="242"/>
      <c r="AS619" s="223">
        <f t="shared" si="295"/>
        <v>0</v>
      </c>
      <c r="AT619" s="223">
        <f t="shared" si="296"/>
        <v>0</v>
      </c>
    </row>
    <row r="620" spans="2:46" ht="15.75" x14ac:dyDescent="0.25">
      <c r="B620" s="229"/>
      <c r="C620" s="235"/>
      <c r="D620" s="243"/>
      <c r="E620" s="232"/>
      <c r="F620" s="233"/>
      <c r="G620" s="234"/>
      <c r="H620" s="235"/>
      <c r="I620" s="235"/>
      <c r="J620" s="236"/>
      <c r="K620" s="237">
        <f ca="1">ROUND(IF(ISERROR(OFFSET(Tabella!$A$1,MATCH(H620,Tabella!$A:$A,0)-1,MATCH(J620,Tabella!$A$1:$AC$1,0)-1)=TRUE),0,+OFFSET(Tabella!$A$1,MATCH(H620,Tabella!$A:$A,0)-1,MATCH(J620,Tabella!$A$1:$AC$1,0)-1)),4)</f>
        <v>0</v>
      </c>
      <c r="L620" s="238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238">
        <f ca="1">ROUND(IF(ISERROR(OFFSET(Rame!$A$1,MATCH(H620,Rame!$A:$A,0)-1,MATCH(J620,Rame!$A$1:$AA$1,0)-1)=TRUE),0,OFFSET(Rame!$A$1,MATCH(H620,Rame!$A:$A,0)-1,MATCH(J620,Rame!$A$1:$AA$1,0)-1))*IF(E620="Rame",1,0),4)</f>
        <v>0</v>
      </c>
      <c r="N620" s="238">
        <v>0</v>
      </c>
      <c r="O620" s="238">
        <f t="shared" ca="1" si="294"/>
        <v>0</v>
      </c>
      <c r="P620" s="238">
        <f ca="1">ROUND(+IF(ISERROR(OFFSET(Tabella!$G$1,MATCH(H620,Tabella!$G:$G,0)-1,MATCH(I620,Tabella!$G$1:$FG$1,0)-1)=TRUE),0,OFFSET(Tabella!$G$1,MATCH(H620,Tabella!$G:$G,0)-1,MATCH(I620,Tabella!$G$1:$AB$1,0)-1)),4)</f>
        <v>0</v>
      </c>
      <c r="Q620" s="238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238">
        <f ca="1">ROUND(IF(ISERROR(OFFSET(Rame!$F$1,MATCH(H620,Rame!$F:$F,0)-1,MATCH(I620,Rame!$F$1:$FF$1,0)-1)=TRUE),0,OFFSET(Rame!$F$1,MATCH(H620,Rame!$F:$F,0)-1,MATCH(I620,Rame!$F$1:$FF$1,0)-1))*IF(E620="Rame",1,0),4)</f>
        <v>0</v>
      </c>
      <c r="S620" s="238">
        <f ca="1">ROUND(IF(ISERROR(OFFSET(Bronzo!$A$1,MATCH(H620,Bronzo!$A:$A,0)-1,MATCH(I620,Bronzo!$A$1:$AA$1,0)-1)=TRUE),0,OFFSET(Bronzo!$A$1,MATCH(H620,Bronzo!$A:$A,0)-1,MATCH(I620,Bronzo!$A$1:$AA$1,0)-1)),4)</f>
        <v>0</v>
      </c>
      <c r="T620" s="238">
        <f t="shared" ca="1" si="300"/>
        <v>0</v>
      </c>
      <c r="U620" s="237"/>
      <c r="V620" s="238">
        <v>0</v>
      </c>
      <c r="W620" s="239">
        <f t="shared" ca="1" si="301"/>
        <v>0</v>
      </c>
      <c r="X620" s="240">
        <f t="shared" si="298"/>
        <v>0</v>
      </c>
      <c r="Y620" s="236"/>
      <c r="Z620" s="236">
        <f t="shared" ca="1" si="302"/>
        <v>0</v>
      </c>
      <c r="AA620" s="241"/>
      <c r="AF620" s="225">
        <f t="shared" ca="1" si="297"/>
        <v>46236</v>
      </c>
      <c r="AG620" s="225" t="b">
        <f t="shared" si="299"/>
        <v>1</v>
      </c>
      <c r="AH620" s="242"/>
      <c r="AS620" s="223">
        <f t="shared" si="295"/>
        <v>0</v>
      </c>
      <c r="AT620" s="223">
        <f t="shared" si="296"/>
        <v>0</v>
      </c>
    </row>
    <row r="621" spans="2:46" ht="15.75" x14ac:dyDescent="0.25">
      <c r="B621" s="229"/>
      <c r="C621" s="235"/>
      <c r="D621" s="243"/>
      <c r="E621" s="232"/>
      <c r="F621" s="233"/>
      <c r="G621" s="234"/>
      <c r="H621" s="235"/>
      <c r="I621" s="235"/>
      <c r="J621" s="236"/>
      <c r="K621" s="237">
        <f ca="1">ROUND(IF(ISERROR(OFFSET(Tabella!$A$1,MATCH(H621,Tabella!$A:$A,0)-1,MATCH(J621,Tabella!$A$1:$AC$1,0)-1)=TRUE),0,+OFFSET(Tabella!$A$1,MATCH(H621,Tabella!$A:$A,0)-1,MATCH(J621,Tabella!$A$1:$AC$1,0)-1)),4)</f>
        <v>0</v>
      </c>
      <c r="L621" s="238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238">
        <f ca="1">ROUND(IF(ISERROR(OFFSET(Rame!$A$1,MATCH(H621,Rame!$A:$A,0)-1,MATCH(J621,Rame!$A$1:$AA$1,0)-1)=TRUE),0,OFFSET(Rame!$A$1,MATCH(H621,Rame!$A:$A,0)-1,MATCH(J621,Rame!$A$1:$AA$1,0)-1))*IF(E621="Rame",1,0),4)</f>
        <v>0</v>
      </c>
      <c r="N621" s="238">
        <v>0</v>
      </c>
      <c r="O621" s="238">
        <f t="shared" ca="1" si="294"/>
        <v>0</v>
      </c>
      <c r="P621" s="238">
        <f ca="1">ROUND(+IF(ISERROR(OFFSET(Tabella!$G$1,MATCH(H621,Tabella!$G:$G,0)-1,MATCH(I621,Tabella!$G$1:$FG$1,0)-1)=TRUE),0,OFFSET(Tabella!$G$1,MATCH(H621,Tabella!$G:$G,0)-1,MATCH(I621,Tabella!$G$1:$AB$1,0)-1)),4)</f>
        <v>0</v>
      </c>
      <c r="Q621" s="238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238">
        <f ca="1">ROUND(IF(ISERROR(OFFSET(Rame!$F$1,MATCH(H621,Rame!$F:$F,0)-1,MATCH(I621,Rame!$F$1:$FF$1,0)-1)=TRUE),0,OFFSET(Rame!$F$1,MATCH(H621,Rame!$F:$F,0)-1,MATCH(I621,Rame!$F$1:$FF$1,0)-1))*IF(E621="Rame",1,0),4)</f>
        <v>0</v>
      </c>
      <c r="S621" s="238">
        <f ca="1">ROUND(IF(ISERROR(OFFSET(Bronzo!$A$1,MATCH(H621,Bronzo!$A:$A,0)-1,MATCH(I621,Bronzo!$A$1:$AA$1,0)-1)=TRUE),0,OFFSET(Bronzo!$A$1,MATCH(H621,Bronzo!$A:$A,0)-1,MATCH(I621,Bronzo!$A$1:$AA$1,0)-1)),4)</f>
        <v>0</v>
      </c>
      <c r="T621" s="238">
        <f t="shared" ca="1" si="300"/>
        <v>0</v>
      </c>
      <c r="U621" s="237"/>
      <c r="V621" s="238">
        <v>0</v>
      </c>
      <c r="W621" s="239">
        <f t="shared" ca="1" si="301"/>
        <v>0</v>
      </c>
      <c r="X621" s="240">
        <f t="shared" si="298"/>
        <v>0</v>
      </c>
      <c r="Y621" s="236"/>
      <c r="Z621" s="236">
        <f t="shared" ca="1" si="302"/>
        <v>0</v>
      </c>
      <c r="AA621" s="241"/>
      <c r="AF621" s="225">
        <f t="shared" ca="1" si="297"/>
        <v>46236</v>
      </c>
      <c r="AG621" s="225" t="b">
        <f t="shared" si="299"/>
        <v>1</v>
      </c>
      <c r="AH621" s="242"/>
      <c r="AS621" s="223">
        <f t="shared" si="295"/>
        <v>0</v>
      </c>
      <c r="AT621" s="223">
        <f t="shared" si="296"/>
        <v>0</v>
      </c>
    </row>
    <row r="622" spans="2:46" ht="15.75" x14ac:dyDescent="0.25">
      <c r="B622" s="229"/>
      <c r="C622" s="235"/>
      <c r="D622" s="243"/>
      <c r="E622" s="232"/>
      <c r="F622" s="233"/>
      <c r="G622" s="234"/>
      <c r="H622" s="235"/>
      <c r="I622" s="235"/>
      <c r="J622" s="236"/>
      <c r="K622" s="237">
        <f ca="1">ROUND(IF(ISERROR(OFFSET(Tabella!$A$1,MATCH(H622,Tabella!$A:$A,0)-1,MATCH(J622,Tabella!$A$1:$AC$1,0)-1)=TRUE),0,+OFFSET(Tabella!$A$1,MATCH(H622,Tabella!$A:$A,0)-1,MATCH(J622,Tabella!$A$1:$AC$1,0)-1)),4)</f>
        <v>0</v>
      </c>
      <c r="L622" s="238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238">
        <f ca="1">ROUND(IF(ISERROR(OFFSET(Rame!$A$1,MATCH(H622,Rame!$A:$A,0)-1,MATCH(J622,Rame!$A$1:$AA$1,0)-1)=TRUE),0,OFFSET(Rame!$A$1,MATCH(H622,Rame!$A:$A,0)-1,MATCH(J622,Rame!$A$1:$AA$1,0)-1))*IF(E622="Rame",1,0),4)</f>
        <v>0</v>
      </c>
      <c r="N622" s="238">
        <v>0</v>
      </c>
      <c r="O622" s="238">
        <f t="shared" ca="1" si="294"/>
        <v>0</v>
      </c>
      <c r="P622" s="238">
        <f ca="1">ROUND(+IF(ISERROR(OFFSET(Tabella!$G$1,MATCH(H622,Tabella!$G:$G,0)-1,MATCH(I622,Tabella!$G$1:$FG$1,0)-1)=TRUE),0,OFFSET(Tabella!$G$1,MATCH(H622,Tabella!$G:$G,0)-1,MATCH(I622,Tabella!$G$1:$AB$1,0)-1)),4)</f>
        <v>0</v>
      </c>
      <c r="Q622" s="238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238">
        <f ca="1">ROUND(IF(ISERROR(OFFSET(Rame!$F$1,MATCH(H622,Rame!$F:$F,0)-1,MATCH(I622,Rame!$F$1:$FF$1,0)-1)=TRUE),0,OFFSET(Rame!$F$1,MATCH(H622,Rame!$F:$F,0)-1,MATCH(I622,Rame!$F$1:$FF$1,0)-1))*IF(E622="Rame",1,0),4)</f>
        <v>0</v>
      </c>
      <c r="S622" s="238">
        <f ca="1">ROUND(IF(ISERROR(OFFSET(Bronzo!$A$1,MATCH(H622,Bronzo!$A:$A,0)-1,MATCH(I622,Bronzo!$A$1:$AA$1,0)-1)=TRUE),0,OFFSET(Bronzo!$A$1,MATCH(H622,Bronzo!$A:$A,0)-1,MATCH(I622,Bronzo!$A$1:$AA$1,0)-1)),4)</f>
        <v>0</v>
      </c>
      <c r="T622" s="238">
        <f t="shared" ca="1" si="300"/>
        <v>0</v>
      </c>
      <c r="U622" s="237"/>
      <c r="V622" s="238">
        <v>0</v>
      </c>
      <c r="W622" s="239">
        <f t="shared" ca="1" si="301"/>
        <v>0</v>
      </c>
      <c r="X622" s="240">
        <f t="shared" si="298"/>
        <v>0</v>
      </c>
      <c r="Y622" s="236"/>
      <c r="Z622" s="236">
        <f t="shared" ca="1" si="302"/>
        <v>0</v>
      </c>
      <c r="AA622" s="241"/>
      <c r="AF622" s="225">
        <f t="shared" ca="1" si="297"/>
        <v>46236</v>
      </c>
      <c r="AG622" s="225" t="b">
        <f t="shared" si="299"/>
        <v>1</v>
      </c>
      <c r="AH622" s="242"/>
      <c r="AS622" s="223">
        <f t="shared" si="295"/>
        <v>0</v>
      </c>
      <c r="AT622" s="223">
        <f t="shared" si="296"/>
        <v>0</v>
      </c>
    </row>
    <row r="623" spans="2:46" ht="15.75" x14ac:dyDescent="0.25">
      <c r="B623" s="229"/>
      <c r="C623" s="235"/>
      <c r="D623" s="243"/>
      <c r="E623" s="232"/>
      <c r="F623" s="233"/>
      <c r="G623" s="234"/>
      <c r="H623" s="235"/>
      <c r="I623" s="235"/>
      <c r="J623" s="236"/>
      <c r="K623" s="237">
        <f ca="1">ROUND(IF(ISERROR(OFFSET(Tabella!$A$1,MATCH(H623,Tabella!$A:$A,0)-1,MATCH(J623,Tabella!$A$1:$AC$1,0)-1)=TRUE),0,+OFFSET(Tabella!$A$1,MATCH(H623,Tabella!$A:$A,0)-1,MATCH(J623,Tabella!$A$1:$AC$1,0)-1)),4)</f>
        <v>0</v>
      </c>
      <c r="L623" s="238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238">
        <f ca="1">ROUND(IF(ISERROR(OFFSET(Rame!$A$1,MATCH(H623,Rame!$A:$A,0)-1,MATCH(J623,Rame!$A$1:$AA$1,0)-1)=TRUE),0,OFFSET(Rame!$A$1,MATCH(H623,Rame!$A:$A,0)-1,MATCH(J623,Rame!$A$1:$AA$1,0)-1))*IF(E623="Rame",1,0),4)</f>
        <v>0</v>
      </c>
      <c r="N623" s="238">
        <v>0</v>
      </c>
      <c r="O623" s="238">
        <f t="shared" ca="1" si="294"/>
        <v>0</v>
      </c>
      <c r="P623" s="238">
        <f ca="1">ROUND(+IF(ISERROR(OFFSET(Tabella!$G$1,MATCH(H623,Tabella!$G:$G,0)-1,MATCH(I623,Tabella!$G$1:$FG$1,0)-1)=TRUE),0,OFFSET(Tabella!$G$1,MATCH(H623,Tabella!$G:$G,0)-1,MATCH(I623,Tabella!$G$1:$AB$1,0)-1)),4)</f>
        <v>0</v>
      </c>
      <c r="Q623" s="238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238">
        <f ca="1">ROUND(IF(ISERROR(OFFSET(Rame!$F$1,MATCH(H623,Rame!$F:$F,0)-1,MATCH(I623,Rame!$F$1:$FF$1,0)-1)=TRUE),0,OFFSET(Rame!$F$1,MATCH(H623,Rame!$F:$F,0)-1,MATCH(I623,Rame!$F$1:$FF$1,0)-1))*IF(E623="Rame",1,0),4)</f>
        <v>0</v>
      </c>
      <c r="S623" s="238">
        <f ca="1">ROUND(IF(ISERROR(OFFSET(Bronzo!$A$1,MATCH(H623,Bronzo!$A:$A,0)-1,MATCH(I623,Bronzo!$A$1:$AA$1,0)-1)=TRUE),0,OFFSET(Bronzo!$A$1,MATCH(H623,Bronzo!$A:$A,0)-1,MATCH(I623,Bronzo!$A$1:$AA$1,0)-1)),4)</f>
        <v>0</v>
      </c>
      <c r="T623" s="238">
        <f t="shared" ca="1" si="300"/>
        <v>0</v>
      </c>
      <c r="U623" s="237"/>
      <c r="V623" s="238">
        <v>0</v>
      </c>
      <c r="W623" s="239">
        <f t="shared" ca="1" si="301"/>
        <v>0</v>
      </c>
      <c r="X623" s="240">
        <f t="shared" si="298"/>
        <v>0</v>
      </c>
      <c r="Y623" s="236"/>
      <c r="Z623" s="236">
        <f t="shared" ca="1" si="302"/>
        <v>0</v>
      </c>
      <c r="AA623" s="241"/>
      <c r="AF623" s="225">
        <f t="shared" ca="1" si="297"/>
        <v>46236</v>
      </c>
      <c r="AG623" s="225" t="b">
        <f t="shared" si="299"/>
        <v>1</v>
      </c>
      <c r="AH623" s="242"/>
      <c r="AS623" s="223">
        <f t="shared" si="295"/>
        <v>0</v>
      </c>
      <c r="AT623" s="223">
        <f t="shared" si="296"/>
        <v>0</v>
      </c>
    </row>
    <row r="624" spans="2:46" ht="15.75" x14ac:dyDescent="0.25">
      <c r="B624" s="229"/>
      <c r="C624" s="235"/>
      <c r="D624" s="243"/>
      <c r="E624" s="232"/>
      <c r="F624" s="233"/>
      <c r="G624" s="234"/>
      <c r="H624" s="235"/>
      <c r="I624" s="235"/>
      <c r="J624" s="236"/>
      <c r="K624" s="237">
        <f ca="1">ROUND(IF(ISERROR(OFFSET(Tabella!$A$1,MATCH(H624,Tabella!$A:$A,0)-1,MATCH(J624,Tabella!$A$1:$AC$1,0)-1)=TRUE),0,+OFFSET(Tabella!$A$1,MATCH(H624,Tabella!$A:$A,0)-1,MATCH(J624,Tabella!$A$1:$AC$1,0)-1)),4)</f>
        <v>0</v>
      </c>
      <c r="L624" s="238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238">
        <f ca="1">ROUND(IF(ISERROR(OFFSET(Rame!$A$1,MATCH(H624,Rame!$A:$A,0)-1,MATCH(J624,Rame!$A$1:$AA$1,0)-1)=TRUE),0,OFFSET(Rame!$A$1,MATCH(H624,Rame!$A:$A,0)-1,MATCH(J624,Rame!$A$1:$AA$1,0)-1))*IF(E624="Rame",1,0),4)</f>
        <v>0</v>
      </c>
      <c r="N624" s="238">
        <v>0</v>
      </c>
      <c r="O624" s="238">
        <f t="shared" ca="1" si="294"/>
        <v>0</v>
      </c>
      <c r="P624" s="238">
        <f ca="1">ROUND(+IF(ISERROR(OFFSET(Tabella!$G$1,MATCH(H624,Tabella!$G:$G,0)-1,MATCH(I624,Tabella!$G$1:$FG$1,0)-1)=TRUE),0,OFFSET(Tabella!$G$1,MATCH(H624,Tabella!$G:$G,0)-1,MATCH(I624,Tabella!$G$1:$AB$1,0)-1)),4)</f>
        <v>0</v>
      </c>
      <c r="Q624" s="238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238">
        <f ca="1">ROUND(IF(ISERROR(OFFSET(Rame!$F$1,MATCH(H624,Rame!$F:$F,0)-1,MATCH(I624,Rame!$F$1:$FF$1,0)-1)=TRUE),0,OFFSET(Rame!$F$1,MATCH(H624,Rame!$F:$F,0)-1,MATCH(I624,Rame!$F$1:$FF$1,0)-1))*IF(E624="Rame",1,0),4)</f>
        <v>0</v>
      </c>
      <c r="S624" s="238">
        <f ca="1">ROUND(IF(ISERROR(OFFSET(Bronzo!$A$1,MATCH(H624,Bronzo!$A:$A,0)-1,MATCH(I624,Bronzo!$A$1:$AA$1,0)-1)=TRUE),0,OFFSET(Bronzo!$A$1,MATCH(H624,Bronzo!$A:$A,0)-1,MATCH(I624,Bronzo!$A$1:$AA$1,0)-1)),4)</f>
        <v>0</v>
      </c>
      <c r="T624" s="238">
        <f t="shared" ca="1" si="300"/>
        <v>0</v>
      </c>
      <c r="U624" s="237"/>
      <c r="V624" s="238">
        <v>0</v>
      </c>
      <c r="W624" s="239">
        <f t="shared" ca="1" si="301"/>
        <v>0</v>
      </c>
      <c r="X624" s="240">
        <f t="shared" si="298"/>
        <v>0</v>
      </c>
      <c r="Y624" s="236"/>
      <c r="Z624" s="236">
        <f t="shared" ca="1" si="302"/>
        <v>0</v>
      </c>
      <c r="AA624" s="241"/>
      <c r="AF624" s="225">
        <f t="shared" ca="1" si="297"/>
        <v>46236</v>
      </c>
      <c r="AG624" s="225" t="b">
        <f t="shared" si="299"/>
        <v>1</v>
      </c>
      <c r="AH624" s="242"/>
      <c r="AS624" s="223">
        <f t="shared" si="295"/>
        <v>0</v>
      </c>
      <c r="AT624" s="223">
        <f t="shared" si="296"/>
        <v>0</v>
      </c>
    </row>
    <row r="625" spans="2:46" ht="15.75" x14ac:dyDescent="0.25">
      <c r="B625" s="229"/>
      <c r="C625" s="235"/>
      <c r="D625" s="243"/>
      <c r="E625" s="232"/>
      <c r="F625" s="233"/>
      <c r="G625" s="234"/>
      <c r="H625" s="235"/>
      <c r="I625" s="235"/>
      <c r="J625" s="236"/>
      <c r="K625" s="237">
        <f ca="1">ROUND(IF(ISERROR(OFFSET(Tabella!$A$1,MATCH(H625,Tabella!$A:$A,0)-1,MATCH(J625,Tabella!$A$1:$AC$1,0)-1)=TRUE),0,+OFFSET(Tabella!$A$1,MATCH(H625,Tabella!$A:$A,0)-1,MATCH(J625,Tabella!$A$1:$AC$1,0)-1)),4)</f>
        <v>0</v>
      </c>
      <c r="L625" s="238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238">
        <f ca="1">ROUND(IF(ISERROR(OFFSET(Rame!$A$1,MATCH(H625,Rame!$A:$A,0)-1,MATCH(J625,Rame!$A$1:$AA$1,0)-1)=TRUE),0,OFFSET(Rame!$A$1,MATCH(H625,Rame!$A:$A,0)-1,MATCH(J625,Rame!$A$1:$AA$1,0)-1))*IF(E625="Rame",1,0),4)</f>
        <v>0</v>
      </c>
      <c r="N625" s="238">
        <v>0</v>
      </c>
      <c r="O625" s="238">
        <f t="shared" ca="1" si="294"/>
        <v>0</v>
      </c>
      <c r="P625" s="238">
        <f ca="1">ROUND(+IF(ISERROR(OFFSET(Tabella!$G$1,MATCH(H625,Tabella!$G:$G,0)-1,MATCH(I625,Tabella!$G$1:$FG$1,0)-1)=TRUE),0,OFFSET(Tabella!$G$1,MATCH(H625,Tabella!$G:$G,0)-1,MATCH(I625,Tabella!$G$1:$AB$1,0)-1)),4)</f>
        <v>0</v>
      </c>
      <c r="Q625" s="238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238">
        <f ca="1">ROUND(IF(ISERROR(OFFSET(Rame!$F$1,MATCH(H625,Rame!$F:$F,0)-1,MATCH(I625,Rame!$F$1:$FF$1,0)-1)=TRUE),0,OFFSET(Rame!$F$1,MATCH(H625,Rame!$F:$F,0)-1,MATCH(I625,Rame!$F$1:$FF$1,0)-1))*IF(E625="Rame",1,0),4)</f>
        <v>0</v>
      </c>
      <c r="S625" s="238">
        <f ca="1">ROUND(IF(ISERROR(OFFSET(Bronzo!$A$1,MATCH(H625,Bronzo!$A:$A,0)-1,MATCH(I625,Bronzo!$A$1:$AA$1,0)-1)=TRUE),0,OFFSET(Bronzo!$A$1,MATCH(H625,Bronzo!$A:$A,0)-1,MATCH(I625,Bronzo!$A$1:$AA$1,0)-1)),4)</f>
        <v>0</v>
      </c>
      <c r="T625" s="238">
        <f t="shared" ca="1" si="300"/>
        <v>0</v>
      </c>
      <c r="U625" s="237"/>
      <c r="V625" s="238">
        <v>0</v>
      </c>
      <c r="W625" s="239">
        <f t="shared" ca="1" si="301"/>
        <v>0</v>
      </c>
      <c r="X625" s="240">
        <f t="shared" si="298"/>
        <v>0</v>
      </c>
      <c r="Y625" s="236"/>
      <c r="Z625" s="236">
        <f t="shared" ca="1" si="302"/>
        <v>0</v>
      </c>
      <c r="AA625" s="241"/>
      <c r="AF625" s="225">
        <f t="shared" ca="1" si="297"/>
        <v>46236</v>
      </c>
      <c r="AG625" s="225" t="b">
        <f t="shared" si="299"/>
        <v>1</v>
      </c>
      <c r="AH625" s="242"/>
      <c r="AS625" s="223">
        <f t="shared" si="295"/>
        <v>0</v>
      </c>
      <c r="AT625" s="223">
        <f t="shared" si="296"/>
        <v>0</v>
      </c>
    </row>
    <row r="626" spans="2:46" ht="15.75" x14ac:dyDescent="0.25">
      <c r="B626" s="229"/>
      <c r="C626" s="235"/>
      <c r="D626" s="243"/>
      <c r="E626" s="232"/>
      <c r="F626" s="233"/>
      <c r="G626" s="234"/>
      <c r="H626" s="235"/>
      <c r="I626" s="235"/>
      <c r="J626" s="236"/>
      <c r="K626" s="237">
        <f ca="1">ROUND(IF(ISERROR(OFFSET(Tabella!$A$1,MATCH(H626,Tabella!$A:$A,0)-1,MATCH(J626,Tabella!$A$1:$AC$1,0)-1)=TRUE),0,+OFFSET(Tabella!$A$1,MATCH(H626,Tabella!$A:$A,0)-1,MATCH(J626,Tabella!$A$1:$AC$1,0)-1)),4)</f>
        <v>0</v>
      </c>
      <c r="L626" s="238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238">
        <f ca="1">ROUND(IF(ISERROR(OFFSET(Rame!$A$1,MATCH(H626,Rame!$A:$A,0)-1,MATCH(J626,Rame!$A$1:$AA$1,0)-1)=TRUE),0,OFFSET(Rame!$A$1,MATCH(H626,Rame!$A:$A,0)-1,MATCH(J626,Rame!$A$1:$AA$1,0)-1))*IF(E626="Rame",1,0),4)</f>
        <v>0</v>
      </c>
      <c r="N626" s="238">
        <v>0</v>
      </c>
      <c r="O626" s="238">
        <f t="shared" ca="1" si="294"/>
        <v>0</v>
      </c>
      <c r="P626" s="238">
        <f ca="1">ROUND(+IF(ISERROR(OFFSET(Tabella!$G$1,MATCH(H626,Tabella!$G:$G,0)-1,MATCH(I626,Tabella!$G$1:$FG$1,0)-1)=TRUE),0,OFFSET(Tabella!$G$1,MATCH(H626,Tabella!$G:$G,0)-1,MATCH(I626,Tabella!$G$1:$AB$1,0)-1)),4)</f>
        <v>0</v>
      </c>
      <c r="Q626" s="238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238">
        <f ca="1">ROUND(IF(ISERROR(OFFSET(Rame!$F$1,MATCH(H626,Rame!$F:$F,0)-1,MATCH(I626,Rame!$F$1:$FF$1,0)-1)=TRUE),0,OFFSET(Rame!$F$1,MATCH(H626,Rame!$F:$F,0)-1,MATCH(I626,Rame!$F$1:$FF$1,0)-1))*IF(E626="Rame",1,0),4)</f>
        <v>0</v>
      </c>
      <c r="S626" s="238">
        <f ca="1">ROUND(IF(ISERROR(OFFSET(Bronzo!$A$1,MATCH(H626,Bronzo!$A:$A,0)-1,MATCH(I626,Bronzo!$A$1:$AA$1,0)-1)=TRUE),0,OFFSET(Bronzo!$A$1,MATCH(H626,Bronzo!$A:$A,0)-1,MATCH(I626,Bronzo!$A$1:$AA$1,0)-1)),4)</f>
        <v>0</v>
      </c>
      <c r="T626" s="238">
        <f t="shared" ca="1" si="300"/>
        <v>0</v>
      </c>
      <c r="U626" s="237"/>
      <c r="V626" s="238">
        <v>0</v>
      </c>
      <c r="W626" s="239">
        <f t="shared" ca="1" si="301"/>
        <v>0</v>
      </c>
      <c r="X626" s="240">
        <f t="shared" si="298"/>
        <v>0</v>
      </c>
      <c r="Y626" s="236"/>
      <c r="Z626" s="236">
        <f t="shared" ca="1" si="302"/>
        <v>0</v>
      </c>
      <c r="AA626" s="241"/>
      <c r="AF626" s="225">
        <f t="shared" ca="1" si="297"/>
        <v>46236</v>
      </c>
      <c r="AG626" s="225" t="b">
        <f t="shared" si="299"/>
        <v>1</v>
      </c>
      <c r="AH626" s="242"/>
      <c r="AS626" s="223">
        <f t="shared" si="295"/>
        <v>0</v>
      </c>
      <c r="AT626" s="223">
        <f t="shared" si="296"/>
        <v>0</v>
      </c>
    </row>
    <row r="627" spans="2:46" ht="15.75" x14ac:dyDescent="0.25">
      <c r="B627" s="229"/>
      <c r="C627" s="235"/>
      <c r="D627" s="243"/>
      <c r="E627" s="232"/>
      <c r="F627" s="233"/>
      <c r="G627" s="234"/>
      <c r="H627" s="235"/>
      <c r="I627" s="235"/>
      <c r="J627" s="236"/>
      <c r="K627" s="237">
        <f ca="1">ROUND(IF(ISERROR(OFFSET(Tabella!$A$1,MATCH(H627,Tabella!$A:$A,0)-1,MATCH(J627,Tabella!$A$1:$AC$1,0)-1)=TRUE),0,+OFFSET(Tabella!$A$1,MATCH(H627,Tabella!$A:$A,0)-1,MATCH(J627,Tabella!$A$1:$AC$1,0)-1)),4)</f>
        <v>0</v>
      </c>
      <c r="L627" s="238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238">
        <f ca="1">ROUND(IF(ISERROR(OFFSET(Rame!$A$1,MATCH(H627,Rame!$A:$A,0)-1,MATCH(J627,Rame!$A$1:$AA$1,0)-1)=TRUE),0,OFFSET(Rame!$A$1,MATCH(H627,Rame!$A:$A,0)-1,MATCH(J627,Rame!$A$1:$AA$1,0)-1))*IF(E627="Rame",1,0),4)</f>
        <v>0</v>
      </c>
      <c r="N627" s="238">
        <v>0</v>
      </c>
      <c r="O627" s="238">
        <f t="shared" ref="O627:O690" ca="1" si="303">ROUND(SUM(K627:N627),4)</f>
        <v>0</v>
      </c>
      <c r="P627" s="238">
        <f ca="1">ROUND(+IF(ISERROR(OFFSET(Tabella!$G$1,MATCH(H627,Tabella!$G:$G,0)-1,MATCH(I627,Tabella!$G$1:$FG$1,0)-1)=TRUE),0,OFFSET(Tabella!$G$1,MATCH(H627,Tabella!$G:$G,0)-1,MATCH(I627,Tabella!$G$1:$AB$1,0)-1)),4)</f>
        <v>0</v>
      </c>
      <c r="Q627" s="238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238">
        <f ca="1">ROUND(IF(ISERROR(OFFSET(Rame!$F$1,MATCH(H627,Rame!$F:$F,0)-1,MATCH(I627,Rame!$F$1:$FF$1,0)-1)=TRUE),0,OFFSET(Rame!$F$1,MATCH(H627,Rame!$F:$F,0)-1,MATCH(I627,Rame!$F$1:$FF$1,0)-1))*IF(E627="Rame",1,0),4)</f>
        <v>0</v>
      </c>
      <c r="S627" s="238">
        <f ca="1">ROUND(IF(ISERROR(OFFSET(Bronzo!$A$1,MATCH(H627,Bronzo!$A:$A,0)-1,MATCH(I627,Bronzo!$A$1:$AA$1,0)-1)=TRUE),0,OFFSET(Bronzo!$A$1,MATCH(H627,Bronzo!$A:$A,0)-1,MATCH(I627,Bronzo!$A$1:$AA$1,0)-1)),4)</f>
        <v>0</v>
      </c>
      <c r="T627" s="238">
        <f t="shared" ca="1" si="300"/>
        <v>0</v>
      </c>
      <c r="U627" s="237"/>
      <c r="V627" s="238">
        <v>0</v>
      </c>
      <c r="W627" s="239">
        <f t="shared" ca="1" si="301"/>
        <v>0</v>
      </c>
      <c r="X627" s="240">
        <f t="shared" si="298"/>
        <v>0</v>
      </c>
      <c r="Y627" s="236"/>
      <c r="Z627" s="236">
        <f t="shared" ca="1" si="302"/>
        <v>0</v>
      </c>
      <c r="AA627" s="241"/>
      <c r="AF627" s="225">
        <f t="shared" ca="1" si="297"/>
        <v>46236</v>
      </c>
      <c r="AG627" s="225" t="b">
        <f t="shared" si="299"/>
        <v>1</v>
      </c>
      <c r="AH627" s="242"/>
      <c r="AS627" s="223">
        <f t="shared" si="295"/>
        <v>0</v>
      </c>
      <c r="AT627" s="223">
        <f t="shared" si="296"/>
        <v>0</v>
      </c>
    </row>
    <row r="628" spans="2:46" ht="15.75" x14ac:dyDescent="0.25">
      <c r="B628" s="229"/>
      <c r="C628" s="235"/>
      <c r="D628" s="243"/>
      <c r="E628" s="232"/>
      <c r="F628" s="233"/>
      <c r="G628" s="234"/>
      <c r="H628" s="235"/>
      <c r="I628" s="235"/>
      <c r="J628" s="236"/>
      <c r="K628" s="237">
        <f ca="1">ROUND(IF(ISERROR(OFFSET(Tabella!$A$1,MATCH(H628,Tabella!$A:$A,0)-1,MATCH(J628,Tabella!$A$1:$AC$1,0)-1)=TRUE),0,+OFFSET(Tabella!$A$1,MATCH(H628,Tabella!$A:$A,0)-1,MATCH(J628,Tabella!$A$1:$AC$1,0)-1)),4)</f>
        <v>0</v>
      </c>
      <c r="L628" s="238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238">
        <f ca="1">ROUND(IF(ISERROR(OFFSET(Rame!$A$1,MATCH(H628,Rame!$A:$A,0)-1,MATCH(J628,Rame!$A$1:$AA$1,0)-1)=TRUE),0,OFFSET(Rame!$A$1,MATCH(H628,Rame!$A:$A,0)-1,MATCH(J628,Rame!$A$1:$AA$1,0)-1))*IF(E628="Rame",1,0),4)</f>
        <v>0</v>
      </c>
      <c r="N628" s="238">
        <v>0</v>
      </c>
      <c r="O628" s="238">
        <f t="shared" ca="1" si="303"/>
        <v>0</v>
      </c>
      <c r="P628" s="238">
        <f ca="1">ROUND(+IF(ISERROR(OFFSET(Tabella!$G$1,MATCH(H628,Tabella!$G:$G,0)-1,MATCH(I628,Tabella!$G$1:$FG$1,0)-1)=TRUE),0,OFFSET(Tabella!$G$1,MATCH(H628,Tabella!$G:$G,0)-1,MATCH(I628,Tabella!$G$1:$AB$1,0)-1)),4)</f>
        <v>0</v>
      </c>
      <c r="Q628" s="238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238">
        <f ca="1">ROUND(IF(ISERROR(OFFSET(Rame!$F$1,MATCH(H628,Rame!$F:$F,0)-1,MATCH(I628,Rame!$F$1:$FF$1,0)-1)=TRUE),0,OFFSET(Rame!$F$1,MATCH(H628,Rame!$F:$F,0)-1,MATCH(I628,Rame!$F$1:$FF$1,0)-1))*IF(E628="Rame",1,0),4)</f>
        <v>0</v>
      </c>
      <c r="S628" s="238">
        <f ca="1">ROUND(IF(ISERROR(OFFSET(Bronzo!$A$1,MATCH(H628,Bronzo!$A:$A,0)-1,MATCH(I628,Bronzo!$A$1:$AA$1,0)-1)=TRUE),0,OFFSET(Bronzo!$A$1,MATCH(H628,Bronzo!$A:$A,0)-1,MATCH(I628,Bronzo!$A$1:$AA$1,0)-1)),4)</f>
        <v>0</v>
      </c>
      <c r="T628" s="238">
        <f t="shared" ca="1" si="300"/>
        <v>0</v>
      </c>
      <c r="U628" s="237"/>
      <c r="V628" s="238">
        <v>0</v>
      </c>
      <c r="W628" s="239">
        <f t="shared" ca="1" si="301"/>
        <v>0</v>
      </c>
      <c r="X628" s="240">
        <f t="shared" si="298"/>
        <v>0</v>
      </c>
      <c r="Y628" s="236"/>
      <c r="Z628" s="236">
        <f t="shared" ca="1" si="302"/>
        <v>0</v>
      </c>
      <c r="AA628" s="241"/>
      <c r="AF628" s="225">
        <f t="shared" ca="1" si="297"/>
        <v>46236</v>
      </c>
      <c r="AG628" s="225" t="b">
        <f t="shared" si="299"/>
        <v>1</v>
      </c>
      <c r="AH628" s="242"/>
      <c r="AS628" s="223">
        <f t="shared" si="295"/>
        <v>0</v>
      </c>
      <c r="AT628" s="223">
        <f t="shared" si="296"/>
        <v>0</v>
      </c>
    </row>
    <row r="629" spans="2:46" ht="15.75" x14ac:dyDescent="0.25">
      <c r="B629" s="229"/>
      <c r="C629" s="235"/>
      <c r="D629" s="243"/>
      <c r="E629" s="232"/>
      <c r="F629" s="233"/>
      <c r="G629" s="234"/>
      <c r="H629" s="235"/>
      <c r="I629" s="235"/>
      <c r="J629" s="236"/>
      <c r="K629" s="237">
        <f ca="1">ROUND(IF(ISERROR(OFFSET(Tabella!$A$1,MATCH(H629,Tabella!$A:$A,0)-1,MATCH(J629,Tabella!$A$1:$AC$1,0)-1)=TRUE),0,+OFFSET(Tabella!$A$1,MATCH(H629,Tabella!$A:$A,0)-1,MATCH(J629,Tabella!$A$1:$AC$1,0)-1)),4)</f>
        <v>0</v>
      </c>
      <c r="L629" s="238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238">
        <f ca="1">ROUND(IF(ISERROR(OFFSET(Rame!$A$1,MATCH(H629,Rame!$A:$A,0)-1,MATCH(J629,Rame!$A$1:$AA$1,0)-1)=TRUE),0,OFFSET(Rame!$A$1,MATCH(H629,Rame!$A:$A,0)-1,MATCH(J629,Rame!$A$1:$AA$1,0)-1))*IF(E629="Rame",1,0),4)</f>
        <v>0</v>
      </c>
      <c r="N629" s="238">
        <v>0</v>
      </c>
      <c r="O629" s="238">
        <f t="shared" ca="1" si="303"/>
        <v>0</v>
      </c>
      <c r="P629" s="238">
        <f ca="1">ROUND(+IF(ISERROR(OFFSET(Tabella!$G$1,MATCH(H629,Tabella!$G:$G,0)-1,MATCH(I629,Tabella!$G$1:$FG$1,0)-1)=TRUE),0,OFFSET(Tabella!$G$1,MATCH(H629,Tabella!$G:$G,0)-1,MATCH(I629,Tabella!$G$1:$AB$1,0)-1)),4)</f>
        <v>0</v>
      </c>
      <c r="Q629" s="238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238">
        <f ca="1">ROUND(IF(ISERROR(OFFSET(Rame!$F$1,MATCH(H629,Rame!$F:$F,0)-1,MATCH(I629,Rame!$F$1:$FF$1,0)-1)=TRUE),0,OFFSET(Rame!$F$1,MATCH(H629,Rame!$F:$F,0)-1,MATCH(I629,Rame!$F$1:$FF$1,0)-1))*IF(E629="Rame",1,0),4)</f>
        <v>0</v>
      </c>
      <c r="S629" s="238">
        <f ca="1">ROUND(IF(ISERROR(OFFSET(Bronzo!$A$1,MATCH(H629,Bronzo!$A:$A,0)-1,MATCH(I629,Bronzo!$A$1:$AA$1,0)-1)=TRUE),0,OFFSET(Bronzo!$A$1,MATCH(H629,Bronzo!$A:$A,0)-1,MATCH(I629,Bronzo!$A$1:$AA$1,0)-1)),4)</f>
        <v>0</v>
      </c>
      <c r="T629" s="238">
        <f t="shared" ca="1" si="300"/>
        <v>0</v>
      </c>
      <c r="U629" s="237"/>
      <c r="V629" s="238">
        <v>0</v>
      </c>
      <c r="W629" s="239">
        <f t="shared" ca="1" si="301"/>
        <v>0</v>
      </c>
      <c r="X629" s="240">
        <f t="shared" si="298"/>
        <v>0</v>
      </c>
      <c r="Y629" s="236"/>
      <c r="Z629" s="236">
        <f t="shared" ca="1" si="302"/>
        <v>0</v>
      </c>
      <c r="AA629" s="241"/>
      <c r="AF629" s="225">
        <f t="shared" ca="1" si="297"/>
        <v>46236</v>
      </c>
      <c r="AG629" s="225" t="b">
        <f t="shared" si="299"/>
        <v>1</v>
      </c>
      <c r="AH629" s="242"/>
      <c r="AS629" s="223">
        <f t="shared" si="295"/>
        <v>0</v>
      </c>
      <c r="AT629" s="223">
        <f t="shared" si="296"/>
        <v>0</v>
      </c>
    </row>
    <row r="630" spans="2:46" ht="15.75" x14ac:dyDescent="0.25">
      <c r="B630" s="229"/>
      <c r="C630" s="235"/>
      <c r="D630" s="243"/>
      <c r="E630" s="232"/>
      <c r="F630" s="233"/>
      <c r="G630" s="234"/>
      <c r="H630" s="235"/>
      <c r="I630" s="235"/>
      <c r="J630" s="236"/>
      <c r="K630" s="237">
        <f ca="1">ROUND(IF(ISERROR(OFFSET(Tabella!$A$1,MATCH(H630,Tabella!$A:$A,0)-1,MATCH(J630,Tabella!$A$1:$AC$1,0)-1)=TRUE),0,+OFFSET(Tabella!$A$1,MATCH(H630,Tabella!$A:$A,0)-1,MATCH(J630,Tabella!$A$1:$AC$1,0)-1)),4)</f>
        <v>0</v>
      </c>
      <c r="L630" s="238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238">
        <f ca="1">ROUND(IF(ISERROR(OFFSET(Rame!$A$1,MATCH(H630,Rame!$A:$A,0)-1,MATCH(J630,Rame!$A$1:$AA$1,0)-1)=TRUE),0,OFFSET(Rame!$A$1,MATCH(H630,Rame!$A:$A,0)-1,MATCH(J630,Rame!$A$1:$AA$1,0)-1))*IF(E630="Rame",1,0),4)</f>
        <v>0</v>
      </c>
      <c r="N630" s="238">
        <v>0</v>
      </c>
      <c r="O630" s="238">
        <f t="shared" ca="1" si="303"/>
        <v>0</v>
      </c>
      <c r="P630" s="238">
        <f ca="1">ROUND(+IF(ISERROR(OFFSET(Tabella!$G$1,MATCH(H630,Tabella!$G:$G,0)-1,MATCH(I630,Tabella!$G$1:$FG$1,0)-1)=TRUE),0,OFFSET(Tabella!$G$1,MATCH(H630,Tabella!$G:$G,0)-1,MATCH(I630,Tabella!$G$1:$AB$1,0)-1)),4)</f>
        <v>0</v>
      </c>
      <c r="Q630" s="238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238">
        <f ca="1">ROUND(IF(ISERROR(OFFSET(Rame!$F$1,MATCH(H630,Rame!$F:$F,0)-1,MATCH(I630,Rame!$F$1:$FF$1,0)-1)=TRUE),0,OFFSET(Rame!$F$1,MATCH(H630,Rame!$F:$F,0)-1,MATCH(I630,Rame!$F$1:$FF$1,0)-1))*IF(E630="Rame",1,0),4)</f>
        <v>0</v>
      </c>
      <c r="S630" s="238">
        <f ca="1">ROUND(IF(ISERROR(OFFSET(Bronzo!$A$1,MATCH(H630,Bronzo!$A:$A,0)-1,MATCH(I630,Bronzo!$A$1:$AA$1,0)-1)=TRUE),0,OFFSET(Bronzo!$A$1,MATCH(H630,Bronzo!$A:$A,0)-1,MATCH(I630,Bronzo!$A$1:$AA$1,0)-1)),4)</f>
        <v>0</v>
      </c>
      <c r="T630" s="238">
        <f t="shared" ca="1" si="300"/>
        <v>0</v>
      </c>
      <c r="U630" s="237"/>
      <c r="V630" s="238">
        <v>0</v>
      </c>
      <c r="W630" s="239">
        <f t="shared" ca="1" si="301"/>
        <v>0</v>
      </c>
      <c r="X630" s="240">
        <f t="shared" si="298"/>
        <v>0</v>
      </c>
      <c r="Y630" s="236"/>
      <c r="Z630" s="236">
        <f t="shared" ca="1" si="302"/>
        <v>0</v>
      </c>
      <c r="AA630" s="241"/>
      <c r="AF630" s="225">
        <f t="shared" ca="1" si="297"/>
        <v>46236</v>
      </c>
      <c r="AG630" s="225" t="b">
        <f t="shared" si="299"/>
        <v>1</v>
      </c>
      <c r="AH630" s="242"/>
      <c r="AS630" s="223">
        <f t="shared" si="295"/>
        <v>0</v>
      </c>
      <c r="AT630" s="223">
        <f t="shared" si="296"/>
        <v>0</v>
      </c>
    </row>
    <row r="631" spans="2:46" ht="15.75" x14ac:dyDescent="0.25">
      <c r="B631" s="229"/>
      <c r="C631" s="235"/>
      <c r="D631" s="243"/>
      <c r="E631" s="232"/>
      <c r="F631" s="233"/>
      <c r="G631" s="234"/>
      <c r="H631" s="235"/>
      <c r="I631" s="235"/>
      <c r="J631" s="236"/>
      <c r="K631" s="237">
        <f ca="1">ROUND(IF(ISERROR(OFFSET(Tabella!$A$1,MATCH(H631,Tabella!$A:$A,0)-1,MATCH(J631,Tabella!$A$1:$AC$1,0)-1)=TRUE),0,+OFFSET(Tabella!$A$1,MATCH(H631,Tabella!$A:$A,0)-1,MATCH(J631,Tabella!$A$1:$AC$1,0)-1)),4)</f>
        <v>0</v>
      </c>
      <c r="L631" s="238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238">
        <f ca="1">ROUND(IF(ISERROR(OFFSET(Rame!$A$1,MATCH(H631,Rame!$A:$A,0)-1,MATCH(J631,Rame!$A$1:$AA$1,0)-1)=TRUE),0,OFFSET(Rame!$A$1,MATCH(H631,Rame!$A:$A,0)-1,MATCH(J631,Rame!$A$1:$AA$1,0)-1))*IF(E631="Rame",1,0),4)</f>
        <v>0</v>
      </c>
      <c r="N631" s="238">
        <v>0</v>
      </c>
      <c r="O631" s="238">
        <f t="shared" ca="1" si="303"/>
        <v>0</v>
      </c>
      <c r="P631" s="238">
        <f ca="1">ROUND(+IF(ISERROR(OFFSET(Tabella!$G$1,MATCH(H631,Tabella!$G:$G,0)-1,MATCH(I631,Tabella!$G$1:$FG$1,0)-1)=TRUE),0,OFFSET(Tabella!$G$1,MATCH(H631,Tabella!$G:$G,0)-1,MATCH(I631,Tabella!$G$1:$AB$1,0)-1)),4)</f>
        <v>0</v>
      </c>
      <c r="Q631" s="238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238">
        <f ca="1">ROUND(IF(ISERROR(OFFSET(Rame!$F$1,MATCH(H631,Rame!$F:$F,0)-1,MATCH(I631,Rame!$F$1:$FF$1,0)-1)=TRUE),0,OFFSET(Rame!$F$1,MATCH(H631,Rame!$F:$F,0)-1,MATCH(I631,Rame!$F$1:$FF$1,0)-1))*IF(E631="Rame",1,0),4)</f>
        <v>0</v>
      </c>
      <c r="S631" s="238">
        <f ca="1">ROUND(IF(ISERROR(OFFSET(Bronzo!$A$1,MATCH(H631,Bronzo!$A:$A,0)-1,MATCH(I631,Bronzo!$A$1:$AA$1,0)-1)=TRUE),0,OFFSET(Bronzo!$A$1,MATCH(H631,Bronzo!$A:$A,0)-1,MATCH(I631,Bronzo!$A$1:$AA$1,0)-1)),4)</f>
        <v>0</v>
      </c>
      <c r="T631" s="238">
        <f t="shared" ca="1" si="300"/>
        <v>0</v>
      </c>
      <c r="U631" s="237"/>
      <c r="V631" s="238">
        <v>0</v>
      </c>
      <c r="W631" s="239">
        <f t="shared" ca="1" si="301"/>
        <v>0</v>
      </c>
      <c r="X631" s="240">
        <f t="shared" si="298"/>
        <v>0</v>
      </c>
      <c r="Y631" s="236"/>
      <c r="Z631" s="236">
        <f t="shared" ca="1" si="302"/>
        <v>0</v>
      </c>
      <c r="AA631" s="241"/>
      <c r="AF631" s="225">
        <f t="shared" ca="1" si="297"/>
        <v>46236</v>
      </c>
      <c r="AG631" s="225" t="b">
        <f t="shared" si="299"/>
        <v>1</v>
      </c>
      <c r="AH631" s="242"/>
      <c r="AS631" s="223">
        <f t="shared" si="295"/>
        <v>0</v>
      </c>
      <c r="AT631" s="223">
        <f t="shared" si="296"/>
        <v>0</v>
      </c>
    </row>
    <row r="632" spans="2:46" ht="15.75" x14ac:dyDescent="0.25">
      <c r="B632" s="229"/>
      <c r="C632" s="235"/>
      <c r="D632" s="243"/>
      <c r="E632" s="232"/>
      <c r="F632" s="233"/>
      <c r="G632" s="234"/>
      <c r="H632" s="235"/>
      <c r="I632" s="235"/>
      <c r="J632" s="236"/>
      <c r="K632" s="237">
        <f ca="1">ROUND(IF(ISERROR(OFFSET(Tabella!$A$1,MATCH(H632,Tabella!$A:$A,0)-1,MATCH(J632,Tabella!$A$1:$AC$1,0)-1)=TRUE),0,+OFFSET(Tabella!$A$1,MATCH(H632,Tabella!$A:$A,0)-1,MATCH(J632,Tabella!$A$1:$AC$1,0)-1)),4)</f>
        <v>0</v>
      </c>
      <c r="L632" s="238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238">
        <f ca="1">ROUND(IF(ISERROR(OFFSET(Rame!$A$1,MATCH(H632,Rame!$A:$A,0)-1,MATCH(J632,Rame!$A$1:$AA$1,0)-1)=TRUE),0,OFFSET(Rame!$A$1,MATCH(H632,Rame!$A:$A,0)-1,MATCH(J632,Rame!$A$1:$AA$1,0)-1))*IF(E632="Rame",1,0),4)</f>
        <v>0</v>
      </c>
      <c r="N632" s="238">
        <v>0</v>
      </c>
      <c r="O632" s="238">
        <f t="shared" ca="1" si="303"/>
        <v>0</v>
      </c>
      <c r="P632" s="238">
        <f ca="1">ROUND(+IF(ISERROR(OFFSET(Tabella!$G$1,MATCH(H632,Tabella!$G:$G,0)-1,MATCH(I632,Tabella!$G$1:$FG$1,0)-1)=TRUE),0,OFFSET(Tabella!$G$1,MATCH(H632,Tabella!$G:$G,0)-1,MATCH(I632,Tabella!$G$1:$AB$1,0)-1)),4)</f>
        <v>0</v>
      </c>
      <c r="Q632" s="238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238">
        <f ca="1">ROUND(IF(ISERROR(OFFSET(Rame!$F$1,MATCH(H632,Rame!$F:$F,0)-1,MATCH(I632,Rame!$F$1:$FF$1,0)-1)=TRUE),0,OFFSET(Rame!$F$1,MATCH(H632,Rame!$F:$F,0)-1,MATCH(I632,Rame!$F$1:$FF$1,0)-1))*IF(E632="Rame",1,0),4)</f>
        <v>0</v>
      </c>
      <c r="S632" s="238">
        <f ca="1">ROUND(IF(ISERROR(OFFSET(Bronzo!$A$1,MATCH(H632,Bronzo!$A:$A,0)-1,MATCH(I632,Bronzo!$A$1:$AA$1,0)-1)=TRUE),0,OFFSET(Bronzo!$A$1,MATCH(H632,Bronzo!$A:$A,0)-1,MATCH(I632,Bronzo!$A$1:$AA$1,0)-1)),4)</f>
        <v>0</v>
      </c>
      <c r="T632" s="238">
        <f t="shared" ca="1" si="300"/>
        <v>0</v>
      </c>
      <c r="U632" s="237"/>
      <c r="V632" s="238">
        <v>0</v>
      </c>
      <c r="W632" s="239">
        <f t="shared" ca="1" si="301"/>
        <v>0</v>
      </c>
      <c r="X632" s="240">
        <f t="shared" si="298"/>
        <v>0</v>
      </c>
      <c r="Y632" s="236"/>
      <c r="Z632" s="236">
        <f t="shared" ca="1" si="302"/>
        <v>0</v>
      </c>
      <c r="AA632" s="241"/>
      <c r="AF632" s="225">
        <f t="shared" ca="1" si="297"/>
        <v>46236</v>
      </c>
      <c r="AG632" s="225" t="b">
        <f t="shared" si="299"/>
        <v>1</v>
      </c>
      <c r="AH632" s="242"/>
      <c r="AS632" s="223">
        <f t="shared" si="295"/>
        <v>0</v>
      </c>
      <c r="AT632" s="223">
        <f t="shared" si="296"/>
        <v>0</v>
      </c>
    </row>
    <row r="633" spans="2:46" ht="15.75" x14ac:dyDescent="0.25">
      <c r="B633" s="229"/>
      <c r="C633" s="235"/>
      <c r="D633" s="243"/>
      <c r="E633" s="232"/>
      <c r="F633" s="233"/>
      <c r="G633" s="234"/>
      <c r="H633" s="235"/>
      <c r="I633" s="235"/>
      <c r="J633" s="236"/>
      <c r="K633" s="237">
        <f ca="1">ROUND(IF(ISERROR(OFFSET(Tabella!$A$1,MATCH(H633,Tabella!$A:$A,0)-1,MATCH(J633,Tabella!$A$1:$AC$1,0)-1)=TRUE),0,+OFFSET(Tabella!$A$1,MATCH(H633,Tabella!$A:$A,0)-1,MATCH(J633,Tabella!$A$1:$AC$1,0)-1)),4)</f>
        <v>0</v>
      </c>
      <c r="L633" s="238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238">
        <f ca="1">ROUND(IF(ISERROR(OFFSET(Rame!$A$1,MATCH(H633,Rame!$A:$A,0)-1,MATCH(J633,Rame!$A$1:$AA$1,0)-1)=TRUE),0,OFFSET(Rame!$A$1,MATCH(H633,Rame!$A:$A,0)-1,MATCH(J633,Rame!$A$1:$AA$1,0)-1))*IF(E633="Rame",1,0),4)</f>
        <v>0</v>
      </c>
      <c r="N633" s="238">
        <v>0</v>
      </c>
      <c r="O633" s="238">
        <f t="shared" ca="1" si="303"/>
        <v>0</v>
      </c>
      <c r="P633" s="238">
        <f ca="1">ROUND(+IF(ISERROR(OFFSET(Tabella!$G$1,MATCH(H633,Tabella!$G:$G,0)-1,MATCH(I633,Tabella!$G$1:$FG$1,0)-1)=TRUE),0,OFFSET(Tabella!$G$1,MATCH(H633,Tabella!$G:$G,0)-1,MATCH(I633,Tabella!$G$1:$AB$1,0)-1)),4)</f>
        <v>0</v>
      </c>
      <c r="Q633" s="238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238">
        <f ca="1">ROUND(IF(ISERROR(OFFSET(Rame!$F$1,MATCH(H633,Rame!$F:$F,0)-1,MATCH(I633,Rame!$F$1:$FF$1,0)-1)=TRUE),0,OFFSET(Rame!$F$1,MATCH(H633,Rame!$F:$F,0)-1,MATCH(I633,Rame!$F$1:$FF$1,0)-1))*IF(E633="Rame",1,0),4)</f>
        <v>0</v>
      </c>
      <c r="S633" s="238">
        <f ca="1">ROUND(IF(ISERROR(OFFSET(Bronzo!$A$1,MATCH(H633,Bronzo!$A:$A,0)-1,MATCH(I633,Bronzo!$A$1:$AA$1,0)-1)=TRUE),0,OFFSET(Bronzo!$A$1,MATCH(H633,Bronzo!$A:$A,0)-1,MATCH(I633,Bronzo!$A$1:$AA$1,0)-1)),4)</f>
        <v>0</v>
      </c>
      <c r="T633" s="238">
        <f t="shared" ca="1" si="300"/>
        <v>0</v>
      </c>
      <c r="U633" s="237"/>
      <c r="V633" s="238">
        <v>0</v>
      </c>
      <c r="W633" s="239">
        <f t="shared" ca="1" si="301"/>
        <v>0</v>
      </c>
      <c r="X633" s="240">
        <f t="shared" si="298"/>
        <v>0</v>
      </c>
      <c r="Y633" s="236"/>
      <c r="Z633" s="236">
        <f t="shared" ca="1" si="302"/>
        <v>0</v>
      </c>
      <c r="AA633" s="241"/>
      <c r="AF633" s="225">
        <f t="shared" ca="1" si="297"/>
        <v>46236</v>
      </c>
      <c r="AG633" s="225" t="b">
        <f t="shared" si="299"/>
        <v>1</v>
      </c>
      <c r="AH633" s="242"/>
      <c r="AS633" s="223">
        <f t="shared" si="295"/>
        <v>0</v>
      </c>
      <c r="AT633" s="223">
        <f t="shared" si="296"/>
        <v>0</v>
      </c>
    </row>
    <row r="634" spans="2:46" ht="15.75" x14ac:dyDescent="0.25">
      <c r="B634" s="229"/>
      <c r="C634" s="235"/>
      <c r="D634" s="243"/>
      <c r="E634" s="232"/>
      <c r="F634" s="233"/>
      <c r="G634" s="234"/>
      <c r="H634" s="235"/>
      <c r="I634" s="235"/>
      <c r="J634" s="236"/>
      <c r="K634" s="237">
        <f ca="1">ROUND(IF(ISERROR(OFFSET(Tabella!$A$1,MATCH(H634,Tabella!$A:$A,0)-1,MATCH(J634,Tabella!$A$1:$AC$1,0)-1)=TRUE),0,+OFFSET(Tabella!$A$1,MATCH(H634,Tabella!$A:$A,0)-1,MATCH(J634,Tabella!$A$1:$AC$1,0)-1)),4)</f>
        <v>0</v>
      </c>
      <c r="L634" s="238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238">
        <f ca="1">ROUND(IF(ISERROR(OFFSET(Rame!$A$1,MATCH(H634,Rame!$A:$A,0)-1,MATCH(J634,Rame!$A$1:$AA$1,0)-1)=TRUE),0,OFFSET(Rame!$A$1,MATCH(H634,Rame!$A:$A,0)-1,MATCH(J634,Rame!$A$1:$AA$1,0)-1))*IF(E634="Rame",1,0),4)</f>
        <v>0</v>
      </c>
      <c r="N634" s="238">
        <v>0</v>
      </c>
      <c r="O634" s="238">
        <f t="shared" ca="1" si="303"/>
        <v>0</v>
      </c>
      <c r="P634" s="238">
        <f ca="1">ROUND(+IF(ISERROR(OFFSET(Tabella!$G$1,MATCH(H634,Tabella!$G:$G,0)-1,MATCH(I634,Tabella!$G$1:$FG$1,0)-1)=TRUE),0,OFFSET(Tabella!$G$1,MATCH(H634,Tabella!$G:$G,0)-1,MATCH(I634,Tabella!$G$1:$AB$1,0)-1)),4)</f>
        <v>0</v>
      </c>
      <c r="Q634" s="238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238">
        <f ca="1">ROUND(IF(ISERROR(OFFSET(Rame!$F$1,MATCH(H634,Rame!$F:$F,0)-1,MATCH(I634,Rame!$F$1:$FF$1,0)-1)=TRUE),0,OFFSET(Rame!$F$1,MATCH(H634,Rame!$F:$F,0)-1,MATCH(I634,Rame!$F$1:$FF$1,0)-1))*IF(E634="Rame",1,0),4)</f>
        <v>0</v>
      </c>
      <c r="S634" s="238">
        <f ca="1">ROUND(IF(ISERROR(OFFSET(Bronzo!$A$1,MATCH(H634,Bronzo!$A:$A,0)-1,MATCH(I634,Bronzo!$A$1:$AA$1,0)-1)=TRUE),0,OFFSET(Bronzo!$A$1,MATCH(H634,Bronzo!$A:$A,0)-1,MATCH(I634,Bronzo!$A$1:$AA$1,0)-1)),4)</f>
        <v>0</v>
      </c>
      <c r="T634" s="238">
        <f t="shared" ca="1" si="300"/>
        <v>0</v>
      </c>
      <c r="U634" s="237"/>
      <c r="V634" s="238">
        <v>0</v>
      </c>
      <c r="W634" s="239">
        <f t="shared" ca="1" si="301"/>
        <v>0</v>
      </c>
      <c r="X634" s="240">
        <f t="shared" si="298"/>
        <v>0</v>
      </c>
      <c r="Y634" s="236"/>
      <c r="Z634" s="236">
        <f t="shared" ca="1" si="302"/>
        <v>0</v>
      </c>
      <c r="AA634" s="241"/>
      <c r="AF634" s="225">
        <f t="shared" ca="1" si="297"/>
        <v>46236</v>
      </c>
      <c r="AG634" s="225" t="b">
        <f t="shared" si="299"/>
        <v>1</v>
      </c>
      <c r="AH634" s="242"/>
      <c r="AS634" s="223">
        <f t="shared" ref="AS634:AS697" si="304">IF(AA634="",0,MONTH(AA634))</f>
        <v>0</v>
      </c>
      <c r="AT634" s="223">
        <f t="shared" ref="AT634:AT697" si="305">IF(AA634="",0,YEAR(AA634))</f>
        <v>0</v>
      </c>
    </row>
    <row r="635" spans="2:46" ht="15.75" x14ac:dyDescent="0.25">
      <c r="B635" s="229"/>
      <c r="C635" s="235"/>
      <c r="D635" s="243"/>
      <c r="E635" s="232"/>
      <c r="F635" s="233"/>
      <c r="G635" s="234"/>
      <c r="H635" s="235"/>
      <c r="I635" s="235"/>
      <c r="J635" s="236"/>
      <c r="K635" s="237">
        <f ca="1">ROUND(IF(ISERROR(OFFSET(Tabella!$A$1,MATCH(H635,Tabella!$A:$A,0)-1,MATCH(J635,Tabella!$A$1:$AC$1,0)-1)=TRUE),0,+OFFSET(Tabella!$A$1,MATCH(H635,Tabella!$A:$A,0)-1,MATCH(J635,Tabella!$A$1:$AC$1,0)-1)),4)</f>
        <v>0</v>
      </c>
      <c r="L635" s="238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238">
        <f ca="1">ROUND(IF(ISERROR(OFFSET(Rame!$A$1,MATCH(H635,Rame!$A:$A,0)-1,MATCH(J635,Rame!$A$1:$AA$1,0)-1)=TRUE),0,OFFSET(Rame!$A$1,MATCH(H635,Rame!$A:$A,0)-1,MATCH(J635,Rame!$A$1:$AA$1,0)-1))*IF(E635="Rame",1,0),4)</f>
        <v>0</v>
      </c>
      <c r="N635" s="238">
        <v>0</v>
      </c>
      <c r="O635" s="238">
        <f t="shared" ca="1" si="303"/>
        <v>0</v>
      </c>
      <c r="P635" s="238">
        <f ca="1">ROUND(+IF(ISERROR(OFFSET(Tabella!$G$1,MATCH(H635,Tabella!$G:$G,0)-1,MATCH(I635,Tabella!$G$1:$FG$1,0)-1)=TRUE),0,OFFSET(Tabella!$G$1,MATCH(H635,Tabella!$G:$G,0)-1,MATCH(I635,Tabella!$G$1:$AB$1,0)-1)),4)</f>
        <v>0</v>
      </c>
      <c r="Q635" s="238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238">
        <f ca="1">ROUND(IF(ISERROR(OFFSET(Rame!$F$1,MATCH(H635,Rame!$F:$F,0)-1,MATCH(I635,Rame!$F$1:$FF$1,0)-1)=TRUE),0,OFFSET(Rame!$F$1,MATCH(H635,Rame!$F:$F,0)-1,MATCH(I635,Rame!$F$1:$FF$1,0)-1))*IF(E635="Rame",1,0),4)</f>
        <v>0</v>
      </c>
      <c r="S635" s="238">
        <f ca="1">ROUND(IF(ISERROR(OFFSET(Bronzo!$A$1,MATCH(H635,Bronzo!$A:$A,0)-1,MATCH(I635,Bronzo!$A$1:$AA$1,0)-1)=TRUE),0,OFFSET(Bronzo!$A$1,MATCH(H635,Bronzo!$A:$A,0)-1,MATCH(I635,Bronzo!$A$1:$AA$1,0)-1)),4)</f>
        <v>0</v>
      </c>
      <c r="T635" s="238">
        <f t="shared" ca="1" si="300"/>
        <v>0</v>
      </c>
      <c r="U635" s="237"/>
      <c r="V635" s="238">
        <v>0</v>
      </c>
      <c r="W635" s="239">
        <f t="shared" ca="1" si="301"/>
        <v>0</v>
      </c>
      <c r="X635" s="240">
        <f t="shared" si="298"/>
        <v>0</v>
      </c>
      <c r="Y635" s="236"/>
      <c r="Z635" s="236">
        <f t="shared" ca="1" si="302"/>
        <v>0</v>
      </c>
      <c r="AA635" s="241"/>
      <c r="AF635" s="225">
        <f t="shared" ca="1" si="297"/>
        <v>46236</v>
      </c>
      <c r="AG635" s="225" t="b">
        <f t="shared" si="299"/>
        <v>1</v>
      </c>
      <c r="AH635" s="242"/>
      <c r="AS635" s="223">
        <f t="shared" si="304"/>
        <v>0</v>
      </c>
      <c r="AT635" s="223">
        <f t="shared" si="305"/>
        <v>0</v>
      </c>
    </row>
    <row r="636" spans="2:46" ht="15.75" x14ac:dyDescent="0.25">
      <c r="B636" s="229"/>
      <c r="C636" s="235"/>
      <c r="D636" s="243"/>
      <c r="E636" s="232"/>
      <c r="F636" s="233"/>
      <c r="G636" s="234"/>
      <c r="H636" s="235"/>
      <c r="I636" s="235"/>
      <c r="J636" s="236"/>
      <c r="K636" s="237">
        <f ca="1">ROUND(IF(ISERROR(OFFSET(Tabella!$A$1,MATCH(H636,Tabella!$A:$A,0)-1,MATCH(J636,Tabella!$A$1:$AC$1,0)-1)=TRUE),0,+OFFSET(Tabella!$A$1,MATCH(H636,Tabella!$A:$A,0)-1,MATCH(J636,Tabella!$A$1:$AC$1,0)-1)),4)</f>
        <v>0</v>
      </c>
      <c r="L636" s="238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238">
        <f ca="1">ROUND(IF(ISERROR(OFFSET(Rame!$A$1,MATCH(H636,Rame!$A:$A,0)-1,MATCH(J636,Rame!$A$1:$AA$1,0)-1)=TRUE),0,OFFSET(Rame!$A$1,MATCH(H636,Rame!$A:$A,0)-1,MATCH(J636,Rame!$A$1:$AA$1,0)-1))*IF(E636="Rame",1,0),4)</f>
        <v>0</v>
      </c>
      <c r="N636" s="238">
        <v>0</v>
      </c>
      <c r="O636" s="238">
        <f t="shared" ca="1" si="303"/>
        <v>0</v>
      </c>
      <c r="P636" s="238">
        <f ca="1">ROUND(+IF(ISERROR(OFFSET(Tabella!$G$1,MATCH(H636,Tabella!$G:$G,0)-1,MATCH(I636,Tabella!$G$1:$FG$1,0)-1)=TRUE),0,OFFSET(Tabella!$G$1,MATCH(H636,Tabella!$G:$G,0)-1,MATCH(I636,Tabella!$G$1:$AB$1,0)-1)),4)</f>
        <v>0</v>
      </c>
      <c r="Q636" s="238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238">
        <f ca="1">ROUND(IF(ISERROR(OFFSET(Rame!$F$1,MATCH(H636,Rame!$F:$F,0)-1,MATCH(I636,Rame!$F$1:$FF$1,0)-1)=TRUE),0,OFFSET(Rame!$F$1,MATCH(H636,Rame!$F:$F,0)-1,MATCH(I636,Rame!$F$1:$FF$1,0)-1))*IF(E636="Rame",1,0),4)</f>
        <v>0</v>
      </c>
      <c r="S636" s="238">
        <f ca="1">ROUND(IF(ISERROR(OFFSET(Bronzo!$A$1,MATCH(H636,Bronzo!$A:$A,0)-1,MATCH(I636,Bronzo!$A$1:$AA$1,0)-1)=TRUE),0,OFFSET(Bronzo!$A$1,MATCH(H636,Bronzo!$A:$A,0)-1,MATCH(I636,Bronzo!$A$1:$AA$1,0)-1)),4)</f>
        <v>0</v>
      </c>
      <c r="T636" s="238">
        <f t="shared" ca="1" si="300"/>
        <v>0</v>
      </c>
      <c r="U636" s="237"/>
      <c r="V636" s="238">
        <v>0</v>
      </c>
      <c r="W636" s="239">
        <f t="shared" ca="1" si="301"/>
        <v>0</v>
      </c>
      <c r="X636" s="240">
        <f t="shared" si="298"/>
        <v>0</v>
      </c>
      <c r="Y636" s="236"/>
      <c r="Z636" s="236">
        <f t="shared" ca="1" si="302"/>
        <v>0</v>
      </c>
      <c r="AA636" s="241"/>
      <c r="AF636" s="225">
        <f t="shared" ca="1" si="297"/>
        <v>46236</v>
      </c>
      <c r="AG636" s="225" t="b">
        <f t="shared" si="299"/>
        <v>1</v>
      </c>
      <c r="AH636" s="242"/>
      <c r="AS636" s="223">
        <f t="shared" si="304"/>
        <v>0</v>
      </c>
      <c r="AT636" s="223">
        <f t="shared" si="305"/>
        <v>0</v>
      </c>
    </row>
    <row r="637" spans="2:46" ht="15.75" x14ac:dyDescent="0.25">
      <c r="B637" s="229"/>
      <c r="C637" s="235"/>
      <c r="D637" s="243"/>
      <c r="E637" s="232"/>
      <c r="F637" s="233"/>
      <c r="G637" s="234"/>
      <c r="H637" s="235"/>
      <c r="I637" s="235"/>
      <c r="J637" s="236"/>
      <c r="K637" s="237">
        <f ca="1">ROUND(IF(ISERROR(OFFSET(Tabella!$A$1,MATCH(H637,Tabella!$A:$A,0)-1,MATCH(J637,Tabella!$A$1:$AC$1,0)-1)=TRUE),0,+OFFSET(Tabella!$A$1,MATCH(H637,Tabella!$A:$A,0)-1,MATCH(J637,Tabella!$A$1:$AC$1,0)-1)),4)</f>
        <v>0</v>
      </c>
      <c r="L637" s="238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238">
        <f ca="1">ROUND(IF(ISERROR(OFFSET(Rame!$A$1,MATCH(H637,Rame!$A:$A,0)-1,MATCH(J637,Rame!$A$1:$AA$1,0)-1)=TRUE),0,OFFSET(Rame!$A$1,MATCH(H637,Rame!$A:$A,0)-1,MATCH(J637,Rame!$A$1:$AA$1,0)-1))*IF(E637="Rame",1,0),4)</f>
        <v>0</v>
      </c>
      <c r="N637" s="238">
        <v>0</v>
      </c>
      <c r="O637" s="238">
        <f t="shared" ca="1" si="303"/>
        <v>0</v>
      </c>
      <c r="P637" s="238">
        <f ca="1">ROUND(+IF(ISERROR(OFFSET(Tabella!$G$1,MATCH(H637,Tabella!$G:$G,0)-1,MATCH(I637,Tabella!$G$1:$FG$1,0)-1)=TRUE),0,OFFSET(Tabella!$G$1,MATCH(H637,Tabella!$G:$G,0)-1,MATCH(I637,Tabella!$G$1:$AB$1,0)-1)),4)</f>
        <v>0</v>
      </c>
      <c r="Q637" s="238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238">
        <f ca="1">ROUND(IF(ISERROR(OFFSET(Rame!$F$1,MATCH(H637,Rame!$F:$F,0)-1,MATCH(I637,Rame!$F$1:$FF$1,0)-1)=TRUE),0,OFFSET(Rame!$F$1,MATCH(H637,Rame!$F:$F,0)-1,MATCH(I637,Rame!$F$1:$FF$1,0)-1))*IF(E637="Rame",1,0),4)</f>
        <v>0</v>
      </c>
      <c r="S637" s="238">
        <f ca="1">ROUND(IF(ISERROR(OFFSET(Bronzo!$A$1,MATCH(H637,Bronzo!$A:$A,0)-1,MATCH(I637,Bronzo!$A$1:$AA$1,0)-1)=TRUE),0,OFFSET(Bronzo!$A$1,MATCH(H637,Bronzo!$A:$A,0)-1,MATCH(I637,Bronzo!$A$1:$AA$1,0)-1)),4)</f>
        <v>0</v>
      </c>
      <c r="T637" s="238">
        <f t="shared" ca="1" si="300"/>
        <v>0</v>
      </c>
      <c r="U637" s="237"/>
      <c r="V637" s="238">
        <v>0</v>
      </c>
      <c r="W637" s="239">
        <f t="shared" ca="1" si="301"/>
        <v>0</v>
      </c>
      <c r="X637" s="240">
        <f t="shared" si="298"/>
        <v>0</v>
      </c>
      <c r="Y637" s="236"/>
      <c r="Z637" s="236">
        <f t="shared" ca="1" si="302"/>
        <v>0</v>
      </c>
      <c r="AA637" s="241"/>
      <c r="AF637" s="225">
        <f t="shared" ca="1" si="297"/>
        <v>46236</v>
      </c>
      <c r="AG637" s="225" t="b">
        <f t="shared" si="299"/>
        <v>1</v>
      </c>
      <c r="AH637" s="242"/>
      <c r="AS637" s="223">
        <f t="shared" si="304"/>
        <v>0</v>
      </c>
      <c r="AT637" s="223">
        <f t="shared" si="305"/>
        <v>0</v>
      </c>
    </row>
    <row r="638" spans="2:46" ht="15.75" x14ac:dyDescent="0.25">
      <c r="B638" s="229"/>
      <c r="C638" s="235"/>
      <c r="D638" s="243"/>
      <c r="E638" s="232"/>
      <c r="F638" s="233"/>
      <c r="G638" s="234"/>
      <c r="H638" s="235"/>
      <c r="I638" s="235"/>
      <c r="J638" s="236"/>
      <c r="K638" s="237">
        <f ca="1">ROUND(IF(ISERROR(OFFSET(Tabella!$A$1,MATCH(H638,Tabella!$A:$A,0)-1,MATCH(J638,Tabella!$A$1:$AC$1,0)-1)=TRUE),0,+OFFSET(Tabella!$A$1,MATCH(H638,Tabella!$A:$A,0)-1,MATCH(J638,Tabella!$A$1:$AC$1,0)-1)),4)</f>
        <v>0</v>
      </c>
      <c r="L638" s="238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238">
        <f ca="1">ROUND(IF(ISERROR(OFFSET(Rame!$A$1,MATCH(H638,Rame!$A:$A,0)-1,MATCH(J638,Rame!$A$1:$AA$1,0)-1)=TRUE),0,OFFSET(Rame!$A$1,MATCH(H638,Rame!$A:$A,0)-1,MATCH(J638,Rame!$A$1:$AA$1,0)-1))*IF(E638="Rame",1,0),4)</f>
        <v>0</v>
      </c>
      <c r="N638" s="238">
        <v>0</v>
      </c>
      <c r="O638" s="238">
        <f t="shared" ca="1" si="303"/>
        <v>0</v>
      </c>
      <c r="P638" s="238">
        <f ca="1">ROUND(+IF(ISERROR(OFFSET(Tabella!$G$1,MATCH(H638,Tabella!$G:$G,0)-1,MATCH(I638,Tabella!$G$1:$FG$1,0)-1)=TRUE),0,OFFSET(Tabella!$G$1,MATCH(H638,Tabella!$G:$G,0)-1,MATCH(I638,Tabella!$G$1:$AB$1,0)-1)),4)</f>
        <v>0</v>
      </c>
      <c r="Q638" s="238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238">
        <f ca="1">ROUND(IF(ISERROR(OFFSET(Rame!$F$1,MATCH(H638,Rame!$F:$F,0)-1,MATCH(I638,Rame!$F$1:$FF$1,0)-1)=TRUE),0,OFFSET(Rame!$F$1,MATCH(H638,Rame!$F:$F,0)-1,MATCH(I638,Rame!$F$1:$FF$1,0)-1))*IF(E638="Rame",1,0),4)</f>
        <v>0</v>
      </c>
      <c r="S638" s="238">
        <f ca="1">ROUND(IF(ISERROR(OFFSET(Bronzo!$A$1,MATCH(H638,Bronzo!$A:$A,0)-1,MATCH(I638,Bronzo!$A$1:$AA$1,0)-1)=TRUE),0,OFFSET(Bronzo!$A$1,MATCH(H638,Bronzo!$A:$A,0)-1,MATCH(I638,Bronzo!$A$1:$AA$1,0)-1)),4)</f>
        <v>0</v>
      </c>
      <c r="T638" s="238">
        <f t="shared" ca="1" si="300"/>
        <v>0</v>
      </c>
      <c r="U638" s="237"/>
      <c r="V638" s="238">
        <v>0</v>
      </c>
      <c r="W638" s="239">
        <f t="shared" ca="1" si="301"/>
        <v>0</v>
      </c>
      <c r="X638" s="240">
        <f t="shared" si="298"/>
        <v>0</v>
      </c>
      <c r="Y638" s="236"/>
      <c r="Z638" s="236">
        <f t="shared" ca="1" si="302"/>
        <v>0</v>
      </c>
      <c r="AA638" s="241"/>
      <c r="AF638" s="225">
        <f t="shared" ca="1" si="297"/>
        <v>46236</v>
      </c>
      <c r="AG638" s="225" t="b">
        <f t="shared" si="299"/>
        <v>1</v>
      </c>
      <c r="AH638" s="242"/>
      <c r="AS638" s="223">
        <f t="shared" si="304"/>
        <v>0</v>
      </c>
      <c r="AT638" s="223">
        <f t="shared" si="305"/>
        <v>0</v>
      </c>
    </row>
    <row r="639" spans="2:46" ht="15.75" x14ac:dyDescent="0.25">
      <c r="B639" s="229"/>
      <c r="C639" s="235"/>
      <c r="D639" s="243"/>
      <c r="E639" s="232"/>
      <c r="F639" s="233"/>
      <c r="G639" s="234"/>
      <c r="H639" s="235"/>
      <c r="I639" s="235"/>
      <c r="J639" s="236"/>
      <c r="K639" s="237">
        <f ca="1">ROUND(IF(ISERROR(OFFSET(Tabella!$A$1,MATCH(H639,Tabella!$A:$A,0)-1,MATCH(J639,Tabella!$A$1:$AC$1,0)-1)=TRUE),0,+OFFSET(Tabella!$A$1,MATCH(H639,Tabella!$A:$A,0)-1,MATCH(J639,Tabella!$A$1:$AC$1,0)-1)),4)</f>
        <v>0</v>
      </c>
      <c r="L639" s="238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238">
        <f ca="1">ROUND(IF(ISERROR(OFFSET(Rame!$A$1,MATCH(H639,Rame!$A:$A,0)-1,MATCH(J639,Rame!$A$1:$AA$1,0)-1)=TRUE),0,OFFSET(Rame!$A$1,MATCH(H639,Rame!$A:$A,0)-1,MATCH(J639,Rame!$A$1:$AA$1,0)-1))*IF(E639="Rame",1,0),4)</f>
        <v>0</v>
      </c>
      <c r="N639" s="238">
        <v>0</v>
      </c>
      <c r="O639" s="238">
        <f t="shared" ca="1" si="303"/>
        <v>0</v>
      </c>
      <c r="P639" s="238">
        <f ca="1">ROUND(+IF(ISERROR(OFFSET(Tabella!$G$1,MATCH(H639,Tabella!$G:$G,0)-1,MATCH(I639,Tabella!$G$1:$FG$1,0)-1)=TRUE),0,OFFSET(Tabella!$G$1,MATCH(H639,Tabella!$G:$G,0)-1,MATCH(I639,Tabella!$G$1:$AB$1,0)-1)),4)</f>
        <v>0</v>
      </c>
      <c r="Q639" s="238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238">
        <f ca="1">ROUND(IF(ISERROR(OFFSET(Rame!$F$1,MATCH(H639,Rame!$F:$F,0)-1,MATCH(I639,Rame!$F$1:$FF$1,0)-1)=TRUE),0,OFFSET(Rame!$F$1,MATCH(H639,Rame!$F:$F,0)-1,MATCH(I639,Rame!$F$1:$FF$1,0)-1))*IF(E639="Rame",1,0),4)</f>
        <v>0</v>
      </c>
      <c r="S639" s="238">
        <f ca="1">ROUND(IF(ISERROR(OFFSET(Bronzo!$A$1,MATCH(H639,Bronzo!$A:$A,0)-1,MATCH(I639,Bronzo!$A$1:$AA$1,0)-1)=TRUE),0,OFFSET(Bronzo!$A$1,MATCH(H639,Bronzo!$A:$A,0)-1,MATCH(I639,Bronzo!$A$1:$AA$1,0)-1)),4)</f>
        <v>0</v>
      </c>
      <c r="T639" s="238">
        <f t="shared" ca="1" si="300"/>
        <v>0</v>
      </c>
      <c r="U639" s="237"/>
      <c r="V639" s="238">
        <v>0</v>
      </c>
      <c r="W639" s="239">
        <f t="shared" ca="1" si="301"/>
        <v>0</v>
      </c>
      <c r="X639" s="240">
        <f t="shared" si="298"/>
        <v>0</v>
      </c>
      <c r="Y639" s="236"/>
      <c r="Z639" s="236">
        <f t="shared" ca="1" si="302"/>
        <v>0</v>
      </c>
      <c r="AA639" s="241"/>
      <c r="AF639" s="225">
        <f t="shared" ca="1" si="297"/>
        <v>46236</v>
      </c>
      <c r="AG639" s="225" t="b">
        <f t="shared" si="299"/>
        <v>1</v>
      </c>
      <c r="AH639" s="242"/>
      <c r="AS639" s="223">
        <f t="shared" si="304"/>
        <v>0</v>
      </c>
      <c r="AT639" s="223">
        <f t="shared" si="305"/>
        <v>0</v>
      </c>
    </row>
    <row r="640" spans="2:46" ht="15.75" x14ac:dyDescent="0.25">
      <c r="B640" s="229"/>
      <c r="C640" s="235"/>
      <c r="D640" s="243"/>
      <c r="E640" s="232"/>
      <c r="F640" s="233"/>
      <c r="G640" s="234"/>
      <c r="H640" s="235"/>
      <c r="I640" s="235"/>
      <c r="J640" s="236"/>
      <c r="K640" s="237">
        <f ca="1">ROUND(IF(ISERROR(OFFSET(Tabella!$A$1,MATCH(H640,Tabella!$A:$A,0)-1,MATCH(J640,Tabella!$A$1:$AC$1,0)-1)=TRUE),0,+OFFSET(Tabella!$A$1,MATCH(H640,Tabella!$A:$A,0)-1,MATCH(J640,Tabella!$A$1:$AC$1,0)-1)),4)</f>
        <v>0</v>
      </c>
      <c r="L640" s="238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238">
        <f ca="1">ROUND(IF(ISERROR(OFFSET(Rame!$A$1,MATCH(H640,Rame!$A:$A,0)-1,MATCH(J640,Rame!$A$1:$AA$1,0)-1)=TRUE),0,OFFSET(Rame!$A$1,MATCH(H640,Rame!$A:$A,0)-1,MATCH(J640,Rame!$A$1:$AA$1,0)-1))*IF(E640="Rame",1,0),4)</f>
        <v>0</v>
      </c>
      <c r="N640" s="238">
        <v>0</v>
      </c>
      <c r="O640" s="238">
        <f t="shared" ca="1" si="303"/>
        <v>0</v>
      </c>
      <c r="P640" s="238">
        <f ca="1">ROUND(+IF(ISERROR(OFFSET(Tabella!$G$1,MATCH(H640,Tabella!$G:$G,0)-1,MATCH(I640,Tabella!$G$1:$FG$1,0)-1)=TRUE),0,OFFSET(Tabella!$G$1,MATCH(H640,Tabella!$G:$G,0)-1,MATCH(I640,Tabella!$G$1:$AB$1,0)-1)),4)</f>
        <v>0</v>
      </c>
      <c r="Q640" s="238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238">
        <f ca="1">ROUND(IF(ISERROR(OFFSET(Rame!$F$1,MATCH(H640,Rame!$F:$F,0)-1,MATCH(I640,Rame!$F$1:$FF$1,0)-1)=TRUE),0,OFFSET(Rame!$F$1,MATCH(H640,Rame!$F:$F,0)-1,MATCH(I640,Rame!$F$1:$FF$1,0)-1))*IF(E640="Rame",1,0),4)</f>
        <v>0</v>
      </c>
      <c r="S640" s="238">
        <f ca="1">ROUND(IF(ISERROR(OFFSET(Bronzo!$A$1,MATCH(H640,Bronzo!$A:$A,0)-1,MATCH(I640,Bronzo!$A$1:$AA$1,0)-1)=TRUE),0,OFFSET(Bronzo!$A$1,MATCH(H640,Bronzo!$A:$A,0)-1,MATCH(I640,Bronzo!$A$1:$AA$1,0)-1)),4)</f>
        <v>0</v>
      </c>
      <c r="T640" s="238">
        <f t="shared" ca="1" si="300"/>
        <v>0</v>
      </c>
      <c r="U640" s="237"/>
      <c r="V640" s="238">
        <v>0</v>
      </c>
      <c r="W640" s="239">
        <f t="shared" ca="1" si="301"/>
        <v>0</v>
      </c>
      <c r="X640" s="240">
        <f t="shared" si="298"/>
        <v>0</v>
      </c>
      <c r="Y640" s="236"/>
      <c r="Z640" s="236">
        <f t="shared" ca="1" si="302"/>
        <v>0</v>
      </c>
      <c r="AA640" s="241"/>
      <c r="AF640" s="225">
        <f t="shared" ca="1" si="297"/>
        <v>46236</v>
      </c>
      <c r="AG640" s="225" t="b">
        <f t="shared" si="299"/>
        <v>1</v>
      </c>
      <c r="AH640" s="242"/>
      <c r="AS640" s="223">
        <f t="shared" si="304"/>
        <v>0</v>
      </c>
      <c r="AT640" s="223">
        <f t="shared" si="305"/>
        <v>0</v>
      </c>
    </row>
    <row r="641" spans="2:46" ht="15.75" x14ac:dyDescent="0.25">
      <c r="B641" s="229"/>
      <c r="C641" s="235"/>
      <c r="D641" s="243"/>
      <c r="E641" s="232"/>
      <c r="F641" s="233"/>
      <c r="G641" s="234"/>
      <c r="H641" s="235"/>
      <c r="I641" s="235"/>
      <c r="J641" s="236"/>
      <c r="K641" s="237">
        <f ca="1">ROUND(IF(ISERROR(OFFSET(Tabella!$A$1,MATCH(H641,Tabella!$A:$A,0)-1,MATCH(J641,Tabella!$A$1:$AC$1,0)-1)=TRUE),0,+OFFSET(Tabella!$A$1,MATCH(H641,Tabella!$A:$A,0)-1,MATCH(J641,Tabella!$A$1:$AC$1,0)-1)),4)</f>
        <v>0</v>
      </c>
      <c r="L641" s="238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238">
        <f ca="1">ROUND(IF(ISERROR(OFFSET(Rame!$A$1,MATCH(H641,Rame!$A:$A,0)-1,MATCH(J641,Rame!$A$1:$AA$1,0)-1)=TRUE),0,OFFSET(Rame!$A$1,MATCH(H641,Rame!$A:$A,0)-1,MATCH(J641,Rame!$A$1:$AA$1,0)-1))*IF(E641="Rame",1,0),4)</f>
        <v>0</v>
      </c>
      <c r="N641" s="238">
        <v>0</v>
      </c>
      <c r="O641" s="238">
        <f t="shared" ca="1" si="303"/>
        <v>0</v>
      </c>
      <c r="P641" s="238">
        <f ca="1">ROUND(+IF(ISERROR(OFFSET(Tabella!$G$1,MATCH(H641,Tabella!$G:$G,0)-1,MATCH(I641,Tabella!$G$1:$FG$1,0)-1)=TRUE),0,OFFSET(Tabella!$G$1,MATCH(H641,Tabella!$G:$G,0)-1,MATCH(I641,Tabella!$G$1:$AB$1,0)-1)),4)</f>
        <v>0</v>
      </c>
      <c r="Q641" s="238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238">
        <f ca="1">ROUND(IF(ISERROR(OFFSET(Rame!$F$1,MATCH(H641,Rame!$F:$F,0)-1,MATCH(I641,Rame!$F$1:$FF$1,0)-1)=TRUE),0,OFFSET(Rame!$F$1,MATCH(H641,Rame!$F:$F,0)-1,MATCH(I641,Rame!$F$1:$FF$1,0)-1))*IF(E641="Rame",1,0),4)</f>
        <v>0</v>
      </c>
      <c r="S641" s="238">
        <f ca="1">ROUND(IF(ISERROR(OFFSET(Bronzo!$A$1,MATCH(H641,Bronzo!$A:$A,0)-1,MATCH(I641,Bronzo!$A$1:$AA$1,0)-1)=TRUE),0,OFFSET(Bronzo!$A$1,MATCH(H641,Bronzo!$A:$A,0)-1,MATCH(I641,Bronzo!$A$1:$AA$1,0)-1)),4)</f>
        <v>0</v>
      </c>
      <c r="T641" s="238">
        <f t="shared" ca="1" si="300"/>
        <v>0</v>
      </c>
      <c r="U641" s="237"/>
      <c r="V641" s="238">
        <v>0</v>
      </c>
      <c r="W641" s="239">
        <f t="shared" ca="1" si="301"/>
        <v>0</v>
      </c>
      <c r="X641" s="240">
        <f t="shared" si="298"/>
        <v>0</v>
      </c>
      <c r="Y641" s="236"/>
      <c r="Z641" s="236">
        <f t="shared" ca="1" si="302"/>
        <v>0</v>
      </c>
      <c r="AA641" s="241"/>
      <c r="AF641" s="225">
        <f t="shared" ca="1" si="297"/>
        <v>46236</v>
      </c>
      <c r="AG641" s="225" t="b">
        <f t="shared" si="299"/>
        <v>1</v>
      </c>
      <c r="AH641" s="242"/>
      <c r="AS641" s="223">
        <f t="shared" si="304"/>
        <v>0</v>
      </c>
      <c r="AT641" s="223">
        <f t="shared" si="305"/>
        <v>0</v>
      </c>
    </row>
    <row r="642" spans="2:46" ht="15.75" x14ac:dyDescent="0.25">
      <c r="B642" s="229"/>
      <c r="C642" s="235"/>
      <c r="D642" s="243"/>
      <c r="E642" s="232"/>
      <c r="F642" s="233"/>
      <c r="G642" s="234"/>
      <c r="H642" s="235"/>
      <c r="I642" s="235"/>
      <c r="J642" s="236"/>
      <c r="K642" s="237">
        <f ca="1">ROUND(IF(ISERROR(OFFSET(Tabella!$A$1,MATCH(H642,Tabella!$A:$A,0)-1,MATCH(J642,Tabella!$A$1:$AC$1,0)-1)=TRUE),0,+OFFSET(Tabella!$A$1,MATCH(H642,Tabella!$A:$A,0)-1,MATCH(J642,Tabella!$A$1:$AC$1,0)-1)),4)</f>
        <v>0</v>
      </c>
      <c r="L642" s="238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238">
        <f ca="1">ROUND(IF(ISERROR(OFFSET(Rame!$A$1,MATCH(H642,Rame!$A:$A,0)-1,MATCH(J642,Rame!$A$1:$AA$1,0)-1)=TRUE),0,OFFSET(Rame!$A$1,MATCH(H642,Rame!$A:$A,0)-1,MATCH(J642,Rame!$A$1:$AA$1,0)-1))*IF(E642="Rame",1,0),4)</f>
        <v>0</v>
      </c>
      <c r="N642" s="238">
        <v>0</v>
      </c>
      <c r="O642" s="238">
        <f t="shared" ca="1" si="303"/>
        <v>0</v>
      </c>
      <c r="P642" s="238">
        <f ca="1">ROUND(+IF(ISERROR(OFFSET(Tabella!$G$1,MATCH(H642,Tabella!$G:$G,0)-1,MATCH(I642,Tabella!$G$1:$FG$1,0)-1)=TRUE),0,OFFSET(Tabella!$G$1,MATCH(H642,Tabella!$G:$G,0)-1,MATCH(I642,Tabella!$G$1:$AB$1,0)-1)),4)</f>
        <v>0</v>
      </c>
      <c r="Q642" s="238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238">
        <f ca="1">ROUND(IF(ISERROR(OFFSET(Rame!$F$1,MATCH(H642,Rame!$F:$F,0)-1,MATCH(I642,Rame!$F$1:$FF$1,0)-1)=TRUE),0,OFFSET(Rame!$F$1,MATCH(H642,Rame!$F:$F,0)-1,MATCH(I642,Rame!$F$1:$FF$1,0)-1))*IF(E642="Rame",1,0),4)</f>
        <v>0</v>
      </c>
      <c r="S642" s="238">
        <f ca="1">ROUND(IF(ISERROR(OFFSET(Bronzo!$A$1,MATCH(H642,Bronzo!$A:$A,0)-1,MATCH(I642,Bronzo!$A$1:$AA$1,0)-1)=TRUE),0,OFFSET(Bronzo!$A$1,MATCH(H642,Bronzo!$A:$A,0)-1,MATCH(I642,Bronzo!$A$1:$AA$1,0)-1)),4)</f>
        <v>0</v>
      </c>
      <c r="T642" s="238">
        <f t="shared" ca="1" si="300"/>
        <v>0</v>
      </c>
      <c r="U642" s="237"/>
      <c r="V642" s="238">
        <v>0</v>
      </c>
      <c r="W642" s="239">
        <f t="shared" ca="1" si="301"/>
        <v>0</v>
      </c>
      <c r="X642" s="240">
        <f t="shared" si="298"/>
        <v>0</v>
      </c>
      <c r="Y642" s="236"/>
      <c r="Z642" s="236">
        <f t="shared" ca="1" si="302"/>
        <v>0</v>
      </c>
      <c r="AA642" s="241"/>
      <c r="AF642" s="225">
        <f t="shared" ca="1" si="297"/>
        <v>46236</v>
      </c>
      <c r="AG642" s="225" t="b">
        <f t="shared" si="299"/>
        <v>1</v>
      </c>
      <c r="AH642" s="242"/>
      <c r="AS642" s="223">
        <f t="shared" si="304"/>
        <v>0</v>
      </c>
      <c r="AT642" s="223">
        <f t="shared" si="305"/>
        <v>0</v>
      </c>
    </row>
    <row r="643" spans="2:46" ht="15.75" x14ac:dyDescent="0.25">
      <c r="B643" s="229"/>
      <c r="C643" s="235"/>
      <c r="D643" s="243"/>
      <c r="E643" s="232"/>
      <c r="F643" s="233"/>
      <c r="G643" s="234"/>
      <c r="H643" s="235"/>
      <c r="I643" s="235"/>
      <c r="J643" s="236"/>
      <c r="K643" s="237">
        <f ca="1">ROUND(IF(ISERROR(OFFSET(Tabella!$A$1,MATCH(H643,Tabella!$A:$A,0)-1,MATCH(J643,Tabella!$A$1:$AC$1,0)-1)=TRUE),0,+OFFSET(Tabella!$A$1,MATCH(H643,Tabella!$A:$A,0)-1,MATCH(J643,Tabella!$A$1:$AC$1,0)-1)),4)</f>
        <v>0</v>
      </c>
      <c r="L643" s="238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238">
        <f ca="1">ROUND(IF(ISERROR(OFFSET(Rame!$A$1,MATCH(H643,Rame!$A:$A,0)-1,MATCH(J643,Rame!$A$1:$AA$1,0)-1)=TRUE),0,OFFSET(Rame!$A$1,MATCH(H643,Rame!$A:$A,0)-1,MATCH(J643,Rame!$A$1:$AA$1,0)-1))*IF(E643="Rame",1,0),4)</f>
        <v>0</v>
      </c>
      <c r="N643" s="238">
        <v>0</v>
      </c>
      <c r="O643" s="238">
        <f t="shared" ca="1" si="303"/>
        <v>0</v>
      </c>
      <c r="P643" s="238">
        <f ca="1">ROUND(+IF(ISERROR(OFFSET(Tabella!$G$1,MATCH(H643,Tabella!$G:$G,0)-1,MATCH(I643,Tabella!$G$1:$FG$1,0)-1)=TRUE),0,OFFSET(Tabella!$G$1,MATCH(H643,Tabella!$G:$G,0)-1,MATCH(I643,Tabella!$G$1:$AB$1,0)-1)),4)</f>
        <v>0</v>
      </c>
      <c r="Q643" s="238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238">
        <f ca="1">ROUND(IF(ISERROR(OFFSET(Rame!$F$1,MATCH(H643,Rame!$F:$F,0)-1,MATCH(I643,Rame!$F$1:$FF$1,0)-1)=TRUE),0,OFFSET(Rame!$F$1,MATCH(H643,Rame!$F:$F,0)-1,MATCH(I643,Rame!$F$1:$FF$1,0)-1))*IF(E643="Rame",1,0),4)</f>
        <v>0</v>
      </c>
      <c r="S643" s="238">
        <f ca="1">ROUND(IF(ISERROR(OFFSET(Bronzo!$A$1,MATCH(H643,Bronzo!$A:$A,0)-1,MATCH(I643,Bronzo!$A$1:$AA$1,0)-1)=TRUE),0,OFFSET(Bronzo!$A$1,MATCH(H643,Bronzo!$A:$A,0)-1,MATCH(I643,Bronzo!$A$1:$AA$1,0)-1)),4)</f>
        <v>0</v>
      </c>
      <c r="T643" s="238">
        <f t="shared" ca="1" si="300"/>
        <v>0</v>
      </c>
      <c r="U643" s="237"/>
      <c r="V643" s="238">
        <v>0</v>
      </c>
      <c r="W643" s="239">
        <f t="shared" ca="1" si="301"/>
        <v>0</v>
      </c>
      <c r="X643" s="240">
        <f t="shared" si="298"/>
        <v>0</v>
      </c>
      <c r="Y643" s="236"/>
      <c r="Z643" s="236">
        <f t="shared" ca="1" si="302"/>
        <v>0</v>
      </c>
      <c r="AA643" s="241"/>
      <c r="AF643" s="225">
        <f t="shared" ca="1" si="297"/>
        <v>46236</v>
      </c>
      <c r="AG643" s="225" t="b">
        <f t="shared" si="299"/>
        <v>1</v>
      </c>
      <c r="AH643" s="242"/>
      <c r="AS643" s="223">
        <f t="shared" si="304"/>
        <v>0</v>
      </c>
      <c r="AT643" s="223">
        <f t="shared" si="305"/>
        <v>0</v>
      </c>
    </row>
    <row r="644" spans="2:46" ht="15.75" x14ac:dyDescent="0.25">
      <c r="B644" s="229"/>
      <c r="C644" s="235"/>
      <c r="D644" s="243"/>
      <c r="E644" s="232"/>
      <c r="F644" s="233"/>
      <c r="G644" s="234"/>
      <c r="H644" s="235"/>
      <c r="I644" s="235"/>
      <c r="J644" s="236"/>
      <c r="K644" s="237">
        <f ca="1">ROUND(IF(ISERROR(OFFSET(Tabella!$A$1,MATCH(H644,Tabella!$A:$A,0)-1,MATCH(J644,Tabella!$A$1:$AC$1,0)-1)=TRUE),0,+OFFSET(Tabella!$A$1,MATCH(H644,Tabella!$A:$A,0)-1,MATCH(J644,Tabella!$A$1:$AC$1,0)-1)),4)</f>
        <v>0</v>
      </c>
      <c r="L644" s="238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238">
        <f ca="1">ROUND(IF(ISERROR(OFFSET(Rame!$A$1,MATCH(H644,Rame!$A:$A,0)-1,MATCH(J644,Rame!$A$1:$AA$1,0)-1)=TRUE),0,OFFSET(Rame!$A$1,MATCH(H644,Rame!$A:$A,0)-1,MATCH(J644,Rame!$A$1:$AA$1,0)-1))*IF(E644="Rame",1,0),4)</f>
        <v>0</v>
      </c>
      <c r="N644" s="238">
        <v>0</v>
      </c>
      <c r="O644" s="238">
        <f t="shared" ca="1" si="303"/>
        <v>0</v>
      </c>
      <c r="P644" s="238">
        <f ca="1">ROUND(+IF(ISERROR(OFFSET(Tabella!$G$1,MATCH(H644,Tabella!$G:$G,0)-1,MATCH(I644,Tabella!$G$1:$FG$1,0)-1)=TRUE),0,OFFSET(Tabella!$G$1,MATCH(H644,Tabella!$G:$G,0)-1,MATCH(I644,Tabella!$G$1:$AB$1,0)-1)),4)</f>
        <v>0</v>
      </c>
      <c r="Q644" s="238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238">
        <f ca="1">ROUND(IF(ISERROR(OFFSET(Rame!$F$1,MATCH(H644,Rame!$F:$F,0)-1,MATCH(I644,Rame!$F$1:$FF$1,0)-1)=TRUE),0,OFFSET(Rame!$F$1,MATCH(H644,Rame!$F:$F,0)-1,MATCH(I644,Rame!$F$1:$FF$1,0)-1))*IF(E644="Rame",1,0),4)</f>
        <v>0</v>
      </c>
      <c r="S644" s="238">
        <f ca="1">ROUND(IF(ISERROR(OFFSET(Bronzo!$A$1,MATCH(H644,Bronzo!$A:$A,0)-1,MATCH(I644,Bronzo!$A$1:$AA$1,0)-1)=TRUE),0,OFFSET(Bronzo!$A$1,MATCH(H644,Bronzo!$A:$A,0)-1,MATCH(I644,Bronzo!$A$1:$AA$1,0)-1)),4)</f>
        <v>0</v>
      </c>
      <c r="T644" s="238">
        <f t="shared" ca="1" si="300"/>
        <v>0</v>
      </c>
      <c r="U644" s="237"/>
      <c r="V644" s="238">
        <v>0</v>
      </c>
      <c r="W644" s="239">
        <f t="shared" ca="1" si="301"/>
        <v>0</v>
      </c>
      <c r="X644" s="240">
        <f t="shared" si="298"/>
        <v>0</v>
      </c>
      <c r="Y644" s="236"/>
      <c r="Z644" s="236">
        <f t="shared" ca="1" si="302"/>
        <v>0</v>
      </c>
      <c r="AA644" s="241"/>
      <c r="AF644" s="225">
        <f t="shared" ca="1" si="297"/>
        <v>46236</v>
      </c>
      <c r="AG644" s="225" t="b">
        <f t="shared" si="299"/>
        <v>1</v>
      </c>
      <c r="AH644" s="242"/>
      <c r="AS644" s="223">
        <f t="shared" si="304"/>
        <v>0</v>
      </c>
      <c r="AT644" s="223">
        <f t="shared" si="305"/>
        <v>0</v>
      </c>
    </row>
    <row r="645" spans="2:46" ht="15.75" x14ac:dyDescent="0.25">
      <c r="B645" s="229"/>
      <c r="C645" s="235"/>
      <c r="D645" s="243"/>
      <c r="E645" s="232"/>
      <c r="F645" s="233"/>
      <c r="G645" s="234"/>
      <c r="H645" s="235"/>
      <c r="I645" s="235"/>
      <c r="J645" s="236"/>
      <c r="K645" s="237">
        <f ca="1">ROUND(IF(ISERROR(OFFSET(Tabella!$A$1,MATCH(H645,Tabella!$A:$A,0)-1,MATCH(J645,Tabella!$A$1:$AC$1,0)-1)=TRUE),0,+OFFSET(Tabella!$A$1,MATCH(H645,Tabella!$A:$A,0)-1,MATCH(J645,Tabella!$A$1:$AC$1,0)-1)),4)</f>
        <v>0</v>
      </c>
      <c r="L645" s="238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238">
        <f ca="1">ROUND(IF(ISERROR(OFFSET(Rame!$A$1,MATCH(H645,Rame!$A:$A,0)-1,MATCH(J645,Rame!$A$1:$AA$1,0)-1)=TRUE),0,OFFSET(Rame!$A$1,MATCH(H645,Rame!$A:$A,0)-1,MATCH(J645,Rame!$A$1:$AA$1,0)-1))*IF(E645="Rame",1,0),4)</f>
        <v>0</v>
      </c>
      <c r="N645" s="238">
        <v>0</v>
      </c>
      <c r="O645" s="238">
        <f t="shared" ca="1" si="303"/>
        <v>0</v>
      </c>
      <c r="P645" s="238">
        <f ca="1">ROUND(+IF(ISERROR(OFFSET(Tabella!$G$1,MATCH(H645,Tabella!$G:$G,0)-1,MATCH(I645,Tabella!$G$1:$FG$1,0)-1)=TRUE),0,OFFSET(Tabella!$G$1,MATCH(H645,Tabella!$G:$G,0)-1,MATCH(I645,Tabella!$G$1:$AB$1,0)-1)),4)</f>
        <v>0</v>
      </c>
      <c r="Q645" s="238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238">
        <f ca="1">ROUND(IF(ISERROR(OFFSET(Rame!$F$1,MATCH(H645,Rame!$F:$F,0)-1,MATCH(I645,Rame!$F$1:$FF$1,0)-1)=TRUE),0,OFFSET(Rame!$F$1,MATCH(H645,Rame!$F:$F,0)-1,MATCH(I645,Rame!$F$1:$FF$1,0)-1))*IF(E645="Rame",1,0),4)</f>
        <v>0</v>
      </c>
      <c r="S645" s="238">
        <f ca="1">ROUND(IF(ISERROR(OFFSET(Bronzo!$A$1,MATCH(H645,Bronzo!$A:$A,0)-1,MATCH(I645,Bronzo!$A$1:$AA$1,0)-1)=TRUE),0,OFFSET(Bronzo!$A$1,MATCH(H645,Bronzo!$A:$A,0)-1,MATCH(I645,Bronzo!$A$1:$AA$1,0)-1)),4)</f>
        <v>0</v>
      </c>
      <c r="T645" s="238">
        <f t="shared" ca="1" si="300"/>
        <v>0</v>
      </c>
      <c r="U645" s="237"/>
      <c r="V645" s="238">
        <v>0</v>
      </c>
      <c r="W645" s="239">
        <f t="shared" ca="1" si="301"/>
        <v>0</v>
      </c>
      <c r="X645" s="240">
        <f t="shared" si="298"/>
        <v>0</v>
      </c>
      <c r="Y645" s="236"/>
      <c r="Z645" s="236">
        <f t="shared" ca="1" si="302"/>
        <v>0</v>
      </c>
      <c r="AA645" s="241"/>
      <c r="AF645" s="225">
        <f t="shared" ref="AF645:AF708" ca="1" si="306">TODAY()</f>
        <v>46236</v>
      </c>
      <c r="AG645" s="225" t="b">
        <f t="shared" si="299"/>
        <v>1</v>
      </c>
      <c r="AH645" s="242"/>
      <c r="AS645" s="223">
        <f t="shared" si="304"/>
        <v>0</v>
      </c>
      <c r="AT645" s="223">
        <f t="shared" si="305"/>
        <v>0</v>
      </c>
    </row>
    <row r="646" spans="2:46" ht="15.75" x14ac:dyDescent="0.25">
      <c r="B646" s="229"/>
      <c r="C646" s="235"/>
      <c r="D646" s="243"/>
      <c r="E646" s="232"/>
      <c r="F646" s="233"/>
      <c r="G646" s="234"/>
      <c r="H646" s="235"/>
      <c r="I646" s="235"/>
      <c r="J646" s="236"/>
      <c r="K646" s="237">
        <f ca="1">ROUND(IF(ISERROR(OFFSET(Tabella!$A$1,MATCH(H646,Tabella!$A:$A,0)-1,MATCH(J646,Tabella!$A$1:$AC$1,0)-1)=TRUE),0,+OFFSET(Tabella!$A$1,MATCH(H646,Tabella!$A:$A,0)-1,MATCH(J646,Tabella!$A$1:$AC$1,0)-1)),4)</f>
        <v>0</v>
      </c>
      <c r="L646" s="238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238">
        <f ca="1">ROUND(IF(ISERROR(OFFSET(Rame!$A$1,MATCH(H646,Rame!$A:$A,0)-1,MATCH(J646,Rame!$A$1:$AA$1,0)-1)=TRUE),0,OFFSET(Rame!$A$1,MATCH(H646,Rame!$A:$A,0)-1,MATCH(J646,Rame!$A$1:$AA$1,0)-1))*IF(E646="Rame",1,0),4)</f>
        <v>0</v>
      </c>
      <c r="N646" s="238">
        <v>0</v>
      </c>
      <c r="O646" s="238">
        <f t="shared" ca="1" si="303"/>
        <v>0</v>
      </c>
      <c r="P646" s="238">
        <f ca="1">ROUND(+IF(ISERROR(OFFSET(Tabella!$G$1,MATCH(H646,Tabella!$G:$G,0)-1,MATCH(I646,Tabella!$G$1:$FG$1,0)-1)=TRUE),0,OFFSET(Tabella!$G$1,MATCH(H646,Tabella!$G:$G,0)-1,MATCH(I646,Tabella!$G$1:$AB$1,0)-1)),4)</f>
        <v>0</v>
      </c>
      <c r="Q646" s="238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238">
        <f ca="1">ROUND(IF(ISERROR(OFFSET(Rame!$F$1,MATCH(H646,Rame!$F:$F,0)-1,MATCH(I646,Rame!$F$1:$FF$1,0)-1)=TRUE),0,OFFSET(Rame!$F$1,MATCH(H646,Rame!$F:$F,0)-1,MATCH(I646,Rame!$F$1:$FF$1,0)-1))*IF(E646="Rame",1,0),4)</f>
        <v>0</v>
      </c>
      <c r="S646" s="238">
        <f ca="1">ROUND(IF(ISERROR(OFFSET(Bronzo!$A$1,MATCH(H646,Bronzo!$A:$A,0)-1,MATCH(I646,Bronzo!$A$1:$AA$1,0)-1)=TRUE),0,OFFSET(Bronzo!$A$1,MATCH(H646,Bronzo!$A:$A,0)-1,MATCH(I646,Bronzo!$A$1:$AA$1,0)-1)),4)</f>
        <v>0</v>
      </c>
      <c r="T646" s="238">
        <f t="shared" ca="1" si="300"/>
        <v>0</v>
      </c>
      <c r="U646" s="237"/>
      <c r="V646" s="238">
        <v>0</v>
      </c>
      <c r="W646" s="239">
        <f t="shared" ca="1" si="301"/>
        <v>0</v>
      </c>
      <c r="X646" s="240">
        <f t="shared" si="298"/>
        <v>0</v>
      </c>
      <c r="Y646" s="236"/>
      <c r="Z646" s="236">
        <f t="shared" ca="1" si="302"/>
        <v>0</v>
      </c>
      <c r="AA646" s="241"/>
      <c r="AF646" s="225">
        <f t="shared" ca="1" si="306"/>
        <v>46236</v>
      </c>
      <c r="AG646" s="225" t="b">
        <f t="shared" si="299"/>
        <v>1</v>
      </c>
      <c r="AH646" s="242"/>
      <c r="AS646" s="223">
        <f t="shared" si="304"/>
        <v>0</v>
      </c>
      <c r="AT646" s="223">
        <f t="shared" si="305"/>
        <v>0</v>
      </c>
    </row>
    <row r="647" spans="2:46" ht="15.75" x14ac:dyDescent="0.25">
      <c r="B647" s="229"/>
      <c r="C647" s="235"/>
      <c r="D647" s="243"/>
      <c r="E647" s="232"/>
      <c r="F647" s="233"/>
      <c r="G647" s="234"/>
      <c r="H647" s="235"/>
      <c r="I647" s="235"/>
      <c r="J647" s="236"/>
      <c r="K647" s="237">
        <f ca="1">ROUND(IF(ISERROR(OFFSET(Tabella!$A$1,MATCH(H647,Tabella!$A:$A,0)-1,MATCH(J647,Tabella!$A$1:$AC$1,0)-1)=TRUE),0,+OFFSET(Tabella!$A$1,MATCH(H647,Tabella!$A:$A,0)-1,MATCH(J647,Tabella!$A$1:$AC$1,0)-1)),4)</f>
        <v>0</v>
      </c>
      <c r="L647" s="238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238">
        <f ca="1">ROUND(IF(ISERROR(OFFSET(Rame!$A$1,MATCH(H647,Rame!$A:$A,0)-1,MATCH(J647,Rame!$A$1:$AA$1,0)-1)=TRUE),0,OFFSET(Rame!$A$1,MATCH(H647,Rame!$A:$A,0)-1,MATCH(J647,Rame!$A$1:$AA$1,0)-1))*IF(E647="Rame",1,0),4)</f>
        <v>0</v>
      </c>
      <c r="N647" s="238">
        <v>0</v>
      </c>
      <c r="O647" s="238">
        <f t="shared" ca="1" si="303"/>
        <v>0</v>
      </c>
      <c r="P647" s="238">
        <f ca="1">ROUND(+IF(ISERROR(OFFSET(Tabella!$G$1,MATCH(H647,Tabella!$G:$G,0)-1,MATCH(I647,Tabella!$G$1:$FG$1,0)-1)=TRUE),0,OFFSET(Tabella!$G$1,MATCH(H647,Tabella!$G:$G,0)-1,MATCH(I647,Tabella!$G$1:$AB$1,0)-1)),4)</f>
        <v>0</v>
      </c>
      <c r="Q647" s="238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238">
        <f ca="1">ROUND(IF(ISERROR(OFFSET(Rame!$F$1,MATCH(H647,Rame!$F:$F,0)-1,MATCH(I647,Rame!$F$1:$FF$1,0)-1)=TRUE),0,OFFSET(Rame!$F$1,MATCH(H647,Rame!$F:$F,0)-1,MATCH(I647,Rame!$F$1:$FF$1,0)-1))*IF(E647="Rame",1,0),4)</f>
        <v>0</v>
      </c>
      <c r="S647" s="238">
        <f ca="1">ROUND(IF(ISERROR(OFFSET(Bronzo!$A$1,MATCH(H647,Bronzo!$A:$A,0)-1,MATCH(I647,Bronzo!$A$1:$AA$1,0)-1)=TRUE),0,OFFSET(Bronzo!$A$1,MATCH(H647,Bronzo!$A:$A,0)-1,MATCH(I647,Bronzo!$A$1:$AA$1,0)-1)),4)</f>
        <v>0</v>
      </c>
      <c r="T647" s="238">
        <f t="shared" ca="1" si="300"/>
        <v>0</v>
      </c>
      <c r="U647" s="237"/>
      <c r="V647" s="238">
        <v>0</v>
      </c>
      <c r="W647" s="239">
        <f t="shared" ca="1" si="301"/>
        <v>0</v>
      </c>
      <c r="X647" s="240">
        <f t="shared" si="298"/>
        <v>0</v>
      </c>
      <c r="Y647" s="236"/>
      <c r="Z647" s="236">
        <f t="shared" ca="1" si="302"/>
        <v>0</v>
      </c>
      <c r="AA647" s="241"/>
      <c r="AF647" s="225">
        <f t="shared" ca="1" si="306"/>
        <v>46236</v>
      </c>
      <c r="AG647" s="225" t="b">
        <f t="shared" si="299"/>
        <v>1</v>
      </c>
      <c r="AH647" s="242"/>
      <c r="AS647" s="223">
        <f t="shared" si="304"/>
        <v>0</v>
      </c>
      <c r="AT647" s="223">
        <f t="shared" si="305"/>
        <v>0</v>
      </c>
    </row>
    <row r="648" spans="2:46" ht="15.75" x14ac:dyDescent="0.25">
      <c r="B648" s="229"/>
      <c r="C648" s="235"/>
      <c r="D648" s="243"/>
      <c r="E648" s="232"/>
      <c r="F648" s="233"/>
      <c r="G648" s="234"/>
      <c r="H648" s="235"/>
      <c r="I648" s="235"/>
      <c r="J648" s="236"/>
      <c r="K648" s="237">
        <f ca="1">ROUND(IF(ISERROR(OFFSET(Tabella!$A$1,MATCH(H648,Tabella!$A:$A,0)-1,MATCH(J648,Tabella!$A$1:$AC$1,0)-1)=TRUE),0,+OFFSET(Tabella!$A$1,MATCH(H648,Tabella!$A:$A,0)-1,MATCH(J648,Tabella!$A$1:$AC$1,0)-1)),4)</f>
        <v>0</v>
      </c>
      <c r="L648" s="238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238">
        <f ca="1">ROUND(IF(ISERROR(OFFSET(Rame!$A$1,MATCH(H648,Rame!$A:$A,0)-1,MATCH(J648,Rame!$A$1:$AA$1,0)-1)=TRUE),0,OFFSET(Rame!$A$1,MATCH(H648,Rame!$A:$A,0)-1,MATCH(J648,Rame!$A$1:$AA$1,0)-1))*IF(E648="Rame",1,0),4)</f>
        <v>0</v>
      </c>
      <c r="N648" s="238">
        <v>0</v>
      </c>
      <c r="O648" s="238">
        <f t="shared" ca="1" si="303"/>
        <v>0</v>
      </c>
      <c r="P648" s="238">
        <f ca="1">ROUND(+IF(ISERROR(OFFSET(Tabella!$G$1,MATCH(H648,Tabella!$G:$G,0)-1,MATCH(I648,Tabella!$G$1:$FG$1,0)-1)=TRUE),0,OFFSET(Tabella!$G$1,MATCH(H648,Tabella!$G:$G,0)-1,MATCH(I648,Tabella!$G$1:$AB$1,0)-1)),4)</f>
        <v>0</v>
      </c>
      <c r="Q648" s="238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238">
        <f ca="1">ROUND(IF(ISERROR(OFFSET(Rame!$F$1,MATCH(H648,Rame!$F:$F,0)-1,MATCH(I648,Rame!$F$1:$FF$1,0)-1)=TRUE),0,OFFSET(Rame!$F$1,MATCH(H648,Rame!$F:$F,0)-1,MATCH(I648,Rame!$F$1:$FF$1,0)-1))*IF(E648="Rame",1,0),4)</f>
        <v>0</v>
      </c>
      <c r="S648" s="238">
        <f ca="1">ROUND(IF(ISERROR(OFFSET(Bronzo!$A$1,MATCH(H648,Bronzo!$A:$A,0)-1,MATCH(I648,Bronzo!$A$1:$AA$1,0)-1)=TRUE),0,OFFSET(Bronzo!$A$1,MATCH(H648,Bronzo!$A:$A,0)-1,MATCH(I648,Bronzo!$A$1:$AA$1,0)-1)),4)</f>
        <v>0</v>
      </c>
      <c r="T648" s="238">
        <f t="shared" ca="1" si="300"/>
        <v>0</v>
      </c>
      <c r="U648" s="237"/>
      <c r="V648" s="238">
        <v>0</v>
      </c>
      <c r="W648" s="239">
        <f t="shared" ca="1" si="301"/>
        <v>0</v>
      </c>
      <c r="X648" s="240">
        <f t="shared" si="298"/>
        <v>0</v>
      </c>
      <c r="Y648" s="236"/>
      <c r="Z648" s="236">
        <f t="shared" ca="1" si="302"/>
        <v>0</v>
      </c>
      <c r="AA648" s="241"/>
      <c r="AF648" s="225">
        <f t="shared" ca="1" si="306"/>
        <v>46236</v>
      </c>
      <c r="AG648" s="225" t="b">
        <f t="shared" si="299"/>
        <v>1</v>
      </c>
      <c r="AH648" s="242"/>
      <c r="AS648" s="223">
        <f t="shared" si="304"/>
        <v>0</v>
      </c>
      <c r="AT648" s="223">
        <f t="shared" si="305"/>
        <v>0</v>
      </c>
    </row>
    <row r="649" spans="2:46" ht="15.75" x14ac:dyDescent="0.25">
      <c r="B649" s="229"/>
      <c r="C649" s="235"/>
      <c r="D649" s="243"/>
      <c r="E649" s="232"/>
      <c r="F649" s="233"/>
      <c r="G649" s="234"/>
      <c r="H649" s="235"/>
      <c r="I649" s="235"/>
      <c r="J649" s="236"/>
      <c r="K649" s="237">
        <f ca="1">ROUND(IF(ISERROR(OFFSET(Tabella!$A$1,MATCH(H649,Tabella!$A:$A,0)-1,MATCH(J649,Tabella!$A$1:$AC$1,0)-1)=TRUE),0,+OFFSET(Tabella!$A$1,MATCH(H649,Tabella!$A:$A,0)-1,MATCH(J649,Tabella!$A$1:$AC$1,0)-1)),4)</f>
        <v>0</v>
      </c>
      <c r="L649" s="238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238">
        <f ca="1">ROUND(IF(ISERROR(OFFSET(Rame!$A$1,MATCH(H649,Rame!$A:$A,0)-1,MATCH(J649,Rame!$A$1:$AA$1,0)-1)=TRUE),0,OFFSET(Rame!$A$1,MATCH(H649,Rame!$A:$A,0)-1,MATCH(J649,Rame!$A$1:$AA$1,0)-1))*IF(E649="Rame",1,0),4)</f>
        <v>0</v>
      </c>
      <c r="N649" s="238">
        <v>0</v>
      </c>
      <c r="O649" s="238">
        <f t="shared" ca="1" si="303"/>
        <v>0</v>
      </c>
      <c r="P649" s="238">
        <f ca="1">ROUND(+IF(ISERROR(OFFSET(Tabella!$G$1,MATCH(H649,Tabella!$G:$G,0)-1,MATCH(I649,Tabella!$G$1:$FG$1,0)-1)=TRUE),0,OFFSET(Tabella!$G$1,MATCH(H649,Tabella!$G:$G,0)-1,MATCH(I649,Tabella!$G$1:$AB$1,0)-1)),4)</f>
        <v>0</v>
      </c>
      <c r="Q649" s="238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238">
        <f ca="1">ROUND(IF(ISERROR(OFFSET(Rame!$F$1,MATCH(H649,Rame!$F:$F,0)-1,MATCH(I649,Rame!$F$1:$FF$1,0)-1)=TRUE),0,OFFSET(Rame!$F$1,MATCH(H649,Rame!$F:$F,0)-1,MATCH(I649,Rame!$F$1:$FF$1,0)-1))*IF(E649="Rame",1,0),4)</f>
        <v>0</v>
      </c>
      <c r="S649" s="238">
        <f ca="1">ROUND(IF(ISERROR(OFFSET(Bronzo!$A$1,MATCH(H649,Bronzo!$A:$A,0)-1,MATCH(I649,Bronzo!$A$1:$AA$1,0)-1)=TRUE),0,OFFSET(Bronzo!$A$1,MATCH(H649,Bronzo!$A:$A,0)-1,MATCH(I649,Bronzo!$A$1:$AA$1,0)-1)),4)</f>
        <v>0</v>
      </c>
      <c r="T649" s="238">
        <f t="shared" ca="1" si="300"/>
        <v>0</v>
      </c>
      <c r="U649" s="237"/>
      <c r="V649" s="238">
        <v>0</v>
      </c>
      <c r="W649" s="239">
        <f t="shared" ca="1" si="301"/>
        <v>0</v>
      </c>
      <c r="X649" s="240">
        <f t="shared" si="298"/>
        <v>0</v>
      </c>
      <c r="Y649" s="236"/>
      <c r="Z649" s="236">
        <f t="shared" ca="1" si="302"/>
        <v>0</v>
      </c>
      <c r="AA649" s="241"/>
      <c r="AF649" s="225">
        <f t="shared" ca="1" si="306"/>
        <v>46236</v>
      </c>
      <c r="AG649" s="225" t="b">
        <f t="shared" si="299"/>
        <v>1</v>
      </c>
      <c r="AH649" s="242"/>
      <c r="AS649" s="223">
        <f t="shared" si="304"/>
        <v>0</v>
      </c>
      <c r="AT649" s="223">
        <f t="shared" si="305"/>
        <v>0</v>
      </c>
    </row>
    <row r="650" spans="2:46" ht="15.75" x14ac:dyDescent="0.25">
      <c r="B650" s="229"/>
      <c r="C650" s="235"/>
      <c r="D650" s="243"/>
      <c r="E650" s="232"/>
      <c r="F650" s="233"/>
      <c r="G650" s="234"/>
      <c r="H650" s="235"/>
      <c r="I650" s="235"/>
      <c r="J650" s="236"/>
      <c r="K650" s="237">
        <f ca="1">ROUND(IF(ISERROR(OFFSET(Tabella!$A$1,MATCH(H650,Tabella!$A:$A,0)-1,MATCH(J650,Tabella!$A$1:$AC$1,0)-1)=TRUE),0,+OFFSET(Tabella!$A$1,MATCH(H650,Tabella!$A:$A,0)-1,MATCH(J650,Tabella!$A$1:$AC$1,0)-1)),4)</f>
        <v>0</v>
      </c>
      <c r="L650" s="238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238">
        <f ca="1">ROUND(IF(ISERROR(OFFSET(Rame!$A$1,MATCH(H650,Rame!$A:$A,0)-1,MATCH(J650,Rame!$A$1:$AA$1,0)-1)=TRUE),0,OFFSET(Rame!$A$1,MATCH(H650,Rame!$A:$A,0)-1,MATCH(J650,Rame!$A$1:$AA$1,0)-1))*IF(E650="Rame",1,0),4)</f>
        <v>0</v>
      </c>
      <c r="N650" s="238">
        <v>0</v>
      </c>
      <c r="O650" s="238">
        <f t="shared" ca="1" si="303"/>
        <v>0</v>
      </c>
      <c r="P650" s="238">
        <f ca="1">ROUND(+IF(ISERROR(OFFSET(Tabella!$G$1,MATCH(H650,Tabella!$G:$G,0)-1,MATCH(I650,Tabella!$G$1:$FG$1,0)-1)=TRUE),0,OFFSET(Tabella!$G$1,MATCH(H650,Tabella!$G:$G,0)-1,MATCH(I650,Tabella!$G$1:$AB$1,0)-1)),4)</f>
        <v>0</v>
      </c>
      <c r="Q650" s="238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238">
        <f ca="1">ROUND(IF(ISERROR(OFFSET(Rame!$F$1,MATCH(H650,Rame!$F:$F,0)-1,MATCH(I650,Rame!$F$1:$FF$1,0)-1)=TRUE),0,OFFSET(Rame!$F$1,MATCH(H650,Rame!$F:$F,0)-1,MATCH(I650,Rame!$F$1:$FF$1,0)-1))*IF(E650="Rame",1,0),4)</f>
        <v>0</v>
      </c>
      <c r="S650" s="238">
        <f ca="1">ROUND(IF(ISERROR(OFFSET(Bronzo!$A$1,MATCH(H650,Bronzo!$A:$A,0)-1,MATCH(I650,Bronzo!$A$1:$AA$1,0)-1)=TRUE),0,OFFSET(Bronzo!$A$1,MATCH(H650,Bronzo!$A:$A,0)-1,MATCH(I650,Bronzo!$A$1:$AA$1,0)-1)),4)</f>
        <v>0</v>
      </c>
      <c r="T650" s="238">
        <f t="shared" ca="1" si="300"/>
        <v>0</v>
      </c>
      <c r="U650" s="237"/>
      <c r="V650" s="238">
        <v>0</v>
      </c>
      <c r="W650" s="239">
        <f t="shared" ca="1" si="301"/>
        <v>0</v>
      </c>
      <c r="X650" s="240">
        <f t="shared" si="298"/>
        <v>0</v>
      </c>
      <c r="Y650" s="236"/>
      <c r="Z650" s="236">
        <f t="shared" ca="1" si="302"/>
        <v>0</v>
      </c>
      <c r="AA650" s="241"/>
      <c r="AF650" s="225">
        <f t="shared" ca="1" si="306"/>
        <v>46236</v>
      </c>
      <c r="AG650" s="225" t="b">
        <f t="shared" si="299"/>
        <v>1</v>
      </c>
      <c r="AH650" s="242"/>
      <c r="AS650" s="223">
        <f t="shared" si="304"/>
        <v>0</v>
      </c>
      <c r="AT650" s="223">
        <f t="shared" si="305"/>
        <v>0</v>
      </c>
    </row>
    <row r="651" spans="2:46" ht="15.75" x14ac:dyDescent="0.25">
      <c r="B651" s="229"/>
      <c r="C651" s="235"/>
      <c r="D651" s="243"/>
      <c r="E651" s="232"/>
      <c r="F651" s="233"/>
      <c r="G651" s="234"/>
      <c r="H651" s="235"/>
      <c r="I651" s="235"/>
      <c r="J651" s="236"/>
      <c r="K651" s="237">
        <f ca="1">ROUND(IF(ISERROR(OFFSET(Tabella!$A$1,MATCH(H651,Tabella!$A:$A,0)-1,MATCH(J651,Tabella!$A$1:$AC$1,0)-1)=TRUE),0,+OFFSET(Tabella!$A$1,MATCH(H651,Tabella!$A:$A,0)-1,MATCH(J651,Tabella!$A$1:$AC$1,0)-1)),4)</f>
        <v>0</v>
      </c>
      <c r="L651" s="238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238">
        <f ca="1">ROUND(IF(ISERROR(OFFSET(Rame!$A$1,MATCH(H651,Rame!$A:$A,0)-1,MATCH(J651,Rame!$A$1:$AA$1,0)-1)=TRUE),0,OFFSET(Rame!$A$1,MATCH(H651,Rame!$A:$A,0)-1,MATCH(J651,Rame!$A$1:$AA$1,0)-1))*IF(E651="Rame",1,0),4)</f>
        <v>0</v>
      </c>
      <c r="N651" s="238">
        <v>0</v>
      </c>
      <c r="O651" s="238">
        <f t="shared" ca="1" si="303"/>
        <v>0</v>
      </c>
      <c r="P651" s="238">
        <f ca="1">ROUND(+IF(ISERROR(OFFSET(Tabella!$G$1,MATCH(H651,Tabella!$G:$G,0)-1,MATCH(I651,Tabella!$G$1:$FG$1,0)-1)=TRUE),0,OFFSET(Tabella!$G$1,MATCH(H651,Tabella!$G:$G,0)-1,MATCH(I651,Tabella!$G$1:$AB$1,0)-1)),4)</f>
        <v>0</v>
      </c>
      <c r="Q651" s="238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238">
        <f ca="1">ROUND(IF(ISERROR(OFFSET(Rame!$F$1,MATCH(H651,Rame!$F:$F,0)-1,MATCH(I651,Rame!$F$1:$FF$1,0)-1)=TRUE),0,OFFSET(Rame!$F$1,MATCH(H651,Rame!$F:$F,0)-1,MATCH(I651,Rame!$F$1:$FF$1,0)-1))*IF(E651="Rame",1,0),4)</f>
        <v>0</v>
      </c>
      <c r="S651" s="238">
        <f ca="1">ROUND(IF(ISERROR(OFFSET(Bronzo!$A$1,MATCH(H651,Bronzo!$A:$A,0)-1,MATCH(I651,Bronzo!$A$1:$AA$1,0)-1)=TRUE),0,OFFSET(Bronzo!$A$1,MATCH(H651,Bronzo!$A:$A,0)-1,MATCH(I651,Bronzo!$A$1:$AA$1,0)-1)),4)</f>
        <v>0</v>
      </c>
      <c r="T651" s="238">
        <f t="shared" ca="1" si="300"/>
        <v>0</v>
      </c>
      <c r="U651" s="237"/>
      <c r="V651" s="238">
        <v>0</v>
      </c>
      <c r="W651" s="239">
        <f t="shared" ca="1" si="301"/>
        <v>0</v>
      </c>
      <c r="X651" s="240">
        <f t="shared" si="298"/>
        <v>0</v>
      </c>
      <c r="Y651" s="236"/>
      <c r="Z651" s="236">
        <f t="shared" ca="1" si="302"/>
        <v>0</v>
      </c>
      <c r="AA651" s="241"/>
      <c r="AF651" s="225">
        <f t="shared" ca="1" si="306"/>
        <v>46236</v>
      </c>
      <c r="AG651" s="225" t="b">
        <f t="shared" si="299"/>
        <v>1</v>
      </c>
      <c r="AH651" s="242"/>
      <c r="AS651" s="223">
        <f t="shared" si="304"/>
        <v>0</v>
      </c>
      <c r="AT651" s="223">
        <f t="shared" si="305"/>
        <v>0</v>
      </c>
    </row>
    <row r="652" spans="2:46" ht="15.75" x14ac:dyDescent="0.25">
      <c r="B652" s="229"/>
      <c r="C652" s="235"/>
      <c r="D652" s="243"/>
      <c r="E652" s="232"/>
      <c r="F652" s="233"/>
      <c r="G652" s="234"/>
      <c r="H652" s="235"/>
      <c r="I652" s="235"/>
      <c r="J652" s="236"/>
      <c r="K652" s="237">
        <f ca="1">ROUND(IF(ISERROR(OFFSET(Tabella!$A$1,MATCH(H652,Tabella!$A:$A,0)-1,MATCH(J652,Tabella!$A$1:$AC$1,0)-1)=TRUE),0,+OFFSET(Tabella!$A$1,MATCH(H652,Tabella!$A:$A,0)-1,MATCH(J652,Tabella!$A$1:$AC$1,0)-1)),4)</f>
        <v>0</v>
      </c>
      <c r="L652" s="238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238">
        <f ca="1">ROUND(IF(ISERROR(OFFSET(Rame!$A$1,MATCH(H652,Rame!$A:$A,0)-1,MATCH(J652,Rame!$A$1:$AA$1,0)-1)=TRUE),0,OFFSET(Rame!$A$1,MATCH(H652,Rame!$A:$A,0)-1,MATCH(J652,Rame!$A$1:$AA$1,0)-1))*IF(E652="Rame",1,0),4)</f>
        <v>0</v>
      </c>
      <c r="N652" s="238">
        <v>0</v>
      </c>
      <c r="O652" s="238">
        <f t="shared" ca="1" si="303"/>
        <v>0</v>
      </c>
      <c r="P652" s="238">
        <f ca="1">ROUND(+IF(ISERROR(OFFSET(Tabella!$G$1,MATCH(H652,Tabella!$G:$G,0)-1,MATCH(I652,Tabella!$G$1:$FG$1,0)-1)=TRUE),0,OFFSET(Tabella!$G$1,MATCH(H652,Tabella!$G:$G,0)-1,MATCH(I652,Tabella!$G$1:$AB$1,0)-1)),4)</f>
        <v>0</v>
      </c>
      <c r="Q652" s="238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238">
        <f ca="1">ROUND(IF(ISERROR(OFFSET(Rame!$F$1,MATCH(H652,Rame!$F:$F,0)-1,MATCH(I652,Rame!$F$1:$FF$1,0)-1)=TRUE),0,OFFSET(Rame!$F$1,MATCH(H652,Rame!$F:$F,0)-1,MATCH(I652,Rame!$F$1:$FF$1,0)-1))*IF(E652="Rame",1,0),4)</f>
        <v>0</v>
      </c>
      <c r="S652" s="238">
        <f ca="1">ROUND(IF(ISERROR(OFFSET(Bronzo!$A$1,MATCH(H652,Bronzo!$A:$A,0)-1,MATCH(I652,Bronzo!$A$1:$AA$1,0)-1)=TRUE),0,OFFSET(Bronzo!$A$1,MATCH(H652,Bronzo!$A:$A,0)-1,MATCH(I652,Bronzo!$A$1:$AA$1,0)-1)),4)</f>
        <v>0</v>
      </c>
      <c r="T652" s="238">
        <f t="shared" ca="1" si="300"/>
        <v>0</v>
      </c>
      <c r="U652" s="237"/>
      <c r="V652" s="238">
        <v>0</v>
      </c>
      <c r="W652" s="239">
        <f t="shared" ca="1" si="301"/>
        <v>0</v>
      </c>
      <c r="X652" s="240">
        <f t="shared" si="298"/>
        <v>0</v>
      </c>
      <c r="Y652" s="236"/>
      <c r="Z652" s="236">
        <f t="shared" ca="1" si="302"/>
        <v>0</v>
      </c>
      <c r="AA652" s="241"/>
      <c r="AF652" s="225">
        <f t="shared" ca="1" si="306"/>
        <v>46236</v>
      </c>
      <c r="AG652" s="225" t="b">
        <f t="shared" si="299"/>
        <v>1</v>
      </c>
      <c r="AH652" s="242"/>
      <c r="AS652" s="223">
        <f t="shared" si="304"/>
        <v>0</v>
      </c>
      <c r="AT652" s="223">
        <f t="shared" si="305"/>
        <v>0</v>
      </c>
    </row>
    <row r="653" spans="2:46" ht="15.75" x14ac:dyDescent="0.25">
      <c r="B653" s="229"/>
      <c r="C653" s="235"/>
      <c r="D653" s="243"/>
      <c r="E653" s="232"/>
      <c r="F653" s="233"/>
      <c r="G653" s="234"/>
      <c r="H653" s="235"/>
      <c r="I653" s="235"/>
      <c r="J653" s="236"/>
      <c r="K653" s="237">
        <f ca="1">ROUND(IF(ISERROR(OFFSET(Tabella!$A$1,MATCH(H653,Tabella!$A:$A,0)-1,MATCH(J653,Tabella!$A$1:$AC$1,0)-1)=TRUE),0,+OFFSET(Tabella!$A$1,MATCH(H653,Tabella!$A:$A,0)-1,MATCH(J653,Tabella!$A$1:$AC$1,0)-1)),4)</f>
        <v>0</v>
      </c>
      <c r="L653" s="238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238">
        <f ca="1">ROUND(IF(ISERROR(OFFSET(Rame!$A$1,MATCH(H653,Rame!$A:$A,0)-1,MATCH(J653,Rame!$A$1:$AA$1,0)-1)=TRUE),0,OFFSET(Rame!$A$1,MATCH(H653,Rame!$A:$A,0)-1,MATCH(J653,Rame!$A$1:$AA$1,0)-1))*IF(E653="Rame",1,0),4)</f>
        <v>0</v>
      </c>
      <c r="N653" s="238">
        <v>0</v>
      </c>
      <c r="O653" s="238">
        <f t="shared" ca="1" si="303"/>
        <v>0</v>
      </c>
      <c r="P653" s="238">
        <f ca="1">ROUND(+IF(ISERROR(OFFSET(Tabella!$G$1,MATCH(H653,Tabella!$G:$G,0)-1,MATCH(I653,Tabella!$G$1:$FG$1,0)-1)=TRUE),0,OFFSET(Tabella!$G$1,MATCH(H653,Tabella!$G:$G,0)-1,MATCH(I653,Tabella!$G$1:$AB$1,0)-1)),4)</f>
        <v>0</v>
      </c>
      <c r="Q653" s="238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238">
        <f ca="1">ROUND(IF(ISERROR(OFFSET(Rame!$F$1,MATCH(H653,Rame!$F:$F,0)-1,MATCH(I653,Rame!$F$1:$FF$1,0)-1)=TRUE),0,OFFSET(Rame!$F$1,MATCH(H653,Rame!$F:$F,0)-1,MATCH(I653,Rame!$F$1:$FF$1,0)-1))*IF(E653="Rame",1,0),4)</f>
        <v>0</v>
      </c>
      <c r="S653" s="238">
        <f ca="1">ROUND(IF(ISERROR(OFFSET(Bronzo!$A$1,MATCH(H653,Bronzo!$A:$A,0)-1,MATCH(I653,Bronzo!$A$1:$AA$1,0)-1)=TRUE),0,OFFSET(Bronzo!$A$1,MATCH(H653,Bronzo!$A:$A,0)-1,MATCH(I653,Bronzo!$A$1:$AA$1,0)-1)),4)</f>
        <v>0</v>
      </c>
      <c r="T653" s="238">
        <f t="shared" ca="1" si="300"/>
        <v>0</v>
      </c>
      <c r="U653" s="237"/>
      <c r="V653" s="238">
        <v>0</v>
      </c>
      <c r="W653" s="239">
        <f t="shared" ca="1" si="301"/>
        <v>0</v>
      </c>
      <c r="X653" s="240">
        <f t="shared" si="298"/>
        <v>0</v>
      </c>
      <c r="Y653" s="236"/>
      <c r="Z653" s="236">
        <f t="shared" ca="1" si="302"/>
        <v>0</v>
      </c>
      <c r="AA653" s="241"/>
      <c r="AF653" s="225">
        <f t="shared" ca="1" si="306"/>
        <v>46236</v>
      </c>
      <c r="AG653" s="225" t="b">
        <f t="shared" si="299"/>
        <v>1</v>
      </c>
      <c r="AH653" s="242"/>
      <c r="AS653" s="223">
        <f t="shared" si="304"/>
        <v>0</v>
      </c>
      <c r="AT653" s="223">
        <f t="shared" si="305"/>
        <v>0</v>
      </c>
    </row>
    <row r="654" spans="2:46" ht="15.75" x14ac:dyDescent="0.25">
      <c r="B654" s="229"/>
      <c r="C654" s="235"/>
      <c r="D654" s="243"/>
      <c r="E654" s="232"/>
      <c r="F654" s="233"/>
      <c r="G654" s="234"/>
      <c r="H654" s="235"/>
      <c r="I654" s="235"/>
      <c r="J654" s="236"/>
      <c r="K654" s="237">
        <f ca="1">ROUND(IF(ISERROR(OFFSET(Tabella!$A$1,MATCH(H654,Tabella!$A:$A,0)-1,MATCH(J654,Tabella!$A$1:$AC$1,0)-1)=TRUE),0,+OFFSET(Tabella!$A$1,MATCH(H654,Tabella!$A:$A,0)-1,MATCH(J654,Tabella!$A$1:$AC$1,0)-1)),4)</f>
        <v>0</v>
      </c>
      <c r="L654" s="238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238">
        <f ca="1">ROUND(IF(ISERROR(OFFSET(Rame!$A$1,MATCH(H654,Rame!$A:$A,0)-1,MATCH(J654,Rame!$A$1:$AA$1,0)-1)=TRUE),0,OFFSET(Rame!$A$1,MATCH(H654,Rame!$A:$A,0)-1,MATCH(J654,Rame!$A$1:$AA$1,0)-1))*IF(E654="Rame",1,0),4)</f>
        <v>0</v>
      </c>
      <c r="N654" s="238">
        <v>0</v>
      </c>
      <c r="O654" s="238">
        <f t="shared" ca="1" si="303"/>
        <v>0</v>
      </c>
      <c r="P654" s="238">
        <f ca="1">ROUND(+IF(ISERROR(OFFSET(Tabella!$G$1,MATCH(H654,Tabella!$G:$G,0)-1,MATCH(I654,Tabella!$G$1:$FG$1,0)-1)=TRUE),0,OFFSET(Tabella!$G$1,MATCH(H654,Tabella!$G:$G,0)-1,MATCH(I654,Tabella!$G$1:$AB$1,0)-1)),4)</f>
        <v>0</v>
      </c>
      <c r="Q654" s="238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238">
        <f ca="1">ROUND(IF(ISERROR(OFFSET(Rame!$F$1,MATCH(H654,Rame!$F:$F,0)-1,MATCH(I654,Rame!$F$1:$FF$1,0)-1)=TRUE),0,OFFSET(Rame!$F$1,MATCH(H654,Rame!$F:$F,0)-1,MATCH(I654,Rame!$F$1:$FF$1,0)-1))*IF(E654="Rame",1,0),4)</f>
        <v>0</v>
      </c>
      <c r="S654" s="238">
        <f ca="1">ROUND(IF(ISERROR(OFFSET(Bronzo!$A$1,MATCH(H654,Bronzo!$A:$A,0)-1,MATCH(I654,Bronzo!$A$1:$AA$1,0)-1)=TRUE),0,OFFSET(Bronzo!$A$1,MATCH(H654,Bronzo!$A:$A,0)-1,MATCH(I654,Bronzo!$A$1:$AA$1,0)-1)),4)</f>
        <v>0</v>
      </c>
      <c r="T654" s="238">
        <f t="shared" ca="1" si="300"/>
        <v>0</v>
      </c>
      <c r="U654" s="237"/>
      <c r="V654" s="238">
        <v>0</v>
      </c>
      <c r="W654" s="239">
        <f t="shared" ca="1" si="301"/>
        <v>0</v>
      </c>
      <c r="X654" s="240">
        <f t="shared" si="298"/>
        <v>0</v>
      </c>
      <c r="Y654" s="236"/>
      <c r="Z654" s="236">
        <f t="shared" ca="1" si="302"/>
        <v>0</v>
      </c>
      <c r="AA654" s="241"/>
      <c r="AF654" s="225">
        <f t="shared" ca="1" si="306"/>
        <v>46236</v>
      </c>
      <c r="AG654" s="225" t="b">
        <f t="shared" si="299"/>
        <v>1</v>
      </c>
      <c r="AH654" s="242"/>
      <c r="AS654" s="223">
        <f t="shared" si="304"/>
        <v>0</v>
      </c>
      <c r="AT654" s="223">
        <f t="shared" si="305"/>
        <v>0</v>
      </c>
    </row>
    <row r="655" spans="2:46" ht="15.75" x14ac:dyDescent="0.25">
      <c r="B655" s="229"/>
      <c r="C655" s="235"/>
      <c r="D655" s="243"/>
      <c r="E655" s="232"/>
      <c r="F655" s="233"/>
      <c r="G655" s="234"/>
      <c r="H655" s="235"/>
      <c r="I655" s="235"/>
      <c r="J655" s="236"/>
      <c r="K655" s="237">
        <f ca="1">ROUND(IF(ISERROR(OFFSET(Tabella!$A$1,MATCH(H655,Tabella!$A:$A,0)-1,MATCH(J655,Tabella!$A$1:$AC$1,0)-1)=TRUE),0,+OFFSET(Tabella!$A$1,MATCH(H655,Tabella!$A:$A,0)-1,MATCH(J655,Tabella!$A$1:$AC$1,0)-1)),4)</f>
        <v>0</v>
      </c>
      <c r="L655" s="238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238">
        <f ca="1">ROUND(IF(ISERROR(OFFSET(Rame!$A$1,MATCH(H655,Rame!$A:$A,0)-1,MATCH(J655,Rame!$A$1:$AA$1,0)-1)=TRUE),0,OFFSET(Rame!$A$1,MATCH(H655,Rame!$A:$A,0)-1,MATCH(J655,Rame!$A$1:$AA$1,0)-1))*IF(E655="Rame",1,0),4)</f>
        <v>0</v>
      </c>
      <c r="N655" s="238">
        <v>0</v>
      </c>
      <c r="O655" s="238">
        <f t="shared" ca="1" si="303"/>
        <v>0</v>
      </c>
      <c r="P655" s="238">
        <f ca="1">ROUND(+IF(ISERROR(OFFSET(Tabella!$G$1,MATCH(H655,Tabella!$G:$G,0)-1,MATCH(I655,Tabella!$G$1:$FG$1,0)-1)=TRUE),0,OFFSET(Tabella!$G$1,MATCH(H655,Tabella!$G:$G,0)-1,MATCH(I655,Tabella!$G$1:$AB$1,0)-1)),4)</f>
        <v>0</v>
      </c>
      <c r="Q655" s="238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238">
        <f ca="1">ROUND(IF(ISERROR(OFFSET(Rame!$F$1,MATCH(H655,Rame!$F:$F,0)-1,MATCH(I655,Rame!$F$1:$FF$1,0)-1)=TRUE),0,OFFSET(Rame!$F$1,MATCH(H655,Rame!$F:$F,0)-1,MATCH(I655,Rame!$F$1:$FF$1,0)-1))*IF(E655="Rame",1,0),4)</f>
        <v>0</v>
      </c>
      <c r="S655" s="238">
        <f ca="1">ROUND(IF(ISERROR(OFFSET(Bronzo!$A$1,MATCH(H655,Bronzo!$A:$A,0)-1,MATCH(I655,Bronzo!$A$1:$AA$1,0)-1)=TRUE),0,OFFSET(Bronzo!$A$1,MATCH(H655,Bronzo!$A:$A,0)-1,MATCH(I655,Bronzo!$A$1:$AA$1,0)-1)),4)</f>
        <v>0</v>
      </c>
      <c r="T655" s="238">
        <f t="shared" ca="1" si="300"/>
        <v>0</v>
      </c>
      <c r="U655" s="237"/>
      <c r="V655" s="238">
        <v>0</v>
      </c>
      <c r="W655" s="239">
        <f t="shared" ca="1" si="301"/>
        <v>0</v>
      </c>
      <c r="X655" s="240">
        <f t="shared" si="298"/>
        <v>0</v>
      </c>
      <c r="Y655" s="236"/>
      <c r="Z655" s="236">
        <f t="shared" ca="1" si="302"/>
        <v>0</v>
      </c>
      <c r="AA655" s="241"/>
      <c r="AF655" s="225">
        <f t="shared" ca="1" si="306"/>
        <v>46236</v>
      </c>
      <c r="AG655" s="225" t="b">
        <f t="shared" si="299"/>
        <v>1</v>
      </c>
      <c r="AH655" s="242"/>
      <c r="AS655" s="223">
        <f t="shared" si="304"/>
        <v>0</v>
      </c>
      <c r="AT655" s="223">
        <f t="shared" si="305"/>
        <v>0</v>
      </c>
    </row>
    <row r="656" spans="2:46" ht="15.75" x14ac:dyDescent="0.25">
      <c r="B656" s="229"/>
      <c r="C656" s="235"/>
      <c r="D656" s="243"/>
      <c r="E656" s="232"/>
      <c r="F656" s="233"/>
      <c r="G656" s="234"/>
      <c r="H656" s="235"/>
      <c r="I656" s="235"/>
      <c r="J656" s="236"/>
      <c r="K656" s="237">
        <f ca="1">ROUND(IF(ISERROR(OFFSET(Tabella!$A$1,MATCH(H656,Tabella!$A:$A,0)-1,MATCH(J656,Tabella!$A$1:$AC$1,0)-1)=TRUE),0,+OFFSET(Tabella!$A$1,MATCH(H656,Tabella!$A:$A,0)-1,MATCH(J656,Tabella!$A$1:$AC$1,0)-1)),4)</f>
        <v>0</v>
      </c>
      <c r="L656" s="238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238">
        <f ca="1">ROUND(IF(ISERROR(OFFSET(Rame!$A$1,MATCH(H656,Rame!$A:$A,0)-1,MATCH(J656,Rame!$A$1:$AA$1,0)-1)=TRUE),0,OFFSET(Rame!$A$1,MATCH(H656,Rame!$A:$A,0)-1,MATCH(J656,Rame!$A$1:$AA$1,0)-1))*IF(E656="Rame",1,0),4)</f>
        <v>0</v>
      </c>
      <c r="N656" s="238">
        <v>0</v>
      </c>
      <c r="O656" s="238">
        <f t="shared" ca="1" si="303"/>
        <v>0</v>
      </c>
      <c r="P656" s="238">
        <f ca="1">ROUND(+IF(ISERROR(OFFSET(Tabella!$G$1,MATCH(H656,Tabella!$G:$G,0)-1,MATCH(I656,Tabella!$G$1:$FG$1,0)-1)=TRUE),0,OFFSET(Tabella!$G$1,MATCH(H656,Tabella!$G:$G,0)-1,MATCH(I656,Tabella!$G$1:$AB$1,0)-1)),4)</f>
        <v>0</v>
      </c>
      <c r="Q656" s="238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238">
        <f ca="1">ROUND(IF(ISERROR(OFFSET(Rame!$F$1,MATCH(H656,Rame!$F:$F,0)-1,MATCH(I656,Rame!$F$1:$FF$1,0)-1)=TRUE),0,OFFSET(Rame!$F$1,MATCH(H656,Rame!$F:$F,0)-1,MATCH(I656,Rame!$F$1:$FF$1,0)-1))*IF(E656="Rame",1,0),4)</f>
        <v>0</v>
      </c>
      <c r="S656" s="238">
        <f ca="1">ROUND(IF(ISERROR(OFFSET(Bronzo!$A$1,MATCH(H656,Bronzo!$A:$A,0)-1,MATCH(I656,Bronzo!$A$1:$AA$1,0)-1)=TRUE),0,OFFSET(Bronzo!$A$1,MATCH(H656,Bronzo!$A:$A,0)-1,MATCH(I656,Bronzo!$A$1:$AA$1,0)-1)),4)</f>
        <v>0</v>
      </c>
      <c r="T656" s="238">
        <f t="shared" ca="1" si="300"/>
        <v>0</v>
      </c>
      <c r="U656" s="237"/>
      <c r="V656" s="238">
        <v>0</v>
      </c>
      <c r="W656" s="239">
        <f t="shared" ca="1" si="301"/>
        <v>0</v>
      </c>
      <c r="X656" s="240">
        <f t="shared" si="298"/>
        <v>0</v>
      </c>
      <c r="Y656" s="236"/>
      <c r="Z656" s="236">
        <f t="shared" ca="1" si="302"/>
        <v>0</v>
      </c>
      <c r="AA656" s="241"/>
      <c r="AF656" s="225">
        <f t="shared" ca="1" si="306"/>
        <v>46236</v>
      </c>
      <c r="AG656" s="225" t="b">
        <f t="shared" si="299"/>
        <v>1</v>
      </c>
      <c r="AH656" s="242"/>
      <c r="AS656" s="223">
        <f t="shared" si="304"/>
        <v>0</v>
      </c>
      <c r="AT656" s="223">
        <f t="shared" si="305"/>
        <v>0</v>
      </c>
    </row>
    <row r="657" spans="2:46" ht="15.75" x14ac:dyDescent="0.25">
      <c r="B657" s="229"/>
      <c r="C657" s="235"/>
      <c r="D657" s="243"/>
      <c r="E657" s="232"/>
      <c r="F657" s="233"/>
      <c r="G657" s="234"/>
      <c r="H657" s="235"/>
      <c r="I657" s="235"/>
      <c r="J657" s="236"/>
      <c r="K657" s="237">
        <f ca="1">ROUND(IF(ISERROR(OFFSET(Tabella!$A$1,MATCH(H657,Tabella!$A:$A,0)-1,MATCH(J657,Tabella!$A$1:$AC$1,0)-1)=TRUE),0,+OFFSET(Tabella!$A$1,MATCH(H657,Tabella!$A:$A,0)-1,MATCH(J657,Tabella!$A$1:$AC$1,0)-1)),4)</f>
        <v>0</v>
      </c>
      <c r="L657" s="238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238">
        <f ca="1">ROUND(IF(ISERROR(OFFSET(Rame!$A$1,MATCH(H657,Rame!$A:$A,0)-1,MATCH(J657,Rame!$A$1:$AA$1,0)-1)=TRUE),0,OFFSET(Rame!$A$1,MATCH(H657,Rame!$A:$A,0)-1,MATCH(J657,Rame!$A$1:$AA$1,0)-1))*IF(E657="Rame",1,0),4)</f>
        <v>0</v>
      </c>
      <c r="N657" s="238">
        <v>0</v>
      </c>
      <c r="O657" s="238">
        <f t="shared" ca="1" si="303"/>
        <v>0</v>
      </c>
      <c r="P657" s="238">
        <f ca="1">ROUND(+IF(ISERROR(OFFSET(Tabella!$G$1,MATCH(H657,Tabella!$G:$G,0)-1,MATCH(I657,Tabella!$G$1:$FG$1,0)-1)=TRUE),0,OFFSET(Tabella!$G$1,MATCH(H657,Tabella!$G:$G,0)-1,MATCH(I657,Tabella!$G$1:$AB$1,0)-1)),4)</f>
        <v>0</v>
      </c>
      <c r="Q657" s="238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238">
        <f ca="1">ROUND(IF(ISERROR(OFFSET(Rame!$F$1,MATCH(H657,Rame!$F:$F,0)-1,MATCH(I657,Rame!$F$1:$FF$1,0)-1)=TRUE),0,OFFSET(Rame!$F$1,MATCH(H657,Rame!$F:$F,0)-1,MATCH(I657,Rame!$F$1:$FF$1,0)-1))*IF(E657="Rame",1,0),4)</f>
        <v>0</v>
      </c>
      <c r="S657" s="238">
        <f ca="1">ROUND(IF(ISERROR(OFFSET(Bronzo!$A$1,MATCH(H657,Bronzo!$A:$A,0)-1,MATCH(I657,Bronzo!$A$1:$AA$1,0)-1)=TRUE),0,OFFSET(Bronzo!$A$1,MATCH(H657,Bronzo!$A:$A,0)-1,MATCH(I657,Bronzo!$A$1:$AA$1,0)-1)),4)</f>
        <v>0</v>
      </c>
      <c r="T657" s="238">
        <f t="shared" ca="1" si="300"/>
        <v>0</v>
      </c>
      <c r="U657" s="237"/>
      <c r="V657" s="238">
        <v>0</v>
      </c>
      <c r="W657" s="239">
        <f t="shared" ca="1" si="301"/>
        <v>0</v>
      </c>
      <c r="X657" s="240">
        <f t="shared" si="298"/>
        <v>0</v>
      </c>
      <c r="Y657" s="236"/>
      <c r="Z657" s="236">
        <f t="shared" ca="1" si="302"/>
        <v>0</v>
      </c>
      <c r="AA657" s="241"/>
      <c r="AF657" s="225">
        <f t="shared" ca="1" si="306"/>
        <v>46236</v>
      </c>
      <c r="AG657" s="225" t="b">
        <f t="shared" si="299"/>
        <v>1</v>
      </c>
      <c r="AH657" s="242"/>
      <c r="AS657" s="223">
        <f t="shared" si="304"/>
        <v>0</v>
      </c>
      <c r="AT657" s="223">
        <f t="shared" si="305"/>
        <v>0</v>
      </c>
    </row>
    <row r="658" spans="2:46" ht="15.75" x14ac:dyDescent="0.25">
      <c r="B658" s="229"/>
      <c r="C658" s="235"/>
      <c r="D658" s="243"/>
      <c r="E658" s="232"/>
      <c r="F658" s="233"/>
      <c r="G658" s="234"/>
      <c r="H658" s="235"/>
      <c r="I658" s="235"/>
      <c r="J658" s="236"/>
      <c r="K658" s="237">
        <f ca="1">ROUND(IF(ISERROR(OFFSET(Tabella!$A$1,MATCH(H658,Tabella!$A:$A,0)-1,MATCH(J658,Tabella!$A$1:$AC$1,0)-1)=TRUE),0,+OFFSET(Tabella!$A$1,MATCH(H658,Tabella!$A:$A,0)-1,MATCH(J658,Tabella!$A$1:$AC$1,0)-1)),4)</f>
        <v>0</v>
      </c>
      <c r="L658" s="238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238">
        <f ca="1">ROUND(IF(ISERROR(OFFSET(Rame!$A$1,MATCH(H658,Rame!$A:$A,0)-1,MATCH(J658,Rame!$A$1:$AA$1,0)-1)=TRUE),0,OFFSET(Rame!$A$1,MATCH(H658,Rame!$A:$A,0)-1,MATCH(J658,Rame!$A$1:$AA$1,0)-1))*IF(E658="Rame",1,0),4)</f>
        <v>0</v>
      </c>
      <c r="N658" s="238">
        <v>0</v>
      </c>
      <c r="O658" s="238">
        <f t="shared" ca="1" si="303"/>
        <v>0</v>
      </c>
      <c r="P658" s="238">
        <f ca="1">ROUND(+IF(ISERROR(OFFSET(Tabella!$G$1,MATCH(H658,Tabella!$G:$G,0)-1,MATCH(I658,Tabella!$G$1:$FG$1,0)-1)=TRUE),0,OFFSET(Tabella!$G$1,MATCH(H658,Tabella!$G:$G,0)-1,MATCH(I658,Tabella!$G$1:$AB$1,0)-1)),4)</f>
        <v>0</v>
      </c>
      <c r="Q658" s="238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238">
        <f ca="1">ROUND(IF(ISERROR(OFFSET(Rame!$F$1,MATCH(H658,Rame!$F:$F,0)-1,MATCH(I658,Rame!$F$1:$FF$1,0)-1)=TRUE),0,OFFSET(Rame!$F$1,MATCH(H658,Rame!$F:$F,0)-1,MATCH(I658,Rame!$F$1:$FF$1,0)-1))*IF(E658="Rame",1,0),4)</f>
        <v>0</v>
      </c>
      <c r="S658" s="238">
        <f ca="1">ROUND(IF(ISERROR(OFFSET(Bronzo!$A$1,MATCH(H658,Bronzo!$A:$A,0)-1,MATCH(I658,Bronzo!$A$1:$AA$1,0)-1)=TRUE),0,OFFSET(Bronzo!$A$1,MATCH(H658,Bronzo!$A:$A,0)-1,MATCH(I658,Bronzo!$A$1:$AA$1,0)-1)),4)</f>
        <v>0</v>
      </c>
      <c r="T658" s="238">
        <f t="shared" ca="1" si="300"/>
        <v>0</v>
      </c>
      <c r="U658" s="237"/>
      <c r="V658" s="238">
        <v>0</v>
      </c>
      <c r="W658" s="239">
        <f t="shared" ca="1" si="301"/>
        <v>0</v>
      </c>
      <c r="X658" s="240">
        <f t="shared" si="298"/>
        <v>0</v>
      </c>
      <c r="Y658" s="236"/>
      <c r="Z658" s="236">
        <f t="shared" ca="1" si="302"/>
        <v>0</v>
      </c>
      <c r="AA658" s="241"/>
      <c r="AF658" s="225">
        <f t="shared" ca="1" si="306"/>
        <v>46236</v>
      </c>
      <c r="AG658" s="225" t="b">
        <f t="shared" si="299"/>
        <v>1</v>
      </c>
      <c r="AH658" s="242"/>
      <c r="AS658" s="223">
        <f t="shared" si="304"/>
        <v>0</v>
      </c>
      <c r="AT658" s="223">
        <f t="shared" si="305"/>
        <v>0</v>
      </c>
    </row>
    <row r="659" spans="2:46" ht="15.75" x14ac:dyDescent="0.25">
      <c r="B659" s="229"/>
      <c r="C659" s="235"/>
      <c r="D659" s="243"/>
      <c r="E659" s="232"/>
      <c r="F659" s="233"/>
      <c r="G659" s="234"/>
      <c r="H659" s="235"/>
      <c r="I659" s="235"/>
      <c r="J659" s="236"/>
      <c r="K659" s="237">
        <f ca="1">ROUND(IF(ISERROR(OFFSET(Tabella!$A$1,MATCH(H659,Tabella!$A:$A,0)-1,MATCH(J659,Tabella!$A$1:$AC$1,0)-1)=TRUE),0,+OFFSET(Tabella!$A$1,MATCH(H659,Tabella!$A:$A,0)-1,MATCH(J659,Tabella!$A$1:$AC$1,0)-1)),4)</f>
        <v>0</v>
      </c>
      <c r="L659" s="238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238">
        <f ca="1">ROUND(IF(ISERROR(OFFSET(Rame!$A$1,MATCH(H659,Rame!$A:$A,0)-1,MATCH(J659,Rame!$A$1:$AA$1,0)-1)=TRUE),0,OFFSET(Rame!$A$1,MATCH(H659,Rame!$A:$A,0)-1,MATCH(J659,Rame!$A$1:$AA$1,0)-1))*IF(E659="Rame",1,0),4)</f>
        <v>0</v>
      </c>
      <c r="N659" s="238">
        <v>0</v>
      </c>
      <c r="O659" s="238">
        <f t="shared" ca="1" si="303"/>
        <v>0</v>
      </c>
      <c r="P659" s="238">
        <f ca="1">ROUND(+IF(ISERROR(OFFSET(Tabella!$G$1,MATCH(H659,Tabella!$G:$G,0)-1,MATCH(I659,Tabella!$G$1:$FG$1,0)-1)=TRUE),0,OFFSET(Tabella!$G$1,MATCH(H659,Tabella!$G:$G,0)-1,MATCH(I659,Tabella!$G$1:$AB$1,0)-1)),4)</f>
        <v>0</v>
      </c>
      <c r="Q659" s="238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238">
        <f ca="1">ROUND(IF(ISERROR(OFFSET(Rame!$F$1,MATCH(H659,Rame!$F:$F,0)-1,MATCH(I659,Rame!$F$1:$FF$1,0)-1)=TRUE),0,OFFSET(Rame!$F$1,MATCH(H659,Rame!$F:$F,0)-1,MATCH(I659,Rame!$F$1:$FF$1,0)-1))*IF(E659="Rame",1,0),4)</f>
        <v>0</v>
      </c>
      <c r="S659" s="238">
        <f ca="1">ROUND(IF(ISERROR(OFFSET(Bronzo!$A$1,MATCH(H659,Bronzo!$A:$A,0)-1,MATCH(I659,Bronzo!$A$1:$AA$1,0)-1)=TRUE),0,OFFSET(Bronzo!$A$1,MATCH(H659,Bronzo!$A:$A,0)-1,MATCH(I659,Bronzo!$A$1:$AA$1,0)-1)),4)</f>
        <v>0</v>
      </c>
      <c r="T659" s="238">
        <f t="shared" ca="1" si="300"/>
        <v>0</v>
      </c>
      <c r="U659" s="237"/>
      <c r="V659" s="238">
        <v>0</v>
      </c>
      <c r="W659" s="239">
        <f t="shared" ca="1" si="301"/>
        <v>0</v>
      </c>
      <c r="X659" s="240">
        <f t="shared" si="298"/>
        <v>0</v>
      </c>
      <c r="Y659" s="236"/>
      <c r="Z659" s="236">
        <f t="shared" ca="1" si="302"/>
        <v>0</v>
      </c>
      <c r="AA659" s="241"/>
      <c r="AF659" s="225">
        <f t="shared" ca="1" si="306"/>
        <v>46236</v>
      </c>
      <c r="AG659" s="225" t="b">
        <f t="shared" si="299"/>
        <v>1</v>
      </c>
      <c r="AH659" s="242"/>
      <c r="AS659" s="223">
        <f t="shared" si="304"/>
        <v>0</v>
      </c>
      <c r="AT659" s="223">
        <f t="shared" si="305"/>
        <v>0</v>
      </c>
    </row>
    <row r="660" spans="2:46" ht="15.75" x14ac:dyDescent="0.25">
      <c r="B660" s="229"/>
      <c r="C660" s="235"/>
      <c r="D660" s="243"/>
      <c r="E660" s="232"/>
      <c r="F660" s="233"/>
      <c r="G660" s="234"/>
      <c r="H660" s="235"/>
      <c r="I660" s="235"/>
      <c r="J660" s="236"/>
      <c r="K660" s="237">
        <f ca="1">ROUND(IF(ISERROR(OFFSET(Tabella!$A$1,MATCH(H660,Tabella!$A:$A,0)-1,MATCH(J660,Tabella!$A$1:$AC$1,0)-1)=TRUE),0,+OFFSET(Tabella!$A$1,MATCH(H660,Tabella!$A:$A,0)-1,MATCH(J660,Tabella!$A$1:$AC$1,0)-1)),4)</f>
        <v>0</v>
      </c>
      <c r="L660" s="238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238">
        <f ca="1">ROUND(IF(ISERROR(OFFSET(Rame!$A$1,MATCH(H660,Rame!$A:$A,0)-1,MATCH(J660,Rame!$A$1:$AA$1,0)-1)=TRUE),0,OFFSET(Rame!$A$1,MATCH(H660,Rame!$A:$A,0)-1,MATCH(J660,Rame!$A$1:$AA$1,0)-1))*IF(E660="Rame",1,0),4)</f>
        <v>0</v>
      </c>
      <c r="N660" s="238">
        <v>0</v>
      </c>
      <c r="O660" s="238">
        <f t="shared" ca="1" si="303"/>
        <v>0</v>
      </c>
      <c r="P660" s="238">
        <f ca="1">ROUND(+IF(ISERROR(OFFSET(Tabella!$G$1,MATCH(H660,Tabella!$G:$G,0)-1,MATCH(I660,Tabella!$G$1:$FG$1,0)-1)=TRUE),0,OFFSET(Tabella!$G$1,MATCH(H660,Tabella!$G:$G,0)-1,MATCH(I660,Tabella!$G$1:$AB$1,0)-1)),4)</f>
        <v>0</v>
      </c>
      <c r="Q660" s="238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238">
        <f ca="1">ROUND(IF(ISERROR(OFFSET(Rame!$F$1,MATCH(H660,Rame!$F:$F,0)-1,MATCH(I660,Rame!$F$1:$FF$1,0)-1)=TRUE),0,OFFSET(Rame!$F$1,MATCH(H660,Rame!$F:$F,0)-1,MATCH(I660,Rame!$F$1:$FF$1,0)-1))*IF(E660="Rame",1,0),4)</f>
        <v>0</v>
      </c>
      <c r="S660" s="238">
        <f ca="1">ROUND(IF(ISERROR(OFFSET(Bronzo!$A$1,MATCH(H660,Bronzo!$A:$A,0)-1,MATCH(I660,Bronzo!$A$1:$AA$1,0)-1)=TRUE),0,OFFSET(Bronzo!$A$1,MATCH(H660,Bronzo!$A:$A,0)-1,MATCH(I660,Bronzo!$A$1:$AA$1,0)-1)),4)</f>
        <v>0</v>
      </c>
      <c r="T660" s="238">
        <f t="shared" ca="1" si="300"/>
        <v>0</v>
      </c>
      <c r="U660" s="237"/>
      <c r="V660" s="238">
        <v>0</v>
      </c>
      <c r="W660" s="239">
        <f t="shared" ca="1" si="301"/>
        <v>0</v>
      </c>
      <c r="X660" s="240">
        <f t="shared" si="298"/>
        <v>0</v>
      </c>
      <c r="Y660" s="236"/>
      <c r="Z660" s="236">
        <f t="shared" ca="1" si="302"/>
        <v>0</v>
      </c>
      <c r="AA660" s="241"/>
      <c r="AF660" s="225">
        <f t="shared" ca="1" si="306"/>
        <v>46236</v>
      </c>
      <c r="AG660" s="225" t="b">
        <f t="shared" si="299"/>
        <v>1</v>
      </c>
      <c r="AH660" s="242"/>
      <c r="AS660" s="223">
        <f t="shared" si="304"/>
        <v>0</v>
      </c>
      <c r="AT660" s="223">
        <f t="shared" si="305"/>
        <v>0</v>
      </c>
    </row>
    <row r="661" spans="2:46" ht="15.75" x14ac:dyDescent="0.25">
      <c r="B661" s="229"/>
      <c r="C661" s="235"/>
      <c r="D661" s="243"/>
      <c r="E661" s="232"/>
      <c r="F661" s="233"/>
      <c r="G661" s="234"/>
      <c r="H661" s="235"/>
      <c r="I661" s="235"/>
      <c r="J661" s="236"/>
      <c r="K661" s="237">
        <f ca="1">ROUND(IF(ISERROR(OFFSET(Tabella!$A$1,MATCH(H661,Tabella!$A:$A,0)-1,MATCH(J661,Tabella!$A$1:$AC$1,0)-1)=TRUE),0,+OFFSET(Tabella!$A$1,MATCH(H661,Tabella!$A:$A,0)-1,MATCH(J661,Tabella!$A$1:$AC$1,0)-1)),4)</f>
        <v>0</v>
      </c>
      <c r="L661" s="238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238">
        <f ca="1">ROUND(IF(ISERROR(OFFSET(Rame!$A$1,MATCH(H661,Rame!$A:$A,0)-1,MATCH(J661,Rame!$A$1:$AA$1,0)-1)=TRUE),0,OFFSET(Rame!$A$1,MATCH(H661,Rame!$A:$A,0)-1,MATCH(J661,Rame!$A$1:$AA$1,0)-1))*IF(E661="Rame",1,0),4)</f>
        <v>0</v>
      </c>
      <c r="N661" s="238">
        <v>0</v>
      </c>
      <c r="O661" s="238">
        <f t="shared" ca="1" si="303"/>
        <v>0</v>
      </c>
      <c r="P661" s="238">
        <f ca="1">ROUND(+IF(ISERROR(OFFSET(Tabella!$G$1,MATCH(H661,Tabella!$G:$G,0)-1,MATCH(I661,Tabella!$G$1:$FG$1,0)-1)=TRUE),0,OFFSET(Tabella!$G$1,MATCH(H661,Tabella!$G:$G,0)-1,MATCH(I661,Tabella!$G$1:$AB$1,0)-1)),4)</f>
        <v>0</v>
      </c>
      <c r="Q661" s="238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238">
        <f ca="1">ROUND(IF(ISERROR(OFFSET(Rame!$F$1,MATCH(H661,Rame!$F:$F,0)-1,MATCH(I661,Rame!$F$1:$FF$1,0)-1)=TRUE),0,OFFSET(Rame!$F$1,MATCH(H661,Rame!$F:$F,0)-1,MATCH(I661,Rame!$F$1:$FF$1,0)-1))*IF(E661="Rame",1,0),4)</f>
        <v>0</v>
      </c>
      <c r="S661" s="238">
        <f ca="1">ROUND(IF(ISERROR(OFFSET(Bronzo!$A$1,MATCH(H661,Bronzo!$A:$A,0)-1,MATCH(I661,Bronzo!$A$1:$AA$1,0)-1)=TRUE),0,OFFSET(Bronzo!$A$1,MATCH(H661,Bronzo!$A:$A,0)-1,MATCH(I661,Bronzo!$A$1:$AA$1,0)-1)),4)</f>
        <v>0</v>
      </c>
      <c r="T661" s="238">
        <f t="shared" ca="1" si="300"/>
        <v>0</v>
      </c>
      <c r="U661" s="237"/>
      <c r="V661" s="238">
        <v>0</v>
      </c>
      <c r="W661" s="239">
        <f t="shared" ca="1" si="301"/>
        <v>0</v>
      </c>
      <c r="X661" s="240">
        <f t="shared" si="298"/>
        <v>0</v>
      </c>
      <c r="Y661" s="236"/>
      <c r="Z661" s="236">
        <f t="shared" ca="1" si="302"/>
        <v>0</v>
      </c>
      <c r="AA661" s="241"/>
      <c r="AF661" s="225">
        <f t="shared" ca="1" si="306"/>
        <v>46236</v>
      </c>
      <c r="AG661" s="225" t="b">
        <f t="shared" si="299"/>
        <v>1</v>
      </c>
      <c r="AH661" s="242"/>
      <c r="AS661" s="223">
        <f t="shared" si="304"/>
        <v>0</v>
      </c>
      <c r="AT661" s="223">
        <f t="shared" si="305"/>
        <v>0</v>
      </c>
    </row>
    <row r="662" spans="2:46" ht="15.75" x14ac:dyDescent="0.25">
      <c r="B662" s="229"/>
      <c r="C662" s="235"/>
      <c r="D662" s="243"/>
      <c r="E662" s="232"/>
      <c r="F662" s="233"/>
      <c r="G662" s="234"/>
      <c r="H662" s="235"/>
      <c r="I662" s="235"/>
      <c r="J662" s="236"/>
      <c r="K662" s="237">
        <f ca="1">ROUND(IF(ISERROR(OFFSET(Tabella!$A$1,MATCH(H662,Tabella!$A:$A,0)-1,MATCH(J662,Tabella!$A$1:$AC$1,0)-1)=TRUE),0,+OFFSET(Tabella!$A$1,MATCH(H662,Tabella!$A:$A,0)-1,MATCH(J662,Tabella!$A$1:$AC$1,0)-1)),4)</f>
        <v>0</v>
      </c>
      <c r="L662" s="238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238">
        <f ca="1">ROUND(IF(ISERROR(OFFSET(Rame!$A$1,MATCH(H662,Rame!$A:$A,0)-1,MATCH(J662,Rame!$A$1:$AA$1,0)-1)=TRUE),0,OFFSET(Rame!$A$1,MATCH(H662,Rame!$A:$A,0)-1,MATCH(J662,Rame!$A$1:$AA$1,0)-1))*IF(E662="Rame",1,0),4)</f>
        <v>0</v>
      </c>
      <c r="N662" s="238">
        <v>0</v>
      </c>
      <c r="O662" s="238">
        <f t="shared" ca="1" si="303"/>
        <v>0</v>
      </c>
      <c r="P662" s="238">
        <f ca="1">ROUND(+IF(ISERROR(OFFSET(Tabella!$G$1,MATCH(H662,Tabella!$G:$G,0)-1,MATCH(I662,Tabella!$G$1:$FG$1,0)-1)=TRUE),0,OFFSET(Tabella!$G$1,MATCH(H662,Tabella!$G:$G,0)-1,MATCH(I662,Tabella!$G$1:$AB$1,0)-1)),4)</f>
        <v>0</v>
      </c>
      <c r="Q662" s="238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238">
        <f ca="1">ROUND(IF(ISERROR(OFFSET(Rame!$F$1,MATCH(H662,Rame!$F:$F,0)-1,MATCH(I662,Rame!$F$1:$FF$1,0)-1)=TRUE),0,OFFSET(Rame!$F$1,MATCH(H662,Rame!$F:$F,0)-1,MATCH(I662,Rame!$F$1:$FF$1,0)-1))*IF(E662="Rame",1,0),4)</f>
        <v>0</v>
      </c>
      <c r="S662" s="238">
        <f ca="1">ROUND(IF(ISERROR(OFFSET(Bronzo!$A$1,MATCH(H662,Bronzo!$A:$A,0)-1,MATCH(I662,Bronzo!$A$1:$AA$1,0)-1)=TRUE),0,OFFSET(Bronzo!$A$1,MATCH(H662,Bronzo!$A:$A,0)-1,MATCH(I662,Bronzo!$A$1:$AA$1,0)-1)),4)</f>
        <v>0</v>
      </c>
      <c r="T662" s="238">
        <f t="shared" ca="1" si="300"/>
        <v>0</v>
      </c>
      <c r="U662" s="237"/>
      <c r="V662" s="238">
        <v>0</v>
      </c>
      <c r="W662" s="239">
        <f t="shared" ca="1" si="301"/>
        <v>0</v>
      </c>
      <c r="X662" s="240">
        <f t="shared" si="298"/>
        <v>0</v>
      </c>
      <c r="Y662" s="236"/>
      <c r="Z662" s="236">
        <f t="shared" ca="1" si="302"/>
        <v>0</v>
      </c>
      <c r="AA662" s="241"/>
      <c r="AF662" s="225">
        <f t="shared" ca="1" si="306"/>
        <v>46236</v>
      </c>
      <c r="AG662" s="225" t="b">
        <f t="shared" si="299"/>
        <v>1</v>
      </c>
      <c r="AH662" s="242"/>
      <c r="AS662" s="223">
        <f t="shared" si="304"/>
        <v>0</v>
      </c>
      <c r="AT662" s="223">
        <f t="shared" si="305"/>
        <v>0</v>
      </c>
    </row>
    <row r="663" spans="2:46" ht="15.75" x14ac:dyDescent="0.25">
      <c r="B663" s="229"/>
      <c r="C663" s="235"/>
      <c r="D663" s="243"/>
      <c r="E663" s="232"/>
      <c r="F663" s="233"/>
      <c r="G663" s="234"/>
      <c r="H663" s="235"/>
      <c r="I663" s="235"/>
      <c r="J663" s="236"/>
      <c r="K663" s="237">
        <f ca="1">ROUND(IF(ISERROR(OFFSET(Tabella!$A$1,MATCH(H663,Tabella!$A:$A,0)-1,MATCH(J663,Tabella!$A$1:$AC$1,0)-1)=TRUE),0,+OFFSET(Tabella!$A$1,MATCH(H663,Tabella!$A:$A,0)-1,MATCH(J663,Tabella!$A$1:$AC$1,0)-1)),4)</f>
        <v>0</v>
      </c>
      <c r="L663" s="238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238">
        <f ca="1">ROUND(IF(ISERROR(OFFSET(Rame!$A$1,MATCH(H663,Rame!$A:$A,0)-1,MATCH(J663,Rame!$A$1:$AA$1,0)-1)=TRUE),0,OFFSET(Rame!$A$1,MATCH(H663,Rame!$A:$A,0)-1,MATCH(J663,Rame!$A$1:$AA$1,0)-1))*IF(E663="Rame",1,0),4)</f>
        <v>0</v>
      </c>
      <c r="N663" s="238">
        <v>0</v>
      </c>
      <c r="O663" s="238">
        <f t="shared" ca="1" si="303"/>
        <v>0</v>
      </c>
      <c r="P663" s="238">
        <f ca="1">ROUND(+IF(ISERROR(OFFSET(Tabella!$G$1,MATCH(H663,Tabella!$G:$G,0)-1,MATCH(I663,Tabella!$G$1:$FG$1,0)-1)=TRUE),0,OFFSET(Tabella!$G$1,MATCH(H663,Tabella!$G:$G,0)-1,MATCH(I663,Tabella!$G$1:$AB$1,0)-1)),4)</f>
        <v>0</v>
      </c>
      <c r="Q663" s="238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238">
        <f ca="1">ROUND(IF(ISERROR(OFFSET(Rame!$F$1,MATCH(H663,Rame!$F:$F,0)-1,MATCH(I663,Rame!$F$1:$FF$1,0)-1)=TRUE),0,OFFSET(Rame!$F$1,MATCH(H663,Rame!$F:$F,0)-1,MATCH(I663,Rame!$F$1:$FF$1,0)-1))*IF(E663="Rame",1,0),4)</f>
        <v>0</v>
      </c>
      <c r="S663" s="238">
        <f ca="1">ROUND(IF(ISERROR(OFFSET(Bronzo!$A$1,MATCH(H663,Bronzo!$A:$A,0)-1,MATCH(I663,Bronzo!$A$1:$AA$1,0)-1)=TRUE),0,OFFSET(Bronzo!$A$1,MATCH(H663,Bronzo!$A:$A,0)-1,MATCH(I663,Bronzo!$A$1:$AA$1,0)-1)),4)</f>
        <v>0</v>
      </c>
      <c r="T663" s="238">
        <f t="shared" ca="1" si="300"/>
        <v>0</v>
      </c>
      <c r="U663" s="237"/>
      <c r="V663" s="238">
        <v>0</v>
      </c>
      <c r="W663" s="239">
        <f t="shared" ca="1" si="301"/>
        <v>0</v>
      </c>
      <c r="X663" s="240">
        <f t="shared" si="298"/>
        <v>0</v>
      </c>
      <c r="Y663" s="236"/>
      <c r="Z663" s="236">
        <f t="shared" ca="1" si="302"/>
        <v>0</v>
      </c>
      <c r="AA663" s="241"/>
      <c r="AF663" s="225">
        <f t="shared" ca="1" si="306"/>
        <v>46236</v>
      </c>
      <c r="AG663" s="225" t="b">
        <f t="shared" si="299"/>
        <v>1</v>
      </c>
      <c r="AH663" s="242"/>
      <c r="AS663" s="223">
        <f t="shared" si="304"/>
        <v>0</v>
      </c>
      <c r="AT663" s="223">
        <f t="shared" si="305"/>
        <v>0</v>
      </c>
    </row>
    <row r="664" spans="2:46" ht="15.75" x14ac:dyDescent="0.25">
      <c r="B664" s="229"/>
      <c r="C664" s="235"/>
      <c r="D664" s="243"/>
      <c r="E664" s="232"/>
      <c r="F664" s="233"/>
      <c r="G664" s="234"/>
      <c r="H664" s="235"/>
      <c r="I664" s="235"/>
      <c r="J664" s="236"/>
      <c r="K664" s="237">
        <f ca="1">ROUND(IF(ISERROR(OFFSET(Tabella!$A$1,MATCH(H664,Tabella!$A:$A,0)-1,MATCH(J664,Tabella!$A$1:$AC$1,0)-1)=TRUE),0,+OFFSET(Tabella!$A$1,MATCH(H664,Tabella!$A:$A,0)-1,MATCH(J664,Tabella!$A$1:$AC$1,0)-1)),4)</f>
        <v>0</v>
      </c>
      <c r="L664" s="238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238">
        <f ca="1">ROUND(IF(ISERROR(OFFSET(Rame!$A$1,MATCH(H664,Rame!$A:$A,0)-1,MATCH(J664,Rame!$A$1:$AA$1,0)-1)=TRUE),0,OFFSET(Rame!$A$1,MATCH(H664,Rame!$A:$A,0)-1,MATCH(J664,Rame!$A$1:$AA$1,0)-1))*IF(E664="Rame",1,0),4)</f>
        <v>0</v>
      </c>
      <c r="N664" s="238">
        <v>0</v>
      </c>
      <c r="O664" s="238">
        <f t="shared" ca="1" si="303"/>
        <v>0</v>
      </c>
      <c r="P664" s="238">
        <f ca="1">ROUND(+IF(ISERROR(OFFSET(Tabella!$G$1,MATCH(H664,Tabella!$G:$G,0)-1,MATCH(I664,Tabella!$G$1:$FG$1,0)-1)=TRUE),0,OFFSET(Tabella!$G$1,MATCH(H664,Tabella!$G:$G,0)-1,MATCH(I664,Tabella!$G$1:$AB$1,0)-1)),4)</f>
        <v>0</v>
      </c>
      <c r="Q664" s="238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238">
        <f ca="1">ROUND(IF(ISERROR(OFFSET(Rame!$F$1,MATCH(H664,Rame!$F:$F,0)-1,MATCH(I664,Rame!$F$1:$FF$1,0)-1)=TRUE),0,OFFSET(Rame!$F$1,MATCH(H664,Rame!$F:$F,0)-1,MATCH(I664,Rame!$F$1:$FF$1,0)-1))*IF(E664="Rame",1,0),4)</f>
        <v>0</v>
      </c>
      <c r="S664" s="238">
        <f ca="1">ROUND(IF(ISERROR(OFFSET(Bronzo!$A$1,MATCH(H664,Bronzo!$A:$A,0)-1,MATCH(I664,Bronzo!$A$1:$AA$1,0)-1)=TRUE),0,OFFSET(Bronzo!$A$1,MATCH(H664,Bronzo!$A:$A,0)-1,MATCH(I664,Bronzo!$A$1:$AA$1,0)-1)),4)</f>
        <v>0</v>
      </c>
      <c r="T664" s="238">
        <f t="shared" ca="1" si="300"/>
        <v>0</v>
      </c>
      <c r="U664" s="237"/>
      <c r="V664" s="238">
        <v>0</v>
      </c>
      <c r="W664" s="239">
        <f t="shared" ca="1" si="301"/>
        <v>0</v>
      </c>
      <c r="X664" s="240">
        <f t="shared" si="298"/>
        <v>0</v>
      </c>
      <c r="Y664" s="236"/>
      <c r="Z664" s="236">
        <f t="shared" ca="1" si="302"/>
        <v>0</v>
      </c>
      <c r="AA664" s="241"/>
      <c r="AF664" s="225">
        <f t="shared" ca="1" si="306"/>
        <v>46236</v>
      </c>
      <c r="AG664" s="225" t="b">
        <f t="shared" si="299"/>
        <v>1</v>
      </c>
      <c r="AH664" s="242"/>
      <c r="AS664" s="223">
        <f t="shared" si="304"/>
        <v>0</v>
      </c>
      <c r="AT664" s="223">
        <f t="shared" si="305"/>
        <v>0</v>
      </c>
    </row>
    <row r="665" spans="2:46" ht="15.75" x14ac:dyDescent="0.25">
      <c r="B665" s="229"/>
      <c r="C665" s="235"/>
      <c r="D665" s="243"/>
      <c r="E665" s="232"/>
      <c r="F665" s="233"/>
      <c r="G665" s="234"/>
      <c r="H665" s="235"/>
      <c r="I665" s="235"/>
      <c r="J665" s="236"/>
      <c r="K665" s="237">
        <f ca="1">ROUND(IF(ISERROR(OFFSET(Tabella!$A$1,MATCH(H665,Tabella!$A:$A,0)-1,MATCH(J665,Tabella!$A$1:$AC$1,0)-1)=TRUE),0,+OFFSET(Tabella!$A$1,MATCH(H665,Tabella!$A:$A,0)-1,MATCH(J665,Tabella!$A$1:$AC$1,0)-1)),4)</f>
        <v>0</v>
      </c>
      <c r="L665" s="238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238">
        <f ca="1">ROUND(IF(ISERROR(OFFSET(Rame!$A$1,MATCH(H665,Rame!$A:$A,0)-1,MATCH(J665,Rame!$A$1:$AA$1,0)-1)=TRUE),0,OFFSET(Rame!$A$1,MATCH(H665,Rame!$A:$A,0)-1,MATCH(J665,Rame!$A$1:$AA$1,0)-1))*IF(E665="Rame",1,0),4)</f>
        <v>0</v>
      </c>
      <c r="N665" s="238">
        <v>0</v>
      </c>
      <c r="O665" s="238">
        <f t="shared" ca="1" si="303"/>
        <v>0</v>
      </c>
      <c r="P665" s="238">
        <f ca="1">ROUND(+IF(ISERROR(OFFSET(Tabella!$G$1,MATCH(H665,Tabella!$G:$G,0)-1,MATCH(I665,Tabella!$G$1:$FG$1,0)-1)=TRUE),0,OFFSET(Tabella!$G$1,MATCH(H665,Tabella!$G:$G,0)-1,MATCH(I665,Tabella!$G$1:$AB$1,0)-1)),4)</f>
        <v>0</v>
      </c>
      <c r="Q665" s="238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238">
        <f ca="1">ROUND(IF(ISERROR(OFFSET(Rame!$F$1,MATCH(H665,Rame!$F:$F,0)-1,MATCH(I665,Rame!$F$1:$FF$1,0)-1)=TRUE),0,OFFSET(Rame!$F$1,MATCH(H665,Rame!$F:$F,0)-1,MATCH(I665,Rame!$F$1:$FF$1,0)-1))*IF(E665="Rame",1,0),4)</f>
        <v>0</v>
      </c>
      <c r="S665" s="238">
        <f ca="1">ROUND(IF(ISERROR(OFFSET(Bronzo!$A$1,MATCH(H665,Bronzo!$A:$A,0)-1,MATCH(I665,Bronzo!$A$1:$AA$1,0)-1)=TRUE),0,OFFSET(Bronzo!$A$1,MATCH(H665,Bronzo!$A:$A,0)-1,MATCH(I665,Bronzo!$A$1:$AA$1,0)-1)),4)</f>
        <v>0</v>
      </c>
      <c r="T665" s="238">
        <f t="shared" ca="1" si="300"/>
        <v>0</v>
      </c>
      <c r="U665" s="237"/>
      <c r="V665" s="238">
        <v>0</v>
      </c>
      <c r="W665" s="239">
        <f t="shared" ca="1" si="301"/>
        <v>0</v>
      </c>
      <c r="X665" s="240">
        <f t="shared" si="298"/>
        <v>0</v>
      </c>
      <c r="Y665" s="236"/>
      <c r="Z665" s="236">
        <f t="shared" ca="1" si="302"/>
        <v>0</v>
      </c>
      <c r="AA665" s="241"/>
      <c r="AF665" s="225">
        <f t="shared" ca="1" si="306"/>
        <v>46236</v>
      </c>
      <c r="AG665" s="225" t="b">
        <f t="shared" si="299"/>
        <v>1</v>
      </c>
      <c r="AH665" s="242"/>
      <c r="AS665" s="223">
        <f t="shared" si="304"/>
        <v>0</v>
      </c>
      <c r="AT665" s="223">
        <f t="shared" si="305"/>
        <v>0</v>
      </c>
    </row>
    <row r="666" spans="2:46" ht="15.75" x14ac:dyDescent="0.25">
      <c r="B666" s="229"/>
      <c r="C666" s="235"/>
      <c r="D666" s="243"/>
      <c r="E666" s="232"/>
      <c r="F666" s="233"/>
      <c r="G666" s="234"/>
      <c r="H666" s="235"/>
      <c r="I666" s="235"/>
      <c r="J666" s="236"/>
      <c r="K666" s="237">
        <f ca="1">ROUND(IF(ISERROR(OFFSET(Tabella!$A$1,MATCH(H666,Tabella!$A:$A,0)-1,MATCH(J666,Tabella!$A$1:$AC$1,0)-1)=TRUE),0,+OFFSET(Tabella!$A$1,MATCH(H666,Tabella!$A:$A,0)-1,MATCH(J666,Tabella!$A$1:$AC$1,0)-1)),4)</f>
        <v>0</v>
      </c>
      <c r="L666" s="238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238">
        <f ca="1">ROUND(IF(ISERROR(OFFSET(Rame!$A$1,MATCH(H666,Rame!$A:$A,0)-1,MATCH(J666,Rame!$A$1:$AA$1,0)-1)=TRUE),0,OFFSET(Rame!$A$1,MATCH(H666,Rame!$A:$A,0)-1,MATCH(J666,Rame!$A$1:$AA$1,0)-1))*IF(E666="Rame",1,0),4)</f>
        <v>0</v>
      </c>
      <c r="N666" s="238">
        <v>0</v>
      </c>
      <c r="O666" s="238">
        <f t="shared" ca="1" si="303"/>
        <v>0</v>
      </c>
      <c r="P666" s="238">
        <f ca="1">ROUND(+IF(ISERROR(OFFSET(Tabella!$G$1,MATCH(H666,Tabella!$G:$G,0)-1,MATCH(I666,Tabella!$G$1:$FG$1,0)-1)=TRUE),0,OFFSET(Tabella!$G$1,MATCH(H666,Tabella!$G:$G,0)-1,MATCH(I666,Tabella!$G$1:$AB$1,0)-1)),4)</f>
        <v>0</v>
      </c>
      <c r="Q666" s="238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238">
        <f ca="1">ROUND(IF(ISERROR(OFFSET(Rame!$F$1,MATCH(H666,Rame!$F:$F,0)-1,MATCH(I666,Rame!$F$1:$FF$1,0)-1)=TRUE),0,OFFSET(Rame!$F$1,MATCH(H666,Rame!$F:$F,0)-1,MATCH(I666,Rame!$F$1:$FF$1,0)-1))*IF(E666="Rame",1,0),4)</f>
        <v>0</v>
      </c>
      <c r="S666" s="238">
        <f ca="1">ROUND(IF(ISERROR(OFFSET(Bronzo!$A$1,MATCH(H666,Bronzo!$A:$A,0)-1,MATCH(I666,Bronzo!$A$1:$AA$1,0)-1)=TRUE),0,OFFSET(Bronzo!$A$1,MATCH(H666,Bronzo!$A:$A,0)-1,MATCH(I666,Bronzo!$A$1:$AA$1,0)-1)),4)</f>
        <v>0</v>
      </c>
      <c r="T666" s="238">
        <f t="shared" ca="1" si="300"/>
        <v>0</v>
      </c>
      <c r="U666" s="237"/>
      <c r="V666" s="238">
        <v>0</v>
      </c>
      <c r="W666" s="239">
        <f t="shared" ca="1" si="301"/>
        <v>0</v>
      </c>
      <c r="X666" s="240">
        <f t="shared" si="298"/>
        <v>0</v>
      </c>
      <c r="Y666" s="236"/>
      <c r="Z666" s="236">
        <f t="shared" ca="1" si="302"/>
        <v>0</v>
      </c>
      <c r="AA666" s="241"/>
      <c r="AF666" s="225">
        <f t="shared" ca="1" si="306"/>
        <v>46236</v>
      </c>
      <c r="AG666" s="225" t="b">
        <f t="shared" si="299"/>
        <v>1</v>
      </c>
      <c r="AH666" s="242"/>
      <c r="AS666" s="223">
        <f t="shared" si="304"/>
        <v>0</v>
      </c>
      <c r="AT666" s="223">
        <f t="shared" si="305"/>
        <v>0</v>
      </c>
    </row>
    <row r="667" spans="2:46" ht="15.75" x14ac:dyDescent="0.25">
      <c r="B667" s="229"/>
      <c r="C667" s="235"/>
      <c r="D667" s="243"/>
      <c r="E667" s="232"/>
      <c r="F667" s="233"/>
      <c r="G667" s="234"/>
      <c r="H667" s="235"/>
      <c r="I667" s="235"/>
      <c r="J667" s="236"/>
      <c r="K667" s="237">
        <f ca="1">ROUND(IF(ISERROR(OFFSET(Tabella!$A$1,MATCH(H667,Tabella!$A:$A,0)-1,MATCH(J667,Tabella!$A$1:$AC$1,0)-1)=TRUE),0,+OFFSET(Tabella!$A$1,MATCH(H667,Tabella!$A:$A,0)-1,MATCH(J667,Tabella!$A$1:$AC$1,0)-1)),4)</f>
        <v>0</v>
      </c>
      <c r="L667" s="238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238">
        <f ca="1">ROUND(IF(ISERROR(OFFSET(Rame!$A$1,MATCH(H667,Rame!$A:$A,0)-1,MATCH(J667,Rame!$A$1:$AA$1,0)-1)=TRUE),0,OFFSET(Rame!$A$1,MATCH(H667,Rame!$A:$A,0)-1,MATCH(J667,Rame!$A$1:$AA$1,0)-1))*IF(E667="Rame",1,0),4)</f>
        <v>0</v>
      </c>
      <c r="N667" s="238">
        <v>0</v>
      </c>
      <c r="O667" s="238">
        <f t="shared" ca="1" si="303"/>
        <v>0</v>
      </c>
      <c r="P667" s="238">
        <f ca="1">ROUND(+IF(ISERROR(OFFSET(Tabella!$G$1,MATCH(H667,Tabella!$G:$G,0)-1,MATCH(I667,Tabella!$G$1:$FG$1,0)-1)=TRUE),0,OFFSET(Tabella!$G$1,MATCH(H667,Tabella!$G:$G,0)-1,MATCH(I667,Tabella!$G$1:$AB$1,0)-1)),4)</f>
        <v>0</v>
      </c>
      <c r="Q667" s="238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238">
        <f ca="1">ROUND(IF(ISERROR(OFFSET(Rame!$F$1,MATCH(H667,Rame!$F:$F,0)-1,MATCH(I667,Rame!$F$1:$FF$1,0)-1)=TRUE),0,OFFSET(Rame!$F$1,MATCH(H667,Rame!$F:$F,0)-1,MATCH(I667,Rame!$F$1:$FF$1,0)-1))*IF(E667="Rame",1,0),4)</f>
        <v>0</v>
      </c>
      <c r="S667" s="238">
        <f ca="1">ROUND(IF(ISERROR(OFFSET(Bronzo!$A$1,MATCH(H667,Bronzo!$A:$A,0)-1,MATCH(I667,Bronzo!$A$1:$AA$1,0)-1)=TRUE),0,OFFSET(Bronzo!$A$1,MATCH(H667,Bronzo!$A:$A,0)-1,MATCH(I667,Bronzo!$A$1:$AA$1,0)-1)),4)</f>
        <v>0</v>
      </c>
      <c r="T667" s="238">
        <f t="shared" ca="1" si="300"/>
        <v>0</v>
      </c>
      <c r="U667" s="237"/>
      <c r="V667" s="238">
        <v>0</v>
      </c>
      <c r="W667" s="239">
        <f t="shared" ca="1" si="301"/>
        <v>0</v>
      </c>
      <c r="X667" s="240">
        <f t="shared" si="298"/>
        <v>0</v>
      </c>
      <c r="Y667" s="236"/>
      <c r="Z667" s="236">
        <f t="shared" ca="1" si="302"/>
        <v>0</v>
      </c>
      <c r="AA667" s="241"/>
      <c r="AF667" s="225">
        <f t="shared" ca="1" si="306"/>
        <v>46236</v>
      </c>
      <c r="AG667" s="225" t="b">
        <f t="shared" si="299"/>
        <v>1</v>
      </c>
      <c r="AH667" s="242"/>
      <c r="AS667" s="223">
        <f t="shared" si="304"/>
        <v>0</v>
      </c>
      <c r="AT667" s="223">
        <f t="shared" si="305"/>
        <v>0</v>
      </c>
    </row>
    <row r="668" spans="2:46" ht="15.75" x14ac:dyDescent="0.25">
      <c r="B668" s="229"/>
      <c r="C668" s="235"/>
      <c r="D668" s="243"/>
      <c r="E668" s="232"/>
      <c r="F668" s="233"/>
      <c r="G668" s="234"/>
      <c r="H668" s="235"/>
      <c r="I668" s="235"/>
      <c r="J668" s="236"/>
      <c r="K668" s="237">
        <f ca="1">ROUND(IF(ISERROR(OFFSET(Tabella!$A$1,MATCH(H668,Tabella!$A:$A,0)-1,MATCH(J668,Tabella!$A$1:$AC$1,0)-1)=TRUE),0,+OFFSET(Tabella!$A$1,MATCH(H668,Tabella!$A:$A,0)-1,MATCH(J668,Tabella!$A$1:$AC$1,0)-1)),4)</f>
        <v>0</v>
      </c>
      <c r="L668" s="238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238">
        <f ca="1">ROUND(IF(ISERROR(OFFSET(Rame!$A$1,MATCH(H668,Rame!$A:$A,0)-1,MATCH(J668,Rame!$A$1:$AA$1,0)-1)=TRUE),0,OFFSET(Rame!$A$1,MATCH(H668,Rame!$A:$A,0)-1,MATCH(J668,Rame!$A$1:$AA$1,0)-1))*IF(E668="Rame",1,0),4)</f>
        <v>0</v>
      </c>
      <c r="N668" s="238">
        <v>0</v>
      </c>
      <c r="O668" s="238">
        <f t="shared" ca="1" si="303"/>
        <v>0</v>
      </c>
      <c r="P668" s="238">
        <f ca="1">ROUND(+IF(ISERROR(OFFSET(Tabella!$G$1,MATCH(H668,Tabella!$G:$G,0)-1,MATCH(I668,Tabella!$G$1:$FG$1,0)-1)=TRUE),0,OFFSET(Tabella!$G$1,MATCH(H668,Tabella!$G:$G,0)-1,MATCH(I668,Tabella!$G$1:$AB$1,0)-1)),4)</f>
        <v>0</v>
      </c>
      <c r="Q668" s="238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238">
        <f ca="1">ROUND(IF(ISERROR(OFFSET(Rame!$F$1,MATCH(H668,Rame!$F:$F,0)-1,MATCH(I668,Rame!$F$1:$FF$1,0)-1)=TRUE),0,OFFSET(Rame!$F$1,MATCH(H668,Rame!$F:$F,0)-1,MATCH(I668,Rame!$F$1:$FF$1,0)-1))*IF(E668="Rame",1,0),4)</f>
        <v>0</v>
      </c>
      <c r="S668" s="238">
        <f ca="1">ROUND(IF(ISERROR(OFFSET(Bronzo!$A$1,MATCH(H668,Bronzo!$A:$A,0)-1,MATCH(I668,Bronzo!$A$1:$AA$1,0)-1)=TRUE),0,OFFSET(Bronzo!$A$1,MATCH(H668,Bronzo!$A:$A,0)-1,MATCH(I668,Bronzo!$A$1:$AA$1,0)-1)),4)</f>
        <v>0</v>
      </c>
      <c r="T668" s="238">
        <f t="shared" ca="1" si="300"/>
        <v>0</v>
      </c>
      <c r="U668" s="237"/>
      <c r="V668" s="238">
        <v>0</v>
      </c>
      <c r="W668" s="239">
        <f t="shared" ca="1" si="301"/>
        <v>0</v>
      </c>
      <c r="X668" s="240">
        <f t="shared" ref="X668:X731" si="307">ROUND(+J668*D668,4)</f>
        <v>0</v>
      </c>
      <c r="Y668" s="236"/>
      <c r="Z668" s="236">
        <f t="shared" ca="1" si="302"/>
        <v>0</v>
      </c>
      <c r="AA668" s="241"/>
      <c r="AF668" s="225">
        <f t="shared" ca="1" si="306"/>
        <v>46236</v>
      </c>
      <c r="AG668" s="225" t="b">
        <f t="shared" si="299"/>
        <v>1</v>
      </c>
      <c r="AH668" s="242"/>
      <c r="AS668" s="223">
        <f t="shared" si="304"/>
        <v>0</v>
      </c>
      <c r="AT668" s="223">
        <f t="shared" si="305"/>
        <v>0</v>
      </c>
    </row>
    <row r="669" spans="2:46" ht="15.75" x14ac:dyDescent="0.25">
      <c r="B669" s="229"/>
      <c r="C669" s="235"/>
      <c r="D669" s="243"/>
      <c r="E669" s="232"/>
      <c r="F669" s="233"/>
      <c r="G669" s="234"/>
      <c r="H669" s="235"/>
      <c r="I669" s="235"/>
      <c r="J669" s="236"/>
      <c r="K669" s="237">
        <f ca="1">ROUND(IF(ISERROR(OFFSET(Tabella!$A$1,MATCH(H669,Tabella!$A:$A,0)-1,MATCH(J669,Tabella!$A$1:$AC$1,0)-1)=TRUE),0,+OFFSET(Tabella!$A$1,MATCH(H669,Tabella!$A:$A,0)-1,MATCH(J669,Tabella!$A$1:$AC$1,0)-1)),4)</f>
        <v>0</v>
      </c>
      <c r="L669" s="238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238">
        <f ca="1">ROUND(IF(ISERROR(OFFSET(Rame!$A$1,MATCH(H669,Rame!$A:$A,0)-1,MATCH(J669,Rame!$A$1:$AA$1,0)-1)=TRUE),0,OFFSET(Rame!$A$1,MATCH(H669,Rame!$A:$A,0)-1,MATCH(J669,Rame!$A$1:$AA$1,0)-1))*IF(E669="Rame",1,0),4)</f>
        <v>0</v>
      </c>
      <c r="N669" s="238">
        <v>0</v>
      </c>
      <c r="O669" s="238">
        <f t="shared" ca="1" si="303"/>
        <v>0</v>
      </c>
      <c r="P669" s="238">
        <f ca="1">ROUND(+IF(ISERROR(OFFSET(Tabella!$G$1,MATCH(H669,Tabella!$G:$G,0)-1,MATCH(I669,Tabella!$G$1:$FG$1,0)-1)=TRUE),0,OFFSET(Tabella!$G$1,MATCH(H669,Tabella!$G:$G,0)-1,MATCH(I669,Tabella!$G$1:$AB$1,0)-1)),4)</f>
        <v>0</v>
      </c>
      <c r="Q669" s="238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238">
        <f ca="1">ROUND(IF(ISERROR(OFFSET(Rame!$F$1,MATCH(H669,Rame!$F:$F,0)-1,MATCH(I669,Rame!$F$1:$FF$1,0)-1)=TRUE),0,OFFSET(Rame!$F$1,MATCH(H669,Rame!$F:$F,0)-1,MATCH(I669,Rame!$F$1:$FF$1,0)-1))*IF(E669="Rame",1,0),4)</f>
        <v>0</v>
      </c>
      <c r="S669" s="238">
        <f ca="1">ROUND(IF(ISERROR(OFFSET(Bronzo!$A$1,MATCH(H669,Bronzo!$A:$A,0)-1,MATCH(I669,Bronzo!$A$1:$AA$1,0)-1)=TRUE),0,OFFSET(Bronzo!$A$1,MATCH(H669,Bronzo!$A:$A,0)-1,MATCH(I669,Bronzo!$A$1:$AA$1,0)-1)),4)</f>
        <v>0</v>
      </c>
      <c r="T669" s="238">
        <f t="shared" ca="1" si="300"/>
        <v>0</v>
      </c>
      <c r="U669" s="237"/>
      <c r="V669" s="238">
        <v>0</v>
      </c>
      <c r="W669" s="239">
        <f t="shared" ca="1" si="301"/>
        <v>0</v>
      </c>
      <c r="X669" s="240">
        <f t="shared" si="307"/>
        <v>0</v>
      </c>
      <c r="Y669" s="236"/>
      <c r="Z669" s="236">
        <f t="shared" ca="1" si="302"/>
        <v>0</v>
      </c>
      <c r="AA669" s="241"/>
      <c r="AF669" s="225">
        <f t="shared" ca="1" si="306"/>
        <v>46236</v>
      </c>
      <c r="AG669" s="225" t="b">
        <f t="shared" si="299"/>
        <v>1</v>
      </c>
      <c r="AH669" s="242"/>
      <c r="AS669" s="223">
        <f t="shared" si="304"/>
        <v>0</v>
      </c>
      <c r="AT669" s="223">
        <f t="shared" si="305"/>
        <v>0</v>
      </c>
    </row>
    <row r="670" spans="2:46" ht="15.75" x14ac:dyDescent="0.25">
      <c r="B670" s="229"/>
      <c r="C670" s="235"/>
      <c r="D670" s="243"/>
      <c r="E670" s="232"/>
      <c r="F670" s="233"/>
      <c r="G670" s="234"/>
      <c r="H670" s="235"/>
      <c r="I670" s="235"/>
      <c r="J670" s="236"/>
      <c r="K670" s="237">
        <f ca="1">ROUND(IF(ISERROR(OFFSET(Tabella!$A$1,MATCH(H670,Tabella!$A:$A,0)-1,MATCH(J670,Tabella!$A$1:$AC$1,0)-1)=TRUE),0,+OFFSET(Tabella!$A$1,MATCH(H670,Tabella!$A:$A,0)-1,MATCH(J670,Tabella!$A$1:$AC$1,0)-1)),4)</f>
        <v>0</v>
      </c>
      <c r="L670" s="238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238">
        <f ca="1">ROUND(IF(ISERROR(OFFSET(Rame!$A$1,MATCH(H670,Rame!$A:$A,0)-1,MATCH(J670,Rame!$A$1:$AA$1,0)-1)=TRUE),0,OFFSET(Rame!$A$1,MATCH(H670,Rame!$A:$A,0)-1,MATCH(J670,Rame!$A$1:$AA$1,0)-1))*IF(E670="Rame",1,0),4)</f>
        <v>0</v>
      </c>
      <c r="N670" s="238">
        <v>0</v>
      </c>
      <c r="O670" s="238">
        <f t="shared" ca="1" si="303"/>
        <v>0</v>
      </c>
      <c r="P670" s="238">
        <f ca="1">ROUND(+IF(ISERROR(OFFSET(Tabella!$G$1,MATCH(H670,Tabella!$G:$G,0)-1,MATCH(I670,Tabella!$G$1:$FG$1,0)-1)=TRUE),0,OFFSET(Tabella!$G$1,MATCH(H670,Tabella!$G:$G,0)-1,MATCH(I670,Tabella!$G$1:$AB$1,0)-1)),4)</f>
        <v>0</v>
      </c>
      <c r="Q670" s="238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238">
        <f ca="1">ROUND(IF(ISERROR(OFFSET(Rame!$F$1,MATCH(H670,Rame!$F:$F,0)-1,MATCH(I670,Rame!$F$1:$FF$1,0)-1)=TRUE),0,OFFSET(Rame!$F$1,MATCH(H670,Rame!$F:$F,0)-1,MATCH(I670,Rame!$F$1:$FF$1,0)-1))*IF(E670="Rame",1,0),4)</f>
        <v>0</v>
      </c>
      <c r="S670" s="238">
        <f ca="1">ROUND(IF(ISERROR(OFFSET(Bronzo!$A$1,MATCH(H670,Bronzo!$A:$A,0)-1,MATCH(I670,Bronzo!$A$1:$AA$1,0)-1)=TRUE),0,OFFSET(Bronzo!$A$1,MATCH(H670,Bronzo!$A:$A,0)-1,MATCH(I670,Bronzo!$A$1:$AA$1,0)-1)),4)</f>
        <v>0</v>
      </c>
      <c r="T670" s="238">
        <f t="shared" ca="1" si="300"/>
        <v>0</v>
      </c>
      <c r="U670" s="237"/>
      <c r="V670" s="238">
        <v>0</v>
      </c>
      <c r="W670" s="239">
        <f t="shared" ca="1" si="301"/>
        <v>0</v>
      </c>
      <c r="X670" s="240">
        <f t="shared" si="307"/>
        <v>0</v>
      </c>
      <c r="Y670" s="236"/>
      <c r="Z670" s="236">
        <f t="shared" ca="1" si="302"/>
        <v>0</v>
      </c>
      <c r="AA670" s="241"/>
      <c r="AF670" s="225">
        <f t="shared" ca="1" si="306"/>
        <v>46236</v>
      </c>
      <c r="AG670" s="225" t="b">
        <f t="shared" si="299"/>
        <v>1</v>
      </c>
      <c r="AH670" s="242"/>
      <c r="AS670" s="223">
        <f t="shared" si="304"/>
        <v>0</v>
      </c>
      <c r="AT670" s="223">
        <f t="shared" si="305"/>
        <v>0</v>
      </c>
    </row>
    <row r="671" spans="2:46" ht="15.75" x14ac:dyDescent="0.25">
      <c r="B671" s="229"/>
      <c r="C671" s="235"/>
      <c r="D671" s="243"/>
      <c r="E671" s="232"/>
      <c r="F671" s="233"/>
      <c r="G671" s="234"/>
      <c r="H671" s="235"/>
      <c r="I671" s="235"/>
      <c r="J671" s="236"/>
      <c r="K671" s="237">
        <f ca="1">ROUND(IF(ISERROR(OFFSET(Tabella!$A$1,MATCH(H671,Tabella!$A:$A,0)-1,MATCH(J671,Tabella!$A$1:$AC$1,0)-1)=TRUE),0,+OFFSET(Tabella!$A$1,MATCH(H671,Tabella!$A:$A,0)-1,MATCH(J671,Tabella!$A$1:$AC$1,0)-1)),4)</f>
        <v>0</v>
      </c>
      <c r="L671" s="238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238">
        <f ca="1">ROUND(IF(ISERROR(OFFSET(Rame!$A$1,MATCH(H671,Rame!$A:$A,0)-1,MATCH(J671,Rame!$A$1:$AA$1,0)-1)=TRUE),0,OFFSET(Rame!$A$1,MATCH(H671,Rame!$A:$A,0)-1,MATCH(J671,Rame!$A$1:$AA$1,0)-1))*IF(E671="Rame",1,0),4)</f>
        <v>0</v>
      </c>
      <c r="N671" s="238">
        <v>0</v>
      </c>
      <c r="O671" s="238">
        <f t="shared" ca="1" si="303"/>
        <v>0</v>
      </c>
      <c r="P671" s="238">
        <f ca="1">ROUND(+IF(ISERROR(OFFSET(Tabella!$G$1,MATCH(H671,Tabella!$G:$G,0)-1,MATCH(I671,Tabella!$G$1:$FG$1,0)-1)=TRUE),0,OFFSET(Tabella!$G$1,MATCH(H671,Tabella!$G:$G,0)-1,MATCH(I671,Tabella!$G$1:$AB$1,0)-1)),4)</f>
        <v>0</v>
      </c>
      <c r="Q671" s="238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238">
        <f ca="1">ROUND(IF(ISERROR(OFFSET(Rame!$F$1,MATCH(H671,Rame!$F:$F,0)-1,MATCH(I671,Rame!$F$1:$FF$1,0)-1)=TRUE),0,OFFSET(Rame!$F$1,MATCH(H671,Rame!$F:$F,0)-1,MATCH(I671,Rame!$F$1:$FF$1,0)-1))*IF(E671="Rame",1,0),4)</f>
        <v>0</v>
      </c>
      <c r="S671" s="238">
        <f ca="1">ROUND(IF(ISERROR(OFFSET(Bronzo!$A$1,MATCH(H671,Bronzo!$A:$A,0)-1,MATCH(I671,Bronzo!$A$1:$AA$1,0)-1)=TRUE),0,OFFSET(Bronzo!$A$1,MATCH(H671,Bronzo!$A:$A,0)-1,MATCH(I671,Bronzo!$A$1:$AA$1,0)-1)),4)</f>
        <v>0</v>
      </c>
      <c r="T671" s="238">
        <f t="shared" ca="1" si="300"/>
        <v>0</v>
      </c>
      <c r="U671" s="237"/>
      <c r="V671" s="238">
        <v>0</v>
      </c>
      <c r="W671" s="239">
        <f t="shared" ca="1" si="301"/>
        <v>0</v>
      </c>
      <c r="X671" s="240">
        <f t="shared" si="307"/>
        <v>0</v>
      </c>
      <c r="Y671" s="236"/>
      <c r="Z671" s="236">
        <f t="shared" ca="1" si="302"/>
        <v>0</v>
      </c>
      <c r="AA671" s="241"/>
      <c r="AF671" s="225">
        <f t="shared" ca="1" si="306"/>
        <v>46236</v>
      </c>
      <c r="AG671" s="225" t="b">
        <f t="shared" ref="AG671:AG734" si="308">ISBLANK(AA671)</f>
        <v>1</v>
      </c>
      <c r="AH671" s="242"/>
      <c r="AS671" s="223">
        <f t="shared" si="304"/>
        <v>0</v>
      </c>
      <c r="AT671" s="223">
        <f t="shared" si="305"/>
        <v>0</v>
      </c>
    </row>
    <row r="672" spans="2:46" ht="15.75" x14ac:dyDescent="0.25">
      <c r="B672" s="229"/>
      <c r="C672" s="235"/>
      <c r="D672" s="243"/>
      <c r="E672" s="232"/>
      <c r="F672" s="233"/>
      <c r="G672" s="234"/>
      <c r="H672" s="235"/>
      <c r="I672" s="235"/>
      <c r="J672" s="236"/>
      <c r="K672" s="237">
        <f ca="1">ROUND(IF(ISERROR(OFFSET(Tabella!$A$1,MATCH(H672,Tabella!$A:$A,0)-1,MATCH(J672,Tabella!$A$1:$AC$1,0)-1)=TRUE),0,+OFFSET(Tabella!$A$1,MATCH(H672,Tabella!$A:$A,0)-1,MATCH(J672,Tabella!$A$1:$AC$1,0)-1)),4)</f>
        <v>0</v>
      </c>
      <c r="L672" s="238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238">
        <f ca="1">ROUND(IF(ISERROR(OFFSET(Rame!$A$1,MATCH(H672,Rame!$A:$A,0)-1,MATCH(J672,Rame!$A$1:$AA$1,0)-1)=TRUE),0,OFFSET(Rame!$A$1,MATCH(H672,Rame!$A:$A,0)-1,MATCH(J672,Rame!$A$1:$AA$1,0)-1))*IF(E672="Rame",1,0),4)</f>
        <v>0</v>
      </c>
      <c r="N672" s="238">
        <v>0</v>
      </c>
      <c r="O672" s="238">
        <f t="shared" ca="1" si="303"/>
        <v>0</v>
      </c>
      <c r="P672" s="238">
        <f ca="1">ROUND(+IF(ISERROR(OFFSET(Tabella!$G$1,MATCH(H672,Tabella!$G:$G,0)-1,MATCH(I672,Tabella!$G$1:$FG$1,0)-1)=TRUE),0,OFFSET(Tabella!$G$1,MATCH(H672,Tabella!$G:$G,0)-1,MATCH(I672,Tabella!$G$1:$AB$1,0)-1)),4)</f>
        <v>0</v>
      </c>
      <c r="Q672" s="238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238">
        <f ca="1">ROUND(IF(ISERROR(OFFSET(Rame!$F$1,MATCH(H672,Rame!$F:$F,0)-1,MATCH(I672,Rame!$F$1:$FF$1,0)-1)=TRUE),0,OFFSET(Rame!$F$1,MATCH(H672,Rame!$F:$F,0)-1,MATCH(I672,Rame!$F$1:$FF$1,0)-1))*IF(E672="Rame",1,0),4)</f>
        <v>0</v>
      </c>
      <c r="S672" s="238">
        <f ca="1">ROUND(IF(ISERROR(OFFSET(Bronzo!$A$1,MATCH(H672,Bronzo!$A:$A,0)-1,MATCH(I672,Bronzo!$A$1:$AA$1,0)-1)=TRUE),0,OFFSET(Bronzo!$A$1,MATCH(H672,Bronzo!$A:$A,0)-1,MATCH(I672,Bronzo!$A$1:$AA$1,0)-1)),4)</f>
        <v>0</v>
      </c>
      <c r="T672" s="238">
        <f t="shared" ca="1" si="300"/>
        <v>0</v>
      </c>
      <c r="U672" s="237"/>
      <c r="V672" s="238">
        <v>0</v>
      </c>
      <c r="W672" s="239">
        <f t="shared" ca="1" si="301"/>
        <v>0</v>
      </c>
      <c r="X672" s="240">
        <f t="shared" si="307"/>
        <v>0</v>
      </c>
      <c r="Y672" s="236"/>
      <c r="Z672" s="236">
        <f t="shared" ca="1" si="302"/>
        <v>0</v>
      </c>
      <c r="AA672" s="241"/>
      <c r="AF672" s="225">
        <f t="shared" ca="1" si="306"/>
        <v>46236</v>
      </c>
      <c r="AG672" s="225" t="b">
        <f t="shared" si="308"/>
        <v>1</v>
      </c>
      <c r="AH672" s="242"/>
      <c r="AS672" s="223">
        <f t="shared" si="304"/>
        <v>0</v>
      </c>
      <c r="AT672" s="223">
        <f t="shared" si="305"/>
        <v>0</v>
      </c>
    </row>
    <row r="673" spans="2:46" ht="15.75" x14ac:dyDescent="0.25">
      <c r="B673" s="229"/>
      <c r="C673" s="235"/>
      <c r="D673" s="243"/>
      <c r="E673" s="232"/>
      <c r="F673" s="233"/>
      <c r="G673" s="234"/>
      <c r="H673" s="235"/>
      <c r="I673" s="235"/>
      <c r="J673" s="236"/>
      <c r="K673" s="237">
        <f ca="1">ROUND(IF(ISERROR(OFFSET(Tabella!$A$1,MATCH(H673,Tabella!$A:$A,0)-1,MATCH(J673,Tabella!$A$1:$AC$1,0)-1)=TRUE),0,+OFFSET(Tabella!$A$1,MATCH(H673,Tabella!$A:$A,0)-1,MATCH(J673,Tabella!$A$1:$AC$1,0)-1)),4)</f>
        <v>0</v>
      </c>
      <c r="L673" s="238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238">
        <f ca="1">ROUND(IF(ISERROR(OFFSET(Rame!$A$1,MATCH(H673,Rame!$A:$A,0)-1,MATCH(J673,Rame!$A$1:$AA$1,0)-1)=TRUE),0,OFFSET(Rame!$A$1,MATCH(H673,Rame!$A:$A,0)-1,MATCH(J673,Rame!$A$1:$AA$1,0)-1))*IF(E673="Rame",1,0),4)</f>
        <v>0</v>
      </c>
      <c r="N673" s="238">
        <v>0</v>
      </c>
      <c r="O673" s="238">
        <f t="shared" ca="1" si="303"/>
        <v>0</v>
      </c>
      <c r="P673" s="238">
        <f ca="1">ROUND(+IF(ISERROR(OFFSET(Tabella!$G$1,MATCH(H673,Tabella!$G:$G,0)-1,MATCH(I673,Tabella!$G$1:$FG$1,0)-1)=TRUE),0,OFFSET(Tabella!$G$1,MATCH(H673,Tabella!$G:$G,0)-1,MATCH(I673,Tabella!$G$1:$AB$1,0)-1)),4)</f>
        <v>0</v>
      </c>
      <c r="Q673" s="238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238">
        <f ca="1">ROUND(IF(ISERROR(OFFSET(Rame!$F$1,MATCH(H673,Rame!$F:$F,0)-1,MATCH(I673,Rame!$F$1:$FF$1,0)-1)=TRUE),0,OFFSET(Rame!$F$1,MATCH(H673,Rame!$F:$F,0)-1,MATCH(I673,Rame!$F$1:$FF$1,0)-1))*IF(E673="Rame",1,0),4)</f>
        <v>0</v>
      </c>
      <c r="S673" s="238">
        <f ca="1">ROUND(IF(ISERROR(OFFSET(Bronzo!$A$1,MATCH(H673,Bronzo!$A:$A,0)-1,MATCH(I673,Bronzo!$A$1:$AA$1,0)-1)=TRUE),0,OFFSET(Bronzo!$A$1,MATCH(H673,Bronzo!$A:$A,0)-1,MATCH(I673,Bronzo!$A$1:$AA$1,0)-1)),4)</f>
        <v>0</v>
      </c>
      <c r="T673" s="238">
        <f t="shared" ca="1" si="300"/>
        <v>0</v>
      </c>
      <c r="U673" s="237"/>
      <c r="V673" s="238">
        <v>0</v>
      </c>
      <c r="W673" s="239">
        <f t="shared" ca="1" si="301"/>
        <v>0</v>
      </c>
      <c r="X673" s="240">
        <f t="shared" si="307"/>
        <v>0</v>
      </c>
      <c r="Y673" s="236"/>
      <c r="Z673" s="236">
        <f t="shared" ca="1" si="302"/>
        <v>0</v>
      </c>
      <c r="AA673" s="241"/>
      <c r="AF673" s="225">
        <f t="shared" ca="1" si="306"/>
        <v>46236</v>
      </c>
      <c r="AG673" s="225" t="b">
        <f t="shared" si="308"/>
        <v>1</v>
      </c>
      <c r="AH673" s="242"/>
      <c r="AS673" s="223">
        <f t="shared" si="304"/>
        <v>0</v>
      </c>
      <c r="AT673" s="223">
        <f t="shared" si="305"/>
        <v>0</v>
      </c>
    </row>
    <row r="674" spans="2:46" ht="15.75" x14ac:dyDescent="0.25">
      <c r="B674" s="229"/>
      <c r="C674" s="235"/>
      <c r="D674" s="243"/>
      <c r="E674" s="232"/>
      <c r="F674" s="233"/>
      <c r="G674" s="234"/>
      <c r="H674" s="235"/>
      <c r="I674" s="235"/>
      <c r="J674" s="236"/>
      <c r="K674" s="237">
        <f ca="1">ROUND(IF(ISERROR(OFFSET(Tabella!$A$1,MATCH(H674,Tabella!$A:$A,0)-1,MATCH(J674,Tabella!$A$1:$AC$1,0)-1)=TRUE),0,+OFFSET(Tabella!$A$1,MATCH(H674,Tabella!$A:$A,0)-1,MATCH(J674,Tabella!$A$1:$AC$1,0)-1)),4)</f>
        <v>0</v>
      </c>
      <c r="L674" s="238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238">
        <f ca="1">ROUND(IF(ISERROR(OFFSET(Rame!$A$1,MATCH(H674,Rame!$A:$A,0)-1,MATCH(J674,Rame!$A$1:$AA$1,0)-1)=TRUE),0,OFFSET(Rame!$A$1,MATCH(H674,Rame!$A:$A,0)-1,MATCH(J674,Rame!$A$1:$AA$1,0)-1))*IF(E674="Rame",1,0),4)</f>
        <v>0</v>
      </c>
      <c r="N674" s="238">
        <v>0</v>
      </c>
      <c r="O674" s="238">
        <f t="shared" ca="1" si="303"/>
        <v>0</v>
      </c>
      <c r="P674" s="238">
        <f ca="1">ROUND(+IF(ISERROR(OFFSET(Tabella!$G$1,MATCH(H674,Tabella!$G:$G,0)-1,MATCH(I674,Tabella!$G$1:$FG$1,0)-1)=TRUE),0,OFFSET(Tabella!$G$1,MATCH(H674,Tabella!$G:$G,0)-1,MATCH(I674,Tabella!$G$1:$AB$1,0)-1)),4)</f>
        <v>0</v>
      </c>
      <c r="Q674" s="238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238">
        <f ca="1">ROUND(IF(ISERROR(OFFSET(Rame!$F$1,MATCH(H674,Rame!$F:$F,0)-1,MATCH(I674,Rame!$F$1:$FF$1,0)-1)=TRUE),0,OFFSET(Rame!$F$1,MATCH(H674,Rame!$F:$F,0)-1,MATCH(I674,Rame!$F$1:$FF$1,0)-1))*IF(E674="Rame",1,0),4)</f>
        <v>0</v>
      </c>
      <c r="S674" s="238">
        <f ca="1">ROUND(IF(ISERROR(OFFSET(Bronzo!$A$1,MATCH(H674,Bronzo!$A:$A,0)-1,MATCH(I674,Bronzo!$A$1:$AA$1,0)-1)=TRUE),0,OFFSET(Bronzo!$A$1,MATCH(H674,Bronzo!$A:$A,0)-1,MATCH(I674,Bronzo!$A$1:$AA$1,0)-1)),4)</f>
        <v>0</v>
      </c>
      <c r="T674" s="238">
        <f t="shared" ref="T674:T737" ca="1" si="309">ROUND(SUM(P674:S674),4)</f>
        <v>0</v>
      </c>
      <c r="U674" s="237"/>
      <c r="V674" s="238">
        <v>0</v>
      </c>
      <c r="W674" s="239">
        <f t="shared" ref="W674:W737" ca="1" si="310">ROUND(+O674+T674+U674+V674,4)</f>
        <v>0</v>
      </c>
      <c r="X674" s="240">
        <f t="shared" si="307"/>
        <v>0</v>
      </c>
      <c r="Y674" s="236"/>
      <c r="Z674" s="236">
        <f t="shared" ref="Z674:Z737" ca="1" si="311">ROUND(+Y674-W674-F674,4)</f>
        <v>0</v>
      </c>
      <c r="AA674" s="241"/>
      <c r="AF674" s="225">
        <f t="shared" ca="1" si="306"/>
        <v>46236</v>
      </c>
      <c r="AG674" s="225" t="b">
        <f t="shared" si="308"/>
        <v>1</v>
      </c>
      <c r="AH674" s="242"/>
      <c r="AS674" s="223">
        <f t="shared" si="304"/>
        <v>0</v>
      </c>
      <c r="AT674" s="223">
        <f t="shared" si="305"/>
        <v>0</v>
      </c>
    </row>
    <row r="675" spans="2:46" ht="15.75" x14ac:dyDescent="0.25">
      <c r="B675" s="229"/>
      <c r="C675" s="235"/>
      <c r="D675" s="243"/>
      <c r="E675" s="232"/>
      <c r="F675" s="233"/>
      <c r="G675" s="234"/>
      <c r="H675" s="235"/>
      <c r="I675" s="235"/>
      <c r="J675" s="236"/>
      <c r="K675" s="237">
        <f ca="1">ROUND(IF(ISERROR(OFFSET(Tabella!$A$1,MATCH(H675,Tabella!$A:$A,0)-1,MATCH(J675,Tabella!$A$1:$AC$1,0)-1)=TRUE),0,+OFFSET(Tabella!$A$1,MATCH(H675,Tabella!$A:$A,0)-1,MATCH(J675,Tabella!$A$1:$AC$1,0)-1)),4)</f>
        <v>0</v>
      </c>
      <c r="L675" s="238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238">
        <f ca="1">ROUND(IF(ISERROR(OFFSET(Rame!$A$1,MATCH(H675,Rame!$A:$A,0)-1,MATCH(J675,Rame!$A$1:$AA$1,0)-1)=TRUE),0,OFFSET(Rame!$A$1,MATCH(H675,Rame!$A:$A,0)-1,MATCH(J675,Rame!$A$1:$AA$1,0)-1))*IF(E675="Rame",1,0),4)</f>
        <v>0</v>
      </c>
      <c r="N675" s="238">
        <v>0</v>
      </c>
      <c r="O675" s="238">
        <f t="shared" ca="1" si="303"/>
        <v>0</v>
      </c>
      <c r="P675" s="238">
        <f ca="1">ROUND(+IF(ISERROR(OFFSET(Tabella!$G$1,MATCH(H675,Tabella!$G:$G,0)-1,MATCH(I675,Tabella!$G$1:$FG$1,0)-1)=TRUE),0,OFFSET(Tabella!$G$1,MATCH(H675,Tabella!$G:$G,0)-1,MATCH(I675,Tabella!$G$1:$AB$1,0)-1)),4)</f>
        <v>0</v>
      </c>
      <c r="Q675" s="238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238">
        <f ca="1">ROUND(IF(ISERROR(OFFSET(Rame!$F$1,MATCH(H675,Rame!$F:$F,0)-1,MATCH(I675,Rame!$F$1:$FF$1,0)-1)=TRUE),0,OFFSET(Rame!$F$1,MATCH(H675,Rame!$F:$F,0)-1,MATCH(I675,Rame!$F$1:$FF$1,0)-1))*IF(E675="Rame",1,0),4)</f>
        <v>0</v>
      </c>
      <c r="S675" s="238">
        <f ca="1">ROUND(IF(ISERROR(OFFSET(Bronzo!$A$1,MATCH(H675,Bronzo!$A:$A,0)-1,MATCH(I675,Bronzo!$A$1:$AA$1,0)-1)=TRUE),0,OFFSET(Bronzo!$A$1,MATCH(H675,Bronzo!$A:$A,0)-1,MATCH(I675,Bronzo!$A$1:$AA$1,0)-1)),4)</f>
        <v>0</v>
      </c>
      <c r="T675" s="238">
        <f t="shared" ca="1" si="309"/>
        <v>0</v>
      </c>
      <c r="U675" s="237"/>
      <c r="V675" s="238">
        <v>0</v>
      </c>
      <c r="W675" s="239">
        <f t="shared" ca="1" si="310"/>
        <v>0</v>
      </c>
      <c r="X675" s="240">
        <f t="shared" si="307"/>
        <v>0</v>
      </c>
      <c r="Y675" s="236"/>
      <c r="Z675" s="236">
        <f t="shared" ca="1" si="311"/>
        <v>0</v>
      </c>
      <c r="AA675" s="241"/>
      <c r="AF675" s="225">
        <f t="shared" ca="1" si="306"/>
        <v>46236</v>
      </c>
      <c r="AG675" s="225" t="b">
        <f t="shared" si="308"/>
        <v>1</v>
      </c>
      <c r="AH675" s="242"/>
      <c r="AS675" s="223">
        <f t="shared" si="304"/>
        <v>0</v>
      </c>
      <c r="AT675" s="223">
        <f t="shared" si="305"/>
        <v>0</v>
      </c>
    </row>
    <row r="676" spans="2:46" ht="15.75" x14ac:dyDescent="0.25">
      <c r="B676" s="229"/>
      <c r="C676" s="235"/>
      <c r="D676" s="243"/>
      <c r="E676" s="232"/>
      <c r="F676" s="233"/>
      <c r="G676" s="234"/>
      <c r="H676" s="235"/>
      <c r="I676" s="235"/>
      <c r="J676" s="236"/>
      <c r="K676" s="237">
        <f ca="1">ROUND(IF(ISERROR(OFFSET(Tabella!$A$1,MATCH(H676,Tabella!$A:$A,0)-1,MATCH(J676,Tabella!$A$1:$AC$1,0)-1)=TRUE),0,+OFFSET(Tabella!$A$1,MATCH(H676,Tabella!$A:$A,0)-1,MATCH(J676,Tabella!$A$1:$AC$1,0)-1)),4)</f>
        <v>0</v>
      </c>
      <c r="L676" s="238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238">
        <f ca="1">ROUND(IF(ISERROR(OFFSET(Rame!$A$1,MATCH(H676,Rame!$A:$A,0)-1,MATCH(J676,Rame!$A$1:$AA$1,0)-1)=TRUE),0,OFFSET(Rame!$A$1,MATCH(H676,Rame!$A:$A,0)-1,MATCH(J676,Rame!$A$1:$AA$1,0)-1))*IF(E676="Rame",1,0),4)</f>
        <v>0</v>
      </c>
      <c r="N676" s="238">
        <v>0</v>
      </c>
      <c r="O676" s="238">
        <f t="shared" ca="1" si="303"/>
        <v>0</v>
      </c>
      <c r="P676" s="238">
        <f ca="1">ROUND(+IF(ISERROR(OFFSET(Tabella!$G$1,MATCH(H676,Tabella!$G:$G,0)-1,MATCH(I676,Tabella!$G$1:$FG$1,0)-1)=TRUE),0,OFFSET(Tabella!$G$1,MATCH(H676,Tabella!$G:$G,0)-1,MATCH(I676,Tabella!$G$1:$AB$1,0)-1)),4)</f>
        <v>0</v>
      </c>
      <c r="Q676" s="238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238">
        <f ca="1">ROUND(IF(ISERROR(OFFSET(Rame!$F$1,MATCH(H676,Rame!$F:$F,0)-1,MATCH(I676,Rame!$F$1:$FF$1,0)-1)=TRUE),0,OFFSET(Rame!$F$1,MATCH(H676,Rame!$F:$F,0)-1,MATCH(I676,Rame!$F$1:$FF$1,0)-1))*IF(E676="Rame",1,0),4)</f>
        <v>0</v>
      </c>
      <c r="S676" s="238">
        <f ca="1">ROUND(IF(ISERROR(OFFSET(Bronzo!$A$1,MATCH(H676,Bronzo!$A:$A,0)-1,MATCH(I676,Bronzo!$A$1:$AA$1,0)-1)=TRUE),0,OFFSET(Bronzo!$A$1,MATCH(H676,Bronzo!$A:$A,0)-1,MATCH(I676,Bronzo!$A$1:$AA$1,0)-1)),4)</f>
        <v>0</v>
      </c>
      <c r="T676" s="238">
        <f t="shared" ca="1" si="309"/>
        <v>0</v>
      </c>
      <c r="U676" s="237"/>
      <c r="V676" s="238">
        <v>0</v>
      </c>
      <c r="W676" s="239">
        <f t="shared" ca="1" si="310"/>
        <v>0</v>
      </c>
      <c r="X676" s="240">
        <f t="shared" si="307"/>
        <v>0</v>
      </c>
      <c r="Y676" s="236"/>
      <c r="Z676" s="236">
        <f t="shared" ca="1" si="311"/>
        <v>0</v>
      </c>
      <c r="AA676" s="241"/>
      <c r="AF676" s="225">
        <f t="shared" ca="1" si="306"/>
        <v>46236</v>
      </c>
      <c r="AG676" s="225" t="b">
        <f t="shared" si="308"/>
        <v>1</v>
      </c>
      <c r="AH676" s="242"/>
      <c r="AS676" s="223">
        <f t="shared" si="304"/>
        <v>0</v>
      </c>
      <c r="AT676" s="223">
        <f t="shared" si="305"/>
        <v>0</v>
      </c>
    </row>
    <row r="677" spans="2:46" ht="15.75" x14ac:dyDescent="0.25">
      <c r="B677" s="229"/>
      <c r="C677" s="235"/>
      <c r="D677" s="243"/>
      <c r="E677" s="232"/>
      <c r="F677" s="233"/>
      <c r="G677" s="234"/>
      <c r="H677" s="235"/>
      <c r="I677" s="235"/>
      <c r="J677" s="236"/>
      <c r="K677" s="237">
        <f ca="1">ROUND(IF(ISERROR(OFFSET(Tabella!$A$1,MATCH(H677,Tabella!$A:$A,0)-1,MATCH(J677,Tabella!$A$1:$AC$1,0)-1)=TRUE),0,+OFFSET(Tabella!$A$1,MATCH(H677,Tabella!$A:$A,0)-1,MATCH(J677,Tabella!$A$1:$AC$1,0)-1)),4)</f>
        <v>0</v>
      </c>
      <c r="L677" s="238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238">
        <f ca="1">ROUND(IF(ISERROR(OFFSET(Rame!$A$1,MATCH(H677,Rame!$A:$A,0)-1,MATCH(J677,Rame!$A$1:$AA$1,0)-1)=TRUE),0,OFFSET(Rame!$A$1,MATCH(H677,Rame!$A:$A,0)-1,MATCH(J677,Rame!$A$1:$AA$1,0)-1))*IF(E677="Rame",1,0),4)</f>
        <v>0</v>
      </c>
      <c r="N677" s="238">
        <v>0</v>
      </c>
      <c r="O677" s="238">
        <f t="shared" ca="1" si="303"/>
        <v>0</v>
      </c>
      <c r="P677" s="238">
        <f ca="1">ROUND(+IF(ISERROR(OFFSET(Tabella!$G$1,MATCH(H677,Tabella!$G:$G,0)-1,MATCH(I677,Tabella!$G$1:$FG$1,0)-1)=TRUE),0,OFFSET(Tabella!$G$1,MATCH(H677,Tabella!$G:$G,0)-1,MATCH(I677,Tabella!$G$1:$AB$1,0)-1)),4)</f>
        <v>0</v>
      </c>
      <c r="Q677" s="238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238">
        <f ca="1">ROUND(IF(ISERROR(OFFSET(Rame!$F$1,MATCH(H677,Rame!$F:$F,0)-1,MATCH(I677,Rame!$F$1:$FF$1,0)-1)=TRUE),0,OFFSET(Rame!$F$1,MATCH(H677,Rame!$F:$F,0)-1,MATCH(I677,Rame!$F$1:$FF$1,0)-1))*IF(E677="Rame",1,0),4)</f>
        <v>0</v>
      </c>
      <c r="S677" s="238">
        <f ca="1">ROUND(IF(ISERROR(OFFSET(Bronzo!$A$1,MATCH(H677,Bronzo!$A:$A,0)-1,MATCH(I677,Bronzo!$A$1:$AA$1,0)-1)=TRUE),0,OFFSET(Bronzo!$A$1,MATCH(H677,Bronzo!$A:$A,0)-1,MATCH(I677,Bronzo!$A$1:$AA$1,0)-1)),4)</f>
        <v>0</v>
      </c>
      <c r="T677" s="238">
        <f t="shared" ca="1" si="309"/>
        <v>0</v>
      </c>
      <c r="U677" s="237"/>
      <c r="V677" s="238">
        <v>0</v>
      </c>
      <c r="W677" s="239">
        <f t="shared" ca="1" si="310"/>
        <v>0</v>
      </c>
      <c r="X677" s="240">
        <f t="shared" si="307"/>
        <v>0</v>
      </c>
      <c r="Y677" s="236"/>
      <c r="Z677" s="236">
        <f t="shared" ca="1" si="311"/>
        <v>0</v>
      </c>
      <c r="AA677" s="241"/>
      <c r="AF677" s="225">
        <f t="shared" ca="1" si="306"/>
        <v>46236</v>
      </c>
      <c r="AG677" s="225" t="b">
        <f t="shared" si="308"/>
        <v>1</v>
      </c>
      <c r="AH677" s="242"/>
      <c r="AS677" s="223">
        <f t="shared" si="304"/>
        <v>0</v>
      </c>
      <c r="AT677" s="223">
        <f t="shared" si="305"/>
        <v>0</v>
      </c>
    </row>
    <row r="678" spans="2:46" ht="15.75" x14ac:dyDescent="0.25">
      <c r="B678" s="229"/>
      <c r="C678" s="235"/>
      <c r="D678" s="243"/>
      <c r="E678" s="232"/>
      <c r="F678" s="233"/>
      <c r="G678" s="234"/>
      <c r="H678" s="235"/>
      <c r="I678" s="235"/>
      <c r="J678" s="236"/>
      <c r="K678" s="237">
        <f ca="1">ROUND(IF(ISERROR(OFFSET(Tabella!$A$1,MATCH(H678,Tabella!$A:$A,0)-1,MATCH(J678,Tabella!$A$1:$AC$1,0)-1)=TRUE),0,+OFFSET(Tabella!$A$1,MATCH(H678,Tabella!$A:$A,0)-1,MATCH(J678,Tabella!$A$1:$AC$1,0)-1)),4)</f>
        <v>0</v>
      </c>
      <c r="L678" s="238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238">
        <f ca="1">ROUND(IF(ISERROR(OFFSET(Rame!$A$1,MATCH(H678,Rame!$A:$A,0)-1,MATCH(J678,Rame!$A$1:$AA$1,0)-1)=TRUE),0,OFFSET(Rame!$A$1,MATCH(H678,Rame!$A:$A,0)-1,MATCH(J678,Rame!$A$1:$AA$1,0)-1))*IF(E678="Rame",1,0),4)</f>
        <v>0</v>
      </c>
      <c r="N678" s="238">
        <v>0</v>
      </c>
      <c r="O678" s="238">
        <f t="shared" ca="1" si="303"/>
        <v>0</v>
      </c>
      <c r="P678" s="238">
        <f ca="1">ROUND(+IF(ISERROR(OFFSET(Tabella!$G$1,MATCH(H678,Tabella!$G:$G,0)-1,MATCH(I678,Tabella!$G$1:$FG$1,0)-1)=TRUE),0,OFFSET(Tabella!$G$1,MATCH(H678,Tabella!$G:$G,0)-1,MATCH(I678,Tabella!$G$1:$AB$1,0)-1)),4)</f>
        <v>0</v>
      </c>
      <c r="Q678" s="238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238">
        <f ca="1">ROUND(IF(ISERROR(OFFSET(Rame!$F$1,MATCH(H678,Rame!$F:$F,0)-1,MATCH(I678,Rame!$F$1:$FF$1,0)-1)=TRUE),0,OFFSET(Rame!$F$1,MATCH(H678,Rame!$F:$F,0)-1,MATCH(I678,Rame!$F$1:$FF$1,0)-1))*IF(E678="Rame",1,0),4)</f>
        <v>0</v>
      </c>
      <c r="S678" s="238">
        <f ca="1">ROUND(IF(ISERROR(OFFSET(Bronzo!$A$1,MATCH(H678,Bronzo!$A:$A,0)-1,MATCH(I678,Bronzo!$A$1:$AA$1,0)-1)=TRUE),0,OFFSET(Bronzo!$A$1,MATCH(H678,Bronzo!$A:$A,0)-1,MATCH(I678,Bronzo!$A$1:$AA$1,0)-1)),4)</f>
        <v>0</v>
      </c>
      <c r="T678" s="238">
        <f t="shared" ca="1" si="309"/>
        <v>0</v>
      </c>
      <c r="U678" s="237"/>
      <c r="V678" s="238">
        <v>0</v>
      </c>
      <c r="W678" s="239">
        <f t="shared" ca="1" si="310"/>
        <v>0</v>
      </c>
      <c r="X678" s="240">
        <f t="shared" si="307"/>
        <v>0</v>
      </c>
      <c r="Y678" s="236"/>
      <c r="Z678" s="236">
        <f t="shared" ca="1" si="311"/>
        <v>0</v>
      </c>
      <c r="AA678" s="241"/>
      <c r="AF678" s="225">
        <f t="shared" ca="1" si="306"/>
        <v>46236</v>
      </c>
      <c r="AG678" s="225" t="b">
        <f t="shared" si="308"/>
        <v>1</v>
      </c>
      <c r="AH678" s="242"/>
      <c r="AS678" s="223">
        <f t="shared" si="304"/>
        <v>0</v>
      </c>
      <c r="AT678" s="223">
        <f t="shared" si="305"/>
        <v>0</v>
      </c>
    </row>
    <row r="679" spans="2:46" ht="15.75" x14ac:dyDescent="0.25">
      <c r="B679" s="229"/>
      <c r="C679" s="235"/>
      <c r="D679" s="243"/>
      <c r="E679" s="232"/>
      <c r="F679" s="233"/>
      <c r="G679" s="234"/>
      <c r="H679" s="235"/>
      <c r="I679" s="235"/>
      <c r="J679" s="236"/>
      <c r="K679" s="237">
        <f ca="1">ROUND(IF(ISERROR(OFFSET(Tabella!$A$1,MATCH(H679,Tabella!$A:$A,0)-1,MATCH(J679,Tabella!$A$1:$AC$1,0)-1)=TRUE),0,+OFFSET(Tabella!$A$1,MATCH(H679,Tabella!$A:$A,0)-1,MATCH(J679,Tabella!$A$1:$AC$1,0)-1)),4)</f>
        <v>0</v>
      </c>
      <c r="L679" s="238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238">
        <f ca="1">ROUND(IF(ISERROR(OFFSET(Rame!$A$1,MATCH(H679,Rame!$A:$A,0)-1,MATCH(J679,Rame!$A$1:$AA$1,0)-1)=TRUE),0,OFFSET(Rame!$A$1,MATCH(H679,Rame!$A:$A,0)-1,MATCH(J679,Rame!$A$1:$AA$1,0)-1))*IF(E679="Rame",1,0),4)</f>
        <v>0</v>
      </c>
      <c r="N679" s="238">
        <v>0</v>
      </c>
      <c r="O679" s="238">
        <f t="shared" ca="1" si="303"/>
        <v>0</v>
      </c>
      <c r="P679" s="238">
        <f ca="1">ROUND(+IF(ISERROR(OFFSET(Tabella!$G$1,MATCH(H679,Tabella!$G:$G,0)-1,MATCH(I679,Tabella!$G$1:$FG$1,0)-1)=TRUE),0,OFFSET(Tabella!$G$1,MATCH(H679,Tabella!$G:$G,0)-1,MATCH(I679,Tabella!$G$1:$AB$1,0)-1)),4)</f>
        <v>0</v>
      </c>
      <c r="Q679" s="238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238">
        <f ca="1">ROUND(IF(ISERROR(OFFSET(Rame!$F$1,MATCH(H679,Rame!$F:$F,0)-1,MATCH(I679,Rame!$F$1:$FF$1,0)-1)=TRUE),0,OFFSET(Rame!$F$1,MATCH(H679,Rame!$F:$F,0)-1,MATCH(I679,Rame!$F$1:$FF$1,0)-1))*IF(E679="Rame",1,0),4)</f>
        <v>0</v>
      </c>
      <c r="S679" s="238">
        <f ca="1">ROUND(IF(ISERROR(OFFSET(Bronzo!$A$1,MATCH(H679,Bronzo!$A:$A,0)-1,MATCH(I679,Bronzo!$A$1:$AA$1,0)-1)=TRUE),0,OFFSET(Bronzo!$A$1,MATCH(H679,Bronzo!$A:$A,0)-1,MATCH(I679,Bronzo!$A$1:$AA$1,0)-1)),4)</f>
        <v>0</v>
      </c>
      <c r="T679" s="238">
        <f t="shared" ca="1" si="309"/>
        <v>0</v>
      </c>
      <c r="U679" s="237"/>
      <c r="V679" s="238">
        <v>0</v>
      </c>
      <c r="W679" s="239">
        <f t="shared" ca="1" si="310"/>
        <v>0</v>
      </c>
      <c r="X679" s="240">
        <f t="shared" si="307"/>
        <v>0</v>
      </c>
      <c r="Y679" s="236"/>
      <c r="Z679" s="236">
        <f t="shared" ca="1" si="311"/>
        <v>0</v>
      </c>
      <c r="AA679" s="241"/>
      <c r="AF679" s="225">
        <f t="shared" ca="1" si="306"/>
        <v>46236</v>
      </c>
      <c r="AG679" s="225" t="b">
        <f t="shared" si="308"/>
        <v>1</v>
      </c>
      <c r="AH679" s="242"/>
      <c r="AS679" s="223">
        <f t="shared" si="304"/>
        <v>0</v>
      </c>
      <c r="AT679" s="223">
        <f t="shared" si="305"/>
        <v>0</v>
      </c>
    </row>
    <row r="680" spans="2:46" ht="15.75" x14ac:dyDescent="0.25">
      <c r="B680" s="229"/>
      <c r="C680" s="235"/>
      <c r="D680" s="243"/>
      <c r="E680" s="232"/>
      <c r="F680" s="233"/>
      <c r="G680" s="234"/>
      <c r="H680" s="235"/>
      <c r="I680" s="235"/>
      <c r="J680" s="236"/>
      <c r="K680" s="237">
        <f ca="1">ROUND(IF(ISERROR(OFFSET(Tabella!$A$1,MATCH(H680,Tabella!$A:$A,0)-1,MATCH(J680,Tabella!$A$1:$AC$1,0)-1)=TRUE),0,+OFFSET(Tabella!$A$1,MATCH(H680,Tabella!$A:$A,0)-1,MATCH(J680,Tabella!$A$1:$AC$1,0)-1)),4)</f>
        <v>0</v>
      </c>
      <c r="L680" s="238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238">
        <f ca="1">ROUND(IF(ISERROR(OFFSET(Rame!$A$1,MATCH(H680,Rame!$A:$A,0)-1,MATCH(J680,Rame!$A$1:$AA$1,0)-1)=TRUE),0,OFFSET(Rame!$A$1,MATCH(H680,Rame!$A:$A,0)-1,MATCH(J680,Rame!$A$1:$AA$1,0)-1))*IF(E680="Rame",1,0),4)</f>
        <v>0</v>
      </c>
      <c r="N680" s="238">
        <v>0</v>
      </c>
      <c r="O680" s="238">
        <f t="shared" ca="1" si="303"/>
        <v>0</v>
      </c>
      <c r="P680" s="238">
        <f ca="1">ROUND(+IF(ISERROR(OFFSET(Tabella!$G$1,MATCH(H680,Tabella!$G:$G,0)-1,MATCH(I680,Tabella!$G$1:$FG$1,0)-1)=TRUE),0,OFFSET(Tabella!$G$1,MATCH(H680,Tabella!$G:$G,0)-1,MATCH(I680,Tabella!$G$1:$AB$1,0)-1)),4)</f>
        <v>0</v>
      </c>
      <c r="Q680" s="238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238">
        <f ca="1">ROUND(IF(ISERROR(OFFSET(Rame!$F$1,MATCH(H680,Rame!$F:$F,0)-1,MATCH(I680,Rame!$F$1:$FF$1,0)-1)=TRUE),0,OFFSET(Rame!$F$1,MATCH(H680,Rame!$F:$F,0)-1,MATCH(I680,Rame!$F$1:$FF$1,0)-1))*IF(E680="Rame",1,0),4)</f>
        <v>0</v>
      </c>
      <c r="S680" s="238">
        <f ca="1">ROUND(IF(ISERROR(OFFSET(Bronzo!$A$1,MATCH(H680,Bronzo!$A:$A,0)-1,MATCH(I680,Bronzo!$A$1:$AA$1,0)-1)=TRUE),0,OFFSET(Bronzo!$A$1,MATCH(H680,Bronzo!$A:$A,0)-1,MATCH(I680,Bronzo!$A$1:$AA$1,0)-1)),4)</f>
        <v>0</v>
      </c>
      <c r="T680" s="238">
        <f t="shared" ca="1" si="309"/>
        <v>0</v>
      </c>
      <c r="U680" s="237"/>
      <c r="V680" s="238">
        <v>0</v>
      </c>
      <c r="W680" s="239">
        <f t="shared" ca="1" si="310"/>
        <v>0</v>
      </c>
      <c r="X680" s="240">
        <f t="shared" si="307"/>
        <v>0</v>
      </c>
      <c r="Y680" s="236"/>
      <c r="Z680" s="236">
        <f t="shared" ca="1" si="311"/>
        <v>0</v>
      </c>
      <c r="AA680" s="241"/>
      <c r="AF680" s="225">
        <f t="shared" ca="1" si="306"/>
        <v>46236</v>
      </c>
      <c r="AG680" s="225" t="b">
        <f t="shared" si="308"/>
        <v>1</v>
      </c>
      <c r="AH680" s="242"/>
      <c r="AS680" s="223">
        <f t="shared" si="304"/>
        <v>0</v>
      </c>
      <c r="AT680" s="223">
        <f t="shared" si="305"/>
        <v>0</v>
      </c>
    </row>
    <row r="681" spans="2:46" ht="15.75" x14ac:dyDescent="0.25">
      <c r="B681" s="229"/>
      <c r="C681" s="235"/>
      <c r="D681" s="243"/>
      <c r="E681" s="232"/>
      <c r="F681" s="233"/>
      <c r="G681" s="234"/>
      <c r="H681" s="235"/>
      <c r="I681" s="235"/>
      <c r="J681" s="236"/>
      <c r="K681" s="237">
        <f ca="1">ROUND(IF(ISERROR(OFFSET(Tabella!$A$1,MATCH(H681,Tabella!$A:$A,0)-1,MATCH(J681,Tabella!$A$1:$AC$1,0)-1)=TRUE),0,+OFFSET(Tabella!$A$1,MATCH(H681,Tabella!$A:$A,0)-1,MATCH(J681,Tabella!$A$1:$AC$1,0)-1)),4)</f>
        <v>0</v>
      </c>
      <c r="L681" s="238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238">
        <f ca="1">ROUND(IF(ISERROR(OFFSET(Rame!$A$1,MATCH(H681,Rame!$A:$A,0)-1,MATCH(J681,Rame!$A$1:$AA$1,0)-1)=TRUE),0,OFFSET(Rame!$A$1,MATCH(H681,Rame!$A:$A,0)-1,MATCH(J681,Rame!$A$1:$AA$1,0)-1))*IF(E681="Rame",1,0),4)</f>
        <v>0</v>
      </c>
      <c r="N681" s="238">
        <v>0</v>
      </c>
      <c r="O681" s="238">
        <f t="shared" ca="1" si="303"/>
        <v>0</v>
      </c>
      <c r="P681" s="238">
        <f ca="1">ROUND(+IF(ISERROR(OFFSET(Tabella!$G$1,MATCH(H681,Tabella!$G:$G,0)-1,MATCH(I681,Tabella!$G$1:$FG$1,0)-1)=TRUE),0,OFFSET(Tabella!$G$1,MATCH(H681,Tabella!$G:$G,0)-1,MATCH(I681,Tabella!$G$1:$AB$1,0)-1)),4)</f>
        <v>0</v>
      </c>
      <c r="Q681" s="238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238">
        <f ca="1">ROUND(IF(ISERROR(OFFSET(Rame!$F$1,MATCH(H681,Rame!$F:$F,0)-1,MATCH(I681,Rame!$F$1:$FF$1,0)-1)=TRUE),0,OFFSET(Rame!$F$1,MATCH(H681,Rame!$F:$F,0)-1,MATCH(I681,Rame!$F$1:$FF$1,0)-1))*IF(E681="Rame",1,0),4)</f>
        <v>0</v>
      </c>
      <c r="S681" s="238">
        <f ca="1">ROUND(IF(ISERROR(OFFSET(Bronzo!$A$1,MATCH(H681,Bronzo!$A:$A,0)-1,MATCH(I681,Bronzo!$A$1:$AA$1,0)-1)=TRUE),0,OFFSET(Bronzo!$A$1,MATCH(H681,Bronzo!$A:$A,0)-1,MATCH(I681,Bronzo!$A$1:$AA$1,0)-1)),4)</f>
        <v>0</v>
      </c>
      <c r="T681" s="238">
        <f t="shared" ca="1" si="309"/>
        <v>0</v>
      </c>
      <c r="U681" s="237"/>
      <c r="V681" s="238">
        <v>0</v>
      </c>
      <c r="W681" s="239">
        <f t="shared" ca="1" si="310"/>
        <v>0</v>
      </c>
      <c r="X681" s="240">
        <f t="shared" si="307"/>
        <v>0</v>
      </c>
      <c r="Y681" s="236"/>
      <c r="Z681" s="236">
        <f t="shared" ca="1" si="311"/>
        <v>0</v>
      </c>
      <c r="AA681" s="241"/>
      <c r="AF681" s="225">
        <f t="shared" ca="1" si="306"/>
        <v>46236</v>
      </c>
      <c r="AG681" s="225" t="b">
        <f t="shared" si="308"/>
        <v>1</v>
      </c>
      <c r="AH681" s="242"/>
      <c r="AS681" s="223">
        <f t="shared" si="304"/>
        <v>0</v>
      </c>
      <c r="AT681" s="223">
        <f t="shared" si="305"/>
        <v>0</v>
      </c>
    </row>
    <row r="682" spans="2:46" ht="15.75" x14ac:dyDescent="0.25">
      <c r="B682" s="229"/>
      <c r="C682" s="235"/>
      <c r="D682" s="243"/>
      <c r="E682" s="232"/>
      <c r="F682" s="233"/>
      <c r="G682" s="234"/>
      <c r="H682" s="235"/>
      <c r="I682" s="235"/>
      <c r="J682" s="236"/>
      <c r="K682" s="237">
        <f ca="1">ROUND(IF(ISERROR(OFFSET(Tabella!$A$1,MATCH(H682,Tabella!$A:$A,0)-1,MATCH(J682,Tabella!$A$1:$AC$1,0)-1)=TRUE),0,+OFFSET(Tabella!$A$1,MATCH(H682,Tabella!$A:$A,0)-1,MATCH(J682,Tabella!$A$1:$AC$1,0)-1)),4)</f>
        <v>0</v>
      </c>
      <c r="L682" s="238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238">
        <f ca="1">ROUND(IF(ISERROR(OFFSET(Rame!$A$1,MATCH(H682,Rame!$A:$A,0)-1,MATCH(J682,Rame!$A$1:$AA$1,0)-1)=TRUE),0,OFFSET(Rame!$A$1,MATCH(H682,Rame!$A:$A,0)-1,MATCH(J682,Rame!$A$1:$AA$1,0)-1))*IF(E682="Rame",1,0),4)</f>
        <v>0</v>
      </c>
      <c r="N682" s="238">
        <v>0</v>
      </c>
      <c r="O682" s="238">
        <f t="shared" ca="1" si="303"/>
        <v>0</v>
      </c>
      <c r="P682" s="238">
        <f ca="1">ROUND(+IF(ISERROR(OFFSET(Tabella!$G$1,MATCH(H682,Tabella!$G:$G,0)-1,MATCH(I682,Tabella!$G$1:$FG$1,0)-1)=TRUE),0,OFFSET(Tabella!$G$1,MATCH(H682,Tabella!$G:$G,0)-1,MATCH(I682,Tabella!$G$1:$AB$1,0)-1)),4)</f>
        <v>0</v>
      </c>
      <c r="Q682" s="238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238">
        <f ca="1">ROUND(IF(ISERROR(OFFSET(Rame!$F$1,MATCH(H682,Rame!$F:$F,0)-1,MATCH(I682,Rame!$F$1:$FF$1,0)-1)=TRUE),0,OFFSET(Rame!$F$1,MATCH(H682,Rame!$F:$F,0)-1,MATCH(I682,Rame!$F$1:$FF$1,0)-1))*IF(E682="Rame",1,0),4)</f>
        <v>0</v>
      </c>
      <c r="S682" s="238">
        <f ca="1">ROUND(IF(ISERROR(OFFSET(Bronzo!$A$1,MATCH(H682,Bronzo!$A:$A,0)-1,MATCH(I682,Bronzo!$A$1:$AA$1,0)-1)=TRUE),0,OFFSET(Bronzo!$A$1,MATCH(H682,Bronzo!$A:$A,0)-1,MATCH(I682,Bronzo!$A$1:$AA$1,0)-1)),4)</f>
        <v>0</v>
      </c>
      <c r="T682" s="238">
        <f t="shared" ca="1" si="309"/>
        <v>0</v>
      </c>
      <c r="U682" s="237"/>
      <c r="V682" s="238">
        <v>0</v>
      </c>
      <c r="W682" s="239">
        <f t="shared" ca="1" si="310"/>
        <v>0</v>
      </c>
      <c r="X682" s="240">
        <f t="shared" si="307"/>
        <v>0</v>
      </c>
      <c r="Y682" s="236"/>
      <c r="Z682" s="236">
        <f t="shared" ca="1" si="311"/>
        <v>0</v>
      </c>
      <c r="AA682" s="241"/>
      <c r="AF682" s="225">
        <f t="shared" ca="1" si="306"/>
        <v>46236</v>
      </c>
      <c r="AG682" s="225" t="b">
        <f t="shared" si="308"/>
        <v>1</v>
      </c>
      <c r="AH682" s="242"/>
      <c r="AS682" s="223">
        <f t="shared" si="304"/>
        <v>0</v>
      </c>
      <c r="AT682" s="223">
        <f t="shared" si="305"/>
        <v>0</v>
      </c>
    </row>
    <row r="683" spans="2:46" ht="15.75" x14ac:dyDescent="0.25">
      <c r="B683" s="229"/>
      <c r="C683" s="235"/>
      <c r="D683" s="243"/>
      <c r="E683" s="232"/>
      <c r="F683" s="233"/>
      <c r="G683" s="234"/>
      <c r="H683" s="235"/>
      <c r="I683" s="235"/>
      <c r="J683" s="236"/>
      <c r="K683" s="237">
        <f ca="1">ROUND(IF(ISERROR(OFFSET(Tabella!$A$1,MATCH(H683,Tabella!$A:$A,0)-1,MATCH(J683,Tabella!$A$1:$AC$1,0)-1)=TRUE),0,+OFFSET(Tabella!$A$1,MATCH(H683,Tabella!$A:$A,0)-1,MATCH(J683,Tabella!$A$1:$AC$1,0)-1)),4)</f>
        <v>0</v>
      </c>
      <c r="L683" s="238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238">
        <f ca="1">ROUND(IF(ISERROR(OFFSET(Rame!$A$1,MATCH(H683,Rame!$A:$A,0)-1,MATCH(J683,Rame!$A$1:$AA$1,0)-1)=TRUE),0,OFFSET(Rame!$A$1,MATCH(H683,Rame!$A:$A,0)-1,MATCH(J683,Rame!$A$1:$AA$1,0)-1))*IF(E683="Rame",1,0),4)</f>
        <v>0</v>
      </c>
      <c r="N683" s="238">
        <v>0</v>
      </c>
      <c r="O683" s="238">
        <f t="shared" ca="1" si="303"/>
        <v>0</v>
      </c>
      <c r="P683" s="238">
        <f ca="1">ROUND(+IF(ISERROR(OFFSET(Tabella!$G$1,MATCH(H683,Tabella!$G:$G,0)-1,MATCH(I683,Tabella!$G$1:$FG$1,0)-1)=TRUE),0,OFFSET(Tabella!$G$1,MATCH(H683,Tabella!$G:$G,0)-1,MATCH(I683,Tabella!$G$1:$AB$1,0)-1)),4)</f>
        <v>0</v>
      </c>
      <c r="Q683" s="238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238">
        <f ca="1">ROUND(IF(ISERROR(OFFSET(Rame!$F$1,MATCH(H683,Rame!$F:$F,0)-1,MATCH(I683,Rame!$F$1:$FF$1,0)-1)=TRUE),0,OFFSET(Rame!$F$1,MATCH(H683,Rame!$F:$F,0)-1,MATCH(I683,Rame!$F$1:$FF$1,0)-1))*IF(E683="Rame",1,0),4)</f>
        <v>0</v>
      </c>
      <c r="S683" s="238">
        <f ca="1">ROUND(IF(ISERROR(OFFSET(Bronzo!$A$1,MATCH(H683,Bronzo!$A:$A,0)-1,MATCH(I683,Bronzo!$A$1:$AA$1,0)-1)=TRUE),0,OFFSET(Bronzo!$A$1,MATCH(H683,Bronzo!$A:$A,0)-1,MATCH(I683,Bronzo!$A$1:$AA$1,0)-1)),4)</f>
        <v>0</v>
      </c>
      <c r="T683" s="238">
        <f t="shared" ca="1" si="309"/>
        <v>0</v>
      </c>
      <c r="U683" s="237"/>
      <c r="V683" s="238">
        <v>0</v>
      </c>
      <c r="W683" s="239">
        <f t="shared" ca="1" si="310"/>
        <v>0</v>
      </c>
      <c r="X683" s="240">
        <f t="shared" si="307"/>
        <v>0</v>
      </c>
      <c r="Y683" s="236"/>
      <c r="Z683" s="236">
        <f t="shared" ca="1" si="311"/>
        <v>0</v>
      </c>
      <c r="AA683" s="241"/>
      <c r="AF683" s="225">
        <f t="shared" ca="1" si="306"/>
        <v>46236</v>
      </c>
      <c r="AG683" s="225" t="b">
        <f t="shared" si="308"/>
        <v>1</v>
      </c>
      <c r="AH683" s="242"/>
      <c r="AS683" s="223">
        <f t="shared" si="304"/>
        <v>0</v>
      </c>
      <c r="AT683" s="223">
        <f t="shared" si="305"/>
        <v>0</v>
      </c>
    </row>
    <row r="684" spans="2:46" ht="15.75" x14ac:dyDescent="0.25">
      <c r="B684" s="229"/>
      <c r="C684" s="235"/>
      <c r="D684" s="243"/>
      <c r="E684" s="232"/>
      <c r="F684" s="233"/>
      <c r="G684" s="234"/>
      <c r="H684" s="235"/>
      <c r="I684" s="235"/>
      <c r="J684" s="236"/>
      <c r="K684" s="237">
        <f ca="1">ROUND(IF(ISERROR(OFFSET(Tabella!$A$1,MATCH(H684,Tabella!$A:$A,0)-1,MATCH(J684,Tabella!$A$1:$AC$1,0)-1)=TRUE),0,+OFFSET(Tabella!$A$1,MATCH(H684,Tabella!$A:$A,0)-1,MATCH(J684,Tabella!$A$1:$AC$1,0)-1)),4)</f>
        <v>0</v>
      </c>
      <c r="L684" s="238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238">
        <f ca="1">ROUND(IF(ISERROR(OFFSET(Rame!$A$1,MATCH(H684,Rame!$A:$A,0)-1,MATCH(J684,Rame!$A$1:$AA$1,0)-1)=TRUE),0,OFFSET(Rame!$A$1,MATCH(H684,Rame!$A:$A,0)-1,MATCH(J684,Rame!$A$1:$AA$1,0)-1))*IF(E684="Rame",1,0),4)</f>
        <v>0</v>
      </c>
      <c r="N684" s="238">
        <v>0</v>
      </c>
      <c r="O684" s="238">
        <f t="shared" ca="1" si="303"/>
        <v>0</v>
      </c>
      <c r="P684" s="238">
        <f ca="1">ROUND(+IF(ISERROR(OFFSET(Tabella!$G$1,MATCH(H684,Tabella!$G:$G,0)-1,MATCH(I684,Tabella!$G$1:$FG$1,0)-1)=TRUE),0,OFFSET(Tabella!$G$1,MATCH(H684,Tabella!$G:$G,0)-1,MATCH(I684,Tabella!$G$1:$AB$1,0)-1)),4)</f>
        <v>0</v>
      </c>
      <c r="Q684" s="238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238">
        <f ca="1">ROUND(IF(ISERROR(OFFSET(Rame!$F$1,MATCH(H684,Rame!$F:$F,0)-1,MATCH(I684,Rame!$F$1:$FF$1,0)-1)=TRUE),0,OFFSET(Rame!$F$1,MATCH(H684,Rame!$F:$F,0)-1,MATCH(I684,Rame!$F$1:$FF$1,0)-1))*IF(E684="Rame",1,0),4)</f>
        <v>0</v>
      </c>
      <c r="S684" s="238">
        <f ca="1">ROUND(IF(ISERROR(OFFSET(Bronzo!$A$1,MATCH(H684,Bronzo!$A:$A,0)-1,MATCH(I684,Bronzo!$A$1:$AA$1,0)-1)=TRUE),0,OFFSET(Bronzo!$A$1,MATCH(H684,Bronzo!$A:$A,0)-1,MATCH(I684,Bronzo!$A$1:$AA$1,0)-1)),4)</f>
        <v>0</v>
      </c>
      <c r="T684" s="238">
        <f t="shared" ca="1" si="309"/>
        <v>0</v>
      </c>
      <c r="U684" s="237"/>
      <c r="V684" s="238">
        <v>0</v>
      </c>
      <c r="W684" s="239">
        <f t="shared" ca="1" si="310"/>
        <v>0</v>
      </c>
      <c r="X684" s="240">
        <f t="shared" si="307"/>
        <v>0</v>
      </c>
      <c r="Y684" s="236"/>
      <c r="Z684" s="236">
        <f t="shared" ca="1" si="311"/>
        <v>0</v>
      </c>
      <c r="AA684" s="241"/>
      <c r="AF684" s="225">
        <f t="shared" ca="1" si="306"/>
        <v>46236</v>
      </c>
      <c r="AG684" s="225" t="b">
        <f t="shared" si="308"/>
        <v>1</v>
      </c>
      <c r="AH684" s="242"/>
      <c r="AS684" s="223">
        <f t="shared" si="304"/>
        <v>0</v>
      </c>
      <c r="AT684" s="223">
        <f t="shared" si="305"/>
        <v>0</v>
      </c>
    </row>
    <row r="685" spans="2:46" ht="15.75" x14ac:dyDescent="0.25">
      <c r="B685" s="229"/>
      <c r="C685" s="235"/>
      <c r="D685" s="243"/>
      <c r="E685" s="232"/>
      <c r="F685" s="233"/>
      <c r="G685" s="234"/>
      <c r="H685" s="235"/>
      <c r="I685" s="235"/>
      <c r="J685" s="236"/>
      <c r="K685" s="237">
        <f ca="1">ROUND(IF(ISERROR(OFFSET(Tabella!$A$1,MATCH(H685,Tabella!$A:$A,0)-1,MATCH(J685,Tabella!$A$1:$AC$1,0)-1)=TRUE),0,+OFFSET(Tabella!$A$1,MATCH(H685,Tabella!$A:$A,0)-1,MATCH(J685,Tabella!$A$1:$AC$1,0)-1)),4)</f>
        <v>0</v>
      </c>
      <c r="L685" s="238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238">
        <f ca="1">ROUND(IF(ISERROR(OFFSET(Rame!$A$1,MATCH(H685,Rame!$A:$A,0)-1,MATCH(J685,Rame!$A$1:$AA$1,0)-1)=TRUE),0,OFFSET(Rame!$A$1,MATCH(H685,Rame!$A:$A,0)-1,MATCH(J685,Rame!$A$1:$AA$1,0)-1))*IF(E685="Rame",1,0),4)</f>
        <v>0</v>
      </c>
      <c r="N685" s="238">
        <v>0</v>
      </c>
      <c r="O685" s="238">
        <f t="shared" ca="1" si="303"/>
        <v>0</v>
      </c>
      <c r="P685" s="238">
        <f ca="1">ROUND(+IF(ISERROR(OFFSET(Tabella!$G$1,MATCH(H685,Tabella!$G:$G,0)-1,MATCH(I685,Tabella!$G$1:$FG$1,0)-1)=TRUE),0,OFFSET(Tabella!$G$1,MATCH(H685,Tabella!$G:$G,0)-1,MATCH(I685,Tabella!$G$1:$AB$1,0)-1)),4)</f>
        <v>0</v>
      </c>
      <c r="Q685" s="238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238">
        <f ca="1">ROUND(IF(ISERROR(OFFSET(Rame!$F$1,MATCH(H685,Rame!$F:$F,0)-1,MATCH(I685,Rame!$F$1:$FF$1,0)-1)=TRUE),0,OFFSET(Rame!$F$1,MATCH(H685,Rame!$F:$F,0)-1,MATCH(I685,Rame!$F$1:$FF$1,0)-1))*IF(E685="Rame",1,0),4)</f>
        <v>0</v>
      </c>
      <c r="S685" s="238">
        <f ca="1">ROUND(IF(ISERROR(OFFSET(Bronzo!$A$1,MATCH(H685,Bronzo!$A:$A,0)-1,MATCH(I685,Bronzo!$A$1:$AA$1,0)-1)=TRUE),0,OFFSET(Bronzo!$A$1,MATCH(H685,Bronzo!$A:$A,0)-1,MATCH(I685,Bronzo!$A$1:$AA$1,0)-1)),4)</f>
        <v>0</v>
      </c>
      <c r="T685" s="238">
        <f t="shared" ca="1" si="309"/>
        <v>0</v>
      </c>
      <c r="U685" s="237"/>
      <c r="V685" s="238">
        <v>0</v>
      </c>
      <c r="W685" s="239">
        <f t="shared" ca="1" si="310"/>
        <v>0</v>
      </c>
      <c r="X685" s="240">
        <f t="shared" si="307"/>
        <v>0</v>
      </c>
      <c r="Y685" s="236"/>
      <c r="Z685" s="236">
        <f t="shared" ca="1" si="311"/>
        <v>0</v>
      </c>
      <c r="AA685" s="241"/>
      <c r="AF685" s="225">
        <f t="shared" ca="1" si="306"/>
        <v>46236</v>
      </c>
      <c r="AG685" s="225" t="b">
        <f t="shared" si="308"/>
        <v>1</v>
      </c>
      <c r="AH685" s="242"/>
      <c r="AS685" s="223">
        <f t="shared" si="304"/>
        <v>0</v>
      </c>
      <c r="AT685" s="223">
        <f t="shared" si="305"/>
        <v>0</v>
      </c>
    </row>
    <row r="686" spans="2:46" ht="15.75" x14ac:dyDescent="0.25">
      <c r="B686" s="229"/>
      <c r="C686" s="235"/>
      <c r="D686" s="243"/>
      <c r="E686" s="232"/>
      <c r="F686" s="233"/>
      <c r="G686" s="234"/>
      <c r="H686" s="235"/>
      <c r="I686" s="235"/>
      <c r="J686" s="236"/>
      <c r="K686" s="237">
        <f ca="1">ROUND(IF(ISERROR(OFFSET(Tabella!$A$1,MATCH(H686,Tabella!$A:$A,0)-1,MATCH(J686,Tabella!$A$1:$AC$1,0)-1)=TRUE),0,+OFFSET(Tabella!$A$1,MATCH(H686,Tabella!$A:$A,0)-1,MATCH(J686,Tabella!$A$1:$AC$1,0)-1)),4)</f>
        <v>0</v>
      </c>
      <c r="L686" s="238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238">
        <f ca="1">ROUND(IF(ISERROR(OFFSET(Rame!$A$1,MATCH(H686,Rame!$A:$A,0)-1,MATCH(J686,Rame!$A$1:$AA$1,0)-1)=TRUE),0,OFFSET(Rame!$A$1,MATCH(H686,Rame!$A:$A,0)-1,MATCH(J686,Rame!$A$1:$AA$1,0)-1))*IF(E686="Rame",1,0),4)</f>
        <v>0</v>
      </c>
      <c r="N686" s="238">
        <v>0</v>
      </c>
      <c r="O686" s="238">
        <f t="shared" ca="1" si="303"/>
        <v>0</v>
      </c>
      <c r="P686" s="238">
        <f ca="1">ROUND(+IF(ISERROR(OFFSET(Tabella!$G$1,MATCH(H686,Tabella!$G:$G,0)-1,MATCH(I686,Tabella!$G$1:$FG$1,0)-1)=TRUE),0,OFFSET(Tabella!$G$1,MATCH(H686,Tabella!$G:$G,0)-1,MATCH(I686,Tabella!$G$1:$AB$1,0)-1)),4)</f>
        <v>0</v>
      </c>
      <c r="Q686" s="238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238">
        <f ca="1">ROUND(IF(ISERROR(OFFSET(Rame!$F$1,MATCH(H686,Rame!$F:$F,0)-1,MATCH(I686,Rame!$F$1:$FF$1,0)-1)=TRUE),0,OFFSET(Rame!$F$1,MATCH(H686,Rame!$F:$F,0)-1,MATCH(I686,Rame!$F$1:$FF$1,0)-1))*IF(E686="Rame",1,0),4)</f>
        <v>0</v>
      </c>
      <c r="S686" s="238">
        <f ca="1">ROUND(IF(ISERROR(OFFSET(Bronzo!$A$1,MATCH(H686,Bronzo!$A:$A,0)-1,MATCH(I686,Bronzo!$A$1:$AA$1,0)-1)=TRUE),0,OFFSET(Bronzo!$A$1,MATCH(H686,Bronzo!$A:$A,0)-1,MATCH(I686,Bronzo!$A$1:$AA$1,0)-1)),4)</f>
        <v>0</v>
      </c>
      <c r="T686" s="238">
        <f t="shared" ca="1" si="309"/>
        <v>0</v>
      </c>
      <c r="U686" s="237"/>
      <c r="V686" s="238">
        <v>0</v>
      </c>
      <c r="W686" s="239">
        <f t="shared" ca="1" si="310"/>
        <v>0</v>
      </c>
      <c r="X686" s="240">
        <f t="shared" si="307"/>
        <v>0</v>
      </c>
      <c r="Y686" s="236"/>
      <c r="Z686" s="236">
        <f t="shared" ca="1" si="311"/>
        <v>0</v>
      </c>
      <c r="AA686" s="241"/>
      <c r="AF686" s="225">
        <f t="shared" ca="1" si="306"/>
        <v>46236</v>
      </c>
      <c r="AG686" s="225" t="b">
        <f t="shared" si="308"/>
        <v>1</v>
      </c>
      <c r="AH686" s="242"/>
      <c r="AS686" s="223">
        <f t="shared" si="304"/>
        <v>0</v>
      </c>
      <c r="AT686" s="223">
        <f t="shared" si="305"/>
        <v>0</v>
      </c>
    </row>
    <row r="687" spans="2:46" ht="15.75" x14ac:dyDescent="0.25">
      <c r="B687" s="229"/>
      <c r="C687" s="235"/>
      <c r="D687" s="243"/>
      <c r="E687" s="232"/>
      <c r="F687" s="233"/>
      <c r="G687" s="234"/>
      <c r="H687" s="235"/>
      <c r="I687" s="235"/>
      <c r="J687" s="236"/>
      <c r="K687" s="237">
        <f ca="1">ROUND(IF(ISERROR(OFFSET(Tabella!$A$1,MATCH(H687,Tabella!$A:$A,0)-1,MATCH(J687,Tabella!$A$1:$AC$1,0)-1)=TRUE),0,+OFFSET(Tabella!$A$1,MATCH(H687,Tabella!$A:$A,0)-1,MATCH(J687,Tabella!$A$1:$AC$1,0)-1)),4)</f>
        <v>0</v>
      </c>
      <c r="L687" s="238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238">
        <f ca="1">ROUND(IF(ISERROR(OFFSET(Rame!$A$1,MATCH(H687,Rame!$A:$A,0)-1,MATCH(J687,Rame!$A$1:$AA$1,0)-1)=TRUE),0,OFFSET(Rame!$A$1,MATCH(H687,Rame!$A:$A,0)-1,MATCH(J687,Rame!$A$1:$AA$1,0)-1))*IF(E687="Rame",1,0),4)</f>
        <v>0</v>
      </c>
      <c r="N687" s="238">
        <v>0</v>
      </c>
      <c r="O687" s="238">
        <f t="shared" ca="1" si="303"/>
        <v>0</v>
      </c>
      <c r="P687" s="238">
        <f ca="1">ROUND(+IF(ISERROR(OFFSET(Tabella!$G$1,MATCH(H687,Tabella!$G:$G,0)-1,MATCH(I687,Tabella!$G$1:$FG$1,0)-1)=TRUE),0,OFFSET(Tabella!$G$1,MATCH(H687,Tabella!$G:$G,0)-1,MATCH(I687,Tabella!$G$1:$AB$1,0)-1)),4)</f>
        <v>0</v>
      </c>
      <c r="Q687" s="238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238">
        <f ca="1">ROUND(IF(ISERROR(OFFSET(Rame!$F$1,MATCH(H687,Rame!$F:$F,0)-1,MATCH(I687,Rame!$F$1:$FF$1,0)-1)=TRUE),0,OFFSET(Rame!$F$1,MATCH(H687,Rame!$F:$F,0)-1,MATCH(I687,Rame!$F$1:$FF$1,0)-1))*IF(E687="Rame",1,0),4)</f>
        <v>0</v>
      </c>
      <c r="S687" s="238">
        <f ca="1">ROUND(IF(ISERROR(OFFSET(Bronzo!$A$1,MATCH(H687,Bronzo!$A:$A,0)-1,MATCH(I687,Bronzo!$A$1:$AA$1,0)-1)=TRUE),0,OFFSET(Bronzo!$A$1,MATCH(H687,Bronzo!$A:$A,0)-1,MATCH(I687,Bronzo!$A$1:$AA$1,0)-1)),4)</f>
        <v>0</v>
      </c>
      <c r="T687" s="238">
        <f t="shared" ca="1" si="309"/>
        <v>0</v>
      </c>
      <c r="U687" s="237"/>
      <c r="V687" s="238">
        <v>0</v>
      </c>
      <c r="W687" s="239">
        <f t="shared" ca="1" si="310"/>
        <v>0</v>
      </c>
      <c r="X687" s="240">
        <f t="shared" si="307"/>
        <v>0</v>
      </c>
      <c r="Y687" s="236"/>
      <c r="Z687" s="236">
        <f t="shared" ca="1" si="311"/>
        <v>0</v>
      </c>
      <c r="AA687" s="241"/>
      <c r="AF687" s="225">
        <f t="shared" ca="1" si="306"/>
        <v>46236</v>
      </c>
      <c r="AG687" s="225" t="b">
        <f t="shared" si="308"/>
        <v>1</v>
      </c>
      <c r="AH687" s="242"/>
      <c r="AS687" s="223">
        <f t="shared" si="304"/>
        <v>0</v>
      </c>
      <c r="AT687" s="223">
        <f t="shared" si="305"/>
        <v>0</v>
      </c>
    </row>
    <row r="688" spans="2:46" ht="15.75" x14ac:dyDescent="0.25">
      <c r="B688" s="229"/>
      <c r="C688" s="235"/>
      <c r="D688" s="243"/>
      <c r="E688" s="232"/>
      <c r="F688" s="233"/>
      <c r="G688" s="234"/>
      <c r="H688" s="235"/>
      <c r="I688" s="235"/>
      <c r="J688" s="236"/>
      <c r="K688" s="237">
        <f ca="1">ROUND(IF(ISERROR(OFFSET(Tabella!$A$1,MATCH(H688,Tabella!$A:$A,0)-1,MATCH(J688,Tabella!$A$1:$AC$1,0)-1)=TRUE),0,+OFFSET(Tabella!$A$1,MATCH(H688,Tabella!$A:$A,0)-1,MATCH(J688,Tabella!$A$1:$AC$1,0)-1)),4)</f>
        <v>0</v>
      </c>
      <c r="L688" s="238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238">
        <f ca="1">ROUND(IF(ISERROR(OFFSET(Rame!$A$1,MATCH(H688,Rame!$A:$A,0)-1,MATCH(J688,Rame!$A$1:$AA$1,0)-1)=TRUE),0,OFFSET(Rame!$A$1,MATCH(H688,Rame!$A:$A,0)-1,MATCH(J688,Rame!$A$1:$AA$1,0)-1))*IF(E688="Rame",1,0),4)</f>
        <v>0</v>
      </c>
      <c r="N688" s="238">
        <v>0</v>
      </c>
      <c r="O688" s="238">
        <f t="shared" ca="1" si="303"/>
        <v>0</v>
      </c>
      <c r="P688" s="238">
        <f ca="1">ROUND(+IF(ISERROR(OFFSET(Tabella!$G$1,MATCH(H688,Tabella!$G:$G,0)-1,MATCH(I688,Tabella!$G$1:$FG$1,0)-1)=TRUE),0,OFFSET(Tabella!$G$1,MATCH(H688,Tabella!$G:$G,0)-1,MATCH(I688,Tabella!$G$1:$AB$1,0)-1)),4)</f>
        <v>0</v>
      </c>
      <c r="Q688" s="238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238">
        <f ca="1">ROUND(IF(ISERROR(OFFSET(Rame!$F$1,MATCH(H688,Rame!$F:$F,0)-1,MATCH(I688,Rame!$F$1:$FF$1,0)-1)=TRUE),0,OFFSET(Rame!$F$1,MATCH(H688,Rame!$F:$F,0)-1,MATCH(I688,Rame!$F$1:$FF$1,0)-1))*IF(E688="Rame",1,0),4)</f>
        <v>0</v>
      </c>
      <c r="S688" s="238">
        <f ca="1">ROUND(IF(ISERROR(OFFSET(Bronzo!$A$1,MATCH(H688,Bronzo!$A:$A,0)-1,MATCH(I688,Bronzo!$A$1:$AA$1,0)-1)=TRUE),0,OFFSET(Bronzo!$A$1,MATCH(H688,Bronzo!$A:$A,0)-1,MATCH(I688,Bronzo!$A$1:$AA$1,0)-1)),4)</f>
        <v>0</v>
      </c>
      <c r="T688" s="238">
        <f t="shared" ca="1" si="309"/>
        <v>0</v>
      </c>
      <c r="U688" s="237"/>
      <c r="V688" s="238">
        <v>0</v>
      </c>
      <c r="W688" s="239">
        <f t="shared" ca="1" si="310"/>
        <v>0</v>
      </c>
      <c r="X688" s="240">
        <f t="shared" si="307"/>
        <v>0</v>
      </c>
      <c r="Y688" s="236"/>
      <c r="Z688" s="236">
        <f t="shared" ca="1" si="311"/>
        <v>0</v>
      </c>
      <c r="AA688" s="241"/>
      <c r="AF688" s="225">
        <f t="shared" ca="1" si="306"/>
        <v>46236</v>
      </c>
      <c r="AG688" s="225" t="b">
        <f t="shared" si="308"/>
        <v>1</v>
      </c>
      <c r="AH688" s="242"/>
      <c r="AS688" s="223">
        <f t="shared" si="304"/>
        <v>0</v>
      </c>
      <c r="AT688" s="223">
        <f t="shared" si="305"/>
        <v>0</v>
      </c>
    </row>
    <row r="689" spans="2:46" ht="15.75" x14ac:dyDescent="0.25">
      <c r="B689" s="229"/>
      <c r="C689" s="235"/>
      <c r="D689" s="243"/>
      <c r="E689" s="232"/>
      <c r="F689" s="233"/>
      <c r="G689" s="234"/>
      <c r="H689" s="235"/>
      <c r="I689" s="235"/>
      <c r="J689" s="236"/>
      <c r="K689" s="237">
        <f ca="1">ROUND(IF(ISERROR(OFFSET(Tabella!$A$1,MATCH(H689,Tabella!$A:$A,0)-1,MATCH(J689,Tabella!$A$1:$AC$1,0)-1)=TRUE),0,+OFFSET(Tabella!$A$1,MATCH(H689,Tabella!$A:$A,0)-1,MATCH(J689,Tabella!$A$1:$AC$1,0)-1)),4)</f>
        <v>0</v>
      </c>
      <c r="L689" s="238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238">
        <f ca="1">ROUND(IF(ISERROR(OFFSET(Rame!$A$1,MATCH(H689,Rame!$A:$A,0)-1,MATCH(J689,Rame!$A$1:$AA$1,0)-1)=TRUE),0,OFFSET(Rame!$A$1,MATCH(H689,Rame!$A:$A,0)-1,MATCH(J689,Rame!$A$1:$AA$1,0)-1))*IF(E689="Rame",1,0),4)</f>
        <v>0</v>
      </c>
      <c r="N689" s="238">
        <v>0</v>
      </c>
      <c r="O689" s="238">
        <f t="shared" ca="1" si="303"/>
        <v>0</v>
      </c>
      <c r="P689" s="238">
        <f ca="1">ROUND(+IF(ISERROR(OFFSET(Tabella!$G$1,MATCH(H689,Tabella!$G:$G,0)-1,MATCH(I689,Tabella!$G$1:$FG$1,0)-1)=TRUE),0,OFFSET(Tabella!$G$1,MATCH(H689,Tabella!$G:$G,0)-1,MATCH(I689,Tabella!$G$1:$AB$1,0)-1)),4)</f>
        <v>0</v>
      </c>
      <c r="Q689" s="238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238">
        <f ca="1">ROUND(IF(ISERROR(OFFSET(Rame!$F$1,MATCH(H689,Rame!$F:$F,0)-1,MATCH(I689,Rame!$F$1:$FF$1,0)-1)=TRUE),0,OFFSET(Rame!$F$1,MATCH(H689,Rame!$F:$F,0)-1,MATCH(I689,Rame!$F$1:$FF$1,0)-1))*IF(E689="Rame",1,0),4)</f>
        <v>0</v>
      </c>
      <c r="S689" s="238">
        <f ca="1">ROUND(IF(ISERROR(OFFSET(Bronzo!$A$1,MATCH(H689,Bronzo!$A:$A,0)-1,MATCH(I689,Bronzo!$A$1:$AA$1,0)-1)=TRUE),0,OFFSET(Bronzo!$A$1,MATCH(H689,Bronzo!$A:$A,0)-1,MATCH(I689,Bronzo!$A$1:$AA$1,0)-1)),4)</f>
        <v>0</v>
      </c>
      <c r="T689" s="238">
        <f t="shared" ca="1" si="309"/>
        <v>0</v>
      </c>
      <c r="U689" s="237"/>
      <c r="V689" s="238">
        <v>0</v>
      </c>
      <c r="W689" s="239">
        <f t="shared" ca="1" si="310"/>
        <v>0</v>
      </c>
      <c r="X689" s="240">
        <f t="shared" si="307"/>
        <v>0</v>
      </c>
      <c r="Y689" s="236"/>
      <c r="Z689" s="236">
        <f t="shared" ca="1" si="311"/>
        <v>0</v>
      </c>
      <c r="AA689" s="241"/>
      <c r="AF689" s="225">
        <f t="shared" ca="1" si="306"/>
        <v>46236</v>
      </c>
      <c r="AG689" s="225" t="b">
        <f t="shared" si="308"/>
        <v>1</v>
      </c>
      <c r="AH689" s="242"/>
      <c r="AS689" s="223">
        <f t="shared" si="304"/>
        <v>0</v>
      </c>
      <c r="AT689" s="223">
        <f t="shared" si="305"/>
        <v>0</v>
      </c>
    </row>
    <row r="690" spans="2:46" ht="15.75" x14ac:dyDescent="0.25">
      <c r="B690" s="229"/>
      <c r="C690" s="235"/>
      <c r="D690" s="243"/>
      <c r="E690" s="232"/>
      <c r="F690" s="233"/>
      <c r="G690" s="234"/>
      <c r="H690" s="235"/>
      <c r="I690" s="235"/>
      <c r="J690" s="236"/>
      <c r="K690" s="237">
        <f ca="1">ROUND(IF(ISERROR(OFFSET(Tabella!$A$1,MATCH(H690,Tabella!$A:$A,0)-1,MATCH(J690,Tabella!$A$1:$AC$1,0)-1)=TRUE),0,+OFFSET(Tabella!$A$1,MATCH(H690,Tabella!$A:$A,0)-1,MATCH(J690,Tabella!$A$1:$AC$1,0)-1)),4)</f>
        <v>0</v>
      </c>
      <c r="L690" s="238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238">
        <f ca="1">ROUND(IF(ISERROR(OFFSET(Rame!$A$1,MATCH(H690,Rame!$A:$A,0)-1,MATCH(J690,Rame!$A$1:$AA$1,0)-1)=TRUE),0,OFFSET(Rame!$A$1,MATCH(H690,Rame!$A:$A,0)-1,MATCH(J690,Rame!$A$1:$AA$1,0)-1))*IF(E690="Rame",1,0),4)</f>
        <v>0</v>
      </c>
      <c r="N690" s="238">
        <v>0</v>
      </c>
      <c r="O690" s="238">
        <f t="shared" ca="1" si="303"/>
        <v>0</v>
      </c>
      <c r="P690" s="238">
        <f ca="1">ROUND(+IF(ISERROR(OFFSET(Tabella!$G$1,MATCH(H690,Tabella!$G:$G,0)-1,MATCH(I690,Tabella!$G$1:$FG$1,0)-1)=TRUE),0,OFFSET(Tabella!$G$1,MATCH(H690,Tabella!$G:$G,0)-1,MATCH(I690,Tabella!$G$1:$AB$1,0)-1)),4)</f>
        <v>0</v>
      </c>
      <c r="Q690" s="238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238">
        <f ca="1">ROUND(IF(ISERROR(OFFSET(Rame!$F$1,MATCH(H690,Rame!$F:$F,0)-1,MATCH(I690,Rame!$F$1:$FF$1,0)-1)=TRUE),0,OFFSET(Rame!$F$1,MATCH(H690,Rame!$F:$F,0)-1,MATCH(I690,Rame!$F$1:$FF$1,0)-1))*IF(E690="Rame",1,0),4)</f>
        <v>0</v>
      </c>
      <c r="S690" s="238">
        <f ca="1">ROUND(IF(ISERROR(OFFSET(Bronzo!$A$1,MATCH(H690,Bronzo!$A:$A,0)-1,MATCH(I690,Bronzo!$A$1:$AA$1,0)-1)=TRUE),0,OFFSET(Bronzo!$A$1,MATCH(H690,Bronzo!$A:$A,0)-1,MATCH(I690,Bronzo!$A$1:$AA$1,0)-1)),4)</f>
        <v>0</v>
      </c>
      <c r="T690" s="238">
        <f t="shared" ca="1" si="309"/>
        <v>0</v>
      </c>
      <c r="U690" s="237"/>
      <c r="V690" s="238">
        <v>0</v>
      </c>
      <c r="W690" s="239">
        <f t="shared" ca="1" si="310"/>
        <v>0</v>
      </c>
      <c r="X690" s="240">
        <f t="shared" si="307"/>
        <v>0</v>
      </c>
      <c r="Y690" s="236"/>
      <c r="Z690" s="236">
        <f t="shared" ca="1" si="311"/>
        <v>0</v>
      </c>
      <c r="AA690" s="241"/>
      <c r="AF690" s="225">
        <f t="shared" ca="1" si="306"/>
        <v>46236</v>
      </c>
      <c r="AG690" s="225" t="b">
        <f t="shared" si="308"/>
        <v>1</v>
      </c>
      <c r="AH690" s="242"/>
      <c r="AS690" s="223">
        <f t="shared" si="304"/>
        <v>0</v>
      </c>
      <c r="AT690" s="223">
        <f t="shared" si="305"/>
        <v>0</v>
      </c>
    </row>
    <row r="691" spans="2:46" ht="15.75" x14ac:dyDescent="0.25">
      <c r="B691" s="229"/>
      <c r="C691" s="235"/>
      <c r="D691" s="243"/>
      <c r="E691" s="232"/>
      <c r="F691" s="233"/>
      <c r="G691" s="234"/>
      <c r="H691" s="235"/>
      <c r="I691" s="235"/>
      <c r="J691" s="236"/>
      <c r="K691" s="237">
        <f ca="1">ROUND(IF(ISERROR(OFFSET(Tabella!$A$1,MATCH(H691,Tabella!$A:$A,0)-1,MATCH(J691,Tabella!$A$1:$AC$1,0)-1)=TRUE),0,+OFFSET(Tabella!$A$1,MATCH(H691,Tabella!$A:$A,0)-1,MATCH(J691,Tabella!$A$1:$AC$1,0)-1)),4)</f>
        <v>0</v>
      </c>
      <c r="L691" s="238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238">
        <f ca="1">ROUND(IF(ISERROR(OFFSET(Rame!$A$1,MATCH(H691,Rame!$A:$A,0)-1,MATCH(J691,Rame!$A$1:$AA$1,0)-1)=TRUE),0,OFFSET(Rame!$A$1,MATCH(H691,Rame!$A:$A,0)-1,MATCH(J691,Rame!$A$1:$AA$1,0)-1))*IF(E691="Rame",1,0),4)</f>
        <v>0</v>
      </c>
      <c r="N691" s="238">
        <v>0</v>
      </c>
      <c r="O691" s="238">
        <f t="shared" ref="O691:O754" ca="1" si="312">ROUND(SUM(K691:N691),4)</f>
        <v>0</v>
      </c>
      <c r="P691" s="238">
        <f ca="1">ROUND(+IF(ISERROR(OFFSET(Tabella!$G$1,MATCH(H691,Tabella!$G:$G,0)-1,MATCH(I691,Tabella!$G$1:$FG$1,0)-1)=TRUE),0,OFFSET(Tabella!$G$1,MATCH(H691,Tabella!$G:$G,0)-1,MATCH(I691,Tabella!$G$1:$AB$1,0)-1)),4)</f>
        <v>0</v>
      </c>
      <c r="Q691" s="238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238">
        <f ca="1">ROUND(IF(ISERROR(OFFSET(Rame!$F$1,MATCH(H691,Rame!$F:$F,0)-1,MATCH(I691,Rame!$F$1:$FF$1,0)-1)=TRUE),0,OFFSET(Rame!$F$1,MATCH(H691,Rame!$F:$F,0)-1,MATCH(I691,Rame!$F$1:$FF$1,0)-1))*IF(E691="Rame",1,0),4)</f>
        <v>0</v>
      </c>
      <c r="S691" s="238">
        <f ca="1">ROUND(IF(ISERROR(OFFSET(Bronzo!$A$1,MATCH(H691,Bronzo!$A:$A,0)-1,MATCH(I691,Bronzo!$A$1:$AA$1,0)-1)=TRUE),0,OFFSET(Bronzo!$A$1,MATCH(H691,Bronzo!$A:$A,0)-1,MATCH(I691,Bronzo!$A$1:$AA$1,0)-1)),4)</f>
        <v>0</v>
      </c>
      <c r="T691" s="238">
        <f t="shared" ca="1" si="309"/>
        <v>0</v>
      </c>
      <c r="U691" s="237"/>
      <c r="V691" s="238">
        <v>0</v>
      </c>
      <c r="W691" s="239">
        <f t="shared" ca="1" si="310"/>
        <v>0</v>
      </c>
      <c r="X691" s="240">
        <f t="shared" si="307"/>
        <v>0</v>
      </c>
      <c r="Y691" s="236"/>
      <c r="Z691" s="236">
        <f t="shared" ca="1" si="311"/>
        <v>0</v>
      </c>
      <c r="AA691" s="241"/>
      <c r="AF691" s="225">
        <f t="shared" ca="1" si="306"/>
        <v>46236</v>
      </c>
      <c r="AG691" s="225" t="b">
        <f t="shared" si="308"/>
        <v>1</v>
      </c>
      <c r="AH691" s="242"/>
      <c r="AS691" s="223">
        <f t="shared" si="304"/>
        <v>0</v>
      </c>
      <c r="AT691" s="223">
        <f t="shared" si="305"/>
        <v>0</v>
      </c>
    </row>
    <row r="692" spans="2:46" ht="15.75" x14ac:dyDescent="0.25">
      <c r="B692" s="229"/>
      <c r="C692" s="235"/>
      <c r="D692" s="243"/>
      <c r="E692" s="232"/>
      <c r="F692" s="233"/>
      <c r="G692" s="234"/>
      <c r="H692" s="235"/>
      <c r="I692" s="235"/>
      <c r="J692" s="236"/>
      <c r="K692" s="237">
        <f ca="1">ROUND(IF(ISERROR(OFFSET(Tabella!$A$1,MATCH(H692,Tabella!$A:$A,0)-1,MATCH(J692,Tabella!$A$1:$AC$1,0)-1)=TRUE),0,+OFFSET(Tabella!$A$1,MATCH(H692,Tabella!$A:$A,0)-1,MATCH(J692,Tabella!$A$1:$AC$1,0)-1)),4)</f>
        <v>0</v>
      </c>
      <c r="L692" s="238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238">
        <f ca="1">ROUND(IF(ISERROR(OFFSET(Rame!$A$1,MATCH(H692,Rame!$A:$A,0)-1,MATCH(J692,Rame!$A$1:$AA$1,0)-1)=TRUE),0,OFFSET(Rame!$A$1,MATCH(H692,Rame!$A:$A,0)-1,MATCH(J692,Rame!$A$1:$AA$1,0)-1))*IF(E692="Rame",1,0),4)</f>
        <v>0</v>
      </c>
      <c r="N692" s="238">
        <v>0</v>
      </c>
      <c r="O692" s="238">
        <f t="shared" ca="1" si="312"/>
        <v>0</v>
      </c>
      <c r="P692" s="238">
        <f ca="1">ROUND(+IF(ISERROR(OFFSET(Tabella!$G$1,MATCH(H692,Tabella!$G:$G,0)-1,MATCH(I692,Tabella!$G$1:$FG$1,0)-1)=TRUE),0,OFFSET(Tabella!$G$1,MATCH(H692,Tabella!$G:$G,0)-1,MATCH(I692,Tabella!$G$1:$AB$1,0)-1)),4)</f>
        <v>0</v>
      </c>
      <c r="Q692" s="238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238">
        <f ca="1">ROUND(IF(ISERROR(OFFSET(Rame!$F$1,MATCH(H692,Rame!$F:$F,0)-1,MATCH(I692,Rame!$F$1:$FF$1,0)-1)=TRUE),0,OFFSET(Rame!$F$1,MATCH(H692,Rame!$F:$F,0)-1,MATCH(I692,Rame!$F$1:$FF$1,0)-1))*IF(E692="Rame",1,0),4)</f>
        <v>0</v>
      </c>
      <c r="S692" s="238">
        <f ca="1">ROUND(IF(ISERROR(OFFSET(Bronzo!$A$1,MATCH(H692,Bronzo!$A:$A,0)-1,MATCH(I692,Bronzo!$A$1:$AA$1,0)-1)=TRUE),0,OFFSET(Bronzo!$A$1,MATCH(H692,Bronzo!$A:$A,0)-1,MATCH(I692,Bronzo!$A$1:$AA$1,0)-1)),4)</f>
        <v>0</v>
      </c>
      <c r="T692" s="238">
        <f t="shared" ca="1" si="309"/>
        <v>0</v>
      </c>
      <c r="U692" s="237"/>
      <c r="V692" s="238">
        <v>0</v>
      </c>
      <c r="W692" s="239">
        <f t="shared" ca="1" si="310"/>
        <v>0</v>
      </c>
      <c r="X692" s="240">
        <f t="shared" si="307"/>
        <v>0</v>
      </c>
      <c r="Y692" s="236"/>
      <c r="Z692" s="236">
        <f t="shared" ca="1" si="311"/>
        <v>0</v>
      </c>
      <c r="AA692" s="241"/>
      <c r="AF692" s="225">
        <f t="shared" ca="1" si="306"/>
        <v>46236</v>
      </c>
      <c r="AG692" s="225" t="b">
        <f t="shared" si="308"/>
        <v>1</v>
      </c>
      <c r="AH692" s="242"/>
      <c r="AS692" s="223">
        <f t="shared" si="304"/>
        <v>0</v>
      </c>
      <c r="AT692" s="223">
        <f t="shared" si="305"/>
        <v>0</v>
      </c>
    </row>
    <row r="693" spans="2:46" ht="15.75" x14ac:dyDescent="0.25">
      <c r="B693" s="229"/>
      <c r="C693" s="235"/>
      <c r="D693" s="243"/>
      <c r="E693" s="232"/>
      <c r="F693" s="233"/>
      <c r="G693" s="234"/>
      <c r="H693" s="235"/>
      <c r="I693" s="235"/>
      <c r="J693" s="236"/>
      <c r="K693" s="237">
        <f ca="1">ROUND(IF(ISERROR(OFFSET(Tabella!$A$1,MATCH(H693,Tabella!$A:$A,0)-1,MATCH(J693,Tabella!$A$1:$AC$1,0)-1)=TRUE),0,+OFFSET(Tabella!$A$1,MATCH(H693,Tabella!$A:$A,0)-1,MATCH(J693,Tabella!$A$1:$AC$1,0)-1)),4)</f>
        <v>0</v>
      </c>
      <c r="L693" s="238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238">
        <f ca="1">ROUND(IF(ISERROR(OFFSET(Rame!$A$1,MATCH(H693,Rame!$A:$A,0)-1,MATCH(J693,Rame!$A$1:$AA$1,0)-1)=TRUE),0,OFFSET(Rame!$A$1,MATCH(H693,Rame!$A:$A,0)-1,MATCH(J693,Rame!$A$1:$AA$1,0)-1))*IF(E693="Rame",1,0),4)</f>
        <v>0</v>
      </c>
      <c r="N693" s="238">
        <v>0</v>
      </c>
      <c r="O693" s="238">
        <f t="shared" ca="1" si="312"/>
        <v>0</v>
      </c>
      <c r="P693" s="238">
        <f ca="1">ROUND(+IF(ISERROR(OFFSET(Tabella!$G$1,MATCH(H693,Tabella!$G:$G,0)-1,MATCH(I693,Tabella!$G$1:$FG$1,0)-1)=TRUE),0,OFFSET(Tabella!$G$1,MATCH(H693,Tabella!$G:$G,0)-1,MATCH(I693,Tabella!$G$1:$AB$1,0)-1)),4)</f>
        <v>0</v>
      </c>
      <c r="Q693" s="238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238">
        <f ca="1">ROUND(IF(ISERROR(OFFSET(Rame!$F$1,MATCH(H693,Rame!$F:$F,0)-1,MATCH(I693,Rame!$F$1:$FF$1,0)-1)=TRUE),0,OFFSET(Rame!$F$1,MATCH(H693,Rame!$F:$F,0)-1,MATCH(I693,Rame!$F$1:$FF$1,0)-1))*IF(E693="Rame",1,0),4)</f>
        <v>0</v>
      </c>
      <c r="S693" s="238">
        <f ca="1">ROUND(IF(ISERROR(OFFSET(Bronzo!$A$1,MATCH(H693,Bronzo!$A:$A,0)-1,MATCH(I693,Bronzo!$A$1:$AA$1,0)-1)=TRUE),0,OFFSET(Bronzo!$A$1,MATCH(H693,Bronzo!$A:$A,0)-1,MATCH(I693,Bronzo!$A$1:$AA$1,0)-1)),4)</f>
        <v>0</v>
      </c>
      <c r="T693" s="238">
        <f t="shared" ca="1" si="309"/>
        <v>0</v>
      </c>
      <c r="U693" s="237"/>
      <c r="V693" s="238">
        <v>0</v>
      </c>
      <c r="W693" s="239">
        <f t="shared" ca="1" si="310"/>
        <v>0</v>
      </c>
      <c r="X693" s="240">
        <f t="shared" si="307"/>
        <v>0</v>
      </c>
      <c r="Y693" s="236"/>
      <c r="Z693" s="236">
        <f t="shared" ca="1" si="311"/>
        <v>0</v>
      </c>
      <c r="AA693" s="241"/>
      <c r="AF693" s="225">
        <f t="shared" ca="1" si="306"/>
        <v>46236</v>
      </c>
      <c r="AG693" s="225" t="b">
        <f t="shared" si="308"/>
        <v>1</v>
      </c>
      <c r="AH693" s="242"/>
      <c r="AS693" s="223">
        <f t="shared" si="304"/>
        <v>0</v>
      </c>
      <c r="AT693" s="223">
        <f t="shared" si="305"/>
        <v>0</v>
      </c>
    </row>
    <row r="694" spans="2:46" ht="15.75" x14ac:dyDescent="0.25">
      <c r="B694" s="229"/>
      <c r="C694" s="235"/>
      <c r="D694" s="243"/>
      <c r="E694" s="232"/>
      <c r="F694" s="233"/>
      <c r="G694" s="234"/>
      <c r="H694" s="235"/>
      <c r="I694" s="235"/>
      <c r="J694" s="236"/>
      <c r="K694" s="237">
        <f ca="1">ROUND(IF(ISERROR(OFFSET(Tabella!$A$1,MATCH(H694,Tabella!$A:$A,0)-1,MATCH(J694,Tabella!$A$1:$AC$1,0)-1)=TRUE),0,+OFFSET(Tabella!$A$1,MATCH(H694,Tabella!$A:$A,0)-1,MATCH(J694,Tabella!$A$1:$AC$1,0)-1)),4)</f>
        <v>0</v>
      </c>
      <c r="L694" s="238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238">
        <f ca="1">ROUND(IF(ISERROR(OFFSET(Rame!$A$1,MATCH(H694,Rame!$A:$A,0)-1,MATCH(J694,Rame!$A$1:$AA$1,0)-1)=TRUE),0,OFFSET(Rame!$A$1,MATCH(H694,Rame!$A:$A,0)-1,MATCH(J694,Rame!$A$1:$AA$1,0)-1))*IF(E694="Rame",1,0),4)</f>
        <v>0</v>
      </c>
      <c r="N694" s="238">
        <v>0</v>
      </c>
      <c r="O694" s="238">
        <f t="shared" ca="1" si="312"/>
        <v>0</v>
      </c>
      <c r="P694" s="238">
        <f ca="1">ROUND(+IF(ISERROR(OFFSET(Tabella!$G$1,MATCH(H694,Tabella!$G:$G,0)-1,MATCH(I694,Tabella!$G$1:$FG$1,0)-1)=TRUE),0,OFFSET(Tabella!$G$1,MATCH(H694,Tabella!$G:$G,0)-1,MATCH(I694,Tabella!$G$1:$AB$1,0)-1)),4)</f>
        <v>0</v>
      </c>
      <c r="Q694" s="238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238">
        <f ca="1">ROUND(IF(ISERROR(OFFSET(Rame!$F$1,MATCH(H694,Rame!$F:$F,0)-1,MATCH(I694,Rame!$F$1:$FF$1,0)-1)=TRUE),0,OFFSET(Rame!$F$1,MATCH(H694,Rame!$F:$F,0)-1,MATCH(I694,Rame!$F$1:$FF$1,0)-1))*IF(E694="Rame",1,0),4)</f>
        <v>0</v>
      </c>
      <c r="S694" s="238">
        <f ca="1">ROUND(IF(ISERROR(OFFSET(Bronzo!$A$1,MATCH(H694,Bronzo!$A:$A,0)-1,MATCH(I694,Bronzo!$A$1:$AA$1,0)-1)=TRUE),0,OFFSET(Bronzo!$A$1,MATCH(H694,Bronzo!$A:$A,0)-1,MATCH(I694,Bronzo!$A$1:$AA$1,0)-1)),4)</f>
        <v>0</v>
      </c>
      <c r="T694" s="238">
        <f t="shared" ca="1" si="309"/>
        <v>0</v>
      </c>
      <c r="U694" s="237"/>
      <c r="V694" s="238">
        <v>0</v>
      </c>
      <c r="W694" s="239">
        <f t="shared" ca="1" si="310"/>
        <v>0</v>
      </c>
      <c r="X694" s="240">
        <f t="shared" si="307"/>
        <v>0</v>
      </c>
      <c r="Y694" s="236"/>
      <c r="Z694" s="236">
        <f t="shared" ca="1" si="311"/>
        <v>0</v>
      </c>
      <c r="AA694" s="241"/>
      <c r="AF694" s="225">
        <f t="shared" ca="1" si="306"/>
        <v>46236</v>
      </c>
      <c r="AG694" s="225" t="b">
        <f t="shared" si="308"/>
        <v>1</v>
      </c>
      <c r="AH694" s="242"/>
      <c r="AS694" s="223">
        <f t="shared" si="304"/>
        <v>0</v>
      </c>
      <c r="AT694" s="223">
        <f t="shared" si="305"/>
        <v>0</v>
      </c>
    </row>
    <row r="695" spans="2:46" ht="15.75" x14ac:dyDescent="0.25">
      <c r="B695" s="229"/>
      <c r="C695" s="235"/>
      <c r="D695" s="243"/>
      <c r="E695" s="232"/>
      <c r="F695" s="233"/>
      <c r="G695" s="234"/>
      <c r="H695" s="235"/>
      <c r="I695" s="235"/>
      <c r="J695" s="236"/>
      <c r="K695" s="237">
        <f ca="1">ROUND(IF(ISERROR(OFFSET(Tabella!$A$1,MATCH(H695,Tabella!$A:$A,0)-1,MATCH(J695,Tabella!$A$1:$AC$1,0)-1)=TRUE),0,+OFFSET(Tabella!$A$1,MATCH(H695,Tabella!$A:$A,0)-1,MATCH(J695,Tabella!$A$1:$AC$1,0)-1)),4)</f>
        <v>0</v>
      </c>
      <c r="L695" s="238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238">
        <f ca="1">ROUND(IF(ISERROR(OFFSET(Rame!$A$1,MATCH(H695,Rame!$A:$A,0)-1,MATCH(J695,Rame!$A$1:$AA$1,0)-1)=TRUE),0,OFFSET(Rame!$A$1,MATCH(H695,Rame!$A:$A,0)-1,MATCH(J695,Rame!$A$1:$AA$1,0)-1))*IF(E695="Rame",1,0),4)</f>
        <v>0</v>
      </c>
      <c r="N695" s="238">
        <v>0</v>
      </c>
      <c r="O695" s="238">
        <f t="shared" ca="1" si="312"/>
        <v>0</v>
      </c>
      <c r="P695" s="238">
        <f ca="1">ROUND(+IF(ISERROR(OFFSET(Tabella!$G$1,MATCH(H695,Tabella!$G:$G,0)-1,MATCH(I695,Tabella!$G$1:$FG$1,0)-1)=TRUE),0,OFFSET(Tabella!$G$1,MATCH(H695,Tabella!$G:$G,0)-1,MATCH(I695,Tabella!$G$1:$AB$1,0)-1)),4)</f>
        <v>0</v>
      </c>
      <c r="Q695" s="238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238">
        <f ca="1">ROUND(IF(ISERROR(OFFSET(Rame!$F$1,MATCH(H695,Rame!$F:$F,0)-1,MATCH(I695,Rame!$F$1:$FF$1,0)-1)=TRUE),0,OFFSET(Rame!$F$1,MATCH(H695,Rame!$F:$F,0)-1,MATCH(I695,Rame!$F$1:$FF$1,0)-1))*IF(E695="Rame",1,0),4)</f>
        <v>0</v>
      </c>
      <c r="S695" s="238">
        <f ca="1">ROUND(IF(ISERROR(OFFSET(Bronzo!$A$1,MATCH(H695,Bronzo!$A:$A,0)-1,MATCH(I695,Bronzo!$A$1:$AA$1,0)-1)=TRUE),0,OFFSET(Bronzo!$A$1,MATCH(H695,Bronzo!$A:$A,0)-1,MATCH(I695,Bronzo!$A$1:$AA$1,0)-1)),4)</f>
        <v>0</v>
      </c>
      <c r="T695" s="238">
        <f t="shared" ca="1" si="309"/>
        <v>0</v>
      </c>
      <c r="U695" s="237"/>
      <c r="V695" s="238">
        <v>0</v>
      </c>
      <c r="W695" s="239">
        <f t="shared" ca="1" si="310"/>
        <v>0</v>
      </c>
      <c r="X695" s="240">
        <f t="shared" si="307"/>
        <v>0</v>
      </c>
      <c r="Y695" s="236"/>
      <c r="Z695" s="236">
        <f t="shared" ca="1" si="311"/>
        <v>0</v>
      </c>
      <c r="AA695" s="241"/>
      <c r="AF695" s="225">
        <f t="shared" ca="1" si="306"/>
        <v>46236</v>
      </c>
      <c r="AG695" s="225" t="b">
        <f t="shared" si="308"/>
        <v>1</v>
      </c>
      <c r="AH695" s="242"/>
      <c r="AS695" s="223">
        <f t="shared" si="304"/>
        <v>0</v>
      </c>
      <c r="AT695" s="223">
        <f t="shared" si="305"/>
        <v>0</v>
      </c>
    </row>
    <row r="696" spans="2:46" ht="15.75" x14ac:dyDescent="0.25">
      <c r="B696" s="229"/>
      <c r="C696" s="235"/>
      <c r="D696" s="243"/>
      <c r="E696" s="232"/>
      <c r="F696" s="233"/>
      <c r="G696" s="234"/>
      <c r="H696" s="235"/>
      <c r="I696" s="235"/>
      <c r="J696" s="236"/>
      <c r="K696" s="237">
        <f ca="1">ROUND(IF(ISERROR(OFFSET(Tabella!$A$1,MATCH(H696,Tabella!$A:$A,0)-1,MATCH(J696,Tabella!$A$1:$AC$1,0)-1)=TRUE),0,+OFFSET(Tabella!$A$1,MATCH(H696,Tabella!$A:$A,0)-1,MATCH(J696,Tabella!$A$1:$AC$1,0)-1)),4)</f>
        <v>0</v>
      </c>
      <c r="L696" s="238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238">
        <f ca="1">ROUND(IF(ISERROR(OFFSET(Rame!$A$1,MATCH(H696,Rame!$A:$A,0)-1,MATCH(J696,Rame!$A$1:$AA$1,0)-1)=TRUE),0,OFFSET(Rame!$A$1,MATCH(H696,Rame!$A:$A,0)-1,MATCH(J696,Rame!$A$1:$AA$1,0)-1))*IF(E696="Rame",1,0),4)</f>
        <v>0</v>
      </c>
      <c r="N696" s="238">
        <v>0</v>
      </c>
      <c r="O696" s="238">
        <f t="shared" ca="1" si="312"/>
        <v>0</v>
      </c>
      <c r="P696" s="238">
        <f ca="1">ROUND(+IF(ISERROR(OFFSET(Tabella!$G$1,MATCH(H696,Tabella!$G:$G,0)-1,MATCH(I696,Tabella!$G$1:$FG$1,0)-1)=TRUE),0,OFFSET(Tabella!$G$1,MATCH(H696,Tabella!$G:$G,0)-1,MATCH(I696,Tabella!$G$1:$AB$1,0)-1)),4)</f>
        <v>0</v>
      </c>
      <c r="Q696" s="238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238">
        <f ca="1">ROUND(IF(ISERROR(OFFSET(Rame!$F$1,MATCH(H696,Rame!$F:$F,0)-1,MATCH(I696,Rame!$F$1:$FF$1,0)-1)=TRUE),0,OFFSET(Rame!$F$1,MATCH(H696,Rame!$F:$F,0)-1,MATCH(I696,Rame!$F$1:$FF$1,0)-1))*IF(E696="Rame",1,0),4)</f>
        <v>0</v>
      </c>
      <c r="S696" s="238">
        <f ca="1">ROUND(IF(ISERROR(OFFSET(Bronzo!$A$1,MATCH(H696,Bronzo!$A:$A,0)-1,MATCH(I696,Bronzo!$A$1:$AA$1,0)-1)=TRUE),0,OFFSET(Bronzo!$A$1,MATCH(H696,Bronzo!$A:$A,0)-1,MATCH(I696,Bronzo!$A$1:$AA$1,0)-1)),4)</f>
        <v>0</v>
      </c>
      <c r="T696" s="238">
        <f t="shared" ca="1" si="309"/>
        <v>0</v>
      </c>
      <c r="U696" s="237"/>
      <c r="V696" s="238">
        <v>0</v>
      </c>
      <c r="W696" s="239">
        <f t="shared" ca="1" si="310"/>
        <v>0</v>
      </c>
      <c r="X696" s="240">
        <f t="shared" si="307"/>
        <v>0</v>
      </c>
      <c r="Y696" s="236"/>
      <c r="Z696" s="236">
        <f t="shared" ca="1" si="311"/>
        <v>0</v>
      </c>
      <c r="AA696" s="241"/>
      <c r="AF696" s="225">
        <f t="shared" ca="1" si="306"/>
        <v>46236</v>
      </c>
      <c r="AG696" s="225" t="b">
        <f t="shared" si="308"/>
        <v>1</v>
      </c>
      <c r="AH696" s="242"/>
      <c r="AS696" s="223">
        <f t="shared" si="304"/>
        <v>0</v>
      </c>
      <c r="AT696" s="223">
        <f t="shared" si="305"/>
        <v>0</v>
      </c>
    </row>
    <row r="697" spans="2:46" ht="15.75" x14ac:dyDescent="0.25">
      <c r="B697" s="229"/>
      <c r="C697" s="235"/>
      <c r="D697" s="243"/>
      <c r="E697" s="232"/>
      <c r="F697" s="233"/>
      <c r="G697" s="234"/>
      <c r="H697" s="235"/>
      <c r="I697" s="235"/>
      <c r="J697" s="236"/>
      <c r="K697" s="237">
        <f ca="1">ROUND(IF(ISERROR(OFFSET(Tabella!$A$1,MATCH(H697,Tabella!$A:$A,0)-1,MATCH(J697,Tabella!$A$1:$AC$1,0)-1)=TRUE),0,+OFFSET(Tabella!$A$1,MATCH(H697,Tabella!$A:$A,0)-1,MATCH(J697,Tabella!$A$1:$AC$1,0)-1)),4)</f>
        <v>0</v>
      </c>
      <c r="L697" s="238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238">
        <f ca="1">ROUND(IF(ISERROR(OFFSET(Rame!$A$1,MATCH(H697,Rame!$A:$A,0)-1,MATCH(J697,Rame!$A$1:$AA$1,0)-1)=TRUE),0,OFFSET(Rame!$A$1,MATCH(H697,Rame!$A:$A,0)-1,MATCH(J697,Rame!$A$1:$AA$1,0)-1))*IF(E697="Rame",1,0),4)</f>
        <v>0</v>
      </c>
      <c r="N697" s="238">
        <v>0</v>
      </c>
      <c r="O697" s="238">
        <f t="shared" ca="1" si="312"/>
        <v>0</v>
      </c>
      <c r="P697" s="238">
        <f ca="1">ROUND(+IF(ISERROR(OFFSET(Tabella!$G$1,MATCH(H697,Tabella!$G:$G,0)-1,MATCH(I697,Tabella!$G$1:$FG$1,0)-1)=TRUE),0,OFFSET(Tabella!$G$1,MATCH(H697,Tabella!$G:$G,0)-1,MATCH(I697,Tabella!$G$1:$AB$1,0)-1)),4)</f>
        <v>0</v>
      </c>
      <c r="Q697" s="238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238">
        <f ca="1">ROUND(IF(ISERROR(OFFSET(Rame!$F$1,MATCH(H697,Rame!$F:$F,0)-1,MATCH(I697,Rame!$F$1:$FF$1,0)-1)=TRUE),0,OFFSET(Rame!$F$1,MATCH(H697,Rame!$F:$F,0)-1,MATCH(I697,Rame!$F$1:$FF$1,0)-1))*IF(E697="Rame",1,0),4)</f>
        <v>0</v>
      </c>
      <c r="S697" s="238">
        <f ca="1">ROUND(IF(ISERROR(OFFSET(Bronzo!$A$1,MATCH(H697,Bronzo!$A:$A,0)-1,MATCH(I697,Bronzo!$A$1:$AA$1,0)-1)=TRUE),0,OFFSET(Bronzo!$A$1,MATCH(H697,Bronzo!$A:$A,0)-1,MATCH(I697,Bronzo!$A$1:$AA$1,0)-1)),4)</f>
        <v>0</v>
      </c>
      <c r="T697" s="238">
        <f t="shared" ca="1" si="309"/>
        <v>0</v>
      </c>
      <c r="U697" s="237"/>
      <c r="V697" s="238">
        <v>0</v>
      </c>
      <c r="W697" s="239">
        <f t="shared" ca="1" si="310"/>
        <v>0</v>
      </c>
      <c r="X697" s="240">
        <f t="shared" si="307"/>
        <v>0</v>
      </c>
      <c r="Y697" s="236"/>
      <c r="Z697" s="236">
        <f t="shared" ca="1" si="311"/>
        <v>0</v>
      </c>
      <c r="AA697" s="241"/>
      <c r="AF697" s="225">
        <f t="shared" ca="1" si="306"/>
        <v>46236</v>
      </c>
      <c r="AG697" s="225" t="b">
        <f t="shared" si="308"/>
        <v>1</v>
      </c>
      <c r="AH697" s="242"/>
      <c r="AS697" s="223">
        <f t="shared" si="304"/>
        <v>0</v>
      </c>
      <c r="AT697" s="223">
        <f t="shared" si="305"/>
        <v>0</v>
      </c>
    </row>
    <row r="698" spans="2:46" ht="15.75" x14ac:dyDescent="0.25">
      <c r="B698" s="229"/>
      <c r="C698" s="235"/>
      <c r="D698" s="243"/>
      <c r="E698" s="232"/>
      <c r="F698" s="233"/>
      <c r="G698" s="234"/>
      <c r="H698" s="235"/>
      <c r="I698" s="235"/>
      <c r="J698" s="236"/>
      <c r="K698" s="237">
        <f ca="1">ROUND(IF(ISERROR(OFFSET(Tabella!$A$1,MATCH(H698,Tabella!$A:$A,0)-1,MATCH(J698,Tabella!$A$1:$AC$1,0)-1)=TRUE),0,+OFFSET(Tabella!$A$1,MATCH(H698,Tabella!$A:$A,0)-1,MATCH(J698,Tabella!$A$1:$AC$1,0)-1)),4)</f>
        <v>0</v>
      </c>
      <c r="L698" s="238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238">
        <f ca="1">ROUND(IF(ISERROR(OFFSET(Rame!$A$1,MATCH(H698,Rame!$A:$A,0)-1,MATCH(J698,Rame!$A$1:$AA$1,0)-1)=TRUE),0,OFFSET(Rame!$A$1,MATCH(H698,Rame!$A:$A,0)-1,MATCH(J698,Rame!$A$1:$AA$1,0)-1))*IF(E698="Rame",1,0),4)</f>
        <v>0</v>
      </c>
      <c r="N698" s="238">
        <v>0</v>
      </c>
      <c r="O698" s="238">
        <f t="shared" ca="1" si="312"/>
        <v>0</v>
      </c>
      <c r="P698" s="238">
        <f ca="1">ROUND(+IF(ISERROR(OFFSET(Tabella!$G$1,MATCH(H698,Tabella!$G:$G,0)-1,MATCH(I698,Tabella!$G$1:$FG$1,0)-1)=TRUE),0,OFFSET(Tabella!$G$1,MATCH(H698,Tabella!$G:$G,0)-1,MATCH(I698,Tabella!$G$1:$AB$1,0)-1)),4)</f>
        <v>0</v>
      </c>
      <c r="Q698" s="238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238">
        <f ca="1">ROUND(IF(ISERROR(OFFSET(Rame!$F$1,MATCH(H698,Rame!$F:$F,0)-1,MATCH(I698,Rame!$F$1:$FF$1,0)-1)=TRUE),0,OFFSET(Rame!$F$1,MATCH(H698,Rame!$F:$F,0)-1,MATCH(I698,Rame!$F$1:$FF$1,0)-1))*IF(E698="Rame",1,0),4)</f>
        <v>0</v>
      </c>
      <c r="S698" s="238">
        <f ca="1">ROUND(IF(ISERROR(OFFSET(Bronzo!$A$1,MATCH(H698,Bronzo!$A:$A,0)-1,MATCH(I698,Bronzo!$A$1:$AA$1,0)-1)=TRUE),0,OFFSET(Bronzo!$A$1,MATCH(H698,Bronzo!$A:$A,0)-1,MATCH(I698,Bronzo!$A$1:$AA$1,0)-1)),4)</f>
        <v>0</v>
      </c>
      <c r="T698" s="238">
        <f t="shared" ca="1" si="309"/>
        <v>0</v>
      </c>
      <c r="U698" s="237"/>
      <c r="V698" s="238">
        <v>0</v>
      </c>
      <c r="W698" s="239">
        <f t="shared" ca="1" si="310"/>
        <v>0</v>
      </c>
      <c r="X698" s="240">
        <f t="shared" si="307"/>
        <v>0</v>
      </c>
      <c r="Y698" s="236"/>
      <c r="Z698" s="236">
        <f t="shared" ca="1" si="311"/>
        <v>0</v>
      </c>
      <c r="AA698" s="241"/>
      <c r="AF698" s="225">
        <f t="shared" ca="1" si="306"/>
        <v>46236</v>
      </c>
      <c r="AG698" s="225" t="b">
        <f t="shared" si="308"/>
        <v>1</v>
      </c>
      <c r="AH698" s="242"/>
      <c r="AS698" s="223">
        <f t="shared" ref="AS698:AS734" si="313">IF(AA698="",0,MONTH(AA698))</f>
        <v>0</v>
      </c>
      <c r="AT698" s="223">
        <f t="shared" ref="AT698:AT734" si="314">IF(AA698="",0,YEAR(AA698))</f>
        <v>0</v>
      </c>
    </row>
    <row r="699" spans="2:46" ht="15.75" x14ac:dyDescent="0.25">
      <c r="B699" s="229"/>
      <c r="C699" s="235"/>
      <c r="D699" s="243"/>
      <c r="E699" s="232"/>
      <c r="F699" s="233"/>
      <c r="G699" s="234"/>
      <c r="H699" s="235"/>
      <c r="I699" s="235"/>
      <c r="J699" s="236"/>
      <c r="K699" s="237">
        <f ca="1">ROUND(IF(ISERROR(OFFSET(Tabella!$A$1,MATCH(H699,Tabella!$A:$A,0)-1,MATCH(J699,Tabella!$A$1:$AC$1,0)-1)=TRUE),0,+OFFSET(Tabella!$A$1,MATCH(H699,Tabella!$A:$A,0)-1,MATCH(J699,Tabella!$A$1:$AC$1,0)-1)),4)</f>
        <v>0</v>
      </c>
      <c r="L699" s="238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238">
        <f ca="1">ROUND(IF(ISERROR(OFFSET(Rame!$A$1,MATCH(H699,Rame!$A:$A,0)-1,MATCH(J699,Rame!$A$1:$AA$1,0)-1)=TRUE),0,OFFSET(Rame!$A$1,MATCH(H699,Rame!$A:$A,0)-1,MATCH(J699,Rame!$A$1:$AA$1,0)-1))*IF(E699="Rame",1,0),4)</f>
        <v>0</v>
      </c>
      <c r="N699" s="238">
        <v>0</v>
      </c>
      <c r="O699" s="238">
        <f t="shared" ca="1" si="312"/>
        <v>0</v>
      </c>
      <c r="P699" s="238">
        <f ca="1">ROUND(+IF(ISERROR(OFFSET(Tabella!$G$1,MATCH(H699,Tabella!$G:$G,0)-1,MATCH(I699,Tabella!$G$1:$FG$1,0)-1)=TRUE),0,OFFSET(Tabella!$G$1,MATCH(H699,Tabella!$G:$G,0)-1,MATCH(I699,Tabella!$G$1:$AB$1,0)-1)),4)</f>
        <v>0</v>
      </c>
      <c r="Q699" s="238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238">
        <f ca="1">ROUND(IF(ISERROR(OFFSET(Rame!$F$1,MATCH(H699,Rame!$F:$F,0)-1,MATCH(I699,Rame!$F$1:$FF$1,0)-1)=TRUE),0,OFFSET(Rame!$F$1,MATCH(H699,Rame!$F:$F,0)-1,MATCH(I699,Rame!$F$1:$FF$1,0)-1))*IF(E699="Rame",1,0),4)</f>
        <v>0</v>
      </c>
      <c r="S699" s="238">
        <f ca="1">ROUND(IF(ISERROR(OFFSET(Bronzo!$A$1,MATCH(H699,Bronzo!$A:$A,0)-1,MATCH(I699,Bronzo!$A$1:$AA$1,0)-1)=TRUE),0,OFFSET(Bronzo!$A$1,MATCH(H699,Bronzo!$A:$A,0)-1,MATCH(I699,Bronzo!$A$1:$AA$1,0)-1)),4)</f>
        <v>0</v>
      </c>
      <c r="T699" s="238">
        <f t="shared" ca="1" si="309"/>
        <v>0</v>
      </c>
      <c r="U699" s="237"/>
      <c r="V699" s="238">
        <v>0</v>
      </c>
      <c r="W699" s="239">
        <f t="shared" ca="1" si="310"/>
        <v>0</v>
      </c>
      <c r="X699" s="240">
        <f t="shared" si="307"/>
        <v>0</v>
      </c>
      <c r="Y699" s="236"/>
      <c r="Z699" s="236">
        <f t="shared" ca="1" si="311"/>
        <v>0</v>
      </c>
      <c r="AA699" s="241"/>
      <c r="AF699" s="225">
        <f t="shared" ca="1" si="306"/>
        <v>46236</v>
      </c>
      <c r="AG699" s="225" t="b">
        <f t="shared" si="308"/>
        <v>1</v>
      </c>
      <c r="AH699" s="242"/>
      <c r="AS699" s="223">
        <f t="shared" si="313"/>
        <v>0</v>
      </c>
      <c r="AT699" s="223">
        <f t="shared" si="314"/>
        <v>0</v>
      </c>
    </row>
    <row r="700" spans="2:46" ht="15.75" x14ac:dyDescent="0.25">
      <c r="B700" s="229"/>
      <c r="C700" s="235"/>
      <c r="D700" s="243"/>
      <c r="E700" s="232"/>
      <c r="F700" s="233"/>
      <c r="G700" s="234"/>
      <c r="H700" s="235"/>
      <c r="I700" s="235"/>
      <c r="J700" s="236"/>
      <c r="K700" s="237">
        <f ca="1">ROUND(IF(ISERROR(OFFSET(Tabella!$A$1,MATCH(H700,Tabella!$A:$A,0)-1,MATCH(J700,Tabella!$A$1:$AC$1,0)-1)=TRUE),0,+OFFSET(Tabella!$A$1,MATCH(H700,Tabella!$A:$A,0)-1,MATCH(J700,Tabella!$A$1:$AC$1,0)-1)),4)</f>
        <v>0</v>
      </c>
      <c r="L700" s="238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238">
        <f ca="1">ROUND(IF(ISERROR(OFFSET(Rame!$A$1,MATCH(H700,Rame!$A:$A,0)-1,MATCH(J700,Rame!$A$1:$AA$1,0)-1)=TRUE),0,OFFSET(Rame!$A$1,MATCH(H700,Rame!$A:$A,0)-1,MATCH(J700,Rame!$A$1:$AA$1,0)-1))*IF(E700="Rame",1,0),4)</f>
        <v>0</v>
      </c>
      <c r="N700" s="238">
        <v>0</v>
      </c>
      <c r="O700" s="238">
        <f t="shared" ca="1" si="312"/>
        <v>0</v>
      </c>
      <c r="P700" s="238">
        <f ca="1">ROUND(+IF(ISERROR(OFFSET(Tabella!$G$1,MATCH(H700,Tabella!$G:$G,0)-1,MATCH(I700,Tabella!$G$1:$FG$1,0)-1)=TRUE),0,OFFSET(Tabella!$G$1,MATCH(H700,Tabella!$G:$G,0)-1,MATCH(I700,Tabella!$G$1:$AB$1,0)-1)),4)</f>
        <v>0</v>
      </c>
      <c r="Q700" s="238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238">
        <f ca="1">ROUND(IF(ISERROR(OFFSET(Rame!$F$1,MATCH(H700,Rame!$F:$F,0)-1,MATCH(I700,Rame!$F$1:$FF$1,0)-1)=TRUE),0,OFFSET(Rame!$F$1,MATCH(H700,Rame!$F:$F,0)-1,MATCH(I700,Rame!$F$1:$FF$1,0)-1))*IF(E700="Rame",1,0),4)</f>
        <v>0</v>
      </c>
      <c r="S700" s="238">
        <f ca="1">ROUND(IF(ISERROR(OFFSET(Bronzo!$A$1,MATCH(H700,Bronzo!$A:$A,0)-1,MATCH(I700,Bronzo!$A$1:$AA$1,0)-1)=TRUE),0,OFFSET(Bronzo!$A$1,MATCH(H700,Bronzo!$A:$A,0)-1,MATCH(I700,Bronzo!$A$1:$AA$1,0)-1)),4)</f>
        <v>0</v>
      </c>
      <c r="T700" s="238">
        <f t="shared" ca="1" si="309"/>
        <v>0</v>
      </c>
      <c r="U700" s="237"/>
      <c r="V700" s="238">
        <v>0</v>
      </c>
      <c r="W700" s="239">
        <f t="shared" ca="1" si="310"/>
        <v>0</v>
      </c>
      <c r="X700" s="240">
        <f t="shared" si="307"/>
        <v>0</v>
      </c>
      <c r="Y700" s="236"/>
      <c r="Z700" s="236">
        <f t="shared" ca="1" si="311"/>
        <v>0</v>
      </c>
      <c r="AA700" s="241"/>
      <c r="AF700" s="225">
        <f t="shared" ca="1" si="306"/>
        <v>46236</v>
      </c>
      <c r="AG700" s="225" t="b">
        <f t="shared" si="308"/>
        <v>1</v>
      </c>
      <c r="AH700" s="242"/>
      <c r="AS700" s="223">
        <f t="shared" si="313"/>
        <v>0</v>
      </c>
      <c r="AT700" s="223">
        <f t="shared" si="314"/>
        <v>0</v>
      </c>
    </row>
    <row r="701" spans="2:46" ht="15.75" x14ac:dyDescent="0.25">
      <c r="B701" s="229"/>
      <c r="C701" s="235"/>
      <c r="D701" s="243"/>
      <c r="E701" s="232"/>
      <c r="F701" s="233"/>
      <c r="G701" s="234"/>
      <c r="H701" s="235"/>
      <c r="I701" s="235"/>
      <c r="J701" s="236"/>
      <c r="K701" s="237">
        <f ca="1">ROUND(IF(ISERROR(OFFSET(Tabella!$A$1,MATCH(H701,Tabella!$A:$A,0)-1,MATCH(J701,Tabella!$A$1:$AC$1,0)-1)=TRUE),0,+OFFSET(Tabella!$A$1,MATCH(H701,Tabella!$A:$A,0)-1,MATCH(J701,Tabella!$A$1:$AC$1,0)-1)),4)</f>
        <v>0</v>
      </c>
      <c r="L701" s="238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238">
        <f ca="1">ROUND(IF(ISERROR(OFFSET(Rame!$A$1,MATCH(H701,Rame!$A:$A,0)-1,MATCH(J701,Rame!$A$1:$AA$1,0)-1)=TRUE),0,OFFSET(Rame!$A$1,MATCH(H701,Rame!$A:$A,0)-1,MATCH(J701,Rame!$A$1:$AA$1,0)-1))*IF(E701="Rame",1,0),4)</f>
        <v>0</v>
      </c>
      <c r="N701" s="238">
        <v>0</v>
      </c>
      <c r="O701" s="238">
        <f t="shared" ca="1" si="312"/>
        <v>0</v>
      </c>
      <c r="P701" s="238">
        <f ca="1">ROUND(+IF(ISERROR(OFFSET(Tabella!$G$1,MATCH(H701,Tabella!$G:$G,0)-1,MATCH(I701,Tabella!$G$1:$FG$1,0)-1)=TRUE),0,OFFSET(Tabella!$G$1,MATCH(H701,Tabella!$G:$G,0)-1,MATCH(I701,Tabella!$G$1:$AB$1,0)-1)),4)</f>
        <v>0</v>
      </c>
      <c r="Q701" s="238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238">
        <f ca="1">ROUND(IF(ISERROR(OFFSET(Rame!$F$1,MATCH(H701,Rame!$F:$F,0)-1,MATCH(I701,Rame!$F$1:$FF$1,0)-1)=TRUE),0,OFFSET(Rame!$F$1,MATCH(H701,Rame!$F:$F,0)-1,MATCH(I701,Rame!$F$1:$FF$1,0)-1))*IF(E701="Rame",1,0),4)</f>
        <v>0</v>
      </c>
      <c r="S701" s="238">
        <f ca="1">ROUND(IF(ISERROR(OFFSET(Bronzo!$A$1,MATCH(H701,Bronzo!$A:$A,0)-1,MATCH(I701,Bronzo!$A$1:$AA$1,0)-1)=TRUE),0,OFFSET(Bronzo!$A$1,MATCH(H701,Bronzo!$A:$A,0)-1,MATCH(I701,Bronzo!$A$1:$AA$1,0)-1)),4)</f>
        <v>0</v>
      </c>
      <c r="T701" s="238">
        <f t="shared" ca="1" si="309"/>
        <v>0</v>
      </c>
      <c r="U701" s="237"/>
      <c r="V701" s="238">
        <v>0</v>
      </c>
      <c r="W701" s="239">
        <f t="shared" ca="1" si="310"/>
        <v>0</v>
      </c>
      <c r="X701" s="240">
        <f t="shared" si="307"/>
        <v>0</v>
      </c>
      <c r="Y701" s="236"/>
      <c r="Z701" s="236">
        <f t="shared" ca="1" si="311"/>
        <v>0</v>
      </c>
      <c r="AA701" s="241"/>
      <c r="AF701" s="225">
        <f t="shared" ca="1" si="306"/>
        <v>46236</v>
      </c>
      <c r="AG701" s="225" t="b">
        <f t="shared" si="308"/>
        <v>1</v>
      </c>
      <c r="AH701" s="242"/>
      <c r="AS701" s="223">
        <f t="shared" si="313"/>
        <v>0</v>
      </c>
      <c r="AT701" s="223">
        <f t="shared" si="314"/>
        <v>0</v>
      </c>
    </row>
    <row r="702" spans="2:46" ht="15.75" x14ac:dyDescent="0.25">
      <c r="B702" s="229"/>
      <c r="C702" s="235"/>
      <c r="D702" s="243"/>
      <c r="E702" s="232"/>
      <c r="F702" s="233"/>
      <c r="G702" s="234"/>
      <c r="H702" s="235"/>
      <c r="I702" s="235"/>
      <c r="J702" s="236"/>
      <c r="K702" s="237">
        <f ca="1">ROUND(IF(ISERROR(OFFSET(Tabella!$A$1,MATCH(H702,Tabella!$A:$A,0)-1,MATCH(J702,Tabella!$A$1:$AC$1,0)-1)=TRUE),0,+OFFSET(Tabella!$A$1,MATCH(H702,Tabella!$A:$A,0)-1,MATCH(J702,Tabella!$A$1:$AC$1,0)-1)),4)</f>
        <v>0</v>
      </c>
      <c r="L702" s="238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238">
        <f ca="1">ROUND(IF(ISERROR(OFFSET(Rame!$A$1,MATCH(H702,Rame!$A:$A,0)-1,MATCH(J702,Rame!$A$1:$AA$1,0)-1)=TRUE),0,OFFSET(Rame!$A$1,MATCH(H702,Rame!$A:$A,0)-1,MATCH(J702,Rame!$A$1:$AA$1,0)-1))*IF(E702="Rame",1,0),4)</f>
        <v>0</v>
      </c>
      <c r="N702" s="238">
        <v>0</v>
      </c>
      <c r="O702" s="238">
        <f t="shared" ca="1" si="312"/>
        <v>0</v>
      </c>
      <c r="P702" s="238">
        <f ca="1">ROUND(+IF(ISERROR(OFFSET(Tabella!$G$1,MATCH(H702,Tabella!$G:$G,0)-1,MATCH(I702,Tabella!$G$1:$FG$1,0)-1)=TRUE),0,OFFSET(Tabella!$G$1,MATCH(H702,Tabella!$G:$G,0)-1,MATCH(I702,Tabella!$G$1:$AB$1,0)-1)),4)</f>
        <v>0</v>
      </c>
      <c r="Q702" s="238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238">
        <f ca="1">ROUND(IF(ISERROR(OFFSET(Rame!$F$1,MATCH(H702,Rame!$F:$F,0)-1,MATCH(I702,Rame!$F$1:$FF$1,0)-1)=TRUE),0,OFFSET(Rame!$F$1,MATCH(H702,Rame!$F:$F,0)-1,MATCH(I702,Rame!$F$1:$FF$1,0)-1))*IF(E702="Rame",1,0),4)</f>
        <v>0</v>
      </c>
      <c r="S702" s="238">
        <f ca="1">ROUND(IF(ISERROR(OFFSET(Bronzo!$A$1,MATCH(H702,Bronzo!$A:$A,0)-1,MATCH(I702,Bronzo!$A$1:$AA$1,0)-1)=TRUE),0,OFFSET(Bronzo!$A$1,MATCH(H702,Bronzo!$A:$A,0)-1,MATCH(I702,Bronzo!$A$1:$AA$1,0)-1)),4)</f>
        <v>0</v>
      </c>
      <c r="T702" s="238">
        <f t="shared" ca="1" si="309"/>
        <v>0</v>
      </c>
      <c r="U702" s="237"/>
      <c r="V702" s="238">
        <v>0</v>
      </c>
      <c r="W702" s="239">
        <f t="shared" ca="1" si="310"/>
        <v>0</v>
      </c>
      <c r="X702" s="240">
        <f t="shared" si="307"/>
        <v>0</v>
      </c>
      <c r="Y702" s="236"/>
      <c r="Z702" s="236">
        <f t="shared" ca="1" si="311"/>
        <v>0</v>
      </c>
      <c r="AA702" s="241"/>
      <c r="AF702" s="225">
        <f t="shared" ca="1" si="306"/>
        <v>46236</v>
      </c>
      <c r="AG702" s="225" t="b">
        <f t="shared" si="308"/>
        <v>1</v>
      </c>
      <c r="AH702" s="242"/>
      <c r="AS702" s="223">
        <f t="shared" si="313"/>
        <v>0</v>
      </c>
      <c r="AT702" s="223">
        <f t="shared" si="314"/>
        <v>0</v>
      </c>
    </row>
    <row r="703" spans="2:46" ht="15.75" x14ac:dyDescent="0.25">
      <c r="B703" s="229"/>
      <c r="C703" s="235"/>
      <c r="D703" s="243"/>
      <c r="E703" s="232"/>
      <c r="F703" s="233"/>
      <c r="G703" s="234"/>
      <c r="H703" s="235"/>
      <c r="I703" s="235"/>
      <c r="J703" s="236"/>
      <c r="K703" s="237">
        <f ca="1">ROUND(IF(ISERROR(OFFSET(Tabella!$A$1,MATCH(H703,Tabella!$A:$A,0)-1,MATCH(J703,Tabella!$A$1:$AC$1,0)-1)=TRUE),0,+OFFSET(Tabella!$A$1,MATCH(H703,Tabella!$A:$A,0)-1,MATCH(J703,Tabella!$A$1:$AC$1,0)-1)),4)</f>
        <v>0</v>
      </c>
      <c r="L703" s="238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238">
        <f ca="1">ROUND(IF(ISERROR(OFFSET(Rame!$A$1,MATCH(H703,Rame!$A:$A,0)-1,MATCH(J703,Rame!$A$1:$AA$1,0)-1)=TRUE),0,OFFSET(Rame!$A$1,MATCH(H703,Rame!$A:$A,0)-1,MATCH(J703,Rame!$A$1:$AA$1,0)-1))*IF(E703="Rame",1,0),4)</f>
        <v>0</v>
      </c>
      <c r="N703" s="238">
        <v>0</v>
      </c>
      <c r="O703" s="238">
        <f t="shared" ca="1" si="312"/>
        <v>0</v>
      </c>
      <c r="P703" s="238">
        <f ca="1">ROUND(+IF(ISERROR(OFFSET(Tabella!$G$1,MATCH(H703,Tabella!$G:$G,0)-1,MATCH(I703,Tabella!$G$1:$FG$1,0)-1)=TRUE),0,OFFSET(Tabella!$G$1,MATCH(H703,Tabella!$G:$G,0)-1,MATCH(I703,Tabella!$G$1:$AB$1,0)-1)),4)</f>
        <v>0</v>
      </c>
      <c r="Q703" s="238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238">
        <f ca="1">ROUND(IF(ISERROR(OFFSET(Rame!$F$1,MATCH(H703,Rame!$F:$F,0)-1,MATCH(I703,Rame!$F$1:$FF$1,0)-1)=TRUE),0,OFFSET(Rame!$F$1,MATCH(H703,Rame!$F:$F,0)-1,MATCH(I703,Rame!$F$1:$FF$1,0)-1))*IF(E703="Rame",1,0),4)</f>
        <v>0</v>
      </c>
      <c r="S703" s="238">
        <f ca="1">ROUND(IF(ISERROR(OFFSET(Bronzo!$A$1,MATCH(H703,Bronzo!$A:$A,0)-1,MATCH(I703,Bronzo!$A$1:$AA$1,0)-1)=TRUE),0,OFFSET(Bronzo!$A$1,MATCH(H703,Bronzo!$A:$A,0)-1,MATCH(I703,Bronzo!$A$1:$AA$1,0)-1)),4)</f>
        <v>0</v>
      </c>
      <c r="T703" s="238">
        <f t="shared" ca="1" si="309"/>
        <v>0</v>
      </c>
      <c r="U703" s="237"/>
      <c r="V703" s="238">
        <v>0</v>
      </c>
      <c r="W703" s="239">
        <f t="shared" ca="1" si="310"/>
        <v>0</v>
      </c>
      <c r="X703" s="240">
        <f t="shared" si="307"/>
        <v>0</v>
      </c>
      <c r="Y703" s="236"/>
      <c r="Z703" s="236">
        <f t="shared" ca="1" si="311"/>
        <v>0</v>
      </c>
      <c r="AA703" s="241"/>
      <c r="AF703" s="225">
        <f t="shared" ca="1" si="306"/>
        <v>46236</v>
      </c>
      <c r="AG703" s="225" t="b">
        <f t="shared" si="308"/>
        <v>1</v>
      </c>
      <c r="AH703" s="242"/>
      <c r="AS703" s="223">
        <f t="shared" si="313"/>
        <v>0</v>
      </c>
      <c r="AT703" s="223">
        <f t="shared" si="314"/>
        <v>0</v>
      </c>
    </row>
    <row r="704" spans="2:46" ht="15.75" x14ac:dyDescent="0.25">
      <c r="B704" s="229"/>
      <c r="C704" s="235"/>
      <c r="D704" s="243"/>
      <c r="E704" s="232"/>
      <c r="F704" s="233"/>
      <c r="G704" s="234"/>
      <c r="H704" s="235"/>
      <c r="I704" s="235"/>
      <c r="J704" s="236"/>
      <c r="K704" s="237">
        <f ca="1">ROUND(IF(ISERROR(OFFSET(Tabella!$A$1,MATCH(H704,Tabella!$A:$A,0)-1,MATCH(J704,Tabella!$A$1:$AC$1,0)-1)=TRUE),0,+OFFSET(Tabella!$A$1,MATCH(H704,Tabella!$A:$A,0)-1,MATCH(J704,Tabella!$A$1:$AC$1,0)-1)),4)</f>
        <v>0</v>
      </c>
      <c r="L704" s="238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238">
        <f ca="1">ROUND(IF(ISERROR(OFFSET(Rame!$A$1,MATCH(H704,Rame!$A:$A,0)-1,MATCH(J704,Rame!$A$1:$AA$1,0)-1)=TRUE),0,OFFSET(Rame!$A$1,MATCH(H704,Rame!$A:$A,0)-1,MATCH(J704,Rame!$A$1:$AA$1,0)-1))*IF(E704="Rame",1,0),4)</f>
        <v>0</v>
      </c>
      <c r="N704" s="238">
        <v>0</v>
      </c>
      <c r="O704" s="238">
        <f t="shared" ca="1" si="312"/>
        <v>0</v>
      </c>
      <c r="P704" s="238">
        <f ca="1">ROUND(+IF(ISERROR(OFFSET(Tabella!$G$1,MATCH(H704,Tabella!$G:$G,0)-1,MATCH(I704,Tabella!$G$1:$FG$1,0)-1)=TRUE),0,OFFSET(Tabella!$G$1,MATCH(H704,Tabella!$G:$G,0)-1,MATCH(I704,Tabella!$G$1:$AB$1,0)-1)),4)</f>
        <v>0</v>
      </c>
      <c r="Q704" s="238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238">
        <f ca="1">ROUND(IF(ISERROR(OFFSET(Rame!$F$1,MATCH(H704,Rame!$F:$F,0)-1,MATCH(I704,Rame!$F$1:$FF$1,0)-1)=TRUE),0,OFFSET(Rame!$F$1,MATCH(H704,Rame!$F:$F,0)-1,MATCH(I704,Rame!$F$1:$FF$1,0)-1))*IF(E704="Rame",1,0),4)</f>
        <v>0</v>
      </c>
      <c r="S704" s="238">
        <f ca="1">ROUND(IF(ISERROR(OFFSET(Bronzo!$A$1,MATCH(H704,Bronzo!$A:$A,0)-1,MATCH(I704,Bronzo!$A$1:$AA$1,0)-1)=TRUE),0,OFFSET(Bronzo!$A$1,MATCH(H704,Bronzo!$A:$A,0)-1,MATCH(I704,Bronzo!$A$1:$AA$1,0)-1)),4)</f>
        <v>0</v>
      </c>
      <c r="T704" s="238">
        <f t="shared" ca="1" si="309"/>
        <v>0</v>
      </c>
      <c r="U704" s="237"/>
      <c r="V704" s="238">
        <v>0</v>
      </c>
      <c r="W704" s="239">
        <f t="shared" ca="1" si="310"/>
        <v>0</v>
      </c>
      <c r="X704" s="240">
        <f t="shared" si="307"/>
        <v>0</v>
      </c>
      <c r="Y704" s="236"/>
      <c r="Z704" s="236">
        <f t="shared" ca="1" si="311"/>
        <v>0</v>
      </c>
      <c r="AA704" s="241"/>
      <c r="AF704" s="225">
        <f t="shared" ca="1" si="306"/>
        <v>46236</v>
      </c>
      <c r="AG704" s="225" t="b">
        <f t="shared" si="308"/>
        <v>1</v>
      </c>
      <c r="AH704" s="242"/>
      <c r="AS704" s="223">
        <f t="shared" si="313"/>
        <v>0</v>
      </c>
      <c r="AT704" s="223">
        <f t="shared" si="314"/>
        <v>0</v>
      </c>
    </row>
    <row r="705" spans="2:46" ht="15.75" x14ac:dyDescent="0.25">
      <c r="B705" s="229"/>
      <c r="C705" s="235"/>
      <c r="D705" s="243"/>
      <c r="E705" s="232"/>
      <c r="F705" s="233"/>
      <c r="G705" s="234"/>
      <c r="H705" s="235"/>
      <c r="I705" s="235"/>
      <c r="J705" s="236"/>
      <c r="K705" s="237">
        <f ca="1">ROUND(IF(ISERROR(OFFSET(Tabella!$A$1,MATCH(H705,Tabella!$A:$A,0)-1,MATCH(J705,Tabella!$A$1:$AC$1,0)-1)=TRUE),0,+OFFSET(Tabella!$A$1,MATCH(H705,Tabella!$A:$A,0)-1,MATCH(J705,Tabella!$A$1:$AC$1,0)-1)),4)</f>
        <v>0</v>
      </c>
      <c r="L705" s="238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238">
        <f ca="1">ROUND(IF(ISERROR(OFFSET(Rame!$A$1,MATCH(H705,Rame!$A:$A,0)-1,MATCH(J705,Rame!$A$1:$AA$1,0)-1)=TRUE),0,OFFSET(Rame!$A$1,MATCH(H705,Rame!$A:$A,0)-1,MATCH(J705,Rame!$A$1:$AA$1,0)-1))*IF(E705="Rame",1,0),4)</f>
        <v>0</v>
      </c>
      <c r="N705" s="238">
        <v>0</v>
      </c>
      <c r="O705" s="238">
        <f t="shared" ca="1" si="312"/>
        <v>0</v>
      </c>
      <c r="P705" s="238">
        <f ca="1">ROUND(+IF(ISERROR(OFFSET(Tabella!$G$1,MATCH(H705,Tabella!$G:$G,0)-1,MATCH(I705,Tabella!$G$1:$FG$1,0)-1)=TRUE),0,OFFSET(Tabella!$G$1,MATCH(H705,Tabella!$G:$G,0)-1,MATCH(I705,Tabella!$G$1:$AB$1,0)-1)),4)</f>
        <v>0</v>
      </c>
      <c r="Q705" s="238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238">
        <f ca="1">ROUND(IF(ISERROR(OFFSET(Rame!$F$1,MATCH(H705,Rame!$F:$F,0)-1,MATCH(I705,Rame!$F$1:$FF$1,0)-1)=TRUE),0,OFFSET(Rame!$F$1,MATCH(H705,Rame!$F:$F,0)-1,MATCH(I705,Rame!$F$1:$FF$1,0)-1))*IF(E705="Rame",1,0),4)</f>
        <v>0</v>
      </c>
      <c r="S705" s="238">
        <f ca="1">ROUND(IF(ISERROR(OFFSET(Bronzo!$A$1,MATCH(H705,Bronzo!$A:$A,0)-1,MATCH(I705,Bronzo!$A$1:$AA$1,0)-1)=TRUE),0,OFFSET(Bronzo!$A$1,MATCH(H705,Bronzo!$A:$A,0)-1,MATCH(I705,Bronzo!$A$1:$AA$1,0)-1)),4)</f>
        <v>0</v>
      </c>
      <c r="T705" s="238">
        <f t="shared" ca="1" si="309"/>
        <v>0</v>
      </c>
      <c r="U705" s="237"/>
      <c r="V705" s="238">
        <v>0</v>
      </c>
      <c r="W705" s="239">
        <f t="shared" ca="1" si="310"/>
        <v>0</v>
      </c>
      <c r="X705" s="240">
        <f t="shared" si="307"/>
        <v>0</v>
      </c>
      <c r="Y705" s="236"/>
      <c r="Z705" s="236">
        <f t="shared" ca="1" si="311"/>
        <v>0</v>
      </c>
      <c r="AA705" s="241"/>
      <c r="AF705" s="225">
        <f t="shared" ca="1" si="306"/>
        <v>46236</v>
      </c>
      <c r="AG705" s="225" t="b">
        <f t="shared" si="308"/>
        <v>1</v>
      </c>
      <c r="AH705" s="242"/>
      <c r="AS705" s="223">
        <f t="shared" si="313"/>
        <v>0</v>
      </c>
      <c r="AT705" s="223">
        <f t="shared" si="314"/>
        <v>0</v>
      </c>
    </row>
    <row r="706" spans="2:46" ht="15.75" x14ac:dyDescent="0.25">
      <c r="B706" s="229"/>
      <c r="C706" s="235"/>
      <c r="D706" s="243"/>
      <c r="E706" s="232"/>
      <c r="F706" s="233"/>
      <c r="G706" s="234"/>
      <c r="H706" s="235"/>
      <c r="I706" s="235"/>
      <c r="J706" s="236"/>
      <c r="K706" s="237">
        <f ca="1">ROUND(IF(ISERROR(OFFSET(Tabella!$A$1,MATCH(H706,Tabella!$A:$A,0)-1,MATCH(J706,Tabella!$A$1:$AC$1,0)-1)=TRUE),0,+OFFSET(Tabella!$A$1,MATCH(H706,Tabella!$A:$A,0)-1,MATCH(J706,Tabella!$A$1:$AC$1,0)-1)),4)</f>
        <v>0</v>
      </c>
      <c r="L706" s="238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238">
        <f ca="1">ROUND(IF(ISERROR(OFFSET(Rame!$A$1,MATCH(H706,Rame!$A:$A,0)-1,MATCH(J706,Rame!$A$1:$AA$1,0)-1)=TRUE),0,OFFSET(Rame!$A$1,MATCH(H706,Rame!$A:$A,0)-1,MATCH(J706,Rame!$A$1:$AA$1,0)-1))*IF(E706="Rame",1,0),4)</f>
        <v>0</v>
      </c>
      <c r="N706" s="238">
        <v>0</v>
      </c>
      <c r="O706" s="238">
        <f t="shared" ca="1" si="312"/>
        <v>0</v>
      </c>
      <c r="P706" s="238">
        <f ca="1">ROUND(+IF(ISERROR(OFFSET(Tabella!$G$1,MATCH(H706,Tabella!$G:$G,0)-1,MATCH(I706,Tabella!$G$1:$FG$1,0)-1)=TRUE),0,OFFSET(Tabella!$G$1,MATCH(H706,Tabella!$G:$G,0)-1,MATCH(I706,Tabella!$G$1:$AB$1,0)-1)),4)</f>
        <v>0</v>
      </c>
      <c r="Q706" s="238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238">
        <f ca="1">ROUND(IF(ISERROR(OFFSET(Rame!$F$1,MATCH(H706,Rame!$F:$F,0)-1,MATCH(I706,Rame!$F$1:$FF$1,0)-1)=TRUE),0,OFFSET(Rame!$F$1,MATCH(H706,Rame!$F:$F,0)-1,MATCH(I706,Rame!$F$1:$FF$1,0)-1))*IF(E706="Rame",1,0),4)</f>
        <v>0</v>
      </c>
      <c r="S706" s="238">
        <f ca="1">ROUND(IF(ISERROR(OFFSET(Bronzo!$A$1,MATCH(H706,Bronzo!$A:$A,0)-1,MATCH(I706,Bronzo!$A$1:$AA$1,0)-1)=TRUE),0,OFFSET(Bronzo!$A$1,MATCH(H706,Bronzo!$A:$A,0)-1,MATCH(I706,Bronzo!$A$1:$AA$1,0)-1)),4)</f>
        <v>0</v>
      </c>
      <c r="T706" s="238">
        <f t="shared" ca="1" si="309"/>
        <v>0</v>
      </c>
      <c r="U706" s="237"/>
      <c r="V706" s="238">
        <v>0</v>
      </c>
      <c r="W706" s="239">
        <f t="shared" ca="1" si="310"/>
        <v>0</v>
      </c>
      <c r="X706" s="240">
        <f t="shared" si="307"/>
        <v>0</v>
      </c>
      <c r="Y706" s="236"/>
      <c r="Z706" s="236">
        <f t="shared" ca="1" si="311"/>
        <v>0</v>
      </c>
      <c r="AA706" s="241"/>
      <c r="AF706" s="225">
        <f t="shared" ca="1" si="306"/>
        <v>46236</v>
      </c>
      <c r="AG706" s="225" t="b">
        <f t="shared" si="308"/>
        <v>1</v>
      </c>
      <c r="AH706" s="242"/>
      <c r="AS706" s="223">
        <f t="shared" si="313"/>
        <v>0</v>
      </c>
      <c r="AT706" s="223">
        <f t="shared" si="314"/>
        <v>0</v>
      </c>
    </row>
    <row r="707" spans="2:46" ht="15.75" x14ac:dyDescent="0.25">
      <c r="B707" s="229"/>
      <c r="C707" s="235"/>
      <c r="D707" s="243"/>
      <c r="E707" s="232"/>
      <c r="F707" s="233"/>
      <c r="G707" s="234"/>
      <c r="H707" s="235"/>
      <c r="I707" s="235"/>
      <c r="J707" s="236"/>
      <c r="K707" s="237">
        <f ca="1">ROUND(IF(ISERROR(OFFSET(Tabella!$A$1,MATCH(H707,Tabella!$A:$A,0)-1,MATCH(J707,Tabella!$A$1:$AC$1,0)-1)=TRUE),0,+OFFSET(Tabella!$A$1,MATCH(H707,Tabella!$A:$A,0)-1,MATCH(J707,Tabella!$A$1:$AC$1,0)-1)),4)</f>
        <v>0</v>
      </c>
      <c r="L707" s="238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238">
        <f ca="1">ROUND(IF(ISERROR(OFFSET(Rame!$A$1,MATCH(H707,Rame!$A:$A,0)-1,MATCH(J707,Rame!$A$1:$AA$1,0)-1)=TRUE),0,OFFSET(Rame!$A$1,MATCH(H707,Rame!$A:$A,0)-1,MATCH(J707,Rame!$A$1:$AA$1,0)-1))*IF(E707="Rame",1,0),4)</f>
        <v>0</v>
      </c>
      <c r="N707" s="238">
        <v>0</v>
      </c>
      <c r="O707" s="238">
        <f t="shared" ca="1" si="312"/>
        <v>0</v>
      </c>
      <c r="P707" s="238">
        <f ca="1">ROUND(+IF(ISERROR(OFFSET(Tabella!$G$1,MATCH(H707,Tabella!$G:$G,0)-1,MATCH(I707,Tabella!$G$1:$FG$1,0)-1)=TRUE),0,OFFSET(Tabella!$G$1,MATCH(H707,Tabella!$G:$G,0)-1,MATCH(I707,Tabella!$G$1:$AB$1,0)-1)),4)</f>
        <v>0</v>
      </c>
      <c r="Q707" s="238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238">
        <f ca="1">ROUND(IF(ISERROR(OFFSET(Rame!$F$1,MATCH(H707,Rame!$F:$F,0)-1,MATCH(I707,Rame!$F$1:$FF$1,0)-1)=TRUE),0,OFFSET(Rame!$F$1,MATCH(H707,Rame!$F:$F,0)-1,MATCH(I707,Rame!$F$1:$FF$1,0)-1))*IF(E707="Rame",1,0),4)</f>
        <v>0</v>
      </c>
      <c r="S707" s="238">
        <f ca="1">ROUND(IF(ISERROR(OFFSET(Bronzo!$A$1,MATCH(H707,Bronzo!$A:$A,0)-1,MATCH(I707,Bronzo!$A$1:$AA$1,0)-1)=TRUE),0,OFFSET(Bronzo!$A$1,MATCH(H707,Bronzo!$A:$A,0)-1,MATCH(I707,Bronzo!$A$1:$AA$1,0)-1)),4)</f>
        <v>0</v>
      </c>
      <c r="T707" s="238">
        <f t="shared" ca="1" si="309"/>
        <v>0</v>
      </c>
      <c r="U707" s="237"/>
      <c r="V707" s="238">
        <v>0</v>
      </c>
      <c r="W707" s="239">
        <f t="shared" ca="1" si="310"/>
        <v>0</v>
      </c>
      <c r="X707" s="240">
        <f t="shared" si="307"/>
        <v>0</v>
      </c>
      <c r="Y707" s="236"/>
      <c r="Z707" s="236">
        <f t="shared" ca="1" si="311"/>
        <v>0</v>
      </c>
      <c r="AA707" s="241"/>
      <c r="AF707" s="225">
        <f t="shared" ca="1" si="306"/>
        <v>46236</v>
      </c>
      <c r="AG707" s="225" t="b">
        <f t="shared" si="308"/>
        <v>1</v>
      </c>
      <c r="AH707" s="242"/>
      <c r="AS707" s="223">
        <f t="shared" si="313"/>
        <v>0</v>
      </c>
      <c r="AT707" s="223">
        <f t="shared" si="314"/>
        <v>0</v>
      </c>
    </row>
    <row r="708" spans="2:46" ht="15.75" x14ac:dyDescent="0.25">
      <c r="B708" s="229"/>
      <c r="C708" s="235"/>
      <c r="D708" s="243"/>
      <c r="E708" s="232"/>
      <c r="F708" s="233"/>
      <c r="G708" s="234"/>
      <c r="H708" s="235"/>
      <c r="I708" s="235"/>
      <c r="J708" s="236"/>
      <c r="K708" s="237">
        <f ca="1">ROUND(IF(ISERROR(OFFSET(Tabella!$A$1,MATCH(H708,Tabella!$A:$A,0)-1,MATCH(J708,Tabella!$A$1:$AC$1,0)-1)=TRUE),0,+OFFSET(Tabella!$A$1,MATCH(H708,Tabella!$A:$A,0)-1,MATCH(J708,Tabella!$A$1:$AC$1,0)-1)),4)</f>
        <v>0</v>
      </c>
      <c r="L708" s="238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238">
        <f ca="1">ROUND(IF(ISERROR(OFFSET(Rame!$A$1,MATCH(H708,Rame!$A:$A,0)-1,MATCH(J708,Rame!$A$1:$AA$1,0)-1)=TRUE),0,OFFSET(Rame!$A$1,MATCH(H708,Rame!$A:$A,0)-1,MATCH(J708,Rame!$A$1:$AA$1,0)-1))*IF(E708="Rame",1,0),4)</f>
        <v>0</v>
      </c>
      <c r="N708" s="238">
        <v>0</v>
      </c>
      <c r="O708" s="238">
        <f t="shared" ca="1" si="312"/>
        <v>0</v>
      </c>
      <c r="P708" s="238">
        <f ca="1">ROUND(+IF(ISERROR(OFFSET(Tabella!$G$1,MATCH(H708,Tabella!$G:$G,0)-1,MATCH(I708,Tabella!$G$1:$FG$1,0)-1)=TRUE),0,OFFSET(Tabella!$G$1,MATCH(H708,Tabella!$G:$G,0)-1,MATCH(I708,Tabella!$G$1:$AB$1,0)-1)),4)</f>
        <v>0</v>
      </c>
      <c r="Q708" s="238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238">
        <f ca="1">ROUND(IF(ISERROR(OFFSET(Rame!$F$1,MATCH(H708,Rame!$F:$F,0)-1,MATCH(I708,Rame!$F$1:$FF$1,0)-1)=TRUE),0,OFFSET(Rame!$F$1,MATCH(H708,Rame!$F:$F,0)-1,MATCH(I708,Rame!$F$1:$FF$1,0)-1))*IF(E708="Rame",1,0),4)</f>
        <v>0</v>
      </c>
      <c r="S708" s="238">
        <f ca="1">ROUND(IF(ISERROR(OFFSET(Bronzo!$A$1,MATCH(H708,Bronzo!$A:$A,0)-1,MATCH(I708,Bronzo!$A$1:$AA$1,0)-1)=TRUE),0,OFFSET(Bronzo!$A$1,MATCH(H708,Bronzo!$A:$A,0)-1,MATCH(I708,Bronzo!$A$1:$AA$1,0)-1)),4)</f>
        <v>0</v>
      </c>
      <c r="T708" s="238">
        <f t="shared" ca="1" si="309"/>
        <v>0</v>
      </c>
      <c r="U708" s="237"/>
      <c r="V708" s="238">
        <v>0</v>
      </c>
      <c r="W708" s="239">
        <f t="shared" ca="1" si="310"/>
        <v>0</v>
      </c>
      <c r="X708" s="240">
        <f t="shared" si="307"/>
        <v>0</v>
      </c>
      <c r="Y708" s="236"/>
      <c r="Z708" s="236">
        <f t="shared" ca="1" si="311"/>
        <v>0</v>
      </c>
      <c r="AA708" s="241"/>
      <c r="AF708" s="225">
        <f t="shared" ca="1" si="306"/>
        <v>46236</v>
      </c>
      <c r="AG708" s="225" t="b">
        <f t="shared" si="308"/>
        <v>1</v>
      </c>
      <c r="AH708" s="242"/>
      <c r="AS708" s="223">
        <f t="shared" si="313"/>
        <v>0</v>
      </c>
      <c r="AT708" s="223">
        <f t="shared" si="314"/>
        <v>0</v>
      </c>
    </row>
    <row r="709" spans="2:46" ht="15.75" x14ac:dyDescent="0.25">
      <c r="B709" s="229"/>
      <c r="C709" s="235"/>
      <c r="D709" s="243"/>
      <c r="E709" s="232"/>
      <c r="F709" s="233"/>
      <c r="G709" s="234"/>
      <c r="H709" s="235"/>
      <c r="I709" s="235"/>
      <c r="J709" s="236"/>
      <c r="K709" s="237">
        <f ca="1">ROUND(IF(ISERROR(OFFSET(Tabella!$A$1,MATCH(H709,Tabella!$A:$A,0)-1,MATCH(J709,Tabella!$A$1:$AC$1,0)-1)=TRUE),0,+OFFSET(Tabella!$A$1,MATCH(H709,Tabella!$A:$A,0)-1,MATCH(J709,Tabella!$A$1:$AC$1,0)-1)),4)</f>
        <v>0</v>
      </c>
      <c r="L709" s="238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238">
        <f ca="1">ROUND(IF(ISERROR(OFFSET(Rame!$A$1,MATCH(H709,Rame!$A:$A,0)-1,MATCH(J709,Rame!$A$1:$AA$1,0)-1)=TRUE),0,OFFSET(Rame!$A$1,MATCH(H709,Rame!$A:$A,0)-1,MATCH(J709,Rame!$A$1:$AA$1,0)-1))*IF(E709="Rame",1,0),4)</f>
        <v>0</v>
      </c>
      <c r="N709" s="238">
        <v>0</v>
      </c>
      <c r="O709" s="238">
        <f t="shared" ca="1" si="312"/>
        <v>0</v>
      </c>
      <c r="P709" s="238">
        <f ca="1">ROUND(+IF(ISERROR(OFFSET(Tabella!$G$1,MATCH(H709,Tabella!$G:$G,0)-1,MATCH(I709,Tabella!$G$1:$FG$1,0)-1)=TRUE),0,OFFSET(Tabella!$G$1,MATCH(H709,Tabella!$G:$G,0)-1,MATCH(I709,Tabella!$G$1:$AB$1,0)-1)),4)</f>
        <v>0</v>
      </c>
      <c r="Q709" s="238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238">
        <f ca="1">ROUND(IF(ISERROR(OFFSET(Rame!$F$1,MATCH(H709,Rame!$F:$F,0)-1,MATCH(I709,Rame!$F$1:$FF$1,0)-1)=TRUE),0,OFFSET(Rame!$F$1,MATCH(H709,Rame!$F:$F,0)-1,MATCH(I709,Rame!$F$1:$FF$1,0)-1))*IF(E709="Rame",1,0),4)</f>
        <v>0</v>
      </c>
      <c r="S709" s="238">
        <f ca="1">ROUND(IF(ISERROR(OFFSET(Bronzo!$A$1,MATCH(H709,Bronzo!$A:$A,0)-1,MATCH(I709,Bronzo!$A$1:$AA$1,0)-1)=TRUE),0,OFFSET(Bronzo!$A$1,MATCH(H709,Bronzo!$A:$A,0)-1,MATCH(I709,Bronzo!$A$1:$AA$1,0)-1)),4)</f>
        <v>0</v>
      </c>
      <c r="T709" s="238">
        <f t="shared" ca="1" si="309"/>
        <v>0</v>
      </c>
      <c r="U709" s="237"/>
      <c r="V709" s="238">
        <v>0</v>
      </c>
      <c r="W709" s="239">
        <f t="shared" ca="1" si="310"/>
        <v>0</v>
      </c>
      <c r="X709" s="240">
        <f t="shared" si="307"/>
        <v>0</v>
      </c>
      <c r="Y709" s="236"/>
      <c r="Z709" s="236">
        <f t="shared" ca="1" si="311"/>
        <v>0</v>
      </c>
      <c r="AA709" s="241"/>
      <c r="AF709" s="225">
        <f t="shared" ref="AF709:AF772" ca="1" si="315">TODAY()</f>
        <v>46236</v>
      </c>
      <c r="AG709" s="225" t="b">
        <f t="shared" si="308"/>
        <v>1</v>
      </c>
      <c r="AH709" s="242"/>
      <c r="AS709" s="223">
        <f t="shared" si="313"/>
        <v>0</v>
      </c>
      <c r="AT709" s="223">
        <f t="shared" si="314"/>
        <v>0</v>
      </c>
    </row>
    <row r="710" spans="2:46" ht="15.75" x14ac:dyDescent="0.25">
      <c r="B710" s="229"/>
      <c r="C710" s="235"/>
      <c r="D710" s="243"/>
      <c r="E710" s="232"/>
      <c r="F710" s="233"/>
      <c r="G710" s="234"/>
      <c r="H710" s="235"/>
      <c r="I710" s="235"/>
      <c r="J710" s="236"/>
      <c r="K710" s="237">
        <f ca="1">ROUND(IF(ISERROR(OFFSET(Tabella!$A$1,MATCH(H710,Tabella!$A:$A,0)-1,MATCH(J710,Tabella!$A$1:$AC$1,0)-1)=TRUE),0,+OFFSET(Tabella!$A$1,MATCH(H710,Tabella!$A:$A,0)-1,MATCH(J710,Tabella!$A$1:$AC$1,0)-1)),4)</f>
        <v>0</v>
      </c>
      <c r="L710" s="238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238">
        <f ca="1">ROUND(IF(ISERROR(OFFSET(Rame!$A$1,MATCH(H710,Rame!$A:$A,0)-1,MATCH(J710,Rame!$A$1:$AA$1,0)-1)=TRUE),0,OFFSET(Rame!$A$1,MATCH(H710,Rame!$A:$A,0)-1,MATCH(J710,Rame!$A$1:$AA$1,0)-1))*IF(E710="Rame",1,0),4)</f>
        <v>0</v>
      </c>
      <c r="N710" s="238">
        <v>0</v>
      </c>
      <c r="O710" s="238">
        <f t="shared" ca="1" si="312"/>
        <v>0</v>
      </c>
      <c r="P710" s="238">
        <f ca="1">ROUND(+IF(ISERROR(OFFSET(Tabella!$G$1,MATCH(H710,Tabella!$G:$G,0)-1,MATCH(I710,Tabella!$G$1:$FG$1,0)-1)=TRUE),0,OFFSET(Tabella!$G$1,MATCH(H710,Tabella!$G:$G,0)-1,MATCH(I710,Tabella!$G$1:$AB$1,0)-1)),4)</f>
        <v>0</v>
      </c>
      <c r="Q710" s="238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238">
        <f ca="1">ROUND(IF(ISERROR(OFFSET(Rame!$F$1,MATCH(H710,Rame!$F:$F,0)-1,MATCH(I710,Rame!$F$1:$FF$1,0)-1)=TRUE),0,OFFSET(Rame!$F$1,MATCH(H710,Rame!$F:$F,0)-1,MATCH(I710,Rame!$F$1:$FF$1,0)-1))*IF(E710="Rame",1,0),4)</f>
        <v>0</v>
      </c>
      <c r="S710" s="238">
        <f ca="1">ROUND(IF(ISERROR(OFFSET(Bronzo!$A$1,MATCH(H710,Bronzo!$A:$A,0)-1,MATCH(I710,Bronzo!$A$1:$AA$1,0)-1)=TRUE),0,OFFSET(Bronzo!$A$1,MATCH(H710,Bronzo!$A:$A,0)-1,MATCH(I710,Bronzo!$A$1:$AA$1,0)-1)),4)</f>
        <v>0</v>
      </c>
      <c r="T710" s="238">
        <f t="shared" ca="1" si="309"/>
        <v>0</v>
      </c>
      <c r="U710" s="237"/>
      <c r="V710" s="238">
        <v>0</v>
      </c>
      <c r="W710" s="239">
        <f t="shared" ca="1" si="310"/>
        <v>0</v>
      </c>
      <c r="X710" s="240">
        <f t="shared" si="307"/>
        <v>0</v>
      </c>
      <c r="Y710" s="236"/>
      <c r="Z710" s="236">
        <f t="shared" ca="1" si="311"/>
        <v>0</v>
      </c>
      <c r="AA710" s="241"/>
      <c r="AF710" s="225">
        <f t="shared" ca="1" si="315"/>
        <v>46236</v>
      </c>
      <c r="AG710" s="225" t="b">
        <f t="shared" si="308"/>
        <v>1</v>
      </c>
      <c r="AH710" s="242"/>
      <c r="AS710" s="223">
        <f t="shared" si="313"/>
        <v>0</v>
      </c>
      <c r="AT710" s="223">
        <f t="shared" si="314"/>
        <v>0</v>
      </c>
    </row>
    <row r="711" spans="2:46" ht="15.75" x14ac:dyDescent="0.25">
      <c r="B711" s="229"/>
      <c r="C711" s="235"/>
      <c r="D711" s="243"/>
      <c r="E711" s="232"/>
      <c r="F711" s="233"/>
      <c r="G711" s="234"/>
      <c r="H711" s="235"/>
      <c r="I711" s="235"/>
      <c r="J711" s="236"/>
      <c r="K711" s="237">
        <f ca="1">ROUND(IF(ISERROR(OFFSET(Tabella!$A$1,MATCH(H711,Tabella!$A:$A,0)-1,MATCH(J711,Tabella!$A$1:$AC$1,0)-1)=TRUE),0,+OFFSET(Tabella!$A$1,MATCH(H711,Tabella!$A:$A,0)-1,MATCH(J711,Tabella!$A$1:$AC$1,0)-1)),4)</f>
        <v>0</v>
      </c>
      <c r="L711" s="238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238">
        <f ca="1">ROUND(IF(ISERROR(OFFSET(Rame!$A$1,MATCH(H711,Rame!$A:$A,0)-1,MATCH(J711,Rame!$A$1:$AA$1,0)-1)=TRUE),0,OFFSET(Rame!$A$1,MATCH(H711,Rame!$A:$A,0)-1,MATCH(J711,Rame!$A$1:$AA$1,0)-1))*IF(E711="Rame",1,0),4)</f>
        <v>0</v>
      </c>
      <c r="N711" s="238">
        <v>0</v>
      </c>
      <c r="O711" s="238">
        <f t="shared" ca="1" si="312"/>
        <v>0</v>
      </c>
      <c r="P711" s="238">
        <f ca="1">ROUND(+IF(ISERROR(OFFSET(Tabella!$G$1,MATCH(H711,Tabella!$G:$G,0)-1,MATCH(I711,Tabella!$G$1:$FG$1,0)-1)=TRUE),0,OFFSET(Tabella!$G$1,MATCH(H711,Tabella!$G:$G,0)-1,MATCH(I711,Tabella!$G$1:$AB$1,0)-1)),4)</f>
        <v>0</v>
      </c>
      <c r="Q711" s="238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238">
        <f ca="1">ROUND(IF(ISERROR(OFFSET(Rame!$F$1,MATCH(H711,Rame!$F:$F,0)-1,MATCH(I711,Rame!$F$1:$FF$1,0)-1)=TRUE),0,OFFSET(Rame!$F$1,MATCH(H711,Rame!$F:$F,0)-1,MATCH(I711,Rame!$F$1:$FF$1,0)-1))*IF(E711="Rame",1,0),4)</f>
        <v>0</v>
      </c>
      <c r="S711" s="238">
        <f ca="1">ROUND(IF(ISERROR(OFFSET(Bronzo!$A$1,MATCH(H711,Bronzo!$A:$A,0)-1,MATCH(I711,Bronzo!$A$1:$AA$1,0)-1)=TRUE),0,OFFSET(Bronzo!$A$1,MATCH(H711,Bronzo!$A:$A,0)-1,MATCH(I711,Bronzo!$A$1:$AA$1,0)-1)),4)</f>
        <v>0</v>
      </c>
      <c r="T711" s="238">
        <f t="shared" ca="1" si="309"/>
        <v>0</v>
      </c>
      <c r="U711" s="237"/>
      <c r="V711" s="238">
        <v>0</v>
      </c>
      <c r="W711" s="239">
        <f t="shared" ca="1" si="310"/>
        <v>0</v>
      </c>
      <c r="X711" s="240">
        <f t="shared" si="307"/>
        <v>0</v>
      </c>
      <c r="Y711" s="236"/>
      <c r="Z711" s="236">
        <f t="shared" ca="1" si="311"/>
        <v>0</v>
      </c>
      <c r="AA711" s="241"/>
      <c r="AF711" s="225">
        <f t="shared" ca="1" si="315"/>
        <v>46236</v>
      </c>
      <c r="AG711" s="225" t="b">
        <f t="shared" si="308"/>
        <v>1</v>
      </c>
      <c r="AH711" s="242"/>
      <c r="AS711" s="223">
        <f t="shared" si="313"/>
        <v>0</v>
      </c>
      <c r="AT711" s="223">
        <f t="shared" si="314"/>
        <v>0</v>
      </c>
    </row>
    <row r="712" spans="2:46" ht="15.75" x14ac:dyDescent="0.25">
      <c r="B712" s="229"/>
      <c r="C712" s="235"/>
      <c r="D712" s="243"/>
      <c r="E712" s="232"/>
      <c r="F712" s="233"/>
      <c r="G712" s="234"/>
      <c r="H712" s="235"/>
      <c r="I712" s="235"/>
      <c r="J712" s="236"/>
      <c r="K712" s="237">
        <f ca="1">ROUND(IF(ISERROR(OFFSET(Tabella!$A$1,MATCH(H712,Tabella!$A:$A,0)-1,MATCH(J712,Tabella!$A$1:$AC$1,0)-1)=TRUE),0,+OFFSET(Tabella!$A$1,MATCH(H712,Tabella!$A:$A,0)-1,MATCH(J712,Tabella!$A$1:$AC$1,0)-1)),4)</f>
        <v>0</v>
      </c>
      <c r="L712" s="238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238">
        <f ca="1">ROUND(IF(ISERROR(OFFSET(Rame!$A$1,MATCH(H712,Rame!$A:$A,0)-1,MATCH(J712,Rame!$A$1:$AA$1,0)-1)=TRUE),0,OFFSET(Rame!$A$1,MATCH(H712,Rame!$A:$A,0)-1,MATCH(J712,Rame!$A$1:$AA$1,0)-1))*IF(E712="Rame",1,0),4)</f>
        <v>0</v>
      </c>
      <c r="N712" s="238">
        <v>0</v>
      </c>
      <c r="O712" s="238">
        <f t="shared" ca="1" si="312"/>
        <v>0</v>
      </c>
      <c r="P712" s="238">
        <f ca="1">ROUND(+IF(ISERROR(OFFSET(Tabella!$G$1,MATCH(H712,Tabella!$G:$G,0)-1,MATCH(I712,Tabella!$G$1:$FG$1,0)-1)=TRUE),0,OFFSET(Tabella!$G$1,MATCH(H712,Tabella!$G:$G,0)-1,MATCH(I712,Tabella!$G$1:$AB$1,0)-1)),4)</f>
        <v>0</v>
      </c>
      <c r="Q712" s="238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238">
        <f ca="1">ROUND(IF(ISERROR(OFFSET(Rame!$F$1,MATCH(H712,Rame!$F:$F,0)-1,MATCH(I712,Rame!$F$1:$FF$1,0)-1)=TRUE),0,OFFSET(Rame!$F$1,MATCH(H712,Rame!$F:$F,0)-1,MATCH(I712,Rame!$F$1:$FF$1,0)-1))*IF(E712="Rame",1,0),4)</f>
        <v>0</v>
      </c>
      <c r="S712" s="238">
        <f ca="1">ROUND(IF(ISERROR(OFFSET(Bronzo!$A$1,MATCH(H712,Bronzo!$A:$A,0)-1,MATCH(I712,Bronzo!$A$1:$AA$1,0)-1)=TRUE),0,OFFSET(Bronzo!$A$1,MATCH(H712,Bronzo!$A:$A,0)-1,MATCH(I712,Bronzo!$A$1:$AA$1,0)-1)),4)</f>
        <v>0</v>
      </c>
      <c r="T712" s="238">
        <f t="shared" ca="1" si="309"/>
        <v>0</v>
      </c>
      <c r="U712" s="237"/>
      <c r="V712" s="238">
        <v>0</v>
      </c>
      <c r="W712" s="239">
        <f t="shared" ca="1" si="310"/>
        <v>0</v>
      </c>
      <c r="X712" s="240">
        <f t="shared" si="307"/>
        <v>0</v>
      </c>
      <c r="Y712" s="236"/>
      <c r="Z712" s="236">
        <f t="shared" ca="1" si="311"/>
        <v>0</v>
      </c>
      <c r="AA712" s="241"/>
      <c r="AF712" s="225">
        <f t="shared" ca="1" si="315"/>
        <v>46236</v>
      </c>
      <c r="AG712" s="225" t="b">
        <f t="shared" si="308"/>
        <v>1</v>
      </c>
      <c r="AH712" s="242"/>
      <c r="AS712" s="223">
        <f t="shared" si="313"/>
        <v>0</v>
      </c>
      <c r="AT712" s="223">
        <f t="shared" si="314"/>
        <v>0</v>
      </c>
    </row>
    <row r="713" spans="2:46" ht="15.75" x14ac:dyDescent="0.25">
      <c r="B713" s="229"/>
      <c r="C713" s="235"/>
      <c r="D713" s="243"/>
      <c r="E713" s="232"/>
      <c r="F713" s="233"/>
      <c r="G713" s="234"/>
      <c r="H713" s="235"/>
      <c r="I713" s="235"/>
      <c r="J713" s="236"/>
      <c r="K713" s="237">
        <f ca="1">ROUND(IF(ISERROR(OFFSET(Tabella!$A$1,MATCH(H713,Tabella!$A:$A,0)-1,MATCH(J713,Tabella!$A$1:$AC$1,0)-1)=TRUE),0,+OFFSET(Tabella!$A$1,MATCH(H713,Tabella!$A:$A,0)-1,MATCH(J713,Tabella!$A$1:$AC$1,0)-1)),4)</f>
        <v>0</v>
      </c>
      <c r="L713" s="238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238">
        <f ca="1">ROUND(IF(ISERROR(OFFSET(Rame!$A$1,MATCH(H713,Rame!$A:$A,0)-1,MATCH(J713,Rame!$A$1:$AA$1,0)-1)=TRUE),0,OFFSET(Rame!$A$1,MATCH(H713,Rame!$A:$A,0)-1,MATCH(J713,Rame!$A$1:$AA$1,0)-1))*IF(E713="Rame",1,0),4)</f>
        <v>0</v>
      </c>
      <c r="N713" s="238">
        <v>0</v>
      </c>
      <c r="O713" s="238">
        <f t="shared" ca="1" si="312"/>
        <v>0</v>
      </c>
      <c r="P713" s="238">
        <f ca="1">ROUND(+IF(ISERROR(OFFSET(Tabella!$G$1,MATCH(H713,Tabella!$G:$G,0)-1,MATCH(I713,Tabella!$G$1:$FG$1,0)-1)=TRUE),0,OFFSET(Tabella!$G$1,MATCH(H713,Tabella!$G:$G,0)-1,MATCH(I713,Tabella!$G$1:$AB$1,0)-1)),4)</f>
        <v>0</v>
      </c>
      <c r="Q713" s="238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238">
        <f ca="1">ROUND(IF(ISERROR(OFFSET(Rame!$F$1,MATCH(H713,Rame!$F:$F,0)-1,MATCH(I713,Rame!$F$1:$FF$1,0)-1)=TRUE),0,OFFSET(Rame!$F$1,MATCH(H713,Rame!$F:$F,0)-1,MATCH(I713,Rame!$F$1:$FF$1,0)-1))*IF(E713="Rame",1,0),4)</f>
        <v>0</v>
      </c>
      <c r="S713" s="238">
        <f ca="1">ROUND(IF(ISERROR(OFFSET(Bronzo!$A$1,MATCH(H713,Bronzo!$A:$A,0)-1,MATCH(I713,Bronzo!$A$1:$AA$1,0)-1)=TRUE),0,OFFSET(Bronzo!$A$1,MATCH(H713,Bronzo!$A:$A,0)-1,MATCH(I713,Bronzo!$A$1:$AA$1,0)-1)),4)</f>
        <v>0</v>
      </c>
      <c r="T713" s="238">
        <f t="shared" ca="1" si="309"/>
        <v>0</v>
      </c>
      <c r="U713" s="237"/>
      <c r="V713" s="238">
        <v>0</v>
      </c>
      <c r="W713" s="239">
        <f t="shared" ca="1" si="310"/>
        <v>0</v>
      </c>
      <c r="X713" s="240">
        <f t="shared" si="307"/>
        <v>0</v>
      </c>
      <c r="Y713" s="236"/>
      <c r="Z713" s="236">
        <f t="shared" ca="1" si="311"/>
        <v>0</v>
      </c>
      <c r="AA713" s="241"/>
      <c r="AF713" s="225">
        <f t="shared" ca="1" si="315"/>
        <v>46236</v>
      </c>
      <c r="AG713" s="225" t="b">
        <f t="shared" si="308"/>
        <v>1</v>
      </c>
      <c r="AH713" s="242"/>
      <c r="AS713" s="223">
        <f t="shared" si="313"/>
        <v>0</v>
      </c>
      <c r="AT713" s="223">
        <f t="shared" si="314"/>
        <v>0</v>
      </c>
    </row>
    <row r="714" spans="2:46" ht="15.75" x14ac:dyDescent="0.25">
      <c r="B714" s="229"/>
      <c r="C714" s="235"/>
      <c r="D714" s="243"/>
      <c r="E714" s="232"/>
      <c r="F714" s="233"/>
      <c r="G714" s="234"/>
      <c r="H714" s="235"/>
      <c r="I714" s="235"/>
      <c r="J714" s="236"/>
      <c r="K714" s="237">
        <f ca="1">ROUND(IF(ISERROR(OFFSET(Tabella!$A$1,MATCH(H714,Tabella!$A:$A,0)-1,MATCH(J714,Tabella!$A$1:$AC$1,0)-1)=TRUE),0,+OFFSET(Tabella!$A$1,MATCH(H714,Tabella!$A:$A,0)-1,MATCH(J714,Tabella!$A$1:$AC$1,0)-1)),4)</f>
        <v>0</v>
      </c>
      <c r="L714" s="238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238">
        <f ca="1">ROUND(IF(ISERROR(OFFSET(Rame!$A$1,MATCH(H714,Rame!$A:$A,0)-1,MATCH(J714,Rame!$A$1:$AA$1,0)-1)=TRUE),0,OFFSET(Rame!$A$1,MATCH(H714,Rame!$A:$A,0)-1,MATCH(J714,Rame!$A$1:$AA$1,0)-1))*IF(E714="Rame",1,0),4)</f>
        <v>0</v>
      </c>
      <c r="N714" s="238">
        <v>0</v>
      </c>
      <c r="O714" s="238">
        <f t="shared" ca="1" si="312"/>
        <v>0</v>
      </c>
      <c r="P714" s="238">
        <f ca="1">ROUND(+IF(ISERROR(OFFSET(Tabella!$G$1,MATCH(H714,Tabella!$G:$G,0)-1,MATCH(I714,Tabella!$G$1:$FG$1,0)-1)=TRUE),0,OFFSET(Tabella!$G$1,MATCH(H714,Tabella!$G:$G,0)-1,MATCH(I714,Tabella!$G$1:$AB$1,0)-1)),4)</f>
        <v>0</v>
      </c>
      <c r="Q714" s="238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238">
        <f ca="1">ROUND(IF(ISERROR(OFFSET(Rame!$F$1,MATCH(H714,Rame!$F:$F,0)-1,MATCH(I714,Rame!$F$1:$FF$1,0)-1)=TRUE),0,OFFSET(Rame!$F$1,MATCH(H714,Rame!$F:$F,0)-1,MATCH(I714,Rame!$F$1:$FF$1,0)-1))*IF(E714="Rame",1,0),4)</f>
        <v>0</v>
      </c>
      <c r="S714" s="238">
        <f ca="1">ROUND(IF(ISERROR(OFFSET(Bronzo!$A$1,MATCH(H714,Bronzo!$A:$A,0)-1,MATCH(I714,Bronzo!$A$1:$AA$1,0)-1)=TRUE),0,OFFSET(Bronzo!$A$1,MATCH(H714,Bronzo!$A:$A,0)-1,MATCH(I714,Bronzo!$A$1:$AA$1,0)-1)),4)</f>
        <v>0</v>
      </c>
      <c r="T714" s="238">
        <f t="shared" ca="1" si="309"/>
        <v>0</v>
      </c>
      <c r="U714" s="237"/>
      <c r="V714" s="238">
        <v>0</v>
      </c>
      <c r="W714" s="239">
        <f t="shared" ca="1" si="310"/>
        <v>0</v>
      </c>
      <c r="X714" s="240">
        <f t="shared" si="307"/>
        <v>0</v>
      </c>
      <c r="Y714" s="236"/>
      <c r="Z714" s="236">
        <f t="shared" ca="1" si="311"/>
        <v>0</v>
      </c>
      <c r="AA714" s="241"/>
      <c r="AF714" s="225">
        <f t="shared" ca="1" si="315"/>
        <v>46236</v>
      </c>
      <c r="AG714" s="225" t="b">
        <f t="shared" si="308"/>
        <v>1</v>
      </c>
      <c r="AH714" s="242"/>
      <c r="AS714" s="223">
        <f t="shared" si="313"/>
        <v>0</v>
      </c>
      <c r="AT714" s="223">
        <f t="shared" si="314"/>
        <v>0</v>
      </c>
    </row>
    <row r="715" spans="2:46" ht="15.75" x14ac:dyDescent="0.25">
      <c r="B715" s="229"/>
      <c r="C715" s="235"/>
      <c r="D715" s="243"/>
      <c r="E715" s="232"/>
      <c r="F715" s="233"/>
      <c r="G715" s="234"/>
      <c r="H715" s="235"/>
      <c r="I715" s="235"/>
      <c r="J715" s="236"/>
      <c r="K715" s="237">
        <f ca="1">ROUND(IF(ISERROR(OFFSET(Tabella!$A$1,MATCH(H715,Tabella!$A:$A,0)-1,MATCH(J715,Tabella!$A$1:$AC$1,0)-1)=TRUE),0,+OFFSET(Tabella!$A$1,MATCH(H715,Tabella!$A:$A,0)-1,MATCH(J715,Tabella!$A$1:$AC$1,0)-1)),4)</f>
        <v>0</v>
      </c>
      <c r="L715" s="238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238">
        <f ca="1">ROUND(IF(ISERROR(OFFSET(Rame!$A$1,MATCH(H715,Rame!$A:$A,0)-1,MATCH(J715,Rame!$A$1:$AA$1,0)-1)=TRUE),0,OFFSET(Rame!$A$1,MATCH(H715,Rame!$A:$A,0)-1,MATCH(J715,Rame!$A$1:$AA$1,0)-1))*IF(E715="Rame",1,0),4)</f>
        <v>0</v>
      </c>
      <c r="N715" s="238">
        <v>0</v>
      </c>
      <c r="O715" s="238">
        <f t="shared" ca="1" si="312"/>
        <v>0</v>
      </c>
      <c r="P715" s="238">
        <f ca="1">ROUND(+IF(ISERROR(OFFSET(Tabella!$G$1,MATCH(H715,Tabella!$G:$G,0)-1,MATCH(I715,Tabella!$G$1:$FG$1,0)-1)=TRUE),0,OFFSET(Tabella!$G$1,MATCH(H715,Tabella!$G:$G,0)-1,MATCH(I715,Tabella!$G$1:$AB$1,0)-1)),4)</f>
        <v>0</v>
      </c>
      <c r="Q715" s="238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238">
        <f ca="1">ROUND(IF(ISERROR(OFFSET(Rame!$F$1,MATCH(H715,Rame!$F:$F,0)-1,MATCH(I715,Rame!$F$1:$FF$1,0)-1)=TRUE),0,OFFSET(Rame!$F$1,MATCH(H715,Rame!$F:$F,0)-1,MATCH(I715,Rame!$F$1:$FF$1,0)-1))*IF(E715="Rame",1,0),4)</f>
        <v>0</v>
      </c>
      <c r="S715" s="238">
        <f ca="1">ROUND(IF(ISERROR(OFFSET(Bronzo!$A$1,MATCH(H715,Bronzo!$A:$A,0)-1,MATCH(I715,Bronzo!$A$1:$AA$1,0)-1)=TRUE),0,OFFSET(Bronzo!$A$1,MATCH(H715,Bronzo!$A:$A,0)-1,MATCH(I715,Bronzo!$A$1:$AA$1,0)-1)),4)</f>
        <v>0</v>
      </c>
      <c r="T715" s="238">
        <f t="shared" ca="1" si="309"/>
        <v>0</v>
      </c>
      <c r="U715" s="237"/>
      <c r="V715" s="238">
        <v>0</v>
      </c>
      <c r="W715" s="239">
        <f t="shared" ca="1" si="310"/>
        <v>0</v>
      </c>
      <c r="X715" s="240">
        <f t="shared" si="307"/>
        <v>0</v>
      </c>
      <c r="Y715" s="236"/>
      <c r="Z715" s="236">
        <f t="shared" ca="1" si="311"/>
        <v>0</v>
      </c>
      <c r="AA715" s="241"/>
      <c r="AF715" s="225">
        <f t="shared" ca="1" si="315"/>
        <v>46236</v>
      </c>
      <c r="AG715" s="225" t="b">
        <f t="shared" si="308"/>
        <v>1</v>
      </c>
      <c r="AH715" s="242"/>
      <c r="AS715" s="223">
        <f t="shared" si="313"/>
        <v>0</v>
      </c>
      <c r="AT715" s="223">
        <f t="shared" si="314"/>
        <v>0</v>
      </c>
    </row>
    <row r="716" spans="2:46" ht="15.75" x14ac:dyDescent="0.25">
      <c r="B716" s="229"/>
      <c r="C716" s="235"/>
      <c r="D716" s="243"/>
      <c r="E716" s="232"/>
      <c r="F716" s="233"/>
      <c r="G716" s="234"/>
      <c r="H716" s="235"/>
      <c r="I716" s="235"/>
      <c r="J716" s="236"/>
      <c r="K716" s="237">
        <f ca="1">ROUND(IF(ISERROR(OFFSET(Tabella!$A$1,MATCH(H716,Tabella!$A:$A,0)-1,MATCH(J716,Tabella!$A$1:$AC$1,0)-1)=TRUE),0,+OFFSET(Tabella!$A$1,MATCH(H716,Tabella!$A:$A,0)-1,MATCH(J716,Tabella!$A$1:$AC$1,0)-1)),4)</f>
        <v>0</v>
      </c>
      <c r="L716" s="238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238">
        <f ca="1">ROUND(IF(ISERROR(OFFSET(Rame!$A$1,MATCH(H716,Rame!$A:$A,0)-1,MATCH(J716,Rame!$A$1:$AA$1,0)-1)=TRUE),0,OFFSET(Rame!$A$1,MATCH(H716,Rame!$A:$A,0)-1,MATCH(J716,Rame!$A$1:$AA$1,0)-1))*IF(E716="Rame",1,0),4)</f>
        <v>0</v>
      </c>
      <c r="N716" s="238">
        <v>0</v>
      </c>
      <c r="O716" s="238">
        <f t="shared" ca="1" si="312"/>
        <v>0</v>
      </c>
      <c r="P716" s="238">
        <f ca="1">ROUND(+IF(ISERROR(OFFSET(Tabella!$G$1,MATCH(H716,Tabella!$G:$G,0)-1,MATCH(I716,Tabella!$G$1:$FG$1,0)-1)=TRUE),0,OFFSET(Tabella!$G$1,MATCH(H716,Tabella!$G:$G,0)-1,MATCH(I716,Tabella!$G$1:$AB$1,0)-1)),4)</f>
        <v>0</v>
      </c>
      <c r="Q716" s="238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238">
        <f ca="1">ROUND(IF(ISERROR(OFFSET(Rame!$F$1,MATCH(H716,Rame!$F:$F,0)-1,MATCH(I716,Rame!$F$1:$FF$1,0)-1)=TRUE),0,OFFSET(Rame!$F$1,MATCH(H716,Rame!$F:$F,0)-1,MATCH(I716,Rame!$F$1:$FF$1,0)-1))*IF(E716="Rame",1,0),4)</f>
        <v>0</v>
      </c>
      <c r="S716" s="238">
        <f ca="1">ROUND(IF(ISERROR(OFFSET(Bronzo!$A$1,MATCH(H716,Bronzo!$A:$A,0)-1,MATCH(I716,Bronzo!$A$1:$AA$1,0)-1)=TRUE),0,OFFSET(Bronzo!$A$1,MATCH(H716,Bronzo!$A:$A,0)-1,MATCH(I716,Bronzo!$A$1:$AA$1,0)-1)),4)</f>
        <v>0</v>
      </c>
      <c r="T716" s="238">
        <f t="shared" ca="1" si="309"/>
        <v>0</v>
      </c>
      <c r="U716" s="237"/>
      <c r="V716" s="238">
        <v>0</v>
      </c>
      <c r="W716" s="239">
        <f t="shared" ca="1" si="310"/>
        <v>0</v>
      </c>
      <c r="X716" s="240">
        <f t="shared" si="307"/>
        <v>0</v>
      </c>
      <c r="Y716" s="236"/>
      <c r="Z716" s="236">
        <f t="shared" ca="1" si="311"/>
        <v>0</v>
      </c>
      <c r="AA716" s="241"/>
      <c r="AF716" s="225">
        <f t="shared" ca="1" si="315"/>
        <v>46236</v>
      </c>
      <c r="AG716" s="225" t="b">
        <f t="shared" si="308"/>
        <v>1</v>
      </c>
      <c r="AH716" s="242"/>
      <c r="AS716" s="223">
        <f t="shared" si="313"/>
        <v>0</v>
      </c>
      <c r="AT716" s="223">
        <f t="shared" si="314"/>
        <v>0</v>
      </c>
    </row>
    <row r="717" spans="2:46" ht="15.75" x14ac:dyDescent="0.25">
      <c r="B717" s="229"/>
      <c r="C717" s="235"/>
      <c r="D717" s="243"/>
      <c r="E717" s="232"/>
      <c r="F717" s="233"/>
      <c r="G717" s="234"/>
      <c r="H717" s="235"/>
      <c r="I717" s="235"/>
      <c r="J717" s="236"/>
      <c r="K717" s="237">
        <f ca="1">ROUND(IF(ISERROR(OFFSET(Tabella!$A$1,MATCH(H717,Tabella!$A:$A,0)-1,MATCH(J717,Tabella!$A$1:$AC$1,0)-1)=TRUE),0,+OFFSET(Tabella!$A$1,MATCH(H717,Tabella!$A:$A,0)-1,MATCH(J717,Tabella!$A$1:$AC$1,0)-1)),4)</f>
        <v>0</v>
      </c>
      <c r="L717" s="238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238">
        <f ca="1">ROUND(IF(ISERROR(OFFSET(Rame!$A$1,MATCH(H717,Rame!$A:$A,0)-1,MATCH(J717,Rame!$A$1:$AA$1,0)-1)=TRUE),0,OFFSET(Rame!$A$1,MATCH(H717,Rame!$A:$A,0)-1,MATCH(J717,Rame!$A$1:$AA$1,0)-1))*IF(E717="Rame",1,0),4)</f>
        <v>0</v>
      </c>
      <c r="N717" s="238">
        <v>0</v>
      </c>
      <c r="O717" s="238">
        <f t="shared" ca="1" si="312"/>
        <v>0</v>
      </c>
      <c r="P717" s="238">
        <f ca="1">ROUND(+IF(ISERROR(OFFSET(Tabella!$G$1,MATCH(H717,Tabella!$G:$G,0)-1,MATCH(I717,Tabella!$G$1:$FG$1,0)-1)=TRUE),0,OFFSET(Tabella!$G$1,MATCH(H717,Tabella!$G:$G,0)-1,MATCH(I717,Tabella!$G$1:$AB$1,0)-1)),4)</f>
        <v>0</v>
      </c>
      <c r="Q717" s="238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238">
        <f ca="1">ROUND(IF(ISERROR(OFFSET(Rame!$F$1,MATCH(H717,Rame!$F:$F,0)-1,MATCH(I717,Rame!$F$1:$FF$1,0)-1)=TRUE),0,OFFSET(Rame!$F$1,MATCH(H717,Rame!$F:$F,0)-1,MATCH(I717,Rame!$F$1:$FF$1,0)-1))*IF(E717="Rame",1,0),4)</f>
        <v>0</v>
      </c>
      <c r="S717" s="238">
        <f ca="1">ROUND(IF(ISERROR(OFFSET(Bronzo!$A$1,MATCH(H717,Bronzo!$A:$A,0)-1,MATCH(I717,Bronzo!$A$1:$AA$1,0)-1)=TRUE),0,OFFSET(Bronzo!$A$1,MATCH(H717,Bronzo!$A:$A,0)-1,MATCH(I717,Bronzo!$A$1:$AA$1,0)-1)),4)</f>
        <v>0</v>
      </c>
      <c r="T717" s="238">
        <f t="shared" ca="1" si="309"/>
        <v>0</v>
      </c>
      <c r="U717" s="237"/>
      <c r="V717" s="238">
        <v>0</v>
      </c>
      <c r="W717" s="239">
        <f t="shared" ca="1" si="310"/>
        <v>0</v>
      </c>
      <c r="X717" s="240">
        <f t="shared" si="307"/>
        <v>0</v>
      </c>
      <c r="Y717" s="236"/>
      <c r="Z717" s="236">
        <f t="shared" ca="1" si="311"/>
        <v>0</v>
      </c>
      <c r="AA717" s="241"/>
      <c r="AF717" s="225">
        <f t="shared" ca="1" si="315"/>
        <v>46236</v>
      </c>
      <c r="AG717" s="225" t="b">
        <f t="shared" si="308"/>
        <v>1</v>
      </c>
      <c r="AH717" s="242"/>
      <c r="AS717" s="223">
        <f t="shared" si="313"/>
        <v>0</v>
      </c>
      <c r="AT717" s="223">
        <f t="shared" si="314"/>
        <v>0</v>
      </c>
    </row>
    <row r="718" spans="2:46" ht="15.75" x14ac:dyDescent="0.25">
      <c r="B718" s="229"/>
      <c r="C718" s="235"/>
      <c r="D718" s="243"/>
      <c r="E718" s="232"/>
      <c r="F718" s="233"/>
      <c r="G718" s="234"/>
      <c r="H718" s="235"/>
      <c r="I718" s="235"/>
      <c r="J718" s="236"/>
      <c r="K718" s="237">
        <f ca="1">ROUND(IF(ISERROR(OFFSET(Tabella!$A$1,MATCH(H718,Tabella!$A:$A,0)-1,MATCH(J718,Tabella!$A$1:$AC$1,0)-1)=TRUE),0,+OFFSET(Tabella!$A$1,MATCH(H718,Tabella!$A:$A,0)-1,MATCH(J718,Tabella!$A$1:$AC$1,0)-1)),4)</f>
        <v>0</v>
      </c>
      <c r="L718" s="238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238">
        <f ca="1">ROUND(IF(ISERROR(OFFSET(Rame!$A$1,MATCH(H718,Rame!$A:$A,0)-1,MATCH(J718,Rame!$A$1:$AA$1,0)-1)=TRUE),0,OFFSET(Rame!$A$1,MATCH(H718,Rame!$A:$A,0)-1,MATCH(J718,Rame!$A$1:$AA$1,0)-1))*IF(E718="Rame",1,0),4)</f>
        <v>0</v>
      </c>
      <c r="N718" s="238">
        <v>0</v>
      </c>
      <c r="O718" s="238">
        <f t="shared" ca="1" si="312"/>
        <v>0</v>
      </c>
      <c r="P718" s="238">
        <f ca="1">ROUND(+IF(ISERROR(OFFSET(Tabella!$G$1,MATCH(H718,Tabella!$G:$G,0)-1,MATCH(I718,Tabella!$G$1:$FG$1,0)-1)=TRUE),0,OFFSET(Tabella!$G$1,MATCH(H718,Tabella!$G:$G,0)-1,MATCH(I718,Tabella!$G$1:$AB$1,0)-1)),4)</f>
        <v>0</v>
      </c>
      <c r="Q718" s="238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238">
        <f ca="1">ROUND(IF(ISERROR(OFFSET(Rame!$F$1,MATCH(H718,Rame!$F:$F,0)-1,MATCH(I718,Rame!$F$1:$FF$1,0)-1)=TRUE),0,OFFSET(Rame!$F$1,MATCH(H718,Rame!$F:$F,0)-1,MATCH(I718,Rame!$F$1:$FF$1,0)-1))*IF(E718="Rame",1,0),4)</f>
        <v>0</v>
      </c>
      <c r="S718" s="238">
        <f ca="1">ROUND(IF(ISERROR(OFFSET(Bronzo!$A$1,MATCH(H718,Bronzo!$A:$A,0)-1,MATCH(I718,Bronzo!$A$1:$AA$1,0)-1)=TRUE),0,OFFSET(Bronzo!$A$1,MATCH(H718,Bronzo!$A:$A,0)-1,MATCH(I718,Bronzo!$A$1:$AA$1,0)-1)),4)</f>
        <v>0</v>
      </c>
      <c r="T718" s="238">
        <f t="shared" ca="1" si="309"/>
        <v>0</v>
      </c>
      <c r="U718" s="237"/>
      <c r="V718" s="238">
        <v>0</v>
      </c>
      <c r="W718" s="239">
        <f t="shared" ca="1" si="310"/>
        <v>0</v>
      </c>
      <c r="X718" s="240">
        <f t="shared" si="307"/>
        <v>0</v>
      </c>
      <c r="Y718" s="236"/>
      <c r="Z718" s="236">
        <f t="shared" ca="1" si="311"/>
        <v>0</v>
      </c>
      <c r="AA718" s="241"/>
      <c r="AF718" s="225">
        <f t="shared" ca="1" si="315"/>
        <v>46236</v>
      </c>
      <c r="AG718" s="225" t="b">
        <f t="shared" si="308"/>
        <v>1</v>
      </c>
      <c r="AH718" s="242"/>
      <c r="AS718" s="223">
        <f t="shared" si="313"/>
        <v>0</v>
      </c>
      <c r="AT718" s="223">
        <f t="shared" si="314"/>
        <v>0</v>
      </c>
    </row>
    <row r="719" spans="2:46" ht="15.75" x14ac:dyDescent="0.25">
      <c r="B719" s="229"/>
      <c r="C719" s="235"/>
      <c r="D719" s="243"/>
      <c r="E719" s="232"/>
      <c r="F719" s="233"/>
      <c r="G719" s="234"/>
      <c r="H719" s="235"/>
      <c r="I719" s="235"/>
      <c r="J719" s="236"/>
      <c r="K719" s="237">
        <f ca="1">ROUND(IF(ISERROR(OFFSET(Tabella!$A$1,MATCH(H719,Tabella!$A:$A,0)-1,MATCH(J719,Tabella!$A$1:$AC$1,0)-1)=TRUE),0,+OFFSET(Tabella!$A$1,MATCH(H719,Tabella!$A:$A,0)-1,MATCH(J719,Tabella!$A$1:$AC$1,0)-1)),4)</f>
        <v>0</v>
      </c>
      <c r="L719" s="238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238">
        <f ca="1">ROUND(IF(ISERROR(OFFSET(Rame!$A$1,MATCH(H719,Rame!$A:$A,0)-1,MATCH(J719,Rame!$A$1:$AA$1,0)-1)=TRUE),0,OFFSET(Rame!$A$1,MATCH(H719,Rame!$A:$A,0)-1,MATCH(J719,Rame!$A$1:$AA$1,0)-1))*IF(E719="Rame",1,0),4)</f>
        <v>0</v>
      </c>
      <c r="N719" s="238">
        <v>0</v>
      </c>
      <c r="O719" s="238">
        <f t="shared" ca="1" si="312"/>
        <v>0</v>
      </c>
      <c r="P719" s="238">
        <f ca="1">ROUND(+IF(ISERROR(OFFSET(Tabella!$G$1,MATCH(H719,Tabella!$G:$G,0)-1,MATCH(I719,Tabella!$G$1:$FG$1,0)-1)=TRUE),0,OFFSET(Tabella!$G$1,MATCH(H719,Tabella!$G:$G,0)-1,MATCH(I719,Tabella!$G$1:$AB$1,0)-1)),4)</f>
        <v>0</v>
      </c>
      <c r="Q719" s="238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238">
        <f ca="1">ROUND(IF(ISERROR(OFFSET(Rame!$F$1,MATCH(H719,Rame!$F:$F,0)-1,MATCH(I719,Rame!$F$1:$FF$1,0)-1)=TRUE),0,OFFSET(Rame!$F$1,MATCH(H719,Rame!$F:$F,0)-1,MATCH(I719,Rame!$F$1:$FF$1,0)-1))*IF(E719="Rame",1,0),4)</f>
        <v>0</v>
      </c>
      <c r="S719" s="238">
        <f ca="1">ROUND(IF(ISERROR(OFFSET(Bronzo!$A$1,MATCH(H719,Bronzo!$A:$A,0)-1,MATCH(I719,Bronzo!$A$1:$AA$1,0)-1)=TRUE),0,OFFSET(Bronzo!$A$1,MATCH(H719,Bronzo!$A:$A,0)-1,MATCH(I719,Bronzo!$A$1:$AA$1,0)-1)),4)</f>
        <v>0</v>
      </c>
      <c r="T719" s="238">
        <f t="shared" ca="1" si="309"/>
        <v>0</v>
      </c>
      <c r="U719" s="237"/>
      <c r="V719" s="238">
        <v>0</v>
      </c>
      <c r="W719" s="239">
        <f t="shared" ca="1" si="310"/>
        <v>0</v>
      </c>
      <c r="X719" s="240">
        <f t="shared" si="307"/>
        <v>0</v>
      </c>
      <c r="Y719" s="236"/>
      <c r="Z719" s="236">
        <f t="shared" ca="1" si="311"/>
        <v>0</v>
      </c>
      <c r="AA719" s="241"/>
      <c r="AF719" s="225">
        <f t="shared" ca="1" si="315"/>
        <v>46236</v>
      </c>
      <c r="AG719" s="225" t="b">
        <f t="shared" si="308"/>
        <v>1</v>
      </c>
      <c r="AH719" s="242"/>
      <c r="AS719" s="223">
        <f t="shared" si="313"/>
        <v>0</v>
      </c>
      <c r="AT719" s="223">
        <f t="shared" si="314"/>
        <v>0</v>
      </c>
    </row>
    <row r="720" spans="2:46" ht="15.75" x14ac:dyDescent="0.25">
      <c r="B720" s="229"/>
      <c r="C720" s="235"/>
      <c r="D720" s="243"/>
      <c r="E720" s="232"/>
      <c r="F720" s="233"/>
      <c r="G720" s="234"/>
      <c r="H720" s="235"/>
      <c r="I720" s="235"/>
      <c r="J720" s="236"/>
      <c r="K720" s="237">
        <f ca="1">ROUND(IF(ISERROR(OFFSET(Tabella!$A$1,MATCH(H720,Tabella!$A:$A,0)-1,MATCH(J720,Tabella!$A$1:$AC$1,0)-1)=TRUE),0,+OFFSET(Tabella!$A$1,MATCH(H720,Tabella!$A:$A,0)-1,MATCH(J720,Tabella!$A$1:$AC$1,0)-1)),4)</f>
        <v>0</v>
      </c>
      <c r="L720" s="238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238">
        <f ca="1">ROUND(IF(ISERROR(OFFSET(Rame!$A$1,MATCH(H720,Rame!$A:$A,0)-1,MATCH(J720,Rame!$A$1:$AA$1,0)-1)=TRUE),0,OFFSET(Rame!$A$1,MATCH(H720,Rame!$A:$A,0)-1,MATCH(J720,Rame!$A$1:$AA$1,0)-1))*IF(E720="Rame",1,0),4)</f>
        <v>0</v>
      </c>
      <c r="N720" s="238">
        <v>0</v>
      </c>
      <c r="O720" s="238">
        <f t="shared" ca="1" si="312"/>
        <v>0</v>
      </c>
      <c r="P720" s="238">
        <f ca="1">ROUND(+IF(ISERROR(OFFSET(Tabella!$G$1,MATCH(H720,Tabella!$G:$G,0)-1,MATCH(I720,Tabella!$G$1:$FG$1,0)-1)=TRUE),0,OFFSET(Tabella!$G$1,MATCH(H720,Tabella!$G:$G,0)-1,MATCH(I720,Tabella!$G$1:$AB$1,0)-1)),4)</f>
        <v>0</v>
      </c>
      <c r="Q720" s="238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238">
        <f ca="1">ROUND(IF(ISERROR(OFFSET(Rame!$F$1,MATCH(H720,Rame!$F:$F,0)-1,MATCH(I720,Rame!$F$1:$FF$1,0)-1)=TRUE),0,OFFSET(Rame!$F$1,MATCH(H720,Rame!$F:$F,0)-1,MATCH(I720,Rame!$F$1:$FF$1,0)-1))*IF(E720="Rame",1,0),4)</f>
        <v>0</v>
      </c>
      <c r="S720" s="238">
        <f ca="1">ROUND(IF(ISERROR(OFFSET(Bronzo!$A$1,MATCH(H720,Bronzo!$A:$A,0)-1,MATCH(I720,Bronzo!$A$1:$AA$1,0)-1)=TRUE),0,OFFSET(Bronzo!$A$1,MATCH(H720,Bronzo!$A:$A,0)-1,MATCH(I720,Bronzo!$A$1:$AA$1,0)-1)),4)</f>
        <v>0</v>
      </c>
      <c r="T720" s="238">
        <f t="shared" ca="1" si="309"/>
        <v>0</v>
      </c>
      <c r="U720" s="237"/>
      <c r="V720" s="238">
        <v>0</v>
      </c>
      <c r="W720" s="239">
        <f t="shared" ca="1" si="310"/>
        <v>0</v>
      </c>
      <c r="X720" s="240">
        <f t="shared" si="307"/>
        <v>0</v>
      </c>
      <c r="Y720" s="236"/>
      <c r="Z720" s="236">
        <f t="shared" ca="1" si="311"/>
        <v>0</v>
      </c>
      <c r="AA720" s="241"/>
      <c r="AF720" s="225">
        <f t="shared" ca="1" si="315"/>
        <v>46236</v>
      </c>
      <c r="AG720" s="225" t="b">
        <f t="shared" si="308"/>
        <v>1</v>
      </c>
      <c r="AH720" s="242"/>
      <c r="AS720" s="223">
        <f t="shared" si="313"/>
        <v>0</v>
      </c>
      <c r="AT720" s="223">
        <f t="shared" si="314"/>
        <v>0</v>
      </c>
    </row>
    <row r="721" spans="2:46" ht="15.75" x14ac:dyDescent="0.25">
      <c r="B721" s="229"/>
      <c r="C721" s="235"/>
      <c r="D721" s="243"/>
      <c r="E721" s="232"/>
      <c r="F721" s="233"/>
      <c r="G721" s="234"/>
      <c r="H721" s="235"/>
      <c r="I721" s="235"/>
      <c r="J721" s="236"/>
      <c r="K721" s="237">
        <f ca="1">ROUND(IF(ISERROR(OFFSET(Tabella!$A$1,MATCH(H721,Tabella!$A:$A,0)-1,MATCH(J721,Tabella!$A$1:$AC$1,0)-1)=TRUE),0,+OFFSET(Tabella!$A$1,MATCH(H721,Tabella!$A:$A,0)-1,MATCH(J721,Tabella!$A$1:$AC$1,0)-1)),4)</f>
        <v>0</v>
      </c>
      <c r="L721" s="238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238">
        <f ca="1">ROUND(IF(ISERROR(OFFSET(Rame!$A$1,MATCH(H721,Rame!$A:$A,0)-1,MATCH(J721,Rame!$A$1:$AA$1,0)-1)=TRUE),0,OFFSET(Rame!$A$1,MATCH(H721,Rame!$A:$A,0)-1,MATCH(J721,Rame!$A$1:$AA$1,0)-1))*IF(E721="Rame",1,0),4)</f>
        <v>0</v>
      </c>
      <c r="N721" s="238">
        <v>0</v>
      </c>
      <c r="O721" s="238">
        <f t="shared" ca="1" si="312"/>
        <v>0</v>
      </c>
      <c r="P721" s="238">
        <f ca="1">ROUND(+IF(ISERROR(OFFSET(Tabella!$G$1,MATCH(H721,Tabella!$G:$G,0)-1,MATCH(I721,Tabella!$G$1:$FG$1,0)-1)=TRUE),0,OFFSET(Tabella!$G$1,MATCH(H721,Tabella!$G:$G,0)-1,MATCH(I721,Tabella!$G$1:$AB$1,0)-1)),4)</f>
        <v>0</v>
      </c>
      <c r="Q721" s="238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238">
        <f ca="1">ROUND(IF(ISERROR(OFFSET(Rame!$F$1,MATCH(H721,Rame!$F:$F,0)-1,MATCH(I721,Rame!$F$1:$FF$1,0)-1)=TRUE),0,OFFSET(Rame!$F$1,MATCH(H721,Rame!$F:$F,0)-1,MATCH(I721,Rame!$F$1:$FF$1,0)-1))*IF(E721="Rame",1,0),4)</f>
        <v>0</v>
      </c>
      <c r="S721" s="238">
        <f ca="1">ROUND(IF(ISERROR(OFFSET(Bronzo!$A$1,MATCH(H721,Bronzo!$A:$A,0)-1,MATCH(I721,Bronzo!$A$1:$AA$1,0)-1)=TRUE),0,OFFSET(Bronzo!$A$1,MATCH(H721,Bronzo!$A:$A,0)-1,MATCH(I721,Bronzo!$A$1:$AA$1,0)-1)),4)</f>
        <v>0</v>
      </c>
      <c r="T721" s="238">
        <f t="shared" ca="1" si="309"/>
        <v>0</v>
      </c>
      <c r="U721" s="237"/>
      <c r="V721" s="238">
        <v>0</v>
      </c>
      <c r="W721" s="239">
        <f t="shared" ca="1" si="310"/>
        <v>0</v>
      </c>
      <c r="X721" s="240">
        <f t="shared" si="307"/>
        <v>0</v>
      </c>
      <c r="Y721" s="236"/>
      <c r="Z721" s="236">
        <f t="shared" ca="1" si="311"/>
        <v>0</v>
      </c>
      <c r="AA721" s="241"/>
      <c r="AF721" s="225">
        <f t="shared" ca="1" si="315"/>
        <v>46236</v>
      </c>
      <c r="AG721" s="225" t="b">
        <f t="shared" si="308"/>
        <v>1</v>
      </c>
      <c r="AH721" s="242"/>
      <c r="AS721" s="223">
        <f t="shared" si="313"/>
        <v>0</v>
      </c>
      <c r="AT721" s="223">
        <f t="shared" si="314"/>
        <v>0</v>
      </c>
    </row>
    <row r="722" spans="2:46" ht="15.75" x14ac:dyDescent="0.25">
      <c r="B722" s="229"/>
      <c r="C722" s="235"/>
      <c r="D722" s="243"/>
      <c r="E722" s="232"/>
      <c r="F722" s="233"/>
      <c r="G722" s="234"/>
      <c r="H722" s="235"/>
      <c r="I722" s="235"/>
      <c r="J722" s="236"/>
      <c r="K722" s="237">
        <f ca="1">ROUND(IF(ISERROR(OFFSET(Tabella!$A$1,MATCH(H722,Tabella!$A:$A,0)-1,MATCH(J722,Tabella!$A$1:$AC$1,0)-1)=TRUE),0,+OFFSET(Tabella!$A$1,MATCH(H722,Tabella!$A:$A,0)-1,MATCH(J722,Tabella!$A$1:$AC$1,0)-1)),4)</f>
        <v>0</v>
      </c>
      <c r="L722" s="238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238">
        <f ca="1">ROUND(IF(ISERROR(OFFSET(Rame!$A$1,MATCH(H722,Rame!$A:$A,0)-1,MATCH(J722,Rame!$A$1:$AA$1,0)-1)=TRUE),0,OFFSET(Rame!$A$1,MATCH(H722,Rame!$A:$A,0)-1,MATCH(J722,Rame!$A$1:$AA$1,0)-1))*IF(E722="Rame",1,0),4)</f>
        <v>0</v>
      </c>
      <c r="N722" s="238">
        <v>0</v>
      </c>
      <c r="O722" s="238">
        <f t="shared" ca="1" si="312"/>
        <v>0</v>
      </c>
      <c r="P722" s="238">
        <f ca="1">ROUND(+IF(ISERROR(OFFSET(Tabella!$G$1,MATCH(H722,Tabella!$G:$G,0)-1,MATCH(I722,Tabella!$G$1:$FG$1,0)-1)=TRUE),0,OFFSET(Tabella!$G$1,MATCH(H722,Tabella!$G:$G,0)-1,MATCH(I722,Tabella!$G$1:$AB$1,0)-1)),4)</f>
        <v>0</v>
      </c>
      <c r="Q722" s="238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238">
        <f ca="1">ROUND(IF(ISERROR(OFFSET(Rame!$F$1,MATCH(H722,Rame!$F:$F,0)-1,MATCH(I722,Rame!$F$1:$FF$1,0)-1)=TRUE),0,OFFSET(Rame!$F$1,MATCH(H722,Rame!$F:$F,0)-1,MATCH(I722,Rame!$F$1:$FF$1,0)-1))*IF(E722="Rame",1,0),4)</f>
        <v>0</v>
      </c>
      <c r="S722" s="238">
        <f ca="1">ROUND(IF(ISERROR(OFFSET(Bronzo!$A$1,MATCH(H722,Bronzo!$A:$A,0)-1,MATCH(I722,Bronzo!$A$1:$AA$1,0)-1)=TRUE),0,OFFSET(Bronzo!$A$1,MATCH(H722,Bronzo!$A:$A,0)-1,MATCH(I722,Bronzo!$A$1:$AA$1,0)-1)),4)</f>
        <v>0</v>
      </c>
      <c r="T722" s="238">
        <f t="shared" ca="1" si="309"/>
        <v>0</v>
      </c>
      <c r="U722" s="237"/>
      <c r="V722" s="238">
        <v>0</v>
      </c>
      <c r="W722" s="239">
        <f t="shared" ca="1" si="310"/>
        <v>0</v>
      </c>
      <c r="X722" s="240">
        <f t="shared" si="307"/>
        <v>0</v>
      </c>
      <c r="Y722" s="236"/>
      <c r="Z722" s="236">
        <f t="shared" ca="1" si="311"/>
        <v>0</v>
      </c>
      <c r="AA722" s="241"/>
      <c r="AF722" s="225">
        <f t="shared" ca="1" si="315"/>
        <v>46236</v>
      </c>
      <c r="AG722" s="225" t="b">
        <f t="shared" si="308"/>
        <v>1</v>
      </c>
      <c r="AH722" s="242"/>
      <c r="AS722" s="223">
        <f t="shared" si="313"/>
        <v>0</v>
      </c>
      <c r="AT722" s="223">
        <f t="shared" si="314"/>
        <v>0</v>
      </c>
    </row>
    <row r="723" spans="2:46" ht="15.75" x14ac:dyDescent="0.25">
      <c r="B723" s="229"/>
      <c r="C723" s="235"/>
      <c r="D723" s="243"/>
      <c r="E723" s="232"/>
      <c r="F723" s="233"/>
      <c r="G723" s="234"/>
      <c r="H723" s="235"/>
      <c r="I723" s="235"/>
      <c r="J723" s="236"/>
      <c r="K723" s="237">
        <f ca="1">ROUND(IF(ISERROR(OFFSET(Tabella!$A$1,MATCH(H723,Tabella!$A:$A,0)-1,MATCH(J723,Tabella!$A$1:$AC$1,0)-1)=TRUE),0,+OFFSET(Tabella!$A$1,MATCH(H723,Tabella!$A:$A,0)-1,MATCH(J723,Tabella!$A$1:$AC$1,0)-1)),4)</f>
        <v>0</v>
      </c>
      <c r="L723" s="238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238">
        <f ca="1">ROUND(IF(ISERROR(OFFSET(Rame!$A$1,MATCH(H723,Rame!$A:$A,0)-1,MATCH(J723,Rame!$A$1:$AA$1,0)-1)=TRUE),0,OFFSET(Rame!$A$1,MATCH(H723,Rame!$A:$A,0)-1,MATCH(J723,Rame!$A$1:$AA$1,0)-1))*IF(E723="Rame",1,0),4)</f>
        <v>0</v>
      </c>
      <c r="N723" s="238">
        <v>0</v>
      </c>
      <c r="O723" s="238">
        <f t="shared" ca="1" si="312"/>
        <v>0</v>
      </c>
      <c r="P723" s="238">
        <f ca="1">ROUND(+IF(ISERROR(OFFSET(Tabella!$G$1,MATCH(H723,Tabella!$G:$G,0)-1,MATCH(I723,Tabella!$G$1:$FG$1,0)-1)=TRUE),0,OFFSET(Tabella!$G$1,MATCH(H723,Tabella!$G:$G,0)-1,MATCH(I723,Tabella!$G$1:$AB$1,0)-1)),4)</f>
        <v>0</v>
      </c>
      <c r="Q723" s="238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238">
        <f ca="1">ROUND(IF(ISERROR(OFFSET(Rame!$F$1,MATCH(H723,Rame!$F:$F,0)-1,MATCH(I723,Rame!$F$1:$FF$1,0)-1)=TRUE),0,OFFSET(Rame!$F$1,MATCH(H723,Rame!$F:$F,0)-1,MATCH(I723,Rame!$F$1:$FF$1,0)-1))*IF(E723="Rame",1,0),4)</f>
        <v>0</v>
      </c>
      <c r="S723" s="238">
        <f ca="1">ROUND(IF(ISERROR(OFFSET(Bronzo!$A$1,MATCH(H723,Bronzo!$A:$A,0)-1,MATCH(I723,Bronzo!$A$1:$AA$1,0)-1)=TRUE),0,OFFSET(Bronzo!$A$1,MATCH(H723,Bronzo!$A:$A,0)-1,MATCH(I723,Bronzo!$A$1:$AA$1,0)-1)),4)</f>
        <v>0</v>
      </c>
      <c r="T723" s="238">
        <f t="shared" ca="1" si="309"/>
        <v>0</v>
      </c>
      <c r="U723" s="237"/>
      <c r="V723" s="238">
        <v>0</v>
      </c>
      <c r="W723" s="239">
        <f t="shared" ca="1" si="310"/>
        <v>0</v>
      </c>
      <c r="X723" s="240">
        <f t="shared" si="307"/>
        <v>0</v>
      </c>
      <c r="Y723" s="236"/>
      <c r="Z723" s="236">
        <f t="shared" ca="1" si="311"/>
        <v>0</v>
      </c>
      <c r="AA723" s="241"/>
      <c r="AF723" s="225">
        <f t="shared" ca="1" si="315"/>
        <v>46236</v>
      </c>
      <c r="AG723" s="225" t="b">
        <f t="shared" si="308"/>
        <v>1</v>
      </c>
      <c r="AH723" s="242"/>
      <c r="AS723" s="223">
        <f t="shared" si="313"/>
        <v>0</v>
      </c>
      <c r="AT723" s="223">
        <f t="shared" si="314"/>
        <v>0</v>
      </c>
    </row>
    <row r="724" spans="2:46" ht="15.75" x14ac:dyDescent="0.25">
      <c r="B724" s="229"/>
      <c r="C724" s="235"/>
      <c r="D724" s="243"/>
      <c r="E724" s="232"/>
      <c r="F724" s="233"/>
      <c r="G724" s="234"/>
      <c r="H724" s="235"/>
      <c r="I724" s="235"/>
      <c r="J724" s="236"/>
      <c r="K724" s="237">
        <f ca="1">ROUND(IF(ISERROR(OFFSET(Tabella!$A$1,MATCH(H724,Tabella!$A:$A,0)-1,MATCH(J724,Tabella!$A$1:$AC$1,0)-1)=TRUE),0,+OFFSET(Tabella!$A$1,MATCH(H724,Tabella!$A:$A,0)-1,MATCH(J724,Tabella!$A$1:$AC$1,0)-1)),4)</f>
        <v>0</v>
      </c>
      <c r="L724" s="238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238">
        <f ca="1">ROUND(IF(ISERROR(OFFSET(Rame!$A$1,MATCH(H724,Rame!$A:$A,0)-1,MATCH(J724,Rame!$A$1:$AA$1,0)-1)=TRUE),0,OFFSET(Rame!$A$1,MATCH(H724,Rame!$A:$A,0)-1,MATCH(J724,Rame!$A$1:$AA$1,0)-1))*IF(E724="Rame",1,0),4)</f>
        <v>0</v>
      </c>
      <c r="N724" s="238">
        <v>0</v>
      </c>
      <c r="O724" s="238">
        <f t="shared" ca="1" si="312"/>
        <v>0</v>
      </c>
      <c r="P724" s="238">
        <f ca="1">ROUND(+IF(ISERROR(OFFSET(Tabella!$G$1,MATCH(H724,Tabella!$G:$G,0)-1,MATCH(I724,Tabella!$G$1:$FG$1,0)-1)=TRUE),0,OFFSET(Tabella!$G$1,MATCH(H724,Tabella!$G:$G,0)-1,MATCH(I724,Tabella!$G$1:$AB$1,0)-1)),4)</f>
        <v>0</v>
      </c>
      <c r="Q724" s="238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238">
        <f ca="1">ROUND(IF(ISERROR(OFFSET(Rame!$F$1,MATCH(H724,Rame!$F:$F,0)-1,MATCH(I724,Rame!$F$1:$FF$1,0)-1)=TRUE),0,OFFSET(Rame!$F$1,MATCH(H724,Rame!$F:$F,0)-1,MATCH(I724,Rame!$F$1:$FF$1,0)-1))*IF(E724="Rame",1,0),4)</f>
        <v>0</v>
      </c>
      <c r="S724" s="238">
        <f ca="1">ROUND(IF(ISERROR(OFFSET(Bronzo!$A$1,MATCH(H724,Bronzo!$A:$A,0)-1,MATCH(I724,Bronzo!$A$1:$AA$1,0)-1)=TRUE),0,OFFSET(Bronzo!$A$1,MATCH(H724,Bronzo!$A:$A,0)-1,MATCH(I724,Bronzo!$A$1:$AA$1,0)-1)),4)</f>
        <v>0</v>
      </c>
      <c r="T724" s="238">
        <f t="shared" ca="1" si="309"/>
        <v>0</v>
      </c>
      <c r="U724" s="237"/>
      <c r="V724" s="238">
        <v>0</v>
      </c>
      <c r="W724" s="239">
        <f t="shared" ca="1" si="310"/>
        <v>0</v>
      </c>
      <c r="X724" s="240">
        <f t="shared" si="307"/>
        <v>0</v>
      </c>
      <c r="Y724" s="236"/>
      <c r="Z724" s="236">
        <f t="shared" ca="1" si="311"/>
        <v>0</v>
      </c>
      <c r="AA724" s="241"/>
      <c r="AF724" s="225">
        <f t="shared" ca="1" si="315"/>
        <v>46236</v>
      </c>
      <c r="AG724" s="225" t="b">
        <f t="shared" si="308"/>
        <v>1</v>
      </c>
      <c r="AH724" s="242"/>
      <c r="AS724" s="223">
        <f t="shared" si="313"/>
        <v>0</v>
      </c>
      <c r="AT724" s="223">
        <f t="shared" si="314"/>
        <v>0</v>
      </c>
    </row>
    <row r="725" spans="2:46" ht="15.75" x14ac:dyDescent="0.25">
      <c r="B725" s="229"/>
      <c r="C725" s="235"/>
      <c r="D725" s="243"/>
      <c r="E725" s="232"/>
      <c r="F725" s="233"/>
      <c r="G725" s="234"/>
      <c r="H725" s="235"/>
      <c r="I725" s="235"/>
      <c r="J725" s="236"/>
      <c r="K725" s="237">
        <f ca="1">ROUND(IF(ISERROR(OFFSET(Tabella!$A$1,MATCH(H725,Tabella!$A:$A,0)-1,MATCH(J725,Tabella!$A$1:$AC$1,0)-1)=TRUE),0,+OFFSET(Tabella!$A$1,MATCH(H725,Tabella!$A:$A,0)-1,MATCH(J725,Tabella!$A$1:$AC$1,0)-1)),4)</f>
        <v>0</v>
      </c>
      <c r="L725" s="238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238">
        <f ca="1">ROUND(IF(ISERROR(OFFSET(Rame!$A$1,MATCH(H725,Rame!$A:$A,0)-1,MATCH(J725,Rame!$A$1:$AA$1,0)-1)=TRUE),0,OFFSET(Rame!$A$1,MATCH(H725,Rame!$A:$A,0)-1,MATCH(J725,Rame!$A$1:$AA$1,0)-1))*IF(E725="Rame",1,0),4)</f>
        <v>0</v>
      </c>
      <c r="N725" s="238">
        <v>0</v>
      </c>
      <c r="O725" s="238">
        <f t="shared" ca="1" si="312"/>
        <v>0</v>
      </c>
      <c r="P725" s="238">
        <f ca="1">ROUND(+IF(ISERROR(OFFSET(Tabella!$G$1,MATCH(H725,Tabella!$G:$G,0)-1,MATCH(I725,Tabella!$G$1:$FG$1,0)-1)=TRUE),0,OFFSET(Tabella!$G$1,MATCH(H725,Tabella!$G:$G,0)-1,MATCH(I725,Tabella!$G$1:$AB$1,0)-1)),4)</f>
        <v>0</v>
      </c>
      <c r="Q725" s="238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238">
        <f ca="1">ROUND(IF(ISERROR(OFFSET(Rame!$F$1,MATCH(H725,Rame!$F:$F,0)-1,MATCH(I725,Rame!$F$1:$FF$1,0)-1)=TRUE),0,OFFSET(Rame!$F$1,MATCH(H725,Rame!$F:$F,0)-1,MATCH(I725,Rame!$F$1:$FF$1,0)-1))*IF(E725="Rame",1,0),4)</f>
        <v>0</v>
      </c>
      <c r="S725" s="238">
        <f ca="1">ROUND(IF(ISERROR(OFFSET(Bronzo!$A$1,MATCH(H725,Bronzo!$A:$A,0)-1,MATCH(I725,Bronzo!$A$1:$AA$1,0)-1)=TRUE),0,OFFSET(Bronzo!$A$1,MATCH(H725,Bronzo!$A:$A,0)-1,MATCH(I725,Bronzo!$A$1:$AA$1,0)-1)),4)</f>
        <v>0</v>
      </c>
      <c r="T725" s="238">
        <f t="shared" ca="1" si="309"/>
        <v>0</v>
      </c>
      <c r="U725" s="237"/>
      <c r="V725" s="238">
        <v>0</v>
      </c>
      <c r="W725" s="239">
        <f t="shared" ca="1" si="310"/>
        <v>0</v>
      </c>
      <c r="X725" s="240">
        <f t="shared" si="307"/>
        <v>0</v>
      </c>
      <c r="Y725" s="236"/>
      <c r="Z725" s="236">
        <f t="shared" ca="1" si="311"/>
        <v>0</v>
      </c>
      <c r="AA725" s="241"/>
      <c r="AF725" s="225">
        <f t="shared" ca="1" si="315"/>
        <v>46236</v>
      </c>
      <c r="AG725" s="225" t="b">
        <f t="shared" si="308"/>
        <v>1</v>
      </c>
      <c r="AH725" s="242"/>
      <c r="AS725" s="223">
        <f t="shared" si="313"/>
        <v>0</v>
      </c>
      <c r="AT725" s="223">
        <f t="shared" si="314"/>
        <v>0</v>
      </c>
    </row>
    <row r="726" spans="2:46" ht="15.75" x14ac:dyDescent="0.25">
      <c r="B726" s="229"/>
      <c r="C726" s="235"/>
      <c r="D726" s="243"/>
      <c r="E726" s="232"/>
      <c r="F726" s="233"/>
      <c r="G726" s="234"/>
      <c r="H726" s="235"/>
      <c r="I726" s="235"/>
      <c r="J726" s="236"/>
      <c r="K726" s="237">
        <f ca="1">ROUND(IF(ISERROR(OFFSET(Tabella!$A$1,MATCH(H726,Tabella!$A:$A,0)-1,MATCH(J726,Tabella!$A$1:$AC$1,0)-1)=TRUE),0,+OFFSET(Tabella!$A$1,MATCH(H726,Tabella!$A:$A,0)-1,MATCH(J726,Tabella!$A$1:$AC$1,0)-1)),4)</f>
        <v>0</v>
      </c>
      <c r="L726" s="238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238">
        <f ca="1">ROUND(IF(ISERROR(OFFSET(Rame!$A$1,MATCH(H726,Rame!$A:$A,0)-1,MATCH(J726,Rame!$A$1:$AA$1,0)-1)=TRUE),0,OFFSET(Rame!$A$1,MATCH(H726,Rame!$A:$A,0)-1,MATCH(J726,Rame!$A$1:$AA$1,0)-1))*IF(E726="Rame",1,0),4)</f>
        <v>0</v>
      </c>
      <c r="N726" s="238">
        <v>0</v>
      </c>
      <c r="O726" s="238">
        <f t="shared" ca="1" si="312"/>
        <v>0</v>
      </c>
      <c r="P726" s="238">
        <f ca="1">ROUND(+IF(ISERROR(OFFSET(Tabella!$G$1,MATCH(H726,Tabella!$G:$G,0)-1,MATCH(I726,Tabella!$G$1:$FG$1,0)-1)=TRUE),0,OFFSET(Tabella!$G$1,MATCH(H726,Tabella!$G:$G,0)-1,MATCH(I726,Tabella!$G$1:$AB$1,0)-1)),4)</f>
        <v>0</v>
      </c>
      <c r="Q726" s="238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238">
        <f ca="1">ROUND(IF(ISERROR(OFFSET(Rame!$F$1,MATCH(H726,Rame!$F:$F,0)-1,MATCH(I726,Rame!$F$1:$FF$1,0)-1)=TRUE),0,OFFSET(Rame!$F$1,MATCH(H726,Rame!$F:$F,0)-1,MATCH(I726,Rame!$F$1:$FF$1,0)-1))*IF(E726="Rame",1,0),4)</f>
        <v>0</v>
      </c>
      <c r="S726" s="238">
        <f ca="1">ROUND(IF(ISERROR(OFFSET(Bronzo!$A$1,MATCH(H726,Bronzo!$A:$A,0)-1,MATCH(I726,Bronzo!$A$1:$AA$1,0)-1)=TRUE),0,OFFSET(Bronzo!$A$1,MATCH(H726,Bronzo!$A:$A,0)-1,MATCH(I726,Bronzo!$A$1:$AA$1,0)-1)),4)</f>
        <v>0</v>
      </c>
      <c r="T726" s="238">
        <f t="shared" ca="1" si="309"/>
        <v>0</v>
      </c>
      <c r="U726" s="237"/>
      <c r="V726" s="238">
        <v>0</v>
      </c>
      <c r="W726" s="239">
        <f t="shared" ca="1" si="310"/>
        <v>0</v>
      </c>
      <c r="X726" s="240">
        <f t="shared" si="307"/>
        <v>0</v>
      </c>
      <c r="Y726" s="236"/>
      <c r="Z726" s="236">
        <f t="shared" ca="1" si="311"/>
        <v>0</v>
      </c>
      <c r="AA726" s="241"/>
      <c r="AF726" s="225">
        <f t="shared" ca="1" si="315"/>
        <v>46236</v>
      </c>
      <c r="AG726" s="225" t="b">
        <f t="shared" si="308"/>
        <v>1</v>
      </c>
      <c r="AH726" s="242"/>
      <c r="AS726" s="223">
        <f t="shared" si="313"/>
        <v>0</v>
      </c>
      <c r="AT726" s="223">
        <f t="shared" si="314"/>
        <v>0</v>
      </c>
    </row>
    <row r="727" spans="2:46" ht="15.75" x14ac:dyDescent="0.25">
      <c r="B727" s="229"/>
      <c r="C727" s="235"/>
      <c r="D727" s="243"/>
      <c r="E727" s="232"/>
      <c r="F727" s="233"/>
      <c r="G727" s="234"/>
      <c r="H727" s="235"/>
      <c r="I727" s="235"/>
      <c r="J727" s="236"/>
      <c r="K727" s="237">
        <f ca="1">ROUND(IF(ISERROR(OFFSET(Tabella!$A$1,MATCH(H727,Tabella!$A:$A,0)-1,MATCH(J727,Tabella!$A$1:$AC$1,0)-1)=TRUE),0,+OFFSET(Tabella!$A$1,MATCH(H727,Tabella!$A:$A,0)-1,MATCH(J727,Tabella!$A$1:$AC$1,0)-1)),4)</f>
        <v>0</v>
      </c>
      <c r="L727" s="238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238">
        <f ca="1">ROUND(IF(ISERROR(OFFSET(Rame!$A$1,MATCH(H727,Rame!$A:$A,0)-1,MATCH(J727,Rame!$A$1:$AA$1,0)-1)=TRUE),0,OFFSET(Rame!$A$1,MATCH(H727,Rame!$A:$A,0)-1,MATCH(J727,Rame!$A$1:$AA$1,0)-1))*IF(E727="Rame",1,0),4)</f>
        <v>0</v>
      </c>
      <c r="N727" s="238">
        <v>0</v>
      </c>
      <c r="O727" s="238">
        <f t="shared" ca="1" si="312"/>
        <v>0</v>
      </c>
      <c r="P727" s="238">
        <f ca="1">ROUND(+IF(ISERROR(OFFSET(Tabella!$G$1,MATCH(H727,Tabella!$G:$G,0)-1,MATCH(I727,Tabella!$G$1:$FG$1,0)-1)=TRUE),0,OFFSET(Tabella!$G$1,MATCH(H727,Tabella!$G:$G,0)-1,MATCH(I727,Tabella!$G$1:$AB$1,0)-1)),4)</f>
        <v>0</v>
      </c>
      <c r="Q727" s="238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238">
        <f ca="1">ROUND(IF(ISERROR(OFFSET(Rame!$F$1,MATCH(H727,Rame!$F:$F,0)-1,MATCH(I727,Rame!$F$1:$FF$1,0)-1)=TRUE),0,OFFSET(Rame!$F$1,MATCH(H727,Rame!$F:$F,0)-1,MATCH(I727,Rame!$F$1:$FF$1,0)-1))*IF(E727="Rame",1,0),4)</f>
        <v>0</v>
      </c>
      <c r="S727" s="238">
        <f ca="1">ROUND(IF(ISERROR(OFFSET(Bronzo!$A$1,MATCH(H727,Bronzo!$A:$A,0)-1,MATCH(I727,Bronzo!$A$1:$AA$1,0)-1)=TRUE),0,OFFSET(Bronzo!$A$1,MATCH(H727,Bronzo!$A:$A,0)-1,MATCH(I727,Bronzo!$A$1:$AA$1,0)-1)),4)</f>
        <v>0</v>
      </c>
      <c r="T727" s="238">
        <f t="shared" ca="1" si="309"/>
        <v>0</v>
      </c>
      <c r="U727" s="237"/>
      <c r="V727" s="238">
        <v>0</v>
      </c>
      <c r="W727" s="239">
        <f t="shared" ca="1" si="310"/>
        <v>0</v>
      </c>
      <c r="X727" s="240">
        <f t="shared" si="307"/>
        <v>0</v>
      </c>
      <c r="Y727" s="236"/>
      <c r="Z727" s="236">
        <f t="shared" ca="1" si="311"/>
        <v>0</v>
      </c>
      <c r="AA727" s="241"/>
      <c r="AF727" s="225">
        <f t="shared" ca="1" si="315"/>
        <v>46236</v>
      </c>
      <c r="AG727" s="225" t="b">
        <f t="shared" si="308"/>
        <v>1</v>
      </c>
      <c r="AH727" s="242"/>
      <c r="AS727" s="223">
        <f t="shared" si="313"/>
        <v>0</v>
      </c>
      <c r="AT727" s="223">
        <f t="shared" si="314"/>
        <v>0</v>
      </c>
    </row>
    <row r="728" spans="2:46" ht="15.75" x14ac:dyDescent="0.25">
      <c r="B728" s="229"/>
      <c r="C728" s="235"/>
      <c r="D728" s="243"/>
      <c r="E728" s="232"/>
      <c r="F728" s="233"/>
      <c r="G728" s="234"/>
      <c r="H728" s="235"/>
      <c r="I728" s="235"/>
      <c r="J728" s="236"/>
      <c r="K728" s="237">
        <f ca="1">ROUND(IF(ISERROR(OFFSET(Tabella!$A$1,MATCH(H728,Tabella!$A:$A,0)-1,MATCH(J728,Tabella!$A$1:$AC$1,0)-1)=TRUE),0,+OFFSET(Tabella!$A$1,MATCH(H728,Tabella!$A:$A,0)-1,MATCH(J728,Tabella!$A$1:$AC$1,0)-1)),4)</f>
        <v>0</v>
      </c>
      <c r="L728" s="238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238">
        <f ca="1">ROUND(IF(ISERROR(OFFSET(Rame!$A$1,MATCH(H728,Rame!$A:$A,0)-1,MATCH(J728,Rame!$A$1:$AA$1,0)-1)=TRUE),0,OFFSET(Rame!$A$1,MATCH(H728,Rame!$A:$A,0)-1,MATCH(J728,Rame!$A$1:$AA$1,0)-1))*IF(E728="Rame",1,0),4)</f>
        <v>0</v>
      </c>
      <c r="N728" s="238">
        <v>0</v>
      </c>
      <c r="O728" s="238">
        <f t="shared" ca="1" si="312"/>
        <v>0</v>
      </c>
      <c r="P728" s="238">
        <f ca="1">ROUND(+IF(ISERROR(OFFSET(Tabella!$G$1,MATCH(H728,Tabella!$G:$G,0)-1,MATCH(I728,Tabella!$G$1:$FG$1,0)-1)=TRUE),0,OFFSET(Tabella!$G$1,MATCH(H728,Tabella!$G:$G,0)-1,MATCH(I728,Tabella!$G$1:$AB$1,0)-1)),4)</f>
        <v>0</v>
      </c>
      <c r="Q728" s="238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238">
        <f ca="1">ROUND(IF(ISERROR(OFFSET(Rame!$F$1,MATCH(H728,Rame!$F:$F,0)-1,MATCH(I728,Rame!$F$1:$FF$1,0)-1)=TRUE),0,OFFSET(Rame!$F$1,MATCH(H728,Rame!$F:$F,0)-1,MATCH(I728,Rame!$F$1:$FF$1,0)-1))*IF(E728="Rame",1,0),4)</f>
        <v>0</v>
      </c>
      <c r="S728" s="238">
        <f ca="1">ROUND(IF(ISERROR(OFFSET(Bronzo!$A$1,MATCH(H728,Bronzo!$A:$A,0)-1,MATCH(I728,Bronzo!$A$1:$AA$1,0)-1)=TRUE),0,OFFSET(Bronzo!$A$1,MATCH(H728,Bronzo!$A:$A,0)-1,MATCH(I728,Bronzo!$A$1:$AA$1,0)-1)),4)</f>
        <v>0</v>
      </c>
      <c r="T728" s="238">
        <f t="shared" ca="1" si="309"/>
        <v>0</v>
      </c>
      <c r="U728" s="237"/>
      <c r="V728" s="238">
        <v>0</v>
      </c>
      <c r="W728" s="239">
        <f t="shared" ca="1" si="310"/>
        <v>0</v>
      </c>
      <c r="X728" s="240">
        <f t="shared" si="307"/>
        <v>0</v>
      </c>
      <c r="Y728" s="236"/>
      <c r="Z728" s="236">
        <f t="shared" ca="1" si="311"/>
        <v>0</v>
      </c>
      <c r="AA728" s="241"/>
      <c r="AF728" s="225">
        <f t="shared" ca="1" si="315"/>
        <v>46236</v>
      </c>
      <c r="AG728" s="225" t="b">
        <f t="shared" si="308"/>
        <v>1</v>
      </c>
      <c r="AH728" s="242"/>
      <c r="AS728" s="223">
        <f t="shared" si="313"/>
        <v>0</v>
      </c>
      <c r="AT728" s="223">
        <f t="shared" si="314"/>
        <v>0</v>
      </c>
    </row>
    <row r="729" spans="2:46" ht="15.75" x14ac:dyDescent="0.25">
      <c r="B729" s="229"/>
      <c r="C729" s="235"/>
      <c r="D729" s="243"/>
      <c r="E729" s="232"/>
      <c r="F729" s="233"/>
      <c r="G729" s="234"/>
      <c r="H729" s="235"/>
      <c r="I729" s="235"/>
      <c r="J729" s="236"/>
      <c r="K729" s="237">
        <f ca="1">ROUND(IF(ISERROR(OFFSET(Tabella!$A$1,MATCH(H729,Tabella!$A:$A,0)-1,MATCH(J729,Tabella!$A$1:$AC$1,0)-1)=TRUE),0,+OFFSET(Tabella!$A$1,MATCH(H729,Tabella!$A:$A,0)-1,MATCH(J729,Tabella!$A$1:$AC$1,0)-1)),4)</f>
        <v>0</v>
      </c>
      <c r="L729" s="238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238">
        <f ca="1">ROUND(IF(ISERROR(OFFSET(Rame!$A$1,MATCH(H729,Rame!$A:$A,0)-1,MATCH(J729,Rame!$A$1:$AA$1,0)-1)=TRUE),0,OFFSET(Rame!$A$1,MATCH(H729,Rame!$A:$A,0)-1,MATCH(J729,Rame!$A$1:$AA$1,0)-1))*IF(E729="Rame",1,0),4)</f>
        <v>0</v>
      </c>
      <c r="N729" s="238">
        <v>0</v>
      </c>
      <c r="O729" s="238">
        <f t="shared" ca="1" si="312"/>
        <v>0</v>
      </c>
      <c r="P729" s="238">
        <f ca="1">ROUND(+IF(ISERROR(OFFSET(Tabella!$G$1,MATCH(H729,Tabella!$G:$G,0)-1,MATCH(I729,Tabella!$G$1:$FG$1,0)-1)=TRUE),0,OFFSET(Tabella!$G$1,MATCH(H729,Tabella!$G:$G,0)-1,MATCH(I729,Tabella!$G$1:$AB$1,0)-1)),4)</f>
        <v>0</v>
      </c>
      <c r="Q729" s="238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238">
        <f ca="1">ROUND(IF(ISERROR(OFFSET(Rame!$F$1,MATCH(H729,Rame!$F:$F,0)-1,MATCH(I729,Rame!$F$1:$FF$1,0)-1)=TRUE),0,OFFSET(Rame!$F$1,MATCH(H729,Rame!$F:$F,0)-1,MATCH(I729,Rame!$F$1:$FF$1,0)-1))*IF(E729="Rame",1,0),4)</f>
        <v>0</v>
      </c>
      <c r="S729" s="238">
        <f ca="1">ROUND(IF(ISERROR(OFFSET(Bronzo!$A$1,MATCH(H729,Bronzo!$A:$A,0)-1,MATCH(I729,Bronzo!$A$1:$AA$1,0)-1)=TRUE),0,OFFSET(Bronzo!$A$1,MATCH(H729,Bronzo!$A:$A,0)-1,MATCH(I729,Bronzo!$A$1:$AA$1,0)-1)),4)</f>
        <v>0</v>
      </c>
      <c r="T729" s="238">
        <f t="shared" ca="1" si="309"/>
        <v>0</v>
      </c>
      <c r="U729" s="237"/>
      <c r="V729" s="238">
        <v>0</v>
      </c>
      <c r="W729" s="239">
        <f t="shared" ca="1" si="310"/>
        <v>0</v>
      </c>
      <c r="X729" s="240">
        <f t="shared" si="307"/>
        <v>0</v>
      </c>
      <c r="Y729" s="236"/>
      <c r="Z729" s="236">
        <f t="shared" ca="1" si="311"/>
        <v>0</v>
      </c>
      <c r="AA729" s="241"/>
      <c r="AF729" s="225">
        <f t="shared" ca="1" si="315"/>
        <v>46236</v>
      </c>
      <c r="AG729" s="225" t="b">
        <f t="shared" si="308"/>
        <v>1</v>
      </c>
      <c r="AH729" s="242"/>
      <c r="AS729" s="223">
        <f t="shared" si="313"/>
        <v>0</v>
      </c>
      <c r="AT729" s="223">
        <f t="shared" si="314"/>
        <v>0</v>
      </c>
    </row>
    <row r="730" spans="2:46" ht="15.75" x14ac:dyDescent="0.25">
      <c r="B730" s="229"/>
      <c r="C730" s="235"/>
      <c r="D730" s="243"/>
      <c r="E730" s="232"/>
      <c r="F730" s="233"/>
      <c r="G730" s="234"/>
      <c r="H730" s="235"/>
      <c r="I730" s="235"/>
      <c r="J730" s="236"/>
      <c r="K730" s="237">
        <f ca="1">ROUND(IF(ISERROR(OFFSET(Tabella!$A$1,MATCH(H730,Tabella!$A:$A,0)-1,MATCH(J730,Tabella!$A$1:$AC$1,0)-1)=TRUE),0,+OFFSET(Tabella!$A$1,MATCH(H730,Tabella!$A:$A,0)-1,MATCH(J730,Tabella!$A$1:$AC$1,0)-1)),4)</f>
        <v>0</v>
      </c>
      <c r="L730" s="238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238">
        <f ca="1">ROUND(IF(ISERROR(OFFSET(Rame!$A$1,MATCH(H730,Rame!$A:$A,0)-1,MATCH(J730,Rame!$A$1:$AA$1,0)-1)=TRUE),0,OFFSET(Rame!$A$1,MATCH(H730,Rame!$A:$A,0)-1,MATCH(J730,Rame!$A$1:$AA$1,0)-1))*IF(E730="Rame",1,0),4)</f>
        <v>0</v>
      </c>
      <c r="N730" s="238">
        <v>0</v>
      </c>
      <c r="O730" s="238">
        <f t="shared" ca="1" si="312"/>
        <v>0</v>
      </c>
      <c r="P730" s="238">
        <f ca="1">ROUND(+IF(ISERROR(OFFSET(Tabella!$G$1,MATCH(H730,Tabella!$G:$G,0)-1,MATCH(I730,Tabella!$G$1:$FG$1,0)-1)=TRUE),0,OFFSET(Tabella!$G$1,MATCH(H730,Tabella!$G:$G,0)-1,MATCH(I730,Tabella!$G$1:$AB$1,0)-1)),4)</f>
        <v>0</v>
      </c>
      <c r="Q730" s="238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238">
        <f ca="1">ROUND(IF(ISERROR(OFFSET(Rame!$F$1,MATCH(H730,Rame!$F:$F,0)-1,MATCH(I730,Rame!$F$1:$FF$1,0)-1)=TRUE),0,OFFSET(Rame!$F$1,MATCH(H730,Rame!$F:$F,0)-1,MATCH(I730,Rame!$F$1:$FF$1,0)-1))*IF(E730="Rame",1,0),4)</f>
        <v>0</v>
      </c>
      <c r="S730" s="238">
        <f ca="1">ROUND(IF(ISERROR(OFFSET(Bronzo!$A$1,MATCH(H730,Bronzo!$A:$A,0)-1,MATCH(I730,Bronzo!$A$1:$AA$1,0)-1)=TRUE),0,OFFSET(Bronzo!$A$1,MATCH(H730,Bronzo!$A:$A,0)-1,MATCH(I730,Bronzo!$A$1:$AA$1,0)-1)),4)</f>
        <v>0</v>
      </c>
      <c r="T730" s="238">
        <f t="shared" ca="1" si="309"/>
        <v>0</v>
      </c>
      <c r="U730" s="237"/>
      <c r="V730" s="238">
        <v>0</v>
      </c>
      <c r="W730" s="239">
        <f t="shared" ca="1" si="310"/>
        <v>0</v>
      </c>
      <c r="X730" s="240">
        <f t="shared" si="307"/>
        <v>0</v>
      </c>
      <c r="Y730" s="236"/>
      <c r="Z730" s="236">
        <f t="shared" ca="1" si="311"/>
        <v>0</v>
      </c>
      <c r="AA730" s="241"/>
      <c r="AF730" s="225">
        <f t="shared" ca="1" si="315"/>
        <v>46236</v>
      </c>
      <c r="AG730" s="225" t="b">
        <f t="shared" si="308"/>
        <v>1</v>
      </c>
      <c r="AH730" s="242"/>
      <c r="AS730" s="223">
        <f t="shared" si="313"/>
        <v>0</v>
      </c>
      <c r="AT730" s="223">
        <f t="shared" si="314"/>
        <v>0</v>
      </c>
    </row>
    <row r="731" spans="2:46" ht="15.75" x14ac:dyDescent="0.25">
      <c r="B731" s="229"/>
      <c r="C731" s="235"/>
      <c r="D731" s="243"/>
      <c r="E731" s="232"/>
      <c r="F731" s="233"/>
      <c r="G731" s="234"/>
      <c r="H731" s="235"/>
      <c r="I731" s="235"/>
      <c r="J731" s="236"/>
      <c r="K731" s="237">
        <f ca="1">ROUND(IF(ISERROR(OFFSET(Tabella!$A$1,MATCH(H731,Tabella!$A:$A,0)-1,MATCH(J731,Tabella!$A$1:$AC$1,0)-1)=TRUE),0,+OFFSET(Tabella!$A$1,MATCH(H731,Tabella!$A:$A,0)-1,MATCH(J731,Tabella!$A$1:$AC$1,0)-1)),4)</f>
        <v>0</v>
      </c>
      <c r="L731" s="238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238">
        <f ca="1">ROUND(IF(ISERROR(OFFSET(Rame!$A$1,MATCH(H731,Rame!$A:$A,0)-1,MATCH(J731,Rame!$A$1:$AA$1,0)-1)=TRUE),0,OFFSET(Rame!$A$1,MATCH(H731,Rame!$A:$A,0)-1,MATCH(J731,Rame!$A$1:$AA$1,0)-1))*IF(E731="Rame",1,0),4)</f>
        <v>0</v>
      </c>
      <c r="N731" s="238">
        <v>0</v>
      </c>
      <c r="O731" s="238">
        <f t="shared" ca="1" si="312"/>
        <v>0</v>
      </c>
      <c r="P731" s="238">
        <f ca="1">ROUND(+IF(ISERROR(OFFSET(Tabella!$G$1,MATCH(H731,Tabella!$G:$G,0)-1,MATCH(I731,Tabella!$G$1:$FG$1,0)-1)=TRUE),0,OFFSET(Tabella!$G$1,MATCH(H731,Tabella!$G:$G,0)-1,MATCH(I731,Tabella!$G$1:$AB$1,0)-1)),4)</f>
        <v>0</v>
      </c>
      <c r="Q731" s="238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238">
        <f ca="1">ROUND(IF(ISERROR(OFFSET(Rame!$F$1,MATCH(H731,Rame!$F:$F,0)-1,MATCH(I731,Rame!$F$1:$FF$1,0)-1)=TRUE),0,OFFSET(Rame!$F$1,MATCH(H731,Rame!$F:$F,0)-1,MATCH(I731,Rame!$F$1:$FF$1,0)-1))*IF(E731="Rame",1,0),4)</f>
        <v>0</v>
      </c>
      <c r="S731" s="238">
        <f ca="1">ROUND(IF(ISERROR(OFFSET(Bronzo!$A$1,MATCH(H731,Bronzo!$A:$A,0)-1,MATCH(I731,Bronzo!$A$1:$AA$1,0)-1)=TRUE),0,OFFSET(Bronzo!$A$1,MATCH(H731,Bronzo!$A:$A,0)-1,MATCH(I731,Bronzo!$A$1:$AA$1,0)-1)),4)</f>
        <v>0</v>
      </c>
      <c r="T731" s="238">
        <f t="shared" ca="1" si="309"/>
        <v>0</v>
      </c>
      <c r="U731" s="237"/>
      <c r="V731" s="238">
        <v>0</v>
      </c>
      <c r="W731" s="239">
        <f t="shared" ca="1" si="310"/>
        <v>0</v>
      </c>
      <c r="X731" s="240">
        <f t="shared" si="307"/>
        <v>0</v>
      </c>
      <c r="Y731" s="236"/>
      <c r="Z731" s="236">
        <f t="shared" ca="1" si="311"/>
        <v>0</v>
      </c>
      <c r="AA731" s="241"/>
      <c r="AF731" s="225">
        <f t="shared" ca="1" si="315"/>
        <v>46236</v>
      </c>
      <c r="AG731" s="225" t="b">
        <f t="shared" si="308"/>
        <v>1</v>
      </c>
      <c r="AH731" s="242"/>
      <c r="AS731" s="223">
        <f t="shared" si="313"/>
        <v>0</v>
      </c>
      <c r="AT731" s="223">
        <f t="shared" si="314"/>
        <v>0</v>
      </c>
    </row>
    <row r="732" spans="2:46" ht="15.75" x14ac:dyDescent="0.25">
      <c r="B732" s="229"/>
      <c r="C732" s="235"/>
      <c r="D732" s="243"/>
      <c r="E732" s="232"/>
      <c r="F732" s="233"/>
      <c r="G732" s="234"/>
      <c r="H732" s="235"/>
      <c r="I732" s="235"/>
      <c r="J732" s="236"/>
      <c r="K732" s="237">
        <f ca="1">ROUND(IF(ISERROR(OFFSET(Tabella!$A$1,MATCH(H732,Tabella!$A:$A,0)-1,MATCH(J732,Tabella!$A$1:$AC$1,0)-1)=TRUE),0,+OFFSET(Tabella!$A$1,MATCH(H732,Tabella!$A:$A,0)-1,MATCH(J732,Tabella!$A$1:$AC$1,0)-1)),4)</f>
        <v>0</v>
      </c>
      <c r="L732" s="238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238">
        <f ca="1">ROUND(IF(ISERROR(OFFSET(Rame!$A$1,MATCH(H732,Rame!$A:$A,0)-1,MATCH(J732,Rame!$A$1:$AA$1,0)-1)=TRUE),0,OFFSET(Rame!$A$1,MATCH(H732,Rame!$A:$A,0)-1,MATCH(J732,Rame!$A$1:$AA$1,0)-1))*IF(E732="Rame",1,0),4)</f>
        <v>0</v>
      </c>
      <c r="N732" s="238">
        <v>0</v>
      </c>
      <c r="O732" s="238">
        <f t="shared" ca="1" si="312"/>
        <v>0</v>
      </c>
      <c r="P732" s="238">
        <f ca="1">ROUND(+IF(ISERROR(OFFSET(Tabella!$G$1,MATCH(H732,Tabella!$G:$G,0)-1,MATCH(I732,Tabella!$G$1:$FG$1,0)-1)=TRUE),0,OFFSET(Tabella!$G$1,MATCH(H732,Tabella!$G:$G,0)-1,MATCH(I732,Tabella!$G$1:$AB$1,0)-1)),4)</f>
        <v>0</v>
      </c>
      <c r="Q732" s="238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238">
        <f ca="1">ROUND(IF(ISERROR(OFFSET(Rame!$F$1,MATCH(H732,Rame!$F:$F,0)-1,MATCH(I732,Rame!$F$1:$FF$1,0)-1)=TRUE),0,OFFSET(Rame!$F$1,MATCH(H732,Rame!$F:$F,0)-1,MATCH(I732,Rame!$F$1:$FF$1,0)-1))*IF(E732="Rame",1,0),4)</f>
        <v>0</v>
      </c>
      <c r="S732" s="238">
        <f ca="1">ROUND(IF(ISERROR(OFFSET(Bronzo!$A$1,MATCH(H732,Bronzo!$A:$A,0)-1,MATCH(I732,Bronzo!$A$1:$AA$1,0)-1)=TRUE),0,OFFSET(Bronzo!$A$1,MATCH(H732,Bronzo!$A:$A,0)-1,MATCH(I732,Bronzo!$A$1:$AA$1,0)-1)),4)</f>
        <v>0</v>
      </c>
      <c r="T732" s="238">
        <f t="shared" ca="1" si="309"/>
        <v>0</v>
      </c>
      <c r="U732" s="237"/>
      <c r="V732" s="238">
        <v>0</v>
      </c>
      <c r="W732" s="239">
        <f t="shared" ca="1" si="310"/>
        <v>0</v>
      </c>
      <c r="X732" s="240">
        <f t="shared" ref="X732:X795" si="316">ROUND(+J732*D732,4)</f>
        <v>0</v>
      </c>
      <c r="Y732" s="236"/>
      <c r="Z732" s="236">
        <f t="shared" ca="1" si="311"/>
        <v>0</v>
      </c>
      <c r="AA732" s="241"/>
      <c r="AF732" s="225">
        <f t="shared" ca="1" si="315"/>
        <v>46236</v>
      </c>
      <c r="AG732" s="225" t="b">
        <f t="shared" si="308"/>
        <v>1</v>
      </c>
      <c r="AH732" s="242"/>
      <c r="AS732" s="223">
        <f t="shared" si="313"/>
        <v>0</v>
      </c>
      <c r="AT732" s="223">
        <f t="shared" si="314"/>
        <v>0</v>
      </c>
    </row>
    <row r="733" spans="2:46" ht="15.75" x14ac:dyDescent="0.25">
      <c r="B733" s="229"/>
      <c r="C733" s="235"/>
      <c r="D733" s="243"/>
      <c r="E733" s="232"/>
      <c r="F733" s="233"/>
      <c r="G733" s="234"/>
      <c r="H733" s="235"/>
      <c r="I733" s="235"/>
      <c r="J733" s="236"/>
      <c r="K733" s="237">
        <f ca="1">ROUND(IF(ISERROR(OFFSET(Tabella!$A$1,MATCH(H733,Tabella!$A:$A,0)-1,MATCH(J733,Tabella!$A$1:$AC$1,0)-1)=TRUE),0,+OFFSET(Tabella!$A$1,MATCH(H733,Tabella!$A:$A,0)-1,MATCH(J733,Tabella!$A$1:$AC$1,0)-1)),4)</f>
        <v>0</v>
      </c>
      <c r="L733" s="238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238">
        <f ca="1">ROUND(IF(ISERROR(OFFSET(Rame!$A$1,MATCH(H733,Rame!$A:$A,0)-1,MATCH(J733,Rame!$A$1:$AA$1,0)-1)=TRUE),0,OFFSET(Rame!$A$1,MATCH(H733,Rame!$A:$A,0)-1,MATCH(J733,Rame!$A$1:$AA$1,0)-1))*IF(E733="Rame",1,0),4)</f>
        <v>0</v>
      </c>
      <c r="N733" s="238">
        <v>0</v>
      </c>
      <c r="O733" s="238">
        <f t="shared" ca="1" si="312"/>
        <v>0</v>
      </c>
      <c r="P733" s="238">
        <f ca="1">ROUND(+IF(ISERROR(OFFSET(Tabella!$G$1,MATCH(H733,Tabella!$G:$G,0)-1,MATCH(I733,Tabella!$G$1:$FG$1,0)-1)=TRUE),0,OFFSET(Tabella!$G$1,MATCH(H733,Tabella!$G:$G,0)-1,MATCH(I733,Tabella!$G$1:$AB$1,0)-1)),4)</f>
        <v>0</v>
      </c>
      <c r="Q733" s="238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238">
        <f ca="1">ROUND(IF(ISERROR(OFFSET(Rame!$F$1,MATCH(H733,Rame!$F:$F,0)-1,MATCH(I733,Rame!$F$1:$FF$1,0)-1)=TRUE),0,OFFSET(Rame!$F$1,MATCH(H733,Rame!$F:$F,0)-1,MATCH(I733,Rame!$F$1:$FF$1,0)-1))*IF(E733="Rame",1,0),4)</f>
        <v>0</v>
      </c>
      <c r="S733" s="238">
        <f ca="1">ROUND(IF(ISERROR(OFFSET(Bronzo!$A$1,MATCH(H733,Bronzo!$A:$A,0)-1,MATCH(I733,Bronzo!$A$1:$AA$1,0)-1)=TRUE),0,OFFSET(Bronzo!$A$1,MATCH(H733,Bronzo!$A:$A,0)-1,MATCH(I733,Bronzo!$A$1:$AA$1,0)-1)),4)</f>
        <v>0</v>
      </c>
      <c r="T733" s="238">
        <f t="shared" ca="1" si="309"/>
        <v>0</v>
      </c>
      <c r="U733" s="237"/>
      <c r="V733" s="238">
        <v>0</v>
      </c>
      <c r="W733" s="239">
        <f t="shared" ca="1" si="310"/>
        <v>0</v>
      </c>
      <c r="X733" s="240">
        <f t="shared" si="316"/>
        <v>0</v>
      </c>
      <c r="Y733" s="236"/>
      <c r="Z733" s="236">
        <f t="shared" ca="1" si="311"/>
        <v>0</v>
      </c>
      <c r="AA733" s="241"/>
      <c r="AF733" s="225">
        <f t="shared" ca="1" si="315"/>
        <v>46236</v>
      </c>
      <c r="AG733" s="225" t="b">
        <f t="shared" si="308"/>
        <v>1</v>
      </c>
      <c r="AH733" s="242"/>
      <c r="AS733" s="223">
        <f t="shared" si="313"/>
        <v>0</v>
      </c>
      <c r="AT733" s="223">
        <f t="shared" si="314"/>
        <v>0</v>
      </c>
    </row>
    <row r="734" spans="2:46" ht="15.75" x14ac:dyDescent="0.25">
      <c r="B734" s="229"/>
      <c r="C734" s="235"/>
      <c r="D734" s="243"/>
      <c r="E734" s="232"/>
      <c r="F734" s="233"/>
      <c r="G734" s="234"/>
      <c r="H734" s="235"/>
      <c r="I734" s="235"/>
      <c r="J734" s="236"/>
      <c r="K734" s="237">
        <f ca="1">ROUND(IF(ISERROR(OFFSET(Tabella!$A$1,MATCH(H734,Tabella!$A:$A,0)-1,MATCH(J734,Tabella!$A$1:$AC$1,0)-1)=TRUE),0,+OFFSET(Tabella!$A$1,MATCH(H734,Tabella!$A:$A,0)-1,MATCH(J734,Tabella!$A$1:$AC$1,0)-1)),4)</f>
        <v>0</v>
      </c>
      <c r="L734" s="238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238">
        <f ca="1">ROUND(IF(ISERROR(OFFSET(Rame!$A$1,MATCH(H734,Rame!$A:$A,0)-1,MATCH(J734,Rame!$A$1:$AA$1,0)-1)=TRUE),0,OFFSET(Rame!$A$1,MATCH(H734,Rame!$A:$A,0)-1,MATCH(J734,Rame!$A$1:$AA$1,0)-1))*IF(E734="Rame",1,0),4)</f>
        <v>0</v>
      </c>
      <c r="N734" s="238">
        <v>0</v>
      </c>
      <c r="O734" s="238">
        <f t="shared" ca="1" si="312"/>
        <v>0</v>
      </c>
      <c r="P734" s="238">
        <f ca="1">ROUND(+IF(ISERROR(OFFSET(Tabella!$G$1,MATCH(H734,Tabella!$G:$G,0)-1,MATCH(I734,Tabella!$G$1:$FG$1,0)-1)=TRUE),0,OFFSET(Tabella!$G$1,MATCH(H734,Tabella!$G:$G,0)-1,MATCH(I734,Tabella!$G$1:$AB$1,0)-1)),4)</f>
        <v>0</v>
      </c>
      <c r="Q734" s="238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238">
        <f ca="1">ROUND(IF(ISERROR(OFFSET(Rame!$F$1,MATCH(H734,Rame!$F:$F,0)-1,MATCH(I734,Rame!$F$1:$FF$1,0)-1)=TRUE),0,OFFSET(Rame!$F$1,MATCH(H734,Rame!$F:$F,0)-1,MATCH(I734,Rame!$F$1:$FF$1,0)-1))*IF(E734="Rame",1,0),4)</f>
        <v>0</v>
      </c>
      <c r="S734" s="238">
        <f ca="1">ROUND(IF(ISERROR(OFFSET(Bronzo!$A$1,MATCH(H734,Bronzo!$A:$A,0)-1,MATCH(I734,Bronzo!$A$1:$AA$1,0)-1)=TRUE),0,OFFSET(Bronzo!$A$1,MATCH(H734,Bronzo!$A:$A,0)-1,MATCH(I734,Bronzo!$A$1:$AA$1,0)-1)),4)</f>
        <v>0</v>
      </c>
      <c r="T734" s="238">
        <f t="shared" ca="1" si="309"/>
        <v>0</v>
      </c>
      <c r="U734" s="237"/>
      <c r="V734" s="238">
        <v>0</v>
      </c>
      <c r="W734" s="239">
        <f t="shared" ca="1" si="310"/>
        <v>0</v>
      </c>
      <c r="X734" s="240">
        <f t="shared" si="316"/>
        <v>0</v>
      </c>
      <c r="Y734" s="236"/>
      <c r="Z734" s="236">
        <f t="shared" ca="1" si="311"/>
        <v>0</v>
      </c>
      <c r="AA734" s="241"/>
      <c r="AF734" s="225">
        <f t="shared" ca="1" si="315"/>
        <v>46236</v>
      </c>
      <c r="AG734" s="225" t="b">
        <f t="shared" si="308"/>
        <v>1</v>
      </c>
      <c r="AH734" s="242"/>
      <c r="AS734" s="223">
        <f t="shared" si="313"/>
        <v>0</v>
      </c>
      <c r="AT734" s="223">
        <f t="shared" si="314"/>
        <v>0</v>
      </c>
    </row>
    <row r="735" spans="2:46" ht="15.75" x14ac:dyDescent="0.25">
      <c r="B735" s="229"/>
      <c r="C735" s="235"/>
      <c r="D735" s="243"/>
      <c r="E735" s="232"/>
      <c r="F735" s="233"/>
      <c r="G735" s="234"/>
      <c r="H735" s="235"/>
      <c r="I735" s="235"/>
      <c r="J735" s="236"/>
      <c r="K735" s="237">
        <f ca="1">ROUND(IF(ISERROR(OFFSET(Tabella!$A$1,MATCH(H735,Tabella!$A:$A,0)-1,MATCH(J735,Tabella!$A$1:$AC$1,0)-1)=TRUE),0,+OFFSET(Tabella!$A$1,MATCH(H735,Tabella!$A:$A,0)-1,MATCH(J735,Tabella!$A$1:$AC$1,0)-1)),4)</f>
        <v>0</v>
      </c>
      <c r="L735" s="238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238">
        <f ca="1">ROUND(IF(ISERROR(OFFSET(Rame!$A$1,MATCH(H735,Rame!$A:$A,0)-1,MATCH(J735,Rame!$A$1:$AA$1,0)-1)=TRUE),0,OFFSET(Rame!$A$1,MATCH(H735,Rame!$A:$A,0)-1,MATCH(J735,Rame!$A$1:$AA$1,0)-1))*IF(E735="Rame",1,0),4)</f>
        <v>0</v>
      </c>
      <c r="N735" s="238">
        <v>0</v>
      </c>
      <c r="O735" s="238">
        <f t="shared" ca="1" si="312"/>
        <v>0</v>
      </c>
      <c r="P735" s="238">
        <f ca="1">ROUND(+IF(ISERROR(OFFSET(Tabella!$G$1,MATCH(H735,Tabella!$G:$G,0)-1,MATCH(I735,Tabella!$G$1:$FG$1,0)-1)=TRUE),0,OFFSET(Tabella!$G$1,MATCH(H735,Tabella!$G:$G,0)-1,MATCH(I735,Tabella!$G$1:$AB$1,0)-1)),4)</f>
        <v>0</v>
      </c>
      <c r="Q735" s="238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238">
        <f ca="1">ROUND(IF(ISERROR(OFFSET(Rame!$F$1,MATCH(H735,Rame!$F:$F,0)-1,MATCH(I735,Rame!$F$1:$FF$1,0)-1)=TRUE),0,OFFSET(Rame!$F$1,MATCH(H735,Rame!$F:$F,0)-1,MATCH(I735,Rame!$F$1:$FF$1,0)-1))*IF(E735="Rame",1,0),4)</f>
        <v>0</v>
      </c>
      <c r="S735" s="238">
        <f ca="1">ROUND(IF(ISERROR(OFFSET(Bronzo!$A$1,MATCH(H735,Bronzo!$A:$A,0)-1,MATCH(I735,Bronzo!$A$1:$AA$1,0)-1)=TRUE),0,OFFSET(Bronzo!$A$1,MATCH(H735,Bronzo!$A:$A,0)-1,MATCH(I735,Bronzo!$A$1:$AA$1,0)-1)),4)</f>
        <v>0</v>
      </c>
      <c r="T735" s="238">
        <f t="shared" ca="1" si="309"/>
        <v>0</v>
      </c>
      <c r="U735" s="237"/>
      <c r="V735" s="238">
        <v>0</v>
      </c>
      <c r="W735" s="239">
        <f t="shared" ca="1" si="310"/>
        <v>0</v>
      </c>
      <c r="X735" s="240">
        <f t="shared" si="316"/>
        <v>0</v>
      </c>
      <c r="Y735" s="236"/>
      <c r="Z735" s="236">
        <f t="shared" ca="1" si="311"/>
        <v>0</v>
      </c>
      <c r="AA735" s="241"/>
      <c r="AF735" s="225">
        <f t="shared" ca="1" si="315"/>
        <v>46236</v>
      </c>
      <c r="AG735" s="225" t="b">
        <f t="shared" ref="AG735:AG790" si="317">ISBLANK(AA735)</f>
        <v>1</v>
      </c>
      <c r="AH735" s="242"/>
    </row>
    <row r="736" spans="2:46" ht="15.75" x14ac:dyDescent="0.25">
      <c r="B736" s="229"/>
      <c r="C736" s="235"/>
      <c r="D736" s="243"/>
      <c r="E736" s="232"/>
      <c r="F736" s="233"/>
      <c r="G736" s="234"/>
      <c r="H736" s="235"/>
      <c r="I736" s="235"/>
      <c r="J736" s="236"/>
      <c r="K736" s="237">
        <f ca="1">ROUND(IF(ISERROR(OFFSET(Tabella!$A$1,MATCH(H736,Tabella!$A:$A,0)-1,MATCH(J736,Tabella!$A$1:$AC$1,0)-1)=TRUE),0,+OFFSET(Tabella!$A$1,MATCH(H736,Tabella!$A:$A,0)-1,MATCH(J736,Tabella!$A$1:$AC$1,0)-1)),4)</f>
        <v>0</v>
      </c>
      <c r="L736" s="238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238">
        <f ca="1">ROUND(IF(ISERROR(OFFSET(Rame!$A$1,MATCH(H736,Rame!$A:$A,0)-1,MATCH(J736,Rame!$A$1:$AA$1,0)-1)=TRUE),0,OFFSET(Rame!$A$1,MATCH(H736,Rame!$A:$A,0)-1,MATCH(J736,Rame!$A$1:$AA$1,0)-1))*IF(E736="Rame",1,0),4)</f>
        <v>0</v>
      </c>
      <c r="N736" s="238">
        <v>0</v>
      </c>
      <c r="O736" s="238">
        <f t="shared" ca="1" si="312"/>
        <v>0</v>
      </c>
      <c r="P736" s="238">
        <f ca="1">ROUND(+IF(ISERROR(OFFSET(Tabella!$G$1,MATCH(H736,Tabella!$G:$G,0)-1,MATCH(I736,Tabella!$G$1:$FG$1,0)-1)=TRUE),0,OFFSET(Tabella!$G$1,MATCH(H736,Tabella!$G:$G,0)-1,MATCH(I736,Tabella!$G$1:$AB$1,0)-1)),4)</f>
        <v>0</v>
      </c>
      <c r="Q736" s="238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238">
        <f ca="1">ROUND(IF(ISERROR(OFFSET(Rame!$F$1,MATCH(H736,Rame!$F:$F,0)-1,MATCH(I736,Rame!$F$1:$FF$1,0)-1)=TRUE),0,OFFSET(Rame!$F$1,MATCH(H736,Rame!$F:$F,0)-1,MATCH(I736,Rame!$F$1:$FF$1,0)-1))*IF(E736="Rame",1,0),4)</f>
        <v>0</v>
      </c>
      <c r="S736" s="238">
        <f ca="1">ROUND(IF(ISERROR(OFFSET(Bronzo!$A$1,MATCH(H736,Bronzo!$A:$A,0)-1,MATCH(I736,Bronzo!$A$1:$AA$1,0)-1)=TRUE),0,OFFSET(Bronzo!$A$1,MATCH(H736,Bronzo!$A:$A,0)-1,MATCH(I736,Bronzo!$A$1:$AA$1,0)-1)),4)</f>
        <v>0</v>
      </c>
      <c r="T736" s="238">
        <f t="shared" ca="1" si="309"/>
        <v>0</v>
      </c>
      <c r="U736" s="237"/>
      <c r="V736" s="238">
        <v>0</v>
      </c>
      <c r="W736" s="239">
        <f t="shared" ca="1" si="310"/>
        <v>0</v>
      </c>
      <c r="X736" s="240">
        <f t="shared" si="316"/>
        <v>0</v>
      </c>
      <c r="Y736" s="236"/>
      <c r="Z736" s="236">
        <f t="shared" ca="1" si="311"/>
        <v>0</v>
      </c>
      <c r="AA736" s="241"/>
      <c r="AF736" s="225">
        <f t="shared" ca="1" si="315"/>
        <v>46236</v>
      </c>
      <c r="AG736" s="225" t="b">
        <f t="shared" si="317"/>
        <v>1</v>
      </c>
      <c r="AH736" s="242"/>
    </row>
    <row r="737" spans="2:34" ht="15.75" x14ac:dyDescent="0.25">
      <c r="B737" s="229"/>
      <c r="C737" s="235"/>
      <c r="D737" s="243"/>
      <c r="E737" s="232"/>
      <c r="F737" s="233"/>
      <c r="G737" s="234"/>
      <c r="H737" s="235"/>
      <c r="I737" s="235"/>
      <c r="J737" s="236"/>
      <c r="K737" s="237">
        <f ca="1">ROUND(IF(ISERROR(OFFSET(Tabella!$A$1,MATCH(H737,Tabella!$A:$A,0)-1,MATCH(J737,Tabella!$A$1:$AC$1,0)-1)=TRUE),0,+OFFSET(Tabella!$A$1,MATCH(H737,Tabella!$A:$A,0)-1,MATCH(J737,Tabella!$A$1:$AC$1,0)-1)),4)</f>
        <v>0</v>
      </c>
      <c r="L737" s="238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238">
        <f ca="1">ROUND(IF(ISERROR(OFFSET(Rame!$A$1,MATCH(H737,Rame!$A:$A,0)-1,MATCH(J737,Rame!$A$1:$AA$1,0)-1)=TRUE),0,OFFSET(Rame!$A$1,MATCH(H737,Rame!$A:$A,0)-1,MATCH(J737,Rame!$A$1:$AA$1,0)-1))*IF(E737="Rame",1,0),4)</f>
        <v>0</v>
      </c>
      <c r="N737" s="238">
        <v>0</v>
      </c>
      <c r="O737" s="238">
        <f t="shared" ca="1" si="312"/>
        <v>0</v>
      </c>
      <c r="P737" s="238">
        <f ca="1">ROUND(+IF(ISERROR(OFFSET(Tabella!$G$1,MATCH(H737,Tabella!$G:$G,0)-1,MATCH(I737,Tabella!$G$1:$FG$1,0)-1)=TRUE),0,OFFSET(Tabella!$G$1,MATCH(H737,Tabella!$G:$G,0)-1,MATCH(I737,Tabella!$G$1:$AB$1,0)-1)),4)</f>
        <v>0</v>
      </c>
      <c r="Q737" s="238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238">
        <f ca="1">ROUND(IF(ISERROR(OFFSET(Rame!$F$1,MATCH(H737,Rame!$F:$F,0)-1,MATCH(I737,Rame!$F$1:$FF$1,0)-1)=TRUE),0,OFFSET(Rame!$F$1,MATCH(H737,Rame!$F:$F,0)-1,MATCH(I737,Rame!$F$1:$FF$1,0)-1))*IF(E737="Rame",1,0),4)</f>
        <v>0</v>
      </c>
      <c r="S737" s="238">
        <f ca="1">ROUND(IF(ISERROR(OFFSET(Bronzo!$A$1,MATCH(H737,Bronzo!$A:$A,0)-1,MATCH(I737,Bronzo!$A$1:$AA$1,0)-1)=TRUE),0,OFFSET(Bronzo!$A$1,MATCH(H737,Bronzo!$A:$A,0)-1,MATCH(I737,Bronzo!$A$1:$AA$1,0)-1)),4)</f>
        <v>0</v>
      </c>
      <c r="T737" s="238">
        <f t="shared" ca="1" si="309"/>
        <v>0</v>
      </c>
      <c r="U737" s="237"/>
      <c r="V737" s="238">
        <v>0</v>
      </c>
      <c r="W737" s="239">
        <f t="shared" ca="1" si="310"/>
        <v>0</v>
      </c>
      <c r="X737" s="240">
        <f t="shared" si="316"/>
        <v>0</v>
      </c>
      <c r="Y737" s="236"/>
      <c r="Z737" s="236">
        <f t="shared" ca="1" si="311"/>
        <v>0</v>
      </c>
      <c r="AA737" s="241"/>
      <c r="AF737" s="225">
        <f t="shared" ca="1" si="315"/>
        <v>46236</v>
      </c>
      <c r="AG737" s="225" t="b">
        <f t="shared" si="317"/>
        <v>1</v>
      </c>
      <c r="AH737" s="242"/>
    </row>
    <row r="738" spans="2:34" ht="15.75" x14ac:dyDescent="0.25">
      <c r="B738" s="229"/>
      <c r="C738" s="235"/>
      <c r="D738" s="243"/>
      <c r="E738" s="232"/>
      <c r="F738" s="233"/>
      <c r="G738" s="234"/>
      <c r="H738" s="235"/>
      <c r="I738" s="235"/>
      <c r="J738" s="236"/>
      <c r="K738" s="237">
        <f ca="1">ROUND(IF(ISERROR(OFFSET(Tabella!$A$1,MATCH(H738,Tabella!$A:$A,0)-1,MATCH(J738,Tabella!$A$1:$AC$1,0)-1)=TRUE),0,+OFFSET(Tabella!$A$1,MATCH(H738,Tabella!$A:$A,0)-1,MATCH(J738,Tabella!$A$1:$AC$1,0)-1)),4)</f>
        <v>0</v>
      </c>
      <c r="L738" s="238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238">
        <f ca="1">ROUND(IF(ISERROR(OFFSET(Rame!$A$1,MATCH(H738,Rame!$A:$A,0)-1,MATCH(J738,Rame!$A$1:$AA$1,0)-1)=TRUE),0,OFFSET(Rame!$A$1,MATCH(H738,Rame!$A:$A,0)-1,MATCH(J738,Rame!$A$1:$AA$1,0)-1))*IF(E738="Rame",1,0),4)</f>
        <v>0</v>
      </c>
      <c r="N738" s="238">
        <v>0</v>
      </c>
      <c r="O738" s="238">
        <f t="shared" ca="1" si="312"/>
        <v>0</v>
      </c>
      <c r="P738" s="238">
        <f ca="1">ROUND(+IF(ISERROR(OFFSET(Tabella!$G$1,MATCH(H738,Tabella!$G:$G,0)-1,MATCH(I738,Tabella!$G$1:$FG$1,0)-1)=TRUE),0,OFFSET(Tabella!$G$1,MATCH(H738,Tabella!$G:$G,0)-1,MATCH(I738,Tabella!$G$1:$AB$1,0)-1)),4)</f>
        <v>0</v>
      </c>
      <c r="Q738" s="238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238">
        <f ca="1">ROUND(IF(ISERROR(OFFSET(Rame!$F$1,MATCH(H738,Rame!$F:$F,0)-1,MATCH(I738,Rame!$F$1:$FF$1,0)-1)=TRUE),0,OFFSET(Rame!$F$1,MATCH(H738,Rame!$F:$F,0)-1,MATCH(I738,Rame!$F$1:$FF$1,0)-1))*IF(E738="Rame",1,0),4)</f>
        <v>0</v>
      </c>
      <c r="S738" s="238">
        <f ca="1">ROUND(IF(ISERROR(OFFSET(Bronzo!$A$1,MATCH(H738,Bronzo!$A:$A,0)-1,MATCH(I738,Bronzo!$A$1:$AA$1,0)-1)=TRUE),0,OFFSET(Bronzo!$A$1,MATCH(H738,Bronzo!$A:$A,0)-1,MATCH(I738,Bronzo!$A$1:$AA$1,0)-1)),4)</f>
        <v>0</v>
      </c>
      <c r="T738" s="238">
        <f t="shared" ref="T738:T801" ca="1" si="318">ROUND(SUM(P738:S738),4)</f>
        <v>0</v>
      </c>
      <c r="U738" s="237"/>
      <c r="V738" s="238">
        <v>0</v>
      </c>
      <c r="W738" s="239">
        <f t="shared" ref="W738:W801" ca="1" si="319">ROUND(+O738+T738+U738+V738,4)</f>
        <v>0</v>
      </c>
      <c r="X738" s="240">
        <f t="shared" si="316"/>
        <v>0</v>
      </c>
      <c r="Y738" s="236"/>
      <c r="Z738" s="236">
        <f t="shared" ref="Z738:Z801" ca="1" si="320">ROUND(+Y738-W738-F738,4)</f>
        <v>0</v>
      </c>
      <c r="AA738" s="241"/>
      <c r="AF738" s="225">
        <f t="shared" ca="1" si="315"/>
        <v>46236</v>
      </c>
      <c r="AG738" s="225" t="b">
        <f t="shared" si="317"/>
        <v>1</v>
      </c>
      <c r="AH738" s="242"/>
    </row>
    <row r="739" spans="2:34" ht="15.75" x14ac:dyDescent="0.25">
      <c r="B739" s="229"/>
      <c r="C739" s="235"/>
      <c r="D739" s="243"/>
      <c r="E739" s="232"/>
      <c r="F739" s="233"/>
      <c r="G739" s="234"/>
      <c r="H739" s="235"/>
      <c r="I739" s="235"/>
      <c r="J739" s="236"/>
      <c r="K739" s="237">
        <f ca="1">ROUND(IF(ISERROR(OFFSET(Tabella!$A$1,MATCH(H739,Tabella!$A:$A,0)-1,MATCH(J739,Tabella!$A$1:$AC$1,0)-1)=TRUE),0,+OFFSET(Tabella!$A$1,MATCH(H739,Tabella!$A:$A,0)-1,MATCH(J739,Tabella!$A$1:$AC$1,0)-1)),4)</f>
        <v>0</v>
      </c>
      <c r="L739" s="238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238">
        <f ca="1">ROUND(IF(ISERROR(OFFSET(Rame!$A$1,MATCH(H739,Rame!$A:$A,0)-1,MATCH(J739,Rame!$A$1:$AA$1,0)-1)=TRUE),0,OFFSET(Rame!$A$1,MATCH(H739,Rame!$A:$A,0)-1,MATCH(J739,Rame!$A$1:$AA$1,0)-1))*IF(E739="Rame",1,0),4)</f>
        <v>0</v>
      </c>
      <c r="N739" s="238">
        <v>0</v>
      </c>
      <c r="O739" s="238">
        <f t="shared" ca="1" si="312"/>
        <v>0</v>
      </c>
      <c r="P739" s="238">
        <f ca="1">ROUND(+IF(ISERROR(OFFSET(Tabella!$G$1,MATCH(H739,Tabella!$G:$G,0)-1,MATCH(I739,Tabella!$G$1:$FG$1,0)-1)=TRUE),0,OFFSET(Tabella!$G$1,MATCH(H739,Tabella!$G:$G,0)-1,MATCH(I739,Tabella!$G$1:$AB$1,0)-1)),4)</f>
        <v>0</v>
      </c>
      <c r="Q739" s="238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238">
        <f ca="1">ROUND(IF(ISERROR(OFFSET(Rame!$F$1,MATCH(H739,Rame!$F:$F,0)-1,MATCH(I739,Rame!$F$1:$FF$1,0)-1)=TRUE),0,OFFSET(Rame!$F$1,MATCH(H739,Rame!$F:$F,0)-1,MATCH(I739,Rame!$F$1:$FF$1,0)-1))*IF(E739="Rame",1,0),4)</f>
        <v>0</v>
      </c>
      <c r="S739" s="238">
        <f ca="1">ROUND(IF(ISERROR(OFFSET(Bronzo!$A$1,MATCH(H739,Bronzo!$A:$A,0)-1,MATCH(I739,Bronzo!$A$1:$AA$1,0)-1)=TRUE),0,OFFSET(Bronzo!$A$1,MATCH(H739,Bronzo!$A:$A,0)-1,MATCH(I739,Bronzo!$A$1:$AA$1,0)-1)),4)</f>
        <v>0</v>
      </c>
      <c r="T739" s="238">
        <f t="shared" ca="1" si="318"/>
        <v>0</v>
      </c>
      <c r="U739" s="237"/>
      <c r="V739" s="238">
        <v>0</v>
      </c>
      <c r="W739" s="239">
        <f t="shared" ca="1" si="319"/>
        <v>0</v>
      </c>
      <c r="X739" s="240">
        <f t="shared" si="316"/>
        <v>0</v>
      </c>
      <c r="Y739" s="236"/>
      <c r="Z739" s="236">
        <f t="shared" ca="1" si="320"/>
        <v>0</v>
      </c>
      <c r="AA739" s="241"/>
      <c r="AF739" s="225">
        <f t="shared" ca="1" si="315"/>
        <v>46236</v>
      </c>
      <c r="AG739" s="225" t="b">
        <f t="shared" si="317"/>
        <v>1</v>
      </c>
      <c r="AH739" s="242"/>
    </row>
    <row r="740" spans="2:34" ht="15.75" x14ac:dyDescent="0.25">
      <c r="B740" s="229"/>
      <c r="C740" s="235"/>
      <c r="D740" s="243"/>
      <c r="E740" s="232"/>
      <c r="F740" s="233"/>
      <c r="G740" s="234"/>
      <c r="H740" s="235"/>
      <c r="I740" s="235"/>
      <c r="J740" s="236"/>
      <c r="K740" s="237">
        <f ca="1">ROUND(IF(ISERROR(OFFSET(Tabella!$A$1,MATCH(H740,Tabella!$A:$A,0)-1,MATCH(J740,Tabella!$A$1:$AC$1,0)-1)=TRUE),0,+OFFSET(Tabella!$A$1,MATCH(H740,Tabella!$A:$A,0)-1,MATCH(J740,Tabella!$A$1:$AC$1,0)-1)),4)</f>
        <v>0</v>
      </c>
      <c r="L740" s="238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238">
        <f ca="1">ROUND(IF(ISERROR(OFFSET(Rame!$A$1,MATCH(H740,Rame!$A:$A,0)-1,MATCH(J740,Rame!$A$1:$AA$1,0)-1)=TRUE),0,OFFSET(Rame!$A$1,MATCH(H740,Rame!$A:$A,0)-1,MATCH(J740,Rame!$A$1:$AA$1,0)-1))*IF(E740="Rame",1,0),4)</f>
        <v>0</v>
      </c>
      <c r="N740" s="238">
        <v>0</v>
      </c>
      <c r="O740" s="238">
        <f t="shared" ca="1" si="312"/>
        <v>0</v>
      </c>
      <c r="P740" s="238">
        <f ca="1">ROUND(+IF(ISERROR(OFFSET(Tabella!$G$1,MATCH(H740,Tabella!$G:$G,0)-1,MATCH(I740,Tabella!$G$1:$FG$1,0)-1)=TRUE),0,OFFSET(Tabella!$G$1,MATCH(H740,Tabella!$G:$G,0)-1,MATCH(I740,Tabella!$G$1:$AB$1,0)-1)),4)</f>
        <v>0</v>
      </c>
      <c r="Q740" s="238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238">
        <f ca="1">ROUND(IF(ISERROR(OFFSET(Rame!$F$1,MATCH(H740,Rame!$F:$F,0)-1,MATCH(I740,Rame!$F$1:$FF$1,0)-1)=TRUE),0,OFFSET(Rame!$F$1,MATCH(H740,Rame!$F:$F,0)-1,MATCH(I740,Rame!$F$1:$FF$1,0)-1))*IF(E740="Rame",1,0),4)</f>
        <v>0</v>
      </c>
      <c r="S740" s="238">
        <f ca="1">ROUND(IF(ISERROR(OFFSET(Bronzo!$A$1,MATCH(H740,Bronzo!$A:$A,0)-1,MATCH(I740,Bronzo!$A$1:$AA$1,0)-1)=TRUE),0,OFFSET(Bronzo!$A$1,MATCH(H740,Bronzo!$A:$A,0)-1,MATCH(I740,Bronzo!$A$1:$AA$1,0)-1)),4)</f>
        <v>0</v>
      </c>
      <c r="T740" s="238">
        <f t="shared" ca="1" si="318"/>
        <v>0</v>
      </c>
      <c r="U740" s="237"/>
      <c r="V740" s="238">
        <v>0</v>
      </c>
      <c r="W740" s="239">
        <f t="shared" ca="1" si="319"/>
        <v>0</v>
      </c>
      <c r="X740" s="240">
        <f t="shared" si="316"/>
        <v>0</v>
      </c>
      <c r="Y740" s="236"/>
      <c r="Z740" s="236">
        <f t="shared" ca="1" si="320"/>
        <v>0</v>
      </c>
      <c r="AA740" s="241"/>
      <c r="AF740" s="225">
        <f t="shared" ca="1" si="315"/>
        <v>46236</v>
      </c>
      <c r="AG740" s="225" t="b">
        <f t="shared" si="317"/>
        <v>1</v>
      </c>
      <c r="AH740" s="242"/>
    </row>
    <row r="741" spans="2:34" ht="15.75" x14ac:dyDescent="0.25">
      <c r="B741" s="229"/>
      <c r="C741" s="235"/>
      <c r="D741" s="243"/>
      <c r="E741" s="232"/>
      <c r="F741" s="233"/>
      <c r="G741" s="234"/>
      <c r="H741" s="235"/>
      <c r="I741" s="235"/>
      <c r="J741" s="236"/>
      <c r="K741" s="237">
        <f ca="1">ROUND(IF(ISERROR(OFFSET(Tabella!$A$1,MATCH(H741,Tabella!$A:$A,0)-1,MATCH(J741,Tabella!$A$1:$AC$1,0)-1)=TRUE),0,+OFFSET(Tabella!$A$1,MATCH(H741,Tabella!$A:$A,0)-1,MATCH(J741,Tabella!$A$1:$AC$1,0)-1)),4)</f>
        <v>0</v>
      </c>
      <c r="L741" s="238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238">
        <f ca="1">ROUND(IF(ISERROR(OFFSET(Rame!$A$1,MATCH(H741,Rame!$A:$A,0)-1,MATCH(J741,Rame!$A$1:$AA$1,0)-1)=TRUE),0,OFFSET(Rame!$A$1,MATCH(H741,Rame!$A:$A,0)-1,MATCH(J741,Rame!$A$1:$AA$1,0)-1))*IF(E741="Rame",1,0),4)</f>
        <v>0</v>
      </c>
      <c r="N741" s="238">
        <v>0</v>
      </c>
      <c r="O741" s="238">
        <f t="shared" ca="1" si="312"/>
        <v>0</v>
      </c>
      <c r="P741" s="238">
        <f ca="1">ROUND(+IF(ISERROR(OFFSET(Tabella!$G$1,MATCH(H741,Tabella!$G:$G,0)-1,MATCH(I741,Tabella!$G$1:$FG$1,0)-1)=TRUE),0,OFFSET(Tabella!$G$1,MATCH(H741,Tabella!$G:$G,0)-1,MATCH(I741,Tabella!$G$1:$AB$1,0)-1)),4)</f>
        <v>0</v>
      </c>
      <c r="Q741" s="238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238">
        <f ca="1">ROUND(IF(ISERROR(OFFSET(Rame!$F$1,MATCH(H741,Rame!$F:$F,0)-1,MATCH(I741,Rame!$F$1:$FF$1,0)-1)=TRUE),0,OFFSET(Rame!$F$1,MATCH(H741,Rame!$F:$F,0)-1,MATCH(I741,Rame!$F$1:$FF$1,0)-1))*IF(E741="Rame",1,0),4)</f>
        <v>0</v>
      </c>
      <c r="S741" s="238">
        <f ca="1">ROUND(IF(ISERROR(OFFSET(Bronzo!$A$1,MATCH(H741,Bronzo!$A:$A,0)-1,MATCH(I741,Bronzo!$A$1:$AA$1,0)-1)=TRUE),0,OFFSET(Bronzo!$A$1,MATCH(H741,Bronzo!$A:$A,0)-1,MATCH(I741,Bronzo!$A$1:$AA$1,0)-1)),4)</f>
        <v>0</v>
      </c>
      <c r="T741" s="238">
        <f t="shared" ca="1" si="318"/>
        <v>0</v>
      </c>
      <c r="U741" s="237"/>
      <c r="V741" s="238">
        <v>0</v>
      </c>
      <c r="W741" s="239">
        <f t="shared" ca="1" si="319"/>
        <v>0</v>
      </c>
      <c r="X741" s="240">
        <f t="shared" si="316"/>
        <v>0</v>
      </c>
      <c r="Y741" s="236"/>
      <c r="Z741" s="236">
        <f t="shared" ca="1" si="320"/>
        <v>0</v>
      </c>
      <c r="AA741" s="241"/>
      <c r="AF741" s="225">
        <f t="shared" ca="1" si="315"/>
        <v>46236</v>
      </c>
      <c r="AG741" s="225" t="b">
        <f t="shared" si="317"/>
        <v>1</v>
      </c>
      <c r="AH741" s="242"/>
    </row>
    <row r="742" spans="2:34" ht="15.75" x14ac:dyDescent="0.25">
      <c r="B742" s="229"/>
      <c r="C742" s="235"/>
      <c r="D742" s="243"/>
      <c r="E742" s="232"/>
      <c r="F742" s="233"/>
      <c r="G742" s="234"/>
      <c r="H742" s="235"/>
      <c r="I742" s="235"/>
      <c r="J742" s="236"/>
      <c r="K742" s="237">
        <f ca="1">ROUND(IF(ISERROR(OFFSET(Tabella!$A$1,MATCH(H742,Tabella!$A:$A,0)-1,MATCH(J742,Tabella!$A$1:$AC$1,0)-1)=TRUE),0,+OFFSET(Tabella!$A$1,MATCH(H742,Tabella!$A:$A,0)-1,MATCH(J742,Tabella!$A$1:$AC$1,0)-1)),4)</f>
        <v>0</v>
      </c>
      <c r="L742" s="238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238">
        <f ca="1">ROUND(IF(ISERROR(OFFSET(Rame!$A$1,MATCH(H742,Rame!$A:$A,0)-1,MATCH(J742,Rame!$A$1:$AA$1,0)-1)=TRUE),0,OFFSET(Rame!$A$1,MATCH(H742,Rame!$A:$A,0)-1,MATCH(J742,Rame!$A$1:$AA$1,0)-1))*IF(E742="Rame",1,0),4)</f>
        <v>0</v>
      </c>
      <c r="N742" s="238">
        <v>0</v>
      </c>
      <c r="O742" s="238">
        <f t="shared" ca="1" si="312"/>
        <v>0</v>
      </c>
      <c r="P742" s="238">
        <f ca="1">ROUND(+IF(ISERROR(OFFSET(Tabella!$G$1,MATCH(H742,Tabella!$G:$G,0)-1,MATCH(I742,Tabella!$G$1:$FG$1,0)-1)=TRUE),0,OFFSET(Tabella!$G$1,MATCH(H742,Tabella!$G:$G,0)-1,MATCH(I742,Tabella!$G$1:$AB$1,0)-1)),4)</f>
        <v>0</v>
      </c>
      <c r="Q742" s="238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238">
        <f ca="1">ROUND(IF(ISERROR(OFFSET(Rame!$F$1,MATCH(H742,Rame!$F:$F,0)-1,MATCH(I742,Rame!$F$1:$FF$1,0)-1)=TRUE),0,OFFSET(Rame!$F$1,MATCH(H742,Rame!$F:$F,0)-1,MATCH(I742,Rame!$F$1:$FF$1,0)-1))*IF(E742="Rame",1,0),4)</f>
        <v>0</v>
      </c>
      <c r="S742" s="238">
        <f ca="1">ROUND(IF(ISERROR(OFFSET(Bronzo!$A$1,MATCH(H742,Bronzo!$A:$A,0)-1,MATCH(I742,Bronzo!$A$1:$AA$1,0)-1)=TRUE),0,OFFSET(Bronzo!$A$1,MATCH(H742,Bronzo!$A:$A,0)-1,MATCH(I742,Bronzo!$A$1:$AA$1,0)-1)),4)</f>
        <v>0</v>
      </c>
      <c r="T742" s="238">
        <f t="shared" ca="1" si="318"/>
        <v>0</v>
      </c>
      <c r="U742" s="237"/>
      <c r="V742" s="238">
        <v>0</v>
      </c>
      <c r="W742" s="239">
        <f t="shared" ca="1" si="319"/>
        <v>0</v>
      </c>
      <c r="X742" s="240">
        <f t="shared" si="316"/>
        <v>0</v>
      </c>
      <c r="Y742" s="236"/>
      <c r="Z742" s="236">
        <f t="shared" ca="1" si="320"/>
        <v>0</v>
      </c>
      <c r="AA742" s="241"/>
      <c r="AF742" s="225">
        <f t="shared" ca="1" si="315"/>
        <v>46236</v>
      </c>
      <c r="AG742" s="225" t="b">
        <f t="shared" si="317"/>
        <v>1</v>
      </c>
      <c r="AH742" s="242"/>
    </row>
    <row r="743" spans="2:34" ht="15.75" x14ac:dyDescent="0.25">
      <c r="B743" s="229"/>
      <c r="C743" s="235"/>
      <c r="D743" s="243"/>
      <c r="E743" s="232"/>
      <c r="F743" s="233"/>
      <c r="G743" s="234"/>
      <c r="H743" s="235"/>
      <c r="I743" s="235"/>
      <c r="J743" s="236"/>
      <c r="K743" s="237">
        <f ca="1">ROUND(IF(ISERROR(OFFSET(Tabella!$A$1,MATCH(H743,Tabella!$A:$A,0)-1,MATCH(J743,Tabella!$A$1:$AC$1,0)-1)=TRUE),0,+OFFSET(Tabella!$A$1,MATCH(H743,Tabella!$A:$A,0)-1,MATCH(J743,Tabella!$A$1:$AC$1,0)-1)),4)</f>
        <v>0</v>
      </c>
      <c r="L743" s="238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238">
        <f ca="1">ROUND(IF(ISERROR(OFFSET(Rame!$A$1,MATCH(H743,Rame!$A:$A,0)-1,MATCH(J743,Rame!$A$1:$AA$1,0)-1)=TRUE),0,OFFSET(Rame!$A$1,MATCH(H743,Rame!$A:$A,0)-1,MATCH(J743,Rame!$A$1:$AA$1,0)-1))*IF(E743="Rame",1,0),4)</f>
        <v>0</v>
      </c>
      <c r="N743" s="238">
        <v>0</v>
      </c>
      <c r="O743" s="238">
        <f t="shared" ca="1" si="312"/>
        <v>0</v>
      </c>
      <c r="P743" s="238">
        <f ca="1">ROUND(+IF(ISERROR(OFFSET(Tabella!$G$1,MATCH(H743,Tabella!$G:$G,0)-1,MATCH(I743,Tabella!$G$1:$FG$1,0)-1)=TRUE),0,OFFSET(Tabella!$G$1,MATCH(H743,Tabella!$G:$G,0)-1,MATCH(I743,Tabella!$G$1:$AB$1,0)-1)),4)</f>
        <v>0</v>
      </c>
      <c r="Q743" s="238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238">
        <f ca="1">ROUND(IF(ISERROR(OFFSET(Rame!$F$1,MATCH(H743,Rame!$F:$F,0)-1,MATCH(I743,Rame!$F$1:$FF$1,0)-1)=TRUE),0,OFFSET(Rame!$F$1,MATCH(H743,Rame!$F:$F,0)-1,MATCH(I743,Rame!$F$1:$FF$1,0)-1))*IF(E743="Rame",1,0),4)</f>
        <v>0</v>
      </c>
      <c r="S743" s="238">
        <f ca="1">ROUND(IF(ISERROR(OFFSET(Bronzo!$A$1,MATCH(H743,Bronzo!$A:$A,0)-1,MATCH(I743,Bronzo!$A$1:$AA$1,0)-1)=TRUE),0,OFFSET(Bronzo!$A$1,MATCH(H743,Bronzo!$A:$A,0)-1,MATCH(I743,Bronzo!$A$1:$AA$1,0)-1)),4)</f>
        <v>0</v>
      </c>
      <c r="T743" s="238">
        <f t="shared" ca="1" si="318"/>
        <v>0</v>
      </c>
      <c r="U743" s="237"/>
      <c r="V743" s="238">
        <v>0</v>
      </c>
      <c r="W743" s="239">
        <f t="shared" ca="1" si="319"/>
        <v>0</v>
      </c>
      <c r="X743" s="240">
        <f t="shared" si="316"/>
        <v>0</v>
      </c>
      <c r="Y743" s="236"/>
      <c r="Z743" s="236">
        <f t="shared" ca="1" si="320"/>
        <v>0</v>
      </c>
      <c r="AA743" s="241"/>
      <c r="AF743" s="225">
        <f t="shared" ca="1" si="315"/>
        <v>46236</v>
      </c>
      <c r="AG743" s="225" t="b">
        <f t="shared" si="317"/>
        <v>1</v>
      </c>
      <c r="AH743" s="242"/>
    </row>
    <row r="744" spans="2:34" ht="15.75" x14ac:dyDescent="0.25">
      <c r="B744" s="229"/>
      <c r="C744" s="235"/>
      <c r="D744" s="243"/>
      <c r="E744" s="232"/>
      <c r="F744" s="233"/>
      <c r="G744" s="234"/>
      <c r="H744" s="235"/>
      <c r="I744" s="235"/>
      <c r="J744" s="236"/>
      <c r="K744" s="237">
        <f ca="1">ROUND(IF(ISERROR(OFFSET(Tabella!$A$1,MATCH(H744,Tabella!$A:$A,0)-1,MATCH(J744,Tabella!$A$1:$AC$1,0)-1)=TRUE),0,+OFFSET(Tabella!$A$1,MATCH(H744,Tabella!$A:$A,0)-1,MATCH(J744,Tabella!$A$1:$AC$1,0)-1)),4)</f>
        <v>0</v>
      </c>
      <c r="L744" s="238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238">
        <f ca="1">ROUND(IF(ISERROR(OFFSET(Rame!$A$1,MATCH(H744,Rame!$A:$A,0)-1,MATCH(J744,Rame!$A$1:$AA$1,0)-1)=TRUE),0,OFFSET(Rame!$A$1,MATCH(H744,Rame!$A:$A,0)-1,MATCH(J744,Rame!$A$1:$AA$1,0)-1))*IF(E744="Rame",1,0),4)</f>
        <v>0</v>
      </c>
      <c r="N744" s="238">
        <v>0</v>
      </c>
      <c r="O744" s="238">
        <f t="shared" ca="1" si="312"/>
        <v>0</v>
      </c>
      <c r="P744" s="238">
        <f ca="1">ROUND(+IF(ISERROR(OFFSET(Tabella!$G$1,MATCH(H744,Tabella!$G:$G,0)-1,MATCH(I744,Tabella!$G$1:$FG$1,0)-1)=TRUE),0,OFFSET(Tabella!$G$1,MATCH(H744,Tabella!$G:$G,0)-1,MATCH(I744,Tabella!$G$1:$AB$1,0)-1)),4)</f>
        <v>0</v>
      </c>
      <c r="Q744" s="238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238">
        <f ca="1">ROUND(IF(ISERROR(OFFSET(Rame!$F$1,MATCH(H744,Rame!$F:$F,0)-1,MATCH(I744,Rame!$F$1:$FF$1,0)-1)=TRUE),0,OFFSET(Rame!$F$1,MATCH(H744,Rame!$F:$F,0)-1,MATCH(I744,Rame!$F$1:$FF$1,0)-1))*IF(E744="Rame",1,0),4)</f>
        <v>0</v>
      </c>
      <c r="S744" s="238">
        <f ca="1">ROUND(IF(ISERROR(OFFSET(Bronzo!$A$1,MATCH(H744,Bronzo!$A:$A,0)-1,MATCH(I744,Bronzo!$A$1:$AA$1,0)-1)=TRUE),0,OFFSET(Bronzo!$A$1,MATCH(H744,Bronzo!$A:$A,0)-1,MATCH(I744,Bronzo!$A$1:$AA$1,0)-1)),4)</f>
        <v>0</v>
      </c>
      <c r="T744" s="238">
        <f t="shared" ca="1" si="318"/>
        <v>0</v>
      </c>
      <c r="U744" s="237"/>
      <c r="V744" s="238">
        <v>0</v>
      </c>
      <c r="W744" s="239">
        <f t="shared" ca="1" si="319"/>
        <v>0</v>
      </c>
      <c r="X744" s="240">
        <f t="shared" si="316"/>
        <v>0</v>
      </c>
      <c r="Y744" s="236"/>
      <c r="Z744" s="236">
        <f t="shared" ca="1" si="320"/>
        <v>0</v>
      </c>
      <c r="AA744" s="241"/>
      <c r="AF744" s="225">
        <f t="shared" ca="1" si="315"/>
        <v>46236</v>
      </c>
      <c r="AG744" s="225" t="b">
        <f t="shared" si="317"/>
        <v>1</v>
      </c>
      <c r="AH744" s="242"/>
    </row>
    <row r="745" spans="2:34" ht="15.75" x14ac:dyDescent="0.25">
      <c r="B745" s="229"/>
      <c r="C745" s="235"/>
      <c r="D745" s="243"/>
      <c r="E745" s="232"/>
      <c r="F745" s="233"/>
      <c r="G745" s="234"/>
      <c r="H745" s="235"/>
      <c r="I745" s="235"/>
      <c r="J745" s="236"/>
      <c r="K745" s="237">
        <f ca="1">ROUND(IF(ISERROR(OFFSET(Tabella!$A$1,MATCH(H745,Tabella!$A:$A,0)-1,MATCH(J745,Tabella!$A$1:$AC$1,0)-1)=TRUE),0,+OFFSET(Tabella!$A$1,MATCH(H745,Tabella!$A:$A,0)-1,MATCH(J745,Tabella!$A$1:$AC$1,0)-1)),4)</f>
        <v>0</v>
      </c>
      <c r="L745" s="238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238">
        <f ca="1">ROUND(IF(ISERROR(OFFSET(Rame!$A$1,MATCH(H745,Rame!$A:$A,0)-1,MATCH(J745,Rame!$A$1:$AA$1,0)-1)=TRUE),0,OFFSET(Rame!$A$1,MATCH(H745,Rame!$A:$A,0)-1,MATCH(J745,Rame!$A$1:$AA$1,0)-1))*IF(E745="Rame",1,0),4)</f>
        <v>0</v>
      </c>
      <c r="N745" s="238">
        <v>0</v>
      </c>
      <c r="O745" s="238">
        <f t="shared" ca="1" si="312"/>
        <v>0</v>
      </c>
      <c r="P745" s="238">
        <f ca="1">ROUND(+IF(ISERROR(OFFSET(Tabella!$G$1,MATCH(H745,Tabella!$G:$G,0)-1,MATCH(I745,Tabella!$G$1:$FG$1,0)-1)=TRUE),0,OFFSET(Tabella!$G$1,MATCH(H745,Tabella!$G:$G,0)-1,MATCH(I745,Tabella!$G$1:$AB$1,0)-1)),4)</f>
        <v>0</v>
      </c>
      <c r="Q745" s="238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238">
        <f ca="1">ROUND(IF(ISERROR(OFFSET(Rame!$F$1,MATCH(H745,Rame!$F:$F,0)-1,MATCH(I745,Rame!$F$1:$FF$1,0)-1)=TRUE),0,OFFSET(Rame!$F$1,MATCH(H745,Rame!$F:$F,0)-1,MATCH(I745,Rame!$F$1:$FF$1,0)-1))*IF(E745="Rame",1,0),4)</f>
        <v>0</v>
      </c>
      <c r="S745" s="238">
        <f ca="1">ROUND(IF(ISERROR(OFFSET(Bronzo!$A$1,MATCH(H745,Bronzo!$A:$A,0)-1,MATCH(I745,Bronzo!$A$1:$AA$1,0)-1)=TRUE),0,OFFSET(Bronzo!$A$1,MATCH(H745,Bronzo!$A:$A,0)-1,MATCH(I745,Bronzo!$A$1:$AA$1,0)-1)),4)</f>
        <v>0</v>
      </c>
      <c r="T745" s="238">
        <f t="shared" ca="1" si="318"/>
        <v>0</v>
      </c>
      <c r="U745" s="237"/>
      <c r="V745" s="238">
        <v>0</v>
      </c>
      <c r="W745" s="239">
        <f t="shared" ca="1" si="319"/>
        <v>0</v>
      </c>
      <c r="X745" s="240">
        <f t="shared" si="316"/>
        <v>0</v>
      </c>
      <c r="Y745" s="236"/>
      <c r="Z745" s="236">
        <f t="shared" ca="1" si="320"/>
        <v>0</v>
      </c>
      <c r="AA745" s="241"/>
      <c r="AF745" s="225">
        <f t="shared" ca="1" si="315"/>
        <v>46236</v>
      </c>
      <c r="AG745" s="225" t="b">
        <f t="shared" si="317"/>
        <v>1</v>
      </c>
      <c r="AH745" s="242"/>
    </row>
    <row r="746" spans="2:34" ht="15.75" x14ac:dyDescent="0.25">
      <c r="B746" s="229"/>
      <c r="C746" s="235"/>
      <c r="D746" s="243"/>
      <c r="E746" s="232"/>
      <c r="F746" s="233"/>
      <c r="G746" s="234"/>
      <c r="H746" s="235"/>
      <c r="I746" s="235"/>
      <c r="J746" s="236"/>
      <c r="K746" s="237">
        <f ca="1">ROUND(IF(ISERROR(OFFSET(Tabella!$A$1,MATCH(H746,Tabella!$A:$A,0)-1,MATCH(J746,Tabella!$A$1:$AC$1,0)-1)=TRUE),0,+OFFSET(Tabella!$A$1,MATCH(H746,Tabella!$A:$A,0)-1,MATCH(J746,Tabella!$A$1:$AC$1,0)-1)),4)</f>
        <v>0</v>
      </c>
      <c r="L746" s="238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238">
        <f ca="1">ROUND(IF(ISERROR(OFFSET(Rame!$A$1,MATCH(H746,Rame!$A:$A,0)-1,MATCH(J746,Rame!$A$1:$AA$1,0)-1)=TRUE),0,OFFSET(Rame!$A$1,MATCH(H746,Rame!$A:$A,0)-1,MATCH(J746,Rame!$A$1:$AA$1,0)-1))*IF(E746="Rame",1,0),4)</f>
        <v>0</v>
      </c>
      <c r="N746" s="238">
        <v>0</v>
      </c>
      <c r="O746" s="238">
        <f t="shared" ca="1" si="312"/>
        <v>0</v>
      </c>
      <c r="P746" s="238">
        <f ca="1">ROUND(+IF(ISERROR(OFFSET(Tabella!$G$1,MATCH(H746,Tabella!$G:$G,0)-1,MATCH(I746,Tabella!$G$1:$FG$1,0)-1)=TRUE),0,OFFSET(Tabella!$G$1,MATCH(H746,Tabella!$G:$G,0)-1,MATCH(I746,Tabella!$G$1:$AB$1,0)-1)),4)</f>
        <v>0</v>
      </c>
      <c r="Q746" s="238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238">
        <f ca="1">ROUND(IF(ISERROR(OFFSET(Rame!$F$1,MATCH(H746,Rame!$F:$F,0)-1,MATCH(I746,Rame!$F$1:$FF$1,0)-1)=TRUE),0,OFFSET(Rame!$F$1,MATCH(H746,Rame!$F:$F,0)-1,MATCH(I746,Rame!$F$1:$FF$1,0)-1))*IF(E746="Rame",1,0),4)</f>
        <v>0</v>
      </c>
      <c r="S746" s="238">
        <f ca="1">ROUND(IF(ISERROR(OFFSET(Bronzo!$A$1,MATCH(H746,Bronzo!$A:$A,0)-1,MATCH(I746,Bronzo!$A$1:$AA$1,0)-1)=TRUE),0,OFFSET(Bronzo!$A$1,MATCH(H746,Bronzo!$A:$A,0)-1,MATCH(I746,Bronzo!$A$1:$AA$1,0)-1)),4)</f>
        <v>0</v>
      </c>
      <c r="T746" s="238">
        <f t="shared" ca="1" si="318"/>
        <v>0</v>
      </c>
      <c r="U746" s="237"/>
      <c r="V746" s="238">
        <v>0</v>
      </c>
      <c r="W746" s="239">
        <f t="shared" ca="1" si="319"/>
        <v>0</v>
      </c>
      <c r="X746" s="240">
        <f t="shared" si="316"/>
        <v>0</v>
      </c>
      <c r="Y746" s="236"/>
      <c r="Z746" s="236">
        <f t="shared" ca="1" si="320"/>
        <v>0</v>
      </c>
      <c r="AA746" s="241"/>
      <c r="AF746" s="225">
        <f t="shared" ca="1" si="315"/>
        <v>46236</v>
      </c>
      <c r="AG746" s="225" t="b">
        <f t="shared" si="317"/>
        <v>1</v>
      </c>
      <c r="AH746" s="242"/>
    </row>
    <row r="747" spans="2:34" ht="15.75" x14ac:dyDescent="0.25">
      <c r="B747" s="229"/>
      <c r="C747" s="235"/>
      <c r="D747" s="243"/>
      <c r="E747" s="232"/>
      <c r="F747" s="233"/>
      <c r="G747" s="234"/>
      <c r="H747" s="235"/>
      <c r="I747" s="235"/>
      <c r="J747" s="236"/>
      <c r="K747" s="237">
        <f ca="1">ROUND(IF(ISERROR(OFFSET(Tabella!$A$1,MATCH(H747,Tabella!$A:$A,0)-1,MATCH(J747,Tabella!$A$1:$AC$1,0)-1)=TRUE),0,+OFFSET(Tabella!$A$1,MATCH(H747,Tabella!$A:$A,0)-1,MATCH(J747,Tabella!$A$1:$AC$1,0)-1)),4)</f>
        <v>0</v>
      </c>
      <c r="L747" s="238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238">
        <f ca="1">ROUND(IF(ISERROR(OFFSET(Rame!$A$1,MATCH(H747,Rame!$A:$A,0)-1,MATCH(J747,Rame!$A$1:$AA$1,0)-1)=TRUE),0,OFFSET(Rame!$A$1,MATCH(H747,Rame!$A:$A,0)-1,MATCH(J747,Rame!$A$1:$AA$1,0)-1))*IF(E747="Rame",1,0),4)</f>
        <v>0</v>
      </c>
      <c r="N747" s="238">
        <v>0</v>
      </c>
      <c r="O747" s="238">
        <f t="shared" ca="1" si="312"/>
        <v>0</v>
      </c>
      <c r="P747" s="238">
        <f ca="1">ROUND(+IF(ISERROR(OFFSET(Tabella!$G$1,MATCH(H747,Tabella!$G:$G,0)-1,MATCH(I747,Tabella!$G$1:$FG$1,0)-1)=TRUE),0,OFFSET(Tabella!$G$1,MATCH(H747,Tabella!$G:$G,0)-1,MATCH(I747,Tabella!$G$1:$AB$1,0)-1)),4)</f>
        <v>0</v>
      </c>
      <c r="Q747" s="238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238">
        <f ca="1">ROUND(IF(ISERROR(OFFSET(Rame!$F$1,MATCH(H747,Rame!$F:$F,0)-1,MATCH(I747,Rame!$F$1:$FF$1,0)-1)=TRUE),0,OFFSET(Rame!$F$1,MATCH(H747,Rame!$F:$F,0)-1,MATCH(I747,Rame!$F$1:$FF$1,0)-1))*IF(E747="Rame",1,0),4)</f>
        <v>0</v>
      </c>
      <c r="S747" s="238">
        <f ca="1">ROUND(IF(ISERROR(OFFSET(Bronzo!$A$1,MATCH(H747,Bronzo!$A:$A,0)-1,MATCH(I747,Bronzo!$A$1:$AA$1,0)-1)=TRUE),0,OFFSET(Bronzo!$A$1,MATCH(H747,Bronzo!$A:$A,0)-1,MATCH(I747,Bronzo!$A$1:$AA$1,0)-1)),4)</f>
        <v>0</v>
      </c>
      <c r="T747" s="238">
        <f t="shared" ca="1" si="318"/>
        <v>0</v>
      </c>
      <c r="U747" s="237"/>
      <c r="V747" s="238">
        <v>0</v>
      </c>
      <c r="W747" s="239">
        <f t="shared" ca="1" si="319"/>
        <v>0</v>
      </c>
      <c r="X747" s="240">
        <f t="shared" si="316"/>
        <v>0</v>
      </c>
      <c r="Y747" s="236"/>
      <c r="Z747" s="236">
        <f t="shared" ca="1" si="320"/>
        <v>0</v>
      </c>
      <c r="AA747" s="241"/>
      <c r="AF747" s="225">
        <f t="shared" ca="1" si="315"/>
        <v>46236</v>
      </c>
      <c r="AG747" s="225" t="b">
        <f t="shared" si="317"/>
        <v>1</v>
      </c>
      <c r="AH747" s="242"/>
    </row>
    <row r="748" spans="2:34" ht="15.75" x14ac:dyDescent="0.25">
      <c r="B748" s="229"/>
      <c r="C748" s="235"/>
      <c r="D748" s="243"/>
      <c r="E748" s="232"/>
      <c r="F748" s="233"/>
      <c r="G748" s="234"/>
      <c r="H748" s="235"/>
      <c r="I748" s="235"/>
      <c r="J748" s="236"/>
      <c r="K748" s="237">
        <f ca="1">ROUND(IF(ISERROR(OFFSET(Tabella!$A$1,MATCH(H748,Tabella!$A:$A,0)-1,MATCH(J748,Tabella!$A$1:$AC$1,0)-1)=TRUE),0,+OFFSET(Tabella!$A$1,MATCH(H748,Tabella!$A:$A,0)-1,MATCH(J748,Tabella!$A$1:$AC$1,0)-1)),4)</f>
        <v>0</v>
      </c>
      <c r="L748" s="238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238">
        <f ca="1">ROUND(IF(ISERROR(OFFSET(Rame!$A$1,MATCH(H748,Rame!$A:$A,0)-1,MATCH(J748,Rame!$A$1:$AA$1,0)-1)=TRUE),0,OFFSET(Rame!$A$1,MATCH(H748,Rame!$A:$A,0)-1,MATCH(J748,Rame!$A$1:$AA$1,0)-1))*IF(E748="Rame",1,0),4)</f>
        <v>0</v>
      </c>
      <c r="N748" s="238">
        <v>0</v>
      </c>
      <c r="O748" s="238">
        <f t="shared" ca="1" si="312"/>
        <v>0</v>
      </c>
      <c r="P748" s="238">
        <f ca="1">ROUND(+IF(ISERROR(OFFSET(Tabella!$G$1,MATCH(H748,Tabella!$G:$G,0)-1,MATCH(I748,Tabella!$G$1:$FG$1,0)-1)=TRUE),0,OFFSET(Tabella!$G$1,MATCH(H748,Tabella!$G:$G,0)-1,MATCH(I748,Tabella!$G$1:$AB$1,0)-1)),4)</f>
        <v>0</v>
      </c>
      <c r="Q748" s="238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238">
        <f ca="1">ROUND(IF(ISERROR(OFFSET(Rame!$F$1,MATCH(H748,Rame!$F:$F,0)-1,MATCH(I748,Rame!$F$1:$FF$1,0)-1)=TRUE),0,OFFSET(Rame!$F$1,MATCH(H748,Rame!$F:$F,0)-1,MATCH(I748,Rame!$F$1:$FF$1,0)-1))*IF(E748="Rame",1,0),4)</f>
        <v>0</v>
      </c>
      <c r="S748" s="238">
        <f ca="1">ROUND(IF(ISERROR(OFFSET(Bronzo!$A$1,MATCH(H748,Bronzo!$A:$A,0)-1,MATCH(I748,Bronzo!$A$1:$AA$1,0)-1)=TRUE),0,OFFSET(Bronzo!$A$1,MATCH(H748,Bronzo!$A:$A,0)-1,MATCH(I748,Bronzo!$A$1:$AA$1,0)-1)),4)</f>
        <v>0</v>
      </c>
      <c r="T748" s="238">
        <f t="shared" ca="1" si="318"/>
        <v>0</v>
      </c>
      <c r="U748" s="237"/>
      <c r="V748" s="238">
        <v>0</v>
      </c>
      <c r="W748" s="239">
        <f t="shared" ca="1" si="319"/>
        <v>0</v>
      </c>
      <c r="X748" s="240">
        <f t="shared" si="316"/>
        <v>0</v>
      </c>
      <c r="Y748" s="236"/>
      <c r="Z748" s="236">
        <f t="shared" ca="1" si="320"/>
        <v>0</v>
      </c>
      <c r="AA748" s="241"/>
      <c r="AF748" s="225">
        <f t="shared" ca="1" si="315"/>
        <v>46236</v>
      </c>
      <c r="AG748" s="225" t="b">
        <f t="shared" si="317"/>
        <v>1</v>
      </c>
      <c r="AH748" s="242"/>
    </row>
    <row r="749" spans="2:34" ht="15.75" x14ac:dyDescent="0.25">
      <c r="B749" s="229"/>
      <c r="C749" s="235"/>
      <c r="D749" s="243"/>
      <c r="E749" s="232"/>
      <c r="F749" s="233"/>
      <c r="G749" s="234"/>
      <c r="H749" s="235"/>
      <c r="I749" s="235"/>
      <c r="J749" s="236"/>
      <c r="K749" s="237">
        <f ca="1">ROUND(IF(ISERROR(OFFSET(Tabella!$A$1,MATCH(H749,Tabella!$A:$A,0)-1,MATCH(J749,Tabella!$A$1:$AC$1,0)-1)=TRUE),0,+OFFSET(Tabella!$A$1,MATCH(H749,Tabella!$A:$A,0)-1,MATCH(J749,Tabella!$A$1:$AC$1,0)-1)),4)</f>
        <v>0</v>
      </c>
      <c r="L749" s="238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238">
        <f ca="1">ROUND(IF(ISERROR(OFFSET(Rame!$A$1,MATCH(H749,Rame!$A:$A,0)-1,MATCH(J749,Rame!$A$1:$AA$1,0)-1)=TRUE),0,OFFSET(Rame!$A$1,MATCH(H749,Rame!$A:$A,0)-1,MATCH(J749,Rame!$A$1:$AA$1,0)-1))*IF(E749="Rame",1,0),4)</f>
        <v>0</v>
      </c>
      <c r="N749" s="238">
        <v>0</v>
      </c>
      <c r="O749" s="238">
        <f t="shared" ca="1" si="312"/>
        <v>0</v>
      </c>
      <c r="P749" s="238">
        <f ca="1">ROUND(+IF(ISERROR(OFFSET(Tabella!$G$1,MATCH(H749,Tabella!$G:$G,0)-1,MATCH(I749,Tabella!$G$1:$FG$1,0)-1)=TRUE),0,OFFSET(Tabella!$G$1,MATCH(H749,Tabella!$G:$G,0)-1,MATCH(I749,Tabella!$G$1:$AB$1,0)-1)),4)</f>
        <v>0</v>
      </c>
      <c r="Q749" s="238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238">
        <f ca="1">ROUND(IF(ISERROR(OFFSET(Rame!$F$1,MATCH(H749,Rame!$F:$F,0)-1,MATCH(I749,Rame!$F$1:$FF$1,0)-1)=TRUE),0,OFFSET(Rame!$F$1,MATCH(H749,Rame!$F:$F,0)-1,MATCH(I749,Rame!$F$1:$FF$1,0)-1))*IF(E749="Rame",1,0),4)</f>
        <v>0</v>
      </c>
      <c r="S749" s="238">
        <f ca="1">ROUND(IF(ISERROR(OFFSET(Bronzo!$A$1,MATCH(H749,Bronzo!$A:$A,0)-1,MATCH(I749,Bronzo!$A$1:$AA$1,0)-1)=TRUE),0,OFFSET(Bronzo!$A$1,MATCH(H749,Bronzo!$A:$A,0)-1,MATCH(I749,Bronzo!$A$1:$AA$1,0)-1)),4)</f>
        <v>0</v>
      </c>
      <c r="T749" s="238">
        <f t="shared" ca="1" si="318"/>
        <v>0</v>
      </c>
      <c r="U749" s="237"/>
      <c r="V749" s="238">
        <v>0</v>
      </c>
      <c r="W749" s="239">
        <f t="shared" ca="1" si="319"/>
        <v>0</v>
      </c>
      <c r="X749" s="240">
        <f t="shared" si="316"/>
        <v>0</v>
      </c>
      <c r="Y749" s="236"/>
      <c r="Z749" s="236">
        <f t="shared" ca="1" si="320"/>
        <v>0</v>
      </c>
      <c r="AA749" s="241"/>
      <c r="AF749" s="225">
        <f t="shared" ca="1" si="315"/>
        <v>46236</v>
      </c>
      <c r="AG749" s="225" t="b">
        <f t="shared" si="317"/>
        <v>1</v>
      </c>
      <c r="AH749" s="242"/>
    </row>
    <row r="750" spans="2:34" ht="15.75" x14ac:dyDescent="0.25">
      <c r="B750" s="229"/>
      <c r="C750" s="235"/>
      <c r="D750" s="243"/>
      <c r="E750" s="232"/>
      <c r="F750" s="233"/>
      <c r="G750" s="234"/>
      <c r="H750" s="235"/>
      <c r="I750" s="235"/>
      <c r="J750" s="236"/>
      <c r="K750" s="237">
        <f ca="1">ROUND(IF(ISERROR(OFFSET(Tabella!$A$1,MATCH(H750,Tabella!$A:$A,0)-1,MATCH(J750,Tabella!$A$1:$AC$1,0)-1)=TRUE),0,+OFFSET(Tabella!$A$1,MATCH(H750,Tabella!$A:$A,0)-1,MATCH(J750,Tabella!$A$1:$AC$1,0)-1)),4)</f>
        <v>0</v>
      </c>
      <c r="L750" s="238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238">
        <f ca="1">ROUND(IF(ISERROR(OFFSET(Rame!$A$1,MATCH(H750,Rame!$A:$A,0)-1,MATCH(J750,Rame!$A$1:$AA$1,0)-1)=TRUE),0,OFFSET(Rame!$A$1,MATCH(H750,Rame!$A:$A,0)-1,MATCH(J750,Rame!$A$1:$AA$1,0)-1))*IF(E750="Rame",1,0),4)</f>
        <v>0</v>
      </c>
      <c r="N750" s="238">
        <v>0</v>
      </c>
      <c r="O750" s="238">
        <f t="shared" ca="1" si="312"/>
        <v>0</v>
      </c>
      <c r="P750" s="238">
        <f ca="1">ROUND(+IF(ISERROR(OFFSET(Tabella!$G$1,MATCH(H750,Tabella!$G:$G,0)-1,MATCH(I750,Tabella!$G$1:$FG$1,0)-1)=TRUE),0,OFFSET(Tabella!$G$1,MATCH(H750,Tabella!$G:$G,0)-1,MATCH(I750,Tabella!$G$1:$AB$1,0)-1)),4)</f>
        <v>0</v>
      </c>
      <c r="Q750" s="238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238">
        <f ca="1">ROUND(IF(ISERROR(OFFSET(Rame!$F$1,MATCH(H750,Rame!$F:$F,0)-1,MATCH(I750,Rame!$F$1:$FF$1,0)-1)=TRUE),0,OFFSET(Rame!$F$1,MATCH(H750,Rame!$F:$F,0)-1,MATCH(I750,Rame!$F$1:$FF$1,0)-1))*IF(E750="Rame",1,0),4)</f>
        <v>0</v>
      </c>
      <c r="S750" s="238">
        <f ca="1">ROUND(IF(ISERROR(OFFSET(Bronzo!$A$1,MATCH(H750,Bronzo!$A:$A,0)-1,MATCH(I750,Bronzo!$A$1:$AA$1,0)-1)=TRUE),0,OFFSET(Bronzo!$A$1,MATCH(H750,Bronzo!$A:$A,0)-1,MATCH(I750,Bronzo!$A$1:$AA$1,0)-1)),4)</f>
        <v>0</v>
      </c>
      <c r="T750" s="238">
        <f t="shared" ca="1" si="318"/>
        <v>0</v>
      </c>
      <c r="U750" s="237"/>
      <c r="V750" s="238">
        <v>0</v>
      </c>
      <c r="W750" s="239">
        <f t="shared" ca="1" si="319"/>
        <v>0</v>
      </c>
      <c r="X750" s="240">
        <f t="shared" si="316"/>
        <v>0</v>
      </c>
      <c r="Y750" s="236"/>
      <c r="Z750" s="236">
        <f t="shared" ca="1" si="320"/>
        <v>0</v>
      </c>
      <c r="AA750" s="241"/>
      <c r="AF750" s="225">
        <f t="shared" ca="1" si="315"/>
        <v>46236</v>
      </c>
      <c r="AG750" s="225" t="b">
        <f t="shared" si="317"/>
        <v>1</v>
      </c>
      <c r="AH750" s="242"/>
    </row>
    <row r="751" spans="2:34" ht="15.75" x14ac:dyDescent="0.25">
      <c r="B751" s="229"/>
      <c r="C751" s="235"/>
      <c r="D751" s="243"/>
      <c r="E751" s="232"/>
      <c r="F751" s="233"/>
      <c r="G751" s="234"/>
      <c r="H751" s="235"/>
      <c r="I751" s="235"/>
      <c r="J751" s="236"/>
      <c r="K751" s="237">
        <f ca="1">ROUND(IF(ISERROR(OFFSET(Tabella!$A$1,MATCH(H751,Tabella!$A:$A,0)-1,MATCH(J751,Tabella!$A$1:$AC$1,0)-1)=TRUE),0,+OFFSET(Tabella!$A$1,MATCH(H751,Tabella!$A:$A,0)-1,MATCH(J751,Tabella!$A$1:$AC$1,0)-1)),4)</f>
        <v>0</v>
      </c>
      <c r="L751" s="238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238">
        <f ca="1">ROUND(IF(ISERROR(OFFSET(Rame!$A$1,MATCH(H751,Rame!$A:$A,0)-1,MATCH(J751,Rame!$A$1:$AA$1,0)-1)=TRUE),0,OFFSET(Rame!$A$1,MATCH(H751,Rame!$A:$A,0)-1,MATCH(J751,Rame!$A$1:$AA$1,0)-1))*IF(E751="Rame",1,0),4)</f>
        <v>0</v>
      </c>
      <c r="N751" s="238">
        <v>0</v>
      </c>
      <c r="O751" s="238">
        <f t="shared" ca="1" si="312"/>
        <v>0</v>
      </c>
      <c r="P751" s="238">
        <f ca="1">ROUND(+IF(ISERROR(OFFSET(Tabella!$G$1,MATCH(H751,Tabella!$G:$G,0)-1,MATCH(I751,Tabella!$G$1:$FG$1,0)-1)=TRUE),0,OFFSET(Tabella!$G$1,MATCH(H751,Tabella!$G:$G,0)-1,MATCH(I751,Tabella!$G$1:$AB$1,0)-1)),4)</f>
        <v>0</v>
      </c>
      <c r="Q751" s="238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238">
        <f ca="1">ROUND(IF(ISERROR(OFFSET(Rame!$F$1,MATCH(H751,Rame!$F:$F,0)-1,MATCH(I751,Rame!$F$1:$FF$1,0)-1)=TRUE),0,OFFSET(Rame!$F$1,MATCH(H751,Rame!$F:$F,0)-1,MATCH(I751,Rame!$F$1:$FF$1,0)-1))*IF(E751="Rame",1,0),4)</f>
        <v>0</v>
      </c>
      <c r="S751" s="238">
        <f ca="1">ROUND(IF(ISERROR(OFFSET(Bronzo!$A$1,MATCH(H751,Bronzo!$A:$A,0)-1,MATCH(I751,Bronzo!$A$1:$AA$1,0)-1)=TRUE),0,OFFSET(Bronzo!$A$1,MATCH(H751,Bronzo!$A:$A,0)-1,MATCH(I751,Bronzo!$A$1:$AA$1,0)-1)),4)</f>
        <v>0</v>
      </c>
      <c r="T751" s="238">
        <f t="shared" ca="1" si="318"/>
        <v>0</v>
      </c>
      <c r="U751" s="237"/>
      <c r="V751" s="238">
        <v>0</v>
      </c>
      <c r="W751" s="239">
        <f t="shared" ca="1" si="319"/>
        <v>0</v>
      </c>
      <c r="X751" s="240">
        <f t="shared" si="316"/>
        <v>0</v>
      </c>
      <c r="Y751" s="236"/>
      <c r="Z751" s="236">
        <f t="shared" ca="1" si="320"/>
        <v>0</v>
      </c>
      <c r="AA751" s="241"/>
      <c r="AF751" s="225">
        <f t="shared" ca="1" si="315"/>
        <v>46236</v>
      </c>
      <c r="AG751" s="225" t="b">
        <f t="shared" si="317"/>
        <v>1</v>
      </c>
      <c r="AH751" s="242"/>
    </row>
    <row r="752" spans="2:34" ht="15.75" x14ac:dyDescent="0.25">
      <c r="B752" s="229"/>
      <c r="C752" s="235"/>
      <c r="D752" s="243"/>
      <c r="E752" s="232"/>
      <c r="F752" s="233"/>
      <c r="G752" s="234"/>
      <c r="H752" s="235"/>
      <c r="I752" s="235"/>
      <c r="J752" s="236"/>
      <c r="K752" s="237">
        <f ca="1">ROUND(IF(ISERROR(OFFSET(Tabella!$A$1,MATCH(H752,Tabella!$A:$A,0)-1,MATCH(J752,Tabella!$A$1:$AC$1,0)-1)=TRUE),0,+OFFSET(Tabella!$A$1,MATCH(H752,Tabella!$A:$A,0)-1,MATCH(J752,Tabella!$A$1:$AC$1,0)-1)),4)</f>
        <v>0</v>
      </c>
      <c r="L752" s="238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238">
        <f ca="1">ROUND(IF(ISERROR(OFFSET(Rame!$A$1,MATCH(H752,Rame!$A:$A,0)-1,MATCH(J752,Rame!$A$1:$AA$1,0)-1)=TRUE),0,OFFSET(Rame!$A$1,MATCH(H752,Rame!$A:$A,0)-1,MATCH(J752,Rame!$A$1:$AA$1,0)-1))*IF(E752="Rame",1,0),4)</f>
        <v>0</v>
      </c>
      <c r="N752" s="238">
        <v>0</v>
      </c>
      <c r="O752" s="238">
        <f t="shared" ca="1" si="312"/>
        <v>0</v>
      </c>
      <c r="P752" s="238">
        <f ca="1">ROUND(+IF(ISERROR(OFFSET(Tabella!$G$1,MATCH(H752,Tabella!$G:$G,0)-1,MATCH(I752,Tabella!$G$1:$FG$1,0)-1)=TRUE),0,OFFSET(Tabella!$G$1,MATCH(H752,Tabella!$G:$G,0)-1,MATCH(I752,Tabella!$G$1:$AB$1,0)-1)),4)</f>
        <v>0</v>
      </c>
      <c r="Q752" s="238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238">
        <f ca="1">ROUND(IF(ISERROR(OFFSET(Rame!$F$1,MATCH(H752,Rame!$F:$F,0)-1,MATCH(I752,Rame!$F$1:$FF$1,0)-1)=TRUE),0,OFFSET(Rame!$F$1,MATCH(H752,Rame!$F:$F,0)-1,MATCH(I752,Rame!$F$1:$FF$1,0)-1))*IF(E752="Rame",1,0),4)</f>
        <v>0</v>
      </c>
      <c r="S752" s="238">
        <f ca="1">ROUND(IF(ISERROR(OFFSET(Bronzo!$A$1,MATCH(H752,Bronzo!$A:$A,0)-1,MATCH(I752,Bronzo!$A$1:$AA$1,0)-1)=TRUE),0,OFFSET(Bronzo!$A$1,MATCH(H752,Bronzo!$A:$A,0)-1,MATCH(I752,Bronzo!$A$1:$AA$1,0)-1)),4)</f>
        <v>0</v>
      </c>
      <c r="T752" s="238">
        <f t="shared" ca="1" si="318"/>
        <v>0</v>
      </c>
      <c r="U752" s="237"/>
      <c r="V752" s="238">
        <v>0</v>
      </c>
      <c r="W752" s="239">
        <f t="shared" ca="1" si="319"/>
        <v>0</v>
      </c>
      <c r="X752" s="240">
        <f t="shared" si="316"/>
        <v>0</v>
      </c>
      <c r="Y752" s="236"/>
      <c r="Z752" s="236">
        <f t="shared" ca="1" si="320"/>
        <v>0</v>
      </c>
      <c r="AA752" s="241"/>
      <c r="AF752" s="225">
        <f t="shared" ca="1" si="315"/>
        <v>46236</v>
      </c>
      <c r="AG752" s="225" t="b">
        <f t="shared" si="317"/>
        <v>1</v>
      </c>
      <c r="AH752" s="242"/>
    </row>
    <row r="753" spans="2:34" ht="15.75" x14ac:dyDescent="0.25">
      <c r="B753" s="229"/>
      <c r="C753" s="235"/>
      <c r="D753" s="243"/>
      <c r="E753" s="232"/>
      <c r="F753" s="233"/>
      <c r="G753" s="234"/>
      <c r="H753" s="235"/>
      <c r="I753" s="235"/>
      <c r="J753" s="236"/>
      <c r="K753" s="237">
        <f ca="1">ROUND(IF(ISERROR(OFFSET(Tabella!$A$1,MATCH(H753,Tabella!$A:$A,0)-1,MATCH(J753,Tabella!$A$1:$AC$1,0)-1)=TRUE),0,+OFFSET(Tabella!$A$1,MATCH(H753,Tabella!$A:$A,0)-1,MATCH(J753,Tabella!$A$1:$AC$1,0)-1)),4)</f>
        <v>0</v>
      </c>
      <c r="L753" s="238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238">
        <f ca="1">ROUND(IF(ISERROR(OFFSET(Rame!$A$1,MATCH(H753,Rame!$A:$A,0)-1,MATCH(J753,Rame!$A$1:$AA$1,0)-1)=TRUE),0,OFFSET(Rame!$A$1,MATCH(H753,Rame!$A:$A,0)-1,MATCH(J753,Rame!$A$1:$AA$1,0)-1))*IF(E753="Rame",1,0),4)</f>
        <v>0</v>
      </c>
      <c r="N753" s="238">
        <v>0</v>
      </c>
      <c r="O753" s="238">
        <f t="shared" ca="1" si="312"/>
        <v>0</v>
      </c>
      <c r="P753" s="238">
        <f ca="1">ROUND(+IF(ISERROR(OFFSET(Tabella!$G$1,MATCH(H753,Tabella!$G:$G,0)-1,MATCH(I753,Tabella!$G$1:$FG$1,0)-1)=TRUE),0,OFFSET(Tabella!$G$1,MATCH(H753,Tabella!$G:$G,0)-1,MATCH(I753,Tabella!$G$1:$AB$1,0)-1)),4)</f>
        <v>0</v>
      </c>
      <c r="Q753" s="238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238">
        <f ca="1">ROUND(IF(ISERROR(OFFSET(Rame!$F$1,MATCH(H753,Rame!$F:$F,0)-1,MATCH(I753,Rame!$F$1:$FF$1,0)-1)=TRUE),0,OFFSET(Rame!$F$1,MATCH(H753,Rame!$F:$F,0)-1,MATCH(I753,Rame!$F$1:$FF$1,0)-1))*IF(E753="Rame",1,0),4)</f>
        <v>0</v>
      </c>
      <c r="S753" s="238">
        <f ca="1">ROUND(IF(ISERROR(OFFSET(Bronzo!$A$1,MATCH(H753,Bronzo!$A:$A,0)-1,MATCH(I753,Bronzo!$A$1:$AA$1,0)-1)=TRUE),0,OFFSET(Bronzo!$A$1,MATCH(H753,Bronzo!$A:$A,0)-1,MATCH(I753,Bronzo!$A$1:$AA$1,0)-1)),4)</f>
        <v>0</v>
      </c>
      <c r="T753" s="238">
        <f t="shared" ca="1" si="318"/>
        <v>0</v>
      </c>
      <c r="U753" s="237"/>
      <c r="V753" s="238">
        <v>0</v>
      </c>
      <c r="W753" s="239">
        <f t="shared" ca="1" si="319"/>
        <v>0</v>
      </c>
      <c r="X753" s="240">
        <f t="shared" si="316"/>
        <v>0</v>
      </c>
      <c r="Y753" s="236"/>
      <c r="Z753" s="236">
        <f t="shared" ca="1" si="320"/>
        <v>0</v>
      </c>
      <c r="AA753" s="241"/>
      <c r="AF753" s="225">
        <f t="shared" ca="1" si="315"/>
        <v>46236</v>
      </c>
      <c r="AG753" s="225" t="b">
        <f t="shared" si="317"/>
        <v>1</v>
      </c>
      <c r="AH753" s="242"/>
    </row>
    <row r="754" spans="2:34" ht="15.75" x14ac:dyDescent="0.25">
      <c r="B754" s="229"/>
      <c r="C754" s="235"/>
      <c r="D754" s="243"/>
      <c r="E754" s="232"/>
      <c r="F754" s="233"/>
      <c r="G754" s="234"/>
      <c r="H754" s="235"/>
      <c r="I754" s="235"/>
      <c r="J754" s="236"/>
      <c r="K754" s="237">
        <f ca="1">ROUND(IF(ISERROR(OFFSET(Tabella!$A$1,MATCH(H754,Tabella!$A:$A,0)-1,MATCH(J754,Tabella!$A$1:$AC$1,0)-1)=TRUE),0,+OFFSET(Tabella!$A$1,MATCH(H754,Tabella!$A:$A,0)-1,MATCH(J754,Tabella!$A$1:$AC$1,0)-1)),4)</f>
        <v>0</v>
      </c>
      <c r="L754" s="238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238">
        <f ca="1">ROUND(IF(ISERROR(OFFSET(Rame!$A$1,MATCH(H754,Rame!$A:$A,0)-1,MATCH(J754,Rame!$A$1:$AA$1,0)-1)=TRUE),0,OFFSET(Rame!$A$1,MATCH(H754,Rame!$A:$A,0)-1,MATCH(J754,Rame!$A$1:$AA$1,0)-1))*IF(E754="Rame",1,0),4)</f>
        <v>0</v>
      </c>
      <c r="N754" s="238">
        <v>0</v>
      </c>
      <c r="O754" s="238">
        <f t="shared" ca="1" si="312"/>
        <v>0</v>
      </c>
      <c r="P754" s="238">
        <f ca="1">ROUND(+IF(ISERROR(OFFSET(Tabella!$G$1,MATCH(H754,Tabella!$G:$G,0)-1,MATCH(I754,Tabella!$G$1:$FG$1,0)-1)=TRUE),0,OFFSET(Tabella!$G$1,MATCH(H754,Tabella!$G:$G,0)-1,MATCH(I754,Tabella!$G$1:$AB$1,0)-1)),4)</f>
        <v>0</v>
      </c>
      <c r="Q754" s="238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238">
        <f ca="1">ROUND(IF(ISERROR(OFFSET(Rame!$F$1,MATCH(H754,Rame!$F:$F,0)-1,MATCH(I754,Rame!$F$1:$FF$1,0)-1)=TRUE),0,OFFSET(Rame!$F$1,MATCH(H754,Rame!$F:$F,0)-1,MATCH(I754,Rame!$F$1:$FF$1,0)-1))*IF(E754="Rame",1,0),4)</f>
        <v>0</v>
      </c>
      <c r="S754" s="238">
        <f ca="1">ROUND(IF(ISERROR(OFFSET(Bronzo!$A$1,MATCH(H754,Bronzo!$A:$A,0)-1,MATCH(I754,Bronzo!$A$1:$AA$1,0)-1)=TRUE),0,OFFSET(Bronzo!$A$1,MATCH(H754,Bronzo!$A:$A,0)-1,MATCH(I754,Bronzo!$A$1:$AA$1,0)-1)),4)</f>
        <v>0</v>
      </c>
      <c r="T754" s="238">
        <f t="shared" ca="1" si="318"/>
        <v>0</v>
      </c>
      <c r="U754" s="237"/>
      <c r="V754" s="238">
        <v>0</v>
      </c>
      <c r="W754" s="239">
        <f t="shared" ca="1" si="319"/>
        <v>0</v>
      </c>
      <c r="X754" s="240">
        <f t="shared" si="316"/>
        <v>0</v>
      </c>
      <c r="Y754" s="236"/>
      <c r="Z754" s="236">
        <f t="shared" ca="1" si="320"/>
        <v>0</v>
      </c>
      <c r="AA754" s="241"/>
      <c r="AF754" s="225">
        <f t="shared" ca="1" si="315"/>
        <v>46236</v>
      </c>
      <c r="AG754" s="225" t="b">
        <f t="shared" si="317"/>
        <v>1</v>
      </c>
      <c r="AH754" s="242"/>
    </row>
    <row r="755" spans="2:34" ht="15.75" x14ac:dyDescent="0.25">
      <c r="B755" s="229"/>
      <c r="C755" s="235"/>
      <c r="D755" s="243"/>
      <c r="E755" s="232"/>
      <c r="F755" s="233"/>
      <c r="G755" s="234"/>
      <c r="H755" s="235"/>
      <c r="I755" s="235"/>
      <c r="J755" s="236"/>
      <c r="K755" s="237">
        <f ca="1">ROUND(IF(ISERROR(OFFSET(Tabella!$A$1,MATCH(H755,Tabella!$A:$A,0)-1,MATCH(J755,Tabella!$A$1:$AC$1,0)-1)=TRUE),0,+OFFSET(Tabella!$A$1,MATCH(H755,Tabella!$A:$A,0)-1,MATCH(J755,Tabella!$A$1:$AC$1,0)-1)),4)</f>
        <v>0</v>
      </c>
      <c r="L755" s="238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238">
        <f ca="1">ROUND(IF(ISERROR(OFFSET(Rame!$A$1,MATCH(H755,Rame!$A:$A,0)-1,MATCH(J755,Rame!$A$1:$AA$1,0)-1)=TRUE),0,OFFSET(Rame!$A$1,MATCH(H755,Rame!$A:$A,0)-1,MATCH(J755,Rame!$A$1:$AA$1,0)-1))*IF(E755="Rame",1,0),4)</f>
        <v>0</v>
      </c>
      <c r="N755" s="238">
        <v>0</v>
      </c>
      <c r="O755" s="238">
        <f t="shared" ref="O755:O818" ca="1" si="321">ROUND(SUM(K755:N755),4)</f>
        <v>0</v>
      </c>
      <c r="P755" s="238">
        <f ca="1">ROUND(+IF(ISERROR(OFFSET(Tabella!$G$1,MATCH(H755,Tabella!$G:$G,0)-1,MATCH(I755,Tabella!$G$1:$FG$1,0)-1)=TRUE),0,OFFSET(Tabella!$G$1,MATCH(H755,Tabella!$G:$G,0)-1,MATCH(I755,Tabella!$G$1:$AB$1,0)-1)),4)</f>
        <v>0</v>
      </c>
      <c r="Q755" s="238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238">
        <f ca="1">ROUND(IF(ISERROR(OFFSET(Rame!$F$1,MATCH(H755,Rame!$F:$F,0)-1,MATCH(I755,Rame!$F$1:$FF$1,0)-1)=TRUE),0,OFFSET(Rame!$F$1,MATCH(H755,Rame!$F:$F,0)-1,MATCH(I755,Rame!$F$1:$FF$1,0)-1))*IF(E755="Rame",1,0),4)</f>
        <v>0</v>
      </c>
      <c r="S755" s="238">
        <f ca="1">ROUND(IF(ISERROR(OFFSET(Bronzo!$A$1,MATCH(H755,Bronzo!$A:$A,0)-1,MATCH(I755,Bronzo!$A$1:$AA$1,0)-1)=TRUE),0,OFFSET(Bronzo!$A$1,MATCH(H755,Bronzo!$A:$A,0)-1,MATCH(I755,Bronzo!$A$1:$AA$1,0)-1)),4)</f>
        <v>0</v>
      </c>
      <c r="T755" s="238">
        <f t="shared" ca="1" si="318"/>
        <v>0</v>
      </c>
      <c r="U755" s="237"/>
      <c r="V755" s="238">
        <v>0</v>
      </c>
      <c r="W755" s="239">
        <f t="shared" ca="1" si="319"/>
        <v>0</v>
      </c>
      <c r="X755" s="240">
        <f t="shared" si="316"/>
        <v>0</v>
      </c>
      <c r="Y755" s="236"/>
      <c r="Z755" s="236">
        <f t="shared" ca="1" si="320"/>
        <v>0</v>
      </c>
      <c r="AA755" s="241"/>
      <c r="AF755" s="225">
        <f t="shared" ca="1" si="315"/>
        <v>46236</v>
      </c>
      <c r="AG755" s="225" t="b">
        <f t="shared" si="317"/>
        <v>1</v>
      </c>
      <c r="AH755" s="242"/>
    </row>
    <row r="756" spans="2:34" ht="15.75" x14ac:dyDescent="0.25">
      <c r="B756" s="229"/>
      <c r="C756" s="235"/>
      <c r="D756" s="243"/>
      <c r="E756" s="232"/>
      <c r="F756" s="233"/>
      <c r="G756" s="234"/>
      <c r="H756" s="235"/>
      <c r="I756" s="235"/>
      <c r="J756" s="236"/>
      <c r="K756" s="237">
        <f ca="1">ROUND(IF(ISERROR(OFFSET(Tabella!$A$1,MATCH(H756,Tabella!$A:$A,0)-1,MATCH(J756,Tabella!$A$1:$AC$1,0)-1)=TRUE),0,+OFFSET(Tabella!$A$1,MATCH(H756,Tabella!$A:$A,0)-1,MATCH(J756,Tabella!$A$1:$AC$1,0)-1)),4)</f>
        <v>0</v>
      </c>
      <c r="L756" s="238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238">
        <f ca="1">ROUND(IF(ISERROR(OFFSET(Rame!$A$1,MATCH(H756,Rame!$A:$A,0)-1,MATCH(J756,Rame!$A$1:$AA$1,0)-1)=TRUE),0,OFFSET(Rame!$A$1,MATCH(H756,Rame!$A:$A,0)-1,MATCH(J756,Rame!$A$1:$AA$1,0)-1))*IF(E756="Rame",1,0),4)</f>
        <v>0</v>
      </c>
      <c r="N756" s="238">
        <v>0</v>
      </c>
      <c r="O756" s="238">
        <f t="shared" ca="1" si="321"/>
        <v>0</v>
      </c>
      <c r="P756" s="238">
        <f ca="1">ROUND(+IF(ISERROR(OFFSET(Tabella!$G$1,MATCH(H756,Tabella!$G:$G,0)-1,MATCH(I756,Tabella!$G$1:$FG$1,0)-1)=TRUE),0,OFFSET(Tabella!$G$1,MATCH(H756,Tabella!$G:$G,0)-1,MATCH(I756,Tabella!$G$1:$AB$1,0)-1)),4)</f>
        <v>0</v>
      </c>
      <c r="Q756" s="238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238">
        <f ca="1">ROUND(IF(ISERROR(OFFSET(Rame!$F$1,MATCH(H756,Rame!$F:$F,0)-1,MATCH(I756,Rame!$F$1:$FF$1,0)-1)=TRUE),0,OFFSET(Rame!$F$1,MATCH(H756,Rame!$F:$F,0)-1,MATCH(I756,Rame!$F$1:$FF$1,0)-1))*IF(E756="Rame",1,0),4)</f>
        <v>0</v>
      </c>
      <c r="S756" s="238">
        <f ca="1">ROUND(IF(ISERROR(OFFSET(Bronzo!$A$1,MATCH(H756,Bronzo!$A:$A,0)-1,MATCH(I756,Bronzo!$A$1:$AA$1,0)-1)=TRUE),0,OFFSET(Bronzo!$A$1,MATCH(H756,Bronzo!$A:$A,0)-1,MATCH(I756,Bronzo!$A$1:$AA$1,0)-1)),4)</f>
        <v>0</v>
      </c>
      <c r="T756" s="238">
        <f t="shared" ca="1" si="318"/>
        <v>0</v>
      </c>
      <c r="U756" s="237"/>
      <c r="V756" s="238">
        <v>0</v>
      </c>
      <c r="W756" s="239">
        <f t="shared" ca="1" si="319"/>
        <v>0</v>
      </c>
      <c r="X756" s="240">
        <f t="shared" si="316"/>
        <v>0</v>
      </c>
      <c r="Y756" s="236"/>
      <c r="Z756" s="236">
        <f t="shared" ca="1" si="320"/>
        <v>0</v>
      </c>
      <c r="AA756" s="241"/>
      <c r="AF756" s="225">
        <f t="shared" ca="1" si="315"/>
        <v>46236</v>
      </c>
      <c r="AG756" s="225" t="b">
        <f t="shared" si="317"/>
        <v>1</v>
      </c>
      <c r="AH756" s="242"/>
    </row>
    <row r="757" spans="2:34" ht="15.75" x14ac:dyDescent="0.25">
      <c r="B757" s="229"/>
      <c r="C757" s="235"/>
      <c r="D757" s="243"/>
      <c r="E757" s="232"/>
      <c r="F757" s="233"/>
      <c r="G757" s="234"/>
      <c r="H757" s="235"/>
      <c r="I757" s="235"/>
      <c r="J757" s="236"/>
      <c r="K757" s="237">
        <f ca="1">ROUND(IF(ISERROR(OFFSET(Tabella!$A$1,MATCH(H757,Tabella!$A:$A,0)-1,MATCH(J757,Tabella!$A$1:$AC$1,0)-1)=TRUE),0,+OFFSET(Tabella!$A$1,MATCH(H757,Tabella!$A:$A,0)-1,MATCH(J757,Tabella!$A$1:$AC$1,0)-1)),4)</f>
        <v>0</v>
      </c>
      <c r="L757" s="238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238">
        <f ca="1">ROUND(IF(ISERROR(OFFSET(Rame!$A$1,MATCH(H757,Rame!$A:$A,0)-1,MATCH(J757,Rame!$A$1:$AA$1,0)-1)=TRUE),0,OFFSET(Rame!$A$1,MATCH(H757,Rame!$A:$A,0)-1,MATCH(J757,Rame!$A$1:$AA$1,0)-1))*IF(E757="Rame",1,0),4)</f>
        <v>0</v>
      </c>
      <c r="N757" s="238">
        <v>0</v>
      </c>
      <c r="O757" s="238">
        <f t="shared" ca="1" si="321"/>
        <v>0</v>
      </c>
      <c r="P757" s="238">
        <f ca="1">ROUND(+IF(ISERROR(OFFSET(Tabella!$G$1,MATCH(H757,Tabella!$G:$G,0)-1,MATCH(I757,Tabella!$G$1:$FG$1,0)-1)=TRUE),0,OFFSET(Tabella!$G$1,MATCH(H757,Tabella!$G:$G,0)-1,MATCH(I757,Tabella!$G$1:$AB$1,0)-1)),4)</f>
        <v>0</v>
      </c>
      <c r="Q757" s="238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238">
        <f ca="1">ROUND(IF(ISERROR(OFFSET(Rame!$F$1,MATCH(H757,Rame!$F:$F,0)-1,MATCH(I757,Rame!$F$1:$FF$1,0)-1)=TRUE),0,OFFSET(Rame!$F$1,MATCH(H757,Rame!$F:$F,0)-1,MATCH(I757,Rame!$F$1:$FF$1,0)-1))*IF(E757="Rame",1,0),4)</f>
        <v>0</v>
      </c>
      <c r="S757" s="238">
        <f ca="1">ROUND(IF(ISERROR(OFFSET(Bronzo!$A$1,MATCH(H757,Bronzo!$A:$A,0)-1,MATCH(I757,Bronzo!$A$1:$AA$1,0)-1)=TRUE),0,OFFSET(Bronzo!$A$1,MATCH(H757,Bronzo!$A:$A,0)-1,MATCH(I757,Bronzo!$A$1:$AA$1,0)-1)),4)</f>
        <v>0</v>
      </c>
      <c r="T757" s="238">
        <f t="shared" ca="1" si="318"/>
        <v>0</v>
      </c>
      <c r="U757" s="237"/>
      <c r="V757" s="238">
        <v>0</v>
      </c>
      <c r="W757" s="239">
        <f t="shared" ca="1" si="319"/>
        <v>0</v>
      </c>
      <c r="X757" s="240">
        <f t="shared" si="316"/>
        <v>0</v>
      </c>
      <c r="Y757" s="236"/>
      <c r="Z757" s="236">
        <f t="shared" ca="1" si="320"/>
        <v>0</v>
      </c>
      <c r="AA757" s="241"/>
      <c r="AF757" s="225">
        <f t="shared" ca="1" si="315"/>
        <v>46236</v>
      </c>
      <c r="AG757" s="225" t="b">
        <f t="shared" si="317"/>
        <v>1</v>
      </c>
      <c r="AH757" s="242"/>
    </row>
    <row r="758" spans="2:34" ht="15.75" x14ac:dyDescent="0.25">
      <c r="B758" s="229"/>
      <c r="C758" s="235"/>
      <c r="D758" s="243"/>
      <c r="E758" s="232"/>
      <c r="F758" s="233"/>
      <c r="G758" s="234"/>
      <c r="H758" s="235"/>
      <c r="I758" s="235"/>
      <c r="J758" s="236"/>
      <c r="K758" s="237">
        <f ca="1">ROUND(IF(ISERROR(OFFSET(Tabella!$A$1,MATCH(H758,Tabella!$A:$A,0)-1,MATCH(J758,Tabella!$A$1:$AC$1,0)-1)=TRUE),0,+OFFSET(Tabella!$A$1,MATCH(H758,Tabella!$A:$A,0)-1,MATCH(J758,Tabella!$A$1:$AC$1,0)-1)),4)</f>
        <v>0</v>
      </c>
      <c r="L758" s="238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238">
        <f ca="1">ROUND(IF(ISERROR(OFFSET(Rame!$A$1,MATCH(H758,Rame!$A:$A,0)-1,MATCH(J758,Rame!$A$1:$AA$1,0)-1)=TRUE),0,OFFSET(Rame!$A$1,MATCH(H758,Rame!$A:$A,0)-1,MATCH(J758,Rame!$A$1:$AA$1,0)-1))*IF(E758="Rame",1,0),4)</f>
        <v>0</v>
      </c>
      <c r="N758" s="238">
        <v>0</v>
      </c>
      <c r="O758" s="238">
        <f t="shared" ca="1" si="321"/>
        <v>0</v>
      </c>
      <c r="P758" s="238">
        <f ca="1">ROUND(+IF(ISERROR(OFFSET(Tabella!$G$1,MATCH(H758,Tabella!$G:$G,0)-1,MATCH(I758,Tabella!$G$1:$FG$1,0)-1)=TRUE),0,OFFSET(Tabella!$G$1,MATCH(H758,Tabella!$G:$G,0)-1,MATCH(I758,Tabella!$G$1:$AB$1,0)-1)),4)</f>
        <v>0</v>
      </c>
      <c r="Q758" s="238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238">
        <f ca="1">ROUND(IF(ISERROR(OFFSET(Rame!$F$1,MATCH(H758,Rame!$F:$F,0)-1,MATCH(I758,Rame!$F$1:$FF$1,0)-1)=TRUE),0,OFFSET(Rame!$F$1,MATCH(H758,Rame!$F:$F,0)-1,MATCH(I758,Rame!$F$1:$FF$1,0)-1))*IF(E758="Rame",1,0),4)</f>
        <v>0</v>
      </c>
      <c r="S758" s="238">
        <f ca="1">ROUND(IF(ISERROR(OFFSET(Bronzo!$A$1,MATCH(H758,Bronzo!$A:$A,0)-1,MATCH(I758,Bronzo!$A$1:$AA$1,0)-1)=TRUE),0,OFFSET(Bronzo!$A$1,MATCH(H758,Bronzo!$A:$A,0)-1,MATCH(I758,Bronzo!$A$1:$AA$1,0)-1)),4)</f>
        <v>0</v>
      </c>
      <c r="T758" s="238">
        <f t="shared" ca="1" si="318"/>
        <v>0</v>
      </c>
      <c r="U758" s="237"/>
      <c r="V758" s="238">
        <v>0</v>
      </c>
      <c r="W758" s="239">
        <f t="shared" ca="1" si="319"/>
        <v>0</v>
      </c>
      <c r="X758" s="240">
        <f t="shared" si="316"/>
        <v>0</v>
      </c>
      <c r="Y758" s="236"/>
      <c r="Z758" s="236">
        <f t="shared" ca="1" si="320"/>
        <v>0</v>
      </c>
      <c r="AA758" s="241"/>
      <c r="AF758" s="225">
        <f t="shared" ca="1" si="315"/>
        <v>46236</v>
      </c>
      <c r="AG758" s="225" t="b">
        <f t="shared" si="317"/>
        <v>1</v>
      </c>
      <c r="AH758" s="242"/>
    </row>
    <row r="759" spans="2:34" ht="15.75" x14ac:dyDescent="0.25">
      <c r="B759" s="229"/>
      <c r="C759" s="235"/>
      <c r="D759" s="243"/>
      <c r="E759" s="232"/>
      <c r="F759" s="233"/>
      <c r="G759" s="234"/>
      <c r="H759" s="235"/>
      <c r="I759" s="235"/>
      <c r="J759" s="236"/>
      <c r="K759" s="237">
        <f ca="1">ROUND(IF(ISERROR(OFFSET(Tabella!$A$1,MATCH(H759,Tabella!$A:$A,0)-1,MATCH(J759,Tabella!$A$1:$AC$1,0)-1)=TRUE),0,+OFFSET(Tabella!$A$1,MATCH(H759,Tabella!$A:$A,0)-1,MATCH(J759,Tabella!$A$1:$AC$1,0)-1)),4)</f>
        <v>0</v>
      </c>
      <c r="L759" s="238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238">
        <f ca="1">ROUND(IF(ISERROR(OFFSET(Rame!$A$1,MATCH(H759,Rame!$A:$A,0)-1,MATCH(J759,Rame!$A$1:$AA$1,0)-1)=TRUE),0,OFFSET(Rame!$A$1,MATCH(H759,Rame!$A:$A,0)-1,MATCH(J759,Rame!$A$1:$AA$1,0)-1))*IF(E759="Rame",1,0),4)</f>
        <v>0</v>
      </c>
      <c r="N759" s="238">
        <v>0</v>
      </c>
      <c r="O759" s="238">
        <f t="shared" ca="1" si="321"/>
        <v>0</v>
      </c>
      <c r="P759" s="238">
        <f ca="1">ROUND(+IF(ISERROR(OFFSET(Tabella!$G$1,MATCH(H759,Tabella!$G:$G,0)-1,MATCH(I759,Tabella!$G$1:$FG$1,0)-1)=TRUE),0,OFFSET(Tabella!$G$1,MATCH(H759,Tabella!$G:$G,0)-1,MATCH(I759,Tabella!$G$1:$AB$1,0)-1)),4)</f>
        <v>0</v>
      </c>
      <c r="Q759" s="238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238">
        <f ca="1">ROUND(IF(ISERROR(OFFSET(Rame!$F$1,MATCH(H759,Rame!$F:$F,0)-1,MATCH(I759,Rame!$F$1:$FF$1,0)-1)=TRUE),0,OFFSET(Rame!$F$1,MATCH(H759,Rame!$F:$F,0)-1,MATCH(I759,Rame!$F$1:$FF$1,0)-1))*IF(E759="Rame",1,0),4)</f>
        <v>0</v>
      </c>
      <c r="S759" s="238">
        <f ca="1">ROUND(IF(ISERROR(OFFSET(Bronzo!$A$1,MATCH(H759,Bronzo!$A:$A,0)-1,MATCH(I759,Bronzo!$A$1:$AA$1,0)-1)=TRUE),0,OFFSET(Bronzo!$A$1,MATCH(H759,Bronzo!$A:$A,0)-1,MATCH(I759,Bronzo!$A$1:$AA$1,0)-1)),4)</f>
        <v>0</v>
      </c>
      <c r="T759" s="238">
        <f t="shared" ca="1" si="318"/>
        <v>0</v>
      </c>
      <c r="U759" s="237"/>
      <c r="V759" s="238">
        <v>0</v>
      </c>
      <c r="W759" s="239">
        <f t="shared" ca="1" si="319"/>
        <v>0</v>
      </c>
      <c r="X759" s="240">
        <f t="shared" si="316"/>
        <v>0</v>
      </c>
      <c r="Y759" s="236"/>
      <c r="Z759" s="236">
        <f t="shared" ca="1" si="320"/>
        <v>0</v>
      </c>
      <c r="AA759" s="241"/>
      <c r="AF759" s="225">
        <f t="shared" ca="1" si="315"/>
        <v>46236</v>
      </c>
      <c r="AG759" s="225" t="b">
        <f t="shared" si="317"/>
        <v>1</v>
      </c>
      <c r="AH759" s="242"/>
    </row>
    <row r="760" spans="2:34" ht="15.75" x14ac:dyDescent="0.25">
      <c r="B760" s="229"/>
      <c r="C760" s="235"/>
      <c r="D760" s="243"/>
      <c r="E760" s="232"/>
      <c r="F760" s="233"/>
      <c r="G760" s="234"/>
      <c r="H760" s="235"/>
      <c r="I760" s="235"/>
      <c r="J760" s="236"/>
      <c r="K760" s="237">
        <f ca="1">ROUND(IF(ISERROR(OFFSET(Tabella!$A$1,MATCH(H760,Tabella!$A:$A,0)-1,MATCH(J760,Tabella!$A$1:$AC$1,0)-1)=TRUE),0,+OFFSET(Tabella!$A$1,MATCH(H760,Tabella!$A:$A,0)-1,MATCH(J760,Tabella!$A$1:$AC$1,0)-1)),4)</f>
        <v>0</v>
      </c>
      <c r="L760" s="238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238">
        <f ca="1">ROUND(IF(ISERROR(OFFSET(Rame!$A$1,MATCH(H760,Rame!$A:$A,0)-1,MATCH(J760,Rame!$A$1:$AA$1,0)-1)=TRUE),0,OFFSET(Rame!$A$1,MATCH(H760,Rame!$A:$A,0)-1,MATCH(J760,Rame!$A$1:$AA$1,0)-1))*IF(E760="Rame",1,0),4)</f>
        <v>0</v>
      </c>
      <c r="N760" s="238">
        <v>0</v>
      </c>
      <c r="O760" s="238">
        <f t="shared" ca="1" si="321"/>
        <v>0</v>
      </c>
      <c r="P760" s="238">
        <f ca="1">ROUND(+IF(ISERROR(OFFSET(Tabella!$G$1,MATCH(H760,Tabella!$G:$G,0)-1,MATCH(I760,Tabella!$G$1:$FG$1,0)-1)=TRUE),0,OFFSET(Tabella!$G$1,MATCH(H760,Tabella!$G:$G,0)-1,MATCH(I760,Tabella!$G$1:$AB$1,0)-1)),4)</f>
        <v>0</v>
      </c>
      <c r="Q760" s="238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238">
        <f ca="1">ROUND(IF(ISERROR(OFFSET(Rame!$F$1,MATCH(H760,Rame!$F:$F,0)-1,MATCH(I760,Rame!$F$1:$FF$1,0)-1)=TRUE),0,OFFSET(Rame!$F$1,MATCH(H760,Rame!$F:$F,0)-1,MATCH(I760,Rame!$F$1:$FF$1,0)-1))*IF(E760="Rame",1,0),4)</f>
        <v>0</v>
      </c>
      <c r="S760" s="238">
        <f ca="1">ROUND(IF(ISERROR(OFFSET(Bronzo!$A$1,MATCH(H760,Bronzo!$A:$A,0)-1,MATCH(I760,Bronzo!$A$1:$AA$1,0)-1)=TRUE),0,OFFSET(Bronzo!$A$1,MATCH(H760,Bronzo!$A:$A,0)-1,MATCH(I760,Bronzo!$A$1:$AA$1,0)-1)),4)</f>
        <v>0</v>
      </c>
      <c r="T760" s="238">
        <f t="shared" ca="1" si="318"/>
        <v>0</v>
      </c>
      <c r="U760" s="237"/>
      <c r="V760" s="238">
        <v>0</v>
      </c>
      <c r="W760" s="239">
        <f t="shared" ca="1" si="319"/>
        <v>0</v>
      </c>
      <c r="X760" s="240">
        <f t="shared" si="316"/>
        <v>0</v>
      </c>
      <c r="Y760" s="236"/>
      <c r="Z760" s="236">
        <f t="shared" ca="1" si="320"/>
        <v>0</v>
      </c>
      <c r="AA760" s="241"/>
      <c r="AF760" s="225">
        <f t="shared" ca="1" si="315"/>
        <v>46236</v>
      </c>
      <c r="AG760" s="225" t="b">
        <f t="shared" si="317"/>
        <v>1</v>
      </c>
      <c r="AH760" s="242"/>
    </row>
    <row r="761" spans="2:34" ht="15.75" x14ac:dyDescent="0.25">
      <c r="B761" s="229"/>
      <c r="C761" s="235"/>
      <c r="D761" s="243"/>
      <c r="E761" s="232"/>
      <c r="F761" s="233"/>
      <c r="G761" s="234"/>
      <c r="H761" s="235"/>
      <c r="I761" s="235"/>
      <c r="J761" s="236"/>
      <c r="K761" s="237">
        <f ca="1">ROUND(IF(ISERROR(OFFSET(Tabella!$A$1,MATCH(H761,Tabella!$A:$A,0)-1,MATCH(J761,Tabella!$A$1:$AC$1,0)-1)=TRUE),0,+OFFSET(Tabella!$A$1,MATCH(H761,Tabella!$A:$A,0)-1,MATCH(J761,Tabella!$A$1:$AC$1,0)-1)),4)</f>
        <v>0</v>
      </c>
      <c r="L761" s="238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238">
        <f ca="1">ROUND(IF(ISERROR(OFFSET(Rame!$A$1,MATCH(H761,Rame!$A:$A,0)-1,MATCH(J761,Rame!$A$1:$AA$1,0)-1)=TRUE),0,OFFSET(Rame!$A$1,MATCH(H761,Rame!$A:$A,0)-1,MATCH(J761,Rame!$A$1:$AA$1,0)-1))*IF(E761="Rame",1,0),4)</f>
        <v>0</v>
      </c>
      <c r="N761" s="238">
        <v>0</v>
      </c>
      <c r="O761" s="238">
        <f t="shared" ca="1" si="321"/>
        <v>0</v>
      </c>
      <c r="P761" s="238">
        <f ca="1">ROUND(+IF(ISERROR(OFFSET(Tabella!$G$1,MATCH(H761,Tabella!$G:$G,0)-1,MATCH(I761,Tabella!$G$1:$FG$1,0)-1)=TRUE),0,OFFSET(Tabella!$G$1,MATCH(H761,Tabella!$G:$G,0)-1,MATCH(I761,Tabella!$G$1:$AB$1,0)-1)),4)</f>
        <v>0</v>
      </c>
      <c r="Q761" s="238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238">
        <f ca="1">ROUND(IF(ISERROR(OFFSET(Rame!$F$1,MATCH(H761,Rame!$F:$F,0)-1,MATCH(I761,Rame!$F$1:$FF$1,0)-1)=TRUE),0,OFFSET(Rame!$F$1,MATCH(H761,Rame!$F:$F,0)-1,MATCH(I761,Rame!$F$1:$FF$1,0)-1))*IF(E761="Rame",1,0),4)</f>
        <v>0</v>
      </c>
      <c r="S761" s="238">
        <f ca="1">ROUND(IF(ISERROR(OFFSET(Bronzo!$A$1,MATCH(H761,Bronzo!$A:$A,0)-1,MATCH(I761,Bronzo!$A$1:$AA$1,0)-1)=TRUE),0,OFFSET(Bronzo!$A$1,MATCH(H761,Bronzo!$A:$A,0)-1,MATCH(I761,Bronzo!$A$1:$AA$1,0)-1)),4)</f>
        <v>0</v>
      </c>
      <c r="T761" s="238">
        <f t="shared" ca="1" si="318"/>
        <v>0</v>
      </c>
      <c r="U761" s="237"/>
      <c r="V761" s="238">
        <v>0</v>
      </c>
      <c r="W761" s="239">
        <f t="shared" ca="1" si="319"/>
        <v>0</v>
      </c>
      <c r="X761" s="240">
        <f t="shared" si="316"/>
        <v>0</v>
      </c>
      <c r="Y761" s="236"/>
      <c r="Z761" s="236">
        <f t="shared" ca="1" si="320"/>
        <v>0</v>
      </c>
      <c r="AA761" s="241"/>
      <c r="AF761" s="225">
        <f t="shared" ca="1" si="315"/>
        <v>46236</v>
      </c>
      <c r="AG761" s="225" t="b">
        <f t="shared" si="317"/>
        <v>1</v>
      </c>
      <c r="AH761" s="242"/>
    </row>
    <row r="762" spans="2:34" ht="15.75" x14ac:dyDescent="0.25">
      <c r="B762" s="229"/>
      <c r="C762" s="235"/>
      <c r="D762" s="243"/>
      <c r="E762" s="232"/>
      <c r="F762" s="233"/>
      <c r="G762" s="234"/>
      <c r="H762" s="235"/>
      <c r="I762" s="235"/>
      <c r="J762" s="236"/>
      <c r="K762" s="237">
        <f ca="1">ROUND(IF(ISERROR(OFFSET(Tabella!$A$1,MATCH(H762,Tabella!$A:$A,0)-1,MATCH(J762,Tabella!$A$1:$AC$1,0)-1)=TRUE),0,+OFFSET(Tabella!$A$1,MATCH(H762,Tabella!$A:$A,0)-1,MATCH(J762,Tabella!$A$1:$AC$1,0)-1)),4)</f>
        <v>0</v>
      </c>
      <c r="L762" s="238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238">
        <f ca="1">ROUND(IF(ISERROR(OFFSET(Rame!$A$1,MATCH(H762,Rame!$A:$A,0)-1,MATCH(J762,Rame!$A$1:$AA$1,0)-1)=TRUE),0,OFFSET(Rame!$A$1,MATCH(H762,Rame!$A:$A,0)-1,MATCH(J762,Rame!$A$1:$AA$1,0)-1))*IF(E762="Rame",1,0),4)</f>
        <v>0</v>
      </c>
      <c r="N762" s="238">
        <v>0</v>
      </c>
      <c r="O762" s="238">
        <f t="shared" ca="1" si="321"/>
        <v>0</v>
      </c>
      <c r="P762" s="238">
        <f ca="1">ROUND(+IF(ISERROR(OFFSET(Tabella!$G$1,MATCH(H762,Tabella!$G:$G,0)-1,MATCH(I762,Tabella!$G$1:$FG$1,0)-1)=TRUE),0,OFFSET(Tabella!$G$1,MATCH(H762,Tabella!$G:$G,0)-1,MATCH(I762,Tabella!$G$1:$AB$1,0)-1)),4)</f>
        <v>0</v>
      </c>
      <c r="Q762" s="238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238">
        <f ca="1">ROUND(IF(ISERROR(OFFSET(Rame!$F$1,MATCH(H762,Rame!$F:$F,0)-1,MATCH(I762,Rame!$F$1:$FF$1,0)-1)=TRUE),0,OFFSET(Rame!$F$1,MATCH(H762,Rame!$F:$F,0)-1,MATCH(I762,Rame!$F$1:$FF$1,0)-1))*IF(E762="Rame",1,0),4)</f>
        <v>0</v>
      </c>
      <c r="S762" s="238">
        <f ca="1">ROUND(IF(ISERROR(OFFSET(Bronzo!$A$1,MATCH(H762,Bronzo!$A:$A,0)-1,MATCH(I762,Bronzo!$A$1:$AA$1,0)-1)=TRUE),0,OFFSET(Bronzo!$A$1,MATCH(H762,Bronzo!$A:$A,0)-1,MATCH(I762,Bronzo!$A$1:$AA$1,0)-1)),4)</f>
        <v>0</v>
      </c>
      <c r="T762" s="238">
        <f t="shared" ca="1" si="318"/>
        <v>0</v>
      </c>
      <c r="U762" s="237"/>
      <c r="V762" s="238">
        <v>0</v>
      </c>
      <c r="W762" s="239">
        <f t="shared" ca="1" si="319"/>
        <v>0</v>
      </c>
      <c r="X762" s="240">
        <f t="shared" si="316"/>
        <v>0</v>
      </c>
      <c r="Y762" s="236"/>
      <c r="Z762" s="236">
        <f t="shared" ca="1" si="320"/>
        <v>0</v>
      </c>
      <c r="AA762" s="241"/>
      <c r="AF762" s="225">
        <f t="shared" ca="1" si="315"/>
        <v>46236</v>
      </c>
      <c r="AG762" s="225" t="b">
        <f t="shared" si="317"/>
        <v>1</v>
      </c>
      <c r="AH762" s="242"/>
    </row>
    <row r="763" spans="2:34" ht="15.75" x14ac:dyDescent="0.25">
      <c r="B763" s="229"/>
      <c r="C763" s="235"/>
      <c r="D763" s="243"/>
      <c r="E763" s="232"/>
      <c r="F763" s="233"/>
      <c r="G763" s="234"/>
      <c r="H763" s="235"/>
      <c r="I763" s="235"/>
      <c r="J763" s="236"/>
      <c r="K763" s="237">
        <f ca="1">ROUND(IF(ISERROR(OFFSET(Tabella!$A$1,MATCH(H763,Tabella!$A:$A,0)-1,MATCH(J763,Tabella!$A$1:$AC$1,0)-1)=TRUE),0,+OFFSET(Tabella!$A$1,MATCH(H763,Tabella!$A:$A,0)-1,MATCH(J763,Tabella!$A$1:$AC$1,0)-1)),4)</f>
        <v>0</v>
      </c>
      <c r="L763" s="238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238">
        <f ca="1">ROUND(IF(ISERROR(OFFSET(Rame!$A$1,MATCH(H763,Rame!$A:$A,0)-1,MATCH(J763,Rame!$A$1:$AA$1,0)-1)=TRUE),0,OFFSET(Rame!$A$1,MATCH(H763,Rame!$A:$A,0)-1,MATCH(J763,Rame!$A$1:$AA$1,0)-1))*IF(E763="Rame",1,0),4)</f>
        <v>0</v>
      </c>
      <c r="N763" s="238">
        <v>0</v>
      </c>
      <c r="O763" s="238">
        <f t="shared" ca="1" si="321"/>
        <v>0</v>
      </c>
      <c r="P763" s="238">
        <f ca="1">ROUND(+IF(ISERROR(OFFSET(Tabella!$G$1,MATCH(H763,Tabella!$G:$G,0)-1,MATCH(I763,Tabella!$G$1:$FG$1,0)-1)=TRUE),0,OFFSET(Tabella!$G$1,MATCH(H763,Tabella!$G:$G,0)-1,MATCH(I763,Tabella!$G$1:$AB$1,0)-1)),4)</f>
        <v>0</v>
      </c>
      <c r="Q763" s="238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238">
        <f ca="1">ROUND(IF(ISERROR(OFFSET(Rame!$F$1,MATCH(H763,Rame!$F:$F,0)-1,MATCH(I763,Rame!$F$1:$FF$1,0)-1)=TRUE),0,OFFSET(Rame!$F$1,MATCH(H763,Rame!$F:$F,0)-1,MATCH(I763,Rame!$F$1:$FF$1,0)-1))*IF(E763="Rame",1,0),4)</f>
        <v>0</v>
      </c>
      <c r="S763" s="238">
        <f ca="1">ROUND(IF(ISERROR(OFFSET(Bronzo!$A$1,MATCH(H763,Bronzo!$A:$A,0)-1,MATCH(I763,Bronzo!$A$1:$AA$1,0)-1)=TRUE),0,OFFSET(Bronzo!$A$1,MATCH(H763,Bronzo!$A:$A,0)-1,MATCH(I763,Bronzo!$A$1:$AA$1,0)-1)),4)</f>
        <v>0</v>
      </c>
      <c r="T763" s="238">
        <f t="shared" ca="1" si="318"/>
        <v>0</v>
      </c>
      <c r="U763" s="237"/>
      <c r="V763" s="238">
        <v>0</v>
      </c>
      <c r="W763" s="239">
        <f t="shared" ca="1" si="319"/>
        <v>0</v>
      </c>
      <c r="X763" s="240">
        <f t="shared" si="316"/>
        <v>0</v>
      </c>
      <c r="Y763" s="236"/>
      <c r="Z763" s="236">
        <f t="shared" ca="1" si="320"/>
        <v>0</v>
      </c>
      <c r="AA763" s="241"/>
      <c r="AF763" s="225">
        <f t="shared" ca="1" si="315"/>
        <v>46236</v>
      </c>
      <c r="AG763" s="225" t="b">
        <f t="shared" si="317"/>
        <v>1</v>
      </c>
      <c r="AH763" s="242"/>
    </row>
    <row r="764" spans="2:34" ht="15.75" x14ac:dyDescent="0.25">
      <c r="B764" s="229"/>
      <c r="C764" s="235"/>
      <c r="D764" s="243"/>
      <c r="E764" s="232"/>
      <c r="F764" s="233"/>
      <c r="G764" s="234"/>
      <c r="H764" s="235"/>
      <c r="I764" s="235"/>
      <c r="J764" s="236"/>
      <c r="K764" s="237">
        <f ca="1">ROUND(IF(ISERROR(OFFSET(Tabella!$A$1,MATCH(H764,Tabella!$A:$A,0)-1,MATCH(J764,Tabella!$A$1:$AC$1,0)-1)=TRUE),0,+OFFSET(Tabella!$A$1,MATCH(H764,Tabella!$A:$A,0)-1,MATCH(J764,Tabella!$A$1:$AC$1,0)-1)),4)</f>
        <v>0</v>
      </c>
      <c r="L764" s="238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238">
        <f ca="1">ROUND(IF(ISERROR(OFFSET(Rame!$A$1,MATCH(H764,Rame!$A:$A,0)-1,MATCH(J764,Rame!$A$1:$AA$1,0)-1)=TRUE),0,OFFSET(Rame!$A$1,MATCH(H764,Rame!$A:$A,0)-1,MATCH(J764,Rame!$A$1:$AA$1,0)-1))*IF(E764="Rame",1,0),4)</f>
        <v>0</v>
      </c>
      <c r="N764" s="238">
        <v>0</v>
      </c>
      <c r="O764" s="238">
        <f t="shared" ca="1" si="321"/>
        <v>0</v>
      </c>
      <c r="P764" s="238">
        <f ca="1">ROUND(+IF(ISERROR(OFFSET(Tabella!$G$1,MATCH(H764,Tabella!$G:$G,0)-1,MATCH(I764,Tabella!$G$1:$FG$1,0)-1)=TRUE),0,OFFSET(Tabella!$G$1,MATCH(H764,Tabella!$G:$G,0)-1,MATCH(I764,Tabella!$G$1:$AB$1,0)-1)),4)</f>
        <v>0</v>
      </c>
      <c r="Q764" s="238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238">
        <f ca="1">ROUND(IF(ISERROR(OFFSET(Rame!$F$1,MATCH(H764,Rame!$F:$F,0)-1,MATCH(I764,Rame!$F$1:$FF$1,0)-1)=TRUE),0,OFFSET(Rame!$F$1,MATCH(H764,Rame!$F:$F,0)-1,MATCH(I764,Rame!$F$1:$FF$1,0)-1))*IF(E764="Rame",1,0),4)</f>
        <v>0</v>
      </c>
      <c r="S764" s="238">
        <f ca="1">ROUND(IF(ISERROR(OFFSET(Bronzo!$A$1,MATCH(H764,Bronzo!$A:$A,0)-1,MATCH(I764,Bronzo!$A$1:$AA$1,0)-1)=TRUE),0,OFFSET(Bronzo!$A$1,MATCH(H764,Bronzo!$A:$A,0)-1,MATCH(I764,Bronzo!$A$1:$AA$1,0)-1)),4)</f>
        <v>0</v>
      </c>
      <c r="T764" s="238">
        <f t="shared" ca="1" si="318"/>
        <v>0</v>
      </c>
      <c r="U764" s="237"/>
      <c r="V764" s="238">
        <v>0</v>
      </c>
      <c r="W764" s="239">
        <f t="shared" ca="1" si="319"/>
        <v>0</v>
      </c>
      <c r="X764" s="240">
        <f t="shared" si="316"/>
        <v>0</v>
      </c>
      <c r="Y764" s="236"/>
      <c r="Z764" s="236">
        <f t="shared" ca="1" si="320"/>
        <v>0</v>
      </c>
      <c r="AA764" s="241"/>
      <c r="AF764" s="225">
        <f t="shared" ca="1" si="315"/>
        <v>46236</v>
      </c>
      <c r="AG764" s="225" t="b">
        <f t="shared" si="317"/>
        <v>1</v>
      </c>
      <c r="AH764" s="242"/>
    </row>
    <row r="765" spans="2:34" ht="15.75" x14ac:dyDescent="0.25">
      <c r="B765" s="229"/>
      <c r="C765" s="235"/>
      <c r="D765" s="243"/>
      <c r="E765" s="232"/>
      <c r="F765" s="233"/>
      <c r="G765" s="234"/>
      <c r="H765" s="235"/>
      <c r="I765" s="235"/>
      <c r="J765" s="236"/>
      <c r="K765" s="237">
        <f ca="1">ROUND(IF(ISERROR(OFFSET(Tabella!$A$1,MATCH(H765,Tabella!$A:$A,0)-1,MATCH(J765,Tabella!$A$1:$AC$1,0)-1)=TRUE),0,+OFFSET(Tabella!$A$1,MATCH(H765,Tabella!$A:$A,0)-1,MATCH(J765,Tabella!$A$1:$AC$1,0)-1)),4)</f>
        <v>0</v>
      </c>
      <c r="L765" s="238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238">
        <f ca="1">ROUND(IF(ISERROR(OFFSET(Rame!$A$1,MATCH(H765,Rame!$A:$A,0)-1,MATCH(J765,Rame!$A$1:$AA$1,0)-1)=TRUE),0,OFFSET(Rame!$A$1,MATCH(H765,Rame!$A:$A,0)-1,MATCH(J765,Rame!$A$1:$AA$1,0)-1))*IF(E765="Rame",1,0),4)</f>
        <v>0</v>
      </c>
      <c r="N765" s="238">
        <v>0</v>
      </c>
      <c r="O765" s="238">
        <f t="shared" ca="1" si="321"/>
        <v>0</v>
      </c>
      <c r="P765" s="238">
        <f ca="1">ROUND(+IF(ISERROR(OFFSET(Tabella!$G$1,MATCH(H765,Tabella!$G:$G,0)-1,MATCH(I765,Tabella!$G$1:$FG$1,0)-1)=TRUE),0,OFFSET(Tabella!$G$1,MATCH(H765,Tabella!$G:$G,0)-1,MATCH(I765,Tabella!$G$1:$AB$1,0)-1)),4)</f>
        <v>0</v>
      </c>
      <c r="Q765" s="238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238">
        <f ca="1">ROUND(IF(ISERROR(OFFSET(Rame!$F$1,MATCH(H765,Rame!$F:$F,0)-1,MATCH(I765,Rame!$F$1:$FF$1,0)-1)=TRUE),0,OFFSET(Rame!$F$1,MATCH(H765,Rame!$F:$F,0)-1,MATCH(I765,Rame!$F$1:$FF$1,0)-1))*IF(E765="Rame",1,0),4)</f>
        <v>0</v>
      </c>
      <c r="S765" s="238">
        <f ca="1">ROUND(IF(ISERROR(OFFSET(Bronzo!$A$1,MATCH(H765,Bronzo!$A:$A,0)-1,MATCH(I765,Bronzo!$A$1:$AA$1,0)-1)=TRUE),0,OFFSET(Bronzo!$A$1,MATCH(H765,Bronzo!$A:$A,0)-1,MATCH(I765,Bronzo!$A$1:$AA$1,0)-1)),4)</f>
        <v>0</v>
      </c>
      <c r="T765" s="238">
        <f t="shared" ca="1" si="318"/>
        <v>0</v>
      </c>
      <c r="U765" s="237"/>
      <c r="V765" s="238">
        <v>0</v>
      </c>
      <c r="W765" s="239">
        <f t="shared" ca="1" si="319"/>
        <v>0</v>
      </c>
      <c r="X765" s="240">
        <f t="shared" si="316"/>
        <v>0</v>
      </c>
      <c r="Y765" s="236"/>
      <c r="Z765" s="236">
        <f t="shared" ca="1" si="320"/>
        <v>0</v>
      </c>
      <c r="AA765" s="241"/>
      <c r="AF765" s="225">
        <f t="shared" ca="1" si="315"/>
        <v>46236</v>
      </c>
      <c r="AG765" s="225" t="b">
        <f t="shared" si="317"/>
        <v>1</v>
      </c>
      <c r="AH765" s="242"/>
    </row>
    <row r="766" spans="2:34" ht="15.75" x14ac:dyDescent="0.25">
      <c r="B766" s="229"/>
      <c r="C766" s="235"/>
      <c r="D766" s="243"/>
      <c r="E766" s="232"/>
      <c r="F766" s="233"/>
      <c r="G766" s="234"/>
      <c r="H766" s="235"/>
      <c r="I766" s="235"/>
      <c r="J766" s="236"/>
      <c r="K766" s="237">
        <f ca="1">ROUND(IF(ISERROR(OFFSET(Tabella!$A$1,MATCH(H766,Tabella!$A:$A,0)-1,MATCH(J766,Tabella!$A$1:$AC$1,0)-1)=TRUE),0,+OFFSET(Tabella!$A$1,MATCH(H766,Tabella!$A:$A,0)-1,MATCH(J766,Tabella!$A$1:$AC$1,0)-1)),4)</f>
        <v>0</v>
      </c>
      <c r="L766" s="238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238">
        <f ca="1">ROUND(IF(ISERROR(OFFSET(Rame!$A$1,MATCH(H766,Rame!$A:$A,0)-1,MATCH(J766,Rame!$A$1:$AA$1,0)-1)=TRUE),0,OFFSET(Rame!$A$1,MATCH(H766,Rame!$A:$A,0)-1,MATCH(J766,Rame!$A$1:$AA$1,0)-1))*IF(E766="Rame",1,0),4)</f>
        <v>0</v>
      </c>
      <c r="N766" s="238">
        <v>0</v>
      </c>
      <c r="O766" s="238">
        <f t="shared" ca="1" si="321"/>
        <v>0</v>
      </c>
      <c r="P766" s="238">
        <f ca="1">ROUND(+IF(ISERROR(OFFSET(Tabella!$G$1,MATCH(H766,Tabella!$G:$G,0)-1,MATCH(I766,Tabella!$G$1:$FG$1,0)-1)=TRUE),0,OFFSET(Tabella!$G$1,MATCH(H766,Tabella!$G:$G,0)-1,MATCH(I766,Tabella!$G$1:$AB$1,0)-1)),4)</f>
        <v>0</v>
      </c>
      <c r="Q766" s="238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238">
        <f ca="1">ROUND(IF(ISERROR(OFFSET(Rame!$F$1,MATCH(H766,Rame!$F:$F,0)-1,MATCH(I766,Rame!$F$1:$FF$1,0)-1)=TRUE),0,OFFSET(Rame!$F$1,MATCH(H766,Rame!$F:$F,0)-1,MATCH(I766,Rame!$F$1:$FF$1,0)-1))*IF(E766="Rame",1,0),4)</f>
        <v>0</v>
      </c>
      <c r="S766" s="238">
        <f ca="1">ROUND(IF(ISERROR(OFFSET(Bronzo!$A$1,MATCH(H766,Bronzo!$A:$A,0)-1,MATCH(I766,Bronzo!$A$1:$AA$1,0)-1)=TRUE),0,OFFSET(Bronzo!$A$1,MATCH(H766,Bronzo!$A:$A,0)-1,MATCH(I766,Bronzo!$A$1:$AA$1,0)-1)),4)</f>
        <v>0</v>
      </c>
      <c r="T766" s="238">
        <f t="shared" ca="1" si="318"/>
        <v>0</v>
      </c>
      <c r="U766" s="237"/>
      <c r="V766" s="238">
        <v>0</v>
      </c>
      <c r="W766" s="239">
        <f t="shared" ca="1" si="319"/>
        <v>0</v>
      </c>
      <c r="X766" s="240">
        <f t="shared" si="316"/>
        <v>0</v>
      </c>
      <c r="Y766" s="236"/>
      <c r="Z766" s="236">
        <f t="shared" ca="1" si="320"/>
        <v>0</v>
      </c>
      <c r="AA766" s="241"/>
      <c r="AF766" s="225">
        <f t="shared" ca="1" si="315"/>
        <v>46236</v>
      </c>
      <c r="AG766" s="225" t="b">
        <f t="shared" si="317"/>
        <v>1</v>
      </c>
      <c r="AH766" s="242"/>
    </row>
    <row r="767" spans="2:34" ht="15.75" x14ac:dyDescent="0.25">
      <c r="B767" s="229"/>
      <c r="C767" s="235"/>
      <c r="D767" s="243"/>
      <c r="E767" s="232"/>
      <c r="F767" s="233"/>
      <c r="G767" s="234"/>
      <c r="H767" s="235"/>
      <c r="I767" s="235"/>
      <c r="J767" s="236"/>
      <c r="K767" s="237">
        <f ca="1">ROUND(IF(ISERROR(OFFSET(Tabella!$A$1,MATCH(H767,Tabella!$A:$A,0)-1,MATCH(J767,Tabella!$A$1:$AC$1,0)-1)=TRUE),0,+OFFSET(Tabella!$A$1,MATCH(H767,Tabella!$A:$A,0)-1,MATCH(J767,Tabella!$A$1:$AC$1,0)-1)),4)</f>
        <v>0</v>
      </c>
      <c r="L767" s="238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238">
        <f ca="1">ROUND(IF(ISERROR(OFFSET(Rame!$A$1,MATCH(H767,Rame!$A:$A,0)-1,MATCH(J767,Rame!$A$1:$AA$1,0)-1)=TRUE),0,OFFSET(Rame!$A$1,MATCH(H767,Rame!$A:$A,0)-1,MATCH(J767,Rame!$A$1:$AA$1,0)-1))*IF(E767="Rame",1,0),4)</f>
        <v>0</v>
      </c>
      <c r="N767" s="238">
        <v>0</v>
      </c>
      <c r="O767" s="238">
        <f t="shared" ca="1" si="321"/>
        <v>0</v>
      </c>
      <c r="P767" s="238">
        <f ca="1">ROUND(+IF(ISERROR(OFFSET(Tabella!$G$1,MATCH(H767,Tabella!$G:$G,0)-1,MATCH(I767,Tabella!$G$1:$FG$1,0)-1)=TRUE),0,OFFSET(Tabella!$G$1,MATCH(H767,Tabella!$G:$G,0)-1,MATCH(I767,Tabella!$G$1:$AB$1,0)-1)),4)</f>
        <v>0</v>
      </c>
      <c r="Q767" s="238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238">
        <f ca="1">ROUND(IF(ISERROR(OFFSET(Rame!$F$1,MATCH(H767,Rame!$F:$F,0)-1,MATCH(I767,Rame!$F$1:$FF$1,0)-1)=TRUE),0,OFFSET(Rame!$F$1,MATCH(H767,Rame!$F:$F,0)-1,MATCH(I767,Rame!$F$1:$FF$1,0)-1))*IF(E767="Rame",1,0),4)</f>
        <v>0</v>
      </c>
      <c r="S767" s="238">
        <f ca="1">ROUND(IF(ISERROR(OFFSET(Bronzo!$A$1,MATCH(H767,Bronzo!$A:$A,0)-1,MATCH(I767,Bronzo!$A$1:$AA$1,0)-1)=TRUE),0,OFFSET(Bronzo!$A$1,MATCH(H767,Bronzo!$A:$A,0)-1,MATCH(I767,Bronzo!$A$1:$AA$1,0)-1)),4)</f>
        <v>0</v>
      </c>
      <c r="T767" s="238">
        <f t="shared" ca="1" si="318"/>
        <v>0</v>
      </c>
      <c r="U767" s="237"/>
      <c r="V767" s="238">
        <v>0</v>
      </c>
      <c r="W767" s="239">
        <f t="shared" ca="1" si="319"/>
        <v>0</v>
      </c>
      <c r="X767" s="240">
        <f t="shared" si="316"/>
        <v>0</v>
      </c>
      <c r="Y767" s="236"/>
      <c r="Z767" s="236">
        <f t="shared" ca="1" si="320"/>
        <v>0</v>
      </c>
      <c r="AA767" s="241"/>
      <c r="AF767" s="225">
        <f t="shared" ca="1" si="315"/>
        <v>46236</v>
      </c>
      <c r="AG767" s="225" t="b">
        <f t="shared" si="317"/>
        <v>1</v>
      </c>
      <c r="AH767" s="242"/>
    </row>
    <row r="768" spans="2:34" ht="15.75" x14ac:dyDescent="0.25">
      <c r="B768" s="229"/>
      <c r="C768" s="235"/>
      <c r="D768" s="243"/>
      <c r="E768" s="232"/>
      <c r="F768" s="233"/>
      <c r="G768" s="234"/>
      <c r="H768" s="235"/>
      <c r="I768" s="235"/>
      <c r="J768" s="236"/>
      <c r="K768" s="237">
        <f ca="1">ROUND(IF(ISERROR(OFFSET(Tabella!$A$1,MATCH(H768,Tabella!$A:$A,0)-1,MATCH(J768,Tabella!$A$1:$AC$1,0)-1)=TRUE),0,+OFFSET(Tabella!$A$1,MATCH(H768,Tabella!$A:$A,0)-1,MATCH(J768,Tabella!$A$1:$AC$1,0)-1)),4)</f>
        <v>0</v>
      </c>
      <c r="L768" s="238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238">
        <f ca="1">ROUND(IF(ISERROR(OFFSET(Rame!$A$1,MATCH(H768,Rame!$A:$A,0)-1,MATCH(J768,Rame!$A$1:$AA$1,0)-1)=TRUE),0,OFFSET(Rame!$A$1,MATCH(H768,Rame!$A:$A,0)-1,MATCH(J768,Rame!$A$1:$AA$1,0)-1))*IF(E768="Rame",1,0),4)</f>
        <v>0</v>
      </c>
      <c r="N768" s="238">
        <v>0</v>
      </c>
      <c r="O768" s="238">
        <f t="shared" ca="1" si="321"/>
        <v>0</v>
      </c>
      <c r="P768" s="238">
        <f ca="1">ROUND(+IF(ISERROR(OFFSET(Tabella!$G$1,MATCH(H768,Tabella!$G:$G,0)-1,MATCH(I768,Tabella!$G$1:$FG$1,0)-1)=TRUE),0,OFFSET(Tabella!$G$1,MATCH(H768,Tabella!$G:$G,0)-1,MATCH(I768,Tabella!$G$1:$AB$1,0)-1)),4)</f>
        <v>0</v>
      </c>
      <c r="Q768" s="238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238">
        <f ca="1">ROUND(IF(ISERROR(OFFSET(Rame!$F$1,MATCH(H768,Rame!$F:$F,0)-1,MATCH(I768,Rame!$F$1:$FF$1,0)-1)=TRUE),0,OFFSET(Rame!$F$1,MATCH(H768,Rame!$F:$F,0)-1,MATCH(I768,Rame!$F$1:$FF$1,0)-1))*IF(E768="Rame",1,0),4)</f>
        <v>0</v>
      </c>
      <c r="S768" s="238">
        <f ca="1">ROUND(IF(ISERROR(OFFSET(Bronzo!$A$1,MATCH(H768,Bronzo!$A:$A,0)-1,MATCH(I768,Bronzo!$A$1:$AA$1,0)-1)=TRUE),0,OFFSET(Bronzo!$A$1,MATCH(H768,Bronzo!$A:$A,0)-1,MATCH(I768,Bronzo!$A$1:$AA$1,0)-1)),4)</f>
        <v>0</v>
      </c>
      <c r="T768" s="238">
        <f t="shared" ca="1" si="318"/>
        <v>0</v>
      </c>
      <c r="U768" s="237"/>
      <c r="V768" s="238">
        <v>0</v>
      </c>
      <c r="W768" s="239">
        <f t="shared" ca="1" si="319"/>
        <v>0</v>
      </c>
      <c r="X768" s="240">
        <f t="shared" si="316"/>
        <v>0</v>
      </c>
      <c r="Y768" s="236"/>
      <c r="Z768" s="236">
        <f t="shared" ca="1" si="320"/>
        <v>0</v>
      </c>
      <c r="AA768" s="241"/>
      <c r="AF768" s="225">
        <f t="shared" ca="1" si="315"/>
        <v>46236</v>
      </c>
      <c r="AG768" s="225" t="b">
        <f t="shared" si="317"/>
        <v>1</v>
      </c>
      <c r="AH768" s="242"/>
    </row>
    <row r="769" spans="2:34" ht="15.75" x14ac:dyDescent="0.25">
      <c r="B769" s="229"/>
      <c r="C769" s="235"/>
      <c r="D769" s="243"/>
      <c r="E769" s="232"/>
      <c r="F769" s="233"/>
      <c r="G769" s="234"/>
      <c r="H769" s="235"/>
      <c r="I769" s="235"/>
      <c r="J769" s="236"/>
      <c r="K769" s="237">
        <f ca="1">ROUND(IF(ISERROR(OFFSET(Tabella!$A$1,MATCH(H769,Tabella!$A:$A,0)-1,MATCH(J769,Tabella!$A$1:$AC$1,0)-1)=TRUE),0,+OFFSET(Tabella!$A$1,MATCH(H769,Tabella!$A:$A,0)-1,MATCH(J769,Tabella!$A$1:$AC$1,0)-1)),4)</f>
        <v>0</v>
      </c>
      <c r="L769" s="238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238">
        <f ca="1">ROUND(IF(ISERROR(OFFSET(Rame!$A$1,MATCH(H769,Rame!$A:$A,0)-1,MATCH(J769,Rame!$A$1:$AA$1,0)-1)=TRUE),0,OFFSET(Rame!$A$1,MATCH(H769,Rame!$A:$A,0)-1,MATCH(J769,Rame!$A$1:$AA$1,0)-1))*IF(E769="Rame",1,0),4)</f>
        <v>0</v>
      </c>
      <c r="N769" s="238">
        <v>0</v>
      </c>
      <c r="O769" s="238">
        <f t="shared" ca="1" si="321"/>
        <v>0</v>
      </c>
      <c r="P769" s="238">
        <f ca="1">ROUND(+IF(ISERROR(OFFSET(Tabella!$G$1,MATCH(H769,Tabella!$G:$G,0)-1,MATCH(I769,Tabella!$G$1:$FG$1,0)-1)=TRUE),0,OFFSET(Tabella!$G$1,MATCH(H769,Tabella!$G:$G,0)-1,MATCH(I769,Tabella!$G$1:$AB$1,0)-1)),4)</f>
        <v>0</v>
      </c>
      <c r="Q769" s="238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238">
        <f ca="1">ROUND(IF(ISERROR(OFFSET(Rame!$F$1,MATCH(H769,Rame!$F:$F,0)-1,MATCH(I769,Rame!$F$1:$FF$1,0)-1)=TRUE),0,OFFSET(Rame!$F$1,MATCH(H769,Rame!$F:$F,0)-1,MATCH(I769,Rame!$F$1:$FF$1,0)-1))*IF(E769="Rame",1,0),4)</f>
        <v>0</v>
      </c>
      <c r="S769" s="238">
        <f ca="1">ROUND(IF(ISERROR(OFFSET(Bronzo!$A$1,MATCH(H769,Bronzo!$A:$A,0)-1,MATCH(I769,Bronzo!$A$1:$AA$1,0)-1)=TRUE),0,OFFSET(Bronzo!$A$1,MATCH(H769,Bronzo!$A:$A,0)-1,MATCH(I769,Bronzo!$A$1:$AA$1,0)-1)),4)</f>
        <v>0</v>
      </c>
      <c r="T769" s="238">
        <f t="shared" ca="1" si="318"/>
        <v>0</v>
      </c>
      <c r="U769" s="237"/>
      <c r="V769" s="238">
        <v>0</v>
      </c>
      <c r="W769" s="239">
        <f t="shared" ca="1" si="319"/>
        <v>0</v>
      </c>
      <c r="X769" s="240">
        <f t="shared" si="316"/>
        <v>0</v>
      </c>
      <c r="Y769" s="236"/>
      <c r="Z769" s="236">
        <f t="shared" ca="1" si="320"/>
        <v>0</v>
      </c>
      <c r="AA769" s="241"/>
      <c r="AF769" s="225">
        <f t="shared" ca="1" si="315"/>
        <v>46236</v>
      </c>
      <c r="AG769" s="225" t="b">
        <f t="shared" si="317"/>
        <v>1</v>
      </c>
      <c r="AH769" s="242"/>
    </row>
    <row r="770" spans="2:34" ht="15.75" x14ac:dyDescent="0.25">
      <c r="B770" s="229"/>
      <c r="C770" s="235"/>
      <c r="D770" s="243"/>
      <c r="E770" s="232"/>
      <c r="F770" s="233"/>
      <c r="G770" s="234"/>
      <c r="H770" s="235"/>
      <c r="I770" s="235"/>
      <c r="J770" s="236"/>
      <c r="K770" s="237">
        <f ca="1">ROUND(IF(ISERROR(OFFSET(Tabella!$A$1,MATCH(H770,Tabella!$A:$A,0)-1,MATCH(J770,Tabella!$A$1:$AC$1,0)-1)=TRUE),0,+OFFSET(Tabella!$A$1,MATCH(H770,Tabella!$A:$A,0)-1,MATCH(J770,Tabella!$A$1:$AC$1,0)-1)),4)</f>
        <v>0</v>
      </c>
      <c r="L770" s="238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238">
        <f ca="1">ROUND(IF(ISERROR(OFFSET(Rame!$A$1,MATCH(H770,Rame!$A:$A,0)-1,MATCH(J770,Rame!$A$1:$AA$1,0)-1)=TRUE),0,OFFSET(Rame!$A$1,MATCH(H770,Rame!$A:$A,0)-1,MATCH(J770,Rame!$A$1:$AA$1,0)-1))*IF(E770="Rame",1,0),4)</f>
        <v>0</v>
      </c>
      <c r="N770" s="238">
        <v>0</v>
      </c>
      <c r="O770" s="238">
        <f t="shared" ca="1" si="321"/>
        <v>0</v>
      </c>
      <c r="P770" s="238">
        <f ca="1">ROUND(+IF(ISERROR(OFFSET(Tabella!$G$1,MATCH(H770,Tabella!$G:$G,0)-1,MATCH(I770,Tabella!$G$1:$FG$1,0)-1)=TRUE),0,OFFSET(Tabella!$G$1,MATCH(H770,Tabella!$G:$G,0)-1,MATCH(I770,Tabella!$G$1:$AB$1,0)-1)),4)</f>
        <v>0</v>
      </c>
      <c r="Q770" s="238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238">
        <f ca="1">ROUND(IF(ISERROR(OFFSET(Rame!$F$1,MATCH(H770,Rame!$F:$F,0)-1,MATCH(I770,Rame!$F$1:$FF$1,0)-1)=TRUE),0,OFFSET(Rame!$F$1,MATCH(H770,Rame!$F:$F,0)-1,MATCH(I770,Rame!$F$1:$FF$1,0)-1))*IF(E770="Rame",1,0),4)</f>
        <v>0</v>
      </c>
      <c r="S770" s="238">
        <f ca="1">ROUND(IF(ISERROR(OFFSET(Bronzo!$A$1,MATCH(H770,Bronzo!$A:$A,0)-1,MATCH(I770,Bronzo!$A$1:$AA$1,0)-1)=TRUE),0,OFFSET(Bronzo!$A$1,MATCH(H770,Bronzo!$A:$A,0)-1,MATCH(I770,Bronzo!$A$1:$AA$1,0)-1)),4)</f>
        <v>0</v>
      </c>
      <c r="T770" s="238">
        <f t="shared" ca="1" si="318"/>
        <v>0</v>
      </c>
      <c r="U770" s="237"/>
      <c r="V770" s="238">
        <v>0</v>
      </c>
      <c r="W770" s="239">
        <f t="shared" ca="1" si="319"/>
        <v>0</v>
      </c>
      <c r="X770" s="240">
        <f t="shared" si="316"/>
        <v>0</v>
      </c>
      <c r="Y770" s="236"/>
      <c r="Z770" s="236">
        <f t="shared" ca="1" si="320"/>
        <v>0</v>
      </c>
      <c r="AA770" s="241"/>
      <c r="AF770" s="225">
        <f t="shared" ca="1" si="315"/>
        <v>46236</v>
      </c>
      <c r="AG770" s="225" t="b">
        <f t="shared" si="317"/>
        <v>1</v>
      </c>
      <c r="AH770" s="242"/>
    </row>
    <row r="771" spans="2:34" ht="15.75" x14ac:dyDescent="0.25">
      <c r="B771" s="229"/>
      <c r="C771" s="235"/>
      <c r="D771" s="243"/>
      <c r="E771" s="232"/>
      <c r="F771" s="233"/>
      <c r="G771" s="234"/>
      <c r="H771" s="235"/>
      <c r="I771" s="235"/>
      <c r="J771" s="236"/>
      <c r="K771" s="237">
        <f ca="1">ROUND(IF(ISERROR(OFFSET(Tabella!$A$1,MATCH(H771,Tabella!$A:$A,0)-1,MATCH(J771,Tabella!$A$1:$AC$1,0)-1)=TRUE),0,+OFFSET(Tabella!$A$1,MATCH(H771,Tabella!$A:$A,0)-1,MATCH(J771,Tabella!$A$1:$AC$1,0)-1)),4)</f>
        <v>0</v>
      </c>
      <c r="L771" s="238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238">
        <f ca="1">ROUND(IF(ISERROR(OFFSET(Rame!$A$1,MATCH(H771,Rame!$A:$A,0)-1,MATCH(J771,Rame!$A$1:$AA$1,0)-1)=TRUE),0,OFFSET(Rame!$A$1,MATCH(H771,Rame!$A:$A,0)-1,MATCH(J771,Rame!$A$1:$AA$1,0)-1))*IF(E771="Rame",1,0),4)</f>
        <v>0</v>
      </c>
      <c r="N771" s="238">
        <v>0</v>
      </c>
      <c r="O771" s="238">
        <f t="shared" ca="1" si="321"/>
        <v>0</v>
      </c>
      <c r="P771" s="238">
        <f ca="1">ROUND(+IF(ISERROR(OFFSET(Tabella!$G$1,MATCH(H771,Tabella!$G:$G,0)-1,MATCH(I771,Tabella!$G$1:$FG$1,0)-1)=TRUE),0,OFFSET(Tabella!$G$1,MATCH(H771,Tabella!$G:$G,0)-1,MATCH(I771,Tabella!$G$1:$AB$1,0)-1)),4)</f>
        <v>0</v>
      </c>
      <c r="Q771" s="238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238">
        <f ca="1">ROUND(IF(ISERROR(OFFSET(Rame!$F$1,MATCH(H771,Rame!$F:$F,0)-1,MATCH(I771,Rame!$F$1:$FF$1,0)-1)=TRUE),0,OFFSET(Rame!$F$1,MATCH(H771,Rame!$F:$F,0)-1,MATCH(I771,Rame!$F$1:$FF$1,0)-1))*IF(E771="Rame",1,0),4)</f>
        <v>0</v>
      </c>
      <c r="S771" s="238">
        <f ca="1">ROUND(IF(ISERROR(OFFSET(Bronzo!$A$1,MATCH(H771,Bronzo!$A:$A,0)-1,MATCH(I771,Bronzo!$A$1:$AA$1,0)-1)=TRUE),0,OFFSET(Bronzo!$A$1,MATCH(H771,Bronzo!$A:$A,0)-1,MATCH(I771,Bronzo!$A$1:$AA$1,0)-1)),4)</f>
        <v>0</v>
      </c>
      <c r="T771" s="238">
        <f t="shared" ca="1" si="318"/>
        <v>0</v>
      </c>
      <c r="U771" s="237"/>
      <c r="V771" s="238">
        <v>0</v>
      </c>
      <c r="W771" s="239">
        <f t="shared" ca="1" si="319"/>
        <v>0</v>
      </c>
      <c r="X771" s="240">
        <f t="shared" si="316"/>
        <v>0</v>
      </c>
      <c r="Y771" s="236"/>
      <c r="Z771" s="236">
        <f t="shared" ca="1" si="320"/>
        <v>0</v>
      </c>
      <c r="AA771" s="241"/>
      <c r="AF771" s="225">
        <f t="shared" ca="1" si="315"/>
        <v>46236</v>
      </c>
      <c r="AG771" s="225" t="b">
        <f t="shared" si="317"/>
        <v>1</v>
      </c>
      <c r="AH771" s="242"/>
    </row>
    <row r="772" spans="2:34" ht="15.75" x14ac:dyDescent="0.25">
      <c r="B772" s="229"/>
      <c r="C772" s="235"/>
      <c r="D772" s="243"/>
      <c r="E772" s="232"/>
      <c r="F772" s="233"/>
      <c r="G772" s="234"/>
      <c r="H772" s="235"/>
      <c r="I772" s="235"/>
      <c r="J772" s="236"/>
      <c r="K772" s="237">
        <f ca="1">ROUND(IF(ISERROR(OFFSET(Tabella!$A$1,MATCH(H772,Tabella!$A:$A,0)-1,MATCH(J772,Tabella!$A$1:$AC$1,0)-1)=TRUE),0,+OFFSET(Tabella!$A$1,MATCH(H772,Tabella!$A:$A,0)-1,MATCH(J772,Tabella!$A$1:$AC$1,0)-1)),4)</f>
        <v>0</v>
      </c>
      <c r="L772" s="238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238">
        <f ca="1">ROUND(IF(ISERROR(OFFSET(Rame!$A$1,MATCH(H772,Rame!$A:$A,0)-1,MATCH(J772,Rame!$A$1:$AA$1,0)-1)=TRUE),0,OFFSET(Rame!$A$1,MATCH(H772,Rame!$A:$A,0)-1,MATCH(J772,Rame!$A$1:$AA$1,0)-1))*IF(E772="Rame",1,0),4)</f>
        <v>0</v>
      </c>
      <c r="N772" s="238">
        <v>0</v>
      </c>
      <c r="O772" s="238">
        <f t="shared" ca="1" si="321"/>
        <v>0</v>
      </c>
      <c r="P772" s="238">
        <f ca="1">ROUND(+IF(ISERROR(OFFSET(Tabella!$G$1,MATCH(H772,Tabella!$G:$G,0)-1,MATCH(I772,Tabella!$G$1:$FG$1,0)-1)=TRUE),0,OFFSET(Tabella!$G$1,MATCH(H772,Tabella!$G:$G,0)-1,MATCH(I772,Tabella!$G$1:$AB$1,0)-1)),4)</f>
        <v>0</v>
      </c>
      <c r="Q772" s="238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238">
        <f ca="1">ROUND(IF(ISERROR(OFFSET(Rame!$F$1,MATCH(H772,Rame!$F:$F,0)-1,MATCH(I772,Rame!$F$1:$FF$1,0)-1)=TRUE),0,OFFSET(Rame!$F$1,MATCH(H772,Rame!$F:$F,0)-1,MATCH(I772,Rame!$F$1:$FF$1,0)-1))*IF(E772="Rame",1,0),4)</f>
        <v>0</v>
      </c>
      <c r="S772" s="238">
        <f ca="1">ROUND(IF(ISERROR(OFFSET(Bronzo!$A$1,MATCH(H772,Bronzo!$A:$A,0)-1,MATCH(I772,Bronzo!$A$1:$AA$1,0)-1)=TRUE),0,OFFSET(Bronzo!$A$1,MATCH(H772,Bronzo!$A:$A,0)-1,MATCH(I772,Bronzo!$A$1:$AA$1,0)-1)),4)</f>
        <v>0</v>
      </c>
      <c r="T772" s="238">
        <f t="shared" ca="1" si="318"/>
        <v>0</v>
      </c>
      <c r="U772" s="237"/>
      <c r="V772" s="238">
        <v>0</v>
      </c>
      <c r="W772" s="239">
        <f t="shared" ca="1" si="319"/>
        <v>0</v>
      </c>
      <c r="X772" s="240">
        <f t="shared" si="316"/>
        <v>0</v>
      </c>
      <c r="Y772" s="236"/>
      <c r="Z772" s="236">
        <f t="shared" ca="1" si="320"/>
        <v>0</v>
      </c>
      <c r="AA772" s="241"/>
      <c r="AF772" s="225">
        <f t="shared" ca="1" si="315"/>
        <v>46236</v>
      </c>
      <c r="AG772" s="225" t="b">
        <f t="shared" si="317"/>
        <v>1</v>
      </c>
      <c r="AH772" s="242"/>
    </row>
    <row r="773" spans="2:34" ht="15.75" x14ac:dyDescent="0.25">
      <c r="B773" s="229"/>
      <c r="C773" s="235"/>
      <c r="D773" s="243"/>
      <c r="E773" s="232"/>
      <c r="F773" s="233"/>
      <c r="G773" s="234"/>
      <c r="H773" s="235"/>
      <c r="I773" s="235"/>
      <c r="J773" s="236"/>
      <c r="K773" s="237">
        <f ca="1">ROUND(IF(ISERROR(OFFSET(Tabella!$A$1,MATCH(H773,Tabella!$A:$A,0)-1,MATCH(J773,Tabella!$A$1:$AC$1,0)-1)=TRUE),0,+OFFSET(Tabella!$A$1,MATCH(H773,Tabella!$A:$A,0)-1,MATCH(J773,Tabella!$A$1:$AC$1,0)-1)),4)</f>
        <v>0</v>
      </c>
      <c r="L773" s="238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238">
        <f ca="1">ROUND(IF(ISERROR(OFFSET(Rame!$A$1,MATCH(H773,Rame!$A:$A,0)-1,MATCH(J773,Rame!$A$1:$AA$1,0)-1)=TRUE),0,OFFSET(Rame!$A$1,MATCH(H773,Rame!$A:$A,0)-1,MATCH(J773,Rame!$A$1:$AA$1,0)-1))*IF(E773="Rame",1,0),4)</f>
        <v>0</v>
      </c>
      <c r="N773" s="238">
        <v>0</v>
      </c>
      <c r="O773" s="238">
        <f t="shared" ca="1" si="321"/>
        <v>0</v>
      </c>
      <c r="P773" s="238">
        <f ca="1">ROUND(+IF(ISERROR(OFFSET(Tabella!$G$1,MATCH(H773,Tabella!$G:$G,0)-1,MATCH(I773,Tabella!$G$1:$FG$1,0)-1)=TRUE),0,OFFSET(Tabella!$G$1,MATCH(H773,Tabella!$G:$G,0)-1,MATCH(I773,Tabella!$G$1:$AB$1,0)-1)),4)</f>
        <v>0</v>
      </c>
      <c r="Q773" s="238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238">
        <f ca="1">ROUND(IF(ISERROR(OFFSET(Rame!$F$1,MATCH(H773,Rame!$F:$F,0)-1,MATCH(I773,Rame!$F$1:$FF$1,0)-1)=TRUE),0,OFFSET(Rame!$F$1,MATCH(H773,Rame!$F:$F,0)-1,MATCH(I773,Rame!$F$1:$FF$1,0)-1))*IF(E773="Rame",1,0),4)</f>
        <v>0</v>
      </c>
      <c r="S773" s="238">
        <f ca="1">ROUND(IF(ISERROR(OFFSET(Bronzo!$A$1,MATCH(H773,Bronzo!$A:$A,0)-1,MATCH(I773,Bronzo!$A$1:$AA$1,0)-1)=TRUE),0,OFFSET(Bronzo!$A$1,MATCH(H773,Bronzo!$A:$A,0)-1,MATCH(I773,Bronzo!$A$1:$AA$1,0)-1)),4)</f>
        <v>0</v>
      </c>
      <c r="T773" s="238">
        <f t="shared" ca="1" si="318"/>
        <v>0</v>
      </c>
      <c r="U773" s="237"/>
      <c r="V773" s="238">
        <v>0</v>
      </c>
      <c r="W773" s="239">
        <f t="shared" ca="1" si="319"/>
        <v>0</v>
      </c>
      <c r="X773" s="240">
        <f t="shared" si="316"/>
        <v>0</v>
      </c>
      <c r="Y773" s="236"/>
      <c r="Z773" s="236">
        <f t="shared" ca="1" si="320"/>
        <v>0</v>
      </c>
      <c r="AA773" s="241"/>
      <c r="AF773" s="225">
        <f t="shared" ref="AF773:AF790" ca="1" si="322">TODAY()</f>
        <v>46236</v>
      </c>
      <c r="AG773" s="225" t="b">
        <f t="shared" si="317"/>
        <v>1</v>
      </c>
      <c r="AH773" s="242"/>
    </row>
    <row r="774" spans="2:34" ht="15.75" x14ac:dyDescent="0.25">
      <c r="B774" s="229"/>
      <c r="C774" s="235"/>
      <c r="D774" s="243"/>
      <c r="E774" s="232"/>
      <c r="F774" s="233"/>
      <c r="G774" s="234"/>
      <c r="H774" s="235"/>
      <c r="I774" s="235"/>
      <c r="J774" s="236"/>
      <c r="K774" s="237">
        <f ca="1">ROUND(IF(ISERROR(OFFSET(Tabella!$A$1,MATCH(H774,Tabella!$A:$A,0)-1,MATCH(J774,Tabella!$A$1:$AC$1,0)-1)=TRUE),0,+OFFSET(Tabella!$A$1,MATCH(H774,Tabella!$A:$A,0)-1,MATCH(J774,Tabella!$A$1:$AC$1,0)-1)),4)</f>
        <v>0</v>
      </c>
      <c r="L774" s="238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238">
        <f ca="1">ROUND(IF(ISERROR(OFFSET(Rame!$A$1,MATCH(H774,Rame!$A:$A,0)-1,MATCH(J774,Rame!$A$1:$AA$1,0)-1)=TRUE),0,OFFSET(Rame!$A$1,MATCH(H774,Rame!$A:$A,0)-1,MATCH(J774,Rame!$A$1:$AA$1,0)-1))*IF(E774="Rame",1,0),4)</f>
        <v>0</v>
      </c>
      <c r="N774" s="238">
        <v>0</v>
      </c>
      <c r="O774" s="238">
        <f t="shared" ca="1" si="321"/>
        <v>0</v>
      </c>
      <c r="P774" s="238">
        <f ca="1">ROUND(+IF(ISERROR(OFFSET(Tabella!$G$1,MATCH(H774,Tabella!$G:$G,0)-1,MATCH(I774,Tabella!$G$1:$FG$1,0)-1)=TRUE),0,OFFSET(Tabella!$G$1,MATCH(H774,Tabella!$G:$G,0)-1,MATCH(I774,Tabella!$G$1:$AB$1,0)-1)),4)</f>
        <v>0</v>
      </c>
      <c r="Q774" s="238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238">
        <f ca="1">ROUND(IF(ISERROR(OFFSET(Rame!$F$1,MATCH(H774,Rame!$F:$F,0)-1,MATCH(I774,Rame!$F$1:$FF$1,0)-1)=TRUE),0,OFFSET(Rame!$F$1,MATCH(H774,Rame!$F:$F,0)-1,MATCH(I774,Rame!$F$1:$FF$1,0)-1))*IF(E774="Rame",1,0),4)</f>
        <v>0</v>
      </c>
      <c r="S774" s="238">
        <f ca="1">ROUND(IF(ISERROR(OFFSET(Bronzo!$A$1,MATCH(H774,Bronzo!$A:$A,0)-1,MATCH(I774,Bronzo!$A$1:$AA$1,0)-1)=TRUE),0,OFFSET(Bronzo!$A$1,MATCH(H774,Bronzo!$A:$A,0)-1,MATCH(I774,Bronzo!$A$1:$AA$1,0)-1)),4)</f>
        <v>0</v>
      </c>
      <c r="T774" s="238">
        <f t="shared" ca="1" si="318"/>
        <v>0</v>
      </c>
      <c r="U774" s="237"/>
      <c r="V774" s="238">
        <v>0</v>
      </c>
      <c r="W774" s="239">
        <f t="shared" ca="1" si="319"/>
        <v>0</v>
      </c>
      <c r="X774" s="240">
        <f t="shared" si="316"/>
        <v>0</v>
      </c>
      <c r="Y774" s="236"/>
      <c r="Z774" s="236">
        <f t="shared" ca="1" si="320"/>
        <v>0</v>
      </c>
      <c r="AA774" s="241"/>
      <c r="AF774" s="225">
        <f t="shared" ca="1" si="322"/>
        <v>46236</v>
      </c>
      <c r="AG774" s="225" t="b">
        <f t="shared" si="317"/>
        <v>1</v>
      </c>
      <c r="AH774" s="242"/>
    </row>
    <row r="775" spans="2:34" ht="15.75" x14ac:dyDescent="0.25">
      <c r="B775" s="229"/>
      <c r="C775" s="235"/>
      <c r="D775" s="243"/>
      <c r="E775" s="232"/>
      <c r="F775" s="233"/>
      <c r="G775" s="234"/>
      <c r="H775" s="235"/>
      <c r="I775" s="235"/>
      <c r="J775" s="236"/>
      <c r="K775" s="237">
        <f ca="1">ROUND(IF(ISERROR(OFFSET(Tabella!$A$1,MATCH(H775,Tabella!$A:$A,0)-1,MATCH(J775,Tabella!$A$1:$AC$1,0)-1)=TRUE),0,+OFFSET(Tabella!$A$1,MATCH(H775,Tabella!$A:$A,0)-1,MATCH(J775,Tabella!$A$1:$AC$1,0)-1)),4)</f>
        <v>0</v>
      </c>
      <c r="L775" s="238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238">
        <f ca="1">ROUND(IF(ISERROR(OFFSET(Rame!$A$1,MATCH(H775,Rame!$A:$A,0)-1,MATCH(J775,Rame!$A$1:$AA$1,0)-1)=TRUE),0,OFFSET(Rame!$A$1,MATCH(H775,Rame!$A:$A,0)-1,MATCH(J775,Rame!$A$1:$AA$1,0)-1))*IF(E775="Rame",1,0),4)</f>
        <v>0</v>
      </c>
      <c r="N775" s="238">
        <v>0</v>
      </c>
      <c r="O775" s="238">
        <f t="shared" ca="1" si="321"/>
        <v>0</v>
      </c>
      <c r="P775" s="238">
        <f ca="1">ROUND(+IF(ISERROR(OFFSET(Tabella!$G$1,MATCH(H775,Tabella!$G:$G,0)-1,MATCH(I775,Tabella!$G$1:$FG$1,0)-1)=TRUE),0,OFFSET(Tabella!$G$1,MATCH(H775,Tabella!$G:$G,0)-1,MATCH(I775,Tabella!$G$1:$AB$1,0)-1)),4)</f>
        <v>0</v>
      </c>
      <c r="Q775" s="238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238">
        <f ca="1">ROUND(IF(ISERROR(OFFSET(Rame!$F$1,MATCH(H775,Rame!$F:$F,0)-1,MATCH(I775,Rame!$F$1:$FF$1,0)-1)=TRUE),0,OFFSET(Rame!$F$1,MATCH(H775,Rame!$F:$F,0)-1,MATCH(I775,Rame!$F$1:$FF$1,0)-1))*IF(E775="Rame",1,0),4)</f>
        <v>0</v>
      </c>
      <c r="S775" s="238">
        <f ca="1">ROUND(IF(ISERROR(OFFSET(Bronzo!$A$1,MATCH(H775,Bronzo!$A:$A,0)-1,MATCH(I775,Bronzo!$A$1:$AA$1,0)-1)=TRUE),0,OFFSET(Bronzo!$A$1,MATCH(H775,Bronzo!$A:$A,0)-1,MATCH(I775,Bronzo!$A$1:$AA$1,0)-1)),4)</f>
        <v>0</v>
      </c>
      <c r="T775" s="238">
        <f t="shared" ca="1" si="318"/>
        <v>0</v>
      </c>
      <c r="U775" s="237"/>
      <c r="V775" s="238">
        <v>0</v>
      </c>
      <c r="W775" s="239">
        <f t="shared" ca="1" si="319"/>
        <v>0</v>
      </c>
      <c r="X775" s="240">
        <f t="shared" si="316"/>
        <v>0</v>
      </c>
      <c r="Y775" s="236"/>
      <c r="Z775" s="236">
        <f t="shared" ca="1" si="320"/>
        <v>0</v>
      </c>
      <c r="AA775" s="241"/>
      <c r="AF775" s="225">
        <f t="shared" ca="1" si="322"/>
        <v>46236</v>
      </c>
      <c r="AG775" s="225" t="b">
        <f t="shared" si="317"/>
        <v>1</v>
      </c>
      <c r="AH775" s="242"/>
    </row>
    <row r="776" spans="2:34" ht="15.75" x14ac:dyDescent="0.25">
      <c r="B776" s="229"/>
      <c r="C776" s="235"/>
      <c r="D776" s="243"/>
      <c r="E776" s="232"/>
      <c r="F776" s="233"/>
      <c r="G776" s="234"/>
      <c r="H776" s="235"/>
      <c r="I776" s="235"/>
      <c r="J776" s="236"/>
      <c r="K776" s="237">
        <f ca="1">ROUND(IF(ISERROR(OFFSET(Tabella!$A$1,MATCH(H776,Tabella!$A:$A,0)-1,MATCH(J776,Tabella!$A$1:$AC$1,0)-1)=TRUE),0,+OFFSET(Tabella!$A$1,MATCH(H776,Tabella!$A:$A,0)-1,MATCH(J776,Tabella!$A$1:$AC$1,0)-1)),4)</f>
        <v>0</v>
      </c>
      <c r="L776" s="238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238">
        <f ca="1">ROUND(IF(ISERROR(OFFSET(Rame!$A$1,MATCH(H776,Rame!$A:$A,0)-1,MATCH(J776,Rame!$A$1:$AA$1,0)-1)=TRUE),0,OFFSET(Rame!$A$1,MATCH(H776,Rame!$A:$A,0)-1,MATCH(J776,Rame!$A$1:$AA$1,0)-1))*IF(E776="Rame",1,0),4)</f>
        <v>0</v>
      </c>
      <c r="N776" s="238">
        <v>0</v>
      </c>
      <c r="O776" s="238">
        <f t="shared" ca="1" si="321"/>
        <v>0</v>
      </c>
      <c r="P776" s="238">
        <f ca="1">ROUND(+IF(ISERROR(OFFSET(Tabella!$G$1,MATCH(H776,Tabella!$G:$G,0)-1,MATCH(I776,Tabella!$G$1:$FG$1,0)-1)=TRUE),0,OFFSET(Tabella!$G$1,MATCH(H776,Tabella!$G:$G,0)-1,MATCH(I776,Tabella!$G$1:$AB$1,0)-1)),4)</f>
        <v>0</v>
      </c>
      <c r="Q776" s="238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238">
        <f ca="1">ROUND(IF(ISERROR(OFFSET(Rame!$F$1,MATCH(H776,Rame!$F:$F,0)-1,MATCH(I776,Rame!$F$1:$FF$1,0)-1)=TRUE),0,OFFSET(Rame!$F$1,MATCH(H776,Rame!$F:$F,0)-1,MATCH(I776,Rame!$F$1:$FF$1,0)-1))*IF(E776="Rame",1,0),4)</f>
        <v>0</v>
      </c>
      <c r="S776" s="238">
        <f ca="1">ROUND(IF(ISERROR(OFFSET(Bronzo!$A$1,MATCH(H776,Bronzo!$A:$A,0)-1,MATCH(I776,Bronzo!$A$1:$AA$1,0)-1)=TRUE),0,OFFSET(Bronzo!$A$1,MATCH(H776,Bronzo!$A:$A,0)-1,MATCH(I776,Bronzo!$A$1:$AA$1,0)-1)),4)</f>
        <v>0</v>
      </c>
      <c r="T776" s="238">
        <f t="shared" ca="1" si="318"/>
        <v>0</v>
      </c>
      <c r="U776" s="237"/>
      <c r="V776" s="238">
        <v>0</v>
      </c>
      <c r="W776" s="239">
        <f t="shared" ca="1" si="319"/>
        <v>0</v>
      </c>
      <c r="X776" s="240">
        <f t="shared" si="316"/>
        <v>0</v>
      </c>
      <c r="Y776" s="236"/>
      <c r="Z776" s="236">
        <f t="shared" ca="1" si="320"/>
        <v>0</v>
      </c>
      <c r="AA776" s="241"/>
      <c r="AF776" s="225">
        <f t="shared" ca="1" si="322"/>
        <v>46236</v>
      </c>
      <c r="AG776" s="225" t="b">
        <f t="shared" si="317"/>
        <v>1</v>
      </c>
      <c r="AH776" s="242"/>
    </row>
    <row r="777" spans="2:34" ht="15.75" x14ac:dyDescent="0.25">
      <c r="B777" s="229"/>
      <c r="C777" s="235"/>
      <c r="D777" s="243"/>
      <c r="E777" s="232"/>
      <c r="F777" s="233"/>
      <c r="G777" s="234"/>
      <c r="H777" s="235"/>
      <c r="I777" s="235"/>
      <c r="J777" s="236"/>
      <c r="K777" s="237">
        <f ca="1">ROUND(IF(ISERROR(OFFSET(Tabella!$A$1,MATCH(H777,Tabella!$A:$A,0)-1,MATCH(J777,Tabella!$A$1:$AC$1,0)-1)=TRUE),0,+OFFSET(Tabella!$A$1,MATCH(H777,Tabella!$A:$A,0)-1,MATCH(J777,Tabella!$A$1:$AC$1,0)-1)),4)</f>
        <v>0</v>
      </c>
      <c r="L777" s="238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238">
        <f ca="1">ROUND(IF(ISERROR(OFFSET(Rame!$A$1,MATCH(H777,Rame!$A:$A,0)-1,MATCH(J777,Rame!$A$1:$AA$1,0)-1)=TRUE),0,OFFSET(Rame!$A$1,MATCH(H777,Rame!$A:$A,0)-1,MATCH(J777,Rame!$A$1:$AA$1,0)-1))*IF(E777="Rame",1,0),4)</f>
        <v>0</v>
      </c>
      <c r="N777" s="238">
        <v>0</v>
      </c>
      <c r="O777" s="238">
        <f t="shared" ca="1" si="321"/>
        <v>0</v>
      </c>
      <c r="P777" s="238">
        <f ca="1">ROUND(+IF(ISERROR(OFFSET(Tabella!$G$1,MATCH(H777,Tabella!$G:$G,0)-1,MATCH(I777,Tabella!$G$1:$FG$1,0)-1)=TRUE),0,OFFSET(Tabella!$G$1,MATCH(H777,Tabella!$G:$G,0)-1,MATCH(I777,Tabella!$G$1:$AB$1,0)-1)),4)</f>
        <v>0</v>
      </c>
      <c r="Q777" s="238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238">
        <f ca="1">ROUND(IF(ISERROR(OFFSET(Rame!$F$1,MATCH(H777,Rame!$F:$F,0)-1,MATCH(I777,Rame!$F$1:$FF$1,0)-1)=TRUE),0,OFFSET(Rame!$F$1,MATCH(H777,Rame!$F:$F,0)-1,MATCH(I777,Rame!$F$1:$FF$1,0)-1))*IF(E777="Rame",1,0),4)</f>
        <v>0</v>
      </c>
      <c r="S777" s="238">
        <f ca="1">ROUND(IF(ISERROR(OFFSET(Bronzo!$A$1,MATCH(H777,Bronzo!$A:$A,0)-1,MATCH(I777,Bronzo!$A$1:$AA$1,0)-1)=TRUE),0,OFFSET(Bronzo!$A$1,MATCH(H777,Bronzo!$A:$A,0)-1,MATCH(I777,Bronzo!$A$1:$AA$1,0)-1)),4)</f>
        <v>0</v>
      </c>
      <c r="T777" s="238">
        <f t="shared" ca="1" si="318"/>
        <v>0</v>
      </c>
      <c r="U777" s="237"/>
      <c r="V777" s="238">
        <v>0</v>
      </c>
      <c r="W777" s="239">
        <f t="shared" ca="1" si="319"/>
        <v>0</v>
      </c>
      <c r="X777" s="240">
        <f t="shared" si="316"/>
        <v>0</v>
      </c>
      <c r="Y777" s="236"/>
      <c r="Z777" s="236">
        <f t="shared" ca="1" si="320"/>
        <v>0</v>
      </c>
      <c r="AA777" s="241"/>
      <c r="AF777" s="225">
        <f t="shared" ca="1" si="322"/>
        <v>46236</v>
      </c>
      <c r="AG777" s="225" t="b">
        <f t="shared" si="317"/>
        <v>1</v>
      </c>
      <c r="AH777" s="242"/>
    </row>
    <row r="778" spans="2:34" ht="15.75" x14ac:dyDescent="0.25">
      <c r="B778" s="229"/>
      <c r="C778" s="235"/>
      <c r="D778" s="243"/>
      <c r="E778" s="232"/>
      <c r="F778" s="233"/>
      <c r="G778" s="234"/>
      <c r="H778" s="235"/>
      <c r="I778" s="235"/>
      <c r="J778" s="236"/>
      <c r="K778" s="237">
        <f ca="1">ROUND(IF(ISERROR(OFFSET(Tabella!$A$1,MATCH(H778,Tabella!$A:$A,0)-1,MATCH(J778,Tabella!$A$1:$AC$1,0)-1)=TRUE),0,+OFFSET(Tabella!$A$1,MATCH(H778,Tabella!$A:$A,0)-1,MATCH(J778,Tabella!$A$1:$AC$1,0)-1)),4)</f>
        <v>0</v>
      </c>
      <c r="L778" s="238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238">
        <f ca="1">ROUND(IF(ISERROR(OFFSET(Rame!$A$1,MATCH(H778,Rame!$A:$A,0)-1,MATCH(J778,Rame!$A$1:$AA$1,0)-1)=TRUE),0,OFFSET(Rame!$A$1,MATCH(H778,Rame!$A:$A,0)-1,MATCH(J778,Rame!$A$1:$AA$1,0)-1))*IF(E778="Rame",1,0),4)</f>
        <v>0</v>
      </c>
      <c r="N778" s="238">
        <v>0</v>
      </c>
      <c r="O778" s="238">
        <f t="shared" ca="1" si="321"/>
        <v>0</v>
      </c>
      <c r="P778" s="238">
        <f ca="1">ROUND(+IF(ISERROR(OFFSET(Tabella!$G$1,MATCH(H778,Tabella!$G:$G,0)-1,MATCH(I778,Tabella!$G$1:$FG$1,0)-1)=TRUE),0,OFFSET(Tabella!$G$1,MATCH(H778,Tabella!$G:$G,0)-1,MATCH(I778,Tabella!$G$1:$AB$1,0)-1)),4)</f>
        <v>0</v>
      </c>
      <c r="Q778" s="238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238">
        <f ca="1">ROUND(IF(ISERROR(OFFSET(Rame!$F$1,MATCH(H778,Rame!$F:$F,0)-1,MATCH(I778,Rame!$F$1:$FF$1,0)-1)=TRUE),0,OFFSET(Rame!$F$1,MATCH(H778,Rame!$F:$F,0)-1,MATCH(I778,Rame!$F$1:$FF$1,0)-1))*IF(E778="Rame",1,0),4)</f>
        <v>0</v>
      </c>
      <c r="S778" s="238">
        <f ca="1">ROUND(IF(ISERROR(OFFSET(Bronzo!$A$1,MATCH(H778,Bronzo!$A:$A,0)-1,MATCH(I778,Bronzo!$A$1:$AA$1,0)-1)=TRUE),0,OFFSET(Bronzo!$A$1,MATCH(H778,Bronzo!$A:$A,0)-1,MATCH(I778,Bronzo!$A$1:$AA$1,0)-1)),4)</f>
        <v>0</v>
      </c>
      <c r="T778" s="238">
        <f t="shared" ca="1" si="318"/>
        <v>0</v>
      </c>
      <c r="U778" s="237"/>
      <c r="V778" s="238">
        <v>0</v>
      </c>
      <c r="W778" s="239">
        <f t="shared" ca="1" si="319"/>
        <v>0</v>
      </c>
      <c r="X778" s="240">
        <f t="shared" si="316"/>
        <v>0</v>
      </c>
      <c r="Y778" s="236"/>
      <c r="Z778" s="236">
        <f t="shared" ca="1" si="320"/>
        <v>0</v>
      </c>
      <c r="AA778" s="241"/>
      <c r="AF778" s="225">
        <f t="shared" ca="1" si="322"/>
        <v>46236</v>
      </c>
      <c r="AG778" s="225" t="b">
        <f t="shared" si="317"/>
        <v>1</v>
      </c>
      <c r="AH778" s="242"/>
    </row>
    <row r="779" spans="2:34" ht="15.75" x14ac:dyDescent="0.25">
      <c r="B779" s="229"/>
      <c r="C779" s="235"/>
      <c r="D779" s="243"/>
      <c r="E779" s="232"/>
      <c r="F779" s="233"/>
      <c r="G779" s="234"/>
      <c r="H779" s="235"/>
      <c r="I779" s="235"/>
      <c r="J779" s="236"/>
      <c r="K779" s="237">
        <f ca="1">ROUND(IF(ISERROR(OFFSET(Tabella!$A$1,MATCH(H779,Tabella!$A:$A,0)-1,MATCH(J779,Tabella!$A$1:$AC$1,0)-1)=TRUE),0,+OFFSET(Tabella!$A$1,MATCH(H779,Tabella!$A:$A,0)-1,MATCH(J779,Tabella!$A$1:$AC$1,0)-1)),4)</f>
        <v>0</v>
      </c>
      <c r="L779" s="238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238">
        <f ca="1">ROUND(IF(ISERROR(OFFSET(Rame!$A$1,MATCH(H779,Rame!$A:$A,0)-1,MATCH(J779,Rame!$A$1:$AA$1,0)-1)=TRUE),0,OFFSET(Rame!$A$1,MATCH(H779,Rame!$A:$A,0)-1,MATCH(J779,Rame!$A$1:$AA$1,0)-1))*IF(E779="Rame",1,0),4)</f>
        <v>0</v>
      </c>
      <c r="N779" s="238">
        <v>0</v>
      </c>
      <c r="O779" s="238">
        <f t="shared" ca="1" si="321"/>
        <v>0</v>
      </c>
      <c r="P779" s="238">
        <f ca="1">ROUND(+IF(ISERROR(OFFSET(Tabella!$G$1,MATCH(H779,Tabella!$G:$G,0)-1,MATCH(I779,Tabella!$G$1:$FG$1,0)-1)=TRUE),0,OFFSET(Tabella!$G$1,MATCH(H779,Tabella!$G:$G,0)-1,MATCH(I779,Tabella!$G$1:$AB$1,0)-1)),4)</f>
        <v>0</v>
      </c>
      <c r="Q779" s="238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238">
        <f ca="1">ROUND(IF(ISERROR(OFFSET(Rame!$F$1,MATCH(H779,Rame!$F:$F,0)-1,MATCH(I779,Rame!$F$1:$FF$1,0)-1)=TRUE),0,OFFSET(Rame!$F$1,MATCH(H779,Rame!$F:$F,0)-1,MATCH(I779,Rame!$F$1:$FF$1,0)-1))*IF(E779="Rame",1,0),4)</f>
        <v>0</v>
      </c>
      <c r="S779" s="238">
        <f ca="1">ROUND(IF(ISERROR(OFFSET(Bronzo!$A$1,MATCH(H779,Bronzo!$A:$A,0)-1,MATCH(I779,Bronzo!$A$1:$AA$1,0)-1)=TRUE),0,OFFSET(Bronzo!$A$1,MATCH(H779,Bronzo!$A:$A,0)-1,MATCH(I779,Bronzo!$A$1:$AA$1,0)-1)),4)</f>
        <v>0</v>
      </c>
      <c r="T779" s="238">
        <f t="shared" ca="1" si="318"/>
        <v>0</v>
      </c>
      <c r="U779" s="237"/>
      <c r="V779" s="238">
        <v>0</v>
      </c>
      <c r="W779" s="239">
        <f t="shared" ca="1" si="319"/>
        <v>0</v>
      </c>
      <c r="X779" s="240">
        <f t="shared" si="316"/>
        <v>0</v>
      </c>
      <c r="Y779" s="236"/>
      <c r="Z779" s="236">
        <f t="shared" ca="1" si="320"/>
        <v>0</v>
      </c>
      <c r="AA779" s="241"/>
      <c r="AF779" s="225">
        <f t="shared" ca="1" si="322"/>
        <v>46236</v>
      </c>
      <c r="AG779" s="225" t="b">
        <f t="shared" si="317"/>
        <v>1</v>
      </c>
      <c r="AH779" s="242"/>
    </row>
    <row r="780" spans="2:34" ht="15.75" x14ac:dyDescent="0.25">
      <c r="B780" s="229"/>
      <c r="C780" s="235"/>
      <c r="D780" s="243"/>
      <c r="E780" s="232"/>
      <c r="F780" s="233"/>
      <c r="G780" s="234"/>
      <c r="H780" s="235"/>
      <c r="I780" s="235"/>
      <c r="J780" s="236"/>
      <c r="K780" s="237">
        <f ca="1">ROUND(IF(ISERROR(OFFSET(Tabella!$A$1,MATCH(H780,Tabella!$A:$A,0)-1,MATCH(J780,Tabella!$A$1:$AC$1,0)-1)=TRUE),0,+OFFSET(Tabella!$A$1,MATCH(H780,Tabella!$A:$A,0)-1,MATCH(J780,Tabella!$A$1:$AC$1,0)-1)),4)</f>
        <v>0</v>
      </c>
      <c r="L780" s="238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238">
        <f ca="1">ROUND(IF(ISERROR(OFFSET(Rame!$A$1,MATCH(H780,Rame!$A:$A,0)-1,MATCH(J780,Rame!$A$1:$AA$1,0)-1)=TRUE),0,OFFSET(Rame!$A$1,MATCH(H780,Rame!$A:$A,0)-1,MATCH(J780,Rame!$A$1:$AA$1,0)-1))*IF(E780="Rame",1,0),4)</f>
        <v>0</v>
      </c>
      <c r="N780" s="238">
        <v>0</v>
      </c>
      <c r="O780" s="238">
        <f t="shared" ca="1" si="321"/>
        <v>0</v>
      </c>
      <c r="P780" s="238">
        <f ca="1">ROUND(+IF(ISERROR(OFFSET(Tabella!$G$1,MATCH(H780,Tabella!$G:$G,0)-1,MATCH(I780,Tabella!$G$1:$FG$1,0)-1)=TRUE),0,OFFSET(Tabella!$G$1,MATCH(H780,Tabella!$G:$G,0)-1,MATCH(I780,Tabella!$G$1:$AB$1,0)-1)),4)</f>
        <v>0</v>
      </c>
      <c r="Q780" s="238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238">
        <f ca="1">ROUND(IF(ISERROR(OFFSET(Rame!$F$1,MATCH(H780,Rame!$F:$F,0)-1,MATCH(I780,Rame!$F$1:$FF$1,0)-1)=TRUE),0,OFFSET(Rame!$F$1,MATCH(H780,Rame!$F:$F,0)-1,MATCH(I780,Rame!$F$1:$FF$1,0)-1))*IF(E780="Rame",1,0),4)</f>
        <v>0</v>
      </c>
      <c r="S780" s="238">
        <f ca="1">ROUND(IF(ISERROR(OFFSET(Bronzo!$A$1,MATCH(H780,Bronzo!$A:$A,0)-1,MATCH(I780,Bronzo!$A$1:$AA$1,0)-1)=TRUE),0,OFFSET(Bronzo!$A$1,MATCH(H780,Bronzo!$A:$A,0)-1,MATCH(I780,Bronzo!$A$1:$AA$1,0)-1)),4)</f>
        <v>0</v>
      </c>
      <c r="T780" s="238">
        <f t="shared" ca="1" si="318"/>
        <v>0</v>
      </c>
      <c r="U780" s="237"/>
      <c r="V780" s="238">
        <v>0</v>
      </c>
      <c r="W780" s="239">
        <f t="shared" ca="1" si="319"/>
        <v>0</v>
      </c>
      <c r="X780" s="240">
        <f t="shared" si="316"/>
        <v>0</v>
      </c>
      <c r="Y780" s="236"/>
      <c r="Z780" s="236">
        <f t="shared" ca="1" si="320"/>
        <v>0</v>
      </c>
      <c r="AA780" s="241"/>
      <c r="AF780" s="225">
        <f t="shared" ca="1" si="322"/>
        <v>46236</v>
      </c>
      <c r="AG780" s="225" t="b">
        <f t="shared" si="317"/>
        <v>1</v>
      </c>
      <c r="AH780" s="242"/>
    </row>
    <row r="781" spans="2:34" ht="15.75" x14ac:dyDescent="0.25">
      <c r="B781" s="229"/>
      <c r="C781" s="235"/>
      <c r="D781" s="243"/>
      <c r="E781" s="232"/>
      <c r="F781" s="233"/>
      <c r="G781" s="234"/>
      <c r="H781" s="235"/>
      <c r="I781" s="235"/>
      <c r="J781" s="236"/>
      <c r="K781" s="237">
        <f ca="1">ROUND(IF(ISERROR(OFFSET(Tabella!$A$1,MATCH(H781,Tabella!$A:$A,0)-1,MATCH(J781,Tabella!$A$1:$AC$1,0)-1)=TRUE),0,+OFFSET(Tabella!$A$1,MATCH(H781,Tabella!$A:$A,0)-1,MATCH(J781,Tabella!$A$1:$AC$1,0)-1)),4)</f>
        <v>0</v>
      </c>
      <c r="L781" s="238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238">
        <f ca="1">ROUND(IF(ISERROR(OFFSET(Rame!$A$1,MATCH(H781,Rame!$A:$A,0)-1,MATCH(J781,Rame!$A$1:$AA$1,0)-1)=TRUE),0,OFFSET(Rame!$A$1,MATCH(H781,Rame!$A:$A,0)-1,MATCH(J781,Rame!$A$1:$AA$1,0)-1))*IF(E781="Rame",1,0),4)</f>
        <v>0</v>
      </c>
      <c r="N781" s="238">
        <v>0</v>
      </c>
      <c r="O781" s="238">
        <f t="shared" ca="1" si="321"/>
        <v>0</v>
      </c>
      <c r="P781" s="238">
        <f ca="1">ROUND(+IF(ISERROR(OFFSET(Tabella!$G$1,MATCH(H781,Tabella!$G:$G,0)-1,MATCH(I781,Tabella!$G$1:$FG$1,0)-1)=TRUE),0,OFFSET(Tabella!$G$1,MATCH(H781,Tabella!$G:$G,0)-1,MATCH(I781,Tabella!$G$1:$AB$1,0)-1)),4)</f>
        <v>0</v>
      </c>
      <c r="Q781" s="238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238">
        <f ca="1">ROUND(IF(ISERROR(OFFSET(Rame!$F$1,MATCH(H781,Rame!$F:$F,0)-1,MATCH(I781,Rame!$F$1:$FF$1,0)-1)=TRUE),0,OFFSET(Rame!$F$1,MATCH(H781,Rame!$F:$F,0)-1,MATCH(I781,Rame!$F$1:$FF$1,0)-1))*IF(E781="Rame",1,0),4)</f>
        <v>0</v>
      </c>
      <c r="S781" s="238">
        <f ca="1">ROUND(IF(ISERROR(OFFSET(Bronzo!$A$1,MATCH(H781,Bronzo!$A:$A,0)-1,MATCH(I781,Bronzo!$A$1:$AA$1,0)-1)=TRUE),0,OFFSET(Bronzo!$A$1,MATCH(H781,Bronzo!$A:$A,0)-1,MATCH(I781,Bronzo!$A$1:$AA$1,0)-1)),4)</f>
        <v>0</v>
      </c>
      <c r="T781" s="238">
        <f t="shared" ca="1" si="318"/>
        <v>0</v>
      </c>
      <c r="U781" s="237"/>
      <c r="V781" s="238">
        <v>0</v>
      </c>
      <c r="W781" s="239">
        <f t="shared" ca="1" si="319"/>
        <v>0</v>
      </c>
      <c r="X781" s="240">
        <f t="shared" si="316"/>
        <v>0</v>
      </c>
      <c r="Y781" s="236"/>
      <c r="Z781" s="236">
        <f t="shared" ca="1" si="320"/>
        <v>0</v>
      </c>
      <c r="AA781" s="241"/>
      <c r="AF781" s="225">
        <f t="shared" ca="1" si="322"/>
        <v>46236</v>
      </c>
      <c r="AG781" s="225" t="b">
        <f t="shared" si="317"/>
        <v>1</v>
      </c>
      <c r="AH781" s="242"/>
    </row>
    <row r="782" spans="2:34" ht="15.75" x14ac:dyDescent="0.25">
      <c r="B782" s="229"/>
      <c r="C782" s="235"/>
      <c r="D782" s="243"/>
      <c r="E782" s="232"/>
      <c r="F782" s="233"/>
      <c r="G782" s="234"/>
      <c r="H782" s="235"/>
      <c r="I782" s="235"/>
      <c r="J782" s="236"/>
      <c r="K782" s="237">
        <f ca="1">ROUND(IF(ISERROR(OFFSET(Tabella!$A$1,MATCH(H782,Tabella!$A:$A,0)-1,MATCH(J782,Tabella!$A$1:$AC$1,0)-1)=TRUE),0,+OFFSET(Tabella!$A$1,MATCH(H782,Tabella!$A:$A,0)-1,MATCH(J782,Tabella!$A$1:$AC$1,0)-1)),4)</f>
        <v>0</v>
      </c>
      <c r="L782" s="238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238">
        <f ca="1">ROUND(IF(ISERROR(OFFSET(Rame!$A$1,MATCH(H782,Rame!$A:$A,0)-1,MATCH(J782,Rame!$A$1:$AA$1,0)-1)=TRUE),0,OFFSET(Rame!$A$1,MATCH(H782,Rame!$A:$A,0)-1,MATCH(J782,Rame!$A$1:$AA$1,0)-1))*IF(E782="Rame",1,0),4)</f>
        <v>0</v>
      </c>
      <c r="N782" s="238">
        <v>0</v>
      </c>
      <c r="O782" s="238">
        <f t="shared" ca="1" si="321"/>
        <v>0</v>
      </c>
      <c r="P782" s="238">
        <f ca="1">ROUND(+IF(ISERROR(OFFSET(Tabella!$G$1,MATCH(H782,Tabella!$G:$G,0)-1,MATCH(I782,Tabella!$G$1:$FG$1,0)-1)=TRUE),0,OFFSET(Tabella!$G$1,MATCH(H782,Tabella!$G:$G,0)-1,MATCH(I782,Tabella!$G$1:$AB$1,0)-1)),4)</f>
        <v>0</v>
      </c>
      <c r="Q782" s="238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238">
        <f ca="1">ROUND(IF(ISERROR(OFFSET(Rame!$F$1,MATCH(H782,Rame!$F:$F,0)-1,MATCH(I782,Rame!$F$1:$FF$1,0)-1)=TRUE),0,OFFSET(Rame!$F$1,MATCH(H782,Rame!$F:$F,0)-1,MATCH(I782,Rame!$F$1:$FF$1,0)-1))*IF(E782="Rame",1,0),4)</f>
        <v>0</v>
      </c>
      <c r="S782" s="238">
        <f ca="1">ROUND(IF(ISERROR(OFFSET(Bronzo!$A$1,MATCH(H782,Bronzo!$A:$A,0)-1,MATCH(I782,Bronzo!$A$1:$AA$1,0)-1)=TRUE),0,OFFSET(Bronzo!$A$1,MATCH(H782,Bronzo!$A:$A,0)-1,MATCH(I782,Bronzo!$A$1:$AA$1,0)-1)),4)</f>
        <v>0</v>
      </c>
      <c r="T782" s="238">
        <f t="shared" ca="1" si="318"/>
        <v>0</v>
      </c>
      <c r="U782" s="237"/>
      <c r="V782" s="238">
        <v>0</v>
      </c>
      <c r="W782" s="239">
        <f t="shared" ca="1" si="319"/>
        <v>0</v>
      </c>
      <c r="X782" s="240">
        <f t="shared" si="316"/>
        <v>0</v>
      </c>
      <c r="Y782" s="236"/>
      <c r="Z782" s="236">
        <f t="shared" ca="1" si="320"/>
        <v>0</v>
      </c>
      <c r="AA782" s="241"/>
      <c r="AF782" s="225">
        <f t="shared" ca="1" si="322"/>
        <v>46236</v>
      </c>
      <c r="AG782" s="225" t="b">
        <f t="shared" si="317"/>
        <v>1</v>
      </c>
      <c r="AH782" s="242"/>
    </row>
    <row r="783" spans="2:34" ht="15.75" x14ac:dyDescent="0.25">
      <c r="B783" s="229"/>
      <c r="C783" s="235"/>
      <c r="D783" s="243"/>
      <c r="E783" s="232"/>
      <c r="F783" s="233"/>
      <c r="G783" s="234"/>
      <c r="H783" s="235"/>
      <c r="I783" s="235"/>
      <c r="J783" s="236"/>
      <c r="K783" s="237">
        <f ca="1">ROUND(IF(ISERROR(OFFSET(Tabella!$A$1,MATCH(H783,Tabella!$A:$A,0)-1,MATCH(J783,Tabella!$A$1:$AC$1,0)-1)=TRUE),0,+OFFSET(Tabella!$A$1,MATCH(H783,Tabella!$A:$A,0)-1,MATCH(J783,Tabella!$A$1:$AC$1,0)-1)),4)</f>
        <v>0</v>
      </c>
      <c r="L783" s="238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238">
        <f ca="1">ROUND(IF(ISERROR(OFFSET(Rame!$A$1,MATCH(H783,Rame!$A:$A,0)-1,MATCH(J783,Rame!$A$1:$AA$1,0)-1)=TRUE),0,OFFSET(Rame!$A$1,MATCH(H783,Rame!$A:$A,0)-1,MATCH(J783,Rame!$A$1:$AA$1,0)-1))*IF(E783="Rame",1,0),4)</f>
        <v>0</v>
      </c>
      <c r="N783" s="238">
        <v>0</v>
      </c>
      <c r="O783" s="238">
        <f t="shared" ca="1" si="321"/>
        <v>0</v>
      </c>
      <c r="P783" s="238">
        <f ca="1">ROUND(+IF(ISERROR(OFFSET(Tabella!$G$1,MATCH(H783,Tabella!$G:$G,0)-1,MATCH(I783,Tabella!$G$1:$FG$1,0)-1)=TRUE),0,OFFSET(Tabella!$G$1,MATCH(H783,Tabella!$G:$G,0)-1,MATCH(I783,Tabella!$G$1:$AB$1,0)-1)),4)</f>
        <v>0</v>
      </c>
      <c r="Q783" s="238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238">
        <f ca="1">ROUND(IF(ISERROR(OFFSET(Rame!$F$1,MATCH(H783,Rame!$F:$F,0)-1,MATCH(I783,Rame!$F$1:$FF$1,0)-1)=TRUE),0,OFFSET(Rame!$F$1,MATCH(H783,Rame!$F:$F,0)-1,MATCH(I783,Rame!$F$1:$FF$1,0)-1))*IF(E783="Rame",1,0),4)</f>
        <v>0</v>
      </c>
      <c r="S783" s="238">
        <f ca="1">ROUND(IF(ISERROR(OFFSET(Bronzo!$A$1,MATCH(H783,Bronzo!$A:$A,0)-1,MATCH(I783,Bronzo!$A$1:$AA$1,0)-1)=TRUE),0,OFFSET(Bronzo!$A$1,MATCH(H783,Bronzo!$A:$A,0)-1,MATCH(I783,Bronzo!$A$1:$AA$1,0)-1)),4)</f>
        <v>0</v>
      </c>
      <c r="T783" s="238">
        <f t="shared" ca="1" si="318"/>
        <v>0</v>
      </c>
      <c r="U783" s="237"/>
      <c r="V783" s="238">
        <v>0</v>
      </c>
      <c r="W783" s="239">
        <f t="shared" ca="1" si="319"/>
        <v>0</v>
      </c>
      <c r="X783" s="240">
        <f t="shared" si="316"/>
        <v>0</v>
      </c>
      <c r="Y783" s="236"/>
      <c r="Z783" s="236">
        <f t="shared" ca="1" si="320"/>
        <v>0</v>
      </c>
      <c r="AA783" s="241"/>
      <c r="AF783" s="225">
        <f t="shared" ca="1" si="322"/>
        <v>46236</v>
      </c>
      <c r="AG783" s="225" t="b">
        <f t="shared" si="317"/>
        <v>1</v>
      </c>
      <c r="AH783" s="242"/>
    </row>
    <row r="784" spans="2:34" ht="15.75" x14ac:dyDescent="0.25">
      <c r="B784" s="229"/>
      <c r="C784" s="235"/>
      <c r="D784" s="243"/>
      <c r="E784" s="232"/>
      <c r="F784" s="233"/>
      <c r="G784" s="234"/>
      <c r="H784" s="235"/>
      <c r="I784" s="235"/>
      <c r="J784" s="236"/>
      <c r="K784" s="237">
        <f ca="1">ROUND(IF(ISERROR(OFFSET(Tabella!$A$1,MATCH(H784,Tabella!$A:$A,0)-1,MATCH(J784,Tabella!$A$1:$AC$1,0)-1)=TRUE),0,+OFFSET(Tabella!$A$1,MATCH(H784,Tabella!$A:$A,0)-1,MATCH(J784,Tabella!$A$1:$AC$1,0)-1)),4)</f>
        <v>0</v>
      </c>
      <c r="L784" s="238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238">
        <f ca="1">ROUND(IF(ISERROR(OFFSET(Rame!$A$1,MATCH(H784,Rame!$A:$A,0)-1,MATCH(J784,Rame!$A$1:$AA$1,0)-1)=TRUE),0,OFFSET(Rame!$A$1,MATCH(H784,Rame!$A:$A,0)-1,MATCH(J784,Rame!$A$1:$AA$1,0)-1))*IF(E784="Rame",1,0),4)</f>
        <v>0</v>
      </c>
      <c r="N784" s="238">
        <v>0</v>
      </c>
      <c r="O784" s="238">
        <f t="shared" ca="1" si="321"/>
        <v>0</v>
      </c>
      <c r="P784" s="238">
        <f ca="1">ROUND(+IF(ISERROR(OFFSET(Tabella!$G$1,MATCH(H784,Tabella!$G:$G,0)-1,MATCH(I784,Tabella!$G$1:$FG$1,0)-1)=TRUE),0,OFFSET(Tabella!$G$1,MATCH(H784,Tabella!$G:$G,0)-1,MATCH(I784,Tabella!$G$1:$AB$1,0)-1)),4)</f>
        <v>0</v>
      </c>
      <c r="Q784" s="238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238">
        <f ca="1">ROUND(IF(ISERROR(OFFSET(Rame!$F$1,MATCH(H784,Rame!$F:$F,0)-1,MATCH(I784,Rame!$F$1:$FF$1,0)-1)=TRUE),0,OFFSET(Rame!$F$1,MATCH(H784,Rame!$F:$F,0)-1,MATCH(I784,Rame!$F$1:$FF$1,0)-1))*IF(E784="Rame",1,0),4)</f>
        <v>0</v>
      </c>
      <c r="S784" s="238">
        <f ca="1">ROUND(IF(ISERROR(OFFSET(Bronzo!$A$1,MATCH(H784,Bronzo!$A:$A,0)-1,MATCH(I784,Bronzo!$A$1:$AA$1,0)-1)=TRUE),0,OFFSET(Bronzo!$A$1,MATCH(H784,Bronzo!$A:$A,0)-1,MATCH(I784,Bronzo!$A$1:$AA$1,0)-1)),4)</f>
        <v>0</v>
      </c>
      <c r="T784" s="238">
        <f t="shared" ca="1" si="318"/>
        <v>0</v>
      </c>
      <c r="U784" s="237"/>
      <c r="V784" s="238">
        <v>0</v>
      </c>
      <c r="W784" s="239">
        <f t="shared" ca="1" si="319"/>
        <v>0</v>
      </c>
      <c r="X784" s="240">
        <f t="shared" si="316"/>
        <v>0</v>
      </c>
      <c r="Y784" s="236"/>
      <c r="Z784" s="236">
        <f t="shared" ca="1" si="320"/>
        <v>0</v>
      </c>
      <c r="AA784" s="241"/>
      <c r="AF784" s="225">
        <f t="shared" ca="1" si="322"/>
        <v>46236</v>
      </c>
      <c r="AG784" s="225" t="b">
        <f t="shared" si="317"/>
        <v>1</v>
      </c>
      <c r="AH784" s="242"/>
    </row>
    <row r="785" spans="2:34" ht="15.75" x14ac:dyDescent="0.25">
      <c r="B785" s="229"/>
      <c r="C785" s="235"/>
      <c r="D785" s="243"/>
      <c r="E785" s="232"/>
      <c r="F785" s="233"/>
      <c r="G785" s="234"/>
      <c r="H785" s="235"/>
      <c r="I785" s="235"/>
      <c r="J785" s="236"/>
      <c r="K785" s="237">
        <f ca="1">ROUND(IF(ISERROR(OFFSET(Tabella!$A$1,MATCH(H785,Tabella!$A:$A,0)-1,MATCH(J785,Tabella!$A$1:$AC$1,0)-1)=TRUE),0,+OFFSET(Tabella!$A$1,MATCH(H785,Tabella!$A:$A,0)-1,MATCH(J785,Tabella!$A$1:$AC$1,0)-1)),4)</f>
        <v>0</v>
      </c>
      <c r="L785" s="238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238">
        <f ca="1">ROUND(IF(ISERROR(OFFSET(Rame!$A$1,MATCH(H785,Rame!$A:$A,0)-1,MATCH(J785,Rame!$A$1:$AA$1,0)-1)=TRUE),0,OFFSET(Rame!$A$1,MATCH(H785,Rame!$A:$A,0)-1,MATCH(J785,Rame!$A$1:$AA$1,0)-1))*IF(E785="Rame",1,0),4)</f>
        <v>0</v>
      </c>
      <c r="N785" s="238">
        <v>0</v>
      </c>
      <c r="O785" s="238">
        <f t="shared" ca="1" si="321"/>
        <v>0</v>
      </c>
      <c r="P785" s="238">
        <f ca="1">ROUND(+IF(ISERROR(OFFSET(Tabella!$G$1,MATCH(H785,Tabella!$G:$G,0)-1,MATCH(I785,Tabella!$G$1:$FG$1,0)-1)=TRUE),0,OFFSET(Tabella!$G$1,MATCH(H785,Tabella!$G:$G,0)-1,MATCH(I785,Tabella!$G$1:$AB$1,0)-1)),4)</f>
        <v>0</v>
      </c>
      <c r="Q785" s="238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238">
        <f ca="1">ROUND(IF(ISERROR(OFFSET(Rame!$F$1,MATCH(H785,Rame!$F:$F,0)-1,MATCH(I785,Rame!$F$1:$FF$1,0)-1)=TRUE),0,OFFSET(Rame!$F$1,MATCH(H785,Rame!$F:$F,0)-1,MATCH(I785,Rame!$F$1:$FF$1,0)-1))*IF(E785="Rame",1,0),4)</f>
        <v>0</v>
      </c>
      <c r="S785" s="238">
        <f ca="1">ROUND(IF(ISERROR(OFFSET(Bronzo!$A$1,MATCH(H785,Bronzo!$A:$A,0)-1,MATCH(I785,Bronzo!$A$1:$AA$1,0)-1)=TRUE),0,OFFSET(Bronzo!$A$1,MATCH(H785,Bronzo!$A:$A,0)-1,MATCH(I785,Bronzo!$A$1:$AA$1,0)-1)),4)</f>
        <v>0</v>
      </c>
      <c r="T785" s="238">
        <f t="shared" ca="1" si="318"/>
        <v>0</v>
      </c>
      <c r="U785" s="237"/>
      <c r="V785" s="238">
        <v>0</v>
      </c>
      <c r="W785" s="239">
        <f t="shared" ca="1" si="319"/>
        <v>0</v>
      </c>
      <c r="X785" s="240">
        <f t="shared" si="316"/>
        <v>0</v>
      </c>
      <c r="Y785" s="236"/>
      <c r="Z785" s="236">
        <f t="shared" ca="1" si="320"/>
        <v>0</v>
      </c>
      <c r="AA785" s="241"/>
      <c r="AF785" s="225">
        <f t="shared" ca="1" si="322"/>
        <v>46236</v>
      </c>
      <c r="AG785" s="225" t="b">
        <f t="shared" si="317"/>
        <v>1</v>
      </c>
      <c r="AH785" s="242"/>
    </row>
    <row r="786" spans="2:34" ht="15.75" x14ac:dyDescent="0.25">
      <c r="B786" s="229"/>
      <c r="C786" s="235"/>
      <c r="D786" s="243"/>
      <c r="E786" s="232"/>
      <c r="F786" s="233"/>
      <c r="G786" s="234"/>
      <c r="H786" s="235"/>
      <c r="I786" s="235"/>
      <c r="J786" s="236"/>
      <c r="K786" s="237">
        <f ca="1">ROUND(IF(ISERROR(OFFSET(Tabella!$A$1,MATCH(H786,Tabella!$A:$A,0)-1,MATCH(J786,Tabella!$A$1:$AC$1,0)-1)=TRUE),0,+OFFSET(Tabella!$A$1,MATCH(H786,Tabella!$A:$A,0)-1,MATCH(J786,Tabella!$A$1:$AC$1,0)-1)),4)</f>
        <v>0</v>
      </c>
      <c r="L786" s="238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238">
        <f ca="1">ROUND(IF(ISERROR(OFFSET(Rame!$A$1,MATCH(H786,Rame!$A:$A,0)-1,MATCH(J786,Rame!$A$1:$AA$1,0)-1)=TRUE),0,OFFSET(Rame!$A$1,MATCH(H786,Rame!$A:$A,0)-1,MATCH(J786,Rame!$A$1:$AA$1,0)-1))*IF(E786="Rame",1,0),4)</f>
        <v>0</v>
      </c>
      <c r="N786" s="238">
        <v>0</v>
      </c>
      <c r="O786" s="238">
        <f t="shared" ca="1" si="321"/>
        <v>0</v>
      </c>
      <c r="P786" s="238">
        <f ca="1">ROUND(+IF(ISERROR(OFFSET(Tabella!$G$1,MATCH(H786,Tabella!$G:$G,0)-1,MATCH(I786,Tabella!$G$1:$FG$1,0)-1)=TRUE),0,OFFSET(Tabella!$G$1,MATCH(H786,Tabella!$G:$G,0)-1,MATCH(I786,Tabella!$G$1:$AB$1,0)-1)),4)</f>
        <v>0</v>
      </c>
      <c r="Q786" s="238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238">
        <f ca="1">ROUND(IF(ISERROR(OFFSET(Rame!$F$1,MATCH(H786,Rame!$F:$F,0)-1,MATCH(I786,Rame!$F$1:$FF$1,0)-1)=TRUE),0,OFFSET(Rame!$F$1,MATCH(H786,Rame!$F:$F,0)-1,MATCH(I786,Rame!$F$1:$FF$1,0)-1))*IF(E786="Rame",1,0),4)</f>
        <v>0</v>
      </c>
      <c r="S786" s="238">
        <f ca="1">ROUND(IF(ISERROR(OFFSET(Bronzo!$A$1,MATCH(H786,Bronzo!$A:$A,0)-1,MATCH(I786,Bronzo!$A$1:$AA$1,0)-1)=TRUE),0,OFFSET(Bronzo!$A$1,MATCH(H786,Bronzo!$A:$A,0)-1,MATCH(I786,Bronzo!$A$1:$AA$1,0)-1)),4)</f>
        <v>0</v>
      </c>
      <c r="T786" s="238">
        <f t="shared" ca="1" si="318"/>
        <v>0</v>
      </c>
      <c r="U786" s="237"/>
      <c r="V786" s="238">
        <v>0</v>
      </c>
      <c r="W786" s="239">
        <f t="shared" ca="1" si="319"/>
        <v>0</v>
      </c>
      <c r="X786" s="240">
        <f t="shared" si="316"/>
        <v>0</v>
      </c>
      <c r="Y786" s="236"/>
      <c r="Z786" s="236">
        <f t="shared" ca="1" si="320"/>
        <v>0</v>
      </c>
      <c r="AA786" s="241"/>
      <c r="AF786" s="225">
        <f t="shared" ca="1" si="322"/>
        <v>46236</v>
      </c>
      <c r="AG786" s="225" t="b">
        <f t="shared" si="317"/>
        <v>1</v>
      </c>
      <c r="AH786" s="242"/>
    </row>
    <row r="787" spans="2:34" ht="15.75" x14ac:dyDescent="0.25">
      <c r="B787" s="229"/>
      <c r="C787" s="235"/>
      <c r="D787" s="243"/>
      <c r="E787" s="232"/>
      <c r="F787" s="233"/>
      <c r="G787" s="234"/>
      <c r="H787" s="235"/>
      <c r="I787" s="235"/>
      <c r="J787" s="236"/>
      <c r="K787" s="237">
        <f ca="1">ROUND(IF(ISERROR(OFFSET(Tabella!$A$1,MATCH(H787,Tabella!$A:$A,0)-1,MATCH(J787,Tabella!$A$1:$AC$1,0)-1)=TRUE),0,+OFFSET(Tabella!$A$1,MATCH(H787,Tabella!$A:$A,0)-1,MATCH(J787,Tabella!$A$1:$AC$1,0)-1)),4)</f>
        <v>0</v>
      </c>
      <c r="L787" s="238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238">
        <f ca="1">ROUND(IF(ISERROR(OFFSET(Rame!$A$1,MATCH(H787,Rame!$A:$A,0)-1,MATCH(J787,Rame!$A$1:$AA$1,0)-1)=TRUE),0,OFFSET(Rame!$A$1,MATCH(H787,Rame!$A:$A,0)-1,MATCH(J787,Rame!$A$1:$AA$1,0)-1))*IF(E787="Rame",1,0),4)</f>
        <v>0</v>
      </c>
      <c r="N787" s="238">
        <v>0</v>
      </c>
      <c r="O787" s="238">
        <f t="shared" ca="1" si="321"/>
        <v>0</v>
      </c>
      <c r="P787" s="238">
        <f ca="1">ROUND(+IF(ISERROR(OFFSET(Tabella!$G$1,MATCH(H787,Tabella!$G:$G,0)-1,MATCH(I787,Tabella!$G$1:$FG$1,0)-1)=TRUE),0,OFFSET(Tabella!$G$1,MATCH(H787,Tabella!$G:$G,0)-1,MATCH(I787,Tabella!$G$1:$AB$1,0)-1)),4)</f>
        <v>0</v>
      </c>
      <c r="Q787" s="238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238">
        <f ca="1">ROUND(IF(ISERROR(OFFSET(Rame!$F$1,MATCH(H787,Rame!$F:$F,0)-1,MATCH(I787,Rame!$F$1:$FF$1,0)-1)=TRUE),0,OFFSET(Rame!$F$1,MATCH(H787,Rame!$F:$F,0)-1,MATCH(I787,Rame!$F$1:$FF$1,0)-1))*IF(E787="Rame",1,0),4)</f>
        <v>0</v>
      </c>
      <c r="S787" s="238">
        <f ca="1">ROUND(IF(ISERROR(OFFSET(Bronzo!$A$1,MATCH(H787,Bronzo!$A:$A,0)-1,MATCH(I787,Bronzo!$A$1:$AA$1,0)-1)=TRUE),0,OFFSET(Bronzo!$A$1,MATCH(H787,Bronzo!$A:$A,0)-1,MATCH(I787,Bronzo!$A$1:$AA$1,0)-1)),4)</f>
        <v>0</v>
      </c>
      <c r="T787" s="238">
        <f t="shared" ca="1" si="318"/>
        <v>0</v>
      </c>
      <c r="U787" s="237"/>
      <c r="V787" s="238">
        <v>0</v>
      </c>
      <c r="W787" s="239">
        <f t="shared" ca="1" si="319"/>
        <v>0</v>
      </c>
      <c r="X787" s="240">
        <f t="shared" si="316"/>
        <v>0</v>
      </c>
      <c r="Y787" s="236"/>
      <c r="Z787" s="236">
        <f t="shared" ca="1" si="320"/>
        <v>0</v>
      </c>
      <c r="AA787" s="241"/>
      <c r="AF787" s="225">
        <f t="shared" ca="1" si="322"/>
        <v>46236</v>
      </c>
      <c r="AG787" s="225" t="b">
        <f t="shared" si="317"/>
        <v>1</v>
      </c>
      <c r="AH787" s="242"/>
    </row>
    <row r="788" spans="2:34" ht="15.75" x14ac:dyDescent="0.25">
      <c r="B788" s="229"/>
      <c r="C788" s="235"/>
      <c r="D788" s="243"/>
      <c r="E788" s="232"/>
      <c r="F788" s="233"/>
      <c r="G788" s="234"/>
      <c r="H788" s="235"/>
      <c r="I788" s="235"/>
      <c r="J788" s="236"/>
      <c r="K788" s="237">
        <f ca="1">ROUND(IF(ISERROR(OFFSET(Tabella!$A$1,MATCH(H788,Tabella!$A:$A,0)-1,MATCH(J788,Tabella!$A$1:$AC$1,0)-1)=TRUE),0,+OFFSET(Tabella!$A$1,MATCH(H788,Tabella!$A:$A,0)-1,MATCH(J788,Tabella!$A$1:$AC$1,0)-1)),4)</f>
        <v>0</v>
      </c>
      <c r="L788" s="238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238">
        <f ca="1">ROUND(IF(ISERROR(OFFSET(Rame!$A$1,MATCH(H788,Rame!$A:$A,0)-1,MATCH(J788,Rame!$A$1:$AA$1,0)-1)=TRUE),0,OFFSET(Rame!$A$1,MATCH(H788,Rame!$A:$A,0)-1,MATCH(J788,Rame!$A$1:$AA$1,0)-1))*IF(E788="Rame",1,0),4)</f>
        <v>0</v>
      </c>
      <c r="N788" s="238">
        <v>0</v>
      </c>
      <c r="O788" s="238">
        <f t="shared" ca="1" si="321"/>
        <v>0</v>
      </c>
      <c r="P788" s="238">
        <f ca="1">ROUND(+IF(ISERROR(OFFSET(Tabella!$G$1,MATCH(H788,Tabella!$G:$G,0)-1,MATCH(I788,Tabella!$G$1:$FG$1,0)-1)=TRUE),0,OFFSET(Tabella!$G$1,MATCH(H788,Tabella!$G:$G,0)-1,MATCH(I788,Tabella!$G$1:$AB$1,0)-1)),4)</f>
        <v>0</v>
      </c>
      <c r="Q788" s="238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238">
        <f ca="1">ROUND(IF(ISERROR(OFFSET(Rame!$F$1,MATCH(H788,Rame!$F:$F,0)-1,MATCH(I788,Rame!$F$1:$FF$1,0)-1)=TRUE),0,OFFSET(Rame!$F$1,MATCH(H788,Rame!$F:$F,0)-1,MATCH(I788,Rame!$F$1:$FF$1,0)-1))*IF(E788="Rame",1,0),4)</f>
        <v>0</v>
      </c>
      <c r="S788" s="238">
        <f ca="1">ROUND(IF(ISERROR(OFFSET(Bronzo!$A$1,MATCH(H788,Bronzo!$A:$A,0)-1,MATCH(I788,Bronzo!$A$1:$AA$1,0)-1)=TRUE),0,OFFSET(Bronzo!$A$1,MATCH(H788,Bronzo!$A:$A,0)-1,MATCH(I788,Bronzo!$A$1:$AA$1,0)-1)),4)</f>
        <v>0</v>
      </c>
      <c r="T788" s="238">
        <f t="shared" ca="1" si="318"/>
        <v>0</v>
      </c>
      <c r="U788" s="237"/>
      <c r="V788" s="238">
        <v>0</v>
      </c>
      <c r="W788" s="239">
        <f t="shared" ca="1" si="319"/>
        <v>0</v>
      </c>
      <c r="X788" s="240">
        <f t="shared" si="316"/>
        <v>0</v>
      </c>
      <c r="Y788" s="236"/>
      <c r="Z788" s="236">
        <f t="shared" ca="1" si="320"/>
        <v>0</v>
      </c>
      <c r="AA788" s="241"/>
      <c r="AF788" s="225">
        <f t="shared" ca="1" si="322"/>
        <v>46236</v>
      </c>
      <c r="AG788" s="225" t="b">
        <f t="shared" si="317"/>
        <v>1</v>
      </c>
      <c r="AH788" s="242"/>
    </row>
    <row r="789" spans="2:34" ht="15.75" x14ac:dyDescent="0.25">
      <c r="B789" s="229"/>
      <c r="C789" s="235"/>
      <c r="D789" s="243"/>
      <c r="E789" s="232"/>
      <c r="F789" s="233"/>
      <c r="G789" s="234"/>
      <c r="H789" s="235"/>
      <c r="I789" s="235"/>
      <c r="J789" s="236"/>
      <c r="K789" s="237">
        <f ca="1">ROUND(IF(ISERROR(OFFSET(Tabella!$A$1,MATCH(H789,Tabella!$A:$A,0)-1,MATCH(J789,Tabella!$A$1:$AC$1,0)-1)=TRUE),0,+OFFSET(Tabella!$A$1,MATCH(H789,Tabella!$A:$A,0)-1,MATCH(J789,Tabella!$A$1:$AC$1,0)-1)),4)</f>
        <v>0</v>
      </c>
      <c r="L789" s="238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238">
        <f ca="1">ROUND(IF(ISERROR(OFFSET(Rame!$A$1,MATCH(H789,Rame!$A:$A,0)-1,MATCH(J789,Rame!$A$1:$AA$1,0)-1)=TRUE),0,OFFSET(Rame!$A$1,MATCH(H789,Rame!$A:$A,0)-1,MATCH(J789,Rame!$A$1:$AA$1,0)-1))*IF(E789="Rame",1,0),4)</f>
        <v>0</v>
      </c>
      <c r="N789" s="238">
        <v>0</v>
      </c>
      <c r="O789" s="238">
        <f t="shared" ca="1" si="321"/>
        <v>0</v>
      </c>
      <c r="P789" s="238">
        <f ca="1">ROUND(+IF(ISERROR(OFFSET(Tabella!$G$1,MATCH(H789,Tabella!$G:$G,0)-1,MATCH(I789,Tabella!$G$1:$FG$1,0)-1)=TRUE),0,OFFSET(Tabella!$G$1,MATCH(H789,Tabella!$G:$G,0)-1,MATCH(I789,Tabella!$G$1:$AB$1,0)-1)),4)</f>
        <v>0</v>
      </c>
      <c r="Q789" s="238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238">
        <f ca="1">ROUND(IF(ISERROR(OFFSET(Rame!$F$1,MATCH(H789,Rame!$F:$F,0)-1,MATCH(I789,Rame!$F$1:$FF$1,0)-1)=TRUE),0,OFFSET(Rame!$F$1,MATCH(H789,Rame!$F:$F,0)-1,MATCH(I789,Rame!$F$1:$FF$1,0)-1))*IF(E789="Rame",1,0),4)</f>
        <v>0</v>
      </c>
      <c r="S789" s="238">
        <f ca="1">ROUND(IF(ISERROR(OFFSET(Bronzo!$A$1,MATCH(H789,Bronzo!$A:$A,0)-1,MATCH(I789,Bronzo!$A$1:$AA$1,0)-1)=TRUE),0,OFFSET(Bronzo!$A$1,MATCH(H789,Bronzo!$A:$A,0)-1,MATCH(I789,Bronzo!$A$1:$AA$1,0)-1)),4)</f>
        <v>0</v>
      </c>
      <c r="T789" s="238">
        <f t="shared" ca="1" si="318"/>
        <v>0</v>
      </c>
      <c r="U789" s="237"/>
      <c r="V789" s="238">
        <v>0</v>
      </c>
      <c r="W789" s="239">
        <f t="shared" ca="1" si="319"/>
        <v>0</v>
      </c>
      <c r="X789" s="240">
        <f t="shared" si="316"/>
        <v>0</v>
      </c>
      <c r="Y789" s="236"/>
      <c r="Z789" s="236">
        <f t="shared" ca="1" si="320"/>
        <v>0</v>
      </c>
      <c r="AA789" s="241"/>
      <c r="AF789" s="225">
        <f t="shared" ca="1" si="322"/>
        <v>46236</v>
      </c>
      <c r="AG789" s="225" t="b">
        <f t="shared" si="317"/>
        <v>1</v>
      </c>
      <c r="AH789" s="242"/>
    </row>
    <row r="790" spans="2:34" ht="15.75" x14ac:dyDescent="0.25">
      <c r="B790" s="229"/>
      <c r="C790" s="235"/>
      <c r="D790" s="243"/>
      <c r="E790" s="232"/>
      <c r="F790" s="233"/>
      <c r="G790" s="234"/>
      <c r="H790" s="235"/>
      <c r="I790" s="235"/>
      <c r="J790" s="236"/>
      <c r="K790" s="237">
        <f ca="1">ROUND(IF(ISERROR(OFFSET(Tabella!$A$1,MATCH(H790,Tabella!$A:$A,0)-1,MATCH(J790,Tabella!$A$1:$AC$1,0)-1)=TRUE),0,+OFFSET(Tabella!$A$1,MATCH(H790,Tabella!$A:$A,0)-1,MATCH(J790,Tabella!$A$1:$AC$1,0)-1)),4)</f>
        <v>0</v>
      </c>
      <c r="L790" s="238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238">
        <f ca="1">ROUND(IF(ISERROR(OFFSET(Rame!$A$1,MATCH(H790,Rame!$A:$A,0)-1,MATCH(J790,Rame!$A$1:$AA$1,0)-1)=TRUE),0,OFFSET(Rame!$A$1,MATCH(H790,Rame!$A:$A,0)-1,MATCH(J790,Rame!$A$1:$AA$1,0)-1))*IF(E790="Rame",1,0),4)</f>
        <v>0</v>
      </c>
      <c r="N790" s="238">
        <v>0</v>
      </c>
      <c r="O790" s="238">
        <f t="shared" ca="1" si="321"/>
        <v>0</v>
      </c>
      <c r="P790" s="238">
        <f ca="1">ROUND(+IF(ISERROR(OFFSET(Tabella!$G$1,MATCH(H790,Tabella!$G:$G,0)-1,MATCH(I790,Tabella!$G$1:$FG$1,0)-1)=TRUE),0,OFFSET(Tabella!$G$1,MATCH(H790,Tabella!$G:$G,0)-1,MATCH(I790,Tabella!$G$1:$AB$1,0)-1)),4)</f>
        <v>0</v>
      </c>
      <c r="Q790" s="238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238">
        <f ca="1">ROUND(IF(ISERROR(OFFSET(Rame!$F$1,MATCH(H790,Rame!$F:$F,0)-1,MATCH(I790,Rame!$F$1:$FF$1,0)-1)=TRUE),0,OFFSET(Rame!$F$1,MATCH(H790,Rame!$F:$F,0)-1,MATCH(I790,Rame!$F$1:$FF$1,0)-1))*IF(E790="Rame",1,0),4)</f>
        <v>0</v>
      </c>
      <c r="S790" s="238">
        <f ca="1">ROUND(IF(ISERROR(OFFSET(Bronzo!$A$1,MATCH(H790,Bronzo!$A:$A,0)-1,MATCH(I790,Bronzo!$A$1:$AA$1,0)-1)=TRUE),0,OFFSET(Bronzo!$A$1,MATCH(H790,Bronzo!$A:$A,0)-1,MATCH(I790,Bronzo!$A$1:$AA$1,0)-1)),4)</f>
        <v>0</v>
      </c>
      <c r="T790" s="238">
        <f t="shared" ca="1" si="318"/>
        <v>0</v>
      </c>
      <c r="U790" s="237"/>
      <c r="V790" s="238">
        <v>0</v>
      </c>
      <c r="W790" s="239">
        <f t="shared" ca="1" si="319"/>
        <v>0</v>
      </c>
      <c r="X790" s="240">
        <f t="shared" si="316"/>
        <v>0</v>
      </c>
      <c r="Y790" s="236"/>
      <c r="Z790" s="236">
        <f t="shared" ca="1" si="320"/>
        <v>0</v>
      </c>
      <c r="AA790" s="241"/>
      <c r="AF790" s="225">
        <f t="shared" ca="1" si="322"/>
        <v>46236</v>
      </c>
      <c r="AG790" s="225" t="b">
        <f t="shared" si="317"/>
        <v>1</v>
      </c>
      <c r="AH790" s="242"/>
    </row>
    <row r="791" spans="2:34" ht="15.75" x14ac:dyDescent="0.25">
      <c r="B791" s="229"/>
      <c r="C791" s="235"/>
      <c r="D791" s="243"/>
      <c r="E791" s="232"/>
      <c r="F791" s="233"/>
      <c r="G791" s="234"/>
      <c r="H791" s="235"/>
      <c r="I791" s="235"/>
      <c r="J791" s="236"/>
      <c r="K791" s="237">
        <f ca="1">ROUND(IF(ISERROR(OFFSET(Tabella!$A$1,MATCH(H791,Tabella!$A:$A,0)-1,MATCH(J791,Tabella!$A$1:$AC$1,0)-1)=TRUE),0,+OFFSET(Tabella!$A$1,MATCH(H791,Tabella!$A:$A,0)-1,MATCH(J791,Tabella!$A$1:$AC$1,0)-1)),4)</f>
        <v>0</v>
      </c>
      <c r="L791" s="238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238">
        <f ca="1">ROUND(IF(ISERROR(OFFSET(Rame!$A$1,MATCH(H791,Rame!$A:$A,0)-1,MATCH(J791,Rame!$A$1:$AA$1,0)-1)=TRUE),0,OFFSET(Rame!$A$1,MATCH(H791,Rame!$A:$A,0)-1,MATCH(J791,Rame!$A$1:$AA$1,0)-1))*IF(E791="Rame",1,0),4)</f>
        <v>0</v>
      </c>
      <c r="N791" s="238">
        <v>0</v>
      </c>
      <c r="O791" s="238">
        <f t="shared" ca="1" si="321"/>
        <v>0</v>
      </c>
      <c r="P791" s="238">
        <f ca="1">ROUND(+IF(ISERROR(OFFSET(Tabella!$G$1,MATCH(H791,Tabella!$G:$G,0)-1,MATCH(I791,Tabella!$G$1:$FG$1,0)-1)=TRUE),0,OFFSET(Tabella!$G$1,MATCH(H791,Tabella!$G:$G,0)-1,MATCH(I791,Tabella!$G$1:$AB$1,0)-1)),4)</f>
        <v>0</v>
      </c>
      <c r="Q791" s="238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238">
        <f ca="1">ROUND(IF(ISERROR(OFFSET(Rame!$F$1,MATCH(H791,Rame!$F:$F,0)-1,MATCH(I791,Rame!$F$1:$FF$1,0)-1)=TRUE),0,OFFSET(Rame!$F$1,MATCH(H791,Rame!$F:$F,0)-1,MATCH(I791,Rame!$F$1:$FF$1,0)-1))*IF(E791="Rame",1,0),4)</f>
        <v>0</v>
      </c>
      <c r="S791" s="238">
        <f ca="1">ROUND(IF(ISERROR(OFFSET(Bronzo!$A$1,MATCH(H791,Bronzo!$A:$A,0)-1,MATCH(I791,Bronzo!$A$1:$AA$1,0)-1)=TRUE),0,OFFSET(Bronzo!$A$1,MATCH(H791,Bronzo!$A:$A,0)-1,MATCH(I791,Bronzo!$A$1:$AA$1,0)-1)),4)</f>
        <v>0</v>
      </c>
      <c r="T791" s="238">
        <f t="shared" ca="1" si="318"/>
        <v>0</v>
      </c>
      <c r="U791" s="237"/>
      <c r="V791" s="238">
        <v>0</v>
      </c>
      <c r="W791" s="239">
        <f t="shared" ca="1" si="319"/>
        <v>0</v>
      </c>
      <c r="X791" s="240">
        <f t="shared" si="316"/>
        <v>0</v>
      </c>
      <c r="Y791" s="236"/>
      <c r="Z791" s="236">
        <f t="shared" ca="1" si="320"/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233"/>
      <c r="G792" s="234"/>
      <c r="H792" s="235"/>
      <c r="I792" s="235"/>
      <c r="J792" s="236"/>
      <c r="K792" s="237">
        <f ca="1">ROUND(IF(ISERROR(OFFSET(Tabella!$A$1,MATCH(H792,Tabella!$A:$A,0)-1,MATCH(J792,Tabella!$A$1:$AC$1,0)-1)=TRUE),0,+OFFSET(Tabella!$A$1,MATCH(H792,Tabella!$A:$A,0)-1,MATCH(J792,Tabella!$A$1:$AC$1,0)-1)),4)</f>
        <v>0</v>
      </c>
      <c r="L792" s="238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238">
        <f ca="1">ROUND(IF(ISERROR(OFFSET(Rame!$A$1,MATCH(H792,Rame!$A:$A,0)-1,MATCH(J792,Rame!$A$1:$AA$1,0)-1)=TRUE),0,OFFSET(Rame!$A$1,MATCH(H792,Rame!$A:$A,0)-1,MATCH(J792,Rame!$A$1:$AA$1,0)-1))*IF(E792="Rame",1,0),4)</f>
        <v>0</v>
      </c>
      <c r="N792" s="238">
        <v>0</v>
      </c>
      <c r="O792" s="238">
        <f t="shared" ca="1" si="321"/>
        <v>0</v>
      </c>
      <c r="P792" s="238">
        <f ca="1">ROUND(+IF(ISERROR(OFFSET(Tabella!$G$1,MATCH(H792,Tabella!$G:$G,0)-1,MATCH(I792,Tabella!$G$1:$FG$1,0)-1)=TRUE),0,OFFSET(Tabella!$G$1,MATCH(H792,Tabella!$G:$G,0)-1,MATCH(I792,Tabella!$G$1:$AB$1,0)-1)),4)</f>
        <v>0</v>
      </c>
      <c r="Q792" s="238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238">
        <f ca="1">ROUND(IF(ISERROR(OFFSET(Rame!$F$1,MATCH(H792,Rame!$F:$F,0)-1,MATCH(I792,Rame!$F$1:$FF$1,0)-1)=TRUE),0,OFFSET(Rame!$F$1,MATCH(H792,Rame!$F:$F,0)-1,MATCH(I792,Rame!$F$1:$FF$1,0)-1))*IF(E792="Rame",1,0),4)</f>
        <v>0</v>
      </c>
      <c r="S792" s="238">
        <f ca="1">ROUND(IF(ISERROR(OFFSET(Bronzo!$A$1,MATCH(H792,Bronzo!$A:$A,0)-1,MATCH(I792,Bronzo!$A$1:$AA$1,0)-1)=TRUE),0,OFFSET(Bronzo!$A$1,MATCH(H792,Bronzo!$A:$A,0)-1,MATCH(I792,Bronzo!$A$1:$AA$1,0)-1)),4)</f>
        <v>0</v>
      </c>
      <c r="T792" s="238">
        <f t="shared" ca="1" si="318"/>
        <v>0</v>
      </c>
      <c r="U792" s="237"/>
      <c r="V792" s="238">
        <v>0</v>
      </c>
      <c r="W792" s="239">
        <f t="shared" ca="1" si="319"/>
        <v>0</v>
      </c>
      <c r="X792" s="240">
        <f t="shared" si="316"/>
        <v>0</v>
      </c>
      <c r="Y792" s="236"/>
      <c r="Z792" s="236">
        <f t="shared" ca="1" si="320"/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233"/>
      <c r="G793" s="234"/>
      <c r="H793" s="235"/>
      <c r="I793" s="235"/>
      <c r="J793" s="236"/>
      <c r="K793" s="237">
        <f ca="1">ROUND(IF(ISERROR(OFFSET(Tabella!$A$1,MATCH(H793,Tabella!$A:$A,0)-1,MATCH(J793,Tabella!$A$1:$AC$1,0)-1)=TRUE),0,+OFFSET(Tabella!$A$1,MATCH(H793,Tabella!$A:$A,0)-1,MATCH(J793,Tabella!$A$1:$AC$1,0)-1)),4)</f>
        <v>0</v>
      </c>
      <c r="L793" s="238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238">
        <f ca="1">ROUND(IF(ISERROR(OFFSET(Rame!$A$1,MATCH(H793,Rame!$A:$A,0)-1,MATCH(J793,Rame!$A$1:$AA$1,0)-1)=TRUE),0,OFFSET(Rame!$A$1,MATCH(H793,Rame!$A:$A,0)-1,MATCH(J793,Rame!$A$1:$AA$1,0)-1))*IF(E793="Rame",1,0),4)</f>
        <v>0</v>
      </c>
      <c r="N793" s="238">
        <v>0</v>
      </c>
      <c r="O793" s="238">
        <f t="shared" ca="1" si="321"/>
        <v>0</v>
      </c>
      <c r="P793" s="238">
        <f ca="1">ROUND(+IF(ISERROR(OFFSET(Tabella!$G$1,MATCH(H793,Tabella!$G:$G,0)-1,MATCH(I793,Tabella!$G$1:$FG$1,0)-1)=TRUE),0,OFFSET(Tabella!$G$1,MATCH(H793,Tabella!$G:$G,0)-1,MATCH(I793,Tabella!$G$1:$AB$1,0)-1)),4)</f>
        <v>0</v>
      </c>
      <c r="Q793" s="238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238">
        <f ca="1">ROUND(IF(ISERROR(OFFSET(Rame!$F$1,MATCH(H793,Rame!$F:$F,0)-1,MATCH(I793,Rame!$F$1:$FF$1,0)-1)=TRUE),0,OFFSET(Rame!$F$1,MATCH(H793,Rame!$F:$F,0)-1,MATCH(I793,Rame!$F$1:$FF$1,0)-1))*IF(E793="Rame",1,0),4)</f>
        <v>0</v>
      </c>
      <c r="S793" s="238">
        <f ca="1">ROUND(IF(ISERROR(OFFSET(Bronzo!$A$1,MATCH(H793,Bronzo!$A:$A,0)-1,MATCH(I793,Bronzo!$A$1:$AA$1,0)-1)=TRUE),0,OFFSET(Bronzo!$A$1,MATCH(H793,Bronzo!$A:$A,0)-1,MATCH(I793,Bronzo!$A$1:$AA$1,0)-1)),4)</f>
        <v>0</v>
      </c>
      <c r="T793" s="238">
        <f t="shared" ca="1" si="318"/>
        <v>0</v>
      </c>
      <c r="U793" s="237"/>
      <c r="V793" s="238">
        <v>0</v>
      </c>
      <c r="W793" s="239">
        <f t="shared" ca="1" si="319"/>
        <v>0</v>
      </c>
      <c r="X793" s="240">
        <f t="shared" si="316"/>
        <v>0</v>
      </c>
      <c r="Y793" s="236"/>
      <c r="Z793" s="236">
        <f t="shared" ca="1" si="320"/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233"/>
      <c r="G794" s="234"/>
      <c r="H794" s="235"/>
      <c r="I794" s="235"/>
      <c r="J794" s="236"/>
      <c r="K794" s="237">
        <f ca="1">ROUND(IF(ISERROR(OFFSET(Tabella!$A$1,MATCH(H794,Tabella!$A:$A,0)-1,MATCH(J794,Tabella!$A$1:$AC$1,0)-1)=TRUE),0,+OFFSET(Tabella!$A$1,MATCH(H794,Tabella!$A:$A,0)-1,MATCH(J794,Tabella!$A$1:$AC$1,0)-1)),4)</f>
        <v>0</v>
      </c>
      <c r="L794" s="238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238">
        <f ca="1">ROUND(IF(ISERROR(OFFSET(Rame!$A$1,MATCH(H794,Rame!$A:$A,0)-1,MATCH(J794,Rame!$A$1:$AA$1,0)-1)=TRUE),0,OFFSET(Rame!$A$1,MATCH(H794,Rame!$A:$A,0)-1,MATCH(J794,Rame!$A$1:$AA$1,0)-1))*IF(E794="Rame",1,0),4)</f>
        <v>0</v>
      </c>
      <c r="N794" s="238">
        <v>0</v>
      </c>
      <c r="O794" s="238">
        <f t="shared" ca="1" si="321"/>
        <v>0</v>
      </c>
      <c r="P794" s="238">
        <f ca="1">ROUND(+IF(ISERROR(OFFSET(Tabella!$G$1,MATCH(H794,Tabella!$G:$G,0)-1,MATCH(I794,Tabella!$G$1:$FG$1,0)-1)=TRUE),0,OFFSET(Tabella!$G$1,MATCH(H794,Tabella!$G:$G,0)-1,MATCH(I794,Tabella!$G$1:$AB$1,0)-1)),4)</f>
        <v>0</v>
      </c>
      <c r="Q794" s="238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238">
        <f ca="1">ROUND(IF(ISERROR(OFFSET(Rame!$F$1,MATCH(H794,Rame!$F:$F,0)-1,MATCH(I794,Rame!$F$1:$FF$1,0)-1)=TRUE),0,OFFSET(Rame!$F$1,MATCH(H794,Rame!$F:$F,0)-1,MATCH(I794,Rame!$F$1:$FF$1,0)-1))*IF(E794="Rame",1,0),4)</f>
        <v>0</v>
      </c>
      <c r="S794" s="238">
        <f ca="1">ROUND(IF(ISERROR(OFFSET(Bronzo!$A$1,MATCH(H794,Bronzo!$A:$A,0)-1,MATCH(I794,Bronzo!$A$1:$AA$1,0)-1)=TRUE),0,OFFSET(Bronzo!$A$1,MATCH(H794,Bronzo!$A:$A,0)-1,MATCH(I794,Bronzo!$A$1:$AA$1,0)-1)),4)</f>
        <v>0</v>
      </c>
      <c r="T794" s="238">
        <f t="shared" ca="1" si="318"/>
        <v>0</v>
      </c>
      <c r="U794" s="237"/>
      <c r="V794" s="238">
        <v>0</v>
      </c>
      <c r="W794" s="239">
        <f t="shared" ca="1" si="319"/>
        <v>0</v>
      </c>
      <c r="X794" s="240">
        <f t="shared" si="316"/>
        <v>0</v>
      </c>
      <c r="Y794" s="236"/>
      <c r="Z794" s="236">
        <f t="shared" ca="1" si="320"/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233"/>
      <c r="G795" s="234"/>
      <c r="H795" s="235"/>
      <c r="I795" s="235"/>
      <c r="J795" s="236"/>
      <c r="K795" s="237">
        <f ca="1">ROUND(IF(ISERROR(OFFSET(Tabella!$A$1,MATCH(H795,Tabella!$A:$A,0)-1,MATCH(J795,Tabella!$A$1:$AC$1,0)-1)=TRUE),0,+OFFSET(Tabella!$A$1,MATCH(H795,Tabella!$A:$A,0)-1,MATCH(J795,Tabella!$A$1:$AC$1,0)-1)),4)</f>
        <v>0</v>
      </c>
      <c r="L795" s="238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238">
        <f ca="1">ROUND(IF(ISERROR(OFFSET(Rame!$A$1,MATCH(H795,Rame!$A:$A,0)-1,MATCH(J795,Rame!$A$1:$AA$1,0)-1)=TRUE),0,OFFSET(Rame!$A$1,MATCH(H795,Rame!$A:$A,0)-1,MATCH(J795,Rame!$A$1:$AA$1,0)-1))*IF(E795="Rame",1,0),4)</f>
        <v>0</v>
      </c>
      <c r="N795" s="238">
        <v>0</v>
      </c>
      <c r="O795" s="238">
        <f t="shared" ca="1" si="321"/>
        <v>0</v>
      </c>
      <c r="P795" s="238">
        <f ca="1">ROUND(+IF(ISERROR(OFFSET(Tabella!$G$1,MATCH(H795,Tabella!$G:$G,0)-1,MATCH(I795,Tabella!$G$1:$FG$1,0)-1)=TRUE),0,OFFSET(Tabella!$G$1,MATCH(H795,Tabella!$G:$G,0)-1,MATCH(I795,Tabella!$G$1:$AB$1,0)-1)),4)</f>
        <v>0</v>
      </c>
      <c r="Q795" s="238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238">
        <f ca="1">ROUND(IF(ISERROR(OFFSET(Rame!$F$1,MATCH(H795,Rame!$F:$F,0)-1,MATCH(I795,Rame!$F$1:$FF$1,0)-1)=TRUE),0,OFFSET(Rame!$F$1,MATCH(H795,Rame!$F:$F,0)-1,MATCH(I795,Rame!$F$1:$FF$1,0)-1))*IF(E795="Rame",1,0),4)</f>
        <v>0</v>
      </c>
      <c r="S795" s="238">
        <f ca="1">ROUND(IF(ISERROR(OFFSET(Bronzo!$A$1,MATCH(H795,Bronzo!$A:$A,0)-1,MATCH(I795,Bronzo!$A$1:$AA$1,0)-1)=TRUE),0,OFFSET(Bronzo!$A$1,MATCH(H795,Bronzo!$A:$A,0)-1,MATCH(I795,Bronzo!$A$1:$AA$1,0)-1)),4)</f>
        <v>0</v>
      </c>
      <c r="T795" s="238">
        <f t="shared" ca="1" si="318"/>
        <v>0</v>
      </c>
      <c r="U795" s="237"/>
      <c r="V795" s="238">
        <v>0</v>
      </c>
      <c r="W795" s="239">
        <f t="shared" ca="1" si="319"/>
        <v>0</v>
      </c>
      <c r="X795" s="240">
        <f t="shared" si="316"/>
        <v>0</v>
      </c>
      <c r="Y795" s="236"/>
      <c r="Z795" s="236">
        <f t="shared" ca="1" si="320"/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233"/>
      <c r="G796" s="234"/>
      <c r="H796" s="235"/>
      <c r="I796" s="235"/>
      <c r="J796" s="236"/>
      <c r="K796" s="237">
        <f ca="1">ROUND(IF(ISERROR(OFFSET(Tabella!$A$1,MATCH(H796,Tabella!$A:$A,0)-1,MATCH(J796,Tabella!$A$1:$AC$1,0)-1)=TRUE),0,+OFFSET(Tabella!$A$1,MATCH(H796,Tabella!$A:$A,0)-1,MATCH(J796,Tabella!$A$1:$AC$1,0)-1)),4)</f>
        <v>0</v>
      </c>
      <c r="L796" s="238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238">
        <f ca="1">ROUND(IF(ISERROR(OFFSET(Rame!$A$1,MATCH(H796,Rame!$A:$A,0)-1,MATCH(J796,Rame!$A$1:$AA$1,0)-1)=TRUE),0,OFFSET(Rame!$A$1,MATCH(H796,Rame!$A:$A,0)-1,MATCH(J796,Rame!$A$1:$AA$1,0)-1))*IF(E796="Rame",1,0),4)</f>
        <v>0</v>
      </c>
      <c r="N796" s="238">
        <v>0</v>
      </c>
      <c r="O796" s="238">
        <f t="shared" ca="1" si="321"/>
        <v>0</v>
      </c>
      <c r="P796" s="238">
        <f ca="1">ROUND(+IF(ISERROR(OFFSET(Tabella!$G$1,MATCH(H796,Tabella!$G:$G,0)-1,MATCH(I796,Tabella!$G$1:$FG$1,0)-1)=TRUE),0,OFFSET(Tabella!$G$1,MATCH(H796,Tabella!$G:$G,0)-1,MATCH(I796,Tabella!$G$1:$AB$1,0)-1)),4)</f>
        <v>0</v>
      </c>
      <c r="Q796" s="238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238">
        <f ca="1">ROUND(IF(ISERROR(OFFSET(Rame!$F$1,MATCH(H796,Rame!$F:$F,0)-1,MATCH(I796,Rame!$F$1:$FF$1,0)-1)=TRUE),0,OFFSET(Rame!$F$1,MATCH(H796,Rame!$F:$F,0)-1,MATCH(I796,Rame!$F$1:$FF$1,0)-1))*IF(E796="Rame",1,0),4)</f>
        <v>0</v>
      </c>
      <c r="S796" s="238">
        <f ca="1">ROUND(IF(ISERROR(OFFSET(Bronzo!$A$1,MATCH(H796,Bronzo!$A:$A,0)-1,MATCH(I796,Bronzo!$A$1:$AA$1,0)-1)=TRUE),0,OFFSET(Bronzo!$A$1,MATCH(H796,Bronzo!$A:$A,0)-1,MATCH(I796,Bronzo!$A$1:$AA$1,0)-1)),4)</f>
        <v>0</v>
      </c>
      <c r="T796" s="238">
        <f t="shared" ca="1" si="318"/>
        <v>0</v>
      </c>
      <c r="U796" s="237"/>
      <c r="V796" s="238">
        <v>0</v>
      </c>
      <c r="W796" s="239">
        <f t="shared" ca="1" si="319"/>
        <v>0</v>
      </c>
      <c r="X796" s="240">
        <f t="shared" ref="X796:X859" si="323">ROUND(+J796*D796,4)</f>
        <v>0</v>
      </c>
      <c r="Y796" s="236"/>
      <c r="Z796" s="236">
        <f t="shared" ca="1" si="320"/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233"/>
      <c r="G797" s="234"/>
      <c r="H797" s="235"/>
      <c r="I797" s="235"/>
      <c r="J797" s="236"/>
      <c r="K797" s="237">
        <f ca="1">ROUND(IF(ISERROR(OFFSET(Tabella!$A$1,MATCH(H797,Tabella!$A:$A,0)-1,MATCH(J797,Tabella!$A$1:$AC$1,0)-1)=TRUE),0,+OFFSET(Tabella!$A$1,MATCH(H797,Tabella!$A:$A,0)-1,MATCH(J797,Tabella!$A$1:$AC$1,0)-1)),4)</f>
        <v>0</v>
      </c>
      <c r="L797" s="238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238">
        <f ca="1">ROUND(IF(ISERROR(OFFSET(Rame!$A$1,MATCH(H797,Rame!$A:$A,0)-1,MATCH(J797,Rame!$A$1:$AA$1,0)-1)=TRUE),0,OFFSET(Rame!$A$1,MATCH(H797,Rame!$A:$A,0)-1,MATCH(J797,Rame!$A$1:$AA$1,0)-1))*IF(E797="Rame",1,0),4)</f>
        <v>0</v>
      </c>
      <c r="N797" s="238">
        <v>0</v>
      </c>
      <c r="O797" s="238">
        <f t="shared" ca="1" si="321"/>
        <v>0</v>
      </c>
      <c r="P797" s="238">
        <f ca="1">ROUND(+IF(ISERROR(OFFSET(Tabella!$G$1,MATCH(H797,Tabella!$G:$G,0)-1,MATCH(I797,Tabella!$G$1:$FG$1,0)-1)=TRUE),0,OFFSET(Tabella!$G$1,MATCH(H797,Tabella!$G:$G,0)-1,MATCH(I797,Tabella!$G$1:$AB$1,0)-1)),4)</f>
        <v>0</v>
      </c>
      <c r="Q797" s="238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238">
        <f ca="1">ROUND(IF(ISERROR(OFFSET(Rame!$F$1,MATCH(H797,Rame!$F:$F,0)-1,MATCH(I797,Rame!$F$1:$FF$1,0)-1)=TRUE),0,OFFSET(Rame!$F$1,MATCH(H797,Rame!$F:$F,0)-1,MATCH(I797,Rame!$F$1:$FF$1,0)-1))*IF(E797="Rame",1,0),4)</f>
        <v>0</v>
      </c>
      <c r="S797" s="238">
        <f ca="1">ROUND(IF(ISERROR(OFFSET(Bronzo!$A$1,MATCH(H797,Bronzo!$A:$A,0)-1,MATCH(I797,Bronzo!$A$1:$AA$1,0)-1)=TRUE),0,OFFSET(Bronzo!$A$1,MATCH(H797,Bronzo!$A:$A,0)-1,MATCH(I797,Bronzo!$A$1:$AA$1,0)-1)),4)</f>
        <v>0</v>
      </c>
      <c r="T797" s="238">
        <f t="shared" ca="1" si="318"/>
        <v>0</v>
      </c>
      <c r="U797" s="237"/>
      <c r="V797" s="238">
        <v>0</v>
      </c>
      <c r="W797" s="239">
        <f t="shared" ca="1" si="319"/>
        <v>0</v>
      </c>
      <c r="X797" s="240">
        <f t="shared" si="323"/>
        <v>0</v>
      </c>
      <c r="Y797" s="236"/>
      <c r="Z797" s="236">
        <f t="shared" ca="1" si="320"/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233"/>
      <c r="G798" s="234"/>
      <c r="H798" s="235"/>
      <c r="I798" s="235"/>
      <c r="J798" s="236"/>
      <c r="K798" s="237">
        <f ca="1">ROUND(IF(ISERROR(OFFSET(Tabella!$A$1,MATCH(H798,Tabella!$A:$A,0)-1,MATCH(J798,Tabella!$A$1:$AC$1,0)-1)=TRUE),0,+OFFSET(Tabella!$A$1,MATCH(H798,Tabella!$A:$A,0)-1,MATCH(J798,Tabella!$A$1:$AC$1,0)-1)),4)</f>
        <v>0</v>
      </c>
      <c r="L798" s="238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238">
        <f ca="1">ROUND(IF(ISERROR(OFFSET(Rame!$A$1,MATCH(H798,Rame!$A:$A,0)-1,MATCH(J798,Rame!$A$1:$AA$1,0)-1)=TRUE),0,OFFSET(Rame!$A$1,MATCH(H798,Rame!$A:$A,0)-1,MATCH(J798,Rame!$A$1:$AA$1,0)-1))*IF(E798="Rame",1,0),4)</f>
        <v>0</v>
      </c>
      <c r="N798" s="238">
        <v>0</v>
      </c>
      <c r="O798" s="238">
        <f t="shared" ca="1" si="321"/>
        <v>0</v>
      </c>
      <c r="P798" s="238">
        <f ca="1">ROUND(+IF(ISERROR(OFFSET(Tabella!$G$1,MATCH(H798,Tabella!$G:$G,0)-1,MATCH(I798,Tabella!$G$1:$FG$1,0)-1)=TRUE),0,OFFSET(Tabella!$G$1,MATCH(H798,Tabella!$G:$G,0)-1,MATCH(I798,Tabella!$G$1:$AB$1,0)-1)),4)</f>
        <v>0</v>
      </c>
      <c r="Q798" s="238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238">
        <f ca="1">ROUND(IF(ISERROR(OFFSET(Rame!$F$1,MATCH(H798,Rame!$F:$F,0)-1,MATCH(I798,Rame!$F$1:$FF$1,0)-1)=TRUE),0,OFFSET(Rame!$F$1,MATCH(H798,Rame!$F:$F,0)-1,MATCH(I798,Rame!$F$1:$FF$1,0)-1))*IF(E798="Rame",1,0),4)</f>
        <v>0</v>
      </c>
      <c r="S798" s="238">
        <f ca="1">ROUND(IF(ISERROR(OFFSET(Bronzo!$A$1,MATCH(H798,Bronzo!$A:$A,0)-1,MATCH(I798,Bronzo!$A$1:$AA$1,0)-1)=TRUE),0,OFFSET(Bronzo!$A$1,MATCH(H798,Bronzo!$A:$A,0)-1,MATCH(I798,Bronzo!$A$1:$AA$1,0)-1)),4)</f>
        <v>0</v>
      </c>
      <c r="T798" s="238">
        <f t="shared" ca="1" si="318"/>
        <v>0</v>
      </c>
      <c r="U798" s="237"/>
      <c r="V798" s="238">
        <v>0</v>
      </c>
      <c r="W798" s="239">
        <f t="shared" ca="1" si="319"/>
        <v>0</v>
      </c>
      <c r="X798" s="240">
        <f t="shared" si="323"/>
        <v>0</v>
      </c>
      <c r="Y798" s="236"/>
      <c r="Z798" s="236">
        <f t="shared" ca="1" si="320"/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233"/>
      <c r="G799" s="234"/>
      <c r="H799" s="235"/>
      <c r="I799" s="235"/>
      <c r="J799" s="236"/>
      <c r="K799" s="237">
        <f ca="1">ROUND(IF(ISERROR(OFFSET(Tabella!$A$1,MATCH(H799,Tabella!$A:$A,0)-1,MATCH(J799,Tabella!$A$1:$AC$1,0)-1)=TRUE),0,+OFFSET(Tabella!$A$1,MATCH(H799,Tabella!$A:$A,0)-1,MATCH(J799,Tabella!$A$1:$AC$1,0)-1)),4)</f>
        <v>0</v>
      </c>
      <c r="L799" s="238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238">
        <f ca="1">ROUND(IF(ISERROR(OFFSET(Rame!$A$1,MATCH(H799,Rame!$A:$A,0)-1,MATCH(J799,Rame!$A$1:$AA$1,0)-1)=TRUE),0,OFFSET(Rame!$A$1,MATCH(H799,Rame!$A:$A,0)-1,MATCH(J799,Rame!$A$1:$AA$1,0)-1))*IF(E799="Rame",1,0),4)</f>
        <v>0</v>
      </c>
      <c r="N799" s="238">
        <v>0</v>
      </c>
      <c r="O799" s="238">
        <f t="shared" ca="1" si="321"/>
        <v>0</v>
      </c>
      <c r="P799" s="238">
        <f ca="1">ROUND(+IF(ISERROR(OFFSET(Tabella!$G$1,MATCH(H799,Tabella!$G:$G,0)-1,MATCH(I799,Tabella!$G$1:$FG$1,0)-1)=TRUE),0,OFFSET(Tabella!$G$1,MATCH(H799,Tabella!$G:$G,0)-1,MATCH(I799,Tabella!$G$1:$AB$1,0)-1)),4)</f>
        <v>0</v>
      </c>
      <c r="Q799" s="238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238">
        <f ca="1">ROUND(IF(ISERROR(OFFSET(Rame!$F$1,MATCH(H799,Rame!$F:$F,0)-1,MATCH(I799,Rame!$F$1:$FF$1,0)-1)=TRUE),0,OFFSET(Rame!$F$1,MATCH(H799,Rame!$F:$F,0)-1,MATCH(I799,Rame!$F$1:$FF$1,0)-1))*IF(E799="Rame",1,0),4)</f>
        <v>0</v>
      </c>
      <c r="S799" s="238">
        <f ca="1">ROUND(IF(ISERROR(OFFSET(Bronzo!$A$1,MATCH(H799,Bronzo!$A:$A,0)-1,MATCH(I799,Bronzo!$A$1:$AA$1,0)-1)=TRUE),0,OFFSET(Bronzo!$A$1,MATCH(H799,Bronzo!$A:$A,0)-1,MATCH(I799,Bronzo!$A$1:$AA$1,0)-1)),4)</f>
        <v>0</v>
      </c>
      <c r="T799" s="238">
        <f t="shared" ca="1" si="318"/>
        <v>0</v>
      </c>
      <c r="U799" s="237"/>
      <c r="V799" s="238">
        <v>0</v>
      </c>
      <c r="W799" s="239">
        <f t="shared" ca="1" si="319"/>
        <v>0</v>
      </c>
      <c r="X799" s="240">
        <f t="shared" si="323"/>
        <v>0</v>
      </c>
      <c r="Y799" s="236"/>
      <c r="Z799" s="236">
        <f t="shared" ca="1" si="320"/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233"/>
      <c r="G800" s="234"/>
      <c r="H800" s="235"/>
      <c r="I800" s="235"/>
      <c r="J800" s="236"/>
      <c r="K800" s="237">
        <f ca="1">ROUND(IF(ISERROR(OFFSET(Tabella!$A$1,MATCH(H800,Tabella!$A:$A,0)-1,MATCH(J800,Tabella!$A$1:$AC$1,0)-1)=TRUE),0,+OFFSET(Tabella!$A$1,MATCH(H800,Tabella!$A:$A,0)-1,MATCH(J800,Tabella!$A$1:$AC$1,0)-1)),4)</f>
        <v>0</v>
      </c>
      <c r="L800" s="238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238">
        <f ca="1">ROUND(IF(ISERROR(OFFSET(Rame!$A$1,MATCH(H800,Rame!$A:$A,0)-1,MATCH(J800,Rame!$A$1:$AA$1,0)-1)=TRUE),0,OFFSET(Rame!$A$1,MATCH(H800,Rame!$A:$A,0)-1,MATCH(J800,Rame!$A$1:$AA$1,0)-1))*IF(E800="Rame",1,0),4)</f>
        <v>0</v>
      </c>
      <c r="N800" s="238">
        <v>0</v>
      </c>
      <c r="O800" s="238">
        <f t="shared" ca="1" si="321"/>
        <v>0</v>
      </c>
      <c r="P800" s="238">
        <f ca="1">ROUND(+IF(ISERROR(OFFSET(Tabella!$G$1,MATCH(H800,Tabella!$G:$G,0)-1,MATCH(I800,Tabella!$G$1:$FG$1,0)-1)=TRUE),0,OFFSET(Tabella!$G$1,MATCH(H800,Tabella!$G:$G,0)-1,MATCH(I800,Tabella!$G$1:$AB$1,0)-1)),4)</f>
        <v>0</v>
      </c>
      <c r="Q800" s="238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238">
        <f ca="1">ROUND(IF(ISERROR(OFFSET(Rame!$F$1,MATCH(H800,Rame!$F:$F,0)-1,MATCH(I800,Rame!$F$1:$FF$1,0)-1)=TRUE),0,OFFSET(Rame!$F$1,MATCH(H800,Rame!$F:$F,0)-1,MATCH(I800,Rame!$F$1:$FF$1,0)-1))*IF(E800="Rame",1,0),4)</f>
        <v>0</v>
      </c>
      <c r="S800" s="238">
        <f ca="1">ROUND(IF(ISERROR(OFFSET(Bronzo!$A$1,MATCH(H800,Bronzo!$A:$A,0)-1,MATCH(I800,Bronzo!$A$1:$AA$1,0)-1)=TRUE),0,OFFSET(Bronzo!$A$1,MATCH(H800,Bronzo!$A:$A,0)-1,MATCH(I800,Bronzo!$A$1:$AA$1,0)-1)),4)</f>
        <v>0</v>
      </c>
      <c r="T800" s="238">
        <f t="shared" ca="1" si="318"/>
        <v>0</v>
      </c>
      <c r="U800" s="237"/>
      <c r="V800" s="238">
        <v>0</v>
      </c>
      <c r="W800" s="239">
        <f t="shared" ca="1" si="319"/>
        <v>0</v>
      </c>
      <c r="X800" s="240">
        <f t="shared" si="323"/>
        <v>0</v>
      </c>
      <c r="Y800" s="236"/>
      <c r="Z800" s="236">
        <f t="shared" ca="1" si="320"/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233"/>
      <c r="G801" s="234"/>
      <c r="H801" s="235"/>
      <c r="I801" s="235"/>
      <c r="J801" s="236"/>
      <c r="K801" s="237">
        <f ca="1">ROUND(IF(ISERROR(OFFSET(Tabella!$A$1,MATCH(H801,Tabella!$A:$A,0)-1,MATCH(J801,Tabella!$A$1:$AC$1,0)-1)=TRUE),0,+OFFSET(Tabella!$A$1,MATCH(H801,Tabella!$A:$A,0)-1,MATCH(J801,Tabella!$A$1:$AC$1,0)-1)),4)</f>
        <v>0</v>
      </c>
      <c r="L801" s="238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238">
        <f ca="1">ROUND(IF(ISERROR(OFFSET(Rame!$A$1,MATCH(H801,Rame!$A:$A,0)-1,MATCH(J801,Rame!$A$1:$AA$1,0)-1)=TRUE),0,OFFSET(Rame!$A$1,MATCH(H801,Rame!$A:$A,0)-1,MATCH(J801,Rame!$A$1:$AA$1,0)-1))*IF(E801="Rame",1,0),4)</f>
        <v>0</v>
      </c>
      <c r="N801" s="238">
        <v>0</v>
      </c>
      <c r="O801" s="238">
        <f t="shared" ca="1" si="321"/>
        <v>0</v>
      </c>
      <c r="P801" s="238">
        <f ca="1">ROUND(+IF(ISERROR(OFFSET(Tabella!$G$1,MATCH(H801,Tabella!$G:$G,0)-1,MATCH(I801,Tabella!$G$1:$FG$1,0)-1)=TRUE),0,OFFSET(Tabella!$G$1,MATCH(H801,Tabella!$G:$G,0)-1,MATCH(I801,Tabella!$G$1:$AB$1,0)-1)),4)</f>
        <v>0</v>
      </c>
      <c r="Q801" s="238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238">
        <f ca="1">ROUND(IF(ISERROR(OFFSET(Rame!$F$1,MATCH(H801,Rame!$F:$F,0)-1,MATCH(I801,Rame!$F$1:$FF$1,0)-1)=TRUE),0,OFFSET(Rame!$F$1,MATCH(H801,Rame!$F:$F,0)-1,MATCH(I801,Rame!$F$1:$FF$1,0)-1))*IF(E801="Rame",1,0),4)</f>
        <v>0</v>
      </c>
      <c r="S801" s="238">
        <f ca="1">ROUND(IF(ISERROR(OFFSET(Bronzo!$A$1,MATCH(H801,Bronzo!$A:$A,0)-1,MATCH(I801,Bronzo!$A$1:$AA$1,0)-1)=TRUE),0,OFFSET(Bronzo!$A$1,MATCH(H801,Bronzo!$A:$A,0)-1,MATCH(I801,Bronzo!$A$1:$AA$1,0)-1)),4)</f>
        <v>0</v>
      </c>
      <c r="T801" s="238">
        <f t="shared" ca="1" si="318"/>
        <v>0</v>
      </c>
      <c r="U801" s="237"/>
      <c r="V801" s="238">
        <v>0</v>
      </c>
      <c r="W801" s="239">
        <f t="shared" ca="1" si="319"/>
        <v>0</v>
      </c>
      <c r="X801" s="240">
        <f t="shared" si="323"/>
        <v>0</v>
      </c>
      <c r="Y801" s="236"/>
      <c r="Z801" s="236">
        <f t="shared" ca="1" si="320"/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233"/>
      <c r="G802" s="234"/>
      <c r="H802" s="235"/>
      <c r="I802" s="235"/>
      <c r="J802" s="236"/>
      <c r="K802" s="237">
        <f ca="1">ROUND(IF(ISERROR(OFFSET(Tabella!$A$1,MATCH(H802,Tabella!$A:$A,0)-1,MATCH(J802,Tabella!$A$1:$AC$1,0)-1)=TRUE),0,+OFFSET(Tabella!$A$1,MATCH(H802,Tabella!$A:$A,0)-1,MATCH(J802,Tabella!$A$1:$AC$1,0)-1)),4)</f>
        <v>0</v>
      </c>
      <c r="L802" s="238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238">
        <f ca="1">ROUND(IF(ISERROR(OFFSET(Rame!$A$1,MATCH(H802,Rame!$A:$A,0)-1,MATCH(J802,Rame!$A$1:$AA$1,0)-1)=TRUE),0,OFFSET(Rame!$A$1,MATCH(H802,Rame!$A:$A,0)-1,MATCH(J802,Rame!$A$1:$AA$1,0)-1))*IF(E802="Rame",1,0),4)</f>
        <v>0</v>
      </c>
      <c r="N802" s="238">
        <v>0</v>
      </c>
      <c r="O802" s="238">
        <f t="shared" ca="1" si="321"/>
        <v>0</v>
      </c>
      <c r="P802" s="238">
        <f ca="1">ROUND(+IF(ISERROR(OFFSET(Tabella!$G$1,MATCH(H802,Tabella!$G:$G,0)-1,MATCH(I802,Tabella!$G$1:$FG$1,0)-1)=TRUE),0,OFFSET(Tabella!$G$1,MATCH(H802,Tabella!$G:$G,0)-1,MATCH(I802,Tabella!$G$1:$AB$1,0)-1)),4)</f>
        <v>0</v>
      </c>
      <c r="Q802" s="238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238">
        <f ca="1">ROUND(IF(ISERROR(OFFSET(Rame!$F$1,MATCH(H802,Rame!$F:$F,0)-1,MATCH(I802,Rame!$F$1:$FF$1,0)-1)=TRUE),0,OFFSET(Rame!$F$1,MATCH(H802,Rame!$F:$F,0)-1,MATCH(I802,Rame!$F$1:$FF$1,0)-1))*IF(E802="Rame",1,0),4)</f>
        <v>0</v>
      </c>
      <c r="S802" s="238">
        <f ca="1">ROUND(IF(ISERROR(OFFSET(Bronzo!$A$1,MATCH(H802,Bronzo!$A:$A,0)-1,MATCH(I802,Bronzo!$A$1:$AA$1,0)-1)=TRUE),0,OFFSET(Bronzo!$A$1,MATCH(H802,Bronzo!$A:$A,0)-1,MATCH(I802,Bronzo!$A$1:$AA$1,0)-1)),4)</f>
        <v>0</v>
      </c>
      <c r="T802" s="238">
        <f t="shared" ref="T802:T865" ca="1" si="324">ROUND(SUM(P802:S802),4)</f>
        <v>0</v>
      </c>
      <c r="U802" s="237"/>
      <c r="V802" s="238">
        <v>0</v>
      </c>
      <c r="W802" s="239">
        <f t="shared" ref="W802:W865" ca="1" si="325">ROUND(+O802+T802+U802+V802,4)</f>
        <v>0</v>
      </c>
      <c r="X802" s="240">
        <f t="shared" si="323"/>
        <v>0</v>
      </c>
      <c r="Y802" s="236"/>
      <c r="Z802" s="236">
        <f t="shared" ref="Z802:Z865" ca="1" si="326">ROUND(+Y802-W802-F802,4)</f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233"/>
      <c r="G803" s="234"/>
      <c r="H803" s="235"/>
      <c r="I803" s="235"/>
      <c r="J803" s="236"/>
      <c r="K803" s="237">
        <f ca="1">ROUND(IF(ISERROR(OFFSET(Tabella!$A$1,MATCH(H803,Tabella!$A:$A,0)-1,MATCH(J803,Tabella!$A$1:$AC$1,0)-1)=TRUE),0,+OFFSET(Tabella!$A$1,MATCH(H803,Tabella!$A:$A,0)-1,MATCH(J803,Tabella!$A$1:$AC$1,0)-1)),4)</f>
        <v>0</v>
      </c>
      <c r="L803" s="238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238">
        <f ca="1">ROUND(IF(ISERROR(OFFSET(Rame!$A$1,MATCH(H803,Rame!$A:$A,0)-1,MATCH(J803,Rame!$A$1:$AA$1,0)-1)=TRUE),0,OFFSET(Rame!$A$1,MATCH(H803,Rame!$A:$A,0)-1,MATCH(J803,Rame!$A$1:$AA$1,0)-1))*IF(E803="Rame",1,0),4)</f>
        <v>0</v>
      </c>
      <c r="N803" s="238">
        <v>0</v>
      </c>
      <c r="O803" s="238">
        <f t="shared" ca="1" si="321"/>
        <v>0</v>
      </c>
      <c r="P803" s="238">
        <f ca="1">ROUND(+IF(ISERROR(OFFSET(Tabella!$G$1,MATCH(H803,Tabella!$G:$G,0)-1,MATCH(I803,Tabella!$G$1:$FG$1,0)-1)=TRUE),0,OFFSET(Tabella!$G$1,MATCH(H803,Tabella!$G:$G,0)-1,MATCH(I803,Tabella!$G$1:$AB$1,0)-1)),4)</f>
        <v>0</v>
      </c>
      <c r="Q803" s="238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238">
        <f ca="1">ROUND(IF(ISERROR(OFFSET(Rame!$F$1,MATCH(H803,Rame!$F:$F,0)-1,MATCH(I803,Rame!$F$1:$FF$1,0)-1)=TRUE),0,OFFSET(Rame!$F$1,MATCH(H803,Rame!$F:$F,0)-1,MATCH(I803,Rame!$F$1:$FF$1,0)-1))*IF(E803="Rame",1,0),4)</f>
        <v>0</v>
      </c>
      <c r="S803" s="238">
        <f ca="1">ROUND(IF(ISERROR(OFFSET(Bronzo!$A$1,MATCH(H803,Bronzo!$A:$A,0)-1,MATCH(I803,Bronzo!$A$1:$AA$1,0)-1)=TRUE),0,OFFSET(Bronzo!$A$1,MATCH(H803,Bronzo!$A:$A,0)-1,MATCH(I803,Bronzo!$A$1:$AA$1,0)-1)),4)</f>
        <v>0</v>
      </c>
      <c r="T803" s="238">
        <f t="shared" ca="1" si="324"/>
        <v>0</v>
      </c>
      <c r="U803" s="237"/>
      <c r="V803" s="238">
        <v>0</v>
      </c>
      <c r="W803" s="239">
        <f t="shared" ca="1" si="325"/>
        <v>0</v>
      </c>
      <c r="X803" s="240">
        <f t="shared" si="323"/>
        <v>0</v>
      </c>
      <c r="Y803" s="236"/>
      <c r="Z803" s="236">
        <f t="shared" ca="1" si="326"/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233"/>
      <c r="G804" s="234"/>
      <c r="H804" s="235"/>
      <c r="I804" s="235"/>
      <c r="J804" s="236"/>
      <c r="K804" s="237">
        <f ca="1">ROUND(IF(ISERROR(OFFSET(Tabella!$A$1,MATCH(H804,Tabella!$A:$A,0)-1,MATCH(J804,Tabella!$A$1:$AC$1,0)-1)=TRUE),0,+OFFSET(Tabella!$A$1,MATCH(H804,Tabella!$A:$A,0)-1,MATCH(J804,Tabella!$A$1:$AC$1,0)-1)),4)</f>
        <v>0</v>
      </c>
      <c r="L804" s="238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238">
        <f ca="1">ROUND(IF(ISERROR(OFFSET(Rame!$A$1,MATCH(H804,Rame!$A:$A,0)-1,MATCH(J804,Rame!$A$1:$AA$1,0)-1)=TRUE),0,OFFSET(Rame!$A$1,MATCH(H804,Rame!$A:$A,0)-1,MATCH(J804,Rame!$A$1:$AA$1,0)-1))*IF(E804="Rame",1,0),4)</f>
        <v>0</v>
      </c>
      <c r="N804" s="238">
        <v>0</v>
      </c>
      <c r="O804" s="238">
        <f t="shared" ca="1" si="321"/>
        <v>0</v>
      </c>
      <c r="P804" s="238">
        <f ca="1">ROUND(+IF(ISERROR(OFFSET(Tabella!$G$1,MATCH(H804,Tabella!$G:$G,0)-1,MATCH(I804,Tabella!$G$1:$FG$1,0)-1)=TRUE),0,OFFSET(Tabella!$G$1,MATCH(H804,Tabella!$G:$G,0)-1,MATCH(I804,Tabella!$G$1:$AB$1,0)-1)),4)</f>
        <v>0</v>
      </c>
      <c r="Q804" s="238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238">
        <f ca="1">ROUND(IF(ISERROR(OFFSET(Rame!$F$1,MATCH(H804,Rame!$F:$F,0)-1,MATCH(I804,Rame!$F$1:$FF$1,0)-1)=TRUE),0,OFFSET(Rame!$F$1,MATCH(H804,Rame!$F:$F,0)-1,MATCH(I804,Rame!$F$1:$FF$1,0)-1))*IF(E804="Rame",1,0),4)</f>
        <v>0</v>
      </c>
      <c r="S804" s="238">
        <f ca="1">ROUND(IF(ISERROR(OFFSET(Bronzo!$A$1,MATCH(H804,Bronzo!$A:$A,0)-1,MATCH(I804,Bronzo!$A$1:$AA$1,0)-1)=TRUE),0,OFFSET(Bronzo!$A$1,MATCH(H804,Bronzo!$A:$A,0)-1,MATCH(I804,Bronzo!$A$1:$AA$1,0)-1)),4)</f>
        <v>0</v>
      </c>
      <c r="T804" s="238">
        <f t="shared" ca="1" si="324"/>
        <v>0</v>
      </c>
      <c r="U804" s="237"/>
      <c r="V804" s="238">
        <v>0</v>
      </c>
      <c r="W804" s="239">
        <f t="shared" ca="1" si="325"/>
        <v>0</v>
      </c>
      <c r="X804" s="240">
        <f t="shared" si="323"/>
        <v>0</v>
      </c>
      <c r="Y804" s="236"/>
      <c r="Z804" s="236">
        <f t="shared" ca="1" si="326"/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233"/>
      <c r="G805" s="234"/>
      <c r="H805" s="235"/>
      <c r="I805" s="235"/>
      <c r="J805" s="236"/>
      <c r="K805" s="237">
        <f ca="1">ROUND(IF(ISERROR(OFFSET(Tabella!$A$1,MATCH(H805,Tabella!$A:$A,0)-1,MATCH(J805,Tabella!$A$1:$AC$1,0)-1)=TRUE),0,+OFFSET(Tabella!$A$1,MATCH(H805,Tabella!$A:$A,0)-1,MATCH(J805,Tabella!$A$1:$AC$1,0)-1)),4)</f>
        <v>0</v>
      </c>
      <c r="L805" s="238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238">
        <f ca="1">ROUND(IF(ISERROR(OFFSET(Rame!$A$1,MATCH(H805,Rame!$A:$A,0)-1,MATCH(J805,Rame!$A$1:$AA$1,0)-1)=TRUE),0,OFFSET(Rame!$A$1,MATCH(H805,Rame!$A:$A,0)-1,MATCH(J805,Rame!$A$1:$AA$1,0)-1))*IF(E805="Rame",1,0),4)</f>
        <v>0</v>
      </c>
      <c r="N805" s="238">
        <v>0</v>
      </c>
      <c r="O805" s="238">
        <f t="shared" ca="1" si="321"/>
        <v>0</v>
      </c>
      <c r="P805" s="238">
        <f ca="1">ROUND(+IF(ISERROR(OFFSET(Tabella!$G$1,MATCH(H805,Tabella!$G:$G,0)-1,MATCH(I805,Tabella!$G$1:$FG$1,0)-1)=TRUE),0,OFFSET(Tabella!$G$1,MATCH(H805,Tabella!$G:$G,0)-1,MATCH(I805,Tabella!$G$1:$AB$1,0)-1)),4)</f>
        <v>0</v>
      </c>
      <c r="Q805" s="238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238">
        <f ca="1">ROUND(IF(ISERROR(OFFSET(Rame!$F$1,MATCH(H805,Rame!$F:$F,0)-1,MATCH(I805,Rame!$F$1:$FF$1,0)-1)=TRUE),0,OFFSET(Rame!$F$1,MATCH(H805,Rame!$F:$F,0)-1,MATCH(I805,Rame!$F$1:$FF$1,0)-1))*IF(E805="Rame",1,0),4)</f>
        <v>0</v>
      </c>
      <c r="S805" s="238">
        <f ca="1">ROUND(IF(ISERROR(OFFSET(Bronzo!$A$1,MATCH(H805,Bronzo!$A:$A,0)-1,MATCH(I805,Bronzo!$A$1:$AA$1,0)-1)=TRUE),0,OFFSET(Bronzo!$A$1,MATCH(H805,Bronzo!$A:$A,0)-1,MATCH(I805,Bronzo!$A$1:$AA$1,0)-1)),4)</f>
        <v>0</v>
      </c>
      <c r="T805" s="238">
        <f t="shared" ca="1" si="324"/>
        <v>0</v>
      </c>
      <c r="U805" s="237"/>
      <c r="V805" s="238">
        <v>0</v>
      </c>
      <c r="W805" s="239">
        <f t="shared" ca="1" si="325"/>
        <v>0</v>
      </c>
      <c r="X805" s="240">
        <f t="shared" si="323"/>
        <v>0</v>
      </c>
      <c r="Y805" s="236"/>
      <c r="Z805" s="236">
        <f t="shared" ca="1" si="326"/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233"/>
      <c r="G806" s="234"/>
      <c r="H806" s="235"/>
      <c r="I806" s="235"/>
      <c r="J806" s="236"/>
      <c r="K806" s="237">
        <f ca="1">ROUND(IF(ISERROR(OFFSET(Tabella!$A$1,MATCH(H806,Tabella!$A:$A,0)-1,MATCH(J806,Tabella!$A$1:$AC$1,0)-1)=TRUE),0,+OFFSET(Tabella!$A$1,MATCH(H806,Tabella!$A:$A,0)-1,MATCH(J806,Tabella!$A$1:$AC$1,0)-1)),4)</f>
        <v>0</v>
      </c>
      <c r="L806" s="238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238">
        <f ca="1">ROUND(IF(ISERROR(OFFSET(Rame!$A$1,MATCH(H806,Rame!$A:$A,0)-1,MATCH(J806,Rame!$A$1:$AA$1,0)-1)=TRUE),0,OFFSET(Rame!$A$1,MATCH(H806,Rame!$A:$A,0)-1,MATCH(J806,Rame!$A$1:$AA$1,0)-1))*IF(E806="Rame",1,0),4)</f>
        <v>0</v>
      </c>
      <c r="N806" s="238">
        <v>0</v>
      </c>
      <c r="O806" s="238">
        <f t="shared" ca="1" si="321"/>
        <v>0</v>
      </c>
      <c r="P806" s="238">
        <f ca="1">ROUND(+IF(ISERROR(OFFSET(Tabella!$G$1,MATCH(H806,Tabella!$G:$G,0)-1,MATCH(I806,Tabella!$G$1:$FG$1,0)-1)=TRUE),0,OFFSET(Tabella!$G$1,MATCH(H806,Tabella!$G:$G,0)-1,MATCH(I806,Tabella!$G$1:$AB$1,0)-1)),4)</f>
        <v>0</v>
      </c>
      <c r="Q806" s="238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238">
        <f ca="1">ROUND(IF(ISERROR(OFFSET(Rame!$F$1,MATCH(H806,Rame!$F:$F,0)-1,MATCH(I806,Rame!$F$1:$FF$1,0)-1)=TRUE),0,OFFSET(Rame!$F$1,MATCH(H806,Rame!$F:$F,0)-1,MATCH(I806,Rame!$F$1:$FF$1,0)-1))*IF(E806="Rame",1,0),4)</f>
        <v>0</v>
      </c>
      <c r="S806" s="238">
        <f ca="1">ROUND(IF(ISERROR(OFFSET(Bronzo!$A$1,MATCH(H806,Bronzo!$A:$A,0)-1,MATCH(I806,Bronzo!$A$1:$AA$1,0)-1)=TRUE),0,OFFSET(Bronzo!$A$1,MATCH(H806,Bronzo!$A:$A,0)-1,MATCH(I806,Bronzo!$A$1:$AA$1,0)-1)),4)</f>
        <v>0</v>
      </c>
      <c r="T806" s="238">
        <f t="shared" ca="1" si="324"/>
        <v>0</v>
      </c>
      <c r="U806" s="237"/>
      <c r="V806" s="238">
        <v>0</v>
      </c>
      <c r="W806" s="239">
        <f t="shared" ca="1" si="325"/>
        <v>0</v>
      </c>
      <c r="X806" s="240">
        <f t="shared" si="323"/>
        <v>0</v>
      </c>
      <c r="Y806" s="236"/>
      <c r="Z806" s="236">
        <f t="shared" ca="1" si="326"/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233"/>
      <c r="G807" s="234"/>
      <c r="H807" s="235"/>
      <c r="I807" s="235"/>
      <c r="J807" s="236"/>
      <c r="K807" s="237">
        <f ca="1">ROUND(IF(ISERROR(OFFSET(Tabella!$A$1,MATCH(H807,Tabella!$A:$A,0)-1,MATCH(J807,Tabella!$A$1:$AC$1,0)-1)=TRUE),0,+OFFSET(Tabella!$A$1,MATCH(H807,Tabella!$A:$A,0)-1,MATCH(J807,Tabella!$A$1:$AC$1,0)-1)),4)</f>
        <v>0</v>
      </c>
      <c r="L807" s="238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238">
        <f ca="1">ROUND(IF(ISERROR(OFFSET(Rame!$A$1,MATCH(H807,Rame!$A:$A,0)-1,MATCH(J807,Rame!$A$1:$AA$1,0)-1)=TRUE),0,OFFSET(Rame!$A$1,MATCH(H807,Rame!$A:$A,0)-1,MATCH(J807,Rame!$A$1:$AA$1,0)-1))*IF(E807="Rame",1,0),4)</f>
        <v>0</v>
      </c>
      <c r="N807" s="238">
        <v>0</v>
      </c>
      <c r="O807" s="238">
        <f t="shared" ca="1" si="321"/>
        <v>0</v>
      </c>
      <c r="P807" s="238">
        <f ca="1">ROUND(+IF(ISERROR(OFFSET(Tabella!$G$1,MATCH(H807,Tabella!$G:$G,0)-1,MATCH(I807,Tabella!$G$1:$FG$1,0)-1)=TRUE),0,OFFSET(Tabella!$G$1,MATCH(H807,Tabella!$G:$G,0)-1,MATCH(I807,Tabella!$G$1:$AB$1,0)-1)),4)</f>
        <v>0</v>
      </c>
      <c r="Q807" s="238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238">
        <f ca="1">ROUND(IF(ISERROR(OFFSET(Rame!$F$1,MATCH(H807,Rame!$F:$F,0)-1,MATCH(I807,Rame!$F$1:$FF$1,0)-1)=TRUE),0,OFFSET(Rame!$F$1,MATCH(H807,Rame!$F:$F,0)-1,MATCH(I807,Rame!$F$1:$FF$1,0)-1))*IF(E807="Rame",1,0),4)</f>
        <v>0</v>
      </c>
      <c r="S807" s="238">
        <f ca="1">ROUND(IF(ISERROR(OFFSET(Bronzo!$A$1,MATCH(H807,Bronzo!$A:$A,0)-1,MATCH(I807,Bronzo!$A$1:$AA$1,0)-1)=TRUE),0,OFFSET(Bronzo!$A$1,MATCH(H807,Bronzo!$A:$A,0)-1,MATCH(I807,Bronzo!$A$1:$AA$1,0)-1)),4)</f>
        <v>0</v>
      </c>
      <c r="T807" s="238">
        <f t="shared" ca="1" si="324"/>
        <v>0</v>
      </c>
      <c r="U807" s="237"/>
      <c r="V807" s="238">
        <v>0</v>
      </c>
      <c r="W807" s="239">
        <f t="shared" ca="1" si="325"/>
        <v>0</v>
      </c>
      <c r="X807" s="240">
        <f t="shared" si="323"/>
        <v>0</v>
      </c>
      <c r="Y807" s="236"/>
      <c r="Z807" s="236">
        <f t="shared" ca="1" si="326"/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233"/>
      <c r="G808" s="234"/>
      <c r="H808" s="235"/>
      <c r="I808" s="235"/>
      <c r="J808" s="236"/>
      <c r="K808" s="237">
        <f ca="1">ROUND(IF(ISERROR(OFFSET(Tabella!$A$1,MATCH(H808,Tabella!$A:$A,0)-1,MATCH(J808,Tabella!$A$1:$AC$1,0)-1)=TRUE),0,+OFFSET(Tabella!$A$1,MATCH(H808,Tabella!$A:$A,0)-1,MATCH(J808,Tabella!$A$1:$AC$1,0)-1)),4)</f>
        <v>0</v>
      </c>
      <c r="L808" s="238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238">
        <f ca="1">ROUND(IF(ISERROR(OFFSET(Rame!$A$1,MATCH(H808,Rame!$A:$A,0)-1,MATCH(J808,Rame!$A$1:$AA$1,0)-1)=TRUE),0,OFFSET(Rame!$A$1,MATCH(H808,Rame!$A:$A,0)-1,MATCH(J808,Rame!$A$1:$AA$1,0)-1))*IF(E808="Rame",1,0),4)</f>
        <v>0</v>
      </c>
      <c r="N808" s="238">
        <v>0</v>
      </c>
      <c r="O808" s="238">
        <f t="shared" ca="1" si="321"/>
        <v>0</v>
      </c>
      <c r="P808" s="238">
        <f ca="1">ROUND(+IF(ISERROR(OFFSET(Tabella!$G$1,MATCH(H808,Tabella!$G:$G,0)-1,MATCH(I808,Tabella!$G$1:$FG$1,0)-1)=TRUE),0,OFFSET(Tabella!$G$1,MATCH(H808,Tabella!$G:$G,0)-1,MATCH(I808,Tabella!$G$1:$AB$1,0)-1)),4)</f>
        <v>0</v>
      </c>
      <c r="Q808" s="238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238">
        <f ca="1">ROUND(IF(ISERROR(OFFSET(Rame!$F$1,MATCH(H808,Rame!$F:$F,0)-1,MATCH(I808,Rame!$F$1:$FF$1,0)-1)=TRUE),0,OFFSET(Rame!$F$1,MATCH(H808,Rame!$F:$F,0)-1,MATCH(I808,Rame!$F$1:$FF$1,0)-1))*IF(E808="Rame",1,0),4)</f>
        <v>0</v>
      </c>
      <c r="S808" s="238">
        <f ca="1">ROUND(IF(ISERROR(OFFSET(Bronzo!$A$1,MATCH(H808,Bronzo!$A:$A,0)-1,MATCH(I808,Bronzo!$A$1:$AA$1,0)-1)=TRUE),0,OFFSET(Bronzo!$A$1,MATCH(H808,Bronzo!$A:$A,0)-1,MATCH(I808,Bronzo!$A$1:$AA$1,0)-1)),4)</f>
        <v>0</v>
      </c>
      <c r="T808" s="238">
        <f t="shared" ca="1" si="324"/>
        <v>0</v>
      </c>
      <c r="U808" s="237"/>
      <c r="V808" s="238">
        <v>0</v>
      </c>
      <c r="W808" s="239">
        <f t="shared" ca="1" si="325"/>
        <v>0</v>
      </c>
      <c r="X808" s="240">
        <f t="shared" si="323"/>
        <v>0</v>
      </c>
      <c r="Y808" s="236"/>
      <c r="Z808" s="236">
        <f t="shared" ca="1" si="326"/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233"/>
      <c r="G809" s="234"/>
      <c r="H809" s="235"/>
      <c r="I809" s="235"/>
      <c r="J809" s="236"/>
      <c r="K809" s="237">
        <f ca="1">ROUND(IF(ISERROR(OFFSET(Tabella!$A$1,MATCH(H809,Tabella!$A:$A,0)-1,MATCH(J809,Tabella!$A$1:$AC$1,0)-1)=TRUE),0,+OFFSET(Tabella!$A$1,MATCH(H809,Tabella!$A:$A,0)-1,MATCH(J809,Tabella!$A$1:$AC$1,0)-1)),4)</f>
        <v>0</v>
      </c>
      <c r="L809" s="238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238">
        <f ca="1">ROUND(IF(ISERROR(OFFSET(Rame!$A$1,MATCH(H809,Rame!$A:$A,0)-1,MATCH(J809,Rame!$A$1:$AA$1,0)-1)=TRUE),0,OFFSET(Rame!$A$1,MATCH(H809,Rame!$A:$A,0)-1,MATCH(J809,Rame!$A$1:$AA$1,0)-1))*IF(E809="Rame",1,0),4)</f>
        <v>0</v>
      </c>
      <c r="N809" s="238">
        <v>0</v>
      </c>
      <c r="O809" s="238">
        <f t="shared" ca="1" si="321"/>
        <v>0</v>
      </c>
      <c r="P809" s="238">
        <f ca="1">ROUND(+IF(ISERROR(OFFSET(Tabella!$G$1,MATCH(H809,Tabella!$G:$G,0)-1,MATCH(I809,Tabella!$G$1:$FG$1,0)-1)=TRUE),0,OFFSET(Tabella!$G$1,MATCH(H809,Tabella!$G:$G,0)-1,MATCH(I809,Tabella!$G$1:$AB$1,0)-1)),4)</f>
        <v>0</v>
      </c>
      <c r="Q809" s="238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238">
        <f ca="1">ROUND(IF(ISERROR(OFFSET(Rame!$F$1,MATCH(H809,Rame!$F:$F,0)-1,MATCH(I809,Rame!$F$1:$FF$1,0)-1)=TRUE),0,OFFSET(Rame!$F$1,MATCH(H809,Rame!$F:$F,0)-1,MATCH(I809,Rame!$F$1:$FF$1,0)-1))*IF(E809="Rame",1,0),4)</f>
        <v>0</v>
      </c>
      <c r="S809" s="238">
        <f ca="1">ROUND(IF(ISERROR(OFFSET(Bronzo!$A$1,MATCH(H809,Bronzo!$A:$A,0)-1,MATCH(I809,Bronzo!$A$1:$AA$1,0)-1)=TRUE),0,OFFSET(Bronzo!$A$1,MATCH(H809,Bronzo!$A:$A,0)-1,MATCH(I809,Bronzo!$A$1:$AA$1,0)-1)),4)</f>
        <v>0</v>
      </c>
      <c r="T809" s="238">
        <f t="shared" ca="1" si="324"/>
        <v>0</v>
      </c>
      <c r="U809" s="237"/>
      <c r="V809" s="238">
        <v>0</v>
      </c>
      <c r="W809" s="239">
        <f t="shared" ca="1" si="325"/>
        <v>0</v>
      </c>
      <c r="X809" s="240">
        <f t="shared" si="323"/>
        <v>0</v>
      </c>
      <c r="Y809" s="236"/>
      <c r="Z809" s="236">
        <f t="shared" ca="1" si="326"/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233"/>
      <c r="G810" s="234"/>
      <c r="H810" s="235"/>
      <c r="I810" s="235"/>
      <c r="J810" s="236"/>
      <c r="K810" s="237">
        <f ca="1">ROUND(IF(ISERROR(OFFSET(Tabella!$A$1,MATCH(H810,Tabella!$A:$A,0)-1,MATCH(J810,Tabella!$A$1:$AC$1,0)-1)=TRUE),0,+OFFSET(Tabella!$A$1,MATCH(H810,Tabella!$A:$A,0)-1,MATCH(J810,Tabella!$A$1:$AC$1,0)-1)),4)</f>
        <v>0</v>
      </c>
      <c r="L810" s="238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238">
        <f ca="1">ROUND(IF(ISERROR(OFFSET(Rame!$A$1,MATCH(H810,Rame!$A:$A,0)-1,MATCH(J810,Rame!$A$1:$AA$1,0)-1)=TRUE),0,OFFSET(Rame!$A$1,MATCH(H810,Rame!$A:$A,0)-1,MATCH(J810,Rame!$A$1:$AA$1,0)-1))*IF(E810="Rame",1,0),4)</f>
        <v>0</v>
      </c>
      <c r="N810" s="238">
        <v>0</v>
      </c>
      <c r="O810" s="238">
        <f t="shared" ca="1" si="321"/>
        <v>0</v>
      </c>
      <c r="P810" s="238">
        <f ca="1">ROUND(+IF(ISERROR(OFFSET(Tabella!$G$1,MATCH(H810,Tabella!$G:$G,0)-1,MATCH(I810,Tabella!$G$1:$FG$1,0)-1)=TRUE),0,OFFSET(Tabella!$G$1,MATCH(H810,Tabella!$G:$G,0)-1,MATCH(I810,Tabella!$G$1:$AB$1,0)-1)),4)</f>
        <v>0</v>
      </c>
      <c r="Q810" s="238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238">
        <f ca="1">ROUND(IF(ISERROR(OFFSET(Rame!$F$1,MATCH(H810,Rame!$F:$F,0)-1,MATCH(I810,Rame!$F$1:$FF$1,0)-1)=TRUE),0,OFFSET(Rame!$F$1,MATCH(H810,Rame!$F:$F,0)-1,MATCH(I810,Rame!$F$1:$FF$1,0)-1))*IF(E810="Rame",1,0),4)</f>
        <v>0</v>
      </c>
      <c r="S810" s="238">
        <f ca="1">ROUND(IF(ISERROR(OFFSET(Bronzo!$A$1,MATCH(H810,Bronzo!$A:$A,0)-1,MATCH(I810,Bronzo!$A$1:$AA$1,0)-1)=TRUE),0,OFFSET(Bronzo!$A$1,MATCH(H810,Bronzo!$A:$A,0)-1,MATCH(I810,Bronzo!$A$1:$AA$1,0)-1)),4)</f>
        <v>0</v>
      </c>
      <c r="T810" s="238">
        <f t="shared" ca="1" si="324"/>
        <v>0</v>
      </c>
      <c r="U810" s="237"/>
      <c r="V810" s="238">
        <v>0</v>
      </c>
      <c r="W810" s="239">
        <f t="shared" ca="1" si="325"/>
        <v>0</v>
      </c>
      <c r="X810" s="240">
        <f t="shared" si="323"/>
        <v>0</v>
      </c>
      <c r="Y810" s="236"/>
      <c r="Z810" s="236">
        <f t="shared" ca="1" si="326"/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233"/>
      <c r="G811" s="234"/>
      <c r="H811" s="235"/>
      <c r="I811" s="235"/>
      <c r="J811" s="236"/>
      <c r="K811" s="237">
        <f ca="1">ROUND(IF(ISERROR(OFFSET(Tabella!$A$1,MATCH(H811,Tabella!$A:$A,0)-1,MATCH(J811,Tabella!$A$1:$AC$1,0)-1)=TRUE),0,+OFFSET(Tabella!$A$1,MATCH(H811,Tabella!$A:$A,0)-1,MATCH(J811,Tabella!$A$1:$AC$1,0)-1)),4)</f>
        <v>0</v>
      </c>
      <c r="L811" s="238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238">
        <f ca="1">ROUND(IF(ISERROR(OFFSET(Rame!$A$1,MATCH(H811,Rame!$A:$A,0)-1,MATCH(J811,Rame!$A$1:$AA$1,0)-1)=TRUE),0,OFFSET(Rame!$A$1,MATCH(H811,Rame!$A:$A,0)-1,MATCH(J811,Rame!$A$1:$AA$1,0)-1))*IF(E811="Rame",1,0),4)</f>
        <v>0</v>
      </c>
      <c r="N811" s="238">
        <v>0</v>
      </c>
      <c r="O811" s="238">
        <f t="shared" ca="1" si="321"/>
        <v>0</v>
      </c>
      <c r="P811" s="238">
        <f ca="1">ROUND(+IF(ISERROR(OFFSET(Tabella!$G$1,MATCH(H811,Tabella!$G:$G,0)-1,MATCH(I811,Tabella!$G$1:$FG$1,0)-1)=TRUE),0,OFFSET(Tabella!$G$1,MATCH(H811,Tabella!$G:$G,0)-1,MATCH(I811,Tabella!$G$1:$AB$1,0)-1)),4)</f>
        <v>0</v>
      </c>
      <c r="Q811" s="238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238">
        <f ca="1">ROUND(IF(ISERROR(OFFSET(Rame!$F$1,MATCH(H811,Rame!$F:$F,0)-1,MATCH(I811,Rame!$F$1:$FF$1,0)-1)=TRUE),0,OFFSET(Rame!$F$1,MATCH(H811,Rame!$F:$F,0)-1,MATCH(I811,Rame!$F$1:$FF$1,0)-1))*IF(E811="Rame",1,0),4)</f>
        <v>0</v>
      </c>
      <c r="S811" s="238">
        <f ca="1">ROUND(IF(ISERROR(OFFSET(Bronzo!$A$1,MATCH(H811,Bronzo!$A:$A,0)-1,MATCH(I811,Bronzo!$A$1:$AA$1,0)-1)=TRUE),0,OFFSET(Bronzo!$A$1,MATCH(H811,Bronzo!$A:$A,0)-1,MATCH(I811,Bronzo!$A$1:$AA$1,0)-1)),4)</f>
        <v>0</v>
      </c>
      <c r="T811" s="238">
        <f t="shared" ca="1" si="324"/>
        <v>0</v>
      </c>
      <c r="U811" s="237"/>
      <c r="V811" s="238">
        <v>0</v>
      </c>
      <c r="W811" s="239">
        <f t="shared" ca="1" si="325"/>
        <v>0</v>
      </c>
      <c r="X811" s="240">
        <f t="shared" si="323"/>
        <v>0</v>
      </c>
      <c r="Y811" s="236"/>
      <c r="Z811" s="236">
        <f t="shared" ca="1" si="326"/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233"/>
      <c r="G812" s="234"/>
      <c r="H812" s="235"/>
      <c r="I812" s="235"/>
      <c r="J812" s="236"/>
      <c r="K812" s="237">
        <f ca="1">ROUND(IF(ISERROR(OFFSET(Tabella!$A$1,MATCH(H812,Tabella!$A:$A,0)-1,MATCH(J812,Tabella!$A$1:$AC$1,0)-1)=TRUE),0,+OFFSET(Tabella!$A$1,MATCH(H812,Tabella!$A:$A,0)-1,MATCH(J812,Tabella!$A$1:$AC$1,0)-1)),4)</f>
        <v>0</v>
      </c>
      <c r="L812" s="238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238">
        <f ca="1">ROUND(IF(ISERROR(OFFSET(Rame!$A$1,MATCH(H812,Rame!$A:$A,0)-1,MATCH(J812,Rame!$A$1:$AA$1,0)-1)=TRUE),0,OFFSET(Rame!$A$1,MATCH(H812,Rame!$A:$A,0)-1,MATCH(J812,Rame!$A$1:$AA$1,0)-1))*IF(E812="Rame",1,0),4)</f>
        <v>0</v>
      </c>
      <c r="N812" s="238">
        <v>0</v>
      </c>
      <c r="O812" s="238">
        <f t="shared" ca="1" si="321"/>
        <v>0</v>
      </c>
      <c r="P812" s="238">
        <f ca="1">ROUND(+IF(ISERROR(OFFSET(Tabella!$G$1,MATCH(H812,Tabella!$G:$G,0)-1,MATCH(I812,Tabella!$G$1:$FG$1,0)-1)=TRUE),0,OFFSET(Tabella!$G$1,MATCH(H812,Tabella!$G:$G,0)-1,MATCH(I812,Tabella!$G$1:$AB$1,0)-1)),4)</f>
        <v>0</v>
      </c>
      <c r="Q812" s="238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238">
        <f ca="1">ROUND(IF(ISERROR(OFFSET(Rame!$F$1,MATCH(H812,Rame!$F:$F,0)-1,MATCH(I812,Rame!$F$1:$FF$1,0)-1)=TRUE),0,OFFSET(Rame!$F$1,MATCH(H812,Rame!$F:$F,0)-1,MATCH(I812,Rame!$F$1:$FF$1,0)-1))*IF(E812="Rame",1,0),4)</f>
        <v>0</v>
      </c>
      <c r="S812" s="238">
        <f ca="1">ROUND(IF(ISERROR(OFFSET(Bronzo!$A$1,MATCH(H812,Bronzo!$A:$A,0)-1,MATCH(I812,Bronzo!$A$1:$AA$1,0)-1)=TRUE),0,OFFSET(Bronzo!$A$1,MATCH(H812,Bronzo!$A:$A,0)-1,MATCH(I812,Bronzo!$A$1:$AA$1,0)-1)),4)</f>
        <v>0</v>
      </c>
      <c r="T812" s="238">
        <f t="shared" ca="1" si="324"/>
        <v>0</v>
      </c>
      <c r="U812" s="237"/>
      <c r="V812" s="238">
        <v>0</v>
      </c>
      <c r="W812" s="239">
        <f t="shared" ca="1" si="325"/>
        <v>0</v>
      </c>
      <c r="X812" s="240">
        <f t="shared" si="323"/>
        <v>0</v>
      </c>
      <c r="Y812" s="236"/>
      <c r="Z812" s="236">
        <f t="shared" ca="1" si="326"/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233"/>
      <c r="G813" s="234"/>
      <c r="H813" s="235"/>
      <c r="I813" s="235"/>
      <c r="J813" s="236"/>
      <c r="K813" s="237">
        <f ca="1">ROUND(IF(ISERROR(OFFSET(Tabella!$A$1,MATCH(H813,Tabella!$A:$A,0)-1,MATCH(J813,Tabella!$A$1:$AC$1,0)-1)=TRUE),0,+OFFSET(Tabella!$A$1,MATCH(H813,Tabella!$A:$A,0)-1,MATCH(J813,Tabella!$A$1:$AC$1,0)-1)),4)</f>
        <v>0</v>
      </c>
      <c r="L813" s="238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238">
        <f ca="1">ROUND(IF(ISERROR(OFFSET(Rame!$A$1,MATCH(H813,Rame!$A:$A,0)-1,MATCH(J813,Rame!$A$1:$AA$1,0)-1)=TRUE),0,OFFSET(Rame!$A$1,MATCH(H813,Rame!$A:$A,0)-1,MATCH(J813,Rame!$A$1:$AA$1,0)-1))*IF(E813="Rame",1,0),4)</f>
        <v>0</v>
      </c>
      <c r="N813" s="238">
        <v>0</v>
      </c>
      <c r="O813" s="238">
        <f t="shared" ca="1" si="321"/>
        <v>0</v>
      </c>
      <c r="P813" s="238">
        <f ca="1">ROUND(+IF(ISERROR(OFFSET(Tabella!$G$1,MATCH(H813,Tabella!$G:$G,0)-1,MATCH(I813,Tabella!$G$1:$FG$1,0)-1)=TRUE),0,OFFSET(Tabella!$G$1,MATCH(H813,Tabella!$G:$G,0)-1,MATCH(I813,Tabella!$G$1:$AB$1,0)-1)),4)</f>
        <v>0</v>
      </c>
      <c r="Q813" s="238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238">
        <f ca="1">ROUND(IF(ISERROR(OFFSET(Rame!$F$1,MATCH(H813,Rame!$F:$F,0)-1,MATCH(I813,Rame!$F$1:$FF$1,0)-1)=TRUE),0,OFFSET(Rame!$F$1,MATCH(H813,Rame!$F:$F,0)-1,MATCH(I813,Rame!$F$1:$FF$1,0)-1))*IF(E813="Rame",1,0),4)</f>
        <v>0</v>
      </c>
      <c r="S813" s="238">
        <f ca="1">ROUND(IF(ISERROR(OFFSET(Bronzo!$A$1,MATCH(H813,Bronzo!$A:$A,0)-1,MATCH(I813,Bronzo!$A$1:$AA$1,0)-1)=TRUE),0,OFFSET(Bronzo!$A$1,MATCH(H813,Bronzo!$A:$A,0)-1,MATCH(I813,Bronzo!$A$1:$AA$1,0)-1)),4)</f>
        <v>0</v>
      </c>
      <c r="T813" s="238">
        <f t="shared" ca="1" si="324"/>
        <v>0</v>
      </c>
      <c r="U813" s="237"/>
      <c r="V813" s="238">
        <v>0</v>
      </c>
      <c r="W813" s="239">
        <f t="shared" ca="1" si="325"/>
        <v>0</v>
      </c>
      <c r="X813" s="240">
        <f t="shared" si="323"/>
        <v>0</v>
      </c>
      <c r="Y813" s="236"/>
      <c r="Z813" s="236">
        <f t="shared" ca="1" si="326"/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233"/>
      <c r="G814" s="234"/>
      <c r="H814" s="235"/>
      <c r="I814" s="235"/>
      <c r="J814" s="236"/>
      <c r="K814" s="237">
        <f ca="1">ROUND(IF(ISERROR(OFFSET(Tabella!$A$1,MATCH(H814,Tabella!$A:$A,0)-1,MATCH(J814,Tabella!$A$1:$AC$1,0)-1)=TRUE),0,+OFFSET(Tabella!$A$1,MATCH(H814,Tabella!$A:$A,0)-1,MATCH(J814,Tabella!$A$1:$AC$1,0)-1)),4)</f>
        <v>0</v>
      </c>
      <c r="L814" s="238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238">
        <f ca="1">ROUND(IF(ISERROR(OFFSET(Rame!$A$1,MATCH(H814,Rame!$A:$A,0)-1,MATCH(J814,Rame!$A$1:$AA$1,0)-1)=TRUE),0,OFFSET(Rame!$A$1,MATCH(H814,Rame!$A:$A,0)-1,MATCH(J814,Rame!$A$1:$AA$1,0)-1))*IF(E814="Rame",1,0),4)</f>
        <v>0</v>
      </c>
      <c r="N814" s="238">
        <v>0</v>
      </c>
      <c r="O814" s="238">
        <f t="shared" ca="1" si="321"/>
        <v>0</v>
      </c>
      <c r="P814" s="238">
        <f ca="1">ROUND(+IF(ISERROR(OFFSET(Tabella!$G$1,MATCH(H814,Tabella!$G:$G,0)-1,MATCH(I814,Tabella!$G$1:$FG$1,0)-1)=TRUE),0,OFFSET(Tabella!$G$1,MATCH(H814,Tabella!$G:$G,0)-1,MATCH(I814,Tabella!$G$1:$AB$1,0)-1)),4)</f>
        <v>0</v>
      </c>
      <c r="Q814" s="238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238">
        <f ca="1">ROUND(IF(ISERROR(OFFSET(Rame!$F$1,MATCH(H814,Rame!$F:$F,0)-1,MATCH(I814,Rame!$F$1:$FF$1,0)-1)=TRUE),0,OFFSET(Rame!$F$1,MATCH(H814,Rame!$F:$F,0)-1,MATCH(I814,Rame!$F$1:$FF$1,0)-1))*IF(E814="Rame",1,0),4)</f>
        <v>0</v>
      </c>
      <c r="S814" s="238">
        <f ca="1">ROUND(IF(ISERROR(OFFSET(Bronzo!$A$1,MATCH(H814,Bronzo!$A:$A,0)-1,MATCH(I814,Bronzo!$A$1:$AA$1,0)-1)=TRUE),0,OFFSET(Bronzo!$A$1,MATCH(H814,Bronzo!$A:$A,0)-1,MATCH(I814,Bronzo!$A$1:$AA$1,0)-1)),4)</f>
        <v>0</v>
      </c>
      <c r="T814" s="238">
        <f t="shared" ca="1" si="324"/>
        <v>0</v>
      </c>
      <c r="U814" s="237"/>
      <c r="V814" s="238">
        <v>0</v>
      </c>
      <c r="W814" s="239">
        <f t="shared" ca="1" si="325"/>
        <v>0</v>
      </c>
      <c r="X814" s="240">
        <f t="shared" si="323"/>
        <v>0</v>
      </c>
      <c r="Y814" s="236"/>
      <c r="Z814" s="236">
        <f t="shared" ca="1" si="326"/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233"/>
      <c r="G815" s="234"/>
      <c r="H815" s="235"/>
      <c r="I815" s="235"/>
      <c r="J815" s="236"/>
      <c r="K815" s="237">
        <f ca="1">ROUND(IF(ISERROR(OFFSET(Tabella!$A$1,MATCH(H815,Tabella!$A:$A,0)-1,MATCH(J815,Tabella!$A$1:$AC$1,0)-1)=TRUE),0,+OFFSET(Tabella!$A$1,MATCH(H815,Tabella!$A:$A,0)-1,MATCH(J815,Tabella!$A$1:$AC$1,0)-1)),4)</f>
        <v>0</v>
      </c>
      <c r="L815" s="238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238">
        <f ca="1">ROUND(IF(ISERROR(OFFSET(Rame!$A$1,MATCH(H815,Rame!$A:$A,0)-1,MATCH(J815,Rame!$A$1:$AA$1,0)-1)=TRUE),0,OFFSET(Rame!$A$1,MATCH(H815,Rame!$A:$A,0)-1,MATCH(J815,Rame!$A$1:$AA$1,0)-1))*IF(E815="Rame",1,0),4)</f>
        <v>0</v>
      </c>
      <c r="N815" s="238">
        <v>0</v>
      </c>
      <c r="O815" s="238">
        <f t="shared" ca="1" si="321"/>
        <v>0</v>
      </c>
      <c r="P815" s="238">
        <f ca="1">ROUND(+IF(ISERROR(OFFSET(Tabella!$G$1,MATCH(H815,Tabella!$G:$G,0)-1,MATCH(I815,Tabella!$G$1:$FG$1,0)-1)=TRUE),0,OFFSET(Tabella!$G$1,MATCH(H815,Tabella!$G:$G,0)-1,MATCH(I815,Tabella!$G$1:$AB$1,0)-1)),4)</f>
        <v>0</v>
      </c>
      <c r="Q815" s="238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238">
        <f ca="1">ROUND(IF(ISERROR(OFFSET(Rame!$F$1,MATCH(H815,Rame!$F:$F,0)-1,MATCH(I815,Rame!$F$1:$FF$1,0)-1)=TRUE),0,OFFSET(Rame!$F$1,MATCH(H815,Rame!$F:$F,0)-1,MATCH(I815,Rame!$F$1:$FF$1,0)-1))*IF(E815="Rame",1,0),4)</f>
        <v>0</v>
      </c>
      <c r="S815" s="238">
        <f ca="1">ROUND(IF(ISERROR(OFFSET(Bronzo!$A$1,MATCH(H815,Bronzo!$A:$A,0)-1,MATCH(I815,Bronzo!$A$1:$AA$1,0)-1)=TRUE),0,OFFSET(Bronzo!$A$1,MATCH(H815,Bronzo!$A:$A,0)-1,MATCH(I815,Bronzo!$A$1:$AA$1,0)-1)),4)</f>
        <v>0</v>
      </c>
      <c r="T815" s="238">
        <f t="shared" ca="1" si="324"/>
        <v>0</v>
      </c>
      <c r="U815" s="237"/>
      <c r="V815" s="238">
        <v>0</v>
      </c>
      <c r="W815" s="239">
        <f t="shared" ca="1" si="325"/>
        <v>0</v>
      </c>
      <c r="X815" s="240">
        <f t="shared" si="323"/>
        <v>0</v>
      </c>
      <c r="Y815" s="236"/>
      <c r="Z815" s="236">
        <f t="shared" ca="1" si="326"/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233"/>
      <c r="G816" s="234"/>
      <c r="H816" s="235"/>
      <c r="I816" s="235"/>
      <c r="J816" s="236"/>
      <c r="K816" s="237">
        <f ca="1">ROUND(IF(ISERROR(OFFSET(Tabella!$A$1,MATCH(H816,Tabella!$A:$A,0)-1,MATCH(J816,Tabella!$A$1:$AC$1,0)-1)=TRUE),0,+OFFSET(Tabella!$A$1,MATCH(H816,Tabella!$A:$A,0)-1,MATCH(J816,Tabella!$A$1:$AC$1,0)-1)),4)</f>
        <v>0</v>
      </c>
      <c r="L816" s="238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238">
        <f ca="1">ROUND(IF(ISERROR(OFFSET(Rame!$A$1,MATCH(H816,Rame!$A:$A,0)-1,MATCH(J816,Rame!$A$1:$AA$1,0)-1)=TRUE),0,OFFSET(Rame!$A$1,MATCH(H816,Rame!$A:$A,0)-1,MATCH(J816,Rame!$A$1:$AA$1,0)-1))*IF(E816="Rame",1,0),4)</f>
        <v>0</v>
      </c>
      <c r="N816" s="238">
        <v>0</v>
      </c>
      <c r="O816" s="238">
        <f t="shared" ca="1" si="321"/>
        <v>0</v>
      </c>
      <c r="P816" s="238">
        <f ca="1">ROUND(+IF(ISERROR(OFFSET(Tabella!$G$1,MATCH(H816,Tabella!$G:$G,0)-1,MATCH(I816,Tabella!$G$1:$FG$1,0)-1)=TRUE),0,OFFSET(Tabella!$G$1,MATCH(H816,Tabella!$G:$G,0)-1,MATCH(I816,Tabella!$G$1:$AB$1,0)-1)),4)</f>
        <v>0</v>
      </c>
      <c r="Q816" s="238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238">
        <f ca="1">ROUND(IF(ISERROR(OFFSET(Rame!$F$1,MATCH(H816,Rame!$F:$F,0)-1,MATCH(I816,Rame!$F$1:$FF$1,0)-1)=TRUE),0,OFFSET(Rame!$F$1,MATCH(H816,Rame!$F:$F,0)-1,MATCH(I816,Rame!$F$1:$FF$1,0)-1))*IF(E816="Rame",1,0),4)</f>
        <v>0</v>
      </c>
      <c r="S816" s="238">
        <f ca="1">ROUND(IF(ISERROR(OFFSET(Bronzo!$A$1,MATCH(H816,Bronzo!$A:$A,0)-1,MATCH(I816,Bronzo!$A$1:$AA$1,0)-1)=TRUE),0,OFFSET(Bronzo!$A$1,MATCH(H816,Bronzo!$A:$A,0)-1,MATCH(I816,Bronzo!$A$1:$AA$1,0)-1)),4)</f>
        <v>0</v>
      </c>
      <c r="T816" s="238">
        <f t="shared" ca="1" si="324"/>
        <v>0</v>
      </c>
      <c r="U816" s="237"/>
      <c r="V816" s="238">
        <v>0</v>
      </c>
      <c r="W816" s="239">
        <f t="shared" ca="1" si="325"/>
        <v>0</v>
      </c>
      <c r="X816" s="240">
        <f t="shared" si="323"/>
        <v>0</v>
      </c>
      <c r="Y816" s="236"/>
      <c r="Z816" s="236">
        <f t="shared" ca="1" si="326"/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233"/>
      <c r="G817" s="234"/>
      <c r="H817" s="235"/>
      <c r="I817" s="235"/>
      <c r="J817" s="236"/>
      <c r="K817" s="237">
        <f ca="1">ROUND(IF(ISERROR(OFFSET(Tabella!$A$1,MATCH(H817,Tabella!$A:$A,0)-1,MATCH(J817,Tabella!$A$1:$AC$1,0)-1)=TRUE),0,+OFFSET(Tabella!$A$1,MATCH(H817,Tabella!$A:$A,0)-1,MATCH(J817,Tabella!$A$1:$AC$1,0)-1)),4)</f>
        <v>0</v>
      </c>
      <c r="L817" s="238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238">
        <f ca="1">ROUND(IF(ISERROR(OFFSET(Rame!$A$1,MATCH(H817,Rame!$A:$A,0)-1,MATCH(J817,Rame!$A$1:$AA$1,0)-1)=TRUE),0,OFFSET(Rame!$A$1,MATCH(H817,Rame!$A:$A,0)-1,MATCH(J817,Rame!$A$1:$AA$1,0)-1))*IF(E817="Rame",1,0),4)</f>
        <v>0</v>
      </c>
      <c r="N817" s="238">
        <v>0</v>
      </c>
      <c r="O817" s="238">
        <f t="shared" ca="1" si="321"/>
        <v>0</v>
      </c>
      <c r="P817" s="238">
        <f ca="1">ROUND(+IF(ISERROR(OFFSET(Tabella!$G$1,MATCH(H817,Tabella!$G:$G,0)-1,MATCH(I817,Tabella!$G$1:$FG$1,0)-1)=TRUE),0,OFFSET(Tabella!$G$1,MATCH(H817,Tabella!$G:$G,0)-1,MATCH(I817,Tabella!$G$1:$AB$1,0)-1)),4)</f>
        <v>0</v>
      </c>
      <c r="Q817" s="238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238">
        <f ca="1">ROUND(IF(ISERROR(OFFSET(Rame!$F$1,MATCH(H817,Rame!$F:$F,0)-1,MATCH(I817,Rame!$F$1:$FF$1,0)-1)=TRUE),0,OFFSET(Rame!$F$1,MATCH(H817,Rame!$F:$F,0)-1,MATCH(I817,Rame!$F$1:$FF$1,0)-1))*IF(E817="Rame",1,0),4)</f>
        <v>0</v>
      </c>
      <c r="S817" s="238">
        <f ca="1">ROUND(IF(ISERROR(OFFSET(Bronzo!$A$1,MATCH(H817,Bronzo!$A:$A,0)-1,MATCH(I817,Bronzo!$A$1:$AA$1,0)-1)=TRUE),0,OFFSET(Bronzo!$A$1,MATCH(H817,Bronzo!$A:$A,0)-1,MATCH(I817,Bronzo!$A$1:$AA$1,0)-1)),4)</f>
        <v>0</v>
      </c>
      <c r="T817" s="238">
        <f t="shared" ca="1" si="324"/>
        <v>0</v>
      </c>
      <c r="U817" s="237"/>
      <c r="V817" s="238">
        <v>0</v>
      </c>
      <c r="W817" s="239">
        <f t="shared" ca="1" si="325"/>
        <v>0</v>
      </c>
      <c r="X817" s="240">
        <f t="shared" si="323"/>
        <v>0</v>
      </c>
      <c r="Y817" s="236"/>
      <c r="Z817" s="236">
        <f t="shared" ca="1" si="326"/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233"/>
      <c r="G818" s="234"/>
      <c r="H818" s="235"/>
      <c r="I818" s="235"/>
      <c r="J818" s="236"/>
      <c r="K818" s="237">
        <f ca="1">ROUND(IF(ISERROR(OFFSET(Tabella!$A$1,MATCH(H818,Tabella!$A:$A,0)-1,MATCH(J818,Tabella!$A$1:$AC$1,0)-1)=TRUE),0,+OFFSET(Tabella!$A$1,MATCH(H818,Tabella!$A:$A,0)-1,MATCH(J818,Tabella!$A$1:$AC$1,0)-1)),4)</f>
        <v>0</v>
      </c>
      <c r="L818" s="238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238">
        <f ca="1">ROUND(IF(ISERROR(OFFSET(Rame!$A$1,MATCH(H818,Rame!$A:$A,0)-1,MATCH(J818,Rame!$A$1:$AA$1,0)-1)=TRUE),0,OFFSET(Rame!$A$1,MATCH(H818,Rame!$A:$A,0)-1,MATCH(J818,Rame!$A$1:$AA$1,0)-1))*IF(E818="Rame",1,0),4)</f>
        <v>0</v>
      </c>
      <c r="N818" s="238">
        <v>0</v>
      </c>
      <c r="O818" s="238">
        <f t="shared" ca="1" si="321"/>
        <v>0</v>
      </c>
      <c r="P818" s="238">
        <f ca="1">ROUND(+IF(ISERROR(OFFSET(Tabella!$G$1,MATCH(H818,Tabella!$G:$G,0)-1,MATCH(I818,Tabella!$G$1:$FG$1,0)-1)=TRUE),0,OFFSET(Tabella!$G$1,MATCH(H818,Tabella!$G:$G,0)-1,MATCH(I818,Tabella!$G$1:$AB$1,0)-1)),4)</f>
        <v>0</v>
      </c>
      <c r="Q818" s="238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238">
        <f ca="1">ROUND(IF(ISERROR(OFFSET(Rame!$F$1,MATCH(H818,Rame!$F:$F,0)-1,MATCH(I818,Rame!$F$1:$FF$1,0)-1)=TRUE),0,OFFSET(Rame!$F$1,MATCH(H818,Rame!$F:$F,0)-1,MATCH(I818,Rame!$F$1:$FF$1,0)-1))*IF(E818="Rame",1,0),4)</f>
        <v>0</v>
      </c>
      <c r="S818" s="238">
        <f ca="1">ROUND(IF(ISERROR(OFFSET(Bronzo!$A$1,MATCH(H818,Bronzo!$A:$A,0)-1,MATCH(I818,Bronzo!$A$1:$AA$1,0)-1)=TRUE),0,OFFSET(Bronzo!$A$1,MATCH(H818,Bronzo!$A:$A,0)-1,MATCH(I818,Bronzo!$A$1:$AA$1,0)-1)),4)</f>
        <v>0</v>
      </c>
      <c r="T818" s="238">
        <f t="shared" ca="1" si="324"/>
        <v>0</v>
      </c>
      <c r="U818" s="237"/>
      <c r="V818" s="238">
        <v>0</v>
      </c>
      <c r="W818" s="239">
        <f t="shared" ca="1" si="325"/>
        <v>0</v>
      </c>
      <c r="X818" s="240">
        <f t="shared" si="323"/>
        <v>0</v>
      </c>
      <c r="Y818" s="236"/>
      <c r="Z818" s="236">
        <f t="shared" ca="1" si="326"/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233"/>
      <c r="G819" s="234"/>
      <c r="H819" s="235"/>
      <c r="I819" s="235"/>
      <c r="J819" s="236"/>
      <c r="K819" s="237">
        <f ca="1">ROUND(IF(ISERROR(OFFSET(Tabella!$A$1,MATCH(H819,Tabella!$A:$A,0)-1,MATCH(J819,Tabella!$A$1:$AC$1,0)-1)=TRUE),0,+OFFSET(Tabella!$A$1,MATCH(H819,Tabella!$A:$A,0)-1,MATCH(J819,Tabella!$A$1:$AC$1,0)-1)),4)</f>
        <v>0</v>
      </c>
      <c r="L819" s="238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238">
        <f ca="1">ROUND(IF(ISERROR(OFFSET(Rame!$A$1,MATCH(H819,Rame!$A:$A,0)-1,MATCH(J819,Rame!$A$1:$AA$1,0)-1)=TRUE),0,OFFSET(Rame!$A$1,MATCH(H819,Rame!$A:$A,0)-1,MATCH(J819,Rame!$A$1:$AA$1,0)-1))*IF(E819="Rame",1,0),4)</f>
        <v>0</v>
      </c>
      <c r="N819" s="238">
        <v>0</v>
      </c>
      <c r="O819" s="238">
        <f t="shared" ref="O819:O882" ca="1" si="327">ROUND(SUM(K819:N819),4)</f>
        <v>0</v>
      </c>
      <c r="P819" s="238">
        <f ca="1">ROUND(+IF(ISERROR(OFFSET(Tabella!$G$1,MATCH(H819,Tabella!$G:$G,0)-1,MATCH(I819,Tabella!$G$1:$FG$1,0)-1)=TRUE),0,OFFSET(Tabella!$G$1,MATCH(H819,Tabella!$G:$G,0)-1,MATCH(I819,Tabella!$G$1:$AB$1,0)-1)),4)</f>
        <v>0</v>
      </c>
      <c r="Q819" s="238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238">
        <f ca="1">ROUND(IF(ISERROR(OFFSET(Rame!$F$1,MATCH(H819,Rame!$F:$F,0)-1,MATCH(I819,Rame!$F$1:$FF$1,0)-1)=TRUE),0,OFFSET(Rame!$F$1,MATCH(H819,Rame!$F:$F,0)-1,MATCH(I819,Rame!$F$1:$FF$1,0)-1))*IF(E819="Rame",1,0),4)</f>
        <v>0</v>
      </c>
      <c r="S819" s="238">
        <f ca="1">ROUND(IF(ISERROR(OFFSET(Bronzo!$A$1,MATCH(H819,Bronzo!$A:$A,0)-1,MATCH(I819,Bronzo!$A$1:$AA$1,0)-1)=TRUE),0,OFFSET(Bronzo!$A$1,MATCH(H819,Bronzo!$A:$A,0)-1,MATCH(I819,Bronzo!$A$1:$AA$1,0)-1)),4)</f>
        <v>0</v>
      </c>
      <c r="T819" s="238">
        <f t="shared" ca="1" si="324"/>
        <v>0</v>
      </c>
      <c r="U819" s="237"/>
      <c r="V819" s="238">
        <v>0</v>
      </c>
      <c r="W819" s="239">
        <f t="shared" ca="1" si="325"/>
        <v>0</v>
      </c>
      <c r="X819" s="240">
        <f t="shared" si="323"/>
        <v>0</v>
      </c>
      <c r="Y819" s="236"/>
      <c r="Z819" s="236">
        <f t="shared" ca="1" si="326"/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233"/>
      <c r="G820" s="234"/>
      <c r="H820" s="235"/>
      <c r="I820" s="235"/>
      <c r="J820" s="236"/>
      <c r="K820" s="237">
        <f ca="1">ROUND(IF(ISERROR(OFFSET(Tabella!$A$1,MATCH(H820,Tabella!$A:$A,0)-1,MATCH(J820,Tabella!$A$1:$AC$1,0)-1)=TRUE),0,+OFFSET(Tabella!$A$1,MATCH(H820,Tabella!$A:$A,0)-1,MATCH(J820,Tabella!$A$1:$AC$1,0)-1)),4)</f>
        <v>0</v>
      </c>
      <c r="L820" s="238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238">
        <f ca="1">ROUND(IF(ISERROR(OFFSET(Rame!$A$1,MATCH(H820,Rame!$A:$A,0)-1,MATCH(J820,Rame!$A$1:$AA$1,0)-1)=TRUE),0,OFFSET(Rame!$A$1,MATCH(H820,Rame!$A:$A,0)-1,MATCH(J820,Rame!$A$1:$AA$1,0)-1))*IF(E820="Rame",1,0),4)</f>
        <v>0</v>
      </c>
      <c r="N820" s="238">
        <v>0</v>
      </c>
      <c r="O820" s="238">
        <f t="shared" ca="1" si="327"/>
        <v>0</v>
      </c>
      <c r="P820" s="238">
        <f ca="1">ROUND(+IF(ISERROR(OFFSET(Tabella!$G$1,MATCH(H820,Tabella!$G:$G,0)-1,MATCH(I820,Tabella!$G$1:$FG$1,0)-1)=TRUE),0,OFFSET(Tabella!$G$1,MATCH(H820,Tabella!$G:$G,0)-1,MATCH(I820,Tabella!$G$1:$AB$1,0)-1)),4)</f>
        <v>0</v>
      </c>
      <c r="Q820" s="238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238">
        <f ca="1">ROUND(IF(ISERROR(OFFSET(Rame!$F$1,MATCH(H820,Rame!$F:$F,0)-1,MATCH(I820,Rame!$F$1:$FF$1,0)-1)=TRUE),0,OFFSET(Rame!$F$1,MATCH(H820,Rame!$F:$F,0)-1,MATCH(I820,Rame!$F$1:$FF$1,0)-1))*IF(E820="Rame",1,0),4)</f>
        <v>0</v>
      </c>
      <c r="S820" s="238">
        <f ca="1">ROUND(IF(ISERROR(OFFSET(Bronzo!$A$1,MATCH(H820,Bronzo!$A:$A,0)-1,MATCH(I820,Bronzo!$A$1:$AA$1,0)-1)=TRUE),0,OFFSET(Bronzo!$A$1,MATCH(H820,Bronzo!$A:$A,0)-1,MATCH(I820,Bronzo!$A$1:$AA$1,0)-1)),4)</f>
        <v>0</v>
      </c>
      <c r="T820" s="238">
        <f t="shared" ca="1" si="324"/>
        <v>0</v>
      </c>
      <c r="U820" s="237"/>
      <c r="V820" s="238">
        <v>0</v>
      </c>
      <c r="W820" s="239">
        <f t="shared" ca="1" si="325"/>
        <v>0</v>
      </c>
      <c r="X820" s="240">
        <f t="shared" si="323"/>
        <v>0</v>
      </c>
      <c r="Y820" s="236"/>
      <c r="Z820" s="236">
        <f t="shared" ca="1" si="326"/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233"/>
      <c r="G821" s="234"/>
      <c r="H821" s="235"/>
      <c r="I821" s="235"/>
      <c r="J821" s="236"/>
      <c r="K821" s="237">
        <f ca="1">ROUND(IF(ISERROR(OFFSET(Tabella!$A$1,MATCH(H821,Tabella!$A:$A,0)-1,MATCH(J821,Tabella!$A$1:$AC$1,0)-1)=TRUE),0,+OFFSET(Tabella!$A$1,MATCH(H821,Tabella!$A:$A,0)-1,MATCH(J821,Tabella!$A$1:$AC$1,0)-1)),4)</f>
        <v>0</v>
      </c>
      <c r="L821" s="238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238">
        <f ca="1">ROUND(IF(ISERROR(OFFSET(Rame!$A$1,MATCH(H821,Rame!$A:$A,0)-1,MATCH(J821,Rame!$A$1:$AA$1,0)-1)=TRUE),0,OFFSET(Rame!$A$1,MATCH(H821,Rame!$A:$A,0)-1,MATCH(J821,Rame!$A$1:$AA$1,0)-1))*IF(E821="Rame",1,0),4)</f>
        <v>0</v>
      </c>
      <c r="N821" s="238">
        <v>0</v>
      </c>
      <c r="O821" s="238">
        <f t="shared" ca="1" si="327"/>
        <v>0</v>
      </c>
      <c r="P821" s="238">
        <f ca="1">ROUND(+IF(ISERROR(OFFSET(Tabella!$G$1,MATCH(H821,Tabella!$G:$G,0)-1,MATCH(I821,Tabella!$G$1:$FG$1,0)-1)=TRUE),0,OFFSET(Tabella!$G$1,MATCH(H821,Tabella!$G:$G,0)-1,MATCH(I821,Tabella!$G$1:$AB$1,0)-1)),4)</f>
        <v>0</v>
      </c>
      <c r="Q821" s="238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238">
        <f ca="1">ROUND(IF(ISERROR(OFFSET(Rame!$F$1,MATCH(H821,Rame!$F:$F,0)-1,MATCH(I821,Rame!$F$1:$FF$1,0)-1)=TRUE),0,OFFSET(Rame!$F$1,MATCH(H821,Rame!$F:$F,0)-1,MATCH(I821,Rame!$F$1:$FF$1,0)-1))*IF(E821="Rame",1,0),4)</f>
        <v>0</v>
      </c>
      <c r="S821" s="238">
        <f ca="1">ROUND(IF(ISERROR(OFFSET(Bronzo!$A$1,MATCH(H821,Bronzo!$A:$A,0)-1,MATCH(I821,Bronzo!$A$1:$AA$1,0)-1)=TRUE),0,OFFSET(Bronzo!$A$1,MATCH(H821,Bronzo!$A:$A,0)-1,MATCH(I821,Bronzo!$A$1:$AA$1,0)-1)),4)</f>
        <v>0</v>
      </c>
      <c r="T821" s="238">
        <f t="shared" ca="1" si="324"/>
        <v>0</v>
      </c>
      <c r="U821" s="237"/>
      <c r="V821" s="238">
        <v>0</v>
      </c>
      <c r="W821" s="239">
        <f t="shared" ca="1" si="325"/>
        <v>0</v>
      </c>
      <c r="X821" s="240">
        <f t="shared" si="323"/>
        <v>0</v>
      </c>
      <c r="Y821" s="236"/>
      <c r="Z821" s="236">
        <f t="shared" ca="1" si="326"/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233"/>
      <c r="G822" s="234"/>
      <c r="H822" s="235"/>
      <c r="I822" s="235"/>
      <c r="J822" s="236"/>
      <c r="K822" s="237">
        <f ca="1">ROUND(IF(ISERROR(OFFSET(Tabella!$A$1,MATCH(H822,Tabella!$A:$A,0)-1,MATCH(J822,Tabella!$A$1:$AC$1,0)-1)=TRUE),0,+OFFSET(Tabella!$A$1,MATCH(H822,Tabella!$A:$A,0)-1,MATCH(J822,Tabella!$A$1:$AC$1,0)-1)),4)</f>
        <v>0</v>
      </c>
      <c r="L822" s="238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238">
        <f ca="1">ROUND(IF(ISERROR(OFFSET(Rame!$A$1,MATCH(H822,Rame!$A:$A,0)-1,MATCH(J822,Rame!$A$1:$AA$1,0)-1)=TRUE),0,OFFSET(Rame!$A$1,MATCH(H822,Rame!$A:$A,0)-1,MATCH(J822,Rame!$A$1:$AA$1,0)-1))*IF(E822="Rame",1,0),4)</f>
        <v>0</v>
      </c>
      <c r="N822" s="238">
        <v>0</v>
      </c>
      <c r="O822" s="238">
        <f t="shared" ca="1" si="327"/>
        <v>0</v>
      </c>
      <c r="P822" s="238">
        <f ca="1">ROUND(+IF(ISERROR(OFFSET(Tabella!$G$1,MATCH(H822,Tabella!$G:$G,0)-1,MATCH(I822,Tabella!$G$1:$FG$1,0)-1)=TRUE),0,OFFSET(Tabella!$G$1,MATCH(H822,Tabella!$G:$G,0)-1,MATCH(I822,Tabella!$G$1:$AB$1,0)-1)),4)</f>
        <v>0</v>
      </c>
      <c r="Q822" s="238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238">
        <f ca="1">ROUND(IF(ISERROR(OFFSET(Rame!$F$1,MATCH(H822,Rame!$F:$F,0)-1,MATCH(I822,Rame!$F$1:$FF$1,0)-1)=TRUE),0,OFFSET(Rame!$F$1,MATCH(H822,Rame!$F:$F,0)-1,MATCH(I822,Rame!$F$1:$FF$1,0)-1))*IF(E822="Rame",1,0),4)</f>
        <v>0</v>
      </c>
      <c r="S822" s="238">
        <f ca="1">ROUND(IF(ISERROR(OFFSET(Bronzo!$A$1,MATCH(H822,Bronzo!$A:$A,0)-1,MATCH(I822,Bronzo!$A$1:$AA$1,0)-1)=TRUE),0,OFFSET(Bronzo!$A$1,MATCH(H822,Bronzo!$A:$A,0)-1,MATCH(I822,Bronzo!$A$1:$AA$1,0)-1)),4)</f>
        <v>0</v>
      </c>
      <c r="T822" s="238">
        <f t="shared" ca="1" si="324"/>
        <v>0</v>
      </c>
      <c r="U822" s="237"/>
      <c r="V822" s="238">
        <v>0</v>
      </c>
      <c r="W822" s="239">
        <f t="shared" ca="1" si="325"/>
        <v>0</v>
      </c>
      <c r="X822" s="240">
        <f t="shared" si="323"/>
        <v>0</v>
      </c>
      <c r="Y822" s="236"/>
      <c r="Z822" s="236">
        <f t="shared" ca="1" si="326"/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233"/>
      <c r="G823" s="234"/>
      <c r="H823" s="235"/>
      <c r="I823" s="235"/>
      <c r="J823" s="236"/>
      <c r="K823" s="237">
        <f ca="1">ROUND(IF(ISERROR(OFFSET(Tabella!$A$1,MATCH(H823,Tabella!$A:$A,0)-1,MATCH(J823,Tabella!$A$1:$AC$1,0)-1)=TRUE),0,+OFFSET(Tabella!$A$1,MATCH(H823,Tabella!$A:$A,0)-1,MATCH(J823,Tabella!$A$1:$AC$1,0)-1)),4)</f>
        <v>0</v>
      </c>
      <c r="L823" s="238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238">
        <f ca="1">ROUND(IF(ISERROR(OFFSET(Rame!$A$1,MATCH(H823,Rame!$A:$A,0)-1,MATCH(J823,Rame!$A$1:$AA$1,0)-1)=TRUE),0,OFFSET(Rame!$A$1,MATCH(H823,Rame!$A:$A,0)-1,MATCH(J823,Rame!$A$1:$AA$1,0)-1))*IF(E823="Rame",1,0),4)</f>
        <v>0</v>
      </c>
      <c r="N823" s="238">
        <v>0</v>
      </c>
      <c r="O823" s="238">
        <f t="shared" ca="1" si="327"/>
        <v>0</v>
      </c>
      <c r="P823" s="238">
        <f ca="1">ROUND(+IF(ISERROR(OFFSET(Tabella!$G$1,MATCH(H823,Tabella!$G:$G,0)-1,MATCH(I823,Tabella!$G$1:$FG$1,0)-1)=TRUE),0,OFFSET(Tabella!$G$1,MATCH(H823,Tabella!$G:$G,0)-1,MATCH(I823,Tabella!$G$1:$AB$1,0)-1)),4)</f>
        <v>0</v>
      </c>
      <c r="Q823" s="238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238">
        <f ca="1">ROUND(IF(ISERROR(OFFSET(Rame!$F$1,MATCH(H823,Rame!$F:$F,0)-1,MATCH(I823,Rame!$F$1:$FF$1,0)-1)=TRUE),0,OFFSET(Rame!$F$1,MATCH(H823,Rame!$F:$F,0)-1,MATCH(I823,Rame!$F$1:$FF$1,0)-1))*IF(E823="Rame",1,0),4)</f>
        <v>0</v>
      </c>
      <c r="S823" s="238">
        <f ca="1">ROUND(IF(ISERROR(OFFSET(Bronzo!$A$1,MATCH(H823,Bronzo!$A:$A,0)-1,MATCH(I823,Bronzo!$A$1:$AA$1,0)-1)=TRUE),0,OFFSET(Bronzo!$A$1,MATCH(H823,Bronzo!$A:$A,0)-1,MATCH(I823,Bronzo!$A$1:$AA$1,0)-1)),4)</f>
        <v>0</v>
      </c>
      <c r="T823" s="238">
        <f t="shared" ca="1" si="324"/>
        <v>0</v>
      </c>
      <c r="U823" s="237"/>
      <c r="V823" s="238">
        <v>0</v>
      </c>
      <c r="W823" s="239">
        <f t="shared" ca="1" si="325"/>
        <v>0</v>
      </c>
      <c r="X823" s="240">
        <f t="shared" si="323"/>
        <v>0</v>
      </c>
      <c r="Y823" s="236"/>
      <c r="Z823" s="236">
        <f t="shared" ca="1" si="326"/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233"/>
      <c r="G824" s="234"/>
      <c r="H824" s="235"/>
      <c r="I824" s="235"/>
      <c r="J824" s="236"/>
      <c r="K824" s="237">
        <f ca="1">ROUND(IF(ISERROR(OFFSET(Tabella!$A$1,MATCH(H824,Tabella!$A:$A,0)-1,MATCH(J824,Tabella!$A$1:$AC$1,0)-1)=TRUE),0,+OFFSET(Tabella!$A$1,MATCH(H824,Tabella!$A:$A,0)-1,MATCH(J824,Tabella!$A$1:$AC$1,0)-1)),4)</f>
        <v>0</v>
      </c>
      <c r="L824" s="238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238">
        <f ca="1">ROUND(IF(ISERROR(OFFSET(Rame!$A$1,MATCH(H824,Rame!$A:$A,0)-1,MATCH(J824,Rame!$A$1:$AA$1,0)-1)=TRUE),0,OFFSET(Rame!$A$1,MATCH(H824,Rame!$A:$A,0)-1,MATCH(J824,Rame!$A$1:$AA$1,0)-1))*IF(E824="Rame",1,0),4)</f>
        <v>0</v>
      </c>
      <c r="N824" s="238">
        <v>0</v>
      </c>
      <c r="O824" s="238">
        <f t="shared" ca="1" si="327"/>
        <v>0</v>
      </c>
      <c r="P824" s="238">
        <f ca="1">ROUND(+IF(ISERROR(OFFSET(Tabella!$G$1,MATCH(H824,Tabella!$G:$G,0)-1,MATCH(I824,Tabella!$G$1:$FG$1,0)-1)=TRUE),0,OFFSET(Tabella!$G$1,MATCH(H824,Tabella!$G:$G,0)-1,MATCH(I824,Tabella!$G$1:$AB$1,0)-1)),4)</f>
        <v>0</v>
      </c>
      <c r="Q824" s="238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238">
        <f ca="1">ROUND(IF(ISERROR(OFFSET(Rame!$F$1,MATCH(H824,Rame!$F:$F,0)-1,MATCH(I824,Rame!$F$1:$FF$1,0)-1)=TRUE),0,OFFSET(Rame!$F$1,MATCH(H824,Rame!$F:$F,0)-1,MATCH(I824,Rame!$F$1:$FF$1,0)-1))*IF(E824="Rame",1,0),4)</f>
        <v>0</v>
      </c>
      <c r="S824" s="238">
        <f ca="1">ROUND(IF(ISERROR(OFFSET(Bronzo!$A$1,MATCH(H824,Bronzo!$A:$A,0)-1,MATCH(I824,Bronzo!$A$1:$AA$1,0)-1)=TRUE),0,OFFSET(Bronzo!$A$1,MATCH(H824,Bronzo!$A:$A,0)-1,MATCH(I824,Bronzo!$A$1:$AA$1,0)-1)),4)</f>
        <v>0</v>
      </c>
      <c r="T824" s="238">
        <f t="shared" ca="1" si="324"/>
        <v>0</v>
      </c>
      <c r="U824" s="237"/>
      <c r="V824" s="238">
        <v>0</v>
      </c>
      <c r="W824" s="239">
        <f t="shared" ca="1" si="325"/>
        <v>0</v>
      </c>
      <c r="X824" s="240">
        <f t="shared" si="323"/>
        <v>0</v>
      </c>
      <c r="Y824" s="236"/>
      <c r="Z824" s="236">
        <f t="shared" ca="1" si="326"/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233"/>
      <c r="G825" s="234"/>
      <c r="H825" s="235"/>
      <c r="I825" s="235"/>
      <c r="J825" s="236"/>
      <c r="K825" s="237">
        <f ca="1">ROUND(IF(ISERROR(OFFSET(Tabella!$A$1,MATCH(H825,Tabella!$A:$A,0)-1,MATCH(J825,Tabella!$A$1:$AC$1,0)-1)=TRUE),0,+OFFSET(Tabella!$A$1,MATCH(H825,Tabella!$A:$A,0)-1,MATCH(J825,Tabella!$A$1:$AC$1,0)-1)),4)</f>
        <v>0</v>
      </c>
      <c r="L825" s="238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238">
        <f ca="1">ROUND(IF(ISERROR(OFFSET(Rame!$A$1,MATCH(H825,Rame!$A:$A,0)-1,MATCH(J825,Rame!$A$1:$AA$1,0)-1)=TRUE),0,OFFSET(Rame!$A$1,MATCH(H825,Rame!$A:$A,0)-1,MATCH(J825,Rame!$A$1:$AA$1,0)-1))*IF(E825="Rame",1,0),4)</f>
        <v>0</v>
      </c>
      <c r="N825" s="238">
        <v>0</v>
      </c>
      <c r="O825" s="238">
        <f t="shared" ca="1" si="327"/>
        <v>0</v>
      </c>
      <c r="P825" s="238">
        <f ca="1">ROUND(+IF(ISERROR(OFFSET(Tabella!$G$1,MATCH(H825,Tabella!$G:$G,0)-1,MATCH(I825,Tabella!$G$1:$FG$1,0)-1)=TRUE),0,OFFSET(Tabella!$G$1,MATCH(H825,Tabella!$G:$G,0)-1,MATCH(I825,Tabella!$G$1:$AB$1,0)-1)),4)</f>
        <v>0</v>
      </c>
      <c r="Q825" s="238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238">
        <f ca="1">ROUND(IF(ISERROR(OFFSET(Rame!$F$1,MATCH(H825,Rame!$F:$F,0)-1,MATCH(I825,Rame!$F$1:$FF$1,0)-1)=TRUE),0,OFFSET(Rame!$F$1,MATCH(H825,Rame!$F:$F,0)-1,MATCH(I825,Rame!$F$1:$FF$1,0)-1))*IF(E825="Rame",1,0),4)</f>
        <v>0</v>
      </c>
      <c r="S825" s="238">
        <f ca="1">ROUND(IF(ISERROR(OFFSET(Bronzo!$A$1,MATCH(H825,Bronzo!$A:$A,0)-1,MATCH(I825,Bronzo!$A$1:$AA$1,0)-1)=TRUE),0,OFFSET(Bronzo!$A$1,MATCH(H825,Bronzo!$A:$A,0)-1,MATCH(I825,Bronzo!$A$1:$AA$1,0)-1)),4)</f>
        <v>0</v>
      </c>
      <c r="T825" s="238">
        <f t="shared" ca="1" si="324"/>
        <v>0</v>
      </c>
      <c r="U825" s="237"/>
      <c r="V825" s="238">
        <v>0</v>
      </c>
      <c r="W825" s="239">
        <f t="shared" ca="1" si="325"/>
        <v>0</v>
      </c>
      <c r="X825" s="240">
        <f t="shared" si="323"/>
        <v>0</v>
      </c>
      <c r="Y825" s="236"/>
      <c r="Z825" s="236">
        <f t="shared" ca="1" si="326"/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233"/>
      <c r="G826" s="234"/>
      <c r="H826" s="235"/>
      <c r="I826" s="235"/>
      <c r="J826" s="236"/>
      <c r="K826" s="237">
        <f ca="1">ROUND(IF(ISERROR(OFFSET(Tabella!$A$1,MATCH(H826,Tabella!$A:$A,0)-1,MATCH(J826,Tabella!$A$1:$AC$1,0)-1)=TRUE),0,+OFFSET(Tabella!$A$1,MATCH(H826,Tabella!$A:$A,0)-1,MATCH(J826,Tabella!$A$1:$AC$1,0)-1)),4)</f>
        <v>0</v>
      </c>
      <c r="L826" s="238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238">
        <f ca="1">ROUND(IF(ISERROR(OFFSET(Rame!$A$1,MATCH(H826,Rame!$A:$A,0)-1,MATCH(J826,Rame!$A$1:$AA$1,0)-1)=TRUE),0,OFFSET(Rame!$A$1,MATCH(H826,Rame!$A:$A,0)-1,MATCH(J826,Rame!$A$1:$AA$1,0)-1))*IF(E826="Rame",1,0),4)</f>
        <v>0</v>
      </c>
      <c r="N826" s="238">
        <v>0</v>
      </c>
      <c r="O826" s="238">
        <f t="shared" ca="1" si="327"/>
        <v>0</v>
      </c>
      <c r="P826" s="238">
        <f ca="1">ROUND(+IF(ISERROR(OFFSET(Tabella!$G$1,MATCH(H826,Tabella!$G:$G,0)-1,MATCH(I826,Tabella!$G$1:$FG$1,0)-1)=TRUE),0,OFFSET(Tabella!$G$1,MATCH(H826,Tabella!$G:$G,0)-1,MATCH(I826,Tabella!$G$1:$AB$1,0)-1)),4)</f>
        <v>0</v>
      </c>
      <c r="Q826" s="238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238">
        <f ca="1">ROUND(IF(ISERROR(OFFSET(Rame!$F$1,MATCH(H826,Rame!$F:$F,0)-1,MATCH(I826,Rame!$F$1:$FF$1,0)-1)=TRUE),0,OFFSET(Rame!$F$1,MATCH(H826,Rame!$F:$F,0)-1,MATCH(I826,Rame!$F$1:$FF$1,0)-1))*IF(E826="Rame",1,0),4)</f>
        <v>0</v>
      </c>
      <c r="S826" s="238">
        <f ca="1">ROUND(IF(ISERROR(OFFSET(Bronzo!$A$1,MATCH(H826,Bronzo!$A:$A,0)-1,MATCH(I826,Bronzo!$A$1:$AA$1,0)-1)=TRUE),0,OFFSET(Bronzo!$A$1,MATCH(H826,Bronzo!$A:$A,0)-1,MATCH(I826,Bronzo!$A$1:$AA$1,0)-1)),4)</f>
        <v>0</v>
      </c>
      <c r="T826" s="238">
        <f t="shared" ca="1" si="324"/>
        <v>0</v>
      </c>
      <c r="U826" s="237"/>
      <c r="V826" s="238">
        <v>0</v>
      </c>
      <c r="W826" s="239">
        <f t="shared" ca="1" si="325"/>
        <v>0</v>
      </c>
      <c r="X826" s="240">
        <f t="shared" si="323"/>
        <v>0</v>
      </c>
      <c r="Y826" s="236"/>
      <c r="Z826" s="236">
        <f t="shared" ca="1" si="326"/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233"/>
      <c r="G827" s="234"/>
      <c r="H827" s="235"/>
      <c r="I827" s="235"/>
      <c r="J827" s="236"/>
      <c r="K827" s="237">
        <f ca="1">ROUND(IF(ISERROR(OFFSET(Tabella!$A$1,MATCH(H827,Tabella!$A:$A,0)-1,MATCH(J827,Tabella!$A$1:$AC$1,0)-1)=TRUE),0,+OFFSET(Tabella!$A$1,MATCH(H827,Tabella!$A:$A,0)-1,MATCH(J827,Tabella!$A$1:$AC$1,0)-1)),4)</f>
        <v>0</v>
      </c>
      <c r="L827" s="238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238">
        <f ca="1">ROUND(IF(ISERROR(OFFSET(Rame!$A$1,MATCH(H827,Rame!$A:$A,0)-1,MATCH(J827,Rame!$A$1:$AA$1,0)-1)=TRUE),0,OFFSET(Rame!$A$1,MATCH(H827,Rame!$A:$A,0)-1,MATCH(J827,Rame!$A$1:$AA$1,0)-1))*IF(E827="Rame",1,0),4)</f>
        <v>0</v>
      </c>
      <c r="N827" s="238">
        <v>0</v>
      </c>
      <c r="O827" s="238">
        <f t="shared" ca="1" si="327"/>
        <v>0</v>
      </c>
      <c r="P827" s="238">
        <f ca="1">ROUND(+IF(ISERROR(OFFSET(Tabella!$G$1,MATCH(H827,Tabella!$G:$G,0)-1,MATCH(I827,Tabella!$G$1:$FG$1,0)-1)=TRUE),0,OFFSET(Tabella!$G$1,MATCH(H827,Tabella!$G:$G,0)-1,MATCH(I827,Tabella!$G$1:$AB$1,0)-1)),4)</f>
        <v>0</v>
      </c>
      <c r="Q827" s="238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238">
        <f ca="1">ROUND(IF(ISERROR(OFFSET(Rame!$F$1,MATCH(H827,Rame!$F:$F,0)-1,MATCH(I827,Rame!$F$1:$FF$1,0)-1)=TRUE),0,OFFSET(Rame!$F$1,MATCH(H827,Rame!$F:$F,0)-1,MATCH(I827,Rame!$F$1:$FF$1,0)-1))*IF(E827="Rame",1,0),4)</f>
        <v>0</v>
      </c>
      <c r="S827" s="238">
        <f ca="1">ROUND(IF(ISERROR(OFFSET(Bronzo!$A$1,MATCH(H827,Bronzo!$A:$A,0)-1,MATCH(I827,Bronzo!$A$1:$AA$1,0)-1)=TRUE),0,OFFSET(Bronzo!$A$1,MATCH(H827,Bronzo!$A:$A,0)-1,MATCH(I827,Bronzo!$A$1:$AA$1,0)-1)),4)</f>
        <v>0</v>
      </c>
      <c r="T827" s="238">
        <f t="shared" ca="1" si="324"/>
        <v>0</v>
      </c>
      <c r="U827" s="237"/>
      <c r="V827" s="238">
        <v>0</v>
      </c>
      <c r="W827" s="239">
        <f t="shared" ca="1" si="325"/>
        <v>0</v>
      </c>
      <c r="X827" s="240">
        <f t="shared" si="323"/>
        <v>0</v>
      </c>
      <c r="Y827" s="236"/>
      <c r="Z827" s="236">
        <f t="shared" ca="1" si="326"/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233"/>
      <c r="G828" s="234"/>
      <c r="H828" s="235"/>
      <c r="I828" s="235"/>
      <c r="J828" s="236"/>
      <c r="K828" s="237">
        <f ca="1">ROUND(IF(ISERROR(OFFSET(Tabella!$A$1,MATCH(H828,Tabella!$A:$A,0)-1,MATCH(J828,Tabella!$A$1:$AC$1,0)-1)=TRUE),0,+OFFSET(Tabella!$A$1,MATCH(H828,Tabella!$A:$A,0)-1,MATCH(J828,Tabella!$A$1:$AC$1,0)-1)),4)</f>
        <v>0</v>
      </c>
      <c r="L828" s="238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238">
        <f ca="1">ROUND(IF(ISERROR(OFFSET(Rame!$A$1,MATCH(H828,Rame!$A:$A,0)-1,MATCH(J828,Rame!$A$1:$AA$1,0)-1)=TRUE),0,OFFSET(Rame!$A$1,MATCH(H828,Rame!$A:$A,0)-1,MATCH(J828,Rame!$A$1:$AA$1,0)-1))*IF(E828="Rame",1,0),4)</f>
        <v>0</v>
      </c>
      <c r="N828" s="238">
        <v>0</v>
      </c>
      <c r="O828" s="238">
        <f t="shared" ca="1" si="327"/>
        <v>0</v>
      </c>
      <c r="P828" s="238">
        <f ca="1">ROUND(+IF(ISERROR(OFFSET(Tabella!$G$1,MATCH(H828,Tabella!$G:$G,0)-1,MATCH(I828,Tabella!$G$1:$FG$1,0)-1)=TRUE),0,OFFSET(Tabella!$G$1,MATCH(H828,Tabella!$G:$G,0)-1,MATCH(I828,Tabella!$G$1:$AB$1,0)-1)),4)</f>
        <v>0</v>
      </c>
      <c r="Q828" s="238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238">
        <f ca="1">ROUND(IF(ISERROR(OFFSET(Rame!$F$1,MATCH(H828,Rame!$F:$F,0)-1,MATCH(I828,Rame!$F$1:$FF$1,0)-1)=TRUE),0,OFFSET(Rame!$F$1,MATCH(H828,Rame!$F:$F,0)-1,MATCH(I828,Rame!$F$1:$FF$1,0)-1))*IF(E828="Rame",1,0),4)</f>
        <v>0</v>
      </c>
      <c r="S828" s="238">
        <f ca="1">ROUND(IF(ISERROR(OFFSET(Bronzo!$A$1,MATCH(H828,Bronzo!$A:$A,0)-1,MATCH(I828,Bronzo!$A$1:$AA$1,0)-1)=TRUE),0,OFFSET(Bronzo!$A$1,MATCH(H828,Bronzo!$A:$A,0)-1,MATCH(I828,Bronzo!$A$1:$AA$1,0)-1)),4)</f>
        <v>0</v>
      </c>
      <c r="T828" s="238">
        <f t="shared" ca="1" si="324"/>
        <v>0</v>
      </c>
      <c r="U828" s="237"/>
      <c r="V828" s="238">
        <v>0</v>
      </c>
      <c r="W828" s="239">
        <f t="shared" ca="1" si="325"/>
        <v>0</v>
      </c>
      <c r="X828" s="240">
        <f t="shared" si="323"/>
        <v>0</v>
      </c>
      <c r="Y828" s="236"/>
      <c r="Z828" s="236">
        <f t="shared" ca="1" si="326"/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233"/>
      <c r="G829" s="234"/>
      <c r="H829" s="235"/>
      <c r="I829" s="235"/>
      <c r="J829" s="236"/>
      <c r="K829" s="237">
        <f ca="1">ROUND(IF(ISERROR(OFFSET(Tabella!$A$1,MATCH(H829,Tabella!$A:$A,0)-1,MATCH(J829,Tabella!$A$1:$AC$1,0)-1)=TRUE),0,+OFFSET(Tabella!$A$1,MATCH(H829,Tabella!$A:$A,0)-1,MATCH(J829,Tabella!$A$1:$AC$1,0)-1)),4)</f>
        <v>0</v>
      </c>
      <c r="L829" s="238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238">
        <f ca="1">ROUND(IF(ISERROR(OFFSET(Rame!$A$1,MATCH(H829,Rame!$A:$A,0)-1,MATCH(J829,Rame!$A$1:$AA$1,0)-1)=TRUE),0,OFFSET(Rame!$A$1,MATCH(H829,Rame!$A:$A,0)-1,MATCH(J829,Rame!$A$1:$AA$1,0)-1))*IF(E829="Rame",1,0),4)</f>
        <v>0</v>
      </c>
      <c r="N829" s="238">
        <v>0</v>
      </c>
      <c r="O829" s="238">
        <f t="shared" ca="1" si="327"/>
        <v>0</v>
      </c>
      <c r="P829" s="238">
        <f ca="1">ROUND(+IF(ISERROR(OFFSET(Tabella!$G$1,MATCH(H829,Tabella!$G:$G,0)-1,MATCH(I829,Tabella!$G$1:$FG$1,0)-1)=TRUE),0,OFFSET(Tabella!$G$1,MATCH(H829,Tabella!$G:$G,0)-1,MATCH(I829,Tabella!$G$1:$AB$1,0)-1)),4)</f>
        <v>0</v>
      </c>
      <c r="Q829" s="238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238">
        <f ca="1">ROUND(IF(ISERROR(OFFSET(Rame!$F$1,MATCH(H829,Rame!$F:$F,0)-1,MATCH(I829,Rame!$F$1:$FF$1,0)-1)=TRUE),0,OFFSET(Rame!$F$1,MATCH(H829,Rame!$F:$F,0)-1,MATCH(I829,Rame!$F$1:$FF$1,0)-1))*IF(E829="Rame",1,0),4)</f>
        <v>0</v>
      </c>
      <c r="S829" s="238">
        <f ca="1">ROUND(IF(ISERROR(OFFSET(Bronzo!$A$1,MATCH(H829,Bronzo!$A:$A,0)-1,MATCH(I829,Bronzo!$A$1:$AA$1,0)-1)=TRUE),0,OFFSET(Bronzo!$A$1,MATCH(H829,Bronzo!$A:$A,0)-1,MATCH(I829,Bronzo!$A$1:$AA$1,0)-1)),4)</f>
        <v>0</v>
      </c>
      <c r="T829" s="238">
        <f t="shared" ca="1" si="324"/>
        <v>0</v>
      </c>
      <c r="U829" s="237"/>
      <c r="V829" s="238">
        <v>0</v>
      </c>
      <c r="W829" s="239">
        <f t="shared" ca="1" si="325"/>
        <v>0</v>
      </c>
      <c r="X829" s="240">
        <f t="shared" si="323"/>
        <v>0</v>
      </c>
      <c r="Y829" s="236"/>
      <c r="Z829" s="236">
        <f t="shared" ca="1" si="326"/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233"/>
      <c r="G830" s="234"/>
      <c r="H830" s="235"/>
      <c r="I830" s="235"/>
      <c r="J830" s="236"/>
      <c r="K830" s="237">
        <f ca="1">ROUND(IF(ISERROR(OFFSET(Tabella!$A$1,MATCH(H830,Tabella!$A:$A,0)-1,MATCH(J830,Tabella!$A$1:$AC$1,0)-1)=TRUE),0,+OFFSET(Tabella!$A$1,MATCH(H830,Tabella!$A:$A,0)-1,MATCH(J830,Tabella!$A$1:$AC$1,0)-1)),4)</f>
        <v>0</v>
      </c>
      <c r="L830" s="238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238">
        <f ca="1">ROUND(IF(ISERROR(OFFSET(Rame!$A$1,MATCH(H830,Rame!$A:$A,0)-1,MATCH(J830,Rame!$A$1:$AA$1,0)-1)=TRUE),0,OFFSET(Rame!$A$1,MATCH(H830,Rame!$A:$A,0)-1,MATCH(J830,Rame!$A$1:$AA$1,0)-1))*IF(E830="Rame",1,0),4)</f>
        <v>0</v>
      </c>
      <c r="N830" s="238">
        <v>0</v>
      </c>
      <c r="O830" s="238">
        <f t="shared" ca="1" si="327"/>
        <v>0</v>
      </c>
      <c r="P830" s="238">
        <f ca="1">ROUND(+IF(ISERROR(OFFSET(Tabella!$G$1,MATCH(H830,Tabella!$G:$G,0)-1,MATCH(I830,Tabella!$G$1:$FG$1,0)-1)=TRUE),0,OFFSET(Tabella!$G$1,MATCH(H830,Tabella!$G:$G,0)-1,MATCH(I830,Tabella!$G$1:$AB$1,0)-1)),4)</f>
        <v>0</v>
      </c>
      <c r="Q830" s="238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238">
        <f ca="1">ROUND(IF(ISERROR(OFFSET(Rame!$F$1,MATCH(H830,Rame!$F:$F,0)-1,MATCH(I830,Rame!$F$1:$FF$1,0)-1)=TRUE),0,OFFSET(Rame!$F$1,MATCH(H830,Rame!$F:$F,0)-1,MATCH(I830,Rame!$F$1:$FF$1,0)-1))*IF(E830="Rame",1,0),4)</f>
        <v>0</v>
      </c>
      <c r="S830" s="238">
        <f ca="1">ROUND(IF(ISERROR(OFFSET(Bronzo!$A$1,MATCH(H830,Bronzo!$A:$A,0)-1,MATCH(I830,Bronzo!$A$1:$AA$1,0)-1)=TRUE),0,OFFSET(Bronzo!$A$1,MATCH(H830,Bronzo!$A:$A,0)-1,MATCH(I830,Bronzo!$A$1:$AA$1,0)-1)),4)</f>
        <v>0</v>
      </c>
      <c r="T830" s="238">
        <f t="shared" ca="1" si="324"/>
        <v>0</v>
      </c>
      <c r="U830" s="237"/>
      <c r="V830" s="238">
        <v>0</v>
      </c>
      <c r="W830" s="239">
        <f t="shared" ca="1" si="325"/>
        <v>0</v>
      </c>
      <c r="X830" s="240">
        <f t="shared" si="323"/>
        <v>0</v>
      </c>
      <c r="Y830" s="236"/>
      <c r="Z830" s="236">
        <f t="shared" ca="1" si="326"/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233"/>
      <c r="G831" s="234"/>
      <c r="H831" s="235"/>
      <c r="I831" s="235"/>
      <c r="J831" s="236"/>
      <c r="K831" s="237">
        <f ca="1">ROUND(IF(ISERROR(OFFSET(Tabella!$A$1,MATCH(H831,Tabella!$A:$A,0)-1,MATCH(J831,Tabella!$A$1:$AC$1,0)-1)=TRUE),0,+OFFSET(Tabella!$A$1,MATCH(H831,Tabella!$A:$A,0)-1,MATCH(J831,Tabella!$A$1:$AC$1,0)-1)),4)</f>
        <v>0</v>
      </c>
      <c r="L831" s="238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238">
        <f ca="1">ROUND(IF(ISERROR(OFFSET(Rame!$A$1,MATCH(H831,Rame!$A:$A,0)-1,MATCH(J831,Rame!$A$1:$AA$1,0)-1)=TRUE),0,OFFSET(Rame!$A$1,MATCH(H831,Rame!$A:$A,0)-1,MATCH(J831,Rame!$A$1:$AA$1,0)-1))*IF(E831="Rame",1,0),4)</f>
        <v>0</v>
      </c>
      <c r="N831" s="238">
        <v>0</v>
      </c>
      <c r="O831" s="238">
        <f t="shared" ca="1" si="327"/>
        <v>0</v>
      </c>
      <c r="P831" s="238">
        <f ca="1">ROUND(+IF(ISERROR(OFFSET(Tabella!$G$1,MATCH(H831,Tabella!$G:$G,0)-1,MATCH(I831,Tabella!$G$1:$FG$1,0)-1)=TRUE),0,OFFSET(Tabella!$G$1,MATCH(H831,Tabella!$G:$G,0)-1,MATCH(I831,Tabella!$G$1:$AB$1,0)-1)),4)</f>
        <v>0</v>
      </c>
      <c r="Q831" s="238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238">
        <f ca="1">ROUND(IF(ISERROR(OFFSET(Rame!$F$1,MATCH(H831,Rame!$F:$F,0)-1,MATCH(I831,Rame!$F$1:$FF$1,0)-1)=TRUE),0,OFFSET(Rame!$F$1,MATCH(H831,Rame!$F:$F,0)-1,MATCH(I831,Rame!$F$1:$FF$1,0)-1))*IF(E831="Rame",1,0),4)</f>
        <v>0</v>
      </c>
      <c r="S831" s="238">
        <f ca="1">ROUND(IF(ISERROR(OFFSET(Bronzo!$A$1,MATCH(H831,Bronzo!$A:$A,0)-1,MATCH(I831,Bronzo!$A$1:$AA$1,0)-1)=TRUE),0,OFFSET(Bronzo!$A$1,MATCH(H831,Bronzo!$A:$A,0)-1,MATCH(I831,Bronzo!$A$1:$AA$1,0)-1)),4)</f>
        <v>0</v>
      </c>
      <c r="T831" s="238">
        <f t="shared" ca="1" si="324"/>
        <v>0</v>
      </c>
      <c r="U831" s="237"/>
      <c r="V831" s="238">
        <v>0</v>
      </c>
      <c r="W831" s="239">
        <f t="shared" ca="1" si="325"/>
        <v>0</v>
      </c>
      <c r="X831" s="240">
        <f t="shared" si="323"/>
        <v>0</v>
      </c>
      <c r="Y831" s="236"/>
      <c r="Z831" s="236">
        <f t="shared" ca="1" si="326"/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233"/>
      <c r="G832" s="234"/>
      <c r="H832" s="235"/>
      <c r="I832" s="235"/>
      <c r="J832" s="236"/>
      <c r="K832" s="237">
        <f ca="1">ROUND(IF(ISERROR(OFFSET(Tabella!$A$1,MATCH(H832,Tabella!$A:$A,0)-1,MATCH(J832,Tabella!$A$1:$AC$1,0)-1)=TRUE),0,+OFFSET(Tabella!$A$1,MATCH(H832,Tabella!$A:$A,0)-1,MATCH(J832,Tabella!$A$1:$AC$1,0)-1)),4)</f>
        <v>0</v>
      </c>
      <c r="L832" s="238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238">
        <f ca="1">ROUND(IF(ISERROR(OFFSET(Rame!$A$1,MATCH(H832,Rame!$A:$A,0)-1,MATCH(J832,Rame!$A$1:$AA$1,0)-1)=TRUE),0,OFFSET(Rame!$A$1,MATCH(H832,Rame!$A:$A,0)-1,MATCH(J832,Rame!$A$1:$AA$1,0)-1))*IF(E832="Rame",1,0),4)</f>
        <v>0</v>
      </c>
      <c r="N832" s="238">
        <v>0</v>
      </c>
      <c r="O832" s="238">
        <f t="shared" ca="1" si="327"/>
        <v>0</v>
      </c>
      <c r="P832" s="238">
        <f ca="1">ROUND(+IF(ISERROR(OFFSET(Tabella!$G$1,MATCH(H832,Tabella!$G:$G,0)-1,MATCH(I832,Tabella!$G$1:$FG$1,0)-1)=TRUE),0,OFFSET(Tabella!$G$1,MATCH(H832,Tabella!$G:$G,0)-1,MATCH(I832,Tabella!$G$1:$AB$1,0)-1)),4)</f>
        <v>0</v>
      </c>
      <c r="Q832" s="238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238">
        <f ca="1">ROUND(IF(ISERROR(OFFSET(Rame!$F$1,MATCH(H832,Rame!$F:$F,0)-1,MATCH(I832,Rame!$F$1:$FF$1,0)-1)=TRUE),0,OFFSET(Rame!$F$1,MATCH(H832,Rame!$F:$F,0)-1,MATCH(I832,Rame!$F$1:$FF$1,0)-1))*IF(E832="Rame",1,0),4)</f>
        <v>0</v>
      </c>
      <c r="S832" s="238">
        <f ca="1">ROUND(IF(ISERROR(OFFSET(Bronzo!$A$1,MATCH(H832,Bronzo!$A:$A,0)-1,MATCH(I832,Bronzo!$A$1:$AA$1,0)-1)=TRUE),0,OFFSET(Bronzo!$A$1,MATCH(H832,Bronzo!$A:$A,0)-1,MATCH(I832,Bronzo!$A$1:$AA$1,0)-1)),4)</f>
        <v>0</v>
      </c>
      <c r="T832" s="238">
        <f t="shared" ca="1" si="324"/>
        <v>0</v>
      </c>
      <c r="U832" s="237"/>
      <c r="V832" s="238">
        <v>0</v>
      </c>
      <c r="W832" s="239">
        <f t="shared" ca="1" si="325"/>
        <v>0</v>
      </c>
      <c r="X832" s="240">
        <f t="shared" si="323"/>
        <v>0</v>
      </c>
      <c r="Y832" s="236"/>
      <c r="Z832" s="236">
        <f t="shared" ca="1" si="326"/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233"/>
      <c r="G833" s="234"/>
      <c r="H833" s="235"/>
      <c r="I833" s="235"/>
      <c r="J833" s="236"/>
      <c r="K833" s="237">
        <f ca="1">ROUND(IF(ISERROR(OFFSET(Tabella!$A$1,MATCH(H833,Tabella!$A:$A,0)-1,MATCH(J833,Tabella!$A$1:$AC$1,0)-1)=TRUE),0,+OFFSET(Tabella!$A$1,MATCH(H833,Tabella!$A:$A,0)-1,MATCH(J833,Tabella!$A$1:$AC$1,0)-1)),4)</f>
        <v>0</v>
      </c>
      <c r="L833" s="238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238">
        <f ca="1">ROUND(IF(ISERROR(OFFSET(Rame!$A$1,MATCH(H833,Rame!$A:$A,0)-1,MATCH(J833,Rame!$A$1:$AA$1,0)-1)=TRUE),0,OFFSET(Rame!$A$1,MATCH(H833,Rame!$A:$A,0)-1,MATCH(J833,Rame!$A$1:$AA$1,0)-1))*IF(E833="Rame",1,0),4)</f>
        <v>0</v>
      </c>
      <c r="N833" s="238">
        <v>0</v>
      </c>
      <c r="O833" s="238">
        <f t="shared" ca="1" si="327"/>
        <v>0</v>
      </c>
      <c r="P833" s="238">
        <f ca="1">ROUND(+IF(ISERROR(OFFSET(Tabella!$G$1,MATCH(H833,Tabella!$G:$G,0)-1,MATCH(I833,Tabella!$G$1:$FG$1,0)-1)=TRUE),0,OFFSET(Tabella!$G$1,MATCH(H833,Tabella!$G:$G,0)-1,MATCH(I833,Tabella!$G$1:$AB$1,0)-1)),4)</f>
        <v>0</v>
      </c>
      <c r="Q833" s="238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238">
        <f ca="1">ROUND(IF(ISERROR(OFFSET(Rame!$F$1,MATCH(H833,Rame!$F:$F,0)-1,MATCH(I833,Rame!$F$1:$FF$1,0)-1)=TRUE),0,OFFSET(Rame!$F$1,MATCH(H833,Rame!$F:$F,0)-1,MATCH(I833,Rame!$F$1:$FF$1,0)-1))*IF(E833="Rame",1,0),4)</f>
        <v>0</v>
      </c>
      <c r="S833" s="238">
        <f ca="1">ROUND(IF(ISERROR(OFFSET(Bronzo!$A$1,MATCH(H833,Bronzo!$A:$A,0)-1,MATCH(I833,Bronzo!$A$1:$AA$1,0)-1)=TRUE),0,OFFSET(Bronzo!$A$1,MATCH(H833,Bronzo!$A:$A,0)-1,MATCH(I833,Bronzo!$A$1:$AA$1,0)-1)),4)</f>
        <v>0</v>
      </c>
      <c r="T833" s="238">
        <f t="shared" ca="1" si="324"/>
        <v>0</v>
      </c>
      <c r="U833" s="237"/>
      <c r="V833" s="238">
        <v>0</v>
      </c>
      <c r="W833" s="239">
        <f t="shared" ca="1" si="325"/>
        <v>0</v>
      </c>
      <c r="X833" s="240">
        <f t="shared" si="323"/>
        <v>0</v>
      </c>
      <c r="Y833" s="236"/>
      <c r="Z833" s="236">
        <f t="shared" ca="1" si="326"/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233"/>
      <c r="G834" s="234"/>
      <c r="H834" s="235"/>
      <c r="I834" s="235"/>
      <c r="J834" s="236"/>
      <c r="K834" s="237">
        <f ca="1">ROUND(IF(ISERROR(OFFSET(Tabella!$A$1,MATCH(H834,Tabella!$A:$A,0)-1,MATCH(J834,Tabella!$A$1:$AC$1,0)-1)=TRUE),0,+OFFSET(Tabella!$A$1,MATCH(H834,Tabella!$A:$A,0)-1,MATCH(J834,Tabella!$A$1:$AC$1,0)-1)),4)</f>
        <v>0</v>
      </c>
      <c r="L834" s="238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238">
        <f ca="1">ROUND(IF(ISERROR(OFFSET(Rame!$A$1,MATCH(H834,Rame!$A:$A,0)-1,MATCH(J834,Rame!$A$1:$AA$1,0)-1)=TRUE),0,OFFSET(Rame!$A$1,MATCH(H834,Rame!$A:$A,0)-1,MATCH(J834,Rame!$A$1:$AA$1,0)-1))*IF(E834="Rame",1,0),4)</f>
        <v>0</v>
      </c>
      <c r="N834" s="238">
        <v>0</v>
      </c>
      <c r="O834" s="238">
        <f t="shared" ca="1" si="327"/>
        <v>0</v>
      </c>
      <c r="P834" s="238">
        <f ca="1">ROUND(+IF(ISERROR(OFFSET(Tabella!$G$1,MATCH(H834,Tabella!$G:$G,0)-1,MATCH(I834,Tabella!$G$1:$FG$1,0)-1)=TRUE),0,OFFSET(Tabella!$G$1,MATCH(H834,Tabella!$G:$G,0)-1,MATCH(I834,Tabella!$G$1:$AB$1,0)-1)),4)</f>
        <v>0</v>
      </c>
      <c r="Q834" s="238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238">
        <f ca="1">ROUND(IF(ISERROR(OFFSET(Rame!$F$1,MATCH(H834,Rame!$F:$F,0)-1,MATCH(I834,Rame!$F$1:$FF$1,0)-1)=TRUE),0,OFFSET(Rame!$F$1,MATCH(H834,Rame!$F:$F,0)-1,MATCH(I834,Rame!$F$1:$FF$1,0)-1))*IF(E834="Rame",1,0),4)</f>
        <v>0</v>
      </c>
      <c r="S834" s="238">
        <f ca="1">ROUND(IF(ISERROR(OFFSET(Bronzo!$A$1,MATCH(H834,Bronzo!$A:$A,0)-1,MATCH(I834,Bronzo!$A$1:$AA$1,0)-1)=TRUE),0,OFFSET(Bronzo!$A$1,MATCH(H834,Bronzo!$A:$A,0)-1,MATCH(I834,Bronzo!$A$1:$AA$1,0)-1)),4)</f>
        <v>0</v>
      </c>
      <c r="T834" s="238">
        <f t="shared" ca="1" si="324"/>
        <v>0</v>
      </c>
      <c r="U834" s="237"/>
      <c r="V834" s="238">
        <v>0</v>
      </c>
      <c r="W834" s="239">
        <f t="shared" ca="1" si="325"/>
        <v>0</v>
      </c>
      <c r="X834" s="240">
        <f t="shared" si="323"/>
        <v>0</v>
      </c>
      <c r="Y834" s="236"/>
      <c r="Z834" s="236">
        <f t="shared" ca="1" si="326"/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233"/>
      <c r="G835" s="234"/>
      <c r="H835" s="235"/>
      <c r="I835" s="235"/>
      <c r="J835" s="236"/>
      <c r="K835" s="237">
        <f ca="1">ROUND(IF(ISERROR(OFFSET(Tabella!$A$1,MATCH(H835,Tabella!$A:$A,0)-1,MATCH(J835,Tabella!$A$1:$AC$1,0)-1)=TRUE),0,+OFFSET(Tabella!$A$1,MATCH(H835,Tabella!$A:$A,0)-1,MATCH(J835,Tabella!$A$1:$AC$1,0)-1)),4)</f>
        <v>0</v>
      </c>
      <c r="L835" s="238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238">
        <f ca="1">ROUND(IF(ISERROR(OFFSET(Rame!$A$1,MATCH(H835,Rame!$A:$A,0)-1,MATCH(J835,Rame!$A$1:$AA$1,0)-1)=TRUE),0,OFFSET(Rame!$A$1,MATCH(H835,Rame!$A:$A,0)-1,MATCH(J835,Rame!$A$1:$AA$1,0)-1))*IF(E835="Rame",1,0),4)</f>
        <v>0</v>
      </c>
      <c r="N835" s="238">
        <v>0</v>
      </c>
      <c r="O835" s="238">
        <f t="shared" ca="1" si="327"/>
        <v>0</v>
      </c>
      <c r="P835" s="238">
        <f ca="1">ROUND(+IF(ISERROR(OFFSET(Tabella!$G$1,MATCH(H835,Tabella!$G:$G,0)-1,MATCH(I835,Tabella!$G$1:$FG$1,0)-1)=TRUE),0,OFFSET(Tabella!$G$1,MATCH(H835,Tabella!$G:$G,0)-1,MATCH(I835,Tabella!$G$1:$AB$1,0)-1)),4)</f>
        <v>0</v>
      </c>
      <c r="Q835" s="238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238">
        <f ca="1">ROUND(IF(ISERROR(OFFSET(Rame!$F$1,MATCH(H835,Rame!$F:$F,0)-1,MATCH(I835,Rame!$F$1:$FF$1,0)-1)=TRUE),0,OFFSET(Rame!$F$1,MATCH(H835,Rame!$F:$F,0)-1,MATCH(I835,Rame!$F$1:$FF$1,0)-1))*IF(E835="Rame",1,0),4)</f>
        <v>0</v>
      </c>
      <c r="S835" s="238">
        <f ca="1">ROUND(IF(ISERROR(OFFSET(Bronzo!$A$1,MATCH(H835,Bronzo!$A:$A,0)-1,MATCH(I835,Bronzo!$A$1:$AA$1,0)-1)=TRUE),0,OFFSET(Bronzo!$A$1,MATCH(H835,Bronzo!$A:$A,0)-1,MATCH(I835,Bronzo!$A$1:$AA$1,0)-1)),4)</f>
        <v>0</v>
      </c>
      <c r="T835" s="238">
        <f t="shared" ca="1" si="324"/>
        <v>0</v>
      </c>
      <c r="U835" s="237"/>
      <c r="V835" s="238">
        <v>0</v>
      </c>
      <c r="W835" s="239">
        <f t="shared" ca="1" si="325"/>
        <v>0</v>
      </c>
      <c r="X835" s="240">
        <f t="shared" si="323"/>
        <v>0</v>
      </c>
      <c r="Y835" s="236"/>
      <c r="Z835" s="236">
        <f t="shared" ca="1" si="326"/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233"/>
      <c r="G836" s="234"/>
      <c r="H836" s="235"/>
      <c r="I836" s="235"/>
      <c r="J836" s="236"/>
      <c r="K836" s="237">
        <f ca="1">ROUND(IF(ISERROR(OFFSET(Tabella!$A$1,MATCH(H836,Tabella!$A:$A,0)-1,MATCH(J836,Tabella!$A$1:$AC$1,0)-1)=TRUE),0,+OFFSET(Tabella!$A$1,MATCH(H836,Tabella!$A:$A,0)-1,MATCH(J836,Tabella!$A$1:$AC$1,0)-1)),4)</f>
        <v>0</v>
      </c>
      <c r="L836" s="238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238">
        <f ca="1">ROUND(IF(ISERROR(OFFSET(Rame!$A$1,MATCH(H836,Rame!$A:$A,0)-1,MATCH(J836,Rame!$A$1:$AA$1,0)-1)=TRUE),0,OFFSET(Rame!$A$1,MATCH(H836,Rame!$A:$A,0)-1,MATCH(J836,Rame!$A$1:$AA$1,0)-1))*IF(E836="Rame",1,0),4)</f>
        <v>0</v>
      </c>
      <c r="N836" s="238">
        <v>0</v>
      </c>
      <c r="O836" s="238">
        <f t="shared" ca="1" si="327"/>
        <v>0</v>
      </c>
      <c r="P836" s="238">
        <f ca="1">ROUND(+IF(ISERROR(OFFSET(Tabella!$G$1,MATCH(H836,Tabella!$G:$G,0)-1,MATCH(I836,Tabella!$G$1:$FG$1,0)-1)=TRUE),0,OFFSET(Tabella!$G$1,MATCH(H836,Tabella!$G:$G,0)-1,MATCH(I836,Tabella!$G$1:$AB$1,0)-1)),4)</f>
        <v>0</v>
      </c>
      <c r="Q836" s="238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238">
        <f ca="1">ROUND(IF(ISERROR(OFFSET(Rame!$F$1,MATCH(H836,Rame!$F:$F,0)-1,MATCH(I836,Rame!$F$1:$FF$1,0)-1)=TRUE),0,OFFSET(Rame!$F$1,MATCH(H836,Rame!$F:$F,0)-1,MATCH(I836,Rame!$F$1:$FF$1,0)-1))*IF(E836="Rame",1,0),4)</f>
        <v>0</v>
      </c>
      <c r="S836" s="238">
        <f ca="1">ROUND(IF(ISERROR(OFFSET(Bronzo!$A$1,MATCH(H836,Bronzo!$A:$A,0)-1,MATCH(I836,Bronzo!$A$1:$AA$1,0)-1)=TRUE),0,OFFSET(Bronzo!$A$1,MATCH(H836,Bronzo!$A:$A,0)-1,MATCH(I836,Bronzo!$A$1:$AA$1,0)-1)),4)</f>
        <v>0</v>
      </c>
      <c r="T836" s="238">
        <f t="shared" ca="1" si="324"/>
        <v>0</v>
      </c>
      <c r="U836" s="237"/>
      <c r="V836" s="238">
        <v>0</v>
      </c>
      <c r="W836" s="239">
        <f t="shared" ca="1" si="325"/>
        <v>0</v>
      </c>
      <c r="X836" s="240">
        <f t="shared" si="323"/>
        <v>0</v>
      </c>
      <c r="Y836" s="236"/>
      <c r="Z836" s="236">
        <f t="shared" ca="1" si="326"/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233"/>
      <c r="G837" s="234"/>
      <c r="H837" s="235"/>
      <c r="I837" s="235"/>
      <c r="J837" s="236"/>
      <c r="K837" s="237">
        <f ca="1">ROUND(IF(ISERROR(OFFSET(Tabella!$A$1,MATCH(H837,Tabella!$A:$A,0)-1,MATCH(J837,Tabella!$A$1:$AC$1,0)-1)=TRUE),0,+OFFSET(Tabella!$A$1,MATCH(H837,Tabella!$A:$A,0)-1,MATCH(J837,Tabella!$A$1:$AC$1,0)-1)),4)</f>
        <v>0</v>
      </c>
      <c r="L837" s="238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238">
        <f ca="1">ROUND(IF(ISERROR(OFFSET(Rame!$A$1,MATCH(H837,Rame!$A:$A,0)-1,MATCH(J837,Rame!$A$1:$AA$1,0)-1)=TRUE),0,OFFSET(Rame!$A$1,MATCH(H837,Rame!$A:$A,0)-1,MATCH(J837,Rame!$A$1:$AA$1,0)-1))*IF(E837="Rame",1,0),4)</f>
        <v>0</v>
      </c>
      <c r="N837" s="238">
        <v>0</v>
      </c>
      <c r="O837" s="238">
        <f t="shared" ca="1" si="327"/>
        <v>0</v>
      </c>
      <c r="P837" s="238">
        <f ca="1">ROUND(+IF(ISERROR(OFFSET(Tabella!$G$1,MATCH(H837,Tabella!$G:$G,0)-1,MATCH(I837,Tabella!$G$1:$FG$1,0)-1)=TRUE),0,OFFSET(Tabella!$G$1,MATCH(H837,Tabella!$G:$G,0)-1,MATCH(I837,Tabella!$G$1:$AB$1,0)-1)),4)</f>
        <v>0</v>
      </c>
      <c r="Q837" s="238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238">
        <f ca="1">ROUND(IF(ISERROR(OFFSET(Rame!$F$1,MATCH(H837,Rame!$F:$F,0)-1,MATCH(I837,Rame!$F$1:$FF$1,0)-1)=TRUE),0,OFFSET(Rame!$F$1,MATCH(H837,Rame!$F:$F,0)-1,MATCH(I837,Rame!$F$1:$FF$1,0)-1))*IF(E837="Rame",1,0),4)</f>
        <v>0</v>
      </c>
      <c r="S837" s="238">
        <f ca="1">ROUND(IF(ISERROR(OFFSET(Bronzo!$A$1,MATCH(H837,Bronzo!$A:$A,0)-1,MATCH(I837,Bronzo!$A$1:$AA$1,0)-1)=TRUE),0,OFFSET(Bronzo!$A$1,MATCH(H837,Bronzo!$A:$A,0)-1,MATCH(I837,Bronzo!$A$1:$AA$1,0)-1)),4)</f>
        <v>0</v>
      </c>
      <c r="T837" s="238">
        <f t="shared" ca="1" si="324"/>
        <v>0</v>
      </c>
      <c r="U837" s="237"/>
      <c r="V837" s="238">
        <v>0</v>
      </c>
      <c r="W837" s="239">
        <f t="shared" ca="1" si="325"/>
        <v>0</v>
      </c>
      <c r="X837" s="240">
        <f t="shared" si="323"/>
        <v>0</v>
      </c>
      <c r="Y837" s="236"/>
      <c r="Z837" s="236">
        <f t="shared" ca="1" si="326"/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233"/>
      <c r="G838" s="234"/>
      <c r="H838" s="235"/>
      <c r="I838" s="235"/>
      <c r="J838" s="236"/>
      <c r="K838" s="237">
        <f ca="1">ROUND(IF(ISERROR(OFFSET(Tabella!$A$1,MATCH(H838,Tabella!$A:$A,0)-1,MATCH(J838,Tabella!$A$1:$AC$1,0)-1)=TRUE),0,+OFFSET(Tabella!$A$1,MATCH(H838,Tabella!$A:$A,0)-1,MATCH(J838,Tabella!$A$1:$AC$1,0)-1)),4)</f>
        <v>0</v>
      </c>
      <c r="L838" s="238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238">
        <f ca="1">ROUND(IF(ISERROR(OFFSET(Rame!$A$1,MATCH(H838,Rame!$A:$A,0)-1,MATCH(J838,Rame!$A$1:$AA$1,0)-1)=TRUE),0,OFFSET(Rame!$A$1,MATCH(H838,Rame!$A:$A,0)-1,MATCH(J838,Rame!$A$1:$AA$1,0)-1))*IF(E838="Rame",1,0),4)</f>
        <v>0</v>
      </c>
      <c r="N838" s="238">
        <v>0</v>
      </c>
      <c r="O838" s="238">
        <f t="shared" ca="1" si="327"/>
        <v>0</v>
      </c>
      <c r="P838" s="238">
        <f ca="1">ROUND(+IF(ISERROR(OFFSET(Tabella!$G$1,MATCH(H838,Tabella!$G:$G,0)-1,MATCH(I838,Tabella!$G$1:$FG$1,0)-1)=TRUE),0,OFFSET(Tabella!$G$1,MATCH(H838,Tabella!$G:$G,0)-1,MATCH(I838,Tabella!$G$1:$AB$1,0)-1)),4)</f>
        <v>0</v>
      </c>
      <c r="Q838" s="238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238">
        <f ca="1">ROUND(IF(ISERROR(OFFSET(Rame!$F$1,MATCH(H838,Rame!$F:$F,0)-1,MATCH(I838,Rame!$F$1:$FF$1,0)-1)=TRUE),0,OFFSET(Rame!$F$1,MATCH(H838,Rame!$F:$F,0)-1,MATCH(I838,Rame!$F$1:$FF$1,0)-1))*IF(E838="Rame",1,0),4)</f>
        <v>0</v>
      </c>
      <c r="S838" s="238">
        <f ca="1">ROUND(IF(ISERROR(OFFSET(Bronzo!$A$1,MATCH(H838,Bronzo!$A:$A,0)-1,MATCH(I838,Bronzo!$A$1:$AA$1,0)-1)=TRUE),0,OFFSET(Bronzo!$A$1,MATCH(H838,Bronzo!$A:$A,0)-1,MATCH(I838,Bronzo!$A$1:$AA$1,0)-1)),4)</f>
        <v>0</v>
      </c>
      <c r="T838" s="238">
        <f t="shared" ca="1" si="324"/>
        <v>0</v>
      </c>
      <c r="U838" s="237"/>
      <c r="V838" s="238">
        <v>0</v>
      </c>
      <c r="W838" s="239">
        <f t="shared" ca="1" si="325"/>
        <v>0</v>
      </c>
      <c r="X838" s="240">
        <f t="shared" si="323"/>
        <v>0</v>
      </c>
      <c r="Y838" s="236"/>
      <c r="Z838" s="236">
        <f t="shared" ca="1" si="326"/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233"/>
      <c r="G839" s="234"/>
      <c r="H839" s="235"/>
      <c r="I839" s="235"/>
      <c r="J839" s="236"/>
      <c r="K839" s="237">
        <f ca="1">ROUND(IF(ISERROR(OFFSET(Tabella!$A$1,MATCH(H839,Tabella!$A:$A,0)-1,MATCH(J839,Tabella!$A$1:$AC$1,0)-1)=TRUE),0,+OFFSET(Tabella!$A$1,MATCH(H839,Tabella!$A:$A,0)-1,MATCH(J839,Tabella!$A$1:$AC$1,0)-1)),4)</f>
        <v>0</v>
      </c>
      <c r="L839" s="238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238">
        <f ca="1">ROUND(IF(ISERROR(OFFSET(Rame!$A$1,MATCH(H839,Rame!$A:$A,0)-1,MATCH(J839,Rame!$A$1:$AA$1,0)-1)=TRUE),0,OFFSET(Rame!$A$1,MATCH(H839,Rame!$A:$A,0)-1,MATCH(J839,Rame!$A$1:$AA$1,0)-1))*IF(E839="Rame",1,0),4)</f>
        <v>0</v>
      </c>
      <c r="N839" s="238">
        <v>0</v>
      </c>
      <c r="O839" s="238">
        <f t="shared" ca="1" si="327"/>
        <v>0</v>
      </c>
      <c r="P839" s="238">
        <f ca="1">ROUND(+IF(ISERROR(OFFSET(Tabella!$G$1,MATCH(H839,Tabella!$G:$G,0)-1,MATCH(I839,Tabella!$G$1:$FG$1,0)-1)=TRUE),0,OFFSET(Tabella!$G$1,MATCH(H839,Tabella!$G:$G,0)-1,MATCH(I839,Tabella!$G$1:$AB$1,0)-1)),4)</f>
        <v>0</v>
      </c>
      <c r="Q839" s="238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238">
        <f ca="1">ROUND(IF(ISERROR(OFFSET(Rame!$F$1,MATCH(H839,Rame!$F:$F,0)-1,MATCH(I839,Rame!$F$1:$FF$1,0)-1)=TRUE),0,OFFSET(Rame!$F$1,MATCH(H839,Rame!$F:$F,0)-1,MATCH(I839,Rame!$F$1:$FF$1,0)-1))*IF(E839="Rame",1,0),4)</f>
        <v>0</v>
      </c>
      <c r="S839" s="238">
        <f ca="1">ROUND(IF(ISERROR(OFFSET(Bronzo!$A$1,MATCH(H839,Bronzo!$A:$A,0)-1,MATCH(I839,Bronzo!$A$1:$AA$1,0)-1)=TRUE),0,OFFSET(Bronzo!$A$1,MATCH(H839,Bronzo!$A:$A,0)-1,MATCH(I839,Bronzo!$A$1:$AA$1,0)-1)),4)</f>
        <v>0</v>
      </c>
      <c r="T839" s="238">
        <f t="shared" ca="1" si="324"/>
        <v>0</v>
      </c>
      <c r="U839" s="237"/>
      <c r="V839" s="238">
        <v>0</v>
      </c>
      <c r="W839" s="239">
        <f t="shared" ca="1" si="325"/>
        <v>0</v>
      </c>
      <c r="X839" s="240">
        <f t="shared" si="323"/>
        <v>0</v>
      </c>
      <c r="Y839" s="236"/>
      <c r="Z839" s="236">
        <f t="shared" ca="1" si="326"/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233"/>
      <c r="G840" s="234"/>
      <c r="H840" s="235"/>
      <c r="I840" s="235"/>
      <c r="J840" s="236"/>
      <c r="K840" s="237">
        <f ca="1">ROUND(IF(ISERROR(OFFSET(Tabella!$A$1,MATCH(H840,Tabella!$A:$A,0)-1,MATCH(J840,Tabella!$A$1:$AC$1,0)-1)=TRUE),0,+OFFSET(Tabella!$A$1,MATCH(H840,Tabella!$A:$A,0)-1,MATCH(J840,Tabella!$A$1:$AC$1,0)-1)),4)</f>
        <v>0</v>
      </c>
      <c r="L840" s="238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238">
        <f ca="1">ROUND(IF(ISERROR(OFFSET(Rame!$A$1,MATCH(H840,Rame!$A:$A,0)-1,MATCH(J840,Rame!$A$1:$AA$1,0)-1)=TRUE),0,OFFSET(Rame!$A$1,MATCH(H840,Rame!$A:$A,0)-1,MATCH(J840,Rame!$A$1:$AA$1,0)-1))*IF(E840="Rame",1,0),4)</f>
        <v>0</v>
      </c>
      <c r="N840" s="238">
        <v>0</v>
      </c>
      <c r="O840" s="238">
        <f t="shared" ca="1" si="327"/>
        <v>0</v>
      </c>
      <c r="P840" s="238">
        <f ca="1">ROUND(+IF(ISERROR(OFFSET(Tabella!$G$1,MATCH(H840,Tabella!$G:$G,0)-1,MATCH(I840,Tabella!$G$1:$FG$1,0)-1)=TRUE),0,OFFSET(Tabella!$G$1,MATCH(H840,Tabella!$G:$G,0)-1,MATCH(I840,Tabella!$G$1:$AB$1,0)-1)),4)</f>
        <v>0</v>
      </c>
      <c r="Q840" s="238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238">
        <f ca="1">ROUND(IF(ISERROR(OFFSET(Rame!$F$1,MATCH(H840,Rame!$F:$F,0)-1,MATCH(I840,Rame!$F$1:$FF$1,0)-1)=TRUE),0,OFFSET(Rame!$F$1,MATCH(H840,Rame!$F:$F,0)-1,MATCH(I840,Rame!$F$1:$FF$1,0)-1))*IF(E840="Rame",1,0),4)</f>
        <v>0</v>
      </c>
      <c r="S840" s="238">
        <f ca="1">ROUND(IF(ISERROR(OFFSET(Bronzo!$A$1,MATCH(H840,Bronzo!$A:$A,0)-1,MATCH(I840,Bronzo!$A$1:$AA$1,0)-1)=TRUE),0,OFFSET(Bronzo!$A$1,MATCH(H840,Bronzo!$A:$A,0)-1,MATCH(I840,Bronzo!$A$1:$AA$1,0)-1)),4)</f>
        <v>0</v>
      </c>
      <c r="T840" s="238">
        <f t="shared" ca="1" si="324"/>
        <v>0</v>
      </c>
      <c r="U840" s="237"/>
      <c r="V840" s="238">
        <v>0</v>
      </c>
      <c r="W840" s="239">
        <f t="shared" ca="1" si="325"/>
        <v>0</v>
      </c>
      <c r="X840" s="240">
        <f t="shared" si="323"/>
        <v>0</v>
      </c>
      <c r="Y840" s="236"/>
      <c r="Z840" s="236">
        <f t="shared" ca="1" si="326"/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233"/>
      <c r="G841" s="234"/>
      <c r="H841" s="235"/>
      <c r="I841" s="235"/>
      <c r="J841" s="236"/>
      <c r="K841" s="237">
        <f ca="1">ROUND(IF(ISERROR(OFFSET(Tabella!$A$1,MATCH(H841,Tabella!$A:$A,0)-1,MATCH(J841,Tabella!$A$1:$AC$1,0)-1)=TRUE),0,+OFFSET(Tabella!$A$1,MATCH(H841,Tabella!$A:$A,0)-1,MATCH(J841,Tabella!$A$1:$AC$1,0)-1)),4)</f>
        <v>0</v>
      </c>
      <c r="L841" s="238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238">
        <f ca="1">ROUND(IF(ISERROR(OFFSET(Rame!$A$1,MATCH(H841,Rame!$A:$A,0)-1,MATCH(J841,Rame!$A$1:$AA$1,0)-1)=TRUE),0,OFFSET(Rame!$A$1,MATCH(H841,Rame!$A:$A,0)-1,MATCH(J841,Rame!$A$1:$AA$1,0)-1))*IF(E841="Rame",1,0),4)</f>
        <v>0</v>
      </c>
      <c r="N841" s="238">
        <v>0</v>
      </c>
      <c r="O841" s="238">
        <f t="shared" ca="1" si="327"/>
        <v>0</v>
      </c>
      <c r="P841" s="238">
        <f ca="1">ROUND(+IF(ISERROR(OFFSET(Tabella!$G$1,MATCH(H841,Tabella!$G:$G,0)-1,MATCH(I841,Tabella!$G$1:$FG$1,0)-1)=TRUE),0,OFFSET(Tabella!$G$1,MATCH(H841,Tabella!$G:$G,0)-1,MATCH(I841,Tabella!$G$1:$AB$1,0)-1)),4)</f>
        <v>0</v>
      </c>
      <c r="Q841" s="238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238">
        <f ca="1">ROUND(IF(ISERROR(OFFSET(Rame!$F$1,MATCH(H841,Rame!$F:$F,0)-1,MATCH(I841,Rame!$F$1:$FF$1,0)-1)=TRUE),0,OFFSET(Rame!$F$1,MATCH(H841,Rame!$F:$F,0)-1,MATCH(I841,Rame!$F$1:$FF$1,0)-1))*IF(E841="Rame",1,0),4)</f>
        <v>0</v>
      </c>
      <c r="S841" s="238">
        <f ca="1">ROUND(IF(ISERROR(OFFSET(Bronzo!$A$1,MATCH(H841,Bronzo!$A:$A,0)-1,MATCH(I841,Bronzo!$A$1:$AA$1,0)-1)=TRUE),0,OFFSET(Bronzo!$A$1,MATCH(H841,Bronzo!$A:$A,0)-1,MATCH(I841,Bronzo!$A$1:$AA$1,0)-1)),4)</f>
        <v>0</v>
      </c>
      <c r="T841" s="238">
        <f t="shared" ca="1" si="324"/>
        <v>0</v>
      </c>
      <c r="U841" s="237"/>
      <c r="V841" s="238">
        <v>0</v>
      </c>
      <c r="W841" s="239">
        <f t="shared" ca="1" si="325"/>
        <v>0</v>
      </c>
      <c r="X841" s="240">
        <f t="shared" si="323"/>
        <v>0</v>
      </c>
      <c r="Y841" s="236"/>
      <c r="Z841" s="236">
        <f t="shared" ca="1" si="326"/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233"/>
      <c r="G842" s="234"/>
      <c r="H842" s="235"/>
      <c r="I842" s="235"/>
      <c r="J842" s="236"/>
      <c r="K842" s="237">
        <f ca="1">ROUND(IF(ISERROR(OFFSET(Tabella!$A$1,MATCH(H842,Tabella!$A:$A,0)-1,MATCH(J842,Tabella!$A$1:$AC$1,0)-1)=TRUE),0,+OFFSET(Tabella!$A$1,MATCH(H842,Tabella!$A:$A,0)-1,MATCH(J842,Tabella!$A$1:$AC$1,0)-1)),4)</f>
        <v>0</v>
      </c>
      <c r="L842" s="238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238">
        <f ca="1">ROUND(IF(ISERROR(OFFSET(Rame!$A$1,MATCH(H842,Rame!$A:$A,0)-1,MATCH(J842,Rame!$A$1:$AA$1,0)-1)=TRUE),0,OFFSET(Rame!$A$1,MATCH(H842,Rame!$A:$A,0)-1,MATCH(J842,Rame!$A$1:$AA$1,0)-1))*IF(E842="Rame",1,0),4)</f>
        <v>0</v>
      </c>
      <c r="N842" s="238">
        <v>0</v>
      </c>
      <c r="O842" s="238">
        <f t="shared" ca="1" si="327"/>
        <v>0</v>
      </c>
      <c r="P842" s="238">
        <f ca="1">ROUND(+IF(ISERROR(OFFSET(Tabella!$G$1,MATCH(H842,Tabella!$G:$G,0)-1,MATCH(I842,Tabella!$G$1:$FG$1,0)-1)=TRUE),0,OFFSET(Tabella!$G$1,MATCH(H842,Tabella!$G:$G,0)-1,MATCH(I842,Tabella!$G$1:$AB$1,0)-1)),4)</f>
        <v>0</v>
      </c>
      <c r="Q842" s="238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238">
        <f ca="1">ROUND(IF(ISERROR(OFFSET(Rame!$F$1,MATCH(H842,Rame!$F:$F,0)-1,MATCH(I842,Rame!$F$1:$FF$1,0)-1)=TRUE),0,OFFSET(Rame!$F$1,MATCH(H842,Rame!$F:$F,0)-1,MATCH(I842,Rame!$F$1:$FF$1,0)-1))*IF(E842="Rame",1,0),4)</f>
        <v>0</v>
      </c>
      <c r="S842" s="238">
        <f ca="1">ROUND(IF(ISERROR(OFFSET(Bronzo!$A$1,MATCH(H842,Bronzo!$A:$A,0)-1,MATCH(I842,Bronzo!$A$1:$AA$1,0)-1)=TRUE),0,OFFSET(Bronzo!$A$1,MATCH(H842,Bronzo!$A:$A,0)-1,MATCH(I842,Bronzo!$A$1:$AA$1,0)-1)),4)</f>
        <v>0</v>
      </c>
      <c r="T842" s="238">
        <f t="shared" ca="1" si="324"/>
        <v>0</v>
      </c>
      <c r="U842" s="237"/>
      <c r="V842" s="238">
        <v>0</v>
      </c>
      <c r="W842" s="239">
        <f t="shared" ca="1" si="325"/>
        <v>0</v>
      </c>
      <c r="X842" s="240">
        <f t="shared" si="323"/>
        <v>0</v>
      </c>
      <c r="Y842" s="236"/>
      <c r="Z842" s="236">
        <f t="shared" ca="1" si="326"/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233"/>
      <c r="G843" s="234"/>
      <c r="H843" s="235"/>
      <c r="I843" s="235"/>
      <c r="J843" s="236"/>
      <c r="K843" s="237">
        <f ca="1">ROUND(IF(ISERROR(OFFSET(Tabella!$A$1,MATCH(H843,Tabella!$A:$A,0)-1,MATCH(J843,Tabella!$A$1:$AC$1,0)-1)=TRUE),0,+OFFSET(Tabella!$A$1,MATCH(H843,Tabella!$A:$A,0)-1,MATCH(J843,Tabella!$A$1:$AC$1,0)-1)),4)</f>
        <v>0</v>
      </c>
      <c r="L843" s="238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238">
        <f ca="1">ROUND(IF(ISERROR(OFFSET(Rame!$A$1,MATCH(H843,Rame!$A:$A,0)-1,MATCH(J843,Rame!$A$1:$AA$1,0)-1)=TRUE),0,OFFSET(Rame!$A$1,MATCH(H843,Rame!$A:$A,0)-1,MATCH(J843,Rame!$A$1:$AA$1,0)-1))*IF(E843="Rame",1,0),4)</f>
        <v>0</v>
      </c>
      <c r="N843" s="238">
        <v>0</v>
      </c>
      <c r="O843" s="238">
        <f t="shared" ca="1" si="327"/>
        <v>0</v>
      </c>
      <c r="P843" s="238">
        <f ca="1">ROUND(+IF(ISERROR(OFFSET(Tabella!$G$1,MATCH(H843,Tabella!$G:$G,0)-1,MATCH(I843,Tabella!$G$1:$FG$1,0)-1)=TRUE),0,OFFSET(Tabella!$G$1,MATCH(H843,Tabella!$G:$G,0)-1,MATCH(I843,Tabella!$G$1:$AB$1,0)-1)),4)</f>
        <v>0</v>
      </c>
      <c r="Q843" s="238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238">
        <f ca="1">ROUND(IF(ISERROR(OFFSET(Rame!$F$1,MATCH(H843,Rame!$F:$F,0)-1,MATCH(I843,Rame!$F$1:$FF$1,0)-1)=TRUE),0,OFFSET(Rame!$F$1,MATCH(H843,Rame!$F:$F,0)-1,MATCH(I843,Rame!$F$1:$FF$1,0)-1))*IF(E843="Rame",1,0),4)</f>
        <v>0</v>
      </c>
      <c r="S843" s="238">
        <f ca="1">ROUND(IF(ISERROR(OFFSET(Bronzo!$A$1,MATCH(H843,Bronzo!$A:$A,0)-1,MATCH(I843,Bronzo!$A$1:$AA$1,0)-1)=TRUE),0,OFFSET(Bronzo!$A$1,MATCH(H843,Bronzo!$A:$A,0)-1,MATCH(I843,Bronzo!$A$1:$AA$1,0)-1)),4)</f>
        <v>0</v>
      </c>
      <c r="T843" s="238">
        <f t="shared" ca="1" si="324"/>
        <v>0</v>
      </c>
      <c r="U843" s="237"/>
      <c r="V843" s="238">
        <v>0</v>
      </c>
      <c r="W843" s="239">
        <f t="shared" ca="1" si="325"/>
        <v>0</v>
      </c>
      <c r="X843" s="240">
        <f t="shared" si="323"/>
        <v>0</v>
      </c>
      <c r="Y843" s="236"/>
      <c r="Z843" s="236">
        <f t="shared" ca="1" si="326"/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233"/>
      <c r="G844" s="234"/>
      <c r="H844" s="235"/>
      <c r="I844" s="235"/>
      <c r="J844" s="236"/>
      <c r="K844" s="237">
        <f ca="1">ROUND(IF(ISERROR(OFFSET(Tabella!$A$1,MATCH(H844,Tabella!$A:$A,0)-1,MATCH(J844,Tabella!$A$1:$AC$1,0)-1)=TRUE),0,+OFFSET(Tabella!$A$1,MATCH(H844,Tabella!$A:$A,0)-1,MATCH(J844,Tabella!$A$1:$AC$1,0)-1)),4)</f>
        <v>0</v>
      </c>
      <c r="L844" s="238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238">
        <f ca="1">ROUND(IF(ISERROR(OFFSET(Rame!$A$1,MATCH(H844,Rame!$A:$A,0)-1,MATCH(J844,Rame!$A$1:$AA$1,0)-1)=TRUE),0,OFFSET(Rame!$A$1,MATCH(H844,Rame!$A:$A,0)-1,MATCH(J844,Rame!$A$1:$AA$1,0)-1))*IF(E844="Rame",1,0),4)</f>
        <v>0</v>
      </c>
      <c r="N844" s="238">
        <v>0</v>
      </c>
      <c r="O844" s="238">
        <f t="shared" ca="1" si="327"/>
        <v>0</v>
      </c>
      <c r="P844" s="238">
        <f ca="1">ROUND(+IF(ISERROR(OFFSET(Tabella!$G$1,MATCH(H844,Tabella!$G:$G,0)-1,MATCH(I844,Tabella!$G$1:$FG$1,0)-1)=TRUE),0,OFFSET(Tabella!$G$1,MATCH(H844,Tabella!$G:$G,0)-1,MATCH(I844,Tabella!$G$1:$AB$1,0)-1)),4)</f>
        <v>0</v>
      </c>
      <c r="Q844" s="238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238">
        <f ca="1">ROUND(IF(ISERROR(OFFSET(Rame!$F$1,MATCH(H844,Rame!$F:$F,0)-1,MATCH(I844,Rame!$F$1:$FF$1,0)-1)=TRUE),0,OFFSET(Rame!$F$1,MATCH(H844,Rame!$F:$F,0)-1,MATCH(I844,Rame!$F$1:$FF$1,0)-1))*IF(E844="Rame",1,0),4)</f>
        <v>0</v>
      </c>
      <c r="S844" s="238">
        <f ca="1">ROUND(IF(ISERROR(OFFSET(Bronzo!$A$1,MATCH(H844,Bronzo!$A:$A,0)-1,MATCH(I844,Bronzo!$A$1:$AA$1,0)-1)=TRUE),0,OFFSET(Bronzo!$A$1,MATCH(H844,Bronzo!$A:$A,0)-1,MATCH(I844,Bronzo!$A$1:$AA$1,0)-1)),4)</f>
        <v>0</v>
      </c>
      <c r="T844" s="238">
        <f t="shared" ca="1" si="324"/>
        <v>0</v>
      </c>
      <c r="U844" s="237"/>
      <c r="V844" s="238">
        <v>0</v>
      </c>
      <c r="W844" s="239">
        <f t="shared" ca="1" si="325"/>
        <v>0</v>
      </c>
      <c r="X844" s="240">
        <f t="shared" si="323"/>
        <v>0</v>
      </c>
      <c r="Y844" s="236"/>
      <c r="Z844" s="236">
        <f t="shared" ca="1" si="326"/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233"/>
      <c r="G845" s="234"/>
      <c r="H845" s="235"/>
      <c r="I845" s="235"/>
      <c r="J845" s="236"/>
      <c r="K845" s="237">
        <f ca="1">ROUND(IF(ISERROR(OFFSET(Tabella!$A$1,MATCH(H845,Tabella!$A:$A,0)-1,MATCH(J845,Tabella!$A$1:$AC$1,0)-1)=TRUE),0,+OFFSET(Tabella!$A$1,MATCH(H845,Tabella!$A:$A,0)-1,MATCH(J845,Tabella!$A$1:$AC$1,0)-1)),4)</f>
        <v>0</v>
      </c>
      <c r="L845" s="238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238">
        <f ca="1">ROUND(IF(ISERROR(OFFSET(Rame!$A$1,MATCH(H845,Rame!$A:$A,0)-1,MATCH(J845,Rame!$A$1:$AA$1,0)-1)=TRUE),0,OFFSET(Rame!$A$1,MATCH(H845,Rame!$A:$A,0)-1,MATCH(J845,Rame!$A$1:$AA$1,0)-1))*IF(E845="Rame",1,0),4)</f>
        <v>0</v>
      </c>
      <c r="N845" s="238">
        <v>0</v>
      </c>
      <c r="O845" s="238">
        <f t="shared" ca="1" si="327"/>
        <v>0</v>
      </c>
      <c r="P845" s="238">
        <f ca="1">ROUND(+IF(ISERROR(OFFSET(Tabella!$G$1,MATCH(H845,Tabella!$G:$G,0)-1,MATCH(I845,Tabella!$G$1:$FG$1,0)-1)=TRUE),0,OFFSET(Tabella!$G$1,MATCH(H845,Tabella!$G:$G,0)-1,MATCH(I845,Tabella!$G$1:$AB$1,0)-1)),4)</f>
        <v>0</v>
      </c>
      <c r="Q845" s="238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238">
        <f ca="1">ROUND(IF(ISERROR(OFFSET(Rame!$F$1,MATCH(H845,Rame!$F:$F,0)-1,MATCH(I845,Rame!$F$1:$FF$1,0)-1)=TRUE),0,OFFSET(Rame!$F$1,MATCH(H845,Rame!$F:$F,0)-1,MATCH(I845,Rame!$F$1:$FF$1,0)-1))*IF(E845="Rame",1,0),4)</f>
        <v>0</v>
      </c>
      <c r="S845" s="238">
        <f ca="1">ROUND(IF(ISERROR(OFFSET(Bronzo!$A$1,MATCH(H845,Bronzo!$A:$A,0)-1,MATCH(I845,Bronzo!$A$1:$AA$1,0)-1)=TRUE),0,OFFSET(Bronzo!$A$1,MATCH(H845,Bronzo!$A:$A,0)-1,MATCH(I845,Bronzo!$A$1:$AA$1,0)-1)),4)</f>
        <v>0</v>
      </c>
      <c r="T845" s="238">
        <f t="shared" ca="1" si="324"/>
        <v>0</v>
      </c>
      <c r="U845" s="237"/>
      <c r="V845" s="238">
        <v>0</v>
      </c>
      <c r="W845" s="239">
        <f t="shared" ca="1" si="325"/>
        <v>0</v>
      </c>
      <c r="X845" s="240">
        <f t="shared" si="323"/>
        <v>0</v>
      </c>
      <c r="Y845" s="236"/>
      <c r="Z845" s="236">
        <f t="shared" ca="1" si="326"/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233"/>
      <c r="G846" s="234"/>
      <c r="H846" s="235"/>
      <c r="I846" s="235"/>
      <c r="J846" s="236"/>
      <c r="K846" s="237">
        <f ca="1">ROUND(IF(ISERROR(OFFSET(Tabella!$A$1,MATCH(H846,Tabella!$A:$A,0)-1,MATCH(J846,Tabella!$A$1:$AC$1,0)-1)=TRUE),0,+OFFSET(Tabella!$A$1,MATCH(H846,Tabella!$A:$A,0)-1,MATCH(J846,Tabella!$A$1:$AC$1,0)-1)),4)</f>
        <v>0</v>
      </c>
      <c r="L846" s="238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238">
        <f ca="1">ROUND(IF(ISERROR(OFFSET(Rame!$A$1,MATCH(H846,Rame!$A:$A,0)-1,MATCH(J846,Rame!$A$1:$AA$1,0)-1)=TRUE),0,OFFSET(Rame!$A$1,MATCH(H846,Rame!$A:$A,0)-1,MATCH(J846,Rame!$A$1:$AA$1,0)-1))*IF(E846="Rame",1,0),4)</f>
        <v>0</v>
      </c>
      <c r="N846" s="238">
        <v>0</v>
      </c>
      <c r="O846" s="238">
        <f t="shared" ca="1" si="327"/>
        <v>0</v>
      </c>
      <c r="P846" s="238">
        <f ca="1">ROUND(+IF(ISERROR(OFFSET(Tabella!$G$1,MATCH(H846,Tabella!$G:$G,0)-1,MATCH(I846,Tabella!$G$1:$FG$1,0)-1)=TRUE),0,OFFSET(Tabella!$G$1,MATCH(H846,Tabella!$G:$G,0)-1,MATCH(I846,Tabella!$G$1:$AB$1,0)-1)),4)</f>
        <v>0</v>
      </c>
      <c r="Q846" s="238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238">
        <f ca="1">ROUND(IF(ISERROR(OFFSET(Rame!$F$1,MATCH(H846,Rame!$F:$F,0)-1,MATCH(I846,Rame!$F$1:$FF$1,0)-1)=TRUE),0,OFFSET(Rame!$F$1,MATCH(H846,Rame!$F:$F,0)-1,MATCH(I846,Rame!$F$1:$FF$1,0)-1))*IF(E846="Rame",1,0),4)</f>
        <v>0</v>
      </c>
      <c r="S846" s="238">
        <f ca="1">ROUND(IF(ISERROR(OFFSET(Bronzo!$A$1,MATCH(H846,Bronzo!$A:$A,0)-1,MATCH(I846,Bronzo!$A$1:$AA$1,0)-1)=TRUE),0,OFFSET(Bronzo!$A$1,MATCH(H846,Bronzo!$A:$A,0)-1,MATCH(I846,Bronzo!$A$1:$AA$1,0)-1)),4)</f>
        <v>0</v>
      </c>
      <c r="T846" s="238">
        <f t="shared" ca="1" si="324"/>
        <v>0</v>
      </c>
      <c r="U846" s="237"/>
      <c r="V846" s="238">
        <v>0</v>
      </c>
      <c r="W846" s="239">
        <f t="shared" ca="1" si="325"/>
        <v>0</v>
      </c>
      <c r="X846" s="240">
        <f t="shared" si="323"/>
        <v>0</v>
      </c>
      <c r="Y846" s="236"/>
      <c r="Z846" s="236">
        <f t="shared" ca="1" si="326"/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233"/>
      <c r="G847" s="234"/>
      <c r="H847" s="235"/>
      <c r="I847" s="235"/>
      <c r="J847" s="236"/>
      <c r="K847" s="237">
        <f ca="1">ROUND(IF(ISERROR(OFFSET(Tabella!$A$1,MATCH(H847,Tabella!$A:$A,0)-1,MATCH(J847,Tabella!$A$1:$AC$1,0)-1)=TRUE),0,+OFFSET(Tabella!$A$1,MATCH(H847,Tabella!$A:$A,0)-1,MATCH(J847,Tabella!$A$1:$AC$1,0)-1)),4)</f>
        <v>0</v>
      </c>
      <c r="L847" s="238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238">
        <f ca="1">ROUND(IF(ISERROR(OFFSET(Rame!$A$1,MATCH(H847,Rame!$A:$A,0)-1,MATCH(J847,Rame!$A$1:$AA$1,0)-1)=TRUE),0,OFFSET(Rame!$A$1,MATCH(H847,Rame!$A:$A,0)-1,MATCH(J847,Rame!$A$1:$AA$1,0)-1))*IF(E847="Rame",1,0),4)</f>
        <v>0</v>
      </c>
      <c r="N847" s="238">
        <v>0</v>
      </c>
      <c r="O847" s="238">
        <f t="shared" ca="1" si="327"/>
        <v>0</v>
      </c>
      <c r="P847" s="238">
        <f ca="1">ROUND(+IF(ISERROR(OFFSET(Tabella!$G$1,MATCH(H847,Tabella!$G:$G,0)-1,MATCH(I847,Tabella!$G$1:$FG$1,0)-1)=TRUE),0,OFFSET(Tabella!$G$1,MATCH(H847,Tabella!$G:$G,0)-1,MATCH(I847,Tabella!$G$1:$AB$1,0)-1)),4)</f>
        <v>0</v>
      </c>
      <c r="Q847" s="238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238">
        <f ca="1">ROUND(IF(ISERROR(OFFSET(Rame!$F$1,MATCH(H847,Rame!$F:$F,0)-1,MATCH(I847,Rame!$F$1:$FF$1,0)-1)=TRUE),0,OFFSET(Rame!$F$1,MATCH(H847,Rame!$F:$F,0)-1,MATCH(I847,Rame!$F$1:$FF$1,0)-1))*IF(E847="Rame",1,0),4)</f>
        <v>0</v>
      </c>
      <c r="S847" s="238">
        <f ca="1">ROUND(IF(ISERROR(OFFSET(Bronzo!$A$1,MATCH(H847,Bronzo!$A:$A,0)-1,MATCH(I847,Bronzo!$A$1:$AA$1,0)-1)=TRUE),0,OFFSET(Bronzo!$A$1,MATCH(H847,Bronzo!$A:$A,0)-1,MATCH(I847,Bronzo!$A$1:$AA$1,0)-1)),4)</f>
        <v>0</v>
      </c>
      <c r="T847" s="238">
        <f t="shared" ca="1" si="324"/>
        <v>0</v>
      </c>
      <c r="U847" s="237"/>
      <c r="V847" s="238">
        <v>0</v>
      </c>
      <c r="W847" s="239">
        <f t="shared" ca="1" si="325"/>
        <v>0</v>
      </c>
      <c r="X847" s="240">
        <f t="shared" si="323"/>
        <v>0</v>
      </c>
      <c r="Y847" s="236"/>
      <c r="Z847" s="236">
        <f t="shared" ca="1" si="326"/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233"/>
      <c r="G848" s="234"/>
      <c r="H848" s="235"/>
      <c r="I848" s="235"/>
      <c r="J848" s="236"/>
      <c r="K848" s="237">
        <f ca="1">ROUND(IF(ISERROR(OFFSET(Tabella!$A$1,MATCH(H848,Tabella!$A:$A,0)-1,MATCH(J848,Tabella!$A$1:$AC$1,0)-1)=TRUE),0,+OFFSET(Tabella!$A$1,MATCH(H848,Tabella!$A:$A,0)-1,MATCH(J848,Tabella!$A$1:$AC$1,0)-1)),4)</f>
        <v>0</v>
      </c>
      <c r="L848" s="238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238">
        <f ca="1">ROUND(IF(ISERROR(OFFSET(Rame!$A$1,MATCH(H848,Rame!$A:$A,0)-1,MATCH(J848,Rame!$A$1:$AA$1,0)-1)=TRUE),0,OFFSET(Rame!$A$1,MATCH(H848,Rame!$A:$A,0)-1,MATCH(J848,Rame!$A$1:$AA$1,0)-1))*IF(E848="Rame",1,0),4)</f>
        <v>0</v>
      </c>
      <c r="N848" s="238">
        <v>0</v>
      </c>
      <c r="O848" s="238">
        <f t="shared" ca="1" si="327"/>
        <v>0</v>
      </c>
      <c r="P848" s="238">
        <f ca="1">ROUND(+IF(ISERROR(OFFSET(Tabella!$G$1,MATCH(H848,Tabella!$G:$G,0)-1,MATCH(I848,Tabella!$G$1:$FG$1,0)-1)=TRUE),0,OFFSET(Tabella!$G$1,MATCH(H848,Tabella!$G:$G,0)-1,MATCH(I848,Tabella!$G$1:$AB$1,0)-1)),4)</f>
        <v>0</v>
      </c>
      <c r="Q848" s="238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238">
        <f ca="1">ROUND(IF(ISERROR(OFFSET(Rame!$F$1,MATCH(H848,Rame!$F:$F,0)-1,MATCH(I848,Rame!$F$1:$FF$1,0)-1)=TRUE),0,OFFSET(Rame!$F$1,MATCH(H848,Rame!$F:$F,0)-1,MATCH(I848,Rame!$F$1:$FF$1,0)-1))*IF(E848="Rame",1,0),4)</f>
        <v>0</v>
      </c>
      <c r="S848" s="238">
        <f ca="1">ROUND(IF(ISERROR(OFFSET(Bronzo!$A$1,MATCH(H848,Bronzo!$A:$A,0)-1,MATCH(I848,Bronzo!$A$1:$AA$1,0)-1)=TRUE),0,OFFSET(Bronzo!$A$1,MATCH(H848,Bronzo!$A:$A,0)-1,MATCH(I848,Bronzo!$A$1:$AA$1,0)-1)),4)</f>
        <v>0</v>
      </c>
      <c r="T848" s="238">
        <f t="shared" ca="1" si="324"/>
        <v>0</v>
      </c>
      <c r="U848" s="237"/>
      <c r="V848" s="238">
        <v>0</v>
      </c>
      <c r="W848" s="239">
        <f t="shared" ca="1" si="325"/>
        <v>0</v>
      </c>
      <c r="X848" s="240">
        <f t="shared" si="323"/>
        <v>0</v>
      </c>
      <c r="Y848" s="236"/>
      <c r="Z848" s="236">
        <f t="shared" ca="1" si="326"/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233"/>
      <c r="G849" s="234"/>
      <c r="H849" s="235"/>
      <c r="I849" s="235"/>
      <c r="J849" s="236"/>
      <c r="K849" s="237">
        <f ca="1">ROUND(IF(ISERROR(OFFSET(Tabella!$A$1,MATCH(H849,Tabella!$A:$A,0)-1,MATCH(J849,Tabella!$A$1:$AC$1,0)-1)=TRUE),0,+OFFSET(Tabella!$A$1,MATCH(H849,Tabella!$A:$A,0)-1,MATCH(J849,Tabella!$A$1:$AC$1,0)-1)),4)</f>
        <v>0</v>
      </c>
      <c r="L849" s="238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238">
        <f ca="1">ROUND(IF(ISERROR(OFFSET(Rame!$A$1,MATCH(H849,Rame!$A:$A,0)-1,MATCH(J849,Rame!$A$1:$AA$1,0)-1)=TRUE),0,OFFSET(Rame!$A$1,MATCH(H849,Rame!$A:$A,0)-1,MATCH(J849,Rame!$A$1:$AA$1,0)-1))*IF(E849="Rame",1,0),4)</f>
        <v>0</v>
      </c>
      <c r="N849" s="238">
        <v>0</v>
      </c>
      <c r="O849" s="238">
        <f t="shared" ca="1" si="327"/>
        <v>0</v>
      </c>
      <c r="P849" s="238">
        <f ca="1">ROUND(+IF(ISERROR(OFFSET(Tabella!$G$1,MATCH(H849,Tabella!$G:$G,0)-1,MATCH(I849,Tabella!$G$1:$FG$1,0)-1)=TRUE),0,OFFSET(Tabella!$G$1,MATCH(H849,Tabella!$G:$G,0)-1,MATCH(I849,Tabella!$G$1:$AB$1,0)-1)),4)</f>
        <v>0</v>
      </c>
      <c r="Q849" s="238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238">
        <f ca="1">ROUND(IF(ISERROR(OFFSET(Rame!$F$1,MATCH(H849,Rame!$F:$F,0)-1,MATCH(I849,Rame!$F$1:$FF$1,0)-1)=TRUE),0,OFFSET(Rame!$F$1,MATCH(H849,Rame!$F:$F,0)-1,MATCH(I849,Rame!$F$1:$FF$1,0)-1))*IF(E849="Rame",1,0),4)</f>
        <v>0</v>
      </c>
      <c r="S849" s="238">
        <f ca="1">ROUND(IF(ISERROR(OFFSET(Bronzo!$A$1,MATCH(H849,Bronzo!$A:$A,0)-1,MATCH(I849,Bronzo!$A$1:$AA$1,0)-1)=TRUE),0,OFFSET(Bronzo!$A$1,MATCH(H849,Bronzo!$A:$A,0)-1,MATCH(I849,Bronzo!$A$1:$AA$1,0)-1)),4)</f>
        <v>0</v>
      </c>
      <c r="T849" s="238">
        <f t="shared" ca="1" si="324"/>
        <v>0</v>
      </c>
      <c r="U849" s="237"/>
      <c r="V849" s="238">
        <v>0</v>
      </c>
      <c r="W849" s="239">
        <f t="shared" ca="1" si="325"/>
        <v>0</v>
      </c>
      <c r="X849" s="240">
        <f t="shared" si="323"/>
        <v>0</v>
      </c>
      <c r="Y849" s="236"/>
      <c r="Z849" s="236">
        <f t="shared" ca="1" si="326"/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233"/>
      <c r="G850" s="234"/>
      <c r="H850" s="235"/>
      <c r="I850" s="235"/>
      <c r="J850" s="236"/>
      <c r="K850" s="237">
        <f ca="1">ROUND(IF(ISERROR(OFFSET(Tabella!$A$1,MATCH(H850,Tabella!$A:$A,0)-1,MATCH(J850,Tabella!$A$1:$AC$1,0)-1)=TRUE),0,+OFFSET(Tabella!$A$1,MATCH(H850,Tabella!$A:$A,0)-1,MATCH(J850,Tabella!$A$1:$AC$1,0)-1)),4)</f>
        <v>0</v>
      </c>
      <c r="L850" s="238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238">
        <f ca="1">ROUND(IF(ISERROR(OFFSET(Rame!$A$1,MATCH(H850,Rame!$A:$A,0)-1,MATCH(J850,Rame!$A$1:$AA$1,0)-1)=TRUE),0,OFFSET(Rame!$A$1,MATCH(H850,Rame!$A:$A,0)-1,MATCH(J850,Rame!$A$1:$AA$1,0)-1))*IF(E850="Rame",1,0),4)</f>
        <v>0</v>
      </c>
      <c r="N850" s="238">
        <v>0</v>
      </c>
      <c r="O850" s="238">
        <f t="shared" ca="1" si="327"/>
        <v>0</v>
      </c>
      <c r="P850" s="238">
        <f ca="1">ROUND(+IF(ISERROR(OFFSET(Tabella!$G$1,MATCH(H850,Tabella!$G:$G,0)-1,MATCH(I850,Tabella!$G$1:$FG$1,0)-1)=TRUE),0,OFFSET(Tabella!$G$1,MATCH(H850,Tabella!$G:$G,0)-1,MATCH(I850,Tabella!$G$1:$AB$1,0)-1)),4)</f>
        <v>0</v>
      </c>
      <c r="Q850" s="238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238">
        <f ca="1">ROUND(IF(ISERROR(OFFSET(Rame!$F$1,MATCH(H850,Rame!$F:$F,0)-1,MATCH(I850,Rame!$F$1:$FF$1,0)-1)=TRUE),0,OFFSET(Rame!$F$1,MATCH(H850,Rame!$F:$F,0)-1,MATCH(I850,Rame!$F$1:$FF$1,0)-1))*IF(E850="Rame",1,0),4)</f>
        <v>0</v>
      </c>
      <c r="S850" s="238">
        <f ca="1">ROUND(IF(ISERROR(OFFSET(Bronzo!$A$1,MATCH(H850,Bronzo!$A:$A,0)-1,MATCH(I850,Bronzo!$A$1:$AA$1,0)-1)=TRUE),0,OFFSET(Bronzo!$A$1,MATCH(H850,Bronzo!$A:$A,0)-1,MATCH(I850,Bronzo!$A$1:$AA$1,0)-1)),4)</f>
        <v>0</v>
      </c>
      <c r="T850" s="238">
        <f t="shared" ca="1" si="324"/>
        <v>0</v>
      </c>
      <c r="U850" s="237"/>
      <c r="V850" s="238">
        <v>0</v>
      </c>
      <c r="W850" s="239">
        <f t="shared" ca="1" si="325"/>
        <v>0</v>
      </c>
      <c r="X850" s="240">
        <f t="shared" si="323"/>
        <v>0</v>
      </c>
      <c r="Y850" s="236"/>
      <c r="Z850" s="236">
        <f t="shared" ca="1" si="326"/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233"/>
      <c r="G851" s="234"/>
      <c r="H851" s="235"/>
      <c r="I851" s="235"/>
      <c r="J851" s="236"/>
      <c r="K851" s="237">
        <f ca="1">ROUND(IF(ISERROR(OFFSET(Tabella!$A$1,MATCH(H851,Tabella!$A:$A,0)-1,MATCH(J851,Tabella!$A$1:$AC$1,0)-1)=TRUE),0,+OFFSET(Tabella!$A$1,MATCH(H851,Tabella!$A:$A,0)-1,MATCH(J851,Tabella!$A$1:$AC$1,0)-1)),4)</f>
        <v>0</v>
      </c>
      <c r="L851" s="238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238">
        <f ca="1">ROUND(IF(ISERROR(OFFSET(Rame!$A$1,MATCH(H851,Rame!$A:$A,0)-1,MATCH(J851,Rame!$A$1:$AA$1,0)-1)=TRUE),0,OFFSET(Rame!$A$1,MATCH(H851,Rame!$A:$A,0)-1,MATCH(J851,Rame!$A$1:$AA$1,0)-1))*IF(E851="Rame",1,0),4)</f>
        <v>0</v>
      </c>
      <c r="N851" s="238">
        <v>0</v>
      </c>
      <c r="O851" s="238">
        <f t="shared" ca="1" si="327"/>
        <v>0</v>
      </c>
      <c r="P851" s="238">
        <f ca="1">ROUND(+IF(ISERROR(OFFSET(Tabella!$G$1,MATCH(H851,Tabella!$G:$G,0)-1,MATCH(I851,Tabella!$G$1:$FG$1,0)-1)=TRUE),0,OFFSET(Tabella!$G$1,MATCH(H851,Tabella!$G:$G,0)-1,MATCH(I851,Tabella!$G$1:$AB$1,0)-1)),4)</f>
        <v>0</v>
      </c>
      <c r="Q851" s="238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238">
        <f ca="1">ROUND(IF(ISERROR(OFFSET(Rame!$F$1,MATCH(H851,Rame!$F:$F,0)-1,MATCH(I851,Rame!$F$1:$FF$1,0)-1)=TRUE),0,OFFSET(Rame!$F$1,MATCH(H851,Rame!$F:$F,0)-1,MATCH(I851,Rame!$F$1:$FF$1,0)-1))*IF(E851="Rame",1,0),4)</f>
        <v>0</v>
      </c>
      <c r="S851" s="238">
        <f ca="1">ROUND(IF(ISERROR(OFFSET(Bronzo!$A$1,MATCH(H851,Bronzo!$A:$A,0)-1,MATCH(I851,Bronzo!$A$1:$AA$1,0)-1)=TRUE),0,OFFSET(Bronzo!$A$1,MATCH(H851,Bronzo!$A:$A,0)-1,MATCH(I851,Bronzo!$A$1:$AA$1,0)-1)),4)</f>
        <v>0</v>
      </c>
      <c r="T851" s="238">
        <f t="shared" ca="1" si="324"/>
        <v>0</v>
      </c>
      <c r="U851" s="237"/>
      <c r="V851" s="238">
        <v>0</v>
      </c>
      <c r="W851" s="239">
        <f t="shared" ca="1" si="325"/>
        <v>0</v>
      </c>
      <c r="X851" s="240">
        <f t="shared" si="323"/>
        <v>0</v>
      </c>
      <c r="Y851" s="236"/>
      <c r="Z851" s="236">
        <f t="shared" ca="1" si="326"/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233"/>
      <c r="G852" s="234"/>
      <c r="H852" s="235"/>
      <c r="I852" s="235"/>
      <c r="J852" s="236"/>
      <c r="K852" s="237">
        <f ca="1">ROUND(IF(ISERROR(OFFSET(Tabella!$A$1,MATCH(H852,Tabella!$A:$A,0)-1,MATCH(J852,Tabella!$A$1:$AC$1,0)-1)=TRUE),0,+OFFSET(Tabella!$A$1,MATCH(H852,Tabella!$A:$A,0)-1,MATCH(J852,Tabella!$A$1:$AC$1,0)-1)),4)</f>
        <v>0</v>
      </c>
      <c r="L852" s="238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238">
        <f ca="1">ROUND(IF(ISERROR(OFFSET(Rame!$A$1,MATCH(H852,Rame!$A:$A,0)-1,MATCH(J852,Rame!$A$1:$AA$1,0)-1)=TRUE),0,OFFSET(Rame!$A$1,MATCH(H852,Rame!$A:$A,0)-1,MATCH(J852,Rame!$A$1:$AA$1,0)-1))*IF(E852="Rame",1,0),4)</f>
        <v>0</v>
      </c>
      <c r="N852" s="238">
        <v>0</v>
      </c>
      <c r="O852" s="238">
        <f t="shared" ca="1" si="327"/>
        <v>0</v>
      </c>
      <c r="P852" s="238">
        <f ca="1">ROUND(+IF(ISERROR(OFFSET(Tabella!$G$1,MATCH(H852,Tabella!$G:$G,0)-1,MATCH(I852,Tabella!$G$1:$FG$1,0)-1)=TRUE),0,OFFSET(Tabella!$G$1,MATCH(H852,Tabella!$G:$G,0)-1,MATCH(I852,Tabella!$G$1:$AB$1,0)-1)),4)</f>
        <v>0</v>
      </c>
      <c r="Q852" s="238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238">
        <f ca="1">ROUND(IF(ISERROR(OFFSET(Rame!$F$1,MATCH(H852,Rame!$F:$F,0)-1,MATCH(I852,Rame!$F$1:$FF$1,0)-1)=TRUE),0,OFFSET(Rame!$F$1,MATCH(H852,Rame!$F:$F,0)-1,MATCH(I852,Rame!$F$1:$FF$1,0)-1))*IF(E852="Rame",1,0),4)</f>
        <v>0</v>
      </c>
      <c r="S852" s="238">
        <f ca="1">ROUND(IF(ISERROR(OFFSET(Bronzo!$A$1,MATCH(H852,Bronzo!$A:$A,0)-1,MATCH(I852,Bronzo!$A$1:$AA$1,0)-1)=TRUE),0,OFFSET(Bronzo!$A$1,MATCH(H852,Bronzo!$A:$A,0)-1,MATCH(I852,Bronzo!$A$1:$AA$1,0)-1)),4)</f>
        <v>0</v>
      </c>
      <c r="T852" s="238">
        <f t="shared" ca="1" si="324"/>
        <v>0</v>
      </c>
      <c r="U852" s="237"/>
      <c r="V852" s="238">
        <v>0</v>
      </c>
      <c r="W852" s="239">
        <f t="shared" ca="1" si="325"/>
        <v>0</v>
      </c>
      <c r="X852" s="240">
        <f t="shared" si="323"/>
        <v>0</v>
      </c>
      <c r="Y852" s="236"/>
      <c r="Z852" s="236">
        <f t="shared" ca="1" si="326"/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233"/>
      <c r="G853" s="234"/>
      <c r="H853" s="235"/>
      <c r="I853" s="235"/>
      <c r="J853" s="236"/>
      <c r="K853" s="237">
        <f ca="1">ROUND(IF(ISERROR(OFFSET(Tabella!$A$1,MATCH(H853,Tabella!$A:$A,0)-1,MATCH(J853,Tabella!$A$1:$AC$1,0)-1)=TRUE),0,+OFFSET(Tabella!$A$1,MATCH(H853,Tabella!$A:$A,0)-1,MATCH(J853,Tabella!$A$1:$AC$1,0)-1)),4)</f>
        <v>0</v>
      </c>
      <c r="L853" s="238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238">
        <f ca="1">ROUND(IF(ISERROR(OFFSET(Rame!$A$1,MATCH(H853,Rame!$A:$A,0)-1,MATCH(J853,Rame!$A$1:$AA$1,0)-1)=TRUE),0,OFFSET(Rame!$A$1,MATCH(H853,Rame!$A:$A,0)-1,MATCH(J853,Rame!$A$1:$AA$1,0)-1))*IF(E853="Rame",1,0),4)</f>
        <v>0</v>
      </c>
      <c r="N853" s="238">
        <v>0</v>
      </c>
      <c r="O853" s="238">
        <f t="shared" ca="1" si="327"/>
        <v>0</v>
      </c>
      <c r="P853" s="238">
        <f ca="1">ROUND(+IF(ISERROR(OFFSET(Tabella!$G$1,MATCH(H853,Tabella!$G:$G,0)-1,MATCH(I853,Tabella!$G$1:$FG$1,0)-1)=TRUE),0,OFFSET(Tabella!$G$1,MATCH(H853,Tabella!$G:$G,0)-1,MATCH(I853,Tabella!$G$1:$AB$1,0)-1)),4)</f>
        <v>0</v>
      </c>
      <c r="Q853" s="238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238">
        <f ca="1">ROUND(IF(ISERROR(OFFSET(Rame!$F$1,MATCH(H853,Rame!$F:$F,0)-1,MATCH(I853,Rame!$F$1:$FF$1,0)-1)=TRUE),0,OFFSET(Rame!$F$1,MATCH(H853,Rame!$F:$F,0)-1,MATCH(I853,Rame!$F$1:$FF$1,0)-1))*IF(E853="Rame",1,0),4)</f>
        <v>0</v>
      </c>
      <c r="S853" s="238">
        <f ca="1">ROUND(IF(ISERROR(OFFSET(Bronzo!$A$1,MATCH(H853,Bronzo!$A:$A,0)-1,MATCH(I853,Bronzo!$A$1:$AA$1,0)-1)=TRUE),0,OFFSET(Bronzo!$A$1,MATCH(H853,Bronzo!$A:$A,0)-1,MATCH(I853,Bronzo!$A$1:$AA$1,0)-1)),4)</f>
        <v>0</v>
      </c>
      <c r="T853" s="238">
        <f t="shared" ca="1" si="324"/>
        <v>0</v>
      </c>
      <c r="U853" s="237"/>
      <c r="V853" s="238">
        <v>0</v>
      </c>
      <c r="W853" s="239">
        <f t="shared" ca="1" si="325"/>
        <v>0</v>
      </c>
      <c r="X853" s="240">
        <f t="shared" si="323"/>
        <v>0</v>
      </c>
      <c r="Y853" s="236"/>
      <c r="Z853" s="236">
        <f t="shared" ca="1" si="326"/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233"/>
      <c r="G854" s="234"/>
      <c r="H854" s="235"/>
      <c r="I854" s="235"/>
      <c r="J854" s="236"/>
      <c r="K854" s="237">
        <f ca="1">ROUND(IF(ISERROR(OFFSET(Tabella!$A$1,MATCH(H854,Tabella!$A:$A,0)-1,MATCH(J854,Tabella!$A$1:$AC$1,0)-1)=TRUE),0,+OFFSET(Tabella!$A$1,MATCH(H854,Tabella!$A:$A,0)-1,MATCH(J854,Tabella!$A$1:$AC$1,0)-1)),4)</f>
        <v>0</v>
      </c>
      <c r="L854" s="238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238">
        <f ca="1">ROUND(IF(ISERROR(OFFSET(Rame!$A$1,MATCH(H854,Rame!$A:$A,0)-1,MATCH(J854,Rame!$A$1:$AA$1,0)-1)=TRUE),0,OFFSET(Rame!$A$1,MATCH(H854,Rame!$A:$A,0)-1,MATCH(J854,Rame!$A$1:$AA$1,0)-1))*IF(E854="Rame",1,0),4)</f>
        <v>0</v>
      </c>
      <c r="N854" s="238">
        <v>0</v>
      </c>
      <c r="O854" s="238">
        <f t="shared" ca="1" si="327"/>
        <v>0</v>
      </c>
      <c r="P854" s="238">
        <f ca="1">ROUND(+IF(ISERROR(OFFSET(Tabella!$G$1,MATCH(H854,Tabella!$G:$G,0)-1,MATCH(I854,Tabella!$G$1:$FG$1,0)-1)=TRUE),0,OFFSET(Tabella!$G$1,MATCH(H854,Tabella!$G:$G,0)-1,MATCH(I854,Tabella!$G$1:$AB$1,0)-1)),4)</f>
        <v>0</v>
      </c>
      <c r="Q854" s="238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238">
        <f ca="1">ROUND(IF(ISERROR(OFFSET(Rame!$F$1,MATCH(H854,Rame!$F:$F,0)-1,MATCH(I854,Rame!$F$1:$FF$1,0)-1)=TRUE),0,OFFSET(Rame!$F$1,MATCH(H854,Rame!$F:$F,0)-1,MATCH(I854,Rame!$F$1:$FF$1,0)-1))*IF(E854="Rame",1,0),4)</f>
        <v>0</v>
      </c>
      <c r="S854" s="238">
        <f ca="1">ROUND(IF(ISERROR(OFFSET(Bronzo!$A$1,MATCH(H854,Bronzo!$A:$A,0)-1,MATCH(I854,Bronzo!$A$1:$AA$1,0)-1)=TRUE),0,OFFSET(Bronzo!$A$1,MATCH(H854,Bronzo!$A:$A,0)-1,MATCH(I854,Bronzo!$A$1:$AA$1,0)-1)),4)</f>
        <v>0</v>
      </c>
      <c r="T854" s="238">
        <f t="shared" ca="1" si="324"/>
        <v>0</v>
      </c>
      <c r="U854" s="237"/>
      <c r="V854" s="238">
        <v>0</v>
      </c>
      <c r="W854" s="239">
        <f t="shared" ca="1" si="325"/>
        <v>0</v>
      </c>
      <c r="X854" s="240">
        <f t="shared" si="323"/>
        <v>0</v>
      </c>
      <c r="Y854" s="236"/>
      <c r="Z854" s="236">
        <f t="shared" ca="1" si="326"/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233"/>
      <c r="G855" s="234"/>
      <c r="H855" s="235"/>
      <c r="I855" s="235"/>
      <c r="J855" s="236"/>
      <c r="K855" s="237">
        <f ca="1">ROUND(IF(ISERROR(OFFSET(Tabella!$A$1,MATCH(H855,Tabella!$A:$A,0)-1,MATCH(J855,Tabella!$A$1:$AC$1,0)-1)=TRUE),0,+OFFSET(Tabella!$A$1,MATCH(H855,Tabella!$A:$A,0)-1,MATCH(J855,Tabella!$A$1:$AC$1,0)-1)),4)</f>
        <v>0</v>
      </c>
      <c r="L855" s="238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238">
        <f ca="1">ROUND(IF(ISERROR(OFFSET(Rame!$A$1,MATCH(H855,Rame!$A:$A,0)-1,MATCH(J855,Rame!$A$1:$AA$1,0)-1)=TRUE),0,OFFSET(Rame!$A$1,MATCH(H855,Rame!$A:$A,0)-1,MATCH(J855,Rame!$A$1:$AA$1,0)-1))*IF(E855="Rame",1,0),4)</f>
        <v>0</v>
      </c>
      <c r="N855" s="238">
        <v>0</v>
      </c>
      <c r="O855" s="238">
        <f t="shared" ca="1" si="327"/>
        <v>0</v>
      </c>
      <c r="P855" s="238">
        <f ca="1">ROUND(+IF(ISERROR(OFFSET(Tabella!$G$1,MATCH(H855,Tabella!$G:$G,0)-1,MATCH(I855,Tabella!$G$1:$FG$1,0)-1)=TRUE),0,OFFSET(Tabella!$G$1,MATCH(H855,Tabella!$G:$G,0)-1,MATCH(I855,Tabella!$G$1:$AB$1,0)-1)),4)</f>
        <v>0</v>
      </c>
      <c r="Q855" s="238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238">
        <f ca="1">ROUND(IF(ISERROR(OFFSET(Rame!$F$1,MATCH(H855,Rame!$F:$F,0)-1,MATCH(I855,Rame!$F$1:$FF$1,0)-1)=TRUE),0,OFFSET(Rame!$F$1,MATCH(H855,Rame!$F:$F,0)-1,MATCH(I855,Rame!$F$1:$FF$1,0)-1))*IF(E855="Rame",1,0),4)</f>
        <v>0</v>
      </c>
      <c r="S855" s="238">
        <f ca="1">ROUND(IF(ISERROR(OFFSET(Bronzo!$A$1,MATCH(H855,Bronzo!$A:$A,0)-1,MATCH(I855,Bronzo!$A$1:$AA$1,0)-1)=TRUE),0,OFFSET(Bronzo!$A$1,MATCH(H855,Bronzo!$A:$A,0)-1,MATCH(I855,Bronzo!$A$1:$AA$1,0)-1)),4)</f>
        <v>0</v>
      </c>
      <c r="T855" s="238">
        <f t="shared" ca="1" si="324"/>
        <v>0</v>
      </c>
      <c r="U855" s="237"/>
      <c r="V855" s="238">
        <v>0</v>
      </c>
      <c r="W855" s="239">
        <f t="shared" ca="1" si="325"/>
        <v>0</v>
      </c>
      <c r="X855" s="240">
        <f t="shared" si="323"/>
        <v>0</v>
      </c>
      <c r="Y855" s="236"/>
      <c r="Z855" s="236">
        <f t="shared" ca="1" si="326"/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233"/>
      <c r="G856" s="234"/>
      <c r="H856" s="235"/>
      <c r="I856" s="235"/>
      <c r="J856" s="236"/>
      <c r="K856" s="237">
        <f ca="1">ROUND(IF(ISERROR(OFFSET(Tabella!$A$1,MATCH(H856,Tabella!$A:$A,0)-1,MATCH(J856,Tabella!$A$1:$AC$1,0)-1)=TRUE),0,+OFFSET(Tabella!$A$1,MATCH(H856,Tabella!$A:$A,0)-1,MATCH(J856,Tabella!$A$1:$AC$1,0)-1)),4)</f>
        <v>0</v>
      </c>
      <c r="L856" s="238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238">
        <f ca="1">ROUND(IF(ISERROR(OFFSET(Rame!$A$1,MATCH(H856,Rame!$A:$A,0)-1,MATCH(J856,Rame!$A$1:$AA$1,0)-1)=TRUE),0,OFFSET(Rame!$A$1,MATCH(H856,Rame!$A:$A,0)-1,MATCH(J856,Rame!$A$1:$AA$1,0)-1))*IF(E856="Rame",1,0),4)</f>
        <v>0</v>
      </c>
      <c r="N856" s="238">
        <v>0</v>
      </c>
      <c r="O856" s="238">
        <f t="shared" ca="1" si="327"/>
        <v>0</v>
      </c>
      <c r="P856" s="238">
        <f ca="1">ROUND(+IF(ISERROR(OFFSET(Tabella!$G$1,MATCH(H856,Tabella!$G:$G,0)-1,MATCH(I856,Tabella!$G$1:$FG$1,0)-1)=TRUE),0,OFFSET(Tabella!$G$1,MATCH(H856,Tabella!$G:$G,0)-1,MATCH(I856,Tabella!$G$1:$AB$1,0)-1)),4)</f>
        <v>0</v>
      </c>
      <c r="Q856" s="238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238">
        <f ca="1">ROUND(IF(ISERROR(OFFSET(Rame!$F$1,MATCH(H856,Rame!$F:$F,0)-1,MATCH(I856,Rame!$F$1:$FF$1,0)-1)=TRUE),0,OFFSET(Rame!$F$1,MATCH(H856,Rame!$F:$F,0)-1,MATCH(I856,Rame!$F$1:$FF$1,0)-1))*IF(E856="Rame",1,0),4)</f>
        <v>0</v>
      </c>
      <c r="S856" s="238">
        <f ca="1">ROUND(IF(ISERROR(OFFSET(Bronzo!$A$1,MATCH(H856,Bronzo!$A:$A,0)-1,MATCH(I856,Bronzo!$A$1:$AA$1,0)-1)=TRUE),0,OFFSET(Bronzo!$A$1,MATCH(H856,Bronzo!$A:$A,0)-1,MATCH(I856,Bronzo!$A$1:$AA$1,0)-1)),4)</f>
        <v>0</v>
      </c>
      <c r="T856" s="238">
        <f t="shared" ca="1" si="324"/>
        <v>0</v>
      </c>
      <c r="U856" s="237"/>
      <c r="V856" s="238">
        <v>0</v>
      </c>
      <c r="W856" s="239">
        <f t="shared" ca="1" si="325"/>
        <v>0</v>
      </c>
      <c r="X856" s="240">
        <f t="shared" si="323"/>
        <v>0</v>
      </c>
      <c r="Y856" s="236"/>
      <c r="Z856" s="236">
        <f t="shared" ca="1" si="326"/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233"/>
      <c r="G857" s="234"/>
      <c r="H857" s="235"/>
      <c r="I857" s="235"/>
      <c r="J857" s="236"/>
      <c r="K857" s="237">
        <f ca="1">ROUND(IF(ISERROR(OFFSET(Tabella!$A$1,MATCH(H857,Tabella!$A:$A,0)-1,MATCH(J857,Tabella!$A$1:$AC$1,0)-1)=TRUE),0,+OFFSET(Tabella!$A$1,MATCH(H857,Tabella!$A:$A,0)-1,MATCH(J857,Tabella!$A$1:$AC$1,0)-1)),4)</f>
        <v>0</v>
      </c>
      <c r="L857" s="238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238">
        <f ca="1">ROUND(IF(ISERROR(OFFSET(Rame!$A$1,MATCH(H857,Rame!$A:$A,0)-1,MATCH(J857,Rame!$A$1:$AA$1,0)-1)=TRUE),0,OFFSET(Rame!$A$1,MATCH(H857,Rame!$A:$A,0)-1,MATCH(J857,Rame!$A$1:$AA$1,0)-1))*IF(E857="Rame",1,0),4)</f>
        <v>0</v>
      </c>
      <c r="N857" s="238">
        <v>0</v>
      </c>
      <c r="O857" s="238">
        <f t="shared" ca="1" si="327"/>
        <v>0</v>
      </c>
      <c r="P857" s="238">
        <f ca="1">ROUND(+IF(ISERROR(OFFSET(Tabella!$G$1,MATCH(H857,Tabella!$G:$G,0)-1,MATCH(I857,Tabella!$G$1:$FG$1,0)-1)=TRUE),0,OFFSET(Tabella!$G$1,MATCH(H857,Tabella!$G:$G,0)-1,MATCH(I857,Tabella!$G$1:$AB$1,0)-1)),4)</f>
        <v>0</v>
      </c>
      <c r="Q857" s="238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238">
        <f ca="1">ROUND(IF(ISERROR(OFFSET(Rame!$F$1,MATCH(H857,Rame!$F:$F,0)-1,MATCH(I857,Rame!$F$1:$FF$1,0)-1)=TRUE),0,OFFSET(Rame!$F$1,MATCH(H857,Rame!$F:$F,0)-1,MATCH(I857,Rame!$F$1:$FF$1,0)-1))*IF(E857="Rame",1,0),4)</f>
        <v>0</v>
      </c>
      <c r="S857" s="238">
        <f ca="1">ROUND(IF(ISERROR(OFFSET(Bronzo!$A$1,MATCH(H857,Bronzo!$A:$A,0)-1,MATCH(I857,Bronzo!$A$1:$AA$1,0)-1)=TRUE),0,OFFSET(Bronzo!$A$1,MATCH(H857,Bronzo!$A:$A,0)-1,MATCH(I857,Bronzo!$A$1:$AA$1,0)-1)),4)</f>
        <v>0</v>
      </c>
      <c r="T857" s="238">
        <f t="shared" ca="1" si="324"/>
        <v>0</v>
      </c>
      <c r="U857" s="237"/>
      <c r="V857" s="238">
        <v>0</v>
      </c>
      <c r="W857" s="239">
        <f t="shared" ca="1" si="325"/>
        <v>0</v>
      </c>
      <c r="X857" s="240">
        <f t="shared" si="323"/>
        <v>0</v>
      </c>
      <c r="Y857" s="236"/>
      <c r="Z857" s="236">
        <f t="shared" ca="1" si="326"/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233"/>
      <c r="G858" s="234"/>
      <c r="H858" s="235"/>
      <c r="I858" s="235"/>
      <c r="J858" s="236"/>
      <c r="K858" s="237">
        <f ca="1">ROUND(IF(ISERROR(OFFSET(Tabella!$A$1,MATCH(H858,Tabella!$A:$A,0)-1,MATCH(J858,Tabella!$A$1:$AC$1,0)-1)=TRUE),0,+OFFSET(Tabella!$A$1,MATCH(H858,Tabella!$A:$A,0)-1,MATCH(J858,Tabella!$A$1:$AC$1,0)-1)),4)</f>
        <v>0</v>
      </c>
      <c r="L858" s="238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238">
        <f ca="1">ROUND(IF(ISERROR(OFFSET(Rame!$A$1,MATCH(H858,Rame!$A:$A,0)-1,MATCH(J858,Rame!$A$1:$AA$1,0)-1)=TRUE),0,OFFSET(Rame!$A$1,MATCH(H858,Rame!$A:$A,0)-1,MATCH(J858,Rame!$A$1:$AA$1,0)-1))*IF(E858="Rame",1,0),4)</f>
        <v>0</v>
      </c>
      <c r="N858" s="238">
        <v>0</v>
      </c>
      <c r="O858" s="238">
        <f t="shared" ca="1" si="327"/>
        <v>0</v>
      </c>
      <c r="P858" s="238">
        <f ca="1">ROUND(+IF(ISERROR(OFFSET(Tabella!$G$1,MATCH(H858,Tabella!$G:$G,0)-1,MATCH(I858,Tabella!$G$1:$FG$1,0)-1)=TRUE),0,OFFSET(Tabella!$G$1,MATCH(H858,Tabella!$G:$G,0)-1,MATCH(I858,Tabella!$G$1:$AB$1,0)-1)),4)</f>
        <v>0</v>
      </c>
      <c r="Q858" s="238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238">
        <f ca="1">ROUND(IF(ISERROR(OFFSET(Rame!$F$1,MATCH(H858,Rame!$F:$F,0)-1,MATCH(I858,Rame!$F$1:$FF$1,0)-1)=TRUE),0,OFFSET(Rame!$F$1,MATCH(H858,Rame!$F:$F,0)-1,MATCH(I858,Rame!$F$1:$FF$1,0)-1))*IF(E858="Rame",1,0),4)</f>
        <v>0</v>
      </c>
      <c r="S858" s="238">
        <f ca="1">ROUND(IF(ISERROR(OFFSET(Bronzo!$A$1,MATCH(H858,Bronzo!$A:$A,0)-1,MATCH(I858,Bronzo!$A$1:$AA$1,0)-1)=TRUE),0,OFFSET(Bronzo!$A$1,MATCH(H858,Bronzo!$A:$A,0)-1,MATCH(I858,Bronzo!$A$1:$AA$1,0)-1)),4)</f>
        <v>0</v>
      </c>
      <c r="T858" s="238">
        <f t="shared" ca="1" si="324"/>
        <v>0</v>
      </c>
      <c r="U858" s="237"/>
      <c r="V858" s="238">
        <v>0</v>
      </c>
      <c r="W858" s="239">
        <f t="shared" ca="1" si="325"/>
        <v>0</v>
      </c>
      <c r="X858" s="240">
        <f t="shared" si="323"/>
        <v>0</v>
      </c>
      <c r="Y858" s="236"/>
      <c r="Z858" s="236">
        <f t="shared" ca="1" si="326"/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233"/>
      <c r="G859" s="234"/>
      <c r="H859" s="235"/>
      <c r="I859" s="235"/>
      <c r="J859" s="236"/>
      <c r="K859" s="237">
        <f ca="1">ROUND(IF(ISERROR(OFFSET(Tabella!$A$1,MATCH(H859,Tabella!$A:$A,0)-1,MATCH(J859,Tabella!$A$1:$AC$1,0)-1)=TRUE),0,+OFFSET(Tabella!$A$1,MATCH(H859,Tabella!$A:$A,0)-1,MATCH(J859,Tabella!$A$1:$AC$1,0)-1)),4)</f>
        <v>0</v>
      </c>
      <c r="L859" s="238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238">
        <f ca="1">ROUND(IF(ISERROR(OFFSET(Rame!$A$1,MATCH(H859,Rame!$A:$A,0)-1,MATCH(J859,Rame!$A$1:$AA$1,0)-1)=TRUE),0,OFFSET(Rame!$A$1,MATCH(H859,Rame!$A:$A,0)-1,MATCH(J859,Rame!$A$1:$AA$1,0)-1))*IF(E859="Rame",1,0),4)</f>
        <v>0</v>
      </c>
      <c r="N859" s="238">
        <v>0</v>
      </c>
      <c r="O859" s="238">
        <f t="shared" ca="1" si="327"/>
        <v>0</v>
      </c>
      <c r="P859" s="238">
        <f ca="1">ROUND(+IF(ISERROR(OFFSET(Tabella!$G$1,MATCH(H859,Tabella!$G:$G,0)-1,MATCH(I859,Tabella!$G$1:$FG$1,0)-1)=TRUE),0,OFFSET(Tabella!$G$1,MATCH(H859,Tabella!$G:$G,0)-1,MATCH(I859,Tabella!$G$1:$AB$1,0)-1)),4)</f>
        <v>0</v>
      </c>
      <c r="Q859" s="238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238">
        <f ca="1">ROUND(IF(ISERROR(OFFSET(Rame!$F$1,MATCH(H859,Rame!$F:$F,0)-1,MATCH(I859,Rame!$F$1:$FF$1,0)-1)=TRUE),0,OFFSET(Rame!$F$1,MATCH(H859,Rame!$F:$F,0)-1,MATCH(I859,Rame!$F$1:$FF$1,0)-1))*IF(E859="Rame",1,0),4)</f>
        <v>0</v>
      </c>
      <c r="S859" s="238">
        <f ca="1">ROUND(IF(ISERROR(OFFSET(Bronzo!$A$1,MATCH(H859,Bronzo!$A:$A,0)-1,MATCH(I859,Bronzo!$A$1:$AA$1,0)-1)=TRUE),0,OFFSET(Bronzo!$A$1,MATCH(H859,Bronzo!$A:$A,0)-1,MATCH(I859,Bronzo!$A$1:$AA$1,0)-1)),4)</f>
        <v>0</v>
      </c>
      <c r="T859" s="238">
        <f t="shared" ca="1" si="324"/>
        <v>0</v>
      </c>
      <c r="U859" s="237"/>
      <c r="V859" s="238">
        <v>0</v>
      </c>
      <c r="W859" s="239">
        <f t="shared" ca="1" si="325"/>
        <v>0</v>
      </c>
      <c r="X859" s="240">
        <f t="shared" si="323"/>
        <v>0</v>
      </c>
      <c r="Y859" s="236"/>
      <c r="Z859" s="236">
        <f t="shared" ca="1" si="326"/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233"/>
      <c r="G860" s="234"/>
      <c r="H860" s="235"/>
      <c r="I860" s="235"/>
      <c r="J860" s="236"/>
      <c r="K860" s="237">
        <f ca="1">ROUND(IF(ISERROR(OFFSET(Tabella!$A$1,MATCH(H860,Tabella!$A:$A,0)-1,MATCH(J860,Tabella!$A$1:$AC$1,0)-1)=TRUE),0,+OFFSET(Tabella!$A$1,MATCH(H860,Tabella!$A:$A,0)-1,MATCH(J860,Tabella!$A$1:$AC$1,0)-1)),4)</f>
        <v>0</v>
      </c>
      <c r="L860" s="238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238">
        <f ca="1">ROUND(IF(ISERROR(OFFSET(Rame!$A$1,MATCH(H860,Rame!$A:$A,0)-1,MATCH(J860,Rame!$A$1:$AA$1,0)-1)=TRUE),0,OFFSET(Rame!$A$1,MATCH(H860,Rame!$A:$A,0)-1,MATCH(J860,Rame!$A$1:$AA$1,0)-1))*IF(E860="Rame",1,0),4)</f>
        <v>0</v>
      </c>
      <c r="N860" s="238">
        <v>0</v>
      </c>
      <c r="O860" s="238">
        <f t="shared" ca="1" si="327"/>
        <v>0</v>
      </c>
      <c r="P860" s="238">
        <f ca="1">ROUND(+IF(ISERROR(OFFSET(Tabella!$G$1,MATCH(H860,Tabella!$G:$G,0)-1,MATCH(I860,Tabella!$G$1:$FG$1,0)-1)=TRUE),0,OFFSET(Tabella!$G$1,MATCH(H860,Tabella!$G:$G,0)-1,MATCH(I860,Tabella!$G$1:$AB$1,0)-1)),4)</f>
        <v>0</v>
      </c>
      <c r="Q860" s="238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238">
        <f ca="1">ROUND(IF(ISERROR(OFFSET(Rame!$F$1,MATCH(H860,Rame!$F:$F,0)-1,MATCH(I860,Rame!$F$1:$FF$1,0)-1)=TRUE),0,OFFSET(Rame!$F$1,MATCH(H860,Rame!$F:$F,0)-1,MATCH(I860,Rame!$F$1:$FF$1,0)-1))*IF(E860="Rame",1,0),4)</f>
        <v>0</v>
      </c>
      <c r="S860" s="238">
        <f ca="1">ROUND(IF(ISERROR(OFFSET(Bronzo!$A$1,MATCH(H860,Bronzo!$A:$A,0)-1,MATCH(I860,Bronzo!$A$1:$AA$1,0)-1)=TRUE),0,OFFSET(Bronzo!$A$1,MATCH(H860,Bronzo!$A:$A,0)-1,MATCH(I860,Bronzo!$A$1:$AA$1,0)-1)),4)</f>
        <v>0</v>
      </c>
      <c r="T860" s="238">
        <f t="shared" ca="1" si="324"/>
        <v>0</v>
      </c>
      <c r="U860" s="237"/>
      <c r="V860" s="238">
        <v>0</v>
      </c>
      <c r="W860" s="239">
        <f t="shared" ca="1" si="325"/>
        <v>0</v>
      </c>
      <c r="X860" s="240">
        <f t="shared" ref="X860:X923" si="328">ROUND(+J860*D860,4)</f>
        <v>0</v>
      </c>
      <c r="Y860" s="236"/>
      <c r="Z860" s="236">
        <f t="shared" ca="1" si="326"/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233"/>
      <c r="G861" s="234"/>
      <c r="H861" s="235"/>
      <c r="I861" s="235"/>
      <c r="J861" s="236"/>
      <c r="K861" s="237">
        <f ca="1">ROUND(IF(ISERROR(OFFSET(Tabella!$A$1,MATCH(H861,Tabella!$A:$A,0)-1,MATCH(J861,Tabella!$A$1:$AC$1,0)-1)=TRUE),0,+OFFSET(Tabella!$A$1,MATCH(H861,Tabella!$A:$A,0)-1,MATCH(J861,Tabella!$A$1:$AC$1,0)-1)),4)</f>
        <v>0</v>
      </c>
      <c r="L861" s="238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238">
        <f ca="1">ROUND(IF(ISERROR(OFFSET(Rame!$A$1,MATCH(H861,Rame!$A:$A,0)-1,MATCH(J861,Rame!$A$1:$AA$1,0)-1)=TRUE),0,OFFSET(Rame!$A$1,MATCH(H861,Rame!$A:$A,0)-1,MATCH(J861,Rame!$A$1:$AA$1,0)-1))*IF(E861="Rame",1,0),4)</f>
        <v>0</v>
      </c>
      <c r="N861" s="238">
        <v>0</v>
      </c>
      <c r="O861" s="238">
        <f t="shared" ca="1" si="327"/>
        <v>0</v>
      </c>
      <c r="P861" s="238">
        <f ca="1">ROUND(+IF(ISERROR(OFFSET(Tabella!$G$1,MATCH(H861,Tabella!$G:$G,0)-1,MATCH(I861,Tabella!$G$1:$FG$1,0)-1)=TRUE),0,OFFSET(Tabella!$G$1,MATCH(H861,Tabella!$G:$G,0)-1,MATCH(I861,Tabella!$G$1:$AB$1,0)-1)),4)</f>
        <v>0</v>
      </c>
      <c r="Q861" s="238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238">
        <f ca="1">ROUND(IF(ISERROR(OFFSET(Rame!$F$1,MATCH(H861,Rame!$F:$F,0)-1,MATCH(I861,Rame!$F$1:$FF$1,0)-1)=TRUE),0,OFFSET(Rame!$F$1,MATCH(H861,Rame!$F:$F,0)-1,MATCH(I861,Rame!$F$1:$FF$1,0)-1))*IF(E861="Rame",1,0),4)</f>
        <v>0</v>
      </c>
      <c r="S861" s="238">
        <f ca="1">ROUND(IF(ISERROR(OFFSET(Bronzo!$A$1,MATCH(H861,Bronzo!$A:$A,0)-1,MATCH(I861,Bronzo!$A$1:$AA$1,0)-1)=TRUE),0,OFFSET(Bronzo!$A$1,MATCH(H861,Bronzo!$A:$A,0)-1,MATCH(I861,Bronzo!$A$1:$AA$1,0)-1)),4)</f>
        <v>0</v>
      </c>
      <c r="T861" s="238">
        <f t="shared" ca="1" si="324"/>
        <v>0</v>
      </c>
      <c r="U861" s="237"/>
      <c r="V861" s="238">
        <v>0</v>
      </c>
      <c r="W861" s="239">
        <f t="shared" ca="1" si="325"/>
        <v>0</v>
      </c>
      <c r="X861" s="240">
        <f t="shared" si="328"/>
        <v>0</v>
      </c>
      <c r="Y861" s="236"/>
      <c r="Z861" s="236">
        <f t="shared" ca="1" si="326"/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233"/>
      <c r="G862" s="234"/>
      <c r="H862" s="235"/>
      <c r="I862" s="235"/>
      <c r="J862" s="236"/>
      <c r="K862" s="237">
        <f ca="1">ROUND(IF(ISERROR(OFFSET(Tabella!$A$1,MATCH(H862,Tabella!$A:$A,0)-1,MATCH(J862,Tabella!$A$1:$AC$1,0)-1)=TRUE),0,+OFFSET(Tabella!$A$1,MATCH(H862,Tabella!$A:$A,0)-1,MATCH(J862,Tabella!$A$1:$AC$1,0)-1)),4)</f>
        <v>0</v>
      </c>
      <c r="L862" s="238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238">
        <f ca="1">ROUND(IF(ISERROR(OFFSET(Rame!$A$1,MATCH(H862,Rame!$A:$A,0)-1,MATCH(J862,Rame!$A$1:$AA$1,0)-1)=TRUE),0,OFFSET(Rame!$A$1,MATCH(H862,Rame!$A:$A,0)-1,MATCH(J862,Rame!$A$1:$AA$1,0)-1))*IF(E862="Rame",1,0),4)</f>
        <v>0</v>
      </c>
      <c r="N862" s="238">
        <v>0</v>
      </c>
      <c r="O862" s="238">
        <f t="shared" ca="1" si="327"/>
        <v>0</v>
      </c>
      <c r="P862" s="238">
        <f ca="1">ROUND(+IF(ISERROR(OFFSET(Tabella!$G$1,MATCH(H862,Tabella!$G:$G,0)-1,MATCH(I862,Tabella!$G$1:$FG$1,0)-1)=TRUE),0,OFFSET(Tabella!$G$1,MATCH(H862,Tabella!$G:$G,0)-1,MATCH(I862,Tabella!$G$1:$AB$1,0)-1)),4)</f>
        <v>0</v>
      </c>
      <c r="Q862" s="238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238">
        <f ca="1">ROUND(IF(ISERROR(OFFSET(Rame!$F$1,MATCH(H862,Rame!$F:$F,0)-1,MATCH(I862,Rame!$F$1:$FF$1,0)-1)=TRUE),0,OFFSET(Rame!$F$1,MATCH(H862,Rame!$F:$F,0)-1,MATCH(I862,Rame!$F$1:$FF$1,0)-1))*IF(E862="Rame",1,0),4)</f>
        <v>0</v>
      </c>
      <c r="S862" s="238">
        <f ca="1">ROUND(IF(ISERROR(OFFSET(Bronzo!$A$1,MATCH(H862,Bronzo!$A:$A,0)-1,MATCH(I862,Bronzo!$A$1:$AA$1,0)-1)=TRUE),0,OFFSET(Bronzo!$A$1,MATCH(H862,Bronzo!$A:$A,0)-1,MATCH(I862,Bronzo!$A$1:$AA$1,0)-1)),4)</f>
        <v>0</v>
      </c>
      <c r="T862" s="238">
        <f t="shared" ca="1" si="324"/>
        <v>0</v>
      </c>
      <c r="U862" s="237"/>
      <c r="V862" s="238">
        <v>0</v>
      </c>
      <c r="W862" s="239">
        <f t="shared" ca="1" si="325"/>
        <v>0</v>
      </c>
      <c r="X862" s="240">
        <f t="shared" si="328"/>
        <v>0</v>
      </c>
      <c r="Y862" s="236"/>
      <c r="Z862" s="236">
        <f t="shared" ca="1" si="326"/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233"/>
      <c r="G863" s="234"/>
      <c r="H863" s="235"/>
      <c r="I863" s="235"/>
      <c r="J863" s="236"/>
      <c r="K863" s="237">
        <f ca="1">ROUND(IF(ISERROR(OFFSET(Tabella!$A$1,MATCH(H863,Tabella!$A:$A,0)-1,MATCH(J863,Tabella!$A$1:$AC$1,0)-1)=TRUE),0,+OFFSET(Tabella!$A$1,MATCH(H863,Tabella!$A:$A,0)-1,MATCH(J863,Tabella!$A$1:$AC$1,0)-1)),4)</f>
        <v>0</v>
      </c>
      <c r="L863" s="238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238">
        <f ca="1">ROUND(IF(ISERROR(OFFSET(Rame!$A$1,MATCH(H863,Rame!$A:$A,0)-1,MATCH(J863,Rame!$A$1:$AA$1,0)-1)=TRUE),0,OFFSET(Rame!$A$1,MATCH(H863,Rame!$A:$A,0)-1,MATCH(J863,Rame!$A$1:$AA$1,0)-1))*IF(E863="Rame",1,0),4)</f>
        <v>0</v>
      </c>
      <c r="N863" s="238">
        <v>0</v>
      </c>
      <c r="O863" s="238">
        <f t="shared" ca="1" si="327"/>
        <v>0</v>
      </c>
      <c r="P863" s="238">
        <f ca="1">ROUND(+IF(ISERROR(OFFSET(Tabella!$G$1,MATCH(H863,Tabella!$G:$G,0)-1,MATCH(I863,Tabella!$G$1:$FG$1,0)-1)=TRUE),0,OFFSET(Tabella!$G$1,MATCH(H863,Tabella!$G:$G,0)-1,MATCH(I863,Tabella!$G$1:$AB$1,0)-1)),4)</f>
        <v>0</v>
      </c>
      <c r="Q863" s="238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238">
        <f ca="1">ROUND(IF(ISERROR(OFFSET(Rame!$F$1,MATCH(H863,Rame!$F:$F,0)-1,MATCH(I863,Rame!$F$1:$FF$1,0)-1)=TRUE),0,OFFSET(Rame!$F$1,MATCH(H863,Rame!$F:$F,0)-1,MATCH(I863,Rame!$F$1:$FF$1,0)-1))*IF(E863="Rame",1,0),4)</f>
        <v>0</v>
      </c>
      <c r="S863" s="238">
        <f ca="1">ROUND(IF(ISERROR(OFFSET(Bronzo!$A$1,MATCH(H863,Bronzo!$A:$A,0)-1,MATCH(I863,Bronzo!$A$1:$AA$1,0)-1)=TRUE),0,OFFSET(Bronzo!$A$1,MATCH(H863,Bronzo!$A:$A,0)-1,MATCH(I863,Bronzo!$A$1:$AA$1,0)-1)),4)</f>
        <v>0</v>
      </c>
      <c r="T863" s="238">
        <f t="shared" ca="1" si="324"/>
        <v>0</v>
      </c>
      <c r="U863" s="237"/>
      <c r="V863" s="238">
        <v>0</v>
      </c>
      <c r="W863" s="239">
        <f t="shared" ca="1" si="325"/>
        <v>0</v>
      </c>
      <c r="X863" s="240">
        <f t="shared" si="328"/>
        <v>0</v>
      </c>
      <c r="Y863" s="236"/>
      <c r="Z863" s="236">
        <f t="shared" ca="1" si="326"/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233"/>
      <c r="G864" s="234"/>
      <c r="H864" s="235"/>
      <c r="I864" s="235"/>
      <c r="J864" s="236"/>
      <c r="K864" s="237">
        <f ca="1">ROUND(IF(ISERROR(OFFSET(Tabella!$A$1,MATCH(H864,Tabella!$A:$A,0)-1,MATCH(J864,Tabella!$A$1:$AC$1,0)-1)=TRUE),0,+OFFSET(Tabella!$A$1,MATCH(H864,Tabella!$A:$A,0)-1,MATCH(J864,Tabella!$A$1:$AC$1,0)-1)),4)</f>
        <v>0</v>
      </c>
      <c r="L864" s="238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238">
        <f ca="1">ROUND(IF(ISERROR(OFFSET(Rame!$A$1,MATCH(H864,Rame!$A:$A,0)-1,MATCH(J864,Rame!$A$1:$AA$1,0)-1)=TRUE),0,OFFSET(Rame!$A$1,MATCH(H864,Rame!$A:$A,0)-1,MATCH(J864,Rame!$A$1:$AA$1,0)-1))*IF(E864="Rame",1,0),4)</f>
        <v>0</v>
      </c>
      <c r="N864" s="238">
        <v>0</v>
      </c>
      <c r="O864" s="238">
        <f t="shared" ca="1" si="327"/>
        <v>0</v>
      </c>
      <c r="P864" s="238">
        <f ca="1">ROUND(+IF(ISERROR(OFFSET(Tabella!$G$1,MATCH(H864,Tabella!$G:$G,0)-1,MATCH(I864,Tabella!$G$1:$FG$1,0)-1)=TRUE),0,OFFSET(Tabella!$G$1,MATCH(H864,Tabella!$G:$G,0)-1,MATCH(I864,Tabella!$G$1:$AB$1,0)-1)),4)</f>
        <v>0</v>
      </c>
      <c r="Q864" s="238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238">
        <f ca="1">ROUND(IF(ISERROR(OFFSET(Rame!$F$1,MATCH(H864,Rame!$F:$F,0)-1,MATCH(I864,Rame!$F$1:$FF$1,0)-1)=TRUE),0,OFFSET(Rame!$F$1,MATCH(H864,Rame!$F:$F,0)-1,MATCH(I864,Rame!$F$1:$FF$1,0)-1))*IF(E864="Rame",1,0),4)</f>
        <v>0</v>
      </c>
      <c r="S864" s="238">
        <f ca="1">ROUND(IF(ISERROR(OFFSET(Bronzo!$A$1,MATCH(H864,Bronzo!$A:$A,0)-1,MATCH(I864,Bronzo!$A$1:$AA$1,0)-1)=TRUE),0,OFFSET(Bronzo!$A$1,MATCH(H864,Bronzo!$A:$A,0)-1,MATCH(I864,Bronzo!$A$1:$AA$1,0)-1)),4)</f>
        <v>0</v>
      </c>
      <c r="T864" s="238">
        <f t="shared" ca="1" si="324"/>
        <v>0</v>
      </c>
      <c r="U864" s="237"/>
      <c r="V864" s="238">
        <v>0</v>
      </c>
      <c r="W864" s="239">
        <f t="shared" ca="1" si="325"/>
        <v>0</v>
      </c>
      <c r="X864" s="240">
        <f t="shared" si="328"/>
        <v>0</v>
      </c>
      <c r="Y864" s="236"/>
      <c r="Z864" s="236">
        <f t="shared" ca="1" si="326"/>
        <v>0</v>
      </c>
      <c r="AA864" s="241"/>
      <c r="AH864" s="242"/>
    </row>
    <row r="865" spans="2:34" ht="15.75" x14ac:dyDescent="0.25">
      <c r="B865" s="229"/>
      <c r="C865" s="235"/>
      <c r="D865" s="243"/>
      <c r="E865" s="232"/>
      <c r="F865" s="233"/>
      <c r="G865" s="234"/>
      <c r="H865" s="235"/>
      <c r="I865" s="235"/>
      <c r="J865" s="236"/>
      <c r="K865" s="237">
        <f ca="1">ROUND(IF(ISERROR(OFFSET(Tabella!$A$1,MATCH(H865,Tabella!$A:$A,0)-1,MATCH(J865,Tabella!$A$1:$AC$1,0)-1)=TRUE),0,+OFFSET(Tabella!$A$1,MATCH(H865,Tabella!$A:$A,0)-1,MATCH(J865,Tabella!$A$1:$AC$1,0)-1)),4)</f>
        <v>0</v>
      </c>
      <c r="L865" s="238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238">
        <f ca="1">ROUND(IF(ISERROR(OFFSET(Rame!$A$1,MATCH(H865,Rame!$A:$A,0)-1,MATCH(J865,Rame!$A$1:$AA$1,0)-1)=TRUE),0,OFFSET(Rame!$A$1,MATCH(H865,Rame!$A:$A,0)-1,MATCH(J865,Rame!$A$1:$AA$1,0)-1))*IF(E865="Rame",1,0),4)</f>
        <v>0</v>
      </c>
      <c r="N865" s="238">
        <v>0</v>
      </c>
      <c r="O865" s="238">
        <f t="shared" ca="1" si="327"/>
        <v>0</v>
      </c>
      <c r="P865" s="238">
        <f ca="1">ROUND(+IF(ISERROR(OFFSET(Tabella!$G$1,MATCH(H865,Tabella!$G:$G,0)-1,MATCH(I865,Tabella!$G$1:$FG$1,0)-1)=TRUE),0,OFFSET(Tabella!$G$1,MATCH(H865,Tabella!$G:$G,0)-1,MATCH(I865,Tabella!$G$1:$AB$1,0)-1)),4)</f>
        <v>0</v>
      </c>
      <c r="Q865" s="238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238">
        <f ca="1">ROUND(IF(ISERROR(OFFSET(Rame!$F$1,MATCH(H865,Rame!$F:$F,0)-1,MATCH(I865,Rame!$F$1:$FF$1,0)-1)=TRUE),0,OFFSET(Rame!$F$1,MATCH(H865,Rame!$F:$F,0)-1,MATCH(I865,Rame!$F$1:$FF$1,0)-1))*IF(E865="Rame",1,0),4)</f>
        <v>0</v>
      </c>
      <c r="S865" s="238">
        <f ca="1">ROUND(IF(ISERROR(OFFSET(Bronzo!$A$1,MATCH(H865,Bronzo!$A:$A,0)-1,MATCH(I865,Bronzo!$A$1:$AA$1,0)-1)=TRUE),0,OFFSET(Bronzo!$A$1,MATCH(H865,Bronzo!$A:$A,0)-1,MATCH(I865,Bronzo!$A$1:$AA$1,0)-1)),4)</f>
        <v>0</v>
      </c>
      <c r="T865" s="238">
        <f t="shared" ca="1" si="324"/>
        <v>0</v>
      </c>
      <c r="U865" s="237"/>
      <c r="V865" s="238">
        <v>0</v>
      </c>
      <c r="W865" s="239">
        <f t="shared" ca="1" si="325"/>
        <v>0</v>
      </c>
      <c r="X865" s="240">
        <f t="shared" si="328"/>
        <v>0</v>
      </c>
      <c r="Y865" s="236"/>
      <c r="Z865" s="236">
        <f t="shared" ca="1" si="326"/>
        <v>0</v>
      </c>
      <c r="AA865" s="241"/>
      <c r="AH865" s="242"/>
    </row>
    <row r="866" spans="2:34" ht="15.75" x14ac:dyDescent="0.25">
      <c r="B866" s="229"/>
      <c r="C866" s="235"/>
      <c r="D866" s="243"/>
      <c r="E866" s="232"/>
      <c r="F866" s="233"/>
      <c r="G866" s="234"/>
      <c r="H866" s="235"/>
      <c r="I866" s="235"/>
      <c r="J866" s="236"/>
      <c r="K866" s="237">
        <f ca="1">ROUND(IF(ISERROR(OFFSET(Tabella!$A$1,MATCH(H866,Tabella!$A:$A,0)-1,MATCH(J866,Tabella!$A$1:$AC$1,0)-1)=TRUE),0,+OFFSET(Tabella!$A$1,MATCH(H866,Tabella!$A:$A,0)-1,MATCH(J866,Tabella!$A$1:$AC$1,0)-1)),4)</f>
        <v>0</v>
      </c>
      <c r="L866" s="238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238">
        <f ca="1">ROUND(IF(ISERROR(OFFSET(Rame!$A$1,MATCH(H866,Rame!$A:$A,0)-1,MATCH(J866,Rame!$A$1:$AA$1,0)-1)=TRUE),0,OFFSET(Rame!$A$1,MATCH(H866,Rame!$A:$A,0)-1,MATCH(J866,Rame!$A$1:$AA$1,0)-1))*IF(E866="Rame",1,0),4)</f>
        <v>0</v>
      </c>
      <c r="N866" s="238">
        <v>0</v>
      </c>
      <c r="O866" s="238">
        <f t="shared" ca="1" si="327"/>
        <v>0</v>
      </c>
      <c r="P866" s="238">
        <f ca="1">ROUND(+IF(ISERROR(OFFSET(Tabella!$G$1,MATCH(H866,Tabella!$G:$G,0)-1,MATCH(I866,Tabella!$G$1:$FG$1,0)-1)=TRUE),0,OFFSET(Tabella!$G$1,MATCH(H866,Tabella!$G:$G,0)-1,MATCH(I866,Tabella!$G$1:$AB$1,0)-1)),4)</f>
        <v>0</v>
      </c>
      <c r="Q866" s="238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238">
        <f ca="1">ROUND(IF(ISERROR(OFFSET(Rame!$F$1,MATCH(H866,Rame!$F:$F,0)-1,MATCH(I866,Rame!$F$1:$FF$1,0)-1)=TRUE),0,OFFSET(Rame!$F$1,MATCH(H866,Rame!$F:$F,0)-1,MATCH(I866,Rame!$F$1:$FF$1,0)-1))*IF(E866="Rame",1,0),4)</f>
        <v>0</v>
      </c>
      <c r="S866" s="238">
        <f ca="1">ROUND(IF(ISERROR(OFFSET(Bronzo!$A$1,MATCH(H866,Bronzo!$A:$A,0)-1,MATCH(I866,Bronzo!$A$1:$AA$1,0)-1)=TRUE),0,OFFSET(Bronzo!$A$1,MATCH(H866,Bronzo!$A:$A,0)-1,MATCH(I866,Bronzo!$A$1:$AA$1,0)-1)),4)</f>
        <v>0</v>
      </c>
      <c r="T866" s="238">
        <f t="shared" ref="T866:T929" ca="1" si="329">ROUND(SUM(P866:S866),4)</f>
        <v>0</v>
      </c>
      <c r="U866" s="237"/>
      <c r="V866" s="238">
        <v>0</v>
      </c>
      <c r="W866" s="239">
        <f t="shared" ref="W866:W929" ca="1" si="330">ROUND(+O866+T866+U866+V866,4)</f>
        <v>0</v>
      </c>
      <c r="X866" s="240">
        <f t="shared" si="328"/>
        <v>0</v>
      </c>
      <c r="Y866" s="236"/>
      <c r="Z866" s="236">
        <f t="shared" ref="Z866:Z929" ca="1" si="331">ROUND(+Y866-W866-F866,4)</f>
        <v>0</v>
      </c>
      <c r="AA866" s="241"/>
      <c r="AH866" s="242"/>
    </row>
    <row r="867" spans="2:34" ht="15.75" x14ac:dyDescent="0.25">
      <c r="B867" s="229"/>
      <c r="C867" s="235"/>
      <c r="D867" s="243"/>
      <c r="E867" s="232"/>
      <c r="F867" s="233"/>
      <c r="G867" s="234"/>
      <c r="H867" s="235"/>
      <c r="I867" s="235"/>
      <c r="J867" s="236"/>
      <c r="K867" s="237">
        <f ca="1">ROUND(IF(ISERROR(OFFSET(Tabella!$A$1,MATCH(H867,Tabella!$A:$A,0)-1,MATCH(J867,Tabella!$A$1:$AC$1,0)-1)=TRUE),0,+OFFSET(Tabella!$A$1,MATCH(H867,Tabella!$A:$A,0)-1,MATCH(J867,Tabella!$A$1:$AC$1,0)-1)),4)</f>
        <v>0</v>
      </c>
      <c r="L867" s="238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238">
        <f ca="1">ROUND(IF(ISERROR(OFFSET(Rame!$A$1,MATCH(H867,Rame!$A:$A,0)-1,MATCH(J867,Rame!$A$1:$AA$1,0)-1)=TRUE),0,OFFSET(Rame!$A$1,MATCH(H867,Rame!$A:$A,0)-1,MATCH(J867,Rame!$A$1:$AA$1,0)-1))*IF(E867="Rame",1,0),4)</f>
        <v>0</v>
      </c>
      <c r="N867" s="238">
        <v>0</v>
      </c>
      <c r="O867" s="238">
        <f t="shared" ca="1" si="327"/>
        <v>0</v>
      </c>
      <c r="P867" s="238">
        <f ca="1">ROUND(+IF(ISERROR(OFFSET(Tabella!$G$1,MATCH(H867,Tabella!$G:$G,0)-1,MATCH(I867,Tabella!$G$1:$FG$1,0)-1)=TRUE),0,OFFSET(Tabella!$G$1,MATCH(H867,Tabella!$G:$G,0)-1,MATCH(I867,Tabella!$G$1:$AB$1,0)-1)),4)</f>
        <v>0</v>
      </c>
      <c r="Q867" s="238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238">
        <f ca="1">ROUND(IF(ISERROR(OFFSET(Rame!$F$1,MATCH(H867,Rame!$F:$F,0)-1,MATCH(I867,Rame!$F$1:$FF$1,0)-1)=TRUE),0,OFFSET(Rame!$F$1,MATCH(H867,Rame!$F:$F,0)-1,MATCH(I867,Rame!$F$1:$FF$1,0)-1))*IF(E867="Rame",1,0),4)</f>
        <v>0</v>
      </c>
      <c r="S867" s="238">
        <f ca="1">ROUND(IF(ISERROR(OFFSET(Bronzo!$A$1,MATCH(H867,Bronzo!$A:$A,0)-1,MATCH(I867,Bronzo!$A$1:$AA$1,0)-1)=TRUE),0,OFFSET(Bronzo!$A$1,MATCH(H867,Bronzo!$A:$A,0)-1,MATCH(I867,Bronzo!$A$1:$AA$1,0)-1)),4)</f>
        <v>0</v>
      </c>
      <c r="T867" s="238">
        <f t="shared" ca="1" si="329"/>
        <v>0</v>
      </c>
      <c r="U867" s="237"/>
      <c r="V867" s="238">
        <v>0</v>
      </c>
      <c r="W867" s="239">
        <f t="shared" ca="1" si="330"/>
        <v>0</v>
      </c>
      <c r="X867" s="240">
        <f t="shared" si="328"/>
        <v>0</v>
      </c>
      <c r="Y867" s="236"/>
      <c r="Z867" s="236">
        <f t="shared" ca="1" si="331"/>
        <v>0</v>
      </c>
      <c r="AA867" s="241"/>
      <c r="AH867" s="242"/>
    </row>
    <row r="868" spans="2:34" ht="15.75" x14ac:dyDescent="0.25">
      <c r="B868" s="229"/>
      <c r="C868" s="235"/>
      <c r="D868" s="243"/>
      <c r="E868" s="232"/>
      <c r="F868" s="233"/>
      <c r="G868" s="234"/>
      <c r="H868" s="235"/>
      <c r="I868" s="235"/>
      <c r="J868" s="236"/>
      <c r="K868" s="237">
        <f ca="1">ROUND(IF(ISERROR(OFFSET(Tabella!$A$1,MATCH(H868,Tabella!$A:$A,0)-1,MATCH(J868,Tabella!$A$1:$AC$1,0)-1)=TRUE),0,+OFFSET(Tabella!$A$1,MATCH(H868,Tabella!$A:$A,0)-1,MATCH(J868,Tabella!$A$1:$AC$1,0)-1)),4)</f>
        <v>0</v>
      </c>
      <c r="L868" s="238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238">
        <f ca="1">ROUND(IF(ISERROR(OFFSET(Rame!$A$1,MATCH(H868,Rame!$A:$A,0)-1,MATCH(J868,Rame!$A$1:$AA$1,0)-1)=TRUE),0,OFFSET(Rame!$A$1,MATCH(H868,Rame!$A:$A,0)-1,MATCH(J868,Rame!$A$1:$AA$1,0)-1))*IF(E868="Rame",1,0),4)</f>
        <v>0</v>
      </c>
      <c r="N868" s="238">
        <v>0</v>
      </c>
      <c r="O868" s="238">
        <f t="shared" ca="1" si="327"/>
        <v>0</v>
      </c>
      <c r="P868" s="238">
        <f ca="1">ROUND(+IF(ISERROR(OFFSET(Tabella!$G$1,MATCH(H868,Tabella!$G:$G,0)-1,MATCH(I868,Tabella!$G$1:$FG$1,0)-1)=TRUE),0,OFFSET(Tabella!$G$1,MATCH(H868,Tabella!$G:$G,0)-1,MATCH(I868,Tabella!$G$1:$AB$1,0)-1)),4)</f>
        <v>0</v>
      </c>
      <c r="Q868" s="238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238">
        <f ca="1">ROUND(IF(ISERROR(OFFSET(Rame!$F$1,MATCH(H868,Rame!$F:$F,0)-1,MATCH(I868,Rame!$F$1:$FF$1,0)-1)=TRUE),0,OFFSET(Rame!$F$1,MATCH(H868,Rame!$F:$F,0)-1,MATCH(I868,Rame!$F$1:$FF$1,0)-1))*IF(E868="Rame",1,0),4)</f>
        <v>0</v>
      </c>
      <c r="S868" s="238">
        <f ca="1">ROUND(IF(ISERROR(OFFSET(Bronzo!$A$1,MATCH(H868,Bronzo!$A:$A,0)-1,MATCH(I868,Bronzo!$A$1:$AA$1,0)-1)=TRUE),0,OFFSET(Bronzo!$A$1,MATCH(H868,Bronzo!$A:$A,0)-1,MATCH(I868,Bronzo!$A$1:$AA$1,0)-1)),4)</f>
        <v>0</v>
      </c>
      <c r="T868" s="238">
        <f t="shared" ca="1" si="329"/>
        <v>0</v>
      </c>
      <c r="U868" s="237"/>
      <c r="V868" s="238">
        <v>0</v>
      </c>
      <c r="W868" s="239">
        <f t="shared" ca="1" si="330"/>
        <v>0</v>
      </c>
      <c r="X868" s="240">
        <f t="shared" si="328"/>
        <v>0</v>
      </c>
      <c r="Y868" s="236"/>
      <c r="Z868" s="236">
        <f t="shared" ca="1" si="331"/>
        <v>0</v>
      </c>
      <c r="AA868" s="241"/>
      <c r="AH868" s="242"/>
    </row>
    <row r="869" spans="2:34" ht="15.75" x14ac:dyDescent="0.25">
      <c r="B869" s="229"/>
      <c r="C869" s="235"/>
      <c r="D869" s="243"/>
      <c r="E869" s="232"/>
      <c r="F869" s="233"/>
      <c r="G869" s="234"/>
      <c r="H869" s="235"/>
      <c r="I869" s="235"/>
      <c r="J869" s="236"/>
      <c r="K869" s="237">
        <f ca="1">ROUND(IF(ISERROR(OFFSET(Tabella!$A$1,MATCH(H869,Tabella!$A:$A,0)-1,MATCH(J869,Tabella!$A$1:$AC$1,0)-1)=TRUE),0,+OFFSET(Tabella!$A$1,MATCH(H869,Tabella!$A:$A,0)-1,MATCH(J869,Tabella!$A$1:$AC$1,0)-1)),4)</f>
        <v>0</v>
      </c>
      <c r="L869" s="238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238">
        <f ca="1">ROUND(IF(ISERROR(OFFSET(Rame!$A$1,MATCH(H869,Rame!$A:$A,0)-1,MATCH(J869,Rame!$A$1:$AA$1,0)-1)=TRUE),0,OFFSET(Rame!$A$1,MATCH(H869,Rame!$A:$A,0)-1,MATCH(J869,Rame!$A$1:$AA$1,0)-1))*IF(E869="Rame",1,0),4)</f>
        <v>0</v>
      </c>
      <c r="N869" s="238">
        <v>0</v>
      </c>
      <c r="O869" s="238">
        <f t="shared" ca="1" si="327"/>
        <v>0</v>
      </c>
      <c r="P869" s="238">
        <f ca="1">ROUND(+IF(ISERROR(OFFSET(Tabella!$G$1,MATCH(H869,Tabella!$G:$G,0)-1,MATCH(I869,Tabella!$G$1:$FG$1,0)-1)=TRUE),0,OFFSET(Tabella!$G$1,MATCH(H869,Tabella!$G:$G,0)-1,MATCH(I869,Tabella!$G$1:$AB$1,0)-1)),4)</f>
        <v>0</v>
      </c>
      <c r="Q869" s="238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238">
        <f ca="1">ROUND(IF(ISERROR(OFFSET(Rame!$F$1,MATCH(H869,Rame!$F:$F,0)-1,MATCH(I869,Rame!$F$1:$FF$1,0)-1)=TRUE),0,OFFSET(Rame!$F$1,MATCH(H869,Rame!$F:$F,0)-1,MATCH(I869,Rame!$F$1:$FF$1,0)-1))*IF(E869="Rame",1,0),4)</f>
        <v>0</v>
      </c>
      <c r="S869" s="238">
        <f ca="1">ROUND(IF(ISERROR(OFFSET(Bronzo!$A$1,MATCH(H869,Bronzo!$A:$A,0)-1,MATCH(I869,Bronzo!$A$1:$AA$1,0)-1)=TRUE),0,OFFSET(Bronzo!$A$1,MATCH(H869,Bronzo!$A:$A,0)-1,MATCH(I869,Bronzo!$A$1:$AA$1,0)-1)),4)</f>
        <v>0</v>
      </c>
      <c r="T869" s="238">
        <f t="shared" ca="1" si="329"/>
        <v>0</v>
      </c>
      <c r="U869" s="237"/>
      <c r="V869" s="238">
        <v>0</v>
      </c>
      <c r="W869" s="239">
        <f t="shared" ca="1" si="330"/>
        <v>0</v>
      </c>
      <c r="X869" s="240">
        <f t="shared" si="328"/>
        <v>0</v>
      </c>
      <c r="Y869" s="236"/>
      <c r="Z869" s="236">
        <f t="shared" ca="1" si="331"/>
        <v>0</v>
      </c>
      <c r="AA869" s="241"/>
      <c r="AH869" s="242"/>
    </row>
    <row r="870" spans="2:34" ht="15.75" x14ac:dyDescent="0.25">
      <c r="B870" s="229"/>
      <c r="C870" s="235"/>
      <c r="D870" s="243"/>
      <c r="E870" s="232"/>
      <c r="F870" s="233"/>
      <c r="G870" s="234"/>
      <c r="H870" s="235"/>
      <c r="I870" s="235"/>
      <c r="J870" s="236"/>
      <c r="K870" s="237">
        <f ca="1">ROUND(IF(ISERROR(OFFSET(Tabella!$A$1,MATCH(H870,Tabella!$A:$A,0)-1,MATCH(J870,Tabella!$A$1:$AC$1,0)-1)=TRUE),0,+OFFSET(Tabella!$A$1,MATCH(H870,Tabella!$A:$A,0)-1,MATCH(J870,Tabella!$A$1:$AC$1,0)-1)),4)</f>
        <v>0</v>
      </c>
      <c r="L870" s="238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238">
        <f ca="1">ROUND(IF(ISERROR(OFFSET(Rame!$A$1,MATCH(H870,Rame!$A:$A,0)-1,MATCH(J870,Rame!$A$1:$AA$1,0)-1)=TRUE),0,OFFSET(Rame!$A$1,MATCH(H870,Rame!$A:$A,0)-1,MATCH(J870,Rame!$A$1:$AA$1,0)-1))*IF(E870="Rame",1,0),4)</f>
        <v>0</v>
      </c>
      <c r="N870" s="238">
        <v>0</v>
      </c>
      <c r="O870" s="238">
        <f t="shared" ca="1" si="327"/>
        <v>0</v>
      </c>
      <c r="P870" s="238">
        <f ca="1">ROUND(+IF(ISERROR(OFFSET(Tabella!$G$1,MATCH(H870,Tabella!$G:$G,0)-1,MATCH(I870,Tabella!$G$1:$FG$1,0)-1)=TRUE),0,OFFSET(Tabella!$G$1,MATCH(H870,Tabella!$G:$G,0)-1,MATCH(I870,Tabella!$G$1:$AB$1,0)-1)),4)</f>
        <v>0</v>
      </c>
      <c r="Q870" s="238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238">
        <f ca="1">ROUND(IF(ISERROR(OFFSET(Rame!$F$1,MATCH(H870,Rame!$F:$F,0)-1,MATCH(I870,Rame!$F$1:$FF$1,0)-1)=TRUE),0,OFFSET(Rame!$F$1,MATCH(H870,Rame!$F:$F,0)-1,MATCH(I870,Rame!$F$1:$FF$1,0)-1))*IF(E870="Rame",1,0),4)</f>
        <v>0</v>
      </c>
      <c r="S870" s="238">
        <f ca="1">ROUND(IF(ISERROR(OFFSET(Bronzo!$A$1,MATCH(H870,Bronzo!$A:$A,0)-1,MATCH(I870,Bronzo!$A$1:$AA$1,0)-1)=TRUE),0,OFFSET(Bronzo!$A$1,MATCH(H870,Bronzo!$A:$A,0)-1,MATCH(I870,Bronzo!$A$1:$AA$1,0)-1)),4)</f>
        <v>0</v>
      </c>
      <c r="T870" s="238">
        <f t="shared" ca="1" si="329"/>
        <v>0</v>
      </c>
      <c r="U870" s="237"/>
      <c r="V870" s="238">
        <v>0</v>
      </c>
      <c r="W870" s="239">
        <f t="shared" ca="1" si="330"/>
        <v>0</v>
      </c>
      <c r="X870" s="240">
        <f t="shared" si="328"/>
        <v>0</v>
      </c>
      <c r="Y870" s="236"/>
      <c r="Z870" s="236">
        <f t="shared" ca="1" si="331"/>
        <v>0</v>
      </c>
      <c r="AA870" s="241"/>
      <c r="AH870" s="242"/>
    </row>
    <row r="871" spans="2:34" ht="15.75" x14ac:dyDescent="0.25">
      <c r="B871" s="229"/>
      <c r="C871" s="235"/>
      <c r="D871" s="243"/>
      <c r="E871" s="232"/>
      <c r="F871" s="233"/>
      <c r="G871" s="234"/>
      <c r="H871" s="235"/>
      <c r="I871" s="235"/>
      <c r="J871" s="236"/>
      <c r="K871" s="237">
        <f ca="1">ROUND(IF(ISERROR(OFFSET(Tabella!$A$1,MATCH(H871,Tabella!$A:$A,0)-1,MATCH(J871,Tabella!$A$1:$AC$1,0)-1)=TRUE),0,+OFFSET(Tabella!$A$1,MATCH(H871,Tabella!$A:$A,0)-1,MATCH(J871,Tabella!$A$1:$AC$1,0)-1)),4)</f>
        <v>0</v>
      </c>
      <c r="L871" s="238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238">
        <f ca="1">ROUND(IF(ISERROR(OFFSET(Rame!$A$1,MATCH(H871,Rame!$A:$A,0)-1,MATCH(J871,Rame!$A$1:$AA$1,0)-1)=TRUE),0,OFFSET(Rame!$A$1,MATCH(H871,Rame!$A:$A,0)-1,MATCH(J871,Rame!$A$1:$AA$1,0)-1))*IF(E871="Rame",1,0),4)</f>
        <v>0</v>
      </c>
      <c r="N871" s="238">
        <v>0</v>
      </c>
      <c r="O871" s="238">
        <f t="shared" ca="1" si="327"/>
        <v>0</v>
      </c>
      <c r="P871" s="238">
        <f ca="1">ROUND(+IF(ISERROR(OFFSET(Tabella!$G$1,MATCH(H871,Tabella!$G:$G,0)-1,MATCH(I871,Tabella!$G$1:$FG$1,0)-1)=TRUE),0,OFFSET(Tabella!$G$1,MATCH(H871,Tabella!$G:$G,0)-1,MATCH(I871,Tabella!$G$1:$AB$1,0)-1)),4)</f>
        <v>0</v>
      </c>
      <c r="Q871" s="238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238">
        <f ca="1">ROUND(IF(ISERROR(OFFSET(Rame!$F$1,MATCH(H871,Rame!$F:$F,0)-1,MATCH(I871,Rame!$F$1:$FF$1,0)-1)=TRUE),0,OFFSET(Rame!$F$1,MATCH(H871,Rame!$F:$F,0)-1,MATCH(I871,Rame!$F$1:$FF$1,0)-1))*IF(E871="Rame",1,0),4)</f>
        <v>0</v>
      </c>
      <c r="S871" s="238">
        <f ca="1">ROUND(IF(ISERROR(OFFSET(Bronzo!$A$1,MATCH(H871,Bronzo!$A:$A,0)-1,MATCH(I871,Bronzo!$A$1:$AA$1,0)-1)=TRUE),0,OFFSET(Bronzo!$A$1,MATCH(H871,Bronzo!$A:$A,0)-1,MATCH(I871,Bronzo!$A$1:$AA$1,0)-1)),4)</f>
        <v>0</v>
      </c>
      <c r="T871" s="238">
        <f t="shared" ca="1" si="329"/>
        <v>0</v>
      </c>
      <c r="U871" s="237"/>
      <c r="V871" s="238">
        <v>0</v>
      </c>
      <c r="W871" s="239">
        <f t="shared" ca="1" si="330"/>
        <v>0</v>
      </c>
      <c r="X871" s="240">
        <f t="shared" si="328"/>
        <v>0</v>
      </c>
      <c r="Y871" s="236"/>
      <c r="Z871" s="236">
        <f t="shared" ca="1" si="331"/>
        <v>0</v>
      </c>
      <c r="AA871" s="241"/>
      <c r="AH871" s="242"/>
    </row>
    <row r="872" spans="2:34" ht="15.75" x14ac:dyDescent="0.25">
      <c r="B872" s="229"/>
      <c r="C872" s="235"/>
      <c r="D872" s="243"/>
      <c r="E872" s="232"/>
      <c r="F872" s="233"/>
      <c r="G872" s="234"/>
      <c r="H872" s="235"/>
      <c r="I872" s="235"/>
      <c r="J872" s="236"/>
      <c r="K872" s="237">
        <f ca="1">ROUND(IF(ISERROR(OFFSET(Tabella!$A$1,MATCH(H872,Tabella!$A:$A,0)-1,MATCH(J872,Tabella!$A$1:$AC$1,0)-1)=TRUE),0,+OFFSET(Tabella!$A$1,MATCH(H872,Tabella!$A:$A,0)-1,MATCH(J872,Tabella!$A$1:$AC$1,0)-1)),4)</f>
        <v>0</v>
      </c>
      <c r="L872" s="238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238">
        <f ca="1">ROUND(IF(ISERROR(OFFSET(Rame!$A$1,MATCH(H872,Rame!$A:$A,0)-1,MATCH(J872,Rame!$A$1:$AA$1,0)-1)=TRUE),0,OFFSET(Rame!$A$1,MATCH(H872,Rame!$A:$A,0)-1,MATCH(J872,Rame!$A$1:$AA$1,0)-1))*IF(E872="Rame",1,0),4)</f>
        <v>0</v>
      </c>
      <c r="N872" s="238">
        <v>0</v>
      </c>
      <c r="O872" s="238">
        <f t="shared" ca="1" si="327"/>
        <v>0</v>
      </c>
      <c r="P872" s="238">
        <f ca="1">ROUND(+IF(ISERROR(OFFSET(Tabella!$G$1,MATCH(H872,Tabella!$G:$G,0)-1,MATCH(I872,Tabella!$G$1:$FG$1,0)-1)=TRUE),0,OFFSET(Tabella!$G$1,MATCH(H872,Tabella!$G:$G,0)-1,MATCH(I872,Tabella!$G$1:$AB$1,0)-1)),4)</f>
        <v>0</v>
      </c>
      <c r="Q872" s="238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238">
        <f ca="1">ROUND(IF(ISERROR(OFFSET(Rame!$F$1,MATCH(H872,Rame!$F:$F,0)-1,MATCH(I872,Rame!$F$1:$FF$1,0)-1)=TRUE),0,OFFSET(Rame!$F$1,MATCH(H872,Rame!$F:$F,0)-1,MATCH(I872,Rame!$F$1:$FF$1,0)-1))*IF(E872="Rame",1,0),4)</f>
        <v>0</v>
      </c>
      <c r="S872" s="238">
        <f ca="1">ROUND(IF(ISERROR(OFFSET(Bronzo!$A$1,MATCH(H872,Bronzo!$A:$A,0)-1,MATCH(I872,Bronzo!$A$1:$AA$1,0)-1)=TRUE),0,OFFSET(Bronzo!$A$1,MATCH(H872,Bronzo!$A:$A,0)-1,MATCH(I872,Bronzo!$A$1:$AA$1,0)-1)),4)</f>
        <v>0</v>
      </c>
      <c r="T872" s="238">
        <f t="shared" ca="1" si="329"/>
        <v>0</v>
      </c>
      <c r="U872" s="237"/>
      <c r="V872" s="238">
        <v>0</v>
      </c>
      <c r="W872" s="239">
        <f t="shared" ca="1" si="330"/>
        <v>0</v>
      </c>
      <c r="X872" s="240">
        <f t="shared" si="328"/>
        <v>0</v>
      </c>
      <c r="Y872" s="236"/>
      <c r="Z872" s="236">
        <f t="shared" ca="1" si="331"/>
        <v>0</v>
      </c>
      <c r="AA872" s="241"/>
      <c r="AH872" s="242"/>
    </row>
    <row r="873" spans="2:34" ht="15.75" x14ac:dyDescent="0.25">
      <c r="B873" s="229"/>
      <c r="C873" s="235"/>
      <c r="D873" s="243"/>
      <c r="E873" s="232"/>
      <c r="F873" s="233"/>
      <c r="G873" s="234"/>
      <c r="H873" s="235"/>
      <c r="I873" s="235"/>
      <c r="J873" s="236"/>
      <c r="K873" s="237">
        <f ca="1">ROUND(IF(ISERROR(OFFSET(Tabella!$A$1,MATCH(H873,Tabella!$A:$A,0)-1,MATCH(J873,Tabella!$A$1:$AC$1,0)-1)=TRUE),0,+OFFSET(Tabella!$A$1,MATCH(H873,Tabella!$A:$A,0)-1,MATCH(J873,Tabella!$A$1:$AC$1,0)-1)),4)</f>
        <v>0</v>
      </c>
      <c r="L873" s="238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238">
        <f ca="1">ROUND(IF(ISERROR(OFFSET(Rame!$A$1,MATCH(H873,Rame!$A:$A,0)-1,MATCH(J873,Rame!$A$1:$AA$1,0)-1)=TRUE),0,OFFSET(Rame!$A$1,MATCH(H873,Rame!$A:$A,0)-1,MATCH(J873,Rame!$A$1:$AA$1,0)-1))*IF(E873="Rame",1,0),4)</f>
        <v>0</v>
      </c>
      <c r="N873" s="238">
        <v>0</v>
      </c>
      <c r="O873" s="238">
        <f t="shared" ca="1" si="327"/>
        <v>0</v>
      </c>
      <c r="P873" s="238">
        <f ca="1">ROUND(+IF(ISERROR(OFFSET(Tabella!$G$1,MATCH(H873,Tabella!$G:$G,0)-1,MATCH(I873,Tabella!$G$1:$FG$1,0)-1)=TRUE),0,OFFSET(Tabella!$G$1,MATCH(H873,Tabella!$G:$G,0)-1,MATCH(I873,Tabella!$G$1:$AB$1,0)-1)),4)</f>
        <v>0</v>
      </c>
      <c r="Q873" s="238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238">
        <f ca="1">ROUND(IF(ISERROR(OFFSET(Rame!$F$1,MATCH(H873,Rame!$F:$F,0)-1,MATCH(I873,Rame!$F$1:$FF$1,0)-1)=TRUE),0,OFFSET(Rame!$F$1,MATCH(H873,Rame!$F:$F,0)-1,MATCH(I873,Rame!$F$1:$FF$1,0)-1))*IF(E873="Rame",1,0),4)</f>
        <v>0</v>
      </c>
      <c r="S873" s="238">
        <f ca="1">ROUND(IF(ISERROR(OFFSET(Bronzo!$A$1,MATCH(H873,Bronzo!$A:$A,0)-1,MATCH(I873,Bronzo!$A$1:$AA$1,0)-1)=TRUE),0,OFFSET(Bronzo!$A$1,MATCH(H873,Bronzo!$A:$A,0)-1,MATCH(I873,Bronzo!$A$1:$AA$1,0)-1)),4)</f>
        <v>0</v>
      </c>
      <c r="T873" s="238">
        <f t="shared" ca="1" si="329"/>
        <v>0</v>
      </c>
      <c r="U873" s="237"/>
      <c r="V873" s="238">
        <v>0</v>
      </c>
      <c r="W873" s="239">
        <f t="shared" ca="1" si="330"/>
        <v>0</v>
      </c>
      <c r="X873" s="240">
        <f t="shared" si="328"/>
        <v>0</v>
      </c>
      <c r="Y873" s="236"/>
      <c r="Z873" s="236">
        <f t="shared" ca="1" si="331"/>
        <v>0</v>
      </c>
      <c r="AA873" s="241"/>
      <c r="AH873" s="242"/>
    </row>
    <row r="874" spans="2:34" ht="15.75" x14ac:dyDescent="0.25">
      <c r="B874" s="229"/>
      <c r="C874" s="235"/>
      <c r="D874" s="243"/>
      <c r="E874" s="232"/>
      <c r="F874" s="233"/>
      <c r="G874" s="234"/>
      <c r="H874" s="235"/>
      <c r="I874" s="235"/>
      <c r="J874" s="236"/>
      <c r="K874" s="237">
        <f ca="1">ROUND(IF(ISERROR(OFFSET(Tabella!$A$1,MATCH(H874,Tabella!$A:$A,0)-1,MATCH(J874,Tabella!$A$1:$AC$1,0)-1)=TRUE),0,+OFFSET(Tabella!$A$1,MATCH(H874,Tabella!$A:$A,0)-1,MATCH(J874,Tabella!$A$1:$AC$1,0)-1)),4)</f>
        <v>0</v>
      </c>
      <c r="L874" s="238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238">
        <f ca="1">ROUND(IF(ISERROR(OFFSET(Rame!$A$1,MATCH(H874,Rame!$A:$A,0)-1,MATCH(J874,Rame!$A$1:$AA$1,0)-1)=TRUE),0,OFFSET(Rame!$A$1,MATCH(H874,Rame!$A:$A,0)-1,MATCH(J874,Rame!$A$1:$AA$1,0)-1))*IF(E874="Rame",1,0),4)</f>
        <v>0</v>
      </c>
      <c r="N874" s="238">
        <v>0</v>
      </c>
      <c r="O874" s="238">
        <f t="shared" ca="1" si="327"/>
        <v>0</v>
      </c>
      <c r="P874" s="238">
        <f ca="1">ROUND(+IF(ISERROR(OFFSET(Tabella!$G$1,MATCH(H874,Tabella!$G:$G,0)-1,MATCH(I874,Tabella!$G$1:$FG$1,0)-1)=TRUE),0,OFFSET(Tabella!$G$1,MATCH(H874,Tabella!$G:$G,0)-1,MATCH(I874,Tabella!$G$1:$AB$1,0)-1)),4)</f>
        <v>0</v>
      </c>
      <c r="Q874" s="238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238">
        <f ca="1">ROUND(IF(ISERROR(OFFSET(Rame!$F$1,MATCH(H874,Rame!$F:$F,0)-1,MATCH(I874,Rame!$F$1:$FF$1,0)-1)=TRUE),0,OFFSET(Rame!$F$1,MATCH(H874,Rame!$F:$F,0)-1,MATCH(I874,Rame!$F$1:$FF$1,0)-1))*IF(E874="Rame",1,0),4)</f>
        <v>0</v>
      </c>
      <c r="S874" s="238">
        <f ca="1">ROUND(IF(ISERROR(OFFSET(Bronzo!$A$1,MATCH(H874,Bronzo!$A:$A,0)-1,MATCH(I874,Bronzo!$A$1:$AA$1,0)-1)=TRUE),0,OFFSET(Bronzo!$A$1,MATCH(H874,Bronzo!$A:$A,0)-1,MATCH(I874,Bronzo!$A$1:$AA$1,0)-1)),4)</f>
        <v>0</v>
      </c>
      <c r="T874" s="238">
        <f t="shared" ca="1" si="329"/>
        <v>0</v>
      </c>
      <c r="U874" s="237"/>
      <c r="V874" s="238">
        <v>0</v>
      </c>
      <c r="W874" s="239">
        <f t="shared" ca="1" si="330"/>
        <v>0</v>
      </c>
      <c r="X874" s="240">
        <f t="shared" si="328"/>
        <v>0</v>
      </c>
      <c r="Y874" s="236"/>
      <c r="Z874" s="236">
        <f t="shared" ca="1" si="331"/>
        <v>0</v>
      </c>
      <c r="AA874" s="241"/>
      <c r="AH874" s="242"/>
    </row>
    <row r="875" spans="2:34" ht="15.75" x14ac:dyDescent="0.25">
      <c r="B875" s="229"/>
      <c r="C875" s="235"/>
      <c r="D875" s="243"/>
      <c r="E875" s="232"/>
      <c r="F875" s="233"/>
      <c r="G875" s="234"/>
      <c r="H875" s="235"/>
      <c r="I875" s="235"/>
      <c r="J875" s="236"/>
      <c r="K875" s="237">
        <f ca="1">ROUND(IF(ISERROR(OFFSET(Tabella!$A$1,MATCH(H875,Tabella!$A:$A,0)-1,MATCH(J875,Tabella!$A$1:$AC$1,0)-1)=TRUE),0,+OFFSET(Tabella!$A$1,MATCH(H875,Tabella!$A:$A,0)-1,MATCH(J875,Tabella!$A$1:$AC$1,0)-1)),4)</f>
        <v>0</v>
      </c>
      <c r="L875" s="238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238">
        <f ca="1">ROUND(IF(ISERROR(OFFSET(Rame!$A$1,MATCH(H875,Rame!$A:$A,0)-1,MATCH(J875,Rame!$A$1:$AA$1,0)-1)=TRUE),0,OFFSET(Rame!$A$1,MATCH(H875,Rame!$A:$A,0)-1,MATCH(J875,Rame!$A$1:$AA$1,0)-1))*IF(E875="Rame",1,0),4)</f>
        <v>0</v>
      </c>
      <c r="N875" s="238">
        <v>0</v>
      </c>
      <c r="O875" s="238">
        <f t="shared" ca="1" si="327"/>
        <v>0</v>
      </c>
      <c r="P875" s="238">
        <f ca="1">ROUND(+IF(ISERROR(OFFSET(Tabella!$G$1,MATCH(H875,Tabella!$G:$G,0)-1,MATCH(I875,Tabella!$G$1:$FG$1,0)-1)=TRUE),0,OFFSET(Tabella!$G$1,MATCH(H875,Tabella!$G:$G,0)-1,MATCH(I875,Tabella!$G$1:$AB$1,0)-1)),4)</f>
        <v>0</v>
      </c>
      <c r="Q875" s="238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238">
        <f ca="1">ROUND(IF(ISERROR(OFFSET(Rame!$F$1,MATCH(H875,Rame!$F:$F,0)-1,MATCH(I875,Rame!$F$1:$FF$1,0)-1)=TRUE),0,OFFSET(Rame!$F$1,MATCH(H875,Rame!$F:$F,0)-1,MATCH(I875,Rame!$F$1:$FF$1,0)-1))*IF(E875="Rame",1,0),4)</f>
        <v>0</v>
      </c>
      <c r="S875" s="238">
        <f ca="1">ROUND(IF(ISERROR(OFFSET(Bronzo!$A$1,MATCH(H875,Bronzo!$A:$A,0)-1,MATCH(I875,Bronzo!$A$1:$AA$1,0)-1)=TRUE),0,OFFSET(Bronzo!$A$1,MATCH(H875,Bronzo!$A:$A,0)-1,MATCH(I875,Bronzo!$A$1:$AA$1,0)-1)),4)</f>
        <v>0</v>
      </c>
      <c r="T875" s="238">
        <f t="shared" ca="1" si="329"/>
        <v>0</v>
      </c>
      <c r="U875" s="237"/>
      <c r="V875" s="238">
        <v>0</v>
      </c>
      <c r="W875" s="239">
        <f t="shared" ca="1" si="330"/>
        <v>0</v>
      </c>
      <c r="X875" s="240">
        <f t="shared" si="328"/>
        <v>0</v>
      </c>
      <c r="Y875" s="236"/>
      <c r="Z875" s="236">
        <f t="shared" ca="1" si="331"/>
        <v>0</v>
      </c>
      <c r="AA875" s="241"/>
      <c r="AH875" s="242"/>
    </row>
    <row r="876" spans="2:34" ht="15.75" x14ac:dyDescent="0.25">
      <c r="B876" s="229"/>
      <c r="C876" s="235"/>
      <c r="D876" s="243"/>
      <c r="E876" s="232"/>
      <c r="F876" s="233"/>
      <c r="G876" s="234"/>
      <c r="H876" s="235"/>
      <c r="I876" s="235"/>
      <c r="J876" s="236"/>
      <c r="K876" s="237">
        <f ca="1">ROUND(IF(ISERROR(OFFSET(Tabella!$A$1,MATCH(H876,Tabella!$A:$A,0)-1,MATCH(J876,Tabella!$A$1:$AC$1,0)-1)=TRUE),0,+OFFSET(Tabella!$A$1,MATCH(H876,Tabella!$A:$A,0)-1,MATCH(J876,Tabella!$A$1:$AC$1,0)-1)),4)</f>
        <v>0</v>
      </c>
      <c r="L876" s="238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238">
        <f ca="1">ROUND(IF(ISERROR(OFFSET(Rame!$A$1,MATCH(H876,Rame!$A:$A,0)-1,MATCH(J876,Rame!$A$1:$AA$1,0)-1)=TRUE),0,OFFSET(Rame!$A$1,MATCH(H876,Rame!$A:$A,0)-1,MATCH(J876,Rame!$A$1:$AA$1,0)-1))*IF(E876="Rame",1,0),4)</f>
        <v>0</v>
      </c>
      <c r="N876" s="238">
        <v>0</v>
      </c>
      <c r="O876" s="238">
        <f t="shared" ca="1" si="327"/>
        <v>0</v>
      </c>
      <c r="P876" s="238">
        <f ca="1">ROUND(+IF(ISERROR(OFFSET(Tabella!$G$1,MATCH(H876,Tabella!$G:$G,0)-1,MATCH(I876,Tabella!$G$1:$FG$1,0)-1)=TRUE),0,OFFSET(Tabella!$G$1,MATCH(H876,Tabella!$G:$G,0)-1,MATCH(I876,Tabella!$G$1:$AB$1,0)-1)),4)</f>
        <v>0</v>
      </c>
      <c r="Q876" s="238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238">
        <f ca="1">ROUND(IF(ISERROR(OFFSET(Rame!$F$1,MATCH(H876,Rame!$F:$F,0)-1,MATCH(I876,Rame!$F$1:$FF$1,0)-1)=TRUE),0,OFFSET(Rame!$F$1,MATCH(H876,Rame!$F:$F,0)-1,MATCH(I876,Rame!$F$1:$FF$1,0)-1))*IF(E876="Rame",1,0),4)</f>
        <v>0</v>
      </c>
      <c r="S876" s="238">
        <f ca="1">ROUND(IF(ISERROR(OFFSET(Bronzo!$A$1,MATCH(H876,Bronzo!$A:$A,0)-1,MATCH(I876,Bronzo!$A$1:$AA$1,0)-1)=TRUE),0,OFFSET(Bronzo!$A$1,MATCH(H876,Bronzo!$A:$A,0)-1,MATCH(I876,Bronzo!$A$1:$AA$1,0)-1)),4)</f>
        <v>0</v>
      </c>
      <c r="T876" s="238">
        <f t="shared" ca="1" si="329"/>
        <v>0</v>
      </c>
      <c r="U876" s="237"/>
      <c r="V876" s="238">
        <v>0</v>
      </c>
      <c r="W876" s="239">
        <f t="shared" ca="1" si="330"/>
        <v>0</v>
      </c>
      <c r="X876" s="240">
        <f t="shared" si="328"/>
        <v>0</v>
      </c>
      <c r="Y876" s="236"/>
      <c r="Z876" s="236">
        <f t="shared" ca="1" si="331"/>
        <v>0</v>
      </c>
      <c r="AA876" s="241"/>
      <c r="AH876" s="242"/>
    </row>
    <row r="877" spans="2:34" ht="15.75" x14ac:dyDescent="0.25">
      <c r="B877" s="229"/>
      <c r="C877" s="235"/>
      <c r="D877" s="243"/>
      <c r="E877" s="232"/>
      <c r="F877" s="233"/>
      <c r="G877" s="234"/>
      <c r="H877" s="235"/>
      <c r="I877" s="235"/>
      <c r="J877" s="236"/>
      <c r="K877" s="237">
        <f ca="1">ROUND(IF(ISERROR(OFFSET(Tabella!$A$1,MATCH(H877,Tabella!$A:$A,0)-1,MATCH(J877,Tabella!$A$1:$AC$1,0)-1)=TRUE),0,+OFFSET(Tabella!$A$1,MATCH(H877,Tabella!$A:$A,0)-1,MATCH(J877,Tabella!$A$1:$AC$1,0)-1)),4)</f>
        <v>0</v>
      </c>
      <c r="L877" s="238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238">
        <f ca="1">ROUND(IF(ISERROR(OFFSET(Rame!$A$1,MATCH(H877,Rame!$A:$A,0)-1,MATCH(J877,Rame!$A$1:$AA$1,0)-1)=TRUE),0,OFFSET(Rame!$A$1,MATCH(H877,Rame!$A:$A,0)-1,MATCH(J877,Rame!$A$1:$AA$1,0)-1))*IF(E877="Rame",1,0),4)</f>
        <v>0</v>
      </c>
      <c r="N877" s="238">
        <v>0</v>
      </c>
      <c r="O877" s="238">
        <f t="shared" ca="1" si="327"/>
        <v>0</v>
      </c>
      <c r="P877" s="238">
        <f ca="1">ROUND(+IF(ISERROR(OFFSET(Tabella!$G$1,MATCH(H877,Tabella!$G:$G,0)-1,MATCH(I877,Tabella!$G$1:$FG$1,0)-1)=TRUE),0,OFFSET(Tabella!$G$1,MATCH(H877,Tabella!$G:$G,0)-1,MATCH(I877,Tabella!$G$1:$AB$1,0)-1)),4)</f>
        <v>0</v>
      </c>
      <c r="Q877" s="238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238">
        <f ca="1">ROUND(IF(ISERROR(OFFSET(Rame!$F$1,MATCH(H877,Rame!$F:$F,0)-1,MATCH(I877,Rame!$F$1:$FF$1,0)-1)=TRUE),0,OFFSET(Rame!$F$1,MATCH(H877,Rame!$F:$F,0)-1,MATCH(I877,Rame!$F$1:$FF$1,0)-1))*IF(E877="Rame",1,0),4)</f>
        <v>0</v>
      </c>
      <c r="S877" s="238">
        <f ca="1">ROUND(IF(ISERROR(OFFSET(Bronzo!$A$1,MATCH(H877,Bronzo!$A:$A,0)-1,MATCH(I877,Bronzo!$A$1:$AA$1,0)-1)=TRUE),0,OFFSET(Bronzo!$A$1,MATCH(H877,Bronzo!$A:$A,0)-1,MATCH(I877,Bronzo!$A$1:$AA$1,0)-1)),4)</f>
        <v>0</v>
      </c>
      <c r="T877" s="238">
        <f t="shared" ca="1" si="329"/>
        <v>0</v>
      </c>
      <c r="U877" s="237"/>
      <c r="V877" s="238">
        <v>0</v>
      </c>
      <c r="W877" s="239">
        <f t="shared" ca="1" si="330"/>
        <v>0</v>
      </c>
      <c r="X877" s="240">
        <f t="shared" si="328"/>
        <v>0</v>
      </c>
      <c r="Y877" s="236"/>
      <c r="Z877" s="236">
        <f t="shared" ca="1" si="331"/>
        <v>0</v>
      </c>
      <c r="AA877" s="241"/>
      <c r="AH877" s="242"/>
    </row>
    <row r="878" spans="2:34" ht="15.75" x14ac:dyDescent="0.25">
      <c r="B878" s="229"/>
      <c r="C878" s="235"/>
      <c r="D878" s="243"/>
      <c r="E878" s="232"/>
      <c r="F878" s="233"/>
      <c r="G878" s="234"/>
      <c r="H878" s="235"/>
      <c r="I878" s="235"/>
      <c r="J878" s="236"/>
      <c r="K878" s="237">
        <f ca="1">ROUND(IF(ISERROR(OFFSET(Tabella!$A$1,MATCH(H878,Tabella!$A:$A,0)-1,MATCH(J878,Tabella!$A$1:$AC$1,0)-1)=TRUE),0,+OFFSET(Tabella!$A$1,MATCH(H878,Tabella!$A:$A,0)-1,MATCH(J878,Tabella!$A$1:$AC$1,0)-1)),4)</f>
        <v>0</v>
      </c>
      <c r="L878" s="238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238">
        <f ca="1">ROUND(IF(ISERROR(OFFSET(Rame!$A$1,MATCH(H878,Rame!$A:$A,0)-1,MATCH(J878,Rame!$A$1:$AA$1,0)-1)=TRUE),0,OFFSET(Rame!$A$1,MATCH(H878,Rame!$A:$A,0)-1,MATCH(J878,Rame!$A$1:$AA$1,0)-1))*IF(E878="Rame",1,0),4)</f>
        <v>0</v>
      </c>
      <c r="N878" s="238">
        <v>0</v>
      </c>
      <c r="O878" s="238">
        <f t="shared" ca="1" si="327"/>
        <v>0</v>
      </c>
      <c r="P878" s="238">
        <f ca="1">ROUND(+IF(ISERROR(OFFSET(Tabella!$G$1,MATCH(H878,Tabella!$G:$G,0)-1,MATCH(I878,Tabella!$G$1:$FG$1,0)-1)=TRUE),0,OFFSET(Tabella!$G$1,MATCH(H878,Tabella!$G:$G,0)-1,MATCH(I878,Tabella!$G$1:$AB$1,0)-1)),4)</f>
        <v>0</v>
      </c>
      <c r="Q878" s="238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238">
        <f ca="1">ROUND(IF(ISERROR(OFFSET(Rame!$F$1,MATCH(H878,Rame!$F:$F,0)-1,MATCH(I878,Rame!$F$1:$FF$1,0)-1)=TRUE),0,OFFSET(Rame!$F$1,MATCH(H878,Rame!$F:$F,0)-1,MATCH(I878,Rame!$F$1:$FF$1,0)-1))*IF(E878="Rame",1,0),4)</f>
        <v>0</v>
      </c>
      <c r="S878" s="238">
        <f ca="1">ROUND(IF(ISERROR(OFFSET(Bronzo!$A$1,MATCH(H878,Bronzo!$A:$A,0)-1,MATCH(I878,Bronzo!$A$1:$AA$1,0)-1)=TRUE),0,OFFSET(Bronzo!$A$1,MATCH(H878,Bronzo!$A:$A,0)-1,MATCH(I878,Bronzo!$A$1:$AA$1,0)-1)),4)</f>
        <v>0</v>
      </c>
      <c r="T878" s="238">
        <f t="shared" ca="1" si="329"/>
        <v>0</v>
      </c>
      <c r="U878" s="237"/>
      <c r="V878" s="238">
        <v>0</v>
      </c>
      <c r="W878" s="239">
        <f t="shared" ca="1" si="330"/>
        <v>0</v>
      </c>
      <c r="X878" s="240">
        <f t="shared" si="328"/>
        <v>0</v>
      </c>
      <c r="Y878" s="236"/>
      <c r="Z878" s="236">
        <f t="shared" ca="1" si="331"/>
        <v>0</v>
      </c>
      <c r="AA878" s="241"/>
      <c r="AH878" s="242"/>
    </row>
    <row r="879" spans="2:34" ht="15.75" x14ac:dyDescent="0.25">
      <c r="B879" s="229"/>
      <c r="C879" s="235"/>
      <c r="D879" s="243"/>
      <c r="E879" s="232"/>
      <c r="F879" s="233"/>
      <c r="G879" s="234"/>
      <c r="H879" s="235"/>
      <c r="I879" s="235"/>
      <c r="J879" s="236"/>
      <c r="K879" s="237">
        <f ca="1">ROUND(IF(ISERROR(OFFSET(Tabella!$A$1,MATCH(H879,Tabella!$A:$A,0)-1,MATCH(J879,Tabella!$A$1:$AC$1,0)-1)=TRUE),0,+OFFSET(Tabella!$A$1,MATCH(H879,Tabella!$A:$A,0)-1,MATCH(J879,Tabella!$A$1:$AC$1,0)-1)),4)</f>
        <v>0</v>
      </c>
      <c r="L879" s="238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238">
        <f ca="1">ROUND(IF(ISERROR(OFFSET(Rame!$A$1,MATCH(H879,Rame!$A:$A,0)-1,MATCH(J879,Rame!$A$1:$AA$1,0)-1)=TRUE),0,OFFSET(Rame!$A$1,MATCH(H879,Rame!$A:$A,0)-1,MATCH(J879,Rame!$A$1:$AA$1,0)-1))*IF(E879="Rame",1,0),4)</f>
        <v>0</v>
      </c>
      <c r="N879" s="238">
        <v>0</v>
      </c>
      <c r="O879" s="238">
        <f t="shared" ca="1" si="327"/>
        <v>0</v>
      </c>
      <c r="P879" s="238">
        <f ca="1">ROUND(+IF(ISERROR(OFFSET(Tabella!$G$1,MATCH(H879,Tabella!$G:$G,0)-1,MATCH(I879,Tabella!$G$1:$FG$1,0)-1)=TRUE),0,OFFSET(Tabella!$G$1,MATCH(H879,Tabella!$G:$G,0)-1,MATCH(I879,Tabella!$G$1:$AB$1,0)-1)),4)</f>
        <v>0</v>
      </c>
      <c r="Q879" s="238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238">
        <f ca="1">ROUND(IF(ISERROR(OFFSET(Rame!$F$1,MATCH(H879,Rame!$F:$F,0)-1,MATCH(I879,Rame!$F$1:$FF$1,0)-1)=TRUE),0,OFFSET(Rame!$F$1,MATCH(H879,Rame!$F:$F,0)-1,MATCH(I879,Rame!$F$1:$FF$1,0)-1))*IF(E879="Rame",1,0),4)</f>
        <v>0</v>
      </c>
      <c r="S879" s="238">
        <f ca="1">ROUND(IF(ISERROR(OFFSET(Bronzo!$A$1,MATCH(H879,Bronzo!$A:$A,0)-1,MATCH(I879,Bronzo!$A$1:$AA$1,0)-1)=TRUE),0,OFFSET(Bronzo!$A$1,MATCH(H879,Bronzo!$A:$A,0)-1,MATCH(I879,Bronzo!$A$1:$AA$1,0)-1)),4)</f>
        <v>0</v>
      </c>
      <c r="T879" s="238">
        <f t="shared" ca="1" si="329"/>
        <v>0</v>
      </c>
      <c r="U879" s="237"/>
      <c r="V879" s="238">
        <v>0</v>
      </c>
      <c r="W879" s="239">
        <f t="shared" ca="1" si="330"/>
        <v>0</v>
      </c>
      <c r="X879" s="240">
        <f t="shared" si="328"/>
        <v>0</v>
      </c>
      <c r="Y879" s="236"/>
      <c r="Z879" s="236">
        <f t="shared" ca="1" si="331"/>
        <v>0</v>
      </c>
      <c r="AA879" s="241"/>
      <c r="AH879" s="242"/>
    </row>
    <row r="880" spans="2:34" ht="15.75" x14ac:dyDescent="0.25">
      <c r="B880" s="229"/>
      <c r="C880" s="235"/>
      <c r="D880" s="243"/>
      <c r="E880" s="232"/>
      <c r="F880" s="233"/>
      <c r="G880" s="234"/>
      <c r="H880" s="235"/>
      <c r="I880" s="235"/>
      <c r="J880" s="236"/>
      <c r="K880" s="237">
        <f ca="1">ROUND(IF(ISERROR(OFFSET(Tabella!$A$1,MATCH(H880,Tabella!$A:$A,0)-1,MATCH(J880,Tabella!$A$1:$AC$1,0)-1)=TRUE),0,+OFFSET(Tabella!$A$1,MATCH(H880,Tabella!$A:$A,0)-1,MATCH(J880,Tabella!$A$1:$AC$1,0)-1)),4)</f>
        <v>0</v>
      </c>
      <c r="L880" s="238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238">
        <f ca="1">ROUND(IF(ISERROR(OFFSET(Rame!$A$1,MATCH(H880,Rame!$A:$A,0)-1,MATCH(J880,Rame!$A$1:$AA$1,0)-1)=TRUE),0,OFFSET(Rame!$A$1,MATCH(H880,Rame!$A:$A,0)-1,MATCH(J880,Rame!$A$1:$AA$1,0)-1))*IF(E880="Rame",1,0),4)</f>
        <v>0</v>
      </c>
      <c r="N880" s="238">
        <v>0</v>
      </c>
      <c r="O880" s="238">
        <f t="shared" ca="1" si="327"/>
        <v>0</v>
      </c>
      <c r="P880" s="238">
        <f ca="1">ROUND(+IF(ISERROR(OFFSET(Tabella!$G$1,MATCH(H880,Tabella!$G:$G,0)-1,MATCH(I880,Tabella!$G$1:$FG$1,0)-1)=TRUE),0,OFFSET(Tabella!$G$1,MATCH(H880,Tabella!$G:$G,0)-1,MATCH(I880,Tabella!$G$1:$AB$1,0)-1)),4)</f>
        <v>0</v>
      </c>
      <c r="Q880" s="238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238">
        <f ca="1">ROUND(IF(ISERROR(OFFSET(Rame!$F$1,MATCH(H880,Rame!$F:$F,0)-1,MATCH(I880,Rame!$F$1:$FF$1,0)-1)=TRUE),0,OFFSET(Rame!$F$1,MATCH(H880,Rame!$F:$F,0)-1,MATCH(I880,Rame!$F$1:$FF$1,0)-1))*IF(E880="Rame",1,0),4)</f>
        <v>0</v>
      </c>
      <c r="S880" s="238">
        <f ca="1">ROUND(IF(ISERROR(OFFSET(Bronzo!$A$1,MATCH(H880,Bronzo!$A:$A,0)-1,MATCH(I880,Bronzo!$A$1:$AA$1,0)-1)=TRUE),0,OFFSET(Bronzo!$A$1,MATCH(H880,Bronzo!$A:$A,0)-1,MATCH(I880,Bronzo!$A$1:$AA$1,0)-1)),4)</f>
        <v>0</v>
      </c>
      <c r="T880" s="238">
        <f t="shared" ca="1" si="329"/>
        <v>0</v>
      </c>
      <c r="U880" s="237"/>
      <c r="V880" s="238">
        <v>0</v>
      </c>
      <c r="W880" s="239">
        <f t="shared" ca="1" si="330"/>
        <v>0</v>
      </c>
      <c r="X880" s="240">
        <f t="shared" si="328"/>
        <v>0</v>
      </c>
      <c r="Y880" s="236"/>
      <c r="Z880" s="236">
        <f t="shared" ca="1" si="331"/>
        <v>0</v>
      </c>
      <c r="AA880" s="241"/>
      <c r="AH880" s="242"/>
    </row>
    <row r="881" spans="2:46" ht="15.75" x14ac:dyDescent="0.25">
      <c r="B881" s="229"/>
      <c r="C881" s="235"/>
      <c r="D881" s="243"/>
      <c r="E881" s="232"/>
      <c r="F881" s="233"/>
      <c r="G881" s="234"/>
      <c r="H881" s="235"/>
      <c r="I881" s="235"/>
      <c r="J881" s="236"/>
      <c r="K881" s="237">
        <f ca="1">ROUND(IF(ISERROR(OFFSET(Tabella!$A$1,MATCH(H881,Tabella!$A:$A,0)-1,MATCH(J881,Tabella!$A$1:$AC$1,0)-1)=TRUE),0,+OFFSET(Tabella!$A$1,MATCH(H881,Tabella!$A:$A,0)-1,MATCH(J881,Tabella!$A$1:$AC$1,0)-1)),4)</f>
        <v>0</v>
      </c>
      <c r="L881" s="238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238">
        <f ca="1">ROUND(IF(ISERROR(OFFSET(Rame!$A$1,MATCH(H881,Rame!$A:$A,0)-1,MATCH(J881,Rame!$A$1:$AA$1,0)-1)=TRUE),0,OFFSET(Rame!$A$1,MATCH(H881,Rame!$A:$A,0)-1,MATCH(J881,Rame!$A$1:$AA$1,0)-1))*IF(E881="Rame",1,0),4)</f>
        <v>0</v>
      </c>
      <c r="N881" s="238">
        <v>0</v>
      </c>
      <c r="O881" s="238">
        <f t="shared" ca="1" si="327"/>
        <v>0</v>
      </c>
      <c r="P881" s="238">
        <f ca="1">ROUND(+IF(ISERROR(OFFSET(Tabella!$G$1,MATCH(H881,Tabella!$G:$G,0)-1,MATCH(I881,Tabella!$G$1:$FG$1,0)-1)=TRUE),0,OFFSET(Tabella!$G$1,MATCH(H881,Tabella!$G:$G,0)-1,MATCH(I881,Tabella!$G$1:$AB$1,0)-1)),4)</f>
        <v>0</v>
      </c>
      <c r="Q881" s="238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238">
        <f ca="1">ROUND(IF(ISERROR(OFFSET(Rame!$F$1,MATCH(H881,Rame!$F:$F,0)-1,MATCH(I881,Rame!$F$1:$FF$1,0)-1)=TRUE),0,OFFSET(Rame!$F$1,MATCH(H881,Rame!$F:$F,0)-1,MATCH(I881,Rame!$F$1:$FF$1,0)-1))*IF(E881="Rame",1,0),4)</f>
        <v>0</v>
      </c>
      <c r="S881" s="238">
        <f ca="1">ROUND(IF(ISERROR(OFFSET(Bronzo!$A$1,MATCH(H881,Bronzo!$A:$A,0)-1,MATCH(I881,Bronzo!$A$1:$AA$1,0)-1)=TRUE),0,OFFSET(Bronzo!$A$1,MATCH(H881,Bronzo!$A:$A,0)-1,MATCH(I881,Bronzo!$A$1:$AA$1,0)-1)),4)</f>
        <v>0</v>
      </c>
      <c r="T881" s="238">
        <f t="shared" ca="1" si="329"/>
        <v>0</v>
      </c>
      <c r="U881" s="237"/>
      <c r="V881" s="238">
        <v>0</v>
      </c>
      <c r="W881" s="239">
        <f t="shared" ca="1" si="330"/>
        <v>0</v>
      </c>
      <c r="X881" s="240">
        <f t="shared" si="328"/>
        <v>0</v>
      </c>
      <c r="Y881" s="236"/>
      <c r="Z881" s="236">
        <f t="shared" ca="1" si="331"/>
        <v>0</v>
      </c>
      <c r="AA881" s="241"/>
      <c r="AF881" s="225">
        <f t="shared" ca="1" si="136"/>
        <v>46236</v>
      </c>
      <c r="AG881" s="225" t="b">
        <f t="shared" si="143"/>
        <v>1</v>
      </c>
      <c r="AH881" s="242" t="str">
        <f t="shared" si="144"/>
        <v/>
      </c>
      <c r="AK881" s="223">
        <f t="shared" si="145"/>
        <v>0</v>
      </c>
      <c r="AL881" s="223">
        <f t="shared" si="146"/>
        <v>1900</v>
      </c>
      <c r="AS881" s="223">
        <f t="shared" ref="AS881:AS944" si="332">IF(AA881="",0,MONTH(AA881))</f>
        <v>0</v>
      </c>
      <c r="AT881" s="223">
        <f t="shared" ref="AT881:AT944" si="333">IF(AA881="",0,YEAR(AA881))</f>
        <v>0</v>
      </c>
    </row>
    <row r="882" spans="2:46" ht="15.75" x14ac:dyDescent="0.25">
      <c r="B882" s="229"/>
      <c r="C882" s="235"/>
      <c r="D882" s="243"/>
      <c r="E882" s="232"/>
      <c r="F882" s="233"/>
      <c r="G882" s="234"/>
      <c r="H882" s="235"/>
      <c r="I882" s="235"/>
      <c r="J882" s="236"/>
      <c r="K882" s="237">
        <f ca="1">ROUND(IF(ISERROR(OFFSET(Tabella!$A$1,MATCH(H882,Tabella!$A:$A,0)-1,MATCH(J882,Tabella!$A$1:$AC$1,0)-1)=TRUE),0,+OFFSET(Tabella!$A$1,MATCH(H882,Tabella!$A:$A,0)-1,MATCH(J882,Tabella!$A$1:$AC$1,0)-1)),4)</f>
        <v>0</v>
      </c>
      <c r="L882" s="238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238">
        <f ca="1">ROUND(IF(ISERROR(OFFSET(Rame!$A$1,MATCH(H882,Rame!$A:$A,0)-1,MATCH(J882,Rame!$A$1:$AA$1,0)-1)=TRUE),0,OFFSET(Rame!$A$1,MATCH(H882,Rame!$A:$A,0)-1,MATCH(J882,Rame!$A$1:$AA$1,0)-1))*IF(E882="Rame",1,0),4)</f>
        <v>0</v>
      </c>
      <c r="N882" s="238">
        <v>0</v>
      </c>
      <c r="O882" s="238">
        <f t="shared" ca="1" si="327"/>
        <v>0</v>
      </c>
      <c r="P882" s="238">
        <f ca="1">ROUND(+IF(ISERROR(OFFSET(Tabella!$G$1,MATCH(H882,Tabella!$G:$G,0)-1,MATCH(I882,Tabella!$G$1:$FG$1,0)-1)=TRUE),0,OFFSET(Tabella!$G$1,MATCH(H882,Tabella!$G:$G,0)-1,MATCH(I882,Tabella!$G$1:$AB$1,0)-1)),4)</f>
        <v>0</v>
      </c>
      <c r="Q882" s="238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238">
        <f ca="1">ROUND(IF(ISERROR(OFFSET(Rame!$F$1,MATCH(H882,Rame!$F:$F,0)-1,MATCH(I882,Rame!$F$1:$FF$1,0)-1)=TRUE),0,OFFSET(Rame!$F$1,MATCH(H882,Rame!$F:$F,0)-1,MATCH(I882,Rame!$F$1:$FF$1,0)-1))*IF(E882="Rame",1,0),4)</f>
        <v>0</v>
      </c>
      <c r="S882" s="238">
        <f ca="1">ROUND(IF(ISERROR(OFFSET(Bronzo!$A$1,MATCH(H882,Bronzo!$A:$A,0)-1,MATCH(I882,Bronzo!$A$1:$AA$1,0)-1)=TRUE),0,OFFSET(Bronzo!$A$1,MATCH(H882,Bronzo!$A:$A,0)-1,MATCH(I882,Bronzo!$A$1:$AA$1,0)-1)),4)</f>
        <v>0</v>
      </c>
      <c r="T882" s="238">
        <f t="shared" ca="1" si="329"/>
        <v>0</v>
      </c>
      <c r="U882" s="237"/>
      <c r="V882" s="238">
        <v>0</v>
      </c>
      <c r="W882" s="239">
        <f t="shared" ca="1" si="330"/>
        <v>0</v>
      </c>
      <c r="X882" s="240">
        <f t="shared" si="328"/>
        <v>0</v>
      </c>
      <c r="Y882" s="236"/>
      <c r="Z882" s="236">
        <f t="shared" ca="1" si="331"/>
        <v>0</v>
      </c>
      <c r="AA882" s="241"/>
      <c r="AF882" s="225">
        <f t="shared" ca="1" si="136"/>
        <v>46236</v>
      </c>
      <c r="AG882" s="225" t="b">
        <f t="shared" si="143"/>
        <v>1</v>
      </c>
      <c r="AH882" s="242" t="str">
        <f t="shared" si="144"/>
        <v/>
      </c>
      <c r="AK882" s="223">
        <f t="shared" si="145"/>
        <v>0</v>
      </c>
      <c r="AL882" s="223">
        <f t="shared" si="146"/>
        <v>1900</v>
      </c>
      <c r="AS882" s="223">
        <f t="shared" si="332"/>
        <v>0</v>
      </c>
      <c r="AT882" s="223">
        <f t="shared" si="333"/>
        <v>0</v>
      </c>
    </row>
    <row r="883" spans="2:46" ht="15.75" x14ac:dyDescent="0.25">
      <c r="B883" s="229"/>
      <c r="C883" s="235"/>
      <c r="D883" s="243"/>
      <c r="E883" s="232"/>
      <c r="F883" s="233"/>
      <c r="G883" s="234"/>
      <c r="H883" s="235"/>
      <c r="I883" s="235"/>
      <c r="J883" s="236"/>
      <c r="K883" s="237">
        <f ca="1">ROUND(IF(ISERROR(OFFSET(Tabella!$A$1,MATCH(H883,Tabella!$A:$A,0)-1,MATCH(J883,Tabella!$A$1:$AC$1,0)-1)=TRUE),0,+OFFSET(Tabella!$A$1,MATCH(H883,Tabella!$A:$A,0)-1,MATCH(J883,Tabella!$A$1:$AC$1,0)-1)),4)</f>
        <v>0</v>
      </c>
      <c r="L883" s="238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238">
        <f ca="1">ROUND(IF(ISERROR(OFFSET(Rame!$A$1,MATCH(H883,Rame!$A:$A,0)-1,MATCH(J883,Rame!$A$1:$AA$1,0)-1)=TRUE),0,OFFSET(Rame!$A$1,MATCH(H883,Rame!$A:$A,0)-1,MATCH(J883,Rame!$A$1:$AA$1,0)-1))*IF(E883="Rame",1,0),4)</f>
        <v>0</v>
      </c>
      <c r="N883" s="238">
        <v>0</v>
      </c>
      <c r="O883" s="238">
        <f t="shared" ref="O883:O946" ca="1" si="334">ROUND(SUM(K883:N883),4)</f>
        <v>0</v>
      </c>
      <c r="P883" s="238">
        <f ca="1">ROUND(+IF(ISERROR(OFFSET(Tabella!$G$1,MATCH(H883,Tabella!$G:$G,0)-1,MATCH(I883,Tabella!$G$1:$FG$1,0)-1)=TRUE),0,OFFSET(Tabella!$G$1,MATCH(H883,Tabella!$G:$G,0)-1,MATCH(I883,Tabella!$G$1:$AB$1,0)-1)),4)</f>
        <v>0</v>
      </c>
      <c r="Q883" s="238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238">
        <f ca="1">ROUND(IF(ISERROR(OFFSET(Rame!$F$1,MATCH(H883,Rame!$F:$F,0)-1,MATCH(I883,Rame!$F$1:$FF$1,0)-1)=TRUE),0,OFFSET(Rame!$F$1,MATCH(H883,Rame!$F:$F,0)-1,MATCH(I883,Rame!$F$1:$FF$1,0)-1))*IF(E883="Rame",1,0),4)</f>
        <v>0</v>
      </c>
      <c r="S883" s="238">
        <f ca="1">ROUND(IF(ISERROR(OFFSET(Bronzo!$A$1,MATCH(H883,Bronzo!$A:$A,0)-1,MATCH(I883,Bronzo!$A$1:$AA$1,0)-1)=TRUE),0,OFFSET(Bronzo!$A$1,MATCH(H883,Bronzo!$A:$A,0)-1,MATCH(I883,Bronzo!$A$1:$AA$1,0)-1)),4)</f>
        <v>0</v>
      </c>
      <c r="T883" s="238">
        <f t="shared" ca="1" si="329"/>
        <v>0</v>
      </c>
      <c r="U883" s="237"/>
      <c r="V883" s="238">
        <v>0</v>
      </c>
      <c r="W883" s="239">
        <f t="shared" ca="1" si="330"/>
        <v>0</v>
      </c>
      <c r="X883" s="240">
        <f t="shared" si="328"/>
        <v>0</v>
      </c>
      <c r="Y883" s="236"/>
      <c r="Z883" s="236">
        <f t="shared" ca="1" si="331"/>
        <v>0</v>
      </c>
      <c r="AA883" s="241"/>
      <c r="AF883" s="225">
        <f t="shared" ca="1" si="136"/>
        <v>46236</v>
      </c>
      <c r="AG883" s="225" t="b">
        <f t="shared" si="143"/>
        <v>1</v>
      </c>
      <c r="AH883" s="242" t="str">
        <f t="shared" si="144"/>
        <v/>
      </c>
      <c r="AK883" s="223">
        <f t="shared" si="145"/>
        <v>0</v>
      </c>
      <c r="AL883" s="223">
        <f t="shared" si="146"/>
        <v>1900</v>
      </c>
      <c r="AS883" s="223">
        <f t="shared" si="332"/>
        <v>0</v>
      </c>
      <c r="AT883" s="223">
        <f t="shared" si="333"/>
        <v>0</v>
      </c>
    </row>
    <row r="884" spans="2:46" ht="15.75" x14ac:dyDescent="0.25">
      <c r="B884" s="229"/>
      <c r="C884" s="235"/>
      <c r="D884" s="243"/>
      <c r="E884" s="232"/>
      <c r="F884" s="233"/>
      <c r="G884" s="234"/>
      <c r="H884" s="235"/>
      <c r="I884" s="235"/>
      <c r="J884" s="236"/>
      <c r="K884" s="237">
        <f ca="1">ROUND(IF(ISERROR(OFFSET(Tabella!$A$1,MATCH(H884,Tabella!$A:$A,0)-1,MATCH(J884,Tabella!$A$1:$AC$1,0)-1)=TRUE),0,+OFFSET(Tabella!$A$1,MATCH(H884,Tabella!$A:$A,0)-1,MATCH(J884,Tabella!$A$1:$AC$1,0)-1)),4)</f>
        <v>0</v>
      </c>
      <c r="L884" s="238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238">
        <f ca="1">ROUND(IF(ISERROR(OFFSET(Rame!$A$1,MATCH(H884,Rame!$A:$A,0)-1,MATCH(J884,Rame!$A$1:$AA$1,0)-1)=TRUE),0,OFFSET(Rame!$A$1,MATCH(H884,Rame!$A:$A,0)-1,MATCH(J884,Rame!$A$1:$AA$1,0)-1))*IF(E884="Rame",1,0),4)</f>
        <v>0</v>
      </c>
      <c r="N884" s="238">
        <v>0</v>
      </c>
      <c r="O884" s="238">
        <f t="shared" ca="1" si="334"/>
        <v>0</v>
      </c>
      <c r="P884" s="238">
        <f ca="1">ROUND(+IF(ISERROR(OFFSET(Tabella!$G$1,MATCH(H884,Tabella!$G:$G,0)-1,MATCH(I884,Tabella!$G$1:$FG$1,0)-1)=TRUE),0,OFFSET(Tabella!$G$1,MATCH(H884,Tabella!$G:$G,0)-1,MATCH(I884,Tabella!$G$1:$AB$1,0)-1)),4)</f>
        <v>0</v>
      </c>
      <c r="Q884" s="238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238">
        <f ca="1">ROUND(IF(ISERROR(OFFSET(Rame!$F$1,MATCH(H884,Rame!$F:$F,0)-1,MATCH(I884,Rame!$F$1:$FF$1,0)-1)=TRUE),0,OFFSET(Rame!$F$1,MATCH(H884,Rame!$F:$F,0)-1,MATCH(I884,Rame!$F$1:$FF$1,0)-1))*IF(E884="Rame",1,0),4)</f>
        <v>0</v>
      </c>
      <c r="S884" s="238">
        <f ca="1">ROUND(IF(ISERROR(OFFSET(Bronzo!$A$1,MATCH(H884,Bronzo!$A:$A,0)-1,MATCH(I884,Bronzo!$A$1:$AA$1,0)-1)=TRUE),0,OFFSET(Bronzo!$A$1,MATCH(H884,Bronzo!$A:$A,0)-1,MATCH(I884,Bronzo!$A$1:$AA$1,0)-1)),4)</f>
        <v>0</v>
      </c>
      <c r="T884" s="238">
        <f t="shared" ca="1" si="329"/>
        <v>0</v>
      </c>
      <c r="U884" s="237"/>
      <c r="V884" s="238">
        <v>0</v>
      </c>
      <c r="W884" s="239">
        <f t="shared" ca="1" si="330"/>
        <v>0</v>
      </c>
      <c r="X884" s="240">
        <f t="shared" si="328"/>
        <v>0</v>
      </c>
      <c r="Y884" s="236"/>
      <c r="Z884" s="236">
        <f t="shared" ca="1" si="331"/>
        <v>0</v>
      </c>
      <c r="AA884" s="241"/>
      <c r="AF884" s="225">
        <f t="shared" ca="1" si="136"/>
        <v>46236</v>
      </c>
      <c r="AG884" s="225" t="b">
        <f t="shared" si="143"/>
        <v>1</v>
      </c>
      <c r="AH884" s="242" t="str">
        <f t="shared" si="144"/>
        <v/>
      </c>
      <c r="AK884" s="223">
        <f t="shared" si="145"/>
        <v>0</v>
      </c>
      <c r="AL884" s="223">
        <f t="shared" si="146"/>
        <v>1900</v>
      </c>
      <c r="AS884" s="223">
        <f t="shared" si="332"/>
        <v>0</v>
      </c>
      <c r="AT884" s="223">
        <f t="shared" si="333"/>
        <v>0</v>
      </c>
    </row>
    <row r="885" spans="2:46" ht="15.75" x14ac:dyDescent="0.25">
      <c r="B885" s="229"/>
      <c r="C885" s="235"/>
      <c r="D885" s="243"/>
      <c r="E885" s="232"/>
      <c r="F885" s="233"/>
      <c r="G885" s="234"/>
      <c r="H885" s="235"/>
      <c r="I885" s="235"/>
      <c r="J885" s="236"/>
      <c r="K885" s="237">
        <f ca="1">ROUND(IF(ISERROR(OFFSET(Tabella!$A$1,MATCH(H885,Tabella!$A:$A,0)-1,MATCH(J885,Tabella!$A$1:$AC$1,0)-1)=TRUE),0,+OFFSET(Tabella!$A$1,MATCH(H885,Tabella!$A:$A,0)-1,MATCH(J885,Tabella!$A$1:$AC$1,0)-1)),4)</f>
        <v>0</v>
      </c>
      <c r="L885" s="238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238">
        <f ca="1">ROUND(IF(ISERROR(OFFSET(Rame!$A$1,MATCH(H885,Rame!$A:$A,0)-1,MATCH(J885,Rame!$A$1:$AA$1,0)-1)=TRUE),0,OFFSET(Rame!$A$1,MATCH(H885,Rame!$A:$A,0)-1,MATCH(J885,Rame!$A$1:$AA$1,0)-1))*IF(E885="Rame",1,0),4)</f>
        <v>0</v>
      </c>
      <c r="N885" s="238">
        <v>0</v>
      </c>
      <c r="O885" s="238">
        <f t="shared" ca="1" si="334"/>
        <v>0</v>
      </c>
      <c r="P885" s="238">
        <f ca="1">ROUND(+IF(ISERROR(OFFSET(Tabella!$G$1,MATCH(H885,Tabella!$G:$G,0)-1,MATCH(I885,Tabella!$G$1:$FG$1,0)-1)=TRUE),0,OFFSET(Tabella!$G$1,MATCH(H885,Tabella!$G:$G,0)-1,MATCH(I885,Tabella!$G$1:$AB$1,0)-1)),4)</f>
        <v>0</v>
      </c>
      <c r="Q885" s="238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238">
        <f ca="1">ROUND(IF(ISERROR(OFFSET(Rame!$F$1,MATCH(H885,Rame!$F:$F,0)-1,MATCH(I885,Rame!$F$1:$FF$1,0)-1)=TRUE),0,OFFSET(Rame!$F$1,MATCH(H885,Rame!$F:$F,0)-1,MATCH(I885,Rame!$F$1:$FF$1,0)-1))*IF(E885="Rame",1,0),4)</f>
        <v>0</v>
      </c>
      <c r="S885" s="238">
        <f ca="1">ROUND(IF(ISERROR(OFFSET(Bronzo!$A$1,MATCH(H885,Bronzo!$A:$A,0)-1,MATCH(I885,Bronzo!$A$1:$AA$1,0)-1)=TRUE),0,OFFSET(Bronzo!$A$1,MATCH(H885,Bronzo!$A:$A,0)-1,MATCH(I885,Bronzo!$A$1:$AA$1,0)-1)),4)</f>
        <v>0</v>
      </c>
      <c r="T885" s="238">
        <f t="shared" ca="1" si="329"/>
        <v>0</v>
      </c>
      <c r="U885" s="237"/>
      <c r="V885" s="238">
        <v>0</v>
      </c>
      <c r="W885" s="239">
        <f t="shared" ca="1" si="330"/>
        <v>0</v>
      </c>
      <c r="X885" s="240">
        <f t="shared" si="328"/>
        <v>0</v>
      </c>
      <c r="Y885" s="236"/>
      <c r="Z885" s="236">
        <f t="shared" ca="1" si="331"/>
        <v>0</v>
      </c>
      <c r="AA885" s="241"/>
      <c r="AF885" s="225">
        <f t="shared" ca="1" si="136"/>
        <v>46236</v>
      </c>
      <c r="AG885" s="225" t="b">
        <f t="shared" si="143"/>
        <v>1</v>
      </c>
      <c r="AH885" s="242" t="str">
        <f t="shared" si="144"/>
        <v/>
      </c>
      <c r="AK885" s="223">
        <f t="shared" si="145"/>
        <v>0</v>
      </c>
      <c r="AL885" s="223">
        <f t="shared" si="146"/>
        <v>1900</v>
      </c>
      <c r="AS885" s="223">
        <f t="shared" si="332"/>
        <v>0</v>
      </c>
      <c r="AT885" s="223">
        <f t="shared" si="333"/>
        <v>0</v>
      </c>
    </row>
    <row r="886" spans="2:46" ht="15.75" x14ac:dyDescent="0.25">
      <c r="B886" s="229"/>
      <c r="C886" s="235"/>
      <c r="D886" s="243"/>
      <c r="E886" s="232"/>
      <c r="F886" s="233"/>
      <c r="G886" s="234"/>
      <c r="H886" s="235"/>
      <c r="I886" s="235"/>
      <c r="J886" s="236"/>
      <c r="K886" s="237">
        <f ca="1">ROUND(IF(ISERROR(OFFSET(Tabella!$A$1,MATCH(H886,Tabella!$A:$A,0)-1,MATCH(J886,Tabella!$A$1:$AC$1,0)-1)=TRUE),0,+OFFSET(Tabella!$A$1,MATCH(H886,Tabella!$A:$A,0)-1,MATCH(J886,Tabella!$A$1:$AC$1,0)-1)),4)</f>
        <v>0</v>
      </c>
      <c r="L886" s="238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238">
        <f ca="1">ROUND(IF(ISERROR(OFFSET(Rame!$A$1,MATCH(H886,Rame!$A:$A,0)-1,MATCH(J886,Rame!$A$1:$AA$1,0)-1)=TRUE),0,OFFSET(Rame!$A$1,MATCH(H886,Rame!$A:$A,0)-1,MATCH(J886,Rame!$A$1:$AA$1,0)-1))*IF(E886="Rame",1,0),4)</f>
        <v>0</v>
      </c>
      <c r="N886" s="238">
        <v>0</v>
      </c>
      <c r="O886" s="238">
        <f t="shared" ca="1" si="334"/>
        <v>0</v>
      </c>
      <c r="P886" s="238">
        <f ca="1">ROUND(+IF(ISERROR(OFFSET(Tabella!$G$1,MATCH(H886,Tabella!$G:$G,0)-1,MATCH(I886,Tabella!$G$1:$FG$1,0)-1)=TRUE),0,OFFSET(Tabella!$G$1,MATCH(H886,Tabella!$G:$G,0)-1,MATCH(I886,Tabella!$G$1:$AB$1,0)-1)),4)</f>
        <v>0</v>
      </c>
      <c r="Q886" s="238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238">
        <f ca="1">ROUND(IF(ISERROR(OFFSET(Rame!$F$1,MATCH(H886,Rame!$F:$F,0)-1,MATCH(I886,Rame!$F$1:$FF$1,0)-1)=TRUE),0,OFFSET(Rame!$F$1,MATCH(H886,Rame!$F:$F,0)-1,MATCH(I886,Rame!$F$1:$FF$1,0)-1))*IF(E886="Rame",1,0),4)</f>
        <v>0</v>
      </c>
      <c r="S886" s="238">
        <f ca="1">ROUND(IF(ISERROR(OFFSET(Bronzo!$A$1,MATCH(H886,Bronzo!$A:$A,0)-1,MATCH(I886,Bronzo!$A$1:$AA$1,0)-1)=TRUE),0,OFFSET(Bronzo!$A$1,MATCH(H886,Bronzo!$A:$A,0)-1,MATCH(I886,Bronzo!$A$1:$AA$1,0)-1)),4)</f>
        <v>0</v>
      </c>
      <c r="T886" s="238">
        <f t="shared" ca="1" si="329"/>
        <v>0</v>
      </c>
      <c r="U886" s="237"/>
      <c r="V886" s="238">
        <v>0</v>
      </c>
      <c r="W886" s="239">
        <f t="shared" ca="1" si="330"/>
        <v>0</v>
      </c>
      <c r="X886" s="240">
        <f t="shared" si="328"/>
        <v>0</v>
      </c>
      <c r="Y886" s="236"/>
      <c r="Z886" s="236">
        <f t="shared" ca="1" si="331"/>
        <v>0</v>
      </c>
      <c r="AA886" s="241"/>
      <c r="AF886" s="225">
        <f t="shared" ca="1" si="136"/>
        <v>46236</v>
      </c>
      <c r="AG886" s="225" t="b">
        <f t="shared" si="143"/>
        <v>1</v>
      </c>
      <c r="AH886" s="242" t="str">
        <f t="shared" si="144"/>
        <v/>
      </c>
      <c r="AK886" s="223">
        <f t="shared" si="145"/>
        <v>0</v>
      </c>
      <c r="AL886" s="223">
        <f t="shared" si="146"/>
        <v>1900</v>
      </c>
      <c r="AS886" s="223">
        <f t="shared" si="332"/>
        <v>0</v>
      </c>
      <c r="AT886" s="223">
        <f t="shared" si="333"/>
        <v>0</v>
      </c>
    </row>
    <row r="887" spans="2:46" ht="15.75" x14ac:dyDescent="0.25">
      <c r="B887" s="229"/>
      <c r="C887" s="235"/>
      <c r="D887" s="243"/>
      <c r="E887" s="232"/>
      <c r="F887" s="233"/>
      <c r="G887" s="234"/>
      <c r="H887" s="235"/>
      <c r="I887" s="235"/>
      <c r="J887" s="236"/>
      <c r="K887" s="237">
        <f ca="1">ROUND(IF(ISERROR(OFFSET(Tabella!$A$1,MATCH(H887,Tabella!$A:$A,0)-1,MATCH(J887,Tabella!$A$1:$AC$1,0)-1)=TRUE),0,+OFFSET(Tabella!$A$1,MATCH(H887,Tabella!$A:$A,0)-1,MATCH(J887,Tabella!$A$1:$AC$1,0)-1)),4)</f>
        <v>0</v>
      </c>
      <c r="L887" s="238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238">
        <f ca="1">ROUND(IF(ISERROR(OFFSET(Rame!$A$1,MATCH(H887,Rame!$A:$A,0)-1,MATCH(J887,Rame!$A$1:$AA$1,0)-1)=TRUE),0,OFFSET(Rame!$A$1,MATCH(H887,Rame!$A:$A,0)-1,MATCH(J887,Rame!$A$1:$AA$1,0)-1))*IF(E887="Rame",1,0),4)</f>
        <v>0</v>
      </c>
      <c r="N887" s="238">
        <v>0</v>
      </c>
      <c r="O887" s="238">
        <f t="shared" ca="1" si="334"/>
        <v>0</v>
      </c>
      <c r="P887" s="238">
        <f ca="1">ROUND(+IF(ISERROR(OFFSET(Tabella!$G$1,MATCH(H887,Tabella!$G:$G,0)-1,MATCH(I887,Tabella!$G$1:$FG$1,0)-1)=TRUE),0,OFFSET(Tabella!$G$1,MATCH(H887,Tabella!$G:$G,0)-1,MATCH(I887,Tabella!$G$1:$AB$1,0)-1)),4)</f>
        <v>0</v>
      </c>
      <c r="Q887" s="238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238">
        <f ca="1">ROUND(IF(ISERROR(OFFSET(Rame!$F$1,MATCH(H887,Rame!$F:$F,0)-1,MATCH(I887,Rame!$F$1:$FF$1,0)-1)=TRUE),0,OFFSET(Rame!$F$1,MATCH(H887,Rame!$F:$F,0)-1,MATCH(I887,Rame!$F$1:$FF$1,0)-1))*IF(E887="Rame",1,0),4)</f>
        <v>0</v>
      </c>
      <c r="S887" s="238">
        <f ca="1">ROUND(IF(ISERROR(OFFSET(Bronzo!$A$1,MATCH(H887,Bronzo!$A:$A,0)-1,MATCH(I887,Bronzo!$A$1:$AA$1,0)-1)=TRUE),0,OFFSET(Bronzo!$A$1,MATCH(H887,Bronzo!$A:$A,0)-1,MATCH(I887,Bronzo!$A$1:$AA$1,0)-1)),4)</f>
        <v>0</v>
      </c>
      <c r="T887" s="238">
        <f t="shared" ca="1" si="329"/>
        <v>0</v>
      </c>
      <c r="U887" s="237"/>
      <c r="V887" s="238">
        <v>0</v>
      </c>
      <c r="W887" s="239">
        <f t="shared" ca="1" si="330"/>
        <v>0</v>
      </c>
      <c r="X887" s="240">
        <f t="shared" si="328"/>
        <v>0</v>
      </c>
      <c r="Y887" s="236"/>
      <c r="Z887" s="236">
        <f t="shared" ca="1" si="331"/>
        <v>0</v>
      </c>
      <c r="AA887" s="241"/>
      <c r="AF887" s="225">
        <f t="shared" ca="1" si="136"/>
        <v>46236</v>
      </c>
      <c r="AG887" s="225" t="b">
        <f t="shared" si="143"/>
        <v>1</v>
      </c>
      <c r="AH887" s="242" t="str">
        <f t="shared" si="144"/>
        <v/>
      </c>
      <c r="AK887" s="223">
        <f t="shared" si="145"/>
        <v>0</v>
      </c>
      <c r="AL887" s="223">
        <f t="shared" si="146"/>
        <v>1900</v>
      </c>
      <c r="AS887" s="223">
        <f t="shared" si="332"/>
        <v>0</v>
      </c>
      <c r="AT887" s="223">
        <f t="shared" si="333"/>
        <v>0</v>
      </c>
    </row>
    <row r="888" spans="2:46" ht="15.75" x14ac:dyDescent="0.25">
      <c r="B888" s="229"/>
      <c r="C888" s="235"/>
      <c r="D888" s="243"/>
      <c r="E888" s="232"/>
      <c r="F888" s="233"/>
      <c r="G888" s="234"/>
      <c r="H888" s="235"/>
      <c r="I888" s="235"/>
      <c r="J888" s="236"/>
      <c r="K888" s="237">
        <f ca="1">ROUND(IF(ISERROR(OFFSET(Tabella!$A$1,MATCH(H888,Tabella!$A:$A,0)-1,MATCH(J888,Tabella!$A$1:$AC$1,0)-1)=TRUE),0,+OFFSET(Tabella!$A$1,MATCH(H888,Tabella!$A:$A,0)-1,MATCH(J888,Tabella!$A$1:$AC$1,0)-1)),4)</f>
        <v>0</v>
      </c>
      <c r="L888" s="238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238">
        <f ca="1">ROUND(IF(ISERROR(OFFSET(Rame!$A$1,MATCH(H888,Rame!$A:$A,0)-1,MATCH(J888,Rame!$A$1:$AA$1,0)-1)=TRUE),0,OFFSET(Rame!$A$1,MATCH(H888,Rame!$A:$A,0)-1,MATCH(J888,Rame!$A$1:$AA$1,0)-1))*IF(E888="Rame",1,0),4)</f>
        <v>0</v>
      </c>
      <c r="N888" s="238">
        <v>0</v>
      </c>
      <c r="O888" s="238">
        <f t="shared" ca="1" si="334"/>
        <v>0</v>
      </c>
      <c r="P888" s="238">
        <f ca="1">ROUND(+IF(ISERROR(OFFSET(Tabella!$G$1,MATCH(H888,Tabella!$G:$G,0)-1,MATCH(I888,Tabella!$G$1:$FG$1,0)-1)=TRUE),0,OFFSET(Tabella!$G$1,MATCH(H888,Tabella!$G:$G,0)-1,MATCH(I888,Tabella!$G$1:$AB$1,0)-1)),4)</f>
        <v>0</v>
      </c>
      <c r="Q888" s="238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238">
        <f ca="1">ROUND(IF(ISERROR(OFFSET(Rame!$F$1,MATCH(H888,Rame!$F:$F,0)-1,MATCH(I888,Rame!$F$1:$FF$1,0)-1)=TRUE),0,OFFSET(Rame!$F$1,MATCH(H888,Rame!$F:$F,0)-1,MATCH(I888,Rame!$F$1:$FF$1,0)-1))*IF(E888="Rame",1,0),4)</f>
        <v>0</v>
      </c>
      <c r="S888" s="238">
        <f ca="1">ROUND(IF(ISERROR(OFFSET(Bronzo!$A$1,MATCH(H888,Bronzo!$A:$A,0)-1,MATCH(I888,Bronzo!$A$1:$AA$1,0)-1)=TRUE),0,OFFSET(Bronzo!$A$1,MATCH(H888,Bronzo!$A:$A,0)-1,MATCH(I888,Bronzo!$A$1:$AA$1,0)-1)),4)</f>
        <v>0</v>
      </c>
      <c r="T888" s="238">
        <f t="shared" ca="1" si="329"/>
        <v>0</v>
      </c>
      <c r="U888" s="237"/>
      <c r="V888" s="238">
        <v>0</v>
      </c>
      <c r="W888" s="239">
        <f t="shared" ca="1" si="330"/>
        <v>0</v>
      </c>
      <c r="X888" s="240">
        <f t="shared" si="328"/>
        <v>0</v>
      </c>
      <c r="Y888" s="236"/>
      <c r="Z888" s="236">
        <f t="shared" ca="1" si="331"/>
        <v>0</v>
      </c>
      <c r="AA888" s="241"/>
      <c r="AF888" s="225">
        <f t="shared" ca="1" si="136"/>
        <v>46236</v>
      </c>
      <c r="AG888" s="225" t="b">
        <f t="shared" si="143"/>
        <v>1</v>
      </c>
      <c r="AH888" s="242" t="str">
        <f t="shared" si="144"/>
        <v/>
      </c>
      <c r="AK888" s="223">
        <f t="shared" si="145"/>
        <v>0</v>
      </c>
      <c r="AL888" s="223">
        <f t="shared" si="146"/>
        <v>1900</v>
      </c>
      <c r="AS888" s="223">
        <f t="shared" si="332"/>
        <v>0</v>
      </c>
      <c r="AT888" s="223">
        <f t="shared" si="333"/>
        <v>0</v>
      </c>
    </row>
    <row r="889" spans="2:46" ht="15.75" x14ac:dyDescent="0.25">
      <c r="B889" s="229"/>
      <c r="C889" s="235"/>
      <c r="D889" s="243"/>
      <c r="E889" s="232"/>
      <c r="F889" s="233"/>
      <c r="G889" s="234"/>
      <c r="H889" s="235"/>
      <c r="I889" s="235"/>
      <c r="J889" s="236"/>
      <c r="K889" s="237">
        <f ca="1">ROUND(IF(ISERROR(OFFSET(Tabella!$A$1,MATCH(H889,Tabella!$A:$A,0)-1,MATCH(J889,Tabella!$A$1:$AC$1,0)-1)=TRUE),0,+OFFSET(Tabella!$A$1,MATCH(H889,Tabella!$A:$A,0)-1,MATCH(J889,Tabella!$A$1:$AC$1,0)-1)),4)</f>
        <v>0</v>
      </c>
      <c r="L889" s="238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238">
        <f ca="1">ROUND(IF(ISERROR(OFFSET(Rame!$A$1,MATCH(H889,Rame!$A:$A,0)-1,MATCH(J889,Rame!$A$1:$AA$1,0)-1)=TRUE),0,OFFSET(Rame!$A$1,MATCH(H889,Rame!$A:$A,0)-1,MATCH(J889,Rame!$A$1:$AA$1,0)-1))*IF(E889="Rame",1,0),4)</f>
        <v>0</v>
      </c>
      <c r="N889" s="238">
        <v>0</v>
      </c>
      <c r="O889" s="238">
        <f t="shared" ca="1" si="334"/>
        <v>0</v>
      </c>
      <c r="P889" s="238">
        <f ca="1">ROUND(+IF(ISERROR(OFFSET(Tabella!$G$1,MATCH(H889,Tabella!$G:$G,0)-1,MATCH(I889,Tabella!$G$1:$FG$1,0)-1)=TRUE),0,OFFSET(Tabella!$G$1,MATCH(H889,Tabella!$G:$G,0)-1,MATCH(I889,Tabella!$G$1:$AB$1,0)-1)),4)</f>
        <v>0</v>
      </c>
      <c r="Q889" s="238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238">
        <f ca="1">ROUND(IF(ISERROR(OFFSET(Rame!$F$1,MATCH(H889,Rame!$F:$F,0)-1,MATCH(I889,Rame!$F$1:$FF$1,0)-1)=TRUE),0,OFFSET(Rame!$F$1,MATCH(H889,Rame!$F:$F,0)-1,MATCH(I889,Rame!$F$1:$FF$1,0)-1))*IF(E889="Rame",1,0),4)</f>
        <v>0</v>
      </c>
      <c r="S889" s="238">
        <f ca="1">ROUND(IF(ISERROR(OFFSET(Bronzo!$A$1,MATCH(H889,Bronzo!$A:$A,0)-1,MATCH(I889,Bronzo!$A$1:$AA$1,0)-1)=TRUE),0,OFFSET(Bronzo!$A$1,MATCH(H889,Bronzo!$A:$A,0)-1,MATCH(I889,Bronzo!$A$1:$AA$1,0)-1)),4)</f>
        <v>0</v>
      </c>
      <c r="T889" s="238">
        <f t="shared" ca="1" si="329"/>
        <v>0</v>
      </c>
      <c r="U889" s="237"/>
      <c r="V889" s="238">
        <v>0</v>
      </c>
      <c r="W889" s="239">
        <f t="shared" ca="1" si="330"/>
        <v>0</v>
      </c>
      <c r="X889" s="240">
        <f t="shared" si="328"/>
        <v>0</v>
      </c>
      <c r="Y889" s="236"/>
      <c r="Z889" s="236">
        <f t="shared" ca="1" si="331"/>
        <v>0</v>
      </c>
      <c r="AA889" s="241"/>
      <c r="AF889" s="225">
        <f t="shared" ca="1" si="136"/>
        <v>46236</v>
      </c>
      <c r="AG889" s="225" t="b">
        <f t="shared" si="143"/>
        <v>1</v>
      </c>
      <c r="AH889" s="242" t="str">
        <f t="shared" si="144"/>
        <v/>
      </c>
      <c r="AK889" s="223">
        <f t="shared" si="145"/>
        <v>0</v>
      </c>
      <c r="AL889" s="223">
        <f t="shared" si="146"/>
        <v>1900</v>
      </c>
      <c r="AS889" s="223">
        <f t="shared" si="332"/>
        <v>0</v>
      </c>
      <c r="AT889" s="223">
        <f t="shared" si="333"/>
        <v>0</v>
      </c>
    </row>
    <row r="890" spans="2:46" ht="15.75" x14ac:dyDescent="0.25">
      <c r="B890" s="229"/>
      <c r="C890" s="235"/>
      <c r="D890" s="243"/>
      <c r="E890" s="232"/>
      <c r="F890" s="233"/>
      <c r="G890" s="234"/>
      <c r="H890" s="235"/>
      <c r="I890" s="235"/>
      <c r="J890" s="236"/>
      <c r="K890" s="237">
        <f ca="1">ROUND(IF(ISERROR(OFFSET(Tabella!$A$1,MATCH(H890,Tabella!$A:$A,0)-1,MATCH(J890,Tabella!$A$1:$AC$1,0)-1)=TRUE),0,+OFFSET(Tabella!$A$1,MATCH(H890,Tabella!$A:$A,0)-1,MATCH(J890,Tabella!$A$1:$AC$1,0)-1)),4)</f>
        <v>0</v>
      </c>
      <c r="L890" s="238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238">
        <f ca="1">ROUND(IF(ISERROR(OFFSET(Rame!$A$1,MATCH(H890,Rame!$A:$A,0)-1,MATCH(J890,Rame!$A$1:$AA$1,0)-1)=TRUE),0,OFFSET(Rame!$A$1,MATCH(H890,Rame!$A:$A,0)-1,MATCH(J890,Rame!$A$1:$AA$1,0)-1))*IF(E890="Rame",1,0),4)</f>
        <v>0</v>
      </c>
      <c r="N890" s="238">
        <v>0</v>
      </c>
      <c r="O890" s="238">
        <f t="shared" ca="1" si="334"/>
        <v>0</v>
      </c>
      <c r="P890" s="238">
        <f ca="1">ROUND(+IF(ISERROR(OFFSET(Tabella!$G$1,MATCH(H890,Tabella!$G:$G,0)-1,MATCH(I890,Tabella!$G$1:$FG$1,0)-1)=TRUE),0,OFFSET(Tabella!$G$1,MATCH(H890,Tabella!$G:$G,0)-1,MATCH(I890,Tabella!$G$1:$AB$1,0)-1)),4)</f>
        <v>0</v>
      </c>
      <c r="Q890" s="238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238">
        <f ca="1">ROUND(IF(ISERROR(OFFSET(Rame!$F$1,MATCH(H890,Rame!$F:$F,0)-1,MATCH(I890,Rame!$F$1:$FF$1,0)-1)=TRUE),0,OFFSET(Rame!$F$1,MATCH(H890,Rame!$F:$F,0)-1,MATCH(I890,Rame!$F$1:$FF$1,0)-1))*IF(E890="Rame",1,0),4)</f>
        <v>0</v>
      </c>
      <c r="S890" s="238">
        <f ca="1">ROUND(IF(ISERROR(OFFSET(Bronzo!$A$1,MATCH(H890,Bronzo!$A:$A,0)-1,MATCH(I890,Bronzo!$A$1:$AA$1,0)-1)=TRUE),0,OFFSET(Bronzo!$A$1,MATCH(H890,Bronzo!$A:$A,0)-1,MATCH(I890,Bronzo!$A$1:$AA$1,0)-1)),4)</f>
        <v>0</v>
      </c>
      <c r="T890" s="238">
        <f t="shared" ca="1" si="329"/>
        <v>0</v>
      </c>
      <c r="U890" s="237"/>
      <c r="V890" s="238">
        <v>0</v>
      </c>
      <c r="W890" s="239">
        <f t="shared" ca="1" si="330"/>
        <v>0</v>
      </c>
      <c r="X890" s="240">
        <f t="shared" si="328"/>
        <v>0</v>
      </c>
      <c r="Y890" s="236"/>
      <c r="Z890" s="236">
        <f t="shared" ca="1" si="331"/>
        <v>0</v>
      </c>
      <c r="AA890" s="241"/>
      <c r="AF890" s="225">
        <f t="shared" ca="1" si="136"/>
        <v>46236</v>
      </c>
      <c r="AG890" s="225" t="b">
        <f t="shared" si="143"/>
        <v>1</v>
      </c>
      <c r="AH890" s="242" t="str">
        <f t="shared" si="144"/>
        <v/>
      </c>
      <c r="AK890" s="223">
        <f t="shared" si="145"/>
        <v>0</v>
      </c>
      <c r="AL890" s="223">
        <f t="shared" si="146"/>
        <v>1900</v>
      </c>
      <c r="AS890" s="223">
        <f t="shared" si="332"/>
        <v>0</v>
      </c>
      <c r="AT890" s="223">
        <f t="shared" si="333"/>
        <v>0</v>
      </c>
    </row>
    <row r="891" spans="2:46" ht="15.75" x14ac:dyDescent="0.25">
      <c r="B891" s="229"/>
      <c r="C891" s="235"/>
      <c r="D891" s="243"/>
      <c r="E891" s="232"/>
      <c r="F891" s="233"/>
      <c r="G891" s="234"/>
      <c r="H891" s="235"/>
      <c r="I891" s="235"/>
      <c r="J891" s="236"/>
      <c r="K891" s="237">
        <f ca="1">ROUND(IF(ISERROR(OFFSET(Tabella!$A$1,MATCH(H891,Tabella!$A:$A,0)-1,MATCH(J891,Tabella!$A$1:$AC$1,0)-1)=TRUE),0,+OFFSET(Tabella!$A$1,MATCH(H891,Tabella!$A:$A,0)-1,MATCH(J891,Tabella!$A$1:$AC$1,0)-1)),4)</f>
        <v>0</v>
      </c>
      <c r="L891" s="238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238">
        <f ca="1">ROUND(IF(ISERROR(OFFSET(Rame!$A$1,MATCH(H891,Rame!$A:$A,0)-1,MATCH(J891,Rame!$A$1:$AA$1,0)-1)=TRUE),0,OFFSET(Rame!$A$1,MATCH(H891,Rame!$A:$A,0)-1,MATCH(J891,Rame!$A$1:$AA$1,0)-1))*IF(E891="Rame",1,0),4)</f>
        <v>0</v>
      </c>
      <c r="N891" s="238">
        <v>0</v>
      </c>
      <c r="O891" s="238">
        <f t="shared" ca="1" si="334"/>
        <v>0</v>
      </c>
      <c r="P891" s="238">
        <f ca="1">ROUND(+IF(ISERROR(OFFSET(Tabella!$G$1,MATCH(H891,Tabella!$G:$G,0)-1,MATCH(I891,Tabella!$G$1:$FG$1,0)-1)=TRUE),0,OFFSET(Tabella!$G$1,MATCH(H891,Tabella!$G:$G,0)-1,MATCH(I891,Tabella!$G$1:$AB$1,0)-1)),4)</f>
        <v>0</v>
      </c>
      <c r="Q891" s="238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238">
        <f ca="1">ROUND(IF(ISERROR(OFFSET(Rame!$F$1,MATCH(H891,Rame!$F:$F,0)-1,MATCH(I891,Rame!$F$1:$FF$1,0)-1)=TRUE),0,OFFSET(Rame!$F$1,MATCH(H891,Rame!$F:$F,0)-1,MATCH(I891,Rame!$F$1:$FF$1,0)-1))*IF(E891="Rame",1,0),4)</f>
        <v>0</v>
      </c>
      <c r="S891" s="238">
        <f ca="1">ROUND(IF(ISERROR(OFFSET(Bronzo!$A$1,MATCH(H891,Bronzo!$A:$A,0)-1,MATCH(I891,Bronzo!$A$1:$AA$1,0)-1)=TRUE),0,OFFSET(Bronzo!$A$1,MATCH(H891,Bronzo!$A:$A,0)-1,MATCH(I891,Bronzo!$A$1:$AA$1,0)-1)),4)</f>
        <v>0</v>
      </c>
      <c r="T891" s="238">
        <f t="shared" ca="1" si="329"/>
        <v>0</v>
      </c>
      <c r="U891" s="237"/>
      <c r="V891" s="238">
        <v>0</v>
      </c>
      <c r="W891" s="239">
        <f t="shared" ca="1" si="330"/>
        <v>0</v>
      </c>
      <c r="X891" s="240">
        <f t="shared" si="328"/>
        <v>0</v>
      </c>
      <c r="Y891" s="236"/>
      <c r="Z891" s="236">
        <f t="shared" ca="1" si="331"/>
        <v>0</v>
      </c>
      <c r="AA891" s="241"/>
      <c r="AF891" s="225">
        <f t="shared" ca="1" si="136"/>
        <v>46236</v>
      </c>
      <c r="AG891" s="225" t="b">
        <f t="shared" si="143"/>
        <v>1</v>
      </c>
      <c r="AH891" s="242" t="str">
        <f t="shared" si="144"/>
        <v/>
      </c>
      <c r="AK891" s="223">
        <f t="shared" si="145"/>
        <v>0</v>
      </c>
      <c r="AL891" s="223">
        <f t="shared" si="146"/>
        <v>1900</v>
      </c>
      <c r="AS891" s="223">
        <f t="shared" si="332"/>
        <v>0</v>
      </c>
      <c r="AT891" s="223">
        <f t="shared" si="333"/>
        <v>0</v>
      </c>
    </row>
    <row r="892" spans="2:46" ht="15.75" x14ac:dyDescent="0.25">
      <c r="B892" s="229"/>
      <c r="C892" s="235"/>
      <c r="D892" s="243"/>
      <c r="E892" s="232"/>
      <c r="F892" s="233"/>
      <c r="G892" s="234"/>
      <c r="H892" s="235"/>
      <c r="I892" s="235"/>
      <c r="J892" s="236"/>
      <c r="K892" s="237">
        <f ca="1">ROUND(IF(ISERROR(OFFSET(Tabella!$A$1,MATCH(H892,Tabella!$A:$A,0)-1,MATCH(J892,Tabella!$A$1:$AC$1,0)-1)=TRUE),0,+OFFSET(Tabella!$A$1,MATCH(H892,Tabella!$A:$A,0)-1,MATCH(J892,Tabella!$A$1:$AC$1,0)-1)),4)</f>
        <v>0</v>
      </c>
      <c r="L892" s="238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238">
        <f ca="1">ROUND(IF(ISERROR(OFFSET(Rame!$A$1,MATCH(H892,Rame!$A:$A,0)-1,MATCH(J892,Rame!$A$1:$AA$1,0)-1)=TRUE),0,OFFSET(Rame!$A$1,MATCH(H892,Rame!$A:$A,0)-1,MATCH(J892,Rame!$A$1:$AA$1,0)-1))*IF(E892="Rame",1,0),4)</f>
        <v>0</v>
      </c>
      <c r="N892" s="238">
        <v>0</v>
      </c>
      <c r="O892" s="238">
        <f t="shared" ca="1" si="334"/>
        <v>0</v>
      </c>
      <c r="P892" s="238">
        <f ca="1">ROUND(+IF(ISERROR(OFFSET(Tabella!$G$1,MATCH(H892,Tabella!$G:$G,0)-1,MATCH(I892,Tabella!$G$1:$FG$1,0)-1)=TRUE),0,OFFSET(Tabella!$G$1,MATCH(H892,Tabella!$G:$G,0)-1,MATCH(I892,Tabella!$G$1:$AB$1,0)-1)),4)</f>
        <v>0</v>
      </c>
      <c r="Q892" s="238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238">
        <f ca="1">ROUND(IF(ISERROR(OFFSET(Rame!$F$1,MATCH(H892,Rame!$F:$F,0)-1,MATCH(I892,Rame!$F$1:$FF$1,0)-1)=TRUE),0,OFFSET(Rame!$F$1,MATCH(H892,Rame!$F:$F,0)-1,MATCH(I892,Rame!$F$1:$FF$1,0)-1))*IF(E892="Rame",1,0),4)</f>
        <v>0</v>
      </c>
      <c r="S892" s="238">
        <f ca="1">ROUND(IF(ISERROR(OFFSET(Bronzo!$A$1,MATCH(H892,Bronzo!$A:$A,0)-1,MATCH(I892,Bronzo!$A$1:$AA$1,0)-1)=TRUE),0,OFFSET(Bronzo!$A$1,MATCH(H892,Bronzo!$A:$A,0)-1,MATCH(I892,Bronzo!$A$1:$AA$1,0)-1)),4)</f>
        <v>0</v>
      </c>
      <c r="T892" s="238">
        <f t="shared" ca="1" si="329"/>
        <v>0</v>
      </c>
      <c r="U892" s="237"/>
      <c r="V892" s="238">
        <v>0</v>
      </c>
      <c r="W892" s="239">
        <f t="shared" ca="1" si="330"/>
        <v>0</v>
      </c>
      <c r="X892" s="240">
        <f t="shared" si="328"/>
        <v>0</v>
      </c>
      <c r="Y892" s="236"/>
      <c r="Z892" s="236">
        <f t="shared" ca="1" si="331"/>
        <v>0</v>
      </c>
      <c r="AA892" s="241"/>
      <c r="AF892" s="225">
        <f t="shared" ca="1" si="136"/>
        <v>46236</v>
      </c>
      <c r="AG892" s="225" t="b">
        <f t="shared" si="143"/>
        <v>1</v>
      </c>
      <c r="AH892" s="242" t="str">
        <f t="shared" si="144"/>
        <v/>
      </c>
      <c r="AK892" s="223">
        <f t="shared" si="145"/>
        <v>0</v>
      </c>
      <c r="AL892" s="223">
        <f t="shared" si="146"/>
        <v>1900</v>
      </c>
      <c r="AS892" s="223">
        <f t="shared" si="332"/>
        <v>0</v>
      </c>
      <c r="AT892" s="223">
        <f t="shared" si="333"/>
        <v>0</v>
      </c>
    </row>
    <row r="893" spans="2:46" ht="15.75" x14ac:dyDescent="0.25">
      <c r="B893" s="229"/>
      <c r="C893" s="235"/>
      <c r="D893" s="243"/>
      <c r="E893" s="232"/>
      <c r="F893" s="233"/>
      <c r="G893" s="234"/>
      <c r="H893" s="235"/>
      <c r="I893" s="235"/>
      <c r="J893" s="236"/>
      <c r="K893" s="237">
        <f ca="1">ROUND(IF(ISERROR(OFFSET(Tabella!$A$1,MATCH(H893,Tabella!$A:$A,0)-1,MATCH(J893,Tabella!$A$1:$AC$1,0)-1)=TRUE),0,+OFFSET(Tabella!$A$1,MATCH(H893,Tabella!$A:$A,0)-1,MATCH(J893,Tabella!$A$1:$AC$1,0)-1)),4)</f>
        <v>0</v>
      </c>
      <c r="L893" s="238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238">
        <f ca="1">ROUND(IF(ISERROR(OFFSET(Rame!$A$1,MATCH(H893,Rame!$A:$A,0)-1,MATCH(J893,Rame!$A$1:$AA$1,0)-1)=TRUE),0,OFFSET(Rame!$A$1,MATCH(H893,Rame!$A:$A,0)-1,MATCH(J893,Rame!$A$1:$AA$1,0)-1))*IF(E893="Rame",1,0),4)</f>
        <v>0</v>
      </c>
      <c r="N893" s="238">
        <v>0</v>
      </c>
      <c r="O893" s="238">
        <f t="shared" ca="1" si="334"/>
        <v>0</v>
      </c>
      <c r="P893" s="238">
        <f ca="1">ROUND(+IF(ISERROR(OFFSET(Tabella!$G$1,MATCH(H893,Tabella!$G:$G,0)-1,MATCH(I893,Tabella!$G$1:$FG$1,0)-1)=TRUE),0,OFFSET(Tabella!$G$1,MATCH(H893,Tabella!$G:$G,0)-1,MATCH(I893,Tabella!$G$1:$AB$1,0)-1)),4)</f>
        <v>0</v>
      </c>
      <c r="Q893" s="238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238">
        <f ca="1">ROUND(IF(ISERROR(OFFSET(Rame!$F$1,MATCH(H893,Rame!$F:$F,0)-1,MATCH(I893,Rame!$F$1:$FF$1,0)-1)=TRUE),0,OFFSET(Rame!$F$1,MATCH(H893,Rame!$F:$F,0)-1,MATCH(I893,Rame!$F$1:$FF$1,0)-1))*IF(E893="Rame",1,0),4)</f>
        <v>0</v>
      </c>
      <c r="S893" s="238">
        <f ca="1">ROUND(IF(ISERROR(OFFSET(Bronzo!$A$1,MATCH(H893,Bronzo!$A:$A,0)-1,MATCH(I893,Bronzo!$A$1:$AA$1,0)-1)=TRUE),0,OFFSET(Bronzo!$A$1,MATCH(H893,Bronzo!$A:$A,0)-1,MATCH(I893,Bronzo!$A$1:$AA$1,0)-1)),4)</f>
        <v>0</v>
      </c>
      <c r="T893" s="238">
        <f t="shared" ca="1" si="329"/>
        <v>0</v>
      </c>
      <c r="U893" s="237"/>
      <c r="V893" s="238">
        <v>0</v>
      </c>
      <c r="W893" s="239">
        <f t="shared" ca="1" si="330"/>
        <v>0</v>
      </c>
      <c r="X893" s="240">
        <f t="shared" si="328"/>
        <v>0</v>
      </c>
      <c r="Y893" s="236"/>
      <c r="Z893" s="236">
        <f t="shared" ca="1" si="331"/>
        <v>0</v>
      </c>
      <c r="AA893" s="241"/>
      <c r="AF893" s="225">
        <f t="shared" ca="1" si="136"/>
        <v>46236</v>
      </c>
      <c r="AG893" s="225" t="b">
        <f t="shared" si="143"/>
        <v>1</v>
      </c>
      <c r="AH893" s="242" t="str">
        <f t="shared" si="144"/>
        <v/>
      </c>
      <c r="AK893" s="223">
        <f t="shared" si="145"/>
        <v>0</v>
      </c>
      <c r="AL893" s="223">
        <f t="shared" si="146"/>
        <v>1900</v>
      </c>
      <c r="AS893" s="223">
        <f t="shared" si="332"/>
        <v>0</v>
      </c>
      <c r="AT893" s="223">
        <f t="shared" si="333"/>
        <v>0</v>
      </c>
    </row>
    <row r="894" spans="2:46" ht="15.75" x14ac:dyDescent="0.25">
      <c r="B894" s="229"/>
      <c r="C894" s="235"/>
      <c r="D894" s="243"/>
      <c r="E894" s="232"/>
      <c r="F894" s="233"/>
      <c r="G894" s="234"/>
      <c r="H894" s="235"/>
      <c r="I894" s="235"/>
      <c r="J894" s="236"/>
      <c r="K894" s="237">
        <f ca="1">ROUND(IF(ISERROR(OFFSET(Tabella!$A$1,MATCH(H894,Tabella!$A:$A,0)-1,MATCH(J894,Tabella!$A$1:$AC$1,0)-1)=TRUE),0,+OFFSET(Tabella!$A$1,MATCH(H894,Tabella!$A:$A,0)-1,MATCH(J894,Tabella!$A$1:$AC$1,0)-1)),4)</f>
        <v>0</v>
      </c>
      <c r="L894" s="238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238">
        <f ca="1">ROUND(IF(ISERROR(OFFSET(Rame!$A$1,MATCH(H894,Rame!$A:$A,0)-1,MATCH(J894,Rame!$A$1:$AA$1,0)-1)=TRUE),0,OFFSET(Rame!$A$1,MATCH(H894,Rame!$A:$A,0)-1,MATCH(J894,Rame!$A$1:$AA$1,0)-1))*IF(E894="Rame",1,0),4)</f>
        <v>0</v>
      </c>
      <c r="N894" s="238">
        <v>0</v>
      </c>
      <c r="O894" s="238">
        <f t="shared" ca="1" si="334"/>
        <v>0</v>
      </c>
      <c r="P894" s="238">
        <f ca="1">ROUND(+IF(ISERROR(OFFSET(Tabella!$G$1,MATCH(H894,Tabella!$G:$G,0)-1,MATCH(I894,Tabella!$G$1:$FG$1,0)-1)=TRUE),0,OFFSET(Tabella!$G$1,MATCH(H894,Tabella!$G:$G,0)-1,MATCH(I894,Tabella!$G$1:$AB$1,0)-1)),4)</f>
        <v>0</v>
      </c>
      <c r="Q894" s="238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238">
        <f ca="1">ROUND(IF(ISERROR(OFFSET(Rame!$F$1,MATCH(H894,Rame!$F:$F,0)-1,MATCH(I894,Rame!$F$1:$FF$1,0)-1)=TRUE),0,OFFSET(Rame!$F$1,MATCH(H894,Rame!$F:$F,0)-1,MATCH(I894,Rame!$F$1:$FF$1,0)-1))*IF(E894="Rame",1,0),4)</f>
        <v>0</v>
      </c>
      <c r="S894" s="238">
        <f ca="1">ROUND(IF(ISERROR(OFFSET(Bronzo!$A$1,MATCH(H894,Bronzo!$A:$A,0)-1,MATCH(I894,Bronzo!$A$1:$AA$1,0)-1)=TRUE),0,OFFSET(Bronzo!$A$1,MATCH(H894,Bronzo!$A:$A,0)-1,MATCH(I894,Bronzo!$A$1:$AA$1,0)-1)),4)</f>
        <v>0</v>
      </c>
      <c r="T894" s="238">
        <f t="shared" ca="1" si="329"/>
        <v>0</v>
      </c>
      <c r="U894" s="237"/>
      <c r="V894" s="238">
        <v>0</v>
      </c>
      <c r="W894" s="239">
        <f t="shared" ca="1" si="330"/>
        <v>0</v>
      </c>
      <c r="X894" s="240">
        <f t="shared" si="328"/>
        <v>0</v>
      </c>
      <c r="Y894" s="236"/>
      <c r="Z894" s="236">
        <f t="shared" ca="1" si="331"/>
        <v>0</v>
      </c>
      <c r="AA894" s="241"/>
      <c r="AF894" s="225">
        <f t="shared" ca="1" si="136"/>
        <v>46236</v>
      </c>
      <c r="AG894" s="225" t="b">
        <f t="shared" si="143"/>
        <v>1</v>
      </c>
      <c r="AH894" s="242" t="str">
        <f t="shared" si="144"/>
        <v/>
      </c>
      <c r="AK894" s="223">
        <f t="shared" si="145"/>
        <v>0</v>
      </c>
      <c r="AL894" s="223">
        <f t="shared" si="146"/>
        <v>1900</v>
      </c>
      <c r="AS894" s="223">
        <f t="shared" si="332"/>
        <v>0</v>
      </c>
      <c r="AT894" s="223">
        <f t="shared" si="333"/>
        <v>0</v>
      </c>
    </row>
    <row r="895" spans="2:46" ht="15.75" x14ac:dyDescent="0.25">
      <c r="B895" s="229"/>
      <c r="C895" s="235"/>
      <c r="D895" s="243"/>
      <c r="E895" s="232"/>
      <c r="F895" s="233"/>
      <c r="G895" s="234"/>
      <c r="H895" s="235"/>
      <c r="I895" s="235"/>
      <c r="J895" s="236"/>
      <c r="K895" s="237">
        <f ca="1">ROUND(IF(ISERROR(OFFSET(Tabella!$A$1,MATCH(H895,Tabella!$A:$A,0)-1,MATCH(J895,Tabella!$A$1:$AC$1,0)-1)=TRUE),0,+OFFSET(Tabella!$A$1,MATCH(H895,Tabella!$A:$A,0)-1,MATCH(J895,Tabella!$A$1:$AC$1,0)-1)),4)</f>
        <v>0</v>
      </c>
      <c r="L895" s="238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238">
        <f ca="1">ROUND(IF(ISERROR(OFFSET(Rame!$A$1,MATCH(H895,Rame!$A:$A,0)-1,MATCH(J895,Rame!$A$1:$AA$1,0)-1)=TRUE),0,OFFSET(Rame!$A$1,MATCH(H895,Rame!$A:$A,0)-1,MATCH(J895,Rame!$A$1:$AA$1,0)-1))*IF(E895="Rame",1,0),4)</f>
        <v>0</v>
      </c>
      <c r="N895" s="238">
        <v>0</v>
      </c>
      <c r="O895" s="238">
        <f t="shared" ca="1" si="334"/>
        <v>0</v>
      </c>
      <c r="P895" s="238">
        <f ca="1">ROUND(+IF(ISERROR(OFFSET(Tabella!$G$1,MATCH(H895,Tabella!$G:$G,0)-1,MATCH(I895,Tabella!$G$1:$FG$1,0)-1)=TRUE),0,OFFSET(Tabella!$G$1,MATCH(H895,Tabella!$G:$G,0)-1,MATCH(I895,Tabella!$G$1:$AB$1,0)-1)),4)</f>
        <v>0</v>
      </c>
      <c r="Q895" s="238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238">
        <f ca="1">ROUND(IF(ISERROR(OFFSET(Rame!$F$1,MATCH(H895,Rame!$F:$F,0)-1,MATCH(I895,Rame!$F$1:$FF$1,0)-1)=TRUE),0,OFFSET(Rame!$F$1,MATCH(H895,Rame!$F:$F,0)-1,MATCH(I895,Rame!$F$1:$FF$1,0)-1))*IF(E895="Rame",1,0),4)</f>
        <v>0</v>
      </c>
      <c r="S895" s="238">
        <f ca="1">ROUND(IF(ISERROR(OFFSET(Bronzo!$A$1,MATCH(H895,Bronzo!$A:$A,0)-1,MATCH(I895,Bronzo!$A$1:$AA$1,0)-1)=TRUE),0,OFFSET(Bronzo!$A$1,MATCH(H895,Bronzo!$A:$A,0)-1,MATCH(I895,Bronzo!$A$1:$AA$1,0)-1)),4)</f>
        <v>0</v>
      </c>
      <c r="T895" s="238">
        <f t="shared" ca="1" si="329"/>
        <v>0</v>
      </c>
      <c r="U895" s="237"/>
      <c r="V895" s="238">
        <v>0</v>
      </c>
      <c r="W895" s="239">
        <f t="shared" ca="1" si="330"/>
        <v>0</v>
      </c>
      <c r="X895" s="240">
        <f t="shared" si="328"/>
        <v>0</v>
      </c>
      <c r="Y895" s="236"/>
      <c r="Z895" s="236">
        <f t="shared" ca="1" si="331"/>
        <v>0</v>
      </c>
      <c r="AA895" s="241"/>
      <c r="AF895" s="225">
        <f t="shared" ca="1" si="136"/>
        <v>46236</v>
      </c>
      <c r="AG895" s="225" t="b">
        <f t="shared" si="143"/>
        <v>1</v>
      </c>
      <c r="AH895" s="242" t="str">
        <f t="shared" si="144"/>
        <v/>
      </c>
      <c r="AK895" s="223">
        <f t="shared" si="145"/>
        <v>0</v>
      </c>
      <c r="AL895" s="223">
        <f t="shared" si="146"/>
        <v>1900</v>
      </c>
      <c r="AS895" s="223">
        <f t="shared" si="332"/>
        <v>0</v>
      </c>
      <c r="AT895" s="223">
        <f t="shared" si="333"/>
        <v>0</v>
      </c>
    </row>
    <row r="896" spans="2:46" ht="15.75" x14ac:dyDescent="0.25">
      <c r="B896" s="229"/>
      <c r="C896" s="235"/>
      <c r="D896" s="243"/>
      <c r="E896" s="232"/>
      <c r="F896" s="233"/>
      <c r="G896" s="234"/>
      <c r="H896" s="235"/>
      <c r="I896" s="235"/>
      <c r="J896" s="236"/>
      <c r="K896" s="237">
        <f ca="1">ROUND(IF(ISERROR(OFFSET(Tabella!$A$1,MATCH(H896,Tabella!$A:$A,0)-1,MATCH(J896,Tabella!$A$1:$AC$1,0)-1)=TRUE),0,+OFFSET(Tabella!$A$1,MATCH(H896,Tabella!$A:$A,0)-1,MATCH(J896,Tabella!$A$1:$AC$1,0)-1)),4)</f>
        <v>0</v>
      </c>
      <c r="L896" s="238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238">
        <f ca="1">ROUND(IF(ISERROR(OFFSET(Rame!$A$1,MATCH(H896,Rame!$A:$A,0)-1,MATCH(J896,Rame!$A$1:$AA$1,0)-1)=TRUE),0,OFFSET(Rame!$A$1,MATCH(H896,Rame!$A:$A,0)-1,MATCH(J896,Rame!$A$1:$AA$1,0)-1))*IF(E896="Rame",1,0),4)</f>
        <v>0</v>
      </c>
      <c r="N896" s="238">
        <v>0</v>
      </c>
      <c r="O896" s="238">
        <f t="shared" ca="1" si="334"/>
        <v>0</v>
      </c>
      <c r="P896" s="238">
        <f ca="1">ROUND(+IF(ISERROR(OFFSET(Tabella!$G$1,MATCH(H896,Tabella!$G:$G,0)-1,MATCH(I896,Tabella!$G$1:$FG$1,0)-1)=TRUE),0,OFFSET(Tabella!$G$1,MATCH(H896,Tabella!$G:$G,0)-1,MATCH(I896,Tabella!$G$1:$AB$1,0)-1)),4)</f>
        <v>0</v>
      </c>
      <c r="Q896" s="238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238">
        <f ca="1">ROUND(IF(ISERROR(OFFSET(Rame!$F$1,MATCH(H896,Rame!$F:$F,0)-1,MATCH(I896,Rame!$F$1:$FF$1,0)-1)=TRUE),0,OFFSET(Rame!$F$1,MATCH(H896,Rame!$F:$F,0)-1,MATCH(I896,Rame!$F$1:$FF$1,0)-1))*IF(E896="Rame",1,0),4)</f>
        <v>0</v>
      </c>
      <c r="S896" s="238">
        <f ca="1">ROUND(IF(ISERROR(OFFSET(Bronzo!$A$1,MATCH(H896,Bronzo!$A:$A,0)-1,MATCH(I896,Bronzo!$A$1:$AA$1,0)-1)=TRUE),0,OFFSET(Bronzo!$A$1,MATCH(H896,Bronzo!$A:$A,0)-1,MATCH(I896,Bronzo!$A$1:$AA$1,0)-1)),4)</f>
        <v>0</v>
      </c>
      <c r="T896" s="238">
        <f t="shared" ca="1" si="329"/>
        <v>0</v>
      </c>
      <c r="U896" s="237"/>
      <c r="V896" s="238">
        <v>0</v>
      </c>
      <c r="W896" s="239">
        <f t="shared" ca="1" si="330"/>
        <v>0</v>
      </c>
      <c r="X896" s="240">
        <f t="shared" si="328"/>
        <v>0</v>
      </c>
      <c r="Y896" s="236"/>
      <c r="Z896" s="236">
        <f t="shared" ca="1" si="331"/>
        <v>0</v>
      </c>
      <c r="AA896" s="241"/>
      <c r="AF896" s="225">
        <f t="shared" ca="1" si="136"/>
        <v>46236</v>
      </c>
      <c r="AG896" s="225" t="b">
        <f t="shared" si="143"/>
        <v>1</v>
      </c>
      <c r="AH896" s="242" t="str">
        <f t="shared" si="144"/>
        <v/>
      </c>
      <c r="AK896" s="223">
        <f t="shared" si="145"/>
        <v>0</v>
      </c>
      <c r="AL896" s="223">
        <f t="shared" si="146"/>
        <v>1900</v>
      </c>
      <c r="AS896" s="223">
        <f t="shared" si="332"/>
        <v>0</v>
      </c>
      <c r="AT896" s="223">
        <f t="shared" si="333"/>
        <v>0</v>
      </c>
    </row>
    <row r="897" spans="2:46" ht="15.75" x14ac:dyDescent="0.25">
      <c r="B897" s="229"/>
      <c r="C897" s="235"/>
      <c r="D897" s="243"/>
      <c r="E897" s="232"/>
      <c r="F897" s="233"/>
      <c r="G897" s="234"/>
      <c r="H897" s="235"/>
      <c r="I897" s="235"/>
      <c r="J897" s="236"/>
      <c r="K897" s="237">
        <f ca="1">ROUND(IF(ISERROR(OFFSET(Tabella!$A$1,MATCH(H897,Tabella!$A:$A,0)-1,MATCH(J897,Tabella!$A$1:$AC$1,0)-1)=TRUE),0,+OFFSET(Tabella!$A$1,MATCH(H897,Tabella!$A:$A,0)-1,MATCH(J897,Tabella!$A$1:$AC$1,0)-1)),4)</f>
        <v>0</v>
      </c>
      <c r="L897" s="238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238">
        <f ca="1">ROUND(IF(ISERROR(OFFSET(Rame!$A$1,MATCH(H897,Rame!$A:$A,0)-1,MATCH(J897,Rame!$A$1:$AA$1,0)-1)=TRUE),0,OFFSET(Rame!$A$1,MATCH(H897,Rame!$A:$A,0)-1,MATCH(J897,Rame!$A$1:$AA$1,0)-1))*IF(E897="Rame",1,0),4)</f>
        <v>0</v>
      </c>
      <c r="N897" s="238">
        <v>0</v>
      </c>
      <c r="O897" s="238">
        <f t="shared" ca="1" si="334"/>
        <v>0</v>
      </c>
      <c r="P897" s="238">
        <f ca="1">ROUND(+IF(ISERROR(OFFSET(Tabella!$G$1,MATCH(H897,Tabella!$G:$G,0)-1,MATCH(I897,Tabella!$G$1:$FG$1,0)-1)=TRUE),0,OFFSET(Tabella!$G$1,MATCH(H897,Tabella!$G:$G,0)-1,MATCH(I897,Tabella!$G$1:$AB$1,0)-1)),4)</f>
        <v>0</v>
      </c>
      <c r="Q897" s="238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238">
        <f ca="1">ROUND(IF(ISERROR(OFFSET(Rame!$F$1,MATCH(H897,Rame!$F:$F,0)-1,MATCH(I897,Rame!$F$1:$FF$1,0)-1)=TRUE),0,OFFSET(Rame!$F$1,MATCH(H897,Rame!$F:$F,0)-1,MATCH(I897,Rame!$F$1:$FF$1,0)-1))*IF(E897="Rame",1,0),4)</f>
        <v>0</v>
      </c>
      <c r="S897" s="238">
        <f ca="1">ROUND(IF(ISERROR(OFFSET(Bronzo!$A$1,MATCH(H897,Bronzo!$A:$A,0)-1,MATCH(I897,Bronzo!$A$1:$AA$1,0)-1)=TRUE),0,OFFSET(Bronzo!$A$1,MATCH(H897,Bronzo!$A:$A,0)-1,MATCH(I897,Bronzo!$A$1:$AA$1,0)-1)),4)</f>
        <v>0</v>
      </c>
      <c r="T897" s="238">
        <f t="shared" ca="1" si="329"/>
        <v>0</v>
      </c>
      <c r="U897" s="237"/>
      <c r="V897" s="238">
        <v>0</v>
      </c>
      <c r="W897" s="239">
        <f t="shared" ca="1" si="330"/>
        <v>0</v>
      </c>
      <c r="X897" s="240">
        <f t="shared" si="328"/>
        <v>0</v>
      </c>
      <c r="Y897" s="236"/>
      <c r="Z897" s="236">
        <f t="shared" ca="1" si="331"/>
        <v>0</v>
      </c>
      <c r="AA897" s="241"/>
      <c r="AF897" s="225">
        <f t="shared" ca="1" si="136"/>
        <v>46236</v>
      </c>
      <c r="AG897" s="225" t="b">
        <f t="shared" si="143"/>
        <v>1</v>
      </c>
      <c r="AH897" s="242" t="str">
        <f t="shared" si="144"/>
        <v/>
      </c>
      <c r="AK897" s="223">
        <f t="shared" si="145"/>
        <v>0</v>
      </c>
      <c r="AL897" s="223">
        <f t="shared" si="146"/>
        <v>1900</v>
      </c>
      <c r="AS897" s="223">
        <f t="shared" si="332"/>
        <v>0</v>
      </c>
      <c r="AT897" s="223">
        <f t="shared" si="333"/>
        <v>0</v>
      </c>
    </row>
    <row r="898" spans="2:46" ht="15.75" x14ac:dyDescent="0.25">
      <c r="B898" s="229"/>
      <c r="C898" s="235"/>
      <c r="D898" s="243"/>
      <c r="E898" s="232"/>
      <c r="F898" s="233"/>
      <c r="G898" s="234"/>
      <c r="H898" s="235"/>
      <c r="I898" s="235"/>
      <c r="J898" s="236"/>
      <c r="K898" s="237">
        <f ca="1">ROUND(IF(ISERROR(OFFSET(Tabella!$A$1,MATCH(H898,Tabella!$A:$A,0)-1,MATCH(J898,Tabella!$A$1:$AC$1,0)-1)=TRUE),0,+OFFSET(Tabella!$A$1,MATCH(H898,Tabella!$A:$A,0)-1,MATCH(J898,Tabella!$A$1:$AC$1,0)-1)),4)</f>
        <v>0</v>
      </c>
      <c r="L898" s="238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238">
        <f ca="1">ROUND(IF(ISERROR(OFFSET(Rame!$A$1,MATCH(H898,Rame!$A:$A,0)-1,MATCH(J898,Rame!$A$1:$AA$1,0)-1)=TRUE),0,OFFSET(Rame!$A$1,MATCH(H898,Rame!$A:$A,0)-1,MATCH(J898,Rame!$A$1:$AA$1,0)-1))*IF(E898="Rame",1,0),4)</f>
        <v>0</v>
      </c>
      <c r="N898" s="238">
        <v>0</v>
      </c>
      <c r="O898" s="238">
        <f t="shared" ca="1" si="334"/>
        <v>0</v>
      </c>
      <c r="P898" s="238">
        <f ca="1">ROUND(+IF(ISERROR(OFFSET(Tabella!$G$1,MATCH(H898,Tabella!$G:$G,0)-1,MATCH(I898,Tabella!$G$1:$FG$1,0)-1)=TRUE),0,OFFSET(Tabella!$G$1,MATCH(H898,Tabella!$G:$G,0)-1,MATCH(I898,Tabella!$G$1:$AB$1,0)-1)),4)</f>
        <v>0</v>
      </c>
      <c r="Q898" s="238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238">
        <f ca="1">ROUND(IF(ISERROR(OFFSET(Rame!$F$1,MATCH(H898,Rame!$F:$F,0)-1,MATCH(I898,Rame!$F$1:$FF$1,0)-1)=TRUE),0,OFFSET(Rame!$F$1,MATCH(H898,Rame!$F:$F,0)-1,MATCH(I898,Rame!$F$1:$FF$1,0)-1))*IF(E898="Rame",1,0),4)</f>
        <v>0</v>
      </c>
      <c r="S898" s="238">
        <f ca="1">ROUND(IF(ISERROR(OFFSET(Bronzo!$A$1,MATCH(H898,Bronzo!$A:$A,0)-1,MATCH(I898,Bronzo!$A$1:$AA$1,0)-1)=TRUE),0,OFFSET(Bronzo!$A$1,MATCH(H898,Bronzo!$A:$A,0)-1,MATCH(I898,Bronzo!$A$1:$AA$1,0)-1)),4)</f>
        <v>0</v>
      </c>
      <c r="T898" s="238">
        <f t="shared" ca="1" si="329"/>
        <v>0</v>
      </c>
      <c r="U898" s="237"/>
      <c r="V898" s="238">
        <v>0</v>
      </c>
      <c r="W898" s="239">
        <f t="shared" ca="1" si="330"/>
        <v>0</v>
      </c>
      <c r="X898" s="240">
        <f t="shared" si="328"/>
        <v>0</v>
      </c>
      <c r="Y898" s="236"/>
      <c r="Z898" s="236">
        <f t="shared" ca="1" si="331"/>
        <v>0</v>
      </c>
      <c r="AA898" s="241"/>
      <c r="AF898" s="225">
        <f t="shared" ca="1" si="136"/>
        <v>46236</v>
      </c>
      <c r="AG898" s="225" t="b">
        <f t="shared" si="143"/>
        <v>1</v>
      </c>
      <c r="AH898" s="242" t="str">
        <f t="shared" si="144"/>
        <v/>
      </c>
      <c r="AK898" s="223">
        <f t="shared" si="145"/>
        <v>0</v>
      </c>
      <c r="AL898" s="223">
        <f t="shared" si="146"/>
        <v>1900</v>
      </c>
      <c r="AS898" s="223">
        <f t="shared" si="332"/>
        <v>0</v>
      </c>
      <c r="AT898" s="223">
        <f t="shared" si="333"/>
        <v>0</v>
      </c>
    </row>
    <row r="899" spans="2:46" ht="15.75" x14ac:dyDescent="0.25">
      <c r="B899" s="229"/>
      <c r="C899" s="235"/>
      <c r="D899" s="243"/>
      <c r="E899" s="232"/>
      <c r="F899" s="233"/>
      <c r="G899" s="234"/>
      <c r="H899" s="235"/>
      <c r="I899" s="235"/>
      <c r="J899" s="236"/>
      <c r="K899" s="237">
        <f ca="1">ROUND(IF(ISERROR(OFFSET(Tabella!$A$1,MATCH(H899,Tabella!$A:$A,0)-1,MATCH(J899,Tabella!$A$1:$AC$1,0)-1)=TRUE),0,+OFFSET(Tabella!$A$1,MATCH(H899,Tabella!$A:$A,0)-1,MATCH(J899,Tabella!$A$1:$AC$1,0)-1)),4)</f>
        <v>0</v>
      </c>
      <c r="L899" s="238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238">
        <f ca="1">ROUND(IF(ISERROR(OFFSET(Rame!$A$1,MATCH(H899,Rame!$A:$A,0)-1,MATCH(J899,Rame!$A$1:$AA$1,0)-1)=TRUE),0,OFFSET(Rame!$A$1,MATCH(H899,Rame!$A:$A,0)-1,MATCH(J899,Rame!$A$1:$AA$1,0)-1))*IF(E899="Rame",1,0),4)</f>
        <v>0</v>
      </c>
      <c r="N899" s="238">
        <v>0</v>
      </c>
      <c r="O899" s="238">
        <f t="shared" ca="1" si="334"/>
        <v>0</v>
      </c>
      <c r="P899" s="238">
        <f ca="1">ROUND(+IF(ISERROR(OFFSET(Tabella!$G$1,MATCH(H899,Tabella!$G:$G,0)-1,MATCH(I899,Tabella!$G$1:$FG$1,0)-1)=TRUE),0,OFFSET(Tabella!$G$1,MATCH(H899,Tabella!$G:$G,0)-1,MATCH(I899,Tabella!$G$1:$AB$1,0)-1)),4)</f>
        <v>0</v>
      </c>
      <c r="Q899" s="238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238">
        <f ca="1">ROUND(IF(ISERROR(OFFSET(Rame!$F$1,MATCH(H899,Rame!$F:$F,0)-1,MATCH(I899,Rame!$F$1:$FF$1,0)-1)=TRUE),0,OFFSET(Rame!$F$1,MATCH(H899,Rame!$F:$F,0)-1,MATCH(I899,Rame!$F$1:$FF$1,0)-1))*IF(E899="Rame",1,0),4)</f>
        <v>0</v>
      </c>
      <c r="S899" s="238">
        <f ca="1">ROUND(IF(ISERROR(OFFSET(Bronzo!$A$1,MATCH(H899,Bronzo!$A:$A,0)-1,MATCH(I899,Bronzo!$A$1:$AA$1,0)-1)=TRUE),0,OFFSET(Bronzo!$A$1,MATCH(H899,Bronzo!$A:$A,0)-1,MATCH(I899,Bronzo!$A$1:$AA$1,0)-1)),4)</f>
        <v>0</v>
      </c>
      <c r="T899" s="238">
        <f t="shared" ca="1" si="329"/>
        <v>0</v>
      </c>
      <c r="U899" s="237"/>
      <c r="V899" s="238">
        <v>0</v>
      </c>
      <c r="W899" s="239">
        <f t="shared" ca="1" si="330"/>
        <v>0</v>
      </c>
      <c r="X899" s="240">
        <f t="shared" si="328"/>
        <v>0</v>
      </c>
      <c r="Y899" s="236"/>
      <c r="Z899" s="236">
        <f t="shared" ca="1" si="331"/>
        <v>0</v>
      </c>
      <c r="AA899" s="241"/>
      <c r="AF899" s="225">
        <f t="shared" ca="1" si="136"/>
        <v>46236</v>
      </c>
      <c r="AG899" s="225" t="b">
        <f t="shared" si="143"/>
        <v>1</v>
      </c>
      <c r="AH899" s="242" t="str">
        <f t="shared" si="144"/>
        <v/>
      </c>
      <c r="AK899" s="223">
        <f t="shared" si="145"/>
        <v>0</v>
      </c>
      <c r="AL899" s="223">
        <f t="shared" si="146"/>
        <v>1900</v>
      </c>
      <c r="AS899" s="223">
        <f t="shared" si="332"/>
        <v>0</v>
      </c>
      <c r="AT899" s="223">
        <f t="shared" si="333"/>
        <v>0</v>
      </c>
    </row>
    <row r="900" spans="2:46" ht="15.75" x14ac:dyDescent="0.25">
      <c r="B900" s="229"/>
      <c r="C900" s="235"/>
      <c r="D900" s="243"/>
      <c r="E900" s="232"/>
      <c r="F900" s="233"/>
      <c r="G900" s="234"/>
      <c r="H900" s="235"/>
      <c r="I900" s="235"/>
      <c r="J900" s="236"/>
      <c r="K900" s="237">
        <f ca="1">ROUND(IF(ISERROR(OFFSET(Tabella!$A$1,MATCH(H900,Tabella!$A:$A,0)-1,MATCH(J900,Tabella!$A$1:$AC$1,0)-1)=TRUE),0,+OFFSET(Tabella!$A$1,MATCH(H900,Tabella!$A:$A,0)-1,MATCH(J900,Tabella!$A$1:$AC$1,0)-1)),4)</f>
        <v>0</v>
      </c>
      <c r="L900" s="238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238">
        <f ca="1">ROUND(IF(ISERROR(OFFSET(Rame!$A$1,MATCH(H900,Rame!$A:$A,0)-1,MATCH(J900,Rame!$A$1:$AA$1,0)-1)=TRUE),0,OFFSET(Rame!$A$1,MATCH(H900,Rame!$A:$A,0)-1,MATCH(J900,Rame!$A$1:$AA$1,0)-1))*IF(E900="Rame",1,0),4)</f>
        <v>0</v>
      </c>
      <c r="N900" s="238">
        <v>0</v>
      </c>
      <c r="O900" s="238">
        <f t="shared" ca="1" si="334"/>
        <v>0</v>
      </c>
      <c r="P900" s="238">
        <f ca="1">ROUND(+IF(ISERROR(OFFSET(Tabella!$G$1,MATCH(H900,Tabella!$G:$G,0)-1,MATCH(I900,Tabella!$G$1:$FG$1,0)-1)=TRUE),0,OFFSET(Tabella!$G$1,MATCH(H900,Tabella!$G:$G,0)-1,MATCH(I900,Tabella!$G$1:$AB$1,0)-1)),4)</f>
        <v>0</v>
      </c>
      <c r="Q900" s="238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238">
        <f ca="1">ROUND(IF(ISERROR(OFFSET(Rame!$F$1,MATCH(H900,Rame!$F:$F,0)-1,MATCH(I900,Rame!$F$1:$FF$1,0)-1)=TRUE),0,OFFSET(Rame!$F$1,MATCH(H900,Rame!$F:$F,0)-1,MATCH(I900,Rame!$F$1:$FF$1,0)-1))*IF(E900="Rame",1,0),4)</f>
        <v>0</v>
      </c>
      <c r="S900" s="238">
        <f ca="1">ROUND(IF(ISERROR(OFFSET(Bronzo!$A$1,MATCH(H900,Bronzo!$A:$A,0)-1,MATCH(I900,Bronzo!$A$1:$AA$1,0)-1)=TRUE),0,OFFSET(Bronzo!$A$1,MATCH(H900,Bronzo!$A:$A,0)-1,MATCH(I900,Bronzo!$A$1:$AA$1,0)-1)),4)</f>
        <v>0</v>
      </c>
      <c r="T900" s="238">
        <f t="shared" ca="1" si="329"/>
        <v>0</v>
      </c>
      <c r="U900" s="237"/>
      <c r="V900" s="238">
        <v>0</v>
      </c>
      <c r="W900" s="239">
        <f t="shared" ca="1" si="330"/>
        <v>0</v>
      </c>
      <c r="X900" s="240">
        <f t="shared" si="328"/>
        <v>0</v>
      </c>
      <c r="Y900" s="236"/>
      <c r="Z900" s="236">
        <f t="shared" ca="1" si="331"/>
        <v>0</v>
      </c>
      <c r="AA900" s="241"/>
      <c r="AF900" s="225">
        <f t="shared" ca="1" si="136"/>
        <v>46236</v>
      </c>
      <c r="AG900" s="225" t="b">
        <f t="shared" si="143"/>
        <v>1</v>
      </c>
      <c r="AH900" s="242" t="str">
        <f t="shared" si="144"/>
        <v/>
      </c>
      <c r="AK900" s="223">
        <f t="shared" si="145"/>
        <v>0</v>
      </c>
      <c r="AL900" s="223">
        <f t="shared" si="146"/>
        <v>1900</v>
      </c>
      <c r="AS900" s="223">
        <f t="shared" si="332"/>
        <v>0</v>
      </c>
      <c r="AT900" s="223">
        <f t="shared" si="333"/>
        <v>0</v>
      </c>
    </row>
    <row r="901" spans="2:46" ht="15.75" x14ac:dyDescent="0.25">
      <c r="B901" s="229"/>
      <c r="C901" s="235"/>
      <c r="D901" s="243"/>
      <c r="E901" s="232"/>
      <c r="F901" s="233"/>
      <c r="G901" s="234"/>
      <c r="H901" s="235"/>
      <c r="I901" s="235"/>
      <c r="J901" s="236"/>
      <c r="K901" s="237">
        <f ca="1">ROUND(IF(ISERROR(OFFSET(Tabella!$A$1,MATCH(H901,Tabella!$A:$A,0)-1,MATCH(J901,Tabella!$A$1:$AC$1,0)-1)=TRUE),0,+OFFSET(Tabella!$A$1,MATCH(H901,Tabella!$A:$A,0)-1,MATCH(J901,Tabella!$A$1:$AC$1,0)-1)),4)</f>
        <v>0</v>
      </c>
      <c r="L901" s="238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238">
        <f ca="1">ROUND(IF(ISERROR(OFFSET(Rame!$A$1,MATCH(H901,Rame!$A:$A,0)-1,MATCH(J901,Rame!$A$1:$AA$1,0)-1)=TRUE),0,OFFSET(Rame!$A$1,MATCH(H901,Rame!$A:$A,0)-1,MATCH(J901,Rame!$A$1:$AA$1,0)-1))*IF(E901="Rame",1,0),4)</f>
        <v>0</v>
      </c>
      <c r="N901" s="238">
        <v>0</v>
      </c>
      <c r="O901" s="238">
        <f t="shared" ca="1" si="334"/>
        <v>0</v>
      </c>
      <c r="P901" s="238">
        <f ca="1">ROUND(+IF(ISERROR(OFFSET(Tabella!$G$1,MATCH(H901,Tabella!$G:$G,0)-1,MATCH(I901,Tabella!$G$1:$FG$1,0)-1)=TRUE),0,OFFSET(Tabella!$G$1,MATCH(H901,Tabella!$G:$G,0)-1,MATCH(I901,Tabella!$G$1:$AB$1,0)-1)),4)</f>
        <v>0</v>
      </c>
      <c r="Q901" s="238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238">
        <f ca="1">ROUND(IF(ISERROR(OFFSET(Rame!$F$1,MATCH(H901,Rame!$F:$F,0)-1,MATCH(I901,Rame!$F$1:$FF$1,0)-1)=TRUE),0,OFFSET(Rame!$F$1,MATCH(H901,Rame!$F:$F,0)-1,MATCH(I901,Rame!$F$1:$FF$1,0)-1))*IF(E901="Rame",1,0),4)</f>
        <v>0</v>
      </c>
      <c r="S901" s="238">
        <f ca="1">ROUND(IF(ISERROR(OFFSET(Bronzo!$A$1,MATCH(H901,Bronzo!$A:$A,0)-1,MATCH(I901,Bronzo!$A$1:$AA$1,0)-1)=TRUE),0,OFFSET(Bronzo!$A$1,MATCH(H901,Bronzo!$A:$A,0)-1,MATCH(I901,Bronzo!$A$1:$AA$1,0)-1)),4)</f>
        <v>0</v>
      </c>
      <c r="T901" s="238">
        <f t="shared" ca="1" si="329"/>
        <v>0</v>
      </c>
      <c r="U901" s="237"/>
      <c r="V901" s="238">
        <v>0</v>
      </c>
      <c r="W901" s="239">
        <f t="shared" ca="1" si="330"/>
        <v>0</v>
      </c>
      <c r="X901" s="240">
        <f t="shared" si="328"/>
        <v>0</v>
      </c>
      <c r="Y901" s="236"/>
      <c r="Z901" s="236">
        <f t="shared" ca="1" si="331"/>
        <v>0</v>
      </c>
      <c r="AA901" s="241"/>
      <c r="AF901" s="225">
        <f t="shared" ca="1" si="136"/>
        <v>46236</v>
      </c>
      <c r="AG901" s="225" t="b">
        <f t="shared" si="143"/>
        <v>1</v>
      </c>
      <c r="AH901" s="242" t="str">
        <f t="shared" si="144"/>
        <v/>
      </c>
      <c r="AK901" s="223">
        <f t="shared" si="145"/>
        <v>0</v>
      </c>
      <c r="AL901" s="223">
        <f t="shared" si="146"/>
        <v>1900</v>
      </c>
      <c r="AS901" s="223">
        <f t="shared" si="332"/>
        <v>0</v>
      </c>
      <c r="AT901" s="223">
        <f t="shared" si="333"/>
        <v>0</v>
      </c>
    </row>
    <row r="902" spans="2:46" ht="15.75" x14ac:dyDescent="0.25">
      <c r="B902" s="229"/>
      <c r="C902" s="235"/>
      <c r="D902" s="243"/>
      <c r="E902" s="232"/>
      <c r="F902" s="233"/>
      <c r="G902" s="234"/>
      <c r="H902" s="235"/>
      <c r="I902" s="235"/>
      <c r="J902" s="236"/>
      <c r="K902" s="237">
        <f ca="1">ROUND(IF(ISERROR(OFFSET(Tabella!$A$1,MATCH(H902,Tabella!$A:$A,0)-1,MATCH(J902,Tabella!$A$1:$AC$1,0)-1)=TRUE),0,+OFFSET(Tabella!$A$1,MATCH(H902,Tabella!$A:$A,0)-1,MATCH(J902,Tabella!$A$1:$AC$1,0)-1)),4)</f>
        <v>0</v>
      </c>
      <c r="L902" s="238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238">
        <f ca="1">ROUND(IF(ISERROR(OFFSET(Rame!$A$1,MATCH(H902,Rame!$A:$A,0)-1,MATCH(J902,Rame!$A$1:$AA$1,0)-1)=TRUE),0,OFFSET(Rame!$A$1,MATCH(H902,Rame!$A:$A,0)-1,MATCH(J902,Rame!$A$1:$AA$1,0)-1))*IF(E902="Rame",1,0),4)</f>
        <v>0</v>
      </c>
      <c r="N902" s="238">
        <v>0</v>
      </c>
      <c r="O902" s="238">
        <f t="shared" ca="1" si="334"/>
        <v>0</v>
      </c>
      <c r="P902" s="238">
        <f ca="1">ROUND(+IF(ISERROR(OFFSET(Tabella!$G$1,MATCH(H902,Tabella!$G:$G,0)-1,MATCH(I902,Tabella!$G$1:$FG$1,0)-1)=TRUE),0,OFFSET(Tabella!$G$1,MATCH(H902,Tabella!$G:$G,0)-1,MATCH(I902,Tabella!$G$1:$AB$1,0)-1)),4)</f>
        <v>0</v>
      </c>
      <c r="Q902" s="238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238">
        <f ca="1">ROUND(IF(ISERROR(OFFSET(Rame!$F$1,MATCH(H902,Rame!$F:$F,0)-1,MATCH(I902,Rame!$F$1:$FF$1,0)-1)=TRUE),0,OFFSET(Rame!$F$1,MATCH(H902,Rame!$F:$F,0)-1,MATCH(I902,Rame!$F$1:$FF$1,0)-1))*IF(E902="Rame",1,0),4)</f>
        <v>0</v>
      </c>
      <c r="S902" s="238">
        <f ca="1">ROUND(IF(ISERROR(OFFSET(Bronzo!$A$1,MATCH(H902,Bronzo!$A:$A,0)-1,MATCH(I902,Bronzo!$A$1:$AA$1,0)-1)=TRUE),0,OFFSET(Bronzo!$A$1,MATCH(H902,Bronzo!$A:$A,0)-1,MATCH(I902,Bronzo!$A$1:$AA$1,0)-1)),4)</f>
        <v>0</v>
      </c>
      <c r="T902" s="238">
        <f t="shared" ca="1" si="329"/>
        <v>0</v>
      </c>
      <c r="U902" s="237"/>
      <c r="V902" s="238">
        <v>0</v>
      </c>
      <c r="W902" s="239">
        <f t="shared" ca="1" si="330"/>
        <v>0</v>
      </c>
      <c r="X902" s="240">
        <f t="shared" si="328"/>
        <v>0</v>
      </c>
      <c r="Y902" s="236"/>
      <c r="Z902" s="236">
        <f t="shared" ca="1" si="331"/>
        <v>0</v>
      </c>
      <c r="AA902" s="241"/>
      <c r="AF902" s="225">
        <f t="shared" ca="1" si="136"/>
        <v>46236</v>
      </c>
      <c r="AG902" s="225" t="b">
        <f t="shared" si="143"/>
        <v>1</v>
      </c>
      <c r="AH902" s="242" t="str">
        <f t="shared" si="144"/>
        <v/>
      </c>
      <c r="AK902" s="223">
        <f t="shared" si="145"/>
        <v>0</v>
      </c>
      <c r="AL902" s="223">
        <f t="shared" si="146"/>
        <v>1900</v>
      </c>
      <c r="AS902" s="223">
        <f t="shared" si="332"/>
        <v>0</v>
      </c>
      <c r="AT902" s="223">
        <f t="shared" si="333"/>
        <v>0</v>
      </c>
    </row>
    <row r="903" spans="2:46" ht="15.75" x14ac:dyDescent="0.25">
      <c r="B903" s="229"/>
      <c r="C903" s="235"/>
      <c r="D903" s="243"/>
      <c r="E903" s="232"/>
      <c r="F903" s="233"/>
      <c r="G903" s="234"/>
      <c r="H903" s="235"/>
      <c r="I903" s="235"/>
      <c r="J903" s="236"/>
      <c r="K903" s="237">
        <f ca="1">ROUND(IF(ISERROR(OFFSET(Tabella!$A$1,MATCH(H903,Tabella!$A:$A,0)-1,MATCH(J903,Tabella!$A$1:$AC$1,0)-1)=TRUE),0,+OFFSET(Tabella!$A$1,MATCH(H903,Tabella!$A:$A,0)-1,MATCH(J903,Tabella!$A$1:$AC$1,0)-1)),4)</f>
        <v>0</v>
      </c>
      <c r="L903" s="238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238">
        <f ca="1">ROUND(IF(ISERROR(OFFSET(Rame!$A$1,MATCH(H903,Rame!$A:$A,0)-1,MATCH(J903,Rame!$A$1:$AA$1,0)-1)=TRUE),0,OFFSET(Rame!$A$1,MATCH(H903,Rame!$A:$A,0)-1,MATCH(J903,Rame!$A$1:$AA$1,0)-1))*IF(E903="Rame",1,0),4)</f>
        <v>0</v>
      </c>
      <c r="N903" s="238">
        <v>0</v>
      </c>
      <c r="O903" s="238">
        <f t="shared" ca="1" si="334"/>
        <v>0</v>
      </c>
      <c r="P903" s="238">
        <f ca="1">ROUND(+IF(ISERROR(OFFSET(Tabella!$G$1,MATCH(H903,Tabella!$G:$G,0)-1,MATCH(I903,Tabella!$G$1:$FG$1,0)-1)=TRUE),0,OFFSET(Tabella!$G$1,MATCH(H903,Tabella!$G:$G,0)-1,MATCH(I903,Tabella!$G$1:$AB$1,0)-1)),4)</f>
        <v>0</v>
      </c>
      <c r="Q903" s="238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238">
        <f ca="1">ROUND(IF(ISERROR(OFFSET(Rame!$F$1,MATCH(H903,Rame!$F:$F,0)-1,MATCH(I903,Rame!$F$1:$FF$1,0)-1)=TRUE),0,OFFSET(Rame!$F$1,MATCH(H903,Rame!$F:$F,0)-1,MATCH(I903,Rame!$F$1:$FF$1,0)-1))*IF(E903="Rame",1,0),4)</f>
        <v>0</v>
      </c>
      <c r="S903" s="238">
        <f ca="1">ROUND(IF(ISERROR(OFFSET(Bronzo!$A$1,MATCH(H903,Bronzo!$A:$A,0)-1,MATCH(I903,Bronzo!$A$1:$AA$1,0)-1)=TRUE),0,OFFSET(Bronzo!$A$1,MATCH(H903,Bronzo!$A:$A,0)-1,MATCH(I903,Bronzo!$A$1:$AA$1,0)-1)),4)</f>
        <v>0</v>
      </c>
      <c r="T903" s="238">
        <f t="shared" ca="1" si="329"/>
        <v>0</v>
      </c>
      <c r="U903" s="237"/>
      <c r="V903" s="238">
        <v>0</v>
      </c>
      <c r="W903" s="239">
        <f t="shared" ca="1" si="330"/>
        <v>0</v>
      </c>
      <c r="X903" s="240">
        <f t="shared" si="328"/>
        <v>0</v>
      </c>
      <c r="Y903" s="236"/>
      <c r="Z903" s="236">
        <f t="shared" ca="1" si="331"/>
        <v>0</v>
      </c>
      <c r="AA903" s="241"/>
      <c r="AF903" s="225">
        <f t="shared" ca="1" si="136"/>
        <v>46236</v>
      </c>
      <c r="AG903" s="225" t="b">
        <f t="shared" si="143"/>
        <v>1</v>
      </c>
      <c r="AH903" s="242" t="str">
        <f t="shared" si="144"/>
        <v/>
      </c>
      <c r="AK903" s="223">
        <f t="shared" si="145"/>
        <v>0</v>
      </c>
      <c r="AL903" s="223">
        <f t="shared" si="146"/>
        <v>1900</v>
      </c>
      <c r="AS903" s="223">
        <f t="shared" si="332"/>
        <v>0</v>
      </c>
      <c r="AT903" s="223">
        <f t="shared" si="333"/>
        <v>0</v>
      </c>
    </row>
    <row r="904" spans="2:46" ht="15.75" x14ac:dyDescent="0.25">
      <c r="B904" s="229"/>
      <c r="C904" s="235"/>
      <c r="D904" s="243"/>
      <c r="E904" s="232"/>
      <c r="F904" s="233"/>
      <c r="G904" s="234"/>
      <c r="H904" s="235"/>
      <c r="I904" s="235"/>
      <c r="J904" s="236"/>
      <c r="K904" s="237">
        <f ca="1">ROUND(IF(ISERROR(OFFSET(Tabella!$A$1,MATCH(H904,Tabella!$A:$A,0)-1,MATCH(J904,Tabella!$A$1:$AC$1,0)-1)=TRUE),0,+OFFSET(Tabella!$A$1,MATCH(H904,Tabella!$A:$A,0)-1,MATCH(J904,Tabella!$A$1:$AC$1,0)-1)),4)</f>
        <v>0</v>
      </c>
      <c r="L904" s="238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238">
        <f ca="1">ROUND(IF(ISERROR(OFFSET(Rame!$A$1,MATCH(H904,Rame!$A:$A,0)-1,MATCH(J904,Rame!$A$1:$AA$1,0)-1)=TRUE),0,OFFSET(Rame!$A$1,MATCH(H904,Rame!$A:$A,0)-1,MATCH(J904,Rame!$A$1:$AA$1,0)-1))*IF(E904="Rame",1,0),4)</f>
        <v>0</v>
      </c>
      <c r="N904" s="238">
        <v>0</v>
      </c>
      <c r="O904" s="238">
        <f t="shared" ca="1" si="334"/>
        <v>0</v>
      </c>
      <c r="P904" s="238">
        <f ca="1">ROUND(+IF(ISERROR(OFFSET(Tabella!$G$1,MATCH(H904,Tabella!$G:$G,0)-1,MATCH(I904,Tabella!$G$1:$FG$1,0)-1)=TRUE),0,OFFSET(Tabella!$G$1,MATCH(H904,Tabella!$G:$G,0)-1,MATCH(I904,Tabella!$G$1:$AB$1,0)-1)),4)</f>
        <v>0</v>
      </c>
      <c r="Q904" s="238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238">
        <f ca="1">ROUND(IF(ISERROR(OFFSET(Rame!$F$1,MATCH(H904,Rame!$F:$F,0)-1,MATCH(I904,Rame!$F$1:$FF$1,0)-1)=TRUE),0,OFFSET(Rame!$F$1,MATCH(H904,Rame!$F:$F,0)-1,MATCH(I904,Rame!$F$1:$FF$1,0)-1))*IF(E904="Rame",1,0),4)</f>
        <v>0</v>
      </c>
      <c r="S904" s="238">
        <f ca="1">ROUND(IF(ISERROR(OFFSET(Bronzo!$A$1,MATCH(H904,Bronzo!$A:$A,0)-1,MATCH(I904,Bronzo!$A$1:$AA$1,0)-1)=TRUE),0,OFFSET(Bronzo!$A$1,MATCH(H904,Bronzo!$A:$A,0)-1,MATCH(I904,Bronzo!$A$1:$AA$1,0)-1)),4)</f>
        <v>0</v>
      </c>
      <c r="T904" s="238">
        <f t="shared" ca="1" si="329"/>
        <v>0</v>
      </c>
      <c r="U904" s="237"/>
      <c r="V904" s="238">
        <v>0</v>
      </c>
      <c r="W904" s="239">
        <f t="shared" ca="1" si="330"/>
        <v>0</v>
      </c>
      <c r="X904" s="240">
        <f t="shared" si="328"/>
        <v>0</v>
      </c>
      <c r="Y904" s="236"/>
      <c r="Z904" s="236">
        <f t="shared" ca="1" si="331"/>
        <v>0</v>
      </c>
      <c r="AA904" s="241"/>
      <c r="AF904" s="225">
        <f t="shared" ca="1" si="136"/>
        <v>46236</v>
      </c>
      <c r="AG904" s="225" t="b">
        <f t="shared" si="143"/>
        <v>1</v>
      </c>
      <c r="AH904" s="242" t="str">
        <f t="shared" si="144"/>
        <v/>
      </c>
      <c r="AK904" s="223">
        <f t="shared" si="145"/>
        <v>0</v>
      </c>
      <c r="AL904" s="223">
        <f t="shared" si="146"/>
        <v>1900</v>
      </c>
      <c r="AS904" s="223">
        <f t="shared" si="332"/>
        <v>0</v>
      </c>
      <c r="AT904" s="223">
        <f t="shared" si="333"/>
        <v>0</v>
      </c>
    </row>
    <row r="905" spans="2:46" ht="15.75" x14ac:dyDescent="0.25">
      <c r="B905" s="229"/>
      <c r="C905" s="235"/>
      <c r="D905" s="243"/>
      <c r="E905" s="232"/>
      <c r="F905" s="233"/>
      <c r="G905" s="234"/>
      <c r="H905" s="235"/>
      <c r="I905" s="235"/>
      <c r="J905" s="236"/>
      <c r="K905" s="237">
        <f ca="1">ROUND(IF(ISERROR(OFFSET(Tabella!$A$1,MATCH(H905,Tabella!$A:$A,0)-1,MATCH(J905,Tabella!$A$1:$AC$1,0)-1)=TRUE),0,+OFFSET(Tabella!$A$1,MATCH(H905,Tabella!$A:$A,0)-1,MATCH(J905,Tabella!$A$1:$AC$1,0)-1)),4)</f>
        <v>0</v>
      </c>
      <c r="L905" s="238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238">
        <f ca="1">ROUND(IF(ISERROR(OFFSET(Rame!$A$1,MATCH(H905,Rame!$A:$A,0)-1,MATCH(J905,Rame!$A$1:$AA$1,0)-1)=TRUE),0,OFFSET(Rame!$A$1,MATCH(H905,Rame!$A:$A,0)-1,MATCH(J905,Rame!$A$1:$AA$1,0)-1))*IF(E905="Rame",1,0),4)</f>
        <v>0</v>
      </c>
      <c r="N905" s="238">
        <v>0</v>
      </c>
      <c r="O905" s="238">
        <f t="shared" ca="1" si="334"/>
        <v>0</v>
      </c>
      <c r="P905" s="238">
        <f ca="1">ROUND(+IF(ISERROR(OFFSET(Tabella!$G$1,MATCH(H905,Tabella!$G:$G,0)-1,MATCH(I905,Tabella!$G$1:$FG$1,0)-1)=TRUE),0,OFFSET(Tabella!$G$1,MATCH(H905,Tabella!$G:$G,0)-1,MATCH(I905,Tabella!$G$1:$AB$1,0)-1)),4)</f>
        <v>0</v>
      </c>
      <c r="Q905" s="238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238">
        <f ca="1">ROUND(IF(ISERROR(OFFSET(Rame!$F$1,MATCH(H905,Rame!$F:$F,0)-1,MATCH(I905,Rame!$F$1:$FF$1,0)-1)=TRUE),0,OFFSET(Rame!$F$1,MATCH(H905,Rame!$F:$F,0)-1,MATCH(I905,Rame!$F$1:$FF$1,0)-1))*IF(E905="Rame",1,0),4)</f>
        <v>0</v>
      </c>
      <c r="S905" s="238">
        <f ca="1">ROUND(IF(ISERROR(OFFSET(Bronzo!$A$1,MATCH(H905,Bronzo!$A:$A,0)-1,MATCH(I905,Bronzo!$A$1:$AA$1,0)-1)=TRUE),0,OFFSET(Bronzo!$A$1,MATCH(H905,Bronzo!$A:$A,0)-1,MATCH(I905,Bronzo!$A$1:$AA$1,0)-1)),4)</f>
        <v>0</v>
      </c>
      <c r="T905" s="238">
        <f t="shared" ca="1" si="329"/>
        <v>0</v>
      </c>
      <c r="U905" s="237"/>
      <c r="V905" s="238">
        <v>0</v>
      </c>
      <c r="W905" s="239">
        <f t="shared" ca="1" si="330"/>
        <v>0</v>
      </c>
      <c r="X905" s="240">
        <f t="shared" si="328"/>
        <v>0</v>
      </c>
      <c r="Y905" s="236"/>
      <c r="Z905" s="236">
        <f t="shared" ca="1" si="331"/>
        <v>0</v>
      </c>
      <c r="AA905" s="241"/>
      <c r="AF905" s="225">
        <f t="shared" ca="1" si="136"/>
        <v>46236</v>
      </c>
      <c r="AG905" s="225" t="b">
        <f t="shared" si="143"/>
        <v>1</v>
      </c>
      <c r="AH905" s="242" t="str">
        <f t="shared" si="144"/>
        <v/>
      </c>
      <c r="AK905" s="223">
        <f t="shared" si="145"/>
        <v>0</v>
      </c>
      <c r="AL905" s="223">
        <f t="shared" si="146"/>
        <v>1900</v>
      </c>
      <c r="AS905" s="223">
        <f t="shared" si="332"/>
        <v>0</v>
      </c>
      <c r="AT905" s="223">
        <f t="shared" si="333"/>
        <v>0</v>
      </c>
    </row>
    <row r="906" spans="2:46" ht="15.75" x14ac:dyDescent="0.25">
      <c r="B906" s="229"/>
      <c r="C906" s="235"/>
      <c r="D906" s="243"/>
      <c r="E906" s="232"/>
      <c r="F906" s="233"/>
      <c r="G906" s="234"/>
      <c r="H906" s="235"/>
      <c r="I906" s="235"/>
      <c r="J906" s="236"/>
      <c r="K906" s="237">
        <f ca="1">ROUND(IF(ISERROR(OFFSET(Tabella!$A$1,MATCH(H906,Tabella!$A:$A,0)-1,MATCH(J906,Tabella!$A$1:$AC$1,0)-1)=TRUE),0,+OFFSET(Tabella!$A$1,MATCH(H906,Tabella!$A:$A,0)-1,MATCH(J906,Tabella!$A$1:$AC$1,0)-1)),4)</f>
        <v>0</v>
      </c>
      <c r="L906" s="238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238">
        <f ca="1">ROUND(IF(ISERROR(OFFSET(Rame!$A$1,MATCH(H906,Rame!$A:$A,0)-1,MATCH(J906,Rame!$A$1:$AA$1,0)-1)=TRUE),0,OFFSET(Rame!$A$1,MATCH(H906,Rame!$A:$A,0)-1,MATCH(J906,Rame!$A$1:$AA$1,0)-1))*IF(E906="Rame",1,0),4)</f>
        <v>0</v>
      </c>
      <c r="N906" s="238">
        <v>0</v>
      </c>
      <c r="O906" s="238">
        <f t="shared" ca="1" si="334"/>
        <v>0</v>
      </c>
      <c r="P906" s="238">
        <f ca="1">ROUND(+IF(ISERROR(OFFSET(Tabella!$G$1,MATCH(H906,Tabella!$G:$G,0)-1,MATCH(I906,Tabella!$G$1:$FG$1,0)-1)=TRUE),0,OFFSET(Tabella!$G$1,MATCH(H906,Tabella!$G:$G,0)-1,MATCH(I906,Tabella!$G$1:$AB$1,0)-1)),4)</f>
        <v>0</v>
      </c>
      <c r="Q906" s="238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238">
        <f ca="1">ROUND(IF(ISERROR(OFFSET(Rame!$F$1,MATCH(H906,Rame!$F:$F,0)-1,MATCH(I906,Rame!$F$1:$FF$1,0)-1)=TRUE),0,OFFSET(Rame!$F$1,MATCH(H906,Rame!$F:$F,0)-1,MATCH(I906,Rame!$F$1:$FF$1,0)-1))*IF(E906="Rame",1,0),4)</f>
        <v>0</v>
      </c>
      <c r="S906" s="238">
        <f ca="1">ROUND(IF(ISERROR(OFFSET(Bronzo!$A$1,MATCH(H906,Bronzo!$A:$A,0)-1,MATCH(I906,Bronzo!$A$1:$AA$1,0)-1)=TRUE),0,OFFSET(Bronzo!$A$1,MATCH(H906,Bronzo!$A:$A,0)-1,MATCH(I906,Bronzo!$A$1:$AA$1,0)-1)),4)</f>
        <v>0</v>
      </c>
      <c r="T906" s="238">
        <f t="shared" ca="1" si="329"/>
        <v>0</v>
      </c>
      <c r="U906" s="237"/>
      <c r="V906" s="238">
        <v>0</v>
      </c>
      <c r="W906" s="239">
        <f t="shared" ca="1" si="330"/>
        <v>0</v>
      </c>
      <c r="X906" s="240">
        <f t="shared" si="328"/>
        <v>0</v>
      </c>
      <c r="Y906" s="236"/>
      <c r="Z906" s="236">
        <f t="shared" ca="1" si="331"/>
        <v>0</v>
      </c>
      <c r="AA906" s="241"/>
      <c r="AF906" s="225">
        <f t="shared" ca="1" si="136"/>
        <v>46236</v>
      </c>
      <c r="AG906" s="225" t="b">
        <f t="shared" si="143"/>
        <v>1</v>
      </c>
      <c r="AH906" s="242" t="str">
        <f t="shared" si="144"/>
        <v/>
      </c>
      <c r="AK906" s="223">
        <f t="shared" si="145"/>
        <v>0</v>
      </c>
      <c r="AL906" s="223">
        <f t="shared" si="146"/>
        <v>1900</v>
      </c>
      <c r="AS906" s="223">
        <f t="shared" si="332"/>
        <v>0</v>
      </c>
      <c r="AT906" s="223">
        <f t="shared" si="333"/>
        <v>0</v>
      </c>
    </row>
    <row r="907" spans="2:46" ht="15.75" x14ac:dyDescent="0.25">
      <c r="B907" s="229"/>
      <c r="C907" s="235"/>
      <c r="D907" s="243"/>
      <c r="E907" s="232"/>
      <c r="F907" s="233"/>
      <c r="G907" s="234"/>
      <c r="H907" s="235"/>
      <c r="I907" s="235"/>
      <c r="J907" s="236"/>
      <c r="K907" s="237">
        <f ca="1">ROUND(IF(ISERROR(OFFSET(Tabella!$A$1,MATCH(H907,Tabella!$A:$A,0)-1,MATCH(J907,Tabella!$A$1:$AC$1,0)-1)=TRUE),0,+OFFSET(Tabella!$A$1,MATCH(H907,Tabella!$A:$A,0)-1,MATCH(J907,Tabella!$A$1:$AC$1,0)-1)),4)</f>
        <v>0</v>
      </c>
      <c r="L907" s="238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238">
        <f ca="1">ROUND(IF(ISERROR(OFFSET(Rame!$A$1,MATCH(H907,Rame!$A:$A,0)-1,MATCH(J907,Rame!$A$1:$AA$1,0)-1)=TRUE),0,OFFSET(Rame!$A$1,MATCH(H907,Rame!$A:$A,0)-1,MATCH(J907,Rame!$A$1:$AA$1,0)-1))*IF(E907="Rame",1,0),4)</f>
        <v>0</v>
      </c>
      <c r="N907" s="238">
        <v>0</v>
      </c>
      <c r="O907" s="238">
        <f t="shared" ca="1" si="334"/>
        <v>0</v>
      </c>
      <c r="P907" s="238">
        <f ca="1">ROUND(+IF(ISERROR(OFFSET(Tabella!$G$1,MATCH(H907,Tabella!$G:$G,0)-1,MATCH(I907,Tabella!$G$1:$FG$1,0)-1)=TRUE),0,OFFSET(Tabella!$G$1,MATCH(H907,Tabella!$G:$G,0)-1,MATCH(I907,Tabella!$G$1:$AB$1,0)-1)),4)</f>
        <v>0</v>
      </c>
      <c r="Q907" s="238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238">
        <f ca="1">ROUND(IF(ISERROR(OFFSET(Rame!$F$1,MATCH(H907,Rame!$F:$F,0)-1,MATCH(I907,Rame!$F$1:$FF$1,0)-1)=TRUE),0,OFFSET(Rame!$F$1,MATCH(H907,Rame!$F:$F,0)-1,MATCH(I907,Rame!$F$1:$FF$1,0)-1))*IF(E907="Rame",1,0),4)</f>
        <v>0</v>
      </c>
      <c r="S907" s="238">
        <f ca="1">ROUND(IF(ISERROR(OFFSET(Bronzo!$A$1,MATCH(H907,Bronzo!$A:$A,0)-1,MATCH(I907,Bronzo!$A$1:$AA$1,0)-1)=TRUE),0,OFFSET(Bronzo!$A$1,MATCH(H907,Bronzo!$A:$A,0)-1,MATCH(I907,Bronzo!$A$1:$AA$1,0)-1)),4)</f>
        <v>0</v>
      </c>
      <c r="T907" s="238">
        <f t="shared" ca="1" si="329"/>
        <v>0</v>
      </c>
      <c r="U907" s="237"/>
      <c r="V907" s="238">
        <v>0</v>
      </c>
      <c r="W907" s="239">
        <f t="shared" ca="1" si="330"/>
        <v>0</v>
      </c>
      <c r="X907" s="240">
        <f t="shared" si="328"/>
        <v>0</v>
      </c>
      <c r="Y907" s="236"/>
      <c r="Z907" s="236">
        <f t="shared" ca="1" si="331"/>
        <v>0</v>
      </c>
      <c r="AA907" s="241"/>
      <c r="AF907" s="225">
        <f t="shared" ca="1" si="136"/>
        <v>46236</v>
      </c>
      <c r="AG907" s="225" t="b">
        <f t="shared" si="143"/>
        <v>1</v>
      </c>
      <c r="AH907" s="242" t="str">
        <f t="shared" si="144"/>
        <v/>
      </c>
      <c r="AK907" s="223">
        <f t="shared" si="145"/>
        <v>0</v>
      </c>
      <c r="AL907" s="223">
        <f t="shared" si="146"/>
        <v>1900</v>
      </c>
      <c r="AS907" s="223">
        <f t="shared" si="332"/>
        <v>0</v>
      </c>
      <c r="AT907" s="223">
        <f t="shared" si="333"/>
        <v>0</v>
      </c>
    </row>
    <row r="908" spans="2:46" ht="15.75" x14ac:dyDescent="0.25">
      <c r="B908" s="229"/>
      <c r="C908" s="235"/>
      <c r="D908" s="243"/>
      <c r="E908" s="232"/>
      <c r="F908" s="233"/>
      <c r="G908" s="234"/>
      <c r="H908" s="235"/>
      <c r="I908" s="235"/>
      <c r="J908" s="236"/>
      <c r="K908" s="237">
        <f ca="1">ROUND(IF(ISERROR(OFFSET(Tabella!$A$1,MATCH(H908,Tabella!$A:$A,0)-1,MATCH(J908,Tabella!$A$1:$AC$1,0)-1)=TRUE),0,+OFFSET(Tabella!$A$1,MATCH(H908,Tabella!$A:$A,0)-1,MATCH(J908,Tabella!$A$1:$AC$1,0)-1)),4)</f>
        <v>0</v>
      </c>
      <c r="L908" s="238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238">
        <f ca="1">ROUND(IF(ISERROR(OFFSET(Rame!$A$1,MATCH(H908,Rame!$A:$A,0)-1,MATCH(J908,Rame!$A$1:$AA$1,0)-1)=TRUE),0,OFFSET(Rame!$A$1,MATCH(H908,Rame!$A:$A,0)-1,MATCH(J908,Rame!$A$1:$AA$1,0)-1))*IF(E908="Rame",1,0),4)</f>
        <v>0</v>
      </c>
      <c r="N908" s="238">
        <v>0</v>
      </c>
      <c r="O908" s="238">
        <f t="shared" ca="1" si="334"/>
        <v>0</v>
      </c>
      <c r="P908" s="238">
        <f ca="1">ROUND(+IF(ISERROR(OFFSET(Tabella!$G$1,MATCH(H908,Tabella!$G:$G,0)-1,MATCH(I908,Tabella!$G$1:$FG$1,0)-1)=TRUE),0,OFFSET(Tabella!$G$1,MATCH(H908,Tabella!$G:$G,0)-1,MATCH(I908,Tabella!$G$1:$AB$1,0)-1)),4)</f>
        <v>0</v>
      </c>
      <c r="Q908" s="238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238">
        <f ca="1">ROUND(IF(ISERROR(OFFSET(Rame!$F$1,MATCH(H908,Rame!$F:$F,0)-1,MATCH(I908,Rame!$F$1:$FF$1,0)-1)=TRUE),0,OFFSET(Rame!$F$1,MATCH(H908,Rame!$F:$F,0)-1,MATCH(I908,Rame!$F$1:$FF$1,0)-1))*IF(E908="Rame",1,0),4)</f>
        <v>0</v>
      </c>
      <c r="S908" s="238">
        <f ca="1">ROUND(IF(ISERROR(OFFSET(Bronzo!$A$1,MATCH(H908,Bronzo!$A:$A,0)-1,MATCH(I908,Bronzo!$A$1:$AA$1,0)-1)=TRUE),0,OFFSET(Bronzo!$A$1,MATCH(H908,Bronzo!$A:$A,0)-1,MATCH(I908,Bronzo!$A$1:$AA$1,0)-1)),4)</f>
        <v>0</v>
      </c>
      <c r="T908" s="238">
        <f t="shared" ca="1" si="329"/>
        <v>0</v>
      </c>
      <c r="U908" s="237"/>
      <c r="V908" s="238">
        <v>0</v>
      </c>
      <c r="W908" s="239">
        <f t="shared" ca="1" si="330"/>
        <v>0</v>
      </c>
      <c r="X908" s="240">
        <f t="shared" si="328"/>
        <v>0</v>
      </c>
      <c r="Y908" s="236"/>
      <c r="Z908" s="236">
        <f t="shared" ca="1" si="331"/>
        <v>0</v>
      </c>
      <c r="AA908" s="241"/>
      <c r="AF908" s="225">
        <f t="shared" ref="AF908:AF971" ca="1" si="335">TODAY()</f>
        <v>46236</v>
      </c>
      <c r="AG908" s="225" t="b">
        <f t="shared" si="143"/>
        <v>1</v>
      </c>
      <c r="AH908" s="242" t="str">
        <f t="shared" si="144"/>
        <v/>
      </c>
      <c r="AK908" s="223">
        <f t="shared" si="145"/>
        <v>0</v>
      </c>
      <c r="AL908" s="223">
        <f t="shared" si="146"/>
        <v>1900</v>
      </c>
      <c r="AS908" s="223">
        <f t="shared" si="332"/>
        <v>0</v>
      </c>
      <c r="AT908" s="223">
        <f t="shared" si="333"/>
        <v>0</v>
      </c>
    </row>
    <row r="909" spans="2:46" ht="15.75" x14ac:dyDescent="0.25">
      <c r="B909" s="229"/>
      <c r="C909" s="235"/>
      <c r="D909" s="243"/>
      <c r="E909" s="232"/>
      <c r="F909" s="233"/>
      <c r="G909" s="234"/>
      <c r="H909" s="235"/>
      <c r="I909" s="235"/>
      <c r="J909" s="236"/>
      <c r="K909" s="237">
        <f ca="1">ROUND(IF(ISERROR(OFFSET(Tabella!$A$1,MATCH(H909,Tabella!$A:$A,0)-1,MATCH(J909,Tabella!$A$1:$AC$1,0)-1)=TRUE),0,+OFFSET(Tabella!$A$1,MATCH(H909,Tabella!$A:$A,0)-1,MATCH(J909,Tabella!$A$1:$AC$1,0)-1)),4)</f>
        <v>0</v>
      </c>
      <c r="L909" s="238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238">
        <f ca="1">ROUND(IF(ISERROR(OFFSET(Rame!$A$1,MATCH(H909,Rame!$A:$A,0)-1,MATCH(J909,Rame!$A$1:$AA$1,0)-1)=TRUE),0,OFFSET(Rame!$A$1,MATCH(H909,Rame!$A:$A,0)-1,MATCH(J909,Rame!$A$1:$AA$1,0)-1))*IF(E909="Rame",1,0),4)</f>
        <v>0</v>
      </c>
      <c r="N909" s="238">
        <v>0</v>
      </c>
      <c r="O909" s="238">
        <f t="shared" ca="1" si="334"/>
        <v>0</v>
      </c>
      <c r="P909" s="238">
        <f ca="1">ROUND(+IF(ISERROR(OFFSET(Tabella!$G$1,MATCH(H909,Tabella!$G:$G,0)-1,MATCH(I909,Tabella!$G$1:$FG$1,0)-1)=TRUE),0,OFFSET(Tabella!$G$1,MATCH(H909,Tabella!$G:$G,0)-1,MATCH(I909,Tabella!$G$1:$AB$1,0)-1)),4)</f>
        <v>0</v>
      </c>
      <c r="Q909" s="238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238">
        <f ca="1">ROUND(IF(ISERROR(OFFSET(Rame!$F$1,MATCH(H909,Rame!$F:$F,0)-1,MATCH(I909,Rame!$F$1:$FF$1,0)-1)=TRUE),0,OFFSET(Rame!$F$1,MATCH(H909,Rame!$F:$F,0)-1,MATCH(I909,Rame!$F$1:$FF$1,0)-1))*IF(E909="Rame",1,0),4)</f>
        <v>0</v>
      </c>
      <c r="S909" s="238">
        <f ca="1">ROUND(IF(ISERROR(OFFSET(Bronzo!$A$1,MATCH(H909,Bronzo!$A:$A,0)-1,MATCH(I909,Bronzo!$A$1:$AA$1,0)-1)=TRUE),0,OFFSET(Bronzo!$A$1,MATCH(H909,Bronzo!$A:$A,0)-1,MATCH(I909,Bronzo!$A$1:$AA$1,0)-1)),4)</f>
        <v>0</v>
      </c>
      <c r="T909" s="238">
        <f t="shared" ca="1" si="329"/>
        <v>0</v>
      </c>
      <c r="U909" s="237"/>
      <c r="V909" s="238">
        <v>0</v>
      </c>
      <c r="W909" s="239">
        <f t="shared" ca="1" si="330"/>
        <v>0</v>
      </c>
      <c r="X909" s="240">
        <f t="shared" si="328"/>
        <v>0</v>
      </c>
      <c r="Y909" s="236"/>
      <c r="Z909" s="236">
        <f t="shared" ca="1" si="331"/>
        <v>0</v>
      </c>
      <c r="AA909" s="241"/>
      <c r="AF909" s="225">
        <f t="shared" ca="1" si="335"/>
        <v>46236</v>
      </c>
      <c r="AG909" s="225" t="b">
        <f t="shared" si="143"/>
        <v>1</v>
      </c>
      <c r="AH909" s="242" t="str">
        <f t="shared" si="144"/>
        <v/>
      </c>
      <c r="AK909" s="223">
        <f t="shared" si="145"/>
        <v>0</v>
      </c>
      <c r="AL909" s="223">
        <f t="shared" si="146"/>
        <v>1900</v>
      </c>
      <c r="AS909" s="223">
        <f t="shared" si="332"/>
        <v>0</v>
      </c>
      <c r="AT909" s="223">
        <f t="shared" si="333"/>
        <v>0</v>
      </c>
    </row>
    <row r="910" spans="2:46" ht="15.75" x14ac:dyDescent="0.25">
      <c r="B910" s="229"/>
      <c r="C910" s="235"/>
      <c r="D910" s="243"/>
      <c r="E910" s="232"/>
      <c r="F910" s="233"/>
      <c r="G910" s="234"/>
      <c r="H910" s="235"/>
      <c r="I910" s="235"/>
      <c r="J910" s="236"/>
      <c r="K910" s="237">
        <f ca="1">ROUND(IF(ISERROR(OFFSET(Tabella!$A$1,MATCH(H910,Tabella!$A:$A,0)-1,MATCH(J910,Tabella!$A$1:$AC$1,0)-1)=TRUE),0,+OFFSET(Tabella!$A$1,MATCH(H910,Tabella!$A:$A,0)-1,MATCH(J910,Tabella!$A$1:$AC$1,0)-1)),4)</f>
        <v>0</v>
      </c>
      <c r="L910" s="238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238">
        <f ca="1">ROUND(IF(ISERROR(OFFSET(Rame!$A$1,MATCH(H910,Rame!$A:$A,0)-1,MATCH(J910,Rame!$A$1:$AA$1,0)-1)=TRUE),0,OFFSET(Rame!$A$1,MATCH(H910,Rame!$A:$A,0)-1,MATCH(J910,Rame!$A$1:$AA$1,0)-1))*IF(E910="Rame",1,0),4)</f>
        <v>0</v>
      </c>
      <c r="N910" s="238">
        <v>0</v>
      </c>
      <c r="O910" s="238">
        <f t="shared" ca="1" si="334"/>
        <v>0</v>
      </c>
      <c r="P910" s="238">
        <f ca="1">ROUND(+IF(ISERROR(OFFSET(Tabella!$G$1,MATCH(H910,Tabella!$G:$G,0)-1,MATCH(I910,Tabella!$G$1:$FG$1,0)-1)=TRUE),0,OFFSET(Tabella!$G$1,MATCH(H910,Tabella!$G:$G,0)-1,MATCH(I910,Tabella!$G$1:$AB$1,0)-1)),4)</f>
        <v>0</v>
      </c>
      <c r="Q910" s="238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238">
        <f ca="1">ROUND(IF(ISERROR(OFFSET(Rame!$F$1,MATCH(H910,Rame!$F:$F,0)-1,MATCH(I910,Rame!$F$1:$FF$1,0)-1)=TRUE),0,OFFSET(Rame!$F$1,MATCH(H910,Rame!$F:$F,0)-1,MATCH(I910,Rame!$F$1:$FF$1,0)-1))*IF(E910="Rame",1,0),4)</f>
        <v>0</v>
      </c>
      <c r="S910" s="238">
        <f ca="1">ROUND(IF(ISERROR(OFFSET(Bronzo!$A$1,MATCH(H910,Bronzo!$A:$A,0)-1,MATCH(I910,Bronzo!$A$1:$AA$1,0)-1)=TRUE),0,OFFSET(Bronzo!$A$1,MATCH(H910,Bronzo!$A:$A,0)-1,MATCH(I910,Bronzo!$A$1:$AA$1,0)-1)),4)</f>
        <v>0</v>
      </c>
      <c r="T910" s="238">
        <f t="shared" ca="1" si="329"/>
        <v>0</v>
      </c>
      <c r="U910" s="237"/>
      <c r="V910" s="238">
        <v>0</v>
      </c>
      <c r="W910" s="239">
        <f t="shared" ca="1" si="330"/>
        <v>0</v>
      </c>
      <c r="X910" s="240">
        <f t="shared" si="328"/>
        <v>0</v>
      </c>
      <c r="Y910" s="236"/>
      <c r="Z910" s="236">
        <f t="shared" ca="1" si="331"/>
        <v>0</v>
      </c>
      <c r="AA910" s="241"/>
      <c r="AF910" s="225">
        <f t="shared" ca="1" si="335"/>
        <v>46236</v>
      </c>
      <c r="AG910" s="225" t="b">
        <f t="shared" si="143"/>
        <v>1</v>
      </c>
      <c r="AH910" s="242" t="str">
        <f t="shared" si="144"/>
        <v/>
      </c>
      <c r="AK910" s="223">
        <f t="shared" si="145"/>
        <v>0</v>
      </c>
      <c r="AL910" s="223">
        <f t="shared" si="146"/>
        <v>1900</v>
      </c>
      <c r="AS910" s="223">
        <f t="shared" si="332"/>
        <v>0</v>
      </c>
      <c r="AT910" s="223">
        <f t="shared" si="333"/>
        <v>0</v>
      </c>
    </row>
    <row r="911" spans="2:46" ht="15.75" x14ac:dyDescent="0.25">
      <c r="B911" s="229"/>
      <c r="C911" s="235"/>
      <c r="D911" s="243"/>
      <c r="E911" s="232"/>
      <c r="F911" s="233"/>
      <c r="G911" s="234"/>
      <c r="H911" s="235"/>
      <c r="I911" s="235"/>
      <c r="J911" s="236"/>
      <c r="K911" s="237">
        <f ca="1">ROUND(IF(ISERROR(OFFSET(Tabella!$A$1,MATCH(H911,Tabella!$A:$A,0)-1,MATCH(J911,Tabella!$A$1:$AC$1,0)-1)=TRUE),0,+OFFSET(Tabella!$A$1,MATCH(H911,Tabella!$A:$A,0)-1,MATCH(J911,Tabella!$A$1:$AC$1,0)-1)),4)</f>
        <v>0</v>
      </c>
      <c r="L911" s="238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238">
        <f ca="1">ROUND(IF(ISERROR(OFFSET(Rame!$A$1,MATCH(H911,Rame!$A:$A,0)-1,MATCH(J911,Rame!$A$1:$AA$1,0)-1)=TRUE),0,OFFSET(Rame!$A$1,MATCH(H911,Rame!$A:$A,0)-1,MATCH(J911,Rame!$A$1:$AA$1,0)-1))*IF(E911="Rame",1,0),4)</f>
        <v>0</v>
      </c>
      <c r="N911" s="238">
        <v>0</v>
      </c>
      <c r="O911" s="238">
        <f t="shared" ca="1" si="334"/>
        <v>0</v>
      </c>
      <c r="P911" s="238">
        <f ca="1">ROUND(+IF(ISERROR(OFFSET(Tabella!$G$1,MATCH(H911,Tabella!$G:$G,0)-1,MATCH(I911,Tabella!$G$1:$FG$1,0)-1)=TRUE),0,OFFSET(Tabella!$G$1,MATCH(H911,Tabella!$G:$G,0)-1,MATCH(I911,Tabella!$G$1:$AB$1,0)-1)),4)</f>
        <v>0</v>
      </c>
      <c r="Q911" s="238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238">
        <f ca="1">ROUND(IF(ISERROR(OFFSET(Rame!$F$1,MATCH(H911,Rame!$F:$F,0)-1,MATCH(I911,Rame!$F$1:$FF$1,0)-1)=TRUE),0,OFFSET(Rame!$F$1,MATCH(H911,Rame!$F:$F,0)-1,MATCH(I911,Rame!$F$1:$FF$1,0)-1))*IF(E911="Rame",1,0),4)</f>
        <v>0</v>
      </c>
      <c r="S911" s="238">
        <f ca="1">ROUND(IF(ISERROR(OFFSET(Bronzo!$A$1,MATCH(H911,Bronzo!$A:$A,0)-1,MATCH(I911,Bronzo!$A$1:$AA$1,0)-1)=TRUE),0,OFFSET(Bronzo!$A$1,MATCH(H911,Bronzo!$A:$A,0)-1,MATCH(I911,Bronzo!$A$1:$AA$1,0)-1)),4)</f>
        <v>0</v>
      </c>
      <c r="T911" s="238">
        <f t="shared" ca="1" si="329"/>
        <v>0</v>
      </c>
      <c r="U911" s="237"/>
      <c r="V911" s="238">
        <v>0</v>
      </c>
      <c r="W911" s="239">
        <f t="shared" ca="1" si="330"/>
        <v>0</v>
      </c>
      <c r="X911" s="240">
        <f t="shared" si="328"/>
        <v>0</v>
      </c>
      <c r="Y911" s="236"/>
      <c r="Z911" s="236">
        <f t="shared" ca="1" si="331"/>
        <v>0</v>
      </c>
      <c r="AA911" s="241"/>
      <c r="AF911" s="225">
        <f t="shared" ca="1" si="335"/>
        <v>46236</v>
      </c>
      <c r="AG911" s="225" t="b">
        <f t="shared" si="143"/>
        <v>1</v>
      </c>
      <c r="AH911" s="242" t="str">
        <f t="shared" si="144"/>
        <v/>
      </c>
      <c r="AK911" s="223">
        <f t="shared" si="145"/>
        <v>0</v>
      </c>
      <c r="AL911" s="223">
        <f t="shared" si="146"/>
        <v>1900</v>
      </c>
      <c r="AS911" s="223">
        <f t="shared" si="332"/>
        <v>0</v>
      </c>
      <c r="AT911" s="223">
        <f t="shared" si="333"/>
        <v>0</v>
      </c>
    </row>
    <row r="912" spans="2:46" ht="15.75" x14ac:dyDescent="0.25">
      <c r="B912" s="229"/>
      <c r="C912" s="235"/>
      <c r="D912" s="243"/>
      <c r="E912" s="232"/>
      <c r="F912" s="233"/>
      <c r="G912" s="234"/>
      <c r="H912" s="235"/>
      <c r="I912" s="235"/>
      <c r="J912" s="236"/>
      <c r="K912" s="237">
        <f ca="1">ROUND(IF(ISERROR(OFFSET(Tabella!$A$1,MATCH(H912,Tabella!$A:$A,0)-1,MATCH(J912,Tabella!$A$1:$AC$1,0)-1)=TRUE),0,+OFFSET(Tabella!$A$1,MATCH(H912,Tabella!$A:$A,0)-1,MATCH(J912,Tabella!$A$1:$AC$1,0)-1)),4)</f>
        <v>0</v>
      </c>
      <c r="L912" s="238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238">
        <f ca="1">ROUND(IF(ISERROR(OFFSET(Rame!$A$1,MATCH(H912,Rame!$A:$A,0)-1,MATCH(J912,Rame!$A$1:$AA$1,0)-1)=TRUE),0,OFFSET(Rame!$A$1,MATCH(H912,Rame!$A:$A,0)-1,MATCH(J912,Rame!$A$1:$AA$1,0)-1))*IF(E912="Rame",1,0),4)</f>
        <v>0</v>
      </c>
      <c r="N912" s="238">
        <v>0</v>
      </c>
      <c r="O912" s="238">
        <f t="shared" ca="1" si="334"/>
        <v>0</v>
      </c>
      <c r="P912" s="238">
        <f ca="1">ROUND(+IF(ISERROR(OFFSET(Tabella!$G$1,MATCH(H912,Tabella!$G:$G,0)-1,MATCH(I912,Tabella!$G$1:$FG$1,0)-1)=TRUE),0,OFFSET(Tabella!$G$1,MATCH(H912,Tabella!$G:$G,0)-1,MATCH(I912,Tabella!$G$1:$AB$1,0)-1)),4)</f>
        <v>0</v>
      </c>
      <c r="Q912" s="238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238">
        <f ca="1">ROUND(IF(ISERROR(OFFSET(Rame!$F$1,MATCH(H912,Rame!$F:$F,0)-1,MATCH(I912,Rame!$F$1:$FF$1,0)-1)=TRUE),0,OFFSET(Rame!$F$1,MATCH(H912,Rame!$F:$F,0)-1,MATCH(I912,Rame!$F$1:$FF$1,0)-1))*IF(E912="Rame",1,0),4)</f>
        <v>0</v>
      </c>
      <c r="S912" s="238">
        <f ca="1">ROUND(IF(ISERROR(OFFSET(Bronzo!$A$1,MATCH(H912,Bronzo!$A:$A,0)-1,MATCH(I912,Bronzo!$A$1:$AA$1,0)-1)=TRUE),0,OFFSET(Bronzo!$A$1,MATCH(H912,Bronzo!$A:$A,0)-1,MATCH(I912,Bronzo!$A$1:$AA$1,0)-1)),4)</f>
        <v>0</v>
      </c>
      <c r="T912" s="238">
        <f t="shared" ca="1" si="329"/>
        <v>0</v>
      </c>
      <c r="U912" s="237"/>
      <c r="V912" s="238">
        <v>0</v>
      </c>
      <c r="W912" s="239">
        <f t="shared" ca="1" si="330"/>
        <v>0</v>
      </c>
      <c r="X912" s="240">
        <f t="shared" si="328"/>
        <v>0</v>
      </c>
      <c r="Y912" s="236"/>
      <c r="Z912" s="236">
        <f t="shared" ca="1" si="331"/>
        <v>0</v>
      </c>
      <c r="AA912" s="241"/>
      <c r="AF912" s="225">
        <f t="shared" ca="1" si="335"/>
        <v>46236</v>
      </c>
      <c r="AG912" s="225" t="b">
        <f t="shared" si="143"/>
        <v>1</v>
      </c>
      <c r="AH912" s="242" t="str">
        <f t="shared" si="144"/>
        <v/>
      </c>
      <c r="AK912" s="223">
        <f t="shared" si="145"/>
        <v>0</v>
      </c>
      <c r="AL912" s="223">
        <f t="shared" si="146"/>
        <v>1900</v>
      </c>
      <c r="AS912" s="223">
        <f t="shared" si="332"/>
        <v>0</v>
      </c>
      <c r="AT912" s="223">
        <f t="shared" si="333"/>
        <v>0</v>
      </c>
    </row>
    <row r="913" spans="2:46" ht="15.75" x14ac:dyDescent="0.25">
      <c r="B913" s="229"/>
      <c r="C913" s="235"/>
      <c r="D913" s="243"/>
      <c r="E913" s="232"/>
      <c r="F913" s="233"/>
      <c r="G913" s="234"/>
      <c r="H913" s="235"/>
      <c r="I913" s="235"/>
      <c r="J913" s="236"/>
      <c r="K913" s="237">
        <f ca="1">ROUND(IF(ISERROR(OFFSET(Tabella!$A$1,MATCH(H913,Tabella!$A:$A,0)-1,MATCH(J913,Tabella!$A$1:$AC$1,0)-1)=TRUE),0,+OFFSET(Tabella!$A$1,MATCH(H913,Tabella!$A:$A,0)-1,MATCH(J913,Tabella!$A$1:$AC$1,0)-1)),4)</f>
        <v>0</v>
      </c>
      <c r="L913" s="238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238">
        <f ca="1">ROUND(IF(ISERROR(OFFSET(Rame!$A$1,MATCH(H913,Rame!$A:$A,0)-1,MATCH(J913,Rame!$A$1:$AA$1,0)-1)=TRUE),0,OFFSET(Rame!$A$1,MATCH(H913,Rame!$A:$A,0)-1,MATCH(J913,Rame!$A$1:$AA$1,0)-1))*IF(E913="Rame",1,0),4)</f>
        <v>0</v>
      </c>
      <c r="N913" s="238">
        <v>0</v>
      </c>
      <c r="O913" s="238">
        <f t="shared" ca="1" si="334"/>
        <v>0</v>
      </c>
      <c r="P913" s="238">
        <f ca="1">ROUND(+IF(ISERROR(OFFSET(Tabella!$G$1,MATCH(H913,Tabella!$G:$G,0)-1,MATCH(I913,Tabella!$G$1:$FG$1,0)-1)=TRUE),0,OFFSET(Tabella!$G$1,MATCH(H913,Tabella!$G:$G,0)-1,MATCH(I913,Tabella!$G$1:$AB$1,0)-1)),4)</f>
        <v>0</v>
      </c>
      <c r="Q913" s="238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238">
        <f ca="1">ROUND(IF(ISERROR(OFFSET(Rame!$F$1,MATCH(H913,Rame!$F:$F,0)-1,MATCH(I913,Rame!$F$1:$FF$1,0)-1)=TRUE),0,OFFSET(Rame!$F$1,MATCH(H913,Rame!$F:$F,0)-1,MATCH(I913,Rame!$F$1:$FF$1,0)-1))*IF(E913="Rame",1,0),4)</f>
        <v>0</v>
      </c>
      <c r="S913" s="238">
        <f ca="1">ROUND(IF(ISERROR(OFFSET(Bronzo!$A$1,MATCH(H913,Bronzo!$A:$A,0)-1,MATCH(I913,Bronzo!$A$1:$AA$1,0)-1)=TRUE),0,OFFSET(Bronzo!$A$1,MATCH(H913,Bronzo!$A:$A,0)-1,MATCH(I913,Bronzo!$A$1:$AA$1,0)-1)),4)</f>
        <v>0</v>
      </c>
      <c r="T913" s="238">
        <f t="shared" ca="1" si="329"/>
        <v>0</v>
      </c>
      <c r="U913" s="237"/>
      <c r="V913" s="238">
        <v>0</v>
      </c>
      <c r="W913" s="239">
        <f t="shared" ca="1" si="330"/>
        <v>0</v>
      </c>
      <c r="X913" s="240">
        <f t="shared" si="328"/>
        <v>0</v>
      </c>
      <c r="Y913" s="236"/>
      <c r="Z913" s="236">
        <f t="shared" ca="1" si="331"/>
        <v>0</v>
      </c>
      <c r="AA913" s="241"/>
      <c r="AF913" s="225">
        <f t="shared" ca="1" si="335"/>
        <v>46236</v>
      </c>
      <c r="AG913" s="225" t="b">
        <f t="shared" si="143"/>
        <v>1</v>
      </c>
      <c r="AH913" s="242" t="str">
        <f t="shared" si="144"/>
        <v/>
      </c>
      <c r="AK913" s="223">
        <f t="shared" si="145"/>
        <v>0</v>
      </c>
      <c r="AL913" s="223">
        <f t="shared" si="146"/>
        <v>1900</v>
      </c>
      <c r="AS913" s="223">
        <f t="shared" si="332"/>
        <v>0</v>
      </c>
      <c r="AT913" s="223">
        <f t="shared" si="333"/>
        <v>0</v>
      </c>
    </row>
    <row r="914" spans="2:46" ht="15.75" x14ac:dyDescent="0.25">
      <c r="B914" s="229"/>
      <c r="C914" s="235"/>
      <c r="D914" s="243"/>
      <c r="E914" s="232"/>
      <c r="F914" s="233"/>
      <c r="G914" s="234"/>
      <c r="H914" s="235"/>
      <c r="I914" s="235"/>
      <c r="J914" s="236"/>
      <c r="K914" s="237">
        <f ca="1">ROUND(IF(ISERROR(OFFSET(Tabella!$A$1,MATCH(H914,Tabella!$A:$A,0)-1,MATCH(J914,Tabella!$A$1:$AC$1,0)-1)=TRUE),0,+OFFSET(Tabella!$A$1,MATCH(H914,Tabella!$A:$A,0)-1,MATCH(J914,Tabella!$A$1:$AC$1,0)-1)),4)</f>
        <v>0</v>
      </c>
      <c r="L914" s="238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238">
        <f ca="1">ROUND(IF(ISERROR(OFFSET(Rame!$A$1,MATCH(H914,Rame!$A:$A,0)-1,MATCH(J914,Rame!$A$1:$AA$1,0)-1)=TRUE),0,OFFSET(Rame!$A$1,MATCH(H914,Rame!$A:$A,0)-1,MATCH(J914,Rame!$A$1:$AA$1,0)-1))*IF(E914="Rame",1,0),4)</f>
        <v>0</v>
      </c>
      <c r="N914" s="238">
        <v>0</v>
      </c>
      <c r="O914" s="238">
        <f t="shared" ca="1" si="334"/>
        <v>0</v>
      </c>
      <c r="P914" s="238">
        <f ca="1">ROUND(+IF(ISERROR(OFFSET(Tabella!$G$1,MATCH(H914,Tabella!$G:$G,0)-1,MATCH(I914,Tabella!$G$1:$FG$1,0)-1)=TRUE),0,OFFSET(Tabella!$G$1,MATCH(H914,Tabella!$G:$G,0)-1,MATCH(I914,Tabella!$G$1:$AB$1,0)-1)),4)</f>
        <v>0</v>
      </c>
      <c r="Q914" s="238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238">
        <f ca="1">ROUND(IF(ISERROR(OFFSET(Rame!$F$1,MATCH(H914,Rame!$F:$F,0)-1,MATCH(I914,Rame!$F$1:$FF$1,0)-1)=TRUE),0,OFFSET(Rame!$F$1,MATCH(H914,Rame!$F:$F,0)-1,MATCH(I914,Rame!$F$1:$FF$1,0)-1))*IF(E914="Rame",1,0),4)</f>
        <v>0</v>
      </c>
      <c r="S914" s="238">
        <f ca="1">ROUND(IF(ISERROR(OFFSET(Bronzo!$A$1,MATCH(H914,Bronzo!$A:$A,0)-1,MATCH(I914,Bronzo!$A$1:$AA$1,0)-1)=TRUE),0,OFFSET(Bronzo!$A$1,MATCH(H914,Bronzo!$A:$A,0)-1,MATCH(I914,Bronzo!$A$1:$AA$1,0)-1)),4)</f>
        <v>0</v>
      </c>
      <c r="T914" s="238">
        <f t="shared" ca="1" si="329"/>
        <v>0</v>
      </c>
      <c r="U914" s="237"/>
      <c r="V914" s="238">
        <v>0</v>
      </c>
      <c r="W914" s="239">
        <f t="shared" ca="1" si="330"/>
        <v>0</v>
      </c>
      <c r="X914" s="240">
        <f t="shared" si="328"/>
        <v>0</v>
      </c>
      <c r="Y914" s="236"/>
      <c r="Z914" s="236">
        <f t="shared" ca="1" si="331"/>
        <v>0</v>
      </c>
      <c r="AA914" s="241"/>
      <c r="AF914" s="225">
        <f t="shared" ca="1" si="335"/>
        <v>46236</v>
      </c>
      <c r="AG914" s="225" t="b">
        <f t="shared" si="143"/>
        <v>1</v>
      </c>
      <c r="AH914" s="242" t="str">
        <f t="shared" si="144"/>
        <v/>
      </c>
      <c r="AK914" s="223">
        <f t="shared" si="145"/>
        <v>0</v>
      </c>
      <c r="AL914" s="223">
        <f t="shared" si="146"/>
        <v>1900</v>
      </c>
      <c r="AS914" s="223">
        <f t="shared" si="332"/>
        <v>0</v>
      </c>
      <c r="AT914" s="223">
        <f t="shared" si="333"/>
        <v>0</v>
      </c>
    </row>
    <row r="915" spans="2:46" ht="15.75" x14ac:dyDescent="0.25">
      <c r="B915" s="229"/>
      <c r="C915" s="235"/>
      <c r="D915" s="243"/>
      <c r="E915" s="232"/>
      <c r="F915" s="233"/>
      <c r="G915" s="234"/>
      <c r="H915" s="235"/>
      <c r="I915" s="235"/>
      <c r="J915" s="236"/>
      <c r="K915" s="237">
        <f ca="1">ROUND(IF(ISERROR(OFFSET(Tabella!$A$1,MATCH(H915,Tabella!$A:$A,0)-1,MATCH(J915,Tabella!$A$1:$AC$1,0)-1)=TRUE),0,+OFFSET(Tabella!$A$1,MATCH(H915,Tabella!$A:$A,0)-1,MATCH(J915,Tabella!$A$1:$AC$1,0)-1)),4)</f>
        <v>0</v>
      </c>
      <c r="L915" s="238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238">
        <f ca="1">ROUND(IF(ISERROR(OFFSET(Rame!$A$1,MATCH(H915,Rame!$A:$A,0)-1,MATCH(J915,Rame!$A$1:$AA$1,0)-1)=TRUE),0,OFFSET(Rame!$A$1,MATCH(H915,Rame!$A:$A,0)-1,MATCH(J915,Rame!$A$1:$AA$1,0)-1))*IF(E915="Rame",1,0),4)</f>
        <v>0</v>
      </c>
      <c r="N915" s="238">
        <v>0</v>
      </c>
      <c r="O915" s="238">
        <f t="shared" ca="1" si="334"/>
        <v>0</v>
      </c>
      <c r="P915" s="238">
        <f ca="1">ROUND(+IF(ISERROR(OFFSET(Tabella!$G$1,MATCH(H915,Tabella!$G:$G,0)-1,MATCH(I915,Tabella!$G$1:$FG$1,0)-1)=TRUE),0,OFFSET(Tabella!$G$1,MATCH(H915,Tabella!$G:$G,0)-1,MATCH(I915,Tabella!$G$1:$AB$1,0)-1)),4)</f>
        <v>0</v>
      </c>
      <c r="Q915" s="238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238">
        <f ca="1">ROUND(IF(ISERROR(OFFSET(Rame!$F$1,MATCH(H915,Rame!$F:$F,0)-1,MATCH(I915,Rame!$F$1:$FF$1,0)-1)=TRUE),0,OFFSET(Rame!$F$1,MATCH(H915,Rame!$F:$F,0)-1,MATCH(I915,Rame!$F$1:$FF$1,0)-1))*IF(E915="Rame",1,0),4)</f>
        <v>0</v>
      </c>
      <c r="S915" s="238">
        <f ca="1">ROUND(IF(ISERROR(OFFSET(Bronzo!$A$1,MATCH(H915,Bronzo!$A:$A,0)-1,MATCH(I915,Bronzo!$A$1:$AA$1,0)-1)=TRUE),0,OFFSET(Bronzo!$A$1,MATCH(H915,Bronzo!$A:$A,0)-1,MATCH(I915,Bronzo!$A$1:$AA$1,0)-1)),4)</f>
        <v>0</v>
      </c>
      <c r="T915" s="238">
        <f t="shared" ca="1" si="329"/>
        <v>0</v>
      </c>
      <c r="U915" s="237"/>
      <c r="V915" s="238">
        <v>0</v>
      </c>
      <c r="W915" s="239">
        <f t="shared" ca="1" si="330"/>
        <v>0</v>
      </c>
      <c r="X915" s="240">
        <f t="shared" si="328"/>
        <v>0</v>
      </c>
      <c r="Y915" s="236"/>
      <c r="Z915" s="236">
        <f t="shared" ca="1" si="331"/>
        <v>0</v>
      </c>
      <c r="AA915" s="241"/>
      <c r="AF915" s="225">
        <f t="shared" ca="1" si="335"/>
        <v>46236</v>
      </c>
      <c r="AG915" s="225" t="b">
        <f t="shared" si="143"/>
        <v>1</v>
      </c>
      <c r="AH915" s="242" t="str">
        <f t="shared" si="144"/>
        <v/>
      </c>
      <c r="AK915" s="223">
        <f t="shared" si="145"/>
        <v>0</v>
      </c>
      <c r="AL915" s="223">
        <f t="shared" si="146"/>
        <v>1900</v>
      </c>
      <c r="AS915" s="223">
        <f t="shared" si="332"/>
        <v>0</v>
      </c>
      <c r="AT915" s="223">
        <f t="shared" si="333"/>
        <v>0</v>
      </c>
    </row>
    <row r="916" spans="2:46" ht="15.75" x14ac:dyDescent="0.25">
      <c r="B916" s="229"/>
      <c r="C916" s="235"/>
      <c r="D916" s="243"/>
      <c r="E916" s="232"/>
      <c r="F916" s="233"/>
      <c r="G916" s="234"/>
      <c r="H916" s="235"/>
      <c r="I916" s="235"/>
      <c r="J916" s="236"/>
      <c r="K916" s="237">
        <f ca="1">ROUND(IF(ISERROR(OFFSET(Tabella!$A$1,MATCH(H916,Tabella!$A:$A,0)-1,MATCH(J916,Tabella!$A$1:$AC$1,0)-1)=TRUE),0,+OFFSET(Tabella!$A$1,MATCH(H916,Tabella!$A:$A,0)-1,MATCH(J916,Tabella!$A$1:$AC$1,0)-1)),4)</f>
        <v>0</v>
      </c>
      <c r="L916" s="238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238">
        <f ca="1">ROUND(IF(ISERROR(OFFSET(Rame!$A$1,MATCH(H916,Rame!$A:$A,0)-1,MATCH(J916,Rame!$A$1:$AA$1,0)-1)=TRUE),0,OFFSET(Rame!$A$1,MATCH(H916,Rame!$A:$A,0)-1,MATCH(J916,Rame!$A$1:$AA$1,0)-1))*IF(E916="Rame",1,0),4)</f>
        <v>0</v>
      </c>
      <c r="N916" s="238">
        <v>0</v>
      </c>
      <c r="O916" s="238">
        <f t="shared" ca="1" si="334"/>
        <v>0</v>
      </c>
      <c r="P916" s="238">
        <f ca="1">ROUND(+IF(ISERROR(OFFSET(Tabella!$G$1,MATCH(H916,Tabella!$G:$G,0)-1,MATCH(I916,Tabella!$G$1:$FG$1,0)-1)=TRUE),0,OFFSET(Tabella!$G$1,MATCH(H916,Tabella!$G:$G,0)-1,MATCH(I916,Tabella!$G$1:$AB$1,0)-1)),4)</f>
        <v>0</v>
      </c>
      <c r="Q916" s="238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238">
        <f ca="1">ROUND(IF(ISERROR(OFFSET(Rame!$F$1,MATCH(H916,Rame!$F:$F,0)-1,MATCH(I916,Rame!$F$1:$FF$1,0)-1)=TRUE),0,OFFSET(Rame!$F$1,MATCH(H916,Rame!$F:$F,0)-1,MATCH(I916,Rame!$F$1:$FF$1,0)-1))*IF(E916="Rame",1,0),4)</f>
        <v>0</v>
      </c>
      <c r="S916" s="238">
        <f ca="1">ROUND(IF(ISERROR(OFFSET(Bronzo!$A$1,MATCH(H916,Bronzo!$A:$A,0)-1,MATCH(I916,Bronzo!$A$1:$AA$1,0)-1)=TRUE),0,OFFSET(Bronzo!$A$1,MATCH(H916,Bronzo!$A:$A,0)-1,MATCH(I916,Bronzo!$A$1:$AA$1,0)-1)),4)</f>
        <v>0</v>
      </c>
      <c r="T916" s="238">
        <f t="shared" ca="1" si="329"/>
        <v>0</v>
      </c>
      <c r="U916" s="237"/>
      <c r="V916" s="238">
        <v>0</v>
      </c>
      <c r="W916" s="239">
        <f t="shared" ca="1" si="330"/>
        <v>0</v>
      </c>
      <c r="X916" s="240">
        <f t="shared" si="328"/>
        <v>0</v>
      </c>
      <c r="Y916" s="236"/>
      <c r="Z916" s="236">
        <f t="shared" ca="1" si="331"/>
        <v>0</v>
      </c>
      <c r="AA916" s="241"/>
      <c r="AF916" s="225">
        <f t="shared" ca="1" si="335"/>
        <v>46236</v>
      </c>
      <c r="AG916" s="225" t="b">
        <f t="shared" si="143"/>
        <v>1</v>
      </c>
      <c r="AH916" s="242" t="str">
        <f t="shared" si="144"/>
        <v/>
      </c>
      <c r="AK916" s="223">
        <f t="shared" si="145"/>
        <v>0</v>
      </c>
      <c r="AL916" s="223">
        <f t="shared" si="146"/>
        <v>1900</v>
      </c>
      <c r="AS916" s="223">
        <f t="shared" si="332"/>
        <v>0</v>
      </c>
      <c r="AT916" s="223">
        <f t="shared" si="333"/>
        <v>0</v>
      </c>
    </row>
    <row r="917" spans="2:46" ht="15.75" x14ac:dyDescent="0.25">
      <c r="B917" s="229"/>
      <c r="C917" s="235"/>
      <c r="D917" s="243"/>
      <c r="E917" s="232"/>
      <c r="F917" s="233"/>
      <c r="G917" s="234"/>
      <c r="H917" s="235"/>
      <c r="I917" s="235"/>
      <c r="J917" s="236"/>
      <c r="K917" s="237">
        <f ca="1">ROUND(IF(ISERROR(OFFSET(Tabella!$A$1,MATCH(H917,Tabella!$A:$A,0)-1,MATCH(J917,Tabella!$A$1:$AC$1,0)-1)=TRUE),0,+OFFSET(Tabella!$A$1,MATCH(H917,Tabella!$A:$A,0)-1,MATCH(J917,Tabella!$A$1:$AC$1,0)-1)),4)</f>
        <v>0</v>
      </c>
      <c r="L917" s="238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238">
        <f ca="1">ROUND(IF(ISERROR(OFFSET(Rame!$A$1,MATCH(H917,Rame!$A:$A,0)-1,MATCH(J917,Rame!$A$1:$AA$1,0)-1)=TRUE),0,OFFSET(Rame!$A$1,MATCH(H917,Rame!$A:$A,0)-1,MATCH(J917,Rame!$A$1:$AA$1,0)-1))*IF(E917="Rame",1,0),4)</f>
        <v>0</v>
      </c>
      <c r="N917" s="238">
        <v>0</v>
      </c>
      <c r="O917" s="238">
        <f t="shared" ca="1" si="334"/>
        <v>0</v>
      </c>
      <c r="P917" s="238">
        <f ca="1">ROUND(+IF(ISERROR(OFFSET(Tabella!$G$1,MATCH(H917,Tabella!$G:$G,0)-1,MATCH(I917,Tabella!$G$1:$FG$1,0)-1)=TRUE),0,OFFSET(Tabella!$G$1,MATCH(H917,Tabella!$G:$G,0)-1,MATCH(I917,Tabella!$G$1:$AB$1,0)-1)),4)</f>
        <v>0</v>
      </c>
      <c r="Q917" s="238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238">
        <f ca="1">ROUND(IF(ISERROR(OFFSET(Rame!$F$1,MATCH(H917,Rame!$F:$F,0)-1,MATCH(I917,Rame!$F$1:$FF$1,0)-1)=TRUE),0,OFFSET(Rame!$F$1,MATCH(H917,Rame!$F:$F,0)-1,MATCH(I917,Rame!$F$1:$FF$1,0)-1))*IF(E917="Rame",1,0),4)</f>
        <v>0</v>
      </c>
      <c r="S917" s="238">
        <f ca="1">ROUND(IF(ISERROR(OFFSET(Bronzo!$A$1,MATCH(H917,Bronzo!$A:$A,0)-1,MATCH(I917,Bronzo!$A$1:$AA$1,0)-1)=TRUE),0,OFFSET(Bronzo!$A$1,MATCH(H917,Bronzo!$A:$A,0)-1,MATCH(I917,Bronzo!$A$1:$AA$1,0)-1)),4)</f>
        <v>0</v>
      </c>
      <c r="T917" s="238">
        <f t="shared" ca="1" si="329"/>
        <v>0</v>
      </c>
      <c r="U917" s="237"/>
      <c r="V917" s="238">
        <v>0</v>
      </c>
      <c r="W917" s="239">
        <f t="shared" ca="1" si="330"/>
        <v>0</v>
      </c>
      <c r="X917" s="240">
        <f t="shared" si="328"/>
        <v>0</v>
      </c>
      <c r="Y917" s="236"/>
      <c r="Z917" s="236">
        <f t="shared" ca="1" si="331"/>
        <v>0</v>
      </c>
      <c r="AA917" s="241"/>
      <c r="AF917" s="225">
        <f t="shared" ca="1" si="335"/>
        <v>46236</v>
      </c>
      <c r="AG917" s="225" t="b">
        <f t="shared" si="143"/>
        <v>1</v>
      </c>
      <c r="AH917" s="242" t="str">
        <f t="shared" si="144"/>
        <v/>
      </c>
      <c r="AK917" s="223">
        <f t="shared" si="145"/>
        <v>0</v>
      </c>
      <c r="AL917" s="223">
        <f t="shared" si="146"/>
        <v>1900</v>
      </c>
      <c r="AS917" s="223">
        <f t="shared" si="332"/>
        <v>0</v>
      </c>
      <c r="AT917" s="223">
        <f t="shared" si="333"/>
        <v>0</v>
      </c>
    </row>
    <row r="918" spans="2:46" ht="15.75" x14ac:dyDescent="0.25">
      <c r="B918" s="229"/>
      <c r="C918" s="235"/>
      <c r="D918" s="243"/>
      <c r="E918" s="232"/>
      <c r="F918" s="233"/>
      <c r="G918" s="234"/>
      <c r="H918" s="235"/>
      <c r="I918" s="235"/>
      <c r="J918" s="236"/>
      <c r="K918" s="237">
        <f ca="1">ROUND(IF(ISERROR(OFFSET(Tabella!$A$1,MATCH(H918,Tabella!$A:$A,0)-1,MATCH(J918,Tabella!$A$1:$AC$1,0)-1)=TRUE),0,+OFFSET(Tabella!$A$1,MATCH(H918,Tabella!$A:$A,0)-1,MATCH(J918,Tabella!$A$1:$AC$1,0)-1)),4)</f>
        <v>0</v>
      </c>
      <c r="L918" s="238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238">
        <f ca="1">ROUND(IF(ISERROR(OFFSET(Rame!$A$1,MATCH(H918,Rame!$A:$A,0)-1,MATCH(J918,Rame!$A$1:$AA$1,0)-1)=TRUE),0,OFFSET(Rame!$A$1,MATCH(H918,Rame!$A:$A,0)-1,MATCH(J918,Rame!$A$1:$AA$1,0)-1))*IF(E918="Rame",1,0),4)</f>
        <v>0</v>
      </c>
      <c r="N918" s="238">
        <v>0</v>
      </c>
      <c r="O918" s="238">
        <f t="shared" ca="1" si="334"/>
        <v>0</v>
      </c>
      <c r="P918" s="238">
        <f ca="1">ROUND(+IF(ISERROR(OFFSET(Tabella!$G$1,MATCH(H918,Tabella!$G:$G,0)-1,MATCH(I918,Tabella!$G$1:$FG$1,0)-1)=TRUE),0,OFFSET(Tabella!$G$1,MATCH(H918,Tabella!$G:$G,0)-1,MATCH(I918,Tabella!$G$1:$AB$1,0)-1)),4)</f>
        <v>0</v>
      </c>
      <c r="Q918" s="238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238">
        <f ca="1">ROUND(IF(ISERROR(OFFSET(Rame!$F$1,MATCH(H918,Rame!$F:$F,0)-1,MATCH(I918,Rame!$F$1:$FF$1,0)-1)=TRUE),0,OFFSET(Rame!$F$1,MATCH(H918,Rame!$F:$F,0)-1,MATCH(I918,Rame!$F$1:$FF$1,0)-1))*IF(E918="Rame",1,0),4)</f>
        <v>0</v>
      </c>
      <c r="S918" s="238">
        <f ca="1">ROUND(IF(ISERROR(OFFSET(Bronzo!$A$1,MATCH(H918,Bronzo!$A:$A,0)-1,MATCH(I918,Bronzo!$A$1:$AA$1,0)-1)=TRUE),0,OFFSET(Bronzo!$A$1,MATCH(H918,Bronzo!$A:$A,0)-1,MATCH(I918,Bronzo!$A$1:$AA$1,0)-1)),4)</f>
        <v>0</v>
      </c>
      <c r="T918" s="238">
        <f t="shared" ca="1" si="329"/>
        <v>0</v>
      </c>
      <c r="U918" s="237"/>
      <c r="V918" s="238">
        <v>0</v>
      </c>
      <c r="W918" s="239">
        <f t="shared" ca="1" si="330"/>
        <v>0</v>
      </c>
      <c r="X918" s="240">
        <f t="shared" si="328"/>
        <v>0</v>
      </c>
      <c r="Y918" s="236"/>
      <c r="Z918" s="236">
        <f t="shared" ca="1" si="331"/>
        <v>0</v>
      </c>
      <c r="AA918" s="241"/>
      <c r="AF918" s="225">
        <f t="shared" ca="1" si="335"/>
        <v>46236</v>
      </c>
      <c r="AG918" s="225" t="b">
        <f t="shared" si="143"/>
        <v>1</v>
      </c>
      <c r="AH918" s="242" t="str">
        <f t="shared" si="144"/>
        <v/>
      </c>
      <c r="AK918" s="223">
        <f t="shared" si="145"/>
        <v>0</v>
      </c>
      <c r="AL918" s="223">
        <f t="shared" si="146"/>
        <v>1900</v>
      </c>
      <c r="AS918" s="223">
        <f t="shared" si="332"/>
        <v>0</v>
      </c>
      <c r="AT918" s="223">
        <f t="shared" si="333"/>
        <v>0</v>
      </c>
    </row>
    <row r="919" spans="2:46" ht="15.75" x14ac:dyDescent="0.25">
      <c r="B919" s="229"/>
      <c r="C919" s="235"/>
      <c r="D919" s="243"/>
      <c r="E919" s="232"/>
      <c r="F919" s="233"/>
      <c r="G919" s="234"/>
      <c r="H919" s="235"/>
      <c r="I919" s="235"/>
      <c r="J919" s="236"/>
      <c r="K919" s="237">
        <f ca="1">ROUND(IF(ISERROR(OFFSET(Tabella!$A$1,MATCH(H919,Tabella!$A:$A,0)-1,MATCH(J919,Tabella!$A$1:$AC$1,0)-1)=TRUE),0,+OFFSET(Tabella!$A$1,MATCH(H919,Tabella!$A:$A,0)-1,MATCH(J919,Tabella!$A$1:$AC$1,0)-1)),4)</f>
        <v>0</v>
      </c>
      <c r="L919" s="238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238">
        <f ca="1">ROUND(IF(ISERROR(OFFSET(Rame!$A$1,MATCH(H919,Rame!$A:$A,0)-1,MATCH(J919,Rame!$A$1:$AA$1,0)-1)=TRUE),0,OFFSET(Rame!$A$1,MATCH(H919,Rame!$A:$A,0)-1,MATCH(J919,Rame!$A$1:$AA$1,0)-1))*IF(E919="Rame",1,0),4)</f>
        <v>0</v>
      </c>
      <c r="N919" s="238">
        <v>0</v>
      </c>
      <c r="O919" s="238">
        <f t="shared" ca="1" si="334"/>
        <v>0</v>
      </c>
      <c r="P919" s="238">
        <f ca="1">ROUND(+IF(ISERROR(OFFSET(Tabella!$G$1,MATCH(H919,Tabella!$G:$G,0)-1,MATCH(I919,Tabella!$G$1:$FG$1,0)-1)=TRUE),0,OFFSET(Tabella!$G$1,MATCH(H919,Tabella!$G:$G,0)-1,MATCH(I919,Tabella!$G$1:$AB$1,0)-1)),4)</f>
        <v>0</v>
      </c>
      <c r="Q919" s="238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238">
        <f ca="1">ROUND(IF(ISERROR(OFFSET(Rame!$F$1,MATCH(H919,Rame!$F:$F,0)-1,MATCH(I919,Rame!$F$1:$FF$1,0)-1)=TRUE),0,OFFSET(Rame!$F$1,MATCH(H919,Rame!$F:$F,0)-1,MATCH(I919,Rame!$F$1:$FF$1,0)-1))*IF(E919="Rame",1,0),4)</f>
        <v>0</v>
      </c>
      <c r="S919" s="238">
        <f ca="1">ROUND(IF(ISERROR(OFFSET(Bronzo!$A$1,MATCH(H919,Bronzo!$A:$A,0)-1,MATCH(I919,Bronzo!$A$1:$AA$1,0)-1)=TRUE),0,OFFSET(Bronzo!$A$1,MATCH(H919,Bronzo!$A:$A,0)-1,MATCH(I919,Bronzo!$A$1:$AA$1,0)-1)),4)</f>
        <v>0</v>
      </c>
      <c r="T919" s="238">
        <f t="shared" ca="1" si="329"/>
        <v>0</v>
      </c>
      <c r="U919" s="237"/>
      <c r="V919" s="238">
        <v>0</v>
      </c>
      <c r="W919" s="239">
        <f t="shared" ca="1" si="330"/>
        <v>0</v>
      </c>
      <c r="X919" s="240">
        <f t="shared" si="328"/>
        <v>0</v>
      </c>
      <c r="Y919" s="236"/>
      <c r="Z919" s="236">
        <f t="shared" ca="1" si="331"/>
        <v>0</v>
      </c>
      <c r="AA919" s="241"/>
      <c r="AF919" s="225">
        <f t="shared" ca="1" si="335"/>
        <v>46236</v>
      </c>
      <c r="AG919" s="225" t="b">
        <f t="shared" si="143"/>
        <v>1</v>
      </c>
      <c r="AH919" s="242" t="str">
        <f t="shared" si="144"/>
        <v/>
      </c>
      <c r="AK919" s="223">
        <f t="shared" si="145"/>
        <v>0</v>
      </c>
      <c r="AL919" s="223">
        <f t="shared" si="146"/>
        <v>1900</v>
      </c>
      <c r="AS919" s="223">
        <f t="shared" si="332"/>
        <v>0</v>
      </c>
      <c r="AT919" s="223">
        <f t="shared" si="333"/>
        <v>0</v>
      </c>
    </row>
    <row r="920" spans="2:46" ht="15.75" x14ac:dyDescent="0.25">
      <c r="B920" s="229"/>
      <c r="C920" s="235"/>
      <c r="D920" s="243"/>
      <c r="E920" s="232"/>
      <c r="F920" s="233"/>
      <c r="G920" s="234"/>
      <c r="H920" s="235"/>
      <c r="I920" s="235"/>
      <c r="J920" s="236"/>
      <c r="K920" s="237">
        <f ca="1">ROUND(IF(ISERROR(OFFSET(Tabella!$A$1,MATCH(H920,Tabella!$A:$A,0)-1,MATCH(J920,Tabella!$A$1:$AC$1,0)-1)=TRUE),0,+OFFSET(Tabella!$A$1,MATCH(H920,Tabella!$A:$A,0)-1,MATCH(J920,Tabella!$A$1:$AC$1,0)-1)),4)</f>
        <v>0</v>
      </c>
      <c r="L920" s="238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238">
        <f ca="1">ROUND(IF(ISERROR(OFFSET(Rame!$A$1,MATCH(H920,Rame!$A:$A,0)-1,MATCH(J920,Rame!$A$1:$AA$1,0)-1)=TRUE),0,OFFSET(Rame!$A$1,MATCH(H920,Rame!$A:$A,0)-1,MATCH(J920,Rame!$A$1:$AA$1,0)-1))*IF(E920="Rame",1,0),4)</f>
        <v>0</v>
      </c>
      <c r="N920" s="238">
        <v>0</v>
      </c>
      <c r="O920" s="238">
        <f t="shared" ca="1" si="334"/>
        <v>0</v>
      </c>
      <c r="P920" s="238">
        <f ca="1">ROUND(+IF(ISERROR(OFFSET(Tabella!$G$1,MATCH(H920,Tabella!$G:$G,0)-1,MATCH(I920,Tabella!$G$1:$FG$1,0)-1)=TRUE),0,OFFSET(Tabella!$G$1,MATCH(H920,Tabella!$G:$G,0)-1,MATCH(I920,Tabella!$G$1:$AB$1,0)-1)),4)</f>
        <v>0</v>
      </c>
      <c r="Q920" s="238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238">
        <f ca="1">ROUND(IF(ISERROR(OFFSET(Rame!$F$1,MATCH(H920,Rame!$F:$F,0)-1,MATCH(I920,Rame!$F$1:$FF$1,0)-1)=TRUE),0,OFFSET(Rame!$F$1,MATCH(H920,Rame!$F:$F,0)-1,MATCH(I920,Rame!$F$1:$FF$1,0)-1))*IF(E920="Rame",1,0),4)</f>
        <v>0</v>
      </c>
      <c r="S920" s="238">
        <f ca="1">ROUND(IF(ISERROR(OFFSET(Bronzo!$A$1,MATCH(H920,Bronzo!$A:$A,0)-1,MATCH(I920,Bronzo!$A$1:$AA$1,0)-1)=TRUE),0,OFFSET(Bronzo!$A$1,MATCH(H920,Bronzo!$A:$A,0)-1,MATCH(I920,Bronzo!$A$1:$AA$1,0)-1)),4)</f>
        <v>0</v>
      </c>
      <c r="T920" s="238">
        <f t="shared" ca="1" si="329"/>
        <v>0</v>
      </c>
      <c r="U920" s="237"/>
      <c r="V920" s="238">
        <v>0</v>
      </c>
      <c r="W920" s="239">
        <f t="shared" ca="1" si="330"/>
        <v>0</v>
      </c>
      <c r="X920" s="240">
        <f t="shared" si="328"/>
        <v>0</v>
      </c>
      <c r="Y920" s="236"/>
      <c r="Z920" s="236">
        <f t="shared" ca="1" si="331"/>
        <v>0</v>
      </c>
      <c r="AA920" s="241"/>
      <c r="AF920" s="225">
        <f t="shared" ca="1" si="335"/>
        <v>46236</v>
      </c>
      <c r="AG920" s="225" t="b">
        <f t="shared" si="143"/>
        <v>1</v>
      </c>
      <c r="AH920" s="242" t="str">
        <f t="shared" si="144"/>
        <v/>
      </c>
      <c r="AK920" s="223">
        <f t="shared" si="145"/>
        <v>0</v>
      </c>
      <c r="AL920" s="223">
        <f t="shared" si="146"/>
        <v>1900</v>
      </c>
      <c r="AS920" s="223">
        <f t="shared" si="332"/>
        <v>0</v>
      </c>
      <c r="AT920" s="223">
        <f t="shared" si="333"/>
        <v>0</v>
      </c>
    </row>
    <row r="921" spans="2:46" ht="15.75" x14ac:dyDescent="0.25">
      <c r="B921" s="229"/>
      <c r="C921" s="235"/>
      <c r="D921" s="243"/>
      <c r="E921" s="232"/>
      <c r="F921" s="233"/>
      <c r="G921" s="234"/>
      <c r="H921" s="235"/>
      <c r="I921" s="235"/>
      <c r="J921" s="236"/>
      <c r="K921" s="237">
        <f ca="1">ROUND(IF(ISERROR(OFFSET(Tabella!$A$1,MATCH(H921,Tabella!$A:$A,0)-1,MATCH(J921,Tabella!$A$1:$AC$1,0)-1)=TRUE),0,+OFFSET(Tabella!$A$1,MATCH(H921,Tabella!$A:$A,0)-1,MATCH(J921,Tabella!$A$1:$AC$1,0)-1)),4)</f>
        <v>0</v>
      </c>
      <c r="L921" s="238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238">
        <f ca="1">ROUND(IF(ISERROR(OFFSET(Rame!$A$1,MATCH(H921,Rame!$A:$A,0)-1,MATCH(J921,Rame!$A$1:$AA$1,0)-1)=TRUE),0,OFFSET(Rame!$A$1,MATCH(H921,Rame!$A:$A,0)-1,MATCH(J921,Rame!$A$1:$AA$1,0)-1))*IF(E921="Rame",1,0),4)</f>
        <v>0</v>
      </c>
      <c r="N921" s="238">
        <v>0</v>
      </c>
      <c r="O921" s="238">
        <f t="shared" ca="1" si="334"/>
        <v>0</v>
      </c>
      <c r="P921" s="238">
        <f ca="1">ROUND(+IF(ISERROR(OFFSET(Tabella!$G$1,MATCH(H921,Tabella!$G:$G,0)-1,MATCH(I921,Tabella!$G$1:$FG$1,0)-1)=TRUE),0,OFFSET(Tabella!$G$1,MATCH(H921,Tabella!$G:$G,0)-1,MATCH(I921,Tabella!$G$1:$AB$1,0)-1)),4)</f>
        <v>0</v>
      </c>
      <c r="Q921" s="238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238">
        <f ca="1">ROUND(IF(ISERROR(OFFSET(Rame!$F$1,MATCH(H921,Rame!$F:$F,0)-1,MATCH(I921,Rame!$F$1:$FF$1,0)-1)=TRUE),0,OFFSET(Rame!$F$1,MATCH(H921,Rame!$F:$F,0)-1,MATCH(I921,Rame!$F$1:$FF$1,0)-1))*IF(E921="Rame",1,0),4)</f>
        <v>0</v>
      </c>
      <c r="S921" s="238">
        <f ca="1">ROUND(IF(ISERROR(OFFSET(Bronzo!$A$1,MATCH(H921,Bronzo!$A:$A,0)-1,MATCH(I921,Bronzo!$A$1:$AA$1,0)-1)=TRUE),0,OFFSET(Bronzo!$A$1,MATCH(H921,Bronzo!$A:$A,0)-1,MATCH(I921,Bronzo!$A$1:$AA$1,0)-1)),4)</f>
        <v>0</v>
      </c>
      <c r="T921" s="238">
        <f t="shared" ca="1" si="329"/>
        <v>0</v>
      </c>
      <c r="U921" s="237"/>
      <c r="V921" s="238">
        <v>0</v>
      </c>
      <c r="W921" s="239">
        <f t="shared" ca="1" si="330"/>
        <v>0</v>
      </c>
      <c r="X921" s="240">
        <f t="shared" si="328"/>
        <v>0</v>
      </c>
      <c r="Y921" s="236"/>
      <c r="Z921" s="236">
        <f t="shared" ca="1" si="331"/>
        <v>0</v>
      </c>
      <c r="AA921" s="241"/>
      <c r="AF921" s="225">
        <f t="shared" ca="1" si="335"/>
        <v>46236</v>
      </c>
      <c r="AG921" s="225" t="b">
        <f t="shared" si="143"/>
        <v>1</v>
      </c>
      <c r="AH921" s="242" t="str">
        <f t="shared" si="144"/>
        <v/>
      </c>
      <c r="AK921" s="223">
        <f t="shared" si="145"/>
        <v>0</v>
      </c>
      <c r="AL921" s="223">
        <f t="shared" si="146"/>
        <v>1900</v>
      </c>
      <c r="AS921" s="223">
        <f t="shared" si="332"/>
        <v>0</v>
      </c>
      <c r="AT921" s="223">
        <f t="shared" si="333"/>
        <v>0</v>
      </c>
    </row>
    <row r="922" spans="2:46" ht="15.75" x14ac:dyDescent="0.25">
      <c r="B922" s="229"/>
      <c r="C922" s="235"/>
      <c r="D922" s="243"/>
      <c r="E922" s="232"/>
      <c r="F922" s="233"/>
      <c r="G922" s="234"/>
      <c r="H922" s="235"/>
      <c r="I922" s="235"/>
      <c r="J922" s="236"/>
      <c r="K922" s="237">
        <f ca="1">ROUND(IF(ISERROR(OFFSET(Tabella!$A$1,MATCH(H922,Tabella!$A:$A,0)-1,MATCH(J922,Tabella!$A$1:$AC$1,0)-1)=TRUE),0,+OFFSET(Tabella!$A$1,MATCH(H922,Tabella!$A:$A,0)-1,MATCH(J922,Tabella!$A$1:$AC$1,0)-1)),4)</f>
        <v>0</v>
      </c>
      <c r="L922" s="238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238">
        <f ca="1">ROUND(IF(ISERROR(OFFSET(Rame!$A$1,MATCH(H922,Rame!$A:$A,0)-1,MATCH(J922,Rame!$A$1:$AA$1,0)-1)=TRUE),0,OFFSET(Rame!$A$1,MATCH(H922,Rame!$A:$A,0)-1,MATCH(J922,Rame!$A$1:$AA$1,0)-1))*IF(E922="Rame",1,0),4)</f>
        <v>0</v>
      </c>
      <c r="N922" s="238">
        <v>0</v>
      </c>
      <c r="O922" s="238">
        <f t="shared" ca="1" si="334"/>
        <v>0</v>
      </c>
      <c r="P922" s="238">
        <f ca="1">ROUND(+IF(ISERROR(OFFSET(Tabella!$G$1,MATCH(H922,Tabella!$G:$G,0)-1,MATCH(I922,Tabella!$G$1:$FG$1,0)-1)=TRUE),0,OFFSET(Tabella!$G$1,MATCH(H922,Tabella!$G:$G,0)-1,MATCH(I922,Tabella!$G$1:$AB$1,0)-1)),4)</f>
        <v>0</v>
      </c>
      <c r="Q922" s="238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238">
        <f ca="1">ROUND(IF(ISERROR(OFFSET(Rame!$F$1,MATCH(H922,Rame!$F:$F,0)-1,MATCH(I922,Rame!$F$1:$FF$1,0)-1)=TRUE),0,OFFSET(Rame!$F$1,MATCH(H922,Rame!$F:$F,0)-1,MATCH(I922,Rame!$F$1:$FF$1,0)-1))*IF(E922="Rame",1,0),4)</f>
        <v>0</v>
      </c>
      <c r="S922" s="238">
        <f ca="1">ROUND(IF(ISERROR(OFFSET(Bronzo!$A$1,MATCH(H922,Bronzo!$A:$A,0)-1,MATCH(I922,Bronzo!$A$1:$AA$1,0)-1)=TRUE),0,OFFSET(Bronzo!$A$1,MATCH(H922,Bronzo!$A:$A,0)-1,MATCH(I922,Bronzo!$A$1:$AA$1,0)-1)),4)</f>
        <v>0</v>
      </c>
      <c r="T922" s="238">
        <f t="shared" ca="1" si="329"/>
        <v>0</v>
      </c>
      <c r="U922" s="237"/>
      <c r="V922" s="238">
        <v>0</v>
      </c>
      <c r="W922" s="239">
        <f t="shared" ca="1" si="330"/>
        <v>0</v>
      </c>
      <c r="X922" s="240">
        <f t="shared" si="328"/>
        <v>0</v>
      </c>
      <c r="Y922" s="236"/>
      <c r="Z922" s="236">
        <f t="shared" ca="1" si="331"/>
        <v>0</v>
      </c>
      <c r="AA922" s="241"/>
      <c r="AF922" s="225">
        <f t="shared" ca="1" si="335"/>
        <v>46236</v>
      </c>
      <c r="AG922" s="225" t="b">
        <f t="shared" si="143"/>
        <v>1</v>
      </c>
      <c r="AH922" s="242" t="str">
        <f t="shared" si="144"/>
        <v/>
      </c>
      <c r="AK922" s="223">
        <f t="shared" si="145"/>
        <v>0</v>
      </c>
      <c r="AL922" s="223">
        <f t="shared" si="146"/>
        <v>1900</v>
      </c>
      <c r="AS922" s="223">
        <f t="shared" si="332"/>
        <v>0</v>
      </c>
      <c r="AT922" s="223">
        <f t="shared" si="333"/>
        <v>0</v>
      </c>
    </row>
    <row r="923" spans="2:46" ht="15.75" x14ac:dyDescent="0.25">
      <c r="B923" s="229"/>
      <c r="C923" s="235"/>
      <c r="D923" s="243"/>
      <c r="E923" s="232"/>
      <c r="F923" s="233"/>
      <c r="G923" s="234"/>
      <c r="H923" s="235"/>
      <c r="I923" s="235"/>
      <c r="J923" s="236"/>
      <c r="K923" s="237">
        <f ca="1">ROUND(IF(ISERROR(OFFSET(Tabella!$A$1,MATCH(H923,Tabella!$A:$A,0)-1,MATCH(J923,Tabella!$A$1:$AC$1,0)-1)=TRUE),0,+OFFSET(Tabella!$A$1,MATCH(H923,Tabella!$A:$A,0)-1,MATCH(J923,Tabella!$A$1:$AC$1,0)-1)),4)</f>
        <v>0</v>
      </c>
      <c r="L923" s="238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238">
        <f ca="1">ROUND(IF(ISERROR(OFFSET(Rame!$A$1,MATCH(H923,Rame!$A:$A,0)-1,MATCH(J923,Rame!$A$1:$AA$1,0)-1)=TRUE),0,OFFSET(Rame!$A$1,MATCH(H923,Rame!$A:$A,0)-1,MATCH(J923,Rame!$A$1:$AA$1,0)-1))*IF(E923="Rame",1,0),4)</f>
        <v>0</v>
      </c>
      <c r="N923" s="238">
        <v>0</v>
      </c>
      <c r="O923" s="238">
        <f t="shared" ca="1" si="334"/>
        <v>0</v>
      </c>
      <c r="P923" s="238">
        <f ca="1">ROUND(+IF(ISERROR(OFFSET(Tabella!$G$1,MATCH(H923,Tabella!$G:$G,0)-1,MATCH(I923,Tabella!$G$1:$FG$1,0)-1)=TRUE),0,OFFSET(Tabella!$G$1,MATCH(H923,Tabella!$G:$G,0)-1,MATCH(I923,Tabella!$G$1:$AB$1,0)-1)),4)</f>
        <v>0</v>
      </c>
      <c r="Q923" s="238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238">
        <f ca="1">ROUND(IF(ISERROR(OFFSET(Rame!$F$1,MATCH(H923,Rame!$F:$F,0)-1,MATCH(I923,Rame!$F$1:$FF$1,0)-1)=TRUE),0,OFFSET(Rame!$F$1,MATCH(H923,Rame!$F:$F,0)-1,MATCH(I923,Rame!$F$1:$FF$1,0)-1))*IF(E923="Rame",1,0),4)</f>
        <v>0</v>
      </c>
      <c r="S923" s="238">
        <f ca="1">ROUND(IF(ISERROR(OFFSET(Bronzo!$A$1,MATCH(H923,Bronzo!$A:$A,0)-1,MATCH(I923,Bronzo!$A$1:$AA$1,0)-1)=TRUE),0,OFFSET(Bronzo!$A$1,MATCH(H923,Bronzo!$A:$A,0)-1,MATCH(I923,Bronzo!$A$1:$AA$1,0)-1)),4)</f>
        <v>0</v>
      </c>
      <c r="T923" s="238">
        <f t="shared" ca="1" si="329"/>
        <v>0</v>
      </c>
      <c r="U923" s="237"/>
      <c r="V923" s="238">
        <v>0</v>
      </c>
      <c r="W923" s="239">
        <f t="shared" ca="1" si="330"/>
        <v>0</v>
      </c>
      <c r="X923" s="240">
        <f t="shared" si="328"/>
        <v>0</v>
      </c>
      <c r="Y923" s="236"/>
      <c r="Z923" s="236">
        <f t="shared" ca="1" si="331"/>
        <v>0</v>
      </c>
      <c r="AA923" s="241"/>
      <c r="AF923" s="225">
        <f t="shared" ca="1" si="335"/>
        <v>46236</v>
      </c>
      <c r="AG923" s="225" t="b">
        <f t="shared" si="143"/>
        <v>1</v>
      </c>
      <c r="AH923" s="242" t="str">
        <f t="shared" si="144"/>
        <v/>
      </c>
      <c r="AK923" s="223">
        <f t="shared" si="145"/>
        <v>0</v>
      </c>
      <c r="AL923" s="223">
        <f t="shared" si="146"/>
        <v>1900</v>
      </c>
      <c r="AS923" s="223">
        <f t="shared" si="332"/>
        <v>0</v>
      </c>
      <c r="AT923" s="223">
        <f t="shared" si="333"/>
        <v>0</v>
      </c>
    </row>
    <row r="924" spans="2:46" ht="15.75" x14ac:dyDescent="0.25">
      <c r="B924" s="229"/>
      <c r="C924" s="235"/>
      <c r="D924" s="243"/>
      <c r="E924" s="232"/>
      <c r="F924" s="233"/>
      <c r="G924" s="234"/>
      <c r="H924" s="235"/>
      <c r="I924" s="235"/>
      <c r="J924" s="236"/>
      <c r="K924" s="237">
        <f ca="1">ROUND(IF(ISERROR(OFFSET(Tabella!$A$1,MATCH(H924,Tabella!$A:$A,0)-1,MATCH(J924,Tabella!$A$1:$AC$1,0)-1)=TRUE),0,+OFFSET(Tabella!$A$1,MATCH(H924,Tabella!$A:$A,0)-1,MATCH(J924,Tabella!$A$1:$AC$1,0)-1)),4)</f>
        <v>0</v>
      </c>
      <c r="L924" s="238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238">
        <f ca="1">ROUND(IF(ISERROR(OFFSET(Rame!$A$1,MATCH(H924,Rame!$A:$A,0)-1,MATCH(J924,Rame!$A$1:$AA$1,0)-1)=TRUE),0,OFFSET(Rame!$A$1,MATCH(H924,Rame!$A:$A,0)-1,MATCH(J924,Rame!$A$1:$AA$1,0)-1))*IF(E924="Rame",1,0),4)</f>
        <v>0</v>
      </c>
      <c r="N924" s="238">
        <v>0</v>
      </c>
      <c r="O924" s="238">
        <f t="shared" ca="1" si="334"/>
        <v>0</v>
      </c>
      <c r="P924" s="238">
        <f ca="1">ROUND(+IF(ISERROR(OFFSET(Tabella!$G$1,MATCH(H924,Tabella!$G:$G,0)-1,MATCH(I924,Tabella!$G$1:$FG$1,0)-1)=TRUE),0,OFFSET(Tabella!$G$1,MATCH(H924,Tabella!$G:$G,0)-1,MATCH(I924,Tabella!$G$1:$AB$1,0)-1)),4)</f>
        <v>0</v>
      </c>
      <c r="Q924" s="238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238">
        <f ca="1">ROUND(IF(ISERROR(OFFSET(Rame!$F$1,MATCH(H924,Rame!$F:$F,0)-1,MATCH(I924,Rame!$F$1:$FF$1,0)-1)=TRUE),0,OFFSET(Rame!$F$1,MATCH(H924,Rame!$F:$F,0)-1,MATCH(I924,Rame!$F$1:$FF$1,0)-1))*IF(E924="Rame",1,0),4)</f>
        <v>0</v>
      </c>
      <c r="S924" s="238">
        <f ca="1">ROUND(IF(ISERROR(OFFSET(Bronzo!$A$1,MATCH(H924,Bronzo!$A:$A,0)-1,MATCH(I924,Bronzo!$A$1:$AA$1,0)-1)=TRUE),0,OFFSET(Bronzo!$A$1,MATCH(H924,Bronzo!$A:$A,0)-1,MATCH(I924,Bronzo!$A$1:$AA$1,0)-1)),4)</f>
        <v>0</v>
      </c>
      <c r="T924" s="238">
        <f t="shared" ca="1" si="329"/>
        <v>0</v>
      </c>
      <c r="U924" s="237"/>
      <c r="V924" s="238">
        <v>0</v>
      </c>
      <c r="W924" s="239">
        <f t="shared" ca="1" si="330"/>
        <v>0</v>
      </c>
      <c r="X924" s="240">
        <f t="shared" ref="X924:X987" si="336">ROUND(+J924*D924,4)</f>
        <v>0</v>
      </c>
      <c r="Y924" s="236"/>
      <c r="Z924" s="236">
        <f t="shared" ca="1" si="331"/>
        <v>0</v>
      </c>
      <c r="AA924" s="241"/>
      <c r="AF924" s="225">
        <f t="shared" ca="1" si="335"/>
        <v>46236</v>
      </c>
      <c r="AG924" s="225" t="b">
        <f t="shared" si="143"/>
        <v>1</v>
      </c>
      <c r="AH924" s="242" t="str">
        <f t="shared" si="144"/>
        <v/>
      </c>
      <c r="AK924" s="223">
        <f t="shared" si="145"/>
        <v>0</v>
      </c>
      <c r="AL924" s="223">
        <f t="shared" si="146"/>
        <v>1900</v>
      </c>
      <c r="AS924" s="223">
        <f t="shared" si="332"/>
        <v>0</v>
      </c>
      <c r="AT924" s="223">
        <f t="shared" si="333"/>
        <v>0</v>
      </c>
    </row>
    <row r="925" spans="2:46" ht="15.75" x14ac:dyDescent="0.25">
      <c r="B925" s="229"/>
      <c r="C925" s="235"/>
      <c r="D925" s="243"/>
      <c r="E925" s="232"/>
      <c r="F925" s="233"/>
      <c r="G925" s="234"/>
      <c r="H925" s="235"/>
      <c r="I925" s="235"/>
      <c r="J925" s="236"/>
      <c r="K925" s="237">
        <f ca="1">ROUND(IF(ISERROR(OFFSET(Tabella!$A$1,MATCH(H925,Tabella!$A:$A,0)-1,MATCH(J925,Tabella!$A$1:$AC$1,0)-1)=TRUE),0,+OFFSET(Tabella!$A$1,MATCH(H925,Tabella!$A:$A,0)-1,MATCH(J925,Tabella!$A$1:$AC$1,0)-1)),4)</f>
        <v>0</v>
      </c>
      <c r="L925" s="238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238">
        <f ca="1">ROUND(IF(ISERROR(OFFSET(Rame!$A$1,MATCH(H925,Rame!$A:$A,0)-1,MATCH(J925,Rame!$A$1:$AA$1,0)-1)=TRUE),0,OFFSET(Rame!$A$1,MATCH(H925,Rame!$A:$A,0)-1,MATCH(J925,Rame!$A$1:$AA$1,0)-1))*IF(E925="Rame",1,0),4)</f>
        <v>0</v>
      </c>
      <c r="N925" s="238">
        <v>0</v>
      </c>
      <c r="O925" s="238">
        <f t="shared" ca="1" si="334"/>
        <v>0</v>
      </c>
      <c r="P925" s="238">
        <f ca="1">ROUND(+IF(ISERROR(OFFSET(Tabella!$G$1,MATCH(H925,Tabella!$G:$G,0)-1,MATCH(I925,Tabella!$G$1:$FG$1,0)-1)=TRUE),0,OFFSET(Tabella!$G$1,MATCH(H925,Tabella!$G:$G,0)-1,MATCH(I925,Tabella!$G$1:$AB$1,0)-1)),4)</f>
        <v>0</v>
      </c>
      <c r="Q925" s="238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238">
        <f ca="1">ROUND(IF(ISERROR(OFFSET(Rame!$F$1,MATCH(H925,Rame!$F:$F,0)-1,MATCH(I925,Rame!$F$1:$FF$1,0)-1)=TRUE),0,OFFSET(Rame!$F$1,MATCH(H925,Rame!$F:$F,0)-1,MATCH(I925,Rame!$F$1:$FF$1,0)-1))*IF(E925="Rame",1,0),4)</f>
        <v>0</v>
      </c>
      <c r="S925" s="238">
        <f ca="1">ROUND(IF(ISERROR(OFFSET(Bronzo!$A$1,MATCH(H925,Bronzo!$A:$A,0)-1,MATCH(I925,Bronzo!$A$1:$AA$1,0)-1)=TRUE),0,OFFSET(Bronzo!$A$1,MATCH(H925,Bronzo!$A:$A,0)-1,MATCH(I925,Bronzo!$A$1:$AA$1,0)-1)),4)</f>
        <v>0</v>
      </c>
      <c r="T925" s="238">
        <f t="shared" ca="1" si="329"/>
        <v>0</v>
      </c>
      <c r="U925" s="237"/>
      <c r="V925" s="238">
        <v>0</v>
      </c>
      <c r="W925" s="239">
        <f t="shared" ca="1" si="330"/>
        <v>0</v>
      </c>
      <c r="X925" s="240">
        <f t="shared" si="336"/>
        <v>0</v>
      </c>
      <c r="Y925" s="236"/>
      <c r="Z925" s="236">
        <f t="shared" ca="1" si="331"/>
        <v>0</v>
      </c>
      <c r="AA925" s="241"/>
      <c r="AF925" s="225">
        <f t="shared" ca="1" si="335"/>
        <v>46236</v>
      </c>
      <c r="AG925" s="225" t="b">
        <f t="shared" si="143"/>
        <v>1</v>
      </c>
      <c r="AH925" s="242" t="str">
        <f t="shared" si="144"/>
        <v/>
      </c>
      <c r="AK925" s="223">
        <f t="shared" si="145"/>
        <v>0</v>
      </c>
      <c r="AL925" s="223">
        <f t="shared" si="146"/>
        <v>1900</v>
      </c>
      <c r="AS925" s="223">
        <f t="shared" si="332"/>
        <v>0</v>
      </c>
      <c r="AT925" s="223">
        <f t="shared" si="333"/>
        <v>0</v>
      </c>
    </row>
    <row r="926" spans="2:46" ht="15.75" x14ac:dyDescent="0.25">
      <c r="B926" s="229"/>
      <c r="C926" s="235"/>
      <c r="D926" s="243"/>
      <c r="E926" s="232"/>
      <c r="F926" s="233"/>
      <c r="G926" s="234"/>
      <c r="H926" s="235"/>
      <c r="I926" s="235"/>
      <c r="J926" s="236"/>
      <c r="K926" s="237">
        <f ca="1">ROUND(IF(ISERROR(OFFSET(Tabella!$A$1,MATCH(H926,Tabella!$A:$A,0)-1,MATCH(J926,Tabella!$A$1:$AC$1,0)-1)=TRUE),0,+OFFSET(Tabella!$A$1,MATCH(H926,Tabella!$A:$A,0)-1,MATCH(J926,Tabella!$A$1:$AC$1,0)-1)),4)</f>
        <v>0</v>
      </c>
      <c r="L926" s="238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238">
        <f ca="1">ROUND(IF(ISERROR(OFFSET(Rame!$A$1,MATCH(H926,Rame!$A:$A,0)-1,MATCH(J926,Rame!$A$1:$AA$1,0)-1)=TRUE),0,OFFSET(Rame!$A$1,MATCH(H926,Rame!$A:$A,0)-1,MATCH(J926,Rame!$A$1:$AA$1,0)-1))*IF(E926="Rame",1,0),4)</f>
        <v>0</v>
      </c>
      <c r="N926" s="238">
        <v>0</v>
      </c>
      <c r="O926" s="238">
        <f t="shared" ca="1" si="334"/>
        <v>0</v>
      </c>
      <c r="P926" s="238">
        <f ca="1">ROUND(+IF(ISERROR(OFFSET(Tabella!$G$1,MATCH(H926,Tabella!$G:$G,0)-1,MATCH(I926,Tabella!$G$1:$FG$1,0)-1)=TRUE),0,OFFSET(Tabella!$G$1,MATCH(H926,Tabella!$G:$G,0)-1,MATCH(I926,Tabella!$G$1:$AB$1,0)-1)),4)</f>
        <v>0</v>
      </c>
      <c r="Q926" s="238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238">
        <f ca="1">ROUND(IF(ISERROR(OFFSET(Rame!$F$1,MATCH(H926,Rame!$F:$F,0)-1,MATCH(I926,Rame!$F$1:$FF$1,0)-1)=TRUE),0,OFFSET(Rame!$F$1,MATCH(H926,Rame!$F:$F,0)-1,MATCH(I926,Rame!$F$1:$FF$1,0)-1))*IF(E926="Rame",1,0),4)</f>
        <v>0</v>
      </c>
      <c r="S926" s="238">
        <f ca="1">ROUND(IF(ISERROR(OFFSET(Bronzo!$A$1,MATCH(H926,Bronzo!$A:$A,0)-1,MATCH(I926,Bronzo!$A$1:$AA$1,0)-1)=TRUE),0,OFFSET(Bronzo!$A$1,MATCH(H926,Bronzo!$A:$A,0)-1,MATCH(I926,Bronzo!$A$1:$AA$1,0)-1)),4)</f>
        <v>0</v>
      </c>
      <c r="T926" s="238">
        <f t="shared" ca="1" si="329"/>
        <v>0</v>
      </c>
      <c r="U926" s="237"/>
      <c r="V926" s="238">
        <v>0</v>
      </c>
      <c r="W926" s="239">
        <f t="shared" ca="1" si="330"/>
        <v>0</v>
      </c>
      <c r="X926" s="240">
        <f t="shared" si="336"/>
        <v>0</v>
      </c>
      <c r="Y926" s="236"/>
      <c r="Z926" s="236">
        <f t="shared" ca="1" si="331"/>
        <v>0</v>
      </c>
      <c r="AA926" s="241"/>
      <c r="AF926" s="225">
        <f t="shared" ca="1" si="335"/>
        <v>46236</v>
      </c>
      <c r="AG926" s="225" t="b">
        <f t="shared" si="143"/>
        <v>1</v>
      </c>
      <c r="AH926" s="242" t="str">
        <f t="shared" si="144"/>
        <v/>
      </c>
      <c r="AK926" s="223">
        <f t="shared" si="145"/>
        <v>0</v>
      </c>
      <c r="AL926" s="223">
        <f t="shared" si="146"/>
        <v>1900</v>
      </c>
      <c r="AS926" s="223">
        <f t="shared" si="332"/>
        <v>0</v>
      </c>
      <c r="AT926" s="223">
        <f t="shared" si="333"/>
        <v>0</v>
      </c>
    </row>
    <row r="927" spans="2:46" ht="15.75" x14ac:dyDescent="0.25">
      <c r="B927" s="229"/>
      <c r="C927" s="235"/>
      <c r="D927" s="243"/>
      <c r="E927" s="232"/>
      <c r="F927" s="233"/>
      <c r="G927" s="234"/>
      <c r="H927" s="235"/>
      <c r="I927" s="235"/>
      <c r="J927" s="236"/>
      <c r="K927" s="237">
        <f ca="1">ROUND(IF(ISERROR(OFFSET(Tabella!$A$1,MATCH(H927,Tabella!$A:$A,0)-1,MATCH(J927,Tabella!$A$1:$AC$1,0)-1)=TRUE),0,+OFFSET(Tabella!$A$1,MATCH(H927,Tabella!$A:$A,0)-1,MATCH(J927,Tabella!$A$1:$AC$1,0)-1)),4)</f>
        <v>0</v>
      </c>
      <c r="L927" s="238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238">
        <f ca="1">ROUND(IF(ISERROR(OFFSET(Rame!$A$1,MATCH(H927,Rame!$A:$A,0)-1,MATCH(J927,Rame!$A$1:$AA$1,0)-1)=TRUE),0,OFFSET(Rame!$A$1,MATCH(H927,Rame!$A:$A,0)-1,MATCH(J927,Rame!$A$1:$AA$1,0)-1))*IF(E927="Rame",1,0),4)</f>
        <v>0</v>
      </c>
      <c r="N927" s="238">
        <v>0</v>
      </c>
      <c r="O927" s="238">
        <f t="shared" ca="1" si="334"/>
        <v>0</v>
      </c>
      <c r="P927" s="238">
        <f ca="1">ROUND(+IF(ISERROR(OFFSET(Tabella!$G$1,MATCH(H927,Tabella!$G:$G,0)-1,MATCH(I927,Tabella!$G$1:$FG$1,0)-1)=TRUE),0,OFFSET(Tabella!$G$1,MATCH(H927,Tabella!$G:$G,0)-1,MATCH(I927,Tabella!$G$1:$AB$1,0)-1)),4)</f>
        <v>0</v>
      </c>
      <c r="Q927" s="238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238">
        <f ca="1">ROUND(IF(ISERROR(OFFSET(Rame!$F$1,MATCH(H927,Rame!$F:$F,0)-1,MATCH(I927,Rame!$F$1:$FF$1,0)-1)=TRUE),0,OFFSET(Rame!$F$1,MATCH(H927,Rame!$F:$F,0)-1,MATCH(I927,Rame!$F$1:$FF$1,0)-1))*IF(E927="Rame",1,0),4)</f>
        <v>0</v>
      </c>
      <c r="S927" s="238">
        <f ca="1">ROUND(IF(ISERROR(OFFSET(Bronzo!$A$1,MATCH(H927,Bronzo!$A:$A,0)-1,MATCH(I927,Bronzo!$A$1:$AA$1,0)-1)=TRUE),0,OFFSET(Bronzo!$A$1,MATCH(H927,Bronzo!$A:$A,0)-1,MATCH(I927,Bronzo!$A$1:$AA$1,0)-1)),4)</f>
        <v>0</v>
      </c>
      <c r="T927" s="238">
        <f t="shared" ca="1" si="329"/>
        <v>0</v>
      </c>
      <c r="U927" s="237"/>
      <c r="V927" s="238">
        <v>0</v>
      </c>
      <c r="W927" s="239">
        <f t="shared" ca="1" si="330"/>
        <v>0</v>
      </c>
      <c r="X927" s="240">
        <f t="shared" si="336"/>
        <v>0</v>
      </c>
      <c r="Y927" s="236"/>
      <c r="Z927" s="236">
        <f t="shared" ca="1" si="331"/>
        <v>0</v>
      </c>
      <c r="AA927" s="241"/>
      <c r="AF927" s="225">
        <f t="shared" ca="1" si="335"/>
        <v>46236</v>
      </c>
      <c r="AG927" s="225" t="b">
        <f t="shared" si="143"/>
        <v>1</v>
      </c>
      <c r="AH927" s="242" t="str">
        <f t="shared" si="144"/>
        <v/>
      </c>
      <c r="AK927" s="223">
        <f t="shared" si="145"/>
        <v>0</v>
      </c>
      <c r="AL927" s="223">
        <f t="shared" si="146"/>
        <v>1900</v>
      </c>
      <c r="AS927" s="223">
        <f t="shared" si="332"/>
        <v>0</v>
      </c>
      <c r="AT927" s="223">
        <f t="shared" si="333"/>
        <v>0</v>
      </c>
    </row>
    <row r="928" spans="2:46" ht="15.75" x14ac:dyDescent="0.25">
      <c r="B928" s="229"/>
      <c r="C928" s="235"/>
      <c r="D928" s="243"/>
      <c r="E928" s="232"/>
      <c r="F928" s="233"/>
      <c r="G928" s="234"/>
      <c r="H928" s="235"/>
      <c r="I928" s="235"/>
      <c r="J928" s="236"/>
      <c r="K928" s="237">
        <f ca="1">ROUND(IF(ISERROR(OFFSET(Tabella!$A$1,MATCH(H928,Tabella!$A:$A,0)-1,MATCH(J928,Tabella!$A$1:$AC$1,0)-1)=TRUE),0,+OFFSET(Tabella!$A$1,MATCH(H928,Tabella!$A:$A,0)-1,MATCH(J928,Tabella!$A$1:$AC$1,0)-1)),4)</f>
        <v>0</v>
      </c>
      <c r="L928" s="238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238">
        <f ca="1">ROUND(IF(ISERROR(OFFSET(Rame!$A$1,MATCH(H928,Rame!$A:$A,0)-1,MATCH(J928,Rame!$A$1:$AA$1,0)-1)=TRUE),0,OFFSET(Rame!$A$1,MATCH(H928,Rame!$A:$A,0)-1,MATCH(J928,Rame!$A$1:$AA$1,0)-1))*IF(E928="Rame",1,0),4)</f>
        <v>0</v>
      </c>
      <c r="N928" s="238">
        <v>0</v>
      </c>
      <c r="O928" s="238">
        <f t="shared" ca="1" si="334"/>
        <v>0</v>
      </c>
      <c r="P928" s="238">
        <f ca="1">ROUND(+IF(ISERROR(OFFSET(Tabella!$G$1,MATCH(H928,Tabella!$G:$G,0)-1,MATCH(I928,Tabella!$G$1:$FG$1,0)-1)=TRUE),0,OFFSET(Tabella!$G$1,MATCH(H928,Tabella!$G:$G,0)-1,MATCH(I928,Tabella!$G$1:$AB$1,0)-1)),4)</f>
        <v>0</v>
      </c>
      <c r="Q928" s="238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238">
        <f ca="1">ROUND(IF(ISERROR(OFFSET(Rame!$F$1,MATCH(H928,Rame!$F:$F,0)-1,MATCH(I928,Rame!$F$1:$FF$1,0)-1)=TRUE),0,OFFSET(Rame!$F$1,MATCH(H928,Rame!$F:$F,0)-1,MATCH(I928,Rame!$F$1:$FF$1,0)-1))*IF(E928="Rame",1,0),4)</f>
        <v>0</v>
      </c>
      <c r="S928" s="238">
        <f ca="1">ROUND(IF(ISERROR(OFFSET(Bronzo!$A$1,MATCH(H928,Bronzo!$A:$A,0)-1,MATCH(I928,Bronzo!$A$1:$AA$1,0)-1)=TRUE),0,OFFSET(Bronzo!$A$1,MATCH(H928,Bronzo!$A:$A,0)-1,MATCH(I928,Bronzo!$A$1:$AA$1,0)-1)),4)</f>
        <v>0</v>
      </c>
      <c r="T928" s="238">
        <f t="shared" ca="1" si="329"/>
        <v>0</v>
      </c>
      <c r="U928" s="237"/>
      <c r="V928" s="238">
        <v>0</v>
      </c>
      <c r="W928" s="239">
        <f t="shared" ca="1" si="330"/>
        <v>0</v>
      </c>
      <c r="X928" s="240">
        <f t="shared" si="336"/>
        <v>0</v>
      </c>
      <c r="Y928" s="236"/>
      <c r="Z928" s="236">
        <f t="shared" ca="1" si="331"/>
        <v>0</v>
      </c>
      <c r="AA928" s="241"/>
      <c r="AF928" s="225">
        <f t="shared" ca="1" si="335"/>
        <v>46236</v>
      </c>
      <c r="AG928" s="225" t="b">
        <f t="shared" si="143"/>
        <v>1</v>
      </c>
      <c r="AH928" s="242" t="str">
        <f t="shared" si="144"/>
        <v/>
      </c>
      <c r="AK928" s="223">
        <f t="shared" si="145"/>
        <v>0</v>
      </c>
      <c r="AL928" s="223">
        <f t="shared" si="146"/>
        <v>1900</v>
      </c>
      <c r="AS928" s="223">
        <f t="shared" si="332"/>
        <v>0</v>
      </c>
      <c r="AT928" s="223">
        <f t="shared" si="333"/>
        <v>0</v>
      </c>
    </row>
    <row r="929" spans="2:46" ht="15.75" x14ac:dyDescent="0.25">
      <c r="B929" s="229"/>
      <c r="C929" s="235"/>
      <c r="D929" s="243"/>
      <c r="E929" s="232"/>
      <c r="F929" s="233"/>
      <c r="G929" s="234"/>
      <c r="H929" s="235"/>
      <c r="I929" s="235"/>
      <c r="J929" s="236"/>
      <c r="K929" s="237">
        <f ca="1">ROUND(IF(ISERROR(OFFSET(Tabella!$A$1,MATCH(H929,Tabella!$A:$A,0)-1,MATCH(J929,Tabella!$A$1:$AC$1,0)-1)=TRUE),0,+OFFSET(Tabella!$A$1,MATCH(H929,Tabella!$A:$A,0)-1,MATCH(J929,Tabella!$A$1:$AC$1,0)-1)),4)</f>
        <v>0</v>
      </c>
      <c r="L929" s="238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238">
        <f ca="1">ROUND(IF(ISERROR(OFFSET(Rame!$A$1,MATCH(H929,Rame!$A:$A,0)-1,MATCH(J929,Rame!$A$1:$AA$1,0)-1)=TRUE),0,OFFSET(Rame!$A$1,MATCH(H929,Rame!$A:$A,0)-1,MATCH(J929,Rame!$A$1:$AA$1,0)-1))*IF(E929="Rame",1,0),4)</f>
        <v>0</v>
      </c>
      <c r="N929" s="238">
        <v>0</v>
      </c>
      <c r="O929" s="238">
        <f t="shared" ca="1" si="334"/>
        <v>0</v>
      </c>
      <c r="P929" s="238">
        <f ca="1">ROUND(+IF(ISERROR(OFFSET(Tabella!$G$1,MATCH(H929,Tabella!$G:$G,0)-1,MATCH(I929,Tabella!$G$1:$FG$1,0)-1)=TRUE),0,OFFSET(Tabella!$G$1,MATCH(H929,Tabella!$G:$G,0)-1,MATCH(I929,Tabella!$G$1:$AB$1,0)-1)),4)</f>
        <v>0</v>
      </c>
      <c r="Q929" s="238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238">
        <f ca="1">ROUND(IF(ISERROR(OFFSET(Rame!$F$1,MATCH(H929,Rame!$F:$F,0)-1,MATCH(I929,Rame!$F$1:$FF$1,0)-1)=TRUE),0,OFFSET(Rame!$F$1,MATCH(H929,Rame!$F:$F,0)-1,MATCH(I929,Rame!$F$1:$FF$1,0)-1))*IF(E929="Rame",1,0),4)</f>
        <v>0</v>
      </c>
      <c r="S929" s="238">
        <f ca="1">ROUND(IF(ISERROR(OFFSET(Bronzo!$A$1,MATCH(H929,Bronzo!$A:$A,0)-1,MATCH(I929,Bronzo!$A$1:$AA$1,0)-1)=TRUE),0,OFFSET(Bronzo!$A$1,MATCH(H929,Bronzo!$A:$A,0)-1,MATCH(I929,Bronzo!$A$1:$AA$1,0)-1)),4)</f>
        <v>0</v>
      </c>
      <c r="T929" s="238">
        <f t="shared" ca="1" si="329"/>
        <v>0</v>
      </c>
      <c r="U929" s="237"/>
      <c r="V929" s="238">
        <v>0</v>
      </c>
      <c r="W929" s="239">
        <f t="shared" ca="1" si="330"/>
        <v>0</v>
      </c>
      <c r="X929" s="240">
        <f t="shared" si="336"/>
        <v>0</v>
      </c>
      <c r="Y929" s="236"/>
      <c r="Z929" s="236">
        <f t="shared" ca="1" si="331"/>
        <v>0</v>
      </c>
      <c r="AA929" s="241"/>
      <c r="AF929" s="225">
        <f t="shared" ca="1" si="335"/>
        <v>46236</v>
      </c>
      <c r="AG929" s="225" t="b">
        <f t="shared" si="143"/>
        <v>1</v>
      </c>
      <c r="AH929" s="242" t="str">
        <f t="shared" si="144"/>
        <v/>
      </c>
      <c r="AK929" s="223">
        <f t="shared" si="145"/>
        <v>0</v>
      </c>
      <c r="AL929" s="223">
        <f t="shared" si="146"/>
        <v>1900</v>
      </c>
      <c r="AS929" s="223">
        <f t="shared" si="332"/>
        <v>0</v>
      </c>
      <c r="AT929" s="223">
        <f t="shared" si="333"/>
        <v>0</v>
      </c>
    </row>
    <row r="930" spans="2:46" ht="15.75" x14ac:dyDescent="0.25">
      <c r="B930" s="229"/>
      <c r="C930" s="235"/>
      <c r="D930" s="243"/>
      <c r="E930" s="232"/>
      <c r="F930" s="233"/>
      <c r="G930" s="234"/>
      <c r="H930" s="235"/>
      <c r="I930" s="235"/>
      <c r="J930" s="236"/>
      <c r="K930" s="237">
        <f ca="1">ROUND(IF(ISERROR(OFFSET(Tabella!$A$1,MATCH(H930,Tabella!$A:$A,0)-1,MATCH(J930,Tabella!$A$1:$AC$1,0)-1)=TRUE),0,+OFFSET(Tabella!$A$1,MATCH(H930,Tabella!$A:$A,0)-1,MATCH(J930,Tabella!$A$1:$AC$1,0)-1)),4)</f>
        <v>0</v>
      </c>
      <c r="L930" s="238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238">
        <f ca="1">ROUND(IF(ISERROR(OFFSET(Rame!$A$1,MATCH(H930,Rame!$A:$A,0)-1,MATCH(J930,Rame!$A$1:$AA$1,0)-1)=TRUE),0,OFFSET(Rame!$A$1,MATCH(H930,Rame!$A:$A,0)-1,MATCH(J930,Rame!$A$1:$AA$1,0)-1))*IF(E930="Rame",1,0),4)</f>
        <v>0</v>
      </c>
      <c r="N930" s="238">
        <v>0</v>
      </c>
      <c r="O930" s="238">
        <f t="shared" ca="1" si="334"/>
        <v>0</v>
      </c>
      <c r="P930" s="238">
        <f ca="1">ROUND(+IF(ISERROR(OFFSET(Tabella!$G$1,MATCH(H930,Tabella!$G:$G,0)-1,MATCH(I930,Tabella!$G$1:$FG$1,0)-1)=TRUE),0,OFFSET(Tabella!$G$1,MATCH(H930,Tabella!$G:$G,0)-1,MATCH(I930,Tabella!$G$1:$AB$1,0)-1)),4)</f>
        <v>0</v>
      </c>
      <c r="Q930" s="238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238">
        <f ca="1">ROUND(IF(ISERROR(OFFSET(Rame!$F$1,MATCH(H930,Rame!$F:$F,0)-1,MATCH(I930,Rame!$F$1:$FF$1,0)-1)=TRUE),0,OFFSET(Rame!$F$1,MATCH(H930,Rame!$F:$F,0)-1,MATCH(I930,Rame!$F$1:$FF$1,0)-1))*IF(E930="Rame",1,0),4)</f>
        <v>0</v>
      </c>
      <c r="S930" s="238">
        <f ca="1">ROUND(IF(ISERROR(OFFSET(Bronzo!$A$1,MATCH(H930,Bronzo!$A:$A,0)-1,MATCH(I930,Bronzo!$A$1:$AA$1,0)-1)=TRUE),0,OFFSET(Bronzo!$A$1,MATCH(H930,Bronzo!$A:$A,0)-1,MATCH(I930,Bronzo!$A$1:$AA$1,0)-1)),4)</f>
        <v>0</v>
      </c>
      <c r="T930" s="238">
        <f t="shared" ref="T930:T993" ca="1" si="337">ROUND(SUM(P930:S930),4)</f>
        <v>0</v>
      </c>
      <c r="U930" s="237"/>
      <c r="V930" s="238">
        <v>0</v>
      </c>
      <c r="W930" s="239">
        <f t="shared" ref="W930:W993" ca="1" si="338">ROUND(+O930+T930+U930+V930,4)</f>
        <v>0</v>
      </c>
      <c r="X930" s="240">
        <f t="shared" si="336"/>
        <v>0</v>
      </c>
      <c r="Y930" s="236"/>
      <c r="Z930" s="236">
        <f t="shared" ref="Z930:Z993" ca="1" si="339">ROUND(+Y930-W930-F930,4)</f>
        <v>0</v>
      </c>
      <c r="AA930" s="241"/>
      <c r="AF930" s="225">
        <f t="shared" ca="1" si="335"/>
        <v>46236</v>
      </c>
      <c r="AG930" s="225" t="b">
        <f t="shared" si="143"/>
        <v>1</v>
      </c>
      <c r="AH930" s="242" t="str">
        <f t="shared" si="144"/>
        <v/>
      </c>
      <c r="AK930" s="223">
        <f t="shared" si="145"/>
        <v>0</v>
      </c>
      <c r="AL930" s="223">
        <f t="shared" si="146"/>
        <v>1900</v>
      </c>
      <c r="AS930" s="223">
        <f t="shared" si="332"/>
        <v>0</v>
      </c>
      <c r="AT930" s="223">
        <f t="shared" si="333"/>
        <v>0</v>
      </c>
    </row>
    <row r="931" spans="2:46" ht="15.75" x14ac:dyDescent="0.25">
      <c r="B931" s="229"/>
      <c r="C931" s="235"/>
      <c r="D931" s="243"/>
      <c r="E931" s="232"/>
      <c r="F931" s="233"/>
      <c r="G931" s="234"/>
      <c r="H931" s="235"/>
      <c r="I931" s="235"/>
      <c r="J931" s="236"/>
      <c r="K931" s="237">
        <f ca="1">ROUND(IF(ISERROR(OFFSET(Tabella!$A$1,MATCH(H931,Tabella!$A:$A,0)-1,MATCH(J931,Tabella!$A$1:$AC$1,0)-1)=TRUE),0,+OFFSET(Tabella!$A$1,MATCH(H931,Tabella!$A:$A,0)-1,MATCH(J931,Tabella!$A$1:$AC$1,0)-1)),4)</f>
        <v>0</v>
      </c>
      <c r="L931" s="238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238">
        <f ca="1">ROUND(IF(ISERROR(OFFSET(Rame!$A$1,MATCH(H931,Rame!$A:$A,0)-1,MATCH(J931,Rame!$A$1:$AA$1,0)-1)=TRUE),0,OFFSET(Rame!$A$1,MATCH(H931,Rame!$A:$A,0)-1,MATCH(J931,Rame!$A$1:$AA$1,0)-1))*IF(E931="Rame",1,0),4)</f>
        <v>0</v>
      </c>
      <c r="N931" s="238">
        <v>0</v>
      </c>
      <c r="O931" s="238">
        <f t="shared" ca="1" si="334"/>
        <v>0</v>
      </c>
      <c r="P931" s="238">
        <f ca="1">ROUND(+IF(ISERROR(OFFSET(Tabella!$G$1,MATCH(H931,Tabella!$G:$G,0)-1,MATCH(I931,Tabella!$G$1:$FG$1,0)-1)=TRUE),0,OFFSET(Tabella!$G$1,MATCH(H931,Tabella!$G:$G,0)-1,MATCH(I931,Tabella!$G$1:$AB$1,0)-1)),4)</f>
        <v>0</v>
      </c>
      <c r="Q931" s="238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238">
        <f ca="1">ROUND(IF(ISERROR(OFFSET(Rame!$F$1,MATCH(H931,Rame!$F:$F,0)-1,MATCH(I931,Rame!$F$1:$FF$1,0)-1)=TRUE),0,OFFSET(Rame!$F$1,MATCH(H931,Rame!$F:$F,0)-1,MATCH(I931,Rame!$F$1:$FF$1,0)-1))*IF(E931="Rame",1,0),4)</f>
        <v>0</v>
      </c>
      <c r="S931" s="238">
        <f ca="1">ROUND(IF(ISERROR(OFFSET(Bronzo!$A$1,MATCH(H931,Bronzo!$A:$A,0)-1,MATCH(I931,Bronzo!$A$1:$AA$1,0)-1)=TRUE),0,OFFSET(Bronzo!$A$1,MATCH(H931,Bronzo!$A:$A,0)-1,MATCH(I931,Bronzo!$A$1:$AA$1,0)-1)),4)</f>
        <v>0</v>
      </c>
      <c r="T931" s="238">
        <f t="shared" ca="1" si="337"/>
        <v>0</v>
      </c>
      <c r="U931" s="237"/>
      <c r="V931" s="238">
        <v>0</v>
      </c>
      <c r="W931" s="239">
        <f t="shared" ca="1" si="338"/>
        <v>0</v>
      </c>
      <c r="X931" s="240">
        <f t="shared" si="336"/>
        <v>0</v>
      </c>
      <c r="Y931" s="236"/>
      <c r="Z931" s="236">
        <f t="shared" ca="1" si="339"/>
        <v>0</v>
      </c>
      <c r="AA931" s="241"/>
      <c r="AF931" s="225">
        <f t="shared" ca="1" si="335"/>
        <v>46236</v>
      </c>
      <c r="AG931" s="225" t="b">
        <f t="shared" si="143"/>
        <v>1</v>
      </c>
      <c r="AH931" s="242" t="str">
        <f t="shared" si="144"/>
        <v/>
      </c>
      <c r="AK931" s="223">
        <f t="shared" si="145"/>
        <v>0</v>
      </c>
      <c r="AL931" s="223">
        <f t="shared" si="146"/>
        <v>1900</v>
      </c>
      <c r="AS931" s="223">
        <f t="shared" si="332"/>
        <v>0</v>
      </c>
      <c r="AT931" s="223">
        <f t="shared" si="333"/>
        <v>0</v>
      </c>
    </row>
    <row r="932" spans="2:46" ht="15.75" x14ac:dyDescent="0.25">
      <c r="B932" s="229"/>
      <c r="C932" s="235"/>
      <c r="D932" s="243"/>
      <c r="E932" s="232"/>
      <c r="F932" s="233"/>
      <c r="G932" s="234"/>
      <c r="H932" s="235"/>
      <c r="I932" s="235"/>
      <c r="J932" s="236"/>
      <c r="K932" s="237">
        <f ca="1">ROUND(IF(ISERROR(OFFSET(Tabella!$A$1,MATCH(H932,Tabella!$A:$A,0)-1,MATCH(J932,Tabella!$A$1:$AC$1,0)-1)=TRUE),0,+OFFSET(Tabella!$A$1,MATCH(H932,Tabella!$A:$A,0)-1,MATCH(J932,Tabella!$A$1:$AC$1,0)-1)),4)</f>
        <v>0</v>
      </c>
      <c r="L932" s="238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238">
        <f ca="1">ROUND(IF(ISERROR(OFFSET(Rame!$A$1,MATCH(H932,Rame!$A:$A,0)-1,MATCH(J932,Rame!$A$1:$AA$1,0)-1)=TRUE),0,OFFSET(Rame!$A$1,MATCH(H932,Rame!$A:$A,0)-1,MATCH(J932,Rame!$A$1:$AA$1,0)-1))*IF(E932="Rame",1,0),4)</f>
        <v>0</v>
      </c>
      <c r="N932" s="238">
        <v>0</v>
      </c>
      <c r="O932" s="238">
        <f t="shared" ca="1" si="334"/>
        <v>0</v>
      </c>
      <c r="P932" s="238">
        <f ca="1">ROUND(+IF(ISERROR(OFFSET(Tabella!$G$1,MATCH(H932,Tabella!$G:$G,0)-1,MATCH(I932,Tabella!$G$1:$FG$1,0)-1)=TRUE),0,OFFSET(Tabella!$G$1,MATCH(H932,Tabella!$G:$G,0)-1,MATCH(I932,Tabella!$G$1:$AB$1,0)-1)),4)</f>
        <v>0</v>
      </c>
      <c r="Q932" s="238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238">
        <f ca="1">ROUND(IF(ISERROR(OFFSET(Rame!$F$1,MATCH(H932,Rame!$F:$F,0)-1,MATCH(I932,Rame!$F$1:$FF$1,0)-1)=TRUE),0,OFFSET(Rame!$F$1,MATCH(H932,Rame!$F:$F,0)-1,MATCH(I932,Rame!$F$1:$FF$1,0)-1))*IF(E932="Rame",1,0),4)</f>
        <v>0</v>
      </c>
      <c r="S932" s="238">
        <f ca="1">ROUND(IF(ISERROR(OFFSET(Bronzo!$A$1,MATCH(H932,Bronzo!$A:$A,0)-1,MATCH(I932,Bronzo!$A$1:$AA$1,0)-1)=TRUE),0,OFFSET(Bronzo!$A$1,MATCH(H932,Bronzo!$A:$A,0)-1,MATCH(I932,Bronzo!$A$1:$AA$1,0)-1)),4)</f>
        <v>0</v>
      </c>
      <c r="T932" s="238">
        <f t="shared" ca="1" si="337"/>
        <v>0</v>
      </c>
      <c r="U932" s="237"/>
      <c r="V932" s="238">
        <v>0</v>
      </c>
      <c r="W932" s="239">
        <f t="shared" ca="1" si="338"/>
        <v>0</v>
      </c>
      <c r="X932" s="240">
        <f t="shared" si="336"/>
        <v>0</v>
      </c>
      <c r="Y932" s="236"/>
      <c r="Z932" s="236">
        <f t="shared" ca="1" si="339"/>
        <v>0</v>
      </c>
      <c r="AA932" s="241"/>
      <c r="AF932" s="225">
        <f t="shared" ca="1" si="335"/>
        <v>46236</v>
      </c>
      <c r="AG932" s="225" t="b">
        <f t="shared" si="143"/>
        <v>1</v>
      </c>
      <c r="AH932" s="242" t="str">
        <f t="shared" si="144"/>
        <v/>
      </c>
      <c r="AK932" s="223">
        <f t="shared" si="145"/>
        <v>0</v>
      </c>
      <c r="AL932" s="223">
        <f t="shared" si="146"/>
        <v>1900</v>
      </c>
      <c r="AS932" s="223">
        <f t="shared" si="332"/>
        <v>0</v>
      </c>
      <c r="AT932" s="223">
        <f t="shared" si="333"/>
        <v>0</v>
      </c>
    </row>
    <row r="933" spans="2:46" ht="15.75" x14ac:dyDescent="0.25">
      <c r="B933" s="229"/>
      <c r="C933" s="235"/>
      <c r="D933" s="243"/>
      <c r="E933" s="232"/>
      <c r="F933" s="233"/>
      <c r="G933" s="234"/>
      <c r="H933" s="235"/>
      <c r="I933" s="235"/>
      <c r="J933" s="236"/>
      <c r="K933" s="237">
        <f ca="1">ROUND(IF(ISERROR(OFFSET(Tabella!$A$1,MATCH(H933,Tabella!$A:$A,0)-1,MATCH(J933,Tabella!$A$1:$AC$1,0)-1)=TRUE),0,+OFFSET(Tabella!$A$1,MATCH(H933,Tabella!$A:$A,0)-1,MATCH(J933,Tabella!$A$1:$AC$1,0)-1)),4)</f>
        <v>0</v>
      </c>
      <c r="L933" s="238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238">
        <f ca="1">ROUND(IF(ISERROR(OFFSET(Rame!$A$1,MATCH(H933,Rame!$A:$A,0)-1,MATCH(J933,Rame!$A$1:$AA$1,0)-1)=TRUE),0,OFFSET(Rame!$A$1,MATCH(H933,Rame!$A:$A,0)-1,MATCH(J933,Rame!$A$1:$AA$1,0)-1))*IF(E933="Rame",1,0),4)</f>
        <v>0</v>
      </c>
      <c r="N933" s="238">
        <v>0</v>
      </c>
      <c r="O933" s="238">
        <f t="shared" ca="1" si="334"/>
        <v>0</v>
      </c>
      <c r="P933" s="238">
        <f ca="1">ROUND(+IF(ISERROR(OFFSET(Tabella!$G$1,MATCH(H933,Tabella!$G:$G,0)-1,MATCH(I933,Tabella!$G$1:$FG$1,0)-1)=TRUE),0,OFFSET(Tabella!$G$1,MATCH(H933,Tabella!$G:$G,0)-1,MATCH(I933,Tabella!$G$1:$AB$1,0)-1)),4)</f>
        <v>0</v>
      </c>
      <c r="Q933" s="238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238">
        <f ca="1">ROUND(IF(ISERROR(OFFSET(Rame!$F$1,MATCH(H933,Rame!$F:$F,0)-1,MATCH(I933,Rame!$F$1:$FF$1,0)-1)=TRUE),0,OFFSET(Rame!$F$1,MATCH(H933,Rame!$F:$F,0)-1,MATCH(I933,Rame!$F$1:$FF$1,0)-1))*IF(E933="Rame",1,0),4)</f>
        <v>0</v>
      </c>
      <c r="S933" s="238">
        <f ca="1">ROUND(IF(ISERROR(OFFSET(Bronzo!$A$1,MATCH(H933,Bronzo!$A:$A,0)-1,MATCH(I933,Bronzo!$A$1:$AA$1,0)-1)=TRUE),0,OFFSET(Bronzo!$A$1,MATCH(H933,Bronzo!$A:$A,0)-1,MATCH(I933,Bronzo!$A$1:$AA$1,0)-1)),4)</f>
        <v>0</v>
      </c>
      <c r="T933" s="238">
        <f t="shared" ca="1" si="337"/>
        <v>0</v>
      </c>
      <c r="U933" s="237"/>
      <c r="V933" s="238">
        <v>0</v>
      </c>
      <c r="W933" s="239">
        <f t="shared" ca="1" si="338"/>
        <v>0</v>
      </c>
      <c r="X933" s="240">
        <f t="shared" si="336"/>
        <v>0</v>
      </c>
      <c r="Y933" s="236"/>
      <c r="Z933" s="236">
        <f t="shared" ca="1" si="339"/>
        <v>0</v>
      </c>
      <c r="AA933" s="241"/>
      <c r="AF933" s="225">
        <f t="shared" ca="1" si="335"/>
        <v>46236</v>
      </c>
      <c r="AG933" s="225" t="b">
        <f t="shared" si="143"/>
        <v>1</v>
      </c>
      <c r="AH933" s="242" t="str">
        <f t="shared" si="144"/>
        <v/>
      </c>
      <c r="AK933" s="223">
        <f t="shared" si="145"/>
        <v>0</v>
      </c>
      <c r="AL933" s="223">
        <f t="shared" si="146"/>
        <v>1900</v>
      </c>
      <c r="AS933" s="223">
        <f t="shared" si="332"/>
        <v>0</v>
      </c>
      <c r="AT933" s="223">
        <f t="shared" si="333"/>
        <v>0</v>
      </c>
    </row>
    <row r="934" spans="2:46" ht="15.75" x14ac:dyDescent="0.25">
      <c r="B934" s="229"/>
      <c r="C934" s="235"/>
      <c r="D934" s="243"/>
      <c r="E934" s="232"/>
      <c r="F934" s="233"/>
      <c r="G934" s="234"/>
      <c r="H934" s="235"/>
      <c r="I934" s="235"/>
      <c r="J934" s="236"/>
      <c r="K934" s="237">
        <f ca="1">ROUND(IF(ISERROR(OFFSET(Tabella!$A$1,MATCH(H934,Tabella!$A:$A,0)-1,MATCH(J934,Tabella!$A$1:$AC$1,0)-1)=TRUE),0,+OFFSET(Tabella!$A$1,MATCH(H934,Tabella!$A:$A,0)-1,MATCH(J934,Tabella!$A$1:$AC$1,0)-1)),4)</f>
        <v>0</v>
      </c>
      <c r="L934" s="238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238">
        <f ca="1">ROUND(IF(ISERROR(OFFSET(Rame!$A$1,MATCH(H934,Rame!$A:$A,0)-1,MATCH(J934,Rame!$A$1:$AA$1,0)-1)=TRUE),0,OFFSET(Rame!$A$1,MATCH(H934,Rame!$A:$A,0)-1,MATCH(J934,Rame!$A$1:$AA$1,0)-1))*IF(E934="Rame",1,0),4)</f>
        <v>0</v>
      </c>
      <c r="N934" s="238">
        <v>0</v>
      </c>
      <c r="O934" s="238">
        <f t="shared" ca="1" si="334"/>
        <v>0</v>
      </c>
      <c r="P934" s="238">
        <f ca="1">ROUND(+IF(ISERROR(OFFSET(Tabella!$G$1,MATCH(H934,Tabella!$G:$G,0)-1,MATCH(I934,Tabella!$G$1:$FG$1,0)-1)=TRUE),0,OFFSET(Tabella!$G$1,MATCH(H934,Tabella!$G:$G,0)-1,MATCH(I934,Tabella!$G$1:$AB$1,0)-1)),4)</f>
        <v>0</v>
      </c>
      <c r="Q934" s="238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238">
        <f ca="1">ROUND(IF(ISERROR(OFFSET(Rame!$F$1,MATCH(H934,Rame!$F:$F,0)-1,MATCH(I934,Rame!$F$1:$FF$1,0)-1)=TRUE),0,OFFSET(Rame!$F$1,MATCH(H934,Rame!$F:$F,0)-1,MATCH(I934,Rame!$F$1:$FF$1,0)-1))*IF(E934="Rame",1,0),4)</f>
        <v>0</v>
      </c>
      <c r="S934" s="238">
        <f ca="1">ROUND(IF(ISERROR(OFFSET(Bronzo!$A$1,MATCH(H934,Bronzo!$A:$A,0)-1,MATCH(I934,Bronzo!$A$1:$AA$1,0)-1)=TRUE),0,OFFSET(Bronzo!$A$1,MATCH(H934,Bronzo!$A:$A,0)-1,MATCH(I934,Bronzo!$A$1:$AA$1,0)-1)),4)</f>
        <v>0</v>
      </c>
      <c r="T934" s="238">
        <f t="shared" ca="1" si="337"/>
        <v>0</v>
      </c>
      <c r="U934" s="237"/>
      <c r="V934" s="238">
        <v>0</v>
      </c>
      <c r="W934" s="239">
        <f t="shared" ca="1" si="338"/>
        <v>0</v>
      </c>
      <c r="X934" s="240">
        <f t="shared" si="336"/>
        <v>0</v>
      </c>
      <c r="Y934" s="236"/>
      <c r="Z934" s="236">
        <f t="shared" ca="1" si="339"/>
        <v>0</v>
      </c>
      <c r="AA934" s="241"/>
      <c r="AF934" s="225">
        <f t="shared" ca="1" si="335"/>
        <v>46236</v>
      </c>
      <c r="AG934" s="225" t="b">
        <f t="shared" si="143"/>
        <v>1</v>
      </c>
      <c r="AH934" s="242" t="str">
        <f t="shared" si="144"/>
        <v/>
      </c>
      <c r="AK934" s="223">
        <f t="shared" si="145"/>
        <v>0</v>
      </c>
      <c r="AL934" s="223">
        <f t="shared" si="146"/>
        <v>1900</v>
      </c>
      <c r="AS934" s="223">
        <f t="shared" si="332"/>
        <v>0</v>
      </c>
      <c r="AT934" s="223">
        <f t="shared" si="333"/>
        <v>0</v>
      </c>
    </row>
    <row r="935" spans="2:46" ht="15.75" x14ac:dyDescent="0.25">
      <c r="B935" s="229"/>
      <c r="C935" s="235"/>
      <c r="D935" s="243"/>
      <c r="E935" s="232"/>
      <c r="F935" s="233"/>
      <c r="G935" s="234"/>
      <c r="H935" s="235"/>
      <c r="I935" s="235"/>
      <c r="J935" s="236"/>
      <c r="K935" s="237">
        <f ca="1">ROUND(IF(ISERROR(OFFSET(Tabella!$A$1,MATCH(H935,Tabella!$A:$A,0)-1,MATCH(J935,Tabella!$A$1:$AC$1,0)-1)=TRUE),0,+OFFSET(Tabella!$A$1,MATCH(H935,Tabella!$A:$A,0)-1,MATCH(J935,Tabella!$A$1:$AC$1,0)-1)),4)</f>
        <v>0</v>
      </c>
      <c r="L935" s="238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238">
        <f ca="1">ROUND(IF(ISERROR(OFFSET(Rame!$A$1,MATCH(H935,Rame!$A:$A,0)-1,MATCH(J935,Rame!$A$1:$AA$1,0)-1)=TRUE),0,OFFSET(Rame!$A$1,MATCH(H935,Rame!$A:$A,0)-1,MATCH(J935,Rame!$A$1:$AA$1,0)-1))*IF(E935="Rame",1,0),4)</f>
        <v>0</v>
      </c>
      <c r="N935" s="238">
        <v>0</v>
      </c>
      <c r="O935" s="238">
        <f t="shared" ca="1" si="334"/>
        <v>0</v>
      </c>
      <c r="P935" s="238">
        <f ca="1">ROUND(+IF(ISERROR(OFFSET(Tabella!$G$1,MATCH(H935,Tabella!$G:$G,0)-1,MATCH(I935,Tabella!$G$1:$FG$1,0)-1)=TRUE),0,OFFSET(Tabella!$G$1,MATCH(H935,Tabella!$G:$G,0)-1,MATCH(I935,Tabella!$G$1:$AB$1,0)-1)),4)</f>
        <v>0</v>
      </c>
      <c r="Q935" s="238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238">
        <f ca="1">ROUND(IF(ISERROR(OFFSET(Rame!$F$1,MATCH(H935,Rame!$F:$F,0)-1,MATCH(I935,Rame!$F$1:$FF$1,0)-1)=TRUE),0,OFFSET(Rame!$F$1,MATCH(H935,Rame!$F:$F,0)-1,MATCH(I935,Rame!$F$1:$FF$1,0)-1))*IF(E935="Rame",1,0),4)</f>
        <v>0</v>
      </c>
      <c r="S935" s="238">
        <f ca="1">ROUND(IF(ISERROR(OFFSET(Bronzo!$A$1,MATCH(H935,Bronzo!$A:$A,0)-1,MATCH(I935,Bronzo!$A$1:$AA$1,0)-1)=TRUE),0,OFFSET(Bronzo!$A$1,MATCH(H935,Bronzo!$A:$A,0)-1,MATCH(I935,Bronzo!$A$1:$AA$1,0)-1)),4)</f>
        <v>0</v>
      </c>
      <c r="T935" s="238">
        <f t="shared" ca="1" si="337"/>
        <v>0</v>
      </c>
      <c r="U935" s="237"/>
      <c r="V935" s="238">
        <v>0</v>
      </c>
      <c r="W935" s="239">
        <f t="shared" ca="1" si="338"/>
        <v>0</v>
      </c>
      <c r="X935" s="240">
        <f t="shared" si="336"/>
        <v>0</v>
      </c>
      <c r="Y935" s="236"/>
      <c r="Z935" s="236">
        <f t="shared" ca="1" si="339"/>
        <v>0</v>
      </c>
      <c r="AA935" s="241"/>
      <c r="AF935" s="225">
        <f t="shared" ca="1" si="335"/>
        <v>46236</v>
      </c>
      <c r="AG935" s="225" t="b">
        <f t="shared" si="143"/>
        <v>1</v>
      </c>
      <c r="AH935" s="242" t="str">
        <f t="shared" si="144"/>
        <v/>
      </c>
      <c r="AK935" s="223">
        <f t="shared" si="145"/>
        <v>0</v>
      </c>
      <c r="AL935" s="223">
        <f t="shared" si="146"/>
        <v>1900</v>
      </c>
      <c r="AS935" s="223">
        <f t="shared" si="332"/>
        <v>0</v>
      </c>
      <c r="AT935" s="223">
        <f t="shared" si="333"/>
        <v>0</v>
      </c>
    </row>
    <row r="936" spans="2:46" ht="15.75" x14ac:dyDescent="0.25">
      <c r="B936" s="229"/>
      <c r="C936" s="235"/>
      <c r="D936" s="243"/>
      <c r="E936" s="232"/>
      <c r="F936" s="233"/>
      <c r="G936" s="234"/>
      <c r="H936" s="235"/>
      <c r="I936" s="235"/>
      <c r="J936" s="236"/>
      <c r="K936" s="237">
        <f ca="1">ROUND(IF(ISERROR(OFFSET(Tabella!$A$1,MATCH(H936,Tabella!$A:$A,0)-1,MATCH(J936,Tabella!$A$1:$AC$1,0)-1)=TRUE),0,+OFFSET(Tabella!$A$1,MATCH(H936,Tabella!$A:$A,0)-1,MATCH(J936,Tabella!$A$1:$AC$1,0)-1)),4)</f>
        <v>0</v>
      </c>
      <c r="L936" s="238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238">
        <f ca="1">ROUND(IF(ISERROR(OFFSET(Rame!$A$1,MATCH(H936,Rame!$A:$A,0)-1,MATCH(J936,Rame!$A$1:$AA$1,0)-1)=TRUE),0,OFFSET(Rame!$A$1,MATCH(H936,Rame!$A:$A,0)-1,MATCH(J936,Rame!$A$1:$AA$1,0)-1))*IF(E936="Rame",1,0),4)</f>
        <v>0</v>
      </c>
      <c r="N936" s="238">
        <v>0</v>
      </c>
      <c r="O936" s="238">
        <f t="shared" ca="1" si="334"/>
        <v>0</v>
      </c>
      <c r="P936" s="238">
        <f ca="1">ROUND(+IF(ISERROR(OFFSET(Tabella!$G$1,MATCH(H936,Tabella!$G:$G,0)-1,MATCH(I936,Tabella!$G$1:$FG$1,0)-1)=TRUE),0,OFFSET(Tabella!$G$1,MATCH(H936,Tabella!$G:$G,0)-1,MATCH(I936,Tabella!$G$1:$AB$1,0)-1)),4)</f>
        <v>0</v>
      </c>
      <c r="Q936" s="238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238">
        <f ca="1">ROUND(IF(ISERROR(OFFSET(Rame!$F$1,MATCH(H936,Rame!$F:$F,0)-1,MATCH(I936,Rame!$F$1:$FF$1,0)-1)=TRUE),0,OFFSET(Rame!$F$1,MATCH(H936,Rame!$F:$F,0)-1,MATCH(I936,Rame!$F$1:$FF$1,0)-1))*IF(E936="Rame",1,0),4)</f>
        <v>0</v>
      </c>
      <c r="S936" s="238">
        <f ca="1">ROUND(IF(ISERROR(OFFSET(Bronzo!$A$1,MATCH(H936,Bronzo!$A:$A,0)-1,MATCH(I936,Bronzo!$A$1:$AA$1,0)-1)=TRUE),0,OFFSET(Bronzo!$A$1,MATCH(H936,Bronzo!$A:$A,0)-1,MATCH(I936,Bronzo!$A$1:$AA$1,0)-1)),4)</f>
        <v>0</v>
      </c>
      <c r="T936" s="238">
        <f t="shared" ca="1" si="337"/>
        <v>0</v>
      </c>
      <c r="U936" s="237"/>
      <c r="V936" s="238">
        <v>0</v>
      </c>
      <c r="W936" s="239">
        <f t="shared" ca="1" si="338"/>
        <v>0</v>
      </c>
      <c r="X936" s="240">
        <f t="shared" si="336"/>
        <v>0</v>
      </c>
      <c r="Y936" s="236"/>
      <c r="Z936" s="236">
        <f t="shared" ca="1" si="339"/>
        <v>0</v>
      </c>
      <c r="AA936" s="241"/>
      <c r="AF936" s="225">
        <f t="shared" ca="1" si="335"/>
        <v>46236</v>
      </c>
      <c r="AG936" s="225" t="b">
        <f t="shared" si="143"/>
        <v>1</v>
      </c>
      <c r="AH936" s="242" t="str">
        <f t="shared" si="144"/>
        <v/>
      </c>
      <c r="AK936" s="223">
        <f t="shared" si="145"/>
        <v>0</v>
      </c>
      <c r="AL936" s="223">
        <f t="shared" si="146"/>
        <v>1900</v>
      </c>
      <c r="AS936" s="223">
        <f t="shared" si="332"/>
        <v>0</v>
      </c>
      <c r="AT936" s="223">
        <f t="shared" si="333"/>
        <v>0</v>
      </c>
    </row>
    <row r="937" spans="2:46" ht="15.75" x14ac:dyDescent="0.25">
      <c r="B937" s="229"/>
      <c r="C937" s="235"/>
      <c r="D937" s="243"/>
      <c r="E937" s="232"/>
      <c r="F937" s="233"/>
      <c r="G937" s="234"/>
      <c r="H937" s="235"/>
      <c r="I937" s="235"/>
      <c r="J937" s="236"/>
      <c r="K937" s="237">
        <f ca="1">ROUND(IF(ISERROR(OFFSET(Tabella!$A$1,MATCH(H937,Tabella!$A:$A,0)-1,MATCH(J937,Tabella!$A$1:$AC$1,0)-1)=TRUE),0,+OFFSET(Tabella!$A$1,MATCH(H937,Tabella!$A:$A,0)-1,MATCH(J937,Tabella!$A$1:$AC$1,0)-1)),4)</f>
        <v>0</v>
      </c>
      <c r="L937" s="238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238">
        <f ca="1">ROUND(IF(ISERROR(OFFSET(Rame!$A$1,MATCH(H937,Rame!$A:$A,0)-1,MATCH(J937,Rame!$A$1:$AA$1,0)-1)=TRUE),0,OFFSET(Rame!$A$1,MATCH(H937,Rame!$A:$A,0)-1,MATCH(J937,Rame!$A$1:$AA$1,0)-1))*IF(E937="Rame",1,0),4)</f>
        <v>0</v>
      </c>
      <c r="N937" s="238">
        <v>0</v>
      </c>
      <c r="O937" s="238">
        <f t="shared" ca="1" si="334"/>
        <v>0</v>
      </c>
      <c r="P937" s="238">
        <f ca="1">ROUND(+IF(ISERROR(OFFSET(Tabella!$G$1,MATCH(H937,Tabella!$G:$G,0)-1,MATCH(I937,Tabella!$G$1:$FG$1,0)-1)=TRUE),0,OFFSET(Tabella!$G$1,MATCH(H937,Tabella!$G:$G,0)-1,MATCH(I937,Tabella!$G$1:$AB$1,0)-1)),4)</f>
        <v>0</v>
      </c>
      <c r="Q937" s="238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238">
        <f ca="1">ROUND(IF(ISERROR(OFFSET(Rame!$F$1,MATCH(H937,Rame!$F:$F,0)-1,MATCH(I937,Rame!$F$1:$FF$1,0)-1)=TRUE),0,OFFSET(Rame!$F$1,MATCH(H937,Rame!$F:$F,0)-1,MATCH(I937,Rame!$F$1:$FF$1,0)-1))*IF(E937="Rame",1,0),4)</f>
        <v>0</v>
      </c>
      <c r="S937" s="238">
        <f ca="1">ROUND(IF(ISERROR(OFFSET(Bronzo!$A$1,MATCH(H937,Bronzo!$A:$A,0)-1,MATCH(I937,Bronzo!$A$1:$AA$1,0)-1)=TRUE),0,OFFSET(Bronzo!$A$1,MATCH(H937,Bronzo!$A:$A,0)-1,MATCH(I937,Bronzo!$A$1:$AA$1,0)-1)),4)</f>
        <v>0</v>
      </c>
      <c r="T937" s="238">
        <f t="shared" ca="1" si="337"/>
        <v>0</v>
      </c>
      <c r="U937" s="237"/>
      <c r="V937" s="238">
        <v>0</v>
      </c>
      <c r="W937" s="239">
        <f t="shared" ca="1" si="338"/>
        <v>0</v>
      </c>
      <c r="X937" s="240">
        <f t="shared" si="336"/>
        <v>0</v>
      </c>
      <c r="Y937" s="236"/>
      <c r="Z937" s="236">
        <f t="shared" ca="1" si="339"/>
        <v>0</v>
      </c>
      <c r="AA937" s="241"/>
      <c r="AF937" s="225">
        <f t="shared" ca="1" si="335"/>
        <v>46236</v>
      </c>
      <c r="AG937" s="225" t="b">
        <f t="shared" si="143"/>
        <v>1</v>
      </c>
      <c r="AH937" s="242" t="str">
        <f t="shared" si="144"/>
        <v/>
      </c>
      <c r="AK937" s="223">
        <f t="shared" si="145"/>
        <v>0</v>
      </c>
      <c r="AL937" s="223">
        <f t="shared" si="146"/>
        <v>1900</v>
      </c>
      <c r="AS937" s="223">
        <f t="shared" si="332"/>
        <v>0</v>
      </c>
      <c r="AT937" s="223">
        <f t="shared" si="333"/>
        <v>0</v>
      </c>
    </row>
    <row r="938" spans="2:46" ht="15.75" x14ac:dyDescent="0.25">
      <c r="B938" s="229"/>
      <c r="C938" s="235"/>
      <c r="D938" s="243"/>
      <c r="E938" s="232"/>
      <c r="F938" s="233"/>
      <c r="G938" s="234"/>
      <c r="H938" s="235"/>
      <c r="I938" s="235"/>
      <c r="J938" s="236"/>
      <c r="K938" s="237">
        <f ca="1">ROUND(IF(ISERROR(OFFSET(Tabella!$A$1,MATCH(H938,Tabella!$A:$A,0)-1,MATCH(J938,Tabella!$A$1:$AC$1,0)-1)=TRUE),0,+OFFSET(Tabella!$A$1,MATCH(H938,Tabella!$A:$A,0)-1,MATCH(J938,Tabella!$A$1:$AC$1,0)-1)),4)</f>
        <v>0</v>
      </c>
      <c r="L938" s="238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238">
        <f ca="1">ROUND(IF(ISERROR(OFFSET(Rame!$A$1,MATCH(H938,Rame!$A:$A,0)-1,MATCH(J938,Rame!$A$1:$AA$1,0)-1)=TRUE),0,OFFSET(Rame!$A$1,MATCH(H938,Rame!$A:$A,0)-1,MATCH(J938,Rame!$A$1:$AA$1,0)-1))*IF(E938="Rame",1,0),4)</f>
        <v>0</v>
      </c>
      <c r="N938" s="238">
        <v>0</v>
      </c>
      <c r="O938" s="238">
        <f t="shared" ca="1" si="334"/>
        <v>0</v>
      </c>
      <c r="P938" s="238">
        <f ca="1">ROUND(+IF(ISERROR(OFFSET(Tabella!$G$1,MATCH(H938,Tabella!$G:$G,0)-1,MATCH(I938,Tabella!$G$1:$FG$1,0)-1)=TRUE),0,OFFSET(Tabella!$G$1,MATCH(H938,Tabella!$G:$G,0)-1,MATCH(I938,Tabella!$G$1:$AB$1,0)-1)),4)</f>
        <v>0</v>
      </c>
      <c r="Q938" s="238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238">
        <f ca="1">ROUND(IF(ISERROR(OFFSET(Rame!$F$1,MATCH(H938,Rame!$F:$F,0)-1,MATCH(I938,Rame!$F$1:$FF$1,0)-1)=TRUE),0,OFFSET(Rame!$F$1,MATCH(H938,Rame!$F:$F,0)-1,MATCH(I938,Rame!$F$1:$FF$1,0)-1))*IF(E938="Rame",1,0),4)</f>
        <v>0</v>
      </c>
      <c r="S938" s="238">
        <f ca="1">ROUND(IF(ISERROR(OFFSET(Bronzo!$A$1,MATCH(H938,Bronzo!$A:$A,0)-1,MATCH(I938,Bronzo!$A$1:$AA$1,0)-1)=TRUE),0,OFFSET(Bronzo!$A$1,MATCH(H938,Bronzo!$A:$A,0)-1,MATCH(I938,Bronzo!$A$1:$AA$1,0)-1)),4)</f>
        <v>0</v>
      </c>
      <c r="T938" s="238">
        <f t="shared" ca="1" si="337"/>
        <v>0</v>
      </c>
      <c r="U938" s="237"/>
      <c r="V938" s="238">
        <v>0</v>
      </c>
      <c r="W938" s="239">
        <f t="shared" ca="1" si="338"/>
        <v>0</v>
      </c>
      <c r="X938" s="240">
        <f t="shared" si="336"/>
        <v>0</v>
      </c>
      <c r="Y938" s="236"/>
      <c r="Z938" s="236">
        <f t="shared" ca="1" si="339"/>
        <v>0</v>
      </c>
      <c r="AA938" s="241"/>
      <c r="AF938" s="225">
        <f t="shared" ca="1" si="335"/>
        <v>46236</v>
      </c>
      <c r="AG938" s="225" t="b">
        <f t="shared" si="143"/>
        <v>1</v>
      </c>
      <c r="AH938" s="242" t="str">
        <f t="shared" si="144"/>
        <v/>
      </c>
      <c r="AK938" s="223">
        <f t="shared" si="145"/>
        <v>0</v>
      </c>
      <c r="AL938" s="223">
        <f t="shared" si="146"/>
        <v>1900</v>
      </c>
      <c r="AS938" s="223">
        <f t="shared" si="332"/>
        <v>0</v>
      </c>
      <c r="AT938" s="223">
        <f t="shared" si="333"/>
        <v>0</v>
      </c>
    </row>
    <row r="939" spans="2:46" ht="15.75" x14ac:dyDescent="0.25">
      <c r="B939" s="229"/>
      <c r="C939" s="235"/>
      <c r="D939" s="243"/>
      <c r="E939" s="232"/>
      <c r="F939" s="233"/>
      <c r="G939" s="234"/>
      <c r="H939" s="235"/>
      <c r="I939" s="235"/>
      <c r="J939" s="236"/>
      <c r="K939" s="237">
        <f ca="1">ROUND(IF(ISERROR(OFFSET(Tabella!$A$1,MATCH(H939,Tabella!$A:$A,0)-1,MATCH(J939,Tabella!$A$1:$AC$1,0)-1)=TRUE),0,+OFFSET(Tabella!$A$1,MATCH(H939,Tabella!$A:$A,0)-1,MATCH(J939,Tabella!$A$1:$AC$1,0)-1)),4)</f>
        <v>0</v>
      </c>
      <c r="L939" s="238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238">
        <f ca="1">ROUND(IF(ISERROR(OFFSET(Rame!$A$1,MATCH(H939,Rame!$A:$A,0)-1,MATCH(J939,Rame!$A$1:$AA$1,0)-1)=TRUE),0,OFFSET(Rame!$A$1,MATCH(H939,Rame!$A:$A,0)-1,MATCH(J939,Rame!$A$1:$AA$1,0)-1))*IF(E939="Rame",1,0),4)</f>
        <v>0</v>
      </c>
      <c r="N939" s="238">
        <v>0</v>
      </c>
      <c r="O939" s="238">
        <f t="shared" ca="1" si="334"/>
        <v>0</v>
      </c>
      <c r="P939" s="238">
        <f ca="1">ROUND(+IF(ISERROR(OFFSET(Tabella!$G$1,MATCH(H939,Tabella!$G:$G,0)-1,MATCH(I939,Tabella!$G$1:$FG$1,0)-1)=TRUE),0,OFFSET(Tabella!$G$1,MATCH(H939,Tabella!$G:$G,0)-1,MATCH(I939,Tabella!$G$1:$AB$1,0)-1)),4)</f>
        <v>0</v>
      </c>
      <c r="Q939" s="238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238">
        <f ca="1">ROUND(IF(ISERROR(OFFSET(Rame!$F$1,MATCH(H939,Rame!$F:$F,0)-1,MATCH(I939,Rame!$F$1:$FF$1,0)-1)=TRUE),0,OFFSET(Rame!$F$1,MATCH(H939,Rame!$F:$F,0)-1,MATCH(I939,Rame!$F$1:$FF$1,0)-1))*IF(E939="Rame",1,0),4)</f>
        <v>0</v>
      </c>
      <c r="S939" s="238">
        <f ca="1">ROUND(IF(ISERROR(OFFSET(Bronzo!$A$1,MATCH(H939,Bronzo!$A:$A,0)-1,MATCH(I939,Bronzo!$A$1:$AA$1,0)-1)=TRUE),0,OFFSET(Bronzo!$A$1,MATCH(H939,Bronzo!$A:$A,0)-1,MATCH(I939,Bronzo!$A$1:$AA$1,0)-1)),4)</f>
        <v>0</v>
      </c>
      <c r="T939" s="238">
        <f t="shared" ca="1" si="337"/>
        <v>0</v>
      </c>
      <c r="U939" s="237"/>
      <c r="V939" s="238">
        <v>0</v>
      </c>
      <c r="W939" s="239">
        <f t="shared" ca="1" si="338"/>
        <v>0</v>
      </c>
      <c r="X939" s="240">
        <f t="shared" si="336"/>
        <v>0</v>
      </c>
      <c r="Y939" s="236"/>
      <c r="Z939" s="236">
        <f t="shared" ca="1" si="339"/>
        <v>0</v>
      </c>
      <c r="AA939" s="241"/>
      <c r="AF939" s="225">
        <f t="shared" ca="1" si="335"/>
        <v>46236</v>
      </c>
      <c r="AG939" s="225" t="b">
        <f t="shared" si="143"/>
        <v>1</v>
      </c>
      <c r="AH939" s="242" t="str">
        <f t="shared" si="144"/>
        <v/>
      </c>
      <c r="AK939" s="223">
        <f t="shared" si="145"/>
        <v>0</v>
      </c>
      <c r="AL939" s="223">
        <f t="shared" si="146"/>
        <v>1900</v>
      </c>
      <c r="AS939" s="223">
        <f t="shared" si="332"/>
        <v>0</v>
      </c>
      <c r="AT939" s="223">
        <f t="shared" si="333"/>
        <v>0</v>
      </c>
    </row>
    <row r="940" spans="2:46" ht="15.75" x14ac:dyDescent="0.25">
      <c r="B940" s="229"/>
      <c r="C940" s="235"/>
      <c r="D940" s="243"/>
      <c r="E940" s="232"/>
      <c r="F940" s="233"/>
      <c r="G940" s="234"/>
      <c r="H940" s="235"/>
      <c r="I940" s="235"/>
      <c r="J940" s="236"/>
      <c r="K940" s="237">
        <f ca="1">ROUND(IF(ISERROR(OFFSET(Tabella!$A$1,MATCH(H940,Tabella!$A:$A,0)-1,MATCH(J940,Tabella!$A$1:$AC$1,0)-1)=TRUE),0,+OFFSET(Tabella!$A$1,MATCH(H940,Tabella!$A:$A,0)-1,MATCH(J940,Tabella!$A$1:$AC$1,0)-1)),4)</f>
        <v>0</v>
      </c>
      <c r="L940" s="238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238">
        <f ca="1">ROUND(IF(ISERROR(OFFSET(Rame!$A$1,MATCH(H940,Rame!$A:$A,0)-1,MATCH(J940,Rame!$A$1:$AA$1,0)-1)=TRUE),0,OFFSET(Rame!$A$1,MATCH(H940,Rame!$A:$A,0)-1,MATCH(J940,Rame!$A$1:$AA$1,0)-1))*IF(E940="Rame",1,0),4)</f>
        <v>0</v>
      </c>
      <c r="N940" s="238">
        <v>0</v>
      </c>
      <c r="O940" s="238">
        <f t="shared" ca="1" si="334"/>
        <v>0</v>
      </c>
      <c r="P940" s="238">
        <f ca="1">ROUND(+IF(ISERROR(OFFSET(Tabella!$G$1,MATCH(H940,Tabella!$G:$G,0)-1,MATCH(I940,Tabella!$G$1:$FG$1,0)-1)=TRUE),0,OFFSET(Tabella!$G$1,MATCH(H940,Tabella!$G:$G,0)-1,MATCH(I940,Tabella!$G$1:$AB$1,0)-1)),4)</f>
        <v>0</v>
      </c>
      <c r="Q940" s="238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238">
        <f ca="1">ROUND(IF(ISERROR(OFFSET(Rame!$F$1,MATCH(H940,Rame!$F:$F,0)-1,MATCH(I940,Rame!$F$1:$FF$1,0)-1)=TRUE),0,OFFSET(Rame!$F$1,MATCH(H940,Rame!$F:$F,0)-1,MATCH(I940,Rame!$F$1:$FF$1,0)-1))*IF(E940="Rame",1,0),4)</f>
        <v>0</v>
      </c>
      <c r="S940" s="238">
        <f ca="1">ROUND(IF(ISERROR(OFFSET(Bronzo!$A$1,MATCH(H940,Bronzo!$A:$A,0)-1,MATCH(I940,Bronzo!$A$1:$AA$1,0)-1)=TRUE),0,OFFSET(Bronzo!$A$1,MATCH(H940,Bronzo!$A:$A,0)-1,MATCH(I940,Bronzo!$A$1:$AA$1,0)-1)),4)</f>
        <v>0</v>
      </c>
      <c r="T940" s="238">
        <f t="shared" ca="1" si="337"/>
        <v>0</v>
      </c>
      <c r="U940" s="237"/>
      <c r="V940" s="238">
        <v>0</v>
      </c>
      <c r="W940" s="239">
        <f t="shared" ca="1" si="338"/>
        <v>0</v>
      </c>
      <c r="X940" s="240">
        <f t="shared" si="336"/>
        <v>0</v>
      </c>
      <c r="Y940" s="236"/>
      <c r="Z940" s="236">
        <f t="shared" ca="1" si="339"/>
        <v>0</v>
      </c>
      <c r="AA940" s="241"/>
      <c r="AF940" s="225">
        <f t="shared" ca="1" si="335"/>
        <v>46236</v>
      </c>
      <c r="AG940" s="225" t="b">
        <f t="shared" ref="AG940:AG978" si="340">ISBLANK(AA940)</f>
        <v>1</v>
      </c>
      <c r="AH940" s="242" t="str">
        <f t="shared" ref="AH940:AH978" si="341">IF(AG940=FALSE,_xlfn.DAYS(AA940,AF940),"")</f>
        <v/>
      </c>
      <c r="AK940" s="223">
        <f t="shared" ref="AK940:AK978" si="342">WEEKNUM(AA940)</f>
        <v>0</v>
      </c>
      <c r="AL940" s="223">
        <f t="shared" ref="AL940:AL978" si="343">YEAR(AA940)</f>
        <v>1900</v>
      </c>
      <c r="AS940" s="223">
        <f t="shared" si="332"/>
        <v>0</v>
      </c>
      <c r="AT940" s="223">
        <f t="shared" si="333"/>
        <v>0</v>
      </c>
    </row>
    <row r="941" spans="2:46" ht="15.75" x14ac:dyDescent="0.25">
      <c r="B941" s="229"/>
      <c r="C941" s="235"/>
      <c r="D941" s="243"/>
      <c r="E941" s="232"/>
      <c r="F941" s="233"/>
      <c r="G941" s="234"/>
      <c r="H941" s="235"/>
      <c r="I941" s="235"/>
      <c r="J941" s="236"/>
      <c r="K941" s="237">
        <f ca="1">ROUND(IF(ISERROR(OFFSET(Tabella!$A$1,MATCH(H941,Tabella!$A:$A,0)-1,MATCH(J941,Tabella!$A$1:$AC$1,0)-1)=TRUE),0,+OFFSET(Tabella!$A$1,MATCH(H941,Tabella!$A:$A,0)-1,MATCH(J941,Tabella!$A$1:$AC$1,0)-1)),4)</f>
        <v>0</v>
      </c>
      <c r="L941" s="238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238">
        <f ca="1">ROUND(IF(ISERROR(OFFSET(Rame!$A$1,MATCH(H941,Rame!$A:$A,0)-1,MATCH(J941,Rame!$A$1:$AA$1,0)-1)=TRUE),0,OFFSET(Rame!$A$1,MATCH(H941,Rame!$A:$A,0)-1,MATCH(J941,Rame!$A$1:$AA$1,0)-1))*IF(E941="Rame",1,0),4)</f>
        <v>0</v>
      </c>
      <c r="N941" s="238">
        <v>0</v>
      </c>
      <c r="O941" s="238">
        <f t="shared" ca="1" si="334"/>
        <v>0</v>
      </c>
      <c r="P941" s="238">
        <f ca="1">ROUND(+IF(ISERROR(OFFSET(Tabella!$G$1,MATCH(H941,Tabella!$G:$G,0)-1,MATCH(I941,Tabella!$G$1:$FG$1,0)-1)=TRUE),0,OFFSET(Tabella!$G$1,MATCH(H941,Tabella!$G:$G,0)-1,MATCH(I941,Tabella!$G$1:$AB$1,0)-1)),4)</f>
        <v>0</v>
      </c>
      <c r="Q941" s="238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238">
        <f ca="1">ROUND(IF(ISERROR(OFFSET(Rame!$F$1,MATCH(H941,Rame!$F:$F,0)-1,MATCH(I941,Rame!$F$1:$FF$1,0)-1)=TRUE),0,OFFSET(Rame!$F$1,MATCH(H941,Rame!$F:$F,0)-1,MATCH(I941,Rame!$F$1:$FF$1,0)-1))*IF(E941="Rame",1,0),4)</f>
        <v>0</v>
      </c>
      <c r="S941" s="238">
        <f ca="1">ROUND(IF(ISERROR(OFFSET(Bronzo!$A$1,MATCH(H941,Bronzo!$A:$A,0)-1,MATCH(I941,Bronzo!$A$1:$AA$1,0)-1)=TRUE),0,OFFSET(Bronzo!$A$1,MATCH(H941,Bronzo!$A:$A,0)-1,MATCH(I941,Bronzo!$A$1:$AA$1,0)-1)),4)</f>
        <v>0</v>
      </c>
      <c r="T941" s="238">
        <f t="shared" ca="1" si="337"/>
        <v>0</v>
      </c>
      <c r="U941" s="237"/>
      <c r="V941" s="238">
        <v>0</v>
      </c>
      <c r="W941" s="239">
        <f t="shared" ca="1" si="338"/>
        <v>0</v>
      </c>
      <c r="X941" s="240">
        <f t="shared" si="336"/>
        <v>0</v>
      </c>
      <c r="Y941" s="236"/>
      <c r="Z941" s="236">
        <f t="shared" ca="1" si="339"/>
        <v>0</v>
      </c>
      <c r="AA941" s="241"/>
      <c r="AF941" s="225">
        <f t="shared" ca="1" si="335"/>
        <v>46236</v>
      </c>
      <c r="AG941" s="225" t="b">
        <f t="shared" si="340"/>
        <v>1</v>
      </c>
      <c r="AH941" s="242" t="str">
        <f t="shared" si="341"/>
        <v/>
      </c>
      <c r="AK941" s="223">
        <f t="shared" si="342"/>
        <v>0</v>
      </c>
      <c r="AL941" s="223">
        <f t="shared" si="343"/>
        <v>1900</v>
      </c>
      <c r="AS941" s="223">
        <f t="shared" si="332"/>
        <v>0</v>
      </c>
      <c r="AT941" s="223">
        <f t="shared" si="333"/>
        <v>0</v>
      </c>
    </row>
    <row r="942" spans="2:46" ht="15.75" x14ac:dyDescent="0.25">
      <c r="B942" s="229"/>
      <c r="C942" s="235"/>
      <c r="D942" s="243"/>
      <c r="E942" s="232"/>
      <c r="F942" s="233"/>
      <c r="G942" s="234"/>
      <c r="H942" s="235"/>
      <c r="I942" s="235"/>
      <c r="J942" s="236"/>
      <c r="K942" s="237">
        <f ca="1">ROUND(IF(ISERROR(OFFSET(Tabella!$A$1,MATCH(H942,Tabella!$A:$A,0)-1,MATCH(J942,Tabella!$A$1:$AC$1,0)-1)=TRUE),0,+OFFSET(Tabella!$A$1,MATCH(H942,Tabella!$A:$A,0)-1,MATCH(J942,Tabella!$A$1:$AC$1,0)-1)),4)</f>
        <v>0</v>
      </c>
      <c r="L942" s="238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238">
        <f ca="1">ROUND(IF(ISERROR(OFFSET(Rame!$A$1,MATCH(H942,Rame!$A:$A,0)-1,MATCH(J942,Rame!$A$1:$AA$1,0)-1)=TRUE),0,OFFSET(Rame!$A$1,MATCH(H942,Rame!$A:$A,0)-1,MATCH(J942,Rame!$A$1:$AA$1,0)-1))*IF(E942="Rame",1,0),4)</f>
        <v>0</v>
      </c>
      <c r="N942" s="238">
        <v>0</v>
      </c>
      <c r="O942" s="238">
        <f t="shared" ca="1" si="334"/>
        <v>0</v>
      </c>
      <c r="P942" s="238">
        <f ca="1">ROUND(+IF(ISERROR(OFFSET(Tabella!$G$1,MATCH(H942,Tabella!$G:$G,0)-1,MATCH(I942,Tabella!$G$1:$FG$1,0)-1)=TRUE),0,OFFSET(Tabella!$G$1,MATCH(H942,Tabella!$G:$G,0)-1,MATCH(I942,Tabella!$G$1:$AB$1,0)-1)),4)</f>
        <v>0</v>
      </c>
      <c r="Q942" s="238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238">
        <f ca="1">ROUND(IF(ISERROR(OFFSET(Rame!$F$1,MATCH(H942,Rame!$F:$F,0)-1,MATCH(I942,Rame!$F$1:$FF$1,0)-1)=TRUE),0,OFFSET(Rame!$F$1,MATCH(H942,Rame!$F:$F,0)-1,MATCH(I942,Rame!$F$1:$FF$1,0)-1))*IF(E942="Rame",1,0),4)</f>
        <v>0</v>
      </c>
      <c r="S942" s="238">
        <f ca="1">ROUND(IF(ISERROR(OFFSET(Bronzo!$A$1,MATCH(H942,Bronzo!$A:$A,0)-1,MATCH(I942,Bronzo!$A$1:$AA$1,0)-1)=TRUE),0,OFFSET(Bronzo!$A$1,MATCH(H942,Bronzo!$A:$A,0)-1,MATCH(I942,Bronzo!$A$1:$AA$1,0)-1)),4)</f>
        <v>0</v>
      </c>
      <c r="T942" s="238">
        <f t="shared" ca="1" si="337"/>
        <v>0</v>
      </c>
      <c r="U942" s="237"/>
      <c r="V942" s="238">
        <v>0</v>
      </c>
      <c r="W942" s="239">
        <f t="shared" ca="1" si="338"/>
        <v>0</v>
      </c>
      <c r="X942" s="240">
        <f t="shared" si="336"/>
        <v>0</v>
      </c>
      <c r="Y942" s="236"/>
      <c r="Z942" s="236">
        <f t="shared" ca="1" si="339"/>
        <v>0</v>
      </c>
      <c r="AA942" s="241"/>
      <c r="AF942" s="225">
        <f t="shared" ca="1" si="335"/>
        <v>46236</v>
      </c>
      <c r="AG942" s="225" t="b">
        <f t="shared" si="340"/>
        <v>1</v>
      </c>
      <c r="AH942" s="242" t="str">
        <f t="shared" si="341"/>
        <v/>
      </c>
      <c r="AK942" s="223">
        <f t="shared" si="342"/>
        <v>0</v>
      </c>
      <c r="AL942" s="223">
        <f t="shared" si="343"/>
        <v>1900</v>
      </c>
      <c r="AS942" s="223">
        <f t="shared" si="332"/>
        <v>0</v>
      </c>
      <c r="AT942" s="223">
        <f t="shared" si="333"/>
        <v>0</v>
      </c>
    </row>
    <row r="943" spans="2:46" ht="15.75" x14ac:dyDescent="0.25">
      <c r="B943" s="229"/>
      <c r="C943" s="235"/>
      <c r="D943" s="243"/>
      <c r="E943" s="232"/>
      <c r="F943" s="233"/>
      <c r="G943" s="234"/>
      <c r="H943" s="235"/>
      <c r="I943" s="235"/>
      <c r="J943" s="236"/>
      <c r="K943" s="237">
        <f ca="1">ROUND(IF(ISERROR(OFFSET(Tabella!$A$1,MATCH(H943,Tabella!$A:$A,0)-1,MATCH(J943,Tabella!$A$1:$AC$1,0)-1)=TRUE),0,+OFFSET(Tabella!$A$1,MATCH(H943,Tabella!$A:$A,0)-1,MATCH(J943,Tabella!$A$1:$AC$1,0)-1)),4)</f>
        <v>0</v>
      </c>
      <c r="L943" s="238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238">
        <f ca="1">ROUND(IF(ISERROR(OFFSET(Rame!$A$1,MATCH(H943,Rame!$A:$A,0)-1,MATCH(J943,Rame!$A$1:$AA$1,0)-1)=TRUE),0,OFFSET(Rame!$A$1,MATCH(H943,Rame!$A:$A,0)-1,MATCH(J943,Rame!$A$1:$AA$1,0)-1))*IF(E943="Rame",1,0),4)</f>
        <v>0</v>
      </c>
      <c r="N943" s="238">
        <v>0</v>
      </c>
      <c r="O943" s="238">
        <f t="shared" ca="1" si="334"/>
        <v>0</v>
      </c>
      <c r="P943" s="238">
        <f ca="1">ROUND(+IF(ISERROR(OFFSET(Tabella!$G$1,MATCH(H943,Tabella!$G:$G,0)-1,MATCH(I943,Tabella!$G$1:$FG$1,0)-1)=TRUE),0,OFFSET(Tabella!$G$1,MATCH(H943,Tabella!$G:$G,0)-1,MATCH(I943,Tabella!$G$1:$AB$1,0)-1)),4)</f>
        <v>0</v>
      </c>
      <c r="Q943" s="238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238">
        <f ca="1">ROUND(IF(ISERROR(OFFSET(Rame!$F$1,MATCH(H943,Rame!$F:$F,0)-1,MATCH(I943,Rame!$F$1:$FF$1,0)-1)=TRUE),0,OFFSET(Rame!$F$1,MATCH(H943,Rame!$F:$F,0)-1,MATCH(I943,Rame!$F$1:$FF$1,0)-1))*IF(E943="Rame",1,0),4)</f>
        <v>0</v>
      </c>
      <c r="S943" s="238">
        <f ca="1">ROUND(IF(ISERROR(OFFSET(Bronzo!$A$1,MATCH(H943,Bronzo!$A:$A,0)-1,MATCH(I943,Bronzo!$A$1:$AA$1,0)-1)=TRUE),0,OFFSET(Bronzo!$A$1,MATCH(H943,Bronzo!$A:$A,0)-1,MATCH(I943,Bronzo!$A$1:$AA$1,0)-1)),4)</f>
        <v>0</v>
      </c>
      <c r="T943" s="238">
        <f t="shared" ca="1" si="337"/>
        <v>0</v>
      </c>
      <c r="U943" s="237"/>
      <c r="V943" s="238">
        <v>0</v>
      </c>
      <c r="W943" s="239">
        <f t="shared" ca="1" si="338"/>
        <v>0</v>
      </c>
      <c r="X943" s="240">
        <f t="shared" si="336"/>
        <v>0</v>
      </c>
      <c r="Y943" s="236"/>
      <c r="Z943" s="236">
        <f t="shared" ca="1" si="339"/>
        <v>0</v>
      </c>
      <c r="AA943" s="241"/>
      <c r="AF943" s="225">
        <f t="shared" ca="1" si="335"/>
        <v>46236</v>
      </c>
      <c r="AG943" s="225" t="b">
        <f t="shared" si="340"/>
        <v>1</v>
      </c>
      <c r="AH943" s="242" t="str">
        <f t="shared" si="341"/>
        <v/>
      </c>
      <c r="AK943" s="223">
        <f t="shared" si="342"/>
        <v>0</v>
      </c>
      <c r="AL943" s="223">
        <f t="shared" si="343"/>
        <v>1900</v>
      </c>
      <c r="AS943" s="223">
        <f t="shared" si="332"/>
        <v>0</v>
      </c>
      <c r="AT943" s="223">
        <f t="shared" si="333"/>
        <v>0</v>
      </c>
    </row>
    <row r="944" spans="2:46" ht="15.75" x14ac:dyDescent="0.25">
      <c r="B944" s="229"/>
      <c r="C944" s="235"/>
      <c r="D944" s="243"/>
      <c r="E944" s="232"/>
      <c r="F944" s="233"/>
      <c r="G944" s="234"/>
      <c r="H944" s="235"/>
      <c r="I944" s="235"/>
      <c r="J944" s="236"/>
      <c r="K944" s="237">
        <f ca="1">ROUND(IF(ISERROR(OFFSET(Tabella!$A$1,MATCH(H944,Tabella!$A:$A,0)-1,MATCH(J944,Tabella!$A$1:$AC$1,0)-1)=TRUE),0,+OFFSET(Tabella!$A$1,MATCH(H944,Tabella!$A:$A,0)-1,MATCH(J944,Tabella!$A$1:$AC$1,0)-1)),4)</f>
        <v>0</v>
      </c>
      <c r="L944" s="238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238">
        <f ca="1">ROUND(IF(ISERROR(OFFSET(Rame!$A$1,MATCH(H944,Rame!$A:$A,0)-1,MATCH(J944,Rame!$A$1:$AA$1,0)-1)=TRUE),0,OFFSET(Rame!$A$1,MATCH(H944,Rame!$A:$A,0)-1,MATCH(J944,Rame!$A$1:$AA$1,0)-1))*IF(E944="Rame",1,0),4)</f>
        <v>0</v>
      </c>
      <c r="N944" s="238">
        <v>0</v>
      </c>
      <c r="O944" s="238">
        <f t="shared" ca="1" si="334"/>
        <v>0</v>
      </c>
      <c r="P944" s="238">
        <f ca="1">ROUND(+IF(ISERROR(OFFSET(Tabella!$G$1,MATCH(H944,Tabella!$G:$G,0)-1,MATCH(I944,Tabella!$G$1:$FG$1,0)-1)=TRUE),0,OFFSET(Tabella!$G$1,MATCH(H944,Tabella!$G:$G,0)-1,MATCH(I944,Tabella!$G$1:$AB$1,0)-1)),4)</f>
        <v>0</v>
      </c>
      <c r="Q944" s="238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238">
        <f ca="1">ROUND(IF(ISERROR(OFFSET(Rame!$F$1,MATCH(H944,Rame!$F:$F,0)-1,MATCH(I944,Rame!$F$1:$FF$1,0)-1)=TRUE),0,OFFSET(Rame!$F$1,MATCH(H944,Rame!$F:$F,0)-1,MATCH(I944,Rame!$F$1:$FF$1,0)-1))*IF(E944="Rame",1,0),4)</f>
        <v>0</v>
      </c>
      <c r="S944" s="238">
        <f ca="1">ROUND(IF(ISERROR(OFFSET(Bronzo!$A$1,MATCH(H944,Bronzo!$A:$A,0)-1,MATCH(I944,Bronzo!$A$1:$AA$1,0)-1)=TRUE),0,OFFSET(Bronzo!$A$1,MATCH(H944,Bronzo!$A:$A,0)-1,MATCH(I944,Bronzo!$A$1:$AA$1,0)-1)),4)</f>
        <v>0</v>
      </c>
      <c r="T944" s="238">
        <f t="shared" ca="1" si="337"/>
        <v>0</v>
      </c>
      <c r="U944" s="237"/>
      <c r="V944" s="238">
        <v>0</v>
      </c>
      <c r="W944" s="239">
        <f t="shared" ca="1" si="338"/>
        <v>0</v>
      </c>
      <c r="X944" s="240">
        <f t="shared" si="336"/>
        <v>0</v>
      </c>
      <c r="Y944" s="236"/>
      <c r="Z944" s="236">
        <f t="shared" ca="1" si="339"/>
        <v>0</v>
      </c>
      <c r="AA944" s="241"/>
      <c r="AF944" s="225">
        <f t="shared" ca="1" si="335"/>
        <v>46236</v>
      </c>
      <c r="AG944" s="225" t="b">
        <f t="shared" si="340"/>
        <v>1</v>
      </c>
      <c r="AH944" s="242" t="str">
        <f t="shared" si="341"/>
        <v/>
      </c>
      <c r="AK944" s="223">
        <f t="shared" si="342"/>
        <v>0</v>
      </c>
      <c r="AL944" s="223">
        <f t="shared" si="343"/>
        <v>1900</v>
      </c>
      <c r="AS944" s="223">
        <f t="shared" si="332"/>
        <v>0</v>
      </c>
      <c r="AT944" s="223">
        <f t="shared" si="333"/>
        <v>0</v>
      </c>
    </row>
    <row r="945" spans="2:46" ht="15.75" x14ac:dyDescent="0.25">
      <c r="B945" s="229"/>
      <c r="C945" s="235"/>
      <c r="D945" s="243"/>
      <c r="E945" s="232"/>
      <c r="F945" s="233"/>
      <c r="G945" s="234"/>
      <c r="H945" s="235"/>
      <c r="I945" s="235"/>
      <c r="J945" s="236"/>
      <c r="K945" s="237">
        <f ca="1">ROUND(IF(ISERROR(OFFSET(Tabella!$A$1,MATCH(H945,Tabella!$A:$A,0)-1,MATCH(J945,Tabella!$A$1:$AC$1,0)-1)=TRUE),0,+OFFSET(Tabella!$A$1,MATCH(H945,Tabella!$A:$A,0)-1,MATCH(J945,Tabella!$A$1:$AC$1,0)-1)),4)</f>
        <v>0</v>
      </c>
      <c r="L945" s="238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238">
        <f ca="1">ROUND(IF(ISERROR(OFFSET(Rame!$A$1,MATCH(H945,Rame!$A:$A,0)-1,MATCH(J945,Rame!$A$1:$AA$1,0)-1)=TRUE),0,OFFSET(Rame!$A$1,MATCH(H945,Rame!$A:$A,0)-1,MATCH(J945,Rame!$A$1:$AA$1,0)-1))*IF(E945="Rame",1,0),4)</f>
        <v>0</v>
      </c>
      <c r="N945" s="238">
        <v>0</v>
      </c>
      <c r="O945" s="238">
        <f t="shared" ca="1" si="334"/>
        <v>0</v>
      </c>
      <c r="P945" s="238">
        <f ca="1">ROUND(+IF(ISERROR(OFFSET(Tabella!$G$1,MATCH(H945,Tabella!$G:$G,0)-1,MATCH(I945,Tabella!$G$1:$FG$1,0)-1)=TRUE),0,OFFSET(Tabella!$G$1,MATCH(H945,Tabella!$G:$G,0)-1,MATCH(I945,Tabella!$G$1:$AB$1,0)-1)),4)</f>
        <v>0</v>
      </c>
      <c r="Q945" s="238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238">
        <f ca="1">ROUND(IF(ISERROR(OFFSET(Rame!$F$1,MATCH(H945,Rame!$F:$F,0)-1,MATCH(I945,Rame!$F$1:$FF$1,0)-1)=TRUE),0,OFFSET(Rame!$F$1,MATCH(H945,Rame!$F:$F,0)-1,MATCH(I945,Rame!$F$1:$FF$1,0)-1))*IF(E945="Rame",1,0),4)</f>
        <v>0</v>
      </c>
      <c r="S945" s="238">
        <f ca="1">ROUND(IF(ISERROR(OFFSET(Bronzo!$A$1,MATCH(H945,Bronzo!$A:$A,0)-1,MATCH(I945,Bronzo!$A$1:$AA$1,0)-1)=TRUE),0,OFFSET(Bronzo!$A$1,MATCH(H945,Bronzo!$A:$A,0)-1,MATCH(I945,Bronzo!$A$1:$AA$1,0)-1)),4)</f>
        <v>0</v>
      </c>
      <c r="T945" s="238">
        <f t="shared" ca="1" si="337"/>
        <v>0</v>
      </c>
      <c r="U945" s="237"/>
      <c r="V945" s="238">
        <v>0</v>
      </c>
      <c r="W945" s="239">
        <f t="shared" ca="1" si="338"/>
        <v>0</v>
      </c>
      <c r="X945" s="240">
        <f t="shared" si="336"/>
        <v>0</v>
      </c>
      <c r="Y945" s="236"/>
      <c r="Z945" s="236">
        <f t="shared" ca="1" si="339"/>
        <v>0</v>
      </c>
      <c r="AA945" s="241"/>
      <c r="AF945" s="225">
        <f t="shared" ca="1" si="335"/>
        <v>46236</v>
      </c>
      <c r="AG945" s="225" t="b">
        <f t="shared" si="340"/>
        <v>1</v>
      </c>
      <c r="AH945" s="242" t="str">
        <f t="shared" si="341"/>
        <v/>
      </c>
      <c r="AK945" s="223">
        <f t="shared" si="342"/>
        <v>0</v>
      </c>
      <c r="AL945" s="223">
        <f t="shared" si="343"/>
        <v>1900</v>
      </c>
      <c r="AS945" s="223">
        <f t="shared" ref="AS945:AS978" si="344">IF(AA945="",0,MONTH(AA945))</f>
        <v>0</v>
      </c>
      <c r="AT945" s="223">
        <f t="shared" ref="AT945:AT978" si="345">IF(AA945="",0,YEAR(AA945))</f>
        <v>0</v>
      </c>
    </row>
    <row r="946" spans="2:46" ht="15.75" x14ac:dyDescent="0.25">
      <c r="B946" s="229"/>
      <c r="C946" s="235"/>
      <c r="D946" s="243"/>
      <c r="E946" s="232"/>
      <c r="F946" s="233"/>
      <c r="G946" s="234"/>
      <c r="H946" s="235"/>
      <c r="I946" s="235"/>
      <c r="J946" s="236"/>
      <c r="K946" s="237">
        <f ca="1">ROUND(IF(ISERROR(OFFSET(Tabella!$A$1,MATCH(H946,Tabella!$A:$A,0)-1,MATCH(J946,Tabella!$A$1:$AC$1,0)-1)=TRUE),0,+OFFSET(Tabella!$A$1,MATCH(H946,Tabella!$A:$A,0)-1,MATCH(J946,Tabella!$A$1:$AC$1,0)-1)),4)</f>
        <v>0</v>
      </c>
      <c r="L946" s="238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238">
        <f ca="1">ROUND(IF(ISERROR(OFFSET(Rame!$A$1,MATCH(H946,Rame!$A:$A,0)-1,MATCH(J946,Rame!$A$1:$AA$1,0)-1)=TRUE),0,OFFSET(Rame!$A$1,MATCH(H946,Rame!$A:$A,0)-1,MATCH(J946,Rame!$A$1:$AA$1,0)-1))*IF(E946="Rame",1,0),4)</f>
        <v>0</v>
      </c>
      <c r="N946" s="238">
        <v>0</v>
      </c>
      <c r="O946" s="238">
        <f t="shared" ca="1" si="334"/>
        <v>0</v>
      </c>
      <c r="P946" s="238">
        <f ca="1">ROUND(+IF(ISERROR(OFFSET(Tabella!$G$1,MATCH(H946,Tabella!$G:$G,0)-1,MATCH(I946,Tabella!$G$1:$FG$1,0)-1)=TRUE),0,OFFSET(Tabella!$G$1,MATCH(H946,Tabella!$G:$G,0)-1,MATCH(I946,Tabella!$G$1:$AB$1,0)-1)),4)</f>
        <v>0</v>
      </c>
      <c r="Q946" s="238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238">
        <f ca="1">ROUND(IF(ISERROR(OFFSET(Rame!$F$1,MATCH(H946,Rame!$F:$F,0)-1,MATCH(I946,Rame!$F$1:$FF$1,0)-1)=TRUE),0,OFFSET(Rame!$F$1,MATCH(H946,Rame!$F:$F,0)-1,MATCH(I946,Rame!$F$1:$FF$1,0)-1))*IF(E946="Rame",1,0),4)</f>
        <v>0</v>
      </c>
      <c r="S946" s="238">
        <f ca="1">ROUND(IF(ISERROR(OFFSET(Bronzo!$A$1,MATCH(H946,Bronzo!$A:$A,0)-1,MATCH(I946,Bronzo!$A$1:$AA$1,0)-1)=TRUE),0,OFFSET(Bronzo!$A$1,MATCH(H946,Bronzo!$A:$A,0)-1,MATCH(I946,Bronzo!$A$1:$AA$1,0)-1)),4)</f>
        <v>0</v>
      </c>
      <c r="T946" s="238">
        <f t="shared" ca="1" si="337"/>
        <v>0</v>
      </c>
      <c r="U946" s="237"/>
      <c r="V946" s="238">
        <v>0</v>
      </c>
      <c r="W946" s="239">
        <f t="shared" ca="1" si="338"/>
        <v>0</v>
      </c>
      <c r="X946" s="240">
        <f t="shared" si="336"/>
        <v>0</v>
      </c>
      <c r="Y946" s="236"/>
      <c r="Z946" s="236">
        <f t="shared" ca="1" si="339"/>
        <v>0</v>
      </c>
      <c r="AA946" s="241"/>
      <c r="AF946" s="225">
        <f t="shared" ca="1" si="335"/>
        <v>46236</v>
      </c>
      <c r="AG946" s="225" t="b">
        <f t="shared" si="340"/>
        <v>1</v>
      </c>
      <c r="AH946" s="242" t="str">
        <f t="shared" si="341"/>
        <v/>
      </c>
      <c r="AK946" s="223">
        <f t="shared" si="342"/>
        <v>0</v>
      </c>
      <c r="AL946" s="223">
        <f t="shared" si="343"/>
        <v>1900</v>
      </c>
      <c r="AS946" s="223">
        <f t="shared" si="344"/>
        <v>0</v>
      </c>
      <c r="AT946" s="223">
        <f t="shared" si="345"/>
        <v>0</v>
      </c>
    </row>
    <row r="947" spans="2:46" ht="15.75" x14ac:dyDescent="0.25">
      <c r="B947" s="229"/>
      <c r="C947" s="235"/>
      <c r="D947" s="243"/>
      <c r="E947" s="232"/>
      <c r="F947" s="233"/>
      <c r="G947" s="234"/>
      <c r="H947" s="235"/>
      <c r="I947" s="235"/>
      <c r="J947" s="236"/>
      <c r="K947" s="237">
        <f ca="1">ROUND(IF(ISERROR(OFFSET(Tabella!$A$1,MATCH(H947,Tabella!$A:$A,0)-1,MATCH(J947,Tabella!$A$1:$AC$1,0)-1)=TRUE),0,+OFFSET(Tabella!$A$1,MATCH(H947,Tabella!$A:$A,0)-1,MATCH(J947,Tabella!$A$1:$AC$1,0)-1)),4)</f>
        <v>0</v>
      </c>
      <c r="L947" s="238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238">
        <f ca="1">ROUND(IF(ISERROR(OFFSET(Rame!$A$1,MATCH(H947,Rame!$A:$A,0)-1,MATCH(J947,Rame!$A$1:$AA$1,0)-1)=TRUE),0,OFFSET(Rame!$A$1,MATCH(H947,Rame!$A:$A,0)-1,MATCH(J947,Rame!$A$1:$AA$1,0)-1))*IF(E947="Rame",1,0),4)</f>
        <v>0</v>
      </c>
      <c r="N947" s="238">
        <v>0</v>
      </c>
      <c r="O947" s="238">
        <f t="shared" ref="O947:O1010" ca="1" si="346">ROUND(SUM(K947:N947),4)</f>
        <v>0</v>
      </c>
      <c r="P947" s="238">
        <f ca="1">ROUND(+IF(ISERROR(OFFSET(Tabella!$G$1,MATCH(H947,Tabella!$G:$G,0)-1,MATCH(I947,Tabella!$G$1:$FG$1,0)-1)=TRUE),0,OFFSET(Tabella!$G$1,MATCH(H947,Tabella!$G:$G,0)-1,MATCH(I947,Tabella!$G$1:$AB$1,0)-1)),4)</f>
        <v>0</v>
      </c>
      <c r="Q947" s="238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238">
        <f ca="1">ROUND(IF(ISERROR(OFFSET(Rame!$F$1,MATCH(H947,Rame!$F:$F,0)-1,MATCH(I947,Rame!$F$1:$FF$1,0)-1)=TRUE),0,OFFSET(Rame!$F$1,MATCH(H947,Rame!$F:$F,0)-1,MATCH(I947,Rame!$F$1:$FF$1,0)-1))*IF(E947="Rame",1,0),4)</f>
        <v>0</v>
      </c>
      <c r="S947" s="238">
        <f ca="1">ROUND(IF(ISERROR(OFFSET(Bronzo!$A$1,MATCH(H947,Bronzo!$A:$A,0)-1,MATCH(I947,Bronzo!$A$1:$AA$1,0)-1)=TRUE),0,OFFSET(Bronzo!$A$1,MATCH(H947,Bronzo!$A:$A,0)-1,MATCH(I947,Bronzo!$A$1:$AA$1,0)-1)),4)</f>
        <v>0</v>
      </c>
      <c r="T947" s="238">
        <f t="shared" ca="1" si="337"/>
        <v>0</v>
      </c>
      <c r="U947" s="237"/>
      <c r="V947" s="238">
        <v>0</v>
      </c>
      <c r="W947" s="239">
        <f t="shared" ca="1" si="338"/>
        <v>0</v>
      </c>
      <c r="X947" s="240">
        <f t="shared" si="336"/>
        <v>0</v>
      </c>
      <c r="Y947" s="236"/>
      <c r="Z947" s="236">
        <f t="shared" ca="1" si="339"/>
        <v>0</v>
      </c>
      <c r="AA947" s="241"/>
      <c r="AF947" s="225">
        <f t="shared" ca="1" si="335"/>
        <v>46236</v>
      </c>
      <c r="AG947" s="225" t="b">
        <f t="shared" si="340"/>
        <v>1</v>
      </c>
      <c r="AH947" s="242" t="str">
        <f t="shared" si="341"/>
        <v/>
      </c>
      <c r="AK947" s="223">
        <f t="shared" si="342"/>
        <v>0</v>
      </c>
      <c r="AL947" s="223">
        <f t="shared" si="343"/>
        <v>1900</v>
      </c>
      <c r="AS947" s="223">
        <f t="shared" si="344"/>
        <v>0</v>
      </c>
      <c r="AT947" s="223">
        <f t="shared" si="345"/>
        <v>0</v>
      </c>
    </row>
    <row r="948" spans="2:46" ht="15.75" x14ac:dyDescent="0.25">
      <c r="B948" s="229"/>
      <c r="C948" s="235"/>
      <c r="D948" s="243"/>
      <c r="E948" s="232"/>
      <c r="F948" s="233"/>
      <c r="G948" s="234"/>
      <c r="H948" s="235"/>
      <c r="I948" s="235"/>
      <c r="J948" s="236"/>
      <c r="K948" s="237">
        <f ca="1">ROUND(IF(ISERROR(OFFSET(Tabella!$A$1,MATCH(H948,Tabella!$A:$A,0)-1,MATCH(J948,Tabella!$A$1:$AC$1,0)-1)=TRUE),0,+OFFSET(Tabella!$A$1,MATCH(H948,Tabella!$A:$A,0)-1,MATCH(J948,Tabella!$A$1:$AC$1,0)-1)),4)</f>
        <v>0</v>
      </c>
      <c r="L948" s="238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238">
        <f ca="1">ROUND(IF(ISERROR(OFFSET(Rame!$A$1,MATCH(H948,Rame!$A:$A,0)-1,MATCH(J948,Rame!$A$1:$AA$1,0)-1)=TRUE),0,OFFSET(Rame!$A$1,MATCH(H948,Rame!$A:$A,0)-1,MATCH(J948,Rame!$A$1:$AA$1,0)-1))*IF(E948="Rame",1,0),4)</f>
        <v>0</v>
      </c>
      <c r="N948" s="238">
        <v>0</v>
      </c>
      <c r="O948" s="238">
        <f t="shared" ca="1" si="346"/>
        <v>0</v>
      </c>
      <c r="P948" s="238">
        <f ca="1">ROUND(+IF(ISERROR(OFFSET(Tabella!$G$1,MATCH(H948,Tabella!$G:$G,0)-1,MATCH(I948,Tabella!$G$1:$FG$1,0)-1)=TRUE),0,OFFSET(Tabella!$G$1,MATCH(H948,Tabella!$G:$G,0)-1,MATCH(I948,Tabella!$G$1:$AB$1,0)-1)),4)</f>
        <v>0</v>
      </c>
      <c r="Q948" s="238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238">
        <f ca="1">ROUND(IF(ISERROR(OFFSET(Rame!$F$1,MATCH(H948,Rame!$F:$F,0)-1,MATCH(I948,Rame!$F$1:$FF$1,0)-1)=TRUE),0,OFFSET(Rame!$F$1,MATCH(H948,Rame!$F:$F,0)-1,MATCH(I948,Rame!$F$1:$FF$1,0)-1))*IF(E948="Rame",1,0),4)</f>
        <v>0</v>
      </c>
      <c r="S948" s="238">
        <f ca="1">ROUND(IF(ISERROR(OFFSET(Bronzo!$A$1,MATCH(H948,Bronzo!$A:$A,0)-1,MATCH(I948,Bronzo!$A$1:$AA$1,0)-1)=TRUE),0,OFFSET(Bronzo!$A$1,MATCH(H948,Bronzo!$A:$A,0)-1,MATCH(I948,Bronzo!$A$1:$AA$1,0)-1)),4)</f>
        <v>0</v>
      </c>
      <c r="T948" s="238">
        <f t="shared" ca="1" si="337"/>
        <v>0</v>
      </c>
      <c r="U948" s="237"/>
      <c r="V948" s="238">
        <v>0</v>
      </c>
      <c r="W948" s="239">
        <f t="shared" ca="1" si="338"/>
        <v>0</v>
      </c>
      <c r="X948" s="240">
        <f t="shared" si="336"/>
        <v>0</v>
      </c>
      <c r="Y948" s="236"/>
      <c r="Z948" s="236">
        <f t="shared" ca="1" si="339"/>
        <v>0</v>
      </c>
      <c r="AA948" s="241"/>
      <c r="AF948" s="225">
        <f t="shared" ca="1" si="335"/>
        <v>46236</v>
      </c>
      <c r="AG948" s="225" t="b">
        <f t="shared" si="340"/>
        <v>1</v>
      </c>
      <c r="AH948" s="242" t="str">
        <f t="shared" si="341"/>
        <v/>
      </c>
      <c r="AK948" s="223">
        <f t="shared" si="342"/>
        <v>0</v>
      </c>
      <c r="AL948" s="223">
        <f t="shared" si="343"/>
        <v>1900</v>
      </c>
      <c r="AS948" s="223">
        <f t="shared" si="344"/>
        <v>0</v>
      </c>
      <c r="AT948" s="223">
        <f t="shared" si="345"/>
        <v>0</v>
      </c>
    </row>
    <row r="949" spans="2:46" ht="15.75" x14ac:dyDescent="0.25">
      <c r="B949" s="229"/>
      <c r="C949" s="235"/>
      <c r="D949" s="243"/>
      <c r="E949" s="232"/>
      <c r="F949" s="233"/>
      <c r="G949" s="234"/>
      <c r="H949" s="235"/>
      <c r="I949" s="235"/>
      <c r="J949" s="236"/>
      <c r="K949" s="237">
        <f ca="1">ROUND(IF(ISERROR(OFFSET(Tabella!$A$1,MATCH(H949,Tabella!$A:$A,0)-1,MATCH(J949,Tabella!$A$1:$AC$1,0)-1)=TRUE),0,+OFFSET(Tabella!$A$1,MATCH(H949,Tabella!$A:$A,0)-1,MATCH(J949,Tabella!$A$1:$AC$1,0)-1)),4)</f>
        <v>0</v>
      </c>
      <c r="L949" s="238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238">
        <f ca="1">ROUND(IF(ISERROR(OFFSET(Rame!$A$1,MATCH(H949,Rame!$A:$A,0)-1,MATCH(J949,Rame!$A$1:$AA$1,0)-1)=TRUE),0,OFFSET(Rame!$A$1,MATCH(H949,Rame!$A:$A,0)-1,MATCH(J949,Rame!$A$1:$AA$1,0)-1))*IF(E949="Rame",1,0),4)</f>
        <v>0</v>
      </c>
      <c r="N949" s="238">
        <v>0</v>
      </c>
      <c r="O949" s="238">
        <f t="shared" ca="1" si="346"/>
        <v>0</v>
      </c>
      <c r="P949" s="238">
        <f ca="1">ROUND(+IF(ISERROR(OFFSET(Tabella!$G$1,MATCH(H949,Tabella!$G:$G,0)-1,MATCH(I949,Tabella!$G$1:$FG$1,0)-1)=TRUE),0,OFFSET(Tabella!$G$1,MATCH(H949,Tabella!$G:$G,0)-1,MATCH(I949,Tabella!$G$1:$AB$1,0)-1)),4)</f>
        <v>0</v>
      </c>
      <c r="Q949" s="238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238">
        <f ca="1">ROUND(IF(ISERROR(OFFSET(Rame!$F$1,MATCH(H949,Rame!$F:$F,0)-1,MATCH(I949,Rame!$F$1:$FF$1,0)-1)=TRUE),0,OFFSET(Rame!$F$1,MATCH(H949,Rame!$F:$F,0)-1,MATCH(I949,Rame!$F$1:$FF$1,0)-1))*IF(E949="Rame",1,0),4)</f>
        <v>0</v>
      </c>
      <c r="S949" s="238">
        <f ca="1">ROUND(IF(ISERROR(OFFSET(Bronzo!$A$1,MATCH(H949,Bronzo!$A:$A,0)-1,MATCH(I949,Bronzo!$A$1:$AA$1,0)-1)=TRUE),0,OFFSET(Bronzo!$A$1,MATCH(H949,Bronzo!$A:$A,0)-1,MATCH(I949,Bronzo!$A$1:$AA$1,0)-1)),4)</f>
        <v>0</v>
      </c>
      <c r="T949" s="238">
        <f t="shared" ca="1" si="337"/>
        <v>0</v>
      </c>
      <c r="U949" s="237"/>
      <c r="V949" s="238">
        <v>0</v>
      </c>
      <c r="W949" s="239">
        <f t="shared" ca="1" si="338"/>
        <v>0</v>
      </c>
      <c r="X949" s="240">
        <f t="shared" si="336"/>
        <v>0</v>
      </c>
      <c r="Y949" s="236"/>
      <c r="Z949" s="236">
        <f t="shared" ca="1" si="339"/>
        <v>0</v>
      </c>
      <c r="AA949" s="241"/>
      <c r="AF949" s="225">
        <f t="shared" ca="1" si="335"/>
        <v>46236</v>
      </c>
      <c r="AG949" s="225" t="b">
        <f t="shared" si="340"/>
        <v>1</v>
      </c>
      <c r="AH949" s="242" t="str">
        <f t="shared" si="341"/>
        <v/>
      </c>
      <c r="AK949" s="223">
        <f t="shared" si="342"/>
        <v>0</v>
      </c>
      <c r="AL949" s="223">
        <f t="shared" si="343"/>
        <v>1900</v>
      </c>
      <c r="AS949" s="223">
        <f t="shared" si="344"/>
        <v>0</v>
      </c>
      <c r="AT949" s="223">
        <f t="shared" si="345"/>
        <v>0</v>
      </c>
    </row>
    <row r="950" spans="2:46" ht="15.75" x14ac:dyDescent="0.25">
      <c r="B950" s="229"/>
      <c r="C950" s="235"/>
      <c r="D950" s="243"/>
      <c r="E950" s="232"/>
      <c r="F950" s="233"/>
      <c r="G950" s="234"/>
      <c r="H950" s="235"/>
      <c r="I950" s="235"/>
      <c r="J950" s="236"/>
      <c r="K950" s="237">
        <f ca="1">ROUND(IF(ISERROR(OFFSET(Tabella!$A$1,MATCH(H950,Tabella!$A:$A,0)-1,MATCH(J950,Tabella!$A$1:$AC$1,0)-1)=TRUE),0,+OFFSET(Tabella!$A$1,MATCH(H950,Tabella!$A:$A,0)-1,MATCH(J950,Tabella!$A$1:$AC$1,0)-1)),4)</f>
        <v>0</v>
      </c>
      <c r="L950" s="238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238">
        <f ca="1">ROUND(IF(ISERROR(OFFSET(Rame!$A$1,MATCH(H950,Rame!$A:$A,0)-1,MATCH(J950,Rame!$A$1:$AA$1,0)-1)=TRUE),0,OFFSET(Rame!$A$1,MATCH(H950,Rame!$A:$A,0)-1,MATCH(J950,Rame!$A$1:$AA$1,0)-1))*IF(E950="Rame",1,0),4)</f>
        <v>0</v>
      </c>
      <c r="N950" s="238">
        <v>0</v>
      </c>
      <c r="O950" s="238">
        <f t="shared" ca="1" si="346"/>
        <v>0</v>
      </c>
      <c r="P950" s="238">
        <f ca="1">ROUND(+IF(ISERROR(OFFSET(Tabella!$G$1,MATCH(H950,Tabella!$G:$G,0)-1,MATCH(I950,Tabella!$G$1:$FG$1,0)-1)=TRUE),0,OFFSET(Tabella!$G$1,MATCH(H950,Tabella!$G:$G,0)-1,MATCH(I950,Tabella!$G$1:$AB$1,0)-1)),4)</f>
        <v>0</v>
      </c>
      <c r="Q950" s="238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238">
        <f ca="1">ROUND(IF(ISERROR(OFFSET(Rame!$F$1,MATCH(H950,Rame!$F:$F,0)-1,MATCH(I950,Rame!$F$1:$FF$1,0)-1)=TRUE),0,OFFSET(Rame!$F$1,MATCH(H950,Rame!$F:$F,0)-1,MATCH(I950,Rame!$F$1:$FF$1,0)-1))*IF(E950="Rame",1,0),4)</f>
        <v>0</v>
      </c>
      <c r="S950" s="238">
        <f ca="1">ROUND(IF(ISERROR(OFFSET(Bronzo!$A$1,MATCH(H950,Bronzo!$A:$A,0)-1,MATCH(I950,Bronzo!$A$1:$AA$1,0)-1)=TRUE),0,OFFSET(Bronzo!$A$1,MATCH(H950,Bronzo!$A:$A,0)-1,MATCH(I950,Bronzo!$A$1:$AA$1,0)-1)),4)</f>
        <v>0</v>
      </c>
      <c r="T950" s="238">
        <f t="shared" ca="1" si="337"/>
        <v>0</v>
      </c>
      <c r="U950" s="237"/>
      <c r="V950" s="238">
        <v>0</v>
      </c>
      <c r="W950" s="239">
        <f t="shared" ca="1" si="338"/>
        <v>0</v>
      </c>
      <c r="X950" s="240">
        <f t="shared" si="336"/>
        <v>0</v>
      </c>
      <c r="Y950" s="236"/>
      <c r="Z950" s="236">
        <f t="shared" ca="1" si="339"/>
        <v>0</v>
      </c>
      <c r="AA950" s="241"/>
      <c r="AF950" s="225">
        <f t="shared" ca="1" si="335"/>
        <v>46236</v>
      </c>
      <c r="AG950" s="225" t="b">
        <f t="shared" si="340"/>
        <v>1</v>
      </c>
      <c r="AH950" s="242" t="str">
        <f t="shared" si="341"/>
        <v/>
      </c>
      <c r="AK950" s="223">
        <f t="shared" si="342"/>
        <v>0</v>
      </c>
      <c r="AL950" s="223">
        <f t="shared" si="343"/>
        <v>1900</v>
      </c>
      <c r="AS950" s="223">
        <f t="shared" si="344"/>
        <v>0</v>
      </c>
      <c r="AT950" s="223">
        <f t="shared" si="345"/>
        <v>0</v>
      </c>
    </row>
    <row r="951" spans="2:46" ht="15.75" x14ac:dyDescent="0.25">
      <c r="B951" s="229"/>
      <c r="C951" s="235"/>
      <c r="D951" s="243"/>
      <c r="E951" s="232"/>
      <c r="F951" s="233"/>
      <c r="G951" s="234"/>
      <c r="H951" s="235"/>
      <c r="I951" s="235"/>
      <c r="J951" s="236"/>
      <c r="K951" s="237">
        <f ca="1">ROUND(IF(ISERROR(OFFSET(Tabella!$A$1,MATCH(H951,Tabella!$A:$A,0)-1,MATCH(J951,Tabella!$A$1:$AC$1,0)-1)=TRUE),0,+OFFSET(Tabella!$A$1,MATCH(H951,Tabella!$A:$A,0)-1,MATCH(J951,Tabella!$A$1:$AC$1,0)-1)),4)</f>
        <v>0</v>
      </c>
      <c r="L951" s="238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238">
        <f ca="1">ROUND(IF(ISERROR(OFFSET(Rame!$A$1,MATCH(H951,Rame!$A:$A,0)-1,MATCH(J951,Rame!$A$1:$AA$1,0)-1)=TRUE),0,OFFSET(Rame!$A$1,MATCH(H951,Rame!$A:$A,0)-1,MATCH(J951,Rame!$A$1:$AA$1,0)-1))*IF(E951="Rame",1,0),4)</f>
        <v>0</v>
      </c>
      <c r="N951" s="238">
        <v>0</v>
      </c>
      <c r="O951" s="238">
        <f t="shared" ca="1" si="346"/>
        <v>0</v>
      </c>
      <c r="P951" s="238">
        <f ca="1">ROUND(+IF(ISERROR(OFFSET(Tabella!$G$1,MATCH(H951,Tabella!$G:$G,0)-1,MATCH(I951,Tabella!$G$1:$FG$1,0)-1)=TRUE),0,OFFSET(Tabella!$G$1,MATCH(H951,Tabella!$G:$G,0)-1,MATCH(I951,Tabella!$G$1:$AB$1,0)-1)),4)</f>
        <v>0</v>
      </c>
      <c r="Q951" s="238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238">
        <f ca="1">ROUND(IF(ISERROR(OFFSET(Rame!$F$1,MATCH(H951,Rame!$F:$F,0)-1,MATCH(I951,Rame!$F$1:$FF$1,0)-1)=TRUE),0,OFFSET(Rame!$F$1,MATCH(H951,Rame!$F:$F,0)-1,MATCH(I951,Rame!$F$1:$FF$1,0)-1))*IF(E951="Rame",1,0),4)</f>
        <v>0</v>
      </c>
      <c r="S951" s="238">
        <f ca="1">ROUND(IF(ISERROR(OFFSET(Bronzo!$A$1,MATCH(H951,Bronzo!$A:$A,0)-1,MATCH(I951,Bronzo!$A$1:$AA$1,0)-1)=TRUE),0,OFFSET(Bronzo!$A$1,MATCH(H951,Bronzo!$A:$A,0)-1,MATCH(I951,Bronzo!$A$1:$AA$1,0)-1)),4)</f>
        <v>0</v>
      </c>
      <c r="T951" s="238">
        <f t="shared" ca="1" si="337"/>
        <v>0</v>
      </c>
      <c r="U951" s="237"/>
      <c r="V951" s="238">
        <v>0</v>
      </c>
      <c r="W951" s="239">
        <f t="shared" ca="1" si="338"/>
        <v>0</v>
      </c>
      <c r="X951" s="240">
        <f t="shared" si="336"/>
        <v>0</v>
      </c>
      <c r="Y951" s="236"/>
      <c r="Z951" s="236">
        <f t="shared" ca="1" si="339"/>
        <v>0</v>
      </c>
      <c r="AA951" s="241"/>
      <c r="AF951" s="225">
        <f t="shared" ca="1" si="335"/>
        <v>46236</v>
      </c>
      <c r="AG951" s="225" t="b">
        <f t="shared" si="340"/>
        <v>1</v>
      </c>
      <c r="AH951" s="242" t="str">
        <f t="shared" si="341"/>
        <v/>
      </c>
      <c r="AK951" s="223">
        <f t="shared" si="342"/>
        <v>0</v>
      </c>
      <c r="AL951" s="223">
        <f t="shared" si="343"/>
        <v>1900</v>
      </c>
      <c r="AS951" s="223">
        <f t="shared" si="344"/>
        <v>0</v>
      </c>
      <c r="AT951" s="223">
        <f t="shared" si="345"/>
        <v>0</v>
      </c>
    </row>
    <row r="952" spans="2:46" ht="15.75" x14ac:dyDescent="0.25">
      <c r="B952" s="229"/>
      <c r="C952" s="235"/>
      <c r="D952" s="243"/>
      <c r="E952" s="232"/>
      <c r="F952" s="233"/>
      <c r="G952" s="234"/>
      <c r="H952" s="235"/>
      <c r="I952" s="235"/>
      <c r="J952" s="236"/>
      <c r="K952" s="237">
        <f ca="1">ROUND(IF(ISERROR(OFFSET(Tabella!$A$1,MATCH(H952,Tabella!$A:$A,0)-1,MATCH(J952,Tabella!$A$1:$AC$1,0)-1)=TRUE),0,+OFFSET(Tabella!$A$1,MATCH(H952,Tabella!$A:$A,0)-1,MATCH(J952,Tabella!$A$1:$AC$1,0)-1)),4)</f>
        <v>0</v>
      </c>
      <c r="L952" s="238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238">
        <f ca="1">ROUND(IF(ISERROR(OFFSET(Rame!$A$1,MATCH(H952,Rame!$A:$A,0)-1,MATCH(J952,Rame!$A$1:$AA$1,0)-1)=TRUE),0,OFFSET(Rame!$A$1,MATCH(H952,Rame!$A:$A,0)-1,MATCH(J952,Rame!$A$1:$AA$1,0)-1))*IF(E952="Rame",1,0),4)</f>
        <v>0</v>
      </c>
      <c r="N952" s="238">
        <v>0</v>
      </c>
      <c r="O952" s="238">
        <f t="shared" ca="1" si="346"/>
        <v>0</v>
      </c>
      <c r="P952" s="238">
        <f ca="1">ROUND(+IF(ISERROR(OFFSET(Tabella!$G$1,MATCH(H952,Tabella!$G:$G,0)-1,MATCH(I952,Tabella!$G$1:$FG$1,0)-1)=TRUE),0,OFFSET(Tabella!$G$1,MATCH(H952,Tabella!$G:$G,0)-1,MATCH(I952,Tabella!$G$1:$AB$1,0)-1)),4)</f>
        <v>0</v>
      </c>
      <c r="Q952" s="238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238">
        <f ca="1">ROUND(IF(ISERROR(OFFSET(Rame!$F$1,MATCH(H952,Rame!$F:$F,0)-1,MATCH(I952,Rame!$F$1:$FF$1,0)-1)=TRUE),0,OFFSET(Rame!$F$1,MATCH(H952,Rame!$F:$F,0)-1,MATCH(I952,Rame!$F$1:$FF$1,0)-1))*IF(E952="Rame",1,0),4)</f>
        <v>0</v>
      </c>
      <c r="S952" s="238">
        <f ca="1">ROUND(IF(ISERROR(OFFSET(Bronzo!$A$1,MATCH(H952,Bronzo!$A:$A,0)-1,MATCH(I952,Bronzo!$A$1:$AA$1,0)-1)=TRUE),0,OFFSET(Bronzo!$A$1,MATCH(H952,Bronzo!$A:$A,0)-1,MATCH(I952,Bronzo!$A$1:$AA$1,0)-1)),4)</f>
        <v>0</v>
      </c>
      <c r="T952" s="238">
        <f t="shared" ca="1" si="337"/>
        <v>0</v>
      </c>
      <c r="U952" s="237"/>
      <c r="V952" s="238">
        <v>0</v>
      </c>
      <c r="W952" s="239">
        <f t="shared" ca="1" si="338"/>
        <v>0</v>
      </c>
      <c r="X952" s="240">
        <f t="shared" si="336"/>
        <v>0</v>
      </c>
      <c r="Y952" s="236"/>
      <c r="Z952" s="236">
        <f t="shared" ca="1" si="339"/>
        <v>0</v>
      </c>
      <c r="AA952" s="241"/>
      <c r="AF952" s="225">
        <f t="shared" ca="1" si="335"/>
        <v>46236</v>
      </c>
      <c r="AG952" s="225" t="b">
        <f t="shared" si="340"/>
        <v>1</v>
      </c>
      <c r="AH952" s="242" t="str">
        <f t="shared" si="341"/>
        <v/>
      </c>
      <c r="AK952" s="223">
        <f t="shared" si="342"/>
        <v>0</v>
      </c>
      <c r="AL952" s="223">
        <f t="shared" si="343"/>
        <v>1900</v>
      </c>
      <c r="AS952" s="223">
        <f t="shared" si="344"/>
        <v>0</v>
      </c>
      <c r="AT952" s="223">
        <f t="shared" si="345"/>
        <v>0</v>
      </c>
    </row>
    <row r="953" spans="2:46" ht="15.75" x14ac:dyDescent="0.25">
      <c r="B953" s="229"/>
      <c r="C953" s="235"/>
      <c r="D953" s="243"/>
      <c r="E953" s="232"/>
      <c r="F953" s="233"/>
      <c r="G953" s="234"/>
      <c r="H953" s="235"/>
      <c r="I953" s="235"/>
      <c r="J953" s="236"/>
      <c r="K953" s="237">
        <f ca="1">ROUND(IF(ISERROR(OFFSET(Tabella!$A$1,MATCH(H953,Tabella!$A:$A,0)-1,MATCH(J953,Tabella!$A$1:$AC$1,0)-1)=TRUE),0,+OFFSET(Tabella!$A$1,MATCH(H953,Tabella!$A:$A,0)-1,MATCH(J953,Tabella!$A$1:$AC$1,0)-1)),4)</f>
        <v>0</v>
      </c>
      <c r="L953" s="238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238">
        <f ca="1">ROUND(IF(ISERROR(OFFSET(Rame!$A$1,MATCH(H953,Rame!$A:$A,0)-1,MATCH(J953,Rame!$A$1:$AA$1,0)-1)=TRUE),0,OFFSET(Rame!$A$1,MATCH(H953,Rame!$A:$A,0)-1,MATCH(J953,Rame!$A$1:$AA$1,0)-1))*IF(E953="Rame",1,0),4)</f>
        <v>0</v>
      </c>
      <c r="N953" s="238">
        <v>0</v>
      </c>
      <c r="O953" s="238">
        <f t="shared" ca="1" si="346"/>
        <v>0</v>
      </c>
      <c r="P953" s="238">
        <f ca="1">ROUND(+IF(ISERROR(OFFSET(Tabella!$G$1,MATCH(H953,Tabella!$G:$G,0)-1,MATCH(I953,Tabella!$G$1:$FG$1,0)-1)=TRUE),0,OFFSET(Tabella!$G$1,MATCH(H953,Tabella!$G:$G,0)-1,MATCH(I953,Tabella!$G$1:$AB$1,0)-1)),4)</f>
        <v>0</v>
      </c>
      <c r="Q953" s="238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238">
        <f ca="1">ROUND(IF(ISERROR(OFFSET(Rame!$F$1,MATCH(H953,Rame!$F:$F,0)-1,MATCH(I953,Rame!$F$1:$FF$1,0)-1)=TRUE),0,OFFSET(Rame!$F$1,MATCH(H953,Rame!$F:$F,0)-1,MATCH(I953,Rame!$F$1:$FF$1,0)-1))*IF(E953="Rame",1,0),4)</f>
        <v>0</v>
      </c>
      <c r="S953" s="238">
        <f ca="1">ROUND(IF(ISERROR(OFFSET(Bronzo!$A$1,MATCH(H953,Bronzo!$A:$A,0)-1,MATCH(I953,Bronzo!$A$1:$AA$1,0)-1)=TRUE),0,OFFSET(Bronzo!$A$1,MATCH(H953,Bronzo!$A:$A,0)-1,MATCH(I953,Bronzo!$A$1:$AA$1,0)-1)),4)</f>
        <v>0</v>
      </c>
      <c r="T953" s="238">
        <f t="shared" ca="1" si="337"/>
        <v>0</v>
      </c>
      <c r="U953" s="237"/>
      <c r="V953" s="238">
        <v>0</v>
      </c>
      <c r="W953" s="239">
        <f t="shared" ca="1" si="338"/>
        <v>0</v>
      </c>
      <c r="X953" s="240">
        <f t="shared" si="336"/>
        <v>0</v>
      </c>
      <c r="Y953" s="236"/>
      <c r="Z953" s="236">
        <f t="shared" ca="1" si="339"/>
        <v>0</v>
      </c>
      <c r="AA953" s="241"/>
      <c r="AF953" s="225">
        <f t="shared" ca="1" si="335"/>
        <v>46236</v>
      </c>
      <c r="AG953" s="225" t="b">
        <f t="shared" si="340"/>
        <v>1</v>
      </c>
      <c r="AH953" s="242" t="str">
        <f t="shared" si="341"/>
        <v/>
      </c>
      <c r="AK953" s="223">
        <f t="shared" si="342"/>
        <v>0</v>
      </c>
      <c r="AL953" s="223">
        <f t="shared" si="343"/>
        <v>1900</v>
      </c>
      <c r="AS953" s="223">
        <f t="shared" si="344"/>
        <v>0</v>
      </c>
      <c r="AT953" s="223">
        <f t="shared" si="345"/>
        <v>0</v>
      </c>
    </row>
    <row r="954" spans="2:46" ht="15.75" x14ac:dyDescent="0.25">
      <c r="B954" s="229"/>
      <c r="C954" s="235"/>
      <c r="D954" s="243"/>
      <c r="E954" s="232"/>
      <c r="F954" s="233"/>
      <c r="G954" s="234"/>
      <c r="H954" s="235"/>
      <c r="I954" s="235"/>
      <c r="J954" s="236"/>
      <c r="K954" s="237">
        <f ca="1">ROUND(IF(ISERROR(OFFSET(Tabella!$A$1,MATCH(H954,Tabella!$A:$A,0)-1,MATCH(J954,Tabella!$A$1:$AC$1,0)-1)=TRUE),0,+OFFSET(Tabella!$A$1,MATCH(H954,Tabella!$A:$A,0)-1,MATCH(J954,Tabella!$A$1:$AC$1,0)-1)),4)</f>
        <v>0</v>
      </c>
      <c r="L954" s="238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238">
        <f ca="1">ROUND(IF(ISERROR(OFFSET(Rame!$A$1,MATCH(H954,Rame!$A:$A,0)-1,MATCH(J954,Rame!$A$1:$AA$1,0)-1)=TRUE),0,OFFSET(Rame!$A$1,MATCH(H954,Rame!$A:$A,0)-1,MATCH(J954,Rame!$A$1:$AA$1,0)-1))*IF(E954="Rame",1,0),4)</f>
        <v>0</v>
      </c>
      <c r="N954" s="238">
        <v>0</v>
      </c>
      <c r="O954" s="238">
        <f t="shared" ca="1" si="346"/>
        <v>0</v>
      </c>
      <c r="P954" s="238">
        <f ca="1">ROUND(+IF(ISERROR(OFFSET(Tabella!$G$1,MATCH(H954,Tabella!$G:$G,0)-1,MATCH(I954,Tabella!$G$1:$FG$1,0)-1)=TRUE),0,OFFSET(Tabella!$G$1,MATCH(H954,Tabella!$G:$G,0)-1,MATCH(I954,Tabella!$G$1:$AB$1,0)-1)),4)</f>
        <v>0</v>
      </c>
      <c r="Q954" s="238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238">
        <f ca="1">ROUND(IF(ISERROR(OFFSET(Rame!$F$1,MATCH(H954,Rame!$F:$F,0)-1,MATCH(I954,Rame!$F$1:$FF$1,0)-1)=TRUE),0,OFFSET(Rame!$F$1,MATCH(H954,Rame!$F:$F,0)-1,MATCH(I954,Rame!$F$1:$FF$1,0)-1))*IF(E954="Rame",1,0),4)</f>
        <v>0</v>
      </c>
      <c r="S954" s="238">
        <f ca="1">ROUND(IF(ISERROR(OFFSET(Bronzo!$A$1,MATCH(H954,Bronzo!$A:$A,0)-1,MATCH(I954,Bronzo!$A$1:$AA$1,0)-1)=TRUE),0,OFFSET(Bronzo!$A$1,MATCH(H954,Bronzo!$A:$A,0)-1,MATCH(I954,Bronzo!$A$1:$AA$1,0)-1)),4)</f>
        <v>0</v>
      </c>
      <c r="T954" s="238">
        <f t="shared" ca="1" si="337"/>
        <v>0</v>
      </c>
      <c r="U954" s="237"/>
      <c r="V954" s="238">
        <v>0</v>
      </c>
      <c r="W954" s="239">
        <f t="shared" ca="1" si="338"/>
        <v>0</v>
      </c>
      <c r="X954" s="240">
        <f t="shared" si="336"/>
        <v>0</v>
      </c>
      <c r="Y954" s="236"/>
      <c r="Z954" s="236">
        <f t="shared" ca="1" si="339"/>
        <v>0</v>
      </c>
      <c r="AA954" s="241"/>
      <c r="AF954" s="225">
        <f t="shared" ca="1" si="335"/>
        <v>46236</v>
      </c>
      <c r="AG954" s="225" t="b">
        <f t="shared" si="340"/>
        <v>1</v>
      </c>
      <c r="AH954" s="242" t="str">
        <f t="shared" si="341"/>
        <v/>
      </c>
      <c r="AK954" s="223">
        <f t="shared" si="342"/>
        <v>0</v>
      </c>
      <c r="AL954" s="223">
        <f t="shared" si="343"/>
        <v>1900</v>
      </c>
      <c r="AS954" s="223">
        <f t="shared" si="344"/>
        <v>0</v>
      </c>
      <c r="AT954" s="223">
        <f t="shared" si="345"/>
        <v>0</v>
      </c>
    </row>
    <row r="955" spans="2:46" ht="15.75" x14ac:dyDescent="0.25">
      <c r="B955" s="229"/>
      <c r="C955" s="235"/>
      <c r="D955" s="243"/>
      <c r="E955" s="232"/>
      <c r="F955" s="233"/>
      <c r="G955" s="234"/>
      <c r="H955" s="235"/>
      <c r="I955" s="235"/>
      <c r="J955" s="236"/>
      <c r="K955" s="237">
        <f ca="1">ROUND(IF(ISERROR(OFFSET(Tabella!$A$1,MATCH(H955,Tabella!$A:$A,0)-1,MATCH(J955,Tabella!$A$1:$AC$1,0)-1)=TRUE),0,+OFFSET(Tabella!$A$1,MATCH(H955,Tabella!$A:$A,0)-1,MATCH(J955,Tabella!$A$1:$AC$1,0)-1)),4)</f>
        <v>0</v>
      </c>
      <c r="L955" s="238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238">
        <f ca="1">ROUND(IF(ISERROR(OFFSET(Rame!$A$1,MATCH(H955,Rame!$A:$A,0)-1,MATCH(J955,Rame!$A$1:$AA$1,0)-1)=TRUE),0,OFFSET(Rame!$A$1,MATCH(H955,Rame!$A:$A,0)-1,MATCH(J955,Rame!$A$1:$AA$1,0)-1))*IF(E955="Rame",1,0),4)</f>
        <v>0</v>
      </c>
      <c r="N955" s="238">
        <v>0</v>
      </c>
      <c r="O955" s="238">
        <f t="shared" ca="1" si="346"/>
        <v>0</v>
      </c>
      <c r="P955" s="238">
        <f ca="1">ROUND(+IF(ISERROR(OFFSET(Tabella!$G$1,MATCH(H955,Tabella!$G:$G,0)-1,MATCH(I955,Tabella!$G$1:$FG$1,0)-1)=TRUE),0,OFFSET(Tabella!$G$1,MATCH(H955,Tabella!$G:$G,0)-1,MATCH(I955,Tabella!$G$1:$AB$1,0)-1)),4)</f>
        <v>0</v>
      </c>
      <c r="Q955" s="238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238">
        <f ca="1">ROUND(IF(ISERROR(OFFSET(Rame!$F$1,MATCH(H955,Rame!$F:$F,0)-1,MATCH(I955,Rame!$F$1:$FF$1,0)-1)=TRUE),0,OFFSET(Rame!$F$1,MATCH(H955,Rame!$F:$F,0)-1,MATCH(I955,Rame!$F$1:$FF$1,0)-1))*IF(E955="Rame",1,0),4)</f>
        <v>0</v>
      </c>
      <c r="S955" s="238">
        <f ca="1">ROUND(IF(ISERROR(OFFSET(Bronzo!$A$1,MATCH(H955,Bronzo!$A:$A,0)-1,MATCH(I955,Bronzo!$A$1:$AA$1,0)-1)=TRUE),0,OFFSET(Bronzo!$A$1,MATCH(H955,Bronzo!$A:$A,0)-1,MATCH(I955,Bronzo!$A$1:$AA$1,0)-1)),4)</f>
        <v>0</v>
      </c>
      <c r="T955" s="238">
        <f t="shared" ca="1" si="337"/>
        <v>0</v>
      </c>
      <c r="U955" s="237"/>
      <c r="V955" s="238">
        <v>0</v>
      </c>
      <c r="W955" s="239">
        <f t="shared" ca="1" si="338"/>
        <v>0</v>
      </c>
      <c r="X955" s="240">
        <f t="shared" si="336"/>
        <v>0</v>
      </c>
      <c r="Y955" s="236"/>
      <c r="Z955" s="236">
        <f t="shared" ca="1" si="339"/>
        <v>0</v>
      </c>
      <c r="AA955" s="241"/>
      <c r="AF955" s="225">
        <f t="shared" ca="1" si="335"/>
        <v>46236</v>
      </c>
      <c r="AG955" s="225" t="b">
        <f t="shared" si="340"/>
        <v>1</v>
      </c>
      <c r="AH955" s="242" t="str">
        <f t="shared" si="341"/>
        <v/>
      </c>
      <c r="AK955" s="223">
        <f t="shared" si="342"/>
        <v>0</v>
      </c>
      <c r="AL955" s="223">
        <f t="shared" si="343"/>
        <v>1900</v>
      </c>
      <c r="AS955" s="223">
        <f t="shared" si="344"/>
        <v>0</v>
      </c>
      <c r="AT955" s="223">
        <f t="shared" si="345"/>
        <v>0</v>
      </c>
    </row>
    <row r="956" spans="2:46" ht="15.75" x14ac:dyDescent="0.25">
      <c r="B956" s="229"/>
      <c r="C956" s="235"/>
      <c r="D956" s="243"/>
      <c r="E956" s="232"/>
      <c r="F956" s="233"/>
      <c r="G956" s="234"/>
      <c r="H956" s="235"/>
      <c r="I956" s="235"/>
      <c r="J956" s="236"/>
      <c r="K956" s="237">
        <f ca="1">ROUND(IF(ISERROR(OFFSET(Tabella!$A$1,MATCH(H956,Tabella!$A:$A,0)-1,MATCH(J956,Tabella!$A$1:$AC$1,0)-1)=TRUE),0,+OFFSET(Tabella!$A$1,MATCH(H956,Tabella!$A:$A,0)-1,MATCH(J956,Tabella!$A$1:$AC$1,0)-1)),4)</f>
        <v>0</v>
      </c>
      <c r="L956" s="238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238">
        <f ca="1">ROUND(IF(ISERROR(OFFSET(Rame!$A$1,MATCH(H956,Rame!$A:$A,0)-1,MATCH(J956,Rame!$A$1:$AA$1,0)-1)=TRUE),0,OFFSET(Rame!$A$1,MATCH(H956,Rame!$A:$A,0)-1,MATCH(J956,Rame!$A$1:$AA$1,0)-1))*IF(E956="Rame",1,0),4)</f>
        <v>0</v>
      </c>
      <c r="N956" s="238">
        <v>0</v>
      </c>
      <c r="O956" s="238">
        <f t="shared" ca="1" si="346"/>
        <v>0</v>
      </c>
      <c r="P956" s="238">
        <f ca="1">ROUND(+IF(ISERROR(OFFSET(Tabella!$G$1,MATCH(H956,Tabella!$G:$G,0)-1,MATCH(I956,Tabella!$G$1:$FG$1,0)-1)=TRUE),0,OFFSET(Tabella!$G$1,MATCH(H956,Tabella!$G:$G,0)-1,MATCH(I956,Tabella!$G$1:$AB$1,0)-1)),4)</f>
        <v>0</v>
      </c>
      <c r="Q956" s="238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238">
        <f ca="1">ROUND(IF(ISERROR(OFFSET(Rame!$F$1,MATCH(H956,Rame!$F:$F,0)-1,MATCH(I956,Rame!$F$1:$FF$1,0)-1)=TRUE),0,OFFSET(Rame!$F$1,MATCH(H956,Rame!$F:$F,0)-1,MATCH(I956,Rame!$F$1:$FF$1,0)-1))*IF(E956="Rame",1,0),4)</f>
        <v>0</v>
      </c>
      <c r="S956" s="238">
        <f ca="1">ROUND(IF(ISERROR(OFFSET(Bronzo!$A$1,MATCH(H956,Bronzo!$A:$A,0)-1,MATCH(I956,Bronzo!$A$1:$AA$1,0)-1)=TRUE),0,OFFSET(Bronzo!$A$1,MATCH(H956,Bronzo!$A:$A,0)-1,MATCH(I956,Bronzo!$A$1:$AA$1,0)-1)),4)</f>
        <v>0</v>
      </c>
      <c r="T956" s="238">
        <f t="shared" ca="1" si="337"/>
        <v>0</v>
      </c>
      <c r="U956" s="237"/>
      <c r="V956" s="238">
        <v>0</v>
      </c>
      <c r="W956" s="239">
        <f t="shared" ca="1" si="338"/>
        <v>0</v>
      </c>
      <c r="X956" s="240">
        <f t="shared" si="336"/>
        <v>0</v>
      </c>
      <c r="Y956" s="236"/>
      <c r="Z956" s="236">
        <f t="shared" ca="1" si="339"/>
        <v>0</v>
      </c>
      <c r="AA956" s="241"/>
      <c r="AF956" s="225">
        <f t="shared" ca="1" si="335"/>
        <v>46236</v>
      </c>
      <c r="AG956" s="225" t="b">
        <f t="shared" si="340"/>
        <v>1</v>
      </c>
      <c r="AH956" s="242" t="str">
        <f t="shared" si="341"/>
        <v/>
      </c>
      <c r="AK956" s="223">
        <f t="shared" si="342"/>
        <v>0</v>
      </c>
      <c r="AL956" s="223">
        <f t="shared" si="343"/>
        <v>1900</v>
      </c>
      <c r="AS956" s="223">
        <f t="shared" si="344"/>
        <v>0</v>
      </c>
      <c r="AT956" s="223">
        <f t="shared" si="345"/>
        <v>0</v>
      </c>
    </row>
    <row r="957" spans="2:46" ht="15.75" x14ac:dyDescent="0.25">
      <c r="B957" s="229"/>
      <c r="C957" s="235"/>
      <c r="D957" s="243"/>
      <c r="E957" s="232"/>
      <c r="F957" s="233"/>
      <c r="G957" s="234"/>
      <c r="H957" s="235"/>
      <c r="I957" s="235"/>
      <c r="J957" s="236"/>
      <c r="K957" s="237">
        <f ca="1">ROUND(IF(ISERROR(OFFSET(Tabella!$A$1,MATCH(H957,Tabella!$A:$A,0)-1,MATCH(J957,Tabella!$A$1:$AC$1,0)-1)=TRUE),0,+OFFSET(Tabella!$A$1,MATCH(H957,Tabella!$A:$A,0)-1,MATCH(J957,Tabella!$A$1:$AC$1,0)-1)),4)</f>
        <v>0</v>
      </c>
      <c r="L957" s="238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238">
        <f ca="1">ROUND(IF(ISERROR(OFFSET(Rame!$A$1,MATCH(H957,Rame!$A:$A,0)-1,MATCH(J957,Rame!$A$1:$AA$1,0)-1)=TRUE),0,OFFSET(Rame!$A$1,MATCH(H957,Rame!$A:$A,0)-1,MATCH(J957,Rame!$A$1:$AA$1,0)-1))*IF(E957="Rame",1,0),4)</f>
        <v>0</v>
      </c>
      <c r="N957" s="238">
        <v>0</v>
      </c>
      <c r="O957" s="238">
        <f t="shared" ca="1" si="346"/>
        <v>0</v>
      </c>
      <c r="P957" s="238">
        <f ca="1">ROUND(+IF(ISERROR(OFFSET(Tabella!$G$1,MATCH(H957,Tabella!$G:$G,0)-1,MATCH(I957,Tabella!$G$1:$FG$1,0)-1)=TRUE),0,OFFSET(Tabella!$G$1,MATCH(H957,Tabella!$G:$G,0)-1,MATCH(I957,Tabella!$G$1:$AB$1,0)-1)),4)</f>
        <v>0</v>
      </c>
      <c r="Q957" s="238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238">
        <f ca="1">ROUND(IF(ISERROR(OFFSET(Rame!$F$1,MATCH(H957,Rame!$F:$F,0)-1,MATCH(I957,Rame!$F$1:$FF$1,0)-1)=TRUE),0,OFFSET(Rame!$F$1,MATCH(H957,Rame!$F:$F,0)-1,MATCH(I957,Rame!$F$1:$FF$1,0)-1))*IF(E957="Rame",1,0),4)</f>
        <v>0</v>
      </c>
      <c r="S957" s="238">
        <f ca="1">ROUND(IF(ISERROR(OFFSET(Bronzo!$A$1,MATCH(H957,Bronzo!$A:$A,0)-1,MATCH(I957,Bronzo!$A$1:$AA$1,0)-1)=TRUE),0,OFFSET(Bronzo!$A$1,MATCH(H957,Bronzo!$A:$A,0)-1,MATCH(I957,Bronzo!$A$1:$AA$1,0)-1)),4)</f>
        <v>0</v>
      </c>
      <c r="T957" s="238">
        <f t="shared" ca="1" si="337"/>
        <v>0</v>
      </c>
      <c r="U957" s="237"/>
      <c r="V957" s="238">
        <v>0</v>
      </c>
      <c r="W957" s="239">
        <f t="shared" ca="1" si="338"/>
        <v>0</v>
      </c>
      <c r="X957" s="240">
        <f t="shared" si="336"/>
        <v>0</v>
      </c>
      <c r="Y957" s="236"/>
      <c r="Z957" s="236">
        <f t="shared" ca="1" si="339"/>
        <v>0</v>
      </c>
      <c r="AA957" s="241"/>
      <c r="AF957" s="225">
        <f t="shared" ca="1" si="335"/>
        <v>46236</v>
      </c>
      <c r="AG957" s="225" t="b">
        <f t="shared" si="340"/>
        <v>1</v>
      </c>
      <c r="AH957" s="242" t="str">
        <f t="shared" si="341"/>
        <v/>
      </c>
      <c r="AK957" s="223">
        <f t="shared" si="342"/>
        <v>0</v>
      </c>
      <c r="AL957" s="223">
        <f t="shared" si="343"/>
        <v>1900</v>
      </c>
      <c r="AS957" s="223">
        <f t="shared" si="344"/>
        <v>0</v>
      </c>
      <c r="AT957" s="223">
        <f t="shared" si="345"/>
        <v>0</v>
      </c>
    </row>
    <row r="958" spans="2:46" ht="15.75" x14ac:dyDescent="0.25">
      <c r="B958" s="229"/>
      <c r="C958" s="235"/>
      <c r="D958" s="243"/>
      <c r="E958" s="232"/>
      <c r="F958" s="233"/>
      <c r="G958" s="234"/>
      <c r="H958" s="235"/>
      <c r="I958" s="235"/>
      <c r="J958" s="236"/>
      <c r="K958" s="237">
        <f ca="1">ROUND(IF(ISERROR(OFFSET(Tabella!$A$1,MATCH(H958,Tabella!$A:$A,0)-1,MATCH(J958,Tabella!$A$1:$AC$1,0)-1)=TRUE),0,+OFFSET(Tabella!$A$1,MATCH(H958,Tabella!$A:$A,0)-1,MATCH(J958,Tabella!$A$1:$AC$1,0)-1)),4)</f>
        <v>0</v>
      </c>
      <c r="L958" s="238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238">
        <f ca="1">ROUND(IF(ISERROR(OFFSET(Rame!$A$1,MATCH(H958,Rame!$A:$A,0)-1,MATCH(J958,Rame!$A$1:$AA$1,0)-1)=TRUE),0,OFFSET(Rame!$A$1,MATCH(H958,Rame!$A:$A,0)-1,MATCH(J958,Rame!$A$1:$AA$1,0)-1))*IF(E958="Rame",1,0),4)</f>
        <v>0</v>
      </c>
      <c r="N958" s="238">
        <v>0</v>
      </c>
      <c r="O958" s="238">
        <f t="shared" ca="1" si="346"/>
        <v>0</v>
      </c>
      <c r="P958" s="238">
        <f ca="1">ROUND(+IF(ISERROR(OFFSET(Tabella!$G$1,MATCH(H958,Tabella!$G:$G,0)-1,MATCH(I958,Tabella!$G$1:$FG$1,0)-1)=TRUE),0,OFFSET(Tabella!$G$1,MATCH(H958,Tabella!$G:$G,0)-1,MATCH(I958,Tabella!$G$1:$AB$1,0)-1)),4)</f>
        <v>0</v>
      </c>
      <c r="Q958" s="238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238">
        <f ca="1">ROUND(IF(ISERROR(OFFSET(Rame!$F$1,MATCH(H958,Rame!$F:$F,0)-1,MATCH(I958,Rame!$F$1:$FF$1,0)-1)=TRUE),0,OFFSET(Rame!$F$1,MATCH(H958,Rame!$F:$F,0)-1,MATCH(I958,Rame!$F$1:$FF$1,0)-1))*IF(E958="Rame",1,0),4)</f>
        <v>0</v>
      </c>
      <c r="S958" s="238">
        <f ca="1">ROUND(IF(ISERROR(OFFSET(Bronzo!$A$1,MATCH(H958,Bronzo!$A:$A,0)-1,MATCH(I958,Bronzo!$A$1:$AA$1,0)-1)=TRUE),0,OFFSET(Bronzo!$A$1,MATCH(H958,Bronzo!$A:$A,0)-1,MATCH(I958,Bronzo!$A$1:$AA$1,0)-1)),4)</f>
        <v>0</v>
      </c>
      <c r="T958" s="238">
        <f t="shared" ca="1" si="337"/>
        <v>0</v>
      </c>
      <c r="U958" s="237"/>
      <c r="V958" s="238">
        <v>0</v>
      </c>
      <c r="W958" s="239">
        <f t="shared" ca="1" si="338"/>
        <v>0</v>
      </c>
      <c r="X958" s="240">
        <f t="shared" si="336"/>
        <v>0</v>
      </c>
      <c r="Y958" s="236"/>
      <c r="Z958" s="236">
        <f t="shared" ca="1" si="339"/>
        <v>0</v>
      </c>
      <c r="AA958" s="241"/>
      <c r="AF958" s="225">
        <f t="shared" ca="1" si="335"/>
        <v>46236</v>
      </c>
      <c r="AG958" s="225" t="b">
        <f t="shared" si="340"/>
        <v>1</v>
      </c>
      <c r="AH958" s="242" t="str">
        <f t="shared" si="341"/>
        <v/>
      </c>
      <c r="AK958" s="223">
        <f t="shared" si="342"/>
        <v>0</v>
      </c>
      <c r="AL958" s="223">
        <f t="shared" si="343"/>
        <v>1900</v>
      </c>
      <c r="AS958" s="223">
        <f t="shared" si="344"/>
        <v>0</v>
      </c>
      <c r="AT958" s="223">
        <f t="shared" si="345"/>
        <v>0</v>
      </c>
    </row>
    <row r="959" spans="2:46" ht="15.75" x14ac:dyDescent="0.25">
      <c r="B959" s="229"/>
      <c r="C959" s="235"/>
      <c r="D959" s="243"/>
      <c r="E959" s="232"/>
      <c r="F959" s="233"/>
      <c r="G959" s="234"/>
      <c r="H959" s="235"/>
      <c r="I959" s="235"/>
      <c r="J959" s="236"/>
      <c r="K959" s="237">
        <f ca="1">ROUND(IF(ISERROR(OFFSET(Tabella!$A$1,MATCH(H959,Tabella!$A:$A,0)-1,MATCH(J959,Tabella!$A$1:$AC$1,0)-1)=TRUE),0,+OFFSET(Tabella!$A$1,MATCH(H959,Tabella!$A:$A,0)-1,MATCH(J959,Tabella!$A$1:$AC$1,0)-1)),4)</f>
        <v>0</v>
      </c>
      <c r="L959" s="238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238">
        <f ca="1">ROUND(IF(ISERROR(OFFSET(Rame!$A$1,MATCH(H959,Rame!$A:$A,0)-1,MATCH(J959,Rame!$A$1:$AA$1,0)-1)=TRUE),0,OFFSET(Rame!$A$1,MATCH(H959,Rame!$A:$A,0)-1,MATCH(J959,Rame!$A$1:$AA$1,0)-1))*IF(E959="Rame",1,0),4)</f>
        <v>0</v>
      </c>
      <c r="N959" s="238">
        <v>0</v>
      </c>
      <c r="O959" s="238">
        <f t="shared" ca="1" si="346"/>
        <v>0</v>
      </c>
      <c r="P959" s="238">
        <f ca="1">ROUND(+IF(ISERROR(OFFSET(Tabella!$G$1,MATCH(H959,Tabella!$G:$G,0)-1,MATCH(I959,Tabella!$G$1:$FG$1,0)-1)=TRUE),0,OFFSET(Tabella!$G$1,MATCH(H959,Tabella!$G:$G,0)-1,MATCH(I959,Tabella!$G$1:$AB$1,0)-1)),4)</f>
        <v>0</v>
      </c>
      <c r="Q959" s="238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238">
        <f ca="1">ROUND(IF(ISERROR(OFFSET(Rame!$F$1,MATCH(H959,Rame!$F:$F,0)-1,MATCH(I959,Rame!$F$1:$FF$1,0)-1)=TRUE),0,OFFSET(Rame!$F$1,MATCH(H959,Rame!$F:$F,0)-1,MATCH(I959,Rame!$F$1:$FF$1,0)-1))*IF(E959="Rame",1,0),4)</f>
        <v>0</v>
      </c>
      <c r="S959" s="238">
        <f ca="1">ROUND(IF(ISERROR(OFFSET(Bronzo!$A$1,MATCH(H959,Bronzo!$A:$A,0)-1,MATCH(I959,Bronzo!$A$1:$AA$1,0)-1)=TRUE),0,OFFSET(Bronzo!$A$1,MATCH(H959,Bronzo!$A:$A,0)-1,MATCH(I959,Bronzo!$A$1:$AA$1,0)-1)),4)</f>
        <v>0</v>
      </c>
      <c r="T959" s="238">
        <f t="shared" ca="1" si="337"/>
        <v>0</v>
      </c>
      <c r="U959" s="237"/>
      <c r="V959" s="238">
        <v>0</v>
      </c>
      <c r="W959" s="239">
        <f t="shared" ca="1" si="338"/>
        <v>0</v>
      </c>
      <c r="X959" s="240">
        <f t="shared" si="336"/>
        <v>0</v>
      </c>
      <c r="Y959" s="236"/>
      <c r="Z959" s="236">
        <f t="shared" ca="1" si="339"/>
        <v>0</v>
      </c>
      <c r="AA959" s="241"/>
      <c r="AF959" s="225">
        <f t="shared" ca="1" si="335"/>
        <v>46236</v>
      </c>
      <c r="AG959" s="225" t="b">
        <f t="shared" si="340"/>
        <v>1</v>
      </c>
      <c r="AH959" s="242" t="str">
        <f t="shared" si="341"/>
        <v/>
      </c>
      <c r="AK959" s="223">
        <f t="shared" si="342"/>
        <v>0</v>
      </c>
      <c r="AL959" s="223">
        <f t="shared" si="343"/>
        <v>1900</v>
      </c>
      <c r="AS959" s="223">
        <f t="shared" si="344"/>
        <v>0</v>
      </c>
      <c r="AT959" s="223">
        <f t="shared" si="345"/>
        <v>0</v>
      </c>
    </row>
    <row r="960" spans="2:46" ht="15.75" x14ac:dyDescent="0.25">
      <c r="B960" s="229"/>
      <c r="C960" s="235"/>
      <c r="D960" s="243"/>
      <c r="E960" s="232"/>
      <c r="F960" s="233"/>
      <c r="G960" s="234"/>
      <c r="H960" s="235"/>
      <c r="I960" s="235"/>
      <c r="J960" s="236"/>
      <c r="K960" s="237">
        <f ca="1">ROUND(IF(ISERROR(OFFSET(Tabella!$A$1,MATCH(H960,Tabella!$A:$A,0)-1,MATCH(J960,Tabella!$A$1:$AC$1,0)-1)=TRUE),0,+OFFSET(Tabella!$A$1,MATCH(H960,Tabella!$A:$A,0)-1,MATCH(J960,Tabella!$A$1:$AC$1,0)-1)),4)</f>
        <v>0</v>
      </c>
      <c r="L960" s="238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238">
        <f ca="1">ROUND(IF(ISERROR(OFFSET(Rame!$A$1,MATCH(H960,Rame!$A:$A,0)-1,MATCH(J960,Rame!$A$1:$AA$1,0)-1)=TRUE),0,OFFSET(Rame!$A$1,MATCH(H960,Rame!$A:$A,0)-1,MATCH(J960,Rame!$A$1:$AA$1,0)-1))*IF(E960="Rame",1,0),4)</f>
        <v>0</v>
      </c>
      <c r="N960" s="238">
        <v>0</v>
      </c>
      <c r="O960" s="238">
        <f t="shared" ca="1" si="346"/>
        <v>0</v>
      </c>
      <c r="P960" s="238">
        <f ca="1">ROUND(+IF(ISERROR(OFFSET(Tabella!$G$1,MATCH(H960,Tabella!$G:$G,0)-1,MATCH(I960,Tabella!$G$1:$FG$1,0)-1)=TRUE),0,OFFSET(Tabella!$G$1,MATCH(H960,Tabella!$G:$G,0)-1,MATCH(I960,Tabella!$G$1:$AB$1,0)-1)),4)</f>
        <v>0</v>
      </c>
      <c r="Q960" s="238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238">
        <f ca="1">ROUND(IF(ISERROR(OFFSET(Rame!$F$1,MATCH(H960,Rame!$F:$F,0)-1,MATCH(I960,Rame!$F$1:$FF$1,0)-1)=TRUE),0,OFFSET(Rame!$F$1,MATCH(H960,Rame!$F:$F,0)-1,MATCH(I960,Rame!$F$1:$FF$1,0)-1))*IF(E960="Rame",1,0),4)</f>
        <v>0</v>
      </c>
      <c r="S960" s="238">
        <f ca="1">ROUND(IF(ISERROR(OFFSET(Bronzo!$A$1,MATCH(H960,Bronzo!$A:$A,0)-1,MATCH(I960,Bronzo!$A$1:$AA$1,0)-1)=TRUE),0,OFFSET(Bronzo!$A$1,MATCH(H960,Bronzo!$A:$A,0)-1,MATCH(I960,Bronzo!$A$1:$AA$1,0)-1)),4)</f>
        <v>0</v>
      </c>
      <c r="T960" s="238">
        <f t="shared" ca="1" si="337"/>
        <v>0</v>
      </c>
      <c r="U960" s="237"/>
      <c r="V960" s="238">
        <v>0</v>
      </c>
      <c r="W960" s="239">
        <f t="shared" ca="1" si="338"/>
        <v>0</v>
      </c>
      <c r="X960" s="240">
        <f t="shared" si="336"/>
        <v>0</v>
      </c>
      <c r="Y960" s="236"/>
      <c r="Z960" s="236">
        <f t="shared" ca="1" si="339"/>
        <v>0</v>
      </c>
      <c r="AA960" s="241"/>
      <c r="AF960" s="225">
        <f t="shared" ca="1" si="335"/>
        <v>46236</v>
      </c>
      <c r="AG960" s="225" t="b">
        <f t="shared" si="340"/>
        <v>1</v>
      </c>
      <c r="AH960" s="242" t="str">
        <f t="shared" si="341"/>
        <v/>
      </c>
      <c r="AK960" s="223">
        <f t="shared" si="342"/>
        <v>0</v>
      </c>
      <c r="AL960" s="223">
        <f t="shared" si="343"/>
        <v>1900</v>
      </c>
      <c r="AS960" s="223">
        <f t="shared" si="344"/>
        <v>0</v>
      </c>
      <c r="AT960" s="223">
        <f t="shared" si="345"/>
        <v>0</v>
      </c>
    </row>
    <row r="961" spans="2:46" ht="15.75" x14ac:dyDescent="0.25">
      <c r="B961" s="229"/>
      <c r="C961" s="235"/>
      <c r="D961" s="243"/>
      <c r="E961" s="232"/>
      <c r="F961" s="233"/>
      <c r="G961" s="234"/>
      <c r="H961" s="235"/>
      <c r="I961" s="235"/>
      <c r="J961" s="236"/>
      <c r="K961" s="237">
        <f ca="1">ROUND(IF(ISERROR(OFFSET(Tabella!$A$1,MATCH(H961,Tabella!$A:$A,0)-1,MATCH(J961,Tabella!$A$1:$AC$1,0)-1)=TRUE),0,+OFFSET(Tabella!$A$1,MATCH(H961,Tabella!$A:$A,0)-1,MATCH(J961,Tabella!$A$1:$AC$1,0)-1)),4)</f>
        <v>0</v>
      </c>
      <c r="L961" s="238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238">
        <f ca="1">ROUND(IF(ISERROR(OFFSET(Rame!$A$1,MATCH(H961,Rame!$A:$A,0)-1,MATCH(J961,Rame!$A$1:$AA$1,0)-1)=TRUE),0,OFFSET(Rame!$A$1,MATCH(H961,Rame!$A:$A,0)-1,MATCH(J961,Rame!$A$1:$AA$1,0)-1))*IF(E961="Rame",1,0),4)</f>
        <v>0</v>
      </c>
      <c r="N961" s="238">
        <v>0</v>
      </c>
      <c r="O961" s="238">
        <f t="shared" ca="1" si="346"/>
        <v>0</v>
      </c>
      <c r="P961" s="238">
        <f ca="1">ROUND(+IF(ISERROR(OFFSET(Tabella!$G$1,MATCH(H961,Tabella!$G:$G,0)-1,MATCH(I961,Tabella!$G$1:$FG$1,0)-1)=TRUE),0,OFFSET(Tabella!$G$1,MATCH(H961,Tabella!$G:$G,0)-1,MATCH(I961,Tabella!$G$1:$AB$1,0)-1)),4)</f>
        <v>0</v>
      </c>
      <c r="Q961" s="238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238">
        <f ca="1">ROUND(IF(ISERROR(OFFSET(Rame!$F$1,MATCH(H961,Rame!$F:$F,0)-1,MATCH(I961,Rame!$F$1:$FF$1,0)-1)=TRUE),0,OFFSET(Rame!$F$1,MATCH(H961,Rame!$F:$F,0)-1,MATCH(I961,Rame!$F$1:$FF$1,0)-1))*IF(E961="Rame",1,0),4)</f>
        <v>0</v>
      </c>
      <c r="S961" s="238">
        <f ca="1">ROUND(IF(ISERROR(OFFSET(Bronzo!$A$1,MATCH(H961,Bronzo!$A:$A,0)-1,MATCH(I961,Bronzo!$A$1:$AA$1,0)-1)=TRUE),0,OFFSET(Bronzo!$A$1,MATCH(H961,Bronzo!$A:$A,0)-1,MATCH(I961,Bronzo!$A$1:$AA$1,0)-1)),4)</f>
        <v>0</v>
      </c>
      <c r="T961" s="238">
        <f t="shared" ca="1" si="337"/>
        <v>0</v>
      </c>
      <c r="U961" s="237"/>
      <c r="V961" s="238">
        <v>0</v>
      </c>
      <c r="W961" s="239">
        <f t="shared" ca="1" si="338"/>
        <v>0</v>
      </c>
      <c r="X961" s="240">
        <f t="shared" si="336"/>
        <v>0</v>
      </c>
      <c r="Y961" s="236"/>
      <c r="Z961" s="236">
        <f t="shared" ca="1" si="339"/>
        <v>0</v>
      </c>
      <c r="AA961" s="241"/>
      <c r="AF961" s="225">
        <f t="shared" ca="1" si="335"/>
        <v>46236</v>
      </c>
      <c r="AG961" s="225" t="b">
        <f t="shared" si="340"/>
        <v>1</v>
      </c>
      <c r="AH961" s="242" t="str">
        <f t="shared" si="341"/>
        <v/>
      </c>
      <c r="AK961" s="223">
        <f t="shared" si="342"/>
        <v>0</v>
      </c>
      <c r="AL961" s="223">
        <f t="shared" si="343"/>
        <v>1900</v>
      </c>
      <c r="AS961" s="223">
        <f t="shared" si="344"/>
        <v>0</v>
      </c>
      <c r="AT961" s="223">
        <f t="shared" si="345"/>
        <v>0</v>
      </c>
    </row>
    <row r="962" spans="2:46" ht="15.75" x14ac:dyDescent="0.25">
      <c r="B962" s="229"/>
      <c r="C962" s="235"/>
      <c r="D962" s="243"/>
      <c r="E962" s="232"/>
      <c r="F962" s="233"/>
      <c r="G962" s="234"/>
      <c r="H962" s="235"/>
      <c r="I962" s="235"/>
      <c r="J962" s="236"/>
      <c r="K962" s="237">
        <f ca="1">ROUND(IF(ISERROR(OFFSET(Tabella!$A$1,MATCH(H962,Tabella!$A:$A,0)-1,MATCH(J962,Tabella!$A$1:$AC$1,0)-1)=TRUE),0,+OFFSET(Tabella!$A$1,MATCH(H962,Tabella!$A:$A,0)-1,MATCH(J962,Tabella!$A$1:$AC$1,0)-1)),4)</f>
        <v>0</v>
      </c>
      <c r="L962" s="238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238">
        <f ca="1">ROUND(IF(ISERROR(OFFSET(Rame!$A$1,MATCH(H962,Rame!$A:$A,0)-1,MATCH(J962,Rame!$A$1:$AA$1,0)-1)=TRUE),0,OFFSET(Rame!$A$1,MATCH(H962,Rame!$A:$A,0)-1,MATCH(J962,Rame!$A$1:$AA$1,0)-1))*IF(E962="Rame",1,0),4)</f>
        <v>0</v>
      </c>
      <c r="N962" s="238">
        <v>0</v>
      </c>
      <c r="O962" s="238">
        <f t="shared" ca="1" si="346"/>
        <v>0</v>
      </c>
      <c r="P962" s="238">
        <f ca="1">ROUND(+IF(ISERROR(OFFSET(Tabella!$G$1,MATCH(H962,Tabella!$G:$G,0)-1,MATCH(I962,Tabella!$G$1:$FG$1,0)-1)=TRUE),0,OFFSET(Tabella!$G$1,MATCH(H962,Tabella!$G:$G,0)-1,MATCH(I962,Tabella!$G$1:$AB$1,0)-1)),4)</f>
        <v>0</v>
      </c>
      <c r="Q962" s="238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238">
        <f ca="1">ROUND(IF(ISERROR(OFFSET(Rame!$F$1,MATCH(H962,Rame!$F:$F,0)-1,MATCH(I962,Rame!$F$1:$FF$1,0)-1)=TRUE),0,OFFSET(Rame!$F$1,MATCH(H962,Rame!$F:$F,0)-1,MATCH(I962,Rame!$F$1:$FF$1,0)-1))*IF(E962="Rame",1,0),4)</f>
        <v>0</v>
      </c>
      <c r="S962" s="238">
        <f ca="1">ROUND(IF(ISERROR(OFFSET(Bronzo!$A$1,MATCH(H962,Bronzo!$A:$A,0)-1,MATCH(I962,Bronzo!$A$1:$AA$1,0)-1)=TRUE),0,OFFSET(Bronzo!$A$1,MATCH(H962,Bronzo!$A:$A,0)-1,MATCH(I962,Bronzo!$A$1:$AA$1,0)-1)),4)</f>
        <v>0</v>
      </c>
      <c r="T962" s="238">
        <f t="shared" ca="1" si="337"/>
        <v>0</v>
      </c>
      <c r="U962" s="237"/>
      <c r="V962" s="238">
        <v>0</v>
      </c>
      <c r="W962" s="239">
        <f t="shared" ca="1" si="338"/>
        <v>0</v>
      </c>
      <c r="X962" s="240">
        <f t="shared" si="336"/>
        <v>0</v>
      </c>
      <c r="Y962" s="236"/>
      <c r="Z962" s="236">
        <f t="shared" ca="1" si="339"/>
        <v>0</v>
      </c>
      <c r="AA962" s="241"/>
      <c r="AF962" s="225">
        <f t="shared" ca="1" si="335"/>
        <v>46236</v>
      </c>
      <c r="AG962" s="225" t="b">
        <f t="shared" si="340"/>
        <v>1</v>
      </c>
      <c r="AH962" s="242" t="str">
        <f t="shared" si="341"/>
        <v/>
      </c>
      <c r="AK962" s="223">
        <f t="shared" si="342"/>
        <v>0</v>
      </c>
      <c r="AL962" s="223">
        <f t="shared" si="343"/>
        <v>1900</v>
      </c>
      <c r="AS962" s="223">
        <f t="shared" si="344"/>
        <v>0</v>
      </c>
      <c r="AT962" s="223">
        <f t="shared" si="345"/>
        <v>0</v>
      </c>
    </row>
    <row r="963" spans="2:46" ht="15.75" x14ac:dyDescent="0.25">
      <c r="B963" s="229"/>
      <c r="C963" s="235"/>
      <c r="D963" s="243"/>
      <c r="E963" s="232"/>
      <c r="F963" s="233"/>
      <c r="G963" s="234"/>
      <c r="H963" s="235"/>
      <c r="I963" s="235"/>
      <c r="J963" s="236"/>
      <c r="K963" s="237">
        <f ca="1">ROUND(IF(ISERROR(OFFSET(Tabella!$A$1,MATCH(H963,Tabella!$A:$A,0)-1,MATCH(J963,Tabella!$A$1:$AC$1,0)-1)=TRUE),0,+OFFSET(Tabella!$A$1,MATCH(H963,Tabella!$A:$A,0)-1,MATCH(J963,Tabella!$A$1:$AC$1,0)-1)),4)</f>
        <v>0</v>
      </c>
      <c r="L963" s="238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238">
        <f ca="1">ROUND(IF(ISERROR(OFFSET(Rame!$A$1,MATCH(H963,Rame!$A:$A,0)-1,MATCH(J963,Rame!$A$1:$AA$1,0)-1)=TRUE),0,OFFSET(Rame!$A$1,MATCH(H963,Rame!$A:$A,0)-1,MATCH(J963,Rame!$A$1:$AA$1,0)-1))*IF(E963="Rame",1,0),4)</f>
        <v>0</v>
      </c>
      <c r="N963" s="238">
        <v>0</v>
      </c>
      <c r="O963" s="238">
        <f t="shared" ca="1" si="346"/>
        <v>0</v>
      </c>
      <c r="P963" s="238">
        <f ca="1">ROUND(+IF(ISERROR(OFFSET(Tabella!$G$1,MATCH(H963,Tabella!$G:$G,0)-1,MATCH(I963,Tabella!$G$1:$FG$1,0)-1)=TRUE),0,OFFSET(Tabella!$G$1,MATCH(H963,Tabella!$G:$G,0)-1,MATCH(I963,Tabella!$G$1:$AB$1,0)-1)),4)</f>
        <v>0</v>
      </c>
      <c r="Q963" s="238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238">
        <f ca="1">ROUND(IF(ISERROR(OFFSET(Rame!$F$1,MATCH(H963,Rame!$F:$F,0)-1,MATCH(I963,Rame!$F$1:$FF$1,0)-1)=TRUE),0,OFFSET(Rame!$F$1,MATCH(H963,Rame!$F:$F,0)-1,MATCH(I963,Rame!$F$1:$FF$1,0)-1))*IF(E963="Rame",1,0),4)</f>
        <v>0</v>
      </c>
      <c r="S963" s="238">
        <f ca="1">ROUND(IF(ISERROR(OFFSET(Bronzo!$A$1,MATCH(H963,Bronzo!$A:$A,0)-1,MATCH(I963,Bronzo!$A$1:$AA$1,0)-1)=TRUE),0,OFFSET(Bronzo!$A$1,MATCH(H963,Bronzo!$A:$A,0)-1,MATCH(I963,Bronzo!$A$1:$AA$1,0)-1)),4)</f>
        <v>0</v>
      </c>
      <c r="T963" s="238">
        <f t="shared" ca="1" si="337"/>
        <v>0</v>
      </c>
      <c r="U963" s="237"/>
      <c r="V963" s="238">
        <v>0</v>
      </c>
      <c r="W963" s="239">
        <f t="shared" ca="1" si="338"/>
        <v>0</v>
      </c>
      <c r="X963" s="240">
        <f t="shared" si="336"/>
        <v>0</v>
      </c>
      <c r="Y963" s="236"/>
      <c r="Z963" s="236">
        <f t="shared" ca="1" si="339"/>
        <v>0</v>
      </c>
      <c r="AA963" s="241"/>
      <c r="AF963" s="225">
        <f t="shared" ca="1" si="335"/>
        <v>46236</v>
      </c>
      <c r="AG963" s="225" t="b">
        <f t="shared" si="340"/>
        <v>1</v>
      </c>
      <c r="AH963" s="242" t="str">
        <f t="shared" si="341"/>
        <v/>
      </c>
      <c r="AK963" s="223">
        <f t="shared" si="342"/>
        <v>0</v>
      </c>
      <c r="AL963" s="223">
        <f t="shared" si="343"/>
        <v>1900</v>
      </c>
      <c r="AS963" s="223">
        <f t="shared" si="344"/>
        <v>0</v>
      </c>
      <c r="AT963" s="223">
        <f t="shared" si="345"/>
        <v>0</v>
      </c>
    </row>
    <row r="964" spans="2:46" ht="15.75" x14ac:dyDescent="0.25">
      <c r="B964" s="229"/>
      <c r="C964" s="235"/>
      <c r="D964" s="243"/>
      <c r="E964" s="232"/>
      <c r="F964" s="233"/>
      <c r="G964" s="234"/>
      <c r="H964" s="235"/>
      <c r="I964" s="235"/>
      <c r="J964" s="236"/>
      <c r="K964" s="237">
        <f ca="1">ROUND(IF(ISERROR(OFFSET(Tabella!$A$1,MATCH(H964,Tabella!$A:$A,0)-1,MATCH(J964,Tabella!$A$1:$AC$1,0)-1)=TRUE),0,+OFFSET(Tabella!$A$1,MATCH(H964,Tabella!$A:$A,0)-1,MATCH(J964,Tabella!$A$1:$AC$1,0)-1)),4)</f>
        <v>0</v>
      </c>
      <c r="L964" s="238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238">
        <f ca="1">ROUND(IF(ISERROR(OFFSET(Rame!$A$1,MATCH(H964,Rame!$A:$A,0)-1,MATCH(J964,Rame!$A$1:$AA$1,0)-1)=TRUE),0,OFFSET(Rame!$A$1,MATCH(H964,Rame!$A:$A,0)-1,MATCH(J964,Rame!$A$1:$AA$1,0)-1))*IF(E964="Rame",1,0),4)</f>
        <v>0</v>
      </c>
      <c r="N964" s="238">
        <v>0</v>
      </c>
      <c r="O964" s="238">
        <f t="shared" ca="1" si="346"/>
        <v>0</v>
      </c>
      <c r="P964" s="238">
        <f ca="1">ROUND(+IF(ISERROR(OFFSET(Tabella!$G$1,MATCH(H964,Tabella!$G:$G,0)-1,MATCH(I964,Tabella!$G$1:$FG$1,0)-1)=TRUE),0,OFFSET(Tabella!$G$1,MATCH(H964,Tabella!$G:$G,0)-1,MATCH(I964,Tabella!$G$1:$AB$1,0)-1)),4)</f>
        <v>0</v>
      </c>
      <c r="Q964" s="238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238">
        <f ca="1">ROUND(IF(ISERROR(OFFSET(Rame!$F$1,MATCH(H964,Rame!$F:$F,0)-1,MATCH(I964,Rame!$F$1:$FF$1,0)-1)=TRUE),0,OFFSET(Rame!$F$1,MATCH(H964,Rame!$F:$F,0)-1,MATCH(I964,Rame!$F$1:$FF$1,0)-1))*IF(E964="Rame",1,0),4)</f>
        <v>0</v>
      </c>
      <c r="S964" s="238">
        <f ca="1">ROUND(IF(ISERROR(OFFSET(Bronzo!$A$1,MATCH(H964,Bronzo!$A:$A,0)-1,MATCH(I964,Bronzo!$A$1:$AA$1,0)-1)=TRUE),0,OFFSET(Bronzo!$A$1,MATCH(H964,Bronzo!$A:$A,0)-1,MATCH(I964,Bronzo!$A$1:$AA$1,0)-1)),4)</f>
        <v>0</v>
      </c>
      <c r="T964" s="238">
        <f t="shared" ca="1" si="337"/>
        <v>0</v>
      </c>
      <c r="U964" s="237"/>
      <c r="V964" s="238">
        <v>0</v>
      </c>
      <c r="W964" s="239">
        <f t="shared" ca="1" si="338"/>
        <v>0</v>
      </c>
      <c r="X964" s="240">
        <f t="shared" si="336"/>
        <v>0</v>
      </c>
      <c r="Y964" s="236"/>
      <c r="Z964" s="236">
        <f t="shared" ca="1" si="339"/>
        <v>0</v>
      </c>
      <c r="AA964" s="241"/>
      <c r="AF964" s="225">
        <f t="shared" ca="1" si="335"/>
        <v>46236</v>
      </c>
      <c r="AG964" s="225" t="b">
        <f t="shared" si="340"/>
        <v>1</v>
      </c>
      <c r="AH964" s="242" t="str">
        <f t="shared" si="341"/>
        <v/>
      </c>
      <c r="AK964" s="223">
        <f t="shared" si="342"/>
        <v>0</v>
      </c>
      <c r="AL964" s="223">
        <f t="shared" si="343"/>
        <v>1900</v>
      </c>
      <c r="AS964" s="223">
        <f t="shared" si="344"/>
        <v>0</v>
      </c>
      <c r="AT964" s="223">
        <f t="shared" si="345"/>
        <v>0</v>
      </c>
    </row>
    <row r="965" spans="2:46" ht="15.75" x14ac:dyDescent="0.25">
      <c r="B965" s="229"/>
      <c r="C965" s="235"/>
      <c r="D965" s="243"/>
      <c r="E965" s="232"/>
      <c r="F965" s="233"/>
      <c r="G965" s="234"/>
      <c r="H965" s="235"/>
      <c r="I965" s="235"/>
      <c r="J965" s="236"/>
      <c r="K965" s="237">
        <f ca="1">ROUND(IF(ISERROR(OFFSET(Tabella!$A$1,MATCH(H965,Tabella!$A:$A,0)-1,MATCH(J965,Tabella!$A$1:$AC$1,0)-1)=TRUE),0,+OFFSET(Tabella!$A$1,MATCH(H965,Tabella!$A:$A,0)-1,MATCH(J965,Tabella!$A$1:$AC$1,0)-1)),4)</f>
        <v>0</v>
      </c>
      <c r="L965" s="238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238">
        <f ca="1">ROUND(IF(ISERROR(OFFSET(Rame!$A$1,MATCH(H965,Rame!$A:$A,0)-1,MATCH(J965,Rame!$A$1:$AA$1,0)-1)=TRUE),0,OFFSET(Rame!$A$1,MATCH(H965,Rame!$A:$A,0)-1,MATCH(J965,Rame!$A$1:$AA$1,0)-1))*IF(E965="Rame",1,0),4)</f>
        <v>0</v>
      </c>
      <c r="N965" s="238">
        <v>0</v>
      </c>
      <c r="O965" s="238">
        <f t="shared" ca="1" si="346"/>
        <v>0</v>
      </c>
      <c r="P965" s="238">
        <f ca="1">ROUND(+IF(ISERROR(OFFSET(Tabella!$G$1,MATCH(H965,Tabella!$G:$G,0)-1,MATCH(I965,Tabella!$G$1:$FG$1,0)-1)=TRUE),0,OFFSET(Tabella!$G$1,MATCH(H965,Tabella!$G:$G,0)-1,MATCH(I965,Tabella!$G$1:$AB$1,0)-1)),4)</f>
        <v>0</v>
      </c>
      <c r="Q965" s="238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238">
        <f ca="1">ROUND(IF(ISERROR(OFFSET(Rame!$F$1,MATCH(H965,Rame!$F:$F,0)-1,MATCH(I965,Rame!$F$1:$FF$1,0)-1)=TRUE),0,OFFSET(Rame!$F$1,MATCH(H965,Rame!$F:$F,0)-1,MATCH(I965,Rame!$F$1:$FF$1,0)-1))*IF(E965="Rame",1,0),4)</f>
        <v>0</v>
      </c>
      <c r="S965" s="238">
        <f ca="1">ROUND(IF(ISERROR(OFFSET(Bronzo!$A$1,MATCH(H965,Bronzo!$A:$A,0)-1,MATCH(I965,Bronzo!$A$1:$AA$1,0)-1)=TRUE),0,OFFSET(Bronzo!$A$1,MATCH(H965,Bronzo!$A:$A,0)-1,MATCH(I965,Bronzo!$A$1:$AA$1,0)-1)),4)</f>
        <v>0</v>
      </c>
      <c r="T965" s="238">
        <f t="shared" ca="1" si="337"/>
        <v>0</v>
      </c>
      <c r="U965" s="237"/>
      <c r="V965" s="238">
        <v>0</v>
      </c>
      <c r="W965" s="239">
        <f t="shared" ca="1" si="338"/>
        <v>0</v>
      </c>
      <c r="X965" s="240">
        <f t="shared" si="336"/>
        <v>0</v>
      </c>
      <c r="Y965" s="236"/>
      <c r="Z965" s="236">
        <f t="shared" ca="1" si="339"/>
        <v>0</v>
      </c>
      <c r="AA965" s="241"/>
      <c r="AF965" s="225">
        <f t="shared" ca="1" si="335"/>
        <v>46236</v>
      </c>
      <c r="AG965" s="225" t="b">
        <f t="shared" si="340"/>
        <v>1</v>
      </c>
      <c r="AH965" s="242" t="str">
        <f t="shared" si="341"/>
        <v/>
      </c>
      <c r="AK965" s="223">
        <f t="shared" si="342"/>
        <v>0</v>
      </c>
      <c r="AL965" s="223">
        <f t="shared" si="343"/>
        <v>1900</v>
      </c>
      <c r="AS965" s="223">
        <f t="shared" si="344"/>
        <v>0</v>
      </c>
      <c r="AT965" s="223">
        <f t="shared" si="345"/>
        <v>0</v>
      </c>
    </row>
    <row r="966" spans="2:46" ht="15.75" x14ac:dyDescent="0.25">
      <c r="B966" s="229"/>
      <c r="C966" s="235"/>
      <c r="D966" s="243"/>
      <c r="E966" s="232"/>
      <c r="F966" s="233"/>
      <c r="G966" s="234"/>
      <c r="H966" s="235"/>
      <c r="I966" s="235"/>
      <c r="J966" s="236"/>
      <c r="K966" s="237">
        <f ca="1">ROUND(IF(ISERROR(OFFSET(Tabella!$A$1,MATCH(H966,Tabella!$A:$A,0)-1,MATCH(J966,Tabella!$A$1:$AC$1,0)-1)=TRUE),0,+OFFSET(Tabella!$A$1,MATCH(H966,Tabella!$A:$A,0)-1,MATCH(J966,Tabella!$A$1:$AC$1,0)-1)),4)</f>
        <v>0</v>
      </c>
      <c r="L966" s="238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238">
        <f ca="1">ROUND(IF(ISERROR(OFFSET(Rame!$A$1,MATCH(H966,Rame!$A:$A,0)-1,MATCH(J966,Rame!$A$1:$AA$1,0)-1)=TRUE),0,OFFSET(Rame!$A$1,MATCH(H966,Rame!$A:$A,0)-1,MATCH(J966,Rame!$A$1:$AA$1,0)-1))*IF(E966="Rame",1,0),4)</f>
        <v>0</v>
      </c>
      <c r="N966" s="238">
        <v>0</v>
      </c>
      <c r="O966" s="238">
        <f t="shared" ca="1" si="346"/>
        <v>0</v>
      </c>
      <c r="P966" s="238">
        <f ca="1">ROUND(+IF(ISERROR(OFFSET(Tabella!$G$1,MATCH(H966,Tabella!$G:$G,0)-1,MATCH(I966,Tabella!$G$1:$FG$1,0)-1)=TRUE),0,OFFSET(Tabella!$G$1,MATCH(H966,Tabella!$G:$G,0)-1,MATCH(I966,Tabella!$G$1:$AB$1,0)-1)),4)</f>
        <v>0</v>
      </c>
      <c r="Q966" s="238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238">
        <f ca="1">ROUND(IF(ISERROR(OFFSET(Rame!$F$1,MATCH(H966,Rame!$F:$F,0)-1,MATCH(I966,Rame!$F$1:$FF$1,0)-1)=TRUE),0,OFFSET(Rame!$F$1,MATCH(H966,Rame!$F:$F,0)-1,MATCH(I966,Rame!$F$1:$FF$1,0)-1))*IF(E966="Rame",1,0),4)</f>
        <v>0</v>
      </c>
      <c r="S966" s="238">
        <f ca="1">ROUND(IF(ISERROR(OFFSET(Bronzo!$A$1,MATCH(H966,Bronzo!$A:$A,0)-1,MATCH(I966,Bronzo!$A$1:$AA$1,0)-1)=TRUE),0,OFFSET(Bronzo!$A$1,MATCH(H966,Bronzo!$A:$A,0)-1,MATCH(I966,Bronzo!$A$1:$AA$1,0)-1)),4)</f>
        <v>0</v>
      </c>
      <c r="T966" s="238">
        <f t="shared" ca="1" si="337"/>
        <v>0</v>
      </c>
      <c r="U966" s="237"/>
      <c r="V966" s="238">
        <v>0</v>
      </c>
      <c r="W966" s="239">
        <f t="shared" ca="1" si="338"/>
        <v>0</v>
      </c>
      <c r="X966" s="240">
        <f t="shared" si="336"/>
        <v>0</v>
      </c>
      <c r="Y966" s="236"/>
      <c r="Z966" s="236">
        <f t="shared" ca="1" si="339"/>
        <v>0</v>
      </c>
      <c r="AA966" s="241"/>
      <c r="AF966" s="225">
        <f t="shared" ca="1" si="335"/>
        <v>46236</v>
      </c>
      <c r="AG966" s="225" t="b">
        <f t="shared" si="340"/>
        <v>1</v>
      </c>
      <c r="AH966" s="242" t="str">
        <f t="shared" si="341"/>
        <v/>
      </c>
      <c r="AK966" s="223">
        <f t="shared" si="342"/>
        <v>0</v>
      </c>
      <c r="AL966" s="223">
        <f t="shared" si="343"/>
        <v>1900</v>
      </c>
      <c r="AS966" s="223">
        <f t="shared" si="344"/>
        <v>0</v>
      </c>
      <c r="AT966" s="223">
        <f t="shared" si="345"/>
        <v>0</v>
      </c>
    </row>
    <row r="967" spans="2:46" ht="15.75" x14ac:dyDescent="0.25">
      <c r="B967" s="229"/>
      <c r="C967" s="235"/>
      <c r="D967" s="243"/>
      <c r="E967" s="232"/>
      <c r="F967" s="233"/>
      <c r="G967" s="234"/>
      <c r="H967" s="235"/>
      <c r="I967" s="235"/>
      <c r="J967" s="236"/>
      <c r="K967" s="237">
        <f ca="1">ROUND(IF(ISERROR(OFFSET(Tabella!$A$1,MATCH(H967,Tabella!$A:$A,0)-1,MATCH(J967,Tabella!$A$1:$AC$1,0)-1)=TRUE),0,+OFFSET(Tabella!$A$1,MATCH(H967,Tabella!$A:$A,0)-1,MATCH(J967,Tabella!$A$1:$AC$1,0)-1)),4)</f>
        <v>0</v>
      </c>
      <c r="L967" s="238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238">
        <f ca="1">ROUND(IF(ISERROR(OFFSET(Rame!$A$1,MATCH(H967,Rame!$A:$A,0)-1,MATCH(J967,Rame!$A$1:$AA$1,0)-1)=TRUE),0,OFFSET(Rame!$A$1,MATCH(H967,Rame!$A:$A,0)-1,MATCH(J967,Rame!$A$1:$AA$1,0)-1))*IF(E967="Rame",1,0),4)</f>
        <v>0</v>
      </c>
      <c r="N967" s="238">
        <v>0</v>
      </c>
      <c r="O967" s="238">
        <f t="shared" ca="1" si="346"/>
        <v>0</v>
      </c>
      <c r="P967" s="238">
        <f ca="1">ROUND(+IF(ISERROR(OFFSET(Tabella!$G$1,MATCH(H967,Tabella!$G:$G,0)-1,MATCH(I967,Tabella!$G$1:$FG$1,0)-1)=TRUE),0,OFFSET(Tabella!$G$1,MATCH(H967,Tabella!$G:$G,0)-1,MATCH(I967,Tabella!$G$1:$AB$1,0)-1)),4)</f>
        <v>0</v>
      </c>
      <c r="Q967" s="238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238">
        <f ca="1">ROUND(IF(ISERROR(OFFSET(Rame!$F$1,MATCH(H967,Rame!$F:$F,0)-1,MATCH(I967,Rame!$F$1:$FF$1,0)-1)=TRUE),0,OFFSET(Rame!$F$1,MATCH(H967,Rame!$F:$F,0)-1,MATCH(I967,Rame!$F$1:$FF$1,0)-1))*IF(E967="Rame",1,0),4)</f>
        <v>0</v>
      </c>
      <c r="S967" s="238">
        <f ca="1">ROUND(IF(ISERROR(OFFSET(Bronzo!$A$1,MATCH(H967,Bronzo!$A:$A,0)-1,MATCH(I967,Bronzo!$A$1:$AA$1,0)-1)=TRUE),0,OFFSET(Bronzo!$A$1,MATCH(H967,Bronzo!$A:$A,0)-1,MATCH(I967,Bronzo!$A$1:$AA$1,0)-1)),4)</f>
        <v>0</v>
      </c>
      <c r="T967" s="238">
        <f t="shared" ca="1" si="337"/>
        <v>0</v>
      </c>
      <c r="U967" s="237"/>
      <c r="V967" s="238">
        <v>0</v>
      </c>
      <c r="W967" s="239">
        <f t="shared" ca="1" si="338"/>
        <v>0</v>
      </c>
      <c r="X967" s="240">
        <f t="shared" si="336"/>
        <v>0</v>
      </c>
      <c r="Y967" s="236"/>
      <c r="Z967" s="236">
        <f t="shared" ca="1" si="339"/>
        <v>0</v>
      </c>
      <c r="AA967" s="241"/>
      <c r="AF967" s="225">
        <f t="shared" ca="1" si="335"/>
        <v>46236</v>
      </c>
      <c r="AG967" s="225" t="b">
        <f t="shared" si="340"/>
        <v>1</v>
      </c>
      <c r="AH967" s="242" t="str">
        <f t="shared" si="341"/>
        <v/>
      </c>
      <c r="AK967" s="223">
        <f t="shared" si="342"/>
        <v>0</v>
      </c>
      <c r="AL967" s="223">
        <f t="shared" si="343"/>
        <v>1900</v>
      </c>
      <c r="AS967" s="223">
        <f t="shared" si="344"/>
        <v>0</v>
      </c>
      <c r="AT967" s="223">
        <f t="shared" si="345"/>
        <v>0</v>
      </c>
    </row>
    <row r="968" spans="2:46" ht="15.75" x14ac:dyDescent="0.25">
      <c r="B968" s="229"/>
      <c r="C968" s="235"/>
      <c r="D968" s="243"/>
      <c r="E968" s="232"/>
      <c r="F968" s="233"/>
      <c r="G968" s="234"/>
      <c r="H968" s="235"/>
      <c r="I968" s="235"/>
      <c r="J968" s="236"/>
      <c r="K968" s="237">
        <f ca="1">ROUND(IF(ISERROR(OFFSET(Tabella!$A$1,MATCH(H968,Tabella!$A:$A,0)-1,MATCH(J968,Tabella!$A$1:$AC$1,0)-1)=TRUE),0,+OFFSET(Tabella!$A$1,MATCH(H968,Tabella!$A:$A,0)-1,MATCH(J968,Tabella!$A$1:$AC$1,0)-1)),4)</f>
        <v>0</v>
      </c>
      <c r="L968" s="238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238">
        <f ca="1">ROUND(IF(ISERROR(OFFSET(Rame!$A$1,MATCH(H968,Rame!$A:$A,0)-1,MATCH(J968,Rame!$A$1:$AA$1,0)-1)=TRUE),0,OFFSET(Rame!$A$1,MATCH(H968,Rame!$A:$A,0)-1,MATCH(J968,Rame!$A$1:$AA$1,0)-1))*IF(E968="Rame",1,0),4)</f>
        <v>0</v>
      </c>
      <c r="N968" s="238">
        <v>0</v>
      </c>
      <c r="O968" s="238">
        <f t="shared" ca="1" si="346"/>
        <v>0</v>
      </c>
      <c r="P968" s="238">
        <f ca="1">ROUND(+IF(ISERROR(OFFSET(Tabella!$G$1,MATCH(H968,Tabella!$G:$G,0)-1,MATCH(I968,Tabella!$G$1:$FG$1,0)-1)=TRUE),0,OFFSET(Tabella!$G$1,MATCH(H968,Tabella!$G:$G,0)-1,MATCH(I968,Tabella!$G$1:$AB$1,0)-1)),4)</f>
        <v>0</v>
      </c>
      <c r="Q968" s="238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238">
        <f ca="1">ROUND(IF(ISERROR(OFFSET(Rame!$F$1,MATCH(H968,Rame!$F:$F,0)-1,MATCH(I968,Rame!$F$1:$FF$1,0)-1)=TRUE),0,OFFSET(Rame!$F$1,MATCH(H968,Rame!$F:$F,0)-1,MATCH(I968,Rame!$F$1:$FF$1,0)-1))*IF(E968="Rame",1,0),4)</f>
        <v>0</v>
      </c>
      <c r="S968" s="238">
        <f ca="1">ROUND(IF(ISERROR(OFFSET(Bronzo!$A$1,MATCH(H968,Bronzo!$A:$A,0)-1,MATCH(I968,Bronzo!$A$1:$AA$1,0)-1)=TRUE),0,OFFSET(Bronzo!$A$1,MATCH(H968,Bronzo!$A:$A,0)-1,MATCH(I968,Bronzo!$A$1:$AA$1,0)-1)),4)</f>
        <v>0</v>
      </c>
      <c r="T968" s="238">
        <f t="shared" ca="1" si="337"/>
        <v>0</v>
      </c>
      <c r="U968" s="237"/>
      <c r="V968" s="238">
        <v>0</v>
      </c>
      <c r="W968" s="239">
        <f t="shared" ca="1" si="338"/>
        <v>0</v>
      </c>
      <c r="X968" s="240">
        <f t="shared" si="336"/>
        <v>0</v>
      </c>
      <c r="Y968" s="236"/>
      <c r="Z968" s="236">
        <f t="shared" ca="1" si="339"/>
        <v>0</v>
      </c>
      <c r="AA968" s="241"/>
      <c r="AF968" s="225">
        <f t="shared" ca="1" si="335"/>
        <v>46236</v>
      </c>
      <c r="AG968" s="225" t="b">
        <f t="shared" si="340"/>
        <v>1</v>
      </c>
      <c r="AH968" s="242" t="str">
        <f t="shared" si="341"/>
        <v/>
      </c>
      <c r="AK968" s="223">
        <f t="shared" si="342"/>
        <v>0</v>
      </c>
      <c r="AL968" s="223">
        <f t="shared" si="343"/>
        <v>1900</v>
      </c>
      <c r="AS968" s="223">
        <f t="shared" si="344"/>
        <v>0</v>
      </c>
      <c r="AT968" s="223">
        <f t="shared" si="345"/>
        <v>0</v>
      </c>
    </row>
    <row r="969" spans="2:46" ht="15.75" x14ac:dyDescent="0.25">
      <c r="B969" s="229"/>
      <c r="C969" s="235"/>
      <c r="D969" s="243"/>
      <c r="E969" s="232"/>
      <c r="F969" s="233"/>
      <c r="G969" s="234"/>
      <c r="H969" s="235"/>
      <c r="I969" s="235"/>
      <c r="J969" s="236"/>
      <c r="K969" s="237">
        <f ca="1">ROUND(IF(ISERROR(OFFSET(Tabella!$A$1,MATCH(H969,Tabella!$A:$A,0)-1,MATCH(J969,Tabella!$A$1:$AC$1,0)-1)=TRUE),0,+OFFSET(Tabella!$A$1,MATCH(H969,Tabella!$A:$A,0)-1,MATCH(J969,Tabella!$A$1:$AC$1,0)-1)),4)</f>
        <v>0</v>
      </c>
      <c r="L969" s="238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238">
        <f ca="1">ROUND(IF(ISERROR(OFFSET(Rame!$A$1,MATCH(H969,Rame!$A:$A,0)-1,MATCH(J969,Rame!$A$1:$AA$1,0)-1)=TRUE),0,OFFSET(Rame!$A$1,MATCH(H969,Rame!$A:$A,0)-1,MATCH(J969,Rame!$A$1:$AA$1,0)-1))*IF(E969="Rame",1,0),4)</f>
        <v>0</v>
      </c>
      <c r="N969" s="238">
        <v>0</v>
      </c>
      <c r="O969" s="238">
        <f t="shared" ca="1" si="346"/>
        <v>0</v>
      </c>
      <c r="P969" s="238">
        <f ca="1">ROUND(+IF(ISERROR(OFFSET(Tabella!$G$1,MATCH(H969,Tabella!$G:$G,0)-1,MATCH(I969,Tabella!$G$1:$FG$1,0)-1)=TRUE),0,OFFSET(Tabella!$G$1,MATCH(H969,Tabella!$G:$G,0)-1,MATCH(I969,Tabella!$G$1:$AB$1,0)-1)),4)</f>
        <v>0</v>
      </c>
      <c r="Q969" s="238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238">
        <f ca="1">ROUND(IF(ISERROR(OFFSET(Rame!$F$1,MATCH(H969,Rame!$F:$F,0)-1,MATCH(I969,Rame!$F$1:$FF$1,0)-1)=TRUE),0,OFFSET(Rame!$F$1,MATCH(H969,Rame!$F:$F,0)-1,MATCH(I969,Rame!$F$1:$FF$1,0)-1))*IF(E969="Rame",1,0),4)</f>
        <v>0</v>
      </c>
      <c r="S969" s="238">
        <f ca="1">ROUND(IF(ISERROR(OFFSET(Bronzo!$A$1,MATCH(H969,Bronzo!$A:$A,0)-1,MATCH(I969,Bronzo!$A$1:$AA$1,0)-1)=TRUE),0,OFFSET(Bronzo!$A$1,MATCH(H969,Bronzo!$A:$A,0)-1,MATCH(I969,Bronzo!$A$1:$AA$1,0)-1)),4)</f>
        <v>0</v>
      </c>
      <c r="T969" s="238">
        <f t="shared" ca="1" si="337"/>
        <v>0</v>
      </c>
      <c r="U969" s="237"/>
      <c r="V969" s="238">
        <v>0</v>
      </c>
      <c r="W969" s="239">
        <f t="shared" ca="1" si="338"/>
        <v>0</v>
      </c>
      <c r="X969" s="240">
        <f t="shared" si="336"/>
        <v>0</v>
      </c>
      <c r="Y969" s="236"/>
      <c r="Z969" s="236">
        <f t="shared" ca="1" si="339"/>
        <v>0</v>
      </c>
      <c r="AA969" s="241"/>
      <c r="AF969" s="225">
        <f t="shared" ca="1" si="335"/>
        <v>46236</v>
      </c>
      <c r="AG969" s="225" t="b">
        <f t="shared" si="340"/>
        <v>1</v>
      </c>
      <c r="AH969" s="242" t="str">
        <f t="shared" si="341"/>
        <v/>
      </c>
      <c r="AK969" s="223">
        <f t="shared" si="342"/>
        <v>0</v>
      </c>
      <c r="AL969" s="223">
        <f t="shared" si="343"/>
        <v>1900</v>
      </c>
      <c r="AS969" s="223">
        <f t="shared" si="344"/>
        <v>0</v>
      </c>
      <c r="AT969" s="223">
        <f t="shared" si="345"/>
        <v>0</v>
      </c>
    </row>
    <row r="970" spans="2:46" ht="15.75" x14ac:dyDescent="0.25">
      <c r="B970" s="229"/>
      <c r="C970" s="235"/>
      <c r="D970" s="243"/>
      <c r="E970" s="232"/>
      <c r="F970" s="233"/>
      <c r="G970" s="234"/>
      <c r="H970" s="235"/>
      <c r="I970" s="235"/>
      <c r="J970" s="236"/>
      <c r="K970" s="237">
        <f ca="1">ROUND(IF(ISERROR(OFFSET(Tabella!$A$1,MATCH(H970,Tabella!$A:$A,0)-1,MATCH(J970,Tabella!$A$1:$AC$1,0)-1)=TRUE),0,+OFFSET(Tabella!$A$1,MATCH(H970,Tabella!$A:$A,0)-1,MATCH(J970,Tabella!$A$1:$AC$1,0)-1)),4)</f>
        <v>0</v>
      </c>
      <c r="L970" s="238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238">
        <f ca="1">ROUND(IF(ISERROR(OFFSET(Rame!$A$1,MATCH(H970,Rame!$A:$A,0)-1,MATCH(J970,Rame!$A$1:$AA$1,0)-1)=TRUE),0,OFFSET(Rame!$A$1,MATCH(H970,Rame!$A:$A,0)-1,MATCH(J970,Rame!$A$1:$AA$1,0)-1))*IF(E970="Rame",1,0),4)</f>
        <v>0</v>
      </c>
      <c r="N970" s="238">
        <v>0</v>
      </c>
      <c r="O970" s="238">
        <f t="shared" ca="1" si="346"/>
        <v>0</v>
      </c>
      <c r="P970" s="238">
        <f ca="1">ROUND(+IF(ISERROR(OFFSET(Tabella!$G$1,MATCH(H970,Tabella!$G:$G,0)-1,MATCH(I970,Tabella!$G$1:$FG$1,0)-1)=TRUE),0,OFFSET(Tabella!$G$1,MATCH(H970,Tabella!$G:$G,0)-1,MATCH(I970,Tabella!$G$1:$AB$1,0)-1)),4)</f>
        <v>0</v>
      </c>
      <c r="Q970" s="238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238">
        <f ca="1">ROUND(IF(ISERROR(OFFSET(Rame!$F$1,MATCH(H970,Rame!$F:$F,0)-1,MATCH(I970,Rame!$F$1:$FF$1,0)-1)=TRUE),0,OFFSET(Rame!$F$1,MATCH(H970,Rame!$F:$F,0)-1,MATCH(I970,Rame!$F$1:$FF$1,0)-1))*IF(E970="Rame",1,0),4)</f>
        <v>0</v>
      </c>
      <c r="S970" s="238">
        <f ca="1">ROUND(IF(ISERROR(OFFSET(Bronzo!$A$1,MATCH(H970,Bronzo!$A:$A,0)-1,MATCH(I970,Bronzo!$A$1:$AA$1,0)-1)=TRUE),0,OFFSET(Bronzo!$A$1,MATCH(H970,Bronzo!$A:$A,0)-1,MATCH(I970,Bronzo!$A$1:$AA$1,0)-1)),4)</f>
        <v>0</v>
      </c>
      <c r="T970" s="238">
        <f t="shared" ca="1" si="337"/>
        <v>0</v>
      </c>
      <c r="U970" s="237"/>
      <c r="V970" s="238">
        <v>0</v>
      </c>
      <c r="W970" s="239">
        <f t="shared" ca="1" si="338"/>
        <v>0</v>
      </c>
      <c r="X970" s="240">
        <f t="shared" si="336"/>
        <v>0</v>
      </c>
      <c r="Y970" s="236"/>
      <c r="Z970" s="236">
        <f t="shared" ca="1" si="339"/>
        <v>0</v>
      </c>
      <c r="AA970" s="241"/>
      <c r="AF970" s="225">
        <f t="shared" ca="1" si="335"/>
        <v>46236</v>
      </c>
      <c r="AG970" s="225" t="b">
        <f t="shared" si="340"/>
        <v>1</v>
      </c>
      <c r="AH970" s="242" t="str">
        <f t="shared" si="341"/>
        <v/>
      </c>
      <c r="AK970" s="223">
        <f t="shared" si="342"/>
        <v>0</v>
      </c>
      <c r="AL970" s="223">
        <f t="shared" si="343"/>
        <v>1900</v>
      </c>
      <c r="AS970" s="223">
        <f t="shared" si="344"/>
        <v>0</v>
      </c>
      <c r="AT970" s="223">
        <f t="shared" si="345"/>
        <v>0</v>
      </c>
    </row>
    <row r="971" spans="2:46" ht="15.75" x14ac:dyDescent="0.25">
      <c r="B971" s="229"/>
      <c r="C971" s="235"/>
      <c r="D971" s="243"/>
      <c r="E971" s="232"/>
      <c r="F971" s="233"/>
      <c r="G971" s="234"/>
      <c r="H971" s="235"/>
      <c r="I971" s="235"/>
      <c r="J971" s="236"/>
      <c r="K971" s="237">
        <f ca="1">ROUND(IF(ISERROR(OFFSET(Tabella!$A$1,MATCH(H971,Tabella!$A:$A,0)-1,MATCH(J971,Tabella!$A$1:$AC$1,0)-1)=TRUE),0,+OFFSET(Tabella!$A$1,MATCH(H971,Tabella!$A:$A,0)-1,MATCH(J971,Tabella!$A$1:$AC$1,0)-1)),4)</f>
        <v>0</v>
      </c>
      <c r="L971" s="238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238">
        <f ca="1">ROUND(IF(ISERROR(OFFSET(Rame!$A$1,MATCH(H971,Rame!$A:$A,0)-1,MATCH(J971,Rame!$A$1:$AA$1,0)-1)=TRUE),0,OFFSET(Rame!$A$1,MATCH(H971,Rame!$A:$A,0)-1,MATCH(J971,Rame!$A$1:$AA$1,0)-1))*IF(E971="Rame",1,0),4)</f>
        <v>0</v>
      </c>
      <c r="N971" s="238">
        <v>0</v>
      </c>
      <c r="O971" s="238">
        <f t="shared" ca="1" si="346"/>
        <v>0</v>
      </c>
      <c r="P971" s="238">
        <f ca="1">ROUND(+IF(ISERROR(OFFSET(Tabella!$G$1,MATCH(H971,Tabella!$G:$G,0)-1,MATCH(I971,Tabella!$G$1:$FG$1,0)-1)=TRUE),0,OFFSET(Tabella!$G$1,MATCH(H971,Tabella!$G:$G,0)-1,MATCH(I971,Tabella!$G$1:$AB$1,0)-1)),4)</f>
        <v>0</v>
      </c>
      <c r="Q971" s="238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238">
        <f ca="1">ROUND(IF(ISERROR(OFFSET(Rame!$F$1,MATCH(H971,Rame!$F:$F,0)-1,MATCH(I971,Rame!$F$1:$FF$1,0)-1)=TRUE),0,OFFSET(Rame!$F$1,MATCH(H971,Rame!$F:$F,0)-1,MATCH(I971,Rame!$F$1:$FF$1,0)-1))*IF(E971="Rame",1,0),4)</f>
        <v>0</v>
      </c>
      <c r="S971" s="238">
        <f ca="1">ROUND(IF(ISERROR(OFFSET(Bronzo!$A$1,MATCH(H971,Bronzo!$A:$A,0)-1,MATCH(I971,Bronzo!$A$1:$AA$1,0)-1)=TRUE),0,OFFSET(Bronzo!$A$1,MATCH(H971,Bronzo!$A:$A,0)-1,MATCH(I971,Bronzo!$A$1:$AA$1,0)-1)),4)</f>
        <v>0</v>
      </c>
      <c r="T971" s="238">
        <f t="shared" ca="1" si="337"/>
        <v>0</v>
      </c>
      <c r="U971" s="237"/>
      <c r="V971" s="238">
        <v>0</v>
      </c>
      <c r="W971" s="239">
        <f t="shared" ca="1" si="338"/>
        <v>0</v>
      </c>
      <c r="X971" s="240">
        <f t="shared" si="336"/>
        <v>0</v>
      </c>
      <c r="Y971" s="236"/>
      <c r="Z971" s="236">
        <f t="shared" ca="1" si="339"/>
        <v>0</v>
      </c>
      <c r="AA971" s="241"/>
      <c r="AF971" s="225">
        <f t="shared" ca="1" si="335"/>
        <v>46236</v>
      </c>
      <c r="AG971" s="225" t="b">
        <f t="shared" si="340"/>
        <v>1</v>
      </c>
      <c r="AH971" s="242" t="str">
        <f t="shared" si="341"/>
        <v/>
      </c>
      <c r="AK971" s="223">
        <f t="shared" si="342"/>
        <v>0</v>
      </c>
      <c r="AL971" s="223">
        <f t="shared" si="343"/>
        <v>1900</v>
      </c>
      <c r="AS971" s="223">
        <f t="shared" si="344"/>
        <v>0</v>
      </c>
      <c r="AT971" s="223">
        <f t="shared" si="345"/>
        <v>0</v>
      </c>
    </row>
    <row r="972" spans="2:46" ht="15.75" x14ac:dyDescent="0.25">
      <c r="B972" s="229"/>
      <c r="C972" s="235"/>
      <c r="D972" s="243"/>
      <c r="E972" s="232"/>
      <c r="F972" s="233"/>
      <c r="G972" s="234"/>
      <c r="H972" s="235"/>
      <c r="I972" s="235"/>
      <c r="J972" s="236"/>
      <c r="K972" s="237">
        <f ca="1">ROUND(IF(ISERROR(OFFSET(Tabella!$A$1,MATCH(H972,Tabella!$A:$A,0)-1,MATCH(J972,Tabella!$A$1:$AC$1,0)-1)=TRUE),0,+OFFSET(Tabella!$A$1,MATCH(H972,Tabella!$A:$A,0)-1,MATCH(J972,Tabella!$A$1:$AC$1,0)-1)),4)</f>
        <v>0</v>
      </c>
      <c r="L972" s="238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238">
        <f ca="1">ROUND(IF(ISERROR(OFFSET(Rame!$A$1,MATCH(H972,Rame!$A:$A,0)-1,MATCH(J972,Rame!$A$1:$AA$1,0)-1)=TRUE),0,OFFSET(Rame!$A$1,MATCH(H972,Rame!$A:$A,0)-1,MATCH(J972,Rame!$A$1:$AA$1,0)-1))*IF(E972="Rame",1,0),4)</f>
        <v>0</v>
      </c>
      <c r="N972" s="238">
        <v>0</v>
      </c>
      <c r="O972" s="238">
        <f t="shared" ca="1" si="346"/>
        <v>0</v>
      </c>
      <c r="P972" s="238">
        <f ca="1">ROUND(+IF(ISERROR(OFFSET(Tabella!$G$1,MATCH(H972,Tabella!$G:$G,0)-1,MATCH(I972,Tabella!$G$1:$FG$1,0)-1)=TRUE),0,OFFSET(Tabella!$G$1,MATCH(H972,Tabella!$G:$G,0)-1,MATCH(I972,Tabella!$G$1:$AB$1,0)-1)),4)</f>
        <v>0</v>
      </c>
      <c r="Q972" s="238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238">
        <f ca="1">ROUND(IF(ISERROR(OFFSET(Rame!$F$1,MATCH(H972,Rame!$F:$F,0)-1,MATCH(I972,Rame!$F$1:$FF$1,0)-1)=TRUE),0,OFFSET(Rame!$F$1,MATCH(H972,Rame!$F:$F,0)-1,MATCH(I972,Rame!$F$1:$FF$1,0)-1))*IF(E972="Rame",1,0),4)</f>
        <v>0</v>
      </c>
      <c r="S972" s="238">
        <f ca="1">ROUND(IF(ISERROR(OFFSET(Bronzo!$A$1,MATCH(H972,Bronzo!$A:$A,0)-1,MATCH(I972,Bronzo!$A$1:$AA$1,0)-1)=TRUE),0,OFFSET(Bronzo!$A$1,MATCH(H972,Bronzo!$A:$A,0)-1,MATCH(I972,Bronzo!$A$1:$AA$1,0)-1)),4)</f>
        <v>0</v>
      </c>
      <c r="T972" s="238">
        <f t="shared" ca="1" si="337"/>
        <v>0</v>
      </c>
      <c r="U972" s="237"/>
      <c r="V972" s="238">
        <v>0</v>
      </c>
      <c r="W972" s="239">
        <f t="shared" ca="1" si="338"/>
        <v>0</v>
      </c>
      <c r="X972" s="240">
        <f t="shared" si="336"/>
        <v>0</v>
      </c>
      <c r="Y972" s="236"/>
      <c r="Z972" s="236">
        <f t="shared" ca="1" si="339"/>
        <v>0</v>
      </c>
      <c r="AA972" s="241"/>
      <c r="AF972" s="225">
        <f t="shared" ref="AF972:AF978" ca="1" si="347">TODAY()</f>
        <v>46236</v>
      </c>
      <c r="AG972" s="225" t="b">
        <f t="shared" si="340"/>
        <v>1</v>
      </c>
      <c r="AH972" s="242" t="str">
        <f t="shared" si="341"/>
        <v/>
      </c>
      <c r="AK972" s="223">
        <f t="shared" si="342"/>
        <v>0</v>
      </c>
      <c r="AL972" s="223">
        <f t="shared" si="343"/>
        <v>1900</v>
      </c>
      <c r="AS972" s="223">
        <f t="shared" si="344"/>
        <v>0</v>
      </c>
      <c r="AT972" s="223">
        <f t="shared" si="345"/>
        <v>0</v>
      </c>
    </row>
    <row r="973" spans="2:46" ht="15.75" x14ac:dyDescent="0.25">
      <c r="B973" s="229"/>
      <c r="C973" s="235"/>
      <c r="D973" s="243"/>
      <c r="E973" s="232"/>
      <c r="F973" s="233"/>
      <c r="G973" s="234"/>
      <c r="H973" s="235"/>
      <c r="I973" s="235"/>
      <c r="J973" s="236"/>
      <c r="K973" s="237">
        <f ca="1">ROUND(IF(ISERROR(OFFSET(Tabella!$A$1,MATCH(H973,Tabella!$A:$A,0)-1,MATCH(J973,Tabella!$A$1:$AC$1,0)-1)=TRUE),0,+OFFSET(Tabella!$A$1,MATCH(H973,Tabella!$A:$A,0)-1,MATCH(J973,Tabella!$A$1:$AC$1,0)-1)),4)</f>
        <v>0</v>
      </c>
      <c r="L973" s="238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238">
        <f ca="1">ROUND(IF(ISERROR(OFFSET(Rame!$A$1,MATCH(H973,Rame!$A:$A,0)-1,MATCH(J973,Rame!$A$1:$AA$1,0)-1)=TRUE),0,OFFSET(Rame!$A$1,MATCH(H973,Rame!$A:$A,0)-1,MATCH(J973,Rame!$A$1:$AA$1,0)-1))*IF(E973="Rame",1,0),4)</f>
        <v>0</v>
      </c>
      <c r="N973" s="238">
        <v>0</v>
      </c>
      <c r="O973" s="238">
        <f t="shared" ca="1" si="346"/>
        <v>0</v>
      </c>
      <c r="P973" s="238">
        <f ca="1">ROUND(+IF(ISERROR(OFFSET(Tabella!$G$1,MATCH(H973,Tabella!$G:$G,0)-1,MATCH(I973,Tabella!$G$1:$FG$1,0)-1)=TRUE),0,OFFSET(Tabella!$G$1,MATCH(H973,Tabella!$G:$G,0)-1,MATCH(I973,Tabella!$G$1:$AB$1,0)-1)),4)</f>
        <v>0</v>
      </c>
      <c r="Q973" s="238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238">
        <f ca="1">ROUND(IF(ISERROR(OFFSET(Rame!$F$1,MATCH(H973,Rame!$F:$F,0)-1,MATCH(I973,Rame!$F$1:$FF$1,0)-1)=TRUE),0,OFFSET(Rame!$F$1,MATCH(H973,Rame!$F:$F,0)-1,MATCH(I973,Rame!$F$1:$FF$1,0)-1))*IF(E973="Rame",1,0),4)</f>
        <v>0</v>
      </c>
      <c r="S973" s="238">
        <f ca="1">ROUND(IF(ISERROR(OFFSET(Bronzo!$A$1,MATCH(H973,Bronzo!$A:$A,0)-1,MATCH(I973,Bronzo!$A$1:$AA$1,0)-1)=TRUE),0,OFFSET(Bronzo!$A$1,MATCH(H973,Bronzo!$A:$A,0)-1,MATCH(I973,Bronzo!$A$1:$AA$1,0)-1)),4)</f>
        <v>0</v>
      </c>
      <c r="T973" s="238">
        <f t="shared" ca="1" si="337"/>
        <v>0</v>
      </c>
      <c r="U973" s="237"/>
      <c r="V973" s="238">
        <v>0</v>
      </c>
      <c r="W973" s="239">
        <f t="shared" ca="1" si="338"/>
        <v>0</v>
      </c>
      <c r="X973" s="240">
        <f t="shared" si="336"/>
        <v>0</v>
      </c>
      <c r="Y973" s="236"/>
      <c r="Z973" s="236">
        <f t="shared" ca="1" si="339"/>
        <v>0</v>
      </c>
      <c r="AA973" s="241"/>
      <c r="AF973" s="225">
        <f t="shared" ca="1" si="347"/>
        <v>46236</v>
      </c>
      <c r="AG973" s="225" t="b">
        <f t="shared" si="340"/>
        <v>1</v>
      </c>
      <c r="AH973" s="242" t="str">
        <f t="shared" si="341"/>
        <v/>
      </c>
      <c r="AK973" s="223">
        <f t="shared" si="342"/>
        <v>0</v>
      </c>
      <c r="AL973" s="223">
        <f t="shared" si="343"/>
        <v>1900</v>
      </c>
      <c r="AS973" s="223">
        <f t="shared" si="344"/>
        <v>0</v>
      </c>
      <c r="AT973" s="223">
        <f t="shared" si="345"/>
        <v>0</v>
      </c>
    </row>
    <row r="974" spans="2:46" ht="15.75" x14ac:dyDescent="0.25">
      <c r="B974" s="229"/>
      <c r="C974" s="235"/>
      <c r="D974" s="243"/>
      <c r="E974" s="232"/>
      <c r="F974" s="233"/>
      <c r="G974" s="234"/>
      <c r="H974" s="235"/>
      <c r="I974" s="235"/>
      <c r="J974" s="236"/>
      <c r="K974" s="237">
        <f ca="1">ROUND(IF(ISERROR(OFFSET(Tabella!$A$1,MATCH(H974,Tabella!$A:$A,0)-1,MATCH(J974,Tabella!$A$1:$AC$1,0)-1)=TRUE),0,+OFFSET(Tabella!$A$1,MATCH(H974,Tabella!$A:$A,0)-1,MATCH(J974,Tabella!$A$1:$AC$1,0)-1)),4)</f>
        <v>0</v>
      </c>
      <c r="L974" s="238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238">
        <f ca="1">ROUND(IF(ISERROR(OFFSET(Rame!$A$1,MATCH(H974,Rame!$A:$A,0)-1,MATCH(J974,Rame!$A$1:$AA$1,0)-1)=TRUE),0,OFFSET(Rame!$A$1,MATCH(H974,Rame!$A:$A,0)-1,MATCH(J974,Rame!$A$1:$AA$1,0)-1))*IF(E974="Rame",1,0),4)</f>
        <v>0</v>
      </c>
      <c r="N974" s="238">
        <v>0</v>
      </c>
      <c r="O974" s="238">
        <f t="shared" ca="1" si="346"/>
        <v>0</v>
      </c>
      <c r="P974" s="238">
        <f ca="1">ROUND(+IF(ISERROR(OFFSET(Tabella!$G$1,MATCH(H974,Tabella!$G:$G,0)-1,MATCH(I974,Tabella!$G$1:$FG$1,0)-1)=TRUE),0,OFFSET(Tabella!$G$1,MATCH(H974,Tabella!$G:$G,0)-1,MATCH(I974,Tabella!$G$1:$AB$1,0)-1)),4)</f>
        <v>0</v>
      </c>
      <c r="Q974" s="238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238">
        <f ca="1">ROUND(IF(ISERROR(OFFSET(Rame!$F$1,MATCH(H974,Rame!$F:$F,0)-1,MATCH(I974,Rame!$F$1:$FF$1,0)-1)=TRUE),0,OFFSET(Rame!$F$1,MATCH(H974,Rame!$F:$F,0)-1,MATCH(I974,Rame!$F$1:$FF$1,0)-1))*IF(E974="Rame",1,0),4)</f>
        <v>0</v>
      </c>
      <c r="S974" s="238">
        <f ca="1">ROUND(IF(ISERROR(OFFSET(Bronzo!$A$1,MATCH(H974,Bronzo!$A:$A,0)-1,MATCH(I974,Bronzo!$A$1:$AA$1,0)-1)=TRUE),0,OFFSET(Bronzo!$A$1,MATCH(H974,Bronzo!$A:$A,0)-1,MATCH(I974,Bronzo!$A$1:$AA$1,0)-1)),4)</f>
        <v>0</v>
      </c>
      <c r="T974" s="238">
        <f t="shared" ca="1" si="337"/>
        <v>0</v>
      </c>
      <c r="U974" s="237"/>
      <c r="V974" s="238">
        <v>0</v>
      </c>
      <c r="W974" s="239">
        <f t="shared" ca="1" si="338"/>
        <v>0</v>
      </c>
      <c r="X974" s="240">
        <f t="shared" si="336"/>
        <v>0</v>
      </c>
      <c r="Y974" s="236"/>
      <c r="Z974" s="236">
        <f t="shared" ca="1" si="339"/>
        <v>0</v>
      </c>
      <c r="AA974" s="241"/>
      <c r="AF974" s="225">
        <f t="shared" ca="1" si="347"/>
        <v>46236</v>
      </c>
      <c r="AG974" s="225" t="b">
        <f t="shared" si="340"/>
        <v>1</v>
      </c>
      <c r="AH974" s="242" t="str">
        <f t="shared" si="341"/>
        <v/>
      </c>
      <c r="AK974" s="223">
        <f t="shared" si="342"/>
        <v>0</v>
      </c>
      <c r="AL974" s="223">
        <f t="shared" si="343"/>
        <v>1900</v>
      </c>
      <c r="AS974" s="223">
        <f t="shared" si="344"/>
        <v>0</v>
      </c>
      <c r="AT974" s="223">
        <f t="shared" si="345"/>
        <v>0</v>
      </c>
    </row>
    <row r="975" spans="2:46" ht="15.75" x14ac:dyDescent="0.25">
      <c r="B975" s="229"/>
      <c r="C975" s="235"/>
      <c r="D975" s="243"/>
      <c r="E975" s="232"/>
      <c r="F975" s="233"/>
      <c r="G975" s="234"/>
      <c r="H975" s="235"/>
      <c r="I975" s="235"/>
      <c r="J975" s="236"/>
      <c r="K975" s="237">
        <f ca="1">ROUND(IF(ISERROR(OFFSET(Tabella!$A$1,MATCH(H975,Tabella!$A:$A,0)-1,MATCH(J975,Tabella!$A$1:$AC$1,0)-1)=TRUE),0,+OFFSET(Tabella!$A$1,MATCH(H975,Tabella!$A:$A,0)-1,MATCH(J975,Tabella!$A$1:$AC$1,0)-1)),4)</f>
        <v>0</v>
      </c>
      <c r="L975" s="238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238">
        <f ca="1">ROUND(IF(ISERROR(OFFSET(Rame!$A$1,MATCH(H975,Rame!$A:$A,0)-1,MATCH(J975,Rame!$A$1:$AA$1,0)-1)=TRUE),0,OFFSET(Rame!$A$1,MATCH(H975,Rame!$A:$A,0)-1,MATCH(J975,Rame!$A$1:$AA$1,0)-1))*IF(E975="Rame",1,0),4)</f>
        <v>0</v>
      </c>
      <c r="N975" s="238">
        <v>0</v>
      </c>
      <c r="O975" s="238">
        <f t="shared" ca="1" si="346"/>
        <v>0</v>
      </c>
      <c r="P975" s="238">
        <f ca="1">ROUND(+IF(ISERROR(OFFSET(Tabella!$G$1,MATCH(H975,Tabella!$G:$G,0)-1,MATCH(I975,Tabella!$G$1:$FG$1,0)-1)=TRUE),0,OFFSET(Tabella!$G$1,MATCH(H975,Tabella!$G:$G,0)-1,MATCH(I975,Tabella!$G$1:$AB$1,0)-1)),4)</f>
        <v>0</v>
      </c>
      <c r="Q975" s="238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238">
        <f ca="1">ROUND(IF(ISERROR(OFFSET(Rame!$F$1,MATCH(H975,Rame!$F:$F,0)-1,MATCH(I975,Rame!$F$1:$FF$1,0)-1)=TRUE),0,OFFSET(Rame!$F$1,MATCH(H975,Rame!$F:$F,0)-1,MATCH(I975,Rame!$F$1:$FF$1,0)-1))*IF(E975="Rame",1,0),4)</f>
        <v>0</v>
      </c>
      <c r="S975" s="238">
        <f ca="1">ROUND(IF(ISERROR(OFFSET(Bronzo!$A$1,MATCH(H975,Bronzo!$A:$A,0)-1,MATCH(I975,Bronzo!$A$1:$AA$1,0)-1)=TRUE),0,OFFSET(Bronzo!$A$1,MATCH(H975,Bronzo!$A:$A,0)-1,MATCH(I975,Bronzo!$A$1:$AA$1,0)-1)),4)</f>
        <v>0</v>
      </c>
      <c r="T975" s="238">
        <f t="shared" ca="1" si="337"/>
        <v>0</v>
      </c>
      <c r="U975" s="237"/>
      <c r="V975" s="238">
        <v>0</v>
      </c>
      <c r="W975" s="239">
        <f t="shared" ca="1" si="338"/>
        <v>0</v>
      </c>
      <c r="X975" s="240">
        <f t="shared" si="336"/>
        <v>0</v>
      </c>
      <c r="Y975" s="236"/>
      <c r="Z975" s="236">
        <f t="shared" ca="1" si="339"/>
        <v>0</v>
      </c>
      <c r="AA975" s="241"/>
      <c r="AF975" s="225">
        <f t="shared" ca="1" si="347"/>
        <v>46236</v>
      </c>
      <c r="AG975" s="225" t="b">
        <f t="shared" si="340"/>
        <v>1</v>
      </c>
      <c r="AH975" s="242" t="str">
        <f t="shared" si="341"/>
        <v/>
      </c>
      <c r="AK975" s="223">
        <f t="shared" si="342"/>
        <v>0</v>
      </c>
      <c r="AL975" s="223">
        <f t="shared" si="343"/>
        <v>1900</v>
      </c>
      <c r="AS975" s="223">
        <f t="shared" si="344"/>
        <v>0</v>
      </c>
      <c r="AT975" s="223">
        <f t="shared" si="345"/>
        <v>0</v>
      </c>
    </row>
    <row r="976" spans="2:46" ht="15.75" x14ac:dyDescent="0.25">
      <c r="B976" s="229"/>
      <c r="C976" s="235"/>
      <c r="D976" s="243"/>
      <c r="E976" s="232"/>
      <c r="F976" s="233"/>
      <c r="G976" s="234"/>
      <c r="H976" s="235"/>
      <c r="I976" s="235"/>
      <c r="J976" s="236"/>
      <c r="K976" s="237">
        <f ca="1">ROUND(IF(ISERROR(OFFSET(Tabella!$A$1,MATCH(H976,Tabella!$A:$A,0)-1,MATCH(J976,Tabella!$A$1:$AC$1,0)-1)=TRUE),0,+OFFSET(Tabella!$A$1,MATCH(H976,Tabella!$A:$A,0)-1,MATCH(J976,Tabella!$A$1:$AC$1,0)-1)),4)</f>
        <v>0</v>
      </c>
      <c r="L976" s="238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238">
        <f ca="1">ROUND(IF(ISERROR(OFFSET(Rame!$A$1,MATCH(H976,Rame!$A:$A,0)-1,MATCH(J976,Rame!$A$1:$AA$1,0)-1)=TRUE),0,OFFSET(Rame!$A$1,MATCH(H976,Rame!$A:$A,0)-1,MATCH(J976,Rame!$A$1:$AA$1,0)-1))*IF(E976="Rame",1,0),4)</f>
        <v>0</v>
      </c>
      <c r="N976" s="238">
        <v>0</v>
      </c>
      <c r="O976" s="238">
        <f t="shared" ca="1" si="346"/>
        <v>0</v>
      </c>
      <c r="P976" s="238">
        <f ca="1">ROUND(+IF(ISERROR(OFFSET(Tabella!$G$1,MATCH(H976,Tabella!$G:$G,0)-1,MATCH(I976,Tabella!$G$1:$FG$1,0)-1)=TRUE),0,OFFSET(Tabella!$G$1,MATCH(H976,Tabella!$G:$G,0)-1,MATCH(I976,Tabella!$G$1:$AB$1,0)-1)),4)</f>
        <v>0</v>
      </c>
      <c r="Q976" s="238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238">
        <f ca="1">ROUND(IF(ISERROR(OFFSET(Rame!$F$1,MATCH(H976,Rame!$F:$F,0)-1,MATCH(I976,Rame!$F$1:$FF$1,0)-1)=TRUE),0,OFFSET(Rame!$F$1,MATCH(H976,Rame!$F:$F,0)-1,MATCH(I976,Rame!$F$1:$FF$1,0)-1))*IF(E976="Rame",1,0),4)</f>
        <v>0</v>
      </c>
      <c r="S976" s="238">
        <f ca="1">ROUND(IF(ISERROR(OFFSET(Bronzo!$A$1,MATCH(H976,Bronzo!$A:$A,0)-1,MATCH(I976,Bronzo!$A$1:$AA$1,0)-1)=TRUE),0,OFFSET(Bronzo!$A$1,MATCH(H976,Bronzo!$A:$A,0)-1,MATCH(I976,Bronzo!$A$1:$AA$1,0)-1)),4)</f>
        <v>0</v>
      </c>
      <c r="T976" s="238">
        <f t="shared" ca="1" si="337"/>
        <v>0</v>
      </c>
      <c r="U976" s="237"/>
      <c r="V976" s="238">
        <v>0</v>
      </c>
      <c r="W976" s="239">
        <f t="shared" ca="1" si="338"/>
        <v>0</v>
      </c>
      <c r="X976" s="240">
        <f t="shared" si="336"/>
        <v>0</v>
      </c>
      <c r="Y976" s="236"/>
      <c r="Z976" s="236">
        <f t="shared" ca="1" si="339"/>
        <v>0</v>
      </c>
      <c r="AA976" s="241"/>
      <c r="AF976" s="225">
        <f t="shared" ca="1" si="347"/>
        <v>46236</v>
      </c>
      <c r="AG976" s="225" t="b">
        <f t="shared" si="340"/>
        <v>1</v>
      </c>
      <c r="AH976" s="242" t="str">
        <f t="shared" si="341"/>
        <v/>
      </c>
      <c r="AK976" s="223">
        <f t="shared" si="342"/>
        <v>0</v>
      </c>
      <c r="AL976" s="223">
        <f t="shared" si="343"/>
        <v>1900</v>
      </c>
      <c r="AS976" s="223">
        <f t="shared" si="344"/>
        <v>0</v>
      </c>
      <c r="AT976" s="223">
        <f t="shared" si="345"/>
        <v>0</v>
      </c>
    </row>
    <row r="977" spans="1:46" ht="15.75" x14ac:dyDescent="0.25">
      <c r="B977" s="229"/>
      <c r="C977" s="235"/>
      <c r="D977" s="243"/>
      <c r="E977" s="232"/>
      <c r="F977" s="233"/>
      <c r="G977" s="234"/>
      <c r="H977" s="235"/>
      <c r="I977" s="235"/>
      <c r="J977" s="236"/>
      <c r="K977" s="237">
        <f ca="1">ROUND(IF(ISERROR(OFFSET(Tabella!$A$1,MATCH(H977,Tabella!$A:$A,0)-1,MATCH(J977,Tabella!$A$1:$AC$1,0)-1)=TRUE),0,+OFFSET(Tabella!$A$1,MATCH(H977,Tabella!$A:$A,0)-1,MATCH(J977,Tabella!$A$1:$AC$1,0)-1)),4)</f>
        <v>0</v>
      </c>
      <c r="L977" s="238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238">
        <f ca="1">ROUND(IF(ISERROR(OFFSET(Rame!$A$1,MATCH(H977,Rame!$A:$A,0)-1,MATCH(J977,Rame!$A$1:$AA$1,0)-1)=TRUE),0,OFFSET(Rame!$A$1,MATCH(H977,Rame!$A:$A,0)-1,MATCH(J977,Rame!$A$1:$AA$1,0)-1))*IF(E977="Rame",1,0),4)</f>
        <v>0</v>
      </c>
      <c r="N977" s="238">
        <v>0</v>
      </c>
      <c r="O977" s="238">
        <f t="shared" ca="1" si="346"/>
        <v>0</v>
      </c>
      <c r="P977" s="238">
        <f ca="1">ROUND(+IF(ISERROR(OFFSET(Tabella!$G$1,MATCH(H977,Tabella!$G:$G,0)-1,MATCH(I977,Tabella!$G$1:$FG$1,0)-1)=TRUE),0,OFFSET(Tabella!$G$1,MATCH(H977,Tabella!$G:$G,0)-1,MATCH(I977,Tabella!$G$1:$AB$1,0)-1)),4)</f>
        <v>0</v>
      </c>
      <c r="Q977" s="238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238">
        <f ca="1">ROUND(IF(ISERROR(OFFSET(Rame!$F$1,MATCH(H977,Rame!$F:$F,0)-1,MATCH(I977,Rame!$F$1:$FF$1,0)-1)=TRUE),0,OFFSET(Rame!$F$1,MATCH(H977,Rame!$F:$F,0)-1,MATCH(I977,Rame!$F$1:$FF$1,0)-1))*IF(E977="Rame",1,0),4)</f>
        <v>0</v>
      </c>
      <c r="S977" s="238">
        <f ca="1">ROUND(IF(ISERROR(OFFSET(Bronzo!$A$1,MATCH(H977,Bronzo!$A:$A,0)-1,MATCH(I977,Bronzo!$A$1:$AA$1,0)-1)=TRUE),0,OFFSET(Bronzo!$A$1,MATCH(H977,Bronzo!$A:$A,0)-1,MATCH(I977,Bronzo!$A$1:$AA$1,0)-1)),4)</f>
        <v>0</v>
      </c>
      <c r="T977" s="238">
        <f t="shared" ca="1" si="337"/>
        <v>0</v>
      </c>
      <c r="U977" s="237"/>
      <c r="V977" s="238">
        <v>0</v>
      </c>
      <c r="W977" s="239">
        <f t="shared" ca="1" si="338"/>
        <v>0</v>
      </c>
      <c r="X977" s="240">
        <f t="shared" si="336"/>
        <v>0</v>
      </c>
      <c r="Y977" s="236"/>
      <c r="Z977" s="236">
        <f t="shared" ca="1" si="339"/>
        <v>0</v>
      </c>
      <c r="AA977" s="241"/>
      <c r="AF977" s="225">
        <f t="shared" ca="1" si="347"/>
        <v>46236</v>
      </c>
      <c r="AG977" s="225" t="b">
        <f t="shared" si="340"/>
        <v>1</v>
      </c>
      <c r="AH977" s="242" t="str">
        <f t="shared" si="341"/>
        <v/>
      </c>
      <c r="AK977" s="223">
        <f t="shared" si="342"/>
        <v>0</v>
      </c>
      <c r="AL977" s="223">
        <f t="shared" si="343"/>
        <v>1900</v>
      </c>
      <c r="AS977" s="223">
        <f t="shared" si="344"/>
        <v>0</v>
      </c>
      <c r="AT977" s="223">
        <f t="shared" si="345"/>
        <v>0</v>
      </c>
    </row>
    <row r="978" spans="1:46" ht="15.75" x14ac:dyDescent="0.25">
      <c r="B978" s="229"/>
      <c r="C978" s="235"/>
      <c r="D978" s="243"/>
      <c r="E978" s="232"/>
      <c r="F978" s="233"/>
      <c r="G978" s="234"/>
      <c r="H978" s="235"/>
      <c r="I978" s="235"/>
      <c r="J978" s="236"/>
      <c r="K978" s="237">
        <f ca="1">ROUND(IF(ISERROR(OFFSET(Tabella!$A$1,MATCH(H978,Tabella!$A:$A,0)-1,MATCH(J978,Tabella!$A$1:$AC$1,0)-1)=TRUE),0,+OFFSET(Tabella!$A$1,MATCH(H978,Tabella!$A:$A,0)-1,MATCH(J978,Tabella!$A$1:$AC$1,0)-1)),4)</f>
        <v>0</v>
      </c>
      <c r="L978" s="238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238">
        <f ca="1">ROUND(IF(ISERROR(OFFSET(Rame!$A$1,MATCH(H978,Rame!$A:$A,0)-1,MATCH(J978,Rame!$A$1:$AA$1,0)-1)=TRUE),0,OFFSET(Rame!$A$1,MATCH(H978,Rame!$A:$A,0)-1,MATCH(J978,Rame!$A$1:$AA$1,0)-1))*IF(E978="Rame",1,0),4)</f>
        <v>0</v>
      </c>
      <c r="N978" s="238">
        <v>0</v>
      </c>
      <c r="O978" s="238">
        <f t="shared" ca="1" si="346"/>
        <v>0</v>
      </c>
      <c r="P978" s="238">
        <f ca="1">ROUND(+IF(ISERROR(OFFSET(Tabella!$G$1,MATCH(H978,Tabella!$G:$G,0)-1,MATCH(I978,Tabella!$G$1:$FG$1,0)-1)=TRUE),0,OFFSET(Tabella!$G$1,MATCH(H978,Tabella!$G:$G,0)-1,MATCH(I978,Tabella!$G$1:$AB$1,0)-1)),4)</f>
        <v>0</v>
      </c>
      <c r="Q978" s="238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238">
        <f ca="1">ROUND(IF(ISERROR(OFFSET(Rame!$F$1,MATCH(H978,Rame!$F:$F,0)-1,MATCH(I978,Rame!$F$1:$FF$1,0)-1)=TRUE),0,OFFSET(Rame!$F$1,MATCH(H978,Rame!$F:$F,0)-1,MATCH(I978,Rame!$F$1:$FF$1,0)-1))*IF(E978="Rame",1,0),4)</f>
        <v>0</v>
      </c>
      <c r="S978" s="238">
        <f ca="1">ROUND(IF(ISERROR(OFFSET(Bronzo!$A$1,MATCH(H978,Bronzo!$A:$A,0)-1,MATCH(I978,Bronzo!$A$1:$AA$1,0)-1)=TRUE),0,OFFSET(Bronzo!$A$1,MATCH(H978,Bronzo!$A:$A,0)-1,MATCH(I978,Bronzo!$A$1:$AA$1,0)-1)),4)</f>
        <v>0</v>
      </c>
      <c r="T978" s="238">
        <f t="shared" ca="1" si="337"/>
        <v>0</v>
      </c>
      <c r="U978" s="237"/>
      <c r="V978" s="238">
        <v>0</v>
      </c>
      <c r="W978" s="239">
        <f t="shared" ca="1" si="338"/>
        <v>0</v>
      </c>
      <c r="X978" s="240">
        <f t="shared" si="336"/>
        <v>0</v>
      </c>
      <c r="Y978" s="236"/>
      <c r="Z978" s="236">
        <f t="shared" ca="1" si="339"/>
        <v>0</v>
      </c>
      <c r="AA978" s="241"/>
      <c r="AF978" s="225">
        <f t="shared" ca="1" si="347"/>
        <v>46236</v>
      </c>
      <c r="AG978" s="225" t="b">
        <f t="shared" si="340"/>
        <v>1</v>
      </c>
      <c r="AH978" s="242" t="str">
        <f t="shared" si="341"/>
        <v/>
      </c>
      <c r="AK978" s="223">
        <f t="shared" si="342"/>
        <v>0</v>
      </c>
      <c r="AL978" s="223">
        <f t="shared" si="343"/>
        <v>1900</v>
      </c>
      <c r="AS978" s="223">
        <f t="shared" si="344"/>
        <v>0</v>
      </c>
      <c r="AT978" s="223">
        <f t="shared" si="345"/>
        <v>0</v>
      </c>
    </row>
    <row r="979" spans="1:46" ht="15.75" x14ac:dyDescent="0.25">
      <c r="B979" s="229"/>
      <c r="C979" s="235"/>
      <c r="D979" s="243"/>
      <c r="E979" s="232"/>
      <c r="F979" s="233"/>
      <c r="G979" s="234"/>
      <c r="H979" s="235"/>
      <c r="I979" s="235"/>
      <c r="J979" s="236"/>
      <c r="K979" s="237">
        <f ca="1">ROUND(IF(ISERROR(OFFSET(Tabella!$A$1,MATCH(H979,Tabella!$A:$A,0)-1,MATCH(J979,Tabella!$A$1:$AC$1,0)-1)=TRUE),0,+OFFSET(Tabella!$A$1,MATCH(H979,Tabella!$A:$A,0)-1,MATCH(J979,Tabella!$A$1:$AC$1,0)-1)),4)</f>
        <v>0</v>
      </c>
      <c r="L979" s="238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238">
        <f ca="1">ROUND(IF(ISERROR(OFFSET(Rame!$A$1,MATCH(H979,Rame!$A:$A,0)-1,MATCH(J979,Rame!$A$1:$AA$1,0)-1)=TRUE),0,OFFSET(Rame!$A$1,MATCH(H979,Rame!$A:$A,0)-1,MATCH(J979,Rame!$A$1:$AA$1,0)-1))*IF(E979="Rame",1,0),4)</f>
        <v>0</v>
      </c>
      <c r="N979" s="238">
        <v>0</v>
      </c>
      <c r="O979" s="238">
        <f t="shared" ca="1" si="346"/>
        <v>0</v>
      </c>
      <c r="P979" s="238">
        <f ca="1">ROUND(+IF(ISERROR(OFFSET(Tabella!$G$1,MATCH(H979,Tabella!$G:$G,0)-1,MATCH(I979,Tabella!$G$1:$FG$1,0)-1)=TRUE),0,OFFSET(Tabella!$G$1,MATCH(H979,Tabella!$G:$G,0)-1,MATCH(I979,Tabella!$G$1:$AB$1,0)-1)),4)</f>
        <v>0</v>
      </c>
      <c r="Q979" s="238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238">
        <f ca="1">ROUND(IF(ISERROR(OFFSET(Rame!$F$1,MATCH(H979,Rame!$F:$F,0)-1,MATCH(I979,Rame!$F$1:$FF$1,0)-1)=TRUE),0,OFFSET(Rame!$F$1,MATCH(H979,Rame!$F:$F,0)-1,MATCH(I979,Rame!$F$1:$FF$1,0)-1))*IF(E979="Rame",1,0),4)</f>
        <v>0</v>
      </c>
      <c r="S979" s="238">
        <f ca="1">ROUND(IF(ISERROR(OFFSET(Bronzo!$A$1,MATCH(H979,Bronzo!$A:$A,0)-1,MATCH(I979,Bronzo!$A$1:$AA$1,0)-1)=TRUE),0,OFFSET(Bronzo!$A$1,MATCH(H979,Bronzo!$A:$A,0)-1,MATCH(I979,Bronzo!$A$1:$AA$1,0)-1)),4)</f>
        <v>0</v>
      </c>
      <c r="T979" s="238">
        <f t="shared" ca="1" si="337"/>
        <v>0</v>
      </c>
      <c r="U979" s="237"/>
      <c r="V979" s="238">
        <v>0</v>
      </c>
      <c r="W979" s="239">
        <f t="shared" ca="1" si="338"/>
        <v>0</v>
      </c>
      <c r="X979" s="240">
        <f t="shared" si="336"/>
        <v>0</v>
      </c>
      <c r="Y979" s="236"/>
      <c r="Z979" s="236">
        <f t="shared" ca="1" si="339"/>
        <v>0</v>
      </c>
      <c r="AA979" s="241"/>
      <c r="AF979" s="225">
        <f t="shared" ref="AF979:AF982" ca="1" si="348">TODAY()</f>
        <v>46236</v>
      </c>
      <c r="AG979" s="225" t="b">
        <f t="shared" ref="AG979:AG982" si="349">ISBLANK(AA979)</f>
        <v>1</v>
      </c>
      <c r="AH979" s="242" t="str">
        <f t="shared" ref="AH979:AH982" si="350">IF(AG979=FALSE,_xlfn.DAYS(AA979,AF979),"")</f>
        <v/>
      </c>
      <c r="AK979" s="223">
        <f t="shared" ref="AK979:AK982" si="351">WEEKNUM(AA979)</f>
        <v>0</v>
      </c>
      <c r="AL979" s="223">
        <f t="shared" ref="AL979:AL982" si="352">YEAR(AA979)</f>
        <v>1900</v>
      </c>
      <c r="AS979" s="223">
        <f t="shared" ref="AS979:AS982" si="353">IF(AA979="",0,MONTH(AA979))</f>
        <v>0</v>
      </c>
      <c r="AT979" s="223">
        <f t="shared" ref="AT979:AT982" si="354">IF(AA979="",0,YEAR(AA979))</f>
        <v>0</v>
      </c>
    </row>
    <row r="980" spans="1:46" ht="15.75" x14ac:dyDescent="0.25">
      <c r="B980" s="229"/>
      <c r="C980" s="235"/>
      <c r="D980" s="243"/>
      <c r="E980" s="232"/>
      <c r="F980" s="233"/>
      <c r="G980" s="234"/>
      <c r="H980" s="235"/>
      <c r="I980" s="235"/>
      <c r="J980" s="236"/>
      <c r="K980" s="237">
        <f ca="1">ROUND(IF(ISERROR(OFFSET(Tabella!$A$1,MATCH(H980,Tabella!$A:$A,0)-1,MATCH(J980,Tabella!$A$1:$AC$1,0)-1)=TRUE),0,+OFFSET(Tabella!$A$1,MATCH(H980,Tabella!$A:$A,0)-1,MATCH(J980,Tabella!$A$1:$AC$1,0)-1)),4)</f>
        <v>0</v>
      </c>
      <c r="L980" s="238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238">
        <f ca="1">ROUND(IF(ISERROR(OFFSET(Rame!$A$1,MATCH(H980,Rame!$A:$A,0)-1,MATCH(J980,Rame!$A$1:$AA$1,0)-1)=TRUE),0,OFFSET(Rame!$A$1,MATCH(H980,Rame!$A:$A,0)-1,MATCH(J980,Rame!$A$1:$AA$1,0)-1))*IF(E980="Rame",1,0),4)</f>
        <v>0</v>
      </c>
      <c r="N980" s="238">
        <v>0</v>
      </c>
      <c r="O980" s="238">
        <f t="shared" ca="1" si="346"/>
        <v>0</v>
      </c>
      <c r="P980" s="238">
        <f ca="1">ROUND(+IF(ISERROR(OFFSET(Tabella!$G$1,MATCH(H980,Tabella!$G:$G,0)-1,MATCH(I980,Tabella!$G$1:$FG$1,0)-1)=TRUE),0,OFFSET(Tabella!$G$1,MATCH(H980,Tabella!$G:$G,0)-1,MATCH(I980,Tabella!$G$1:$AB$1,0)-1)),4)</f>
        <v>0</v>
      </c>
      <c r="Q980" s="238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238">
        <f ca="1">ROUND(IF(ISERROR(OFFSET(Rame!$F$1,MATCH(H980,Rame!$F:$F,0)-1,MATCH(I980,Rame!$F$1:$FF$1,0)-1)=TRUE),0,OFFSET(Rame!$F$1,MATCH(H980,Rame!$F:$F,0)-1,MATCH(I980,Rame!$F$1:$FF$1,0)-1))*IF(E980="Rame",1,0),4)</f>
        <v>0</v>
      </c>
      <c r="S980" s="238">
        <f ca="1">ROUND(IF(ISERROR(OFFSET(Bronzo!$A$1,MATCH(H980,Bronzo!$A:$A,0)-1,MATCH(I980,Bronzo!$A$1:$AA$1,0)-1)=TRUE),0,OFFSET(Bronzo!$A$1,MATCH(H980,Bronzo!$A:$A,0)-1,MATCH(I980,Bronzo!$A$1:$AA$1,0)-1)),4)</f>
        <v>0</v>
      </c>
      <c r="T980" s="238">
        <f t="shared" ca="1" si="337"/>
        <v>0</v>
      </c>
      <c r="U980" s="237"/>
      <c r="V980" s="238">
        <v>0</v>
      </c>
      <c r="W980" s="239">
        <f t="shared" ca="1" si="338"/>
        <v>0</v>
      </c>
      <c r="X980" s="240">
        <f t="shared" si="336"/>
        <v>0</v>
      </c>
      <c r="Y980" s="236"/>
      <c r="Z980" s="236">
        <f t="shared" ca="1" si="339"/>
        <v>0</v>
      </c>
      <c r="AA980" s="241"/>
      <c r="AF980" s="225">
        <f t="shared" ca="1" si="348"/>
        <v>46236</v>
      </c>
      <c r="AG980" s="225" t="b">
        <f t="shared" si="349"/>
        <v>1</v>
      </c>
      <c r="AH980" s="242" t="str">
        <f t="shared" si="350"/>
        <v/>
      </c>
      <c r="AK980" s="223">
        <f t="shared" si="351"/>
        <v>0</v>
      </c>
      <c r="AL980" s="223">
        <f t="shared" si="352"/>
        <v>1900</v>
      </c>
      <c r="AS980" s="223">
        <f t="shared" si="353"/>
        <v>0</v>
      </c>
      <c r="AT980" s="223">
        <f t="shared" si="354"/>
        <v>0</v>
      </c>
    </row>
    <row r="981" spans="1:46" ht="15.75" x14ac:dyDescent="0.25">
      <c r="B981" s="229"/>
      <c r="C981" s="235"/>
      <c r="D981" s="243"/>
      <c r="E981" s="232"/>
      <c r="F981" s="233"/>
      <c r="G981" s="234"/>
      <c r="H981" s="235"/>
      <c r="I981" s="235"/>
      <c r="J981" s="236"/>
      <c r="K981" s="237">
        <f ca="1">ROUND(IF(ISERROR(OFFSET(Tabella!$A$1,MATCH(H981,Tabella!$A:$A,0)-1,MATCH(J981,Tabella!$A$1:$AC$1,0)-1)=TRUE),0,+OFFSET(Tabella!$A$1,MATCH(H981,Tabella!$A:$A,0)-1,MATCH(J981,Tabella!$A$1:$AC$1,0)-1)),4)</f>
        <v>0</v>
      </c>
      <c r="L981" s="238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238">
        <f ca="1">ROUND(IF(ISERROR(OFFSET(Rame!$A$1,MATCH(H981,Rame!$A:$A,0)-1,MATCH(J981,Rame!$A$1:$AA$1,0)-1)=TRUE),0,OFFSET(Rame!$A$1,MATCH(H981,Rame!$A:$A,0)-1,MATCH(J981,Rame!$A$1:$AA$1,0)-1))*IF(E981="Rame",1,0),4)</f>
        <v>0</v>
      </c>
      <c r="N981" s="238">
        <v>0</v>
      </c>
      <c r="O981" s="238">
        <f t="shared" ca="1" si="346"/>
        <v>0</v>
      </c>
      <c r="P981" s="238">
        <f ca="1">ROUND(+IF(ISERROR(OFFSET(Tabella!$G$1,MATCH(H981,Tabella!$G:$G,0)-1,MATCH(I981,Tabella!$G$1:$FG$1,0)-1)=TRUE),0,OFFSET(Tabella!$G$1,MATCH(H981,Tabella!$G:$G,0)-1,MATCH(I981,Tabella!$G$1:$AB$1,0)-1)),4)</f>
        <v>0</v>
      </c>
      <c r="Q981" s="238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238">
        <f ca="1">ROUND(IF(ISERROR(OFFSET(Rame!$F$1,MATCH(H981,Rame!$F:$F,0)-1,MATCH(I981,Rame!$F$1:$FF$1,0)-1)=TRUE),0,OFFSET(Rame!$F$1,MATCH(H981,Rame!$F:$F,0)-1,MATCH(I981,Rame!$F$1:$FF$1,0)-1))*IF(E981="Rame",1,0),4)</f>
        <v>0</v>
      </c>
      <c r="S981" s="238">
        <f ca="1">ROUND(IF(ISERROR(OFFSET(Bronzo!$A$1,MATCH(H981,Bronzo!$A:$A,0)-1,MATCH(I981,Bronzo!$A$1:$AA$1,0)-1)=TRUE),0,OFFSET(Bronzo!$A$1,MATCH(H981,Bronzo!$A:$A,0)-1,MATCH(I981,Bronzo!$A$1:$AA$1,0)-1)),4)</f>
        <v>0</v>
      </c>
      <c r="T981" s="238">
        <f t="shared" ca="1" si="337"/>
        <v>0</v>
      </c>
      <c r="U981" s="237"/>
      <c r="V981" s="238">
        <v>0</v>
      </c>
      <c r="W981" s="239">
        <f t="shared" ca="1" si="338"/>
        <v>0</v>
      </c>
      <c r="X981" s="240">
        <f t="shared" si="336"/>
        <v>0</v>
      </c>
      <c r="Y981" s="236"/>
      <c r="Z981" s="236">
        <f t="shared" ca="1" si="339"/>
        <v>0</v>
      </c>
      <c r="AA981" s="241"/>
      <c r="AF981" s="225">
        <f t="shared" ca="1" si="348"/>
        <v>46236</v>
      </c>
      <c r="AG981" s="225" t="b">
        <f t="shared" si="349"/>
        <v>1</v>
      </c>
      <c r="AH981" s="242" t="str">
        <f t="shared" si="350"/>
        <v/>
      </c>
      <c r="AK981" s="223">
        <f t="shared" si="351"/>
        <v>0</v>
      </c>
      <c r="AL981" s="223">
        <f t="shared" si="352"/>
        <v>1900</v>
      </c>
      <c r="AS981" s="223">
        <f t="shared" si="353"/>
        <v>0</v>
      </c>
      <c r="AT981" s="223">
        <f t="shared" si="354"/>
        <v>0</v>
      </c>
    </row>
    <row r="982" spans="1:46" ht="15.75" x14ac:dyDescent="0.25">
      <c r="B982" s="229"/>
      <c r="C982" s="235"/>
      <c r="D982" s="243"/>
      <c r="E982" s="232"/>
      <c r="F982" s="233"/>
      <c r="G982" s="234"/>
      <c r="H982" s="235"/>
      <c r="I982" s="235"/>
      <c r="J982" s="236"/>
      <c r="K982" s="237">
        <f ca="1">ROUND(IF(ISERROR(OFFSET(Tabella!$A$1,MATCH(H982,Tabella!$A:$A,0)-1,MATCH(J982,Tabella!$A$1:$AC$1,0)-1)=TRUE),0,+OFFSET(Tabella!$A$1,MATCH(H982,Tabella!$A:$A,0)-1,MATCH(J982,Tabella!$A$1:$AC$1,0)-1)),4)</f>
        <v>0</v>
      </c>
      <c r="L982" s="238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238">
        <f ca="1">ROUND(IF(ISERROR(OFFSET(Rame!$A$1,MATCH(H982,Rame!$A:$A,0)-1,MATCH(J982,Rame!$A$1:$AA$1,0)-1)=TRUE),0,OFFSET(Rame!$A$1,MATCH(H982,Rame!$A:$A,0)-1,MATCH(J982,Rame!$A$1:$AA$1,0)-1))*IF(E982="Rame",1,0),4)</f>
        <v>0</v>
      </c>
      <c r="N982" s="238">
        <v>0</v>
      </c>
      <c r="O982" s="238">
        <f t="shared" ca="1" si="346"/>
        <v>0</v>
      </c>
      <c r="P982" s="238">
        <f ca="1">ROUND(+IF(ISERROR(OFFSET(Tabella!$G$1,MATCH(H982,Tabella!$G:$G,0)-1,MATCH(I982,Tabella!$G$1:$FG$1,0)-1)=TRUE),0,OFFSET(Tabella!$G$1,MATCH(H982,Tabella!$G:$G,0)-1,MATCH(I982,Tabella!$G$1:$AB$1,0)-1)),4)</f>
        <v>0</v>
      </c>
      <c r="Q982" s="238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238">
        <f ca="1">ROUND(IF(ISERROR(OFFSET(Rame!$F$1,MATCH(H982,Rame!$F:$F,0)-1,MATCH(I982,Rame!$F$1:$FF$1,0)-1)=TRUE),0,OFFSET(Rame!$F$1,MATCH(H982,Rame!$F:$F,0)-1,MATCH(I982,Rame!$F$1:$FF$1,0)-1))*IF(E982="Rame",1,0),4)</f>
        <v>0</v>
      </c>
      <c r="S982" s="238">
        <f ca="1">ROUND(IF(ISERROR(OFFSET(Bronzo!$A$1,MATCH(H982,Bronzo!$A:$A,0)-1,MATCH(I982,Bronzo!$A$1:$AA$1,0)-1)=TRUE),0,OFFSET(Bronzo!$A$1,MATCH(H982,Bronzo!$A:$A,0)-1,MATCH(I982,Bronzo!$A$1:$AA$1,0)-1)),4)</f>
        <v>0</v>
      </c>
      <c r="T982" s="238">
        <f t="shared" ca="1" si="337"/>
        <v>0</v>
      </c>
      <c r="U982" s="237"/>
      <c r="V982" s="238">
        <v>0</v>
      </c>
      <c r="W982" s="239">
        <f t="shared" ca="1" si="338"/>
        <v>0</v>
      </c>
      <c r="X982" s="240">
        <f t="shared" si="336"/>
        <v>0</v>
      </c>
      <c r="Y982" s="236"/>
      <c r="Z982" s="236">
        <f t="shared" ca="1" si="339"/>
        <v>0</v>
      </c>
      <c r="AA982" s="241"/>
      <c r="AF982" s="225">
        <f t="shared" ca="1" si="348"/>
        <v>46236</v>
      </c>
      <c r="AG982" s="225" t="b">
        <f t="shared" si="349"/>
        <v>1</v>
      </c>
      <c r="AH982" s="242" t="str">
        <f t="shared" si="350"/>
        <v/>
      </c>
      <c r="AK982" s="223">
        <f t="shared" si="351"/>
        <v>0</v>
      </c>
      <c r="AL982" s="223">
        <f t="shared" si="352"/>
        <v>1900</v>
      </c>
      <c r="AS982" s="223">
        <f t="shared" si="353"/>
        <v>0</v>
      </c>
      <c r="AT982" s="223">
        <f t="shared" si="354"/>
        <v>0</v>
      </c>
    </row>
    <row r="983" spans="1:46" ht="15.75" x14ac:dyDescent="0.25">
      <c r="B983" s="229"/>
      <c r="C983" s="230"/>
      <c r="D983" s="231"/>
      <c r="E983" s="232"/>
      <c r="F983" s="233"/>
      <c r="G983" s="234"/>
      <c r="H983" s="235"/>
      <c r="I983" s="235"/>
      <c r="J983" s="236"/>
      <c r="K983" s="237">
        <f ca="1">ROUND(IF(ISERROR(OFFSET(Tabella!$A$1,MATCH(H983,Tabella!$A:$A,0)-1,MATCH(J983,Tabella!$A$1:$AC$1,0)-1)=TRUE),0,+OFFSET(Tabella!$A$1,MATCH(H983,Tabella!$A:$A,0)-1,MATCH(J983,Tabella!$A$1:$AC$1,0)-1)),4)</f>
        <v>0</v>
      </c>
      <c r="L983" s="238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238">
        <f ca="1">ROUND(IF(ISERROR(OFFSET(Rame!$A$1,MATCH(H983,Rame!$A:$A,0)-1,MATCH(J983,Rame!$A$1:$AA$1,0)-1)=TRUE),0,OFFSET(Rame!$A$1,MATCH(H983,Rame!$A:$A,0)-1,MATCH(J983,Rame!$A$1:$AA$1,0)-1))*IF(E983="Rame",1,0),4)</f>
        <v>0</v>
      </c>
      <c r="N983" s="238"/>
      <c r="O983" s="238">
        <f t="shared" ca="1" si="346"/>
        <v>0</v>
      </c>
      <c r="P983" s="238">
        <f ca="1">ROUND(+IF(ISERROR(OFFSET(Tabella!$G$1,MATCH(H983,Tabella!$G:$G,0)-1,MATCH(I983,Tabella!$G$1:$FG$1,0)-1)=TRUE),0,OFFSET(Tabella!$G$1,MATCH(H983,Tabella!$G:$G,0)-1,MATCH(I983,Tabella!$G$1:$AB$1,0)-1)),4)</f>
        <v>0</v>
      </c>
      <c r="Q983" s="238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238">
        <f ca="1">ROUND(IF(ISERROR(OFFSET(Rame!$F$1,MATCH(H983,Rame!$F:$F,0)-1,MATCH(I983,Rame!$F$1:$FF$1,0)-1)=TRUE),0,OFFSET(Rame!$F$1,MATCH(H983,Rame!$F:$F,0)-1,MATCH(I983,Rame!$F$1:$FF$1,0)-1))*IF(E983="Rame",1,0),4)</f>
        <v>0</v>
      </c>
      <c r="S983" s="238">
        <f ca="1">ROUND(IF(ISERROR(OFFSET(Bronzo!$A$1,MATCH(H983,Bronzo!$A:$A,0)-1,MATCH(I983,Bronzo!$A$1:$AA$1,0)-1)=TRUE),0,OFFSET(Bronzo!$A$1,MATCH(H983,Bronzo!$A:$A,0)-1,MATCH(I983,Bronzo!$A$1:$AA$1,0)-1)),4)</f>
        <v>0</v>
      </c>
      <c r="T983" s="238">
        <f t="shared" ca="1" si="337"/>
        <v>0</v>
      </c>
      <c r="U983" s="237"/>
      <c r="V983" s="238">
        <v>0</v>
      </c>
      <c r="W983" s="239">
        <f t="shared" ca="1" si="338"/>
        <v>0</v>
      </c>
      <c r="X983" s="240">
        <f t="shared" si="336"/>
        <v>0</v>
      </c>
      <c r="Y983" s="236"/>
      <c r="Z983" s="236">
        <f t="shared" ca="1" si="339"/>
        <v>0</v>
      </c>
      <c r="AA983" s="241"/>
      <c r="AF983" s="225">
        <f t="shared" ref="AF983:AF989" ca="1" si="355">TODAY()</f>
        <v>46236</v>
      </c>
      <c r="AG983" s="225" t="b">
        <f t="shared" ref="AG983:AG989" si="356">ISBLANK(AA983)</f>
        <v>1</v>
      </c>
      <c r="AH983" s="242" t="str">
        <f t="shared" ref="AH983:AH989" si="357">IF(AG983=FALSE,_xlfn.DAYS(AA983,AF983),"")</f>
        <v/>
      </c>
      <c r="AK983" s="223">
        <f t="shared" ref="AK983:AK989" si="358">WEEKNUM(AA983)</f>
        <v>0</v>
      </c>
      <c r="AL983" s="223">
        <f t="shared" ref="AL983:AL989" si="359">YEAR(AA983)</f>
        <v>1900</v>
      </c>
      <c r="AS983" s="223">
        <f t="shared" ref="AS983:AS989" si="360">IF(AA983="",0,MONTH(AA983))</f>
        <v>0</v>
      </c>
      <c r="AT983" s="223">
        <f t="shared" ref="AT983:AT989" si="361">IF(AA983="",0,YEAR(AA983))</f>
        <v>0</v>
      </c>
    </row>
    <row r="984" spans="1:46" ht="15.75" x14ac:dyDescent="0.25">
      <c r="B984" s="229"/>
      <c r="C984" s="230"/>
      <c r="D984" s="231"/>
      <c r="E984" s="232"/>
      <c r="F984" s="233"/>
      <c r="G984" s="234"/>
      <c r="H984" s="235"/>
      <c r="I984" s="235"/>
      <c r="J984" s="236"/>
      <c r="K984" s="237">
        <f ca="1">ROUND(IF(ISERROR(OFFSET(Tabella!$A$1,MATCH(H984,Tabella!$A:$A,0)-1,MATCH(J984,Tabella!$A$1:$AC$1,0)-1)=TRUE),0,+OFFSET(Tabella!$A$1,MATCH(H984,Tabella!$A:$A,0)-1,MATCH(J984,Tabella!$A$1:$AC$1,0)-1)),4)</f>
        <v>0</v>
      </c>
      <c r="L984" s="238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238">
        <f ca="1">ROUND(IF(ISERROR(OFFSET(Rame!$A$1,MATCH(H984,Rame!$A:$A,0)-1,MATCH(J984,Rame!$A$1:$AA$1,0)-1)=TRUE),0,OFFSET(Rame!$A$1,MATCH(H984,Rame!$A:$A,0)-1,MATCH(J984,Rame!$A$1:$AA$1,0)-1))*IF(E984="Rame",1,0),4)</f>
        <v>0</v>
      </c>
      <c r="N984" s="238"/>
      <c r="O984" s="238">
        <f t="shared" ca="1" si="346"/>
        <v>0</v>
      </c>
      <c r="P984" s="238">
        <f ca="1">ROUND(+IF(ISERROR(OFFSET(Tabella!$G$1,MATCH(H984,Tabella!$G:$G,0)-1,MATCH(I984,Tabella!$G$1:$FG$1,0)-1)=TRUE),0,OFFSET(Tabella!$G$1,MATCH(H984,Tabella!$G:$G,0)-1,MATCH(I984,Tabella!$G$1:$AB$1,0)-1)),4)</f>
        <v>0</v>
      </c>
      <c r="Q984" s="238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238">
        <f ca="1">ROUND(IF(ISERROR(OFFSET(Rame!$F$1,MATCH(H984,Rame!$F:$F,0)-1,MATCH(I984,Rame!$F$1:$FF$1,0)-1)=TRUE),0,OFFSET(Rame!$F$1,MATCH(H984,Rame!$F:$F,0)-1,MATCH(I984,Rame!$F$1:$FF$1,0)-1))*IF(E984="Rame",1,0),4)</f>
        <v>0</v>
      </c>
      <c r="S984" s="238">
        <f ca="1">ROUND(IF(ISERROR(OFFSET(Bronzo!$A$1,MATCH(H984,Bronzo!$A:$A,0)-1,MATCH(I984,Bronzo!$A$1:$AA$1,0)-1)=TRUE),0,OFFSET(Bronzo!$A$1,MATCH(H984,Bronzo!$A:$A,0)-1,MATCH(I984,Bronzo!$A$1:$AA$1,0)-1)),4)</f>
        <v>0</v>
      </c>
      <c r="T984" s="238">
        <f t="shared" ca="1" si="337"/>
        <v>0</v>
      </c>
      <c r="U984" s="237"/>
      <c r="V984" s="238">
        <v>0</v>
      </c>
      <c r="W984" s="239">
        <f t="shared" ca="1" si="338"/>
        <v>0</v>
      </c>
      <c r="X984" s="240">
        <f t="shared" si="336"/>
        <v>0</v>
      </c>
      <c r="Y984" s="236"/>
      <c r="Z984" s="236">
        <f t="shared" ca="1" si="339"/>
        <v>0</v>
      </c>
      <c r="AA984" s="241"/>
      <c r="AF984" s="225">
        <f t="shared" ca="1" si="355"/>
        <v>46236</v>
      </c>
      <c r="AG984" s="225" t="b">
        <f t="shared" si="356"/>
        <v>1</v>
      </c>
      <c r="AH984" s="242" t="str">
        <f t="shared" si="357"/>
        <v/>
      </c>
      <c r="AK984" s="223">
        <f t="shared" si="358"/>
        <v>0</v>
      </c>
      <c r="AL984" s="223">
        <f t="shared" si="359"/>
        <v>1900</v>
      </c>
      <c r="AS984" s="223">
        <f t="shared" si="360"/>
        <v>0</v>
      </c>
      <c r="AT984" s="223">
        <f t="shared" si="361"/>
        <v>0</v>
      </c>
    </row>
    <row r="985" spans="1:46" customFormat="1" ht="15.75" x14ac:dyDescent="0.25">
      <c r="A985" s="372"/>
      <c r="B985" s="401"/>
      <c r="C985" s="402"/>
      <c r="D985" s="403"/>
      <c r="E985" s="404"/>
      <c r="F985" s="405"/>
      <c r="G985" s="406"/>
      <c r="H985" s="407"/>
      <c r="I985" s="407"/>
      <c r="J985" s="413"/>
      <c r="K985" s="415">
        <f ca="1">ROUND(IF(ISERROR(OFFSET(Tabella!$A$1,MATCH(H985,Tabella!$A:$A,0)-1,MATCH(J985,Tabella!$A$1:$AC$1,0)-1)=TRUE),0,+OFFSET(Tabella!$A$1,MATCH(H985,Tabella!$A:$A,0)-1,MATCH(J985,Tabella!$A$1:$AC$1,0)-1)),4)</f>
        <v>0</v>
      </c>
      <c r="L985" s="417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17">
        <f ca="1">ROUND(IF(ISERROR(OFFSET(Rame!$A$1,MATCH(H985,Rame!$A:$A,0)-1,MATCH(J985,Rame!$A$1:$AA$1,0)-1)=TRUE),0,OFFSET(Rame!$A$1,MATCH(H985,Rame!$A:$A,0)-1,MATCH(J985,Rame!$A$1:$AA$1,0)-1))*IF(E985="Rame",1,0),4)</f>
        <v>0</v>
      </c>
      <c r="N985" s="417"/>
      <c r="O985" s="417">
        <f t="shared" ca="1" si="346"/>
        <v>0</v>
      </c>
      <c r="P985" s="417">
        <f ca="1">ROUND(+IF(ISERROR(OFFSET(Tabella!$G$1,MATCH(H985,Tabella!$G:$G,0)-1,MATCH(I985,Tabella!$G$1:$FG$1,0)-1)=TRUE),0,OFFSET(Tabella!$G$1,MATCH(H985,Tabella!$G:$G,0)-1,MATCH(I985,Tabella!$G$1:$AB$1,0)-1)),4)</f>
        <v>0</v>
      </c>
      <c r="Q985" s="417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17">
        <f ca="1">ROUND(IF(ISERROR(OFFSET(Rame!$F$1,MATCH(H985,Rame!$F:$F,0)-1,MATCH(I985,Rame!$F$1:$FF$1,0)-1)=TRUE),0,OFFSET(Rame!$F$1,MATCH(H985,Rame!$F:$F,0)-1,MATCH(I985,Rame!$F$1:$FF$1,0)-1))*IF(E985="Rame",1,0),4)</f>
        <v>0</v>
      </c>
      <c r="S985" s="417">
        <f ca="1">ROUND(IF(ISERROR(OFFSET(Bronzo!$A$1,MATCH(H985,Bronzo!$A:$A,0)-1,MATCH(I985,Bronzo!$A$1:$AA$1,0)-1)=TRUE),0,OFFSET(Bronzo!$A$1,MATCH(H985,Bronzo!$A:$A,0)-1,MATCH(I985,Bronzo!$A$1:$AA$1,0)-1)),4)</f>
        <v>0</v>
      </c>
      <c r="T985" s="417">
        <f t="shared" ca="1" si="337"/>
        <v>0</v>
      </c>
      <c r="U985" s="415"/>
      <c r="V985" s="417">
        <v>0</v>
      </c>
      <c r="W985" s="419">
        <f t="shared" ca="1" si="338"/>
        <v>0</v>
      </c>
      <c r="X985" s="421">
        <f t="shared" si="336"/>
        <v>0</v>
      </c>
      <c r="Y985" s="413"/>
      <c r="Z985" s="413">
        <f t="shared" ca="1" si="339"/>
        <v>0</v>
      </c>
      <c r="AA985" s="408"/>
      <c r="AF985" s="375">
        <f t="shared" ca="1" si="355"/>
        <v>46236</v>
      </c>
      <c r="AG985" s="375" t="b">
        <f t="shared" si="356"/>
        <v>1</v>
      </c>
      <c r="AH985" s="409" t="str">
        <f t="shared" si="357"/>
        <v/>
      </c>
      <c r="AK985">
        <f t="shared" si="358"/>
        <v>0</v>
      </c>
      <c r="AL985">
        <f t="shared" si="359"/>
        <v>1900</v>
      </c>
      <c r="AS985">
        <f t="shared" si="360"/>
        <v>0</v>
      </c>
      <c r="AT985">
        <f t="shared" si="361"/>
        <v>0</v>
      </c>
    </row>
    <row r="986" spans="1:46" customFormat="1" ht="15.75" x14ac:dyDescent="0.25">
      <c r="A986" s="372"/>
      <c r="B986" s="401"/>
      <c r="C986" s="402"/>
      <c r="D986" s="403"/>
      <c r="E986" s="404"/>
      <c r="F986" s="405"/>
      <c r="G986" s="406"/>
      <c r="H986" s="407"/>
      <c r="I986" s="407"/>
      <c r="J986" s="413"/>
      <c r="K986" s="415">
        <f ca="1">ROUND(IF(ISERROR(OFFSET(Tabella!$A$1,MATCH(H986,Tabella!$A:$A,0)-1,MATCH(J986,Tabella!$A$1:$AC$1,0)-1)=TRUE),0,+OFFSET(Tabella!$A$1,MATCH(H986,Tabella!$A:$A,0)-1,MATCH(J986,Tabella!$A$1:$AC$1,0)-1)),4)</f>
        <v>0</v>
      </c>
      <c r="L986" s="417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17">
        <f ca="1">ROUND(IF(ISERROR(OFFSET(Rame!$A$1,MATCH(H986,Rame!$A:$A,0)-1,MATCH(J986,Rame!$A$1:$AA$1,0)-1)=TRUE),0,OFFSET(Rame!$A$1,MATCH(H986,Rame!$A:$A,0)-1,MATCH(J986,Rame!$A$1:$AA$1,0)-1))*IF(E986="Rame",1,0),4)</f>
        <v>0</v>
      </c>
      <c r="N986" s="417"/>
      <c r="O986" s="417">
        <f t="shared" ca="1" si="346"/>
        <v>0</v>
      </c>
      <c r="P986" s="417">
        <f ca="1">ROUND(+IF(ISERROR(OFFSET(Tabella!$G$1,MATCH(H986,Tabella!$G:$G,0)-1,MATCH(I986,Tabella!$G$1:$FG$1,0)-1)=TRUE),0,OFFSET(Tabella!$G$1,MATCH(H986,Tabella!$G:$G,0)-1,MATCH(I986,Tabella!$G$1:$AB$1,0)-1)),4)</f>
        <v>0</v>
      </c>
      <c r="Q986" s="417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17">
        <f ca="1">ROUND(IF(ISERROR(OFFSET(Rame!$F$1,MATCH(H986,Rame!$F:$F,0)-1,MATCH(I986,Rame!$F$1:$FF$1,0)-1)=TRUE),0,OFFSET(Rame!$F$1,MATCH(H986,Rame!$F:$F,0)-1,MATCH(I986,Rame!$F$1:$FF$1,0)-1))*IF(E986="Rame",1,0),4)</f>
        <v>0</v>
      </c>
      <c r="S986" s="417">
        <f ca="1">ROUND(IF(ISERROR(OFFSET(Bronzo!$A$1,MATCH(H986,Bronzo!$A:$A,0)-1,MATCH(I986,Bronzo!$A$1:$AA$1,0)-1)=TRUE),0,OFFSET(Bronzo!$A$1,MATCH(H986,Bronzo!$A:$A,0)-1,MATCH(I986,Bronzo!$A$1:$AA$1,0)-1)),4)</f>
        <v>0</v>
      </c>
      <c r="T986" s="417">
        <f t="shared" ca="1" si="337"/>
        <v>0</v>
      </c>
      <c r="U986" s="415"/>
      <c r="V986" s="417">
        <v>0</v>
      </c>
      <c r="W986" s="419">
        <f t="shared" ca="1" si="338"/>
        <v>0</v>
      </c>
      <c r="X986" s="421">
        <f t="shared" si="336"/>
        <v>0</v>
      </c>
      <c r="Y986" s="413"/>
      <c r="Z986" s="413">
        <f t="shared" ca="1" si="339"/>
        <v>0</v>
      </c>
      <c r="AA986" s="408"/>
      <c r="AF986" s="375">
        <f t="shared" ca="1" si="355"/>
        <v>46236</v>
      </c>
      <c r="AG986" s="375" t="b">
        <f t="shared" si="356"/>
        <v>1</v>
      </c>
      <c r="AH986" s="409" t="str">
        <f t="shared" si="357"/>
        <v/>
      </c>
      <c r="AK986">
        <f t="shared" si="358"/>
        <v>0</v>
      </c>
      <c r="AL986">
        <f t="shared" si="359"/>
        <v>1900</v>
      </c>
      <c r="AS986">
        <f t="shared" si="360"/>
        <v>0</v>
      </c>
      <c r="AT986">
        <f t="shared" si="361"/>
        <v>0</v>
      </c>
    </row>
    <row r="987" spans="1:46" customFormat="1" ht="15.75" x14ac:dyDescent="0.25">
      <c r="A987" s="372"/>
      <c r="B987" s="401"/>
      <c r="C987" s="402"/>
      <c r="D987" s="403"/>
      <c r="E987" s="404"/>
      <c r="F987" s="405"/>
      <c r="G987" s="406"/>
      <c r="H987" s="407"/>
      <c r="I987" s="407"/>
      <c r="J987" s="413"/>
      <c r="K987" s="415">
        <f ca="1">ROUND(IF(ISERROR(OFFSET(Tabella!$A$1,MATCH(H987,Tabella!$A:$A,0)-1,MATCH(J987,Tabella!$A$1:$AC$1,0)-1)=TRUE),0,+OFFSET(Tabella!$A$1,MATCH(H987,Tabella!$A:$A,0)-1,MATCH(J987,Tabella!$A$1:$AC$1,0)-1)),4)</f>
        <v>0</v>
      </c>
      <c r="L987" s="417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17">
        <f ca="1">ROUND(IF(ISERROR(OFFSET(Rame!$A$1,MATCH(H987,Rame!$A:$A,0)-1,MATCH(J987,Rame!$A$1:$AA$1,0)-1)=TRUE),0,OFFSET(Rame!$A$1,MATCH(H987,Rame!$A:$A,0)-1,MATCH(J987,Rame!$A$1:$AA$1,0)-1))*IF(E987="Rame",1,0),4)</f>
        <v>0</v>
      </c>
      <c r="N987" s="417"/>
      <c r="O987" s="417">
        <f t="shared" ca="1" si="346"/>
        <v>0</v>
      </c>
      <c r="P987" s="417">
        <f ca="1">ROUND(+IF(ISERROR(OFFSET(Tabella!$G$1,MATCH(H987,Tabella!$G:$G,0)-1,MATCH(I987,Tabella!$G$1:$FG$1,0)-1)=TRUE),0,OFFSET(Tabella!$G$1,MATCH(H987,Tabella!$G:$G,0)-1,MATCH(I987,Tabella!$G$1:$AB$1,0)-1)),4)</f>
        <v>0</v>
      </c>
      <c r="Q987" s="417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17">
        <f ca="1">ROUND(IF(ISERROR(OFFSET(Rame!$F$1,MATCH(H987,Rame!$F:$F,0)-1,MATCH(I987,Rame!$F$1:$FF$1,0)-1)=TRUE),0,OFFSET(Rame!$F$1,MATCH(H987,Rame!$F:$F,0)-1,MATCH(I987,Rame!$F$1:$FF$1,0)-1))*IF(E987="Rame",1,0),4)</f>
        <v>0</v>
      </c>
      <c r="S987" s="417">
        <f ca="1">ROUND(IF(ISERROR(OFFSET(Bronzo!$A$1,MATCH(H987,Bronzo!$A:$A,0)-1,MATCH(I987,Bronzo!$A$1:$AA$1,0)-1)=TRUE),0,OFFSET(Bronzo!$A$1,MATCH(H987,Bronzo!$A:$A,0)-1,MATCH(I987,Bronzo!$A$1:$AA$1,0)-1)),4)</f>
        <v>0</v>
      </c>
      <c r="T987" s="417">
        <f t="shared" ca="1" si="337"/>
        <v>0</v>
      </c>
      <c r="U987" s="415"/>
      <c r="V987" s="417">
        <v>0</v>
      </c>
      <c r="W987" s="419">
        <f t="shared" ca="1" si="338"/>
        <v>0</v>
      </c>
      <c r="X987" s="421">
        <f t="shared" si="336"/>
        <v>0</v>
      </c>
      <c r="Y987" s="413"/>
      <c r="Z987" s="413">
        <f t="shared" ca="1" si="339"/>
        <v>0</v>
      </c>
      <c r="AA987" s="408"/>
      <c r="AF987" s="375">
        <f t="shared" ca="1" si="355"/>
        <v>46236</v>
      </c>
      <c r="AG987" s="375" t="b">
        <f t="shared" si="356"/>
        <v>1</v>
      </c>
      <c r="AH987" s="409" t="str">
        <f t="shared" si="357"/>
        <v/>
      </c>
      <c r="AK987">
        <f t="shared" si="358"/>
        <v>0</v>
      </c>
      <c r="AL987">
        <f t="shared" si="359"/>
        <v>1900</v>
      </c>
      <c r="AS987">
        <f t="shared" si="360"/>
        <v>0</v>
      </c>
      <c r="AT987">
        <f t="shared" si="361"/>
        <v>0</v>
      </c>
    </row>
    <row r="988" spans="1:46" customFormat="1" ht="15.75" x14ac:dyDescent="0.25">
      <c r="A988" s="372"/>
      <c r="B988" s="401"/>
      <c r="C988" s="402"/>
      <c r="D988" s="403"/>
      <c r="E988" s="404"/>
      <c r="F988" s="405"/>
      <c r="G988" s="406"/>
      <c r="H988" s="407"/>
      <c r="I988" s="407"/>
      <c r="J988" s="413"/>
      <c r="K988" s="415">
        <f ca="1">ROUND(IF(ISERROR(OFFSET(Tabella!$A$1,MATCH(H988,Tabella!$A:$A,0)-1,MATCH(J988,Tabella!$A$1:$AC$1,0)-1)=TRUE),0,+OFFSET(Tabella!$A$1,MATCH(H988,Tabella!$A:$A,0)-1,MATCH(J988,Tabella!$A$1:$AC$1,0)-1)),4)</f>
        <v>0</v>
      </c>
      <c r="L988" s="417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17">
        <f ca="1">ROUND(IF(ISERROR(OFFSET(Rame!$A$1,MATCH(H988,Rame!$A:$A,0)-1,MATCH(J988,Rame!$A$1:$AA$1,0)-1)=TRUE),0,OFFSET(Rame!$A$1,MATCH(H988,Rame!$A:$A,0)-1,MATCH(J988,Rame!$A$1:$AA$1,0)-1))*IF(E988="Rame",1,0),4)</f>
        <v>0</v>
      </c>
      <c r="N988" s="417"/>
      <c r="O988" s="417">
        <f t="shared" ca="1" si="346"/>
        <v>0</v>
      </c>
      <c r="P988" s="417">
        <f ca="1">ROUND(+IF(ISERROR(OFFSET(Tabella!$G$1,MATCH(H988,Tabella!$G:$G,0)-1,MATCH(I988,Tabella!$G$1:$FG$1,0)-1)=TRUE),0,OFFSET(Tabella!$G$1,MATCH(H988,Tabella!$G:$G,0)-1,MATCH(I988,Tabella!$G$1:$AB$1,0)-1)),4)</f>
        <v>0</v>
      </c>
      <c r="Q988" s="417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17">
        <f ca="1">ROUND(IF(ISERROR(OFFSET(Rame!$F$1,MATCH(H988,Rame!$F:$F,0)-1,MATCH(I988,Rame!$F$1:$FF$1,0)-1)=TRUE),0,OFFSET(Rame!$F$1,MATCH(H988,Rame!$F:$F,0)-1,MATCH(I988,Rame!$F$1:$FF$1,0)-1))*IF(E988="Rame",1,0),4)</f>
        <v>0</v>
      </c>
      <c r="S988" s="417">
        <f ca="1">ROUND(IF(ISERROR(OFFSET(Bronzo!$A$1,MATCH(H988,Bronzo!$A:$A,0)-1,MATCH(I988,Bronzo!$A$1:$AA$1,0)-1)=TRUE),0,OFFSET(Bronzo!$A$1,MATCH(H988,Bronzo!$A:$A,0)-1,MATCH(I988,Bronzo!$A$1:$AA$1,0)-1)),4)</f>
        <v>0</v>
      </c>
      <c r="T988" s="417">
        <f t="shared" ca="1" si="337"/>
        <v>0</v>
      </c>
      <c r="U988" s="415"/>
      <c r="V988" s="417">
        <v>0</v>
      </c>
      <c r="W988" s="419">
        <f t="shared" ca="1" si="338"/>
        <v>0</v>
      </c>
      <c r="X988" s="421">
        <f t="shared" ref="X988:X1051" si="362">ROUND(+J988*D988,4)</f>
        <v>0</v>
      </c>
      <c r="Y988" s="413"/>
      <c r="Z988" s="413">
        <f t="shared" ca="1" si="339"/>
        <v>0</v>
      </c>
      <c r="AA988" s="408"/>
      <c r="AF988" s="375">
        <f t="shared" ca="1" si="355"/>
        <v>46236</v>
      </c>
      <c r="AG988" s="375" t="b">
        <f t="shared" si="356"/>
        <v>1</v>
      </c>
      <c r="AH988" s="409" t="str">
        <f t="shared" si="357"/>
        <v/>
      </c>
      <c r="AK988">
        <f t="shared" si="358"/>
        <v>0</v>
      </c>
      <c r="AL988">
        <f t="shared" si="359"/>
        <v>1900</v>
      </c>
      <c r="AS988">
        <f t="shared" si="360"/>
        <v>0</v>
      </c>
      <c r="AT988">
        <f t="shared" si="361"/>
        <v>0</v>
      </c>
    </row>
    <row r="989" spans="1:46" customFormat="1" ht="15.75" x14ac:dyDescent="0.25">
      <c r="A989" s="372"/>
      <c r="B989" s="401"/>
      <c r="C989" s="402"/>
      <c r="D989" s="403"/>
      <c r="E989" s="404"/>
      <c r="F989" s="405"/>
      <c r="G989" s="406"/>
      <c r="H989" s="407"/>
      <c r="I989" s="407"/>
      <c r="J989" s="413"/>
      <c r="K989" s="415">
        <f ca="1">ROUND(IF(ISERROR(OFFSET(Tabella!$A$1,MATCH(H989,Tabella!$A:$A,0)-1,MATCH(J989,Tabella!$A$1:$AC$1,0)-1)=TRUE),0,+OFFSET(Tabella!$A$1,MATCH(H989,Tabella!$A:$A,0)-1,MATCH(J989,Tabella!$A$1:$AC$1,0)-1)),4)</f>
        <v>0</v>
      </c>
      <c r="L989" s="417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17">
        <f ca="1">ROUND(IF(ISERROR(OFFSET(Rame!$A$1,MATCH(H989,Rame!$A:$A,0)-1,MATCH(J989,Rame!$A$1:$AA$1,0)-1)=TRUE),0,OFFSET(Rame!$A$1,MATCH(H989,Rame!$A:$A,0)-1,MATCH(J989,Rame!$A$1:$AA$1,0)-1))*IF(E989="Rame",1,0),4)</f>
        <v>0</v>
      </c>
      <c r="N989" s="417"/>
      <c r="O989" s="417">
        <f t="shared" ca="1" si="346"/>
        <v>0</v>
      </c>
      <c r="P989" s="417">
        <f ca="1">ROUND(+IF(ISERROR(OFFSET(Tabella!$G$1,MATCH(H989,Tabella!$G:$G,0)-1,MATCH(I989,Tabella!$G$1:$FG$1,0)-1)=TRUE),0,OFFSET(Tabella!$G$1,MATCH(H989,Tabella!$G:$G,0)-1,MATCH(I989,Tabella!$G$1:$AB$1,0)-1)),4)</f>
        <v>0</v>
      </c>
      <c r="Q989" s="417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17">
        <f ca="1">ROUND(IF(ISERROR(OFFSET(Rame!$F$1,MATCH(H989,Rame!$F:$F,0)-1,MATCH(I989,Rame!$F$1:$FF$1,0)-1)=TRUE),0,OFFSET(Rame!$F$1,MATCH(H989,Rame!$F:$F,0)-1,MATCH(I989,Rame!$F$1:$FF$1,0)-1))*IF(E989="Rame",1,0),4)</f>
        <v>0</v>
      </c>
      <c r="S989" s="417">
        <f ca="1">ROUND(IF(ISERROR(OFFSET(Bronzo!$A$1,MATCH(H989,Bronzo!$A:$A,0)-1,MATCH(I989,Bronzo!$A$1:$AA$1,0)-1)=TRUE),0,OFFSET(Bronzo!$A$1,MATCH(H989,Bronzo!$A:$A,0)-1,MATCH(I989,Bronzo!$A$1:$AA$1,0)-1)),4)</f>
        <v>0</v>
      </c>
      <c r="T989" s="417">
        <f t="shared" ca="1" si="337"/>
        <v>0</v>
      </c>
      <c r="U989" s="415"/>
      <c r="V989" s="417">
        <v>0</v>
      </c>
      <c r="W989" s="419">
        <f t="shared" ca="1" si="338"/>
        <v>0</v>
      </c>
      <c r="X989" s="421">
        <f t="shared" si="362"/>
        <v>0</v>
      </c>
      <c r="Y989" s="413"/>
      <c r="Z989" s="413">
        <f t="shared" ca="1" si="339"/>
        <v>0</v>
      </c>
      <c r="AA989" s="408"/>
      <c r="AF989" s="375">
        <f t="shared" ca="1" si="355"/>
        <v>46236</v>
      </c>
      <c r="AG989" s="375" t="b">
        <f t="shared" si="356"/>
        <v>1</v>
      </c>
      <c r="AH989" s="409" t="str">
        <f t="shared" si="357"/>
        <v/>
      </c>
      <c r="AK989">
        <f t="shared" si="358"/>
        <v>0</v>
      </c>
      <c r="AL989">
        <f t="shared" si="359"/>
        <v>1900</v>
      </c>
      <c r="AS989">
        <f t="shared" si="360"/>
        <v>0</v>
      </c>
      <c r="AT989">
        <f t="shared" si="361"/>
        <v>0</v>
      </c>
    </row>
    <row r="990" spans="1:46" customFormat="1" ht="15.75" x14ac:dyDescent="0.25">
      <c r="A990" s="372"/>
      <c r="B990" s="401"/>
      <c r="C990" s="402"/>
      <c r="D990" s="403"/>
      <c r="E990" s="404"/>
      <c r="F990" s="405"/>
      <c r="G990" s="406"/>
      <c r="H990" s="407"/>
      <c r="I990" s="407"/>
      <c r="J990" s="413"/>
      <c r="K990" s="415">
        <f ca="1">ROUND(IF(ISERROR(OFFSET(Tabella!$A$1,MATCH(H990,Tabella!$A:$A,0)-1,MATCH(J990,Tabella!$A$1:$AC$1,0)-1)=TRUE),0,+OFFSET(Tabella!$A$1,MATCH(H990,Tabella!$A:$A,0)-1,MATCH(J990,Tabella!$A$1:$AC$1,0)-1)),4)</f>
        <v>0</v>
      </c>
      <c r="L990" s="417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17">
        <f ca="1">ROUND(IF(ISERROR(OFFSET(Rame!$A$1,MATCH(H990,Rame!$A:$A,0)-1,MATCH(J990,Rame!$A$1:$AA$1,0)-1)=TRUE),0,OFFSET(Rame!$A$1,MATCH(H990,Rame!$A:$A,0)-1,MATCH(J990,Rame!$A$1:$AA$1,0)-1))*IF(E990="Rame",1,0),4)</f>
        <v>0</v>
      </c>
      <c r="N990" s="417"/>
      <c r="O990" s="417">
        <f t="shared" ca="1" si="346"/>
        <v>0</v>
      </c>
      <c r="P990" s="417">
        <f ca="1">ROUND(+IF(ISERROR(OFFSET(Tabella!$G$1,MATCH(H990,Tabella!$G:$G,0)-1,MATCH(I990,Tabella!$G$1:$FG$1,0)-1)=TRUE),0,OFFSET(Tabella!$G$1,MATCH(H990,Tabella!$G:$G,0)-1,MATCH(I990,Tabella!$G$1:$AB$1,0)-1)),4)</f>
        <v>0</v>
      </c>
      <c r="Q990" s="417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17">
        <f ca="1">ROUND(IF(ISERROR(OFFSET(Rame!$F$1,MATCH(H990,Rame!$F:$F,0)-1,MATCH(I990,Rame!$F$1:$FF$1,0)-1)=TRUE),0,OFFSET(Rame!$F$1,MATCH(H990,Rame!$F:$F,0)-1,MATCH(I990,Rame!$F$1:$FF$1,0)-1))*IF(E990="Rame",1,0),4)</f>
        <v>0</v>
      </c>
      <c r="S990" s="417">
        <f ca="1">ROUND(IF(ISERROR(OFFSET(Bronzo!$A$1,MATCH(H990,Bronzo!$A:$A,0)-1,MATCH(I990,Bronzo!$A$1:$AA$1,0)-1)=TRUE),0,OFFSET(Bronzo!$A$1,MATCH(H990,Bronzo!$A:$A,0)-1,MATCH(I990,Bronzo!$A$1:$AA$1,0)-1)),4)</f>
        <v>0</v>
      </c>
      <c r="T990" s="417">
        <f t="shared" ca="1" si="337"/>
        <v>0</v>
      </c>
      <c r="U990" s="415"/>
      <c r="V990" s="417">
        <v>0</v>
      </c>
      <c r="W990" s="419">
        <f t="shared" ca="1" si="338"/>
        <v>0</v>
      </c>
      <c r="X990" s="421">
        <f t="shared" si="362"/>
        <v>0</v>
      </c>
      <c r="Y990" s="413"/>
      <c r="Z990" s="413">
        <f t="shared" ca="1" si="339"/>
        <v>0</v>
      </c>
      <c r="AA990" s="408"/>
      <c r="AF990" s="375">
        <f t="shared" ref="AF990:AF1021" ca="1" si="363">TODAY()</f>
        <v>46236</v>
      </c>
      <c r="AG990" s="375" t="b">
        <f t="shared" ref="AG990:AG1021" si="364">ISBLANK(AA990)</f>
        <v>1</v>
      </c>
      <c r="AH990" s="409" t="str">
        <f t="shared" ref="AH990:AH1021" si="365">IF(AG990=FALSE,_xlfn.DAYS(AA990,AF990),"")</f>
        <v/>
      </c>
      <c r="AK990">
        <f t="shared" ref="AK990:AK1021" si="366">WEEKNUM(AA990)</f>
        <v>0</v>
      </c>
      <c r="AL990">
        <f t="shared" ref="AL990:AL1021" si="367">YEAR(AA990)</f>
        <v>1900</v>
      </c>
      <c r="AS990">
        <f t="shared" ref="AS990:AS1021" si="368">IF(AA990="",0,MONTH(AA990))</f>
        <v>0</v>
      </c>
      <c r="AT990">
        <f t="shared" ref="AT990:AT1021" si="369">IF(AA990="",0,YEAR(AA990))</f>
        <v>0</v>
      </c>
    </row>
    <row r="991" spans="1:46" customFormat="1" ht="15.75" x14ac:dyDescent="0.25">
      <c r="A991" s="372"/>
      <c r="B991" s="401"/>
      <c r="C991" s="402"/>
      <c r="D991" s="403"/>
      <c r="E991" s="404"/>
      <c r="F991" s="405"/>
      <c r="G991" s="406"/>
      <c r="H991" s="407"/>
      <c r="I991" s="407"/>
      <c r="J991" s="413"/>
      <c r="K991" s="415">
        <f ca="1">ROUND(IF(ISERROR(OFFSET(Tabella!$A$1,MATCH(H991,Tabella!$A:$A,0)-1,MATCH(J991,Tabella!$A$1:$AC$1,0)-1)=TRUE),0,+OFFSET(Tabella!$A$1,MATCH(H991,Tabella!$A:$A,0)-1,MATCH(J991,Tabella!$A$1:$AC$1,0)-1)),4)</f>
        <v>0</v>
      </c>
      <c r="L991" s="417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17">
        <f ca="1">ROUND(IF(ISERROR(OFFSET(Rame!$A$1,MATCH(H991,Rame!$A:$A,0)-1,MATCH(J991,Rame!$A$1:$AA$1,0)-1)=TRUE),0,OFFSET(Rame!$A$1,MATCH(H991,Rame!$A:$A,0)-1,MATCH(J991,Rame!$A$1:$AA$1,0)-1))*IF(E991="Rame",1,0),4)</f>
        <v>0</v>
      </c>
      <c r="N991" s="417"/>
      <c r="O991" s="417">
        <f t="shared" ca="1" si="346"/>
        <v>0</v>
      </c>
      <c r="P991" s="417">
        <f ca="1">ROUND(+IF(ISERROR(OFFSET(Tabella!$G$1,MATCH(H991,Tabella!$G:$G,0)-1,MATCH(I991,Tabella!$G$1:$FG$1,0)-1)=TRUE),0,OFFSET(Tabella!$G$1,MATCH(H991,Tabella!$G:$G,0)-1,MATCH(I991,Tabella!$G$1:$AB$1,0)-1)),4)</f>
        <v>0</v>
      </c>
      <c r="Q991" s="417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17">
        <f ca="1">ROUND(IF(ISERROR(OFFSET(Rame!$F$1,MATCH(H991,Rame!$F:$F,0)-1,MATCH(I991,Rame!$F$1:$FF$1,0)-1)=TRUE),0,OFFSET(Rame!$F$1,MATCH(H991,Rame!$F:$F,0)-1,MATCH(I991,Rame!$F$1:$FF$1,0)-1))*IF(E991="Rame",1,0),4)</f>
        <v>0</v>
      </c>
      <c r="S991" s="417">
        <f ca="1">ROUND(IF(ISERROR(OFFSET(Bronzo!$A$1,MATCH(H991,Bronzo!$A:$A,0)-1,MATCH(I991,Bronzo!$A$1:$AA$1,0)-1)=TRUE),0,OFFSET(Bronzo!$A$1,MATCH(H991,Bronzo!$A:$A,0)-1,MATCH(I991,Bronzo!$A$1:$AA$1,0)-1)),4)</f>
        <v>0</v>
      </c>
      <c r="T991" s="417">
        <f t="shared" ca="1" si="337"/>
        <v>0</v>
      </c>
      <c r="U991" s="415"/>
      <c r="V991" s="417">
        <v>0</v>
      </c>
      <c r="W991" s="419">
        <f t="shared" ca="1" si="338"/>
        <v>0</v>
      </c>
      <c r="X991" s="421">
        <f t="shared" si="362"/>
        <v>0</v>
      </c>
      <c r="Y991" s="413"/>
      <c r="Z991" s="413">
        <f t="shared" ca="1" si="339"/>
        <v>0</v>
      </c>
      <c r="AA991" s="408"/>
      <c r="AF991" s="375">
        <f t="shared" ca="1" si="363"/>
        <v>46236</v>
      </c>
      <c r="AG991" s="375" t="b">
        <f t="shared" si="364"/>
        <v>1</v>
      </c>
      <c r="AH991" s="409" t="str">
        <f t="shared" si="365"/>
        <v/>
      </c>
      <c r="AK991">
        <f t="shared" si="366"/>
        <v>0</v>
      </c>
      <c r="AL991">
        <f t="shared" si="367"/>
        <v>1900</v>
      </c>
      <c r="AS991">
        <f t="shared" si="368"/>
        <v>0</v>
      </c>
      <c r="AT991">
        <f t="shared" si="369"/>
        <v>0</v>
      </c>
    </row>
    <row r="992" spans="1:46" customFormat="1" ht="15.75" x14ac:dyDescent="0.25">
      <c r="A992" s="372"/>
      <c r="B992" s="401"/>
      <c r="C992" s="402"/>
      <c r="D992" s="403"/>
      <c r="E992" s="404"/>
      <c r="F992" s="405"/>
      <c r="G992" s="406"/>
      <c r="H992" s="407"/>
      <c r="I992" s="407"/>
      <c r="J992" s="413"/>
      <c r="K992" s="415">
        <f ca="1">ROUND(IF(ISERROR(OFFSET(Tabella!$A$1,MATCH(H992,Tabella!$A:$A,0)-1,MATCH(J992,Tabella!$A$1:$AC$1,0)-1)=TRUE),0,+OFFSET(Tabella!$A$1,MATCH(H992,Tabella!$A:$A,0)-1,MATCH(J992,Tabella!$A$1:$AC$1,0)-1)),4)</f>
        <v>0</v>
      </c>
      <c r="L992" s="417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17">
        <f ca="1">ROUND(IF(ISERROR(OFFSET(Rame!$A$1,MATCH(H992,Rame!$A:$A,0)-1,MATCH(J992,Rame!$A$1:$AA$1,0)-1)=TRUE),0,OFFSET(Rame!$A$1,MATCH(H992,Rame!$A:$A,0)-1,MATCH(J992,Rame!$A$1:$AA$1,0)-1))*IF(E992="Rame",1,0),4)</f>
        <v>0</v>
      </c>
      <c r="N992" s="417"/>
      <c r="O992" s="417">
        <f t="shared" ca="1" si="346"/>
        <v>0</v>
      </c>
      <c r="P992" s="417">
        <f ca="1">ROUND(+IF(ISERROR(OFFSET(Tabella!$G$1,MATCH(H992,Tabella!$G:$G,0)-1,MATCH(I992,Tabella!$G$1:$FG$1,0)-1)=TRUE),0,OFFSET(Tabella!$G$1,MATCH(H992,Tabella!$G:$G,0)-1,MATCH(I992,Tabella!$G$1:$AB$1,0)-1)),4)</f>
        <v>0</v>
      </c>
      <c r="Q992" s="417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17">
        <f ca="1">ROUND(IF(ISERROR(OFFSET(Rame!$F$1,MATCH(H992,Rame!$F:$F,0)-1,MATCH(I992,Rame!$F$1:$FF$1,0)-1)=TRUE),0,OFFSET(Rame!$F$1,MATCH(H992,Rame!$F:$F,0)-1,MATCH(I992,Rame!$F$1:$FF$1,0)-1))*IF(E992="Rame",1,0),4)</f>
        <v>0</v>
      </c>
      <c r="S992" s="417">
        <f ca="1">ROUND(IF(ISERROR(OFFSET(Bronzo!$A$1,MATCH(H992,Bronzo!$A:$A,0)-1,MATCH(I992,Bronzo!$A$1:$AA$1,0)-1)=TRUE),0,OFFSET(Bronzo!$A$1,MATCH(H992,Bronzo!$A:$A,0)-1,MATCH(I992,Bronzo!$A$1:$AA$1,0)-1)),4)</f>
        <v>0</v>
      </c>
      <c r="T992" s="417">
        <f t="shared" ca="1" si="337"/>
        <v>0</v>
      </c>
      <c r="U992" s="415"/>
      <c r="V992" s="417">
        <v>0</v>
      </c>
      <c r="W992" s="419">
        <f t="shared" ca="1" si="338"/>
        <v>0</v>
      </c>
      <c r="X992" s="421">
        <f t="shared" si="362"/>
        <v>0</v>
      </c>
      <c r="Y992" s="413"/>
      <c r="Z992" s="413">
        <f t="shared" ca="1" si="339"/>
        <v>0</v>
      </c>
      <c r="AA992" s="408"/>
      <c r="AF992" s="375">
        <f t="shared" ca="1" si="363"/>
        <v>46236</v>
      </c>
      <c r="AG992" s="375" t="b">
        <f t="shared" si="364"/>
        <v>1</v>
      </c>
      <c r="AH992" s="409" t="str">
        <f t="shared" si="365"/>
        <v/>
      </c>
      <c r="AK992">
        <f t="shared" si="366"/>
        <v>0</v>
      </c>
      <c r="AL992">
        <f t="shared" si="367"/>
        <v>1900</v>
      </c>
      <c r="AS992">
        <f t="shared" si="368"/>
        <v>0</v>
      </c>
      <c r="AT992">
        <f t="shared" si="369"/>
        <v>0</v>
      </c>
    </row>
    <row r="993" spans="1:46" customFormat="1" ht="15.75" x14ac:dyDescent="0.25">
      <c r="A993" s="372"/>
      <c r="B993" s="401"/>
      <c r="C993" s="402"/>
      <c r="D993" s="403"/>
      <c r="E993" s="404"/>
      <c r="F993" s="405"/>
      <c r="G993" s="406"/>
      <c r="H993" s="407"/>
      <c r="I993" s="407"/>
      <c r="J993" s="413"/>
      <c r="K993" s="415">
        <f ca="1">ROUND(IF(ISERROR(OFFSET(Tabella!$A$1,MATCH(H993,Tabella!$A:$A,0)-1,MATCH(J993,Tabella!$A$1:$AC$1,0)-1)=TRUE),0,+OFFSET(Tabella!$A$1,MATCH(H993,Tabella!$A:$A,0)-1,MATCH(J993,Tabella!$A$1:$AC$1,0)-1)),4)</f>
        <v>0</v>
      </c>
      <c r="L993" s="417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17">
        <f ca="1">ROUND(IF(ISERROR(OFFSET(Rame!$A$1,MATCH(H993,Rame!$A:$A,0)-1,MATCH(J993,Rame!$A$1:$AA$1,0)-1)=TRUE),0,OFFSET(Rame!$A$1,MATCH(H993,Rame!$A:$A,0)-1,MATCH(J993,Rame!$A$1:$AA$1,0)-1))*IF(E993="Rame",1,0),4)</f>
        <v>0</v>
      </c>
      <c r="N993" s="417"/>
      <c r="O993" s="417">
        <f t="shared" ca="1" si="346"/>
        <v>0</v>
      </c>
      <c r="P993" s="417">
        <f ca="1">ROUND(+IF(ISERROR(OFFSET(Tabella!$G$1,MATCH(H993,Tabella!$G:$G,0)-1,MATCH(I993,Tabella!$G$1:$FG$1,0)-1)=TRUE),0,OFFSET(Tabella!$G$1,MATCH(H993,Tabella!$G:$G,0)-1,MATCH(I993,Tabella!$G$1:$AB$1,0)-1)),4)</f>
        <v>0</v>
      </c>
      <c r="Q993" s="417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17">
        <f ca="1">ROUND(IF(ISERROR(OFFSET(Rame!$F$1,MATCH(H993,Rame!$F:$F,0)-1,MATCH(I993,Rame!$F$1:$FF$1,0)-1)=TRUE),0,OFFSET(Rame!$F$1,MATCH(H993,Rame!$F:$F,0)-1,MATCH(I993,Rame!$F$1:$FF$1,0)-1))*IF(E993="Rame",1,0),4)</f>
        <v>0</v>
      </c>
      <c r="S993" s="417">
        <f ca="1">ROUND(IF(ISERROR(OFFSET(Bronzo!$A$1,MATCH(H993,Bronzo!$A:$A,0)-1,MATCH(I993,Bronzo!$A$1:$AA$1,0)-1)=TRUE),0,OFFSET(Bronzo!$A$1,MATCH(H993,Bronzo!$A:$A,0)-1,MATCH(I993,Bronzo!$A$1:$AA$1,0)-1)),4)</f>
        <v>0</v>
      </c>
      <c r="T993" s="417">
        <f t="shared" ca="1" si="337"/>
        <v>0</v>
      </c>
      <c r="U993" s="415"/>
      <c r="V993" s="417">
        <v>0</v>
      </c>
      <c r="W993" s="419">
        <f t="shared" ca="1" si="338"/>
        <v>0</v>
      </c>
      <c r="X993" s="421">
        <f t="shared" si="362"/>
        <v>0</v>
      </c>
      <c r="Y993" s="413"/>
      <c r="Z993" s="413">
        <f t="shared" ca="1" si="339"/>
        <v>0</v>
      </c>
      <c r="AA993" s="408"/>
      <c r="AF993" s="375">
        <f t="shared" ca="1" si="363"/>
        <v>46236</v>
      </c>
      <c r="AG993" s="375" t="b">
        <f t="shared" si="364"/>
        <v>1</v>
      </c>
      <c r="AH993" s="409" t="str">
        <f t="shared" si="365"/>
        <v/>
      </c>
      <c r="AK993">
        <f t="shared" si="366"/>
        <v>0</v>
      </c>
      <c r="AL993">
        <f t="shared" si="367"/>
        <v>1900</v>
      </c>
      <c r="AS993">
        <f t="shared" si="368"/>
        <v>0</v>
      </c>
      <c r="AT993">
        <f t="shared" si="369"/>
        <v>0</v>
      </c>
    </row>
    <row r="994" spans="1:46" customFormat="1" ht="15.75" x14ac:dyDescent="0.25">
      <c r="A994" s="372"/>
      <c r="B994" s="401"/>
      <c r="C994" s="402"/>
      <c r="D994" s="403"/>
      <c r="E994" s="404"/>
      <c r="F994" s="405"/>
      <c r="G994" s="406"/>
      <c r="H994" s="407"/>
      <c r="I994" s="407"/>
      <c r="J994" s="413"/>
      <c r="K994" s="415">
        <f ca="1">ROUND(IF(ISERROR(OFFSET(Tabella!$A$1,MATCH(H994,Tabella!$A:$A,0)-1,MATCH(J994,Tabella!$A$1:$AC$1,0)-1)=TRUE),0,+OFFSET(Tabella!$A$1,MATCH(H994,Tabella!$A:$A,0)-1,MATCH(J994,Tabella!$A$1:$AC$1,0)-1)),4)</f>
        <v>0</v>
      </c>
      <c r="L994" s="417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17">
        <f ca="1">ROUND(IF(ISERROR(OFFSET(Rame!$A$1,MATCH(H994,Rame!$A:$A,0)-1,MATCH(J994,Rame!$A$1:$AA$1,0)-1)=TRUE),0,OFFSET(Rame!$A$1,MATCH(H994,Rame!$A:$A,0)-1,MATCH(J994,Rame!$A$1:$AA$1,0)-1))*IF(E994="Rame",1,0),4)</f>
        <v>0</v>
      </c>
      <c r="N994" s="417"/>
      <c r="O994" s="417">
        <f t="shared" ca="1" si="346"/>
        <v>0</v>
      </c>
      <c r="P994" s="417">
        <f ca="1">ROUND(+IF(ISERROR(OFFSET(Tabella!$G$1,MATCH(H994,Tabella!$G:$G,0)-1,MATCH(I994,Tabella!$G$1:$FG$1,0)-1)=TRUE),0,OFFSET(Tabella!$G$1,MATCH(H994,Tabella!$G:$G,0)-1,MATCH(I994,Tabella!$G$1:$AB$1,0)-1)),4)</f>
        <v>0</v>
      </c>
      <c r="Q994" s="417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17">
        <f ca="1">ROUND(IF(ISERROR(OFFSET(Rame!$F$1,MATCH(H994,Rame!$F:$F,0)-1,MATCH(I994,Rame!$F$1:$FF$1,0)-1)=TRUE),0,OFFSET(Rame!$F$1,MATCH(H994,Rame!$F:$F,0)-1,MATCH(I994,Rame!$F$1:$FF$1,0)-1))*IF(E994="Rame",1,0),4)</f>
        <v>0</v>
      </c>
      <c r="S994" s="417">
        <f ca="1">ROUND(IF(ISERROR(OFFSET(Bronzo!$A$1,MATCH(H994,Bronzo!$A:$A,0)-1,MATCH(I994,Bronzo!$A$1:$AA$1,0)-1)=TRUE),0,OFFSET(Bronzo!$A$1,MATCH(H994,Bronzo!$A:$A,0)-1,MATCH(I994,Bronzo!$A$1:$AA$1,0)-1)),4)</f>
        <v>0</v>
      </c>
      <c r="T994" s="417">
        <f t="shared" ref="T994:T1057" ca="1" si="370">ROUND(SUM(P994:S994),4)</f>
        <v>0</v>
      </c>
      <c r="U994" s="415"/>
      <c r="V994" s="417">
        <v>0</v>
      </c>
      <c r="W994" s="419">
        <f t="shared" ref="W994:W1057" ca="1" si="371">ROUND(+O994+T994+U994+V994,4)</f>
        <v>0</v>
      </c>
      <c r="X994" s="421">
        <f t="shared" si="362"/>
        <v>0</v>
      </c>
      <c r="Y994" s="413"/>
      <c r="Z994" s="413">
        <f t="shared" ref="Z994:Z1057" ca="1" si="372">ROUND(+Y994-W994-F994,4)</f>
        <v>0</v>
      </c>
      <c r="AA994" s="408"/>
      <c r="AF994" s="375">
        <f t="shared" ca="1" si="363"/>
        <v>46236</v>
      </c>
      <c r="AG994" s="375" t="b">
        <f t="shared" si="364"/>
        <v>1</v>
      </c>
      <c r="AH994" s="409" t="str">
        <f t="shared" si="365"/>
        <v/>
      </c>
      <c r="AK994">
        <f t="shared" si="366"/>
        <v>0</v>
      </c>
      <c r="AL994">
        <f t="shared" si="367"/>
        <v>1900</v>
      </c>
      <c r="AS994">
        <f t="shared" si="368"/>
        <v>0</v>
      </c>
      <c r="AT994">
        <f t="shared" si="369"/>
        <v>0</v>
      </c>
    </row>
    <row r="995" spans="1:46" customFormat="1" ht="15.75" x14ac:dyDescent="0.25">
      <c r="A995" s="372"/>
      <c r="B995" s="401"/>
      <c r="C995" s="402"/>
      <c r="D995" s="403"/>
      <c r="E995" s="404"/>
      <c r="F995" s="405"/>
      <c r="G995" s="406"/>
      <c r="H995" s="407"/>
      <c r="I995" s="407"/>
      <c r="J995" s="413"/>
      <c r="K995" s="415">
        <f ca="1">ROUND(IF(ISERROR(OFFSET(Tabella!$A$1,MATCH(H995,Tabella!$A:$A,0)-1,MATCH(J995,Tabella!$A$1:$AC$1,0)-1)=TRUE),0,+OFFSET(Tabella!$A$1,MATCH(H995,Tabella!$A:$A,0)-1,MATCH(J995,Tabella!$A$1:$AC$1,0)-1)),4)</f>
        <v>0</v>
      </c>
      <c r="L995" s="417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17">
        <f ca="1">ROUND(IF(ISERROR(OFFSET(Rame!$A$1,MATCH(H995,Rame!$A:$A,0)-1,MATCH(J995,Rame!$A$1:$AA$1,0)-1)=TRUE),0,OFFSET(Rame!$A$1,MATCH(H995,Rame!$A:$A,0)-1,MATCH(J995,Rame!$A$1:$AA$1,0)-1))*IF(E995="Rame",1,0),4)</f>
        <v>0</v>
      </c>
      <c r="N995" s="417"/>
      <c r="O995" s="417">
        <f t="shared" ca="1" si="346"/>
        <v>0</v>
      </c>
      <c r="P995" s="417">
        <f ca="1">ROUND(+IF(ISERROR(OFFSET(Tabella!$G$1,MATCH(H995,Tabella!$G:$G,0)-1,MATCH(I995,Tabella!$G$1:$FG$1,0)-1)=TRUE),0,OFFSET(Tabella!$G$1,MATCH(H995,Tabella!$G:$G,0)-1,MATCH(I995,Tabella!$G$1:$AB$1,0)-1)),4)</f>
        <v>0</v>
      </c>
      <c r="Q995" s="417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17">
        <f ca="1">ROUND(IF(ISERROR(OFFSET(Rame!$F$1,MATCH(H995,Rame!$F:$F,0)-1,MATCH(I995,Rame!$F$1:$FF$1,0)-1)=TRUE),0,OFFSET(Rame!$F$1,MATCH(H995,Rame!$F:$F,0)-1,MATCH(I995,Rame!$F$1:$FF$1,0)-1))*IF(E995="Rame",1,0),4)</f>
        <v>0</v>
      </c>
      <c r="S995" s="417">
        <f ca="1">ROUND(IF(ISERROR(OFFSET(Bronzo!$A$1,MATCH(H995,Bronzo!$A:$A,0)-1,MATCH(I995,Bronzo!$A$1:$AA$1,0)-1)=TRUE),0,OFFSET(Bronzo!$A$1,MATCH(H995,Bronzo!$A:$A,0)-1,MATCH(I995,Bronzo!$A$1:$AA$1,0)-1)),4)</f>
        <v>0</v>
      </c>
      <c r="T995" s="417">
        <f t="shared" ca="1" si="370"/>
        <v>0</v>
      </c>
      <c r="U995" s="415"/>
      <c r="V995" s="417">
        <v>0</v>
      </c>
      <c r="W995" s="419">
        <f t="shared" ca="1" si="371"/>
        <v>0</v>
      </c>
      <c r="X995" s="421">
        <f t="shared" si="362"/>
        <v>0</v>
      </c>
      <c r="Y995" s="413"/>
      <c r="Z995" s="413">
        <f t="shared" ca="1" si="372"/>
        <v>0</v>
      </c>
      <c r="AA995" s="408"/>
      <c r="AF995" s="375">
        <f t="shared" ca="1" si="363"/>
        <v>46236</v>
      </c>
      <c r="AG995" s="375" t="b">
        <f t="shared" si="364"/>
        <v>1</v>
      </c>
      <c r="AH995" s="409" t="str">
        <f t="shared" si="365"/>
        <v/>
      </c>
      <c r="AK995">
        <f t="shared" si="366"/>
        <v>0</v>
      </c>
      <c r="AL995">
        <f t="shared" si="367"/>
        <v>1900</v>
      </c>
      <c r="AS995">
        <f t="shared" si="368"/>
        <v>0</v>
      </c>
      <c r="AT995">
        <f t="shared" si="369"/>
        <v>0</v>
      </c>
    </row>
    <row r="996" spans="1:46" customFormat="1" ht="15.75" x14ac:dyDescent="0.25">
      <c r="A996" s="372"/>
      <c r="B996" s="401"/>
      <c r="C996" s="402"/>
      <c r="D996" s="403"/>
      <c r="E996" s="404"/>
      <c r="F996" s="405"/>
      <c r="G996" s="406"/>
      <c r="H996" s="407"/>
      <c r="I996" s="407"/>
      <c r="J996" s="413"/>
      <c r="K996" s="415">
        <f ca="1">ROUND(IF(ISERROR(OFFSET(Tabella!$A$1,MATCH(H996,Tabella!$A:$A,0)-1,MATCH(J996,Tabella!$A$1:$AC$1,0)-1)=TRUE),0,+OFFSET(Tabella!$A$1,MATCH(H996,Tabella!$A:$A,0)-1,MATCH(J996,Tabella!$A$1:$AC$1,0)-1)),4)</f>
        <v>0</v>
      </c>
      <c r="L996" s="417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17">
        <f ca="1">ROUND(IF(ISERROR(OFFSET(Rame!$A$1,MATCH(H996,Rame!$A:$A,0)-1,MATCH(J996,Rame!$A$1:$AA$1,0)-1)=TRUE),0,OFFSET(Rame!$A$1,MATCH(H996,Rame!$A:$A,0)-1,MATCH(J996,Rame!$A$1:$AA$1,0)-1))*IF(E996="Rame",1,0),4)</f>
        <v>0</v>
      </c>
      <c r="N996" s="417"/>
      <c r="O996" s="417">
        <f t="shared" ca="1" si="346"/>
        <v>0</v>
      </c>
      <c r="P996" s="417">
        <f ca="1">ROUND(+IF(ISERROR(OFFSET(Tabella!$G$1,MATCH(H996,Tabella!$G:$G,0)-1,MATCH(I996,Tabella!$G$1:$FG$1,0)-1)=TRUE),0,OFFSET(Tabella!$G$1,MATCH(H996,Tabella!$G:$G,0)-1,MATCH(I996,Tabella!$G$1:$AB$1,0)-1)),4)</f>
        <v>0</v>
      </c>
      <c r="Q996" s="417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17">
        <f ca="1">ROUND(IF(ISERROR(OFFSET(Rame!$F$1,MATCH(H996,Rame!$F:$F,0)-1,MATCH(I996,Rame!$F$1:$FF$1,0)-1)=TRUE),0,OFFSET(Rame!$F$1,MATCH(H996,Rame!$F:$F,0)-1,MATCH(I996,Rame!$F$1:$FF$1,0)-1))*IF(E996="Rame",1,0),4)</f>
        <v>0</v>
      </c>
      <c r="S996" s="417">
        <f ca="1">ROUND(IF(ISERROR(OFFSET(Bronzo!$A$1,MATCH(H996,Bronzo!$A:$A,0)-1,MATCH(I996,Bronzo!$A$1:$AA$1,0)-1)=TRUE),0,OFFSET(Bronzo!$A$1,MATCH(H996,Bronzo!$A:$A,0)-1,MATCH(I996,Bronzo!$A$1:$AA$1,0)-1)),4)</f>
        <v>0</v>
      </c>
      <c r="T996" s="417">
        <f t="shared" ca="1" si="370"/>
        <v>0</v>
      </c>
      <c r="U996" s="415"/>
      <c r="V996" s="417">
        <v>0</v>
      </c>
      <c r="W996" s="419">
        <f t="shared" ca="1" si="371"/>
        <v>0</v>
      </c>
      <c r="X996" s="421">
        <f t="shared" si="362"/>
        <v>0</v>
      </c>
      <c r="Y996" s="413"/>
      <c r="Z996" s="413">
        <f t="shared" ca="1" si="372"/>
        <v>0</v>
      </c>
      <c r="AA996" s="408"/>
      <c r="AF996" s="375">
        <f t="shared" ca="1" si="363"/>
        <v>46236</v>
      </c>
      <c r="AG996" s="375" t="b">
        <f t="shared" si="364"/>
        <v>1</v>
      </c>
      <c r="AH996" s="409" t="str">
        <f t="shared" si="365"/>
        <v/>
      </c>
      <c r="AK996">
        <f t="shared" si="366"/>
        <v>0</v>
      </c>
      <c r="AL996">
        <f t="shared" si="367"/>
        <v>1900</v>
      </c>
      <c r="AS996">
        <f t="shared" si="368"/>
        <v>0</v>
      </c>
      <c r="AT996">
        <f t="shared" si="369"/>
        <v>0</v>
      </c>
    </row>
    <row r="997" spans="1:46" customFormat="1" ht="15.75" x14ac:dyDescent="0.25">
      <c r="A997" s="372"/>
      <c r="B997" s="401"/>
      <c r="C997" s="402"/>
      <c r="D997" s="403"/>
      <c r="E997" s="404"/>
      <c r="F997" s="405"/>
      <c r="G997" s="406"/>
      <c r="H997" s="407"/>
      <c r="I997" s="407"/>
      <c r="J997" s="413"/>
      <c r="K997" s="415">
        <f ca="1">ROUND(IF(ISERROR(OFFSET(Tabella!$A$1,MATCH(H997,Tabella!$A:$A,0)-1,MATCH(J997,Tabella!$A$1:$AC$1,0)-1)=TRUE),0,+OFFSET(Tabella!$A$1,MATCH(H997,Tabella!$A:$A,0)-1,MATCH(J997,Tabella!$A$1:$AC$1,0)-1)),4)</f>
        <v>0</v>
      </c>
      <c r="L997" s="417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17">
        <f ca="1">ROUND(IF(ISERROR(OFFSET(Rame!$A$1,MATCH(H997,Rame!$A:$A,0)-1,MATCH(J997,Rame!$A$1:$AA$1,0)-1)=TRUE),0,OFFSET(Rame!$A$1,MATCH(H997,Rame!$A:$A,0)-1,MATCH(J997,Rame!$A$1:$AA$1,0)-1))*IF(E997="Rame",1,0),4)</f>
        <v>0</v>
      </c>
      <c r="N997" s="417"/>
      <c r="O997" s="417">
        <f t="shared" ca="1" si="346"/>
        <v>0</v>
      </c>
      <c r="P997" s="417">
        <f ca="1">ROUND(+IF(ISERROR(OFFSET(Tabella!$G$1,MATCH(H997,Tabella!$G:$G,0)-1,MATCH(I997,Tabella!$G$1:$FG$1,0)-1)=TRUE),0,OFFSET(Tabella!$G$1,MATCH(H997,Tabella!$G:$G,0)-1,MATCH(I997,Tabella!$G$1:$AB$1,0)-1)),4)</f>
        <v>0</v>
      </c>
      <c r="Q997" s="417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17">
        <f ca="1">ROUND(IF(ISERROR(OFFSET(Rame!$F$1,MATCH(H997,Rame!$F:$F,0)-1,MATCH(I997,Rame!$F$1:$FF$1,0)-1)=TRUE),0,OFFSET(Rame!$F$1,MATCH(H997,Rame!$F:$F,0)-1,MATCH(I997,Rame!$F$1:$FF$1,0)-1))*IF(E997="Rame",1,0),4)</f>
        <v>0</v>
      </c>
      <c r="S997" s="417">
        <f ca="1">ROUND(IF(ISERROR(OFFSET(Bronzo!$A$1,MATCH(H997,Bronzo!$A:$A,0)-1,MATCH(I997,Bronzo!$A$1:$AA$1,0)-1)=TRUE),0,OFFSET(Bronzo!$A$1,MATCH(H997,Bronzo!$A:$A,0)-1,MATCH(I997,Bronzo!$A$1:$AA$1,0)-1)),4)</f>
        <v>0</v>
      </c>
      <c r="T997" s="417">
        <f t="shared" ca="1" si="370"/>
        <v>0</v>
      </c>
      <c r="U997" s="415"/>
      <c r="V997" s="417">
        <v>0</v>
      </c>
      <c r="W997" s="419">
        <f t="shared" ca="1" si="371"/>
        <v>0</v>
      </c>
      <c r="X997" s="421">
        <f t="shared" si="362"/>
        <v>0</v>
      </c>
      <c r="Y997" s="413"/>
      <c r="Z997" s="413">
        <f t="shared" ca="1" si="372"/>
        <v>0</v>
      </c>
      <c r="AA997" s="408"/>
      <c r="AF997" s="375">
        <f t="shared" ca="1" si="363"/>
        <v>46236</v>
      </c>
      <c r="AG997" s="375" t="b">
        <f t="shared" si="364"/>
        <v>1</v>
      </c>
      <c r="AH997" s="409" t="str">
        <f t="shared" si="365"/>
        <v/>
      </c>
      <c r="AK997">
        <f t="shared" si="366"/>
        <v>0</v>
      </c>
      <c r="AL997">
        <f t="shared" si="367"/>
        <v>1900</v>
      </c>
      <c r="AS997">
        <f t="shared" si="368"/>
        <v>0</v>
      </c>
      <c r="AT997">
        <f t="shared" si="369"/>
        <v>0</v>
      </c>
    </row>
    <row r="998" spans="1:46" customFormat="1" ht="15.75" x14ac:dyDescent="0.25">
      <c r="A998" s="372"/>
      <c r="B998" s="401"/>
      <c r="C998" s="402"/>
      <c r="D998" s="403"/>
      <c r="E998" s="404"/>
      <c r="F998" s="405"/>
      <c r="G998" s="406"/>
      <c r="H998" s="407"/>
      <c r="I998" s="407"/>
      <c r="J998" s="413"/>
      <c r="K998" s="415">
        <f ca="1">ROUND(IF(ISERROR(OFFSET(Tabella!$A$1,MATCH(H998,Tabella!$A:$A,0)-1,MATCH(J998,Tabella!$A$1:$AC$1,0)-1)=TRUE),0,+OFFSET(Tabella!$A$1,MATCH(H998,Tabella!$A:$A,0)-1,MATCH(J998,Tabella!$A$1:$AC$1,0)-1)),4)</f>
        <v>0</v>
      </c>
      <c r="L998" s="417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17">
        <f ca="1">ROUND(IF(ISERROR(OFFSET(Rame!$A$1,MATCH(H998,Rame!$A:$A,0)-1,MATCH(J998,Rame!$A$1:$AA$1,0)-1)=TRUE),0,OFFSET(Rame!$A$1,MATCH(H998,Rame!$A:$A,0)-1,MATCH(J998,Rame!$A$1:$AA$1,0)-1))*IF(E998="Rame",1,0),4)</f>
        <v>0</v>
      </c>
      <c r="N998" s="417"/>
      <c r="O998" s="417">
        <f t="shared" ca="1" si="346"/>
        <v>0</v>
      </c>
      <c r="P998" s="417">
        <f ca="1">ROUND(+IF(ISERROR(OFFSET(Tabella!$G$1,MATCH(H998,Tabella!$G:$G,0)-1,MATCH(I998,Tabella!$G$1:$FG$1,0)-1)=TRUE),0,OFFSET(Tabella!$G$1,MATCH(H998,Tabella!$G:$G,0)-1,MATCH(I998,Tabella!$G$1:$AB$1,0)-1)),4)</f>
        <v>0</v>
      </c>
      <c r="Q998" s="417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17">
        <f ca="1">ROUND(IF(ISERROR(OFFSET(Rame!$F$1,MATCH(H998,Rame!$F:$F,0)-1,MATCH(I998,Rame!$F$1:$FF$1,0)-1)=TRUE),0,OFFSET(Rame!$F$1,MATCH(H998,Rame!$F:$F,0)-1,MATCH(I998,Rame!$F$1:$FF$1,0)-1))*IF(E998="Rame",1,0),4)</f>
        <v>0</v>
      </c>
      <c r="S998" s="417">
        <f ca="1">ROUND(IF(ISERROR(OFFSET(Bronzo!$A$1,MATCH(H998,Bronzo!$A:$A,0)-1,MATCH(I998,Bronzo!$A$1:$AA$1,0)-1)=TRUE),0,OFFSET(Bronzo!$A$1,MATCH(H998,Bronzo!$A:$A,0)-1,MATCH(I998,Bronzo!$A$1:$AA$1,0)-1)),4)</f>
        <v>0</v>
      </c>
      <c r="T998" s="417">
        <f t="shared" ca="1" si="370"/>
        <v>0</v>
      </c>
      <c r="U998" s="415"/>
      <c r="V998" s="417">
        <v>0</v>
      </c>
      <c r="W998" s="419">
        <f t="shared" ca="1" si="371"/>
        <v>0</v>
      </c>
      <c r="X998" s="421">
        <f t="shared" si="362"/>
        <v>0</v>
      </c>
      <c r="Y998" s="413"/>
      <c r="Z998" s="413">
        <f t="shared" ca="1" si="372"/>
        <v>0</v>
      </c>
      <c r="AA998" s="408"/>
      <c r="AF998" s="375">
        <f t="shared" ca="1" si="363"/>
        <v>46236</v>
      </c>
      <c r="AG998" s="375" t="b">
        <f t="shared" si="364"/>
        <v>1</v>
      </c>
      <c r="AH998" s="409" t="str">
        <f t="shared" si="365"/>
        <v/>
      </c>
      <c r="AK998">
        <f t="shared" si="366"/>
        <v>0</v>
      </c>
      <c r="AL998">
        <f t="shared" si="367"/>
        <v>1900</v>
      </c>
      <c r="AS998">
        <f t="shared" si="368"/>
        <v>0</v>
      </c>
      <c r="AT998">
        <f t="shared" si="369"/>
        <v>0</v>
      </c>
    </row>
    <row r="999" spans="1:46" customFormat="1" ht="15.75" x14ac:dyDescent="0.25">
      <c r="A999" s="372"/>
      <c r="B999" s="401"/>
      <c r="C999" s="402"/>
      <c r="D999" s="403"/>
      <c r="E999" s="404"/>
      <c r="F999" s="405"/>
      <c r="G999" s="406"/>
      <c r="H999" s="407"/>
      <c r="I999" s="407"/>
      <c r="J999" s="413"/>
      <c r="K999" s="415">
        <f ca="1">ROUND(IF(ISERROR(OFFSET(Tabella!$A$1,MATCH(H999,Tabella!$A:$A,0)-1,MATCH(J999,Tabella!$A$1:$AC$1,0)-1)=TRUE),0,+OFFSET(Tabella!$A$1,MATCH(H999,Tabella!$A:$A,0)-1,MATCH(J999,Tabella!$A$1:$AC$1,0)-1)),4)</f>
        <v>0</v>
      </c>
      <c r="L999" s="417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17">
        <f ca="1">ROUND(IF(ISERROR(OFFSET(Rame!$A$1,MATCH(H999,Rame!$A:$A,0)-1,MATCH(J999,Rame!$A$1:$AA$1,0)-1)=TRUE),0,OFFSET(Rame!$A$1,MATCH(H999,Rame!$A:$A,0)-1,MATCH(J999,Rame!$A$1:$AA$1,0)-1))*IF(E999="Rame",1,0),4)</f>
        <v>0</v>
      </c>
      <c r="N999" s="417"/>
      <c r="O999" s="417">
        <f t="shared" ca="1" si="346"/>
        <v>0</v>
      </c>
      <c r="P999" s="417">
        <f ca="1">ROUND(+IF(ISERROR(OFFSET(Tabella!$G$1,MATCH(H999,Tabella!$G:$G,0)-1,MATCH(I999,Tabella!$G$1:$FG$1,0)-1)=TRUE),0,OFFSET(Tabella!$G$1,MATCH(H999,Tabella!$G:$G,0)-1,MATCH(I999,Tabella!$G$1:$AB$1,0)-1)),4)</f>
        <v>0</v>
      </c>
      <c r="Q999" s="417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17">
        <f ca="1">ROUND(IF(ISERROR(OFFSET(Rame!$F$1,MATCH(H999,Rame!$F:$F,0)-1,MATCH(I999,Rame!$F$1:$FF$1,0)-1)=TRUE),0,OFFSET(Rame!$F$1,MATCH(H999,Rame!$F:$F,0)-1,MATCH(I999,Rame!$F$1:$FF$1,0)-1))*IF(E999="Rame",1,0),4)</f>
        <v>0</v>
      </c>
      <c r="S999" s="417">
        <f ca="1">ROUND(IF(ISERROR(OFFSET(Bronzo!$A$1,MATCH(H999,Bronzo!$A:$A,0)-1,MATCH(I999,Bronzo!$A$1:$AA$1,0)-1)=TRUE),0,OFFSET(Bronzo!$A$1,MATCH(H999,Bronzo!$A:$A,0)-1,MATCH(I999,Bronzo!$A$1:$AA$1,0)-1)),4)</f>
        <v>0</v>
      </c>
      <c r="T999" s="417">
        <f t="shared" ca="1" si="370"/>
        <v>0</v>
      </c>
      <c r="U999" s="415"/>
      <c r="V999" s="417">
        <v>0</v>
      </c>
      <c r="W999" s="419">
        <f t="shared" ca="1" si="371"/>
        <v>0</v>
      </c>
      <c r="X999" s="421">
        <f t="shared" si="362"/>
        <v>0</v>
      </c>
      <c r="Y999" s="413"/>
      <c r="Z999" s="413">
        <f t="shared" ca="1" si="372"/>
        <v>0</v>
      </c>
      <c r="AA999" s="408"/>
      <c r="AF999" s="375">
        <f t="shared" ca="1" si="363"/>
        <v>46236</v>
      </c>
      <c r="AG999" s="375" t="b">
        <f t="shared" si="364"/>
        <v>1</v>
      </c>
      <c r="AH999" s="409" t="str">
        <f t="shared" si="365"/>
        <v/>
      </c>
      <c r="AK999">
        <f t="shared" si="366"/>
        <v>0</v>
      </c>
      <c r="AL999">
        <f t="shared" si="367"/>
        <v>1900</v>
      </c>
      <c r="AS999">
        <f t="shared" si="368"/>
        <v>0</v>
      </c>
      <c r="AT999">
        <f t="shared" si="369"/>
        <v>0</v>
      </c>
    </row>
    <row r="1000" spans="1:46" customFormat="1" ht="15.75" x14ac:dyDescent="0.25">
      <c r="A1000" s="372"/>
      <c r="B1000" s="401"/>
      <c r="C1000" s="402"/>
      <c r="D1000" s="403"/>
      <c r="E1000" s="404"/>
      <c r="F1000" s="405"/>
      <c r="G1000" s="406"/>
      <c r="H1000" s="407"/>
      <c r="I1000" s="407"/>
      <c r="J1000" s="413"/>
      <c r="K1000" s="415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17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17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17"/>
      <c r="O1000" s="417">
        <f t="shared" ca="1" si="346"/>
        <v>0</v>
      </c>
      <c r="P1000" s="417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17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17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17">
        <f ca="1">ROUND(IF(ISERROR(OFFSET(Bronzo!$A$1,MATCH(H1000,Bronzo!$A:$A,0)-1,MATCH(I1000,Bronzo!$A$1:$AA$1,0)-1)=TRUE),0,OFFSET(Bronzo!$A$1,MATCH(H1000,Bronzo!$A:$A,0)-1,MATCH(I1000,Bronzo!$A$1:$AA$1,0)-1)),4)</f>
        <v>0</v>
      </c>
      <c r="T1000" s="417">
        <f t="shared" ca="1" si="370"/>
        <v>0</v>
      </c>
      <c r="U1000" s="415"/>
      <c r="V1000" s="417">
        <v>0</v>
      </c>
      <c r="W1000" s="419">
        <f t="shared" ca="1" si="371"/>
        <v>0</v>
      </c>
      <c r="X1000" s="421">
        <f t="shared" si="362"/>
        <v>0</v>
      </c>
      <c r="Y1000" s="413"/>
      <c r="Z1000" s="413">
        <f t="shared" ca="1" si="372"/>
        <v>0</v>
      </c>
      <c r="AA1000" s="408"/>
      <c r="AF1000" s="375">
        <f t="shared" ca="1" si="363"/>
        <v>46236</v>
      </c>
      <c r="AG1000" s="375" t="b">
        <f t="shared" si="364"/>
        <v>1</v>
      </c>
      <c r="AH1000" s="409" t="str">
        <f t="shared" si="365"/>
        <v/>
      </c>
      <c r="AK1000">
        <f t="shared" si="366"/>
        <v>0</v>
      </c>
      <c r="AL1000">
        <f t="shared" si="367"/>
        <v>1900</v>
      </c>
      <c r="AS1000">
        <f t="shared" si="368"/>
        <v>0</v>
      </c>
      <c r="AT1000">
        <f t="shared" si="369"/>
        <v>0</v>
      </c>
    </row>
    <row r="1001" spans="1:46" customFormat="1" ht="15.75" x14ac:dyDescent="0.25">
      <c r="A1001" s="372"/>
      <c r="B1001" s="401"/>
      <c r="C1001" s="402"/>
      <c r="D1001" s="403"/>
      <c r="E1001" s="404"/>
      <c r="F1001" s="405"/>
      <c r="G1001" s="406"/>
      <c r="H1001" s="407"/>
      <c r="I1001" s="407"/>
      <c r="J1001" s="413"/>
      <c r="K1001" s="415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17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17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17"/>
      <c r="O1001" s="417">
        <f t="shared" ca="1" si="346"/>
        <v>0</v>
      </c>
      <c r="P1001" s="417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17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17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17">
        <f ca="1">ROUND(IF(ISERROR(OFFSET(Bronzo!$A$1,MATCH(H1001,Bronzo!$A:$A,0)-1,MATCH(I1001,Bronzo!$A$1:$AA$1,0)-1)=TRUE),0,OFFSET(Bronzo!$A$1,MATCH(H1001,Bronzo!$A:$A,0)-1,MATCH(I1001,Bronzo!$A$1:$AA$1,0)-1)),4)</f>
        <v>0</v>
      </c>
      <c r="T1001" s="417">
        <f t="shared" ca="1" si="370"/>
        <v>0</v>
      </c>
      <c r="U1001" s="415"/>
      <c r="V1001" s="417">
        <v>0</v>
      </c>
      <c r="W1001" s="419">
        <f t="shared" ca="1" si="371"/>
        <v>0</v>
      </c>
      <c r="X1001" s="421">
        <f t="shared" si="362"/>
        <v>0</v>
      </c>
      <c r="Y1001" s="413"/>
      <c r="Z1001" s="413">
        <f t="shared" ca="1" si="372"/>
        <v>0</v>
      </c>
      <c r="AA1001" s="408"/>
      <c r="AF1001" s="375">
        <f t="shared" ca="1" si="363"/>
        <v>46236</v>
      </c>
      <c r="AG1001" s="375" t="b">
        <f t="shared" si="364"/>
        <v>1</v>
      </c>
      <c r="AH1001" s="409" t="str">
        <f t="shared" si="365"/>
        <v/>
      </c>
      <c r="AK1001">
        <f t="shared" si="366"/>
        <v>0</v>
      </c>
      <c r="AL1001">
        <f t="shared" si="367"/>
        <v>1900</v>
      </c>
      <c r="AS1001">
        <f t="shared" si="368"/>
        <v>0</v>
      </c>
      <c r="AT1001">
        <f t="shared" si="369"/>
        <v>0</v>
      </c>
    </row>
    <row r="1002" spans="1:46" customFormat="1" ht="15.75" x14ac:dyDescent="0.25">
      <c r="A1002" s="372"/>
      <c r="B1002" s="401"/>
      <c r="C1002" s="402"/>
      <c r="D1002" s="403"/>
      <c r="E1002" s="404"/>
      <c r="F1002" s="405"/>
      <c r="G1002" s="406"/>
      <c r="H1002" s="407"/>
      <c r="I1002" s="407"/>
      <c r="J1002" s="413"/>
      <c r="K1002" s="415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17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17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17"/>
      <c r="O1002" s="417">
        <f t="shared" ca="1" si="346"/>
        <v>0</v>
      </c>
      <c r="P1002" s="417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17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17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17">
        <f ca="1">ROUND(IF(ISERROR(OFFSET(Bronzo!$A$1,MATCH(H1002,Bronzo!$A:$A,0)-1,MATCH(I1002,Bronzo!$A$1:$AA$1,0)-1)=TRUE),0,OFFSET(Bronzo!$A$1,MATCH(H1002,Bronzo!$A:$A,0)-1,MATCH(I1002,Bronzo!$A$1:$AA$1,0)-1)),4)</f>
        <v>0</v>
      </c>
      <c r="T1002" s="417">
        <f t="shared" ca="1" si="370"/>
        <v>0</v>
      </c>
      <c r="U1002" s="415"/>
      <c r="V1002" s="417">
        <v>0</v>
      </c>
      <c r="W1002" s="419">
        <f t="shared" ca="1" si="371"/>
        <v>0</v>
      </c>
      <c r="X1002" s="421">
        <f t="shared" si="362"/>
        <v>0</v>
      </c>
      <c r="Y1002" s="413"/>
      <c r="Z1002" s="413">
        <f t="shared" ca="1" si="372"/>
        <v>0</v>
      </c>
      <c r="AA1002" s="408"/>
      <c r="AF1002" s="375">
        <f t="shared" ca="1" si="363"/>
        <v>46236</v>
      </c>
      <c r="AG1002" s="375" t="b">
        <f t="shared" si="364"/>
        <v>1</v>
      </c>
      <c r="AH1002" s="409" t="str">
        <f t="shared" si="365"/>
        <v/>
      </c>
      <c r="AK1002">
        <f t="shared" si="366"/>
        <v>0</v>
      </c>
      <c r="AL1002">
        <f t="shared" si="367"/>
        <v>1900</v>
      </c>
      <c r="AS1002">
        <f t="shared" si="368"/>
        <v>0</v>
      </c>
      <c r="AT1002">
        <f t="shared" si="369"/>
        <v>0</v>
      </c>
    </row>
    <row r="1003" spans="1:46" customFormat="1" ht="15.75" x14ac:dyDescent="0.25">
      <c r="A1003" s="372"/>
      <c r="B1003" s="401"/>
      <c r="C1003" s="402"/>
      <c r="D1003" s="403"/>
      <c r="E1003" s="404"/>
      <c r="F1003" s="405"/>
      <c r="G1003" s="406"/>
      <c r="H1003" s="407"/>
      <c r="I1003" s="407"/>
      <c r="J1003" s="413"/>
      <c r="K1003" s="415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17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17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17"/>
      <c r="O1003" s="417">
        <f t="shared" ca="1" si="346"/>
        <v>0</v>
      </c>
      <c r="P1003" s="417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17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17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17">
        <f ca="1">ROUND(IF(ISERROR(OFFSET(Bronzo!$A$1,MATCH(H1003,Bronzo!$A:$A,0)-1,MATCH(I1003,Bronzo!$A$1:$AA$1,0)-1)=TRUE),0,OFFSET(Bronzo!$A$1,MATCH(H1003,Bronzo!$A:$A,0)-1,MATCH(I1003,Bronzo!$A$1:$AA$1,0)-1)),4)</f>
        <v>0</v>
      </c>
      <c r="T1003" s="417">
        <f t="shared" ca="1" si="370"/>
        <v>0</v>
      </c>
      <c r="U1003" s="415"/>
      <c r="V1003" s="417">
        <v>0</v>
      </c>
      <c r="W1003" s="419">
        <f t="shared" ca="1" si="371"/>
        <v>0</v>
      </c>
      <c r="X1003" s="421">
        <f t="shared" si="362"/>
        <v>0</v>
      </c>
      <c r="Y1003" s="413"/>
      <c r="Z1003" s="413">
        <f t="shared" ca="1" si="372"/>
        <v>0</v>
      </c>
      <c r="AA1003" s="408"/>
      <c r="AF1003" s="375">
        <f t="shared" ca="1" si="363"/>
        <v>46236</v>
      </c>
      <c r="AG1003" s="375" t="b">
        <f t="shared" si="364"/>
        <v>1</v>
      </c>
      <c r="AH1003" s="409" t="str">
        <f t="shared" si="365"/>
        <v/>
      </c>
      <c r="AK1003">
        <f t="shared" si="366"/>
        <v>0</v>
      </c>
      <c r="AL1003">
        <f t="shared" si="367"/>
        <v>1900</v>
      </c>
      <c r="AS1003">
        <f t="shared" si="368"/>
        <v>0</v>
      </c>
      <c r="AT1003">
        <f t="shared" si="369"/>
        <v>0</v>
      </c>
    </row>
    <row r="1004" spans="1:46" customFormat="1" ht="15.75" x14ac:dyDescent="0.25">
      <c r="A1004" s="372"/>
      <c r="B1004" s="401"/>
      <c r="C1004" s="402"/>
      <c r="D1004" s="403"/>
      <c r="E1004" s="404"/>
      <c r="F1004" s="405"/>
      <c r="G1004" s="406"/>
      <c r="H1004" s="407"/>
      <c r="I1004" s="407"/>
      <c r="J1004" s="413"/>
      <c r="K1004" s="415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17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17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17"/>
      <c r="O1004" s="417">
        <f t="shared" ca="1" si="346"/>
        <v>0</v>
      </c>
      <c r="P1004" s="417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17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17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17">
        <f ca="1">ROUND(IF(ISERROR(OFFSET(Bronzo!$A$1,MATCH(H1004,Bronzo!$A:$A,0)-1,MATCH(I1004,Bronzo!$A$1:$AA$1,0)-1)=TRUE),0,OFFSET(Bronzo!$A$1,MATCH(H1004,Bronzo!$A:$A,0)-1,MATCH(I1004,Bronzo!$A$1:$AA$1,0)-1)),4)</f>
        <v>0</v>
      </c>
      <c r="T1004" s="417">
        <f t="shared" ca="1" si="370"/>
        <v>0</v>
      </c>
      <c r="U1004" s="415"/>
      <c r="V1004" s="417">
        <v>0</v>
      </c>
      <c r="W1004" s="419">
        <f t="shared" ca="1" si="371"/>
        <v>0</v>
      </c>
      <c r="X1004" s="421">
        <f t="shared" si="362"/>
        <v>0</v>
      </c>
      <c r="Y1004" s="413"/>
      <c r="Z1004" s="413">
        <f t="shared" ca="1" si="372"/>
        <v>0</v>
      </c>
      <c r="AA1004" s="408"/>
      <c r="AF1004" s="375">
        <f t="shared" ca="1" si="363"/>
        <v>46236</v>
      </c>
      <c r="AG1004" s="375" t="b">
        <f t="shared" si="364"/>
        <v>1</v>
      </c>
      <c r="AH1004" s="409" t="str">
        <f t="shared" si="365"/>
        <v/>
      </c>
      <c r="AK1004">
        <f t="shared" si="366"/>
        <v>0</v>
      </c>
      <c r="AL1004">
        <f t="shared" si="367"/>
        <v>1900</v>
      </c>
      <c r="AS1004">
        <f t="shared" si="368"/>
        <v>0</v>
      </c>
      <c r="AT1004">
        <f t="shared" si="369"/>
        <v>0</v>
      </c>
    </row>
    <row r="1005" spans="1:46" customFormat="1" ht="15.75" x14ac:dyDescent="0.25">
      <c r="A1005" s="372"/>
      <c r="B1005" s="401"/>
      <c r="C1005" s="402"/>
      <c r="D1005" s="403"/>
      <c r="E1005" s="404"/>
      <c r="F1005" s="405"/>
      <c r="G1005" s="406"/>
      <c r="H1005" s="407"/>
      <c r="I1005" s="407"/>
      <c r="J1005" s="413"/>
      <c r="K1005" s="415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17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17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17"/>
      <c r="O1005" s="417">
        <f t="shared" ca="1" si="346"/>
        <v>0</v>
      </c>
      <c r="P1005" s="417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17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17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17">
        <f ca="1">ROUND(IF(ISERROR(OFFSET(Bronzo!$A$1,MATCH(H1005,Bronzo!$A:$A,0)-1,MATCH(I1005,Bronzo!$A$1:$AA$1,0)-1)=TRUE),0,OFFSET(Bronzo!$A$1,MATCH(H1005,Bronzo!$A:$A,0)-1,MATCH(I1005,Bronzo!$A$1:$AA$1,0)-1)),4)</f>
        <v>0</v>
      </c>
      <c r="T1005" s="417">
        <f t="shared" ca="1" si="370"/>
        <v>0</v>
      </c>
      <c r="U1005" s="415"/>
      <c r="V1005" s="417">
        <v>0</v>
      </c>
      <c r="W1005" s="419">
        <f t="shared" ca="1" si="371"/>
        <v>0</v>
      </c>
      <c r="X1005" s="421">
        <f t="shared" si="362"/>
        <v>0</v>
      </c>
      <c r="Y1005" s="413"/>
      <c r="Z1005" s="413">
        <f t="shared" ca="1" si="372"/>
        <v>0</v>
      </c>
      <c r="AA1005" s="408"/>
      <c r="AF1005" s="375">
        <f t="shared" ca="1" si="363"/>
        <v>46236</v>
      </c>
      <c r="AG1005" s="375" t="b">
        <f t="shared" si="364"/>
        <v>1</v>
      </c>
      <c r="AH1005" s="409" t="str">
        <f t="shared" si="365"/>
        <v/>
      </c>
      <c r="AK1005">
        <f t="shared" si="366"/>
        <v>0</v>
      </c>
      <c r="AL1005">
        <f t="shared" si="367"/>
        <v>1900</v>
      </c>
      <c r="AS1005">
        <f t="shared" si="368"/>
        <v>0</v>
      </c>
      <c r="AT1005">
        <f t="shared" si="369"/>
        <v>0</v>
      </c>
    </row>
    <row r="1006" spans="1:46" customFormat="1" ht="15.75" x14ac:dyDescent="0.25">
      <c r="A1006" s="372"/>
      <c r="B1006" s="401"/>
      <c r="C1006" s="402"/>
      <c r="D1006" s="403"/>
      <c r="E1006" s="404"/>
      <c r="F1006" s="405"/>
      <c r="G1006" s="406"/>
      <c r="H1006" s="407"/>
      <c r="I1006" s="407"/>
      <c r="J1006" s="413"/>
      <c r="K1006" s="415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17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17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17"/>
      <c r="O1006" s="417">
        <f t="shared" ca="1" si="346"/>
        <v>0</v>
      </c>
      <c r="P1006" s="417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17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17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17">
        <f ca="1">ROUND(IF(ISERROR(OFFSET(Bronzo!$A$1,MATCH(H1006,Bronzo!$A:$A,0)-1,MATCH(I1006,Bronzo!$A$1:$AA$1,0)-1)=TRUE),0,OFFSET(Bronzo!$A$1,MATCH(H1006,Bronzo!$A:$A,0)-1,MATCH(I1006,Bronzo!$A$1:$AA$1,0)-1)),4)</f>
        <v>0</v>
      </c>
      <c r="T1006" s="417">
        <f t="shared" ca="1" si="370"/>
        <v>0</v>
      </c>
      <c r="U1006" s="415"/>
      <c r="V1006" s="417">
        <v>0</v>
      </c>
      <c r="W1006" s="419">
        <f t="shared" ca="1" si="371"/>
        <v>0</v>
      </c>
      <c r="X1006" s="421">
        <f t="shared" si="362"/>
        <v>0</v>
      </c>
      <c r="Y1006" s="413"/>
      <c r="Z1006" s="413">
        <f t="shared" ca="1" si="372"/>
        <v>0</v>
      </c>
      <c r="AA1006" s="408"/>
      <c r="AF1006" s="375">
        <f t="shared" ca="1" si="363"/>
        <v>46236</v>
      </c>
      <c r="AG1006" s="375" t="b">
        <f t="shared" si="364"/>
        <v>1</v>
      </c>
      <c r="AH1006" s="409" t="str">
        <f t="shared" si="365"/>
        <v/>
      </c>
      <c r="AK1006">
        <f t="shared" si="366"/>
        <v>0</v>
      </c>
      <c r="AL1006">
        <f t="shared" si="367"/>
        <v>1900</v>
      </c>
      <c r="AS1006">
        <f t="shared" si="368"/>
        <v>0</v>
      </c>
      <c r="AT1006">
        <f t="shared" si="369"/>
        <v>0</v>
      </c>
    </row>
    <row r="1007" spans="1:46" customFormat="1" ht="15.75" x14ac:dyDescent="0.25">
      <c r="A1007" s="372"/>
      <c r="B1007" s="401"/>
      <c r="C1007" s="402"/>
      <c r="D1007" s="403"/>
      <c r="E1007" s="404"/>
      <c r="F1007" s="405"/>
      <c r="G1007" s="406"/>
      <c r="H1007" s="407"/>
      <c r="I1007" s="407"/>
      <c r="J1007" s="413"/>
      <c r="K1007" s="415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17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17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17"/>
      <c r="O1007" s="417">
        <f t="shared" ca="1" si="346"/>
        <v>0</v>
      </c>
      <c r="P1007" s="417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17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17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17">
        <f ca="1">ROUND(IF(ISERROR(OFFSET(Bronzo!$A$1,MATCH(H1007,Bronzo!$A:$A,0)-1,MATCH(I1007,Bronzo!$A$1:$AA$1,0)-1)=TRUE),0,OFFSET(Bronzo!$A$1,MATCH(H1007,Bronzo!$A:$A,0)-1,MATCH(I1007,Bronzo!$A$1:$AA$1,0)-1)),4)</f>
        <v>0</v>
      </c>
      <c r="T1007" s="417">
        <f t="shared" ca="1" si="370"/>
        <v>0</v>
      </c>
      <c r="U1007" s="415"/>
      <c r="V1007" s="417">
        <v>0</v>
      </c>
      <c r="W1007" s="419">
        <f t="shared" ca="1" si="371"/>
        <v>0</v>
      </c>
      <c r="X1007" s="421">
        <f t="shared" si="362"/>
        <v>0</v>
      </c>
      <c r="Y1007" s="413"/>
      <c r="Z1007" s="413">
        <f t="shared" ca="1" si="372"/>
        <v>0</v>
      </c>
      <c r="AA1007" s="408"/>
      <c r="AF1007" s="375">
        <f t="shared" ca="1" si="363"/>
        <v>46236</v>
      </c>
      <c r="AG1007" s="375" t="b">
        <f t="shared" si="364"/>
        <v>1</v>
      </c>
      <c r="AH1007" s="409" t="str">
        <f t="shared" si="365"/>
        <v/>
      </c>
      <c r="AK1007">
        <f t="shared" si="366"/>
        <v>0</v>
      </c>
      <c r="AL1007">
        <f t="shared" si="367"/>
        <v>1900</v>
      </c>
      <c r="AS1007">
        <f t="shared" si="368"/>
        <v>0</v>
      </c>
      <c r="AT1007">
        <f t="shared" si="369"/>
        <v>0</v>
      </c>
    </row>
    <row r="1008" spans="1:46" customFormat="1" ht="15.75" x14ac:dyDescent="0.25">
      <c r="A1008" s="372"/>
      <c r="B1008" s="401"/>
      <c r="C1008" s="402"/>
      <c r="D1008" s="403"/>
      <c r="E1008" s="404"/>
      <c r="F1008" s="405"/>
      <c r="G1008" s="406"/>
      <c r="H1008" s="407"/>
      <c r="I1008" s="407"/>
      <c r="J1008" s="413"/>
      <c r="K1008" s="415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17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17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17"/>
      <c r="O1008" s="417">
        <f t="shared" ca="1" si="346"/>
        <v>0</v>
      </c>
      <c r="P1008" s="417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17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17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17">
        <f ca="1">ROUND(IF(ISERROR(OFFSET(Bronzo!$A$1,MATCH(H1008,Bronzo!$A:$A,0)-1,MATCH(I1008,Bronzo!$A$1:$AA$1,0)-1)=TRUE),0,OFFSET(Bronzo!$A$1,MATCH(H1008,Bronzo!$A:$A,0)-1,MATCH(I1008,Bronzo!$A$1:$AA$1,0)-1)),4)</f>
        <v>0</v>
      </c>
      <c r="T1008" s="417">
        <f t="shared" ca="1" si="370"/>
        <v>0</v>
      </c>
      <c r="U1008" s="415"/>
      <c r="V1008" s="417">
        <v>0</v>
      </c>
      <c r="W1008" s="419">
        <f t="shared" ca="1" si="371"/>
        <v>0</v>
      </c>
      <c r="X1008" s="421">
        <f t="shared" si="362"/>
        <v>0</v>
      </c>
      <c r="Y1008" s="413"/>
      <c r="Z1008" s="413">
        <f t="shared" ca="1" si="372"/>
        <v>0</v>
      </c>
      <c r="AA1008" s="408"/>
      <c r="AF1008" s="375">
        <f t="shared" ca="1" si="363"/>
        <v>46236</v>
      </c>
      <c r="AG1008" s="375" t="b">
        <f t="shared" si="364"/>
        <v>1</v>
      </c>
      <c r="AH1008" s="409" t="str">
        <f t="shared" si="365"/>
        <v/>
      </c>
      <c r="AK1008">
        <f t="shared" si="366"/>
        <v>0</v>
      </c>
      <c r="AL1008">
        <f t="shared" si="367"/>
        <v>1900</v>
      </c>
      <c r="AS1008">
        <f t="shared" si="368"/>
        <v>0</v>
      </c>
      <c r="AT1008">
        <f t="shared" si="369"/>
        <v>0</v>
      </c>
    </row>
    <row r="1009" spans="1:46" customFormat="1" ht="15.75" x14ac:dyDescent="0.25">
      <c r="A1009" s="372"/>
      <c r="B1009" s="401"/>
      <c r="C1009" s="402"/>
      <c r="D1009" s="403"/>
      <c r="E1009" s="404"/>
      <c r="F1009" s="405"/>
      <c r="G1009" s="406"/>
      <c r="H1009" s="407"/>
      <c r="I1009" s="407"/>
      <c r="J1009" s="413"/>
      <c r="K1009" s="415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17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17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17"/>
      <c r="O1009" s="417">
        <f t="shared" ca="1" si="346"/>
        <v>0</v>
      </c>
      <c r="P1009" s="417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17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17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17">
        <f ca="1">ROUND(IF(ISERROR(OFFSET(Bronzo!$A$1,MATCH(H1009,Bronzo!$A:$A,0)-1,MATCH(I1009,Bronzo!$A$1:$AA$1,0)-1)=TRUE),0,OFFSET(Bronzo!$A$1,MATCH(H1009,Bronzo!$A:$A,0)-1,MATCH(I1009,Bronzo!$A$1:$AA$1,0)-1)),4)</f>
        <v>0</v>
      </c>
      <c r="T1009" s="417">
        <f t="shared" ca="1" si="370"/>
        <v>0</v>
      </c>
      <c r="U1009" s="415"/>
      <c r="V1009" s="417">
        <v>0</v>
      </c>
      <c r="W1009" s="419">
        <f t="shared" ca="1" si="371"/>
        <v>0</v>
      </c>
      <c r="X1009" s="421">
        <f t="shared" si="362"/>
        <v>0</v>
      </c>
      <c r="Y1009" s="413"/>
      <c r="Z1009" s="413">
        <f t="shared" ca="1" si="372"/>
        <v>0</v>
      </c>
      <c r="AA1009" s="408"/>
      <c r="AF1009" s="375">
        <f t="shared" ca="1" si="363"/>
        <v>46236</v>
      </c>
      <c r="AG1009" s="375" t="b">
        <f t="shared" si="364"/>
        <v>1</v>
      </c>
      <c r="AH1009" s="409" t="str">
        <f t="shared" si="365"/>
        <v/>
      </c>
      <c r="AK1009">
        <f t="shared" si="366"/>
        <v>0</v>
      </c>
      <c r="AL1009">
        <f t="shared" si="367"/>
        <v>1900</v>
      </c>
      <c r="AS1009">
        <f t="shared" si="368"/>
        <v>0</v>
      </c>
      <c r="AT1009">
        <f t="shared" si="369"/>
        <v>0</v>
      </c>
    </row>
    <row r="1010" spans="1:46" customFormat="1" ht="15.75" x14ac:dyDescent="0.25">
      <c r="A1010" s="372"/>
      <c r="B1010" s="401"/>
      <c r="C1010" s="402"/>
      <c r="D1010" s="403"/>
      <c r="E1010" s="404"/>
      <c r="F1010" s="405"/>
      <c r="G1010" s="406"/>
      <c r="H1010" s="407"/>
      <c r="I1010" s="407"/>
      <c r="J1010" s="413"/>
      <c r="K1010" s="415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17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17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17"/>
      <c r="O1010" s="417">
        <f t="shared" ca="1" si="346"/>
        <v>0</v>
      </c>
      <c r="P1010" s="417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17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17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17">
        <f ca="1">ROUND(IF(ISERROR(OFFSET(Bronzo!$A$1,MATCH(H1010,Bronzo!$A:$A,0)-1,MATCH(I1010,Bronzo!$A$1:$AA$1,0)-1)=TRUE),0,OFFSET(Bronzo!$A$1,MATCH(H1010,Bronzo!$A:$A,0)-1,MATCH(I1010,Bronzo!$A$1:$AA$1,0)-1)),4)</f>
        <v>0</v>
      </c>
      <c r="T1010" s="417">
        <f t="shared" ca="1" si="370"/>
        <v>0</v>
      </c>
      <c r="U1010" s="415"/>
      <c r="V1010" s="417">
        <v>0</v>
      </c>
      <c r="W1010" s="419">
        <f t="shared" ca="1" si="371"/>
        <v>0</v>
      </c>
      <c r="X1010" s="421">
        <f t="shared" si="362"/>
        <v>0</v>
      </c>
      <c r="Y1010" s="413"/>
      <c r="Z1010" s="413">
        <f t="shared" ca="1" si="372"/>
        <v>0</v>
      </c>
      <c r="AA1010" s="408"/>
      <c r="AF1010" s="375">
        <f t="shared" ca="1" si="363"/>
        <v>46236</v>
      </c>
      <c r="AG1010" s="375" t="b">
        <f t="shared" si="364"/>
        <v>1</v>
      </c>
      <c r="AH1010" s="409" t="str">
        <f t="shared" si="365"/>
        <v/>
      </c>
      <c r="AK1010">
        <f t="shared" si="366"/>
        <v>0</v>
      </c>
      <c r="AL1010">
        <f t="shared" si="367"/>
        <v>1900</v>
      </c>
      <c r="AS1010">
        <f t="shared" si="368"/>
        <v>0</v>
      </c>
      <c r="AT1010">
        <f t="shared" si="369"/>
        <v>0</v>
      </c>
    </row>
    <row r="1011" spans="1:46" customFormat="1" ht="15.75" x14ac:dyDescent="0.25">
      <c r="A1011" s="372"/>
      <c r="B1011" s="401"/>
      <c r="C1011" s="402"/>
      <c r="D1011" s="403"/>
      <c r="E1011" s="404"/>
      <c r="F1011" s="405"/>
      <c r="G1011" s="406"/>
      <c r="H1011" s="407"/>
      <c r="I1011" s="407"/>
      <c r="J1011" s="413"/>
      <c r="K1011" s="415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17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17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17"/>
      <c r="O1011" s="417">
        <f t="shared" ref="O1011:O1074" ca="1" si="373">ROUND(SUM(K1011:N1011),4)</f>
        <v>0</v>
      </c>
      <c r="P1011" s="417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17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17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17">
        <f ca="1">ROUND(IF(ISERROR(OFFSET(Bronzo!$A$1,MATCH(H1011,Bronzo!$A:$A,0)-1,MATCH(I1011,Bronzo!$A$1:$AA$1,0)-1)=TRUE),0,OFFSET(Bronzo!$A$1,MATCH(H1011,Bronzo!$A:$A,0)-1,MATCH(I1011,Bronzo!$A$1:$AA$1,0)-1)),4)</f>
        <v>0</v>
      </c>
      <c r="T1011" s="417">
        <f t="shared" ca="1" si="370"/>
        <v>0</v>
      </c>
      <c r="U1011" s="415"/>
      <c r="V1011" s="417">
        <v>0</v>
      </c>
      <c r="W1011" s="419">
        <f t="shared" ca="1" si="371"/>
        <v>0</v>
      </c>
      <c r="X1011" s="421">
        <f t="shared" si="362"/>
        <v>0</v>
      </c>
      <c r="Y1011" s="413"/>
      <c r="Z1011" s="413">
        <f t="shared" ca="1" si="372"/>
        <v>0</v>
      </c>
      <c r="AA1011" s="408"/>
      <c r="AF1011" s="375">
        <f t="shared" ca="1" si="363"/>
        <v>46236</v>
      </c>
      <c r="AG1011" s="375" t="b">
        <f t="shared" si="364"/>
        <v>1</v>
      </c>
      <c r="AH1011" s="409" t="str">
        <f t="shared" si="365"/>
        <v/>
      </c>
      <c r="AK1011">
        <f t="shared" si="366"/>
        <v>0</v>
      </c>
      <c r="AL1011">
        <f t="shared" si="367"/>
        <v>1900</v>
      </c>
      <c r="AS1011">
        <f t="shared" si="368"/>
        <v>0</v>
      </c>
      <c r="AT1011">
        <f t="shared" si="369"/>
        <v>0</v>
      </c>
    </row>
    <row r="1012" spans="1:46" customFormat="1" ht="15.75" x14ac:dyDescent="0.25">
      <c r="A1012" s="372"/>
      <c r="B1012" s="401"/>
      <c r="C1012" s="402"/>
      <c r="D1012" s="403"/>
      <c r="E1012" s="404"/>
      <c r="F1012" s="405"/>
      <c r="G1012" s="406"/>
      <c r="H1012" s="407"/>
      <c r="I1012" s="407"/>
      <c r="J1012" s="413"/>
      <c r="K1012" s="415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17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17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17"/>
      <c r="O1012" s="417">
        <f t="shared" ca="1" si="373"/>
        <v>0</v>
      </c>
      <c r="P1012" s="417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17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17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17">
        <f ca="1">ROUND(IF(ISERROR(OFFSET(Bronzo!$A$1,MATCH(H1012,Bronzo!$A:$A,0)-1,MATCH(I1012,Bronzo!$A$1:$AA$1,0)-1)=TRUE),0,OFFSET(Bronzo!$A$1,MATCH(H1012,Bronzo!$A:$A,0)-1,MATCH(I1012,Bronzo!$A$1:$AA$1,0)-1)),4)</f>
        <v>0</v>
      </c>
      <c r="T1012" s="417">
        <f t="shared" ca="1" si="370"/>
        <v>0</v>
      </c>
      <c r="U1012" s="415"/>
      <c r="V1012" s="417">
        <v>0</v>
      </c>
      <c r="W1012" s="419">
        <f t="shared" ca="1" si="371"/>
        <v>0</v>
      </c>
      <c r="X1012" s="421">
        <f t="shared" si="362"/>
        <v>0</v>
      </c>
      <c r="Y1012" s="413"/>
      <c r="Z1012" s="413">
        <f t="shared" ca="1" si="372"/>
        <v>0</v>
      </c>
      <c r="AA1012" s="408"/>
      <c r="AF1012" s="375">
        <f t="shared" ca="1" si="363"/>
        <v>46236</v>
      </c>
      <c r="AG1012" s="375" t="b">
        <f t="shared" si="364"/>
        <v>1</v>
      </c>
      <c r="AH1012" s="409" t="str">
        <f t="shared" si="365"/>
        <v/>
      </c>
      <c r="AK1012">
        <f t="shared" si="366"/>
        <v>0</v>
      </c>
      <c r="AL1012">
        <f t="shared" si="367"/>
        <v>1900</v>
      </c>
      <c r="AS1012">
        <f t="shared" si="368"/>
        <v>0</v>
      </c>
      <c r="AT1012">
        <f t="shared" si="369"/>
        <v>0</v>
      </c>
    </row>
    <row r="1013" spans="1:46" customFormat="1" ht="15.75" x14ac:dyDescent="0.25">
      <c r="A1013" s="372"/>
      <c r="B1013" s="401"/>
      <c r="C1013" s="402"/>
      <c r="D1013" s="403"/>
      <c r="E1013" s="404"/>
      <c r="F1013" s="405"/>
      <c r="G1013" s="406"/>
      <c r="H1013" s="407"/>
      <c r="I1013" s="407"/>
      <c r="J1013" s="413"/>
      <c r="K1013" s="415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17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17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17"/>
      <c r="O1013" s="417">
        <f t="shared" ca="1" si="373"/>
        <v>0</v>
      </c>
      <c r="P1013" s="417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17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17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17">
        <f ca="1">ROUND(IF(ISERROR(OFFSET(Bronzo!$A$1,MATCH(H1013,Bronzo!$A:$A,0)-1,MATCH(I1013,Bronzo!$A$1:$AA$1,0)-1)=TRUE),0,OFFSET(Bronzo!$A$1,MATCH(H1013,Bronzo!$A:$A,0)-1,MATCH(I1013,Bronzo!$A$1:$AA$1,0)-1)),4)</f>
        <v>0</v>
      </c>
      <c r="T1013" s="417">
        <f t="shared" ca="1" si="370"/>
        <v>0</v>
      </c>
      <c r="U1013" s="415"/>
      <c r="V1013" s="417">
        <v>0</v>
      </c>
      <c r="W1013" s="419">
        <f t="shared" ca="1" si="371"/>
        <v>0</v>
      </c>
      <c r="X1013" s="421">
        <f t="shared" si="362"/>
        <v>0</v>
      </c>
      <c r="Y1013" s="413"/>
      <c r="Z1013" s="413">
        <f t="shared" ca="1" si="372"/>
        <v>0</v>
      </c>
      <c r="AA1013" s="408"/>
      <c r="AF1013" s="375">
        <f t="shared" ca="1" si="363"/>
        <v>46236</v>
      </c>
      <c r="AG1013" s="375" t="b">
        <f t="shared" si="364"/>
        <v>1</v>
      </c>
      <c r="AH1013" s="409" t="str">
        <f t="shared" si="365"/>
        <v/>
      </c>
      <c r="AK1013">
        <f t="shared" si="366"/>
        <v>0</v>
      </c>
      <c r="AL1013">
        <f t="shared" si="367"/>
        <v>1900</v>
      </c>
      <c r="AS1013">
        <f t="shared" si="368"/>
        <v>0</v>
      </c>
      <c r="AT1013">
        <f t="shared" si="369"/>
        <v>0</v>
      </c>
    </row>
    <row r="1014" spans="1:46" customFormat="1" ht="15.75" x14ac:dyDescent="0.25">
      <c r="A1014" s="372"/>
      <c r="B1014" s="401"/>
      <c r="C1014" s="402"/>
      <c r="D1014" s="403"/>
      <c r="E1014" s="404"/>
      <c r="F1014" s="405"/>
      <c r="G1014" s="406"/>
      <c r="H1014" s="407"/>
      <c r="I1014" s="407"/>
      <c r="J1014" s="413"/>
      <c r="K1014" s="415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17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17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17"/>
      <c r="O1014" s="417">
        <f t="shared" ca="1" si="373"/>
        <v>0</v>
      </c>
      <c r="P1014" s="417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17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17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17">
        <f ca="1">ROUND(IF(ISERROR(OFFSET(Bronzo!$A$1,MATCH(H1014,Bronzo!$A:$A,0)-1,MATCH(I1014,Bronzo!$A$1:$AA$1,0)-1)=TRUE),0,OFFSET(Bronzo!$A$1,MATCH(H1014,Bronzo!$A:$A,0)-1,MATCH(I1014,Bronzo!$A$1:$AA$1,0)-1)),4)</f>
        <v>0</v>
      </c>
      <c r="T1014" s="417">
        <f t="shared" ca="1" si="370"/>
        <v>0</v>
      </c>
      <c r="U1014" s="415"/>
      <c r="V1014" s="417">
        <v>0</v>
      </c>
      <c r="W1014" s="419">
        <f t="shared" ca="1" si="371"/>
        <v>0</v>
      </c>
      <c r="X1014" s="421">
        <f t="shared" si="362"/>
        <v>0</v>
      </c>
      <c r="Y1014" s="413"/>
      <c r="Z1014" s="413">
        <f t="shared" ca="1" si="372"/>
        <v>0</v>
      </c>
      <c r="AA1014" s="408"/>
      <c r="AF1014" s="375">
        <f t="shared" ca="1" si="363"/>
        <v>46236</v>
      </c>
      <c r="AG1014" s="375" t="b">
        <f t="shared" si="364"/>
        <v>1</v>
      </c>
      <c r="AH1014" s="409" t="str">
        <f t="shared" si="365"/>
        <v/>
      </c>
      <c r="AK1014">
        <f t="shared" si="366"/>
        <v>0</v>
      </c>
      <c r="AL1014">
        <f t="shared" si="367"/>
        <v>1900</v>
      </c>
      <c r="AS1014">
        <f t="shared" si="368"/>
        <v>0</v>
      </c>
      <c r="AT1014">
        <f t="shared" si="369"/>
        <v>0</v>
      </c>
    </row>
    <row r="1015" spans="1:46" customFormat="1" ht="15.75" x14ac:dyDescent="0.25">
      <c r="A1015" s="372"/>
      <c r="B1015" s="401"/>
      <c r="C1015" s="402"/>
      <c r="D1015" s="403"/>
      <c r="E1015" s="404"/>
      <c r="F1015" s="405"/>
      <c r="G1015" s="406"/>
      <c r="H1015" s="407"/>
      <c r="I1015" s="407"/>
      <c r="J1015" s="413"/>
      <c r="K1015" s="415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17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17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17"/>
      <c r="O1015" s="417">
        <f t="shared" ca="1" si="373"/>
        <v>0</v>
      </c>
      <c r="P1015" s="417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17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17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17">
        <f ca="1">ROUND(IF(ISERROR(OFFSET(Bronzo!$A$1,MATCH(H1015,Bronzo!$A:$A,0)-1,MATCH(I1015,Bronzo!$A$1:$AA$1,0)-1)=TRUE),0,OFFSET(Bronzo!$A$1,MATCH(H1015,Bronzo!$A:$A,0)-1,MATCH(I1015,Bronzo!$A$1:$AA$1,0)-1)),4)</f>
        <v>0</v>
      </c>
      <c r="T1015" s="417">
        <f t="shared" ca="1" si="370"/>
        <v>0</v>
      </c>
      <c r="U1015" s="415"/>
      <c r="V1015" s="417">
        <v>0</v>
      </c>
      <c r="W1015" s="419">
        <f t="shared" ca="1" si="371"/>
        <v>0</v>
      </c>
      <c r="X1015" s="421">
        <f t="shared" si="362"/>
        <v>0</v>
      </c>
      <c r="Y1015" s="413"/>
      <c r="Z1015" s="413">
        <f t="shared" ca="1" si="372"/>
        <v>0</v>
      </c>
      <c r="AA1015" s="408"/>
      <c r="AF1015" s="375">
        <f t="shared" ca="1" si="363"/>
        <v>46236</v>
      </c>
      <c r="AG1015" s="375" t="b">
        <f t="shared" si="364"/>
        <v>1</v>
      </c>
      <c r="AH1015" s="409" t="str">
        <f t="shared" si="365"/>
        <v/>
      </c>
      <c r="AK1015">
        <f t="shared" si="366"/>
        <v>0</v>
      </c>
      <c r="AL1015">
        <f t="shared" si="367"/>
        <v>1900</v>
      </c>
      <c r="AS1015">
        <f t="shared" si="368"/>
        <v>0</v>
      </c>
      <c r="AT1015">
        <f t="shared" si="369"/>
        <v>0</v>
      </c>
    </row>
    <row r="1016" spans="1:46" customFormat="1" ht="15.75" x14ac:dyDescent="0.25">
      <c r="A1016" s="372"/>
      <c r="B1016" s="401"/>
      <c r="C1016" s="402"/>
      <c r="D1016" s="403"/>
      <c r="E1016" s="404"/>
      <c r="F1016" s="405"/>
      <c r="G1016" s="406"/>
      <c r="H1016" s="407"/>
      <c r="I1016" s="407"/>
      <c r="J1016" s="413"/>
      <c r="K1016" s="415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17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17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17"/>
      <c r="O1016" s="417">
        <f t="shared" ca="1" si="373"/>
        <v>0</v>
      </c>
      <c r="P1016" s="417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17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17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17">
        <f ca="1">ROUND(IF(ISERROR(OFFSET(Bronzo!$A$1,MATCH(H1016,Bronzo!$A:$A,0)-1,MATCH(I1016,Bronzo!$A$1:$AA$1,0)-1)=TRUE),0,OFFSET(Bronzo!$A$1,MATCH(H1016,Bronzo!$A:$A,0)-1,MATCH(I1016,Bronzo!$A$1:$AA$1,0)-1)),4)</f>
        <v>0</v>
      </c>
      <c r="T1016" s="417">
        <f t="shared" ca="1" si="370"/>
        <v>0</v>
      </c>
      <c r="U1016" s="415"/>
      <c r="V1016" s="417">
        <v>0</v>
      </c>
      <c r="W1016" s="419">
        <f t="shared" ca="1" si="371"/>
        <v>0</v>
      </c>
      <c r="X1016" s="421">
        <f t="shared" si="362"/>
        <v>0</v>
      </c>
      <c r="Y1016" s="413"/>
      <c r="Z1016" s="413">
        <f t="shared" ca="1" si="372"/>
        <v>0</v>
      </c>
      <c r="AA1016" s="408"/>
      <c r="AF1016" s="375">
        <f t="shared" ca="1" si="363"/>
        <v>46236</v>
      </c>
      <c r="AG1016" s="375" t="b">
        <f t="shared" si="364"/>
        <v>1</v>
      </c>
      <c r="AH1016" s="409" t="str">
        <f t="shared" si="365"/>
        <v/>
      </c>
      <c r="AK1016">
        <f t="shared" si="366"/>
        <v>0</v>
      </c>
      <c r="AL1016">
        <f t="shared" si="367"/>
        <v>1900</v>
      </c>
      <c r="AS1016">
        <f t="shared" si="368"/>
        <v>0</v>
      </c>
      <c r="AT1016">
        <f t="shared" si="369"/>
        <v>0</v>
      </c>
    </row>
    <row r="1017" spans="1:46" customFormat="1" ht="15.75" x14ac:dyDescent="0.25">
      <c r="A1017" s="372"/>
      <c r="B1017" s="401"/>
      <c r="C1017" s="402"/>
      <c r="D1017" s="403"/>
      <c r="E1017" s="404"/>
      <c r="F1017" s="405"/>
      <c r="G1017" s="406"/>
      <c r="H1017" s="407"/>
      <c r="I1017" s="407"/>
      <c r="J1017" s="413"/>
      <c r="K1017" s="415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17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17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17"/>
      <c r="O1017" s="417">
        <f t="shared" ca="1" si="373"/>
        <v>0</v>
      </c>
      <c r="P1017" s="417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17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17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17">
        <f ca="1">ROUND(IF(ISERROR(OFFSET(Bronzo!$A$1,MATCH(H1017,Bronzo!$A:$A,0)-1,MATCH(I1017,Bronzo!$A$1:$AA$1,0)-1)=TRUE),0,OFFSET(Bronzo!$A$1,MATCH(H1017,Bronzo!$A:$A,0)-1,MATCH(I1017,Bronzo!$A$1:$AA$1,0)-1)),4)</f>
        <v>0</v>
      </c>
      <c r="T1017" s="417">
        <f t="shared" ca="1" si="370"/>
        <v>0</v>
      </c>
      <c r="U1017" s="415"/>
      <c r="V1017" s="417">
        <v>0</v>
      </c>
      <c r="W1017" s="419">
        <f t="shared" ca="1" si="371"/>
        <v>0</v>
      </c>
      <c r="X1017" s="421">
        <f t="shared" si="362"/>
        <v>0</v>
      </c>
      <c r="Y1017" s="413"/>
      <c r="Z1017" s="413">
        <f t="shared" ca="1" si="372"/>
        <v>0</v>
      </c>
      <c r="AA1017" s="408"/>
      <c r="AF1017" s="375">
        <f t="shared" ca="1" si="363"/>
        <v>46236</v>
      </c>
      <c r="AG1017" s="375" t="b">
        <f t="shared" si="364"/>
        <v>1</v>
      </c>
      <c r="AH1017" s="409" t="str">
        <f t="shared" si="365"/>
        <v/>
      </c>
      <c r="AK1017">
        <f t="shared" si="366"/>
        <v>0</v>
      </c>
      <c r="AL1017">
        <f t="shared" si="367"/>
        <v>1900</v>
      </c>
      <c r="AS1017">
        <f t="shared" si="368"/>
        <v>0</v>
      </c>
      <c r="AT1017">
        <f t="shared" si="369"/>
        <v>0</v>
      </c>
    </row>
    <row r="1018" spans="1:46" customFormat="1" ht="15.75" x14ac:dyDescent="0.25">
      <c r="A1018" s="372"/>
      <c r="B1018" s="401"/>
      <c r="C1018" s="402"/>
      <c r="D1018" s="403"/>
      <c r="E1018" s="404"/>
      <c r="F1018" s="405"/>
      <c r="G1018" s="406"/>
      <c r="H1018" s="407"/>
      <c r="I1018" s="407"/>
      <c r="J1018" s="413"/>
      <c r="K1018" s="415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17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17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17"/>
      <c r="O1018" s="417">
        <f t="shared" ca="1" si="373"/>
        <v>0</v>
      </c>
      <c r="P1018" s="417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17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17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17">
        <f ca="1">ROUND(IF(ISERROR(OFFSET(Bronzo!$A$1,MATCH(H1018,Bronzo!$A:$A,0)-1,MATCH(I1018,Bronzo!$A$1:$AA$1,0)-1)=TRUE),0,OFFSET(Bronzo!$A$1,MATCH(H1018,Bronzo!$A:$A,0)-1,MATCH(I1018,Bronzo!$A$1:$AA$1,0)-1)),4)</f>
        <v>0</v>
      </c>
      <c r="T1018" s="417">
        <f t="shared" ca="1" si="370"/>
        <v>0</v>
      </c>
      <c r="U1018" s="415"/>
      <c r="V1018" s="417">
        <v>0</v>
      </c>
      <c r="W1018" s="419">
        <f t="shared" ca="1" si="371"/>
        <v>0</v>
      </c>
      <c r="X1018" s="421">
        <f t="shared" si="362"/>
        <v>0</v>
      </c>
      <c r="Y1018" s="413"/>
      <c r="Z1018" s="413">
        <f t="shared" ca="1" si="372"/>
        <v>0</v>
      </c>
      <c r="AA1018" s="408"/>
      <c r="AF1018" s="375">
        <f t="shared" ca="1" si="363"/>
        <v>46236</v>
      </c>
      <c r="AG1018" s="375" t="b">
        <f t="shared" si="364"/>
        <v>1</v>
      </c>
      <c r="AH1018" s="409" t="str">
        <f t="shared" si="365"/>
        <v/>
      </c>
      <c r="AK1018">
        <f t="shared" si="366"/>
        <v>0</v>
      </c>
      <c r="AL1018">
        <f t="shared" si="367"/>
        <v>1900</v>
      </c>
      <c r="AS1018">
        <f t="shared" si="368"/>
        <v>0</v>
      </c>
      <c r="AT1018">
        <f t="shared" si="369"/>
        <v>0</v>
      </c>
    </row>
    <row r="1019" spans="1:46" customFormat="1" ht="15.75" x14ac:dyDescent="0.25">
      <c r="A1019" s="372"/>
      <c r="B1019" s="401"/>
      <c r="C1019" s="402"/>
      <c r="D1019" s="403"/>
      <c r="E1019" s="404"/>
      <c r="F1019" s="405"/>
      <c r="G1019" s="406"/>
      <c r="H1019" s="407"/>
      <c r="I1019" s="407"/>
      <c r="J1019" s="413"/>
      <c r="K1019" s="415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17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17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17"/>
      <c r="O1019" s="417">
        <f t="shared" ca="1" si="373"/>
        <v>0</v>
      </c>
      <c r="P1019" s="417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17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17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17">
        <f ca="1">ROUND(IF(ISERROR(OFFSET(Bronzo!$A$1,MATCH(H1019,Bronzo!$A:$A,0)-1,MATCH(I1019,Bronzo!$A$1:$AA$1,0)-1)=TRUE),0,OFFSET(Bronzo!$A$1,MATCH(H1019,Bronzo!$A:$A,0)-1,MATCH(I1019,Bronzo!$A$1:$AA$1,0)-1)),4)</f>
        <v>0</v>
      </c>
      <c r="T1019" s="417">
        <f t="shared" ca="1" si="370"/>
        <v>0</v>
      </c>
      <c r="U1019" s="415"/>
      <c r="V1019" s="417">
        <v>0</v>
      </c>
      <c r="W1019" s="419">
        <f t="shared" ca="1" si="371"/>
        <v>0</v>
      </c>
      <c r="X1019" s="421">
        <f t="shared" si="362"/>
        <v>0</v>
      </c>
      <c r="Y1019" s="413"/>
      <c r="Z1019" s="413">
        <f t="shared" ca="1" si="372"/>
        <v>0</v>
      </c>
      <c r="AA1019" s="408"/>
      <c r="AF1019" s="375">
        <f t="shared" ca="1" si="363"/>
        <v>46236</v>
      </c>
      <c r="AG1019" s="375" t="b">
        <f t="shared" si="364"/>
        <v>1</v>
      </c>
      <c r="AH1019" s="409" t="str">
        <f t="shared" si="365"/>
        <v/>
      </c>
      <c r="AK1019">
        <f t="shared" si="366"/>
        <v>0</v>
      </c>
      <c r="AL1019">
        <f t="shared" si="367"/>
        <v>1900</v>
      </c>
      <c r="AS1019">
        <f t="shared" si="368"/>
        <v>0</v>
      </c>
      <c r="AT1019">
        <f t="shared" si="369"/>
        <v>0</v>
      </c>
    </row>
    <row r="1020" spans="1:46" customFormat="1" ht="15.75" x14ac:dyDescent="0.25">
      <c r="A1020" s="372"/>
      <c r="B1020" s="401"/>
      <c r="C1020" s="402"/>
      <c r="D1020" s="403"/>
      <c r="E1020" s="404"/>
      <c r="F1020" s="405"/>
      <c r="G1020" s="406"/>
      <c r="H1020" s="407"/>
      <c r="I1020" s="407"/>
      <c r="J1020" s="413"/>
      <c r="K1020" s="415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17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17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17"/>
      <c r="O1020" s="417">
        <f t="shared" ca="1" si="373"/>
        <v>0</v>
      </c>
      <c r="P1020" s="417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17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17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17">
        <f ca="1">ROUND(IF(ISERROR(OFFSET(Bronzo!$A$1,MATCH(H1020,Bronzo!$A:$A,0)-1,MATCH(I1020,Bronzo!$A$1:$AA$1,0)-1)=TRUE),0,OFFSET(Bronzo!$A$1,MATCH(H1020,Bronzo!$A:$A,0)-1,MATCH(I1020,Bronzo!$A$1:$AA$1,0)-1)),4)</f>
        <v>0</v>
      </c>
      <c r="T1020" s="417">
        <f t="shared" ca="1" si="370"/>
        <v>0</v>
      </c>
      <c r="U1020" s="415"/>
      <c r="V1020" s="417">
        <v>0</v>
      </c>
      <c r="W1020" s="419">
        <f t="shared" ca="1" si="371"/>
        <v>0</v>
      </c>
      <c r="X1020" s="421">
        <f t="shared" si="362"/>
        <v>0</v>
      </c>
      <c r="Y1020" s="413"/>
      <c r="Z1020" s="413">
        <f t="shared" ca="1" si="372"/>
        <v>0</v>
      </c>
      <c r="AA1020" s="408"/>
      <c r="AF1020" s="375">
        <f t="shared" ca="1" si="363"/>
        <v>46236</v>
      </c>
      <c r="AG1020" s="375" t="b">
        <f t="shared" si="364"/>
        <v>1</v>
      </c>
      <c r="AH1020" s="409" t="str">
        <f t="shared" si="365"/>
        <v/>
      </c>
      <c r="AK1020">
        <f t="shared" si="366"/>
        <v>0</v>
      </c>
      <c r="AL1020">
        <f t="shared" si="367"/>
        <v>1900</v>
      </c>
      <c r="AS1020">
        <f t="shared" si="368"/>
        <v>0</v>
      </c>
      <c r="AT1020">
        <f t="shared" si="369"/>
        <v>0</v>
      </c>
    </row>
    <row r="1021" spans="1:46" customFormat="1" ht="15.75" x14ac:dyDescent="0.25">
      <c r="A1021" s="372"/>
      <c r="B1021" s="401"/>
      <c r="C1021" s="402"/>
      <c r="D1021" s="403"/>
      <c r="E1021" s="404"/>
      <c r="F1021" s="405"/>
      <c r="G1021" s="406"/>
      <c r="H1021" s="407"/>
      <c r="I1021" s="407"/>
      <c r="J1021" s="413"/>
      <c r="K1021" s="415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17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17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17"/>
      <c r="O1021" s="417">
        <f t="shared" ca="1" si="373"/>
        <v>0</v>
      </c>
      <c r="P1021" s="417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17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17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17">
        <f ca="1">ROUND(IF(ISERROR(OFFSET(Bronzo!$A$1,MATCH(H1021,Bronzo!$A:$A,0)-1,MATCH(I1021,Bronzo!$A$1:$AA$1,0)-1)=TRUE),0,OFFSET(Bronzo!$A$1,MATCH(H1021,Bronzo!$A:$A,0)-1,MATCH(I1021,Bronzo!$A$1:$AA$1,0)-1)),4)</f>
        <v>0</v>
      </c>
      <c r="T1021" s="417">
        <f t="shared" ca="1" si="370"/>
        <v>0</v>
      </c>
      <c r="U1021" s="415"/>
      <c r="V1021" s="417">
        <v>0</v>
      </c>
      <c r="W1021" s="419">
        <f t="shared" ca="1" si="371"/>
        <v>0</v>
      </c>
      <c r="X1021" s="421">
        <f t="shared" si="362"/>
        <v>0</v>
      </c>
      <c r="Y1021" s="413"/>
      <c r="Z1021" s="413">
        <f t="shared" ca="1" si="372"/>
        <v>0</v>
      </c>
      <c r="AA1021" s="408"/>
      <c r="AF1021" s="375">
        <f t="shared" ca="1" si="363"/>
        <v>46236</v>
      </c>
      <c r="AG1021" s="375" t="b">
        <f t="shared" si="364"/>
        <v>1</v>
      </c>
      <c r="AH1021" s="409" t="str">
        <f t="shared" si="365"/>
        <v/>
      </c>
      <c r="AK1021">
        <f t="shared" si="366"/>
        <v>0</v>
      </c>
      <c r="AL1021">
        <f t="shared" si="367"/>
        <v>1900</v>
      </c>
      <c r="AS1021">
        <f t="shared" si="368"/>
        <v>0</v>
      </c>
      <c r="AT1021">
        <f t="shared" si="369"/>
        <v>0</v>
      </c>
    </row>
    <row r="1022" spans="1:46" customFormat="1" ht="15.75" x14ac:dyDescent="0.25">
      <c r="A1022" s="372"/>
      <c r="B1022" s="401"/>
      <c r="C1022" s="402"/>
      <c r="D1022" s="403"/>
      <c r="E1022" s="404"/>
      <c r="F1022" s="405"/>
      <c r="G1022" s="406"/>
      <c r="H1022" s="407"/>
      <c r="I1022" s="407"/>
      <c r="J1022" s="413"/>
      <c r="K1022" s="415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17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17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17"/>
      <c r="O1022" s="417">
        <f t="shared" ca="1" si="373"/>
        <v>0</v>
      </c>
      <c r="P1022" s="417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17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17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17">
        <f ca="1">ROUND(IF(ISERROR(OFFSET(Bronzo!$A$1,MATCH(H1022,Bronzo!$A:$A,0)-1,MATCH(I1022,Bronzo!$A$1:$AA$1,0)-1)=TRUE),0,OFFSET(Bronzo!$A$1,MATCH(H1022,Bronzo!$A:$A,0)-1,MATCH(I1022,Bronzo!$A$1:$AA$1,0)-1)),4)</f>
        <v>0</v>
      </c>
      <c r="T1022" s="417">
        <f t="shared" ca="1" si="370"/>
        <v>0</v>
      </c>
      <c r="U1022" s="415"/>
      <c r="V1022" s="417">
        <v>0</v>
      </c>
      <c r="W1022" s="419">
        <f t="shared" ca="1" si="371"/>
        <v>0</v>
      </c>
      <c r="X1022" s="421">
        <f t="shared" si="362"/>
        <v>0</v>
      </c>
      <c r="Y1022" s="413"/>
      <c r="Z1022" s="413">
        <f t="shared" ca="1" si="372"/>
        <v>0</v>
      </c>
      <c r="AA1022" s="408"/>
      <c r="AF1022" s="375">
        <f t="shared" ref="AF1022:AF1053" ca="1" si="374">TODAY()</f>
        <v>46236</v>
      </c>
      <c r="AG1022" s="375" t="b">
        <f t="shared" ref="AG1022:AG1053" si="375">ISBLANK(AA1022)</f>
        <v>1</v>
      </c>
      <c r="AH1022" s="409" t="str">
        <f t="shared" ref="AH1022:AH1053" si="376">IF(AG1022=FALSE,_xlfn.DAYS(AA1022,AF1022),"")</f>
        <v/>
      </c>
      <c r="AK1022">
        <f t="shared" ref="AK1022:AK1053" si="377">WEEKNUM(AA1022)</f>
        <v>0</v>
      </c>
      <c r="AL1022">
        <f t="shared" ref="AL1022:AL1053" si="378">YEAR(AA1022)</f>
        <v>1900</v>
      </c>
      <c r="AS1022">
        <f t="shared" ref="AS1022:AS1053" si="379">IF(AA1022="",0,MONTH(AA1022))</f>
        <v>0</v>
      </c>
      <c r="AT1022">
        <f t="shared" ref="AT1022:AT1053" si="380">IF(AA1022="",0,YEAR(AA1022))</f>
        <v>0</v>
      </c>
    </row>
    <row r="1023" spans="1:46" customFormat="1" ht="15.75" x14ac:dyDescent="0.25">
      <c r="A1023" s="372"/>
      <c r="B1023" s="401"/>
      <c r="C1023" s="402"/>
      <c r="D1023" s="403"/>
      <c r="E1023" s="404"/>
      <c r="F1023" s="405"/>
      <c r="G1023" s="406"/>
      <c r="H1023" s="407"/>
      <c r="I1023" s="407"/>
      <c r="J1023" s="413"/>
      <c r="K1023" s="415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17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17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17"/>
      <c r="O1023" s="417">
        <f t="shared" ca="1" si="373"/>
        <v>0</v>
      </c>
      <c r="P1023" s="417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17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17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17">
        <f ca="1">ROUND(IF(ISERROR(OFFSET(Bronzo!$A$1,MATCH(H1023,Bronzo!$A:$A,0)-1,MATCH(I1023,Bronzo!$A$1:$AA$1,0)-1)=TRUE),0,OFFSET(Bronzo!$A$1,MATCH(H1023,Bronzo!$A:$A,0)-1,MATCH(I1023,Bronzo!$A$1:$AA$1,0)-1)),4)</f>
        <v>0</v>
      </c>
      <c r="T1023" s="417">
        <f t="shared" ca="1" si="370"/>
        <v>0</v>
      </c>
      <c r="U1023" s="415"/>
      <c r="V1023" s="417">
        <v>0</v>
      </c>
      <c r="W1023" s="419">
        <f t="shared" ca="1" si="371"/>
        <v>0</v>
      </c>
      <c r="X1023" s="421">
        <f t="shared" si="362"/>
        <v>0</v>
      </c>
      <c r="Y1023" s="413"/>
      <c r="Z1023" s="413">
        <f t="shared" ca="1" si="372"/>
        <v>0</v>
      </c>
      <c r="AA1023" s="408"/>
      <c r="AF1023" s="375">
        <f t="shared" ca="1" si="374"/>
        <v>46236</v>
      </c>
      <c r="AG1023" s="375" t="b">
        <f t="shared" si="375"/>
        <v>1</v>
      </c>
      <c r="AH1023" s="409" t="str">
        <f t="shared" si="376"/>
        <v/>
      </c>
      <c r="AK1023">
        <f t="shared" si="377"/>
        <v>0</v>
      </c>
      <c r="AL1023">
        <f t="shared" si="378"/>
        <v>1900</v>
      </c>
      <c r="AS1023">
        <f t="shared" si="379"/>
        <v>0</v>
      </c>
      <c r="AT1023">
        <f t="shared" si="380"/>
        <v>0</v>
      </c>
    </row>
    <row r="1024" spans="1:46" customFormat="1" ht="15.75" x14ac:dyDescent="0.25">
      <c r="A1024" s="372"/>
      <c r="B1024" s="401"/>
      <c r="C1024" s="402"/>
      <c r="D1024" s="403"/>
      <c r="E1024" s="404"/>
      <c r="F1024" s="405"/>
      <c r="G1024" s="406"/>
      <c r="H1024" s="407"/>
      <c r="I1024" s="407"/>
      <c r="J1024" s="413"/>
      <c r="K1024" s="415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17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17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17"/>
      <c r="O1024" s="417">
        <f t="shared" ca="1" si="373"/>
        <v>0</v>
      </c>
      <c r="P1024" s="417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17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17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17">
        <f ca="1">ROUND(IF(ISERROR(OFFSET(Bronzo!$A$1,MATCH(H1024,Bronzo!$A:$A,0)-1,MATCH(I1024,Bronzo!$A$1:$AA$1,0)-1)=TRUE),0,OFFSET(Bronzo!$A$1,MATCH(H1024,Bronzo!$A:$A,0)-1,MATCH(I1024,Bronzo!$A$1:$AA$1,0)-1)),4)</f>
        <v>0</v>
      </c>
      <c r="T1024" s="417">
        <f t="shared" ca="1" si="370"/>
        <v>0</v>
      </c>
      <c r="U1024" s="415"/>
      <c r="V1024" s="417">
        <v>0</v>
      </c>
      <c r="W1024" s="419">
        <f t="shared" ca="1" si="371"/>
        <v>0</v>
      </c>
      <c r="X1024" s="421">
        <f t="shared" si="362"/>
        <v>0</v>
      </c>
      <c r="Y1024" s="413"/>
      <c r="Z1024" s="413">
        <f t="shared" ca="1" si="372"/>
        <v>0</v>
      </c>
      <c r="AA1024" s="408"/>
      <c r="AF1024" s="375">
        <f t="shared" ca="1" si="374"/>
        <v>46236</v>
      </c>
      <c r="AG1024" s="375" t="b">
        <f t="shared" si="375"/>
        <v>1</v>
      </c>
      <c r="AH1024" s="409" t="str">
        <f t="shared" si="376"/>
        <v/>
      </c>
      <c r="AK1024">
        <f t="shared" si="377"/>
        <v>0</v>
      </c>
      <c r="AL1024">
        <f t="shared" si="378"/>
        <v>1900</v>
      </c>
      <c r="AS1024">
        <f t="shared" si="379"/>
        <v>0</v>
      </c>
      <c r="AT1024">
        <f t="shared" si="380"/>
        <v>0</v>
      </c>
    </row>
    <row r="1025" spans="1:46" customFormat="1" ht="15.75" x14ac:dyDescent="0.25">
      <c r="A1025" s="372"/>
      <c r="B1025" s="401"/>
      <c r="C1025" s="402"/>
      <c r="D1025" s="403"/>
      <c r="E1025" s="404"/>
      <c r="F1025" s="405"/>
      <c r="G1025" s="406"/>
      <c r="H1025" s="407"/>
      <c r="I1025" s="407"/>
      <c r="J1025" s="413"/>
      <c r="K1025" s="415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17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17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17"/>
      <c r="O1025" s="417">
        <f t="shared" ca="1" si="373"/>
        <v>0</v>
      </c>
      <c r="P1025" s="417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17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17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17">
        <f ca="1">ROUND(IF(ISERROR(OFFSET(Bronzo!$A$1,MATCH(H1025,Bronzo!$A:$A,0)-1,MATCH(I1025,Bronzo!$A$1:$AA$1,0)-1)=TRUE),0,OFFSET(Bronzo!$A$1,MATCH(H1025,Bronzo!$A:$A,0)-1,MATCH(I1025,Bronzo!$A$1:$AA$1,0)-1)),4)</f>
        <v>0</v>
      </c>
      <c r="T1025" s="417">
        <f t="shared" ca="1" si="370"/>
        <v>0</v>
      </c>
      <c r="U1025" s="415"/>
      <c r="V1025" s="417">
        <v>0</v>
      </c>
      <c r="W1025" s="419">
        <f t="shared" ca="1" si="371"/>
        <v>0</v>
      </c>
      <c r="X1025" s="421">
        <f t="shared" si="362"/>
        <v>0</v>
      </c>
      <c r="Y1025" s="413"/>
      <c r="Z1025" s="413">
        <f t="shared" ca="1" si="372"/>
        <v>0</v>
      </c>
      <c r="AA1025" s="408"/>
      <c r="AF1025" s="375">
        <f t="shared" ca="1" si="374"/>
        <v>46236</v>
      </c>
      <c r="AG1025" s="375" t="b">
        <f t="shared" si="375"/>
        <v>1</v>
      </c>
      <c r="AH1025" s="409" t="str">
        <f t="shared" si="376"/>
        <v/>
      </c>
      <c r="AK1025">
        <f t="shared" si="377"/>
        <v>0</v>
      </c>
      <c r="AL1025">
        <f t="shared" si="378"/>
        <v>1900</v>
      </c>
      <c r="AS1025">
        <f t="shared" si="379"/>
        <v>0</v>
      </c>
      <c r="AT1025">
        <f t="shared" si="380"/>
        <v>0</v>
      </c>
    </row>
    <row r="1026" spans="1:46" customFormat="1" ht="15.75" x14ac:dyDescent="0.25">
      <c r="A1026" s="372"/>
      <c r="B1026" s="401"/>
      <c r="C1026" s="402"/>
      <c r="D1026" s="403"/>
      <c r="E1026" s="404"/>
      <c r="F1026" s="405"/>
      <c r="G1026" s="406"/>
      <c r="H1026" s="407"/>
      <c r="I1026" s="407"/>
      <c r="J1026" s="413"/>
      <c r="K1026" s="415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17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17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17"/>
      <c r="O1026" s="417">
        <f t="shared" ca="1" si="373"/>
        <v>0</v>
      </c>
      <c r="P1026" s="417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17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17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17">
        <f ca="1">ROUND(IF(ISERROR(OFFSET(Bronzo!$A$1,MATCH(H1026,Bronzo!$A:$A,0)-1,MATCH(I1026,Bronzo!$A$1:$AA$1,0)-1)=TRUE),0,OFFSET(Bronzo!$A$1,MATCH(H1026,Bronzo!$A:$A,0)-1,MATCH(I1026,Bronzo!$A$1:$AA$1,0)-1)),4)</f>
        <v>0</v>
      </c>
      <c r="T1026" s="417">
        <f t="shared" ca="1" si="370"/>
        <v>0</v>
      </c>
      <c r="U1026" s="415"/>
      <c r="V1026" s="417">
        <v>0</v>
      </c>
      <c r="W1026" s="419">
        <f t="shared" ca="1" si="371"/>
        <v>0</v>
      </c>
      <c r="X1026" s="421">
        <f t="shared" si="362"/>
        <v>0</v>
      </c>
      <c r="Y1026" s="413"/>
      <c r="Z1026" s="413">
        <f t="shared" ca="1" si="372"/>
        <v>0</v>
      </c>
      <c r="AA1026" s="408"/>
      <c r="AF1026" s="375">
        <f t="shared" ca="1" si="374"/>
        <v>46236</v>
      </c>
      <c r="AG1026" s="375" t="b">
        <f t="shared" si="375"/>
        <v>1</v>
      </c>
      <c r="AH1026" s="409" t="str">
        <f t="shared" si="376"/>
        <v/>
      </c>
      <c r="AK1026">
        <f t="shared" si="377"/>
        <v>0</v>
      </c>
      <c r="AL1026">
        <f t="shared" si="378"/>
        <v>1900</v>
      </c>
      <c r="AS1026">
        <f t="shared" si="379"/>
        <v>0</v>
      </c>
      <c r="AT1026">
        <f t="shared" si="380"/>
        <v>0</v>
      </c>
    </row>
    <row r="1027" spans="1:46" customFormat="1" ht="15.75" x14ac:dyDescent="0.25">
      <c r="A1027" s="372"/>
      <c r="B1027" s="401"/>
      <c r="C1027" s="402"/>
      <c r="D1027" s="403"/>
      <c r="E1027" s="404"/>
      <c r="F1027" s="405"/>
      <c r="G1027" s="406"/>
      <c r="H1027" s="407"/>
      <c r="I1027" s="407"/>
      <c r="J1027" s="413"/>
      <c r="K1027" s="415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17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17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17"/>
      <c r="O1027" s="417">
        <f t="shared" ca="1" si="373"/>
        <v>0</v>
      </c>
      <c r="P1027" s="417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17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17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17">
        <f ca="1">ROUND(IF(ISERROR(OFFSET(Bronzo!$A$1,MATCH(H1027,Bronzo!$A:$A,0)-1,MATCH(I1027,Bronzo!$A$1:$AA$1,0)-1)=TRUE),0,OFFSET(Bronzo!$A$1,MATCH(H1027,Bronzo!$A:$A,0)-1,MATCH(I1027,Bronzo!$A$1:$AA$1,0)-1)),4)</f>
        <v>0</v>
      </c>
      <c r="T1027" s="417">
        <f t="shared" ca="1" si="370"/>
        <v>0</v>
      </c>
      <c r="U1027" s="415"/>
      <c r="V1027" s="417">
        <v>0</v>
      </c>
      <c r="W1027" s="419">
        <f t="shared" ca="1" si="371"/>
        <v>0</v>
      </c>
      <c r="X1027" s="421">
        <f t="shared" si="362"/>
        <v>0</v>
      </c>
      <c r="Y1027" s="413"/>
      <c r="Z1027" s="413">
        <f t="shared" ca="1" si="372"/>
        <v>0</v>
      </c>
      <c r="AA1027" s="408"/>
      <c r="AF1027" s="375">
        <f t="shared" ca="1" si="374"/>
        <v>46236</v>
      </c>
      <c r="AG1027" s="375" t="b">
        <f t="shared" si="375"/>
        <v>1</v>
      </c>
      <c r="AH1027" s="409" t="str">
        <f t="shared" si="376"/>
        <v/>
      </c>
      <c r="AK1027">
        <f t="shared" si="377"/>
        <v>0</v>
      </c>
      <c r="AL1027">
        <f t="shared" si="378"/>
        <v>1900</v>
      </c>
      <c r="AS1027">
        <f t="shared" si="379"/>
        <v>0</v>
      </c>
      <c r="AT1027">
        <f t="shared" si="380"/>
        <v>0</v>
      </c>
    </row>
    <row r="1028" spans="1:46" customFormat="1" ht="15.75" x14ac:dyDescent="0.25">
      <c r="A1028" s="372"/>
      <c r="B1028" s="401"/>
      <c r="C1028" s="402"/>
      <c r="D1028" s="403"/>
      <c r="E1028" s="404"/>
      <c r="F1028" s="405"/>
      <c r="G1028" s="406"/>
      <c r="H1028" s="407"/>
      <c r="I1028" s="407"/>
      <c r="J1028" s="413"/>
      <c r="K1028" s="415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17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17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17"/>
      <c r="O1028" s="417">
        <f t="shared" ca="1" si="373"/>
        <v>0</v>
      </c>
      <c r="P1028" s="417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17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17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17">
        <f ca="1">ROUND(IF(ISERROR(OFFSET(Bronzo!$A$1,MATCH(H1028,Bronzo!$A:$A,0)-1,MATCH(I1028,Bronzo!$A$1:$AA$1,0)-1)=TRUE),0,OFFSET(Bronzo!$A$1,MATCH(H1028,Bronzo!$A:$A,0)-1,MATCH(I1028,Bronzo!$A$1:$AA$1,0)-1)),4)</f>
        <v>0</v>
      </c>
      <c r="T1028" s="417">
        <f t="shared" ca="1" si="370"/>
        <v>0</v>
      </c>
      <c r="U1028" s="415"/>
      <c r="V1028" s="417">
        <v>0</v>
      </c>
      <c r="W1028" s="419">
        <f t="shared" ca="1" si="371"/>
        <v>0</v>
      </c>
      <c r="X1028" s="421">
        <f t="shared" si="362"/>
        <v>0</v>
      </c>
      <c r="Y1028" s="413"/>
      <c r="Z1028" s="413">
        <f t="shared" ca="1" si="372"/>
        <v>0</v>
      </c>
      <c r="AA1028" s="408"/>
      <c r="AF1028" s="375">
        <f t="shared" ca="1" si="374"/>
        <v>46236</v>
      </c>
      <c r="AG1028" s="375" t="b">
        <f t="shared" si="375"/>
        <v>1</v>
      </c>
      <c r="AH1028" s="409" t="str">
        <f t="shared" si="376"/>
        <v/>
      </c>
      <c r="AK1028">
        <f t="shared" si="377"/>
        <v>0</v>
      </c>
      <c r="AL1028">
        <f t="shared" si="378"/>
        <v>1900</v>
      </c>
      <c r="AS1028">
        <f t="shared" si="379"/>
        <v>0</v>
      </c>
      <c r="AT1028">
        <f t="shared" si="380"/>
        <v>0</v>
      </c>
    </row>
    <row r="1029" spans="1:46" customFormat="1" ht="15.75" x14ac:dyDescent="0.25">
      <c r="A1029" s="372"/>
      <c r="B1029" s="401"/>
      <c r="C1029" s="402"/>
      <c r="D1029" s="403"/>
      <c r="E1029" s="404"/>
      <c r="F1029" s="405"/>
      <c r="G1029" s="406"/>
      <c r="H1029" s="407"/>
      <c r="I1029" s="407"/>
      <c r="J1029" s="413"/>
      <c r="K1029" s="415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17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17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17"/>
      <c r="O1029" s="417">
        <f t="shared" ca="1" si="373"/>
        <v>0</v>
      </c>
      <c r="P1029" s="417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17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17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17">
        <f ca="1">ROUND(IF(ISERROR(OFFSET(Bronzo!$A$1,MATCH(H1029,Bronzo!$A:$A,0)-1,MATCH(I1029,Bronzo!$A$1:$AA$1,0)-1)=TRUE),0,OFFSET(Bronzo!$A$1,MATCH(H1029,Bronzo!$A:$A,0)-1,MATCH(I1029,Bronzo!$A$1:$AA$1,0)-1)),4)</f>
        <v>0</v>
      </c>
      <c r="T1029" s="417">
        <f t="shared" ca="1" si="370"/>
        <v>0</v>
      </c>
      <c r="U1029" s="415"/>
      <c r="V1029" s="417">
        <v>0</v>
      </c>
      <c r="W1029" s="419">
        <f t="shared" ca="1" si="371"/>
        <v>0</v>
      </c>
      <c r="X1029" s="421">
        <f t="shared" si="362"/>
        <v>0</v>
      </c>
      <c r="Y1029" s="413"/>
      <c r="Z1029" s="413">
        <f t="shared" ca="1" si="372"/>
        <v>0</v>
      </c>
      <c r="AA1029" s="408"/>
      <c r="AF1029" s="375">
        <f t="shared" ca="1" si="374"/>
        <v>46236</v>
      </c>
      <c r="AG1029" s="375" t="b">
        <f t="shared" si="375"/>
        <v>1</v>
      </c>
      <c r="AH1029" s="409" t="str">
        <f t="shared" si="376"/>
        <v/>
      </c>
      <c r="AK1029">
        <f t="shared" si="377"/>
        <v>0</v>
      </c>
      <c r="AL1029">
        <f t="shared" si="378"/>
        <v>1900</v>
      </c>
      <c r="AS1029">
        <f t="shared" si="379"/>
        <v>0</v>
      </c>
      <c r="AT1029">
        <f t="shared" si="380"/>
        <v>0</v>
      </c>
    </row>
    <row r="1030" spans="1:46" customFormat="1" ht="15.75" x14ac:dyDescent="0.25">
      <c r="A1030" s="372"/>
      <c r="B1030" s="401"/>
      <c r="C1030" s="402"/>
      <c r="D1030" s="403"/>
      <c r="E1030" s="404"/>
      <c r="F1030" s="405"/>
      <c r="G1030" s="406"/>
      <c r="H1030" s="407"/>
      <c r="I1030" s="407"/>
      <c r="J1030" s="413"/>
      <c r="K1030" s="415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17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17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17"/>
      <c r="O1030" s="417">
        <f t="shared" ca="1" si="373"/>
        <v>0</v>
      </c>
      <c r="P1030" s="417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17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17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17">
        <f ca="1">ROUND(IF(ISERROR(OFFSET(Bronzo!$A$1,MATCH(H1030,Bronzo!$A:$A,0)-1,MATCH(I1030,Bronzo!$A$1:$AA$1,0)-1)=TRUE),0,OFFSET(Bronzo!$A$1,MATCH(H1030,Bronzo!$A:$A,0)-1,MATCH(I1030,Bronzo!$A$1:$AA$1,0)-1)),4)</f>
        <v>0</v>
      </c>
      <c r="T1030" s="417">
        <f t="shared" ca="1" si="370"/>
        <v>0</v>
      </c>
      <c r="U1030" s="415"/>
      <c r="V1030" s="417">
        <v>0</v>
      </c>
      <c r="W1030" s="419">
        <f t="shared" ca="1" si="371"/>
        <v>0</v>
      </c>
      <c r="X1030" s="421">
        <f t="shared" si="362"/>
        <v>0</v>
      </c>
      <c r="Y1030" s="413"/>
      <c r="Z1030" s="413">
        <f t="shared" ca="1" si="372"/>
        <v>0</v>
      </c>
      <c r="AA1030" s="408"/>
      <c r="AF1030" s="375">
        <f t="shared" ca="1" si="374"/>
        <v>46236</v>
      </c>
      <c r="AG1030" s="375" t="b">
        <f t="shared" si="375"/>
        <v>1</v>
      </c>
      <c r="AH1030" s="409" t="str">
        <f t="shared" si="376"/>
        <v/>
      </c>
      <c r="AK1030">
        <f t="shared" si="377"/>
        <v>0</v>
      </c>
      <c r="AL1030">
        <f t="shared" si="378"/>
        <v>1900</v>
      </c>
      <c r="AS1030">
        <f t="shared" si="379"/>
        <v>0</v>
      </c>
      <c r="AT1030">
        <f t="shared" si="380"/>
        <v>0</v>
      </c>
    </row>
    <row r="1031" spans="1:46" customFormat="1" ht="15.75" x14ac:dyDescent="0.25">
      <c r="A1031" s="372"/>
      <c r="B1031" s="401"/>
      <c r="C1031" s="402"/>
      <c r="D1031" s="403"/>
      <c r="E1031" s="404"/>
      <c r="F1031" s="405"/>
      <c r="G1031" s="406"/>
      <c r="H1031" s="407"/>
      <c r="I1031" s="407"/>
      <c r="J1031" s="413"/>
      <c r="K1031" s="415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17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17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17"/>
      <c r="O1031" s="417">
        <f t="shared" ca="1" si="373"/>
        <v>0</v>
      </c>
      <c r="P1031" s="417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17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17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17">
        <f ca="1">ROUND(IF(ISERROR(OFFSET(Bronzo!$A$1,MATCH(H1031,Bronzo!$A:$A,0)-1,MATCH(I1031,Bronzo!$A$1:$AA$1,0)-1)=TRUE),0,OFFSET(Bronzo!$A$1,MATCH(H1031,Bronzo!$A:$A,0)-1,MATCH(I1031,Bronzo!$A$1:$AA$1,0)-1)),4)</f>
        <v>0</v>
      </c>
      <c r="T1031" s="417">
        <f t="shared" ca="1" si="370"/>
        <v>0</v>
      </c>
      <c r="U1031" s="415"/>
      <c r="V1031" s="417">
        <v>0</v>
      </c>
      <c r="W1031" s="419">
        <f t="shared" ca="1" si="371"/>
        <v>0</v>
      </c>
      <c r="X1031" s="421">
        <f t="shared" si="362"/>
        <v>0</v>
      </c>
      <c r="Y1031" s="413"/>
      <c r="Z1031" s="413">
        <f t="shared" ca="1" si="372"/>
        <v>0</v>
      </c>
      <c r="AA1031" s="408"/>
      <c r="AF1031" s="375">
        <f t="shared" ca="1" si="374"/>
        <v>46236</v>
      </c>
      <c r="AG1031" s="375" t="b">
        <f t="shared" si="375"/>
        <v>1</v>
      </c>
      <c r="AH1031" s="409" t="str">
        <f t="shared" si="376"/>
        <v/>
      </c>
      <c r="AK1031">
        <f t="shared" si="377"/>
        <v>0</v>
      </c>
      <c r="AL1031">
        <f t="shared" si="378"/>
        <v>1900</v>
      </c>
      <c r="AS1031">
        <f t="shared" si="379"/>
        <v>0</v>
      </c>
      <c r="AT1031">
        <f t="shared" si="380"/>
        <v>0</v>
      </c>
    </row>
    <row r="1032" spans="1:46" customFormat="1" ht="15.75" x14ac:dyDescent="0.25">
      <c r="A1032" s="372"/>
      <c r="B1032" s="401"/>
      <c r="C1032" s="402"/>
      <c r="D1032" s="403"/>
      <c r="E1032" s="404"/>
      <c r="F1032" s="405"/>
      <c r="G1032" s="406"/>
      <c r="H1032" s="407"/>
      <c r="I1032" s="407"/>
      <c r="J1032" s="413"/>
      <c r="K1032" s="415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17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17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17"/>
      <c r="O1032" s="417">
        <f t="shared" ca="1" si="373"/>
        <v>0</v>
      </c>
      <c r="P1032" s="417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17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17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17">
        <f ca="1">ROUND(IF(ISERROR(OFFSET(Bronzo!$A$1,MATCH(H1032,Bronzo!$A:$A,0)-1,MATCH(I1032,Bronzo!$A$1:$AA$1,0)-1)=TRUE),0,OFFSET(Bronzo!$A$1,MATCH(H1032,Bronzo!$A:$A,0)-1,MATCH(I1032,Bronzo!$A$1:$AA$1,0)-1)),4)</f>
        <v>0</v>
      </c>
      <c r="T1032" s="417">
        <f t="shared" ca="1" si="370"/>
        <v>0</v>
      </c>
      <c r="U1032" s="415"/>
      <c r="V1032" s="417">
        <v>0</v>
      </c>
      <c r="W1032" s="419">
        <f t="shared" ca="1" si="371"/>
        <v>0</v>
      </c>
      <c r="X1032" s="421">
        <f t="shared" si="362"/>
        <v>0</v>
      </c>
      <c r="Y1032" s="413"/>
      <c r="Z1032" s="413">
        <f t="shared" ca="1" si="372"/>
        <v>0</v>
      </c>
      <c r="AA1032" s="408"/>
      <c r="AF1032" s="375">
        <f t="shared" ca="1" si="374"/>
        <v>46236</v>
      </c>
      <c r="AG1032" s="375" t="b">
        <f t="shared" si="375"/>
        <v>1</v>
      </c>
      <c r="AH1032" s="409" t="str">
        <f t="shared" si="376"/>
        <v/>
      </c>
      <c r="AK1032">
        <f t="shared" si="377"/>
        <v>0</v>
      </c>
      <c r="AL1032">
        <f t="shared" si="378"/>
        <v>1900</v>
      </c>
      <c r="AS1032">
        <f t="shared" si="379"/>
        <v>0</v>
      </c>
      <c r="AT1032">
        <f t="shared" si="380"/>
        <v>0</v>
      </c>
    </row>
    <row r="1033" spans="1:46" customFormat="1" ht="15.75" x14ac:dyDescent="0.25">
      <c r="A1033" s="372"/>
      <c r="B1033" s="401"/>
      <c r="C1033" s="402"/>
      <c r="D1033" s="403"/>
      <c r="E1033" s="404"/>
      <c r="F1033" s="405"/>
      <c r="G1033" s="406"/>
      <c r="H1033" s="407"/>
      <c r="I1033" s="407"/>
      <c r="J1033" s="413"/>
      <c r="K1033" s="415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17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17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17"/>
      <c r="O1033" s="417">
        <f t="shared" ca="1" si="373"/>
        <v>0</v>
      </c>
      <c r="P1033" s="417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17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17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17">
        <f ca="1">ROUND(IF(ISERROR(OFFSET(Bronzo!$A$1,MATCH(H1033,Bronzo!$A:$A,0)-1,MATCH(I1033,Bronzo!$A$1:$AA$1,0)-1)=TRUE),0,OFFSET(Bronzo!$A$1,MATCH(H1033,Bronzo!$A:$A,0)-1,MATCH(I1033,Bronzo!$A$1:$AA$1,0)-1)),4)</f>
        <v>0</v>
      </c>
      <c r="T1033" s="417">
        <f t="shared" ca="1" si="370"/>
        <v>0</v>
      </c>
      <c r="U1033" s="415"/>
      <c r="V1033" s="417">
        <v>0</v>
      </c>
      <c r="W1033" s="419">
        <f t="shared" ca="1" si="371"/>
        <v>0</v>
      </c>
      <c r="X1033" s="421">
        <f t="shared" si="362"/>
        <v>0</v>
      </c>
      <c r="Y1033" s="413"/>
      <c r="Z1033" s="413">
        <f t="shared" ca="1" si="372"/>
        <v>0</v>
      </c>
      <c r="AA1033" s="408"/>
      <c r="AF1033" s="375">
        <f t="shared" ca="1" si="374"/>
        <v>46236</v>
      </c>
      <c r="AG1033" s="375" t="b">
        <f t="shared" si="375"/>
        <v>1</v>
      </c>
      <c r="AH1033" s="409" t="str">
        <f t="shared" si="376"/>
        <v/>
      </c>
      <c r="AK1033">
        <f t="shared" si="377"/>
        <v>0</v>
      </c>
      <c r="AL1033">
        <f t="shared" si="378"/>
        <v>1900</v>
      </c>
      <c r="AS1033">
        <f t="shared" si="379"/>
        <v>0</v>
      </c>
      <c r="AT1033">
        <f t="shared" si="380"/>
        <v>0</v>
      </c>
    </row>
    <row r="1034" spans="1:46" customFormat="1" ht="15.75" x14ac:dyDescent="0.25">
      <c r="A1034" s="372"/>
      <c r="B1034" s="401"/>
      <c r="C1034" s="402"/>
      <c r="D1034" s="403"/>
      <c r="E1034" s="404"/>
      <c r="F1034" s="405"/>
      <c r="G1034" s="406"/>
      <c r="H1034" s="407"/>
      <c r="I1034" s="407"/>
      <c r="J1034" s="413"/>
      <c r="K1034" s="415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17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17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17"/>
      <c r="O1034" s="417">
        <f t="shared" ca="1" si="373"/>
        <v>0</v>
      </c>
      <c r="P1034" s="417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17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17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17">
        <f ca="1">ROUND(IF(ISERROR(OFFSET(Bronzo!$A$1,MATCH(H1034,Bronzo!$A:$A,0)-1,MATCH(I1034,Bronzo!$A$1:$AA$1,0)-1)=TRUE),0,OFFSET(Bronzo!$A$1,MATCH(H1034,Bronzo!$A:$A,0)-1,MATCH(I1034,Bronzo!$A$1:$AA$1,0)-1)),4)</f>
        <v>0</v>
      </c>
      <c r="T1034" s="417">
        <f t="shared" ca="1" si="370"/>
        <v>0</v>
      </c>
      <c r="U1034" s="415"/>
      <c r="V1034" s="417">
        <v>0</v>
      </c>
      <c r="W1034" s="419">
        <f t="shared" ca="1" si="371"/>
        <v>0</v>
      </c>
      <c r="X1034" s="421">
        <f t="shared" si="362"/>
        <v>0</v>
      </c>
      <c r="Y1034" s="413"/>
      <c r="Z1034" s="413">
        <f t="shared" ca="1" si="372"/>
        <v>0</v>
      </c>
      <c r="AA1034" s="408"/>
      <c r="AF1034" s="375">
        <f t="shared" ca="1" si="374"/>
        <v>46236</v>
      </c>
      <c r="AG1034" s="375" t="b">
        <f t="shared" si="375"/>
        <v>1</v>
      </c>
      <c r="AH1034" s="409" t="str">
        <f t="shared" si="376"/>
        <v/>
      </c>
      <c r="AK1034">
        <f t="shared" si="377"/>
        <v>0</v>
      </c>
      <c r="AL1034">
        <f t="shared" si="378"/>
        <v>1900</v>
      </c>
      <c r="AS1034">
        <f t="shared" si="379"/>
        <v>0</v>
      </c>
      <c r="AT1034">
        <f t="shared" si="380"/>
        <v>0</v>
      </c>
    </row>
    <row r="1035" spans="1:46" customFormat="1" ht="15.75" x14ac:dyDescent="0.25">
      <c r="A1035" s="372"/>
      <c r="B1035" s="401"/>
      <c r="C1035" s="402"/>
      <c r="D1035" s="403"/>
      <c r="E1035" s="404"/>
      <c r="F1035" s="405"/>
      <c r="G1035" s="406"/>
      <c r="H1035" s="407"/>
      <c r="I1035" s="407"/>
      <c r="J1035" s="413"/>
      <c r="K1035" s="415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17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17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17"/>
      <c r="O1035" s="417">
        <f t="shared" ca="1" si="373"/>
        <v>0</v>
      </c>
      <c r="P1035" s="417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17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17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17">
        <f ca="1">ROUND(IF(ISERROR(OFFSET(Bronzo!$A$1,MATCH(H1035,Bronzo!$A:$A,0)-1,MATCH(I1035,Bronzo!$A$1:$AA$1,0)-1)=TRUE),0,OFFSET(Bronzo!$A$1,MATCH(H1035,Bronzo!$A:$A,0)-1,MATCH(I1035,Bronzo!$A$1:$AA$1,0)-1)),4)</f>
        <v>0</v>
      </c>
      <c r="T1035" s="417">
        <f t="shared" ca="1" si="370"/>
        <v>0</v>
      </c>
      <c r="U1035" s="415"/>
      <c r="V1035" s="417">
        <v>0</v>
      </c>
      <c r="W1035" s="419">
        <f t="shared" ca="1" si="371"/>
        <v>0</v>
      </c>
      <c r="X1035" s="421">
        <f t="shared" si="362"/>
        <v>0</v>
      </c>
      <c r="Y1035" s="413"/>
      <c r="Z1035" s="413">
        <f t="shared" ca="1" si="372"/>
        <v>0</v>
      </c>
      <c r="AA1035" s="408"/>
      <c r="AF1035" s="375">
        <f t="shared" ca="1" si="374"/>
        <v>46236</v>
      </c>
      <c r="AG1035" s="375" t="b">
        <f t="shared" si="375"/>
        <v>1</v>
      </c>
      <c r="AH1035" s="409" t="str">
        <f t="shared" si="376"/>
        <v/>
      </c>
      <c r="AK1035">
        <f t="shared" si="377"/>
        <v>0</v>
      </c>
      <c r="AL1035">
        <f t="shared" si="378"/>
        <v>1900</v>
      </c>
      <c r="AS1035">
        <f t="shared" si="379"/>
        <v>0</v>
      </c>
      <c r="AT1035">
        <f t="shared" si="380"/>
        <v>0</v>
      </c>
    </row>
    <row r="1036" spans="1:46" customFormat="1" ht="15.75" x14ac:dyDescent="0.25">
      <c r="A1036" s="372"/>
      <c r="B1036" s="401"/>
      <c r="C1036" s="402"/>
      <c r="D1036" s="403"/>
      <c r="E1036" s="404"/>
      <c r="F1036" s="405"/>
      <c r="G1036" s="406"/>
      <c r="H1036" s="407"/>
      <c r="I1036" s="407"/>
      <c r="J1036" s="413"/>
      <c r="K1036" s="415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17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17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17"/>
      <c r="O1036" s="417">
        <f t="shared" ca="1" si="373"/>
        <v>0</v>
      </c>
      <c r="P1036" s="417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17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17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17">
        <f ca="1">ROUND(IF(ISERROR(OFFSET(Bronzo!$A$1,MATCH(H1036,Bronzo!$A:$A,0)-1,MATCH(I1036,Bronzo!$A$1:$AA$1,0)-1)=TRUE),0,OFFSET(Bronzo!$A$1,MATCH(H1036,Bronzo!$A:$A,0)-1,MATCH(I1036,Bronzo!$A$1:$AA$1,0)-1)),4)</f>
        <v>0</v>
      </c>
      <c r="T1036" s="417">
        <f t="shared" ca="1" si="370"/>
        <v>0</v>
      </c>
      <c r="U1036" s="415"/>
      <c r="V1036" s="417">
        <v>0</v>
      </c>
      <c r="W1036" s="419">
        <f t="shared" ca="1" si="371"/>
        <v>0</v>
      </c>
      <c r="X1036" s="421">
        <f t="shared" si="362"/>
        <v>0</v>
      </c>
      <c r="Y1036" s="413"/>
      <c r="Z1036" s="413">
        <f t="shared" ca="1" si="372"/>
        <v>0</v>
      </c>
      <c r="AA1036" s="408"/>
      <c r="AF1036" s="375">
        <f t="shared" ca="1" si="374"/>
        <v>46236</v>
      </c>
      <c r="AG1036" s="375" t="b">
        <f t="shared" si="375"/>
        <v>1</v>
      </c>
      <c r="AH1036" s="409" t="str">
        <f t="shared" si="376"/>
        <v/>
      </c>
      <c r="AK1036">
        <f t="shared" si="377"/>
        <v>0</v>
      </c>
      <c r="AL1036">
        <f t="shared" si="378"/>
        <v>1900</v>
      </c>
      <c r="AS1036">
        <f t="shared" si="379"/>
        <v>0</v>
      </c>
      <c r="AT1036">
        <f t="shared" si="380"/>
        <v>0</v>
      </c>
    </row>
    <row r="1037" spans="1:46" customFormat="1" ht="15.75" x14ac:dyDescent="0.25">
      <c r="A1037" s="372"/>
      <c r="B1037" s="401"/>
      <c r="C1037" s="402"/>
      <c r="D1037" s="403"/>
      <c r="E1037" s="404"/>
      <c r="F1037" s="405"/>
      <c r="G1037" s="406"/>
      <c r="H1037" s="407"/>
      <c r="I1037" s="407"/>
      <c r="J1037" s="413"/>
      <c r="K1037" s="415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17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17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17"/>
      <c r="O1037" s="417">
        <f t="shared" ca="1" si="373"/>
        <v>0</v>
      </c>
      <c r="P1037" s="417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17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17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17">
        <f ca="1">ROUND(IF(ISERROR(OFFSET(Bronzo!$A$1,MATCH(H1037,Bronzo!$A:$A,0)-1,MATCH(I1037,Bronzo!$A$1:$AA$1,0)-1)=TRUE),0,OFFSET(Bronzo!$A$1,MATCH(H1037,Bronzo!$A:$A,0)-1,MATCH(I1037,Bronzo!$A$1:$AA$1,0)-1)),4)</f>
        <v>0</v>
      </c>
      <c r="T1037" s="417">
        <f t="shared" ca="1" si="370"/>
        <v>0</v>
      </c>
      <c r="U1037" s="415"/>
      <c r="V1037" s="417">
        <v>0</v>
      </c>
      <c r="W1037" s="419">
        <f t="shared" ca="1" si="371"/>
        <v>0</v>
      </c>
      <c r="X1037" s="421">
        <f t="shared" si="362"/>
        <v>0</v>
      </c>
      <c r="Y1037" s="413"/>
      <c r="Z1037" s="413">
        <f t="shared" ca="1" si="372"/>
        <v>0</v>
      </c>
      <c r="AA1037" s="408"/>
      <c r="AF1037" s="375">
        <f t="shared" ca="1" si="374"/>
        <v>46236</v>
      </c>
      <c r="AG1037" s="375" t="b">
        <f t="shared" si="375"/>
        <v>1</v>
      </c>
      <c r="AH1037" s="409" t="str">
        <f t="shared" si="376"/>
        <v/>
      </c>
      <c r="AK1037">
        <f t="shared" si="377"/>
        <v>0</v>
      </c>
      <c r="AL1037">
        <f t="shared" si="378"/>
        <v>1900</v>
      </c>
      <c r="AS1037">
        <f t="shared" si="379"/>
        <v>0</v>
      </c>
      <c r="AT1037">
        <f t="shared" si="380"/>
        <v>0</v>
      </c>
    </row>
    <row r="1038" spans="1:46" customFormat="1" ht="15.75" x14ac:dyDescent="0.25">
      <c r="A1038" s="372"/>
      <c r="B1038" s="401"/>
      <c r="C1038" s="402"/>
      <c r="D1038" s="403"/>
      <c r="E1038" s="404"/>
      <c r="F1038" s="405"/>
      <c r="G1038" s="406"/>
      <c r="H1038" s="407"/>
      <c r="I1038" s="407"/>
      <c r="J1038" s="413"/>
      <c r="K1038" s="415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17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17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17"/>
      <c r="O1038" s="417">
        <f t="shared" ca="1" si="373"/>
        <v>0</v>
      </c>
      <c r="P1038" s="417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17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17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17">
        <f ca="1">ROUND(IF(ISERROR(OFFSET(Bronzo!$A$1,MATCH(H1038,Bronzo!$A:$A,0)-1,MATCH(I1038,Bronzo!$A$1:$AA$1,0)-1)=TRUE),0,OFFSET(Bronzo!$A$1,MATCH(H1038,Bronzo!$A:$A,0)-1,MATCH(I1038,Bronzo!$A$1:$AA$1,0)-1)),4)</f>
        <v>0</v>
      </c>
      <c r="T1038" s="417">
        <f t="shared" ca="1" si="370"/>
        <v>0</v>
      </c>
      <c r="U1038" s="415"/>
      <c r="V1038" s="417">
        <v>0</v>
      </c>
      <c r="W1038" s="419">
        <f t="shared" ca="1" si="371"/>
        <v>0</v>
      </c>
      <c r="X1038" s="421">
        <f t="shared" si="362"/>
        <v>0</v>
      </c>
      <c r="Y1038" s="413"/>
      <c r="Z1038" s="413">
        <f t="shared" ca="1" si="372"/>
        <v>0</v>
      </c>
      <c r="AA1038" s="408"/>
      <c r="AF1038" s="375">
        <f t="shared" ca="1" si="374"/>
        <v>46236</v>
      </c>
      <c r="AG1038" s="375" t="b">
        <f t="shared" si="375"/>
        <v>1</v>
      </c>
      <c r="AH1038" s="409" t="str">
        <f t="shared" si="376"/>
        <v/>
      </c>
      <c r="AK1038">
        <f t="shared" si="377"/>
        <v>0</v>
      </c>
      <c r="AL1038">
        <f t="shared" si="378"/>
        <v>1900</v>
      </c>
      <c r="AS1038">
        <f t="shared" si="379"/>
        <v>0</v>
      </c>
      <c r="AT1038">
        <f t="shared" si="380"/>
        <v>0</v>
      </c>
    </row>
    <row r="1039" spans="1:46" customFormat="1" ht="15.75" x14ac:dyDescent="0.25">
      <c r="A1039" s="372"/>
      <c r="B1039" s="401"/>
      <c r="C1039" s="402"/>
      <c r="D1039" s="403"/>
      <c r="E1039" s="404"/>
      <c r="F1039" s="405"/>
      <c r="G1039" s="406"/>
      <c r="H1039" s="407"/>
      <c r="I1039" s="407"/>
      <c r="J1039" s="413"/>
      <c r="K1039" s="415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17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17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17"/>
      <c r="O1039" s="417">
        <f t="shared" ca="1" si="373"/>
        <v>0</v>
      </c>
      <c r="P1039" s="417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17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17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17">
        <f ca="1">ROUND(IF(ISERROR(OFFSET(Bronzo!$A$1,MATCH(H1039,Bronzo!$A:$A,0)-1,MATCH(I1039,Bronzo!$A$1:$AA$1,0)-1)=TRUE),0,OFFSET(Bronzo!$A$1,MATCH(H1039,Bronzo!$A:$A,0)-1,MATCH(I1039,Bronzo!$A$1:$AA$1,0)-1)),4)</f>
        <v>0</v>
      </c>
      <c r="T1039" s="417">
        <f t="shared" ca="1" si="370"/>
        <v>0</v>
      </c>
      <c r="U1039" s="415"/>
      <c r="V1039" s="417">
        <v>0</v>
      </c>
      <c r="W1039" s="419">
        <f t="shared" ca="1" si="371"/>
        <v>0</v>
      </c>
      <c r="X1039" s="421">
        <f t="shared" si="362"/>
        <v>0</v>
      </c>
      <c r="Y1039" s="413"/>
      <c r="Z1039" s="413">
        <f t="shared" ca="1" si="372"/>
        <v>0</v>
      </c>
      <c r="AA1039" s="408"/>
      <c r="AF1039" s="375">
        <f t="shared" ca="1" si="374"/>
        <v>46236</v>
      </c>
      <c r="AG1039" s="375" t="b">
        <f t="shared" si="375"/>
        <v>1</v>
      </c>
      <c r="AH1039" s="409" t="str">
        <f t="shared" si="376"/>
        <v/>
      </c>
      <c r="AK1039">
        <f t="shared" si="377"/>
        <v>0</v>
      </c>
      <c r="AL1039">
        <f t="shared" si="378"/>
        <v>1900</v>
      </c>
      <c r="AS1039">
        <f t="shared" si="379"/>
        <v>0</v>
      </c>
      <c r="AT1039">
        <f t="shared" si="380"/>
        <v>0</v>
      </c>
    </row>
    <row r="1040" spans="1:46" customFormat="1" ht="15.75" x14ac:dyDescent="0.25">
      <c r="A1040" s="372"/>
      <c r="B1040" s="401"/>
      <c r="C1040" s="402"/>
      <c r="D1040" s="403"/>
      <c r="E1040" s="404"/>
      <c r="F1040" s="405"/>
      <c r="G1040" s="406"/>
      <c r="H1040" s="407"/>
      <c r="I1040" s="407"/>
      <c r="J1040" s="413"/>
      <c r="K1040" s="415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17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17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17"/>
      <c r="O1040" s="417">
        <f t="shared" ca="1" si="373"/>
        <v>0</v>
      </c>
      <c r="P1040" s="417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17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17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17">
        <f ca="1">ROUND(IF(ISERROR(OFFSET(Bronzo!$A$1,MATCH(H1040,Bronzo!$A:$A,0)-1,MATCH(I1040,Bronzo!$A$1:$AA$1,0)-1)=TRUE),0,OFFSET(Bronzo!$A$1,MATCH(H1040,Bronzo!$A:$A,0)-1,MATCH(I1040,Bronzo!$A$1:$AA$1,0)-1)),4)</f>
        <v>0</v>
      </c>
      <c r="T1040" s="417">
        <f t="shared" ca="1" si="370"/>
        <v>0</v>
      </c>
      <c r="U1040" s="415"/>
      <c r="V1040" s="417">
        <v>0</v>
      </c>
      <c r="W1040" s="419">
        <f t="shared" ca="1" si="371"/>
        <v>0</v>
      </c>
      <c r="X1040" s="421">
        <f t="shared" si="362"/>
        <v>0</v>
      </c>
      <c r="Y1040" s="413"/>
      <c r="Z1040" s="413">
        <f t="shared" ca="1" si="372"/>
        <v>0</v>
      </c>
      <c r="AA1040" s="408"/>
      <c r="AF1040" s="375">
        <f t="shared" ca="1" si="374"/>
        <v>46236</v>
      </c>
      <c r="AG1040" s="375" t="b">
        <f t="shared" si="375"/>
        <v>1</v>
      </c>
      <c r="AH1040" s="409" t="str">
        <f t="shared" si="376"/>
        <v/>
      </c>
      <c r="AK1040">
        <f t="shared" si="377"/>
        <v>0</v>
      </c>
      <c r="AL1040">
        <f t="shared" si="378"/>
        <v>1900</v>
      </c>
      <c r="AS1040">
        <f t="shared" si="379"/>
        <v>0</v>
      </c>
      <c r="AT1040">
        <f t="shared" si="380"/>
        <v>0</v>
      </c>
    </row>
    <row r="1041" spans="1:46" customFormat="1" ht="15.75" x14ac:dyDescent="0.25">
      <c r="A1041" s="372"/>
      <c r="B1041" s="401"/>
      <c r="C1041" s="402"/>
      <c r="D1041" s="403"/>
      <c r="E1041" s="404"/>
      <c r="F1041" s="405"/>
      <c r="G1041" s="406"/>
      <c r="H1041" s="407"/>
      <c r="I1041" s="407"/>
      <c r="J1041" s="413"/>
      <c r="K1041" s="415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17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17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17"/>
      <c r="O1041" s="417">
        <f t="shared" ca="1" si="373"/>
        <v>0</v>
      </c>
      <c r="P1041" s="417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17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17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17">
        <f ca="1">ROUND(IF(ISERROR(OFFSET(Bronzo!$A$1,MATCH(H1041,Bronzo!$A:$A,0)-1,MATCH(I1041,Bronzo!$A$1:$AA$1,0)-1)=TRUE),0,OFFSET(Bronzo!$A$1,MATCH(H1041,Bronzo!$A:$A,0)-1,MATCH(I1041,Bronzo!$A$1:$AA$1,0)-1)),4)</f>
        <v>0</v>
      </c>
      <c r="T1041" s="417">
        <f t="shared" ca="1" si="370"/>
        <v>0</v>
      </c>
      <c r="U1041" s="415"/>
      <c r="V1041" s="417">
        <v>0</v>
      </c>
      <c r="W1041" s="419">
        <f t="shared" ca="1" si="371"/>
        <v>0</v>
      </c>
      <c r="X1041" s="421">
        <f t="shared" si="362"/>
        <v>0</v>
      </c>
      <c r="Y1041" s="413"/>
      <c r="Z1041" s="413">
        <f t="shared" ca="1" si="372"/>
        <v>0</v>
      </c>
      <c r="AA1041" s="408"/>
      <c r="AF1041" s="375">
        <f t="shared" ca="1" si="374"/>
        <v>46236</v>
      </c>
      <c r="AG1041" s="375" t="b">
        <f t="shared" si="375"/>
        <v>1</v>
      </c>
      <c r="AH1041" s="409" t="str">
        <f t="shared" si="376"/>
        <v/>
      </c>
      <c r="AK1041">
        <f t="shared" si="377"/>
        <v>0</v>
      </c>
      <c r="AL1041">
        <f t="shared" si="378"/>
        <v>1900</v>
      </c>
      <c r="AS1041">
        <f t="shared" si="379"/>
        <v>0</v>
      </c>
      <c r="AT1041">
        <f t="shared" si="380"/>
        <v>0</v>
      </c>
    </row>
    <row r="1042" spans="1:46" customFormat="1" ht="15.75" x14ac:dyDescent="0.25">
      <c r="A1042" s="372"/>
      <c r="B1042" s="401"/>
      <c r="C1042" s="402"/>
      <c r="D1042" s="403"/>
      <c r="E1042" s="404"/>
      <c r="F1042" s="405"/>
      <c r="G1042" s="406"/>
      <c r="H1042" s="407"/>
      <c r="I1042" s="407"/>
      <c r="J1042" s="413"/>
      <c r="K1042" s="415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17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17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17"/>
      <c r="O1042" s="417">
        <f t="shared" ca="1" si="373"/>
        <v>0</v>
      </c>
      <c r="P1042" s="417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17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17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17">
        <f ca="1">ROUND(IF(ISERROR(OFFSET(Bronzo!$A$1,MATCH(H1042,Bronzo!$A:$A,0)-1,MATCH(I1042,Bronzo!$A$1:$AA$1,0)-1)=TRUE),0,OFFSET(Bronzo!$A$1,MATCH(H1042,Bronzo!$A:$A,0)-1,MATCH(I1042,Bronzo!$A$1:$AA$1,0)-1)),4)</f>
        <v>0</v>
      </c>
      <c r="T1042" s="417">
        <f t="shared" ca="1" si="370"/>
        <v>0</v>
      </c>
      <c r="U1042" s="415"/>
      <c r="V1042" s="417">
        <v>0</v>
      </c>
      <c r="W1042" s="419">
        <f t="shared" ca="1" si="371"/>
        <v>0</v>
      </c>
      <c r="X1042" s="421">
        <f t="shared" si="362"/>
        <v>0</v>
      </c>
      <c r="Y1042" s="413"/>
      <c r="Z1042" s="413">
        <f t="shared" ca="1" si="372"/>
        <v>0</v>
      </c>
      <c r="AA1042" s="408"/>
      <c r="AF1042" s="375">
        <f t="shared" ca="1" si="374"/>
        <v>46236</v>
      </c>
      <c r="AG1042" s="375" t="b">
        <f t="shared" si="375"/>
        <v>1</v>
      </c>
      <c r="AH1042" s="409" t="str">
        <f t="shared" si="376"/>
        <v/>
      </c>
      <c r="AK1042">
        <f t="shared" si="377"/>
        <v>0</v>
      </c>
      <c r="AL1042">
        <f t="shared" si="378"/>
        <v>1900</v>
      </c>
      <c r="AS1042">
        <f t="shared" si="379"/>
        <v>0</v>
      </c>
      <c r="AT1042">
        <f t="shared" si="380"/>
        <v>0</v>
      </c>
    </row>
    <row r="1043" spans="1:46" customFormat="1" ht="15.75" x14ac:dyDescent="0.25">
      <c r="A1043" s="372"/>
      <c r="B1043" s="401"/>
      <c r="C1043" s="402"/>
      <c r="D1043" s="403"/>
      <c r="E1043" s="404"/>
      <c r="F1043" s="405"/>
      <c r="G1043" s="406"/>
      <c r="H1043" s="407"/>
      <c r="I1043" s="407"/>
      <c r="J1043" s="413"/>
      <c r="K1043" s="415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17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17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17"/>
      <c r="O1043" s="417">
        <f t="shared" ca="1" si="373"/>
        <v>0</v>
      </c>
      <c r="P1043" s="417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17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17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17">
        <f ca="1">ROUND(IF(ISERROR(OFFSET(Bronzo!$A$1,MATCH(H1043,Bronzo!$A:$A,0)-1,MATCH(I1043,Bronzo!$A$1:$AA$1,0)-1)=TRUE),0,OFFSET(Bronzo!$A$1,MATCH(H1043,Bronzo!$A:$A,0)-1,MATCH(I1043,Bronzo!$A$1:$AA$1,0)-1)),4)</f>
        <v>0</v>
      </c>
      <c r="T1043" s="417">
        <f t="shared" ca="1" si="370"/>
        <v>0</v>
      </c>
      <c r="U1043" s="415"/>
      <c r="V1043" s="417">
        <v>0</v>
      </c>
      <c r="W1043" s="419">
        <f t="shared" ca="1" si="371"/>
        <v>0</v>
      </c>
      <c r="X1043" s="421">
        <f t="shared" si="362"/>
        <v>0</v>
      </c>
      <c r="Y1043" s="413"/>
      <c r="Z1043" s="413">
        <f t="shared" ca="1" si="372"/>
        <v>0</v>
      </c>
      <c r="AA1043" s="408"/>
      <c r="AF1043" s="375">
        <f t="shared" ca="1" si="374"/>
        <v>46236</v>
      </c>
      <c r="AG1043" s="375" t="b">
        <f t="shared" si="375"/>
        <v>1</v>
      </c>
      <c r="AH1043" s="409" t="str">
        <f t="shared" si="376"/>
        <v/>
      </c>
      <c r="AK1043">
        <f t="shared" si="377"/>
        <v>0</v>
      </c>
      <c r="AL1043">
        <f t="shared" si="378"/>
        <v>1900</v>
      </c>
      <c r="AS1043">
        <f t="shared" si="379"/>
        <v>0</v>
      </c>
      <c r="AT1043">
        <f t="shared" si="380"/>
        <v>0</v>
      </c>
    </row>
    <row r="1044" spans="1:46" customFormat="1" ht="15.75" x14ac:dyDescent="0.25">
      <c r="A1044" s="372"/>
      <c r="B1044" s="401"/>
      <c r="C1044" s="402"/>
      <c r="D1044" s="403"/>
      <c r="E1044" s="404"/>
      <c r="F1044" s="405"/>
      <c r="G1044" s="406"/>
      <c r="H1044" s="407"/>
      <c r="I1044" s="407"/>
      <c r="J1044" s="413"/>
      <c r="K1044" s="415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17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17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17"/>
      <c r="O1044" s="417">
        <f t="shared" ca="1" si="373"/>
        <v>0</v>
      </c>
      <c r="P1044" s="417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17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17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17">
        <f ca="1">ROUND(IF(ISERROR(OFFSET(Bronzo!$A$1,MATCH(H1044,Bronzo!$A:$A,0)-1,MATCH(I1044,Bronzo!$A$1:$AA$1,0)-1)=TRUE),0,OFFSET(Bronzo!$A$1,MATCH(H1044,Bronzo!$A:$A,0)-1,MATCH(I1044,Bronzo!$A$1:$AA$1,0)-1)),4)</f>
        <v>0</v>
      </c>
      <c r="T1044" s="417">
        <f t="shared" ca="1" si="370"/>
        <v>0</v>
      </c>
      <c r="U1044" s="415"/>
      <c r="V1044" s="417">
        <v>0</v>
      </c>
      <c r="W1044" s="419">
        <f t="shared" ca="1" si="371"/>
        <v>0</v>
      </c>
      <c r="X1044" s="421">
        <f t="shared" si="362"/>
        <v>0</v>
      </c>
      <c r="Y1044" s="413"/>
      <c r="Z1044" s="413">
        <f t="shared" ca="1" si="372"/>
        <v>0</v>
      </c>
      <c r="AA1044" s="408"/>
      <c r="AF1044" s="375">
        <f t="shared" ca="1" si="374"/>
        <v>46236</v>
      </c>
      <c r="AG1044" s="375" t="b">
        <f t="shared" si="375"/>
        <v>1</v>
      </c>
      <c r="AH1044" s="409" t="str">
        <f t="shared" si="376"/>
        <v/>
      </c>
      <c r="AK1044">
        <f t="shared" si="377"/>
        <v>0</v>
      </c>
      <c r="AL1044">
        <f t="shared" si="378"/>
        <v>1900</v>
      </c>
      <c r="AS1044">
        <f t="shared" si="379"/>
        <v>0</v>
      </c>
      <c r="AT1044">
        <f t="shared" si="380"/>
        <v>0</v>
      </c>
    </row>
    <row r="1045" spans="1:46" customFormat="1" ht="15.75" x14ac:dyDescent="0.25">
      <c r="A1045" s="372"/>
      <c r="B1045" s="401"/>
      <c r="C1045" s="402"/>
      <c r="D1045" s="403"/>
      <c r="E1045" s="404"/>
      <c r="F1045" s="405"/>
      <c r="G1045" s="406"/>
      <c r="H1045" s="407"/>
      <c r="I1045" s="407"/>
      <c r="J1045" s="413"/>
      <c r="K1045" s="415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17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17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17"/>
      <c r="O1045" s="417">
        <f t="shared" ca="1" si="373"/>
        <v>0</v>
      </c>
      <c r="P1045" s="417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17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17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17">
        <f ca="1">ROUND(IF(ISERROR(OFFSET(Bronzo!$A$1,MATCH(H1045,Bronzo!$A:$A,0)-1,MATCH(I1045,Bronzo!$A$1:$AA$1,0)-1)=TRUE),0,OFFSET(Bronzo!$A$1,MATCH(H1045,Bronzo!$A:$A,0)-1,MATCH(I1045,Bronzo!$A$1:$AA$1,0)-1)),4)</f>
        <v>0</v>
      </c>
      <c r="T1045" s="417">
        <f t="shared" ca="1" si="370"/>
        <v>0</v>
      </c>
      <c r="U1045" s="415"/>
      <c r="V1045" s="417">
        <v>0</v>
      </c>
      <c r="W1045" s="419">
        <f t="shared" ca="1" si="371"/>
        <v>0</v>
      </c>
      <c r="X1045" s="421">
        <f t="shared" si="362"/>
        <v>0</v>
      </c>
      <c r="Y1045" s="413"/>
      <c r="Z1045" s="413">
        <f t="shared" ca="1" si="372"/>
        <v>0</v>
      </c>
      <c r="AA1045" s="408"/>
      <c r="AF1045" s="375">
        <f t="shared" ca="1" si="374"/>
        <v>46236</v>
      </c>
      <c r="AG1045" s="375" t="b">
        <f t="shared" si="375"/>
        <v>1</v>
      </c>
      <c r="AH1045" s="409" t="str">
        <f t="shared" si="376"/>
        <v/>
      </c>
      <c r="AK1045">
        <f t="shared" si="377"/>
        <v>0</v>
      </c>
      <c r="AL1045">
        <f t="shared" si="378"/>
        <v>1900</v>
      </c>
      <c r="AS1045">
        <f t="shared" si="379"/>
        <v>0</v>
      </c>
      <c r="AT1045">
        <f t="shared" si="380"/>
        <v>0</v>
      </c>
    </row>
    <row r="1046" spans="1:46" customFormat="1" ht="15.75" x14ac:dyDescent="0.25">
      <c r="A1046" s="372"/>
      <c r="B1046" s="401"/>
      <c r="C1046" s="402"/>
      <c r="D1046" s="403"/>
      <c r="E1046" s="404"/>
      <c r="F1046" s="405"/>
      <c r="G1046" s="406"/>
      <c r="H1046" s="407"/>
      <c r="I1046" s="407"/>
      <c r="J1046" s="413"/>
      <c r="K1046" s="415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17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17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17"/>
      <c r="O1046" s="417">
        <f t="shared" ca="1" si="373"/>
        <v>0</v>
      </c>
      <c r="P1046" s="417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17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17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17">
        <f ca="1">ROUND(IF(ISERROR(OFFSET(Bronzo!$A$1,MATCH(H1046,Bronzo!$A:$A,0)-1,MATCH(I1046,Bronzo!$A$1:$AA$1,0)-1)=TRUE),0,OFFSET(Bronzo!$A$1,MATCH(H1046,Bronzo!$A:$A,0)-1,MATCH(I1046,Bronzo!$A$1:$AA$1,0)-1)),4)</f>
        <v>0</v>
      </c>
      <c r="T1046" s="417">
        <f t="shared" ca="1" si="370"/>
        <v>0</v>
      </c>
      <c r="U1046" s="415"/>
      <c r="V1046" s="417">
        <v>0</v>
      </c>
      <c r="W1046" s="419">
        <f t="shared" ca="1" si="371"/>
        <v>0</v>
      </c>
      <c r="X1046" s="421">
        <f t="shared" si="362"/>
        <v>0</v>
      </c>
      <c r="Y1046" s="413"/>
      <c r="Z1046" s="413">
        <f t="shared" ca="1" si="372"/>
        <v>0</v>
      </c>
      <c r="AA1046" s="408"/>
      <c r="AF1046" s="375">
        <f t="shared" ca="1" si="374"/>
        <v>46236</v>
      </c>
      <c r="AG1046" s="375" t="b">
        <f t="shared" si="375"/>
        <v>1</v>
      </c>
      <c r="AH1046" s="409" t="str">
        <f t="shared" si="376"/>
        <v/>
      </c>
      <c r="AK1046">
        <f t="shared" si="377"/>
        <v>0</v>
      </c>
      <c r="AL1046">
        <f t="shared" si="378"/>
        <v>1900</v>
      </c>
      <c r="AS1046">
        <f t="shared" si="379"/>
        <v>0</v>
      </c>
      <c r="AT1046">
        <f t="shared" si="380"/>
        <v>0</v>
      </c>
    </row>
    <row r="1047" spans="1:46" customFormat="1" ht="15.75" x14ac:dyDescent="0.25">
      <c r="A1047" s="372"/>
      <c r="B1047" s="401"/>
      <c r="C1047" s="402"/>
      <c r="D1047" s="403"/>
      <c r="E1047" s="404"/>
      <c r="F1047" s="405"/>
      <c r="G1047" s="406"/>
      <c r="H1047" s="407"/>
      <c r="I1047" s="407"/>
      <c r="J1047" s="413"/>
      <c r="K1047" s="415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17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17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17"/>
      <c r="O1047" s="417">
        <f t="shared" ca="1" si="373"/>
        <v>0</v>
      </c>
      <c r="P1047" s="417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17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17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17">
        <f ca="1">ROUND(IF(ISERROR(OFFSET(Bronzo!$A$1,MATCH(H1047,Bronzo!$A:$A,0)-1,MATCH(I1047,Bronzo!$A$1:$AA$1,0)-1)=TRUE),0,OFFSET(Bronzo!$A$1,MATCH(H1047,Bronzo!$A:$A,0)-1,MATCH(I1047,Bronzo!$A$1:$AA$1,0)-1)),4)</f>
        <v>0</v>
      </c>
      <c r="T1047" s="417">
        <f t="shared" ca="1" si="370"/>
        <v>0</v>
      </c>
      <c r="U1047" s="415"/>
      <c r="V1047" s="417">
        <v>0</v>
      </c>
      <c r="W1047" s="419">
        <f t="shared" ca="1" si="371"/>
        <v>0</v>
      </c>
      <c r="X1047" s="421">
        <f t="shared" si="362"/>
        <v>0</v>
      </c>
      <c r="Y1047" s="413"/>
      <c r="Z1047" s="413">
        <f t="shared" ca="1" si="372"/>
        <v>0</v>
      </c>
      <c r="AA1047" s="408"/>
      <c r="AF1047" s="375">
        <f t="shared" ca="1" si="374"/>
        <v>46236</v>
      </c>
      <c r="AG1047" s="375" t="b">
        <f t="shared" si="375"/>
        <v>1</v>
      </c>
      <c r="AH1047" s="409" t="str">
        <f t="shared" si="376"/>
        <v/>
      </c>
      <c r="AK1047">
        <f t="shared" si="377"/>
        <v>0</v>
      </c>
      <c r="AL1047">
        <f t="shared" si="378"/>
        <v>1900</v>
      </c>
      <c r="AS1047">
        <f t="shared" si="379"/>
        <v>0</v>
      </c>
      <c r="AT1047">
        <f t="shared" si="380"/>
        <v>0</v>
      </c>
    </row>
    <row r="1048" spans="1:46" customFormat="1" ht="15.75" x14ac:dyDescent="0.25">
      <c r="A1048" s="372"/>
      <c r="B1048" s="401"/>
      <c r="C1048" s="402"/>
      <c r="D1048" s="403"/>
      <c r="E1048" s="404"/>
      <c r="F1048" s="405"/>
      <c r="G1048" s="406"/>
      <c r="H1048" s="407"/>
      <c r="I1048" s="407"/>
      <c r="J1048" s="413"/>
      <c r="K1048" s="415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17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17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17"/>
      <c r="O1048" s="417">
        <f t="shared" ca="1" si="373"/>
        <v>0</v>
      </c>
      <c r="P1048" s="417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17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17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17">
        <f ca="1">ROUND(IF(ISERROR(OFFSET(Bronzo!$A$1,MATCH(H1048,Bronzo!$A:$A,0)-1,MATCH(I1048,Bronzo!$A$1:$AA$1,0)-1)=TRUE),0,OFFSET(Bronzo!$A$1,MATCH(H1048,Bronzo!$A:$A,0)-1,MATCH(I1048,Bronzo!$A$1:$AA$1,0)-1)),4)</f>
        <v>0</v>
      </c>
      <c r="T1048" s="417">
        <f t="shared" ca="1" si="370"/>
        <v>0</v>
      </c>
      <c r="U1048" s="415"/>
      <c r="V1048" s="417">
        <v>0</v>
      </c>
      <c r="W1048" s="419">
        <f t="shared" ca="1" si="371"/>
        <v>0</v>
      </c>
      <c r="X1048" s="421">
        <f t="shared" si="362"/>
        <v>0</v>
      </c>
      <c r="Y1048" s="413"/>
      <c r="Z1048" s="413">
        <f t="shared" ca="1" si="372"/>
        <v>0</v>
      </c>
      <c r="AA1048" s="408"/>
      <c r="AF1048" s="375">
        <f t="shared" ca="1" si="374"/>
        <v>46236</v>
      </c>
      <c r="AG1048" s="375" t="b">
        <f t="shared" si="375"/>
        <v>1</v>
      </c>
      <c r="AH1048" s="409" t="str">
        <f t="shared" si="376"/>
        <v/>
      </c>
      <c r="AK1048">
        <f t="shared" si="377"/>
        <v>0</v>
      </c>
      <c r="AL1048">
        <f t="shared" si="378"/>
        <v>1900</v>
      </c>
      <c r="AS1048">
        <f t="shared" si="379"/>
        <v>0</v>
      </c>
      <c r="AT1048">
        <f t="shared" si="380"/>
        <v>0</v>
      </c>
    </row>
    <row r="1049" spans="1:46" customFormat="1" ht="15.75" x14ac:dyDescent="0.25">
      <c r="A1049" s="372"/>
      <c r="B1049" s="401"/>
      <c r="C1049" s="402"/>
      <c r="D1049" s="403"/>
      <c r="E1049" s="404"/>
      <c r="F1049" s="405"/>
      <c r="G1049" s="406"/>
      <c r="H1049" s="407"/>
      <c r="I1049" s="407"/>
      <c r="J1049" s="413"/>
      <c r="K1049" s="415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17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17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17"/>
      <c r="O1049" s="417">
        <f t="shared" ca="1" si="373"/>
        <v>0</v>
      </c>
      <c r="P1049" s="417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17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17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17">
        <f ca="1">ROUND(IF(ISERROR(OFFSET(Bronzo!$A$1,MATCH(H1049,Bronzo!$A:$A,0)-1,MATCH(I1049,Bronzo!$A$1:$AA$1,0)-1)=TRUE),0,OFFSET(Bronzo!$A$1,MATCH(H1049,Bronzo!$A:$A,0)-1,MATCH(I1049,Bronzo!$A$1:$AA$1,0)-1)),4)</f>
        <v>0</v>
      </c>
      <c r="T1049" s="417">
        <f t="shared" ca="1" si="370"/>
        <v>0</v>
      </c>
      <c r="U1049" s="415"/>
      <c r="V1049" s="417">
        <v>0</v>
      </c>
      <c r="W1049" s="419">
        <f t="shared" ca="1" si="371"/>
        <v>0</v>
      </c>
      <c r="X1049" s="421">
        <f t="shared" si="362"/>
        <v>0</v>
      </c>
      <c r="Y1049" s="413"/>
      <c r="Z1049" s="413">
        <f t="shared" ca="1" si="372"/>
        <v>0</v>
      </c>
      <c r="AA1049" s="408"/>
      <c r="AF1049" s="375">
        <f t="shared" ca="1" si="374"/>
        <v>46236</v>
      </c>
      <c r="AG1049" s="375" t="b">
        <f t="shared" si="375"/>
        <v>1</v>
      </c>
      <c r="AH1049" s="409" t="str">
        <f t="shared" si="376"/>
        <v/>
      </c>
      <c r="AK1049">
        <f t="shared" si="377"/>
        <v>0</v>
      </c>
      <c r="AL1049">
        <f t="shared" si="378"/>
        <v>1900</v>
      </c>
      <c r="AS1049">
        <f t="shared" si="379"/>
        <v>0</v>
      </c>
      <c r="AT1049">
        <f t="shared" si="380"/>
        <v>0</v>
      </c>
    </row>
    <row r="1050" spans="1:46" customFormat="1" ht="15.75" x14ac:dyDescent="0.25">
      <c r="A1050" s="372"/>
      <c r="B1050" s="401"/>
      <c r="C1050" s="402"/>
      <c r="D1050" s="403"/>
      <c r="E1050" s="404"/>
      <c r="F1050" s="405"/>
      <c r="G1050" s="406"/>
      <c r="H1050" s="407"/>
      <c r="I1050" s="407"/>
      <c r="J1050" s="413"/>
      <c r="K1050" s="415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17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17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17"/>
      <c r="O1050" s="417">
        <f t="shared" ca="1" si="373"/>
        <v>0</v>
      </c>
      <c r="P1050" s="417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17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17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17">
        <f ca="1">ROUND(IF(ISERROR(OFFSET(Bronzo!$A$1,MATCH(H1050,Bronzo!$A:$A,0)-1,MATCH(I1050,Bronzo!$A$1:$AA$1,0)-1)=TRUE),0,OFFSET(Bronzo!$A$1,MATCH(H1050,Bronzo!$A:$A,0)-1,MATCH(I1050,Bronzo!$A$1:$AA$1,0)-1)),4)</f>
        <v>0</v>
      </c>
      <c r="T1050" s="417">
        <f t="shared" ca="1" si="370"/>
        <v>0</v>
      </c>
      <c r="U1050" s="415"/>
      <c r="V1050" s="417">
        <v>0</v>
      </c>
      <c r="W1050" s="419">
        <f t="shared" ca="1" si="371"/>
        <v>0</v>
      </c>
      <c r="X1050" s="421">
        <f t="shared" si="362"/>
        <v>0</v>
      </c>
      <c r="Y1050" s="413"/>
      <c r="Z1050" s="413">
        <f t="shared" ca="1" si="372"/>
        <v>0</v>
      </c>
      <c r="AA1050" s="408"/>
      <c r="AF1050" s="375">
        <f t="shared" ca="1" si="374"/>
        <v>46236</v>
      </c>
      <c r="AG1050" s="375" t="b">
        <f t="shared" si="375"/>
        <v>1</v>
      </c>
      <c r="AH1050" s="409" t="str">
        <f t="shared" si="376"/>
        <v/>
      </c>
      <c r="AK1050">
        <f t="shared" si="377"/>
        <v>0</v>
      </c>
      <c r="AL1050">
        <f t="shared" si="378"/>
        <v>1900</v>
      </c>
      <c r="AS1050">
        <f t="shared" si="379"/>
        <v>0</v>
      </c>
      <c r="AT1050">
        <f t="shared" si="380"/>
        <v>0</v>
      </c>
    </row>
    <row r="1051" spans="1:46" customFormat="1" ht="15.75" x14ac:dyDescent="0.25">
      <c r="A1051" s="372"/>
      <c r="B1051" s="401"/>
      <c r="C1051" s="402"/>
      <c r="D1051" s="403"/>
      <c r="E1051" s="404"/>
      <c r="F1051" s="405"/>
      <c r="G1051" s="406"/>
      <c r="H1051" s="407"/>
      <c r="I1051" s="407"/>
      <c r="J1051" s="413"/>
      <c r="K1051" s="415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17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17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17"/>
      <c r="O1051" s="417">
        <f t="shared" ca="1" si="373"/>
        <v>0</v>
      </c>
      <c r="P1051" s="417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17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17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17">
        <f ca="1">ROUND(IF(ISERROR(OFFSET(Bronzo!$A$1,MATCH(H1051,Bronzo!$A:$A,0)-1,MATCH(I1051,Bronzo!$A$1:$AA$1,0)-1)=TRUE),0,OFFSET(Bronzo!$A$1,MATCH(H1051,Bronzo!$A:$A,0)-1,MATCH(I1051,Bronzo!$A$1:$AA$1,0)-1)),4)</f>
        <v>0</v>
      </c>
      <c r="T1051" s="417">
        <f t="shared" ca="1" si="370"/>
        <v>0</v>
      </c>
      <c r="U1051" s="415"/>
      <c r="V1051" s="417">
        <v>0</v>
      </c>
      <c r="W1051" s="419">
        <f t="shared" ca="1" si="371"/>
        <v>0</v>
      </c>
      <c r="X1051" s="421">
        <f t="shared" si="362"/>
        <v>0</v>
      </c>
      <c r="Y1051" s="413"/>
      <c r="Z1051" s="413">
        <f t="shared" ca="1" si="372"/>
        <v>0</v>
      </c>
      <c r="AA1051" s="408"/>
      <c r="AF1051" s="375">
        <f t="shared" ca="1" si="374"/>
        <v>46236</v>
      </c>
      <c r="AG1051" s="375" t="b">
        <f t="shared" si="375"/>
        <v>1</v>
      </c>
      <c r="AH1051" s="409" t="str">
        <f t="shared" si="376"/>
        <v/>
      </c>
      <c r="AK1051">
        <f t="shared" si="377"/>
        <v>0</v>
      </c>
      <c r="AL1051">
        <f t="shared" si="378"/>
        <v>1900</v>
      </c>
      <c r="AS1051">
        <f t="shared" si="379"/>
        <v>0</v>
      </c>
      <c r="AT1051">
        <f t="shared" si="380"/>
        <v>0</v>
      </c>
    </row>
    <row r="1052" spans="1:46" customFormat="1" ht="15.75" x14ac:dyDescent="0.25">
      <c r="A1052" s="372"/>
      <c r="B1052" s="401"/>
      <c r="C1052" s="402"/>
      <c r="D1052" s="403"/>
      <c r="E1052" s="404"/>
      <c r="F1052" s="405"/>
      <c r="G1052" s="406"/>
      <c r="H1052" s="407"/>
      <c r="I1052" s="407"/>
      <c r="J1052" s="413"/>
      <c r="K1052" s="415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17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17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17"/>
      <c r="O1052" s="417">
        <f t="shared" ca="1" si="373"/>
        <v>0</v>
      </c>
      <c r="P1052" s="417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17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17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17">
        <f ca="1">ROUND(IF(ISERROR(OFFSET(Bronzo!$A$1,MATCH(H1052,Bronzo!$A:$A,0)-1,MATCH(I1052,Bronzo!$A$1:$AA$1,0)-1)=TRUE),0,OFFSET(Bronzo!$A$1,MATCH(H1052,Bronzo!$A:$A,0)-1,MATCH(I1052,Bronzo!$A$1:$AA$1,0)-1)),4)</f>
        <v>0</v>
      </c>
      <c r="T1052" s="417">
        <f t="shared" ca="1" si="370"/>
        <v>0</v>
      </c>
      <c r="U1052" s="415"/>
      <c r="V1052" s="417">
        <v>0</v>
      </c>
      <c r="W1052" s="419">
        <f t="shared" ca="1" si="371"/>
        <v>0</v>
      </c>
      <c r="X1052" s="421">
        <f t="shared" ref="X1052:X1102" si="381">ROUND(+J1052*D1052,4)</f>
        <v>0</v>
      </c>
      <c r="Y1052" s="413"/>
      <c r="Z1052" s="413">
        <f t="shared" ca="1" si="372"/>
        <v>0</v>
      </c>
      <c r="AA1052" s="408"/>
      <c r="AF1052" s="375">
        <f t="shared" ca="1" si="374"/>
        <v>46236</v>
      </c>
      <c r="AG1052" s="375" t="b">
        <f t="shared" si="375"/>
        <v>1</v>
      </c>
      <c r="AH1052" s="409" t="str">
        <f t="shared" si="376"/>
        <v/>
      </c>
      <c r="AK1052">
        <f t="shared" si="377"/>
        <v>0</v>
      </c>
      <c r="AL1052">
        <f t="shared" si="378"/>
        <v>1900</v>
      </c>
      <c r="AS1052">
        <f t="shared" si="379"/>
        <v>0</v>
      </c>
      <c r="AT1052">
        <f t="shared" si="380"/>
        <v>0</v>
      </c>
    </row>
    <row r="1053" spans="1:46" customFormat="1" ht="15.75" x14ac:dyDescent="0.25">
      <c r="A1053" s="372"/>
      <c r="B1053" s="401"/>
      <c r="C1053" s="402"/>
      <c r="D1053" s="403"/>
      <c r="E1053" s="404"/>
      <c r="F1053" s="405"/>
      <c r="G1053" s="406"/>
      <c r="H1053" s="407"/>
      <c r="I1053" s="407"/>
      <c r="J1053" s="413"/>
      <c r="K1053" s="415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17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17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17"/>
      <c r="O1053" s="417">
        <f t="shared" ca="1" si="373"/>
        <v>0</v>
      </c>
      <c r="P1053" s="417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17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17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17">
        <f ca="1">ROUND(IF(ISERROR(OFFSET(Bronzo!$A$1,MATCH(H1053,Bronzo!$A:$A,0)-1,MATCH(I1053,Bronzo!$A$1:$AA$1,0)-1)=TRUE),0,OFFSET(Bronzo!$A$1,MATCH(H1053,Bronzo!$A:$A,0)-1,MATCH(I1053,Bronzo!$A$1:$AA$1,0)-1)),4)</f>
        <v>0</v>
      </c>
      <c r="T1053" s="417">
        <f t="shared" ca="1" si="370"/>
        <v>0</v>
      </c>
      <c r="U1053" s="415"/>
      <c r="V1053" s="417">
        <v>0</v>
      </c>
      <c r="W1053" s="419">
        <f t="shared" ca="1" si="371"/>
        <v>0</v>
      </c>
      <c r="X1053" s="421">
        <f t="shared" si="381"/>
        <v>0</v>
      </c>
      <c r="Y1053" s="413"/>
      <c r="Z1053" s="413">
        <f t="shared" ca="1" si="372"/>
        <v>0</v>
      </c>
      <c r="AA1053" s="408"/>
      <c r="AF1053" s="375">
        <f t="shared" ca="1" si="374"/>
        <v>46236</v>
      </c>
      <c r="AG1053" s="375" t="b">
        <f t="shared" si="375"/>
        <v>1</v>
      </c>
      <c r="AH1053" s="409" t="str">
        <f t="shared" si="376"/>
        <v/>
      </c>
      <c r="AK1053">
        <f t="shared" si="377"/>
        <v>0</v>
      </c>
      <c r="AL1053">
        <f t="shared" si="378"/>
        <v>1900</v>
      </c>
      <c r="AS1053">
        <f t="shared" si="379"/>
        <v>0</v>
      </c>
      <c r="AT1053">
        <f t="shared" si="380"/>
        <v>0</v>
      </c>
    </row>
    <row r="1054" spans="1:46" customFormat="1" ht="15.75" x14ac:dyDescent="0.25">
      <c r="A1054" s="372"/>
      <c r="B1054" s="401"/>
      <c r="C1054" s="402"/>
      <c r="D1054" s="403"/>
      <c r="E1054" s="404"/>
      <c r="F1054" s="405"/>
      <c r="G1054" s="406"/>
      <c r="H1054" s="407"/>
      <c r="I1054" s="407"/>
      <c r="J1054" s="413"/>
      <c r="K1054" s="415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17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17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17"/>
      <c r="O1054" s="417">
        <f t="shared" ca="1" si="373"/>
        <v>0</v>
      </c>
      <c r="P1054" s="417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17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17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17">
        <f ca="1">ROUND(IF(ISERROR(OFFSET(Bronzo!$A$1,MATCH(H1054,Bronzo!$A:$A,0)-1,MATCH(I1054,Bronzo!$A$1:$AA$1,0)-1)=TRUE),0,OFFSET(Bronzo!$A$1,MATCH(H1054,Bronzo!$A:$A,0)-1,MATCH(I1054,Bronzo!$A$1:$AA$1,0)-1)),4)</f>
        <v>0</v>
      </c>
      <c r="T1054" s="417">
        <f t="shared" ca="1" si="370"/>
        <v>0</v>
      </c>
      <c r="U1054" s="415"/>
      <c r="V1054" s="417">
        <v>0</v>
      </c>
      <c r="W1054" s="419">
        <f t="shared" ca="1" si="371"/>
        <v>0</v>
      </c>
      <c r="X1054" s="421">
        <f t="shared" si="381"/>
        <v>0</v>
      </c>
      <c r="Y1054" s="413"/>
      <c r="Z1054" s="413">
        <f t="shared" ca="1" si="372"/>
        <v>0</v>
      </c>
      <c r="AA1054" s="408"/>
      <c r="AF1054" s="375">
        <f t="shared" ref="AF1054:AF1085" ca="1" si="382">TODAY()</f>
        <v>46236</v>
      </c>
      <c r="AG1054" s="375" t="b">
        <f t="shared" ref="AG1054:AG1085" si="383">ISBLANK(AA1054)</f>
        <v>1</v>
      </c>
      <c r="AH1054" s="409" t="str">
        <f t="shared" ref="AH1054:AH1085" si="384">IF(AG1054=FALSE,_xlfn.DAYS(AA1054,AF1054),"")</f>
        <v/>
      </c>
      <c r="AK1054">
        <f t="shared" ref="AK1054:AK1085" si="385">WEEKNUM(AA1054)</f>
        <v>0</v>
      </c>
      <c r="AL1054">
        <f t="shared" ref="AL1054:AL1085" si="386">YEAR(AA1054)</f>
        <v>1900</v>
      </c>
      <c r="AS1054">
        <f t="shared" ref="AS1054:AS1085" si="387">IF(AA1054="",0,MONTH(AA1054))</f>
        <v>0</v>
      </c>
      <c r="AT1054">
        <f t="shared" ref="AT1054:AT1085" si="388">IF(AA1054="",0,YEAR(AA1054))</f>
        <v>0</v>
      </c>
    </row>
    <row r="1055" spans="1:46" customFormat="1" ht="15.75" x14ac:dyDescent="0.25">
      <c r="A1055" s="372"/>
      <c r="B1055" s="401"/>
      <c r="C1055" s="402"/>
      <c r="D1055" s="403"/>
      <c r="E1055" s="404"/>
      <c r="F1055" s="405"/>
      <c r="G1055" s="406"/>
      <c r="H1055" s="407"/>
      <c r="I1055" s="407"/>
      <c r="J1055" s="413"/>
      <c r="K1055" s="415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17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17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17"/>
      <c r="O1055" s="417">
        <f t="shared" ca="1" si="373"/>
        <v>0</v>
      </c>
      <c r="P1055" s="417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17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17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17">
        <f ca="1">ROUND(IF(ISERROR(OFFSET(Bronzo!$A$1,MATCH(H1055,Bronzo!$A:$A,0)-1,MATCH(I1055,Bronzo!$A$1:$AA$1,0)-1)=TRUE),0,OFFSET(Bronzo!$A$1,MATCH(H1055,Bronzo!$A:$A,0)-1,MATCH(I1055,Bronzo!$A$1:$AA$1,0)-1)),4)</f>
        <v>0</v>
      </c>
      <c r="T1055" s="417">
        <f t="shared" ca="1" si="370"/>
        <v>0</v>
      </c>
      <c r="U1055" s="415"/>
      <c r="V1055" s="417">
        <v>0</v>
      </c>
      <c r="W1055" s="419">
        <f t="shared" ca="1" si="371"/>
        <v>0</v>
      </c>
      <c r="X1055" s="421">
        <f t="shared" si="381"/>
        <v>0</v>
      </c>
      <c r="Y1055" s="413"/>
      <c r="Z1055" s="413">
        <f t="shared" ca="1" si="372"/>
        <v>0</v>
      </c>
      <c r="AA1055" s="408"/>
      <c r="AF1055" s="375">
        <f t="shared" ca="1" si="382"/>
        <v>46236</v>
      </c>
      <c r="AG1055" s="375" t="b">
        <f t="shared" si="383"/>
        <v>1</v>
      </c>
      <c r="AH1055" s="409" t="str">
        <f t="shared" si="384"/>
        <v/>
      </c>
      <c r="AK1055">
        <f t="shared" si="385"/>
        <v>0</v>
      </c>
      <c r="AL1055">
        <f t="shared" si="386"/>
        <v>1900</v>
      </c>
      <c r="AS1055">
        <f t="shared" si="387"/>
        <v>0</v>
      </c>
      <c r="AT1055">
        <f t="shared" si="388"/>
        <v>0</v>
      </c>
    </row>
    <row r="1056" spans="1:46" customFormat="1" ht="15.75" x14ac:dyDescent="0.25">
      <c r="A1056" s="372"/>
      <c r="B1056" s="401"/>
      <c r="C1056" s="402"/>
      <c r="D1056" s="403"/>
      <c r="E1056" s="404"/>
      <c r="F1056" s="405"/>
      <c r="G1056" s="406"/>
      <c r="H1056" s="407"/>
      <c r="I1056" s="407"/>
      <c r="J1056" s="413"/>
      <c r="K1056" s="415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17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17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17"/>
      <c r="O1056" s="417">
        <f t="shared" ca="1" si="373"/>
        <v>0</v>
      </c>
      <c r="P1056" s="417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17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17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17">
        <f ca="1">ROUND(IF(ISERROR(OFFSET(Bronzo!$A$1,MATCH(H1056,Bronzo!$A:$A,0)-1,MATCH(I1056,Bronzo!$A$1:$AA$1,0)-1)=TRUE),0,OFFSET(Bronzo!$A$1,MATCH(H1056,Bronzo!$A:$A,0)-1,MATCH(I1056,Bronzo!$A$1:$AA$1,0)-1)),4)</f>
        <v>0</v>
      </c>
      <c r="T1056" s="417">
        <f t="shared" ca="1" si="370"/>
        <v>0</v>
      </c>
      <c r="U1056" s="415"/>
      <c r="V1056" s="417">
        <v>0</v>
      </c>
      <c r="W1056" s="419">
        <f t="shared" ca="1" si="371"/>
        <v>0</v>
      </c>
      <c r="X1056" s="421">
        <f t="shared" si="381"/>
        <v>0</v>
      </c>
      <c r="Y1056" s="413"/>
      <c r="Z1056" s="413">
        <f t="shared" ca="1" si="372"/>
        <v>0</v>
      </c>
      <c r="AA1056" s="408"/>
      <c r="AF1056" s="375">
        <f t="shared" ca="1" si="382"/>
        <v>46236</v>
      </c>
      <c r="AG1056" s="375" t="b">
        <f t="shared" si="383"/>
        <v>1</v>
      </c>
      <c r="AH1056" s="409" t="str">
        <f t="shared" si="384"/>
        <v/>
      </c>
      <c r="AK1056">
        <f t="shared" si="385"/>
        <v>0</v>
      </c>
      <c r="AL1056">
        <f t="shared" si="386"/>
        <v>1900</v>
      </c>
      <c r="AS1056">
        <f t="shared" si="387"/>
        <v>0</v>
      </c>
      <c r="AT1056">
        <f t="shared" si="388"/>
        <v>0</v>
      </c>
    </row>
    <row r="1057" spans="1:46" customFormat="1" ht="15.75" x14ac:dyDescent="0.25">
      <c r="A1057" s="372"/>
      <c r="B1057" s="401"/>
      <c r="C1057" s="402"/>
      <c r="D1057" s="403"/>
      <c r="E1057" s="404"/>
      <c r="F1057" s="405"/>
      <c r="G1057" s="406"/>
      <c r="H1057" s="407"/>
      <c r="I1057" s="407"/>
      <c r="J1057" s="413"/>
      <c r="K1057" s="415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17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17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17"/>
      <c r="O1057" s="417">
        <f t="shared" ca="1" si="373"/>
        <v>0</v>
      </c>
      <c r="P1057" s="417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17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17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17">
        <f ca="1">ROUND(IF(ISERROR(OFFSET(Bronzo!$A$1,MATCH(H1057,Bronzo!$A:$A,0)-1,MATCH(I1057,Bronzo!$A$1:$AA$1,0)-1)=TRUE),0,OFFSET(Bronzo!$A$1,MATCH(H1057,Bronzo!$A:$A,0)-1,MATCH(I1057,Bronzo!$A$1:$AA$1,0)-1)),4)</f>
        <v>0</v>
      </c>
      <c r="T1057" s="417">
        <f t="shared" ca="1" si="370"/>
        <v>0</v>
      </c>
      <c r="U1057" s="415"/>
      <c r="V1057" s="417">
        <v>0</v>
      </c>
      <c r="W1057" s="419">
        <f t="shared" ca="1" si="371"/>
        <v>0</v>
      </c>
      <c r="X1057" s="421">
        <f t="shared" si="381"/>
        <v>0</v>
      </c>
      <c r="Y1057" s="413"/>
      <c r="Z1057" s="413">
        <f t="shared" ca="1" si="372"/>
        <v>0</v>
      </c>
      <c r="AA1057" s="408"/>
      <c r="AF1057" s="375">
        <f t="shared" ca="1" si="382"/>
        <v>46236</v>
      </c>
      <c r="AG1057" s="375" t="b">
        <f t="shared" si="383"/>
        <v>1</v>
      </c>
      <c r="AH1057" s="409" t="str">
        <f t="shared" si="384"/>
        <v/>
      </c>
      <c r="AK1057">
        <f t="shared" si="385"/>
        <v>0</v>
      </c>
      <c r="AL1057">
        <f t="shared" si="386"/>
        <v>1900</v>
      </c>
      <c r="AS1057">
        <f t="shared" si="387"/>
        <v>0</v>
      </c>
      <c r="AT1057">
        <f t="shared" si="388"/>
        <v>0</v>
      </c>
    </row>
    <row r="1058" spans="1:46" customFormat="1" ht="15.75" x14ac:dyDescent="0.25">
      <c r="A1058" s="372"/>
      <c r="B1058" s="401"/>
      <c r="C1058" s="402"/>
      <c r="D1058" s="403"/>
      <c r="E1058" s="404"/>
      <c r="F1058" s="405"/>
      <c r="G1058" s="406"/>
      <c r="H1058" s="407"/>
      <c r="I1058" s="407"/>
      <c r="J1058" s="413"/>
      <c r="K1058" s="415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17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17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17"/>
      <c r="O1058" s="417">
        <f t="shared" ca="1" si="373"/>
        <v>0</v>
      </c>
      <c r="P1058" s="417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17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17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17">
        <f ca="1">ROUND(IF(ISERROR(OFFSET(Bronzo!$A$1,MATCH(H1058,Bronzo!$A:$A,0)-1,MATCH(I1058,Bronzo!$A$1:$AA$1,0)-1)=TRUE),0,OFFSET(Bronzo!$A$1,MATCH(H1058,Bronzo!$A:$A,0)-1,MATCH(I1058,Bronzo!$A$1:$AA$1,0)-1)),4)</f>
        <v>0</v>
      </c>
      <c r="T1058" s="417">
        <f t="shared" ref="T1058:T1102" ca="1" si="389">ROUND(SUM(P1058:S1058),4)</f>
        <v>0</v>
      </c>
      <c r="U1058" s="415"/>
      <c r="V1058" s="417">
        <v>0</v>
      </c>
      <c r="W1058" s="419">
        <f t="shared" ref="W1058:W1102" ca="1" si="390">ROUND(+O1058+T1058+U1058+V1058,4)</f>
        <v>0</v>
      </c>
      <c r="X1058" s="421">
        <f t="shared" si="381"/>
        <v>0</v>
      </c>
      <c r="Y1058" s="413"/>
      <c r="Z1058" s="413">
        <f t="shared" ref="Z1058:Z1102" ca="1" si="391">ROUND(+Y1058-W1058-F1058,4)</f>
        <v>0</v>
      </c>
      <c r="AA1058" s="408"/>
      <c r="AF1058" s="375">
        <f t="shared" ca="1" si="382"/>
        <v>46236</v>
      </c>
      <c r="AG1058" s="375" t="b">
        <f t="shared" si="383"/>
        <v>1</v>
      </c>
      <c r="AH1058" s="409" t="str">
        <f t="shared" si="384"/>
        <v/>
      </c>
      <c r="AK1058">
        <f t="shared" si="385"/>
        <v>0</v>
      </c>
      <c r="AL1058">
        <f t="shared" si="386"/>
        <v>1900</v>
      </c>
      <c r="AS1058">
        <f t="shared" si="387"/>
        <v>0</v>
      </c>
      <c r="AT1058">
        <f t="shared" si="388"/>
        <v>0</v>
      </c>
    </row>
    <row r="1059" spans="1:46" customFormat="1" ht="15.75" x14ac:dyDescent="0.25">
      <c r="A1059" s="372"/>
      <c r="B1059" s="401"/>
      <c r="C1059" s="402"/>
      <c r="D1059" s="403"/>
      <c r="E1059" s="404"/>
      <c r="F1059" s="405"/>
      <c r="G1059" s="406"/>
      <c r="H1059" s="407"/>
      <c r="I1059" s="407"/>
      <c r="J1059" s="413"/>
      <c r="K1059" s="415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17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17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17"/>
      <c r="O1059" s="417">
        <f t="shared" ca="1" si="373"/>
        <v>0</v>
      </c>
      <c r="P1059" s="417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17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17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17">
        <f ca="1">ROUND(IF(ISERROR(OFFSET(Bronzo!$A$1,MATCH(H1059,Bronzo!$A:$A,0)-1,MATCH(I1059,Bronzo!$A$1:$AA$1,0)-1)=TRUE),0,OFFSET(Bronzo!$A$1,MATCH(H1059,Bronzo!$A:$A,0)-1,MATCH(I1059,Bronzo!$A$1:$AA$1,0)-1)),4)</f>
        <v>0</v>
      </c>
      <c r="T1059" s="417">
        <f t="shared" ca="1" si="389"/>
        <v>0</v>
      </c>
      <c r="U1059" s="415"/>
      <c r="V1059" s="417">
        <v>0</v>
      </c>
      <c r="W1059" s="419">
        <f t="shared" ca="1" si="390"/>
        <v>0</v>
      </c>
      <c r="X1059" s="421">
        <f t="shared" si="381"/>
        <v>0</v>
      </c>
      <c r="Y1059" s="413"/>
      <c r="Z1059" s="413">
        <f t="shared" ca="1" si="391"/>
        <v>0</v>
      </c>
      <c r="AA1059" s="408"/>
      <c r="AF1059" s="375">
        <f t="shared" ca="1" si="382"/>
        <v>46236</v>
      </c>
      <c r="AG1059" s="375" t="b">
        <f t="shared" si="383"/>
        <v>1</v>
      </c>
      <c r="AH1059" s="409" t="str">
        <f t="shared" si="384"/>
        <v/>
      </c>
      <c r="AK1059">
        <f t="shared" si="385"/>
        <v>0</v>
      </c>
      <c r="AL1059">
        <f t="shared" si="386"/>
        <v>1900</v>
      </c>
      <c r="AS1059">
        <f t="shared" si="387"/>
        <v>0</v>
      </c>
      <c r="AT1059">
        <f t="shared" si="388"/>
        <v>0</v>
      </c>
    </row>
    <row r="1060" spans="1:46" customFormat="1" ht="15.75" x14ac:dyDescent="0.25">
      <c r="A1060" s="372"/>
      <c r="B1060" s="401"/>
      <c r="C1060" s="402"/>
      <c r="D1060" s="403"/>
      <c r="E1060" s="404"/>
      <c r="F1060" s="405"/>
      <c r="G1060" s="406"/>
      <c r="H1060" s="407"/>
      <c r="I1060" s="407"/>
      <c r="J1060" s="413"/>
      <c r="K1060" s="415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17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17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17"/>
      <c r="O1060" s="417">
        <f t="shared" ca="1" si="373"/>
        <v>0</v>
      </c>
      <c r="P1060" s="417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17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17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17">
        <f ca="1">ROUND(IF(ISERROR(OFFSET(Bronzo!$A$1,MATCH(H1060,Bronzo!$A:$A,0)-1,MATCH(I1060,Bronzo!$A$1:$AA$1,0)-1)=TRUE),0,OFFSET(Bronzo!$A$1,MATCH(H1060,Bronzo!$A:$A,0)-1,MATCH(I1060,Bronzo!$A$1:$AA$1,0)-1)),4)</f>
        <v>0</v>
      </c>
      <c r="T1060" s="417">
        <f t="shared" ca="1" si="389"/>
        <v>0</v>
      </c>
      <c r="U1060" s="415"/>
      <c r="V1060" s="417">
        <v>0</v>
      </c>
      <c r="W1060" s="419">
        <f t="shared" ca="1" si="390"/>
        <v>0</v>
      </c>
      <c r="X1060" s="421">
        <f t="shared" si="381"/>
        <v>0</v>
      </c>
      <c r="Y1060" s="413"/>
      <c r="Z1060" s="413">
        <f t="shared" ca="1" si="391"/>
        <v>0</v>
      </c>
      <c r="AA1060" s="408"/>
      <c r="AF1060" s="375">
        <f t="shared" ca="1" si="382"/>
        <v>46236</v>
      </c>
      <c r="AG1060" s="375" t="b">
        <f t="shared" si="383"/>
        <v>1</v>
      </c>
      <c r="AH1060" s="409" t="str">
        <f t="shared" si="384"/>
        <v/>
      </c>
      <c r="AK1060">
        <f t="shared" si="385"/>
        <v>0</v>
      </c>
      <c r="AL1060">
        <f t="shared" si="386"/>
        <v>1900</v>
      </c>
      <c r="AS1060">
        <f t="shared" si="387"/>
        <v>0</v>
      </c>
      <c r="AT1060">
        <f t="shared" si="388"/>
        <v>0</v>
      </c>
    </row>
    <row r="1061" spans="1:46" customFormat="1" ht="15.75" x14ac:dyDescent="0.25">
      <c r="A1061" s="372"/>
      <c r="B1061" s="401"/>
      <c r="C1061" s="402"/>
      <c r="D1061" s="403"/>
      <c r="E1061" s="404"/>
      <c r="F1061" s="405"/>
      <c r="G1061" s="406"/>
      <c r="H1061" s="407"/>
      <c r="I1061" s="407"/>
      <c r="J1061" s="413"/>
      <c r="K1061" s="415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17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17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17"/>
      <c r="O1061" s="417">
        <f t="shared" ca="1" si="373"/>
        <v>0</v>
      </c>
      <c r="P1061" s="417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17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17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17">
        <f ca="1">ROUND(IF(ISERROR(OFFSET(Bronzo!$A$1,MATCH(H1061,Bronzo!$A:$A,0)-1,MATCH(I1061,Bronzo!$A$1:$AA$1,0)-1)=TRUE),0,OFFSET(Bronzo!$A$1,MATCH(H1061,Bronzo!$A:$A,0)-1,MATCH(I1061,Bronzo!$A$1:$AA$1,0)-1)),4)</f>
        <v>0</v>
      </c>
      <c r="T1061" s="417">
        <f t="shared" ca="1" si="389"/>
        <v>0</v>
      </c>
      <c r="U1061" s="415"/>
      <c r="V1061" s="417">
        <v>0</v>
      </c>
      <c r="W1061" s="419">
        <f t="shared" ca="1" si="390"/>
        <v>0</v>
      </c>
      <c r="X1061" s="421">
        <f t="shared" si="381"/>
        <v>0</v>
      </c>
      <c r="Y1061" s="413"/>
      <c r="Z1061" s="413">
        <f t="shared" ca="1" si="391"/>
        <v>0</v>
      </c>
      <c r="AA1061" s="408"/>
      <c r="AF1061" s="375">
        <f t="shared" ca="1" si="382"/>
        <v>46236</v>
      </c>
      <c r="AG1061" s="375" t="b">
        <f t="shared" si="383"/>
        <v>1</v>
      </c>
      <c r="AH1061" s="409" t="str">
        <f t="shared" si="384"/>
        <v/>
      </c>
      <c r="AK1061">
        <f t="shared" si="385"/>
        <v>0</v>
      </c>
      <c r="AL1061">
        <f t="shared" si="386"/>
        <v>1900</v>
      </c>
      <c r="AS1061">
        <f t="shared" si="387"/>
        <v>0</v>
      </c>
      <c r="AT1061">
        <f t="shared" si="388"/>
        <v>0</v>
      </c>
    </row>
    <row r="1062" spans="1:46" customFormat="1" ht="15.75" x14ac:dyDescent="0.25">
      <c r="A1062" s="372"/>
      <c r="B1062" s="401"/>
      <c r="C1062" s="402"/>
      <c r="D1062" s="403"/>
      <c r="E1062" s="404"/>
      <c r="F1062" s="405"/>
      <c r="G1062" s="406"/>
      <c r="H1062" s="407"/>
      <c r="I1062" s="407"/>
      <c r="J1062" s="413"/>
      <c r="K1062" s="415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17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17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17"/>
      <c r="O1062" s="417">
        <f t="shared" ca="1" si="373"/>
        <v>0</v>
      </c>
      <c r="P1062" s="417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17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17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17">
        <f ca="1">ROUND(IF(ISERROR(OFFSET(Bronzo!$A$1,MATCH(H1062,Bronzo!$A:$A,0)-1,MATCH(I1062,Bronzo!$A$1:$AA$1,0)-1)=TRUE),0,OFFSET(Bronzo!$A$1,MATCH(H1062,Bronzo!$A:$A,0)-1,MATCH(I1062,Bronzo!$A$1:$AA$1,0)-1)),4)</f>
        <v>0</v>
      </c>
      <c r="T1062" s="417">
        <f t="shared" ca="1" si="389"/>
        <v>0</v>
      </c>
      <c r="U1062" s="415"/>
      <c r="V1062" s="417">
        <v>0</v>
      </c>
      <c r="W1062" s="419">
        <f t="shared" ca="1" si="390"/>
        <v>0</v>
      </c>
      <c r="X1062" s="421">
        <f t="shared" si="381"/>
        <v>0</v>
      </c>
      <c r="Y1062" s="413"/>
      <c r="Z1062" s="413">
        <f t="shared" ca="1" si="391"/>
        <v>0</v>
      </c>
      <c r="AA1062" s="408"/>
      <c r="AF1062" s="375">
        <f t="shared" ca="1" si="382"/>
        <v>46236</v>
      </c>
      <c r="AG1062" s="375" t="b">
        <f t="shared" si="383"/>
        <v>1</v>
      </c>
      <c r="AH1062" s="409" t="str">
        <f t="shared" si="384"/>
        <v/>
      </c>
      <c r="AK1062">
        <f t="shared" si="385"/>
        <v>0</v>
      </c>
      <c r="AL1062">
        <f t="shared" si="386"/>
        <v>1900</v>
      </c>
      <c r="AS1062">
        <f t="shared" si="387"/>
        <v>0</v>
      </c>
      <c r="AT1062">
        <f t="shared" si="388"/>
        <v>0</v>
      </c>
    </row>
    <row r="1063" spans="1:46" customFormat="1" ht="15.75" x14ac:dyDescent="0.25">
      <c r="A1063" s="372"/>
      <c r="B1063" s="401"/>
      <c r="C1063" s="402"/>
      <c r="D1063" s="403"/>
      <c r="E1063" s="404"/>
      <c r="F1063" s="405"/>
      <c r="G1063" s="406"/>
      <c r="H1063" s="407"/>
      <c r="I1063" s="407"/>
      <c r="J1063" s="413"/>
      <c r="K1063" s="415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17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17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17"/>
      <c r="O1063" s="417">
        <f t="shared" ca="1" si="373"/>
        <v>0</v>
      </c>
      <c r="P1063" s="417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17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17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17">
        <f ca="1">ROUND(IF(ISERROR(OFFSET(Bronzo!$A$1,MATCH(H1063,Bronzo!$A:$A,0)-1,MATCH(I1063,Bronzo!$A$1:$AA$1,0)-1)=TRUE),0,OFFSET(Bronzo!$A$1,MATCH(H1063,Bronzo!$A:$A,0)-1,MATCH(I1063,Bronzo!$A$1:$AA$1,0)-1)),4)</f>
        <v>0</v>
      </c>
      <c r="T1063" s="417">
        <f t="shared" ca="1" si="389"/>
        <v>0</v>
      </c>
      <c r="U1063" s="415"/>
      <c r="V1063" s="417">
        <v>0</v>
      </c>
      <c r="W1063" s="419">
        <f t="shared" ca="1" si="390"/>
        <v>0</v>
      </c>
      <c r="X1063" s="421">
        <f t="shared" si="381"/>
        <v>0</v>
      </c>
      <c r="Y1063" s="413"/>
      <c r="Z1063" s="413">
        <f t="shared" ca="1" si="391"/>
        <v>0</v>
      </c>
      <c r="AA1063" s="408"/>
      <c r="AF1063" s="375">
        <f t="shared" ca="1" si="382"/>
        <v>46236</v>
      </c>
      <c r="AG1063" s="375" t="b">
        <f t="shared" si="383"/>
        <v>1</v>
      </c>
      <c r="AH1063" s="409" t="str">
        <f t="shared" si="384"/>
        <v/>
      </c>
      <c r="AK1063">
        <f t="shared" si="385"/>
        <v>0</v>
      </c>
      <c r="AL1063">
        <f t="shared" si="386"/>
        <v>1900</v>
      </c>
      <c r="AS1063">
        <f t="shared" si="387"/>
        <v>0</v>
      </c>
      <c r="AT1063">
        <f t="shared" si="388"/>
        <v>0</v>
      </c>
    </row>
    <row r="1064" spans="1:46" customFormat="1" ht="15.75" x14ac:dyDescent="0.25">
      <c r="A1064" s="372"/>
      <c r="B1064" s="401"/>
      <c r="C1064" s="402"/>
      <c r="D1064" s="403"/>
      <c r="E1064" s="404"/>
      <c r="F1064" s="405"/>
      <c r="G1064" s="406"/>
      <c r="H1064" s="407"/>
      <c r="I1064" s="407"/>
      <c r="J1064" s="413"/>
      <c r="K1064" s="415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17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17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17"/>
      <c r="O1064" s="417">
        <f t="shared" ca="1" si="373"/>
        <v>0</v>
      </c>
      <c r="P1064" s="417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17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17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17">
        <f ca="1">ROUND(IF(ISERROR(OFFSET(Bronzo!$A$1,MATCH(H1064,Bronzo!$A:$A,0)-1,MATCH(I1064,Bronzo!$A$1:$AA$1,0)-1)=TRUE),0,OFFSET(Bronzo!$A$1,MATCH(H1064,Bronzo!$A:$A,0)-1,MATCH(I1064,Bronzo!$A$1:$AA$1,0)-1)),4)</f>
        <v>0</v>
      </c>
      <c r="T1064" s="417">
        <f t="shared" ca="1" si="389"/>
        <v>0</v>
      </c>
      <c r="U1064" s="415"/>
      <c r="V1064" s="417">
        <v>0</v>
      </c>
      <c r="W1064" s="419">
        <f t="shared" ca="1" si="390"/>
        <v>0</v>
      </c>
      <c r="X1064" s="421">
        <f t="shared" si="381"/>
        <v>0</v>
      </c>
      <c r="Y1064" s="413"/>
      <c r="Z1064" s="413">
        <f t="shared" ca="1" si="391"/>
        <v>0</v>
      </c>
      <c r="AA1064" s="408"/>
      <c r="AF1064" s="375">
        <f t="shared" ca="1" si="382"/>
        <v>46236</v>
      </c>
      <c r="AG1064" s="375" t="b">
        <f t="shared" si="383"/>
        <v>1</v>
      </c>
      <c r="AH1064" s="409" t="str">
        <f t="shared" si="384"/>
        <v/>
      </c>
      <c r="AK1064">
        <f t="shared" si="385"/>
        <v>0</v>
      </c>
      <c r="AL1064">
        <f t="shared" si="386"/>
        <v>1900</v>
      </c>
      <c r="AS1064">
        <f t="shared" si="387"/>
        <v>0</v>
      </c>
      <c r="AT1064">
        <f t="shared" si="388"/>
        <v>0</v>
      </c>
    </row>
    <row r="1065" spans="1:46" customFormat="1" ht="15.75" x14ac:dyDescent="0.25">
      <c r="A1065" s="372"/>
      <c r="B1065" s="401"/>
      <c r="C1065" s="402"/>
      <c r="D1065" s="403"/>
      <c r="E1065" s="404"/>
      <c r="F1065" s="405"/>
      <c r="G1065" s="406"/>
      <c r="H1065" s="407"/>
      <c r="I1065" s="407"/>
      <c r="J1065" s="413"/>
      <c r="K1065" s="415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17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17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17"/>
      <c r="O1065" s="417">
        <f t="shared" ca="1" si="373"/>
        <v>0</v>
      </c>
      <c r="P1065" s="417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17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17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17">
        <f ca="1">ROUND(IF(ISERROR(OFFSET(Bronzo!$A$1,MATCH(H1065,Bronzo!$A:$A,0)-1,MATCH(I1065,Bronzo!$A$1:$AA$1,0)-1)=TRUE),0,OFFSET(Bronzo!$A$1,MATCH(H1065,Bronzo!$A:$A,0)-1,MATCH(I1065,Bronzo!$A$1:$AA$1,0)-1)),4)</f>
        <v>0</v>
      </c>
      <c r="T1065" s="417">
        <f t="shared" ca="1" si="389"/>
        <v>0</v>
      </c>
      <c r="U1065" s="415"/>
      <c r="V1065" s="417">
        <v>0</v>
      </c>
      <c r="W1065" s="419">
        <f t="shared" ca="1" si="390"/>
        <v>0</v>
      </c>
      <c r="X1065" s="421">
        <f t="shared" si="381"/>
        <v>0</v>
      </c>
      <c r="Y1065" s="413"/>
      <c r="Z1065" s="413">
        <f t="shared" ca="1" si="391"/>
        <v>0</v>
      </c>
      <c r="AA1065" s="408"/>
      <c r="AF1065" s="375">
        <f t="shared" ca="1" si="382"/>
        <v>46236</v>
      </c>
      <c r="AG1065" s="375" t="b">
        <f t="shared" si="383"/>
        <v>1</v>
      </c>
      <c r="AH1065" s="409" t="str">
        <f t="shared" si="384"/>
        <v/>
      </c>
      <c r="AK1065">
        <f t="shared" si="385"/>
        <v>0</v>
      </c>
      <c r="AL1065">
        <f t="shared" si="386"/>
        <v>1900</v>
      </c>
      <c r="AS1065">
        <f t="shared" si="387"/>
        <v>0</v>
      </c>
      <c r="AT1065">
        <f t="shared" si="388"/>
        <v>0</v>
      </c>
    </row>
    <row r="1066" spans="1:46" customFormat="1" ht="15.75" x14ac:dyDescent="0.25">
      <c r="A1066" s="372"/>
      <c r="B1066" s="401"/>
      <c r="C1066" s="402"/>
      <c r="D1066" s="403"/>
      <c r="E1066" s="404"/>
      <c r="F1066" s="405"/>
      <c r="G1066" s="406"/>
      <c r="H1066" s="407"/>
      <c r="I1066" s="407"/>
      <c r="J1066" s="413"/>
      <c r="K1066" s="415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17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17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17"/>
      <c r="O1066" s="417">
        <f t="shared" ca="1" si="373"/>
        <v>0</v>
      </c>
      <c r="P1066" s="417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17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17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17">
        <f ca="1">ROUND(IF(ISERROR(OFFSET(Bronzo!$A$1,MATCH(H1066,Bronzo!$A:$A,0)-1,MATCH(I1066,Bronzo!$A$1:$AA$1,0)-1)=TRUE),0,OFFSET(Bronzo!$A$1,MATCH(H1066,Bronzo!$A:$A,0)-1,MATCH(I1066,Bronzo!$A$1:$AA$1,0)-1)),4)</f>
        <v>0</v>
      </c>
      <c r="T1066" s="417">
        <f t="shared" ca="1" si="389"/>
        <v>0</v>
      </c>
      <c r="U1066" s="415"/>
      <c r="V1066" s="417">
        <v>0</v>
      </c>
      <c r="W1066" s="419">
        <f t="shared" ca="1" si="390"/>
        <v>0</v>
      </c>
      <c r="X1066" s="421">
        <f t="shared" si="381"/>
        <v>0</v>
      </c>
      <c r="Y1066" s="413"/>
      <c r="Z1066" s="413">
        <f t="shared" ca="1" si="391"/>
        <v>0</v>
      </c>
      <c r="AA1066" s="408"/>
      <c r="AF1066" s="375">
        <f t="shared" ca="1" si="382"/>
        <v>46236</v>
      </c>
      <c r="AG1066" s="375" t="b">
        <f t="shared" si="383"/>
        <v>1</v>
      </c>
      <c r="AH1066" s="409" t="str">
        <f t="shared" si="384"/>
        <v/>
      </c>
      <c r="AK1066">
        <f t="shared" si="385"/>
        <v>0</v>
      </c>
      <c r="AL1066">
        <f t="shared" si="386"/>
        <v>1900</v>
      </c>
      <c r="AS1066">
        <f t="shared" si="387"/>
        <v>0</v>
      </c>
      <c r="AT1066">
        <f t="shared" si="388"/>
        <v>0</v>
      </c>
    </row>
    <row r="1067" spans="1:46" customFormat="1" ht="15.75" x14ac:dyDescent="0.25">
      <c r="A1067" s="372"/>
      <c r="B1067" s="401"/>
      <c r="C1067" s="402"/>
      <c r="D1067" s="403"/>
      <c r="E1067" s="404"/>
      <c r="F1067" s="405"/>
      <c r="G1067" s="406"/>
      <c r="H1067" s="407"/>
      <c r="I1067" s="407"/>
      <c r="J1067" s="413"/>
      <c r="K1067" s="415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17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17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17"/>
      <c r="O1067" s="417">
        <f t="shared" ca="1" si="373"/>
        <v>0</v>
      </c>
      <c r="P1067" s="417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17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17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17">
        <f ca="1">ROUND(IF(ISERROR(OFFSET(Bronzo!$A$1,MATCH(H1067,Bronzo!$A:$A,0)-1,MATCH(I1067,Bronzo!$A$1:$AA$1,0)-1)=TRUE),0,OFFSET(Bronzo!$A$1,MATCH(H1067,Bronzo!$A:$A,0)-1,MATCH(I1067,Bronzo!$A$1:$AA$1,0)-1)),4)</f>
        <v>0</v>
      </c>
      <c r="T1067" s="417">
        <f t="shared" ca="1" si="389"/>
        <v>0</v>
      </c>
      <c r="U1067" s="415"/>
      <c r="V1067" s="417">
        <v>0</v>
      </c>
      <c r="W1067" s="419">
        <f t="shared" ca="1" si="390"/>
        <v>0</v>
      </c>
      <c r="X1067" s="421">
        <f t="shared" si="381"/>
        <v>0</v>
      </c>
      <c r="Y1067" s="413"/>
      <c r="Z1067" s="413">
        <f t="shared" ca="1" si="391"/>
        <v>0</v>
      </c>
      <c r="AA1067" s="408"/>
      <c r="AF1067" s="375">
        <f t="shared" ca="1" si="382"/>
        <v>46236</v>
      </c>
      <c r="AG1067" s="375" t="b">
        <f t="shared" si="383"/>
        <v>1</v>
      </c>
      <c r="AH1067" s="409" t="str">
        <f t="shared" si="384"/>
        <v/>
      </c>
      <c r="AK1067">
        <f t="shared" si="385"/>
        <v>0</v>
      </c>
      <c r="AL1067">
        <f t="shared" si="386"/>
        <v>1900</v>
      </c>
      <c r="AS1067">
        <f t="shared" si="387"/>
        <v>0</v>
      </c>
      <c r="AT1067">
        <f t="shared" si="388"/>
        <v>0</v>
      </c>
    </row>
    <row r="1068" spans="1:46" customFormat="1" ht="15.75" x14ac:dyDescent="0.25">
      <c r="A1068" s="372"/>
      <c r="B1068" s="401"/>
      <c r="C1068" s="402"/>
      <c r="D1068" s="403"/>
      <c r="E1068" s="404"/>
      <c r="F1068" s="405"/>
      <c r="G1068" s="406"/>
      <c r="H1068" s="407"/>
      <c r="I1068" s="407"/>
      <c r="J1068" s="413"/>
      <c r="K1068" s="415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17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17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17"/>
      <c r="O1068" s="417">
        <f t="shared" ca="1" si="373"/>
        <v>0</v>
      </c>
      <c r="P1068" s="417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17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17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17">
        <f ca="1">ROUND(IF(ISERROR(OFFSET(Bronzo!$A$1,MATCH(H1068,Bronzo!$A:$A,0)-1,MATCH(I1068,Bronzo!$A$1:$AA$1,0)-1)=TRUE),0,OFFSET(Bronzo!$A$1,MATCH(H1068,Bronzo!$A:$A,0)-1,MATCH(I1068,Bronzo!$A$1:$AA$1,0)-1)),4)</f>
        <v>0</v>
      </c>
      <c r="T1068" s="417">
        <f t="shared" ca="1" si="389"/>
        <v>0</v>
      </c>
      <c r="U1068" s="415"/>
      <c r="V1068" s="417">
        <v>0</v>
      </c>
      <c r="W1068" s="419">
        <f t="shared" ca="1" si="390"/>
        <v>0</v>
      </c>
      <c r="X1068" s="421">
        <f t="shared" si="381"/>
        <v>0</v>
      </c>
      <c r="Y1068" s="413"/>
      <c r="Z1068" s="413">
        <f t="shared" ca="1" si="391"/>
        <v>0</v>
      </c>
      <c r="AA1068" s="408"/>
      <c r="AF1068" s="375">
        <f t="shared" ca="1" si="382"/>
        <v>46236</v>
      </c>
      <c r="AG1068" s="375" t="b">
        <f t="shared" si="383"/>
        <v>1</v>
      </c>
      <c r="AH1068" s="409" t="str">
        <f t="shared" si="384"/>
        <v/>
      </c>
      <c r="AK1068">
        <f t="shared" si="385"/>
        <v>0</v>
      </c>
      <c r="AL1068">
        <f t="shared" si="386"/>
        <v>1900</v>
      </c>
      <c r="AS1068">
        <f t="shared" si="387"/>
        <v>0</v>
      </c>
      <c r="AT1068">
        <f t="shared" si="388"/>
        <v>0</v>
      </c>
    </row>
    <row r="1069" spans="1:46" customFormat="1" ht="15.75" x14ac:dyDescent="0.25">
      <c r="A1069" s="372"/>
      <c r="B1069" s="401"/>
      <c r="C1069" s="402"/>
      <c r="D1069" s="403"/>
      <c r="E1069" s="404"/>
      <c r="F1069" s="405"/>
      <c r="G1069" s="406"/>
      <c r="H1069" s="407"/>
      <c r="I1069" s="407"/>
      <c r="J1069" s="413"/>
      <c r="K1069" s="415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17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17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17"/>
      <c r="O1069" s="417">
        <f t="shared" ca="1" si="373"/>
        <v>0</v>
      </c>
      <c r="P1069" s="417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17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17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17">
        <f ca="1">ROUND(IF(ISERROR(OFFSET(Bronzo!$A$1,MATCH(H1069,Bronzo!$A:$A,0)-1,MATCH(I1069,Bronzo!$A$1:$AA$1,0)-1)=TRUE),0,OFFSET(Bronzo!$A$1,MATCH(H1069,Bronzo!$A:$A,0)-1,MATCH(I1069,Bronzo!$A$1:$AA$1,0)-1)),4)</f>
        <v>0</v>
      </c>
      <c r="T1069" s="417">
        <f t="shared" ca="1" si="389"/>
        <v>0</v>
      </c>
      <c r="U1069" s="415"/>
      <c r="V1069" s="417">
        <v>0</v>
      </c>
      <c r="W1069" s="419">
        <f t="shared" ca="1" si="390"/>
        <v>0</v>
      </c>
      <c r="X1069" s="421">
        <f t="shared" si="381"/>
        <v>0</v>
      </c>
      <c r="Y1069" s="413"/>
      <c r="Z1069" s="413">
        <f t="shared" ca="1" si="391"/>
        <v>0</v>
      </c>
      <c r="AA1069" s="408"/>
      <c r="AF1069" s="375">
        <f t="shared" ca="1" si="382"/>
        <v>46236</v>
      </c>
      <c r="AG1069" s="375" t="b">
        <f t="shared" si="383"/>
        <v>1</v>
      </c>
      <c r="AH1069" s="409" t="str">
        <f t="shared" si="384"/>
        <v/>
      </c>
      <c r="AK1069">
        <f t="shared" si="385"/>
        <v>0</v>
      </c>
      <c r="AL1069">
        <f t="shared" si="386"/>
        <v>1900</v>
      </c>
      <c r="AS1069">
        <f t="shared" si="387"/>
        <v>0</v>
      </c>
      <c r="AT1069">
        <f t="shared" si="388"/>
        <v>0</v>
      </c>
    </row>
    <row r="1070" spans="1:46" customFormat="1" ht="15.75" x14ac:dyDescent="0.25">
      <c r="A1070" s="372"/>
      <c r="B1070" s="401"/>
      <c r="C1070" s="402"/>
      <c r="D1070" s="403"/>
      <c r="E1070" s="404"/>
      <c r="F1070" s="405"/>
      <c r="G1070" s="406"/>
      <c r="H1070" s="407"/>
      <c r="I1070" s="407"/>
      <c r="J1070" s="413"/>
      <c r="K1070" s="415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17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17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17"/>
      <c r="O1070" s="417">
        <f t="shared" ca="1" si="373"/>
        <v>0</v>
      </c>
      <c r="P1070" s="417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17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17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17">
        <f ca="1">ROUND(IF(ISERROR(OFFSET(Bronzo!$A$1,MATCH(H1070,Bronzo!$A:$A,0)-1,MATCH(I1070,Bronzo!$A$1:$AA$1,0)-1)=TRUE),0,OFFSET(Bronzo!$A$1,MATCH(H1070,Bronzo!$A:$A,0)-1,MATCH(I1070,Bronzo!$A$1:$AA$1,0)-1)),4)</f>
        <v>0</v>
      </c>
      <c r="T1070" s="417">
        <f t="shared" ca="1" si="389"/>
        <v>0</v>
      </c>
      <c r="U1070" s="415"/>
      <c r="V1070" s="417">
        <v>0</v>
      </c>
      <c r="W1070" s="419">
        <f t="shared" ca="1" si="390"/>
        <v>0</v>
      </c>
      <c r="X1070" s="421">
        <f t="shared" si="381"/>
        <v>0</v>
      </c>
      <c r="Y1070" s="413"/>
      <c r="Z1070" s="413">
        <f t="shared" ca="1" si="391"/>
        <v>0</v>
      </c>
      <c r="AA1070" s="408"/>
      <c r="AF1070" s="375">
        <f t="shared" ca="1" si="382"/>
        <v>46236</v>
      </c>
      <c r="AG1070" s="375" t="b">
        <f t="shared" si="383"/>
        <v>1</v>
      </c>
      <c r="AH1070" s="409" t="str">
        <f t="shared" si="384"/>
        <v/>
      </c>
      <c r="AK1070">
        <f t="shared" si="385"/>
        <v>0</v>
      </c>
      <c r="AL1070">
        <f t="shared" si="386"/>
        <v>1900</v>
      </c>
      <c r="AS1070">
        <f t="shared" si="387"/>
        <v>0</v>
      </c>
      <c r="AT1070">
        <f t="shared" si="388"/>
        <v>0</v>
      </c>
    </row>
    <row r="1071" spans="1:46" customFormat="1" ht="15.75" x14ac:dyDescent="0.25">
      <c r="A1071" s="372"/>
      <c r="B1071" s="401"/>
      <c r="C1071" s="402"/>
      <c r="D1071" s="403"/>
      <c r="E1071" s="404"/>
      <c r="F1071" s="405"/>
      <c r="G1071" s="406"/>
      <c r="H1071" s="407"/>
      <c r="I1071" s="407"/>
      <c r="J1071" s="413"/>
      <c r="K1071" s="415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17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17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17"/>
      <c r="O1071" s="417">
        <f t="shared" ca="1" si="373"/>
        <v>0</v>
      </c>
      <c r="P1071" s="417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17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17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17">
        <f ca="1">ROUND(IF(ISERROR(OFFSET(Bronzo!$A$1,MATCH(H1071,Bronzo!$A:$A,0)-1,MATCH(I1071,Bronzo!$A$1:$AA$1,0)-1)=TRUE),0,OFFSET(Bronzo!$A$1,MATCH(H1071,Bronzo!$A:$A,0)-1,MATCH(I1071,Bronzo!$A$1:$AA$1,0)-1)),4)</f>
        <v>0</v>
      </c>
      <c r="T1071" s="417">
        <f t="shared" ca="1" si="389"/>
        <v>0</v>
      </c>
      <c r="U1071" s="415"/>
      <c r="V1071" s="417">
        <v>0</v>
      </c>
      <c r="W1071" s="419">
        <f t="shared" ca="1" si="390"/>
        <v>0</v>
      </c>
      <c r="X1071" s="421">
        <f t="shared" si="381"/>
        <v>0</v>
      </c>
      <c r="Y1071" s="413"/>
      <c r="Z1071" s="413">
        <f t="shared" ca="1" si="391"/>
        <v>0</v>
      </c>
      <c r="AA1071" s="408"/>
      <c r="AF1071" s="375">
        <f t="shared" ca="1" si="382"/>
        <v>46236</v>
      </c>
      <c r="AG1071" s="375" t="b">
        <f t="shared" si="383"/>
        <v>1</v>
      </c>
      <c r="AH1071" s="409" t="str">
        <f t="shared" si="384"/>
        <v/>
      </c>
      <c r="AK1071">
        <f t="shared" si="385"/>
        <v>0</v>
      </c>
      <c r="AL1071">
        <f t="shared" si="386"/>
        <v>1900</v>
      </c>
      <c r="AS1071">
        <f t="shared" si="387"/>
        <v>0</v>
      </c>
      <c r="AT1071">
        <f t="shared" si="388"/>
        <v>0</v>
      </c>
    </row>
    <row r="1072" spans="1:46" customFormat="1" ht="15.75" x14ac:dyDescent="0.25">
      <c r="A1072" s="372"/>
      <c r="B1072" s="401"/>
      <c r="C1072" s="402"/>
      <c r="D1072" s="403"/>
      <c r="E1072" s="404"/>
      <c r="F1072" s="405"/>
      <c r="G1072" s="406"/>
      <c r="H1072" s="407"/>
      <c r="I1072" s="407"/>
      <c r="J1072" s="413"/>
      <c r="K1072" s="415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17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17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17"/>
      <c r="O1072" s="417">
        <f t="shared" ca="1" si="373"/>
        <v>0</v>
      </c>
      <c r="P1072" s="417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17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17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17">
        <f ca="1">ROUND(IF(ISERROR(OFFSET(Bronzo!$A$1,MATCH(H1072,Bronzo!$A:$A,0)-1,MATCH(I1072,Bronzo!$A$1:$AA$1,0)-1)=TRUE),0,OFFSET(Bronzo!$A$1,MATCH(H1072,Bronzo!$A:$A,0)-1,MATCH(I1072,Bronzo!$A$1:$AA$1,0)-1)),4)</f>
        <v>0</v>
      </c>
      <c r="T1072" s="417">
        <f t="shared" ca="1" si="389"/>
        <v>0</v>
      </c>
      <c r="U1072" s="415"/>
      <c r="V1072" s="417">
        <v>0</v>
      </c>
      <c r="W1072" s="419">
        <f t="shared" ca="1" si="390"/>
        <v>0</v>
      </c>
      <c r="X1072" s="421">
        <f t="shared" si="381"/>
        <v>0</v>
      </c>
      <c r="Y1072" s="413"/>
      <c r="Z1072" s="413">
        <f t="shared" ca="1" si="391"/>
        <v>0</v>
      </c>
      <c r="AA1072" s="408"/>
      <c r="AF1072" s="375">
        <f t="shared" ca="1" si="382"/>
        <v>46236</v>
      </c>
      <c r="AG1072" s="375" t="b">
        <f t="shared" si="383"/>
        <v>1</v>
      </c>
      <c r="AH1072" s="409" t="str">
        <f t="shared" si="384"/>
        <v/>
      </c>
      <c r="AK1072">
        <f t="shared" si="385"/>
        <v>0</v>
      </c>
      <c r="AL1072">
        <f t="shared" si="386"/>
        <v>1900</v>
      </c>
      <c r="AS1072">
        <f t="shared" si="387"/>
        <v>0</v>
      </c>
      <c r="AT1072">
        <f t="shared" si="388"/>
        <v>0</v>
      </c>
    </row>
    <row r="1073" spans="1:46" customFormat="1" ht="15.75" x14ac:dyDescent="0.25">
      <c r="A1073" s="372"/>
      <c r="B1073" s="401"/>
      <c r="C1073" s="402"/>
      <c r="D1073" s="403"/>
      <c r="E1073" s="404"/>
      <c r="F1073" s="405"/>
      <c r="G1073" s="406"/>
      <c r="H1073" s="407"/>
      <c r="I1073" s="407"/>
      <c r="J1073" s="413"/>
      <c r="K1073" s="415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17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17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17"/>
      <c r="O1073" s="417">
        <f t="shared" ca="1" si="373"/>
        <v>0</v>
      </c>
      <c r="P1073" s="417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17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17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17">
        <f ca="1">ROUND(IF(ISERROR(OFFSET(Bronzo!$A$1,MATCH(H1073,Bronzo!$A:$A,0)-1,MATCH(I1073,Bronzo!$A$1:$AA$1,0)-1)=TRUE),0,OFFSET(Bronzo!$A$1,MATCH(H1073,Bronzo!$A:$A,0)-1,MATCH(I1073,Bronzo!$A$1:$AA$1,0)-1)),4)</f>
        <v>0</v>
      </c>
      <c r="T1073" s="417">
        <f t="shared" ca="1" si="389"/>
        <v>0</v>
      </c>
      <c r="U1073" s="415"/>
      <c r="V1073" s="417">
        <v>0</v>
      </c>
      <c r="W1073" s="419">
        <f t="shared" ca="1" si="390"/>
        <v>0</v>
      </c>
      <c r="X1073" s="421">
        <f t="shared" si="381"/>
        <v>0</v>
      </c>
      <c r="Y1073" s="413"/>
      <c r="Z1073" s="413">
        <f t="shared" ca="1" si="391"/>
        <v>0</v>
      </c>
      <c r="AA1073" s="408"/>
      <c r="AF1073" s="375">
        <f t="shared" ca="1" si="382"/>
        <v>46236</v>
      </c>
      <c r="AG1073" s="375" t="b">
        <f t="shared" si="383"/>
        <v>1</v>
      </c>
      <c r="AH1073" s="409" t="str">
        <f t="shared" si="384"/>
        <v/>
      </c>
      <c r="AK1073">
        <f t="shared" si="385"/>
        <v>0</v>
      </c>
      <c r="AL1073">
        <f t="shared" si="386"/>
        <v>1900</v>
      </c>
      <c r="AS1073">
        <f t="shared" si="387"/>
        <v>0</v>
      </c>
      <c r="AT1073">
        <f t="shared" si="388"/>
        <v>0</v>
      </c>
    </row>
    <row r="1074" spans="1:46" customFormat="1" ht="15.75" x14ac:dyDescent="0.25">
      <c r="A1074" s="372"/>
      <c r="B1074" s="401"/>
      <c r="C1074" s="402"/>
      <c r="D1074" s="403"/>
      <c r="E1074" s="404"/>
      <c r="F1074" s="405"/>
      <c r="G1074" s="406"/>
      <c r="H1074" s="407"/>
      <c r="I1074" s="407"/>
      <c r="J1074" s="413"/>
      <c r="K1074" s="415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17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17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17"/>
      <c r="O1074" s="417">
        <f t="shared" ca="1" si="373"/>
        <v>0</v>
      </c>
      <c r="P1074" s="417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17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17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17">
        <f ca="1">ROUND(IF(ISERROR(OFFSET(Bronzo!$A$1,MATCH(H1074,Bronzo!$A:$A,0)-1,MATCH(I1074,Bronzo!$A$1:$AA$1,0)-1)=TRUE),0,OFFSET(Bronzo!$A$1,MATCH(H1074,Bronzo!$A:$A,0)-1,MATCH(I1074,Bronzo!$A$1:$AA$1,0)-1)),4)</f>
        <v>0</v>
      </c>
      <c r="T1074" s="417">
        <f t="shared" ca="1" si="389"/>
        <v>0</v>
      </c>
      <c r="U1074" s="415"/>
      <c r="V1074" s="417">
        <v>0</v>
      </c>
      <c r="W1074" s="419">
        <f t="shared" ca="1" si="390"/>
        <v>0</v>
      </c>
      <c r="X1074" s="421">
        <f t="shared" si="381"/>
        <v>0</v>
      </c>
      <c r="Y1074" s="413"/>
      <c r="Z1074" s="413">
        <f t="shared" ca="1" si="391"/>
        <v>0</v>
      </c>
      <c r="AA1074" s="408"/>
      <c r="AF1074" s="375">
        <f t="shared" ca="1" si="382"/>
        <v>46236</v>
      </c>
      <c r="AG1074" s="375" t="b">
        <f t="shared" si="383"/>
        <v>1</v>
      </c>
      <c r="AH1074" s="409" t="str">
        <f t="shared" si="384"/>
        <v/>
      </c>
      <c r="AK1074">
        <f t="shared" si="385"/>
        <v>0</v>
      </c>
      <c r="AL1074">
        <f t="shared" si="386"/>
        <v>1900</v>
      </c>
      <c r="AS1074">
        <f t="shared" si="387"/>
        <v>0</v>
      </c>
      <c r="AT1074">
        <f t="shared" si="388"/>
        <v>0</v>
      </c>
    </row>
    <row r="1075" spans="1:46" customFormat="1" ht="15.75" x14ac:dyDescent="0.25">
      <c r="A1075" s="372"/>
      <c r="B1075" s="401"/>
      <c r="C1075" s="402"/>
      <c r="D1075" s="403"/>
      <c r="E1075" s="404"/>
      <c r="F1075" s="405"/>
      <c r="G1075" s="406"/>
      <c r="H1075" s="407"/>
      <c r="I1075" s="407"/>
      <c r="J1075" s="413"/>
      <c r="K1075" s="415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17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17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17"/>
      <c r="O1075" s="417">
        <f t="shared" ref="O1075:O1102" ca="1" si="392">ROUND(SUM(K1075:N1075),4)</f>
        <v>0</v>
      </c>
      <c r="P1075" s="417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17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17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17">
        <f ca="1">ROUND(IF(ISERROR(OFFSET(Bronzo!$A$1,MATCH(H1075,Bronzo!$A:$A,0)-1,MATCH(I1075,Bronzo!$A$1:$AA$1,0)-1)=TRUE),0,OFFSET(Bronzo!$A$1,MATCH(H1075,Bronzo!$A:$A,0)-1,MATCH(I1075,Bronzo!$A$1:$AA$1,0)-1)),4)</f>
        <v>0</v>
      </c>
      <c r="T1075" s="417">
        <f t="shared" ca="1" si="389"/>
        <v>0</v>
      </c>
      <c r="U1075" s="415"/>
      <c r="V1075" s="417">
        <v>0</v>
      </c>
      <c r="W1075" s="419">
        <f t="shared" ca="1" si="390"/>
        <v>0</v>
      </c>
      <c r="X1075" s="421">
        <f t="shared" si="381"/>
        <v>0</v>
      </c>
      <c r="Y1075" s="413"/>
      <c r="Z1075" s="413">
        <f t="shared" ca="1" si="391"/>
        <v>0</v>
      </c>
      <c r="AA1075" s="408"/>
      <c r="AF1075" s="375">
        <f t="shared" ca="1" si="382"/>
        <v>46236</v>
      </c>
      <c r="AG1075" s="375" t="b">
        <f t="shared" si="383"/>
        <v>1</v>
      </c>
      <c r="AH1075" s="409" t="str">
        <f t="shared" si="384"/>
        <v/>
      </c>
      <c r="AK1075">
        <f t="shared" si="385"/>
        <v>0</v>
      </c>
      <c r="AL1075">
        <f t="shared" si="386"/>
        <v>1900</v>
      </c>
      <c r="AS1075">
        <f t="shared" si="387"/>
        <v>0</v>
      </c>
      <c r="AT1075">
        <f t="shared" si="388"/>
        <v>0</v>
      </c>
    </row>
    <row r="1076" spans="1:46" customFormat="1" ht="15.75" x14ac:dyDescent="0.25">
      <c r="A1076" s="372"/>
      <c r="B1076" s="401"/>
      <c r="C1076" s="402"/>
      <c r="D1076" s="403"/>
      <c r="E1076" s="404"/>
      <c r="F1076" s="405"/>
      <c r="G1076" s="406"/>
      <c r="H1076" s="407"/>
      <c r="I1076" s="407"/>
      <c r="J1076" s="413"/>
      <c r="K1076" s="415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17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17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17"/>
      <c r="O1076" s="417">
        <f t="shared" ca="1" si="392"/>
        <v>0</v>
      </c>
      <c r="P1076" s="417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17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17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17">
        <f ca="1">ROUND(IF(ISERROR(OFFSET(Bronzo!$A$1,MATCH(H1076,Bronzo!$A:$A,0)-1,MATCH(I1076,Bronzo!$A$1:$AA$1,0)-1)=TRUE),0,OFFSET(Bronzo!$A$1,MATCH(H1076,Bronzo!$A:$A,0)-1,MATCH(I1076,Bronzo!$A$1:$AA$1,0)-1)),4)</f>
        <v>0</v>
      </c>
      <c r="T1076" s="417">
        <f t="shared" ca="1" si="389"/>
        <v>0</v>
      </c>
      <c r="U1076" s="415"/>
      <c r="V1076" s="417">
        <v>0</v>
      </c>
      <c r="W1076" s="419">
        <f t="shared" ca="1" si="390"/>
        <v>0</v>
      </c>
      <c r="X1076" s="421">
        <f t="shared" si="381"/>
        <v>0</v>
      </c>
      <c r="Y1076" s="413"/>
      <c r="Z1076" s="413">
        <f t="shared" ca="1" si="391"/>
        <v>0</v>
      </c>
      <c r="AA1076" s="408"/>
      <c r="AF1076" s="375">
        <f t="shared" ca="1" si="382"/>
        <v>46236</v>
      </c>
      <c r="AG1076" s="375" t="b">
        <f t="shared" si="383"/>
        <v>1</v>
      </c>
      <c r="AH1076" s="409" t="str">
        <f t="shared" si="384"/>
        <v/>
      </c>
      <c r="AK1076">
        <f t="shared" si="385"/>
        <v>0</v>
      </c>
      <c r="AL1076">
        <f t="shared" si="386"/>
        <v>1900</v>
      </c>
      <c r="AS1076">
        <f t="shared" si="387"/>
        <v>0</v>
      </c>
      <c r="AT1076">
        <f t="shared" si="388"/>
        <v>0</v>
      </c>
    </row>
    <row r="1077" spans="1:46" customFormat="1" ht="15.75" x14ac:dyDescent="0.25">
      <c r="A1077" s="372"/>
      <c r="B1077" s="401"/>
      <c r="C1077" s="402"/>
      <c r="D1077" s="403"/>
      <c r="E1077" s="404"/>
      <c r="F1077" s="405"/>
      <c r="G1077" s="406"/>
      <c r="H1077" s="407"/>
      <c r="I1077" s="407"/>
      <c r="J1077" s="413"/>
      <c r="K1077" s="415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17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17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17"/>
      <c r="O1077" s="417">
        <f t="shared" ca="1" si="392"/>
        <v>0</v>
      </c>
      <c r="P1077" s="417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17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17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17">
        <f ca="1">ROUND(IF(ISERROR(OFFSET(Bronzo!$A$1,MATCH(H1077,Bronzo!$A:$A,0)-1,MATCH(I1077,Bronzo!$A$1:$AA$1,0)-1)=TRUE),0,OFFSET(Bronzo!$A$1,MATCH(H1077,Bronzo!$A:$A,0)-1,MATCH(I1077,Bronzo!$A$1:$AA$1,0)-1)),4)</f>
        <v>0</v>
      </c>
      <c r="T1077" s="417">
        <f t="shared" ca="1" si="389"/>
        <v>0</v>
      </c>
      <c r="U1077" s="415"/>
      <c r="V1077" s="417">
        <v>0</v>
      </c>
      <c r="W1077" s="419">
        <f t="shared" ca="1" si="390"/>
        <v>0</v>
      </c>
      <c r="X1077" s="421">
        <f t="shared" si="381"/>
        <v>0</v>
      </c>
      <c r="Y1077" s="413"/>
      <c r="Z1077" s="413">
        <f t="shared" ca="1" si="391"/>
        <v>0</v>
      </c>
      <c r="AA1077" s="408"/>
      <c r="AF1077" s="375">
        <f t="shared" ca="1" si="382"/>
        <v>46236</v>
      </c>
      <c r="AG1077" s="375" t="b">
        <f t="shared" si="383"/>
        <v>1</v>
      </c>
      <c r="AH1077" s="409" t="str">
        <f t="shared" si="384"/>
        <v/>
      </c>
      <c r="AK1077">
        <f t="shared" si="385"/>
        <v>0</v>
      </c>
      <c r="AL1077">
        <f t="shared" si="386"/>
        <v>1900</v>
      </c>
      <c r="AS1077">
        <f t="shared" si="387"/>
        <v>0</v>
      </c>
      <c r="AT1077">
        <f t="shared" si="388"/>
        <v>0</v>
      </c>
    </row>
    <row r="1078" spans="1:46" customFormat="1" ht="15.75" x14ac:dyDescent="0.25">
      <c r="A1078" s="372"/>
      <c r="B1078" s="401"/>
      <c r="C1078" s="402"/>
      <c r="D1078" s="403"/>
      <c r="E1078" s="404"/>
      <c r="F1078" s="405"/>
      <c r="G1078" s="406"/>
      <c r="H1078" s="407"/>
      <c r="I1078" s="407"/>
      <c r="J1078" s="413"/>
      <c r="K1078" s="415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17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17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17"/>
      <c r="O1078" s="417">
        <f t="shared" ca="1" si="392"/>
        <v>0</v>
      </c>
      <c r="P1078" s="417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17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17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17">
        <f ca="1">ROUND(IF(ISERROR(OFFSET(Bronzo!$A$1,MATCH(H1078,Bronzo!$A:$A,0)-1,MATCH(I1078,Bronzo!$A$1:$AA$1,0)-1)=TRUE),0,OFFSET(Bronzo!$A$1,MATCH(H1078,Bronzo!$A:$A,0)-1,MATCH(I1078,Bronzo!$A$1:$AA$1,0)-1)),4)</f>
        <v>0</v>
      </c>
      <c r="T1078" s="417">
        <f t="shared" ca="1" si="389"/>
        <v>0</v>
      </c>
      <c r="U1078" s="415"/>
      <c r="V1078" s="417">
        <v>0</v>
      </c>
      <c r="W1078" s="419">
        <f t="shared" ca="1" si="390"/>
        <v>0</v>
      </c>
      <c r="X1078" s="421">
        <f t="shared" si="381"/>
        <v>0</v>
      </c>
      <c r="Y1078" s="413"/>
      <c r="Z1078" s="413">
        <f t="shared" ca="1" si="391"/>
        <v>0</v>
      </c>
      <c r="AA1078" s="408"/>
      <c r="AF1078" s="375">
        <f t="shared" ca="1" si="382"/>
        <v>46236</v>
      </c>
      <c r="AG1078" s="375" t="b">
        <f t="shared" si="383"/>
        <v>1</v>
      </c>
      <c r="AH1078" s="409" t="str">
        <f t="shared" si="384"/>
        <v/>
      </c>
      <c r="AK1078">
        <f t="shared" si="385"/>
        <v>0</v>
      </c>
      <c r="AL1078">
        <f t="shared" si="386"/>
        <v>1900</v>
      </c>
      <c r="AS1078">
        <f t="shared" si="387"/>
        <v>0</v>
      </c>
      <c r="AT1078">
        <f t="shared" si="388"/>
        <v>0</v>
      </c>
    </row>
    <row r="1079" spans="1:46" customFormat="1" ht="15.75" x14ac:dyDescent="0.25">
      <c r="A1079" s="372"/>
      <c r="B1079" s="401"/>
      <c r="C1079" s="402"/>
      <c r="D1079" s="403"/>
      <c r="E1079" s="404"/>
      <c r="F1079" s="405"/>
      <c r="G1079" s="406"/>
      <c r="H1079" s="407"/>
      <c r="I1079" s="407"/>
      <c r="J1079" s="413"/>
      <c r="K1079" s="415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17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17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17"/>
      <c r="O1079" s="417">
        <f t="shared" ca="1" si="392"/>
        <v>0</v>
      </c>
      <c r="P1079" s="417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17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17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17">
        <f ca="1">ROUND(IF(ISERROR(OFFSET(Bronzo!$A$1,MATCH(H1079,Bronzo!$A:$A,0)-1,MATCH(I1079,Bronzo!$A$1:$AA$1,0)-1)=TRUE),0,OFFSET(Bronzo!$A$1,MATCH(H1079,Bronzo!$A:$A,0)-1,MATCH(I1079,Bronzo!$A$1:$AA$1,0)-1)),4)</f>
        <v>0</v>
      </c>
      <c r="T1079" s="417">
        <f t="shared" ca="1" si="389"/>
        <v>0</v>
      </c>
      <c r="U1079" s="415"/>
      <c r="V1079" s="417">
        <v>0</v>
      </c>
      <c r="W1079" s="419">
        <f t="shared" ca="1" si="390"/>
        <v>0</v>
      </c>
      <c r="X1079" s="421">
        <f t="shared" si="381"/>
        <v>0</v>
      </c>
      <c r="Y1079" s="413"/>
      <c r="Z1079" s="413">
        <f t="shared" ca="1" si="391"/>
        <v>0</v>
      </c>
      <c r="AA1079" s="408"/>
      <c r="AF1079" s="375">
        <f t="shared" ca="1" si="382"/>
        <v>46236</v>
      </c>
      <c r="AG1079" s="375" t="b">
        <f t="shared" si="383"/>
        <v>1</v>
      </c>
      <c r="AH1079" s="409" t="str">
        <f t="shared" si="384"/>
        <v/>
      </c>
      <c r="AK1079">
        <f t="shared" si="385"/>
        <v>0</v>
      </c>
      <c r="AL1079">
        <f t="shared" si="386"/>
        <v>1900</v>
      </c>
      <c r="AS1079">
        <f t="shared" si="387"/>
        <v>0</v>
      </c>
      <c r="AT1079">
        <f t="shared" si="388"/>
        <v>0</v>
      </c>
    </row>
    <row r="1080" spans="1:46" customFormat="1" ht="15.75" x14ac:dyDescent="0.25">
      <c r="A1080" s="372"/>
      <c r="B1080" s="401"/>
      <c r="C1080" s="402"/>
      <c r="D1080" s="403"/>
      <c r="E1080" s="404"/>
      <c r="F1080" s="405"/>
      <c r="G1080" s="406"/>
      <c r="H1080" s="407"/>
      <c r="I1080" s="407"/>
      <c r="J1080" s="413"/>
      <c r="K1080" s="415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17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17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17"/>
      <c r="O1080" s="417">
        <f t="shared" ca="1" si="392"/>
        <v>0</v>
      </c>
      <c r="P1080" s="417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17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17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17">
        <f ca="1">ROUND(IF(ISERROR(OFFSET(Bronzo!$A$1,MATCH(H1080,Bronzo!$A:$A,0)-1,MATCH(I1080,Bronzo!$A$1:$AA$1,0)-1)=TRUE),0,OFFSET(Bronzo!$A$1,MATCH(H1080,Bronzo!$A:$A,0)-1,MATCH(I1080,Bronzo!$A$1:$AA$1,0)-1)),4)</f>
        <v>0</v>
      </c>
      <c r="T1080" s="417">
        <f t="shared" ca="1" si="389"/>
        <v>0</v>
      </c>
      <c r="U1080" s="415"/>
      <c r="V1080" s="417">
        <v>0</v>
      </c>
      <c r="W1080" s="419">
        <f t="shared" ca="1" si="390"/>
        <v>0</v>
      </c>
      <c r="X1080" s="421">
        <f t="shared" si="381"/>
        <v>0</v>
      </c>
      <c r="Y1080" s="413"/>
      <c r="Z1080" s="413">
        <f t="shared" ca="1" si="391"/>
        <v>0</v>
      </c>
      <c r="AA1080" s="408"/>
      <c r="AF1080" s="375">
        <f t="shared" ca="1" si="382"/>
        <v>46236</v>
      </c>
      <c r="AG1080" s="375" t="b">
        <f t="shared" si="383"/>
        <v>1</v>
      </c>
      <c r="AH1080" s="409" t="str">
        <f t="shared" si="384"/>
        <v/>
      </c>
      <c r="AK1080">
        <f t="shared" si="385"/>
        <v>0</v>
      </c>
      <c r="AL1080">
        <f t="shared" si="386"/>
        <v>1900</v>
      </c>
      <c r="AS1080">
        <f t="shared" si="387"/>
        <v>0</v>
      </c>
      <c r="AT1080">
        <f t="shared" si="388"/>
        <v>0</v>
      </c>
    </row>
    <row r="1081" spans="1:46" customFormat="1" ht="15.75" x14ac:dyDescent="0.25">
      <c r="A1081" s="372"/>
      <c r="B1081" s="401"/>
      <c r="C1081" s="402"/>
      <c r="D1081" s="403"/>
      <c r="E1081" s="404"/>
      <c r="F1081" s="405"/>
      <c r="G1081" s="406"/>
      <c r="H1081" s="407"/>
      <c r="I1081" s="407"/>
      <c r="J1081" s="413"/>
      <c r="K1081" s="415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17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17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17"/>
      <c r="O1081" s="417">
        <f t="shared" ca="1" si="392"/>
        <v>0</v>
      </c>
      <c r="P1081" s="417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17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17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17">
        <f ca="1">ROUND(IF(ISERROR(OFFSET(Bronzo!$A$1,MATCH(H1081,Bronzo!$A:$A,0)-1,MATCH(I1081,Bronzo!$A$1:$AA$1,0)-1)=TRUE),0,OFFSET(Bronzo!$A$1,MATCH(H1081,Bronzo!$A:$A,0)-1,MATCH(I1081,Bronzo!$A$1:$AA$1,0)-1)),4)</f>
        <v>0</v>
      </c>
      <c r="T1081" s="417">
        <f t="shared" ca="1" si="389"/>
        <v>0</v>
      </c>
      <c r="U1081" s="415"/>
      <c r="V1081" s="417">
        <v>0</v>
      </c>
      <c r="W1081" s="419">
        <f t="shared" ca="1" si="390"/>
        <v>0</v>
      </c>
      <c r="X1081" s="421">
        <f t="shared" si="381"/>
        <v>0</v>
      </c>
      <c r="Y1081" s="413"/>
      <c r="Z1081" s="413">
        <f t="shared" ca="1" si="391"/>
        <v>0</v>
      </c>
      <c r="AA1081" s="408"/>
      <c r="AF1081" s="375">
        <f t="shared" ca="1" si="382"/>
        <v>46236</v>
      </c>
      <c r="AG1081" s="375" t="b">
        <f t="shared" si="383"/>
        <v>1</v>
      </c>
      <c r="AH1081" s="409" t="str">
        <f t="shared" si="384"/>
        <v/>
      </c>
      <c r="AK1081">
        <f t="shared" si="385"/>
        <v>0</v>
      </c>
      <c r="AL1081">
        <f t="shared" si="386"/>
        <v>1900</v>
      </c>
      <c r="AS1081">
        <f t="shared" si="387"/>
        <v>0</v>
      </c>
      <c r="AT1081">
        <f t="shared" si="388"/>
        <v>0</v>
      </c>
    </row>
    <row r="1082" spans="1:46" customFormat="1" ht="15.75" x14ac:dyDescent="0.25">
      <c r="A1082" s="372"/>
      <c r="B1082" s="401"/>
      <c r="C1082" s="402"/>
      <c r="D1082" s="403"/>
      <c r="E1082" s="404"/>
      <c r="F1082" s="405"/>
      <c r="G1082" s="406"/>
      <c r="H1082" s="407"/>
      <c r="I1082" s="407"/>
      <c r="J1082" s="413"/>
      <c r="K1082" s="415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17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17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17"/>
      <c r="O1082" s="417">
        <f t="shared" ca="1" si="392"/>
        <v>0</v>
      </c>
      <c r="P1082" s="417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17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17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17">
        <f ca="1">ROUND(IF(ISERROR(OFFSET(Bronzo!$A$1,MATCH(H1082,Bronzo!$A:$A,0)-1,MATCH(I1082,Bronzo!$A$1:$AA$1,0)-1)=TRUE),0,OFFSET(Bronzo!$A$1,MATCH(H1082,Bronzo!$A:$A,0)-1,MATCH(I1082,Bronzo!$A$1:$AA$1,0)-1)),4)</f>
        <v>0</v>
      </c>
      <c r="T1082" s="417">
        <f t="shared" ca="1" si="389"/>
        <v>0</v>
      </c>
      <c r="U1082" s="415"/>
      <c r="V1082" s="417">
        <v>0</v>
      </c>
      <c r="W1082" s="419">
        <f t="shared" ca="1" si="390"/>
        <v>0</v>
      </c>
      <c r="X1082" s="421">
        <f t="shared" si="381"/>
        <v>0</v>
      </c>
      <c r="Y1082" s="413"/>
      <c r="Z1082" s="413">
        <f t="shared" ca="1" si="391"/>
        <v>0</v>
      </c>
      <c r="AA1082" s="408"/>
      <c r="AF1082" s="375">
        <f t="shared" ca="1" si="382"/>
        <v>46236</v>
      </c>
      <c r="AG1082" s="375" t="b">
        <f t="shared" si="383"/>
        <v>1</v>
      </c>
      <c r="AH1082" s="409" t="str">
        <f t="shared" si="384"/>
        <v/>
      </c>
      <c r="AK1082">
        <f t="shared" si="385"/>
        <v>0</v>
      </c>
      <c r="AL1082">
        <f t="shared" si="386"/>
        <v>1900</v>
      </c>
      <c r="AS1082">
        <f t="shared" si="387"/>
        <v>0</v>
      </c>
      <c r="AT1082">
        <f t="shared" si="388"/>
        <v>0</v>
      </c>
    </row>
    <row r="1083" spans="1:46" customFormat="1" ht="15.75" x14ac:dyDescent="0.25">
      <c r="A1083" s="372"/>
      <c r="B1083" s="401"/>
      <c r="C1083" s="402"/>
      <c r="D1083" s="403"/>
      <c r="E1083" s="404"/>
      <c r="F1083" s="405"/>
      <c r="G1083" s="406"/>
      <c r="H1083" s="407"/>
      <c r="I1083" s="407"/>
      <c r="J1083" s="413"/>
      <c r="K1083" s="415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17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17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17"/>
      <c r="O1083" s="417">
        <f t="shared" ca="1" si="392"/>
        <v>0</v>
      </c>
      <c r="P1083" s="417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17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17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17">
        <f ca="1">ROUND(IF(ISERROR(OFFSET(Bronzo!$A$1,MATCH(H1083,Bronzo!$A:$A,0)-1,MATCH(I1083,Bronzo!$A$1:$AA$1,0)-1)=TRUE),0,OFFSET(Bronzo!$A$1,MATCH(H1083,Bronzo!$A:$A,0)-1,MATCH(I1083,Bronzo!$A$1:$AA$1,0)-1)),4)</f>
        <v>0</v>
      </c>
      <c r="T1083" s="417">
        <f t="shared" ca="1" si="389"/>
        <v>0</v>
      </c>
      <c r="U1083" s="415"/>
      <c r="V1083" s="417">
        <v>0</v>
      </c>
      <c r="W1083" s="419">
        <f t="shared" ca="1" si="390"/>
        <v>0</v>
      </c>
      <c r="X1083" s="421">
        <f t="shared" si="381"/>
        <v>0</v>
      </c>
      <c r="Y1083" s="413"/>
      <c r="Z1083" s="413">
        <f t="shared" ca="1" si="391"/>
        <v>0</v>
      </c>
      <c r="AA1083" s="408"/>
      <c r="AF1083" s="375">
        <f t="shared" ca="1" si="382"/>
        <v>46236</v>
      </c>
      <c r="AG1083" s="375" t="b">
        <f t="shared" si="383"/>
        <v>1</v>
      </c>
      <c r="AH1083" s="409" t="str">
        <f t="shared" si="384"/>
        <v/>
      </c>
      <c r="AK1083">
        <f t="shared" si="385"/>
        <v>0</v>
      </c>
      <c r="AL1083">
        <f t="shared" si="386"/>
        <v>1900</v>
      </c>
      <c r="AS1083">
        <f t="shared" si="387"/>
        <v>0</v>
      </c>
      <c r="AT1083">
        <f t="shared" si="388"/>
        <v>0</v>
      </c>
    </row>
    <row r="1084" spans="1:46" customFormat="1" ht="15.75" x14ac:dyDescent="0.25">
      <c r="A1084" s="372"/>
      <c r="B1084" s="401"/>
      <c r="C1084" s="402"/>
      <c r="D1084" s="403"/>
      <c r="E1084" s="404"/>
      <c r="F1084" s="405"/>
      <c r="G1084" s="406"/>
      <c r="H1084" s="407"/>
      <c r="I1084" s="407"/>
      <c r="J1084" s="413"/>
      <c r="K1084" s="415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17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17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17"/>
      <c r="O1084" s="417">
        <f t="shared" ca="1" si="392"/>
        <v>0</v>
      </c>
      <c r="P1084" s="417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17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17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17">
        <f ca="1">ROUND(IF(ISERROR(OFFSET(Bronzo!$A$1,MATCH(H1084,Bronzo!$A:$A,0)-1,MATCH(I1084,Bronzo!$A$1:$AA$1,0)-1)=TRUE),0,OFFSET(Bronzo!$A$1,MATCH(H1084,Bronzo!$A:$A,0)-1,MATCH(I1084,Bronzo!$A$1:$AA$1,0)-1)),4)</f>
        <v>0</v>
      </c>
      <c r="T1084" s="417">
        <f t="shared" ca="1" si="389"/>
        <v>0</v>
      </c>
      <c r="U1084" s="415"/>
      <c r="V1084" s="417">
        <v>0</v>
      </c>
      <c r="W1084" s="419">
        <f t="shared" ca="1" si="390"/>
        <v>0</v>
      </c>
      <c r="X1084" s="421">
        <f t="shared" si="381"/>
        <v>0</v>
      </c>
      <c r="Y1084" s="413"/>
      <c r="Z1084" s="413">
        <f t="shared" ca="1" si="391"/>
        <v>0</v>
      </c>
      <c r="AA1084" s="408"/>
      <c r="AF1084" s="375">
        <f t="shared" ca="1" si="382"/>
        <v>46236</v>
      </c>
      <c r="AG1084" s="375" t="b">
        <f t="shared" si="383"/>
        <v>1</v>
      </c>
      <c r="AH1084" s="409" t="str">
        <f t="shared" si="384"/>
        <v/>
      </c>
      <c r="AK1084">
        <f t="shared" si="385"/>
        <v>0</v>
      </c>
      <c r="AL1084">
        <f t="shared" si="386"/>
        <v>1900</v>
      </c>
      <c r="AS1084">
        <f t="shared" si="387"/>
        <v>0</v>
      </c>
      <c r="AT1084">
        <f t="shared" si="388"/>
        <v>0</v>
      </c>
    </row>
    <row r="1085" spans="1:46" customFormat="1" ht="15.75" x14ac:dyDescent="0.25">
      <c r="A1085" s="372"/>
      <c r="B1085" s="401"/>
      <c r="C1085" s="402"/>
      <c r="D1085" s="403"/>
      <c r="E1085" s="404"/>
      <c r="F1085" s="405"/>
      <c r="G1085" s="406"/>
      <c r="H1085" s="407"/>
      <c r="I1085" s="407"/>
      <c r="J1085" s="413"/>
      <c r="K1085" s="415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17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17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17"/>
      <c r="O1085" s="417">
        <f t="shared" ca="1" si="392"/>
        <v>0</v>
      </c>
      <c r="P1085" s="417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17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17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17">
        <f ca="1">ROUND(IF(ISERROR(OFFSET(Bronzo!$A$1,MATCH(H1085,Bronzo!$A:$A,0)-1,MATCH(I1085,Bronzo!$A$1:$AA$1,0)-1)=TRUE),0,OFFSET(Bronzo!$A$1,MATCH(H1085,Bronzo!$A:$A,0)-1,MATCH(I1085,Bronzo!$A$1:$AA$1,0)-1)),4)</f>
        <v>0</v>
      </c>
      <c r="T1085" s="417">
        <f t="shared" ca="1" si="389"/>
        <v>0</v>
      </c>
      <c r="U1085" s="415"/>
      <c r="V1085" s="417">
        <v>0</v>
      </c>
      <c r="W1085" s="419">
        <f t="shared" ca="1" si="390"/>
        <v>0</v>
      </c>
      <c r="X1085" s="421">
        <f t="shared" si="381"/>
        <v>0</v>
      </c>
      <c r="Y1085" s="413"/>
      <c r="Z1085" s="413">
        <f t="shared" ca="1" si="391"/>
        <v>0</v>
      </c>
      <c r="AA1085" s="408"/>
      <c r="AF1085" s="375">
        <f t="shared" ca="1" si="382"/>
        <v>46236</v>
      </c>
      <c r="AG1085" s="375" t="b">
        <f t="shared" si="383"/>
        <v>1</v>
      </c>
      <c r="AH1085" s="409" t="str">
        <f t="shared" si="384"/>
        <v/>
      </c>
      <c r="AK1085">
        <f t="shared" si="385"/>
        <v>0</v>
      </c>
      <c r="AL1085">
        <f t="shared" si="386"/>
        <v>1900</v>
      </c>
      <c r="AS1085">
        <f t="shared" si="387"/>
        <v>0</v>
      </c>
      <c r="AT1085">
        <f t="shared" si="388"/>
        <v>0</v>
      </c>
    </row>
    <row r="1086" spans="1:46" customFormat="1" ht="15.75" x14ac:dyDescent="0.25">
      <c r="A1086" s="372"/>
      <c r="B1086" s="401"/>
      <c r="C1086" s="402"/>
      <c r="D1086" s="403"/>
      <c r="E1086" s="404"/>
      <c r="F1086" s="405"/>
      <c r="G1086" s="406"/>
      <c r="H1086" s="407"/>
      <c r="I1086" s="407"/>
      <c r="J1086" s="413"/>
      <c r="K1086" s="415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17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17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17"/>
      <c r="O1086" s="417">
        <f t="shared" ca="1" si="392"/>
        <v>0</v>
      </c>
      <c r="P1086" s="417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17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17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17">
        <f ca="1">ROUND(IF(ISERROR(OFFSET(Bronzo!$A$1,MATCH(H1086,Bronzo!$A:$A,0)-1,MATCH(I1086,Bronzo!$A$1:$AA$1,0)-1)=TRUE),0,OFFSET(Bronzo!$A$1,MATCH(H1086,Bronzo!$A:$A,0)-1,MATCH(I1086,Bronzo!$A$1:$AA$1,0)-1)),4)</f>
        <v>0</v>
      </c>
      <c r="T1086" s="417">
        <f t="shared" ca="1" si="389"/>
        <v>0</v>
      </c>
      <c r="U1086" s="415"/>
      <c r="V1086" s="417">
        <v>0</v>
      </c>
      <c r="W1086" s="419">
        <f t="shared" ca="1" si="390"/>
        <v>0</v>
      </c>
      <c r="X1086" s="421">
        <f t="shared" si="381"/>
        <v>0</v>
      </c>
      <c r="Y1086" s="413"/>
      <c r="Z1086" s="413">
        <f t="shared" ca="1" si="391"/>
        <v>0</v>
      </c>
      <c r="AA1086" s="408"/>
      <c r="AF1086" s="375">
        <f t="shared" ref="AF1086:AF1098" ca="1" si="393">TODAY()</f>
        <v>46236</v>
      </c>
      <c r="AG1086" s="375" t="b">
        <f t="shared" ref="AG1086:AG1098" si="394">ISBLANK(AA1086)</f>
        <v>1</v>
      </c>
      <c r="AH1086" s="409" t="str">
        <f t="shared" ref="AH1086:AH1098" si="395">IF(AG1086=FALSE,_xlfn.DAYS(AA1086,AF1086),"")</f>
        <v/>
      </c>
      <c r="AK1086">
        <f t="shared" ref="AK1086:AK1098" si="396">WEEKNUM(AA1086)</f>
        <v>0</v>
      </c>
      <c r="AL1086">
        <f t="shared" ref="AL1086:AL1098" si="397">YEAR(AA1086)</f>
        <v>1900</v>
      </c>
      <c r="AS1086">
        <f t="shared" ref="AS1086:AS1098" si="398">IF(AA1086="",0,MONTH(AA1086))</f>
        <v>0</v>
      </c>
      <c r="AT1086">
        <f t="shared" ref="AT1086:AT1098" si="399">IF(AA1086="",0,YEAR(AA1086))</f>
        <v>0</v>
      </c>
    </row>
    <row r="1087" spans="1:46" customFormat="1" ht="15.75" x14ac:dyDescent="0.25">
      <c r="A1087" s="372"/>
      <c r="B1087" s="401"/>
      <c r="C1087" s="402"/>
      <c r="D1087" s="403"/>
      <c r="E1087" s="404"/>
      <c r="F1087" s="405"/>
      <c r="G1087" s="406"/>
      <c r="H1087" s="407"/>
      <c r="I1087" s="407"/>
      <c r="J1087" s="413"/>
      <c r="K1087" s="415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17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17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17"/>
      <c r="O1087" s="417">
        <f t="shared" ca="1" si="392"/>
        <v>0</v>
      </c>
      <c r="P1087" s="417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17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17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17">
        <f ca="1">ROUND(IF(ISERROR(OFFSET(Bronzo!$A$1,MATCH(H1087,Bronzo!$A:$A,0)-1,MATCH(I1087,Bronzo!$A$1:$AA$1,0)-1)=TRUE),0,OFFSET(Bronzo!$A$1,MATCH(H1087,Bronzo!$A:$A,0)-1,MATCH(I1087,Bronzo!$A$1:$AA$1,0)-1)),4)</f>
        <v>0</v>
      </c>
      <c r="T1087" s="417">
        <f t="shared" ca="1" si="389"/>
        <v>0</v>
      </c>
      <c r="U1087" s="415"/>
      <c r="V1087" s="417">
        <v>0</v>
      </c>
      <c r="W1087" s="419">
        <f t="shared" ca="1" si="390"/>
        <v>0</v>
      </c>
      <c r="X1087" s="421">
        <f t="shared" si="381"/>
        <v>0</v>
      </c>
      <c r="Y1087" s="413"/>
      <c r="Z1087" s="413">
        <f t="shared" ca="1" si="391"/>
        <v>0</v>
      </c>
      <c r="AA1087" s="408"/>
      <c r="AF1087" s="375">
        <f t="shared" ca="1" si="393"/>
        <v>46236</v>
      </c>
      <c r="AG1087" s="375" t="b">
        <f t="shared" si="394"/>
        <v>1</v>
      </c>
      <c r="AH1087" s="409" t="str">
        <f t="shared" si="395"/>
        <v/>
      </c>
      <c r="AK1087">
        <f t="shared" si="396"/>
        <v>0</v>
      </c>
      <c r="AL1087">
        <f t="shared" si="397"/>
        <v>1900</v>
      </c>
      <c r="AS1087">
        <f t="shared" si="398"/>
        <v>0</v>
      </c>
      <c r="AT1087">
        <f t="shared" si="399"/>
        <v>0</v>
      </c>
    </row>
    <row r="1088" spans="1:46" customFormat="1" ht="15.75" x14ac:dyDescent="0.25">
      <c r="A1088" s="372"/>
      <c r="B1088" s="401"/>
      <c r="C1088" s="402"/>
      <c r="D1088" s="403"/>
      <c r="E1088" s="404"/>
      <c r="F1088" s="405"/>
      <c r="G1088" s="406"/>
      <c r="H1088" s="407"/>
      <c r="I1088" s="407"/>
      <c r="J1088" s="413"/>
      <c r="K1088" s="415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17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17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17"/>
      <c r="O1088" s="417">
        <f t="shared" ca="1" si="392"/>
        <v>0</v>
      </c>
      <c r="P1088" s="417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17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17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17">
        <f ca="1">ROUND(IF(ISERROR(OFFSET(Bronzo!$A$1,MATCH(H1088,Bronzo!$A:$A,0)-1,MATCH(I1088,Bronzo!$A$1:$AA$1,0)-1)=TRUE),0,OFFSET(Bronzo!$A$1,MATCH(H1088,Bronzo!$A:$A,0)-1,MATCH(I1088,Bronzo!$A$1:$AA$1,0)-1)),4)</f>
        <v>0</v>
      </c>
      <c r="T1088" s="417">
        <f t="shared" ca="1" si="389"/>
        <v>0</v>
      </c>
      <c r="U1088" s="415"/>
      <c r="V1088" s="417">
        <v>0</v>
      </c>
      <c r="W1088" s="419">
        <f t="shared" ca="1" si="390"/>
        <v>0</v>
      </c>
      <c r="X1088" s="421">
        <f t="shared" si="381"/>
        <v>0</v>
      </c>
      <c r="Y1088" s="413"/>
      <c r="Z1088" s="413">
        <f t="shared" ca="1" si="391"/>
        <v>0</v>
      </c>
      <c r="AA1088" s="408"/>
      <c r="AF1088" s="375">
        <f t="shared" ca="1" si="393"/>
        <v>46236</v>
      </c>
      <c r="AG1088" s="375" t="b">
        <f t="shared" si="394"/>
        <v>1</v>
      </c>
      <c r="AH1088" s="409" t="str">
        <f t="shared" si="395"/>
        <v/>
      </c>
      <c r="AK1088">
        <f t="shared" si="396"/>
        <v>0</v>
      </c>
      <c r="AL1088">
        <f t="shared" si="397"/>
        <v>1900</v>
      </c>
      <c r="AS1088">
        <f t="shared" si="398"/>
        <v>0</v>
      </c>
      <c r="AT1088">
        <f t="shared" si="399"/>
        <v>0</v>
      </c>
    </row>
    <row r="1089" spans="1:46" customFormat="1" ht="15.75" x14ac:dyDescent="0.25">
      <c r="A1089" s="372"/>
      <c r="B1089" s="401"/>
      <c r="C1089" s="402"/>
      <c r="D1089" s="403"/>
      <c r="E1089" s="404"/>
      <c r="F1089" s="405"/>
      <c r="G1089" s="406"/>
      <c r="H1089" s="407"/>
      <c r="I1089" s="407"/>
      <c r="J1089" s="413"/>
      <c r="K1089" s="415">
        <f ca="1">ROUND(IF(ISERROR(OFFSET(Tabella!$A$1,MATCH(H1089,Tabella!$A:$A,0)-1,MATCH(J1089,Tabella!$A$1:$AC$1,0)-1)=TRUE),0,+OFFSET(Tabella!$A$1,MATCH(H1089,Tabella!$A:$A,0)-1,MATCH(J1089,Tabella!$A$1:$AC$1,0)-1)),4)</f>
        <v>0</v>
      </c>
      <c r="L1089" s="417">
        <f ca="1">ROUND(IF(ISERROR(OFFSET(Ottone!$A$1,MATCH(H1089,Ottone!$A:$A,0)-1,MATCH(J1089,Ottone!$A$1:$Z$1,0)-1)=TRUE),0,OFFSET(Ottone!$A$1,MATCH(H1089,Ottone!$A:$A,0)-1,MATCH(J1089,Ottone!$A$1:$Z$1,0)-1))*IF(E1089="Ottone",1,0),4)</f>
        <v>0</v>
      </c>
      <c r="M1089" s="417">
        <f ca="1">ROUND(IF(ISERROR(OFFSET(Rame!$A$1,MATCH(H1089,Rame!$A:$A,0)-1,MATCH(J1089,Rame!$A$1:$AA$1,0)-1)=TRUE),0,OFFSET(Rame!$A$1,MATCH(H1089,Rame!$A:$A,0)-1,MATCH(J1089,Rame!$A$1:$AA$1,0)-1))*IF(E1089="Rame",1,0),4)</f>
        <v>0</v>
      </c>
      <c r="N1089" s="417"/>
      <c r="O1089" s="417">
        <f t="shared" ca="1" si="392"/>
        <v>0</v>
      </c>
      <c r="P1089" s="417">
        <f ca="1">ROUND(+IF(ISERROR(OFFSET(Tabella!$G$1,MATCH(H1089,Tabella!$G:$G,0)-1,MATCH(I1089,Tabella!$G$1:$FG$1,0)-1)=TRUE),0,OFFSET(Tabella!$G$1,MATCH(H1089,Tabella!$G:$G,0)-1,MATCH(I1089,Tabella!$G$1:$AB$1,0)-1)),4)</f>
        <v>0</v>
      </c>
      <c r="Q1089" s="417">
        <f ca="1">ROUND(IF(ISERROR(OFFSET(Ottone!$F$1,MATCH(H1089,Ottone!$A:$A,0)-1,MATCH(I1089,Ottone!$F$1:$FF$1,0)-1)=TRUE),0,OFFSET(Ottone!$F$1,MATCH(H1089,Ottone!$A:$A,0)-1,MATCH(I1089,Ottone!$F$1:$FF$1,0)-1))*IF(E1089="Ottone",1,0),4)</f>
        <v>0</v>
      </c>
      <c r="R1089" s="417">
        <f ca="1">ROUND(IF(ISERROR(OFFSET(Rame!$F$1,MATCH(H1089,Rame!$F:$F,0)-1,MATCH(I1089,Rame!$F$1:$FF$1,0)-1)=TRUE),0,OFFSET(Rame!$F$1,MATCH(H1089,Rame!$F:$F,0)-1,MATCH(I1089,Rame!$F$1:$FF$1,0)-1))*IF(E1089="Rame",1,0),4)</f>
        <v>0</v>
      </c>
      <c r="S1089" s="417">
        <f ca="1">ROUND(IF(ISERROR(OFFSET(Bronzo!$A$1,MATCH(H1089,Bronzo!$A:$A,0)-1,MATCH(I1089,Bronzo!$A$1:$AA$1,0)-1)=TRUE),0,OFFSET(Bronzo!$A$1,MATCH(H1089,Bronzo!$A:$A,0)-1,MATCH(I1089,Bronzo!$A$1:$AA$1,0)-1)),4)</f>
        <v>0</v>
      </c>
      <c r="T1089" s="417">
        <f t="shared" ca="1" si="389"/>
        <v>0</v>
      </c>
      <c r="U1089" s="415"/>
      <c r="V1089" s="417">
        <v>0</v>
      </c>
      <c r="W1089" s="419">
        <f t="shared" ca="1" si="390"/>
        <v>0</v>
      </c>
      <c r="X1089" s="421">
        <f t="shared" si="381"/>
        <v>0</v>
      </c>
      <c r="Y1089" s="413"/>
      <c r="Z1089" s="413">
        <f t="shared" ca="1" si="391"/>
        <v>0</v>
      </c>
      <c r="AA1089" s="408"/>
      <c r="AF1089" s="375">
        <f t="shared" ca="1" si="393"/>
        <v>46236</v>
      </c>
      <c r="AG1089" s="375" t="b">
        <f t="shared" si="394"/>
        <v>1</v>
      </c>
      <c r="AH1089" s="409" t="str">
        <f t="shared" si="395"/>
        <v/>
      </c>
      <c r="AK1089">
        <f t="shared" si="396"/>
        <v>0</v>
      </c>
      <c r="AL1089">
        <f t="shared" si="397"/>
        <v>1900</v>
      </c>
      <c r="AS1089">
        <f t="shared" si="398"/>
        <v>0</v>
      </c>
      <c r="AT1089">
        <f t="shared" si="399"/>
        <v>0</v>
      </c>
    </row>
    <row r="1090" spans="1:46" customFormat="1" ht="15.75" x14ac:dyDescent="0.25">
      <c r="A1090" s="372"/>
      <c r="B1090" s="401"/>
      <c r="C1090" s="402"/>
      <c r="D1090" s="403"/>
      <c r="E1090" s="404"/>
      <c r="F1090" s="405"/>
      <c r="G1090" s="406"/>
      <c r="H1090" s="407"/>
      <c r="I1090" s="407"/>
      <c r="J1090" s="413"/>
      <c r="K1090" s="415">
        <f ca="1">ROUND(IF(ISERROR(OFFSET(Tabella!$A$1,MATCH(H1090,Tabella!$A:$A,0)-1,MATCH(J1090,Tabella!$A$1:$AC$1,0)-1)=TRUE),0,+OFFSET(Tabella!$A$1,MATCH(H1090,Tabella!$A:$A,0)-1,MATCH(J1090,Tabella!$A$1:$AC$1,0)-1)),4)</f>
        <v>0</v>
      </c>
      <c r="L1090" s="417">
        <f ca="1">ROUND(IF(ISERROR(OFFSET(Ottone!$A$1,MATCH(H1090,Ottone!$A:$A,0)-1,MATCH(J1090,Ottone!$A$1:$Z$1,0)-1)=TRUE),0,OFFSET(Ottone!$A$1,MATCH(H1090,Ottone!$A:$A,0)-1,MATCH(J1090,Ottone!$A$1:$Z$1,0)-1))*IF(E1090="Ottone",1,0),4)</f>
        <v>0</v>
      </c>
      <c r="M1090" s="417">
        <f ca="1">ROUND(IF(ISERROR(OFFSET(Rame!$A$1,MATCH(H1090,Rame!$A:$A,0)-1,MATCH(J1090,Rame!$A$1:$AA$1,0)-1)=TRUE),0,OFFSET(Rame!$A$1,MATCH(H1090,Rame!$A:$A,0)-1,MATCH(J1090,Rame!$A$1:$AA$1,0)-1))*IF(E1090="Rame",1,0),4)</f>
        <v>0</v>
      </c>
      <c r="N1090" s="417"/>
      <c r="O1090" s="417">
        <f t="shared" ca="1" si="392"/>
        <v>0</v>
      </c>
      <c r="P1090" s="417">
        <f ca="1">ROUND(+IF(ISERROR(OFFSET(Tabella!$G$1,MATCH(H1090,Tabella!$G:$G,0)-1,MATCH(I1090,Tabella!$G$1:$FG$1,0)-1)=TRUE),0,OFFSET(Tabella!$G$1,MATCH(H1090,Tabella!$G:$G,0)-1,MATCH(I1090,Tabella!$G$1:$AB$1,0)-1)),4)</f>
        <v>0</v>
      </c>
      <c r="Q1090" s="417">
        <f ca="1">ROUND(IF(ISERROR(OFFSET(Ottone!$F$1,MATCH(H1090,Ottone!$A:$A,0)-1,MATCH(I1090,Ottone!$F$1:$FF$1,0)-1)=TRUE),0,OFFSET(Ottone!$F$1,MATCH(H1090,Ottone!$A:$A,0)-1,MATCH(I1090,Ottone!$F$1:$FF$1,0)-1))*IF(E1090="Ottone",1,0),4)</f>
        <v>0</v>
      </c>
      <c r="R1090" s="417">
        <f ca="1">ROUND(IF(ISERROR(OFFSET(Rame!$F$1,MATCH(H1090,Rame!$F:$F,0)-1,MATCH(I1090,Rame!$F$1:$FF$1,0)-1)=TRUE),0,OFFSET(Rame!$F$1,MATCH(H1090,Rame!$F:$F,0)-1,MATCH(I1090,Rame!$F$1:$FF$1,0)-1))*IF(E1090="Rame",1,0),4)</f>
        <v>0</v>
      </c>
      <c r="S1090" s="417">
        <f ca="1">ROUND(IF(ISERROR(OFFSET(Bronzo!$A$1,MATCH(H1090,Bronzo!$A:$A,0)-1,MATCH(I1090,Bronzo!$A$1:$AA$1,0)-1)=TRUE),0,OFFSET(Bronzo!$A$1,MATCH(H1090,Bronzo!$A:$A,0)-1,MATCH(I1090,Bronzo!$A$1:$AA$1,0)-1)),4)</f>
        <v>0</v>
      </c>
      <c r="T1090" s="417">
        <f t="shared" ca="1" si="389"/>
        <v>0</v>
      </c>
      <c r="U1090" s="415"/>
      <c r="V1090" s="417">
        <v>0</v>
      </c>
      <c r="W1090" s="419">
        <f t="shared" ca="1" si="390"/>
        <v>0</v>
      </c>
      <c r="X1090" s="421">
        <f t="shared" si="381"/>
        <v>0</v>
      </c>
      <c r="Y1090" s="413"/>
      <c r="Z1090" s="413">
        <f t="shared" ca="1" si="391"/>
        <v>0</v>
      </c>
      <c r="AA1090" s="408"/>
      <c r="AF1090" s="375">
        <f t="shared" ca="1" si="393"/>
        <v>46236</v>
      </c>
      <c r="AG1090" s="375" t="b">
        <f t="shared" si="394"/>
        <v>1</v>
      </c>
      <c r="AH1090" s="409" t="str">
        <f t="shared" si="395"/>
        <v/>
      </c>
      <c r="AK1090">
        <f t="shared" si="396"/>
        <v>0</v>
      </c>
      <c r="AL1090">
        <f t="shared" si="397"/>
        <v>1900</v>
      </c>
      <c r="AS1090">
        <f t="shared" si="398"/>
        <v>0</v>
      </c>
      <c r="AT1090">
        <f t="shared" si="399"/>
        <v>0</v>
      </c>
    </row>
    <row r="1091" spans="1:46" customFormat="1" ht="15.75" x14ac:dyDescent="0.25">
      <c r="A1091" s="372"/>
      <c r="B1091" s="401"/>
      <c r="C1091" s="402"/>
      <c r="D1091" s="403"/>
      <c r="E1091" s="404"/>
      <c r="F1091" s="405"/>
      <c r="G1091" s="406"/>
      <c r="H1091" s="407"/>
      <c r="I1091" s="407"/>
      <c r="J1091" s="413"/>
      <c r="K1091" s="415">
        <f ca="1">ROUND(IF(ISERROR(OFFSET(Tabella!$A$1,MATCH(H1091,Tabella!$A:$A,0)-1,MATCH(J1091,Tabella!$A$1:$AC$1,0)-1)=TRUE),0,+OFFSET(Tabella!$A$1,MATCH(H1091,Tabella!$A:$A,0)-1,MATCH(J1091,Tabella!$A$1:$AC$1,0)-1)),4)</f>
        <v>0</v>
      </c>
      <c r="L1091" s="417">
        <f ca="1">ROUND(IF(ISERROR(OFFSET(Ottone!$A$1,MATCH(H1091,Ottone!$A:$A,0)-1,MATCH(J1091,Ottone!$A$1:$Z$1,0)-1)=TRUE),0,OFFSET(Ottone!$A$1,MATCH(H1091,Ottone!$A:$A,0)-1,MATCH(J1091,Ottone!$A$1:$Z$1,0)-1))*IF(E1091="Ottone",1,0),4)</f>
        <v>0</v>
      </c>
      <c r="M1091" s="417">
        <f ca="1">ROUND(IF(ISERROR(OFFSET(Rame!$A$1,MATCH(H1091,Rame!$A:$A,0)-1,MATCH(J1091,Rame!$A$1:$AA$1,0)-1)=TRUE),0,OFFSET(Rame!$A$1,MATCH(H1091,Rame!$A:$A,0)-1,MATCH(J1091,Rame!$A$1:$AA$1,0)-1))*IF(E1091="Rame",1,0),4)</f>
        <v>0</v>
      </c>
      <c r="N1091" s="417"/>
      <c r="O1091" s="417">
        <f t="shared" ca="1" si="392"/>
        <v>0</v>
      </c>
      <c r="P1091" s="417">
        <f ca="1">ROUND(+IF(ISERROR(OFFSET(Tabella!$G$1,MATCH(H1091,Tabella!$G:$G,0)-1,MATCH(I1091,Tabella!$G$1:$FG$1,0)-1)=TRUE),0,OFFSET(Tabella!$G$1,MATCH(H1091,Tabella!$G:$G,0)-1,MATCH(I1091,Tabella!$G$1:$AB$1,0)-1)),4)</f>
        <v>0</v>
      </c>
      <c r="Q1091" s="417">
        <f ca="1">ROUND(IF(ISERROR(OFFSET(Ottone!$F$1,MATCH(H1091,Ottone!$A:$A,0)-1,MATCH(I1091,Ottone!$F$1:$FF$1,0)-1)=TRUE),0,OFFSET(Ottone!$F$1,MATCH(H1091,Ottone!$A:$A,0)-1,MATCH(I1091,Ottone!$F$1:$FF$1,0)-1))*IF(E1091="Ottone",1,0),4)</f>
        <v>0</v>
      </c>
      <c r="R1091" s="417">
        <f ca="1">ROUND(IF(ISERROR(OFFSET(Rame!$F$1,MATCH(H1091,Rame!$F:$F,0)-1,MATCH(I1091,Rame!$F$1:$FF$1,0)-1)=TRUE),0,OFFSET(Rame!$F$1,MATCH(H1091,Rame!$F:$F,0)-1,MATCH(I1091,Rame!$F$1:$FF$1,0)-1))*IF(E1091="Rame",1,0),4)</f>
        <v>0</v>
      </c>
      <c r="S1091" s="417">
        <f ca="1">ROUND(IF(ISERROR(OFFSET(Bronzo!$A$1,MATCH(H1091,Bronzo!$A:$A,0)-1,MATCH(I1091,Bronzo!$A$1:$AA$1,0)-1)=TRUE),0,OFFSET(Bronzo!$A$1,MATCH(H1091,Bronzo!$A:$A,0)-1,MATCH(I1091,Bronzo!$A$1:$AA$1,0)-1)),4)</f>
        <v>0</v>
      </c>
      <c r="T1091" s="417">
        <f t="shared" ca="1" si="389"/>
        <v>0</v>
      </c>
      <c r="U1091" s="415"/>
      <c r="V1091" s="417">
        <v>0</v>
      </c>
      <c r="W1091" s="419">
        <f t="shared" ca="1" si="390"/>
        <v>0</v>
      </c>
      <c r="X1091" s="421">
        <f t="shared" si="381"/>
        <v>0</v>
      </c>
      <c r="Y1091" s="413"/>
      <c r="Z1091" s="413">
        <f t="shared" ca="1" si="391"/>
        <v>0</v>
      </c>
      <c r="AA1091" s="408"/>
      <c r="AF1091" s="375">
        <f t="shared" ca="1" si="393"/>
        <v>46236</v>
      </c>
      <c r="AG1091" s="375" t="b">
        <f t="shared" si="394"/>
        <v>1</v>
      </c>
      <c r="AH1091" s="409" t="str">
        <f t="shared" si="395"/>
        <v/>
      </c>
      <c r="AK1091">
        <f t="shared" si="396"/>
        <v>0</v>
      </c>
      <c r="AL1091">
        <f t="shared" si="397"/>
        <v>1900</v>
      </c>
      <c r="AS1091">
        <f t="shared" si="398"/>
        <v>0</v>
      </c>
      <c r="AT1091">
        <f t="shared" si="399"/>
        <v>0</v>
      </c>
    </row>
    <row r="1092" spans="1:46" customFormat="1" ht="15.75" x14ac:dyDescent="0.25">
      <c r="A1092" s="372"/>
      <c r="B1092" s="401"/>
      <c r="C1092" s="402"/>
      <c r="D1092" s="403"/>
      <c r="E1092" s="404"/>
      <c r="F1092" s="405"/>
      <c r="G1092" s="406"/>
      <c r="H1092" s="407"/>
      <c r="I1092" s="407"/>
      <c r="J1092" s="413"/>
      <c r="K1092" s="415">
        <f ca="1">ROUND(IF(ISERROR(OFFSET(Tabella!$A$1,MATCH(H1092,Tabella!$A:$A,0)-1,MATCH(J1092,Tabella!$A$1:$AC$1,0)-1)=TRUE),0,+OFFSET(Tabella!$A$1,MATCH(H1092,Tabella!$A:$A,0)-1,MATCH(J1092,Tabella!$A$1:$AC$1,0)-1)),4)</f>
        <v>0</v>
      </c>
      <c r="L1092" s="417">
        <f ca="1">ROUND(IF(ISERROR(OFFSET(Ottone!$A$1,MATCH(H1092,Ottone!$A:$A,0)-1,MATCH(J1092,Ottone!$A$1:$Z$1,0)-1)=TRUE),0,OFFSET(Ottone!$A$1,MATCH(H1092,Ottone!$A:$A,0)-1,MATCH(J1092,Ottone!$A$1:$Z$1,0)-1))*IF(E1092="Ottone",1,0),4)</f>
        <v>0</v>
      </c>
      <c r="M1092" s="417">
        <f ca="1">ROUND(IF(ISERROR(OFFSET(Rame!$A$1,MATCH(H1092,Rame!$A:$A,0)-1,MATCH(J1092,Rame!$A$1:$AA$1,0)-1)=TRUE),0,OFFSET(Rame!$A$1,MATCH(H1092,Rame!$A:$A,0)-1,MATCH(J1092,Rame!$A$1:$AA$1,0)-1))*IF(E1092="Rame",1,0),4)</f>
        <v>0</v>
      </c>
      <c r="N1092" s="417"/>
      <c r="O1092" s="417">
        <f t="shared" ca="1" si="392"/>
        <v>0</v>
      </c>
      <c r="P1092" s="417">
        <f ca="1">ROUND(+IF(ISERROR(OFFSET(Tabella!$G$1,MATCH(H1092,Tabella!$G:$G,0)-1,MATCH(I1092,Tabella!$G$1:$FG$1,0)-1)=TRUE),0,OFFSET(Tabella!$G$1,MATCH(H1092,Tabella!$G:$G,0)-1,MATCH(I1092,Tabella!$G$1:$AB$1,0)-1)),4)</f>
        <v>0</v>
      </c>
      <c r="Q1092" s="417">
        <f ca="1">ROUND(IF(ISERROR(OFFSET(Ottone!$F$1,MATCH(H1092,Ottone!$A:$A,0)-1,MATCH(I1092,Ottone!$F$1:$FF$1,0)-1)=TRUE),0,OFFSET(Ottone!$F$1,MATCH(H1092,Ottone!$A:$A,0)-1,MATCH(I1092,Ottone!$F$1:$FF$1,0)-1))*IF(E1092="Ottone",1,0),4)</f>
        <v>0</v>
      </c>
      <c r="R1092" s="417">
        <f ca="1">ROUND(IF(ISERROR(OFFSET(Rame!$F$1,MATCH(H1092,Rame!$F:$F,0)-1,MATCH(I1092,Rame!$F$1:$FF$1,0)-1)=TRUE),0,OFFSET(Rame!$F$1,MATCH(H1092,Rame!$F:$F,0)-1,MATCH(I1092,Rame!$F$1:$FF$1,0)-1))*IF(E1092="Rame",1,0),4)</f>
        <v>0</v>
      </c>
      <c r="S1092" s="417">
        <f ca="1">ROUND(IF(ISERROR(OFFSET(Bronzo!$A$1,MATCH(H1092,Bronzo!$A:$A,0)-1,MATCH(I1092,Bronzo!$A$1:$AA$1,0)-1)=TRUE),0,OFFSET(Bronzo!$A$1,MATCH(H1092,Bronzo!$A:$A,0)-1,MATCH(I1092,Bronzo!$A$1:$AA$1,0)-1)),4)</f>
        <v>0</v>
      </c>
      <c r="T1092" s="417">
        <f t="shared" ca="1" si="389"/>
        <v>0</v>
      </c>
      <c r="U1092" s="415"/>
      <c r="V1092" s="417">
        <v>0</v>
      </c>
      <c r="W1092" s="419">
        <f t="shared" ca="1" si="390"/>
        <v>0</v>
      </c>
      <c r="X1092" s="421">
        <f t="shared" si="381"/>
        <v>0</v>
      </c>
      <c r="Y1092" s="413"/>
      <c r="Z1092" s="413">
        <f t="shared" ca="1" si="391"/>
        <v>0</v>
      </c>
      <c r="AA1092" s="408"/>
      <c r="AF1092" s="375">
        <f t="shared" ca="1" si="393"/>
        <v>46236</v>
      </c>
      <c r="AG1092" s="375" t="b">
        <f t="shared" si="394"/>
        <v>1</v>
      </c>
      <c r="AH1092" s="409" t="str">
        <f t="shared" si="395"/>
        <v/>
      </c>
      <c r="AK1092">
        <f t="shared" si="396"/>
        <v>0</v>
      </c>
      <c r="AL1092">
        <f t="shared" si="397"/>
        <v>1900</v>
      </c>
      <c r="AS1092">
        <f t="shared" si="398"/>
        <v>0</v>
      </c>
      <c r="AT1092">
        <f t="shared" si="399"/>
        <v>0</v>
      </c>
    </row>
    <row r="1093" spans="1:46" customFormat="1" ht="15.75" x14ac:dyDescent="0.25">
      <c r="A1093" s="372"/>
      <c r="B1093" s="401"/>
      <c r="C1093" s="402"/>
      <c r="D1093" s="403"/>
      <c r="E1093" s="404"/>
      <c r="F1093" s="405"/>
      <c r="G1093" s="406"/>
      <c r="H1093" s="407"/>
      <c r="I1093" s="407"/>
      <c r="J1093" s="413"/>
      <c r="K1093" s="415">
        <f ca="1">ROUND(IF(ISERROR(OFFSET(Tabella!$A$1,MATCH(H1093,Tabella!$A:$A,0)-1,MATCH(J1093,Tabella!$A$1:$AC$1,0)-1)=TRUE),0,+OFFSET(Tabella!$A$1,MATCH(H1093,Tabella!$A:$A,0)-1,MATCH(J1093,Tabella!$A$1:$AC$1,0)-1)),4)</f>
        <v>0</v>
      </c>
      <c r="L1093" s="417">
        <f ca="1">ROUND(IF(ISERROR(OFFSET(Ottone!$A$1,MATCH(H1093,Ottone!$A:$A,0)-1,MATCH(J1093,Ottone!$A$1:$Z$1,0)-1)=TRUE),0,OFFSET(Ottone!$A$1,MATCH(H1093,Ottone!$A:$A,0)-1,MATCH(J1093,Ottone!$A$1:$Z$1,0)-1))*IF(E1093="Ottone",1,0),4)</f>
        <v>0</v>
      </c>
      <c r="M1093" s="417">
        <f ca="1">ROUND(IF(ISERROR(OFFSET(Rame!$A$1,MATCH(H1093,Rame!$A:$A,0)-1,MATCH(J1093,Rame!$A$1:$AA$1,0)-1)=TRUE),0,OFFSET(Rame!$A$1,MATCH(H1093,Rame!$A:$A,0)-1,MATCH(J1093,Rame!$A$1:$AA$1,0)-1))*IF(E1093="Rame",1,0),4)</f>
        <v>0</v>
      </c>
      <c r="N1093" s="417"/>
      <c r="O1093" s="417">
        <f t="shared" ca="1" si="392"/>
        <v>0</v>
      </c>
      <c r="P1093" s="417">
        <f ca="1">ROUND(+IF(ISERROR(OFFSET(Tabella!$G$1,MATCH(H1093,Tabella!$G:$G,0)-1,MATCH(I1093,Tabella!$G$1:$FG$1,0)-1)=TRUE),0,OFFSET(Tabella!$G$1,MATCH(H1093,Tabella!$G:$G,0)-1,MATCH(I1093,Tabella!$G$1:$AB$1,0)-1)),4)</f>
        <v>0</v>
      </c>
      <c r="Q1093" s="417">
        <f ca="1">ROUND(IF(ISERROR(OFFSET(Ottone!$F$1,MATCH(H1093,Ottone!$A:$A,0)-1,MATCH(I1093,Ottone!$F$1:$FF$1,0)-1)=TRUE),0,OFFSET(Ottone!$F$1,MATCH(H1093,Ottone!$A:$A,0)-1,MATCH(I1093,Ottone!$F$1:$FF$1,0)-1))*IF(E1093="Ottone",1,0),4)</f>
        <v>0</v>
      </c>
      <c r="R1093" s="417">
        <f ca="1">ROUND(IF(ISERROR(OFFSET(Rame!$F$1,MATCH(H1093,Rame!$F:$F,0)-1,MATCH(I1093,Rame!$F$1:$FF$1,0)-1)=TRUE),0,OFFSET(Rame!$F$1,MATCH(H1093,Rame!$F:$F,0)-1,MATCH(I1093,Rame!$F$1:$FF$1,0)-1))*IF(E1093="Rame",1,0),4)</f>
        <v>0</v>
      </c>
      <c r="S1093" s="417">
        <f ca="1">ROUND(IF(ISERROR(OFFSET(Bronzo!$A$1,MATCH(H1093,Bronzo!$A:$A,0)-1,MATCH(I1093,Bronzo!$A$1:$AA$1,0)-1)=TRUE),0,OFFSET(Bronzo!$A$1,MATCH(H1093,Bronzo!$A:$A,0)-1,MATCH(I1093,Bronzo!$A$1:$AA$1,0)-1)),4)</f>
        <v>0</v>
      </c>
      <c r="T1093" s="417">
        <f t="shared" ca="1" si="389"/>
        <v>0</v>
      </c>
      <c r="U1093" s="415"/>
      <c r="V1093" s="417">
        <v>0</v>
      </c>
      <c r="W1093" s="419">
        <f t="shared" ca="1" si="390"/>
        <v>0</v>
      </c>
      <c r="X1093" s="421">
        <f t="shared" si="381"/>
        <v>0</v>
      </c>
      <c r="Y1093" s="413"/>
      <c r="Z1093" s="413">
        <f t="shared" ca="1" si="391"/>
        <v>0</v>
      </c>
      <c r="AA1093" s="408"/>
      <c r="AF1093" s="375">
        <f t="shared" ca="1" si="393"/>
        <v>46236</v>
      </c>
      <c r="AG1093" s="375" t="b">
        <f t="shared" si="394"/>
        <v>1</v>
      </c>
      <c r="AH1093" s="409" t="str">
        <f t="shared" si="395"/>
        <v/>
      </c>
      <c r="AK1093">
        <f t="shared" si="396"/>
        <v>0</v>
      </c>
      <c r="AL1093">
        <f t="shared" si="397"/>
        <v>1900</v>
      </c>
      <c r="AS1093">
        <f t="shared" si="398"/>
        <v>0</v>
      </c>
      <c r="AT1093">
        <f t="shared" si="399"/>
        <v>0</v>
      </c>
    </row>
    <row r="1094" spans="1:46" customFormat="1" ht="15.75" x14ac:dyDescent="0.25">
      <c r="A1094" s="372"/>
      <c r="B1094" s="401"/>
      <c r="C1094" s="402"/>
      <c r="D1094" s="403"/>
      <c r="E1094" s="404"/>
      <c r="F1094" s="405"/>
      <c r="G1094" s="406"/>
      <c r="H1094" s="407"/>
      <c r="I1094" s="407"/>
      <c r="J1094" s="413"/>
      <c r="K1094" s="415">
        <f ca="1">ROUND(IF(ISERROR(OFFSET(Tabella!$A$1,MATCH(H1094,Tabella!$A:$A,0)-1,MATCH(J1094,Tabella!$A$1:$AC$1,0)-1)=TRUE),0,+OFFSET(Tabella!$A$1,MATCH(H1094,Tabella!$A:$A,0)-1,MATCH(J1094,Tabella!$A$1:$AC$1,0)-1)),4)</f>
        <v>0</v>
      </c>
      <c r="L1094" s="417">
        <f ca="1">ROUND(IF(ISERROR(OFFSET(Ottone!$A$1,MATCH(H1094,Ottone!$A:$A,0)-1,MATCH(J1094,Ottone!$A$1:$Z$1,0)-1)=TRUE),0,OFFSET(Ottone!$A$1,MATCH(H1094,Ottone!$A:$A,0)-1,MATCH(J1094,Ottone!$A$1:$Z$1,0)-1))*IF(E1094="Ottone",1,0),4)</f>
        <v>0</v>
      </c>
      <c r="M1094" s="417">
        <f ca="1">ROUND(IF(ISERROR(OFFSET(Rame!$A$1,MATCH(H1094,Rame!$A:$A,0)-1,MATCH(J1094,Rame!$A$1:$AA$1,0)-1)=TRUE),0,OFFSET(Rame!$A$1,MATCH(H1094,Rame!$A:$A,0)-1,MATCH(J1094,Rame!$A$1:$AA$1,0)-1))*IF(E1094="Rame",1,0),4)</f>
        <v>0</v>
      </c>
      <c r="N1094" s="417"/>
      <c r="O1094" s="417">
        <f t="shared" ca="1" si="392"/>
        <v>0</v>
      </c>
      <c r="P1094" s="417">
        <f ca="1">ROUND(+IF(ISERROR(OFFSET(Tabella!$G$1,MATCH(H1094,Tabella!$G:$G,0)-1,MATCH(I1094,Tabella!$G$1:$FG$1,0)-1)=TRUE),0,OFFSET(Tabella!$G$1,MATCH(H1094,Tabella!$G:$G,0)-1,MATCH(I1094,Tabella!$G$1:$AB$1,0)-1)),4)</f>
        <v>0</v>
      </c>
      <c r="Q1094" s="417">
        <f ca="1">ROUND(IF(ISERROR(OFFSET(Ottone!$F$1,MATCH(H1094,Ottone!$A:$A,0)-1,MATCH(I1094,Ottone!$F$1:$FF$1,0)-1)=TRUE),0,OFFSET(Ottone!$F$1,MATCH(H1094,Ottone!$A:$A,0)-1,MATCH(I1094,Ottone!$F$1:$FF$1,0)-1))*IF(E1094="Ottone",1,0),4)</f>
        <v>0</v>
      </c>
      <c r="R1094" s="417">
        <f ca="1">ROUND(IF(ISERROR(OFFSET(Rame!$F$1,MATCH(H1094,Rame!$F:$F,0)-1,MATCH(I1094,Rame!$F$1:$FF$1,0)-1)=TRUE),0,OFFSET(Rame!$F$1,MATCH(H1094,Rame!$F:$F,0)-1,MATCH(I1094,Rame!$F$1:$FF$1,0)-1))*IF(E1094="Rame",1,0),4)</f>
        <v>0</v>
      </c>
      <c r="S1094" s="417">
        <f ca="1">ROUND(IF(ISERROR(OFFSET(Bronzo!$A$1,MATCH(H1094,Bronzo!$A:$A,0)-1,MATCH(I1094,Bronzo!$A$1:$AA$1,0)-1)=TRUE),0,OFFSET(Bronzo!$A$1,MATCH(H1094,Bronzo!$A:$A,0)-1,MATCH(I1094,Bronzo!$A$1:$AA$1,0)-1)),4)</f>
        <v>0</v>
      </c>
      <c r="T1094" s="417">
        <f t="shared" ca="1" si="389"/>
        <v>0</v>
      </c>
      <c r="U1094" s="415"/>
      <c r="V1094" s="417">
        <v>0</v>
      </c>
      <c r="W1094" s="419">
        <f t="shared" ca="1" si="390"/>
        <v>0</v>
      </c>
      <c r="X1094" s="421">
        <f t="shared" si="381"/>
        <v>0</v>
      </c>
      <c r="Y1094" s="413"/>
      <c r="Z1094" s="413">
        <f t="shared" ca="1" si="391"/>
        <v>0</v>
      </c>
      <c r="AA1094" s="408"/>
      <c r="AF1094" s="375">
        <f t="shared" ca="1" si="393"/>
        <v>46236</v>
      </c>
      <c r="AG1094" s="375" t="b">
        <f t="shared" si="394"/>
        <v>1</v>
      </c>
      <c r="AH1094" s="409" t="str">
        <f t="shared" si="395"/>
        <v/>
      </c>
      <c r="AK1094">
        <f t="shared" si="396"/>
        <v>0</v>
      </c>
      <c r="AL1094">
        <f t="shared" si="397"/>
        <v>1900</v>
      </c>
      <c r="AS1094">
        <f t="shared" si="398"/>
        <v>0</v>
      </c>
      <c r="AT1094">
        <f t="shared" si="399"/>
        <v>0</v>
      </c>
    </row>
    <row r="1095" spans="1:46" customFormat="1" ht="15.75" x14ac:dyDescent="0.25">
      <c r="A1095" s="372"/>
      <c r="B1095" s="401"/>
      <c r="C1095" s="402"/>
      <c r="D1095" s="403"/>
      <c r="E1095" s="404"/>
      <c r="F1095" s="405"/>
      <c r="G1095" s="406"/>
      <c r="H1095" s="407"/>
      <c r="I1095" s="407"/>
      <c r="J1095" s="413"/>
      <c r="K1095" s="415">
        <f ca="1">ROUND(IF(ISERROR(OFFSET(Tabella!$A$1,MATCH(H1095,Tabella!$A:$A,0)-1,MATCH(J1095,Tabella!$A$1:$AC$1,0)-1)=TRUE),0,+OFFSET(Tabella!$A$1,MATCH(H1095,Tabella!$A:$A,0)-1,MATCH(J1095,Tabella!$A$1:$AC$1,0)-1)),4)</f>
        <v>0</v>
      </c>
      <c r="L1095" s="417">
        <f ca="1">ROUND(IF(ISERROR(OFFSET(Ottone!$A$1,MATCH(H1095,Ottone!$A:$A,0)-1,MATCH(J1095,Ottone!$A$1:$Z$1,0)-1)=TRUE),0,OFFSET(Ottone!$A$1,MATCH(H1095,Ottone!$A:$A,0)-1,MATCH(J1095,Ottone!$A$1:$Z$1,0)-1))*IF(E1095="Ottone",1,0),4)</f>
        <v>0</v>
      </c>
      <c r="M1095" s="417">
        <f ca="1">ROUND(IF(ISERROR(OFFSET(Rame!$A$1,MATCH(H1095,Rame!$A:$A,0)-1,MATCH(J1095,Rame!$A$1:$AA$1,0)-1)=TRUE),0,OFFSET(Rame!$A$1,MATCH(H1095,Rame!$A:$A,0)-1,MATCH(J1095,Rame!$A$1:$AA$1,0)-1))*IF(E1095="Rame",1,0),4)</f>
        <v>0</v>
      </c>
      <c r="N1095" s="417"/>
      <c r="O1095" s="417">
        <f t="shared" ca="1" si="392"/>
        <v>0</v>
      </c>
      <c r="P1095" s="417">
        <f ca="1">ROUND(+IF(ISERROR(OFFSET(Tabella!$G$1,MATCH(H1095,Tabella!$G:$G,0)-1,MATCH(I1095,Tabella!$G$1:$FG$1,0)-1)=TRUE),0,OFFSET(Tabella!$G$1,MATCH(H1095,Tabella!$G:$G,0)-1,MATCH(I1095,Tabella!$G$1:$AB$1,0)-1)),4)</f>
        <v>0</v>
      </c>
      <c r="Q1095" s="417">
        <f ca="1">ROUND(IF(ISERROR(OFFSET(Ottone!$F$1,MATCH(H1095,Ottone!$A:$A,0)-1,MATCH(I1095,Ottone!$F$1:$FF$1,0)-1)=TRUE),0,OFFSET(Ottone!$F$1,MATCH(H1095,Ottone!$A:$A,0)-1,MATCH(I1095,Ottone!$F$1:$FF$1,0)-1))*IF(E1095="Ottone",1,0),4)</f>
        <v>0</v>
      </c>
      <c r="R1095" s="417">
        <f ca="1">ROUND(IF(ISERROR(OFFSET(Rame!$F$1,MATCH(H1095,Rame!$F:$F,0)-1,MATCH(I1095,Rame!$F$1:$FF$1,0)-1)=TRUE),0,OFFSET(Rame!$F$1,MATCH(H1095,Rame!$F:$F,0)-1,MATCH(I1095,Rame!$F$1:$FF$1,0)-1))*IF(E1095="Rame",1,0),4)</f>
        <v>0</v>
      </c>
      <c r="S1095" s="417">
        <f ca="1">ROUND(IF(ISERROR(OFFSET(Bronzo!$A$1,MATCH(H1095,Bronzo!$A:$A,0)-1,MATCH(I1095,Bronzo!$A$1:$AA$1,0)-1)=TRUE),0,OFFSET(Bronzo!$A$1,MATCH(H1095,Bronzo!$A:$A,0)-1,MATCH(I1095,Bronzo!$A$1:$AA$1,0)-1)),4)</f>
        <v>0</v>
      </c>
      <c r="T1095" s="417">
        <f t="shared" ca="1" si="389"/>
        <v>0</v>
      </c>
      <c r="U1095" s="415"/>
      <c r="V1095" s="417">
        <v>0</v>
      </c>
      <c r="W1095" s="419">
        <f t="shared" ca="1" si="390"/>
        <v>0</v>
      </c>
      <c r="X1095" s="421">
        <f t="shared" si="381"/>
        <v>0</v>
      </c>
      <c r="Y1095" s="413"/>
      <c r="Z1095" s="413">
        <f t="shared" ca="1" si="391"/>
        <v>0</v>
      </c>
      <c r="AA1095" s="408"/>
      <c r="AF1095" s="375">
        <f t="shared" ca="1" si="393"/>
        <v>46236</v>
      </c>
      <c r="AG1095" s="375" t="b">
        <f t="shared" si="394"/>
        <v>1</v>
      </c>
      <c r="AH1095" s="409" t="str">
        <f t="shared" si="395"/>
        <v/>
      </c>
      <c r="AK1095">
        <f t="shared" si="396"/>
        <v>0</v>
      </c>
      <c r="AL1095">
        <f t="shared" si="397"/>
        <v>1900</v>
      </c>
      <c r="AS1095">
        <f t="shared" si="398"/>
        <v>0</v>
      </c>
      <c r="AT1095">
        <f t="shared" si="399"/>
        <v>0</v>
      </c>
    </row>
    <row r="1096" spans="1:46" customFormat="1" ht="15.75" x14ac:dyDescent="0.25">
      <c r="A1096" s="372"/>
      <c r="B1096" s="401"/>
      <c r="C1096" s="402"/>
      <c r="D1096" s="403"/>
      <c r="E1096" s="404"/>
      <c r="F1096" s="405"/>
      <c r="G1096" s="406"/>
      <c r="H1096" s="407"/>
      <c r="I1096" s="407"/>
      <c r="J1096" s="413"/>
      <c r="K1096" s="415">
        <f ca="1">ROUND(IF(ISERROR(OFFSET(Tabella!$A$1,MATCH(H1096,Tabella!$A:$A,0)-1,MATCH(J1096,Tabella!$A$1:$AC$1,0)-1)=TRUE),0,+OFFSET(Tabella!$A$1,MATCH(H1096,Tabella!$A:$A,0)-1,MATCH(J1096,Tabella!$A$1:$AC$1,0)-1)),4)</f>
        <v>0</v>
      </c>
      <c r="L1096" s="417">
        <f ca="1">ROUND(IF(ISERROR(OFFSET(Ottone!$A$1,MATCH(H1096,Ottone!$A:$A,0)-1,MATCH(J1096,Ottone!$A$1:$Z$1,0)-1)=TRUE),0,OFFSET(Ottone!$A$1,MATCH(H1096,Ottone!$A:$A,0)-1,MATCH(J1096,Ottone!$A$1:$Z$1,0)-1))*IF(E1096="Ottone",1,0),4)</f>
        <v>0</v>
      </c>
      <c r="M1096" s="417">
        <f ca="1">ROUND(IF(ISERROR(OFFSET(Rame!$A$1,MATCH(H1096,Rame!$A:$A,0)-1,MATCH(J1096,Rame!$A$1:$AA$1,0)-1)=TRUE),0,OFFSET(Rame!$A$1,MATCH(H1096,Rame!$A:$A,0)-1,MATCH(J1096,Rame!$A$1:$AA$1,0)-1))*IF(E1096="Rame",1,0),4)</f>
        <v>0</v>
      </c>
      <c r="N1096" s="417"/>
      <c r="O1096" s="417">
        <f t="shared" ca="1" si="392"/>
        <v>0</v>
      </c>
      <c r="P1096" s="417">
        <f ca="1">ROUND(+IF(ISERROR(OFFSET(Tabella!$G$1,MATCH(H1096,Tabella!$G:$G,0)-1,MATCH(I1096,Tabella!$G$1:$FG$1,0)-1)=TRUE),0,OFFSET(Tabella!$G$1,MATCH(H1096,Tabella!$G:$G,0)-1,MATCH(I1096,Tabella!$G$1:$AB$1,0)-1)),4)</f>
        <v>0</v>
      </c>
      <c r="Q1096" s="417">
        <f ca="1">ROUND(IF(ISERROR(OFFSET(Ottone!$F$1,MATCH(H1096,Ottone!$A:$A,0)-1,MATCH(I1096,Ottone!$F$1:$FF$1,0)-1)=TRUE),0,OFFSET(Ottone!$F$1,MATCH(H1096,Ottone!$A:$A,0)-1,MATCH(I1096,Ottone!$F$1:$FF$1,0)-1))*IF(E1096="Ottone",1,0),4)</f>
        <v>0</v>
      </c>
      <c r="R1096" s="417">
        <f ca="1">ROUND(IF(ISERROR(OFFSET(Rame!$F$1,MATCH(H1096,Rame!$F:$F,0)-1,MATCH(I1096,Rame!$F$1:$FF$1,0)-1)=TRUE),0,OFFSET(Rame!$F$1,MATCH(H1096,Rame!$F:$F,0)-1,MATCH(I1096,Rame!$F$1:$FF$1,0)-1))*IF(E1096="Rame",1,0),4)</f>
        <v>0</v>
      </c>
      <c r="S1096" s="417">
        <f ca="1">ROUND(IF(ISERROR(OFFSET(Bronzo!$A$1,MATCH(H1096,Bronzo!$A:$A,0)-1,MATCH(I1096,Bronzo!$A$1:$AA$1,0)-1)=TRUE),0,OFFSET(Bronzo!$A$1,MATCH(H1096,Bronzo!$A:$A,0)-1,MATCH(I1096,Bronzo!$A$1:$AA$1,0)-1)),4)</f>
        <v>0</v>
      </c>
      <c r="T1096" s="417">
        <f t="shared" ca="1" si="389"/>
        <v>0</v>
      </c>
      <c r="U1096" s="415"/>
      <c r="V1096" s="417">
        <v>0</v>
      </c>
      <c r="W1096" s="419">
        <f t="shared" ca="1" si="390"/>
        <v>0</v>
      </c>
      <c r="X1096" s="421">
        <f t="shared" si="381"/>
        <v>0</v>
      </c>
      <c r="Y1096" s="413"/>
      <c r="Z1096" s="413">
        <f t="shared" ca="1" si="391"/>
        <v>0</v>
      </c>
      <c r="AA1096" s="408"/>
      <c r="AF1096" s="375">
        <f t="shared" ca="1" si="393"/>
        <v>46236</v>
      </c>
      <c r="AG1096" s="375" t="b">
        <f t="shared" si="394"/>
        <v>1</v>
      </c>
      <c r="AH1096" s="409" t="str">
        <f t="shared" si="395"/>
        <v/>
      </c>
      <c r="AK1096">
        <f t="shared" si="396"/>
        <v>0</v>
      </c>
      <c r="AL1096">
        <f t="shared" si="397"/>
        <v>1900</v>
      </c>
      <c r="AS1096">
        <f t="shared" si="398"/>
        <v>0</v>
      </c>
      <c r="AT1096">
        <f t="shared" si="399"/>
        <v>0</v>
      </c>
    </row>
    <row r="1097" spans="1:46" customFormat="1" ht="15.75" x14ac:dyDescent="0.25">
      <c r="A1097" s="372"/>
      <c r="B1097" s="401"/>
      <c r="C1097" s="402"/>
      <c r="D1097" s="403"/>
      <c r="E1097" s="404"/>
      <c r="F1097" s="405"/>
      <c r="G1097" s="406"/>
      <c r="H1097" s="407"/>
      <c r="I1097" s="407"/>
      <c r="J1097" s="413"/>
      <c r="K1097" s="415">
        <f ca="1">ROUND(IF(ISERROR(OFFSET(Tabella!$A$1,MATCH(H1097,Tabella!$A:$A,0)-1,MATCH(J1097,Tabella!$A$1:$AC$1,0)-1)=TRUE),0,+OFFSET(Tabella!$A$1,MATCH(H1097,Tabella!$A:$A,0)-1,MATCH(J1097,Tabella!$A$1:$AC$1,0)-1)),4)</f>
        <v>0</v>
      </c>
      <c r="L1097" s="417">
        <f ca="1">ROUND(IF(ISERROR(OFFSET(Ottone!$A$1,MATCH(H1097,Ottone!$A:$A,0)-1,MATCH(J1097,Ottone!$A$1:$Z$1,0)-1)=TRUE),0,OFFSET(Ottone!$A$1,MATCH(H1097,Ottone!$A:$A,0)-1,MATCH(J1097,Ottone!$A$1:$Z$1,0)-1))*IF(E1097="Ottone",1,0),4)</f>
        <v>0</v>
      </c>
      <c r="M1097" s="417">
        <f ca="1">ROUND(IF(ISERROR(OFFSET(Rame!$A$1,MATCH(H1097,Rame!$A:$A,0)-1,MATCH(J1097,Rame!$A$1:$AA$1,0)-1)=TRUE),0,OFFSET(Rame!$A$1,MATCH(H1097,Rame!$A:$A,0)-1,MATCH(J1097,Rame!$A$1:$AA$1,0)-1))*IF(E1097="Rame",1,0),4)</f>
        <v>0</v>
      </c>
      <c r="N1097" s="417"/>
      <c r="O1097" s="417">
        <f t="shared" ca="1" si="392"/>
        <v>0</v>
      </c>
      <c r="P1097" s="417">
        <f ca="1">ROUND(+IF(ISERROR(OFFSET(Tabella!$G$1,MATCH(H1097,Tabella!$G:$G,0)-1,MATCH(I1097,Tabella!$G$1:$FG$1,0)-1)=TRUE),0,OFFSET(Tabella!$G$1,MATCH(H1097,Tabella!$G:$G,0)-1,MATCH(I1097,Tabella!$G$1:$AB$1,0)-1)),4)</f>
        <v>0</v>
      </c>
      <c r="Q1097" s="417">
        <f ca="1">ROUND(IF(ISERROR(OFFSET(Ottone!$F$1,MATCH(H1097,Ottone!$A:$A,0)-1,MATCH(I1097,Ottone!$F$1:$FF$1,0)-1)=TRUE),0,OFFSET(Ottone!$F$1,MATCH(H1097,Ottone!$A:$A,0)-1,MATCH(I1097,Ottone!$F$1:$FF$1,0)-1))*IF(E1097="Ottone",1,0),4)</f>
        <v>0</v>
      </c>
      <c r="R1097" s="417">
        <f ca="1">ROUND(IF(ISERROR(OFFSET(Rame!$F$1,MATCH(H1097,Rame!$F:$F,0)-1,MATCH(I1097,Rame!$F$1:$FF$1,0)-1)=TRUE),0,OFFSET(Rame!$F$1,MATCH(H1097,Rame!$F:$F,0)-1,MATCH(I1097,Rame!$F$1:$FF$1,0)-1))*IF(E1097="Rame",1,0),4)</f>
        <v>0</v>
      </c>
      <c r="S1097" s="417">
        <f ca="1">ROUND(IF(ISERROR(OFFSET(Bronzo!$A$1,MATCH(H1097,Bronzo!$A:$A,0)-1,MATCH(I1097,Bronzo!$A$1:$AA$1,0)-1)=TRUE),0,OFFSET(Bronzo!$A$1,MATCH(H1097,Bronzo!$A:$A,0)-1,MATCH(I1097,Bronzo!$A$1:$AA$1,0)-1)),4)</f>
        <v>0</v>
      </c>
      <c r="T1097" s="417">
        <f t="shared" ca="1" si="389"/>
        <v>0</v>
      </c>
      <c r="U1097" s="415"/>
      <c r="V1097" s="417">
        <v>0</v>
      </c>
      <c r="W1097" s="419">
        <f t="shared" ca="1" si="390"/>
        <v>0</v>
      </c>
      <c r="X1097" s="421">
        <f t="shared" si="381"/>
        <v>0</v>
      </c>
      <c r="Y1097" s="413"/>
      <c r="Z1097" s="413">
        <f t="shared" ca="1" si="391"/>
        <v>0</v>
      </c>
      <c r="AA1097" s="408"/>
      <c r="AF1097" s="375">
        <f t="shared" ca="1" si="393"/>
        <v>46236</v>
      </c>
      <c r="AG1097" s="375" t="b">
        <f t="shared" si="394"/>
        <v>1</v>
      </c>
      <c r="AH1097" s="409" t="str">
        <f t="shared" si="395"/>
        <v/>
      </c>
      <c r="AK1097">
        <f t="shared" si="396"/>
        <v>0</v>
      </c>
      <c r="AL1097">
        <f t="shared" si="397"/>
        <v>1900</v>
      </c>
      <c r="AS1097">
        <f t="shared" si="398"/>
        <v>0</v>
      </c>
      <c r="AT1097">
        <f t="shared" si="399"/>
        <v>0</v>
      </c>
    </row>
    <row r="1098" spans="1:46" customFormat="1" ht="15.75" x14ac:dyDescent="0.25">
      <c r="A1098" s="372"/>
      <c r="B1098" s="401"/>
      <c r="C1098" s="402"/>
      <c r="D1098" s="403"/>
      <c r="E1098" s="404"/>
      <c r="F1098" s="405"/>
      <c r="G1098" s="406"/>
      <c r="H1098" s="407"/>
      <c r="I1098" s="407"/>
      <c r="J1098" s="413"/>
      <c r="K1098" s="415">
        <f ca="1">ROUND(IF(ISERROR(OFFSET(Tabella!$A$1,MATCH(H1098,Tabella!$A:$A,0)-1,MATCH(J1098,Tabella!$A$1:$AC$1,0)-1)=TRUE),0,+OFFSET(Tabella!$A$1,MATCH(H1098,Tabella!$A:$A,0)-1,MATCH(J1098,Tabella!$A$1:$AC$1,0)-1)),4)</f>
        <v>0</v>
      </c>
      <c r="L1098" s="417">
        <f ca="1">ROUND(IF(ISERROR(OFFSET(Ottone!$A$1,MATCH(H1098,Ottone!$A:$A,0)-1,MATCH(J1098,Ottone!$A$1:$Z$1,0)-1)=TRUE),0,OFFSET(Ottone!$A$1,MATCH(H1098,Ottone!$A:$A,0)-1,MATCH(J1098,Ottone!$A$1:$Z$1,0)-1))*IF(E1098="Ottone",1,0),4)</f>
        <v>0</v>
      </c>
      <c r="M1098" s="417">
        <f ca="1">ROUND(IF(ISERROR(OFFSET(Rame!$A$1,MATCH(H1098,Rame!$A:$A,0)-1,MATCH(J1098,Rame!$A$1:$AA$1,0)-1)=TRUE),0,OFFSET(Rame!$A$1,MATCH(H1098,Rame!$A:$A,0)-1,MATCH(J1098,Rame!$A$1:$AA$1,0)-1))*IF(E1098="Rame",1,0),4)</f>
        <v>0</v>
      </c>
      <c r="N1098" s="417"/>
      <c r="O1098" s="417">
        <f t="shared" ca="1" si="392"/>
        <v>0</v>
      </c>
      <c r="P1098" s="417">
        <f ca="1">ROUND(+IF(ISERROR(OFFSET(Tabella!$G$1,MATCH(H1098,Tabella!$G:$G,0)-1,MATCH(I1098,Tabella!$G$1:$FG$1,0)-1)=TRUE),0,OFFSET(Tabella!$G$1,MATCH(H1098,Tabella!$G:$G,0)-1,MATCH(I1098,Tabella!$G$1:$AB$1,0)-1)),4)</f>
        <v>0</v>
      </c>
      <c r="Q1098" s="417">
        <f ca="1">ROUND(IF(ISERROR(OFFSET(Ottone!$F$1,MATCH(H1098,Ottone!$A:$A,0)-1,MATCH(I1098,Ottone!$F$1:$FF$1,0)-1)=TRUE),0,OFFSET(Ottone!$F$1,MATCH(H1098,Ottone!$A:$A,0)-1,MATCH(I1098,Ottone!$F$1:$FF$1,0)-1))*IF(E1098="Ottone",1,0),4)</f>
        <v>0</v>
      </c>
      <c r="R1098" s="417">
        <f ca="1">ROUND(IF(ISERROR(OFFSET(Rame!$F$1,MATCH(H1098,Rame!$F:$F,0)-1,MATCH(I1098,Rame!$F$1:$FF$1,0)-1)=TRUE),0,OFFSET(Rame!$F$1,MATCH(H1098,Rame!$F:$F,0)-1,MATCH(I1098,Rame!$F$1:$FF$1,0)-1))*IF(E1098="Rame",1,0),4)</f>
        <v>0</v>
      </c>
      <c r="S1098" s="417">
        <f ca="1">ROUND(IF(ISERROR(OFFSET(Bronzo!$A$1,MATCH(H1098,Bronzo!$A:$A,0)-1,MATCH(I1098,Bronzo!$A$1:$AA$1,0)-1)=TRUE),0,OFFSET(Bronzo!$A$1,MATCH(H1098,Bronzo!$A:$A,0)-1,MATCH(I1098,Bronzo!$A$1:$AA$1,0)-1)),4)</f>
        <v>0</v>
      </c>
      <c r="T1098" s="417">
        <f t="shared" ca="1" si="389"/>
        <v>0</v>
      </c>
      <c r="U1098" s="415"/>
      <c r="V1098" s="417">
        <v>0</v>
      </c>
      <c r="W1098" s="419">
        <f t="shared" ca="1" si="390"/>
        <v>0</v>
      </c>
      <c r="X1098" s="421">
        <f t="shared" si="381"/>
        <v>0</v>
      </c>
      <c r="Y1098" s="413"/>
      <c r="Z1098" s="413">
        <f t="shared" ca="1" si="391"/>
        <v>0</v>
      </c>
      <c r="AA1098" s="408"/>
      <c r="AF1098" s="375">
        <f t="shared" ca="1" si="393"/>
        <v>46236</v>
      </c>
      <c r="AG1098" s="375" t="b">
        <f t="shared" si="394"/>
        <v>1</v>
      </c>
      <c r="AH1098" s="409" t="str">
        <f t="shared" si="395"/>
        <v/>
      </c>
      <c r="AK1098">
        <f t="shared" si="396"/>
        <v>0</v>
      </c>
      <c r="AL1098">
        <f t="shared" si="397"/>
        <v>1900</v>
      </c>
      <c r="AS1098">
        <f t="shared" si="398"/>
        <v>0</v>
      </c>
      <c r="AT1098">
        <f t="shared" si="399"/>
        <v>0</v>
      </c>
    </row>
    <row r="1099" spans="1:46" customFormat="1" ht="15.75" x14ac:dyDescent="0.25">
      <c r="A1099" s="372"/>
      <c r="B1099" s="401"/>
      <c r="C1099" s="402"/>
      <c r="D1099" s="403"/>
      <c r="E1099" s="404"/>
      <c r="F1099" s="405"/>
      <c r="G1099" s="406"/>
      <c r="H1099" s="407"/>
      <c r="I1099" s="407"/>
      <c r="J1099" s="413"/>
      <c r="K1099" s="415">
        <f ca="1">ROUND(IF(ISERROR(OFFSET(Tabella!$A$1,MATCH(H1099,Tabella!$A:$A,0)-1,MATCH(J1099,Tabella!$A$1:$AC$1,0)-1)=TRUE),0,+OFFSET(Tabella!$A$1,MATCH(H1099,Tabella!$A:$A,0)-1,MATCH(J1099,Tabella!$A$1:$AC$1,0)-1)),4)</f>
        <v>0</v>
      </c>
      <c r="L1099" s="417">
        <f ca="1">ROUND(IF(ISERROR(OFFSET(Ottone!$A$1,MATCH(H1099,Ottone!$A:$A,0)-1,MATCH(J1099,Ottone!$A$1:$Z$1,0)-1)=TRUE),0,OFFSET(Ottone!$A$1,MATCH(H1099,Ottone!$A:$A,0)-1,MATCH(J1099,Ottone!$A$1:$Z$1,0)-1))*IF(E1099="Ottone",1,0),4)</f>
        <v>0</v>
      </c>
      <c r="M1099" s="417">
        <f ca="1">ROUND(IF(ISERROR(OFFSET(Rame!$A$1,MATCH(H1099,Rame!$A:$A,0)-1,MATCH(J1099,Rame!$A$1:$AA$1,0)-1)=TRUE),0,OFFSET(Rame!$A$1,MATCH(H1099,Rame!$A:$A,0)-1,MATCH(J1099,Rame!$A$1:$AA$1,0)-1))*IF(E1099="Rame",1,0),4)</f>
        <v>0</v>
      </c>
      <c r="N1099" s="417"/>
      <c r="O1099" s="417">
        <f ca="1">ROUND(SUM(K1099:N1099),4)</f>
        <v>0</v>
      </c>
      <c r="P1099" s="417">
        <f ca="1">ROUND(+IF(ISERROR(OFFSET(Tabella!$G$1,MATCH(H1099,Tabella!$G:$G,0)-1,MATCH(I1099,Tabella!$G$1:$FG$1,0)-1)=TRUE),0,OFFSET(Tabella!$G$1,MATCH(H1099,Tabella!$G:$G,0)-1,MATCH(I1099,Tabella!$G$1:$AB$1,0)-1)),4)</f>
        <v>0</v>
      </c>
      <c r="Q1099" s="417">
        <f ca="1">ROUND(IF(ISERROR(OFFSET(Ottone!$F$1,MATCH(H1099,Ottone!$A:$A,0)-1,MATCH(I1099,Ottone!$F$1:$FF$1,0)-1)=TRUE),0,OFFSET(Ottone!$F$1,MATCH(H1099,Ottone!$A:$A,0)-1,MATCH(I1099,Ottone!$F$1:$FF$1,0)-1))*IF(E1099="Ottone",1,0),4)</f>
        <v>0</v>
      </c>
      <c r="R1099" s="417">
        <f ca="1">ROUND(IF(ISERROR(OFFSET(Rame!$F$1,MATCH(H1099,Rame!$F:$F,0)-1,MATCH(I1099,Rame!$F$1:$FF$1,0)-1)=TRUE),0,OFFSET(Rame!$F$1,MATCH(H1099,Rame!$F:$F,0)-1,MATCH(I1099,Rame!$F$1:$FF$1,0)-1))*IF(E1099="Rame",1,0),4)</f>
        <v>0</v>
      </c>
      <c r="S1099" s="417">
        <f ca="1">ROUND(IF(ISERROR(OFFSET(Bronzo!$A$1,MATCH(H1099,Bronzo!$A:$A,0)-1,MATCH(I1099,Bronzo!$A$1:$AA$1,0)-1)=TRUE),0,OFFSET(Bronzo!$A$1,MATCH(H1099,Bronzo!$A:$A,0)-1,MATCH(I1099,Bronzo!$A$1:$AA$1,0)-1)),4)</f>
        <v>0</v>
      </c>
      <c r="T1099" s="417">
        <f t="shared" ca="1" si="389"/>
        <v>0</v>
      </c>
      <c r="U1099" s="415"/>
      <c r="V1099" s="417">
        <v>0</v>
      </c>
      <c r="W1099" s="419">
        <f t="shared" ca="1" si="390"/>
        <v>0</v>
      </c>
      <c r="X1099" s="421">
        <f t="shared" si="381"/>
        <v>0</v>
      </c>
      <c r="Y1099" s="413"/>
      <c r="Z1099" s="413">
        <f t="shared" ca="1" si="391"/>
        <v>0</v>
      </c>
      <c r="AA1099" s="408"/>
      <c r="AF1099" s="375">
        <f ca="1">TODAY()</f>
        <v>46236</v>
      </c>
      <c r="AG1099" s="375" t="b">
        <f>ISBLANK(AA1099)</f>
        <v>1</v>
      </c>
      <c r="AH1099" s="409" t="str">
        <f>IF(AG1099=FALSE,_xlfn.DAYS(AA1099,AF1099),"")</f>
        <v/>
      </c>
      <c r="AK1099">
        <f>WEEKNUM(AA1099)</f>
        <v>0</v>
      </c>
      <c r="AL1099">
        <f>YEAR(AA1099)</f>
        <v>1900</v>
      </c>
      <c r="AS1099">
        <f>IF(AA1099="",0,MONTH(AA1099))</f>
        <v>0</v>
      </c>
      <c r="AT1099">
        <f>IF(AA1099="",0,YEAR(AA1099))</f>
        <v>0</v>
      </c>
    </row>
    <row r="1100" spans="1:46" customFormat="1" ht="15.75" x14ac:dyDescent="0.25">
      <c r="A1100" s="372"/>
      <c r="B1100" s="401"/>
      <c r="C1100" s="402"/>
      <c r="D1100" s="403"/>
      <c r="E1100" s="404"/>
      <c r="F1100" s="405"/>
      <c r="G1100" s="406"/>
      <c r="H1100" s="407"/>
      <c r="I1100" s="407"/>
      <c r="J1100" s="413"/>
      <c r="K1100" s="415">
        <f ca="1">ROUND(IF(ISERROR(OFFSET(Tabella!$A$1,MATCH(H1100,Tabella!$A:$A,0)-1,MATCH(J1100,Tabella!$A$1:$AC$1,0)-1)=TRUE),0,+OFFSET(Tabella!$A$1,MATCH(H1100,Tabella!$A:$A,0)-1,MATCH(J1100,Tabella!$A$1:$AC$1,0)-1)),4)</f>
        <v>0</v>
      </c>
      <c r="L1100" s="417">
        <f ca="1">ROUND(IF(ISERROR(OFFSET(Ottone!$A$1,MATCH(H1100,Ottone!$A:$A,0)-1,MATCH(J1100,Ottone!$A$1:$Z$1,0)-1)=TRUE),0,OFFSET(Ottone!$A$1,MATCH(H1100,Ottone!$A:$A,0)-1,MATCH(J1100,Ottone!$A$1:$Z$1,0)-1))*IF(E1100="Ottone",1,0),4)</f>
        <v>0</v>
      </c>
      <c r="M1100" s="417">
        <f ca="1">ROUND(IF(ISERROR(OFFSET(Rame!$A$1,MATCH(H1100,Rame!$A:$A,0)-1,MATCH(J1100,Rame!$A$1:$AA$1,0)-1)=TRUE),0,OFFSET(Rame!$A$1,MATCH(H1100,Rame!$A:$A,0)-1,MATCH(J1100,Rame!$A$1:$AA$1,0)-1))*IF(E1100="Rame",1,0),4)</f>
        <v>0</v>
      </c>
      <c r="N1100" s="417"/>
      <c r="O1100" s="417">
        <f ca="1">ROUND(SUM(K1100:N1100),4)</f>
        <v>0</v>
      </c>
      <c r="P1100" s="417">
        <f ca="1">ROUND(+IF(ISERROR(OFFSET(Tabella!$G$1,MATCH(H1100,Tabella!$G:$G,0)-1,MATCH(I1100,Tabella!$G$1:$FG$1,0)-1)=TRUE),0,OFFSET(Tabella!$G$1,MATCH(H1100,Tabella!$G:$G,0)-1,MATCH(I1100,Tabella!$G$1:$AB$1,0)-1)),4)</f>
        <v>0</v>
      </c>
      <c r="Q1100" s="417">
        <f ca="1">ROUND(IF(ISERROR(OFFSET(Ottone!$F$1,MATCH(H1100,Ottone!$A:$A,0)-1,MATCH(I1100,Ottone!$F$1:$FF$1,0)-1)=TRUE),0,OFFSET(Ottone!$F$1,MATCH(H1100,Ottone!$A:$A,0)-1,MATCH(I1100,Ottone!$F$1:$FF$1,0)-1))*IF(E1100="Ottone",1,0),4)</f>
        <v>0</v>
      </c>
      <c r="R1100" s="417">
        <f ca="1">ROUND(IF(ISERROR(OFFSET(Rame!$F$1,MATCH(H1100,Rame!$F:$F,0)-1,MATCH(I1100,Rame!$F$1:$FF$1,0)-1)=TRUE),0,OFFSET(Rame!$F$1,MATCH(H1100,Rame!$F:$F,0)-1,MATCH(I1100,Rame!$F$1:$FF$1,0)-1))*IF(E1100="Rame",1,0),4)</f>
        <v>0</v>
      </c>
      <c r="S1100" s="417">
        <f ca="1">ROUND(IF(ISERROR(OFFSET(Bronzo!$A$1,MATCH(H1100,Bronzo!$A:$A,0)-1,MATCH(I1100,Bronzo!$A$1:$AA$1,0)-1)=TRUE),0,OFFSET(Bronzo!$A$1,MATCH(H1100,Bronzo!$A:$A,0)-1,MATCH(I1100,Bronzo!$A$1:$AA$1,0)-1)),4)</f>
        <v>0</v>
      </c>
      <c r="T1100" s="417">
        <f t="shared" ca="1" si="389"/>
        <v>0</v>
      </c>
      <c r="U1100" s="415"/>
      <c r="V1100" s="417">
        <v>0</v>
      </c>
      <c r="W1100" s="419">
        <f t="shared" ca="1" si="390"/>
        <v>0</v>
      </c>
      <c r="X1100" s="421">
        <f t="shared" si="381"/>
        <v>0</v>
      </c>
      <c r="Y1100" s="413"/>
      <c r="Z1100" s="413">
        <f t="shared" ca="1" si="391"/>
        <v>0</v>
      </c>
      <c r="AA1100" s="408"/>
      <c r="AF1100" s="375">
        <f ca="1">TODAY()</f>
        <v>46236</v>
      </c>
      <c r="AG1100" s="375" t="b">
        <f>ISBLANK(AA1100)</f>
        <v>1</v>
      </c>
      <c r="AH1100" s="409" t="str">
        <f>IF(AG1100=FALSE,_xlfn.DAYS(AA1100,AF1100),"")</f>
        <v/>
      </c>
      <c r="AK1100">
        <f>WEEKNUM(AA1100)</f>
        <v>0</v>
      </c>
      <c r="AL1100">
        <f>YEAR(AA1100)</f>
        <v>1900</v>
      </c>
      <c r="AS1100">
        <f>IF(AA1100="",0,MONTH(AA1100))</f>
        <v>0</v>
      </c>
      <c r="AT1100">
        <f>IF(AA1100="",0,YEAR(AA1100))</f>
        <v>0</v>
      </c>
    </row>
    <row r="1101" spans="1:46" customFormat="1" ht="15.75" x14ac:dyDescent="0.25">
      <c r="A1101" s="372"/>
      <c r="B1101" s="401"/>
      <c r="C1101" s="402"/>
      <c r="D1101" s="403"/>
      <c r="E1101" s="404"/>
      <c r="F1101" s="405"/>
      <c r="G1101" s="406"/>
      <c r="H1101" s="407"/>
      <c r="I1101" s="407"/>
      <c r="J1101" s="413"/>
      <c r="K1101" s="415">
        <f ca="1">ROUND(IF(ISERROR(OFFSET(Tabella!$A$1,MATCH(H1101,Tabella!$A:$A,0)-1,MATCH(J1101,Tabella!$A$1:$AC$1,0)-1)=TRUE),0,+OFFSET(Tabella!$A$1,MATCH(H1101,Tabella!$A:$A,0)-1,MATCH(J1101,Tabella!$A$1:$AC$1,0)-1)),4)</f>
        <v>0</v>
      </c>
      <c r="L1101" s="417">
        <f ca="1">ROUND(IF(ISERROR(OFFSET(Ottone!$A$1,MATCH(H1101,Ottone!$A:$A,0)-1,MATCH(J1101,Ottone!$A$1:$Z$1,0)-1)=TRUE),0,OFFSET(Ottone!$A$1,MATCH(H1101,Ottone!$A:$A,0)-1,MATCH(J1101,Ottone!$A$1:$Z$1,0)-1))*IF(E1101="Ottone",1,0),4)</f>
        <v>0</v>
      </c>
      <c r="M1101" s="417">
        <f ca="1">ROUND(IF(ISERROR(OFFSET(Rame!$A$1,MATCH(H1101,Rame!$A:$A,0)-1,MATCH(J1101,Rame!$A$1:$AA$1,0)-1)=TRUE),0,OFFSET(Rame!$A$1,MATCH(H1101,Rame!$A:$A,0)-1,MATCH(J1101,Rame!$A$1:$AA$1,0)-1))*IF(E1101="Rame",1,0),4)</f>
        <v>0</v>
      </c>
      <c r="N1101" s="417"/>
      <c r="O1101" s="417">
        <f ca="1">ROUND(SUM(K1101:N1101),4)</f>
        <v>0</v>
      </c>
      <c r="P1101" s="417">
        <f ca="1">ROUND(+IF(ISERROR(OFFSET(Tabella!$G$1,MATCH(H1101,Tabella!$G:$G,0)-1,MATCH(I1101,Tabella!$G$1:$FG$1,0)-1)=TRUE),0,OFFSET(Tabella!$G$1,MATCH(H1101,Tabella!$G:$G,0)-1,MATCH(I1101,Tabella!$G$1:$AB$1,0)-1)),4)</f>
        <v>0</v>
      </c>
      <c r="Q1101" s="417">
        <f ca="1">ROUND(IF(ISERROR(OFFSET(Ottone!$F$1,MATCH(H1101,Ottone!$A:$A,0)-1,MATCH(I1101,Ottone!$F$1:$FF$1,0)-1)=TRUE),0,OFFSET(Ottone!$F$1,MATCH(H1101,Ottone!$A:$A,0)-1,MATCH(I1101,Ottone!$F$1:$FF$1,0)-1))*IF(E1101="Ottone",1,0),4)</f>
        <v>0</v>
      </c>
      <c r="R1101" s="417">
        <f ca="1">ROUND(IF(ISERROR(OFFSET(Rame!$F$1,MATCH(H1101,Rame!$F:$F,0)-1,MATCH(I1101,Rame!$F$1:$FF$1,0)-1)=TRUE),0,OFFSET(Rame!$F$1,MATCH(H1101,Rame!$F:$F,0)-1,MATCH(I1101,Rame!$F$1:$FF$1,0)-1))*IF(E1101="Rame",1,0),4)</f>
        <v>0</v>
      </c>
      <c r="S1101" s="417">
        <f ca="1">ROUND(IF(ISERROR(OFFSET(Bronzo!$A$1,MATCH(H1101,Bronzo!$A:$A,0)-1,MATCH(I1101,Bronzo!$A$1:$AA$1,0)-1)=TRUE),0,OFFSET(Bronzo!$A$1,MATCH(H1101,Bronzo!$A:$A,0)-1,MATCH(I1101,Bronzo!$A$1:$AA$1,0)-1)),4)</f>
        <v>0</v>
      </c>
      <c r="T1101" s="417">
        <f t="shared" ca="1" si="389"/>
        <v>0</v>
      </c>
      <c r="U1101" s="415"/>
      <c r="V1101" s="417">
        <v>0</v>
      </c>
      <c r="W1101" s="419">
        <f t="shared" ca="1" si="390"/>
        <v>0</v>
      </c>
      <c r="X1101" s="421">
        <f t="shared" si="381"/>
        <v>0</v>
      </c>
      <c r="Y1101" s="413"/>
      <c r="Z1101" s="413">
        <f t="shared" ca="1" si="391"/>
        <v>0</v>
      </c>
      <c r="AA1101" s="408"/>
      <c r="AF1101" s="375">
        <f ca="1">TODAY()</f>
        <v>46236</v>
      </c>
      <c r="AG1101" s="375" t="b">
        <f>ISBLANK(AA1101)</f>
        <v>1</v>
      </c>
      <c r="AH1101" s="409" t="str">
        <f>IF(AG1101=FALSE,_xlfn.DAYS(AA1101,AF1101),"")</f>
        <v/>
      </c>
      <c r="AK1101">
        <f>WEEKNUM(AA1101)</f>
        <v>0</v>
      </c>
      <c r="AL1101">
        <f>YEAR(AA1101)</f>
        <v>1900</v>
      </c>
      <c r="AS1101">
        <f>IF(AA1101="",0,MONTH(AA1101))</f>
        <v>0</v>
      </c>
      <c r="AT1101">
        <f>IF(AA1101="",0,YEAR(AA1101))</f>
        <v>0</v>
      </c>
    </row>
    <row r="1102" spans="1:46" s="250" customFormat="1" ht="15.75" x14ac:dyDescent="0.25">
      <c r="A1102" s="250" t="str">
        <f t="shared" ref="A1102" si="400">IF(AI1102=10,"In scadenza","-")</f>
        <v>-</v>
      </c>
      <c r="B1102" s="251"/>
      <c r="C1102" s="252"/>
      <c r="D1102" s="253"/>
      <c r="E1102" s="254"/>
      <c r="F1102" s="255"/>
      <c r="G1102" s="256"/>
      <c r="H1102" s="252"/>
      <c r="I1102" s="252"/>
      <c r="J1102" s="414"/>
      <c r="K1102" s="416">
        <f ca="1">ROUND(IF(ISERROR(OFFSET(Tabella!$A$1,MATCH(H1102,Tabella!$A:$A,0)-1,MATCH(J1102,Tabella!$A$1:$AC$1,0)-1)=TRUE),0,+OFFSET(Tabella!$A$1,MATCH(H1102,Tabella!$A:$A,0)-1,MATCH(J1102,Tabella!$A$1:$AC$1,0)-1)),4)</f>
        <v>0</v>
      </c>
      <c r="L1102" s="418">
        <f ca="1">ROUND(IF(ISERROR(OFFSET(Ottone!$A$1,MATCH(H1102,Ottone!$A:$A,0)-1,MATCH(J1102,Ottone!$A$1:$Z$1,0)-1)=TRUE),0,OFFSET(Ottone!$A$1,MATCH(H1102,Ottone!$A:$A,0)-1,MATCH(J1102,Ottone!$A$1:$Z$1,0)-1))*IF(E1102="Ottone",1,0),4)</f>
        <v>0</v>
      </c>
      <c r="M1102" s="418">
        <f ca="1">ROUND(IF(ISERROR(OFFSET(Rame!$A$1,MATCH(H1102,Rame!$A:$A,0)-1,MATCH(J1102,Rame!$A$1:$AA$1,0)-1)=TRUE),0,OFFSET(Rame!$A$1,MATCH(H1102,Rame!$A:$A,0)-1,MATCH(J1102,Rame!$A$1:$AA$1,0)-1))*IF(E1102="Rame",1,0),4)</f>
        <v>0</v>
      </c>
      <c r="N1102" s="418">
        <v>0</v>
      </c>
      <c r="O1102" s="418">
        <f t="shared" ca="1" si="392"/>
        <v>0</v>
      </c>
      <c r="P1102" s="418">
        <f ca="1">ROUND(+IF(ISERROR(OFFSET(Tabella!$G$1,MATCH(H1102,Tabella!$G:$G,0)-1,MATCH(I1102,Tabella!$G$1:$FG$1,0)-1)=TRUE),0,OFFSET(Tabella!$G$1,MATCH(H1102,Tabella!$G:$G,0)-1,MATCH(I1102,Tabella!$G$1:$AB$1,0)-1)),4)</f>
        <v>0</v>
      </c>
      <c r="Q1102" s="418">
        <f ca="1">ROUND(IF(ISERROR(OFFSET(Ottone!$F$1,MATCH(H1102,Ottone!$A:$A,0)-1,MATCH(I1102,Ottone!$F$1:$FF$1,0)-1)=TRUE),0,OFFSET(Ottone!$F$1,MATCH(H1102,Ottone!$A:$A,0)-1,MATCH(I1102,Ottone!$F$1:$FF$1,0)-1))*IF(E1102="Ottone",1,0),4)</f>
        <v>0</v>
      </c>
      <c r="R1102" s="418">
        <f ca="1">ROUND(IF(ISERROR(OFFSET(Rame!$F$1,MATCH(H1102,Rame!$F:$F,0)-1,MATCH(I1102,Rame!$F$1:$FF$1,0)-1)=TRUE),0,OFFSET(Rame!$F$1,MATCH(H1102,Rame!$F:$F,0)-1,MATCH(I1102,Rame!$F$1:$FF$1,0)-1))*IF(E1102="Rame",1,0),4)</f>
        <v>0</v>
      </c>
      <c r="S1102" s="418">
        <f ca="1">ROUND(IF(ISERROR(OFFSET(Bronzo!$A$1,MATCH(H1102,Bronzo!$A:$A,0)-1,MATCH(I1102,Bronzo!$A$1:$AA$1,0)-1)=TRUE),0,OFFSET(Bronzo!$A$1,MATCH(H1102,Bronzo!$A:$A,0)-1,MATCH(I1102,Bronzo!$A$1:$AA$1,0)-1)),4)</f>
        <v>0</v>
      </c>
      <c r="T1102" s="418">
        <f t="shared" ca="1" si="389"/>
        <v>0</v>
      </c>
      <c r="U1102" s="416"/>
      <c r="V1102" s="418">
        <v>0</v>
      </c>
      <c r="W1102" s="420">
        <f t="shared" ca="1" si="390"/>
        <v>0</v>
      </c>
      <c r="X1102" s="414">
        <f t="shared" si="381"/>
        <v>0</v>
      </c>
      <c r="Y1102" s="414"/>
      <c r="Z1102" s="414">
        <f t="shared" ca="1" si="391"/>
        <v>0</v>
      </c>
      <c r="AA1102" s="257"/>
      <c r="AF1102" s="225">
        <f t="shared" ref="AF1102" ca="1" si="401">TODAY()</f>
        <v>46236</v>
      </c>
      <c r="AG1102" s="225" t="b">
        <f t="shared" ref="AG1102" si="402">ISBLANK(AA1102)</f>
        <v>1</v>
      </c>
      <c r="AH1102" s="242" t="str">
        <f t="shared" ref="AH1102" si="403">IF(AG1102=FALSE,_xlfn.DAYS(AA1102,AF1102),"")</f>
        <v/>
      </c>
      <c r="AI1102" s="223"/>
      <c r="AJ1102" s="223"/>
      <c r="AK1102" s="223">
        <f t="shared" ref="AK1102" si="404">WEEKNUM(AA1102)</f>
        <v>0</v>
      </c>
      <c r="AL1102" s="223">
        <f t="shared" ref="AL1102" si="405">YEAR(AA1102)</f>
        <v>1900</v>
      </c>
      <c r="AS1102" s="223">
        <f t="shared" ref="AS1102" si="406">IF(AA1102="",0,MONTH(AA1102))</f>
        <v>0</v>
      </c>
      <c r="AT1102" s="223">
        <f t="shared" ref="AT1102" si="407">IF(AA1102="",0,YEAR(AA1102))</f>
        <v>0</v>
      </c>
    </row>
    <row r="1103" spans="1:46" ht="16.5" thickBot="1" x14ac:dyDescent="0.3">
      <c r="B1103" s="410" t="s">
        <v>486</v>
      </c>
      <c r="C1103" s="258"/>
      <c r="D1103" s="259">
        <f>SUM(D7:D1102)</f>
        <v>853819.7</v>
      </c>
      <c r="E1103" s="258"/>
      <c r="F1103" s="260"/>
      <c r="G1103" s="261"/>
      <c r="H1103" s="258"/>
      <c r="I1103" s="258"/>
      <c r="J1103" s="262"/>
      <c r="K1103" s="262"/>
      <c r="L1103" s="262"/>
      <c r="M1103" s="262"/>
      <c r="N1103" s="262"/>
      <c r="O1103" s="262"/>
      <c r="P1103" s="262"/>
      <c r="Q1103" s="262"/>
      <c r="R1103" s="262"/>
      <c r="S1103" s="262"/>
      <c r="T1103" s="262"/>
      <c r="U1103" s="262"/>
      <c r="V1103" s="262"/>
      <c r="W1103" s="262"/>
      <c r="X1103" s="263">
        <f>SUM(X7:X1102)</f>
        <v>56942.20900000001</v>
      </c>
      <c r="Y1103" s="262"/>
      <c r="Z1103" s="262"/>
      <c r="AH1103" s="242"/>
    </row>
    <row r="1104" spans="1:46" ht="15.75" x14ac:dyDescent="0.25">
      <c r="B1104" s="258"/>
      <c r="C1104" s="258"/>
      <c r="D1104" s="264"/>
      <c r="E1104" s="258"/>
      <c r="F1104" s="265"/>
      <c r="G1104" s="261"/>
      <c r="H1104" s="258"/>
      <c r="I1104" s="258"/>
      <c r="J1104" s="262"/>
      <c r="K1104" s="262"/>
      <c r="L1104" s="262"/>
      <c r="M1104" s="262"/>
      <c r="N1104" s="262"/>
      <c r="O1104" s="266"/>
      <c r="P1104" s="262"/>
      <c r="Q1104" s="262"/>
      <c r="R1104" s="262"/>
      <c r="S1104" s="262"/>
      <c r="T1104" s="262"/>
      <c r="U1104" s="262"/>
      <c r="V1104" s="262"/>
      <c r="W1104" s="262"/>
      <c r="X1104" s="262"/>
      <c r="Y1104" s="262"/>
      <c r="Z1104" s="262"/>
    </row>
    <row r="1105" spans="1:37" ht="15.75" x14ac:dyDescent="0.25">
      <c r="B1105" s="258"/>
      <c r="C1105" s="258"/>
      <c r="D1105" s="264"/>
      <c r="E1105" s="258"/>
      <c r="F1105" s="265"/>
      <c r="G1105" s="261"/>
      <c r="H1105" s="264"/>
      <c r="I1105" s="258"/>
      <c r="J1105" s="262"/>
      <c r="K1105" s="262"/>
      <c r="L1105" s="262"/>
      <c r="M1105" s="262"/>
      <c r="N1105" s="262"/>
      <c r="O1105" s="262"/>
      <c r="P1105" s="262"/>
      <c r="Q1105" s="262"/>
      <c r="R1105" s="262"/>
      <c r="S1105" s="262"/>
      <c r="T1105" s="262"/>
      <c r="U1105" s="262"/>
      <c r="V1105" s="262"/>
      <c r="W1105" s="262"/>
      <c r="X1105" s="262"/>
      <c r="Y1105" s="262"/>
      <c r="Z1105" s="262"/>
      <c r="AE1105" s="267"/>
      <c r="AH1105" s="267"/>
    </row>
    <row r="1106" spans="1:37" ht="16.5" thickBot="1" x14ac:dyDescent="0.3">
      <c r="B1106" s="258"/>
      <c r="C1106" s="258"/>
      <c r="D1106" s="264"/>
      <c r="E1106" s="258"/>
      <c r="F1106" s="265"/>
      <c r="G1106" s="261"/>
      <c r="H1106" s="264"/>
      <c r="I1106" s="258"/>
      <c r="J1106" s="262"/>
      <c r="K1106" s="262"/>
      <c r="L1106" s="262"/>
      <c r="M1106" s="262"/>
      <c r="N1106" s="262"/>
      <c r="O1106" s="262"/>
      <c r="P1106" s="262"/>
      <c r="Q1106" s="262"/>
      <c r="R1106" s="262"/>
      <c r="S1106" s="262"/>
      <c r="T1106" s="262"/>
      <c r="U1106" s="262"/>
      <c r="V1106" s="262"/>
      <c r="W1106" s="262"/>
      <c r="X1106" s="262"/>
      <c r="Y1106" s="262"/>
      <c r="Z1106" s="262"/>
    </row>
    <row r="1107" spans="1:37" ht="15.75" x14ac:dyDescent="0.25">
      <c r="B1107" s="258"/>
      <c r="C1107" s="268" t="s">
        <v>60</v>
      </c>
      <c r="D1107" s="269" t="s">
        <v>38</v>
      </c>
      <c r="E1107" s="270" t="s">
        <v>48</v>
      </c>
      <c r="F1107" s="271" t="s">
        <v>294</v>
      </c>
      <c r="G1107" s="272" t="s">
        <v>303</v>
      </c>
      <c r="H1107" s="264"/>
      <c r="I1107" s="258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35"/>
      <c r="W1107" s="243"/>
      <c r="X1107" s="232"/>
      <c r="Y1107" s="233"/>
      <c r="Z1107" s="234"/>
      <c r="AA1107" s="235"/>
      <c r="AB1107" s="235"/>
      <c r="AC1107" s="236">
        <v>0.1</v>
      </c>
      <c r="AD1107" s="238"/>
      <c r="AE1107" s="238"/>
      <c r="AF1107" s="237"/>
      <c r="AG1107" s="238">
        <v>0</v>
      </c>
      <c r="AH1107" s="239">
        <v>1.1000000000000001</v>
      </c>
      <c r="AI1107" s="240"/>
      <c r="AJ1107" s="236"/>
      <c r="AK1107" s="236">
        <v>2.4100000000000019</v>
      </c>
    </row>
    <row r="1108" spans="1:37" ht="15.75" x14ac:dyDescent="0.25">
      <c r="B1108" s="258"/>
      <c r="C1108" s="251"/>
      <c r="D1108" s="253"/>
      <c r="E1108" s="273"/>
      <c r="F1108" s="274"/>
      <c r="G1108" s="275"/>
      <c r="H1108" s="258"/>
      <c r="I1108" s="258"/>
      <c r="J1108" s="262"/>
      <c r="K1108" s="262"/>
      <c r="L1108" s="262"/>
      <c r="M1108" s="262"/>
      <c r="N1108" s="262"/>
      <c r="O1108" s="262"/>
      <c r="P1108" s="262"/>
      <c r="Q1108" s="262"/>
      <c r="R1108" s="262"/>
      <c r="S1108" s="262"/>
      <c r="T1108" s="262"/>
      <c r="U1108" s="262"/>
      <c r="V1108" s="262"/>
      <c r="W1108" s="262"/>
      <c r="X1108" s="262"/>
      <c r="Y1108" s="262"/>
      <c r="Z1108" s="262"/>
    </row>
    <row r="1109" spans="1:37" ht="15.75" x14ac:dyDescent="0.25">
      <c r="B1109" s="258">
        <v>1</v>
      </c>
      <c r="C1109" s="276" t="s">
        <v>213</v>
      </c>
      <c r="D1109" s="277">
        <f>SUMIF(C7:C1102,"abb",D7:D1102)</f>
        <v>0</v>
      </c>
      <c r="E1109" s="278">
        <f>SUMIF(C7:C1102,"abb",X7:X1102)</f>
        <v>0</v>
      </c>
      <c r="F1109" s="274">
        <f>SUMIFS(X$7:X$1102,C$7:C$1102,"Abb",AD$7:AD$1102,"OK")</f>
        <v>0</v>
      </c>
      <c r="G1109" s="275"/>
      <c r="H1109" s="279"/>
      <c r="I1109" s="258"/>
      <c r="J1109" s="262"/>
      <c r="K1109" s="262"/>
      <c r="L1109" s="262"/>
      <c r="M1109" s="262"/>
      <c r="N1109" s="262"/>
      <c r="O1109" s="262"/>
      <c r="P1109" s="262"/>
      <c r="Q1109" s="262"/>
      <c r="R1109" s="262"/>
      <c r="S1109" s="262"/>
      <c r="T1109" s="262"/>
      <c r="U1109" s="262"/>
      <c r="V1109" s="262"/>
      <c r="W1109" s="262"/>
      <c r="X1109" s="262"/>
      <c r="Y1109" s="262"/>
      <c r="Z1109" s="262"/>
    </row>
    <row r="1110" spans="1:37" ht="15.75" x14ac:dyDescent="0.25">
      <c r="B1110" s="258">
        <f>+B1109+1</f>
        <v>2</v>
      </c>
      <c r="C1110" s="280" t="s">
        <v>239</v>
      </c>
      <c r="D1110" s="277">
        <f>SUMIF(C7:C1102,"abbza",D7:D1102)</f>
        <v>0</v>
      </c>
      <c r="E1110" s="278">
        <f>SUMIF(C7:C1102,"abbza",X7:X1102)</f>
        <v>0</v>
      </c>
      <c r="F1110" s="274">
        <f>SUMIFS(X$7:X$1102,C$7:C$1102,"Abbza",AD$7:AD$1102,"OK")</f>
        <v>0</v>
      </c>
      <c r="G1110" s="275"/>
      <c r="H1110" s="279"/>
      <c r="I1110" s="258"/>
      <c r="J1110" s="262"/>
      <c r="K1110" s="262"/>
      <c r="L1110" s="262"/>
      <c r="M1110" s="262"/>
      <c r="N1110" s="262"/>
      <c r="O1110" s="262"/>
      <c r="P1110" s="262"/>
      <c r="Q1110" s="262"/>
      <c r="R1110" s="262"/>
      <c r="S1110" s="262"/>
      <c r="T1110" s="262"/>
      <c r="U1110" s="281"/>
      <c r="V1110" s="282"/>
      <c r="W1110" s="235"/>
      <c r="X1110" s="236"/>
      <c r="Y1110" s="238"/>
      <c r="Z1110" s="238"/>
      <c r="AA1110" s="237"/>
      <c r="AB1110" s="238">
        <v>0</v>
      </c>
      <c r="AC1110" s="239">
        <v>1.1000000000000001</v>
      </c>
      <c r="AD1110" s="240"/>
      <c r="AE1110" s="236"/>
      <c r="AF1110" s="236"/>
    </row>
    <row r="1111" spans="1:37" ht="15.75" x14ac:dyDescent="0.25">
      <c r="B1111" s="258">
        <f t="shared" ref="B1111:B1187" si="408">+B1110+1</f>
        <v>3</v>
      </c>
      <c r="C1111" s="280" t="s">
        <v>220</v>
      </c>
      <c r="D1111" s="283">
        <f>SUMIF(C7:C1102,"aeg",D7:D1102)</f>
        <v>0</v>
      </c>
      <c r="E1111" s="284">
        <f>SUMIF(C7:C1102,"aeg",X7:X1102)</f>
        <v>0</v>
      </c>
      <c r="F1111" s="274">
        <f>SUMIFS(X$7:X$1102,C$7:C$1102,"Aeg",AD$7:AD$1102,"OK")</f>
        <v>0</v>
      </c>
      <c r="G1111" s="275"/>
      <c r="H1111" s="279"/>
      <c r="I1111" s="258"/>
      <c r="J1111" s="262"/>
      <c r="K1111" s="262"/>
      <c r="L1111" s="262"/>
      <c r="M1111" s="262"/>
      <c r="N1111" s="262"/>
      <c r="O1111" s="262"/>
      <c r="P1111" s="262"/>
      <c r="Q1111" s="262"/>
      <c r="R1111" s="262"/>
      <c r="S1111" s="262"/>
      <c r="T1111" s="262"/>
      <c r="U1111" s="262"/>
      <c r="V1111" s="262"/>
      <c r="W1111" s="262"/>
      <c r="X1111" s="262"/>
      <c r="Y1111" s="262"/>
      <c r="Z1111" s="262"/>
      <c r="AA1111" s="223">
        <f>SUMIF(AA7:AA1102,"",D7:D1102)</f>
        <v>417680.7</v>
      </c>
    </row>
    <row r="1112" spans="1:37" ht="15.75" x14ac:dyDescent="0.25">
      <c r="A1112" s="222" t="s">
        <v>273</v>
      </c>
      <c r="B1112" s="258">
        <f t="shared" si="408"/>
        <v>4</v>
      </c>
      <c r="C1112" s="285" t="s">
        <v>105</v>
      </c>
      <c r="D1112" s="283">
        <f>SUMIF(C7:C1102,"alge",D7:D1102)</f>
        <v>0</v>
      </c>
      <c r="E1112" s="284">
        <f>SUMIF(C7:C1102,"alge",X7:X1102)</f>
        <v>0</v>
      </c>
      <c r="F1112" s="274">
        <f>SUMIFS(X$7:X$1102,C$7:C$1102,"Alge",AD$7:AD$1102,"OK")</f>
        <v>0</v>
      </c>
      <c r="G1112" s="275"/>
      <c r="H1112" s="279"/>
      <c r="I1112" s="258"/>
      <c r="J1112" s="262"/>
      <c r="K1112" s="262"/>
      <c r="L1112" s="262"/>
      <c r="M1112" s="262"/>
      <c r="N1112" s="262"/>
      <c r="O1112" s="262"/>
      <c r="P1112" s="262"/>
      <c r="Q1112" s="262"/>
      <c r="R1112" s="262"/>
      <c r="S1112" s="262"/>
      <c r="T1112" s="262"/>
      <c r="U1112" s="262"/>
      <c r="V1112" s="262"/>
      <c r="W1112" s="240"/>
      <c r="X1112" s="262"/>
      <c r="Y1112" s="262"/>
      <c r="Z1112" s="262"/>
      <c r="AA1112" s="267">
        <f>+D1103-AA1111</f>
        <v>436138.99999999994</v>
      </c>
    </row>
    <row r="1113" spans="1:37" ht="15.75" x14ac:dyDescent="0.25">
      <c r="B1113" s="258">
        <f t="shared" si="408"/>
        <v>5</v>
      </c>
      <c r="C1113" s="286" t="s">
        <v>357</v>
      </c>
      <c r="D1113" s="283">
        <f>SUMIF(C7:C1102,"alstom",D7:D1102)</f>
        <v>0</v>
      </c>
      <c r="E1113" s="284">
        <f>SUMIF(C7:C1102,"alstom",X7:X1102)</f>
        <v>0</v>
      </c>
      <c r="F1113" s="274">
        <f>SUMIFS(X$7:X$1102,C$7:C$1102,"Alstom",AD$7:AD$1102,"OK")</f>
        <v>0</v>
      </c>
      <c r="G1113" s="275"/>
      <c r="H1113" s="279"/>
      <c r="I1113" s="258"/>
      <c r="J1113" s="262"/>
      <c r="K1113" s="262"/>
      <c r="L1113" s="262"/>
      <c r="M1113" s="262"/>
      <c r="N1113" s="262"/>
      <c r="O1113" s="262"/>
      <c r="P1113" s="262"/>
      <c r="Q1113" s="262"/>
      <c r="R1113" s="262"/>
      <c r="S1113" s="262"/>
      <c r="T1113" s="262"/>
      <c r="U1113" s="262"/>
      <c r="V1113" s="262"/>
      <c r="W1113" s="262"/>
      <c r="X1113" s="262"/>
      <c r="Y1113" s="262"/>
      <c r="Z1113" s="262"/>
    </row>
    <row r="1114" spans="1:37" ht="15.75" x14ac:dyDescent="0.25">
      <c r="B1114" s="258">
        <f t="shared" si="408"/>
        <v>6</v>
      </c>
      <c r="C1114" s="287" t="s">
        <v>113</v>
      </c>
      <c r="D1114" s="283">
        <f>SUMIF(C7:C1102,"amer",D7:D1102)</f>
        <v>2500</v>
      </c>
      <c r="E1114" s="284">
        <f>SUMIF(C7:C1102,"amer",X7:X1102)</f>
        <v>375</v>
      </c>
      <c r="F1114" s="274">
        <f>SUMIFS(X$7:X$1102,C$7:C$1102,"Amer",AD$7:AD$1102,"OK")</f>
        <v>0</v>
      </c>
      <c r="G1114" s="275">
        <f>SUMIFS(D$7:D$1102,C$7:C$1102,"amer",AD$7:AD$1102,"OK")</f>
        <v>0</v>
      </c>
      <c r="H1114" s="266"/>
      <c r="I1114" s="258"/>
      <c r="J1114" s="262"/>
      <c r="K1114" s="262"/>
      <c r="L1114" s="262"/>
      <c r="M1114" s="262"/>
      <c r="N1114" s="262"/>
      <c r="O1114" s="262"/>
      <c r="P1114" s="262"/>
      <c r="Q1114" s="262"/>
      <c r="R1114" s="262"/>
      <c r="S1114" s="262"/>
      <c r="T1114" s="262"/>
      <c r="U1114" s="262"/>
      <c r="V1114" s="262"/>
      <c r="W1114" s="262"/>
      <c r="X1114" s="262"/>
      <c r="Y1114" s="262"/>
      <c r="Z1114" s="262"/>
    </row>
    <row r="1115" spans="1:37" ht="15.75" x14ac:dyDescent="0.25">
      <c r="B1115" s="258">
        <f t="shared" si="408"/>
        <v>7</v>
      </c>
      <c r="C1115" s="287" t="s">
        <v>265</v>
      </c>
      <c r="D1115" s="283">
        <f>SUMIF(C7:C1102,"arcansas",D7:D1102)</f>
        <v>0</v>
      </c>
      <c r="E1115" s="284">
        <f>SUMIF(C7:C1102,"arcansas",X7:X1102)</f>
        <v>0</v>
      </c>
      <c r="F1115" s="274">
        <f>SUMIFS(X$7:X$1102,C$7:C$1102,"Arcansas",AD$7:AD$1102,"OK")</f>
        <v>0</v>
      </c>
      <c r="G1115" s="275"/>
      <c r="H1115" s="279"/>
      <c r="I1115" s="258"/>
      <c r="J1115" s="262"/>
      <c r="K1115" s="262"/>
      <c r="L1115" s="262"/>
      <c r="M1115" s="262"/>
      <c r="N1115" s="262"/>
      <c r="O1115" s="262"/>
      <c r="P1115" s="262"/>
      <c r="Q1115" s="262"/>
      <c r="R1115" s="262"/>
      <c r="S1115" s="262"/>
      <c r="T1115" s="262"/>
      <c r="U1115" s="262"/>
      <c r="V1115" s="262"/>
      <c r="W1115" s="262"/>
      <c r="X1115" s="262"/>
      <c r="Y1115" s="262"/>
      <c r="Z1115" s="262"/>
    </row>
    <row r="1116" spans="1:37" ht="15.75" x14ac:dyDescent="0.25">
      <c r="B1116" s="258">
        <f t="shared" si="408"/>
        <v>8</v>
      </c>
      <c r="C1116" s="287" t="s">
        <v>394</v>
      </c>
      <c r="D1116" s="283">
        <f>SUMIF(C$7:C$1102,"arteche",D$7:D$1102)</f>
        <v>0</v>
      </c>
      <c r="E1116" s="284">
        <f>SUMIF(C$7:C$1102,"arteche",X$7:X$1102)</f>
        <v>0</v>
      </c>
      <c r="F1116" s="274">
        <f>SUMIFS(X$7:X$1102,C$7:C$1102,"arteche",AD$7:AD$1102,"OK")</f>
        <v>0</v>
      </c>
      <c r="G1116" s="275">
        <f>SUMIFS(D$7:D$1102,C$7:C$1102,"arteche",AD$7:AD$1102,"OK")</f>
        <v>0</v>
      </c>
      <c r="H1116" s="279"/>
      <c r="I1116" s="258"/>
      <c r="J1116" s="262"/>
      <c r="K1116" s="262"/>
      <c r="L1116" s="262"/>
      <c r="M1116" s="262"/>
      <c r="N1116" s="262"/>
      <c r="O1116" s="262"/>
      <c r="P1116" s="262"/>
      <c r="Q1116" s="262"/>
      <c r="R1116" s="262"/>
      <c r="S1116" s="262"/>
      <c r="T1116" s="262"/>
      <c r="U1116" s="262"/>
      <c r="V1116" s="262"/>
      <c r="W1116" s="262"/>
      <c r="X1116" s="262"/>
      <c r="Y1116" s="262"/>
      <c r="Z1116" s="262"/>
    </row>
    <row r="1117" spans="1:37" ht="15.75" x14ac:dyDescent="0.25">
      <c r="B1117" s="258">
        <f t="shared" si="408"/>
        <v>9</v>
      </c>
      <c r="C1117" s="287" t="s">
        <v>221</v>
      </c>
      <c r="D1117" s="283">
        <f>SUMIF(C7:C1102,"artel",D7:D1102)</f>
        <v>0</v>
      </c>
      <c r="E1117" s="284">
        <f>SUMIF(C7:C1102,"artel",X7:X1102)</f>
        <v>0</v>
      </c>
      <c r="F1117" s="274">
        <f>SUMIFS(X$7:X$1102,C$7:C$1102,"Artel",AD$7:AD$1102,"OK")</f>
        <v>0</v>
      </c>
      <c r="G1117" s="275"/>
      <c r="H1117" s="279"/>
      <c r="I1117" s="258"/>
      <c r="J1117" s="262"/>
      <c r="K1117" s="262"/>
      <c r="L1117" s="262"/>
      <c r="M1117" s="262"/>
      <c r="N1117" s="262"/>
      <c r="O1117" s="262"/>
      <c r="P1117" s="262"/>
      <c r="Q1117" s="262"/>
      <c r="R1117" s="262"/>
      <c r="S1117" s="262"/>
      <c r="T1117" s="262"/>
      <c r="U1117" s="262"/>
      <c r="V1117" s="262"/>
      <c r="W1117" s="262"/>
      <c r="X1117" s="262"/>
      <c r="Y1117" s="262"/>
      <c r="Z1117" s="262"/>
    </row>
    <row r="1118" spans="1:37" ht="15.75" x14ac:dyDescent="0.25">
      <c r="B1118" s="258">
        <f t="shared" si="408"/>
        <v>10</v>
      </c>
      <c r="C1118" s="287" t="s">
        <v>293</v>
      </c>
      <c r="D1118" s="283">
        <f>SUMIF(C$7:C$1102,"automation",D$7:D$1102)</f>
        <v>0</v>
      </c>
      <c r="E1118" s="284">
        <f>SUMIF(C7:C1102,"automation",X7:X1102)</f>
        <v>0</v>
      </c>
      <c r="F1118" s="274">
        <f>SUMIFS(X$7:X$1102,C$7:C$1102,"Automation",AD$7:AD$1102,"OK")</f>
        <v>0</v>
      </c>
      <c r="G1118" s="275">
        <f>SUMIFS(D$7:D$1102,C$7:C$1102,"automation",AD$7:AD$1102,"OK")</f>
        <v>0</v>
      </c>
      <c r="H1118" s="279"/>
      <c r="I1118" s="258"/>
      <c r="J1118" s="262"/>
      <c r="K1118" s="262"/>
      <c r="L1118" s="262"/>
      <c r="M1118" s="262"/>
      <c r="N1118" s="262"/>
      <c r="O1118" s="262"/>
      <c r="P1118" s="262"/>
      <c r="Q1118" s="262"/>
      <c r="R1118" s="262"/>
      <c r="S1118" s="262"/>
      <c r="T1118" s="262"/>
      <c r="U1118" s="262"/>
      <c r="V1118" s="262"/>
      <c r="W1118" s="262"/>
      <c r="X1118" s="262"/>
      <c r="Y1118" s="262"/>
      <c r="Z1118" s="262"/>
    </row>
    <row r="1119" spans="1:37" ht="15.75" x14ac:dyDescent="0.25">
      <c r="B1119" s="258">
        <f t="shared" si="408"/>
        <v>11</v>
      </c>
      <c r="C1119" s="287" t="s">
        <v>211</v>
      </c>
      <c r="D1119" s="283">
        <f>SUMIF(C7:C1102,"baietti",D7:D1102)</f>
        <v>0</v>
      </c>
      <c r="E1119" s="284">
        <f>SUMIF(C7:C1102,"baietti",X7:X1102)</f>
        <v>0</v>
      </c>
      <c r="F1119" s="274">
        <f>SUMIFS(X$7:X$1102,C$7:C$1102,"Baietti",AD$7:AD$1102,"OK")</f>
        <v>0</v>
      </c>
      <c r="G1119" s="275"/>
      <c r="H1119" s="279"/>
      <c r="I1119" s="258"/>
      <c r="J1119" s="262"/>
      <c r="K1119" s="262"/>
      <c r="L1119" s="262"/>
      <c r="M1119" s="262"/>
      <c r="N1119" s="262"/>
      <c r="O1119" s="262"/>
      <c r="P1119" s="262"/>
      <c r="Q1119" s="262"/>
      <c r="R1119" s="262"/>
      <c r="S1119" s="262"/>
      <c r="T1119" s="262"/>
      <c r="U1119" s="262"/>
      <c r="V1119" s="262"/>
      <c r="W1119" s="262"/>
      <c r="X1119" s="262"/>
      <c r="Y1119" s="262"/>
      <c r="Z1119" s="262"/>
    </row>
    <row r="1120" spans="1:37" ht="15.75" x14ac:dyDescent="0.25">
      <c r="B1120" s="258">
        <f t="shared" si="408"/>
        <v>12</v>
      </c>
      <c r="C1120" s="287" t="s">
        <v>480</v>
      </c>
      <c r="D1120" s="283">
        <f>SUMIF(C$7:C$1102,"bcv",D$7:D$1102)</f>
        <v>2018</v>
      </c>
      <c r="E1120" s="284">
        <f>SUMIF(C$7:C$1102,"bcv",X$7:X$1102)</f>
        <v>302.7</v>
      </c>
      <c r="F1120" s="274">
        <f>SUMIFS(X$7:X$1102,C$7:C$1102,"Bcv",AD$7:AD$1102,"OK")</f>
        <v>0</v>
      </c>
      <c r="G1120" s="275">
        <f>SUMIFS(D$7:D$1102,C$7:C$1102,"bcv",AD$7:AD$1102,"OK")</f>
        <v>0</v>
      </c>
      <c r="H1120" s="279"/>
      <c r="I1120" s="258"/>
      <c r="J1120" s="262"/>
      <c r="K1120" s="262"/>
      <c r="L1120" s="262"/>
      <c r="M1120" s="262"/>
      <c r="N1120" s="262"/>
      <c r="O1120" s="262"/>
      <c r="P1120" s="262"/>
      <c r="Q1120" s="262"/>
      <c r="R1120" s="262"/>
      <c r="S1120" s="262"/>
      <c r="T1120" s="262"/>
      <c r="U1120" s="262"/>
      <c r="V1120" s="262"/>
      <c r="W1120" s="262"/>
      <c r="X1120" s="262"/>
      <c r="Y1120" s="262"/>
      <c r="Z1120" s="262"/>
    </row>
    <row r="1121" spans="1:26" ht="15.75" x14ac:dyDescent="0.25">
      <c r="A1121" s="222" t="s">
        <v>273</v>
      </c>
      <c r="B1121" s="258">
        <f t="shared" si="408"/>
        <v>13</v>
      </c>
      <c r="C1121" s="288" t="s">
        <v>236</v>
      </c>
      <c r="D1121" s="283">
        <f>SUMIF(C7:C1102,"bmi",D7:D1102)</f>
        <v>0</v>
      </c>
      <c r="E1121" s="284">
        <f>SUMIF(C7:C1102,"bmi",X7:X1102)</f>
        <v>0</v>
      </c>
      <c r="F1121" s="274">
        <f>SUMIFS(X$7:X$1102,C$7:C$1102,"BMI",AD$7:AD$1102,"OK")</f>
        <v>0</v>
      </c>
      <c r="G1121" s="275"/>
      <c r="H1121" s="279"/>
      <c r="I1121" s="258"/>
      <c r="J1121" s="262"/>
      <c r="K1121" s="262"/>
      <c r="L1121" s="262"/>
      <c r="M1121" s="262"/>
      <c r="N1121" s="262"/>
      <c r="O1121" s="262"/>
      <c r="P1121" s="262"/>
      <c r="Q1121" s="262"/>
      <c r="R1121" s="262"/>
      <c r="S1121" s="262"/>
      <c r="T1121" s="262"/>
      <c r="U1121" s="262"/>
      <c r="V1121" s="262"/>
      <c r="W1121" s="262"/>
      <c r="X1121" s="262"/>
      <c r="Y1121" s="262"/>
      <c r="Z1121" s="262"/>
    </row>
    <row r="1122" spans="1:26" ht="15.75" x14ac:dyDescent="0.25">
      <c r="A1122" s="222" t="s">
        <v>273</v>
      </c>
      <c r="B1122" s="258">
        <f t="shared" si="408"/>
        <v>14</v>
      </c>
      <c r="C1122" s="288" t="s">
        <v>222</v>
      </c>
      <c r="D1122" s="283">
        <f>SUMIF(C$7:C$1102,"bastia",D$7:D$1102)</f>
        <v>300</v>
      </c>
      <c r="E1122" s="284">
        <f>SUMIF(C$7:C$1102,"bastia",X$7:X$1102)</f>
        <v>21</v>
      </c>
      <c r="F1122" s="274">
        <f>SUMIFS(X$7:X$1102,C$7:C$1102,"Bastia",AD$7:AD$1102,"OK")</f>
        <v>0</v>
      </c>
      <c r="G1122" s="275"/>
      <c r="H1122" s="279"/>
      <c r="I1122" s="258"/>
      <c r="J1122" s="262"/>
      <c r="K1122" s="262"/>
      <c r="L1122" s="262"/>
      <c r="M1122" s="262"/>
      <c r="N1122" s="262"/>
      <c r="O1122" s="262"/>
      <c r="P1122" s="262"/>
      <c r="Q1122" s="262"/>
      <c r="R1122" s="262"/>
      <c r="S1122" s="262"/>
      <c r="T1122" s="262"/>
      <c r="U1122" s="262"/>
      <c r="V1122" s="262"/>
      <c r="W1122" s="262"/>
      <c r="X1122" s="262"/>
      <c r="Y1122" s="262"/>
      <c r="Z1122" s="262"/>
    </row>
    <row r="1123" spans="1:26" ht="15.75" x14ac:dyDescent="0.25">
      <c r="B1123" s="258">
        <f t="shared" si="408"/>
        <v>15</v>
      </c>
      <c r="C1123" s="289" t="s">
        <v>334</v>
      </c>
      <c r="D1123" s="283">
        <f>SUMIF(C$7:C$1102,"be.tube",D$7:D$1102)</f>
        <v>0</v>
      </c>
      <c r="E1123" s="284">
        <f>SUMIF(C$7:C$1102,"be.tube",X$7:X$1102)</f>
        <v>0</v>
      </c>
      <c r="F1123" s="274">
        <f>SUMIFS(X$7:X$1102,C$7:C$1102,"be.tube",AD$7:AD$1102,"OK")</f>
        <v>0</v>
      </c>
      <c r="G1123" s="275"/>
      <c r="H1123" s="279"/>
      <c r="I1123" s="258"/>
      <c r="J1123" s="262"/>
      <c r="K1123" s="262"/>
      <c r="L1123" s="262"/>
      <c r="M1123" s="262"/>
      <c r="N1123" s="262"/>
      <c r="O1123" s="262"/>
      <c r="P1123" s="262"/>
      <c r="Q1123" s="262"/>
      <c r="R1123" s="262"/>
      <c r="S1123" s="262"/>
      <c r="T1123" s="262"/>
      <c r="U1123" s="262"/>
      <c r="V1123" s="262"/>
      <c r="W1123" s="262"/>
      <c r="X1123" s="262"/>
      <c r="Y1123" s="262"/>
      <c r="Z1123" s="262"/>
    </row>
    <row r="1124" spans="1:26" ht="15.75" x14ac:dyDescent="0.25">
      <c r="B1124" s="258">
        <f t="shared" si="408"/>
        <v>16</v>
      </c>
      <c r="C1124" s="289" t="s">
        <v>333</v>
      </c>
      <c r="D1124" s="283">
        <f>SUMIF(C$7:C$1102,"best",D$7:D$1102)</f>
        <v>0</v>
      </c>
      <c r="E1124" s="284">
        <f>SUMIF(C$7:C$1102,"best",X$7:X$1102)</f>
        <v>0</v>
      </c>
      <c r="F1124" s="274">
        <f>SUMIFS(X$7:X$1102,C$7:C$1102,"Best",AD$7:AD$1102,"OK")</f>
        <v>0</v>
      </c>
      <c r="G1124" s="275"/>
      <c r="H1124" s="279"/>
      <c r="I1124" s="258"/>
      <c r="J1124" s="262"/>
      <c r="K1124" s="262"/>
      <c r="L1124" s="262"/>
      <c r="M1124" s="262"/>
      <c r="N1124" s="262"/>
      <c r="O1124" s="262"/>
      <c r="P1124" s="262"/>
      <c r="Q1124" s="262"/>
      <c r="R1124" s="262"/>
      <c r="S1124" s="262"/>
      <c r="T1124" s="262"/>
      <c r="U1124" s="262"/>
      <c r="V1124" s="262"/>
      <c r="W1124" s="262"/>
      <c r="X1124" s="262"/>
      <c r="Y1124" s="262"/>
      <c r="Z1124" s="262"/>
    </row>
    <row r="1125" spans="1:26" ht="15.75" x14ac:dyDescent="0.25">
      <c r="B1125" s="258">
        <f t="shared" si="408"/>
        <v>17</v>
      </c>
      <c r="C1125" s="287" t="s">
        <v>95</v>
      </c>
      <c r="D1125" s="283">
        <f>SUMIF(C$7:C$1102,"braga",D$7:D$1102)</f>
        <v>0</v>
      </c>
      <c r="E1125" s="284">
        <f>SUMIF(C$7:C$1102,"braga",X$7:X$1102)</f>
        <v>0</v>
      </c>
      <c r="F1125" s="274">
        <f>SUMIFS(X$7:X$1102,C$7:C$1102,"Braga",AD$7:AD$1102,"OK")</f>
        <v>0</v>
      </c>
      <c r="G1125" s="275">
        <f>SUMIFS(D$7:D$1102,C$7:C$1102,"braga",AD$7:AD$1102,"OK")</f>
        <v>0</v>
      </c>
      <c r="H1125" s="279"/>
      <c r="I1125" s="258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</row>
    <row r="1126" spans="1:26" ht="15.75" x14ac:dyDescent="0.25">
      <c r="B1126" s="258">
        <f t="shared" si="408"/>
        <v>18</v>
      </c>
      <c r="C1126" s="287" t="s">
        <v>392</v>
      </c>
      <c r="D1126" s="283">
        <f>SUMIF(C$7:C$1102,"brioschi",D$7:D$1102)</f>
        <v>0</v>
      </c>
      <c r="E1126" s="284">
        <f>SUMIF(C$7:C$1102,"brioschi",X$7:X$1102)</f>
        <v>0</v>
      </c>
      <c r="F1126" s="274">
        <f>SUMIFS(X$7:X$1102,C$7:C$1102,"Brioschi",AD$7:AD$1102,"OK")</f>
        <v>0</v>
      </c>
      <c r="G1126" s="275">
        <f>SUMIFS(D$7:D$1102,C$7:C$1102,"brioschi",AD$7:AD$1102,"OK")</f>
        <v>0</v>
      </c>
      <c r="H1126" s="279"/>
      <c r="I1126" s="258"/>
      <c r="J1126" s="262"/>
      <c r="K1126" s="262"/>
      <c r="L1126" s="262"/>
      <c r="M1126" s="262"/>
      <c r="N1126" s="262"/>
      <c r="O1126" s="262"/>
      <c r="P1126" s="262"/>
      <c r="Q1126" s="262"/>
      <c r="R1126" s="262"/>
      <c r="S1126" s="262"/>
      <c r="T1126" s="262"/>
      <c r="U1126" s="262"/>
      <c r="V1126" s="262"/>
      <c r="W1126" s="262"/>
      <c r="X1126" s="262"/>
      <c r="Y1126" s="262"/>
      <c r="Z1126" s="262"/>
    </row>
    <row r="1127" spans="1:26" ht="15.75" x14ac:dyDescent="0.25">
      <c r="A1127" s="222" t="s">
        <v>273</v>
      </c>
      <c r="B1127" s="258">
        <f t="shared" si="408"/>
        <v>19</v>
      </c>
      <c r="C1127" s="288" t="s">
        <v>223</v>
      </c>
      <c r="D1127" s="283">
        <f>SUMIF(C7:C1102,"bollani",D7:D1102)</f>
        <v>0</v>
      </c>
      <c r="E1127" s="284">
        <f>SUMIF(C7:C1102,"bollani",X7:X1102)</f>
        <v>0</v>
      </c>
      <c r="F1127" s="274">
        <f>SUMIFS(X$7:X$1102,C$7:C$1102,"Bollani",AD$7:AD$1102,"OK")</f>
        <v>0</v>
      </c>
      <c r="G1127" s="275"/>
      <c r="H1127" s="279"/>
      <c r="I1127" s="258"/>
      <c r="J1127" s="262"/>
      <c r="K1127" s="262"/>
      <c r="L1127" s="262"/>
      <c r="M1127" s="262"/>
      <c r="N1127" s="262"/>
      <c r="O1127" s="262"/>
      <c r="P1127" s="262"/>
      <c r="Q1127" s="262"/>
      <c r="R1127" s="262"/>
      <c r="S1127" s="262"/>
      <c r="T1127" s="262"/>
      <c r="U1127" s="262"/>
      <c r="V1127" s="262"/>
      <c r="W1127" s="262"/>
      <c r="X1127" s="262"/>
      <c r="Y1127" s="262"/>
      <c r="Z1127" s="262"/>
    </row>
    <row r="1128" spans="1:26" ht="15.75" x14ac:dyDescent="0.25">
      <c r="B1128" s="258"/>
      <c r="C1128" s="287" t="s">
        <v>423</v>
      </c>
      <c r="D1128" s="283">
        <f>SUMIF(C7:C1103,"botter",D7:D1103)</f>
        <v>0</v>
      </c>
      <c r="E1128" s="284">
        <f>SUMIF(C7:C1103,"botter",X7:X1103)</f>
        <v>0</v>
      </c>
      <c r="F1128" s="274">
        <f>SUMIFS(X$7:X$1102,C$7:C$1102,"Botter",AD$7:AD$1102,"OK")</f>
        <v>0</v>
      </c>
      <c r="G1128" s="275"/>
      <c r="H1128" s="279"/>
      <c r="I1128" s="258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</row>
    <row r="1129" spans="1:26" ht="15.75" x14ac:dyDescent="0.25">
      <c r="B1129" s="258">
        <f>+B1127+1</f>
        <v>20</v>
      </c>
      <c r="C1129" s="287" t="s">
        <v>263</v>
      </c>
      <c r="D1129" s="283">
        <f>SUMIF(C$7:C$1102,"Bticino",D$7:D$1102)</f>
        <v>154357</v>
      </c>
      <c r="E1129" s="284">
        <f>SUMIF(C$7:C$1102,"Bticino",X$7:X$1102)</f>
        <v>10804.99</v>
      </c>
      <c r="F1129" s="274">
        <f>SUMIFS(X$7:X$1102,C$7:C$1102,"Bticino",AD$7:AD$1102,"OK")</f>
        <v>0</v>
      </c>
      <c r="G1129" s="275">
        <f>SUMIFS(D$7:D$1102,C$7:C$1102,"bticino",AD$7:AD$1102,"OK")</f>
        <v>0</v>
      </c>
      <c r="H1129" s="279"/>
      <c r="I1129" s="258"/>
      <c r="J1129" s="262"/>
      <c r="K1129" s="262"/>
      <c r="L1129" s="262"/>
      <c r="M1129" s="262"/>
      <c r="N1129" s="262"/>
      <c r="O1129" s="262"/>
      <c r="P1129" s="262"/>
      <c r="Q1129" s="262"/>
      <c r="R1129" s="262"/>
      <c r="S1129" s="262"/>
      <c r="T1129" s="262"/>
      <c r="U1129" s="262"/>
      <c r="V1129" s="262"/>
      <c r="W1129" s="262"/>
      <c r="X1129" s="262"/>
      <c r="Y1129" s="262"/>
      <c r="Z1129" s="262"/>
    </row>
    <row r="1130" spans="1:26" ht="15.75" x14ac:dyDescent="0.25">
      <c r="A1130" s="222" t="s">
        <v>273</v>
      </c>
      <c r="B1130" s="258">
        <f t="shared" si="408"/>
        <v>21</v>
      </c>
      <c r="C1130" s="288" t="s">
        <v>224</v>
      </c>
      <c r="D1130" s="283">
        <f>SUMIF(C7:C1102,"catis",D7:D1102)</f>
        <v>0</v>
      </c>
      <c r="E1130" s="284">
        <f>SUMIF(C7:C1102,"catis",X7:X1102)</f>
        <v>0</v>
      </c>
      <c r="F1130" s="274">
        <f>SUMIFS(X$7:X$1102,C$7:C$1102,"Catis",AD$7:AD$1102,"OK")</f>
        <v>0</v>
      </c>
      <c r="G1130" s="275"/>
      <c r="H1130" s="279"/>
      <c r="I1130" s="258"/>
      <c r="J1130" s="262"/>
      <c r="K1130" s="262"/>
      <c r="L1130" s="262"/>
      <c r="M1130" s="262"/>
      <c r="N1130" s="262"/>
      <c r="O1130" s="262"/>
      <c r="P1130" s="262"/>
      <c r="Q1130" s="262"/>
      <c r="R1130" s="262"/>
      <c r="S1130" s="262"/>
      <c r="T1130" s="262"/>
      <c r="U1130" s="262"/>
      <c r="V1130" s="262"/>
      <c r="W1130" s="262"/>
      <c r="X1130" s="262"/>
      <c r="Y1130" s="262"/>
      <c r="Z1130" s="262"/>
    </row>
    <row r="1131" spans="1:26" ht="15.75" x14ac:dyDescent="0.25">
      <c r="B1131" s="258">
        <f t="shared" si="408"/>
        <v>22</v>
      </c>
      <c r="C1131" s="287" t="s">
        <v>245</v>
      </c>
      <c r="D1131" s="283">
        <f>SUMIF(C7:C1102,"cabur",D7:D1102)</f>
        <v>0</v>
      </c>
      <c r="E1131" s="284">
        <f>SUMIF(C7:C1102,"cabur",X7:X1102)</f>
        <v>0</v>
      </c>
      <c r="F1131" s="274">
        <f>SUMIFS(X$7:X$1102,C$7:C$1102,"Cabur",AD$7:AD$1102,"OK")</f>
        <v>0</v>
      </c>
      <c r="G1131" s="275"/>
      <c r="H1131" s="279"/>
      <c r="I1131" s="258"/>
      <c r="J1131" s="262"/>
      <c r="K1131" s="262"/>
      <c r="L1131" s="262"/>
      <c r="M1131" s="262"/>
      <c r="N1131" s="262"/>
      <c r="O1131" s="262"/>
      <c r="P1131" s="262"/>
      <c r="Q1131" s="262"/>
      <c r="R1131" s="262"/>
      <c r="S1131" s="262"/>
      <c r="T1131" s="262"/>
      <c r="U1131" s="262"/>
      <c r="V1131" s="262"/>
      <c r="W1131" s="262"/>
      <c r="X1131" s="262"/>
      <c r="Y1131" s="262"/>
      <c r="Z1131" s="262"/>
    </row>
    <row r="1132" spans="1:26" ht="15.75" x14ac:dyDescent="0.25">
      <c r="A1132" s="222" t="s">
        <v>391</v>
      </c>
      <c r="B1132" s="258">
        <f t="shared" si="408"/>
        <v>23</v>
      </c>
      <c r="C1132" s="290" t="s">
        <v>329</v>
      </c>
      <c r="D1132" s="283">
        <f>SUMIF(C7:C1102,"carbognin",D7:D1102)</f>
        <v>0</v>
      </c>
      <c r="E1132" s="284">
        <f>SUMIF(C7:C1102,"carbognin",X7:X1102)</f>
        <v>0</v>
      </c>
      <c r="F1132" s="274">
        <f>SUMIFS(X$7:X$1102,C$7:C$1102,"Carbognin",AD$7:AD$1102,"OK")</f>
        <v>0</v>
      </c>
      <c r="G1132" s="275">
        <f>SUMIFS(D$7:D$1102,C$7:C$1102,"carbognin",AD$7:AD$1102,"OK")</f>
        <v>0</v>
      </c>
      <c r="H1132" s="279"/>
      <c r="I1132" s="258"/>
      <c r="J1132" s="262"/>
      <c r="K1132" s="262"/>
      <c r="L1132" s="262"/>
      <c r="M1132" s="262"/>
      <c r="N1132" s="262"/>
      <c r="O1132" s="262"/>
      <c r="P1132" s="262"/>
      <c r="Q1132" s="262"/>
      <c r="R1132" s="262"/>
      <c r="S1132" s="262"/>
      <c r="T1132" s="262"/>
      <c r="U1132" s="262"/>
      <c r="V1132" s="262"/>
      <c r="W1132" s="262"/>
      <c r="X1132" s="262"/>
      <c r="Y1132" s="262"/>
      <c r="Z1132" s="262"/>
    </row>
    <row r="1133" spans="1:26" ht="15.75" x14ac:dyDescent="0.25">
      <c r="A1133" s="222" t="s">
        <v>273</v>
      </c>
      <c r="B1133" s="258">
        <f t="shared" si="408"/>
        <v>24</v>
      </c>
      <c r="C1133" s="288" t="s">
        <v>225</v>
      </c>
      <c r="D1133" s="283">
        <f>SUMIF(C$7:C$1102,"cea 2",D$7:D$1102)</f>
        <v>0</v>
      </c>
      <c r="E1133" s="284">
        <f>SUMIF(C$7:C$1102,"cea 2",X$7:X$1102)</f>
        <v>0</v>
      </c>
      <c r="F1133" s="274">
        <f>SUMIFS(X$7:X$1102,C$7:C$1102,"Cea 2",AD$7:AD$1102,"OK")</f>
        <v>0</v>
      </c>
      <c r="G1133" s="275"/>
      <c r="H1133" s="279"/>
      <c r="I1133" s="258"/>
      <c r="J1133" s="262"/>
      <c r="K1133" s="262"/>
      <c r="L1133" s="262"/>
      <c r="M1133" s="262"/>
      <c r="N1133" s="262"/>
      <c r="O1133" s="262"/>
      <c r="P1133" s="262"/>
      <c r="Q1133" s="262"/>
      <c r="R1133" s="262"/>
      <c r="S1133" s="262"/>
      <c r="T1133" s="262"/>
      <c r="U1133" s="262"/>
      <c r="V1133" s="262"/>
      <c r="W1133" s="262"/>
      <c r="X1133" s="262"/>
      <c r="Y1133" s="262"/>
      <c r="Z1133" s="262"/>
    </row>
    <row r="1134" spans="1:26" ht="15.75" x14ac:dyDescent="0.25">
      <c r="B1134" s="258">
        <f t="shared" si="408"/>
        <v>25</v>
      </c>
      <c r="C1134" s="289" t="s">
        <v>331</v>
      </c>
      <c r="D1134" s="283">
        <f>SUMIF(C$7:C$1102,"cem",D$7:D$1102)</f>
        <v>0</v>
      </c>
      <c r="E1134" s="284">
        <f>SUMIF(C$7:C$1102,"cem",X$7:X$1102)</f>
        <v>0</v>
      </c>
      <c r="F1134" s="274">
        <f>SUMIFS(X$7:X$1102,C$7:C$1102,"Cem",AD$7:AD$1102,"OK")</f>
        <v>0</v>
      </c>
      <c r="G1134" s="275">
        <f>SUMIFS(D$7:D$1102,C$7:C$1102,"cem",AD$7:AD$1102,"OK")</f>
        <v>0</v>
      </c>
      <c r="H1134" s="279"/>
      <c r="I1134" s="258"/>
      <c r="J1134" s="262"/>
      <c r="K1134" s="262"/>
      <c r="L1134" s="262"/>
      <c r="M1134" s="262"/>
      <c r="N1134" s="262"/>
      <c r="O1134" s="262"/>
      <c r="P1134" s="262"/>
      <c r="Q1134" s="262"/>
      <c r="R1134" s="262"/>
      <c r="S1134" s="262"/>
      <c r="T1134" s="262"/>
      <c r="U1134" s="262"/>
      <c r="V1134" s="262"/>
      <c r="W1134" s="262"/>
      <c r="X1134" s="262"/>
      <c r="Y1134" s="262"/>
      <c r="Z1134" s="262"/>
    </row>
    <row r="1135" spans="1:26" ht="15.75" x14ac:dyDescent="0.25">
      <c r="A1135" s="222" t="s">
        <v>273</v>
      </c>
      <c r="B1135" s="258">
        <f t="shared" si="408"/>
        <v>26</v>
      </c>
      <c r="C1135" s="288" t="s">
        <v>226</v>
      </c>
      <c r="D1135" s="283">
        <f>SUMIF(C7:C1102,"chimimetal",D7:D1102)</f>
        <v>0</v>
      </c>
      <c r="E1135" s="284">
        <f>SUMIF(C7:C1102,"chimimetal",X7:X1102)</f>
        <v>0</v>
      </c>
      <c r="F1135" s="274">
        <f>SUMIFS(X$7:X$1102,C$7:C$1102,"Chimimetal",AD$7:AD$1102,"OK")</f>
        <v>0</v>
      </c>
      <c r="G1135" s="275"/>
      <c r="H1135" s="279"/>
      <c r="I1135" s="258"/>
      <c r="J1135" s="262"/>
      <c r="K1135" s="262"/>
      <c r="L1135" s="262"/>
      <c r="M1135" s="262"/>
      <c r="N1135" s="262"/>
      <c r="O1135" s="262"/>
      <c r="P1135" s="262"/>
      <c r="Q1135" s="262"/>
      <c r="R1135" s="262"/>
      <c r="S1135" s="262"/>
      <c r="T1135" s="262"/>
      <c r="U1135" s="262"/>
      <c r="V1135" s="262"/>
      <c r="W1135" s="262"/>
      <c r="X1135" s="262"/>
      <c r="Y1135" s="262"/>
      <c r="Z1135" s="262"/>
    </row>
    <row r="1136" spans="1:26" ht="15.75" x14ac:dyDescent="0.25">
      <c r="B1136" s="258">
        <f t="shared" si="408"/>
        <v>27</v>
      </c>
      <c r="C1136" s="287" t="s">
        <v>114</v>
      </c>
      <c r="D1136" s="283">
        <f>SUMIF(C7:C1102,"colombo",D7:D1102)</f>
        <v>3018</v>
      </c>
      <c r="E1136" s="284">
        <f>SUMIF(C7:C1102,"colombo",X7:X1102)</f>
        <v>211.26000000000002</v>
      </c>
      <c r="F1136" s="274">
        <f>SUMIFS(X$7:X$1102,C$7:C$1102,"Colombo",AD$7:AD$1102,"OK")</f>
        <v>0</v>
      </c>
      <c r="G1136" s="275">
        <f>SUMIFS(D$7:D$1102,C$7:C$1102,"Colombo",AD$7:AD$1102,"OK")</f>
        <v>0</v>
      </c>
      <c r="H1136" s="279"/>
      <c r="I1136" s="258"/>
      <c r="J1136" s="262"/>
      <c r="K1136" s="262"/>
      <c r="L1136" s="262"/>
      <c r="M1136" s="262"/>
      <c r="N1136" s="262"/>
      <c r="O1136" s="262"/>
      <c r="P1136" s="262"/>
      <c r="Q1136" s="262"/>
      <c r="R1136" s="262"/>
      <c r="S1136" s="262"/>
      <c r="T1136" s="262"/>
      <c r="U1136" s="262"/>
      <c r="V1136" s="262"/>
      <c r="W1136" s="262"/>
      <c r="X1136" s="262"/>
      <c r="Y1136" s="262"/>
      <c r="Z1136" s="262"/>
    </row>
    <row r="1137" spans="1:26" ht="15.75" x14ac:dyDescent="0.25">
      <c r="B1137" s="258">
        <f t="shared" si="408"/>
        <v>28</v>
      </c>
      <c r="C1137" s="287" t="s">
        <v>227</v>
      </c>
      <c r="D1137" s="283">
        <f>SUMIF(C7:C1102,"cta",D7:D1102)</f>
        <v>0</v>
      </c>
      <c r="E1137" s="284">
        <f>SUMIF(C7:C1102,"CTA",X7:X1102)</f>
        <v>0</v>
      </c>
      <c r="F1137" s="274">
        <f>SUMIFS(X$7:X$1102,C$7:C$1102,"Cta",AD$7:AD$1102,"OK")</f>
        <v>0</v>
      </c>
      <c r="G1137" s="275"/>
      <c r="H1137" s="279"/>
      <c r="I1137" s="258"/>
      <c r="J1137" s="262"/>
      <c r="K1137" s="262"/>
      <c r="L1137" s="262"/>
      <c r="M1137" s="262"/>
      <c r="N1137" s="262"/>
      <c r="O1137" s="262"/>
      <c r="P1137" s="262"/>
      <c r="Q1137" s="262"/>
      <c r="R1137" s="262"/>
      <c r="S1137" s="262"/>
      <c r="T1137" s="262"/>
      <c r="U1137" s="262"/>
      <c r="V1137" s="262"/>
      <c r="W1137" s="262"/>
      <c r="X1137" s="262"/>
      <c r="Y1137" s="262"/>
      <c r="Z1137" s="262"/>
    </row>
    <row r="1138" spans="1:26" ht="15.75" x14ac:dyDescent="0.25">
      <c r="B1138" s="258">
        <f t="shared" si="408"/>
        <v>29</v>
      </c>
      <c r="C1138" s="287" t="s">
        <v>228</v>
      </c>
      <c r="D1138" s="283">
        <f>SUMIF(C$7:C$1102,"CTS",D$7:D$1102)</f>
        <v>561</v>
      </c>
      <c r="E1138" s="284">
        <f>SUMIF(C$7:C$1102,"CTS",X$7:X$1102)</f>
        <v>168.3</v>
      </c>
      <c r="F1138" s="274">
        <f>SUMIFS(X$7:X$1102,C$7:C$1102,"Cts",AD$7:AD$1102,"OK")</f>
        <v>0</v>
      </c>
      <c r="G1138" s="275">
        <f>SUMIFS(D$7:D$1102,C$7:C$1102,"Cts",AD$7:AD$1102,"OK")</f>
        <v>0</v>
      </c>
      <c r="H1138" s="279"/>
      <c r="I1138" s="258"/>
      <c r="J1138" s="262"/>
      <c r="K1138" s="262"/>
      <c r="L1138" s="262"/>
      <c r="M1138" s="262"/>
      <c r="N1138" s="262"/>
      <c r="O1138" s="262"/>
      <c r="P1138" s="262"/>
      <c r="Q1138" s="262"/>
      <c r="R1138" s="262"/>
      <c r="S1138" s="262"/>
      <c r="T1138" s="262"/>
      <c r="U1138" s="262"/>
      <c r="V1138" s="262"/>
      <c r="W1138" s="262"/>
      <c r="X1138" s="262"/>
      <c r="Y1138" s="262"/>
      <c r="Z1138" s="262"/>
    </row>
    <row r="1139" spans="1:26" ht="15.75" x14ac:dyDescent="0.25">
      <c r="B1139" s="258">
        <f t="shared" si="408"/>
        <v>30</v>
      </c>
      <c r="C1139" s="287" t="s">
        <v>390</v>
      </c>
      <c r="D1139" s="283">
        <f>SUMIF(C$7:C$1102,"derbio",D$7:D$1102)</f>
        <v>0</v>
      </c>
      <c r="E1139" s="284">
        <f>SUMIF(C$7:C$1102,"derbio",X$7:X$1102)</f>
        <v>0</v>
      </c>
      <c r="F1139" s="274">
        <f>SUMIFS(X$7:X$1102,C$7:C$1102,"derbio",AD$7:AD$1102,"OK")</f>
        <v>0</v>
      </c>
      <c r="G1139" s="275">
        <f>SUMIFS(D$7:D$1102,C$7:C$1102,"derbio",AD$7:AD$1102,"OK")</f>
        <v>0</v>
      </c>
      <c r="H1139" s="279"/>
      <c r="I1139" s="258"/>
      <c r="J1139" s="262"/>
      <c r="K1139" s="262"/>
      <c r="L1139" s="262"/>
      <c r="M1139" s="262"/>
      <c r="N1139" s="262"/>
      <c r="O1139" s="262"/>
      <c r="P1139" s="262"/>
      <c r="Q1139" s="262"/>
      <c r="R1139" s="262"/>
      <c r="S1139" s="262"/>
      <c r="T1139" s="262"/>
      <c r="U1139" s="262"/>
      <c r="V1139" s="262"/>
      <c r="W1139" s="262"/>
      <c r="X1139" s="262"/>
      <c r="Y1139" s="262"/>
      <c r="Z1139" s="262"/>
    </row>
    <row r="1140" spans="1:26" ht="15.75" x14ac:dyDescent="0.25">
      <c r="B1140" s="258">
        <f t="shared" si="408"/>
        <v>31</v>
      </c>
      <c r="C1140" s="287" t="s">
        <v>237</v>
      </c>
      <c r="D1140" s="283">
        <f>SUMIF(C7:C1102,"duesse",D7:D1102)</f>
        <v>0</v>
      </c>
      <c r="E1140" s="284">
        <f>SUMIF(C7:C1102,"duesse",X7:X1102)</f>
        <v>0</v>
      </c>
      <c r="F1140" s="274">
        <f>SUMIFS(X$7:X$1102,C$7:C$1102,"Duesse",AD$7:AD$1102,"OK")</f>
        <v>0</v>
      </c>
      <c r="G1140" s="275"/>
      <c r="H1140" s="279"/>
      <c r="I1140" s="258"/>
      <c r="J1140" s="262"/>
      <c r="K1140" s="262"/>
      <c r="L1140" s="262"/>
      <c r="M1140" s="262"/>
      <c r="N1140" s="262"/>
      <c r="O1140" s="262"/>
      <c r="P1140" s="262"/>
      <c r="Q1140" s="262"/>
      <c r="R1140" s="262"/>
      <c r="S1140" s="262"/>
      <c r="T1140" s="262"/>
      <c r="U1140" s="262"/>
      <c r="V1140" s="262"/>
      <c r="W1140" s="262"/>
      <c r="X1140" s="262"/>
      <c r="Y1140" s="262"/>
      <c r="Z1140" s="262"/>
    </row>
    <row r="1141" spans="1:26" ht="15.75" x14ac:dyDescent="0.25">
      <c r="A1141" s="222" t="s">
        <v>273</v>
      </c>
      <c r="B1141" s="258">
        <f t="shared" si="408"/>
        <v>32</v>
      </c>
      <c r="C1141" s="288" t="s">
        <v>256</v>
      </c>
      <c r="D1141" s="283">
        <f>SUMIF(C7:C1102,"ea",D7:D1102)</f>
        <v>0</v>
      </c>
      <c r="E1141" s="284">
        <f>SUMIF(C7:C1102,"ea",X7:X1102)</f>
        <v>0</v>
      </c>
      <c r="F1141" s="274">
        <f>SUMIFS(X$7:X$1102,C$7:C$1102,"Ea",AD$7:AD$1102,"OK")</f>
        <v>0</v>
      </c>
      <c r="G1141" s="275"/>
      <c r="H1141" s="279"/>
      <c r="I1141" s="258"/>
      <c r="J1141" s="262"/>
      <c r="K1141" s="262"/>
      <c r="L1141" s="262"/>
      <c r="M1141" s="262"/>
      <c r="N1141" s="262"/>
      <c r="O1141" s="262"/>
      <c r="P1141" s="262"/>
      <c r="Q1141" s="262"/>
      <c r="R1141" s="262"/>
      <c r="S1141" s="262"/>
      <c r="T1141" s="262"/>
      <c r="U1141" s="262"/>
      <c r="V1141" s="262"/>
      <c r="W1141" s="262"/>
      <c r="X1141" s="262"/>
      <c r="Y1141" s="262"/>
      <c r="Z1141" s="262"/>
    </row>
    <row r="1142" spans="1:26" ht="15.75" x14ac:dyDescent="0.25">
      <c r="B1142" s="258">
        <f t="shared" si="408"/>
        <v>33</v>
      </c>
      <c r="C1142" s="287" t="s">
        <v>219</v>
      </c>
      <c r="D1142" s="283">
        <f>SUMIF(C7:C1102,"ebg",D7:D1102)</f>
        <v>6255</v>
      </c>
      <c r="E1142" s="284">
        <f>SUMIF(C7:C1102,"ebg",X7:X1102)</f>
        <v>512.75</v>
      </c>
      <c r="F1142" s="274">
        <f>SUMIFS(X$7:X$1102,C$7:C$1102,"Ebg",AD$7:AD$1102,"OK")</f>
        <v>0</v>
      </c>
      <c r="G1142" s="275"/>
      <c r="H1142" s="279"/>
      <c r="I1142" s="258"/>
      <c r="J1142" s="262"/>
      <c r="K1142" s="262"/>
      <c r="L1142" s="262"/>
      <c r="M1142" s="262"/>
      <c r="N1142" s="262"/>
      <c r="O1142" s="262"/>
      <c r="P1142" s="262"/>
      <c r="Q1142" s="262"/>
      <c r="R1142" s="262"/>
      <c r="S1142" s="262"/>
      <c r="T1142" s="262"/>
      <c r="U1142" s="262"/>
      <c r="V1142" s="262"/>
      <c r="W1142" s="262"/>
      <c r="X1142" s="262"/>
      <c r="Y1142" s="262"/>
      <c r="Z1142" s="262"/>
    </row>
    <row r="1143" spans="1:26" ht="15.75" x14ac:dyDescent="0.25">
      <c r="B1143" s="258">
        <f t="shared" si="408"/>
        <v>34</v>
      </c>
      <c r="C1143" s="287" t="s">
        <v>330</v>
      </c>
      <c r="D1143" s="283">
        <f>SUMIF(C7:C1102,"efacec",D7:D1102)</f>
        <v>37981</v>
      </c>
      <c r="E1143" s="284">
        <f>SUMIF(C7:C1102,"efacec",X7:X1102)</f>
        <v>2658.67</v>
      </c>
      <c r="F1143" s="274">
        <f>SUMIFS(X$7:X$1102,C$7:C$1102,"Efacec",AD$7:AD$1102,"OK")</f>
        <v>0</v>
      </c>
      <c r="G1143" s="275">
        <f>SUMIFS(D$7:D$1102,C$7:C$1102,"efacec",AD$7:AD$1102,"OK")</f>
        <v>0</v>
      </c>
      <c r="H1143" s="279"/>
      <c r="I1143" s="258"/>
      <c r="J1143" s="262"/>
      <c r="K1143" s="262"/>
      <c r="L1143" s="262"/>
      <c r="M1143" s="262"/>
      <c r="N1143" s="262"/>
      <c r="O1143" s="262"/>
      <c r="P1143" s="262"/>
      <c r="Q1143" s="262"/>
      <c r="R1143" s="262"/>
      <c r="S1143" s="262"/>
      <c r="T1143" s="262"/>
      <c r="U1143" s="262"/>
      <c r="V1143" s="262"/>
      <c r="W1143" s="262"/>
      <c r="X1143" s="262"/>
      <c r="Y1143" s="262"/>
      <c r="Z1143" s="262"/>
    </row>
    <row r="1144" spans="1:26" ht="15.75" x14ac:dyDescent="0.25">
      <c r="B1144" s="258">
        <f t="shared" si="408"/>
        <v>35</v>
      </c>
      <c r="C1144" s="287" t="s">
        <v>235</v>
      </c>
      <c r="D1144" s="283">
        <f>SUMIF(C7:C1102,"eht",D7:D1102)</f>
        <v>0</v>
      </c>
      <c r="E1144" s="284">
        <f>SUMIF(C7:C1102,"eht",X7:X1102)</f>
        <v>0</v>
      </c>
      <c r="F1144" s="274">
        <f>SUMIFS(X$7:X$1102,C$7:C$1102,"Eht",AD$7:AD$1102,"OK")</f>
        <v>0</v>
      </c>
      <c r="G1144" s="275"/>
      <c r="H1144" s="279"/>
      <c r="I1144" s="258"/>
      <c r="J1144" s="262"/>
      <c r="K1144" s="262"/>
      <c r="L1144" s="262"/>
      <c r="M1144" s="262"/>
      <c r="N1144" s="262"/>
      <c r="O1144" s="262"/>
      <c r="P1144" s="262"/>
      <c r="Q1144" s="262"/>
      <c r="R1144" s="262"/>
      <c r="S1144" s="262"/>
      <c r="T1144" s="262"/>
      <c r="U1144" s="262"/>
      <c r="V1144" s="262"/>
      <c r="W1144" s="262"/>
      <c r="X1144" s="262"/>
      <c r="Y1144" s="262"/>
      <c r="Z1144" s="262"/>
    </row>
    <row r="1145" spans="1:26" ht="15.75" x14ac:dyDescent="0.25">
      <c r="A1145" s="222" t="s">
        <v>273</v>
      </c>
      <c r="B1145" s="258">
        <f t="shared" si="408"/>
        <v>36</v>
      </c>
      <c r="C1145" s="291" t="s">
        <v>229</v>
      </c>
      <c r="D1145" s="283">
        <f>SUMIF(C7:C1102,"ELAST",D7:D1102)</f>
        <v>0</v>
      </c>
      <c r="E1145" s="284">
        <f>SUMIF(C7:C1102,"elast",X7:X1102)</f>
        <v>0</v>
      </c>
      <c r="F1145" s="274">
        <f>SUMIFS(X$7:X$1102,C$7:C$1102,"Elast",AD$7:AD$1102,"OK")</f>
        <v>0</v>
      </c>
      <c r="G1145" s="275"/>
      <c r="H1145" s="279"/>
      <c r="I1145" s="258"/>
      <c r="J1145" s="262"/>
      <c r="K1145" s="262"/>
      <c r="L1145" s="262"/>
      <c r="M1145" s="262"/>
      <c r="N1145" s="262"/>
      <c r="O1145" s="262"/>
      <c r="P1145" s="262"/>
      <c r="Q1145" s="262"/>
      <c r="R1145" s="262"/>
      <c r="S1145" s="262"/>
      <c r="T1145" s="262"/>
      <c r="U1145" s="262"/>
      <c r="V1145" s="262"/>
      <c r="W1145" s="262"/>
      <c r="X1145" s="262"/>
      <c r="Y1145" s="262"/>
      <c r="Z1145" s="262"/>
    </row>
    <row r="1146" spans="1:26" ht="15.75" x14ac:dyDescent="0.25">
      <c r="B1146" s="258">
        <f t="shared" si="408"/>
        <v>37</v>
      </c>
      <c r="C1146" s="287" t="s">
        <v>111</v>
      </c>
      <c r="D1146" s="283">
        <f>SUMIF(C7:C1102,"elca",D7:D1102)</f>
        <v>0</v>
      </c>
      <c r="E1146" s="284">
        <f>SUMIF(C7:C1102,"elca",X7:X1102)</f>
        <v>0</v>
      </c>
      <c r="F1146" s="274">
        <f>SUMIFS(X$7:X$1102,C$7:C$1102,"Elca",AD$7:AD$1102,"OK")</f>
        <v>0</v>
      </c>
      <c r="G1146" s="275">
        <f>SUMIFS(D$7:D$1102,C$7:C$1102,"Elca",AD$7:AD$1102,"OK")</f>
        <v>0</v>
      </c>
      <c r="H1146" s="279"/>
      <c r="I1146" s="258"/>
      <c r="J1146" s="262"/>
      <c r="K1146" s="262"/>
      <c r="L1146" s="262"/>
      <c r="M1146" s="262"/>
      <c r="N1146" s="262"/>
      <c r="O1146" s="262"/>
      <c r="P1146" s="262"/>
      <c r="Q1146" s="262"/>
      <c r="R1146" s="262"/>
      <c r="S1146" s="262"/>
      <c r="T1146" s="262"/>
      <c r="U1146" s="262"/>
      <c r="V1146" s="262"/>
      <c r="W1146" s="262"/>
      <c r="X1146" s="262"/>
      <c r="Y1146" s="262"/>
      <c r="Z1146" s="262"/>
    </row>
    <row r="1147" spans="1:26" ht="15.75" x14ac:dyDescent="0.25">
      <c r="B1147" s="258">
        <f t="shared" si="408"/>
        <v>38</v>
      </c>
      <c r="C1147" s="287" t="s">
        <v>365</v>
      </c>
      <c r="D1147" s="283">
        <f>SUMIF(C$7:C$1102,"Elesa",D$7:D$1102)</f>
        <v>0</v>
      </c>
      <c r="E1147" s="284">
        <f>SUMIF(C$7:C$1102,"elesa",X$7:X$1102)</f>
        <v>0</v>
      </c>
      <c r="F1147" s="274">
        <f>SUMIFS(X$7:X$1102,C$7:C$1102,"elesa",AD$7:AD$1102,"OK")</f>
        <v>0</v>
      </c>
      <c r="G1147" s="275">
        <f>SUMIFS(D$7:D$1102,C$7:C$1102,"elesa",AD$7:AD$1102,"OK")</f>
        <v>0</v>
      </c>
      <c r="H1147" s="279"/>
      <c r="I1147" s="258"/>
      <c r="J1147" s="262"/>
      <c r="K1147" s="262"/>
      <c r="L1147" s="262"/>
      <c r="M1147" s="262"/>
      <c r="N1147" s="262"/>
      <c r="O1147" s="262"/>
      <c r="P1147" s="262"/>
      <c r="Q1147" s="262"/>
      <c r="R1147" s="262"/>
      <c r="S1147" s="262"/>
      <c r="T1147" s="262"/>
      <c r="U1147" s="262"/>
      <c r="V1147" s="262"/>
      <c r="W1147" s="262"/>
      <c r="X1147" s="262"/>
      <c r="Y1147" s="262"/>
      <c r="Z1147" s="262"/>
    </row>
    <row r="1148" spans="1:26" ht="15.75" x14ac:dyDescent="0.25">
      <c r="B1148" s="258">
        <f t="shared" si="408"/>
        <v>39</v>
      </c>
      <c r="C1148" s="287" t="s">
        <v>230</v>
      </c>
      <c r="D1148" s="283">
        <f>SUMIF(C7:C1102,"elektra",D7:D1102)</f>
        <v>0</v>
      </c>
      <c r="E1148" s="284">
        <f>SUMIF(C7:C1102,"elektra",X7:X1102)</f>
        <v>0</v>
      </c>
      <c r="F1148" s="274">
        <f>SUMIFS(X$7:X$1102,C$7:C$1102,"Elektra",AD$7:AD$1102,"OK")</f>
        <v>0</v>
      </c>
      <c r="G1148" s="275">
        <f>SUMIFS(D$7:D$1102,C$7:C$1102,"Elektra",AD$7:AD$1102,"OK")</f>
        <v>0</v>
      </c>
      <c r="H1148" s="279"/>
      <c r="I1148" s="258"/>
      <c r="J1148" s="262"/>
      <c r="K1148" s="262"/>
      <c r="L1148" s="262"/>
      <c r="M1148" s="262"/>
      <c r="N1148" s="262"/>
      <c r="O1148" s="262"/>
      <c r="P1148" s="262"/>
      <c r="Q1148" s="262"/>
      <c r="R1148" s="262"/>
      <c r="S1148" s="262"/>
      <c r="T1148" s="262"/>
      <c r="U1148" s="262"/>
      <c r="V1148" s="262"/>
      <c r="W1148" s="262"/>
      <c r="X1148" s="262"/>
      <c r="Y1148" s="262"/>
      <c r="Z1148" s="262"/>
    </row>
    <row r="1149" spans="1:26" ht="15.75" x14ac:dyDescent="0.25">
      <c r="B1149" s="258">
        <f t="shared" si="408"/>
        <v>40</v>
      </c>
      <c r="C1149" s="287" t="s">
        <v>106</v>
      </c>
      <c r="D1149" s="283">
        <f>SUMIF(C7:C1102,"eletrafo",D7:D1102)</f>
        <v>0</v>
      </c>
      <c r="E1149" s="284">
        <f>SUMIF(C7:C1102,"eletrafo",X7:X1102)</f>
        <v>0</v>
      </c>
      <c r="F1149" s="274">
        <f>SUMIFS(X$7:X$1102,C$7:C$1102,"Eletrafo",AD$7:AD$1102,"OK")</f>
        <v>0</v>
      </c>
      <c r="G1149" s="275">
        <f>SUMIFS(D$7:D$1102,C$7:C$1102,"Eletrafo",AD$7:AD$1102,"OK")</f>
        <v>0</v>
      </c>
      <c r="H1149" s="279"/>
      <c r="I1149" s="258"/>
      <c r="J1149" s="262"/>
      <c r="K1149" s="262"/>
      <c r="L1149" s="262"/>
      <c r="M1149" s="262"/>
      <c r="N1149" s="262"/>
      <c r="O1149" s="262"/>
      <c r="P1149" s="262"/>
      <c r="Q1149" s="262"/>
      <c r="R1149" s="262"/>
      <c r="S1149" s="262"/>
      <c r="T1149" s="262"/>
      <c r="U1149" s="262"/>
      <c r="V1149" s="262"/>
      <c r="W1149" s="262"/>
      <c r="X1149" s="262"/>
      <c r="Y1149" s="262"/>
      <c r="Z1149" s="262"/>
    </row>
    <row r="1150" spans="1:26" ht="15.75" x14ac:dyDescent="0.25">
      <c r="B1150" s="258">
        <f t="shared" si="408"/>
        <v>41</v>
      </c>
      <c r="C1150" s="287" t="s">
        <v>199</v>
      </c>
      <c r="D1150" s="283">
        <f>SUMIF(C7:C1102,"elettromil",D7:D1102)</f>
        <v>1000</v>
      </c>
      <c r="E1150" s="284">
        <f>SUMIF(C7:C1102,"elettromil",X7:X1102)</f>
        <v>70</v>
      </c>
      <c r="F1150" s="274">
        <f>SUMIFS(X$7:X$1102,C$7:C$1102,"Elettromil",AD$7:AD$1102,"OK")</f>
        <v>0</v>
      </c>
      <c r="G1150" s="275">
        <f>SUMIFS(D$7:D$1102,C$7:C$1102,"ELETTROMIL",AD$7:AD$1102,"OK")</f>
        <v>0</v>
      </c>
      <c r="H1150" s="279"/>
      <c r="I1150" s="258"/>
      <c r="J1150" s="262"/>
      <c r="K1150" s="262"/>
      <c r="L1150" s="262"/>
      <c r="M1150" s="262"/>
      <c r="N1150" s="262"/>
      <c r="O1150" s="262"/>
      <c r="P1150" s="262"/>
      <c r="Q1150" s="262"/>
      <c r="R1150" s="262"/>
      <c r="S1150" s="262"/>
      <c r="T1150" s="262"/>
      <c r="U1150" s="262"/>
      <c r="V1150" s="262"/>
      <c r="W1150" s="262"/>
      <c r="X1150" s="262"/>
      <c r="Y1150" s="262"/>
      <c r="Z1150" s="262"/>
    </row>
    <row r="1151" spans="1:26" ht="15.75" x14ac:dyDescent="0.25">
      <c r="A1151" s="222" t="s">
        <v>273</v>
      </c>
      <c r="B1151" s="258">
        <f t="shared" si="408"/>
        <v>42</v>
      </c>
      <c r="C1151" s="288" t="s">
        <v>91</v>
      </c>
      <c r="D1151" s="283">
        <f>SUMIF(C7:C1102,"elettroplastica",D7:D1102)</f>
        <v>0</v>
      </c>
      <c r="E1151" s="284">
        <f>SUMIF(C7:C1102,"elettropalstica",X7:X1102)</f>
        <v>0</v>
      </c>
      <c r="F1151" s="274">
        <f>SUMIFS(X$7:X$1102,C$7:C$1102,"Elettroplastica",AD$7:AD$1102,"OK")</f>
        <v>0</v>
      </c>
      <c r="G1151" s="275"/>
      <c r="H1151" s="279"/>
      <c r="I1151" s="258"/>
      <c r="J1151" s="262"/>
      <c r="K1151" s="262"/>
      <c r="L1151" s="262"/>
      <c r="M1151" s="262"/>
      <c r="N1151" s="262"/>
      <c r="O1151" s="262"/>
      <c r="P1151" s="262"/>
      <c r="Q1151" s="262"/>
      <c r="R1151" s="262"/>
      <c r="S1151" s="262"/>
      <c r="T1151" s="262"/>
      <c r="U1151" s="262"/>
      <c r="V1151" s="262"/>
      <c r="W1151" s="262"/>
      <c r="X1151" s="262"/>
      <c r="Y1151" s="262"/>
      <c r="Z1151" s="262"/>
    </row>
    <row r="1152" spans="1:26" ht="15.75" x14ac:dyDescent="0.25">
      <c r="A1152" s="222" t="s">
        <v>273</v>
      </c>
      <c r="B1152" s="258">
        <f t="shared" si="408"/>
        <v>43</v>
      </c>
      <c r="C1152" s="290" t="s">
        <v>295</v>
      </c>
      <c r="D1152" s="283">
        <f>SUMIF(C7:C1102,"elhand",D7:D1102)</f>
        <v>0</v>
      </c>
      <c r="E1152" s="284">
        <f>SUMIF(C7:C1102,"elhand",X7:X1102)</f>
        <v>0</v>
      </c>
      <c r="F1152" s="274">
        <f>SUMIFS(X$7:X$1102,C$7:C$1102,"elhand",AD$7:AD$1102,"OK")</f>
        <v>0</v>
      </c>
      <c r="G1152" s="275">
        <f>SUMIFS(D$7:D$1102,C$7:C$1102,"elhand",AD$7:AD$1102,"OK")</f>
        <v>0</v>
      </c>
      <c r="H1152" s="279"/>
      <c r="I1152" s="258"/>
      <c r="J1152" s="262"/>
      <c r="K1152" s="262"/>
      <c r="L1152" s="262"/>
      <c r="M1152" s="262"/>
      <c r="N1152" s="262"/>
      <c r="O1152" s="262"/>
      <c r="P1152" s="262"/>
      <c r="Q1152" s="262"/>
      <c r="R1152" s="262"/>
      <c r="S1152" s="262"/>
      <c r="T1152" s="262"/>
      <c r="U1152" s="262"/>
      <c r="V1152" s="262"/>
      <c r="W1152" s="262"/>
      <c r="X1152" s="262"/>
      <c r="Y1152" s="262"/>
      <c r="Z1152" s="262"/>
    </row>
    <row r="1153" spans="1:26" ht="15.75" x14ac:dyDescent="0.25">
      <c r="B1153" s="258">
        <f t="shared" si="408"/>
        <v>44</v>
      </c>
      <c r="C1153" s="287" t="s">
        <v>440</v>
      </c>
      <c r="D1153" s="283">
        <f>SUMIF(C7:C1102,"elpi cast",D7:D1102)</f>
        <v>53213</v>
      </c>
      <c r="E1153" s="284">
        <f>SUMIF(C7:C1102,"elpi cast",X7:X1102)</f>
        <v>1806.9100000000003</v>
      </c>
      <c r="F1153" s="274">
        <f>SUMIFS(X$7:X$1102,C$7:C$1102,"Elpicast",AD$7:AD$1102,"OK")</f>
        <v>0</v>
      </c>
      <c r="G1153" s="275">
        <f>SUMIFS(D$7:D$1102,C$7:C$1102,"elpi cast",AD$7:AD$1102,"OK")</f>
        <v>0</v>
      </c>
      <c r="H1153" s="279"/>
      <c r="I1153" s="258"/>
      <c r="J1153" s="262"/>
      <c r="K1153" s="262"/>
      <c r="L1153" s="262"/>
      <c r="M1153" s="262"/>
      <c r="N1153" s="262"/>
      <c r="O1153" s="262"/>
      <c r="P1153" s="262"/>
      <c r="Q1153" s="262"/>
      <c r="R1153" s="262"/>
      <c r="S1153" s="262"/>
      <c r="T1153" s="262"/>
      <c r="U1153" s="262"/>
      <c r="V1153" s="262"/>
      <c r="W1153" s="262"/>
      <c r="X1153" s="262"/>
      <c r="Y1153" s="262"/>
      <c r="Z1153" s="262"/>
    </row>
    <row r="1154" spans="1:26" ht="15.75" x14ac:dyDescent="0.25">
      <c r="B1154" s="258">
        <f t="shared" si="408"/>
        <v>45</v>
      </c>
      <c r="C1154" s="287" t="s">
        <v>97</v>
      </c>
      <c r="D1154" s="283">
        <f>SUMIF(C7:C1102,"emg",D7:D1102)</f>
        <v>2276</v>
      </c>
      <c r="E1154" s="284">
        <f>SUMIF(C7:C1102,"emg",X7:X1102)</f>
        <v>281.39999999999998</v>
      </c>
      <c r="F1154" s="274">
        <f>SUMIFS(X$7:X$1102,C$7:C$1102,"Emg",AD$7:AD$1102,"OK")</f>
        <v>0</v>
      </c>
      <c r="G1154" s="275">
        <f>SUMIFS(D$7:D$1102,C$7:C$1102,"emg",AD$7:AD$1102,"OK")</f>
        <v>0</v>
      </c>
      <c r="H1154" s="279"/>
      <c r="I1154" s="258"/>
      <c r="J1154" s="262"/>
      <c r="K1154" s="262"/>
      <c r="L1154" s="262"/>
      <c r="M1154" s="262"/>
      <c r="N1154" s="262"/>
      <c r="O1154" s="262"/>
      <c r="P1154" s="262"/>
      <c r="Q1154" s="262"/>
      <c r="R1154" s="262"/>
      <c r="S1154" s="262"/>
      <c r="T1154" s="262"/>
      <c r="U1154" s="262"/>
      <c r="V1154" s="262"/>
      <c r="W1154" s="262"/>
      <c r="X1154" s="262"/>
      <c r="Y1154" s="262"/>
      <c r="Z1154" s="262"/>
    </row>
    <row r="1155" spans="1:26" ht="15.75" x14ac:dyDescent="0.25">
      <c r="B1155" s="258"/>
      <c r="C1155" s="287" t="s">
        <v>436</v>
      </c>
      <c r="D1155" s="283">
        <f>SUMIF(C7:C1103,"eservice",D7:D1103)</f>
        <v>0</v>
      </c>
      <c r="E1155" s="284">
        <f>SUMIF(C7:C1103,"eservice",X7:X1103)</f>
        <v>0</v>
      </c>
      <c r="F1155" s="274">
        <f>SUMIFS(X$7:X$1102,C$7:C$1102,"eservice",AD$7:AD$1102,"OK")</f>
        <v>0</v>
      </c>
      <c r="G1155" s="275">
        <f>SUMIFS(D$7:D$1102,C$7:C$1102,"eservice",AD$7:AD$1102,"OK")</f>
        <v>0</v>
      </c>
      <c r="H1155" s="279"/>
      <c r="I1155" s="258"/>
      <c r="J1155" s="262"/>
      <c r="K1155" s="262"/>
      <c r="L1155" s="262"/>
      <c r="M1155" s="262"/>
      <c r="N1155" s="262"/>
      <c r="O1155" s="262"/>
      <c r="P1155" s="262"/>
      <c r="Q1155" s="262"/>
      <c r="R1155" s="262"/>
      <c r="S1155" s="262"/>
      <c r="T1155" s="262"/>
      <c r="U1155" s="262"/>
      <c r="V1155" s="262"/>
      <c r="W1155" s="262"/>
      <c r="X1155" s="262"/>
      <c r="Y1155" s="262"/>
      <c r="Z1155" s="262"/>
    </row>
    <row r="1156" spans="1:26" ht="15.75" x14ac:dyDescent="0.25">
      <c r="B1156" s="258">
        <f>+B1154+1</f>
        <v>46</v>
      </c>
      <c r="C1156" s="287" t="s">
        <v>258</v>
      </c>
      <c r="D1156" s="283">
        <f>SUMIF(C7:C1102,"espa",D7:D1102)</f>
        <v>0</v>
      </c>
      <c r="E1156" s="284">
        <f>SUMIF(C7:C1102,"espa",X7:X1102)</f>
        <v>0</v>
      </c>
      <c r="F1156" s="274">
        <f>SUMIFS(X$7:X$1102,C$7:C$1102,"Espa",AD$7:AD$1102,"OK")</f>
        <v>0</v>
      </c>
      <c r="G1156" s="275">
        <f>SUMIFS(D$7:D$1102,C$7:C$1102,"ESPA",AD$7:AD$1102,"OK")</f>
        <v>0</v>
      </c>
      <c r="H1156" s="279"/>
      <c r="I1156" s="258"/>
      <c r="J1156" s="262"/>
      <c r="K1156" s="262"/>
      <c r="L1156" s="262"/>
      <c r="M1156" s="262"/>
      <c r="N1156" s="262"/>
      <c r="O1156" s="262"/>
      <c r="P1156" s="262"/>
      <c r="Q1156" s="262"/>
      <c r="R1156" s="262"/>
      <c r="S1156" s="262"/>
      <c r="T1156" s="262"/>
      <c r="U1156" s="262"/>
      <c r="V1156" s="262"/>
      <c r="W1156" s="262"/>
      <c r="X1156" s="262"/>
      <c r="Y1156" s="262"/>
      <c r="Z1156" s="262"/>
    </row>
    <row r="1157" spans="1:26" ht="15.75" x14ac:dyDescent="0.25">
      <c r="B1157" s="258">
        <f t="shared" si="408"/>
        <v>47</v>
      </c>
      <c r="C1157" s="287" t="s">
        <v>373</v>
      </c>
      <c r="D1157" s="283">
        <f>SUMIF(C$7:C$1102,"fabero",D$7:D$1102)</f>
        <v>0</v>
      </c>
      <c r="E1157" s="284">
        <f>SUMIF(C$7:C$1102,"fabero",X$7:X$1102)</f>
        <v>0</v>
      </c>
      <c r="F1157" s="274">
        <f>SUMIFS(X$7:X$1102,C$7:C$1102,"Fabero",AD$7:AD$1102,"OK")</f>
        <v>0</v>
      </c>
      <c r="G1157" s="275">
        <f>SUMIFS(D$7:D$1102,C$7:C$1102,"fabero",AD$7:AD$1102,"OK")</f>
        <v>0</v>
      </c>
      <c r="H1157" s="279"/>
      <c r="I1157" s="258"/>
      <c r="J1157" s="262"/>
      <c r="K1157" s="262"/>
      <c r="L1157" s="262"/>
      <c r="M1157" s="262"/>
      <c r="N1157" s="262"/>
      <c r="O1157" s="262"/>
      <c r="P1157" s="262"/>
      <c r="Q1157" s="262"/>
      <c r="R1157" s="262"/>
      <c r="S1157" s="262"/>
      <c r="T1157" s="262"/>
      <c r="U1157" s="262"/>
      <c r="V1157" s="262"/>
      <c r="W1157" s="262"/>
      <c r="X1157" s="262"/>
      <c r="Y1157" s="262"/>
      <c r="Z1157" s="262"/>
    </row>
    <row r="1158" spans="1:26" ht="15.75" x14ac:dyDescent="0.25">
      <c r="B1158" s="258">
        <f t="shared" si="408"/>
        <v>48</v>
      </c>
      <c r="C1158" s="287" t="s">
        <v>242</v>
      </c>
      <c r="D1158" s="283">
        <f>SUMIF(C$7:C$1102,"fashion",D$7:D$1102)</f>
        <v>0</v>
      </c>
      <c r="E1158" s="284">
        <f>SUMIF(C$7:C$1102,"fashion",X$7:X$1102)</f>
        <v>0</v>
      </c>
      <c r="F1158" s="274">
        <f>SUMIFS(X$7:X$1102,C$7:C$1102,"Fashion",AD$7:AD$1102,"OK")</f>
        <v>0</v>
      </c>
      <c r="G1158" s="275">
        <f>SUMIFS(D$7:D$1102,C$7:C$1102,"fashion",AD$7:AD$1102,"OK")</f>
        <v>0</v>
      </c>
      <c r="H1158" s="279"/>
      <c r="I1158" s="258"/>
      <c r="J1158" s="262"/>
      <c r="K1158" s="262"/>
      <c r="L1158" s="262"/>
      <c r="M1158" s="262"/>
      <c r="N1158" s="262"/>
      <c r="O1158" s="262"/>
      <c r="P1158" s="262"/>
      <c r="Q1158" s="262"/>
      <c r="R1158" s="262"/>
      <c r="S1158" s="262"/>
      <c r="T1158" s="262"/>
      <c r="U1158" s="262"/>
      <c r="V1158" s="262"/>
      <c r="W1158" s="262"/>
      <c r="X1158" s="262"/>
      <c r="Y1158" s="262"/>
      <c r="Z1158" s="262"/>
    </row>
    <row r="1159" spans="1:26" ht="15.75" x14ac:dyDescent="0.25">
      <c r="B1159" s="258">
        <f t="shared" si="408"/>
        <v>49</v>
      </c>
      <c r="C1159" s="287" t="s">
        <v>338</v>
      </c>
      <c r="D1159" s="283">
        <f>SUMIF(C$7:C$1102,"facem",D$7:D$1102)</f>
        <v>0</v>
      </c>
      <c r="E1159" s="284">
        <f>SUMIF(C$7:C$1102,"facem",X$7:X$1102)</f>
        <v>0</v>
      </c>
      <c r="F1159" s="274">
        <f>SUMIFS(X$7:X$1102,C$7:C$1102,"Facem",AD$7:AD$1102,"OK")</f>
        <v>0</v>
      </c>
      <c r="G1159" s="275">
        <f>SUMIFS(D$7:D$1102,C$7:C$1102,"facem",AD$7:AD$1102,"OK")</f>
        <v>0</v>
      </c>
      <c r="H1159" s="279"/>
      <c r="I1159" s="258"/>
      <c r="J1159" s="262"/>
      <c r="K1159" s="262"/>
      <c r="L1159" s="262"/>
      <c r="M1159" s="262"/>
      <c r="N1159" s="262"/>
      <c r="O1159" s="262"/>
      <c r="P1159" s="262"/>
      <c r="Q1159" s="262"/>
      <c r="R1159" s="262"/>
      <c r="S1159" s="262"/>
      <c r="T1159" s="262"/>
      <c r="U1159" s="262"/>
      <c r="V1159" s="262"/>
      <c r="W1159" s="262"/>
      <c r="X1159" s="262"/>
      <c r="Y1159" s="262"/>
      <c r="Z1159" s="262"/>
    </row>
    <row r="1160" spans="1:26" ht="15.75" x14ac:dyDescent="0.25">
      <c r="A1160" s="222" t="s">
        <v>273</v>
      </c>
      <c r="B1160" s="258">
        <f t="shared" si="408"/>
        <v>50</v>
      </c>
      <c r="C1160" s="290" t="s">
        <v>240</v>
      </c>
      <c r="D1160" s="283">
        <f>SUMIF(C7:C1103,"fat",D7:D1103)</f>
        <v>0</v>
      </c>
      <c r="E1160" s="284">
        <f>SUMIF(C7:C1103,"fat",X7:X1103)</f>
        <v>0</v>
      </c>
      <c r="F1160" s="274">
        <f>SUMIFS(X$7:X$1102,C$7:C$1102,"Fat",AD$7:AD$1102,"OK")</f>
        <v>0</v>
      </c>
      <c r="G1160" s="275"/>
      <c r="H1160" s="279"/>
      <c r="I1160" s="258"/>
      <c r="J1160" s="262"/>
      <c r="K1160" s="262"/>
      <c r="L1160" s="262"/>
      <c r="M1160" s="262"/>
      <c r="N1160" s="262"/>
      <c r="O1160" s="262"/>
      <c r="P1160" s="262"/>
      <c r="Q1160" s="262"/>
      <c r="R1160" s="262"/>
      <c r="S1160" s="262"/>
      <c r="T1160" s="262"/>
      <c r="U1160" s="262"/>
      <c r="V1160" s="262"/>
      <c r="W1160" s="262"/>
      <c r="X1160" s="262"/>
      <c r="Y1160" s="262"/>
      <c r="Z1160" s="262"/>
    </row>
    <row r="1161" spans="1:26" ht="15.75" x14ac:dyDescent="0.25">
      <c r="B1161" s="258">
        <f t="shared" si="408"/>
        <v>51</v>
      </c>
      <c r="C1161" s="287" t="s">
        <v>100</v>
      </c>
      <c r="D1161" s="283">
        <f>SUMIF(C7:C1102,"fdueg",D7:D1102)</f>
        <v>0</v>
      </c>
      <c r="E1161" s="284">
        <f>SUMIF(C7:C1102,"fdueg",X7:X1102)</f>
        <v>0</v>
      </c>
      <c r="F1161" s="274">
        <f>SUMIFS(X$7:X$1102,C$7:C$1102,"FdueG",AD$7:AD$1102,"OK")</f>
        <v>0</v>
      </c>
      <c r="G1161" s="275">
        <f>SUMIFS(D$7:D$1102,C$7:C$1102,"Fdueg",AD$7:AD$1102,"OK")</f>
        <v>0</v>
      </c>
      <c r="H1161" s="279"/>
      <c r="I1161" s="258"/>
      <c r="J1161" s="262"/>
      <c r="K1161" s="262"/>
      <c r="L1161" s="262"/>
      <c r="M1161" s="262"/>
      <c r="N1161" s="262"/>
      <c r="O1161" s="262"/>
      <c r="P1161" s="262"/>
      <c r="Q1161" s="262"/>
      <c r="R1161" s="262"/>
      <c r="S1161" s="262"/>
      <c r="T1161" s="262"/>
      <c r="U1161" s="262"/>
      <c r="V1161" s="262"/>
      <c r="W1161" s="262"/>
      <c r="X1161" s="262"/>
      <c r="Y1161" s="262"/>
      <c r="Z1161" s="262"/>
    </row>
    <row r="1162" spans="1:26" ht="15.75" x14ac:dyDescent="0.25">
      <c r="B1162" s="258">
        <f t="shared" si="408"/>
        <v>52</v>
      </c>
      <c r="C1162" s="287" t="s">
        <v>262</v>
      </c>
      <c r="D1162" s="283">
        <f>SUMIF(C7:C1102,"feem",D7:D1102)</f>
        <v>0</v>
      </c>
      <c r="E1162" s="284">
        <f>SUMIF(C7:C1102,"feem",X7:X1102)</f>
        <v>0</v>
      </c>
      <c r="F1162" s="274">
        <f>SUMIFS(X$7:X$1102,C$7:C$1102,"Feem",AD$7:AD$1102,"OK")</f>
        <v>0</v>
      </c>
      <c r="G1162" s="275">
        <f>SUMIFS(D$7:D$1102,C$7:C$1102,"FEEM",AD$7:AD$1102,"OK")</f>
        <v>0</v>
      </c>
      <c r="H1162" s="279"/>
      <c r="I1162" s="258"/>
      <c r="J1162" s="262"/>
      <c r="K1162" s="262"/>
      <c r="L1162" s="262"/>
      <c r="M1162" s="262"/>
      <c r="N1162" s="262"/>
      <c r="O1162" s="262"/>
      <c r="P1162" s="262"/>
      <c r="Q1162" s="262"/>
      <c r="R1162" s="262"/>
      <c r="S1162" s="262"/>
      <c r="T1162" s="262"/>
      <c r="U1162" s="262"/>
      <c r="V1162" s="262"/>
      <c r="W1162" s="262"/>
      <c r="X1162" s="262"/>
      <c r="Y1162" s="262"/>
      <c r="Z1162" s="262"/>
    </row>
    <row r="1163" spans="1:26" ht="15.75" x14ac:dyDescent="0.25">
      <c r="A1163" s="222" t="s">
        <v>273</v>
      </c>
      <c r="B1163" s="258">
        <f t="shared" si="408"/>
        <v>53</v>
      </c>
      <c r="C1163" s="288" t="s">
        <v>231</v>
      </c>
      <c r="D1163" s="283">
        <f>SUMIF(C7:C1102,"fenaroli",D7:D1102)</f>
        <v>0</v>
      </c>
      <c r="E1163" s="284">
        <f>SUMIF(C7:C1102,"fenaroli",X7:X1102)</f>
        <v>0</v>
      </c>
      <c r="F1163" s="274">
        <f>SUMIFS(X$7:X$1102,C$7:C$1102,"Fenaroli",AD$7:AD$1102,"OK")</f>
        <v>0</v>
      </c>
      <c r="G1163" s="275"/>
      <c r="H1163" s="279"/>
      <c r="I1163" s="258"/>
      <c r="J1163" s="262"/>
      <c r="K1163" s="262"/>
      <c r="L1163" s="262"/>
      <c r="M1163" s="262"/>
      <c r="N1163" s="262"/>
      <c r="O1163" s="262"/>
      <c r="P1163" s="262"/>
      <c r="Q1163" s="262"/>
      <c r="R1163" s="262"/>
      <c r="S1163" s="262"/>
      <c r="T1163" s="262"/>
      <c r="U1163" s="262"/>
      <c r="V1163" s="262"/>
      <c r="W1163" s="262"/>
      <c r="X1163" s="262"/>
      <c r="Y1163" s="262"/>
      <c r="Z1163" s="262"/>
    </row>
    <row r="1164" spans="1:26" ht="15.75" x14ac:dyDescent="0.25">
      <c r="B1164" s="258"/>
      <c r="C1164" s="287" t="s">
        <v>398</v>
      </c>
      <c r="D1164" s="283">
        <f>SUMIF(C7:C1103,"fenix",D7:D1103)</f>
        <v>0</v>
      </c>
      <c r="E1164" s="284">
        <f>SUMIF(C7:C1103,"fenix",X7:X1103)</f>
        <v>0</v>
      </c>
      <c r="F1164" s="274">
        <f>SUMIFS(X$7:X$1102,C$7:C$1102,"Fenix",AD$7:AD$1102,"OK")</f>
        <v>0</v>
      </c>
      <c r="G1164" s="275">
        <f>SUMIFS(D$7:D$1102,C$7:C$1102,"Fenix",AD$7:AD$1102,"OK")</f>
        <v>0</v>
      </c>
      <c r="H1164" s="279"/>
      <c r="I1164" s="258"/>
      <c r="J1164" s="262"/>
      <c r="K1164" s="262"/>
      <c r="L1164" s="262"/>
      <c r="M1164" s="262"/>
      <c r="N1164" s="262"/>
      <c r="O1164" s="262"/>
      <c r="P1164" s="262"/>
      <c r="Q1164" s="262"/>
      <c r="R1164" s="262"/>
      <c r="S1164" s="262"/>
      <c r="T1164" s="262"/>
      <c r="U1164" s="262"/>
      <c r="V1164" s="262"/>
      <c r="W1164" s="262"/>
      <c r="X1164" s="262"/>
      <c r="Y1164" s="262"/>
      <c r="Z1164" s="262"/>
    </row>
    <row r="1165" spans="1:26" ht="15.75" x14ac:dyDescent="0.25">
      <c r="B1165" s="258">
        <f>+B1163+1</f>
        <v>54</v>
      </c>
      <c r="C1165" s="287" t="s">
        <v>335</v>
      </c>
      <c r="D1165" s="283">
        <f>SUMIF(C7:C1102,"fmt",D7:D1102)</f>
        <v>900</v>
      </c>
      <c r="E1165" s="284">
        <f>SUMIF(C7:C1102,"fmt",X7:X1102)</f>
        <v>135</v>
      </c>
      <c r="F1165" s="274">
        <f>SUMIFS(X$7:X$1102,C$7:C$1102,"Fmt",AD$7:AD$1102,"OK")</f>
        <v>0</v>
      </c>
      <c r="G1165" s="275">
        <f>SUMIFS(D$7:D$1102,C$7:C$1102,"Fmt",AD$7:AD$1102,"OK")</f>
        <v>0</v>
      </c>
      <c r="H1165" s="279"/>
      <c r="I1165" s="258"/>
      <c r="J1165" s="262"/>
      <c r="K1165" s="262"/>
      <c r="L1165" s="262"/>
      <c r="M1165" s="262"/>
      <c r="N1165" s="262"/>
      <c r="O1165" s="262"/>
      <c r="P1165" s="262"/>
      <c r="Q1165" s="262"/>
      <c r="R1165" s="262"/>
      <c r="S1165" s="262"/>
      <c r="T1165" s="262"/>
      <c r="U1165" s="262"/>
      <c r="V1165" s="262"/>
      <c r="W1165" s="262"/>
      <c r="X1165" s="262"/>
      <c r="Y1165" s="262"/>
      <c r="Z1165" s="262"/>
    </row>
    <row r="1166" spans="1:26" ht="15.75" x14ac:dyDescent="0.25">
      <c r="B1166" s="258">
        <f t="shared" si="408"/>
        <v>55</v>
      </c>
      <c r="C1166" s="287" t="s">
        <v>359</v>
      </c>
      <c r="D1166" s="283">
        <f>SUMIF(C7:C1102,"ftm",D7:D1102)</f>
        <v>0</v>
      </c>
      <c r="E1166" s="284">
        <f>SUMIF(C7:C1102,"ftm",X7:X1102)</f>
        <v>0</v>
      </c>
      <c r="F1166" s="274">
        <f>SUMIFS(X$7:X$1102,C$7:C$1102,"ftm",AD$7:AD$1102,"OK")</f>
        <v>0</v>
      </c>
      <c r="G1166" s="275">
        <f>SUMIFS(D$7:D$1102,C$7:C$1102,"ftm",AD$7:AD$1102,"OK")</f>
        <v>0</v>
      </c>
      <c r="H1166" s="279"/>
      <c r="I1166" s="258"/>
      <c r="J1166" s="262"/>
      <c r="K1166" s="262"/>
      <c r="L1166" s="262"/>
      <c r="M1166" s="262"/>
      <c r="N1166" s="262"/>
      <c r="O1166" s="262"/>
      <c r="P1166" s="262"/>
      <c r="Q1166" s="262"/>
      <c r="R1166" s="262"/>
      <c r="S1166" s="262"/>
      <c r="T1166" s="262"/>
      <c r="U1166" s="262"/>
      <c r="V1166" s="262"/>
      <c r="W1166" s="262"/>
      <c r="X1166" s="262"/>
      <c r="Y1166" s="262"/>
      <c r="Z1166" s="262"/>
    </row>
    <row r="1167" spans="1:26" ht="15.75" x14ac:dyDescent="0.25">
      <c r="A1167" s="222" t="s">
        <v>273</v>
      </c>
      <c r="B1167" s="258">
        <f t="shared" si="408"/>
        <v>56</v>
      </c>
      <c r="C1167" s="288" t="s">
        <v>271</v>
      </c>
      <c r="D1167" s="283">
        <f>SUMIF(C7:C1102,"gct",D7:D1102)</f>
        <v>0</v>
      </c>
      <c r="E1167" s="284">
        <f>SUMIF(C7:C1102,"gct",X7:X1102)</f>
        <v>0</v>
      </c>
      <c r="F1167" s="274">
        <f>SUMIFS(X$7:X$1102,C$7:C$1102,"Gct",AD$7:AD$1102,"OK")</f>
        <v>0</v>
      </c>
      <c r="G1167" s="275"/>
      <c r="H1167" s="279"/>
      <c r="I1167" s="258"/>
      <c r="J1167" s="262"/>
      <c r="K1167" s="262"/>
      <c r="L1167" s="262"/>
      <c r="M1167" s="262"/>
      <c r="N1167" s="262"/>
      <c r="O1167" s="262"/>
      <c r="P1167" s="262"/>
      <c r="Q1167" s="262"/>
      <c r="R1167" s="262"/>
      <c r="S1167" s="262"/>
      <c r="T1167" s="262"/>
      <c r="U1167" s="262"/>
      <c r="V1167" s="262"/>
      <c r="W1167" s="262"/>
      <c r="X1167" s="262"/>
      <c r="Y1167" s="262"/>
      <c r="Z1167" s="262"/>
    </row>
    <row r="1168" spans="1:26" ht="15.75" x14ac:dyDescent="0.25">
      <c r="B1168" s="258">
        <f t="shared" si="408"/>
        <v>57</v>
      </c>
      <c r="C1168" s="287" t="s">
        <v>232</v>
      </c>
      <c r="D1168" s="283">
        <f>SUMIF(C7:C1102,"gbe",D7:D1102)</f>
        <v>16064</v>
      </c>
      <c r="E1168" s="284">
        <f>SUMIF(C7:C1102,"gbe",X7:X1102)</f>
        <v>986.12000000000012</v>
      </c>
      <c r="F1168" s="274">
        <f>SUMIFS(X$7:X$1102,C$7:C$1102,"GBE",AD$7:AD$1102,"OK")</f>
        <v>38.5</v>
      </c>
      <c r="G1168" s="275">
        <f>SUMIFS(D$7:D$1102,C$7:C$1102,"GBE",AD$7:AD$1102,"OK")</f>
        <v>550</v>
      </c>
      <c r="H1168" s="279"/>
      <c r="I1168" s="258"/>
      <c r="J1168" s="262"/>
      <c r="K1168" s="262"/>
      <c r="L1168" s="262"/>
      <c r="M1168" s="262"/>
      <c r="N1168" s="262"/>
      <c r="O1168" s="262"/>
      <c r="P1168" s="262"/>
      <c r="Q1168" s="262"/>
      <c r="R1168" s="262"/>
      <c r="S1168" s="262"/>
      <c r="T1168" s="262"/>
      <c r="U1168" s="262"/>
      <c r="V1168" s="262"/>
      <c r="W1168" s="262"/>
      <c r="X1168" s="262"/>
      <c r="Y1168" s="262"/>
      <c r="Z1168" s="262"/>
    </row>
    <row r="1169" spans="1:26" ht="15.75" x14ac:dyDescent="0.25">
      <c r="B1169" s="258">
        <f t="shared" si="408"/>
        <v>58</v>
      </c>
      <c r="C1169" s="287" t="s">
        <v>257</v>
      </c>
      <c r="D1169" s="283">
        <f>SUMIF(C7:C1102,"gauss",D7:D1102)</f>
        <v>1498</v>
      </c>
      <c r="E1169" s="284">
        <f>SUMIF(C7:C1102,"gauss",X7:X1102)</f>
        <v>104.86</v>
      </c>
      <c r="F1169" s="274">
        <f>SUMIFS(X$7:X$1102,C$7:C$1102,"Gauss",AD$7:AD$1102,"OK")</f>
        <v>0</v>
      </c>
      <c r="G1169" s="275">
        <f>SUMIFS(D$7:D$1102,C$7:C$1102,"Gauss",AD$7:AD$1102,"OK")</f>
        <v>0</v>
      </c>
      <c r="H1169" s="279"/>
      <c r="I1169" s="258"/>
      <c r="J1169" s="262"/>
      <c r="K1169" s="262"/>
      <c r="L1169" s="262"/>
      <c r="M1169" s="262"/>
      <c r="N1169" s="262"/>
      <c r="O1169" s="262"/>
      <c r="P1169" s="262"/>
      <c r="Q1169" s="262"/>
      <c r="R1169" s="262"/>
      <c r="S1169" s="262"/>
      <c r="T1169" s="262"/>
      <c r="U1169" s="262"/>
      <c r="V1169" s="262"/>
      <c r="W1169" s="262"/>
      <c r="X1169" s="262"/>
      <c r="Y1169" s="262"/>
      <c r="Z1169" s="262"/>
    </row>
    <row r="1170" spans="1:26" ht="15.75" x14ac:dyDescent="0.25">
      <c r="B1170" s="258">
        <f t="shared" si="408"/>
        <v>59</v>
      </c>
      <c r="C1170" s="287" t="s">
        <v>162</v>
      </c>
      <c r="D1170" s="283">
        <f>SUMIF(C$7:C$1102,"galliera",D$7:D$1102)</f>
        <v>0</v>
      </c>
      <c r="E1170" s="284">
        <f>SUMIF(C$7:C$1102,"galliera",X$7:X$1102)</f>
        <v>0</v>
      </c>
      <c r="F1170" s="274">
        <f>SUMIFS(X$7:X$1102,C$7:C$1102,"Galliera",AD$7:AD$1102,"OK")</f>
        <v>0</v>
      </c>
      <c r="G1170" s="275">
        <f>SUMIFS(D$7:D$1102,C$7:C$1102,"GALLIERA",AD$7:AD$1102,"OK")</f>
        <v>0</v>
      </c>
      <c r="H1170" s="279"/>
      <c r="I1170" s="258"/>
      <c r="J1170" s="262"/>
      <c r="K1170" s="262"/>
      <c r="L1170" s="262"/>
      <c r="M1170" s="262"/>
      <c r="N1170" s="262"/>
      <c r="O1170" s="262"/>
      <c r="P1170" s="262"/>
      <c r="Q1170" s="262"/>
      <c r="R1170" s="262"/>
      <c r="S1170" s="262"/>
      <c r="T1170" s="262"/>
      <c r="U1170" s="262"/>
      <c r="V1170" s="262"/>
      <c r="W1170" s="262"/>
      <c r="X1170" s="262"/>
      <c r="Y1170" s="262"/>
      <c r="Z1170" s="262"/>
    </row>
    <row r="1171" spans="1:26" ht="15.75" x14ac:dyDescent="0.25">
      <c r="B1171" s="258">
        <f t="shared" si="408"/>
        <v>60</v>
      </c>
      <c r="C1171" s="287" t="s">
        <v>336</v>
      </c>
      <c r="D1171" s="283">
        <f>SUMIF(C$7:C$1102,"gedelsa",D$7:D$1102)</f>
        <v>19238</v>
      </c>
      <c r="E1171" s="284">
        <f>SUMIF(C$7:C$1102,"gedelsa",X$7:X$1102)</f>
        <v>1755.94</v>
      </c>
      <c r="F1171" s="274">
        <f>SUMIFS(X$7:X$1102,C$7:C$1102,"gedelsa",AD$7:AD$1102,"OK")</f>
        <v>0</v>
      </c>
      <c r="G1171" s="275">
        <f>SUMIFS(D$7:D$1102,C$7:C$1102,"gedelsa",AD$7:AD$1102,"OK")</f>
        <v>0</v>
      </c>
      <c r="H1171" s="279"/>
      <c r="I1171" s="258"/>
      <c r="J1171" s="262"/>
      <c r="K1171" s="262"/>
      <c r="L1171" s="262"/>
      <c r="M1171" s="262"/>
      <c r="N1171" s="262"/>
      <c r="O1171" s="262"/>
      <c r="P1171" s="262"/>
      <c r="Q1171" s="262"/>
      <c r="R1171" s="262"/>
      <c r="S1171" s="262"/>
      <c r="T1171" s="262"/>
      <c r="U1171" s="262"/>
      <c r="V1171" s="262"/>
      <c r="W1171" s="262"/>
      <c r="X1171" s="262"/>
      <c r="Y1171" s="262"/>
      <c r="Z1171" s="262"/>
    </row>
    <row r="1172" spans="1:26" ht="15.75" x14ac:dyDescent="0.25">
      <c r="B1172" s="258"/>
      <c r="C1172" s="287" t="s">
        <v>420</v>
      </c>
      <c r="D1172" s="283">
        <f>SUMIF(C$7:C$1102,"gen set",D$7:D$1102)</f>
        <v>0</v>
      </c>
      <c r="E1172" s="284">
        <f>SUMIF(C$7:C$1102,"gen set",X$7:X$1102)</f>
        <v>0</v>
      </c>
      <c r="F1172" s="274">
        <f>SUMIFS(X$7:X$1102,C$7:C$1102,"gen set",AD$7:AD$1102,"OK")</f>
        <v>0</v>
      </c>
      <c r="G1172" s="275">
        <f>SUMIFS(D$7:D$1102,C$7:C$1102,"gen set",AD$7:AD$1102,"OK")</f>
        <v>0</v>
      </c>
      <c r="H1172" s="279"/>
      <c r="I1172" s="258"/>
      <c r="J1172" s="262"/>
      <c r="K1172" s="262"/>
      <c r="L1172" s="262"/>
      <c r="M1172" s="262"/>
      <c r="N1172" s="262"/>
      <c r="O1172" s="262"/>
      <c r="P1172" s="262"/>
      <c r="Q1172" s="262"/>
      <c r="R1172" s="262"/>
      <c r="S1172" s="262"/>
      <c r="T1172" s="262"/>
      <c r="U1172" s="262"/>
      <c r="V1172" s="262"/>
      <c r="W1172" s="262"/>
      <c r="X1172" s="262"/>
      <c r="Y1172" s="262"/>
      <c r="Z1172" s="262"/>
    </row>
    <row r="1173" spans="1:26" ht="15.75" x14ac:dyDescent="0.25">
      <c r="B1173" s="258">
        <f>+B1171+1</f>
        <v>61</v>
      </c>
      <c r="C1173" s="287" t="s">
        <v>253</v>
      </c>
      <c r="D1173" s="283">
        <f>SUMIF(C7:C1102,"getra",D7:D1102)</f>
        <v>0</v>
      </c>
      <c r="E1173" s="284">
        <f>SUMIF(C7:C1102,"getra",X7:X1102)</f>
        <v>0</v>
      </c>
      <c r="F1173" s="274">
        <f>SUMIFS(X$7:X$1102,C$7:C$1102,"Getra",AD$7:AD$1102,"OK")</f>
        <v>0</v>
      </c>
      <c r="G1173" s="275">
        <f>SUMIFS(D$7:D$1102,C$7:C$1102,"GETRA",AD$7:AD$1102,"OK")</f>
        <v>0</v>
      </c>
      <c r="H1173" s="279"/>
      <c r="I1173" s="258"/>
      <c r="J1173" s="262"/>
      <c r="K1173" s="262"/>
      <c r="L1173" s="262"/>
      <c r="M1173" s="262"/>
      <c r="N1173" s="262"/>
      <c r="O1173" s="262"/>
      <c r="P1173" s="262"/>
      <c r="Q1173" s="262"/>
      <c r="R1173" s="262"/>
      <c r="S1173" s="262"/>
      <c r="T1173" s="262"/>
      <c r="U1173" s="262"/>
      <c r="V1173" s="262"/>
      <c r="W1173" s="262"/>
      <c r="X1173" s="262"/>
      <c r="Y1173" s="262"/>
      <c r="Z1173" s="262"/>
    </row>
    <row r="1174" spans="1:26" ht="15.75" x14ac:dyDescent="0.25">
      <c r="B1174" s="258">
        <f t="shared" si="408"/>
        <v>62</v>
      </c>
      <c r="C1174" s="287" t="s">
        <v>298</v>
      </c>
      <c r="D1174" s="283">
        <f>SUMIF(C7:C1103,"getra power",D7:D1103)</f>
        <v>0</v>
      </c>
      <c r="E1174" s="284">
        <f>SUMIF(C7:C1103,"getra power",X7:X1103)</f>
        <v>0</v>
      </c>
      <c r="F1174" s="274">
        <f>SUMIFS(X$7:X$1102,C$7:C$1102,"Getra power",AD$7:AD$1102,"OK")</f>
        <v>0</v>
      </c>
      <c r="G1174" s="275"/>
      <c r="H1174" s="279"/>
      <c r="I1174" s="258"/>
      <c r="J1174" s="262"/>
      <c r="K1174" s="262"/>
      <c r="L1174" s="262"/>
      <c r="M1174" s="262"/>
      <c r="N1174" s="262"/>
      <c r="O1174" s="262"/>
      <c r="P1174" s="262"/>
      <c r="Q1174" s="262"/>
      <c r="R1174" s="262"/>
      <c r="S1174" s="262"/>
      <c r="T1174" s="262"/>
      <c r="U1174" s="262"/>
      <c r="V1174" s="262"/>
      <c r="W1174" s="262"/>
      <c r="X1174" s="262"/>
      <c r="Y1174" s="262"/>
      <c r="Z1174" s="262"/>
    </row>
    <row r="1175" spans="1:26" ht="15.75" x14ac:dyDescent="0.25">
      <c r="B1175" s="258">
        <f t="shared" si="408"/>
        <v>63</v>
      </c>
      <c r="C1175" s="287" t="s">
        <v>233</v>
      </c>
      <c r="D1175" s="283">
        <f>SUMIF(C7:C1102,"gida",D7:D1102)</f>
        <v>0</v>
      </c>
      <c r="E1175" s="284">
        <f>SUMIF(C7:C1102,"gida",X7:X1102)</f>
        <v>0</v>
      </c>
      <c r="F1175" s="274">
        <f>SUMIFS(X$7:X$1102,C$7:C$1102,"Gida",AD$7:AD$1102,"OK")</f>
        <v>0</v>
      </c>
      <c r="G1175" s="275"/>
      <c r="H1175" s="279"/>
      <c r="I1175" s="258"/>
      <c r="J1175" s="262"/>
      <c r="K1175" s="262"/>
      <c r="L1175" s="262"/>
      <c r="M1175" s="262"/>
      <c r="N1175" s="262"/>
      <c r="O1175" s="262"/>
      <c r="P1175" s="262"/>
      <c r="Q1175" s="262"/>
      <c r="R1175" s="262"/>
      <c r="S1175" s="262"/>
      <c r="T1175" s="262"/>
      <c r="U1175" s="262"/>
      <c r="V1175" s="262"/>
      <c r="W1175" s="262"/>
      <c r="X1175" s="262"/>
      <c r="Y1175" s="262"/>
      <c r="Z1175" s="262"/>
    </row>
    <row r="1176" spans="1:26" ht="15.75" x14ac:dyDescent="0.25">
      <c r="A1176" s="222" t="s">
        <v>273</v>
      </c>
      <c r="B1176" s="258">
        <f t="shared" si="408"/>
        <v>64</v>
      </c>
      <c r="C1176" s="288" t="s">
        <v>118</v>
      </c>
      <c r="D1176" s="283">
        <f>SUMIF(C7:C1102,"giussani",D7:D1102)</f>
        <v>0</v>
      </c>
      <c r="E1176" s="284">
        <f>SUMIF(C7:C1102,"giussani",X7:X1102)</f>
        <v>0</v>
      </c>
      <c r="F1176" s="274">
        <f>SUMIFS(X$7:X$1102,C$7:C$1102,"Giussani",AD$7:AD$1102,"OK")</f>
        <v>0</v>
      </c>
      <c r="G1176" s="275"/>
      <c r="H1176" s="279"/>
      <c r="I1176" s="258"/>
      <c r="J1176" s="262"/>
      <c r="K1176" s="262"/>
      <c r="L1176" s="262"/>
      <c r="M1176" s="262"/>
      <c r="N1176" s="262"/>
      <c r="O1176" s="262"/>
      <c r="P1176" s="262"/>
      <c r="Q1176" s="262"/>
      <c r="R1176" s="262"/>
      <c r="S1176" s="262"/>
      <c r="T1176" s="262"/>
      <c r="U1176" s="262"/>
      <c r="V1176" s="262"/>
      <c r="W1176" s="262"/>
      <c r="X1176" s="262"/>
      <c r="Y1176" s="262"/>
      <c r="Z1176" s="262"/>
    </row>
    <row r="1177" spans="1:26" ht="15.75" x14ac:dyDescent="0.25">
      <c r="B1177" s="258">
        <f t="shared" si="408"/>
        <v>65</v>
      </c>
      <c r="C1177" s="287" t="s">
        <v>395</v>
      </c>
      <c r="D1177" s="277">
        <f>SUMIF(C$7:C$1102,"Givi",D$7:D$1102)</f>
        <v>0</v>
      </c>
      <c r="E1177" s="292">
        <f>SUMIF(C$7:C$1102,"givi",X$7:X$1102)</f>
        <v>0</v>
      </c>
      <c r="F1177" s="274">
        <f>SUMIFS(X$7:X$1102,C$7:C$1102,"givi",AD$7:AD$1102,"OK")</f>
        <v>0</v>
      </c>
      <c r="G1177" s="293">
        <f>SUMIFS(D$7:D$1102,C$7:C$1102,"givi",AD$7:AD$1102,"OK")</f>
        <v>0</v>
      </c>
      <c r="H1177" s="279"/>
      <c r="I1177" s="258"/>
      <c r="J1177" s="262"/>
      <c r="K1177" s="262"/>
      <c r="L1177" s="262"/>
      <c r="M1177" s="262"/>
      <c r="N1177" s="262"/>
      <c r="O1177" s="262"/>
      <c r="P1177" s="262"/>
      <c r="Q1177" s="262"/>
      <c r="R1177" s="262"/>
      <c r="S1177" s="262"/>
      <c r="T1177" s="262"/>
      <c r="U1177" s="262"/>
      <c r="V1177" s="262"/>
      <c r="W1177" s="262"/>
      <c r="X1177" s="262"/>
      <c r="Y1177" s="262"/>
      <c r="Z1177" s="262"/>
    </row>
    <row r="1178" spans="1:26" ht="15.75" x14ac:dyDescent="0.25">
      <c r="B1178" s="258">
        <f t="shared" si="408"/>
        <v>66</v>
      </c>
      <c r="C1178" s="287" t="s">
        <v>250</v>
      </c>
      <c r="D1178" s="283">
        <f>SUMIF(C7:C1102,"glenair",D7:D1102)</f>
        <v>0</v>
      </c>
      <c r="E1178" s="284">
        <f>SUMIF(C7:C1102,"glenair",X7:X1102)</f>
        <v>0</v>
      </c>
      <c r="F1178" s="274">
        <f>SUMIFS(X$7:X$1102,C$7:C$1102,"Glenair",AD$7:AD$1102,"OK")</f>
        <v>0</v>
      </c>
      <c r="G1178" s="275">
        <f>SUMIFS(D$7:D$1102,C$7:C$1102,"GLENAIR",AD$7:AD$1102,"OK")</f>
        <v>0</v>
      </c>
      <c r="H1178" s="279"/>
      <c r="I1178" s="258"/>
      <c r="J1178" s="262"/>
      <c r="K1178" s="262"/>
      <c r="L1178" s="262"/>
      <c r="M1178" s="262"/>
      <c r="N1178" s="262"/>
      <c r="O1178" s="262"/>
      <c r="P1178" s="262"/>
      <c r="Q1178" s="262"/>
      <c r="R1178" s="262"/>
      <c r="S1178" s="262"/>
      <c r="T1178" s="262"/>
      <c r="U1178" s="262"/>
      <c r="V1178" s="262"/>
      <c r="W1178" s="262"/>
      <c r="X1178" s="262"/>
      <c r="Y1178" s="262"/>
      <c r="Z1178" s="262"/>
    </row>
    <row r="1179" spans="1:26" ht="15.75" x14ac:dyDescent="0.25">
      <c r="B1179" s="258">
        <f t="shared" si="408"/>
        <v>67</v>
      </c>
      <c r="C1179" s="287" t="s">
        <v>126</v>
      </c>
      <c r="D1179" s="283">
        <f>SUMIF(C7:C1102,"gts",D7:D1102)</f>
        <v>0</v>
      </c>
      <c r="E1179" s="284">
        <f>SUMIF(C7:C1102,"gts",X7:X1102)</f>
        <v>0</v>
      </c>
      <c r="F1179" s="274">
        <f>SUMIFS(X$7:X$1102,C$7:C$1102,"GTS",AD$7:AD$1102,"OK")</f>
        <v>0</v>
      </c>
      <c r="G1179" s="275">
        <f>SUMIFS(D$7:D$1102,C$7:C$1102,"GTS",AD$7:AD$1102,"OK")</f>
        <v>0</v>
      </c>
      <c r="H1179" s="279"/>
      <c r="I1179" s="258"/>
      <c r="J1179" s="262"/>
      <c r="K1179" s="262"/>
      <c r="L1179" s="262"/>
      <c r="M1179" s="262"/>
      <c r="N1179" s="262"/>
      <c r="O1179" s="262"/>
      <c r="P1179" s="262"/>
      <c r="Q1179" s="262"/>
      <c r="R1179" s="262"/>
      <c r="S1179" s="262"/>
      <c r="T1179" s="262"/>
      <c r="U1179" s="262"/>
      <c r="V1179" s="262"/>
      <c r="W1179" s="262"/>
      <c r="X1179" s="262"/>
      <c r="Y1179" s="262"/>
      <c r="Z1179" s="262"/>
    </row>
    <row r="1180" spans="1:26" ht="15.75" x14ac:dyDescent="0.25">
      <c r="A1180" s="222" t="s">
        <v>273</v>
      </c>
      <c r="B1180" s="258">
        <f t="shared" si="408"/>
        <v>68</v>
      </c>
      <c r="C1180" s="290" t="s">
        <v>204</v>
      </c>
      <c r="D1180" s="283">
        <f>SUMIF(C7:C1102,"hammond",D7:D1102)</f>
        <v>0</v>
      </c>
      <c r="E1180" s="284">
        <f>SUMIF(C7:C1102,"hammond",X7:X1102)</f>
        <v>0</v>
      </c>
      <c r="F1180" s="274">
        <f>SUMIFS(X$7:X$1102,C$7:C$1102,"Hammond",AD$7:AD$1102,"OK")</f>
        <v>0</v>
      </c>
      <c r="G1180" s="275"/>
      <c r="H1180" s="279"/>
      <c r="I1180" s="258"/>
      <c r="J1180" s="262"/>
      <c r="K1180" s="262"/>
      <c r="L1180" s="262"/>
      <c r="M1180" s="262"/>
      <c r="N1180" s="262"/>
      <c r="O1180" s="262"/>
      <c r="P1180" s="262"/>
      <c r="Q1180" s="262"/>
      <c r="R1180" s="262"/>
      <c r="S1180" s="262"/>
      <c r="T1180" s="262"/>
      <c r="U1180" s="262"/>
      <c r="V1180" s="262"/>
      <c r="W1180" s="262"/>
      <c r="X1180" s="262"/>
      <c r="Y1180" s="262"/>
      <c r="Z1180" s="262"/>
    </row>
    <row r="1181" spans="1:26" ht="15.75" x14ac:dyDescent="0.25">
      <c r="B1181" s="258">
        <f t="shared" si="408"/>
        <v>69</v>
      </c>
      <c r="C1181" s="287" t="s">
        <v>340</v>
      </c>
      <c r="D1181" s="283">
        <f>SUMIF(C7:C1102,"htt",D7:D1102)</f>
        <v>0</v>
      </c>
      <c r="E1181" s="284">
        <f>SUMIF(C7:C1102,"htt",X7:X1102)</f>
        <v>0</v>
      </c>
      <c r="F1181" s="274">
        <f>SUMIFS(X$7:X$1102,C$7:C$1102,"htt",AD$7:AD$1102,"OK")</f>
        <v>0</v>
      </c>
      <c r="G1181" s="275">
        <f>SUMIFS(D$7:D$1102,C$7:C$1102,"htt",AD$7:AD$1102,"OK")</f>
        <v>0</v>
      </c>
      <c r="H1181" s="279"/>
      <c r="I1181" s="258"/>
      <c r="J1181" s="262"/>
      <c r="K1181" s="262"/>
      <c r="L1181" s="262"/>
      <c r="M1181" s="262"/>
      <c r="N1181" s="262"/>
      <c r="O1181" s="262"/>
      <c r="P1181" s="262"/>
      <c r="Q1181" s="262"/>
      <c r="R1181" s="262"/>
      <c r="S1181" s="262"/>
      <c r="T1181" s="262"/>
      <c r="U1181" s="262"/>
      <c r="V1181" s="262"/>
      <c r="W1181" s="262"/>
      <c r="X1181" s="262"/>
      <c r="Y1181" s="262"/>
      <c r="Z1181" s="262"/>
    </row>
    <row r="1182" spans="1:26" ht="15.75" x14ac:dyDescent="0.25">
      <c r="A1182" s="222" t="s">
        <v>273</v>
      </c>
      <c r="B1182" s="258">
        <f t="shared" si="408"/>
        <v>70</v>
      </c>
      <c r="C1182" s="288" t="s">
        <v>234</v>
      </c>
      <c r="D1182" s="283">
        <f>SUMIF(C7:C1102,"ibs",D7:D1102)</f>
        <v>0</v>
      </c>
      <c r="E1182" s="284">
        <f>SUMIF(C7:C1102,"ibs",X7:X1102)</f>
        <v>0</v>
      </c>
      <c r="F1182" s="274">
        <f>SUMIFS(X$7:X$1102,C$7:C$1102,"IBS",AD$7:AD$1102,"OK")</f>
        <v>0</v>
      </c>
      <c r="G1182" s="275"/>
      <c r="H1182" s="279"/>
      <c r="I1182" s="258"/>
      <c r="J1182" s="262"/>
      <c r="K1182" s="262"/>
      <c r="L1182" s="262"/>
      <c r="M1182" s="262"/>
      <c r="N1182" s="262"/>
      <c r="O1182" s="262"/>
      <c r="P1182" s="262"/>
      <c r="Q1182" s="262"/>
      <c r="R1182" s="262"/>
      <c r="S1182" s="262"/>
      <c r="T1182" s="262"/>
      <c r="U1182" s="262"/>
      <c r="V1182" s="262"/>
      <c r="W1182" s="262"/>
      <c r="X1182" s="262"/>
      <c r="Y1182" s="262"/>
      <c r="Z1182" s="262"/>
    </row>
    <row r="1183" spans="1:26" ht="15.75" x14ac:dyDescent="0.25">
      <c r="B1183" s="258">
        <f t="shared" si="408"/>
        <v>71</v>
      </c>
      <c r="C1183" s="287" t="s">
        <v>93</v>
      </c>
      <c r="D1183" s="283">
        <f>SUMIF(C7:C1102,"icar",D7:D1102)</f>
        <v>0</v>
      </c>
      <c r="E1183" s="284">
        <f>SUMIF(C7:C1102,"icar",X7:X1102)</f>
        <v>0</v>
      </c>
      <c r="F1183" s="274">
        <f>SUMIFS(X$7:X$1102,C$7:C$1102,"Icar",AD$7:AD$1102,"OK")</f>
        <v>0</v>
      </c>
      <c r="G1183" s="275"/>
      <c r="H1183" s="279"/>
      <c r="I1183" s="258"/>
      <c r="J1183" s="262"/>
      <c r="K1183" s="262"/>
      <c r="L1183" s="262"/>
      <c r="M1183" s="262"/>
      <c r="N1183" s="262"/>
      <c r="O1183" s="262"/>
      <c r="P1183" s="262"/>
      <c r="Q1183" s="262"/>
      <c r="R1183" s="262"/>
      <c r="S1183" s="262"/>
      <c r="T1183" s="262"/>
      <c r="U1183" s="262"/>
      <c r="V1183" s="262"/>
      <c r="W1183" s="262"/>
      <c r="X1183" s="262"/>
      <c r="Y1183" s="262"/>
      <c r="Z1183" s="262"/>
    </row>
    <row r="1184" spans="1:26" ht="15.75" x14ac:dyDescent="0.25">
      <c r="B1184" s="258">
        <f t="shared" si="408"/>
        <v>72</v>
      </c>
      <c r="C1184" s="287" t="s">
        <v>301</v>
      </c>
      <c r="D1184" s="283">
        <f>SUMIF(C7:C1102,"ice",D7:D1102)</f>
        <v>0</v>
      </c>
      <c r="E1184" s="284">
        <f>SUMIF(C7:C1102,"ice",X7:X1102)</f>
        <v>0</v>
      </c>
      <c r="F1184" s="274">
        <f>SUMIFS(X$7:X$1102,C$7:C$1102,"Ice",AD$7:AD$1102,"OK")</f>
        <v>0</v>
      </c>
      <c r="G1184" s="275">
        <f>SUMIFS(D$7:D$1102,C$7:C$1102,"ICE",AD$7:AD$1102,"OK")</f>
        <v>0</v>
      </c>
      <c r="H1184" s="279"/>
      <c r="I1184" s="258"/>
      <c r="J1184" s="262"/>
      <c r="K1184" s="262"/>
      <c r="L1184" s="262"/>
      <c r="M1184" s="262"/>
      <c r="N1184" s="262"/>
      <c r="O1184" s="262"/>
      <c r="P1184" s="262"/>
      <c r="Q1184" s="262"/>
      <c r="R1184" s="262"/>
      <c r="S1184" s="262"/>
      <c r="T1184" s="262"/>
      <c r="U1184" s="262"/>
      <c r="V1184" s="262"/>
      <c r="W1184" s="262"/>
      <c r="X1184" s="262"/>
      <c r="Y1184" s="262"/>
      <c r="Z1184" s="262"/>
    </row>
    <row r="1185" spans="1:26" ht="15.75" x14ac:dyDescent="0.25">
      <c r="B1185" s="258">
        <f t="shared" si="408"/>
        <v>73</v>
      </c>
      <c r="C1185" s="287" t="s">
        <v>254</v>
      </c>
      <c r="D1185" s="283">
        <f>SUMIF(C7:C1102,"imefy",D7:D1102)</f>
        <v>0</v>
      </c>
      <c r="E1185" s="284">
        <f>SUMIF(C7:C1102,"imefy",X7:X1102)</f>
        <v>0</v>
      </c>
      <c r="F1185" s="274">
        <f>SUMIFS(X$7:X$1102,C$7:C$1102,"Imefy",AD$7:AD$1102,"OK")</f>
        <v>0</v>
      </c>
      <c r="G1185" s="275">
        <f>SUMIFS(D$7:D$1102,C$7:C$1102,"Imefy",AD$7:AD$1102,"OK")</f>
        <v>0</v>
      </c>
      <c r="H1185" s="279"/>
      <c r="I1185" s="258"/>
      <c r="J1185" s="262"/>
      <c r="K1185" s="262"/>
      <c r="L1185" s="262"/>
      <c r="M1185" s="262"/>
      <c r="N1185" s="262"/>
      <c r="O1185" s="262"/>
      <c r="P1185" s="262"/>
      <c r="Q1185" s="262"/>
      <c r="R1185" s="262"/>
      <c r="S1185" s="262"/>
      <c r="T1185" s="262"/>
      <c r="U1185" s="262"/>
      <c r="V1185" s="262"/>
      <c r="W1185" s="262"/>
      <c r="X1185" s="262"/>
      <c r="Y1185" s="262"/>
      <c r="Z1185" s="262"/>
    </row>
    <row r="1186" spans="1:26" ht="15.75" x14ac:dyDescent="0.25">
      <c r="B1186" s="258">
        <f t="shared" si="408"/>
        <v>74</v>
      </c>
      <c r="C1186" s="287" t="s">
        <v>210</v>
      </c>
      <c r="D1186" s="283">
        <f>SUMIF(C7:C1102,"intermagnetics",D7:D1102)</f>
        <v>14228</v>
      </c>
      <c r="E1186" s="284">
        <f>SUMIF(C7:C1102,"intermagnetics",X7:X1102)</f>
        <v>808.80000000000007</v>
      </c>
      <c r="F1186" s="274">
        <f>SUMIFS(X$7:X$1102,C$7:C$1102,"Intermagnetics",AD$7:AD$1102,"OK")</f>
        <v>0</v>
      </c>
      <c r="G1186" s="275">
        <f>SUMIFS(D$7:D$1102,C$7:C$1102,"intermagnetics",AD$7:AD$1102,"OK")</f>
        <v>0</v>
      </c>
      <c r="H1186" s="279"/>
      <c r="I1186" s="258"/>
      <c r="J1186" s="262"/>
      <c r="K1186" s="262"/>
      <c r="L1186" s="262"/>
      <c r="M1186" s="262"/>
      <c r="N1186" s="262"/>
      <c r="O1186" s="262"/>
      <c r="P1186" s="262"/>
      <c r="Q1186" s="262"/>
      <c r="R1186" s="262"/>
      <c r="S1186" s="262"/>
      <c r="T1186" s="262"/>
      <c r="U1186" s="262"/>
      <c r="V1186" s="262"/>
      <c r="W1186" s="262"/>
      <c r="X1186" s="262"/>
      <c r="Y1186" s="262"/>
      <c r="Z1186" s="262"/>
    </row>
    <row r="1187" spans="1:26" ht="15.75" x14ac:dyDescent="0.25">
      <c r="B1187" s="258">
        <f t="shared" si="408"/>
        <v>75</v>
      </c>
      <c r="C1187" s="287" t="s">
        <v>296</v>
      </c>
      <c r="D1187" s="283">
        <f>SUMIF(C7:C1102,"ips",D7:D1102)</f>
        <v>0</v>
      </c>
      <c r="E1187" s="284">
        <f>SUMIF(C7:C1102,"ips",X7:X1102)</f>
        <v>0</v>
      </c>
      <c r="F1187" s="274">
        <f>SUMIFS(X$7:X$1102,C$7:C$1102,"Ips",AD$7:AD$1102,"OK")</f>
        <v>0</v>
      </c>
      <c r="G1187" s="275"/>
      <c r="H1187" s="279"/>
      <c r="I1187" s="258"/>
      <c r="J1187" s="262"/>
      <c r="K1187" s="262"/>
      <c r="L1187" s="262"/>
      <c r="M1187" s="262"/>
      <c r="N1187" s="262"/>
      <c r="O1187" s="262"/>
      <c r="P1187" s="262"/>
      <c r="Q1187" s="262"/>
      <c r="R1187" s="262"/>
      <c r="S1187" s="262"/>
      <c r="T1187" s="262"/>
      <c r="U1187" s="262"/>
      <c r="V1187" s="262"/>
      <c r="W1187" s="262"/>
      <c r="X1187" s="262"/>
      <c r="Y1187" s="262"/>
      <c r="Z1187" s="262"/>
    </row>
    <row r="1188" spans="1:26" ht="15.75" x14ac:dyDescent="0.25">
      <c r="B1188" s="258">
        <f t="shared" ref="B1188:B1258" si="409">+B1187+1</f>
        <v>76</v>
      </c>
      <c r="C1188" s="287" t="s">
        <v>268</v>
      </c>
      <c r="D1188" s="283">
        <f>SUMIF(C7:C1102,"iskra",D7:D1102)</f>
        <v>0</v>
      </c>
      <c r="E1188" s="284">
        <f>SUMIF(C7:C1102,"iskra",X7:X1102)</f>
        <v>0</v>
      </c>
      <c r="F1188" s="274">
        <f>SUMIFS(X$7:X$1102,C$7:C$1102,"Iskra",AD$7:AD$1102,"OK")</f>
        <v>0</v>
      </c>
      <c r="G1188" s="275"/>
      <c r="H1188" s="279"/>
      <c r="I1188" s="258"/>
      <c r="J1188" s="262"/>
      <c r="K1188" s="262"/>
      <c r="L1188" s="262"/>
      <c r="M1188" s="262"/>
      <c r="N1188" s="262"/>
      <c r="O1188" s="262"/>
      <c r="P1188" s="262"/>
      <c r="Q1188" s="262"/>
      <c r="R1188" s="262"/>
      <c r="S1188" s="262"/>
      <c r="T1188" s="262"/>
      <c r="U1188" s="262"/>
      <c r="V1188" s="262"/>
      <c r="W1188" s="262"/>
      <c r="X1188" s="262"/>
      <c r="Y1188" s="262"/>
      <c r="Z1188" s="262"/>
    </row>
    <row r="1189" spans="1:26" ht="15.75" x14ac:dyDescent="0.25">
      <c r="B1189" s="258">
        <f t="shared" si="409"/>
        <v>77</v>
      </c>
      <c r="C1189" s="287" t="s">
        <v>241</v>
      </c>
      <c r="D1189" s="277">
        <f>SUMIF(C7:C1102,"italweber",D7:D1102)</f>
        <v>0</v>
      </c>
      <c r="E1189" s="292">
        <f>SUMIF(C7:C1102,"italweber",X7:X1102)</f>
        <v>0</v>
      </c>
      <c r="F1189" s="274">
        <f>SUMIFS(X$7:X$1102,C$7:C$1102,"Italweber",AD$7:AD$1102,"OK")</f>
        <v>0</v>
      </c>
      <c r="G1189" s="293">
        <f>SUMIFS(D$7:D$1102,C$7:C$1102,"ITALWEBER",AD$7:AD$1102,"OK")</f>
        <v>0</v>
      </c>
      <c r="H1189" s="294"/>
      <c r="J1189" s="262"/>
      <c r="O1189" s="295"/>
    </row>
    <row r="1190" spans="1:26" ht="15.75" x14ac:dyDescent="0.25">
      <c r="B1190" s="258">
        <f t="shared" si="409"/>
        <v>78</v>
      </c>
      <c r="C1190" s="287" t="s">
        <v>205</v>
      </c>
      <c r="D1190" s="277">
        <f>SUMIF(C7:C1102,"Ite",D7:D1102)</f>
        <v>0</v>
      </c>
      <c r="E1190" s="292">
        <f>SUMIF(C7:C1102,"Ite",X7:X1102)</f>
        <v>0</v>
      </c>
      <c r="F1190" s="274">
        <f>SUMIFS(X$7:X$1102,C$7:C$1102,"Ite",AD$7:AD$1102,"OK")</f>
        <v>0</v>
      </c>
      <c r="G1190" s="293"/>
      <c r="H1190" s="294"/>
      <c r="J1190" s="262"/>
      <c r="O1190" s="295"/>
    </row>
    <row r="1191" spans="1:26" ht="15.75" x14ac:dyDescent="0.25">
      <c r="B1191" s="258"/>
      <c r="C1191" s="287" t="s">
        <v>399</v>
      </c>
      <c r="D1191" s="277">
        <f>SUMIF(C7:C1103,"LOMBARDO",D7:D1103)</f>
        <v>0</v>
      </c>
      <c r="E1191" s="292">
        <f>SUMIF(C7:C1103,"lombardo",X7:X1103)</f>
        <v>0</v>
      </c>
      <c r="F1191" s="274">
        <f>SUMIFS(X$7:X$1102,C$7:C$1102,"lombardo",AD$7:AD$1102,"OK")</f>
        <v>0</v>
      </c>
      <c r="G1191" s="293"/>
      <c r="H1191" s="294"/>
      <c r="J1191" s="262"/>
      <c r="O1191" s="295"/>
    </row>
    <row r="1192" spans="1:26" ht="15.75" x14ac:dyDescent="0.25">
      <c r="B1192" s="258">
        <f>+B1190+1</f>
        <v>79</v>
      </c>
      <c r="C1192" s="287" t="s">
        <v>332</v>
      </c>
      <c r="D1192" s="277">
        <f>SUMIF(C7:C1102,"jara",D7:D1102)</f>
        <v>0</v>
      </c>
      <c r="E1192" s="292">
        <f>SUMIF(C7:C1102,"jara",X7:X1102)</f>
        <v>0</v>
      </c>
      <c r="F1192" s="274">
        <f>SUMIFS(X$7:X$1102,C$7:C$1102,"jara",AD$7:AD$1102,"OK")</f>
        <v>0</v>
      </c>
      <c r="G1192" s="293"/>
      <c r="H1192" s="294"/>
      <c r="J1192" s="262"/>
      <c r="O1192" s="295"/>
    </row>
    <row r="1193" spans="1:26" ht="15.75" x14ac:dyDescent="0.25">
      <c r="A1193" s="222" t="s">
        <v>273</v>
      </c>
      <c r="B1193" s="258">
        <f t="shared" si="409"/>
        <v>80</v>
      </c>
      <c r="C1193" s="288" t="s">
        <v>171</v>
      </c>
      <c r="D1193" s="277">
        <f>SUMIF(C7:C1102,"jast",D7:D1102)</f>
        <v>0</v>
      </c>
      <c r="E1193" s="292">
        <f>SUMIF(C7:C1102,"jast",X7:X1102)</f>
        <v>0</v>
      </c>
      <c r="F1193" s="274">
        <f>SUMIFS(X$7:X$1102,C$7:C$1102,"Jast",AD$7:AD$1102,"OK")</f>
        <v>0</v>
      </c>
      <c r="G1193" s="293"/>
      <c r="H1193" s="294"/>
      <c r="J1193" s="262"/>
      <c r="O1193" s="295"/>
    </row>
    <row r="1194" spans="1:26" ht="15.75" x14ac:dyDescent="0.25">
      <c r="A1194" s="222" t="s">
        <v>273</v>
      </c>
      <c r="B1194" s="258">
        <f t="shared" si="409"/>
        <v>81</v>
      </c>
      <c r="C1194" s="288" t="s">
        <v>163</v>
      </c>
      <c r="D1194" s="277">
        <f>SUMIF(C$7:C$1102,"KM",D$7:D$1102)</f>
        <v>0</v>
      </c>
      <c r="E1194" s="292">
        <f>SUMIF(C$7:C$1102,"KM",X$7:X$1102)</f>
        <v>0</v>
      </c>
      <c r="F1194" s="274">
        <f>SUMIFS(X$7:X$1102,C$7:C$1102,"KM",AD$7:AD$1102,"OK")</f>
        <v>0</v>
      </c>
      <c r="G1194" s="293"/>
      <c r="H1194" s="294"/>
      <c r="J1194" s="262"/>
      <c r="O1194" s="295"/>
    </row>
    <row r="1195" spans="1:26" ht="15.75" x14ac:dyDescent="0.25">
      <c r="B1195" s="258">
        <f t="shared" si="409"/>
        <v>82</v>
      </c>
      <c r="C1195" s="287" t="s">
        <v>393</v>
      </c>
      <c r="D1195" s="277">
        <f>SUMIF(C$7:C$1102,"leam",D$7:D$1102)</f>
        <v>120</v>
      </c>
      <c r="E1195" s="292">
        <f>SUMIF(C$7:C$1102,"leam",X$7:X$1102)</f>
        <v>18</v>
      </c>
      <c r="F1195" s="274">
        <f>SUMIFS(X$7:X$1102,C$7:C$1102,"leam",AD$7:AD$1102,"OK")</f>
        <v>0</v>
      </c>
      <c r="G1195" s="293">
        <f>SUMIFS(D$7:D$1102,C$7:C$1102,"leam",AD$7:AD$1102,"OK")</f>
        <v>0</v>
      </c>
      <c r="H1195" s="294"/>
      <c r="J1195" s="262"/>
      <c r="O1195" s="295"/>
    </row>
    <row r="1196" spans="1:26" ht="15.75" x14ac:dyDescent="0.25">
      <c r="B1196" s="258">
        <f t="shared" si="409"/>
        <v>83</v>
      </c>
      <c r="C1196" s="289" t="s">
        <v>339</v>
      </c>
      <c r="D1196" s="277">
        <f>SUMIF(C7:C1102,"Lifasa",D7:D1102)</f>
        <v>0</v>
      </c>
      <c r="E1196" s="292">
        <f>SUMIF(C7:C1102,"lifasa",X7:X1102)</f>
        <v>0</v>
      </c>
      <c r="F1196" s="274">
        <f>SUMIFS(X$7:X$1102,C$7:C$1102,"lifasa",AD$7:AD$1102,"OK")</f>
        <v>0</v>
      </c>
      <c r="G1196" s="293">
        <f>SUMIFS(D$7:D$1102,C$7:C$1102,"lifasa",AD$7:AD$1102,"OK")</f>
        <v>0</v>
      </c>
      <c r="H1196" s="294"/>
      <c r="J1196" s="262"/>
      <c r="O1196" s="295"/>
    </row>
    <row r="1197" spans="1:26" ht="15.75" x14ac:dyDescent="0.25">
      <c r="B1197" s="258">
        <f t="shared" si="409"/>
        <v>84</v>
      </c>
      <c r="C1197" s="296" t="s">
        <v>116</v>
      </c>
      <c r="D1197" s="277">
        <f>SUMIF(C7:C1102,"Mace",D7:D1102)</f>
        <v>0</v>
      </c>
      <c r="E1197" s="292">
        <f>SUMIF(C7:C1102,"Mace",X7:X1102)</f>
        <v>0</v>
      </c>
      <c r="F1197" s="274">
        <f>SUMIFS(X$7:X$1102,C$7:C$1102,"Mace",AD$7:AD$1102,"OK")</f>
        <v>0</v>
      </c>
      <c r="G1197" s="293">
        <f>SUMIFS(D$7:D$1102,C$7:C$1102,"mace",AD$7:AD$1102,"OK")</f>
        <v>0</v>
      </c>
      <c r="H1197" s="294"/>
      <c r="J1197" s="262"/>
      <c r="O1197" s="295"/>
    </row>
    <row r="1198" spans="1:26" ht="15.75" x14ac:dyDescent="0.25">
      <c r="B1198" s="258">
        <f t="shared" si="409"/>
        <v>85</v>
      </c>
      <c r="C1198" s="287" t="s">
        <v>396</v>
      </c>
      <c r="D1198" s="277">
        <f>SUMIF(C$7:C$1102,"Mangoldt",D$7:D$1102)</f>
        <v>38777</v>
      </c>
      <c r="E1198" s="292">
        <f>SUMIF(C$7:C$1102,"Mangoldt",X$7:X$1102)</f>
        <v>2780.87</v>
      </c>
      <c r="F1198" s="274">
        <f>SUMIFS(X$7:X$1102,C$7:C$1102,"Mangoldt",AD$7:AD$1102,"OK")</f>
        <v>0</v>
      </c>
      <c r="G1198" s="293">
        <f>SUMIFS(D$7:D$1102,C$7:C$1102,"mangoldt",AD$7:AD$1102,"OK")</f>
        <v>0</v>
      </c>
      <c r="H1198" s="294"/>
      <c r="J1198" s="262"/>
      <c r="O1198" s="295"/>
    </row>
    <row r="1199" spans="1:26" ht="15.75" x14ac:dyDescent="0.25">
      <c r="B1199" s="258">
        <f t="shared" si="409"/>
        <v>86</v>
      </c>
      <c r="C1199" s="287" t="s">
        <v>260</v>
      </c>
      <c r="D1199" s="277">
        <f>SUMIF(C7:C1102,"Mec",D7:D1102)</f>
        <v>2591</v>
      </c>
      <c r="E1199" s="292">
        <f>SUMIF(C7:C1102,"Mec",X7:X1102)</f>
        <v>175.79000000000002</v>
      </c>
      <c r="F1199" s="274">
        <f>SUMIFS(X$7:X$1102,C$7:C$1102,"Mec",AD$7:AD$1102,"OK")</f>
        <v>0</v>
      </c>
      <c r="G1199" s="293">
        <f>SUMIFS(D$7:D$1102,C$7:C$1102,"mec",AD$7:AD$1102,"OK")</f>
        <v>0</v>
      </c>
      <c r="H1199" s="294"/>
      <c r="J1199" s="262"/>
      <c r="O1199" s="295"/>
    </row>
    <row r="1200" spans="1:26" ht="15.75" x14ac:dyDescent="0.25">
      <c r="B1200" s="258">
        <f t="shared" si="409"/>
        <v>87</v>
      </c>
      <c r="C1200" s="296" t="s">
        <v>92</v>
      </c>
      <c r="D1200" s="277">
        <f>SUMIF(C$7:C$1102,"Meca",D$7:D$1102)</f>
        <v>37687</v>
      </c>
      <c r="E1200" s="292">
        <f>SUMIF(C$7:C$1102,"Meca",X$7:X$1102)</f>
        <v>2638.09</v>
      </c>
      <c r="F1200" s="274">
        <f>SUMIFS(X$7:X$1102,C$7:C$1102,"Meca",AD$7:AD$1102,"OK")</f>
        <v>0</v>
      </c>
      <c r="G1200" s="293">
        <f>SUMIFS(D$7:D$1102,C$7:C$1102,"meca",AD$7:AD$1102,"OK")</f>
        <v>0</v>
      </c>
      <c r="H1200" s="294"/>
      <c r="J1200" s="262"/>
      <c r="O1200" s="295"/>
    </row>
    <row r="1201" spans="1:15" ht="15.75" x14ac:dyDescent="0.25">
      <c r="B1201" s="258">
        <f t="shared" si="409"/>
        <v>88</v>
      </c>
      <c r="C1201" s="287" t="s">
        <v>375</v>
      </c>
      <c r="D1201" s="277">
        <f>SUMIF(C$7:C$1102,"Metaltrasfo",D$7:D$1102)</f>
        <v>0</v>
      </c>
      <c r="E1201" s="292">
        <f>SUMIF(C$7:C$1102,"Metaltrasfo",X$7:X$1102)</f>
        <v>0</v>
      </c>
      <c r="F1201" s="274">
        <f>SUMIFS(X$7:X$1102,C$7:C$1102,"Metaltrasfo",AD$7:AD$1102,"OK")</f>
        <v>0</v>
      </c>
      <c r="G1201" s="293">
        <f>SUMIFS(D$7:D$1102,C$7:C$1102,"metaltrasfo",AD$7:AD$1102,"OK")</f>
        <v>0</v>
      </c>
      <c r="H1201" s="294"/>
      <c r="J1201" s="262"/>
      <c r="O1201" s="295"/>
    </row>
    <row r="1202" spans="1:15" ht="15.75" x14ac:dyDescent="0.25">
      <c r="B1202" s="258"/>
      <c r="C1202" s="287" t="s">
        <v>719</v>
      </c>
      <c r="D1202" s="277">
        <f>SUMIF(C$7:C$1102,"Metalprofili",D$7:D$1102)</f>
        <v>2500</v>
      </c>
      <c r="E1202" s="292">
        <f>SUMIF(C$7:C$1102,"Metalprofili",X$7:X$1102)</f>
        <v>250</v>
      </c>
      <c r="F1202" s="274">
        <f>SUMIFS(X$7:X$1102,C$7:C$1102,"Metalprofili",AD$7:AD$1102,"OK")</f>
        <v>0</v>
      </c>
      <c r="G1202" s="293">
        <f>SUMIFS(D$7:D$1102,C$7:C$1102,"Metalprofili",AD$7:AD$1102,"OK")</f>
        <v>0</v>
      </c>
      <c r="H1202" s="294"/>
      <c r="J1202" s="262"/>
      <c r="O1202" s="295"/>
    </row>
    <row r="1203" spans="1:15" ht="15.75" x14ac:dyDescent="0.25">
      <c r="B1203" s="258">
        <f>+B1201+1</f>
        <v>89</v>
      </c>
      <c r="C1203" s="287" t="s">
        <v>304</v>
      </c>
      <c r="D1203" s="277">
        <f>SUMIF(C$7:C$1102,"Meth",D$7:D$1102)</f>
        <v>726</v>
      </c>
      <c r="E1203" s="292">
        <f>SUMIF(C$7:C$1102,"Meth",X$7:X$1102)</f>
        <v>108.9</v>
      </c>
      <c r="F1203" s="274">
        <f>SUMIFS(X$7:X$1102,C$7:C$1102,"Meth",AD$7:AD$1102,"OK")</f>
        <v>0</v>
      </c>
      <c r="G1203" s="293">
        <f>SUMIFS(D$7:D$1102,C$7:C$1102,"meth",AD$7:AD$1102,"OK")</f>
        <v>0</v>
      </c>
      <c r="H1203" s="294"/>
      <c r="J1203" s="262"/>
      <c r="O1203" s="295"/>
    </row>
    <row r="1204" spans="1:15" ht="15.75" x14ac:dyDescent="0.25">
      <c r="B1204" s="258">
        <f t="shared" si="409"/>
        <v>90</v>
      </c>
      <c r="C1204" s="296" t="s">
        <v>108</v>
      </c>
      <c r="D1204" s="277">
        <f>SUMIF(C7:C1102,"MF",D7:D1102)</f>
        <v>89491</v>
      </c>
      <c r="E1204" s="292">
        <f>SUMIF(C7:C1102,"MF",X7:X1102)</f>
        <v>6338.41</v>
      </c>
      <c r="F1204" s="274">
        <f>SUMIFS(X$7:X$1102,C$7:C$1102,"MF",AD$7:AD$1102,"OK")</f>
        <v>0</v>
      </c>
      <c r="G1204" s="293">
        <f>SUMIFS(D$7:D$1102,C$7:C$1102,"mf",AD$7:AD$1102,"OK")</f>
        <v>0</v>
      </c>
      <c r="H1204" s="294"/>
      <c r="J1204" s="262"/>
      <c r="O1204" s="295"/>
    </row>
    <row r="1205" spans="1:15" ht="15.75" x14ac:dyDescent="0.25">
      <c r="B1205" s="258">
        <f t="shared" si="409"/>
        <v>91</v>
      </c>
      <c r="C1205" s="287" t="s">
        <v>125</v>
      </c>
      <c r="D1205" s="277">
        <f>SUMIF(C7:C1102,"MG",D7:D1102)</f>
        <v>0</v>
      </c>
      <c r="E1205" s="292">
        <f>SUMIF(C7:C1102,"MG",X7:X1102)</f>
        <v>0</v>
      </c>
      <c r="F1205" s="274">
        <f>SUMIFS(X$7:X$1102,C$7:C$1102,"MG",AD$7:AD$1102,"OK")</f>
        <v>0</v>
      </c>
      <c r="G1205" s="293">
        <f>SUMIFS(D$7:D$1102,C$7:C$1102,"mg",AD$7:AD$1102,"OK")</f>
        <v>0</v>
      </c>
      <c r="H1205" s="294"/>
      <c r="J1205" s="262"/>
      <c r="O1205" s="295"/>
    </row>
    <row r="1206" spans="1:15" ht="15.75" x14ac:dyDescent="0.25">
      <c r="B1206" s="258">
        <f t="shared" si="409"/>
        <v>92</v>
      </c>
      <c r="C1206" s="287" t="s">
        <v>269</v>
      </c>
      <c r="D1206" s="277">
        <f>SUMIF(C7:C1102,"MINIFABER",D7:D1102)</f>
        <v>3200</v>
      </c>
      <c r="E1206" s="292">
        <f>SUMIF(C7:C1102,"Minifaber",X7:X1102)</f>
        <v>440</v>
      </c>
      <c r="F1206" s="274">
        <f>SUMIFS(X$7:X$1102,C$7:C$1102,"Minifaber",AD$7:AD$1102,"OK")</f>
        <v>0</v>
      </c>
      <c r="G1206" s="293">
        <f>SUMIFS(D$7:D$1102,C$7:C$1102,"minifaber",AD$7:AD$1102,"OK")</f>
        <v>0</v>
      </c>
      <c r="H1206" s="294"/>
      <c r="J1206" s="262"/>
      <c r="O1206" s="295"/>
    </row>
    <row r="1207" spans="1:15" ht="15.75" x14ac:dyDescent="0.25">
      <c r="B1207" s="258">
        <f t="shared" si="409"/>
        <v>93</v>
      </c>
      <c r="C1207" s="287" t="s">
        <v>191</v>
      </c>
      <c r="D1207" s="277">
        <f>SUMIF(C7:C1102,"mottura",D7:D1102)</f>
        <v>0</v>
      </c>
      <c r="E1207" s="292">
        <f>SUMIF(C7:C1102,"Mottura",X7:X1102)</f>
        <v>0</v>
      </c>
      <c r="F1207" s="274">
        <f>SUMIFS(X$7:X$1102,C$7:C$1102,"Mottura",AD$7:AD$1102,"OK")</f>
        <v>0</v>
      </c>
      <c r="G1207" s="297">
        <f>SUMIFS(D$7:D$1102,C$7:C$1102,"mottura",AD$7:AD$1102,"OK")</f>
        <v>0</v>
      </c>
      <c r="H1207" s="294"/>
      <c r="I1207" s="267"/>
      <c r="J1207" s="262"/>
      <c r="O1207" s="295"/>
    </row>
    <row r="1208" spans="1:15" ht="15.75" x14ac:dyDescent="0.25">
      <c r="B1208" s="258">
        <f t="shared" si="409"/>
        <v>94</v>
      </c>
      <c r="C1208" s="287" t="s">
        <v>206</v>
      </c>
      <c r="D1208" s="277">
        <f>SUMIF(C7:C1102,"Montrucchio",D7:D1102)</f>
        <v>900</v>
      </c>
      <c r="E1208" s="292">
        <f>SUMIF(C7:C1102,"Montrucchio",X7:X1102)</f>
        <v>135</v>
      </c>
      <c r="F1208" s="274">
        <f>SUMIFS(X$7:X$1102,C$7:C$1102,"Montrucchio",AD$7:AD$1102,"OK")</f>
        <v>0</v>
      </c>
      <c r="G1208" s="293"/>
      <c r="H1208" s="294"/>
      <c r="J1208" s="262"/>
      <c r="O1208" s="295"/>
    </row>
    <row r="1209" spans="1:15" ht="15.75" x14ac:dyDescent="0.25">
      <c r="A1209" s="222" t="s">
        <v>273</v>
      </c>
      <c r="B1209" s="258">
        <f t="shared" si="409"/>
        <v>95</v>
      </c>
      <c r="C1209" s="298" t="s">
        <v>101</v>
      </c>
      <c r="D1209" s="277">
        <f>SUMIF(C7:C1102,"MP",D7:D1102)</f>
        <v>0</v>
      </c>
      <c r="E1209" s="292">
        <f>SUMIF(C7:C1102,"MP",X7:X1102)</f>
        <v>0</v>
      </c>
      <c r="F1209" s="274">
        <f>SUMIFS(X$7:X$1102,C$7:C$1102,"MP",AD$7:AD$1102,"OK")</f>
        <v>0</v>
      </c>
      <c r="G1209" s="293"/>
      <c r="H1209" s="294"/>
      <c r="J1209" s="262"/>
      <c r="O1209" s="295"/>
    </row>
    <row r="1210" spans="1:15" ht="15.75" x14ac:dyDescent="0.25">
      <c r="A1210" s="222" t="s">
        <v>273</v>
      </c>
      <c r="B1210" s="258">
        <f t="shared" si="409"/>
        <v>96</v>
      </c>
      <c r="C1210" s="288" t="s">
        <v>209</v>
      </c>
      <c r="D1210" s="277">
        <f>SUMIF(C7:C1102,"MTP",D7:D1102)</f>
        <v>0</v>
      </c>
      <c r="E1210" s="292">
        <f>SUMIF(C7:C1102,"MTP",X7:X1102)</f>
        <v>0</v>
      </c>
      <c r="F1210" s="274">
        <f>SUMIFS(X$7:X$1102,C$7:C$1102,"Mtp",AD$7:AD$1102,"OK")</f>
        <v>0</v>
      </c>
      <c r="G1210" s="293"/>
      <c r="H1210" s="294"/>
      <c r="J1210" s="262"/>
      <c r="O1210" s="295"/>
    </row>
    <row r="1211" spans="1:15" ht="15.75" x14ac:dyDescent="0.25">
      <c r="B1211" s="258">
        <f t="shared" si="409"/>
        <v>97</v>
      </c>
      <c r="C1211" s="287" t="s">
        <v>360</v>
      </c>
      <c r="D1211" s="277">
        <f>SUMIF(C$7:C$1102,"Necom",D$7:D$1102)</f>
        <v>0</v>
      </c>
      <c r="E1211" s="292">
        <f>SUMIF(C$7:C$1102,"Necom",X$7:X$1102)</f>
        <v>0</v>
      </c>
      <c r="F1211" s="274">
        <f>SUMIFS(X$7:X$1102,C$7:C$1102,"Necom",AD$7:AD$1102,"OK")</f>
        <v>0</v>
      </c>
      <c r="G1211" s="293">
        <f>SUMIFS(D$7:D$1102,C$7:C$1102,"necom",AD$7:AD$1102,"OK")</f>
        <v>0</v>
      </c>
      <c r="H1211" s="294"/>
      <c r="J1211" s="262"/>
      <c r="O1211" s="295"/>
    </row>
    <row r="1212" spans="1:15" ht="15.75" x14ac:dyDescent="0.25">
      <c r="B1212" s="258">
        <f t="shared" si="409"/>
        <v>98</v>
      </c>
      <c r="C1212" s="287" t="s">
        <v>374</v>
      </c>
      <c r="D1212" s="277">
        <f>SUMIF(C$7:C$1102,"Nts",D$7:D$1102)</f>
        <v>0</v>
      </c>
      <c r="E1212" s="292">
        <f>SUMIF(C$7:C$1102,"Nts",X$7:X$1102)</f>
        <v>0</v>
      </c>
      <c r="F1212" s="274">
        <f>SUMIFS(X$7:X$1102,C$7:C$1102,"Nts",AD$7:AD$1102,"OK")</f>
        <v>0</v>
      </c>
      <c r="G1212" s="293">
        <f>SUMIFS(D$7:D$1102,C$7:C$1102,"nts",AD$7:AD$1102,"OK")</f>
        <v>0</v>
      </c>
      <c r="H1212" s="294"/>
      <c r="J1212" s="262"/>
      <c r="O1212" s="295"/>
    </row>
    <row r="1213" spans="1:15" ht="15.75" x14ac:dyDescent="0.25">
      <c r="B1213" s="258">
        <f t="shared" si="409"/>
        <v>99</v>
      </c>
      <c r="C1213" s="287" t="s">
        <v>261</v>
      </c>
      <c r="D1213" s="277">
        <f>SUMIF(C7:C1102,"new cta",D7:D1102)</f>
        <v>0</v>
      </c>
      <c r="E1213" s="292">
        <f>SUMIF(C7:C1102,"new cta",X7:X1102)</f>
        <v>0</v>
      </c>
      <c r="F1213" s="274">
        <f>SUMIFS(X$7:X$1102,C$7:C$1102,"New Cta",AD$7:AD$1102,"OK")</f>
        <v>0</v>
      </c>
      <c r="G1213" s="293"/>
      <c r="H1213" s="294"/>
      <c r="J1213" s="262"/>
      <c r="O1213" s="295"/>
    </row>
    <row r="1214" spans="1:15" ht="15.75" x14ac:dyDescent="0.25">
      <c r="B1214" s="258">
        <f t="shared" si="409"/>
        <v>100</v>
      </c>
      <c r="C1214" s="296" t="s">
        <v>102</v>
      </c>
      <c r="D1214" s="277">
        <f>SUMIF(C7:C1102,"Newton",D7:D1102)</f>
        <v>67985.7</v>
      </c>
      <c r="E1214" s="292">
        <f>SUMIF(C7:C1102,"Newton",X7:X1102)</f>
        <v>4967.4390000000003</v>
      </c>
      <c r="F1214" s="274">
        <f>SUMIFS(X$7:X$1102,C$7:C$1102,"Newton",AD$7:AD$1102,"OK")</f>
        <v>0</v>
      </c>
      <c r="G1214" s="293">
        <f>SUMIFS(D$7:D$1102,C$7:C$1102,"newton",AD$7:AD$1102,"OK")</f>
        <v>0</v>
      </c>
      <c r="H1214" s="294"/>
      <c r="J1214" s="262"/>
      <c r="O1214" s="295"/>
    </row>
    <row r="1215" spans="1:15" ht="15.75" x14ac:dyDescent="0.25">
      <c r="B1215" s="258">
        <f t="shared" si="409"/>
        <v>101</v>
      </c>
      <c r="C1215" s="287" t="s">
        <v>251</v>
      </c>
      <c r="D1215" s="277">
        <f>SUMIF(C7:C1102,"Ocrem",D7:D1102)</f>
        <v>0</v>
      </c>
      <c r="E1215" s="292">
        <f>SUMIF(C7:C1102,"ocrem",X7:X1102)</f>
        <v>0</v>
      </c>
      <c r="F1215" s="274">
        <f>SUMIFS(X$7:X$1102,C$7:C$1102,"Ocrem",AD$7:AD$1102,"OK")</f>
        <v>0</v>
      </c>
      <c r="G1215" s="293">
        <f>SUMIFS(D$7:D$1102,C$7:C$1102,"ocrem",AD$7:AD$1102,"OK")</f>
        <v>0</v>
      </c>
      <c r="H1215" s="294"/>
      <c r="J1215" s="262"/>
      <c r="O1215" s="295"/>
    </row>
    <row r="1216" spans="1:15" ht="15.75" x14ac:dyDescent="0.25">
      <c r="B1216" s="258">
        <f t="shared" si="409"/>
        <v>102</v>
      </c>
      <c r="C1216" s="287" t="s">
        <v>246</v>
      </c>
      <c r="D1216" s="277">
        <f>SUMIF(C7:C1102,"Ocrev",D7:D1102)</f>
        <v>3878</v>
      </c>
      <c r="E1216" s="292">
        <f>SUMIF(C7:C1102,"ocrev",X7:X1102)</f>
        <v>271.46000000000004</v>
      </c>
      <c r="F1216" s="274">
        <f>SUMIFS(X$7:X$1102,C$7:C$1102,"Ocrev",AD$7:AD$1102,"OK")</f>
        <v>0</v>
      </c>
      <c r="G1216" s="293">
        <f>SUMIFS(D$7:D$1102,C$7:C$1102,"ocrev",AD$7:AD$1102,"OK")</f>
        <v>0</v>
      </c>
      <c r="H1216" s="294"/>
      <c r="J1216" s="262"/>
      <c r="O1216" s="295"/>
    </row>
    <row r="1217" spans="1:15" ht="15.75" x14ac:dyDescent="0.25">
      <c r="A1217" s="222" t="s">
        <v>273</v>
      </c>
      <c r="B1217" s="258">
        <f t="shared" si="409"/>
        <v>103</v>
      </c>
      <c r="C1217" s="288" t="s">
        <v>249</v>
      </c>
      <c r="D1217" s="277">
        <f>SUMIF(C3:C1102,"Okram",D3:D1102)</f>
        <v>0</v>
      </c>
      <c r="E1217" s="292">
        <f>SUMIF(C3:C1102,"okram",X3:X1102)</f>
        <v>0</v>
      </c>
      <c r="F1217" s="274">
        <f>SUMIFS(X$7:X$1102,C$7:C$1102,"Okram",AD$7:AD$1102,"OK")</f>
        <v>0</v>
      </c>
      <c r="G1217" s="293"/>
      <c r="H1217" s="294"/>
      <c r="J1217" s="262"/>
      <c r="O1217" s="295"/>
    </row>
    <row r="1218" spans="1:15" ht="15.75" x14ac:dyDescent="0.25">
      <c r="B1218" s="258">
        <f t="shared" si="409"/>
        <v>104</v>
      </c>
      <c r="C1218" s="296" t="s">
        <v>207</v>
      </c>
      <c r="D1218" s="277">
        <f>SUMIF(C7:C1102,"ortea",D7:D1102)</f>
        <v>0</v>
      </c>
      <c r="E1218" s="292">
        <f>SUMIF(C7:C1102,"ortea",X7:X1102)</f>
        <v>0</v>
      </c>
      <c r="F1218" s="274">
        <f>SUMIFS(X$7:X$1102,C$7:C$1102,"Ortea",AD$7:AD$1102,"OK")</f>
        <v>0</v>
      </c>
      <c r="G1218" s="293">
        <f>SUMIFS(D$7:D$1102,C$7:C$1102,"ortea",AD$7:AD$1102,"OK")</f>
        <v>0</v>
      </c>
      <c r="H1218" s="294"/>
      <c r="J1218" s="262"/>
      <c r="O1218" s="295"/>
    </row>
    <row r="1219" spans="1:15" ht="15.75" x14ac:dyDescent="0.25">
      <c r="B1219" s="258"/>
      <c r="C1219" s="287" t="s">
        <v>418</v>
      </c>
      <c r="D1219" s="277">
        <f>SUMIF(C7:C1103,"ottavi",D7:D1103)</f>
        <v>73499</v>
      </c>
      <c r="E1219" s="292">
        <f>SUMIF(C7:C1103,"ottavi",X7:X1103)</f>
        <v>4544.93</v>
      </c>
      <c r="F1219" s="274">
        <f>SUMIFS(X$7:X$1102,C$7:C$1102,"Ottavi",AD$7:AD$1102,"OK")</f>
        <v>0</v>
      </c>
      <c r="G1219" s="293">
        <f>SUMIFS(D$7:D$1102,C$7:C$1102,"ottavi",AD$7:AD$1102,"OK")</f>
        <v>0</v>
      </c>
      <c r="H1219" s="294"/>
      <c r="J1219" s="262"/>
      <c r="O1219" s="295"/>
    </row>
    <row r="1220" spans="1:15" ht="15.75" x14ac:dyDescent="0.25">
      <c r="B1220" s="258"/>
      <c r="C1220" s="287" t="s">
        <v>402</v>
      </c>
      <c r="D1220" s="277">
        <f>SUMIF(C7:C1103,"pat",D7:D1103)</f>
        <v>374</v>
      </c>
      <c r="E1220" s="292">
        <f>SUMIF(C7:C1103,"pat",X7:X1103)</f>
        <v>26.18</v>
      </c>
      <c r="F1220" s="274">
        <f>SUMIFS(X$7:X$1102,C$7:C$1102,"pat",AD$7:AD$1102,"OK")</f>
        <v>0</v>
      </c>
      <c r="G1220" s="293">
        <f>SUMIFS(D$7:D$1102,C$7:C$1102,"pat",AD$7:AD$1102,"OK")</f>
        <v>0</v>
      </c>
      <c r="H1220" s="294"/>
      <c r="J1220" s="262"/>
      <c r="O1220" s="295"/>
    </row>
    <row r="1221" spans="1:15" ht="15.75" x14ac:dyDescent="0.25">
      <c r="A1221" s="222" t="s">
        <v>273</v>
      </c>
      <c r="B1221" s="258">
        <f>+B1218+1</f>
        <v>105</v>
      </c>
      <c r="C1221" s="288" t="s">
        <v>198</v>
      </c>
      <c r="D1221" s="277">
        <f>SUMIF(C7:C1102,"Pcm",D7:D1102)</f>
        <v>0</v>
      </c>
      <c r="E1221" s="292">
        <f>SUMIF(C7:C1102,"pcm",X7:X1102)</f>
        <v>0</v>
      </c>
      <c r="F1221" s="274">
        <f>SUMIFS(X$7:X$1102,C$7:C$1102,"PMC",AD$7:AD$1102,"OK")</f>
        <v>0</v>
      </c>
      <c r="G1221" s="293"/>
      <c r="H1221" s="294"/>
      <c r="J1221" s="262"/>
      <c r="O1221" s="295"/>
    </row>
    <row r="1222" spans="1:15" ht="15.75" x14ac:dyDescent="0.25">
      <c r="B1222" s="258">
        <f t="shared" si="409"/>
        <v>106</v>
      </c>
      <c r="C1222" s="296" t="s">
        <v>98</v>
      </c>
      <c r="D1222" s="277">
        <f>SUMIF(C7:C1102,"Piola",D7:D1102)</f>
        <v>0</v>
      </c>
      <c r="E1222" s="292">
        <f>SUMIF(C7:C1102,"Piola",X7:X1102)</f>
        <v>0</v>
      </c>
      <c r="F1222" s="274">
        <f>SUMIFS(X$7:X$1102,C$7:C$1102,"Piola",AD$7:AD$1102,"OK")</f>
        <v>0</v>
      </c>
      <c r="G1222" s="293"/>
      <c r="H1222" s="294"/>
      <c r="J1222" s="262"/>
      <c r="O1222" s="295"/>
    </row>
    <row r="1223" spans="1:15" ht="15.75" x14ac:dyDescent="0.25">
      <c r="B1223" s="258">
        <f t="shared" si="409"/>
        <v>107</v>
      </c>
      <c r="C1223" s="296" t="s">
        <v>103</v>
      </c>
      <c r="D1223" s="277">
        <f>SUMIF(C7:C1102,"Piossasco",D7:D1102)</f>
        <v>4806</v>
      </c>
      <c r="E1223" s="292">
        <f>SUMIF(C7:C1102,"Piossasco",X7:X1102)</f>
        <v>234.74</v>
      </c>
      <c r="F1223" s="274">
        <f>SUMIFS(X$7:X$1102,C$7:C$1102,"Piossasco",AD$7:AD$1102,"OK")</f>
        <v>0</v>
      </c>
      <c r="G1223" s="293">
        <f>SUMIFS(D$7:D$1102,C$7:C$1102,"piossasco",AD$7:AD$1102,"OK")</f>
        <v>0</v>
      </c>
      <c r="H1223" s="294"/>
      <c r="J1223" s="262"/>
      <c r="O1223" s="295"/>
    </row>
    <row r="1224" spans="1:15" ht="15.75" x14ac:dyDescent="0.25">
      <c r="B1224" s="258">
        <f t="shared" si="409"/>
        <v>108</v>
      </c>
      <c r="C1224" s="287" t="s">
        <v>341</v>
      </c>
      <c r="D1224" s="277">
        <f>SUMIF(C7:C1102,"PM",D7:D1102)</f>
        <v>0</v>
      </c>
      <c r="E1224" s="292">
        <f>SUMIF(C7:C1102,"PM",X7:X1102)</f>
        <v>0</v>
      </c>
      <c r="F1224" s="274">
        <f>SUMIFS(X$7:X$1102,C$7:C$1102,"PM",AD$7:AD$1102,"OK")</f>
        <v>0</v>
      </c>
      <c r="G1224" s="293">
        <f>SUMIFS(D$7:D$1102,C$7:C$1102,"pM",AD$7:AD$1102,"OK")</f>
        <v>0</v>
      </c>
      <c r="H1224" s="294"/>
      <c r="J1224" s="262"/>
      <c r="O1224" s="295"/>
    </row>
    <row r="1225" spans="1:15" ht="15.75" x14ac:dyDescent="0.25">
      <c r="B1225" s="258">
        <f t="shared" si="409"/>
        <v>109</v>
      </c>
      <c r="C1225" s="289" t="s">
        <v>252</v>
      </c>
      <c r="D1225" s="299">
        <f>SUMIF(C7:C1102,"Power europe",D7:D1102)</f>
        <v>400</v>
      </c>
      <c r="E1225" s="300">
        <f>SUMIF(C7:C1102,"Power europe",X7:X1102)</f>
        <v>40</v>
      </c>
      <c r="F1225" s="301">
        <f>SUMIFS(X$7:X$1102,C$7:C$1102,"Power europe",AD$7:AD$1102,"OK")</f>
        <v>0</v>
      </c>
      <c r="G1225" s="297">
        <f>SUMIFS(D$7:D$1102,C$7:C$1102,"power europe",AD$7:AD$1102,"OK")</f>
        <v>0</v>
      </c>
      <c r="H1225" s="294"/>
      <c r="J1225" s="262"/>
      <c r="O1225" s="295"/>
    </row>
    <row r="1226" spans="1:15" ht="15.75" x14ac:dyDescent="0.25">
      <c r="B1226" s="258">
        <f t="shared" si="409"/>
        <v>110</v>
      </c>
      <c r="C1226" s="287" t="s">
        <v>172</v>
      </c>
      <c r="D1226" s="277">
        <f>SUMIF(C$7:C$1102,"pol",D$7:D$1102)</f>
        <v>0</v>
      </c>
      <c r="E1226" s="292">
        <f>SUMIF(C$7:C$1102,"pol",X$7:X$1102)</f>
        <v>0</v>
      </c>
      <c r="F1226" s="274">
        <f>SUMIFS(X$7:X$1102,C$7:C$1102,"Pol",AD$7:AD$1102,"OK")</f>
        <v>0</v>
      </c>
      <c r="G1226" s="293"/>
      <c r="H1226" s="294"/>
      <c r="J1226" s="262"/>
      <c r="O1226" s="295"/>
    </row>
    <row r="1227" spans="1:15" ht="15.75" x14ac:dyDescent="0.25">
      <c r="B1227" s="258">
        <f t="shared" si="409"/>
        <v>111</v>
      </c>
      <c r="C1227" s="287" t="s">
        <v>367</v>
      </c>
      <c r="D1227" s="277">
        <f>SUMIF(C$7:C$1102,"progetto stampi",D$7:D$1102)</f>
        <v>0</v>
      </c>
      <c r="E1227" s="292">
        <f>SUMIF(C$7:C$1102,"progetto stampi",X$7:X$1102)</f>
        <v>0</v>
      </c>
      <c r="F1227" s="274">
        <f>SUMIFS(X$7:X$1102,C$7:C$1102,"progetto stampi",AD$7:AD$1102,"OK")</f>
        <v>0</v>
      </c>
      <c r="G1227" s="293">
        <f>SUMIFS(D$7:D$1102,C$7:C$1102,"progetto stampi",AD$7:AD$1102,"OK")</f>
        <v>0</v>
      </c>
      <c r="H1227" s="294"/>
      <c r="J1227" s="262"/>
      <c r="O1227" s="295"/>
    </row>
    <row r="1228" spans="1:15" ht="15.75" x14ac:dyDescent="0.25">
      <c r="B1228" s="258">
        <f t="shared" si="409"/>
        <v>112</v>
      </c>
      <c r="C1228" s="287" t="s">
        <v>194</v>
      </c>
      <c r="D1228" s="277">
        <f>SUMIF(C7:C1102,"progress",D7:D1102)</f>
        <v>0</v>
      </c>
      <c r="E1228" s="292">
        <f>SUMIF(C7:C1102,"Progress",X7:X1102)</f>
        <v>0</v>
      </c>
      <c r="F1228" s="274">
        <f>SUMIFS(X$7:X$1102,C$7:C$1102,"Progress",AD$7:AD$1102,"OK")</f>
        <v>0</v>
      </c>
      <c r="G1228" s="293">
        <f>SUMIFS(D$7:D$1102,C$7:C$1102,"progress",AD$7:AD$1102,"OK")</f>
        <v>0</v>
      </c>
      <c r="H1228" s="294"/>
      <c r="J1228" s="262"/>
      <c r="O1228" s="295"/>
    </row>
    <row r="1229" spans="1:15" ht="15.75" x14ac:dyDescent="0.25">
      <c r="B1229" s="258">
        <f t="shared" si="409"/>
        <v>113</v>
      </c>
      <c r="C1229" s="296" t="s">
        <v>115</v>
      </c>
      <c r="D1229" s="277">
        <f>SUMIF(C7:C1102,"project",D7:D1102)</f>
        <v>0</v>
      </c>
      <c r="E1229" s="292">
        <f>SUMIF(C7:C1102,"Project",X7:X1102)</f>
        <v>0</v>
      </c>
      <c r="F1229" s="274">
        <f>SUMIFS(X$7:X$1102,C$7:C$1102,"Project",AD$7:AD$1102,"OK")</f>
        <v>0</v>
      </c>
      <c r="G1229" s="293"/>
      <c r="H1229" s="294"/>
      <c r="J1229" s="262"/>
      <c r="O1229" s="295"/>
    </row>
    <row r="1230" spans="1:15" ht="15.75" x14ac:dyDescent="0.25">
      <c r="B1230" s="258">
        <f t="shared" si="409"/>
        <v>114</v>
      </c>
      <c r="C1230" s="287" t="s">
        <v>195</v>
      </c>
      <c r="D1230" s="277">
        <f>SUMIF(C$7:C$1102,"rapeti",D$7:D$1102)</f>
        <v>0</v>
      </c>
      <c r="E1230" s="292">
        <f>SUMIF(C$7:C$1102,"rapeti",X$7:X$1102)</f>
        <v>0</v>
      </c>
      <c r="F1230" s="274">
        <f>SUMIFS(X$7:X$1102,C$7:C$1102,"Rapeti",AD$7:AD$1102,"OK")</f>
        <v>0</v>
      </c>
      <c r="G1230" s="293">
        <f>SUMIFS(D$7:D$1102,C$7:C$1102,"rapeti",AD$7:AD$1102,"OK")</f>
        <v>0</v>
      </c>
      <c r="H1230" s="294"/>
      <c r="J1230" s="262"/>
      <c r="O1230" s="295"/>
    </row>
    <row r="1231" spans="1:15" ht="15.75" x14ac:dyDescent="0.25">
      <c r="B1231" s="258">
        <f t="shared" si="409"/>
        <v>115</v>
      </c>
      <c r="C1231" s="287" t="s">
        <v>371</v>
      </c>
      <c r="D1231" s="277">
        <f>SUMIF(C$7:C$1102,"rasera",D$7:D$1102)</f>
        <v>0</v>
      </c>
      <c r="E1231" s="292">
        <f>SUMIF(C$7:C$1102,"rasera",X$7:X$1102)</f>
        <v>0</v>
      </c>
      <c r="F1231" s="274">
        <f>SUMIFS(X$7:X$1102,C$7:C$1102,"Rasera",AD$7:AD$1102,"OK")</f>
        <v>0</v>
      </c>
      <c r="G1231" s="293">
        <f>SUMIFS(D$7:D$1102,C$7:C$1102,"rasera",AD$7:AD$1102,"OK")</f>
        <v>0</v>
      </c>
      <c r="H1231" s="294"/>
      <c r="J1231" s="262"/>
      <c r="O1231" s="295"/>
    </row>
    <row r="1232" spans="1:15" ht="15.75" x14ac:dyDescent="0.25">
      <c r="A1232" s="222" t="s">
        <v>273</v>
      </c>
      <c r="B1232" s="258">
        <f t="shared" si="409"/>
        <v>116</v>
      </c>
      <c r="C1232" s="288" t="s">
        <v>270</v>
      </c>
      <c r="D1232" s="277">
        <f>SUMIF(C7:C1102,"ratto",D7:D1102)</f>
        <v>0</v>
      </c>
      <c r="E1232" s="292">
        <f>SUMIF(C7:C1102,"ratto",X7:X1102)</f>
        <v>0</v>
      </c>
      <c r="F1232" s="274">
        <f>SUMIFS(X$7:X$1102,C$7:C$1102,"Ratto",AD$7:AD$1102,"OK")</f>
        <v>0</v>
      </c>
      <c r="G1232" s="293"/>
      <c r="H1232" s="294"/>
      <c r="J1232" s="262"/>
      <c r="O1232" s="295"/>
    </row>
    <row r="1233" spans="1:15" ht="15.75" x14ac:dyDescent="0.25">
      <c r="B1233" s="258"/>
      <c r="C1233" s="287" t="s">
        <v>421</v>
      </c>
      <c r="D1233" s="277">
        <f>SUMIF(C7:C1103,"rausch",D7:D1103)</f>
        <v>0</v>
      </c>
      <c r="E1233" s="292">
        <f>SUMIF(C7:C1103,"rausch",X7:X1103)</f>
        <v>0</v>
      </c>
      <c r="F1233" s="274">
        <f>SUMIFS(X$7:X$1102,C$7:C$1102,"Rausch",AD$7:AD$1102,"OK")</f>
        <v>0</v>
      </c>
      <c r="G1233" s="293">
        <f>SUMIFS(D$7:D$1102,C$7:C$1102,"rausch",AD$7:AD$1102,"OK")</f>
        <v>0</v>
      </c>
      <c r="H1233" s="294"/>
      <c r="J1233" s="262"/>
      <c r="O1233" s="295"/>
    </row>
    <row r="1234" spans="1:15" ht="15.75" x14ac:dyDescent="0.25">
      <c r="A1234" s="222" t="s">
        <v>273</v>
      </c>
      <c r="B1234" s="258">
        <f>+B1232+1</f>
        <v>117</v>
      </c>
      <c r="C1234" s="288" t="s">
        <v>255</v>
      </c>
      <c r="D1234" s="277">
        <f>SUMIF(C7:C1102,"Rizzi",D7:D1102)</f>
        <v>0</v>
      </c>
      <c r="E1234" s="292">
        <f>SUMIF(C7:C1102,"rizzi",X7:X1102)</f>
        <v>0</v>
      </c>
      <c r="F1234" s="274">
        <f>SUMIFS(X$7:X$1102,C$7:C$1102,"Rizzi",AD$7:AD$1102,"OK")</f>
        <v>0</v>
      </c>
      <c r="G1234" s="293"/>
      <c r="H1234" s="294"/>
      <c r="J1234" s="262"/>
      <c r="O1234" s="295"/>
    </row>
    <row r="1235" spans="1:15" ht="15.75" x14ac:dyDescent="0.25">
      <c r="B1235" s="258"/>
      <c r="C1235" s="287" t="s">
        <v>422</v>
      </c>
      <c r="D1235" s="277">
        <f>SUMIF(C7:C1103,"Rotech",D7:D1103)</f>
        <v>0</v>
      </c>
      <c r="E1235" s="292">
        <f>SUMIF(C7:C1103,"rotech",X7:X1103)</f>
        <v>0</v>
      </c>
      <c r="F1235" s="274">
        <f>SUMIFS(X$7:X$1102,C$7:C$1102,"Rotech",AD$7:AD$1102,"OK")</f>
        <v>0</v>
      </c>
      <c r="G1235" s="293">
        <f>SUMIFS(D$7:D$1102,C$7:C$1102,"valle",AD$7:AD$1102,"OK")</f>
        <v>0</v>
      </c>
      <c r="H1235" s="294"/>
      <c r="J1235" s="262"/>
      <c r="O1235" s="295"/>
    </row>
    <row r="1236" spans="1:15" ht="15.75" x14ac:dyDescent="0.25">
      <c r="B1236" s="258">
        <f>+B1234+1</f>
        <v>118</v>
      </c>
      <c r="C1236" s="287" t="s">
        <v>364</v>
      </c>
      <c r="D1236" s="302">
        <f>SUMIF(C$7:C$1102,"SBG",D$7:D$1102)</f>
        <v>0</v>
      </c>
      <c r="E1236" s="303">
        <f>SUMIF(C$7:C$1102,"SBG",X$7:X$1102)</f>
        <v>0</v>
      </c>
      <c r="F1236" s="274">
        <f>SUMIFS(X$7:X$1102,C$7:C$1102,"SBG",AD$7:AD$1102,"OK")</f>
        <v>0</v>
      </c>
      <c r="G1236" s="293">
        <f>SUMIFS(D$7:D$1102,C$7:C$1102,"SBG",AD$7:AD$1102,"OK")</f>
        <v>0</v>
      </c>
      <c r="H1236" s="294"/>
      <c r="J1236" s="262"/>
      <c r="O1236" s="295"/>
    </row>
    <row r="1237" spans="1:15" ht="15.75" x14ac:dyDescent="0.25">
      <c r="B1237" s="258">
        <f t="shared" si="409"/>
        <v>119</v>
      </c>
      <c r="C1237" s="287" t="s">
        <v>214</v>
      </c>
      <c r="D1237" s="277">
        <f>SUMIF(C$7:C$1102,"scm",D$7:D$1102)</f>
        <v>0</v>
      </c>
      <c r="E1237" s="292">
        <f>SUMIF(C$7:C$1102,"scm",X$7:X$1102)</f>
        <v>0</v>
      </c>
      <c r="F1237" s="274">
        <f>SUMIFS(X$7:X$1102,C$7:C$1102,"SCM",AD$7:AD$1102,"OK")</f>
        <v>0</v>
      </c>
      <c r="G1237" s="293"/>
      <c r="H1237" s="294"/>
      <c r="J1237" s="262"/>
      <c r="O1237" s="295"/>
    </row>
    <row r="1238" spans="1:15" ht="15.75" x14ac:dyDescent="0.25">
      <c r="A1238" s="222" t="s">
        <v>273</v>
      </c>
      <c r="B1238" s="258">
        <f t="shared" si="409"/>
        <v>120</v>
      </c>
      <c r="C1238" s="288" t="s">
        <v>197</v>
      </c>
      <c r="D1238" s="277">
        <f>SUMIF(C$7:C$1102,"sea",D$7:D$1102)</f>
        <v>0</v>
      </c>
      <c r="E1238" s="292">
        <f>SUMIF(C$7:C$1102,"sea",X$7:X$1102)</f>
        <v>0</v>
      </c>
      <c r="F1238" s="274">
        <f>SUMIFS(X$7:X$1102,C$7:C$1102,"Sea",AD$7:AD$1102,"OK")</f>
        <v>0</v>
      </c>
      <c r="G1238" s="293"/>
      <c r="H1238" s="294"/>
      <c r="J1238" s="262"/>
      <c r="O1238" s="295"/>
    </row>
    <row r="1239" spans="1:15" ht="15.75" x14ac:dyDescent="0.25">
      <c r="B1239" s="258">
        <f t="shared" si="409"/>
        <v>121</v>
      </c>
      <c r="C1239" s="287" t="s">
        <v>358</v>
      </c>
      <c r="D1239" s="277">
        <f>SUMIF(C$7:C$1102,"seMar",D$7:D$1102)</f>
        <v>0</v>
      </c>
      <c r="E1239" s="292">
        <f>SUMIF(C$7:C$1102,"semar",X$7:X$1102)</f>
        <v>0</v>
      </c>
      <c r="F1239" s="274">
        <f>SUMIFS(X$7:X$1102,C$7:C$1102,"Semar",AD$7:AD$1102,"OK")</f>
        <v>0</v>
      </c>
      <c r="G1239" s="293"/>
      <c r="H1239" s="294"/>
      <c r="J1239" s="262"/>
      <c r="O1239" s="295"/>
    </row>
    <row r="1240" spans="1:15" ht="15.75" x14ac:dyDescent="0.25">
      <c r="B1240" s="258">
        <f t="shared" si="409"/>
        <v>122</v>
      </c>
      <c r="C1240" s="287" t="s">
        <v>361</v>
      </c>
      <c r="D1240" s="277">
        <f>SUMIF(C$7:C$1102,"sgb",D$7:D$1102)</f>
        <v>0</v>
      </c>
      <c r="E1240" s="292">
        <f>SUMIF(C$7:C$1102,"sgb",X$7:X$1102)</f>
        <v>0</v>
      </c>
      <c r="F1240" s="274">
        <f>SUMIFS(X$7:X$1102,C$7:C$1102,"SGB",AD$7:AD$1102,"OK")</f>
        <v>0</v>
      </c>
      <c r="G1240" s="293"/>
      <c r="H1240" s="294"/>
      <c r="J1240" s="262"/>
      <c r="O1240" s="295"/>
    </row>
    <row r="1241" spans="1:15" ht="15.75" x14ac:dyDescent="0.25">
      <c r="B1241" s="258">
        <f t="shared" si="409"/>
        <v>123</v>
      </c>
      <c r="C1241" s="287" t="s">
        <v>170</v>
      </c>
      <c r="D1241" s="277">
        <f>SUMIF(C7:C1102,"sgm",D7:D1102)</f>
        <v>3324</v>
      </c>
      <c r="E1241" s="292">
        <f>SUMIF(C7:C1102,"sgm",X7:X1102)</f>
        <v>329.48</v>
      </c>
      <c r="F1241" s="274">
        <f>SUMIFS(X$7:X$1102,C$7:C$1102,"SGM",AD$7:AD$1102,"OK")</f>
        <v>0</v>
      </c>
      <c r="G1241" s="293">
        <f>SUMIFS(D$7:D$1102,C$7:C$1102,"sgm",AD$7:AD$1102,"OK")</f>
        <v>0</v>
      </c>
      <c r="H1241" s="294"/>
      <c r="J1241" s="262"/>
    </row>
    <row r="1242" spans="1:15" ht="15.75" x14ac:dyDescent="0.25">
      <c r="B1242" s="258">
        <f t="shared" si="409"/>
        <v>124</v>
      </c>
      <c r="C1242" s="287" t="s">
        <v>208</v>
      </c>
      <c r="D1242" s="277">
        <f>SUMIF(C7:C1102,"siltech",D7:D1102)</f>
        <v>77613</v>
      </c>
      <c r="E1242" s="292">
        <f>SUMIF(C7:C1102,"siltech",X7:X1102)</f>
        <v>4413.37</v>
      </c>
      <c r="F1242" s="274">
        <f>SUMIFS(X$7:X$1102,C$7:C$1102,"Siltech",AD$7:AD$1102,"OK")</f>
        <v>0</v>
      </c>
      <c r="G1242" s="293">
        <f>SUMIFS(D$7:D$1102,C$7:C$1102,"siltech",AD$7:AD$1102,"OK")</f>
        <v>0</v>
      </c>
      <c r="H1242" s="294"/>
      <c r="J1242" s="262"/>
    </row>
    <row r="1243" spans="1:15" ht="15.75" x14ac:dyDescent="0.25">
      <c r="B1243" s="258">
        <f t="shared" si="409"/>
        <v>125</v>
      </c>
      <c r="C1243" s="304" t="s">
        <v>109</v>
      </c>
      <c r="D1243" s="277">
        <f>SUMIF(C7:C1102,"Sirmet",D7:D1102)</f>
        <v>0</v>
      </c>
      <c r="E1243" s="292">
        <f>SUMIF(C7:C1102,"SIRMET",X7:X1102)</f>
        <v>0</v>
      </c>
      <c r="F1243" s="274">
        <f>SUMIFS(X$7:X$1102,C$7:C$1102,"Sirmet",AD$7:AD$1102,"OK")</f>
        <v>0</v>
      </c>
      <c r="G1243" s="293"/>
      <c r="H1243" s="294"/>
      <c r="J1243" s="262"/>
    </row>
    <row r="1244" spans="1:15" ht="15.75" x14ac:dyDescent="0.25">
      <c r="B1244" s="258">
        <f t="shared" si="409"/>
        <v>126</v>
      </c>
      <c r="C1244" s="287" t="s">
        <v>259</v>
      </c>
      <c r="D1244" s="277">
        <f>SUMIF(C7:C1102,"tamura",D7:D1102)</f>
        <v>7700</v>
      </c>
      <c r="E1244" s="292">
        <f>SUMIF(C7:C1102,"tamura",X7:X1102)</f>
        <v>425</v>
      </c>
      <c r="F1244" s="274">
        <f>SUMIFS(X$7:X$1102,C$7:C$1102,"Tamura",AD$7:AD$1102,"OK")</f>
        <v>0</v>
      </c>
      <c r="G1244" s="293">
        <f>SUMIFS(D$7:D$1102,C$7:C$1102,"tamura",AD$7:AD$1102,"OK")</f>
        <v>0</v>
      </c>
      <c r="H1244" s="294"/>
      <c r="J1244" s="262"/>
    </row>
    <row r="1245" spans="1:15" ht="15.75" x14ac:dyDescent="0.25">
      <c r="A1245" s="222" t="s">
        <v>273</v>
      </c>
      <c r="B1245" s="258">
        <f t="shared" si="409"/>
        <v>127</v>
      </c>
      <c r="C1245" s="298" t="s">
        <v>107</v>
      </c>
      <c r="D1245" s="277">
        <f>SUMIF(C7:C1102,"Tecnomintra",D7:D1102)</f>
        <v>0</v>
      </c>
      <c r="E1245" s="292">
        <f>SUMIF(C7:C1102,"Tecnomintra",X7:X1102)</f>
        <v>0</v>
      </c>
      <c r="F1245" s="274">
        <f>SUMIFS(X$7:X$1102,C$7:C$1102,"Tecnomitra",AD$7:AD$1102,"OK")</f>
        <v>0</v>
      </c>
      <c r="G1245" s="293"/>
      <c r="H1245" s="294"/>
      <c r="J1245" s="262"/>
    </row>
    <row r="1246" spans="1:15" ht="15.75" x14ac:dyDescent="0.25">
      <c r="A1246" s="222" t="s">
        <v>273</v>
      </c>
      <c r="B1246" s="258">
        <f t="shared" si="409"/>
        <v>128</v>
      </c>
      <c r="C1246" s="288" t="s">
        <v>264</v>
      </c>
      <c r="D1246" s="277">
        <f>SUMIF(C7:C1102,"Telecomponenti",D7:D1102)</f>
        <v>0</v>
      </c>
      <c r="E1246" s="292">
        <f>SUMIF(C7:C1102,"telecomponenti",X7:X1102)</f>
        <v>0</v>
      </c>
      <c r="F1246" s="274">
        <f>SUMIFS(X$7:X$1102,C$7:C$1102,"Telecomponenti",AD$7:AD$1102,"OK")</f>
        <v>0</v>
      </c>
      <c r="G1246" s="293"/>
      <c r="H1246" s="294"/>
      <c r="J1246" s="262"/>
    </row>
    <row r="1247" spans="1:15" ht="15.75" x14ac:dyDescent="0.25">
      <c r="B1247" s="258">
        <f t="shared" si="409"/>
        <v>129</v>
      </c>
      <c r="C1247" s="287" t="s">
        <v>193</v>
      </c>
      <c r="D1247" s="277">
        <f>SUMIF(C7:C1102,"Tesar",D7:D1102)</f>
        <v>0</v>
      </c>
      <c r="E1247" s="292">
        <f>SUMIF(C7:C1102,"Tesar",X7:X1102)</f>
        <v>0</v>
      </c>
      <c r="F1247" s="274">
        <f>SUMIFS(X$7:X$1102,C$7:C$1102,"Tesar",AD$7:AD$1102,"OK")</f>
        <v>0</v>
      </c>
      <c r="G1247" s="293">
        <f>SUMIFS(D$7:D$1102,C$7:C$1102,"tesar",AD$7:AD$1102,"OK")</f>
        <v>0</v>
      </c>
      <c r="H1247" s="294"/>
      <c r="I1247" s="267"/>
      <c r="J1247" s="262"/>
    </row>
    <row r="1248" spans="1:15" ht="15.75" x14ac:dyDescent="0.25">
      <c r="B1248" s="258">
        <f t="shared" si="409"/>
        <v>130</v>
      </c>
      <c r="C1248" s="305" t="s">
        <v>400</v>
      </c>
      <c r="D1248" s="277">
        <f>SUMIF(C7:C1102,"Tesar pl",D7:D1102)</f>
        <v>1295</v>
      </c>
      <c r="E1248" s="292">
        <f>SUMIF(C7:C1102,"Tesar pl",X7:X1102)</f>
        <v>194.25</v>
      </c>
      <c r="F1248" s="274">
        <f>SUMIFS(X$7:X$1102,C$7:C$1102,"Tesar pl",AD$7:AD$1102,"OK")</f>
        <v>0</v>
      </c>
      <c r="G1248" s="293">
        <f>SUMIFS(D$7:D$1102,C$7:C$1102,"tesar pl",AD$7:AD$1102,"OK")</f>
        <v>0</v>
      </c>
      <c r="H1248" s="294"/>
      <c r="I1248" s="267"/>
      <c r="J1248" s="262"/>
    </row>
    <row r="1249" spans="1:10" ht="15.75" x14ac:dyDescent="0.25">
      <c r="B1249" s="258">
        <f t="shared" si="409"/>
        <v>131</v>
      </c>
      <c r="C1249" s="305" t="s">
        <v>247</v>
      </c>
      <c r="D1249" s="277">
        <f>SUMIF(C7:C1102,"Tironi",D7:D1102)</f>
        <v>0</v>
      </c>
      <c r="E1249" s="292">
        <f>SUMIF(C7:C1102,"Tironi",X7:X1102)</f>
        <v>0</v>
      </c>
      <c r="F1249" s="274">
        <f>SUMIFS(X$7:X$1102,C$7:C$1102,"Tironi",AD$7:AD$1102,"OK")</f>
        <v>0</v>
      </c>
      <c r="G1249" s="293"/>
      <c r="H1249" s="294"/>
      <c r="J1249" s="262"/>
    </row>
    <row r="1250" spans="1:10" ht="15.75" x14ac:dyDescent="0.25">
      <c r="B1250" s="258">
        <f t="shared" si="409"/>
        <v>132</v>
      </c>
      <c r="C1250" s="305" t="s">
        <v>212</v>
      </c>
      <c r="D1250" s="277">
        <f>SUMIF(C7:C1102,"Tmc",D7:D1102)</f>
        <v>112424</v>
      </c>
      <c r="E1250" s="292">
        <f>SUMIF(C7:C1102,"Tmc",X7:X1102)</f>
        <v>6697.4999999999982</v>
      </c>
      <c r="F1250" s="274">
        <f>SUMIFS(X$7:X$1102,C$7:C$1102,"Tmc",AD$7:AD$1102,"OK")</f>
        <v>25</v>
      </c>
      <c r="G1250" s="293">
        <f>SUMIFS(D$7:D$1102,C$7:C$1102,"tmc",AD$7:AD$1102,"OK")</f>
        <v>500</v>
      </c>
      <c r="H1250" s="294"/>
      <c r="I1250" s="267"/>
      <c r="J1250" s="262"/>
    </row>
    <row r="1251" spans="1:10" ht="15.75" x14ac:dyDescent="0.25">
      <c r="B1251" s="258">
        <f t="shared" si="409"/>
        <v>133</v>
      </c>
      <c r="C1251" s="305" t="s">
        <v>438</v>
      </c>
      <c r="D1251" s="277">
        <f>SUMIF(C7:C1102,"Tranceria vicenza",D7:D1102)</f>
        <v>4384</v>
      </c>
      <c r="E1251" s="292">
        <f>SUMIF(C7:C1102,"Tranceria vicenza",X7:X1102)</f>
        <v>438.4</v>
      </c>
      <c r="F1251" s="274">
        <f>SUMIFS(X$7:X$1102,C$7:C$1102,"Tranceria vicenza",AD$7:AD$1102,"OK")</f>
        <v>0</v>
      </c>
      <c r="G1251" s="293">
        <f>SUMIFS(D$7:D$1102,C$7:C$1102,"tranceria vicenza",AD$7:AD$1102,"OK")</f>
        <v>0</v>
      </c>
      <c r="H1251" s="294"/>
      <c r="I1251" s="267"/>
      <c r="J1251" s="262"/>
    </row>
    <row r="1252" spans="1:10" ht="15.75" x14ac:dyDescent="0.25">
      <c r="B1252" s="258">
        <f t="shared" si="409"/>
        <v>134</v>
      </c>
      <c r="C1252" s="305" t="s">
        <v>376</v>
      </c>
      <c r="D1252" s="302">
        <f>SUMIF(C7:C1102,"trafa",D7:D1102)</f>
        <v>3160</v>
      </c>
      <c r="E1252" s="303">
        <f>SUMIF(C7:C1103,"Trafa",X7:X1103)</f>
        <v>234</v>
      </c>
      <c r="F1252" s="274">
        <f>SUMIFS(X$7:X$1102,C$7:C$1102,"Trafa",AD$7:AD$1102,"OK")</f>
        <v>0</v>
      </c>
      <c r="G1252" s="293">
        <f>SUMIFS(D$7:D$1102,C$7:C$1102,"trafa",AD$7:AD$1102,"OK")</f>
        <v>0</v>
      </c>
      <c r="H1252" s="294"/>
      <c r="I1252" s="267"/>
      <c r="J1252" s="262"/>
    </row>
    <row r="1253" spans="1:10" ht="15.75" x14ac:dyDescent="0.25">
      <c r="B1253" s="258">
        <f t="shared" si="409"/>
        <v>135</v>
      </c>
      <c r="C1253" s="305" t="s">
        <v>419</v>
      </c>
      <c r="D1253" s="277">
        <f>SUMIF(C$7:C$1102,"trafocoop",D$7:D$1102)</f>
        <v>0</v>
      </c>
      <c r="E1253" s="292">
        <f>SUMIF(C$7:C$1102,"trafocoop",X$7:X$1102)</f>
        <v>0</v>
      </c>
      <c r="F1253" s="274">
        <f>SUMIFS(X$7:X$1102,C$7:C$1102,"trafocoop",AD$7:AD$1102,"OK")</f>
        <v>0</v>
      </c>
      <c r="G1253" s="293">
        <f>SUMIFS(D$7:D$1102,C$7:C$1102,"trafocoop",AD$7:AD$1102,"OK")</f>
        <v>0</v>
      </c>
      <c r="H1253" s="294"/>
      <c r="I1253" s="267"/>
      <c r="J1253" s="262"/>
    </row>
    <row r="1254" spans="1:10" ht="15.75" x14ac:dyDescent="0.25">
      <c r="A1254" s="222" t="s">
        <v>391</v>
      </c>
      <c r="B1254" s="258">
        <f t="shared" si="409"/>
        <v>136</v>
      </c>
      <c r="C1254" s="306" t="s">
        <v>90</v>
      </c>
      <c r="D1254" s="302">
        <f>SUMIF(C7:C1102,"Trafomec",D7:D1102)</f>
        <v>0</v>
      </c>
      <c r="E1254" s="303">
        <f>SUMIF(C7:C1102,"Trafomec",X7:X1102)</f>
        <v>0</v>
      </c>
      <c r="F1254" s="274">
        <f>SUMIFS(X$7:X$1102,C$7:C$1102,"Trafomec",AD$7:AD$1102,"OK")</f>
        <v>0</v>
      </c>
      <c r="G1254" s="293"/>
      <c r="H1254" s="294"/>
      <c r="I1254" s="267"/>
      <c r="J1254" s="262"/>
    </row>
    <row r="1255" spans="1:10" ht="15.75" x14ac:dyDescent="0.25">
      <c r="A1255" s="222" t="s">
        <v>391</v>
      </c>
      <c r="B1255" s="258">
        <f t="shared" si="409"/>
        <v>137</v>
      </c>
      <c r="C1255" s="306" t="s">
        <v>192</v>
      </c>
      <c r="D1255" s="302">
        <f>SUMIF(C7:C1102,"Trafomec SRL",D7:D1102)</f>
        <v>0</v>
      </c>
      <c r="E1255" s="307">
        <f>SUMIF(C7:C1102,"Trafomec SRL",X7:X1102)</f>
        <v>0</v>
      </c>
      <c r="F1255" s="274">
        <f>SUMIFS(X$7:X$1102,C$7:C$1102,"Trafomec Srl",AD$7:AD$1102,"OK")</f>
        <v>0</v>
      </c>
      <c r="G1255" s="293"/>
      <c r="H1255" s="294"/>
      <c r="J1255" s="262"/>
    </row>
    <row r="1256" spans="1:10" ht="15.75" x14ac:dyDescent="0.25">
      <c r="B1256" s="258">
        <f t="shared" si="409"/>
        <v>138</v>
      </c>
      <c r="C1256" s="305" t="s">
        <v>238</v>
      </c>
      <c r="D1256" s="302">
        <f>SUMIF(C7:C1102,"trasfoproject",D7:D1102)</f>
        <v>0</v>
      </c>
      <c r="E1256" s="307">
        <f>SUMIF(C7:C1102,"trasfoproject",X7:X1102)</f>
        <v>0</v>
      </c>
      <c r="F1256" s="274">
        <f>SUMIFS(X$7:X$1102,C$7:C$1102,"Trasfoproject",AD$7:AD$1102,"OK")</f>
        <v>0</v>
      </c>
      <c r="G1256" s="293">
        <f>SUMIFS(D$7:D$1102,C$7:C$1102,"trasfoproject",AD$7:AD$1102,"OK")</f>
        <v>0</v>
      </c>
      <c r="H1256" s="294"/>
      <c r="I1256" s="267"/>
      <c r="J1256" s="262"/>
    </row>
    <row r="1257" spans="1:10" ht="15.75" x14ac:dyDescent="0.25">
      <c r="B1257" s="258">
        <f t="shared" si="409"/>
        <v>139</v>
      </c>
      <c r="C1257" s="305" t="s">
        <v>169</v>
      </c>
      <c r="D1257" s="302">
        <f>SUMIF(C7:C1102,"trasfor",D7:D1102)</f>
        <v>0</v>
      </c>
      <c r="E1257" s="303">
        <f>SUMIF(C7:C1102,"trasfor",X7:X1102)</f>
        <v>0</v>
      </c>
      <c r="F1257" s="274">
        <f>SUMIFS(X$7:X$1102,C$7:C$1102,"Trasfor",AD$7:AD$1102,"OK")</f>
        <v>0</v>
      </c>
      <c r="G1257" s="293">
        <f>SUMIFS(D$7:D$1102,C$7:C$1102,"trasfor",AD$7:AD$1102,"OK")</f>
        <v>0</v>
      </c>
      <c r="H1257" s="294"/>
      <c r="J1257" s="262"/>
    </row>
    <row r="1258" spans="1:10" ht="15.75" x14ac:dyDescent="0.25">
      <c r="B1258" s="258">
        <f t="shared" si="409"/>
        <v>140</v>
      </c>
      <c r="C1258" s="305" t="s">
        <v>218</v>
      </c>
      <c r="D1258" s="302">
        <f>SUMIF(C7:C1102,"trasfotec",D7:D1102)</f>
        <v>0</v>
      </c>
      <c r="E1258" s="303">
        <f>SUMIF(C7:C1102,"trasfotec",X7:X1102)</f>
        <v>0</v>
      </c>
      <c r="F1258" s="274">
        <f>SUMIFS(X$7:X$1102,C$7:C$1102,"Trasfotec",AD$7:AD$1102,"OK")</f>
        <v>0</v>
      </c>
      <c r="G1258" s="293"/>
      <c r="H1258" s="294"/>
      <c r="J1258" s="262"/>
    </row>
    <row r="1259" spans="1:10" ht="15.75" x14ac:dyDescent="0.25">
      <c r="A1259" s="222" t="s">
        <v>273</v>
      </c>
      <c r="B1259" s="258">
        <f t="shared" ref="B1259:B1268" si="410">+B1258+1</f>
        <v>141</v>
      </c>
      <c r="C1259" s="308" t="s">
        <v>300</v>
      </c>
      <c r="D1259" s="302">
        <f>SUMIF(C7:C1102,"utk",D7:D1102)</f>
        <v>0</v>
      </c>
      <c r="E1259" s="303">
        <f>SUMIF(C7:C1102,"utk",X7:X1102)</f>
        <v>0</v>
      </c>
      <c r="F1259" s="274">
        <f>SUMIFS(X$7:X$1102,C$7:C$1102,"utk",AD$7:AD$1102,"OK")</f>
        <v>0</v>
      </c>
      <c r="G1259" s="293">
        <f>SUMIFS(D$7:D$1102,C$7:C$1102,"utk",AD$7:AD$1102,"OK")</f>
        <v>0</v>
      </c>
      <c r="H1259" s="294"/>
      <c r="I1259" s="267"/>
      <c r="J1259" s="262"/>
    </row>
    <row r="1260" spans="1:10" ht="15.75" x14ac:dyDescent="0.25">
      <c r="B1260" s="258">
        <f t="shared" si="410"/>
        <v>142</v>
      </c>
      <c r="C1260" s="305" t="s">
        <v>401</v>
      </c>
      <c r="D1260" s="302">
        <f>SUMIF(C$7:C$1102,"vallee",D$7:D$1102)</f>
        <v>1578</v>
      </c>
      <c r="E1260" s="303">
        <f>SUMIF(C$7:C$1102,"vallee",X$7:X$1102)</f>
        <v>236.7</v>
      </c>
      <c r="F1260" s="274">
        <f>SUMIFS(X$7:X$1102,C$7:C$1102,"Vallee",AD$7:AD$1102,"OK")</f>
        <v>0</v>
      </c>
      <c r="G1260" s="293">
        <f>SUMIFS(D$7:D$1102,C$7:C$1102,"vallee",AD$7:AD$1102,"OK")</f>
        <v>0</v>
      </c>
      <c r="H1260" s="294"/>
      <c r="J1260" s="262"/>
    </row>
    <row r="1261" spans="1:10" ht="15.75" x14ac:dyDescent="0.25">
      <c r="A1261" s="222" t="s">
        <v>273</v>
      </c>
      <c r="B1261" s="258">
        <f t="shared" si="410"/>
        <v>143</v>
      </c>
      <c r="C1261" s="308" t="s">
        <v>337</v>
      </c>
      <c r="D1261" s="302">
        <f>SUMIF(C$7:C$1102,"varat",D$7:D$1102)</f>
        <v>0</v>
      </c>
      <c r="E1261" s="303">
        <f>SUMIF(C$7:C$1102,"varat",X$7:X$1102)</f>
        <v>0</v>
      </c>
      <c r="F1261" s="274">
        <f>SUMIFS(X$7:X$1102,C$7:C$1102,"Varat",AD$7:AD$1102,"OK")</f>
        <v>0</v>
      </c>
      <c r="G1261" s="293">
        <f>SUMIFS(D$7:D$1102,C$7:C$1102,"varat",AD$7:AD$1102,"OK")</f>
        <v>0</v>
      </c>
      <c r="H1261" s="294"/>
      <c r="J1261" s="262"/>
    </row>
    <row r="1262" spans="1:10" ht="15.75" x14ac:dyDescent="0.25">
      <c r="B1262" s="258">
        <f t="shared" si="410"/>
        <v>144</v>
      </c>
      <c r="C1262" s="305" t="s">
        <v>327</v>
      </c>
      <c r="D1262" s="302">
        <f>SUMIF(C$7:C$1102,"vazzoler",D$7:D$1102)</f>
        <v>0</v>
      </c>
      <c r="E1262" s="303">
        <f>SUMIF(C$7:C$1102,"vazzoler",X$7:X$1102)</f>
        <v>0</v>
      </c>
      <c r="F1262" s="274">
        <f>SUMIFS(X$7:X$1102,C$7:C$1102,"Vazzoler",AD$7:AD$1102,"OK")</f>
        <v>0</v>
      </c>
      <c r="G1262" s="293">
        <f>SUMIFS(D$7:D$1102,C$7:C$1102,"vazzoler",AD$7:AD$1102,"OK")</f>
        <v>0</v>
      </c>
      <c r="H1262" s="294"/>
      <c r="J1262" s="262"/>
    </row>
    <row r="1263" spans="1:10" ht="15.75" x14ac:dyDescent="0.25">
      <c r="A1263" s="222" t="s">
        <v>273</v>
      </c>
      <c r="B1263" s="258">
        <f t="shared" si="410"/>
        <v>145</v>
      </c>
      <c r="C1263" s="308" t="s">
        <v>366</v>
      </c>
      <c r="D1263" s="302">
        <f>SUMIF(C$7:C$1102,"WEG",D$7:D$1102)</f>
        <v>0</v>
      </c>
      <c r="E1263" s="303">
        <f>SUMIF(C$7:C$1102,"WEG",X$7:X$1102)</f>
        <v>0</v>
      </c>
      <c r="F1263" s="274">
        <f>SUMIFS(X$7:X$1102,C$7:C$1102,"WEG",AD$7:AD$1102,"OK")</f>
        <v>0</v>
      </c>
      <c r="G1263" s="293">
        <f>SUMIFS(D$7:D$1102,C$7:C$1102,"WEG",AD$7:AD$1102,"OK")</f>
        <v>0</v>
      </c>
      <c r="H1263" s="294"/>
      <c r="J1263" s="262"/>
    </row>
    <row r="1264" spans="1:10" ht="15.75" x14ac:dyDescent="0.25">
      <c r="B1264" s="258">
        <f t="shared" si="410"/>
        <v>146</v>
      </c>
      <c r="C1264" s="309" t="s">
        <v>117</v>
      </c>
      <c r="D1264" s="302">
        <f>SUMIF(C7:C1102,"Wetter",D7:D1102)</f>
        <v>0</v>
      </c>
      <c r="E1264" s="303">
        <f>SUMIF(C7:C1102,"Wetter",X7:X1102)</f>
        <v>0</v>
      </c>
      <c r="F1264" s="274">
        <f>SUMIFS(X$7:X$1102,C$7:C$1102,"Wetter",AD$7:AD$1102,"OK")</f>
        <v>0</v>
      </c>
      <c r="G1264" s="293"/>
      <c r="H1264" s="294"/>
      <c r="I1264" s="267"/>
      <c r="J1264" s="262"/>
    </row>
    <row r="1265" spans="1:24" ht="15.75" x14ac:dyDescent="0.25">
      <c r="B1265" s="258">
        <f t="shared" si="410"/>
        <v>147</v>
      </c>
      <c r="C1265" s="305" t="s">
        <v>248</v>
      </c>
      <c r="D1265" s="302">
        <f>SUMIF(C7:C1102,"Zanetti",D7:D1102)</f>
        <v>0</v>
      </c>
      <c r="E1265" s="303">
        <f>SUMIF(C7:C1102,"Zanetti",X7:X1102)</f>
        <v>0</v>
      </c>
      <c r="F1265" s="274">
        <f>SUMIFS(X$7:X$1102,C$7:C$1102,"Zanetti",AD$7:AD$1102,"OK")</f>
        <v>0</v>
      </c>
      <c r="G1265" s="293">
        <f>SUMIFS(D$7:D$1102,C$7:C$1102,"zANETTI",AD$7:AD$1102,"OK")</f>
        <v>0</v>
      </c>
      <c r="H1265" s="294"/>
      <c r="J1265" s="262"/>
    </row>
    <row r="1266" spans="1:24" ht="15.75" x14ac:dyDescent="0.25">
      <c r="A1266" s="222" t="s">
        <v>391</v>
      </c>
      <c r="B1266" s="258">
        <f t="shared" si="410"/>
        <v>148</v>
      </c>
      <c r="C1266" s="306" t="s">
        <v>299</v>
      </c>
      <c r="D1266" s="310">
        <f>SUMIF(C7:C1102,"Zennaro",D7:D1102)</f>
        <v>0</v>
      </c>
      <c r="E1266" s="303">
        <f>SUMIF(C7:C1102,"Zennaro",X7:X1102)</f>
        <v>0</v>
      </c>
      <c r="F1266" s="274">
        <f>SUMIFS(X$7:X$1102,C$7:C$1102,"Zennaro",AD$7:AD$1102,"OK")</f>
        <v>0</v>
      </c>
      <c r="G1266" s="293">
        <f>SUMIFS(D$7:D$1102,C$7:C$1102,"zennaro",AD$7:AD$1102,"OK")</f>
        <v>0</v>
      </c>
      <c r="H1266" s="294"/>
      <c r="J1266" s="262"/>
    </row>
    <row r="1267" spans="1:24" ht="15.75" x14ac:dyDescent="0.25">
      <c r="B1267" s="258">
        <f t="shared" si="410"/>
        <v>149</v>
      </c>
      <c r="C1267" s="311" t="s">
        <v>99</v>
      </c>
      <c r="D1267" s="302">
        <f>SUMIF(C7:C1102,"zucchiatti",D7:D1102)</f>
        <v>0</v>
      </c>
      <c r="E1267" s="303">
        <f>SUMIF(C7:C1102,"zucchiatti",X7:X1102)</f>
        <v>0</v>
      </c>
      <c r="F1267" s="274">
        <f>SUMIFS(X$7:X$1102,C$7:C$1102,"Zucchiatti",AD$7:AD$1102,"OK")</f>
        <v>0</v>
      </c>
      <c r="G1267" s="293">
        <f>SUMIFS(D$7:D$1102,C$7:C$1102,"zucchiatti",AD$7:AD$1102,"OK")</f>
        <v>0</v>
      </c>
      <c r="H1267" s="294"/>
      <c r="J1267" s="262"/>
    </row>
    <row r="1268" spans="1:24" ht="15.75" x14ac:dyDescent="0.25">
      <c r="B1268" s="258">
        <f t="shared" si="410"/>
        <v>150</v>
      </c>
      <c r="C1268" s="305" t="s">
        <v>312</v>
      </c>
      <c r="D1268" s="302">
        <f>SUMIF(C7:C1102,"zurc",D7:D1102)</f>
        <v>0</v>
      </c>
      <c r="E1268" s="303">
        <f>SUMIF(C7:C1102,"zurc",X7:X1102)</f>
        <v>0</v>
      </c>
      <c r="F1268" s="274">
        <f>SUMIFS(X$7:X$1102,C$7:C$1102,"Zurc",AD$7:AD$1102,"OK")</f>
        <v>0</v>
      </c>
      <c r="G1268" s="293">
        <f>SUMIFS(D$7:D$1102,C$7:C$1102,"zurc",AD$7:AD$1102,"OK")</f>
        <v>0</v>
      </c>
      <c r="H1268" s="294"/>
      <c r="J1268" s="262"/>
    </row>
    <row r="1269" spans="1:24" ht="15.75" thickBot="1" x14ac:dyDescent="0.3">
      <c r="C1269" s="312"/>
      <c r="D1269" s="302"/>
      <c r="E1269" s="313"/>
      <c r="F1269" s="314"/>
      <c r="G1269" s="315"/>
      <c r="H1269" s="267"/>
    </row>
    <row r="1270" spans="1:24" ht="15.75" thickBot="1" x14ac:dyDescent="0.3">
      <c r="C1270" s="316" t="s">
        <v>196</v>
      </c>
      <c r="D1270" s="317">
        <f>SUM(D1109:D1269)</f>
        <v>853819.7</v>
      </c>
      <c r="E1270" s="318">
        <f>SUM(E1108:E1269)</f>
        <v>56942.209000000003</v>
      </c>
      <c r="F1270" s="319">
        <f>SUM(F1108:F1269)</f>
        <v>63.5</v>
      </c>
      <c r="G1270" s="320">
        <f>SUM(G1108:G1269)</f>
        <v>1050</v>
      </c>
      <c r="H1270" s="228"/>
      <c r="J1270" s="267"/>
    </row>
    <row r="1271" spans="1:24" x14ac:dyDescent="0.25">
      <c r="D1271" s="267">
        <f>+D1270-D1103</f>
        <v>0</v>
      </c>
      <c r="E1271" s="228"/>
      <c r="F1271" s="267"/>
      <c r="G1271" s="267"/>
      <c r="V1271" s="321"/>
    </row>
    <row r="1272" spans="1:24" ht="15.75" thickBot="1" x14ac:dyDescent="0.3">
      <c r="D1272" s="267"/>
      <c r="E1272" s="267"/>
      <c r="F1272" s="267"/>
      <c r="G1272" s="267"/>
    </row>
    <row r="1273" spans="1:24" x14ac:dyDescent="0.25">
      <c r="C1273" s="322" t="s">
        <v>266</v>
      </c>
      <c r="D1273" s="323">
        <f>COUNTA(C1108:C1269)</f>
        <v>160</v>
      </c>
    </row>
    <row r="1274" spans="1:24" x14ac:dyDescent="0.25">
      <c r="C1274" s="324" t="s">
        <v>267</v>
      </c>
      <c r="D1274" s="325">
        <f>COUNTIF(D1108:D1269,"&gt;0")</f>
        <v>39</v>
      </c>
      <c r="F1274" s="228"/>
    </row>
    <row r="1275" spans="1:24" x14ac:dyDescent="0.25">
      <c r="C1275" s="324" t="s">
        <v>272</v>
      </c>
      <c r="D1275" s="325">
        <f>COUNTIF(A1108:A1269,"p")</f>
        <v>35</v>
      </c>
      <c r="G1275" s="267"/>
    </row>
    <row r="1276" spans="1:24" ht="15.75" thickBot="1" x14ac:dyDescent="0.3">
      <c r="C1276" s="326" t="s">
        <v>274</v>
      </c>
      <c r="D1276" s="327">
        <f>+D1273-D1275</f>
        <v>125</v>
      </c>
    </row>
    <row r="1277" spans="1:24" x14ac:dyDescent="0.25">
      <c r="D1277" s="267"/>
    </row>
    <row r="1278" spans="1:24" ht="15.75" thickBot="1" x14ac:dyDescent="0.3">
      <c r="D1278" s="267"/>
    </row>
    <row r="1279" spans="1:24" ht="15.75" thickBot="1" x14ac:dyDescent="0.3">
      <c r="D1279" s="368" t="s">
        <v>4</v>
      </c>
      <c r="E1279" s="369"/>
      <c r="F1279" s="370"/>
      <c r="G1279" s="368" t="s">
        <v>6</v>
      </c>
      <c r="H1279" s="369"/>
      <c r="I1279" s="370"/>
      <c r="J1279" s="368" t="s">
        <v>5</v>
      </c>
      <c r="K1279" s="369"/>
      <c r="L1279" s="369"/>
      <c r="M1279" s="369"/>
      <c r="N1279" s="369"/>
      <c r="O1279" s="369"/>
      <c r="P1279" s="369"/>
      <c r="Q1279" s="369"/>
      <c r="R1279" s="369"/>
      <c r="S1279" s="369"/>
      <c r="T1279" s="369"/>
      <c r="U1279" s="369"/>
      <c r="V1279" s="368" t="s">
        <v>173</v>
      </c>
      <c r="W1279" s="369"/>
      <c r="X1279" s="370"/>
    </row>
    <row r="1280" spans="1:24" ht="15.75" thickBot="1" x14ac:dyDescent="0.3">
      <c r="C1280" s="328" t="s">
        <v>201</v>
      </c>
      <c r="D1280" s="329" t="str">
        <f>IF(D1293+G1293+J1293+V1293=D1103,"Kg","Errore")</f>
        <v>Errore</v>
      </c>
      <c r="E1280" s="329" t="str">
        <f>IF(E1293+H1293+T1293+W1293=X1103,"Commissioni","Errore")</f>
        <v>Errore</v>
      </c>
      <c r="F1280" s="330" t="s">
        <v>203</v>
      </c>
      <c r="G1280" s="329" t="s">
        <v>202</v>
      </c>
      <c r="H1280" s="329" t="s">
        <v>200</v>
      </c>
      <c r="I1280" s="330" t="s">
        <v>203</v>
      </c>
      <c r="J1280" s="329" t="s">
        <v>202</v>
      </c>
      <c r="T1280" s="329" t="s">
        <v>200</v>
      </c>
      <c r="U1280" s="330" t="s">
        <v>203</v>
      </c>
      <c r="V1280" s="331" t="s">
        <v>202</v>
      </c>
      <c r="W1280" s="329" t="s">
        <v>200</v>
      </c>
      <c r="X1280" s="330" t="s">
        <v>203</v>
      </c>
    </row>
    <row r="1281" spans="3:24" x14ac:dyDescent="0.25">
      <c r="C1281" s="332"/>
      <c r="D1281" s="333">
        <f>SUMIFS($D$7:$D$1102,$E$7:$E$1102,"alluminio",$J$7:$J$1102,"")</f>
        <v>17600</v>
      </c>
      <c r="E1281" s="334">
        <f>SUMIFS($X$7:$X$1102,$E$7:$E$1102,"alluminio",$J$7:$J$1102,"")</f>
        <v>0</v>
      </c>
      <c r="F1281" s="335">
        <f>+D1281*C1281</f>
        <v>0</v>
      </c>
      <c r="G1281" s="333">
        <f>SUMIFS($D$7:$D$1102,$E$7:$E$1102,"rame",$J$7:$J$1102,"")</f>
        <v>0</v>
      </c>
      <c r="H1281" s="334">
        <f>SUMIFS($X$7:$X$1102,$E$7:$E$1102,"RAME",$J$7:$J$1102,"")</f>
        <v>0</v>
      </c>
      <c r="I1281" s="335">
        <f>+G1281*C1281</f>
        <v>0</v>
      </c>
      <c r="J1281" s="336">
        <f>SUMIFS($D$7:$D$1102,$E$7:$E$1102,"ottone",$J$7:$J$1102,"")</f>
        <v>0</v>
      </c>
      <c r="T1281" s="334">
        <f>SUMIFS($X$7:$X$1102,$E$7:$E$1102,"ottone",$J$7:$J$1102,"")</f>
        <v>0</v>
      </c>
      <c r="U1281" s="335">
        <f t="shared" ref="U1281:U1292" si="411">+J1281*C1281</f>
        <v>0</v>
      </c>
      <c r="V1281" s="336">
        <f>SUMIFS($D$7:$D$1102,$E$7:$E$1102,"Bronzo",$J$7:$J$1102,"")</f>
        <v>0</v>
      </c>
      <c r="W1281" s="334">
        <f>SUMIFS($X$7:$X$1102,$E$7:$E$1102,"bronzo",$J$7:$J$1102,"")</f>
        <v>0</v>
      </c>
      <c r="X1281" s="335">
        <f t="shared" ref="X1281:X1292" si="412">+V1281*C1281</f>
        <v>0</v>
      </c>
    </row>
    <row r="1282" spans="3:24" x14ac:dyDescent="0.25">
      <c r="C1282" s="337">
        <v>0.04</v>
      </c>
      <c r="D1282" s="338">
        <f>SUMIFS($D$7:$D$1102,$E$7:$E$1102,"alluminio",$J$7:$J$1102,0.04)</f>
        <v>0</v>
      </c>
      <c r="E1282" s="339">
        <f>SUMIFS($X$7:$X$1102,$E$7:$E$1102,"alluminio",$J$7:$J$1102,0.04)</f>
        <v>0</v>
      </c>
      <c r="F1282" s="340">
        <f>+D1282*C1282</f>
        <v>0</v>
      </c>
      <c r="G1282" s="338">
        <f>SUMIFS($D$7:$D$1102,$E$7:$E$1102,"rame",$J$7:$J$1102,0.04)</f>
        <v>0</v>
      </c>
      <c r="H1282" s="339">
        <f>SUMIFS($X$7:$X$1102,$E$7:$E$1102,"RAME",$J$7:$J$1102,0.04)</f>
        <v>0</v>
      </c>
      <c r="I1282" s="340">
        <f t="shared" ref="I1282:I1292" si="413">+G1282*C1282</f>
        <v>0</v>
      </c>
      <c r="J1282" s="341">
        <f>SUMIFS($D$7:$D$1102,$E$7:$E$1102,"ottone",$J$7:$J$1102,0.04)</f>
        <v>0</v>
      </c>
      <c r="K1282" s="250"/>
      <c r="L1282" s="250"/>
      <c r="M1282" s="250"/>
      <c r="N1282" s="250"/>
      <c r="O1282" s="250"/>
      <c r="P1282" s="250"/>
      <c r="Q1282" s="250"/>
      <c r="R1282" s="250"/>
      <c r="S1282" s="250"/>
      <c r="T1282" s="339">
        <f>SUMIFS($X$7:$X$1102,$E$7:$E$1102,"ottone",$J$7:$J$1102,0.04)</f>
        <v>0</v>
      </c>
      <c r="U1282" s="340">
        <f t="shared" si="411"/>
        <v>0</v>
      </c>
      <c r="V1282" s="342">
        <f>SUMIFS($D$7:$D$1102,$E$7:$E$1102,"Bronzo",$J$7:$J$1102,0.04)</f>
        <v>0</v>
      </c>
      <c r="W1282" s="339">
        <f>SUMIFS($X$7:$X$1102,$E$7:$E$1102,"bronzo",$J$7:$J$1102,0.04)</f>
        <v>0</v>
      </c>
      <c r="X1282" s="340">
        <f t="shared" si="412"/>
        <v>0</v>
      </c>
    </row>
    <row r="1283" spans="3:24" x14ac:dyDescent="0.25">
      <c r="C1283" s="337">
        <v>0.05</v>
      </c>
      <c r="D1283" s="338">
        <f>SUMIFS($D$7:$D$1102,$E$7:$E$1102,"alluminio",$J$7:$J$1102,0.05)</f>
        <v>204304</v>
      </c>
      <c r="E1283" s="339">
        <f>SUMIFS($X$7:$X$1102,$E$7:$E$1102,"alluminio",$J$7:$J$1102,0.05)</f>
        <v>10215.200000000001</v>
      </c>
      <c r="F1283" s="340">
        <f>+D1283*C1283</f>
        <v>10215.200000000001</v>
      </c>
      <c r="G1283" s="338">
        <f>SUMIFS($D$7:$D$1102,$E$7:$E$1102,"rame",$J$7:$J$1102,0.05)</f>
        <v>627</v>
      </c>
      <c r="H1283" s="339">
        <f>SUMIFS($X$7:$X$1102,$E$7:$E$1102,"RAME",$J$7:$J$1102,0.05)</f>
        <v>31.35</v>
      </c>
      <c r="I1283" s="340">
        <f t="shared" si="413"/>
        <v>31.35</v>
      </c>
      <c r="J1283" s="338">
        <f>SUMIFS($D$7:$D$1102,$E$7:$E$1102,"ottone",$J$7:$J$1102,0.05)</f>
        <v>0</v>
      </c>
      <c r="T1283" s="339">
        <f>SUMIFS($X$7:$X$1102,$E$7:$E$1102,"ottone",$J$7:$J$1102,0.05)</f>
        <v>0</v>
      </c>
      <c r="U1283" s="340">
        <f t="shared" si="411"/>
        <v>0</v>
      </c>
      <c r="V1283" s="342">
        <f>SUMIFS($D$7:$D$1102,$E$7:$E$1102,"bronzo",$J$7:$J$1102,0.05)</f>
        <v>0</v>
      </c>
      <c r="W1283" s="339">
        <f>SUMIFS($X$7:$X$1102,$E$7:$E$1102,"bronzo",$J$7:$J$1102,0.05)</f>
        <v>0</v>
      </c>
      <c r="X1283" s="340">
        <f t="shared" si="412"/>
        <v>0</v>
      </c>
    </row>
    <row r="1284" spans="3:24" x14ac:dyDescent="0.25">
      <c r="C1284" s="337">
        <v>0.06</v>
      </c>
      <c r="D1284" s="338">
        <f>SUMIFS($D$7:$D$1102,$E$7:$E$1102,"alluminio",$J$7:$J$1102,0.06)</f>
        <v>0</v>
      </c>
      <c r="E1284" s="339">
        <f>SUMIFS($X$7:$X$1102,$E$7:$E$1102,"alluminio",$J$7:$J$1102,0.06)</f>
        <v>0</v>
      </c>
      <c r="F1284" s="340">
        <f>+D1284*C1284</f>
        <v>0</v>
      </c>
      <c r="G1284" s="338">
        <f>SUMIFS($D$7:$D$1102,$E$7:$E$1102,"rame",$J$7:$J$1102,0.06)</f>
        <v>0</v>
      </c>
      <c r="H1284" s="339">
        <f>SUMIFS($X$7:$X$1102,$E$7:$E$1102,"RAME",$J$7:$J$1102,0.06)</f>
        <v>0</v>
      </c>
      <c r="I1284" s="340">
        <f>+G1284*C1284</f>
        <v>0</v>
      </c>
      <c r="J1284" s="338">
        <f>SUMIFS($D$7:$D$1102,$E$7:$E$1102,"ottone",$J$7:$J$1102,0.06)</f>
        <v>0</v>
      </c>
      <c r="T1284" s="339">
        <f>SUMIFS($X$7:$X$1102,$E$7:$E$1102,"ottone",$J$7:$J$1102,0.06)</f>
        <v>0</v>
      </c>
      <c r="U1284" s="340">
        <f t="shared" si="411"/>
        <v>0</v>
      </c>
      <c r="V1284" s="342">
        <f>SUMIFS($D$7:$D$1102,$E$7:$E$1102,"bronzo",$J$7:$J$1102,0.06)</f>
        <v>0</v>
      </c>
      <c r="W1284" s="339">
        <f>SUMIFS($X$7:$X$1102,$E$7:$E$1102,"bronzo",$J$7:$J$1102,0.06)</f>
        <v>0</v>
      </c>
      <c r="X1284" s="340">
        <f t="shared" si="412"/>
        <v>0</v>
      </c>
    </row>
    <row r="1285" spans="3:24" x14ac:dyDescent="0.25">
      <c r="C1285" s="337">
        <v>7.0000000000000007E-2</v>
      </c>
      <c r="D1285" s="338">
        <f>SUMIFS($D$7:$D$1102,$E$7:$E$1102,"alluminio",$J$7:$J$1102,0.07)</f>
        <v>564438.69999999995</v>
      </c>
      <c r="E1285" s="339">
        <f>SUMIFS($X$7:$X$1102,$E$7:$E$1102,"alluminio",$J$7:$J$1102,0.07)</f>
        <v>38642.709000000017</v>
      </c>
      <c r="F1285" s="340">
        <f t="shared" ref="F1285:F1292" si="414">+D1285*C1285</f>
        <v>39510.709000000003</v>
      </c>
      <c r="G1285" s="338">
        <f>SUMIFS($D$7:$D$1102,$E$7:$E$1102,"rame",$J$7:$J$1102,0.07)</f>
        <v>0</v>
      </c>
      <c r="H1285" s="339">
        <f>SUMIFS($X$7:$X$1102,$E$7:$E$1102,"RAME",$J$7:$J$1102,0.07)</f>
        <v>0</v>
      </c>
      <c r="I1285" s="340">
        <f t="shared" si="413"/>
        <v>0</v>
      </c>
      <c r="J1285" s="338">
        <f>SUMIFS($D$7:$D$1102,$E$7:$E$1102,"ottone",$J$7:$J$1102,0.07)</f>
        <v>0</v>
      </c>
      <c r="T1285" s="343">
        <f>SUMIFS($X$7:$X$1102,$E$7:$E$1102,"ottone",$J$7:$J$1102,0.07)</f>
        <v>0</v>
      </c>
      <c r="U1285" s="344">
        <f t="shared" si="411"/>
        <v>0</v>
      </c>
      <c r="V1285" s="342">
        <f>SUMIFS($D$7:$D$1102,$E$7:$E$1102,"bronzo",$J$7:$J$1102,0.07)</f>
        <v>0</v>
      </c>
      <c r="W1285" s="339">
        <f>SUMIFS($X$7:$X$1102,$E$7:$E$1102,"bronzo",$J$7:$J$1102,0.07)</f>
        <v>0</v>
      </c>
      <c r="X1285" s="340">
        <f t="shared" si="412"/>
        <v>0</v>
      </c>
    </row>
    <row r="1286" spans="3:24" x14ac:dyDescent="0.25">
      <c r="C1286" s="345">
        <v>0.1</v>
      </c>
      <c r="D1286" s="346">
        <f>SUMIFS($D$7:$D$1102,$E$7:$E$1102,"alluminio",$J$7:$J$1102,0.1)</f>
        <v>14648</v>
      </c>
      <c r="E1286" s="347">
        <f>SUMIFS($X$7:$X$1102,$E$7:$E$1102,"alluminio",$J$7:$J$1102,0.1)</f>
        <v>1464.8</v>
      </c>
      <c r="F1286" s="348">
        <f t="shared" si="414"/>
        <v>1464.8000000000002</v>
      </c>
      <c r="G1286" s="346">
        <f>SUMIFS($D$7:$D$1102,$E$7:$E$1102,"RAME",$J$7:$J$1102,0.1)</f>
        <v>25626</v>
      </c>
      <c r="H1286" s="347">
        <f>SUMIFS($X$7:$X$1102,$E$7:$E$1102,"RAME",$J$7:$J$1102,0.1)</f>
        <v>2562.6</v>
      </c>
      <c r="I1286" s="348">
        <f t="shared" si="413"/>
        <v>2562.6000000000004</v>
      </c>
      <c r="J1286" s="346">
        <f>SUMIFS($D$7:$D$1102,$E$7:$E$1102,"ottone",$J$7:$J$1102,0.1)</f>
        <v>0</v>
      </c>
      <c r="T1286" s="349">
        <f>SUMIFS($X$7:$X$1102,$E$7:$E$1102,"ottone",$J$7:$J$1102,0.1)</f>
        <v>0</v>
      </c>
      <c r="U1286" s="350">
        <f t="shared" si="411"/>
        <v>0</v>
      </c>
      <c r="V1286" s="351">
        <f>SUMIFS($D$7:$D$1102,$E$7:$E$1102,"bronzo",$J$7:$J$1102,0.1)</f>
        <v>0</v>
      </c>
      <c r="W1286" s="347">
        <f>SUMIFS($X$7:$X$1102,$E$7:$E$1102,"bronzo",$J$7:$J$1102,0.1)</f>
        <v>0</v>
      </c>
      <c r="X1286" s="348">
        <f t="shared" si="412"/>
        <v>0</v>
      </c>
    </row>
    <row r="1287" spans="3:24" x14ac:dyDescent="0.25">
      <c r="C1287" s="352">
        <v>0.15</v>
      </c>
      <c r="D1287" s="353">
        <f>SUMIFS($D$7:$D$1102,$E$7:$E$1102,"alluminio",$J$7:$J$1102,0.15)</f>
        <v>0</v>
      </c>
      <c r="E1287" s="354">
        <f>SUMIFS($X$7:$X$1102,$E$7:$E$1102,"alluminio",$J$7:$J$1102,0.15)</f>
        <v>0</v>
      </c>
      <c r="F1287" s="355">
        <f t="shared" si="414"/>
        <v>0</v>
      </c>
      <c r="G1287" s="353">
        <f>SUMIFS($D$7:$D$1102,$E$7:$E$1102,"RAME",$J$7:$J$1102,0.15)</f>
        <v>21265</v>
      </c>
      <c r="H1287" s="354">
        <f>SUMIFS($X$7:$X$1102,$E$7:$E$1102,"RAME",$J$7:$J$1102,0.15)</f>
        <v>3189.75</v>
      </c>
      <c r="I1287" s="355">
        <f t="shared" si="413"/>
        <v>3189.75</v>
      </c>
      <c r="J1287" s="353">
        <f>SUMIFS($D$7:$D$1102,$E$7:$E$1102,"ottone",$J$7:$J$1102,0.15)</f>
        <v>2500</v>
      </c>
      <c r="T1287" s="354">
        <f>SUMIFS($X$7:$X$1102,$E$7:$E$1102,"ottone",$J$7:$J$1102,0.15)</f>
        <v>375</v>
      </c>
      <c r="U1287" s="355">
        <f t="shared" si="411"/>
        <v>375</v>
      </c>
      <c r="V1287" s="356">
        <f>SUMIFS($D$7:$D$1102,$E$7:$E$1102,"bronzo",$J$7:$J$1102,0.15)</f>
        <v>0</v>
      </c>
      <c r="W1287" s="354">
        <f>SUMIFS($X$7:$X$1102,$E$7:$E$1102,"bronzo",$J$7:$J$1102,0.15)</f>
        <v>0</v>
      </c>
      <c r="X1287" s="355">
        <f t="shared" si="412"/>
        <v>0</v>
      </c>
    </row>
    <row r="1288" spans="3:24" x14ac:dyDescent="0.25">
      <c r="C1288" s="352">
        <v>0.2</v>
      </c>
      <c r="D1288" s="353">
        <f>SUMIFS($D$7:$D$1102,$E$7:$E$1102,"alluminio",$J$7:$J$1102,0.2)</f>
        <v>0</v>
      </c>
      <c r="E1288" s="354">
        <f>SUMIFS($X$7:$X$1102,$E$7:$E$1102,"alluminio",$J$7:$J$1102,0.2)</f>
        <v>0</v>
      </c>
      <c r="F1288" s="355">
        <f t="shared" si="414"/>
        <v>0</v>
      </c>
      <c r="G1288" s="353">
        <f>SUMIFS($D$7:$D$1102,$E$7:$E$1102,"RAME",$J$7:$J$1102,0.2)</f>
        <v>0</v>
      </c>
      <c r="H1288" s="354">
        <f>SUMIFS($X$7:$X$1102,$E$7:$E$1102,"RAME",$J$7:$J$1102,0.2)</f>
        <v>0</v>
      </c>
      <c r="I1288" s="355">
        <f t="shared" si="413"/>
        <v>0</v>
      </c>
      <c r="J1288" s="353">
        <f>SUMIFS($D$7:$D$1102,$E$7:$E$1102,"ottone",$J$7:$J$1102,0.2)</f>
        <v>0</v>
      </c>
      <c r="T1288" s="354">
        <f>SUMIFS($X$7:$X$1102,$E$7:$E$1102,"OTTONE",$J$7:$J$1102,0.2)</f>
        <v>0</v>
      </c>
      <c r="U1288" s="355">
        <f t="shared" si="411"/>
        <v>0</v>
      </c>
      <c r="V1288" s="356">
        <f>SUMIFS($D$7:$D$1102,$E$7:$E$1102,"bronzo",$J$7:$J$1102,0.2)</f>
        <v>0</v>
      </c>
      <c r="W1288" s="354">
        <f>SUMIFS($X$7:$X$1102,$E$7:$E$1102,"bronzo",$J$7:$J$1102,0.2)</f>
        <v>0</v>
      </c>
      <c r="X1288" s="355">
        <f t="shared" si="412"/>
        <v>0</v>
      </c>
    </row>
    <row r="1289" spans="3:24" x14ac:dyDescent="0.25">
      <c r="C1289" s="352">
        <v>0.25</v>
      </c>
      <c r="D1289" s="353">
        <f>SUMIFS($D$7:$D$1102,$E$7:$E$1102,"alluminio",$J$7:$J$1102,0.25)</f>
        <v>0</v>
      </c>
      <c r="E1289" s="354">
        <f>SUMIFS($X$7:$X$1102,$E$7:$E$1102,"alluminio",$J$7:$J$1102,0.25)</f>
        <v>0</v>
      </c>
      <c r="F1289" s="355">
        <f t="shared" si="414"/>
        <v>0</v>
      </c>
      <c r="G1289" s="353">
        <f>SUMIFS($D$7:$D$1102,$E$7:$E$1102,"RAME",$J$7:$J$1102,0.25)</f>
        <v>0</v>
      </c>
      <c r="H1289" s="354">
        <f>SUMIFS($X$7:$X$1102,$E$7:$E$1102,"RAME",$J$7:$J$1102,0.25)</f>
        <v>0</v>
      </c>
      <c r="I1289" s="355">
        <f t="shared" si="413"/>
        <v>0</v>
      </c>
      <c r="J1289" s="353">
        <f>SUMIFS($D$7:$D$1102,$E$7:$E$1102,"ottone",$J$7:$J$1102,0.25)</f>
        <v>0</v>
      </c>
      <c r="T1289" s="354">
        <f>SUMIFS($X$7:$X$1102,$E$7:$E$1102,"OTTONE",$J$7:$J$1102,0.3)</f>
        <v>0</v>
      </c>
      <c r="U1289" s="355">
        <f t="shared" si="411"/>
        <v>0</v>
      </c>
      <c r="V1289" s="356">
        <f>SUMIFS($D$7:$D$1102,$E$7:$E$1102,"bronzo",$J$7:$J$1102,30)</f>
        <v>0</v>
      </c>
      <c r="W1289" s="354">
        <f>SUMIFS($X$7:$X$1102,$E$7:$E$1102,"bronzo",$J$7:$J$1102,0.3)</f>
        <v>0</v>
      </c>
      <c r="X1289" s="355">
        <f t="shared" si="412"/>
        <v>0</v>
      </c>
    </row>
    <row r="1290" spans="3:24" x14ac:dyDescent="0.25">
      <c r="C1290" s="352">
        <v>0.3</v>
      </c>
      <c r="D1290" s="353">
        <f>SUMIFS($D$7:$D$1102,$E$7:$E$1102,"alluminio",$J$7:$J$1102,0.3)</f>
        <v>561</v>
      </c>
      <c r="E1290" s="354">
        <f>SUMIFS($X$7:$X$1102,$E$7:$E$1102,"alluminio",$J$7:$J$1102,0.3)</f>
        <v>168.3</v>
      </c>
      <c r="F1290" s="355">
        <f>+D1290*C1290</f>
        <v>168.29999999999998</v>
      </c>
      <c r="G1290" s="353">
        <f>SUMIFS($D$7:$D$1102,$E$7:$E$1102,"RAME",$J$7:$J$1102,0.3)</f>
        <v>0</v>
      </c>
      <c r="H1290" s="354">
        <f>SUMIFS($X$7:$X$1102,$E$7:$E$1102,"RAME",$J$7:$J$1102,0.3)</f>
        <v>0</v>
      </c>
      <c r="I1290" s="355">
        <f>+G1290*C1290</f>
        <v>0</v>
      </c>
      <c r="J1290" s="353">
        <f>SUMIFS($D$7:$D$1102,$E$7:$E$1102,"ottone",$J$7:$J$1102,0.3)</f>
        <v>0</v>
      </c>
      <c r="T1290" s="354">
        <f>SUMIFS($X$7:$X$1102,$E$7:$E$1102,"OTTONE",$J$7:$J$1102,0.25)</f>
        <v>0</v>
      </c>
      <c r="U1290" s="355">
        <f t="shared" si="411"/>
        <v>0</v>
      </c>
      <c r="V1290" s="356">
        <f>SUMIFS($D$7:$D$1102,$E$7:$E$1102,"bronzo",$J$7:$J$1102,0.25)</f>
        <v>0</v>
      </c>
      <c r="W1290" s="354">
        <f>SUMIFS($X$7:$X$1102,$E$7:$E$1102,"bronzo",$J$7:$J$1102,0.25)</f>
        <v>0</v>
      </c>
      <c r="X1290" s="355">
        <f t="shared" si="412"/>
        <v>0</v>
      </c>
    </row>
    <row r="1291" spans="3:24" x14ac:dyDescent="0.25">
      <c r="C1291" s="352">
        <v>0.35</v>
      </c>
      <c r="D1291" s="353">
        <f>SUMIFS($D$7:$D$1102,$E$7:$E$1102,"alluminio",$J$7:$J$1102,0.35)</f>
        <v>0</v>
      </c>
      <c r="E1291" s="354">
        <f>SUMIFS($X$7:$X$1102,$E$7:$E$1102,"alluminio",$J$7:$J$1102,0.35)</f>
        <v>0</v>
      </c>
      <c r="F1291" s="355">
        <f t="shared" si="414"/>
        <v>0</v>
      </c>
      <c r="G1291" s="353">
        <f>SUMIFS($D$7:$D$1102,$E$7:$E$1102,"RAME",$J$7:$J$1102,0.35)</f>
        <v>0</v>
      </c>
      <c r="H1291" s="354">
        <f>SUMIFS($X$7:$X$1102,$E$7:$E$1102,"RAME",$J$7:$J$1102,0.35)</f>
        <v>0</v>
      </c>
      <c r="I1291" s="355">
        <f t="shared" si="413"/>
        <v>0</v>
      </c>
      <c r="J1291" s="353">
        <f>SUMIFS($D$7:$D$1102,$E$7:$E$1102,"ottone",$J$7:$J$1102,0.35)</f>
        <v>0</v>
      </c>
      <c r="T1291" s="354">
        <f>SUMIFS($X$7:$X$1102,$E$7:$E$1102,"OTTONE",$J$7:$J$1102,0.35)</f>
        <v>0</v>
      </c>
      <c r="U1291" s="355">
        <f t="shared" si="411"/>
        <v>0</v>
      </c>
      <c r="V1291" s="356">
        <f>SUMIFS($D$7:$D$1102,$E$7:$E$1102,"bronzo",$J$7:$J$1102,0.35)</f>
        <v>0</v>
      </c>
      <c r="W1291" s="354">
        <f>SUMIFS($X$7:$X$1102,$E$7:$E$1102,"bronzo",$J$7:$J$1102,0.35)</f>
        <v>0</v>
      </c>
      <c r="X1291" s="355">
        <f t="shared" si="412"/>
        <v>0</v>
      </c>
    </row>
    <row r="1292" spans="3:24" ht="15.75" thickBot="1" x14ac:dyDescent="0.3">
      <c r="C1292" s="352">
        <v>0.55000000000000004</v>
      </c>
      <c r="D1292" s="357">
        <f>SUMIFS($D$7:$D$1102,$E$7:$E$1102,"alluminio",$J$7:$J$1102,0.55)</f>
        <v>0</v>
      </c>
      <c r="E1292" s="358">
        <f>SUMIFS($X$7:$X$1102,$E$7:$E$1102,"alluminio",$J$7:$J$1102,0.55)</f>
        <v>0</v>
      </c>
      <c r="F1292" s="359">
        <f t="shared" si="414"/>
        <v>0</v>
      </c>
      <c r="G1292" s="357">
        <f>SUMIFS($D$7:$D$1102,$E$7:$E$1102,"RAME",$J$7:$J$1102,0.55)</f>
        <v>0</v>
      </c>
      <c r="H1292" s="358">
        <f>SUMIFS($X$7:$X$1102,$E$7:$E$1102,"RAME",$J$7:$J$1102,0.55)</f>
        <v>0</v>
      </c>
      <c r="I1292" s="359">
        <f t="shared" si="413"/>
        <v>0</v>
      </c>
      <c r="J1292" s="357">
        <f>SUMIFS($D$7:$D$1102,$E$7:$E$1102,"ottone",$J$7:$J$1102,0.55)</f>
        <v>0</v>
      </c>
      <c r="T1292" s="358">
        <f>SUMIFS($X$7:$X$1102,$E$7:$E$1102,"OTTONE",$J$7:$J$1102,0.55)</f>
        <v>0</v>
      </c>
      <c r="U1292" s="359">
        <f t="shared" si="411"/>
        <v>0</v>
      </c>
      <c r="V1292" s="360">
        <f>SUMIFS($D$7:$D$1102,$E$7:$E$1102,"bronzo",$J$7:$J$1102,0.55)</f>
        <v>0</v>
      </c>
      <c r="W1292" s="358">
        <f>SUMIFS($X$7:$X$1102,$E$7:$E$1102,"bronzo",$J$7:$J$1102,0.55)</f>
        <v>0</v>
      </c>
      <c r="X1292" s="359">
        <f t="shared" si="412"/>
        <v>0</v>
      </c>
    </row>
    <row r="1293" spans="3:24" ht="15.75" thickBot="1" x14ac:dyDescent="0.3">
      <c r="C1293" s="361"/>
      <c r="D1293" s="362">
        <f>SUM(D1281:D1292)</f>
        <v>801551.7</v>
      </c>
      <c r="E1293" s="363">
        <f>SUM(E1282:E1292)</f>
        <v>50491.00900000002</v>
      </c>
      <c r="F1293" s="364">
        <f>SUM(F1282:F1292)</f>
        <v>51359.009000000005</v>
      </c>
      <c r="G1293" s="362">
        <f>SUM(G1281:G1292)</f>
        <v>47518</v>
      </c>
      <c r="H1293" s="363">
        <f>SUM(H1281:H1292)</f>
        <v>5783.7</v>
      </c>
      <c r="I1293" s="364">
        <f>SUM(I1281:I1292)</f>
        <v>5783.7000000000007</v>
      </c>
      <c r="J1293" s="362">
        <f>SUM(J1281:N1292)</f>
        <v>2500</v>
      </c>
      <c r="T1293" s="363">
        <f>SUM(T1281:T1292)</f>
        <v>375</v>
      </c>
      <c r="U1293" s="365">
        <f>SUM(U1281:U1292)</f>
        <v>375</v>
      </c>
      <c r="V1293" s="362">
        <f>SUM(V1281:V1292)</f>
        <v>0</v>
      </c>
      <c r="W1293" s="363">
        <f>SUM(W1281:W1292)</f>
        <v>0</v>
      </c>
      <c r="X1293" s="364">
        <f>SUM(X1281:X1292)</f>
        <v>0</v>
      </c>
    </row>
    <row r="1295" spans="3:24" x14ac:dyDescent="0.25">
      <c r="D1295" s="366"/>
      <c r="G1295" s="294"/>
      <c r="J1295" s="294"/>
    </row>
    <row r="1296" spans="3:24" x14ac:dyDescent="0.25">
      <c r="D1296" s="367">
        <f>+D1293+G1293+J1293+V1293</f>
        <v>851569.7</v>
      </c>
    </row>
    <row r="1297" spans="4:4" x14ac:dyDescent="0.25">
      <c r="D1297" s="267">
        <f>+D1296-D1270</f>
        <v>-2250</v>
      </c>
    </row>
    <row r="1299" spans="4:4" x14ac:dyDescent="0.25">
      <c r="D1299" s="367"/>
    </row>
    <row r="1300" spans="4:4" x14ac:dyDescent="0.25">
      <c r="D1300" s="267"/>
    </row>
    <row r="1302" spans="4:4" x14ac:dyDescent="0.25">
      <c r="D1302" s="223">
        <v>384665</v>
      </c>
    </row>
    <row r="1303" spans="4:4" x14ac:dyDescent="0.25">
      <c r="D1303" s="367">
        <f>+D1302-D1293</f>
        <v>-416886.69999999995</v>
      </c>
    </row>
  </sheetData>
  <sheetProtection formatCells="0" insertRows="0" deleteRows="0"/>
  <autoFilter ref="A5:AM1103"/>
  <dataConsolidate/>
  <phoneticPr fontId="19" type="noConversion"/>
  <conditionalFormatting sqref="D5">
    <cfRule type="containsText" dxfId="129" priority="312" stopIfTrue="1" operator="containsText" text="ERRORE KG">
      <formula>NOT(ISERROR(SEARCH("ERRORE KG",D5)))</formula>
    </cfRule>
    <cfRule type="colorScale" priority="313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8" priority="311" stopIfTrue="1" operator="containsText" text="ERRORE COMMISSIONI">
      <formula>NOT(ISERROR(SEARCH("ERRORE COMMISSIONI",X5)))</formula>
    </cfRule>
  </conditionalFormatting>
  <conditionalFormatting sqref="AA1102 AA527:AA982 AA7:AA525">
    <cfRule type="expression" priority="306" stopIfTrue="1">
      <formula>AA7=0</formula>
    </cfRule>
    <cfRule type="expression" dxfId="127" priority="307" stopIfTrue="1">
      <formula>AA7&lt;TODAY()</formula>
    </cfRule>
  </conditionalFormatting>
  <conditionalFormatting sqref="D1280:D1281">
    <cfRule type="containsText" dxfId="126" priority="301" stopIfTrue="1" operator="containsText" text="errore">
      <formula>NOT(ISERROR(SEARCH("errore",D1280)))</formula>
    </cfRule>
  </conditionalFormatting>
  <conditionalFormatting sqref="E1280:E1281">
    <cfRule type="containsText" dxfId="125" priority="300" stopIfTrue="1" operator="containsText" text="errore">
      <formula>NOT(ISERROR(SEARCH("errore",E1280)))</formula>
    </cfRule>
  </conditionalFormatting>
  <conditionalFormatting sqref="A1102">
    <cfRule type="containsText" dxfId="124" priority="292" operator="containsText" text="in scadenza">
      <formula>NOT(ISERROR(SEARCH("in scadenza",A1102)))</formula>
    </cfRule>
  </conditionalFormatting>
  <conditionalFormatting sqref="AA6">
    <cfRule type="expression" priority="283" stopIfTrue="1">
      <formula>AA6=0</formula>
    </cfRule>
    <cfRule type="expression" dxfId="123" priority="284" stopIfTrue="1">
      <formula>AA6&lt;TODAY()</formula>
    </cfRule>
  </conditionalFormatting>
  <conditionalFormatting sqref="AA984">
    <cfRule type="expression" priority="275" stopIfTrue="1">
      <formula>AA984=0</formula>
    </cfRule>
    <cfRule type="expression" dxfId="122" priority="276" stopIfTrue="1">
      <formula>AA984&lt;TODAY()</formula>
    </cfRule>
  </conditionalFormatting>
  <conditionalFormatting sqref="AA983">
    <cfRule type="expression" priority="268" stopIfTrue="1">
      <formula>AA983=0</formula>
    </cfRule>
    <cfRule type="expression" dxfId="121" priority="269" stopIfTrue="1">
      <formula>AA983&lt;TODAY()</formula>
    </cfRule>
  </conditionalFormatting>
  <conditionalFormatting sqref="AA985">
    <cfRule type="expression" priority="253" stopIfTrue="1">
      <formula>AA985=0</formula>
    </cfRule>
    <cfRule type="expression" dxfId="120" priority="254" stopIfTrue="1">
      <formula>AA985&lt;TODAY()</formula>
    </cfRule>
  </conditionalFormatting>
  <conditionalFormatting sqref="AA986">
    <cfRule type="expression" priority="251" stopIfTrue="1">
      <formula>AA986=0</formula>
    </cfRule>
    <cfRule type="expression" dxfId="119" priority="252" stopIfTrue="1">
      <formula>AA986&lt;TODAY()</formula>
    </cfRule>
  </conditionalFormatting>
  <conditionalFormatting sqref="AA987">
    <cfRule type="expression" priority="249" stopIfTrue="1">
      <formula>AA987=0</formula>
    </cfRule>
    <cfRule type="expression" dxfId="118" priority="250" stopIfTrue="1">
      <formula>AA987&lt;TODAY()</formula>
    </cfRule>
  </conditionalFormatting>
  <conditionalFormatting sqref="AA988">
    <cfRule type="expression" priority="247" stopIfTrue="1">
      <formula>AA988=0</formula>
    </cfRule>
    <cfRule type="expression" dxfId="117" priority="248" stopIfTrue="1">
      <formula>AA988&lt;TODAY()</formula>
    </cfRule>
  </conditionalFormatting>
  <conditionalFormatting sqref="AA989">
    <cfRule type="expression" priority="245" stopIfTrue="1">
      <formula>AA989=0</formula>
    </cfRule>
    <cfRule type="expression" dxfId="116" priority="246" stopIfTrue="1">
      <formula>AA989&lt;TODAY()</formula>
    </cfRule>
  </conditionalFormatting>
  <conditionalFormatting sqref="AA990">
    <cfRule type="expression" priority="241" stopIfTrue="1">
      <formula>AA990=0</formula>
    </cfRule>
    <cfRule type="expression" dxfId="115" priority="242" stopIfTrue="1">
      <formula>AA990&lt;TODAY()</formula>
    </cfRule>
  </conditionalFormatting>
  <conditionalFormatting sqref="AA991">
    <cfRule type="expression" priority="237" stopIfTrue="1">
      <formula>AA991=0</formula>
    </cfRule>
    <cfRule type="expression" dxfId="114" priority="238" stopIfTrue="1">
      <formula>AA991&lt;TODAY()</formula>
    </cfRule>
  </conditionalFormatting>
  <conditionalFormatting sqref="AA992">
    <cfRule type="expression" priority="233" stopIfTrue="1">
      <formula>AA992=0</formula>
    </cfRule>
    <cfRule type="expression" dxfId="113" priority="234" stopIfTrue="1">
      <formula>AA992&lt;TODAY()</formula>
    </cfRule>
  </conditionalFormatting>
  <conditionalFormatting sqref="AA993">
    <cfRule type="expression" priority="227" stopIfTrue="1">
      <formula>AA993=0</formula>
    </cfRule>
    <cfRule type="expression" dxfId="112" priority="228" stopIfTrue="1">
      <formula>AA993&lt;TODAY()</formula>
    </cfRule>
  </conditionalFormatting>
  <conditionalFormatting sqref="AA994">
    <cfRule type="expression" priority="221" stopIfTrue="1">
      <formula>AA994=0</formula>
    </cfRule>
    <cfRule type="expression" dxfId="111" priority="222" stopIfTrue="1">
      <formula>AA994&lt;TODAY()</formula>
    </cfRule>
  </conditionalFormatting>
  <conditionalFormatting sqref="AA995">
    <cfRule type="expression" priority="219" stopIfTrue="1">
      <formula>AA995=0</formula>
    </cfRule>
    <cfRule type="expression" dxfId="110" priority="220" stopIfTrue="1">
      <formula>AA995&lt;TODAY()</formula>
    </cfRule>
  </conditionalFormatting>
  <conditionalFormatting sqref="AA996">
    <cfRule type="expression" priority="217" stopIfTrue="1">
      <formula>AA996=0</formula>
    </cfRule>
    <cfRule type="expression" dxfId="109" priority="218" stopIfTrue="1">
      <formula>AA996&lt;TODAY()</formula>
    </cfRule>
  </conditionalFormatting>
  <conditionalFormatting sqref="AA997">
    <cfRule type="expression" priority="215" stopIfTrue="1">
      <formula>AA997=0</formula>
    </cfRule>
    <cfRule type="expression" dxfId="108" priority="216" stopIfTrue="1">
      <formula>AA997&lt;TODAY()</formula>
    </cfRule>
  </conditionalFormatting>
  <conditionalFormatting sqref="AA998">
    <cfRule type="expression" priority="213" stopIfTrue="1">
      <formula>AA998=0</formula>
    </cfRule>
    <cfRule type="expression" dxfId="107" priority="214" stopIfTrue="1">
      <formula>AA998&lt;TODAY()</formula>
    </cfRule>
  </conditionalFormatting>
  <conditionalFormatting sqref="AA999">
    <cfRule type="expression" priority="211" stopIfTrue="1">
      <formula>AA999=0</formula>
    </cfRule>
    <cfRule type="expression" dxfId="106" priority="212" stopIfTrue="1">
      <formula>AA999&lt;TODAY()</formula>
    </cfRule>
  </conditionalFormatting>
  <conditionalFormatting sqref="AA1000">
    <cfRule type="expression" priority="209" stopIfTrue="1">
      <formula>AA1000=0</formula>
    </cfRule>
    <cfRule type="expression" dxfId="105" priority="210" stopIfTrue="1">
      <formula>AA1000&lt;TODAY()</formula>
    </cfRule>
  </conditionalFormatting>
  <conditionalFormatting sqref="AA1001">
    <cfRule type="expression" priority="207" stopIfTrue="1">
      <formula>AA1001=0</formula>
    </cfRule>
    <cfRule type="expression" dxfId="104" priority="208" stopIfTrue="1">
      <formula>AA1001&lt;TODAY()</formula>
    </cfRule>
  </conditionalFormatting>
  <conditionalFormatting sqref="AA1002">
    <cfRule type="expression" priority="205" stopIfTrue="1">
      <formula>AA1002=0</formula>
    </cfRule>
    <cfRule type="expression" dxfId="103" priority="206" stopIfTrue="1">
      <formula>AA1002&lt;TODAY()</formula>
    </cfRule>
  </conditionalFormatting>
  <conditionalFormatting sqref="AA1003">
    <cfRule type="expression" priority="203" stopIfTrue="1">
      <formula>AA1003=0</formula>
    </cfRule>
    <cfRule type="expression" dxfId="102" priority="204" stopIfTrue="1">
      <formula>AA1003&lt;TODAY()</formula>
    </cfRule>
  </conditionalFormatting>
  <conditionalFormatting sqref="AA1004">
    <cfRule type="expression" priority="201" stopIfTrue="1">
      <formula>AA1004=0</formula>
    </cfRule>
    <cfRule type="expression" dxfId="101" priority="202" stopIfTrue="1">
      <formula>AA1004&lt;TODAY()</formula>
    </cfRule>
  </conditionalFormatting>
  <conditionalFormatting sqref="AA1005">
    <cfRule type="expression" priority="199" stopIfTrue="1">
      <formula>AA1005=0</formula>
    </cfRule>
    <cfRule type="expression" dxfId="100" priority="200" stopIfTrue="1">
      <formula>AA1005&lt;TODAY()</formula>
    </cfRule>
  </conditionalFormatting>
  <conditionalFormatting sqref="AA1006">
    <cfRule type="expression" priority="197" stopIfTrue="1">
      <formula>AA1006=0</formula>
    </cfRule>
    <cfRule type="expression" dxfId="99" priority="198" stopIfTrue="1">
      <formula>AA1006&lt;TODAY()</formula>
    </cfRule>
  </conditionalFormatting>
  <conditionalFormatting sqref="AA1007">
    <cfRule type="expression" priority="195" stopIfTrue="1">
      <formula>AA1007=0</formula>
    </cfRule>
    <cfRule type="expression" dxfId="98" priority="196" stopIfTrue="1">
      <formula>AA1007&lt;TODAY()</formula>
    </cfRule>
  </conditionalFormatting>
  <conditionalFormatting sqref="AA1008">
    <cfRule type="expression" priority="193" stopIfTrue="1">
      <formula>AA1008=0</formula>
    </cfRule>
    <cfRule type="expression" dxfId="97" priority="194" stopIfTrue="1">
      <formula>AA1008&lt;TODAY()</formula>
    </cfRule>
  </conditionalFormatting>
  <conditionalFormatting sqref="AA1009">
    <cfRule type="expression" priority="191" stopIfTrue="1">
      <formula>AA1009=0</formula>
    </cfRule>
    <cfRule type="expression" dxfId="96" priority="192" stopIfTrue="1">
      <formula>AA1009&lt;TODAY()</formula>
    </cfRule>
  </conditionalFormatting>
  <conditionalFormatting sqref="AA1010">
    <cfRule type="expression" priority="189" stopIfTrue="1">
      <formula>AA1010=0</formula>
    </cfRule>
    <cfRule type="expression" dxfId="95" priority="190" stopIfTrue="1">
      <formula>AA1010&lt;TODAY()</formula>
    </cfRule>
  </conditionalFormatting>
  <conditionalFormatting sqref="AA1011">
    <cfRule type="expression" priority="187" stopIfTrue="1">
      <formula>AA1011=0</formula>
    </cfRule>
    <cfRule type="expression" dxfId="94" priority="188" stopIfTrue="1">
      <formula>AA1011&lt;TODAY()</formula>
    </cfRule>
  </conditionalFormatting>
  <conditionalFormatting sqref="AA1012">
    <cfRule type="expression" priority="185" stopIfTrue="1">
      <formula>AA1012=0</formula>
    </cfRule>
    <cfRule type="expression" dxfId="93" priority="186" stopIfTrue="1">
      <formula>AA1012&lt;TODAY()</formula>
    </cfRule>
  </conditionalFormatting>
  <conditionalFormatting sqref="AA1013">
    <cfRule type="expression" priority="183" stopIfTrue="1">
      <formula>AA1013=0</formula>
    </cfRule>
    <cfRule type="expression" dxfId="92" priority="184" stopIfTrue="1">
      <formula>AA1013&lt;TODAY()</formula>
    </cfRule>
  </conditionalFormatting>
  <conditionalFormatting sqref="AA1014">
    <cfRule type="expression" priority="181" stopIfTrue="1">
      <formula>AA1014=0</formula>
    </cfRule>
    <cfRule type="expression" dxfId="91" priority="182" stopIfTrue="1">
      <formula>AA1014&lt;TODAY()</formula>
    </cfRule>
  </conditionalFormatting>
  <conditionalFormatting sqref="AA1015">
    <cfRule type="expression" priority="179" stopIfTrue="1">
      <formula>AA1015=0</formula>
    </cfRule>
    <cfRule type="expression" dxfId="90" priority="180" stopIfTrue="1">
      <formula>AA1015&lt;TODAY()</formula>
    </cfRule>
  </conditionalFormatting>
  <conditionalFormatting sqref="AA1016">
    <cfRule type="expression" priority="177" stopIfTrue="1">
      <formula>AA1016=0</formula>
    </cfRule>
    <cfRule type="expression" dxfId="89" priority="178" stopIfTrue="1">
      <formula>AA1016&lt;TODAY()</formula>
    </cfRule>
  </conditionalFormatting>
  <conditionalFormatting sqref="AA1017">
    <cfRule type="expression" priority="175" stopIfTrue="1">
      <formula>AA1017=0</formula>
    </cfRule>
    <cfRule type="expression" dxfId="88" priority="176" stopIfTrue="1">
      <formula>AA1017&lt;TODAY()</formula>
    </cfRule>
  </conditionalFormatting>
  <conditionalFormatting sqref="AA1018">
    <cfRule type="expression" priority="173" stopIfTrue="1">
      <formula>AA1018=0</formula>
    </cfRule>
    <cfRule type="expression" dxfId="87" priority="174" stopIfTrue="1">
      <formula>AA1018&lt;TODAY()</formula>
    </cfRule>
  </conditionalFormatting>
  <conditionalFormatting sqref="AA1019">
    <cfRule type="expression" priority="171" stopIfTrue="1">
      <formula>AA1019=0</formula>
    </cfRule>
    <cfRule type="expression" dxfId="86" priority="172" stopIfTrue="1">
      <formula>AA1019&lt;TODAY()</formula>
    </cfRule>
  </conditionalFormatting>
  <conditionalFormatting sqref="AA1020">
    <cfRule type="expression" priority="169" stopIfTrue="1">
      <formula>AA1020=0</formula>
    </cfRule>
    <cfRule type="expression" dxfId="85" priority="170" stopIfTrue="1">
      <formula>AA1020&lt;TODAY()</formula>
    </cfRule>
  </conditionalFormatting>
  <conditionalFormatting sqref="AA1021">
    <cfRule type="expression" priority="167" stopIfTrue="1">
      <formula>AA1021=0</formula>
    </cfRule>
    <cfRule type="expression" dxfId="84" priority="168" stopIfTrue="1">
      <formula>AA1021&lt;TODAY()</formula>
    </cfRule>
  </conditionalFormatting>
  <conditionalFormatting sqref="AA1022">
    <cfRule type="expression" priority="165" stopIfTrue="1">
      <formula>AA1022=0</formula>
    </cfRule>
    <cfRule type="expression" dxfId="83" priority="166" stopIfTrue="1">
      <formula>AA1022&lt;TODAY()</formula>
    </cfRule>
  </conditionalFormatting>
  <conditionalFormatting sqref="AA1023">
    <cfRule type="expression" priority="163" stopIfTrue="1">
      <formula>AA1023=0</formula>
    </cfRule>
    <cfRule type="expression" dxfId="82" priority="164" stopIfTrue="1">
      <formula>AA1023&lt;TODAY()</formula>
    </cfRule>
  </conditionalFormatting>
  <conditionalFormatting sqref="AA1024">
    <cfRule type="expression" priority="161" stopIfTrue="1">
      <formula>AA1024=0</formula>
    </cfRule>
    <cfRule type="expression" dxfId="81" priority="162" stopIfTrue="1">
      <formula>AA1024&lt;TODAY()</formula>
    </cfRule>
  </conditionalFormatting>
  <conditionalFormatting sqref="AA1025">
    <cfRule type="expression" priority="159" stopIfTrue="1">
      <formula>AA1025=0</formula>
    </cfRule>
    <cfRule type="expression" dxfId="80" priority="160" stopIfTrue="1">
      <formula>AA1025&lt;TODAY()</formula>
    </cfRule>
  </conditionalFormatting>
  <conditionalFormatting sqref="AA1026">
    <cfRule type="expression" priority="157" stopIfTrue="1">
      <formula>AA1026=0</formula>
    </cfRule>
    <cfRule type="expression" dxfId="79" priority="158" stopIfTrue="1">
      <formula>AA1026&lt;TODAY()</formula>
    </cfRule>
  </conditionalFormatting>
  <conditionalFormatting sqref="AA1027">
    <cfRule type="expression" priority="155" stopIfTrue="1">
      <formula>AA1027=0</formula>
    </cfRule>
    <cfRule type="expression" dxfId="78" priority="156" stopIfTrue="1">
      <formula>AA1027&lt;TODAY()</formula>
    </cfRule>
  </conditionalFormatting>
  <conditionalFormatting sqref="AA1028">
    <cfRule type="expression" priority="153" stopIfTrue="1">
      <formula>AA1028=0</formula>
    </cfRule>
    <cfRule type="expression" dxfId="77" priority="154" stopIfTrue="1">
      <formula>AA1028&lt;TODAY()</formula>
    </cfRule>
  </conditionalFormatting>
  <conditionalFormatting sqref="AA1029">
    <cfRule type="expression" priority="151" stopIfTrue="1">
      <formula>AA1029=0</formula>
    </cfRule>
    <cfRule type="expression" dxfId="76" priority="152" stopIfTrue="1">
      <formula>AA1029&lt;TODAY()</formula>
    </cfRule>
  </conditionalFormatting>
  <conditionalFormatting sqref="AA1030">
    <cfRule type="expression" priority="149" stopIfTrue="1">
      <formula>AA1030=0</formula>
    </cfRule>
    <cfRule type="expression" dxfId="75" priority="150" stopIfTrue="1">
      <formula>AA1030&lt;TODAY()</formula>
    </cfRule>
  </conditionalFormatting>
  <conditionalFormatting sqref="AA1031">
    <cfRule type="expression" priority="147" stopIfTrue="1">
      <formula>AA1031=0</formula>
    </cfRule>
    <cfRule type="expression" dxfId="74" priority="148" stopIfTrue="1">
      <formula>AA1031&lt;TODAY()</formula>
    </cfRule>
  </conditionalFormatting>
  <conditionalFormatting sqref="AA1032">
    <cfRule type="expression" priority="145" stopIfTrue="1">
      <formula>AA1032=0</formula>
    </cfRule>
    <cfRule type="expression" dxfId="73" priority="146" stopIfTrue="1">
      <formula>AA1032&lt;TODAY()</formula>
    </cfRule>
  </conditionalFormatting>
  <conditionalFormatting sqref="AA1033">
    <cfRule type="expression" priority="143" stopIfTrue="1">
      <formula>AA1033=0</formula>
    </cfRule>
    <cfRule type="expression" dxfId="72" priority="144" stopIfTrue="1">
      <formula>AA1033&lt;TODAY()</formula>
    </cfRule>
  </conditionalFormatting>
  <conditionalFormatting sqref="AA1034">
    <cfRule type="expression" priority="141" stopIfTrue="1">
      <formula>AA1034=0</formula>
    </cfRule>
    <cfRule type="expression" dxfId="71" priority="142" stopIfTrue="1">
      <formula>AA1034&lt;TODAY()</formula>
    </cfRule>
  </conditionalFormatting>
  <conditionalFormatting sqref="AA1035">
    <cfRule type="expression" priority="139" stopIfTrue="1">
      <formula>AA1035=0</formula>
    </cfRule>
    <cfRule type="expression" dxfId="70" priority="140" stopIfTrue="1">
      <formula>AA1035&lt;TODAY()</formula>
    </cfRule>
  </conditionalFormatting>
  <conditionalFormatting sqref="AA1036">
    <cfRule type="expression" priority="137" stopIfTrue="1">
      <formula>AA1036=0</formula>
    </cfRule>
    <cfRule type="expression" dxfId="69" priority="138" stopIfTrue="1">
      <formula>AA1036&lt;TODAY()</formula>
    </cfRule>
  </conditionalFormatting>
  <conditionalFormatting sqref="AA1037">
    <cfRule type="expression" priority="135" stopIfTrue="1">
      <formula>AA1037=0</formula>
    </cfRule>
    <cfRule type="expression" dxfId="68" priority="136" stopIfTrue="1">
      <formula>AA1037&lt;TODAY()</formula>
    </cfRule>
  </conditionalFormatting>
  <conditionalFormatting sqref="AA1038">
    <cfRule type="expression" priority="133" stopIfTrue="1">
      <formula>AA1038=0</formula>
    </cfRule>
    <cfRule type="expression" dxfId="67" priority="134" stopIfTrue="1">
      <formula>AA1038&lt;TODAY()</formula>
    </cfRule>
  </conditionalFormatting>
  <conditionalFormatting sqref="AA1039">
    <cfRule type="expression" priority="131" stopIfTrue="1">
      <formula>AA1039=0</formula>
    </cfRule>
    <cfRule type="expression" dxfId="66" priority="132" stopIfTrue="1">
      <formula>AA1039&lt;TODAY()</formula>
    </cfRule>
  </conditionalFormatting>
  <conditionalFormatting sqref="AA1040">
    <cfRule type="expression" priority="129" stopIfTrue="1">
      <formula>AA1040=0</formula>
    </cfRule>
    <cfRule type="expression" dxfId="65" priority="130" stopIfTrue="1">
      <formula>AA1040&lt;TODAY()</formula>
    </cfRule>
  </conditionalFormatting>
  <conditionalFormatting sqref="AA1041">
    <cfRule type="expression" priority="127" stopIfTrue="1">
      <formula>AA1041=0</formula>
    </cfRule>
    <cfRule type="expression" dxfId="64" priority="128" stopIfTrue="1">
      <formula>AA1041&lt;TODAY()</formula>
    </cfRule>
  </conditionalFormatting>
  <conditionalFormatting sqref="AA1042">
    <cfRule type="expression" priority="125" stopIfTrue="1">
      <formula>AA1042=0</formula>
    </cfRule>
    <cfRule type="expression" dxfId="63" priority="126" stopIfTrue="1">
      <formula>AA1042&lt;TODAY()</formula>
    </cfRule>
  </conditionalFormatting>
  <conditionalFormatting sqref="AA1043">
    <cfRule type="expression" priority="123" stopIfTrue="1">
      <formula>AA1043=0</formula>
    </cfRule>
    <cfRule type="expression" dxfId="62" priority="124" stopIfTrue="1">
      <formula>AA1043&lt;TODAY()</formula>
    </cfRule>
  </conditionalFormatting>
  <conditionalFormatting sqref="AA1044">
    <cfRule type="expression" priority="121" stopIfTrue="1">
      <formula>AA1044=0</formula>
    </cfRule>
    <cfRule type="expression" dxfId="61" priority="122" stopIfTrue="1">
      <formula>AA1044&lt;TODAY()</formula>
    </cfRule>
  </conditionalFormatting>
  <conditionalFormatting sqref="AA1045">
    <cfRule type="expression" priority="119" stopIfTrue="1">
      <formula>AA1045=0</formula>
    </cfRule>
    <cfRule type="expression" dxfId="60" priority="120" stopIfTrue="1">
      <formula>AA1045&lt;TODAY()</formula>
    </cfRule>
  </conditionalFormatting>
  <conditionalFormatting sqref="AA1046">
    <cfRule type="expression" priority="117" stopIfTrue="1">
      <formula>AA1046=0</formula>
    </cfRule>
    <cfRule type="expression" dxfId="59" priority="118" stopIfTrue="1">
      <formula>AA1046&lt;TODAY()</formula>
    </cfRule>
  </conditionalFormatting>
  <conditionalFormatting sqref="AA1047">
    <cfRule type="expression" priority="115" stopIfTrue="1">
      <formula>AA1047=0</formula>
    </cfRule>
    <cfRule type="expression" dxfId="58" priority="116" stopIfTrue="1">
      <formula>AA1047&lt;TODAY()</formula>
    </cfRule>
  </conditionalFormatting>
  <conditionalFormatting sqref="AA1048">
    <cfRule type="expression" priority="113" stopIfTrue="1">
      <formula>AA1048=0</formula>
    </cfRule>
    <cfRule type="expression" dxfId="57" priority="114" stopIfTrue="1">
      <formula>AA1048&lt;TODAY()</formula>
    </cfRule>
  </conditionalFormatting>
  <conditionalFormatting sqref="AA1049">
    <cfRule type="expression" priority="111" stopIfTrue="1">
      <formula>AA1049=0</formula>
    </cfRule>
    <cfRule type="expression" dxfId="56" priority="112" stopIfTrue="1">
      <formula>AA1049&lt;TODAY()</formula>
    </cfRule>
  </conditionalFormatting>
  <conditionalFormatting sqref="AA1050">
    <cfRule type="expression" priority="109" stopIfTrue="1">
      <formula>AA1050=0</formula>
    </cfRule>
    <cfRule type="expression" dxfId="55" priority="110" stopIfTrue="1">
      <formula>AA1050&lt;TODAY()</formula>
    </cfRule>
  </conditionalFormatting>
  <conditionalFormatting sqref="AA1051">
    <cfRule type="expression" priority="107" stopIfTrue="1">
      <formula>AA1051=0</formula>
    </cfRule>
    <cfRule type="expression" dxfId="54" priority="108" stopIfTrue="1">
      <formula>AA1051&lt;TODAY()</formula>
    </cfRule>
  </conditionalFormatting>
  <conditionalFormatting sqref="AA1052">
    <cfRule type="expression" priority="105" stopIfTrue="1">
      <formula>AA1052=0</formula>
    </cfRule>
    <cfRule type="expression" dxfId="53" priority="106" stopIfTrue="1">
      <formula>AA1052&lt;TODAY()</formula>
    </cfRule>
  </conditionalFormatting>
  <conditionalFormatting sqref="AA1053">
    <cfRule type="expression" priority="103" stopIfTrue="1">
      <formula>AA1053=0</formula>
    </cfRule>
    <cfRule type="expression" dxfId="52" priority="104" stopIfTrue="1">
      <formula>AA1053&lt;TODAY()</formula>
    </cfRule>
  </conditionalFormatting>
  <conditionalFormatting sqref="AA1054">
    <cfRule type="expression" priority="101" stopIfTrue="1">
      <formula>AA1054=0</formula>
    </cfRule>
    <cfRule type="expression" dxfId="51" priority="102" stopIfTrue="1">
      <formula>AA1054&lt;TODAY()</formula>
    </cfRule>
  </conditionalFormatting>
  <conditionalFormatting sqref="AA1055">
    <cfRule type="expression" priority="99" stopIfTrue="1">
      <formula>AA1055=0</formula>
    </cfRule>
    <cfRule type="expression" dxfId="50" priority="100" stopIfTrue="1">
      <formula>AA1055&lt;TODAY()</formula>
    </cfRule>
  </conditionalFormatting>
  <conditionalFormatting sqref="AA1056">
    <cfRule type="expression" priority="97" stopIfTrue="1">
      <formula>AA1056=0</formula>
    </cfRule>
    <cfRule type="expression" dxfId="49" priority="98" stopIfTrue="1">
      <formula>AA1056&lt;TODAY()</formula>
    </cfRule>
  </conditionalFormatting>
  <conditionalFormatting sqref="AA1057">
    <cfRule type="expression" priority="95" stopIfTrue="1">
      <formula>AA1057=0</formula>
    </cfRule>
    <cfRule type="expression" dxfId="48" priority="96" stopIfTrue="1">
      <formula>AA1057&lt;TODAY()</formula>
    </cfRule>
  </conditionalFormatting>
  <conditionalFormatting sqref="AA1058">
    <cfRule type="expression" priority="93" stopIfTrue="1">
      <formula>AA1058=0</formula>
    </cfRule>
    <cfRule type="expression" dxfId="47" priority="94" stopIfTrue="1">
      <formula>AA1058&lt;TODAY()</formula>
    </cfRule>
  </conditionalFormatting>
  <conditionalFormatting sqref="AA1059">
    <cfRule type="expression" priority="91" stopIfTrue="1">
      <formula>AA1059=0</formula>
    </cfRule>
    <cfRule type="expression" dxfId="46" priority="92" stopIfTrue="1">
      <formula>AA1059&lt;TODAY()</formula>
    </cfRule>
  </conditionalFormatting>
  <conditionalFormatting sqref="AA1060">
    <cfRule type="expression" priority="89" stopIfTrue="1">
      <formula>AA1060=0</formula>
    </cfRule>
    <cfRule type="expression" dxfId="45" priority="90" stopIfTrue="1">
      <formula>AA1060&lt;TODAY()</formula>
    </cfRule>
  </conditionalFormatting>
  <conditionalFormatting sqref="AA1061">
    <cfRule type="expression" priority="87" stopIfTrue="1">
      <formula>AA1061=0</formula>
    </cfRule>
    <cfRule type="expression" dxfId="44" priority="88" stopIfTrue="1">
      <formula>AA1061&lt;TODAY()</formula>
    </cfRule>
  </conditionalFormatting>
  <conditionalFormatting sqref="AA1062">
    <cfRule type="expression" priority="85" stopIfTrue="1">
      <formula>AA1062=0</formula>
    </cfRule>
    <cfRule type="expression" dxfId="43" priority="86" stopIfTrue="1">
      <formula>AA1062&lt;TODAY()</formula>
    </cfRule>
  </conditionalFormatting>
  <conditionalFormatting sqref="AA1063">
    <cfRule type="expression" priority="83" stopIfTrue="1">
      <formula>AA1063=0</formula>
    </cfRule>
    <cfRule type="expression" dxfId="42" priority="84" stopIfTrue="1">
      <formula>AA1063&lt;TODAY()</formula>
    </cfRule>
  </conditionalFormatting>
  <conditionalFormatting sqref="AA1064">
    <cfRule type="expression" priority="81" stopIfTrue="1">
      <formula>AA1064=0</formula>
    </cfRule>
    <cfRule type="expression" dxfId="41" priority="82" stopIfTrue="1">
      <formula>AA1064&lt;TODAY()</formula>
    </cfRule>
  </conditionalFormatting>
  <conditionalFormatting sqref="AA1065">
    <cfRule type="expression" priority="79" stopIfTrue="1">
      <formula>AA1065=0</formula>
    </cfRule>
    <cfRule type="expression" dxfId="40" priority="80" stopIfTrue="1">
      <formula>AA1065&lt;TODAY()</formula>
    </cfRule>
  </conditionalFormatting>
  <conditionalFormatting sqref="AA1066">
    <cfRule type="expression" priority="77" stopIfTrue="1">
      <formula>AA1066=0</formula>
    </cfRule>
    <cfRule type="expression" dxfId="39" priority="78" stopIfTrue="1">
      <formula>AA1066&lt;TODAY()</formula>
    </cfRule>
  </conditionalFormatting>
  <conditionalFormatting sqref="AA1067">
    <cfRule type="expression" priority="75" stopIfTrue="1">
      <formula>AA1067=0</formula>
    </cfRule>
    <cfRule type="expression" dxfId="38" priority="76" stopIfTrue="1">
      <formula>AA1067&lt;TODAY()</formula>
    </cfRule>
  </conditionalFormatting>
  <conditionalFormatting sqref="AA1068">
    <cfRule type="expression" priority="73" stopIfTrue="1">
      <formula>AA1068=0</formula>
    </cfRule>
    <cfRule type="expression" dxfId="37" priority="74" stopIfTrue="1">
      <formula>AA1068&lt;TODAY()</formula>
    </cfRule>
  </conditionalFormatting>
  <conditionalFormatting sqref="AA1069">
    <cfRule type="expression" priority="71" stopIfTrue="1">
      <formula>AA1069=0</formula>
    </cfRule>
    <cfRule type="expression" dxfId="36" priority="72" stopIfTrue="1">
      <formula>AA1069&lt;TODAY()</formula>
    </cfRule>
  </conditionalFormatting>
  <conditionalFormatting sqref="AA1070">
    <cfRule type="expression" priority="69" stopIfTrue="1">
      <formula>AA1070=0</formula>
    </cfRule>
    <cfRule type="expression" dxfId="35" priority="70" stopIfTrue="1">
      <formula>AA1070&lt;TODAY()</formula>
    </cfRule>
  </conditionalFormatting>
  <conditionalFormatting sqref="AA1071">
    <cfRule type="expression" priority="67" stopIfTrue="1">
      <formula>AA1071=0</formula>
    </cfRule>
    <cfRule type="expression" dxfId="34" priority="68" stopIfTrue="1">
      <formula>AA1071&lt;TODAY()</formula>
    </cfRule>
  </conditionalFormatting>
  <conditionalFormatting sqref="AA1072">
    <cfRule type="expression" priority="65" stopIfTrue="1">
      <formula>AA1072=0</formula>
    </cfRule>
    <cfRule type="expression" dxfId="33" priority="66" stopIfTrue="1">
      <formula>AA1072&lt;TODAY()</formula>
    </cfRule>
  </conditionalFormatting>
  <conditionalFormatting sqref="AA1073">
    <cfRule type="expression" priority="63" stopIfTrue="1">
      <formula>AA1073=0</formula>
    </cfRule>
    <cfRule type="expression" dxfId="32" priority="64" stopIfTrue="1">
      <formula>AA1073&lt;TODAY()</formula>
    </cfRule>
  </conditionalFormatting>
  <conditionalFormatting sqref="AA1074">
    <cfRule type="expression" priority="61" stopIfTrue="1">
      <formula>AA1074=0</formula>
    </cfRule>
    <cfRule type="expression" dxfId="31" priority="62" stopIfTrue="1">
      <formula>AA1074&lt;TODAY()</formula>
    </cfRule>
  </conditionalFormatting>
  <conditionalFormatting sqref="AA1075">
    <cfRule type="expression" priority="59" stopIfTrue="1">
      <formula>AA1075=0</formula>
    </cfRule>
    <cfRule type="expression" dxfId="30" priority="60" stopIfTrue="1">
      <formula>AA1075&lt;TODAY()</formula>
    </cfRule>
  </conditionalFormatting>
  <conditionalFormatting sqref="AA1076">
    <cfRule type="expression" priority="57" stopIfTrue="1">
      <formula>AA1076=0</formula>
    </cfRule>
    <cfRule type="expression" dxfId="29" priority="58" stopIfTrue="1">
      <formula>AA1076&lt;TODAY()</formula>
    </cfRule>
  </conditionalFormatting>
  <conditionalFormatting sqref="AA1077">
    <cfRule type="expression" priority="55" stopIfTrue="1">
      <formula>AA1077=0</formula>
    </cfRule>
    <cfRule type="expression" dxfId="28" priority="56" stopIfTrue="1">
      <formula>AA1077&lt;TODAY()</formula>
    </cfRule>
  </conditionalFormatting>
  <conditionalFormatting sqref="AA1078">
    <cfRule type="expression" priority="53" stopIfTrue="1">
      <formula>AA1078=0</formula>
    </cfRule>
    <cfRule type="expression" dxfId="27" priority="54" stopIfTrue="1">
      <formula>AA1078&lt;TODAY()</formula>
    </cfRule>
  </conditionalFormatting>
  <conditionalFormatting sqref="AA1079">
    <cfRule type="expression" priority="51" stopIfTrue="1">
      <formula>AA1079=0</formula>
    </cfRule>
    <cfRule type="expression" dxfId="26" priority="52" stopIfTrue="1">
      <formula>AA1079&lt;TODAY()</formula>
    </cfRule>
  </conditionalFormatting>
  <conditionalFormatting sqref="AA1080">
    <cfRule type="expression" priority="49" stopIfTrue="1">
      <formula>AA1080=0</formula>
    </cfRule>
    <cfRule type="expression" dxfId="25" priority="50" stopIfTrue="1">
      <formula>AA1080&lt;TODAY()</formula>
    </cfRule>
  </conditionalFormatting>
  <conditionalFormatting sqref="AA1081">
    <cfRule type="expression" priority="47" stopIfTrue="1">
      <formula>AA1081=0</formula>
    </cfRule>
    <cfRule type="expression" dxfId="24" priority="48" stopIfTrue="1">
      <formula>AA1081&lt;TODAY()</formula>
    </cfRule>
  </conditionalFormatting>
  <conditionalFormatting sqref="AA1082">
    <cfRule type="expression" priority="45" stopIfTrue="1">
      <formula>AA1082=0</formula>
    </cfRule>
    <cfRule type="expression" dxfId="23" priority="46" stopIfTrue="1">
      <formula>AA1082&lt;TODAY()</formula>
    </cfRule>
  </conditionalFormatting>
  <conditionalFormatting sqref="AA1083">
    <cfRule type="expression" priority="43" stopIfTrue="1">
      <formula>AA1083=0</formula>
    </cfRule>
    <cfRule type="expression" dxfId="22" priority="44" stopIfTrue="1">
      <formula>AA1083&lt;TODAY()</formula>
    </cfRule>
  </conditionalFormatting>
  <conditionalFormatting sqref="AA1084">
    <cfRule type="expression" priority="41" stopIfTrue="1">
      <formula>AA1084=0</formula>
    </cfRule>
    <cfRule type="expression" dxfId="21" priority="42" stopIfTrue="1">
      <formula>AA1084&lt;TODAY()</formula>
    </cfRule>
  </conditionalFormatting>
  <conditionalFormatting sqref="AA1085">
    <cfRule type="expression" priority="39" stopIfTrue="1">
      <formula>AA1085=0</formula>
    </cfRule>
    <cfRule type="expression" dxfId="20" priority="40" stopIfTrue="1">
      <formula>AA1085&lt;TODAY()</formula>
    </cfRule>
  </conditionalFormatting>
  <conditionalFormatting sqref="AA1086">
    <cfRule type="expression" priority="37" stopIfTrue="1">
      <formula>AA1086=0</formula>
    </cfRule>
    <cfRule type="expression" dxfId="19" priority="38" stopIfTrue="1">
      <formula>AA1086&lt;TODAY()</formula>
    </cfRule>
  </conditionalFormatting>
  <conditionalFormatting sqref="AA1087">
    <cfRule type="expression" priority="35" stopIfTrue="1">
      <formula>AA1087=0</formula>
    </cfRule>
    <cfRule type="expression" dxfId="18" priority="36" stopIfTrue="1">
      <formula>AA1087&lt;TODAY()</formula>
    </cfRule>
  </conditionalFormatting>
  <conditionalFormatting sqref="AA1088">
    <cfRule type="expression" priority="33" stopIfTrue="1">
      <formula>AA1088=0</formula>
    </cfRule>
    <cfRule type="expression" dxfId="17" priority="34" stopIfTrue="1">
      <formula>AA1088&lt;TODAY()</formula>
    </cfRule>
  </conditionalFormatting>
  <conditionalFormatting sqref="AA1089">
    <cfRule type="expression" priority="31" stopIfTrue="1">
      <formula>AA1089=0</formula>
    </cfRule>
    <cfRule type="expression" dxfId="16" priority="32" stopIfTrue="1">
      <formula>AA1089&lt;TODAY()</formula>
    </cfRule>
  </conditionalFormatting>
  <conditionalFormatting sqref="AA1090">
    <cfRule type="expression" priority="29" stopIfTrue="1">
      <formula>AA1090=0</formula>
    </cfRule>
    <cfRule type="expression" dxfId="15" priority="30" stopIfTrue="1">
      <formula>AA1090&lt;TODAY()</formula>
    </cfRule>
  </conditionalFormatting>
  <conditionalFormatting sqref="AA1091">
    <cfRule type="expression" priority="27" stopIfTrue="1">
      <formula>AA1091=0</formula>
    </cfRule>
    <cfRule type="expression" dxfId="14" priority="28" stopIfTrue="1">
      <formula>AA1091&lt;TODAY()</formula>
    </cfRule>
  </conditionalFormatting>
  <conditionalFormatting sqref="AA1092">
    <cfRule type="expression" priority="25" stopIfTrue="1">
      <formula>AA1092=0</formula>
    </cfRule>
    <cfRule type="expression" dxfId="13" priority="26" stopIfTrue="1">
      <formula>AA1092&lt;TODAY()</formula>
    </cfRule>
  </conditionalFormatting>
  <conditionalFormatting sqref="AA1093">
    <cfRule type="expression" priority="23" stopIfTrue="1">
      <formula>AA1093=0</formula>
    </cfRule>
    <cfRule type="expression" dxfId="12" priority="24" stopIfTrue="1">
      <formula>AA1093&lt;TODAY()</formula>
    </cfRule>
  </conditionalFormatting>
  <conditionalFormatting sqref="AA1094">
    <cfRule type="expression" priority="21" stopIfTrue="1">
      <formula>AA1094=0</formula>
    </cfRule>
    <cfRule type="expression" dxfId="11" priority="22" stopIfTrue="1">
      <formula>AA1094&lt;TODAY()</formula>
    </cfRule>
  </conditionalFormatting>
  <conditionalFormatting sqref="AA1095">
    <cfRule type="expression" priority="19" stopIfTrue="1">
      <formula>AA1095=0</formula>
    </cfRule>
    <cfRule type="expression" dxfId="10" priority="20" stopIfTrue="1">
      <formula>AA1095&lt;TODAY()</formula>
    </cfRule>
  </conditionalFormatting>
  <conditionalFormatting sqref="AA1096">
    <cfRule type="expression" priority="17" stopIfTrue="1">
      <formula>AA1096=0</formula>
    </cfRule>
    <cfRule type="expression" dxfId="9" priority="18" stopIfTrue="1">
      <formula>AA1096&lt;TODAY()</formula>
    </cfRule>
  </conditionalFormatting>
  <conditionalFormatting sqref="AA1097">
    <cfRule type="expression" priority="15" stopIfTrue="1">
      <formula>AA1097=0</formula>
    </cfRule>
    <cfRule type="expression" dxfId="8" priority="16" stopIfTrue="1">
      <formula>AA1097&lt;TODAY()</formula>
    </cfRule>
  </conditionalFormatting>
  <conditionalFormatting sqref="AA1098">
    <cfRule type="expression" priority="13" stopIfTrue="1">
      <formula>AA1098=0</formula>
    </cfRule>
    <cfRule type="expression" dxfId="7" priority="14" stopIfTrue="1">
      <formula>AA1098&lt;TODAY()</formula>
    </cfRule>
  </conditionalFormatting>
  <conditionalFormatting sqref="AA1099">
    <cfRule type="expression" priority="11" stopIfTrue="1">
      <formula>AA1099=0</formula>
    </cfRule>
    <cfRule type="expression" dxfId="6" priority="12" stopIfTrue="1">
      <formula>AA1099&lt;TODAY()</formula>
    </cfRule>
  </conditionalFormatting>
  <conditionalFormatting sqref="AA1100">
    <cfRule type="expression" priority="7" stopIfTrue="1">
      <formula>AA1100=0</formula>
    </cfRule>
    <cfRule type="expression" dxfId="5" priority="8" stopIfTrue="1">
      <formula>AA1100&lt;TODAY()</formula>
    </cfRule>
  </conditionalFormatting>
  <conditionalFormatting sqref="C1102 C7:C982">
    <cfRule type="expression" dxfId="4" priority="315">
      <formula>AND(C7&lt;&gt;"", COUNTIF($C$1109:$C$1468, C7)=0)</formula>
    </cfRule>
  </conditionalFormatting>
  <conditionalFormatting sqref="AA526">
    <cfRule type="expression" priority="5" stopIfTrue="1">
      <formula>AA526=0</formula>
    </cfRule>
    <cfRule type="expression" dxfId="3" priority="6" stopIfTrue="1">
      <formula>AA526&lt;TODAY()</formula>
    </cfRule>
  </conditionalFormatting>
  <conditionalFormatting sqref="AA1101">
    <cfRule type="expression" priority="1" stopIfTrue="1">
      <formula>AA1101=0</formula>
    </cfRule>
    <cfRule type="expression" dxfId="2" priority="2" stopIfTrue="1">
      <formula>AA1101&lt;TODAY()</formula>
    </cfRule>
  </conditionalFormatting>
  <dataValidations xWindow="132" yWindow="413" count="6">
    <dataValidation type="list" allowBlank="1" showInputMessage="1" showErrorMessage="1" sqref="X1110 AC1107 J7:J1102">
      <formula1>IF(E7="Alluminio",ProvvAl3,IF(E7="Bronzo",ProvvBr,ProvvCu3))</formula1>
    </dataValidation>
    <dataValidation type="list" allowBlank="1" showInputMessage="1" showErrorMessage="1" sqref="AB1107 W1110 I7:I1188">
      <formula1>IF(E7="Alluminio",LargAl,IF(E7="Bronzo",LargBr,LarCu))</formula1>
    </dataValidation>
    <dataValidation type="list" allowBlank="1" showInputMessage="1" showErrorMessage="1" sqref="V1110 AA1107 H7:H1102">
      <formula1>IF(E7="Alluminio",Alu,IF(E7="Bronzo",Br,Cu))</formula1>
    </dataValidation>
    <dataValidation type="list" allowBlank="1" showInputMessage="1" showErrorMessage="1" sqref="X1107 E7:E1106">
      <formula1>Materiale2</formula1>
    </dataValidation>
    <dataValidation type="list" allowBlank="1" showInputMessage="1" showErrorMessage="1" sqref="AD6:AD320 AD322:AD1102">
      <formula1>"OK"</formula1>
    </dataValidation>
    <dataValidation type="list" allowBlank="1" showInputMessage="1" showErrorMessage="1" sqref="J1103:J1268">
      <formula1>IF(E1103="Alluminio",ProvvAl2,IF(E1103="Bronzo",ProvvBr,ProvvCu2))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NuovaRiga">
          <controlPr defaultSize="0" autoLine="0" r:id="rId5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4" name="CmdNuov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EliminaERipristinaRiga">
          <controlPr defaultSize="0" autoLine="0" r:id="rId9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866775</xdr:colOff>
                <xdr:row>2</xdr:row>
                <xdr:rowOff>114300</xdr:rowOff>
              </to>
            </anchor>
          </controlPr>
        </control>
      </mc:Choice>
      <mc:Fallback>
        <control shapeId="1032" r:id="rId8" name="CmdEliminaERipristinaRiga"/>
      </mc:Fallback>
    </mc:AlternateContent>
    <mc:AlternateContent xmlns:mc="http://schemas.openxmlformats.org/markup-compatibility/2006">
      <mc:Choice Requires="x14">
        <control shapeId="1034" r:id="rId10" name="CmdSelezionaTabella">
          <controlPr defaultSize="0" autoLine="0" autoPict="0" r:id="rId11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13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34" r:id="rId10" name="CmdSelezionaTabell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J19" sqref="J19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tabSelected="1" zoomScale="190" zoomScaleNormal="190" workbookViewId="0">
      <selection activeCell="G3" sqref="G3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459">
        <v>0.1</v>
      </c>
      <c r="C1" s="8">
        <v>0.15</v>
      </c>
      <c r="G1" s="462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457" t="s">
        <v>12</v>
      </c>
      <c r="B3" s="460">
        <v>1.1000000000000001</v>
      </c>
      <c r="C3" s="6">
        <v>1.25</v>
      </c>
      <c r="F3" s="457" t="s">
        <v>12</v>
      </c>
      <c r="G3" s="460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zoomScale="175" zoomScaleNormal="175" workbookViewId="0">
      <selection activeCell="G3" sqref="G3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459">
        <v>0.15</v>
      </c>
      <c r="G1" s="462" t="s">
        <v>7</v>
      </c>
      <c r="H1" s="4" t="s">
        <v>33</v>
      </c>
      <c r="I1" s="4" t="s">
        <v>32</v>
      </c>
    </row>
    <row r="2" spans="1:9" x14ac:dyDescent="0.25">
      <c r="A2" s="458" t="s">
        <v>10</v>
      </c>
      <c r="B2" s="6">
        <v>1.05</v>
      </c>
      <c r="C2" s="461">
        <v>1.2</v>
      </c>
      <c r="F2" s="458" t="s">
        <v>10</v>
      </c>
      <c r="G2" s="461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C1" zoomScale="115" zoomScaleNormal="115" workbookViewId="0">
      <selection activeCell="M7" sqref="M7:O7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33" t="s">
        <v>0</v>
      </c>
      <c r="B1" s="433"/>
      <c r="C1" s="433"/>
      <c r="D1" s="433"/>
      <c r="E1" s="433"/>
      <c r="F1" s="433"/>
      <c r="H1" t="e">
        <f>IF(E9="Alluminio",LargAl,IF(E9="Bronzo",LargBr,LarCu))</f>
        <v>#VALUE!</v>
      </c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34" t="s">
        <v>1</v>
      </c>
      <c r="B3" s="434"/>
      <c r="C3" s="434"/>
      <c r="D3" s="434"/>
      <c r="E3" s="434"/>
      <c r="F3" s="434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35" t="s">
        <v>2</v>
      </c>
      <c r="B5" s="437">
        <v>7.0000000000000007E-2</v>
      </c>
      <c r="C5" s="437">
        <v>0.1</v>
      </c>
      <c r="D5" s="437">
        <v>0.18</v>
      </c>
      <c r="E5" s="438" t="s">
        <v>3</v>
      </c>
      <c r="F5" s="438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36"/>
      <c r="B6" s="436"/>
      <c r="C6" s="436"/>
      <c r="D6" s="436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39" t="s">
        <v>31</v>
      </c>
      <c r="B24" s="439"/>
      <c r="C24" s="439"/>
      <c r="D24" s="439"/>
      <c r="E24" s="439"/>
      <c r="F24" s="439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35" t="s">
        <v>2</v>
      </c>
      <c r="B26" s="437">
        <v>0.1</v>
      </c>
      <c r="C26" s="437">
        <v>0.18</v>
      </c>
      <c r="D26" s="438" t="s">
        <v>3</v>
      </c>
      <c r="E26" s="438"/>
      <c r="F26" s="438"/>
      <c r="S26" s="189" t="s">
        <v>326</v>
      </c>
    </row>
    <row r="27" spans="1:19" x14ac:dyDescent="0.25">
      <c r="A27" s="436"/>
      <c r="B27" s="436"/>
      <c r="C27" s="436"/>
      <c r="D27" s="4" t="s">
        <v>7</v>
      </c>
      <c r="E27" s="4" t="s">
        <v>33</v>
      </c>
      <c r="F27" s="4" t="s">
        <v>32</v>
      </c>
      <c r="H27" s="437">
        <v>7.0000000000000007E-2</v>
      </c>
      <c r="I27" s="437">
        <v>0.1</v>
      </c>
      <c r="J27" s="437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36"/>
      <c r="I28" s="436"/>
      <c r="J28" s="436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47" t="s">
        <v>34</v>
      </c>
      <c r="B35" s="447"/>
      <c r="C35" s="447"/>
      <c r="D35" s="447"/>
      <c r="E35" s="447"/>
      <c r="F35" s="447"/>
      <c r="S35" s="189" t="s">
        <v>318</v>
      </c>
    </row>
    <row r="36" spans="1:19" x14ac:dyDescent="0.25">
      <c r="S36" s="5" t="s">
        <v>310</v>
      </c>
    </row>
    <row r="37" spans="1:19" x14ac:dyDescent="0.25">
      <c r="A37" s="435" t="s">
        <v>2</v>
      </c>
      <c r="B37" s="437">
        <v>0.1</v>
      </c>
      <c r="C37" s="437">
        <v>0.18</v>
      </c>
      <c r="D37" s="438" t="s">
        <v>3</v>
      </c>
      <c r="E37" s="438"/>
      <c r="F37" s="438"/>
      <c r="S37" s="189" t="s">
        <v>319</v>
      </c>
    </row>
    <row r="38" spans="1:19" x14ac:dyDescent="0.25">
      <c r="A38" s="436"/>
      <c r="B38" s="436"/>
      <c r="C38" s="436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44" t="s">
        <v>35</v>
      </c>
      <c r="B46" s="445"/>
      <c r="C46" s="445"/>
      <c r="D46" s="445"/>
      <c r="E46" s="445"/>
      <c r="F46" s="446"/>
    </row>
    <row r="50" spans="1:6" x14ac:dyDescent="0.25">
      <c r="B50" s="159" t="s">
        <v>174</v>
      </c>
      <c r="C50" s="440" t="s">
        <v>175</v>
      </c>
      <c r="D50" s="440"/>
      <c r="E50" s="441" t="s">
        <v>176</v>
      </c>
      <c r="F50" s="442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43" t="s">
        <v>182</v>
      </c>
      <c r="B52" s="443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48" t="s">
        <v>389</v>
      </c>
      <c r="C3" s="448"/>
      <c r="D3" s="448"/>
      <c r="F3" s="448" t="s">
        <v>397</v>
      </c>
      <c r="G3" s="448"/>
      <c r="H3" s="448"/>
      <c r="J3" s="448" t="s">
        <v>405</v>
      </c>
      <c r="K3" s="448"/>
      <c r="L3" s="448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SUMIFS(Calkos!$D$7:$D$1102,Calkos!$AK$7:$AK$1102,1,Calkos!$AL$7:$AL$1102,2023)</f>
        <v>0</v>
      </c>
      <c r="D5" s="219"/>
      <c r="F5" s="210">
        <v>1</v>
      </c>
      <c r="G5" s="215">
        <f>SUMIFS(Calkos!$D$7:$D$1102,Calkos!$AK$7:$AK$1102,1,Calkos!$AL$7:$AL$1102,2024)</f>
        <v>0</v>
      </c>
      <c r="H5" s="219"/>
      <c r="J5" s="210">
        <v>1</v>
      </c>
      <c r="K5" s="215">
        <f>SUMIFS(Calkos!$D$7:$D$1102,Calkos!$AK$7:$AK$1102,1,Calkos!$AL$7:$AL$1102,2025)</f>
        <v>0</v>
      </c>
      <c r="L5" s="219"/>
    </row>
    <row r="6" spans="1:12" x14ac:dyDescent="0.25">
      <c r="B6" s="211">
        <f>+B5+1</f>
        <v>2</v>
      </c>
      <c r="C6" s="216">
        <f>SUMIFS(Calkos!$D$7:$D$1102,Calkos!$AK$7:$AK$1102,2,Calkos!$AL$7:$AL$1102,2023)</f>
        <v>0</v>
      </c>
      <c r="D6" s="202"/>
      <c r="F6" s="211">
        <f>+F5+1</f>
        <v>2</v>
      </c>
      <c r="G6" s="216">
        <f>SUMIFS(Calkos!$D$7:$D$1102,Calkos!$AK$7:$AK$1102,2,Calkos!$AL$7:$AL$1102,2024)</f>
        <v>0</v>
      </c>
      <c r="H6" s="202"/>
      <c r="J6" s="211">
        <f>+J5+1</f>
        <v>2</v>
      </c>
      <c r="K6" s="216">
        <f>SUMIFS(Calkos!$D$7:$D$1102,Calkos!$AK$7:$AK$1102,2,Calkos!$AL$7:$AL$1102,2025)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SUMIFS(Calkos!$D$7:$D$1102,Calkos!$AK$7:$AK$1102,3,Calkos!$AL$7:$AL$1102,2023)</f>
        <v>0</v>
      </c>
      <c r="D7" s="202"/>
      <c r="F7" s="211">
        <f t="shared" ref="F7:F57" si="1">+F6+1</f>
        <v>3</v>
      </c>
      <c r="G7" s="216">
        <f>SUMIFS(Calkos!$D$7:$D$1102,Calkos!$AK$7:$AK$1102,3,Calkos!$AL$7:$AL$1102,2024)</f>
        <v>0</v>
      </c>
      <c r="H7" s="202"/>
      <c r="J7" s="211">
        <f t="shared" ref="J7:J57" si="2">+J6+1</f>
        <v>3</v>
      </c>
      <c r="K7" s="216">
        <f>SUMIFS(Calkos!$D$7:$D$1102,Calkos!$AK$7:$AK$1102,3,Calkos!$AL$7:$AL$1102,2025)</f>
        <v>0</v>
      </c>
      <c r="L7" s="202"/>
    </row>
    <row r="8" spans="1:12" x14ac:dyDescent="0.25">
      <c r="B8" s="211">
        <f t="shared" si="0"/>
        <v>4</v>
      </c>
      <c r="C8" s="216">
        <f>SUMIFS(Calkos!$D$7:$D$1102,Calkos!$AK$7:$AK$1102,4,Calkos!$AL$7:$AL$1102,2023)</f>
        <v>0</v>
      </c>
      <c r="D8" s="202"/>
      <c r="F8" s="211">
        <f t="shared" si="1"/>
        <v>4</v>
      </c>
      <c r="G8" s="216">
        <f>SUMIFS(Calkos!$D$7:$D$1102,Calkos!$AK$7:$AK$1102,4,Calkos!$AL$7:$AL$1102,2024)</f>
        <v>0</v>
      </c>
      <c r="H8" s="202"/>
      <c r="J8" s="211">
        <f t="shared" si="2"/>
        <v>4</v>
      </c>
      <c r="K8" s="216">
        <f>SUMIFS(Calkos!$D$7:$D$1102,Calkos!$AK$7:$AK$1102,4,Calkos!$AL$7:$AL$1102,2025)</f>
        <v>0</v>
      </c>
      <c r="L8" s="202"/>
    </row>
    <row r="9" spans="1:12" x14ac:dyDescent="0.25">
      <c r="B9" s="211">
        <f t="shared" si="0"/>
        <v>5</v>
      </c>
      <c r="C9" s="216">
        <f>SUMIFS(Calkos!$D$7:$D$1102,Calkos!$AK$7:$AK$1102,5,Calkos!$AL$7:$AL$1102,2023)</f>
        <v>0</v>
      </c>
      <c r="D9" s="202"/>
      <c r="F9" s="211">
        <f t="shared" si="1"/>
        <v>5</v>
      </c>
      <c r="G9" s="216">
        <f>SUMIFS(Calkos!$D$7:$D$1102,Calkos!$AK$7:$AK$1102,5,Calkos!$AL$7:$AL$1102,2024)</f>
        <v>0</v>
      </c>
      <c r="H9" s="202"/>
      <c r="J9" s="211">
        <f t="shared" si="2"/>
        <v>5</v>
      </c>
      <c r="K9" s="216">
        <f>SUMIFS(Calkos!$D$7:$D$1102,Calkos!$AK$7:$AK$1102,5,Calkos!$AL$7:$AL$1102,2025)</f>
        <v>0</v>
      </c>
      <c r="L9" s="202"/>
    </row>
    <row r="10" spans="1:12" x14ac:dyDescent="0.25">
      <c r="B10" s="211">
        <f t="shared" si="0"/>
        <v>6</v>
      </c>
      <c r="C10" s="216">
        <f>SUMIFS(Calkos!$D$7:$D$1102,Calkos!$AK$7:$AK$1102,6,Calkos!$AL$7:$AL$1102,2023)</f>
        <v>0</v>
      </c>
      <c r="D10" s="202"/>
      <c r="F10" s="211">
        <f t="shared" si="1"/>
        <v>6</v>
      </c>
      <c r="G10" s="216">
        <f>SUMIFS(Calkos!$D$7:$D$1102,Calkos!$AK$7:$AK$1102,6,Calkos!$AL$7:$AL$1102,2024)</f>
        <v>0</v>
      </c>
      <c r="H10" s="202"/>
      <c r="J10" s="211">
        <f t="shared" si="2"/>
        <v>6</v>
      </c>
      <c r="K10" s="216">
        <f>SUMIFS(Calkos!$D$7:$D$1102,Calkos!$AK$7:$AK$1102,6,Calkos!$AL$7:$AL$1102,2025)</f>
        <v>0</v>
      </c>
      <c r="L10" s="202"/>
    </row>
    <row r="11" spans="1:12" x14ac:dyDescent="0.25">
      <c r="B11" s="211">
        <f t="shared" si="0"/>
        <v>7</v>
      </c>
      <c r="C11" s="216">
        <f>SUMIFS(Calkos!$D$7:$D$1102,Calkos!$AK$7:$AK$1102,7,Calkos!$AL$7:$AL$1102,2023)</f>
        <v>0</v>
      </c>
      <c r="D11" s="202"/>
      <c r="F11" s="211">
        <f t="shared" si="1"/>
        <v>7</v>
      </c>
      <c r="G11" s="216">
        <f>SUMIFS(Calkos!$D$7:$D$1102,Calkos!$AK$7:$AK$1102,7,Calkos!$AL$7:$AL$1102,2024)</f>
        <v>0</v>
      </c>
      <c r="H11" s="202"/>
      <c r="J11" s="211">
        <f t="shared" si="2"/>
        <v>7</v>
      </c>
      <c r="K11" s="216">
        <f>SUMIFS(Calkos!$D$7:$D$1102,Calkos!$AK$7:$AK$1102,7,Calkos!$AL$7:$AL$1102,2025)</f>
        <v>0</v>
      </c>
      <c r="L11" s="202"/>
    </row>
    <row r="12" spans="1:12" x14ac:dyDescent="0.25">
      <c r="B12" s="211">
        <f t="shared" si="0"/>
        <v>8</v>
      </c>
      <c r="C12" s="216">
        <f>SUMIFS(Calkos!$D$7:$D$1102,Calkos!$AK$7:$AK$1102,8,Calkos!$AL$7:$AL$1102,2023)</f>
        <v>0</v>
      </c>
      <c r="D12" s="202"/>
      <c r="F12" s="211">
        <f t="shared" si="1"/>
        <v>8</v>
      </c>
      <c r="G12" s="216">
        <f>SUMIFS(Calkos!$D$7:$D$1102,Calkos!$AK$7:$AK$1102,8,Calkos!$AL$7:$AL$1102,2024)</f>
        <v>0</v>
      </c>
      <c r="H12" s="202"/>
      <c r="J12" s="211">
        <f t="shared" si="2"/>
        <v>8</v>
      </c>
      <c r="K12" s="216">
        <f>SUMIFS(Calkos!$D$7:$D$1102,Calkos!$AK$7:$AK$1102,8,Calkos!$AL$7:$AL$1102,2025)</f>
        <v>0</v>
      </c>
      <c r="L12" s="202"/>
    </row>
    <row r="13" spans="1:12" x14ac:dyDescent="0.25">
      <c r="B13" s="211">
        <f t="shared" si="0"/>
        <v>9</v>
      </c>
      <c r="C13" s="216">
        <f>SUMIFS(Calkos!$D$7:$D$1102,Calkos!$AK$7:$AK$1102,9,Calkos!$AL$7:$AL$1102,2023)</f>
        <v>0</v>
      </c>
      <c r="D13" s="202"/>
      <c r="F13" s="211">
        <f t="shared" si="1"/>
        <v>9</v>
      </c>
      <c r="G13" s="216">
        <f>SUMIFS(Calkos!$D$7:$D$1102,Calkos!$AK$7:$AK$1102,9,Calkos!$AL$7:$AL$1102,2024)</f>
        <v>0</v>
      </c>
      <c r="H13" s="202"/>
      <c r="J13" s="211">
        <f t="shared" si="2"/>
        <v>9</v>
      </c>
      <c r="K13" s="216">
        <f>SUMIFS(Calkos!$D$7:$D$1102,Calkos!$AK$7:$AK$1102,9,Calkos!$AL$7:$AL$1102,2025)</f>
        <v>0</v>
      </c>
      <c r="L13" s="202"/>
    </row>
    <row r="14" spans="1:12" x14ac:dyDescent="0.25">
      <c r="B14" s="211">
        <f t="shared" si="0"/>
        <v>10</v>
      </c>
      <c r="C14" s="216">
        <f>SUMIFS(Calkos!$D$7:$D$1102,Calkos!$AK$7:$AK$1102,10,Calkos!$AL$7:$AL$1102,2023)</f>
        <v>0</v>
      </c>
      <c r="D14" s="202"/>
      <c r="F14" s="211">
        <f t="shared" si="1"/>
        <v>10</v>
      </c>
      <c r="G14" s="216">
        <f>SUMIFS(Calkos!$D$7:$D$1102,Calkos!$AK$7:$AK$1102,10,Calkos!$AL$7:$AL$1102,2024)</f>
        <v>0</v>
      </c>
      <c r="H14" s="202"/>
      <c r="J14" s="211">
        <f t="shared" si="2"/>
        <v>10</v>
      </c>
      <c r="K14" s="216">
        <f>SUMIFS(Calkos!$D$7:$D$1102,Calkos!$AK$7:$AK$1102,10,Calkos!$AL$7:$AL$1102,2025)</f>
        <v>0</v>
      </c>
      <c r="L14" s="202"/>
    </row>
    <row r="15" spans="1:12" x14ac:dyDescent="0.25">
      <c r="B15" s="211">
        <f t="shared" si="0"/>
        <v>11</v>
      </c>
      <c r="C15" s="216">
        <f>SUMIFS(Calkos!$D$7:$D$1102,Calkos!$AK$7:$AK$1102,11,Calkos!$AL$7:$AL$1102,2023)</f>
        <v>0</v>
      </c>
      <c r="D15" s="202"/>
      <c r="F15" s="211">
        <f t="shared" si="1"/>
        <v>11</v>
      </c>
      <c r="G15" s="216">
        <f>SUMIFS(Calkos!$D$7:$D$1102,Calkos!$AK$7:$AK$1102,11,Calkos!$AL$7:$AL$1102,2024)</f>
        <v>0</v>
      </c>
      <c r="H15" s="202"/>
      <c r="J15" s="211">
        <f t="shared" si="2"/>
        <v>11</v>
      </c>
      <c r="K15" s="216">
        <f>SUMIFS(Calkos!$D$7:$D$1102,Calkos!$AK$7:$AK$1102,11,Calkos!$AL$7:$AL$1102,2025)</f>
        <v>0</v>
      </c>
      <c r="L15" s="202"/>
    </row>
    <row r="16" spans="1:12" x14ac:dyDescent="0.25">
      <c r="B16" s="211">
        <f t="shared" si="0"/>
        <v>12</v>
      </c>
      <c r="C16" s="216">
        <f>SUMIFS(Calkos!$D$7:$D$1102,Calkos!$AK$7:$AK$1102,12,Calkos!$AL$7:$AL$1102,2023)</f>
        <v>0</v>
      </c>
      <c r="D16" s="202"/>
      <c r="F16" s="211">
        <f t="shared" si="1"/>
        <v>12</v>
      </c>
      <c r="G16" s="216">
        <f>SUMIFS(Calkos!$D$7:$D$1102,Calkos!$AK$7:$AK$1102,12,Calkos!$AL$7:$AL$1102,2024)</f>
        <v>0</v>
      </c>
      <c r="H16" s="202"/>
      <c r="J16" s="211">
        <f t="shared" si="2"/>
        <v>12</v>
      </c>
      <c r="K16" s="216">
        <f>SUMIFS(Calkos!$D$7:$D$1102,Calkos!$AK$7:$AK$1102,12,Calkos!$AL$7:$AL$1102,2025)</f>
        <v>0</v>
      </c>
      <c r="L16" s="202"/>
    </row>
    <row r="17" spans="2:12" x14ac:dyDescent="0.25">
      <c r="B17" s="211">
        <f t="shared" si="0"/>
        <v>13</v>
      </c>
      <c r="C17" s="216">
        <f>SUMIFS(Calkos!$D$7:$D$1102,Calkos!$AK$7:$AK$1102,13,Calkos!$AL$7:$AL$1102,2023)</f>
        <v>0</v>
      </c>
      <c r="D17" s="202"/>
      <c r="F17" s="211">
        <f t="shared" si="1"/>
        <v>13</v>
      </c>
      <c r="G17" s="216">
        <f>SUMIFS(Calkos!$D$7:$D$1102,Calkos!$AK$7:$AK$1102,13,Calkos!$AL$7:$AL$1102,2024)</f>
        <v>0</v>
      </c>
      <c r="H17" s="202"/>
      <c r="J17" s="211">
        <f t="shared" si="2"/>
        <v>13</v>
      </c>
      <c r="K17" s="216">
        <f>SUMIFS(Calkos!$D$7:$D$1102,Calkos!$AK$7:$AK$1102,13,Calkos!$AL$7:$AL$1102,2025)</f>
        <v>0</v>
      </c>
      <c r="L17" s="202"/>
    </row>
    <row r="18" spans="2:12" x14ac:dyDescent="0.25">
      <c r="B18" s="211">
        <f t="shared" si="0"/>
        <v>14</v>
      </c>
      <c r="C18" s="216">
        <f>SUMIFS(Calkos!$D$7:$D$1102,Calkos!$AK$7:$AK$1102,14,Calkos!$AL$7:$AL$1102,2023)</f>
        <v>0</v>
      </c>
      <c r="D18" s="202"/>
      <c r="F18" s="211">
        <f t="shared" si="1"/>
        <v>14</v>
      </c>
      <c r="G18" s="216">
        <f>SUMIFS(Calkos!$D$7:$D$1102,Calkos!$AK$7:$AK$1102,14,Calkos!$AL$7:$AL$1102,2024)</f>
        <v>0</v>
      </c>
      <c r="H18" s="202"/>
      <c r="J18" s="211">
        <f t="shared" si="2"/>
        <v>14</v>
      </c>
      <c r="K18" s="216">
        <f>SUMIFS(Calkos!$D$7:$D$1102,Calkos!$AK$7:$AK$1102,14,Calkos!$AL$7:$AL$1102,2025)</f>
        <v>0</v>
      </c>
      <c r="L18" s="202"/>
    </row>
    <row r="19" spans="2:12" x14ac:dyDescent="0.25">
      <c r="B19" s="211">
        <f t="shared" si="0"/>
        <v>15</v>
      </c>
      <c r="C19" s="216">
        <f>SUMIFS(Calkos!$D$7:$D$1102,Calkos!$AK$7:$AK$1102,15,Calkos!$AL$7:$AL$1102,2023)</f>
        <v>0</v>
      </c>
      <c r="D19" s="202"/>
      <c r="F19" s="211">
        <f t="shared" si="1"/>
        <v>15</v>
      </c>
      <c r="G19" s="216">
        <f>SUMIFS(Calkos!$D$7:$D$1102,Calkos!$AK$7:$AK$1102,15,Calkos!$AL$7:$AL$1102,2024)</f>
        <v>0</v>
      </c>
      <c r="H19" s="202"/>
      <c r="J19" s="211">
        <f t="shared" si="2"/>
        <v>15</v>
      </c>
      <c r="K19" s="216">
        <f>SUMIFS(Calkos!$D$7:$D$1102,Calkos!$AK$7:$AK$1102,15,Calkos!$AL$7:$AL$1102,2025)</f>
        <v>0</v>
      </c>
      <c r="L19" s="202"/>
    </row>
    <row r="20" spans="2:12" x14ac:dyDescent="0.25">
      <c r="B20" s="211">
        <f t="shared" si="0"/>
        <v>16</v>
      </c>
      <c r="C20" s="216">
        <f>SUMIFS(Calkos!$D$7:$D$1102,Calkos!$AK$7:$AK$1102,16,Calkos!$AL$7:$AL$1102,2023)</f>
        <v>0</v>
      </c>
      <c r="D20" s="202"/>
      <c r="F20" s="211">
        <f t="shared" si="1"/>
        <v>16</v>
      </c>
      <c r="G20" s="216">
        <f>SUMIFS(Calkos!$D$7:$D$1102,Calkos!$AK$7:$AK$1102,16,Calkos!$AL$7:$AL$1102,2024)</f>
        <v>0</v>
      </c>
      <c r="H20" s="202"/>
      <c r="J20" s="211">
        <f t="shared" si="2"/>
        <v>16</v>
      </c>
      <c r="K20" s="216">
        <f>SUMIFS(Calkos!$D$7:$D$1102,Calkos!$AK$7:$AK$1102,16,Calkos!$AL$7:$AL$1102,2025)</f>
        <v>0</v>
      </c>
      <c r="L20" s="202"/>
    </row>
    <row r="21" spans="2:12" x14ac:dyDescent="0.25">
      <c r="B21" s="211">
        <f t="shared" si="0"/>
        <v>17</v>
      </c>
      <c r="C21" s="216">
        <f>SUMIFS(Calkos!$D$7:$D$1102,Calkos!$AK$7:$AK$1102,17,Calkos!$AL$7:$AL$1102,2023)</f>
        <v>0</v>
      </c>
      <c r="D21" s="202"/>
      <c r="F21" s="211">
        <f t="shared" si="1"/>
        <v>17</v>
      </c>
      <c r="G21" s="216">
        <f>SUMIFS(Calkos!$D$7:$D$1102,Calkos!$AK$7:$AK$1102,17,Calkos!$AL$7:$AL$1102,2024)</f>
        <v>0</v>
      </c>
      <c r="H21" s="202"/>
      <c r="J21" s="211">
        <f t="shared" si="2"/>
        <v>17</v>
      </c>
      <c r="K21" s="216">
        <f>SUMIFS(Calkos!$D$7:$D$1102,Calkos!$AK$7:$AK$1102,17,Calkos!$AL$7:$AL$1102,2025)</f>
        <v>0</v>
      </c>
      <c r="L21" s="202"/>
    </row>
    <row r="22" spans="2:12" x14ac:dyDescent="0.25">
      <c r="B22" s="211">
        <f t="shared" si="0"/>
        <v>18</v>
      </c>
      <c r="C22" s="216">
        <f>SUMIFS(Calkos!$D$7:$D$1102,Calkos!$AK$7:$AK$1102,18,Calkos!$AL$7:$AL$1102,2023)</f>
        <v>0</v>
      </c>
      <c r="D22" s="202"/>
      <c r="F22" s="211">
        <f t="shared" si="1"/>
        <v>18</v>
      </c>
      <c r="G22" s="216">
        <f>SUMIFS(Calkos!$D$7:$D$1102,Calkos!$AK$7:$AK$1102,18,Calkos!$AL$7:$AL$1102,2024)</f>
        <v>0</v>
      </c>
      <c r="H22" s="202"/>
      <c r="J22" s="211">
        <f t="shared" si="2"/>
        <v>18</v>
      </c>
      <c r="K22" s="216">
        <f>SUMIFS(Calkos!$D$7:$D$1102,Calkos!$AK$7:$AK$1102,18,Calkos!$AL$7:$AL$1102,2025)</f>
        <v>0</v>
      </c>
      <c r="L22" s="202"/>
    </row>
    <row r="23" spans="2:12" x14ac:dyDescent="0.25">
      <c r="B23" s="211">
        <f t="shared" si="0"/>
        <v>19</v>
      </c>
      <c r="C23" s="216">
        <f>SUMIFS(Calkos!$D$7:$D$1102,Calkos!$AK$7:$AK$1102,19,Calkos!$AL$7:$AL$1102,2023)</f>
        <v>0</v>
      </c>
      <c r="D23" s="202"/>
      <c r="F23" s="211">
        <f t="shared" si="1"/>
        <v>19</v>
      </c>
      <c r="G23" s="216">
        <f>SUMIFS(Calkos!$D$7:$D$1102,Calkos!$AK$7:$AK$1102,19,Calkos!$AL$7:$AL$1102,2024)</f>
        <v>0</v>
      </c>
      <c r="H23" s="202"/>
      <c r="J23" s="211">
        <f t="shared" si="2"/>
        <v>19</v>
      </c>
      <c r="K23" s="216">
        <f>SUMIFS(Calkos!$D$7:$D$1102,Calkos!$AK$7:$AK$1102,19,Calkos!$AL$7:$AL$1102,2025)</f>
        <v>0</v>
      </c>
      <c r="L23" s="202"/>
    </row>
    <row r="24" spans="2:12" x14ac:dyDescent="0.25">
      <c r="B24" s="211">
        <f t="shared" si="0"/>
        <v>20</v>
      </c>
      <c r="C24" s="216">
        <f>SUMIFS(Calkos!$D$7:$D$1102,Calkos!$AK$7:$AK$1102,20,Calkos!$AL$7:$AL$1102,2023)</f>
        <v>0</v>
      </c>
      <c r="D24" s="202"/>
      <c r="F24" s="211">
        <f t="shared" si="1"/>
        <v>20</v>
      </c>
      <c r="G24" s="216">
        <f>SUMIFS(Calkos!$D$7:$D$1102,Calkos!$AK$7:$AK$1102,20,Calkos!$AL$7:$AL$1102,2024)</f>
        <v>0</v>
      </c>
      <c r="H24" s="202"/>
      <c r="J24" s="211">
        <f t="shared" si="2"/>
        <v>20</v>
      </c>
      <c r="K24" s="216">
        <f>SUMIFS(Calkos!$D$7:$D$1102,Calkos!$AK$7:$AK$1102,20,Calkos!$AL$7:$AL$1102,2025)</f>
        <v>0</v>
      </c>
      <c r="L24" s="202"/>
    </row>
    <row r="25" spans="2:12" x14ac:dyDescent="0.25">
      <c r="B25" s="211">
        <f t="shared" si="0"/>
        <v>21</v>
      </c>
      <c r="C25" s="216">
        <f>SUMIFS(Calkos!$D$7:$D$1102,Calkos!$AK$7:$AK$1102,21,Calkos!$AL$7:$AL$1102,2023)</f>
        <v>0</v>
      </c>
      <c r="D25" s="202"/>
      <c r="F25" s="211">
        <f t="shared" si="1"/>
        <v>21</v>
      </c>
      <c r="G25" s="216">
        <f>SUMIFS(Calkos!$D$7:$D$1102,Calkos!$AK$7:$AK$1102,21,Calkos!$AL$7:$AL$1102,2024)</f>
        <v>0</v>
      </c>
      <c r="H25" s="202"/>
      <c r="J25" s="211">
        <f t="shared" si="2"/>
        <v>21</v>
      </c>
      <c r="K25" s="216">
        <f>SUMIFS(Calkos!$D$7:$D$1102,Calkos!$AK$7:$AK$1102,21,Calkos!$AL$7:$AL$1102,2025)</f>
        <v>0</v>
      </c>
      <c r="L25" s="202"/>
    </row>
    <row r="26" spans="2:12" x14ac:dyDescent="0.25">
      <c r="B26" s="211">
        <f t="shared" si="0"/>
        <v>22</v>
      </c>
      <c r="C26" s="216">
        <f>SUMIFS(Calkos!$D$7:$D$1102,Calkos!$AK$7:$AK$1102,22,Calkos!$AL$7:$AL$1102,2023)</f>
        <v>0</v>
      </c>
      <c r="D26" s="202"/>
      <c r="F26" s="211">
        <f t="shared" si="1"/>
        <v>22</v>
      </c>
      <c r="G26" s="216">
        <f>SUMIFS(Calkos!$D$7:$D$1102,Calkos!$AK$7:$AK$1102,22,Calkos!$AL$7:$AL$1102,2024)</f>
        <v>0</v>
      </c>
      <c r="H26" s="202"/>
      <c r="J26" s="211">
        <f t="shared" si="2"/>
        <v>22</v>
      </c>
      <c r="K26" s="216">
        <f>SUMIFS(Calkos!$D$7:$D$1102,Calkos!$AK$7:$AK$1102,22,Calkos!$AL$7:$AL$1102,2025)</f>
        <v>0</v>
      </c>
      <c r="L26" s="202"/>
    </row>
    <row r="27" spans="2:12" x14ac:dyDescent="0.25">
      <c r="B27" s="211">
        <f t="shared" si="0"/>
        <v>23</v>
      </c>
      <c r="C27" s="216">
        <f>SUMIFS(Calkos!$D$7:$D$1102,Calkos!$AK$7:$AK$1102,23,Calkos!$AL$7:$AL$1102,2023)</f>
        <v>0</v>
      </c>
      <c r="D27" s="202"/>
      <c r="F27" s="211">
        <f t="shared" si="1"/>
        <v>23</v>
      </c>
      <c r="G27" s="216">
        <f>SUMIFS(Calkos!$D$7:$D$1102,Calkos!$AK$7:$AK$1102,23,Calkos!$AL$7:$AL$1102,2024)</f>
        <v>0</v>
      </c>
      <c r="H27" s="202"/>
      <c r="J27" s="211">
        <f t="shared" si="2"/>
        <v>23</v>
      </c>
      <c r="K27" s="216">
        <f>SUMIFS(Calkos!$D$7:$D$1102,Calkos!$AK$7:$AK$1102,23,Calkos!$AL$7:$AL$1102,2025)</f>
        <v>0</v>
      </c>
      <c r="L27" s="202"/>
    </row>
    <row r="28" spans="2:12" x14ac:dyDescent="0.25">
      <c r="B28" s="211">
        <f t="shared" si="0"/>
        <v>24</v>
      </c>
      <c r="C28" s="216">
        <f>SUMIFS(Calkos!$D$7:$D$1102,Calkos!$AK$7:$AK$1102,24,Calkos!$AL$7:$AL$1102,2023)</f>
        <v>0</v>
      </c>
      <c r="D28" s="202"/>
      <c r="F28" s="211">
        <f t="shared" si="1"/>
        <v>24</v>
      </c>
      <c r="G28" s="216">
        <f>SUMIFS(Calkos!$D$7:$D$1102,Calkos!$AK$7:$AK$1102,24,Calkos!$AL$7:$AL$1102,2024)</f>
        <v>0</v>
      </c>
      <c r="H28" s="202"/>
      <c r="J28" s="211">
        <f t="shared" si="2"/>
        <v>24</v>
      </c>
      <c r="K28" s="216">
        <f>SUMIFS(Calkos!$D$7:$D$1102,Calkos!$AK$7:$AK$1102,24,Calkos!$AL$7:$AL$1102,2054)</f>
        <v>0</v>
      </c>
      <c r="L28" s="202"/>
    </row>
    <row r="29" spans="2:12" x14ac:dyDescent="0.25">
      <c r="B29" s="211">
        <f t="shared" si="0"/>
        <v>25</v>
      </c>
      <c r="C29" s="216">
        <f>SUMIFS(Calkos!$D$7:$D$1102,Calkos!$AK$7:$AK$1102,25,Calkos!$AL$7:$AL$1102,2023)</f>
        <v>0</v>
      </c>
      <c r="D29" s="202"/>
      <c r="F29" s="211">
        <f t="shared" si="1"/>
        <v>25</v>
      </c>
      <c r="G29" s="216">
        <f>SUMIFS(Calkos!$D$7:$D$1102,Calkos!$AK$7:$AK$1102,25,Calkos!$AL$7:$AL$1102,2024)</f>
        <v>0</v>
      </c>
      <c r="H29" s="202"/>
      <c r="J29" s="211">
        <f t="shared" si="2"/>
        <v>25</v>
      </c>
      <c r="K29" s="216">
        <f>SUMIFS(Calkos!$D$7:$D$1102,Calkos!$AK$7:$AK$1102,25,Calkos!$AL$7:$AL$1102,2054)</f>
        <v>0</v>
      </c>
      <c r="L29" s="202"/>
    </row>
    <row r="30" spans="2:12" x14ac:dyDescent="0.25">
      <c r="B30" s="211">
        <f t="shared" si="0"/>
        <v>26</v>
      </c>
      <c r="C30" s="216">
        <f>SUMIFS(Calkos!$D$7:$D$1102,Calkos!$AK$7:$AK$1102,26,Calkos!$AL$7:$AL$1102,2023)</f>
        <v>0</v>
      </c>
      <c r="D30" s="202"/>
      <c r="F30" s="211">
        <f t="shared" si="1"/>
        <v>26</v>
      </c>
      <c r="G30" s="216">
        <f>SUMIFS(Calkos!$D$7:$D$1102,Calkos!$AK$7:$AK$1102,26,Calkos!$AL$7:$AL$1102,2024)</f>
        <v>0</v>
      </c>
      <c r="H30" s="202"/>
      <c r="J30" s="211">
        <f t="shared" si="2"/>
        <v>26</v>
      </c>
      <c r="K30" s="216">
        <f>SUMIFS(Calkos!$D$7:$D$1102,Calkos!$AK$7:$AK$1102,26,Calkos!$AL$7:$AL$1102,2054)</f>
        <v>0</v>
      </c>
      <c r="L30" s="202"/>
    </row>
    <row r="31" spans="2:12" x14ac:dyDescent="0.25">
      <c r="B31" s="211">
        <f t="shared" si="0"/>
        <v>27</v>
      </c>
      <c r="C31" s="216">
        <f>SUMIFS(Calkos!$D$7:$D$1102,Calkos!$AK$7:$AK$1102,27,Calkos!$AL$7:$AL$1102,2023)</f>
        <v>0</v>
      </c>
      <c r="D31" s="202"/>
      <c r="F31" s="211">
        <f t="shared" si="1"/>
        <v>27</v>
      </c>
      <c r="G31" s="216">
        <f>SUMIFS(Calkos!$D$7:$D$1102,Calkos!$AK$7:$AK$1102,27,Calkos!$AL$7:$AL$1102,2024)</f>
        <v>0</v>
      </c>
      <c r="H31" s="202"/>
      <c r="J31" s="211">
        <f t="shared" si="2"/>
        <v>27</v>
      </c>
      <c r="K31" s="216">
        <f>SUMIFS(Calkos!$D$7:$D$1102,Calkos!$AK$7:$AK$1102,27,Calkos!$AL$7:$AL$1102,2054)</f>
        <v>0</v>
      </c>
      <c r="L31" s="202"/>
    </row>
    <row r="32" spans="2:12" x14ac:dyDescent="0.25">
      <c r="B32" s="211">
        <f t="shared" si="0"/>
        <v>28</v>
      </c>
      <c r="C32" s="216">
        <f>SUMIFS(Calkos!$D$7:$D$1102,Calkos!$AK$7:$AK$1102,28,Calkos!$AL$7:$AL$1102,2023)</f>
        <v>0</v>
      </c>
      <c r="D32" s="202"/>
      <c r="F32" s="211">
        <f t="shared" si="1"/>
        <v>28</v>
      </c>
      <c r="G32" s="216">
        <f>SUMIFS(Calkos!$D$7:$D$1102,Calkos!$AK$7:$AK$1102,28,Calkos!$AL$7:$AL$1102,2024)</f>
        <v>0</v>
      </c>
      <c r="H32" s="202"/>
      <c r="J32" s="211">
        <f t="shared" si="2"/>
        <v>28</v>
      </c>
      <c r="K32" s="216">
        <f>SUMIFS(Calkos!$D$7:$D$1102,Calkos!$AK$7:$AK$1102,28,Calkos!$AL$7:$AL$1102,2054)</f>
        <v>0</v>
      </c>
      <c r="L32" s="202"/>
    </row>
    <row r="33" spans="2:12" x14ac:dyDescent="0.25">
      <c r="B33" s="211">
        <f t="shared" si="0"/>
        <v>29</v>
      </c>
      <c r="C33" s="216">
        <f>SUMIFS(Calkos!$D$7:$D$1102,Calkos!$AK$7:$AK$1102,29,Calkos!$AL$7:$AL$1102,2023)</f>
        <v>0</v>
      </c>
      <c r="D33" s="202"/>
      <c r="F33" s="211">
        <f t="shared" si="1"/>
        <v>29</v>
      </c>
      <c r="G33" s="216">
        <f>SUMIFS(Calkos!$D$7:$D$1102,Calkos!$AK$7:$AK$1102,29,Calkos!$AL$7:$AL$1102,2024)</f>
        <v>0</v>
      </c>
      <c r="H33" s="202"/>
      <c r="J33" s="211">
        <f t="shared" si="2"/>
        <v>29</v>
      </c>
      <c r="K33" s="216">
        <f>SUMIFS(Calkos!$D$7:$D$1102,Calkos!$AK$7:$AK$1102,29,Calkos!$AL$7:$AL$1102,2054)</f>
        <v>0</v>
      </c>
      <c r="L33" s="202"/>
    </row>
    <row r="34" spans="2:12" x14ac:dyDescent="0.25">
      <c r="B34" s="211">
        <f t="shared" si="0"/>
        <v>30</v>
      </c>
      <c r="C34" s="216">
        <f>SUMIFS(Calkos!$D$7:$D$1102,Calkos!$AK$7:$AK$1102,30,Calkos!$AL$7:$AL$1102,2023)</f>
        <v>0</v>
      </c>
      <c r="D34" s="202"/>
      <c r="F34" s="211">
        <f t="shared" si="1"/>
        <v>30</v>
      </c>
      <c r="G34" s="216">
        <f>SUMIFS(Calkos!$D$7:$D$1102,Calkos!$AK$7:$AK$1102,30,Calkos!$AL$7:$AL$1102,2024)</f>
        <v>0</v>
      </c>
      <c r="H34" s="202"/>
      <c r="J34" s="211">
        <f t="shared" si="2"/>
        <v>30</v>
      </c>
      <c r="K34" s="216">
        <f>SUMIFS(Calkos!$D$7:$D$1102,Calkos!$AK$7:$AK$1102,30,Calkos!$AL$7:$AL$1102,2054)</f>
        <v>0</v>
      </c>
      <c r="L34" s="202"/>
    </row>
    <row r="35" spans="2:12" x14ac:dyDescent="0.25">
      <c r="B35" s="211">
        <f t="shared" si="0"/>
        <v>31</v>
      </c>
      <c r="C35" s="216">
        <f>SUMIFS(Calkos!$D$7:$D$1102,Calkos!$AK$7:$AK$1102,31,Calkos!$AL$7:$AL$1102,2023)</f>
        <v>0</v>
      </c>
      <c r="D35" s="202"/>
      <c r="F35" s="211">
        <f t="shared" si="1"/>
        <v>31</v>
      </c>
      <c r="G35" s="216">
        <f>SUMIFS(Calkos!$D$7:$D$1102,Calkos!$AK$7:$AK$1102,31,Calkos!$AL$7:$AL$1102,2024)</f>
        <v>0</v>
      </c>
      <c r="H35" s="202"/>
      <c r="J35" s="211">
        <f t="shared" si="2"/>
        <v>31</v>
      </c>
      <c r="K35" s="216">
        <f>SUMIFS(Calkos!$D$7:$D$1102,Calkos!$AK$7:$AK$1102,31,Calkos!$AL$7:$AL$1102,2054)</f>
        <v>0</v>
      </c>
      <c r="L35" s="202"/>
    </row>
    <row r="36" spans="2:12" x14ac:dyDescent="0.25">
      <c r="B36" s="211">
        <f t="shared" si="0"/>
        <v>32</v>
      </c>
      <c r="C36" s="216">
        <f>SUMIFS(Calkos!$D$7:$D$1102,Calkos!$AK$7:$AK$1102,32,Calkos!$AL$7:$AL$1102,2023)</f>
        <v>0</v>
      </c>
      <c r="D36" s="202"/>
      <c r="F36" s="211">
        <f t="shared" si="1"/>
        <v>32</v>
      </c>
      <c r="G36" s="216">
        <f>SUMIFS(Calkos!$D$7:$D$1102,Calkos!$AK$7:$AK$1102,32,Calkos!$AL$7:$AL$1102,2024)</f>
        <v>0</v>
      </c>
      <c r="H36" s="202"/>
      <c r="J36" s="211">
        <f t="shared" si="2"/>
        <v>32</v>
      </c>
      <c r="K36" s="216">
        <f>SUMIFS(Calkos!$D$7:$D$1102,Calkos!$AK$7:$AK$1102,32,Calkos!$AL$7:$AL$1102,2054)</f>
        <v>0</v>
      </c>
      <c r="L36" s="202"/>
    </row>
    <row r="37" spans="2:12" x14ac:dyDescent="0.25">
      <c r="B37" s="211">
        <f t="shared" si="0"/>
        <v>33</v>
      </c>
      <c r="C37" s="216">
        <f>SUMIFS(Calkos!$D$7:$D$1102,Calkos!$AK$7:$AK$1102,33,Calkos!$AL$7:$AL$1102,2023)</f>
        <v>0</v>
      </c>
      <c r="D37" s="202"/>
      <c r="F37" s="211">
        <f t="shared" si="1"/>
        <v>33</v>
      </c>
      <c r="G37" s="216">
        <f>SUMIFS(Calkos!$D$7:$D$1102,Calkos!$AK$7:$AK$1102,33,Calkos!$AL$7:$AL$1102,2024)</f>
        <v>0</v>
      </c>
      <c r="H37" s="202"/>
      <c r="J37" s="211">
        <f t="shared" si="2"/>
        <v>33</v>
      </c>
      <c r="K37" s="216">
        <f>SUMIFS(Calkos!$D$7:$D$1102,Calkos!$AK$7:$AK$1102,33,Calkos!$AL$7:$AL$1102,2025)</f>
        <v>0</v>
      </c>
      <c r="L37" s="202"/>
    </row>
    <row r="38" spans="2:12" x14ac:dyDescent="0.25">
      <c r="B38" s="211">
        <f t="shared" si="0"/>
        <v>34</v>
      </c>
      <c r="C38" s="216">
        <f>SUMIFS(Calkos!$D$7:$D$1102,Calkos!$AK$7:$AK$1102,34,Calkos!$AL$7:$AL$1102,2023)</f>
        <v>0</v>
      </c>
      <c r="D38" s="202"/>
      <c r="F38" s="211">
        <f t="shared" si="1"/>
        <v>34</v>
      </c>
      <c r="G38" s="216">
        <f>SUMIFS(Calkos!$D$7:$D$1102,Calkos!$AK$7:$AK$1102,34,Calkos!$AL$7:$AL$1102,2024)</f>
        <v>0</v>
      </c>
      <c r="H38" s="202"/>
      <c r="J38" s="211">
        <f t="shared" si="2"/>
        <v>34</v>
      </c>
      <c r="K38" s="216">
        <f>SUMIFS(Calkos!$D$7:$D$1102,Calkos!$AK$7:$AK$1102,34,Calkos!$AL$7:$AL$1102,2025)</f>
        <v>0</v>
      </c>
      <c r="L38" s="202"/>
    </row>
    <row r="39" spans="2:12" x14ac:dyDescent="0.25">
      <c r="B39" s="211">
        <f t="shared" si="0"/>
        <v>35</v>
      </c>
      <c r="C39" s="216">
        <f>SUMIFS(Calkos!$D$7:$D$1102,Calkos!$AK$7:$AK$1102,35,Calkos!$AL$7:$AL$1102,2023)</f>
        <v>0</v>
      </c>
      <c r="D39" s="202"/>
      <c r="F39" s="211">
        <f t="shared" si="1"/>
        <v>35</v>
      </c>
      <c r="G39" s="216">
        <f>SUMIFS(Calkos!$D$7:$D$1102,Calkos!$AK$7:$AK$1102,35,Calkos!$AL$7:$AL$1102,2024)</f>
        <v>0</v>
      </c>
      <c r="H39" s="202"/>
      <c r="J39" s="211">
        <f t="shared" si="2"/>
        <v>35</v>
      </c>
      <c r="K39" s="216">
        <f>SUMIFS(Calkos!$D$7:$D$1102,Calkos!$AK$7:$AK$1102,35,Calkos!$AL$7:$AL$1102,2025)</f>
        <v>0</v>
      </c>
      <c r="L39" s="202"/>
    </row>
    <row r="40" spans="2:12" x14ac:dyDescent="0.25">
      <c r="B40" s="211">
        <f t="shared" si="0"/>
        <v>36</v>
      </c>
      <c r="C40" s="216">
        <f>SUMIFS(Calkos!$D$7:$D$1102,Calkos!$AK$7:$AK$1102,36,Calkos!$AL$7:$AL$1102,2023)</f>
        <v>0</v>
      </c>
      <c r="D40" s="202"/>
      <c r="F40" s="211">
        <f t="shared" si="1"/>
        <v>36</v>
      </c>
      <c r="G40" s="216">
        <f>SUMIFS(Calkos!$D$7:$D$1102,Calkos!$AK$7:$AK$1102,36,Calkos!$AL$7:$AL$1102,2024)</f>
        <v>0</v>
      </c>
      <c r="H40" s="202"/>
      <c r="J40" s="211">
        <f t="shared" si="2"/>
        <v>36</v>
      </c>
      <c r="K40" s="216">
        <f>SUMIFS(Calkos!$D$7:$D$1102,Calkos!$AK$7:$AK$1102,36,Calkos!$AL$7:$AL$1102,2025)</f>
        <v>0</v>
      </c>
      <c r="L40" s="202"/>
    </row>
    <row r="41" spans="2:12" x14ac:dyDescent="0.25">
      <c r="B41" s="211">
        <f t="shared" si="0"/>
        <v>37</v>
      </c>
      <c r="C41" s="216">
        <f>SUMIFS(Calkos!$D$7:$D$1102,Calkos!$AK$7:$AK$1102,37,Calkos!$AL$7:$AL$1102,2023)</f>
        <v>0</v>
      </c>
      <c r="D41" s="202"/>
      <c r="F41" s="211">
        <f t="shared" si="1"/>
        <v>37</v>
      </c>
      <c r="G41" s="216">
        <f>SUMIFS(Calkos!$D$7:$D$1102,Calkos!$AK$7:$AK$1102,37,Calkos!$AL$7:$AL$1102,2024)</f>
        <v>0</v>
      </c>
      <c r="H41" s="202"/>
      <c r="J41" s="211">
        <f t="shared" si="2"/>
        <v>37</v>
      </c>
      <c r="K41" s="216">
        <f>SUMIFS(Calkos!$D$7:$D$1102,Calkos!$AK$7:$AK$1102,37,Calkos!$AL$7:$AL$1102,2025)</f>
        <v>0</v>
      </c>
      <c r="L41" s="202"/>
    </row>
    <row r="42" spans="2:12" x14ac:dyDescent="0.25">
      <c r="B42" s="211">
        <f t="shared" si="0"/>
        <v>38</v>
      </c>
      <c r="C42" s="216">
        <f>SUMIFS(Calkos!$D$7:$D$1102,Calkos!$AK$7:$AK$1102,38,Calkos!$AL$7:$AL$1102,2023)</f>
        <v>0</v>
      </c>
      <c r="D42" s="202"/>
      <c r="F42" s="211">
        <f t="shared" si="1"/>
        <v>38</v>
      </c>
      <c r="G42" s="216">
        <f>SUMIFS(Calkos!$D$7:$D$1102,Calkos!$AK$7:$AK$1102,38,Calkos!$AL$7:$AL$1102,2024)</f>
        <v>0</v>
      </c>
      <c r="H42" s="202"/>
      <c r="J42" s="211">
        <f t="shared" si="2"/>
        <v>38</v>
      </c>
      <c r="K42" s="216">
        <f>SUMIFS(Calkos!$D$7:$D$1102,Calkos!$AK$7:$AK$1102,38,Calkos!$AL$7:$AL$1102,2025)</f>
        <v>0</v>
      </c>
      <c r="L42" s="202"/>
    </row>
    <row r="43" spans="2:12" x14ac:dyDescent="0.25">
      <c r="B43" s="211">
        <f t="shared" si="0"/>
        <v>39</v>
      </c>
      <c r="C43" s="216">
        <f>SUMIFS(Calkos!$D$7:$D$1102,Calkos!$AK$7:$AK$1102,39,Calkos!$AL$7:$AL$1102,2023)</f>
        <v>0</v>
      </c>
      <c r="D43" s="202"/>
      <c r="F43" s="211">
        <f t="shared" si="1"/>
        <v>39</v>
      </c>
      <c r="G43" s="216">
        <f>SUMIFS(Calkos!$D$7:$D$1102,Calkos!$AK$7:$AK$1102,39,Calkos!$AL$7:$AL$1102,2024)</f>
        <v>0</v>
      </c>
      <c r="H43" s="202"/>
      <c r="J43" s="211">
        <f t="shared" si="2"/>
        <v>39</v>
      </c>
      <c r="K43" s="216">
        <f>SUMIFS(Calkos!$D$7:$D$1102,Calkos!$AK$7:$AK$1102,39,Calkos!$AL$7:$AL$1102,2025)</f>
        <v>0</v>
      </c>
      <c r="L43" s="202"/>
    </row>
    <row r="44" spans="2:12" x14ac:dyDescent="0.25">
      <c r="B44" s="211">
        <f t="shared" si="0"/>
        <v>40</v>
      </c>
      <c r="C44" s="216">
        <f>SUMIFS(Calkos!$D$7:$D$1102,Calkos!$AK$7:$AK$1102,40,Calkos!$AL$7:$AL$1102,2023)</f>
        <v>0</v>
      </c>
      <c r="D44" s="202"/>
      <c r="F44" s="211">
        <f t="shared" si="1"/>
        <v>40</v>
      </c>
      <c r="G44" s="216">
        <f>SUMIFS(Calkos!$D$7:$D$1102,Calkos!$AK$7:$AK$1102,40,Calkos!$AL$7:$AL$1102,2024)</f>
        <v>0</v>
      </c>
      <c r="H44" s="202"/>
      <c r="J44" s="211">
        <f t="shared" si="2"/>
        <v>40</v>
      </c>
      <c r="K44" s="216">
        <f>SUMIFS(Calkos!$D$7:$D$1102,Calkos!$AK$7:$AK$1102,40,Calkos!$AL$7:$AL$1102,2025)</f>
        <v>0</v>
      </c>
      <c r="L44" s="202"/>
    </row>
    <row r="45" spans="2:12" x14ac:dyDescent="0.25">
      <c r="B45" s="211">
        <f t="shared" si="0"/>
        <v>41</v>
      </c>
      <c r="C45" s="216">
        <f>SUMIFS(Calkos!$D$7:$D$1102,Calkos!$AK$7:$AK$1102,41,Calkos!$AL$7:$AL$1102,2023)</f>
        <v>0</v>
      </c>
      <c r="D45" s="202"/>
      <c r="F45" s="211">
        <f t="shared" si="1"/>
        <v>41</v>
      </c>
      <c r="G45" s="216">
        <f>SUMIFS(Calkos!$D$7:$D$1102,Calkos!$AK$7:$AK$1102,41,Calkos!$AL$7:$AL$1102,2024)</f>
        <v>0</v>
      </c>
      <c r="H45" s="202"/>
      <c r="J45" s="211">
        <f t="shared" si="2"/>
        <v>41</v>
      </c>
      <c r="K45" s="216">
        <f>SUMIFS(Calkos!$D$7:$D$1102,Calkos!$AK$7:$AK$1102,41,Calkos!$AL$7:$AL$1102,2025)</f>
        <v>0</v>
      </c>
      <c r="L45" s="202"/>
    </row>
    <row r="46" spans="2:12" x14ac:dyDescent="0.25">
      <c r="B46" s="211">
        <f t="shared" si="0"/>
        <v>42</v>
      </c>
      <c r="C46" s="216">
        <f>SUMIFS(Calkos!$D$7:$D$1102,Calkos!$AK$7:$AK$1102,42,Calkos!$AL$7:$AL$1102,2023)</f>
        <v>0</v>
      </c>
      <c r="D46" s="202"/>
      <c r="F46" s="211">
        <f t="shared" si="1"/>
        <v>42</v>
      </c>
      <c r="G46" s="216">
        <f>SUMIFS(Calkos!$D$7:$D$1102,Calkos!$AK$7:$AK$1102,42,Calkos!$AL$7:$AL$1102,2024)</f>
        <v>0</v>
      </c>
      <c r="H46" s="202"/>
      <c r="J46" s="211">
        <f t="shared" si="2"/>
        <v>42</v>
      </c>
      <c r="K46" s="216">
        <f>SUMIFS(Calkos!$D$7:$D$1102,Calkos!$AK$7:$AK$1102,42,Calkos!$AL$7:$AL$1102,2025)</f>
        <v>0</v>
      </c>
      <c r="L46" s="202"/>
    </row>
    <row r="47" spans="2:12" x14ac:dyDescent="0.25">
      <c r="B47" s="211">
        <f t="shared" si="0"/>
        <v>43</v>
      </c>
      <c r="C47" s="216">
        <f>SUMIFS(Calkos!$D$7:$D$1102,Calkos!$AK$7:$AK$1102,43,Calkos!$AL$7:$AL$1102,2023)</f>
        <v>0</v>
      </c>
      <c r="D47" s="202"/>
      <c r="F47" s="211">
        <f t="shared" si="1"/>
        <v>43</v>
      </c>
      <c r="G47" s="216">
        <f>SUMIFS(Calkos!$D$7:$D$1102,Calkos!$AK$7:$AK$1102,43,Calkos!$AL$7:$AL$1102,2021)</f>
        <v>0</v>
      </c>
      <c r="H47" s="202"/>
      <c r="J47" s="211">
        <f t="shared" si="2"/>
        <v>43</v>
      </c>
      <c r="K47" s="216">
        <f>SUMIFS(Calkos!$D$7:$D$1102,Calkos!$AK$7:$AK$1102,43,Calkos!$AL$7:$AL$1102,2025)</f>
        <v>0</v>
      </c>
      <c r="L47" s="202"/>
    </row>
    <row r="48" spans="2:12" x14ac:dyDescent="0.25">
      <c r="B48" s="211">
        <f t="shared" si="0"/>
        <v>44</v>
      </c>
      <c r="C48" s="216">
        <f>SUMIFS(Calkos!$D$7:$D$1102,Calkos!$AK$7:$AK$1102,44,Calkos!$AL$7:$AL$1102,2023)</f>
        <v>0</v>
      </c>
      <c r="D48" s="202"/>
      <c r="F48" s="211">
        <f t="shared" si="1"/>
        <v>44</v>
      </c>
      <c r="G48" s="216">
        <f>SUMIFS(Calkos!$D$7:$D$1102,Calkos!$AK$7:$AK$1102,44,Calkos!$AL$7:$AL$1102,2024)</f>
        <v>0</v>
      </c>
      <c r="H48" s="202"/>
      <c r="J48" s="211">
        <f t="shared" si="2"/>
        <v>44</v>
      </c>
      <c r="K48" s="216">
        <f>SUMIFS(Calkos!$D$7:$D$1102,Calkos!$AK$7:$AK$1102,44,Calkos!$AL$7:$AL$1102,2025)</f>
        <v>0</v>
      </c>
      <c r="L48" s="202"/>
    </row>
    <row r="49" spans="2:12" x14ac:dyDescent="0.25">
      <c r="B49" s="211">
        <f t="shared" si="0"/>
        <v>45</v>
      </c>
      <c r="C49" s="216">
        <f>SUMIFS(Calkos!$D$7:$D$1102,Calkos!$AK$7:$AK$1102,45,Calkos!$AL$7:$AL$1102,2023)</f>
        <v>0</v>
      </c>
      <c r="D49" s="202"/>
      <c r="F49" s="211">
        <f t="shared" si="1"/>
        <v>45</v>
      </c>
      <c r="G49" s="216">
        <f>SUMIFS(Calkos!$D$7:$D$1102,Calkos!$AK$7:$AK$1102,45,Calkos!$AL$7:$AL$1102,2024)</f>
        <v>0</v>
      </c>
      <c r="H49" s="202"/>
      <c r="J49" s="211">
        <f t="shared" si="2"/>
        <v>45</v>
      </c>
      <c r="K49" s="216">
        <f>SUMIFS(Calkos!$D$7:$D$1102,Calkos!$AK$7:$AK$1102,45,Calkos!$AL$7:$AL$1102,2025)</f>
        <v>0</v>
      </c>
      <c r="L49" s="202"/>
    </row>
    <row r="50" spans="2:12" x14ac:dyDescent="0.25">
      <c r="B50" s="211">
        <f t="shared" si="0"/>
        <v>46</v>
      </c>
      <c r="C50" s="216">
        <f>SUMIFS(Calkos!$D$7:$D$1102,Calkos!$AK$7:$AK$1102,46,Calkos!$AL$7:$AL$1102,2023)</f>
        <v>0</v>
      </c>
      <c r="D50" s="202"/>
      <c r="F50" s="211">
        <f t="shared" si="1"/>
        <v>46</v>
      </c>
      <c r="G50" s="216">
        <f>SUMIFS(Calkos!$D$7:$D$1102,Calkos!$AK$7:$AK$1102,46,Calkos!$AL$7:$AL$1102,2024)</f>
        <v>0</v>
      </c>
      <c r="H50" s="202"/>
      <c r="J50" s="211">
        <f t="shared" si="2"/>
        <v>46</v>
      </c>
      <c r="K50" s="216">
        <f>SUMIFS(Calkos!$D$7:$D$1102,Calkos!$AK$7:$AK$1102,46,Calkos!$AL$7:$AL$1102,2025)</f>
        <v>0</v>
      </c>
      <c r="L50" s="202"/>
    </row>
    <row r="51" spans="2:12" x14ac:dyDescent="0.25">
      <c r="B51" s="211">
        <f t="shared" si="0"/>
        <v>47</v>
      </c>
      <c r="C51" s="216">
        <f>SUMIFS(Calkos!$D$7:$D$1102,Calkos!$AK$7:$AK$1102,47,Calkos!$AL$7:$AL$1102,2023)</f>
        <v>0</v>
      </c>
      <c r="D51" s="202"/>
      <c r="F51" s="211">
        <f t="shared" si="1"/>
        <v>47</v>
      </c>
      <c r="G51" s="216">
        <f>SUMIFS(Calkos!$D$7:$D$1102,Calkos!$AK$7:$AK$1102,47,Calkos!$AL$7:$AL$1102,2024)</f>
        <v>0</v>
      </c>
      <c r="H51" s="202"/>
      <c r="J51" s="211">
        <f t="shared" si="2"/>
        <v>47</v>
      </c>
      <c r="K51" s="216">
        <f>SUMIFS(Calkos!$D$7:$D$1102,Calkos!$AK$7:$AK$1102,47,Calkos!$AL$7:$AL$1102,2025)</f>
        <v>0</v>
      </c>
      <c r="L51" s="202"/>
    </row>
    <row r="52" spans="2:12" x14ac:dyDescent="0.25">
      <c r="B52" s="211">
        <f t="shared" si="0"/>
        <v>48</v>
      </c>
      <c r="C52" s="216">
        <f>SUMIFS(Calkos!$D$7:$D$1102,Calkos!$AK$7:$AK$1102,48,Calkos!$AL$7:$AL$1102,2023)</f>
        <v>0</v>
      </c>
      <c r="D52" s="202"/>
      <c r="F52" s="211">
        <f t="shared" si="1"/>
        <v>48</v>
      </c>
      <c r="G52" s="216">
        <f>SUMIFS(Calkos!$D$7:$D$1102,Calkos!$AK$7:$AK$1102,48,Calkos!$AL$7:$AL$1102,2024)</f>
        <v>0</v>
      </c>
      <c r="H52" s="202"/>
      <c r="J52" s="211">
        <f t="shared" si="2"/>
        <v>48</v>
      </c>
      <c r="K52" s="216">
        <f>SUMIFS(Calkos!$D$7:$D$1102,Calkos!$AK$7:$AK$1102,48,Calkos!$AL$7:$AL$1102,2025)</f>
        <v>0</v>
      </c>
      <c r="L52" s="202"/>
    </row>
    <row r="53" spans="2:12" x14ac:dyDescent="0.25">
      <c r="B53" s="211">
        <f t="shared" si="0"/>
        <v>49</v>
      </c>
      <c r="C53" s="216">
        <f>SUMIFS(Calkos!$D$7:$D$1102,Calkos!$AK$7:$AK$1102,49,Calkos!$AL$7:$AL$1102,2023)</f>
        <v>0</v>
      </c>
      <c r="D53" s="202"/>
      <c r="F53" s="211">
        <f t="shared" si="1"/>
        <v>49</v>
      </c>
      <c r="G53" s="216">
        <f>SUMIFS(Calkos!$D$7:$D$1102,Calkos!$AK$7:$AK$1102,49,Calkos!$AL$7:$AL$1102,2024)</f>
        <v>0</v>
      </c>
      <c r="H53" s="202"/>
      <c r="J53" s="211">
        <f t="shared" si="2"/>
        <v>49</v>
      </c>
      <c r="K53" s="216">
        <f>SUMIFS(Calkos!$D$7:$D$1102,Calkos!$AK$7:$AK$1102,49,Calkos!$AL$7:$AL$1102,2025)</f>
        <v>0</v>
      </c>
      <c r="L53" s="202"/>
    </row>
    <row r="54" spans="2:12" x14ac:dyDescent="0.25">
      <c r="B54" s="211">
        <f t="shared" si="0"/>
        <v>50</v>
      </c>
      <c r="C54" s="216">
        <f>SUMIFS(Calkos!$D$7:$D$1102,Calkos!$AK$7:$AK$1102,50,Calkos!$AL$7:$AL$1102,2023)</f>
        <v>0</v>
      </c>
      <c r="D54" s="202"/>
      <c r="F54" s="211">
        <f t="shared" si="1"/>
        <v>50</v>
      </c>
      <c r="G54" s="216">
        <f>SUMIFS(Calkos!$D$7:$D$1102,Calkos!$AK$7:$AK$1102,50,Calkos!$AL$7:$AL$1102,2024)</f>
        <v>0</v>
      </c>
      <c r="H54" s="202"/>
      <c r="J54" s="211">
        <f t="shared" si="2"/>
        <v>50</v>
      </c>
      <c r="K54" s="216">
        <f>SUMIFS(Calkos!$D$7:$D$1102,Calkos!$AK$7:$AK$1102,50,Calkos!$AL$7:$AL$1102,2025)</f>
        <v>0</v>
      </c>
      <c r="L54" s="202"/>
    </row>
    <row r="55" spans="2:12" x14ac:dyDescent="0.25">
      <c r="B55" s="211">
        <f t="shared" si="0"/>
        <v>51</v>
      </c>
      <c r="C55" s="216">
        <f>SUMIFS(Calkos!$D$7:$D$1102,Calkos!$AK$7:$AK$1102,51,Calkos!$AL$7:$AL$1102,2023)</f>
        <v>0</v>
      </c>
      <c r="D55" s="202"/>
      <c r="F55" s="211">
        <f t="shared" si="1"/>
        <v>51</v>
      </c>
      <c r="G55" s="216">
        <f>SUMIFS(Calkos!$D$7:$D$1102,Calkos!$AK$7:$AK$1102,50,Calkos!$AL$7:$AL$1102,2024)</f>
        <v>0</v>
      </c>
      <c r="H55" s="202"/>
      <c r="J55" s="211">
        <f t="shared" si="2"/>
        <v>51</v>
      </c>
      <c r="K55" s="216">
        <f>SUMIFS(Calkos!$D$7:$D$1102,Calkos!$AK$7:$AK$1102,51,Calkos!$AL$7:$AL$1102,2025)</f>
        <v>0</v>
      </c>
      <c r="L55" s="202"/>
    </row>
    <row r="56" spans="2:12" x14ac:dyDescent="0.25">
      <c r="B56" s="211">
        <f t="shared" si="0"/>
        <v>52</v>
      </c>
      <c r="C56" s="216">
        <f>SUMIFS(Calkos!$D$7:$D$1102,Calkos!$AK$7:$AK$1102,52,Calkos!$AL$7:$AL$1102,2023)</f>
        <v>0</v>
      </c>
      <c r="D56" s="202"/>
      <c r="F56" s="211">
        <f t="shared" si="1"/>
        <v>52</v>
      </c>
      <c r="G56" s="216">
        <f>SUMIFS(Calkos!$D$7:$D$1102,Calkos!$AK$7:$AK$1102,52,Calkos!$AL$7:$AL$1102,2024)</f>
        <v>0</v>
      </c>
      <c r="H56" s="202"/>
      <c r="J56" s="211">
        <f t="shared" si="2"/>
        <v>52</v>
      </c>
      <c r="K56" s="216">
        <f>SUMIFS(Calkos!$D$7:$D$1102,Calkos!$AK$7:$AK$1102,52,Calkos!$AL$7:$AL$1102,2025)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SUMIFS(Calkos!$D$7:$D$1102,Calkos!$AK$7:$AK$1102,53,Calkos!$AL$7:$AL$1102,2023)</f>
        <v>0</v>
      </c>
      <c r="D57" s="218"/>
      <c r="F57" s="212">
        <f t="shared" si="1"/>
        <v>53</v>
      </c>
      <c r="G57" s="217">
        <f>SUMIFS(Calkos!$D$7:$D$1102,Calkos!$AK$7:$AK$1102,53,Calkos!$AL$7:$AL$1102,2024)</f>
        <v>0</v>
      </c>
      <c r="H57" s="218"/>
      <c r="J57" s="212">
        <f t="shared" si="2"/>
        <v>53</v>
      </c>
      <c r="K57" s="217">
        <f>SUMIFS(Calkos!$D$7:$D$1102,Calkos!$AK$7:$AK$1102,53,Calkos!$AL$7:$AL$1102,2025)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SUMIF(Calkos!$AA7:$AA1102,"",Calkos!$D7:$D1102)</f>
        <v>417680.7</v>
      </c>
      <c r="C63" s="153">
        <f>+Calkos!$D1103</f>
        <v>853819.7</v>
      </c>
      <c r="D63" s="153">
        <f>+C63-B63</f>
        <v>436138.99999999994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topLeftCell="A40" workbookViewId="0">
      <selection activeCell="A55" sqref="A55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49">
        <v>2022</v>
      </c>
      <c r="C3" s="449"/>
    </row>
    <row r="4" spans="1:3" ht="16.5" thickBot="1" x14ac:dyDescent="0.3">
      <c r="A4" s="191"/>
      <c r="B4" s="450" t="s">
        <v>342</v>
      </c>
      <c r="C4" s="451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SUMIFS(Calkos!X$7:X$1102,Calkos!$AS$7:$AS$1102,1,Calkos!$AT$7:$AT$1102,2022)</f>
        <v>0</v>
      </c>
      <c r="C6" s="199">
        <f>SUMIFS(Calkos!D$7:D$1102,Calkos!$AS$7:$AS$1102,1,Calkos!$AT$7:$AT$1102,2022)</f>
        <v>0</v>
      </c>
    </row>
    <row r="7" spans="1:3" x14ac:dyDescent="0.25">
      <c r="A7" s="200" t="s">
        <v>345</v>
      </c>
      <c r="B7" s="201">
        <f>SUMIFS(Calkos!X$7:X$1102,Calkos!$AS$7:$AS$1102,2,Calkos!$AT$7:$AT$1102,2022)</f>
        <v>0</v>
      </c>
      <c r="C7" s="202">
        <f>SUMIFS(Calkos!D$7:D$1102,Calkos!$AS$7:$AS$1102,2,Calkos!$AT$7:$AT$1102,2022)</f>
        <v>0</v>
      </c>
    </row>
    <row r="8" spans="1:3" x14ac:dyDescent="0.25">
      <c r="A8" s="200" t="s">
        <v>346</v>
      </c>
      <c r="B8" s="201">
        <f>SUMIFS(Calkos!X$7:X$1102,Calkos!$AS$7:$AS$1102,3,Calkos!$AT$7:$AT$1102,2022)</f>
        <v>0</v>
      </c>
      <c r="C8" s="202">
        <f>SUMIFS(Calkos!D$7:D$1102,Calkos!$AS$7:$AS$1102,3,Calkos!$AT$7:$AT$1102,2022)</f>
        <v>0</v>
      </c>
    </row>
    <row r="9" spans="1:3" x14ac:dyDescent="0.25">
      <c r="A9" s="200" t="s">
        <v>347</v>
      </c>
      <c r="B9" s="201">
        <f>SUMIFS(Calkos!X$7:X$1102,Calkos!$AS$7:$AS$1102,4,Calkos!$AT$7:$AT$1102,2022)</f>
        <v>0</v>
      </c>
      <c r="C9" s="202">
        <f>SUMIFS(Calkos!D$7:D$1102,Calkos!$AS$7:$AS$1102,4,Calkos!$AT$7:$AT$1102,2022)</f>
        <v>0</v>
      </c>
    </row>
    <row r="10" spans="1:3" x14ac:dyDescent="0.25">
      <c r="A10" s="200" t="s">
        <v>348</v>
      </c>
      <c r="B10" s="201">
        <f>SUMIFS(Calkos!X$7:X$1102,Calkos!$AS$7:$AS$1102,5,Calkos!$AT$7:$AT$1102,2022)</f>
        <v>0</v>
      </c>
      <c r="C10" s="202">
        <f>SUMIFS(Calkos!D$7:D$1102,Calkos!$AS$7:$AS$1102,5,Calkos!$AT$7:$AT$1102,2022)</f>
        <v>0</v>
      </c>
    </row>
    <row r="11" spans="1:3" x14ac:dyDescent="0.25">
      <c r="A11" s="200" t="s">
        <v>349</v>
      </c>
      <c r="B11" s="201">
        <f>SUMIFS(Calkos!X$7:X$1102,Calkos!$AS$7:$AS$1102,6,Calkos!$AT$7:$AT$1102,2022)</f>
        <v>0</v>
      </c>
      <c r="C11" s="202">
        <f>SUMIFS(Calkos!D$7:D$1102,Calkos!$AS$7:$AS$1102,6,Calkos!$AT$7:$AT$1102,2022)</f>
        <v>0</v>
      </c>
    </row>
    <row r="12" spans="1:3" x14ac:dyDescent="0.25">
      <c r="A12" s="200" t="s">
        <v>350</v>
      </c>
      <c r="B12" s="201">
        <f>SUMIFS(Calkos!X$7:X$1102,Calkos!$AS$7:$AS$1102,7,Calkos!$AT$7:$AT$1102,2022)</f>
        <v>0</v>
      </c>
      <c r="C12" s="202">
        <f>SUMIFS(Calkos!D$7:D$1102,Calkos!$AS$7:$AS$1102,7,Calkos!$AT$7:$AT$1102,2022)</f>
        <v>0</v>
      </c>
    </row>
    <row r="13" spans="1:3" x14ac:dyDescent="0.25">
      <c r="A13" s="200" t="s">
        <v>351</v>
      </c>
      <c r="B13" s="201">
        <f>SUMIFS(Calkos!X$7:X$1102,Calkos!$AS$7:$AS$1102,8,Calkos!$AT$7:$AT$1102,2022)</f>
        <v>0</v>
      </c>
      <c r="C13" s="202">
        <f>SUMIFS(Calkos!D$7:D$1102,Calkos!$AS$7:$AS$1102,8,Calkos!$AT$7:$AT$1102,2022)</f>
        <v>0</v>
      </c>
    </row>
    <row r="14" spans="1:3" x14ac:dyDescent="0.25">
      <c r="A14" s="200" t="s">
        <v>352</v>
      </c>
      <c r="B14" s="201">
        <f>SUMIFS(Calkos!X$7:X$1102,Calkos!$AS$7:$AS$1102,9,Calkos!$AT$7:$AT$1102,2022)</f>
        <v>0</v>
      </c>
      <c r="C14" s="202">
        <f>SUMIFS(Calkos!D$7:D$1102,Calkos!$AS$7:$AS$1102,9,Calkos!$AT$7:$AT$1102,2022)</f>
        <v>0</v>
      </c>
    </row>
    <row r="15" spans="1:3" x14ac:dyDescent="0.25">
      <c r="A15" s="200" t="s">
        <v>353</v>
      </c>
      <c r="B15" s="201">
        <f>SUMIFS(Calkos!X$7:X$1102,Calkos!$AS$7:$AS$1102,10,Calkos!$AT$7:$AT$1102,2022)</f>
        <v>0</v>
      </c>
      <c r="C15" s="202">
        <f>SUMIFS(Calkos!D$7:D$1102,Calkos!$AS$7:$AS$1102,10,Calkos!$AT$7:$AT$1102,2022)</f>
        <v>0</v>
      </c>
    </row>
    <row r="16" spans="1:3" x14ac:dyDescent="0.25">
      <c r="A16" s="200" t="s">
        <v>354</v>
      </c>
      <c r="B16" s="201">
        <f>SUMIFS(Calkos!X$7:X$1102,Calkos!$AS$7:$AS$1102,11,Calkos!$AT$7:$AT$1102,2022)</f>
        <v>0</v>
      </c>
      <c r="C16" s="202">
        <f>SUMIFS(Calkos!D$7:D$1102,Calkos!$AS$7:$AS$1102,11,Calkos!$AT$7:$AT$1102,2022)</f>
        <v>0</v>
      </c>
    </row>
    <row r="17" spans="1:3" ht="15.75" thickBot="1" x14ac:dyDescent="0.3">
      <c r="A17" s="203" t="s">
        <v>355</v>
      </c>
      <c r="B17" s="204">
        <f>SUMIFS(Calkos!X$7:X$1102,Calkos!$AS$7:$AS$1102,12,Calkos!$AT$7:$AT$1102,2022)</f>
        <v>0</v>
      </c>
      <c r="C17" s="205">
        <f>SUMIFS(Calkos!D$7:D$1102,Calkos!$AS$7:$AS$1102,12,Calkos!$AT$7:$AT$1102,2022)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49">
        <v>2023</v>
      </c>
      <c r="C21" s="449"/>
    </row>
    <row r="22" spans="1:3" ht="16.5" thickBot="1" x14ac:dyDescent="0.3">
      <c r="A22" s="191"/>
      <c r="B22" s="450" t="s">
        <v>342</v>
      </c>
      <c r="C22" s="451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SUMIFS(Calkos!X$7:X$1102,Calkos!$AS$7:$AS$1102,1,Calkos!$AT$7:$AT$1102,2023)</f>
        <v>0</v>
      </c>
      <c r="C24" s="199">
        <f>SUMIFS(Calkos!D$7:D$1102,Calkos!$AS$7:$AS$1102,1,Calkos!$AT$7:$AT$1102,2023)</f>
        <v>0</v>
      </c>
    </row>
    <row r="25" spans="1:3" x14ac:dyDescent="0.25">
      <c r="A25" s="200" t="s">
        <v>378</v>
      </c>
      <c r="B25" s="201">
        <f>SUMIFS(Calkos!X$7:X$1102,Calkos!$AS$7:$AS$1102,2,Calkos!$AT$7:$AT$1102,2023)</f>
        <v>0</v>
      </c>
      <c r="C25" s="202">
        <f>SUMIFS(Calkos!D$7:D$1102,Calkos!$AS$7:$AS$1102,2,Calkos!$AT$7:$AT$1102,2023)</f>
        <v>0</v>
      </c>
    </row>
    <row r="26" spans="1:3" x14ac:dyDescent="0.25">
      <c r="A26" s="200" t="s">
        <v>379</v>
      </c>
      <c r="B26" s="201">
        <f>SUMIFS(Calkos!X$7:X$1102,Calkos!$AS$7:$AS$1102,3,Calkos!$AT$7:$AT$1102,2023)</f>
        <v>0</v>
      </c>
      <c r="C26" s="202">
        <f>SUMIFS(Calkos!D$7:D$1102,Calkos!$AS$7:$AS$1102,3,Calkos!$AT$7:$AT$1102,2023)</f>
        <v>0</v>
      </c>
    </row>
    <row r="27" spans="1:3" x14ac:dyDescent="0.25">
      <c r="A27" s="200" t="s">
        <v>380</v>
      </c>
      <c r="B27" s="201">
        <f>SUMIFS(Calkos!X$7:X$1102,Calkos!$AS$7:$AS$1102,4,Calkos!$AT$7:$AT$1102,2023)</f>
        <v>0</v>
      </c>
      <c r="C27" s="202">
        <f>SUMIFS(Calkos!D$7:D$1102,Calkos!$AS$7:$AS$1102,4,Calkos!$AT$7:$AT$1102,2023)</f>
        <v>0</v>
      </c>
    </row>
    <row r="28" spans="1:3" x14ac:dyDescent="0.25">
      <c r="A28" s="200" t="s">
        <v>381</v>
      </c>
      <c r="B28" s="201">
        <f>SUMIFS(Calkos!X$7:X$1102,Calkos!$AS$7:$AS$1102,5,Calkos!$AT$7:$AT$1102,2023)</f>
        <v>0</v>
      </c>
      <c r="C28" s="202">
        <f>SUMIFS(Calkos!D$7:D$1102,Calkos!$AS$7:$AS$1102,5,Calkos!$AT$7:$AT$1102,2023)</f>
        <v>0</v>
      </c>
    </row>
    <row r="29" spans="1:3" x14ac:dyDescent="0.25">
      <c r="A29" s="200" t="s">
        <v>382</v>
      </c>
      <c r="B29" s="201">
        <f>SUMIFS(Calkos!X$7:X$1102,Calkos!$AS$7:$AS$1102,6,Calkos!$AT$7:$AT$1102,2023)</f>
        <v>0</v>
      </c>
      <c r="C29" s="202">
        <f>SUMIFS(Calkos!D$7:D$1102,Calkos!$AS$7:$AS$1102,6,Calkos!$AT$7:$AT$1102,2023)</f>
        <v>0</v>
      </c>
    </row>
    <row r="30" spans="1:3" x14ac:dyDescent="0.25">
      <c r="A30" s="200" t="s">
        <v>383</v>
      </c>
      <c r="B30" s="201">
        <f>SUMIFS(Calkos!X$7:X$1102,Calkos!$AS$7:$AS$1102,7,Calkos!$AT$7:$AT$1102,2023)</f>
        <v>0</v>
      </c>
      <c r="C30" s="202">
        <f>SUMIFS(Calkos!D$7:D$1102,Calkos!$AS$7:$AS$1102,7,Calkos!$AT$7:$AT$1102,2023)</f>
        <v>0</v>
      </c>
    </row>
    <row r="31" spans="1:3" x14ac:dyDescent="0.25">
      <c r="A31" s="200" t="s">
        <v>384</v>
      </c>
      <c r="B31" s="201">
        <f>SUMIFS(Calkos!X$7:X$1102,Calkos!$AS$7:$AS$1102,8,Calkos!$AT$7:$AT$1102,2023)</f>
        <v>0</v>
      </c>
      <c r="C31" s="202">
        <f>SUMIFS(Calkos!D$7:D$1102,Calkos!$AS$7:$AS$1102,8,Calkos!$AT$7:$AT$1102,2023)</f>
        <v>0</v>
      </c>
    </row>
    <row r="32" spans="1:3" x14ac:dyDescent="0.25">
      <c r="A32" s="200" t="s">
        <v>385</v>
      </c>
      <c r="B32" s="201">
        <f>SUMIFS(Calkos!X$7:X$1102,Calkos!$AS$7:$AS$1102,9,Calkos!$AT$7:$AT$1102,2023)</f>
        <v>0</v>
      </c>
      <c r="C32" s="202">
        <f>SUMIFS(Calkos!D$7:D$1102,Calkos!$AS$7:$AS$1102,9,Calkos!$AT$7:$AT$1102,2023)</f>
        <v>0</v>
      </c>
    </row>
    <row r="33" spans="1:3" x14ac:dyDescent="0.25">
      <c r="A33" s="200" t="s">
        <v>386</v>
      </c>
      <c r="B33" s="201">
        <f>SUMIFS(Calkos!X$7:X$1102,Calkos!$AS$7:$AS$1102,10,Calkos!$AT$7:$AT$1102,2023)</f>
        <v>0</v>
      </c>
      <c r="C33" s="202">
        <f>SUMIFS(Calkos!D$7:D$1102,Calkos!$AS$7:$AS$1102,10,Calkos!$AT$7:$AT$1102,2023)</f>
        <v>0</v>
      </c>
    </row>
    <row r="34" spans="1:3" x14ac:dyDescent="0.25">
      <c r="A34" s="200" t="s">
        <v>387</v>
      </c>
      <c r="B34" s="201">
        <f>SUMIFS(Calkos!X$7:X$1102,Calkos!$AS$7:$AS$1102,11,Calkos!$AT$7:$AT$1102,2023)</f>
        <v>0</v>
      </c>
      <c r="C34" s="202">
        <f>SUMIFS(Calkos!D$7:D$1102,Calkos!$AS$7:$AS$1102,11,Calkos!$AT$7:$AT$1102,2023)</f>
        <v>0</v>
      </c>
    </row>
    <row r="35" spans="1:3" ht="15.75" thickBot="1" x14ac:dyDescent="0.3">
      <c r="A35" s="203" t="s">
        <v>388</v>
      </c>
      <c r="B35" s="204">
        <f>SUMIFS(Calkos!X$7:X$1102,Calkos!$AS$7:$AS$1102,12,Calkos!$AT$7:$AT$1102,2023)</f>
        <v>0</v>
      </c>
      <c r="C35" s="205">
        <f>SUMIFS(Calkos!D$7:D$1102,Calkos!$AS$7:$AS$1102,12,Calkos!$AT$7:$AT$1102,2023)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49">
        <v>2026</v>
      </c>
      <c r="C39" s="449"/>
    </row>
    <row r="40" spans="1:3" ht="16.5" thickBot="1" x14ac:dyDescent="0.3">
      <c r="A40" s="191"/>
      <c r="B40" s="450" t="s">
        <v>342</v>
      </c>
      <c r="C40" s="451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424</v>
      </c>
      <c r="B42" s="198">
        <f>SUMIFS(Calkos!X$7:X$1102,Calkos!$AS$7:$AS$1102,1,Calkos!$AT$7:$AT$1102,2026)</f>
        <v>0</v>
      </c>
      <c r="C42" s="199">
        <f>SUMIFS(Calkos!D$7:D$1102,Calkos!$AS$7:$AS$1102,1,Calkos!$AT$7:$AT$1102,2026)</f>
        <v>0</v>
      </c>
    </row>
    <row r="43" spans="1:3" x14ac:dyDescent="0.25">
      <c r="A43" s="200" t="s">
        <v>425</v>
      </c>
      <c r="B43" s="201">
        <f>SUMIFS(Calkos!X$7:X$1102,Calkos!$AS$7:$AS$1102,2,Calkos!$AT$7:$AT$1102,2026)</f>
        <v>0</v>
      </c>
      <c r="C43" s="202">
        <f>SUMIFS(Calkos!D$7:D$1102,Calkos!$AS$7:$AS$1102,2,Calkos!$AT$7:$AT$1102,2026)</f>
        <v>0</v>
      </c>
    </row>
    <row r="44" spans="1:3" x14ac:dyDescent="0.25">
      <c r="A44" s="200" t="s">
        <v>426</v>
      </c>
      <c r="B44" s="201">
        <f>SUMIFS(Calkos!X$7:X$1102,Calkos!$AS$7:$AS$1102,3,Calkos!$AT$7:$AT$1102,2026)</f>
        <v>56</v>
      </c>
      <c r="C44" s="202">
        <f>SUMIFS(Calkos!D$7:D$1102,Calkos!$AS$7:$AS$1102,3,Calkos!$AT$7:$AT$1102,2026)</f>
        <v>800</v>
      </c>
    </row>
    <row r="45" spans="1:3" x14ac:dyDescent="0.25">
      <c r="A45" s="200" t="s">
        <v>427</v>
      </c>
      <c r="B45" s="201">
        <f>SUMIFS(Calkos!X$7:X$1102,Calkos!$AS$7:$AS$1102,4,Calkos!$AT$7:$AT$1102,2026)</f>
        <v>461</v>
      </c>
      <c r="C45" s="202">
        <f>SUMIFS(Calkos!D$7:D$1102,Calkos!$AS$7:$AS$1102,4,Calkos!$AT$7:$AT$1102,2026)</f>
        <v>5100</v>
      </c>
    </row>
    <row r="46" spans="1:3" x14ac:dyDescent="0.25">
      <c r="A46" s="200" t="s">
        <v>428</v>
      </c>
      <c r="B46" s="201">
        <f>SUMIFS(Calkos!X$7:X$1102,Calkos!$AS$7:$AS$1102,5,Calkos!$AT$7:$AT$1102,2026)</f>
        <v>4521.1000000000004</v>
      </c>
      <c r="C46" s="202">
        <f>SUMIFS(Calkos!D$7:D$1102,Calkos!$AS$7:$AS$1102,5,Calkos!$AT$7:$AT$1102,2026)</f>
        <v>62090</v>
      </c>
    </row>
    <row r="47" spans="1:3" x14ac:dyDescent="0.25">
      <c r="A47" s="200" t="s">
        <v>429</v>
      </c>
      <c r="B47" s="201">
        <f>SUMIFS(Calkos!X$7:X$1102,Calkos!$AS$7:$AS$1102,6,Calkos!$AT$7:$AT$1102,2026)</f>
        <v>13918.45</v>
      </c>
      <c r="C47" s="202">
        <f>SUMIFS(Calkos!D$7:D$1102,Calkos!$AS$7:$AS$1102,6,Calkos!$AT$7:$AT$1102,2026)</f>
        <v>206819</v>
      </c>
    </row>
    <row r="48" spans="1:3" x14ac:dyDescent="0.25">
      <c r="A48" s="200" t="s">
        <v>430</v>
      </c>
      <c r="B48" s="201">
        <f>SUMIFS(Calkos!X$7:X$1102,Calkos!$AS$7:$AS$1102,7,Calkos!$AT$7:$AT$1102,2026)</f>
        <v>6554</v>
      </c>
      <c r="C48" s="202">
        <f>SUMIFS(Calkos!D$7:D$1102,Calkos!$AS$7:$AS$1102,7,Calkos!$AT$7:$AT$1102,2026)</f>
        <v>106130</v>
      </c>
    </row>
    <row r="49" spans="1:5" x14ac:dyDescent="0.25">
      <c r="A49" s="200" t="s">
        <v>431</v>
      </c>
      <c r="B49" s="201">
        <f>SUMIFS(Calkos!X$7:X$1102,Calkos!$AS$7:$AS$1102,8,Calkos!$AT$7:$AT$1102,2026)</f>
        <v>441</v>
      </c>
      <c r="C49" s="202">
        <f>SUMIFS(Calkos!D$7:D$1102,Calkos!$AS$7:$AS$1102,8,Calkos!$AT$7:$AT$1102,2026)</f>
        <v>6300</v>
      </c>
    </row>
    <row r="50" spans="1:5" x14ac:dyDescent="0.25">
      <c r="A50" s="200" t="s">
        <v>432</v>
      </c>
      <c r="B50" s="201">
        <f>SUMIFS(Calkos!X$7:X$1102,Calkos!$AS$7:$AS$1102,9,Calkos!$AT$7:$AT$1102,2026)</f>
        <v>2347</v>
      </c>
      <c r="C50" s="202">
        <f>SUMIFS(Calkos!D$7:D$1102,Calkos!$AS$7:$AS$1102,9,Calkos!$AT$7:$AT$1102,2026)</f>
        <v>40100</v>
      </c>
    </row>
    <row r="51" spans="1:5" x14ac:dyDescent="0.25">
      <c r="A51" s="200" t="s">
        <v>433</v>
      </c>
      <c r="B51" s="201">
        <f>SUMIFS(Calkos!X$7:X$1102,Calkos!$AS$7:$AS$1102,10,Calkos!$AT$7:$AT$1102,2026)</f>
        <v>546</v>
      </c>
      <c r="C51" s="202">
        <f>SUMIFS(Calkos!D$7:D$1102,Calkos!$AS$7:$AS$1102,10,Calkos!$AT$7:$AT$1102,2026)</f>
        <v>7800</v>
      </c>
      <c r="E51" s="201">
        <f>SUMIFS(Calkos!AA$7:AA$1102,Calkos!$AS$7:$AS$1102,11,Calkos!$AT$7:$AT$1102,2024)</f>
        <v>0</v>
      </c>
    </row>
    <row r="52" spans="1:5" x14ac:dyDescent="0.25">
      <c r="A52" s="200" t="s">
        <v>434</v>
      </c>
      <c r="B52" s="201">
        <f>SUMIFS(Calkos!X$7:X$1102,Calkos!$AS$7:$AS$1102,11,Calkos!$AT$7:$AT$1102,2026)</f>
        <v>70</v>
      </c>
      <c r="C52" s="202">
        <f>SUMIFS(Calkos!D$7:D$1102,Calkos!$AS$7:$AS$1102,11,Calkos!$AT$7:$AT$1102,2026)</f>
        <v>1000</v>
      </c>
    </row>
    <row r="53" spans="1:5" ht="15.75" thickBot="1" x14ac:dyDescent="0.3">
      <c r="A53" s="203" t="s">
        <v>435</v>
      </c>
      <c r="B53" s="204">
        <f>SUMIFS(Calkos!X$7:X$1102,Calkos!$AS$7:$AS$1102,12,Calkos!$AT$7:$AT$1102,2026)</f>
        <v>0</v>
      </c>
      <c r="C53" s="202">
        <f>SUMIFS(Calkos!D$7:D$1102,Calkos!$AS$7:$AS$1102,12,Calkos!$AT$7:$AT$1102,2026)</f>
        <v>0</v>
      </c>
    </row>
    <row r="54" spans="1:5" ht="16.5" thickBot="1" x14ac:dyDescent="0.3">
      <c r="B54" s="196">
        <f>SUM(B42:B53)</f>
        <v>28914.550000000003</v>
      </c>
      <c r="C54" s="195">
        <f>SUM(C42:C53)</f>
        <v>436139</v>
      </c>
    </row>
    <row r="57" spans="1:5" ht="19.5" thickBot="1" x14ac:dyDescent="0.35">
      <c r="A57" s="190"/>
      <c r="B57" s="449">
        <v>2025</v>
      </c>
      <c r="C57" s="449"/>
    </row>
    <row r="58" spans="1:5" ht="16.5" thickBot="1" x14ac:dyDescent="0.3">
      <c r="A58" s="191"/>
      <c r="B58" s="450" t="s">
        <v>342</v>
      </c>
      <c r="C58" s="451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SUMIFS(Calkos!X$7:X$1102,Calkos!$AS$7:$AS$1102,1,Calkos!$AT$7:$AT$1102,2025)</f>
        <v>0</v>
      </c>
      <c r="C60" s="199">
        <f>SUMIFS(Calkos!D$7:D$1102,Calkos!$AS$7:$AS$1102,1,Calkos!$AT$7:$AT$1102,2025)</f>
        <v>0</v>
      </c>
    </row>
    <row r="61" spans="1:5" x14ac:dyDescent="0.25">
      <c r="A61" s="200" t="s">
        <v>406</v>
      </c>
      <c r="B61" s="201">
        <f>SUMIFS(Calkos!X$7:X$1102,Calkos!$AS$7:$AS$1102,2,Calkos!$AT$7:$AT$1102,2025)</f>
        <v>0</v>
      </c>
      <c r="C61" s="202">
        <f>SUMIFS(Calkos!D$7:D$1102,Calkos!$AS$7:$AS$1102,2,Calkos!$AT$7:$AT$1102,2025)</f>
        <v>0</v>
      </c>
    </row>
    <row r="62" spans="1:5" x14ac:dyDescent="0.25">
      <c r="A62" s="200" t="s">
        <v>407</v>
      </c>
      <c r="B62" s="201">
        <f>SUMIFS(Calkos!X$7:X$1102,Calkos!$AS$7:$AS$1102,3,Calkos!$AT$7:$AT$1102,2025)</f>
        <v>0</v>
      </c>
      <c r="C62" s="202">
        <f>SUMIFS(Calkos!D$7:D$1102,Calkos!$AS$7:$AS$1102,3,Calkos!$AT$7:$AT$1102,2025)</f>
        <v>0</v>
      </c>
    </row>
    <row r="63" spans="1:5" x14ac:dyDescent="0.25">
      <c r="A63" s="200" t="s">
        <v>408</v>
      </c>
      <c r="B63" s="201">
        <f>SUMIFS(Calkos!X$7:X$1102,Calkos!$AS$7:$AS$1102,4,Calkos!$AT$7:$AT$1102,2025)</f>
        <v>0</v>
      </c>
      <c r="C63" s="202">
        <f>SUMIFS(Calkos!D$7:D$1102,Calkos!$AS$7:$AS$1102,4,Calkos!$AT$7:$AT$1102,2025)</f>
        <v>0</v>
      </c>
    </row>
    <row r="64" spans="1:5" x14ac:dyDescent="0.25">
      <c r="A64" s="200" t="s">
        <v>409</v>
      </c>
      <c r="B64" s="201">
        <f>SUMIFS(Calkos!X$7:X$1102,Calkos!$AS$7:$AS$1102,5,Calkos!$AT$7:$AT$1102,2025)</f>
        <v>0</v>
      </c>
      <c r="C64" s="202">
        <f>SUMIFS(Calkos!D$7:D$1102,Calkos!$AS$7:$AS$1102,5,Calkos!$AT$7:$AT$1102,2025)</f>
        <v>0</v>
      </c>
    </row>
    <row r="65" spans="1:3" x14ac:dyDescent="0.25">
      <c r="A65" s="200" t="s">
        <v>410</v>
      </c>
      <c r="B65" s="201">
        <f>SUMIFS(Calkos!X$7:X$1102,Calkos!$AS$7:$AS$1102,6,Calkos!$AT$7:$AT$1102,2025)</f>
        <v>0</v>
      </c>
      <c r="C65" s="202">
        <f>SUMIFS(Calkos!D$7:D$1102,Calkos!$AS$7:$AS$1102,6,Calkos!$AT$7:$AT$1102,2025)</f>
        <v>0</v>
      </c>
    </row>
    <row r="66" spans="1:3" x14ac:dyDescent="0.25">
      <c r="A66" s="200" t="s">
        <v>411</v>
      </c>
      <c r="B66" s="201">
        <f>SUMIFS(Calkos!X$7:X$1102,Calkos!$AS$7:$AS$1102,7,Calkos!$AT$7:$AT$1102,2025)</f>
        <v>0</v>
      </c>
      <c r="C66" s="202">
        <f>SUMIFS(Calkos!D$7:D$1102,Calkos!$AS$7:$AS$1102,7,Calkos!$AT$7:$AT$1102,2025)</f>
        <v>0</v>
      </c>
    </row>
    <row r="67" spans="1:3" x14ac:dyDescent="0.25">
      <c r="A67" s="200" t="s">
        <v>412</v>
      </c>
      <c r="B67" s="201">
        <f>SUMIFS(Calkos!X$7:X$1102,Calkos!$AS$7:$AS$1102,8,Calkos!$AT$7:$AT$1102,2025)</f>
        <v>0</v>
      </c>
      <c r="C67" s="202">
        <f>SUMIFS(Calkos!D$7:D$1102,Calkos!$AS$7:$AS$1102,8,Calkos!$AT$7:$AT$1102,2025)</f>
        <v>0</v>
      </c>
    </row>
    <row r="68" spans="1:3" x14ac:dyDescent="0.25">
      <c r="A68" s="200" t="s">
        <v>413</v>
      </c>
      <c r="B68" s="201">
        <f>SUMIFS(Calkos!X$7:X$1102,Calkos!$AS$7:$AS$1102,9,Calkos!$AT$7:$AT$1102,2025)</f>
        <v>0</v>
      </c>
      <c r="C68" s="202">
        <f>SUMIFS(Calkos!D$7:D$1102,Calkos!$AS$7:$AS$1102,9,Calkos!$AT$7:$AT$1102,2025)</f>
        <v>0</v>
      </c>
    </row>
    <row r="69" spans="1:3" x14ac:dyDescent="0.25">
      <c r="A69" s="200" t="s">
        <v>414</v>
      </c>
      <c r="B69" s="201">
        <f>SUMIFS(Calkos!X$7:X$1102,Calkos!$AS$7:$AS$1102,10,Calkos!$AT$7:$AT$1102,2025)</f>
        <v>0</v>
      </c>
      <c r="C69" s="202">
        <f>SUMIFS(Calkos!D$7:D$1102,Calkos!$AS$7:$AS$1102,10,Calkos!$AT$7:$AT$1102,2025)</f>
        <v>0</v>
      </c>
    </row>
    <row r="70" spans="1:3" x14ac:dyDescent="0.25">
      <c r="A70" s="200" t="s">
        <v>415</v>
      </c>
      <c r="B70" s="201">
        <f>SUMIFS(Calkos!X$7:X$1102,Calkos!$AS$7:$AS$1102,11,Calkos!$AT$7:$AT$1102,2025)</f>
        <v>0</v>
      </c>
      <c r="C70" s="202">
        <f>SUMIFS(Calkos!D$7:D$1102,Calkos!$AS$7:$AS$1102,11,Calkos!$AT$7:$AT$1102,2025)</f>
        <v>0</v>
      </c>
    </row>
    <row r="71" spans="1:3" ht="15.75" thickBot="1" x14ac:dyDescent="0.3">
      <c r="A71" s="203" t="s">
        <v>416</v>
      </c>
      <c r="B71" s="204">
        <f>SUMIFS(Calkos!X$7:X$1103,Calkos!$AS$7:$AS$1103,12,Calkos!$AT$7:$AT$1103,2025)</f>
        <v>0</v>
      </c>
      <c r="C71" s="205">
        <f>SUMIFS(Calkos!D$7:D$1103,Calkos!$AS$7:$AS$1103,12,Calkos!$AT$7:$AT$1103,2025)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49" t="s">
        <v>356</v>
      </c>
      <c r="C80" s="449"/>
    </row>
    <row r="81" spans="2:3" ht="15.75" x14ac:dyDescent="0.25">
      <c r="B81" s="450" t="s">
        <v>342</v>
      </c>
      <c r="C81" s="451"/>
    </row>
    <row r="82" spans="2:3" ht="16.5" thickBot="1" x14ac:dyDescent="0.3">
      <c r="B82" s="206" t="str">
        <f>IF(B88=0,"Euro","Errore")</f>
        <v>Euro</v>
      </c>
      <c r="C82" s="194" t="str">
        <f>IF(C88=0,"Kg","Errore")</f>
        <v>Kg</v>
      </c>
    </row>
    <row r="83" spans="2:3" ht="16.5" thickBot="1" x14ac:dyDescent="0.3">
      <c r="B83" s="207">
        <f>+B18+B36+B54+B72</f>
        <v>28914.550000000003</v>
      </c>
      <c r="C83" s="208">
        <f>+C18+C36+C54+C72</f>
        <v>436139</v>
      </c>
    </row>
    <row r="86" spans="2:3" x14ac:dyDescent="0.25">
      <c r="B86" s="198">
        <f>SUMIFS(Calkos!X$7:X$1102,Calkos!$AS$7:$AS$1102,0,Calkos!$AT$7:$AT$1102,0)</f>
        <v>28027.659000000011</v>
      </c>
      <c r="C86" s="199">
        <f>SUMIFS(Calkos!D$7:D$1102,Calkos!$AS$7:$AS$1102,0,Calkos!$AT$7:$AT$1102,0)</f>
        <v>417680.7</v>
      </c>
    </row>
    <row r="88" spans="2:3" x14ac:dyDescent="0.25">
      <c r="B88" s="78">
        <f>+B83+B86-Calkos!X1103</f>
        <v>0</v>
      </c>
      <c r="C88" s="153">
        <f>+C83+C86-Calkos!D1103</f>
        <v>0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52" t="s">
        <v>275</v>
      </c>
      <c r="B2" s="452"/>
    </row>
    <row r="4" spans="1:3" ht="15.75" thickBot="1" x14ac:dyDescent="0.3">
      <c r="A4" s="453" t="s">
        <v>276</v>
      </c>
      <c r="B4" s="453"/>
      <c r="C4" s="453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SUMIFS(Calkos!$D$7:$D$1102,Calkos!$AI$7:$AI$1102,1,Calkos!$AL$7:$AL$1102,2018)</f>
        <v>0</v>
      </c>
      <c r="C6" s="179">
        <f>SUMIFS(Calkos!$X$7:$X$1102,Calkos!$AI$7:$AI$1102,1,Calkos!$AL$7:$AL$1102,2018)</f>
        <v>0</v>
      </c>
    </row>
    <row r="7" spans="1:3" x14ac:dyDescent="0.25">
      <c r="A7" s="180" t="s">
        <v>280</v>
      </c>
      <c r="B7" s="181">
        <f>SUMIFS(Calkos!$D$7:$D$1102,Calkos!$AI$7:$AI$1102,2,Calkos!$AL$7:$AL$1102,2018)</f>
        <v>0</v>
      </c>
      <c r="C7" s="182">
        <f>SUMIFS(Calkos!$X$7:$X$1102,Calkos!$AI$7:$AI$1102,2,Calkos!$AL$7:$AL$1102,2018)</f>
        <v>0</v>
      </c>
    </row>
    <row r="8" spans="1:3" x14ac:dyDescent="0.25">
      <c r="A8" s="180" t="s">
        <v>281</v>
      </c>
      <c r="B8" s="181">
        <f>SUMIFS(Calkos!$D$7:$D$1102,Calkos!$AI$7:$AI$1102,3,Calkos!$AL$7:$AL$1102,2018)</f>
        <v>0</v>
      </c>
      <c r="C8" s="182">
        <f>SUMIFS(Calkos!$X$7:$X$1102,Calkos!$AI$7:$AI$1102,3,Calkos!$AL$7:$AL$1102,2018)</f>
        <v>0</v>
      </c>
    </row>
    <row r="9" spans="1:3" x14ac:dyDescent="0.25">
      <c r="A9" s="180" t="s">
        <v>282</v>
      </c>
      <c r="B9" s="181">
        <f>SUMIFS(Calkos!$D$7:$D$1102,Calkos!$AI$7:$AI$1102,4,Calkos!$AL$7:$AL$1102,2018)</f>
        <v>0</v>
      </c>
      <c r="C9" s="182">
        <f>SUMIFS(Calkos!$X$7:$X$1102,Calkos!$AI$7:$AI$1102,4,Calkos!$AL$7:$AL$1102,2018)</f>
        <v>0</v>
      </c>
    </row>
    <row r="10" spans="1:3" x14ac:dyDescent="0.25">
      <c r="A10" s="180" t="s">
        <v>283</v>
      </c>
      <c r="B10" s="181">
        <f>SUMIFS(Calkos!$D$7:$D$1102,Calkos!$AI$7:$AI$1102,5,Calkos!$AL$7:$AL$1102,2018)</f>
        <v>0</v>
      </c>
      <c r="C10" s="182">
        <f>SUMIFS(Calkos!$X$7:$X$1102,Calkos!$AI$7:$AI$1102,5,Calkos!$AL$7:$AL$1102,2018)</f>
        <v>0</v>
      </c>
    </row>
    <row r="11" spans="1:3" x14ac:dyDescent="0.25">
      <c r="A11" s="180" t="s">
        <v>284</v>
      </c>
      <c r="B11" s="181">
        <f>SUMIFS(Calkos!$D$7:$D$1102,Calkos!$AI$7:$AI$1102,6,Calkos!$AL$7:$AL$1102,2018)</f>
        <v>0</v>
      </c>
      <c r="C11" s="182">
        <f>SUMIFS(Calkos!$X$7:$X$1102,Calkos!$AI$7:$AI$1102,6,Calkos!$AL$7:$AL$1102,2018)</f>
        <v>0</v>
      </c>
    </row>
    <row r="12" spans="1:3" x14ac:dyDescent="0.25">
      <c r="A12" s="180" t="s">
        <v>285</v>
      </c>
      <c r="B12" s="181">
        <f>SUMIFS(Calkos!$D$7:$D$1102,Calkos!$AI$7:$AI$1102,7,Calkos!$AL$7:$AL$1102,2018)</f>
        <v>0</v>
      </c>
      <c r="C12" s="182">
        <f>SUMIFS(Calkos!$X$7:$X$1102,Calkos!$AI$7:$AI$1102,7,Calkos!$AL$7:$AL$1102,2018)</f>
        <v>0</v>
      </c>
    </row>
    <row r="13" spans="1:3" x14ac:dyDescent="0.25">
      <c r="A13" s="180" t="s">
        <v>286</v>
      </c>
      <c r="B13" s="181">
        <f>SUMIFS(Calkos!$D$7:$D$1102,Calkos!$AI$7:$AI$1102,8,Calkos!$AL$7:$AL$1102,2018)</f>
        <v>0</v>
      </c>
      <c r="C13" s="182">
        <f>SUMIFS(Calkos!$X$7:$X$1102,Calkos!$AI$7:$AI$1102,8,Calkos!$AL$7:$AL$1102,2018)</f>
        <v>0</v>
      </c>
    </row>
    <row r="14" spans="1:3" x14ac:dyDescent="0.25">
      <c r="A14" s="183" t="s">
        <v>287</v>
      </c>
      <c r="B14" s="181">
        <f>SUMIFS(Calkos!$D$7:$D$1102,Calkos!$AI$7:$AI$1102,9,Calkos!$AL$7:$AL$1102,2018)</f>
        <v>0</v>
      </c>
      <c r="C14" s="182">
        <f>SUMIFS(Calkos!$X$7:$X$1102,Calkos!$AI$7:$AI$1102,9,Calkos!$AL$7:$AL$1102,2018)</f>
        <v>0</v>
      </c>
    </row>
    <row r="15" spans="1:3" x14ac:dyDescent="0.25">
      <c r="A15" s="180" t="s">
        <v>288</v>
      </c>
      <c r="B15" s="181">
        <f>SUMIFS(Calkos!$D$7:$D$1102,Calkos!$AI$7:$AI$1102,10,Calkos!$AL$7:$AL$1102,2018)</f>
        <v>0</v>
      </c>
      <c r="C15" s="182">
        <f>SUMIFS(Calkos!$X$7:$X$1102,Calkos!$AI$7:$AI$1102,10,Calkos!$AL$7:$AL$1102,2018)</f>
        <v>0</v>
      </c>
    </row>
    <row r="16" spans="1:3" x14ac:dyDescent="0.25">
      <c r="A16" s="180" t="s">
        <v>289</v>
      </c>
      <c r="B16" s="181">
        <f>SUMIFS(Calkos!$D$7:$D$1102,Calkos!$AI$7:$AI$1102,11,Calkos!$AL$7:$AL$1102,2018)</f>
        <v>0</v>
      </c>
      <c r="C16" s="182">
        <f>SUMIFS(Calkos!$X$7:$X$1102,Calkos!$AI$7:$AI$1102,11,Calkos!$AL$7:$AL$1102,2018)</f>
        <v>0</v>
      </c>
    </row>
    <row r="17" spans="1:3" ht="15.75" thickBot="1" x14ac:dyDescent="0.3">
      <c r="A17" s="184" t="s">
        <v>290</v>
      </c>
      <c r="B17" s="185">
        <f>SUMIFS(Calkos!$D$7:$D$1102,Calkos!$AI$7:$AI$1102,12,Calkos!$AL$7:$AL$1102,2018)</f>
        <v>0</v>
      </c>
      <c r="C17" s="186">
        <f>SUMIFS(Calkos!$X$7:$X$1102,Calkos!$AI$7:$AI$1102,12,Calkos!$AL$7:$AL$1102,2018)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53" t="s">
        <v>291</v>
      </c>
      <c r="B20" s="453"/>
      <c r="C20" s="453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SUMIFS(Calkos!$D$7:$D$1102,Calkos!$AI$7:$AI$1102,1,Calkos!$AL$7:$AL$1102,2019)</f>
        <v>0</v>
      </c>
      <c r="C22" s="179">
        <f>SUMIFS(Calkos!$X$7:$X$1102,Calkos!$AI$7:$AI$1102,1,Calkos!$AL$7:$AL$1102,2019)</f>
        <v>0</v>
      </c>
    </row>
    <row r="23" spans="1:3" x14ac:dyDescent="0.25">
      <c r="A23" s="180" t="s">
        <v>280</v>
      </c>
      <c r="B23" s="181">
        <f>SUMIFS(Calkos!$D$7:$D$1102,Calkos!$AI$7:$AI$1102,2,Calkos!$AL$7:$AL$1102,2019)</f>
        <v>0</v>
      </c>
      <c r="C23" s="182">
        <f>SUMIFS(Calkos!$X$7:$X$1102,Calkos!$AI$7:$AI$1102,2,Calkos!$AL$7:$AL$1102,2019)</f>
        <v>0</v>
      </c>
    </row>
    <row r="24" spans="1:3" x14ac:dyDescent="0.25">
      <c r="A24" s="180" t="s">
        <v>281</v>
      </c>
      <c r="B24" s="181">
        <f>SUMIFS(Calkos!$D$7:$D$1102,Calkos!$AI$7:$AI$1102,3,Calkos!$AL$7:$AL$1102,2019)</f>
        <v>0</v>
      </c>
      <c r="C24" s="182">
        <f>SUMIFS(Calkos!$X$7:$X$1102,Calkos!$AI$7:$AI$1102,3,Calkos!$AL$7:$AL$1102,2019)</f>
        <v>0</v>
      </c>
    </row>
    <row r="25" spans="1:3" x14ac:dyDescent="0.25">
      <c r="A25" s="180" t="s">
        <v>282</v>
      </c>
      <c r="B25" s="181">
        <f>SUMIFS(Calkos!$D$7:$D$1102,Calkos!$AI$7:$AI$1102,4,Calkos!$AL$7:$AL$1102,2019)</f>
        <v>0</v>
      </c>
      <c r="C25" s="182">
        <f>SUMIFS(Calkos!$X$7:$X$1102,Calkos!$AI$7:$AI$1102,4,Calkos!$AL$7:$AL$1102,2019)</f>
        <v>0</v>
      </c>
    </row>
    <row r="26" spans="1:3" x14ac:dyDescent="0.25">
      <c r="A26" s="180" t="s">
        <v>283</v>
      </c>
      <c r="B26" s="181">
        <f>SUMIFS(Calkos!$D$7:$D$1102,Calkos!$AI$7:$AI$1102,5,Calkos!$AL$7:$AL$1102,2019)</f>
        <v>0</v>
      </c>
      <c r="C26" s="182">
        <f>SUMIFS(Calkos!$X$7:$X$1102,Calkos!$AI$7:$AI$1102,5,Calkos!$AL$7:$AL$1102,2019)</f>
        <v>0</v>
      </c>
    </row>
    <row r="27" spans="1:3" x14ac:dyDescent="0.25">
      <c r="A27" s="180" t="s">
        <v>284</v>
      </c>
      <c r="B27" s="181">
        <f>SUMIFS(Calkos!$D$7:$D$1102,Calkos!$AI$7:$AI$1102,6,Calkos!$AL$7:$AL$1102,2019)</f>
        <v>0</v>
      </c>
      <c r="C27" s="182">
        <f>SUMIFS(Calkos!$X$7:$X$1102,Calkos!$AI$7:$AI$1102,6,Calkos!$AL$7:$AL$1102,2019)</f>
        <v>0</v>
      </c>
    </row>
    <row r="28" spans="1:3" x14ac:dyDescent="0.25">
      <c r="A28" s="180" t="s">
        <v>285</v>
      </c>
      <c r="B28" s="181">
        <f>SUMIFS(Calkos!$D$7:$D$1102,Calkos!$AI$7:$AI$1102,7,Calkos!$AL$7:$AL$1102,2019)</f>
        <v>0</v>
      </c>
      <c r="C28" s="182">
        <f>SUMIFS(Calkos!$X$7:$X$1102,Calkos!$AI$7:$AI$1102,7,Calkos!$AL$7:$AL$1102,2019)</f>
        <v>0</v>
      </c>
    </row>
    <row r="29" spans="1:3" x14ac:dyDescent="0.25">
      <c r="A29" s="180" t="s">
        <v>286</v>
      </c>
      <c r="B29" s="181">
        <f>SUMIFS(Calkos!$D$7:$D$1102,Calkos!$AI$7:$AI$1102,8,Calkos!$AL$7:$AL$1102,2019)</f>
        <v>0</v>
      </c>
      <c r="C29" s="182">
        <f>SUMIFS(Calkos!$X$7:$X$1102,Calkos!$AI$7:$AI$1102,8,Calkos!$AL$7:$AL$1102,2019)</f>
        <v>0</v>
      </c>
    </row>
    <row r="30" spans="1:3" x14ac:dyDescent="0.25">
      <c r="A30" s="183" t="s">
        <v>287</v>
      </c>
      <c r="B30" s="181">
        <f>SUMIFS(Calkos!$D$7:$D$1102,Calkos!$AI$7:$AI$1102,9,Calkos!$AL$7:$AL$1102,2019)</f>
        <v>0</v>
      </c>
      <c r="C30" s="182">
        <f>SUMIFS(Calkos!$X$7:$X$1102,Calkos!$AI$7:$AI$1102,9,Calkos!$AL$7:$AL$1102,2019)</f>
        <v>0</v>
      </c>
    </row>
    <row r="31" spans="1:3" x14ac:dyDescent="0.25">
      <c r="A31" s="180" t="s">
        <v>288</v>
      </c>
      <c r="B31" s="181">
        <f>SUMIFS(Calkos!$D$7:$D$1102,Calkos!$AI$7:$AI$1102,10,Calkos!$AL$7:$AL$1102,2019)</f>
        <v>0</v>
      </c>
      <c r="C31" s="182">
        <f>SUMIFS(Calkos!$X$7:$X$1102,Calkos!$AI$7:$AI$1102,10,Calkos!$AL$7:$AL$1102,2019)</f>
        <v>0</v>
      </c>
    </row>
    <row r="32" spans="1:3" x14ac:dyDescent="0.25">
      <c r="A32" s="180" t="s">
        <v>289</v>
      </c>
      <c r="B32" s="181">
        <f>SUMIFS(Calkos!$D$7:$D$1102,Calkos!$AI$7:$AI$1102,11,Calkos!$AL$7:$AL$1102,2019)</f>
        <v>0</v>
      </c>
      <c r="C32" s="182">
        <f>SUMIFS(Calkos!$X$7:$X$1102,Calkos!$AI$7:$AI$1102,11,Calkos!$AL$7:$AL$1102,2019)</f>
        <v>0</v>
      </c>
    </row>
    <row r="33" spans="1:3" ht="15.75" thickBot="1" x14ac:dyDescent="0.3">
      <c r="A33" s="184" t="s">
        <v>290</v>
      </c>
      <c r="B33" s="185">
        <f>SUMIFS(Calkos!$D$7:$D$1102,Calkos!$AI$7:$AI$1102,12,Calkos!$AL$7:$AL$1102,2019)</f>
        <v>0</v>
      </c>
      <c r="C33" s="186">
        <f>SUMIFS(Calkos!$X$7:$X$1102,Calkos!$AI$7:$AI$1102,12,Calkos!$AL$7:$AL$1102,2019)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COUNTIF(Calkos!AA7:AA1102,"&gt;0")</f>
        <v>285</v>
      </c>
      <c r="B37">
        <f>COUNTIF(Calkos!AI7:AI1102,"&gt;0")</f>
        <v>0</v>
      </c>
      <c r="C37">
        <f>COUNTIF(Calkos!AL7:AL1102,"&gt;0")</f>
        <v>516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Calkos</vt:lpstr>
      <vt:lpstr>Tabella</vt:lpstr>
      <vt:lpstr>Bronzo</vt:lpstr>
      <vt:lpstr>Rame</vt:lpstr>
      <vt:lpstr>Ottone</vt:lpstr>
      <vt:lpstr>Tabelle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2026-08-02T12:47:37Z</dcterms:modified>
</cp:coreProperties>
</file>