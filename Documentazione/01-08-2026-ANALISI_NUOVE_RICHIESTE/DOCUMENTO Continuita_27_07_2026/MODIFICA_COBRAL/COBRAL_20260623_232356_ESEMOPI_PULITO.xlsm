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01-08-2026-ANALISI_NUOVE_RICHIESTE\DOCUMENTO Continuita_27_07_2026\MODIFICA_COBRAL\"/>
    </mc:Choice>
  </mc:AlternateContent>
  <bookViews>
    <workbookView xWindow="-120" yWindow="-120" windowWidth="29040" windowHeight="15720" tabRatio="594" activeTab="1"/>
  </bookViews>
  <sheets>
    <sheet name="Calkos" sheetId="2" r:id="rId1"/>
    <sheet name="Tabella" sheetId="5" r:id="rId2"/>
    <sheet name="Bronzo" sheetId="10" r:id="rId3"/>
    <sheet name="Rame" sheetId="8" r:id="rId4"/>
    <sheet name="Ottone" sheetId="7" r:id="rId5"/>
    <sheet name="Tabelle" sheetId="1" r:id="rId6"/>
  </sheets>
  <functionGroups builtInGroupCount="18"/>
  <definedNames>
    <definedName name="_Alu2">Tabelle!$S$4:$S$42</definedName>
    <definedName name="_xlnm._FilterDatabase" localSheetId="0" hidden="1">Calkos!$A$5:$AM$12</definedName>
    <definedName name="Al">Tabelle!$H$5:$H$21</definedName>
    <definedName name="Alu">Tabelle!$S$3:$S$42</definedName>
    <definedName name="_xlnm.Print_Area" localSheetId="0">Calkos!$B$1:$Z$12</definedName>
    <definedName name="Br">Tabelle!$K$5:$K$10</definedName>
    <definedName name="Cu">Tabelle!$J$5:$J$10</definedName>
    <definedName name="LarCu">Tabelle!$M$9:$P$9</definedName>
    <definedName name="LargAl">Tabelle!$M$7:$O$7</definedName>
    <definedName name="LargBr">Tabelle!$M$11:$Q$11</definedName>
    <definedName name="Materiale">Tabelle!$H$3:$J$3</definedName>
    <definedName name="Materiale2">Tabelle!$H$3:$K$3</definedName>
    <definedName name="Ot">Tabelle!$I$5:$I$10</definedName>
    <definedName name="ProvvAl">Tabelle!$H$31:$J$31</definedName>
    <definedName name="ProvvAl2">Tabelle!$H$31:$K$31</definedName>
    <definedName name="ProvvAl3">Tabelle!$M$31:$R$31</definedName>
    <definedName name="ProvvBr">Tabelle!$H$33:$I$33</definedName>
    <definedName name="ProvvCu">Tabelle!$H$32:$I$32</definedName>
    <definedName name="ProvvCu2">Tabelle!$H$32:$J$32</definedName>
    <definedName name="ProvvCu3">Tabelle!$H$32:$L$32</definedName>
    <definedName name="Scadenza">Tabella!$M$40:$M$42</definedName>
  </definedNames>
  <calcPr calcId="162913"/>
</workbook>
</file>

<file path=xl/calcChain.xml><?xml version="1.0" encoding="utf-8"?>
<calcChain xmlns="http://schemas.openxmlformats.org/spreadsheetml/2006/main">
  <c r="H1" i="1" l="1"/>
  <c r="X11" i="2" l="1"/>
  <c r="X10" i="2"/>
  <c r="X9" i="2"/>
  <c r="X8" i="2"/>
  <c r="X7" i="2"/>
  <c r="X6" i="2"/>
  <c r="S11" i="2"/>
  <c r="S10" i="2"/>
  <c r="S9" i="2"/>
  <c r="S8" i="2"/>
  <c r="S7" i="2"/>
  <c r="S6" i="2"/>
  <c r="R11" i="2"/>
  <c r="R10" i="2"/>
  <c r="R9" i="2"/>
  <c r="R8" i="2"/>
  <c r="R7" i="2"/>
  <c r="R6" i="2"/>
  <c r="Q11" i="2"/>
  <c r="Q10" i="2"/>
  <c r="Q9" i="2"/>
  <c r="Q8" i="2"/>
  <c r="Q7" i="2"/>
  <c r="Q6" i="2"/>
  <c r="P11" i="2"/>
  <c r="P10" i="2"/>
  <c r="P9" i="2"/>
  <c r="P8" i="2"/>
  <c r="P7" i="2"/>
  <c r="P6" i="2"/>
  <c r="M11" i="2"/>
  <c r="M10" i="2"/>
  <c r="M9" i="2"/>
  <c r="M8" i="2"/>
  <c r="M7" i="2"/>
  <c r="M6" i="2"/>
  <c r="L11" i="2"/>
  <c r="L10" i="2"/>
  <c r="L9" i="2"/>
  <c r="L8" i="2"/>
  <c r="L7" i="2"/>
  <c r="L6" i="2"/>
  <c r="K11" i="2"/>
  <c r="K10" i="2"/>
  <c r="K9" i="2"/>
  <c r="K8" i="2"/>
  <c r="K7" i="2"/>
  <c r="K6" i="2"/>
  <c r="T11" i="2" l="1"/>
  <c r="T8" i="2"/>
  <c r="W8" i="2" s="1"/>
  <c r="Z8" i="2" s="1"/>
  <c r="T7" i="2"/>
  <c r="W7" i="2" s="1"/>
  <c r="Z7" i="2" s="1"/>
  <c r="T9" i="2"/>
  <c r="T10" i="2"/>
  <c r="T6" i="2"/>
  <c r="O11" i="2"/>
  <c r="O9" i="2"/>
  <c r="O6" i="2"/>
  <c r="O10" i="2"/>
  <c r="W10" i="2" l="1"/>
  <c r="Z10" i="2" s="1"/>
  <c r="W11" i="2"/>
  <c r="Z11" i="2" s="1"/>
  <c r="W6" i="2"/>
  <c r="Z6" i="2" s="1"/>
  <c r="W9" i="2"/>
  <c r="Z9" i="2" s="1"/>
  <c r="A11" i="2" l="1"/>
  <c r="AT6" i="2" l="1"/>
  <c r="AS6" i="2"/>
  <c r="AL6" i="2"/>
  <c r="AK6" i="2"/>
  <c r="AG6" i="2"/>
  <c r="AH6" i="2" s="1"/>
  <c r="AF6" i="2"/>
  <c r="AL10" i="2" l="1"/>
  <c r="AK10" i="2"/>
  <c r="AG10" i="2"/>
  <c r="AF10" i="2"/>
  <c r="AL9" i="2"/>
  <c r="AK9" i="2"/>
  <c r="AG9" i="2"/>
  <c r="AF9" i="2"/>
  <c r="AL8" i="2"/>
  <c r="AK8" i="2"/>
  <c r="AG8" i="2"/>
  <c r="AF8" i="2"/>
  <c r="AT10" i="2"/>
  <c r="AS10" i="2"/>
  <c r="AT9" i="2"/>
  <c r="AS9" i="2"/>
  <c r="AT8" i="2"/>
  <c r="AS8" i="2"/>
  <c r="AH10" i="2" l="1"/>
  <c r="AH9" i="2"/>
  <c r="AH8" i="2"/>
  <c r="AT11" i="2" l="1"/>
  <c r="AS11" i="2"/>
  <c r="AT7" i="2"/>
  <c r="AS7" i="2"/>
  <c r="D12" i="2" l="1"/>
  <c r="AK11" i="2" l="1"/>
  <c r="AK7" i="2"/>
  <c r="AL7" i="2"/>
  <c r="AG7" i="2"/>
  <c r="AF7" i="2"/>
  <c r="AH7" i="2" l="1"/>
  <c r="AL11" i="2" l="1"/>
  <c r="AG11" i="2" l="1"/>
  <c r="AH11" i="2" s="1"/>
  <c r="AF11" i="2"/>
  <c r="AE5" i="2" l="1"/>
  <c r="M18" i="5"/>
  <c r="AD5" i="2" l="1"/>
  <c r="AM5" i="2" s="1"/>
  <c r="D5" i="2"/>
  <c r="X12" i="2" l="1"/>
  <c r="X5" i="2" l="1"/>
</calcChain>
</file>

<file path=xl/sharedStrings.xml><?xml version="1.0" encoding="utf-8"?>
<sst xmlns="http://schemas.openxmlformats.org/spreadsheetml/2006/main" count="312" uniqueCount="116">
  <si>
    <t>LISTINO CALKOS 2014</t>
  </si>
  <si>
    <t>ALLUMINIO</t>
  </si>
  <si>
    <t>EXTRA PER SPESSORE</t>
  </si>
  <si>
    <t>LARGHEZZA NASTRI</t>
  </si>
  <si>
    <t>Alluminio</t>
  </si>
  <si>
    <t>Ottone</t>
  </si>
  <si>
    <t>Rame</t>
  </si>
  <si>
    <t>mm 8 - 15</t>
  </si>
  <si>
    <t>mm 15,1 - 30</t>
  </si>
  <si>
    <t>0,20 mm</t>
  </si>
  <si>
    <t>0,10 - 0,19 mm</t>
  </si>
  <si>
    <t>0,25 mm</t>
  </si>
  <si>
    <t>0,20 -0,29 mm</t>
  </si>
  <si>
    <t>0,30 mm</t>
  </si>
  <si>
    <t>0,30 - 0,49 mm</t>
  </si>
  <si>
    <t>0,35 mm</t>
  </si>
  <si>
    <t>0,50 - 0,79 mm</t>
  </si>
  <si>
    <t>0,40 mm</t>
  </si>
  <si>
    <t>0,80 - 1,5 mm</t>
  </si>
  <si>
    <t>0,50 mm</t>
  </si>
  <si>
    <t>&gt; 1,6 mm</t>
  </si>
  <si>
    <t>0,60 mm</t>
  </si>
  <si>
    <t>0,70 mm</t>
  </si>
  <si>
    <t>0,80 mm</t>
  </si>
  <si>
    <t>0,90 mm</t>
  </si>
  <si>
    <t>1,00 mm</t>
  </si>
  <si>
    <t>1,20 mm</t>
  </si>
  <si>
    <t>1,50 mm</t>
  </si>
  <si>
    <t>2,00 mm</t>
  </si>
  <si>
    <t>2,50 mm</t>
  </si>
  <si>
    <t>3,00 mm</t>
  </si>
  <si>
    <t>OTTONE</t>
  </si>
  <si>
    <t>mm20,1-25</t>
  </si>
  <si>
    <t>mm 15,1 - 20</t>
  </si>
  <si>
    <t>RAME</t>
  </si>
  <si>
    <t>QUANTITATIVI INFERIORI AI KG 500 + € 0,10</t>
  </si>
  <si>
    <t>Cliente</t>
  </si>
  <si>
    <t>Materiale</t>
  </si>
  <si>
    <t>Spessore</t>
  </si>
  <si>
    <t>Larghezza</t>
  </si>
  <si>
    <t>Provvigione</t>
  </si>
  <si>
    <t>Pr Lav spess</t>
  </si>
  <si>
    <t>Pr Lav Larg</t>
  </si>
  <si>
    <t>Pr  Lav Totale</t>
  </si>
  <si>
    <t>Prezzo di vendita</t>
  </si>
  <si>
    <t>Agente</t>
  </si>
  <si>
    <t xml:space="preserve">              Prezzi di lavorazione</t>
  </si>
  <si>
    <t>Differenza</t>
  </si>
  <si>
    <t>Prezzo</t>
  </si>
  <si>
    <t>Al</t>
  </si>
  <si>
    <t xml:space="preserve">        Materiale</t>
  </si>
  <si>
    <t>mm 0</t>
  </si>
  <si>
    <t>Extra prezzo Kg</t>
  </si>
  <si>
    <t>Extra Prezzo Stagnato</t>
  </si>
  <si>
    <t>Scadenza</t>
  </si>
  <si>
    <t>30 gg</t>
  </si>
  <si>
    <t>60 gg</t>
  </si>
  <si>
    <t>90 gg</t>
  </si>
  <si>
    <t>Bronzo</t>
  </si>
  <si>
    <t>B</t>
  </si>
  <si>
    <t>Bronzo - CuSn6</t>
  </si>
  <si>
    <t>prezzi di lavorazione a Prezzo Pieno</t>
  </si>
  <si>
    <t>LARGHEZZA mm.</t>
  </si>
  <si>
    <t>mm7,0-14,9</t>
  </si>
  <si>
    <t>mm15-29,9</t>
  </si>
  <si>
    <t>mm30-59,9</t>
  </si>
  <si>
    <t>mm60-500</t>
  </si>
  <si>
    <t>SPESSORI mm.</t>
  </si>
  <si>
    <t>0,10-0,15</t>
  </si>
  <si>
    <t>0,16-0,25</t>
  </si>
  <si>
    <t>0,26-0,40</t>
  </si>
  <si>
    <t>0,41-0,60</t>
  </si>
  <si>
    <t>0,61-1,50</t>
  </si>
  <si>
    <t>&gt;1,51</t>
  </si>
  <si>
    <t>-</t>
  </si>
  <si>
    <t>Altre percentuali</t>
  </si>
  <si>
    <t>Tmc</t>
  </si>
  <si>
    <t>0,45 mm</t>
  </si>
  <si>
    <t>0,55 mm</t>
  </si>
  <si>
    <t>Data Consegna ipotetica</t>
  </si>
  <si>
    <t>Gbe</t>
  </si>
  <si>
    <t>Totale kg</t>
  </si>
  <si>
    <t>0,65 mm</t>
  </si>
  <si>
    <t>0,85 mm</t>
  </si>
  <si>
    <t>1,25 mm</t>
  </si>
  <si>
    <t>1,60 mm</t>
  </si>
  <si>
    <t>1,70 mm</t>
  </si>
  <si>
    <t>1,80 mm</t>
  </si>
  <si>
    <t>1,90 mm</t>
  </si>
  <si>
    <t>1,35 mm</t>
  </si>
  <si>
    <t>1,40 mm</t>
  </si>
  <si>
    <t>1,45 mm</t>
  </si>
  <si>
    <t>1,55 mm</t>
  </si>
  <si>
    <t>1,65 mm</t>
  </si>
  <si>
    <t>1,75 mm</t>
  </si>
  <si>
    <t>1,85 mm</t>
  </si>
  <si>
    <t>1,95 mm</t>
  </si>
  <si>
    <t>1,05 mm</t>
  </si>
  <si>
    <t>1,10 mm</t>
  </si>
  <si>
    <t>1,15 mm</t>
  </si>
  <si>
    <t>0,95 mm</t>
  </si>
  <si>
    <t>0,75 mm</t>
  </si>
  <si>
    <t>1,30 mm</t>
  </si>
  <si>
    <t>Totale da fatturare</t>
  </si>
  <si>
    <t>Efacec</t>
  </si>
  <si>
    <t>Ordine/DDT</t>
  </si>
  <si>
    <t>OK</t>
  </si>
  <si>
    <t>saldo</t>
  </si>
  <si>
    <t>O0253453</t>
  </si>
  <si>
    <t>COMMISSIONI COBRAL 2026 PER CALKOS</t>
  </si>
  <si>
    <t>FATTURARE</t>
  </si>
  <si>
    <t>FINE_TABELLA</t>
  </si>
  <si>
    <t>__</t>
  </si>
  <si>
    <t>O0253453-1789/26V</t>
  </si>
  <si>
    <t>NEWO0250759</t>
  </si>
  <si>
    <t>NEWO0252610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</si>
</sst>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&quot;€&quot;\ #,##0.00;[Red]\-&quot;€&quot;\ #,##0.00"/>
    <numFmt numFmtId="165" formatCode="_-&quot;€&quot;\ * #,##0.00_-;\-&quot;€&quot;\ * #,##0.00_-;_-&quot;€&quot;\ * &quot;-&quot;??_-;_-@_-"/>
    <numFmt numFmtId="166" formatCode="&quot;€&quot;\ #,##0.00"/>
  </numFmts>
  <fonts count="2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8"/>
      <name val="Calibri"/>
      <family val="2"/>
    </font>
    <font>
      <sz val="16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22"/>
      <color indexed="8"/>
      <name val="Calibri"/>
      <family val="2"/>
    </font>
    <font>
      <b/>
      <sz val="18"/>
      <color indexed="8"/>
      <name val="Calibri"/>
      <family val="2"/>
    </font>
    <font>
      <sz val="8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2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1"/>
      <color rgb="FFFF0000"/>
      <name val="Calibri"/>
      <family val="2"/>
      <scheme val="minor"/>
    </font>
    <font>
      <b/>
      <sz val="12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DotDot">
        <color indexed="64"/>
      </right>
      <top/>
      <bottom style="slantDashDot">
        <color indexed="64"/>
      </bottom>
      <diagonal/>
    </border>
    <border>
      <left style="dashDotDot">
        <color indexed="64"/>
      </left>
      <right/>
      <top/>
      <bottom style="slantDashDot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dashDotDot">
        <color indexed="64"/>
      </left>
      <right style="thin">
        <color indexed="64"/>
      </right>
      <top style="thin">
        <color indexed="64"/>
      </top>
      <bottom/>
      <diagonal/>
    </border>
    <border>
      <left style="dashDotDot">
        <color indexed="64"/>
      </left>
      <right style="dashDotDot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154">
    <xf numFmtId="0" fontId="0" fillId="0" borderId="0" xfId="0"/>
    <xf numFmtId="0" fontId="4" fillId="0" borderId="0" xfId="0" applyFont="1"/>
    <xf numFmtId="0" fontId="5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0" fontId="6" fillId="0" borderId="0" xfId="0" applyFont="1"/>
    <xf numFmtId="0" fontId="7" fillId="0" borderId="10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7" fillId="0" borderId="23" xfId="0" applyFont="1" applyBorder="1" applyAlignment="1">
      <alignment horizontal="center" vertical="center" wrapText="1"/>
    </xf>
    <xf numFmtId="0" fontId="3" fillId="0" borderId="28" xfId="0" applyFont="1" applyBorder="1"/>
    <xf numFmtId="0" fontId="0" fillId="0" borderId="28" xfId="0" applyBorder="1" applyAlignment="1">
      <alignment horizontal="center" wrapText="1"/>
    </xf>
    <xf numFmtId="0" fontId="0" fillId="0" borderId="22" xfId="0" applyBorder="1"/>
    <xf numFmtId="0" fontId="0" fillId="0" borderId="11" xfId="0" applyBorder="1"/>
    <xf numFmtId="0" fontId="3" fillId="0" borderId="13" xfId="0" applyFont="1" applyBorder="1"/>
    <xf numFmtId="2" fontId="0" fillId="0" borderId="1" xfId="0" applyNumberFormat="1" applyBorder="1"/>
    <xf numFmtId="0" fontId="0" fillId="0" borderId="27" xfId="0" applyBorder="1"/>
    <xf numFmtId="0" fontId="3" fillId="0" borderId="17" xfId="0" applyFont="1" applyBorder="1"/>
    <xf numFmtId="0" fontId="1" fillId="0" borderId="13" xfId="0" applyFont="1" applyBorder="1"/>
    <xf numFmtId="0" fontId="1" fillId="0" borderId="17" xfId="0" applyFont="1" applyBorder="1"/>
    <xf numFmtId="0" fontId="1" fillId="0" borderId="0" xfId="0" applyFont="1"/>
    <xf numFmtId="0" fontId="3" fillId="0" borderId="0" xfId="0" applyFont="1" applyAlignment="1">
      <alignment horizontal="center"/>
    </xf>
    <xf numFmtId="166" fontId="0" fillId="0" borderId="29" xfId="0" applyNumberFormat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8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12" fillId="0" borderId="26" xfId="0" applyFont="1" applyBorder="1" applyProtection="1">
      <protection locked="0"/>
    </xf>
    <xf numFmtId="0" fontId="12" fillId="6" borderId="28" xfId="0" applyFont="1" applyFill="1" applyBorder="1" applyProtection="1">
      <protection locked="0"/>
    </xf>
    <xf numFmtId="4" fontId="12" fillId="6" borderId="28" xfId="0" applyNumberFormat="1" applyFont="1" applyFill="1" applyBorder="1" applyProtection="1">
      <protection locked="0"/>
    </xf>
    <xf numFmtId="0" fontId="12" fillId="0" borderId="30" xfId="0" applyFont="1" applyBorder="1" applyProtection="1">
      <protection locked="0"/>
    </xf>
    <xf numFmtId="43" fontId="12" fillId="0" borderId="32" xfId="0" applyNumberFormat="1" applyFont="1" applyBorder="1" applyProtection="1">
      <protection locked="0"/>
    </xf>
    <xf numFmtId="14" fontId="12" fillId="0" borderId="31" xfId="0" applyNumberFormat="1" applyFont="1" applyBorder="1" applyProtection="1">
      <protection locked="0"/>
    </xf>
    <xf numFmtId="0" fontId="12" fillId="0" borderId="28" xfId="0" applyFont="1" applyBorder="1" applyProtection="1">
      <protection locked="0"/>
    </xf>
    <xf numFmtId="165" fontId="12" fillId="0" borderId="28" xfId="1" applyFont="1" applyBorder="1" applyProtection="1">
      <protection locked="0"/>
    </xf>
    <xf numFmtId="165" fontId="12" fillId="0" borderId="32" xfId="1" applyFont="1" applyBorder="1" applyProtection="1">
      <protection locked="0"/>
    </xf>
    <xf numFmtId="165" fontId="12" fillId="0" borderId="15" xfId="1" applyFont="1" applyBorder="1" applyProtection="1">
      <protection locked="0"/>
    </xf>
    <xf numFmtId="165" fontId="12" fillId="0" borderId="22" xfId="1" applyFont="1" applyBorder="1" applyProtection="1">
      <protection locked="0"/>
    </xf>
    <xf numFmtId="165" fontId="12" fillId="6" borderId="28" xfId="1" applyFont="1" applyFill="1" applyBorder="1" applyProtection="1">
      <protection locked="0"/>
    </xf>
    <xf numFmtId="14" fontId="0" fillId="0" borderId="33" xfId="0" applyNumberFormat="1" applyBorder="1" applyProtection="1">
      <protection locked="0"/>
    </xf>
    <xf numFmtId="1" fontId="0" fillId="0" borderId="0" xfId="0" applyNumberFormat="1" applyProtection="1">
      <protection locked="0"/>
    </xf>
    <xf numFmtId="43" fontId="16" fillId="0" borderId="32" xfId="0" applyNumberFormat="1" applyFont="1" applyBorder="1" applyProtection="1">
      <protection locked="0"/>
    </xf>
    <xf numFmtId="0" fontId="12" fillId="9" borderId="28" xfId="0" applyFont="1" applyFill="1" applyBorder="1" applyProtection="1">
      <protection locked="0"/>
    </xf>
    <xf numFmtId="4" fontId="12" fillId="9" borderId="28" xfId="0" applyNumberFormat="1" applyFont="1" applyFill="1" applyBorder="1" applyProtection="1">
      <protection locked="0"/>
    </xf>
    <xf numFmtId="43" fontId="17" fillId="0" borderId="32" xfId="0" applyNumberFormat="1" applyFont="1" applyBorder="1" applyProtection="1">
      <protection locked="0"/>
    </xf>
    <xf numFmtId="0" fontId="0" fillId="0" borderId="34" xfId="0" applyBorder="1" applyProtection="1">
      <protection locked="0"/>
    </xf>
    <xf numFmtId="0" fontId="12" fillId="0" borderId="14" xfId="0" applyFont="1" applyBorder="1" applyProtection="1">
      <protection locked="0"/>
    </xf>
    <xf numFmtId="0" fontId="12" fillId="0" borderId="1" xfId="0" applyFont="1" applyBorder="1" applyProtection="1">
      <protection locked="0"/>
    </xf>
    <xf numFmtId="4" fontId="12" fillId="0" borderId="1" xfId="0" applyNumberFormat="1" applyFont="1" applyBorder="1" applyProtection="1">
      <protection locked="0"/>
    </xf>
    <xf numFmtId="0" fontId="12" fillId="0" borderId="20" xfId="0" applyFont="1" applyBorder="1" applyProtection="1">
      <protection locked="0"/>
    </xf>
    <xf numFmtId="43" fontId="12" fillId="0" borderId="24" xfId="0" applyNumberFormat="1" applyFont="1" applyBorder="1" applyProtection="1">
      <protection locked="0"/>
    </xf>
    <xf numFmtId="14" fontId="12" fillId="0" borderId="25" xfId="0" applyNumberFormat="1" applyFont="1" applyBorder="1" applyProtection="1">
      <protection locked="0"/>
    </xf>
    <xf numFmtId="14" fontId="0" fillId="0" borderId="36" xfId="0" applyNumberFormat="1" applyBorder="1" applyProtection="1">
      <protection locked="0"/>
    </xf>
    <xf numFmtId="0" fontId="12" fillId="0" borderId="0" xfId="0" applyFont="1" applyProtection="1">
      <protection locked="0"/>
    </xf>
    <xf numFmtId="4" fontId="3" fillId="0" borderId="21" xfId="0" applyNumberFormat="1" applyFont="1" applyBorder="1" applyProtection="1">
      <protection locked="0"/>
    </xf>
    <xf numFmtId="43" fontId="12" fillId="0" borderId="0" xfId="0" applyNumberFormat="1" applyFont="1" applyProtection="1">
      <protection locked="0"/>
    </xf>
    <xf numFmtId="14" fontId="12" fillId="0" borderId="0" xfId="0" applyNumberFormat="1" applyFont="1" applyProtection="1">
      <protection locked="0"/>
    </xf>
    <xf numFmtId="165" fontId="12" fillId="0" borderId="0" xfId="1" applyFont="1" applyBorder="1" applyProtection="1">
      <protection locked="0"/>
    </xf>
    <xf numFmtId="165" fontId="3" fillId="0" borderId="21" xfId="1" applyFont="1" applyBorder="1" applyProtection="1">
      <protection locked="0"/>
    </xf>
    <xf numFmtId="4" fontId="12" fillId="0" borderId="0" xfId="0" applyNumberFormat="1" applyFont="1" applyProtection="1">
      <protection locked="0"/>
    </xf>
    <xf numFmtId="165" fontId="12" fillId="0" borderId="0" xfId="0" applyNumberFormat="1" applyFont="1" applyProtection="1">
      <protection locked="0"/>
    </xf>
    <xf numFmtId="165" fontId="12" fillId="6" borderId="0" xfId="1" applyFont="1" applyFill="1" applyBorder="1" applyProtection="1">
      <protection locked="0"/>
    </xf>
    <xf numFmtId="4" fontId="0" fillId="0" borderId="0" xfId="0" applyNumberFormat="1" applyProtection="1">
      <protection locked="0"/>
    </xf>
    <xf numFmtId="165" fontId="14" fillId="0" borderId="0" xfId="1" applyFont="1" applyAlignment="1" applyProtection="1">
      <alignment horizontal="center" vertical="center"/>
    </xf>
    <xf numFmtId="0" fontId="0" fillId="0" borderId="0" xfId="0" applyAlignment="1">
      <alignment horizontal="right"/>
    </xf>
    <xf numFmtId="0" fontId="0" fillId="6" borderId="0" xfId="0" applyFill="1"/>
    <xf numFmtId="0" fontId="14" fillId="7" borderId="37" xfId="0" applyFont="1" applyFill="1" applyBorder="1"/>
    <xf numFmtId="14" fontId="0" fillId="0" borderId="0" xfId="0" applyNumberFormat="1"/>
    <xf numFmtId="0" fontId="6" fillId="6" borderId="0" xfId="0" applyFont="1" applyFill="1"/>
    <xf numFmtId="0" fontId="6" fillId="0" borderId="38" xfId="0" applyFont="1" applyBorder="1"/>
    <xf numFmtId="0" fontId="7" fillId="0" borderId="39" xfId="0" applyFont="1" applyBorder="1"/>
    <xf numFmtId="0" fontId="6" fillId="0" borderId="40" xfId="0" applyFont="1" applyBorder="1"/>
    <xf numFmtId="0" fontId="6" fillId="0" borderId="2" xfId="0" applyFont="1" applyBorder="1"/>
    <xf numFmtId="0" fontId="6" fillId="0" borderId="3" xfId="0" applyFont="1" applyBorder="1"/>
    <xf numFmtId="0" fontId="6" fillId="0" borderId="39" xfId="0" applyFont="1" applyBorder="1"/>
    <xf numFmtId="0" fontId="14" fillId="0" borderId="0" xfId="0" applyFont="1"/>
    <xf numFmtId="0" fontId="14" fillId="0" borderId="0" xfId="0" applyFont="1" applyAlignment="1">
      <alignment horizontal="center"/>
    </xf>
    <xf numFmtId="14" fontId="14" fillId="0" borderId="0" xfId="0" applyNumberFormat="1" applyFont="1" applyAlignment="1">
      <alignment horizontal="center"/>
    </xf>
    <xf numFmtId="0" fontId="11" fillId="0" borderId="4" xfId="0" applyFont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 vertical="center" wrapText="1"/>
    </xf>
    <xf numFmtId="0" fontId="13" fillId="6" borderId="5" xfId="0" applyFont="1" applyFill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1" fillId="0" borderId="8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11" fillId="0" borderId="18" xfId="0" applyFont="1" applyBorder="1" applyAlignment="1">
      <alignment horizontal="center" vertical="center" wrapText="1"/>
    </xf>
    <xf numFmtId="0" fontId="11" fillId="0" borderId="19" xfId="0" applyFont="1" applyBorder="1" applyAlignment="1">
      <alignment horizontal="center" vertical="center" wrapText="1"/>
    </xf>
    <xf numFmtId="0" fontId="11" fillId="6" borderId="9" xfId="0" applyFont="1" applyFill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0" fontId="11" fillId="0" borderId="10" xfId="0" applyFont="1" applyBorder="1" applyAlignment="1">
      <alignment horizontal="center" vertical="center" wrapText="1"/>
    </xf>
    <xf numFmtId="4" fontId="14" fillId="0" borderId="0" xfId="0" applyNumberFormat="1" applyFont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12" fillId="0" borderId="26" xfId="0" applyFont="1" applyBorder="1"/>
    <xf numFmtId="0" fontId="12" fillId="6" borderId="28" xfId="0" applyFont="1" applyFill="1" applyBorder="1"/>
    <xf numFmtId="4" fontId="12" fillId="6" borderId="28" xfId="0" applyNumberFormat="1" applyFont="1" applyFill="1" applyBorder="1"/>
    <xf numFmtId="0" fontId="12" fillId="0" borderId="30" xfId="0" applyFont="1" applyBorder="1"/>
    <xf numFmtId="43" fontId="12" fillId="0" borderId="32" xfId="0" applyNumberFormat="1" applyFont="1" applyBorder="1"/>
    <xf numFmtId="14" fontId="12" fillId="0" borderId="31" xfId="0" applyNumberFormat="1" applyFont="1" applyBorder="1"/>
    <xf numFmtId="0" fontId="12" fillId="0" borderId="28" xfId="0" applyFont="1" applyBorder="1"/>
    <xf numFmtId="14" fontId="0" fillId="0" borderId="33" xfId="0" applyNumberFormat="1" applyBorder="1"/>
    <xf numFmtId="1" fontId="0" fillId="0" borderId="0" xfId="0" applyNumberFormat="1"/>
    <xf numFmtId="0" fontId="18" fillId="8" borderId="0" xfId="0" applyFont="1" applyFill="1" applyProtection="1">
      <protection locked="0"/>
    </xf>
    <xf numFmtId="0" fontId="15" fillId="0" borderId="0" xfId="0" applyFont="1" applyProtection="1">
      <protection locked="0"/>
    </xf>
    <xf numFmtId="165" fontId="12" fillId="0" borderId="28" xfId="1" applyFont="1" applyBorder="1" applyProtection="1"/>
    <xf numFmtId="165" fontId="12" fillId="0" borderId="1" xfId="1" applyFont="1" applyBorder="1" applyProtection="1">
      <protection locked="0"/>
    </xf>
    <xf numFmtId="165" fontId="12" fillId="0" borderId="32" xfId="1" applyFont="1" applyBorder="1" applyProtection="1"/>
    <xf numFmtId="165" fontId="12" fillId="0" borderId="24" xfId="1" applyFont="1" applyBorder="1" applyProtection="1">
      <protection locked="0"/>
    </xf>
    <xf numFmtId="165" fontId="12" fillId="0" borderId="15" xfId="1" applyFont="1" applyBorder="1" applyProtection="1"/>
    <xf numFmtId="165" fontId="12" fillId="0" borderId="12" xfId="1" applyFont="1" applyBorder="1" applyProtection="1">
      <protection locked="0"/>
    </xf>
    <xf numFmtId="165" fontId="12" fillId="0" borderId="22" xfId="1" applyFont="1" applyBorder="1" applyProtection="1"/>
    <xf numFmtId="165" fontId="12" fillId="0" borderId="13" xfId="1" applyFont="1" applyBorder="1" applyProtection="1">
      <protection locked="0"/>
    </xf>
    <xf numFmtId="165" fontId="12" fillId="6" borderId="28" xfId="1" applyFont="1" applyFill="1" applyBorder="1" applyProtection="1"/>
    <xf numFmtId="165" fontId="12" fillId="9" borderId="28" xfId="1" applyFont="1" applyFill="1" applyBorder="1" applyProtection="1">
      <protection locked="0"/>
    </xf>
    <xf numFmtId="165" fontId="16" fillId="0" borderId="28" xfId="1" applyFont="1" applyBorder="1" applyProtection="1">
      <protection locked="0"/>
    </xf>
    <xf numFmtId="165" fontId="17" fillId="0" borderId="28" xfId="1" applyFont="1" applyBorder="1" applyProtection="1">
      <protection locked="0"/>
    </xf>
    <xf numFmtId="165" fontId="20" fillId="0" borderId="32" xfId="1" applyFont="1" applyBorder="1" applyProtection="1">
      <protection locked="0"/>
    </xf>
    <xf numFmtId="0" fontId="20" fillId="0" borderId="28" xfId="0" applyFont="1" applyBorder="1" applyProtection="1">
      <protection locked="0"/>
    </xf>
    <xf numFmtId="165" fontId="20" fillId="0" borderId="28" xfId="1" applyFont="1" applyBorder="1" applyProtection="1">
      <protection locked="0"/>
    </xf>
    <xf numFmtId="2" fontId="19" fillId="0" borderId="1" xfId="0" applyNumberFormat="1" applyFont="1" applyBorder="1" applyAlignment="1">
      <alignment horizontal="center"/>
    </xf>
    <xf numFmtId="2" fontId="21" fillId="0" borderId="1" xfId="0" applyNumberFormat="1" applyFont="1" applyBorder="1" applyAlignment="1">
      <alignment horizontal="center"/>
    </xf>
    <xf numFmtId="166" fontId="19" fillId="0" borderId="0" xfId="0" applyNumberFormat="1" applyFont="1" applyAlignment="1">
      <alignment horizontal="center"/>
    </xf>
    <xf numFmtId="166" fontId="0" fillId="7" borderId="1" xfId="0" applyNumberFormat="1" applyFill="1" applyBorder="1" applyAlignment="1">
      <alignment horizontal="center"/>
    </xf>
    <xf numFmtId="166" fontId="19" fillId="7" borderId="1" xfId="0" applyNumberFormat="1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13" xfId="0" applyFont="1" applyBorder="1"/>
    <xf numFmtId="2" fontId="0" fillId="7" borderId="1" xfId="0" applyNumberFormat="1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4" fontId="3" fillId="0" borderId="28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4" fillId="5" borderId="0" xfId="0" applyFont="1" applyFill="1" applyAlignment="1">
      <alignment horizontal="center"/>
    </xf>
    <xf numFmtId="0" fontId="3" fillId="7" borderId="16" xfId="0" applyFon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/>
    </xf>
    <xf numFmtId="0" fontId="3" fillId="7" borderId="1" xfId="0" applyFont="1" applyFill="1" applyBorder="1" applyAlignment="1">
      <alignment horizontal="center" vertical="center"/>
    </xf>
  </cellXfs>
  <cellStyles count="2">
    <cellStyle name="Normale" xfId="0" builtinId="0"/>
    <cellStyle name="Valuta" xfId="1" builtinId="4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9525</xdr:rowOff>
        </xdr:from>
        <xdr:to>
          <xdr:col>1</xdr:col>
          <xdr:colOff>1524000</xdr:colOff>
          <xdr:row>2</xdr:row>
          <xdr:rowOff>57150</xdr:rowOff>
        </xdr:to>
        <xdr:sp macro="" textlink="">
          <xdr:nvSpPr>
            <xdr:cNvPr id="1029" name="CmdNuovaRig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A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28575</xdr:rowOff>
        </xdr:from>
        <xdr:to>
          <xdr:col>3</xdr:col>
          <xdr:colOff>285750</xdr:colOff>
          <xdr:row>2</xdr:row>
          <xdr:rowOff>57150</xdr:rowOff>
        </xdr:to>
        <xdr:sp macro="" textlink="">
          <xdr:nvSpPr>
            <xdr:cNvPr id="1030" name="cmdDuplicaRigaSelezionata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A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0</xdr:row>
          <xdr:rowOff>66675</xdr:rowOff>
        </xdr:from>
        <xdr:to>
          <xdr:col>4</xdr:col>
          <xdr:colOff>866775</xdr:colOff>
          <xdr:row>2</xdr:row>
          <xdr:rowOff>114300</xdr:rowOff>
        </xdr:to>
        <xdr:sp macro="" textlink="">
          <xdr:nvSpPr>
            <xdr:cNvPr id="1032" name="CmdEliminaERipristinaRiga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A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95250</xdr:rowOff>
        </xdr:from>
        <xdr:to>
          <xdr:col>13</xdr:col>
          <xdr:colOff>285750</xdr:colOff>
          <xdr:row>2</xdr:row>
          <xdr:rowOff>142875</xdr:rowOff>
        </xdr:to>
        <xdr:sp macro="" textlink="">
          <xdr:nvSpPr>
            <xdr:cNvPr id="1034" name="CmdSelezionaTabell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A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T14"/>
  <sheetViews>
    <sheetView zoomScaleNormal="100" zoomScaleSheetLayoutView="90" workbookViewId="0">
      <selection activeCell="C7" sqref="A7:XFD7"/>
    </sheetView>
  </sheetViews>
  <sheetFormatPr defaultRowHeight="15" x14ac:dyDescent="0.25"/>
  <cols>
    <col min="1" max="1" width="2.140625" style="30" bestFit="1" customWidth="1"/>
    <col min="2" max="2" width="23.28515625" style="31" bestFit="1" customWidth="1"/>
    <col min="3" max="3" width="17.7109375" style="31" bestFit="1" customWidth="1"/>
    <col min="4" max="4" width="12.28515625" style="31" bestFit="1" customWidth="1"/>
    <col min="5" max="5" width="15" style="31" bestFit="1" customWidth="1"/>
    <col min="6" max="6" width="12.5703125" style="31" customWidth="1"/>
    <col min="7" max="7" width="11.85546875" style="31" bestFit="1" customWidth="1"/>
    <col min="8" max="9" width="15" style="31" bestFit="1" customWidth="1"/>
    <col min="10" max="10" width="17.28515625" style="31" bestFit="1" customWidth="1"/>
    <col min="11" max="11" width="15" style="31" bestFit="1" customWidth="1"/>
    <col min="12" max="12" width="12.5703125" style="31" bestFit="1" customWidth="1"/>
    <col min="13" max="13" width="11" style="31" bestFit="1" customWidth="1"/>
    <col min="14" max="14" width="22.42578125" style="31" bestFit="1" customWidth="1"/>
    <col min="15" max="15" width="17.140625" style="31" bestFit="1" customWidth="1"/>
    <col min="16" max="16" width="15" style="31" bestFit="1" customWidth="1"/>
    <col min="17" max="17" width="12.5703125" style="31" bestFit="1" customWidth="1"/>
    <col min="18" max="18" width="11" style="31" bestFit="1" customWidth="1"/>
    <col min="19" max="19" width="12.42578125" style="31" bestFit="1" customWidth="1"/>
    <col min="20" max="20" width="21.85546875" style="31" bestFit="1" customWidth="1"/>
    <col min="21" max="21" width="20.5703125" style="31" bestFit="1" customWidth="1"/>
    <col min="22" max="22" width="27.28515625" style="31" bestFit="1" customWidth="1"/>
    <col min="23" max="23" width="19" style="31" bestFit="1" customWidth="1"/>
    <col min="24" max="24" width="17.85546875" style="31" bestFit="1" customWidth="1"/>
    <col min="25" max="25" width="22.5703125" style="31" bestFit="1" customWidth="1"/>
    <col min="26" max="26" width="15.42578125" style="31" bestFit="1" customWidth="1"/>
    <col min="27" max="27" width="29.7109375" style="31" bestFit="1" customWidth="1"/>
    <col min="28" max="28" width="8.28515625" style="31" bestFit="1" customWidth="1"/>
    <col min="29" max="29" width="8.85546875" style="31" bestFit="1" customWidth="1"/>
    <col min="30" max="30" width="17.7109375" style="31" bestFit="1" customWidth="1"/>
    <col min="31" max="31" width="17.28515625" style="31" bestFit="1" customWidth="1"/>
    <col min="32" max="32" width="10.7109375" style="33" bestFit="1" customWidth="1"/>
    <col min="33" max="33" width="7.140625" style="33" bestFit="1" customWidth="1"/>
    <col min="34" max="34" width="8.140625" style="31" bestFit="1" customWidth="1"/>
    <col min="35" max="36" width="9.140625" style="31" customWidth="1"/>
    <col min="37" max="37" width="8.140625" style="31" bestFit="1" customWidth="1"/>
    <col min="38" max="38" width="5" style="31" bestFit="1" customWidth="1"/>
    <col min="39" max="39" width="10.7109375" style="31" bestFit="1" customWidth="1"/>
    <col min="40" max="43" width="12.28515625" style="31" customWidth="1"/>
    <col min="44" max="44" width="9.140625" style="31"/>
    <col min="45" max="45" width="3" style="31" bestFit="1" customWidth="1"/>
    <col min="46" max="46" width="5" style="31" bestFit="1" customWidth="1"/>
    <col min="47" max="16384" width="9.140625" style="31"/>
  </cols>
  <sheetData>
    <row r="1" spans="1:46" x14ac:dyDescent="0.25">
      <c r="D1" s="32"/>
    </row>
    <row r="2" spans="1:46" ht="29.25" thickBot="1" x14ac:dyDescent="0.5">
      <c r="F2" s="34" t="s">
        <v>109</v>
      </c>
      <c r="G2" s="35"/>
      <c r="H2" s="35"/>
      <c r="I2" s="35"/>
      <c r="J2" s="35"/>
      <c r="K2" s="112" t="s">
        <v>112</v>
      </c>
    </row>
    <row r="3" spans="1:46" customFormat="1" ht="15.75" thickBot="1" x14ac:dyDescent="0.3">
      <c r="A3" s="73"/>
      <c r="B3" s="74"/>
      <c r="AD3" s="75" t="s">
        <v>110</v>
      </c>
      <c r="AF3" s="76"/>
      <c r="AG3" s="76"/>
    </row>
    <row r="4" spans="1:46" customFormat="1" ht="15.75" thickBot="1" x14ac:dyDescent="0.3">
      <c r="A4" s="73"/>
      <c r="B4" s="77"/>
      <c r="C4" s="10"/>
      <c r="D4" s="10"/>
      <c r="E4" s="78"/>
      <c r="F4" s="79" t="s">
        <v>50</v>
      </c>
      <c r="G4" s="80"/>
      <c r="H4" s="10"/>
      <c r="I4" s="10"/>
      <c r="J4" s="10"/>
      <c r="K4" s="81"/>
      <c r="L4" s="82"/>
      <c r="M4" s="82"/>
      <c r="N4" s="82"/>
      <c r="O4" s="78"/>
      <c r="P4" s="83"/>
      <c r="Q4" s="83"/>
      <c r="R4" s="83"/>
      <c r="S4" s="83"/>
      <c r="T4" s="79" t="s">
        <v>46</v>
      </c>
      <c r="U4" s="83"/>
      <c r="V4" s="83"/>
      <c r="W4" s="80"/>
      <c r="X4" s="10"/>
      <c r="Y4" s="10"/>
      <c r="Z4" s="10"/>
      <c r="AA4" s="10"/>
      <c r="AB4" s="10"/>
      <c r="AD4" s="84" t="s">
        <v>103</v>
      </c>
      <c r="AE4" s="85" t="s">
        <v>81</v>
      </c>
      <c r="AF4" s="86"/>
      <c r="AG4" s="86"/>
      <c r="AH4" s="85"/>
    </row>
    <row r="5" spans="1:46" customFormat="1" ht="27.75" customHeight="1" thickBot="1" x14ac:dyDescent="0.3">
      <c r="A5" s="73"/>
      <c r="B5" s="87" t="s">
        <v>105</v>
      </c>
      <c r="C5" s="88" t="s">
        <v>36</v>
      </c>
      <c r="D5" s="89" t="e">
        <f>IF(D12=#REF!,"Kg","ERRORE KG")</f>
        <v>#REF!</v>
      </c>
      <c r="E5" s="90" t="s">
        <v>37</v>
      </c>
      <c r="F5" s="91" t="s">
        <v>48</v>
      </c>
      <c r="G5" s="92" t="s">
        <v>49</v>
      </c>
      <c r="H5" s="93" t="s">
        <v>38</v>
      </c>
      <c r="I5" s="93" t="s">
        <v>39</v>
      </c>
      <c r="J5" s="93" t="s">
        <v>40</v>
      </c>
      <c r="K5" s="94" t="s">
        <v>4</v>
      </c>
      <c r="L5" s="95" t="s">
        <v>5</v>
      </c>
      <c r="M5" s="95" t="s">
        <v>6</v>
      </c>
      <c r="N5" s="95" t="s">
        <v>75</v>
      </c>
      <c r="O5" s="90" t="s">
        <v>41</v>
      </c>
      <c r="P5" s="95" t="s">
        <v>4</v>
      </c>
      <c r="Q5" s="95" t="s">
        <v>5</v>
      </c>
      <c r="R5" s="95" t="s">
        <v>6</v>
      </c>
      <c r="S5" s="95" t="s">
        <v>58</v>
      </c>
      <c r="T5" s="91" t="s">
        <v>42</v>
      </c>
      <c r="U5" s="91" t="s">
        <v>52</v>
      </c>
      <c r="V5" s="96" t="s">
        <v>53</v>
      </c>
      <c r="W5" s="92" t="s">
        <v>43</v>
      </c>
      <c r="X5" s="88" t="e">
        <f>IF(ROUND(X12,2)=ROUND(#REF!,2),"Commissioni","ERRORE COMMISSIONI")</f>
        <v>#REF!</v>
      </c>
      <c r="Y5" s="97" t="s">
        <v>44</v>
      </c>
      <c r="Z5" s="98" t="s">
        <v>47</v>
      </c>
      <c r="AA5" s="99" t="s">
        <v>79</v>
      </c>
      <c r="AB5" s="15" t="s">
        <v>45</v>
      </c>
      <c r="AC5" s="11" t="s">
        <v>54</v>
      </c>
      <c r="AD5" s="72">
        <f>SUMIF(AD7:AD11,"OK",X7:X11)</f>
        <v>47</v>
      </c>
      <c r="AE5" s="100">
        <f>SUMIF(AD7:AD11,"OK",D7:D11)</f>
        <v>1050</v>
      </c>
      <c r="AF5" s="101"/>
      <c r="AG5" s="101"/>
      <c r="AH5" s="100"/>
      <c r="AM5" s="13">
        <f>+AD5</f>
        <v>47</v>
      </c>
      <c r="AN5" s="13"/>
      <c r="AO5" s="13"/>
      <c r="AP5" s="13"/>
      <c r="AQ5" s="13"/>
    </row>
    <row r="6" spans="1:46" customFormat="1" ht="15.75" x14ac:dyDescent="0.25">
      <c r="A6" s="73"/>
      <c r="B6" s="102"/>
      <c r="C6" s="103"/>
      <c r="D6" s="104"/>
      <c r="E6" s="105"/>
      <c r="F6" s="106"/>
      <c r="G6" s="107"/>
      <c r="H6" s="108"/>
      <c r="I6" s="108"/>
      <c r="J6" s="113"/>
      <c r="K6" s="115">
        <f ca="1">ROUND(IF(ISERROR(OFFSET(Tabella!$A$1,MATCH(H6,Tabella!$A:$A,0)-1,MATCH(J6,Tabella!$A$1:$AC$1,0)-1)=TRUE),0,+OFFSET(Tabella!$A$1,MATCH(H6,Tabella!$A:$A,0)-1,MATCH(J6,Tabella!$A$1:$AC$1,0)-1)),4)</f>
        <v>0</v>
      </c>
      <c r="L6" s="117">
        <f ca="1">ROUND(IF(ISERROR(OFFSET(Ottone!$A$1,MATCH(H6,Ottone!$A:$A,0)-1,MATCH(J6,Ottone!$A$1:$Z$1,0)-1)=TRUE),0,OFFSET(Ottone!$A$1,MATCH(H6,Ottone!$A:$A,0)-1,MATCH(J6,Ottone!$A$1:$Z$1,0)-1))*IF(E6="Ottone",1,0),4)</f>
        <v>0</v>
      </c>
      <c r="M6" s="117">
        <f ca="1">ROUND(IF(ISERROR(OFFSET(Rame!$A$1,MATCH(H6,Rame!$A:$A,0)-1,MATCH(J6,Rame!$A$1:$AA$1,0)-1)=TRUE),0,OFFSET(Rame!$A$1,MATCH(H6,Rame!$A:$A,0)-1,MATCH(J6,Rame!$A$1:$AA$1,0)-1))*IF(E6="Rame",1,0),4)</f>
        <v>0</v>
      </c>
      <c r="N6" s="117"/>
      <c r="O6" s="117">
        <f ca="1">ROUND(SUM(K6:N6),4)</f>
        <v>0</v>
      </c>
      <c r="P6" s="117">
        <f ca="1">ROUND(+IF(ISERROR(OFFSET(Tabella!$G$1,MATCH(H6,Tabella!$G:$G,0)-1,MATCH(I6,Tabella!$G$1:$FG$1,0)-1)=TRUE),0,OFFSET(Tabella!$G$1,MATCH(H6,Tabella!$G:$G,0)-1,MATCH(I6,Tabella!$G$1:$AB$1,0)-1)),4)</f>
        <v>0</v>
      </c>
      <c r="Q6" s="117">
        <f ca="1">ROUND(IF(ISERROR(OFFSET(Ottone!$F$1,MATCH(H6,Ottone!$A:$A,0)-1,MATCH(I6,Ottone!$F$1:$FF$1,0)-1)=TRUE),0,OFFSET(Ottone!$F$1,MATCH(H6,Ottone!$A:$A,0)-1,MATCH(I6,Ottone!$F$1:$FF$1,0)-1))*IF(E6="Ottone",1,0),4)</f>
        <v>0</v>
      </c>
      <c r="R6" s="117">
        <f ca="1">ROUND(IF(ISERROR(OFFSET(Rame!$F$1,MATCH(H6,Rame!$F:$F,0)-1,MATCH(I6,Rame!$F$1:$FF$1,0)-1)=TRUE),0,OFFSET(Rame!$F$1,MATCH(H6,Rame!$F:$F,0)-1,MATCH(I6,Rame!$F$1:$FF$1,0)-1))*IF(E6="Rame",1,0),4)</f>
        <v>0</v>
      </c>
      <c r="S6" s="117">
        <f ca="1">ROUND(IF(ISERROR(OFFSET(Bronzo!$A$1,MATCH(H6,Bronzo!$A:$A,0)-1,MATCH(I6,Bronzo!$A$1:$AA$1,0)-1)=TRUE),0,OFFSET(Bronzo!$A$1,MATCH(H6,Bronzo!$A:$A,0)-1,MATCH(I6,Bronzo!$A$1:$AA$1,0)-1)),4)</f>
        <v>0</v>
      </c>
      <c r="T6" s="117">
        <f t="shared" ref="T6:T10" ca="1" si="0">ROUND(SUM(P6:S6),4)</f>
        <v>0</v>
      </c>
      <c r="U6" s="115"/>
      <c r="V6" s="117">
        <v>0</v>
      </c>
      <c r="W6" s="119">
        <f t="shared" ref="W6:W10" ca="1" si="1">ROUND(+O6+T6+U6+V6,4)</f>
        <v>0</v>
      </c>
      <c r="X6" s="121">
        <f t="shared" ref="X6:X10" si="2">ROUND(+J6*D6,4)</f>
        <v>0</v>
      </c>
      <c r="Y6" s="113"/>
      <c r="Z6" s="113">
        <f t="shared" ref="Z6:Z10" ca="1" si="3">ROUND(+Y6-W6-F6,4)</f>
        <v>0</v>
      </c>
      <c r="AA6" s="109"/>
      <c r="AF6" s="76">
        <f ca="1">TODAY()</f>
        <v>46237</v>
      </c>
      <c r="AG6" s="76" t="b">
        <f>ISBLANK(AA6)</f>
        <v>1</v>
      </c>
      <c r="AH6" s="110" t="str">
        <f>IF(AG6=FALSE,_xlfn.DAYS(AA6,AF6),"")</f>
        <v/>
      </c>
      <c r="AK6">
        <f>WEEKNUM(AA6)</f>
        <v>0</v>
      </c>
      <c r="AL6">
        <f>YEAR(AA6)</f>
        <v>1900</v>
      </c>
      <c r="AS6">
        <f>IF(AA6="",0,MONTH(AA6))</f>
        <v>0</v>
      </c>
      <c r="AT6">
        <f>IF(AA6="",0,YEAR(AA6))</f>
        <v>0</v>
      </c>
    </row>
    <row r="7" spans="1:46" ht="15.75" x14ac:dyDescent="0.25">
      <c r="B7" s="36" t="s">
        <v>114</v>
      </c>
      <c r="C7" s="37" t="s">
        <v>80</v>
      </c>
      <c r="D7" s="38">
        <v>550</v>
      </c>
      <c r="E7" s="39" t="s">
        <v>4</v>
      </c>
      <c r="F7" s="40">
        <v>2.4700000000000002</v>
      </c>
      <c r="G7" s="41">
        <v>45727</v>
      </c>
      <c r="H7" s="126" t="s">
        <v>23</v>
      </c>
      <c r="I7" s="42" t="s">
        <v>7</v>
      </c>
      <c r="J7" s="127">
        <v>0.04</v>
      </c>
      <c r="K7" s="125">
        <f ca="1">ROUND(IF(ISERROR(OFFSET(Tabella!$A$1,MATCH(H7,Tabella!$A:$A,0)-1,MATCH(J7,Tabella!$A$1:$AC$1,0)-1)=TRUE),0,+OFFSET(Tabella!$A$1,MATCH(H7,Tabella!$A:$A,0)-1,MATCH(J7,Tabella!$A$1:$AC$1,0)-1)),4)</f>
        <v>0</v>
      </c>
      <c r="L7" s="45">
        <f ca="1">ROUND(IF(ISERROR(OFFSET(Ottone!$A$1,MATCH(H7,Ottone!$A:$A,0)-1,MATCH(J7,Ottone!$A$1:$Z$1,0)-1)=TRUE),0,OFFSET(Ottone!$A$1,MATCH(H7,Ottone!$A:$A,0)-1,MATCH(J7,Ottone!$A$1:$Z$1,0)-1))*IF(E7="Ottone",1,0),4)</f>
        <v>0</v>
      </c>
      <c r="M7" s="45">
        <f ca="1">ROUND(IF(ISERROR(OFFSET(Rame!$A$1,MATCH(H7,Rame!$A:$A,0)-1,MATCH(J7,Rame!$A$1:$AA$1,0)-1)=TRUE),0,OFFSET(Rame!$A$1,MATCH(H7,Rame!$A:$A,0)-1,MATCH(J7,Rame!$A$1:$AA$1,0)-1))*IF(E7="Rame",1,0),4)</f>
        <v>0</v>
      </c>
      <c r="N7" s="45">
        <v>0</v>
      </c>
      <c r="O7" s="45">
        <v>1.5</v>
      </c>
      <c r="P7" s="45">
        <f ca="1">ROUND(+IF(ISERROR(OFFSET(Tabella!$G$1,MATCH(H7,Tabella!$G:$G,0)-1,MATCH(I7,Tabella!$G$1:$FG$1,0)-1)=TRUE),0,OFFSET(Tabella!$G$1,MATCH(H7,Tabella!$G:$G,0)-1,MATCH(I7,Tabella!$G$1:$AB$1,0)-1)),4)</f>
        <v>0.2</v>
      </c>
      <c r="Q7" s="45">
        <f ca="1">ROUND(IF(ISERROR(OFFSET(Ottone!$F$1,MATCH(H7,Ottone!$A:$A,0)-1,MATCH(I7,Ottone!$F$1:$FF$1,0)-1)=TRUE),0,OFFSET(Ottone!$F$1,MATCH(H7,Ottone!$A:$A,0)-1,MATCH(I7,Ottone!$F$1:$FF$1,0)-1))*IF(E7="Ottone",1,0),4)</f>
        <v>0</v>
      </c>
      <c r="R7" s="45">
        <f ca="1">ROUND(IF(ISERROR(OFFSET(Rame!$F$1,MATCH(H7,Rame!$F:$F,0)-1,MATCH(I7,Rame!$F$1:$FF$1,0)-1)=TRUE),0,OFFSET(Rame!$F$1,MATCH(H7,Rame!$F:$F,0)-1,MATCH(I7,Rame!$F$1:$FF$1,0)-1))*IF(E7="Rame",1,0),4)</f>
        <v>0</v>
      </c>
      <c r="S7" s="45">
        <f ca="1">ROUND(IF(ISERROR(OFFSET(Bronzo!$A$1,MATCH(H7,Bronzo!$A:$A,0)-1,MATCH(I7,Bronzo!$A$1:$AA$1,0)-1)=TRUE),0,OFFSET(Bronzo!$A$1,MATCH(H7,Bronzo!$A:$A,0)-1,MATCH(I7,Bronzo!$A$1:$AA$1,0)-1)),4)</f>
        <v>0</v>
      </c>
      <c r="T7" s="45">
        <f t="shared" ca="1" si="0"/>
        <v>0.2</v>
      </c>
      <c r="U7" s="44"/>
      <c r="V7" s="45">
        <v>0</v>
      </c>
      <c r="W7" s="46">
        <f t="shared" ca="1" si="1"/>
        <v>1.7</v>
      </c>
      <c r="X7" s="47">
        <f t="shared" si="2"/>
        <v>22</v>
      </c>
      <c r="Y7" s="43">
        <v>4</v>
      </c>
      <c r="Z7" s="43">
        <f t="shared" ca="1" si="3"/>
        <v>-0.17</v>
      </c>
      <c r="AA7" s="48"/>
      <c r="AD7" s="31" t="s">
        <v>106</v>
      </c>
      <c r="AE7" s="31" t="s">
        <v>107</v>
      </c>
      <c r="AF7" s="33">
        <f t="shared" ref="AF7" ca="1" si="4">TODAY()</f>
        <v>46237</v>
      </c>
      <c r="AG7" s="33" t="b">
        <f t="shared" ref="AG7" si="5">ISBLANK(AA7)</f>
        <v>1</v>
      </c>
      <c r="AH7" s="49" t="str">
        <f t="shared" ref="AH7" si="6">IF(AG7=FALSE,_xlfn.DAYS(AA7,AF7),"")</f>
        <v/>
      </c>
      <c r="AK7" s="31">
        <f t="shared" ref="AK7" si="7">WEEKNUM(AA7)</f>
        <v>0</v>
      </c>
      <c r="AL7" s="31">
        <f t="shared" ref="AL7" si="8">YEAR(AA7)</f>
        <v>1900</v>
      </c>
      <c r="AS7" s="31">
        <f t="shared" ref="AS7" si="9">IF(AA7="",0,MONTH(AA7))</f>
        <v>0</v>
      </c>
      <c r="AT7" s="31">
        <f t="shared" ref="AT7" si="10">IF(AA7="",0,YEAR(AA7))</f>
        <v>0</v>
      </c>
    </row>
    <row r="8" spans="1:46" ht="15.75" x14ac:dyDescent="0.25">
      <c r="B8" s="36" t="s">
        <v>115</v>
      </c>
      <c r="C8" s="37" t="s">
        <v>76</v>
      </c>
      <c r="D8" s="38">
        <v>500</v>
      </c>
      <c r="E8" s="39" t="s">
        <v>6</v>
      </c>
      <c r="F8" s="40">
        <v>2.2599999999999998</v>
      </c>
      <c r="G8" s="41">
        <v>45931</v>
      </c>
      <c r="H8" s="42" t="s">
        <v>10</v>
      </c>
      <c r="I8" s="42" t="s">
        <v>7</v>
      </c>
      <c r="J8" s="43">
        <v>0.05</v>
      </c>
      <c r="K8" s="44">
        <f ca="1">ROUND(IF(ISERROR(OFFSET(Tabella!$A$1,MATCH(H8,Tabella!$A:$A,0)-1,MATCH(J8,Tabella!$A$1:$AC$1,0)-1)=TRUE),0,+OFFSET(Tabella!$A$1,MATCH(H8,Tabella!$A:$A,0)-1,MATCH(J8,Tabella!$A$1:$AC$1,0)-1)),4)</f>
        <v>0</v>
      </c>
      <c r="L8" s="45">
        <f ca="1">ROUND(IF(ISERROR(OFFSET(Ottone!$A$1,MATCH(H8,Ottone!$A:$A,0)-1,MATCH(J8,Ottone!$A$1:$Z$1,0)-1)=TRUE),0,OFFSET(Ottone!$A$1,MATCH(H8,Ottone!$A:$A,0)-1,MATCH(J8,Ottone!$A$1:$Z$1,0)-1))*IF(E8="Ottone",1,0),4)</f>
        <v>0</v>
      </c>
      <c r="M8" s="45">
        <f ca="1">ROUND(IF(ISERROR(OFFSET(Rame!$A$1,MATCH(H8,Rame!$A:$A,0)-1,MATCH(J8,Rame!$A$1:$AA$1,0)-1)=TRUE),0,OFFSET(Rame!$A$1,MATCH(H8,Rame!$A:$A,0)-1,MATCH(J8,Rame!$A$1:$AA$1,0)-1))*IF(E8="Rame",1,0),4)</f>
        <v>0</v>
      </c>
      <c r="N8" s="45">
        <v>0</v>
      </c>
      <c r="O8" s="45">
        <v>1.5</v>
      </c>
      <c r="P8" s="45">
        <f ca="1">ROUND(+IF(ISERROR(OFFSET(Tabella!$G$1,MATCH(H8,Tabella!$G:$G,0)-1,MATCH(I8,Tabella!$G$1:$FG$1,0)-1)=TRUE),0,OFFSET(Tabella!$G$1,MATCH(H8,Tabella!$G:$G,0)-1,MATCH(I8,Tabella!$G$1:$AB$1,0)-1)),4)</f>
        <v>0</v>
      </c>
      <c r="Q8" s="45">
        <f ca="1">ROUND(IF(ISERROR(OFFSET(Ottone!$F$1,MATCH(H8,Ottone!$A:$A,0)-1,MATCH(I8,Ottone!$F$1:$FF$1,0)-1)=TRUE),0,OFFSET(Ottone!$F$1,MATCH(H8,Ottone!$A:$A,0)-1,MATCH(I8,Ottone!$F$1:$FF$1,0)-1))*IF(E8="Ottone",1,0),4)</f>
        <v>0</v>
      </c>
      <c r="R8" s="45">
        <f ca="1">ROUND(IF(ISERROR(OFFSET(Rame!$F$1,MATCH(H8,Rame!$F:$F,0)-1,MATCH(I8,Rame!$F$1:$FF$1,0)-1)=TRUE),0,OFFSET(Rame!$F$1,MATCH(H8,Rame!$F:$F,0)-1,MATCH(I8,Rame!$F$1:$FF$1,0)-1))*IF(E8="Rame",1,0),4)</f>
        <v>0.5</v>
      </c>
      <c r="S8" s="45">
        <f ca="1">ROUND(IF(ISERROR(OFFSET(Bronzo!$A$1,MATCH(H8,Bronzo!$A:$A,0)-1,MATCH(I8,Bronzo!$A$1:$AA$1,0)-1)=TRUE),0,OFFSET(Bronzo!$A$1,MATCH(H8,Bronzo!$A:$A,0)-1,MATCH(I8,Bronzo!$A$1:$AA$1,0)-1)),4)</f>
        <v>0</v>
      </c>
      <c r="T8" s="45">
        <f t="shared" ca="1" si="0"/>
        <v>0.5</v>
      </c>
      <c r="U8" s="44"/>
      <c r="V8" s="45">
        <v>0</v>
      </c>
      <c r="W8" s="46">
        <f t="shared" ca="1" si="1"/>
        <v>2</v>
      </c>
      <c r="X8" s="47">
        <f t="shared" si="2"/>
        <v>25</v>
      </c>
      <c r="Y8" s="43">
        <v>3.73</v>
      </c>
      <c r="Z8" s="43">
        <f t="shared" ca="1" si="3"/>
        <v>-0.53</v>
      </c>
      <c r="AA8" s="48"/>
      <c r="AD8" s="31" t="s">
        <v>106</v>
      </c>
      <c r="AE8" s="31" t="s">
        <v>107</v>
      </c>
      <c r="AF8" s="33">
        <f t="shared" ref="AF8" ca="1" si="11">TODAY()</f>
        <v>46237</v>
      </c>
      <c r="AG8" s="33" t="b">
        <f t="shared" ref="AG8" si="12">ISBLANK(AA8)</f>
        <v>1</v>
      </c>
      <c r="AH8" s="49" t="str">
        <f t="shared" ref="AH8" si="13">IF(AG8=FALSE,_xlfn.DAYS(AA8,AF8),"")</f>
        <v/>
      </c>
      <c r="AK8" s="31">
        <f t="shared" ref="AK8" si="14">WEEKNUM(AA8)</f>
        <v>0</v>
      </c>
      <c r="AL8" s="31">
        <f t="shared" ref="AL8" si="15">YEAR(AA8)</f>
        <v>1900</v>
      </c>
      <c r="AS8" s="31">
        <f t="shared" ref="AS8" si="16">IF(AA8="",0,MONTH(AA8))</f>
        <v>0</v>
      </c>
      <c r="AT8" s="31">
        <f t="shared" ref="AT8" si="17">IF(AA8="",0,YEAR(AA8))</f>
        <v>0</v>
      </c>
    </row>
    <row r="9" spans="1:46" ht="15.75" x14ac:dyDescent="0.25">
      <c r="B9" s="36" t="s">
        <v>113</v>
      </c>
      <c r="C9" s="51" t="s">
        <v>104</v>
      </c>
      <c r="D9" s="52">
        <v>1020</v>
      </c>
      <c r="E9" s="39" t="s">
        <v>5</v>
      </c>
      <c r="F9" s="53">
        <v>3.03</v>
      </c>
      <c r="G9" s="41">
        <v>46009</v>
      </c>
      <c r="H9" s="42" t="s">
        <v>10</v>
      </c>
      <c r="I9" s="42" t="s">
        <v>33</v>
      </c>
      <c r="J9" s="43">
        <v>0.15</v>
      </c>
      <c r="K9" s="44">
        <f ca="1">ROUND(IF(ISERROR(OFFSET(Tabella!$A$1,MATCH(H9,Tabella!$A:$A,0)-1,MATCH(J9,Tabella!$A$1:$AC$1,0)-1)=TRUE),0,+OFFSET(Tabella!$A$1,MATCH(H9,Tabella!$A:$A,0)-1,MATCH(J9,Tabella!$A$1:$AC$1,0)-1)),4)</f>
        <v>0</v>
      </c>
      <c r="L9" s="45">
        <f ca="1">ROUND(IF(ISERROR(OFFSET(Ottone!$A$1,MATCH(H9,Ottone!$A:$A,0)-1,MATCH(J9,Ottone!$A$1:$Z$1,0)-1)=TRUE),0,OFFSET(Ottone!$A$1,MATCH(H9,Ottone!$A:$A,0)-1,MATCH(J9,Ottone!$A$1:$Z$1,0)-1))*IF(E9="Ottone",1,0),4)</f>
        <v>1.2</v>
      </c>
      <c r="M9" s="45">
        <f ca="1">ROUND(IF(ISERROR(OFFSET(Rame!$A$1,MATCH(H9,Rame!$A:$A,0)-1,MATCH(J9,Rame!$A$1:$AA$1,0)-1)=TRUE),0,OFFSET(Rame!$A$1,MATCH(H9,Rame!$A:$A,0)-1,MATCH(J9,Rame!$A$1:$AA$1,0)-1))*IF(E9="Rame",1,0),4)</f>
        <v>0</v>
      </c>
      <c r="N9" s="45">
        <v>0</v>
      </c>
      <c r="O9" s="45">
        <f ca="1">ROUND(SUM(K9:N9),4)</f>
        <v>1.2</v>
      </c>
      <c r="P9" s="45">
        <f ca="1">ROUND(+IF(ISERROR(OFFSET(Tabella!$G$1,MATCH(H9,Tabella!$G:$G,0)-1,MATCH(I9,Tabella!$G$1:$FG$1,0)-1)=TRUE),0,OFFSET(Tabella!$G$1,MATCH(H9,Tabella!$G:$G,0)-1,MATCH(I9,Tabella!$G$1:$AB$1,0)-1)),4)</f>
        <v>0</v>
      </c>
      <c r="Q9" s="45">
        <f ca="1">ROUND(IF(ISERROR(OFFSET(Ottone!$F$1,MATCH(H9,Ottone!$A:$A,0)-1,MATCH(I9,Ottone!$F$1:$FF$1,0)-1)=TRUE),0,OFFSET(Ottone!$F$1,MATCH(H9,Ottone!$A:$A,0)-1,MATCH(I9,Ottone!$F$1:$FF$1,0)-1))*IF(E9="Ottone",1,0),4)</f>
        <v>0.4</v>
      </c>
      <c r="R9" s="45">
        <f ca="1">ROUND(IF(ISERROR(OFFSET(Rame!$F$1,MATCH(H9,Rame!$F:$F,0)-1,MATCH(I9,Rame!$F$1:$FF$1,0)-1)=TRUE),0,OFFSET(Rame!$F$1,MATCH(H9,Rame!$F:$F,0)-1,MATCH(I9,Rame!$F$1:$FF$1,0)-1))*IF(E9="Rame",1,0),4)</f>
        <v>0</v>
      </c>
      <c r="S9" s="45">
        <f ca="1">ROUND(IF(ISERROR(OFFSET(Bronzo!$A$1,MATCH(H9,Bronzo!$A:$A,0)-1,MATCH(I9,Bronzo!$A$1:$AA$1,0)-1)=TRUE),0,OFFSET(Bronzo!$A$1,MATCH(H9,Bronzo!$A:$A,0)-1,MATCH(I9,Bronzo!$A$1:$AA$1,0)-1)),4)</f>
        <v>0</v>
      </c>
      <c r="T9" s="45">
        <f t="shared" ca="1" si="0"/>
        <v>0.4</v>
      </c>
      <c r="U9" s="44"/>
      <c r="V9" s="45">
        <v>0</v>
      </c>
      <c r="W9" s="46">
        <f t="shared" ca="1" si="1"/>
        <v>1.6</v>
      </c>
      <c r="X9" s="122">
        <f t="shared" si="2"/>
        <v>153</v>
      </c>
      <c r="Y9" s="124">
        <v>4.63</v>
      </c>
      <c r="Z9" s="43">
        <f t="shared" ca="1" si="3"/>
        <v>0</v>
      </c>
      <c r="AA9" s="48"/>
      <c r="AF9" s="33">
        <f t="shared" ref="AF9:AF10" ca="1" si="18">TODAY()</f>
        <v>46237</v>
      </c>
      <c r="AG9" s="33" t="b">
        <f t="shared" ref="AG9:AG10" si="19">ISBLANK(AA9)</f>
        <v>1</v>
      </c>
      <c r="AH9" s="49" t="str">
        <f t="shared" ref="AH9:AH10" si="20">IF(AG9=FALSE,_xlfn.DAYS(AA9,AF9),"")</f>
        <v/>
      </c>
      <c r="AK9" s="31">
        <f t="shared" ref="AK9:AK10" si="21">WEEKNUM(AA9)</f>
        <v>0</v>
      </c>
      <c r="AL9" s="31">
        <f t="shared" ref="AL9:AL10" si="22">YEAR(AA9)</f>
        <v>1900</v>
      </c>
      <c r="AS9" s="31">
        <f t="shared" ref="AS9:AS10" si="23">IF(AA9="",0,MONTH(AA9))</f>
        <v>0</v>
      </c>
      <c r="AT9" s="31">
        <f t="shared" ref="AT9:AT10" si="24">IF(AA9="",0,YEAR(AA9))</f>
        <v>0</v>
      </c>
    </row>
    <row r="10" spans="1:46" ht="15.75" x14ac:dyDescent="0.25">
      <c r="B10" s="36" t="s">
        <v>108</v>
      </c>
      <c r="C10" s="37" t="s">
        <v>104</v>
      </c>
      <c r="D10" s="38">
        <v>900</v>
      </c>
      <c r="E10" s="39" t="s">
        <v>58</v>
      </c>
      <c r="F10" s="50">
        <v>1.6</v>
      </c>
      <c r="G10" s="41">
        <v>46009</v>
      </c>
      <c r="H10" s="42" t="s">
        <v>69</v>
      </c>
      <c r="I10" s="42" t="s">
        <v>63</v>
      </c>
      <c r="J10" s="43">
        <v>0.04</v>
      </c>
      <c r="K10" s="44">
        <f ca="1">ROUND(IF(ISERROR(OFFSET(Tabella!$A$1,MATCH(H10,Tabella!$A:$A,0)-1,MATCH(J10,Tabella!$A$1:$AC$1,0)-1)=TRUE),0,+OFFSET(Tabella!$A$1,MATCH(H10,Tabella!$A:$A,0)-1,MATCH(J10,Tabella!$A$1:$AC$1,0)-1)),4)</f>
        <v>0</v>
      </c>
      <c r="L10" s="45">
        <f ca="1">ROUND(IF(ISERROR(OFFSET(Ottone!$A$1,MATCH(H10,Ottone!$A:$A,0)-1,MATCH(J10,Ottone!$A$1:$Z$1,0)-1)=TRUE),0,OFFSET(Ottone!$A$1,MATCH(H10,Ottone!$A:$A,0)-1,MATCH(J10,Ottone!$A$1:$Z$1,0)-1))*IF(E10="Ottone",1,0),4)</f>
        <v>0</v>
      </c>
      <c r="M10" s="45">
        <f ca="1">ROUND(IF(ISERROR(OFFSET(Rame!$A$1,MATCH(H10,Rame!$A:$A,0)-1,MATCH(J10,Rame!$A$1:$AA$1,0)-1)=TRUE),0,OFFSET(Rame!$A$1,MATCH(H10,Rame!$A:$A,0)-1,MATCH(J10,Rame!$A$1:$AA$1,0)-1))*IF(E10="Rame",1,0),4)</f>
        <v>0</v>
      </c>
      <c r="N10" s="45">
        <v>0</v>
      </c>
      <c r="O10" s="45">
        <f ca="1">ROUND(SUM(K10:N10),4)</f>
        <v>0</v>
      </c>
      <c r="P10" s="45">
        <f ca="1">ROUND(+IF(ISERROR(OFFSET(Tabella!$G$1,MATCH(H10,Tabella!$G:$G,0)-1,MATCH(I10,Tabella!$G$1:$FG$1,0)-1)=TRUE),0,OFFSET(Tabella!$G$1,MATCH(H10,Tabella!$G:$G,0)-1,MATCH(I10,Tabella!$G$1:$AB$1,0)-1)),4)</f>
        <v>0</v>
      </c>
      <c r="Q10" s="45">
        <f ca="1">ROUND(IF(ISERROR(OFFSET(Ottone!$F$1,MATCH(H10,Ottone!$A:$A,0)-1,MATCH(I10,Ottone!$F$1:$FF$1,0)-1)=TRUE),0,OFFSET(Ottone!$F$1,MATCH(H10,Ottone!$A:$A,0)-1,MATCH(I10,Ottone!$F$1:$FF$1,0)-1))*IF(E10="Ottone",1,0),4)</f>
        <v>0</v>
      </c>
      <c r="R10" s="45">
        <f ca="1">ROUND(IF(ISERROR(OFFSET(Rame!$F$1,MATCH(H10,Rame!$F:$F,0)-1,MATCH(I10,Rame!$F$1:$FF$1,0)-1)=TRUE),0,OFFSET(Rame!$F$1,MATCH(H10,Rame!$F:$F,0)-1,MATCH(I10,Rame!$F$1:$FF$1,0)-1))*IF(E10="Rame",1,0),4)</f>
        <v>0</v>
      </c>
      <c r="S10" s="45">
        <f ca="1">ROUND(IF(ISERROR(OFFSET(Bronzo!$A$1,MATCH(H10,Bronzo!$A:$A,0)-1,MATCH(I10,Bronzo!$A$1:$AA$1,0)-1)=TRUE),0,OFFSET(Bronzo!$A$1,MATCH(H10,Bronzo!$A:$A,0)-1,MATCH(I10,Bronzo!$A$1:$AA$1,0)-1)),4)</f>
        <v>1.61</v>
      </c>
      <c r="T10" s="45">
        <f t="shared" ca="1" si="0"/>
        <v>1.61</v>
      </c>
      <c r="U10" s="44"/>
      <c r="V10" s="45">
        <v>0</v>
      </c>
      <c r="W10" s="46">
        <f t="shared" ca="1" si="1"/>
        <v>1.61</v>
      </c>
      <c r="X10" s="47">
        <f t="shared" si="2"/>
        <v>36</v>
      </c>
      <c r="Y10" s="123">
        <v>1.6</v>
      </c>
      <c r="Z10" s="43">
        <f t="shared" ca="1" si="3"/>
        <v>-1.61</v>
      </c>
      <c r="AA10" s="48"/>
      <c r="AE10" s="31" t="s">
        <v>107</v>
      </c>
      <c r="AF10" s="33">
        <f t="shared" ca="1" si="18"/>
        <v>46237</v>
      </c>
      <c r="AG10" s="33" t="b">
        <f t="shared" si="19"/>
        <v>1</v>
      </c>
      <c r="AH10" s="49" t="str">
        <f t="shared" si="20"/>
        <v/>
      </c>
      <c r="AK10" s="31">
        <f t="shared" si="21"/>
        <v>0</v>
      </c>
      <c r="AL10" s="31">
        <f t="shared" si="22"/>
        <v>1900</v>
      </c>
      <c r="AS10" s="31">
        <f t="shared" si="23"/>
        <v>0</v>
      </c>
      <c r="AT10" s="31">
        <f t="shared" si="24"/>
        <v>0</v>
      </c>
    </row>
    <row r="11" spans="1:46" s="54" customFormat="1" ht="15.75" x14ac:dyDescent="0.25">
      <c r="A11" s="54" t="str">
        <f t="shared" ref="A11" si="25">IF(AI11=10,"In scadenza","-")</f>
        <v>-</v>
      </c>
      <c r="B11" s="55"/>
      <c r="C11" s="56"/>
      <c r="D11" s="57"/>
      <c r="E11" s="58"/>
      <c r="F11" s="59"/>
      <c r="G11" s="60"/>
      <c r="H11" s="56"/>
      <c r="I11" s="56"/>
      <c r="J11" s="114"/>
      <c r="K11" s="116">
        <f ca="1">ROUND(IF(ISERROR(OFFSET(Tabella!$A$1,MATCH(H11,Tabella!$A:$A,0)-1,MATCH(J11,Tabella!$A$1:$AC$1,0)-1)=TRUE),0,+OFFSET(Tabella!$A$1,MATCH(H11,Tabella!$A:$A,0)-1,MATCH(J11,Tabella!$A$1:$AC$1,0)-1)),4)</f>
        <v>0</v>
      </c>
      <c r="L11" s="118">
        <f ca="1">ROUND(IF(ISERROR(OFFSET(Ottone!$A$1,MATCH(H11,Ottone!$A:$A,0)-1,MATCH(J11,Ottone!$A$1:$Z$1,0)-1)=TRUE),0,OFFSET(Ottone!$A$1,MATCH(H11,Ottone!$A:$A,0)-1,MATCH(J11,Ottone!$A$1:$Z$1,0)-1))*IF(E11="Ottone",1,0),4)</f>
        <v>0</v>
      </c>
      <c r="M11" s="118">
        <f ca="1">ROUND(IF(ISERROR(OFFSET(Rame!$A$1,MATCH(H11,Rame!$A:$A,0)-1,MATCH(J11,Rame!$A$1:$AA$1,0)-1)=TRUE),0,OFFSET(Rame!$A$1,MATCH(H11,Rame!$A:$A,0)-1,MATCH(J11,Rame!$A$1:$AA$1,0)-1))*IF(E11="Rame",1,0),4)</f>
        <v>0</v>
      </c>
      <c r="N11" s="118">
        <v>0</v>
      </c>
      <c r="O11" s="118">
        <f t="shared" ref="O11" ca="1" si="26">ROUND(SUM(K11:N11),4)</f>
        <v>0</v>
      </c>
      <c r="P11" s="118">
        <f ca="1">ROUND(+IF(ISERROR(OFFSET(Tabella!$G$1,MATCH(H11,Tabella!$G:$G,0)-1,MATCH(I11,Tabella!$G$1:$FG$1,0)-1)=TRUE),0,OFFSET(Tabella!$G$1,MATCH(H11,Tabella!$G:$G,0)-1,MATCH(I11,Tabella!$G$1:$AB$1,0)-1)),4)</f>
        <v>0</v>
      </c>
      <c r="Q11" s="118">
        <f ca="1">ROUND(IF(ISERROR(OFFSET(Ottone!$F$1,MATCH(H11,Ottone!$A:$A,0)-1,MATCH(I11,Ottone!$F$1:$FF$1,0)-1)=TRUE),0,OFFSET(Ottone!$F$1,MATCH(H11,Ottone!$A:$A,0)-1,MATCH(I11,Ottone!$F$1:$FF$1,0)-1))*IF(E11="Ottone",1,0),4)</f>
        <v>0</v>
      </c>
      <c r="R11" s="118">
        <f ca="1">ROUND(IF(ISERROR(OFFSET(Rame!$F$1,MATCH(H11,Rame!$F:$F,0)-1,MATCH(I11,Rame!$F$1:$FF$1,0)-1)=TRUE),0,OFFSET(Rame!$F$1,MATCH(H11,Rame!$F:$F,0)-1,MATCH(I11,Rame!$F$1:$FF$1,0)-1))*IF(E11="Rame",1,0),4)</f>
        <v>0</v>
      </c>
      <c r="S11" s="118">
        <f ca="1">ROUND(IF(ISERROR(OFFSET(Bronzo!$A$1,MATCH(H11,Bronzo!$A:$A,0)-1,MATCH(I11,Bronzo!$A$1:$AA$1,0)-1)=TRUE),0,OFFSET(Bronzo!$A$1,MATCH(H11,Bronzo!$A:$A,0)-1,MATCH(I11,Bronzo!$A$1:$AA$1,0)-1)),4)</f>
        <v>0</v>
      </c>
      <c r="T11" s="118">
        <f t="shared" ref="T11" ca="1" si="27">ROUND(SUM(P11:S11),4)</f>
        <v>0</v>
      </c>
      <c r="U11" s="116"/>
      <c r="V11" s="118">
        <v>0</v>
      </c>
      <c r="W11" s="120">
        <f t="shared" ref="W11" ca="1" si="28">ROUND(+O11+T11+U11+V11,4)</f>
        <v>0</v>
      </c>
      <c r="X11" s="114">
        <f t="shared" ref="X11" si="29">ROUND(+J11*D11,4)</f>
        <v>0</v>
      </c>
      <c r="Y11" s="114"/>
      <c r="Z11" s="114">
        <f t="shared" ref="Z11" ca="1" si="30">ROUND(+Y11-W11-F11,4)</f>
        <v>0</v>
      </c>
      <c r="AA11" s="61"/>
      <c r="AF11" s="33">
        <f t="shared" ref="AF11" ca="1" si="31">TODAY()</f>
        <v>46237</v>
      </c>
      <c r="AG11" s="33" t="b">
        <f t="shared" ref="AG11" si="32">ISBLANK(AA11)</f>
        <v>1</v>
      </c>
      <c r="AH11" s="49" t="str">
        <f t="shared" ref="AH11" si="33">IF(AG11=FALSE,_xlfn.DAYS(AA11,AF11),"")</f>
        <v/>
      </c>
      <c r="AI11" s="31"/>
      <c r="AJ11" s="31"/>
      <c r="AK11" s="31">
        <f t="shared" ref="AK11" si="34">WEEKNUM(AA11)</f>
        <v>0</v>
      </c>
      <c r="AL11" s="31">
        <f t="shared" ref="AL11" si="35">YEAR(AA11)</f>
        <v>1900</v>
      </c>
      <c r="AS11" s="31">
        <f t="shared" ref="AS11" si="36">IF(AA11="",0,MONTH(AA11))</f>
        <v>0</v>
      </c>
      <c r="AT11" s="31">
        <f t="shared" ref="AT11" si="37">IF(AA11="",0,YEAR(AA11))</f>
        <v>0</v>
      </c>
    </row>
    <row r="12" spans="1:46" ht="16.5" thickBot="1" x14ac:dyDescent="0.3">
      <c r="B12" s="111" t="s">
        <v>111</v>
      </c>
      <c r="C12" s="62"/>
      <c r="D12" s="63">
        <f>SUM(D7:D11)</f>
        <v>2970</v>
      </c>
      <c r="E12" s="62"/>
      <c r="F12" s="64"/>
      <c r="G12" s="65"/>
      <c r="H12" s="62"/>
      <c r="I12" s="62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7">
        <f>SUM(X7:X11)</f>
        <v>236</v>
      </c>
      <c r="Y12" s="66"/>
      <c r="Z12" s="66"/>
      <c r="AH12" s="49"/>
    </row>
    <row r="13" spans="1:46" ht="15.75" x14ac:dyDescent="0.25">
      <c r="B13" s="62"/>
      <c r="C13" s="62"/>
      <c r="D13" s="68"/>
      <c r="E13" s="62"/>
      <c r="F13" s="69"/>
      <c r="G13" s="65"/>
      <c r="H13" s="62"/>
      <c r="I13" s="62"/>
      <c r="J13" s="66"/>
      <c r="K13" s="66"/>
      <c r="L13" s="66"/>
      <c r="M13" s="66"/>
      <c r="N13" s="66"/>
      <c r="O13" s="70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</row>
    <row r="14" spans="1:46" ht="15.75" x14ac:dyDescent="0.25">
      <c r="B14" s="62"/>
      <c r="C14" s="62"/>
      <c r="D14" s="68"/>
      <c r="E14" s="62"/>
      <c r="F14" s="69"/>
      <c r="G14" s="65"/>
      <c r="H14" s="68"/>
      <c r="I14" s="62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E14" s="71"/>
      <c r="AH14" s="71"/>
    </row>
  </sheetData>
  <sheetProtection formatCells="0" insertRows="0" deleteRows="0"/>
  <autoFilter ref="A5:AM12"/>
  <dataConsolidate/>
  <phoneticPr fontId="10" type="noConversion"/>
  <conditionalFormatting sqref="D5">
    <cfRule type="containsText" dxfId="5" priority="312" stopIfTrue="1" operator="containsText" text="ERRORE KG">
      <formula>NOT(ISERROR(SEARCH("ERRORE KG",D5)))</formula>
    </cfRule>
    <cfRule type="colorScale" priority="313">
      <colorScale>
        <cfvo type="num" val="&quot;0+$C$52&quot;"/>
        <cfvo type="num" val="&quot;0+$C$88&quot;"/>
        <color rgb="FFFF7128"/>
        <color rgb="FFFFEF9C"/>
      </colorScale>
    </cfRule>
  </conditionalFormatting>
  <conditionalFormatting sqref="X5">
    <cfRule type="containsText" dxfId="4" priority="311" stopIfTrue="1" operator="containsText" text="ERRORE COMMISSIONI">
      <formula>NOT(ISERROR(SEARCH("ERRORE COMMISSIONI",X5)))</formula>
    </cfRule>
  </conditionalFormatting>
  <conditionalFormatting sqref="AA7:AA11">
    <cfRule type="expression" priority="306" stopIfTrue="1">
      <formula>AA7=0</formula>
    </cfRule>
    <cfRule type="expression" dxfId="3" priority="307" stopIfTrue="1">
      <formula>AA7&lt;TODAY()</formula>
    </cfRule>
  </conditionalFormatting>
  <conditionalFormatting sqref="A11">
    <cfRule type="containsText" dxfId="2" priority="292" operator="containsText" text="in scadenza">
      <formula>NOT(ISERROR(SEARCH("in scadenza",A11)))</formula>
    </cfRule>
  </conditionalFormatting>
  <conditionalFormatting sqref="AA6">
    <cfRule type="expression" priority="283" stopIfTrue="1">
      <formula>AA6=0</formula>
    </cfRule>
    <cfRule type="expression" dxfId="1" priority="284" stopIfTrue="1">
      <formula>AA6&lt;TODAY()</formula>
    </cfRule>
  </conditionalFormatting>
  <conditionalFormatting sqref="C7:C11">
    <cfRule type="expression" dxfId="0" priority="316">
      <formula>AND(C7&lt;&gt;"", COUNTIF(#REF!, C7)=0)</formula>
    </cfRule>
  </conditionalFormatting>
  <dataValidations xWindow="132" yWindow="413" count="6">
    <dataValidation type="list" allowBlank="1" showInputMessage="1" showErrorMessage="1" sqref="J7:J11">
      <formula1>IF(E7="Alluminio",ProvvAl3,IF(E7="Bronzo",ProvvBr,ProvvCu3))</formula1>
    </dataValidation>
    <dataValidation type="list" allowBlank="1" showInputMessage="1" showErrorMessage="1" sqref="H7:H11">
      <formula1>IF(E7="Alluminio",Alu,IF(E7="Bronzo",Br,Cu))</formula1>
    </dataValidation>
    <dataValidation type="list" allowBlank="1" showInputMessage="1" showErrorMessage="1" sqref="E7:E14">
      <formula1>Materiale2</formula1>
    </dataValidation>
    <dataValidation type="list" allowBlank="1" showInputMessage="1" showErrorMessage="1" sqref="AD6:AD11">
      <formula1>"OK"</formula1>
    </dataValidation>
    <dataValidation type="list" allowBlank="1" showInputMessage="1" showErrorMessage="1" sqref="I7:I14">
      <formula1>IF(E7="Alluminio",LargAl,IF(E7="Bronzo",LargBr,LarCu))</formula1>
    </dataValidation>
    <dataValidation type="list" allowBlank="1" showInputMessage="1" showErrorMessage="1" sqref="J12:J14">
      <formula1>IF(E12="Alluminio",ProvvAl2,IF(E12="Bronzo",ProvvBr,ProvvCu2))</formula1>
    </dataValidation>
  </dataValidations>
  <pageMargins left="0.70866141732283472" right="0.70866141732283472" top="0.74803149606299213" bottom="0.74803149606299213" header="0.31496062992125984" footer="0.31496062992125984"/>
  <pageSetup paperSize="9" scale="80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CmdSelezionaTabella">
          <controlPr defaultSize="0" autoLine="0" autoPict="0" r:id="rId5">
            <anchor moveWithCells="1">
              <from>
                <xdr:col>11</xdr:col>
                <xdr:colOff>19050</xdr:colOff>
                <xdr:row>0</xdr:row>
                <xdr:rowOff>95250</xdr:rowOff>
              </from>
              <to>
                <xdr:col>13</xdr:col>
                <xdr:colOff>285750</xdr:colOff>
                <xdr:row>2</xdr:row>
                <xdr:rowOff>142875</xdr:rowOff>
              </to>
            </anchor>
          </controlPr>
        </control>
      </mc:Choice>
      <mc:Fallback>
        <control shapeId="1034" r:id="rId4" name="CmdSelezionaTabella"/>
      </mc:Fallback>
    </mc:AlternateContent>
    <mc:AlternateContent xmlns:mc="http://schemas.openxmlformats.org/markup-compatibility/2006">
      <mc:Choice Requires="x14">
        <control shapeId="1032" r:id="rId6" name="CmdEliminaERipristinaRiga">
          <controlPr defaultSize="0" autoLine="0" r:id="rId7">
            <anchor moveWithCells="1">
              <from>
                <xdr:col>3</xdr:col>
                <xdr:colOff>428625</xdr:colOff>
                <xdr:row>0</xdr:row>
                <xdr:rowOff>66675</xdr:rowOff>
              </from>
              <to>
                <xdr:col>4</xdr:col>
                <xdr:colOff>866775</xdr:colOff>
                <xdr:row>2</xdr:row>
                <xdr:rowOff>114300</xdr:rowOff>
              </to>
            </anchor>
          </controlPr>
        </control>
      </mc:Choice>
      <mc:Fallback>
        <control shapeId="1032" r:id="rId6" name="CmdEliminaERipristinaRiga"/>
      </mc:Fallback>
    </mc:AlternateContent>
    <mc:AlternateContent xmlns:mc="http://schemas.openxmlformats.org/markup-compatibility/2006">
      <mc:Choice Requires="x14">
        <control shapeId="1030" r:id="rId8" name="cmdDuplicaRigaSelezionata">
          <controlPr defaultSize="0" autoLine="0" r:id="rId9">
            <anchor moveWithCells="1">
              <from>
                <xdr:col>2</xdr:col>
                <xdr:colOff>85725</xdr:colOff>
                <xdr:row>0</xdr:row>
                <xdr:rowOff>28575</xdr:rowOff>
              </from>
              <to>
                <xdr:col>3</xdr:col>
                <xdr:colOff>285750</xdr:colOff>
                <xdr:row>2</xdr:row>
                <xdr:rowOff>57150</xdr:rowOff>
              </to>
            </anchor>
          </controlPr>
        </control>
      </mc:Choice>
      <mc:Fallback>
        <control shapeId="1030" r:id="rId8" name="cmdDuplicaRigaSelezionata"/>
      </mc:Fallback>
    </mc:AlternateContent>
    <mc:AlternateContent xmlns:mc="http://schemas.openxmlformats.org/markup-compatibility/2006">
      <mc:Choice Requires="x14">
        <control shapeId="1029" r:id="rId10" name="CmdNuovaRiga">
          <controlPr defaultSize="0" autoLine="0" r:id="rId11">
            <anchor moveWithCells="1">
              <from>
                <xdr:col>1</xdr:col>
                <xdr:colOff>276225</xdr:colOff>
                <xdr:row>0</xdr:row>
                <xdr:rowOff>9525</xdr:rowOff>
              </from>
              <to>
                <xdr:col>1</xdr:col>
                <xdr:colOff>1524000</xdr:colOff>
                <xdr:row>2</xdr:row>
                <xdr:rowOff>57150</xdr:rowOff>
              </to>
            </anchor>
          </controlPr>
        </control>
      </mc:Choice>
      <mc:Fallback>
        <control shapeId="1029" r:id="rId10" name="CmdNuov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M59"/>
  <sheetViews>
    <sheetView tabSelected="1" workbookViewId="0">
      <selection activeCell="J15" sqref="J15"/>
    </sheetView>
  </sheetViews>
  <sheetFormatPr defaultRowHeight="15" x14ac:dyDescent="0.25"/>
  <cols>
    <col min="1" max="2" width="14.5703125" customWidth="1"/>
    <col min="3" max="3" width="12.28515625" customWidth="1"/>
    <col min="4" max="4" width="11.42578125" customWidth="1"/>
    <col min="5" max="5" width="11.5703125" customWidth="1"/>
    <col min="7" max="7" width="12.5703125" customWidth="1"/>
    <col min="9" max="9" width="12.42578125" customWidth="1"/>
    <col min="10" max="10" width="18" customWidth="1"/>
  </cols>
  <sheetData>
    <row r="1" spans="1:10" x14ac:dyDescent="0.25">
      <c r="A1" s="12"/>
      <c r="B1" s="12">
        <v>0.04</v>
      </c>
      <c r="C1" s="151">
        <v>7.0000000000000007E-2</v>
      </c>
      <c r="D1" s="12">
        <v>0.1</v>
      </c>
      <c r="E1" s="12">
        <v>0.2</v>
      </c>
      <c r="H1" t="s">
        <v>51</v>
      </c>
      <c r="I1" s="153" t="s">
        <v>7</v>
      </c>
      <c r="J1" s="4" t="s">
        <v>8</v>
      </c>
    </row>
    <row r="2" spans="1:10" x14ac:dyDescent="0.25">
      <c r="A2" s="135" t="s">
        <v>9</v>
      </c>
      <c r="B2" s="5">
        <v>0</v>
      </c>
      <c r="C2" s="152">
        <v>1.6</v>
      </c>
      <c r="D2" s="6">
        <v>1.75</v>
      </c>
      <c r="E2" s="6">
        <v>0</v>
      </c>
      <c r="G2" s="5" t="s">
        <v>9</v>
      </c>
      <c r="H2" s="5">
        <v>0</v>
      </c>
      <c r="I2" s="152">
        <v>0.4</v>
      </c>
      <c r="J2" s="6">
        <v>0.3</v>
      </c>
    </row>
    <row r="3" spans="1:10" x14ac:dyDescent="0.25">
      <c r="A3" s="5" t="s">
        <v>11</v>
      </c>
      <c r="B3" s="5">
        <v>0</v>
      </c>
      <c r="C3" s="6">
        <v>1.5</v>
      </c>
      <c r="D3" s="6">
        <v>1.65</v>
      </c>
      <c r="E3" s="6">
        <v>0</v>
      </c>
      <c r="G3" s="5" t="s">
        <v>11</v>
      </c>
      <c r="H3" s="5">
        <v>0</v>
      </c>
      <c r="I3" s="6">
        <v>0.3</v>
      </c>
      <c r="J3" s="6">
        <v>0.2</v>
      </c>
    </row>
    <row r="4" spans="1:10" x14ac:dyDescent="0.25">
      <c r="A4" s="5" t="s">
        <v>13</v>
      </c>
      <c r="B4" s="5">
        <v>0</v>
      </c>
      <c r="C4" s="6">
        <v>1.4</v>
      </c>
      <c r="D4" s="6">
        <v>1.6</v>
      </c>
      <c r="E4" s="6">
        <v>0</v>
      </c>
      <c r="G4" s="5" t="s">
        <v>13</v>
      </c>
      <c r="H4" s="5">
        <v>0</v>
      </c>
      <c r="I4" s="6">
        <v>0.3</v>
      </c>
      <c r="J4" s="6">
        <v>0.15</v>
      </c>
    </row>
    <row r="5" spans="1:10" x14ac:dyDescent="0.25">
      <c r="A5" s="5" t="s">
        <v>15</v>
      </c>
      <c r="B5" s="5">
        <v>0</v>
      </c>
      <c r="C5" s="6">
        <v>1.4</v>
      </c>
      <c r="D5" s="6">
        <v>1.6</v>
      </c>
      <c r="E5" s="6">
        <v>0</v>
      </c>
      <c r="G5" s="5" t="s">
        <v>15</v>
      </c>
      <c r="H5" s="5">
        <v>0</v>
      </c>
      <c r="I5" s="6">
        <v>0.3</v>
      </c>
      <c r="J5" s="6">
        <v>0.15</v>
      </c>
    </row>
    <row r="6" spans="1:10" x14ac:dyDescent="0.25">
      <c r="A6" s="5" t="s">
        <v>17</v>
      </c>
      <c r="B6" s="5">
        <v>0</v>
      </c>
      <c r="C6" s="6">
        <v>1.4</v>
      </c>
      <c r="D6" s="6">
        <v>1.6</v>
      </c>
      <c r="E6" s="6">
        <v>0</v>
      </c>
      <c r="G6" s="5" t="s">
        <v>17</v>
      </c>
      <c r="H6" s="5">
        <v>0</v>
      </c>
      <c r="I6" s="6">
        <v>0.25</v>
      </c>
      <c r="J6" s="6">
        <v>0.13</v>
      </c>
    </row>
    <row r="7" spans="1:10" x14ac:dyDescent="0.25">
      <c r="A7" s="5" t="s">
        <v>77</v>
      </c>
      <c r="B7" s="5">
        <v>0</v>
      </c>
      <c r="C7" s="6">
        <v>1.4</v>
      </c>
      <c r="D7" s="6">
        <v>1.6</v>
      </c>
      <c r="E7" s="6">
        <v>0</v>
      </c>
      <c r="G7" s="5"/>
      <c r="H7" s="5"/>
      <c r="I7" s="6"/>
      <c r="J7" s="6"/>
    </row>
    <row r="8" spans="1:10" x14ac:dyDescent="0.25">
      <c r="A8" s="5" t="s">
        <v>19</v>
      </c>
      <c r="B8" s="5">
        <v>0</v>
      </c>
      <c r="C8" s="6">
        <v>1.35</v>
      </c>
      <c r="D8" s="6">
        <v>1.6</v>
      </c>
      <c r="E8" s="6">
        <v>0</v>
      </c>
      <c r="G8" s="5" t="s">
        <v>19</v>
      </c>
      <c r="H8" s="5">
        <v>0</v>
      </c>
      <c r="I8" s="6">
        <v>0.2</v>
      </c>
      <c r="J8" s="6">
        <v>0.1</v>
      </c>
    </row>
    <row r="9" spans="1:10" x14ac:dyDescent="0.25">
      <c r="A9" s="5" t="s">
        <v>78</v>
      </c>
      <c r="B9" s="5">
        <v>0</v>
      </c>
      <c r="C9" s="6">
        <v>1.35</v>
      </c>
      <c r="D9" s="6">
        <v>1.45</v>
      </c>
      <c r="E9" s="6">
        <v>0</v>
      </c>
      <c r="G9" s="5"/>
      <c r="H9" s="5"/>
      <c r="I9" s="6"/>
      <c r="J9" s="6"/>
    </row>
    <row r="10" spans="1:10" x14ac:dyDescent="0.25">
      <c r="A10" s="5" t="s">
        <v>21</v>
      </c>
      <c r="B10" s="5">
        <v>0</v>
      </c>
      <c r="C10" s="6">
        <v>1.25</v>
      </c>
      <c r="D10" s="6">
        <v>1.4</v>
      </c>
      <c r="E10" s="6">
        <v>0</v>
      </c>
      <c r="G10" s="5" t="s">
        <v>21</v>
      </c>
      <c r="H10" s="5">
        <v>0</v>
      </c>
      <c r="I10" s="6">
        <v>0.2</v>
      </c>
      <c r="J10" s="6">
        <v>0.1</v>
      </c>
    </row>
    <row r="11" spans="1:10" x14ac:dyDescent="0.25">
      <c r="A11" s="5" t="s">
        <v>82</v>
      </c>
      <c r="B11" s="5">
        <v>0</v>
      </c>
      <c r="C11" s="6">
        <v>1.25</v>
      </c>
      <c r="D11" s="6">
        <v>1.4</v>
      </c>
      <c r="E11" s="6">
        <v>0</v>
      </c>
      <c r="G11" s="5">
        <v>0.65</v>
      </c>
      <c r="H11" s="5"/>
      <c r="I11" s="6"/>
      <c r="J11" s="6"/>
    </row>
    <row r="12" spans="1:10" x14ac:dyDescent="0.25">
      <c r="A12" s="5" t="s">
        <v>22</v>
      </c>
      <c r="B12" s="5">
        <v>0</v>
      </c>
      <c r="C12" s="6">
        <v>1.25</v>
      </c>
      <c r="D12" s="6">
        <v>1.4</v>
      </c>
      <c r="E12" s="6">
        <v>0</v>
      </c>
      <c r="G12" s="5" t="s">
        <v>22</v>
      </c>
      <c r="H12" s="5">
        <v>0</v>
      </c>
      <c r="I12" s="6">
        <v>0.2</v>
      </c>
      <c r="J12" s="6">
        <v>0.1</v>
      </c>
    </row>
    <row r="13" spans="1:10" x14ac:dyDescent="0.25">
      <c r="A13" s="5" t="s">
        <v>101</v>
      </c>
      <c r="B13" s="5">
        <v>0</v>
      </c>
      <c r="C13" s="6">
        <v>1.25</v>
      </c>
      <c r="D13" s="6">
        <v>1.4</v>
      </c>
      <c r="E13" s="6">
        <v>0</v>
      </c>
      <c r="G13" s="5"/>
      <c r="H13" s="5"/>
      <c r="I13" s="6"/>
      <c r="J13" s="6"/>
    </row>
    <row r="14" spans="1:10" x14ac:dyDescent="0.25">
      <c r="A14" s="5" t="s">
        <v>23</v>
      </c>
      <c r="B14" s="5">
        <v>0</v>
      </c>
      <c r="C14" s="6">
        <v>1.25</v>
      </c>
      <c r="D14" s="6">
        <v>1.4</v>
      </c>
      <c r="E14" s="6">
        <v>0</v>
      </c>
      <c r="G14" s="5" t="s">
        <v>23</v>
      </c>
      <c r="H14" s="5">
        <v>0</v>
      </c>
      <c r="I14" s="6">
        <v>0.2</v>
      </c>
      <c r="J14" s="6">
        <v>0.1</v>
      </c>
    </row>
    <row r="15" spans="1:10" x14ac:dyDescent="0.25">
      <c r="A15" s="5" t="s">
        <v>83</v>
      </c>
      <c r="B15" s="5">
        <v>0</v>
      </c>
      <c r="C15" s="6">
        <v>1.25</v>
      </c>
      <c r="D15" s="6">
        <v>1.4</v>
      </c>
      <c r="E15" s="6">
        <v>0</v>
      </c>
      <c r="G15" s="5"/>
      <c r="H15" s="5"/>
      <c r="I15" s="6"/>
      <c r="J15" s="6"/>
    </row>
    <row r="16" spans="1:10" x14ac:dyDescent="0.25">
      <c r="A16" s="5" t="s">
        <v>24</v>
      </c>
      <c r="B16" s="5">
        <v>0</v>
      </c>
      <c r="C16" s="6">
        <v>1.25</v>
      </c>
      <c r="D16" s="6">
        <v>1.4</v>
      </c>
      <c r="E16" s="6">
        <v>0</v>
      </c>
      <c r="G16" s="5" t="s">
        <v>24</v>
      </c>
      <c r="H16" s="5">
        <v>0</v>
      </c>
      <c r="I16" s="6">
        <v>0.2</v>
      </c>
      <c r="J16" s="6">
        <v>0.1</v>
      </c>
    </row>
    <row r="17" spans="1:13" x14ac:dyDescent="0.25">
      <c r="A17" s="5" t="s">
        <v>100</v>
      </c>
      <c r="B17" s="5">
        <v>0</v>
      </c>
      <c r="C17" s="6">
        <v>1.25</v>
      </c>
      <c r="D17" s="6">
        <v>1.4</v>
      </c>
      <c r="E17" s="6">
        <v>0</v>
      </c>
      <c r="G17" s="5"/>
      <c r="H17" s="5"/>
      <c r="I17" s="6"/>
      <c r="J17" s="6"/>
    </row>
    <row r="18" spans="1:13" x14ac:dyDescent="0.25">
      <c r="A18" s="5" t="s">
        <v>25</v>
      </c>
      <c r="B18" s="5">
        <v>0</v>
      </c>
      <c r="C18" s="6">
        <v>1.25</v>
      </c>
      <c r="D18" s="6">
        <v>1.4</v>
      </c>
      <c r="E18" s="6">
        <v>0</v>
      </c>
      <c r="G18" s="5" t="s">
        <v>25</v>
      </c>
      <c r="H18" s="5">
        <v>0</v>
      </c>
      <c r="I18" s="6">
        <v>0.2</v>
      </c>
      <c r="J18" s="6">
        <v>0.1</v>
      </c>
      <c r="M18" s="14">
        <f>+E2+Ottone!C2+Rame!C2</f>
        <v>2.63</v>
      </c>
    </row>
    <row r="19" spans="1:13" x14ac:dyDescent="0.25">
      <c r="A19" s="5" t="s">
        <v>97</v>
      </c>
      <c r="B19" s="5">
        <v>0</v>
      </c>
      <c r="C19" s="6">
        <v>1.25</v>
      </c>
      <c r="D19" s="6">
        <v>1.4</v>
      </c>
      <c r="E19" s="6">
        <v>0</v>
      </c>
      <c r="G19" s="5"/>
      <c r="H19" s="5"/>
      <c r="I19" s="6"/>
      <c r="J19" s="6"/>
      <c r="M19" s="14"/>
    </row>
    <row r="20" spans="1:13" x14ac:dyDescent="0.25">
      <c r="A20" s="5" t="s">
        <v>98</v>
      </c>
      <c r="B20" s="5">
        <v>0</v>
      </c>
      <c r="C20" s="6">
        <v>1.25</v>
      </c>
      <c r="D20" s="6">
        <v>1.4</v>
      </c>
      <c r="E20" s="6">
        <v>0</v>
      </c>
      <c r="G20" s="5"/>
      <c r="H20" s="5"/>
      <c r="I20" s="6"/>
      <c r="J20" s="6"/>
      <c r="M20" s="14"/>
    </row>
    <row r="21" spans="1:13" x14ac:dyDescent="0.25">
      <c r="A21" s="5" t="s">
        <v>99</v>
      </c>
      <c r="B21" s="5">
        <v>0</v>
      </c>
      <c r="C21" s="6">
        <v>1.25</v>
      </c>
      <c r="D21" s="6">
        <v>1.4</v>
      </c>
      <c r="E21" s="6">
        <v>0</v>
      </c>
      <c r="G21" s="5"/>
      <c r="H21" s="5"/>
      <c r="I21" s="6"/>
      <c r="J21" s="6"/>
      <c r="M21" s="14"/>
    </row>
    <row r="22" spans="1:13" x14ac:dyDescent="0.25">
      <c r="A22" s="5" t="s">
        <v>26</v>
      </c>
      <c r="B22" s="5">
        <v>0</v>
      </c>
      <c r="C22" s="6">
        <v>1.25</v>
      </c>
      <c r="D22" s="6">
        <v>1.4</v>
      </c>
      <c r="E22" s="6">
        <v>0</v>
      </c>
      <c r="G22" s="5" t="s">
        <v>26</v>
      </c>
      <c r="H22" s="5">
        <v>0</v>
      </c>
      <c r="I22" s="6">
        <v>0.2</v>
      </c>
      <c r="J22" s="6">
        <v>0.1</v>
      </c>
    </row>
    <row r="23" spans="1:13" x14ac:dyDescent="0.25">
      <c r="A23" s="5" t="s">
        <v>84</v>
      </c>
      <c r="B23" s="5">
        <v>0</v>
      </c>
      <c r="C23" s="6">
        <v>1.25</v>
      </c>
      <c r="D23" s="6">
        <v>1.4</v>
      </c>
      <c r="E23" s="6">
        <v>0</v>
      </c>
      <c r="G23" s="5"/>
      <c r="H23" s="5"/>
      <c r="I23" s="6"/>
      <c r="J23" s="6"/>
    </row>
    <row r="24" spans="1:13" x14ac:dyDescent="0.25">
      <c r="A24" s="5" t="s">
        <v>102</v>
      </c>
      <c r="B24" s="5">
        <v>0</v>
      </c>
      <c r="C24" s="6">
        <v>1.25</v>
      </c>
      <c r="D24" s="6">
        <v>1.4</v>
      </c>
      <c r="E24" s="6">
        <v>0</v>
      </c>
      <c r="G24" s="5"/>
      <c r="H24" s="5"/>
      <c r="I24" s="6"/>
      <c r="J24" s="6"/>
    </row>
    <row r="25" spans="1:13" x14ac:dyDescent="0.25">
      <c r="A25" s="5" t="s">
        <v>89</v>
      </c>
      <c r="B25" s="5">
        <v>0</v>
      </c>
      <c r="C25" s="6">
        <v>1.25</v>
      </c>
      <c r="D25" s="6">
        <v>1.4</v>
      </c>
      <c r="E25" s="6">
        <v>0</v>
      </c>
      <c r="G25" s="5"/>
      <c r="H25" s="5"/>
      <c r="I25" s="6"/>
      <c r="J25" s="6"/>
    </row>
    <row r="26" spans="1:13" x14ac:dyDescent="0.25">
      <c r="A26" s="5" t="s">
        <v>90</v>
      </c>
      <c r="B26" s="5">
        <v>0</v>
      </c>
      <c r="C26" s="6">
        <v>1.25</v>
      </c>
      <c r="D26" s="6">
        <v>1.4</v>
      </c>
      <c r="E26" s="6">
        <v>0</v>
      </c>
      <c r="G26" s="5"/>
      <c r="H26" s="5"/>
      <c r="I26" s="6"/>
      <c r="J26" s="6"/>
    </row>
    <row r="27" spans="1:13" x14ac:dyDescent="0.25">
      <c r="A27" s="5" t="s">
        <v>91</v>
      </c>
      <c r="B27" s="5">
        <v>0</v>
      </c>
      <c r="C27" s="6">
        <v>1.25</v>
      </c>
      <c r="D27" s="6">
        <v>1.4</v>
      </c>
      <c r="E27" s="6">
        <v>0</v>
      </c>
      <c r="G27" s="5"/>
      <c r="H27" s="5"/>
      <c r="I27" s="6"/>
      <c r="J27" s="6"/>
    </row>
    <row r="28" spans="1:13" x14ac:dyDescent="0.25">
      <c r="A28" s="5" t="s">
        <v>27</v>
      </c>
      <c r="B28" s="5">
        <v>0</v>
      </c>
      <c r="C28" s="6">
        <v>1.25</v>
      </c>
      <c r="D28" s="6">
        <v>1.4</v>
      </c>
      <c r="E28" s="6">
        <v>0</v>
      </c>
      <c r="G28" s="5" t="s">
        <v>27</v>
      </c>
      <c r="H28" s="5">
        <v>0</v>
      </c>
      <c r="I28" s="6">
        <v>0.3</v>
      </c>
      <c r="J28" s="6">
        <v>0.15</v>
      </c>
    </row>
    <row r="29" spans="1:13" x14ac:dyDescent="0.25">
      <c r="A29" s="5" t="s">
        <v>92</v>
      </c>
      <c r="B29" s="5">
        <v>0</v>
      </c>
      <c r="C29" s="6">
        <v>1.25</v>
      </c>
      <c r="D29" s="6">
        <v>1.4</v>
      </c>
      <c r="E29" s="6">
        <v>0</v>
      </c>
      <c r="G29" s="5"/>
      <c r="H29" s="5"/>
      <c r="I29" s="6"/>
      <c r="J29" s="6"/>
    </row>
    <row r="30" spans="1:13" x14ac:dyDescent="0.25">
      <c r="A30" s="5" t="s">
        <v>85</v>
      </c>
      <c r="B30" s="5">
        <v>0</v>
      </c>
      <c r="C30" s="6">
        <v>1.25</v>
      </c>
      <c r="D30" s="6">
        <v>1.4</v>
      </c>
      <c r="E30" s="6">
        <v>0</v>
      </c>
      <c r="G30" s="5"/>
      <c r="H30" s="5"/>
      <c r="I30" s="6"/>
      <c r="J30" s="6"/>
    </row>
    <row r="31" spans="1:13" x14ac:dyDescent="0.25">
      <c r="A31" s="5" t="s">
        <v>93</v>
      </c>
      <c r="B31" s="5">
        <v>0</v>
      </c>
      <c r="C31" s="6">
        <v>1.25</v>
      </c>
      <c r="D31" s="6">
        <v>1.4</v>
      </c>
      <c r="E31" s="6">
        <v>0</v>
      </c>
      <c r="G31" s="5"/>
      <c r="H31" s="5"/>
      <c r="I31" s="6"/>
      <c r="J31" s="6"/>
    </row>
    <row r="32" spans="1:13" x14ac:dyDescent="0.25">
      <c r="A32" s="5" t="s">
        <v>86</v>
      </c>
      <c r="B32" s="5">
        <v>0</v>
      </c>
      <c r="C32" s="6">
        <v>1.25</v>
      </c>
      <c r="D32" s="6">
        <v>1.4</v>
      </c>
      <c r="E32" s="6">
        <v>0</v>
      </c>
      <c r="G32" s="5"/>
      <c r="H32" s="5"/>
      <c r="I32" s="6"/>
      <c r="J32" s="6"/>
    </row>
    <row r="33" spans="1:13" x14ac:dyDescent="0.25">
      <c r="A33" s="5" t="s">
        <v>94</v>
      </c>
      <c r="B33" s="5">
        <v>0</v>
      </c>
      <c r="C33" s="6">
        <v>1.25</v>
      </c>
      <c r="D33" s="6">
        <v>1.4</v>
      </c>
      <c r="E33" s="6">
        <v>0</v>
      </c>
      <c r="G33" s="5"/>
      <c r="H33" s="5"/>
      <c r="I33" s="6"/>
      <c r="J33" s="6"/>
    </row>
    <row r="34" spans="1:13" x14ac:dyDescent="0.25">
      <c r="A34" s="5" t="s">
        <v>87</v>
      </c>
      <c r="B34" s="5">
        <v>0</v>
      </c>
      <c r="C34" s="6">
        <v>1.25</v>
      </c>
      <c r="D34" s="6">
        <v>1.4</v>
      </c>
      <c r="E34" s="6">
        <v>0</v>
      </c>
      <c r="G34" s="5"/>
      <c r="H34" s="5"/>
      <c r="I34" s="6"/>
      <c r="J34" s="6"/>
    </row>
    <row r="35" spans="1:13" x14ac:dyDescent="0.25">
      <c r="A35" s="5" t="s">
        <v>95</v>
      </c>
      <c r="B35" s="5">
        <v>0</v>
      </c>
      <c r="C35" s="6">
        <v>1.25</v>
      </c>
      <c r="D35" s="6">
        <v>1.4</v>
      </c>
      <c r="E35" s="6">
        <v>0</v>
      </c>
      <c r="G35" s="5"/>
      <c r="H35" s="5"/>
      <c r="I35" s="6"/>
      <c r="J35" s="6"/>
    </row>
    <row r="36" spans="1:13" x14ac:dyDescent="0.25">
      <c r="A36" s="5" t="s">
        <v>88</v>
      </c>
      <c r="B36" s="5">
        <v>0</v>
      </c>
      <c r="C36" s="6">
        <v>1.25</v>
      </c>
      <c r="D36" s="6">
        <v>1.4</v>
      </c>
      <c r="E36" s="6">
        <v>0</v>
      </c>
      <c r="G36" s="5"/>
      <c r="H36" s="5"/>
      <c r="I36" s="6"/>
      <c r="J36" s="6"/>
    </row>
    <row r="37" spans="1:13" x14ac:dyDescent="0.25">
      <c r="A37" s="5" t="s">
        <v>96</v>
      </c>
      <c r="B37" s="5">
        <v>0</v>
      </c>
      <c r="C37" s="6">
        <v>1.25</v>
      </c>
      <c r="D37" s="6">
        <v>1.4</v>
      </c>
      <c r="E37" s="6">
        <v>0</v>
      </c>
      <c r="G37" s="5"/>
      <c r="H37" s="5"/>
      <c r="I37" s="6"/>
      <c r="J37" s="6"/>
    </row>
    <row r="38" spans="1:13" ht="14.25" customHeight="1" x14ac:dyDescent="0.25">
      <c r="A38" s="5" t="s">
        <v>28</v>
      </c>
      <c r="B38" s="5">
        <v>0</v>
      </c>
      <c r="C38" s="6">
        <v>1.25</v>
      </c>
      <c r="D38" s="6">
        <v>1.4</v>
      </c>
      <c r="E38" s="6">
        <v>0</v>
      </c>
      <c r="G38" s="5" t="s">
        <v>28</v>
      </c>
      <c r="H38" s="5">
        <v>0</v>
      </c>
      <c r="I38" s="6">
        <v>0.4</v>
      </c>
      <c r="J38" s="6">
        <v>0.2</v>
      </c>
    </row>
    <row r="39" spans="1:13" x14ac:dyDescent="0.25">
      <c r="A39" s="5" t="s">
        <v>29</v>
      </c>
      <c r="B39" s="5">
        <v>0</v>
      </c>
      <c r="C39" s="6">
        <v>1.3</v>
      </c>
      <c r="D39" s="6">
        <v>1.5</v>
      </c>
      <c r="E39" s="6">
        <v>0</v>
      </c>
      <c r="G39" s="5" t="s">
        <v>29</v>
      </c>
      <c r="H39" s="5">
        <v>0</v>
      </c>
      <c r="I39" s="6">
        <v>0.4</v>
      </c>
      <c r="J39" s="6">
        <v>0.2</v>
      </c>
    </row>
    <row r="40" spans="1:13" x14ac:dyDescent="0.25">
      <c r="A40" s="5" t="s">
        <v>30</v>
      </c>
      <c r="B40" s="5">
        <v>0</v>
      </c>
      <c r="C40" s="6">
        <v>1.3</v>
      </c>
      <c r="D40" s="6">
        <v>1.5</v>
      </c>
      <c r="E40" s="6">
        <v>0</v>
      </c>
      <c r="G40" s="5" t="s">
        <v>30</v>
      </c>
      <c r="H40" s="5">
        <v>0</v>
      </c>
      <c r="I40" s="6">
        <v>0.4</v>
      </c>
      <c r="J40" s="6">
        <v>0.25</v>
      </c>
      <c r="M40" t="s">
        <v>55</v>
      </c>
    </row>
    <row r="41" spans="1:13" x14ac:dyDescent="0.25">
      <c r="M41" t="s">
        <v>56</v>
      </c>
    </row>
    <row r="42" spans="1:13" x14ac:dyDescent="0.25">
      <c r="M42" t="s">
        <v>57</v>
      </c>
    </row>
    <row r="43" spans="1:13" x14ac:dyDescent="0.25">
      <c r="C43" s="8"/>
    </row>
    <row r="44" spans="1:13" x14ac:dyDescent="0.25">
      <c r="C44" s="8"/>
    </row>
    <row r="45" spans="1:13" x14ac:dyDescent="0.25">
      <c r="C45" s="8"/>
    </row>
    <row r="46" spans="1:13" x14ac:dyDescent="0.25">
      <c r="C46" s="8"/>
    </row>
    <row r="47" spans="1:13" x14ac:dyDescent="0.25">
      <c r="C47" s="8"/>
    </row>
    <row r="48" spans="1:13" x14ac:dyDescent="0.25">
      <c r="C48" s="8"/>
    </row>
    <row r="49" spans="3:5" x14ac:dyDescent="0.25">
      <c r="C49" s="8"/>
    </row>
    <row r="54" spans="3:5" x14ac:dyDescent="0.25">
      <c r="E54">
        <v>0</v>
      </c>
    </row>
    <row r="55" spans="3:5" x14ac:dyDescent="0.25">
      <c r="E55">
        <v>0</v>
      </c>
    </row>
    <row r="56" spans="3:5" x14ac:dyDescent="0.25">
      <c r="E56">
        <v>0</v>
      </c>
    </row>
    <row r="57" spans="3:5" x14ac:dyDescent="0.25">
      <c r="E57">
        <v>0</v>
      </c>
    </row>
    <row r="58" spans="3:5" x14ac:dyDescent="0.25">
      <c r="E58">
        <v>0</v>
      </c>
    </row>
    <row r="59" spans="3:5" x14ac:dyDescent="0.25">
      <c r="E59">
        <v>0</v>
      </c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G7"/>
  <sheetViews>
    <sheetView workbookViewId="0">
      <selection activeCell="M20" sqref="M20"/>
    </sheetView>
  </sheetViews>
  <sheetFormatPr defaultRowHeight="15" x14ac:dyDescent="0.25"/>
  <cols>
    <col min="1" max="1" width="16.140625" customWidth="1"/>
    <col min="2" max="2" width="13.7109375" customWidth="1"/>
    <col min="3" max="3" width="14.28515625" customWidth="1"/>
    <col min="4" max="4" width="13.85546875" customWidth="1"/>
    <col min="5" max="5" width="14.140625" customWidth="1"/>
  </cols>
  <sheetData>
    <row r="1" spans="1:7" x14ac:dyDescent="0.25">
      <c r="A1" s="17"/>
      <c r="B1" s="4" t="s">
        <v>63</v>
      </c>
      <c r="C1" s="4" t="s">
        <v>64</v>
      </c>
      <c r="D1" s="4" t="s">
        <v>65</v>
      </c>
      <c r="E1" s="133" t="s">
        <v>66</v>
      </c>
      <c r="F1" s="4"/>
      <c r="G1" s="4"/>
    </row>
    <row r="2" spans="1:7" x14ac:dyDescent="0.25">
      <c r="A2" s="20" t="s">
        <v>68</v>
      </c>
      <c r="B2" s="21"/>
      <c r="C2" s="21"/>
      <c r="D2" s="21"/>
      <c r="E2" s="21"/>
      <c r="F2" s="21"/>
      <c r="G2" s="21"/>
    </row>
    <row r="3" spans="1:7" x14ac:dyDescent="0.25">
      <c r="A3" s="134" t="s">
        <v>69</v>
      </c>
      <c r="B3" s="5">
        <v>1.61</v>
      </c>
      <c r="C3" s="5">
        <v>1.55</v>
      </c>
      <c r="D3" s="5">
        <v>1.41</v>
      </c>
      <c r="E3" s="135">
        <v>1.3</v>
      </c>
      <c r="F3" s="5"/>
      <c r="G3" s="5"/>
    </row>
    <row r="4" spans="1:7" x14ac:dyDescent="0.25">
      <c r="A4" s="20" t="s">
        <v>70</v>
      </c>
      <c r="B4" s="5">
        <v>1.53</v>
      </c>
      <c r="C4" s="5">
        <v>1.48</v>
      </c>
      <c r="D4" s="5">
        <v>1.38</v>
      </c>
      <c r="E4" s="5">
        <v>1.22</v>
      </c>
      <c r="F4" s="5"/>
      <c r="G4" s="5"/>
    </row>
    <row r="5" spans="1:7" x14ac:dyDescent="0.25">
      <c r="A5" s="20" t="s">
        <v>71</v>
      </c>
      <c r="B5" s="5">
        <v>1.47</v>
      </c>
      <c r="C5" s="5">
        <v>1.42</v>
      </c>
      <c r="D5" s="5">
        <v>1.28</v>
      </c>
      <c r="E5" s="5">
        <v>1.1599999999999999</v>
      </c>
      <c r="F5" s="5"/>
      <c r="G5" s="5"/>
    </row>
    <row r="6" spans="1:7" x14ac:dyDescent="0.25">
      <c r="A6" s="20" t="s">
        <v>72</v>
      </c>
      <c r="B6" s="5">
        <v>1.4</v>
      </c>
      <c r="C6" s="5">
        <v>1.34</v>
      </c>
      <c r="D6" s="5">
        <v>1.2</v>
      </c>
      <c r="E6" s="5">
        <v>1.1000000000000001</v>
      </c>
      <c r="F6" s="5"/>
      <c r="G6" s="5"/>
    </row>
    <row r="7" spans="1:7" x14ac:dyDescent="0.25">
      <c r="A7" s="23" t="s">
        <v>73</v>
      </c>
      <c r="B7" s="21"/>
      <c r="C7" s="5">
        <v>1.34</v>
      </c>
      <c r="D7" s="5">
        <v>1.2</v>
      </c>
      <c r="E7" s="5">
        <v>1.19</v>
      </c>
      <c r="F7" s="5"/>
      <c r="G7" s="5"/>
    </row>
  </sheetData>
  <phoneticPr fontId="10" type="noConversion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I7"/>
  <sheetViews>
    <sheetView zoomScale="190" zoomScaleNormal="190" workbookViewId="0">
      <selection activeCell="G3" sqref="G3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6" max="6" width="13" customWidth="1"/>
    <col min="7" max="7" width="11.140625" customWidth="1"/>
    <col min="8" max="8" width="12" customWidth="1"/>
    <col min="9" max="9" width="11.7109375" customWidth="1"/>
  </cols>
  <sheetData>
    <row r="1" spans="1:9" x14ac:dyDescent="0.25">
      <c r="B1" s="130">
        <v>0.1</v>
      </c>
      <c r="C1" s="8">
        <v>0.15</v>
      </c>
      <c r="G1" s="133" t="s">
        <v>7</v>
      </c>
      <c r="H1" s="4" t="s">
        <v>33</v>
      </c>
      <c r="I1" s="4" t="s">
        <v>32</v>
      </c>
    </row>
    <row r="2" spans="1:9" x14ac:dyDescent="0.25">
      <c r="A2" s="5" t="s">
        <v>10</v>
      </c>
      <c r="B2" s="6">
        <v>1.4</v>
      </c>
      <c r="C2" s="6">
        <v>1.43</v>
      </c>
      <c r="F2" s="5" t="s">
        <v>10</v>
      </c>
      <c r="G2" s="6">
        <v>0.5</v>
      </c>
      <c r="H2" s="6">
        <v>0.4</v>
      </c>
      <c r="I2" s="6">
        <v>0.3</v>
      </c>
    </row>
    <row r="3" spans="1:9" x14ac:dyDescent="0.25">
      <c r="A3" s="128" t="s">
        <v>12</v>
      </c>
      <c r="B3" s="131">
        <v>1.1000000000000001</v>
      </c>
      <c r="C3" s="6">
        <v>1.25</v>
      </c>
      <c r="F3" s="128" t="s">
        <v>12</v>
      </c>
      <c r="G3" s="131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0.95</v>
      </c>
      <c r="C4" s="6">
        <v>1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0.82</v>
      </c>
      <c r="C5" s="6">
        <v>0.85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0.78</v>
      </c>
      <c r="C6" s="6">
        <v>0.82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0.95</v>
      </c>
      <c r="C7" s="6">
        <v>1</v>
      </c>
      <c r="F7" s="5" t="s">
        <v>20</v>
      </c>
      <c r="G7" s="6">
        <v>0.3</v>
      </c>
      <c r="H7" s="6">
        <v>0.2</v>
      </c>
      <c r="I7" s="6">
        <v>0.1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:I7"/>
  <sheetViews>
    <sheetView zoomScale="175" zoomScaleNormal="175" workbookViewId="0">
      <selection activeCell="A2" sqref="A2"/>
    </sheetView>
  </sheetViews>
  <sheetFormatPr defaultRowHeight="15" x14ac:dyDescent="0.25"/>
  <cols>
    <col min="1" max="1" width="12.42578125" customWidth="1"/>
    <col min="2" max="2" width="11" customWidth="1"/>
    <col min="3" max="3" width="10.42578125" customWidth="1"/>
    <col min="5" max="5" width="7.140625" customWidth="1"/>
    <col min="6" max="6" width="13.85546875" customWidth="1"/>
    <col min="7" max="7" width="11" customWidth="1"/>
    <col min="8" max="8" width="12.7109375" customWidth="1"/>
    <col min="9" max="9" width="13.42578125" customWidth="1"/>
  </cols>
  <sheetData>
    <row r="1" spans="1:9" x14ac:dyDescent="0.25">
      <c r="B1" s="8">
        <v>0.1</v>
      </c>
      <c r="C1" s="130">
        <v>0.15</v>
      </c>
      <c r="G1" s="133" t="s">
        <v>7</v>
      </c>
      <c r="H1" s="4" t="s">
        <v>33</v>
      </c>
      <c r="I1" s="4" t="s">
        <v>32</v>
      </c>
    </row>
    <row r="2" spans="1:9" x14ac:dyDescent="0.25">
      <c r="A2" s="129" t="s">
        <v>10</v>
      </c>
      <c r="B2" s="6">
        <v>1.05</v>
      </c>
      <c r="C2" s="132">
        <v>1.2</v>
      </c>
      <c r="F2" s="129" t="s">
        <v>10</v>
      </c>
      <c r="G2" s="132">
        <v>0.5</v>
      </c>
      <c r="H2" s="6">
        <v>0.4</v>
      </c>
      <c r="I2" s="6">
        <v>0.3</v>
      </c>
    </row>
    <row r="3" spans="1:9" x14ac:dyDescent="0.25">
      <c r="A3" s="5" t="s">
        <v>12</v>
      </c>
      <c r="B3" s="6">
        <v>0.75</v>
      </c>
      <c r="C3" s="6">
        <v>0.9</v>
      </c>
      <c r="F3" s="5" t="s">
        <v>12</v>
      </c>
      <c r="G3" s="6">
        <v>0.4</v>
      </c>
      <c r="H3" s="6">
        <v>0.3</v>
      </c>
      <c r="I3" s="6">
        <v>0.2</v>
      </c>
    </row>
    <row r="4" spans="1:9" x14ac:dyDescent="0.25">
      <c r="A4" s="5" t="s">
        <v>14</v>
      </c>
      <c r="B4" s="6">
        <v>0.65</v>
      </c>
      <c r="C4" s="6">
        <v>0.8</v>
      </c>
      <c r="F4" s="5" t="s">
        <v>14</v>
      </c>
      <c r="G4" s="6">
        <v>0.3</v>
      </c>
      <c r="H4" s="6">
        <v>0.2</v>
      </c>
      <c r="I4" s="6">
        <v>0.15</v>
      </c>
    </row>
    <row r="5" spans="1:9" x14ac:dyDescent="0.25">
      <c r="A5" s="5" t="s">
        <v>16</v>
      </c>
      <c r="B5" s="6">
        <v>0.6</v>
      </c>
      <c r="C5" s="6">
        <v>0.75</v>
      </c>
      <c r="F5" s="5" t="s">
        <v>16</v>
      </c>
      <c r="G5" s="6">
        <v>0.2</v>
      </c>
      <c r="H5" s="6">
        <v>0.15</v>
      </c>
      <c r="I5" s="6">
        <v>0.1</v>
      </c>
    </row>
    <row r="6" spans="1:9" x14ac:dyDescent="0.25">
      <c r="A6" s="5" t="s">
        <v>18</v>
      </c>
      <c r="B6" s="6">
        <v>0.6</v>
      </c>
      <c r="C6" s="6">
        <v>0.7</v>
      </c>
      <c r="F6" s="5" t="s">
        <v>18</v>
      </c>
      <c r="G6" s="6">
        <v>0.15</v>
      </c>
      <c r="H6" s="6">
        <v>0.1</v>
      </c>
      <c r="I6" s="6">
        <v>0.05</v>
      </c>
    </row>
    <row r="7" spans="1:9" x14ac:dyDescent="0.25">
      <c r="A7" s="5" t="s">
        <v>20</v>
      </c>
      <c r="B7" s="6">
        <v>0.65</v>
      </c>
      <c r="C7" s="6">
        <v>0.8</v>
      </c>
      <c r="F7" s="5" t="s">
        <v>20</v>
      </c>
      <c r="G7" s="6">
        <v>0.2</v>
      </c>
      <c r="H7" s="6">
        <v>0.15</v>
      </c>
      <c r="I7" s="6">
        <v>0.1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S58"/>
  <sheetViews>
    <sheetView topLeftCell="C22" zoomScale="115" zoomScaleNormal="115" workbookViewId="0">
      <selection activeCell="H49" sqref="H49"/>
    </sheetView>
  </sheetViews>
  <sheetFormatPr defaultRowHeight="15" x14ac:dyDescent="0.25"/>
  <cols>
    <col min="1" max="6" width="23.140625" customWidth="1"/>
    <col min="8" max="8" width="11.28515625" customWidth="1"/>
    <col min="9" max="9" width="12.85546875" customWidth="1"/>
    <col min="10" max="10" width="12.140625" customWidth="1"/>
    <col min="11" max="12" width="10.42578125" customWidth="1"/>
    <col min="14" max="14" width="11" customWidth="1"/>
    <col min="15" max="15" width="11.42578125" customWidth="1"/>
    <col min="19" max="19" width="11" customWidth="1"/>
  </cols>
  <sheetData>
    <row r="1" spans="1:19" ht="23.25" x14ac:dyDescent="0.35">
      <c r="A1" s="149" t="s">
        <v>0</v>
      </c>
      <c r="B1" s="149"/>
      <c r="C1" s="149"/>
      <c r="D1" s="149"/>
      <c r="E1" s="149"/>
      <c r="F1" s="149"/>
      <c r="H1" t="e">
        <f>IF(E9="Alluminio",LargAl,IF(E9="Bronzo",LargBr,LarCu))</f>
        <v>#VALUE!</v>
      </c>
    </row>
    <row r="2" spans="1:19" ht="21" x14ac:dyDescent="0.35">
      <c r="A2" s="1"/>
      <c r="B2" s="1"/>
      <c r="C2" s="1"/>
      <c r="D2" s="1"/>
      <c r="E2" s="2"/>
    </row>
    <row r="3" spans="1:19" ht="21" x14ac:dyDescent="0.35">
      <c r="A3" s="150" t="s">
        <v>1</v>
      </c>
      <c r="B3" s="150"/>
      <c r="C3" s="150"/>
      <c r="D3" s="150"/>
      <c r="E3" s="150"/>
      <c r="F3" s="150"/>
      <c r="H3" t="s">
        <v>4</v>
      </c>
      <c r="I3" t="s">
        <v>5</v>
      </c>
      <c r="J3" t="s">
        <v>6</v>
      </c>
      <c r="K3" t="s">
        <v>58</v>
      </c>
    </row>
    <row r="4" spans="1:19" x14ac:dyDescent="0.25">
      <c r="S4" s="5" t="s">
        <v>9</v>
      </c>
    </row>
    <row r="5" spans="1:19" x14ac:dyDescent="0.25">
      <c r="A5" s="142" t="s">
        <v>2</v>
      </c>
      <c r="B5" s="140">
        <v>7.0000000000000007E-2</v>
      </c>
      <c r="C5" s="140">
        <v>0.1</v>
      </c>
      <c r="D5" s="140">
        <v>0.18</v>
      </c>
      <c r="E5" s="143" t="s">
        <v>3</v>
      </c>
      <c r="F5" s="143"/>
      <c r="H5" s="5" t="s">
        <v>9</v>
      </c>
      <c r="I5" s="5" t="s">
        <v>10</v>
      </c>
      <c r="J5" s="5" t="s">
        <v>10</v>
      </c>
      <c r="K5" s="24" t="s">
        <v>68</v>
      </c>
      <c r="L5" s="26"/>
      <c r="S5" s="5" t="s">
        <v>11</v>
      </c>
    </row>
    <row r="6" spans="1:19" x14ac:dyDescent="0.25">
      <c r="A6" s="141"/>
      <c r="B6" s="141"/>
      <c r="C6" s="141"/>
      <c r="D6" s="141"/>
      <c r="E6" s="3" t="s">
        <v>7</v>
      </c>
      <c r="F6" s="4" t="s">
        <v>8</v>
      </c>
      <c r="H6" s="5" t="s">
        <v>11</v>
      </c>
      <c r="I6" s="5" t="s">
        <v>12</v>
      </c>
      <c r="J6" s="5" t="s">
        <v>12</v>
      </c>
      <c r="K6" s="24" t="s">
        <v>69</v>
      </c>
      <c r="L6" s="26"/>
      <c r="S6" s="5" t="s">
        <v>13</v>
      </c>
    </row>
    <row r="7" spans="1:19" x14ac:dyDescent="0.25">
      <c r="A7" s="5" t="s">
        <v>9</v>
      </c>
      <c r="B7" s="6">
        <v>1.65</v>
      </c>
      <c r="C7" s="6">
        <v>1.85</v>
      </c>
      <c r="D7" s="6">
        <v>2.0499999999999998</v>
      </c>
      <c r="E7" s="6">
        <v>0.4</v>
      </c>
      <c r="F7" s="6">
        <v>0.3</v>
      </c>
      <c r="H7" s="5" t="s">
        <v>13</v>
      </c>
      <c r="I7" s="5" t="s">
        <v>14</v>
      </c>
      <c r="J7" s="5" t="s">
        <v>14</v>
      </c>
      <c r="K7" s="24" t="s">
        <v>70</v>
      </c>
      <c r="L7" s="26"/>
      <c r="M7" s="27" t="s">
        <v>74</v>
      </c>
      <c r="N7" s="3" t="s">
        <v>7</v>
      </c>
      <c r="O7" s="4" t="s">
        <v>8</v>
      </c>
      <c r="S7" s="5" t="s">
        <v>15</v>
      </c>
    </row>
    <row r="8" spans="1:19" x14ac:dyDescent="0.25">
      <c r="A8" s="5" t="s">
        <v>11</v>
      </c>
      <c r="B8" s="6">
        <v>1.55</v>
      </c>
      <c r="C8" s="6">
        <v>1.75</v>
      </c>
      <c r="D8" s="6">
        <v>1.95</v>
      </c>
      <c r="E8" s="6">
        <v>0.3</v>
      </c>
      <c r="F8" s="6">
        <v>0.2</v>
      </c>
      <c r="H8" s="5" t="s">
        <v>15</v>
      </c>
      <c r="I8" s="5" t="s">
        <v>16</v>
      </c>
      <c r="J8" s="5" t="s">
        <v>16</v>
      </c>
      <c r="K8" s="24" t="s">
        <v>71</v>
      </c>
      <c r="L8" s="26"/>
      <c r="S8" s="5" t="s">
        <v>17</v>
      </c>
    </row>
    <row r="9" spans="1:19" x14ac:dyDescent="0.25">
      <c r="A9" s="5" t="s">
        <v>13</v>
      </c>
      <c r="B9" s="6">
        <v>1.45</v>
      </c>
      <c r="C9" s="6">
        <v>1.65</v>
      </c>
      <c r="D9" s="6">
        <v>1.85</v>
      </c>
      <c r="E9" s="6">
        <v>0.3</v>
      </c>
      <c r="F9" s="6">
        <v>0.15</v>
      </c>
      <c r="H9" s="5" t="s">
        <v>17</v>
      </c>
      <c r="I9" s="5" t="s">
        <v>18</v>
      </c>
      <c r="J9" s="5" t="s">
        <v>18</v>
      </c>
      <c r="K9" s="24" t="s">
        <v>72</v>
      </c>
      <c r="L9" s="26"/>
      <c r="M9" s="27" t="s">
        <v>74</v>
      </c>
      <c r="N9" s="4" t="s">
        <v>7</v>
      </c>
      <c r="O9" s="4" t="s">
        <v>33</v>
      </c>
      <c r="P9" s="4" t="s">
        <v>32</v>
      </c>
      <c r="S9" s="5" t="s">
        <v>77</v>
      </c>
    </row>
    <row r="10" spans="1:19" x14ac:dyDescent="0.25">
      <c r="A10" s="5" t="s">
        <v>15</v>
      </c>
      <c r="B10" s="6">
        <v>1.45</v>
      </c>
      <c r="C10" s="6">
        <v>1.6</v>
      </c>
      <c r="D10" s="6">
        <v>1.8</v>
      </c>
      <c r="E10" s="6">
        <v>0.3</v>
      </c>
      <c r="F10" s="6">
        <v>0.15</v>
      </c>
      <c r="H10" s="5" t="s">
        <v>19</v>
      </c>
      <c r="I10" s="5" t="s">
        <v>20</v>
      </c>
      <c r="J10" s="5" t="s">
        <v>20</v>
      </c>
      <c r="K10" s="25" t="s">
        <v>73</v>
      </c>
      <c r="L10" s="26"/>
      <c r="S10" s="5" t="s">
        <v>19</v>
      </c>
    </row>
    <row r="11" spans="1:19" x14ac:dyDescent="0.25">
      <c r="A11" s="5" t="s">
        <v>17</v>
      </c>
      <c r="B11" s="6">
        <v>1.4</v>
      </c>
      <c r="C11" s="6">
        <v>1.55</v>
      </c>
      <c r="D11" s="6">
        <v>1.75</v>
      </c>
      <c r="E11" s="6">
        <v>0.25</v>
      </c>
      <c r="F11" s="6">
        <v>0.13</v>
      </c>
      <c r="H11" s="5" t="s">
        <v>21</v>
      </c>
      <c r="M11" s="27" t="s">
        <v>74</v>
      </c>
      <c r="N11" s="4" t="s">
        <v>63</v>
      </c>
      <c r="O11" s="4" t="s">
        <v>64</v>
      </c>
      <c r="P11" s="4" t="s">
        <v>65</v>
      </c>
      <c r="Q11" s="4" t="s">
        <v>66</v>
      </c>
      <c r="S11" s="5" t="s">
        <v>78</v>
      </c>
    </row>
    <row r="12" spans="1:19" x14ac:dyDescent="0.25">
      <c r="A12" s="5" t="s">
        <v>19</v>
      </c>
      <c r="B12" s="6">
        <v>1.35</v>
      </c>
      <c r="C12" s="6">
        <v>1.5</v>
      </c>
      <c r="D12" s="6">
        <v>1.7</v>
      </c>
      <c r="E12" s="6">
        <v>0.2</v>
      </c>
      <c r="F12" s="6">
        <v>0.1</v>
      </c>
      <c r="H12" s="29" t="s">
        <v>82</v>
      </c>
      <c r="S12" s="5" t="s">
        <v>21</v>
      </c>
    </row>
    <row r="13" spans="1:19" x14ac:dyDescent="0.25">
      <c r="A13" s="5" t="s">
        <v>21</v>
      </c>
      <c r="B13" s="6">
        <v>1.3</v>
      </c>
      <c r="C13" s="6">
        <v>1.48</v>
      </c>
      <c r="D13" s="6">
        <v>1.68</v>
      </c>
      <c r="E13" s="6">
        <v>0.2</v>
      </c>
      <c r="F13" s="6">
        <v>0.1</v>
      </c>
      <c r="H13" s="5" t="s">
        <v>22</v>
      </c>
      <c r="S13" s="29" t="s">
        <v>82</v>
      </c>
    </row>
    <row r="14" spans="1:19" x14ac:dyDescent="0.25">
      <c r="A14" s="5" t="s">
        <v>22</v>
      </c>
      <c r="B14" s="6">
        <v>1.28</v>
      </c>
      <c r="C14" s="6">
        <v>1.45</v>
      </c>
      <c r="D14" s="6">
        <v>1.65</v>
      </c>
      <c r="E14" s="6">
        <v>0.2</v>
      </c>
      <c r="F14" s="6">
        <v>0.1</v>
      </c>
      <c r="H14" s="5" t="s">
        <v>23</v>
      </c>
      <c r="S14" s="5" t="s">
        <v>22</v>
      </c>
    </row>
    <row r="15" spans="1:19" x14ac:dyDescent="0.25">
      <c r="A15" s="5" t="s">
        <v>23</v>
      </c>
      <c r="B15" s="6">
        <v>1.25</v>
      </c>
      <c r="C15" s="6">
        <v>1.4</v>
      </c>
      <c r="D15" s="6">
        <v>1.6</v>
      </c>
      <c r="E15" s="6">
        <v>0.2</v>
      </c>
      <c r="F15" s="6">
        <v>0.1</v>
      </c>
      <c r="H15" s="5" t="s">
        <v>24</v>
      </c>
      <c r="S15" s="29" t="s">
        <v>101</v>
      </c>
    </row>
    <row r="16" spans="1:19" x14ac:dyDescent="0.25">
      <c r="A16" s="5" t="s">
        <v>24</v>
      </c>
      <c r="B16" s="6">
        <v>1.25</v>
      </c>
      <c r="C16" s="6">
        <v>1.4</v>
      </c>
      <c r="D16" s="6">
        <v>1.6</v>
      </c>
      <c r="E16" s="6">
        <v>0.2</v>
      </c>
      <c r="F16" s="6">
        <v>0.1</v>
      </c>
      <c r="H16" s="5" t="s">
        <v>25</v>
      </c>
      <c r="S16" s="5" t="s">
        <v>23</v>
      </c>
    </row>
    <row r="17" spans="1:19" x14ac:dyDescent="0.25">
      <c r="A17" s="5" t="s">
        <v>25</v>
      </c>
      <c r="B17" s="6">
        <v>1.25</v>
      </c>
      <c r="C17" s="6">
        <v>1.4</v>
      </c>
      <c r="D17" s="6">
        <v>1.6</v>
      </c>
      <c r="E17" s="6">
        <v>0.2</v>
      </c>
      <c r="F17" s="6">
        <v>0.1</v>
      </c>
      <c r="H17" s="5" t="s">
        <v>26</v>
      </c>
      <c r="S17" s="29" t="s">
        <v>83</v>
      </c>
    </row>
    <row r="18" spans="1:19" x14ac:dyDescent="0.25">
      <c r="A18" s="5" t="s">
        <v>26</v>
      </c>
      <c r="B18" s="6">
        <v>1.25</v>
      </c>
      <c r="C18" s="6">
        <v>1.4</v>
      </c>
      <c r="D18" s="6">
        <v>1.6</v>
      </c>
      <c r="E18" s="6">
        <v>0.2</v>
      </c>
      <c r="F18" s="6">
        <v>0.1</v>
      </c>
      <c r="H18" s="5" t="s">
        <v>27</v>
      </c>
      <c r="S18" s="5" t="s">
        <v>24</v>
      </c>
    </row>
    <row r="19" spans="1:19" x14ac:dyDescent="0.25">
      <c r="A19" s="5" t="s">
        <v>27</v>
      </c>
      <c r="B19" s="6">
        <v>1.28</v>
      </c>
      <c r="C19" s="6">
        <v>1.45</v>
      </c>
      <c r="D19" s="6">
        <v>1.65</v>
      </c>
      <c r="E19" s="6">
        <v>0.3</v>
      </c>
      <c r="F19" s="6">
        <v>0.15</v>
      </c>
      <c r="H19" s="5" t="s">
        <v>28</v>
      </c>
      <c r="S19" s="29" t="s">
        <v>100</v>
      </c>
    </row>
    <row r="20" spans="1:19" x14ac:dyDescent="0.25">
      <c r="A20" s="5" t="s">
        <v>28</v>
      </c>
      <c r="B20" s="6">
        <v>1.3</v>
      </c>
      <c r="C20" s="6">
        <v>1.48</v>
      </c>
      <c r="D20" s="6">
        <v>1.68</v>
      </c>
      <c r="E20" s="6">
        <v>0.4</v>
      </c>
      <c r="F20" s="6">
        <v>0.2</v>
      </c>
      <c r="H20" s="5" t="s">
        <v>29</v>
      </c>
      <c r="S20" s="5" t="s">
        <v>25</v>
      </c>
    </row>
    <row r="21" spans="1:19" x14ac:dyDescent="0.25">
      <c r="A21" s="5" t="s">
        <v>29</v>
      </c>
      <c r="B21" s="6">
        <v>1.35</v>
      </c>
      <c r="C21" s="6">
        <v>1.5</v>
      </c>
      <c r="D21" s="6">
        <v>1.7</v>
      </c>
      <c r="E21" s="6">
        <v>0.4</v>
      </c>
      <c r="F21" s="6">
        <v>0.2</v>
      </c>
      <c r="H21" s="5" t="s">
        <v>30</v>
      </c>
      <c r="S21" s="29" t="s">
        <v>97</v>
      </c>
    </row>
    <row r="22" spans="1:19" x14ac:dyDescent="0.25">
      <c r="A22" s="5" t="s">
        <v>30</v>
      </c>
      <c r="B22" s="6">
        <v>1.4</v>
      </c>
      <c r="C22" s="6">
        <v>1.5</v>
      </c>
      <c r="D22" s="6">
        <v>1.7</v>
      </c>
      <c r="E22" s="6">
        <v>0.4</v>
      </c>
      <c r="F22" s="6">
        <v>0.25</v>
      </c>
      <c r="S22" s="29" t="s">
        <v>98</v>
      </c>
    </row>
    <row r="23" spans="1:19" x14ac:dyDescent="0.25">
      <c r="A23" s="7"/>
      <c r="B23" s="8"/>
      <c r="C23" s="8"/>
      <c r="D23" s="8"/>
      <c r="E23" s="8"/>
      <c r="F23" s="8"/>
      <c r="S23" s="29" t="s">
        <v>99</v>
      </c>
    </row>
    <row r="24" spans="1:19" ht="21" x14ac:dyDescent="0.35">
      <c r="A24" s="148" t="s">
        <v>31</v>
      </c>
      <c r="B24" s="148"/>
      <c r="C24" s="148"/>
      <c r="D24" s="148"/>
      <c r="E24" s="148"/>
      <c r="F24" s="148"/>
      <c r="J24" s="4"/>
      <c r="K24" s="4"/>
      <c r="L24" s="27"/>
      <c r="S24" s="5" t="s">
        <v>26</v>
      </c>
    </row>
    <row r="25" spans="1:19" x14ac:dyDescent="0.25">
      <c r="S25" s="29" t="s">
        <v>84</v>
      </c>
    </row>
    <row r="26" spans="1:19" x14ac:dyDescent="0.25">
      <c r="A26" s="142" t="s">
        <v>2</v>
      </c>
      <c r="B26" s="140">
        <v>0.1</v>
      </c>
      <c r="C26" s="140">
        <v>0.18</v>
      </c>
      <c r="D26" s="143" t="s">
        <v>3</v>
      </c>
      <c r="E26" s="143"/>
      <c r="F26" s="143"/>
      <c r="S26" s="29" t="s">
        <v>102</v>
      </c>
    </row>
    <row r="27" spans="1:19" x14ac:dyDescent="0.25">
      <c r="A27" s="141"/>
      <c r="B27" s="141"/>
      <c r="C27" s="141"/>
      <c r="D27" s="4" t="s">
        <v>7</v>
      </c>
      <c r="E27" s="4" t="s">
        <v>33</v>
      </c>
      <c r="F27" s="4" t="s">
        <v>32</v>
      </c>
      <c r="H27" s="140">
        <v>7.0000000000000007E-2</v>
      </c>
      <c r="I27" s="140">
        <v>0.1</v>
      </c>
      <c r="J27" s="140">
        <v>0.18</v>
      </c>
      <c r="S27" s="29" t="s">
        <v>89</v>
      </c>
    </row>
    <row r="28" spans="1:19" x14ac:dyDescent="0.25">
      <c r="A28" s="5" t="s">
        <v>10</v>
      </c>
      <c r="B28" s="6">
        <v>1.1000000000000001</v>
      </c>
      <c r="C28" s="6">
        <v>1.25</v>
      </c>
      <c r="D28" s="6">
        <v>0.5</v>
      </c>
      <c r="E28" s="6">
        <v>0.4</v>
      </c>
      <c r="F28" s="6">
        <v>0.3</v>
      </c>
      <c r="H28" s="141"/>
      <c r="I28" s="141"/>
      <c r="J28" s="141"/>
      <c r="S28" s="29" t="s">
        <v>90</v>
      </c>
    </row>
    <row r="29" spans="1:19" x14ac:dyDescent="0.25">
      <c r="A29" s="5" t="s">
        <v>12</v>
      </c>
      <c r="B29" s="6">
        <v>0.8</v>
      </c>
      <c r="C29" s="6">
        <v>0.95</v>
      </c>
      <c r="D29" s="6">
        <v>0.4</v>
      </c>
      <c r="E29" s="6">
        <v>0.3</v>
      </c>
      <c r="F29" s="6">
        <v>0.2</v>
      </c>
      <c r="S29" s="29" t="s">
        <v>91</v>
      </c>
    </row>
    <row r="30" spans="1:19" x14ac:dyDescent="0.25">
      <c r="A30" s="5" t="s">
        <v>14</v>
      </c>
      <c r="B30" s="6">
        <v>0.7</v>
      </c>
      <c r="C30" s="6">
        <v>0.85</v>
      </c>
      <c r="D30" s="6">
        <v>0.3</v>
      </c>
      <c r="E30" s="6">
        <v>0.2</v>
      </c>
      <c r="F30" s="6">
        <v>0.15</v>
      </c>
      <c r="S30" s="5" t="s">
        <v>27</v>
      </c>
    </row>
    <row r="31" spans="1:19" x14ac:dyDescent="0.25">
      <c r="A31" s="5" t="s">
        <v>16</v>
      </c>
      <c r="B31" s="6">
        <v>0.65</v>
      </c>
      <c r="C31" s="6">
        <v>0.8</v>
      </c>
      <c r="D31" s="6">
        <v>0.2</v>
      </c>
      <c r="E31" s="6">
        <v>0.15</v>
      </c>
      <c r="F31" s="6">
        <v>0.1</v>
      </c>
      <c r="H31" s="9">
        <v>7.0000000000000007E-2</v>
      </c>
      <c r="I31" s="9">
        <v>0.1</v>
      </c>
      <c r="J31" s="9">
        <v>0.18</v>
      </c>
      <c r="M31" s="9">
        <v>0.04</v>
      </c>
      <c r="N31" s="9">
        <v>7.0000000000000007E-2</v>
      </c>
      <c r="O31" s="9">
        <v>0.1</v>
      </c>
      <c r="P31" s="9">
        <v>0.2</v>
      </c>
      <c r="Q31" s="9">
        <v>0.35</v>
      </c>
      <c r="S31" s="29" t="s">
        <v>92</v>
      </c>
    </row>
    <row r="32" spans="1:19" x14ac:dyDescent="0.25">
      <c r="A32" s="5" t="s">
        <v>18</v>
      </c>
      <c r="B32" s="6">
        <v>0.6</v>
      </c>
      <c r="C32" s="6">
        <v>0.75</v>
      </c>
      <c r="D32" s="6">
        <v>0.15</v>
      </c>
      <c r="E32" s="6">
        <v>0.1</v>
      </c>
      <c r="F32" s="6">
        <v>0.05</v>
      </c>
      <c r="H32" s="9">
        <v>0.1</v>
      </c>
      <c r="I32" s="9">
        <v>0.15</v>
      </c>
      <c r="J32">
        <v>0.35</v>
      </c>
      <c r="K32">
        <v>0.55000000000000004</v>
      </c>
      <c r="S32" s="5" t="s">
        <v>85</v>
      </c>
    </row>
    <row r="33" spans="1:19" x14ac:dyDescent="0.25">
      <c r="A33" s="5" t="s">
        <v>20</v>
      </c>
      <c r="B33" s="6">
        <v>0.7</v>
      </c>
      <c r="C33" s="6">
        <v>0.85</v>
      </c>
      <c r="D33" s="6">
        <v>0.2</v>
      </c>
      <c r="E33" s="6">
        <v>0.15</v>
      </c>
      <c r="F33" s="6">
        <v>0.1</v>
      </c>
      <c r="H33" s="28">
        <v>0</v>
      </c>
      <c r="S33" s="29" t="s">
        <v>93</v>
      </c>
    </row>
    <row r="34" spans="1:19" x14ac:dyDescent="0.25">
      <c r="S34" s="5" t="s">
        <v>86</v>
      </c>
    </row>
    <row r="35" spans="1:19" ht="21" x14ac:dyDescent="0.35">
      <c r="A35" s="147" t="s">
        <v>34</v>
      </c>
      <c r="B35" s="147"/>
      <c r="C35" s="147"/>
      <c r="D35" s="147"/>
      <c r="E35" s="147"/>
      <c r="F35" s="147"/>
      <c r="S35" s="29" t="s">
        <v>94</v>
      </c>
    </row>
    <row r="36" spans="1:19" x14ac:dyDescent="0.25">
      <c r="S36" s="5" t="s">
        <v>87</v>
      </c>
    </row>
    <row r="37" spans="1:19" x14ac:dyDescent="0.25">
      <c r="A37" s="142" t="s">
        <v>2</v>
      </c>
      <c r="B37" s="140">
        <v>0.1</v>
      </c>
      <c r="C37" s="140">
        <v>0.18</v>
      </c>
      <c r="D37" s="143" t="s">
        <v>3</v>
      </c>
      <c r="E37" s="143"/>
      <c r="F37" s="143"/>
      <c r="S37" s="29" t="s">
        <v>95</v>
      </c>
    </row>
    <row r="38" spans="1:19" x14ac:dyDescent="0.25">
      <c r="A38" s="141"/>
      <c r="B38" s="141"/>
      <c r="C38" s="141"/>
      <c r="D38" s="4" t="s">
        <v>7</v>
      </c>
      <c r="E38" s="4" t="s">
        <v>33</v>
      </c>
      <c r="F38" s="4" t="s">
        <v>32</v>
      </c>
      <c r="S38" s="5" t="s">
        <v>88</v>
      </c>
    </row>
    <row r="39" spans="1:19" x14ac:dyDescent="0.25">
      <c r="A39" s="5" t="s">
        <v>10</v>
      </c>
      <c r="B39" s="6">
        <v>1.3</v>
      </c>
      <c r="C39" s="6">
        <v>1.45</v>
      </c>
      <c r="D39" s="6">
        <v>0.5</v>
      </c>
      <c r="E39" s="6">
        <v>0.4</v>
      </c>
      <c r="F39" s="6">
        <v>0.3</v>
      </c>
      <c r="S39" s="29" t="s">
        <v>96</v>
      </c>
    </row>
    <row r="40" spans="1:19" x14ac:dyDescent="0.25">
      <c r="A40" s="5" t="s">
        <v>12</v>
      </c>
      <c r="B40" s="6">
        <v>1.05</v>
      </c>
      <c r="C40" s="6">
        <v>1.3</v>
      </c>
      <c r="D40" s="6">
        <v>0.4</v>
      </c>
      <c r="E40" s="6">
        <v>0.3</v>
      </c>
      <c r="F40" s="6">
        <v>0.2</v>
      </c>
      <c r="S40" s="5" t="s">
        <v>28</v>
      </c>
    </row>
    <row r="41" spans="1:19" x14ac:dyDescent="0.25">
      <c r="A41" s="5" t="s">
        <v>14</v>
      </c>
      <c r="B41" s="6">
        <v>0.9</v>
      </c>
      <c r="C41" s="6">
        <v>1.05</v>
      </c>
      <c r="D41" s="6">
        <v>0.3</v>
      </c>
      <c r="E41" s="6">
        <v>0.2</v>
      </c>
      <c r="F41" s="6">
        <v>0.15</v>
      </c>
      <c r="S41" s="5" t="s">
        <v>29</v>
      </c>
    </row>
    <row r="42" spans="1:19" x14ac:dyDescent="0.25">
      <c r="A42" s="5" t="s">
        <v>16</v>
      </c>
      <c r="B42" s="6">
        <v>0.8</v>
      </c>
      <c r="C42" s="6">
        <v>0.95</v>
      </c>
      <c r="D42" s="6">
        <v>0.2</v>
      </c>
      <c r="E42" s="6">
        <v>0.15</v>
      </c>
      <c r="F42" s="6">
        <v>0.1</v>
      </c>
      <c r="S42" s="5" t="s">
        <v>30</v>
      </c>
    </row>
    <row r="43" spans="1:19" x14ac:dyDescent="0.25">
      <c r="A43" s="5" t="s">
        <v>18</v>
      </c>
      <c r="B43" s="6">
        <v>0.75</v>
      </c>
      <c r="C43" s="6">
        <v>0.9</v>
      </c>
      <c r="D43" s="6">
        <v>0.15</v>
      </c>
      <c r="E43" s="6">
        <v>0.1</v>
      </c>
      <c r="F43" s="6">
        <v>0.05</v>
      </c>
    </row>
    <row r="44" spans="1:19" x14ac:dyDescent="0.25">
      <c r="A44" s="5" t="s">
        <v>20</v>
      </c>
      <c r="B44" s="6">
        <v>0.9</v>
      </c>
      <c r="C44" s="6">
        <v>1.05</v>
      </c>
      <c r="D44" s="6">
        <v>0.3</v>
      </c>
      <c r="E44" s="6">
        <v>0.2</v>
      </c>
      <c r="F44" s="6">
        <v>0.1</v>
      </c>
    </row>
    <row r="46" spans="1:19" ht="21" x14ac:dyDescent="0.35">
      <c r="A46" s="144" t="s">
        <v>35</v>
      </c>
      <c r="B46" s="145"/>
      <c r="C46" s="145"/>
      <c r="D46" s="145"/>
      <c r="E46" s="145"/>
      <c r="F46" s="146"/>
    </row>
    <row r="50" spans="1:6" x14ac:dyDescent="0.25">
      <c r="B50" s="16" t="s">
        <v>59</v>
      </c>
      <c r="C50" s="136" t="s">
        <v>60</v>
      </c>
      <c r="D50" s="136"/>
      <c r="E50" s="137" t="s">
        <v>61</v>
      </c>
      <c r="F50" s="138"/>
    </row>
    <row r="51" spans="1:6" x14ac:dyDescent="0.25">
      <c r="B51" s="17" t="s">
        <v>62</v>
      </c>
      <c r="C51" s="4" t="s">
        <v>63</v>
      </c>
      <c r="D51" s="4" t="s">
        <v>64</v>
      </c>
      <c r="E51" s="4" t="s">
        <v>65</v>
      </c>
      <c r="F51" s="4" t="s">
        <v>66</v>
      </c>
    </row>
    <row r="52" spans="1:6" x14ac:dyDescent="0.25">
      <c r="A52" s="139" t="s">
        <v>67</v>
      </c>
      <c r="B52" s="139"/>
      <c r="F52" s="18"/>
    </row>
    <row r="53" spans="1:6" x14ac:dyDescent="0.25">
      <c r="A53" s="19"/>
      <c r="B53" s="20" t="s">
        <v>68</v>
      </c>
      <c r="C53" s="21"/>
      <c r="D53" s="21"/>
      <c r="E53" s="21"/>
      <c r="F53" s="21"/>
    </row>
    <row r="54" spans="1:6" x14ac:dyDescent="0.25">
      <c r="A54" s="19"/>
      <c r="B54" s="20" t="s">
        <v>69</v>
      </c>
      <c r="C54" s="5">
        <v>1.61</v>
      </c>
      <c r="D54" s="5">
        <v>1.55</v>
      </c>
      <c r="E54" s="5">
        <v>1.41</v>
      </c>
      <c r="F54" s="5">
        <v>1.3</v>
      </c>
    </row>
    <row r="55" spans="1:6" x14ac:dyDescent="0.25">
      <c r="A55" s="19"/>
      <c r="B55" s="20" t="s">
        <v>70</v>
      </c>
      <c r="C55" s="5">
        <v>1.53</v>
      </c>
      <c r="D55" s="5">
        <v>1.48</v>
      </c>
      <c r="E55" s="5">
        <v>1.38</v>
      </c>
      <c r="F55" s="5">
        <v>1.22</v>
      </c>
    </row>
    <row r="56" spans="1:6" x14ac:dyDescent="0.25">
      <c r="A56" s="19"/>
      <c r="B56" s="20" t="s">
        <v>71</v>
      </c>
      <c r="C56" s="5">
        <v>1.47</v>
      </c>
      <c r="D56" s="5">
        <v>1.42</v>
      </c>
      <c r="E56" s="5">
        <v>1.28</v>
      </c>
      <c r="F56" s="5">
        <v>1.1599999999999999</v>
      </c>
    </row>
    <row r="57" spans="1:6" x14ac:dyDescent="0.25">
      <c r="A57" s="19"/>
      <c r="B57" s="20" t="s">
        <v>72</v>
      </c>
      <c r="C57" s="5">
        <v>1.4</v>
      </c>
      <c r="D57" s="5">
        <v>1.34</v>
      </c>
      <c r="E57" s="5">
        <v>1.2</v>
      </c>
      <c r="F57" s="5">
        <v>1.1000000000000001</v>
      </c>
    </row>
    <row r="58" spans="1:6" x14ac:dyDescent="0.25">
      <c r="A58" s="22"/>
      <c r="B58" s="23" t="s">
        <v>73</v>
      </c>
      <c r="C58" s="21"/>
      <c r="D58" s="5">
        <v>1.34</v>
      </c>
      <c r="E58" s="5">
        <v>1.2</v>
      </c>
      <c r="F58" s="5">
        <v>1.19</v>
      </c>
    </row>
  </sheetData>
  <mergeCells count="24">
    <mergeCell ref="A1:F1"/>
    <mergeCell ref="A3:F3"/>
    <mergeCell ref="A5:A6"/>
    <mergeCell ref="B5:B6"/>
    <mergeCell ref="C5:C6"/>
    <mergeCell ref="D5:D6"/>
    <mergeCell ref="E5:F5"/>
    <mergeCell ref="A24:F24"/>
    <mergeCell ref="A26:A27"/>
    <mergeCell ref="B26:B27"/>
    <mergeCell ref="C26:C27"/>
    <mergeCell ref="D26:F26"/>
    <mergeCell ref="C50:D50"/>
    <mergeCell ref="E50:F50"/>
    <mergeCell ref="A52:B52"/>
    <mergeCell ref="I27:I28"/>
    <mergeCell ref="J27:J28"/>
    <mergeCell ref="A37:A38"/>
    <mergeCell ref="B37:B38"/>
    <mergeCell ref="C37:C38"/>
    <mergeCell ref="D37:F37"/>
    <mergeCell ref="A46:F46"/>
    <mergeCell ref="H27:H28"/>
    <mergeCell ref="A35:F35"/>
  </mergeCells>
  <phoneticPr fontId="1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20</vt:i4>
      </vt:variant>
    </vt:vector>
  </HeadingPairs>
  <TitlesOfParts>
    <vt:vector size="26" baseType="lpstr">
      <vt:lpstr>Calkos</vt:lpstr>
      <vt:lpstr>Tabella</vt:lpstr>
      <vt:lpstr>Bronzo</vt:lpstr>
      <vt:lpstr>Rame</vt:lpstr>
      <vt:lpstr>Ottone</vt:lpstr>
      <vt:lpstr>Tabelle</vt:lpstr>
      <vt:lpstr>_Alu2</vt:lpstr>
      <vt:lpstr>Al</vt:lpstr>
      <vt:lpstr>Alu</vt:lpstr>
      <vt:lpstr>Calkos!Area_stampa</vt:lpstr>
      <vt:lpstr>Br</vt:lpstr>
      <vt:lpstr>Cu</vt:lpstr>
      <vt:lpstr>LarCu</vt:lpstr>
      <vt:lpstr>LargAl</vt:lpstr>
      <vt:lpstr>LargBr</vt:lpstr>
      <vt:lpstr>Materiale</vt:lpstr>
      <vt:lpstr>Materiale2</vt:lpstr>
      <vt:lpstr>Ot</vt:lpstr>
      <vt:lpstr>ProvvAl</vt:lpstr>
      <vt:lpstr>ProvvAl2</vt:lpstr>
      <vt:lpstr>ProvvAl3</vt:lpstr>
      <vt:lpstr>ProvvBr</vt:lpstr>
      <vt:lpstr>ProvvCu</vt:lpstr>
      <vt:lpstr>ProvvCu2</vt:lpstr>
      <vt:lpstr>ProvvCu3</vt:lpstr>
      <vt:lpstr>Scadenza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Lenovo</cp:lastModifiedBy>
  <cp:lastPrinted>2025-04-09T08:04:14Z</cp:lastPrinted>
  <dcterms:created xsi:type="dcterms:W3CDTF">2013-12-07T16:05:07Z</dcterms:created>
  <dcterms:modified xsi:type="dcterms:W3CDTF">2026-08-03T15:26:48Z</dcterms:modified>
</cp:coreProperties>
</file>