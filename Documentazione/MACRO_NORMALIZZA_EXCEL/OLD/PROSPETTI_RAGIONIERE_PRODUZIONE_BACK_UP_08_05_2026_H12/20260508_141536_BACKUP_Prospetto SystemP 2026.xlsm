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Lavoro\Calkos\Calkos.web\Documentazione\MACRO_NORMALIZZA_EXCEL\PROSPETTI_RAGIONIERE_PRODUZIONE_BACK_UP_08_05_2026_H12\"/>
    </mc:Choice>
  </mc:AlternateContent>
  <bookViews>
    <workbookView xWindow="-120" yWindow="-120" windowWidth="29040" windowHeight="15720" tabRatio="590" firstSheet="10" activeTab="10"/>
  </bookViews>
  <sheets>
    <sheet name="120 gg" sheetId="16" state="hidden" r:id="rId1"/>
    <sheet name="90 gg" sheetId="15" state="hidden" r:id="rId2"/>
    <sheet name="60 gg" sheetId="14" state="hidden" r:id="rId3"/>
    <sheet name="30 gg" sheetId="13" state="hidden" r:id="rId4"/>
    <sheet name="Rimessa diretta" sheetId="12" state="hidden" r:id="rId5"/>
    <sheet name="Bronzo" sheetId="10" state="hidden" r:id="rId6"/>
    <sheet name="Rame" sheetId="8" state="hidden" r:id="rId7"/>
    <sheet name="Ottone" sheetId="7" state="hidden" r:id="rId8"/>
    <sheet name="Tabella" sheetId="5" state="hidden" r:id="rId9"/>
    <sheet name="Tabelle" sheetId="1" state="hidden" r:id="rId10"/>
    <sheet name="Calkos" sheetId="2" r:id="rId11"/>
    <sheet name="Foglio1" sheetId="20" state="hidden" r:id="rId12"/>
    <sheet name="Settimana" sheetId="19" r:id="rId13"/>
    <sheet name="Consegna" sheetId="18" r:id="rId14"/>
    <sheet name="Luke SkyWalker" sheetId="3" state="hidden" r:id="rId15"/>
    <sheet name="Luca" sheetId="11" state="hidden" r:id="rId16"/>
    <sheet name="Ivan" sheetId="4" state="hidden" r:id="rId17"/>
    <sheet name="Riepilogo consegne" sheetId="17" state="hidden" r:id="rId18"/>
  </sheets>
  <functionGroups builtInGroupCount="18"/>
  <definedNames>
    <definedName name="_Alu2">Tabelle!$S$4:$S$42</definedName>
    <definedName name="_xlnm._FilterDatabase" localSheetId="0" hidden="1">'120 gg'!$B$5:$B$52</definedName>
    <definedName name="_xlnm._FilterDatabase" localSheetId="3" hidden="1">'30 gg'!$B$5:$B$52</definedName>
    <definedName name="_xlnm._FilterDatabase" localSheetId="2" hidden="1">'60 gg'!$B$5:$B$52</definedName>
    <definedName name="_xlnm._FilterDatabase" localSheetId="1" hidden="1">'90 gg'!$B$5:$B$45</definedName>
    <definedName name="_xlnm._FilterDatabase" localSheetId="10" hidden="1">Calkos!$A$5:$AH$2854</definedName>
    <definedName name="_xlnm._FilterDatabase" localSheetId="4" hidden="1">'Rimessa diretta'!$B$5:$B$52</definedName>
    <definedName name="Al">Tabelle!$H$5:$H$21</definedName>
    <definedName name="Alu">Tabelle!$S$3:$S$42</definedName>
    <definedName name="_xlnm.Print_Area" localSheetId="0">'120 gg'!$A$1:$V$52</definedName>
    <definedName name="_xlnm.Print_Area" localSheetId="3">'30 gg'!$A$1:$V$52</definedName>
    <definedName name="_xlnm.Print_Area" localSheetId="2">'60 gg'!$A$1:$V$52</definedName>
    <definedName name="_xlnm.Print_Area" localSheetId="1">'90 gg'!$A$1:$V$45</definedName>
    <definedName name="_xlnm.Print_Area" localSheetId="10">Calkos!$A$1:$U$2854</definedName>
    <definedName name="_xlnm.Print_Area" localSheetId="4">'Rimessa diretta'!$A$1:$V$52</definedName>
    <definedName name="Br">Tabelle!$K$5:$K$10</definedName>
    <definedName name="Cu">Tabelle!$J$5:$J$10</definedName>
    <definedName name="Delta">Foglio1!$F$4:$F$6</definedName>
    <definedName name="LarCu">Tabelle!$M$9:$P$9</definedName>
    <definedName name="LargAl">Tabelle!$M$7:$O$7</definedName>
    <definedName name="LargBr">Tabelle!$M$11:$Q$11</definedName>
    <definedName name="Materiale">Tabelle!$H$3:$J$3</definedName>
    <definedName name="Materiale2">Tabelle!$H$3:$K$3</definedName>
    <definedName name="Ot">Tabelle!$I$5:$I$10</definedName>
    <definedName name="ProvvAl">Tabelle!$H$31:$J$31</definedName>
    <definedName name="ProvvAl2">Tabelle!$H$31:$K$31</definedName>
    <definedName name="ProvvAl3">Tabelle!$M$31:$R$31</definedName>
    <definedName name="ProvvBr">Tabelle!$H$33:$I$33</definedName>
    <definedName name="ProvvCu">Tabelle!$H$32:$I$32</definedName>
    <definedName name="ProvvCu2">Tabelle!$H$32:$J$32</definedName>
    <definedName name="ProvvCu3">Tabelle!$H$32:$L$32</definedName>
    <definedName name="Provvigioni">Foglio1!$D$4:$D$6</definedName>
    <definedName name="Scadenza">Tabella!$M$40:$M$42</definedName>
  </definedNames>
  <calcPr calcId="162913"/>
</workbook>
</file>

<file path=xl/calcChain.xml><?xml version="1.0" encoding="utf-8"?>
<calcChain xmlns="http://schemas.openxmlformats.org/spreadsheetml/2006/main">
  <c r="AO2852" i="2" l="1"/>
  <c r="AN2852" i="2"/>
  <c r="Q2852" i="2"/>
  <c r="M2852" i="2"/>
  <c r="H2852" i="2"/>
  <c r="AO2851" i="2"/>
  <c r="AN2851" i="2"/>
  <c r="Q2851" i="2"/>
  <c r="M2851" i="2"/>
  <c r="H2851" i="2"/>
  <c r="AO2850" i="2"/>
  <c r="AN2850" i="2"/>
  <c r="Q2850" i="2"/>
  <c r="M2850" i="2"/>
  <c r="H2850" i="2"/>
  <c r="AO2849" i="2"/>
  <c r="AN2849" i="2"/>
  <c r="Q2849" i="2"/>
  <c r="M2849" i="2"/>
  <c r="H2849" i="2"/>
  <c r="AO2848" i="2"/>
  <c r="AN2848" i="2"/>
  <c r="Q2848" i="2"/>
  <c r="M2848" i="2"/>
  <c r="H2848" i="2"/>
  <c r="AO2847" i="2"/>
  <c r="AN2847" i="2"/>
  <c r="Q2847" i="2"/>
  <c r="M2847" i="2"/>
  <c r="H2847" i="2"/>
  <c r="AO2846" i="2"/>
  <c r="AN2846" i="2"/>
  <c r="Q2846" i="2"/>
  <c r="M2846" i="2"/>
  <c r="H2846" i="2"/>
  <c r="AO2845" i="2"/>
  <c r="AN2845" i="2"/>
  <c r="Q2845" i="2"/>
  <c r="M2845" i="2"/>
  <c r="H2845" i="2"/>
  <c r="AO2844" i="2"/>
  <c r="AN2844" i="2"/>
  <c r="Q2844" i="2"/>
  <c r="M2844" i="2"/>
  <c r="H2844" i="2"/>
  <c r="AO2843" i="2"/>
  <c r="AN2843" i="2"/>
  <c r="Q2843" i="2"/>
  <c r="M2843" i="2"/>
  <c r="H2843" i="2"/>
  <c r="AO2842" i="2"/>
  <c r="AN2842" i="2"/>
  <c r="Q2842" i="2"/>
  <c r="M2842" i="2"/>
  <c r="H2842" i="2"/>
  <c r="AO2841" i="2"/>
  <c r="AN2841" i="2"/>
  <c r="Q2841" i="2"/>
  <c r="M2841" i="2"/>
  <c r="H2841" i="2"/>
  <c r="AO2840" i="2"/>
  <c r="AN2840" i="2"/>
  <c r="Q2840" i="2"/>
  <c r="M2840" i="2"/>
  <c r="H2840" i="2"/>
  <c r="AO2839" i="2"/>
  <c r="AN2839" i="2"/>
  <c r="Q2839" i="2"/>
  <c r="M2839" i="2"/>
  <c r="H2839" i="2"/>
  <c r="AO2838" i="2"/>
  <c r="AN2838" i="2"/>
  <c r="Q2838" i="2"/>
  <c r="M2838" i="2"/>
  <c r="H2838" i="2"/>
  <c r="AO2837" i="2"/>
  <c r="AN2837" i="2"/>
  <c r="Q2837" i="2"/>
  <c r="M2837" i="2"/>
  <c r="H2837" i="2"/>
  <c r="AO2836" i="2"/>
  <c r="AN2836" i="2"/>
  <c r="Q2836" i="2"/>
  <c r="M2836" i="2"/>
  <c r="H2836" i="2"/>
  <c r="AO2835" i="2"/>
  <c r="AN2835" i="2"/>
  <c r="Q2835" i="2"/>
  <c r="M2835" i="2"/>
  <c r="H2835" i="2"/>
  <c r="AO2834" i="2"/>
  <c r="AN2834" i="2"/>
  <c r="Q2834" i="2"/>
  <c r="M2834" i="2"/>
  <c r="H2834" i="2"/>
  <c r="AO2833" i="2"/>
  <c r="AN2833" i="2"/>
  <c r="Q2833" i="2"/>
  <c r="M2833" i="2"/>
  <c r="H2833" i="2"/>
  <c r="AO2832" i="2"/>
  <c r="AN2832" i="2"/>
  <c r="Q2832" i="2"/>
  <c r="M2832" i="2"/>
  <c r="H2832" i="2"/>
  <c r="AO2831" i="2"/>
  <c r="AN2831" i="2"/>
  <c r="Q2831" i="2"/>
  <c r="M2831" i="2"/>
  <c r="H2831" i="2"/>
  <c r="AO2830" i="2"/>
  <c r="AN2830" i="2"/>
  <c r="Q2830" i="2"/>
  <c r="M2830" i="2"/>
  <c r="H2830" i="2"/>
  <c r="AO2829" i="2"/>
  <c r="AN2829" i="2"/>
  <c r="Q2829" i="2"/>
  <c r="M2829" i="2"/>
  <c r="H2829" i="2"/>
  <c r="AO2828" i="2"/>
  <c r="AN2828" i="2"/>
  <c r="Q2828" i="2"/>
  <c r="M2828" i="2"/>
  <c r="H2828" i="2"/>
  <c r="AO2827" i="2"/>
  <c r="AN2827" i="2"/>
  <c r="Q2827" i="2"/>
  <c r="M2827" i="2"/>
  <c r="H2827" i="2"/>
  <c r="AO2826" i="2"/>
  <c r="AN2826" i="2"/>
  <c r="Q2826" i="2"/>
  <c r="M2826" i="2"/>
  <c r="H2826" i="2"/>
  <c r="AO2825" i="2"/>
  <c r="AN2825" i="2"/>
  <c r="Q2825" i="2"/>
  <c r="M2825" i="2"/>
  <c r="H2825" i="2"/>
  <c r="AO2824" i="2"/>
  <c r="AN2824" i="2"/>
  <c r="Q2824" i="2"/>
  <c r="M2824" i="2"/>
  <c r="H2824" i="2"/>
  <c r="AO2823" i="2"/>
  <c r="AN2823" i="2"/>
  <c r="Q2823" i="2"/>
  <c r="M2823" i="2"/>
  <c r="H2823" i="2"/>
  <c r="AO2822" i="2"/>
  <c r="AN2822" i="2"/>
  <c r="Q2822" i="2"/>
  <c r="M2822" i="2"/>
  <c r="H2822" i="2"/>
  <c r="AO2821" i="2"/>
  <c r="AN2821" i="2"/>
  <c r="Q2821" i="2"/>
  <c r="M2821" i="2"/>
  <c r="H2821" i="2"/>
  <c r="AO2820" i="2"/>
  <c r="AN2820" i="2"/>
  <c r="Q2820" i="2"/>
  <c r="M2820" i="2"/>
  <c r="H2820" i="2"/>
  <c r="AO2819" i="2"/>
  <c r="AN2819" i="2"/>
  <c r="Q2819" i="2"/>
  <c r="M2819" i="2"/>
  <c r="H2819" i="2"/>
  <c r="AO2818" i="2"/>
  <c r="AN2818" i="2"/>
  <c r="Q2818" i="2"/>
  <c r="M2818" i="2"/>
  <c r="H2818" i="2"/>
  <c r="AO2817" i="2"/>
  <c r="AN2817" i="2"/>
  <c r="Q2817" i="2"/>
  <c r="M2817" i="2"/>
  <c r="H2817" i="2"/>
  <c r="AO2816" i="2"/>
  <c r="AN2816" i="2"/>
  <c r="Q2816" i="2"/>
  <c r="M2816" i="2"/>
  <c r="H2816" i="2"/>
  <c r="AO2815" i="2"/>
  <c r="AN2815" i="2"/>
  <c r="Q2815" i="2"/>
  <c r="M2815" i="2"/>
  <c r="H2815" i="2"/>
  <c r="AO2814" i="2"/>
  <c r="AN2814" i="2"/>
  <c r="Q2814" i="2"/>
  <c r="M2814" i="2"/>
  <c r="H2814" i="2"/>
  <c r="AO2813" i="2"/>
  <c r="AN2813" i="2"/>
  <c r="Q2813" i="2"/>
  <c r="M2813" i="2"/>
  <c r="H2813" i="2"/>
  <c r="AO2812" i="2"/>
  <c r="AN2812" i="2"/>
  <c r="Q2812" i="2"/>
  <c r="M2812" i="2"/>
  <c r="H2812" i="2"/>
  <c r="AO2811" i="2"/>
  <c r="AN2811" i="2"/>
  <c r="Q2811" i="2"/>
  <c r="M2811" i="2"/>
  <c r="H2811" i="2"/>
  <c r="AO2810" i="2"/>
  <c r="AN2810" i="2"/>
  <c r="Q2810" i="2"/>
  <c r="M2810" i="2"/>
  <c r="H2810" i="2"/>
  <c r="AO2809" i="2"/>
  <c r="AN2809" i="2"/>
  <c r="Q2809" i="2"/>
  <c r="M2809" i="2"/>
  <c r="H2809" i="2"/>
  <c r="AO2808" i="2"/>
  <c r="AN2808" i="2"/>
  <c r="Q2808" i="2"/>
  <c r="M2808" i="2"/>
  <c r="H2808" i="2"/>
  <c r="AO2807" i="2"/>
  <c r="AN2807" i="2"/>
  <c r="Q2807" i="2"/>
  <c r="M2807" i="2"/>
  <c r="H2807" i="2"/>
  <c r="AO2806" i="2"/>
  <c r="AN2806" i="2"/>
  <c r="Q2806" i="2"/>
  <c r="M2806" i="2"/>
  <c r="H2806" i="2"/>
  <c r="AO2805" i="2"/>
  <c r="AN2805" i="2"/>
  <c r="Q2805" i="2"/>
  <c r="M2805" i="2"/>
  <c r="H2805" i="2"/>
  <c r="AO2804" i="2"/>
  <c r="AN2804" i="2"/>
  <c r="Q2804" i="2"/>
  <c r="M2804" i="2"/>
  <c r="H2804" i="2"/>
  <c r="AO2803" i="2"/>
  <c r="AN2803" i="2"/>
  <c r="Q2803" i="2"/>
  <c r="M2803" i="2"/>
  <c r="H2803" i="2"/>
  <c r="AO2802" i="2"/>
  <c r="AN2802" i="2"/>
  <c r="Q2802" i="2"/>
  <c r="M2802" i="2"/>
  <c r="H2802" i="2"/>
  <c r="AO2801" i="2"/>
  <c r="AN2801" i="2"/>
  <c r="Q2801" i="2"/>
  <c r="M2801" i="2"/>
  <c r="H2801" i="2"/>
  <c r="R2852" i="2" l="1"/>
  <c r="T2852" i="2" s="1"/>
  <c r="U2852" i="2" s="1"/>
  <c r="R2850" i="2"/>
  <c r="T2850" i="2" s="1"/>
  <c r="U2850" i="2" s="1"/>
  <c r="R2851" i="2"/>
  <c r="T2851" i="2" s="1"/>
  <c r="U2851" i="2" s="1"/>
  <c r="R2848" i="2"/>
  <c r="T2848" i="2" s="1"/>
  <c r="U2848" i="2" s="1"/>
  <c r="R2849" i="2"/>
  <c r="T2849" i="2" s="1"/>
  <c r="U2849" i="2" s="1"/>
  <c r="R2846" i="2"/>
  <c r="T2846" i="2" s="1"/>
  <c r="U2846" i="2" s="1"/>
  <c r="R2847" i="2"/>
  <c r="T2847" i="2" s="1"/>
  <c r="U2847" i="2" s="1"/>
  <c r="R2844" i="2"/>
  <c r="T2844" i="2" s="1"/>
  <c r="U2844" i="2" s="1"/>
  <c r="R2845" i="2"/>
  <c r="T2845" i="2" s="1"/>
  <c r="U2845" i="2" s="1"/>
  <c r="R2843" i="2"/>
  <c r="T2843" i="2" s="1"/>
  <c r="U2843" i="2" s="1"/>
  <c r="R2842" i="2"/>
  <c r="T2842" i="2" s="1"/>
  <c r="U2842" i="2" s="1"/>
  <c r="R2840" i="2"/>
  <c r="T2840" i="2" s="1"/>
  <c r="U2840" i="2" s="1"/>
  <c r="R2841" i="2"/>
  <c r="T2841" i="2" s="1"/>
  <c r="U2841" i="2" s="1"/>
  <c r="R2839" i="2"/>
  <c r="T2839" i="2" s="1"/>
  <c r="U2839" i="2" s="1"/>
  <c r="R2838" i="2"/>
  <c r="T2838" i="2" s="1"/>
  <c r="U2838" i="2" s="1"/>
  <c r="R2837" i="2"/>
  <c r="T2837" i="2" s="1"/>
  <c r="U2837" i="2" s="1"/>
  <c r="R2836" i="2"/>
  <c r="T2836" i="2" s="1"/>
  <c r="U2836" i="2" s="1"/>
  <c r="R2834" i="2"/>
  <c r="T2834" i="2" s="1"/>
  <c r="U2834" i="2" s="1"/>
  <c r="R2835" i="2"/>
  <c r="T2835" i="2" s="1"/>
  <c r="U2835" i="2" s="1"/>
  <c r="R2832" i="2"/>
  <c r="T2832" i="2" s="1"/>
  <c r="U2832" i="2" s="1"/>
  <c r="R2833" i="2"/>
  <c r="T2833" i="2" s="1"/>
  <c r="U2833" i="2" s="1"/>
  <c r="R2831" i="2"/>
  <c r="T2831" i="2" s="1"/>
  <c r="U2831" i="2" s="1"/>
  <c r="R2830" i="2"/>
  <c r="T2830" i="2" s="1"/>
  <c r="U2830" i="2" s="1"/>
  <c r="R2828" i="2"/>
  <c r="T2828" i="2" s="1"/>
  <c r="U2828" i="2" s="1"/>
  <c r="R2829" i="2"/>
  <c r="T2829" i="2" s="1"/>
  <c r="U2829" i="2" s="1"/>
  <c r="R2827" i="2"/>
  <c r="T2827" i="2" s="1"/>
  <c r="U2827" i="2" s="1"/>
  <c r="R2825" i="2"/>
  <c r="T2825" i="2" s="1"/>
  <c r="U2825" i="2" s="1"/>
  <c r="R2826" i="2"/>
  <c r="T2826" i="2" s="1"/>
  <c r="U2826" i="2" s="1"/>
  <c r="R2824" i="2"/>
  <c r="T2824" i="2" s="1"/>
  <c r="U2824" i="2" s="1"/>
  <c r="R2823" i="2"/>
  <c r="T2823" i="2" s="1"/>
  <c r="U2823" i="2" s="1"/>
  <c r="R2822" i="2"/>
  <c r="T2822" i="2" s="1"/>
  <c r="U2822" i="2" s="1"/>
  <c r="R2821" i="2"/>
  <c r="T2821" i="2" s="1"/>
  <c r="U2821" i="2" s="1"/>
  <c r="R2820" i="2"/>
  <c r="T2820" i="2" s="1"/>
  <c r="U2820" i="2" s="1"/>
  <c r="R2818" i="2"/>
  <c r="T2818" i="2" s="1"/>
  <c r="U2818" i="2" s="1"/>
  <c r="R2819" i="2"/>
  <c r="T2819" i="2" s="1"/>
  <c r="U2819" i="2" s="1"/>
  <c r="R2817" i="2"/>
  <c r="T2817" i="2" s="1"/>
  <c r="U2817" i="2" s="1"/>
  <c r="R2816" i="2"/>
  <c r="T2816" i="2" s="1"/>
  <c r="U2816" i="2" s="1"/>
  <c r="R2815" i="2"/>
  <c r="T2815" i="2" s="1"/>
  <c r="U2815" i="2" s="1"/>
  <c r="R2813" i="2"/>
  <c r="T2813" i="2" s="1"/>
  <c r="U2813" i="2" s="1"/>
  <c r="R2814" i="2"/>
  <c r="T2814" i="2" s="1"/>
  <c r="U2814" i="2" s="1"/>
  <c r="R2812" i="2"/>
  <c r="T2812" i="2" s="1"/>
  <c r="U2812" i="2" s="1"/>
  <c r="R2811" i="2"/>
  <c r="T2811" i="2" s="1"/>
  <c r="U2811" i="2" s="1"/>
  <c r="R2810" i="2"/>
  <c r="T2810" i="2" s="1"/>
  <c r="U2810" i="2" s="1"/>
  <c r="R2809" i="2"/>
  <c r="T2809" i="2" s="1"/>
  <c r="U2809" i="2" s="1"/>
  <c r="R2807" i="2"/>
  <c r="T2807" i="2" s="1"/>
  <c r="U2807" i="2" s="1"/>
  <c r="R2808" i="2"/>
  <c r="T2808" i="2" s="1"/>
  <c r="U2808" i="2" s="1"/>
  <c r="R2806" i="2"/>
  <c r="T2806" i="2" s="1"/>
  <c r="U2806" i="2" s="1"/>
  <c r="R2804" i="2"/>
  <c r="T2804" i="2" s="1"/>
  <c r="U2804" i="2" s="1"/>
  <c r="R2805" i="2"/>
  <c r="T2805" i="2" s="1"/>
  <c r="U2805" i="2" s="1"/>
  <c r="R2803" i="2"/>
  <c r="T2803" i="2" s="1"/>
  <c r="U2803" i="2" s="1"/>
  <c r="R2802" i="2"/>
  <c r="T2802" i="2" s="1"/>
  <c r="U2802" i="2" s="1"/>
  <c r="R2801" i="2"/>
  <c r="T2801" i="2" s="1"/>
  <c r="U2801" i="2" s="1"/>
  <c r="AO2800" i="2" l="1"/>
  <c r="AN2800" i="2"/>
  <c r="Q2800" i="2"/>
  <c r="M2800" i="2"/>
  <c r="H2800" i="2"/>
  <c r="AO25" i="2"/>
  <c r="AN25" i="2"/>
  <c r="Q25" i="2"/>
  <c r="M25" i="2"/>
  <c r="H25" i="2"/>
  <c r="AO23" i="2"/>
  <c r="AN23" i="2"/>
  <c r="Q23" i="2"/>
  <c r="M23" i="2"/>
  <c r="H23" i="2"/>
  <c r="AO2799" i="2"/>
  <c r="AN2799" i="2"/>
  <c r="Q2799" i="2"/>
  <c r="M2799" i="2"/>
  <c r="H2799" i="2"/>
  <c r="C2881" i="2"/>
  <c r="R25" i="2" l="1"/>
  <c r="T25" i="2" s="1"/>
  <c r="U25" i="2" s="1"/>
  <c r="R2800" i="2"/>
  <c r="T2800" i="2" s="1"/>
  <c r="U2800" i="2" s="1"/>
  <c r="R23" i="2"/>
  <c r="T23" i="2" s="1"/>
  <c r="U23" i="2" s="1"/>
  <c r="R2799" i="2"/>
  <c r="T2799" i="2" s="1"/>
  <c r="U2799" i="2" s="1"/>
  <c r="C2873" i="2"/>
  <c r="C2893" i="2"/>
  <c r="AO2797" i="2"/>
  <c r="AN2797" i="2"/>
  <c r="Q2797" i="2"/>
  <c r="M2797" i="2"/>
  <c r="H2797" i="2"/>
  <c r="AO2796" i="2"/>
  <c r="AN2796" i="2"/>
  <c r="Q2796" i="2"/>
  <c r="M2796" i="2"/>
  <c r="H2796" i="2"/>
  <c r="AO6" i="2"/>
  <c r="AN6" i="2"/>
  <c r="Q6" i="2"/>
  <c r="M6" i="2"/>
  <c r="H6" i="2"/>
  <c r="R2796" i="2" l="1"/>
  <c r="T2796" i="2" s="1"/>
  <c r="U2796" i="2" s="1"/>
  <c r="R2797" i="2"/>
  <c r="T2797" i="2" s="1"/>
  <c r="U2797" i="2" s="1"/>
  <c r="R6" i="2"/>
  <c r="T6" i="2" s="1"/>
  <c r="U6" i="2" s="1"/>
  <c r="AO182" i="2"/>
  <c r="AN182" i="2"/>
  <c r="AO181" i="2"/>
  <c r="AN181" i="2"/>
  <c r="AO180" i="2"/>
  <c r="AN180" i="2"/>
  <c r="AO179" i="2"/>
  <c r="AN179" i="2"/>
  <c r="AO178" i="2"/>
  <c r="AN178" i="2"/>
  <c r="AO177" i="2"/>
  <c r="AN177" i="2"/>
  <c r="AO176" i="2"/>
  <c r="AN176" i="2"/>
  <c r="AO175" i="2"/>
  <c r="AN175" i="2"/>
  <c r="AO174" i="2"/>
  <c r="AN174" i="2"/>
  <c r="AO173" i="2"/>
  <c r="AN173" i="2"/>
  <c r="AO172" i="2"/>
  <c r="AN172" i="2"/>
  <c r="AO171" i="2"/>
  <c r="AN171" i="2"/>
  <c r="AO170" i="2"/>
  <c r="AN170" i="2"/>
  <c r="AO169" i="2"/>
  <c r="AN169" i="2"/>
  <c r="AO168" i="2"/>
  <c r="AN168" i="2"/>
  <c r="AO167" i="2"/>
  <c r="AN167" i="2"/>
  <c r="AO166" i="2"/>
  <c r="AN166" i="2"/>
  <c r="AO165" i="2"/>
  <c r="AN165" i="2"/>
  <c r="AO164" i="2"/>
  <c r="AN164" i="2"/>
  <c r="AO163" i="2"/>
  <c r="AN163" i="2"/>
  <c r="AO162" i="2"/>
  <c r="AN162" i="2"/>
  <c r="AO161" i="2"/>
  <c r="AN161" i="2"/>
  <c r="AO160" i="2"/>
  <c r="AN160" i="2"/>
  <c r="AO159" i="2"/>
  <c r="AN159" i="2"/>
  <c r="AO158" i="2"/>
  <c r="AN158" i="2"/>
  <c r="AO157" i="2"/>
  <c r="AN157" i="2"/>
  <c r="AO156" i="2"/>
  <c r="AN156" i="2"/>
  <c r="AO155" i="2"/>
  <c r="AN155" i="2"/>
  <c r="AO154" i="2"/>
  <c r="AN154" i="2"/>
  <c r="AO153" i="2"/>
  <c r="AN153" i="2"/>
  <c r="AO152" i="2"/>
  <c r="AN152" i="2"/>
  <c r="AO151" i="2"/>
  <c r="AN151" i="2"/>
  <c r="AO150" i="2"/>
  <c r="AN150" i="2"/>
  <c r="AO149" i="2"/>
  <c r="AN149" i="2"/>
  <c r="AO148" i="2"/>
  <c r="AN148" i="2"/>
  <c r="AO147" i="2"/>
  <c r="AN147" i="2"/>
  <c r="AO146" i="2"/>
  <c r="AN146" i="2"/>
  <c r="AO145" i="2"/>
  <c r="AN145" i="2"/>
  <c r="AO144" i="2"/>
  <c r="AN144" i="2"/>
  <c r="AO143" i="2"/>
  <c r="AN143" i="2"/>
  <c r="AO142" i="2"/>
  <c r="AN142" i="2"/>
  <c r="AO141" i="2"/>
  <c r="AN141" i="2"/>
  <c r="AO140" i="2"/>
  <c r="AN140" i="2"/>
  <c r="AO139" i="2"/>
  <c r="AN139" i="2"/>
  <c r="AO138" i="2"/>
  <c r="AN138" i="2"/>
  <c r="AO137" i="2"/>
  <c r="AN137" i="2"/>
  <c r="AO136" i="2"/>
  <c r="AN136" i="2"/>
  <c r="AO135" i="2"/>
  <c r="AN135" i="2"/>
  <c r="AO134" i="2"/>
  <c r="AN134" i="2"/>
  <c r="AO133" i="2"/>
  <c r="AN133" i="2"/>
  <c r="AO132" i="2"/>
  <c r="AN132" i="2"/>
  <c r="AO131" i="2"/>
  <c r="AN131" i="2"/>
  <c r="AO130" i="2"/>
  <c r="AN130" i="2"/>
  <c r="AO129" i="2"/>
  <c r="AN129" i="2"/>
  <c r="AO128" i="2"/>
  <c r="AN128" i="2"/>
  <c r="AO127" i="2"/>
  <c r="AN127" i="2"/>
  <c r="AO126" i="2"/>
  <c r="AN126" i="2"/>
  <c r="AO125" i="2"/>
  <c r="AN125" i="2"/>
  <c r="AO124" i="2"/>
  <c r="AN124" i="2"/>
  <c r="AO123" i="2"/>
  <c r="AN123" i="2"/>
  <c r="AO122" i="2"/>
  <c r="AN122" i="2"/>
  <c r="AO121" i="2"/>
  <c r="AN121" i="2"/>
  <c r="AO120" i="2"/>
  <c r="AN120" i="2"/>
  <c r="AO119" i="2"/>
  <c r="AN119" i="2"/>
  <c r="AO118" i="2"/>
  <c r="AN118" i="2"/>
  <c r="AO117" i="2"/>
  <c r="AN117" i="2"/>
  <c r="AO116" i="2"/>
  <c r="AN116" i="2"/>
  <c r="AO115" i="2"/>
  <c r="AN115" i="2"/>
  <c r="AO114" i="2"/>
  <c r="AN114" i="2"/>
  <c r="AO113" i="2"/>
  <c r="AN113" i="2"/>
  <c r="AO112" i="2"/>
  <c r="AN112" i="2"/>
  <c r="AO111" i="2"/>
  <c r="AN111" i="2"/>
  <c r="AO110" i="2"/>
  <c r="AN110" i="2"/>
  <c r="AO109" i="2"/>
  <c r="AN109" i="2"/>
  <c r="AO108" i="2"/>
  <c r="AN108" i="2"/>
  <c r="AO107" i="2"/>
  <c r="AN107" i="2"/>
  <c r="AO106" i="2"/>
  <c r="AN106" i="2"/>
  <c r="AO105" i="2"/>
  <c r="AN105" i="2"/>
  <c r="AO104" i="2"/>
  <c r="AN104" i="2"/>
  <c r="AO103" i="2"/>
  <c r="AN103" i="2"/>
  <c r="AO102" i="2"/>
  <c r="AN102" i="2"/>
  <c r="AO101" i="2"/>
  <c r="AN101" i="2"/>
  <c r="AO100" i="2"/>
  <c r="AN100" i="2"/>
  <c r="AO99" i="2"/>
  <c r="AN99" i="2"/>
  <c r="AO98" i="2"/>
  <c r="AN98" i="2"/>
  <c r="AO97" i="2"/>
  <c r="AN97" i="2"/>
  <c r="AO96" i="2"/>
  <c r="AN96" i="2"/>
  <c r="AO95" i="2"/>
  <c r="AN95" i="2"/>
  <c r="AO94" i="2"/>
  <c r="AN94" i="2"/>
  <c r="AO93" i="2"/>
  <c r="AN93" i="2"/>
  <c r="AO92" i="2"/>
  <c r="AN92" i="2"/>
  <c r="AO91" i="2"/>
  <c r="AN91" i="2"/>
  <c r="AO90" i="2"/>
  <c r="AN90" i="2"/>
  <c r="AO89" i="2"/>
  <c r="AN89" i="2"/>
  <c r="AO88" i="2"/>
  <c r="AN88" i="2"/>
  <c r="AO87" i="2"/>
  <c r="AN87" i="2"/>
  <c r="AO86" i="2"/>
  <c r="AN86" i="2"/>
  <c r="AO85" i="2"/>
  <c r="AN85" i="2"/>
  <c r="AO84" i="2"/>
  <c r="AN84" i="2"/>
  <c r="AO83" i="2"/>
  <c r="AN83" i="2"/>
  <c r="AO82" i="2"/>
  <c r="AN82" i="2"/>
  <c r="AO81" i="2"/>
  <c r="AN81" i="2"/>
  <c r="AO80" i="2"/>
  <c r="AN80" i="2"/>
  <c r="AO79" i="2"/>
  <c r="AN79" i="2"/>
  <c r="AO78" i="2"/>
  <c r="AN78" i="2"/>
  <c r="AO77" i="2"/>
  <c r="AN77" i="2"/>
  <c r="AO76" i="2"/>
  <c r="AN76" i="2"/>
  <c r="AO75" i="2"/>
  <c r="AN75" i="2"/>
  <c r="AO74" i="2"/>
  <c r="AN74" i="2"/>
  <c r="AO73" i="2"/>
  <c r="AN73" i="2"/>
  <c r="AO72" i="2"/>
  <c r="AN72" i="2"/>
  <c r="AO71" i="2"/>
  <c r="AN71" i="2"/>
  <c r="AO70" i="2"/>
  <c r="AN70" i="2"/>
  <c r="AO69" i="2"/>
  <c r="AN69" i="2"/>
  <c r="AO68" i="2"/>
  <c r="AN68" i="2"/>
  <c r="AO67" i="2"/>
  <c r="AN67" i="2"/>
  <c r="AO66" i="2"/>
  <c r="AN66" i="2"/>
  <c r="AO65" i="2"/>
  <c r="AN65" i="2"/>
  <c r="AO64" i="2"/>
  <c r="AN64" i="2"/>
  <c r="AO63" i="2"/>
  <c r="AN63" i="2"/>
  <c r="AO62" i="2"/>
  <c r="AN62" i="2"/>
  <c r="AO61" i="2"/>
  <c r="AN61" i="2"/>
  <c r="AO60" i="2"/>
  <c r="AN60" i="2"/>
  <c r="AO59" i="2"/>
  <c r="AN59" i="2"/>
  <c r="AO58" i="2"/>
  <c r="AN58" i="2"/>
  <c r="AO57" i="2"/>
  <c r="AN57" i="2"/>
  <c r="AO56" i="2"/>
  <c r="AN56" i="2"/>
  <c r="AO55" i="2"/>
  <c r="AN55" i="2"/>
  <c r="AO54" i="2"/>
  <c r="AN54" i="2"/>
  <c r="AO53" i="2"/>
  <c r="AN53" i="2"/>
  <c r="AO52" i="2"/>
  <c r="AN52" i="2"/>
  <c r="AO51" i="2"/>
  <c r="AN51" i="2"/>
  <c r="AO50" i="2"/>
  <c r="AN50" i="2"/>
  <c r="AO49" i="2"/>
  <c r="AN49" i="2"/>
  <c r="AO48" i="2"/>
  <c r="AN48" i="2"/>
  <c r="AO47" i="2"/>
  <c r="AN47" i="2"/>
  <c r="AO46" i="2"/>
  <c r="AN46" i="2"/>
  <c r="AO45" i="2"/>
  <c r="AN45" i="2"/>
  <c r="AO44" i="2"/>
  <c r="AN44" i="2"/>
  <c r="AO43" i="2"/>
  <c r="AN43" i="2"/>
  <c r="AO42" i="2"/>
  <c r="AN42" i="2"/>
  <c r="AO41" i="2"/>
  <c r="AN41" i="2"/>
  <c r="AO40" i="2"/>
  <c r="AN40" i="2"/>
  <c r="AO39" i="2"/>
  <c r="AN39" i="2"/>
  <c r="AO38" i="2"/>
  <c r="AN38" i="2"/>
  <c r="AO37" i="2"/>
  <c r="AN37" i="2"/>
  <c r="AO36" i="2"/>
  <c r="AN36" i="2"/>
  <c r="AO35" i="2"/>
  <c r="AN35" i="2"/>
  <c r="AO34" i="2"/>
  <c r="AN34" i="2"/>
  <c r="AO33" i="2"/>
  <c r="AN33" i="2"/>
  <c r="AO32" i="2"/>
  <c r="AN32" i="2"/>
  <c r="AO31" i="2"/>
  <c r="AN31" i="2"/>
  <c r="AO30" i="2"/>
  <c r="AN30" i="2"/>
  <c r="AO29" i="2"/>
  <c r="AN29" i="2"/>
  <c r="AO28" i="2"/>
  <c r="AN28" i="2"/>
  <c r="AO27" i="2"/>
  <c r="AN27" i="2"/>
  <c r="AO26" i="2"/>
  <c r="AN26" i="2"/>
  <c r="AO24" i="2"/>
  <c r="AN24" i="2"/>
  <c r="AO22" i="2"/>
  <c r="AN22" i="2"/>
  <c r="AO21" i="2"/>
  <c r="AN21" i="2"/>
  <c r="AO20" i="2"/>
  <c r="AN20" i="2"/>
  <c r="AO19" i="2"/>
  <c r="AN19" i="2"/>
  <c r="AO18" i="2"/>
  <c r="AN18" i="2"/>
  <c r="AO17" i="2"/>
  <c r="AN17" i="2"/>
  <c r="AO16" i="2"/>
  <c r="AN16" i="2"/>
  <c r="AO15" i="2"/>
  <c r="AN15" i="2"/>
  <c r="Q1377" i="2"/>
  <c r="M1377" i="2"/>
  <c r="H1377" i="2"/>
  <c r="Q1376" i="2"/>
  <c r="M1376" i="2"/>
  <c r="H1376" i="2"/>
  <c r="Q1375" i="2"/>
  <c r="M1375" i="2"/>
  <c r="H1375" i="2"/>
  <c r="Q1374" i="2"/>
  <c r="M1374" i="2"/>
  <c r="H1374" i="2"/>
  <c r="Q1373" i="2"/>
  <c r="M1373" i="2"/>
  <c r="H1373" i="2"/>
  <c r="Q1372" i="2"/>
  <c r="M1372" i="2"/>
  <c r="H1372" i="2"/>
  <c r="Q1371" i="2"/>
  <c r="M1371" i="2"/>
  <c r="H1371" i="2"/>
  <c r="Q1370" i="2"/>
  <c r="M1370" i="2"/>
  <c r="H1370" i="2"/>
  <c r="Q1369" i="2"/>
  <c r="M1369" i="2"/>
  <c r="H1369" i="2"/>
  <c r="Q1368" i="2"/>
  <c r="M1368" i="2"/>
  <c r="H1368" i="2"/>
  <c r="Q1367" i="2"/>
  <c r="M1367" i="2"/>
  <c r="H1367" i="2"/>
  <c r="Q1366" i="2"/>
  <c r="M1366" i="2"/>
  <c r="H1366" i="2"/>
  <c r="Q1365" i="2"/>
  <c r="M1365" i="2"/>
  <c r="H1365" i="2"/>
  <c r="Q1364" i="2"/>
  <c r="M1364" i="2"/>
  <c r="H1364" i="2"/>
  <c r="Q1363" i="2"/>
  <c r="M1363" i="2"/>
  <c r="H1363" i="2"/>
  <c r="Q1362" i="2"/>
  <c r="M1362" i="2"/>
  <c r="H1362" i="2"/>
  <c r="Q1361" i="2"/>
  <c r="M1361" i="2"/>
  <c r="H1361" i="2"/>
  <c r="Q1360" i="2"/>
  <c r="M1360" i="2"/>
  <c r="H1360" i="2"/>
  <c r="Q1359" i="2"/>
  <c r="M1359" i="2"/>
  <c r="H1359" i="2"/>
  <c r="Q1358" i="2"/>
  <c r="M1358" i="2"/>
  <c r="H1358" i="2"/>
  <c r="Q1357" i="2"/>
  <c r="M1357" i="2"/>
  <c r="H1357" i="2"/>
  <c r="Q1356" i="2"/>
  <c r="M1356" i="2"/>
  <c r="H1356" i="2"/>
  <c r="Q1355" i="2"/>
  <c r="M1355" i="2"/>
  <c r="H1355" i="2"/>
  <c r="Q1354" i="2"/>
  <c r="M1354" i="2"/>
  <c r="H1354" i="2"/>
  <c r="Q1353" i="2"/>
  <c r="M1353" i="2"/>
  <c r="H1353" i="2"/>
  <c r="Q1352" i="2"/>
  <c r="M1352" i="2"/>
  <c r="H1352" i="2"/>
  <c r="Q1351" i="2"/>
  <c r="M1351" i="2"/>
  <c r="H1351" i="2"/>
  <c r="Q1350" i="2"/>
  <c r="M1350" i="2"/>
  <c r="H1350" i="2"/>
  <c r="Q1349" i="2"/>
  <c r="M1349" i="2"/>
  <c r="H1349" i="2"/>
  <c r="Q1348" i="2"/>
  <c r="M1348" i="2"/>
  <c r="H1348" i="2"/>
  <c r="Q1347" i="2"/>
  <c r="M1347" i="2"/>
  <c r="H1347" i="2"/>
  <c r="Q1346" i="2"/>
  <c r="M1346" i="2"/>
  <c r="H1346" i="2"/>
  <c r="Q1345" i="2"/>
  <c r="M1345" i="2"/>
  <c r="H1345" i="2"/>
  <c r="Q1344" i="2"/>
  <c r="M1344" i="2"/>
  <c r="H1344" i="2"/>
  <c r="Q1343" i="2"/>
  <c r="M1343" i="2"/>
  <c r="H1343" i="2"/>
  <c r="Q1342" i="2"/>
  <c r="M1342" i="2"/>
  <c r="H1342" i="2"/>
  <c r="Q1341" i="2"/>
  <c r="M1341" i="2"/>
  <c r="H1341" i="2"/>
  <c r="Q1340" i="2"/>
  <c r="M1340" i="2"/>
  <c r="H1340" i="2"/>
  <c r="Q1339" i="2"/>
  <c r="M1339" i="2"/>
  <c r="H1339" i="2"/>
  <c r="Q1338" i="2"/>
  <c r="M1338" i="2"/>
  <c r="H1338" i="2"/>
  <c r="Q1337" i="2"/>
  <c r="M1337" i="2"/>
  <c r="H1337" i="2"/>
  <c r="Q1336" i="2"/>
  <c r="M1336" i="2"/>
  <c r="H1336" i="2"/>
  <c r="Q1335" i="2"/>
  <c r="M1335" i="2"/>
  <c r="H1335" i="2"/>
  <c r="Q1334" i="2"/>
  <c r="M1334" i="2"/>
  <c r="H1334" i="2"/>
  <c r="Q1333" i="2"/>
  <c r="M1333" i="2"/>
  <c r="H1333" i="2"/>
  <c r="Q1332" i="2"/>
  <c r="M1332" i="2"/>
  <c r="H1332" i="2"/>
  <c r="Q1331" i="2"/>
  <c r="M1331" i="2"/>
  <c r="H1331" i="2"/>
  <c r="Q1330" i="2"/>
  <c r="M1330" i="2"/>
  <c r="H1330" i="2"/>
  <c r="Q1329" i="2"/>
  <c r="M1329" i="2"/>
  <c r="H1329" i="2"/>
  <c r="Q1328" i="2"/>
  <c r="M1328" i="2"/>
  <c r="H1328" i="2"/>
  <c r="Q1327" i="2"/>
  <c r="M1327" i="2"/>
  <c r="H1327" i="2"/>
  <c r="Q1326" i="2"/>
  <c r="M1326" i="2"/>
  <c r="H1326" i="2"/>
  <c r="Q1325" i="2"/>
  <c r="M1325" i="2"/>
  <c r="H1325" i="2"/>
  <c r="Q1324" i="2"/>
  <c r="M1324" i="2"/>
  <c r="H1324" i="2"/>
  <c r="Q1323" i="2"/>
  <c r="M1323" i="2"/>
  <c r="H1323" i="2"/>
  <c r="Q1322" i="2"/>
  <c r="M1322" i="2"/>
  <c r="H1322" i="2"/>
  <c r="Q1321" i="2"/>
  <c r="M1321" i="2"/>
  <c r="H1321" i="2"/>
  <c r="Q1320" i="2"/>
  <c r="M1320" i="2"/>
  <c r="H1320" i="2"/>
  <c r="Q1319" i="2"/>
  <c r="M1319" i="2"/>
  <c r="H1319" i="2"/>
  <c r="Q1318" i="2"/>
  <c r="M1318" i="2"/>
  <c r="H1318" i="2"/>
  <c r="Q1317" i="2"/>
  <c r="M1317" i="2"/>
  <c r="H1317" i="2"/>
  <c r="Q1316" i="2"/>
  <c r="M1316" i="2"/>
  <c r="H1316" i="2"/>
  <c r="Q1315" i="2"/>
  <c r="M1315" i="2"/>
  <c r="H1315" i="2"/>
  <c r="Q1314" i="2"/>
  <c r="M1314" i="2"/>
  <c r="H1314" i="2"/>
  <c r="Q1313" i="2"/>
  <c r="M1313" i="2"/>
  <c r="H1313" i="2"/>
  <c r="Q1312" i="2"/>
  <c r="M1312" i="2"/>
  <c r="H1312" i="2"/>
  <c r="Q1311" i="2"/>
  <c r="M1311" i="2"/>
  <c r="H1311" i="2"/>
  <c r="Q1310" i="2"/>
  <c r="M1310" i="2"/>
  <c r="H1310" i="2"/>
  <c r="Q1309" i="2"/>
  <c r="M1309" i="2"/>
  <c r="H1309" i="2"/>
  <c r="Q1308" i="2"/>
  <c r="M1308" i="2"/>
  <c r="H1308" i="2"/>
  <c r="Q1307" i="2"/>
  <c r="M1307" i="2"/>
  <c r="H1307" i="2"/>
  <c r="Q1306" i="2"/>
  <c r="M1306" i="2"/>
  <c r="H1306" i="2"/>
  <c r="Q1305" i="2"/>
  <c r="M1305" i="2"/>
  <c r="H1305" i="2"/>
  <c r="Q1304" i="2"/>
  <c r="M1304" i="2"/>
  <c r="H1304" i="2"/>
  <c r="Q1303" i="2"/>
  <c r="M1303" i="2"/>
  <c r="H1303" i="2"/>
  <c r="Q1302" i="2"/>
  <c r="M1302" i="2"/>
  <c r="H1302" i="2"/>
  <c r="Q1301" i="2"/>
  <c r="M1301" i="2"/>
  <c r="H1301" i="2"/>
  <c r="Q1300" i="2"/>
  <c r="M1300" i="2"/>
  <c r="H1300" i="2"/>
  <c r="Q1299" i="2"/>
  <c r="M1299" i="2"/>
  <c r="H1299" i="2"/>
  <c r="Q1298" i="2"/>
  <c r="M1298" i="2"/>
  <c r="H1298" i="2"/>
  <c r="Q1297" i="2"/>
  <c r="M1297" i="2"/>
  <c r="H1297" i="2"/>
  <c r="Q1296" i="2"/>
  <c r="M1296" i="2"/>
  <c r="H1296" i="2"/>
  <c r="Q1295" i="2"/>
  <c r="M1295" i="2"/>
  <c r="H1295" i="2"/>
  <c r="Q1294" i="2"/>
  <c r="M1294" i="2"/>
  <c r="H1294" i="2"/>
  <c r="Q1293" i="2"/>
  <c r="M1293" i="2"/>
  <c r="H1293" i="2"/>
  <c r="Q1292" i="2"/>
  <c r="M1292" i="2"/>
  <c r="H1292" i="2"/>
  <c r="Q1291" i="2"/>
  <c r="M1291" i="2"/>
  <c r="H1291" i="2"/>
  <c r="Q1290" i="2"/>
  <c r="M1290" i="2"/>
  <c r="H1290" i="2"/>
  <c r="Q1289" i="2"/>
  <c r="M1289" i="2"/>
  <c r="H1289" i="2"/>
  <c r="Q1288" i="2"/>
  <c r="M1288" i="2"/>
  <c r="H1288" i="2"/>
  <c r="Q1287" i="2"/>
  <c r="M1287" i="2"/>
  <c r="H1287" i="2"/>
  <c r="Q1286" i="2"/>
  <c r="M1286" i="2"/>
  <c r="H1286" i="2"/>
  <c r="Q1285" i="2"/>
  <c r="M1285" i="2"/>
  <c r="H1285" i="2"/>
  <c r="Q1284" i="2"/>
  <c r="M1284" i="2"/>
  <c r="H1284" i="2"/>
  <c r="Q1283" i="2"/>
  <c r="M1283" i="2"/>
  <c r="H1283" i="2"/>
  <c r="Q1282" i="2"/>
  <c r="M1282" i="2"/>
  <c r="H1282" i="2"/>
  <c r="Q1281" i="2"/>
  <c r="M1281" i="2"/>
  <c r="H1281" i="2"/>
  <c r="Q1280" i="2"/>
  <c r="M1280" i="2"/>
  <c r="H1280" i="2"/>
  <c r="Q1279" i="2"/>
  <c r="M1279" i="2"/>
  <c r="H1279" i="2"/>
  <c r="Q1278" i="2"/>
  <c r="M1278" i="2"/>
  <c r="H1278" i="2"/>
  <c r="Q1277" i="2"/>
  <c r="M1277" i="2"/>
  <c r="H1277" i="2"/>
  <c r="Q1276" i="2"/>
  <c r="M1276" i="2"/>
  <c r="H1276" i="2"/>
  <c r="Q1275" i="2"/>
  <c r="M1275" i="2"/>
  <c r="H1275" i="2"/>
  <c r="Q1274" i="2"/>
  <c r="M1274" i="2"/>
  <c r="H1274" i="2"/>
  <c r="Q1273" i="2"/>
  <c r="M1273" i="2"/>
  <c r="H1273" i="2"/>
  <c r="Q1272" i="2"/>
  <c r="M1272" i="2"/>
  <c r="H1272" i="2"/>
  <c r="Q1271" i="2"/>
  <c r="M1271" i="2"/>
  <c r="H1271" i="2"/>
  <c r="Q1270" i="2"/>
  <c r="M1270" i="2"/>
  <c r="H1270" i="2"/>
  <c r="Q1269" i="2"/>
  <c r="M1269" i="2"/>
  <c r="H1269" i="2"/>
  <c r="Q1268" i="2"/>
  <c r="M1268" i="2"/>
  <c r="H1268" i="2"/>
  <c r="Q1267" i="2"/>
  <c r="M1267" i="2"/>
  <c r="H1267" i="2"/>
  <c r="Q1266" i="2"/>
  <c r="M1266" i="2"/>
  <c r="H1266" i="2"/>
  <c r="Q1265" i="2"/>
  <c r="M1265" i="2"/>
  <c r="H1265" i="2"/>
  <c r="Q1264" i="2"/>
  <c r="M1264" i="2"/>
  <c r="H1264" i="2"/>
  <c r="Q1263" i="2"/>
  <c r="M1263" i="2"/>
  <c r="H1263" i="2"/>
  <c r="Q1262" i="2"/>
  <c r="M1262" i="2"/>
  <c r="H1262" i="2"/>
  <c r="Q1261" i="2"/>
  <c r="M1261" i="2"/>
  <c r="H1261" i="2"/>
  <c r="Q1260" i="2"/>
  <c r="M1260" i="2"/>
  <c r="H1260" i="2"/>
  <c r="Q1259" i="2"/>
  <c r="M1259" i="2"/>
  <c r="H1259" i="2"/>
  <c r="Q1258" i="2"/>
  <c r="M1258" i="2"/>
  <c r="H1258" i="2"/>
  <c r="Q1257" i="2"/>
  <c r="M1257" i="2"/>
  <c r="H1257" i="2"/>
  <c r="Q1256" i="2"/>
  <c r="M1256" i="2"/>
  <c r="H1256" i="2"/>
  <c r="Q1255" i="2"/>
  <c r="M1255" i="2"/>
  <c r="H1255" i="2"/>
  <c r="Q1254" i="2"/>
  <c r="M1254" i="2"/>
  <c r="H1254" i="2"/>
  <c r="Q1253" i="2"/>
  <c r="M1253" i="2"/>
  <c r="H1253" i="2"/>
  <c r="Q1252" i="2"/>
  <c r="M1252" i="2"/>
  <c r="H1252" i="2"/>
  <c r="Q1251" i="2"/>
  <c r="M1251" i="2"/>
  <c r="H1251" i="2"/>
  <c r="Q1250" i="2"/>
  <c r="M1250" i="2"/>
  <c r="H1250" i="2"/>
  <c r="Q1249" i="2"/>
  <c r="M1249" i="2"/>
  <c r="H1249" i="2"/>
  <c r="Q1248" i="2"/>
  <c r="M1248" i="2"/>
  <c r="H1248" i="2"/>
  <c r="Q1247" i="2"/>
  <c r="M1247" i="2"/>
  <c r="H1247" i="2"/>
  <c r="Q1246" i="2"/>
  <c r="M1246" i="2"/>
  <c r="H1246" i="2"/>
  <c r="Q1245" i="2"/>
  <c r="M1245" i="2"/>
  <c r="H1245" i="2"/>
  <c r="Q1244" i="2"/>
  <c r="M1244" i="2"/>
  <c r="H1244" i="2"/>
  <c r="Q1243" i="2"/>
  <c r="M1243" i="2"/>
  <c r="H1243" i="2"/>
  <c r="Q1242" i="2"/>
  <c r="M1242" i="2"/>
  <c r="H1242" i="2"/>
  <c r="Q1241" i="2"/>
  <c r="M1241" i="2"/>
  <c r="H1241" i="2"/>
  <c r="Q1240" i="2"/>
  <c r="M1240" i="2"/>
  <c r="H1240" i="2"/>
  <c r="Q1239" i="2"/>
  <c r="M1239" i="2"/>
  <c r="H1239" i="2"/>
  <c r="Q1238" i="2"/>
  <c r="M1238" i="2"/>
  <c r="H1238" i="2"/>
  <c r="Q1237" i="2"/>
  <c r="M1237" i="2"/>
  <c r="H1237" i="2"/>
  <c r="Q1236" i="2"/>
  <c r="M1236" i="2"/>
  <c r="H1236" i="2"/>
  <c r="Q1235" i="2"/>
  <c r="M1235" i="2"/>
  <c r="H1235" i="2"/>
  <c r="Q1234" i="2"/>
  <c r="M1234" i="2"/>
  <c r="H1234" i="2"/>
  <c r="Q1233" i="2"/>
  <c r="M1233" i="2"/>
  <c r="H1233" i="2"/>
  <c r="Q1232" i="2"/>
  <c r="M1232" i="2"/>
  <c r="H1232" i="2"/>
  <c r="Q1231" i="2"/>
  <c r="M1231" i="2"/>
  <c r="H1231" i="2"/>
  <c r="Q1230" i="2"/>
  <c r="M1230" i="2"/>
  <c r="H1230" i="2"/>
  <c r="Q1229" i="2"/>
  <c r="M1229" i="2"/>
  <c r="H1229" i="2"/>
  <c r="Q1228" i="2"/>
  <c r="M1228" i="2"/>
  <c r="H1228" i="2"/>
  <c r="Q1227" i="2"/>
  <c r="M1227" i="2"/>
  <c r="H1227" i="2"/>
  <c r="Q1226" i="2"/>
  <c r="M1226" i="2"/>
  <c r="H1226" i="2"/>
  <c r="Q1225" i="2"/>
  <c r="M1225" i="2"/>
  <c r="H1225" i="2"/>
  <c r="Q1224" i="2"/>
  <c r="M1224" i="2"/>
  <c r="H1224" i="2"/>
  <c r="Q1223" i="2"/>
  <c r="M1223" i="2"/>
  <c r="H1223" i="2"/>
  <c r="Q1222" i="2"/>
  <c r="M1222" i="2"/>
  <c r="H1222" i="2"/>
  <c r="Q1221" i="2"/>
  <c r="M1221" i="2"/>
  <c r="H1221" i="2"/>
  <c r="Q1220" i="2"/>
  <c r="M1220" i="2"/>
  <c r="H1220" i="2"/>
  <c r="Q1219" i="2"/>
  <c r="M1219" i="2"/>
  <c r="H1219" i="2"/>
  <c r="Q1218" i="2"/>
  <c r="M1218" i="2"/>
  <c r="H1218" i="2"/>
  <c r="Q1217" i="2"/>
  <c r="M1217" i="2"/>
  <c r="H1217" i="2"/>
  <c r="Q1216" i="2"/>
  <c r="M1216" i="2"/>
  <c r="H1216" i="2"/>
  <c r="Q1215" i="2"/>
  <c r="M1215" i="2"/>
  <c r="H1215" i="2"/>
  <c r="Q1214" i="2"/>
  <c r="M1214" i="2"/>
  <c r="H1214" i="2"/>
  <c r="Q1213" i="2"/>
  <c r="M1213" i="2"/>
  <c r="H1213" i="2"/>
  <c r="Q1212" i="2"/>
  <c r="M1212" i="2"/>
  <c r="H1212" i="2"/>
  <c r="Q1211" i="2"/>
  <c r="M1211" i="2"/>
  <c r="H1211" i="2"/>
  <c r="Q1210" i="2"/>
  <c r="M1210" i="2"/>
  <c r="H1210" i="2"/>
  <c r="Q1209" i="2"/>
  <c r="M1209" i="2"/>
  <c r="H1209" i="2"/>
  <c r="Q1208" i="2"/>
  <c r="M1208" i="2"/>
  <c r="H1208" i="2"/>
  <c r="Q1207" i="2"/>
  <c r="M1207" i="2"/>
  <c r="H1207" i="2"/>
  <c r="Q1206" i="2"/>
  <c r="M1206" i="2"/>
  <c r="H1206" i="2"/>
  <c r="Q1205" i="2"/>
  <c r="M1205" i="2"/>
  <c r="H1205" i="2"/>
  <c r="Q1204" i="2"/>
  <c r="M1204" i="2"/>
  <c r="H1204" i="2"/>
  <c r="Q1203" i="2"/>
  <c r="M1203" i="2"/>
  <c r="H1203" i="2"/>
  <c r="Q1202" i="2"/>
  <c r="M1202" i="2"/>
  <c r="H1202" i="2"/>
  <c r="Q1201" i="2"/>
  <c r="M1201" i="2"/>
  <c r="H1201" i="2"/>
  <c r="Q1200" i="2"/>
  <c r="M1200" i="2"/>
  <c r="H1200" i="2"/>
  <c r="Q1199" i="2"/>
  <c r="M1199" i="2"/>
  <c r="H1199" i="2"/>
  <c r="Q1198" i="2"/>
  <c r="M1198" i="2"/>
  <c r="H1198" i="2"/>
  <c r="Q1197" i="2"/>
  <c r="M1197" i="2"/>
  <c r="H1197" i="2"/>
  <c r="Q1196" i="2"/>
  <c r="M1196" i="2"/>
  <c r="H1196" i="2"/>
  <c r="Q1195" i="2"/>
  <c r="M1195" i="2"/>
  <c r="H1195" i="2"/>
  <c r="Q1194" i="2"/>
  <c r="M1194" i="2"/>
  <c r="H1194" i="2"/>
  <c r="Q1193" i="2"/>
  <c r="M1193" i="2"/>
  <c r="H1193" i="2"/>
  <c r="Q1192" i="2"/>
  <c r="M1192" i="2"/>
  <c r="H1192" i="2"/>
  <c r="Q1191" i="2"/>
  <c r="M1191" i="2"/>
  <c r="H1191" i="2"/>
  <c r="Q1190" i="2"/>
  <c r="M1190" i="2"/>
  <c r="H1190" i="2"/>
  <c r="Q1189" i="2"/>
  <c r="M1189" i="2"/>
  <c r="H1189" i="2"/>
  <c r="Q1188" i="2"/>
  <c r="M1188" i="2"/>
  <c r="H1188" i="2"/>
  <c r="Q1187" i="2"/>
  <c r="M1187" i="2"/>
  <c r="H1187" i="2"/>
  <c r="Q1186" i="2"/>
  <c r="M1186" i="2"/>
  <c r="H1186" i="2"/>
  <c r="Q1185" i="2"/>
  <c r="M1185" i="2"/>
  <c r="H1185" i="2"/>
  <c r="Q1184" i="2"/>
  <c r="M1184" i="2"/>
  <c r="H1184" i="2"/>
  <c r="Q1183" i="2"/>
  <c r="M1183" i="2"/>
  <c r="H1183" i="2"/>
  <c r="Q1182" i="2"/>
  <c r="M1182" i="2"/>
  <c r="H1182" i="2"/>
  <c r="Q1181" i="2"/>
  <c r="M1181" i="2"/>
  <c r="H1181" i="2"/>
  <c r="Q1180" i="2"/>
  <c r="M1180" i="2"/>
  <c r="H1180" i="2"/>
  <c r="Q1179" i="2"/>
  <c r="M1179" i="2"/>
  <c r="H1179" i="2"/>
  <c r="Q1178" i="2"/>
  <c r="M1178" i="2"/>
  <c r="H1178" i="2"/>
  <c r="Q1177" i="2"/>
  <c r="M1177" i="2"/>
  <c r="H1177" i="2"/>
  <c r="Q1176" i="2"/>
  <c r="M1176" i="2"/>
  <c r="H1176" i="2"/>
  <c r="Q1175" i="2"/>
  <c r="M1175" i="2"/>
  <c r="H1175" i="2"/>
  <c r="Q1174" i="2"/>
  <c r="M1174" i="2"/>
  <c r="H1174" i="2"/>
  <c r="Q1173" i="2"/>
  <c r="M1173" i="2"/>
  <c r="H1173" i="2"/>
  <c r="Q1172" i="2"/>
  <c r="M1172" i="2"/>
  <c r="H1172" i="2"/>
  <c r="Q1171" i="2"/>
  <c r="M1171" i="2"/>
  <c r="H1171" i="2"/>
  <c r="Q1170" i="2"/>
  <c r="M1170" i="2"/>
  <c r="H1170" i="2"/>
  <c r="Q1169" i="2"/>
  <c r="M1169" i="2"/>
  <c r="H1169" i="2"/>
  <c r="Q1168" i="2"/>
  <c r="M1168" i="2"/>
  <c r="H1168" i="2"/>
  <c r="Q1167" i="2"/>
  <c r="M1167" i="2"/>
  <c r="H1167" i="2"/>
  <c r="Q1166" i="2"/>
  <c r="M1166" i="2"/>
  <c r="H1166" i="2"/>
  <c r="Q1165" i="2"/>
  <c r="M1165" i="2"/>
  <c r="H1165" i="2"/>
  <c r="Q1164" i="2"/>
  <c r="M1164" i="2"/>
  <c r="H1164" i="2"/>
  <c r="Q1163" i="2"/>
  <c r="M1163" i="2"/>
  <c r="H1163" i="2"/>
  <c r="Q1162" i="2"/>
  <c r="M1162" i="2"/>
  <c r="H1162" i="2"/>
  <c r="Q1161" i="2"/>
  <c r="M1161" i="2"/>
  <c r="H1161" i="2"/>
  <c r="Q1160" i="2"/>
  <c r="M1160" i="2"/>
  <c r="H1160" i="2"/>
  <c r="Q1159" i="2"/>
  <c r="M1159" i="2"/>
  <c r="H1159" i="2"/>
  <c r="Q1158" i="2"/>
  <c r="M1158" i="2"/>
  <c r="H1158" i="2"/>
  <c r="Q1157" i="2"/>
  <c r="M1157" i="2"/>
  <c r="H1157" i="2"/>
  <c r="Q1156" i="2"/>
  <c r="M1156" i="2"/>
  <c r="H1156" i="2"/>
  <c r="Q1155" i="2"/>
  <c r="M1155" i="2"/>
  <c r="H1155" i="2"/>
  <c r="Q1154" i="2"/>
  <c r="M1154" i="2"/>
  <c r="H1154" i="2"/>
  <c r="Q1153" i="2"/>
  <c r="M1153" i="2"/>
  <c r="H1153" i="2"/>
  <c r="Q1152" i="2"/>
  <c r="M1152" i="2"/>
  <c r="H1152" i="2"/>
  <c r="Q1151" i="2"/>
  <c r="M1151" i="2"/>
  <c r="H1151" i="2"/>
  <c r="Q1150" i="2"/>
  <c r="M1150" i="2"/>
  <c r="H1150" i="2"/>
  <c r="Q1149" i="2"/>
  <c r="M1149" i="2"/>
  <c r="H1149" i="2"/>
  <c r="Q1148" i="2"/>
  <c r="M1148" i="2"/>
  <c r="H1148" i="2"/>
  <c r="Q1147" i="2"/>
  <c r="M1147" i="2"/>
  <c r="H1147" i="2"/>
  <c r="Q1146" i="2"/>
  <c r="M1146" i="2"/>
  <c r="H1146" i="2"/>
  <c r="Q1145" i="2"/>
  <c r="M1145" i="2"/>
  <c r="H1145" i="2"/>
  <c r="Q1144" i="2"/>
  <c r="M1144" i="2"/>
  <c r="H1144" i="2"/>
  <c r="Q1143" i="2"/>
  <c r="M1143" i="2"/>
  <c r="H1143" i="2"/>
  <c r="Q1142" i="2"/>
  <c r="M1142" i="2"/>
  <c r="H1142" i="2"/>
  <c r="Q1141" i="2"/>
  <c r="M1141" i="2"/>
  <c r="H1141" i="2"/>
  <c r="Q1140" i="2"/>
  <c r="M1140" i="2"/>
  <c r="H1140" i="2"/>
  <c r="Q1139" i="2"/>
  <c r="M1139" i="2"/>
  <c r="H1139" i="2"/>
  <c r="Q1138" i="2"/>
  <c r="M1138" i="2"/>
  <c r="H1138" i="2"/>
  <c r="Q1137" i="2"/>
  <c r="M1137" i="2"/>
  <c r="H1137" i="2"/>
  <c r="Q1136" i="2"/>
  <c r="M1136" i="2"/>
  <c r="H1136" i="2"/>
  <c r="Q1135" i="2"/>
  <c r="M1135" i="2"/>
  <c r="H1135" i="2"/>
  <c r="Q1134" i="2"/>
  <c r="M1134" i="2"/>
  <c r="H1134" i="2"/>
  <c r="Q1133" i="2"/>
  <c r="M1133" i="2"/>
  <c r="H1133" i="2"/>
  <c r="Q1132" i="2"/>
  <c r="M1132" i="2"/>
  <c r="H1132" i="2"/>
  <c r="Q1131" i="2"/>
  <c r="M1131" i="2"/>
  <c r="H1131" i="2"/>
  <c r="Q1130" i="2"/>
  <c r="M1130" i="2"/>
  <c r="H1130" i="2"/>
  <c r="Q1129" i="2"/>
  <c r="M1129" i="2"/>
  <c r="H1129" i="2"/>
  <c r="Q1128" i="2"/>
  <c r="M1128" i="2"/>
  <c r="H1128" i="2"/>
  <c r="Q1127" i="2"/>
  <c r="M1127" i="2"/>
  <c r="H1127" i="2"/>
  <c r="Q1126" i="2"/>
  <c r="M1126" i="2"/>
  <c r="H1126" i="2"/>
  <c r="Q1125" i="2"/>
  <c r="M1125" i="2"/>
  <c r="H1125" i="2"/>
  <c r="Q1124" i="2"/>
  <c r="M1124" i="2"/>
  <c r="H1124" i="2"/>
  <c r="Q1123" i="2"/>
  <c r="M1123" i="2"/>
  <c r="H1123" i="2"/>
  <c r="Q1122" i="2"/>
  <c r="M1122" i="2"/>
  <c r="H1122" i="2"/>
  <c r="Q1121" i="2"/>
  <c r="M1121" i="2"/>
  <c r="H1121" i="2"/>
  <c r="Q1120" i="2"/>
  <c r="M1120" i="2"/>
  <c r="H1120" i="2"/>
  <c r="Q1119" i="2"/>
  <c r="M1119" i="2"/>
  <c r="H1119" i="2"/>
  <c r="Q1118" i="2"/>
  <c r="M1118" i="2"/>
  <c r="H1118" i="2"/>
  <c r="Q1117" i="2"/>
  <c r="M1117" i="2"/>
  <c r="H1117" i="2"/>
  <c r="Q1116" i="2"/>
  <c r="M1116" i="2"/>
  <c r="H1116" i="2"/>
  <c r="Q1115" i="2"/>
  <c r="M1115" i="2"/>
  <c r="H1115" i="2"/>
  <c r="Q1114" i="2"/>
  <c r="M1114" i="2"/>
  <c r="H1114" i="2"/>
  <c r="Q1113" i="2"/>
  <c r="M1113" i="2"/>
  <c r="H1113" i="2"/>
  <c r="Q1112" i="2"/>
  <c r="M1112" i="2"/>
  <c r="H1112" i="2"/>
  <c r="Q1111" i="2"/>
  <c r="M1111" i="2"/>
  <c r="H1111" i="2"/>
  <c r="Q1110" i="2"/>
  <c r="M1110" i="2"/>
  <c r="H1110" i="2"/>
  <c r="Q1109" i="2"/>
  <c r="M1109" i="2"/>
  <c r="H1109" i="2"/>
  <c r="Q1108" i="2"/>
  <c r="M1108" i="2"/>
  <c r="H1108" i="2"/>
  <c r="Q1107" i="2"/>
  <c r="M1107" i="2"/>
  <c r="H1107" i="2"/>
  <c r="Q1106" i="2"/>
  <c r="M1106" i="2"/>
  <c r="H1106" i="2"/>
  <c r="Q1105" i="2"/>
  <c r="M1105" i="2"/>
  <c r="H1105" i="2"/>
  <c r="Q1104" i="2"/>
  <c r="M1104" i="2"/>
  <c r="H1104" i="2"/>
  <c r="Q1103" i="2"/>
  <c r="M1103" i="2"/>
  <c r="H1103" i="2"/>
  <c r="Q1102" i="2"/>
  <c r="M1102" i="2"/>
  <c r="H1102" i="2"/>
  <c r="Q1101" i="2"/>
  <c r="M1101" i="2"/>
  <c r="H1101" i="2"/>
  <c r="Q1100" i="2"/>
  <c r="M1100" i="2"/>
  <c r="H1100" i="2"/>
  <c r="Q1099" i="2"/>
  <c r="M1099" i="2"/>
  <c r="H1099" i="2"/>
  <c r="Q1098" i="2"/>
  <c r="M1098" i="2"/>
  <c r="H1098" i="2"/>
  <c r="Q1097" i="2"/>
  <c r="M1097" i="2"/>
  <c r="H1097" i="2"/>
  <c r="Q1096" i="2"/>
  <c r="M1096" i="2"/>
  <c r="H1096" i="2"/>
  <c r="Q1095" i="2"/>
  <c r="M1095" i="2"/>
  <c r="H1095" i="2"/>
  <c r="Q1094" i="2"/>
  <c r="M1094" i="2"/>
  <c r="H1094" i="2"/>
  <c r="Q1093" i="2"/>
  <c r="M1093" i="2"/>
  <c r="H1093" i="2"/>
  <c r="Q1092" i="2"/>
  <c r="M1092" i="2"/>
  <c r="H1092" i="2"/>
  <c r="Q1091" i="2"/>
  <c r="M1091" i="2"/>
  <c r="H1091" i="2"/>
  <c r="Q1090" i="2"/>
  <c r="M1090" i="2"/>
  <c r="H1090" i="2"/>
  <c r="Q1089" i="2"/>
  <c r="M1089" i="2"/>
  <c r="H1089" i="2"/>
  <c r="Q1088" i="2"/>
  <c r="M1088" i="2"/>
  <c r="H1088" i="2"/>
  <c r="Q1087" i="2"/>
  <c r="M1087" i="2"/>
  <c r="H1087" i="2"/>
  <c r="Q1086" i="2"/>
  <c r="M1086" i="2"/>
  <c r="H1086" i="2"/>
  <c r="Q1085" i="2"/>
  <c r="M1085" i="2"/>
  <c r="H1085" i="2"/>
  <c r="Q1084" i="2"/>
  <c r="M1084" i="2"/>
  <c r="H1084" i="2"/>
  <c r="Q1083" i="2"/>
  <c r="M1083" i="2"/>
  <c r="H1083" i="2"/>
  <c r="Q1082" i="2"/>
  <c r="M1082" i="2"/>
  <c r="H1082" i="2"/>
  <c r="Q1081" i="2"/>
  <c r="M1081" i="2"/>
  <c r="H1081" i="2"/>
  <c r="Q1080" i="2"/>
  <c r="M1080" i="2"/>
  <c r="H1080" i="2"/>
  <c r="Q1079" i="2"/>
  <c r="M1079" i="2"/>
  <c r="H1079" i="2"/>
  <c r="Q1078" i="2"/>
  <c r="M1078" i="2"/>
  <c r="H1078" i="2"/>
  <c r="Q1077" i="2"/>
  <c r="M1077" i="2"/>
  <c r="H1077" i="2"/>
  <c r="Q1076" i="2"/>
  <c r="M1076" i="2"/>
  <c r="H1076" i="2"/>
  <c r="Q1075" i="2"/>
  <c r="M1075" i="2"/>
  <c r="H1075" i="2"/>
  <c r="Q1074" i="2"/>
  <c r="M1074" i="2"/>
  <c r="H1074" i="2"/>
  <c r="Q1073" i="2"/>
  <c r="M1073" i="2"/>
  <c r="H1073" i="2"/>
  <c r="Q1072" i="2"/>
  <c r="M1072" i="2"/>
  <c r="H1072" i="2"/>
  <c r="Q1071" i="2"/>
  <c r="M1071" i="2"/>
  <c r="H1071" i="2"/>
  <c r="Q1070" i="2"/>
  <c r="M1070" i="2"/>
  <c r="H1070" i="2"/>
  <c r="Q1069" i="2"/>
  <c r="M1069" i="2"/>
  <c r="H1069" i="2"/>
  <c r="Q1068" i="2"/>
  <c r="M1068" i="2"/>
  <c r="H1068" i="2"/>
  <c r="Q1067" i="2"/>
  <c r="M1067" i="2"/>
  <c r="H1067" i="2"/>
  <c r="Q1066" i="2"/>
  <c r="M1066" i="2"/>
  <c r="H1066" i="2"/>
  <c r="Q1065" i="2"/>
  <c r="M1065" i="2"/>
  <c r="H1065" i="2"/>
  <c r="Q1064" i="2"/>
  <c r="M1064" i="2"/>
  <c r="H1064" i="2"/>
  <c r="Q1063" i="2"/>
  <c r="M1063" i="2"/>
  <c r="H1063" i="2"/>
  <c r="Q1062" i="2"/>
  <c r="M1062" i="2"/>
  <c r="H1062" i="2"/>
  <c r="Q1061" i="2"/>
  <c r="M1061" i="2"/>
  <c r="H1061" i="2"/>
  <c r="Q1060" i="2"/>
  <c r="M1060" i="2"/>
  <c r="H1060" i="2"/>
  <c r="Q1059" i="2"/>
  <c r="M1059" i="2"/>
  <c r="H1059" i="2"/>
  <c r="Q1058" i="2"/>
  <c r="M1058" i="2"/>
  <c r="H1058" i="2"/>
  <c r="Q1057" i="2"/>
  <c r="M1057" i="2"/>
  <c r="H1057" i="2"/>
  <c r="Q1056" i="2"/>
  <c r="M1056" i="2"/>
  <c r="H1056" i="2"/>
  <c r="Q1055" i="2"/>
  <c r="M1055" i="2"/>
  <c r="H1055" i="2"/>
  <c r="Q1054" i="2"/>
  <c r="M1054" i="2"/>
  <c r="H1054" i="2"/>
  <c r="Q1053" i="2"/>
  <c r="M1053" i="2"/>
  <c r="H1053" i="2"/>
  <c r="Q1052" i="2"/>
  <c r="M1052" i="2"/>
  <c r="H1052" i="2"/>
  <c r="Q1051" i="2"/>
  <c r="M1051" i="2"/>
  <c r="H1051" i="2"/>
  <c r="Q1050" i="2"/>
  <c r="M1050" i="2"/>
  <c r="H1050" i="2"/>
  <c r="Q1049" i="2"/>
  <c r="M1049" i="2"/>
  <c r="H1049" i="2"/>
  <c r="Q1048" i="2"/>
  <c r="M1048" i="2"/>
  <c r="H1048" i="2"/>
  <c r="Q1047" i="2"/>
  <c r="M1047" i="2"/>
  <c r="H1047" i="2"/>
  <c r="Q1046" i="2"/>
  <c r="M1046" i="2"/>
  <c r="H1046" i="2"/>
  <c r="Q1045" i="2"/>
  <c r="M1045" i="2"/>
  <c r="H1045" i="2"/>
  <c r="Q1044" i="2"/>
  <c r="M1044" i="2"/>
  <c r="H1044" i="2"/>
  <c r="Q1043" i="2"/>
  <c r="M1043" i="2"/>
  <c r="H1043" i="2"/>
  <c r="Q1042" i="2"/>
  <c r="M1042" i="2"/>
  <c r="H1042" i="2"/>
  <c r="Q1041" i="2"/>
  <c r="M1041" i="2"/>
  <c r="H1041" i="2"/>
  <c r="Q1040" i="2"/>
  <c r="M1040" i="2"/>
  <c r="H1040" i="2"/>
  <c r="Q1039" i="2"/>
  <c r="M1039" i="2"/>
  <c r="H1039" i="2"/>
  <c r="Q1038" i="2"/>
  <c r="M1038" i="2"/>
  <c r="H1038" i="2"/>
  <c r="Q1037" i="2"/>
  <c r="M1037" i="2"/>
  <c r="H1037" i="2"/>
  <c r="Q1036" i="2"/>
  <c r="M1036" i="2"/>
  <c r="H1036" i="2"/>
  <c r="Q1035" i="2"/>
  <c r="M1035" i="2"/>
  <c r="H1035" i="2"/>
  <c r="Q1034" i="2"/>
  <c r="M1034" i="2"/>
  <c r="H1034" i="2"/>
  <c r="Q1033" i="2"/>
  <c r="M1033" i="2"/>
  <c r="H1033" i="2"/>
  <c r="Q1032" i="2"/>
  <c r="M1032" i="2"/>
  <c r="H1032" i="2"/>
  <c r="Q1031" i="2"/>
  <c r="M1031" i="2"/>
  <c r="H1031" i="2"/>
  <c r="Q1030" i="2"/>
  <c r="M1030" i="2"/>
  <c r="H1030" i="2"/>
  <c r="Q1029" i="2"/>
  <c r="M1029" i="2"/>
  <c r="H1029" i="2"/>
  <c r="Q1028" i="2"/>
  <c r="M1028" i="2"/>
  <c r="H1028" i="2"/>
  <c r="Q1027" i="2"/>
  <c r="M1027" i="2"/>
  <c r="H1027" i="2"/>
  <c r="Q1026" i="2"/>
  <c r="M1026" i="2"/>
  <c r="H1026" i="2"/>
  <c r="Q1025" i="2"/>
  <c r="M1025" i="2"/>
  <c r="H1025" i="2"/>
  <c r="Q1024" i="2"/>
  <c r="M1024" i="2"/>
  <c r="H1024" i="2"/>
  <c r="Q1023" i="2"/>
  <c r="M1023" i="2"/>
  <c r="H1023" i="2"/>
  <c r="Q1022" i="2"/>
  <c r="M1022" i="2"/>
  <c r="H1022" i="2"/>
  <c r="Q1021" i="2"/>
  <c r="M1021" i="2"/>
  <c r="H1021" i="2"/>
  <c r="Q1020" i="2"/>
  <c r="M1020" i="2"/>
  <c r="H1020" i="2"/>
  <c r="Q1019" i="2"/>
  <c r="M1019" i="2"/>
  <c r="H1019" i="2"/>
  <c r="Q1018" i="2"/>
  <c r="M1018" i="2"/>
  <c r="H1018" i="2"/>
  <c r="Q1017" i="2"/>
  <c r="M1017" i="2"/>
  <c r="H1017" i="2"/>
  <c r="Q1016" i="2"/>
  <c r="M1016" i="2"/>
  <c r="H1016" i="2"/>
  <c r="Q1015" i="2"/>
  <c r="M1015" i="2"/>
  <c r="H1015" i="2"/>
  <c r="Q1014" i="2"/>
  <c r="M1014" i="2"/>
  <c r="H1014" i="2"/>
  <c r="Q1013" i="2"/>
  <c r="M1013" i="2"/>
  <c r="H1013" i="2"/>
  <c r="Q1012" i="2"/>
  <c r="M1012" i="2"/>
  <c r="H1012" i="2"/>
  <c r="Q1011" i="2"/>
  <c r="M1011" i="2"/>
  <c r="H1011" i="2"/>
  <c r="Q1010" i="2"/>
  <c r="M1010" i="2"/>
  <c r="H1010" i="2"/>
  <c r="Q1009" i="2"/>
  <c r="M1009" i="2"/>
  <c r="H1009" i="2"/>
  <c r="Q1008" i="2"/>
  <c r="M1008" i="2"/>
  <c r="H1008" i="2"/>
  <c r="Q1007" i="2"/>
  <c r="M1007" i="2"/>
  <c r="H1007" i="2"/>
  <c r="Q1006" i="2"/>
  <c r="M1006" i="2"/>
  <c r="H1006" i="2"/>
  <c r="Q1005" i="2"/>
  <c r="M1005" i="2"/>
  <c r="H1005" i="2"/>
  <c r="Q1004" i="2"/>
  <c r="M1004" i="2"/>
  <c r="H1004" i="2"/>
  <c r="Q1003" i="2"/>
  <c r="M1003" i="2"/>
  <c r="H1003" i="2"/>
  <c r="Q1002" i="2"/>
  <c r="M1002" i="2"/>
  <c r="H1002" i="2"/>
  <c r="Q1001" i="2"/>
  <c r="M1001" i="2"/>
  <c r="H1001" i="2"/>
  <c r="Q1000" i="2"/>
  <c r="M1000" i="2"/>
  <c r="H1000" i="2"/>
  <c r="Q999" i="2"/>
  <c r="M999" i="2"/>
  <c r="H999" i="2"/>
  <c r="Q998" i="2"/>
  <c r="M998" i="2"/>
  <c r="H998" i="2"/>
  <c r="Q997" i="2"/>
  <c r="M997" i="2"/>
  <c r="H997" i="2"/>
  <c r="Q996" i="2"/>
  <c r="M996" i="2"/>
  <c r="H996" i="2"/>
  <c r="Q995" i="2"/>
  <c r="M995" i="2"/>
  <c r="H995" i="2"/>
  <c r="Q994" i="2"/>
  <c r="M994" i="2"/>
  <c r="H994" i="2"/>
  <c r="Q993" i="2"/>
  <c r="M993" i="2"/>
  <c r="H993" i="2"/>
  <c r="Q992" i="2"/>
  <c r="M992" i="2"/>
  <c r="H992" i="2"/>
  <c r="Q991" i="2"/>
  <c r="M991" i="2"/>
  <c r="H991" i="2"/>
  <c r="Q990" i="2"/>
  <c r="M990" i="2"/>
  <c r="H990" i="2"/>
  <c r="Q989" i="2"/>
  <c r="M989" i="2"/>
  <c r="H989" i="2"/>
  <c r="Q988" i="2"/>
  <c r="M988" i="2"/>
  <c r="H988" i="2"/>
  <c r="Q987" i="2"/>
  <c r="M987" i="2"/>
  <c r="H987" i="2"/>
  <c r="Q986" i="2"/>
  <c r="M986" i="2"/>
  <c r="H986" i="2"/>
  <c r="Q985" i="2"/>
  <c r="M985" i="2"/>
  <c r="H985" i="2"/>
  <c r="Q984" i="2"/>
  <c r="M984" i="2"/>
  <c r="H984" i="2"/>
  <c r="Q983" i="2"/>
  <c r="M983" i="2"/>
  <c r="H983" i="2"/>
  <c r="Q982" i="2"/>
  <c r="M982" i="2"/>
  <c r="H982" i="2"/>
  <c r="Q981" i="2"/>
  <c r="M981" i="2"/>
  <c r="H981" i="2"/>
  <c r="Q980" i="2"/>
  <c r="M980" i="2"/>
  <c r="H980" i="2"/>
  <c r="Q979" i="2"/>
  <c r="M979" i="2"/>
  <c r="H979" i="2"/>
  <c r="Q978" i="2"/>
  <c r="M978" i="2"/>
  <c r="H978" i="2"/>
  <c r="Q977" i="2"/>
  <c r="M977" i="2"/>
  <c r="H977" i="2"/>
  <c r="Q976" i="2"/>
  <c r="M976" i="2"/>
  <c r="H976" i="2"/>
  <c r="Q975" i="2"/>
  <c r="M975" i="2"/>
  <c r="H975" i="2"/>
  <c r="Q974" i="2"/>
  <c r="M974" i="2"/>
  <c r="H974" i="2"/>
  <c r="Q973" i="2"/>
  <c r="M973" i="2"/>
  <c r="H973" i="2"/>
  <c r="Q972" i="2"/>
  <c r="M972" i="2"/>
  <c r="H972" i="2"/>
  <c r="Q971" i="2"/>
  <c r="M971" i="2"/>
  <c r="H971" i="2"/>
  <c r="Q970" i="2"/>
  <c r="M970" i="2"/>
  <c r="H970" i="2"/>
  <c r="Q969" i="2"/>
  <c r="M969" i="2"/>
  <c r="H969" i="2"/>
  <c r="Q968" i="2"/>
  <c r="M968" i="2"/>
  <c r="H968" i="2"/>
  <c r="Q967" i="2"/>
  <c r="M967" i="2"/>
  <c r="H967" i="2"/>
  <c r="Q966" i="2"/>
  <c r="M966" i="2"/>
  <c r="H966" i="2"/>
  <c r="Q965" i="2"/>
  <c r="M965" i="2"/>
  <c r="H965" i="2"/>
  <c r="Q964" i="2"/>
  <c r="M964" i="2"/>
  <c r="H964" i="2"/>
  <c r="Q963" i="2"/>
  <c r="M963" i="2"/>
  <c r="H963" i="2"/>
  <c r="Q962" i="2"/>
  <c r="M962" i="2"/>
  <c r="H962" i="2"/>
  <c r="Q961" i="2"/>
  <c r="M961" i="2"/>
  <c r="H961" i="2"/>
  <c r="Q960" i="2"/>
  <c r="M960" i="2"/>
  <c r="H960" i="2"/>
  <c r="Q959" i="2"/>
  <c r="M959" i="2"/>
  <c r="H959" i="2"/>
  <c r="Q958" i="2"/>
  <c r="M958" i="2"/>
  <c r="H958" i="2"/>
  <c r="Q957" i="2"/>
  <c r="M957" i="2"/>
  <c r="H957" i="2"/>
  <c r="Q956" i="2"/>
  <c r="M956" i="2"/>
  <c r="H956" i="2"/>
  <c r="Q955" i="2"/>
  <c r="M955" i="2"/>
  <c r="H955" i="2"/>
  <c r="Q954" i="2"/>
  <c r="M954" i="2"/>
  <c r="H954" i="2"/>
  <c r="Q953" i="2"/>
  <c r="M953" i="2"/>
  <c r="H953" i="2"/>
  <c r="Q952" i="2"/>
  <c r="M952" i="2"/>
  <c r="H952" i="2"/>
  <c r="Q951" i="2"/>
  <c r="M951" i="2"/>
  <c r="H951" i="2"/>
  <c r="Q950" i="2"/>
  <c r="M950" i="2"/>
  <c r="H950" i="2"/>
  <c r="Q949" i="2"/>
  <c r="M949" i="2"/>
  <c r="H949" i="2"/>
  <c r="Q948" i="2"/>
  <c r="M948" i="2"/>
  <c r="H948" i="2"/>
  <c r="Q947" i="2"/>
  <c r="M947" i="2"/>
  <c r="H947" i="2"/>
  <c r="Q946" i="2"/>
  <c r="M946" i="2"/>
  <c r="H946" i="2"/>
  <c r="Q945" i="2"/>
  <c r="M945" i="2"/>
  <c r="H945" i="2"/>
  <c r="Q944" i="2"/>
  <c r="M944" i="2"/>
  <c r="H944" i="2"/>
  <c r="Q943" i="2"/>
  <c r="M943" i="2"/>
  <c r="H943" i="2"/>
  <c r="Q942" i="2"/>
  <c r="M942" i="2"/>
  <c r="H942" i="2"/>
  <c r="Q941" i="2"/>
  <c r="M941" i="2"/>
  <c r="H941" i="2"/>
  <c r="Q940" i="2"/>
  <c r="M940" i="2"/>
  <c r="H940" i="2"/>
  <c r="Q939" i="2"/>
  <c r="M939" i="2"/>
  <c r="H939" i="2"/>
  <c r="Q938" i="2"/>
  <c r="M938" i="2"/>
  <c r="H938" i="2"/>
  <c r="Q937" i="2"/>
  <c r="M937" i="2"/>
  <c r="H937" i="2"/>
  <c r="Q936" i="2"/>
  <c r="M936" i="2"/>
  <c r="H936" i="2"/>
  <c r="Q935" i="2"/>
  <c r="M935" i="2"/>
  <c r="H935" i="2"/>
  <c r="Q934" i="2"/>
  <c r="M934" i="2"/>
  <c r="H934" i="2"/>
  <c r="Q933" i="2"/>
  <c r="M933" i="2"/>
  <c r="H933" i="2"/>
  <c r="Q932" i="2"/>
  <c r="M932" i="2"/>
  <c r="H932" i="2"/>
  <c r="Q931" i="2"/>
  <c r="M931" i="2"/>
  <c r="H931" i="2"/>
  <c r="Q930" i="2"/>
  <c r="M930" i="2"/>
  <c r="H930" i="2"/>
  <c r="Q929" i="2"/>
  <c r="M929" i="2"/>
  <c r="H929" i="2"/>
  <c r="Q928" i="2"/>
  <c r="M928" i="2"/>
  <c r="H928" i="2"/>
  <c r="Q927" i="2"/>
  <c r="M927" i="2"/>
  <c r="H927" i="2"/>
  <c r="Q926" i="2"/>
  <c r="M926" i="2"/>
  <c r="H926" i="2"/>
  <c r="Q925" i="2"/>
  <c r="M925" i="2"/>
  <c r="H925" i="2"/>
  <c r="Q924" i="2"/>
  <c r="M924" i="2"/>
  <c r="H924" i="2"/>
  <c r="Q923" i="2"/>
  <c r="M923" i="2"/>
  <c r="H923" i="2"/>
  <c r="Q922" i="2"/>
  <c r="M922" i="2"/>
  <c r="H922" i="2"/>
  <c r="Q921" i="2"/>
  <c r="M921" i="2"/>
  <c r="H921" i="2"/>
  <c r="Q920" i="2"/>
  <c r="M920" i="2"/>
  <c r="H920" i="2"/>
  <c r="Q919" i="2"/>
  <c r="M919" i="2"/>
  <c r="H919" i="2"/>
  <c r="Q918" i="2"/>
  <c r="M918" i="2"/>
  <c r="H918" i="2"/>
  <c r="Q917" i="2"/>
  <c r="M917" i="2"/>
  <c r="H917" i="2"/>
  <c r="Q916" i="2"/>
  <c r="M916" i="2"/>
  <c r="H916" i="2"/>
  <c r="Q915" i="2"/>
  <c r="M915" i="2"/>
  <c r="H915" i="2"/>
  <c r="Q914" i="2"/>
  <c r="M914" i="2"/>
  <c r="H914" i="2"/>
  <c r="Q913" i="2"/>
  <c r="M913" i="2"/>
  <c r="H913" i="2"/>
  <c r="Q912" i="2"/>
  <c r="M912" i="2"/>
  <c r="H912" i="2"/>
  <c r="Q911" i="2"/>
  <c r="M911" i="2"/>
  <c r="H911" i="2"/>
  <c r="Q910" i="2"/>
  <c r="M910" i="2"/>
  <c r="H910" i="2"/>
  <c r="Q909" i="2"/>
  <c r="M909" i="2"/>
  <c r="H909" i="2"/>
  <c r="Q908" i="2"/>
  <c r="M908" i="2"/>
  <c r="H908" i="2"/>
  <c r="Q907" i="2"/>
  <c r="M907" i="2"/>
  <c r="H907" i="2"/>
  <c r="Q906" i="2"/>
  <c r="M906" i="2"/>
  <c r="H906" i="2"/>
  <c r="Q905" i="2"/>
  <c r="M905" i="2"/>
  <c r="H905" i="2"/>
  <c r="Q904" i="2"/>
  <c r="M904" i="2"/>
  <c r="H904" i="2"/>
  <c r="Q903" i="2"/>
  <c r="M903" i="2"/>
  <c r="H903" i="2"/>
  <c r="Q902" i="2"/>
  <c r="M902" i="2"/>
  <c r="H902" i="2"/>
  <c r="Q901" i="2"/>
  <c r="M901" i="2"/>
  <c r="H901" i="2"/>
  <c r="Q900" i="2"/>
  <c r="M900" i="2"/>
  <c r="H900" i="2"/>
  <c r="Q899" i="2"/>
  <c r="M899" i="2"/>
  <c r="H899" i="2"/>
  <c r="Q898" i="2"/>
  <c r="M898" i="2"/>
  <c r="H898" i="2"/>
  <c r="Q897" i="2"/>
  <c r="M897" i="2"/>
  <c r="H897" i="2"/>
  <c r="Q896" i="2"/>
  <c r="M896" i="2"/>
  <c r="H896" i="2"/>
  <c r="Q895" i="2"/>
  <c r="M895" i="2"/>
  <c r="H895" i="2"/>
  <c r="Q894" i="2"/>
  <c r="M894" i="2"/>
  <c r="H894" i="2"/>
  <c r="Q893" i="2"/>
  <c r="M893" i="2"/>
  <c r="H893" i="2"/>
  <c r="Q892" i="2"/>
  <c r="M892" i="2"/>
  <c r="H892" i="2"/>
  <c r="Q891" i="2"/>
  <c r="M891" i="2"/>
  <c r="H891" i="2"/>
  <c r="Q890" i="2"/>
  <c r="M890" i="2"/>
  <c r="H890" i="2"/>
  <c r="Q889" i="2"/>
  <c r="M889" i="2"/>
  <c r="H889" i="2"/>
  <c r="Q888" i="2"/>
  <c r="M888" i="2"/>
  <c r="H888" i="2"/>
  <c r="Q887" i="2"/>
  <c r="M887" i="2"/>
  <c r="H887" i="2"/>
  <c r="Q886" i="2"/>
  <c r="M886" i="2"/>
  <c r="H886" i="2"/>
  <c r="Q885" i="2"/>
  <c r="M885" i="2"/>
  <c r="H885" i="2"/>
  <c r="Q884" i="2"/>
  <c r="M884" i="2"/>
  <c r="H884" i="2"/>
  <c r="Q883" i="2"/>
  <c r="M883" i="2"/>
  <c r="H883" i="2"/>
  <c r="Q882" i="2"/>
  <c r="M882" i="2"/>
  <c r="H882" i="2"/>
  <c r="Q881" i="2"/>
  <c r="M881" i="2"/>
  <c r="H881" i="2"/>
  <c r="Q880" i="2"/>
  <c r="M880" i="2"/>
  <c r="H880" i="2"/>
  <c r="Q879" i="2"/>
  <c r="M879" i="2"/>
  <c r="H879" i="2"/>
  <c r="Q878" i="2"/>
  <c r="M878" i="2"/>
  <c r="H878" i="2"/>
  <c r="Q877" i="2"/>
  <c r="M877" i="2"/>
  <c r="H877" i="2"/>
  <c r="Q876" i="2"/>
  <c r="M876" i="2"/>
  <c r="H876" i="2"/>
  <c r="Q875" i="2"/>
  <c r="M875" i="2"/>
  <c r="H875" i="2"/>
  <c r="Q874" i="2"/>
  <c r="M874" i="2"/>
  <c r="H874" i="2"/>
  <c r="Q873" i="2"/>
  <c r="M873" i="2"/>
  <c r="H873" i="2"/>
  <c r="Q872" i="2"/>
  <c r="M872" i="2"/>
  <c r="H872" i="2"/>
  <c r="Q871" i="2"/>
  <c r="M871" i="2"/>
  <c r="H871" i="2"/>
  <c r="Q870" i="2"/>
  <c r="M870" i="2"/>
  <c r="H870" i="2"/>
  <c r="Q869" i="2"/>
  <c r="M869" i="2"/>
  <c r="H869" i="2"/>
  <c r="Q868" i="2"/>
  <c r="M868" i="2"/>
  <c r="H868" i="2"/>
  <c r="Q867" i="2"/>
  <c r="M867" i="2"/>
  <c r="H867" i="2"/>
  <c r="Q866" i="2"/>
  <c r="M866" i="2"/>
  <c r="H866" i="2"/>
  <c r="Q865" i="2"/>
  <c r="M865" i="2"/>
  <c r="H865" i="2"/>
  <c r="Q864" i="2"/>
  <c r="M864" i="2"/>
  <c r="H864" i="2"/>
  <c r="Q863" i="2"/>
  <c r="M863" i="2"/>
  <c r="H863" i="2"/>
  <c r="Q862" i="2"/>
  <c r="M862" i="2"/>
  <c r="H862" i="2"/>
  <c r="Q861" i="2"/>
  <c r="M861" i="2"/>
  <c r="H861" i="2"/>
  <c r="Q860" i="2"/>
  <c r="M860" i="2"/>
  <c r="H860" i="2"/>
  <c r="Q859" i="2"/>
  <c r="M859" i="2"/>
  <c r="H859" i="2"/>
  <c r="Q858" i="2"/>
  <c r="M858" i="2"/>
  <c r="H858" i="2"/>
  <c r="Q857" i="2"/>
  <c r="M857" i="2"/>
  <c r="H857" i="2"/>
  <c r="Q856" i="2"/>
  <c r="M856" i="2"/>
  <c r="H856" i="2"/>
  <c r="Q855" i="2"/>
  <c r="M855" i="2"/>
  <c r="H855" i="2"/>
  <c r="Q854" i="2"/>
  <c r="M854" i="2"/>
  <c r="H854" i="2"/>
  <c r="Q853" i="2"/>
  <c r="M853" i="2"/>
  <c r="H853" i="2"/>
  <c r="Q852" i="2"/>
  <c r="M852" i="2"/>
  <c r="H852" i="2"/>
  <c r="Q851" i="2"/>
  <c r="M851" i="2"/>
  <c r="H851" i="2"/>
  <c r="Q850" i="2"/>
  <c r="M850" i="2"/>
  <c r="H850" i="2"/>
  <c r="Q849" i="2"/>
  <c r="M849" i="2"/>
  <c r="H849" i="2"/>
  <c r="Q848" i="2"/>
  <c r="M848" i="2"/>
  <c r="H848" i="2"/>
  <c r="Q847" i="2"/>
  <c r="M847" i="2"/>
  <c r="H847" i="2"/>
  <c r="Q846" i="2"/>
  <c r="M846" i="2"/>
  <c r="H846" i="2"/>
  <c r="Q845" i="2"/>
  <c r="M845" i="2"/>
  <c r="H845" i="2"/>
  <c r="Q844" i="2"/>
  <c r="M844" i="2"/>
  <c r="H844" i="2"/>
  <c r="Q843" i="2"/>
  <c r="M843" i="2"/>
  <c r="H843" i="2"/>
  <c r="Q842" i="2"/>
  <c r="M842" i="2"/>
  <c r="H842" i="2"/>
  <c r="Q841" i="2"/>
  <c r="M841" i="2"/>
  <c r="H841" i="2"/>
  <c r="Q840" i="2"/>
  <c r="M840" i="2"/>
  <c r="H840" i="2"/>
  <c r="Q839" i="2"/>
  <c r="M839" i="2"/>
  <c r="H839" i="2"/>
  <c r="Q838" i="2"/>
  <c r="M838" i="2"/>
  <c r="H838" i="2"/>
  <c r="Q837" i="2"/>
  <c r="M837" i="2"/>
  <c r="H837" i="2"/>
  <c r="Q836" i="2"/>
  <c r="M836" i="2"/>
  <c r="H836" i="2"/>
  <c r="Q835" i="2"/>
  <c r="M835" i="2"/>
  <c r="H835" i="2"/>
  <c r="Q834" i="2"/>
  <c r="M834" i="2"/>
  <c r="H834" i="2"/>
  <c r="Q833" i="2"/>
  <c r="M833" i="2"/>
  <c r="H833" i="2"/>
  <c r="Q832" i="2"/>
  <c r="M832" i="2"/>
  <c r="H832" i="2"/>
  <c r="Q831" i="2"/>
  <c r="M831" i="2"/>
  <c r="H831" i="2"/>
  <c r="Q830" i="2"/>
  <c r="M830" i="2"/>
  <c r="H830" i="2"/>
  <c r="Q829" i="2"/>
  <c r="M829" i="2"/>
  <c r="H829" i="2"/>
  <c r="Q828" i="2"/>
  <c r="M828" i="2"/>
  <c r="H828" i="2"/>
  <c r="Q827" i="2"/>
  <c r="M827" i="2"/>
  <c r="H827" i="2"/>
  <c r="Q826" i="2"/>
  <c r="M826" i="2"/>
  <c r="H826" i="2"/>
  <c r="Q825" i="2"/>
  <c r="M825" i="2"/>
  <c r="H825" i="2"/>
  <c r="Q824" i="2"/>
  <c r="M824" i="2"/>
  <c r="H824" i="2"/>
  <c r="Q823" i="2"/>
  <c r="M823" i="2"/>
  <c r="H823" i="2"/>
  <c r="Q822" i="2"/>
  <c r="M822" i="2"/>
  <c r="H822" i="2"/>
  <c r="Q821" i="2"/>
  <c r="M821" i="2"/>
  <c r="H821" i="2"/>
  <c r="Q820" i="2"/>
  <c r="M820" i="2"/>
  <c r="H820" i="2"/>
  <c r="Q819" i="2"/>
  <c r="M819" i="2"/>
  <c r="H819" i="2"/>
  <c r="Q818" i="2"/>
  <c r="M818" i="2"/>
  <c r="H818" i="2"/>
  <c r="Q817" i="2"/>
  <c r="M817" i="2"/>
  <c r="H817" i="2"/>
  <c r="Q816" i="2"/>
  <c r="M816" i="2"/>
  <c r="H816" i="2"/>
  <c r="Q815" i="2"/>
  <c r="M815" i="2"/>
  <c r="H815" i="2"/>
  <c r="Q814" i="2"/>
  <c r="M814" i="2"/>
  <c r="H814" i="2"/>
  <c r="Q813" i="2"/>
  <c r="M813" i="2"/>
  <c r="H813" i="2"/>
  <c r="Q812" i="2"/>
  <c r="M812" i="2"/>
  <c r="H812" i="2"/>
  <c r="Q811" i="2"/>
  <c r="M811" i="2"/>
  <c r="H811" i="2"/>
  <c r="Q810" i="2"/>
  <c r="M810" i="2"/>
  <c r="H810" i="2"/>
  <c r="Q809" i="2"/>
  <c r="M809" i="2"/>
  <c r="H809" i="2"/>
  <c r="Q808" i="2"/>
  <c r="M808" i="2"/>
  <c r="H808" i="2"/>
  <c r="Q807" i="2"/>
  <c r="M807" i="2"/>
  <c r="H807" i="2"/>
  <c r="Q806" i="2"/>
  <c r="M806" i="2"/>
  <c r="H806" i="2"/>
  <c r="Q805" i="2"/>
  <c r="M805" i="2"/>
  <c r="H805" i="2"/>
  <c r="Q804" i="2"/>
  <c r="M804" i="2"/>
  <c r="H804" i="2"/>
  <c r="Q803" i="2"/>
  <c r="M803" i="2"/>
  <c r="H803" i="2"/>
  <c r="Q802" i="2"/>
  <c r="M802" i="2"/>
  <c r="H802" i="2"/>
  <c r="Q801" i="2"/>
  <c r="M801" i="2"/>
  <c r="H801" i="2"/>
  <c r="Q800" i="2"/>
  <c r="M800" i="2"/>
  <c r="H800" i="2"/>
  <c r="Q799" i="2"/>
  <c r="M799" i="2"/>
  <c r="H799" i="2"/>
  <c r="Q798" i="2"/>
  <c r="M798" i="2"/>
  <c r="H798" i="2"/>
  <c r="Q797" i="2"/>
  <c r="M797" i="2"/>
  <c r="H797" i="2"/>
  <c r="Q796" i="2"/>
  <c r="M796" i="2"/>
  <c r="H796" i="2"/>
  <c r="Q795" i="2"/>
  <c r="M795" i="2"/>
  <c r="H795" i="2"/>
  <c r="Q794" i="2"/>
  <c r="M794" i="2"/>
  <c r="H794" i="2"/>
  <c r="Q793" i="2"/>
  <c r="M793" i="2"/>
  <c r="H793" i="2"/>
  <c r="Q792" i="2"/>
  <c r="M792" i="2"/>
  <c r="H792" i="2"/>
  <c r="Q791" i="2"/>
  <c r="M791" i="2"/>
  <c r="H791" i="2"/>
  <c r="Q790" i="2"/>
  <c r="M790" i="2"/>
  <c r="H790" i="2"/>
  <c r="Q789" i="2"/>
  <c r="M789" i="2"/>
  <c r="H789" i="2"/>
  <c r="Q788" i="2"/>
  <c r="M788" i="2"/>
  <c r="H788" i="2"/>
  <c r="Q787" i="2"/>
  <c r="M787" i="2"/>
  <c r="H787" i="2"/>
  <c r="Q786" i="2"/>
  <c r="M786" i="2"/>
  <c r="H786" i="2"/>
  <c r="Q785" i="2"/>
  <c r="M785" i="2"/>
  <c r="H785" i="2"/>
  <c r="Q784" i="2"/>
  <c r="M784" i="2"/>
  <c r="H784" i="2"/>
  <c r="Q783" i="2"/>
  <c r="M783" i="2"/>
  <c r="H783" i="2"/>
  <c r="Q782" i="2"/>
  <c r="M782" i="2"/>
  <c r="H782" i="2"/>
  <c r="Q781" i="2"/>
  <c r="M781" i="2"/>
  <c r="H781" i="2"/>
  <c r="Q780" i="2"/>
  <c r="M780" i="2"/>
  <c r="H780" i="2"/>
  <c r="Q779" i="2"/>
  <c r="M779" i="2"/>
  <c r="H779" i="2"/>
  <c r="Q778" i="2"/>
  <c r="M778" i="2"/>
  <c r="H778" i="2"/>
  <c r="Q777" i="2"/>
  <c r="M777" i="2"/>
  <c r="H777" i="2"/>
  <c r="Q776" i="2"/>
  <c r="M776" i="2"/>
  <c r="H776" i="2"/>
  <c r="Q775" i="2"/>
  <c r="M775" i="2"/>
  <c r="H775" i="2"/>
  <c r="Q774" i="2"/>
  <c r="M774" i="2"/>
  <c r="H774" i="2"/>
  <c r="Q773" i="2"/>
  <c r="M773" i="2"/>
  <c r="H773" i="2"/>
  <c r="Q772" i="2"/>
  <c r="M772" i="2"/>
  <c r="H772" i="2"/>
  <c r="Q771" i="2"/>
  <c r="M771" i="2"/>
  <c r="H771" i="2"/>
  <c r="Q770" i="2"/>
  <c r="M770" i="2"/>
  <c r="H770" i="2"/>
  <c r="Q769" i="2"/>
  <c r="M769" i="2"/>
  <c r="H769" i="2"/>
  <c r="Q768" i="2"/>
  <c r="M768" i="2"/>
  <c r="H768" i="2"/>
  <c r="Q767" i="2"/>
  <c r="M767" i="2"/>
  <c r="H767" i="2"/>
  <c r="Q766" i="2"/>
  <c r="M766" i="2"/>
  <c r="H766" i="2"/>
  <c r="Q765" i="2"/>
  <c r="M765" i="2"/>
  <c r="H765" i="2"/>
  <c r="Q764" i="2"/>
  <c r="M764" i="2"/>
  <c r="H764" i="2"/>
  <c r="Q763" i="2"/>
  <c r="M763" i="2"/>
  <c r="H763" i="2"/>
  <c r="Q762" i="2"/>
  <c r="M762" i="2"/>
  <c r="H762" i="2"/>
  <c r="Q761" i="2"/>
  <c r="M761" i="2"/>
  <c r="H761" i="2"/>
  <c r="Q760" i="2"/>
  <c r="M760" i="2"/>
  <c r="H760" i="2"/>
  <c r="Q759" i="2"/>
  <c r="M759" i="2"/>
  <c r="H759" i="2"/>
  <c r="Q758" i="2"/>
  <c r="M758" i="2"/>
  <c r="H758" i="2"/>
  <c r="Q757" i="2"/>
  <c r="M757" i="2"/>
  <c r="H757" i="2"/>
  <c r="Q756" i="2"/>
  <c r="M756" i="2"/>
  <c r="H756" i="2"/>
  <c r="Q755" i="2"/>
  <c r="M755" i="2"/>
  <c r="H755" i="2"/>
  <c r="Q754" i="2"/>
  <c r="M754" i="2"/>
  <c r="H754" i="2"/>
  <c r="Q753" i="2"/>
  <c r="M753" i="2"/>
  <c r="H753" i="2"/>
  <c r="Q752" i="2"/>
  <c r="M752" i="2"/>
  <c r="H752" i="2"/>
  <c r="Q751" i="2"/>
  <c r="M751" i="2"/>
  <c r="H751" i="2"/>
  <c r="Q750" i="2"/>
  <c r="M750" i="2"/>
  <c r="H750" i="2"/>
  <c r="Q749" i="2"/>
  <c r="M749" i="2"/>
  <c r="H749" i="2"/>
  <c r="Q748" i="2"/>
  <c r="M748" i="2"/>
  <c r="H748" i="2"/>
  <c r="Q747" i="2"/>
  <c r="M747" i="2"/>
  <c r="H747" i="2"/>
  <c r="Q746" i="2"/>
  <c r="M746" i="2"/>
  <c r="H746" i="2"/>
  <c r="Q745" i="2"/>
  <c r="M745" i="2"/>
  <c r="H745" i="2"/>
  <c r="Q744" i="2"/>
  <c r="M744" i="2"/>
  <c r="H744" i="2"/>
  <c r="Q743" i="2"/>
  <c r="M743" i="2"/>
  <c r="H743" i="2"/>
  <c r="Q742" i="2"/>
  <c r="M742" i="2"/>
  <c r="H742" i="2"/>
  <c r="Q741" i="2"/>
  <c r="M741" i="2"/>
  <c r="H741" i="2"/>
  <c r="Q740" i="2"/>
  <c r="M740" i="2"/>
  <c r="H740" i="2"/>
  <c r="Q739" i="2"/>
  <c r="M739" i="2"/>
  <c r="H739" i="2"/>
  <c r="Q738" i="2"/>
  <c r="M738" i="2"/>
  <c r="H738" i="2"/>
  <c r="Q737" i="2"/>
  <c r="M737" i="2"/>
  <c r="H737" i="2"/>
  <c r="Q736" i="2"/>
  <c r="M736" i="2"/>
  <c r="H736" i="2"/>
  <c r="Q735" i="2"/>
  <c r="M735" i="2"/>
  <c r="H735" i="2"/>
  <c r="Q734" i="2"/>
  <c r="M734" i="2"/>
  <c r="H734" i="2"/>
  <c r="Q733" i="2"/>
  <c r="M733" i="2"/>
  <c r="H733" i="2"/>
  <c r="Q732" i="2"/>
  <c r="M732" i="2"/>
  <c r="H732" i="2"/>
  <c r="Q731" i="2"/>
  <c r="M731" i="2"/>
  <c r="H731" i="2"/>
  <c r="Q730" i="2"/>
  <c r="M730" i="2"/>
  <c r="H730" i="2"/>
  <c r="Q729" i="2"/>
  <c r="M729" i="2"/>
  <c r="H729" i="2"/>
  <c r="Q728" i="2"/>
  <c r="M728" i="2"/>
  <c r="H728" i="2"/>
  <c r="Q727" i="2"/>
  <c r="M727" i="2"/>
  <c r="H727" i="2"/>
  <c r="Q726" i="2"/>
  <c r="M726" i="2"/>
  <c r="H726" i="2"/>
  <c r="Q725" i="2"/>
  <c r="M725" i="2"/>
  <c r="H725" i="2"/>
  <c r="Q724" i="2"/>
  <c r="M724" i="2"/>
  <c r="H724" i="2"/>
  <c r="Q723" i="2"/>
  <c r="M723" i="2"/>
  <c r="H723" i="2"/>
  <c r="Q722" i="2"/>
  <c r="M722" i="2"/>
  <c r="H722" i="2"/>
  <c r="Q721" i="2"/>
  <c r="M721" i="2"/>
  <c r="H721" i="2"/>
  <c r="Q720" i="2"/>
  <c r="M720" i="2"/>
  <c r="H720" i="2"/>
  <c r="Q719" i="2"/>
  <c r="M719" i="2"/>
  <c r="H719" i="2"/>
  <c r="Q718" i="2"/>
  <c r="M718" i="2"/>
  <c r="H718" i="2"/>
  <c r="Q717" i="2"/>
  <c r="M717" i="2"/>
  <c r="H717" i="2"/>
  <c r="Q716" i="2"/>
  <c r="M716" i="2"/>
  <c r="H716" i="2"/>
  <c r="Q715" i="2"/>
  <c r="M715" i="2"/>
  <c r="H715" i="2"/>
  <c r="Q714" i="2"/>
  <c r="M714" i="2"/>
  <c r="H714" i="2"/>
  <c r="Q713" i="2"/>
  <c r="M713" i="2"/>
  <c r="H713" i="2"/>
  <c r="Q712" i="2"/>
  <c r="M712" i="2"/>
  <c r="H712" i="2"/>
  <c r="Q711" i="2"/>
  <c r="M711" i="2"/>
  <c r="H711" i="2"/>
  <c r="Q710" i="2"/>
  <c r="M710" i="2"/>
  <c r="H710" i="2"/>
  <c r="Q709" i="2"/>
  <c r="M709" i="2"/>
  <c r="H709" i="2"/>
  <c r="Q708" i="2"/>
  <c r="M708" i="2"/>
  <c r="H708" i="2"/>
  <c r="Q707" i="2"/>
  <c r="M707" i="2"/>
  <c r="H707" i="2"/>
  <c r="Q706" i="2"/>
  <c r="M706" i="2"/>
  <c r="H706" i="2"/>
  <c r="Q705" i="2"/>
  <c r="M705" i="2"/>
  <c r="H705" i="2"/>
  <c r="Q704" i="2"/>
  <c r="M704" i="2"/>
  <c r="H704" i="2"/>
  <c r="Q703" i="2"/>
  <c r="M703" i="2"/>
  <c r="H703" i="2"/>
  <c r="Q702" i="2"/>
  <c r="M702" i="2"/>
  <c r="H702" i="2"/>
  <c r="Q701" i="2"/>
  <c r="M701" i="2"/>
  <c r="H701" i="2"/>
  <c r="Q700" i="2"/>
  <c r="M700" i="2"/>
  <c r="H700" i="2"/>
  <c r="Q699" i="2"/>
  <c r="M699" i="2"/>
  <c r="H699" i="2"/>
  <c r="Q698" i="2"/>
  <c r="M698" i="2"/>
  <c r="H698" i="2"/>
  <c r="Q697" i="2"/>
  <c r="M697" i="2"/>
  <c r="H697" i="2"/>
  <c r="Q696" i="2"/>
  <c r="M696" i="2"/>
  <c r="H696" i="2"/>
  <c r="Q695" i="2"/>
  <c r="M695" i="2"/>
  <c r="H695" i="2"/>
  <c r="Q694" i="2"/>
  <c r="M694" i="2"/>
  <c r="H694" i="2"/>
  <c r="Q693" i="2"/>
  <c r="M693" i="2"/>
  <c r="H693" i="2"/>
  <c r="Q692" i="2"/>
  <c r="M692" i="2"/>
  <c r="H692" i="2"/>
  <c r="Q691" i="2"/>
  <c r="M691" i="2"/>
  <c r="H691" i="2"/>
  <c r="Q690" i="2"/>
  <c r="M690" i="2"/>
  <c r="H690" i="2"/>
  <c r="Q689" i="2"/>
  <c r="M689" i="2"/>
  <c r="H689" i="2"/>
  <c r="Q688" i="2"/>
  <c r="M688" i="2"/>
  <c r="H688" i="2"/>
  <c r="Q687" i="2"/>
  <c r="M687" i="2"/>
  <c r="H687" i="2"/>
  <c r="Q686" i="2"/>
  <c r="M686" i="2"/>
  <c r="H686" i="2"/>
  <c r="Q685" i="2"/>
  <c r="M685" i="2"/>
  <c r="H685" i="2"/>
  <c r="Q684" i="2"/>
  <c r="M684" i="2"/>
  <c r="H684" i="2"/>
  <c r="Q683" i="2"/>
  <c r="M683" i="2"/>
  <c r="H683" i="2"/>
  <c r="Q682" i="2"/>
  <c r="M682" i="2"/>
  <c r="H682" i="2"/>
  <c r="Q681" i="2"/>
  <c r="M681" i="2"/>
  <c r="H681" i="2"/>
  <c r="Q680" i="2"/>
  <c r="M680" i="2"/>
  <c r="H680" i="2"/>
  <c r="Q679" i="2"/>
  <c r="M679" i="2"/>
  <c r="H679" i="2"/>
  <c r="Q678" i="2"/>
  <c r="M678" i="2"/>
  <c r="H678" i="2"/>
  <c r="Q677" i="2"/>
  <c r="M677" i="2"/>
  <c r="H677" i="2"/>
  <c r="Q676" i="2"/>
  <c r="M676" i="2"/>
  <c r="H676" i="2"/>
  <c r="Q675" i="2"/>
  <c r="M675" i="2"/>
  <c r="H675" i="2"/>
  <c r="Q674" i="2"/>
  <c r="M674" i="2"/>
  <c r="H674" i="2"/>
  <c r="Q673" i="2"/>
  <c r="M673" i="2"/>
  <c r="H673" i="2"/>
  <c r="Q672" i="2"/>
  <c r="M672" i="2"/>
  <c r="H672" i="2"/>
  <c r="Q671" i="2"/>
  <c r="M671" i="2"/>
  <c r="H671" i="2"/>
  <c r="Q670" i="2"/>
  <c r="M670" i="2"/>
  <c r="H670" i="2"/>
  <c r="Q669" i="2"/>
  <c r="M669" i="2"/>
  <c r="H669" i="2"/>
  <c r="Q668" i="2"/>
  <c r="M668" i="2"/>
  <c r="H668" i="2"/>
  <c r="Q667" i="2"/>
  <c r="M667" i="2"/>
  <c r="H667" i="2"/>
  <c r="Q666" i="2"/>
  <c r="M666" i="2"/>
  <c r="H666" i="2"/>
  <c r="Q665" i="2"/>
  <c r="M665" i="2"/>
  <c r="H665" i="2"/>
  <c r="Q664" i="2"/>
  <c r="M664" i="2"/>
  <c r="H664" i="2"/>
  <c r="Q663" i="2"/>
  <c r="M663" i="2"/>
  <c r="H663" i="2"/>
  <c r="Q662" i="2"/>
  <c r="M662" i="2"/>
  <c r="H662" i="2"/>
  <c r="Q661" i="2"/>
  <c r="M661" i="2"/>
  <c r="H661" i="2"/>
  <c r="Q660" i="2"/>
  <c r="M660" i="2"/>
  <c r="H660" i="2"/>
  <c r="Q659" i="2"/>
  <c r="M659" i="2"/>
  <c r="H659" i="2"/>
  <c r="Q658" i="2"/>
  <c r="M658" i="2"/>
  <c r="H658" i="2"/>
  <c r="Q657" i="2"/>
  <c r="M657" i="2"/>
  <c r="H657" i="2"/>
  <c r="Q656" i="2"/>
  <c r="M656" i="2"/>
  <c r="H656" i="2"/>
  <c r="Q655" i="2"/>
  <c r="M655" i="2"/>
  <c r="H655" i="2"/>
  <c r="Q654" i="2"/>
  <c r="M654" i="2"/>
  <c r="H654" i="2"/>
  <c r="Q653" i="2"/>
  <c r="M653" i="2"/>
  <c r="H653" i="2"/>
  <c r="Q652" i="2"/>
  <c r="M652" i="2"/>
  <c r="H652" i="2"/>
  <c r="Q651" i="2"/>
  <c r="M651" i="2"/>
  <c r="H651" i="2"/>
  <c r="Q650" i="2"/>
  <c r="M650" i="2"/>
  <c r="H650" i="2"/>
  <c r="Q649" i="2"/>
  <c r="M649" i="2"/>
  <c r="H649" i="2"/>
  <c r="Q648" i="2"/>
  <c r="M648" i="2"/>
  <c r="H648" i="2"/>
  <c r="Q647" i="2"/>
  <c r="M647" i="2"/>
  <c r="H647" i="2"/>
  <c r="Q646" i="2"/>
  <c r="M646" i="2"/>
  <c r="H646" i="2"/>
  <c r="Q645" i="2"/>
  <c r="M645" i="2"/>
  <c r="H645" i="2"/>
  <c r="Q644" i="2"/>
  <c r="M644" i="2"/>
  <c r="H644" i="2"/>
  <c r="Q643" i="2"/>
  <c r="M643" i="2"/>
  <c r="H643" i="2"/>
  <c r="Q642" i="2"/>
  <c r="M642" i="2"/>
  <c r="H642" i="2"/>
  <c r="Q641" i="2"/>
  <c r="M641" i="2"/>
  <c r="H641" i="2"/>
  <c r="Q640" i="2"/>
  <c r="M640" i="2"/>
  <c r="H640" i="2"/>
  <c r="Q639" i="2"/>
  <c r="M639" i="2"/>
  <c r="H639" i="2"/>
  <c r="Q638" i="2"/>
  <c r="M638" i="2"/>
  <c r="H638" i="2"/>
  <c r="Q637" i="2"/>
  <c r="M637" i="2"/>
  <c r="H637" i="2"/>
  <c r="Q636" i="2"/>
  <c r="M636" i="2"/>
  <c r="H636" i="2"/>
  <c r="Q635" i="2"/>
  <c r="M635" i="2"/>
  <c r="H635" i="2"/>
  <c r="Q634" i="2"/>
  <c r="M634" i="2"/>
  <c r="H634" i="2"/>
  <c r="Q633" i="2"/>
  <c r="M633" i="2"/>
  <c r="H633" i="2"/>
  <c r="Q632" i="2"/>
  <c r="M632" i="2"/>
  <c r="H632" i="2"/>
  <c r="Q631" i="2"/>
  <c r="M631" i="2"/>
  <c r="H631" i="2"/>
  <c r="Q630" i="2"/>
  <c r="M630" i="2"/>
  <c r="H630" i="2"/>
  <c r="Q629" i="2"/>
  <c r="M629" i="2"/>
  <c r="H629" i="2"/>
  <c r="Q628" i="2"/>
  <c r="M628" i="2"/>
  <c r="H628" i="2"/>
  <c r="Q627" i="2"/>
  <c r="M627" i="2"/>
  <c r="H627" i="2"/>
  <c r="Q626" i="2"/>
  <c r="M626" i="2"/>
  <c r="H626" i="2"/>
  <c r="Q625" i="2"/>
  <c r="M625" i="2"/>
  <c r="H625" i="2"/>
  <c r="Q624" i="2"/>
  <c r="M624" i="2"/>
  <c r="H624" i="2"/>
  <c r="Q623" i="2"/>
  <c r="M623" i="2"/>
  <c r="H623" i="2"/>
  <c r="Q622" i="2"/>
  <c r="M622" i="2"/>
  <c r="H622" i="2"/>
  <c r="Q621" i="2"/>
  <c r="M621" i="2"/>
  <c r="H621" i="2"/>
  <c r="Q620" i="2"/>
  <c r="M620" i="2"/>
  <c r="H620" i="2"/>
  <c r="Q619" i="2"/>
  <c r="M619" i="2"/>
  <c r="H619" i="2"/>
  <c r="Q618" i="2"/>
  <c r="M618" i="2"/>
  <c r="H618" i="2"/>
  <c r="Q617" i="2"/>
  <c r="M617" i="2"/>
  <c r="H617" i="2"/>
  <c r="Q616" i="2"/>
  <c r="M616" i="2"/>
  <c r="H616" i="2"/>
  <c r="Q615" i="2"/>
  <c r="M615" i="2"/>
  <c r="H615" i="2"/>
  <c r="Q614" i="2"/>
  <c r="M614" i="2"/>
  <c r="H614" i="2"/>
  <c r="Q613" i="2"/>
  <c r="M613" i="2"/>
  <c r="H613" i="2"/>
  <c r="Q612" i="2"/>
  <c r="M612" i="2"/>
  <c r="H612" i="2"/>
  <c r="Q611" i="2"/>
  <c r="M611" i="2"/>
  <c r="H611" i="2"/>
  <c r="Q610" i="2"/>
  <c r="M610" i="2"/>
  <c r="H610" i="2"/>
  <c r="Q609" i="2"/>
  <c r="M609" i="2"/>
  <c r="H609" i="2"/>
  <c r="Q608" i="2"/>
  <c r="M608" i="2"/>
  <c r="H608" i="2"/>
  <c r="Q607" i="2"/>
  <c r="M607" i="2"/>
  <c r="H607" i="2"/>
  <c r="Q606" i="2"/>
  <c r="M606" i="2"/>
  <c r="H606" i="2"/>
  <c r="Q605" i="2"/>
  <c r="M605" i="2"/>
  <c r="H605" i="2"/>
  <c r="Q604" i="2"/>
  <c r="M604" i="2"/>
  <c r="H604" i="2"/>
  <c r="Q603" i="2"/>
  <c r="M603" i="2"/>
  <c r="H603" i="2"/>
  <c r="Q602" i="2"/>
  <c r="M602" i="2"/>
  <c r="H602" i="2"/>
  <c r="Q601" i="2"/>
  <c r="M601" i="2"/>
  <c r="H601" i="2"/>
  <c r="Q600" i="2"/>
  <c r="M600" i="2"/>
  <c r="H600" i="2"/>
  <c r="Q599" i="2"/>
  <c r="M599" i="2"/>
  <c r="H599" i="2"/>
  <c r="Q598" i="2"/>
  <c r="M598" i="2"/>
  <c r="H598" i="2"/>
  <c r="Q597" i="2"/>
  <c r="M597" i="2"/>
  <c r="H597" i="2"/>
  <c r="Q596" i="2"/>
  <c r="M596" i="2"/>
  <c r="H596" i="2"/>
  <c r="Q595" i="2"/>
  <c r="M595" i="2"/>
  <c r="H595" i="2"/>
  <c r="Q594" i="2"/>
  <c r="M594" i="2"/>
  <c r="H594" i="2"/>
  <c r="Q593" i="2"/>
  <c r="M593" i="2"/>
  <c r="H593" i="2"/>
  <c r="Q592" i="2"/>
  <c r="M592" i="2"/>
  <c r="H592" i="2"/>
  <c r="Q591" i="2"/>
  <c r="M591" i="2"/>
  <c r="H591" i="2"/>
  <c r="Q590" i="2"/>
  <c r="M590" i="2"/>
  <c r="H590" i="2"/>
  <c r="Q589" i="2"/>
  <c r="M589" i="2"/>
  <c r="H589" i="2"/>
  <c r="Q588" i="2"/>
  <c r="M588" i="2"/>
  <c r="H588" i="2"/>
  <c r="Q587" i="2"/>
  <c r="M587" i="2"/>
  <c r="H587" i="2"/>
  <c r="Q586" i="2"/>
  <c r="M586" i="2"/>
  <c r="H586" i="2"/>
  <c r="Q585" i="2"/>
  <c r="M585" i="2"/>
  <c r="H585" i="2"/>
  <c r="Q584" i="2"/>
  <c r="M584" i="2"/>
  <c r="H584" i="2"/>
  <c r="Q583" i="2"/>
  <c r="M583" i="2"/>
  <c r="H583" i="2"/>
  <c r="Q582" i="2"/>
  <c r="M582" i="2"/>
  <c r="H582" i="2"/>
  <c r="Q581" i="2"/>
  <c r="M581" i="2"/>
  <c r="H581" i="2"/>
  <c r="Q580" i="2"/>
  <c r="M580" i="2"/>
  <c r="H580" i="2"/>
  <c r="Q579" i="2"/>
  <c r="M579" i="2"/>
  <c r="H579" i="2"/>
  <c r="Q578" i="2"/>
  <c r="M578" i="2"/>
  <c r="H578" i="2"/>
  <c r="Q577" i="2"/>
  <c r="M577" i="2"/>
  <c r="H577" i="2"/>
  <c r="Q576" i="2"/>
  <c r="M576" i="2"/>
  <c r="H576" i="2"/>
  <c r="Q575" i="2"/>
  <c r="M575" i="2"/>
  <c r="H575" i="2"/>
  <c r="Q574" i="2"/>
  <c r="M574" i="2"/>
  <c r="H574" i="2"/>
  <c r="Q573" i="2"/>
  <c r="M573" i="2"/>
  <c r="H573" i="2"/>
  <c r="Q572" i="2"/>
  <c r="M572" i="2"/>
  <c r="H572" i="2"/>
  <c r="Q571" i="2"/>
  <c r="M571" i="2"/>
  <c r="H571" i="2"/>
  <c r="Q570" i="2"/>
  <c r="M570" i="2"/>
  <c r="H570" i="2"/>
  <c r="Q569" i="2"/>
  <c r="M569" i="2"/>
  <c r="H569" i="2"/>
  <c r="Q568" i="2"/>
  <c r="M568" i="2"/>
  <c r="H568" i="2"/>
  <c r="Q567" i="2"/>
  <c r="M567" i="2"/>
  <c r="H567" i="2"/>
  <c r="Q566" i="2"/>
  <c r="M566" i="2"/>
  <c r="H566" i="2"/>
  <c r="Q565" i="2"/>
  <c r="M565" i="2"/>
  <c r="H565" i="2"/>
  <c r="Q564" i="2"/>
  <c r="M564" i="2"/>
  <c r="H564" i="2"/>
  <c r="Q563" i="2"/>
  <c r="M563" i="2"/>
  <c r="H563" i="2"/>
  <c r="Q562" i="2"/>
  <c r="M562" i="2"/>
  <c r="H562" i="2"/>
  <c r="Q561" i="2"/>
  <c r="M561" i="2"/>
  <c r="H561" i="2"/>
  <c r="Q560" i="2"/>
  <c r="M560" i="2"/>
  <c r="H560" i="2"/>
  <c r="Q559" i="2"/>
  <c r="M559" i="2"/>
  <c r="H559" i="2"/>
  <c r="Q558" i="2"/>
  <c r="M558" i="2"/>
  <c r="H558" i="2"/>
  <c r="Q557" i="2"/>
  <c r="M557" i="2"/>
  <c r="H557" i="2"/>
  <c r="Q556" i="2"/>
  <c r="M556" i="2"/>
  <c r="H556" i="2"/>
  <c r="Q555" i="2"/>
  <c r="M555" i="2"/>
  <c r="H555" i="2"/>
  <c r="Q554" i="2"/>
  <c r="M554" i="2"/>
  <c r="H554" i="2"/>
  <c r="Q553" i="2"/>
  <c r="M553" i="2"/>
  <c r="H553" i="2"/>
  <c r="Q552" i="2"/>
  <c r="M552" i="2"/>
  <c r="H552" i="2"/>
  <c r="Q551" i="2"/>
  <c r="M551" i="2"/>
  <c r="H551" i="2"/>
  <c r="Q550" i="2"/>
  <c r="M550" i="2"/>
  <c r="H550" i="2"/>
  <c r="Q549" i="2"/>
  <c r="M549" i="2"/>
  <c r="H549" i="2"/>
  <c r="Q548" i="2"/>
  <c r="M548" i="2"/>
  <c r="H548" i="2"/>
  <c r="Q547" i="2"/>
  <c r="M547" i="2"/>
  <c r="H547" i="2"/>
  <c r="Q546" i="2"/>
  <c r="M546" i="2"/>
  <c r="H546" i="2"/>
  <c r="Q545" i="2"/>
  <c r="M545" i="2"/>
  <c r="H545" i="2"/>
  <c r="Q544" i="2"/>
  <c r="M544" i="2"/>
  <c r="H544" i="2"/>
  <c r="Q543" i="2"/>
  <c r="M543" i="2"/>
  <c r="H543" i="2"/>
  <c r="Q542" i="2"/>
  <c r="M542" i="2"/>
  <c r="H542" i="2"/>
  <c r="Q541" i="2"/>
  <c r="M541" i="2"/>
  <c r="H541" i="2"/>
  <c r="Q540" i="2"/>
  <c r="M540" i="2"/>
  <c r="H540" i="2"/>
  <c r="Q539" i="2"/>
  <c r="M539" i="2"/>
  <c r="H539" i="2"/>
  <c r="Q538" i="2"/>
  <c r="M538" i="2"/>
  <c r="H538" i="2"/>
  <c r="Q537" i="2"/>
  <c r="M537" i="2"/>
  <c r="H537" i="2"/>
  <c r="Q536" i="2"/>
  <c r="M536" i="2"/>
  <c r="H536" i="2"/>
  <c r="Q535" i="2"/>
  <c r="M535" i="2"/>
  <c r="H535" i="2"/>
  <c r="Q534" i="2"/>
  <c r="M534" i="2"/>
  <c r="H534" i="2"/>
  <c r="Q533" i="2"/>
  <c r="M533" i="2"/>
  <c r="H533" i="2"/>
  <c r="Q532" i="2"/>
  <c r="M532" i="2"/>
  <c r="H532" i="2"/>
  <c r="Q531" i="2"/>
  <c r="M531" i="2"/>
  <c r="H531" i="2"/>
  <c r="Q530" i="2"/>
  <c r="M530" i="2"/>
  <c r="H530" i="2"/>
  <c r="Q529" i="2"/>
  <c r="M529" i="2"/>
  <c r="H529" i="2"/>
  <c r="Q528" i="2"/>
  <c r="M528" i="2"/>
  <c r="H528" i="2"/>
  <c r="Q527" i="2"/>
  <c r="M527" i="2"/>
  <c r="H527" i="2"/>
  <c r="Q526" i="2"/>
  <c r="M526" i="2"/>
  <c r="H526" i="2"/>
  <c r="Q525" i="2"/>
  <c r="M525" i="2"/>
  <c r="H525" i="2"/>
  <c r="Q524" i="2"/>
  <c r="M524" i="2"/>
  <c r="H524" i="2"/>
  <c r="Q523" i="2"/>
  <c r="M523" i="2"/>
  <c r="H523" i="2"/>
  <c r="Q522" i="2"/>
  <c r="M522" i="2"/>
  <c r="H522" i="2"/>
  <c r="Q521" i="2"/>
  <c r="M521" i="2"/>
  <c r="H521" i="2"/>
  <c r="Q520" i="2"/>
  <c r="M520" i="2"/>
  <c r="H520" i="2"/>
  <c r="Q519" i="2"/>
  <c r="M519" i="2"/>
  <c r="H519" i="2"/>
  <c r="Q518" i="2"/>
  <c r="M518" i="2"/>
  <c r="H518" i="2"/>
  <c r="Q517" i="2"/>
  <c r="M517" i="2"/>
  <c r="H517" i="2"/>
  <c r="Q516" i="2"/>
  <c r="M516" i="2"/>
  <c r="H516" i="2"/>
  <c r="Q515" i="2"/>
  <c r="M515" i="2"/>
  <c r="H515" i="2"/>
  <c r="Q514" i="2"/>
  <c r="M514" i="2"/>
  <c r="H514" i="2"/>
  <c r="Q513" i="2"/>
  <c r="M513" i="2"/>
  <c r="H513" i="2"/>
  <c r="Q512" i="2"/>
  <c r="M512" i="2"/>
  <c r="H512" i="2"/>
  <c r="Q511" i="2"/>
  <c r="M511" i="2"/>
  <c r="H511" i="2"/>
  <c r="Q510" i="2"/>
  <c r="M510" i="2"/>
  <c r="H510" i="2"/>
  <c r="Q509" i="2"/>
  <c r="M509" i="2"/>
  <c r="H509" i="2"/>
  <c r="Q508" i="2"/>
  <c r="M508" i="2"/>
  <c r="H508" i="2"/>
  <c r="Q507" i="2"/>
  <c r="M507" i="2"/>
  <c r="H507" i="2"/>
  <c r="Q506" i="2"/>
  <c r="M506" i="2"/>
  <c r="H506" i="2"/>
  <c r="Q505" i="2"/>
  <c r="M505" i="2"/>
  <c r="H505" i="2"/>
  <c r="Q504" i="2"/>
  <c r="M504" i="2"/>
  <c r="H504" i="2"/>
  <c r="Q503" i="2"/>
  <c r="M503" i="2"/>
  <c r="H503" i="2"/>
  <c r="Q502" i="2"/>
  <c r="M502" i="2"/>
  <c r="H502" i="2"/>
  <c r="Q501" i="2"/>
  <c r="M501" i="2"/>
  <c r="H501" i="2"/>
  <c r="Q500" i="2"/>
  <c r="M500" i="2"/>
  <c r="H500" i="2"/>
  <c r="Q499" i="2"/>
  <c r="M499" i="2"/>
  <c r="H499" i="2"/>
  <c r="Q498" i="2"/>
  <c r="M498" i="2"/>
  <c r="H498" i="2"/>
  <c r="Q497" i="2"/>
  <c r="M497" i="2"/>
  <c r="H497" i="2"/>
  <c r="Q496" i="2"/>
  <c r="M496" i="2"/>
  <c r="H496" i="2"/>
  <c r="Q495" i="2"/>
  <c r="M495" i="2"/>
  <c r="H495" i="2"/>
  <c r="Q494" i="2"/>
  <c r="M494" i="2"/>
  <c r="H494" i="2"/>
  <c r="Q493" i="2"/>
  <c r="M493" i="2"/>
  <c r="H493" i="2"/>
  <c r="Q492" i="2"/>
  <c r="M492" i="2"/>
  <c r="H492" i="2"/>
  <c r="Q491" i="2"/>
  <c r="M491" i="2"/>
  <c r="H491" i="2"/>
  <c r="Q490" i="2"/>
  <c r="M490" i="2"/>
  <c r="H490" i="2"/>
  <c r="Q489" i="2"/>
  <c r="M489" i="2"/>
  <c r="H489" i="2"/>
  <c r="Q488" i="2"/>
  <c r="M488" i="2"/>
  <c r="H488" i="2"/>
  <c r="Q487" i="2"/>
  <c r="M487" i="2"/>
  <c r="H487" i="2"/>
  <c r="Q486" i="2"/>
  <c r="M486" i="2"/>
  <c r="H486" i="2"/>
  <c r="Q485" i="2"/>
  <c r="M485" i="2"/>
  <c r="H485" i="2"/>
  <c r="Q484" i="2"/>
  <c r="M484" i="2"/>
  <c r="H484" i="2"/>
  <c r="Q483" i="2"/>
  <c r="M483" i="2"/>
  <c r="H483" i="2"/>
  <c r="Q482" i="2"/>
  <c r="M482" i="2"/>
  <c r="H482" i="2"/>
  <c r="Q481" i="2"/>
  <c r="M481" i="2"/>
  <c r="H481" i="2"/>
  <c r="Q480" i="2"/>
  <c r="M480" i="2"/>
  <c r="H480" i="2"/>
  <c r="Q479" i="2"/>
  <c r="M479" i="2"/>
  <c r="H479" i="2"/>
  <c r="Q478" i="2"/>
  <c r="M478" i="2"/>
  <c r="H478" i="2"/>
  <c r="Q477" i="2"/>
  <c r="M477" i="2"/>
  <c r="H477" i="2"/>
  <c r="Q476" i="2"/>
  <c r="M476" i="2"/>
  <c r="H476" i="2"/>
  <c r="Q475" i="2"/>
  <c r="M475" i="2"/>
  <c r="H475" i="2"/>
  <c r="Q474" i="2"/>
  <c r="M474" i="2"/>
  <c r="H474" i="2"/>
  <c r="Q473" i="2"/>
  <c r="M473" i="2"/>
  <c r="H473" i="2"/>
  <c r="Q472" i="2"/>
  <c r="M472" i="2"/>
  <c r="H472" i="2"/>
  <c r="Q471" i="2"/>
  <c r="M471" i="2"/>
  <c r="H471" i="2"/>
  <c r="Q470" i="2"/>
  <c r="M470" i="2"/>
  <c r="H470" i="2"/>
  <c r="Q469" i="2"/>
  <c r="M469" i="2"/>
  <c r="H469" i="2"/>
  <c r="Q468" i="2"/>
  <c r="M468" i="2"/>
  <c r="H468" i="2"/>
  <c r="Q467" i="2"/>
  <c r="M467" i="2"/>
  <c r="H467" i="2"/>
  <c r="Q466" i="2"/>
  <c r="M466" i="2"/>
  <c r="H466" i="2"/>
  <c r="Q465" i="2"/>
  <c r="M465" i="2"/>
  <c r="H465" i="2"/>
  <c r="Q464" i="2"/>
  <c r="M464" i="2"/>
  <c r="H464" i="2"/>
  <c r="Q463" i="2"/>
  <c r="M463" i="2"/>
  <c r="H463" i="2"/>
  <c r="Q462" i="2"/>
  <c r="M462" i="2"/>
  <c r="H462" i="2"/>
  <c r="Q461" i="2"/>
  <c r="M461" i="2"/>
  <c r="H461" i="2"/>
  <c r="Q460" i="2"/>
  <c r="M460" i="2"/>
  <c r="H460" i="2"/>
  <c r="Q459" i="2"/>
  <c r="M459" i="2"/>
  <c r="H459" i="2"/>
  <c r="Q458" i="2"/>
  <c r="M458" i="2"/>
  <c r="H458" i="2"/>
  <c r="Q457" i="2"/>
  <c r="M457" i="2"/>
  <c r="H457" i="2"/>
  <c r="Q456" i="2"/>
  <c r="M456" i="2"/>
  <c r="H456" i="2"/>
  <c r="Q455" i="2"/>
  <c r="M455" i="2"/>
  <c r="H455" i="2"/>
  <c r="Q454" i="2"/>
  <c r="M454" i="2"/>
  <c r="H454" i="2"/>
  <c r="Q453" i="2"/>
  <c r="M453" i="2"/>
  <c r="H453" i="2"/>
  <c r="Q452" i="2"/>
  <c r="M452" i="2"/>
  <c r="H452" i="2"/>
  <c r="Q451" i="2"/>
  <c r="M451" i="2"/>
  <c r="H451" i="2"/>
  <c r="Q450" i="2"/>
  <c r="M450" i="2"/>
  <c r="H450" i="2"/>
  <c r="Q449" i="2"/>
  <c r="M449" i="2"/>
  <c r="H449" i="2"/>
  <c r="Q448" i="2"/>
  <c r="M448" i="2"/>
  <c r="H448" i="2"/>
  <c r="Q447" i="2"/>
  <c r="M447" i="2"/>
  <c r="H447" i="2"/>
  <c r="Q446" i="2"/>
  <c r="M446" i="2"/>
  <c r="H446" i="2"/>
  <c r="Q445" i="2"/>
  <c r="M445" i="2"/>
  <c r="H445" i="2"/>
  <c r="Q444" i="2"/>
  <c r="M444" i="2"/>
  <c r="H444" i="2"/>
  <c r="Q443" i="2"/>
  <c r="M443" i="2"/>
  <c r="H443" i="2"/>
  <c r="Q442" i="2"/>
  <c r="M442" i="2"/>
  <c r="H442" i="2"/>
  <c r="Q441" i="2"/>
  <c r="M441" i="2"/>
  <c r="H441" i="2"/>
  <c r="Q440" i="2"/>
  <c r="M440" i="2"/>
  <c r="H440" i="2"/>
  <c r="Q439" i="2"/>
  <c r="M439" i="2"/>
  <c r="H439" i="2"/>
  <c r="Q438" i="2"/>
  <c r="M438" i="2"/>
  <c r="H438" i="2"/>
  <c r="Q437" i="2"/>
  <c r="M437" i="2"/>
  <c r="H437" i="2"/>
  <c r="Q436" i="2"/>
  <c r="M436" i="2"/>
  <c r="H436" i="2"/>
  <c r="Q435" i="2"/>
  <c r="M435" i="2"/>
  <c r="H435" i="2"/>
  <c r="Q434" i="2"/>
  <c r="M434" i="2"/>
  <c r="H434" i="2"/>
  <c r="Q433" i="2"/>
  <c r="M433" i="2"/>
  <c r="H433" i="2"/>
  <c r="Q432" i="2"/>
  <c r="M432" i="2"/>
  <c r="H432" i="2"/>
  <c r="Q431" i="2"/>
  <c r="M431" i="2"/>
  <c r="H431" i="2"/>
  <c r="Q430" i="2"/>
  <c r="M430" i="2"/>
  <c r="H430" i="2"/>
  <c r="Q429" i="2"/>
  <c r="M429" i="2"/>
  <c r="H429" i="2"/>
  <c r="Q428" i="2"/>
  <c r="M428" i="2"/>
  <c r="H428" i="2"/>
  <c r="Q427" i="2"/>
  <c r="M427" i="2"/>
  <c r="H427" i="2"/>
  <c r="Q426" i="2"/>
  <c r="M426" i="2"/>
  <c r="H426" i="2"/>
  <c r="Q425" i="2"/>
  <c r="M425" i="2"/>
  <c r="H425" i="2"/>
  <c r="Q424" i="2"/>
  <c r="M424" i="2"/>
  <c r="H424" i="2"/>
  <c r="Q423" i="2"/>
  <c r="M423" i="2"/>
  <c r="H423" i="2"/>
  <c r="Q422" i="2"/>
  <c r="M422" i="2"/>
  <c r="H422" i="2"/>
  <c r="Q421" i="2"/>
  <c r="M421" i="2"/>
  <c r="H421" i="2"/>
  <c r="Q420" i="2"/>
  <c r="M420" i="2"/>
  <c r="H420" i="2"/>
  <c r="Q419" i="2"/>
  <c r="M419" i="2"/>
  <c r="H419" i="2"/>
  <c r="Q418" i="2"/>
  <c r="M418" i="2"/>
  <c r="H418" i="2"/>
  <c r="Q417" i="2"/>
  <c r="M417" i="2"/>
  <c r="H417" i="2"/>
  <c r="Q416" i="2"/>
  <c r="M416" i="2"/>
  <c r="H416" i="2"/>
  <c r="Q415" i="2"/>
  <c r="M415" i="2"/>
  <c r="H415" i="2"/>
  <c r="Q414" i="2"/>
  <c r="M414" i="2"/>
  <c r="H414" i="2"/>
  <c r="Q413" i="2"/>
  <c r="M413" i="2"/>
  <c r="H413" i="2"/>
  <c r="Q412" i="2"/>
  <c r="M412" i="2"/>
  <c r="H412" i="2"/>
  <c r="Q411" i="2"/>
  <c r="M411" i="2"/>
  <c r="H411" i="2"/>
  <c r="Q410" i="2"/>
  <c r="M410" i="2"/>
  <c r="H410" i="2"/>
  <c r="Q409" i="2"/>
  <c r="M409" i="2"/>
  <c r="H409" i="2"/>
  <c r="Q408" i="2"/>
  <c r="M408" i="2"/>
  <c r="H408" i="2"/>
  <c r="Q407" i="2"/>
  <c r="M407" i="2"/>
  <c r="H407" i="2"/>
  <c r="Q406" i="2"/>
  <c r="M406" i="2"/>
  <c r="H406" i="2"/>
  <c r="Q405" i="2"/>
  <c r="M405" i="2"/>
  <c r="H405" i="2"/>
  <c r="Q404" i="2"/>
  <c r="M404" i="2"/>
  <c r="H404" i="2"/>
  <c r="Q403" i="2"/>
  <c r="M403" i="2"/>
  <c r="H403" i="2"/>
  <c r="Q402" i="2"/>
  <c r="M402" i="2"/>
  <c r="H402" i="2"/>
  <c r="Q401" i="2"/>
  <c r="M401" i="2"/>
  <c r="H401" i="2"/>
  <c r="Q400" i="2"/>
  <c r="M400" i="2"/>
  <c r="H400" i="2"/>
  <c r="Q399" i="2"/>
  <c r="M399" i="2"/>
  <c r="H399" i="2"/>
  <c r="Q398" i="2"/>
  <c r="M398" i="2"/>
  <c r="H398" i="2"/>
  <c r="Q397" i="2"/>
  <c r="M397" i="2"/>
  <c r="H397" i="2"/>
  <c r="Q396" i="2"/>
  <c r="M396" i="2"/>
  <c r="H396" i="2"/>
  <c r="Q395" i="2"/>
  <c r="M395" i="2"/>
  <c r="H395" i="2"/>
  <c r="Q394" i="2"/>
  <c r="M394" i="2"/>
  <c r="H394" i="2"/>
  <c r="Q393" i="2"/>
  <c r="M393" i="2"/>
  <c r="H393" i="2"/>
  <c r="Q392" i="2"/>
  <c r="M392" i="2"/>
  <c r="H392" i="2"/>
  <c r="Q391" i="2"/>
  <c r="M391" i="2"/>
  <c r="H391" i="2"/>
  <c r="Q390" i="2"/>
  <c r="M390" i="2"/>
  <c r="H390" i="2"/>
  <c r="Q389" i="2"/>
  <c r="M389" i="2"/>
  <c r="H389" i="2"/>
  <c r="Q388" i="2"/>
  <c r="M388" i="2"/>
  <c r="H388" i="2"/>
  <c r="Q387" i="2"/>
  <c r="M387" i="2"/>
  <c r="H387" i="2"/>
  <c r="Q386" i="2"/>
  <c r="M386" i="2"/>
  <c r="H386" i="2"/>
  <c r="Q385" i="2"/>
  <c r="M385" i="2"/>
  <c r="H385" i="2"/>
  <c r="Q384" i="2"/>
  <c r="M384" i="2"/>
  <c r="H384" i="2"/>
  <c r="Q383" i="2"/>
  <c r="M383" i="2"/>
  <c r="H383" i="2"/>
  <c r="Q382" i="2"/>
  <c r="M382" i="2"/>
  <c r="H382" i="2"/>
  <c r="Q381" i="2"/>
  <c r="M381" i="2"/>
  <c r="H381" i="2"/>
  <c r="Q380" i="2"/>
  <c r="M380" i="2"/>
  <c r="H380" i="2"/>
  <c r="Q379" i="2"/>
  <c r="M379" i="2"/>
  <c r="H379" i="2"/>
  <c r="Q378" i="2"/>
  <c r="M378" i="2"/>
  <c r="H378" i="2"/>
  <c r="Q377" i="2"/>
  <c r="M377" i="2"/>
  <c r="H377" i="2"/>
  <c r="Q376" i="2"/>
  <c r="M376" i="2"/>
  <c r="H376" i="2"/>
  <c r="Q375" i="2"/>
  <c r="M375" i="2"/>
  <c r="H375" i="2"/>
  <c r="Q374" i="2"/>
  <c r="M374" i="2"/>
  <c r="H374" i="2"/>
  <c r="Q373" i="2"/>
  <c r="M373" i="2"/>
  <c r="H373" i="2"/>
  <c r="Q372" i="2"/>
  <c r="M372" i="2"/>
  <c r="H372" i="2"/>
  <c r="Q371" i="2"/>
  <c r="M371" i="2"/>
  <c r="H371" i="2"/>
  <c r="Q370" i="2"/>
  <c r="M370" i="2"/>
  <c r="H370" i="2"/>
  <c r="Q369" i="2"/>
  <c r="M369" i="2"/>
  <c r="H369" i="2"/>
  <c r="Q368" i="2"/>
  <c r="M368" i="2"/>
  <c r="H368" i="2"/>
  <c r="Q367" i="2"/>
  <c r="M367" i="2"/>
  <c r="H367" i="2"/>
  <c r="Q366" i="2"/>
  <c r="M366" i="2"/>
  <c r="H366" i="2"/>
  <c r="Q365" i="2"/>
  <c r="M365" i="2"/>
  <c r="H365" i="2"/>
  <c r="Q364" i="2"/>
  <c r="M364" i="2"/>
  <c r="H364" i="2"/>
  <c r="Q363" i="2"/>
  <c r="M363" i="2"/>
  <c r="H363" i="2"/>
  <c r="Q362" i="2"/>
  <c r="M362" i="2"/>
  <c r="H362" i="2"/>
  <c r="Q361" i="2"/>
  <c r="M361" i="2"/>
  <c r="H361" i="2"/>
  <c r="Q360" i="2"/>
  <c r="M360" i="2"/>
  <c r="H360" i="2"/>
  <c r="Q359" i="2"/>
  <c r="M359" i="2"/>
  <c r="H359" i="2"/>
  <c r="Q358" i="2"/>
  <c r="M358" i="2"/>
  <c r="H358" i="2"/>
  <c r="Q357" i="2"/>
  <c r="M357" i="2"/>
  <c r="H357" i="2"/>
  <c r="Q356" i="2"/>
  <c r="M356" i="2"/>
  <c r="H356" i="2"/>
  <c r="Q355" i="2"/>
  <c r="M355" i="2"/>
  <c r="H355" i="2"/>
  <c r="Q354" i="2"/>
  <c r="M354" i="2"/>
  <c r="H354" i="2"/>
  <c r="Q353" i="2"/>
  <c r="M353" i="2"/>
  <c r="H353" i="2"/>
  <c r="Q352" i="2"/>
  <c r="M352" i="2"/>
  <c r="H352" i="2"/>
  <c r="Q351" i="2"/>
  <c r="M351" i="2"/>
  <c r="H351" i="2"/>
  <c r="Q350" i="2"/>
  <c r="M350" i="2"/>
  <c r="H350" i="2"/>
  <c r="Q349" i="2"/>
  <c r="M349" i="2"/>
  <c r="H349" i="2"/>
  <c r="Q348" i="2"/>
  <c r="M348" i="2"/>
  <c r="H348" i="2"/>
  <c r="Q347" i="2"/>
  <c r="M347" i="2"/>
  <c r="H347" i="2"/>
  <c r="Q346" i="2"/>
  <c r="M346" i="2"/>
  <c r="H346" i="2"/>
  <c r="Q345" i="2"/>
  <c r="M345" i="2"/>
  <c r="H345" i="2"/>
  <c r="Q344" i="2"/>
  <c r="M344" i="2"/>
  <c r="H344" i="2"/>
  <c r="Q343" i="2"/>
  <c r="M343" i="2"/>
  <c r="H343" i="2"/>
  <c r="Q342" i="2"/>
  <c r="M342" i="2"/>
  <c r="H342" i="2"/>
  <c r="Q341" i="2"/>
  <c r="M341" i="2"/>
  <c r="H341" i="2"/>
  <c r="Q340" i="2"/>
  <c r="M340" i="2"/>
  <c r="H340" i="2"/>
  <c r="Q339" i="2"/>
  <c r="M339" i="2"/>
  <c r="H339" i="2"/>
  <c r="Q338" i="2"/>
  <c r="M338" i="2"/>
  <c r="H338" i="2"/>
  <c r="Q337" i="2"/>
  <c r="M337" i="2"/>
  <c r="H337" i="2"/>
  <c r="Q336" i="2"/>
  <c r="M336" i="2"/>
  <c r="H336" i="2"/>
  <c r="Q335" i="2"/>
  <c r="M335" i="2"/>
  <c r="H335" i="2"/>
  <c r="Q334" i="2"/>
  <c r="M334" i="2"/>
  <c r="H334" i="2"/>
  <c r="Q333" i="2"/>
  <c r="M333" i="2"/>
  <c r="H333" i="2"/>
  <c r="Q332" i="2"/>
  <c r="M332" i="2"/>
  <c r="H332" i="2"/>
  <c r="Q331" i="2"/>
  <c r="M331" i="2"/>
  <c r="H331" i="2"/>
  <c r="Q330" i="2"/>
  <c r="M330" i="2"/>
  <c r="H330" i="2"/>
  <c r="Q329" i="2"/>
  <c r="M329" i="2"/>
  <c r="H329" i="2"/>
  <c r="Q328" i="2"/>
  <c r="M328" i="2"/>
  <c r="H328" i="2"/>
  <c r="Q327" i="2"/>
  <c r="M327" i="2"/>
  <c r="H327" i="2"/>
  <c r="Q326" i="2"/>
  <c r="M326" i="2"/>
  <c r="H326" i="2"/>
  <c r="Q325" i="2"/>
  <c r="M325" i="2"/>
  <c r="H325" i="2"/>
  <c r="Q324" i="2"/>
  <c r="M324" i="2"/>
  <c r="H324" i="2"/>
  <c r="Q323" i="2"/>
  <c r="M323" i="2"/>
  <c r="H323" i="2"/>
  <c r="Q322" i="2"/>
  <c r="M322" i="2"/>
  <c r="H322" i="2"/>
  <c r="Q321" i="2"/>
  <c r="M321" i="2"/>
  <c r="H321" i="2"/>
  <c r="Q320" i="2"/>
  <c r="M320" i="2"/>
  <c r="H320" i="2"/>
  <c r="Q319" i="2"/>
  <c r="M319" i="2"/>
  <c r="H319" i="2"/>
  <c r="Q318" i="2"/>
  <c r="M318" i="2"/>
  <c r="H318" i="2"/>
  <c r="Q317" i="2"/>
  <c r="M317" i="2"/>
  <c r="H317" i="2"/>
  <c r="Q316" i="2"/>
  <c r="M316" i="2"/>
  <c r="H316" i="2"/>
  <c r="Q315" i="2"/>
  <c r="M315" i="2"/>
  <c r="H315" i="2"/>
  <c r="Q314" i="2"/>
  <c r="M314" i="2"/>
  <c r="H314" i="2"/>
  <c r="Q313" i="2"/>
  <c r="M313" i="2"/>
  <c r="H313" i="2"/>
  <c r="Q312" i="2"/>
  <c r="M312" i="2"/>
  <c r="H312" i="2"/>
  <c r="Q311" i="2"/>
  <c r="M311" i="2"/>
  <c r="H311" i="2"/>
  <c r="Q310" i="2"/>
  <c r="M310" i="2"/>
  <c r="H310" i="2"/>
  <c r="Q309" i="2"/>
  <c r="M309" i="2"/>
  <c r="H309" i="2"/>
  <c r="Q308" i="2"/>
  <c r="M308" i="2"/>
  <c r="H308" i="2"/>
  <c r="Q307" i="2"/>
  <c r="M307" i="2"/>
  <c r="H307" i="2"/>
  <c r="Q306" i="2"/>
  <c r="M306" i="2"/>
  <c r="H306" i="2"/>
  <c r="Q305" i="2"/>
  <c r="M305" i="2"/>
  <c r="H305" i="2"/>
  <c r="Q304" i="2"/>
  <c r="M304" i="2"/>
  <c r="H304" i="2"/>
  <c r="Q303" i="2"/>
  <c r="M303" i="2"/>
  <c r="H303" i="2"/>
  <c r="Q302" i="2"/>
  <c r="M302" i="2"/>
  <c r="H302" i="2"/>
  <c r="Q301" i="2"/>
  <c r="M301" i="2"/>
  <c r="H301" i="2"/>
  <c r="Q300" i="2"/>
  <c r="M300" i="2"/>
  <c r="H300" i="2"/>
  <c r="Q299" i="2"/>
  <c r="M299" i="2"/>
  <c r="H299" i="2"/>
  <c r="Q298" i="2"/>
  <c r="M298" i="2"/>
  <c r="H298" i="2"/>
  <c r="Q297" i="2"/>
  <c r="M297" i="2"/>
  <c r="H297" i="2"/>
  <c r="Q296" i="2"/>
  <c r="M296" i="2"/>
  <c r="H296" i="2"/>
  <c r="Q295" i="2"/>
  <c r="M295" i="2"/>
  <c r="H295" i="2"/>
  <c r="Q294" i="2"/>
  <c r="M294" i="2"/>
  <c r="H294" i="2"/>
  <c r="Q293" i="2"/>
  <c r="M293" i="2"/>
  <c r="H293" i="2"/>
  <c r="Q292" i="2"/>
  <c r="M292" i="2"/>
  <c r="H292" i="2"/>
  <c r="Q291" i="2"/>
  <c r="M291" i="2"/>
  <c r="H291" i="2"/>
  <c r="Q290" i="2"/>
  <c r="M290" i="2"/>
  <c r="H290" i="2"/>
  <c r="Q289" i="2"/>
  <c r="M289" i="2"/>
  <c r="H289" i="2"/>
  <c r="Q288" i="2"/>
  <c r="M288" i="2"/>
  <c r="H288" i="2"/>
  <c r="Q287" i="2"/>
  <c r="M287" i="2"/>
  <c r="H287" i="2"/>
  <c r="Q286" i="2"/>
  <c r="M286" i="2"/>
  <c r="H286" i="2"/>
  <c r="Q285" i="2"/>
  <c r="M285" i="2"/>
  <c r="H285" i="2"/>
  <c r="Q284" i="2"/>
  <c r="M284" i="2"/>
  <c r="H284" i="2"/>
  <c r="Q283" i="2"/>
  <c r="M283" i="2"/>
  <c r="H283" i="2"/>
  <c r="Q282" i="2"/>
  <c r="M282" i="2"/>
  <c r="H282" i="2"/>
  <c r="Q281" i="2"/>
  <c r="M281" i="2"/>
  <c r="H281" i="2"/>
  <c r="Q280" i="2"/>
  <c r="M280" i="2"/>
  <c r="H280" i="2"/>
  <c r="Q279" i="2"/>
  <c r="M279" i="2"/>
  <c r="H279" i="2"/>
  <c r="Q278" i="2"/>
  <c r="M278" i="2"/>
  <c r="H278" i="2"/>
  <c r="Q277" i="2"/>
  <c r="M277" i="2"/>
  <c r="H277" i="2"/>
  <c r="Q276" i="2"/>
  <c r="M276" i="2"/>
  <c r="H276" i="2"/>
  <c r="Q275" i="2"/>
  <c r="M275" i="2"/>
  <c r="H275" i="2"/>
  <c r="Q274" i="2"/>
  <c r="M274" i="2"/>
  <c r="H274" i="2"/>
  <c r="Q273" i="2"/>
  <c r="M273" i="2"/>
  <c r="H273" i="2"/>
  <c r="Q272" i="2"/>
  <c r="M272" i="2"/>
  <c r="H272" i="2"/>
  <c r="Q271" i="2"/>
  <c r="M271" i="2"/>
  <c r="H271" i="2"/>
  <c r="Q270" i="2"/>
  <c r="M270" i="2"/>
  <c r="H270" i="2"/>
  <c r="Q269" i="2"/>
  <c r="M269" i="2"/>
  <c r="H269" i="2"/>
  <c r="Q268" i="2"/>
  <c r="M268" i="2"/>
  <c r="H268" i="2"/>
  <c r="Q267" i="2"/>
  <c r="M267" i="2"/>
  <c r="H267" i="2"/>
  <c r="Q266" i="2"/>
  <c r="M266" i="2"/>
  <c r="H266" i="2"/>
  <c r="Q265" i="2"/>
  <c r="M265" i="2"/>
  <c r="H265" i="2"/>
  <c r="Q264" i="2"/>
  <c r="M264" i="2"/>
  <c r="H264" i="2"/>
  <c r="Q263" i="2"/>
  <c r="M263" i="2"/>
  <c r="H263" i="2"/>
  <c r="Q262" i="2"/>
  <c r="M262" i="2"/>
  <c r="H262" i="2"/>
  <c r="Q261" i="2"/>
  <c r="M261" i="2"/>
  <c r="H261" i="2"/>
  <c r="Q260" i="2"/>
  <c r="M260" i="2"/>
  <c r="H260" i="2"/>
  <c r="Q259" i="2"/>
  <c r="M259" i="2"/>
  <c r="H259" i="2"/>
  <c r="Q258" i="2"/>
  <c r="M258" i="2"/>
  <c r="H258" i="2"/>
  <c r="Q257" i="2"/>
  <c r="M257" i="2"/>
  <c r="H257" i="2"/>
  <c r="Q256" i="2"/>
  <c r="M256" i="2"/>
  <c r="H256" i="2"/>
  <c r="Q255" i="2"/>
  <c r="M255" i="2"/>
  <c r="H255" i="2"/>
  <c r="Q254" i="2"/>
  <c r="M254" i="2"/>
  <c r="H254" i="2"/>
  <c r="Q253" i="2"/>
  <c r="M253" i="2"/>
  <c r="H253" i="2"/>
  <c r="Q252" i="2"/>
  <c r="M252" i="2"/>
  <c r="H252" i="2"/>
  <c r="Q251" i="2"/>
  <c r="M251" i="2"/>
  <c r="H251" i="2"/>
  <c r="Q250" i="2"/>
  <c r="M250" i="2"/>
  <c r="H250" i="2"/>
  <c r="Q249" i="2"/>
  <c r="M249" i="2"/>
  <c r="H249" i="2"/>
  <c r="Q248" i="2"/>
  <c r="M248" i="2"/>
  <c r="H248" i="2"/>
  <c r="Q247" i="2"/>
  <c r="M247" i="2"/>
  <c r="H247" i="2"/>
  <c r="Q246" i="2"/>
  <c r="M246" i="2"/>
  <c r="H246" i="2"/>
  <c r="Q245" i="2"/>
  <c r="M245" i="2"/>
  <c r="H245" i="2"/>
  <c r="Q244" i="2"/>
  <c r="M244" i="2"/>
  <c r="H244" i="2"/>
  <c r="Q243" i="2"/>
  <c r="M243" i="2"/>
  <c r="H243" i="2"/>
  <c r="Q242" i="2"/>
  <c r="M242" i="2"/>
  <c r="H242" i="2"/>
  <c r="Q241" i="2"/>
  <c r="M241" i="2"/>
  <c r="H241" i="2"/>
  <c r="Q240" i="2"/>
  <c r="M240" i="2"/>
  <c r="H240" i="2"/>
  <c r="Q239" i="2"/>
  <c r="M239" i="2"/>
  <c r="H239" i="2"/>
  <c r="Q238" i="2"/>
  <c r="M238" i="2"/>
  <c r="H238" i="2"/>
  <c r="Q237" i="2"/>
  <c r="M237" i="2"/>
  <c r="H237" i="2"/>
  <c r="Q236" i="2"/>
  <c r="M236" i="2"/>
  <c r="H236" i="2"/>
  <c r="Q235" i="2"/>
  <c r="M235" i="2"/>
  <c r="H235" i="2"/>
  <c r="Q234" i="2"/>
  <c r="M234" i="2"/>
  <c r="H234" i="2"/>
  <c r="Q233" i="2"/>
  <c r="M233" i="2"/>
  <c r="H233" i="2"/>
  <c r="Q232" i="2"/>
  <c r="M232" i="2"/>
  <c r="H232" i="2"/>
  <c r="Q231" i="2"/>
  <c r="M231" i="2"/>
  <c r="H231" i="2"/>
  <c r="Q230" i="2"/>
  <c r="M230" i="2"/>
  <c r="H230" i="2"/>
  <c r="Q229" i="2"/>
  <c r="M229" i="2"/>
  <c r="H229" i="2"/>
  <c r="Q228" i="2"/>
  <c r="M228" i="2"/>
  <c r="H228" i="2"/>
  <c r="Q227" i="2"/>
  <c r="M227" i="2"/>
  <c r="H227" i="2"/>
  <c r="Q226" i="2"/>
  <c r="M226" i="2"/>
  <c r="H226" i="2"/>
  <c r="Q225" i="2"/>
  <c r="M225" i="2"/>
  <c r="H225" i="2"/>
  <c r="Q224" i="2"/>
  <c r="M224" i="2"/>
  <c r="H224" i="2"/>
  <c r="Q223" i="2"/>
  <c r="M223" i="2"/>
  <c r="H223" i="2"/>
  <c r="Q222" i="2"/>
  <c r="M222" i="2"/>
  <c r="H222" i="2"/>
  <c r="Q221" i="2"/>
  <c r="M221" i="2"/>
  <c r="H221" i="2"/>
  <c r="Q220" i="2"/>
  <c r="M220" i="2"/>
  <c r="H220" i="2"/>
  <c r="Q219" i="2"/>
  <c r="M219" i="2"/>
  <c r="H219" i="2"/>
  <c r="Q218" i="2"/>
  <c r="M218" i="2"/>
  <c r="H218" i="2"/>
  <c r="Q217" i="2"/>
  <c r="M217" i="2"/>
  <c r="H217" i="2"/>
  <c r="Q216" i="2"/>
  <c r="M216" i="2"/>
  <c r="H216" i="2"/>
  <c r="Q215" i="2"/>
  <c r="M215" i="2"/>
  <c r="H215" i="2"/>
  <c r="Q214" i="2"/>
  <c r="M214" i="2"/>
  <c r="H214" i="2"/>
  <c r="Q213" i="2"/>
  <c r="M213" i="2"/>
  <c r="H213" i="2"/>
  <c r="Q212" i="2"/>
  <c r="M212" i="2"/>
  <c r="H212" i="2"/>
  <c r="Q211" i="2"/>
  <c r="M211" i="2"/>
  <c r="H211" i="2"/>
  <c r="Q210" i="2"/>
  <c r="M210" i="2"/>
  <c r="H210" i="2"/>
  <c r="Q209" i="2"/>
  <c r="M209" i="2"/>
  <c r="H209" i="2"/>
  <c r="Q208" i="2"/>
  <c r="M208" i="2"/>
  <c r="H208" i="2"/>
  <c r="Q207" i="2"/>
  <c r="M207" i="2"/>
  <c r="H207" i="2"/>
  <c r="Q206" i="2"/>
  <c r="M206" i="2"/>
  <c r="H206" i="2"/>
  <c r="Q205" i="2"/>
  <c r="M205" i="2"/>
  <c r="H205" i="2"/>
  <c r="Q204" i="2"/>
  <c r="M204" i="2"/>
  <c r="H204" i="2"/>
  <c r="Q203" i="2"/>
  <c r="M203" i="2"/>
  <c r="H203" i="2"/>
  <c r="Q202" i="2"/>
  <c r="M202" i="2"/>
  <c r="H202" i="2"/>
  <c r="Q201" i="2"/>
  <c r="M201" i="2"/>
  <c r="H201" i="2"/>
  <c r="Q200" i="2"/>
  <c r="M200" i="2"/>
  <c r="H200" i="2"/>
  <c r="Q199" i="2"/>
  <c r="M199" i="2"/>
  <c r="H199" i="2"/>
  <c r="Q198" i="2"/>
  <c r="M198" i="2"/>
  <c r="H198" i="2"/>
  <c r="Q197" i="2"/>
  <c r="M197" i="2"/>
  <c r="H197" i="2"/>
  <c r="Q196" i="2"/>
  <c r="M196" i="2"/>
  <c r="H196" i="2"/>
  <c r="Q195" i="2"/>
  <c r="M195" i="2"/>
  <c r="H195" i="2"/>
  <c r="Q194" i="2"/>
  <c r="M194" i="2"/>
  <c r="H194" i="2"/>
  <c r="Q193" i="2"/>
  <c r="M193" i="2"/>
  <c r="H193" i="2"/>
  <c r="Q192" i="2"/>
  <c r="M192" i="2"/>
  <c r="H192" i="2"/>
  <c r="Q191" i="2"/>
  <c r="M191" i="2"/>
  <c r="H191" i="2"/>
  <c r="Q190" i="2"/>
  <c r="M190" i="2"/>
  <c r="H190" i="2"/>
  <c r="Q189" i="2"/>
  <c r="M189" i="2"/>
  <c r="H189" i="2"/>
  <c r="Q188" i="2"/>
  <c r="M188" i="2"/>
  <c r="H188" i="2"/>
  <c r="Q187" i="2"/>
  <c r="M187" i="2"/>
  <c r="H187" i="2"/>
  <c r="Q186" i="2"/>
  <c r="M186" i="2"/>
  <c r="H186" i="2"/>
  <c r="Q185" i="2"/>
  <c r="M185" i="2"/>
  <c r="H185" i="2"/>
  <c r="Q184" i="2"/>
  <c r="M184" i="2"/>
  <c r="H184" i="2"/>
  <c r="Q183" i="2"/>
  <c r="M183" i="2"/>
  <c r="H183" i="2"/>
  <c r="Q182" i="2"/>
  <c r="M182" i="2"/>
  <c r="H182" i="2"/>
  <c r="Q181" i="2"/>
  <c r="M181" i="2"/>
  <c r="H181" i="2"/>
  <c r="Q180" i="2"/>
  <c r="M180" i="2"/>
  <c r="H180" i="2"/>
  <c r="Q179" i="2"/>
  <c r="M179" i="2"/>
  <c r="H179" i="2"/>
  <c r="Q178" i="2"/>
  <c r="M178" i="2"/>
  <c r="H178" i="2"/>
  <c r="Q177" i="2"/>
  <c r="M177" i="2"/>
  <c r="H177" i="2"/>
  <c r="Q176" i="2"/>
  <c r="M176" i="2"/>
  <c r="H176" i="2"/>
  <c r="Q175" i="2"/>
  <c r="M175" i="2"/>
  <c r="H175" i="2"/>
  <c r="Q174" i="2"/>
  <c r="M174" i="2"/>
  <c r="H174" i="2"/>
  <c r="Q173" i="2"/>
  <c r="M173" i="2"/>
  <c r="H173" i="2"/>
  <c r="Q172" i="2"/>
  <c r="M172" i="2"/>
  <c r="H172" i="2"/>
  <c r="Q171" i="2"/>
  <c r="M171" i="2"/>
  <c r="H171" i="2"/>
  <c r="Q170" i="2"/>
  <c r="M170" i="2"/>
  <c r="H170" i="2"/>
  <c r="Q169" i="2"/>
  <c r="M169" i="2"/>
  <c r="H169" i="2"/>
  <c r="Q168" i="2"/>
  <c r="M168" i="2"/>
  <c r="H168" i="2"/>
  <c r="Q167" i="2"/>
  <c r="M167" i="2"/>
  <c r="H167" i="2"/>
  <c r="Q166" i="2"/>
  <c r="M166" i="2"/>
  <c r="H166" i="2"/>
  <c r="Q165" i="2"/>
  <c r="M165" i="2"/>
  <c r="H165" i="2"/>
  <c r="Q164" i="2"/>
  <c r="M164" i="2"/>
  <c r="H164" i="2"/>
  <c r="Q163" i="2"/>
  <c r="M163" i="2"/>
  <c r="H163" i="2"/>
  <c r="Q162" i="2"/>
  <c r="M162" i="2"/>
  <c r="H162" i="2"/>
  <c r="Q161" i="2"/>
  <c r="M161" i="2"/>
  <c r="H161" i="2"/>
  <c r="Q160" i="2"/>
  <c r="M160" i="2"/>
  <c r="H160" i="2"/>
  <c r="Q159" i="2"/>
  <c r="M159" i="2"/>
  <c r="H159" i="2"/>
  <c r="Q158" i="2"/>
  <c r="M158" i="2"/>
  <c r="H158" i="2"/>
  <c r="Q157" i="2"/>
  <c r="M157" i="2"/>
  <c r="H157" i="2"/>
  <c r="Q156" i="2"/>
  <c r="M156" i="2"/>
  <c r="H156" i="2"/>
  <c r="Q155" i="2"/>
  <c r="M155" i="2"/>
  <c r="H155" i="2"/>
  <c r="Q154" i="2"/>
  <c r="M154" i="2"/>
  <c r="H154" i="2"/>
  <c r="Q153" i="2"/>
  <c r="M153" i="2"/>
  <c r="H153" i="2"/>
  <c r="Q152" i="2"/>
  <c r="M152" i="2"/>
  <c r="H152" i="2"/>
  <c r="Q151" i="2"/>
  <c r="M151" i="2"/>
  <c r="H151" i="2"/>
  <c r="Q150" i="2"/>
  <c r="M150" i="2"/>
  <c r="H150" i="2"/>
  <c r="Q149" i="2"/>
  <c r="M149" i="2"/>
  <c r="H149" i="2"/>
  <c r="Q148" i="2"/>
  <c r="M148" i="2"/>
  <c r="H148" i="2"/>
  <c r="Q147" i="2"/>
  <c r="M147" i="2"/>
  <c r="H147" i="2"/>
  <c r="Q146" i="2"/>
  <c r="M146" i="2"/>
  <c r="H146" i="2"/>
  <c r="Q145" i="2"/>
  <c r="M145" i="2"/>
  <c r="H145" i="2"/>
  <c r="Q144" i="2"/>
  <c r="M144" i="2"/>
  <c r="H144" i="2"/>
  <c r="Q143" i="2"/>
  <c r="M143" i="2"/>
  <c r="H143" i="2"/>
  <c r="Q142" i="2"/>
  <c r="M142" i="2"/>
  <c r="H142" i="2"/>
  <c r="Q141" i="2"/>
  <c r="M141" i="2"/>
  <c r="H141" i="2"/>
  <c r="Q140" i="2"/>
  <c r="M140" i="2"/>
  <c r="H140" i="2"/>
  <c r="Q139" i="2"/>
  <c r="M139" i="2"/>
  <c r="H139" i="2"/>
  <c r="Q138" i="2"/>
  <c r="M138" i="2"/>
  <c r="H138" i="2"/>
  <c r="Q137" i="2"/>
  <c r="M137" i="2"/>
  <c r="H137" i="2"/>
  <c r="Q136" i="2"/>
  <c r="M136" i="2"/>
  <c r="H136" i="2"/>
  <c r="Q135" i="2"/>
  <c r="M135" i="2"/>
  <c r="H135" i="2"/>
  <c r="Q134" i="2"/>
  <c r="M134" i="2"/>
  <c r="H134" i="2"/>
  <c r="Q133" i="2"/>
  <c r="M133" i="2"/>
  <c r="H133" i="2"/>
  <c r="Q132" i="2"/>
  <c r="M132" i="2"/>
  <c r="H132" i="2"/>
  <c r="Q131" i="2"/>
  <c r="M131" i="2"/>
  <c r="H131" i="2"/>
  <c r="Q130" i="2"/>
  <c r="M130" i="2"/>
  <c r="H130" i="2"/>
  <c r="Q129" i="2"/>
  <c r="M129" i="2"/>
  <c r="H129" i="2"/>
  <c r="Q128" i="2"/>
  <c r="M128" i="2"/>
  <c r="H128" i="2"/>
  <c r="Q127" i="2"/>
  <c r="M127" i="2"/>
  <c r="H127" i="2"/>
  <c r="Q126" i="2"/>
  <c r="M126" i="2"/>
  <c r="H126" i="2"/>
  <c r="Q125" i="2"/>
  <c r="M125" i="2"/>
  <c r="H125" i="2"/>
  <c r="Q124" i="2"/>
  <c r="M124" i="2"/>
  <c r="H124" i="2"/>
  <c r="Q123" i="2"/>
  <c r="M123" i="2"/>
  <c r="H123" i="2"/>
  <c r="Q122" i="2"/>
  <c r="M122" i="2"/>
  <c r="H122" i="2"/>
  <c r="Q121" i="2"/>
  <c r="M121" i="2"/>
  <c r="H121" i="2"/>
  <c r="Q120" i="2"/>
  <c r="M120" i="2"/>
  <c r="H120" i="2"/>
  <c r="Q119" i="2"/>
  <c r="M119" i="2"/>
  <c r="H119" i="2"/>
  <c r="Q118" i="2"/>
  <c r="M118" i="2"/>
  <c r="H118" i="2"/>
  <c r="Q117" i="2"/>
  <c r="M117" i="2"/>
  <c r="H117" i="2"/>
  <c r="Q116" i="2"/>
  <c r="M116" i="2"/>
  <c r="H116" i="2"/>
  <c r="Q115" i="2"/>
  <c r="M115" i="2"/>
  <c r="H115" i="2"/>
  <c r="Q114" i="2"/>
  <c r="M114" i="2"/>
  <c r="H114" i="2"/>
  <c r="Q113" i="2"/>
  <c r="M113" i="2"/>
  <c r="H113" i="2"/>
  <c r="Q112" i="2"/>
  <c r="M112" i="2"/>
  <c r="H112" i="2"/>
  <c r="Q111" i="2"/>
  <c r="M111" i="2"/>
  <c r="H111" i="2"/>
  <c r="Q110" i="2"/>
  <c r="M110" i="2"/>
  <c r="H110" i="2"/>
  <c r="Q109" i="2"/>
  <c r="M109" i="2"/>
  <c r="H109" i="2"/>
  <c r="Q108" i="2"/>
  <c r="M108" i="2"/>
  <c r="H108" i="2"/>
  <c r="Q107" i="2"/>
  <c r="M107" i="2"/>
  <c r="H107" i="2"/>
  <c r="Q106" i="2"/>
  <c r="M106" i="2"/>
  <c r="H106" i="2"/>
  <c r="Q105" i="2"/>
  <c r="M105" i="2"/>
  <c r="H105" i="2"/>
  <c r="Q104" i="2"/>
  <c r="M104" i="2"/>
  <c r="H104" i="2"/>
  <c r="Q103" i="2"/>
  <c r="M103" i="2"/>
  <c r="H103" i="2"/>
  <c r="Q102" i="2"/>
  <c r="M102" i="2"/>
  <c r="H102" i="2"/>
  <c r="Q101" i="2"/>
  <c r="M101" i="2"/>
  <c r="H101" i="2"/>
  <c r="Q100" i="2"/>
  <c r="M100" i="2"/>
  <c r="H100" i="2"/>
  <c r="Q99" i="2"/>
  <c r="M99" i="2"/>
  <c r="H99" i="2"/>
  <c r="Q98" i="2"/>
  <c r="M98" i="2"/>
  <c r="H98" i="2"/>
  <c r="Q97" i="2"/>
  <c r="M97" i="2"/>
  <c r="H97" i="2"/>
  <c r="Q96" i="2"/>
  <c r="M96" i="2"/>
  <c r="H96" i="2"/>
  <c r="Q95" i="2"/>
  <c r="M95" i="2"/>
  <c r="H95" i="2"/>
  <c r="Q94" i="2"/>
  <c r="M94" i="2"/>
  <c r="H94" i="2"/>
  <c r="Q93" i="2"/>
  <c r="M93" i="2"/>
  <c r="H93" i="2"/>
  <c r="Q92" i="2"/>
  <c r="M92" i="2"/>
  <c r="H92" i="2"/>
  <c r="Q91" i="2"/>
  <c r="M91" i="2"/>
  <c r="H91" i="2"/>
  <c r="Q90" i="2"/>
  <c r="M90" i="2"/>
  <c r="H90" i="2"/>
  <c r="Q89" i="2"/>
  <c r="M89" i="2"/>
  <c r="H89" i="2"/>
  <c r="Q88" i="2"/>
  <c r="M88" i="2"/>
  <c r="H88" i="2"/>
  <c r="Q87" i="2"/>
  <c r="M87" i="2"/>
  <c r="H87" i="2"/>
  <c r="Q86" i="2"/>
  <c r="M86" i="2"/>
  <c r="H86" i="2"/>
  <c r="Q85" i="2"/>
  <c r="M85" i="2"/>
  <c r="H85" i="2"/>
  <c r="Q84" i="2"/>
  <c r="M84" i="2"/>
  <c r="H84" i="2"/>
  <c r="Q83" i="2"/>
  <c r="M83" i="2"/>
  <c r="H83" i="2"/>
  <c r="Q82" i="2"/>
  <c r="M82" i="2"/>
  <c r="H82" i="2"/>
  <c r="Q81" i="2"/>
  <c r="M81" i="2"/>
  <c r="H81" i="2"/>
  <c r="Q80" i="2"/>
  <c r="M80" i="2"/>
  <c r="H80" i="2"/>
  <c r="Q79" i="2"/>
  <c r="M79" i="2"/>
  <c r="H79" i="2"/>
  <c r="Q78" i="2"/>
  <c r="M78" i="2"/>
  <c r="H78" i="2"/>
  <c r="Q77" i="2"/>
  <c r="M77" i="2"/>
  <c r="H77" i="2"/>
  <c r="Q76" i="2"/>
  <c r="M76" i="2"/>
  <c r="H76" i="2"/>
  <c r="Q75" i="2"/>
  <c r="M75" i="2"/>
  <c r="H75" i="2"/>
  <c r="Q74" i="2"/>
  <c r="M74" i="2"/>
  <c r="H74" i="2"/>
  <c r="Q73" i="2"/>
  <c r="M73" i="2"/>
  <c r="H73" i="2"/>
  <c r="Q72" i="2"/>
  <c r="M72" i="2"/>
  <c r="H72" i="2"/>
  <c r="Q71" i="2"/>
  <c r="M71" i="2"/>
  <c r="H71" i="2"/>
  <c r="Q70" i="2"/>
  <c r="M70" i="2"/>
  <c r="H70" i="2"/>
  <c r="Q69" i="2"/>
  <c r="M69" i="2"/>
  <c r="H69" i="2"/>
  <c r="Q68" i="2"/>
  <c r="M68" i="2"/>
  <c r="H68" i="2"/>
  <c r="Q67" i="2"/>
  <c r="M67" i="2"/>
  <c r="H67" i="2"/>
  <c r="Q66" i="2"/>
  <c r="M66" i="2"/>
  <c r="H66" i="2"/>
  <c r="Q65" i="2"/>
  <c r="M65" i="2"/>
  <c r="H65" i="2"/>
  <c r="Q64" i="2"/>
  <c r="M64" i="2"/>
  <c r="H64" i="2"/>
  <c r="Q63" i="2"/>
  <c r="M63" i="2"/>
  <c r="H63" i="2"/>
  <c r="Q62" i="2"/>
  <c r="M62" i="2"/>
  <c r="H62" i="2"/>
  <c r="Q61" i="2"/>
  <c r="M61" i="2"/>
  <c r="H61" i="2"/>
  <c r="Q60" i="2"/>
  <c r="M60" i="2"/>
  <c r="H60" i="2"/>
  <c r="Q59" i="2"/>
  <c r="M59" i="2"/>
  <c r="H59" i="2"/>
  <c r="Q58" i="2"/>
  <c r="M58" i="2"/>
  <c r="H58" i="2"/>
  <c r="Q57" i="2"/>
  <c r="M57" i="2"/>
  <c r="H57" i="2"/>
  <c r="Q56" i="2"/>
  <c r="M56" i="2"/>
  <c r="H56" i="2"/>
  <c r="Q55" i="2"/>
  <c r="M55" i="2"/>
  <c r="H55" i="2"/>
  <c r="Q54" i="2"/>
  <c r="M54" i="2"/>
  <c r="H54" i="2"/>
  <c r="Q53" i="2"/>
  <c r="M53" i="2"/>
  <c r="H53" i="2"/>
  <c r="Q52" i="2"/>
  <c r="M52" i="2"/>
  <c r="H52" i="2"/>
  <c r="Q51" i="2"/>
  <c r="M51" i="2"/>
  <c r="H51" i="2"/>
  <c r="Q50" i="2"/>
  <c r="M50" i="2"/>
  <c r="H50" i="2"/>
  <c r="Q49" i="2"/>
  <c r="M49" i="2"/>
  <c r="H49" i="2"/>
  <c r="Q48" i="2"/>
  <c r="M48" i="2"/>
  <c r="H48" i="2"/>
  <c r="Q47" i="2"/>
  <c r="M47" i="2"/>
  <c r="H47" i="2"/>
  <c r="Q46" i="2"/>
  <c r="M46" i="2"/>
  <c r="H46" i="2"/>
  <c r="Q45" i="2"/>
  <c r="M45" i="2"/>
  <c r="H45" i="2"/>
  <c r="C2897" i="2"/>
  <c r="H2905" i="2"/>
  <c r="D2905" i="2"/>
  <c r="C2905" i="2"/>
  <c r="AO14" i="2"/>
  <c r="AN14" i="2"/>
  <c r="AO13" i="2"/>
  <c r="AN13" i="2"/>
  <c r="AO12" i="2"/>
  <c r="AN12" i="2"/>
  <c r="AO11" i="2"/>
  <c r="AN11" i="2"/>
  <c r="AO10" i="2"/>
  <c r="AN10" i="2"/>
  <c r="AO9" i="2"/>
  <c r="AN9" i="2"/>
  <c r="R269" i="2" l="1"/>
  <c r="T269" i="2" s="1"/>
  <c r="U269" i="2" s="1"/>
  <c r="R263" i="2"/>
  <c r="T263" i="2" s="1"/>
  <c r="U263" i="2" s="1"/>
  <c r="R495" i="2"/>
  <c r="T495" i="2" s="1"/>
  <c r="U495" i="2" s="1"/>
  <c r="R523" i="2"/>
  <c r="T523" i="2" s="1"/>
  <c r="U523" i="2" s="1"/>
  <c r="R527" i="2"/>
  <c r="T527" i="2" s="1"/>
  <c r="U527" i="2" s="1"/>
  <c r="R535" i="2"/>
  <c r="T535" i="2" s="1"/>
  <c r="U535" i="2" s="1"/>
  <c r="R547" i="2"/>
  <c r="T547" i="2" s="1"/>
  <c r="U547" i="2" s="1"/>
  <c r="R719" i="2"/>
  <c r="T719" i="2" s="1"/>
  <c r="U719" i="2" s="1"/>
  <c r="R1151" i="2"/>
  <c r="T1151" i="2" s="1"/>
  <c r="U1151" i="2" s="1"/>
  <c r="R1155" i="2"/>
  <c r="T1155" i="2" s="1"/>
  <c r="U1155" i="2" s="1"/>
  <c r="R1159" i="2"/>
  <c r="T1159" i="2" s="1"/>
  <c r="U1159" i="2" s="1"/>
  <c r="R1163" i="2"/>
  <c r="T1163" i="2" s="1"/>
  <c r="U1163" i="2" s="1"/>
  <c r="R1167" i="2"/>
  <c r="T1167" i="2" s="1"/>
  <c r="U1167" i="2" s="1"/>
  <c r="R1171" i="2"/>
  <c r="T1171" i="2" s="1"/>
  <c r="U1171" i="2" s="1"/>
  <c r="R1191" i="2"/>
  <c r="T1191" i="2" s="1"/>
  <c r="U1191" i="2" s="1"/>
  <c r="R1199" i="2"/>
  <c r="T1199" i="2" s="1"/>
  <c r="U1199" i="2" s="1"/>
  <c r="R1203" i="2"/>
  <c r="T1203" i="2" s="1"/>
  <c r="U1203" i="2" s="1"/>
  <c r="R1207" i="2"/>
  <c r="T1207" i="2" s="1"/>
  <c r="R1291" i="2"/>
  <c r="T1291" i="2" s="1"/>
  <c r="U1291" i="2" s="1"/>
  <c r="R1295" i="2"/>
  <c r="T1295" i="2" s="1"/>
  <c r="U1295" i="2" s="1"/>
  <c r="R1303" i="2"/>
  <c r="T1303" i="2" s="1"/>
  <c r="U1303" i="2" s="1"/>
  <c r="R1307" i="2"/>
  <c r="T1307" i="2" s="1"/>
  <c r="U1307" i="2" s="1"/>
  <c r="R531" i="2"/>
  <c r="T531" i="2" s="1"/>
  <c r="U531" i="2" s="1"/>
  <c r="R47" i="2"/>
  <c r="T47" i="2" s="1"/>
  <c r="U47" i="2" s="1"/>
  <c r="R63" i="2"/>
  <c r="T63" i="2" s="1"/>
  <c r="U63" i="2" s="1"/>
  <c r="R71" i="2"/>
  <c r="T71" i="2" s="1"/>
  <c r="U71" i="2" s="1"/>
  <c r="R607" i="2"/>
  <c r="T607" i="2" s="1"/>
  <c r="U607" i="2" s="1"/>
  <c r="R66" i="2"/>
  <c r="T66" i="2" s="1"/>
  <c r="U66" i="2" s="1"/>
  <c r="R70" i="2"/>
  <c r="T70" i="2" s="1"/>
  <c r="U70" i="2" s="1"/>
  <c r="R170" i="2"/>
  <c r="T170" i="2" s="1"/>
  <c r="U170" i="2" s="1"/>
  <c r="R178" i="2"/>
  <c r="T178" i="2" s="1"/>
  <c r="U178" i="2" s="1"/>
  <c r="R182" i="2"/>
  <c r="T182" i="2" s="1"/>
  <c r="U182" i="2" s="1"/>
  <c r="R230" i="2"/>
  <c r="T230" i="2" s="1"/>
  <c r="U230" i="2" s="1"/>
  <c r="R75" i="2"/>
  <c r="T75" i="2" s="1"/>
  <c r="U75" i="2" s="1"/>
  <c r="R83" i="2"/>
  <c r="T83" i="2" s="1"/>
  <c r="U83" i="2" s="1"/>
  <c r="R1211" i="2"/>
  <c r="T1211" i="2" s="1"/>
  <c r="U1211" i="2" s="1"/>
  <c r="R1115" i="2"/>
  <c r="T1115" i="2" s="1"/>
  <c r="U1115" i="2" s="1"/>
  <c r="R1275" i="2"/>
  <c r="T1275" i="2" s="1"/>
  <c r="U1275" i="2" s="1"/>
  <c r="R792" i="2"/>
  <c r="T792" i="2" s="1"/>
  <c r="U792" i="2" s="1"/>
  <c r="R800" i="2"/>
  <c r="T800" i="2" s="1"/>
  <c r="R1244" i="2"/>
  <c r="T1244" i="2" s="1"/>
  <c r="R1248" i="2"/>
  <c r="T1248" i="2" s="1"/>
  <c r="U1248" i="2" s="1"/>
  <c r="R1256" i="2"/>
  <c r="T1256" i="2" s="1"/>
  <c r="U1256" i="2" s="1"/>
  <c r="R1260" i="2"/>
  <c r="T1260" i="2" s="1"/>
  <c r="U1260" i="2" s="1"/>
  <c r="R1312" i="2"/>
  <c r="T1312" i="2" s="1"/>
  <c r="U1312" i="2" s="1"/>
  <c r="R267" i="2"/>
  <c r="T267" i="2" s="1"/>
  <c r="U267" i="2" s="1"/>
  <c r="R551" i="2"/>
  <c r="T551" i="2" s="1"/>
  <c r="U551" i="2" s="1"/>
  <c r="R1103" i="2"/>
  <c r="T1103" i="2" s="1"/>
  <c r="U1103" i="2" s="1"/>
  <c r="R112" i="2"/>
  <c r="T112" i="2" s="1"/>
  <c r="U112" i="2" s="1"/>
  <c r="R124" i="2"/>
  <c r="T124" i="2" s="1"/>
  <c r="U124" i="2" s="1"/>
  <c r="R128" i="2"/>
  <c r="T128" i="2" s="1"/>
  <c r="U128" i="2" s="1"/>
  <c r="R136" i="2"/>
  <c r="T136" i="2" s="1"/>
  <c r="U136" i="2" s="1"/>
  <c r="R160" i="2"/>
  <c r="T160" i="2" s="1"/>
  <c r="U160" i="2" s="1"/>
  <c r="R196" i="2"/>
  <c r="T196" i="2" s="1"/>
  <c r="R204" i="2"/>
  <c r="T204" i="2" s="1"/>
  <c r="U204" i="2" s="1"/>
  <c r="R228" i="2"/>
  <c r="T228" i="2" s="1"/>
  <c r="U228" i="2" s="1"/>
  <c r="R232" i="2"/>
  <c r="T232" i="2" s="1"/>
  <c r="U232" i="2" s="1"/>
  <c r="R57" i="2"/>
  <c r="T57" i="2" s="1"/>
  <c r="U57" i="2" s="1"/>
  <c r="R77" i="2"/>
  <c r="T77" i="2" s="1"/>
  <c r="U77" i="2" s="1"/>
  <c r="R81" i="2"/>
  <c r="T81" i="2" s="1"/>
  <c r="U81" i="2" s="1"/>
  <c r="R85" i="2"/>
  <c r="T85" i="2" s="1"/>
  <c r="U85" i="2" s="1"/>
  <c r="R89" i="2"/>
  <c r="T89" i="2" s="1"/>
  <c r="U89" i="2" s="1"/>
  <c r="R93" i="2"/>
  <c r="T93" i="2" s="1"/>
  <c r="U93" i="2" s="1"/>
  <c r="R105" i="2"/>
  <c r="T105" i="2" s="1"/>
  <c r="U105" i="2" s="1"/>
  <c r="R117" i="2"/>
  <c r="T117" i="2" s="1"/>
  <c r="U117" i="2" s="1"/>
  <c r="R129" i="2"/>
  <c r="T129" i="2" s="1"/>
  <c r="U129" i="2" s="1"/>
  <c r="R153" i="2"/>
  <c r="T153" i="2" s="1"/>
  <c r="U153" i="2" s="1"/>
  <c r="R441" i="2"/>
  <c r="T441" i="2" s="1"/>
  <c r="U441" i="2" s="1"/>
  <c r="R445" i="2"/>
  <c r="T445" i="2" s="1"/>
  <c r="U445" i="2" s="1"/>
  <c r="R481" i="2"/>
  <c r="T481" i="2" s="1"/>
  <c r="U481" i="2" s="1"/>
  <c r="R585" i="2"/>
  <c r="T585" i="2" s="1"/>
  <c r="U585" i="2" s="1"/>
  <c r="R717" i="2"/>
  <c r="T717" i="2" s="1"/>
  <c r="U717" i="2" s="1"/>
  <c r="R1217" i="2"/>
  <c r="T1217" i="2" s="1"/>
  <c r="U1217" i="2" s="1"/>
  <c r="R1337" i="2"/>
  <c r="T1337" i="2" s="1"/>
  <c r="U1337" i="2" s="1"/>
  <c r="R1349" i="2"/>
  <c r="T1349" i="2" s="1"/>
  <c r="U1349" i="2" s="1"/>
  <c r="R555" i="2"/>
  <c r="T555" i="2" s="1"/>
  <c r="U555" i="2" s="1"/>
  <c r="R739" i="2"/>
  <c r="T739" i="2" s="1"/>
  <c r="U739" i="2" s="1"/>
  <c r="R887" i="2"/>
  <c r="T887" i="2" s="1"/>
  <c r="U887" i="2" s="1"/>
  <c r="R899" i="2"/>
  <c r="T899" i="2" s="1"/>
  <c r="U899" i="2" s="1"/>
  <c r="R903" i="2"/>
  <c r="T903" i="2" s="1"/>
  <c r="U903" i="2" s="1"/>
  <c r="R907" i="2"/>
  <c r="T907" i="2" s="1"/>
  <c r="U907" i="2" s="1"/>
  <c r="R911" i="2"/>
  <c r="T911" i="2" s="1"/>
  <c r="U911" i="2" s="1"/>
  <c r="R915" i="2"/>
  <c r="T915" i="2" s="1"/>
  <c r="U915" i="2" s="1"/>
  <c r="R919" i="2"/>
  <c r="T919" i="2" s="1"/>
  <c r="U919" i="2" s="1"/>
  <c r="R1075" i="2"/>
  <c r="T1075" i="2" s="1"/>
  <c r="U1075" i="2" s="1"/>
  <c r="R1079" i="2"/>
  <c r="T1079" i="2" s="1"/>
  <c r="U1079" i="2" s="1"/>
  <c r="R1083" i="2"/>
  <c r="T1083" i="2" s="1"/>
  <c r="U1083" i="2" s="1"/>
  <c r="R1099" i="2"/>
  <c r="T1099" i="2" s="1"/>
  <c r="U1099" i="2" s="1"/>
  <c r="R1119" i="2"/>
  <c r="T1119" i="2" s="1"/>
  <c r="U1119" i="2" s="1"/>
  <c r="R1268" i="2"/>
  <c r="T1268" i="2" s="1"/>
  <c r="U1268" i="2" s="1"/>
  <c r="R45" i="2"/>
  <c r="T45" i="2" s="1"/>
  <c r="U45" i="2" s="1"/>
  <c r="R245" i="2"/>
  <c r="T245" i="2" s="1"/>
  <c r="U245" i="2" s="1"/>
  <c r="R499" i="2"/>
  <c r="T499" i="2" s="1"/>
  <c r="U499" i="2" s="1"/>
  <c r="R772" i="2"/>
  <c r="T772" i="2" s="1"/>
  <c r="R633" i="2"/>
  <c r="T633" i="2" s="1"/>
  <c r="U633" i="2" s="1"/>
  <c r="R1071" i="2"/>
  <c r="T1071" i="2" s="1"/>
  <c r="U1071" i="2" s="1"/>
  <c r="R1095" i="2"/>
  <c r="T1095" i="2" s="1"/>
  <c r="U1095" i="2" s="1"/>
  <c r="R1123" i="2"/>
  <c r="T1123" i="2" s="1"/>
  <c r="U1123" i="2" s="1"/>
  <c r="R1272" i="2"/>
  <c r="T1272" i="2" s="1"/>
  <c r="U1272" i="2" s="1"/>
  <c r="R249" i="2"/>
  <c r="T249" i="2" s="1"/>
  <c r="U249" i="2" s="1"/>
  <c r="R893" i="2"/>
  <c r="T893" i="2" s="1"/>
  <c r="U893" i="2" s="1"/>
  <c r="R905" i="2"/>
  <c r="T905" i="2" s="1"/>
  <c r="U905" i="2" s="1"/>
  <c r="R925" i="2"/>
  <c r="T925" i="2" s="1"/>
  <c r="U925" i="2" s="1"/>
  <c r="R929" i="2"/>
  <c r="T929" i="2" s="1"/>
  <c r="U929" i="2" s="1"/>
  <c r="R933" i="2"/>
  <c r="T933" i="2" s="1"/>
  <c r="U933" i="2" s="1"/>
  <c r="R1219" i="2"/>
  <c r="T1219" i="2" s="1"/>
  <c r="U1219" i="2" s="1"/>
  <c r="R176" i="2"/>
  <c r="T176" i="2" s="1"/>
  <c r="U176" i="2" s="1"/>
  <c r="R448" i="2"/>
  <c r="T448" i="2" s="1"/>
  <c r="U448" i="2" s="1"/>
  <c r="R789" i="2"/>
  <c r="T789" i="2" s="1"/>
  <c r="U789" i="2" s="1"/>
  <c r="R793" i="2"/>
  <c r="T793" i="2" s="1"/>
  <c r="U793" i="2" s="1"/>
  <c r="R977" i="2"/>
  <c r="T977" i="2" s="1"/>
  <c r="U977" i="2" s="1"/>
  <c r="R707" i="2"/>
  <c r="T707" i="2" s="1"/>
  <c r="U707" i="2" s="1"/>
  <c r="R503" i="2"/>
  <c r="T503" i="2" s="1"/>
  <c r="U503" i="2" s="1"/>
  <c r="R559" i="2"/>
  <c r="T559" i="2" s="1"/>
  <c r="U559" i="2" s="1"/>
  <c r="R440" i="2"/>
  <c r="T440" i="2" s="1"/>
  <c r="U440" i="2" s="1"/>
  <c r="R533" i="2"/>
  <c r="T533" i="2" s="1"/>
  <c r="U533" i="2" s="1"/>
  <c r="R277" i="2"/>
  <c r="T277" i="2" s="1"/>
  <c r="U277" i="2" s="1"/>
  <c r="R281" i="2"/>
  <c r="T281" i="2" s="1"/>
  <c r="U281" i="2" s="1"/>
  <c r="R289" i="2"/>
  <c r="T289" i="2" s="1"/>
  <c r="U289" i="2" s="1"/>
  <c r="R321" i="2"/>
  <c r="T321" i="2" s="1"/>
  <c r="U321" i="2" s="1"/>
  <c r="R337" i="2"/>
  <c r="T337" i="2" s="1"/>
  <c r="U337" i="2" s="1"/>
  <c r="R341" i="2"/>
  <c r="T341" i="2" s="1"/>
  <c r="U341" i="2" s="1"/>
  <c r="R353" i="2"/>
  <c r="T353" i="2" s="1"/>
  <c r="U353" i="2" s="1"/>
  <c r="R897" i="2"/>
  <c r="T897" i="2" s="1"/>
  <c r="U897" i="2" s="1"/>
  <c r="R419" i="2"/>
  <c r="T419" i="2" s="1"/>
  <c r="U419" i="2" s="1"/>
  <c r="R319" i="2"/>
  <c r="T319" i="2" s="1"/>
  <c r="U319" i="2" s="1"/>
  <c r="R567" i="2"/>
  <c r="T567" i="2" s="1"/>
  <c r="U567" i="2" s="1"/>
  <c r="R1179" i="2"/>
  <c r="T1179" i="2" s="1"/>
  <c r="U1179" i="2" s="1"/>
  <c r="R1173" i="2"/>
  <c r="T1173" i="2" s="1"/>
  <c r="U1173" i="2" s="1"/>
  <c r="R549" i="2"/>
  <c r="T549" i="2" s="1"/>
  <c r="U549" i="2" s="1"/>
  <c r="R557" i="2"/>
  <c r="T557" i="2" s="1"/>
  <c r="U557" i="2" s="1"/>
  <c r="R689" i="2"/>
  <c r="T689" i="2" s="1"/>
  <c r="U689" i="2" s="1"/>
  <c r="R86" i="2"/>
  <c r="T86" i="2" s="1"/>
  <c r="U86" i="2" s="1"/>
  <c r="R233" i="2"/>
  <c r="T233" i="2" s="1"/>
  <c r="U233" i="2" s="1"/>
  <c r="R461" i="2"/>
  <c r="T461" i="2" s="1"/>
  <c r="U461" i="2" s="1"/>
  <c r="R733" i="2"/>
  <c r="T733" i="2" s="1"/>
  <c r="U733" i="2" s="1"/>
  <c r="R701" i="2"/>
  <c r="T701" i="2" s="1"/>
  <c r="U701" i="2" s="1"/>
  <c r="R761" i="2"/>
  <c r="T761" i="2" s="1"/>
  <c r="U761" i="2" s="1"/>
  <c r="R338" i="2"/>
  <c r="T338" i="2" s="1"/>
  <c r="U338" i="2" s="1"/>
  <c r="R346" i="2"/>
  <c r="T346" i="2" s="1"/>
  <c r="U346" i="2" s="1"/>
  <c r="R354" i="2"/>
  <c r="T354" i="2" s="1"/>
  <c r="U354" i="2" s="1"/>
  <c r="R358" i="2"/>
  <c r="T358" i="2" s="1"/>
  <c r="U358" i="2" s="1"/>
  <c r="R366" i="2"/>
  <c r="T366" i="2" s="1"/>
  <c r="U366" i="2" s="1"/>
  <c r="R370" i="2"/>
  <c r="T370" i="2" s="1"/>
  <c r="U370" i="2" s="1"/>
  <c r="R374" i="2"/>
  <c r="T374" i="2" s="1"/>
  <c r="U374" i="2" s="1"/>
  <c r="R378" i="2"/>
  <c r="T378" i="2" s="1"/>
  <c r="U378" i="2" s="1"/>
  <c r="R390" i="2"/>
  <c r="T390" i="2" s="1"/>
  <c r="U390" i="2" s="1"/>
  <c r="R402" i="2"/>
  <c r="T402" i="2" s="1"/>
  <c r="U402" i="2" s="1"/>
  <c r="R462" i="2"/>
  <c r="T462" i="2" s="1"/>
  <c r="U462" i="2" s="1"/>
  <c r="R466" i="2"/>
  <c r="T466" i="2" s="1"/>
  <c r="U466" i="2" s="1"/>
  <c r="R474" i="2"/>
  <c r="T474" i="2" s="1"/>
  <c r="U474" i="2" s="1"/>
  <c r="R486" i="2"/>
  <c r="T486" i="2" s="1"/>
  <c r="U486" i="2" s="1"/>
  <c r="R494" i="2"/>
  <c r="T494" i="2" s="1"/>
  <c r="U494" i="2" s="1"/>
  <c r="R498" i="2"/>
  <c r="T498" i="2" s="1"/>
  <c r="U498" i="2" s="1"/>
  <c r="R826" i="2"/>
  <c r="T826" i="2" s="1"/>
  <c r="U826" i="2" s="1"/>
  <c r="R890" i="2"/>
  <c r="T890" i="2" s="1"/>
  <c r="U890" i="2" s="1"/>
  <c r="R914" i="2"/>
  <c r="T914" i="2" s="1"/>
  <c r="U914" i="2" s="1"/>
  <c r="R926" i="2"/>
  <c r="T926" i="2" s="1"/>
  <c r="U926" i="2" s="1"/>
  <c r="R958" i="2"/>
  <c r="T958" i="2" s="1"/>
  <c r="U958" i="2" s="1"/>
  <c r="R962" i="2"/>
  <c r="T962" i="2" s="1"/>
  <c r="U962" i="2" s="1"/>
  <c r="R970" i="2"/>
  <c r="T970" i="2" s="1"/>
  <c r="U970" i="2" s="1"/>
  <c r="R1094" i="2"/>
  <c r="T1094" i="2" s="1"/>
  <c r="U1094" i="2" s="1"/>
  <c r="R1154" i="2"/>
  <c r="T1154" i="2" s="1"/>
  <c r="U1154" i="2" s="1"/>
  <c r="R1158" i="2"/>
  <c r="T1158" i="2" s="1"/>
  <c r="U1158" i="2" s="1"/>
  <c r="R1234" i="2"/>
  <c r="T1234" i="2" s="1"/>
  <c r="U1234" i="2" s="1"/>
  <c r="R1242" i="2"/>
  <c r="T1242" i="2" s="1"/>
  <c r="U1242" i="2" s="1"/>
  <c r="R1250" i="2"/>
  <c r="T1250" i="2" s="1"/>
  <c r="U1250" i="2" s="1"/>
  <c r="R1290" i="2"/>
  <c r="T1290" i="2" s="1"/>
  <c r="U1290" i="2" s="1"/>
  <c r="R1310" i="2"/>
  <c r="T1310" i="2" s="1"/>
  <c r="U1310" i="2" s="1"/>
  <c r="R775" i="2"/>
  <c r="T775" i="2" s="1"/>
  <c r="U775" i="2" s="1"/>
  <c r="R779" i="2"/>
  <c r="T779" i="2" s="1"/>
  <c r="U779" i="2" s="1"/>
  <c r="R923" i="2"/>
  <c r="T923" i="2" s="1"/>
  <c r="U923" i="2" s="1"/>
  <c r="R236" i="2"/>
  <c r="T236" i="2" s="1"/>
  <c r="U236" i="2" s="1"/>
  <c r="R240" i="2"/>
  <c r="T240" i="2" s="1"/>
  <c r="U240" i="2" s="1"/>
  <c r="R244" i="2"/>
  <c r="T244" i="2" s="1"/>
  <c r="U244" i="2" s="1"/>
  <c r="R256" i="2"/>
  <c r="T256" i="2" s="1"/>
  <c r="U256" i="2" s="1"/>
  <c r="R260" i="2"/>
  <c r="T260" i="2" s="1"/>
  <c r="U260" i="2" s="1"/>
  <c r="R264" i="2"/>
  <c r="T264" i="2" s="1"/>
  <c r="U264" i="2" s="1"/>
  <c r="R268" i="2"/>
  <c r="T268" i="2" s="1"/>
  <c r="U268" i="2" s="1"/>
  <c r="R272" i="2"/>
  <c r="T272" i="2" s="1"/>
  <c r="U272" i="2" s="1"/>
  <c r="R288" i="2"/>
  <c r="T288" i="2" s="1"/>
  <c r="U288" i="2" s="1"/>
  <c r="R296" i="2"/>
  <c r="T296" i="2" s="1"/>
  <c r="U296" i="2" s="1"/>
  <c r="R300" i="2"/>
  <c r="T300" i="2" s="1"/>
  <c r="U300" i="2" s="1"/>
  <c r="R408" i="2"/>
  <c r="T408" i="2" s="1"/>
  <c r="U408" i="2" s="1"/>
  <c r="R480" i="2"/>
  <c r="T480" i="2" s="1"/>
  <c r="U480" i="2" s="1"/>
  <c r="R516" i="2"/>
  <c r="T516" i="2" s="1"/>
  <c r="U516" i="2" s="1"/>
  <c r="R876" i="2"/>
  <c r="T876" i="2" s="1"/>
  <c r="U876" i="2" s="1"/>
  <c r="R932" i="2"/>
  <c r="T932" i="2" s="1"/>
  <c r="U932" i="2" s="1"/>
  <c r="R936" i="2"/>
  <c r="T936" i="2" s="1"/>
  <c r="U936" i="2" s="1"/>
  <c r="R980" i="2"/>
  <c r="T980" i="2" s="1"/>
  <c r="U980" i="2" s="1"/>
  <c r="R1000" i="2"/>
  <c r="T1000" i="2" s="1"/>
  <c r="U1000" i="2" s="1"/>
  <c r="R1036" i="2"/>
  <c r="T1036" i="2" s="1"/>
  <c r="U1036" i="2" s="1"/>
  <c r="R1048" i="2"/>
  <c r="T1048" i="2" s="1"/>
  <c r="U1048" i="2" s="1"/>
  <c r="R1072" i="2"/>
  <c r="T1072" i="2" s="1"/>
  <c r="U1072" i="2" s="1"/>
  <c r="R1084" i="2"/>
  <c r="T1084" i="2" s="1"/>
  <c r="U1084" i="2" s="1"/>
  <c r="R1104" i="2"/>
  <c r="T1104" i="2" s="1"/>
  <c r="U1104" i="2" s="1"/>
  <c r="R1108" i="2"/>
  <c r="T1108" i="2" s="1"/>
  <c r="U1108" i="2" s="1"/>
  <c r="R1116" i="2"/>
  <c r="T1116" i="2" s="1"/>
  <c r="U1116" i="2" s="1"/>
  <c r="R1120" i="2"/>
  <c r="T1120" i="2" s="1"/>
  <c r="U1120" i="2" s="1"/>
  <c r="R1148" i="2"/>
  <c r="T1148" i="2" s="1"/>
  <c r="U1148" i="2" s="1"/>
  <c r="R189" i="2"/>
  <c r="T189" i="2" s="1"/>
  <c r="U189" i="2" s="1"/>
  <c r="R209" i="2"/>
  <c r="T209" i="2" s="1"/>
  <c r="U209" i="2" s="1"/>
  <c r="R221" i="2"/>
  <c r="T221" i="2" s="1"/>
  <c r="U221" i="2" s="1"/>
  <c r="R709" i="2"/>
  <c r="T709" i="2" s="1"/>
  <c r="U709" i="2" s="1"/>
  <c r="R1353" i="2"/>
  <c r="T1353" i="2" s="1"/>
  <c r="U1353" i="2" s="1"/>
  <c r="R1357" i="2"/>
  <c r="T1357" i="2" s="1"/>
  <c r="U1357" i="2" s="1"/>
  <c r="R1361" i="2"/>
  <c r="T1361" i="2" s="1"/>
  <c r="U1361" i="2" s="1"/>
  <c r="R1365" i="2"/>
  <c r="T1365" i="2" s="1"/>
  <c r="U1365" i="2" s="1"/>
  <c r="R1369" i="2"/>
  <c r="T1369" i="2" s="1"/>
  <c r="U1369" i="2" s="1"/>
  <c r="R171" i="2"/>
  <c r="T171" i="2" s="1"/>
  <c r="U171" i="2" s="1"/>
  <c r="R175" i="2"/>
  <c r="T175" i="2" s="1"/>
  <c r="U175" i="2" s="1"/>
  <c r="R603" i="2"/>
  <c r="T603" i="2" s="1"/>
  <c r="U603" i="2" s="1"/>
  <c r="R808" i="2"/>
  <c r="T808" i="2" s="1"/>
  <c r="U808" i="2" s="1"/>
  <c r="R816" i="2"/>
  <c r="T816" i="2" s="1"/>
  <c r="U816" i="2" s="1"/>
  <c r="R892" i="2"/>
  <c r="T892" i="2" s="1"/>
  <c r="U892" i="2" s="1"/>
  <c r="R1352" i="2"/>
  <c r="T1352" i="2" s="1"/>
  <c r="U1352" i="2" s="1"/>
  <c r="R597" i="2"/>
  <c r="T597" i="2" s="1"/>
  <c r="U597" i="2" s="1"/>
  <c r="R78" i="2"/>
  <c r="T78" i="2" s="1"/>
  <c r="U78" i="2" s="1"/>
  <c r="R82" i="2"/>
  <c r="T82" i="2" s="1"/>
  <c r="U82" i="2" s="1"/>
  <c r="R937" i="2"/>
  <c r="T937" i="2" s="1"/>
  <c r="U937" i="2" s="1"/>
  <c r="R993" i="2"/>
  <c r="T993" i="2" s="1"/>
  <c r="U993" i="2" s="1"/>
  <c r="R1001" i="2"/>
  <c r="T1001" i="2" s="1"/>
  <c r="U1001" i="2" s="1"/>
  <c r="R1009" i="2"/>
  <c r="T1009" i="2" s="1"/>
  <c r="U1009" i="2" s="1"/>
  <c r="R1013" i="2"/>
  <c r="T1013" i="2" s="1"/>
  <c r="U1013" i="2" s="1"/>
  <c r="R1017" i="2"/>
  <c r="T1017" i="2" s="1"/>
  <c r="U1017" i="2" s="1"/>
  <c r="R1021" i="2"/>
  <c r="T1021" i="2" s="1"/>
  <c r="U1021" i="2" s="1"/>
  <c r="R1025" i="2"/>
  <c r="T1025" i="2" s="1"/>
  <c r="U1025" i="2" s="1"/>
  <c r="R1185" i="2"/>
  <c r="T1185" i="2" s="1"/>
  <c r="U1185" i="2" s="1"/>
  <c r="R1329" i="2"/>
  <c r="T1329" i="2" s="1"/>
  <c r="U1329" i="2" s="1"/>
  <c r="R246" i="2"/>
  <c r="T246" i="2" s="1"/>
  <c r="U246" i="2" s="1"/>
  <c r="R254" i="2"/>
  <c r="T254" i="2" s="1"/>
  <c r="U254" i="2" s="1"/>
  <c r="R258" i="2"/>
  <c r="T258" i="2" s="1"/>
  <c r="U258" i="2" s="1"/>
  <c r="R262" i="2"/>
  <c r="T262" i="2" s="1"/>
  <c r="U262" i="2" s="1"/>
  <c r="R274" i="2"/>
  <c r="T274" i="2" s="1"/>
  <c r="U274" i="2" s="1"/>
  <c r="R278" i="2"/>
  <c r="T278" i="2" s="1"/>
  <c r="U278" i="2" s="1"/>
  <c r="R282" i="2"/>
  <c r="T282" i="2" s="1"/>
  <c r="U282" i="2" s="1"/>
  <c r="R286" i="2"/>
  <c r="T286" i="2" s="1"/>
  <c r="U286" i="2" s="1"/>
  <c r="R526" i="2"/>
  <c r="T526" i="2" s="1"/>
  <c r="U526" i="2" s="1"/>
  <c r="R1341" i="2"/>
  <c r="T1341" i="2" s="1"/>
  <c r="U1341" i="2" s="1"/>
  <c r="R1345" i="2"/>
  <c r="T1345" i="2" s="1"/>
  <c r="U1345" i="2" s="1"/>
  <c r="R1373" i="2"/>
  <c r="T1373" i="2" s="1"/>
  <c r="U1373" i="2" s="1"/>
  <c r="R575" i="2"/>
  <c r="T575" i="2" s="1"/>
  <c r="U575" i="2" s="1"/>
  <c r="R1067" i="2"/>
  <c r="T1067" i="2" s="1"/>
  <c r="U1067" i="2" s="1"/>
  <c r="R56" i="2"/>
  <c r="T56" i="2" s="1"/>
  <c r="U56" i="2" s="1"/>
  <c r="R68" i="2"/>
  <c r="T68" i="2" s="1"/>
  <c r="U68" i="2" s="1"/>
  <c r="R80" i="2"/>
  <c r="T80" i="2" s="1"/>
  <c r="U80" i="2" s="1"/>
  <c r="R432" i="2"/>
  <c r="T432" i="2" s="1"/>
  <c r="U432" i="2" s="1"/>
  <c r="R492" i="2"/>
  <c r="T492" i="2" s="1"/>
  <c r="U492" i="2" s="1"/>
  <c r="R623" i="2"/>
  <c r="T623" i="2" s="1"/>
  <c r="U623" i="2" s="1"/>
  <c r="R627" i="2"/>
  <c r="T627" i="2" s="1"/>
  <c r="U627" i="2" s="1"/>
  <c r="R647" i="2"/>
  <c r="T647" i="2" s="1"/>
  <c r="U647" i="2" s="1"/>
  <c r="R651" i="2"/>
  <c r="T651" i="2" s="1"/>
  <c r="U651" i="2" s="1"/>
  <c r="R663" i="2"/>
  <c r="T663" i="2" s="1"/>
  <c r="U663" i="2" s="1"/>
  <c r="R675" i="2"/>
  <c r="T675" i="2" s="1"/>
  <c r="U675" i="2" s="1"/>
  <c r="R751" i="2"/>
  <c r="T751" i="2" s="1"/>
  <c r="U751" i="2" s="1"/>
  <c r="R464" i="2"/>
  <c r="T464" i="2" s="1"/>
  <c r="U464" i="2" s="1"/>
  <c r="R1188" i="2"/>
  <c r="T1188" i="2" s="1"/>
  <c r="U1188" i="2" s="1"/>
  <c r="R1228" i="2"/>
  <c r="T1228" i="2" s="1"/>
  <c r="U1228" i="2" s="1"/>
  <c r="R832" i="2"/>
  <c r="T832" i="2" s="1"/>
  <c r="U832" i="2" s="1"/>
  <c r="R357" i="2"/>
  <c r="T357" i="2" s="1"/>
  <c r="U357" i="2" s="1"/>
  <c r="R1181" i="2"/>
  <c r="T1181" i="2" s="1"/>
  <c r="U1181" i="2" s="1"/>
  <c r="R430" i="2"/>
  <c r="T430" i="2" s="1"/>
  <c r="U430" i="2" s="1"/>
  <c r="R957" i="2"/>
  <c r="T957" i="2" s="1"/>
  <c r="U957" i="2" s="1"/>
  <c r="R961" i="2"/>
  <c r="T961" i="2" s="1"/>
  <c r="U961" i="2" s="1"/>
  <c r="R1197" i="2"/>
  <c r="T1197" i="2" s="1"/>
  <c r="U1197" i="2" s="1"/>
  <c r="R99" i="2"/>
  <c r="T99" i="2" s="1"/>
  <c r="U99" i="2" s="1"/>
  <c r="R107" i="2"/>
  <c r="T107" i="2" s="1"/>
  <c r="U107" i="2" s="1"/>
  <c r="R111" i="2"/>
  <c r="T111" i="2" s="1"/>
  <c r="U111" i="2" s="1"/>
  <c r="R123" i="2"/>
  <c r="T123" i="2" s="1"/>
  <c r="U123" i="2" s="1"/>
  <c r="R502" i="2"/>
  <c r="T502" i="2" s="1"/>
  <c r="U502" i="2" s="1"/>
  <c r="R774" i="2"/>
  <c r="T774" i="2" s="1"/>
  <c r="U774" i="2" s="1"/>
  <c r="R798" i="2"/>
  <c r="T798" i="2" s="1"/>
  <c r="U798" i="2" s="1"/>
  <c r="R810" i="2"/>
  <c r="T810" i="2" s="1"/>
  <c r="U810" i="2" s="1"/>
  <c r="R858" i="2"/>
  <c r="T858" i="2" s="1"/>
  <c r="U858" i="2" s="1"/>
  <c r="R942" i="2"/>
  <c r="T942" i="2" s="1"/>
  <c r="U942" i="2" s="1"/>
  <c r="R1018" i="2"/>
  <c r="T1018" i="2" s="1"/>
  <c r="U1018" i="2" s="1"/>
  <c r="R1058" i="2"/>
  <c r="T1058" i="2" s="1"/>
  <c r="U1058" i="2" s="1"/>
  <c r="R1066" i="2"/>
  <c r="T1066" i="2" s="1"/>
  <c r="U1066" i="2" s="1"/>
  <c r="R94" i="2"/>
  <c r="T94" i="2" s="1"/>
  <c r="U94" i="2" s="1"/>
  <c r="R98" i="2"/>
  <c r="T98" i="2" s="1"/>
  <c r="U98" i="2" s="1"/>
  <c r="R114" i="2"/>
  <c r="T114" i="2" s="1"/>
  <c r="U114" i="2" s="1"/>
  <c r="R118" i="2"/>
  <c r="T118" i="2" s="1"/>
  <c r="U118" i="2" s="1"/>
  <c r="R122" i="2"/>
  <c r="T122" i="2" s="1"/>
  <c r="U122" i="2" s="1"/>
  <c r="R130" i="2"/>
  <c r="T130" i="2" s="1"/>
  <c r="U130" i="2" s="1"/>
  <c r="R142" i="2"/>
  <c r="T142" i="2" s="1"/>
  <c r="U142" i="2" s="1"/>
  <c r="R154" i="2"/>
  <c r="T154" i="2" s="1"/>
  <c r="U154" i="2" s="1"/>
  <c r="R158" i="2"/>
  <c r="T158" i="2" s="1"/>
  <c r="U158" i="2" s="1"/>
  <c r="R609" i="2"/>
  <c r="T609" i="2" s="1"/>
  <c r="U609" i="2" s="1"/>
  <c r="R669" i="2"/>
  <c r="T669" i="2" s="1"/>
  <c r="U669" i="2" s="1"/>
  <c r="R673" i="2"/>
  <c r="T673" i="2" s="1"/>
  <c r="U673" i="2" s="1"/>
  <c r="R740" i="2"/>
  <c r="T740" i="2" s="1"/>
  <c r="U740" i="2" s="1"/>
  <c r="R756" i="2"/>
  <c r="T756" i="2" s="1"/>
  <c r="U756" i="2" s="1"/>
  <c r="R884" i="2"/>
  <c r="T884" i="2" s="1"/>
  <c r="U884" i="2" s="1"/>
  <c r="R888" i="2"/>
  <c r="T888" i="2" s="1"/>
  <c r="U888" i="2" s="1"/>
  <c r="R964" i="2"/>
  <c r="T964" i="2" s="1"/>
  <c r="U964" i="2" s="1"/>
  <c r="R975" i="2"/>
  <c r="T975" i="2" s="1"/>
  <c r="U975" i="2" s="1"/>
  <c r="R979" i="2"/>
  <c r="T979" i="2" s="1"/>
  <c r="U979" i="2" s="1"/>
  <c r="R983" i="2"/>
  <c r="T983" i="2" s="1"/>
  <c r="U983" i="2" s="1"/>
  <c r="R987" i="2"/>
  <c r="T987" i="2" s="1"/>
  <c r="U987" i="2" s="1"/>
  <c r="R991" i="2"/>
  <c r="T991" i="2" s="1"/>
  <c r="U991" i="2" s="1"/>
  <c r="R995" i="2"/>
  <c r="T995" i="2" s="1"/>
  <c r="U995" i="2" s="1"/>
  <c r="R1007" i="2"/>
  <c r="T1007" i="2" s="1"/>
  <c r="U1007" i="2" s="1"/>
  <c r="R1015" i="2"/>
  <c r="T1015" i="2" s="1"/>
  <c r="U1015" i="2" s="1"/>
  <c r="R1019" i="2"/>
  <c r="T1019" i="2" s="1"/>
  <c r="U1019" i="2" s="1"/>
  <c r="R1031" i="2"/>
  <c r="T1031" i="2" s="1"/>
  <c r="U1031" i="2" s="1"/>
  <c r="R1035" i="2"/>
  <c r="T1035" i="2" s="1"/>
  <c r="U1035" i="2" s="1"/>
  <c r="R1039" i="2"/>
  <c r="T1039" i="2" s="1"/>
  <c r="U1039" i="2" s="1"/>
  <c r="R1043" i="2"/>
  <c r="T1043" i="2" s="1"/>
  <c r="U1043" i="2" s="1"/>
  <c r="R1047" i="2"/>
  <c r="T1047" i="2" s="1"/>
  <c r="U1047" i="2" s="1"/>
  <c r="R1051" i="2"/>
  <c r="T1051" i="2" s="1"/>
  <c r="U1051" i="2" s="1"/>
  <c r="R1059" i="2"/>
  <c r="T1059" i="2" s="1"/>
  <c r="U1059" i="2" s="1"/>
  <c r="R315" i="2"/>
  <c r="T315" i="2" s="1"/>
  <c r="U315" i="2" s="1"/>
  <c r="R371" i="2"/>
  <c r="T371" i="2" s="1"/>
  <c r="U371" i="2" s="1"/>
  <c r="R510" i="2"/>
  <c r="T510" i="2" s="1"/>
  <c r="U510" i="2" s="1"/>
  <c r="R518" i="2"/>
  <c r="T518" i="2" s="1"/>
  <c r="U518" i="2" s="1"/>
  <c r="R908" i="2"/>
  <c r="T908" i="2" s="1"/>
  <c r="U908" i="2" s="1"/>
  <c r="R443" i="2"/>
  <c r="T443" i="2" s="1"/>
  <c r="U443" i="2" s="1"/>
  <c r="R479" i="2"/>
  <c r="T479" i="2" s="1"/>
  <c r="U479" i="2" s="1"/>
  <c r="R491" i="2"/>
  <c r="T491" i="2" s="1"/>
  <c r="U491" i="2" s="1"/>
  <c r="R515" i="2"/>
  <c r="T515" i="2" s="1"/>
  <c r="U515" i="2" s="1"/>
  <c r="R650" i="2"/>
  <c r="T650" i="2" s="1"/>
  <c r="U650" i="2" s="1"/>
  <c r="R745" i="2"/>
  <c r="T745" i="2" s="1"/>
  <c r="U745" i="2" s="1"/>
  <c r="R801" i="2"/>
  <c r="T801" i="2" s="1"/>
  <c r="U801" i="2" s="1"/>
  <c r="R805" i="2"/>
  <c r="T805" i="2" s="1"/>
  <c r="U805" i="2" s="1"/>
  <c r="R809" i="2"/>
  <c r="T809" i="2" s="1"/>
  <c r="U809" i="2" s="1"/>
  <c r="R813" i="2"/>
  <c r="T813" i="2" s="1"/>
  <c r="U813" i="2" s="1"/>
  <c r="R829" i="2"/>
  <c r="T829" i="2" s="1"/>
  <c r="U829" i="2" s="1"/>
  <c r="R837" i="2"/>
  <c r="T837" i="2" s="1"/>
  <c r="U837" i="2" s="1"/>
  <c r="R841" i="2"/>
  <c r="T841" i="2" s="1"/>
  <c r="U841" i="2" s="1"/>
  <c r="R853" i="2"/>
  <c r="T853" i="2" s="1"/>
  <c r="U853" i="2" s="1"/>
  <c r="R857" i="2"/>
  <c r="T857" i="2" s="1"/>
  <c r="U857" i="2" s="1"/>
  <c r="R865" i="2"/>
  <c r="T865" i="2" s="1"/>
  <c r="U865" i="2" s="1"/>
  <c r="R869" i="2"/>
  <c r="T869" i="2" s="1"/>
  <c r="U869" i="2" s="1"/>
  <c r="R885" i="2"/>
  <c r="T885" i="2" s="1"/>
  <c r="U885" i="2" s="1"/>
  <c r="R996" i="2"/>
  <c r="T996" i="2" s="1"/>
  <c r="U996" i="2" s="1"/>
  <c r="R1012" i="2"/>
  <c r="T1012" i="2" s="1"/>
  <c r="U1012" i="2" s="1"/>
  <c r="R1056" i="2"/>
  <c r="T1056" i="2" s="1"/>
  <c r="U1056" i="2" s="1"/>
  <c r="R1240" i="2"/>
  <c r="T1240" i="2" s="1"/>
  <c r="U1240" i="2" s="1"/>
  <c r="R773" i="2"/>
  <c r="T773" i="2" s="1"/>
  <c r="U773" i="2" s="1"/>
  <c r="R777" i="2"/>
  <c r="T777" i="2" s="1"/>
  <c r="U777" i="2" s="1"/>
  <c r="R1112" i="2"/>
  <c r="T1112" i="2" s="1"/>
  <c r="U1112" i="2" s="1"/>
  <c r="R1339" i="2"/>
  <c r="T1339" i="2" s="1"/>
  <c r="U1339" i="2" s="1"/>
  <c r="R1149" i="2"/>
  <c r="T1149" i="2" s="1"/>
  <c r="U1149" i="2" s="1"/>
  <c r="R140" i="2"/>
  <c r="T140" i="2" s="1"/>
  <c r="U140" i="2" s="1"/>
  <c r="R152" i="2"/>
  <c r="T152" i="2" s="1"/>
  <c r="U152" i="2" s="1"/>
  <c r="R671" i="2"/>
  <c r="T671" i="2" s="1"/>
  <c r="U671" i="2" s="1"/>
  <c r="R726" i="2"/>
  <c r="T726" i="2" s="1"/>
  <c r="U726" i="2" s="1"/>
  <c r="R742" i="2"/>
  <c r="T742" i="2" s="1"/>
  <c r="U742" i="2" s="1"/>
  <c r="R906" i="2"/>
  <c r="T906" i="2" s="1"/>
  <c r="U906" i="2" s="1"/>
  <c r="R922" i="2"/>
  <c r="T922" i="2" s="1"/>
  <c r="U922" i="2" s="1"/>
  <c r="R1029" i="2"/>
  <c r="T1029" i="2" s="1"/>
  <c r="U1029" i="2" s="1"/>
  <c r="R1057" i="2"/>
  <c r="T1057" i="2" s="1"/>
  <c r="U1057" i="2" s="1"/>
  <c r="R1265" i="2"/>
  <c r="T1265" i="2" s="1"/>
  <c r="U1265" i="2" s="1"/>
  <c r="R1320" i="2"/>
  <c r="T1320" i="2" s="1"/>
  <c r="U1320" i="2" s="1"/>
  <c r="R1324" i="2"/>
  <c r="T1324" i="2" s="1"/>
  <c r="U1324" i="2" s="1"/>
  <c r="R1332" i="2"/>
  <c r="T1332" i="2" s="1"/>
  <c r="U1332" i="2" s="1"/>
  <c r="R141" i="2"/>
  <c r="T141" i="2" s="1"/>
  <c r="U141" i="2" s="1"/>
  <c r="R165" i="2"/>
  <c r="T165" i="2" s="1"/>
  <c r="U165" i="2" s="1"/>
  <c r="R348" i="2"/>
  <c r="T348" i="2" s="1"/>
  <c r="U348" i="2" s="1"/>
  <c r="R364" i="2"/>
  <c r="T364" i="2" s="1"/>
  <c r="U364" i="2" s="1"/>
  <c r="R368" i="2"/>
  <c r="T368" i="2" s="1"/>
  <c r="U368" i="2" s="1"/>
  <c r="R380" i="2"/>
  <c r="T380" i="2" s="1"/>
  <c r="U380" i="2" s="1"/>
  <c r="R392" i="2"/>
  <c r="T392" i="2" s="1"/>
  <c r="U392" i="2" s="1"/>
  <c r="R416" i="2"/>
  <c r="T416" i="2" s="1"/>
  <c r="U416" i="2" s="1"/>
  <c r="R679" i="2"/>
  <c r="T679" i="2" s="1"/>
  <c r="U679" i="2" s="1"/>
  <c r="R683" i="2"/>
  <c r="T683" i="2" s="1"/>
  <c r="U683" i="2" s="1"/>
  <c r="R687" i="2"/>
  <c r="T687" i="2" s="1"/>
  <c r="U687" i="2" s="1"/>
  <c r="R691" i="2"/>
  <c r="T691" i="2" s="1"/>
  <c r="U691" i="2" s="1"/>
  <c r="R695" i="2"/>
  <c r="T695" i="2" s="1"/>
  <c r="U695" i="2" s="1"/>
  <c r="R727" i="2"/>
  <c r="T727" i="2" s="1"/>
  <c r="U727" i="2" s="1"/>
  <c r="R782" i="2"/>
  <c r="T782" i="2" s="1"/>
  <c r="U782" i="2" s="1"/>
  <c r="R786" i="2"/>
  <c r="T786" i="2" s="1"/>
  <c r="U786" i="2" s="1"/>
  <c r="R1081" i="2"/>
  <c r="T1081" i="2" s="1"/>
  <c r="U1081" i="2" s="1"/>
  <c r="R1093" i="2"/>
  <c r="T1093" i="2" s="1"/>
  <c r="U1093" i="2" s="1"/>
  <c r="R1105" i="2"/>
  <c r="T1105" i="2" s="1"/>
  <c r="U1105" i="2" s="1"/>
  <c r="R1161" i="2"/>
  <c r="T1161" i="2" s="1"/>
  <c r="U1161" i="2" s="1"/>
  <c r="R301" i="2"/>
  <c r="T301" i="2" s="1"/>
  <c r="U301" i="2" s="1"/>
  <c r="R309" i="2"/>
  <c r="T309" i="2" s="1"/>
  <c r="U309" i="2" s="1"/>
  <c r="R385" i="2"/>
  <c r="T385" i="2" s="1"/>
  <c r="U385" i="2" s="1"/>
  <c r="R468" i="2"/>
  <c r="T468" i="2" s="1"/>
  <c r="U468" i="2" s="1"/>
  <c r="R544" i="2"/>
  <c r="T544" i="2" s="1"/>
  <c r="U544" i="2" s="1"/>
  <c r="R556" i="2"/>
  <c r="T556" i="2" s="1"/>
  <c r="U556" i="2" s="1"/>
  <c r="R767" i="2"/>
  <c r="T767" i="2" s="1"/>
  <c r="U767" i="2" s="1"/>
  <c r="R802" i="2"/>
  <c r="T802" i="2" s="1"/>
  <c r="U802" i="2" s="1"/>
  <c r="R930" i="2"/>
  <c r="T930" i="2" s="1"/>
  <c r="U930" i="2" s="1"/>
  <c r="R1126" i="2"/>
  <c r="T1126" i="2" s="1"/>
  <c r="U1126" i="2" s="1"/>
  <c r="R1150" i="2"/>
  <c r="T1150" i="2" s="1"/>
  <c r="U1150" i="2" s="1"/>
  <c r="R1174" i="2"/>
  <c r="T1174" i="2" s="1"/>
  <c r="U1174" i="2" s="1"/>
  <c r="R1201" i="2"/>
  <c r="T1201" i="2" s="1"/>
  <c r="U1201" i="2" s="1"/>
  <c r="R1281" i="2"/>
  <c r="T1281" i="2" s="1"/>
  <c r="U1281" i="2" s="1"/>
  <c r="R46" i="2"/>
  <c r="T46" i="2" s="1"/>
  <c r="U46" i="2" s="1"/>
  <c r="R541" i="2"/>
  <c r="T541" i="2" s="1"/>
  <c r="U541" i="2" s="1"/>
  <c r="R815" i="2"/>
  <c r="T815" i="2" s="1"/>
  <c r="U815" i="2" s="1"/>
  <c r="R819" i="2"/>
  <c r="T819" i="2" s="1"/>
  <c r="U819" i="2" s="1"/>
  <c r="R823" i="2"/>
  <c r="T823" i="2" s="1"/>
  <c r="U823" i="2" s="1"/>
  <c r="R835" i="2"/>
  <c r="T835" i="2" s="1"/>
  <c r="U835" i="2" s="1"/>
  <c r="R851" i="2"/>
  <c r="T851" i="2" s="1"/>
  <c r="U851" i="2" s="1"/>
  <c r="R855" i="2"/>
  <c r="T855" i="2" s="1"/>
  <c r="U855" i="2" s="1"/>
  <c r="R859" i="2"/>
  <c r="T859" i="2" s="1"/>
  <c r="U859" i="2" s="1"/>
  <c r="R959" i="2"/>
  <c r="T959" i="2" s="1"/>
  <c r="U959" i="2" s="1"/>
  <c r="R963" i="2"/>
  <c r="T963" i="2" s="1"/>
  <c r="U963" i="2" s="1"/>
  <c r="R998" i="2"/>
  <c r="T998" i="2" s="1"/>
  <c r="U998" i="2" s="1"/>
  <c r="R1214" i="2"/>
  <c r="T1214" i="2" s="1"/>
  <c r="U1214" i="2" s="1"/>
  <c r="R1222" i="2"/>
  <c r="T1222" i="2" s="1"/>
  <c r="U1222" i="2" s="1"/>
  <c r="R298" i="2"/>
  <c r="T298" i="2" s="1"/>
  <c r="U298" i="2" s="1"/>
  <c r="R465" i="2"/>
  <c r="T465" i="2" s="1"/>
  <c r="U465" i="2" s="1"/>
  <c r="R681" i="2"/>
  <c r="T681" i="2" s="1"/>
  <c r="U681" i="2" s="1"/>
  <c r="R61" i="2"/>
  <c r="T61" i="2" s="1"/>
  <c r="U61" i="2" s="1"/>
  <c r="R65" i="2"/>
  <c r="T65" i="2" s="1"/>
  <c r="U65" i="2" s="1"/>
  <c r="R148" i="2"/>
  <c r="T148" i="2" s="1"/>
  <c r="U148" i="2" s="1"/>
  <c r="R188" i="2"/>
  <c r="T188" i="2" s="1"/>
  <c r="U188" i="2" s="1"/>
  <c r="R243" i="2"/>
  <c r="T243" i="2" s="1"/>
  <c r="U243" i="2" s="1"/>
  <c r="R295" i="2"/>
  <c r="T295" i="2" s="1"/>
  <c r="U295" i="2" s="1"/>
  <c r="R513" i="2"/>
  <c r="T513" i="2" s="1"/>
  <c r="U513" i="2" s="1"/>
  <c r="R821" i="2"/>
  <c r="T821" i="2" s="1"/>
  <c r="U821" i="2" s="1"/>
  <c r="R1157" i="2"/>
  <c r="T1157" i="2" s="1"/>
  <c r="U1157" i="2" s="1"/>
  <c r="R1362" i="2"/>
  <c r="T1362" i="2" s="1"/>
  <c r="U1362" i="2" s="1"/>
  <c r="R92" i="2"/>
  <c r="T92" i="2" s="1"/>
  <c r="U92" i="2" s="1"/>
  <c r="R96" i="2"/>
  <c r="T96" i="2" s="1"/>
  <c r="U96" i="2" s="1"/>
  <c r="R100" i="2"/>
  <c r="T100" i="2" s="1"/>
  <c r="U100" i="2" s="1"/>
  <c r="R104" i="2"/>
  <c r="T104" i="2" s="1"/>
  <c r="U104" i="2" s="1"/>
  <c r="R327" i="2"/>
  <c r="T327" i="2" s="1"/>
  <c r="U327" i="2" s="1"/>
  <c r="R331" i="2"/>
  <c r="T331" i="2" s="1"/>
  <c r="U331" i="2" s="1"/>
  <c r="R339" i="2"/>
  <c r="T339" i="2" s="1"/>
  <c r="U339" i="2" s="1"/>
  <c r="R359" i="2"/>
  <c r="T359" i="2" s="1"/>
  <c r="U359" i="2" s="1"/>
  <c r="R395" i="2"/>
  <c r="T395" i="2" s="1"/>
  <c r="U395" i="2" s="1"/>
  <c r="R403" i="2"/>
  <c r="T403" i="2" s="1"/>
  <c r="U403" i="2" s="1"/>
  <c r="R415" i="2"/>
  <c r="T415" i="2" s="1"/>
  <c r="U415" i="2" s="1"/>
  <c r="R529" i="2"/>
  <c r="T529" i="2" s="1"/>
  <c r="U529" i="2" s="1"/>
  <c r="R608" i="2"/>
  <c r="T608" i="2" s="1"/>
  <c r="U608" i="2" s="1"/>
  <c r="R612" i="2"/>
  <c r="T612" i="2" s="1"/>
  <c r="U612" i="2" s="1"/>
  <c r="R628" i="2"/>
  <c r="T628" i="2" s="1"/>
  <c r="U628" i="2" s="1"/>
  <c r="R632" i="2"/>
  <c r="T632" i="2" s="1"/>
  <c r="U632" i="2" s="1"/>
  <c r="R640" i="2"/>
  <c r="T640" i="2" s="1"/>
  <c r="U640" i="2" s="1"/>
  <c r="R644" i="2"/>
  <c r="T644" i="2" s="1"/>
  <c r="U644" i="2" s="1"/>
  <c r="R758" i="2"/>
  <c r="T758" i="2" s="1"/>
  <c r="U758" i="2" s="1"/>
  <c r="R848" i="2"/>
  <c r="T848" i="2" s="1"/>
  <c r="U848" i="2" s="1"/>
  <c r="R856" i="2"/>
  <c r="T856" i="2" s="1"/>
  <c r="U856" i="2" s="1"/>
  <c r="R864" i="2"/>
  <c r="T864" i="2" s="1"/>
  <c r="U864" i="2" s="1"/>
  <c r="R931" i="2"/>
  <c r="T931" i="2" s="1"/>
  <c r="U931" i="2" s="1"/>
  <c r="R939" i="2"/>
  <c r="T939" i="2" s="1"/>
  <c r="U939" i="2" s="1"/>
  <c r="R947" i="2"/>
  <c r="T947" i="2" s="1"/>
  <c r="U947" i="2" s="1"/>
  <c r="R951" i="2"/>
  <c r="T951" i="2" s="1"/>
  <c r="U951" i="2" s="1"/>
  <c r="R955" i="2"/>
  <c r="T955" i="2" s="1"/>
  <c r="U955" i="2" s="1"/>
  <c r="R967" i="2"/>
  <c r="T967" i="2" s="1"/>
  <c r="U967" i="2" s="1"/>
  <c r="R1006" i="2"/>
  <c r="T1006" i="2" s="1"/>
  <c r="U1006" i="2" s="1"/>
  <c r="R1030" i="2"/>
  <c r="T1030" i="2" s="1"/>
  <c r="U1030" i="2" s="1"/>
  <c r="R1050" i="2"/>
  <c r="T1050" i="2" s="1"/>
  <c r="U1050" i="2" s="1"/>
  <c r="R1082" i="2"/>
  <c r="T1082" i="2" s="1"/>
  <c r="U1082" i="2" s="1"/>
  <c r="R1117" i="2"/>
  <c r="T1117" i="2" s="1"/>
  <c r="U1117" i="2" s="1"/>
  <c r="R1129" i="2"/>
  <c r="T1129" i="2" s="1"/>
  <c r="U1129" i="2" s="1"/>
  <c r="R1137" i="2"/>
  <c r="T1137" i="2" s="1"/>
  <c r="U1137" i="2" s="1"/>
  <c r="R1184" i="2"/>
  <c r="T1184" i="2" s="1"/>
  <c r="U1184" i="2" s="1"/>
  <c r="R1200" i="2"/>
  <c r="T1200" i="2" s="1"/>
  <c r="U1200" i="2" s="1"/>
  <c r="R1220" i="2"/>
  <c r="T1220" i="2" s="1"/>
  <c r="U1220" i="2" s="1"/>
  <c r="R1236" i="2"/>
  <c r="T1236" i="2" s="1"/>
  <c r="U1236" i="2" s="1"/>
  <c r="R1327" i="2"/>
  <c r="T1327" i="2" s="1"/>
  <c r="U1327" i="2" s="1"/>
  <c r="R1335" i="2"/>
  <c r="T1335" i="2" s="1"/>
  <c r="U1335" i="2" s="1"/>
  <c r="R156" i="2"/>
  <c r="T156" i="2" s="1"/>
  <c r="U156" i="2" s="1"/>
  <c r="R657" i="2"/>
  <c r="T657" i="2" s="1"/>
  <c r="U657" i="2" s="1"/>
  <c r="R723" i="2"/>
  <c r="T723" i="2" s="1"/>
  <c r="U723" i="2" s="1"/>
  <c r="R877" i="2"/>
  <c r="T877" i="2" s="1"/>
  <c r="U877" i="2" s="1"/>
  <c r="R900" i="2"/>
  <c r="T900" i="2" s="1"/>
  <c r="U900" i="2" s="1"/>
  <c r="R1023" i="2"/>
  <c r="T1023" i="2" s="1"/>
  <c r="U1023" i="2" s="1"/>
  <c r="R1280" i="2"/>
  <c r="T1280" i="2" s="1"/>
  <c r="U1280" i="2" s="1"/>
  <c r="R1347" i="2"/>
  <c r="T1347" i="2" s="1"/>
  <c r="U1347" i="2" s="1"/>
  <c r="R50" i="2"/>
  <c r="T50" i="2" s="1"/>
  <c r="U50" i="2" s="1"/>
  <c r="R444" i="2"/>
  <c r="T444" i="2" s="1"/>
  <c r="U444" i="2" s="1"/>
  <c r="R601" i="2"/>
  <c r="T601" i="2" s="1"/>
  <c r="U601" i="2" s="1"/>
  <c r="R680" i="2"/>
  <c r="T680" i="2" s="1"/>
  <c r="U680" i="2" s="1"/>
  <c r="R696" i="2"/>
  <c r="T696" i="2" s="1"/>
  <c r="U696" i="2" s="1"/>
  <c r="R916" i="2"/>
  <c r="T916" i="2" s="1"/>
  <c r="U916" i="2" s="1"/>
  <c r="R1110" i="2"/>
  <c r="T1110" i="2" s="1"/>
  <c r="U1110" i="2" s="1"/>
  <c r="R1177" i="2"/>
  <c r="T1177" i="2" s="1"/>
  <c r="U1177" i="2" s="1"/>
  <c r="R1284" i="2"/>
  <c r="T1284" i="2" s="1"/>
  <c r="U1284" i="2" s="1"/>
  <c r="R257" i="2"/>
  <c r="T257" i="2" s="1"/>
  <c r="U257" i="2" s="1"/>
  <c r="R396" i="2"/>
  <c r="T396" i="2" s="1"/>
  <c r="U396" i="2" s="1"/>
  <c r="R400" i="2"/>
  <c r="T400" i="2" s="1"/>
  <c r="U400" i="2" s="1"/>
  <c r="R522" i="2"/>
  <c r="T522" i="2" s="1"/>
  <c r="U522" i="2" s="1"/>
  <c r="R530" i="2"/>
  <c r="T530" i="2" s="1"/>
  <c r="U530" i="2" s="1"/>
  <c r="R625" i="2"/>
  <c r="T625" i="2" s="1"/>
  <c r="U625" i="2" s="1"/>
  <c r="R685" i="2"/>
  <c r="T685" i="2" s="1"/>
  <c r="U685" i="2" s="1"/>
  <c r="R712" i="2"/>
  <c r="T712" i="2" s="1"/>
  <c r="U712" i="2" s="1"/>
  <c r="R917" i="2"/>
  <c r="T917" i="2" s="1"/>
  <c r="U917" i="2" s="1"/>
  <c r="R948" i="2"/>
  <c r="T948" i="2" s="1"/>
  <c r="U948" i="2" s="1"/>
  <c r="R1114" i="2"/>
  <c r="T1114" i="2" s="1"/>
  <c r="U1114" i="2" s="1"/>
  <c r="R1134" i="2"/>
  <c r="T1134" i="2" s="1"/>
  <c r="U1134" i="2" s="1"/>
  <c r="R1142" i="2"/>
  <c r="T1142" i="2" s="1"/>
  <c r="U1142" i="2" s="1"/>
  <c r="R1205" i="2"/>
  <c r="T1205" i="2" s="1"/>
  <c r="U1205" i="2" s="1"/>
  <c r="R1221" i="2"/>
  <c r="T1221" i="2" s="1"/>
  <c r="U1221" i="2" s="1"/>
  <c r="R62" i="2"/>
  <c r="T62" i="2" s="1"/>
  <c r="U62" i="2" s="1"/>
  <c r="R106" i="2"/>
  <c r="T106" i="2" s="1"/>
  <c r="U106" i="2" s="1"/>
  <c r="R110" i="2"/>
  <c r="T110" i="2" s="1"/>
  <c r="U110" i="2" s="1"/>
  <c r="R181" i="2"/>
  <c r="T181" i="2" s="1"/>
  <c r="U181" i="2" s="1"/>
  <c r="R456" i="2"/>
  <c r="T456" i="2" s="1"/>
  <c r="U456" i="2" s="1"/>
  <c r="R814" i="2"/>
  <c r="T814" i="2" s="1"/>
  <c r="U814" i="2" s="1"/>
  <c r="R972" i="2"/>
  <c r="T972" i="2" s="1"/>
  <c r="U972" i="2" s="1"/>
  <c r="R976" i="2"/>
  <c r="T976" i="2" s="1"/>
  <c r="U976" i="2" s="1"/>
  <c r="R1257" i="2"/>
  <c r="T1257" i="2" s="1"/>
  <c r="U1257" i="2" s="1"/>
  <c r="R1273" i="2"/>
  <c r="T1273" i="2" s="1"/>
  <c r="U1273" i="2" s="1"/>
  <c r="R1277" i="2"/>
  <c r="T1277" i="2" s="1"/>
  <c r="U1277" i="2" s="1"/>
  <c r="R1348" i="2"/>
  <c r="T1348" i="2" s="1"/>
  <c r="U1348" i="2" s="1"/>
  <c r="R67" i="2"/>
  <c r="T67" i="2" s="1"/>
  <c r="U67" i="2" s="1"/>
  <c r="R74" i="2"/>
  <c r="T74" i="2" s="1"/>
  <c r="U74" i="2" s="1"/>
  <c r="R146" i="2"/>
  <c r="T146" i="2" s="1"/>
  <c r="U146" i="2" s="1"/>
  <c r="R507" i="2"/>
  <c r="T507" i="2" s="1"/>
  <c r="U507" i="2" s="1"/>
  <c r="R511" i="2"/>
  <c r="T511" i="2" s="1"/>
  <c r="U511" i="2" s="1"/>
  <c r="R550" i="2"/>
  <c r="T550" i="2" s="1"/>
  <c r="U550" i="2" s="1"/>
  <c r="R590" i="2"/>
  <c r="T590" i="2" s="1"/>
  <c r="U590" i="2" s="1"/>
  <c r="R602" i="2"/>
  <c r="T602" i="2" s="1"/>
  <c r="U602" i="2" s="1"/>
  <c r="R693" i="2"/>
  <c r="T693" i="2" s="1"/>
  <c r="U693" i="2" s="1"/>
  <c r="R981" i="2"/>
  <c r="T981" i="2" s="1"/>
  <c r="U981" i="2" s="1"/>
  <c r="R1111" i="2"/>
  <c r="T1111" i="2" s="1"/>
  <c r="U1111" i="2" s="1"/>
  <c r="R1258" i="2"/>
  <c r="T1258" i="2" s="1"/>
  <c r="U1258" i="2" s="1"/>
  <c r="R1289" i="2"/>
  <c r="T1289" i="2" s="1"/>
  <c r="U1289" i="2" s="1"/>
  <c r="R1364" i="2"/>
  <c r="T1364" i="2" s="1"/>
  <c r="U1364" i="2" s="1"/>
  <c r="R361" i="2"/>
  <c r="T361" i="2" s="1"/>
  <c r="U361" i="2" s="1"/>
  <c r="R409" i="2"/>
  <c r="T409" i="2" s="1"/>
  <c r="U409" i="2" s="1"/>
  <c r="R713" i="2"/>
  <c r="T713" i="2" s="1"/>
  <c r="U713" i="2" s="1"/>
  <c r="R760" i="2"/>
  <c r="T760" i="2" s="1"/>
  <c r="U760" i="2" s="1"/>
  <c r="R854" i="2"/>
  <c r="T854" i="2" s="1"/>
  <c r="U854" i="2" s="1"/>
  <c r="R882" i="2"/>
  <c r="T882" i="2" s="1"/>
  <c r="U882" i="2" s="1"/>
  <c r="R910" i="2"/>
  <c r="T910" i="2" s="1"/>
  <c r="U910" i="2" s="1"/>
  <c r="R965" i="2"/>
  <c r="T965" i="2" s="1"/>
  <c r="U965" i="2" s="1"/>
  <c r="R969" i="2"/>
  <c r="T969" i="2" s="1"/>
  <c r="U969" i="2" s="1"/>
  <c r="R1020" i="2"/>
  <c r="T1020" i="2" s="1"/>
  <c r="U1020" i="2" s="1"/>
  <c r="R1147" i="2"/>
  <c r="T1147" i="2" s="1"/>
  <c r="U1147" i="2" s="1"/>
  <c r="R1194" i="2"/>
  <c r="T1194" i="2" s="1"/>
  <c r="U1194" i="2" s="1"/>
  <c r="R1202" i="2"/>
  <c r="T1202" i="2" s="1"/>
  <c r="U1202" i="2" s="1"/>
  <c r="R1282" i="2"/>
  <c r="T1282" i="2" s="1"/>
  <c r="U1282" i="2" s="1"/>
  <c r="R1294" i="2"/>
  <c r="T1294" i="2" s="1"/>
  <c r="U1294" i="2" s="1"/>
  <c r="R1298" i="2"/>
  <c r="T1298" i="2" s="1"/>
  <c r="U1298" i="2" s="1"/>
  <c r="R162" i="2"/>
  <c r="T162" i="2" s="1"/>
  <c r="U162" i="2" s="1"/>
  <c r="R166" i="2"/>
  <c r="T166" i="2" s="1"/>
  <c r="U166" i="2" s="1"/>
  <c r="R326" i="2"/>
  <c r="T326" i="2" s="1"/>
  <c r="U326" i="2" s="1"/>
  <c r="R437" i="2"/>
  <c r="T437" i="2" s="1"/>
  <c r="U437" i="2" s="1"/>
  <c r="R488" i="2"/>
  <c r="T488" i="2" s="1"/>
  <c r="U488" i="2" s="1"/>
  <c r="R721" i="2"/>
  <c r="T721" i="2" s="1"/>
  <c r="U721" i="2" s="1"/>
  <c r="R902" i="2"/>
  <c r="T902" i="2" s="1"/>
  <c r="U902" i="2" s="1"/>
  <c r="R954" i="2"/>
  <c r="T954" i="2" s="1"/>
  <c r="U954" i="2" s="1"/>
  <c r="R48" i="2"/>
  <c r="T48" i="2" s="1"/>
  <c r="U48" i="2" s="1"/>
  <c r="R52" i="2"/>
  <c r="T52" i="2" s="1"/>
  <c r="U52" i="2" s="1"/>
  <c r="R60" i="2"/>
  <c r="T60" i="2" s="1"/>
  <c r="U60" i="2" s="1"/>
  <c r="R64" i="2"/>
  <c r="T64" i="2" s="1"/>
  <c r="U64" i="2" s="1"/>
  <c r="R147" i="2"/>
  <c r="T147" i="2" s="1"/>
  <c r="U147" i="2" s="1"/>
  <c r="R159" i="2"/>
  <c r="T159" i="2" s="1"/>
  <c r="U159" i="2" s="1"/>
  <c r="R219" i="2"/>
  <c r="T219" i="2" s="1"/>
  <c r="U219" i="2" s="1"/>
  <c r="R454" i="2"/>
  <c r="T454" i="2" s="1"/>
  <c r="U454" i="2" s="1"/>
  <c r="R493" i="2"/>
  <c r="T493" i="2" s="1"/>
  <c r="U493" i="2" s="1"/>
  <c r="R500" i="2"/>
  <c r="T500" i="2" s="1"/>
  <c r="U500" i="2" s="1"/>
  <c r="R738" i="2"/>
  <c r="T738" i="2" s="1"/>
  <c r="U738" i="2" s="1"/>
  <c r="R741" i="2"/>
  <c r="T741" i="2" s="1"/>
  <c r="U741" i="2" s="1"/>
  <c r="R891" i="2"/>
  <c r="T891" i="2" s="1"/>
  <c r="U891" i="2" s="1"/>
  <c r="R982" i="2"/>
  <c r="T982" i="2" s="1"/>
  <c r="U982" i="2" s="1"/>
  <c r="R994" i="2"/>
  <c r="T994" i="2" s="1"/>
  <c r="U994" i="2" s="1"/>
  <c r="R997" i="2"/>
  <c r="T997" i="2" s="1"/>
  <c r="U997" i="2" s="1"/>
  <c r="R1080" i="2"/>
  <c r="T1080" i="2" s="1"/>
  <c r="U1080" i="2" s="1"/>
  <c r="R1092" i="2"/>
  <c r="T1092" i="2" s="1"/>
  <c r="U1092" i="2" s="1"/>
  <c r="R1100" i="2"/>
  <c r="T1100" i="2" s="1"/>
  <c r="U1100" i="2" s="1"/>
  <c r="R1247" i="2"/>
  <c r="T1247" i="2" s="1"/>
  <c r="U1247" i="2" s="1"/>
  <c r="R1346" i="2"/>
  <c r="T1346" i="2" s="1"/>
  <c r="U1346" i="2" s="1"/>
  <c r="R76" i="2"/>
  <c r="T76" i="2" s="1"/>
  <c r="U76" i="2" s="1"/>
  <c r="R84" i="2"/>
  <c r="T84" i="2" s="1"/>
  <c r="U84" i="2" s="1"/>
  <c r="R255" i="2"/>
  <c r="T255" i="2" s="1"/>
  <c r="U255" i="2" s="1"/>
  <c r="R520" i="2"/>
  <c r="T520" i="2" s="1"/>
  <c r="U520" i="2" s="1"/>
  <c r="R938" i="2"/>
  <c r="T938" i="2" s="1"/>
  <c r="U938" i="2" s="1"/>
  <c r="R966" i="2"/>
  <c r="T966" i="2" s="1"/>
  <c r="U966" i="2" s="1"/>
  <c r="R1041" i="2"/>
  <c r="T1041" i="2" s="1"/>
  <c r="U1041" i="2" s="1"/>
  <c r="R1053" i="2"/>
  <c r="T1053" i="2" s="1"/>
  <c r="U1053" i="2" s="1"/>
  <c r="R1069" i="2"/>
  <c r="T1069" i="2" s="1"/>
  <c r="U1069" i="2" s="1"/>
  <c r="R1124" i="2"/>
  <c r="T1124" i="2" s="1"/>
  <c r="U1124" i="2" s="1"/>
  <c r="R1132" i="2"/>
  <c r="T1132" i="2" s="1"/>
  <c r="U1132" i="2" s="1"/>
  <c r="R1136" i="2"/>
  <c r="T1136" i="2" s="1"/>
  <c r="U1136" i="2" s="1"/>
  <c r="R1144" i="2"/>
  <c r="T1144" i="2" s="1"/>
  <c r="U1144" i="2" s="1"/>
  <c r="R1235" i="2"/>
  <c r="T1235" i="2" s="1"/>
  <c r="U1235" i="2" s="1"/>
  <c r="R1318" i="2"/>
  <c r="T1318" i="2" s="1"/>
  <c r="U1318" i="2" s="1"/>
  <c r="R285" i="2"/>
  <c r="T285" i="2" s="1"/>
  <c r="U285" i="2" s="1"/>
  <c r="R336" i="2"/>
  <c r="T336" i="2" s="1"/>
  <c r="U336" i="2" s="1"/>
  <c r="R425" i="2"/>
  <c r="T425" i="2" s="1"/>
  <c r="U425" i="2" s="1"/>
  <c r="R429" i="2"/>
  <c r="T429" i="2" s="1"/>
  <c r="U429" i="2" s="1"/>
  <c r="R478" i="2"/>
  <c r="T478" i="2" s="1"/>
  <c r="U478" i="2" s="1"/>
  <c r="R482" i="2"/>
  <c r="T482" i="2" s="1"/>
  <c r="U482" i="2" s="1"/>
  <c r="R504" i="2"/>
  <c r="T504" i="2" s="1"/>
  <c r="U504" i="2" s="1"/>
  <c r="R537" i="2"/>
  <c r="T537" i="2" s="1"/>
  <c r="U537" i="2" s="1"/>
  <c r="R560" i="2"/>
  <c r="T560" i="2" s="1"/>
  <c r="U560" i="2" s="1"/>
  <c r="R564" i="2"/>
  <c r="T564" i="2" s="1"/>
  <c r="U564" i="2" s="1"/>
  <c r="R580" i="2"/>
  <c r="T580" i="2" s="1"/>
  <c r="U580" i="2" s="1"/>
  <c r="R614" i="2"/>
  <c r="T614" i="2" s="1"/>
  <c r="U614" i="2" s="1"/>
  <c r="R618" i="2"/>
  <c r="T618" i="2" s="1"/>
  <c r="U618" i="2" s="1"/>
  <c r="R660" i="2"/>
  <c r="T660" i="2" s="1"/>
  <c r="U660" i="2" s="1"/>
  <c r="R668" i="2"/>
  <c r="T668" i="2" s="1"/>
  <c r="U668" i="2" s="1"/>
  <c r="R54" i="2"/>
  <c r="T54" i="2" s="1"/>
  <c r="U54" i="2" s="1"/>
  <c r="R69" i="2"/>
  <c r="T69" i="2" s="1"/>
  <c r="U69" i="2" s="1"/>
  <c r="R73" i="2"/>
  <c r="T73" i="2" s="1"/>
  <c r="U73" i="2" s="1"/>
  <c r="R88" i="2"/>
  <c r="T88" i="2" s="1"/>
  <c r="U88" i="2" s="1"/>
  <c r="R135" i="2"/>
  <c r="T135" i="2" s="1"/>
  <c r="U135" i="2" s="1"/>
  <c r="R172" i="2"/>
  <c r="T172" i="2" s="1"/>
  <c r="U172" i="2" s="1"/>
  <c r="R293" i="2"/>
  <c r="T293" i="2" s="1"/>
  <c r="U293" i="2" s="1"/>
  <c r="R305" i="2"/>
  <c r="T305" i="2" s="1"/>
  <c r="U305" i="2" s="1"/>
  <c r="R313" i="2"/>
  <c r="T313" i="2" s="1"/>
  <c r="U313" i="2" s="1"/>
  <c r="R352" i="2"/>
  <c r="T352" i="2" s="1"/>
  <c r="U352" i="2" s="1"/>
  <c r="R356" i="2"/>
  <c r="T356" i="2" s="1"/>
  <c r="U356" i="2" s="1"/>
  <c r="R363" i="2"/>
  <c r="T363" i="2" s="1"/>
  <c r="U363" i="2" s="1"/>
  <c r="R367" i="2"/>
  <c r="T367" i="2" s="1"/>
  <c r="U367" i="2" s="1"/>
  <c r="R375" i="2"/>
  <c r="T375" i="2" s="1"/>
  <c r="U375" i="2" s="1"/>
  <c r="R379" i="2"/>
  <c r="T379" i="2" s="1"/>
  <c r="U379" i="2" s="1"/>
  <c r="R387" i="2"/>
  <c r="T387" i="2" s="1"/>
  <c r="U387" i="2" s="1"/>
  <c r="R391" i="2"/>
  <c r="T391" i="2" s="1"/>
  <c r="U391" i="2" s="1"/>
  <c r="R414" i="2"/>
  <c r="T414" i="2" s="1"/>
  <c r="U414" i="2" s="1"/>
  <c r="R490" i="2"/>
  <c r="T490" i="2" s="1"/>
  <c r="U490" i="2" s="1"/>
  <c r="R626" i="2"/>
  <c r="T626" i="2" s="1"/>
  <c r="U626" i="2" s="1"/>
  <c r="R641" i="2"/>
  <c r="T641" i="2" s="1"/>
  <c r="U641" i="2" s="1"/>
  <c r="R645" i="2"/>
  <c r="T645" i="2" s="1"/>
  <c r="U645" i="2" s="1"/>
  <c r="R728" i="2"/>
  <c r="T728" i="2" s="1"/>
  <c r="U728" i="2" s="1"/>
  <c r="R754" i="2"/>
  <c r="T754" i="2" s="1"/>
  <c r="U754" i="2" s="1"/>
  <c r="R776" i="2"/>
  <c r="T776" i="2" s="1"/>
  <c r="U776" i="2" s="1"/>
  <c r="R834" i="2"/>
  <c r="T834" i="2" s="1"/>
  <c r="U834" i="2" s="1"/>
  <c r="R872" i="2"/>
  <c r="T872" i="2" s="1"/>
  <c r="U872" i="2" s="1"/>
  <c r="R895" i="2"/>
  <c r="T895" i="2" s="1"/>
  <c r="U895" i="2" s="1"/>
  <c r="R934" i="2"/>
  <c r="T934" i="2" s="1"/>
  <c r="U934" i="2" s="1"/>
  <c r="R1011" i="2"/>
  <c r="T1011" i="2" s="1"/>
  <c r="U1011" i="2" s="1"/>
  <c r="R1034" i="2"/>
  <c r="T1034" i="2" s="1"/>
  <c r="U1034" i="2" s="1"/>
  <c r="R1045" i="2"/>
  <c r="T1045" i="2" s="1"/>
  <c r="U1045" i="2" s="1"/>
  <c r="R1049" i="2"/>
  <c r="T1049" i="2" s="1"/>
  <c r="U1049" i="2" s="1"/>
  <c r="R1068" i="2"/>
  <c r="T1068" i="2" s="1"/>
  <c r="U1068" i="2" s="1"/>
  <c r="R1087" i="2"/>
  <c r="T1087" i="2" s="1"/>
  <c r="U1087" i="2" s="1"/>
  <c r="R1091" i="2"/>
  <c r="T1091" i="2" s="1"/>
  <c r="U1091" i="2" s="1"/>
  <c r="R1109" i="2"/>
  <c r="T1109" i="2" s="1"/>
  <c r="U1109" i="2" s="1"/>
  <c r="R1135" i="2"/>
  <c r="T1135" i="2" s="1"/>
  <c r="U1135" i="2" s="1"/>
  <c r="R1139" i="2"/>
  <c r="T1139" i="2" s="1"/>
  <c r="U1139" i="2" s="1"/>
  <c r="R1143" i="2"/>
  <c r="T1143" i="2" s="1"/>
  <c r="U1143" i="2" s="1"/>
  <c r="R1162" i="2"/>
  <c r="T1162" i="2" s="1"/>
  <c r="U1162" i="2" s="1"/>
  <c r="R1189" i="2"/>
  <c r="T1189" i="2" s="1"/>
  <c r="U1189" i="2" s="1"/>
  <c r="R1208" i="2"/>
  <c r="T1208" i="2" s="1"/>
  <c r="U1208" i="2" s="1"/>
  <c r="R1212" i="2"/>
  <c r="T1212" i="2" s="1"/>
  <c r="U1212" i="2" s="1"/>
  <c r="R1216" i="2"/>
  <c r="T1216" i="2" s="1"/>
  <c r="U1216" i="2" s="1"/>
  <c r="R1266" i="2"/>
  <c r="T1266" i="2" s="1"/>
  <c r="U1266" i="2" s="1"/>
  <c r="R1270" i="2"/>
  <c r="T1270" i="2" s="1"/>
  <c r="U1270" i="2" s="1"/>
  <c r="R1301" i="2"/>
  <c r="T1301" i="2" s="1"/>
  <c r="U1301" i="2" s="1"/>
  <c r="R1309" i="2"/>
  <c r="T1309" i="2" s="1"/>
  <c r="U1309" i="2" s="1"/>
  <c r="R58" i="2"/>
  <c r="T58" i="2" s="1"/>
  <c r="U58" i="2" s="1"/>
  <c r="R150" i="2"/>
  <c r="T150" i="2" s="1"/>
  <c r="U150" i="2" s="1"/>
  <c r="R164" i="2"/>
  <c r="T164" i="2" s="1"/>
  <c r="U164" i="2" s="1"/>
  <c r="R199" i="2"/>
  <c r="T199" i="2" s="1"/>
  <c r="U199" i="2" s="1"/>
  <c r="R203" i="2"/>
  <c r="T203" i="2" s="1"/>
  <c r="U203" i="2" s="1"/>
  <c r="R215" i="2"/>
  <c r="T215" i="2" s="1"/>
  <c r="U215" i="2" s="1"/>
  <c r="R310" i="2"/>
  <c r="T310" i="2" s="1"/>
  <c r="U310" i="2" s="1"/>
  <c r="R317" i="2"/>
  <c r="T317" i="2" s="1"/>
  <c r="U317" i="2" s="1"/>
  <c r="R345" i="2"/>
  <c r="T345" i="2" s="1"/>
  <c r="U345" i="2" s="1"/>
  <c r="R376" i="2"/>
  <c r="T376" i="2" s="1"/>
  <c r="U376" i="2" s="1"/>
  <c r="R384" i="2"/>
  <c r="T384" i="2" s="1"/>
  <c r="U384" i="2" s="1"/>
  <c r="R388" i="2"/>
  <c r="T388" i="2" s="1"/>
  <c r="U388" i="2" s="1"/>
  <c r="R422" i="2"/>
  <c r="T422" i="2" s="1"/>
  <c r="U422" i="2" s="1"/>
  <c r="R426" i="2"/>
  <c r="T426" i="2" s="1"/>
  <c r="U426" i="2" s="1"/>
  <c r="R460" i="2"/>
  <c r="T460" i="2" s="1"/>
  <c r="U460" i="2" s="1"/>
  <c r="R475" i="2"/>
  <c r="T475" i="2" s="1"/>
  <c r="U475" i="2" s="1"/>
  <c r="R501" i="2"/>
  <c r="T501" i="2" s="1"/>
  <c r="U501" i="2" s="1"/>
  <c r="R538" i="2"/>
  <c r="T538" i="2" s="1"/>
  <c r="U538" i="2" s="1"/>
  <c r="R561" i="2"/>
  <c r="T561" i="2" s="1"/>
  <c r="U561" i="2" s="1"/>
  <c r="R569" i="2"/>
  <c r="T569" i="2" s="1"/>
  <c r="U569" i="2" s="1"/>
  <c r="R577" i="2"/>
  <c r="T577" i="2" s="1"/>
  <c r="U577" i="2" s="1"/>
  <c r="R589" i="2"/>
  <c r="T589" i="2" s="1"/>
  <c r="U589" i="2" s="1"/>
  <c r="R593" i="2"/>
  <c r="T593" i="2" s="1"/>
  <c r="U593" i="2" s="1"/>
  <c r="R611" i="2"/>
  <c r="T611" i="2" s="1"/>
  <c r="U611" i="2" s="1"/>
  <c r="R615" i="2"/>
  <c r="T615" i="2" s="1"/>
  <c r="U615" i="2" s="1"/>
  <c r="R661" i="2"/>
  <c r="T661" i="2" s="1"/>
  <c r="U661" i="2" s="1"/>
  <c r="R665" i="2"/>
  <c r="T665" i="2" s="1"/>
  <c r="U665" i="2" s="1"/>
  <c r="R702" i="2"/>
  <c r="T702" i="2" s="1"/>
  <c r="U702" i="2" s="1"/>
  <c r="R714" i="2"/>
  <c r="T714" i="2" s="1"/>
  <c r="U714" i="2" s="1"/>
  <c r="R736" i="2"/>
  <c r="T736" i="2" s="1"/>
  <c r="U736" i="2" s="1"/>
  <c r="R755" i="2"/>
  <c r="T755" i="2" s="1"/>
  <c r="U755" i="2" s="1"/>
  <c r="R780" i="2"/>
  <c r="T780" i="2" s="1"/>
  <c r="U780" i="2" s="1"/>
  <c r="R784" i="2"/>
  <c r="T784" i="2" s="1"/>
  <c r="U784" i="2" s="1"/>
  <c r="R839" i="2"/>
  <c r="T839" i="2" s="1"/>
  <c r="U839" i="2" s="1"/>
  <c r="R909" i="2"/>
  <c r="T909" i="2" s="1"/>
  <c r="U909" i="2" s="1"/>
  <c r="R913" i="2"/>
  <c r="T913" i="2" s="1"/>
  <c r="U913" i="2" s="1"/>
  <c r="R941" i="2"/>
  <c r="T941" i="2" s="1"/>
  <c r="U941" i="2" s="1"/>
  <c r="R945" i="2"/>
  <c r="T945" i="2" s="1"/>
  <c r="U945" i="2" s="1"/>
  <c r="R949" i="2"/>
  <c r="T949" i="2" s="1"/>
  <c r="U949" i="2" s="1"/>
  <c r="R953" i="2"/>
  <c r="T953" i="2" s="1"/>
  <c r="U953" i="2" s="1"/>
  <c r="R971" i="2"/>
  <c r="T971" i="2" s="1"/>
  <c r="U971" i="2" s="1"/>
  <c r="R986" i="2"/>
  <c r="T986" i="2" s="1"/>
  <c r="U986" i="2" s="1"/>
  <c r="R1004" i="2"/>
  <c r="T1004" i="2" s="1"/>
  <c r="U1004" i="2" s="1"/>
  <c r="R1076" i="2"/>
  <c r="T1076" i="2" s="1"/>
  <c r="U1076" i="2" s="1"/>
  <c r="R1224" i="2"/>
  <c r="T1224" i="2" s="1"/>
  <c r="U1224" i="2" s="1"/>
  <c r="R212" i="2"/>
  <c r="T212" i="2" s="1"/>
  <c r="U212" i="2" s="1"/>
  <c r="R325" i="2"/>
  <c r="T325" i="2" s="1"/>
  <c r="U325" i="2" s="1"/>
  <c r="R407" i="2"/>
  <c r="T407" i="2" s="1"/>
  <c r="U407" i="2" s="1"/>
  <c r="R766" i="2"/>
  <c r="T766" i="2" s="1"/>
  <c r="U766" i="2" s="1"/>
  <c r="R796" i="2"/>
  <c r="T796" i="2" s="1"/>
  <c r="U796" i="2" s="1"/>
  <c r="U800" i="2"/>
  <c r="R843" i="2"/>
  <c r="T843" i="2" s="1"/>
  <c r="U843" i="2" s="1"/>
  <c r="R927" i="2"/>
  <c r="T927" i="2" s="1"/>
  <c r="U927" i="2" s="1"/>
  <c r="R1038" i="2"/>
  <c r="T1038" i="2" s="1"/>
  <c r="U1038" i="2" s="1"/>
  <c r="R1065" i="2"/>
  <c r="T1065" i="2" s="1"/>
  <c r="U1065" i="2" s="1"/>
  <c r="R1113" i="2"/>
  <c r="T1113" i="2" s="1"/>
  <c r="U1113" i="2" s="1"/>
  <c r="R1313" i="2"/>
  <c r="T1313" i="2" s="1"/>
  <c r="U1313" i="2" s="1"/>
  <c r="R1317" i="2"/>
  <c r="T1317" i="2" s="1"/>
  <c r="U1317" i="2" s="1"/>
  <c r="R1321" i="2"/>
  <c r="T1321" i="2" s="1"/>
  <c r="U1321" i="2" s="1"/>
  <c r="R1325" i="2"/>
  <c r="T1325" i="2" s="1"/>
  <c r="U1325" i="2" s="1"/>
  <c r="R1340" i="2"/>
  <c r="T1340" i="2" s="1"/>
  <c r="U1340" i="2" s="1"/>
  <c r="R1344" i="2"/>
  <c r="T1344" i="2" s="1"/>
  <c r="U1344" i="2" s="1"/>
  <c r="R51" i="2"/>
  <c r="T51" i="2" s="1"/>
  <c r="U51" i="2" s="1"/>
  <c r="R55" i="2"/>
  <c r="T55" i="2" s="1"/>
  <c r="U55" i="2" s="1"/>
  <c r="R216" i="2"/>
  <c r="T216" i="2" s="1"/>
  <c r="U216" i="2" s="1"/>
  <c r="R224" i="2"/>
  <c r="T224" i="2" s="1"/>
  <c r="U224" i="2" s="1"/>
  <c r="R227" i="2"/>
  <c r="T227" i="2" s="1"/>
  <c r="U227" i="2" s="1"/>
  <c r="R411" i="2"/>
  <c r="T411" i="2" s="1"/>
  <c r="U411" i="2" s="1"/>
  <c r="R469" i="2"/>
  <c r="T469" i="2" s="1"/>
  <c r="U469" i="2" s="1"/>
  <c r="R472" i="2"/>
  <c r="T472" i="2" s="1"/>
  <c r="U472" i="2" s="1"/>
  <c r="R699" i="2"/>
  <c r="T699" i="2" s="1"/>
  <c r="U699" i="2" s="1"/>
  <c r="R896" i="2"/>
  <c r="T896" i="2" s="1"/>
  <c r="U896" i="2" s="1"/>
  <c r="R935" i="2"/>
  <c r="T935" i="2" s="1"/>
  <c r="U935" i="2" s="1"/>
  <c r="R1016" i="2"/>
  <c r="T1016" i="2" s="1"/>
  <c r="U1016" i="2" s="1"/>
  <c r="R1209" i="2"/>
  <c r="T1209" i="2" s="1"/>
  <c r="U1209" i="2" s="1"/>
  <c r="R1213" i="2"/>
  <c r="T1213" i="2" s="1"/>
  <c r="U1213" i="2" s="1"/>
  <c r="R1259" i="2"/>
  <c r="T1259" i="2" s="1"/>
  <c r="U1259" i="2" s="1"/>
  <c r="R1267" i="2"/>
  <c r="T1267" i="2" s="1"/>
  <c r="U1267" i="2" s="1"/>
  <c r="R1302" i="2"/>
  <c r="T1302" i="2" s="1"/>
  <c r="U1302" i="2" s="1"/>
  <c r="R1314" i="2"/>
  <c r="T1314" i="2" s="1"/>
  <c r="U1314" i="2" s="1"/>
  <c r="R1322" i="2"/>
  <c r="T1322" i="2" s="1"/>
  <c r="U1322" i="2" s="1"/>
  <c r="R1326" i="2"/>
  <c r="T1326" i="2" s="1"/>
  <c r="U1326" i="2" s="1"/>
  <c r="R1375" i="2"/>
  <c r="T1375" i="2" s="1"/>
  <c r="U1375" i="2" s="1"/>
  <c r="R59" i="2"/>
  <c r="T59" i="2" s="1"/>
  <c r="U59" i="2" s="1"/>
  <c r="R109" i="2"/>
  <c r="T109" i="2" s="1"/>
  <c r="U109" i="2" s="1"/>
  <c r="R116" i="2"/>
  <c r="T116" i="2" s="1"/>
  <c r="U116" i="2" s="1"/>
  <c r="R120" i="2"/>
  <c r="T120" i="2" s="1"/>
  <c r="U120" i="2" s="1"/>
  <c r="R247" i="2"/>
  <c r="T247" i="2" s="1"/>
  <c r="U247" i="2" s="1"/>
  <c r="R330" i="2"/>
  <c r="T330" i="2" s="1"/>
  <c r="U330" i="2" s="1"/>
  <c r="R334" i="2"/>
  <c r="T334" i="2" s="1"/>
  <c r="U334" i="2" s="1"/>
  <c r="R342" i="2"/>
  <c r="T342" i="2" s="1"/>
  <c r="U342" i="2" s="1"/>
  <c r="R427" i="2"/>
  <c r="T427" i="2" s="1"/>
  <c r="U427" i="2" s="1"/>
  <c r="R476" i="2"/>
  <c r="T476" i="2" s="1"/>
  <c r="U476" i="2" s="1"/>
  <c r="R484" i="2"/>
  <c r="T484" i="2" s="1"/>
  <c r="U484" i="2" s="1"/>
  <c r="R539" i="2"/>
  <c r="T539" i="2" s="1"/>
  <c r="U539" i="2" s="1"/>
  <c r="R594" i="2"/>
  <c r="T594" i="2" s="1"/>
  <c r="U594" i="2" s="1"/>
  <c r="R605" i="2"/>
  <c r="T605" i="2" s="1"/>
  <c r="U605" i="2" s="1"/>
  <c r="R639" i="2"/>
  <c r="T639" i="2" s="1"/>
  <c r="U639" i="2" s="1"/>
  <c r="R666" i="2"/>
  <c r="T666" i="2" s="1"/>
  <c r="U666" i="2" s="1"/>
  <c r="R677" i="2"/>
  <c r="T677" i="2" s="1"/>
  <c r="U677" i="2" s="1"/>
  <c r="R703" i="2"/>
  <c r="T703" i="2" s="1"/>
  <c r="U703" i="2" s="1"/>
  <c r="R715" i="2"/>
  <c r="T715" i="2" s="1"/>
  <c r="U715" i="2" s="1"/>
  <c r="R737" i="2"/>
  <c r="T737" i="2" s="1"/>
  <c r="U737" i="2" s="1"/>
  <c r="R828" i="2"/>
  <c r="T828" i="2" s="1"/>
  <c r="U828" i="2" s="1"/>
  <c r="R924" i="2"/>
  <c r="T924" i="2" s="1"/>
  <c r="U924" i="2" s="1"/>
  <c r="R950" i="2"/>
  <c r="T950" i="2" s="1"/>
  <c r="U950" i="2" s="1"/>
  <c r="R1005" i="2"/>
  <c r="T1005" i="2" s="1"/>
  <c r="U1005" i="2" s="1"/>
  <c r="R1054" i="2"/>
  <c r="T1054" i="2" s="1"/>
  <c r="U1054" i="2" s="1"/>
  <c r="R1073" i="2"/>
  <c r="T1073" i="2" s="1"/>
  <c r="U1073" i="2" s="1"/>
  <c r="R1141" i="2"/>
  <c r="T1141" i="2" s="1"/>
  <c r="U1141" i="2" s="1"/>
  <c r="R1198" i="2"/>
  <c r="T1198" i="2" s="1"/>
  <c r="U1198" i="2" s="1"/>
  <c r="R1333" i="2"/>
  <c r="T1333" i="2" s="1"/>
  <c r="U1333" i="2" s="1"/>
  <c r="R173" i="2"/>
  <c r="T173" i="2" s="1"/>
  <c r="U173" i="2" s="1"/>
  <c r="R197" i="2"/>
  <c r="T197" i="2" s="1"/>
  <c r="U197" i="2" s="1"/>
  <c r="R275" i="2"/>
  <c r="T275" i="2" s="1"/>
  <c r="U275" i="2" s="1"/>
  <c r="R404" i="2"/>
  <c r="T404" i="2" s="1"/>
  <c r="U404" i="2" s="1"/>
  <c r="R446" i="2"/>
  <c r="T446" i="2" s="1"/>
  <c r="U446" i="2" s="1"/>
  <c r="R528" i="2"/>
  <c r="T528" i="2" s="1"/>
  <c r="U528" i="2" s="1"/>
  <c r="R579" i="2"/>
  <c r="T579" i="2" s="1"/>
  <c r="U579" i="2" s="1"/>
  <c r="R763" i="2"/>
  <c r="T763" i="2" s="1"/>
  <c r="U763" i="2" s="1"/>
  <c r="R904" i="2"/>
  <c r="T904" i="2" s="1"/>
  <c r="U904" i="2" s="1"/>
  <c r="R928" i="2"/>
  <c r="T928" i="2" s="1"/>
  <c r="U928" i="2" s="1"/>
  <c r="R943" i="2"/>
  <c r="T943" i="2" s="1"/>
  <c r="U943" i="2" s="1"/>
  <c r="R1024" i="2"/>
  <c r="T1024" i="2" s="1"/>
  <c r="U1024" i="2" s="1"/>
  <c r="R1133" i="2"/>
  <c r="T1133" i="2" s="1"/>
  <c r="U1133" i="2" s="1"/>
  <c r="R1152" i="2"/>
  <c r="T1152" i="2" s="1"/>
  <c r="U1152" i="2" s="1"/>
  <c r="R1183" i="2"/>
  <c r="T1183" i="2" s="1"/>
  <c r="U1183" i="2" s="1"/>
  <c r="R1233" i="2"/>
  <c r="T1233" i="2" s="1"/>
  <c r="U1233" i="2" s="1"/>
  <c r="R144" i="2"/>
  <c r="T144" i="2" s="1"/>
  <c r="U144" i="2" s="1"/>
  <c r="R185" i="2"/>
  <c r="T185" i="2" s="1"/>
  <c r="U185" i="2" s="1"/>
  <c r="R307" i="2"/>
  <c r="T307" i="2" s="1"/>
  <c r="U307" i="2" s="1"/>
  <c r="R323" i="2"/>
  <c r="T323" i="2" s="1"/>
  <c r="U323" i="2" s="1"/>
  <c r="R389" i="2"/>
  <c r="T389" i="2" s="1"/>
  <c r="U389" i="2" s="1"/>
  <c r="R393" i="2"/>
  <c r="T393" i="2" s="1"/>
  <c r="U393" i="2" s="1"/>
  <c r="R451" i="2"/>
  <c r="T451" i="2" s="1"/>
  <c r="U451" i="2" s="1"/>
  <c r="R514" i="2"/>
  <c r="T514" i="2" s="1"/>
  <c r="U514" i="2" s="1"/>
  <c r="R734" i="2"/>
  <c r="T734" i="2" s="1"/>
  <c r="U734" i="2" s="1"/>
  <c r="R771" i="2"/>
  <c r="T771" i="2" s="1"/>
  <c r="U771" i="2" s="1"/>
  <c r="R889" i="2"/>
  <c r="T889" i="2" s="1"/>
  <c r="U889" i="2" s="1"/>
  <c r="R921" i="2"/>
  <c r="T921" i="2" s="1"/>
  <c r="U921" i="2" s="1"/>
  <c r="R988" i="2"/>
  <c r="T988" i="2" s="1"/>
  <c r="U988" i="2" s="1"/>
  <c r="R1096" i="2"/>
  <c r="T1096" i="2" s="1"/>
  <c r="U1096" i="2" s="1"/>
  <c r="R1164" i="2"/>
  <c r="T1164" i="2" s="1"/>
  <c r="U1164" i="2" s="1"/>
  <c r="R1172" i="2"/>
  <c r="T1172" i="2" s="1"/>
  <c r="U1172" i="2" s="1"/>
  <c r="R1195" i="2"/>
  <c r="T1195" i="2" s="1"/>
  <c r="U1195" i="2" s="1"/>
  <c r="R1206" i="2"/>
  <c r="T1206" i="2" s="1"/>
  <c r="U1206" i="2" s="1"/>
  <c r="R1218" i="2"/>
  <c r="T1218" i="2" s="1"/>
  <c r="U1218" i="2" s="1"/>
  <c r="R1237" i="2"/>
  <c r="T1237" i="2" s="1"/>
  <c r="U1237" i="2" s="1"/>
  <c r="R79" i="2"/>
  <c r="T79" i="2" s="1"/>
  <c r="U79" i="2" s="1"/>
  <c r="R193" i="2"/>
  <c r="T193" i="2" s="1"/>
  <c r="U193" i="2" s="1"/>
  <c r="R201" i="2"/>
  <c r="T201" i="2" s="1"/>
  <c r="U201" i="2" s="1"/>
  <c r="R213" i="2"/>
  <c r="T213" i="2" s="1"/>
  <c r="U213" i="2" s="1"/>
  <c r="R312" i="2"/>
  <c r="T312" i="2" s="1"/>
  <c r="U312" i="2" s="1"/>
  <c r="R316" i="2"/>
  <c r="T316" i="2" s="1"/>
  <c r="U316" i="2" s="1"/>
  <c r="R347" i="2"/>
  <c r="T347" i="2" s="1"/>
  <c r="U347" i="2" s="1"/>
  <c r="R355" i="2"/>
  <c r="T355" i="2" s="1"/>
  <c r="U355" i="2" s="1"/>
  <c r="R382" i="2"/>
  <c r="T382" i="2" s="1"/>
  <c r="U382" i="2" s="1"/>
  <c r="R420" i="2"/>
  <c r="T420" i="2" s="1"/>
  <c r="U420" i="2" s="1"/>
  <c r="R525" i="2"/>
  <c r="T525" i="2" s="1"/>
  <c r="U525" i="2" s="1"/>
  <c r="R536" i="2"/>
  <c r="T536" i="2" s="1"/>
  <c r="U536" i="2" s="1"/>
  <c r="R591" i="2"/>
  <c r="T591" i="2" s="1"/>
  <c r="U591" i="2" s="1"/>
  <c r="R716" i="2"/>
  <c r="T716" i="2" s="1"/>
  <c r="U716" i="2" s="1"/>
  <c r="R731" i="2"/>
  <c r="T731" i="2" s="1"/>
  <c r="U731" i="2" s="1"/>
  <c r="R1118" i="2"/>
  <c r="T1118" i="2" s="1"/>
  <c r="U1118" i="2" s="1"/>
  <c r="R1165" i="2"/>
  <c r="T1165" i="2" s="1"/>
  <c r="U1165" i="2" s="1"/>
  <c r="R1180" i="2"/>
  <c r="T1180" i="2" s="1"/>
  <c r="U1180" i="2" s="1"/>
  <c r="R1288" i="2"/>
  <c r="T1288" i="2" s="1"/>
  <c r="U1288" i="2" s="1"/>
  <c r="R49" i="2"/>
  <c r="T49" i="2" s="1"/>
  <c r="U49" i="2" s="1"/>
  <c r="R206" i="2"/>
  <c r="T206" i="2" s="1"/>
  <c r="U206" i="2" s="1"/>
  <c r="R237" i="2"/>
  <c r="T237" i="2" s="1"/>
  <c r="U237" i="2" s="1"/>
  <c r="R241" i="2"/>
  <c r="T241" i="2" s="1"/>
  <c r="U241" i="2" s="1"/>
  <c r="R261" i="2"/>
  <c r="T261" i="2" s="1"/>
  <c r="U261" i="2" s="1"/>
  <c r="R735" i="2"/>
  <c r="T735" i="2" s="1"/>
  <c r="U735" i="2" s="1"/>
  <c r="R749" i="2"/>
  <c r="T749" i="2" s="1"/>
  <c r="U749" i="2" s="1"/>
  <c r="R768" i="2"/>
  <c r="T768" i="2" s="1"/>
  <c r="U768" i="2" s="1"/>
  <c r="R783" i="2"/>
  <c r="T783" i="2" s="1"/>
  <c r="U783" i="2" s="1"/>
  <c r="R818" i="2"/>
  <c r="T818" i="2" s="1"/>
  <c r="U818" i="2" s="1"/>
  <c r="R822" i="2"/>
  <c r="T822" i="2" s="1"/>
  <c r="U822" i="2" s="1"/>
  <c r="R852" i="2"/>
  <c r="T852" i="2" s="1"/>
  <c r="U852" i="2" s="1"/>
  <c r="R886" i="2"/>
  <c r="T886" i="2" s="1"/>
  <c r="U886" i="2" s="1"/>
  <c r="R901" i="2"/>
  <c r="T901" i="2" s="1"/>
  <c r="U901" i="2" s="1"/>
  <c r="R940" i="2"/>
  <c r="T940" i="2" s="1"/>
  <c r="U940" i="2" s="1"/>
  <c r="R952" i="2"/>
  <c r="T952" i="2" s="1"/>
  <c r="U952" i="2" s="1"/>
  <c r="R973" i="2"/>
  <c r="T973" i="2" s="1"/>
  <c r="U973" i="2" s="1"/>
  <c r="R985" i="2"/>
  <c r="T985" i="2" s="1"/>
  <c r="U985" i="2" s="1"/>
  <c r="R999" i="2"/>
  <c r="T999" i="2" s="1"/>
  <c r="U999" i="2" s="1"/>
  <c r="R1003" i="2"/>
  <c r="T1003" i="2" s="1"/>
  <c r="U1003" i="2" s="1"/>
  <c r="R1032" i="2"/>
  <c r="T1032" i="2" s="1"/>
  <c r="U1032" i="2" s="1"/>
  <c r="R1063" i="2"/>
  <c r="T1063" i="2" s="1"/>
  <c r="U1063" i="2" s="1"/>
  <c r="R1101" i="2"/>
  <c r="T1101" i="2" s="1"/>
  <c r="U1101" i="2" s="1"/>
  <c r="R1122" i="2"/>
  <c r="T1122" i="2" s="1"/>
  <c r="U1122" i="2" s="1"/>
  <c r="R1153" i="2"/>
  <c r="T1153" i="2" s="1"/>
  <c r="U1153" i="2" s="1"/>
  <c r="R1223" i="2"/>
  <c r="T1223" i="2" s="1"/>
  <c r="U1223" i="2" s="1"/>
  <c r="R1249" i="2"/>
  <c r="T1249" i="2" s="1"/>
  <c r="U1249" i="2" s="1"/>
  <c r="R53" i="2"/>
  <c r="T53" i="2" s="1"/>
  <c r="U53" i="2" s="1"/>
  <c r="R72" i="2"/>
  <c r="T72" i="2" s="1"/>
  <c r="U72" i="2" s="1"/>
  <c r="R87" i="2"/>
  <c r="T87" i="2" s="1"/>
  <c r="U87" i="2" s="1"/>
  <c r="R91" i="2"/>
  <c r="T91" i="2" s="1"/>
  <c r="U91" i="2" s="1"/>
  <c r="R134" i="2"/>
  <c r="T134" i="2" s="1"/>
  <c r="U134" i="2" s="1"/>
  <c r="R218" i="2"/>
  <c r="T218" i="2" s="1"/>
  <c r="U218" i="2" s="1"/>
  <c r="R226" i="2"/>
  <c r="T226" i="2" s="1"/>
  <c r="U226" i="2" s="1"/>
  <c r="R229" i="2"/>
  <c r="T229" i="2" s="1"/>
  <c r="U229" i="2" s="1"/>
  <c r="R413" i="2"/>
  <c r="T413" i="2" s="1"/>
  <c r="U413" i="2" s="1"/>
  <c r="R489" i="2"/>
  <c r="T489" i="2" s="1"/>
  <c r="U489" i="2" s="1"/>
  <c r="R553" i="2"/>
  <c r="T553" i="2" s="1"/>
  <c r="U553" i="2" s="1"/>
  <c r="R697" i="2"/>
  <c r="T697" i="2" s="1"/>
  <c r="U697" i="2" s="1"/>
  <c r="R765" i="2"/>
  <c r="T765" i="2" s="1"/>
  <c r="U765" i="2" s="1"/>
  <c r="R787" i="2"/>
  <c r="T787" i="2" s="1"/>
  <c r="U787" i="2" s="1"/>
  <c r="R894" i="2"/>
  <c r="T894" i="2" s="1"/>
  <c r="U894" i="2" s="1"/>
  <c r="R898" i="2"/>
  <c r="T898" i="2" s="1"/>
  <c r="U898" i="2" s="1"/>
  <c r="R974" i="2"/>
  <c r="T974" i="2" s="1"/>
  <c r="U974" i="2" s="1"/>
  <c r="R989" i="2"/>
  <c r="T989" i="2" s="1"/>
  <c r="U989" i="2" s="1"/>
  <c r="R1010" i="2"/>
  <c r="T1010" i="2" s="1"/>
  <c r="U1010" i="2" s="1"/>
  <c r="R1014" i="2"/>
  <c r="T1014" i="2" s="1"/>
  <c r="U1014" i="2" s="1"/>
  <c r="R1044" i="2"/>
  <c r="T1044" i="2" s="1"/>
  <c r="U1044" i="2" s="1"/>
  <c r="R1052" i="2"/>
  <c r="T1052" i="2" s="1"/>
  <c r="U1052" i="2" s="1"/>
  <c r="R1060" i="2"/>
  <c r="T1060" i="2" s="1"/>
  <c r="U1060" i="2" s="1"/>
  <c r="R1086" i="2"/>
  <c r="T1086" i="2" s="1"/>
  <c r="U1086" i="2" s="1"/>
  <c r="R1090" i="2"/>
  <c r="T1090" i="2" s="1"/>
  <c r="U1090" i="2" s="1"/>
  <c r="R1131" i="2"/>
  <c r="T1131" i="2" s="1"/>
  <c r="U1131" i="2" s="1"/>
  <c r="R1169" i="2"/>
  <c r="T1169" i="2" s="1"/>
  <c r="U1169" i="2" s="1"/>
  <c r="R1192" i="2"/>
  <c r="T1192" i="2" s="1"/>
  <c r="U1192" i="2" s="1"/>
  <c r="R1253" i="2"/>
  <c r="T1253" i="2" s="1"/>
  <c r="U1253" i="2" s="1"/>
  <c r="R1261" i="2"/>
  <c r="T1261" i="2" s="1"/>
  <c r="U1261" i="2" s="1"/>
  <c r="R1296" i="2"/>
  <c r="T1296" i="2" s="1"/>
  <c r="U1296" i="2" s="1"/>
  <c r="R1300" i="2"/>
  <c r="T1300" i="2" s="1"/>
  <c r="U1300" i="2" s="1"/>
  <c r="R1308" i="2"/>
  <c r="T1308" i="2" s="1"/>
  <c r="U1308" i="2" s="1"/>
  <c r="R1331" i="2"/>
  <c r="T1331" i="2" s="1"/>
  <c r="U1331" i="2" s="1"/>
  <c r="R1358" i="2"/>
  <c r="T1358" i="2" s="1"/>
  <c r="U1358" i="2" s="1"/>
  <c r="R1370" i="2"/>
  <c r="T1370" i="2" s="1"/>
  <c r="U1370" i="2" s="1"/>
  <c r="R90" i="2"/>
  <c r="T90" i="2" s="1"/>
  <c r="U90" i="2" s="1"/>
  <c r="R103" i="2"/>
  <c r="T103" i="2" s="1"/>
  <c r="U103" i="2" s="1"/>
  <c r="R190" i="2"/>
  <c r="T190" i="2" s="1"/>
  <c r="U190" i="2" s="1"/>
  <c r="R97" i="2"/>
  <c r="T97" i="2" s="1"/>
  <c r="U97" i="2" s="1"/>
  <c r="R138" i="2"/>
  <c r="T138" i="2" s="1"/>
  <c r="U138" i="2" s="1"/>
  <c r="R179" i="2"/>
  <c r="T179" i="2" s="1"/>
  <c r="U179" i="2" s="1"/>
  <c r="R183" i="2"/>
  <c r="T183" i="2" s="1"/>
  <c r="U183" i="2" s="1"/>
  <c r="R512" i="2"/>
  <c r="T512" i="2" s="1"/>
  <c r="U512" i="2" s="1"/>
  <c r="R101" i="2"/>
  <c r="T101" i="2" s="1"/>
  <c r="U101" i="2" s="1"/>
  <c r="R132" i="2"/>
  <c r="T132" i="2" s="1"/>
  <c r="U132" i="2" s="1"/>
  <c r="R95" i="2"/>
  <c r="T95" i="2" s="1"/>
  <c r="U95" i="2" s="1"/>
  <c r="R126" i="2"/>
  <c r="T126" i="2" s="1"/>
  <c r="U126" i="2" s="1"/>
  <c r="R207" i="2"/>
  <c r="T207" i="2" s="1"/>
  <c r="U207" i="2" s="1"/>
  <c r="R505" i="2"/>
  <c r="T505" i="2" s="1"/>
  <c r="U505" i="2" s="1"/>
  <c r="U196" i="2"/>
  <c r="R108" i="2"/>
  <c r="T108" i="2" s="1"/>
  <c r="U108" i="2" s="1"/>
  <c r="R208" i="2"/>
  <c r="T208" i="2" s="1"/>
  <c r="U208" i="2" s="1"/>
  <c r="R524" i="2"/>
  <c r="T524" i="2" s="1"/>
  <c r="U524" i="2" s="1"/>
  <c r="R102" i="2"/>
  <c r="T102" i="2" s="1"/>
  <c r="U102" i="2" s="1"/>
  <c r="R329" i="2"/>
  <c r="T329" i="2" s="1"/>
  <c r="U329" i="2" s="1"/>
  <c r="R194" i="2"/>
  <c r="T194" i="2" s="1"/>
  <c r="U194" i="2" s="1"/>
  <c r="R211" i="2"/>
  <c r="T211" i="2" s="1"/>
  <c r="U211" i="2" s="1"/>
  <c r="R222" i="2"/>
  <c r="T222" i="2" s="1"/>
  <c r="U222" i="2" s="1"/>
  <c r="R225" i="2"/>
  <c r="T225" i="2" s="1"/>
  <c r="U225" i="2" s="1"/>
  <c r="R250" i="2"/>
  <c r="T250" i="2" s="1"/>
  <c r="U250" i="2" s="1"/>
  <c r="R253" i="2"/>
  <c r="T253" i="2" s="1"/>
  <c r="U253" i="2" s="1"/>
  <c r="R292" i="2"/>
  <c r="T292" i="2" s="1"/>
  <c r="U292" i="2" s="1"/>
  <c r="R302" i="2"/>
  <c r="T302" i="2" s="1"/>
  <c r="U302" i="2" s="1"/>
  <c r="R322" i="2"/>
  <c r="T322" i="2" s="1"/>
  <c r="U322" i="2" s="1"/>
  <c r="R333" i="2"/>
  <c r="T333" i="2" s="1"/>
  <c r="U333" i="2" s="1"/>
  <c r="R340" i="2"/>
  <c r="T340" i="2" s="1"/>
  <c r="U340" i="2" s="1"/>
  <c r="R343" i="2"/>
  <c r="T343" i="2" s="1"/>
  <c r="U343" i="2" s="1"/>
  <c r="R381" i="2"/>
  <c r="T381" i="2" s="1"/>
  <c r="U381" i="2" s="1"/>
  <c r="R394" i="2"/>
  <c r="T394" i="2" s="1"/>
  <c r="U394" i="2" s="1"/>
  <c r="R450" i="2"/>
  <c r="T450" i="2" s="1"/>
  <c r="U450" i="2" s="1"/>
  <c r="R457" i="2"/>
  <c r="T457" i="2" s="1"/>
  <c r="U457" i="2" s="1"/>
  <c r="R467" i="2"/>
  <c r="T467" i="2" s="1"/>
  <c r="U467" i="2" s="1"/>
  <c r="R473" i="2"/>
  <c r="T473" i="2" s="1"/>
  <c r="U473" i="2" s="1"/>
  <c r="R483" i="2"/>
  <c r="T483" i="2" s="1"/>
  <c r="U483" i="2" s="1"/>
  <c r="R508" i="2"/>
  <c r="T508" i="2" s="1"/>
  <c r="U508" i="2" s="1"/>
  <c r="R543" i="2"/>
  <c r="T543" i="2" s="1"/>
  <c r="U543" i="2" s="1"/>
  <c r="R562" i="2"/>
  <c r="T562" i="2" s="1"/>
  <c r="U562" i="2" s="1"/>
  <c r="R568" i="2"/>
  <c r="T568" i="2" s="1"/>
  <c r="U568" i="2" s="1"/>
  <c r="R581" i="2"/>
  <c r="T581" i="2" s="1"/>
  <c r="U581" i="2" s="1"/>
  <c r="R595" i="2"/>
  <c r="T595" i="2" s="1"/>
  <c r="U595" i="2" s="1"/>
  <c r="R635" i="2"/>
  <c r="T635" i="2" s="1"/>
  <c r="U635" i="2" s="1"/>
  <c r="R648" i="2"/>
  <c r="T648" i="2" s="1"/>
  <c r="U648" i="2" s="1"/>
  <c r="R655" i="2"/>
  <c r="T655" i="2" s="1"/>
  <c r="U655" i="2" s="1"/>
  <c r="R684" i="2"/>
  <c r="T684" i="2" s="1"/>
  <c r="U684" i="2" s="1"/>
  <c r="R690" i="2"/>
  <c r="T690" i="2" s="1"/>
  <c r="U690" i="2" s="1"/>
  <c r="R778" i="2"/>
  <c r="T778" i="2" s="1"/>
  <c r="U778" i="2" s="1"/>
  <c r="R883" i="2"/>
  <c r="T883" i="2" s="1"/>
  <c r="U883" i="2" s="1"/>
  <c r="R350" i="2"/>
  <c r="T350" i="2" s="1"/>
  <c r="U350" i="2" s="1"/>
  <c r="R401" i="2"/>
  <c r="T401" i="2" s="1"/>
  <c r="U401" i="2" s="1"/>
  <c r="R405" i="2"/>
  <c r="T405" i="2" s="1"/>
  <c r="U405" i="2" s="1"/>
  <c r="R412" i="2"/>
  <c r="T412" i="2" s="1"/>
  <c r="U412" i="2" s="1"/>
  <c r="R434" i="2"/>
  <c r="T434" i="2" s="1"/>
  <c r="U434" i="2" s="1"/>
  <c r="R463" i="2"/>
  <c r="T463" i="2" s="1"/>
  <c r="U463" i="2" s="1"/>
  <c r="R470" i="2"/>
  <c r="T470" i="2" s="1"/>
  <c r="U470" i="2" s="1"/>
  <c r="R477" i="2"/>
  <c r="T477" i="2" s="1"/>
  <c r="U477" i="2" s="1"/>
  <c r="R496" i="2"/>
  <c r="T496" i="2" s="1"/>
  <c r="U496" i="2" s="1"/>
  <c r="R521" i="2"/>
  <c r="T521" i="2" s="1"/>
  <c r="U521" i="2" s="1"/>
  <c r="R571" i="2"/>
  <c r="T571" i="2" s="1"/>
  <c r="U571" i="2" s="1"/>
  <c r="R578" i="2"/>
  <c r="T578" i="2" s="1"/>
  <c r="U578" i="2" s="1"/>
  <c r="R592" i="2"/>
  <c r="T592" i="2" s="1"/>
  <c r="U592" i="2" s="1"/>
  <c r="R599" i="2"/>
  <c r="T599" i="2" s="1"/>
  <c r="U599" i="2" s="1"/>
  <c r="R642" i="2"/>
  <c r="T642" i="2" s="1"/>
  <c r="U642" i="2" s="1"/>
  <c r="R659" i="2"/>
  <c r="T659" i="2" s="1"/>
  <c r="U659" i="2" s="1"/>
  <c r="R753" i="2"/>
  <c r="T753" i="2" s="1"/>
  <c r="U753" i="2" s="1"/>
  <c r="R824" i="2"/>
  <c r="T824" i="2" s="1"/>
  <c r="U824" i="2" s="1"/>
  <c r="R115" i="2"/>
  <c r="T115" i="2" s="1"/>
  <c r="U115" i="2" s="1"/>
  <c r="R121" i="2"/>
  <c r="T121" i="2" s="1"/>
  <c r="U121" i="2" s="1"/>
  <c r="R127" i="2"/>
  <c r="T127" i="2" s="1"/>
  <c r="U127" i="2" s="1"/>
  <c r="R133" i="2"/>
  <c r="T133" i="2" s="1"/>
  <c r="U133" i="2" s="1"/>
  <c r="R139" i="2"/>
  <c r="T139" i="2" s="1"/>
  <c r="U139" i="2" s="1"/>
  <c r="R145" i="2"/>
  <c r="T145" i="2" s="1"/>
  <c r="U145" i="2" s="1"/>
  <c r="R151" i="2"/>
  <c r="T151" i="2" s="1"/>
  <c r="U151" i="2" s="1"/>
  <c r="R157" i="2"/>
  <c r="T157" i="2" s="1"/>
  <c r="U157" i="2" s="1"/>
  <c r="R163" i="2"/>
  <c r="T163" i="2" s="1"/>
  <c r="U163" i="2" s="1"/>
  <c r="R180" i="2"/>
  <c r="T180" i="2" s="1"/>
  <c r="U180" i="2" s="1"/>
  <c r="R191" i="2"/>
  <c r="T191" i="2" s="1"/>
  <c r="U191" i="2" s="1"/>
  <c r="R198" i="2"/>
  <c r="T198" i="2" s="1"/>
  <c r="U198" i="2" s="1"/>
  <c r="R306" i="2"/>
  <c r="T306" i="2" s="1"/>
  <c r="U306" i="2" s="1"/>
  <c r="R372" i="2"/>
  <c r="T372" i="2" s="1"/>
  <c r="U372" i="2" s="1"/>
  <c r="R406" i="2"/>
  <c r="T406" i="2" s="1"/>
  <c r="U406" i="2" s="1"/>
  <c r="R725" i="2"/>
  <c r="T725" i="2" s="1"/>
  <c r="U725" i="2" s="1"/>
  <c r="R169" i="2"/>
  <c r="T169" i="2" s="1"/>
  <c r="U169" i="2" s="1"/>
  <c r="R184" i="2"/>
  <c r="T184" i="2" s="1"/>
  <c r="U184" i="2" s="1"/>
  <c r="R187" i="2"/>
  <c r="T187" i="2" s="1"/>
  <c r="U187" i="2" s="1"/>
  <c r="R202" i="2"/>
  <c r="T202" i="2" s="1"/>
  <c r="U202" i="2" s="1"/>
  <c r="R205" i="2"/>
  <c r="T205" i="2" s="1"/>
  <c r="U205" i="2" s="1"/>
  <c r="R271" i="2"/>
  <c r="T271" i="2" s="1"/>
  <c r="U271" i="2" s="1"/>
  <c r="R299" i="2"/>
  <c r="T299" i="2" s="1"/>
  <c r="U299" i="2" s="1"/>
  <c r="R344" i="2"/>
  <c r="T344" i="2" s="1"/>
  <c r="U344" i="2" s="1"/>
  <c r="R398" i="2"/>
  <c r="T398" i="2" s="1"/>
  <c r="U398" i="2" s="1"/>
  <c r="R431" i="2"/>
  <c r="T431" i="2" s="1"/>
  <c r="U431" i="2" s="1"/>
  <c r="R438" i="2"/>
  <c r="T438" i="2" s="1"/>
  <c r="U438" i="2" s="1"/>
  <c r="R487" i="2"/>
  <c r="T487" i="2" s="1"/>
  <c r="U487" i="2" s="1"/>
  <c r="R509" i="2"/>
  <c r="T509" i="2" s="1"/>
  <c r="U509" i="2" s="1"/>
  <c r="R566" i="2"/>
  <c r="T566" i="2" s="1"/>
  <c r="U566" i="2" s="1"/>
  <c r="R629" i="2"/>
  <c r="T629" i="2" s="1"/>
  <c r="U629" i="2" s="1"/>
  <c r="R636" i="2"/>
  <c r="T636" i="2" s="1"/>
  <c r="U636" i="2" s="1"/>
  <c r="R652" i="2"/>
  <c r="T652" i="2" s="1"/>
  <c r="U652" i="2" s="1"/>
  <c r="R711" i="2"/>
  <c r="T711" i="2" s="1"/>
  <c r="U711" i="2" s="1"/>
  <c r="R732" i="2"/>
  <c r="T732" i="2" s="1"/>
  <c r="U732" i="2" s="1"/>
  <c r="R750" i="2"/>
  <c r="T750" i="2" s="1"/>
  <c r="U750" i="2" s="1"/>
  <c r="R177" i="2"/>
  <c r="T177" i="2" s="1"/>
  <c r="U177" i="2" s="1"/>
  <c r="R192" i="2"/>
  <c r="T192" i="2" s="1"/>
  <c r="U192" i="2" s="1"/>
  <c r="R220" i="2"/>
  <c r="T220" i="2" s="1"/>
  <c r="U220" i="2" s="1"/>
  <c r="R234" i="2"/>
  <c r="T234" i="2" s="1"/>
  <c r="U234" i="2" s="1"/>
  <c r="R248" i="2"/>
  <c r="T248" i="2" s="1"/>
  <c r="U248" i="2" s="1"/>
  <c r="R251" i="2"/>
  <c r="T251" i="2" s="1"/>
  <c r="U251" i="2" s="1"/>
  <c r="R265" i="2"/>
  <c r="T265" i="2" s="1"/>
  <c r="U265" i="2" s="1"/>
  <c r="R276" i="2"/>
  <c r="T276" i="2" s="1"/>
  <c r="U276" i="2" s="1"/>
  <c r="R279" i="2"/>
  <c r="T279" i="2" s="1"/>
  <c r="U279" i="2" s="1"/>
  <c r="R290" i="2"/>
  <c r="T290" i="2" s="1"/>
  <c r="U290" i="2" s="1"/>
  <c r="R303" i="2"/>
  <c r="T303" i="2" s="1"/>
  <c r="U303" i="2" s="1"/>
  <c r="R314" i="2"/>
  <c r="T314" i="2" s="1"/>
  <c r="U314" i="2" s="1"/>
  <c r="R320" i="2"/>
  <c r="T320" i="2" s="1"/>
  <c r="U320" i="2" s="1"/>
  <c r="R351" i="2"/>
  <c r="T351" i="2" s="1"/>
  <c r="U351" i="2" s="1"/>
  <c r="R365" i="2"/>
  <c r="T365" i="2" s="1"/>
  <c r="U365" i="2" s="1"/>
  <c r="R369" i="2"/>
  <c r="T369" i="2" s="1"/>
  <c r="U369" i="2" s="1"/>
  <c r="R373" i="2"/>
  <c r="T373" i="2" s="1"/>
  <c r="U373" i="2" s="1"/>
  <c r="R417" i="2"/>
  <c r="T417" i="2" s="1"/>
  <c r="U417" i="2" s="1"/>
  <c r="R424" i="2"/>
  <c r="T424" i="2" s="1"/>
  <c r="U424" i="2" s="1"/>
  <c r="R428" i="2"/>
  <c r="T428" i="2" s="1"/>
  <c r="U428" i="2" s="1"/>
  <c r="R455" i="2"/>
  <c r="T455" i="2" s="1"/>
  <c r="U455" i="2" s="1"/>
  <c r="R458" i="2"/>
  <c r="T458" i="2" s="1"/>
  <c r="U458" i="2" s="1"/>
  <c r="R471" i="2"/>
  <c r="T471" i="2" s="1"/>
  <c r="U471" i="2" s="1"/>
  <c r="R485" i="2"/>
  <c r="T485" i="2" s="1"/>
  <c r="U485" i="2" s="1"/>
  <c r="R506" i="2"/>
  <c r="T506" i="2" s="1"/>
  <c r="U506" i="2" s="1"/>
  <c r="R545" i="2"/>
  <c r="T545" i="2" s="1"/>
  <c r="U545" i="2" s="1"/>
  <c r="R548" i="2"/>
  <c r="T548" i="2" s="1"/>
  <c r="U548" i="2" s="1"/>
  <c r="R573" i="2"/>
  <c r="T573" i="2" s="1"/>
  <c r="U573" i="2" s="1"/>
  <c r="R576" i="2"/>
  <c r="T576" i="2" s="1"/>
  <c r="U576" i="2" s="1"/>
  <c r="R586" i="2"/>
  <c r="T586" i="2" s="1"/>
  <c r="U586" i="2" s="1"/>
  <c r="R616" i="2"/>
  <c r="T616" i="2" s="1"/>
  <c r="U616" i="2" s="1"/>
  <c r="R637" i="2"/>
  <c r="T637" i="2" s="1"/>
  <c r="U637" i="2" s="1"/>
  <c r="R643" i="2"/>
  <c r="T643" i="2" s="1"/>
  <c r="U643" i="2" s="1"/>
  <c r="R664" i="2"/>
  <c r="T664" i="2" s="1"/>
  <c r="U664" i="2" s="1"/>
  <c r="R667" i="2"/>
  <c r="T667" i="2" s="1"/>
  <c r="U667" i="2" s="1"/>
  <c r="R682" i="2"/>
  <c r="T682" i="2" s="1"/>
  <c r="U682" i="2" s="1"/>
  <c r="R705" i="2"/>
  <c r="T705" i="2" s="1"/>
  <c r="U705" i="2" s="1"/>
  <c r="R729" i="2"/>
  <c r="T729" i="2" s="1"/>
  <c r="U729" i="2" s="1"/>
  <c r="R113" i="2"/>
  <c r="T113" i="2" s="1"/>
  <c r="U113" i="2" s="1"/>
  <c r="R119" i="2"/>
  <c r="T119" i="2" s="1"/>
  <c r="U119" i="2" s="1"/>
  <c r="R125" i="2"/>
  <c r="T125" i="2" s="1"/>
  <c r="U125" i="2" s="1"/>
  <c r="R131" i="2"/>
  <c r="T131" i="2" s="1"/>
  <c r="U131" i="2" s="1"/>
  <c r="R137" i="2"/>
  <c r="T137" i="2" s="1"/>
  <c r="U137" i="2" s="1"/>
  <c r="R143" i="2"/>
  <c r="T143" i="2" s="1"/>
  <c r="U143" i="2" s="1"/>
  <c r="R149" i="2"/>
  <c r="T149" i="2" s="1"/>
  <c r="U149" i="2" s="1"/>
  <c r="R155" i="2"/>
  <c r="T155" i="2" s="1"/>
  <c r="U155" i="2" s="1"/>
  <c r="R161" i="2"/>
  <c r="T161" i="2" s="1"/>
  <c r="U161" i="2" s="1"/>
  <c r="R167" i="2"/>
  <c r="T167" i="2" s="1"/>
  <c r="U167" i="2" s="1"/>
  <c r="R174" i="2"/>
  <c r="T174" i="2" s="1"/>
  <c r="U174" i="2" s="1"/>
  <c r="R195" i="2"/>
  <c r="T195" i="2" s="1"/>
  <c r="U195" i="2" s="1"/>
  <c r="R210" i="2"/>
  <c r="T210" i="2" s="1"/>
  <c r="U210" i="2" s="1"/>
  <c r="R223" i="2"/>
  <c r="T223" i="2" s="1"/>
  <c r="U223" i="2" s="1"/>
  <c r="R238" i="2"/>
  <c r="T238" i="2" s="1"/>
  <c r="U238" i="2" s="1"/>
  <c r="R252" i="2"/>
  <c r="T252" i="2" s="1"/>
  <c r="U252" i="2" s="1"/>
  <c r="R266" i="2"/>
  <c r="T266" i="2" s="1"/>
  <c r="U266" i="2" s="1"/>
  <c r="R280" i="2"/>
  <c r="T280" i="2" s="1"/>
  <c r="U280" i="2" s="1"/>
  <c r="R304" i="2"/>
  <c r="T304" i="2" s="1"/>
  <c r="U304" i="2" s="1"/>
  <c r="R324" i="2"/>
  <c r="T324" i="2" s="1"/>
  <c r="U324" i="2" s="1"/>
  <c r="R377" i="2"/>
  <c r="T377" i="2" s="1"/>
  <c r="U377" i="2" s="1"/>
  <c r="R383" i="2"/>
  <c r="T383" i="2" s="1"/>
  <c r="U383" i="2" s="1"/>
  <c r="R421" i="2"/>
  <c r="T421" i="2" s="1"/>
  <c r="U421" i="2" s="1"/>
  <c r="R436" i="2"/>
  <c r="T436" i="2" s="1"/>
  <c r="U436" i="2" s="1"/>
  <c r="R439" i="2"/>
  <c r="T439" i="2" s="1"/>
  <c r="U439" i="2" s="1"/>
  <c r="R442" i="2"/>
  <c r="T442" i="2" s="1"/>
  <c r="U442" i="2" s="1"/>
  <c r="R452" i="2"/>
  <c r="T452" i="2" s="1"/>
  <c r="U452" i="2" s="1"/>
  <c r="R583" i="2"/>
  <c r="T583" i="2" s="1"/>
  <c r="U583" i="2" s="1"/>
  <c r="R617" i="2"/>
  <c r="T617" i="2" s="1"/>
  <c r="U617" i="2" s="1"/>
  <c r="R621" i="2"/>
  <c r="T621" i="2" s="1"/>
  <c r="U621" i="2" s="1"/>
  <c r="R653" i="2"/>
  <c r="T653" i="2" s="1"/>
  <c r="U653" i="2" s="1"/>
  <c r="R747" i="2"/>
  <c r="T747" i="2" s="1"/>
  <c r="U747" i="2" s="1"/>
  <c r="R242" i="2"/>
  <c r="T242" i="2" s="1"/>
  <c r="U242" i="2" s="1"/>
  <c r="R284" i="2"/>
  <c r="T284" i="2" s="1"/>
  <c r="U284" i="2" s="1"/>
  <c r="R294" i="2"/>
  <c r="T294" i="2" s="1"/>
  <c r="U294" i="2" s="1"/>
  <c r="R328" i="2"/>
  <c r="T328" i="2" s="1"/>
  <c r="U328" i="2" s="1"/>
  <c r="R349" i="2"/>
  <c r="T349" i="2" s="1"/>
  <c r="U349" i="2" s="1"/>
  <c r="R360" i="2"/>
  <c r="T360" i="2" s="1"/>
  <c r="U360" i="2" s="1"/>
  <c r="R433" i="2"/>
  <c r="T433" i="2" s="1"/>
  <c r="U433" i="2" s="1"/>
  <c r="R517" i="2"/>
  <c r="T517" i="2" s="1"/>
  <c r="U517" i="2" s="1"/>
  <c r="R168" i="2"/>
  <c r="T168" i="2" s="1"/>
  <c r="U168" i="2" s="1"/>
  <c r="R186" i="2"/>
  <c r="T186" i="2" s="1"/>
  <c r="U186" i="2" s="1"/>
  <c r="R200" i="2"/>
  <c r="T200" i="2" s="1"/>
  <c r="U200" i="2" s="1"/>
  <c r="R214" i="2"/>
  <c r="T214" i="2" s="1"/>
  <c r="U214" i="2" s="1"/>
  <c r="R217" i="2"/>
  <c r="T217" i="2" s="1"/>
  <c r="U217" i="2" s="1"/>
  <c r="R231" i="2"/>
  <c r="T231" i="2" s="1"/>
  <c r="U231" i="2" s="1"/>
  <c r="R259" i="2"/>
  <c r="T259" i="2" s="1"/>
  <c r="U259" i="2" s="1"/>
  <c r="R270" i="2"/>
  <c r="T270" i="2" s="1"/>
  <c r="U270" i="2" s="1"/>
  <c r="R273" i="2"/>
  <c r="T273" i="2" s="1"/>
  <c r="U273" i="2" s="1"/>
  <c r="R287" i="2"/>
  <c r="T287" i="2" s="1"/>
  <c r="U287" i="2" s="1"/>
  <c r="R291" i="2"/>
  <c r="T291" i="2" s="1"/>
  <c r="U291" i="2" s="1"/>
  <c r="R297" i="2"/>
  <c r="T297" i="2" s="1"/>
  <c r="U297" i="2" s="1"/>
  <c r="R308" i="2"/>
  <c r="T308" i="2" s="1"/>
  <c r="U308" i="2" s="1"/>
  <c r="R318" i="2"/>
  <c r="T318" i="2" s="1"/>
  <c r="U318" i="2" s="1"/>
  <c r="R332" i="2"/>
  <c r="T332" i="2" s="1"/>
  <c r="U332" i="2" s="1"/>
  <c r="R397" i="2"/>
  <c r="T397" i="2" s="1"/>
  <c r="U397" i="2" s="1"/>
  <c r="R418" i="2"/>
  <c r="T418" i="2" s="1"/>
  <c r="U418" i="2" s="1"/>
  <c r="R449" i="2"/>
  <c r="T449" i="2" s="1"/>
  <c r="U449" i="2" s="1"/>
  <c r="R453" i="2"/>
  <c r="T453" i="2" s="1"/>
  <c r="U453" i="2" s="1"/>
  <c r="R459" i="2"/>
  <c r="T459" i="2" s="1"/>
  <c r="U459" i="2" s="1"/>
  <c r="R552" i="2"/>
  <c r="T552" i="2" s="1"/>
  <c r="U552" i="2" s="1"/>
  <c r="R570" i="2"/>
  <c r="T570" i="2" s="1"/>
  <c r="U570" i="2" s="1"/>
  <c r="R584" i="2"/>
  <c r="T584" i="2" s="1"/>
  <c r="U584" i="2" s="1"/>
  <c r="R631" i="2"/>
  <c r="T631" i="2" s="1"/>
  <c r="U631" i="2" s="1"/>
  <c r="R634" i="2"/>
  <c r="T634" i="2" s="1"/>
  <c r="U634" i="2" s="1"/>
  <c r="R1374" i="2"/>
  <c r="T1374" i="2" s="1"/>
  <c r="U1374" i="2" s="1"/>
  <c r="R676" i="2"/>
  <c r="T676" i="2" s="1"/>
  <c r="U676" i="2" s="1"/>
  <c r="R1196" i="2"/>
  <c r="T1196" i="2" s="1"/>
  <c r="U1196" i="2" s="1"/>
  <c r="R1264" i="2"/>
  <c r="T1264" i="2" s="1"/>
  <c r="U1264" i="2" s="1"/>
  <c r="R1356" i="2"/>
  <c r="T1356" i="2" s="1"/>
  <c r="U1356" i="2" s="1"/>
  <c r="R795" i="2"/>
  <c r="T795" i="2" s="1"/>
  <c r="U795" i="2" s="1"/>
  <c r="R811" i="2"/>
  <c r="T811" i="2" s="1"/>
  <c r="U811" i="2" s="1"/>
  <c r="R827" i="2"/>
  <c r="T827" i="2" s="1"/>
  <c r="U827" i="2" s="1"/>
  <c r="R830" i="2"/>
  <c r="T830" i="2" s="1"/>
  <c r="U830" i="2" s="1"/>
  <c r="R833" i="2"/>
  <c r="T833" i="2" s="1"/>
  <c r="U833" i="2" s="1"/>
  <c r="R849" i="2"/>
  <c r="T849" i="2" s="1"/>
  <c r="U849" i="2" s="1"/>
  <c r="R871" i="2"/>
  <c r="T871" i="2" s="1"/>
  <c r="U871" i="2" s="1"/>
  <c r="R881" i="2"/>
  <c r="T881" i="2" s="1"/>
  <c r="U881" i="2" s="1"/>
  <c r="R960" i="2"/>
  <c r="T960" i="2" s="1"/>
  <c r="U960" i="2" s="1"/>
  <c r="R978" i="2"/>
  <c r="T978" i="2" s="1"/>
  <c r="U978" i="2" s="1"/>
  <c r="R1085" i="2"/>
  <c r="T1085" i="2" s="1"/>
  <c r="U1085" i="2" s="1"/>
  <c r="R1097" i="2"/>
  <c r="T1097" i="2" s="1"/>
  <c r="U1097" i="2" s="1"/>
  <c r="R1130" i="2"/>
  <c r="T1130" i="2" s="1"/>
  <c r="U1130" i="2" s="1"/>
  <c r="R1140" i="2"/>
  <c r="T1140" i="2" s="1"/>
  <c r="U1140" i="2" s="1"/>
  <c r="R1166" i="2"/>
  <c r="T1166" i="2" s="1"/>
  <c r="U1166" i="2" s="1"/>
  <c r="R1176" i="2"/>
  <c r="T1176" i="2" s="1"/>
  <c r="U1176" i="2" s="1"/>
  <c r="R1226" i="2"/>
  <c r="T1226" i="2" s="1"/>
  <c r="U1226" i="2" s="1"/>
  <c r="R1239" i="2"/>
  <c r="T1239" i="2" s="1"/>
  <c r="U1239" i="2" s="1"/>
  <c r="R1246" i="2"/>
  <c r="T1246" i="2" s="1"/>
  <c r="U1246" i="2" s="1"/>
  <c r="R1271" i="2"/>
  <c r="T1271" i="2" s="1"/>
  <c r="U1271" i="2" s="1"/>
  <c r="R764" i="2"/>
  <c r="T764" i="2" s="1"/>
  <c r="U764" i="2" s="1"/>
  <c r="R1027" i="2"/>
  <c r="T1027" i="2" s="1"/>
  <c r="U1027" i="2" s="1"/>
  <c r="R1033" i="2"/>
  <c r="T1033" i="2" s="1"/>
  <c r="U1033" i="2" s="1"/>
  <c r="R1040" i="2"/>
  <c r="T1040" i="2" s="1"/>
  <c r="U1040" i="2" s="1"/>
  <c r="R1107" i="2"/>
  <c r="T1107" i="2" s="1"/>
  <c r="U1107" i="2" s="1"/>
  <c r="R1127" i="2"/>
  <c r="T1127" i="2" s="1"/>
  <c r="U1127" i="2" s="1"/>
  <c r="R1285" i="2"/>
  <c r="T1285" i="2" s="1"/>
  <c r="U1285" i="2" s="1"/>
  <c r="R1292" i="2"/>
  <c r="T1292" i="2" s="1"/>
  <c r="U1292" i="2" s="1"/>
  <c r="R1336" i="2"/>
  <c r="T1336" i="2" s="1"/>
  <c r="U1336" i="2" s="1"/>
  <c r="R1350" i="2"/>
  <c r="T1350" i="2" s="1"/>
  <c r="U1350" i="2" s="1"/>
  <c r="R1367" i="2"/>
  <c r="T1367" i="2" s="1"/>
  <c r="U1367" i="2" s="1"/>
  <c r="R1064" i="2"/>
  <c r="T1064" i="2" s="1"/>
  <c r="U1064" i="2" s="1"/>
  <c r="R1089" i="2"/>
  <c r="T1089" i="2" s="1"/>
  <c r="U1089" i="2" s="1"/>
  <c r="R1315" i="2"/>
  <c r="T1315" i="2" s="1"/>
  <c r="U1315" i="2" s="1"/>
  <c r="R1319" i="2"/>
  <c r="T1319" i="2" s="1"/>
  <c r="U1319" i="2" s="1"/>
  <c r="R1368" i="2"/>
  <c r="T1368" i="2" s="1"/>
  <c r="U1368" i="2" s="1"/>
  <c r="R743" i="2"/>
  <c r="T743" i="2" s="1"/>
  <c r="U743" i="2" s="1"/>
  <c r="R746" i="2"/>
  <c r="T746" i="2" s="1"/>
  <c r="U746" i="2" s="1"/>
  <c r="R759" i="2"/>
  <c r="T759" i="2" s="1"/>
  <c r="U759" i="2" s="1"/>
  <c r="R762" i="2"/>
  <c r="T762" i="2" s="1"/>
  <c r="U762" i="2" s="1"/>
  <c r="R799" i="2"/>
  <c r="T799" i="2" s="1"/>
  <c r="U799" i="2" s="1"/>
  <c r="R825" i="2"/>
  <c r="T825" i="2" s="1"/>
  <c r="U825" i="2" s="1"/>
  <c r="R831" i="2"/>
  <c r="T831" i="2" s="1"/>
  <c r="U831" i="2" s="1"/>
  <c r="R840" i="2"/>
  <c r="T840" i="2" s="1"/>
  <c r="U840" i="2" s="1"/>
  <c r="R847" i="2"/>
  <c r="T847" i="2" s="1"/>
  <c r="U847" i="2" s="1"/>
  <c r="R868" i="2"/>
  <c r="T868" i="2" s="1"/>
  <c r="U868" i="2" s="1"/>
  <c r="R875" i="2"/>
  <c r="T875" i="2" s="1"/>
  <c r="U875" i="2" s="1"/>
  <c r="R912" i="2"/>
  <c r="T912" i="2" s="1"/>
  <c r="U912" i="2" s="1"/>
  <c r="R968" i="2"/>
  <c r="T968" i="2" s="1"/>
  <c r="U968" i="2" s="1"/>
  <c r="R1037" i="2"/>
  <c r="T1037" i="2" s="1"/>
  <c r="U1037" i="2" s="1"/>
  <c r="R1055" i="2"/>
  <c r="T1055" i="2" s="1"/>
  <c r="U1055" i="2" s="1"/>
  <c r="R1061" i="2"/>
  <c r="T1061" i="2" s="1"/>
  <c r="U1061" i="2" s="1"/>
  <c r="R1070" i="2"/>
  <c r="T1070" i="2" s="1"/>
  <c r="U1070" i="2" s="1"/>
  <c r="R1098" i="2"/>
  <c r="T1098" i="2" s="1"/>
  <c r="U1098" i="2" s="1"/>
  <c r="R1121" i="2"/>
  <c r="T1121" i="2" s="1"/>
  <c r="U1121" i="2" s="1"/>
  <c r="R1128" i="2"/>
  <c r="T1128" i="2" s="1"/>
  <c r="U1128" i="2" s="1"/>
  <c r="R1210" i="2"/>
  <c r="T1210" i="2" s="1"/>
  <c r="U1210" i="2" s="1"/>
  <c r="R1227" i="2"/>
  <c r="T1227" i="2" s="1"/>
  <c r="U1227" i="2" s="1"/>
  <c r="R1251" i="2"/>
  <c r="T1251" i="2" s="1"/>
  <c r="U1251" i="2" s="1"/>
  <c r="R1286" i="2"/>
  <c r="T1286" i="2" s="1"/>
  <c r="U1286" i="2" s="1"/>
  <c r="R1316" i="2"/>
  <c r="T1316" i="2" s="1"/>
  <c r="U1316" i="2" s="1"/>
  <c r="R1330" i="2"/>
  <c r="T1330" i="2" s="1"/>
  <c r="U1330" i="2" s="1"/>
  <c r="R1354" i="2"/>
  <c r="T1354" i="2" s="1"/>
  <c r="U1354" i="2" s="1"/>
  <c r="R706" i="2"/>
  <c r="T706" i="2" s="1"/>
  <c r="U706" i="2" s="1"/>
  <c r="R806" i="2"/>
  <c r="T806" i="2" s="1"/>
  <c r="U806" i="2" s="1"/>
  <c r="R862" i="2"/>
  <c r="T862" i="2" s="1"/>
  <c r="U862" i="2" s="1"/>
  <c r="R878" i="2"/>
  <c r="T878" i="2" s="1"/>
  <c r="U878" i="2" s="1"/>
  <c r="R984" i="2"/>
  <c r="T984" i="2" s="1"/>
  <c r="U984" i="2" s="1"/>
  <c r="R1002" i="2"/>
  <c r="T1002" i="2" s="1"/>
  <c r="U1002" i="2" s="1"/>
  <c r="R1022" i="2"/>
  <c r="T1022" i="2" s="1"/>
  <c r="U1022" i="2" s="1"/>
  <c r="R1028" i="2"/>
  <c r="T1028" i="2" s="1"/>
  <c r="U1028" i="2" s="1"/>
  <c r="R1046" i="2"/>
  <c r="T1046" i="2" s="1"/>
  <c r="U1046" i="2" s="1"/>
  <c r="R1160" i="2"/>
  <c r="T1160" i="2" s="1"/>
  <c r="U1160" i="2" s="1"/>
  <c r="R1170" i="2"/>
  <c r="T1170" i="2" s="1"/>
  <c r="U1170" i="2" s="1"/>
  <c r="R1190" i="2"/>
  <c r="T1190" i="2" s="1"/>
  <c r="U1190" i="2" s="1"/>
  <c r="R1193" i="2"/>
  <c r="T1193" i="2" s="1"/>
  <c r="U1193" i="2" s="1"/>
  <c r="R1231" i="2"/>
  <c r="T1231" i="2" s="1"/>
  <c r="U1231" i="2" s="1"/>
  <c r="U1244" i="2"/>
  <c r="R1269" i="2"/>
  <c r="T1269" i="2" s="1"/>
  <c r="U1269" i="2" s="1"/>
  <c r="R1299" i="2"/>
  <c r="T1299" i="2" s="1"/>
  <c r="U1299" i="2" s="1"/>
  <c r="R803" i="2"/>
  <c r="T803" i="2" s="1"/>
  <c r="U803" i="2" s="1"/>
  <c r="R807" i="2"/>
  <c r="T807" i="2" s="1"/>
  <c r="U807" i="2" s="1"/>
  <c r="R863" i="2"/>
  <c r="T863" i="2" s="1"/>
  <c r="U863" i="2" s="1"/>
  <c r="R866" i="2"/>
  <c r="T866" i="2" s="1"/>
  <c r="U866" i="2" s="1"/>
  <c r="R879" i="2"/>
  <c r="T879" i="2" s="1"/>
  <c r="U879" i="2" s="1"/>
  <c r="R920" i="2"/>
  <c r="T920" i="2" s="1"/>
  <c r="U920" i="2" s="1"/>
  <c r="R946" i="2"/>
  <c r="T946" i="2" s="1"/>
  <c r="U946" i="2" s="1"/>
  <c r="R992" i="2"/>
  <c r="T992" i="2" s="1"/>
  <c r="U992" i="2" s="1"/>
  <c r="R1102" i="2"/>
  <c r="T1102" i="2" s="1"/>
  <c r="U1102" i="2" s="1"/>
  <c r="R1276" i="2"/>
  <c r="T1276" i="2" s="1"/>
  <c r="U1276" i="2" s="1"/>
  <c r="R1334" i="2"/>
  <c r="T1334" i="2" s="1"/>
  <c r="U1334" i="2" s="1"/>
  <c r="R1372" i="2"/>
  <c r="T1372" i="2" s="1"/>
  <c r="U1372" i="2" s="1"/>
  <c r="R744" i="2"/>
  <c r="T744" i="2" s="1"/>
  <c r="U744" i="2" s="1"/>
  <c r="R769" i="2"/>
  <c r="T769" i="2" s="1"/>
  <c r="U769" i="2" s="1"/>
  <c r="R781" i="2"/>
  <c r="T781" i="2" s="1"/>
  <c r="U781" i="2" s="1"/>
  <c r="R790" i="2"/>
  <c r="T790" i="2" s="1"/>
  <c r="U790" i="2" s="1"/>
  <c r="R844" i="2"/>
  <c r="T844" i="2" s="1"/>
  <c r="U844" i="2" s="1"/>
  <c r="R850" i="2"/>
  <c r="T850" i="2" s="1"/>
  <c r="U850" i="2" s="1"/>
  <c r="R956" i="2"/>
  <c r="T956" i="2" s="1"/>
  <c r="U956" i="2" s="1"/>
  <c r="R1077" i="2"/>
  <c r="T1077" i="2" s="1"/>
  <c r="U1077" i="2" s="1"/>
  <c r="R1125" i="2"/>
  <c r="T1125" i="2" s="1"/>
  <c r="U1125" i="2" s="1"/>
  <c r="R1145" i="2"/>
  <c r="T1145" i="2" s="1"/>
  <c r="U1145" i="2" s="1"/>
  <c r="R1187" i="2"/>
  <c r="T1187" i="2" s="1"/>
  <c r="U1187" i="2" s="1"/>
  <c r="U1207" i="2"/>
  <c r="R1232" i="2"/>
  <c r="T1232" i="2" s="1"/>
  <c r="U1232" i="2" s="1"/>
  <c r="R1241" i="2"/>
  <c r="T1241" i="2" s="1"/>
  <c r="U1241" i="2" s="1"/>
  <c r="R1252" i="2"/>
  <c r="T1252" i="2" s="1"/>
  <c r="U1252" i="2" s="1"/>
  <c r="R1262" i="2"/>
  <c r="T1262" i="2" s="1"/>
  <c r="U1262" i="2" s="1"/>
  <c r="R1283" i="2"/>
  <c r="T1283" i="2" s="1"/>
  <c r="U1283" i="2" s="1"/>
  <c r="R1338" i="2"/>
  <c r="T1338" i="2" s="1"/>
  <c r="U1338" i="2" s="1"/>
  <c r="R1351" i="2"/>
  <c r="T1351" i="2" s="1"/>
  <c r="U1351" i="2" s="1"/>
  <c r="R722" i="2"/>
  <c r="T722" i="2" s="1"/>
  <c r="U722" i="2" s="1"/>
  <c r="R757" i="2"/>
  <c r="T757" i="2" s="1"/>
  <c r="U757" i="2" s="1"/>
  <c r="U772" i="2"/>
  <c r="R785" i="2"/>
  <c r="T785" i="2" s="1"/>
  <c r="U785" i="2" s="1"/>
  <c r="R797" i="2"/>
  <c r="T797" i="2" s="1"/>
  <c r="U797" i="2" s="1"/>
  <c r="R804" i="2"/>
  <c r="T804" i="2" s="1"/>
  <c r="U804" i="2" s="1"/>
  <c r="R817" i="2"/>
  <c r="T817" i="2" s="1"/>
  <c r="U817" i="2" s="1"/>
  <c r="R842" i="2"/>
  <c r="T842" i="2" s="1"/>
  <c r="U842" i="2" s="1"/>
  <c r="R845" i="2"/>
  <c r="T845" i="2" s="1"/>
  <c r="U845" i="2" s="1"/>
  <c r="R867" i="2"/>
  <c r="T867" i="2" s="1"/>
  <c r="U867" i="2" s="1"/>
  <c r="R870" i="2"/>
  <c r="T870" i="2" s="1"/>
  <c r="U870" i="2" s="1"/>
  <c r="R873" i="2"/>
  <c r="T873" i="2" s="1"/>
  <c r="U873" i="2" s="1"/>
  <c r="R918" i="2"/>
  <c r="T918" i="2" s="1"/>
  <c r="U918" i="2" s="1"/>
  <c r="R944" i="2"/>
  <c r="T944" i="2" s="1"/>
  <c r="U944" i="2" s="1"/>
  <c r="R990" i="2"/>
  <c r="T990" i="2" s="1"/>
  <c r="U990" i="2" s="1"/>
  <c r="R1229" i="2"/>
  <c r="T1229" i="2" s="1"/>
  <c r="U1229" i="2" s="1"/>
  <c r="R1304" i="2"/>
  <c r="T1304" i="2" s="1"/>
  <c r="U1304" i="2" s="1"/>
  <c r="R1366" i="2"/>
  <c r="T1366" i="2" s="1"/>
  <c r="U1366" i="2" s="1"/>
  <c r="R686" i="2"/>
  <c r="T686" i="2" s="1"/>
  <c r="U686" i="2" s="1"/>
  <c r="R704" i="2"/>
  <c r="T704" i="2" s="1"/>
  <c r="U704" i="2" s="1"/>
  <c r="R791" i="2"/>
  <c r="T791" i="2" s="1"/>
  <c r="U791" i="2" s="1"/>
  <c r="R820" i="2"/>
  <c r="T820" i="2" s="1"/>
  <c r="U820" i="2" s="1"/>
  <c r="R838" i="2"/>
  <c r="T838" i="2" s="1"/>
  <c r="U838" i="2" s="1"/>
  <c r="R861" i="2"/>
  <c r="T861" i="2" s="1"/>
  <c r="U861" i="2" s="1"/>
  <c r="R1008" i="2"/>
  <c r="T1008" i="2" s="1"/>
  <c r="U1008" i="2" s="1"/>
  <c r="R1026" i="2"/>
  <c r="T1026" i="2" s="1"/>
  <c r="U1026" i="2" s="1"/>
  <c r="R1042" i="2"/>
  <c r="T1042" i="2" s="1"/>
  <c r="U1042" i="2" s="1"/>
  <c r="R1078" i="2"/>
  <c r="T1078" i="2" s="1"/>
  <c r="U1078" i="2" s="1"/>
  <c r="R1168" i="2"/>
  <c r="T1168" i="2" s="1"/>
  <c r="U1168" i="2" s="1"/>
  <c r="R1175" i="2"/>
  <c r="T1175" i="2" s="1"/>
  <c r="U1175" i="2" s="1"/>
  <c r="R1215" i="2"/>
  <c r="T1215" i="2" s="1"/>
  <c r="U1215" i="2" s="1"/>
  <c r="R1225" i="2"/>
  <c r="T1225" i="2" s="1"/>
  <c r="U1225" i="2" s="1"/>
  <c r="R1263" i="2"/>
  <c r="T1263" i="2" s="1"/>
  <c r="U1263" i="2" s="1"/>
  <c r="R1297" i="2"/>
  <c r="T1297" i="2" s="1"/>
  <c r="U1297" i="2" s="1"/>
  <c r="R1342" i="2"/>
  <c r="T1342" i="2" s="1"/>
  <c r="U1342" i="2" s="1"/>
  <c r="R283" i="2"/>
  <c r="T283" i="2" s="1"/>
  <c r="U283" i="2" s="1"/>
  <c r="R311" i="2"/>
  <c r="T311" i="2" s="1"/>
  <c r="U311" i="2" s="1"/>
  <c r="R752" i="2"/>
  <c r="T752" i="2" s="1"/>
  <c r="U752" i="2" s="1"/>
  <c r="R497" i="2"/>
  <c r="T497" i="2" s="1"/>
  <c r="U497" i="2" s="1"/>
  <c r="R700" i="2"/>
  <c r="T700" i="2" s="1"/>
  <c r="U700" i="2" s="1"/>
  <c r="R239" i="2"/>
  <c r="T239" i="2" s="1"/>
  <c r="U239" i="2" s="1"/>
  <c r="R386" i="2"/>
  <c r="T386" i="2" s="1"/>
  <c r="U386" i="2" s="1"/>
  <c r="R423" i="2"/>
  <c r="T423" i="2" s="1"/>
  <c r="U423" i="2" s="1"/>
  <c r="R335" i="2"/>
  <c r="T335" i="2" s="1"/>
  <c r="U335" i="2" s="1"/>
  <c r="R435" i="2"/>
  <c r="T435" i="2" s="1"/>
  <c r="U435" i="2" s="1"/>
  <c r="R649" i="2"/>
  <c r="T649" i="2" s="1"/>
  <c r="U649" i="2" s="1"/>
  <c r="R619" i="2"/>
  <c r="T619" i="2" s="1"/>
  <c r="U619" i="2" s="1"/>
  <c r="R730" i="2"/>
  <c r="T730" i="2" s="1"/>
  <c r="U730" i="2" s="1"/>
  <c r="R235" i="2"/>
  <c r="T235" i="2" s="1"/>
  <c r="U235" i="2" s="1"/>
  <c r="R880" i="2"/>
  <c r="T880" i="2" s="1"/>
  <c r="U880" i="2" s="1"/>
  <c r="R410" i="2"/>
  <c r="T410" i="2" s="1"/>
  <c r="U410" i="2" s="1"/>
  <c r="R447" i="2"/>
  <c r="T447" i="2" s="1"/>
  <c r="U447" i="2" s="1"/>
  <c r="R610" i="2"/>
  <c r="T610" i="2" s="1"/>
  <c r="U610" i="2" s="1"/>
  <c r="R362" i="2"/>
  <c r="T362" i="2" s="1"/>
  <c r="U362" i="2" s="1"/>
  <c r="R399" i="2"/>
  <c r="T399" i="2" s="1"/>
  <c r="U399" i="2" s="1"/>
  <c r="R519" i="2"/>
  <c r="T519" i="2" s="1"/>
  <c r="U519" i="2" s="1"/>
  <c r="R542" i="2"/>
  <c r="T542" i="2" s="1"/>
  <c r="U542" i="2" s="1"/>
  <c r="R613" i="2"/>
  <c r="T613" i="2" s="1"/>
  <c r="U613" i="2" s="1"/>
  <c r="R836" i="2"/>
  <c r="T836" i="2" s="1"/>
  <c r="U836" i="2" s="1"/>
  <c r="R860" i="2"/>
  <c r="T860" i="2" s="1"/>
  <c r="U860" i="2" s="1"/>
  <c r="R546" i="2"/>
  <c r="T546" i="2" s="1"/>
  <c r="U546" i="2" s="1"/>
  <c r="R582" i="2"/>
  <c r="T582" i="2" s="1"/>
  <c r="U582" i="2" s="1"/>
  <c r="R587" i="2"/>
  <c r="T587" i="2" s="1"/>
  <c r="U587" i="2" s="1"/>
  <c r="R600" i="2"/>
  <c r="T600" i="2" s="1"/>
  <c r="U600" i="2" s="1"/>
  <c r="R630" i="2"/>
  <c r="T630" i="2" s="1"/>
  <c r="U630" i="2" s="1"/>
  <c r="R678" i="2"/>
  <c r="T678" i="2" s="1"/>
  <c r="U678" i="2" s="1"/>
  <c r="R724" i="2"/>
  <c r="T724" i="2" s="1"/>
  <c r="U724" i="2" s="1"/>
  <c r="R540" i="2"/>
  <c r="T540" i="2" s="1"/>
  <c r="U540" i="2" s="1"/>
  <c r="R565" i="2"/>
  <c r="T565" i="2" s="1"/>
  <c r="U565" i="2" s="1"/>
  <c r="R662" i="2"/>
  <c r="T662" i="2" s="1"/>
  <c r="U662" i="2" s="1"/>
  <c r="R698" i="2"/>
  <c r="T698" i="2" s="1"/>
  <c r="U698" i="2" s="1"/>
  <c r="R794" i="2"/>
  <c r="T794" i="2" s="1"/>
  <c r="U794" i="2" s="1"/>
  <c r="R846" i="2"/>
  <c r="T846" i="2" s="1"/>
  <c r="U846" i="2" s="1"/>
  <c r="R874" i="2"/>
  <c r="T874" i="2" s="1"/>
  <c r="U874" i="2" s="1"/>
  <c r="R558" i="2"/>
  <c r="T558" i="2" s="1"/>
  <c r="U558" i="2" s="1"/>
  <c r="R596" i="2"/>
  <c r="T596" i="2" s="1"/>
  <c r="U596" i="2" s="1"/>
  <c r="R720" i="2"/>
  <c r="T720" i="2" s="1"/>
  <c r="U720" i="2" s="1"/>
  <c r="R534" i="2"/>
  <c r="T534" i="2" s="1"/>
  <c r="U534" i="2" s="1"/>
  <c r="R572" i="2"/>
  <c r="T572" i="2" s="1"/>
  <c r="U572" i="2" s="1"/>
  <c r="R606" i="2"/>
  <c r="T606" i="2" s="1"/>
  <c r="U606" i="2" s="1"/>
  <c r="R624" i="2"/>
  <c r="T624" i="2" s="1"/>
  <c r="U624" i="2" s="1"/>
  <c r="R658" i="2"/>
  <c r="T658" i="2" s="1"/>
  <c r="U658" i="2" s="1"/>
  <c r="R674" i="2"/>
  <c r="T674" i="2" s="1"/>
  <c r="U674" i="2" s="1"/>
  <c r="R692" i="2"/>
  <c r="T692" i="2" s="1"/>
  <c r="U692" i="2" s="1"/>
  <c r="R710" i="2"/>
  <c r="T710" i="2" s="1"/>
  <c r="U710" i="2" s="1"/>
  <c r="R1074" i="2"/>
  <c r="T1074" i="2" s="1"/>
  <c r="U1074" i="2" s="1"/>
  <c r="R532" i="2"/>
  <c r="T532" i="2" s="1"/>
  <c r="U532" i="2" s="1"/>
  <c r="R554" i="2"/>
  <c r="T554" i="2" s="1"/>
  <c r="U554" i="2" s="1"/>
  <c r="R563" i="2"/>
  <c r="T563" i="2" s="1"/>
  <c r="U563" i="2" s="1"/>
  <c r="R588" i="2"/>
  <c r="T588" i="2" s="1"/>
  <c r="U588" i="2" s="1"/>
  <c r="R604" i="2"/>
  <c r="T604" i="2" s="1"/>
  <c r="U604" i="2" s="1"/>
  <c r="R638" i="2"/>
  <c r="T638" i="2" s="1"/>
  <c r="U638" i="2" s="1"/>
  <c r="R656" i="2"/>
  <c r="T656" i="2" s="1"/>
  <c r="U656" i="2" s="1"/>
  <c r="R748" i="2"/>
  <c r="T748" i="2" s="1"/>
  <c r="U748" i="2" s="1"/>
  <c r="R770" i="2"/>
  <c r="T770" i="2" s="1"/>
  <c r="U770" i="2" s="1"/>
  <c r="R620" i="2"/>
  <c r="T620" i="2" s="1"/>
  <c r="U620" i="2" s="1"/>
  <c r="R654" i="2"/>
  <c r="T654" i="2" s="1"/>
  <c r="U654" i="2" s="1"/>
  <c r="R672" i="2"/>
  <c r="T672" i="2" s="1"/>
  <c r="U672" i="2" s="1"/>
  <c r="R688" i="2"/>
  <c r="T688" i="2" s="1"/>
  <c r="U688" i="2" s="1"/>
  <c r="R708" i="2"/>
  <c r="T708" i="2" s="1"/>
  <c r="U708" i="2" s="1"/>
  <c r="R574" i="2"/>
  <c r="T574" i="2" s="1"/>
  <c r="U574" i="2" s="1"/>
  <c r="R598" i="2"/>
  <c r="T598" i="2" s="1"/>
  <c r="U598" i="2" s="1"/>
  <c r="R622" i="2"/>
  <c r="T622" i="2" s="1"/>
  <c r="U622" i="2" s="1"/>
  <c r="R646" i="2"/>
  <c r="T646" i="2" s="1"/>
  <c r="U646" i="2" s="1"/>
  <c r="R670" i="2"/>
  <c r="T670" i="2" s="1"/>
  <c r="U670" i="2" s="1"/>
  <c r="R694" i="2"/>
  <c r="T694" i="2" s="1"/>
  <c r="U694" i="2" s="1"/>
  <c r="R718" i="2"/>
  <c r="T718" i="2" s="1"/>
  <c r="U718" i="2" s="1"/>
  <c r="R1186" i="2"/>
  <c r="T1186" i="2" s="1"/>
  <c r="U1186" i="2" s="1"/>
  <c r="R1254" i="2"/>
  <c r="T1254" i="2" s="1"/>
  <c r="U1254" i="2" s="1"/>
  <c r="R1156" i="2"/>
  <c r="T1156" i="2" s="1"/>
  <c r="U1156" i="2" s="1"/>
  <c r="R1243" i="2"/>
  <c r="T1243" i="2" s="1"/>
  <c r="U1243" i="2" s="1"/>
  <c r="R1278" i="2"/>
  <c r="T1278" i="2" s="1"/>
  <c r="U1278" i="2" s="1"/>
  <c r="R1371" i="2"/>
  <c r="T1371" i="2" s="1"/>
  <c r="U1371" i="2" s="1"/>
  <c r="R788" i="2"/>
  <c r="T788" i="2" s="1"/>
  <c r="U788" i="2" s="1"/>
  <c r="R1182" i="2"/>
  <c r="T1182" i="2" s="1"/>
  <c r="U1182" i="2" s="1"/>
  <c r="R1204" i="2"/>
  <c r="T1204" i="2" s="1"/>
  <c r="U1204" i="2" s="1"/>
  <c r="R1355" i="2"/>
  <c r="T1355" i="2" s="1"/>
  <c r="U1355" i="2" s="1"/>
  <c r="R812" i="2"/>
  <c r="T812" i="2" s="1"/>
  <c r="U812" i="2" s="1"/>
  <c r="R1088" i="2"/>
  <c r="T1088" i="2" s="1"/>
  <c r="U1088" i="2" s="1"/>
  <c r="R1245" i="2"/>
  <c r="T1245" i="2" s="1"/>
  <c r="U1245" i="2" s="1"/>
  <c r="R1146" i="2"/>
  <c r="T1146" i="2" s="1"/>
  <c r="U1146" i="2" s="1"/>
  <c r="R1328" i="2"/>
  <c r="T1328" i="2" s="1"/>
  <c r="U1328" i="2" s="1"/>
  <c r="R1359" i="2"/>
  <c r="T1359" i="2" s="1"/>
  <c r="U1359" i="2" s="1"/>
  <c r="R1062" i="2"/>
  <c r="T1062" i="2" s="1"/>
  <c r="U1062" i="2" s="1"/>
  <c r="R1106" i="2"/>
  <c r="T1106" i="2" s="1"/>
  <c r="U1106" i="2" s="1"/>
  <c r="R1306" i="2"/>
  <c r="T1306" i="2" s="1"/>
  <c r="U1306" i="2" s="1"/>
  <c r="R1178" i="2"/>
  <c r="T1178" i="2" s="1"/>
  <c r="U1178" i="2" s="1"/>
  <c r="R1138" i="2"/>
  <c r="T1138" i="2" s="1"/>
  <c r="U1138" i="2" s="1"/>
  <c r="R1230" i="2"/>
  <c r="T1230" i="2" s="1"/>
  <c r="U1230" i="2" s="1"/>
  <c r="R1238" i="2"/>
  <c r="T1238" i="2" s="1"/>
  <c r="U1238" i="2" s="1"/>
  <c r="R1293" i="2"/>
  <c r="T1293" i="2" s="1"/>
  <c r="U1293" i="2" s="1"/>
  <c r="R1323" i="2"/>
  <c r="T1323" i="2" s="1"/>
  <c r="U1323" i="2" s="1"/>
  <c r="R1376" i="2"/>
  <c r="T1376" i="2" s="1"/>
  <c r="U1376" i="2" s="1"/>
  <c r="R1287" i="2"/>
  <c r="T1287" i="2" s="1"/>
  <c r="U1287" i="2" s="1"/>
  <c r="R1343" i="2"/>
  <c r="T1343" i="2" s="1"/>
  <c r="U1343" i="2" s="1"/>
  <c r="R1363" i="2"/>
  <c r="T1363" i="2" s="1"/>
  <c r="U1363" i="2" s="1"/>
  <c r="R1255" i="2"/>
  <c r="T1255" i="2" s="1"/>
  <c r="U1255" i="2" s="1"/>
  <c r="R1279" i="2"/>
  <c r="T1279" i="2" s="1"/>
  <c r="U1279" i="2" s="1"/>
  <c r="R1305" i="2"/>
  <c r="T1305" i="2" s="1"/>
  <c r="U1305" i="2" s="1"/>
  <c r="R1311" i="2"/>
  <c r="T1311" i="2" s="1"/>
  <c r="U1311" i="2" s="1"/>
  <c r="R1360" i="2"/>
  <c r="T1360" i="2" s="1"/>
  <c r="U1360" i="2" s="1"/>
  <c r="R1274" i="2"/>
  <c r="T1274" i="2" s="1"/>
  <c r="U1274" i="2" s="1"/>
  <c r="R1377" i="2"/>
  <c r="T1377" i="2" s="1"/>
  <c r="U1377" i="2" s="1"/>
  <c r="C2862" i="2"/>
  <c r="C2884" i="2"/>
  <c r="C2883" i="2"/>
  <c r="C2863" i="2"/>
  <c r="H2881" i="2" l="1"/>
  <c r="D2881" i="2"/>
  <c r="C2864" i="2"/>
  <c r="C2889" i="2"/>
  <c r="AO8" i="2"/>
  <c r="AO7" i="2"/>
  <c r="AN8" i="2"/>
  <c r="AN7" i="2"/>
  <c r="C2872" i="2"/>
  <c r="C2867" i="2"/>
  <c r="Q2795" i="2"/>
  <c r="M2795" i="2"/>
  <c r="H2795" i="2"/>
  <c r="Q2794" i="2"/>
  <c r="M2794" i="2"/>
  <c r="H2794" i="2"/>
  <c r="Q2793" i="2"/>
  <c r="M2793" i="2"/>
  <c r="H2793" i="2"/>
  <c r="Q2792" i="2"/>
  <c r="M2792" i="2"/>
  <c r="H2792" i="2"/>
  <c r="Q2791" i="2"/>
  <c r="M2791" i="2"/>
  <c r="H2791" i="2"/>
  <c r="Q2790" i="2"/>
  <c r="M2790" i="2"/>
  <c r="H2790" i="2"/>
  <c r="Q2789" i="2"/>
  <c r="M2789" i="2"/>
  <c r="H2789" i="2"/>
  <c r="Q2788" i="2"/>
  <c r="M2788" i="2"/>
  <c r="H2788" i="2"/>
  <c r="Q2787" i="2"/>
  <c r="M2787" i="2"/>
  <c r="H2787" i="2"/>
  <c r="Q2786" i="2"/>
  <c r="M2786" i="2"/>
  <c r="H2786" i="2"/>
  <c r="Q2785" i="2"/>
  <c r="M2785" i="2"/>
  <c r="H2785" i="2"/>
  <c r="Q2784" i="2"/>
  <c r="M2784" i="2"/>
  <c r="H2784" i="2"/>
  <c r="Q2783" i="2"/>
  <c r="M2783" i="2"/>
  <c r="H2783" i="2"/>
  <c r="Q2782" i="2"/>
  <c r="M2782" i="2"/>
  <c r="H2782" i="2"/>
  <c r="Q2781" i="2"/>
  <c r="M2781" i="2"/>
  <c r="H2781" i="2"/>
  <c r="Q2780" i="2"/>
  <c r="M2780" i="2"/>
  <c r="H2780" i="2"/>
  <c r="Q2779" i="2"/>
  <c r="M2779" i="2"/>
  <c r="H2779" i="2"/>
  <c r="Q2778" i="2"/>
  <c r="M2778" i="2"/>
  <c r="H2778" i="2"/>
  <c r="Q2777" i="2"/>
  <c r="M2777" i="2"/>
  <c r="H2777" i="2"/>
  <c r="Q2776" i="2"/>
  <c r="M2776" i="2"/>
  <c r="H2776" i="2"/>
  <c r="Q2775" i="2"/>
  <c r="M2775" i="2"/>
  <c r="H2775" i="2"/>
  <c r="Q2774" i="2"/>
  <c r="M2774" i="2"/>
  <c r="H2774" i="2"/>
  <c r="Q2773" i="2"/>
  <c r="M2773" i="2"/>
  <c r="H2773" i="2"/>
  <c r="Q2772" i="2"/>
  <c r="M2772" i="2"/>
  <c r="H2772" i="2"/>
  <c r="Q2771" i="2"/>
  <c r="M2771" i="2"/>
  <c r="H2771" i="2"/>
  <c r="Q2770" i="2"/>
  <c r="M2770" i="2"/>
  <c r="H2770" i="2"/>
  <c r="Q2769" i="2"/>
  <c r="M2769" i="2"/>
  <c r="H2769" i="2"/>
  <c r="Q2768" i="2"/>
  <c r="M2768" i="2"/>
  <c r="H2768" i="2"/>
  <c r="Q2767" i="2"/>
  <c r="M2767" i="2"/>
  <c r="H2767" i="2"/>
  <c r="Q2766" i="2"/>
  <c r="M2766" i="2"/>
  <c r="H2766" i="2"/>
  <c r="Q2765" i="2"/>
  <c r="M2765" i="2"/>
  <c r="H2765" i="2"/>
  <c r="Q2764" i="2"/>
  <c r="M2764" i="2"/>
  <c r="H2764" i="2"/>
  <c r="Q2763" i="2"/>
  <c r="M2763" i="2"/>
  <c r="H2763" i="2"/>
  <c r="Q2762" i="2"/>
  <c r="M2762" i="2"/>
  <c r="H2762" i="2"/>
  <c r="Q2761" i="2"/>
  <c r="M2761" i="2"/>
  <c r="H2761" i="2"/>
  <c r="Q2760" i="2"/>
  <c r="M2760" i="2"/>
  <c r="H2760" i="2"/>
  <c r="Q2759" i="2"/>
  <c r="M2759" i="2"/>
  <c r="H2759" i="2"/>
  <c r="Q2758" i="2"/>
  <c r="M2758" i="2"/>
  <c r="H2758" i="2"/>
  <c r="Q2757" i="2"/>
  <c r="M2757" i="2"/>
  <c r="H2757" i="2"/>
  <c r="Q2756" i="2"/>
  <c r="M2756" i="2"/>
  <c r="H2756" i="2"/>
  <c r="Q2755" i="2"/>
  <c r="M2755" i="2"/>
  <c r="H2755" i="2"/>
  <c r="Q2754" i="2"/>
  <c r="M2754" i="2"/>
  <c r="H2754" i="2"/>
  <c r="Q2753" i="2"/>
  <c r="M2753" i="2"/>
  <c r="H2753" i="2"/>
  <c r="Q2752" i="2"/>
  <c r="M2752" i="2"/>
  <c r="H2752" i="2"/>
  <c r="Q2751" i="2"/>
  <c r="M2751" i="2"/>
  <c r="H2751" i="2"/>
  <c r="Q2750" i="2"/>
  <c r="M2750" i="2"/>
  <c r="H2750" i="2"/>
  <c r="Q2749" i="2"/>
  <c r="M2749" i="2"/>
  <c r="H2749" i="2"/>
  <c r="Q2748" i="2"/>
  <c r="M2748" i="2"/>
  <c r="H2748" i="2"/>
  <c r="Q2747" i="2"/>
  <c r="M2747" i="2"/>
  <c r="H2747" i="2"/>
  <c r="Q2746" i="2"/>
  <c r="M2746" i="2"/>
  <c r="H2746" i="2"/>
  <c r="Q2745" i="2"/>
  <c r="M2745" i="2"/>
  <c r="H2745" i="2"/>
  <c r="Q2744" i="2"/>
  <c r="M2744" i="2"/>
  <c r="H2744" i="2"/>
  <c r="Q2743" i="2"/>
  <c r="M2743" i="2"/>
  <c r="H2743" i="2"/>
  <c r="Q2742" i="2"/>
  <c r="M2742" i="2"/>
  <c r="H2742" i="2"/>
  <c r="Q2741" i="2"/>
  <c r="M2741" i="2"/>
  <c r="H2741" i="2"/>
  <c r="Q2740" i="2"/>
  <c r="M2740" i="2"/>
  <c r="H2740" i="2"/>
  <c r="Q2739" i="2"/>
  <c r="M2739" i="2"/>
  <c r="H2739" i="2"/>
  <c r="Q2738" i="2"/>
  <c r="M2738" i="2"/>
  <c r="H2738" i="2"/>
  <c r="Q2737" i="2"/>
  <c r="M2737" i="2"/>
  <c r="H2737" i="2"/>
  <c r="Q2736" i="2"/>
  <c r="M2736" i="2"/>
  <c r="H2736" i="2"/>
  <c r="Q2735" i="2"/>
  <c r="M2735" i="2"/>
  <c r="H2735" i="2"/>
  <c r="Q2734" i="2"/>
  <c r="M2734" i="2"/>
  <c r="H2734" i="2"/>
  <c r="Q2733" i="2"/>
  <c r="M2733" i="2"/>
  <c r="H2733" i="2"/>
  <c r="Q2732" i="2"/>
  <c r="M2732" i="2"/>
  <c r="H2732" i="2"/>
  <c r="Q2731" i="2"/>
  <c r="M2731" i="2"/>
  <c r="H2731" i="2"/>
  <c r="Q2730" i="2"/>
  <c r="M2730" i="2"/>
  <c r="H2730" i="2"/>
  <c r="Q2729" i="2"/>
  <c r="M2729" i="2"/>
  <c r="H2729" i="2"/>
  <c r="Q2728" i="2"/>
  <c r="M2728" i="2"/>
  <c r="H2728" i="2"/>
  <c r="Q2727" i="2"/>
  <c r="M2727" i="2"/>
  <c r="H2727" i="2"/>
  <c r="Q2726" i="2"/>
  <c r="M2726" i="2"/>
  <c r="H2726" i="2"/>
  <c r="Q2725" i="2"/>
  <c r="M2725" i="2"/>
  <c r="H2725" i="2"/>
  <c r="Q2724" i="2"/>
  <c r="M2724" i="2"/>
  <c r="H2724" i="2"/>
  <c r="Q2723" i="2"/>
  <c r="M2723" i="2"/>
  <c r="H2723" i="2"/>
  <c r="Q2722" i="2"/>
  <c r="M2722" i="2"/>
  <c r="H2722" i="2"/>
  <c r="Q2721" i="2"/>
  <c r="M2721" i="2"/>
  <c r="H2721" i="2"/>
  <c r="Q2720" i="2"/>
  <c r="M2720" i="2"/>
  <c r="H2720" i="2"/>
  <c r="Q2719" i="2"/>
  <c r="M2719" i="2"/>
  <c r="H2719" i="2"/>
  <c r="Q2718" i="2"/>
  <c r="M2718" i="2"/>
  <c r="H2718" i="2"/>
  <c r="Q2717" i="2"/>
  <c r="M2717" i="2"/>
  <c r="H2717" i="2"/>
  <c r="Q2716" i="2"/>
  <c r="M2716" i="2"/>
  <c r="H2716" i="2"/>
  <c r="Q2715" i="2"/>
  <c r="M2715" i="2"/>
  <c r="H2715" i="2"/>
  <c r="Q2714" i="2"/>
  <c r="M2714" i="2"/>
  <c r="H2714" i="2"/>
  <c r="Q2713" i="2"/>
  <c r="M2713" i="2"/>
  <c r="H2713" i="2"/>
  <c r="Q2712" i="2"/>
  <c r="M2712" i="2"/>
  <c r="H2712" i="2"/>
  <c r="Q2711" i="2"/>
  <c r="M2711" i="2"/>
  <c r="H2711" i="2"/>
  <c r="Q2710" i="2"/>
  <c r="M2710" i="2"/>
  <c r="H2710" i="2"/>
  <c r="Q2709" i="2"/>
  <c r="M2709" i="2"/>
  <c r="H2709" i="2"/>
  <c r="Q2708" i="2"/>
  <c r="M2708" i="2"/>
  <c r="H2708" i="2"/>
  <c r="Q2707" i="2"/>
  <c r="M2707" i="2"/>
  <c r="H2707" i="2"/>
  <c r="Q2706" i="2"/>
  <c r="M2706" i="2"/>
  <c r="H2706" i="2"/>
  <c r="Q2705" i="2"/>
  <c r="M2705" i="2"/>
  <c r="H2705" i="2"/>
  <c r="Q2704" i="2"/>
  <c r="M2704" i="2"/>
  <c r="H2704" i="2"/>
  <c r="Q2703" i="2"/>
  <c r="M2703" i="2"/>
  <c r="H2703" i="2"/>
  <c r="Q2702" i="2"/>
  <c r="M2702" i="2"/>
  <c r="H2702" i="2"/>
  <c r="Q2701" i="2"/>
  <c r="M2701" i="2"/>
  <c r="H2701" i="2"/>
  <c r="Q2700" i="2"/>
  <c r="M2700" i="2"/>
  <c r="H2700" i="2"/>
  <c r="Q2699" i="2"/>
  <c r="M2699" i="2"/>
  <c r="H2699" i="2"/>
  <c r="Q2698" i="2"/>
  <c r="M2698" i="2"/>
  <c r="H2698" i="2"/>
  <c r="Q2697" i="2"/>
  <c r="M2697" i="2"/>
  <c r="H2697" i="2"/>
  <c r="Q2696" i="2"/>
  <c r="M2696" i="2"/>
  <c r="H2696" i="2"/>
  <c r="Q2695" i="2"/>
  <c r="M2695" i="2"/>
  <c r="H2695" i="2"/>
  <c r="Q2694" i="2"/>
  <c r="M2694" i="2"/>
  <c r="H2694" i="2"/>
  <c r="Q2693" i="2"/>
  <c r="M2693" i="2"/>
  <c r="H2693" i="2"/>
  <c r="Q2692" i="2"/>
  <c r="M2692" i="2"/>
  <c r="H2692" i="2"/>
  <c r="Q2691" i="2"/>
  <c r="M2691" i="2"/>
  <c r="H2691" i="2"/>
  <c r="Q2690" i="2"/>
  <c r="M2690" i="2"/>
  <c r="H2690" i="2"/>
  <c r="Q2689" i="2"/>
  <c r="M2689" i="2"/>
  <c r="H2689" i="2"/>
  <c r="Q2688" i="2"/>
  <c r="M2688" i="2"/>
  <c r="H2688" i="2"/>
  <c r="Q2687" i="2"/>
  <c r="M2687" i="2"/>
  <c r="H2687" i="2"/>
  <c r="Q2686" i="2"/>
  <c r="M2686" i="2"/>
  <c r="H2686" i="2"/>
  <c r="Q2685" i="2"/>
  <c r="M2685" i="2"/>
  <c r="H2685" i="2"/>
  <c r="Q2684" i="2"/>
  <c r="M2684" i="2"/>
  <c r="H2684" i="2"/>
  <c r="Q2683" i="2"/>
  <c r="M2683" i="2"/>
  <c r="H2683" i="2"/>
  <c r="Q2682" i="2"/>
  <c r="M2682" i="2"/>
  <c r="H2682" i="2"/>
  <c r="Q2681" i="2"/>
  <c r="M2681" i="2"/>
  <c r="H2681" i="2"/>
  <c r="Q2680" i="2"/>
  <c r="M2680" i="2"/>
  <c r="H2680" i="2"/>
  <c r="Q2679" i="2"/>
  <c r="M2679" i="2"/>
  <c r="H2679" i="2"/>
  <c r="Q2678" i="2"/>
  <c r="M2678" i="2"/>
  <c r="H2678" i="2"/>
  <c r="Q2677" i="2"/>
  <c r="M2677" i="2"/>
  <c r="H2677" i="2"/>
  <c r="Q2676" i="2"/>
  <c r="M2676" i="2"/>
  <c r="H2676" i="2"/>
  <c r="Q2675" i="2"/>
  <c r="M2675" i="2"/>
  <c r="H2675" i="2"/>
  <c r="Q2674" i="2"/>
  <c r="M2674" i="2"/>
  <c r="H2674" i="2"/>
  <c r="Q2673" i="2"/>
  <c r="M2673" i="2"/>
  <c r="H2673" i="2"/>
  <c r="Q2672" i="2"/>
  <c r="M2672" i="2"/>
  <c r="H2672" i="2"/>
  <c r="Q2671" i="2"/>
  <c r="M2671" i="2"/>
  <c r="H2671" i="2"/>
  <c r="Q2670" i="2"/>
  <c r="M2670" i="2"/>
  <c r="H2670" i="2"/>
  <c r="Q2669" i="2"/>
  <c r="M2669" i="2"/>
  <c r="H2669" i="2"/>
  <c r="Q2668" i="2"/>
  <c r="M2668" i="2"/>
  <c r="H2668" i="2"/>
  <c r="Q2667" i="2"/>
  <c r="M2667" i="2"/>
  <c r="H2667" i="2"/>
  <c r="Q2666" i="2"/>
  <c r="M2666" i="2"/>
  <c r="H2666" i="2"/>
  <c r="Q2665" i="2"/>
  <c r="M2665" i="2"/>
  <c r="H2665" i="2"/>
  <c r="Q2664" i="2"/>
  <c r="M2664" i="2"/>
  <c r="H2664" i="2"/>
  <c r="Q2663" i="2"/>
  <c r="M2663" i="2"/>
  <c r="H2663" i="2"/>
  <c r="Q2662" i="2"/>
  <c r="M2662" i="2"/>
  <c r="H2662" i="2"/>
  <c r="Q2661" i="2"/>
  <c r="M2661" i="2"/>
  <c r="H2661" i="2"/>
  <c r="Q2660" i="2"/>
  <c r="M2660" i="2"/>
  <c r="H2660" i="2"/>
  <c r="Q2659" i="2"/>
  <c r="M2659" i="2"/>
  <c r="H2659" i="2"/>
  <c r="Q2658" i="2"/>
  <c r="M2658" i="2"/>
  <c r="H2658" i="2"/>
  <c r="Q2657" i="2"/>
  <c r="M2657" i="2"/>
  <c r="H2657" i="2"/>
  <c r="Q2656" i="2"/>
  <c r="M2656" i="2"/>
  <c r="H2656" i="2"/>
  <c r="Q2655" i="2"/>
  <c r="M2655" i="2"/>
  <c r="H2655" i="2"/>
  <c r="Q2654" i="2"/>
  <c r="M2654" i="2"/>
  <c r="H2654" i="2"/>
  <c r="Q2653" i="2"/>
  <c r="M2653" i="2"/>
  <c r="H2653" i="2"/>
  <c r="Q2652" i="2"/>
  <c r="M2652" i="2"/>
  <c r="H2652" i="2"/>
  <c r="Q2651" i="2"/>
  <c r="M2651" i="2"/>
  <c r="H2651" i="2"/>
  <c r="Q2650" i="2"/>
  <c r="M2650" i="2"/>
  <c r="H2650" i="2"/>
  <c r="Q2649" i="2"/>
  <c r="M2649" i="2"/>
  <c r="H2649" i="2"/>
  <c r="Q2648" i="2"/>
  <c r="M2648" i="2"/>
  <c r="H2648" i="2"/>
  <c r="Q2647" i="2"/>
  <c r="M2647" i="2"/>
  <c r="H2647" i="2"/>
  <c r="Q2646" i="2"/>
  <c r="M2646" i="2"/>
  <c r="H2646" i="2"/>
  <c r="Q2645" i="2"/>
  <c r="M2645" i="2"/>
  <c r="H2645" i="2"/>
  <c r="Q2644" i="2"/>
  <c r="M2644" i="2"/>
  <c r="H2644" i="2"/>
  <c r="Q2643" i="2"/>
  <c r="M2643" i="2"/>
  <c r="H2643" i="2"/>
  <c r="Q2642" i="2"/>
  <c r="M2642" i="2"/>
  <c r="H2642" i="2"/>
  <c r="Q2641" i="2"/>
  <c r="M2641" i="2"/>
  <c r="H2641" i="2"/>
  <c r="Q2640" i="2"/>
  <c r="M2640" i="2"/>
  <c r="H2640" i="2"/>
  <c r="Q2639" i="2"/>
  <c r="M2639" i="2"/>
  <c r="H2639" i="2"/>
  <c r="Q2638" i="2"/>
  <c r="M2638" i="2"/>
  <c r="H2638" i="2"/>
  <c r="Q2637" i="2"/>
  <c r="M2637" i="2"/>
  <c r="H2637" i="2"/>
  <c r="Q2636" i="2"/>
  <c r="M2636" i="2"/>
  <c r="H2636" i="2"/>
  <c r="Q2635" i="2"/>
  <c r="M2635" i="2"/>
  <c r="H2635" i="2"/>
  <c r="Q2634" i="2"/>
  <c r="M2634" i="2"/>
  <c r="H2634" i="2"/>
  <c r="Q2633" i="2"/>
  <c r="M2633" i="2"/>
  <c r="H2633" i="2"/>
  <c r="Q2632" i="2"/>
  <c r="M2632" i="2"/>
  <c r="H2632" i="2"/>
  <c r="Q2631" i="2"/>
  <c r="M2631" i="2"/>
  <c r="H2631" i="2"/>
  <c r="Q2630" i="2"/>
  <c r="M2630" i="2"/>
  <c r="H2630" i="2"/>
  <c r="Q2629" i="2"/>
  <c r="M2629" i="2"/>
  <c r="H2629" i="2"/>
  <c r="Q2628" i="2"/>
  <c r="M2628" i="2"/>
  <c r="H2628" i="2"/>
  <c r="Q2627" i="2"/>
  <c r="M2627" i="2"/>
  <c r="H2627" i="2"/>
  <c r="Q2626" i="2"/>
  <c r="M2626" i="2"/>
  <c r="H2626" i="2"/>
  <c r="Q2625" i="2"/>
  <c r="M2625" i="2"/>
  <c r="H2625" i="2"/>
  <c r="Q2624" i="2"/>
  <c r="M2624" i="2"/>
  <c r="H2624" i="2"/>
  <c r="Q2623" i="2"/>
  <c r="M2623" i="2"/>
  <c r="H2623" i="2"/>
  <c r="Q2622" i="2"/>
  <c r="M2622" i="2"/>
  <c r="H2622" i="2"/>
  <c r="Q2621" i="2"/>
  <c r="M2621" i="2"/>
  <c r="H2621" i="2"/>
  <c r="Q2620" i="2"/>
  <c r="M2620" i="2"/>
  <c r="H2620" i="2"/>
  <c r="Q2619" i="2"/>
  <c r="M2619" i="2"/>
  <c r="H2619" i="2"/>
  <c r="Q2618" i="2"/>
  <c r="M2618" i="2"/>
  <c r="H2618" i="2"/>
  <c r="Q2617" i="2"/>
  <c r="M2617" i="2"/>
  <c r="H2617" i="2"/>
  <c r="Q2616" i="2"/>
  <c r="M2616" i="2"/>
  <c r="H2616" i="2"/>
  <c r="Q2615" i="2"/>
  <c r="M2615" i="2"/>
  <c r="H2615" i="2"/>
  <c r="Q2614" i="2"/>
  <c r="M2614" i="2"/>
  <c r="H2614" i="2"/>
  <c r="Q2613" i="2"/>
  <c r="M2613" i="2"/>
  <c r="H2613" i="2"/>
  <c r="Q2612" i="2"/>
  <c r="M2612" i="2"/>
  <c r="H2612" i="2"/>
  <c r="Q2611" i="2"/>
  <c r="M2611" i="2"/>
  <c r="H2611" i="2"/>
  <c r="Q2610" i="2"/>
  <c r="M2610" i="2"/>
  <c r="H2610" i="2"/>
  <c r="Q2609" i="2"/>
  <c r="M2609" i="2"/>
  <c r="H2609" i="2"/>
  <c r="Q2608" i="2"/>
  <c r="M2608" i="2"/>
  <c r="H2608" i="2"/>
  <c r="Q2607" i="2"/>
  <c r="M2607" i="2"/>
  <c r="H2607" i="2"/>
  <c r="Q2606" i="2"/>
  <c r="M2606" i="2"/>
  <c r="H2606" i="2"/>
  <c r="Q2605" i="2"/>
  <c r="M2605" i="2"/>
  <c r="H2605" i="2"/>
  <c r="Q2604" i="2"/>
  <c r="M2604" i="2"/>
  <c r="H2604" i="2"/>
  <c r="Q2603" i="2"/>
  <c r="M2603" i="2"/>
  <c r="H2603" i="2"/>
  <c r="Q2602" i="2"/>
  <c r="M2602" i="2"/>
  <c r="H2602" i="2"/>
  <c r="Q2601" i="2"/>
  <c r="M2601" i="2"/>
  <c r="H2601" i="2"/>
  <c r="Q2600" i="2"/>
  <c r="M2600" i="2"/>
  <c r="H2600" i="2"/>
  <c r="Q2599" i="2"/>
  <c r="M2599" i="2"/>
  <c r="H2599" i="2"/>
  <c r="Q2598" i="2"/>
  <c r="M2598" i="2"/>
  <c r="H2598" i="2"/>
  <c r="Q2597" i="2"/>
  <c r="M2597" i="2"/>
  <c r="H2597" i="2"/>
  <c r="Q2596" i="2"/>
  <c r="M2596" i="2"/>
  <c r="H2596" i="2"/>
  <c r="Q2595" i="2"/>
  <c r="M2595" i="2"/>
  <c r="H2595" i="2"/>
  <c r="Q2594" i="2"/>
  <c r="M2594" i="2"/>
  <c r="H2594" i="2"/>
  <c r="Q2593" i="2"/>
  <c r="M2593" i="2"/>
  <c r="H2593" i="2"/>
  <c r="Q2592" i="2"/>
  <c r="M2592" i="2"/>
  <c r="H2592" i="2"/>
  <c r="Q2591" i="2"/>
  <c r="M2591" i="2"/>
  <c r="H2591" i="2"/>
  <c r="Q2590" i="2"/>
  <c r="M2590" i="2"/>
  <c r="H2590" i="2"/>
  <c r="Q2589" i="2"/>
  <c r="M2589" i="2"/>
  <c r="H2589" i="2"/>
  <c r="Q2588" i="2"/>
  <c r="M2588" i="2"/>
  <c r="H2588" i="2"/>
  <c r="Q2587" i="2"/>
  <c r="M2587" i="2"/>
  <c r="H2587" i="2"/>
  <c r="Q2586" i="2"/>
  <c r="M2586" i="2"/>
  <c r="H2586" i="2"/>
  <c r="Q2585" i="2"/>
  <c r="M2585" i="2"/>
  <c r="H2585" i="2"/>
  <c r="Q2584" i="2"/>
  <c r="M2584" i="2"/>
  <c r="H2584" i="2"/>
  <c r="Q2583" i="2"/>
  <c r="M2583" i="2"/>
  <c r="H2583" i="2"/>
  <c r="Q2582" i="2"/>
  <c r="M2582" i="2"/>
  <c r="H2582" i="2"/>
  <c r="Q2581" i="2"/>
  <c r="M2581" i="2"/>
  <c r="H2581" i="2"/>
  <c r="Q2580" i="2"/>
  <c r="M2580" i="2"/>
  <c r="H2580" i="2"/>
  <c r="Q2579" i="2"/>
  <c r="M2579" i="2"/>
  <c r="H2579" i="2"/>
  <c r="Q2578" i="2"/>
  <c r="M2578" i="2"/>
  <c r="H2578" i="2"/>
  <c r="Q2577" i="2"/>
  <c r="M2577" i="2"/>
  <c r="H2577" i="2"/>
  <c r="Q2576" i="2"/>
  <c r="M2576" i="2"/>
  <c r="H2576" i="2"/>
  <c r="Q2575" i="2"/>
  <c r="M2575" i="2"/>
  <c r="H2575" i="2"/>
  <c r="Q2574" i="2"/>
  <c r="M2574" i="2"/>
  <c r="H2574" i="2"/>
  <c r="Q2573" i="2"/>
  <c r="M2573" i="2"/>
  <c r="H2573" i="2"/>
  <c r="Q2572" i="2"/>
  <c r="M2572" i="2"/>
  <c r="H2572" i="2"/>
  <c r="Q2571" i="2"/>
  <c r="M2571" i="2"/>
  <c r="H2571" i="2"/>
  <c r="Q2570" i="2"/>
  <c r="M2570" i="2"/>
  <c r="H2570" i="2"/>
  <c r="Q2569" i="2"/>
  <c r="M2569" i="2"/>
  <c r="H2569" i="2"/>
  <c r="Q2568" i="2"/>
  <c r="M2568" i="2"/>
  <c r="H2568" i="2"/>
  <c r="Q2567" i="2"/>
  <c r="M2567" i="2"/>
  <c r="H2567" i="2"/>
  <c r="Q2566" i="2"/>
  <c r="M2566" i="2"/>
  <c r="H2566" i="2"/>
  <c r="Q2565" i="2"/>
  <c r="M2565" i="2"/>
  <c r="H2565" i="2"/>
  <c r="Q2564" i="2"/>
  <c r="M2564" i="2"/>
  <c r="H2564" i="2"/>
  <c r="Q2563" i="2"/>
  <c r="M2563" i="2"/>
  <c r="H2563" i="2"/>
  <c r="Q2562" i="2"/>
  <c r="M2562" i="2"/>
  <c r="H2562" i="2"/>
  <c r="Q2561" i="2"/>
  <c r="M2561" i="2"/>
  <c r="H2561" i="2"/>
  <c r="Q2560" i="2"/>
  <c r="M2560" i="2"/>
  <c r="H2560" i="2"/>
  <c r="Q2559" i="2"/>
  <c r="M2559" i="2"/>
  <c r="H2559" i="2"/>
  <c r="Q2558" i="2"/>
  <c r="M2558" i="2"/>
  <c r="H2558" i="2"/>
  <c r="Q2557" i="2"/>
  <c r="M2557" i="2"/>
  <c r="H2557" i="2"/>
  <c r="Q2556" i="2"/>
  <c r="M2556" i="2"/>
  <c r="H2556" i="2"/>
  <c r="Q2555" i="2"/>
  <c r="M2555" i="2"/>
  <c r="H2555" i="2"/>
  <c r="Q2554" i="2"/>
  <c r="M2554" i="2"/>
  <c r="H2554" i="2"/>
  <c r="Q2553" i="2"/>
  <c r="M2553" i="2"/>
  <c r="H2553" i="2"/>
  <c r="Q2552" i="2"/>
  <c r="M2552" i="2"/>
  <c r="H2552" i="2"/>
  <c r="Q2551" i="2"/>
  <c r="M2551" i="2"/>
  <c r="H2551" i="2"/>
  <c r="Q2550" i="2"/>
  <c r="M2550" i="2"/>
  <c r="H2550" i="2"/>
  <c r="Q2549" i="2"/>
  <c r="M2549" i="2"/>
  <c r="H2549" i="2"/>
  <c r="Q2548" i="2"/>
  <c r="M2548" i="2"/>
  <c r="H2548" i="2"/>
  <c r="Q2547" i="2"/>
  <c r="M2547" i="2"/>
  <c r="H2547" i="2"/>
  <c r="Q2546" i="2"/>
  <c r="M2546" i="2"/>
  <c r="H2546" i="2"/>
  <c r="Q2545" i="2"/>
  <c r="M2545" i="2"/>
  <c r="H2545" i="2"/>
  <c r="Q2544" i="2"/>
  <c r="M2544" i="2"/>
  <c r="H2544" i="2"/>
  <c r="Q2543" i="2"/>
  <c r="M2543" i="2"/>
  <c r="H2543" i="2"/>
  <c r="Q2542" i="2"/>
  <c r="M2542" i="2"/>
  <c r="H2542" i="2"/>
  <c r="Q2541" i="2"/>
  <c r="M2541" i="2"/>
  <c r="H2541" i="2"/>
  <c r="Q2540" i="2"/>
  <c r="M2540" i="2"/>
  <c r="H2540" i="2"/>
  <c r="Q2539" i="2"/>
  <c r="M2539" i="2"/>
  <c r="H2539" i="2"/>
  <c r="Q2538" i="2"/>
  <c r="M2538" i="2"/>
  <c r="H2538" i="2"/>
  <c r="Q2537" i="2"/>
  <c r="M2537" i="2"/>
  <c r="H2537" i="2"/>
  <c r="Q2536" i="2"/>
  <c r="M2536" i="2"/>
  <c r="H2536" i="2"/>
  <c r="Q2535" i="2"/>
  <c r="M2535" i="2"/>
  <c r="H2535" i="2"/>
  <c r="Q2534" i="2"/>
  <c r="M2534" i="2"/>
  <c r="H2534" i="2"/>
  <c r="Q2533" i="2"/>
  <c r="M2533" i="2"/>
  <c r="H2533" i="2"/>
  <c r="Q2532" i="2"/>
  <c r="M2532" i="2"/>
  <c r="H2532" i="2"/>
  <c r="Q2531" i="2"/>
  <c r="M2531" i="2"/>
  <c r="H2531" i="2"/>
  <c r="Q2530" i="2"/>
  <c r="M2530" i="2"/>
  <c r="H2530" i="2"/>
  <c r="Q2529" i="2"/>
  <c r="M2529" i="2"/>
  <c r="H2529" i="2"/>
  <c r="Q2528" i="2"/>
  <c r="M2528" i="2"/>
  <c r="H2528" i="2"/>
  <c r="Q2527" i="2"/>
  <c r="M2527" i="2"/>
  <c r="H2527" i="2"/>
  <c r="Q2526" i="2"/>
  <c r="M2526" i="2"/>
  <c r="H2526" i="2"/>
  <c r="Q2525" i="2"/>
  <c r="M2525" i="2"/>
  <c r="H2525" i="2"/>
  <c r="Q2524" i="2"/>
  <c r="M2524" i="2"/>
  <c r="H2524" i="2"/>
  <c r="Q2523" i="2"/>
  <c r="M2523" i="2"/>
  <c r="H2523" i="2"/>
  <c r="Q2522" i="2"/>
  <c r="M2522" i="2"/>
  <c r="H2522" i="2"/>
  <c r="Q2521" i="2"/>
  <c r="M2521" i="2"/>
  <c r="H2521" i="2"/>
  <c r="Q2520" i="2"/>
  <c r="M2520" i="2"/>
  <c r="H2520" i="2"/>
  <c r="Q2519" i="2"/>
  <c r="M2519" i="2"/>
  <c r="H2519" i="2"/>
  <c r="Q2518" i="2"/>
  <c r="M2518" i="2"/>
  <c r="H2518" i="2"/>
  <c r="Q2517" i="2"/>
  <c r="M2517" i="2"/>
  <c r="H2517" i="2"/>
  <c r="Q2516" i="2"/>
  <c r="M2516" i="2"/>
  <c r="H2516" i="2"/>
  <c r="Q2515" i="2"/>
  <c r="M2515" i="2"/>
  <c r="H2515" i="2"/>
  <c r="Q2514" i="2"/>
  <c r="M2514" i="2"/>
  <c r="H2514" i="2"/>
  <c r="Q2513" i="2"/>
  <c r="M2513" i="2"/>
  <c r="H2513" i="2"/>
  <c r="Q2512" i="2"/>
  <c r="M2512" i="2"/>
  <c r="H2512" i="2"/>
  <c r="Q2511" i="2"/>
  <c r="M2511" i="2"/>
  <c r="H2511" i="2"/>
  <c r="Q2510" i="2"/>
  <c r="M2510" i="2"/>
  <c r="H2510" i="2"/>
  <c r="Q2509" i="2"/>
  <c r="M2509" i="2"/>
  <c r="H2509" i="2"/>
  <c r="Q2508" i="2"/>
  <c r="M2508" i="2"/>
  <c r="H2508" i="2"/>
  <c r="Q2507" i="2"/>
  <c r="M2507" i="2"/>
  <c r="H2507" i="2"/>
  <c r="Q2506" i="2"/>
  <c r="M2506" i="2"/>
  <c r="H2506" i="2"/>
  <c r="Q2505" i="2"/>
  <c r="M2505" i="2"/>
  <c r="H2505" i="2"/>
  <c r="Q2504" i="2"/>
  <c r="M2504" i="2"/>
  <c r="H2504" i="2"/>
  <c r="Q2503" i="2"/>
  <c r="M2503" i="2"/>
  <c r="H2503" i="2"/>
  <c r="Q2502" i="2"/>
  <c r="M2502" i="2"/>
  <c r="H2502" i="2"/>
  <c r="Q2501" i="2"/>
  <c r="M2501" i="2"/>
  <c r="H2501" i="2"/>
  <c r="Q2500" i="2"/>
  <c r="M2500" i="2"/>
  <c r="H2500" i="2"/>
  <c r="Q2499" i="2"/>
  <c r="M2499" i="2"/>
  <c r="H2499" i="2"/>
  <c r="Q2498" i="2"/>
  <c r="M2498" i="2"/>
  <c r="H2498" i="2"/>
  <c r="Q2497" i="2"/>
  <c r="M2497" i="2"/>
  <c r="H2497" i="2"/>
  <c r="Q2496" i="2"/>
  <c r="M2496" i="2"/>
  <c r="H2496" i="2"/>
  <c r="Q2495" i="2"/>
  <c r="M2495" i="2"/>
  <c r="H2495" i="2"/>
  <c r="Q2494" i="2"/>
  <c r="M2494" i="2"/>
  <c r="H2494" i="2"/>
  <c r="Q2493" i="2"/>
  <c r="M2493" i="2"/>
  <c r="H2493" i="2"/>
  <c r="Q2492" i="2"/>
  <c r="M2492" i="2"/>
  <c r="H2492" i="2"/>
  <c r="Q2491" i="2"/>
  <c r="M2491" i="2"/>
  <c r="H2491" i="2"/>
  <c r="Q2490" i="2"/>
  <c r="M2490" i="2"/>
  <c r="H2490" i="2"/>
  <c r="Q2489" i="2"/>
  <c r="M2489" i="2"/>
  <c r="H2489" i="2"/>
  <c r="Q2488" i="2"/>
  <c r="M2488" i="2"/>
  <c r="H2488" i="2"/>
  <c r="Q2487" i="2"/>
  <c r="M2487" i="2"/>
  <c r="H2487" i="2"/>
  <c r="Q2486" i="2"/>
  <c r="M2486" i="2"/>
  <c r="H2486" i="2"/>
  <c r="Q2485" i="2"/>
  <c r="M2485" i="2"/>
  <c r="H2485" i="2"/>
  <c r="Q2484" i="2"/>
  <c r="M2484" i="2"/>
  <c r="H2484" i="2"/>
  <c r="Q2483" i="2"/>
  <c r="M2483" i="2"/>
  <c r="H2483" i="2"/>
  <c r="Q2482" i="2"/>
  <c r="M2482" i="2"/>
  <c r="H2482" i="2"/>
  <c r="Q2481" i="2"/>
  <c r="M2481" i="2"/>
  <c r="H2481" i="2"/>
  <c r="Q2480" i="2"/>
  <c r="M2480" i="2"/>
  <c r="H2480" i="2"/>
  <c r="Q2479" i="2"/>
  <c r="M2479" i="2"/>
  <c r="H2479" i="2"/>
  <c r="Q2478" i="2"/>
  <c r="M2478" i="2"/>
  <c r="H2478" i="2"/>
  <c r="Q2477" i="2"/>
  <c r="M2477" i="2"/>
  <c r="H2477" i="2"/>
  <c r="Q2476" i="2"/>
  <c r="M2476" i="2"/>
  <c r="H2476" i="2"/>
  <c r="Q2475" i="2"/>
  <c r="M2475" i="2"/>
  <c r="H2475" i="2"/>
  <c r="Q2474" i="2"/>
  <c r="M2474" i="2"/>
  <c r="H2474" i="2"/>
  <c r="Q2473" i="2"/>
  <c r="M2473" i="2"/>
  <c r="H2473" i="2"/>
  <c r="Q2472" i="2"/>
  <c r="M2472" i="2"/>
  <c r="H2472" i="2"/>
  <c r="Q2471" i="2"/>
  <c r="M2471" i="2"/>
  <c r="H2471" i="2"/>
  <c r="Q2470" i="2"/>
  <c r="M2470" i="2"/>
  <c r="H2470" i="2"/>
  <c r="Q2469" i="2"/>
  <c r="M2469" i="2"/>
  <c r="H2469" i="2"/>
  <c r="Q2468" i="2"/>
  <c r="M2468" i="2"/>
  <c r="H2468" i="2"/>
  <c r="Q2467" i="2"/>
  <c r="M2467" i="2"/>
  <c r="H2467" i="2"/>
  <c r="Q2466" i="2"/>
  <c r="M2466" i="2"/>
  <c r="H2466" i="2"/>
  <c r="Q2465" i="2"/>
  <c r="M2465" i="2"/>
  <c r="H2465" i="2"/>
  <c r="Q2464" i="2"/>
  <c r="M2464" i="2"/>
  <c r="H2464" i="2"/>
  <c r="Q2463" i="2"/>
  <c r="M2463" i="2"/>
  <c r="H2463" i="2"/>
  <c r="Q2462" i="2"/>
  <c r="M2462" i="2"/>
  <c r="H2462" i="2"/>
  <c r="Q2461" i="2"/>
  <c r="M2461" i="2"/>
  <c r="H2461" i="2"/>
  <c r="Q2460" i="2"/>
  <c r="M2460" i="2"/>
  <c r="H2460" i="2"/>
  <c r="Q2459" i="2"/>
  <c r="M2459" i="2"/>
  <c r="H2459" i="2"/>
  <c r="Q2458" i="2"/>
  <c r="M2458" i="2"/>
  <c r="H2458" i="2"/>
  <c r="Q2457" i="2"/>
  <c r="M2457" i="2"/>
  <c r="H2457" i="2"/>
  <c r="Q2456" i="2"/>
  <c r="M2456" i="2"/>
  <c r="H2456" i="2"/>
  <c r="Q2455" i="2"/>
  <c r="M2455" i="2"/>
  <c r="H2455" i="2"/>
  <c r="Q2454" i="2"/>
  <c r="M2454" i="2"/>
  <c r="H2454" i="2"/>
  <c r="Q2453" i="2"/>
  <c r="M2453" i="2"/>
  <c r="H2453" i="2"/>
  <c r="Q2452" i="2"/>
  <c r="M2452" i="2"/>
  <c r="H2452" i="2"/>
  <c r="Q2451" i="2"/>
  <c r="M2451" i="2"/>
  <c r="H2451" i="2"/>
  <c r="Q2450" i="2"/>
  <c r="M2450" i="2"/>
  <c r="H2450" i="2"/>
  <c r="Q2449" i="2"/>
  <c r="M2449" i="2"/>
  <c r="H2449" i="2"/>
  <c r="Q2448" i="2"/>
  <c r="M2448" i="2"/>
  <c r="H2448" i="2"/>
  <c r="Q2447" i="2"/>
  <c r="M2447" i="2"/>
  <c r="H2447" i="2"/>
  <c r="Q2446" i="2"/>
  <c r="M2446" i="2"/>
  <c r="H2446" i="2"/>
  <c r="Q2445" i="2"/>
  <c r="M2445" i="2"/>
  <c r="H2445" i="2"/>
  <c r="Q2444" i="2"/>
  <c r="M2444" i="2"/>
  <c r="H2444" i="2"/>
  <c r="Q2443" i="2"/>
  <c r="M2443" i="2"/>
  <c r="H2443" i="2"/>
  <c r="Q2442" i="2"/>
  <c r="M2442" i="2"/>
  <c r="H2442" i="2"/>
  <c r="Q2441" i="2"/>
  <c r="M2441" i="2"/>
  <c r="H2441" i="2"/>
  <c r="Q2440" i="2"/>
  <c r="M2440" i="2"/>
  <c r="H2440" i="2"/>
  <c r="Q2439" i="2"/>
  <c r="M2439" i="2"/>
  <c r="H2439" i="2"/>
  <c r="Q2438" i="2"/>
  <c r="M2438" i="2"/>
  <c r="H2438" i="2"/>
  <c r="Q2437" i="2"/>
  <c r="M2437" i="2"/>
  <c r="H2437" i="2"/>
  <c r="Q2436" i="2"/>
  <c r="M2436" i="2"/>
  <c r="H2436" i="2"/>
  <c r="Q2435" i="2"/>
  <c r="M2435" i="2"/>
  <c r="H2435" i="2"/>
  <c r="Q2434" i="2"/>
  <c r="M2434" i="2"/>
  <c r="H2434" i="2"/>
  <c r="Q2433" i="2"/>
  <c r="M2433" i="2"/>
  <c r="H2433" i="2"/>
  <c r="Q2432" i="2"/>
  <c r="M2432" i="2"/>
  <c r="H2432" i="2"/>
  <c r="Q2431" i="2"/>
  <c r="M2431" i="2"/>
  <c r="H2431" i="2"/>
  <c r="Q2430" i="2"/>
  <c r="M2430" i="2"/>
  <c r="H2430" i="2"/>
  <c r="Q2429" i="2"/>
  <c r="M2429" i="2"/>
  <c r="H2429" i="2"/>
  <c r="Q2428" i="2"/>
  <c r="M2428" i="2"/>
  <c r="H2428" i="2"/>
  <c r="Q2427" i="2"/>
  <c r="M2427" i="2"/>
  <c r="H2427" i="2"/>
  <c r="Q2426" i="2"/>
  <c r="M2426" i="2"/>
  <c r="H2426" i="2"/>
  <c r="Q2425" i="2"/>
  <c r="M2425" i="2"/>
  <c r="H2425" i="2"/>
  <c r="Q2424" i="2"/>
  <c r="M2424" i="2"/>
  <c r="H2424" i="2"/>
  <c r="Q2423" i="2"/>
  <c r="M2423" i="2"/>
  <c r="H2423" i="2"/>
  <c r="Q2422" i="2"/>
  <c r="M2422" i="2"/>
  <c r="H2422" i="2"/>
  <c r="Q2421" i="2"/>
  <c r="M2421" i="2"/>
  <c r="H2421" i="2"/>
  <c r="Q2420" i="2"/>
  <c r="M2420" i="2"/>
  <c r="H2420" i="2"/>
  <c r="Q2419" i="2"/>
  <c r="M2419" i="2"/>
  <c r="H2419" i="2"/>
  <c r="Q2418" i="2"/>
  <c r="M2418" i="2"/>
  <c r="H2418" i="2"/>
  <c r="Q2417" i="2"/>
  <c r="M2417" i="2"/>
  <c r="H2417" i="2"/>
  <c r="Q2416" i="2"/>
  <c r="M2416" i="2"/>
  <c r="H2416" i="2"/>
  <c r="Q2415" i="2"/>
  <c r="M2415" i="2"/>
  <c r="H2415" i="2"/>
  <c r="Q2414" i="2"/>
  <c r="M2414" i="2"/>
  <c r="H2414" i="2"/>
  <c r="Q2413" i="2"/>
  <c r="M2413" i="2"/>
  <c r="H2413" i="2"/>
  <c r="Q2412" i="2"/>
  <c r="M2412" i="2"/>
  <c r="H2412" i="2"/>
  <c r="Q2411" i="2"/>
  <c r="M2411" i="2"/>
  <c r="H2411" i="2"/>
  <c r="Q2410" i="2"/>
  <c r="M2410" i="2"/>
  <c r="H2410" i="2"/>
  <c r="Q2409" i="2"/>
  <c r="M2409" i="2"/>
  <c r="H2409" i="2"/>
  <c r="Q2408" i="2"/>
  <c r="M2408" i="2"/>
  <c r="H2408" i="2"/>
  <c r="Q2407" i="2"/>
  <c r="M2407" i="2"/>
  <c r="H2407" i="2"/>
  <c r="Q2406" i="2"/>
  <c r="M2406" i="2"/>
  <c r="H2406" i="2"/>
  <c r="Q2405" i="2"/>
  <c r="M2405" i="2"/>
  <c r="H2405" i="2"/>
  <c r="Q2404" i="2"/>
  <c r="M2404" i="2"/>
  <c r="H2404" i="2"/>
  <c r="Q2403" i="2"/>
  <c r="M2403" i="2"/>
  <c r="H2403" i="2"/>
  <c r="Q2402" i="2"/>
  <c r="M2402" i="2"/>
  <c r="H2402" i="2"/>
  <c r="Q2401" i="2"/>
  <c r="M2401" i="2"/>
  <c r="H2401" i="2"/>
  <c r="Q2400" i="2"/>
  <c r="M2400" i="2"/>
  <c r="H2400" i="2"/>
  <c r="Q2399" i="2"/>
  <c r="M2399" i="2"/>
  <c r="H2399" i="2"/>
  <c r="Q2398" i="2"/>
  <c r="M2398" i="2"/>
  <c r="H2398" i="2"/>
  <c r="Q2397" i="2"/>
  <c r="M2397" i="2"/>
  <c r="H2397" i="2"/>
  <c r="Q2396" i="2"/>
  <c r="M2396" i="2"/>
  <c r="H2396" i="2"/>
  <c r="Q2395" i="2"/>
  <c r="M2395" i="2"/>
  <c r="H2395" i="2"/>
  <c r="Q2394" i="2"/>
  <c r="M2394" i="2"/>
  <c r="H2394" i="2"/>
  <c r="Q2393" i="2"/>
  <c r="M2393" i="2"/>
  <c r="H2393" i="2"/>
  <c r="Q2392" i="2"/>
  <c r="M2392" i="2"/>
  <c r="H2392" i="2"/>
  <c r="Q2391" i="2"/>
  <c r="M2391" i="2"/>
  <c r="H2391" i="2"/>
  <c r="Q2390" i="2"/>
  <c r="M2390" i="2"/>
  <c r="H2390" i="2"/>
  <c r="Q2389" i="2"/>
  <c r="M2389" i="2"/>
  <c r="H2389" i="2"/>
  <c r="Q2388" i="2"/>
  <c r="M2388" i="2"/>
  <c r="H2388" i="2"/>
  <c r="Q2387" i="2"/>
  <c r="M2387" i="2"/>
  <c r="H2387" i="2"/>
  <c r="Q2386" i="2"/>
  <c r="M2386" i="2"/>
  <c r="H2386" i="2"/>
  <c r="Q2385" i="2"/>
  <c r="M2385" i="2"/>
  <c r="H2385" i="2"/>
  <c r="Q2384" i="2"/>
  <c r="M2384" i="2"/>
  <c r="H2384" i="2"/>
  <c r="Q2383" i="2"/>
  <c r="M2383" i="2"/>
  <c r="H2383" i="2"/>
  <c r="Q2382" i="2"/>
  <c r="M2382" i="2"/>
  <c r="H2382" i="2"/>
  <c r="Q2381" i="2"/>
  <c r="M2381" i="2"/>
  <c r="H2381" i="2"/>
  <c r="Q2380" i="2"/>
  <c r="M2380" i="2"/>
  <c r="H2380" i="2"/>
  <c r="Q2379" i="2"/>
  <c r="M2379" i="2"/>
  <c r="H2379" i="2"/>
  <c r="Q2378" i="2"/>
  <c r="M2378" i="2"/>
  <c r="H2378" i="2"/>
  <c r="Q2377" i="2"/>
  <c r="M2377" i="2"/>
  <c r="H2377" i="2"/>
  <c r="Q2376" i="2"/>
  <c r="M2376" i="2"/>
  <c r="H2376" i="2"/>
  <c r="Q2375" i="2"/>
  <c r="M2375" i="2"/>
  <c r="H2375" i="2"/>
  <c r="Q2374" i="2"/>
  <c r="M2374" i="2"/>
  <c r="H2374" i="2"/>
  <c r="Q2373" i="2"/>
  <c r="M2373" i="2"/>
  <c r="H2373" i="2"/>
  <c r="Q2372" i="2"/>
  <c r="M2372" i="2"/>
  <c r="H2372" i="2"/>
  <c r="Q2371" i="2"/>
  <c r="M2371" i="2"/>
  <c r="H2371" i="2"/>
  <c r="Q2370" i="2"/>
  <c r="M2370" i="2"/>
  <c r="H2370" i="2"/>
  <c r="Q2369" i="2"/>
  <c r="M2369" i="2"/>
  <c r="H2369" i="2"/>
  <c r="Q2368" i="2"/>
  <c r="M2368" i="2"/>
  <c r="H2368" i="2"/>
  <c r="Q2367" i="2"/>
  <c r="M2367" i="2"/>
  <c r="H2367" i="2"/>
  <c r="Q2366" i="2"/>
  <c r="M2366" i="2"/>
  <c r="H2366" i="2"/>
  <c r="Q2365" i="2"/>
  <c r="M2365" i="2"/>
  <c r="H2365" i="2"/>
  <c r="Q2364" i="2"/>
  <c r="M2364" i="2"/>
  <c r="H2364" i="2"/>
  <c r="Q2363" i="2"/>
  <c r="M2363" i="2"/>
  <c r="H2363" i="2"/>
  <c r="Q2362" i="2"/>
  <c r="M2362" i="2"/>
  <c r="H2362" i="2"/>
  <c r="Q2361" i="2"/>
  <c r="M2361" i="2"/>
  <c r="H2361" i="2"/>
  <c r="Q2360" i="2"/>
  <c r="M2360" i="2"/>
  <c r="H2360" i="2"/>
  <c r="Q2359" i="2"/>
  <c r="M2359" i="2"/>
  <c r="H2359" i="2"/>
  <c r="Q2358" i="2"/>
  <c r="M2358" i="2"/>
  <c r="H2358" i="2"/>
  <c r="Q2357" i="2"/>
  <c r="M2357" i="2"/>
  <c r="H2357" i="2"/>
  <c r="Q2356" i="2"/>
  <c r="M2356" i="2"/>
  <c r="H2356" i="2"/>
  <c r="Q2355" i="2"/>
  <c r="M2355" i="2"/>
  <c r="H2355" i="2"/>
  <c r="Q2354" i="2"/>
  <c r="M2354" i="2"/>
  <c r="H2354" i="2"/>
  <c r="Q2353" i="2"/>
  <c r="M2353" i="2"/>
  <c r="H2353" i="2"/>
  <c r="Q2352" i="2"/>
  <c r="M2352" i="2"/>
  <c r="H2352" i="2"/>
  <c r="Q2351" i="2"/>
  <c r="M2351" i="2"/>
  <c r="H2351" i="2"/>
  <c r="Q2350" i="2"/>
  <c r="M2350" i="2"/>
  <c r="H2350" i="2"/>
  <c r="Q2349" i="2"/>
  <c r="M2349" i="2"/>
  <c r="H2349" i="2"/>
  <c r="Q2348" i="2"/>
  <c r="M2348" i="2"/>
  <c r="H2348" i="2"/>
  <c r="Q2347" i="2"/>
  <c r="M2347" i="2"/>
  <c r="H2347" i="2"/>
  <c r="Q2346" i="2"/>
  <c r="M2346" i="2"/>
  <c r="H2346" i="2"/>
  <c r="Q2345" i="2"/>
  <c r="M2345" i="2"/>
  <c r="H2345" i="2"/>
  <c r="Q2344" i="2"/>
  <c r="M2344" i="2"/>
  <c r="H2344" i="2"/>
  <c r="Q2343" i="2"/>
  <c r="M2343" i="2"/>
  <c r="H2343" i="2"/>
  <c r="Q2342" i="2"/>
  <c r="M2342" i="2"/>
  <c r="H2342" i="2"/>
  <c r="Q2341" i="2"/>
  <c r="M2341" i="2"/>
  <c r="H2341" i="2"/>
  <c r="Q2340" i="2"/>
  <c r="M2340" i="2"/>
  <c r="H2340" i="2"/>
  <c r="Q2339" i="2"/>
  <c r="M2339" i="2"/>
  <c r="H2339" i="2"/>
  <c r="Q2338" i="2"/>
  <c r="M2338" i="2"/>
  <c r="H2338" i="2"/>
  <c r="Q2337" i="2"/>
  <c r="M2337" i="2"/>
  <c r="H2337" i="2"/>
  <c r="Q2336" i="2"/>
  <c r="M2336" i="2"/>
  <c r="H2336" i="2"/>
  <c r="Q2335" i="2"/>
  <c r="M2335" i="2"/>
  <c r="H2335" i="2"/>
  <c r="Q2334" i="2"/>
  <c r="M2334" i="2"/>
  <c r="H2334" i="2"/>
  <c r="Q2333" i="2"/>
  <c r="M2333" i="2"/>
  <c r="H2333" i="2"/>
  <c r="Q2332" i="2"/>
  <c r="M2332" i="2"/>
  <c r="H2332" i="2"/>
  <c r="Q2331" i="2"/>
  <c r="M2331" i="2"/>
  <c r="H2331" i="2"/>
  <c r="Q2330" i="2"/>
  <c r="M2330" i="2"/>
  <c r="H2330" i="2"/>
  <c r="Q2329" i="2"/>
  <c r="M2329" i="2"/>
  <c r="H2329" i="2"/>
  <c r="Q2328" i="2"/>
  <c r="M2328" i="2"/>
  <c r="H2328" i="2"/>
  <c r="Q2327" i="2"/>
  <c r="M2327" i="2"/>
  <c r="H2327" i="2"/>
  <c r="Q2326" i="2"/>
  <c r="M2326" i="2"/>
  <c r="H2326" i="2"/>
  <c r="Q2325" i="2"/>
  <c r="M2325" i="2"/>
  <c r="H2325" i="2"/>
  <c r="Q2324" i="2"/>
  <c r="M2324" i="2"/>
  <c r="H2324" i="2"/>
  <c r="Q2323" i="2"/>
  <c r="M2323" i="2"/>
  <c r="H2323" i="2"/>
  <c r="Q2322" i="2"/>
  <c r="M2322" i="2"/>
  <c r="H2322" i="2"/>
  <c r="Q2321" i="2"/>
  <c r="M2321" i="2"/>
  <c r="H2321" i="2"/>
  <c r="Q2320" i="2"/>
  <c r="M2320" i="2"/>
  <c r="H2320" i="2"/>
  <c r="Q2319" i="2"/>
  <c r="M2319" i="2"/>
  <c r="H2319" i="2"/>
  <c r="Q2318" i="2"/>
  <c r="M2318" i="2"/>
  <c r="H2318" i="2"/>
  <c r="Q2317" i="2"/>
  <c r="M2317" i="2"/>
  <c r="H2317" i="2"/>
  <c r="Q2316" i="2"/>
  <c r="M2316" i="2"/>
  <c r="H2316" i="2"/>
  <c r="Q2315" i="2"/>
  <c r="M2315" i="2"/>
  <c r="H2315" i="2"/>
  <c r="Q2314" i="2"/>
  <c r="M2314" i="2"/>
  <c r="H2314" i="2"/>
  <c r="Q2313" i="2"/>
  <c r="M2313" i="2"/>
  <c r="H2313" i="2"/>
  <c r="Q2312" i="2"/>
  <c r="M2312" i="2"/>
  <c r="H2312" i="2"/>
  <c r="Q2311" i="2"/>
  <c r="M2311" i="2"/>
  <c r="H2311" i="2"/>
  <c r="Q2310" i="2"/>
  <c r="M2310" i="2"/>
  <c r="H2310" i="2"/>
  <c r="Q2309" i="2"/>
  <c r="M2309" i="2"/>
  <c r="H2309" i="2"/>
  <c r="Q2308" i="2"/>
  <c r="M2308" i="2"/>
  <c r="H2308" i="2"/>
  <c r="Q2307" i="2"/>
  <c r="M2307" i="2"/>
  <c r="H2307" i="2"/>
  <c r="Q2306" i="2"/>
  <c r="M2306" i="2"/>
  <c r="H2306" i="2"/>
  <c r="Q2305" i="2"/>
  <c r="M2305" i="2"/>
  <c r="H2305" i="2"/>
  <c r="Q2304" i="2"/>
  <c r="M2304" i="2"/>
  <c r="H2304" i="2"/>
  <c r="Q2303" i="2"/>
  <c r="M2303" i="2"/>
  <c r="H2303" i="2"/>
  <c r="Q2302" i="2"/>
  <c r="M2302" i="2"/>
  <c r="H2302" i="2"/>
  <c r="Q2301" i="2"/>
  <c r="M2301" i="2"/>
  <c r="H2301" i="2"/>
  <c r="Q2300" i="2"/>
  <c r="M2300" i="2"/>
  <c r="H2300" i="2"/>
  <c r="Q2299" i="2"/>
  <c r="M2299" i="2"/>
  <c r="H2299" i="2"/>
  <c r="Q2298" i="2"/>
  <c r="M2298" i="2"/>
  <c r="H2298" i="2"/>
  <c r="Q2297" i="2"/>
  <c r="M2297" i="2"/>
  <c r="H2297" i="2"/>
  <c r="Q2296" i="2"/>
  <c r="M2296" i="2"/>
  <c r="H2296" i="2"/>
  <c r="Q2295" i="2"/>
  <c r="M2295" i="2"/>
  <c r="H2295" i="2"/>
  <c r="Q2294" i="2"/>
  <c r="M2294" i="2"/>
  <c r="H2294" i="2"/>
  <c r="Q2293" i="2"/>
  <c r="M2293" i="2"/>
  <c r="H2293" i="2"/>
  <c r="Q2292" i="2"/>
  <c r="M2292" i="2"/>
  <c r="H2292" i="2"/>
  <c r="Q2291" i="2"/>
  <c r="M2291" i="2"/>
  <c r="H2291" i="2"/>
  <c r="Q2290" i="2"/>
  <c r="M2290" i="2"/>
  <c r="H2290" i="2"/>
  <c r="Q2289" i="2"/>
  <c r="M2289" i="2"/>
  <c r="H2289" i="2"/>
  <c r="Q2288" i="2"/>
  <c r="M2288" i="2"/>
  <c r="H2288" i="2"/>
  <c r="Q2287" i="2"/>
  <c r="M2287" i="2"/>
  <c r="H2287" i="2"/>
  <c r="Q2286" i="2"/>
  <c r="M2286" i="2"/>
  <c r="H2286" i="2"/>
  <c r="Q2285" i="2"/>
  <c r="M2285" i="2"/>
  <c r="H2285" i="2"/>
  <c r="Q2284" i="2"/>
  <c r="M2284" i="2"/>
  <c r="H2284" i="2"/>
  <c r="Q2283" i="2"/>
  <c r="M2283" i="2"/>
  <c r="H2283" i="2"/>
  <c r="Q2282" i="2"/>
  <c r="M2282" i="2"/>
  <c r="H2282" i="2"/>
  <c r="Q2281" i="2"/>
  <c r="M2281" i="2"/>
  <c r="H2281" i="2"/>
  <c r="Q2280" i="2"/>
  <c r="M2280" i="2"/>
  <c r="H2280" i="2"/>
  <c r="Q2279" i="2"/>
  <c r="M2279" i="2"/>
  <c r="H2279" i="2"/>
  <c r="Q2278" i="2"/>
  <c r="M2278" i="2"/>
  <c r="H2278" i="2"/>
  <c r="Q2277" i="2"/>
  <c r="M2277" i="2"/>
  <c r="H2277" i="2"/>
  <c r="Q2276" i="2"/>
  <c r="M2276" i="2"/>
  <c r="H2276" i="2"/>
  <c r="Q2275" i="2"/>
  <c r="M2275" i="2"/>
  <c r="H2275" i="2"/>
  <c r="Q2274" i="2"/>
  <c r="M2274" i="2"/>
  <c r="H2274" i="2"/>
  <c r="Q2273" i="2"/>
  <c r="M2273" i="2"/>
  <c r="H2273" i="2"/>
  <c r="Q2272" i="2"/>
  <c r="M2272" i="2"/>
  <c r="H2272" i="2"/>
  <c r="Q2271" i="2"/>
  <c r="M2271" i="2"/>
  <c r="H2271" i="2"/>
  <c r="Q2270" i="2"/>
  <c r="M2270" i="2"/>
  <c r="H2270" i="2"/>
  <c r="Q2269" i="2"/>
  <c r="M2269" i="2"/>
  <c r="H2269" i="2"/>
  <c r="Q2268" i="2"/>
  <c r="M2268" i="2"/>
  <c r="H2268" i="2"/>
  <c r="Q2267" i="2"/>
  <c r="M2267" i="2"/>
  <c r="H2267" i="2"/>
  <c r="Q2266" i="2"/>
  <c r="M2266" i="2"/>
  <c r="H2266" i="2"/>
  <c r="Q2265" i="2"/>
  <c r="M2265" i="2"/>
  <c r="H2265" i="2"/>
  <c r="Q2264" i="2"/>
  <c r="M2264" i="2"/>
  <c r="H2264" i="2"/>
  <c r="Q2263" i="2"/>
  <c r="M2263" i="2"/>
  <c r="H2263" i="2"/>
  <c r="Q2262" i="2"/>
  <c r="M2262" i="2"/>
  <c r="H2262" i="2"/>
  <c r="Q2261" i="2"/>
  <c r="M2261" i="2"/>
  <c r="H2261" i="2"/>
  <c r="Q2260" i="2"/>
  <c r="M2260" i="2"/>
  <c r="H2260" i="2"/>
  <c r="Q2259" i="2"/>
  <c r="M2259" i="2"/>
  <c r="H2259" i="2"/>
  <c r="Q2258" i="2"/>
  <c r="M2258" i="2"/>
  <c r="H2258" i="2"/>
  <c r="Q2257" i="2"/>
  <c r="M2257" i="2"/>
  <c r="H2257" i="2"/>
  <c r="Q2256" i="2"/>
  <c r="M2256" i="2"/>
  <c r="H2256" i="2"/>
  <c r="Q2255" i="2"/>
  <c r="M2255" i="2"/>
  <c r="H2255" i="2"/>
  <c r="Q2254" i="2"/>
  <c r="M2254" i="2"/>
  <c r="H2254" i="2"/>
  <c r="Q2253" i="2"/>
  <c r="M2253" i="2"/>
  <c r="H2253" i="2"/>
  <c r="Q2252" i="2"/>
  <c r="M2252" i="2"/>
  <c r="H2252" i="2"/>
  <c r="Q2251" i="2"/>
  <c r="M2251" i="2"/>
  <c r="H2251" i="2"/>
  <c r="Q2250" i="2"/>
  <c r="M2250" i="2"/>
  <c r="H2250" i="2"/>
  <c r="Q2249" i="2"/>
  <c r="M2249" i="2"/>
  <c r="H2249" i="2"/>
  <c r="Q2248" i="2"/>
  <c r="M2248" i="2"/>
  <c r="H2248" i="2"/>
  <c r="Q2247" i="2"/>
  <c r="M2247" i="2"/>
  <c r="H2247" i="2"/>
  <c r="Q2246" i="2"/>
  <c r="M2246" i="2"/>
  <c r="H2246" i="2"/>
  <c r="Q2245" i="2"/>
  <c r="M2245" i="2"/>
  <c r="H2245" i="2"/>
  <c r="Q2244" i="2"/>
  <c r="M2244" i="2"/>
  <c r="H2244" i="2"/>
  <c r="Q2243" i="2"/>
  <c r="M2243" i="2"/>
  <c r="H2243" i="2"/>
  <c r="Q2242" i="2"/>
  <c r="M2242" i="2"/>
  <c r="H2242" i="2"/>
  <c r="Q2241" i="2"/>
  <c r="M2241" i="2"/>
  <c r="H2241" i="2"/>
  <c r="Q2240" i="2"/>
  <c r="M2240" i="2"/>
  <c r="H2240" i="2"/>
  <c r="Q2239" i="2"/>
  <c r="M2239" i="2"/>
  <c r="H2239" i="2"/>
  <c r="Q2238" i="2"/>
  <c r="M2238" i="2"/>
  <c r="H2238" i="2"/>
  <c r="Q2237" i="2"/>
  <c r="M2237" i="2"/>
  <c r="H2237" i="2"/>
  <c r="Q2236" i="2"/>
  <c r="M2236" i="2"/>
  <c r="H2236" i="2"/>
  <c r="Q2235" i="2"/>
  <c r="M2235" i="2"/>
  <c r="H2235" i="2"/>
  <c r="Q2234" i="2"/>
  <c r="M2234" i="2"/>
  <c r="H2234" i="2"/>
  <c r="Q2233" i="2"/>
  <c r="M2233" i="2"/>
  <c r="H2233" i="2"/>
  <c r="Q2232" i="2"/>
  <c r="M2232" i="2"/>
  <c r="H2232" i="2"/>
  <c r="Q2231" i="2"/>
  <c r="M2231" i="2"/>
  <c r="H2231" i="2"/>
  <c r="Q2230" i="2"/>
  <c r="M2230" i="2"/>
  <c r="H2230" i="2"/>
  <c r="Q2229" i="2"/>
  <c r="M2229" i="2"/>
  <c r="H2229" i="2"/>
  <c r="Q2228" i="2"/>
  <c r="M2228" i="2"/>
  <c r="H2228" i="2"/>
  <c r="Q2227" i="2"/>
  <c r="M2227" i="2"/>
  <c r="H2227" i="2"/>
  <c r="Q2226" i="2"/>
  <c r="M2226" i="2"/>
  <c r="H2226" i="2"/>
  <c r="Q2225" i="2"/>
  <c r="M2225" i="2"/>
  <c r="H2225" i="2"/>
  <c r="Q2224" i="2"/>
  <c r="M2224" i="2"/>
  <c r="H2224" i="2"/>
  <c r="Q2223" i="2"/>
  <c r="M2223" i="2"/>
  <c r="H2223" i="2"/>
  <c r="Q2222" i="2"/>
  <c r="M2222" i="2"/>
  <c r="H2222" i="2"/>
  <c r="Q2221" i="2"/>
  <c r="M2221" i="2"/>
  <c r="H2221" i="2"/>
  <c r="Q2220" i="2"/>
  <c r="M2220" i="2"/>
  <c r="H2220" i="2"/>
  <c r="Q2219" i="2"/>
  <c r="M2219" i="2"/>
  <c r="H2219" i="2"/>
  <c r="Q2218" i="2"/>
  <c r="M2218" i="2"/>
  <c r="H2218" i="2"/>
  <c r="Q2217" i="2"/>
  <c r="M2217" i="2"/>
  <c r="H2217" i="2"/>
  <c r="Q2216" i="2"/>
  <c r="M2216" i="2"/>
  <c r="H2216" i="2"/>
  <c r="Q2215" i="2"/>
  <c r="M2215" i="2"/>
  <c r="H2215" i="2"/>
  <c r="Q2214" i="2"/>
  <c r="M2214" i="2"/>
  <c r="H2214" i="2"/>
  <c r="Q2213" i="2"/>
  <c r="M2213" i="2"/>
  <c r="H2213" i="2"/>
  <c r="Q2212" i="2"/>
  <c r="M2212" i="2"/>
  <c r="H2212" i="2"/>
  <c r="Q2211" i="2"/>
  <c r="M2211" i="2"/>
  <c r="H2211" i="2"/>
  <c r="Q2210" i="2"/>
  <c r="M2210" i="2"/>
  <c r="H2210" i="2"/>
  <c r="Q2209" i="2"/>
  <c r="M2209" i="2"/>
  <c r="H2209" i="2"/>
  <c r="Q2208" i="2"/>
  <c r="M2208" i="2"/>
  <c r="H2208" i="2"/>
  <c r="Q2207" i="2"/>
  <c r="M2207" i="2"/>
  <c r="H2207" i="2"/>
  <c r="Q2206" i="2"/>
  <c r="M2206" i="2"/>
  <c r="H2206" i="2"/>
  <c r="Q2205" i="2"/>
  <c r="M2205" i="2"/>
  <c r="H2205" i="2"/>
  <c r="Q2204" i="2"/>
  <c r="M2204" i="2"/>
  <c r="H2204" i="2"/>
  <c r="Q2203" i="2"/>
  <c r="M2203" i="2"/>
  <c r="H2203" i="2"/>
  <c r="Q2202" i="2"/>
  <c r="M2202" i="2"/>
  <c r="H2202" i="2"/>
  <c r="Q2201" i="2"/>
  <c r="M2201" i="2"/>
  <c r="H2201" i="2"/>
  <c r="Q2200" i="2"/>
  <c r="M2200" i="2"/>
  <c r="H2200" i="2"/>
  <c r="Q2199" i="2"/>
  <c r="M2199" i="2"/>
  <c r="H2199" i="2"/>
  <c r="Q2198" i="2"/>
  <c r="M2198" i="2"/>
  <c r="H2198" i="2"/>
  <c r="Q2197" i="2"/>
  <c r="M2197" i="2"/>
  <c r="H2197" i="2"/>
  <c r="Q2196" i="2"/>
  <c r="M2196" i="2"/>
  <c r="H2196" i="2"/>
  <c r="Q2195" i="2"/>
  <c r="M2195" i="2"/>
  <c r="H2195" i="2"/>
  <c r="Q2194" i="2"/>
  <c r="M2194" i="2"/>
  <c r="H2194" i="2"/>
  <c r="Q2193" i="2"/>
  <c r="M2193" i="2"/>
  <c r="H2193" i="2"/>
  <c r="Q2192" i="2"/>
  <c r="M2192" i="2"/>
  <c r="H2192" i="2"/>
  <c r="Q2191" i="2"/>
  <c r="M2191" i="2"/>
  <c r="H2191" i="2"/>
  <c r="Q2190" i="2"/>
  <c r="M2190" i="2"/>
  <c r="H2190" i="2"/>
  <c r="Q2189" i="2"/>
  <c r="M2189" i="2"/>
  <c r="H2189" i="2"/>
  <c r="Q2188" i="2"/>
  <c r="M2188" i="2"/>
  <c r="H2188" i="2"/>
  <c r="Q2187" i="2"/>
  <c r="M2187" i="2"/>
  <c r="H2187" i="2"/>
  <c r="Q2186" i="2"/>
  <c r="M2186" i="2"/>
  <c r="H2186" i="2"/>
  <c r="Q2185" i="2"/>
  <c r="M2185" i="2"/>
  <c r="H2185" i="2"/>
  <c r="Q2184" i="2"/>
  <c r="M2184" i="2"/>
  <c r="H2184" i="2"/>
  <c r="Q2183" i="2"/>
  <c r="M2183" i="2"/>
  <c r="H2183" i="2"/>
  <c r="Q2182" i="2"/>
  <c r="M2182" i="2"/>
  <c r="H2182" i="2"/>
  <c r="Q2181" i="2"/>
  <c r="M2181" i="2"/>
  <c r="H2181" i="2"/>
  <c r="Q2180" i="2"/>
  <c r="M2180" i="2"/>
  <c r="H2180" i="2"/>
  <c r="Q2179" i="2"/>
  <c r="M2179" i="2"/>
  <c r="H2179" i="2"/>
  <c r="Q2178" i="2"/>
  <c r="M2178" i="2"/>
  <c r="H2178" i="2"/>
  <c r="Q2177" i="2"/>
  <c r="M2177" i="2"/>
  <c r="H2177" i="2"/>
  <c r="Q2176" i="2"/>
  <c r="M2176" i="2"/>
  <c r="H2176" i="2"/>
  <c r="Q2175" i="2"/>
  <c r="M2175" i="2"/>
  <c r="H2175" i="2"/>
  <c r="Q2174" i="2"/>
  <c r="M2174" i="2"/>
  <c r="H2174" i="2"/>
  <c r="Q2173" i="2"/>
  <c r="M2173" i="2"/>
  <c r="H2173" i="2"/>
  <c r="Q2172" i="2"/>
  <c r="M2172" i="2"/>
  <c r="H2172" i="2"/>
  <c r="Q2171" i="2"/>
  <c r="M2171" i="2"/>
  <c r="H2171" i="2"/>
  <c r="Q2170" i="2"/>
  <c r="M2170" i="2"/>
  <c r="H2170" i="2"/>
  <c r="Q2169" i="2"/>
  <c r="M2169" i="2"/>
  <c r="H2169" i="2"/>
  <c r="Q2168" i="2"/>
  <c r="M2168" i="2"/>
  <c r="H2168" i="2"/>
  <c r="Q2167" i="2"/>
  <c r="M2167" i="2"/>
  <c r="H2167" i="2"/>
  <c r="Q2166" i="2"/>
  <c r="M2166" i="2"/>
  <c r="H2166" i="2"/>
  <c r="Q2165" i="2"/>
  <c r="M2165" i="2"/>
  <c r="H2165" i="2"/>
  <c r="Q2164" i="2"/>
  <c r="M2164" i="2"/>
  <c r="H2164" i="2"/>
  <c r="Q2163" i="2"/>
  <c r="M2163" i="2"/>
  <c r="H2163" i="2"/>
  <c r="Q2162" i="2"/>
  <c r="M2162" i="2"/>
  <c r="H2162" i="2"/>
  <c r="Q2161" i="2"/>
  <c r="M2161" i="2"/>
  <c r="H2161" i="2"/>
  <c r="Q2160" i="2"/>
  <c r="M2160" i="2"/>
  <c r="H2160" i="2"/>
  <c r="Q2159" i="2"/>
  <c r="M2159" i="2"/>
  <c r="H2159" i="2"/>
  <c r="Q2158" i="2"/>
  <c r="M2158" i="2"/>
  <c r="H2158" i="2"/>
  <c r="Q2157" i="2"/>
  <c r="M2157" i="2"/>
  <c r="H2157" i="2"/>
  <c r="Q2156" i="2"/>
  <c r="M2156" i="2"/>
  <c r="H2156" i="2"/>
  <c r="Q2155" i="2"/>
  <c r="M2155" i="2"/>
  <c r="H2155" i="2"/>
  <c r="Q2154" i="2"/>
  <c r="M2154" i="2"/>
  <c r="H2154" i="2"/>
  <c r="Q2153" i="2"/>
  <c r="M2153" i="2"/>
  <c r="H2153" i="2"/>
  <c r="Q2152" i="2"/>
  <c r="M2152" i="2"/>
  <c r="H2152" i="2"/>
  <c r="Q2151" i="2"/>
  <c r="M2151" i="2"/>
  <c r="H2151" i="2"/>
  <c r="Q2150" i="2"/>
  <c r="M2150" i="2"/>
  <c r="H2150" i="2"/>
  <c r="Q2149" i="2"/>
  <c r="M2149" i="2"/>
  <c r="H2149" i="2"/>
  <c r="Q2148" i="2"/>
  <c r="M2148" i="2"/>
  <c r="H2148" i="2"/>
  <c r="Q2147" i="2"/>
  <c r="M2147" i="2"/>
  <c r="H2147" i="2"/>
  <c r="Q2146" i="2"/>
  <c r="M2146" i="2"/>
  <c r="H2146" i="2"/>
  <c r="Q2145" i="2"/>
  <c r="M2145" i="2"/>
  <c r="H2145" i="2"/>
  <c r="Q2144" i="2"/>
  <c r="M2144" i="2"/>
  <c r="H2144" i="2"/>
  <c r="Q2143" i="2"/>
  <c r="M2143" i="2"/>
  <c r="H2143" i="2"/>
  <c r="Q2142" i="2"/>
  <c r="M2142" i="2"/>
  <c r="H2142" i="2"/>
  <c r="Q2141" i="2"/>
  <c r="M2141" i="2"/>
  <c r="H2141" i="2"/>
  <c r="Q2140" i="2"/>
  <c r="M2140" i="2"/>
  <c r="H2140" i="2"/>
  <c r="Q2139" i="2"/>
  <c r="M2139" i="2"/>
  <c r="H2139" i="2"/>
  <c r="Q2138" i="2"/>
  <c r="M2138" i="2"/>
  <c r="H2138" i="2"/>
  <c r="Q2137" i="2"/>
  <c r="M2137" i="2"/>
  <c r="H2137" i="2"/>
  <c r="Q2136" i="2"/>
  <c r="M2136" i="2"/>
  <c r="H2136" i="2"/>
  <c r="Q2135" i="2"/>
  <c r="M2135" i="2"/>
  <c r="H2135" i="2"/>
  <c r="Q2134" i="2"/>
  <c r="M2134" i="2"/>
  <c r="H2134" i="2"/>
  <c r="Q2133" i="2"/>
  <c r="M2133" i="2"/>
  <c r="H2133" i="2"/>
  <c r="Q2132" i="2"/>
  <c r="M2132" i="2"/>
  <c r="H2132" i="2"/>
  <c r="Q2131" i="2"/>
  <c r="M2131" i="2"/>
  <c r="H2131" i="2"/>
  <c r="Q2130" i="2"/>
  <c r="M2130" i="2"/>
  <c r="H2130" i="2"/>
  <c r="Q2129" i="2"/>
  <c r="M2129" i="2"/>
  <c r="H2129" i="2"/>
  <c r="Q2128" i="2"/>
  <c r="M2128" i="2"/>
  <c r="H2128" i="2"/>
  <c r="Q2127" i="2"/>
  <c r="M2127" i="2"/>
  <c r="H2127" i="2"/>
  <c r="Q2126" i="2"/>
  <c r="M2126" i="2"/>
  <c r="H2126" i="2"/>
  <c r="Q2125" i="2"/>
  <c r="M2125" i="2"/>
  <c r="H2125" i="2"/>
  <c r="Q2124" i="2"/>
  <c r="M2124" i="2"/>
  <c r="H2124" i="2"/>
  <c r="Q2123" i="2"/>
  <c r="M2123" i="2"/>
  <c r="H2123" i="2"/>
  <c r="Q2122" i="2"/>
  <c r="M2122" i="2"/>
  <c r="H2122" i="2"/>
  <c r="Q2121" i="2"/>
  <c r="M2121" i="2"/>
  <c r="H2121" i="2"/>
  <c r="Q2120" i="2"/>
  <c r="M2120" i="2"/>
  <c r="H2120" i="2"/>
  <c r="Q2119" i="2"/>
  <c r="M2119" i="2"/>
  <c r="H2119" i="2"/>
  <c r="Q2118" i="2"/>
  <c r="M2118" i="2"/>
  <c r="H2118" i="2"/>
  <c r="Q2117" i="2"/>
  <c r="M2117" i="2"/>
  <c r="H2117" i="2"/>
  <c r="Q2116" i="2"/>
  <c r="M2116" i="2"/>
  <c r="H2116" i="2"/>
  <c r="Q2115" i="2"/>
  <c r="M2115" i="2"/>
  <c r="H2115" i="2"/>
  <c r="Q2114" i="2"/>
  <c r="M2114" i="2"/>
  <c r="H2114" i="2"/>
  <c r="Q2113" i="2"/>
  <c r="M2113" i="2"/>
  <c r="H2113" i="2"/>
  <c r="Q2112" i="2"/>
  <c r="M2112" i="2"/>
  <c r="H2112" i="2"/>
  <c r="Q2111" i="2"/>
  <c r="M2111" i="2"/>
  <c r="H2111" i="2"/>
  <c r="Q2110" i="2"/>
  <c r="M2110" i="2"/>
  <c r="H2110" i="2"/>
  <c r="Q2109" i="2"/>
  <c r="M2109" i="2"/>
  <c r="H2109" i="2"/>
  <c r="Q2108" i="2"/>
  <c r="M2108" i="2"/>
  <c r="H2108" i="2"/>
  <c r="Q2107" i="2"/>
  <c r="M2107" i="2"/>
  <c r="H2107" i="2"/>
  <c r="Q2106" i="2"/>
  <c r="M2106" i="2"/>
  <c r="H2106" i="2"/>
  <c r="Q2105" i="2"/>
  <c r="M2105" i="2"/>
  <c r="H2105" i="2"/>
  <c r="Q2104" i="2"/>
  <c r="M2104" i="2"/>
  <c r="H2104" i="2"/>
  <c r="Q2103" i="2"/>
  <c r="M2103" i="2"/>
  <c r="H2103" i="2"/>
  <c r="Q2102" i="2"/>
  <c r="M2102" i="2"/>
  <c r="H2102" i="2"/>
  <c r="Q2101" i="2"/>
  <c r="M2101" i="2"/>
  <c r="H2101" i="2"/>
  <c r="Q2100" i="2"/>
  <c r="M2100" i="2"/>
  <c r="H2100" i="2"/>
  <c r="Q2099" i="2"/>
  <c r="M2099" i="2"/>
  <c r="H2099" i="2"/>
  <c r="Q2098" i="2"/>
  <c r="M2098" i="2"/>
  <c r="H2098" i="2"/>
  <c r="Q2097" i="2"/>
  <c r="M2097" i="2"/>
  <c r="H2097" i="2"/>
  <c r="Q2096" i="2"/>
  <c r="M2096" i="2"/>
  <c r="H2096" i="2"/>
  <c r="Q2095" i="2"/>
  <c r="M2095" i="2"/>
  <c r="H2095" i="2"/>
  <c r="Q2094" i="2"/>
  <c r="M2094" i="2"/>
  <c r="H2094" i="2"/>
  <c r="Q2093" i="2"/>
  <c r="M2093" i="2"/>
  <c r="H2093" i="2"/>
  <c r="Q2092" i="2"/>
  <c r="M2092" i="2"/>
  <c r="H2092" i="2"/>
  <c r="Q2091" i="2"/>
  <c r="M2091" i="2"/>
  <c r="H2091" i="2"/>
  <c r="Q2090" i="2"/>
  <c r="M2090" i="2"/>
  <c r="H2090" i="2"/>
  <c r="Q2089" i="2"/>
  <c r="M2089" i="2"/>
  <c r="H2089" i="2"/>
  <c r="Q2088" i="2"/>
  <c r="M2088" i="2"/>
  <c r="H2088" i="2"/>
  <c r="Q2087" i="2"/>
  <c r="M2087" i="2"/>
  <c r="H2087" i="2"/>
  <c r="Q2086" i="2"/>
  <c r="M2086" i="2"/>
  <c r="H2086" i="2"/>
  <c r="Q2085" i="2"/>
  <c r="M2085" i="2"/>
  <c r="H2085" i="2"/>
  <c r="Q2084" i="2"/>
  <c r="M2084" i="2"/>
  <c r="H2084" i="2"/>
  <c r="Q2083" i="2"/>
  <c r="M2083" i="2"/>
  <c r="H2083" i="2"/>
  <c r="Q2082" i="2"/>
  <c r="M2082" i="2"/>
  <c r="H2082" i="2"/>
  <c r="Q2081" i="2"/>
  <c r="M2081" i="2"/>
  <c r="H2081" i="2"/>
  <c r="Q2080" i="2"/>
  <c r="M2080" i="2"/>
  <c r="H2080" i="2"/>
  <c r="Q2079" i="2"/>
  <c r="M2079" i="2"/>
  <c r="H2079" i="2"/>
  <c r="Q2078" i="2"/>
  <c r="M2078" i="2"/>
  <c r="H2078" i="2"/>
  <c r="Q2077" i="2"/>
  <c r="M2077" i="2"/>
  <c r="H2077" i="2"/>
  <c r="Q2076" i="2"/>
  <c r="M2076" i="2"/>
  <c r="H2076" i="2"/>
  <c r="Q2075" i="2"/>
  <c r="M2075" i="2"/>
  <c r="H2075" i="2"/>
  <c r="Q2074" i="2"/>
  <c r="M2074" i="2"/>
  <c r="H2074" i="2"/>
  <c r="Q2073" i="2"/>
  <c r="M2073" i="2"/>
  <c r="H2073" i="2"/>
  <c r="Q2072" i="2"/>
  <c r="M2072" i="2"/>
  <c r="H2072" i="2"/>
  <c r="Q2071" i="2"/>
  <c r="M2071" i="2"/>
  <c r="H2071" i="2"/>
  <c r="Q2070" i="2"/>
  <c r="M2070" i="2"/>
  <c r="H2070" i="2"/>
  <c r="Q2069" i="2"/>
  <c r="M2069" i="2"/>
  <c r="H2069" i="2"/>
  <c r="Q2068" i="2"/>
  <c r="M2068" i="2"/>
  <c r="H2068" i="2"/>
  <c r="Q2067" i="2"/>
  <c r="M2067" i="2"/>
  <c r="H2067" i="2"/>
  <c r="Q2066" i="2"/>
  <c r="M2066" i="2"/>
  <c r="H2066" i="2"/>
  <c r="Q2065" i="2"/>
  <c r="M2065" i="2"/>
  <c r="H2065" i="2"/>
  <c r="Q2064" i="2"/>
  <c r="M2064" i="2"/>
  <c r="H2064" i="2"/>
  <c r="Q2063" i="2"/>
  <c r="M2063" i="2"/>
  <c r="H2063" i="2"/>
  <c r="Q2062" i="2"/>
  <c r="M2062" i="2"/>
  <c r="H2062" i="2"/>
  <c r="Q2061" i="2"/>
  <c r="M2061" i="2"/>
  <c r="H2061" i="2"/>
  <c r="Q2060" i="2"/>
  <c r="M2060" i="2"/>
  <c r="H2060" i="2"/>
  <c r="Q2059" i="2"/>
  <c r="M2059" i="2"/>
  <c r="H2059" i="2"/>
  <c r="Q2058" i="2"/>
  <c r="M2058" i="2"/>
  <c r="H2058" i="2"/>
  <c r="Q2057" i="2"/>
  <c r="M2057" i="2"/>
  <c r="H2057" i="2"/>
  <c r="Q2056" i="2"/>
  <c r="M2056" i="2"/>
  <c r="H2056" i="2"/>
  <c r="Q2055" i="2"/>
  <c r="M2055" i="2"/>
  <c r="H2055" i="2"/>
  <c r="Q2054" i="2"/>
  <c r="M2054" i="2"/>
  <c r="H2054" i="2"/>
  <c r="Q2053" i="2"/>
  <c r="M2053" i="2"/>
  <c r="H2053" i="2"/>
  <c r="Q2052" i="2"/>
  <c r="M2052" i="2"/>
  <c r="H2052" i="2"/>
  <c r="Q2051" i="2"/>
  <c r="M2051" i="2"/>
  <c r="H2051" i="2"/>
  <c r="Q2050" i="2"/>
  <c r="M2050" i="2"/>
  <c r="H2050" i="2"/>
  <c r="Q2049" i="2"/>
  <c r="M2049" i="2"/>
  <c r="H2049" i="2"/>
  <c r="Q2048" i="2"/>
  <c r="M2048" i="2"/>
  <c r="H2048" i="2"/>
  <c r="Q2047" i="2"/>
  <c r="M2047" i="2"/>
  <c r="H2047" i="2"/>
  <c r="Q2046" i="2"/>
  <c r="M2046" i="2"/>
  <c r="H2046" i="2"/>
  <c r="Q2045" i="2"/>
  <c r="M2045" i="2"/>
  <c r="H2045" i="2"/>
  <c r="Q2044" i="2"/>
  <c r="M2044" i="2"/>
  <c r="H2044" i="2"/>
  <c r="Q2043" i="2"/>
  <c r="M2043" i="2"/>
  <c r="H2043" i="2"/>
  <c r="Q2042" i="2"/>
  <c r="M2042" i="2"/>
  <c r="H2042" i="2"/>
  <c r="Q2041" i="2"/>
  <c r="M2041" i="2"/>
  <c r="H2041" i="2"/>
  <c r="Q2040" i="2"/>
  <c r="M2040" i="2"/>
  <c r="H2040" i="2"/>
  <c r="Q2039" i="2"/>
  <c r="M2039" i="2"/>
  <c r="H2039" i="2"/>
  <c r="Q2038" i="2"/>
  <c r="M2038" i="2"/>
  <c r="H2038" i="2"/>
  <c r="Q2037" i="2"/>
  <c r="M2037" i="2"/>
  <c r="H2037" i="2"/>
  <c r="Q2036" i="2"/>
  <c r="M2036" i="2"/>
  <c r="H2036" i="2"/>
  <c r="Q2035" i="2"/>
  <c r="M2035" i="2"/>
  <c r="H2035" i="2"/>
  <c r="Q2034" i="2"/>
  <c r="M2034" i="2"/>
  <c r="H2034" i="2"/>
  <c r="Q2033" i="2"/>
  <c r="M2033" i="2"/>
  <c r="H2033" i="2"/>
  <c r="Q2032" i="2"/>
  <c r="M2032" i="2"/>
  <c r="H2032" i="2"/>
  <c r="Q2031" i="2"/>
  <c r="M2031" i="2"/>
  <c r="H2031" i="2"/>
  <c r="Q2030" i="2"/>
  <c r="M2030" i="2"/>
  <c r="H2030" i="2"/>
  <c r="Q2029" i="2"/>
  <c r="M2029" i="2"/>
  <c r="H2029" i="2"/>
  <c r="Q2028" i="2"/>
  <c r="M2028" i="2"/>
  <c r="H2028" i="2"/>
  <c r="Q2027" i="2"/>
  <c r="M2027" i="2"/>
  <c r="H2027" i="2"/>
  <c r="Q2026" i="2"/>
  <c r="M2026" i="2"/>
  <c r="H2026" i="2"/>
  <c r="Q2025" i="2"/>
  <c r="M2025" i="2"/>
  <c r="H2025" i="2"/>
  <c r="Q2024" i="2"/>
  <c r="M2024" i="2"/>
  <c r="H2024" i="2"/>
  <c r="Q2023" i="2"/>
  <c r="M2023" i="2"/>
  <c r="H2023" i="2"/>
  <c r="Q2022" i="2"/>
  <c r="M2022" i="2"/>
  <c r="H2022" i="2"/>
  <c r="Q2021" i="2"/>
  <c r="M2021" i="2"/>
  <c r="H2021" i="2"/>
  <c r="Q2020" i="2"/>
  <c r="M2020" i="2"/>
  <c r="H2020" i="2"/>
  <c r="Q2019" i="2"/>
  <c r="M2019" i="2"/>
  <c r="H2019" i="2"/>
  <c r="Q2018" i="2"/>
  <c r="M2018" i="2"/>
  <c r="H2018" i="2"/>
  <c r="Q2017" i="2"/>
  <c r="M2017" i="2"/>
  <c r="H2017" i="2"/>
  <c r="Q2016" i="2"/>
  <c r="M2016" i="2"/>
  <c r="H2016" i="2"/>
  <c r="Q2015" i="2"/>
  <c r="M2015" i="2"/>
  <c r="H2015" i="2"/>
  <c r="Q2014" i="2"/>
  <c r="M2014" i="2"/>
  <c r="H2014" i="2"/>
  <c r="Q2013" i="2"/>
  <c r="M2013" i="2"/>
  <c r="H2013" i="2"/>
  <c r="Q2012" i="2"/>
  <c r="M2012" i="2"/>
  <c r="H2012" i="2"/>
  <c r="Q2011" i="2"/>
  <c r="M2011" i="2"/>
  <c r="H2011" i="2"/>
  <c r="Q2010" i="2"/>
  <c r="M2010" i="2"/>
  <c r="H2010" i="2"/>
  <c r="Q2009" i="2"/>
  <c r="M2009" i="2"/>
  <c r="H2009" i="2"/>
  <c r="Q2008" i="2"/>
  <c r="M2008" i="2"/>
  <c r="H2008" i="2"/>
  <c r="Q2007" i="2"/>
  <c r="M2007" i="2"/>
  <c r="H2007" i="2"/>
  <c r="Q2006" i="2"/>
  <c r="M2006" i="2"/>
  <c r="H2006" i="2"/>
  <c r="Q2005" i="2"/>
  <c r="M2005" i="2"/>
  <c r="H2005" i="2"/>
  <c r="Q2004" i="2"/>
  <c r="M2004" i="2"/>
  <c r="H2004" i="2"/>
  <c r="Q2003" i="2"/>
  <c r="M2003" i="2"/>
  <c r="H2003" i="2"/>
  <c r="Q2002" i="2"/>
  <c r="M2002" i="2"/>
  <c r="H2002" i="2"/>
  <c r="Q2001" i="2"/>
  <c r="M2001" i="2"/>
  <c r="H2001" i="2"/>
  <c r="Q2000" i="2"/>
  <c r="M2000" i="2"/>
  <c r="H2000" i="2"/>
  <c r="Q1999" i="2"/>
  <c r="M1999" i="2"/>
  <c r="H1999" i="2"/>
  <c r="Q1998" i="2"/>
  <c r="M1998" i="2"/>
  <c r="H1998" i="2"/>
  <c r="Q1997" i="2"/>
  <c r="M1997" i="2"/>
  <c r="H1997" i="2"/>
  <c r="Q1996" i="2"/>
  <c r="M1996" i="2"/>
  <c r="H1996" i="2"/>
  <c r="Q1995" i="2"/>
  <c r="M1995" i="2"/>
  <c r="H1995" i="2"/>
  <c r="Q1994" i="2"/>
  <c r="M1994" i="2"/>
  <c r="H1994" i="2"/>
  <c r="Q1993" i="2"/>
  <c r="M1993" i="2"/>
  <c r="H1993" i="2"/>
  <c r="Q1992" i="2"/>
  <c r="M1992" i="2"/>
  <c r="H1992" i="2"/>
  <c r="Q1991" i="2"/>
  <c r="M1991" i="2"/>
  <c r="H1991" i="2"/>
  <c r="Q1990" i="2"/>
  <c r="M1990" i="2"/>
  <c r="H1990" i="2"/>
  <c r="Q1989" i="2"/>
  <c r="M1989" i="2"/>
  <c r="H1989" i="2"/>
  <c r="Q1988" i="2"/>
  <c r="M1988" i="2"/>
  <c r="H1988" i="2"/>
  <c r="Q1987" i="2"/>
  <c r="M1987" i="2"/>
  <c r="H1987" i="2"/>
  <c r="Q1986" i="2"/>
  <c r="M1986" i="2"/>
  <c r="H1986" i="2"/>
  <c r="Q1985" i="2"/>
  <c r="M1985" i="2"/>
  <c r="H1985" i="2"/>
  <c r="Q1984" i="2"/>
  <c r="M1984" i="2"/>
  <c r="H1984" i="2"/>
  <c r="Q1983" i="2"/>
  <c r="M1983" i="2"/>
  <c r="H1983" i="2"/>
  <c r="Q1982" i="2"/>
  <c r="M1982" i="2"/>
  <c r="H1982" i="2"/>
  <c r="Q1981" i="2"/>
  <c r="M1981" i="2"/>
  <c r="H1981" i="2"/>
  <c r="Q1980" i="2"/>
  <c r="M1980" i="2"/>
  <c r="H1980" i="2"/>
  <c r="Q1979" i="2"/>
  <c r="M1979" i="2"/>
  <c r="H1979" i="2"/>
  <c r="Q1978" i="2"/>
  <c r="M1978" i="2"/>
  <c r="H1978" i="2"/>
  <c r="Q1977" i="2"/>
  <c r="M1977" i="2"/>
  <c r="H1977" i="2"/>
  <c r="Q1976" i="2"/>
  <c r="M1976" i="2"/>
  <c r="H1976" i="2"/>
  <c r="Q1975" i="2"/>
  <c r="M1975" i="2"/>
  <c r="H1975" i="2"/>
  <c r="Q1974" i="2"/>
  <c r="M1974" i="2"/>
  <c r="H1974" i="2"/>
  <c r="Q1973" i="2"/>
  <c r="M1973" i="2"/>
  <c r="H1973" i="2"/>
  <c r="Q1972" i="2"/>
  <c r="M1972" i="2"/>
  <c r="H1972" i="2"/>
  <c r="Q1971" i="2"/>
  <c r="M1971" i="2"/>
  <c r="H1971" i="2"/>
  <c r="Q1970" i="2"/>
  <c r="M1970" i="2"/>
  <c r="H1970" i="2"/>
  <c r="Q1969" i="2"/>
  <c r="M1969" i="2"/>
  <c r="H1969" i="2"/>
  <c r="Q1968" i="2"/>
  <c r="M1968" i="2"/>
  <c r="H1968" i="2"/>
  <c r="Q1967" i="2"/>
  <c r="M1967" i="2"/>
  <c r="H1967" i="2"/>
  <c r="Q1966" i="2"/>
  <c r="M1966" i="2"/>
  <c r="H1966" i="2"/>
  <c r="Q1965" i="2"/>
  <c r="M1965" i="2"/>
  <c r="H1965" i="2"/>
  <c r="Q1964" i="2"/>
  <c r="M1964" i="2"/>
  <c r="H1964" i="2"/>
  <c r="Q1963" i="2"/>
  <c r="M1963" i="2"/>
  <c r="H1963" i="2"/>
  <c r="Q1962" i="2"/>
  <c r="M1962" i="2"/>
  <c r="H1962" i="2"/>
  <c r="Q1961" i="2"/>
  <c r="M1961" i="2"/>
  <c r="H1961" i="2"/>
  <c r="Q1960" i="2"/>
  <c r="M1960" i="2"/>
  <c r="H1960" i="2"/>
  <c r="Q1959" i="2"/>
  <c r="M1959" i="2"/>
  <c r="H1959" i="2"/>
  <c r="Q1958" i="2"/>
  <c r="M1958" i="2"/>
  <c r="H1958" i="2"/>
  <c r="Q1957" i="2"/>
  <c r="M1957" i="2"/>
  <c r="H1957" i="2"/>
  <c r="Q1956" i="2"/>
  <c r="M1956" i="2"/>
  <c r="H1956" i="2"/>
  <c r="Q1955" i="2"/>
  <c r="M1955" i="2"/>
  <c r="H1955" i="2"/>
  <c r="Q1954" i="2"/>
  <c r="M1954" i="2"/>
  <c r="H1954" i="2"/>
  <c r="Q1953" i="2"/>
  <c r="M1953" i="2"/>
  <c r="H1953" i="2"/>
  <c r="Q1952" i="2"/>
  <c r="M1952" i="2"/>
  <c r="H1952" i="2"/>
  <c r="Q1951" i="2"/>
  <c r="M1951" i="2"/>
  <c r="H1951" i="2"/>
  <c r="Q1950" i="2"/>
  <c r="M1950" i="2"/>
  <c r="H1950" i="2"/>
  <c r="Q1949" i="2"/>
  <c r="M1949" i="2"/>
  <c r="H1949" i="2"/>
  <c r="Q1948" i="2"/>
  <c r="M1948" i="2"/>
  <c r="H1948" i="2"/>
  <c r="Q1947" i="2"/>
  <c r="M1947" i="2"/>
  <c r="H1947" i="2"/>
  <c r="Q1946" i="2"/>
  <c r="M1946" i="2"/>
  <c r="H1946" i="2"/>
  <c r="Q1945" i="2"/>
  <c r="M1945" i="2"/>
  <c r="H1945" i="2"/>
  <c r="Q1944" i="2"/>
  <c r="M1944" i="2"/>
  <c r="H1944" i="2"/>
  <c r="Q1943" i="2"/>
  <c r="M1943" i="2"/>
  <c r="H1943" i="2"/>
  <c r="Q1942" i="2"/>
  <c r="M1942" i="2"/>
  <c r="H1942" i="2"/>
  <c r="Q1941" i="2"/>
  <c r="M1941" i="2"/>
  <c r="H1941" i="2"/>
  <c r="Q1940" i="2"/>
  <c r="M1940" i="2"/>
  <c r="H1940" i="2"/>
  <c r="Q1939" i="2"/>
  <c r="M1939" i="2"/>
  <c r="H1939" i="2"/>
  <c r="Q1938" i="2"/>
  <c r="M1938" i="2"/>
  <c r="H1938" i="2"/>
  <c r="Q1937" i="2"/>
  <c r="M1937" i="2"/>
  <c r="H1937" i="2"/>
  <c r="Q1936" i="2"/>
  <c r="M1936" i="2"/>
  <c r="H1936" i="2"/>
  <c r="Q1935" i="2"/>
  <c r="M1935" i="2"/>
  <c r="H1935" i="2"/>
  <c r="Q1934" i="2"/>
  <c r="M1934" i="2"/>
  <c r="H1934" i="2"/>
  <c r="Q1933" i="2"/>
  <c r="M1933" i="2"/>
  <c r="H1933" i="2"/>
  <c r="Q1932" i="2"/>
  <c r="M1932" i="2"/>
  <c r="H1932" i="2"/>
  <c r="Q1931" i="2"/>
  <c r="M1931" i="2"/>
  <c r="H1931" i="2"/>
  <c r="Q1930" i="2"/>
  <c r="M1930" i="2"/>
  <c r="H1930" i="2"/>
  <c r="Q1929" i="2"/>
  <c r="M1929" i="2"/>
  <c r="H1929" i="2"/>
  <c r="Q1928" i="2"/>
  <c r="M1928" i="2"/>
  <c r="H1928" i="2"/>
  <c r="Q1927" i="2"/>
  <c r="M1927" i="2"/>
  <c r="H1927" i="2"/>
  <c r="Q1926" i="2"/>
  <c r="M1926" i="2"/>
  <c r="H1926" i="2"/>
  <c r="Q1925" i="2"/>
  <c r="M1925" i="2"/>
  <c r="H1925" i="2"/>
  <c r="Q1924" i="2"/>
  <c r="M1924" i="2"/>
  <c r="H1924" i="2"/>
  <c r="Q1923" i="2"/>
  <c r="M1923" i="2"/>
  <c r="H1923" i="2"/>
  <c r="Q1922" i="2"/>
  <c r="M1922" i="2"/>
  <c r="H1922" i="2"/>
  <c r="Q1921" i="2"/>
  <c r="M1921" i="2"/>
  <c r="H1921" i="2"/>
  <c r="Q1920" i="2"/>
  <c r="M1920" i="2"/>
  <c r="H1920" i="2"/>
  <c r="Q1919" i="2"/>
  <c r="M1919" i="2"/>
  <c r="H1919" i="2"/>
  <c r="Q1918" i="2"/>
  <c r="M1918" i="2"/>
  <c r="H1918" i="2"/>
  <c r="Q1917" i="2"/>
  <c r="M1917" i="2"/>
  <c r="H1917" i="2"/>
  <c r="Q1916" i="2"/>
  <c r="M1916" i="2"/>
  <c r="H1916" i="2"/>
  <c r="Q1915" i="2"/>
  <c r="M1915" i="2"/>
  <c r="H1915" i="2"/>
  <c r="Q1914" i="2"/>
  <c r="M1914" i="2"/>
  <c r="H1914" i="2"/>
  <c r="Q1913" i="2"/>
  <c r="M1913" i="2"/>
  <c r="H1913" i="2"/>
  <c r="Q1912" i="2"/>
  <c r="M1912" i="2"/>
  <c r="H1912" i="2"/>
  <c r="Q1911" i="2"/>
  <c r="M1911" i="2"/>
  <c r="H1911" i="2"/>
  <c r="Q1910" i="2"/>
  <c r="M1910" i="2"/>
  <c r="H1910" i="2"/>
  <c r="Q1909" i="2"/>
  <c r="M1909" i="2"/>
  <c r="H1909" i="2"/>
  <c r="Q1908" i="2"/>
  <c r="M1908" i="2"/>
  <c r="H1908" i="2"/>
  <c r="Q1907" i="2"/>
  <c r="M1907" i="2"/>
  <c r="H1907" i="2"/>
  <c r="Q1906" i="2"/>
  <c r="M1906" i="2"/>
  <c r="H1906" i="2"/>
  <c r="Q1905" i="2"/>
  <c r="M1905" i="2"/>
  <c r="H1905" i="2"/>
  <c r="Q1904" i="2"/>
  <c r="M1904" i="2"/>
  <c r="H1904" i="2"/>
  <c r="Q1903" i="2"/>
  <c r="M1903" i="2"/>
  <c r="H1903" i="2"/>
  <c r="Q1902" i="2"/>
  <c r="M1902" i="2"/>
  <c r="H1902" i="2"/>
  <c r="Q1901" i="2"/>
  <c r="M1901" i="2"/>
  <c r="H1901" i="2"/>
  <c r="Q1900" i="2"/>
  <c r="M1900" i="2"/>
  <c r="H1900" i="2"/>
  <c r="Q1899" i="2"/>
  <c r="M1899" i="2"/>
  <c r="H1899" i="2"/>
  <c r="Q1898" i="2"/>
  <c r="M1898" i="2"/>
  <c r="H1898" i="2"/>
  <c r="Q1897" i="2"/>
  <c r="M1897" i="2"/>
  <c r="H1897" i="2"/>
  <c r="Q1896" i="2"/>
  <c r="M1896" i="2"/>
  <c r="H1896" i="2"/>
  <c r="Q1895" i="2"/>
  <c r="M1895" i="2"/>
  <c r="H1895" i="2"/>
  <c r="Q1894" i="2"/>
  <c r="M1894" i="2"/>
  <c r="H1894" i="2"/>
  <c r="Q1893" i="2"/>
  <c r="M1893" i="2"/>
  <c r="H1893" i="2"/>
  <c r="Q1892" i="2"/>
  <c r="M1892" i="2"/>
  <c r="H1892" i="2"/>
  <c r="Q1891" i="2"/>
  <c r="M1891" i="2"/>
  <c r="H1891" i="2"/>
  <c r="Q1890" i="2"/>
  <c r="M1890" i="2"/>
  <c r="H1890" i="2"/>
  <c r="Q1889" i="2"/>
  <c r="M1889" i="2"/>
  <c r="H1889" i="2"/>
  <c r="Q1888" i="2"/>
  <c r="M1888" i="2"/>
  <c r="H1888" i="2"/>
  <c r="Q1887" i="2"/>
  <c r="M1887" i="2"/>
  <c r="H1887" i="2"/>
  <c r="Q1886" i="2"/>
  <c r="M1886" i="2"/>
  <c r="H1886" i="2"/>
  <c r="Q1885" i="2"/>
  <c r="M1885" i="2"/>
  <c r="H1885" i="2"/>
  <c r="Q1884" i="2"/>
  <c r="M1884" i="2"/>
  <c r="H1884" i="2"/>
  <c r="Q1883" i="2"/>
  <c r="M1883" i="2"/>
  <c r="H1883" i="2"/>
  <c r="Q1882" i="2"/>
  <c r="M1882" i="2"/>
  <c r="H1882" i="2"/>
  <c r="Q1881" i="2"/>
  <c r="M1881" i="2"/>
  <c r="H1881" i="2"/>
  <c r="Q1880" i="2"/>
  <c r="M1880" i="2"/>
  <c r="H1880" i="2"/>
  <c r="Q1879" i="2"/>
  <c r="M1879" i="2"/>
  <c r="H1879" i="2"/>
  <c r="Q1878" i="2"/>
  <c r="M1878" i="2"/>
  <c r="H1878" i="2"/>
  <c r="Q1877" i="2"/>
  <c r="M1877" i="2"/>
  <c r="H1877" i="2"/>
  <c r="Q1876" i="2"/>
  <c r="M1876" i="2"/>
  <c r="H1876" i="2"/>
  <c r="Q1875" i="2"/>
  <c r="M1875" i="2"/>
  <c r="H1875" i="2"/>
  <c r="Q1874" i="2"/>
  <c r="M1874" i="2"/>
  <c r="H1874" i="2"/>
  <c r="Q1873" i="2"/>
  <c r="M1873" i="2"/>
  <c r="H1873" i="2"/>
  <c r="Q1872" i="2"/>
  <c r="M1872" i="2"/>
  <c r="H1872" i="2"/>
  <c r="Q1871" i="2"/>
  <c r="M1871" i="2"/>
  <c r="H1871" i="2"/>
  <c r="Q1870" i="2"/>
  <c r="M1870" i="2"/>
  <c r="H1870" i="2"/>
  <c r="Q1869" i="2"/>
  <c r="M1869" i="2"/>
  <c r="H1869" i="2"/>
  <c r="Q1868" i="2"/>
  <c r="M1868" i="2"/>
  <c r="H1868" i="2"/>
  <c r="Q1867" i="2"/>
  <c r="M1867" i="2"/>
  <c r="H1867" i="2"/>
  <c r="Q1866" i="2"/>
  <c r="M1866" i="2"/>
  <c r="H1866" i="2"/>
  <c r="Q1865" i="2"/>
  <c r="M1865" i="2"/>
  <c r="H1865" i="2"/>
  <c r="Q1864" i="2"/>
  <c r="M1864" i="2"/>
  <c r="H1864" i="2"/>
  <c r="Q1863" i="2"/>
  <c r="M1863" i="2"/>
  <c r="H1863" i="2"/>
  <c r="Q1862" i="2"/>
  <c r="M1862" i="2"/>
  <c r="H1862" i="2"/>
  <c r="Q1861" i="2"/>
  <c r="M1861" i="2"/>
  <c r="H1861" i="2"/>
  <c r="Q1860" i="2"/>
  <c r="M1860" i="2"/>
  <c r="H1860" i="2"/>
  <c r="Q1859" i="2"/>
  <c r="M1859" i="2"/>
  <c r="H1859" i="2"/>
  <c r="Q1858" i="2"/>
  <c r="M1858" i="2"/>
  <c r="H1858" i="2"/>
  <c r="Q1857" i="2"/>
  <c r="M1857" i="2"/>
  <c r="H1857" i="2"/>
  <c r="Q1856" i="2"/>
  <c r="M1856" i="2"/>
  <c r="H1856" i="2"/>
  <c r="Q1855" i="2"/>
  <c r="M1855" i="2"/>
  <c r="H1855" i="2"/>
  <c r="Q1854" i="2"/>
  <c r="M1854" i="2"/>
  <c r="H1854" i="2"/>
  <c r="Q1853" i="2"/>
  <c r="M1853" i="2"/>
  <c r="H1853" i="2"/>
  <c r="Q1852" i="2"/>
  <c r="M1852" i="2"/>
  <c r="H1852" i="2"/>
  <c r="Q1851" i="2"/>
  <c r="M1851" i="2"/>
  <c r="H1851" i="2"/>
  <c r="Q1850" i="2"/>
  <c r="M1850" i="2"/>
  <c r="H1850" i="2"/>
  <c r="Q1849" i="2"/>
  <c r="M1849" i="2"/>
  <c r="H1849" i="2"/>
  <c r="Q1848" i="2"/>
  <c r="M1848" i="2"/>
  <c r="H1848" i="2"/>
  <c r="Q1847" i="2"/>
  <c r="M1847" i="2"/>
  <c r="H1847" i="2"/>
  <c r="Q1846" i="2"/>
  <c r="M1846" i="2"/>
  <c r="H1846" i="2"/>
  <c r="Q1845" i="2"/>
  <c r="M1845" i="2"/>
  <c r="H1845" i="2"/>
  <c r="Q1844" i="2"/>
  <c r="M1844" i="2"/>
  <c r="H1844" i="2"/>
  <c r="Q1843" i="2"/>
  <c r="M1843" i="2"/>
  <c r="H1843" i="2"/>
  <c r="Q1842" i="2"/>
  <c r="M1842" i="2"/>
  <c r="H1842" i="2"/>
  <c r="Q1841" i="2"/>
  <c r="M1841" i="2"/>
  <c r="H1841" i="2"/>
  <c r="Q1840" i="2"/>
  <c r="M1840" i="2"/>
  <c r="H1840" i="2"/>
  <c r="Q1839" i="2"/>
  <c r="M1839" i="2"/>
  <c r="H1839" i="2"/>
  <c r="Q1838" i="2"/>
  <c r="M1838" i="2"/>
  <c r="H1838" i="2"/>
  <c r="Q1837" i="2"/>
  <c r="M1837" i="2"/>
  <c r="H1837" i="2"/>
  <c r="Q1836" i="2"/>
  <c r="M1836" i="2"/>
  <c r="H1836" i="2"/>
  <c r="Q1835" i="2"/>
  <c r="M1835" i="2"/>
  <c r="H1835" i="2"/>
  <c r="Q1834" i="2"/>
  <c r="M1834" i="2"/>
  <c r="H1834" i="2"/>
  <c r="Q1833" i="2"/>
  <c r="M1833" i="2"/>
  <c r="H1833" i="2"/>
  <c r="Q1832" i="2"/>
  <c r="M1832" i="2"/>
  <c r="H1832" i="2"/>
  <c r="Q1831" i="2"/>
  <c r="M1831" i="2"/>
  <c r="H1831" i="2"/>
  <c r="Q1830" i="2"/>
  <c r="M1830" i="2"/>
  <c r="H1830" i="2"/>
  <c r="Q1829" i="2"/>
  <c r="M1829" i="2"/>
  <c r="H1829" i="2"/>
  <c r="Q1828" i="2"/>
  <c r="M1828" i="2"/>
  <c r="H1828" i="2"/>
  <c r="Q1827" i="2"/>
  <c r="M1827" i="2"/>
  <c r="H1827" i="2"/>
  <c r="Q1826" i="2"/>
  <c r="M1826" i="2"/>
  <c r="H1826" i="2"/>
  <c r="Q1825" i="2"/>
  <c r="M1825" i="2"/>
  <c r="H1825" i="2"/>
  <c r="Q1824" i="2"/>
  <c r="M1824" i="2"/>
  <c r="H1824" i="2"/>
  <c r="Q1823" i="2"/>
  <c r="M1823" i="2"/>
  <c r="H1823" i="2"/>
  <c r="Q1822" i="2"/>
  <c r="M1822" i="2"/>
  <c r="H1822" i="2"/>
  <c r="Q1821" i="2"/>
  <c r="M1821" i="2"/>
  <c r="H1821" i="2"/>
  <c r="Q1820" i="2"/>
  <c r="M1820" i="2"/>
  <c r="H1820" i="2"/>
  <c r="Q1819" i="2"/>
  <c r="M1819" i="2"/>
  <c r="H1819" i="2"/>
  <c r="Q1818" i="2"/>
  <c r="M1818" i="2"/>
  <c r="H1818" i="2"/>
  <c r="Q1817" i="2"/>
  <c r="M1817" i="2"/>
  <c r="H1817" i="2"/>
  <c r="Q1816" i="2"/>
  <c r="M1816" i="2"/>
  <c r="H1816" i="2"/>
  <c r="Q1815" i="2"/>
  <c r="M1815" i="2"/>
  <c r="H1815" i="2"/>
  <c r="Q1814" i="2"/>
  <c r="M1814" i="2"/>
  <c r="H1814" i="2"/>
  <c r="Q1813" i="2"/>
  <c r="M1813" i="2"/>
  <c r="H1813" i="2"/>
  <c r="Q1812" i="2"/>
  <c r="M1812" i="2"/>
  <c r="H1812" i="2"/>
  <c r="Q1811" i="2"/>
  <c r="M1811" i="2"/>
  <c r="H1811" i="2"/>
  <c r="Q1810" i="2"/>
  <c r="M1810" i="2"/>
  <c r="H1810" i="2"/>
  <c r="Q1809" i="2"/>
  <c r="M1809" i="2"/>
  <c r="H1809" i="2"/>
  <c r="Q1808" i="2"/>
  <c r="M1808" i="2"/>
  <c r="H1808" i="2"/>
  <c r="Q1807" i="2"/>
  <c r="M1807" i="2"/>
  <c r="H1807" i="2"/>
  <c r="Q1806" i="2"/>
  <c r="M1806" i="2"/>
  <c r="H1806" i="2"/>
  <c r="Q1805" i="2"/>
  <c r="M1805" i="2"/>
  <c r="H1805" i="2"/>
  <c r="Q1804" i="2"/>
  <c r="M1804" i="2"/>
  <c r="H1804" i="2"/>
  <c r="Q1803" i="2"/>
  <c r="M1803" i="2"/>
  <c r="H1803" i="2"/>
  <c r="Q1802" i="2"/>
  <c r="M1802" i="2"/>
  <c r="H1802" i="2"/>
  <c r="Q1801" i="2"/>
  <c r="M1801" i="2"/>
  <c r="H1801" i="2"/>
  <c r="Q1800" i="2"/>
  <c r="M1800" i="2"/>
  <c r="H1800" i="2"/>
  <c r="Q1799" i="2"/>
  <c r="M1799" i="2"/>
  <c r="H1799" i="2"/>
  <c r="Q1798" i="2"/>
  <c r="M1798" i="2"/>
  <c r="H1798" i="2"/>
  <c r="Q1797" i="2"/>
  <c r="M1797" i="2"/>
  <c r="H1797" i="2"/>
  <c r="Q1796" i="2"/>
  <c r="M1796" i="2"/>
  <c r="H1796" i="2"/>
  <c r="Q1795" i="2"/>
  <c r="M1795" i="2"/>
  <c r="H1795" i="2"/>
  <c r="Q1794" i="2"/>
  <c r="M1794" i="2"/>
  <c r="H1794" i="2"/>
  <c r="Q1793" i="2"/>
  <c r="M1793" i="2"/>
  <c r="H1793" i="2"/>
  <c r="Q1792" i="2"/>
  <c r="M1792" i="2"/>
  <c r="H1792" i="2"/>
  <c r="Q1791" i="2"/>
  <c r="M1791" i="2"/>
  <c r="H1791" i="2"/>
  <c r="Q1790" i="2"/>
  <c r="M1790" i="2"/>
  <c r="H1790" i="2"/>
  <c r="Q1789" i="2"/>
  <c r="M1789" i="2"/>
  <c r="H1789" i="2"/>
  <c r="Q1788" i="2"/>
  <c r="M1788" i="2"/>
  <c r="H1788" i="2"/>
  <c r="Q1787" i="2"/>
  <c r="M1787" i="2"/>
  <c r="H1787" i="2"/>
  <c r="Q1786" i="2"/>
  <c r="M1786" i="2"/>
  <c r="H1786" i="2"/>
  <c r="Q1785" i="2"/>
  <c r="M1785" i="2"/>
  <c r="H1785" i="2"/>
  <c r="Q1784" i="2"/>
  <c r="M1784" i="2"/>
  <c r="H1784" i="2"/>
  <c r="Q1783" i="2"/>
  <c r="M1783" i="2"/>
  <c r="H1783" i="2"/>
  <c r="Q1782" i="2"/>
  <c r="M1782" i="2"/>
  <c r="H1782" i="2"/>
  <c r="Q1781" i="2"/>
  <c r="M1781" i="2"/>
  <c r="H1781" i="2"/>
  <c r="Q1780" i="2"/>
  <c r="M1780" i="2"/>
  <c r="H1780" i="2"/>
  <c r="Q1779" i="2"/>
  <c r="M1779" i="2"/>
  <c r="H1779" i="2"/>
  <c r="Q1778" i="2"/>
  <c r="M1778" i="2"/>
  <c r="H1778" i="2"/>
  <c r="Q1777" i="2"/>
  <c r="M1777" i="2"/>
  <c r="H1777" i="2"/>
  <c r="Q1776" i="2"/>
  <c r="M1776" i="2"/>
  <c r="H1776" i="2"/>
  <c r="Q1775" i="2"/>
  <c r="M1775" i="2"/>
  <c r="H1775" i="2"/>
  <c r="Q1774" i="2"/>
  <c r="M1774" i="2"/>
  <c r="H1774" i="2"/>
  <c r="Q1773" i="2"/>
  <c r="M1773" i="2"/>
  <c r="H1773" i="2"/>
  <c r="Q1772" i="2"/>
  <c r="M1772" i="2"/>
  <c r="H1772" i="2"/>
  <c r="Q1771" i="2"/>
  <c r="M1771" i="2"/>
  <c r="H1771" i="2"/>
  <c r="Q1770" i="2"/>
  <c r="M1770" i="2"/>
  <c r="H1770" i="2"/>
  <c r="Q1769" i="2"/>
  <c r="M1769" i="2"/>
  <c r="H1769" i="2"/>
  <c r="Q1768" i="2"/>
  <c r="M1768" i="2"/>
  <c r="H1768" i="2"/>
  <c r="Q1767" i="2"/>
  <c r="M1767" i="2"/>
  <c r="H1767" i="2"/>
  <c r="Q1766" i="2"/>
  <c r="M1766" i="2"/>
  <c r="H1766" i="2"/>
  <c r="Q1765" i="2"/>
  <c r="M1765" i="2"/>
  <c r="H1765" i="2"/>
  <c r="Q1764" i="2"/>
  <c r="M1764" i="2"/>
  <c r="H1764" i="2"/>
  <c r="Q1763" i="2"/>
  <c r="M1763" i="2"/>
  <c r="H1763" i="2"/>
  <c r="Q1762" i="2"/>
  <c r="M1762" i="2"/>
  <c r="H1762" i="2"/>
  <c r="Q1761" i="2"/>
  <c r="M1761" i="2"/>
  <c r="H1761" i="2"/>
  <c r="Q1760" i="2"/>
  <c r="M1760" i="2"/>
  <c r="H1760" i="2"/>
  <c r="Q1759" i="2"/>
  <c r="M1759" i="2"/>
  <c r="H1759" i="2"/>
  <c r="Q1758" i="2"/>
  <c r="M1758" i="2"/>
  <c r="H1758" i="2"/>
  <c r="Q1757" i="2"/>
  <c r="M1757" i="2"/>
  <c r="H1757" i="2"/>
  <c r="Q1756" i="2"/>
  <c r="M1756" i="2"/>
  <c r="H1756" i="2"/>
  <c r="Q1755" i="2"/>
  <c r="M1755" i="2"/>
  <c r="H1755" i="2"/>
  <c r="Q1754" i="2"/>
  <c r="M1754" i="2"/>
  <c r="H1754" i="2"/>
  <c r="Q1753" i="2"/>
  <c r="M1753" i="2"/>
  <c r="H1753" i="2"/>
  <c r="Q1752" i="2"/>
  <c r="M1752" i="2"/>
  <c r="H1752" i="2"/>
  <c r="Q1751" i="2"/>
  <c r="M1751" i="2"/>
  <c r="H1751" i="2"/>
  <c r="Q1750" i="2"/>
  <c r="M1750" i="2"/>
  <c r="H1750" i="2"/>
  <c r="Q1749" i="2"/>
  <c r="M1749" i="2"/>
  <c r="H1749" i="2"/>
  <c r="Q1748" i="2"/>
  <c r="M1748" i="2"/>
  <c r="H1748" i="2"/>
  <c r="Q1747" i="2"/>
  <c r="M1747" i="2"/>
  <c r="H1747" i="2"/>
  <c r="Q1746" i="2"/>
  <c r="M1746" i="2"/>
  <c r="H1746" i="2"/>
  <c r="Q1745" i="2"/>
  <c r="M1745" i="2"/>
  <c r="H1745" i="2"/>
  <c r="Q1744" i="2"/>
  <c r="M1744" i="2"/>
  <c r="H1744" i="2"/>
  <c r="Q1743" i="2"/>
  <c r="M1743" i="2"/>
  <c r="H1743" i="2"/>
  <c r="Q1742" i="2"/>
  <c r="M1742" i="2"/>
  <c r="H1742" i="2"/>
  <c r="Q1741" i="2"/>
  <c r="M1741" i="2"/>
  <c r="H1741" i="2"/>
  <c r="Q1740" i="2"/>
  <c r="M1740" i="2"/>
  <c r="H1740" i="2"/>
  <c r="Q1739" i="2"/>
  <c r="M1739" i="2"/>
  <c r="H1739" i="2"/>
  <c r="Q1738" i="2"/>
  <c r="M1738" i="2"/>
  <c r="H1738" i="2"/>
  <c r="Q1737" i="2"/>
  <c r="M1737" i="2"/>
  <c r="H1737" i="2"/>
  <c r="Q1736" i="2"/>
  <c r="M1736" i="2"/>
  <c r="H1736" i="2"/>
  <c r="Q1735" i="2"/>
  <c r="M1735" i="2"/>
  <c r="H1735" i="2"/>
  <c r="Q1734" i="2"/>
  <c r="M1734" i="2"/>
  <c r="H1734" i="2"/>
  <c r="Q1733" i="2"/>
  <c r="M1733" i="2"/>
  <c r="H1733" i="2"/>
  <c r="Q1732" i="2"/>
  <c r="M1732" i="2"/>
  <c r="H1732" i="2"/>
  <c r="Q1731" i="2"/>
  <c r="M1731" i="2"/>
  <c r="H1731" i="2"/>
  <c r="Q1730" i="2"/>
  <c r="M1730" i="2"/>
  <c r="H1730" i="2"/>
  <c r="Q1729" i="2"/>
  <c r="M1729" i="2"/>
  <c r="H1729" i="2"/>
  <c r="Q1728" i="2"/>
  <c r="M1728" i="2"/>
  <c r="H1728" i="2"/>
  <c r="Q1727" i="2"/>
  <c r="M1727" i="2"/>
  <c r="H1727" i="2"/>
  <c r="Q1726" i="2"/>
  <c r="M1726" i="2"/>
  <c r="H1726" i="2"/>
  <c r="Q1725" i="2"/>
  <c r="M1725" i="2"/>
  <c r="H1725" i="2"/>
  <c r="Q1724" i="2"/>
  <c r="M1724" i="2"/>
  <c r="H1724" i="2"/>
  <c r="Q1723" i="2"/>
  <c r="M1723" i="2"/>
  <c r="H1723" i="2"/>
  <c r="Q1722" i="2"/>
  <c r="M1722" i="2"/>
  <c r="H1722" i="2"/>
  <c r="Q1721" i="2"/>
  <c r="M1721" i="2"/>
  <c r="H1721" i="2"/>
  <c r="Q1720" i="2"/>
  <c r="M1720" i="2"/>
  <c r="H1720" i="2"/>
  <c r="Q1719" i="2"/>
  <c r="M1719" i="2"/>
  <c r="H1719" i="2"/>
  <c r="Q1718" i="2"/>
  <c r="M1718" i="2"/>
  <c r="H1718" i="2"/>
  <c r="Q1717" i="2"/>
  <c r="M1717" i="2"/>
  <c r="H1717" i="2"/>
  <c r="Q1716" i="2"/>
  <c r="M1716" i="2"/>
  <c r="H1716" i="2"/>
  <c r="Q1715" i="2"/>
  <c r="M1715" i="2"/>
  <c r="H1715" i="2"/>
  <c r="Q1714" i="2"/>
  <c r="M1714" i="2"/>
  <c r="H1714" i="2"/>
  <c r="Q1713" i="2"/>
  <c r="M1713" i="2"/>
  <c r="H1713" i="2"/>
  <c r="Q1712" i="2"/>
  <c r="M1712" i="2"/>
  <c r="H1712" i="2"/>
  <c r="Q1711" i="2"/>
  <c r="M1711" i="2"/>
  <c r="H1711" i="2"/>
  <c r="Q1710" i="2"/>
  <c r="M1710" i="2"/>
  <c r="H1710" i="2"/>
  <c r="Q1709" i="2"/>
  <c r="M1709" i="2"/>
  <c r="H1709" i="2"/>
  <c r="Q1708" i="2"/>
  <c r="M1708" i="2"/>
  <c r="H1708" i="2"/>
  <c r="Q1707" i="2"/>
  <c r="M1707" i="2"/>
  <c r="H1707" i="2"/>
  <c r="Q1706" i="2"/>
  <c r="M1706" i="2"/>
  <c r="H1706" i="2"/>
  <c r="Q1705" i="2"/>
  <c r="M1705" i="2"/>
  <c r="H1705" i="2"/>
  <c r="Q1704" i="2"/>
  <c r="M1704" i="2"/>
  <c r="H1704" i="2"/>
  <c r="Q1703" i="2"/>
  <c r="M1703" i="2"/>
  <c r="H1703" i="2"/>
  <c r="Q1702" i="2"/>
  <c r="M1702" i="2"/>
  <c r="H1702" i="2"/>
  <c r="Q1701" i="2"/>
  <c r="M1701" i="2"/>
  <c r="H1701" i="2"/>
  <c r="Q1700" i="2"/>
  <c r="M1700" i="2"/>
  <c r="H1700" i="2"/>
  <c r="Q1699" i="2"/>
  <c r="M1699" i="2"/>
  <c r="H1699" i="2"/>
  <c r="Q1698" i="2"/>
  <c r="M1698" i="2"/>
  <c r="H1698" i="2"/>
  <c r="Q1697" i="2"/>
  <c r="M1697" i="2"/>
  <c r="H1697" i="2"/>
  <c r="Q1696" i="2"/>
  <c r="M1696" i="2"/>
  <c r="H1696" i="2"/>
  <c r="Q1695" i="2"/>
  <c r="M1695" i="2"/>
  <c r="H1695" i="2"/>
  <c r="Q1694" i="2"/>
  <c r="M1694" i="2"/>
  <c r="H1694" i="2"/>
  <c r="Q1693" i="2"/>
  <c r="M1693" i="2"/>
  <c r="H1693" i="2"/>
  <c r="Q1692" i="2"/>
  <c r="M1692" i="2"/>
  <c r="H1692" i="2"/>
  <c r="Q1691" i="2"/>
  <c r="M1691" i="2"/>
  <c r="H1691" i="2"/>
  <c r="Q1690" i="2"/>
  <c r="M1690" i="2"/>
  <c r="H1690" i="2"/>
  <c r="Q1689" i="2"/>
  <c r="M1689" i="2"/>
  <c r="H1689" i="2"/>
  <c r="Q1688" i="2"/>
  <c r="M1688" i="2"/>
  <c r="H1688" i="2"/>
  <c r="Q1687" i="2"/>
  <c r="M1687" i="2"/>
  <c r="H1687" i="2"/>
  <c r="Q1686" i="2"/>
  <c r="M1686" i="2"/>
  <c r="H1686" i="2"/>
  <c r="Q1685" i="2"/>
  <c r="M1685" i="2"/>
  <c r="H1685" i="2"/>
  <c r="Q1684" i="2"/>
  <c r="M1684" i="2"/>
  <c r="H1684" i="2"/>
  <c r="Q1683" i="2"/>
  <c r="M1683" i="2"/>
  <c r="H1683" i="2"/>
  <c r="Q1682" i="2"/>
  <c r="M1682" i="2"/>
  <c r="H1682" i="2"/>
  <c r="Q1681" i="2"/>
  <c r="M1681" i="2"/>
  <c r="H1681" i="2"/>
  <c r="Q1680" i="2"/>
  <c r="M1680" i="2"/>
  <c r="H1680" i="2"/>
  <c r="Q1679" i="2"/>
  <c r="M1679" i="2"/>
  <c r="H1679" i="2"/>
  <c r="Q1678" i="2"/>
  <c r="M1678" i="2"/>
  <c r="H1678" i="2"/>
  <c r="Q1677" i="2"/>
  <c r="M1677" i="2"/>
  <c r="H1677" i="2"/>
  <c r="Q1676" i="2"/>
  <c r="M1676" i="2"/>
  <c r="H1676" i="2"/>
  <c r="Q1675" i="2"/>
  <c r="M1675" i="2"/>
  <c r="H1675" i="2"/>
  <c r="Q1674" i="2"/>
  <c r="M1674" i="2"/>
  <c r="H1674" i="2"/>
  <c r="Q1673" i="2"/>
  <c r="M1673" i="2"/>
  <c r="H1673" i="2"/>
  <c r="Q1672" i="2"/>
  <c r="M1672" i="2"/>
  <c r="H1672" i="2"/>
  <c r="Q1671" i="2"/>
  <c r="M1671" i="2"/>
  <c r="H1671" i="2"/>
  <c r="Q1670" i="2"/>
  <c r="M1670" i="2"/>
  <c r="H1670" i="2"/>
  <c r="Q1669" i="2"/>
  <c r="M1669" i="2"/>
  <c r="H1669" i="2"/>
  <c r="Q1668" i="2"/>
  <c r="M1668" i="2"/>
  <c r="H1668" i="2"/>
  <c r="Q1667" i="2"/>
  <c r="M1667" i="2"/>
  <c r="H1667" i="2"/>
  <c r="Q1666" i="2"/>
  <c r="M1666" i="2"/>
  <c r="H1666" i="2"/>
  <c r="Q1665" i="2"/>
  <c r="M1665" i="2"/>
  <c r="H1665" i="2"/>
  <c r="Q1664" i="2"/>
  <c r="M1664" i="2"/>
  <c r="H1664" i="2"/>
  <c r="Q1663" i="2"/>
  <c r="M1663" i="2"/>
  <c r="H1663" i="2"/>
  <c r="Q1662" i="2"/>
  <c r="M1662" i="2"/>
  <c r="H1662" i="2"/>
  <c r="Q1661" i="2"/>
  <c r="M1661" i="2"/>
  <c r="H1661" i="2"/>
  <c r="Q1660" i="2"/>
  <c r="M1660" i="2"/>
  <c r="H1660" i="2"/>
  <c r="Q1659" i="2"/>
  <c r="M1659" i="2"/>
  <c r="H1659" i="2"/>
  <c r="Q1658" i="2"/>
  <c r="M1658" i="2"/>
  <c r="H1658" i="2"/>
  <c r="Q1657" i="2"/>
  <c r="M1657" i="2"/>
  <c r="H1657" i="2"/>
  <c r="Q1656" i="2"/>
  <c r="M1656" i="2"/>
  <c r="H1656" i="2"/>
  <c r="Q1655" i="2"/>
  <c r="M1655" i="2"/>
  <c r="H1655" i="2"/>
  <c r="Q1654" i="2"/>
  <c r="M1654" i="2"/>
  <c r="H1654" i="2"/>
  <c r="Q1653" i="2"/>
  <c r="M1653" i="2"/>
  <c r="H1653" i="2"/>
  <c r="Q1652" i="2"/>
  <c r="M1652" i="2"/>
  <c r="H1652" i="2"/>
  <c r="Q1651" i="2"/>
  <c r="M1651" i="2"/>
  <c r="H1651" i="2"/>
  <c r="Q1650" i="2"/>
  <c r="M1650" i="2"/>
  <c r="H1650" i="2"/>
  <c r="Q1649" i="2"/>
  <c r="M1649" i="2"/>
  <c r="H1649" i="2"/>
  <c r="Q1648" i="2"/>
  <c r="M1648" i="2"/>
  <c r="H1648" i="2"/>
  <c r="Q1647" i="2"/>
  <c r="M1647" i="2"/>
  <c r="H1647" i="2"/>
  <c r="Q1646" i="2"/>
  <c r="M1646" i="2"/>
  <c r="H1646" i="2"/>
  <c r="Q1645" i="2"/>
  <c r="M1645" i="2"/>
  <c r="H1645" i="2"/>
  <c r="Q1644" i="2"/>
  <c r="M1644" i="2"/>
  <c r="H1644" i="2"/>
  <c r="Q1643" i="2"/>
  <c r="M1643" i="2"/>
  <c r="H1643" i="2"/>
  <c r="Q1642" i="2"/>
  <c r="M1642" i="2"/>
  <c r="H1642" i="2"/>
  <c r="Q1641" i="2"/>
  <c r="M1641" i="2"/>
  <c r="H1641" i="2"/>
  <c r="Q1640" i="2"/>
  <c r="M1640" i="2"/>
  <c r="H1640" i="2"/>
  <c r="Q1639" i="2"/>
  <c r="M1639" i="2"/>
  <c r="H1639" i="2"/>
  <c r="Q1638" i="2"/>
  <c r="M1638" i="2"/>
  <c r="H1638" i="2"/>
  <c r="Q1637" i="2"/>
  <c r="M1637" i="2"/>
  <c r="H1637" i="2"/>
  <c r="Q1636" i="2"/>
  <c r="M1636" i="2"/>
  <c r="H1636" i="2"/>
  <c r="Q1635" i="2"/>
  <c r="M1635" i="2"/>
  <c r="H1635" i="2"/>
  <c r="Q1634" i="2"/>
  <c r="M1634" i="2"/>
  <c r="H1634" i="2"/>
  <c r="Q1633" i="2"/>
  <c r="M1633" i="2"/>
  <c r="H1633" i="2"/>
  <c r="Q1632" i="2"/>
  <c r="M1632" i="2"/>
  <c r="H1632" i="2"/>
  <c r="Q1631" i="2"/>
  <c r="M1631" i="2"/>
  <c r="H1631" i="2"/>
  <c r="Q1630" i="2"/>
  <c r="M1630" i="2"/>
  <c r="H1630" i="2"/>
  <c r="Q1629" i="2"/>
  <c r="M1629" i="2"/>
  <c r="H1629" i="2"/>
  <c r="Q1628" i="2"/>
  <c r="M1628" i="2"/>
  <c r="H1628" i="2"/>
  <c r="Q1627" i="2"/>
  <c r="M1627" i="2"/>
  <c r="H1627" i="2"/>
  <c r="Q1626" i="2"/>
  <c r="M1626" i="2"/>
  <c r="H1626" i="2"/>
  <c r="Q1625" i="2"/>
  <c r="M1625" i="2"/>
  <c r="H1625" i="2"/>
  <c r="Q1624" i="2"/>
  <c r="M1624" i="2"/>
  <c r="H1624" i="2"/>
  <c r="Q1623" i="2"/>
  <c r="M1623" i="2"/>
  <c r="H1623" i="2"/>
  <c r="Q1622" i="2"/>
  <c r="M1622" i="2"/>
  <c r="H1622" i="2"/>
  <c r="Q1621" i="2"/>
  <c r="M1621" i="2"/>
  <c r="H1621" i="2"/>
  <c r="Q1620" i="2"/>
  <c r="M1620" i="2"/>
  <c r="H1620" i="2"/>
  <c r="Q1619" i="2"/>
  <c r="M1619" i="2"/>
  <c r="H1619" i="2"/>
  <c r="Q1618" i="2"/>
  <c r="M1618" i="2"/>
  <c r="H1618" i="2"/>
  <c r="Q1617" i="2"/>
  <c r="M1617" i="2"/>
  <c r="H1617" i="2"/>
  <c r="Q1616" i="2"/>
  <c r="M1616" i="2"/>
  <c r="H1616" i="2"/>
  <c r="Q1615" i="2"/>
  <c r="M1615" i="2"/>
  <c r="H1615" i="2"/>
  <c r="Q1614" i="2"/>
  <c r="M1614" i="2"/>
  <c r="H1614" i="2"/>
  <c r="Q1613" i="2"/>
  <c r="M1613" i="2"/>
  <c r="H1613" i="2"/>
  <c r="Q1612" i="2"/>
  <c r="M1612" i="2"/>
  <c r="H1612" i="2"/>
  <c r="Q1611" i="2"/>
  <c r="M1611" i="2"/>
  <c r="H1611" i="2"/>
  <c r="Q1610" i="2"/>
  <c r="M1610" i="2"/>
  <c r="H1610" i="2"/>
  <c r="Q1609" i="2"/>
  <c r="M1609" i="2"/>
  <c r="H1609" i="2"/>
  <c r="Q1608" i="2"/>
  <c r="M1608" i="2"/>
  <c r="H1608" i="2"/>
  <c r="Q1607" i="2"/>
  <c r="M1607" i="2"/>
  <c r="H1607" i="2"/>
  <c r="Q1606" i="2"/>
  <c r="M1606" i="2"/>
  <c r="H1606" i="2"/>
  <c r="Q1605" i="2"/>
  <c r="M1605" i="2"/>
  <c r="H1605" i="2"/>
  <c r="Q1604" i="2"/>
  <c r="M1604" i="2"/>
  <c r="H1604" i="2"/>
  <c r="Q1603" i="2"/>
  <c r="M1603" i="2"/>
  <c r="H1603" i="2"/>
  <c r="Q1602" i="2"/>
  <c r="M1602" i="2"/>
  <c r="H1602" i="2"/>
  <c r="Q1601" i="2"/>
  <c r="M1601" i="2"/>
  <c r="H1601" i="2"/>
  <c r="Q1600" i="2"/>
  <c r="M1600" i="2"/>
  <c r="H1600" i="2"/>
  <c r="Q1599" i="2"/>
  <c r="M1599" i="2"/>
  <c r="H1599" i="2"/>
  <c r="Q1598" i="2"/>
  <c r="M1598" i="2"/>
  <c r="H1598" i="2"/>
  <c r="Q1597" i="2"/>
  <c r="M1597" i="2"/>
  <c r="H1597" i="2"/>
  <c r="Q1596" i="2"/>
  <c r="M1596" i="2"/>
  <c r="H1596" i="2"/>
  <c r="Q1595" i="2"/>
  <c r="M1595" i="2"/>
  <c r="H1595" i="2"/>
  <c r="Q1594" i="2"/>
  <c r="M1594" i="2"/>
  <c r="H1594" i="2"/>
  <c r="Q1593" i="2"/>
  <c r="M1593" i="2"/>
  <c r="H1593" i="2"/>
  <c r="Q1592" i="2"/>
  <c r="M1592" i="2"/>
  <c r="H1592" i="2"/>
  <c r="Q1591" i="2"/>
  <c r="M1591" i="2"/>
  <c r="H1591" i="2"/>
  <c r="Q1590" i="2"/>
  <c r="M1590" i="2"/>
  <c r="H1590" i="2"/>
  <c r="Q1589" i="2"/>
  <c r="M1589" i="2"/>
  <c r="H1589" i="2"/>
  <c r="Q1588" i="2"/>
  <c r="M1588" i="2"/>
  <c r="H1588" i="2"/>
  <c r="Q1587" i="2"/>
  <c r="M1587" i="2"/>
  <c r="H1587" i="2"/>
  <c r="Q1586" i="2"/>
  <c r="M1586" i="2"/>
  <c r="H1586" i="2"/>
  <c r="Q1585" i="2"/>
  <c r="M1585" i="2"/>
  <c r="H1585" i="2"/>
  <c r="Q1584" i="2"/>
  <c r="M1584" i="2"/>
  <c r="H1584" i="2"/>
  <c r="Q1583" i="2"/>
  <c r="M1583" i="2"/>
  <c r="H1583" i="2"/>
  <c r="Q1582" i="2"/>
  <c r="M1582" i="2"/>
  <c r="H1582" i="2"/>
  <c r="Q1581" i="2"/>
  <c r="M1581" i="2"/>
  <c r="H1581" i="2"/>
  <c r="Q1580" i="2"/>
  <c r="M1580" i="2"/>
  <c r="H1580" i="2"/>
  <c r="Q1579" i="2"/>
  <c r="M1579" i="2"/>
  <c r="H1579" i="2"/>
  <c r="Q1578" i="2"/>
  <c r="M1578" i="2"/>
  <c r="H1578" i="2"/>
  <c r="Q1577" i="2"/>
  <c r="M1577" i="2"/>
  <c r="H1577" i="2"/>
  <c r="Q1576" i="2"/>
  <c r="M1576" i="2"/>
  <c r="H1576" i="2"/>
  <c r="Q1575" i="2"/>
  <c r="M1575" i="2"/>
  <c r="H1575" i="2"/>
  <c r="Q1574" i="2"/>
  <c r="M1574" i="2"/>
  <c r="H1574" i="2"/>
  <c r="Q1573" i="2"/>
  <c r="M1573" i="2"/>
  <c r="H1573" i="2"/>
  <c r="Q1572" i="2"/>
  <c r="M1572" i="2"/>
  <c r="H1572" i="2"/>
  <c r="Q1571" i="2"/>
  <c r="M1571" i="2"/>
  <c r="H1571" i="2"/>
  <c r="Q1570" i="2"/>
  <c r="M1570" i="2"/>
  <c r="H1570" i="2"/>
  <c r="Q1569" i="2"/>
  <c r="M1569" i="2"/>
  <c r="H1569" i="2"/>
  <c r="Q1568" i="2"/>
  <c r="M1568" i="2"/>
  <c r="H1568" i="2"/>
  <c r="Q1567" i="2"/>
  <c r="M1567" i="2"/>
  <c r="H1567" i="2"/>
  <c r="Q1566" i="2"/>
  <c r="M1566" i="2"/>
  <c r="H1566" i="2"/>
  <c r="Q1565" i="2"/>
  <c r="M1565" i="2"/>
  <c r="H1565" i="2"/>
  <c r="Q1564" i="2"/>
  <c r="M1564" i="2"/>
  <c r="H1564" i="2"/>
  <c r="Q1563" i="2"/>
  <c r="M1563" i="2"/>
  <c r="H1563" i="2"/>
  <c r="Q1562" i="2"/>
  <c r="M1562" i="2"/>
  <c r="H1562" i="2"/>
  <c r="Q1561" i="2"/>
  <c r="M1561" i="2"/>
  <c r="H1561" i="2"/>
  <c r="Q1560" i="2"/>
  <c r="M1560" i="2"/>
  <c r="H1560" i="2"/>
  <c r="Q1559" i="2"/>
  <c r="M1559" i="2"/>
  <c r="H1559" i="2"/>
  <c r="Q1558" i="2"/>
  <c r="M1558" i="2"/>
  <c r="H1558" i="2"/>
  <c r="Q1557" i="2"/>
  <c r="M1557" i="2"/>
  <c r="H1557" i="2"/>
  <c r="Q1556" i="2"/>
  <c r="M1556" i="2"/>
  <c r="H1556" i="2"/>
  <c r="Q1555" i="2"/>
  <c r="M1555" i="2"/>
  <c r="H1555" i="2"/>
  <c r="Q1554" i="2"/>
  <c r="M1554" i="2"/>
  <c r="H1554" i="2"/>
  <c r="Q1553" i="2"/>
  <c r="M1553" i="2"/>
  <c r="H1553" i="2"/>
  <c r="Q1552" i="2"/>
  <c r="M1552" i="2"/>
  <c r="H1552" i="2"/>
  <c r="Q1551" i="2"/>
  <c r="M1551" i="2"/>
  <c r="H1551" i="2"/>
  <c r="Q1550" i="2"/>
  <c r="M1550" i="2"/>
  <c r="H1550" i="2"/>
  <c r="Q1549" i="2"/>
  <c r="M1549" i="2"/>
  <c r="H1549" i="2"/>
  <c r="Q1548" i="2"/>
  <c r="M1548" i="2"/>
  <c r="H1548" i="2"/>
  <c r="Q1547" i="2"/>
  <c r="M1547" i="2"/>
  <c r="H1547" i="2"/>
  <c r="Q1546" i="2"/>
  <c r="M1546" i="2"/>
  <c r="H1546" i="2"/>
  <c r="Q1545" i="2"/>
  <c r="M1545" i="2"/>
  <c r="H1545" i="2"/>
  <c r="Q1544" i="2"/>
  <c r="M1544" i="2"/>
  <c r="H1544" i="2"/>
  <c r="Q1543" i="2"/>
  <c r="M1543" i="2"/>
  <c r="H1543" i="2"/>
  <c r="Q1542" i="2"/>
  <c r="M1542" i="2"/>
  <c r="H1542" i="2"/>
  <c r="Q1541" i="2"/>
  <c r="M1541" i="2"/>
  <c r="H1541" i="2"/>
  <c r="Q1540" i="2"/>
  <c r="M1540" i="2"/>
  <c r="H1540" i="2"/>
  <c r="Q1539" i="2"/>
  <c r="M1539" i="2"/>
  <c r="H1539" i="2"/>
  <c r="Q1538" i="2"/>
  <c r="M1538" i="2"/>
  <c r="H1538" i="2"/>
  <c r="Q1537" i="2"/>
  <c r="M1537" i="2"/>
  <c r="H1537" i="2"/>
  <c r="Q1536" i="2"/>
  <c r="M1536" i="2"/>
  <c r="H1536" i="2"/>
  <c r="Q1535" i="2"/>
  <c r="M1535" i="2"/>
  <c r="H1535" i="2"/>
  <c r="Q1534" i="2"/>
  <c r="M1534" i="2"/>
  <c r="H1534" i="2"/>
  <c r="Q1533" i="2"/>
  <c r="M1533" i="2"/>
  <c r="H1533" i="2"/>
  <c r="Q1532" i="2"/>
  <c r="M1532" i="2"/>
  <c r="H1532" i="2"/>
  <c r="Q1531" i="2"/>
  <c r="M1531" i="2"/>
  <c r="H1531" i="2"/>
  <c r="Q1530" i="2"/>
  <c r="M1530" i="2"/>
  <c r="H1530" i="2"/>
  <c r="Q1529" i="2"/>
  <c r="M1529" i="2"/>
  <c r="H1529" i="2"/>
  <c r="Q1528" i="2"/>
  <c r="M1528" i="2"/>
  <c r="H1528" i="2"/>
  <c r="Q1527" i="2"/>
  <c r="M1527" i="2"/>
  <c r="H1527" i="2"/>
  <c r="Q1526" i="2"/>
  <c r="M1526" i="2"/>
  <c r="H1526" i="2"/>
  <c r="Q1525" i="2"/>
  <c r="M1525" i="2"/>
  <c r="H1525" i="2"/>
  <c r="Q1524" i="2"/>
  <c r="M1524" i="2"/>
  <c r="H1524" i="2"/>
  <c r="Q1523" i="2"/>
  <c r="M1523" i="2"/>
  <c r="H1523" i="2"/>
  <c r="Q1522" i="2"/>
  <c r="M1522" i="2"/>
  <c r="H1522" i="2"/>
  <c r="Q1521" i="2"/>
  <c r="M1521" i="2"/>
  <c r="H1521" i="2"/>
  <c r="Q1520" i="2"/>
  <c r="M1520" i="2"/>
  <c r="H1520" i="2"/>
  <c r="Q1519" i="2"/>
  <c r="M1519" i="2"/>
  <c r="H1519" i="2"/>
  <c r="Q1518" i="2"/>
  <c r="M1518" i="2"/>
  <c r="H1518" i="2"/>
  <c r="Q1517" i="2"/>
  <c r="M1517" i="2"/>
  <c r="H1517" i="2"/>
  <c r="Q1516" i="2"/>
  <c r="M1516" i="2"/>
  <c r="H1516" i="2"/>
  <c r="Q1515" i="2"/>
  <c r="M1515" i="2"/>
  <c r="H1515" i="2"/>
  <c r="Q1514" i="2"/>
  <c r="M1514" i="2"/>
  <c r="H1514" i="2"/>
  <c r="Q1513" i="2"/>
  <c r="M1513" i="2"/>
  <c r="H1513" i="2"/>
  <c r="Q1512" i="2"/>
  <c r="M1512" i="2"/>
  <c r="H1512" i="2"/>
  <c r="Q1511" i="2"/>
  <c r="M1511" i="2"/>
  <c r="H1511" i="2"/>
  <c r="Q1510" i="2"/>
  <c r="M1510" i="2"/>
  <c r="H1510" i="2"/>
  <c r="Q1509" i="2"/>
  <c r="M1509" i="2"/>
  <c r="H1509" i="2"/>
  <c r="Q1508" i="2"/>
  <c r="M1508" i="2"/>
  <c r="H1508" i="2"/>
  <c r="Q1507" i="2"/>
  <c r="M1507" i="2"/>
  <c r="H1507" i="2"/>
  <c r="Q1506" i="2"/>
  <c r="M1506" i="2"/>
  <c r="H1506" i="2"/>
  <c r="Q1505" i="2"/>
  <c r="M1505" i="2"/>
  <c r="H1505" i="2"/>
  <c r="Q1504" i="2"/>
  <c r="M1504" i="2"/>
  <c r="H1504" i="2"/>
  <c r="Q1503" i="2"/>
  <c r="M1503" i="2"/>
  <c r="H1503" i="2"/>
  <c r="Q1502" i="2"/>
  <c r="M1502" i="2"/>
  <c r="H1502" i="2"/>
  <c r="Q1501" i="2"/>
  <c r="M1501" i="2"/>
  <c r="H1501" i="2"/>
  <c r="Q1500" i="2"/>
  <c r="M1500" i="2"/>
  <c r="H1500" i="2"/>
  <c r="Q1499" i="2"/>
  <c r="M1499" i="2"/>
  <c r="H1499" i="2"/>
  <c r="Q1498" i="2"/>
  <c r="M1498" i="2"/>
  <c r="H1498" i="2"/>
  <c r="Q1497" i="2"/>
  <c r="M1497" i="2"/>
  <c r="H1497" i="2"/>
  <c r="Q1496" i="2"/>
  <c r="M1496" i="2"/>
  <c r="H1496" i="2"/>
  <c r="Q1495" i="2"/>
  <c r="M1495" i="2"/>
  <c r="H1495" i="2"/>
  <c r="Q1494" i="2"/>
  <c r="M1494" i="2"/>
  <c r="H1494" i="2"/>
  <c r="Q1493" i="2"/>
  <c r="M1493" i="2"/>
  <c r="H1493" i="2"/>
  <c r="Q1492" i="2"/>
  <c r="M1492" i="2"/>
  <c r="H1492" i="2"/>
  <c r="Q1491" i="2"/>
  <c r="M1491" i="2"/>
  <c r="H1491" i="2"/>
  <c r="Q1490" i="2"/>
  <c r="M1490" i="2"/>
  <c r="H1490" i="2"/>
  <c r="Q1489" i="2"/>
  <c r="M1489" i="2"/>
  <c r="H1489" i="2"/>
  <c r="Q1488" i="2"/>
  <c r="M1488" i="2"/>
  <c r="H1488" i="2"/>
  <c r="Q1487" i="2"/>
  <c r="M1487" i="2"/>
  <c r="H1487" i="2"/>
  <c r="Q1486" i="2"/>
  <c r="M1486" i="2"/>
  <c r="H1486" i="2"/>
  <c r="Q1485" i="2"/>
  <c r="M1485" i="2"/>
  <c r="H1485" i="2"/>
  <c r="Q1484" i="2"/>
  <c r="M1484" i="2"/>
  <c r="H1484" i="2"/>
  <c r="Q1483" i="2"/>
  <c r="M1483" i="2"/>
  <c r="H1483" i="2"/>
  <c r="Q1482" i="2"/>
  <c r="M1482" i="2"/>
  <c r="H1482" i="2"/>
  <c r="Q1481" i="2"/>
  <c r="M1481" i="2"/>
  <c r="H1481" i="2"/>
  <c r="Q1480" i="2"/>
  <c r="M1480" i="2"/>
  <c r="H1480" i="2"/>
  <c r="Q1479" i="2"/>
  <c r="M1479" i="2"/>
  <c r="H1479" i="2"/>
  <c r="Q1478" i="2"/>
  <c r="M1478" i="2"/>
  <c r="H1478" i="2"/>
  <c r="Q1477" i="2"/>
  <c r="M1477" i="2"/>
  <c r="H1477" i="2"/>
  <c r="Q1476" i="2"/>
  <c r="M1476" i="2"/>
  <c r="H1476" i="2"/>
  <c r="Q1475" i="2"/>
  <c r="M1475" i="2"/>
  <c r="H1475" i="2"/>
  <c r="Q1474" i="2"/>
  <c r="M1474" i="2"/>
  <c r="H1474" i="2"/>
  <c r="Q1473" i="2"/>
  <c r="M1473" i="2"/>
  <c r="H1473" i="2"/>
  <c r="Q1472" i="2"/>
  <c r="M1472" i="2"/>
  <c r="H1472" i="2"/>
  <c r="Q1471" i="2"/>
  <c r="M1471" i="2"/>
  <c r="H1471" i="2"/>
  <c r="Q1470" i="2"/>
  <c r="M1470" i="2"/>
  <c r="H1470" i="2"/>
  <c r="Q1469" i="2"/>
  <c r="M1469" i="2"/>
  <c r="H1469" i="2"/>
  <c r="Q1468" i="2"/>
  <c r="M1468" i="2"/>
  <c r="H1468" i="2"/>
  <c r="Q1467" i="2"/>
  <c r="M1467" i="2"/>
  <c r="H1467" i="2"/>
  <c r="Q1466" i="2"/>
  <c r="M1466" i="2"/>
  <c r="H1466" i="2"/>
  <c r="Q1465" i="2"/>
  <c r="M1465" i="2"/>
  <c r="H1465" i="2"/>
  <c r="Q1464" i="2"/>
  <c r="M1464" i="2"/>
  <c r="H1464" i="2"/>
  <c r="Q1463" i="2"/>
  <c r="M1463" i="2"/>
  <c r="H1463" i="2"/>
  <c r="Q1462" i="2"/>
  <c r="M1462" i="2"/>
  <c r="H1462" i="2"/>
  <c r="Q1461" i="2"/>
  <c r="M1461" i="2"/>
  <c r="H1461" i="2"/>
  <c r="Q1460" i="2"/>
  <c r="M1460" i="2"/>
  <c r="H1460" i="2"/>
  <c r="Q1459" i="2"/>
  <c r="M1459" i="2"/>
  <c r="H1459" i="2"/>
  <c r="Q1458" i="2"/>
  <c r="M1458" i="2"/>
  <c r="H1458" i="2"/>
  <c r="Q1457" i="2"/>
  <c r="M1457" i="2"/>
  <c r="H1457" i="2"/>
  <c r="Q1456" i="2"/>
  <c r="M1456" i="2"/>
  <c r="H1456" i="2"/>
  <c r="Q1455" i="2"/>
  <c r="M1455" i="2"/>
  <c r="H1455" i="2"/>
  <c r="Q1454" i="2"/>
  <c r="M1454" i="2"/>
  <c r="H1454" i="2"/>
  <c r="Q1453" i="2"/>
  <c r="M1453" i="2"/>
  <c r="H1453" i="2"/>
  <c r="Q1452" i="2"/>
  <c r="M1452" i="2"/>
  <c r="H1452" i="2"/>
  <c r="Q1451" i="2"/>
  <c r="M1451" i="2"/>
  <c r="H1451" i="2"/>
  <c r="Q1450" i="2"/>
  <c r="M1450" i="2"/>
  <c r="H1450" i="2"/>
  <c r="Q1449" i="2"/>
  <c r="M1449" i="2"/>
  <c r="H1449" i="2"/>
  <c r="Q1448" i="2"/>
  <c r="M1448" i="2"/>
  <c r="H1448" i="2"/>
  <c r="Q1447" i="2"/>
  <c r="M1447" i="2"/>
  <c r="H1447" i="2"/>
  <c r="Q1446" i="2"/>
  <c r="M1446" i="2"/>
  <c r="H1446" i="2"/>
  <c r="Q1445" i="2"/>
  <c r="M1445" i="2"/>
  <c r="H1445" i="2"/>
  <c r="Q1444" i="2"/>
  <c r="M1444" i="2"/>
  <c r="H1444" i="2"/>
  <c r="Q1443" i="2"/>
  <c r="M1443" i="2"/>
  <c r="H1443" i="2"/>
  <c r="Q1442" i="2"/>
  <c r="M1442" i="2"/>
  <c r="H1442" i="2"/>
  <c r="Q1441" i="2"/>
  <c r="M1441" i="2"/>
  <c r="H1441" i="2"/>
  <c r="Q1440" i="2"/>
  <c r="M1440" i="2"/>
  <c r="H1440" i="2"/>
  <c r="Q1439" i="2"/>
  <c r="M1439" i="2"/>
  <c r="H1439" i="2"/>
  <c r="Q1438" i="2"/>
  <c r="M1438" i="2"/>
  <c r="H1438" i="2"/>
  <c r="Q1437" i="2"/>
  <c r="M1437" i="2"/>
  <c r="H1437" i="2"/>
  <c r="Q1436" i="2"/>
  <c r="M1436" i="2"/>
  <c r="H1436" i="2"/>
  <c r="Q1435" i="2"/>
  <c r="M1435" i="2"/>
  <c r="H1435" i="2"/>
  <c r="Q1434" i="2"/>
  <c r="M1434" i="2"/>
  <c r="H1434" i="2"/>
  <c r="Q1433" i="2"/>
  <c r="M1433" i="2"/>
  <c r="H1433" i="2"/>
  <c r="Q1432" i="2"/>
  <c r="M1432" i="2"/>
  <c r="H1432" i="2"/>
  <c r="Q1431" i="2"/>
  <c r="M1431" i="2"/>
  <c r="H1431" i="2"/>
  <c r="Q1430" i="2"/>
  <c r="M1430" i="2"/>
  <c r="H1430" i="2"/>
  <c r="Q1429" i="2"/>
  <c r="M1429" i="2"/>
  <c r="H1429" i="2"/>
  <c r="Q1428" i="2"/>
  <c r="M1428" i="2"/>
  <c r="H1428" i="2"/>
  <c r="Q1427" i="2"/>
  <c r="M1427" i="2"/>
  <c r="H1427" i="2"/>
  <c r="Q1426" i="2"/>
  <c r="M1426" i="2"/>
  <c r="H1426" i="2"/>
  <c r="Q1425" i="2"/>
  <c r="M1425" i="2"/>
  <c r="H1425" i="2"/>
  <c r="Q1424" i="2"/>
  <c r="M1424" i="2"/>
  <c r="H1424" i="2"/>
  <c r="Q1423" i="2"/>
  <c r="M1423" i="2"/>
  <c r="H1423" i="2"/>
  <c r="Q1422" i="2"/>
  <c r="M1422" i="2"/>
  <c r="H1422" i="2"/>
  <c r="Q1421" i="2"/>
  <c r="M1421" i="2"/>
  <c r="H1421" i="2"/>
  <c r="Q1420" i="2"/>
  <c r="M1420" i="2"/>
  <c r="H1420" i="2"/>
  <c r="Q1419" i="2"/>
  <c r="M1419" i="2"/>
  <c r="H1419" i="2"/>
  <c r="Q1418" i="2"/>
  <c r="M1418" i="2"/>
  <c r="H1418" i="2"/>
  <c r="Q1417" i="2"/>
  <c r="M1417" i="2"/>
  <c r="H1417" i="2"/>
  <c r="Q1416" i="2"/>
  <c r="M1416" i="2"/>
  <c r="H1416" i="2"/>
  <c r="Q1415" i="2"/>
  <c r="M1415" i="2"/>
  <c r="H1415" i="2"/>
  <c r="Q1414" i="2"/>
  <c r="M1414" i="2"/>
  <c r="H1414" i="2"/>
  <c r="Q1413" i="2"/>
  <c r="M1413" i="2"/>
  <c r="H1413" i="2"/>
  <c r="Q1412" i="2"/>
  <c r="M1412" i="2"/>
  <c r="H1412" i="2"/>
  <c r="Q1411" i="2"/>
  <c r="M1411" i="2"/>
  <c r="H1411" i="2"/>
  <c r="Q1410" i="2"/>
  <c r="M1410" i="2"/>
  <c r="H1410" i="2"/>
  <c r="Q1409" i="2"/>
  <c r="M1409" i="2"/>
  <c r="H1409" i="2"/>
  <c r="Q1408" i="2"/>
  <c r="M1408" i="2"/>
  <c r="H1408" i="2"/>
  <c r="Q1407" i="2"/>
  <c r="M1407" i="2"/>
  <c r="H1407" i="2"/>
  <c r="Q1406" i="2"/>
  <c r="M1406" i="2"/>
  <c r="H1406" i="2"/>
  <c r="Q1405" i="2"/>
  <c r="M1405" i="2"/>
  <c r="H1405" i="2"/>
  <c r="Q1404" i="2"/>
  <c r="M1404" i="2"/>
  <c r="H1404" i="2"/>
  <c r="Q1403" i="2"/>
  <c r="M1403" i="2"/>
  <c r="H1403" i="2"/>
  <c r="Q1402" i="2"/>
  <c r="M1402" i="2"/>
  <c r="H1402" i="2"/>
  <c r="Q1401" i="2"/>
  <c r="M1401" i="2"/>
  <c r="H1401" i="2"/>
  <c r="Q1400" i="2"/>
  <c r="M1400" i="2"/>
  <c r="H1400" i="2"/>
  <c r="Q1399" i="2"/>
  <c r="M1399" i="2"/>
  <c r="H1399" i="2"/>
  <c r="Q1398" i="2"/>
  <c r="M1398" i="2"/>
  <c r="H1398" i="2"/>
  <c r="Q1397" i="2"/>
  <c r="M1397" i="2"/>
  <c r="H1397" i="2"/>
  <c r="Q1396" i="2"/>
  <c r="M1396" i="2"/>
  <c r="H1396" i="2"/>
  <c r="Q1395" i="2"/>
  <c r="M1395" i="2"/>
  <c r="H1395" i="2"/>
  <c r="Q1394" i="2"/>
  <c r="M1394" i="2"/>
  <c r="H1394" i="2"/>
  <c r="Q1393" i="2"/>
  <c r="M1393" i="2"/>
  <c r="H1393" i="2"/>
  <c r="Q1392" i="2"/>
  <c r="M1392" i="2"/>
  <c r="H1392" i="2"/>
  <c r="Q1391" i="2"/>
  <c r="M1391" i="2"/>
  <c r="H1391" i="2"/>
  <c r="Q1390" i="2"/>
  <c r="M1390" i="2"/>
  <c r="H1390" i="2"/>
  <c r="Q1389" i="2"/>
  <c r="M1389" i="2"/>
  <c r="H1389" i="2"/>
  <c r="Q1388" i="2"/>
  <c r="M1388" i="2"/>
  <c r="H1388" i="2"/>
  <c r="Q1387" i="2"/>
  <c r="M1387" i="2"/>
  <c r="H1387" i="2"/>
  <c r="Q1386" i="2"/>
  <c r="M1386" i="2"/>
  <c r="H1386" i="2"/>
  <c r="Q1385" i="2"/>
  <c r="M1385" i="2"/>
  <c r="H1385" i="2"/>
  <c r="Q1384" i="2"/>
  <c r="M1384" i="2"/>
  <c r="H1384" i="2"/>
  <c r="Q1383" i="2"/>
  <c r="M1383" i="2"/>
  <c r="H1383" i="2"/>
  <c r="Q1382" i="2"/>
  <c r="M1382" i="2"/>
  <c r="H1382" i="2"/>
  <c r="Q1381" i="2"/>
  <c r="M1381" i="2"/>
  <c r="H1381" i="2"/>
  <c r="Q1380" i="2"/>
  <c r="M1380" i="2"/>
  <c r="H1380" i="2"/>
  <c r="Q1379" i="2"/>
  <c r="M1379" i="2"/>
  <c r="H1379" i="2"/>
  <c r="Q1378" i="2"/>
  <c r="M1378" i="2"/>
  <c r="H1378" i="2"/>
  <c r="Q44" i="2"/>
  <c r="M44" i="2"/>
  <c r="H44" i="2"/>
  <c r="Q43" i="2"/>
  <c r="M43" i="2"/>
  <c r="H43" i="2"/>
  <c r="Q42" i="2"/>
  <c r="M42" i="2"/>
  <c r="H42" i="2"/>
  <c r="Q41" i="2"/>
  <c r="M41" i="2"/>
  <c r="H41" i="2"/>
  <c r="Q40" i="2"/>
  <c r="M40" i="2"/>
  <c r="H40" i="2"/>
  <c r="Q39" i="2"/>
  <c r="M39" i="2"/>
  <c r="H39" i="2"/>
  <c r="Q38" i="2"/>
  <c r="M38" i="2"/>
  <c r="H38" i="2"/>
  <c r="Q37" i="2"/>
  <c r="M37" i="2"/>
  <c r="H37" i="2"/>
  <c r="Q36" i="2"/>
  <c r="M36" i="2"/>
  <c r="H36" i="2"/>
  <c r="Q35" i="2"/>
  <c r="M35" i="2"/>
  <c r="H35" i="2"/>
  <c r="Q34" i="2"/>
  <c r="M34" i="2"/>
  <c r="H34" i="2"/>
  <c r="Q33" i="2"/>
  <c r="M33" i="2"/>
  <c r="H33" i="2"/>
  <c r="Q32" i="2"/>
  <c r="M32" i="2"/>
  <c r="H32" i="2"/>
  <c r="Q31" i="2"/>
  <c r="M31" i="2"/>
  <c r="H31" i="2"/>
  <c r="Q30" i="2"/>
  <c r="M30" i="2"/>
  <c r="H30" i="2"/>
  <c r="Q29" i="2"/>
  <c r="M29" i="2"/>
  <c r="H29" i="2"/>
  <c r="Q28" i="2"/>
  <c r="M28" i="2"/>
  <c r="H28" i="2"/>
  <c r="Q27" i="2"/>
  <c r="M27" i="2"/>
  <c r="H27" i="2"/>
  <c r="Q26" i="2"/>
  <c r="M26" i="2"/>
  <c r="H26" i="2"/>
  <c r="Q24" i="2"/>
  <c r="M24" i="2"/>
  <c r="H24" i="2"/>
  <c r="Q22" i="2"/>
  <c r="M22" i="2"/>
  <c r="H22" i="2"/>
  <c r="Q21" i="2"/>
  <c r="M21" i="2"/>
  <c r="H21" i="2"/>
  <c r="Q20" i="2"/>
  <c r="M20" i="2"/>
  <c r="H20" i="2"/>
  <c r="Q19" i="2"/>
  <c r="M19" i="2"/>
  <c r="H19" i="2"/>
  <c r="Q18" i="2"/>
  <c r="M18" i="2"/>
  <c r="H18" i="2"/>
  <c r="Q17" i="2"/>
  <c r="M17" i="2"/>
  <c r="H17" i="2"/>
  <c r="Q16" i="2"/>
  <c r="M16" i="2"/>
  <c r="H16" i="2"/>
  <c r="Q15" i="2"/>
  <c r="M15" i="2"/>
  <c r="H15" i="2"/>
  <c r="Q14" i="2"/>
  <c r="M14" i="2"/>
  <c r="H14" i="2"/>
  <c r="Q13" i="2"/>
  <c r="M13" i="2"/>
  <c r="H13" i="2"/>
  <c r="Q12" i="2"/>
  <c r="M12" i="2"/>
  <c r="H12" i="2"/>
  <c r="Q11" i="2"/>
  <c r="M11" i="2"/>
  <c r="H11" i="2"/>
  <c r="Q10" i="2"/>
  <c r="M10" i="2"/>
  <c r="H10" i="2"/>
  <c r="Q9" i="2"/>
  <c r="M9" i="2"/>
  <c r="H9" i="2"/>
  <c r="Q8" i="2"/>
  <c r="M8" i="2"/>
  <c r="H8" i="2"/>
  <c r="Q7" i="2"/>
  <c r="M7" i="2"/>
  <c r="H7" i="2"/>
  <c r="C2895" i="2"/>
  <c r="C2903" i="2"/>
  <c r="C2899" i="2"/>
  <c r="C2898" i="2"/>
  <c r="C2865" i="2"/>
  <c r="R2262" i="2" l="1"/>
  <c r="T2262" i="2" s="1"/>
  <c r="U2262" i="2" s="1"/>
  <c r="R2183" i="2"/>
  <c r="T2183" i="2" s="1"/>
  <c r="U2183" i="2" s="1"/>
  <c r="R2009" i="2"/>
  <c r="T2009" i="2" s="1"/>
  <c r="U2009" i="2" s="1"/>
  <c r="R2013" i="2"/>
  <c r="T2013" i="2" s="1"/>
  <c r="U2013" i="2" s="1"/>
  <c r="R2017" i="2"/>
  <c r="T2017" i="2" s="1"/>
  <c r="U2017" i="2" s="1"/>
  <c r="R1987" i="2"/>
  <c r="T1987" i="2" s="1"/>
  <c r="U1987" i="2" s="1"/>
  <c r="R1983" i="2"/>
  <c r="T1983" i="2" s="1"/>
  <c r="U1983" i="2" s="1"/>
  <c r="R1985" i="2"/>
  <c r="T1985" i="2" s="1"/>
  <c r="U1985" i="2" s="1"/>
  <c r="R2141" i="2"/>
  <c r="T2141" i="2" s="1"/>
  <c r="U2141" i="2" s="1"/>
  <c r="R7" i="2"/>
  <c r="T7" i="2" s="1"/>
  <c r="U7" i="2" s="1"/>
  <c r="R2402" i="2"/>
  <c r="T2402" i="2" s="1"/>
  <c r="U2402" i="2" s="1"/>
  <c r="R2474" i="2"/>
  <c r="T2474" i="2" s="1"/>
  <c r="U2474" i="2" s="1"/>
  <c r="R2482" i="2"/>
  <c r="T2482" i="2" s="1"/>
  <c r="U2482" i="2" s="1"/>
  <c r="R2518" i="2"/>
  <c r="T2518" i="2" s="1"/>
  <c r="U2518" i="2" s="1"/>
  <c r="R2308" i="2"/>
  <c r="T2308" i="2" s="1"/>
  <c r="U2308" i="2" s="1"/>
  <c r="R2348" i="2"/>
  <c r="T2348" i="2" s="1"/>
  <c r="U2348" i="2" s="1"/>
  <c r="R2356" i="2"/>
  <c r="T2356" i="2" s="1"/>
  <c r="U2356" i="2" s="1"/>
  <c r="R2360" i="2"/>
  <c r="T2360" i="2" s="1"/>
  <c r="U2360" i="2" s="1"/>
  <c r="R2045" i="2"/>
  <c r="T2045" i="2" s="1"/>
  <c r="U2045" i="2" s="1"/>
  <c r="R1653" i="2"/>
  <c r="T1653" i="2" s="1"/>
  <c r="U1653" i="2" s="1"/>
  <c r="R1661" i="2"/>
  <c r="T1661" i="2" s="1"/>
  <c r="U1661" i="2" s="1"/>
  <c r="R1665" i="2"/>
  <c r="T1665" i="2" s="1"/>
  <c r="U1665" i="2" s="1"/>
  <c r="R1673" i="2"/>
  <c r="T1673" i="2" s="1"/>
  <c r="U1673" i="2" s="1"/>
  <c r="R1817" i="2"/>
  <c r="T1817" i="2" s="1"/>
  <c r="U1817" i="2" s="1"/>
  <c r="R1829" i="2"/>
  <c r="T1829" i="2" s="1"/>
  <c r="U1829" i="2" s="1"/>
  <c r="R1841" i="2"/>
  <c r="T1841" i="2" s="1"/>
  <c r="U1841" i="2" s="1"/>
  <c r="R1845" i="2"/>
  <c r="T1845" i="2" s="1"/>
  <c r="U1845" i="2" s="1"/>
  <c r="R1853" i="2"/>
  <c r="T1853" i="2" s="1"/>
  <c r="U1853" i="2" s="1"/>
  <c r="R2185" i="2"/>
  <c r="T2185" i="2" s="1"/>
  <c r="U2185" i="2" s="1"/>
  <c r="R2249" i="2"/>
  <c r="T2249" i="2" s="1"/>
  <c r="U2249" i="2" s="1"/>
  <c r="R1991" i="2"/>
  <c r="T1991" i="2" s="1"/>
  <c r="U1991" i="2" s="1"/>
  <c r="R1677" i="2"/>
  <c r="T1677" i="2" s="1"/>
  <c r="U1677" i="2" s="1"/>
  <c r="R1785" i="2"/>
  <c r="T1785" i="2" s="1"/>
  <c r="U1785" i="2" s="1"/>
  <c r="R2169" i="2"/>
  <c r="T2169" i="2" s="1"/>
  <c r="U2169" i="2" s="1"/>
  <c r="R2534" i="2"/>
  <c r="T2534" i="2" s="1"/>
  <c r="U2534" i="2" s="1"/>
  <c r="R1806" i="2"/>
  <c r="T1806" i="2" s="1"/>
  <c r="U1806" i="2" s="1"/>
  <c r="R2600" i="2"/>
  <c r="T2600" i="2" s="1"/>
  <c r="U2600" i="2" s="1"/>
  <c r="R1941" i="2"/>
  <c r="T1941" i="2" s="1"/>
  <c r="U1941" i="2" s="1"/>
  <c r="R1913" i="2"/>
  <c r="T1913" i="2" s="1"/>
  <c r="U1913" i="2" s="1"/>
  <c r="R1929" i="2"/>
  <c r="T1929" i="2" s="1"/>
  <c r="U1929" i="2" s="1"/>
  <c r="R2201" i="2"/>
  <c r="T2201" i="2" s="1"/>
  <c r="U2201" i="2" s="1"/>
  <c r="R2350" i="2"/>
  <c r="T2350" i="2" s="1"/>
  <c r="U2350" i="2" s="1"/>
  <c r="R2406" i="2"/>
  <c r="T2406" i="2" s="1"/>
  <c r="U2406" i="2" s="1"/>
  <c r="R2410" i="2"/>
  <c r="T2410" i="2" s="1"/>
  <c r="U2410" i="2" s="1"/>
  <c r="R2506" i="2"/>
  <c r="T2506" i="2" s="1"/>
  <c r="U2506" i="2" s="1"/>
  <c r="R2646" i="2"/>
  <c r="T2646" i="2" s="1"/>
  <c r="U2646" i="2" s="1"/>
  <c r="R9" i="2"/>
  <c r="T9" i="2" s="1"/>
  <c r="U9" i="2" s="1"/>
  <c r="R12" i="2"/>
  <c r="T12" i="2" s="1"/>
  <c r="U12" i="2" s="1"/>
  <c r="R14" i="2"/>
  <c r="T14" i="2" s="1"/>
  <c r="U14" i="2" s="1"/>
  <c r="R1419" i="2"/>
  <c r="T1419" i="2" s="1"/>
  <c r="U1419" i="2" s="1"/>
  <c r="R1447" i="2"/>
  <c r="T1447" i="2" s="1"/>
  <c r="U1447" i="2" s="1"/>
  <c r="R1487" i="2"/>
  <c r="T1487" i="2" s="1"/>
  <c r="U1487" i="2" s="1"/>
  <c r="R1507" i="2"/>
  <c r="T1507" i="2" s="1"/>
  <c r="U1507" i="2" s="1"/>
  <c r="R1511" i="2"/>
  <c r="T1511" i="2" s="1"/>
  <c r="U1511" i="2" s="1"/>
  <c r="R1527" i="2"/>
  <c r="T1527" i="2" s="1"/>
  <c r="U1527" i="2" s="1"/>
  <c r="R1579" i="2"/>
  <c r="T1579" i="2" s="1"/>
  <c r="U1579" i="2" s="1"/>
  <c r="R1583" i="2"/>
  <c r="T1583" i="2" s="1"/>
  <c r="U1583" i="2" s="1"/>
  <c r="R1603" i="2"/>
  <c r="T1603" i="2" s="1"/>
  <c r="U1603" i="2" s="1"/>
  <c r="R1607" i="2"/>
  <c r="T1607" i="2" s="1"/>
  <c r="U1607" i="2" s="1"/>
  <c r="R1611" i="2"/>
  <c r="T1611" i="2" s="1"/>
  <c r="U1611" i="2" s="1"/>
  <c r="R1619" i="2"/>
  <c r="T1619" i="2" s="1"/>
  <c r="U1619" i="2" s="1"/>
  <c r="R1623" i="2"/>
  <c r="T1623" i="2" s="1"/>
  <c r="U1623" i="2" s="1"/>
  <c r="R1627" i="2"/>
  <c r="T1627" i="2" s="1"/>
  <c r="U1627" i="2" s="1"/>
  <c r="R1631" i="2"/>
  <c r="T1631" i="2" s="1"/>
  <c r="U1631" i="2" s="1"/>
  <c r="R1635" i="2"/>
  <c r="T1635" i="2" s="1"/>
  <c r="U1635" i="2" s="1"/>
  <c r="R1651" i="2"/>
  <c r="T1651" i="2" s="1"/>
  <c r="U1651" i="2" s="1"/>
  <c r="R1655" i="2"/>
  <c r="T1655" i="2" s="1"/>
  <c r="U1655" i="2" s="1"/>
  <c r="R1659" i="2"/>
  <c r="T1659" i="2" s="1"/>
  <c r="U1659" i="2" s="1"/>
  <c r="R1679" i="2"/>
  <c r="T1679" i="2" s="1"/>
  <c r="U1679" i="2" s="1"/>
  <c r="R1683" i="2"/>
  <c r="T1683" i="2" s="1"/>
  <c r="U1683" i="2" s="1"/>
  <c r="R1687" i="2"/>
  <c r="T1687" i="2" s="1"/>
  <c r="U1687" i="2" s="1"/>
  <c r="R1779" i="2"/>
  <c r="T1779" i="2" s="1"/>
  <c r="U1779" i="2" s="1"/>
  <c r="R1915" i="2"/>
  <c r="T1915" i="2" s="1"/>
  <c r="U1915" i="2" s="1"/>
  <c r="R1919" i="2"/>
  <c r="T1919" i="2" s="1"/>
  <c r="U1919" i="2" s="1"/>
  <c r="R2505" i="2"/>
  <c r="T2505" i="2" s="1"/>
  <c r="U2505" i="2" s="1"/>
  <c r="R1789" i="2"/>
  <c r="T1789" i="2" s="1"/>
  <c r="U1789" i="2" s="1"/>
  <c r="R2085" i="2"/>
  <c r="T2085" i="2" s="1"/>
  <c r="U2085" i="2" s="1"/>
  <c r="R1471" i="2"/>
  <c r="T1471" i="2" s="1"/>
  <c r="U1471" i="2" s="1"/>
  <c r="R1492" i="2"/>
  <c r="T1492" i="2" s="1"/>
  <c r="U1492" i="2" s="1"/>
  <c r="R1508" i="2"/>
  <c r="T1508" i="2" s="1"/>
  <c r="U1508" i="2" s="1"/>
  <c r="R1524" i="2"/>
  <c r="T1524" i="2" s="1"/>
  <c r="U1524" i="2" s="1"/>
  <c r="R1536" i="2"/>
  <c r="T1536" i="2" s="1"/>
  <c r="U1536" i="2" s="1"/>
  <c r="R1572" i="2"/>
  <c r="T1572" i="2" s="1"/>
  <c r="U1572" i="2" s="1"/>
  <c r="R1576" i="2"/>
  <c r="T1576" i="2" s="1"/>
  <c r="U1576" i="2" s="1"/>
  <c r="R1820" i="2"/>
  <c r="T1820" i="2" s="1"/>
  <c r="U1820" i="2" s="1"/>
  <c r="R1896" i="2"/>
  <c r="T1896" i="2" s="1"/>
  <c r="U1896" i="2" s="1"/>
  <c r="R1900" i="2"/>
  <c r="T1900" i="2" s="1"/>
  <c r="U1900" i="2" s="1"/>
  <c r="R1908" i="2"/>
  <c r="T1908" i="2" s="1"/>
  <c r="U1908" i="2" s="1"/>
  <c r="R1968" i="2"/>
  <c r="T1968" i="2" s="1"/>
  <c r="U1968" i="2" s="1"/>
  <c r="R1996" i="2"/>
  <c r="T1996" i="2" s="1"/>
  <c r="U1996" i="2" s="1"/>
  <c r="R2048" i="2"/>
  <c r="T2048" i="2" s="1"/>
  <c r="U2048" i="2" s="1"/>
  <c r="R2052" i="2"/>
  <c r="T2052" i="2" s="1"/>
  <c r="U2052" i="2" s="1"/>
  <c r="R2060" i="2"/>
  <c r="T2060" i="2" s="1"/>
  <c r="U2060" i="2" s="1"/>
  <c r="R2064" i="2"/>
  <c r="T2064" i="2" s="1"/>
  <c r="U2064" i="2" s="1"/>
  <c r="R2084" i="2"/>
  <c r="T2084" i="2" s="1"/>
  <c r="U2084" i="2" s="1"/>
  <c r="R2092" i="2"/>
  <c r="T2092" i="2" s="1"/>
  <c r="U2092" i="2" s="1"/>
  <c r="R2096" i="2"/>
  <c r="T2096" i="2" s="1"/>
  <c r="U2096" i="2" s="1"/>
  <c r="R2049" i="2"/>
  <c r="T2049" i="2" s="1"/>
  <c r="U2049" i="2" s="1"/>
  <c r="R2061" i="2"/>
  <c r="T2061" i="2" s="1"/>
  <c r="U2061" i="2" s="1"/>
  <c r="R2089" i="2"/>
  <c r="T2089" i="2" s="1"/>
  <c r="U2089" i="2" s="1"/>
  <c r="R2101" i="2"/>
  <c r="T2101" i="2" s="1"/>
  <c r="U2101" i="2" s="1"/>
  <c r="R2261" i="2"/>
  <c r="T2261" i="2" s="1"/>
  <c r="U2261" i="2" s="1"/>
  <c r="R2650" i="2"/>
  <c r="T2650" i="2" s="1"/>
  <c r="U2650" i="2" s="1"/>
  <c r="R2195" i="2"/>
  <c r="T2195" i="2" s="1"/>
  <c r="U2195" i="2" s="1"/>
  <c r="R1972" i="2"/>
  <c r="T1972" i="2" s="1"/>
  <c r="U1972" i="2" s="1"/>
  <c r="R1423" i="2"/>
  <c r="T1423" i="2" s="1"/>
  <c r="U1423" i="2" s="1"/>
  <c r="R1428" i="2"/>
  <c r="T1428" i="2" s="1"/>
  <c r="U1428" i="2" s="1"/>
  <c r="R1552" i="2"/>
  <c r="T1552" i="2" s="1"/>
  <c r="U1552" i="2" s="1"/>
  <c r="R1592" i="2"/>
  <c r="T1592" i="2" s="1"/>
  <c r="U1592" i="2" s="1"/>
  <c r="R2008" i="2"/>
  <c r="T2008" i="2" s="1"/>
  <c r="U2008" i="2" s="1"/>
  <c r="R1681" i="2"/>
  <c r="T1681" i="2" s="1"/>
  <c r="U1681" i="2" s="1"/>
  <c r="R2113" i="2"/>
  <c r="T2113" i="2" s="1"/>
  <c r="U2113" i="2" s="1"/>
  <c r="R2393" i="2"/>
  <c r="T2393" i="2" s="1"/>
  <c r="U2393" i="2" s="1"/>
  <c r="R2397" i="2"/>
  <c r="T2397" i="2" s="1"/>
  <c r="U2397" i="2" s="1"/>
  <c r="R2401" i="2"/>
  <c r="T2401" i="2" s="1"/>
  <c r="U2401" i="2" s="1"/>
  <c r="R2441" i="2"/>
  <c r="T2441" i="2" s="1"/>
  <c r="U2441" i="2" s="1"/>
  <c r="R2469" i="2"/>
  <c r="T2469" i="2" s="1"/>
  <c r="U2469" i="2" s="1"/>
  <c r="R2477" i="2"/>
  <c r="T2477" i="2" s="1"/>
  <c r="U2477" i="2" s="1"/>
  <c r="R2481" i="2"/>
  <c r="T2481" i="2" s="1"/>
  <c r="U2481" i="2" s="1"/>
  <c r="R2521" i="2"/>
  <c r="T2521" i="2" s="1"/>
  <c r="U2521" i="2" s="1"/>
  <c r="R2533" i="2"/>
  <c r="T2533" i="2" s="1"/>
  <c r="U2533" i="2" s="1"/>
  <c r="R2549" i="2"/>
  <c r="T2549" i="2" s="1"/>
  <c r="U2549" i="2" s="1"/>
  <c r="R2573" i="2"/>
  <c r="T2573" i="2" s="1"/>
  <c r="U2573" i="2" s="1"/>
  <c r="R2577" i="2"/>
  <c r="T2577" i="2" s="1"/>
  <c r="U2577" i="2" s="1"/>
  <c r="R2669" i="2"/>
  <c r="T2669" i="2" s="1"/>
  <c r="U2669" i="2" s="1"/>
  <c r="R2729" i="2"/>
  <c r="T2729" i="2" s="1"/>
  <c r="U2729" i="2" s="1"/>
  <c r="R2733" i="2"/>
  <c r="T2733" i="2" s="1"/>
  <c r="U2733" i="2" s="1"/>
  <c r="R2542" i="2"/>
  <c r="T2542" i="2" s="1"/>
  <c r="U2542" i="2" s="1"/>
  <c r="R2682" i="2"/>
  <c r="T2682" i="2" s="1"/>
  <c r="U2682" i="2" s="1"/>
  <c r="R2746" i="2"/>
  <c r="T2746" i="2" s="1"/>
  <c r="U2746" i="2" s="1"/>
  <c r="R2750" i="2"/>
  <c r="T2750" i="2" s="1"/>
  <c r="U2750" i="2" s="1"/>
  <c r="R2754" i="2"/>
  <c r="T2754" i="2" s="1"/>
  <c r="U2754" i="2" s="1"/>
  <c r="R1963" i="2"/>
  <c r="T1963" i="2" s="1"/>
  <c r="U1963" i="2" s="1"/>
  <c r="R1999" i="2"/>
  <c r="T1999" i="2" s="1"/>
  <c r="U1999" i="2" s="1"/>
  <c r="R1867" i="2"/>
  <c r="T1867" i="2" s="1"/>
  <c r="U1867" i="2" s="1"/>
  <c r="R2071" i="2"/>
  <c r="T2071" i="2" s="1"/>
  <c r="U2071" i="2" s="1"/>
  <c r="R2075" i="2"/>
  <c r="T2075" i="2" s="1"/>
  <c r="U2075" i="2" s="1"/>
  <c r="R2079" i="2"/>
  <c r="T2079" i="2" s="1"/>
  <c r="U2079" i="2" s="1"/>
  <c r="R2083" i="2"/>
  <c r="T2083" i="2" s="1"/>
  <c r="U2083" i="2" s="1"/>
  <c r="R2091" i="2"/>
  <c r="T2091" i="2" s="1"/>
  <c r="U2091" i="2" s="1"/>
  <c r="R2103" i="2"/>
  <c r="T2103" i="2" s="1"/>
  <c r="U2103" i="2" s="1"/>
  <c r="R2107" i="2"/>
  <c r="T2107" i="2" s="1"/>
  <c r="U2107" i="2" s="1"/>
  <c r="R2111" i="2"/>
  <c r="T2111" i="2" s="1"/>
  <c r="U2111" i="2" s="1"/>
  <c r="R2115" i="2"/>
  <c r="T2115" i="2" s="1"/>
  <c r="U2115" i="2" s="1"/>
  <c r="R2123" i="2"/>
  <c r="T2123" i="2" s="1"/>
  <c r="U2123" i="2" s="1"/>
  <c r="R2139" i="2"/>
  <c r="T2139" i="2" s="1"/>
  <c r="U2139" i="2" s="1"/>
  <c r="R2147" i="2"/>
  <c r="T2147" i="2" s="1"/>
  <c r="U2147" i="2" s="1"/>
  <c r="R2239" i="2"/>
  <c r="T2239" i="2" s="1"/>
  <c r="U2239" i="2" s="1"/>
  <c r="R2251" i="2"/>
  <c r="T2251" i="2" s="1"/>
  <c r="U2251" i="2" s="1"/>
  <c r="R2255" i="2"/>
  <c r="T2255" i="2" s="1"/>
  <c r="U2255" i="2" s="1"/>
  <c r="R2267" i="2"/>
  <c r="T2267" i="2" s="1"/>
  <c r="U2267" i="2" s="1"/>
  <c r="R2291" i="2"/>
  <c r="T2291" i="2" s="1"/>
  <c r="U2291" i="2" s="1"/>
  <c r="R2431" i="2"/>
  <c r="T2431" i="2" s="1"/>
  <c r="U2431" i="2" s="1"/>
  <c r="R2459" i="2"/>
  <c r="T2459" i="2" s="1"/>
  <c r="U2459" i="2" s="1"/>
  <c r="R2579" i="2"/>
  <c r="T2579" i="2" s="1"/>
  <c r="U2579" i="2" s="1"/>
  <c r="R2591" i="2"/>
  <c r="T2591" i="2" s="1"/>
  <c r="U2591" i="2" s="1"/>
  <c r="R2595" i="2"/>
  <c r="T2595" i="2" s="1"/>
  <c r="U2595" i="2" s="1"/>
  <c r="R2603" i="2"/>
  <c r="T2603" i="2" s="1"/>
  <c r="U2603" i="2" s="1"/>
  <c r="R2615" i="2"/>
  <c r="T2615" i="2" s="1"/>
  <c r="U2615" i="2" s="1"/>
  <c r="R2655" i="2"/>
  <c r="T2655" i="2" s="1"/>
  <c r="U2655" i="2" s="1"/>
  <c r="R2735" i="2"/>
  <c r="T2735" i="2" s="1"/>
  <c r="U2735" i="2" s="1"/>
  <c r="R2739" i="2"/>
  <c r="T2739" i="2" s="1"/>
  <c r="U2739" i="2" s="1"/>
  <c r="R2743" i="2"/>
  <c r="T2743" i="2" s="1"/>
  <c r="U2743" i="2" s="1"/>
  <c r="R2100" i="2"/>
  <c r="T2100" i="2" s="1"/>
  <c r="U2100" i="2" s="1"/>
  <c r="R2108" i="2"/>
  <c r="T2108" i="2" s="1"/>
  <c r="U2108" i="2" s="1"/>
  <c r="R2112" i="2"/>
  <c r="T2112" i="2" s="1"/>
  <c r="U2112" i="2" s="1"/>
  <c r="R2168" i="2"/>
  <c r="T2168" i="2" s="1"/>
  <c r="U2168" i="2" s="1"/>
  <c r="R2180" i="2"/>
  <c r="T2180" i="2" s="1"/>
  <c r="U2180" i="2" s="1"/>
  <c r="R2436" i="2"/>
  <c r="T2436" i="2" s="1"/>
  <c r="U2436" i="2" s="1"/>
  <c r="R2448" i="2"/>
  <c r="T2448" i="2" s="1"/>
  <c r="U2448" i="2" s="1"/>
  <c r="R2472" i="2"/>
  <c r="T2472" i="2" s="1"/>
  <c r="U2472" i="2" s="1"/>
  <c r="R2508" i="2"/>
  <c r="T2508" i="2" s="1"/>
  <c r="U2508" i="2" s="1"/>
  <c r="R1649" i="2"/>
  <c r="T1649" i="2" s="1"/>
  <c r="U1649" i="2" s="1"/>
  <c r="R2121" i="2"/>
  <c r="T2121" i="2" s="1"/>
  <c r="U2121" i="2" s="1"/>
  <c r="R2449" i="2"/>
  <c r="T2449" i="2" s="1"/>
  <c r="U2449" i="2" s="1"/>
  <c r="R2554" i="2"/>
  <c r="T2554" i="2" s="1"/>
  <c r="U2554" i="2" s="1"/>
  <c r="R2778" i="2"/>
  <c r="T2778" i="2" s="1"/>
  <c r="U2778" i="2" s="1"/>
  <c r="R1815" i="2"/>
  <c r="T1815" i="2" s="1"/>
  <c r="U1815" i="2" s="1"/>
  <c r="R1891" i="2"/>
  <c r="T1891" i="2" s="1"/>
  <c r="U1891" i="2" s="1"/>
  <c r="R1943" i="2"/>
  <c r="T1943" i="2" s="1"/>
  <c r="U1943" i="2" s="1"/>
  <c r="R1947" i="2"/>
  <c r="T1947" i="2" s="1"/>
  <c r="U1947" i="2" s="1"/>
  <c r="R2155" i="2"/>
  <c r="T2155" i="2" s="1"/>
  <c r="U2155" i="2" s="1"/>
  <c r="R10" i="2"/>
  <c r="T10" i="2" s="1"/>
  <c r="U10" i="2" s="1"/>
  <c r="R29" i="2"/>
  <c r="T29" i="2" s="1"/>
  <c r="U29" i="2" s="1"/>
  <c r="R1421" i="2"/>
  <c r="T1421" i="2" s="1"/>
  <c r="U1421" i="2" s="1"/>
  <c r="R1445" i="2"/>
  <c r="T1445" i="2" s="1"/>
  <c r="U1445" i="2" s="1"/>
  <c r="R1477" i="2"/>
  <c r="T1477" i="2" s="1"/>
  <c r="U1477" i="2" s="1"/>
  <c r="R1485" i="2"/>
  <c r="T1485" i="2" s="1"/>
  <c r="U1485" i="2" s="1"/>
  <c r="R1497" i="2"/>
  <c r="T1497" i="2" s="1"/>
  <c r="U1497" i="2" s="1"/>
  <c r="R1501" i="2"/>
  <c r="T1501" i="2" s="1"/>
  <c r="U1501" i="2" s="1"/>
  <c r="R1505" i="2"/>
  <c r="T1505" i="2" s="1"/>
  <c r="U1505" i="2" s="1"/>
  <c r="R1533" i="2"/>
  <c r="T1533" i="2" s="1"/>
  <c r="U1533" i="2" s="1"/>
  <c r="R1537" i="2"/>
  <c r="T1537" i="2" s="1"/>
  <c r="U1537" i="2" s="1"/>
  <c r="R1541" i="2"/>
  <c r="T1541" i="2" s="1"/>
  <c r="U1541" i="2" s="1"/>
  <c r="R1545" i="2"/>
  <c r="T1545" i="2" s="1"/>
  <c r="U1545" i="2" s="1"/>
  <c r="R1549" i="2"/>
  <c r="T1549" i="2" s="1"/>
  <c r="U1549" i="2" s="1"/>
  <c r="R1553" i="2"/>
  <c r="T1553" i="2" s="1"/>
  <c r="U1553" i="2" s="1"/>
  <c r="R1585" i="2"/>
  <c r="T1585" i="2" s="1"/>
  <c r="U1585" i="2" s="1"/>
  <c r="R1593" i="2"/>
  <c r="T1593" i="2" s="1"/>
  <c r="U1593" i="2" s="1"/>
  <c r="R1597" i="2"/>
  <c r="T1597" i="2" s="1"/>
  <c r="U1597" i="2" s="1"/>
  <c r="R1605" i="2"/>
  <c r="T1605" i="2" s="1"/>
  <c r="U1605" i="2" s="1"/>
  <c r="R1609" i="2"/>
  <c r="T1609" i="2" s="1"/>
  <c r="U1609" i="2" s="1"/>
  <c r="R1633" i="2"/>
  <c r="T1633" i="2" s="1"/>
  <c r="U1633" i="2" s="1"/>
  <c r="R1637" i="2"/>
  <c r="T1637" i="2" s="1"/>
  <c r="U1637" i="2" s="1"/>
  <c r="R1641" i="2"/>
  <c r="T1641" i="2" s="1"/>
  <c r="U1641" i="2" s="1"/>
  <c r="R2337" i="2"/>
  <c r="T2337" i="2" s="1"/>
  <c r="U2337" i="2" s="1"/>
  <c r="R2341" i="2"/>
  <c r="T2341" i="2" s="1"/>
  <c r="U2341" i="2" s="1"/>
  <c r="R2345" i="2"/>
  <c r="T2345" i="2" s="1"/>
  <c r="U2345" i="2" s="1"/>
  <c r="R2349" i="2"/>
  <c r="T2349" i="2" s="1"/>
  <c r="U2349" i="2" s="1"/>
  <c r="R2357" i="2"/>
  <c r="T2357" i="2" s="1"/>
  <c r="U2357" i="2" s="1"/>
  <c r="R2365" i="2"/>
  <c r="T2365" i="2" s="1"/>
  <c r="U2365" i="2" s="1"/>
  <c r="R2409" i="2"/>
  <c r="T2409" i="2" s="1"/>
  <c r="U2409" i="2" s="1"/>
  <c r="R2433" i="2"/>
  <c r="T2433" i="2" s="1"/>
  <c r="U2433" i="2" s="1"/>
  <c r="R1865" i="2"/>
  <c r="T1865" i="2" s="1"/>
  <c r="U1865" i="2" s="1"/>
  <c r="R2485" i="2"/>
  <c r="T2485" i="2" s="1"/>
  <c r="U2485" i="2" s="1"/>
  <c r="R2386" i="2"/>
  <c r="T2386" i="2" s="1"/>
  <c r="U2386" i="2" s="1"/>
  <c r="R2737" i="2"/>
  <c r="T2737" i="2" s="1"/>
  <c r="U2737" i="2" s="1"/>
  <c r="R34" i="2"/>
  <c r="T34" i="2" s="1"/>
  <c r="U34" i="2" s="1"/>
  <c r="R1379" i="2"/>
  <c r="T1379" i="2" s="1"/>
  <c r="U1379" i="2" s="1"/>
  <c r="R1686" i="2"/>
  <c r="T1686" i="2" s="1"/>
  <c r="U1686" i="2" s="1"/>
  <c r="R1718" i="2"/>
  <c r="T1718" i="2" s="1"/>
  <c r="U1718" i="2" s="1"/>
  <c r="R1826" i="2"/>
  <c r="T1826" i="2" s="1"/>
  <c r="U1826" i="2" s="1"/>
  <c r="R1834" i="2"/>
  <c r="T1834" i="2" s="1"/>
  <c r="U1834" i="2" s="1"/>
  <c r="R1838" i="2"/>
  <c r="T1838" i="2" s="1"/>
  <c r="U1838" i="2" s="1"/>
  <c r="R1842" i="2"/>
  <c r="T1842" i="2" s="1"/>
  <c r="U1842" i="2" s="1"/>
  <c r="R1846" i="2"/>
  <c r="T1846" i="2" s="1"/>
  <c r="U1846" i="2" s="1"/>
  <c r="R1910" i="2"/>
  <c r="T1910" i="2" s="1"/>
  <c r="U1910" i="2" s="1"/>
  <c r="R1914" i="2"/>
  <c r="T1914" i="2" s="1"/>
  <c r="U1914" i="2" s="1"/>
  <c r="R1918" i="2"/>
  <c r="T1918" i="2" s="1"/>
  <c r="U1918" i="2" s="1"/>
  <c r="R1954" i="2"/>
  <c r="T1954" i="2" s="1"/>
  <c r="U1954" i="2" s="1"/>
  <c r="R1958" i="2"/>
  <c r="T1958" i="2" s="1"/>
  <c r="U1958" i="2" s="1"/>
  <c r="R1970" i="2"/>
  <c r="T1970" i="2" s="1"/>
  <c r="U1970" i="2" s="1"/>
  <c r="R1990" i="2"/>
  <c r="T1990" i="2" s="1"/>
  <c r="U1990" i="2" s="1"/>
  <c r="R2026" i="2"/>
  <c r="T2026" i="2" s="1"/>
  <c r="U2026" i="2" s="1"/>
  <c r="R2218" i="2"/>
  <c r="T2218" i="2" s="1"/>
  <c r="U2218" i="2" s="1"/>
  <c r="R2222" i="2"/>
  <c r="T2222" i="2" s="1"/>
  <c r="U2222" i="2" s="1"/>
  <c r="R2226" i="2"/>
  <c r="T2226" i="2" s="1"/>
  <c r="U2226" i="2" s="1"/>
  <c r="R2230" i="2"/>
  <c r="T2230" i="2" s="1"/>
  <c r="U2230" i="2" s="1"/>
  <c r="R2234" i="2"/>
  <c r="T2234" i="2" s="1"/>
  <c r="U2234" i="2" s="1"/>
  <c r="R2007" i="2"/>
  <c r="T2007" i="2" s="1"/>
  <c r="U2007" i="2" s="1"/>
  <c r="R2686" i="2"/>
  <c r="T2686" i="2" s="1"/>
  <c r="U2686" i="2" s="1"/>
  <c r="R1751" i="2"/>
  <c r="T1751" i="2" s="1"/>
  <c r="U1751" i="2" s="1"/>
  <c r="R1923" i="2"/>
  <c r="T1923" i="2" s="1"/>
  <c r="U1923" i="2" s="1"/>
  <c r="R1812" i="2"/>
  <c r="T1812" i="2" s="1"/>
  <c r="U1812" i="2" s="1"/>
  <c r="R2268" i="2"/>
  <c r="T2268" i="2" s="1"/>
  <c r="U2268" i="2" s="1"/>
  <c r="R2295" i="2"/>
  <c r="T2295" i="2" s="1"/>
  <c r="U2295" i="2" s="1"/>
  <c r="R2315" i="2"/>
  <c r="T2315" i="2" s="1"/>
  <c r="U2315" i="2" s="1"/>
  <c r="R2319" i="2"/>
  <c r="T2319" i="2" s="1"/>
  <c r="U2319" i="2" s="1"/>
  <c r="R2331" i="2"/>
  <c r="T2331" i="2" s="1"/>
  <c r="U2331" i="2" s="1"/>
  <c r="R2335" i="2"/>
  <c r="T2335" i="2" s="1"/>
  <c r="U2335" i="2" s="1"/>
  <c r="R2407" i="2"/>
  <c r="T2407" i="2" s="1"/>
  <c r="U2407" i="2" s="1"/>
  <c r="R2419" i="2"/>
  <c r="T2419" i="2" s="1"/>
  <c r="U2419" i="2" s="1"/>
  <c r="R2423" i="2"/>
  <c r="T2423" i="2" s="1"/>
  <c r="U2423" i="2" s="1"/>
  <c r="R2427" i="2"/>
  <c r="T2427" i="2" s="1"/>
  <c r="U2427" i="2" s="1"/>
  <c r="R1616" i="2"/>
  <c r="T1616" i="2" s="1"/>
  <c r="U1616" i="2" s="1"/>
  <c r="R2432" i="2"/>
  <c r="T2432" i="2" s="1"/>
  <c r="U2432" i="2" s="1"/>
  <c r="R2492" i="2"/>
  <c r="T2492" i="2" s="1"/>
  <c r="U2492" i="2" s="1"/>
  <c r="R2651" i="2"/>
  <c r="T2651" i="2" s="1"/>
  <c r="U2651" i="2" s="1"/>
  <c r="R1383" i="2"/>
  <c r="T1383" i="2" s="1"/>
  <c r="U1383" i="2" s="1"/>
  <c r="R1690" i="2"/>
  <c r="T1690" i="2" s="1"/>
  <c r="U1690" i="2" s="1"/>
  <c r="R1754" i="2"/>
  <c r="T1754" i="2" s="1"/>
  <c r="U1754" i="2" s="1"/>
  <c r="R1931" i="2"/>
  <c r="T1931" i="2" s="1"/>
  <c r="U1931" i="2" s="1"/>
  <c r="R1939" i="2"/>
  <c r="T1939" i="2" s="1"/>
  <c r="U1939" i="2" s="1"/>
  <c r="R2046" i="2"/>
  <c r="T2046" i="2" s="1"/>
  <c r="U2046" i="2" s="1"/>
  <c r="R2050" i="2"/>
  <c r="T2050" i="2" s="1"/>
  <c r="U2050" i="2" s="1"/>
  <c r="R2058" i="2"/>
  <c r="T2058" i="2" s="1"/>
  <c r="U2058" i="2" s="1"/>
  <c r="R2066" i="2"/>
  <c r="T2066" i="2" s="1"/>
  <c r="U2066" i="2" s="1"/>
  <c r="R2070" i="2"/>
  <c r="T2070" i="2" s="1"/>
  <c r="U2070" i="2" s="1"/>
  <c r="R2082" i="2"/>
  <c r="T2082" i="2" s="1"/>
  <c r="U2082" i="2" s="1"/>
  <c r="R2102" i="2"/>
  <c r="T2102" i="2" s="1"/>
  <c r="U2102" i="2" s="1"/>
  <c r="R2106" i="2"/>
  <c r="T2106" i="2" s="1"/>
  <c r="U2106" i="2" s="1"/>
  <c r="R2114" i="2"/>
  <c r="T2114" i="2" s="1"/>
  <c r="U2114" i="2" s="1"/>
  <c r="R2118" i="2"/>
  <c r="T2118" i="2" s="1"/>
  <c r="U2118" i="2" s="1"/>
  <c r="R2130" i="2"/>
  <c r="T2130" i="2" s="1"/>
  <c r="U2130" i="2" s="1"/>
  <c r="R2134" i="2"/>
  <c r="T2134" i="2" s="1"/>
  <c r="U2134" i="2" s="1"/>
  <c r="R2142" i="2"/>
  <c r="T2142" i="2" s="1"/>
  <c r="U2142" i="2" s="1"/>
  <c r="R2170" i="2"/>
  <c r="T2170" i="2" s="1"/>
  <c r="U2170" i="2" s="1"/>
  <c r="R2178" i="2"/>
  <c r="T2178" i="2" s="1"/>
  <c r="U2178" i="2" s="1"/>
  <c r="R2182" i="2"/>
  <c r="T2182" i="2" s="1"/>
  <c r="U2182" i="2" s="1"/>
  <c r="R2202" i="2"/>
  <c r="T2202" i="2" s="1"/>
  <c r="U2202" i="2" s="1"/>
  <c r="R2214" i="2"/>
  <c r="T2214" i="2" s="1"/>
  <c r="U2214" i="2" s="1"/>
  <c r="R2509" i="2"/>
  <c r="T2509" i="2" s="1"/>
  <c r="U2509" i="2" s="1"/>
  <c r="R2520" i="2"/>
  <c r="T2520" i="2" s="1"/>
  <c r="U2520" i="2" s="1"/>
  <c r="R2552" i="2"/>
  <c r="T2552" i="2" s="1"/>
  <c r="U2552" i="2" s="1"/>
  <c r="R2568" i="2"/>
  <c r="T2568" i="2" s="1"/>
  <c r="U2568" i="2" s="1"/>
  <c r="R2572" i="2"/>
  <c r="T2572" i="2" s="1"/>
  <c r="U2572" i="2" s="1"/>
  <c r="R2576" i="2"/>
  <c r="T2576" i="2" s="1"/>
  <c r="U2576" i="2" s="1"/>
  <c r="R2580" i="2"/>
  <c r="T2580" i="2" s="1"/>
  <c r="U2580" i="2" s="1"/>
  <c r="R2616" i="2"/>
  <c r="T2616" i="2" s="1"/>
  <c r="U2616" i="2" s="1"/>
  <c r="R2620" i="2"/>
  <c r="T2620" i="2" s="1"/>
  <c r="U2620" i="2" s="1"/>
  <c r="R2624" i="2"/>
  <c r="T2624" i="2" s="1"/>
  <c r="U2624" i="2" s="1"/>
  <c r="R1463" i="2"/>
  <c r="T1463" i="2" s="1"/>
  <c r="U1463" i="2" s="1"/>
  <c r="R1691" i="2"/>
  <c r="T1691" i="2" s="1"/>
  <c r="U1691" i="2" s="1"/>
  <c r="R1831" i="2"/>
  <c r="T1831" i="2" s="1"/>
  <c r="U1831" i="2" s="1"/>
  <c r="R1955" i="2"/>
  <c r="T1955" i="2" s="1"/>
  <c r="U1955" i="2" s="1"/>
  <c r="R2362" i="2"/>
  <c r="T2362" i="2" s="1"/>
  <c r="U2362" i="2" s="1"/>
  <c r="R2493" i="2"/>
  <c r="T2493" i="2" s="1"/>
  <c r="U2493" i="2" s="1"/>
  <c r="R2391" i="2"/>
  <c r="T2391" i="2" s="1"/>
  <c r="U2391" i="2" s="1"/>
  <c r="R2395" i="2"/>
  <c r="T2395" i="2" s="1"/>
  <c r="U2395" i="2" s="1"/>
  <c r="R2422" i="2"/>
  <c r="T2422" i="2" s="1"/>
  <c r="U2422" i="2" s="1"/>
  <c r="R2426" i="2"/>
  <c r="T2426" i="2" s="1"/>
  <c r="U2426" i="2" s="1"/>
  <c r="R2462" i="2"/>
  <c r="T2462" i="2" s="1"/>
  <c r="U2462" i="2" s="1"/>
  <c r="R1396" i="2"/>
  <c r="T1396" i="2" s="1"/>
  <c r="U1396" i="2" s="1"/>
  <c r="R1412" i="2"/>
  <c r="T1412" i="2" s="1"/>
  <c r="U1412" i="2" s="1"/>
  <c r="R1596" i="2"/>
  <c r="T1596" i="2" s="1"/>
  <c r="U1596" i="2" s="1"/>
  <c r="R1620" i="2"/>
  <c r="T1620" i="2" s="1"/>
  <c r="U1620" i="2" s="1"/>
  <c r="R1640" i="2"/>
  <c r="T1640" i="2" s="1"/>
  <c r="U1640" i="2" s="1"/>
  <c r="R2403" i="2"/>
  <c r="T2403" i="2" s="1"/>
  <c r="U2403" i="2" s="1"/>
  <c r="R2438" i="2"/>
  <c r="T2438" i="2" s="1"/>
  <c r="U2438" i="2" s="1"/>
  <c r="R2446" i="2"/>
  <c r="T2446" i="2" s="1"/>
  <c r="U2446" i="2" s="1"/>
  <c r="R2594" i="2"/>
  <c r="T2594" i="2" s="1"/>
  <c r="U2594" i="2" s="1"/>
  <c r="R2618" i="2"/>
  <c r="T2618" i="2" s="1"/>
  <c r="U2618" i="2" s="1"/>
  <c r="R2024" i="2"/>
  <c r="T2024" i="2" s="1"/>
  <c r="U2024" i="2" s="1"/>
  <c r="R1957" i="2"/>
  <c r="T1957" i="2" s="1"/>
  <c r="U1957" i="2" s="1"/>
  <c r="R2120" i="2"/>
  <c r="T2120" i="2" s="1"/>
  <c r="U2120" i="2" s="1"/>
  <c r="R2124" i="2"/>
  <c r="T2124" i="2" s="1"/>
  <c r="U2124" i="2" s="1"/>
  <c r="R2136" i="2"/>
  <c r="T2136" i="2" s="1"/>
  <c r="U2136" i="2" s="1"/>
  <c r="R2216" i="2"/>
  <c r="T2216" i="2" s="1"/>
  <c r="U2216" i="2" s="1"/>
  <c r="R2439" i="2"/>
  <c r="T2439" i="2" s="1"/>
  <c r="U2439" i="2" s="1"/>
  <c r="R2447" i="2"/>
  <c r="T2447" i="2" s="1"/>
  <c r="U2447" i="2" s="1"/>
  <c r="R2451" i="2"/>
  <c r="T2451" i="2" s="1"/>
  <c r="U2451" i="2" s="1"/>
  <c r="R1801" i="2"/>
  <c r="T1801" i="2" s="1"/>
  <c r="U1801" i="2" s="1"/>
  <c r="R1877" i="2"/>
  <c r="T1877" i="2" s="1"/>
  <c r="U1877" i="2" s="1"/>
  <c r="R1961" i="2"/>
  <c r="T1961" i="2" s="1"/>
  <c r="U1961" i="2" s="1"/>
  <c r="R2396" i="2"/>
  <c r="T2396" i="2" s="1"/>
  <c r="U2396" i="2" s="1"/>
  <c r="R2471" i="2"/>
  <c r="T2471" i="2" s="1"/>
  <c r="U2471" i="2" s="1"/>
  <c r="R2495" i="2"/>
  <c r="T2495" i="2" s="1"/>
  <c r="U2495" i="2" s="1"/>
  <c r="R2499" i="2"/>
  <c r="T2499" i="2" s="1"/>
  <c r="U2499" i="2" s="1"/>
  <c r="R2503" i="2"/>
  <c r="T2503" i="2" s="1"/>
  <c r="U2503" i="2" s="1"/>
  <c r="R1946" i="2"/>
  <c r="T1946" i="2" s="1"/>
  <c r="U1946" i="2" s="1"/>
  <c r="R2408" i="2"/>
  <c r="T2408" i="2" s="1"/>
  <c r="U2408" i="2" s="1"/>
  <c r="R2412" i="2"/>
  <c r="T2412" i="2" s="1"/>
  <c r="U2412" i="2" s="1"/>
  <c r="R2659" i="2"/>
  <c r="T2659" i="2" s="1"/>
  <c r="U2659" i="2" s="1"/>
  <c r="R37" i="2"/>
  <c r="T37" i="2" s="1"/>
  <c r="U37" i="2" s="1"/>
  <c r="R41" i="2"/>
  <c r="T41" i="2" s="1"/>
  <c r="U41" i="2" s="1"/>
  <c r="R1378" i="2"/>
  <c r="T1378" i="2" s="1"/>
  <c r="U1378" i="2" s="1"/>
  <c r="R1382" i="2"/>
  <c r="T1382" i="2" s="1"/>
  <c r="U1382" i="2" s="1"/>
  <c r="R1386" i="2"/>
  <c r="T1386" i="2" s="1"/>
  <c r="U1386" i="2" s="1"/>
  <c r="R1402" i="2"/>
  <c r="T1402" i="2" s="1"/>
  <c r="U1402" i="2" s="1"/>
  <c r="R1426" i="2"/>
  <c r="T1426" i="2" s="1"/>
  <c r="U1426" i="2" s="1"/>
  <c r="R1442" i="2"/>
  <c r="T1442" i="2" s="1"/>
  <c r="U1442" i="2" s="1"/>
  <c r="R1446" i="2"/>
  <c r="T1446" i="2" s="1"/>
  <c r="U1446" i="2" s="1"/>
  <c r="R1458" i="2"/>
  <c r="T1458" i="2" s="1"/>
  <c r="U1458" i="2" s="1"/>
  <c r="R1470" i="2"/>
  <c r="T1470" i="2" s="1"/>
  <c r="U1470" i="2" s="1"/>
  <c r="R1482" i="2"/>
  <c r="T1482" i="2" s="1"/>
  <c r="U1482" i="2" s="1"/>
  <c r="R1498" i="2"/>
  <c r="T1498" i="2" s="1"/>
  <c r="U1498" i="2" s="1"/>
  <c r="R1526" i="2"/>
  <c r="T1526" i="2" s="1"/>
  <c r="U1526" i="2" s="1"/>
  <c r="R1542" i="2"/>
  <c r="T1542" i="2" s="1"/>
  <c r="U1542" i="2" s="1"/>
  <c r="R1546" i="2"/>
  <c r="T1546" i="2" s="1"/>
  <c r="U1546" i="2" s="1"/>
  <c r="R1578" i="2"/>
  <c r="T1578" i="2" s="1"/>
  <c r="U1578" i="2" s="1"/>
  <c r="R1582" i="2"/>
  <c r="T1582" i="2" s="1"/>
  <c r="U1582" i="2" s="1"/>
  <c r="R1594" i="2"/>
  <c r="T1594" i="2" s="1"/>
  <c r="U1594" i="2" s="1"/>
  <c r="R1598" i="2"/>
  <c r="T1598" i="2" s="1"/>
  <c r="U1598" i="2" s="1"/>
  <c r="R1602" i="2"/>
  <c r="T1602" i="2" s="1"/>
  <c r="U1602" i="2" s="1"/>
  <c r="R1614" i="2"/>
  <c r="T1614" i="2" s="1"/>
  <c r="U1614" i="2" s="1"/>
  <c r="R1618" i="2"/>
  <c r="T1618" i="2" s="1"/>
  <c r="U1618" i="2" s="1"/>
  <c r="R1630" i="2"/>
  <c r="T1630" i="2" s="1"/>
  <c r="U1630" i="2" s="1"/>
  <c r="R1906" i="2"/>
  <c r="T1906" i="2" s="1"/>
  <c r="U1906" i="2" s="1"/>
  <c r="R2157" i="2"/>
  <c r="T2157" i="2" s="1"/>
  <c r="U2157" i="2" s="1"/>
  <c r="R2228" i="2"/>
  <c r="T2228" i="2" s="1"/>
  <c r="U2228" i="2" s="1"/>
  <c r="R2232" i="2"/>
  <c r="T2232" i="2" s="1"/>
  <c r="U2232" i="2" s="1"/>
  <c r="R2252" i="2"/>
  <c r="T2252" i="2" s="1"/>
  <c r="U2252" i="2" s="1"/>
  <c r="R2264" i="2"/>
  <c r="T2264" i="2" s="1"/>
  <c r="U2264" i="2" s="1"/>
  <c r="R2276" i="2"/>
  <c r="T2276" i="2" s="1"/>
  <c r="U2276" i="2" s="1"/>
  <c r="R2280" i="2"/>
  <c r="T2280" i="2" s="1"/>
  <c r="U2280" i="2" s="1"/>
  <c r="R2284" i="2"/>
  <c r="T2284" i="2" s="1"/>
  <c r="U2284" i="2" s="1"/>
  <c r="R2288" i="2"/>
  <c r="T2288" i="2" s="1"/>
  <c r="U2288" i="2" s="1"/>
  <c r="R2380" i="2"/>
  <c r="T2380" i="2" s="1"/>
  <c r="U2380" i="2" s="1"/>
  <c r="R2442" i="2"/>
  <c r="T2442" i="2" s="1"/>
  <c r="U2442" i="2" s="1"/>
  <c r="R2488" i="2"/>
  <c r="T2488" i="2" s="1"/>
  <c r="U2488" i="2" s="1"/>
  <c r="R2511" i="2"/>
  <c r="T2511" i="2" s="1"/>
  <c r="U2511" i="2" s="1"/>
  <c r="R2681" i="2"/>
  <c r="T2681" i="2" s="1"/>
  <c r="U2681" i="2" s="1"/>
  <c r="R2689" i="2"/>
  <c r="T2689" i="2" s="1"/>
  <c r="U2689" i="2" s="1"/>
  <c r="R1965" i="2"/>
  <c r="T1965" i="2" s="1"/>
  <c r="U1965" i="2" s="1"/>
  <c r="R1973" i="2"/>
  <c r="T1973" i="2" s="1"/>
  <c r="U1973" i="2" s="1"/>
  <c r="R1977" i="2"/>
  <c r="T1977" i="2" s="1"/>
  <c r="U1977" i="2" s="1"/>
  <c r="R2225" i="2"/>
  <c r="T2225" i="2" s="1"/>
  <c r="U2225" i="2" s="1"/>
  <c r="R2233" i="2"/>
  <c r="T2233" i="2" s="1"/>
  <c r="U2233" i="2" s="1"/>
  <c r="R2257" i="2"/>
  <c r="T2257" i="2" s="1"/>
  <c r="U2257" i="2" s="1"/>
  <c r="R2292" i="2"/>
  <c r="T2292" i="2" s="1"/>
  <c r="U2292" i="2" s="1"/>
  <c r="R2296" i="2"/>
  <c r="T2296" i="2" s="1"/>
  <c r="U2296" i="2" s="1"/>
  <c r="R2300" i="2"/>
  <c r="T2300" i="2" s="1"/>
  <c r="U2300" i="2" s="1"/>
  <c r="R2519" i="2"/>
  <c r="T2519" i="2" s="1"/>
  <c r="U2519" i="2" s="1"/>
  <c r="R2630" i="2"/>
  <c r="T2630" i="2" s="1"/>
  <c r="U2630" i="2" s="1"/>
  <c r="R2634" i="2"/>
  <c r="T2634" i="2" s="1"/>
  <c r="U2634" i="2" s="1"/>
  <c r="R2638" i="2"/>
  <c r="T2638" i="2" s="1"/>
  <c r="U2638" i="2" s="1"/>
  <c r="R2693" i="2"/>
  <c r="T2693" i="2" s="1"/>
  <c r="U2693" i="2" s="1"/>
  <c r="R2697" i="2"/>
  <c r="T2697" i="2" s="1"/>
  <c r="U2697" i="2" s="1"/>
  <c r="R2701" i="2"/>
  <c r="T2701" i="2" s="1"/>
  <c r="U2701" i="2" s="1"/>
  <c r="R2705" i="2"/>
  <c r="T2705" i="2" s="1"/>
  <c r="U2705" i="2" s="1"/>
  <c r="R1694" i="2"/>
  <c r="T1694" i="2" s="1"/>
  <c r="U1694" i="2" s="1"/>
  <c r="R1730" i="2"/>
  <c r="T1730" i="2" s="1"/>
  <c r="U1730" i="2" s="1"/>
  <c r="R1798" i="2"/>
  <c r="T1798" i="2" s="1"/>
  <c r="U1798" i="2" s="1"/>
  <c r="R1802" i="2"/>
  <c r="T1802" i="2" s="1"/>
  <c r="U1802" i="2" s="1"/>
  <c r="R1850" i="2"/>
  <c r="T1850" i="2" s="1"/>
  <c r="U1850" i="2" s="1"/>
  <c r="R1930" i="2"/>
  <c r="T1930" i="2" s="1"/>
  <c r="U1930" i="2" s="1"/>
  <c r="R2209" i="2"/>
  <c r="T2209" i="2" s="1"/>
  <c r="U2209" i="2" s="1"/>
  <c r="R8" i="2"/>
  <c r="T8" i="2" s="1"/>
  <c r="U8" i="2" s="1"/>
  <c r="R15" i="2"/>
  <c r="T15" i="2" s="1"/>
  <c r="U15" i="2" s="1"/>
  <c r="R2094" i="2"/>
  <c r="T2094" i="2" s="1"/>
  <c r="U2094" i="2" s="1"/>
  <c r="R2154" i="2"/>
  <c r="T2154" i="2" s="1"/>
  <c r="U2154" i="2" s="1"/>
  <c r="R2400" i="2"/>
  <c r="T2400" i="2" s="1"/>
  <c r="U2400" i="2" s="1"/>
  <c r="R2443" i="2"/>
  <c r="T2443" i="2" s="1"/>
  <c r="U2443" i="2" s="1"/>
  <c r="R2536" i="2"/>
  <c r="T2536" i="2" s="1"/>
  <c r="U2536" i="2" s="1"/>
  <c r="R2540" i="2"/>
  <c r="T2540" i="2" s="1"/>
  <c r="U2540" i="2" s="1"/>
  <c r="R2002" i="2"/>
  <c r="T2002" i="2" s="1"/>
  <c r="U2002" i="2" s="1"/>
  <c r="R2619" i="2"/>
  <c r="T2619" i="2" s="1"/>
  <c r="U2619" i="2" s="1"/>
  <c r="R2627" i="2"/>
  <c r="T2627" i="2" s="1"/>
  <c r="U2627" i="2" s="1"/>
  <c r="R2694" i="2"/>
  <c r="T2694" i="2" s="1"/>
  <c r="U2694" i="2" s="1"/>
  <c r="R2698" i="2"/>
  <c r="T2698" i="2" s="1"/>
  <c r="U2698" i="2" s="1"/>
  <c r="R2706" i="2"/>
  <c r="T2706" i="2" s="1"/>
  <c r="U2706" i="2" s="1"/>
  <c r="R1703" i="2"/>
  <c r="T1703" i="2" s="1"/>
  <c r="U1703" i="2" s="1"/>
  <c r="R1763" i="2"/>
  <c r="T1763" i="2" s="1"/>
  <c r="U1763" i="2" s="1"/>
  <c r="R2314" i="2"/>
  <c r="T2314" i="2" s="1"/>
  <c r="U2314" i="2" s="1"/>
  <c r="R2338" i="2"/>
  <c r="T2338" i="2" s="1"/>
  <c r="U2338" i="2" s="1"/>
  <c r="R2342" i="2"/>
  <c r="T2342" i="2" s="1"/>
  <c r="U2342" i="2" s="1"/>
  <c r="R2346" i="2"/>
  <c r="T2346" i="2" s="1"/>
  <c r="U2346" i="2" s="1"/>
  <c r="R2498" i="2"/>
  <c r="T2498" i="2" s="1"/>
  <c r="U2498" i="2" s="1"/>
  <c r="R2501" i="2"/>
  <c r="T2501" i="2" s="1"/>
  <c r="U2501" i="2" s="1"/>
  <c r="R2588" i="2"/>
  <c r="T2588" i="2" s="1"/>
  <c r="U2588" i="2" s="1"/>
  <c r="R2671" i="2"/>
  <c r="T2671" i="2" s="1"/>
  <c r="U2671" i="2" s="1"/>
  <c r="R1456" i="2"/>
  <c r="T1456" i="2" s="1"/>
  <c r="U1456" i="2" s="1"/>
  <c r="R1460" i="2"/>
  <c r="T1460" i="2" s="1"/>
  <c r="U1460" i="2" s="1"/>
  <c r="R1476" i="2"/>
  <c r="T1476" i="2" s="1"/>
  <c r="U1476" i="2" s="1"/>
  <c r="R1860" i="2"/>
  <c r="T1860" i="2" s="1"/>
  <c r="U1860" i="2" s="1"/>
  <c r="R1912" i="2"/>
  <c r="T1912" i="2" s="1"/>
  <c r="U1912" i="2" s="1"/>
  <c r="R2238" i="2"/>
  <c r="T2238" i="2" s="1"/>
  <c r="U2238" i="2" s="1"/>
  <c r="R2242" i="2"/>
  <c r="T2242" i="2" s="1"/>
  <c r="U2242" i="2" s="1"/>
  <c r="R2246" i="2"/>
  <c r="T2246" i="2" s="1"/>
  <c r="U2246" i="2" s="1"/>
  <c r="R2258" i="2"/>
  <c r="T2258" i="2" s="1"/>
  <c r="U2258" i="2" s="1"/>
  <c r="R2278" i="2"/>
  <c r="T2278" i="2" s="1"/>
  <c r="U2278" i="2" s="1"/>
  <c r="R2290" i="2"/>
  <c r="T2290" i="2" s="1"/>
  <c r="U2290" i="2" s="1"/>
  <c r="R2429" i="2"/>
  <c r="T2429" i="2" s="1"/>
  <c r="U2429" i="2" s="1"/>
  <c r="R2455" i="2"/>
  <c r="T2455" i="2" s="1"/>
  <c r="U2455" i="2" s="1"/>
  <c r="R2463" i="2"/>
  <c r="T2463" i="2" s="1"/>
  <c r="U2463" i="2" s="1"/>
  <c r="R2486" i="2"/>
  <c r="T2486" i="2" s="1"/>
  <c r="U2486" i="2" s="1"/>
  <c r="R2612" i="2"/>
  <c r="T2612" i="2" s="1"/>
  <c r="U2612" i="2" s="1"/>
  <c r="R2790" i="2"/>
  <c r="T2790" i="2" s="1"/>
  <c r="U2790" i="2" s="1"/>
  <c r="R44" i="2"/>
  <c r="T44" i="2" s="1"/>
  <c r="U44" i="2" s="1"/>
  <c r="R1385" i="2"/>
  <c r="T1385" i="2" s="1"/>
  <c r="U1385" i="2" s="1"/>
  <c r="R1389" i="2"/>
  <c r="T1389" i="2" s="1"/>
  <c r="U1389" i="2" s="1"/>
  <c r="R1393" i="2"/>
  <c r="T1393" i="2" s="1"/>
  <c r="U1393" i="2" s="1"/>
  <c r="R1405" i="2"/>
  <c r="T1405" i="2" s="1"/>
  <c r="U1405" i="2" s="1"/>
  <c r="R1409" i="2"/>
  <c r="T1409" i="2" s="1"/>
  <c r="U1409" i="2" s="1"/>
  <c r="R1784" i="2"/>
  <c r="T1784" i="2" s="1"/>
  <c r="U1784" i="2" s="1"/>
  <c r="R1800" i="2"/>
  <c r="T1800" i="2" s="1"/>
  <c r="U1800" i="2" s="1"/>
  <c r="R1808" i="2"/>
  <c r="T1808" i="2" s="1"/>
  <c r="U1808" i="2" s="1"/>
  <c r="R1848" i="2"/>
  <c r="T1848" i="2" s="1"/>
  <c r="U1848" i="2" s="1"/>
  <c r="R1872" i="2"/>
  <c r="T1872" i="2" s="1"/>
  <c r="U1872" i="2" s="1"/>
  <c r="R2171" i="2"/>
  <c r="T2171" i="2" s="1"/>
  <c r="U2171" i="2" s="1"/>
  <c r="R2179" i="2"/>
  <c r="T2179" i="2" s="1"/>
  <c r="U2179" i="2" s="1"/>
  <c r="R2366" i="2"/>
  <c r="T2366" i="2" s="1"/>
  <c r="U2366" i="2" s="1"/>
  <c r="R2374" i="2"/>
  <c r="T2374" i="2" s="1"/>
  <c r="U2374" i="2" s="1"/>
  <c r="R2378" i="2"/>
  <c r="T2378" i="2" s="1"/>
  <c r="U2378" i="2" s="1"/>
  <c r="R2475" i="2"/>
  <c r="T2475" i="2" s="1"/>
  <c r="U2475" i="2" s="1"/>
  <c r="R1797" i="2"/>
  <c r="T1797" i="2" s="1"/>
  <c r="U1797" i="2" s="1"/>
  <c r="R1960" i="2"/>
  <c r="T1960" i="2" s="1"/>
  <c r="U1960" i="2" s="1"/>
  <c r="R2072" i="2"/>
  <c r="T2072" i="2" s="1"/>
  <c r="U2072" i="2" s="1"/>
  <c r="R2152" i="2"/>
  <c r="T2152" i="2" s="1"/>
  <c r="U2152" i="2" s="1"/>
  <c r="R2375" i="2"/>
  <c r="T2375" i="2" s="1"/>
  <c r="U2375" i="2" s="1"/>
  <c r="R2390" i="2"/>
  <c r="T2390" i="2" s="1"/>
  <c r="U2390" i="2" s="1"/>
  <c r="R2464" i="2"/>
  <c r="T2464" i="2" s="1"/>
  <c r="U2464" i="2" s="1"/>
  <c r="R2480" i="2"/>
  <c r="T2480" i="2" s="1"/>
  <c r="U2480" i="2" s="1"/>
  <c r="R2582" i="2"/>
  <c r="T2582" i="2" s="1"/>
  <c r="U2582" i="2" s="1"/>
  <c r="R1399" i="2"/>
  <c r="T1399" i="2" s="1"/>
  <c r="U1399" i="2" s="1"/>
  <c r="R1403" i="2"/>
  <c r="T1403" i="2" s="1"/>
  <c r="U1403" i="2" s="1"/>
  <c r="R1450" i="2"/>
  <c r="T1450" i="2" s="1"/>
  <c r="U1450" i="2" s="1"/>
  <c r="R1656" i="2"/>
  <c r="T1656" i="2" s="1"/>
  <c r="U1656" i="2" s="1"/>
  <c r="R1660" i="2"/>
  <c r="T1660" i="2" s="1"/>
  <c r="U1660" i="2" s="1"/>
  <c r="R1668" i="2"/>
  <c r="T1668" i="2" s="1"/>
  <c r="U1668" i="2" s="1"/>
  <c r="R1854" i="2"/>
  <c r="T1854" i="2" s="1"/>
  <c r="U1854" i="2" s="1"/>
  <c r="R1858" i="2"/>
  <c r="T1858" i="2" s="1"/>
  <c r="U1858" i="2" s="1"/>
  <c r="R2146" i="2"/>
  <c r="T2146" i="2" s="1"/>
  <c r="U2146" i="2" s="1"/>
  <c r="R2150" i="2"/>
  <c r="T2150" i="2" s="1"/>
  <c r="U2150" i="2" s="1"/>
  <c r="R27" i="2"/>
  <c r="T27" i="2" s="1"/>
  <c r="U27" i="2" s="1"/>
  <c r="R38" i="2"/>
  <c r="T38" i="2" s="1"/>
  <c r="U38" i="2" s="1"/>
  <c r="R42" i="2"/>
  <c r="T42" i="2" s="1"/>
  <c r="U42" i="2" s="1"/>
  <c r="R1411" i="2"/>
  <c r="T1411" i="2" s="1"/>
  <c r="U1411" i="2" s="1"/>
  <c r="R1434" i="2"/>
  <c r="T1434" i="2" s="1"/>
  <c r="U1434" i="2" s="1"/>
  <c r="R1438" i="2"/>
  <c r="T1438" i="2" s="1"/>
  <c r="U1438" i="2" s="1"/>
  <c r="R1557" i="2"/>
  <c r="T1557" i="2" s="1"/>
  <c r="U1557" i="2" s="1"/>
  <c r="R1700" i="2"/>
  <c r="T1700" i="2" s="1"/>
  <c r="U1700" i="2" s="1"/>
  <c r="R1712" i="2"/>
  <c r="T1712" i="2" s="1"/>
  <c r="U1712" i="2" s="1"/>
  <c r="R1724" i="2"/>
  <c r="T1724" i="2" s="1"/>
  <c r="U1724" i="2" s="1"/>
  <c r="R1736" i="2"/>
  <c r="T1736" i="2" s="1"/>
  <c r="U1736" i="2" s="1"/>
  <c r="R1748" i="2"/>
  <c r="T1748" i="2" s="1"/>
  <c r="U1748" i="2" s="1"/>
  <c r="R1760" i="2"/>
  <c r="T1760" i="2" s="1"/>
  <c r="U1760" i="2" s="1"/>
  <c r="R1772" i="2"/>
  <c r="T1772" i="2" s="1"/>
  <c r="U1772" i="2" s="1"/>
  <c r="R1811" i="2"/>
  <c r="T1811" i="2" s="1"/>
  <c r="U1811" i="2" s="1"/>
  <c r="R1862" i="2"/>
  <c r="T1862" i="2" s="1"/>
  <c r="U1862" i="2" s="1"/>
  <c r="R1894" i="2"/>
  <c r="T1894" i="2" s="1"/>
  <c r="U1894" i="2" s="1"/>
  <c r="R1898" i="2"/>
  <c r="T1898" i="2" s="1"/>
  <c r="U1898" i="2" s="1"/>
  <c r="R1902" i="2"/>
  <c r="T1902" i="2" s="1"/>
  <c r="U1902" i="2" s="1"/>
  <c r="R1949" i="2"/>
  <c r="T1949" i="2" s="1"/>
  <c r="U1949" i="2" s="1"/>
  <c r="R1969" i="2"/>
  <c r="T1969" i="2" s="1"/>
  <c r="U1969" i="2" s="1"/>
  <c r="R2032" i="2"/>
  <c r="T2032" i="2" s="1"/>
  <c r="U2032" i="2" s="1"/>
  <c r="R2036" i="2"/>
  <c r="T2036" i="2" s="1"/>
  <c r="U2036" i="2" s="1"/>
  <c r="R2040" i="2"/>
  <c r="T2040" i="2" s="1"/>
  <c r="U2040" i="2" s="1"/>
  <c r="R2044" i="2"/>
  <c r="T2044" i="2" s="1"/>
  <c r="U2044" i="2" s="1"/>
  <c r="R2088" i="2"/>
  <c r="T2088" i="2" s="1"/>
  <c r="U2088" i="2" s="1"/>
  <c r="R2188" i="2"/>
  <c r="T2188" i="2" s="1"/>
  <c r="U2188" i="2" s="1"/>
  <c r="R2192" i="2"/>
  <c r="T2192" i="2" s="1"/>
  <c r="U2192" i="2" s="1"/>
  <c r="R2215" i="2"/>
  <c r="T2215" i="2" s="1"/>
  <c r="U2215" i="2" s="1"/>
  <c r="R2227" i="2"/>
  <c r="T2227" i="2" s="1"/>
  <c r="U2227" i="2" s="1"/>
  <c r="R2231" i="2"/>
  <c r="T2231" i="2" s="1"/>
  <c r="U2231" i="2" s="1"/>
  <c r="R2250" i="2"/>
  <c r="T2250" i="2" s="1"/>
  <c r="U2250" i="2" s="1"/>
  <c r="R2254" i="2"/>
  <c r="T2254" i="2" s="1"/>
  <c r="U2254" i="2" s="1"/>
  <c r="R2265" i="2"/>
  <c r="T2265" i="2" s="1"/>
  <c r="U2265" i="2" s="1"/>
  <c r="R2398" i="2"/>
  <c r="T2398" i="2" s="1"/>
  <c r="U2398" i="2" s="1"/>
  <c r="R2405" i="2"/>
  <c r="T2405" i="2" s="1"/>
  <c r="U2405" i="2" s="1"/>
  <c r="R2413" i="2"/>
  <c r="T2413" i="2" s="1"/>
  <c r="U2413" i="2" s="1"/>
  <c r="R2420" i="2"/>
  <c r="T2420" i="2" s="1"/>
  <c r="U2420" i="2" s="1"/>
  <c r="R2424" i="2"/>
  <c r="T2424" i="2" s="1"/>
  <c r="U2424" i="2" s="1"/>
  <c r="R2428" i="2"/>
  <c r="T2428" i="2" s="1"/>
  <c r="U2428" i="2" s="1"/>
  <c r="R2435" i="2"/>
  <c r="T2435" i="2" s="1"/>
  <c r="U2435" i="2" s="1"/>
  <c r="R2479" i="2"/>
  <c r="T2479" i="2" s="1"/>
  <c r="U2479" i="2" s="1"/>
  <c r="R2523" i="2"/>
  <c r="T2523" i="2" s="1"/>
  <c r="U2523" i="2" s="1"/>
  <c r="R2558" i="2"/>
  <c r="T2558" i="2" s="1"/>
  <c r="U2558" i="2" s="1"/>
  <c r="R2601" i="2"/>
  <c r="T2601" i="2" s="1"/>
  <c r="U2601" i="2" s="1"/>
  <c r="R2609" i="2"/>
  <c r="T2609" i="2" s="1"/>
  <c r="U2609" i="2" s="1"/>
  <c r="R2675" i="2"/>
  <c r="T2675" i="2" s="1"/>
  <c r="U2675" i="2" s="1"/>
  <c r="R1645" i="2"/>
  <c r="T1645" i="2" s="1"/>
  <c r="U1645" i="2" s="1"/>
  <c r="R1796" i="2"/>
  <c r="T1796" i="2" s="1"/>
  <c r="U1796" i="2" s="1"/>
  <c r="R1843" i="2"/>
  <c r="T1843" i="2" s="1"/>
  <c r="U1843" i="2" s="1"/>
  <c r="R1922" i="2"/>
  <c r="T1922" i="2" s="1"/>
  <c r="U1922" i="2" s="1"/>
  <c r="R2068" i="2"/>
  <c r="T2068" i="2" s="1"/>
  <c r="U2068" i="2" s="1"/>
  <c r="R2076" i="2"/>
  <c r="T2076" i="2" s="1"/>
  <c r="U2076" i="2" s="1"/>
  <c r="R2127" i="2"/>
  <c r="T2127" i="2" s="1"/>
  <c r="U2127" i="2" s="1"/>
  <c r="R2131" i="2"/>
  <c r="T2131" i="2" s="1"/>
  <c r="U2131" i="2" s="1"/>
  <c r="R2204" i="2"/>
  <c r="T2204" i="2" s="1"/>
  <c r="U2204" i="2" s="1"/>
  <c r="R2208" i="2"/>
  <c r="T2208" i="2" s="1"/>
  <c r="U2208" i="2" s="1"/>
  <c r="R2219" i="2"/>
  <c r="T2219" i="2" s="1"/>
  <c r="U2219" i="2" s="1"/>
  <c r="R2304" i="2"/>
  <c r="T2304" i="2" s="1"/>
  <c r="U2304" i="2" s="1"/>
  <c r="R2312" i="2"/>
  <c r="T2312" i="2" s="1"/>
  <c r="U2312" i="2" s="1"/>
  <c r="R2316" i="2"/>
  <c r="T2316" i="2" s="1"/>
  <c r="U2316" i="2" s="1"/>
  <c r="R2336" i="2"/>
  <c r="T2336" i="2" s="1"/>
  <c r="U2336" i="2" s="1"/>
  <c r="R2340" i="2"/>
  <c r="T2340" i="2" s="1"/>
  <c r="U2340" i="2" s="1"/>
  <c r="R2387" i="2"/>
  <c r="T2387" i="2" s="1"/>
  <c r="U2387" i="2" s="1"/>
  <c r="R2399" i="2"/>
  <c r="T2399" i="2" s="1"/>
  <c r="U2399" i="2" s="1"/>
  <c r="R2453" i="2"/>
  <c r="T2453" i="2" s="1"/>
  <c r="U2453" i="2" s="1"/>
  <c r="R2457" i="2"/>
  <c r="T2457" i="2" s="1"/>
  <c r="U2457" i="2" s="1"/>
  <c r="R2468" i="2"/>
  <c r="T2468" i="2" s="1"/>
  <c r="U2468" i="2" s="1"/>
  <c r="R2483" i="2"/>
  <c r="T2483" i="2" s="1"/>
  <c r="U2483" i="2" s="1"/>
  <c r="R2512" i="2"/>
  <c r="T2512" i="2" s="1"/>
  <c r="U2512" i="2" s="1"/>
  <c r="R2516" i="2"/>
  <c r="T2516" i="2" s="1"/>
  <c r="U2516" i="2" s="1"/>
  <c r="R2543" i="2"/>
  <c r="T2543" i="2" s="1"/>
  <c r="U2543" i="2" s="1"/>
  <c r="R2570" i="2"/>
  <c r="T2570" i="2" s="1"/>
  <c r="U2570" i="2" s="1"/>
  <c r="R2613" i="2"/>
  <c r="T2613" i="2" s="1"/>
  <c r="U2613" i="2" s="1"/>
  <c r="R2726" i="2"/>
  <c r="T2726" i="2" s="1"/>
  <c r="U2726" i="2" s="1"/>
  <c r="R2730" i="2"/>
  <c r="T2730" i="2" s="1"/>
  <c r="U2730" i="2" s="1"/>
  <c r="R1804" i="2"/>
  <c r="T1804" i="2" s="1"/>
  <c r="U1804" i="2" s="1"/>
  <c r="R1981" i="2"/>
  <c r="T1981" i="2" s="1"/>
  <c r="U1981" i="2" s="1"/>
  <c r="R2212" i="2"/>
  <c r="T2212" i="2" s="1"/>
  <c r="U2212" i="2" s="1"/>
  <c r="R2243" i="2"/>
  <c r="T2243" i="2" s="1"/>
  <c r="U2243" i="2" s="1"/>
  <c r="R2352" i="2"/>
  <c r="T2352" i="2" s="1"/>
  <c r="U2352" i="2" s="1"/>
  <c r="R2364" i="2"/>
  <c r="T2364" i="2" s="1"/>
  <c r="U2364" i="2" s="1"/>
  <c r="R2417" i="2"/>
  <c r="T2417" i="2" s="1"/>
  <c r="U2417" i="2" s="1"/>
  <c r="R2450" i="2"/>
  <c r="T2450" i="2" s="1"/>
  <c r="U2450" i="2" s="1"/>
  <c r="R2458" i="2"/>
  <c r="T2458" i="2" s="1"/>
  <c r="U2458" i="2" s="1"/>
  <c r="R2461" i="2"/>
  <c r="T2461" i="2" s="1"/>
  <c r="U2461" i="2" s="1"/>
  <c r="R2494" i="2"/>
  <c r="T2494" i="2" s="1"/>
  <c r="U2494" i="2" s="1"/>
  <c r="R2555" i="2"/>
  <c r="T2555" i="2" s="1"/>
  <c r="U2555" i="2" s="1"/>
  <c r="R2574" i="2"/>
  <c r="T2574" i="2" s="1"/>
  <c r="U2574" i="2" s="1"/>
  <c r="R2586" i="2"/>
  <c r="T2586" i="2" s="1"/>
  <c r="U2586" i="2" s="1"/>
  <c r="R2590" i="2"/>
  <c r="T2590" i="2" s="1"/>
  <c r="U2590" i="2" s="1"/>
  <c r="R2691" i="2"/>
  <c r="T2691" i="2" s="1"/>
  <c r="U2691" i="2" s="1"/>
  <c r="R2695" i="2"/>
  <c r="T2695" i="2" s="1"/>
  <c r="U2695" i="2" s="1"/>
  <c r="R2699" i="2"/>
  <c r="T2699" i="2" s="1"/>
  <c r="U2699" i="2" s="1"/>
  <c r="R2734" i="2"/>
  <c r="T2734" i="2" s="1"/>
  <c r="U2734" i="2" s="1"/>
  <c r="R2742" i="2"/>
  <c r="T2742" i="2" s="1"/>
  <c r="U2742" i="2" s="1"/>
  <c r="R2749" i="2"/>
  <c r="T2749" i="2" s="1"/>
  <c r="U2749" i="2" s="1"/>
  <c r="R2757" i="2"/>
  <c r="T2757" i="2" s="1"/>
  <c r="U2757" i="2" s="1"/>
  <c r="R24" i="2"/>
  <c r="T24" i="2" s="1"/>
  <c r="U24" i="2" s="1"/>
  <c r="R28" i="2"/>
  <c r="T28" i="2" s="1"/>
  <c r="U28" i="2" s="1"/>
  <c r="H2893" i="2" s="1"/>
  <c r="R31" i="2"/>
  <c r="T31" i="2" s="1"/>
  <c r="U31" i="2" s="1"/>
  <c r="R43" i="2"/>
  <c r="T43" i="2" s="1"/>
  <c r="U43" i="2" s="1"/>
  <c r="R1554" i="2"/>
  <c r="T1554" i="2" s="1"/>
  <c r="U1554" i="2" s="1"/>
  <c r="R1903" i="2"/>
  <c r="T1903" i="2" s="1"/>
  <c r="U1903" i="2" s="1"/>
  <c r="R2162" i="2"/>
  <c r="T2162" i="2" s="1"/>
  <c r="U2162" i="2" s="1"/>
  <c r="R2166" i="2"/>
  <c r="T2166" i="2" s="1"/>
  <c r="U2166" i="2" s="1"/>
  <c r="R2189" i="2"/>
  <c r="T2189" i="2" s="1"/>
  <c r="U2189" i="2" s="1"/>
  <c r="R2266" i="2"/>
  <c r="T2266" i="2" s="1"/>
  <c r="U2266" i="2" s="1"/>
  <c r="R2289" i="2"/>
  <c r="T2289" i="2" s="1"/>
  <c r="U2289" i="2" s="1"/>
  <c r="R2372" i="2"/>
  <c r="T2372" i="2" s="1"/>
  <c r="U2372" i="2" s="1"/>
  <c r="R2384" i="2"/>
  <c r="T2384" i="2" s="1"/>
  <c r="U2384" i="2" s="1"/>
  <c r="R2421" i="2"/>
  <c r="T2421" i="2" s="1"/>
  <c r="U2421" i="2" s="1"/>
  <c r="R2425" i="2"/>
  <c r="T2425" i="2" s="1"/>
  <c r="U2425" i="2" s="1"/>
  <c r="R2440" i="2"/>
  <c r="T2440" i="2" s="1"/>
  <c r="U2440" i="2" s="1"/>
  <c r="R2465" i="2"/>
  <c r="T2465" i="2" s="1"/>
  <c r="U2465" i="2" s="1"/>
  <c r="R2476" i="2"/>
  <c r="T2476" i="2" s="1"/>
  <c r="U2476" i="2" s="1"/>
  <c r="R2487" i="2"/>
  <c r="T2487" i="2" s="1"/>
  <c r="U2487" i="2" s="1"/>
  <c r="R2524" i="2"/>
  <c r="T2524" i="2" s="1"/>
  <c r="U2524" i="2" s="1"/>
  <c r="R2598" i="2"/>
  <c r="T2598" i="2" s="1"/>
  <c r="U2598" i="2" s="1"/>
  <c r="R2602" i="2"/>
  <c r="T2602" i="2" s="1"/>
  <c r="U2602" i="2" s="1"/>
  <c r="R2606" i="2"/>
  <c r="T2606" i="2" s="1"/>
  <c r="U2606" i="2" s="1"/>
  <c r="R2715" i="2"/>
  <c r="T2715" i="2" s="1"/>
  <c r="U2715" i="2" s="1"/>
  <c r="R2723" i="2"/>
  <c r="T2723" i="2" s="1"/>
  <c r="U2723" i="2" s="1"/>
  <c r="R2769" i="2"/>
  <c r="T2769" i="2" s="1"/>
  <c r="U2769" i="2" s="1"/>
  <c r="R2777" i="2"/>
  <c r="T2777" i="2" s="1"/>
  <c r="U2777" i="2" s="1"/>
  <c r="R2785" i="2"/>
  <c r="T2785" i="2" s="1"/>
  <c r="U2785" i="2" s="1"/>
  <c r="R2793" i="2"/>
  <c r="T2793" i="2" s="1"/>
  <c r="U2793" i="2" s="1"/>
  <c r="R1408" i="2"/>
  <c r="T1408" i="2" s="1"/>
  <c r="U1408" i="2" s="1"/>
  <c r="R1642" i="2"/>
  <c r="T1642" i="2" s="1"/>
  <c r="U1642" i="2" s="1"/>
  <c r="R1646" i="2"/>
  <c r="T1646" i="2" s="1"/>
  <c r="U1646" i="2" s="1"/>
  <c r="R1888" i="2"/>
  <c r="T1888" i="2" s="1"/>
  <c r="U1888" i="2" s="1"/>
  <c r="R1951" i="2"/>
  <c r="T1951" i="2" s="1"/>
  <c r="U1951" i="2" s="1"/>
  <c r="R2132" i="2"/>
  <c r="T2132" i="2" s="1"/>
  <c r="U2132" i="2" s="1"/>
  <c r="R2301" i="2"/>
  <c r="T2301" i="2" s="1"/>
  <c r="U2301" i="2" s="1"/>
  <c r="R2313" i="2"/>
  <c r="T2313" i="2" s="1"/>
  <c r="U2313" i="2" s="1"/>
  <c r="R2381" i="2"/>
  <c r="T2381" i="2" s="1"/>
  <c r="U2381" i="2" s="1"/>
  <c r="R2388" i="2"/>
  <c r="T2388" i="2" s="1"/>
  <c r="U2388" i="2" s="1"/>
  <c r="R2414" i="2"/>
  <c r="T2414" i="2" s="1"/>
  <c r="U2414" i="2" s="1"/>
  <c r="R2430" i="2"/>
  <c r="T2430" i="2" s="1"/>
  <c r="U2430" i="2" s="1"/>
  <c r="R2466" i="2"/>
  <c r="T2466" i="2" s="1"/>
  <c r="U2466" i="2" s="1"/>
  <c r="R2484" i="2"/>
  <c r="T2484" i="2" s="1"/>
  <c r="U2484" i="2" s="1"/>
  <c r="R2491" i="2"/>
  <c r="T2491" i="2" s="1"/>
  <c r="U2491" i="2" s="1"/>
  <c r="R2513" i="2"/>
  <c r="T2513" i="2" s="1"/>
  <c r="U2513" i="2" s="1"/>
  <c r="R2517" i="2"/>
  <c r="T2517" i="2" s="1"/>
  <c r="U2517" i="2" s="1"/>
  <c r="R2614" i="2"/>
  <c r="T2614" i="2" s="1"/>
  <c r="U2614" i="2" s="1"/>
  <c r="R2731" i="2"/>
  <c r="T2731" i="2" s="1"/>
  <c r="U2731" i="2" s="1"/>
  <c r="R1424" i="2"/>
  <c r="T1424" i="2" s="1"/>
  <c r="U1424" i="2" s="1"/>
  <c r="R1452" i="2"/>
  <c r="T1452" i="2" s="1"/>
  <c r="U1452" i="2" s="1"/>
  <c r="R1543" i="2"/>
  <c r="T1543" i="2" s="1"/>
  <c r="U1543" i="2" s="1"/>
  <c r="R1650" i="2"/>
  <c r="T1650" i="2" s="1"/>
  <c r="U1650" i="2" s="1"/>
  <c r="R1662" i="2"/>
  <c r="T1662" i="2" s="1"/>
  <c r="U1662" i="2" s="1"/>
  <c r="R1670" i="2"/>
  <c r="T1670" i="2" s="1"/>
  <c r="U1670" i="2" s="1"/>
  <c r="R1935" i="2"/>
  <c r="T1935" i="2" s="1"/>
  <c r="U1935" i="2" s="1"/>
  <c r="R2014" i="2"/>
  <c r="T2014" i="2" s="1"/>
  <c r="U2014" i="2" s="1"/>
  <c r="R2097" i="2"/>
  <c r="T2097" i="2" s="1"/>
  <c r="U2097" i="2" s="1"/>
  <c r="R2148" i="2"/>
  <c r="T2148" i="2" s="1"/>
  <c r="U2148" i="2" s="1"/>
  <c r="R2240" i="2"/>
  <c r="T2240" i="2" s="1"/>
  <c r="U2240" i="2" s="1"/>
  <c r="R2248" i="2"/>
  <c r="T2248" i="2" s="1"/>
  <c r="U2248" i="2" s="1"/>
  <c r="R2263" i="2"/>
  <c r="T2263" i="2" s="1"/>
  <c r="U2263" i="2" s="1"/>
  <c r="R2392" i="2"/>
  <c r="T2392" i="2" s="1"/>
  <c r="U2392" i="2" s="1"/>
  <c r="R2418" i="2"/>
  <c r="T2418" i="2" s="1"/>
  <c r="U2418" i="2" s="1"/>
  <c r="R2470" i="2"/>
  <c r="T2470" i="2" s="1"/>
  <c r="U2470" i="2" s="1"/>
  <c r="R2510" i="2"/>
  <c r="T2510" i="2" s="1"/>
  <c r="U2510" i="2" s="1"/>
  <c r="R2514" i="2"/>
  <c r="T2514" i="2" s="1"/>
  <c r="U2514" i="2" s="1"/>
  <c r="R36" i="2"/>
  <c r="T36" i="2" s="1"/>
  <c r="U36" i="2" s="1"/>
  <c r="R1413" i="2"/>
  <c r="T1413" i="2" s="1"/>
  <c r="U1413" i="2" s="1"/>
  <c r="R1559" i="2"/>
  <c r="T1559" i="2" s="1"/>
  <c r="U1559" i="2" s="1"/>
  <c r="R1563" i="2"/>
  <c r="T1563" i="2" s="1"/>
  <c r="U1563" i="2" s="1"/>
  <c r="R1571" i="2"/>
  <c r="T1571" i="2" s="1"/>
  <c r="U1571" i="2" s="1"/>
  <c r="R1706" i="2"/>
  <c r="T1706" i="2" s="1"/>
  <c r="U1706" i="2" s="1"/>
  <c r="R1766" i="2"/>
  <c r="T1766" i="2" s="1"/>
  <c r="U1766" i="2" s="1"/>
  <c r="R1782" i="2"/>
  <c r="T1782" i="2" s="1"/>
  <c r="U1782" i="2" s="1"/>
  <c r="R1904" i="2"/>
  <c r="T1904" i="2" s="1"/>
  <c r="U1904" i="2" s="1"/>
  <c r="R2030" i="2"/>
  <c r="T2030" i="2" s="1"/>
  <c r="U2030" i="2" s="1"/>
  <c r="R2038" i="2"/>
  <c r="T2038" i="2" s="1"/>
  <c r="U2038" i="2" s="1"/>
  <c r="R2042" i="2"/>
  <c r="T2042" i="2" s="1"/>
  <c r="U2042" i="2" s="1"/>
  <c r="R2159" i="2"/>
  <c r="T2159" i="2" s="1"/>
  <c r="U2159" i="2" s="1"/>
  <c r="R2163" i="2"/>
  <c r="T2163" i="2" s="1"/>
  <c r="U2163" i="2" s="1"/>
  <c r="R2186" i="2"/>
  <c r="T2186" i="2" s="1"/>
  <c r="U2186" i="2" s="1"/>
  <c r="R2198" i="2"/>
  <c r="T2198" i="2" s="1"/>
  <c r="U2198" i="2" s="1"/>
  <c r="R2354" i="2"/>
  <c r="T2354" i="2" s="1"/>
  <c r="U2354" i="2" s="1"/>
  <c r="R2358" i="2"/>
  <c r="T2358" i="2" s="1"/>
  <c r="U2358" i="2" s="1"/>
  <c r="R2370" i="2"/>
  <c r="T2370" i="2" s="1"/>
  <c r="U2370" i="2" s="1"/>
  <c r="R2496" i="2"/>
  <c r="T2496" i="2" s="1"/>
  <c r="U2496" i="2" s="1"/>
  <c r="R1786" i="2"/>
  <c r="T1786" i="2" s="1"/>
  <c r="U1786" i="2" s="1"/>
  <c r="R1920" i="2"/>
  <c r="T1920" i="2" s="1"/>
  <c r="U1920" i="2" s="1"/>
  <c r="R1959" i="2"/>
  <c r="T1959" i="2" s="1"/>
  <c r="U1959" i="2" s="1"/>
  <c r="R2074" i="2"/>
  <c r="T2074" i="2" s="1"/>
  <c r="U2074" i="2" s="1"/>
  <c r="R2078" i="2"/>
  <c r="T2078" i="2" s="1"/>
  <c r="U2078" i="2" s="1"/>
  <c r="R2153" i="2"/>
  <c r="T2153" i="2" s="1"/>
  <c r="U2153" i="2" s="1"/>
  <c r="R2206" i="2"/>
  <c r="T2206" i="2" s="1"/>
  <c r="U2206" i="2" s="1"/>
  <c r="R2298" i="2"/>
  <c r="T2298" i="2" s="1"/>
  <c r="U2298" i="2" s="1"/>
  <c r="R2310" i="2"/>
  <c r="T2310" i="2" s="1"/>
  <c r="U2310" i="2" s="1"/>
  <c r="R2326" i="2"/>
  <c r="T2326" i="2" s="1"/>
  <c r="U2326" i="2" s="1"/>
  <c r="R2330" i="2"/>
  <c r="T2330" i="2" s="1"/>
  <c r="U2330" i="2" s="1"/>
  <c r="R2404" i="2"/>
  <c r="T2404" i="2" s="1"/>
  <c r="U2404" i="2" s="1"/>
  <c r="R2415" i="2"/>
  <c r="T2415" i="2" s="1"/>
  <c r="U2415" i="2" s="1"/>
  <c r="R2437" i="2"/>
  <c r="T2437" i="2" s="1"/>
  <c r="U2437" i="2" s="1"/>
  <c r="R2444" i="2"/>
  <c r="T2444" i="2" s="1"/>
  <c r="U2444" i="2" s="1"/>
  <c r="R1663" i="2"/>
  <c r="T1663" i="2" s="1"/>
  <c r="U1663" i="2" s="1"/>
  <c r="R1667" i="2"/>
  <c r="T1667" i="2" s="1"/>
  <c r="U1667" i="2" s="1"/>
  <c r="R1671" i="2"/>
  <c r="T1671" i="2" s="1"/>
  <c r="U1671" i="2" s="1"/>
  <c r="R1675" i="2"/>
  <c r="T1675" i="2" s="1"/>
  <c r="U1675" i="2" s="1"/>
  <c r="R1791" i="2"/>
  <c r="T1791" i="2" s="1"/>
  <c r="U1791" i="2" s="1"/>
  <c r="R1818" i="2"/>
  <c r="T1818" i="2" s="1"/>
  <c r="U1818" i="2" s="1"/>
  <c r="R1857" i="2"/>
  <c r="T1857" i="2" s="1"/>
  <c r="U1857" i="2" s="1"/>
  <c r="R1936" i="2"/>
  <c r="T1936" i="2" s="1"/>
  <c r="U1936" i="2" s="1"/>
  <c r="R1967" i="2"/>
  <c r="T1967" i="2" s="1"/>
  <c r="U1967" i="2" s="1"/>
  <c r="R1971" i="2"/>
  <c r="T1971" i="2" s="1"/>
  <c r="U1971" i="2" s="1"/>
  <c r="R2086" i="2"/>
  <c r="T2086" i="2" s="1"/>
  <c r="U2086" i="2" s="1"/>
  <c r="R2090" i="2"/>
  <c r="T2090" i="2" s="1"/>
  <c r="U2090" i="2" s="1"/>
  <c r="R2098" i="2"/>
  <c r="T2098" i="2" s="1"/>
  <c r="U2098" i="2" s="1"/>
  <c r="R2137" i="2"/>
  <c r="T2137" i="2" s="1"/>
  <c r="U2137" i="2" s="1"/>
  <c r="R2203" i="2"/>
  <c r="T2203" i="2" s="1"/>
  <c r="U2203" i="2" s="1"/>
  <c r="R2339" i="2"/>
  <c r="T2339" i="2" s="1"/>
  <c r="U2339" i="2" s="1"/>
  <c r="R2347" i="2"/>
  <c r="T2347" i="2" s="1"/>
  <c r="U2347" i="2" s="1"/>
  <c r="R2452" i="2"/>
  <c r="T2452" i="2" s="1"/>
  <c r="U2452" i="2" s="1"/>
  <c r="R2456" i="2"/>
  <c r="T2456" i="2" s="1"/>
  <c r="U2456" i="2" s="1"/>
  <c r="R2515" i="2"/>
  <c r="T2515" i="2" s="1"/>
  <c r="U2515" i="2" s="1"/>
  <c r="R18" i="2"/>
  <c r="T18" i="2" s="1"/>
  <c r="U18" i="2" s="1"/>
  <c r="R1437" i="2"/>
  <c r="T1437" i="2" s="1"/>
  <c r="U1437" i="2" s="1"/>
  <c r="R1560" i="2"/>
  <c r="T1560" i="2" s="1"/>
  <c r="U1560" i="2" s="1"/>
  <c r="R1810" i="2"/>
  <c r="T1810" i="2" s="1"/>
  <c r="U1810" i="2" s="1"/>
  <c r="R1925" i="2"/>
  <c r="T1925" i="2" s="1"/>
  <c r="U1925" i="2" s="1"/>
  <c r="R1948" i="2"/>
  <c r="T1948" i="2" s="1"/>
  <c r="U1948" i="2" s="1"/>
  <c r="R2035" i="2"/>
  <c r="T2035" i="2" s="1"/>
  <c r="U2035" i="2" s="1"/>
  <c r="R2043" i="2"/>
  <c r="T2043" i="2" s="1"/>
  <c r="U2043" i="2" s="1"/>
  <c r="R2160" i="2"/>
  <c r="T2160" i="2" s="1"/>
  <c r="U2160" i="2" s="1"/>
  <c r="R2164" i="2"/>
  <c r="T2164" i="2" s="1"/>
  <c r="U2164" i="2" s="1"/>
  <c r="R2191" i="2"/>
  <c r="T2191" i="2" s="1"/>
  <c r="U2191" i="2" s="1"/>
  <c r="R2199" i="2"/>
  <c r="T2199" i="2" s="1"/>
  <c r="U2199" i="2" s="1"/>
  <c r="R2355" i="2"/>
  <c r="T2355" i="2" s="1"/>
  <c r="U2355" i="2" s="1"/>
  <c r="R2359" i="2"/>
  <c r="T2359" i="2" s="1"/>
  <c r="U2359" i="2" s="1"/>
  <c r="R2363" i="2"/>
  <c r="T2363" i="2" s="1"/>
  <c r="U2363" i="2" s="1"/>
  <c r="R2394" i="2"/>
  <c r="T2394" i="2" s="1"/>
  <c r="U2394" i="2" s="1"/>
  <c r="R2460" i="2"/>
  <c r="T2460" i="2" s="1"/>
  <c r="U2460" i="2" s="1"/>
  <c r="R2467" i="2"/>
  <c r="T2467" i="2" s="1"/>
  <c r="U2467" i="2" s="1"/>
  <c r="R2478" i="2"/>
  <c r="T2478" i="2" s="1"/>
  <c r="U2478" i="2" s="1"/>
  <c r="R2489" i="2"/>
  <c r="T2489" i="2" s="1"/>
  <c r="U2489" i="2" s="1"/>
  <c r="R2497" i="2"/>
  <c r="T2497" i="2" s="1"/>
  <c r="U2497" i="2" s="1"/>
  <c r="R2500" i="2"/>
  <c r="T2500" i="2" s="1"/>
  <c r="U2500" i="2" s="1"/>
  <c r="R2504" i="2"/>
  <c r="T2504" i="2" s="1"/>
  <c r="U2504" i="2" s="1"/>
  <c r="R2507" i="2"/>
  <c r="T2507" i="2" s="1"/>
  <c r="U2507" i="2" s="1"/>
  <c r="R2561" i="2"/>
  <c r="T2561" i="2" s="1"/>
  <c r="U2561" i="2" s="1"/>
  <c r="R2592" i="2"/>
  <c r="T2592" i="2" s="1"/>
  <c r="U2592" i="2" s="1"/>
  <c r="R2596" i="2"/>
  <c r="T2596" i="2" s="1"/>
  <c r="U2596" i="2" s="1"/>
  <c r="R2608" i="2"/>
  <c r="T2608" i="2" s="1"/>
  <c r="U2608" i="2" s="1"/>
  <c r="R2635" i="2"/>
  <c r="T2635" i="2" s="1"/>
  <c r="U2635" i="2" s="1"/>
  <c r="R2674" i="2"/>
  <c r="T2674" i="2" s="1"/>
  <c r="U2674" i="2" s="1"/>
  <c r="R2709" i="2"/>
  <c r="T2709" i="2" s="1"/>
  <c r="U2709" i="2" s="1"/>
  <c r="R2713" i="2"/>
  <c r="T2713" i="2" s="1"/>
  <c r="U2713" i="2" s="1"/>
  <c r="R2725" i="2"/>
  <c r="T2725" i="2" s="1"/>
  <c r="U2725" i="2" s="1"/>
  <c r="R2771" i="2"/>
  <c r="T2771" i="2" s="1"/>
  <c r="U2771" i="2" s="1"/>
  <c r="R2791" i="2"/>
  <c r="T2791" i="2" s="1"/>
  <c r="U2791" i="2" s="1"/>
  <c r="R26" i="2"/>
  <c r="T26" i="2" s="1"/>
  <c r="U26" i="2" s="1"/>
  <c r="R40" i="2"/>
  <c r="T40" i="2" s="1"/>
  <c r="U40" i="2" s="1"/>
  <c r="R1380" i="2"/>
  <c r="T1380" i="2" s="1"/>
  <c r="U1380" i="2" s="1"/>
  <c r="R1406" i="2"/>
  <c r="T1406" i="2" s="1"/>
  <c r="U1406" i="2" s="1"/>
  <c r="R1591" i="2"/>
  <c r="T1591" i="2" s="1"/>
  <c r="U1591" i="2" s="1"/>
  <c r="R1966" i="2"/>
  <c r="T1966" i="2" s="1"/>
  <c r="U1966" i="2" s="1"/>
  <c r="R2037" i="2"/>
  <c r="T2037" i="2" s="1"/>
  <c r="U2037" i="2" s="1"/>
  <c r="R2177" i="2"/>
  <c r="T2177" i="2" s="1"/>
  <c r="U2177" i="2" s="1"/>
  <c r="R13" i="2"/>
  <c r="T13" i="2" s="1"/>
  <c r="U13" i="2" s="1"/>
  <c r="R33" i="2"/>
  <c r="T33" i="2" s="1"/>
  <c r="U33" i="2" s="1"/>
  <c r="R1381" i="2"/>
  <c r="T1381" i="2" s="1"/>
  <c r="U1381" i="2" s="1"/>
  <c r="R1384" i="2"/>
  <c r="T1384" i="2" s="1"/>
  <c r="U1384" i="2" s="1"/>
  <c r="R1388" i="2"/>
  <c r="T1388" i="2" s="1"/>
  <c r="U1388" i="2" s="1"/>
  <c r="R1407" i="2"/>
  <c r="T1407" i="2" s="1"/>
  <c r="U1407" i="2" s="1"/>
  <c r="R1410" i="2"/>
  <c r="T1410" i="2" s="1"/>
  <c r="U1410" i="2" s="1"/>
  <c r="R1418" i="2"/>
  <c r="T1418" i="2" s="1"/>
  <c r="U1418" i="2" s="1"/>
  <c r="R2151" i="2"/>
  <c r="T2151" i="2" s="1"/>
  <c r="U2151" i="2" s="1"/>
  <c r="R1392" i="2"/>
  <c r="T1392" i="2" s="1"/>
  <c r="U1392" i="2" s="1"/>
  <c r="R1513" i="2"/>
  <c r="T1513" i="2" s="1"/>
  <c r="U1513" i="2" s="1"/>
  <c r="R1517" i="2"/>
  <c r="T1517" i="2" s="1"/>
  <c r="U1517" i="2" s="1"/>
  <c r="R1639" i="2"/>
  <c r="T1639" i="2" s="1"/>
  <c r="U1639" i="2" s="1"/>
  <c r="R1916" i="2"/>
  <c r="T1916" i="2" s="1"/>
  <c r="U1916" i="2" s="1"/>
  <c r="R30" i="2"/>
  <c r="T30" i="2" s="1"/>
  <c r="U30" i="2" s="1"/>
  <c r="R1397" i="2"/>
  <c r="T1397" i="2" s="1"/>
  <c r="U1397" i="2" s="1"/>
  <c r="R1400" i="2"/>
  <c r="T1400" i="2" s="1"/>
  <c r="U1400" i="2" s="1"/>
  <c r="R1502" i="2"/>
  <c r="T1502" i="2" s="1"/>
  <c r="U1502" i="2" s="1"/>
  <c r="R1889" i="2"/>
  <c r="T1889" i="2" s="1"/>
  <c r="U1889" i="2" s="1"/>
  <c r="R2054" i="2"/>
  <c r="T2054" i="2" s="1"/>
  <c r="U2054" i="2" s="1"/>
  <c r="R2502" i="2"/>
  <c r="T2502" i="2" s="1"/>
  <c r="U2502" i="2" s="1"/>
  <c r="R1401" i="2"/>
  <c r="T1401" i="2" s="1"/>
  <c r="U1401" i="2" s="1"/>
  <c r="R1404" i="2"/>
  <c r="T1404" i="2" s="1"/>
  <c r="U1404" i="2" s="1"/>
  <c r="R1569" i="2"/>
  <c r="T1569" i="2" s="1"/>
  <c r="U1569" i="2" s="1"/>
  <c r="R1624" i="2"/>
  <c r="T1624" i="2" s="1"/>
  <c r="U1624" i="2" s="1"/>
  <c r="R1795" i="2"/>
  <c r="T1795" i="2" s="1"/>
  <c r="U1795" i="2" s="1"/>
  <c r="R1945" i="2"/>
  <c r="T1945" i="2" s="1"/>
  <c r="U1945" i="2" s="1"/>
  <c r="R2023" i="2"/>
  <c r="T2023" i="2" s="1"/>
  <c r="U2023" i="2" s="1"/>
  <c r="R16" i="2"/>
  <c r="T16" i="2" s="1"/>
  <c r="U16" i="2" s="1"/>
  <c r="R1483" i="2"/>
  <c r="T1483" i="2" s="1"/>
  <c r="U1483" i="2" s="1"/>
  <c r="R1870" i="2"/>
  <c r="T1870" i="2" s="1"/>
  <c r="U1870" i="2" s="1"/>
  <c r="R1882" i="2"/>
  <c r="T1882" i="2" s="1"/>
  <c r="U1882" i="2" s="1"/>
  <c r="R1953" i="2"/>
  <c r="T1953" i="2" s="1"/>
  <c r="U1953" i="2" s="1"/>
  <c r="R2051" i="2"/>
  <c r="T2051" i="2" s="1"/>
  <c r="U2051" i="2" s="1"/>
  <c r="R2210" i="2"/>
  <c r="T2210" i="2" s="1"/>
  <c r="U2210" i="2" s="1"/>
  <c r="R17" i="2"/>
  <c r="T17" i="2" s="1"/>
  <c r="U17" i="2" s="1"/>
  <c r="R20" i="2"/>
  <c r="T20" i="2" s="1"/>
  <c r="U20" i="2" s="1"/>
  <c r="R35" i="2"/>
  <c r="T35" i="2" s="1"/>
  <c r="U35" i="2" s="1"/>
  <c r="R1387" i="2"/>
  <c r="T1387" i="2" s="1"/>
  <c r="U1387" i="2" s="1"/>
  <c r="R1390" i="2"/>
  <c r="T1390" i="2" s="1"/>
  <c r="U1390" i="2" s="1"/>
  <c r="R1394" i="2"/>
  <c r="T1394" i="2" s="1"/>
  <c r="U1394" i="2" s="1"/>
  <c r="R1432" i="2"/>
  <c r="T1432" i="2" s="1"/>
  <c r="U1432" i="2" s="1"/>
  <c r="R1847" i="2"/>
  <c r="T1847" i="2" s="1"/>
  <c r="U1847" i="2" s="1"/>
  <c r="R2020" i="2"/>
  <c r="T2020" i="2" s="1"/>
  <c r="U2020" i="2" s="1"/>
  <c r="R39" i="2"/>
  <c r="T39" i="2" s="1"/>
  <c r="U39" i="2" s="1"/>
  <c r="R1391" i="2"/>
  <c r="T1391" i="2" s="1"/>
  <c r="U1391" i="2" s="1"/>
  <c r="R1395" i="2"/>
  <c r="T1395" i="2" s="1"/>
  <c r="U1395" i="2" s="1"/>
  <c r="R1398" i="2"/>
  <c r="T1398" i="2" s="1"/>
  <c r="U1398" i="2" s="1"/>
  <c r="R1535" i="2"/>
  <c r="T1535" i="2" s="1"/>
  <c r="U1535" i="2" s="1"/>
  <c r="R1539" i="2"/>
  <c r="T1539" i="2" s="1"/>
  <c r="U1539" i="2" s="1"/>
  <c r="R1824" i="2"/>
  <c r="T1824" i="2" s="1"/>
  <c r="U1824" i="2" s="1"/>
  <c r="R2001" i="2"/>
  <c r="T2001" i="2" s="1"/>
  <c r="U2001" i="2" s="1"/>
  <c r="R2005" i="2"/>
  <c r="T2005" i="2" s="1"/>
  <c r="U2005" i="2" s="1"/>
  <c r="R1453" i="2"/>
  <c r="T1453" i="2" s="1"/>
  <c r="U1453" i="2" s="1"/>
  <c r="R1468" i="2"/>
  <c r="T1468" i="2" s="1"/>
  <c r="U1468" i="2" s="1"/>
  <c r="R1479" i="2"/>
  <c r="T1479" i="2" s="1"/>
  <c r="U1479" i="2" s="1"/>
  <c r="R1509" i="2"/>
  <c r="T1509" i="2" s="1"/>
  <c r="U1509" i="2" s="1"/>
  <c r="R1531" i="2"/>
  <c r="T1531" i="2" s="1"/>
  <c r="U1531" i="2" s="1"/>
  <c r="R1550" i="2"/>
  <c r="T1550" i="2" s="1"/>
  <c r="U1550" i="2" s="1"/>
  <c r="R1561" i="2"/>
  <c r="T1561" i="2" s="1"/>
  <c r="U1561" i="2" s="1"/>
  <c r="R1565" i="2"/>
  <c r="T1565" i="2" s="1"/>
  <c r="U1565" i="2" s="1"/>
  <c r="R1587" i="2"/>
  <c r="T1587" i="2" s="1"/>
  <c r="U1587" i="2" s="1"/>
  <c r="R1613" i="2"/>
  <c r="T1613" i="2" s="1"/>
  <c r="U1613" i="2" s="1"/>
  <c r="R1780" i="2"/>
  <c r="T1780" i="2" s="1"/>
  <c r="U1780" i="2" s="1"/>
  <c r="R1491" i="2"/>
  <c r="T1491" i="2" s="1"/>
  <c r="U1491" i="2" s="1"/>
  <c r="R1521" i="2"/>
  <c r="T1521" i="2" s="1"/>
  <c r="U1521" i="2" s="1"/>
  <c r="R1547" i="2"/>
  <c r="T1547" i="2" s="1"/>
  <c r="U1547" i="2" s="1"/>
  <c r="R1573" i="2"/>
  <c r="T1573" i="2" s="1"/>
  <c r="U1573" i="2" s="1"/>
  <c r="R1580" i="2"/>
  <c r="T1580" i="2" s="1"/>
  <c r="U1580" i="2" s="1"/>
  <c r="R1595" i="2"/>
  <c r="T1595" i="2" s="1"/>
  <c r="U1595" i="2" s="1"/>
  <c r="R1617" i="2"/>
  <c r="T1617" i="2" s="1"/>
  <c r="U1617" i="2" s="1"/>
  <c r="R1621" i="2"/>
  <c r="T1621" i="2" s="1"/>
  <c r="U1621" i="2" s="1"/>
  <c r="R1628" i="2"/>
  <c r="T1628" i="2" s="1"/>
  <c r="U1628" i="2" s="1"/>
  <c r="R1643" i="2"/>
  <c r="T1643" i="2" s="1"/>
  <c r="U1643" i="2" s="1"/>
  <c r="R1678" i="2"/>
  <c r="T1678" i="2" s="1"/>
  <c r="U1678" i="2" s="1"/>
  <c r="R1788" i="2"/>
  <c r="T1788" i="2" s="1"/>
  <c r="U1788" i="2" s="1"/>
  <c r="R1836" i="2"/>
  <c r="T1836" i="2" s="1"/>
  <c r="U1836" i="2" s="1"/>
  <c r="R1855" i="2"/>
  <c r="T1855" i="2" s="1"/>
  <c r="U1855" i="2" s="1"/>
  <c r="R1976" i="2"/>
  <c r="T1976" i="2" s="1"/>
  <c r="U1976" i="2" s="1"/>
  <c r="R2416" i="2"/>
  <c r="T2416" i="2" s="1"/>
  <c r="U2416" i="2" s="1"/>
  <c r="R2546" i="2"/>
  <c r="T2546" i="2" s="1"/>
  <c r="U2546" i="2" s="1"/>
  <c r="R2585" i="2"/>
  <c r="T2585" i="2" s="1"/>
  <c r="U2585" i="2" s="1"/>
  <c r="R2639" i="2"/>
  <c r="T2639" i="2" s="1"/>
  <c r="U2639" i="2" s="1"/>
  <c r="R2765" i="2"/>
  <c r="T2765" i="2" s="1"/>
  <c r="U2765" i="2" s="1"/>
  <c r="R1414" i="2"/>
  <c r="T1414" i="2" s="1"/>
  <c r="U1414" i="2" s="1"/>
  <c r="R1436" i="2"/>
  <c r="T1436" i="2" s="1"/>
  <c r="U1436" i="2" s="1"/>
  <c r="R1443" i="2"/>
  <c r="T1443" i="2" s="1"/>
  <c r="U1443" i="2" s="1"/>
  <c r="R1454" i="2"/>
  <c r="T1454" i="2" s="1"/>
  <c r="U1454" i="2" s="1"/>
  <c r="R1495" i="2"/>
  <c r="T1495" i="2" s="1"/>
  <c r="U1495" i="2" s="1"/>
  <c r="R1499" i="2"/>
  <c r="T1499" i="2" s="1"/>
  <c r="U1499" i="2" s="1"/>
  <c r="R1506" i="2"/>
  <c r="T1506" i="2" s="1"/>
  <c r="U1506" i="2" s="1"/>
  <c r="R1525" i="2"/>
  <c r="T1525" i="2" s="1"/>
  <c r="U1525" i="2" s="1"/>
  <c r="R1532" i="2"/>
  <c r="T1532" i="2" s="1"/>
  <c r="U1532" i="2" s="1"/>
  <c r="R1551" i="2"/>
  <c r="T1551" i="2" s="1"/>
  <c r="U1551" i="2" s="1"/>
  <c r="R1558" i="2"/>
  <c r="T1558" i="2" s="1"/>
  <c r="U1558" i="2" s="1"/>
  <c r="R1562" i="2"/>
  <c r="T1562" i="2" s="1"/>
  <c r="U1562" i="2" s="1"/>
  <c r="R1584" i="2"/>
  <c r="T1584" i="2" s="1"/>
  <c r="U1584" i="2" s="1"/>
  <c r="R1588" i="2"/>
  <c r="T1588" i="2" s="1"/>
  <c r="U1588" i="2" s="1"/>
  <c r="R1599" i="2"/>
  <c r="T1599" i="2" s="1"/>
  <c r="U1599" i="2" s="1"/>
  <c r="R1606" i="2"/>
  <c r="T1606" i="2" s="1"/>
  <c r="U1606" i="2" s="1"/>
  <c r="R1610" i="2"/>
  <c r="T1610" i="2" s="1"/>
  <c r="U1610" i="2" s="1"/>
  <c r="R1632" i="2"/>
  <c r="T1632" i="2" s="1"/>
  <c r="U1632" i="2" s="1"/>
  <c r="R1636" i="2"/>
  <c r="T1636" i="2" s="1"/>
  <c r="U1636" i="2" s="1"/>
  <c r="R1647" i="2"/>
  <c r="T1647" i="2" s="1"/>
  <c r="U1647" i="2" s="1"/>
  <c r="R1654" i="2"/>
  <c r="T1654" i="2" s="1"/>
  <c r="U1654" i="2" s="1"/>
  <c r="R1657" i="2"/>
  <c r="T1657" i="2" s="1"/>
  <c r="U1657" i="2" s="1"/>
  <c r="R1682" i="2"/>
  <c r="T1682" i="2" s="1"/>
  <c r="U1682" i="2" s="1"/>
  <c r="R1697" i="2"/>
  <c r="T1697" i="2" s="1"/>
  <c r="U1697" i="2" s="1"/>
  <c r="R1709" i="2"/>
  <c r="T1709" i="2" s="1"/>
  <c r="U1709" i="2" s="1"/>
  <c r="R1721" i="2"/>
  <c r="T1721" i="2" s="1"/>
  <c r="U1721" i="2" s="1"/>
  <c r="R1733" i="2"/>
  <c r="T1733" i="2" s="1"/>
  <c r="U1733" i="2" s="1"/>
  <c r="R1745" i="2"/>
  <c r="T1745" i="2" s="1"/>
  <c r="U1745" i="2" s="1"/>
  <c r="R1757" i="2"/>
  <c r="T1757" i="2" s="1"/>
  <c r="U1757" i="2" s="1"/>
  <c r="R1769" i="2"/>
  <c r="T1769" i="2" s="1"/>
  <c r="U1769" i="2" s="1"/>
  <c r="R1781" i="2"/>
  <c r="T1781" i="2" s="1"/>
  <c r="U1781" i="2" s="1"/>
  <c r="R1792" i="2"/>
  <c r="T1792" i="2" s="1"/>
  <c r="U1792" i="2" s="1"/>
  <c r="R1809" i="2"/>
  <c r="T1809" i="2" s="1"/>
  <c r="U1809" i="2" s="1"/>
  <c r="R1840" i="2"/>
  <c r="T1840" i="2" s="1"/>
  <c r="U1840" i="2" s="1"/>
  <c r="R1874" i="2"/>
  <c r="T1874" i="2" s="1"/>
  <c r="U1874" i="2" s="1"/>
  <c r="R1878" i="2"/>
  <c r="T1878" i="2" s="1"/>
  <c r="U1878" i="2" s="1"/>
  <c r="R1901" i="2"/>
  <c r="T1901" i="2" s="1"/>
  <c r="U1901" i="2" s="1"/>
  <c r="R1942" i="2"/>
  <c r="T1942" i="2" s="1"/>
  <c r="U1942" i="2" s="1"/>
  <c r="R1956" i="2"/>
  <c r="T1956" i="2" s="1"/>
  <c r="U1956" i="2" s="1"/>
  <c r="R1980" i="2"/>
  <c r="T1980" i="2" s="1"/>
  <c r="U1980" i="2" s="1"/>
  <c r="R1995" i="2"/>
  <c r="T1995" i="2" s="1"/>
  <c r="U1995" i="2" s="1"/>
  <c r="R2034" i="2"/>
  <c r="T2034" i="2" s="1"/>
  <c r="U2034" i="2" s="1"/>
  <c r="R2065" i="2"/>
  <c r="T2065" i="2" s="1"/>
  <c r="U2065" i="2" s="1"/>
  <c r="R2069" i="2"/>
  <c r="T2069" i="2" s="1"/>
  <c r="U2069" i="2" s="1"/>
  <c r="R2237" i="2"/>
  <c r="T2237" i="2" s="1"/>
  <c r="U2237" i="2" s="1"/>
  <c r="R2628" i="2"/>
  <c r="T2628" i="2" s="1"/>
  <c r="U2628" i="2" s="1"/>
  <c r="R1415" i="2"/>
  <c r="T1415" i="2" s="1"/>
  <c r="U1415" i="2" s="1"/>
  <c r="R1422" i="2"/>
  <c r="T1422" i="2" s="1"/>
  <c r="U1422" i="2" s="1"/>
  <c r="R1429" i="2"/>
  <c r="T1429" i="2" s="1"/>
  <c r="U1429" i="2" s="1"/>
  <c r="R1469" i="2"/>
  <c r="T1469" i="2" s="1"/>
  <c r="U1469" i="2" s="1"/>
  <c r="R1484" i="2"/>
  <c r="T1484" i="2" s="1"/>
  <c r="U1484" i="2" s="1"/>
  <c r="R1503" i="2"/>
  <c r="T1503" i="2" s="1"/>
  <c r="U1503" i="2" s="1"/>
  <c r="R1540" i="2"/>
  <c r="T1540" i="2" s="1"/>
  <c r="U1540" i="2" s="1"/>
  <c r="R1566" i="2"/>
  <c r="T1566" i="2" s="1"/>
  <c r="U1566" i="2" s="1"/>
  <c r="R1570" i="2"/>
  <c r="T1570" i="2" s="1"/>
  <c r="U1570" i="2" s="1"/>
  <c r="R1577" i="2"/>
  <c r="T1577" i="2" s="1"/>
  <c r="U1577" i="2" s="1"/>
  <c r="R1625" i="2"/>
  <c r="T1625" i="2" s="1"/>
  <c r="U1625" i="2" s="1"/>
  <c r="R1821" i="2"/>
  <c r="T1821" i="2" s="1"/>
  <c r="U1821" i="2" s="1"/>
  <c r="R1886" i="2"/>
  <c r="T1886" i="2" s="1"/>
  <c r="U1886" i="2" s="1"/>
  <c r="R1924" i="2"/>
  <c r="T1924" i="2" s="1"/>
  <c r="U1924" i="2" s="1"/>
  <c r="R2062" i="2"/>
  <c r="T2062" i="2" s="1"/>
  <c r="U2062" i="2" s="1"/>
  <c r="R2174" i="2"/>
  <c r="T2174" i="2" s="1"/>
  <c r="U2174" i="2" s="1"/>
  <c r="R1440" i="2"/>
  <c r="T1440" i="2" s="1"/>
  <c r="U1440" i="2" s="1"/>
  <c r="R1522" i="2"/>
  <c r="T1522" i="2" s="1"/>
  <c r="U1522" i="2" s="1"/>
  <c r="R1529" i="2"/>
  <c r="T1529" i="2" s="1"/>
  <c r="U1529" i="2" s="1"/>
  <c r="R1544" i="2"/>
  <c r="T1544" i="2" s="1"/>
  <c r="U1544" i="2" s="1"/>
  <c r="R1548" i="2"/>
  <c r="T1548" i="2" s="1"/>
  <c r="U1548" i="2" s="1"/>
  <c r="R1555" i="2"/>
  <c r="T1555" i="2" s="1"/>
  <c r="U1555" i="2" s="1"/>
  <c r="R1581" i="2"/>
  <c r="T1581" i="2" s="1"/>
  <c r="U1581" i="2" s="1"/>
  <c r="R1629" i="2"/>
  <c r="T1629" i="2" s="1"/>
  <c r="U1629" i="2" s="1"/>
  <c r="R1644" i="2"/>
  <c r="T1644" i="2" s="1"/>
  <c r="U1644" i="2" s="1"/>
  <c r="R1799" i="2"/>
  <c r="T1799" i="2" s="1"/>
  <c r="U1799" i="2" s="1"/>
  <c r="R1852" i="2"/>
  <c r="T1852" i="2" s="1"/>
  <c r="U1852" i="2" s="1"/>
  <c r="R1856" i="2"/>
  <c r="T1856" i="2" s="1"/>
  <c r="U1856" i="2" s="1"/>
  <c r="R1871" i="2"/>
  <c r="T1871" i="2" s="1"/>
  <c r="U1871" i="2" s="1"/>
  <c r="R1984" i="2"/>
  <c r="T1984" i="2" s="1"/>
  <c r="U1984" i="2" s="1"/>
  <c r="R2003" i="2"/>
  <c r="T2003" i="2" s="1"/>
  <c r="U2003" i="2" s="1"/>
  <c r="R2445" i="2"/>
  <c r="T2445" i="2" s="1"/>
  <c r="U2445" i="2" s="1"/>
  <c r="R2621" i="2"/>
  <c r="T2621" i="2" s="1"/>
  <c r="U2621" i="2" s="1"/>
  <c r="R1462" i="2"/>
  <c r="T1462" i="2" s="1"/>
  <c r="U1462" i="2" s="1"/>
  <c r="R1481" i="2"/>
  <c r="T1481" i="2" s="1"/>
  <c r="U1481" i="2" s="1"/>
  <c r="R1500" i="2"/>
  <c r="T1500" i="2" s="1"/>
  <c r="U1500" i="2" s="1"/>
  <c r="R1574" i="2"/>
  <c r="T1574" i="2" s="1"/>
  <c r="U1574" i="2" s="1"/>
  <c r="R1589" i="2"/>
  <c r="T1589" i="2" s="1"/>
  <c r="U1589" i="2" s="1"/>
  <c r="R1622" i="2"/>
  <c r="T1622" i="2" s="1"/>
  <c r="U1622" i="2" s="1"/>
  <c r="R1672" i="2"/>
  <c r="T1672" i="2" s="1"/>
  <c r="U1672" i="2" s="1"/>
  <c r="R1742" i="2"/>
  <c r="T1742" i="2" s="1"/>
  <c r="U1742" i="2" s="1"/>
  <c r="R1879" i="2"/>
  <c r="T1879" i="2" s="1"/>
  <c r="U1879" i="2" s="1"/>
  <c r="R2073" i="2"/>
  <c r="T2073" i="2" s="1"/>
  <c r="U2073" i="2" s="1"/>
  <c r="R2371" i="2"/>
  <c r="T2371" i="2" s="1"/>
  <c r="U2371" i="2" s="1"/>
  <c r="R2389" i="2"/>
  <c r="T2389" i="2" s="1"/>
  <c r="U2389" i="2" s="1"/>
  <c r="R2473" i="2"/>
  <c r="T2473" i="2" s="1"/>
  <c r="U2473" i="2" s="1"/>
  <c r="R2490" i="2"/>
  <c r="T2490" i="2" s="1"/>
  <c r="U2490" i="2" s="1"/>
  <c r="R1430" i="2"/>
  <c r="T1430" i="2" s="1"/>
  <c r="U1430" i="2" s="1"/>
  <c r="R1515" i="2"/>
  <c r="T1515" i="2" s="1"/>
  <c r="U1515" i="2" s="1"/>
  <c r="R1567" i="2"/>
  <c r="T1567" i="2" s="1"/>
  <c r="U1567" i="2" s="1"/>
  <c r="R1600" i="2"/>
  <c r="T1600" i="2" s="1"/>
  <c r="U1600" i="2" s="1"/>
  <c r="R1615" i="2"/>
  <c r="T1615" i="2" s="1"/>
  <c r="U1615" i="2" s="1"/>
  <c r="R1648" i="2"/>
  <c r="T1648" i="2" s="1"/>
  <c r="U1648" i="2" s="1"/>
  <c r="R1814" i="2"/>
  <c r="T1814" i="2" s="1"/>
  <c r="U1814" i="2" s="1"/>
  <c r="R1864" i="2"/>
  <c r="T1864" i="2" s="1"/>
  <c r="U1864" i="2" s="1"/>
  <c r="R1989" i="2"/>
  <c r="T1989" i="2" s="1"/>
  <c r="U1989" i="2" s="1"/>
  <c r="R2011" i="2"/>
  <c r="T2011" i="2" s="1"/>
  <c r="U2011" i="2" s="1"/>
  <c r="R2056" i="2"/>
  <c r="T2056" i="2" s="1"/>
  <c r="U2056" i="2" s="1"/>
  <c r="R2063" i="2"/>
  <c r="T2063" i="2" s="1"/>
  <c r="U2063" i="2" s="1"/>
  <c r="R2567" i="2"/>
  <c r="T2567" i="2" s="1"/>
  <c r="U2567" i="2" s="1"/>
  <c r="R2610" i="2"/>
  <c r="T2610" i="2" s="1"/>
  <c r="U2610" i="2" s="1"/>
  <c r="R1448" i="2"/>
  <c r="T1448" i="2" s="1"/>
  <c r="U1448" i="2" s="1"/>
  <c r="R1478" i="2"/>
  <c r="T1478" i="2" s="1"/>
  <c r="U1478" i="2" s="1"/>
  <c r="R1489" i="2"/>
  <c r="T1489" i="2" s="1"/>
  <c r="U1489" i="2" s="1"/>
  <c r="R1493" i="2"/>
  <c r="T1493" i="2" s="1"/>
  <c r="U1493" i="2" s="1"/>
  <c r="R1519" i="2"/>
  <c r="T1519" i="2" s="1"/>
  <c r="U1519" i="2" s="1"/>
  <c r="R1523" i="2"/>
  <c r="T1523" i="2" s="1"/>
  <c r="U1523" i="2" s="1"/>
  <c r="R1556" i="2"/>
  <c r="T1556" i="2" s="1"/>
  <c r="U1556" i="2" s="1"/>
  <c r="R1604" i="2"/>
  <c r="T1604" i="2" s="1"/>
  <c r="U1604" i="2" s="1"/>
  <c r="R1626" i="2"/>
  <c r="T1626" i="2" s="1"/>
  <c r="U1626" i="2" s="1"/>
  <c r="R1652" i="2"/>
  <c r="T1652" i="2" s="1"/>
  <c r="U1652" i="2" s="1"/>
  <c r="R1669" i="2"/>
  <c r="T1669" i="2" s="1"/>
  <c r="U1669" i="2" s="1"/>
  <c r="R1933" i="2"/>
  <c r="T1933" i="2" s="1"/>
  <c r="U1933" i="2" s="1"/>
  <c r="R1964" i="2"/>
  <c r="T1964" i="2" s="1"/>
  <c r="U1964" i="2" s="1"/>
  <c r="R1993" i="2"/>
  <c r="T1993" i="2" s="1"/>
  <c r="U1993" i="2" s="1"/>
  <c r="R2028" i="2"/>
  <c r="T2028" i="2" s="1"/>
  <c r="U2028" i="2" s="1"/>
  <c r="R2138" i="2"/>
  <c r="T2138" i="2" s="1"/>
  <c r="U2138" i="2" s="1"/>
  <c r="R2279" i="2"/>
  <c r="T2279" i="2" s="1"/>
  <c r="U2279" i="2" s="1"/>
  <c r="R2306" i="2"/>
  <c r="T2306" i="2" s="1"/>
  <c r="U2306" i="2" s="1"/>
  <c r="R1416" i="2"/>
  <c r="T1416" i="2" s="1"/>
  <c r="U1416" i="2" s="1"/>
  <c r="R1530" i="2"/>
  <c r="T1530" i="2" s="1"/>
  <c r="U1530" i="2" s="1"/>
  <c r="R1564" i="2"/>
  <c r="T1564" i="2" s="1"/>
  <c r="U1564" i="2" s="1"/>
  <c r="R1575" i="2"/>
  <c r="T1575" i="2" s="1"/>
  <c r="U1575" i="2" s="1"/>
  <c r="R1586" i="2"/>
  <c r="T1586" i="2" s="1"/>
  <c r="U1586" i="2" s="1"/>
  <c r="R1608" i="2"/>
  <c r="T1608" i="2" s="1"/>
  <c r="U1608" i="2" s="1"/>
  <c r="R1612" i="2"/>
  <c r="T1612" i="2" s="1"/>
  <c r="U1612" i="2" s="1"/>
  <c r="R1634" i="2"/>
  <c r="T1634" i="2" s="1"/>
  <c r="U1634" i="2" s="1"/>
  <c r="R1666" i="2"/>
  <c r="T1666" i="2" s="1"/>
  <c r="U1666" i="2" s="1"/>
  <c r="R1715" i="2"/>
  <c r="T1715" i="2" s="1"/>
  <c r="U1715" i="2" s="1"/>
  <c r="R1727" i="2"/>
  <c r="T1727" i="2" s="1"/>
  <c r="U1727" i="2" s="1"/>
  <c r="R1739" i="2"/>
  <c r="T1739" i="2" s="1"/>
  <c r="U1739" i="2" s="1"/>
  <c r="R1775" i="2"/>
  <c r="T1775" i="2" s="1"/>
  <c r="U1775" i="2" s="1"/>
  <c r="R1783" i="2"/>
  <c r="T1783" i="2" s="1"/>
  <c r="U1783" i="2" s="1"/>
  <c r="R1790" i="2"/>
  <c r="T1790" i="2" s="1"/>
  <c r="U1790" i="2" s="1"/>
  <c r="R1880" i="2"/>
  <c r="T1880" i="2" s="1"/>
  <c r="U1880" i="2" s="1"/>
  <c r="R1937" i="2"/>
  <c r="T1937" i="2" s="1"/>
  <c r="U1937" i="2" s="1"/>
  <c r="R1975" i="2"/>
  <c r="T1975" i="2" s="1"/>
  <c r="U1975" i="2" s="1"/>
  <c r="R2015" i="2"/>
  <c r="T2015" i="2" s="1"/>
  <c r="U2015" i="2" s="1"/>
  <c r="R2025" i="2"/>
  <c r="T2025" i="2" s="1"/>
  <c r="U2025" i="2" s="1"/>
  <c r="R2067" i="2"/>
  <c r="T2067" i="2" s="1"/>
  <c r="U2067" i="2" s="1"/>
  <c r="R2411" i="2"/>
  <c r="T2411" i="2" s="1"/>
  <c r="U2411" i="2" s="1"/>
  <c r="R2556" i="2"/>
  <c r="T2556" i="2" s="1"/>
  <c r="U2556" i="2" s="1"/>
  <c r="R1516" i="2"/>
  <c r="T1516" i="2" s="1"/>
  <c r="U1516" i="2" s="1"/>
  <c r="R1534" i="2"/>
  <c r="T1534" i="2" s="1"/>
  <c r="U1534" i="2" s="1"/>
  <c r="R1538" i="2"/>
  <c r="T1538" i="2" s="1"/>
  <c r="U1538" i="2" s="1"/>
  <c r="R1568" i="2"/>
  <c r="T1568" i="2" s="1"/>
  <c r="U1568" i="2" s="1"/>
  <c r="R1590" i="2"/>
  <c r="T1590" i="2" s="1"/>
  <c r="U1590" i="2" s="1"/>
  <c r="R1601" i="2"/>
  <c r="T1601" i="2" s="1"/>
  <c r="U1601" i="2" s="1"/>
  <c r="R1638" i="2"/>
  <c r="T1638" i="2" s="1"/>
  <c r="U1638" i="2" s="1"/>
  <c r="R1884" i="2"/>
  <c r="T1884" i="2" s="1"/>
  <c r="U1884" i="2" s="1"/>
  <c r="R1892" i="2"/>
  <c r="T1892" i="2" s="1"/>
  <c r="U1892" i="2" s="1"/>
  <c r="R1926" i="2"/>
  <c r="T1926" i="2" s="1"/>
  <c r="U1926" i="2" s="1"/>
  <c r="R1944" i="2"/>
  <c r="T1944" i="2" s="1"/>
  <c r="U1944" i="2" s="1"/>
  <c r="R1979" i="2"/>
  <c r="T1979" i="2" s="1"/>
  <c r="U1979" i="2" s="1"/>
  <c r="R1997" i="2"/>
  <c r="T1997" i="2" s="1"/>
  <c r="U1997" i="2" s="1"/>
  <c r="R2022" i="2"/>
  <c r="T2022" i="2" s="1"/>
  <c r="U2022" i="2" s="1"/>
  <c r="R2057" i="2"/>
  <c r="T2057" i="2" s="1"/>
  <c r="U2057" i="2" s="1"/>
  <c r="R2213" i="2"/>
  <c r="T2213" i="2" s="1"/>
  <c r="U2213" i="2" s="1"/>
  <c r="R2522" i="2"/>
  <c r="T2522" i="2" s="1"/>
  <c r="U2522" i="2" s="1"/>
  <c r="R2564" i="2"/>
  <c r="T2564" i="2" s="1"/>
  <c r="U2564" i="2" s="1"/>
  <c r="R2080" i="2"/>
  <c r="T2080" i="2" s="1"/>
  <c r="U2080" i="2" s="1"/>
  <c r="R2087" i="2"/>
  <c r="T2087" i="2" s="1"/>
  <c r="U2087" i="2" s="1"/>
  <c r="R2104" i="2"/>
  <c r="T2104" i="2" s="1"/>
  <c r="U2104" i="2" s="1"/>
  <c r="R2128" i="2"/>
  <c r="T2128" i="2" s="1"/>
  <c r="U2128" i="2" s="1"/>
  <c r="R2144" i="2"/>
  <c r="T2144" i="2" s="1"/>
  <c r="U2144" i="2" s="1"/>
  <c r="R2173" i="2"/>
  <c r="T2173" i="2" s="1"/>
  <c r="U2173" i="2" s="1"/>
  <c r="R2176" i="2"/>
  <c r="T2176" i="2" s="1"/>
  <c r="U2176" i="2" s="1"/>
  <c r="R2196" i="2"/>
  <c r="T2196" i="2" s="1"/>
  <c r="U2196" i="2" s="1"/>
  <c r="R2236" i="2"/>
  <c r="T2236" i="2" s="1"/>
  <c r="U2236" i="2" s="1"/>
  <c r="R2256" i="2"/>
  <c r="T2256" i="2" s="1"/>
  <c r="U2256" i="2" s="1"/>
  <c r="R2259" i="2"/>
  <c r="T2259" i="2" s="1"/>
  <c r="U2259" i="2" s="1"/>
  <c r="R2327" i="2"/>
  <c r="T2327" i="2" s="1"/>
  <c r="U2327" i="2" s="1"/>
  <c r="R2368" i="2"/>
  <c r="T2368" i="2" s="1"/>
  <c r="U2368" i="2" s="1"/>
  <c r="R2377" i="2"/>
  <c r="T2377" i="2" s="1"/>
  <c r="U2377" i="2" s="1"/>
  <c r="R2383" i="2"/>
  <c r="T2383" i="2" s="1"/>
  <c r="U2383" i="2" s="1"/>
  <c r="R2434" i="2"/>
  <c r="T2434" i="2" s="1"/>
  <c r="U2434" i="2" s="1"/>
  <c r="R2528" i="2"/>
  <c r="T2528" i="2" s="1"/>
  <c r="U2528" i="2" s="1"/>
  <c r="R2538" i="2"/>
  <c r="T2538" i="2" s="1"/>
  <c r="U2538" i="2" s="1"/>
  <c r="R2657" i="2"/>
  <c r="T2657" i="2" s="1"/>
  <c r="U2657" i="2" s="1"/>
  <c r="R2683" i="2"/>
  <c r="T2683" i="2" s="1"/>
  <c r="U2683" i="2" s="1"/>
  <c r="R2703" i="2"/>
  <c r="T2703" i="2" s="1"/>
  <c r="U2703" i="2" s="1"/>
  <c r="R2717" i="2"/>
  <c r="T2717" i="2" s="1"/>
  <c r="U2717" i="2" s="1"/>
  <c r="R2727" i="2"/>
  <c r="T2727" i="2" s="1"/>
  <c r="U2727" i="2" s="1"/>
  <c r="R2741" i="2"/>
  <c r="T2741" i="2" s="1"/>
  <c r="U2741" i="2" s="1"/>
  <c r="R2747" i="2"/>
  <c r="T2747" i="2" s="1"/>
  <c r="U2747" i="2" s="1"/>
  <c r="R2761" i="2"/>
  <c r="T2761" i="2" s="1"/>
  <c r="U2761" i="2" s="1"/>
  <c r="R2775" i="2"/>
  <c r="T2775" i="2" s="1"/>
  <c r="U2775" i="2" s="1"/>
  <c r="R2779" i="2"/>
  <c r="T2779" i="2" s="1"/>
  <c r="U2779" i="2" s="1"/>
  <c r="R2782" i="2"/>
  <c r="T2782" i="2" s="1"/>
  <c r="U2782" i="2" s="1"/>
  <c r="R2789" i="2"/>
  <c r="T2789" i="2" s="1"/>
  <c r="U2789" i="2" s="1"/>
  <c r="R2135" i="2"/>
  <c r="T2135" i="2" s="1"/>
  <c r="U2135" i="2" s="1"/>
  <c r="R2200" i="2"/>
  <c r="T2200" i="2" s="1"/>
  <c r="U2200" i="2" s="1"/>
  <c r="R2707" i="2"/>
  <c r="T2707" i="2" s="1"/>
  <c r="U2707" i="2" s="1"/>
  <c r="R2710" i="2"/>
  <c r="T2710" i="2" s="1"/>
  <c r="U2710" i="2" s="1"/>
  <c r="R2751" i="2"/>
  <c r="T2751" i="2" s="1"/>
  <c r="U2751" i="2" s="1"/>
  <c r="R2755" i="2"/>
  <c r="T2755" i="2" s="1"/>
  <c r="U2755" i="2" s="1"/>
  <c r="R2758" i="2"/>
  <c r="T2758" i="2" s="1"/>
  <c r="U2758" i="2" s="1"/>
  <c r="R2077" i="2"/>
  <c r="T2077" i="2" s="1"/>
  <c r="U2077" i="2" s="1"/>
  <c r="R2081" i="2"/>
  <c r="T2081" i="2" s="1"/>
  <c r="U2081" i="2" s="1"/>
  <c r="R2105" i="2"/>
  <c r="T2105" i="2" s="1"/>
  <c r="U2105" i="2" s="1"/>
  <c r="R2122" i="2"/>
  <c r="T2122" i="2" s="1"/>
  <c r="U2122" i="2" s="1"/>
  <c r="R2125" i="2"/>
  <c r="T2125" i="2" s="1"/>
  <c r="U2125" i="2" s="1"/>
  <c r="R2161" i="2"/>
  <c r="T2161" i="2" s="1"/>
  <c r="U2161" i="2" s="1"/>
  <c r="R2190" i="2"/>
  <c r="T2190" i="2" s="1"/>
  <c r="U2190" i="2" s="1"/>
  <c r="R2223" i="2"/>
  <c r="T2223" i="2" s="1"/>
  <c r="U2223" i="2" s="1"/>
  <c r="R2247" i="2"/>
  <c r="T2247" i="2" s="1"/>
  <c r="U2247" i="2" s="1"/>
  <c r="R2303" i="2"/>
  <c r="T2303" i="2" s="1"/>
  <c r="U2303" i="2" s="1"/>
  <c r="R2369" i="2"/>
  <c r="T2369" i="2" s="1"/>
  <c r="U2369" i="2" s="1"/>
  <c r="R2532" i="2"/>
  <c r="T2532" i="2" s="1"/>
  <c r="U2532" i="2" s="1"/>
  <c r="R2553" i="2"/>
  <c r="T2553" i="2" s="1"/>
  <c r="U2553" i="2" s="1"/>
  <c r="R2571" i="2"/>
  <c r="T2571" i="2" s="1"/>
  <c r="U2571" i="2" s="1"/>
  <c r="R2589" i="2"/>
  <c r="T2589" i="2" s="1"/>
  <c r="U2589" i="2" s="1"/>
  <c r="R2607" i="2"/>
  <c r="T2607" i="2" s="1"/>
  <c r="U2607" i="2" s="1"/>
  <c r="R2625" i="2"/>
  <c r="T2625" i="2" s="1"/>
  <c r="U2625" i="2" s="1"/>
  <c r="R2647" i="2"/>
  <c r="T2647" i="2" s="1"/>
  <c r="U2647" i="2" s="1"/>
  <c r="R2658" i="2"/>
  <c r="T2658" i="2" s="1"/>
  <c r="U2658" i="2" s="1"/>
  <c r="R2687" i="2"/>
  <c r="T2687" i="2" s="1"/>
  <c r="U2687" i="2" s="1"/>
  <c r="R2718" i="2"/>
  <c r="T2718" i="2" s="1"/>
  <c r="U2718" i="2" s="1"/>
  <c r="R2721" i="2"/>
  <c r="T2721" i="2" s="1"/>
  <c r="U2721" i="2" s="1"/>
  <c r="R2783" i="2"/>
  <c r="T2783" i="2" s="1"/>
  <c r="U2783" i="2" s="1"/>
  <c r="R2786" i="2"/>
  <c r="T2786" i="2" s="1"/>
  <c r="U2786" i="2" s="1"/>
  <c r="R2095" i="2"/>
  <c r="T2095" i="2" s="1"/>
  <c r="U2095" i="2" s="1"/>
  <c r="R2119" i="2"/>
  <c r="T2119" i="2" s="1"/>
  <c r="U2119" i="2" s="1"/>
  <c r="R2129" i="2"/>
  <c r="T2129" i="2" s="1"/>
  <c r="U2129" i="2" s="1"/>
  <c r="R2145" i="2"/>
  <c r="T2145" i="2" s="1"/>
  <c r="U2145" i="2" s="1"/>
  <c r="R2158" i="2"/>
  <c r="T2158" i="2" s="1"/>
  <c r="U2158" i="2" s="1"/>
  <c r="R2184" i="2"/>
  <c r="T2184" i="2" s="1"/>
  <c r="U2184" i="2" s="1"/>
  <c r="R2187" i="2"/>
  <c r="T2187" i="2" s="1"/>
  <c r="U2187" i="2" s="1"/>
  <c r="R2220" i="2"/>
  <c r="T2220" i="2" s="1"/>
  <c r="U2220" i="2" s="1"/>
  <c r="R2244" i="2"/>
  <c r="T2244" i="2" s="1"/>
  <c r="U2244" i="2" s="1"/>
  <c r="R2260" i="2"/>
  <c r="T2260" i="2" s="1"/>
  <c r="U2260" i="2" s="1"/>
  <c r="R2325" i="2"/>
  <c r="T2325" i="2" s="1"/>
  <c r="U2325" i="2" s="1"/>
  <c r="R2328" i="2"/>
  <c r="T2328" i="2" s="1"/>
  <c r="U2328" i="2" s="1"/>
  <c r="R2539" i="2"/>
  <c r="T2539" i="2" s="1"/>
  <c r="U2539" i="2" s="1"/>
  <c r="R2633" i="2"/>
  <c r="T2633" i="2" s="1"/>
  <c r="U2633" i="2" s="1"/>
  <c r="R2644" i="2"/>
  <c r="T2644" i="2" s="1"/>
  <c r="U2644" i="2" s="1"/>
  <c r="R2099" i="2"/>
  <c r="T2099" i="2" s="1"/>
  <c r="U2099" i="2" s="1"/>
  <c r="R2109" i="2"/>
  <c r="T2109" i="2" s="1"/>
  <c r="U2109" i="2" s="1"/>
  <c r="R2116" i="2"/>
  <c r="T2116" i="2" s="1"/>
  <c r="U2116" i="2" s="1"/>
  <c r="R2165" i="2"/>
  <c r="T2165" i="2" s="1"/>
  <c r="U2165" i="2" s="1"/>
  <c r="R2194" i="2"/>
  <c r="T2194" i="2" s="1"/>
  <c r="U2194" i="2" s="1"/>
  <c r="R2221" i="2"/>
  <c r="T2221" i="2" s="1"/>
  <c r="U2221" i="2" s="1"/>
  <c r="R2311" i="2"/>
  <c r="T2311" i="2" s="1"/>
  <c r="U2311" i="2" s="1"/>
  <c r="R2343" i="2"/>
  <c r="T2343" i="2" s="1"/>
  <c r="U2343" i="2" s="1"/>
  <c r="R2353" i="2"/>
  <c r="T2353" i="2" s="1"/>
  <c r="U2353" i="2" s="1"/>
  <c r="R2597" i="2"/>
  <c r="T2597" i="2" s="1"/>
  <c r="U2597" i="2" s="1"/>
  <c r="R2604" i="2"/>
  <c r="T2604" i="2" s="1"/>
  <c r="U2604" i="2" s="1"/>
  <c r="R2622" i="2"/>
  <c r="T2622" i="2" s="1"/>
  <c r="U2622" i="2" s="1"/>
  <c r="R2662" i="2"/>
  <c r="T2662" i="2" s="1"/>
  <c r="U2662" i="2" s="1"/>
  <c r="R2666" i="2"/>
  <c r="T2666" i="2" s="1"/>
  <c r="U2666" i="2" s="1"/>
  <c r="R2670" i="2"/>
  <c r="T2670" i="2" s="1"/>
  <c r="U2670" i="2" s="1"/>
  <c r="R2711" i="2"/>
  <c r="T2711" i="2" s="1"/>
  <c r="U2711" i="2" s="1"/>
  <c r="R2745" i="2"/>
  <c r="T2745" i="2" s="1"/>
  <c r="U2745" i="2" s="1"/>
  <c r="R2759" i="2"/>
  <c r="T2759" i="2" s="1"/>
  <c r="U2759" i="2" s="1"/>
  <c r="R2766" i="2"/>
  <c r="T2766" i="2" s="1"/>
  <c r="U2766" i="2" s="1"/>
  <c r="R2773" i="2"/>
  <c r="T2773" i="2" s="1"/>
  <c r="U2773" i="2" s="1"/>
  <c r="R2126" i="2"/>
  <c r="T2126" i="2" s="1"/>
  <c r="U2126" i="2" s="1"/>
  <c r="R2211" i="2"/>
  <c r="T2211" i="2" s="1"/>
  <c r="U2211" i="2" s="1"/>
  <c r="R2217" i="2"/>
  <c r="T2217" i="2" s="1"/>
  <c r="U2217" i="2" s="1"/>
  <c r="R2224" i="2"/>
  <c r="T2224" i="2" s="1"/>
  <c r="U2224" i="2" s="1"/>
  <c r="R2277" i="2"/>
  <c r="T2277" i="2" s="1"/>
  <c r="U2277" i="2" s="1"/>
  <c r="R2293" i="2"/>
  <c r="T2293" i="2" s="1"/>
  <c r="U2293" i="2" s="1"/>
  <c r="R2322" i="2"/>
  <c r="T2322" i="2" s="1"/>
  <c r="U2322" i="2" s="1"/>
  <c r="R2787" i="2"/>
  <c r="T2787" i="2" s="1"/>
  <c r="U2787" i="2" s="1"/>
  <c r="R2133" i="2"/>
  <c r="T2133" i="2" s="1"/>
  <c r="U2133" i="2" s="1"/>
  <c r="R2149" i="2"/>
  <c r="T2149" i="2" s="1"/>
  <c r="U2149" i="2" s="1"/>
  <c r="R2373" i="2"/>
  <c r="T2373" i="2" s="1"/>
  <c r="U2373" i="2" s="1"/>
  <c r="R2385" i="2"/>
  <c r="T2385" i="2" s="1"/>
  <c r="U2385" i="2" s="1"/>
  <c r="R2547" i="2"/>
  <c r="T2547" i="2" s="1"/>
  <c r="U2547" i="2" s="1"/>
  <c r="R2565" i="2"/>
  <c r="T2565" i="2" s="1"/>
  <c r="U2565" i="2" s="1"/>
  <c r="R2583" i="2"/>
  <c r="T2583" i="2" s="1"/>
  <c r="U2583" i="2" s="1"/>
  <c r="R2692" i="2"/>
  <c r="T2692" i="2" s="1"/>
  <c r="U2692" i="2" s="1"/>
  <c r="R2719" i="2"/>
  <c r="T2719" i="2" s="1"/>
  <c r="U2719" i="2" s="1"/>
  <c r="R2722" i="2"/>
  <c r="T2722" i="2" s="1"/>
  <c r="U2722" i="2" s="1"/>
  <c r="R2763" i="2"/>
  <c r="T2763" i="2" s="1"/>
  <c r="U2763" i="2" s="1"/>
  <c r="R2794" i="2"/>
  <c r="T2794" i="2" s="1"/>
  <c r="U2794" i="2" s="1"/>
  <c r="R2093" i="2"/>
  <c r="T2093" i="2" s="1"/>
  <c r="U2093" i="2" s="1"/>
  <c r="R2110" i="2"/>
  <c r="T2110" i="2" s="1"/>
  <c r="U2110" i="2" s="1"/>
  <c r="R2117" i="2"/>
  <c r="T2117" i="2" s="1"/>
  <c r="U2117" i="2" s="1"/>
  <c r="R2175" i="2"/>
  <c r="T2175" i="2" s="1"/>
  <c r="U2175" i="2" s="1"/>
  <c r="R2334" i="2"/>
  <c r="T2334" i="2" s="1"/>
  <c r="U2334" i="2" s="1"/>
  <c r="R2351" i="2"/>
  <c r="T2351" i="2" s="1"/>
  <c r="U2351" i="2" s="1"/>
  <c r="R2361" i="2"/>
  <c r="T2361" i="2" s="1"/>
  <c r="U2361" i="2" s="1"/>
  <c r="R2526" i="2"/>
  <c r="T2526" i="2" s="1"/>
  <c r="U2526" i="2" s="1"/>
  <c r="R2530" i="2"/>
  <c r="T2530" i="2" s="1"/>
  <c r="U2530" i="2" s="1"/>
  <c r="R2645" i="2"/>
  <c r="T2645" i="2" s="1"/>
  <c r="U2645" i="2" s="1"/>
  <c r="R2663" i="2"/>
  <c r="T2663" i="2" s="1"/>
  <c r="U2663" i="2" s="1"/>
  <c r="R2753" i="2"/>
  <c r="T2753" i="2" s="1"/>
  <c r="U2753" i="2" s="1"/>
  <c r="R2767" i="2"/>
  <c r="T2767" i="2" s="1"/>
  <c r="U2767" i="2" s="1"/>
  <c r="R2770" i="2"/>
  <c r="T2770" i="2" s="1"/>
  <c r="U2770" i="2" s="1"/>
  <c r="R2781" i="2"/>
  <c r="T2781" i="2" s="1"/>
  <c r="U2781" i="2" s="1"/>
  <c r="R2140" i="2"/>
  <c r="T2140" i="2" s="1"/>
  <c r="U2140" i="2" s="1"/>
  <c r="R2156" i="2"/>
  <c r="T2156" i="2" s="1"/>
  <c r="U2156" i="2" s="1"/>
  <c r="R2172" i="2"/>
  <c r="T2172" i="2" s="1"/>
  <c r="U2172" i="2" s="1"/>
  <c r="R2235" i="2"/>
  <c r="T2235" i="2" s="1"/>
  <c r="U2235" i="2" s="1"/>
  <c r="R2344" i="2"/>
  <c r="T2344" i="2" s="1"/>
  <c r="U2344" i="2" s="1"/>
  <c r="R2367" i="2"/>
  <c r="T2367" i="2" s="1"/>
  <c r="U2367" i="2" s="1"/>
  <c r="R2376" i="2"/>
  <c r="T2376" i="2" s="1"/>
  <c r="U2376" i="2" s="1"/>
  <c r="R2379" i="2"/>
  <c r="T2379" i="2" s="1"/>
  <c r="U2379" i="2" s="1"/>
  <c r="R2382" i="2"/>
  <c r="T2382" i="2" s="1"/>
  <c r="U2382" i="2" s="1"/>
  <c r="R2454" i="2"/>
  <c r="T2454" i="2" s="1"/>
  <c r="U2454" i="2" s="1"/>
  <c r="R2795" i="2"/>
  <c r="T2795" i="2" s="1"/>
  <c r="U2795" i="2" s="1"/>
  <c r="R22" i="2"/>
  <c r="T22" i="2" s="1"/>
  <c r="U22" i="2" s="1"/>
  <c r="R11" i="2"/>
  <c r="T11" i="2" s="1"/>
  <c r="U11" i="2" s="1"/>
  <c r="R32" i="2"/>
  <c r="T32" i="2" s="1"/>
  <c r="U32" i="2" s="1"/>
  <c r="R21" i="2"/>
  <c r="T21" i="2" s="1"/>
  <c r="U21" i="2" s="1"/>
  <c r="R1420" i="2"/>
  <c r="T1420" i="2" s="1"/>
  <c r="U1420" i="2" s="1"/>
  <c r="R19" i="2"/>
  <c r="T19" i="2" s="1"/>
  <c r="U19" i="2" s="1"/>
  <c r="R1444" i="2"/>
  <c r="T1444" i="2" s="1"/>
  <c r="U1444" i="2" s="1"/>
  <c r="R1417" i="2"/>
  <c r="T1417" i="2" s="1"/>
  <c r="U1417" i="2" s="1"/>
  <c r="R1441" i="2"/>
  <c r="T1441" i="2" s="1"/>
  <c r="U1441" i="2" s="1"/>
  <c r="R1496" i="2"/>
  <c r="T1496" i="2" s="1"/>
  <c r="U1496" i="2" s="1"/>
  <c r="R1520" i="2"/>
  <c r="T1520" i="2" s="1"/>
  <c r="U1520" i="2" s="1"/>
  <c r="R1439" i="2"/>
  <c r="T1439" i="2" s="1"/>
  <c r="U1439" i="2" s="1"/>
  <c r="R1461" i="2"/>
  <c r="T1461" i="2" s="1"/>
  <c r="U1461" i="2" s="1"/>
  <c r="R1466" i="2"/>
  <c r="T1466" i="2" s="1"/>
  <c r="U1466" i="2" s="1"/>
  <c r="R1474" i="2"/>
  <c r="T1474" i="2" s="1"/>
  <c r="U1474" i="2" s="1"/>
  <c r="R1486" i="2"/>
  <c r="T1486" i="2" s="1"/>
  <c r="U1486" i="2" s="1"/>
  <c r="R1510" i="2"/>
  <c r="T1510" i="2" s="1"/>
  <c r="U1510" i="2" s="1"/>
  <c r="R1664" i="2"/>
  <c r="T1664" i="2" s="1"/>
  <c r="U1664" i="2" s="1"/>
  <c r="R1674" i="2"/>
  <c r="T1674" i="2" s="1"/>
  <c r="U1674" i="2" s="1"/>
  <c r="R1435" i="2"/>
  <c r="T1435" i="2" s="1"/>
  <c r="U1435" i="2" s="1"/>
  <c r="R1459" i="2"/>
  <c r="T1459" i="2" s="1"/>
  <c r="U1459" i="2" s="1"/>
  <c r="R1490" i="2"/>
  <c r="T1490" i="2" s="1"/>
  <c r="U1490" i="2" s="1"/>
  <c r="R1514" i="2"/>
  <c r="T1514" i="2" s="1"/>
  <c r="U1514" i="2" s="1"/>
  <c r="R1685" i="2"/>
  <c r="T1685" i="2" s="1"/>
  <c r="U1685" i="2" s="1"/>
  <c r="R1433" i="2"/>
  <c r="T1433" i="2" s="1"/>
  <c r="U1433" i="2" s="1"/>
  <c r="R1457" i="2"/>
  <c r="T1457" i="2" s="1"/>
  <c r="U1457" i="2" s="1"/>
  <c r="R1464" i="2"/>
  <c r="T1464" i="2" s="1"/>
  <c r="U1464" i="2" s="1"/>
  <c r="R1472" i="2"/>
  <c r="T1472" i="2" s="1"/>
  <c r="U1472" i="2" s="1"/>
  <c r="R1480" i="2"/>
  <c r="T1480" i="2" s="1"/>
  <c r="U1480" i="2" s="1"/>
  <c r="R1504" i="2"/>
  <c r="T1504" i="2" s="1"/>
  <c r="U1504" i="2" s="1"/>
  <c r="R1528" i="2"/>
  <c r="T1528" i="2" s="1"/>
  <c r="U1528" i="2" s="1"/>
  <c r="R1658" i="2"/>
  <c r="T1658" i="2" s="1"/>
  <c r="U1658" i="2" s="1"/>
  <c r="R1431" i="2"/>
  <c r="T1431" i="2" s="1"/>
  <c r="U1431" i="2" s="1"/>
  <c r="R1455" i="2"/>
  <c r="T1455" i="2" s="1"/>
  <c r="U1455" i="2" s="1"/>
  <c r="R1467" i="2"/>
  <c r="T1467" i="2" s="1"/>
  <c r="U1467" i="2" s="1"/>
  <c r="R1475" i="2"/>
  <c r="T1475" i="2" s="1"/>
  <c r="U1475" i="2" s="1"/>
  <c r="R1494" i="2"/>
  <c r="T1494" i="2" s="1"/>
  <c r="U1494" i="2" s="1"/>
  <c r="R1518" i="2"/>
  <c r="T1518" i="2" s="1"/>
  <c r="U1518" i="2" s="1"/>
  <c r="R1689" i="2"/>
  <c r="T1689" i="2" s="1"/>
  <c r="U1689" i="2" s="1"/>
  <c r="R1427" i="2"/>
  <c r="T1427" i="2" s="1"/>
  <c r="U1427" i="2" s="1"/>
  <c r="R1451" i="2"/>
  <c r="T1451" i="2" s="1"/>
  <c r="U1451" i="2" s="1"/>
  <c r="R1425" i="2"/>
  <c r="T1425" i="2" s="1"/>
  <c r="U1425" i="2" s="1"/>
  <c r="R1449" i="2"/>
  <c r="T1449" i="2" s="1"/>
  <c r="U1449" i="2" s="1"/>
  <c r="R1465" i="2"/>
  <c r="T1465" i="2" s="1"/>
  <c r="U1465" i="2" s="1"/>
  <c r="R1473" i="2"/>
  <c r="T1473" i="2" s="1"/>
  <c r="U1473" i="2" s="1"/>
  <c r="R1488" i="2"/>
  <c r="T1488" i="2" s="1"/>
  <c r="U1488" i="2" s="1"/>
  <c r="R1512" i="2"/>
  <c r="T1512" i="2" s="1"/>
  <c r="U1512" i="2" s="1"/>
  <c r="R1676" i="2"/>
  <c r="T1676" i="2" s="1"/>
  <c r="U1676" i="2" s="1"/>
  <c r="R1684" i="2"/>
  <c r="T1684" i="2" s="1"/>
  <c r="U1684" i="2" s="1"/>
  <c r="R1692" i="2"/>
  <c r="T1692" i="2" s="1"/>
  <c r="U1692" i="2" s="1"/>
  <c r="R1695" i="2"/>
  <c r="T1695" i="2" s="1"/>
  <c r="U1695" i="2" s="1"/>
  <c r="R1698" i="2"/>
  <c r="T1698" i="2" s="1"/>
  <c r="U1698" i="2" s="1"/>
  <c r="R1701" i="2"/>
  <c r="T1701" i="2" s="1"/>
  <c r="U1701" i="2" s="1"/>
  <c r="R1704" i="2"/>
  <c r="T1704" i="2" s="1"/>
  <c r="U1704" i="2" s="1"/>
  <c r="R1707" i="2"/>
  <c r="T1707" i="2" s="1"/>
  <c r="U1707" i="2" s="1"/>
  <c r="R1710" i="2"/>
  <c r="T1710" i="2" s="1"/>
  <c r="U1710" i="2" s="1"/>
  <c r="R1713" i="2"/>
  <c r="T1713" i="2" s="1"/>
  <c r="U1713" i="2" s="1"/>
  <c r="R1716" i="2"/>
  <c r="T1716" i="2" s="1"/>
  <c r="U1716" i="2" s="1"/>
  <c r="R1719" i="2"/>
  <c r="T1719" i="2" s="1"/>
  <c r="U1719" i="2" s="1"/>
  <c r="R1722" i="2"/>
  <c r="T1722" i="2" s="1"/>
  <c r="U1722" i="2" s="1"/>
  <c r="R1725" i="2"/>
  <c r="T1725" i="2" s="1"/>
  <c r="U1725" i="2" s="1"/>
  <c r="R1728" i="2"/>
  <c r="T1728" i="2" s="1"/>
  <c r="U1728" i="2" s="1"/>
  <c r="R1731" i="2"/>
  <c r="T1731" i="2" s="1"/>
  <c r="U1731" i="2" s="1"/>
  <c r="R1734" i="2"/>
  <c r="T1734" i="2" s="1"/>
  <c r="U1734" i="2" s="1"/>
  <c r="R1737" i="2"/>
  <c r="T1737" i="2" s="1"/>
  <c r="U1737" i="2" s="1"/>
  <c r="R1740" i="2"/>
  <c r="T1740" i="2" s="1"/>
  <c r="U1740" i="2" s="1"/>
  <c r="R1743" i="2"/>
  <c r="T1743" i="2" s="1"/>
  <c r="U1743" i="2" s="1"/>
  <c r="R1746" i="2"/>
  <c r="T1746" i="2" s="1"/>
  <c r="U1746" i="2" s="1"/>
  <c r="R1749" i="2"/>
  <c r="T1749" i="2" s="1"/>
  <c r="U1749" i="2" s="1"/>
  <c r="R1752" i="2"/>
  <c r="T1752" i="2" s="1"/>
  <c r="U1752" i="2" s="1"/>
  <c r="R1755" i="2"/>
  <c r="T1755" i="2" s="1"/>
  <c r="U1755" i="2" s="1"/>
  <c r="R1758" i="2"/>
  <c r="T1758" i="2" s="1"/>
  <c r="U1758" i="2" s="1"/>
  <c r="R1761" i="2"/>
  <c r="T1761" i="2" s="1"/>
  <c r="U1761" i="2" s="1"/>
  <c r="R1764" i="2"/>
  <c r="T1764" i="2" s="1"/>
  <c r="U1764" i="2" s="1"/>
  <c r="R1767" i="2"/>
  <c r="T1767" i="2" s="1"/>
  <c r="U1767" i="2" s="1"/>
  <c r="R1770" i="2"/>
  <c r="T1770" i="2" s="1"/>
  <c r="U1770" i="2" s="1"/>
  <c r="R1773" i="2"/>
  <c r="T1773" i="2" s="1"/>
  <c r="U1773" i="2" s="1"/>
  <c r="R1776" i="2"/>
  <c r="T1776" i="2" s="1"/>
  <c r="U1776" i="2" s="1"/>
  <c r="R1787" i="2"/>
  <c r="T1787" i="2" s="1"/>
  <c r="U1787" i="2" s="1"/>
  <c r="R1868" i="2"/>
  <c r="T1868" i="2" s="1"/>
  <c r="U1868" i="2" s="1"/>
  <c r="R1890" i="2"/>
  <c r="T1890" i="2" s="1"/>
  <c r="U1890" i="2" s="1"/>
  <c r="R1793" i="2"/>
  <c r="T1793" i="2" s="1"/>
  <c r="U1793" i="2" s="1"/>
  <c r="R1805" i="2"/>
  <c r="T1805" i="2" s="1"/>
  <c r="U1805" i="2" s="1"/>
  <c r="R1828" i="2"/>
  <c r="T1828" i="2" s="1"/>
  <c r="U1828" i="2" s="1"/>
  <c r="R1832" i="2"/>
  <c r="T1832" i="2" s="1"/>
  <c r="U1832" i="2" s="1"/>
  <c r="R1934" i="2"/>
  <c r="T1934" i="2" s="1"/>
  <c r="U1934" i="2" s="1"/>
  <c r="R1869" i="2"/>
  <c r="T1869" i="2" s="1"/>
  <c r="U1869" i="2" s="1"/>
  <c r="R1876" i="2"/>
  <c r="T1876" i="2" s="1"/>
  <c r="U1876" i="2" s="1"/>
  <c r="R1693" i="2"/>
  <c r="T1693" i="2" s="1"/>
  <c r="U1693" i="2" s="1"/>
  <c r="R1696" i="2"/>
  <c r="T1696" i="2" s="1"/>
  <c r="U1696" i="2" s="1"/>
  <c r="R1699" i="2"/>
  <c r="T1699" i="2" s="1"/>
  <c r="U1699" i="2" s="1"/>
  <c r="R1702" i="2"/>
  <c r="T1702" i="2" s="1"/>
  <c r="U1702" i="2" s="1"/>
  <c r="R1705" i="2"/>
  <c r="T1705" i="2" s="1"/>
  <c r="U1705" i="2" s="1"/>
  <c r="R1708" i="2"/>
  <c r="T1708" i="2" s="1"/>
  <c r="U1708" i="2" s="1"/>
  <c r="R1711" i="2"/>
  <c r="T1711" i="2" s="1"/>
  <c r="U1711" i="2" s="1"/>
  <c r="R1714" i="2"/>
  <c r="T1714" i="2" s="1"/>
  <c r="U1714" i="2" s="1"/>
  <c r="R1717" i="2"/>
  <c r="T1717" i="2" s="1"/>
  <c r="U1717" i="2" s="1"/>
  <c r="R1720" i="2"/>
  <c r="T1720" i="2" s="1"/>
  <c r="U1720" i="2" s="1"/>
  <c r="R1723" i="2"/>
  <c r="T1723" i="2" s="1"/>
  <c r="U1723" i="2" s="1"/>
  <c r="R1726" i="2"/>
  <c r="T1726" i="2" s="1"/>
  <c r="U1726" i="2" s="1"/>
  <c r="R1729" i="2"/>
  <c r="T1729" i="2" s="1"/>
  <c r="U1729" i="2" s="1"/>
  <c r="R1732" i="2"/>
  <c r="T1732" i="2" s="1"/>
  <c r="U1732" i="2" s="1"/>
  <c r="R1735" i="2"/>
  <c r="T1735" i="2" s="1"/>
  <c r="U1735" i="2" s="1"/>
  <c r="R1738" i="2"/>
  <c r="T1738" i="2" s="1"/>
  <c r="U1738" i="2" s="1"/>
  <c r="R1741" i="2"/>
  <c r="T1741" i="2" s="1"/>
  <c r="U1741" i="2" s="1"/>
  <c r="R1744" i="2"/>
  <c r="T1744" i="2" s="1"/>
  <c r="U1744" i="2" s="1"/>
  <c r="R1747" i="2"/>
  <c r="T1747" i="2" s="1"/>
  <c r="U1747" i="2" s="1"/>
  <c r="R1750" i="2"/>
  <c r="T1750" i="2" s="1"/>
  <c r="U1750" i="2" s="1"/>
  <c r="R1753" i="2"/>
  <c r="T1753" i="2" s="1"/>
  <c r="U1753" i="2" s="1"/>
  <c r="R1756" i="2"/>
  <c r="T1756" i="2" s="1"/>
  <c r="U1756" i="2" s="1"/>
  <c r="R1759" i="2"/>
  <c r="T1759" i="2" s="1"/>
  <c r="U1759" i="2" s="1"/>
  <c r="R1762" i="2"/>
  <c r="T1762" i="2" s="1"/>
  <c r="U1762" i="2" s="1"/>
  <c r="R1765" i="2"/>
  <c r="T1765" i="2" s="1"/>
  <c r="U1765" i="2" s="1"/>
  <c r="R1768" i="2"/>
  <c r="T1768" i="2" s="1"/>
  <c r="U1768" i="2" s="1"/>
  <c r="R1771" i="2"/>
  <c r="T1771" i="2" s="1"/>
  <c r="U1771" i="2" s="1"/>
  <c r="R1774" i="2"/>
  <c r="T1774" i="2" s="1"/>
  <c r="U1774" i="2" s="1"/>
  <c r="R1777" i="2"/>
  <c r="T1777" i="2" s="1"/>
  <c r="U1777" i="2" s="1"/>
  <c r="R1794" i="2"/>
  <c r="T1794" i="2" s="1"/>
  <c r="U1794" i="2" s="1"/>
  <c r="R1822" i="2"/>
  <c r="T1822" i="2" s="1"/>
  <c r="U1822" i="2" s="1"/>
  <c r="R1833" i="2"/>
  <c r="T1833" i="2" s="1"/>
  <c r="U1833" i="2" s="1"/>
  <c r="R1895" i="2"/>
  <c r="T1895" i="2" s="1"/>
  <c r="U1895" i="2" s="1"/>
  <c r="R1844" i="2"/>
  <c r="T1844" i="2" s="1"/>
  <c r="U1844" i="2" s="1"/>
  <c r="R1680" i="2"/>
  <c r="T1680" i="2" s="1"/>
  <c r="U1680" i="2" s="1"/>
  <c r="R1688" i="2"/>
  <c r="T1688" i="2" s="1"/>
  <c r="U1688" i="2" s="1"/>
  <c r="R1816" i="2"/>
  <c r="T1816" i="2" s="1"/>
  <c r="U1816" i="2" s="1"/>
  <c r="R1866" i="2"/>
  <c r="T1866" i="2" s="1"/>
  <c r="U1866" i="2" s="1"/>
  <c r="R1778" i="2"/>
  <c r="T1778" i="2" s="1"/>
  <c r="U1778" i="2" s="1"/>
  <c r="R1823" i="2"/>
  <c r="T1823" i="2" s="1"/>
  <c r="U1823" i="2" s="1"/>
  <c r="R1830" i="2"/>
  <c r="T1830" i="2" s="1"/>
  <c r="U1830" i="2" s="1"/>
  <c r="R1837" i="2"/>
  <c r="T1837" i="2" s="1"/>
  <c r="U1837" i="2" s="1"/>
  <c r="R1861" i="2"/>
  <c r="T1861" i="2" s="1"/>
  <c r="U1861" i="2" s="1"/>
  <c r="R1885" i="2"/>
  <c r="T1885" i="2" s="1"/>
  <c r="U1885" i="2" s="1"/>
  <c r="R1909" i="2"/>
  <c r="T1909" i="2" s="1"/>
  <c r="U1909" i="2" s="1"/>
  <c r="R1940" i="2"/>
  <c r="T1940" i="2" s="1"/>
  <c r="U1940" i="2" s="1"/>
  <c r="R1803" i="2"/>
  <c r="T1803" i="2" s="1"/>
  <c r="U1803" i="2" s="1"/>
  <c r="R1827" i="2"/>
  <c r="T1827" i="2" s="1"/>
  <c r="U1827" i="2" s="1"/>
  <c r="R1851" i="2"/>
  <c r="T1851" i="2" s="1"/>
  <c r="U1851" i="2" s="1"/>
  <c r="R1875" i="2"/>
  <c r="T1875" i="2" s="1"/>
  <c r="U1875" i="2" s="1"/>
  <c r="R1899" i="2"/>
  <c r="T1899" i="2" s="1"/>
  <c r="U1899" i="2" s="1"/>
  <c r="R1952" i="2"/>
  <c r="T1952" i="2" s="1"/>
  <c r="U1952" i="2" s="1"/>
  <c r="R1893" i="2"/>
  <c r="T1893" i="2" s="1"/>
  <c r="U1893" i="2" s="1"/>
  <c r="R1917" i="2"/>
  <c r="T1917" i="2" s="1"/>
  <c r="U1917" i="2" s="1"/>
  <c r="R1932" i="2"/>
  <c r="T1932" i="2" s="1"/>
  <c r="U1932" i="2" s="1"/>
  <c r="R1835" i="2"/>
  <c r="T1835" i="2" s="1"/>
  <c r="U1835" i="2" s="1"/>
  <c r="R1859" i="2"/>
  <c r="T1859" i="2" s="1"/>
  <c r="U1859" i="2" s="1"/>
  <c r="R1883" i="2"/>
  <c r="T1883" i="2" s="1"/>
  <c r="U1883" i="2" s="1"/>
  <c r="R1907" i="2"/>
  <c r="T1907" i="2" s="1"/>
  <c r="U1907" i="2" s="1"/>
  <c r="R1938" i="2"/>
  <c r="T1938" i="2" s="1"/>
  <c r="U1938" i="2" s="1"/>
  <c r="R1807" i="2"/>
  <c r="T1807" i="2" s="1"/>
  <c r="U1807" i="2" s="1"/>
  <c r="R1813" i="2"/>
  <c r="T1813" i="2" s="1"/>
  <c r="U1813" i="2" s="1"/>
  <c r="R1819" i="2"/>
  <c r="T1819" i="2" s="1"/>
  <c r="U1819" i="2" s="1"/>
  <c r="R1825" i="2"/>
  <c r="T1825" i="2" s="1"/>
  <c r="U1825" i="2" s="1"/>
  <c r="R1849" i="2"/>
  <c r="T1849" i="2" s="1"/>
  <c r="U1849" i="2" s="1"/>
  <c r="R1873" i="2"/>
  <c r="T1873" i="2" s="1"/>
  <c r="U1873" i="2" s="1"/>
  <c r="R1897" i="2"/>
  <c r="T1897" i="2" s="1"/>
  <c r="U1897" i="2" s="1"/>
  <c r="R1921" i="2"/>
  <c r="T1921" i="2" s="1"/>
  <c r="U1921" i="2" s="1"/>
  <c r="R1950" i="2"/>
  <c r="T1950" i="2" s="1"/>
  <c r="U1950" i="2" s="1"/>
  <c r="R1839" i="2"/>
  <c r="T1839" i="2" s="1"/>
  <c r="U1839" i="2" s="1"/>
  <c r="R1863" i="2"/>
  <c r="T1863" i="2" s="1"/>
  <c r="U1863" i="2" s="1"/>
  <c r="R1887" i="2"/>
  <c r="T1887" i="2" s="1"/>
  <c r="U1887" i="2" s="1"/>
  <c r="R1911" i="2"/>
  <c r="T1911" i="2" s="1"/>
  <c r="U1911" i="2" s="1"/>
  <c r="R1927" i="2"/>
  <c r="T1927" i="2" s="1"/>
  <c r="U1927" i="2" s="1"/>
  <c r="R1962" i="2"/>
  <c r="T1962" i="2" s="1"/>
  <c r="U1962" i="2" s="1"/>
  <c r="R1881" i="2"/>
  <c r="T1881" i="2" s="1"/>
  <c r="U1881" i="2" s="1"/>
  <c r="R1905" i="2"/>
  <c r="T1905" i="2" s="1"/>
  <c r="U1905" i="2" s="1"/>
  <c r="R1928" i="2"/>
  <c r="T1928" i="2" s="1"/>
  <c r="U1928" i="2" s="1"/>
  <c r="R2033" i="2"/>
  <c r="T2033" i="2" s="1"/>
  <c r="U2033" i="2" s="1"/>
  <c r="R1978" i="2"/>
  <c r="T1978" i="2" s="1"/>
  <c r="U1978" i="2" s="1"/>
  <c r="R2055" i="2"/>
  <c r="T2055" i="2" s="1"/>
  <c r="U2055" i="2" s="1"/>
  <c r="R2181" i="2"/>
  <c r="T2181" i="2" s="1"/>
  <c r="U2181" i="2" s="1"/>
  <c r="R2197" i="2"/>
  <c r="T2197" i="2" s="1"/>
  <c r="U2197" i="2" s="1"/>
  <c r="R2245" i="2"/>
  <c r="T2245" i="2" s="1"/>
  <c r="U2245" i="2" s="1"/>
  <c r="R2143" i="2"/>
  <c r="T2143" i="2" s="1"/>
  <c r="U2143" i="2" s="1"/>
  <c r="R2207" i="2"/>
  <c r="T2207" i="2" s="1"/>
  <c r="U2207" i="2" s="1"/>
  <c r="R2021" i="2"/>
  <c r="T2021" i="2" s="1"/>
  <c r="U2021" i="2" s="1"/>
  <c r="R2031" i="2"/>
  <c r="T2031" i="2" s="1"/>
  <c r="U2031" i="2" s="1"/>
  <c r="R1974" i="2"/>
  <c r="T1974" i="2" s="1"/>
  <c r="U1974" i="2" s="1"/>
  <c r="R1982" i="2"/>
  <c r="T1982" i="2" s="1"/>
  <c r="U1982" i="2" s="1"/>
  <c r="R1988" i="2"/>
  <c r="T1988" i="2" s="1"/>
  <c r="U1988" i="2" s="1"/>
  <c r="R1994" i="2"/>
  <c r="T1994" i="2" s="1"/>
  <c r="U1994" i="2" s="1"/>
  <c r="R2000" i="2"/>
  <c r="T2000" i="2" s="1"/>
  <c r="U2000" i="2" s="1"/>
  <c r="R2006" i="2"/>
  <c r="T2006" i="2" s="1"/>
  <c r="U2006" i="2" s="1"/>
  <c r="R2012" i="2"/>
  <c r="T2012" i="2" s="1"/>
  <c r="U2012" i="2" s="1"/>
  <c r="R2018" i="2"/>
  <c r="T2018" i="2" s="1"/>
  <c r="U2018" i="2" s="1"/>
  <c r="R2167" i="2"/>
  <c r="T2167" i="2" s="1"/>
  <c r="U2167" i="2" s="1"/>
  <c r="R1986" i="2"/>
  <c r="T1986" i="2" s="1"/>
  <c r="U1986" i="2" s="1"/>
  <c r="R1992" i="2"/>
  <c r="T1992" i="2" s="1"/>
  <c r="U1992" i="2" s="1"/>
  <c r="R1998" i="2"/>
  <c r="T1998" i="2" s="1"/>
  <c r="U1998" i="2" s="1"/>
  <c r="R2004" i="2"/>
  <c r="T2004" i="2" s="1"/>
  <c r="U2004" i="2" s="1"/>
  <c r="R2010" i="2"/>
  <c r="T2010" i="2" s="1"/>
  <c r="U2010" i="2" s="1"/>
  <c r="R2016" i="2"/>
  <c r="T2016" i="2" s="1"/>
  <c r="U2016" i="2" s="1"/>
  <c r="R2029" i="2"/>
  <c r="T2029" i="2" s="1"/>
  <c r="U2029" i="2" s="1"/>
  <c r="R2047" i="2"/>
  <c r="T2047" i="2" s="1"/>
  <c r="U2047" i="2" s="1"/>
  <c r="R2059" i="2"/>
  <c r="T2059" i="2" s="1"/>
  <c r="U2059" i="2" s="1"/>
  <c r="R2027" i="2"/>
  <c r="T2027" i="2" s="1"/>
  <c r="U2027" i="2" s="1"/>
  <c r="R2193" i="2"/>
  <c r="T2193" i="2" s="1"/>
  <c r="U2193" i="2" s="1"/>
  <c r="R2241" i="2"/>
  <c r="T2241" i="2" s="1"/>
  <c r="U2241" i="2" s="1"/>
  <c r="R2272" i="2"/>
  <c r="T2272" i="2" s="1"/>
  <c r="U2272" i="2" s="1"/>
  <c r="R2205" i="2"/>
  <c r="T2205" i="2" s="1"/>
  <c r="U2205" i="2" s="1"/>
  <c r="R2253" i="2"/>
  <c r="T2253" i="2" s="1"/>
  <c r="U2253" i="2" s="1"/>
  <c r="R2019" i="2"/>
  <c r="T2019" i="2" s="1"/>
  <c r="U2019" i="2" s="1"/>
  <c r="R2041" i="2"/>
  <c r="T2041" i="2" s="1"/>
  <c r="U2041" i="2" s="1"/>
  <c r="R2053" i="2"/>
  <c r="T2053" i="2" s="1"/>
  <c r="U2053" i="2" s="1"/>
  <c r="R2324" i="2"/>
  <c r="T2324" i="2" s="1"/>
  <c r="U2324" i="2" s="1"/>
  <c r="R2039" i="2"/>
  <c r="T2039" i="2" s="1"/>
  <c r="U2039" i="2" s="1"/>
  <c r="R2229" i="2"/>
  <c r="T2229" i="2" s="1"/>
  <c r="U2229" i="2" s="1"/>
  <c r="R2275" i="2"/>
  <c r="T2275" i="2" s="1"/>
  <c r="U2275" i="2" s="1"/>
  <c r="R2302" i="2"/>
  <c r="T2302" i="2" s="1"/>
  <c r="U2302" i="2" s="1"/>
  <c r="R2332" i="2"/>
  <c r="T2332" i="2" s="1"/>
  <c r="U2332" i="2" s="1"/>
  <c r="R2286" i="2"/>
  <c r="T2286" i="2" s="1"/>
  <c r="U2286" i="2" s="1"/>
  <c r="R2294" i="2"/>
  <c r="T2294" i="2" s="1"/>
  <c r="U2294" i="2" s="1"/>
  <c r="R2318" i="2"/>
  <c r="T2318" i="2" s="1"/>
  <c r="U2318" i="2" s="1"/>
  <c r="R2270" i="2"/>
  <c r="T2270" i="2" s="1"/>
  <c r="U2270" i="2" s="1"/>
  <c r="R2287" i="2"/>
  <c r="T2287" i="2" s="1"/>
  <c r="U2287" i="2" s="1"/>
  <c r="R2271" i="2"/>
  <c r="T2271" i="2" s="1"/>
  <c r="U2271" i="2" s="1"/>
  <c r="R2274" i="2"/>
  <c r="T2274" i="2" s="1"/>
  <c r="U2274" i="2" s="1"/>
  <c r="R2282" i="2"/>
  <c r="T2282" i="2" s="1"/>
  <c r="U2282" i="2" s="1"/>
  <c r="R2320" i="2"/>
  <c r="T2320" i="2" s="1"/>
  <c r="U2320" i="2" s="1"/>
  <c r="R2269" i="2"/>
  <c r="T2269" i="2" s="1"/>
  <c r="U2269" i="2" s="1"/>
  <c r="R2285" i="2"/>
  <c r="T2285" i="2" s="1"/>
  <c r="U2285" i="2" s="1"/>
  <c r="R2309" i="2"/>
  <c r="T2309" i="2" s="1"/>
  <c r="U2309" i="2" s="1"/>
  <c r="R2323" i="2"/>
  <c r="T2323" i="2" s="1"/>
  <c r="U2323" i="2" s="1"/>
  <c r="R2283" i="2"/>
  <c r="T2283" i="2" s="1"/>
  <c r="U2283" i="2" s="1"/>
  <c r="R2307" i="2"/>
  <c r="T2307" i="2" s="1"/>
  <c r="U2307" i="2" s="1"/>
  <c r="R2535" i="2"/>
  <c r="T2535" i="2" s="1"/>
  <c r="U2535" i="2" s="1"/>
  <c r="R2544" i="2"/>
  <c r="T2544" i="2" s="1"/>
  <c r="U2544" i="2" s="1"/>
  <c r="R2562" i="2"/>
  <c r="T2562" i="2" s="1"/>
  <c r="U2562" i="2" s="1"/>
  <c r="R2281" i="2"/>
  <c r="T2281" i="2" s="1"/>
  <c r="U2281" i="2" s="1"/>
  <c r="R2305" i="2"/>
  <c r="T2305" i="2" s="1"/>
  <c r="U2305" i="2" s="1"/>
  <c r="R2321" i="2"/>
  <c r="T2321" i="2" s="1"/>
  <c r="U2321" i="2" s="1"/>
  <c r="R2333" i="2"/>
  <c r="T2333" i="2" s="1"/>
  <c r="U2333" i="2" s="1"/>
  <c r="R2299" i="2"/>
  <c r="T2299" i="2" s="1"/>
  <c r="U2299" i="2" s="1"/>
  <c r="R2273" i="2"/>
  <c r="T2273" i="2" s="1"/>
  <c r="U2273" i="2" s="1"/>
  <c r="R2297" i="2"/>
  <c r="T2297" i="2" s="1"/>
  <c r="U2297" i="2" s="1"/>
  <c r="R2317" i="2"/>
  <c r="T2317" i="2" s="1"/>
  <c r="U2317" i="2" s="1"/>
  <c r="R2329" i="2"/>
  <c r="T2329" i="2" s="1"/>
  <c r="U2329" i="2" s="1"/>
  <c r="R2560" i="2"/>
  <c r="T2560" i="2" s="1"/>
  <c r="U2560" i="2" s="1"/>
  <c r="R2578" i="2"/>
  <c r="T2578" i="2" s="1"/>
  <c r="U2578" i="2" s="1"/>
  <c r="R2550" i="2"/>
  <c r="T2550" i="2" s="1"/>
  <c r="U2550" i="2" s="1"/>
  <c r="R2548" i="2"/>
  <c r="T2548" i="2" s="1"/>
  <c r="U2548" i="2" s="1"/>
  <c r="R2566" i="2"/>
  <c r="T2566" i="2" s="1"/>
  <c r="U2566" i="2" s="1"/>
  <c r="R2584" i="2"/>
  <c r="T2584" i="2" s="1"/>
  <c r="U2584" i="2" s="1"/>
  <c r="R2559" i="2"/>
  <c r="T2559" i="2" s="1"/>
  <c r="U2559" i="2" s="1"/>
  <c r="R2537" i="2"/>
  <c r="T2537" i="2" s="1"/>
  <c r="U2537" i="2" s="1"/>
  <c r="R2762" i="2"/>
  <c r="T2762" i="2" s="1"/>
  <c r="U2762" i="2" s="1"/>
  <c r="R2631" i="2"/>
  <c r="T2631" i="2" s="1"/>
  <c r="U2631" i="2" s="1"/>
  <c r="R2642" i="2"/>
  <c r="T2642" i="2" s="1"/>
  <c r="U2642" i="2" s="1"/>
  <c r="R2668" i="2"/>
  <c r="T2668" i="2" s="1"/>
  <c r="U2668" i="2" s="1"/>
  <c r="R2679" i="2"/>
  <c r="T2679" i="2" s="1"/>
  <c r="U2679" i="2" s="1"/>
  <c r="R2690" i="2"/>
  <c r="T2690" i="2" s="1"/>
  <c r="U2690" i="2" s="1"/>
  <c r="R2716" i="2"/>
  <c r="T2716" i="2" s="1"/>
  <c r="U2716" i="2" s="1"/>
  <c r="R2774" i="2"/>
  <c r="T2774" i="2" s="1"/>
  <c r="U2774" i="2" s="1"/>
  <c r="R2531" i="2"/>
  <c r="T2531" i="2" s="1"/>
  <c r="U2531" i="2" s="1"/>
  <c r="R2545" i="2"/>
  <c r="T2545" i="2" s="1"/>
  <c r="U2545" i="2" s="1"/>
  <c r="R2551" i="2"/>
  <c r="T2551" i="2" s="1"/>
  <c r="U2551" i="2" s="1"/>
  <c r="R2557" i="2"/>
  <c r="T2557" i="2" s="1"/>
  <c r="U2557" i="2" s="1"/>
  <c r="R2563" i="2"/>
  <c r="T2563" i="2" s="1"/>
  <c r="U2563" i="2" s="1"/>
  <c r="R2569" i="2"/>
  <c r="T2569" i="2" s="1"/>
  <c r="U2569" i="2" s="1"/>
  <c r="R2575" i="2"/>
  <c r="T2575" i="2" s="1"/>
  <c r="U2575" i="2" s="1"/>
  <c r="R2581" i="2"/>
  <c r="T2581" i="2" s="1"/>
  <c r="U2581" i="2" s="1"/>
  <c r="R2587" i="2"/>
  <c r="T2587" i="2" s="1"/>
  <c r="U2587" i="2" s="1"/>
  <c r="R2593" i="2"/>
  <c r="T2593" i="2" s="1"/>
  <c r="U2593" i="2" s="1"/>
  <c r="R2599" i="2"/>
  <c r="T2599" i="2" s="1"/>
  <c r="U2599" i="2" s="1"/>
  <c r="R2605" i="2"/>
  <c r="T2605" i="2" s="1"/>
  <c r="U2605" i="2" s="1"/>
  <c r="R2611" i="2"/>
  <c r="T2611" i="2" s="1"/>
  <c r="U2611" i="2" s="1"/>
  <c r="R2617" i="2"/>
  <c r="T2617" i="2" s="1"/>
  <c r="U2617" i="2" s="1"/>
  <c r="R2623" i="2"/>
  <c r="T2623" i="2" s="1"/>
  <c r="U2623" i="2" s="1"/>
  <c r="R2626" i="2"/>
  <c r="T2626" i="2" s="1"/>
  <c r="U2626" i="2" s="1"/>
  <c r="R2728" i="2"/>
  <c r="T2728" i="2" s="1"/>
  <c r="U2728" i="2" s="1"/>
  <c r="R2529" i="2"/>
  <c r="T2529" i="2" s="1"/>
  <c r="U2529" i="2" s="1"/>
  <c r="R2632" i="2"/>
  <c r="T2632" i="2" s="1"/>
  <c r="U2632" i="2" s="1"/>
  <c r="R2643" i="2"/>
  <c r="T2643" i="2" s="1"/>
  <c r="U2643" i="2" s="1"/>
  <c r="R2654" i="2"/>
  <c r="T2654" i="2" s="1"/>
  <c r="U2654" i="2" s="1"/>
  <c r="R2680" i="2"/>
  <c r="T2680" i="2" s="1"/>
  <c r="U2680" i="2" s="1"/>
  <c r="R2702" i="2"/>
  <c r="T2702" i="2" s="1"/>
  <c r="U2702" i="2" s="1"/>
  <c r="R2740" i="2"/>
  <c r="T2740" i="2" s="1"/>
  <c r="U2740" i="2" s="1"/>
  <c r="R2527" i="2"/>
  <c r="T2527" i="2" s="1"/>
  <c r="U2527" i="2" s="1"/>
  <c r="R2752" i="2"/>
  <c r="T2752" i="2" s="1"/>
  <c r="U2752" i="2" s="1"/>
  <c r="R2525" i="2"/>
  <c r="T2525" i="2" s="1"/>
  <c r="U2525" i="2" s="1"/>
  <c r="R2764" i="2"/>
  <c r="T2764" i="2" s="1"/>
  <c r="U2764" i="2" s="1"/>
  <c r="R2714" i="2"/>
  <c r="T2714" i="2" s="1"/>
  <c r="U2714" i="2" s="1"/>
  <c r="R2776" i="2"/>
  <c r="T2776" i="2" s="1"/>
  <c r="U2776" i="2" s="1"/>
  <c r="R2541" i="2"/>
  <c r="T2541" i="2" s="1"/>
  <c r="U2541" i="2" s="1"/>
  <c r="R2656" i="2"/>
  <c r="T2656" i="2" s="1"/>
  <c r="U2656" i="2" s="1"/>
  <c r="R2667" i="2"/>
  <c r="T2667" i="2" s="1"/>
  <c r="U2667" i="2" s="1"/>
  <c r="R2678" i="2"/>
  <c r="T2678" i="2" s="1"/>
  <c r="U2678" i="2" s="1"/>
  <c r="R2704" i="2"/>
  <c r="T2704" i="2" s="1"/>
  <c r="U2704" i="2" s="1"/>
  <c r="R2738" i="2"/>
  <c r="T2738" i="2" s="1"/>
  <c r="U2738" i="2" s="1"/>
  <c r="R2640" i="2"/>
  <c r="T2640" i="2" s="1"/>
  <c r="U2640" i="2" s="1"/>
  <c r="R2652" i="2"/>
  <c r="T2652" i="2" s="1"/>
  <c r="U2652" i="2" s="1"/>
  <c r="R2664" i="2"/>
  <c r="T2664" i="2" s="1"/>
  <c r="U2664" i="2" s="1"/>
  <c r="R2676" i="2"/>
  <c r="T2676" i="2" s="1"/>
  <c r="U2676" i="2" s="1"/>
  <c r="R2688" i="2"/>
  <c r="T2688" i="2" s="1"/>
  <c r="U2688" i="2" s="1"/>
  <c r="R2700" i="2"/>
  <c r="T2700" i="2" s="1"/>
  <c r="U2700" i="2" s="1"/>
  <c r="R2712" i="2"/>
  <c r="T2712" i="2" s="1"/>
  <c r="U2712" i="2" s="1"/>
  <c r="R2724" i="2"/>
  <c r="T2724" i="2" s="1"/>
  <c r="U2724" i="2" s="1"/>
  <c r="R2736" i="2"/>
  <c r="T2736" i="2" s="1"/>
  <c r="U2736" i="2" s="1"/>
  <c r="R2748" i="2"/>
  <c r="T2748" i="2" s="1"/>
  <c r="U2748" i="2" s="1"/>
  <c r="R2760" i="2"/>
  <c r="T2760" i="2" s="1"/>
  <c r="U2760" i="2" s="1"/>
  <c r="R2772" i="2"/>
  <c r="T2772" i="2" s="1"/>
  <c r="U2772" i="2" s="1"/>
  <c r="R2784" i="2"/>
  <c r="T2784" i="2" s="1"/>
  <c r="U2784" i="2" s="1"/>
  <c r="R2636" i="2"/>
  <c r="T2636" i="2" s="1"/>
  <c r="U2636" i="2" s="1"/>
  <c r="R2648" i="2"/>
  <c r="T2648" i="2" s="1"/>
  <c r="U2648" i="2" s="1"/>
  <c r="R2660" i="2"/>
  <c r="T2660" i="2" s="1"/>
  <c r="U2660" i="2" s="1"/>
  <c r="R2672" i="2"/>
  <c r="T2672" i="2" s="1"/>
  <c r="U2672" i="2" s="1"/>
  <c r="R2684" i="2"/>
  <c r="T2684" i="2" s="1"/>
  <c r="U2684" i="2" s="1"/>
  <c r="R2696" i="2"/>
  <c r="T2696" i="2" s="1"/>
  <c r="U2696" i="2" s="1"/>
  <c r="R2708" i="2"/>
  <c r="T2708" i="2" s="1"/>
  <c r="U2708" i="2" s="1"/>
  <c r="R2720" i="2"/>
  <c r="T2720" i="2" s="1"/>
  <c r="U2720" i="2" s="1"/>
  <c r="R2732" i="2"/>
  <c r="T2732" i="2" s="1"/>
  <c r="U2732" i="2" s="1"/>
  <c r="R2744" i="2"/>
  <c r="T2744" i="2" s="1"/>
  <c r="U2744" i="2" s="1"/>
  <c r="R2756" i="2"/>
  <c r="T2756" i="2" s="1"/>
  <c r="U2756" i="2" s="1"/>
  <c r="R2768" i="2"/>
  <c r="T2768" i="2" s="1"/>
  <c r="U2768" i="2" s="1"/>
  <c r="R2780" i="2"/>
  <c r="T2780" i="2" s="1"/>
  <c r="U2780" i="2" s="1"/>
  <c r="R2792" i="2"/>
  <c r="T2792" i="2" s="1"/>
  <c r="U2792" i="2" s="1"/>
  <c r="R2629" i="2"/>
  <c r="T2629" i="2" s="1"/>
  <c r="U2629" i="2" s="1"/>
  <c r="R2641" i="2"/>
  <c r="T2641" i="2" s="1"/>
  <c r="U2641" i="2" s="1"/>
  <c r="R2653" i="2"/>
  <c r="T2653" i="2" s="1"/>
  <c r="U2653" i="2" s="1"/>
  <c r="R2665" i="2"/>
  <c r="T2665" i="2" s="1"/>
  <c r="U2665" i="2" s="1"/>
  <c r="R2677" i="2"/>
  <c r="T2677" i="2" s="1"/>
  <c r="U2677" i="2" s="1"/>
  <c r="R2788" i="2"/>
  <c r="T2788" i="2" s="1"/>
  <c r="U2788" i="2" s="1"/>
  <c r="R2637" i="2"/>
  <c r="T2637" i="2" s="1"/>
  <c r="U2637" i="2" s="1"/>
  <c r="R2649" i="2"/>
  <c r="T2649" i="2" s="1"/>
  <c r="U2649" i="2" s="1"/>
  <c r="R2661" i="2"/>
  <c r="T2661" i="2" s="1"/>
  <c r="U2661" i="2" s="1"/>
  <c r="R2673" i="2"/>
  <c r="T2673" i="2" s="1"/>
  <c r="U2673" i="2" s="1"/>
  <c r="R2685" i="2"/>
  <c r="T2685" i="2" s="1"/>
  <c r="U2685" i="2" s="1"/>
  <c r="AO2798" i="2"/>
  <c r="AN2798" i="2"/>
  <c r="AG2798" i="2"/>
  <c r="AF2798" i="2"/>
  <c r="AB2798" i="2"/>
  <c r="AA2798" i="2"/>
  <c r="Q2798" i="2"/>
  <c r="M2798" i="2"/>
  <c r="H2798" i="2"/>
  <c r="AO2794" i="2"/>
  <c r="AN2794" i="2"/>
  <c r="AG2794" i="2"/>
  <c r="AF2794" i="2"/>
  <c r="AB2794" i="2"/>
  <c r="AA2794" i="2"/>
  <c r="A2861" i="2"/>
  <c r="A2866" i="2" s="1"/>
  <c r="A2868" i="2" s="1"/>
  <c r="A2869" i="2" s="1"/>
  <c r="A2870" i="2" s="1"/>
  <c r="A2871" i="2" s="1"/>
  <c r="A2874" i="2" s="1"/>
  <c r="A2875" i="2" s="1"/>
  <c r="A2876" i="2" s="1"/>
  <c r="A2877" i="2" s="1"/>
  <c r="A2878" i="2" s="1"/>
  <c r="A2879" i="2" s="1"/>
  <c r="A2880" i="2" s="1"/>
  <c r="A2882" i="2" s="1"/>
  <c r="A2885" i="2" s="1"/>
  <c r="A2886" i="2" s="1"/>
  <c r="A2887" i="2" s="1"/>
  <c r="A2888" i="2" s="1"/>
  <c r="A2890" i="2" s="1"/>
  <c r="A2891" i="2" s="1"/>
  <c r="A2892" i="2" s="1"/>
  <c r="A2894" i="2" s="1"/>
  <c r="A2896" i="2" s="1"/>
  <c r="A2900" i="2" s="1"/>
  <c r="A2901" i="2" s="1"/>
  <c r="A2902" i="2" s="1"/>
  <c r="A2903" i="2" s="1"/>
  <c r="A2904" i="2" s="1"/>
  <c r="A2905" i="2" s="1"/>
  <c r="A2906" i="2" s="1"/>
  <c r="C2877" i="2"/>
  <c r="C2892" i="2"/>
  <c r="C2891" i="2"/>
  <c r="D2904" i="2"/>
  <c r="C2904" i="2"/>
  <c r="C2888" i="2"/>
  <c r="C2860" i="2"/>
  <c r="D2893" i="2" l="1"/>
  <c r="H2873" i="2"/>
  <c r="D2873" i="2"/>
  <c r="H2897" i="2"/>
  <c r="D2897" i="2"/>
  <c r="H2862" i="2"/>
  <c r="D2862" i="2"/>
  <c r="D2884" i="2"/>
  <c r="H2884" i="2"/>
  <c r="H2863" i="2"/>
  <c r="H2883" i="2"/>
  <c r="D2883" i="2"/>
  <c r="D2863" i="2"/>
  <c r="H2864" i="2"/>
  <c r="D2864" i="2"/>
  <c r="H2889" i="2"/>
  <c r="D2889" i="2"/>
  <c r="H2867" i="2"/>
  <c r="H2872" i="2"/>
  <c r="D2872" i="2"/>
  <c r="D2867" i="2"/>
  <c r="R2798" i="2"/>
  <c r="T2798" i="2" s="1"/>
  <c r="U2798" i="2" s="1"/>
  <c r="H2895" i="2" l="1"/>
  <c r="D2895" i="2"/>
  <c r="H2899" i="2"/>
  <c r="D2903" i="2" l="1"/>
  <c r="H2903" i="2"/>
  <c r="H2898" i="2"/>
  <c r="D2898" i="2"/>
  <c r="D2899" i="2"/>
  <c r="H2865" i="2"/>
  <c r="D2865" i="2"/>
  <c r="C32" i="18" l="1"/>
  <c r="C33" i="18"/>
  <c r="C35" i="18"/>
  <c r="C34" i="18"/>
  <c r="H2904" i="2"/>
  <c r="M6" i="19"/>
  <c r="M7" i="19" s="1"/>
  <c r="M8" i="19" s="1"/>
  <c r="M9" i="19" s="1"/>
  <c r="M10" i="19" s="1"/>
  <c r="M11" i="19" s="1"/>
  <c r="M12" i="19" s="1"/>
  <c r="M13" i="19" s="1"/>
  <c r="M14" i="19" s="1"/>
  <c r="M15" i="19" s="1"/>
  <c r="M16" i="19" s="1"/>
  <c r="M17" i="19" s="1"/>
  <c r="M18" i="19" s="1"/>
  <c r="M19" i="19" s="1"/>
  <c r="M20" i="19" s="1"/>
  <c r="M21" i="19" s="1"/>
  <c r="M22" i="19" s="1"/>
  <c r="M23" i="19" s="1"/>
  <c r="M24" i="19" s="1"/>
  <c r="M25" i="19" s="1"/>
  <c r="M26" i="19" s="1"/>
  <c r="M27" i="19" s="1"/>
  <c r="M28" i="19" s="1"/>
  <c r="M29" i="19" s="1"/>
  <c r="M30" i="19" s="1"/>
  <c r="M31" i="19" s="1"/>
  <c r="M32" i="19" s="1"/>
  <c r="M33" i="19" s="1"/>
  <c r="M34" i="19" s="1"/>
  <c r="M35" i="19" s="1"/>
  <c r="M36" i="19" s="1"/>
  <c r="M37" i="19" s="1"/>
  <c r="M38" i="19" s="1"/>
  <c r="M39" i="19" s="1"/>
  <c r="M40" i="19" s="1"/>
  <c r="M41" i="19" s="1"/>
  <c r="M42" i="19" s="1"/>
  <c r="M43" i="19" s="1"/>
  <c r="M44" i="19" s="1"/>
  <c r="M45" i="19" s="1"/>
  <c r="M46" i="19" s="1"/>
  <c r="M47" i="19" s="1"/>
  <c r="M48" i="19" s="1"/>
  <c r="M49" i="19" s="1"/>
  <c r="M50" i="19" s="1"/>
  <c r="M51" i="19" s="1"/>
  <c r="M52" i="19" s="1"/>
  <c r="M53" i="19" s="1"/>
  <c r="M54" i="19" s="1"/>
  <c r="M55" i="19" s="1"/>
  <c r="M56" i="19" s="1"/>
  <c r="M57" i="19" s="1"/>
  <c r="H2888" i="2" l="1"/>
  <c r="D2877" i="2"/>
  <c r="H2877" i="2"/>
  <c r="H2892" i="2"/>
  <c r="D2892" i="2"/>
  <c r="H2891" i="2"/>
  <c r="D2891" i="2"/>
  <c r="D2888" i="2"/>
  <c r="H2860" i="2"/>
  <c r="D2860" i="2"/>
  <c r="C2866" i="2" l="1"/>
  <c r="C2876" i="2" l="1"/>
  <c r="C2874" i="2" l="1"/>
  <c r="C2870" i="2"/>
  <c r="C2861" i="2"/>
  <c r="C2868" i="2"/>
  <c r="C2869" i="2"/>
  <c r="C2901" i="2"/>
  <c r="C2875" i="2"/>
  <c r="D2876" i="2" l="1"/>
  <c r="H2876" i="2"/>
  <c r="I6" i="19"/>
  <c r="I7" i="19" s="1"/>
  <c r="I8" i="19" s="1"/>
  <c r="I9" i="19" s="1"/>
  <c r="I10" i="19" s="1"/>
  <c r="I11" i="19" s="1"/>
  <c r="I12" i="19" s="1"/>
  <c r="I13" i="19" s="1"/>
  <c r="I14" i="19" s="1"/>
  <c r="I15" i="19" s="1"/>
  <c r="I16" i="19" s="1"/>
  <c r="I17" i="19" s="1"/>
  <c r="I18" i="19" s="1"/>
  <c r="I19" i="19" s="1"/>
  <c r="I20" i="19" s="1"/>
  <c r="I21" i="19" s="1"/>
  <c r="I22" i="19" s="1"/>
  <c r="I23" i="19" s="1"/>
  <c r="I24" i="19" s="1"/>
  <c r="I25" i="19" s="1"/>
  <c r="I26" i="19" s="1"/>
  <c r="I27" i="19" s="1"/>
  <c r="I28" i="19" s="1"/>
  <c r="I29" i="19" s="1"/>
  <c r="I30" i="19" s="1"/>
  <c r="I31" i="19" s="1"/>
  <c r="I32" i="19" s="1"/>
  <c r="I33" i="19" s="1"/>
  <c r="I34" i="19" s="1"/>
  <c r="I35" i="19" s="1"/>
  <c r="I36" i="19" s="1"/>
  <c r="I37" i="19" s="1"/>
  <c r="I38" i="19" s="1"/>
  <c r="I39" i="19" s="1"/>
  <c r="I40" i="19" s="1"/>
  <c r="I41" i="19" s="1"/>
  <c r="I42" i="19" s="1"/>
  <c r="I43" i="19" s="1"/>
  <c r="I44" i="19" s="1"/>
  <c r="I45" i="19" s="1"/>
  <c r="I46" i="19" s="1"/>
  <c r="I47" i="19" s="1"/>
  <c r="I48" i="19" s="1"/>
  <c r="I49" i="19" s="1"/>
  <c r="I50" i="19" s="1"/>
  <c r="I51" i="19" s="1"/>
  <c r="I52" i="19" s="1"/>
  <c r="I53" i="19" s="1"/>
  <c r="I54" i="19" s="1"/>
  <c r="I55" i="19" s="1"/>
  <c r="I56" i="19" s="1"/>
  <c r="I57" i="19" s="1"/>
  <c r="I2886" i="2"/>
  <c r="C2886" i="2"/>
  <c r="I2882" i="2"/>
  <c r="C2882" i="2"/>
  <c r="I2887" i="2"/>
  <c r="C2887" i="2"/>
  <c r="I2896" i="2"/>
  <c r="H2896" i="2"/>
  <c r="C2896" i="2"/>
  <c r="I2869" i="2"/>
  <c r="I2880" i="2"/>
  <c r="C2880" i="2"/>
  <c r="H2870" i="2" l="1"/>
  <c r="D2870" i="2"/>
  <c r="H2861" i="2"/>
  <c r="D2868" i="2"/>
  <c r="H2868" i="2"/>
  <c r="D2861" i="2"/>
  <c r="Q2853" i="2"/>
  <c r="H2853" i="2"/>
  <c r="I2906" i="2"/>
  <c r="C2906" i="2"/>
  <c r="I2871" i="2"/>
  <c r="C2871" i="2"/>
  <c r="I2894" i="2"/>
  <c r="C2894" i="2"/>
  <c r="I2905" i="2"/>
  <c r="I2879" i="2"/>
  <c r="C2879" i="2"/>
  <c r="I2878" i="2"/>
  <c r="C2878" i="2"/>
  <c r="I2874" i="2"/>
  <c r="I2902" i="2"/>
  <c r="C2902" i="2"/>
  <c r="I2900" i="2"/>
  <c r="C2900" i="2"/>
  <c r="I2890" i="2"/>
  <c r="C2890" i="2"/>
  <c r="I2885" i="2"/>
  <c r="C2885" i="2"/>
  <c r="AB2853" i="2"/>
  <c r="AA2853" i="2"/>
  <c r="D2866" i="2" l="1"/>
  <c r="H2866" i="2"/>
  <c r="D2901" i="2"/>
  <c r="H2901" i="2"/>
  <c r="D2875" i="2"/>
  <c r="H2875" i="2"/>
  <c r="C2908" i="2"/>
  <c r="R2853" i="2"/>
  <c r="T2853" i="2" s="1"/>
  <c r="AO2853" i="2" l="1"/>
  <c r="AN2853" i="2"/>
  <c r="AG2853" i="2"/>
  <c r="AF2853" i="2"/>
  <c r="M2853" i="2"/>
  <c r="U2853" i="2" s="1"/>
  <c r="C2854" i="2"/>
  <c r="V2885" i="2"/>
  <c r="E6" i="19"/>
  <c r="E7" i="19" s="1"/>
  <c r="E8" i="19" s="1"/>
  <c r="E9" i="19" s="1"/>
  <c r="E10" i="19" s="1"/>
  <c r="E11" i="19" s="1"/>
  <c r="E12" i="19" s="1"/>
  <c r="E13" i="19" s="1"/>
  <c r="E14" i="19" s="1"/>
  <c r="E15" i="19" s="1"/>
  <c r="E16" i="19" s="1"/>
  <c r="E17" i="19" s="1"/>
  <c r="E18" i="19" s="1"/>
  <c r="E19" i="19" s="1"/>
  <c r="E20" i="19" s="1"/>
  <c r="E21" i="19" s="1"/>
  <c r="E22" i="19" s="1"/>
  <c r="E23" i="19" s="1"/>
  <c r="E24" i="19" s="1"/>
  <c r="E25" i="19" s="1"/>
  <c r="E26" i="19" s="1"/>
  <c r="E27" i="19" s="1"/>
  <c r="E28" i="19" s="1"/>
  <c r="E29" i="19" s="1"/>
  <c r="E30" i="19" s="1"/>
  <c r="E31" i="19" s="1"/>
  <c r="E32" i="19" s="1"/>
  <c r="E33" i="19" s="1"/>
  <c r="E34" i="19" s="1"/>
  <c r="E35" i="19" s="1"/>
  <c r="E36" i="19" s="1"/>
  <c r="E37" i="19" s="1"/>
  <c r="E38" i="19" s="1"/>
  <c r="E39" i="19" s="1"/>
  <c r="E40" i="19" s="1"/>
  <c r="E41" i="19" s="1"/>
  <c r="E42" i="19" s="1"/>
  <c r="E43" i="19" s="1"/>
  <c r="E44" i="19" s="1"/>
  <c r="E45" i="19" s="1"/>
  <c r="E46" i="19" s="1"/>
  <c r="E47" i="19" s="1"/>
  <c r="E48" i="19" s="1"/>
  <c r="E49" i="19" s="1"/>
  <c r="E50" i="19" s="1"/>
  <c r="E51" i="19" s="1"/>
  <c r="E52" i="19" s="1"/>
  <c r="E53" i="19" s="1"/>
  <c r="E54" i="19" s="1"/>
  <c r="E55" i="19" s="1"/>
  <c r="E56" i="19" s="1"/>
  <c r="E57" i="19" s="1"/>
  <c r="C19" i="18" l="1"/>
  <c r="C9" i="18"/>
  <c r="C13" i="18"/>
  <c r="C16" i="18"/>
  <c r="B19" i="18"/>
  <c r="C10" i="18"/>
  <c r="B13" i="18"/>
  <c r="B16" i="18"/>
  <c r="C18" i="18"/>
  <c r="B10" i="18"/>
  <c r="B14" i="18"/>
  <c r="C12" i="18"/>
  <c r="C15" i="18"/>
  <c r="B18" i="18"/>
  <c r="B15" i="18"/>
  <c r="C8" i="18"/>
  <c r="B12" i="18"/>
  <c r="B9" i="18"/>
  <c r="B17" i="18"/>
  <c r="C17" i="18"/>
  <c r="C14" i="18"/>
  <c r="C11" i="18"/>
  <c r="B11" i="18"/>
  <c r="B8" i="18"/>
  <c r="N55" i="19"/>
  <c r="N17" i="19"/>
  <c r="N56" i="19"/>
  <c r="N48" i="19"/>
  <c r="N20" i="19"/>
  <c r="N43" i="19"/>
  <c r="N40" i="19"/>
  <c r="N32" i="19"/>
  <c r="N24" i="19"/>
  <c r="N8" i="19"/>
  <c r="N31" i="19"/>
  <c r="N51" i="19"/>
  <c r="N5" i="19"/>
  <c r="N12" i="19"/>
  <c r="N29" i="19"/>
  <c r="N19" i="19"/>
  <c r="N39" i="19"/>
  <c r="N52" i="19"/>
  <c r="N47" i="19"/>
  <c r="N28" i="19"/>
  <c r="N7" i="19"/>
  <c r="N27" i="19"/>
  <c r="N50" i="19"/>
  <c r="N35" i="19"/>
  <c r="N16" i="19"/>
  <c r="N11" i="19"/>
  <c r="N54" i="19"/>
  <c r="N15" i="19"/>
  <c r="N38" i="19"/>
  <c r="N42" i="19"/>
  <c r="N36" i="19"/>
  <c r="N26" i="19"/>
  <c r="N34" i="19"/>
  <c r="N30" i="19"/>
  <c r="N23" i="19"/>
  <c r="N14" i="19"/>
  <c r="N22" i="19"/>
  <c r="N18" i="19"/>
  <c r="N46" i="19"/>
  <c r="N49" i="19"/>
  <c r="N45" i="19"/>
  <c r="N33" i="19"/>
  <c r="N6" i="19"/>
  <c r="N10" i="19"/>
  <c r="N37" i="19"/>
  <c r="N53" i="19"/>
  <c r="N57" i="19"/>
  <c r="N25" i="19"/>
  <c r="N9" i="19"/>
  <c r="N13" i="19"/>
  <c r="N41" i="19"/>
  <c r="N21" i="19"/>
  <c r="N44" i="19"/>
  <c r="C36" i="18"/>
  <c r="C29" i="18"/>
  <c r="B36" i="18"/>
  <c r="B34" i="18"/>
  <c r="B29" i="18"/>
  <c r="B27" i="18"/>
  <c r="B35" i="18"/>
  <c r="C38" i="18"/>
  <c r="B38" i="18"/>
  <c r="C28" i="18"/>
  <c r="B28" i="18"/>
  <c r="C37" i="18"/>
  <c r="B33" i="18"/>
  <c r="B31" i="18"/>
  <c r="C27" i="18"/>
  <c r="C30" i="18"/>
  <c r="B30" i="18"/>
  <c r="B32" i="18"/>
  <c r="C31" i="18"/>
  <c r="B37" i="18"/>
  <c r="H2886" i="2"/>
  <c r="D2886" i="2"/>
  <c r="V2890" i="2"/>
  <c r="D2896" i="2"/>
  <c r="B39" i="18" l="1"/>
  <c r="C39" i="18"/>
  <c r="N58" i="19"/>
  <c r="U2854" i="2"/>
  <c r="J57" i="19"/>
  <c r="J45" i="19"/>
  <c r="J33" i="19"/>
  <c r="J21" i="19"/>
  <c r="J9" i="19"/>
  <c r="J56" i="19"/>
  <c r="J44" i="19"/>
  <c r="J32" i="19"/>
  <c r="J20" i="19"/>
  <c r="J8" i="19"/>
  <c r="J55" i="19"/>
  <c r="J43" i="19"/>
  <c r="J31" i="19"/>
  <c r="J19" i="19"/>
  <c r="J7" i="19"/>
  <c r="J54" i="19"/>
  <c r="J42" i="19"/>
  <c r="J30" i="19"/>
  <c r="J18" i="19"/>
  <c r="J6" i="19"/>
  <c r="J53" i="19"/>
  <c r="J41" i="19"/>
  <c r="J29" i="19"/>
  <c r="J17" i="19"/>
  <c r="J5" i="19"/>
  <c r="J22" i="19"/>
  <c r="J52" i="19"/>
  <c r="J40" i="19"/>
  <c r="J28" i="19"/>
  <c r="J16" i="19"/>
  <c r="J51" i="19"/>
  <c r="J39" i="19"/>
  <c r="J27" i="19"/>
  <c r="J15" i="19"/>
  <c r="J50" i="19"/>
  <c r="J38" i="19"/>
  <c r="J26" i="19"/>
  <c r="J14" i="19"/>
  <c r="J34" i="19"/>
  <c r="J49" i="19"/>
  <c r="J37" i="19"/>
  <c r="J25" i="19"/>
  <c r="J13" i="19"/>
  <c r="J10" i="19"/>
  <c r="J48" i="19"/>
  <c r="J36" i="19"/>
  <c r="J24" i="19"/>
  <c r="J12" i="19"/>
  <c r="J46" i="19"/>
  <c r="J47" i="19"/>
  <c r="J35" i="19"/>
  <c r="J23" i="19"/>
  <c r="J11" i="19"/>
  <c r="H2880" i="2"/>
  <c r="D2887" i="2"/>
  <c r="H2887" i="2"/>
  <c r="D2882" i="2"/>
  <c r="H2882" i="2"/>
  <c r="H2869" i="2"/>
  <c r="D2869" i="2"/>
  <c r="D2879" i="2"/>
  <c r="H2879" i="2"/>
  <c r="D2880" i="2"/>
  <c r="D2874" i="2"/>
  <c r="H2874" i="2"/>
  <c r="H2900" i="2"/>
  <c r="A63" i="19"/>
  <c r="A37" i="17"/>
  <c r="C37" i="4"/>
  <c r="C38" i="4"/>
  <c r="C41" i="4" s="1"/>
  <c r="B47" i="4"/>
  <c r="B48" i="4" s="1"/>
  <c r="B49" i="4" s="1"/>
  <c r="C47" i="4"/>
  <c r="D47" i="4"/>
  <c r="C48" i="4"/>
  <c r="D48" i="4"/>
  <c r="B14" i="11"/>
  <c r="C14" i="11"/>
  <c r="D14" i="11"/>
  <c r="B21" i="11"/>
  <c r="B35" i="11" s="1"/>
  <c r="C21" i="11"/>
  <c r="C35" i="11" s="1"/>
  <c r="D21" i="11"/>
  <c r="D35" i="11" s="1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B7" i="11" s="1"/>
  <c r="Q7" i="3"/>
  <c r="C7" i="11" s="1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 s="1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 s="1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 s="1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 s="1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 s="1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 s="1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P70" i="3" s="1"/>
  <c r="Q56" i="3"/>
  <c r="Q70" i="3" s="1"/>
  <c r="A6" i="19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Z5" i="2"/>
  <c r="C7" i="17"/>
  <c r="B9" i="17"/>
  <c r="B24" i="17"/>
  <c r="C29" i="17"/>
  <c r="C26" i="17"/>
  <c r="B63" i="19"/>
  <c r="C2911" i="2"/>
  <c r="C2913" i="2"/>
  <c r="C2919" i="2"/>
  <c r="H2919" i="2" s="1"/>
  <c r="I2919" i="2"/>
  <c r="L2919" i="2"/>
  <c r="M2919" i="2"/>
  <c r="C2920" i="2"/>
  <c r="H2920" i="2" s="1"/>
  <c r="I2920" i="2"/>
  <c r="L2920" i="2"/>
  <c r="M2920" i="2"/>
  <c r="C2921" i="2"/>
  <c r="H2921" i="2" s="1"/>
  <c r="I2921" i="2"/>
  <c r="L2921" i="2"/>
  <c r="M2921" i="2"/>
  <c r="C2922" i="2"/>
  <c r="H2922" i="2" s="1"/>
  <c r="D2922" i="2"/>
  <c r="I2922" i="2"/>
  <c r="L2922" i="2"/>
  <c r="M2922" i="2"/>
  <c r="C2923" i="2"/>
  <c r="H2923" i="2" s="1"/>
  <c r="I2923" i="2"/>
  <c r="L2923" i="2"/>
  <c r="M2923" i="2"/>
  <c r="C2924" i="2"/>
  <c r="H2924" i="2" s="1"/>
  <c r="I2924" i="2"/>
  <c r="L2924" i="2"/>
  <c r="M2924" i="2"/>
  <c r="C2925" i="2"/>
  <c r="H2925" i="2" s="1"/>
  <c r="I2925" i="2"/>
  <c r="L2925" i="2"/>
  <c r="M2925" i="2"/>
  <c r="C2926" i="2"/>
  <c r="H2926" i="2" s="1"/>
  <c r="I2926" i="2"/>
  <c r="L2926" i="2"/>
  <c r="M2926" i="2"/>
  <c r="C2927" i="2"/>
  <c r="H2927" i="2" s="1"/>
  <c r="D2927" i="2"/>
  <c r="I2927" i="2"/>
  <c r="L2927" i="2"/>
  <c r="M2927" i="2"/>
  <c r="C2928" i="2"/>
  <c r="H2928" i="2" s="1"/>
  <c r="D2928" i="2"/>
  <c r="I2928" i="2"/>
  <c r="L2928" i="2"/>
  <c r="M2928" i="2"/>
  <c r="C2929" i="2"/>
  <c r="H2929" i="2" s="1"/>
  <c r="D2929" i="2"/>
  <c r="I2929" i="2"/>
  <c r="L2929" i="2"/>
  <c r="M2929" i="2"/>
  <c r="C2930" i="2"/>
  <c r="H2930" i="2" s="1"/>
  <c r="D2930" i="2"/>
  <c r="I2930" i="2"/>
  <c r="L2930" i="2"/>
  <c r="M2930" i="2"/>
  <c r="M18" i="5"/>
  <c r="J6" i="12"/>
  <c r="K6" i="12"/>
  <c r="L6" i="12"/>
  <c r="N6" i="12"/>
  <c r="O6" i="12"/>
  <c r="P6" i="12"/>
  <c r="R6" i="12"/>
  <c r="U6" i="12"/>
  <c r="J7" i="12"/>
  <c r="K7" i="12"/>
  <c r="L7" i="12"/>
  <c r="N7" i="12"/>
  <c r="O7" i="12"/>
  <c r="P7" i="12"/>
  <c r="R7" i="12"/>
  <c r="U7" i="12"/>
  <c r="J8" i="12"/>
  <c r="K8" i="12"/>
  <c r="L8" i="12"/>
  <c r="N8" i="12"/>
  <c r="O8" i="12"/>
  <c r="P8" i="12"/>
  <c r="R8" i="12"/>
  <c r="U8" i="12"/>
  <c r="J9" i="12"/>
  <c r="K9" i="12"/>
  <c r="L9" i="12"/>
  <c r="N9" i="12"/>
  <c r="O9" i="12"/>
  <c r="P9" i="12"/>
  <c r="R9" i="12"/>
  <c r="U9" i="12"/>
  <c r="J10" i="12"/>
  <c r="K10" i="12"/>
  <c r="L10" i="12"/>
  <c r="N10" i="12"/>
  <c r="O10" i="12"/>
  <c r="P10" i="12"/>
  <c r="R10" i="12"/>
  <c r="U10" i="12"/>
  <c r="J11" i="12"/>
  <c r="K11" i="12"/>
  <c r="L11" i="12"/>
  <c r="N11" i="12"/>
  <c r="O11" i="12"/>
  <c r="P11" i="12"/>
  <c r="R11" i="12"/>
  <c r="U11" i="12"/>
  <c r="J12" i="12"/>
  <c r="K12" i="12"/>
  <c r="L12" i="12"/>
  <c r="N12" i="12"/>
  <c r="O12" i="12"/>
  <c r="P12" i="12"/>
  <c r="R12" i="12"/>
  <c r="U12" i="12"/>
  <c r="J13" i="12"/>
  <c r="K13" i="12"/>
  <c r="L13" i="12"/>
  <c r="N13" i="12"/>
  <c r="O13" i="12"/>
  <c r="P13" i="12"/>
  <c r="R13" i="12"/>
  <c r="U13" i="12"/>
  <c r="J14" i="12"/>
  <c r="K14" i="12"/>
  <c r="L14" i="12"/>
  <c r="N14" i="12"/>
  <c r="O14" i="12"/>
  <c r="P14" i="12"/>
  <c r="R14" i="12"/>
  <c r="U14" i="12"/>
  <c r="J15" i="12"/>
  <c r="K15" i="12"/>
  <c r="L15" i="12"/>
  <c r="N15" i="12"/>
  <c r="O15" i="12"/>
  <c r="P15" i="12"/>
  <c r="R15" i="12"/>
  <c r="U15" i="12"/>
  <c r="J16" i="12"/>
  <c r="K16" i="12"/>
  <c r="L16" i="12"/>
  <c r="N16" i="12"/>
  <c r="O16" i="12"/>
  <c r="P16" i="12"/>
  <c r="U16" i="12"/>
  <c r="J17" i="12"/>
  <c r="K17" i="12"/>
  <c r="L17" i="12"/>
  <c r="N17" i="12"/>
  <c r="O17" i="12"/>
  <c r="P17" i="12"/>
  <c r="R17" i="12"/>
  <c r="U17" i="12"/>
  <c r="J18" i="12"/>
  <c r="K18" i="12"/>
  <c r="L18" i="12"/>
  <c r="N18" i="12"/>
  <c r="O18" i="12"/>
  <c r="P18" i="12"/>
  <c r="R18" i="12"/>
  <c r="U18" i="12"/>
  <c r="J19" i="12"/>
  <c r="K19" i="12"/>
  <c r="L19" i="12"/>
  <c r="N19" i="12"/>
  <c r="O19" i="12"/>
  <c r="P19" i="12"/>
  <c r="R19" i="12"/>
  <c r="U19" i="12"/>
  <c r="J20" i="12"/>
  <c r="K20" i="12"/>
  <c r="L20" i="12"/>
  <c r="N20" i="12"/>
  <c r="O20" i="12"/>
  <c r="P20" i="12"/>
  <c r="R20" i="12"/>
  <c r="U20" i="12"/>
  <c r="J21" i="12"/>
  <c r="K21" i="12"/>
  <c r="L21" i="12"/>
  <c r="N21" i="12"/>
  <c r="O21" i="12"/>
  <c r="P21" i="12"/>
  <c r="R21" i="12"/>
  <c r="U21" i="12"/>
  <c r="J22" i="12"/>
  <c r="K22" i="12"/>
  <c r="L22" i="12"/>
  <c r="N22" i="12"/>
  <c r="O22" i="12"/>
  <c r="P22" i="12"/>
  <c r="R22" i="12"/>
  <c r="U22" i="12"/>
  <c r="J23" i="12"/>
  <c r="K23" i="12"/>
  <c r="L23" i="12"/>
  <c r="N23" i="12"/>
  <c r="O23" i="12"/>
  <c r="P23" i="12"/>
  <c r="R23" i="12"/>
  <c r="U23" i="12"/>
  <c r="J24" i="12"/>
  <c r="K24" i="12"/>
  <c r="L24" i="12"/>
  <c r="N24" i="12"/>
  <c r="O24" i="12"/>
  <c r="P24" i="12"/>
  <c r="R24" i="12"/>
  <c r="U24" i="12"/>
  <c r="J25" i="12"/>
  <c r="K25" i="12"/>
  <c r="L25" i="12"/>
  <c r="N25" i="12"/>
  <c r="O25" i="12"/>
  <c r="P25" i="12"/>
  <c r="R25" i="12"/>
  <c r="U25" i="12"/>
  <c r="J26" i="12"/>
  <c r="K26" i="12"/>
  <c r="L26" i="12"/>
  <c r="N26" i="12"/>
  <c r="O26" i="12"/>
  <c r="P26" i="12"/>
  <c r="R26" i="12"/>
  <c r="U26" i="12"/>
  <c r="J27" i="12"/>
  <c r="K27" i="12"/>
  <c r="L27" i="12"/>
  <c r="N27" i="12"/>
  <c r="O27" i="12"/>
  <c r="P27" i="12"/>
  <c r="R27" i="12"/>
  <c r="U27" i="12"/>
  <c r="J28" i="12"/>
  <c r="K28" i="12"/>
  <c r="L28" i="12"/>
  <c r="N28" i="12"/>
  <c r="O28" i="12"/>
  <c r="P28" i="12"/>
  <c r="R28" i="12"/>
  <c r="U28" i="12"/>
  <c r="J29" i="12"/>
  <c r="K29" i="12"/>
  <c r="L29" i="12"/>
  <c r="N29" i="12"/>
  <c r="O29" i="12"/>
  <c r="P29" i="12"/>
  <c r="R29" i="12"/>
  <c r="U29" i="12"/>
  <c r="J30" i="12"/>
  <c r="K30" i="12"/>
  <c r="L30" i="12"/>
  <c r="N30" i="12"/>
  <c r="O30" i="12"/>
  <c r="P30" i="12"/>
  <c r="R30" i="12"/>
  <c r="U30" i="12"/>
  <c r="J31" i="12"/>
  <c r="K31" i="12"/>
  <c r="L31" i="12"/>
  <c r="N31" i="12"/>
  <c r="O31" i="12"/>
  <c r="P31" i="12"/>
  <c r="R31" i="12"/>
  <c r="U31" i="12"/>
  <c r="J32" i="12"/>
  <c r="K32" i="12"/>
  <c r="L32" i="12"/>
  <c r="N32" i="12"/>
  <c r="O32" i="12"/>
  <c r="P32" i="12"/>
  <c r="R32" i="12"/>
  <c r="U32" i="12"/>
  <c r="J33" i="12"/>
  <c r="K33" i="12"/>
  <c r="L33" i="12"/>
  <c r="N33" i="12"/>
  <c r="O33" i="12"/>
  <c r="P33" i="12"/>
  <c r="R33" i="12"/>
  <c r="U33" i="12"/>
  <c r="J34" i="12"/>
  <c r="K34" i="12"/>
  <c r="L34" i="12"/>
  <c r="N34" i="12"/>
  <c r="O34" i="12"/>
  <c r="P34" i="12"/>
  <c r="R34" i="12"/>
  <c r="U34" i="12"/>
  <c r="J35" i="12"/>
  <c r="K35" i="12"/>
  <c r="L35" i="12"/>
  <c r="N35" i="12"/>
  <c r="O35" i="12"/>
  <c r="P35" i="12"/>
  <c r="R35" i="12"/>
  <c r="U35" i="12"/>
  <c r="J36" i="12"/>
  <c r="K36" i="12"/>
  <c r="L36" i="12"/>
  <c r="N36" i="12"/>
  <c r="O36" i="12"/>
  <c r="P36" i="12"/>
  <c r="R36" i="12"/>
  <c r="U36" i="12"/>
  <c r="J37" i="12"/>
  <c r="K37" i="12"/>
  <c r="L37" i="12"/>
  <c r="N37" i="12"/>
  <c r="O37" i="12"/>
  <c r="P37" i="12"/>
  <c r="R37" i="12"/>
  <c r="U37" i="12"/>
  <c r="J38" i="12"/>
  <c r="K38" i="12"/>
  <c r="L38" i="12"/>
  <c r="N38" i="12"/>
  <c r="O38" i="12"/>
  <c r="P38" i="12"/>
  <c r="R38" i="12"/>
  <c r="U38" i="12"/>
  <c r="J39" i="12"/>
  <c r="K39" i="12"/>
  <c r="L39" i="12"/>
  <c r="N39" i="12"/>
  <c r="O39" i="12"/>
  <c r="P39" i="12"/>
  <c r="R39" i="12"/>
  <c r="U39" i="12"/>
  <c r="J40" i="12"/>
  <c r="K40" i="12"/>
  <c r="L40" i="12"/>
  <c r="N40" i="12"/>
  <c r="O40" i="12"/>
  <c r="P40" i="12"/>
  <c r="R40" i="12"/>
  <c r="U40" i="12"/>
  <c r="J41" i="12"/>
  <c r="K41" i="12"/>
  <c r="L41" i="12"/>
  <c r="N41" i="12"/>
  <c r="O41" i="12"/>
  <c r="P41" i="12"/>
  <c r="R41" i="12"/>
  <c r="U41" i="12"/>
  <c r="J42" i="12"/>
  <c r="K42" i="12"/>
  <c r="L42" i="12"/>
  <c r="N42" i="12"/>
  <c r="O42" i="12"/>
  <c r="P42" i="12"/>
  <c r="R42" i="12"/>
  <c r="U42" i="12"/>
  <c r="J43" i="12"/>
  <c r="K43" i="12"/>
  <c r="L43" i="12"/>
  <c r="N43" i="12"/>
  <c r="O43" i="12"/>
  <c r="P43" i="12"/>
  <c r="R43" i="12"/>
  <c r="U43" i="12"/>
  <c r="J44" i="12"/>
  <c r="K44" i="12"/>
  <c r="L44" i="12"/>
  <c r="N44" i="12"/>
  <c r="O44" i="12"/>
  <c r="P44" i="12"/>
  <c r="R44" i="12"/>
  <c r="U44" i="12"/>
  <c r="J45" i="12"/>
  <c r="K45" i="12"/>
  <c r="L45" i="12"/>
  <c r="N45" i="12"/>
  <c r="O45" i="12"/>
  <c r="P45" i="12"/>
  <c r="R45" i="12"/>
  <c r="U45" i="12"/>
  <c r="J46" i="12"/>
  <c r="K46" i="12"/>
  <c r="L46" i="12"/>
  <c r="N46" i="12"/>
  <c r="O46" i="12"/>
  <c r="P46" i="12"/>
  <c r="R46" i="12"/>
  <c r="U46" i="12"/>
  <c r="J47" i="12"/>
  <c r="K47" i="12"/>
  <c r="L47" i="12"/>
  <c r="N47" i="12"/>
  <c r="O47" i="12"/>
  <c r="P47" i="12"/>
  <c r="R47" i="12"/>
  <c r="U47" i="12"/>
  <c r="J48" i="12"/>
  <c r="K48" i="12"/>
  <c r="L48" i="12"/>
  <c r="N48" i="12"/>
  <c r="O48" i="12"/>
  <c r="P48" i="12"/>
  <c r="R48" i="12"/>
  <c r="U48" i="12"/>
  <c r="J49" i="12"/>
  <c r="K49" i="12"/>
  <c r="L49" i="12"/>
  <c r="N49" i="12"/>
  <c r="O49" i="12"/>
  <c r="P49" i="12"/>
  <c r="R49" i="12"/>
  <c r="U49" i="12"/>
  <c r="J50" i="12"/>
  <c r="K50" i="12"/>
  <c r="L50" i="12"/>
  <c r="N50" i="12"/>
  <c r="O50" i="12"/>
  <c r="P50" i="12"/>
  <c r="R50" i="12"/>
  <c r="U50" i="12"/>
  <c r="J51" i="12"/>
  <c r="K51" i="12"/>
  <c r="L51" i="12"/>
  <c r="N51" i="12"/>
  <c r="O51" i="12"/>
  <c r="P51" i="12"/>
  <c r="R51" i="12"/>
  <c r="U51" i="12"/>
  <c r="C52" i="12"/>
  <c r="C58" i="12"/>
  <c r="D58" i="12"/>
  <c r="C59" i="12"/>
  <c r="D59" i="12"/>
  <c r="C60" i="12"/>
  <c r="D60" i="12"/>
  <c r="C61" i="12"/>
  <c r="D61" i="12"/>
  <c r="C62" i="12"/>
  <c r="D62" i="12"/>
  <c r="C63" i="12"/>
  <c r="D63" i="12"/>
  <c r="C64" i="12"/>
  <c r="D64" i="12"/>
  <c r="C65" i="12"/>
  <c r="D65" i="12"/>
  <c r="C66" i="12"/>
  <c r="D66" i="12"/>
  <c r="C67" i="12"/>
  <c r="D67" i="12"/>
  <c r="C68" i="12"/>
  <c r="D68" i="12"/>
  <c r="C69" i="12"/>
  <c r="D69" i="12"/>
  <c r="C70" i="12"/>
  <c r="D70" i="12"/>
  <c r="C71" i="12"/>
  <c r="D71" i="12"/>
  <c r="C72" i="12"/>
  <c r="D72" i="12"/>
  <c r="C73" i="12"/>
  <c r="D73" i="12"/>
  <c r="C74" i="12"/>
  <c r="D74" i="12"/>
  <c r="C75" i="12"/>
  <c r="D75" i="12"/>
  <c r="C76" i="12"/>
  <c r="D76" i="12"/>
  <c r="C77" i="12"/>
  <c r="D77" i="12"/>
  <c r="C78" i="12"/>
  <c r="D78" i="12"/>
  <c r="C79" i="12"/>
  <c r="D79" i="12"/>
  <c r="C80" i="12"/>
  <c r="D80" i="12"/>
  <c r="C81" i="12"/>
  <c r="D81" i="12"/>
  <c r="C82" i="12"/>
  <c r="D82" i="12"/>
  <c r="C83" i="12"/>
  <c r="D83" i="12"/>
  <c r="C84" i="12"/>
  <c r="D84" i="12"/>
  <c r="C85" i="12"/>
  <c r="D85" i="12"/>
  <c r="C86" i="12"/>
  <c r="D86" i="12"/>
  <c r="J6" i="13"/>
  <c r="K6" i="13"/>
  <c r="L6" i="13"/>
  <c r="N6" i="13"/>
  <c r="O6" i="13"/>
  <c r="P6" i="13"/>
  <c r="R6" i="13"/>
  <c r="U6" i="13"/>
  <c r="J7" i="13"/>
  <c r="K7" i="13"/>
  <c r="L7" i="13"/>
  <c r="N7" i="13"/>
  <c r="O7" i="13"/>
  <c r="P7" i="13"/>
  <c r="R7" i="13"/>
  <c r="U7" i="13"/>
  <c r="J8" i="13"/>
  <c r="K8" i="13"/>
  <c r="L8" i="13"/>
  <c r="N8" i="13"/>
  <c r="O8" i="13"/>
  <c r="P8" i="13"/>
  <c r="R8" i="13"/>
  <c r="U8" i="13"/>
  <c r="J9" i="13"/>
  <c r="K9" i="13"/>
  <c r="L9" i="13"/>
  <c r="N9" i="13"/>
  <c r="O9" i="13"/>
  <c r="P9" i="13"/>
  <c r="R9" i="13"/>
  <c r="U9" i="13"/>
  <c r="J10" i="13"/>
  <c r="K10" i="13"/>
  <c r="L10" i="13"/>
  <c r="N10" i="13"/>
  <c r="O10" i="13"/>
  <c r="P10" i="13"/>
  <c r="R10" i="13"/>
  <c r="U10" i="13"/>
  <c r="J11" i="13"/>
  <c r="K11" i="13"/>
  <c r="L11" i="13"/>
  <c r="N11" i="13"/>
  <c r="O11" i="13"/>
  <c r="P11" i="13"/>
  <c r="R11" i="13"/>
  <c r="U11" i="13"/>
  <c r="J12" i="13"/>
  <c r="K12" i="13"/>
  <c r="L12" i="13"/>
  <c r="N12" i="13"/>
  <c r="O12" i="13"/>
  <c r="P12" i="13"/>
  <c r="R12" i="13"/>
  <c r="U12" i="13"/>
  <c r="J13" i="13"/>
  <c r="K13" i="13"/>
  <c r="L13" i="13"/>
  <c r="N13" i="13"/>
  <c r="O13" i="13"/>
  <c r="P13" i="13"/>
  <c r="R13" i="13"/>
  <c r="U13" i="13"/>
  <c r="J14" i="13"/>
  <c r="K14" i="13"/>
  <c r="L14" i="13"/>
  <c r="N14" i="13"/>
  <c r="O14" i="13"/>
  <c r="P14" i="13"/>
  <c r="R14" i="13"/>
  <c r="U14" i="13"/>
  <c r="J15" i="13"/>
  <c r="K15" i="13"/>
  <c r="L15" i="13"/>
  <c r="N15" i="13"/>
  <c r="O15" i="13"/>
  <c r="P15" i="13"/>
  <c r="R15" i="13"/>
  <c r="U15" i="13"/>
  <c r="J16" i="13"/>
  <c r="K16" i="13"/>
  <c r="L16" i="13"/>
  <c r="N16" i="13"/>
  <c r="O16" i="13"/>
  <c r="P16" i="13"/>
  <c r="U16" i="13"/>
  <c r="J17" i="13"/>
  <c r="K17" i="13"/>
  <c r="L17" i="13"/>
  <c r="N17" i="13"/>
  <c r="O17" i="13"/>
  <c r="P17" i="13"/>
  <c r="R17" i="13"/>
  <c r="U17" i="13"/>
  <c r="J18" i="13"/>
  <c r="K18" i="13"/>
  <c r="L18" i="13"/>
  <c r="N18" i="13"/>
  <c r="O18" i="13"/>
  <c r="P18" i="13"/>
  <c r="R18" i="13"/>
  <c r="U18" i="13"/>
  <c r="J19" i="13"/>
  <c r="K19" i="13"/>
  <c r="L19" i="13"/>
  <c r="N19" i="13"/>
  <c r="O19" i="13"/>
  <c r="P19" i="13"/>
  <c r="R19" i="13"/>
  <c r="U19" i="13"/>
  <c r="J20" i="13"/>
  <c r="K20" i="13"/>
  <c r="L20" i="13"/>
  <c r="N20" i="13"/>
  <c r="O20" i="13"/>
  <c r="P20" i="13"/>
  <c r="R20" i="13"/>
  <c r="U20" i="13"/>
  <c r="J21" i="13"/>
  <c r="K21" i="13"/>
  <c r="L21" i="13"/>
  <c r="N21" i="13"/>
  <c r="O21" i="13"/>
  <c r="P21" i="13"/>
  <c r="R21" i="13"/>
  <c r="U21" i="13"/>
  <c r="J22" i="13"/>
  <c r="K22" i="13"/>
  <c r="L22" i="13"/>
  <c r="N22" i="13"/>
  <c r="O22" i="13"/>
  <c r="P22" i="13"/>
  <c r="R22" i="13"/>
  <c r="U22" i="13"/>
  <c r="J23" i="13"/>
  <c r="K23" i="13"/>
  <c r="L23" i="13"/>
  <c r="N23" i="13"/>
  <c r="O23" i="13"/>
  <c r="P23" i="13"/>
  <c r="R23" i="13"/>
  <c r="U23" i="13"/>
  <c r="J24" i="13"/>
  <c r="K24" i="13"/>
  <c r="L24" i="13"/>
  <c r="N24" i="13"/>
  <c r="O24" i="13"/>
  <c r="P24" i="13"/>
  <c r="R24" i="13"/>
  <c r="U24" i="13"/>
  <c r="J25" i="13"/>
  <c r="K25" i="13"/>
  <c r="L25" i="13"/>
  <c r="N25" i="13"/>
  <c r="O25" i="13"/>
  <c r="P25" i="13"/>
  <c r="R25" i="13"/>
  <c r="U25" i="13"/>
  <c r="J26" i="13"/>
  <c r="K26" i="13"/>
  <c r="L26" i="13"/>
  <c r="N26" i="13"/>
  <c r="O26" i="13"/>
  <c r="P26" i="13"/>
  <c r="R26" i="13"/>
  <c r="U26" i="13"/>
  <c r="J27" i="13"/>
  <c r="K27" i="13"/>
  <c r="L27" i="13"/>
  <c r="N27" i="13"/>
  <c r="O27" i="13"/>
  <c r="P27" i="13"/>
  <c r="R27" i="13"/>
  <c r="U27" i="13"/>
  <c r="J28" i="13"/>
  <c r="K28" i="13"/>
  <c r="L28" i="13"/>
  <c r="N28" i="13"/>
  <c r="O28" i="13"/>
  <c r="P28" i="13"/>
  <c r="R28" i="13"/>
  <c r="U28" i="13"/>
  <c r="J29" i="13"/>
  <c r="K29" i="13"/>
  <c r="L29" i="13"/>
  <c r="N29" i="13"/>
  <c r="O29" i="13"/>
  <c r="P29" i="13"/>
  <c r="R29" i="13"/>
  <c r="U29" i="13"/>
  <c r="J30" i="13"/>
  <c r="K30" i="13"/>
  <c r="L30" i="13"/>
  <c r="N30" i="13"/>
  <c r="O30" i="13"/>
  <c r="P30" i="13"/>
  <c r="R30" i="13"/>
  <c r="U30" i="13"/>
  <c r="J31" i="13"/>
  <c r="K31" i="13"/>
  <c r="L31" i="13"/>
  <c r="N31" i="13"/>
  <c r="O31" i="13"/>
  <c r="P31" i="13"/>
  <c r="R31" i="13"/>
  <c r="U31" i="13"/>
  <c r="J32" i="13"/>
  <c r="K32" i="13"/>
  <c r="L32" i="13"/>
  <c r="N32" i="13"/>
  <c r="O32" i="13"/>
  <c r="P32" i="13"/>
  <c r="R32" i="13"/>
  <c r="U32" i="13"/>
  <c r="J33" i="13"/>
  <c r="K33" i="13"/>
  <c r="L33" i="13"/>
  <c r="N33" i="13"/>
  <c r="O33" i="13"/>
  <c r="P33" i="13"/>
  <c r="R33" i="13"/>
  <c r="U33" i="13"/>
  <c r="J34" i="13"/>
  <c r="K34" i="13"/>
  <c r="L34" i="13"/>
  <c r="N34" i="13"/>
  <c r="O34" i="13"/>
  <c r="P34" i="13"/>
  <c r="R34" i="13"/>
  <c r="U34" i="13"/>
  <c r="J35" i="13"/>
  <c r="K35" i="13"/>
  <c r="L35" i="13"/>
  <c r="N35" i="13"/>
  <c r="O35" i="13"/>
  <c r="P35" i="13"/>
  <c r="R35" i="13"/>
  <c r="U35" i="13"/>
  <c r="J36" i="13"/>
  <c r="K36" i="13"/>
  <c r="L36" i="13"/>
  <c r="N36" i="13"/>
  <c r="O36" i="13"/>
  <c r="P36" i="13"/>
  <c r="R36" i="13"/>
  <c r="U36" i="13"/>
  <c r="J37" i="13"/>
  <c r="K37" i="13"/>
  <c r="L37" i="13"/>
  <c r="N37" i="13"/>
  <c r="O37" i="13"/>
  <c r="P37" i="13"/>
  <c r="R37" i="13"/>
  <c r="U37" i="13"/>
  <c r="J38" i="13"/>
  <c r="K38" i="13"/>
  <c r="L38" i="13"/>
  <c r="N38" i="13"/>
  <c r="O38" i="13"/>
  <c r="P38" i="13"/>
  <c r="R38" i="13"/>
  <c r="U38" i="13"/>
  <c r="J39" i="13"/>
  <c r="K39" i="13"/>
  <c r="L39" i="13"/>
  <c r="N39" i="13"/>
  <c r="O39" i="13"/>
  <c r="P39" i="13"/>
  <c r="R39" i="13"/>
  <c r="U39" i="13"/>
  <c r="J40" i="13"/>
  <c r="K40" i="13"/>
  <c r="L40" i="13"/>
  <c r="N40" i="13"/>
  <c r="O40" i="13"/>
  <c r="P40" i="13"/>
  <c r="R40" i="13"/>
  <c r="U40" i="13"/>
  <c r="J41" i="13"/>
  <c r="K41" i="13"/>
  <c r="L41" i="13"/>
  <c r="N41" i="13"/>
  <c r="O41" i="13"/>
  <c r="P41" i="13"/>
  <c r="R41" i="13"/>
  <c r="U41" i="13"/>
  <c r="J42" i="13"/>
  <c r="K42" i="13"/>
  <c r="L42" i="13"/>
  <c r="N42" i="13"/>
  <c r="O42" i="13"/>
  <c r="P42" i="13"/>
  <c r="R42" i="13"/>
  <c r="U42" i="13"/>
  <c r="J43" i="13"/>
  <c r="K43" i="13"/>
  <c r="L43" i="13"/>
  <c r="N43" i="13"/>
  <c r="O43" i="13"/>
  <c r="P43" i="13"/>
  <c r="R43" i="13"/>
  <c r="U43" i="13"/>
  <c r="J44" i="13"/>
  <c r="K44" i="13"/>
  <c r="L44" i="13"/>
  <c r="N44" i="13"/>
  <c r="O44" i="13"/>
  <c r="P44" i="13"/>
  <c r="R44" i="13"/>
  <c r="U44" i="13"/>
  <c r="J45" i="13"/>
  <c r="K45" i="13"/>
  <c r="L45" i="13"/>
  <c r="N45" i="13"/>
  <c r="O45" i="13"/>
  <c r="P45" i="13"/>
  <c r="R45" i="13"/>
  <c r="U45" i="13"/>
  <c r="J46" i="13"/>
  <c r="K46" i="13"/>
  <c r="L46" i="13"/>
  <c r="N46" i="13"/>
  <c r="O46" i="13"/>
  <c r="P46" i="13"/>
  <c r="R46" i="13"/>
  <c r="U46" i="13"/>
  <c r="J47" i="13"/>
  <c r="K47" i="13"/>
  <c r="L47" i="13"/>
  <c r="N47" i="13"/>
  <c r="O47" i="13"/>
  <c r="P47" i="13"/>
  <c r="R47" i="13"/>
  <c r="U47" i="13"/>
  <c r="J48" i="13"/>
  <c r="K48" i="13"/>
  <c r="L48" i="13"/>
  <c r="N48" i="13"/>
  <c r="O48" i="13"/>
  <c r="P48" i="13"/>
  <c r="R48" i="13"/>
  <c r="U48" i="13"/>
  <c r="J49" i="13"/>
  <c r="K49" i="13"/>
  <c r="L49" i="13"/>
  <c r="N49" i="13"/>
  <c r="O49" i="13"/>
  <c r="P49" i="13"/>
  <c r="R49" i="13"/>
  <c r="U49" i="13"/>
  <c r="J50" i="13"/>
  <c r="K50" i="13"/>
  <c r="L50" i="13"/>
  <c r="N50" i="13"/>
  <c r="O50" i="13"/>
  <c r="P50" i="13"/>
  <c r="R50" i="13"/>
  <c r="U50" i="13"/>
  <c r="J51" i="13"/>
  <c r="K51" i="13"/>
  <c r="L51" i="13"/>
  <c r="N51" i="13"/>
  <c r="O51" i="13"/>
  <c r="P51" i="13"/>
  <c r="R51" i="13"/>
  <c r="U51" i="13"/>
  <c r="C52" i="13"/>
  <c r="C58" i="13"/>
  <c r="D58" i="13"/>
  <c r="C59" i="13"/>
  <c r="D59" i="13"/>
  <c r="C60" i="13"/>
  <c r="D60" i="13"/>
  <c r="C61" i="13"/>
  <c r="D61" i="13"/>
  <c r="C62" i="13"/>
  <c r="D62" i="13"/>
  <c r="C63" i="13"/>
  <c r="D63" i="13"/>
  <c r="C64" i="13"/>
  <c r="D64" i="13"/>
  <c r="C65" i="13"/>
  <c r="D65" i="13"/>
  <c r="C66" i="13"/>
  <c r="D66" i="13"/>
  <c r="C67" i="13"/>
  <c r="D67" i="13"/>
  <c r="C68" i="13"/>
  <c r="D68" i="13"/>
  <c r="C69" i="13"/>
  <c r="D69" i="13"/>
  <c r="C70" i="13"/>
  <c r="D70" i="13"/>
  <c r="C71" i="13"/>
  <c r="D71" i="13"/>
  <c r="C72" i="13"/>
  <c r="D72" i="13"/>
  <c r="C73" i="13"/>
  <c r="D73" i="13"/>
  <c r="C74" i="13"/>
  <c r="D74" i="13"/>
  <c r="C75" i="13"/>
  <c r="D75" i="13"/>
  <c r="C76" i="13"/>
  <c r="D76" i="13"/>
  <c r="C77" i="13"/>
  <c r="D77" i="13"/>
  <c r="C78" i="13"/>
  <c r="D78" i="13"/>
  <c r="C79" i="13"/>
  <c r="D79" i="13"/>
  <c r="C80" i="13"/>
  <c r="D80" i="13"/>
  <c r="C81" i="13"/>
  <c r="D81" i="13"/>
  <c r="C82" i="13"/>
  <c r="D82" i="13"/>
  <c r="C83" i="13"/>
  <c r="D83" i="13"/>
  <c r="C84" i="13"/>
  <c r="D84" i="13"/>
  <c r="C85" i="13"/>
  <c r="D85" i="13"/>
  <c r="C86" i="13"/>
  <c r="D86" i="13"/>
  <c r="J6" i="14"/>
  <c r="K6" i="14"/>
  <c r="L6" i="14"/>
  <c r="N6" i="14"/>
  <c r="O6" i="14"/>
  <c r="P6" i="14"/>
  <c r="R6" i="14"/>
  <c r="U6" i="14"/>
  <c r="D72" i="14" s="1"/>
  <c r="J7" i="14"/>
  <c r="K7" i="14"/>
  <c r="L7" i="14"/>
  <c r="N7" i="14"/>
  <c r="O7" i="14"/>
  <c r="P7" i="14"/>
  <c r="R7" i="14"/>
  <c r="U7" i="14"/>
  <c r="J8" i="14"/>
  <c r="K8" i="14"/>
  <c r="L8" i="14"/>
  <c r="N8" i="14"/>
  <c r="O8" i="14"/>
  <c r="P8" i="14"/>
  <c r="R8" i="14"/>
  <c r="U8" i="14"/>
  <c r="J9" i="14"/>
  <c r="K9" i="14"/>
  <c r="L9" i="14"/>
  <c r="N9" i="14"/>
  <c r="O9" i="14"/>
  <c r="P9" i="14"/>
  <c r="R9" i="14"/>
  <c r="U9" i="14"/>
  <c r="J10" i="14"/>
  <c r="K10" i="14"/>
  <c r="L10" i="14"/>
  <c r="N10" i="14"/>
  <c r="O10" i="14"/>
  <c r="P10" i="14"/>
  <c r="R10" i="14"/>
  <c r="U10" i="14"/>
  <c r="J11" i="14"/>
  <c r="K11" i="14"/>
  <c r="L11" i="14"/>
  <c r="N11" i="14"/>
  <c r="O11" i="14"/>
  <c r="P11" i="14"/>
  <c r="R11" i="14"/>
  <c r="U11" i="14"/>
  <c r="J12" i="14"/>
  <c r="K12" i="14"/>
  <c r="L12" i="14"/>
  <c r="N12" i="14"/>
  <c r="O12" i="14"/>
  <c r="P12" i="14"/>
  <c r="R12" i="14"/>
  <c r="U12" i="14"/>
  <c r="J13" i="14"/>
  <c r="K13" i="14"/>
  <c r="L13" i="14"/>
  <c r="N13" i="14"/>
  <c r="O13" i="14"/>
  <c r="P13" i="14"/>
  <c r="R13" i="14"/>
  <c r="U13" i="14"/>
  <c r="J14" i="14"/>
  <c r="K14" i="14"/>
  <c r="L14" i="14"/>
  <c r="N14" i="14"/>
  <c r="O14" i="14"/>
  <c r="P14" i="14"/>
  <c r="R14" i="14"/>
  <c r="U14" i="14"/>
  <c r="J15" i="14"/>
  <c r="K15" i="14"/>
  <c r="L15" i="14"/>
  <c r="N15" i="14"/>
  <c r="O15" i="14"/>
  <c r="P15" i="14"/>
  <c r="R15" i="14"/>
  <c r="U15" i="14"/>
  <c r="J16" i="14"/>
  <c r="K16" i="14"/>
  <c r="L16" i="14"/>
  <c r="N16" i="14"/>
  <c r="O16" i="14"/>
  <c r="P16" i="14"/>
  <c r="U16" i="14"/>
  <c r="J17" i="14"/>
  <c r="K17" i="14"/>
  <c r="L17" i="14"/>
  <c r="N17" i="14"/>
  <c r="O17" i="14"/>
  <c r="P17" i="14"/>
  <c r="R17" i="14"/>
  <c r="U17" i="14"/>
  <c r="J18" i="14"/>
  <c r="K18" i="14"/>
  <c r="L18" i="14"/>
  <c r="N18" i="14"/>
  <c r="O18" i="14"/>
  <c r="P18" i="14"/>
  <c r="R18" i="14"/>
  <c r="U18" i="14"/>
  <c r="J19" i="14"/>
  <c r="K19" i="14"/>
  <c r="L19" i="14"/>
  <c r="N19" i="14"/>
  <c r="O19" i="14"/>
  <c r="P19" i="14"/>
  <c r="R19" i="14"/>
  <c r="U19" i="14"/>
  <c r="J20" i="14"/>
  <c r="K20" i="14"/>
  <c r="L20" i="14"/>
  <c r="N20" i="14"/>
  <c r="O20" i="14"/>
  <c r="P20" i="14"/>
  <c r="R20" i="14"/>
  <c r="U20" i="14"/>
  <c r="J21" i="14"/>
  <c r="K21" i="14"/>
  <c r="L21" i="14"/>
  <c r="N21" i="14"/>
  <c r="O21" i="14"/>
  <c r="P21" i="14"/>
  <c r="R21" i="14"/>
  <c r="U21" i="14"/>
  <c r="J22" i="14"/>
  <c r="K22" i="14"/>
  <c r="L22" i="14"/>
  <c r="N22" i="14"/>
  <c r="O22" i="14"/>
  <c r="P22" i="14"/>
  <c r="R22" i="14"/>
  <c r="U22" i="14"/>
  <c r="J23" i="14"/>
  <c r="K23" i="14"/>
  <c r="L23" i="14"/>
  <c r="N23" i="14"/>
  <c r="O23" i="14"/>
  <c r="P23" i="14"/>
  <c r="R23" i="14"/>
  <c r="U23" i="14"/>
  <c r="J24" i="14"/>
  <c r="K24" i="14"/>
  <c r="L24" i="14"/>
  <c r="N24" i="14"/>
  <c r="O24" i="14"/>
  <c r="P24" i="14"/>
  <c r="R24" i="14"/>
  <c r="U24" i="14"/>
  <c r="J25" i="14"/>
  <c r="K25" i="14"/>
  <c r="L25" i="14"/>
  <c r="N25" i="14"/>
  <c r="O25" i="14"/>
  <c r="P25" i="14"/>
  <c r="R25" i="14"/>
  <c r="U25" i="14"/>
  <c r="J26" i="14"/>
  <c r="K26" i="14"/>
  <c r="L26" i="14"/>
  <c r="N26" i="14"/>
  <c r="O26" i="14"/>
  <c r="P26" i="14"/>
  <c r="R26" i="14"/>
  <c r="U26" i="14"/>
  <c r="J27" i="14"/>
  <c r="K27" i="14"/>
  <c r="L27" i="14"/>
  <c r="N27" i="14"/>
  <c r="O27" i="14"/>
  <c r="P27" i="14"/>
  <c r="R27" i="14"/>
  <c r="U27" i="14"/>
  <c r="J28" i="14"/>
  <c r="K28" i="14"/>
  <c r="L28" i="14"/>
  <c r="N28" i="14"/>
  <c r="O28" i="14"/>
  <c r="P28" i="14"/>
  <c r="R28" i="14"/>
  <c r="U28" i="14"/>
  <c r="J29" i="14"/>
  <c r="K29" i="14"/>
  <c r="L29" i="14"/>
  <c r="N29" i="14"/>
  <c r="O29" i="14"/>
  <c r="P29" i="14"/>
  <c r="R29" i="14"/>
  <c r="U29" i="14"/>
  <c r="J30" i="14"/>
  <c r="K30" i="14"/>
  <c r="L30" i="14"/>
  <c r="N30" i="14"/>
  <c r="O30" i="14"/>
  <c r="P30" i="14"/>
  <c r="R30" i="14"/>
  <c r="U30" i="14"/>
  <c r="J31" i="14"/>
  <c r="K31" i="14"/>
  <c r="L31" i="14"/>
  <c r="N31" i="14"/>
  <c r="O31" i="14"/>
  <c r="P31" i="14"/>
  <c r="R31" i="14"/>
  <c r="U31" i="14"/>
  <c r="J32" i="14"/>
  <c r="K32" i="14"/>
  <c r="L32" i="14"/>
  <c r="N32" i="14"/>
  <c r="O32" i="14"/>
  <c r="P32" i="14"/>
  <c r="R32" i="14"/>
  <c r="U32" i="14"/>
  <c r="J33" i="14"/>
  <c r="K33" i="14"/>
  <c r="L33" i="14"/>
  <c r="N33" i="14"/>
  <c r="O33" i="14"/>
  <c r="P33" i="14"/>
  <c r="R33" i="14"/>
  <c r="U33" i="14"/>
  <c r="J34" i="14"/>
  <c r="K34" i="14"/>
  <c r="L34" i="14"/>
  <c r="N34" i="14"/>
  <c r="O34" i="14"/>
  <c r="P34" i="14"/>
  <c r="R34" i="14"/>
  <c r="U34" i="14"/>
  <c r="J35" i="14"/>
  <c r="K35" i="14"/>
  <c r="L35" i="14"/>
  <c r="N35" i="14"/>
  <c r="O35" i="14"/>
  <c r="P35" i="14"/>
  <c r="R35" i="14"/>
  <c r="U35" i="14"/>
  <c r="J36" i="14"/>
  <c r="K36" i="14"/>
  <c r="L36" i="14"/>
  <c r="N36" i="14"/>
  <c r="O36" i="14"/>
  <c r="P36" i="14"/>
  <c r="R36" i="14"/>
  <c r="U36" i="14"/>
  <c r="J37" i="14"/>
  <c r="K37" i="14"/>
  <c r="L37" i="14"/>
  <c r="N37" i="14"/>
  <c r="O37" i="14"/>
  <c r="P37" i="14"/>
  <c r="R37" i="14"/>
  <c r="U37" i="14"/>
  <c r="J38" i="14"/>
  <c r="K38" i="14"/>
  <c r="L38" i="14"/>
  <c r="N38" i="14"/>
  <c r="O38" i="14"/>
  <c r="P38" i="14"/>
  <c r="R38" i="14"/>
  <c r="U38" i="14"/>
  <c r="J39" i="14"/>
  <c r="K39" i="14"/>
  <c r="L39" i="14"/>
  <c r="N39" i="14"/>
  <c r="O39" i="14"/>
  <c r="P39" i="14"/>
  <c r="R39" i="14"/>
  <c r="U39" i="14"/>
  <c r="J40" i="14"/>
  <c r="K40" i="14"/>
  <c r="L40" i="14"/>
  <c r="N40" i="14"/>
  <c r="O40" i="14"/>
  <c r="P40" i="14"/>
  <c r="R40" i="14"/>
  <c r="U40" i="14"/>
  <c r="J41" i="14"/>
  <c r="K41" i="14"/>
  <c r="L41" i="14"/>
  <c r="N41" i="14"/>
  <c r="O41" i="14"/>
  <c r="P41" i="14"/>
  <c r="R41" i="14"/>
  <c r="U41" i="14"/>
  <c r="J42" i="14"/>
  <c r="K42" i="14"/>
  <c r="L42" i="14"/>
  <c r="N42" i="14"/>
  <c r="O42" i="14"/>
  <c r="P42" i="14"/>
  <c r="R42" i="14"/>
  <c r="U42" i="14"/>
  <c r="J43" i="14"/>
  <c r="K43" i="14"/>
  <c r="L43" i="14"/>
  <c r="N43" i="14"/>
  <c r="O43" i="14"/>
  <c r="P43" i="14"/>
  <c r="R43" i="14"/>
  <c r="U43" i="14"/>
  <c r="J44" i="14"/>
  <c r="K44" i="14"/>
  <c r="L44" i="14"/>
  <c r="N44" i="14"/>
  <c r="O44" i="14"/>
  <c r="P44" i="14"/>
  <c r="R44" i="14"/>
  <c r="U44" i="14"/>
  <c r="J45" i="14"/>
  <c r="K45" i="14"/>
  <c r="L45" i="14"/>
  <c r="N45" i="14"/>
  <c r="O45" i="14"/>
  <c r="P45" i="14"/>
  <c r="R45" i="14"/>
  <c r="U45" i="14"/>
  <c r="J46" i="14"/>
  <c r="K46" i="14"/>
  <c r="L46" i="14"/>
  <c r="N46" i="14"/>
  <c r="O46" i="14"/>
  <c r="P46" i="14"/>
  <c r="R46" i="14"/>
  <c r="U46" i="14"/>
  <c r="J47" i="14"/>
  <c r="K47" i="14"/>
  <c r="L47" i="14"/>
  <c r="N47" i="14"/>
  <c r="O47" i="14"/>
  <c r="P47" i="14"/>
  <c r="R47" i="14"/>
  <c r="U47" i="14"/>
  <c r="J48" i="14"/>
  <c r="K48" i="14"/>
  <c r="L48" i="14"/>
  <c r="N48" i="14"/>
  <c r="O48" i="14"/>
  <c r="P48" i="14"/>
  <c r="R48" i="14"/>
  <c r="U48" i="14"/>
  <c r="J49" i="14"/>
  <c r="K49" i="14"/>
  <c r="L49" i="14"/>
  <c r="N49" i="14"/>
  <c r="O49" i="14"/>
  <c r="P49" i="14"/>
  <c r="R49" i="14"/>
  <c r="U49" i="14"/>
  <c r="J50" i="14"/>
  <c r="K50" i="14"/>
  <c r="L50" i="14"/>
  <c r="N50" i="14"/>
  <c r="O50" i="14"/>
  <c r="P50" i="14"/>
  <c r="R50" i="14"/>
  <c r="U50" i="14"/>
  <c r="J51" i="14"/>
  <c r="K51" i="14"/>
  <c r="L51" i="14"/>
  <c r="N51" i="14"/>
  <c r="O51" i="14"/>
  <c r="P51" i="14"/>
  <c r="R51" i="14"/>
  <c r="U51" i="14"/>
  <c r="C52" i="14"/>
  <c r="C58" i="14"/>
  <c r="D58" i="14"/>
  <c r="C59" i="14"/>
  <c r="D59" i="14"/>
  <c r="C60" i="14"/>
  <c r="D60" i="14"/>
  <c r="C61" i="14"/>
  <c r="D61" i="14"/>
  <c r="C62" i="14"/>
  <c r="D62" i="14"/>
  <c r="C63" i="14"/>
  <c r="D63" i="14"/>
  <c r="C64" i="14"/>
  <c r="D64" i="14"/>
  <c r="C65" i="14"/>
  <c r="D65" i="14"/>
  <c r="C66" i="14"/>
  <c r="D66" i="14"/>
  <c r="C67" i="14"/>
  <c r="D67" i="14"/>
  <c r="C68" i="14"/>
  <c r="D68" i="14"/>
  <c r="C69" i="14"/>
  <c r="D69" i="14"/>
  <c r="C70" i="14"/>
  <c r="D70" i="14"/>
  <c r="C71" i="14"/>
  <c r="D71" i="14"/>
  <c r="C72" i="14"/>
  <c r="C73" i="14"/>
  <c r="D73" i="14"/>
  <c r="C74" i="14"/>
  <c r="D74" i="14"/>
  <c r="C75" i="14"/>
  <c r="D75" i="14"/>
  <c r="C76" i="14"/>
  <c r="D76" i="14"/>
  <c r="C77" i="14"/>
  <c r="D77" i="14"/>
  <c r="C78" i="14"/>
  <c r="D78" i="14"/>
  <c r="C79" i="14"/>
  <c r="D79" i="14"/>
  <c r="C80" i="14"/>
  <c r="D80" i="14"/>
  <c r="C81" i="14"/>
  <c r="D81" i="14"/>
  <c r="C82" i="14"/>
  <c r="D82" i="14"/>
  <c r="C83" i="14"/>
  <c r="D83" i="14"/>
  <c r="C84" i="14"/>
  <c r="D84" i="14"/>
  <c r="C85" i="14"/>
  <c r="D85" i="14"/>
  <c r="C86" i="14"/>
  <c r="D86" i="14"/>
  <c r="J6" i="15"/>
  <c r="K6" i="15"/>
  <c r="L6" i="15"/>
  <c r="N6" i="15"/>
  <c r="O6" i="15"/>
  <c r="P6" i="15"/>
  <c r="R6" i="15"/>
  <c r="U6" i="15"/>
  <c r="J7" i="15"/>
  <c r="K7" i="15"/>
  <c r="L7" i="15"/>
  <c r="N7" i="15"/>
  <c r="O7" i="15"/>
  <c r="P7" i="15"/>
  <c r="R7" i="15"/>
  <c r="U7" i="15"/>
  <c r="J8" i="15"/>
  <c r="K8" i="15"/>
  <c r="L8" i="15"/>
  <c r="O8" i="15"/>
  <c r="P8" i="15"/>
  <c r="R8" i="15"/>
  <c r="U8" i="15"/>
  <c r="J9" i="15"/>
  <c r="K9" i="15"/>
  <c r="L9" i="15"/>
  <c r="N9" i="15"/>
  <c r="O9" i="15"/>
  <c r="P9" i="15"/>
  <c r="R9" i="15"/>
  <c r="U9" i="15"/>
  <c r="D70" i="15" s="1"/>
  <c r="J10" i="15"/>
  <c r="K10" i="15"/>
  <c r="L10" i="15"/>
  <c r="N10" i="15"/>
  <c r="O10" i="15"/>
  <c r="P10" i="15"/>
  <c r="R10" i="15"/>
  <c r="U10" i="15"/>
  <c r="J11" i="15"/>
  <c r="K11" i="15"/>
  <c r="L11" i="15"/>
  <c r="N11" i="15"/>
  <c r="O11" i="15"/>
  <c r="P11" i="15"/>
  <c r="R11" i="15"/>
  <c r="U11" i="15"/>
  <c r="J12" i="15"/>
  <c r="K12" i="15"/>
  <c r="L12" i="15"/>
  <c r="N12" i="15"/>
  <c r="O12" i="15"/>
  <c r="P12" i="15"/>
  <c r="R12" i="15"/>
  <c r="U12" i="15"/>
  <c r="J13" i="15"/>
  <c r="K13" i="15"/>
  <c r="L13" i="15"/>
  <c r="N13" i="15"/>
  <c r="O13" i="15"/>
  <c r="P13" i="15"/>
  <c r="R13" i="15"/>
  <c r="U13" i="15"/>
  <c r="D78" i="15" s="1"/>
  <c r="J14" i="15"/>
  <c r="K14" i="15"/>
  <c r="L14" i="15"/>
  <c r="N14" i="15"/>
  <c r="O14" i="15"/>
  <c r="P14" i="15"/>
  <c r="R14" i="15"/>
  <c r="U14" i="15"/>
  <c r="J15" i="15"/>
  <c r="K15" i="15"/>
  <c r="L15" i="15"/>
  <c r="N15" i="15"/>
  <c r="O15" i="15"/>
  <c r="P15" i="15"/>
  <c r="R15" i="15"/>
  <c r="U15" i="15"/>
  <c r="J16" i="15"/>
  <c r="K16" i="15"/>
  <c r="L16" i="15"/>
  <c r="N16" i="15"/>
  <c r="O16" i="15"/>
  <c r="P16" i="15"/>
  <c r="U16" i="15"/>
  <c r="J17" i="15"/>
  <c r="K17" i="15"/>
  <c r="L17" i="15"/>
  <c r="N17" i="15"/>
  <c r="O17" i="15"/>
  <c r="P17" i="15"/>
  <c r="R17" i="15"/>
  <c r="U17" i="15"/>
  <c r="J18" i="15"/>
  <c r="K18" i="15"/>
  <c r="L18" i="15"/>
  <c r="N18" i="15"/>
  <c r="O18" i="15"/>
  <c r="P18" i="15"/>
  <c r="R18" i="15"/>
  <c r="U18" i="15"/>
  <c r="J19" i="15"/>
  <c r="K19" i="15"/>
  <c r="L19" i="15"/>
  <c r="N19" i="15"/>
  <c r="O19" i="15"/>
  <c r="P19" i="15"/>
  <c r="R19" i="15"/>
  <c r="U19" i="15"/>
  <c r="J20" i="15"/>
  <c r="K20" i="15"/>
  <c r="L20" i="15"/>
  <c r="N20" i="15"/>
  <c r="O20" i="15"/>
  <c r="P20" i="15"/>
  <c r="R20" i="15"/>
  <c r="U20" i="15"/>
  <c r="J21" i="15"/>
  <c r="K21" i="15"/>
  <c r="L21" i="15"/>
  <c r="N21" i="15"/>
  <c r="O21" i="15"/>
  <c r="P21" i="15"/>
  <c r="R21" i="15"/>
  <c r="U21" i="15"/>
  <c r="J22" i="15"/>
  <c r="K22" i="15"/>
  <c r="L22" i="15"/>
  <c r="N22" i="15"/>
  <c r="O22" i="15"/>
  <c r="P22" i="15"/>
  <c r="R22" i="15"/>
  <c r="U22" i="15"/>
  <c r="J23" i="15"/>
  <c r="K23" i="15"/>
  <c r="L23" i="15"/>
  <c r="N23" i="15"/>
  <c r="O23" i="15"/>
  <c r="P23" i="15"/>
  <c r="R23" i="15"/>
  <c r="U23" i="15"/>
  <c r="J24" i="15"/>
  <c r="K24" i="15"/>
  <c r="L24" i="15"/>
  <c r="N24" i="15"/>
  <c r="O24" i="15"/>
  <c r="P24" i="15"/>
  <c r="R24" i="15"/>
  <c r="U24" i="15"/>
  <c r="J25" i="15"/>
  <c r="K25" i="15"/>
  <c r="L25" i="15"/>
  <c r="N25" i="15"/>
  <c r="O25" i="15"/>
  <c r="P25" i="15"/>
  <c r="R25" i="15"/>
  <c r="U25" i="15"/>
  <c r="J26" i="15"/>
  <c r="K26" i="15"/>
  <c r="L26" i="15"/>
  <c r="N26" i="15"/>
  <c r="O26" i="15"/>
  <c r="P26" i="15"/>
  <c r="R26" i="15"/>
  <c r="U26" i="15"/>
  <c r="J27" i="15"/>
  <c r="K27" i="15"/>
  <c r="L27" i="15"/>
  <c r="N27" i="15"/>
  <c r="O27" i="15"/>
  <c r="P27" i="15"/>
  <c r="R27" i="15"/>
  <c r="U27" i="15"/>
  <c r="J28" i="15"/>
  <c r="K28" i="15"/>
  <c r="L28" i="15"/>
  <c r="N28" i="15"/>
  <c r="O28" i="15"/>
  <c r="P28" i="15"/>
  <c r="R28" i="15"/>
  <c r="U28" i="15"/>
  <c r="J29" i="15"/>
  <c r="K29" i="15"/>
  <c r="L29" i="15"/>
  <c r="N29" i="15"/>
  <c r="O29" i="15"/>
  <c r="P29" i="15"/>
  <c r="R29" i="15"/>
  <c r="U29" i="15"/>
  <c r="J30" i="15"/>
  <c r="K30" i="15"/>
  <c r="L30" i="15"/>
  <c r="N30" i="15"/>
  <c r="O30" i="15"/>
  <c r="P30" i="15"/>
  <c r="R30" i="15"/>
  <c r="U30" i="15"/>
  <c r="J31" i="15"/>
  <c r="K31" i="15"/>
  <c r="L31" i="15"/>
  <c r="N31" i="15"/>
  <c r="O31" i="15"/>
  <c r="P31" i="15"/>
  <c r="R31" i="15"/>
  <c r="U31" i="15"/>
  <c r="J32" i="15"/>
  <c r="K32" i="15"/>
  <c r="L32" i="15"/>
  <c r="N32" i="15"/>
  <c r="O32" i="15"/>
  <c r="P32" i="15"/>
  <c r="R32" i="15"/>
  <c r="U32" i="15"/>
  <c r="J33" i="15"/>
  <c r="K33" i="15"/>
  <c r="L33" i="15"/>
  <c r="N33" i="15"/>
  <c r="O33" i="15"/>
  <c r="P33" i="15"/>
  <c r="R33" i="15"/>
  <c r="U33" i="15"/>
  <c r="J34" i="15"/>
  <c r="K34" i="15"/>
  <c r="L34" i="15"/>
  <c r="N34" i="15"/>
  <c r="O34" i="15"/>
  <c r="P34" i="15"/>
  <c r="R34" i="15"/>
  <c r="U34" i="15"/>
  <c r="J35" i="15"/>
  <c r="K35" i="15"/>
  <c r="L35" i="15"/>
  <c r="N35" i="15"/>
  <c r="O35" i="15"/>
  <c r="P35" i="15"/>
  <c r="R35" i="15"/>
  <c r="U35" i="15"/>
  <c r="J36" i="15"/>
  <c r="K36" i="15"/>
  <c r="L36" i="15"/>
  <c r="N36" i="15"/>
  <c r="O36" i="15"/>
  <c r="P36" i="15"/>
  <c r="R36" i="15"/>
  <c r="U36" i="15"/>
  <c r="J37" i="15"/>
  <c r="K37" i="15"/>
  <c r="L37" i="15"/>
  <c r="N37" i="15"/>
  <c r="O37" i="15"/>
  <c r="P37" i="15"/>
  <c r="R37" i="15"/>
  <c r="U37" i="15"/>
  <c r="J38" i="15"/>
  <c r="K38" i="15"/>
  <c r="L38" i="15"/>
  <c r="N38" i="15"/>
  <c r="O38" i="15"/>
  <c r="P38" i="15"/>
  <c r="R38" i="15"/>
  <c r="U38" i="15"/>
  <c r="J39" i="15"/>
  <c r="K39" i="15"/>
  <c r="L39" i="15"/>
  <c r="N39" i="15"/>
  <c r="O39" i="15"/>
  <c r="P39" i="15"/>
  <c r="R39" i="15"/>
  <c r="U39" i="15"/>
  <c r="J40" i="15"/>
  <c r="K40" i="15"/>
  <c r="L40" i="15"/>
  <c r="N40" i="15"/>
  <c r="O40" i="15"/>
  <c r="P40" i="15"/>
  <c r="R40" i="15"/>
  <c r="U40" i="15"/>
  <c r="J41" i="15"/>
  <c r="K41" i="15"/>
  <c r="L41" i="15"/>
  <c r="N41" i="15"/>
  <c r="O41" i="15"/>
  <c r="P41" i="15"/>
  <c r="R41" i="15"/>
  <c r="U41" i="15"/>
  <c r="J42" i="15"/>
  <c r="K42" i="15"/>
  <c r="L42" i="15"/>
  <c r="N42" i="15"/>
  <c r="O42" i="15"/>
  <c r="P42" i="15"/>
  <c r="R42" i="15"/>
  <c r="U42" i="15"/>
  <c r="J43" i="15"/>
  <c r="K43" i="15"/>
  <c r="L43" i="15"/>
  <c r="N43" i="15"/>
  <c r="O43" i="15"/>
  <c r="P43" i="15"/>
  <c r="R43" i="15"/>
  <c r="U43" i="15"/>
  <c r="J44" i="15"/>
  <c r="K44" i="15"/>
  <c r="L44" i="15"/>
  <c r="N44" i="15"/>
  <c r="O44" i="15"/>
  <c r="P44" i="15"/>
  <c r="R44" i="15"/>
  <c r="U44" i="15"/>
  <c r="C45" i="15"/>
  <c r="C51" i="15"/>
  <c r="D51" i="15"/>
  <c r="C52" i="15"/>
  <c r="D52" i="15"/>
  <c r="C53" i="15"/>
  <c r="D53" i="15"/>
  <c r="C54" i="15"/>
  <c r="D54" i="15"/>
  <c r="C55" i="15"/>
  <c r="C56" i="15"/>
  <c r="C57" i="15"/>
  <c r="D57" i="15"/>
  <c r="C58" i="15"/>
  <c r="D58" i="15"/>
  <c r="C59" i="15"/>
  <c r="D59" i="15"/>
  <c r="C60" i="15"/>
  <c r="D60" i="15"/>
  <c r="C61" i="15"/>
  <c r="D61" i="15"/>
  <c r="C62" i="15"/>
  <c r="C63" i="15"/>
  <c r="D63" i="15"/>
  <c r="C64" i="15"/>
  <c r="D64" i="15"/>
  <c r="C65" i="15"/>
  <c r="D65" i="15"/>
  <c r="C66" i="15"/>
  <c r="D66" i="15"/>
  <c r="C67" i="15"/>
  <c r="D67" i="15"/>
  <c r="C68" i="15"/>
  <c r="D68" i="15"/>
  <c r="C69" i="15"/>
  <c r="C70" i="15"/>
  <c r="C71" i="15"/>
  <c r="D71" i="15"/>
  <c r="C72" i="15"/>
  <c r="D72" i="15"/>
  <c r="C73" i="15"/>
  <c r="D73" i="15"/>
  <c r="C74" i="15"/>
  <c r="D74" i="15"/>
  <c r="C75" i="15"/>
  <c r="C76" i="15"/>
  <c r="D76" i="15"/>
  <c r="C77" i="15"/>
  <c r="D77" i="15"/>
  <c r="C78" i="15"/>
  <c r="C79" i="15"/>
  <c r="D79" i="15"/>
  <c r="J6" i="16"/>
  <c r="K6" i="16"/>
  <c r="L6" i="16"/>
  <c r="N6" i="16"/>
  <c r="O6" i="16"/>
  <c r="P6" i="16"/>
  <c r="R6" i="16"/>
  <c r="U6" i="16"/>
  <c r="D60" i="16" s="1"/>
  <c r="J7" i="16"/>
  <c r="K7" i="16"/>
  <c r="L7" i="16"/>
  <c r="N7" i="16"/>
  <c r="O7" i="16"/>
  <c r="P7" i="16"/>
  <c r="R7" i="16"/>
  <c r="U7" i="16"/>
  <c r="J8" i="16"/>
  <c r="K8" i="16"/>
  <c r="L8" i="16"/>
  <c r="N8" i="16"/>
  <c r="O8" i="16"/>
  <c r="P8" i="16"/>
  <c r="R8" i="16"/>
  <c r="U8" i="16"/>
  <c r="J9" i="16"/>
  <c r="K9" i="16"/>
  <c r="L9" i="16"/>
  <c r="N9" i="16"/>
  <c r="O9" i="16"/>
  <c r="P9" i="16"/>
  <c r="R9" i="16"/>
  <c r="U9" i="16"/>
  <c r="J10" i="16"/>
  <c r="K10" i="16"/>
  <c r="L10" i="16"/>
  <c r="N10" i="16"/>
  <c r="O10" i="16"/>
  <c r="P10" i="16"/>
  <c r="R10" i="16"/>
  <c r="U10" i="16"/>
  <c r="J11" i="16"/>
  <c r="K11" i="16"/>
  <c r="L11" i="16"/>
  <c r="N11" i="16"/>
  <c r="O11" i="16"/>
  <c r="P11" i="16"/>
  <c r="R11" i="16"/>
  <c r="U11" i="16"/>
  <c r="J12" i="16"/>
  <c r="K12" i="16"/>
  <c r="L12" i="16"/>
  <c r="N12" i="16"/>
  <c r="O12" i="16"/>
  <c r="P12" i="16"/>
  <c r="R12" i="16"/>
  <c r="U12" i="16"/>
  <c r="J13" i="16"/>
  <c r="K13" i="16"/>
  <c r="L13" i="16"/>
  <c r="N13" i="16"/>
  <c r="O13" i="16"/>
  <c r="P13" i="16"/>
  <c r="R13" i="16"/>
  <c r="U13" i="16"/>
  <c r="J14" i="16"/>
  <c r="K14" i="16"/>
  <c r="L14" i="16"/>
  <c r="N14" i="16"/>
  <c r="O14" i="16"/>
  <c r="P14" i="16"/>
  <c r="R14" i="16"/>
  <c r="U14" i="16"/>
  <c r="J15" i="16"/>
  <c r="K15" i="16"/>
  <c r="L15" i="16"/>
  <c r="N15" i="16"/>
  <c r="O15" i="16"/>
  <c r="P15" i="16"/>
  <c r="R15" i="16"/>
  <c r="U15" i="16"/>
  <c r="J16" i="16"/>
  <c r="K16" i="16"/>
  <c r="L16" i="16"/>
  <c r="N16" i="16"/>
  <c r="O16" i="16"/>
  <c r="P16" i="16"/>
  <c r="U16" i="16"/>
  <c r="J17" i="16"/>
  <c r="K17" i="16"/>
  <c r="L17" i="16"/>
  <c r="N17" i="16"/>
  <c r="O17" i="16"/>
  <c r="P17" i="16"/>
  <c r="R17" i="16"/>
  <c r="U17" i="16"/>
  <c r="J18" i="16"/>
  <c r="K18" i="16"/>
  <c r="L18" i="16"/>
  <c r="N18" i="16"/>
  <c r="O18" i="16"/>
  <c r="P18" i="16"/>
  <c r="R18" i="16"/>
  <c r="U18" i="16"/>
  <c r="J19" i="16"/>
  <c r="K19" i="16"/>
  <c r="L19" i="16"/>
  <c r="N19" i="16"/>
  <c r="O19" i="16"/>
  <c r="P19" i="16"/>
  <c r="R19" i="16"/>
  <c r="U19" i="16"/>
  <c r="J20" i="16"/>
  <c r="K20" i="16"/>
  <c r="L20" i="16"/>
  <c r="N20" i="16"/>
  <c r="O20" i="16"/>
  <c r="P20" i="16"/>
  <c r="R20" i="16"/>
  <c r="U20" i="16"/>
  <c r="J21" i="16"/>
  <c r="K21" i="16"/>
  <c r="L21" i="16"/>
  <c r="N21" i="16"/>
  <c r="O21" i="16"/>
  <c r="P21" i="16"/>
  <c r="R21" i="16"/>
  <c r="U21" i="16"/>
  <c r="J22" i="16"/>
  <c r="K22" i="16"/>
  <c r="L22" i="16"/>
  <c r="N22" i="16"/>
  <c r="O22" i="16"/>
  <c r="P22" i="16"/>
  <c r="R22" i="16"/>
  <c r="U22" i="16"/>
  <c r="J23" i="16"/>
  <c r="K23" i="16"/>
  <c r="L23" i="16"/>
  <c r="N23" i="16"/>
  <c r="O23" i="16"/>
  <c r="P23" i="16"/>
  <c r="R23" i="16"/>
  <c r="U23" i="16"/>
  <c r="J24" i="16"/>
  <c r="K24" i="16"/>
  <c r="L24" i="16"/>
  <c r="N24" i="16"/>
  <c r="O24" i="16"/>
  <c r="P24" i="16"/>
  <c r="R24" i="16"/>
  <c r="U24" i="16"/>
  <c r="J25" i="16"/>
  <c r="K25" i="16"/>
  <c r="L25" i="16"/>
  <c r="N25" i="16"/>
  <c r="O25" i="16"/>
  <c r="P25" i="16"/>
  <c r="R25" i="16"/>
  <c r="U25" i="16"/>
  <c r="J26" i="16"/>
  <c r="K26" i="16"/>
  <c r="L26" i="16"/>
  <c r="N26" i="16"/>
  <c r="O26" i="16"/>
  <c r="P26" i="16"/>
  <c r="R26" i="16"/>
  <c r="U26" i="16"/>
  <c r="J27" i="16"/>
  <c r="K27" i="16"/>
  <c r="L27" i="16"/>
  <c r="N27" i="16"/>
  <c r="O27" i="16"/>
  <c r="P27" i="16"/>
  <c r="R27" i="16"/>
  <c r="U27" i="16"/>
  <c r="J28" i="16"/>
  <c r="K28" i="16"/>
  <c r="L28" i="16"/>
  <c r="N28" i="16"/>
  <c r="O28" i="16"/>
  <c r="P28" i="16"/>
  <c r="R28" i="16"/>
  <c r="U28" i="16"/>
  <c r="J29" i="16"/>
  <c r="K29" i="16"/>
  <c r="L29" i="16"/>
  <c r="N29" i="16"/>
  <c r="O29" i="16"/>
  <c r="P29" i="16"/>
  <c r="R29" i="16"/>
  <c r="U29" i="16"/>
  <c r="J30" i="16"/>
  <c r="K30" i="16"/>
  <c r="L30" i="16"/>
  <c r="N30" i="16"/>
  <c r="O30" i="16"/>
  <c r="P30" i="16"/>
  <c r="R30" i="16"/>
  <c r="U30" i="16"/>
  <c r="J31" i="16"/>
  <c r="K31" i="16"/>
  <c r="L31" i="16"/>
  <c r="N31" i="16"/>
  <c r="O31" i="16"/>
  <c r="P31" i="16"/>
  <c r="R31" i="16"/>
  <c r="U31" i="16"/>
  <c r="J32" i="16"/>
  <c r="K32" i="16"/>
  <c r="L32" i="16"/>
  <c r="N32" i="16"/>
  <c r="O32" i="16"/>
  <c r="P32" i="16"/>
  <c r="R32" i="16"/>
  <c r="U32" i="16"/>
  <c r="J33" i="16"/>
  <c r="K33" i="16"/>
  <c r="L33" i="16"/>
  <c r="N33" i="16"/>
  <c r="O33" i="16"/>
  <c r="P33" i="16"/>
  <c r="R33" i="16"/>
  <c r="U33" i="16"/>
  <c r="J34" i="16"/>
  <c r="K34" i="16"/>
  <c r="L34" i="16"/>
  <c r="N34" i="16"/>
  <c r="O34" i="16"/>
  <c r="P34" i="16"/>
  <c r="R34" i="16"/>
  <c r="U34" i="16"/>
  <c r="J35" i="16"/>
  <c r="K35" i="16"/>
  <c r="L35" i="16"/>
  <c r="N35" i="16"/>
  <c r="O35" i="16"/>
  <c r="P35" i="16"/>
  <c r="R35" i="16"/>
  <c r="U35" i="16"/>
  <c r="J36" i="16"/>
  <c r="K36" i="16"/>
  <c r="L36" i="16"/>
  <c r="N36" i="16"/>
  <c r="O36" i="16"/>
  <c r="P36" i="16"/>
  <c r="R36" i="16"/>
  <c r="U36" i="16"/>
  <c r="J37" i="16"/>
  <c r="K37" i="16"/>
  <c r="L37" i="16"/>
  <c r="N37" i="16"/>
  <c r="O37" i="16"/>
  <c r="P37" i="16"/>
  <c r="R37" i="16"/>
  <c r="U37" i="16"/>
  <c r="J38" i="16"/>
  <c r="K38" i="16"/>
  <c r="L38" i="16"/>
  <c r="N38" i="16"/>
  <c r="O38" i="16"/>
  <c r="P38" i="16"/>
  <c r="R38" i="16"/>
  <c r="U38" i="16"/>
  <c r="J39" i="16"/>
  <c r="K39" i="16"/>
  <c r="L39" i="16"/>
  <c r="N39" i="16"/>
  <c r="O39" i="16"/>
  <c r="P39" i="16"/>
  <c r="R39" i="16"/>
  <c r="U39" i="16"/>
  <c r="J40" i="16"/>
  <c r="K40" i="16"/>
  <c r="L40" i="16"/>
  <c r="N40" i="16"/>
  <c r="O40" i="16"/>
  <c r="P40" i="16"/>
  <c r="R40" i="16"/>
  <c r="U40" i="16"/>
  <c r="J41" i="16"/>
  <c r="K41" i="16"/>
  <c r="L41" i="16"/>
  <c r="N41" i="16"/>
  <c r="O41" i="16"/>
  <c r="P41" i="16"/>
  <c r="R41" i="16"/>
  <c r="U41" i="16"/>
  <c r="J42" i="16"/>
  <c r="K42" i="16"/>
  <c r="L42" i="16"/>
  <c r="N42" i="16"/>
  <c r="O42" i="16"/>
  <c r="P42" i="16"/>
  <c r="R42" i="16"/>
  <c r="U42" i="16"/>
  <c r="J43" i="16"/>
  <c r="K43" i="16"/>
  <c r="L43" i="16"/>
  <c r="N43" i="16"/>
  <c r="O43" i="16"/>
  <c r="P43" i="16"/>
  <c r="R43" i="16"/>
  <c r="U43" i="16"/>
  <c r="J44" i="16"/>
  <c r="K44" i="16"/>
  <c r="L44" i="16"/>
  <c r="N44" i="16"/>
  <c r="O44" i="16"/>
  <c r="P44" i="16"/>
  <c r="R44" i="16"/>
  <c r="U44" i="16"/>
  <c r="J45" i="16"/>
  <c r="K45" i="16"/>
  <c r="L45" i="16"/>
  <c r="N45" i="16"/>
  <c r="O45" i="16"/>
  <c r="P45" i="16"/>
  <c r="R45" i="16"/>
  <c r="U45" i="16"/>
  <c r="J46" i="16"/>
  <c r="K46" i="16"/>
  <c r="L46" i="16"/>
  <c r="N46" i="16"/>
  <c r="O46" i="16"/>
  <c r="P46" i="16"/>
  <c r="R46" i="16"/>
  <c r="U46" i="16"/>
  <c r="J47" i="16"/>
  <c r="K47" i="16"/>
  <c r="L47" i="16"/>
  <c r="N47" i="16"/>
  <c r="O47" i="16"/>
  <c r="P47" i="16"/>
  <c r="R47" i="16"/>
  <c r="U47" i="16"/>
  <c r="J48" i="16"/>
  <c r="K48" i="16"/>
  <c r="L48" i="16"/>
  <c r="N48" i="16"/>
  <c r="O48" i="16"/>
  <c r="P48" i="16"/>
  <c r="R48" i="16"/>
  <c r="U48" i="16"/>
  <c r="J49" i="16"/>
  <c r="K49" i="16"/>
  <c r="L49" i="16"/>
  <c r="N49" i="16"/>
  <c r="O49" i="16"/>
  <c r="P49" i="16"/>
  <c r="R49" i="16"/>
  <c r="U49" i="16"/>
  <c r="J50" i="16"/>
  <c r="K50" i="16"/>
  <c r="L50" i="16"/>
  <c r="N50" i="16"/>
  <c r="O50" i="16"/>
  <c r="P50" i="16"/>
  <c r="R50" i="16"/>
  <c r="U50" i="16"/>
  <c r="J51" i="16"/>
  <c r="K51" i="16"/>
  <c r="L51" i="16"/>
  <c r="N51" i="16"/>
  <c r="O51" i="16"/>
  <c r="P51" i="16"/>
  <c r="R51" i="16"/>
  <c r="U51" i="16"/>
  <c r="C52" i="16"/>
  <c r="C58" i="16"/>
  <c r="D58" i="16"/>
  <c r="C59" i="16"/>
  <c r="D59" i="16"/>
  <c r="C60" i="16"/>
  <c r="C61" i="16"/>
  <c r="D61" i="16"/>
  <c r="C62" i="16"/>
  <c r="D62" i="16"/>
  <c r="C63" i="16"/>
  <c r="D63" i="16"/>
  <c r="C64" i="16"/>
  <c r="D64" i="16"/>
  <c r="C65" i="16"/>
  <c r="D65" i="16"/>
  <c r="C66" i="16"/>
  <c r="D66" i="16"/>
  <c r="C67" i="16"/>
  <c r="D67" i="16"/>
  <c r="C68" i="16"/>
  <c r="D68" i="16"/>
  <c r="C69" i="16"/>
  <c r="D69" i="16"/>
  <c r="C70" i="16"/>
  <c r="D70" i="16"/>
  <c r="C71" i="16"/>
  <c r="D71" i="16"/>
  <c r="C72" i="16"/>
  <c r="D72" i="16"/>
  <c r="C73" i="16"/>
  <c r="D73" i="16"/>
  <c r="C74" i="16"/>
  <c r="D74" i="16"/>
  <c r="C75" i="16"/>
  <c r="D75" i="16"/>
  <c r="C76" i="16"/>
  <c r="C77" i="16"/>
  <c r="D77" i="16"/>
  <c r="C78" i="16"/>
  <c r="D78" i="16"/>
  <c r="C79" i="16"/>
  <c r="D79" i="16"/>
  <c r="C80" i="16"/>
  <c r="D80" i="16"/>
  <c r="C81" i="16"/>
  <c r="D81" i="16"/>
  <c r="C82" i="16"/>
  <c r="D82" i="16"/>
  <c r="C83" i="16"/>
  <c r="D83" i="16"/>
  <c r="C84" i="16"/>
  <c r="D84" i="16"/>
  <c r="C85" i="16"/>
  <c r="D85" i="16"/>
  <c r="C86" i="16"/>
  <c r="D86" i="16"/>
  <c r="C30" i="17"/>
  <c r="C6" i="17"/>
  <c r="B12" i="17"/>
  <c r="B33" i="17"/>
  <c r="B37" i="17"/>
  <c r="C14" i="17"/>
  <c r="B13" i="17"/>
  <c r="C16" i="17"/>
  <c r="B32" i="17"/>
  <c r="B17" i="17"/>
  <c r="B31" i="17"/>
  <c r="B6" i="17"/>
  <c r="C31" i="17"/>
  <c r="B30" i="17"/>
  <c r="B23" i="17"/>
  <c r="B11" i="17"/>
  <c r="B29" i="17"/>
  <c r="C27" i="17"/>
  <c r="C32" i="17"/>
  <c r="C33" i="17"/>
  <c r="C9" i="17"/>
  <c r="B25" i="17"/>
  <c r="C10" i="17"/>
  <c r="B28" i="17"/>
  <c r="B27" i="17"/>
  <c r="C28" i="17"/>
  <c r="C11" i="17"/>
  <c r="C22" i="17"/>
  <c r="C12" i="17"/>
  <c r="B22" i="17"/>
  <c r="C15" i="17"/>
  <c r="B15" i="17"/>
  <c r="B26" i="17"/>
  <c r="B14" i="17"/>
  <c r="B16" i="17"/>
  <c r="C17" i="17"/>
  <c r="B8" i="17"/>
  <c r="B7" i="17"/>
  <c r="C24" i="17"/>
  <c r="C13" i="17"/>
  <c r="B10" i="17"/>
  <c r="C25" i="17"/>
  <c r="C23" i="17"/>
  <c r="C8" i="17"/>
  <c r="D2919" i="2"/>
  <c r="J58" i="19" l="1"/>
  <c r="B20" i="18"/>
  <c r="B47" i="18" s="1"/>
  <c r="C20" i="18"/>
  <c r="C47" i="18" s="1"/>
  <c r="H2894" i="2"/>
  <c r="H2885" i="2"/>
  <c r="H2890" i="2"/>
  <c r="D2902" i="2"/>
  <c r="H2902" i="2"/>
  <c r="H2878" i="2"/>
  <c r="D2878" i="2"/>
  <c r="D2885" i="2"/>
  <c r="D2890" i="2"/>
  <c r="D2894" i="2"/>
  <c r="D2900" i="2"/>
  <c r="D2926" i="2"/>
  <c r="C39" i="4"/>
  <c r="C40" i="4" s="1"/>
  <c r="M2854" i="2"/>
  <c r="C63" i="19"/>
  <c r="F46" i="19"/>
  <c r="F34" i="19"/>
  <c r="F22" i="19"/>
  <c r="F10" i="19"/>
  <c r="F57" i="19"/>
  <c r="F45" i="19"/>
  <c r="F33" i="19"/>
  <c r="F21" i="19"/>
  <c r="F9" i="19"/>
  <c r="F55" i="19"/>
  <c r="F43" i="19"/>
  <c r="F31" i="19"/>
  <c r="F19" i="19"/>
  <c r="F7" i="19"/>
  <c r="F54" i="19"/>
  <c r="F42" i="19"/>
  <c r="F30" i="19"/>
  <c r="F18" i="19"/>
  <c r="F6" i="19"/>
  <c r="F32" i="19"/>
  <c r="F53" i="19"/>
  <c r="F41" i="19"/>
  <c r="F29" i="19"/>
  <c r="F17" i="19"/>
  <c r="F5" i="19"/>
  <c r="F52" i="19"/>
  <c r="F40" i="19"/>
  <c r="F28" i="19"/>
  <c r="F16" i="19"/>
  <c r="F51" i="19"/>
  <c r="F39" i="19"/>
  <c r="F27" i="19"/>
  <c r="F15" i="19"/>
  <c r="F56" i="19"/>
  <c r="F44" i="19"/>
  <c r="F8" i="19"/>
  <c r="F50" i="19"/>
  <c r="F38" i="19"/>
  <c r="F26" i="19"/>
  <c r="F14" i="19"/>
  <c r="F49" i="19"/>
  <c r="F37" i="19"/>
  <c r="F25" i="19"/>
  <c r="F13" i="19"/>
  <c r="F48" i="19"/>
  <c r="F36" i="19"/>
  <c r="F24" i="19"/>
  <c r="F12" i="19"/>
  <c r="F20" i="19"/>
  <c r="F47" i="19"/>
  <c r="F35" i="19"/>
  <c r="F23" i="19"/>
  <c r="F11" i="19"/>
  <c r="C34" i="11"/>
  <c r="C36" i="11" s="1"/>
  <c r="D2925" i="2"/>
  <c r="C26" i="11"/>
  <c r="C27" i="11"/>
  <c r="C28" i="11" s="1"/>
  <c r="R56" i="3"/>
  <c r="Q62" i="3" s="1"/>
  <c r="Q63" i="3" s="1"/>
  <c r="Q64" i="3" s="1"/>
  <c r="C2914" i="2"/>
  <c r="C42" i="4"/>
  <c r="U52" i="12"/>
  <c r="D49" i="4"/>
  <c r="D76" i="16"/>
  <c r="D88" i="16" s="1"/>
  <c r="D69" i="15"/>
  <c r="D55" i="15"/>
  <c r="D56" i="15"/>
  <c r="C81" i="15"/>
  <c r="C88" i="14"/>
  <c r="C88" i="12"/>
  <c r="D62" i="15"/>
  <c r="C88" i="16"/>
  <c r="D75" i="15"/>
  <c r="C88" i="13"/>
  <c r="U52" i="13"/>
  <c r="B34" i="11"/>
  <c r="B36" i="11" s="1"/>
  <c r="C49" i="4"/>
  <c r="Q69" i="3"/>
  <c r="Q71" i="3" s="1"/>
  <c r="R7" i="3"/>
  <c r="D7" i="11" s="1"/>
  <c r="D34" i="11" s="1"/>
  <c r="D36" i="11" s="1"/>
  <c r="Q61" i="3"/>
  <c r="D2920" i="2"/>
  <c r="B48" i="19"/>
  <c r="D2924" i="2"/>
  <c r="B11" i="19"/>
  <c r="B44" i="19"/>
  <c r="B19" i="19"/>
  <c r="B40" i="19"/>
  <c r="B39" i="19"/>
  <c r="P69" i="3"/>
  <c r="P71" i="3" s="1"/>
  <c r="B34" i="19"/>
  <c r="B56" i="19"/>
  <c r="B53" i="19"/>
  <c r="B22" i="19"/>
  <c r="B38" i="19"/>
  <c r="B14" i="19"/>
  <c r="B13" i="19"/>
  <c r="B12" i="19"/>
  <c r="B36" i="19"/>
  <c r="B55" i="19"/>
  <c r="B35" i="19"/>
  <c r="B21" i="19"/>
  <c r="B29" i="19"/>
  <c r="B46" i="19"/>
  <c r="B32" i="19"/>
  <c r="B47" i="19"/>
  <c r="B52" i="19"/>
  <c r="B16" i="19"/>
  <c r="B18" i="19"/>
  <c r="D2921" i="2"/>
  <c r="C37" i="17"/>
  <c r="B24" i="19"/>
  <c r="C50" i="18"/>
  <c r="B7" i="19"/>
  <c r="B30" i="19"/>
  <c r="D2923" i="2"/>
  <c r="B50" i="19"/>
  <c r="B9" i="19"/>
  <c r="B17" i="19"/>
  <c r="B51" i="19"/>
  <c r="B25" i="19"/>
  <c r="B6" i="19"/>
  <c r="B49" i="19"/>
  <c r="B8" i="19"/>
  <c r="B54" i="19"/>
  <c r="B33" i="19"/>
  <c r="B37" i="19"/>
  <c r="B41" i="19"/>
  <c r="B57" i="19"/>
  <c r="B28" i="19"/>
  <c r="B5" i="19"/>
  <c r="B45" i="19"/>
  <c r="B15" i="19"/>
  <c r="B26" i="19"/>
  <c r="B10" i="19"/>
  <c r="B20" i="19"/>
  <c r="B31" i="19"/>
  <c r="B43" i="19"/>
  <c r="B42" i="19"/>
  <c r="B27" i="19"/>
  <c r="C2909" i="2"/>
  <c r="C2912" i="2"/>
  <c r="B23" i="19"/>
  <c r="B34" i="17"/>
  <c r="B18" i="17"/>
  <c r="M12" i="12"/>
  <c r="M10" i="13"/>
  <c r="Q30" i="12"/>
  <c r="Q21" i="12"/>
  <c r="Q18" i="12"/>
  <c r="W31" i="3"/>
  <c r="D88" i="14"/>
  <c r="U45" i="15"/>
  <c r="U52" i="14"/>
  <c r="M28" i="13"/>
  <c r="M25" i="13"/>
  <c r="D88" i="12"/>
  <c r="M35" i="12"/>
  <c r="M23" i="12"/>
  <c r="M20" i="12"/>
  <c r="M17" i="12"/>
  <c r="Q15" i="12"/>
  <c r="M14" i="12"/>
  <c r="Q12" i="12"/>
  <c r="M8" i="12"/>
  <c r="Q6" i="12"/>
  <c r="M15" i="14"/>
  <c r="M12" i="14"/>
  <c r="M49" i="13"/>
  <c r="Q11" i="13"/>
  <c r="Q8" i="13"/>
  <c r="Q36" i="12"/>
  <c r="U52" i="16"/>
  <c r="Q7" i="12"/>
  <c r="C34" i="17"/>
  <c r="D88" i="13"/>
  <c r="Q51" i="12"/>
  <c r="C18" i="17"/>
  <c r="M21" i="14"/>
  <c r="Q19" i="14"/>
  <c r="Q16" i="14"/>
  <c r="Q13" i="14"/>
  <c r="Q10" i="14"/>
  <c r="Q7" i="14"/>
  <c r="M6" i="14"/>
  <c r="Q41" i="13"/>
  <c r="Q38" i="13"/>
  <c r="Q35" i="13"/>
  <c r="Q32" i="13"/>
  <c r="Q26" i="12"/>
  <c r="M11" i="12"/>
  <c r="M7" i="14"/>
  <c r="M44" i="13"/>
  <c r="M23" i="13"/>
  <c r="M17" i="13"/>
  <c r="Q15" i="13"/>
  <c r="Q9" i="13"/>
  <c r="Q49" i="12"/>
  <c r="Q40" i="12"/>
  <c r="Q37" i="12"/>
  <c r="Q28" i="12"/>
  <c r="Q22" i="12"/>
  <c r="Q19" i="12"/>
  <c r="M16" i="12"/>
  <c r="Q17" i="12"/>
  <c r="Q11" i="12"/>
  <c r="M29" i="13"/>
  <c r="M26" i="13"/>
  <c r="M30" i="13"/>
  <c r="Q32" i="12"/>
  <c r="Q27" i="14"/>
  <c r="Q24" i="14"/>
  <c r="Q21" i="14"/>
  <c r="Q18" i="14"/>
  <c r="Q6" i="14"/>
  <c r="M16" i="13"/>
  <c r="M47" i="12"/>
  <c r="M32" i="12"/>
  <c r="M29" i="12"/>
  <c r="Q45" i="14"/>
  <c r="M19" i="13"/>
  <c r="Q14" i="13"/>
  <c r="Q48" i="12"/>
  <c r="Q45" i="12"/>
  <c r="Q42" i="12"/>
  <c r="Q39" i="12"/>
  <c r="M9" i="14"/>
  <c r="Q26" i="13"/>
  <c r="Q23" i="13"/>
  <c r="Q20" i="13"/>
  <c r="Q49" i="16"/>
  <c r="M45" i="16"/>
  <c r="M42" i="16"/>
  <c r="M33" i="16"/>
  <c r="M24" i="16"/>
  <c r="M21" i="16"/>
  <c r="M18" i="16"/>
  <c r="Q16" i="16"/>
  <c r="Q10" i="16"/>
  <c r="M44" i="15"/>
  <c r="M38" i="15"/>
  <c r="M26" i="15"/>
  <c r="M20" i="15"/>
  <c r="M51" i="14"/>
  <c r="M45" i="14"/>
  <c r="M39" i="14"/>
  <c r="M36" i="14"/>
  <c r="M30" i="14"/>
  <c r="Q28" i="14"/>
  <c r="M27" i="14"/>
  <c r="M24" i="14"/>
  <c r="Q22" i="14"/>
  <c r="M2931" i="2"/>
  <c r="M9" i="12"/>
  <c r="H2931" i="2"/>
  <c r="I2931" i="2"/>
  <c r="L2931" i="2"/>
  <c r="Q16" i="12"/>
  <c r="M13" i="12"/>
  <c r="M7" i="12"/>
  <c r="Q32" i="16"/>
  <c r="Q46" i="16"/>
  <c r="Q43" i="16"/>
  <c r="Q40" i="16"/>
  <c r="Q31" i="16"/>
  <c r="Q22" i="16"/>
  <c r="Q7" i="16"/>
  <c r="Q39" i="15"/>
  <c r="Q33" i="15"/>
  <c r="Q30" i="15"/>
  <c r="Q24" i="15"/>
  <c r="Q21" i="15"/>
  <c r="M42" i="12"/>
  <c r="M21" i="12"/>
  <c r="M18" i="12"/>
  <c r="Q13" i="12"/>
  <c r="M34" i="16"/>
  <c r="Q22" i="13"/>
  <c r="Q16" i="13"/>
  <c r="Q10" i="13"/>
  <c r="Q7" i="13"/>
  <c r="Q47" i="12"/>
  <c r="Q29" i="12"/>
  <c r="M19" i="12"/>
  <c r="Q14" i="12"/>
  <c r="Q8" i="12"/>
  <c r="M48" i="13"/>
  <c r="Q33" i="12"/>
  <c r="Q27" i="12"/>
  <c r="M49" i="16"/>
  <c r="Q17" i="16"/>
  <c r="Q11" i="16"/>
  <c r="M33" i="15"/>
  <c r="M18" i="15"/>
  <c r="M28" i="15"/>
  <c r="M17" i="14"/>
  <c r="M43" i="13"/>
  <c r="M22" i="13"/>
  <c r="M7" i="16"/>
  <c r="M36" i="15"/>
  <c r="M27" i="15"/>
  <c r="M24" i="15"/>
  <c r="Q16" i="15"/>
  <c r="Q9" i="15"/>
  <c r="Q47" i="14"/>
  <c r="Q31" i="12"/>
  <c r="Q42" i="15"/>
  <c r="M16" i="14"/>
  <c r="M13" i="14"/>
  <c r="M10" i="14"/>
  <c r="M50" i="13"/>
  <c r="M41" i="13"/>
  <c r="M38" i="13"/>
  <c r="Q23" i="16"/>
  <c r="M20" i="16"/>
  <c r="M17" i="16"/>
  <c r="Q15" i="16"/>
  <c r="Q12" i="16"/>
  <c r="M11" i="14"/>
  <c r="M8" i="14"/>
  <c r="Q38" i="12"/>
  <c r="Q47" i="16"/>
  <c r="Q34" i="15"/>
  <c r="M50" i="14"/>
  <c r="M41" i="14"/>
  <c r="M38" i="14"/>
  <c r="M35" i="14"/>
  <c r="M32" i="14"/>
  <c r="Q30" i="14"/>
  <c r="M29" i="14"/>
  <c r="M26" i="14"/>
  <c r="M23" i="14"/>
  <c r="Q15" i="14"/>
  <c r="Q12" i="14"/>
  <c r="Q9" i="14"/>
  <c r="Q46" i="13"/>
  <c r="Q43" i="13"/>
  <c r="Q40" i="13"/>
  <c r="Q37" i="13"/>
  <c r="Q34" i="13"/>
  <c r="Q31" i="13"/>
  <c r="Q28" i="13"/>
  <c r="Q19" i="13"/>
  <c r="M40" i="13"/>
  <c r="M37" i="13"/>
  <c r="M34" i="13"/>
  <c r="M50" i="12"/>
  <c r="M41" i="12"/>
  <c r="Q44" i="16"/>
  <c r="M19" i="15"/>
  <c r="M13" i="15"/>
  <c r="M31" i="15"/>
  <c r="M47" i="14"/>
  <c r="M15" i="15"/>
  <c r="Q12" i="15"/>
  <c r="M35" i="13"/>
  <c r="M32" i="13"/>
  <c r="M20" i="13"/>
  <c r="Q12" i="13"/>
  <c r="M11" i="13"/>
  <c r="Q6" i="13"/>
  <c r="Q46" i="12"/>
  <c r="M45" i="12"/>
  <c r="Q43" i="12"/>
  <c r="Q25" i="12"/>
  <c r="Q34" i="12"/>
  <c r="Q25" i="16"/>
  <c r="Q31" i="14"/>
  <c r="Q25" i="14"/>
  <c r="M36" i="12"/>
  <c r="M33" i="12"/>
  <c r="M27" i="12"/>
  <c r="M24" i="12"/>
  <c r="M14" i="13"/>
  <c r="M8" i="13"/>
  <c r="M46" i="16"/>
  <c r="M43" i="16"/>
  <c r="M37" i="16"/>
  <c r="M31" i="16"/>
  <c r="M28" i="16"/>
  <c r="Q26" i="16"/>
  <c r="M25" i="16"/>
  <c r="M22" i="16"/>
  <c r="Q6" i="15"/>
  <c r="M47" i="13"/>
  <c r="Q31" i="15"/>
  <c r="Q28" i="15"/>
  <c r="Q25" i="15"/>
  <c r="Q22" i="15"/>
  <c r="Q19" i="15"/>
  <c r="M12" i="15"/>
  <c r="Q29" i="16"/>
  <c r="M51" i="13"/>
  <c r="M39" i="13"/>
  <c r="M36" i="13"/>
  <c r="M14" i="16"/>
  <c r="M11" i="16"/>
  <c r="Q9" i="16"/>
  <c r="M8" i="16"/>
  <c r="C2931" i="2"/>
  <c r="Q44" i="15"/>
  <c r="Q38" i="15"/>
  <c r="Q29" i="15"/>
  <c r="Q23" i="15"/>
  <c r="Q17" i="15"/>
  <c r="Q14" i="15"/>
  <c r="M13" i="13"/>
  <c r="M7" i="13"/>
  <c r="M26" i="12"/>
  <c r="Q9" i="12"/>
  <c r="Q41" i="15"/>
  <c r="Q35" i="15"/>
  <c r="Q32" i="15"/>
  <c r="Q26" i="15"/>
  <c r="Q20" i="15"/>
  <c r="M44" i="12"/>
  <c r="M38" i="12"/>
  <c r="Q37" i="16"/>
  <c r="Q34" i="16"/>
  <c r="Q28" i="16"/>
  <c r="Q19" i="16"/>
  <c r="Q36" i="15"/>
  <c r="Q27" i="15"/>
  <c r="Q18" i="15"/>
  <c r="M31" i="13"/>
  <c r="Q49" i="14"/>
  <c r="Q46" i="14"/>
  <c r="Q43" i="14"/>
  <c r="Q40" i="14"/>
  <c r="Q37" i="14"/>
  <c r="Q34" i="14"/>
  <c r="M19" i="16"/>
  <c r="M16" i="16"/>
  <c r="Q14" i="16"/>
  <c r="M13" i="16"/>
  <c r="M10" i="16"/>
  <c r="Q8" i="16"/>
  <c r="M42" i="15"/>
  <c r="M39" i="15"/>
  <c r="M21" i="15"/>
  <c r="M21" i="13"/>
  <c r="M18" i="13"/>
  <c r="Q50" i="12"/>
  <c r="M22" i="12"/>
  <c r="Q20" i="12"/>
  <c r="M10" i="12"/>
  <c r="Q25" i="13"/>
  <c r="M24" i="13"/>
  <c r="Q23" i="12"/>
  <c r="M51" i="16"/>
  <c r="M48" i="16"/>
  <c r="M39" i="16"/>
  <c r="M30" i="16"/>
  <c r="M41" i="15"/>
  <c r="M32" i="15"/>
  <c r="M29" i="15"/>
  <c r="M23" i="15"/>
  <c r="Q11" i="15"/>
  <c r="M10" i="15"/>
  <c r="M42" i="14"/>
  <c r="M33" i="14"/>
  <c r="M18" i="14"/>
  <c r="Q44" i="13"/>
  <c r="M15" i="16"/>
  <c r="M12" i="16"/>
  <c r="Q42" i="14"/>
  <c r="Q33" i="14"/>
  <c r="M7" i="15"/>
  <c r="M27" i="16"/>
  <c r="M35" i="15"/>
  <c r="M17" i="15"/>
  <c r="M14" i="15"/>
  <c r="Q8" i="15"/>
  <c r="M40" i="16"/>
  <c r="Q50" i="16"/>
  <c r="Q41" i="16"/>
  <c r="Q38" i="16"/>
  <c r="Q35" i="16"/>
  <c r="Q20" i="16"/>
  <c r="Q43" i="15"/>
  <c r="M50" i="16"/>
  <c r="M47" i="16"/>
  <c r="M44" i="16"/>
  <c r="M38" i="16"/>
  <c r="M35" i="16"/>
  <c r="M32" i="16"/>
  <c r="M29" i="16"/>
  <c r="M26" i="16"/>
  <c r="M23" i="16"/>
  <c r="M46" i="13"/>
  <c r="M6" i="16"/>
  <c r="Q36" i="14"/>
  <c r="M36" i="16"/>
  <c r="Q13" i="16"/>
  <c r="Q15" i="15"/>
  <c r="M30" i="15"/>
  <c r="Q40" i="15"/>
  <c r="Q37" i="15"/>
  <c r="Q13" i="15"/>
  <c r="Q10" i="15"/>
  <c r="M9" i="15"/>
  <c r="Q7" i="15"/>
  <c r="M6" i="15"/>
  <c r="Q50" i="14"/>
  <c r="M49" i="14"/>
  <c r="M46" i="14"/>
  <c r="Q44" i="14"/>
  <c r="M43" i="14"/>
  <c r="Q41" i="14"/>
  <c r="M40" i="14"/>
  <c r="Q38" i="14"/>
  <c r="M37" i="14"/>
  <c r="Q35" i="14"/>
  <c r="M34" i="14"/>
  <c r="Q32" i="14"/>
  <c r="M31" i="14"/>
  <c r="Q29" i="14"/>
  <c r="M28" i="14"/>
  <c r="Q26" i="14"/>
  <c r="M25" i="14"/>
  <c r="Q23" i="14"/>
  <c r="M22" i="14"/>
  <c r="Q20" i="14"/>
  <c r="M19" i="14"/>
  <c r="Q17" i="14"/>
  <c r="Q14" i="14"/>
  <c r="Q11" i="14"/>
  <c r="Q8" i="14"/>
  <c r="Q51" i="13"/>
  <c r="Q48" i="13"/>
  <c r="Q45" i="13"/>
  <c r="Q42" i="13"/>
  <c r="Q39" i="13"/>
  <c r="Q36" i="13"/>
  <c r="Q33" i="13"/>
  <c r="Q30" i="13"/>
  <c r="Q27" i="13"/>
  <c r="Q24" i="13"/>
  <c r="Q21" i="13"/>
  <c r="Q18" i="13"/>
  <c r="M15" i="13"/>
  <c r="M12" i="13"/>
  <c r="M9" i="13"/>
  <c r="M6" i="13"/>
  <c r="M49" i="12"/>
  <c r="M46" i="12"/>
  <c r="M43" i="12"/>
  <c r="M40" i="12"/>
  <c r="M37" i="12"/>
  <c r="M31" i="12"/>
  <c r="M28" i="12"/>
  <c r="M25" i="12"/>
  <c r="Q49" i="13"/>
  <c r="M45" i="13"/>
  <c r="M42" i="13"/>
  <c r="M33" i="13"/>
  <c r="M27" i="13"/>
  <c r="Q13" i="13"/>
  <c r="Q44" i="12"/>
  <c r="Q41" i="12"/>
  <c r="Q35" i="12"/>
  <c r="M43" i="15"/>
  <c r="M40" i="15"/>
  <c r="M37" i="15"/>
  <c r="M34" i="15"/>
  <c r="M25" i="15"/>
  <c r="M22" i="15"/>
  <c r="Q51" i="14"/>
  <c r="Q48" i="14"/>
  <c r="M44" i="14"/>
  <c r="Q39" i="14"/>
  <c r="M20" i="14"/>
  <c r="M14" i="14"/>
  <c r="M11" i="15"/>
  <c r="M48" i="14"/>
  <c r="M48" i="12"/>
  <c r="M39" i="12"/>
  <c r="M30" i="12"/>
  <c r="M15" i="12"/>
  <c r="Q10" i="12"/>
  <c r="M6" i="12"/>
  <c r="Q51" i="16"/>
  <c r="Q48" i="16"/>
  <c r="Q45" i="16"/>
  <c r="Q42" i="16"/>
  <c r="Q39" i="16"/>
  <c r="Q36" i="16"/>
  <c r="Q33" i="16"/>
  <c r="Q30" i="16"/>
  <c r="Q27" i="16"/>
  <c r="Q24" i="16"/>
  <c r="Q18" i="16"/>
  <c r="Q21" i="16"/>
  <c r="Q6" i="16"/>
  <c r="M16" i="15"/>
  <c r="M9" i="16"/>
  <c r="Q24" i="12"/>
  <c r="Q50" i="13"/>
  <c r="Q47" i="13"/>
  <c r="Q29" i="13"/>
  <c r="Q17" i="13"/>
  <c r="M8" i="15"/>
  <c r="M51" i="12"/>
  <c r="M41" i="16"/>
  <c r="M34" i="12"/>
  <c r="C29" i="11" l="1"/>
  <c r="B50" i="18"/>
  <c r="D2871" i="2"/>
  <c r="H2871" i="2"/>
  <c r="I2908" i="2" s="1"/>
  <c r="D2906" i="2"/>
  <c r="H2906" i="2"/>
  <c r="Y5" i="2"/>
  <c r="AH5" i="2" s="1"/>
  <c r="R70" i="3"/>
  <c r="F58" i="19"/>
  <c r="R69" i="3"/>
  <c r="D81" i="15"/>
  <c r="C2934" i="2"/>
  <c r="C2935" i="2" s="1"/>
  <c r="D2931" i="2"/>
  <c r="B58" i="19"/>
  <c r="T37" i="12"/>
  <c r="W37" i="12" s="1"/>
  <c r="X37" i="12" s="1"/>
  <c r="T39" i="16"/>
  <c r="W39" i="16" s="1"/>
  <c r="X39" i="16" s="1"/>
  <c r="T33" i="16"/>
  <c r="W33" i="16" s="1"/>
  <c r="X33" i="16" s="1"/>
  <c r="T40" i="12"/>
  <c r="W40" i="12" s="1"/>
  <c r="X40" i="12" s="1"/>
  <c r="T36" i="14"/>
  <c r="W36" i="14" s="1"/>
  <c r="X36" i="14" s="1"/>
  <c r="T23" i="16"/>
  <c r="W23" i="16" s="1"/>
  <c r="X23" i="16" s="1"/>
  <c r="T30" i="13"/>
  <c r="W30" i="13" s="1"/>
  <c r="X30" i="13" s="1"/>
  <c r="T30" i="12"/>
  <c r="W30" i="12" s="1"/>
  <c r="X30" i="12" s="1"/>
  <c r="T39" i="14"/>
  <c r="W39" i="14" s="1"/>
  <c r="X39" i="14" s="1"/>
  <c r="T8" i="14"/>
  <c r="W8" i="14" s="1"/>
  <c r="X8" i="14" s="1"/>
  <c r="T9" i="15"/>
  <c r="W9" i="15" s="1"/>
  <c r="X9" i="15" s="1"/>
  <c r="T29" i="13"/>
  <c r="W29" i="13" s="1"/>
  <c r="X29" i="13" s="1"/>
  <c r="T17" i="14"/>
  <c r="W17" i="14" s="1"/>
  <c r="X17" i="14" s="1"/>
  <c r="T10" i="13"/>
  <c r="W10" i="13" s="1"/>
  <c r="X10" i="13" s="1"/>
  <c r="C5" i="2"/>
  <c r="T16" i="15"/>
  <c r="W16" i="15" s="1"/>
  <c r="X16" i="15" s="1"/>
  <c r="T9" i="16"/>
  <c r="W9" i="16" s="1"/>
  <c r="X9" i="16" s="1"/>
  <c r="T32" i="16"/>
  <c r="W32" i="16" s="1"/>
  <c r="X32" i="16" s="1"/>
  <c r="T44" i="13"/>
  <c r="W44" i="13" s="1"/>
  <c r="X44" i="13" s="1"/>
  <c r="T21" i="15"/>
  <c r="W21" i="15" s="1"/>
  <c r="X21" i="15" s="1"/>
  <c r="T44" i="15"/>
  <c r="W44" i="15" s="1"/>
  <c r="X44" i="15" s="1"/>
  <c r="T7" i="14"/>
  <c r="W7" i="14" s="1"/>
  <c r="X7" i="14" s="1"/>
  <c r="T35" i="14"/>
  <c r="W35" i="14" s="1"/>
  <c r="X35" i="14" s="1"/>
  <c r="T18" i="12"/>
  <c r="W18" i="12" s="1"/>
  <c r="X18" i="12" s="1"/>
  <c r="T22" i="14"/>
  <c r="W22" i="14" s="1"/>
  <c r="X22" i="14" s="1"/>
  <c r="T25" i="13"/>
  <c r="W25" i="13" s="1"/>
  <c r="X25" i="13" s="1"/>
  <c r="T42" i="16"/>
  <c r="W42" i="16" s="1"/>
  <c r="X42" i="16" s="1"/>
  <c r="T38" i="14"/>
  <c r="W38" i="14" s="1"/>
  <c r="X38" i="14" s="1"/>
  <c r="T12" i="16"/>
  <c r="W12" i="16" s="1"/>
  <c r="X12" i="16" s="1"/>
  <c r="T18" i="15"/>
  <c r="W18" i="15" s="1"/>
  <c r="X18" i="15" s="1"/>
  <c r="T6" i="12"/>
  <c r="W6" i="12" s="1"/>
  <c r="X6" i="12" s="1"/>
  <c r="T30" i="14"/>
  <c r="W30" i="14" s="1"/>
  <c r="X30" i="14" s="1"/>
  <c r="T21" i="14"/>
  <c r="W21" i="14" s="1"/>
  <c r="X21" i="14" s="1"/>
  <c r="T49" i="12"/>
  <c r="W49" i="12" s="1"/>
  <c r="X49" i="12" s="1"/>
  <c r="T30" i="15"/>
  <c r="W30" i="15" s="1"/>
  <c r="X30" i="15" s="1"/>
  <c r="T35" i="12"/>
  <c r="W35" i="12" s="1"/>
  <c r="X35" i="12" s="1"/>
  <c r="T23" i="12"/>
  <c r="W23" i="12" s="1"/>
  <c r="X23" i="12" s="1"/>
  <c r="T11" i="13"/>
  <c r="W11" i="13" s="1"/>
  <c r="X11" i="13" s="1"/>
  <c r="T51" i="14"/>
  <c r="W51" i="14" s="1"/>
  <c r="X51" i="14" s="1"/>
  <c r="T45" i="16"/>
  <c r="W45" i="16" s="1"/>
  <c r="X45" i="16" s="1"/>
  <c r="T49" i="13"/>
  <c r="W49" i="13" s="1"/>
  <c r="X49" i="13" s="1"/>
  <c r="T9" i="13"/>
  <c r="W9" i="13" s="1"/>
  <c r="X9" i="13" s="1"/>
  <c r="T19" i="14"/>
  <c r="W19" i="14" s="1"/>
  <c r="X19" i="14" s="1"/>
  <c r="T34" i="12"/>
  <c r="W34" i="12" s="1"/>
  <c r="X34" i="12" s="1"/>
  <c r="T26" i="12"/>
  <c r="W26" i="12" s="1"/>
  <c r="X26" i="12" s="1"/>
  <c r="T24" i="16"/>
  <c r="W24" i="16" s="1"/>
  <c r="X24" i="16" s="1"/>
  <c r="T29" i="14"/>
  <c r="W29" i="14" s="1"/>
  <c r="X29" i="14" s="1"/>
  <c r="T48" i="12"/>
  <c r="W48" i="12" s="1"/>
  <c r="X48" i="12" s="1"/>
  <c r="T44" i="16"/>
  <c r="W44" i="16" s="1"/>
  <c r="X44" i="16" s="1"/>
  <c r="T17" i="13"/>
  <c r="W17" i="13" s="1"/>
  <c r="X17" i="13" s="1"/>
  <c r="T12" i="12"/>
  <c r="W12" i="12" s="1"/>
  <c r="X12" i="12" s="1"/>
  <c r="T28" i="12"/>
  <c r="W28" i="12" s="1"/>
  <c r="X28" i="12" s="1"/>
  <c r="T17" i="12"/>
  <c r="W17" i="12" s="1"/>
  <c r="X17" i="12" s="1"/>
  <c r="T21" i="16"/>
  <c r="W21" i="16" s="1"/>
  <c r="X21" i="16" s="1"/>
  <c r="T24" i="14"/>
  <c r="W24" i="14" s="1"/>
  <c r="X24" i="14" s="1"/>
  <c r="T38" i="12"/>
  <c r="W38" i="12" s="1"/>
  <c r="X38" i="12" s="1"/>
  <c r="T34" i="14"/>
  <c r="W34" i="14" s="1"/>
  <c r="X34" i="14" s="1"/>
  <c r="T23" i="13"/>
  <c r="W23" i="13" s="1"/>
  <c r="X23" i="13" s="1"/>
  <c r="T41" i="12"/>
  <c r="W41" i="12" s="1"/>
  <c r="X41" i="12" s="1"/>
  <c r="T31" i="13"/>
  <c r="W31" i="13" s="1"/>
  <c r="X31" i="13" s="1"/>
  <c r="T15" i="14"/>
  <c r="W15" i="14" s="1"/>
  <c r="X15" i="14" s="1"/>
  <c r="T39" i="13"/>
  <c r="W39" i="13" s="1"/>
  <c r="X39" i="13" s="1"/>
  <c r="T38" i="13"/>
  <c r="W38" i="13" s="1"/>
  <c r="X38" i="13" s="1"/>
  <c r="T15" i="12"/>
  <c r="W15" i="12" s="1"/>
  <c r="X15" i="12" s="1"/>
  <c r="T31" i="12"/>
  <c r="W31" i="12" s="1"/>
  <c r="X31" i="12" s="1"/>
  <c r="T15" i="13"/>
  <c r="W15" i="13" s="1"/>
  <c r="X15" i="13" s="1"/>
  <c r="T51" i="13"/>
  <c r="W51" i="13" s="1"/>
  <c r="X51" i="13" s="1"/>
  <c r="T43" i="13"/>
  <c r="W43" i="13" s="1"/>
  <c r="X43" i="13" s="1"/>
  <c r="T51" i="12"/>
  <c r="W51" i="12" s="1"/>
  <c r="X51" i="12" s="1"/>
  <c r="T27" i="14"/>
  <c r="W27" i="14" s="1"/>
  <c r="X27" i="14" s="1"/>
  <c r="T41" i="14"/>
  <c r="W41" i="14" s="1"/>
  <c r="X41" i="14" s="1"/>
  <c r="T46" i="13"/>
  <c r="W46" i="13" s="1"/>
  <c r="X46" i="13" s="1"/>
  <c r="T50" i="14"/>
  <c r="W50" i="14" s="1"/>
  <c r="X50" i="14" s="1"/>
  <c r="T18" i="16"/>
  <c r="W18" i="16" s="1"/>
  <c r="X18" i="16" s="1"/>
  <c r="T22" i="12"/>
  <c r="W22" i="12" s="1"/>
  <c r="X22" i="12" s="1"/>
  <c r="T7" i="12"/>
  <c r="W7" i="12" s="1"/>
  <c r="X7" i="12" s="1"/>
  <c r="T28" i="14"/>
  <c r="W28" i="14" s="1"/>
  <c r="X28" i="14" s="1"/>
  <c r="T49" i="16"/>
  <c r="W49" i="16" s="1"/>
  <c r="X49" i="16" s="1"/>
  <c r="T35" i="13"/>
  <c r="W35" i="13" s="1"/>
  <c r="X35" i="13" s="1"/>
  <c r="T11" i="14"/>
  <c r="W11" i="14" s="1"/>
  <c r="X11" i="14" s="1"/>
  <c r="T32" i="14"/>
  <c r="W32" i="14" s="1"/>
  <c r="X32" i="14" s="1"/>
  <c r="T15" i="15"/>
  <c r="W15" i="15" s="1"/>
  <c r="X15" i="15" s="1"/>
  <c r="T43" i="12"/>
  <c r="W43" i="12" s="1"/>
  <c r="X43" i="12" s="1"/>
  <c r="T13" i="15"/>
  <c r="W13" i="15" s="1"/>
  <c r="X13" i="15" s="1"/>
  <c r="T12" i="14"/>
  <c r="W12" i="14" s="1"/>
  <c r="X12" i="14" s="1"/>
  <c r="T24" i="15"/>
  <c r="W24" i="15" s="1"/>
  <c r="X24" i="15" s="1"/>
  <c r="T6" i="13"/>
  <c r="W6" i="13" s="1"/>
  <c r="X6" i="13" s="1"/>
  <c r="T20" i="12"/>
  <c r="W20" i="12" s="1"/>
  <c r="X20" i="12" s="1"/>
  <c r="T19" i="13"/>
  <c r="W19" i="13" s="1"/>
  <c r="X19" i="13" s="1"/>
  <c r="T16" i="14"/>
  <c r="W16" i="14" s="1"/>
  <c r="X16" i="14" s="1"/>
  <c r="T45" i="12"/>
  <c r="W45" i="12" s="1"/>
  <c r="X45" i="12" s="1"/>
  <c r="T13" i="13"/>
  <c r="W13" i="13" s="1"/>
  <c r="X13" i="13" s="1"/>
  <c r="T43" i="16"/>
  <c r="W43" i="16" s="1"/>
  <c r="X43" i="16" s="1"/>
  <c r="T28" i="13"/>
  <c r="W28" i="13" s="1"/>
  <c r="X28" i="13" s="1"/>
  <c r="T46" i="16"/>
  <c r="W46" i="16" s="1"/>
  <c r="X46" i="16" s="1"/>
  <c r="T7" i="13"/>
  <c r="W7" i="13" s="1"/>
  <c r="X7" i="13" s="1"/>
  <c r="T37" i="14"/>
  <c r="W37" i="14" s="1"/>
  <c r="X37" i="14" s="1"/>
  <c r="T10" i="15"/>
  <c r="W10" i="15" s="1"/>
  <c r="X10" i="15" s="1"/>
  <c r="T41" i="13"/>
  <c r="W41" i="13" s="1"/>
  <c r="X41" i="13" s="1"/>
  <c r="T6" i="14"/>
  <c r="W6" i="14" s="1"/>
  <c r="X6" i="14" s="1"/>
  <c r="T21" i="12"/>
  <c r="W21" i="12" s="1"/>
  <c r="X21" i="12" s="1"/>
  <c r="T39" i="15"/>
  <c r="W39" i="15" s="1"/>
  <c r="X39" i="15" s="1"/>
  <c r="T16" i="12"/>
  <c r="W16" i="12" s="1"/>
  <c r="X16" i="12" s="1"/>
  <c r="T36" i="12"/>
  <c r="W36" i="12" s="1"/>
  <c r="X36" i="12" s="1"/>
  <c r="T11" i="12"/>
  <c r="W11" i="12" s="1"/>
  <c r="X11" i="12" s="1"/>
  <c r="T14" i="12"/>
  <c r="W14" i="12" s="1"/>
  <c r="X14" i="12" s="1"/>
  <c r="T34" i="13"/>
  <c r="W34" i="13" s="1"/>
  <c r="X34" i="13" s="1"/>
  <c r="T14" i="13"/>
  <c r="W14" i="13" s="1"/>
  <c r="X14" i="13" s="1"/>
  <c r="T13" i="12"/>
  <c r="W13" i="12" s="1"/>
  <c r="X13" i="12" s="1"/>
  <c r="T45" i="14"/>
  <c r="W45" i="14" s="1"/>
  <c r="X45" i="14" s="1"/>
  <c r="T42" i="15"/>
  <c r="W42" i="15" s="1"/>
  <c r="X42" i="15" s="1"/>
  <c r="T22" i="16"/>
  <c r="W22" i="16" s="1"/>
  <c r="X22" i="16" s="1"/>
  <c r="T35" i="16"/>
  <c r="W35" i="16" s="1"/>
  <c r="X35" i="16" s="1"/>
  <c r="T42" i="12"/>
  <c r="W42" i="12" s="1"/>
  <c r="X42" i="12" s="1"/>
  <c r="T13" i="14"/>
  <c r="W13" i="14" s="1"/>
  <c r="X13" i="14" s="1"/>
  <c r="T33" i="15"/>
  <c r="W33" i="15" s="1"/>
  <c r="X33" i="15" s="1"/>
  <c r="T8" i="13"/>
  <c r="W8" i="13" s="1"/>
  <c r="X8" i="13" s="1"/>
  <c r="T8" i="12"/>
  <c r="W8" i="12" s="1"/>
  <c r="X8" i="12" s="1"/>
  <c r="T11" i="16"/>
  <c r="W11" i="16" s="1"/>
  <c r="X11" i="16" s="1"/>
  <c r="T23" i="14"/>
  <c r="W23" i="14" s="1"/>
  <c r="X23" i="14" s="1"/>
  <c r="T10" i="14"/>
  <c r="W10" i="14" s="1"/>
  <c r="X10" i="14" s="1"/>
  <c r="T26" i="13"/>
  <c r="W26" i="13" s="1"/>
  <c r="X26" i="13" s="1"/>
  <c r="T19" i="15"/>
  <c r="W19" i="15" s="1"/>
  <c r="X19" i="15" s="1"/>
  <c r="T41" i="15"/>
  <c r="W41" i="15" s="1"/>
  <c r="X41" i="15" s="1"/>
  <c r="T15" i="16"/>
  <c r="W15" i="16" s="1"/>
  <c r="X15" i="16" s="1"/>
  <c r="T20" i="15"/>
  <c r="W20" i="15" s="1"/>
  <c r="X20" i="15" s="1"/>
  <c r="T14" i="16"/>
  <c r="W14" i="16" s="1"/>
  <c r="X14" i="16" s="1"/>
  <c r="T10" i="16"/>
  <c r="W10" i="16" s="1"/>
  <c r="X10" i="16" s="1"/>
  <c r="T26" i="15"/>
  <c r="W26" i="15" s="1"/>
  <c r="X26" i="15" s="1"/>
  <c r="T20" i="13"/>
  <c r="W20" i="13" s="1"/>
  <c r="X20" i="13" s="1"/>
  <c r="T32" i="12"/>
  <c r="W32" i="12" s="1"/>
  <c r="X32" i="12" s="1"/>
  <c r="T22" i="15"/>
  <c r="W22" i="15" s="1"/>
  <c r="X22" i="15" s="1"/>
  <c r="T32" i="13"/>
  <c r="W32" i="13" s="1"/>
  <c r="X32" i="13" s="1"/>
  <c r="T37" i="13"/>
  <c r="W37" i="13" s="1"/>
  <c r="X37" i="13" s="1"/>
  <c r="T46" i="12"/>
  <c r="W46" i="12" s="1"/>
  <c r="X46" i="12" s="1"/>
  <c r="T40" i="16"/>
  <c r="W40" i="16" s="1"/>
  <c r="X40" i="16" s="1"/>
  <c r="T27" i="15"/>
  <c r="W27" i="15" s="1"/>
  <c r="X27" i="15" s="1"/>
  <c r="T9" i="12"/>
  <c r="W9" i="12" s="1"/>
  <c r="X9" i="12" s="1"/>
  <c r="T18" i="14"/>
  <c r="W18" i="14" s="1"/>
  <c r="X18" i="14" s="1"/>
  <c r="T38" i="15"/>
  <c r="W38" i="15" s="1"/>
  <c r="X38" i="15" s="1"/>
  <c r="T27" i="12"/>
  <c r="W27" i="12" s="1"/>
  <c r="X27" i="12" s="1"/>
  <c r="T26" i="14"/>
  <c r="W26" i="14" s="1"/>
  <c r="X26" i="14" s="1"/>
  <c r="T16" i="16"/>
  <c r="W16" i="16" s="1"/>
  <c r="X16" i="16" s="1"/>
  <c r="T19" i="12"/>
  <c r="W19" i="12" s="1"/>
  <c r="X19" i="12" s="1"/>
  <c r="T39" i="12"/>
  <c r="W39" i="12" s="1"/>
  <c r="X39" i="12" s="1"/>
  <c r="T29" i="12"/>
  <c r="W29" i="12" s="1"/>
  <c r="X29" i="12" s="1"/>
  <c r="T36" i="15"/>
  <c r="W36" i="15" s="1"/>
  <c r="X36" i="15" s="1"/>
  <c r="T47" i="12"/>
  <c r="W47" i="12" s="1"/>
  <c r="X47" i="12" s="1"/>
  <c r="T44" i="12"/>
  <c r="W44" i="12" s="1"/>
  <c r="X44" i="12" s="1"/>
  <c r="T47" i="13"/>
  <c r="W47" i="13" s="1"/>
  <c r="X47" i="13" s="1"/>
  <c r="T49" i="14"/>
  <c r="W49" i="14" s="1"/>
  <c r="X49" i="14" s="1"/>
  <c r="T24" i="12"/>
  <c r="W24" i="12" s="1"/>
  <c r="X24" i="12" s="1"/>
  <c r="T25" i="15"/>
  <c r="W25" i="15" s="1"/>
  <c r="X25" i="15" s="1"/>
  <c r="T42" i="14"/>
  <c r="W42" i="14" s="1"/>
  <c r="X42" i="14" s="1"/>
  <c r="T34" i="16"/>
  <c r="W34" i="16" s="1"/>
  <c r="X34" i="16" s="1"/>
  <c r="T9" i="14"/>
  <c r="W9" i="14" s="1"/>
  <c r="X9" i="14" s="1"/>
  <c r="T16" i="13"/>
  <c r="W16" i="13" s="1"/>
  <c r="X16" i="13" s="1"/>
  <c r="T31" i="15"/>
  <c r="W31" i="15" s="1"/>
  <c r="X31" i="15" s="1"/>
  <c r="T33" i="12"/>
  <c r="W33" i="12" s="1"/>
  <c r="X33" i="12" s="1"/>
  <c r="T8" i="15"/>
  <c r="W8" i="15" s="1"/>
  <c r="X8" i="15" s="1"/>
  <c r="T36" i="13"/>
  <c r="W36" i="13" s="1"/>
  <c r="X36" i="13" s="1"/>
  <c r="T40" i="14"/>
  <c r="W40" i="14" s="1"/>
  <c r="X40" i="14" s="1"/>
  <c r="T47" i="14"/>
  <c r="W47" i="14" s="1"/>
  <c r="X47" i="14" s="1"/>
  <c r="T28" i="15"/>
  <c r="W28" i="15" s="1"/>
  <c r="X28" i="15" s="1"/>
  <c r="T6" i="16"/>
  <c r="W6" i="16" s="1"/>
  <c r="X6" i="16" s="1"/>
  <c r="T7" i="16"/>
  <c r="W7" i="16" s="1"/>
  <c r="X7" i="16" s="1"/>
  <c r="T25" i="12"/>
  <c r="W25" i="12" s="1"/>
  <c r="X25" i="12" s="1"/>
  <c r="T18" i="13"/>
  <c r="W18" i="13" s="1"/>
  <c r="X18" i="13" s="1"/>
  <c r="T31" i="16"/>
  <c r="W31" i="16" s="1"/>
  <c r="X31" i="16" s="1"/>
  <c r="T6" i="15"/>
  <c r="W6" i="15" s="1"/>
  <c r="X6" i="15" s="1"/>
  <c r="T35" i="15"/>
  <c r="W35" i="15" s="1"/>
  <c r="X35" i="15" s="1"/>
  <c r="T22" i="13"/>
  <c r="W22" i="13" s="1"/>
  <c r="X22" i="13" s="1"/>
  <c r="T19" i="16"/>
  <c r="W19" i="16" s="1"/>
  <c r="X19" i="16" s="1"/>
  <c r="T17" i="16"/>
  <c r="W17" i="16" s="1"/>
  <c r="X17" i="16" s="1"/>
  <c r="T12" i="15"/>
  <c r="W12" i="15" s="1"/>
  <c r="X12" i="15" s="1"/>
  <c r="T29" i="16"/>
  <c r="W29" i="16" s="1"/>
  <c r="X29" i="16" s="1"/>
  <c r="T33" i="14"/>
  <c r="W33" i="14" s="1"/>
  <c r="X33" i="14" s="1"/>
  <c r="T8" i="16"/>
  <c r="W8" i="16" s="1"/>
  <c r="X8" i="16" s="1"/>
  <c r="T25" i="14"/>
  <c r="W25" i="14" s="1"/>
  <c r="X25" i="14" s="1"/>
  <c r="T44" i="14"/>
  <c r="W44" i="14" s="1"/>
  <c r="X44" i="14" s="1"/>
  <c r="T50" i="13"/>
  <c r="W50" i="13" s="1"/>
  <c r="X50" i="13" s="1"/>
  <c r="T48" i="13"/>
  <c r="W48" i="13" s="1"/>
  <c r="X48" i="13" s="1"/>
  <c r="T47" i="16"/>
  <c r="W47" i="16" s="1"/>
  <c r="X47" i="16" s="1"/>
  <c r="T20" i="16"/>
  <c r="W20" i="16" s="1"/>
  <c r="X20" i="16" s="1"/>
  <c r="T14" i="15"/>
  <c r="W14" i="15" s="1"/>
  <c r="X14" i="15" s="1"/>
  <c r="T17" i="15"/>
  <c r="W17" i="15" s="1"/>
  <c r="X17" i="15" s="1"/>
  <c r="T13" i="16"/>
  <c r="W13" i="16" s="1"/>
  <c r="X13" i="16" s="1"/>
  <c r="T31" i="14"/>
  <c r="W31" i="14" s="1"/>
  <c r="X31" i="14" s="1"/>
  <c r="T26" i="16"/>
  <c r="W26" i="16" s="1"/>
  <c r="X26" i="16" s="1"/>
  <c r="T37" i="16"/>
  <c r="W37" i="16" s="1"/>
  <c r="X37" i="16" s="1"/>
  <c r="T30" i="16"/>
  <c r="W30" i="16" s="1"/>
  <c r="X30" i="16" s="1"/>
  <c r="T34" i="15"/>
  <c r="W34" i="15" s="1"/>
  <c r="X34" i="15" s="1"/>
  <c r="T50" i="12"/>
  <c r="W50" i="12" s="1"/>
  <c r="X50" i="12" s="1"/>
  <c r="T41" i="16"/>
  <c r="W41" i="16" s="1"/>
  <c r="X41" i="16" s="1"/>
  <c r="T10" i="12"/>
  <c r="W10" i="12" s="1"/>
  <c r="X10" i="12" s="1"/>
  <c r="T32" i="15"/>
  <c r="W32" i="15" s="1"/>
  <c r="X32" i="15" s="1"/>
  <c r="T51" i="16"/>
  <c r="W51" i="16" s="1"/>
  <c r="X51" i="16" s="1"/>
  <c r="T29" i="15"/>
  <c r="W29" i="15" s="1"/>
  <c r="X29" i="15" s="1"/>
  <c r="T40" i="13"/>
  <c r="W40" i="13" s="1"/>
  <c r="X40" i="13" s="1"/>
  <c r="T12" i="13"/>
  <c r="W12" i="13" s="1"/>
  <c r="X12" i="13" s="1"/>
  <c r="T28" i="16"/>
  <c r="W28" i="16" s="1"/>
  <c r="X28" i="16" s="1"/>
  <c r="T11" i="15"/>
  <c r="W11" i="15" s="1"/>
  <c r="X11" i="15" s="1"/>
  <c r="T23" i="15"/>
  <c r="W23" i="15" s="1"/>
  <c r="X23" i="15" s="1"/>
  <c r="T36" i="16"/>
  <c r="W36" i="16" s="1"/>
  <c r="X36" i="16" s="1"/>
  <c r="T21" i="13"/>
  <c r="W21" i="13" s="1"/>
  <c r="X21" i="13" s="1"/>
  <c r="T48" i="14"/>
  <c r="W48" i="14" s="1"/>
  <c r="X48" i="14" s="1"/>
  <c r="T24" i="13"/>
  <c r="W24" i="13" s="1"/>
  <c r="X24" i="13" s="1"/>
  <c r="T27" i="13"/>
  <c r="W27" i="13" s="1"/>
  <c r="X27" i="13" s="1"/>
  <c r="C2918" i="2"/>
  <c r="T48" i="16"/>
  <c r="W48" i="16" s="1"/>
  <c r="X48" i="16" s="1"/>
  <c r="T33" i="13"/>
  <c r="W33" i="13" s="1"/>
  <c r="X33" i="13" s="1"/>
  <c r="T43" i="14"/>
  <c r="W43" i="14" s="1"/>
  <c r="X43" i="14" s="1"/>
  <c r="T45" i="13"/>
  <c r="W45" i="13" s="1"/>
  <c r="X45" i="13" s="1"/>
  <c r="T25" i="16"/>
  <c r="W25" i="16" s="1"/>
  <c r="X25" i="16" s="1"/>
  <c r="T27" i="16"/>
  <c r="W27" i="16" s="1"/>
  <c r="X27" i="16" s="1"/>
  <c r="T46" i="14"/>
  <c r="W46" i="14" s="1"/>
  <c r="X46" i="14" s="1"/>
  <c r="T20" i="14"/>
  <c r="W20" i="14" s="1"/>
  <c r="X20" i="14" s="1"/>
  <c r="T38" i="16"/>
  <c r="W38" i="16" s="1"/>
  <c r="X38" i="16" s="1"/>
  <c r="T42" i="13"/>
  <c r="W42" i="13" s="1"/>
  <c r="X42" i="13" s="1"/>
  <c r="T50" i="16"/>
  <c r="W50" i="16" s="1"/>
  <c r="X50" i="16" s="1"/>
  <c r="T37" i="15"/>
  <c r="W37" i="15" s="1"/>
  <c r="X37" i="15" s="1"/>
  <c r="T14" i="14"/>
  <c r="W14" i="14" s="1"/>
  <c r="X14" i="14" s="1"/>
  <c r="T7" i="15"/>
  <c r="W7" i="15" s="1"/>
  <c r="X7" i="15" s="1"/>
  <c r="T40" i="15"/>
  <c r="W40" i="15" s="1"/>
  <c r="X40" i="15" s="1"/>
  <c r="T43" i="15"/>
  <c r="W43" i="15" s="1"/>
  <c r="X43" i="15" s="1"/>
  <c r="C52" i="18" l="1"/>
  <c r="C46" i="18" s="1"/>
  <c r="D2908" i="2"/>
  <c r="H2908" i="2"/>
  <c r="R71" i="3"/>
  <c r="D3" i="19"/>
  <c r="E63" i="19"/>
  <c r="D2918" i="2"/>
  <c r="X52" i="12"/>
  <c r="X52" i="13"/>
  <c r="X45" i="15"/>
  <c r="X52" i="16"/>
  <c r="X52" i="14"/>
  <c r="B52" i="18" l="1"/>
  <c r="B46" i="18" s="1"/>
</calcChain>
</file>

<file path=xl/sharedStrings.xml><?xml version="1.0" encoding="utf-8"?>
<sst xmlns="http://schemas.openxmlformats.org/spreadsheetml/2006/main" count="1384" uniqueCount="359">
  <si>
    <t>LISTINO CALKOS 2014</t>
  </si>
  <si>
    <t>ALLUMINIO</t>
  </si>
  <si>
    <t>EXTRA PER SPESSORE</t>
  </si>
  <si>
    <t>LARGHEZZA NASTRI</t>
  </si>
  <si>
    <t>Alluminio</t>
  </si>
  <si>
    <t>Ottone</t>
  </si>
  <si>
    <t>Rame</t>
  </si>
  <si>
    <t>mm 8 - 15</t>
  </si>
  <si>
    <t>mm 15,1 - 30</t>
  </si>
  <si>
    <t>0,20 mm</t>
  </si>
  <si>
    <t>0,10 - 0,19 mm</t>
  </si>
  <si>
    <t>0,25 mm</t>
  </si>
  <si>
    <t>0,20 -0,29 mm</t>
  </si>
  <si>
    <t>0,30 mm</t>
  </si>
  <si>
    <t>0,30 - 0,49 mm</t>
  </si>
  <si>
    <t>0,35 mm</t>
  </si>
  <si>
    <t>0,50 - 0,79 mm</t>
  </si>
  <si>
    <t>0,40 mm</t>
  </si>
  <si>
    <t>0,80 - 1,5 mm</t>
  </si>
  <si>
    <t>0,50 mm</t>
  </si>
  <si>
    <t>&gt; 1,6 mm</t>
  </si>
  <si>
    <t>0,60 mm</t>
  </si>
  <si>
    <t>0,70 mm</t>
  </si>
  <si>
    <t>0,80 mm</t>
  </si>
  <si>
    <t>0,90 mm</t>
  </si>
  <si>
    <t>1,00 mm</t>
  </si>
  <si>
    <t>1,20 mm</t>
  </si>
  <si>
    <t>1,50 mm</t>
  </si>
  <si>
    <t>2,00 mm</t>
  </si>
  <si>
    <t>2,50 mm</t>
  </si>
  <si>
    <t>3,00 mm</t>
  </si>
  <si>
    <t>OTTONE</t>
  </si>
  <si>
    <t>mm20,1-25</t>
  </si>
  <si>
    <t>mm 15,1 - 20</t>
  </si>
  <si>
    <t>RAME</t>
  </si>
  <si>
    <t>QUANTITATIVI INFERIORI AI KG 500 + € 0,10</t>
  </si>
  <si>
    <t>Ordine</t>
  </si>
  <si>
    <t>Cliente</t>
  </si>
  <si>
    <t>Kg</t>
  </si>
  <si>
    <t>Materiale</t>
  </si>
  <si>
    <t>Spessore</t>
  </si>
  <si>
    <t>Larghezza</t>
  </si>
  <si>
    <t>Provvigione</t>
  </si>
  <si>
    <t>Pr Lav spess</t>
  </si>
  <si>
    <t>Pr Lav Larg</t>
  </si>
  <si>
    <t>Pr  Lav Totale</t>
  </si>
  <si>
    <t>Prezzo di vendita</t>
  </si>
  <si>
    <t>Agente</t>
  </si>
  <si>
    <t>Commissioni</t>
  </si>
  <si>
    <t xml:space="preserve">              Prezzi di lavorazione</t>
  </si>
  <si>
    <t>Differenza</t>
  </si>
  <si>
    <t>Prezzo</t>
  </si>
  <si>
    <t>Al</t>
  </si>
  <si>
    <t xml:space="preserve">        Materiale</t>
  </si>
  <si>
    <t>Commissioni Calkos</t>
  </si>
  <si>
    <t>Kg Venduti</t>
  </si>
  <si>
    <t>Commissioni Luca</t>
  </si>
  <si>
    <t>Commissioni Giussani</t>
  </si>
  <si>
    <t>Commissioni Wetter</t>
  </si>
  <si>
    <t>Controllo</t>
  </si>
  <si>
    <t>Clienti</t>
  </si>
  <si>
    <t>Luca</t>
  </si>
  <si>
    <t>Imponibile</t>
  </si>
  <si>
    <t>Kg Totali</t>
  </si>
  <si>
    <t>Ra 23%</t>
  </si>
  <si>
    <t>Totale Ft</t>
  </si>
  <si>
    <t xml:space="preserve">           Fatturazione</t>
  </si>
  <si>
    <t xml:space="preserve">           CALCOLO PROVVIGIONI LUCA</t>
  </si>
  <si>
    <t xml:space="preserve">           CALCOLO PROVVIGIONI IVAN</t>
  </si>
  <si>
    <t>Commissioni Ivan</t>
  </si>
  <si>
    <t>Commissioni EMG</t>
  </si>
  <si>
    <t>Commissioni Zucchiatti</t>
  </si>
  <si>
    <t>Commissioni FdueG</t>
  </si>
  <si>
    <t>Commissioni Sirmet</t>
  </si>
  <si>
    <t xml:space="preserve">Commissioni </t>
  </si>
  <si>
    <t>IVA 22%</t>
  </si>
  <si>
    <t>Totale Vs Cred</t>
  </si>
  <si>
    <t>Ivan</t>
  </si>
  <si>
    <t xml:space="preserve">     Kg</t>
  </si>
  <si>
    <t xml:space="preserve">     Commissione fissa</t>
  </si>
  <si>
    <t>Al 0,07/Kg</t>
  </si>
  <si>
    <t>Al 0,10/Kg</t>
  </si>
  <si>
    <t>Al 0,18/Kg</t>
  </si>
  <si>
    <t>Cu 0,10/Kg</t>
  </si>
  <si>
    <t>Cu 0,18/Kg</t>
  </si>
  <si>
    <t>Ot 0,10/Kg</t>
  </si>
  <si>
    <t>Ot 0,18/Kg</t>
  </si>
  <si>
    <t>mm 0</t>
  </si>
  <si>
    <t>Extra prezzo Kg</t>
  </si>
  <si>
    <t>Extra Prezzo Stagnato</t>
  </si>
  <si>
    <t>Trafomec</t>
  </si>
  <si>
    <t>Elettroplastica</t>
  </si>
  <si>
    <t>Meca</t>
  </si>
  <si>
    <t>Icar</t>
  </si>
  <si>
    <t>Provvigioni</t>
  </si>
  <si>
    <t>Braga</t>
  </si>
  <si>
    <t>Wattsud</t>
  </si>
  <si>
    <t>Emg</t>
  </si>
  <si>
    <t>Piola</t>
  </si>
  <si>
    <t>Zucchiatti</t>
  </si>
  <si>
    <t>FdueG</t>
  </si>
  <si>
    <t>MP</t>
  </si>
  <si>
    <t>Newton</t>
  </si>
  <si>
    <t>Piossasco</t>
  </si>
  <si>
    <t>Elpi Castresin</t>
  </si>
  <si>
    <t>Alge</t>
  </si>
  <si>
    <t>Eletrafo</t>
  </si>
  <si>
    <t>Tecnomitra</t>
  </si>
  <si>
    <t>MF</t>
  </si>
  <si>
    <t>Sirmet</t>
  </si>
  <si>
    <t>Neotrade</t>
  </si>
  <si>
    <t>Elca</t>
  </si>
  <si>
    <t>Marnate</t>
  </si>
  <si>
    <t>Amer</t>
  </si>
  <si>
    <t>Colombo</t>
  </si>
  <si>
    <t>Project</t>
  </si>
  <si>
    <t>Mace</t>
  </si>
  <si>
    <t>Wetter</t>
  </si>
  <si>
    <t>Giussani</t>
  </si>
  <si>
    <t>Trafomec SA</t>
  </si>
  <si>
    <t>Scadenza</t>
  </si>
  <si>
    <t>30 gg</t>
  </si>
  <si>
    <t>60 gg</t>
  </si>
  <si>
    <t>90 gg</t>
  </si>
  <si>
    <t>FATTURAZIONE COBRAL 2014 PER CALKOS</t>
  </si>
  <si>
    <t>MG</t>
  </si>
  <si>
    <t>Fattura n.</t>
  </si>
  <si>
    <t>V00004</t>
  </si>
  <si>
    <t>NEOTRADE</t>
  </si>
  <si>
    <t>V00005</t>
  </si>
  <si>
    <t>V000073</t>
  </si>
  <si>
    <t>MECA</t>
  </si>
  <si>
    <t>V00095</t>
  </si>
  <si>
    <t>GTS</t>
  </si>
  <si>
    <t>B00204</t>
  </si>
  <si>
    <t>BRAGA</t>
  </si>
  <si>
    <t>B00202</t>
  </si>
  <si>
    <t>NEWTON</t>
  </si>
  <si>
    <t>V00071</t>
  </si>
  <si>
    <t>ICAR</t>
  </si>
  <si>
    <t>V00072</t>
  </si>
  <si>
    <t>V00076</t>
  </si>
  <si>
    <t>PIOLA</t>
  </si>
  <si>
    <t>V00085</t>
  </si>
  <si>
    <t>ELCA</t>
  </si>
  <si>
    <t>V00090</t>
  </si>
  <si>
    <t>WETTER</t>
  </si>
  <si>
    <t>ELETRAFO</t>
  </si>
  <si>
    <t>EL.PI CAST</t>
  </si>
  <si>
    <t>B00166</t>
  </si>
  <si>
    <t>B00203</t>
  </si>
  <si>
    <t>B00081</t>
  </si>
  <si>
    <t>TRAFOMEC</t>
  </si>
  <si>
    <t>Media mese</t>
  </si>
  <si>
    <t>B00142</t>
  </si>
  <si>
    <t>B00165</t>
  </si>
  <si>
    <t>V00130</t>
  </si>
  <si>
    <t>V00108</t>
  </si>
  <si>
    <t>V00113</t>
  </si>
  <si>
    <t>V00114</t>
  </si>
  <si>
    <t>V00117</t>
  </si>
  <si>
    <t>Commissioni Elast</t>
  </si>
  <si>
    <t>Commissioni KM</t>
  </si>
  <si>
    <t>Commissioni Masolini</t>
  </si>
  <si>
    <t>Commissioni MG</t>
  </si>
  <si>
    <t>Commissioni Fenaroli</t>
  </si>
  <si>
    <t>Bronzo</t>
  </si>
  <si>
    <t>B</t>
  </si>
  <si>
    <t>Bronzo - CuSn6</t>
  </si>
  <si>
    <t>prezzi di lavorazione a Prezzo Pieno</t>
  </si>
  <si>
    <t>LARGHEZZA mm.</t>
  </si>
  <si>
    <t>mm7,0-14,9</t>
  </si>
  <si>
    <t>mm15-29,9</t>
  </si>
  <si>
    <t>mm30-59,9</t>
  </si>
  <si>
    <t>mm60-500</t>
  </si>
  <si>
    <t>SPESSORI mm.</t>
  </si>
  <si>
    <t>0,10-0,15</t>
  </si>
  <si>
    <t>0,16-0,25</t>
  </si>
  <si>
    <t>0,26-0,40</t>
  </si>
  <si>
    <t>0,41-0,60</t>
  </si>
  <si>
    <t>0,61-1,50</t>
  </si>
  <si>
    <t>&gt;1,51</t>
  </si>
  <si>
    <t>-</t>
  </si>
  <si>
    <t>Totale</t>
  </si>
  <si>
    <t>percentuale</t>
  </si>
  <si>
    <t>kg</t>
  </si>
  <si>
    <t>Kg * %</t>
  </si>
  <si>
    <t>Commissioni Mace</t>
  </si>
  <si>
    <t>Commissioni Elettr. Colombo</t>
  </si>
  <si>
    <t>Commissioni ABB</t>
  </si>
  <si>
    <t>0,45 mm</t>
  </si>
  <si>
    <t>0,55 mm</t>
  </si>
  <si>
    <t>Clienti totali</t>
  </si>
  <si>
    <t>Clienti movimentati</t>
  </si>
  <si>
    <t>Clienti persi</t>
  </si>
  <si>
    <t>Clienti attivi</t>
  </si>
  <si>
    <t xml:space="preserve">RIEPILOGO CONSEGNE </t>
  </si>
  <si>
    <t>Anno 2018</t>
  </si>
  <si>
    <t>Mese</t>
  </si>
  <si>
    <t>Quantità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</si>
  <si>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</si>
  <si>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</si>
  <si>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</si>
  <si>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</si>
  <si>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</si>
  <si>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</si>
  <si>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</si>
  <si>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</si>
  <si>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</si>
  <si>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</si>
  <si>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</si>
  <si>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</si>
  <si>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Anno 2019</t>
  </si>
  <si>
    <t>Data Consegna ipotetica</t>
  </si>
  <si>
    <t>Commissioni OK</t>
  </si>
  <si>
    <t>Totale kg</t>
  </si>
  <si>
    <t>Kg OK</t>
  </si>
  <si>
    <t>0,65 mm</t>
  </si>
  <si>
    <t>0,85 mm</t>
  </si>
  <si>
    <t>1,25 mm</t>
  </si>
  <si>
    <t>1,60 mm</t>
  </si>
  <si>
    <t>1,70 mm</t>
  </si>
  <si>
    <t>1,80 mm</t>
  </si>
  <si>
    <t>1,90 mm</t>
  </si>
  <si>
    <t>1,35 mm</t>
  </si>
  <si>
    <t>1,40 mm</t>
  </si>
  <si>
    <t>1,45 mm</t>
  </si>
  <si>
    <t>1,55 mm</t>
  </si>
  <si>
    <t>1,65 mm</t>
  </si>
  <si>
    <t>1,75 mm</t>
  </si>
  <si>
    <t>1,85 mm</t>
  </si>
  <si>
    <t>1,95 mm</t>
  </si>
  <si>
    <t>1,05 mm</t>
  </si>
  <si>
    <t>1,10 mm</t>
  </si>
  <si>
    <t>1,15 mm</t>
  </si>
  <si>
    <t>0,95 mm</t>
  </si>
  <si>
    <t>0,75 mm</t>
  </si>
  <si>
    <t>1,30 mm</t>
  </si>
  <si>
    <t>Totale da fatturare</t>
  </si>
  <si>
    <t>Consegna</t>
  </si>
  <si>
    <t>Euro</t>
  </si>
  <si>
    <t>TOTALE</t>
  </si>
  <si>
    <t>Settimana</t>
  </si>
  <si>
    <t>ANNO 2022</t>
  </si>
  <si>
    <t xml:space="preserve">Kg Rimanenti (max Kg </t>
  </si>
  <si>
    <t>Kg senza data</t>
  </si>
  <si>
    <t>Kg totali</t>
  </si>
  <si>
    <t>Kg in conegna</t>
  </si>
  <si>
    <t>Ordine/DDT</t>
  </si>
  <si>
    <t>ANNO 2023</t>
  </si>
  <si>
    <t>Delta</t>
  </si>
  <si>
    <t>Totale provv variabile</t>
  </si>
  <si>
    <t>Totalone</t>
  </si>
  <si>
    <t>CIT</t>
  </si>
  <si>
    <t>CIT €/Kg</t>
  </si>
  <si>
    <t>Gauss</t>
  </si>
  <si>
    <t>PREZZO ACQUISTO</t>
  </si>
  <si>
    <t>Lavorazione</t>
  </si>
  <si>
    <t>Base</t>
  </si>
  <si>
    <t>PREZZO VENDITA</t>
  </si>
  <si>
    <t>Mec</t>
  </si>
  <si>
    <t>Tmc</t>
  </si>
  <si>
    <t>Elettromil</t>
  </si>
  <si>
    <t>Sgm</t>
  </si>
  <si>
    <t>Cemel</t>
  </si>
  <si>
    <t>Ftm</t>
  </si>
  <si>
    <t>Ebg</t>
  </si>
  <si>
    <t>Percentuale delta</t>
  </si>
  <si>
    <t>Gbe</t>
  </si>
  <si>
    <t>CTS</t>
  </si>
  <si>
    <t>Lef</t>
  </si>
  <si>
    <t>Power</t>
  </si>
  <si>
    <t>Jara</t>
  </si>
  <si>
    <t>ANNO 2024</t>
  </si>
  <si>
    <t>Tesar</t>
  </si>
  <si>
    <t>Elettromil Sk</t>
  </si>
  <si>
    <t>Avelto</t>
  </si>
  <si>
    <t>Gritti</t>
  </si>
  <si>
    <t>DSR</t>
  </si>
  <si>
    <t>Elpicast</t>
  </si>
  <si>
    <t>Brioschi</t>
  </si>
  <si>
    <t>Intermagnetics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</si>
  <si>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</si>
  <si>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</si>
  <si>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</si>
  <si>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</si>
  <si>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</si>
  <si>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</si>
  <si>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</si>
  <si>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</si>
  <si>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</si>
  <si>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</si>
  <si>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</si>
  <si>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</si>
  <si>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Trasfem</t>
  </si>
  <si>
    <t>Altrafo</t>
  </si>
  <si>
    <t>ANNO 2025</t>
  </si>
  <si>
    <t>Mgs</t>
  </si>
  <si>
    <t>Merx</t>
  </si>
  <si>
    <t>Lo Spaccio</t>
  </si>
  <si>
    <t>Espa</t>
  </si>
  <si>
    <t>Trafocoop</t>
  </si>
  <si>
    <t>Sea</t>
  </si>
  <si>
    <t>Robotti</t>
  </si>
  <si>
    <t>Bermar</t>
  </si>
  <si>
    <t>Nuova</t>
  </si>
  <si>
    <t>Cem</t>
  </si>
  <si>
    <t>Efc</t>
  </si>
  <si>
    <t>Gennaio 2026</t>
  </si>
  <si>
    <t>Febbraio 2026</t>
  </si>
  <si>
    <t>Marzo 2026</t>
  </si>
  <si>
    <t>Aprile 2026</t>
  </si>
  <si>
    <t>Maggio 2026</t>
  </si>
  <si>
    <t>Giugno 2026</t>
  </si>
  <si>
    <t>Luglio 2026</t>
  </si>
  <si>
    <t>Agosto 2026</t>
  </si>
  <si>
    <t>Settembre 2026</t>
  </si>
  <si>
    <t>Ottobre 2026</t>
  </si>
  <si>
    <t>Novembre 2026</t>
  </si>
  <si>
    <t>Dicembre 2026</t>
  </si>
  <si>
    <t>Madim</t>
  </si>
  <si>
    <t>Belelli</t>
  </si>
  <si>
    <t>Banchi</t>
  </si>
  <si>
    <t>Ice</t>
  </si>
  <si>
    <t>Acm</t>
  </si>
  <si>
    <t>Intercoil</t>
  </si>
  <si>
    <t>1/38281</t>
  </si>
  <si>
    <t>Re Italo</t>
  </si>
  <si>
    <t>Vallee</t>
  </si>
  <si>
    <t>COMMISSIONI SYSTEMP 2026 PER CALKOS</t>
  </si>
  <si>
    <t>1/38560</t>
  </si>
  <si>
    <t>1/38531</t>
  </si>
  <si>
    <t>1/38624</t>
  </si>
  <si>
    <t>1/38740</t>
  </si>
  <si>
    <t>1/38760</t>
  </si>
  <si>
    <t>1/38758</t>
  </si>
  <si>
    <t>POSIZIONE FATTURATA</t>
  </si>
  <si>
    <t>FATTURARE</t>
  </si>
  <si>
    <t>Elettromagneti</t>
  </si>
  <si>
    <t>FINE_TABELLA</t>
  </si>
  <si>
    <t>Minimotor</t>
  </si>
  <si>
    <t>1/37413</t>
  </si>
  <si>
    <t>1/38896</t>
  </si>
  <si>
    <t>1/38864</t>
  </si>
  <si>
    <t>1/38800</t>
  </si>
  <si>
    <t>1/38878</t>
  </si>
  <si>
    <t>Gen Set</t>
  </si>
  <si>
    <t>saldo</t>
  </si>
  <si>
    <t>99/799</t>
  </si>
  <si>
    <t>OK</t>
  </si>
  <si>
    <t>Govoni</t>
  </si>
  <si>
    <t>1/38994/99/803</t>
  </si>
  <si>
    <t>1/38897/99/812</t>
  </si>
  <si>
    <t>1/38990/99/820</t>
  </si>
  <si>
    <t>1/39008/99/821</t>
  </si>
  <si>
    <t>1/38878/99/822</t>
  </si>
  <si>
    <t>mancano kg 400</t>
  </si>
  <si>
    <t>Bonacina</t>
  </si>
  <si>
    <t>Simel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</si>
</sst>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(&quot;€&quot;* #,##0.00_);_(&quot;€&quot;* \(#,##0.00\);_(&quot;€&quot;* &quot;-&quot;??_);_(@_)"/>
    <numFmt numFmtId="43" formatCode="_(* #,##0.00_);_(* \(#,##0.00\);_(* &quot;-&quot;??_);_(@_)"/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&quot;€&quot;\ #,##0.00"/>
  </numFmts>
  <fonts count="3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8"/>
      <name val="Calibri"/>
      <family val="2"/>
    </font>
    <font>
      <sz val="16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b/>
      <sz val="11"/>
      <color indexed="8"/>
      <name val="Calibri"/>
      <family val="2"/>
    </font>
    <font>
      <sz val="14"/>
      <color indexed="8"/>
      <name val="Calibri"/>
      <family val="2"/>
    </font>
    <font>
      <b/>
      <sz val="14"/>
      <color indexed="8"/>
      <name val="Calibri"/>
      <family val="2"/>
    </font>
    <font>
      <b/>
      <sz val="16"/>
      <color indexed="10"/>
      <name val="Calibri"/>
      <family val="2"/>
    </font>
    <font>
      <sz val="22"/>
      <color indexed="8"/>
      <name val="Calibri"/>
      <family val="2"/>
    </font>
    <font>
      <sz val="11"/>
      <color indexed="8"/>
      <name val="Calibri"/>
      <family val="2"/>
    </font>
    <font>
      <b/>
      <sz val="18"/>
      <color indexed="8"/>
      <name val="Calibri"/>
      <family val="2"/>
    </font>
    <font>
      <sz val="9"/>
      <color indexed="8"/>
      <name val="Calibri"/>
      <family val="2"/>
    </font>
    <font>
      <b/>
      <sz val="10"/>
      <color indexed="8"/>
      <name val="Calibri"/>
      <family val="2"/>
    </font>
    <font>
      <sz val="8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sz val="10"/>
      <color indexed="8"/>
      <name val="Calibri"/>
      <family val="2"/>
    </font>
    <font>
      <b/>
      <sz val="12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0"/>
      <name val="Calibri"/>
      <family val="2"/>
    </font>
    <font>
      <b/>
      <sz val="22"/>
      <color indexed="8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thin">
        <color indexed="64"/>
      </right>
      <top style="medium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Dot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slantDashDot">
        <color indexed="64"/>
      </right>
      <top style="medium">
        <color indexed="64"/>
      </top>
      <bottom/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/>
      <top/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/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/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/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dashDotDot">
        <color indexed="64"/>
      </left>
      <right style="thin">
        <color indexed="64"/>
      </right>
      <top style="thin">
        <color indexed="64"/>
      </top>
      <bottom/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dashDotDot">
        <color indexed="64"/>
      </right>
      <top style="thin">
        <color indexed="64"/>
      </top>
      <bottom/>
      <diagonal/>
    </border>
    <border>
      <left/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slantDashDot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slantDashDot">
        <color indexed="64"/>
      </bottom>
      <diagonal/>
    </border>
    <border>
      <left/>
      <right style="dashDotDot">
        <color indexed="64"/>
      </right>
      <top/>
      <bottom/>
      <diagonal/>
    </border>
    <border>
      <left style="dashDotDot">
        <color indexed="64"/>
      </left>
      <right style="dashDotDot">
        <color indexed="64"/>
      </right>
      <top/>
      <bottom/>
      <diagonal/>
    </border>
    <border>
      <left style="medium">
        <color indexed="64"/>
      </left>
      <right style="dashDotDot">
        <color indexed="64"/>
      </right>
      <top/>
      <bottom style="medium">
        <color indexed="64"/>
      </bottom>
      <diagonal/>
    </border>
    <border>
      <left/>
      <right style="dashDotDot">
        <color indexed="64"/>
      </right>
      <top/>
      <bottom style="medium">
        <color indexed="64"/>
      </bottom>
      <diagonal/>
    </border>
    <border>
      <left style="dashDotDot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5" fontId="4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427">
    <xf numFmtId="0" fontId="0" fillId="0" borderId="0" xfId="0"/>
    <xf numFmtId="0" fontId="6" fillId="0" borderId="0" xfId="0" applyFont="1"/>
    <xf numFmtId="0" fontId="7" fillId="0" borderId="0" xfId="0" applyFont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/>
    <xf numFmtId="0" fontId="0" fillId="0" borderId="1" xfId="0" applyBorder="1"/>
    <xf numFmtId="0" fontId="8" fillId="0" borderId="0" xfId="0" applyFont="1"/>
    <xf numFmtId="0" fontId="8" fillId="0" borderId="5" xfId="0" applyFont="1" applyBorder="1"/>
    <xf numFmtId="165" fontId="8" fillId="0" borderId="6" xfId="1" applyFont="1" applyBorder="1"/>
    <xf numFmtId="0" fontId="9" fillId="0" borderId="7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3" xfId="0" applyFont="1" applyBorder="1"/>
    <xf numFmtId="0" fontId="8" fillId="0" borderId="14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165" fontId="8" fillId="0" borderId="17" xfId="1" applyFont="1" applyBorder="1"/>
    <xf numFmtId="0" fontId="10" fillId="0" borderId="0" xfId="0" applyFont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165" fontId="0" fillId="0" borderId="1" xfId="0" applyNumberFormat="1" applyBorder="1"/>
    <xf numFmtId="165" fontId="0" fillId="0" borderId="21" xfId="0" applyNumberFormat="1" applyBorder="1"/>
    <xf numFmtId="0" fontId="0" fillId="0" borderId="22" xfId="0" applyBorder="1"/>
    <xf numFmtId="165" fontId="0" fillId="0" borderId="22" xfId="0" applyNumberFormat="1" applyBorder="1"/>
    <xf numFmtId="165" fontId="0" fillId="0" borderId="23" xfId="0" applyNumberFormat="1" applyBorder="1"/>
    <xf numFmtId="0" fontId="0" fillId="0" borderId="24" xfId="0" applyBorder="1"/>
    <xf numFmtId="165" fontId="0" fillId="0" borderId="24" xfId="0" applyNumberFormat="1" applyBorder="1"/>
    <xf numFmtId="165" fontId="0" fillId="0" borderId="25" xfId="0" applyNumberFormat="1" applyBorder="1"/>
    <xf numFmtId="0" fontId="8" fillId="0" borderId="26" xfId="0" applyFont="1" applyBorder="1"/>
    <xf numFmtId="0" fontId="8" fillId="0" borderId="27" xfId="0" applyFont="1" applyBorder="1"/>
    <xf numFmtId="0" fontId="8" fillId="0" borderId="28" xfId="0" applyFont="1" applyBorder="1"/>
    <xf numFmtId="165" fontId="8" fillId="0" borderId="0" xfId="1" applyFont="1" applyBorder="1"/>
    <xf numFmtId="0" fontId="11" fillId="0" borderId="14" xfId="0" applyFont="1" applyBorder="1"/>
    <xf numFmtId="0" fontId="11" fillId="0" borderId="16" xfId="0" applyFont="1" applyBorder="1"/>
    <xf numFmtId="0" fontId="11" fillId="0" borderId="29" xfId="0" applyFont="1" applyBorder="1"/>
    <xf numFmtId="165" fontId="11" fillId="0" borderId="21" xfId="0" applyNumberFormat="1" applyFont="1" applyBorder="1"/>
    <xf numFmtId="165" fontId="11" fillId="0" borderId="30" xfId="1" applyFont="1" applyBorder="1"/>
    <xf numFmtId="0" fontId="12" fillId="0" borderId="5" xfId="0" applyFont="1" applyBorder="1"/>
    <xf numFmtId="165" fontId="12" fillId="0" borderId="31" xfId="0" applyNumberFormat="1" applyFont="1" applyBorder="1"/>
    <xf numFmtId="0" fontId="12" fillId="3" borderId="0" xfId="0" applyFont="1" applyFill="1"/>
    <xf numFmtId="0" fontId="0" fillId="3" borderId="0" xfId="0" applyFill="1"/>
    <xf numFmtId="0" fontId="13" fillId="0" borderId="0" xfId="0" applyFont="1"/>
    <xf numFmtId="0" fontId="14" fillId="3" borderId="0" xfId="0" applyFont="1" applyFill="1"/>
    <xf numFmtId="0" fontId="8" fillId="0" borderId="32" xfId="0" applyFont="1" applyBorder="1"/>
    <xf numFmtId="165" fontId="8" fillId="0" borderId="32" xfId="1" applyFont="1" applyBorder="1"/>
    <xf numFmtId="0" fontId="0" fillId="2" borderId="0" xfId="0" applyFill="1"/>
    <xf numFmtId="165" fontId="11" fillId="0" borderId="33" xfId="0" applyNumberFormat="1" applyFont="1" applyBorder="1"/>
    <xf numFmtId="0" fontId="12" fillId="0" borderId="5" xfId="0" applyFont="1" applyBorder="1" applyAlignment="1">
      <alignment wrapText="1"/>
    </xf>
    <xf numFmtId="0" fontId="3" fillId="0" borderId="34" xfId="0" applyFont="1" applyBorder="1" applyAlignment="1">
      <alignment horizontal="center"/>
    </xf>
    <xf numFmtId="0" fontId="0" fillId="0" borderId="2" xfId="0" applyBorder="1"/>
    <xf numFmtId="0" fontId="2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0" borderId="35" xfId="0" applyFont="1" applyBorder="1"/>
    <xf numFmtId="0" fontId="3" fillId="0" borderId="36" xfId="0" applyFont="1" applyBorder="1" applyAlignment="1">
      <alignment horizontal="center"/>
    </xf>
    <xf numFmtId="0" fontId="0" fillId="0" borderId="5" xfId="0" applyBorder="1"/>
    <xf numFmtId="0" fontId="0" fillId="0" borderId="6" xfId="0" applyBorder="1"/>
    <xf numFmtId="165" fontId="4" fillId="0" borderId="6" xfId="1" applyFont="1" applyBorder="1"/>
    <xf numFmtId="0" fontId="0" fillId="0" borderId="3" xfId="0" applyBorder="1"/>
    <xf numFmtId="0" fontId="3" fillId="0" borderId="37" xfId="0" applyFont="1" applyBorder="1" applyAlignment="1">
      <alignment horizontal="center"/>
    </xf>
    <xf numFmtId="165" fontId="4" fillId="0" borderId="35" xfId="1" applyFont="1" applyBorder="1"/>
    <xf numFmtId="0" fontId="2" fillId="0" borderId="38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/>
    </xf>
    <xf numFmtId="0" fontId="0" fillId="0" borderId="40" xfId="0" applyBorder="1"/>
    <xf numFmtId="0" fontId="9" fillId="0" borderId="41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/>
    </xf>
    <xf numFmtId="165" fontId="0" fillId="0" borderId="0" xfId="0" applyNumberFormat="1"/>
    <xf numFmtId="165" fontId="5" fillId="0" borderId="0" xfId="0" applyNumberFormat="1" applyFont="1"/>
    <xf numFmtId="0" fontId="9" fillId="0" borderId="42" xfId="0" applyFont="1" applyBorder="1" applyAlignment="1">
      <alignment horizontal="center" vertical="center" wrapText="1"/>
    </xf>
    <xf numFmtId="166" fontId="0" fillId="0" borderId="0" xfId="0" applyNumberFormat="1"/>
    <xf numFmtId="165" fontId="15" fillId="0" borderId="0" xfId="1" applyFont="1"/>
    <xf numFmtId="0" fontId="9" fillId="0" borderId="0" xfId="0" applyFont="1" applyAlignment="1">
      <alignment horizontal="center" vertical="center" wrapText="1"/>
    </xf>
    <xf numFmtId="0" fontId="9" fillId="0" borderId="43" xfId="0" applyFont="1" applyBorder="1" applyAlignment="1">
      <alignment horizontal="center" vertical="center" wrapText="1"/>
    </xf>
    <xf numFmtId="0" fontId="2" fillId="0" borderId="1" xfId="0" applyFont="1" applyBorder="1"/>
    <xf numFmtId="0" fontId="2" fillId="0" borderId="44" xfId="0" applyFont="1" applyBorder="1"/>
    <xf numFmtId="4" fontId="18" fillId="0" borderId="45" xfId="0" applyNumberFormat="1" applyFont="1" applyBorder="1"/>
    <xf numFmtId="165" fontId="18" fillId="0" borderId="46" xfId="0" applyNumberFormat="1" applyFont="1" applyBorder="1"/>
    <xf numFmtId="0" fontId="18" fillId="0" borderId="7" xfId="0" applyFont="1" applyBorder="1"/>
    <xf numFmtId="0" fontId="18" fillId="0" borderId="8" xfId="0" applyFont="1" applyBorder="1"/>
    <xf numFmtId="0" fontId="18" fillId="0" borderId="13" xfId="0" applyFont="1" applyBorder="1"/>
    <xf numFmtId="4" fontId="18" fillId="0" borderId="47" xfId="0" applyNumberFormat="1" applyFont="1" applyBorder="1"/>
    <xf numFmtId="165" fontId="18" fillId="0" borderId="48" xfId="0" applyNumberFormat="1" applyFont="1" applyBorder="1"/>
    <xf numFmtId="0" fontId="9" fillId="0" borderId="50" xfId="0" applyFont="1" applyBorder="1" applyAlignment="1">
      <alignment horizontal="center" vertical="center" wrapText="1"/>
    </xf>
    <xf numFmtId="0" fontId="0" fillId="0" borderId="21" xfId="0" applyBorder="1"/>
    <xf numFmtId="0" fontId="0" fillId="0" borderId="17" xfId="0" applyBorder="1"/>
    <xf numFmtId="0" fontId="0" fillId="0" borderId="51" xfId="0" applyBorder="1"/>
    <xf numFmtId="0" fontId="2" fillId="0" borderId="29" xfId="0" applyFont="1" applyBorder="1"/>
    <xf numFmtId="0" fontId="2" fillId="0" borderId="0" xfId="0" applyFont="1"/>
    <xf numFmtId="0" fontId="2" fillId="0" borderId="2" xfId="0" applyFont="1" applyBorder="1"/>
    <xf numFmtId="0" fontId="2" fillId="0" borderId="4" xfId="0" applyFont="1" applyBorder="1"/>
    <xf numFmtId="0" fontId="2" fillId="0" borderId="3" xfId="0" applyFont="1" applyBorder="1"/>
    <xf numFmtId="0" fontId="2" fillId="0" borderId="52" xfId="0" applyFont="1" applyBorder="1"/>
    <xf numFmtId="0" fontId="2" fillId="0" borderId="53" xfId="0" applyFont="1" applyBorder="1"/>
    <xf numFmtId="4" fontId="2" fillId="0" borderId="53" xfId="0" applyNumberFormat="1" applyFont="1" applyBorder="1"/>
    <xf numFmtId="0" fontId="2" fillId="0" borderId="54" xfId="0" applyFont="1" applyBorder="1"/>
    <xf numFmtId="165" fontId="2" fillId="0" borderId="55" xfId="0" applyNumberFormat="1" applyFont="1" applyBorder="1"/>
    <xf numFmtId="14" fontId="2" fillId="0" borderId="56" xfId="0" applyNumberFormat="1" applyFont="1" applyBorder="1"/>
    <xf numFmtId="165" fontId="2" fillId="0" borderId="53" xfId="1" applyFont="1" applyBorder="1"/>
    <xf numFmtId="165" fontId="2" fillId="0" borderId="55" xfId="1" applyFont="1" applyBorder="1"/>
    <xf numFmtId="165" fontId="2" fillId="0" borderId="57" xfId="1" applyFont="1" applyBorder="1"/>
    <xf numFmtId="165" fontId="2" fillId="0" borderId="56" xfId="1" applyFont="1" applyBorder="1"/>
    <xf numFmtId="165" fontId="2" fillId="0" borderId="58" xfId="1" applyFont="1" applyBorder="1"/>
    <xf numFmtId="165" fontId="2" fillId="0" borderId="59" xfId="1" applyFont="1" applyBorder="1"/>
    <xf numFmtId="0" fontId="2" fillId="0" borderId="60" xfId="0" applyFont="1" applyBorder="1"/>
    <xf numFmtId="4" fontId="2" fillId="0" borderId="1" xfId="0" applyNumberFormat="1" applyFont="1" applyBorder="1"/>
    <xf numFmtId="165" fontId="2" fillId="0" borderId="61" xfId="0" applyNumberFormat="1" applyFont="1" applyBorder="1"/>
    <xf numFmtId="14" fontId="2" fillId="0" borderId="62" xfId="0" applyNumberFormat="1" applyFont="1" applyBorder="1"/>
    <xf numFmtId="0" fontId="2" fillId="0" borderId="34" xfId="0" applyFont="1" applyBorder="1"/>
    <xf numFmtId="165" fontId="2" fillId="0" borderId="1" xfId="1" applyFont="1" applyBorder="1"/>
    <xf numFmtId="165" fontId="2" fillId="0" borderId="61" xfId="1" applyFont="1" applyBorder="1"/>
    <xf numFmtId="165" fontId="2" fillId="0" borderId="63" xfId="1" applyFont="1" applyBorder="1"/>
    <xf numFmtId="165" fontId="2" fillId="0" borderId="62" xfId="1" applyFont="1" applyBorder="1"/>
    <xf numFmtId="165" fontId="2" fillId="0" borderId="21" xfId="1" applyFont="1" applyBorder="1"/>
    <xf numFmtId="165" fontId="2" fillId="0" borderId="20" xfId="1" applyFont="1" applyBorder="1"/>
    <xf numFmtId="0" fontId="2" fillId="0" borderId="18" xfId="0" applyFont="1" applyBorder="1"/>
    <xf numFmtId="165" fontId="2" fillId="0" borderId="34" xfId="1" applyFont="1" applyBorder="1"/>
    <xf numFmtId="0" fontId="2" fillId="0" borderId="5" xfId="0" applyFont="1" applyBorder="1"/>
    <xf numFmtId="0" fontId="2" fillId="0" borderId="6" xfId="0" applyFont="1" applyBorder="1"/>
    <xf numFmtId="4" fontId="2" fillId="0" borderId="64" xfId="0" applyNumberFormat="1" applyFont="1" applyBorder="1"/>
    <xf numFmtId="0" fontId="2" fillId="0" borderId="65" xfId="0" applyFont="1" applyBorder="1"/>
    <xf numFmtId="165" fontId="2" fillId="0" borderId="66" xfId="0" applyNumberFormat="1" applyFont="1" applyBorder="1"/>
    <xf numFmtId="14" fontId="2" fillId="0" borderId="67" xfId="0" applyNumberFormat="1" applyFont="1" applyBorder="1"/>
    <xf numFmtId="165" fontId="2" fillId="0" borderId="6" xfId="1" applyFont="1" applyBorder="1"/>
    <xf numFmtId="165" fontId="2" fillId="0" borderId="66" xfId="1" applyFont="1" applyBorder="1"/>
    <xf numFmtId="165" fontId="2" fillId="0" borderId="68" xfId="1" applyFont="1" applyBorder="1"/>
    <xf numFmtId="165" fontId="2" fillId="0" borderId="67" xfId="1" applyFont="1" applyBorder="1"/>
    <xf numFmtId="165" fontId="2" fillId="0" borderId="64" xfId="1" applyFont="1" applyBorder="1"/>
    <xf numFmtId="165" fontId="2" fillId="0" borderId="17" xfId="1" applyFont="1" applyBorder="1"/>
    <xf numFmtId="165" fontId="2" fillId="0" borderId="35" xfId="1" applyFont="1" applyBorder="1"/>
    <xf numFmtId="0" fontId="2" fillId="0" borderId="69" xfId="0" applyFont="1" applyBorder="1"/>
    <xf numFmtId="165" fontId="2" fillId="0" borderId="3" xfId="1" applyFont="1" applyBorder="1"/>
    <xf numFmtId="165" fontId="2" fillId="0" borderId="0" xfId="1" applyFont="1" applyBorder="1"/>
    <xf numFmtId="0" fontId="2" fillId="0" borderId="36" xfId="0" applyFont="1" applyBorder="1"/>
    <xf numFmtId="4" fontId="2" fillId="0" borderId="34" xfId="0" applyNumberFormat="1" applyFont="1" applyBorder="1"/>
    <xf numFmtId="165" fontId="2" fillId="0" borderId="51" xfId="0" applyNumberFormat="1" applyFont="1" applyBorder="1"/>
    <xf numFmtId="165" fontId="2" fillId="0" borderId="21" xfId="0" applyNumberFormat="1" applyFont="1" applyBorder="1"/>
    <xf numFmtId="0" fontId="2" fillId="0" borderId="70" xfId="0" applyFont="1" applyBorder="1"/>
    <xf numFmtId="4" fontId="2" fillId="0" borderId="49" xfId="0" applyNumberFormat="1" applyFont="1" applyBorder="1"/>
    <xf numFmtId="165" fontId="2" fillId="0" borderId="33" xfId="0" applyNumberFormat="1" applyFont="1" applyBorder="1"/>
    <xf numFmtId="4" fontId="2" fillId="0" borderId="71" xfId="0" applyNumberFormat="1" applyFont="1" applyBorder="1"/>
    <xf numFmtId="165" fontId="2" fillId="0" borderId="30" xfId="0" applyNumberFormat="1" applyFont="1" applyBorder="1"/>
    <xf numFmtId="4" fontId="0" fillId="0" borderId="0" xfId="0" applyNumberFormat="1"/>
    <xf numFmtId="165" fontId="4" fillId="0" borderId="0" xfId="1" applyFont="1" applyBorder="1"/>
    <xf numFmtId="165" fontId="0" fillId="0" borderId="6" xfId="0" applyNumberFormat="1" applyBorder="1"/>
    <xf numFmtId="0" fontId="3" fillId="0" borderId="72" xfId="0" applyFont="1" applyBorder="1" applyAlignment="1">
      <alignment horizontal="center"/>
    </xf>
    <xf numFmtId="165" fontId="4" fillId="0" borderId="69" xfId="1" applyFont="1" applyBorder="1"/>
    <xf numFmtId="0" fontId="9" fillId="0" borderId="14" xfId="0" applyFont="1" applyBorder="1" applyAlignment="1">
      <alignment horizontal="center" vertical="center" wrapText="1"/>
    </xf>
    <xf numFmtId="0" fontId="5" fillId="0" borderId="73" xfId="0" applyFont="1" applyBorder="1"/>
    <xf numFmtId="0" fontId="0" fillId="0" borderId="73" xfId="0" applyBorder="1" applyAlignment="1">
      <alignment horizontal="center" wrapText="1"/>
    </xf>
    <xf numFmtId="0" fontId="0" fillId="0" borderId="49" xfId="0" applyBorder="1"/>
    <xf numFmtId="0" fontId="0" fillId="0" borderId="18" xfId="0" applyBorder="1"/>
    <xf numFmtId="0" fontId="5" fillId="0" borderId="20" xfId="0" applyFont="1" applyBorder="1"/>
    <xf numFmtId="2" fontId="0" fillId="0" borderId="1" xfId="0" applyNumberFormat="1" applyBorder="1"/>
    <xf numFmtId="0" fontId="0" fillId="0" borderId="72" xfId="0" applyBorder="1"/>
    <xf numFmtId="0" fontId="5" fillId="0" borderId="37" xfId="0" applyFont="1" applyBorder="1"/>
    <xf numFmtId="0" fontId="1" fillId="0" borderId="20" xfId="0" applyFont="1" applyBorder="1"/>
    <xf numFmtId="0" fontId="1" fillId="0" borderId="37" xfId="0" applyFont="1" applyBorder="1"/>
    <xf numFmtId="0" fontId="1" fillId="0" borderId="0" xfId="0" applyFont="1"/>
    <xf numFmtId="0" fontId="5" fillId="0" borderId="0" xfId="0" applyFont="1" applyAlignment="1">
      <alignment horizontal="center"/>
    </xf>
    <xf numFmtId="166" fontId="0" fillId="0" borderId="74" xfId="0" applyNumberFormat="1" applyBorder="1" applyAlignment="1">
      <alignment horizontal="center"/>
    </xf>
    <xf numFmtId="0" fontId="5" fillId="0" borderId="0" xfId="0" applyFont="1"/>
    <xf numFmtId="0" fontId="27" fillId="0" borderId="0" xfId="0" applyFont="1"/>
    <xf numFmtId="0" fontId="27" fillId="0" borderId="7" xfId="0" applyFont="1" applyBorder="1"/>
    <xf numFmtId="0" fontId="27" fillId="0" borderId="8" xfId="0" applyFont="1" applyBorder="1"/>
    <xf numFmtId="0" fontId="27" fillId="0" borderId="13" xfId="0" applyFont="1" applyBorder="1"/>
    <xf numFmtId="0" fontId="27" fillId="0" borderId="52" xfId="0" quotePrefix="1" applyFont="1" applyBorder="1"/>
    <xf numFmtId="4" fontId="27" fillId="0" borderId="53" xfId="0" applyNumberFormat="1" applyFont="1" applyBorder="1"/>
    <xf numFmtId="165" fontId="27" fillId="0" borderId="58" xfId="1" applyFont="1" applyBorder="1"/>
    <xf numFmtId="0" fontId="27" fillId="0" borderId="29" xfId="0" quotePrefix="1" applyFont="1" applyBorder="1"/>
    <xf numFmtId="4" fontId="27" fillId="0" borderId="1" xfId="0" applyNumberFormat="1" applyFont="1" applyBorder="1"/>
    <xf numFmtId="165" fontId="27" fillId="0" borderId="21" xfId="1" applyFont="1" applyBorder="1"/>
    <xf numFmtId="0" fontId="27" fillId="0" borderId="29" xfId="0" applyFont="1" applyBorder="1"/>
    <xf numFmtId="0" fontId="27" fillId="0" borderId="5" xfId="0" quotePrefix="1" applyFont="1" applyBorder="1"/>
    <xf numFmtId="4" fontId="27" fillId="0" borderId="73" xfId="0" applyNumberFormat="1" applyFont="1" applyBorder="1"/>
    <xf numFmtId="165" fontId="27" fillId="0" borderId="33" xfId="1" applyFont="1" applyBorder="1"/>
    <xf numFmtId="4" fontId="26" fillId="0" borderId="84" xfId="0" applyNumberFormat="1" applyFont="1" applyBorder="1"/>
    <xf numFmtId="165" fontId="26" fillId="0" borderId="85" xfId="1" applyFont="1" applyBorder="1"/>
    <xf numFmtId="2" fontId="0" fillId="0" borderId="92" xfId="0" applyNumberFormat="1" applyBorder="1" applyAlignment="1">
      <alignment horizontal="center"/>
    </xf>
    <xf numFmtId="0" fontId="0" fillId="0" borderId="0" xfId="0" quotePrefix="1" applyAlignment="1">
      <alignment horizontal="center"/>
    </xf>
    <xf numFmtId="0" fontId="30" fillId="0" borderId="0" xfId="0" applyFont="1"/>
    <xf numFmtId="0" fontId="30" fillId="0" borderId="7" xfId="0" applyFont="1" applyBorder="1" applyAlignment="1">
      <alignment horizontal="center"/>
    </xf>
    <xf numFmtId="0" fontId="30" fillId="0" borderId="80" xfId="0" applyFont="1" applyBorder="1" applyAlignment="1">
      <alignment horizontal="center"/>
    </xf>
    <xf numFmtId="0" fontId="30" fillId="0" borderId="81" xfId="0" applyFont="1" applyBorder="1" applyAlignment="1">
      <alignment horizontal="center"/>
    </xf>
    <xf numFmtId="4" fontId="30" fillId="0" borderId="48" xfId="0" applyNumberFormat="1" applyFont="1" applyBorder="1"/>
    <xf numFmtId="165" fontId="30" fillId="0" borderId="47" xfId="0" applyNumberFormat="1" applyFont="1" applyBorder="1"/>
    <xf numFmtId="0" fontId="27" fillId="0" borderId="52" xfId="0" quotePrefix="1" applyFont="1" applyBorder="1" applyAlignment="1">
      <alignment horizontal="center"/>
    </xf>
    <xf numFmtId="165" fontId="27" fillId="0" borderId="53" xfId="1" applyFont="1" applyBorder="1"/>
    <xf numFmtId="4" fontId="27" fillId="0" borderId="58" xfId="0" applyNumberFormat="1" applyFont="1" applyBorder="1"/>
    <xf numFmtId="0" fontId="27" fillId="0" borderId="29" xfId="0" quotePrefix="1" applyFont="1" applyBorder="1" applyAlignment="1">
      <alignment horizontal="center"/>
    </xf>
    <xf numFmtId="165" fontId="27" fillId="0" borderId="1" xfId="1" applyFont="1" applyBorder="1"/>
    <xf numFmtId="4" fontId="27" fillId="0" borderId="21" xfId="0" applyNumberFormat="1" applyFont="1" applyBorder="1"/>
    <xf numFmtId="0" fontId="27" fillId="0" borderId="5" xfId="0" quotePrefix="1" applyFont="1" applyBorder="1" applyAlignment="1">
      <alignment horizontal="center"/>
    </xf>
    <xf numFmtId="165" fontId="27" fillId="0" borderId="73" xfId="1" applyFont="1" applyBorder="1"/>
    <xf numFmtId="4" fontId="27" fillId="0" borderId="33" xfId="0" applyNumberFormat="1" applyFont="1" applyBorder="1"/>
    <xf numFmtId="0" fontId="30" fillId="0" borderId="93" xfId="0" applyFont="1" applyBorder="1" applyAlignment="1">
      <alignment horizontal="center"/>
    </xf>
    <xf numFmtId="165" fontId="30" fillId="0" borderId="28" xfId="0" applyNumberFormat="1" applyFont="1" applyBorder="1"/>
    <xf numFmtId="4" fontId="30" fillId="0" borderId="31" xfId="0" applyNumberFormat="1" applyFont="1" applyBorder="1"/>
    <xf numFmtId="4" fontId="25" fillId="0" borderId="45" xfId="0" applyNumberFormat="1" applyFont="1" applyBorder="1"/>
    <xf numFmtId="0" fontId="27" fillId="0" borderId="36" xfId="0" applyFont="1" applyBorder="1" applyAlignment="1">
      <alignment horizontal="center"/>
    </xf>
    <xf numFmtId="0" fontId="27" fillId="0" borderId="29" xfId="0" applyFont="1" applyBorder="1" applyAlignment="1">
      <alignment horizontal="center"/>
    </xf>
    <xf numFmtId="0" fontId="27" fillId="0" borderId="5" xfId="0" applyFont="1" applyBorder="1" applyAlignment="1">
      <alignment horizontal="center"/>
    </xf>
    <xf numFmtId="0" fontId="26" fillId="0" borderId="7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4" fontId="27" fillId="0" borderId="60" xfId="0" applyNumberFormat="1" applyFont="1" applyBorder="1"/>
    <xf numFmtId="4" fontId="27" fillId="0" borderId="18" xfId="0" applyNumberFormat="1" applyFont="1" applyBorder="1"/>
    <xf numFmtId="4" fontId="27" fillId="0" borderId="94" xfId="0" applyNumberFormat="1" applyFont="1" applyBorder="1"/>
    <xf numFmtId="4" fontId="27" fillId="0" borderId="17" xfId="0" applyNumberFormat="1" applyFont="1" applyBorder="1"/>
    <xf numFmtId="4" fontId="27" fillId="0" borderId="51" xfId="0" applyNumberFormat="1" applyFont="1" applyBorder="1"/>
    <xf numFmtId="0" fontId="26" fillId="0" borderId="13" xfId="0" applyFont="1" applyBorder="1" applyAlignment="1">
      <alignment horizontal="center" wrapText="1"/>
    </xf>
    <xf numFmtId="165" fontId="0" fillId="0" borderId="0" xfId="1" applyFont="1"/>
    <xf numFmtId="9" fontId="0" fillId="0" borderId="0" xfId="2" applyFont="1"/>
    <xf numFmtId="17" fontId="27" fillId="0" borderId="5" xfId="0" quotePrefix="1" applyNumberFormat="1" applyFont="1" applyBorder="1" applyAlignment="1">
      <alignment horizontal="center"/>
    </xf>
    <xf numFmtId="0" fontId="21" fillId="0" borderId="70" xfId="0" applyFont="1" applyBorder="1"/>
    <xf numFmtId="0" fontId="21" fillId="0" borderId="73" xfId="0" applyFont="1" applyBorder="1"/>
    <xf numFmtId="4" fontId="21" fillId="0" borderId="73" xfId="0" applyNumberFormat="1" applyFont="1" applyBorder="1"/>
    <xf numFmtId="0" fontId="21" fillId="0" borderId="77" xfId="0" applyFont="1" applyBorder="1"/>
    <xf numFmtId="14" fontId="21" fillId="0" borderId="78" xfId="0" applyNumberFormat="1" applyFont="1" applyBorder="1"/>
    <xf numFmtId="165" fontId="21" fillId="0" borderId="49" xfId="1" applyFont="1" applyBorder="1" applyProtection="1"/>
    <xf numFmtId="165" fontId="21" fillId="0" borderId="73" xfId="1" applyFont="1" applyFill="1" applyBorder="1" applyProtection="1"/>
    <xf numFmtId="165" fontId="21" fillId="0" borderId="73" xfId="1" applyFont="1" applyBorder="1" applyProtection="1"/>
    <xf numFmtId="10" fontId="21" fillId="0" borderId="73" xfId="2" applyNumberFormat="1" applyFont="1" applyBorder="1" applyAlignment="1" applyProtection="1">
      <alignment horizontal="center"/>
    </xf>
    <xf numFmtId="14" fontId="0" fillId="0" borderId="82" xfId="0" applyNumberFormat="1" applyBorder="1"/>
    <xf numFmtId="14" fontId="0" fillId="0" borderId="0" xfId="0" applyNumberFormat="1"/>
    <xf numFmtId="0" fontId="0" fillId="0" borderId="0" xfId="0" applyProtection="1">
      <protection locked="0"/>
    </xf>
    <xf numFmtId="0" fontId="21" fillId="0" borderId="70" xfId="0" applyFont="1" applyBorder="1" applyProtection="1">
      <protection locked="0"/>
    </xf>
    <xf numFmtId="0" fontId="21" fillId="0" borderId="73" xfId="0" applyFont="1" applyBorder="1" applyProtection="1">
      <protection locked="0"/>
    </xf>
    <xf numFmtId="4" fontId="21" fillId="0" borderId="73" xfId="0" applyNumberFormat="1" applyFont="1" applyBorder="1" applyProtection="1">
      <protection locked="0"/>
    </xf>
    <xf numFmtId="0" fontId="21" fillId="0" borderId="77" xfId="0" applyFont="1" applyBorder="1" applyProtection="1">
      <protection locked="0"/>
    </xf>
    <xf numFmtId="44" fontId="21" fillId="0" borderId="97" xfId="0" applyNumberFormat="1" applyFont="1" applyBorder="1" applyProtection="1">
      <protection locked="0"/>
    </xf>
    <xf numFmtId="44" fontId="21" fillId="0" borderId="79" xfId="0" applyNumberFormat="1" applyFont="1" applyBorder="1" applyProtection="1">
      <protection locked="0"/>
    </xf>
    <xf numFmtId="14" fontId="21" fillId="0" borderId="78" xfId="0" applyNumberFormat="1" applyFont="1" applyBorder="1" applyProtection="1">
      <protection locked="0"/>
    </xf>
    <xf numFmtId="165" fontId="21" fillId="0" borderId="49" xfId="1" applyFont="1" applyBorder="1" applyProtection="1">
      <protection locked="0"/>
    </xf>
    <xf numFmtId="165" fontId="21" fillId="0" borderId="73" xfId="1" applyFont="1" applyFill="1" applyBorder="1" applyProtection="1">
      <protection locked="0"/>
    </xf>
    <xf numFmtId="165" fontId="21" fillId="0" borderId="73" xfId="1" applyFont="1" applyBorder="1" applyProtection="1">
      <protection locked="0"/>
    </xf>
    <xf numFmtId="10" fontId="21" fillId="0" borderId="73" xfId="2" applyNumberFormat="1" applyFont="1" applyBorder="1" applyAlignment="1" applyProtection="1">
      <alignment horizontal="center"/>
      <protection locked="0"/>
    </xf>
    <xf numFmtId="14" fontId="0" fillId="0" borderId="82" xfId="0" applyNumberFormat="1" applyBorder="1" applyProtection="1">
      <protection locked="0"/>
    </xf>
    <xf numFmtId="14" fontId="0" fillId="0" borderId="0" xfId="0" applyNumberFormat="1" applyProtection="1">
      <protection locked="0"/>
    </xf>
    <xf numFmtId="0" fontId="0" fillId="7" borderId="0" xfId="0" applyFill="1" applyProtection="1">
      <protection locked="0"/>
    </xf>
    <xf numFmtId="0" fontId="25" fillId="0" borderId="0" xfId="0" applyFont="1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165" fontId="21" fillId="10" borderId="73" xfId="1" applyFont="1" applyFill="1" applyBorder="1" applyProtection="1">
      <protection locked="0"/>
    </xf>
    <xf numFmtId="0" fontId="21" fillId="0" borderId="5" xfId="0" applyFont="1" applyBorder="1" applyProtection="1">
      <protection locked="0"/>
    </xf>
    <xf numFmtId="0" fontId="21" fillId="0" borderId="6" xfId="0" applyFont="1" applyBorder="1" applyProtection="1">
      <protection locked="0"/>
    </xf>
    <xf numFmtId="4" fontId="21" fillId="0" borderId="64" xfId="0" applyNumberFormat="1" applyFont="1" applyBorder="1" applyProtection="1">
      <protection locked="0"/>
    </xf>
    <xf numFmtId="0" fontId="21" fillId="0" borderId="65" xfId="0" applyFont="1" applyBorder="1" applyProtection="1">
      <protection locked="0"/>
    </xf>
    <xf numFmtId="44" fontId="21" fillId="0" borderId="98" xfId="0" applyNumberFormat="1" applyFont="1" applyBorder="1" applyProtection="1">
      <protection locked="0"/>
    </xf>
    <xf numFmtId="44" fontId="21" fillId="0" borderId="66" xfId="0" applyNumberFormat="1" applyFont="1" applyBorder="1" applyProtection="1">
      <protection locked="0"/>
    </xf>
    <xf numFmtId="14" fontId="21" fillId="0" borderId="67" xfId="0" applyNumberFormat="1" applyFont="1" applyBorder="1" applyProtection="1">
      <protection locked="0"/>
    </xf>
    <xf numFmtId="165" fontId="21" fillId="0" borderId="35" xfId="1" applyFont="1" applyBorder="1" applyProtection="1">
      <protection locked="0"/>
    </xf>
    <xf numFmtId="165" fontId="21" fillId="0" borderId="6" xfId="1" applyFont="1" applyFill="1" applyBorder="1" applyProtection="1">
      <protection locked="0"/>
    </xf>
    <xf numFmtId="165" fontId="21" fillId="0" borderId="64" xfId="1" applyFont="1" applyFill="1" applyBorder="1" applyProtection="1">
      <protection locked="0"/>
    </xf>
    <xf numFmtId="165" fontId="21" fillId="0" borderId="6" xfId="1" applyFont="1" applyBorder="1" applyProtection="1">
      <protection locked="0"/>
    </xf>
    <xf numFmtId="10" fontId="21" fillId="0" borderId="6" xfId="2" applyNumberFormat="1" applyFont="1" applyBorder="1" applyAlignment="1" applyProtection="1">
      <alignment horizontal="center"/>
      <protection locked="0"/>
    </xf>
    <xf numFmtId="14" fontId="0" fillId="0" borderId="96" xfId="0" applyNumberFormat="1" applyBorder="1" applyProtection="1">
      <protection locked="0"/>
    </xf>
    <xf numFmtId="0" fontId="21" fillId="0" borderId="0" xfId="0" applyFont="1" applyProtection="1">
      <protection locked="0"/>
    </xf>
    <xf numFmtId="4" fontId="5" fillId="0" borderId="46" xfId="0" applyNumberFormat="1" applyFont="1" applyBorder="1" applyProtection="1">
      <protection locked="0"/>
    </xf>
    <xf numFmtId="43" fontId="21" fillId="0" borderId="0" xfId="0" applyNumberFormat="1" applyFont="1" applyProtection="1">
      <protection locked="0"/>
    </xf>
    <xf numFmtId="14" fontId="21" fillId="0" borderId="0" xfId="0" applyNumberFormat="1" applyFont="1" applyProtection="1">
      <protection locked="0"/>
    </xf>
    <xf numFmtId="165" fontId="21" fillId="0" borderId="0" xfId="1" applyFont="1" applyBorder="1" applyProtection="1">
      <protection locked="0"/>
    </xf>
    <xf numFmtId="165" fontId="5" fillId="0" borderId="46" xfId="1" applyFont="1" applyBorder="1" applyProtection="1">
      <protection locked="0"/>
    </xf>
    <xf numFmtId="165" fontId="5" fillId="0" borderId="0" xfId="1" applyFont="1" applyBorder="1" applyProtection="1">
      <protection locked="0"/>
    </xf>
    <xf numFmtId="165" fontId="5" fillId="0" borderId="45" xfId="1" applyFont="1" applyBorder="1" applyProtection="1">
      <protection locked="0"/>
    </xf>
    <xf numFmtId="4" fontId="21" fillId="0" borderId="0" xfId="0" applyNumberFormat="1" applyFont="1" applyProtection="1">
      <protection locked="0"/>
    </xf>
    <xf numFmtId="165" fontId="21" fillId="0" borderId="0" xfId="0" applyNumberFormat="1" applyFont="1" applyProtection="1">
      <protection locked="0"/>
    </xf>
    <xf numFmtId="4" fontId="0" fillId="0" borderId="0" xfId="0" applyNumberFormat="1" applyProtection="1">
      <protection locked="0"/>
    </xf>
    <xf numFmtId="0" fontId="18" fillId="0" borderId="14" xfId="0" applyFont="1" applyBorder="1" applyProtection="1">
      <protection locked="0"/>
    </xf>
    <xf numFmtId="4" fontId="18" fillId="0" borderId="15" xfId="0" applyNumberFormat="1" applyFont="1" applyBorder="1" applyProtection="1">
      <protection locked="0"/>
    </xf>
    <xf numFmtId="0" fontId="18" fillId="0" borderId="86" xfId="0" applyFont="1" applyBorder="1" applyProtection="1">
      <protection locked="0"/>
    </xf>
    <xf numFmtId="165" fontId="18" fillId="0" borderId="16" xfId="0" applyNumberFormat="1" applyFont="1" applyBorder="1" applyProtection="1">
      <protection locked="0"/>
    </xf>
    <xf numFmtId="14" fontId="21" fillId="0" borderId="89" xfId="0" applyNumberFormat="1" applyFont="1" applyBorder="1" applyProtection="1">
      <protection locked="0"/>
    </xf>
    <xf numFmtId="0" fontId="21" fillId="0" borderId="29" xfId="0" applyFont="1" applyBorder="1" applyProtection="1">
      <protection locked="0"/>
    </xf>
    <xf numFmtId="4" fontId="21" fillId="0" borderId="1" xfId="0" applyNumberFormat="1" applyFont="1" applyBorder="1" applyProtection="1">
      <protection locked="0"/>
    </xf>
    <xf numFmtId="0" fontId="21" fillId="0" borderId="18" xfId="0" applyFont="1" applyBorder="1" applyProtection="1">
      <protection locked="0"/>
    </xf>
    <xf numFmtId="165" fontId="2" fillId="0" borderId="21" xfId="0" applyNumberFormat="1" applyFont="1" applyBorder="1" applyProtection="1">
      <protection locked="0"/>
    </xf>
    <xf numFmtId="4" fontId="2" fillId="0" borderId="90" xfId="0" applyNumberFormat="1" applyFont="1" applyBorder="1" applyProtection="1">
      <protection locked="0"/>
    </xf>
    <xf numFmtId="4" fontId="2" fillId="0" borderId="0" xfId="0" applyNumberFormat="1" applyFont="1" applyProtection="1">
      <protection locked="0"/>
    </xf>
    <xf numFmtId="0" fontId="22" fillId="0" borderId="29" xfId="0" applyFont="1" applyBorder="1" applyProtection="1">
      <protection locked="0"/>
    </xf>
    <xf numFmtId="4" fontId="22" fillId="0" borderId="1" xfId="0" applyNumberFormat="1" applyFont="1" applyBorder="1" applyProtection="1">
      <protection locked="0"/>
    </xf>
    <xf numFmtId="0" fontId="22" fillId="0" borderId="18" xfId="0" applyFont="1" applyBorder="1" applyProtection="1">
      <protection locked="0"/>
    </xf>
    <xf numFmtId="165" fontId="22" fillId="0" borderId="21" xfId="0" applyNumberFormat="1" applyFont="1" applyBorder="1" applyProtection="1">
      <protection locked="0"/>
    </xf>
    <xf numFmtId="4" fontId="17" fillId="0" borderId="1" xfId="0" applyNumberFormat="1" applyFont="1" applyBorder="1" applyProtection="1">
      <protection locked="0"/>
    </xf>
    <xf numFmtId="165" fontId="17" fillId="0" borderId="18" xfId="0" applyNumberFormat="1" applyFont="1" applyBorder="1" applyProtection="1">
      <protection locked="0"/>
    </xf>
    <xf numFmtId="0" fontId="2" fillId="0" borderId="29" xfId="0" applyFont="1" applyBorder="1" applyProtection="1">
      <protection locked="0"/>
    </xf>
    <xf numFmtId="165" fontId="2" fillId="0" borderId="18" xfId="1" applyFont="1" applyBorder="1" applyProtection="1">
      <protection locked="0"/>
    </xf>
    <xf numFmtId="4" fontId="2" fillId="0" borderId="1" xfId="0" applyNumberFormat="1" applyFont="1" applyBorder="1" applyProtection="1">
      <protection locked="0"/>
    </xf>
    <xf numFmtId="165" fontId="17" fillId="0" borderId="18" xfId="1" applyFont="1" applyBorder="1" applyProtection="1">
      <protection locked="0"/>
    </xf>
    <xf numFmtId="4" fontId="28" fillId="0" borderId="90" xfId="0" applyNumberFormat="1" applyFont="1" applyBorder="1" applyProtection="1">
      <protection locked="0"/>
    </xf>
    <xf numFmtId="0" fontId="2" fillId="0" borderId="70" xfId="0" applyFont="1" applyBorder="1" applyProtection="1">
      <protection locked="0"/>
    </xf>
    <xf numFmtId="0" fontId="17" fillId="0" borderId="75" xfId="0" applyFont="1" applyBorder="1" applyProtection="1">
      <protection locked="0"/>
    </xf>
    <xf numFmtId="4" fontId="17" fillId="0" borderId="49" xfId="0" applyNumberFormat="1" applyFont="1" applyBorder="1" applyProtection="1">
      <protection locked="0"/>
    </xf>
    <xf numFmtId="165" fontId="17" fillId="0" borderId="87" xfId="0" applyNumberFormat="1" applyFont="1" applyBorder="1" applyProtection="1">
      <protection locked="0"/>
    </xf>
    <xf numFmtId="0" fontId="28" fillId="0" borderId="33" xfId="0" applyFont="1" applyBorder="1" applyProtection="1">
      <protection locked="0"/>
    </xf>
    <xf numFmtId="4" fontId="28" fillId="0" borderId="91" xfId="0" applyNumberFormat="1" applyFont="1" applyBorder="1" applyProtection="1">
      <protection locked="0"/>
    </xf>
    <xf numFmtId="4" fontId="28" fillId="0" borderId="0" xfId="0" applyNumberFormat="1" applyFont="1" applyProtection="1">
      <protection locked="0"/>
    </xf>
    <xf numFmtId="0" fontId="2" fillId="0" borderId="28" xfId="0" applyFont="1" applyBorder="1" applyProtection="1">
      <protection locked="0"/>
    </xf>
    <xf numFmtId="4" fontId="3" fillId="0" borderId="76" xfId="0" applyNumberFormat="1" applyFont="1" applyBorder="1" applyProtection="1">
      <protection locked="0"/>
    </xf>
    <xf numFmtId="165" fontId="3" fillId="0" borderId="83" xfId="0" applyNumberFormat="1" applyFont="1" applyBorder="1" applyProtection="1">
      <protection locked="0"/>
    </xf>
    <xf numFmtId="165" fontId="29" fillId="0" borderId="83" xfId="0" applyNumberFormat="1" applyFont="1" applyBorder="1" applyProtection="1">
      <protection locked="0"/>
    </xf>
    <xf numFmtId="4" fontId="26" fillId="0" borderId="48" xfId="0" applyNumberFormat="1" applyFont="1" applyBorder="1" applyProtection="1">
      <protection locked="0"/>
    </xf>
    <xf numFmtId="4" fontId="26" fillId="0" borderId="0" xfId="0" applyNumberFormat="1" applyFont="1" applyProtection="1">
      <protection locked="0"/>
    </xf>
    <xf numFmtId="0" fontId="26" fillId="0" borderId="14" xfId="0" applyFont="1" applyBorder="1" applyProtection="1">
      <protection locked="0"/>
    </xf>
    <xf numFmtId="4" fontId="27" fillId="0" borderId="16" xfId="0" applyNumberFormat="1" applyFont="1" applyBorder="1" applyAlignment="1" applyProtection="1">
      <alignment horizontal="left"/>
      <protection locked="0"/>
    </xf>
    <xf numFmtId="0" fontId="26" fillId="0" borderId="70" xfId="0" applyFont="1" applyBorder="1" applyProtection="1">
      <protection locked="0"/>
    </xf>
    <xf numFmtId="4" fontId="27" fillId="0" borderId="33" xfId="0" applyNumberFormat="1" applyFont="1" applyBorder="1" applyAlignment="1" applyProtection="1">
      <alignment horizontal="left"/>
      <protection locked="0"/>
    </xf>
    <xf numFmtId="0" fontId="26" fillId="0" borderId="5" xfId="0" applyFont="1" applyBorder="1" applyProtection="1">
      <protection locked="0"/>
    </xf>
    <xf numFmtId="4" fontId="27" fillId="0" borderId="17" xfId="0" applyNumberFormat="1" applyFont="1" applyBorder="1" applyAlignment="1" applyProtection="1">
      <alignment horizontal="left"/>
      <protection locked="0"/>
    </xf>
    <xf numFmtId="0" fontId="26" fillId="0" borderId="7" xfId="0" applyFont="1" applyBorder="1" applyAlignment="1" applyProtection="1">
      <alignment horizontal="center" vertical="center" wrapText="1"/>
      <protection locked="0"/>
    </xf>
    <xf numFmtId="0" fontId="26" fillId="0" borderId="80" xfId="0" applyFont="1" applyBorder="1" applyAlignment="1" applyProtection="1">
      <alignment horizontal="center" vertical="center" wrapText="1"/>
      <protection locked="0"/>
    </xf>
    <xf numFmtId="0" fontId="26" fillId="0" borderId="99" xfId="0" applyFont="1" applyBorder="1" applyAlignment="1" applyProtection="1">
      <alignment horizontal="center" vertical="center" wrapText="1"/>
      <protection locked="0"/>
    </xf>
    <xf numFmtId="0" fontId="26" fillId="0" borderId="81" xfId="0" applyFont="1" applyBorder="1" applyAlignment="1" applyProtection="1">
      <alignment horizontal="center" vertical="center" wrapText="1"/>
      <protection locked="0"/>
    </xf>
    <xf numFmtId="0" fontId="26" fillId="0" borderId="0" xfId="0" applyFont="1" applyAlignment="1" applyProtection="1">
      <alignment horizontal="center" vertical="center" wrapText="1"/>
      <protection locked="0"/>
    </xf>
    <xf numFmtId="0" fontId="27" fillId="0" borderId="52" xfId="0" applyFont="1" applyBorder="1" applyAlignment="1" applyProtection="1">
      <alignment horizontal="center" vertical="center" wrapText="1"/>
      <protection locked="0"/>
    </xf>
    <xf numFmtId="4" fontId="27" fillId="0" borderId="53" xfId="0" applyNumberFormat="1" applyFont="1" applyBorder="1" applyAlignment="1" applyProtection="1">
      <alignment horizontal="center" vertical="center" wrapText="1"/>
      <protection locked="0"/>
    </xf>
    <xf numFmtId="165" fontId="27" fillId="0" borderId="53" xfId="1" applyFont="1" applyBorder="1" applyAlignment="1" applyProtection="1">
      <alignment horizontal="center" vertical="center" wrapText="1"/>
      <protection locked="0"/>
    </xf>
    <xf numFmtId="165" fontId="27" fillId="0" borderId="60" xfId="1" applyFont="1" applyBorder="1" applyAlignment="1" applyProtection="1">
      <alignment horizontal="center" vertical="center" wrapText="1"/>
      <protection locked="0"/>
    </xf>
    <xf numFmtId="165" fontId="27" fillId="0" borderId="58" xfId="1" applyFont="1" applyBorder="1" applyAlignment="1" applyProtection="1">
      <alignment horizontal="center" vertical="center" wrapText="1"/>
      <protection locked="0"/>
    </xf>
    <xf numFmtId="4" fontId="27" fillId="0" borderId="59" xfId="0" applyNumberFormat="1" applyFont="1" applyBorder="1" applyAlignment="1" applyProtection="1">
      <alignment horizontal="center" vertical="center" wrapText="1"/>
      <protection locked="0"/>
    </xf>
    <xf numFmtId="165" fontId="27" fillId="0" borderId="0" xfId="1" applyFont="1" applyBorder="1" applyAlignment="1" applyProtection="1">
      <alignment horizontal="center" vertical="center" wrapText="1"/>
      <protection locked="0"/>
    </xf>
    <xf numFmtId="4" fontId="26" fillId="0" borderId="36" xfId="0" applyNumberFormat="1" applyFont="1" applyBorder="1" applyAlignment="1" applyProtection="1">
      <alignment horizontal="center" vertical="center"/>
      <protection locked="0"/>
    </xf>
    <xf numFmtId="4" fontId="27" fillId="0" borderId="34" xfId="0" applyNumberFormat="1" applyFont="1" applyBorder="1" applyAlignment="1" applyProtection="1">
      <alignment horizontal="center" vertical="center"/>
      <protection locked="0"/>
    </xf>
    <xf numFmtId="165" fontId="27" fillId="0" borderId="34" xfId="1" applyFont="1" applyBorder="1" applyAlignment="1" applyProtection="1">
      <alignment horizontal="center" vertical="center"/>
      <protection locked="0"/>
    </xf>
    <xf numFmtId="165" fontId="27" fillId="0" borderId="72" xfId="1" applyFont="1" applyBorder="1" applyAlignment="1" applyProtection="1">
      <alignment horizontal="center" vertical="center"/>
      <protection locked="0"/>
    </xf>
    <xf numFmtId="165" fontId="27" fillId="0" borderId="51" xfId="1" applyFont="1" applyBorder="1" applyAlignment="1" applyProtection="1">
      <alignment horizontal="center" vertical="center"/>
      <protection locked="0"/>
    </xf>
    <xf numFmtId="4" fontId="27" fillId="0" borderId="37" xfId="0" applyNumberFormat="1" applyFont="1" applyBorder="1" applyAlignment="1" applyProtection="1">
      <alignment horizontal="center" vertical="center"/>
      <protection locked="0"/>
    </xf>
    <xf numFmtId="4" fontId="27" fillId="0" borderId="36" xfId="0" applyNumberFormat="1" applyFont="1" applyBorder="1" applyAlignment="1" applyProtection="1">
      <alignment horizontal="center" vertical="center"/>
      <protection locked="0"/>
    </xf>
    <xf numFmtId="165" fontId="27" fillId="0" borderId="0" xfId="1" applyFont="1" applyBorder="1" applyAlignment="1" applyProtection="1">
      <alignment horizontal="center" vertical="center"/>
      <protection locked="0"/>
    </xf>
    <xf numFmtId="4" fontId="26" fillId="0" borderId="29" xfId="0" applyNumberFormat="1" applyFont="1" applyBorder="1" applyAlignment="1" applyProtection="1">
      <alignment horizontal="center" vertical="center"/>
      <protection locked="0"/>
    </xf>
    <xf numFmtId="4" fontId="27" fillId="0" borderId="1" xfId="0" applyNumberFormat="1" applyFont="1" applyBorder="1" applyAlignment="1" applyProtection="1">
      <alignment horizontal="center" vertical="center"/>
      <protection locked="0"/>
    </xf>
    <xf numFmtId="165" fontId="27" fillId="0" borderId="1" xfId="1" applyFont="1" applyBorder="1" applyAlignment="1" applyProtection="1">
      <alignment horizontal="center" vertical="center"/>
      <protection locked="0"/>
    </xf>
    <xf numFmtId="165" fontId="27" fillId="0" borderId="18" xfId="1" applyFont="1" applyBorder="1" applyAlignment="1" applyProtection="1">
      <alignment horizontal="center" vertical="center"/>
      <protection locked="0"/>
    </xf>
    <xf numFmtId="165" fontId="27" fillId="0" borderId="21" xfId="1" applyFont="1" applyBorder="1" applyAlignment="1" applyProtection="1">
      <alignment horizontal="center" vertical="center"/>
      <protection locked="0"/>
    </xf>
    <xf numFmtId="4" fontId="26" fillId="0" borderId="70" xfId="0" applyNumberFormat="1" applyFont="1" applyBorder="1" applyAlignment="1" applyProtection="1">
      <alignment horizontal="center" vertical="center"/>
      <protection locked="0"/>
    </xf>
    <xf numFmtId="4" fontId="27" fillId="0" borderId="73" xfId="0" applyNumberFormat="1" applyFont="1" applyBorder="1" applyAlignment="1" applyProtection="1">
      <alignment horizontal="center" vertical="center"/>
      <protection locked="0"/>
    </xf>
    <xf numFmtId="165" fontId="27" fillId="0" borderId="73" xfId="1" applyFont="1" applyBorder="1" applyAlignment="1" applyProtection="1">
      <alignment horizontal="center" vertical="center"/>
      <protection locked="0"/>
    </xf>
    <xf numFmtId="165" fontId="27" fillId="0" borderId="87" xfId="1" applyFont="1" applyBorder="1" applyAlignment="1" applyProtection="1">
      <alignment horizontal="center" vertical="center"/>
      <protection locked="0"/>
    </xf>
    <xf numFmtId="165" fontId="27" fillId="0" borderId="33" xfId="1" applyFont="1" applyBorder="1" applyAlignment="1" applyProtection="1">
      <alignment horizontal="center" vertical="center"/>
      <protection locked="0"/>
    </xf>
    <xf numFmtId="4" fontId="27" fillId="0" borderId="64" xfId="0" applyNumberFormat="1" applyFont="1" applyBorder="1" applyAlignment="1" applyProtection="1">
      <alignment horizontal="center" vertical="center"/>
      <protection locked="0"/>
    </xf>
    <xf numFmtId="165" fontId="27" fillId="0" borderId="64" xfId="1" applyFont="1" applyBorder="1" applyAlignment="1" applyProtection="1">
      <alignment horizontal="center" vertical="center"/>
      <protection locked="0"/>
    </xf>
    <xf numFmtId="165" fontId="27" fillId="0" borderId="94" xfId="1" applyFont="1" applyBorder="1" applyAlignment="1" applyProtection="1">
      <alignment horizontal="center" vertical="center"/>
      <protection locked="0"/>
    </xf>
    <xf numFmtId="165" fontId="27" fillId="0" borderId="30" xfId="1" applyFont="1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166" fontId="25" fillId="0" borderId="47" xfId="0" applyNumberFormat="1" applyFont="1" applyBorder="1" applyProtection="1">
      <protection locked="0"/>
    </xf>
    <xf numFmtId="165" fontId="25" fillId="0" borderId="76" xfId="0" applyNumberFormat="1" applyFont="1" applyBorder="1" applyProtection="1">
      <protection locked="0"/>
    </xf>
    <xf numFmtId="165" fontId="25" fillId="0" borderId="83" xfId="0" applyNumberFormat="1" applyFont="1" applyBorder="1" applyProtection="1">
      <protection locked="0"/>
    </xf>
    <xf numFmtId="165" fontId="25" fillId="0" borderId="48" xfId="0" applyNumberFormat="1" applyFont="1" applyBorder="1" applyProtection="1">
      <protection locked="0"/>
    </xf>
    <xf numFmtId="165" fontId="25" fillId="0" borderId="0" xfId="0" applyNumberFormat="1" applyFont="1" applyProtection="1">
      <protection locked="0"/>
    </xf>
    <xf numFmtId="166" fontId="24" fillId="0" borderId="0" xfId="1" applyNumberFormat="1" applyFont="1" applyProtection="1">
      <protection locked="0"/>
    </xf>
    <xf numFmtId="165" fontId="24" fillId="0" borderId="0" xfId="1" applyFont="1" applyProtection="1">
      <protection locked="0"/>
    </xf>
    <xf numFmtId="166" fontId="0" fillId="0" borderId="0" xfId="0" applyNumberFormat="1" applyProtection="1">
      <protection locked="0"/>
    </xf>
    <xf numFmtId="0" fontId="25" fillId="8" borderId="0" xfId="0" applyFont="1" applyFill="1"/>
    <xf numFmtId="0" fontId="25" fillId="0" borderId="0" xfId="0" applyFont="1"/>
    <xf numFmtId="0" fontId="25" fillId="0" borderId="0" xfId="0" applyFont="1" applyAlignment="1">
      <alignment horizontal="center"/>
    </xf>
    <xf numFmtId="14" fontId="25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 vertical="center" wrapText="1"/>
    </xf>
    <xf numFmtId="0" fontId="20" fillId="7" borderId="8" xfId="0" applyFont="1" applyFill="1" applyBorder="1" applyAlignment="1">
      <alignment horizontal="center" vertical="center" wrapText="1"/>
    </xf>
    <xf numFmtId="0" fontId="23" fillId="7" borderId="8" xfId="0" applyFont="1" applyFill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 wrapText="1"/>
    </xf>
    <xf numFmtId="0" fontId="20" fillId="7" borderId="12" xfId="0" applyFont="1" applyFill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165" fontId="25" fillId="0" borderId="0" xfId="1" applyFont="1" applyAlignment="1" applyProtection="1">
      <alignment horizontal="center" vertical="center"/>
    </xf>
    <xf numFmtId="4" fontId="25" fillId="0" borderId="0" xfId="0" applyNumberFormat="1" applyFont="1" applyAlignment="1">
      <alignment horizontal="center" vertical="center"/>
    </xf>
    <xf numFmtId="14" fontId="25" fillId="0" borderId="0" xfId="0" applyNumberFormat="1" applyFont="1" applyAlignment="1">
      <alignment horizontal="center" vertical="center"/>
    </xf>
    <xf numFmtId="0" fontId="25" fillId="0" borderId="2" xfId="0" applyFont="1" applyBorder="1" applyAlignment="1" applyProtection="1">
      <alignment horizontal="center"/>
      <protection locked="0"/>
    </xf>
    <xf numFmtId="0" fontId="25" fillId="0" borderId="3" xfId="0" applyFont="1" applyBorder="1" applyAlignment="1" applyProtection="1">
      <alignment horizontal="center"/>
      <protection locked="0"/>
    </xf>
    <xf numFmtId="0" fontId="25" fillId="0" borderId="4" xfId="0" applyFont="1" applyBorder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20" fillId="7" borderId="50" xfId="0" applyFont="1" applyFill="1" applyBorder="1" applyAlignment="1">
      <alignment horizontal="center" vertical="center" wrapText="1"/>
    </xf>
    <xf numFmtId="165" fontId="21" fillId="0" borderId="92" xfId="1" applyFont="1" applyFill="1" applyBorder="1" applyProtection="1"/>
    <xf numFmtId="165" fontId="21" fillId="0" borderId="92" xfId="1" applyFont="1" applyBorder="1" applyProtection="1"/>
    <xf numFmtId="0" fontId="20" fillId="7" borderId="100" xfId="0" applyFont="1" applyFill="1" applyBorder="1" applyAlignment="1">
      <alignment horizontal="center" vertical="center" wrapText="1"/>
    </xf>
    <xf numFmtId="0" fontId="20" fillId="7" borderId="101" xfId="0" applyFont="1" applyFill="1" applyBorder="1" applyAlignment="1">
      <alignment horizontal="center" vertical="center" wrapText="1"/>
    </xf>
    <xf numFmtId="0" fontId="20" fillId="7" borderId="31" xfId="0" applyFont="1" applyFill="1" applyBorder="1" applyAlignment="1">
      <alignment horizontal="center" vertical="center" wrapText="1"/>
    </xf>
    <xf numFmtId="0" fontId="12" fillId="0" borderId="102" xfId="0" applyFont="1" applyBorder="1" applyAlignment="1">
      <alignment horizontal="center"/>
    </xf>
    <xf numFmtId="0" fontId="12" fillId="0" borderId="103" xfId="0" applyFont="1" applyBorder="1" applyAlignment="1">
      <alignment horizontal="center"/>
    </xf>
    <xf numFmtId="0" fontId="12" fillId="0" borderId="104" xfId="0" applyFont="1" applyBorder="1" applyAlignment="1">
      <alignment horizontal="center"/>
    </xf>
    <xf numFmtId="0" fontId="8" fillId="0" borderId="95" xfId="0" applyFont="1" applyBorder="1"/>
    <xf numFmtId="0" fontId="20" fillId="0" borderId="99" xfId="0" applyFont="1" applyBorder="1" applyAlignment="1">
      <alignment horizontal="center" vertical="center" wrapText="1"/>
    </xf>
    <xf numFmtId="0" fontId="20" fillId="0" borderId="105" xfId="0" applyFont="1" applyBorder="1" applyAlignment="1">
      <alignment horizontal="center" vertical="center" wrapText="1"/>
    </xf>
    <xf numFmtId="44" fontId="21" fillId="0" borderId="106" xfId="0" applyNumberFormat="1" applyFont="1" applyBorder="1"/>
    <xf numFmtId="44" fontId="21" fillId="0" borderId="107" xfId="0" applyNumberFormat="1" applyFont="1" applyBorder="1"/>
    <xf numFmtId="0" fontId="20" fillId="0" borderId="108" xfId="0" applyFont="1" applyBorder="1" applyAlignment="1">
      <alignment horizontal="center" vertical="center" wrapText="1"/>
    </xf>
    <xf numFmtId="0" fontId="20" fillId="0" borderId="109" xfId="0" applyFont="1" applyBorder="1" applyAlignment="1">
      <alignment horizontal="center" vertical="center" wrapText="1"/>
    </xf>
    <xf numFmtId="0" fontId="20" fillId="0" borderId="110" xfId="0" applyFont="1" applyBorder="1" applyAlignment="1">
      <alignment horizontal="center" vertical="center" wrapText="1"/>
    </xf>
    <xf numFmtId="0" fontId="33" fillId="11" borderId="0" xfId="0" applyFont="1" applyFill="1" applyProtection="1">
      <protection locked="0"/>
    </xf>
    <xf numFmtId="0" fontId="34" fillId="0" borderId="0" xfId="0" applyFont="1" applyProtection="1">
      <protection locked="0"/>
    </xf>
    <xf numFmtId="0" fontId="25" fillId="0" borderId="0" xfId="0" applyFont="1" applyProtection="1">
      <protection locked="0"/>
    </xf>
    <xf numFmtId="0" fontId="21" fillId="10" borderId="73" xfId="0" applyFont="1" applyFill="1" applyBorder="1" applyProtection="1">
      <protection locked="0"/>
    </xf>
    <xf numFmtId="4" fontId="21" fillId="10" borderId="73" xfId="0" applyNumberFormat="1" applyFont="1" applyFill="1" applyBorder="1" applyProtection="1">
      <protection locked="0"/>
    </xf>
    <xf numFmtId="0" fontId="21" fillId="12" borderId="73" xfId="0" applyFont="1" applyFill="1" applyBorder="1" applyProtection="1">
      <protection locked="0"/>
    </xf>
    <xf numFmtId="4" fontId="21" fillId="12" borderId="73" xfId="0" applyNumberFormat="1" applyFont="1" applyFill="1" applyBorder="1" applyProtection="1">
      <protection locked="0"/>
    </xf>
    <xf numFmtId="165" fontId="21" fillId="12" borderId="73" xfId="1" applyFont="1" applyFill="1" applyBorder="1" applyProtection="1">
      <protection locked="0"/>
    </xf>
    <xf numFmtId="0" fontId="0" fillId="0" borderId="73" xfId="0" applyBorder="1" applyAlignment="1">
      <alignment horizontal="center"/>
    </xf>
    <xf numFmtId="0" fontId="5" fillId="0" borderId="72" xfId="0" applyFont="1" applyBorder="1" applyAlignment="1">
      <alignment horizontal="center"/>
    </xf>
    <xf numFmtId="0" fontId="5" fillId="0" borderId="88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5" fillId="0" borderId="73" xfId="0" applyNumberFormat="1" applyFont="1" applyBorder="1" applyAlignment="1">
      <alignment horizontal="center"/>
    </xf>
    <xf numFmtId="0" fontId="5" fillId="0" borderId="34" xfId="0" applyFont="1" applyBorder="1" applyAlignment="1">
      <alignment horizontal="center"/>
    </xf>
    <xf numFmtId="0" fontId="5" fillId="0" borderId="73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0" fontId="6" fillId="5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6" fillId="6" borderId="0" xfId="0" applyFont="1" applyFill="1" applyAlignment="1">
      <alignment horizontal="center"/>
    </xf>
    <xf numFmtId="0" fontId="30" fillId="8" borderId="95" xfId="0" applyFont="1" applyFill="1" applyBorder="1" applyAlignment="1">
      <alignment horizontal="center"/>
    </xf>
    <xf numFmtId="0" fontId="32" fillId="9" borderId="0" xfId="0" applyFont="1" applyFill="1" applyAlignment="1">
      <alignment horizontal="center"/>
    </xf>
    <xf numFmtId="0" fontId="31" fillId="8" borderId="95" xfId="0" applyFont="1" applyFill="1" applyBorder="1" applyAlignment="1">
      <alignment horizontal="center"/>
    </xf>
    <xf numFmtId="0" fontId="30" fillId="0" borderId="2" xfId="0" applyFont="1" applyBorder="1" applyAlignment="1">
      <alignment horizontal="center"/>
    </xf>
    <xf numFmtId="0" fontId="30" fillId="0" borderId="4" xfId="0" applyFont="1" applyBorder="1" applyAlignment="1">
      <alignment horizontal="center"/>
    </xf>
    <xf numFmtId="0" fontId="31" fillId="0" borderId="0" xfId="0" applyFont="1" applyAlignment="1">
      <alignment horizontal="left"/>
    </xf>
    <xf numFmtId="0" fontId="26" fillId="0" borderId="0" xfId="0" applyFont="1" applyAlignment="1">
      <alignment horizontal="center"/>
    </xf>
  </cellXfs>
  <cellStyles count="3">
    <cellStyle name="Normale" xfId="0" builtinId="0"/>
    <cellStyle name="Percentuale" xfId="2" builtinId="5"/>
    <cellStyle name="Valuta" xfId="1" builtinId="4"/>
  </cellStyles>
  <dxfs count="67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0</xdr:row>
          <xdr:rowOff>152400</xdr:rowOff>
        </xdr:from>
        <xdr:to>
          <xdr:col>1</xdr:col>
          <xdr:colOff>257175</xdr:colOff>
          <xdr:row>2</xdr:row>
          <xdr:rowOff>28575</xdr:rowOff>
        </xdr:to>
        <xdr:sp macro="" textlink="">
          <xdr:nvSpPr>
            <xdr:cNvPr id="1029" name="CmdNuovaRig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0</xdr:row>
          <xdr:rowOff>171450</xdr:rowOff>
        </xdr:from>
        <xdr:to>
          <xdr:col>2</xdr:col>
          <xdr:colOff>600075</xdr:colOff>
          <xdr:row>2</xdr:row>
          <xdr:rowOff>38100</xdr:rowOff>
        </xdr:to>
        <xdr:sp macro="" textlink="">
          <xdr:nvSpPr>
            <xdr:cNvPr id="1030" name="cmdDuplicaRigaSelezionat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A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752475</xdr:colOff>
          <xdr:row>0</xdr:row>
          <xdr:rowOff>152400</xdr:rowOff>
        </xdr:from>
        <xdr:to>
          <xdr:col>4</xdr:col>
          <xdr:colOff>466725</xdr:colOff>
          <xdr:row>2</xdr:row>
          <xdr:rowOff>28575</xdr:rowOff>
        </xdr:to>
        <xdr:sp macro="" textlink="">
          <xdr:nvSpPr>
            <xdr:cNvPr id="1031" name="CmdEliminaERipristinaRiga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A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561975</xdr:colOff>
          <xdr:row>0</xdr:row>
          <xdr:rowOff>133350</xdr:rowOff>
        </xdr:from>
        <xdr:to>
          <xdr:col>16</xdr:col>
          <xdr:colOff>409575</xdr:colOff>
          <xdr:row>2</xdr:row>
          <xdr:rowOff>9525</xdr:rowOff>
        </xdr:to>
        <xdr:sp macro="" textlink="">
          <xdr:nvSpPr>
            <xdr:cNvPr id="1032" name="CmdSelezionaTabella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A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157</v>
      </c>
      <c r="B6" s="104" t="s">
        <v>135</v>
      </c>
      <c r="C6" s="105">
        <v>600</v>
      </c>
      <c r="D6" s="106" t="s">
        <v>4</v>
      </c>
      <c r="E6" s="107">
        <v>1.3</v>
      </c>
      <c r="F6" s="108">
        <v>41627</v>
      </c>
      <c r="G6" s="85" t="s">
        <v>25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60</v>
      </c>
      <c r="V6" s="113"/>
      <c r="W6" s="114">
        <f t="shared" ref="W6:W51" ca="1" si="5">+V6-T6-E6</f>
        <v>-2.7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136</v>
      </c>
      <c r="B7" s="85" t="s">
        <v>137</v>
      </c>
      <c r="C7" s="116">
        <v>806</v>
      </c>
      <c r="D7" s="86" t="s">
        <v>4</v>
      </c>
      <c r="E7" s="117">
        <v>1.33</v>
      </c>
      <c r="F7" s="118">
        <v>41659</v>
      </c>
      <c r="G7" s="85" t="s">
        <v>9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1.75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1.75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1.75</v>
      </c>
      <c r="U7" s="120">
        <f t="shared" si="4"/>
        <v>80.600000000000009</v>
      </c>
      <c r="V7" s="124"/>
      <c r="W7" s="125">
        <f t="shared" ca="1" si="5"/>
        <v>-3.08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136</v>
      </c>
      <c r="B8" s="85" t="s">
        <v>137</v>
      </c>
      <c r="C8" s="116">
        <v>718</v>
      </c>
      <c r="D8" s="86" t="s">
        <v>4</v>
      </c>
      <c r="E8" s="117">
        <v>1.3</v>
      </c>
      <c r="F8" s="118">
        <v>41662</v>
      </c>
      <c r="G8" s="85" t="s">
        <v>9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1.75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1.75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1.75</v>
      </c>
      <c r="U8" s="120">
        <f t="shared" si="4"/>
        <v>71.8</v>
      </c>
      <c r="V8" s="124"/>
      <c r="W8" s="125">
        <f t="shared" ca="1" si="5"/>
        <v>-3.05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2124</v>
      </c>
      <c r="R52" s="142"/>
      <c r="S52" s="143"/>
      <c r="U52" s="88">
        <f>SUM(U6:U51)</f>
        <v>212.40000000000003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600</v>
      </c>
      <c r="D60" s="147">
        <f>SUMIF(B6:B51,"Braga",U6:U51)</f>
        <v>60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1524</v>
      </c>
      <c r="D76" s="147">
        <f>SUMIF(B6:B51,"Newton",U6:U51)</f>
        <v>152.4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2124</v>
      </c>
      <c r="D88" s="93">
        <f ca="1">SUM(D58:D86)</f>
        <v>212.4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7" orientation="landscape" r:id="rId1"/>
  <headerFooter alignWithMargins="0"/>
  <rowBreaks count="1" manualBreakCount="1">
    <brk id="52" max="21" man="1"/>
  </rowBreaks>
  <colBreaks count="1" manualBreakCount="1">
    <brk id="21" max="51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/>
  <dimension ref="A2:Z81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10.2851562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4" width="11.85546875" customWidth="1"/>
    <col min="15" max="16" width="11.85546875" hidden="1" customWidth="1"/>
    <col min="17" max="17" width="10.85546875" hidden="1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138</v>
      </c>
      <c r="B6" s="104" t="s">
        <v>139</v>
      </c>
      <c r="C6" s="105">
        <v>560</v>
      </c>
      <c r="D6" s="106" t="s">
        <v>6</v>
      </c>
      <c r="E6" s="107">
        <v>6.16</v>
      </c>
      <c r="F6" s="108">
        <v>41619</v>
      </c>
      <c r="G6" s="85" t="s">
        <v>16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0.82</v>
      </c>
      <c r="M6" s="110">
        <f t="shared" ref="M6:M44" ca="1" si="0">SUM(J6:L6)</f>
        <v>0.82</v>
      </c>
      <c r="N6" s="110">
        <f ca="1">+IF(ISERROR(OFFSET(Tabella!$G$1,MATCH(G6,Tabella!$G:$G,0)-1,MATCH(H7,Tabella!$G$1:$FG$1,0)-1)=TRUE),0,OFFSET(Tabella!$G$1,MATCH(G6,Tabella!$G:$G,0)-1,MATCH(H7,Tabella!$G$1:$AB$1,0)-1))</f>
        <v>0</v>
      </c>
      <c r="O6" s="110">
        <f ca="1">IF(ISERROR(OFFSET(Ottone!$F$1,MATCH(G6,Ottone!$A:$A,0)-1,MATCH(H7,Ottone!$F$1:$FF$1,0)-1)=TRUE),0,OFFSET(Ottone!$F$1,MATCH(G6,Ottone!$A:$A,0)-1,MATCH(H7,Ottone!$F$1:$FF$1,0)-1))*IF(D6="Ottone",1,0)</f>
        <v>0</v>
      </c>
      <c r="P6" s="110">
        <f ca="1">IF(ISERROR(OFFSET(Rame!$F$1,MATCH(G6,Rame!$F:$F,0)-1,MATCH(H7,Rame!$F$1:$FF$1,0)-1)=TRUE),0,OFFSET(Rame!$F$1,MATCH(G6,Rame!$F:$F,0)-1,MATCH(H7,Rame!$F$1:$FF$1,0)-1))*IF(D6="Rame",1,0)</f>
        <v>0</v>
      </c>
      <c r="Q6" s="110">
        <f t="shared" ref="Q6:Q44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44" ca="1" si="3">+M6+Q6+R6+S6</f>
        <v>0.82</v>
      </c>
      <c r="U6" s="109">
        <f t="shared" ref="U6:U44" si="4">+I6*C6</f>
        <v>56</v>
      </c>
      <c r="V6" s="113"/>
      <c r="W6" s="114">
        <f t="shared" ref="W6:W44" ca="1" si="5">+V6-T6-E6</f>
        <v>-6.98</v>
      </c>
      <c r="X6" s="109">
        <f t="shared" ref="X6:X44" ca="1" si="6">IF(W6&gt;0,W6,0)</f>
        <v>0</v>
      </c>
      <c r="Y6" s="115"/>
      <c r="Z6" s="97"/>
    </row>
    <row r="7" spans="1:26" ht="15.75" thickBot="1" x14ac:dyDescent="0.3">
      <c r="A7" s="98" t="s">
        <v>138</v>
      </c>
      <c r="B7" s="85" t="s">
        <v>139</v>
      </c>
      <c r="C7" s="116">
        <v>140</v>
      </c>
      <c r="D7" s="86" t="s">
        <v>6</v>
      </c>
      <c r="E7" s="117">
        <v>6.16</v>
      </c>
      <c r="F7" s="118">
        <v>41619</v>
      </c>
      <c r="G7" s="85" t="s">
        <v>16</v>
      </c>
      <c r="H7" s="104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0.82</v>
      </c>
      <c r="M7" s="121">
        <f t="shared" ca="1" si="0"/>
        <v>0.82</v>
      </c>
      <c r="N7" s="121">
        <f ca="1">+IF(ISERROR(OFFSET(Tabella!$G$1,MATCH(G7,Tabella!$G:$G,0)-1,MATCH(#REF!,Tabella!$G$1:$FG$1,0)-1)=TRUE),0,OFFSET(Tabella!$G$1,MATCH(G7,Tabella!$G:$G,0)-1,MATCH(#REF!,Tabella!$G$1:$AB$1,0)-1))</f>
        <v>0</v>
      </c>
      <c r="O7" s="121">
        <f ca="1">IF(ISERROR(OFFSET(Ottone!$F$1,MATCH(G7,Ottone!$A:$A,0)-1,MATCH(#REF!,Ottone!$F$1:$FF$1,0)-1)=TRUE),0,OFFSET(Ottone!$F$1,MATCH(G7,Ottone!$A:$A,0)-1,MATCH(#REF!,Ottone!$F$1:$FF$1,0)-1))*IF(D7="Ottone",1,0)</f>
        <v>0</v>
      </c>
      <c r="P7" s="121">
        <f ca="1">IF(ISERROR(OFFSET(Rame!$F$1,MATCH(G7,Rame!$F:$F,0)-1,MATCH(#REF!,Rame!$F$1:$FF$1,0)-1)=TRUE),0,OFFSET(Rame!$F$1,MATCH(G7,Rame!$F:$F,0)-1,MATCH(#REF!,Rame!$F$1:$FF$1,0)-1))*IF(D7="Rame",1,0)</f>
        <v>0</v>
      </c>
      <c r="Q7" s="121">
        <f t="shared" ca="1" si="1"/>
        <v>0</v>
      </c>
      <c r="R7" s="121">
        <f t="shared" si="2"/>
        <v>0.1</v>
      </c>
      <c r="S7" s="122"/>
      <c r="T7" s="123">
        <f t="shared" ca="1" si="3"/>
        <v>0.91999999999999993</v>
      </c>
      <c r="U7" s="120">
        <f t="shared" si="4"/>
        <v>14</v>
      </c>
      <c r="V7" s="124"/>
      <c r="W7" s="125">
        <f t="shared" ca="1" si="5"/>
        <v>-7.08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140</v>
      </c>
      <c r="B8" s="85" t="s">
        <v>139</v>
      </c>
      <c r="C8" s="116">
        <v>140</v>
      </c>
      <c r="D8" s="86" t="s">
        <v>6</v>
      </c>
      <c r="E8" s="117">
        <v>6.16</v>
      </c>
      <c r="F8" s="118">
        <v>41619</v>
      </c>
      <c r="G8" s="85" t="s">
        <v>14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0.95</v>
      </c>
      <c r="M8" s="121">
        <f t="shared" ca="1" si="0"/>
        <v>0.95</v>
      </c>
      <c r="N8" s="121">
        <v>0.2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0.2</v>
      </c>
      <c r="R8" s="121">
        <f t="shared" si="2"/>
        <v>0.1</v>
      </c>
      <c r="S8" s="122"/>
      <c r="T8" s="123">
        <f t="shared" ca="1" si="3"/>
        <v>1.25</v>
      </c>
      <c r="U8" s="120">
        <f t="shared" si="4"/>
        <v>14</v>
      </c>
      <c r="V8" s="124"/>
      <c r="W8" s="125">
        <f t="shared" ca="1" si="5"/>
        <v>-7.41</v>
      </c>
      <c r="X8" s="120">
        <f t="shared" ca="1" si="6"/>
        <v>0</v>
      </c>
      <c r="Y8" s="126"/>
      <c r="Z8" s="95"/>
    </row>
    <row r="9" spans="1:26" ht="15.75" thickBot="1" x14ac:dyDescent="0.3">
      <c r="A9" s="98" t="s">
        <v>141</v>
      </c>
      <c r="B9" s="85" t="s">
        <v>142</v>
      </c>
      <c r="C9" s="116">
        <v>520</v>
      </c>
      <c r="D9" s="86" t="s">
        <v>5</v>
      </c>
      <c r="E9" s="117">
        <v>4.99</v>
      </c>
      <c r="F9" s="118">
        <v>41659</v>
      </c>
      <c r="G9" s="85" t="s">
        <v>14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0.65</v>
      </c>
      <c r="U9" s="120">
        <f t="shared" si="4"/>
        <v>52</v>
      </c>
      <c r="V9" s="124"/>
      <c r="W9" s="125">
        <f t="shared" ca="1" si="5"/>
        <v>-5.6400000000000006</v>
      </c>
      <c r="X9" s="120">
        <f t="shared" ca="1" si="6"/>
        <v>0</v>
      </c>
      <c r="Y9" s="126"/>
      <c r="Z9" s="95"/>
    </row>
    <row r="10" spans="1:26" ht="15.75" thickBot="1" x14ac:dyDescent="0.3">
      <c r="A10" s="98" t="s">
        <v>143</v>
      </c>
      <c r="B10" s="85" t="s">
        <v>144</v>
      </c>
      <c r="C10" s="116">
        <v>300</v>
      </c>
      <c r="D10" s="86" t="s">
        <v>4</v>
      </c>
      <c r="E10" s="117">
        <v>1.29</v>
      </c>
      <c r="F10" s="118">
        <v>41647</v>
      </c>
      <c r="G10" s="85" t="s">
        <v>11</v>
      </c>
      <c r="H10" s="85"/>
      <c r="I10" s="120">
        <v>0.1</v>
      </c>
      <c r="J10" s="110">
        <f ca="1">IF(ISERROR(OFFSET(Tabella!$A$1,MATCH(G10,Tabella!$A:$A,0)-1,MATCH(I10,Tabella!$A$1:$AC$1,0)-1)=TRUE),0,+OFFSET(Tabella!$A$1,MATCH(G10,Tabella!$A:$A,0)-1,MATCH(I10,Tabella!$A$1:$AC$1,0)-1))</f>
        <v>1.65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1.65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1.65</v>
      </c>
      <c r="U10" s="120">
        <f t="shared" si="4"/>
        <v>30</v>
      </c>
      <c r="V10" s="124"/>
      <c r="W10" s="125">
        <f t="shared" ca="1" si="5"/>
        <v>-2.94</v>
      </c>
      <c r="X10" s="120">
        <f t="shared" ca="1" si="6"/>
        <v>0</v>
      </c>
      <c r="Y10" s="126"/>
      <c r="Z10" s="95"/>
    </row>
    <row r="11" spans="1:26" ht="15.75" thickBot="1" x14ac:dyDescent="0.3">
      <c r="A11" s="99" t="s">
        <v>143</v>
      </c>
      <c r="B11" s="98" t="s">
        <v>144</v>
      </c>
      <c r="C11" s="116">
        <v>276</v>
      </c>
      <c r="D11" s="86" t="s">
        <v>4</v>
      </c>
      <c r="E11" s="117">
        <v>1.29</v>
      </c>
      <c r="F11" s="118">
        <v>41647</v>
      </c>
      <c r="G11" s="85" t="s">
        <v>22</v>
      </c>
      <c r="H11" s="85"/>
      <c r="I11" s="120">
        <v>0.1</v>
      </c>
      <c r="J11" s="110">
        <f ca="1">IF(ISERROR(OFFSET(Tabella!$A$1,MATCH(G11,Tabella!$A:$A,0)-1,MATCH(I11,Tabella!$A$1:$AC$1,0)-1)=TRUE),0,+OFFSET(Tabella!$A$1,MATCH(G11,Tabella!$A:$A,0)-1,MATCH(I11,Tabella!$A$1:$AC$1,0)-1))</f>
        <v>1.4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1.4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1.4</v>
      </c>
      <c r="U11" s="120">
        <f t="shared" si="4"/>
        <v>27.6</v>
      </c>
      <c r="V11" s="124"/>
      <c r="W11" s="125">
        <f t="shared" ca="1" si="5"/>
        <v>-2.69</v>
      </c>
      <c r="X11" s="120">
        <f t="shared" ca="1" si="6"/>
        <v>0</v>
      </c>
      <c r="Y11" s="126"/>
      <c r="Z11" s="95"/>
    </row>
    <row r="12" spans="1:26" ht="15.75" thickBot="1" x14ac:dyDescent="0.3">
      <c r="A12" s="98" t="s">
        <v>143</v>
      </c>
      <c r="B12" s="85" t="s">
        <v>144</v>
      </c>
      <c r="C12" s="116">
        <v>314</v>
      </c>
      <c r="D12" s="86" t="s">
        <v>4</v>
      </c>
      <c r="E12" s="117">
        <v>1.29</v>
      </c>
      <c r="F12" s="118">
        <v>41647</v>
      </c>
      <c r="G12" s="85" t="s">
        <v>15</v>
      </c>
      <c r="H12" s="85"/>
      <c r="I12" s="127">
        <v>0.1</v>
      </c>
      <c r="J12" s="110">
        <f ca="1">IF(ISERROR(OFFSET(Tabella!$A$1,MATCH(G12,Tabella!$A:$A,0)-1,MATCH(I12,Tabella!$A$1:$AC$1,0)-1)=TRUE),0,+OFFSET(Tabella!$A$1,MATCH(G12,Tabella!$A:$A,0)-1,MATCH(I12,Tabella!$A$1:$AC$1,0)-1))</f>
        <v>1.6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1.6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1.6</v>
      </c>
      <c r="U12" s="120">
        <f t="shared" si="4"/>
        <v>31.400000000000002</v>
      </c>
      <c r="V12" s="124"/>
      <c r="W12" s="125">
        <f t="shared" ca="1" si="5"/>
        <v>-2.89</v>
      </c>
      <c r="X12" s="120">
        <f t="shared" ca="1" si="6"/>
        <v>0</v>
      </c>
      <c r="Y12" s="126"/>
      <c r="Z12" s="95"/>
    </row>
    <row r="13" spans="1:26" ht="15.75" thickBot="1" x14ac:dyDescent="0.3">
      <c r="A13" s="98" t="s">
        <v>145</v>
      </c>
      <c r="B13" s="85" t="s">
        <v>146</v>
      </c>
      <c r="C13" s="116">
        <v>1564</v>
      </c>
      <c r="D13" s="86" t="s">
        <v>4</v>
      </c>
      <c r="E13" s="117">
        <v>1.29</v>
      </c>
      <c r="F13" s="118">
        <v>41653</v>
      </c>
      <c r="G13" s="85" t="s">
        <v>25</v>
      </c>
      <c r="H13" s="85"/>
      <c r="I13" s="120">
        <v>0.1</v>
      </c>
      <c r="J13" s="110">
        <f ca="1">IF(ISERROR(OFFSET(Tabella!$A$1,MATCH(G13,Tabella!$A:$A,0)-1,MATCH(I13,Tabella!$A$1:$AC$1,0)-1)=TRUE),0,+OFFSET(Tabella!$A$1,MATCH(G13,Tabella!$A:$A,0)-1,MATCH(I13,Tabella!$A$1:$AC$1,0)-1))</f>
        <v>1.4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1.4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1.4</v>
      </c>
      <c r="U13" s="120">
        <f t="shared" si="4"/>
        <v>156.4</v>
      </c>
      <c r="V13" s="124"/>
      <c r="W13" s="125">
        <f t="shared" ca="1" si="5"/>
        <v>-2.69</v>
      </c>
      <c r="X13" s="120">
        <f t="shared" ca="1" si="6"/>
        <v>0</v>
      </c>
      <c r="Y13" s="126" t="s">
        <v>61</v>
      </c>
      <c r="Z13" s="95"/>
    </row>
    <row r="14" spans="1:26" ht="15.75" thickBot="1" x14ac:dyDescent="0.3">
      <c r="A14" s="98" t="s">
        <v>156</v>
      </c>
      <c r="B14" s="85" t="s">
        <v>147</v>
      </c>
      <c r="C14" s="116">
        <v>734</v>
      </c>
      <c r="D14" s="86" t="s">
        <v>4</v>
      </c>
      <c r="E14" s="117">
        <v>1.29</v>
      </c>
      <c r="F14" s="118">
        <v>41649</v>
      </c>
      <c r="G14" s="85" t="s">
        <v>24</v>
      </c>
      <c r="H14" s="85"/>
      <c r="I14" s="120">
        <v>0.1</v>
      </c>
      <c r="J14" s="110">
        <f ca="1">IF(ISERROR(OFFSET(Tabella!$A$1,MATCH(G14,Tabella!$A:$A,0)-1,MATCH(I14,Tabella!$A$1:$AC$1,0)-1)=TRUE),0,+OFFSET(Tabella!$A$1,MATCH(G14,Tabella!$A:$A,0)-1,MATCH(I14,Tabella!$A$1:$AC$1,0)-1))</f>
        <v>1.4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1.4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1.4</v>
      </c>
      <c r="U14" s="120">
        <f t="shared" si="4"/>
        <v>73.400000000000006</v>
      </c>
      <c r="V14" s="124"/>
      <c r="W14" s="125">
        <f t="shared" ca="1" si="5"/>
        <v>-2.69</v>
      </c>
      <c r="X14" s="120">
        <f t="shared" ca="1" si="6"/>
        <v>0</v>
      </c>
      <c r="Y14" s="126"/>
      <c r="Z14" s="95"/>
    </row>
    <row r="15" spans="1:26" ht="15.75" thickBot="1" x14ac:dyDescent="0.3">
      <c r="A15" s="98" t="s">
        <v>156</v>
      </c>
      <c r="B15" s="85" t="s">
        <v>147</v>
      </c>
      <c r="C15" s="116">
        <v>712</v>
      </c>
      <c r="D15" s="86" t="s">
        <v>4</v>
      </c>
      <c r="E15" s="117">
        <v>1.29</v>
      </c>
      <c r="F15" s="118">
        <v>41649</v>
      </c>
      <c r="G15" s="85" t="s">
        <v>24</v>
      </c>
      <c r="H15" s="85"/>
      <c r="I15" s="120">
        <v>0.1</v>
      </c>
      <c r="J15" s="110">
        <f ca="1">IF(ISERROR(OFFSET(Tabella!$A$1,MATCH(G15,Tabella!$A:$A,0)-1,MATCH(I15,Tabella!$A$1:$AC$1,0)-1)=TRUE),0,+OFFSET(Tabella!$A$1,MATCH(G15,Tabella!$A:$A,0)-1,MATCH(I15,Tabella!$A$1:$AC$1,0)-1))</f>
        <v>1.4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1.4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1.4</v>
      </c>
      <c r="U15" s="120">
        <f t="shared" si="4"/>
        <v>71.2</v>
      </c>
      <c r="V15" s="124"/>
      <c r="W15" s="125">
        <f t="shared" ca="1" si="5"/>
        <v>-2.69</v>
      </c>
      <c r="X15" s="120">
        <f t="shared" ca="1" si="6"/>
        <v>0</v>
      </c>
      <c r="Y15" s="126"/>
      <c r="Z15" s="95"/>
    </row>
    <row r="16" spans="1:26" ht="15.75" thickBot="1" x14ac:dyDescent="0.3">
      <c r="A16" s="98" t="s">
        <v>158</v>
      </c>
      <c r="B16" s="85" t="s">
        <v>148</v>
      </c>
      <c r="C16" s="116">
        <v>1716</v>
      </c>
      <c r="D16" s="86" t="s">
        <v>4</v>
      </c>
      <c r="E16" s="117">
        <v>1.3</v>
      </c>
      <c r="F16" s="118">
        <v>41627</v>
      </c>
      <c r="G16" s="85" t="s">
        <v>23</v>
      </c>
      <c r="H16" s="85"/>
      <c r="I16" s="120">
        <v>7.0000000000000007E-2</v>
      </c>
      <c r="J16" s="110">
        <f ca="1">IF(ISERROR(OFFSET(Tabella!$A$1,MATCH(G16,Tabella!$A:$A,0)-1,MATCH(I16,Tabella!$A$1:$AC$1,0)-1)=TRUE),0,+OFFSET(Tabella!$A$1,MATCH(G16,Tabella!$A:$A,0)-1,MATCH(I16,Tabella!$A$1:$AC$1,0)-1))</f>
        <v>1.25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1.25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1.25</v>
      </c>
      <c r="U16" s="120">
        <f t="shared" si="4"/>
        <v>120.12</v>
      </c>
      <c r="V16" s="124"/>
      <c r="W16" s="125">
        <f t="shared" ca="1" si="5"/>
        <v>-2.5499999999999998</v>
      </c>
      <c r="X16" s="120">
        <f t="shared" ca="1" si="6"/>
        <v>0</v>
      </c>
      <c r="Y16" s="126"/>
      <c r="Z16" s="95"/>
    </row>
    <row r="17" spans="1:26" ht="15.75" thickBot="1" x14ac:dyDescent="0.3">
      <c r="A17" s="98" t="s">
        <v>159</v>
      </c>
      <c r="B17" s="85" t="s">
        <v>148</v>
      </c>
      <c r="C17" s="116">
        <v>308</v>
      </c>
      <c r="D17" s="86" t="s">
        <v>4</v>
      </c>
      <c r="E17" s="117">
        <v>1.3</v>
      </c>
      <c r="F17" s="118">
        <v>41627</v>
      </c>
      <c r="G17" s="85" t="s">
        <v>23</v>
      </c>
      <c r="H17" s="85"/>
      <c r="I17" s="120">
        <v>7.0000000000000007E-2</v>
      </c>
      <c r="J17" s="110">
        <f ca="1">IF(ISERROR(OFFSET(Tabella!$A$1,MATCH(G17,Tabella!$A:$A,0)-1,MATCH(I17,Tabella!$A$1:$AC$1,0)-1)=TRUE),0,+OFFSET(Tabella!$A$1,MATCH(G17,Tabella!$A:$A,0)-1,MATCH(I17,Tabella!$A$1:$AC$1,0)-1))</f>
        <v>1.25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1.25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44" si="7">(IF(C17&gt;500,0,0.1)*IF(D17="Alluminio",0,1))*IF(C17=0,0,1)</f>
        <v>0</v>
      </c>
      <c r="S17" s="122"/>
      <c r="T17" s="123">
        <f t="shared" ca="1" si="3"/>
        <v>1.25</v>
      </c>
      <c r="U17" s="120">
        <f t="shared" si="4"/>
        <v>21.560000000000002</v>
      </c>
      <c r="V17" s="124"/>
      <c r="W17" s="125">
        <f t="shared" ca="1" si="5"/>
        <v>-2.5499999999999998</v>
      </c>
      <c r="X17" s="120">
        <f t="shared" ca="1" si="6"/>
        <v>0</v>
      </c>
      <c r="Y17" s="126"/>
      <c r="Z17" s="95"/>
    </row>
    <row r="18" spans="1:26" ht="15.75" thickBot="1" x14ac:dyDescent="0.3">
      <c r="A18" s="98" t="s">
        <v>149</v>
      </c>
      <c r="B18" s="85" t="s">
        <v>137</v>
      </c>
      <c r="C18" s="116">
        <v>696</v>
      </c>
      <c r="D18" s="86" t="s">
        <v>4</v>
      </c>
      <c r="E18" s="117">
        <v>1.33</v>
      </c>
      <c r="F18" s="118">
        <v>41659</v>
      </c>
      <c r="G18" s="85" t="s">
        <v>21</v>
      </c>
      <c r="H18" s="85"/>
      <c r="I18" s="120">
        <v>0.1</v>
      </c>
      <c r="J18" s="110">
        <f ca="1">IF(ISERROR(OFFSET(Tabella!$A$1,MATCH(G18,Tabella!$A:$A,0)-1,MATCH(I18,Tabella!$A$1:$AC$1,0)-1)=TRUE),0,+OFFSET(Tabella!$A$1,MATCH(G18,Tabella!$A:$A,0)-1,MATCH(I18,Tabella!$A$1:$AC$1,0)-1))</f>
        <v>1.4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1.4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1.4</v>
      </c>
      <c r="U18" s="120">
        <f t="shared" si="4"/>
        <v>69.600000000000009</v>
      </c>
      <c r="V18" s="124"/>
      <c r="W18" s="125">
        <f t="shared" ca="1" si="5"/>
        <v>-2.73</v>
      </c>
      <c r="X18" s="120">
        <f t="shared" ca="1" si="6"/>
        <v>0</v>
      </c>
      <c r="Y18" s="126"/>
      <c r="Z18" s="95"/>
    </row>
    <row r="19" spans="1:26" ht="15.75" thickBot="1" x14ac:dyDescent="0.3">
      <c r="A19" s="98" t="s">
        <v>149</v>
      </c>
      <c r="B19" s="85" t="s">
        <v>137</v>
      </c>
      <c r="C19" s="116">
        <v>2226</v>
      </c>
      <c r="D19" s="86" t="s">
        <v>4</v>
      </c>
      <c r="E19" s="117">
        <v>1.3</v>
      </c>
      <c r="F19" s="118">
        <v>41646</v>
      </c>
      <c r="G19" s="85" t="s">
        <v>27</v>
      </c>
      <c r="H19" s="85"/>
      <c r="I19" s="120">
        <v>0.1</v>
      </c>
      <c r="J19" s="110">
        <f ca="1">IF(ISERROR(OFFSET(Tabella!$A$1,MATCH(G19,Tabella!$A:$A,0)-1,MATCH(I19,Tabella!$A$1:$AC$1,0)-1)=TRUE),0,+OFFSET(Tabella!$A$1,MATCH(G19,Tabella!$A:$A,0)-1,MATCH(I19,Tabella!$A$1:$AC$1,0)-1))</f>
        <v>1.4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1.4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1.4</v>
      </c>
      <c r="U19" s="120">
        <f t="shared" si="4"/>
        <v>222.60000000000002</v>
      </c>
      <c r="V19" s="124"/>
      <c r="W19" s="125">
        <f t="shared" ca="1" si="5"/>
        <v>-2.7</v>
      </c>
      <c r="X19" s="120">
        <f t="shared" ca="1" si="6"/>
        <v>0</v>
      </c>
      <c r="Y19" s="126"/>
      <c r="Z19" s="95"/>
    </row>
    <row r="20" spans="1:26" ht="15.75" thickBot="1" x14ac:dyDescent="0.3">
      <c r="A20" s="98" t="s">
        <v>150</v>
      </c>
      <c r="B20" s="85" t="s">
        <v>137</v>
      </c>
      <c r="C20" s="116">
        <v>584</v>
      </c>
      <c r="D20" s="86" t="s">
        <v>4</v>
      </c>
      <c r="E20" s="117">
        <v>1.33</v>
      </c>
      <c r="F20" s="118">
        <v>41659</v>
      </c>
      <c r="G20" s="85" t="s">
        <v>9</v>
      </c>
      <c r="H20" s="85"/>
      <c r="I20" s="120">
        <v>0.1</v>
      </c>
      <c r="J20" s="110">
        <f ca="1">IF(ISERROR(OFFSET(Tabella!$A$1,MATCH(G20,Tabella!$A:$A,0)-1,MATCH(I20,Tabella!$A$1:$AC$1,0)-1)=TRUE),0,+OFFSET(Tabella!$A$1,MATCH(G20,Tabella!$A:$A,0)-1,MATCH(I20,Tabella!$A$1:$AC$1,0)-1))</f>
        <v>1.75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1.75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1.75</v>
      </c>
      <c r="U20" s="120">
        <f t="shared" si="4"/>
        <v>58.400000000000006</v>
      </c>
      <c r="V20" s="124"/>
      <c r="W20" s="125">
        <f t="shared" ca="1" si="5"/>
        <v>-3.08</v>
      </c>
      <c r="X20" s="120">
        <f t="shared" ca="1" si="6"/>
        <v>0</v>
      </c>
      <c r="Y20" s="126"/>
      <c r="Z20" s="95"/>
    </row>
    <row r="21" spans="1:26" ht="15.75" thickBot="1" x14ac:dyDescent="0.3">
      <c r="A21" s="98" t="s">
        <v>150</v>
      </c>
      <c r="B21" s="85" t="s">
        <v>137</v>
      </c>
      <c r="C21" s="116">
        <v>2136</v>
      </c>
      <c r="D21" s="86" t="s">
        <v>4</v>
      </c>
      <c r="E21" s="117">
        <v>1.33</v>
      </c>
      <c r="F21" s="118">
        <v>41659</v>
      </c>
      <c r="G21" s="85" t="s">
        <v>27</v>
      </c>
      <c r="H21" s="85"/>
      <c r="I21" s="120">
        <v>0.1</v>
      </c>
      <c r="J21" s="110">
        <f ca="1">IF(ISERROR(OFFSET(Tabella!$A$1,MATCH(G21,Tabella!$A:$A,0)-1,MATCH(I21,Tabella!$A$1:$AC$1,0)-1)=TRUE),0,+OFFSET(Tabella!$A$1,MATCH(G21,Tabella!$A:$A,0)-1,MATCH(I21,Tabella!$A$1:$AC$1,0)-1))</f>
        <v>1.4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1.4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1.4</v>
      </c>
      <c r="U21" s="120">
        <f t="shared" si="4"/>
        <v>213.60000000000002</v>
      </c>
      <c r="V21" s="124"/>
      <c r="W21" s="125">
        <f t="shared" ca="1" si="5"/>
        <v>-2.73</v>
      </c>
      <c r="X21" s="120">
        <f t="shared" ca="1" si="6"/>
        <v>0</v>
      </c>
      <c r="Y21" s="126"/>
      <c r="Z21" s="95"/>
    </row>
    <row r="22" spans="1:26" ht="15.75" thickBot="1" x14ac:dyDescent="0.3">
      <c r="A22" s="98" t="s">
        <v>151</v>
      </c>
      <c r="B22" s="85" t="s">
        <v>152</v>
      </c>
      <c r="C22" s="116">
        <v>298</v>
      </c>
      <c r="D22" s="86" t="s">
        <v>4</v>
      </c>
      <c r="E22" s="117">
        <v>1.3</v>
      </c>
      <c r="F22" s="118" t="s">
        <v>153</v>
      </c>
      <c r="G22" s="85" t="s">
        <v>27</v>
      </c>
      <c r="H22" s="85"/>
      <c r="I22" s="120">
        <v>0.18</v>
      </c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53.64</v>
      </c>
      <c r="V22" s="124"/>
      <c r="W22" s="125">
        <f t="shared" ca="1" si="5"/>
        <v>-1.3</v>
      </c>
      <c r="X22" s="120">
        <f t="shared" ca="1" si="6"/>
        <v>0</v>
      </c>
      <c r="Y22" s="126"/>
      <c r="Z22" s="95"/>
    </row>
    <row r="23" spans="1:26" ht="15.75" thickBot="1" x14ac:dyDescent="0.3">
      <c r="A23" s="98" t="s">
        <v>151</v>
      </c>
      <c r="B23" s="85" t="s">
        <v>152</v>
      </c>
      <c r="C23" s="116">
        <v>350</v>
      </c>
      <c r="D23" s="86" t="s">
        <v>4</v>
      </c>
      <c r="E23" s="117">
        <v>1.29</v>
      </c>
      <c r="F23" s="118">
        <v>41613</v>
      </c>
      <c r="G23" s="85" t="s">
        <v>25</v>
      </c>
      <c r="H23" s="85"/>
      <c r="I23" s="120">
        <v>0.18</v>
      </c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63</v>
      </c>
      <c r="V23" s="124"/>
      <c r="W23" s="125">
        <f t="shared" ca="1" si="5"/>
        <v>-1.29</v>
      </c>
      <c r="X23" s="120">
        <f t="shared" ca="1" si="6"/>
        <v>0</v>
      </c>
      <c r="Y23" s="126"/>
      <c r="Z23" s="95"/>
    </row>
    <row r="24" spans="1:26" ht="15.75" thickBot="1" x14ac:dyDescent="0.3">
      <c r="A24" s="98" t="s">
        <v>151</v>
      </c>
      <c r="B24" s="85" t="s">
        <v>152</v>
      </c>
      <c r="C24" s="116">
        <v>540</v>
      </c>
      <c r="D24" s="86" t="s">
        <v>4</v>
      </c>
      <c r="E24" s="117">
        <v>1.29</v>
      </c>
      <c r="F24" s="118">
        <v>41613</v>
      </c>
      <c r="G24" s="85" t="s">
        <v>17</v>
      </c>
      <c r="H24" s="85"/>
      <c r="I24" s="120">
        <v>0.18</v>
      </c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97.2</v>
      </c>
      <c r="V24" s="124"/>
      <c r="W24" s="125">
        <f t="shared" ca="1" si="5"/>
        <v>-1.29</v>
      </c>
      <c r="X24" s="120">
        <f t="shared" ca="1" si="6"/>
        <v>0</v>
      </c>
      <c r="Y24" s="126"/>
      <c r="Z24" s="95"/>
    </row>
    <row r="25" spans="1:26" ht="15.75" thickBot="1" x14ac:dyDescent="0.3">
      <c r="A25" s="98" t="s">
        <v>151</v>
      </c>
      <c r="B25" s="85" t="s">
        <v>152</v>
      </c>
      <c r="C25" s="116">
        <v>244</v>
      </c>
      <c r="D25" s="86" t="s">
        <v>4</v>
      </c>
      <c r="E25" s="117">
        <v>1.29</v>
      </c>
      <c r="F25" s="118">
        <v>41613</v>
      </c>
      <c r="G25" s="85" t="s">
        <v>25</v>
      </c>
      <c r="H25" s="85"/>
      <c r="I25" s="120">
        <v>0.18</v>
      </c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43.92</v>
      </c>
      <c r="V25" s="124"/>
      <c r="W25" s="125">
        <f t="shared" ca="1" si="5"/>
        <v>-1.29</v>
      </c>
      <c r="X25" s="120">
        <f t="shared" ca="1" si="6"/>
        <v>0</v>
      </c>
      <c r="Y25" s="126"/>
      <c r="Z25" s="95"/>
    </row>
    <row r="26" spans="1:26" ht="15.75" thickBot="1" x14ac:dyDescent="0.3">
      <c r="A26" s="98" t="s">
        <v>151</v>
      </c>
      <c r="B26" s="85" t="s">
        <v>152</v>
      </c>
      <c r="C26" s="116">
        <v>244</v>
      </c>
      <c r="D26" s="86" t="s">
        <v>4</v>
      </c>
      <c r="E26" s="117">
        <v>1.32</v>
      </c>
      <c r="F26" s="118">
        <v>41619</v>
      </c>
      <c r="G26" s="85" t="s">
        <v>25</v>
      </c>
      <c r="H26" s="85"/>
      <c r="I26" s="120">
        <v>0.18</v>
      </c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43.92</v>
      </c>
      <c r="V26" s="124"/>
      <c r="W26" s="125">
        <f t="shared" ca="1" si="5"/>
        <v>-1.32</v>
      </c>
      <c r="X26" s="120">
        <f t="shared" ca="1" si="6"/>
        <v>0</v>
      </c>
      <c r="Y26" s="126"/>
      <c r="Z26" s="95"/>
    </row>
    <row r="27" spans="1:26" ht="15.75" thickBot="1" x14ac:dyDescent="0.3">
      <c r="A27" s="98" t="s">
        <v>151</v>
      </c>
      <c r="B27" s="85" t="s">
        <v>152</v>
      </c>
      <c r="C27" s="116">
        <v>94</v>
      </c>
      <c r="D27" s="86" t="s">
        <v>4</v>
      </c>
      <c r="E27" s="117">
        <v>1.32</v>
      </c>
      <c r="F27" s="118">
        <v>41619</v>
      </c>
      <c r="G27" s="85" t="s">
        <v>17</v>
      </c>
      <c r="H27" s="85"/>
      <c r="I27" s="120">
        <v>0.18</v>
      </c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16.919999999999998</v>
      </c>
      <c r="V27" s="124"/>
      <c r="W27" s="125">
        <f t="shared" ca="1" si="5"/>
        <v>-1.32</v>
      </c>
      <c r="X27" s="120">
        <f t="shared" ca="1" si="6"/>
        <v>0</v>
      </c>
      <c r="Y27" s="126"/>
      <c r="Z27" s="95"/>
    </row>
    <row r="28" spans="1:26" ht="15.75" thickBot="1" x14ac:dyDescent="0.3">
      <c r="A28" s="98" t="s">
        <v>151</v>
      </c>
      <c r="B28" s="85" t="s">
        <v>152</v>
      </c>
      <c r="C28" s="116">
        <v>502</v>
      </c>
      <c r="D28" s="86" t="s">
        <v>4</v>
      </c>
      <c r="E28" s="117">
        <v>1.3</v>
      </c>
      <c r="F28" s="118">
        <v>41624</v>
      </c>
      <c r="G28" s="85" t="s">
        <v>13</v>
      </c>
      <c r="H28" s="85"/>
      <c r="I28" s="120">
        <v>0.18</v>
      </c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90.36</v>
      </c>
      <c r="V28" s="124"/>
      <c r="W28" s="125">
        <f t="shared" ca="1" si="5"/>
        <v>-1.3</v>
      </c>
      <c r="X28" s="120">
        <f t="shared" ca="1" si="6"/>
        <v>0</v>
      </c>
      <c r="Y28" s="126"/>
      <c r="Z28" s="95"/>
    </row>
    <row r="29" spans="1:26" ht="15.75" thickBot="1" x14ac:dyDescent="0.3">
      <c r="A29" s="98" t="s">
        <v>151</v>
      </c>
      <c r="B29" s="85" t="s">
        <v>152</v>
      </c>
      <c r="C29" s="116">
        <v>726</v>
      </c>
      <c r="D29" s="86" t="s">
        <v>6</v>
      </c>
      <c r="E29" s="117">
        <v>6.43</v>
      </c>
      <c r="F29" s="118">
        <v>41648</v>
      </c>
      <c r="G29" s="85" t="s">
        <v>14</v>
      </c>
      <c r="H29" s="85"/>
      <c r="I29" s="120">
        <v>0.18</v>
      </c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130.68</v>
      </c>
      <c r="V29" s="124"/>
      <c r="W29" s="125">
        <f t="shared" ca="1" si="5"/>
        <v>-6.43</v>
      </c>
      <c r="X29" s="120">
        <f t="shared" ca="1" si="6"/>
        <v>0</v>
      </c>
      <c r="Y29" s="126"/>
      <c r="Z29" s="95"/>
    </row>
    <row r="30" spans="1:26" ht="15.75" thickBot="1" x14ac:dyDescent="0.3">
      <c r="A30" s="98" t="s">
        <v>154</v>
      </c>
      <c r="B30" s="85" t="s">
        <v>152</v>
      </c>
      <c r="C30" s="116">
        <v>592</v>
      </c>
      <c r="D30" s="86" t="s">
        <v>4</v>
      </c>
      <c r="E30" s="117">
        <v>1.29</v>
      </c>
      <c r="F30" s="118">
        <v>41613</v>
      </c>
      <c r="G30" s="85" t="s">
        <v>19</v>
      </c>
      <c r="H30" s="85"/>
      <c r="I30" s="120">
        <v>0.18</v>
      </c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106.56</v>
      </c>
      <c r="V30" s="124"/>
      <c r="W30" s="125">
        <f t="shared" ca="1" si="5"/>
        <v>-1.29</v>
      </c>
      <c r="X30" s="120">
        <f t="shared" ca="1" si="6"/>
        <v>0</v>
      </c>
      <c r="Y30" s="126"/>
      <c r="Z30" s="95"/>
    </row>
    <row r="31" spans="1:26" ht="15.75" thickBot="1" x14ac:dyDescent="0.3">
      <c r="A31" s="98" t="s">
        <v>154</v>
      </c>
      <c r="B31" s="85" t="s">
        <v>152</v>
      </c>
      <c r="C31" s="116">
        <v>494</v>
      </c>
      <c r="D31" s="86" t="s">
        <v>4</v>
      </c>
      <c r="E31" s="117">
        <v>1.29</v>
      </c>
      <c r="F31" s="118">
        <v>41613</v>
      </c>
      <c r="G31" s="85" t="s">
        <v>26</v>
      </c>
      <c r="H31" s="85"/>
      <c r="I31" s="120">
        <v>0.18</v>
      </c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88.92</v>
      </c>
      <c r="V31" s="124"/>
      <c r="W31" s="125">
        <f t="shared" ca="1" si="5"/>
        <v>-1.29</v>
      </c>
      <c r="X31" s="120">
        <f t="shared" ca="1" si="6"/>
        <v>0</v>
      </c>
      <c r="Y31" s="126"/>
      <c r="Z31" s="95"/>
    </row>
    <row r="32" spans="1:26" ht="15.75" thickBot="1" x14ac:dyDescent="0.3">
      <c r="A32" s="98" t="s">
        <v>154</v>
      </c>
      <c r="B32" s="85" t="s">
        <v>152</v>
      </c>
      <c r="C32" s="116">
        <v>600</v>
      </c>
      <c r="D32" s="86" t="s">
        <v>4</v>
      </c>
      <c r="E32" s="117">
        <v>1.32</v>
      </c>
      <c r="F32" s="118">
        <v>41619</v>
      </c>
      <c r="G32" s="85" t="s">
        <v>19</v>
      </c>
      <c r="H32" s="85"/>
      <c r="I32" s="120">
        <v>0.18</v>
      </c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108</v>
      </c>
      <c r="V32" s="124"/>
      <c r="W32" s="125">
        <f t="shared" ca="1" si="5"/>
        <v>-1.32</v>
      </c>
      <c r="X32" s="120">
        <f t="shared" ca="1" si="6"/>
        <v>0</v>
      </c>
      <c r="Y32" s="126"/>
      <c r="Z32" s="95"/>
    </row>
    <row r="33" spans="1:26" ht="15.75" thickBot="1" x14ac:dyDescent="0.3">
      <c r="A33" s="98" t="s">
        <v>154</v>
      </c>
      <c r="B33" s="85" t="s">
        <v>152</v>
      </c>
      <c r="C33" s="116">
        <v>520</v>
      </c>
      <c r="D33" s="86" t="s">
        <v>4</v>
      </c>
      <c r="E33" s="117">
        <v>1.31</v>
      </c>
      <c r="F33" s="118">
        <v>41625</v>
      </c>
      <c r="G33" s="85" t="s">
        <v>23</v>
      </c>
      <c r="H33" s="85"/>
      <c r="I33" s="120">
        <v>0.18</v>
      </c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93.6</v>
      </c>
      <c r="V33" s="124"/>
      <c r="W33" s="125">
        <f t="shared" ca="1" si="5"/>
        <v>-1.31</v>
      </c>
      <c r="X33" s="120">
        <f t="shared" ca="1" si="6"/>
        <v>0</v>
      </c>
      <c r="Y33" s="126"/>
      <c r="Z33" s="95"/>
    </row>
    <row r="34" spans="1:26" ht="15.75" thickBot="1" x14ac:dyDescent="0.3">
      <c r="A34" s="98" t="s">
        <v>154</v>
      </c>
      <c r="B34" s="85" t="s">
        <v>152</v>
      </c>
      <c r="C34" s="116">
        <v>304</v>
      </c>
      <c r="D34" s="86" t="s">
        <v>4</v>
      </c>
      <c r="E34" s="117">
        <v>1.3</v>
      </c>
      <c r="F34" s="118">
        <v>41635</v>
      </c>
      <c r="G34" s="85" t="s">
        <v>26</v>
      </c>
      <c r="H34" s="85"/>
      <c r="I34" s="120">
        <v>0.18</v>
      </c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54.72</v>
      </c>
      <c r="V34" s="124"/>
      <c r="W34" s="125">
        <f t="shared" ca="1" si="5"/>
        <v>-1.3</v>
      </c>
      <c r="X34" s="120">
        <f t="shared" ca="1" si="6"/>
        <v>0</v>
      </c>
      <c r="Y34" s="126"/>
      <c r="Z34" s="95"/>
    </row>
    <row r="35" spans="1:26" ht="15.75" thickBot="1" x14ac:dyDescent="0.3">
      <c r="A35" s="98" t="s">
        <v>155</v>
      </c>
      <c r="B35" s="85" t="s">
        <v>152</v>
      </c>
      <c r="C35" s="116">
        <v>578</v>
      </c>
      <c r="D35" s="86" t="s">
        <v>4</v>
      </c>
      <c r="E35" s="117">
        <v>1.3</v>
      </c>
      <c r="F35" s="118">
        <v>41627</v>
      </c>
      <c r="G35" s="85" t="s">
        <v>17</v>
      </c>
      <c r="H35" s="85"/>
      <c r="I35" s="120">
        <v>0.18</v>
      </c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104.03999999999999</v>
      </c>
      <c r="V35" s="124"/>
      <c r="W35" s="125">
        <f t="shared" ca="1" si="5"/>
        <v>-1.3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119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128"/>
      <c r="B44" s="129"/>
      <c r="C44" s="130"/>
      <c r="D44" s="131"/>
      <c r="E44" s="132"/>
      <c r="F44" s="133"/>
      <c r="G44" s="129"/>
      <c r="H44" s="129"/>
      <c r="I44" s="134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35">
        <f t="shared" ca="1" si="0"/>
        <v>0</v>
      </c>
      <c r="N44" s="135">
        <f ca="1">+IF(ISERROR(OFFSET(Tabella!$G$1,MATCH(G44,Tabella!$G:$G,0)-1,MATCH(H44,Tabella!$G$1:$FG$1,0)-1)=TRUE),0,OFFSET(Tabella!$G$1,MATCH(G44,Tabella!$G:$G,0)-1,MATCH(H44,Tabella!$G$1:$AB$1,0)-1))</f>
        <v>0</v>
      </c>
      <c r="O44" s="135">
        <f ca="1">IF(ISERROR(OFFSET(Ottone!$F$1,MATCH(G44,Ottone!$A:$A,0)-1,MATCH(H44,Ottone!$F$1:$FF$1,0)-1)=TRUE),0,OFFSET(Ottone!$F$1,MATCH(G44,Ottone!$A:$A,0)-1,MATCH(H44,Ottone!$F$1:$FF$1,0)-1))*IF(D44="Ottone",1,0)</f>
        <v>0</v>
      </c>
      <c r="P44" s="135">
        <f ca="1">IF(ISERROR(OFFSET(Rame!$F$1,MATCH(G44,Rame!$F:$F,0)-1,MATCH(H44,Rame!$F$1:$FF$1,0)-1)=TRUE),0,OFFSET(Rame!$F$1,MATCH(G44,Rame!$F:$F,0)-1,MATCH(H44,Rame!$F$1:$FF$1,0)-1))*IF(D44="Rame",1,0)</f>
        <v>0</v>
      </c>
      <c r="Q44" s="135">
        <f t="shared" ca="1" si="1"/>
        <v>0</v>
      </c>
      <c r="R44" s="135">
        <f t="shared" si="7"/>
        <v>0</v>
      </c>
      <c r="S44" s="136"/>
      <c r="T44" s="137">
        <f t="shared" ca="1" si="3"/>
        <v>0</v>
      </c>
      <c r="U44" s="138">
        <f t="shared" si="4"/>
        <v>0</v>
      </c>
      <c r="V44" s="139"/>
      <c r="W44" s="140">
        <f t="shared" ca="1" si="5"/>
        <v>0</v>
      </c>
      <c r="X44" s="134">
        <f t="shared" ca="1" si="6"/>
        <v>0</v>
      </c>
      <c r="Y44" s="141"/>
      <c r="Z44" s="96"/>
    </row>
    <row r="45" spans="1:26" ht="15.75" thickBot="1" x14ac:dyDescent="0.3">
      <c r="C45" s="87">
        <f>SUM(C6:C44)</f>
        <v>19012</v>
      </c>
      <c r="R45" s="142"/>
      <c r="S45" s="143"/>
      <c r="U45" s="88">
        <f>SUM(U6:U44)</f>
        <v>2327.36</v>
      </c>
      <c r="X45" s="79">
        <f ca="1">SUM(X6:X44)</f>
        <v>0</v>
      </c>
    </row>
    <row r="49" spans="2:4" ht="15.75" thickBot="1" x14ac:dyDescent="0.3"/>
    <row r="50" spans="2:4" ht="15.75" thickBot="1" x14ac:dyDescent="0.3">
      <c r="B50" s="89" t="s">
        <v>37</v>
      </c>
      <c r="C50" s="90" t="s">
        <v>38</v>
      </c>
      <c r="D50" s="91" t="s">
        <v>94</v>
      </c>
    </row>
    <row r="51" spans="2:4" x14ac:dyDescent="0.25">
      <c r="B51" s="144" t="s">
        <v>105</v>
      </c>
      <c r="C51" s="145">
        <f>SUMIF(B6:B44,"Alge",C6:C44)</f>
        <v>0</v>
      </c>
      <c r="D51" s="146">
        <f>SUMIF(B6:B44,"Alge",U6:U44)</f>
        <v>0</v>
      </c>
    </row>
    <row r="52" spans="2:4" x14ac:dyDescent="0.25">
      <c r="B52" s="98" t="s">
        <v>113</v>
      </c>
      <c r="C52" s="116">
        <f>SUMIF(B6:B44,"Amer",C6:C44)</f>
        <v>0</v>
      </c>
      <c r="D52" s="147">
        <f>SUMIF(B6:B44,"Amer",U6:U44)</f>
        <v>0</v>
      </c>
    </row>
    <row r="53" spans="2:4" x14ac:dyDescent="0.25">
      <c r="B53" s="98" t="s">
        <v>95</v>
      </c>
      <c r="C53" s="116">
        <f>SUMIF(B6:B44,"Braga",C6:C44)</f>
        <v>0</v>
      </c>
      <c r="D53" s="147">
        <f>SUMIF(B6:B44,"Braga",U6:U44)</f>
        <v>0</v>
      </c>
    </row>
    <row r="54" spans="2:4" x14ac:dyDescent="0.25">
      <c r="B54" s="98" t="s">
        <v>114</v>
      </c>
      <c r="C54" s="116">
        <f>SUMIF(B6:B44,"Colombo",C6:C44)</f>
        <v>0</v>
      </c>
      <c r="D54" s="147">
        <f ca="1">SUMIF(B5:B44,"Colombo",U6:U44)</f>
        <v>0</v>
      </c>
    </row>
    <row r="55" spans="2:4" x14ac:dyDescent="0.25">
      <c r="B55" s="98" t="s">
        <v>111</v>
      </c>
      <c r="C55" s="116">
        <f>SUMIF(B6:B44,"Elca",C6:C44)</f>
        <v>890</v>
      </c>
      <c r="D55" s="147">
        <f>SUMIF(B6:B44,"Elca",U6:U44)</f>
        <v>89</v>
      </c>
    </row>
    <row r="56" spans="2:4" x14ac:dyDescent="0.25">
      <c r="B56" s="98" t="s">
        <v>106</v>
      </c>
      <c r="C56" s="116">
        <f>SUMIF(B6:B44,"Eletrafo",C6:C44)</f>
        <v>1446</v>
      </c>
      <c r="D56" s="147">
        <f>SUMIF(B6:B44,"Eletrafo",U6:U44)</f>
        <v>144.60000000000002</v>
      </c>
    </row>
    <row r="57" spans="2:4" x14ac:dyDescent="0.25">
      <c r="B57" s="98" t="s">
        <v>91</v>
      </c>
      <c r="C57" s="116">
        <f>SUMIF(B6:B44,"Elettroplastica",C6:C44)</f>
        <v>0</v>
      </c>
      <c r="D57" s="147">
        <f>SUMIF(B6:B44,"Elettroplastica",U6:U44)</f>
        <v>0</v>
      </c>
    </row>
    <row r="58" spans="2:4" x14ac:dyDescent="0.25">
      <c r="B58" s="98" t="s">
        <v>104</v>
      </c>
      <c r="C58" s="116">
        <f>SUMIF(B6:B44,"Elpi Castresin",C6:C44)</f>
        <v>0</v>
      </c>
      <c r="D58" s="147">
        <f>SUMIF(B6:B44,"Alge",U6:U44)</f>
        <v>0</v>
      </c>
    </row>
    <row r="59" spans="2:4" x14ac:dyDescent="0.25">
      <c r="B59" s="98" t="s">
        <v>97</v>
      </c>
      <c r="C59" s="116">
        <f>SUMIF(B6:B44,"Emg",C6:C44)</f>
        <v>0</v>
      </c>
      <c r="D59" s="147">
        <f>SUMIF(B6:B44,"Emg",U6:U44)</f>
        <v>0</v>
      </c>
    </row>
    <row r="60" spans="2:4" x14ac:dyDescent="0.25">
      <c r="B60" s="98" t="s">
        <v>100</v>
      </c>
      <c r="C60" s="116">
        <f>SUMIF(B6:B44,"FdueG",C1:C44)</f>
        <v>0</v>
      </c>
      <c r="D60" s="147">
        <f>SUMIF(B6:B44,"FdueG",U6:U44)</f>
        <v>0</v>
      </c>
    </row>
    <row r="61" spans="2:4" x14ac:dyDescent="0.25">
      <c r="B61" s="98" t="s">
        <v>118</v>
      </c>
      <c r="C61" s="116">
        <f>SUMIF(B6:B44,"Giussani",C6:C44)</f>
        <v>0</v>
      </c>
      <c r="D61" s="147">
        <f>SUMIF(B6:B44,"Giussani",U6:U44)</f>
        <v>0</v>
      </c>
    </row>
    <row r="62" spans="2:4" x14ac:dyDescent="0.25">
      <c r="B62" s="98" t="s">
        <v>93</v>
      </c>
      <c r="C62" s="116">
        <f>SUMIF(B6:B44,"ICAR",C6:C44)</f>
        <v>840</v>
      </c>
      <c r="D62" s="147">
        <f>SUMIF(B6:B44,"Icar",U6:U44)</f>
        <v>84</v>
      </c>
    </row>
    <row r="63" spans="2:4" x14ac:dyDescent="0.25">
      <c r="B63" s="98" t="s">
        <v>116</v>
      </c>
      <c r="C63" s="116">
        <f>SUMIF(B6:B44,"Mace",C6:C44)</f>
        <v>0</v>
      </c>
      <c r="D63" s="147">
        <f>SUMIF(B6:B44,"Mace",U6:U44)</f>
        <v>0</v>
      </c>
    </row>
    <row r="64" spans="2:4" x14ac:dyDescent="0.25">
      <c r="B64" s="98" t="s">
        <v>112</v>
      </c>
      <c r="C64" s="116">
        <f>SUMIF(B6:B44,"Marnate",C6:C44)</f>
        <v>0</v>
      </c>
      <c r="D64" s="147">
        <f>SUMIF(B6:B44,"Marnate",U6:U44)</f>
        <v>0</v>
      </c>
    </row>
    <row r="65" spans="2:4" x14ac:dyDescent="0.25">
      <c r="B65" s="98" t="s">
        <v>92</v>
      </c>
      <c r="C65" s="116">
        <f>SUMIF(B6:B44,"Meca",C6:C44)</f>
        <v>0</v>
      </c>
      <c r="D65" s="147">
        <f>SUMIF(B6:B44,"Meca",U6:U44)</f>
        <v>0</v>
      </c>
    </row>
    <row r="66" spans="2:4" x14ac:dyDescent="0.25">
      <c r="B66" s="98" t="s">
        <v>108</v>
      </c>
      <c r="C66" s="116">
        <f>SUMIF(B6:B44,"MF",C6:C44)</f>
        <v>0</v>
      </c>
      <c r="D66" s="147">
        <f>SUMIF(B6:B44,"MF",U6:U44)</f>
        <v>0</v>
      </c>
    </row>
    <row r="67" spans="2:4" x14ac:dyDescent="0.25">
      <c r="B67" s="98" t="s">
        <v>101</v>
      </c>
      <c r="C67" s="116">
        <f>SUMIF(B6:B44,"MP",C6:C44)</f>
        <v>0</v>
      </c>
      <c r="D67" s="147">
        <f>SUMIF(B6:B44,"MP",U6:U44)</f>
        <v>0</v>
      </c>
    </row>
    <row r="68" spans="2:4" x14ac:dyDescent="0.25">
      <c r="B68" s="98" t="s">
        <v>110</v>
      </c>
      <c r="C68" s="116">
        <f>SUMIF(B6:B44,"Neotrade",C6:C44)</f>
        <v>0</v>
      </c>
      <c r="D68" s="147">
        <f>SUMIF(B6:B44,"Neotrae",U6:U44)</f>
        <v>0</v>
      </c>
    </row>
    <row r="69" spans="2:4" x14ac:dyDescent="0.25">
      <c r="B69" s="98" t="s">
        <v>102</v>
      </c>
      <c r="C69" s="116">
        <f>SUMIF(B6:B44,"Newton",C6:C44)</f>
        <v>5642</v>
      </c>
      <c r="D69" s="147">
        <f>SUMIF(B6:B44,"Newton",U6:U44)</f>
        <v>564.20000000000005</v>
      </c>
    </row>
    <row r="70" spans="2:4" x14ac:dyDescent="0.25">
      <c r="B70" s="98" t="s">
        <v>98</v>
      </c>
      <c r="C70" s="116">
        <f>SUMIF(B6:B44,"Piola",C6:C44)</f>
        <v>520</v>
      </c>
      <c r="D70" s="147">
        <f>SUMIF(B6:B44,"Piola",U6:U44)</f>
        <v>52</v>
      </c>
    </row>
    <row r="71" spans="2:4" x14ac:dyDescent="0.25">
      <c r="B71" s="98" t="s">
        <v>103</v>
      </c>
      <c r="C71" s="116">
        <f>SUMIF(B6:B44,"Piossasco",C6:C44)</f>
        <v>0</v>
      </c>
      <c r="D71" s="147">
        <f>SUMIF(B6:B44,"Piossasco",U6:U44)</f>
        <v>0</v>
      </c>
    </row>
    <row r="72" spans="2:4" x14ac:dyDescent="0.25">
      <c r="B72" s="98" t="s">
        <v>115</v>
      </c>
      <c r="C72" s="116">
        <f>SUMIF(B6:B44,"project",C6:C44)</f>
        <v>0</v>
      </c>
      <c r="D72" s="147">
        <f>SUMIF(B6:B44,"Project",U6:U44)</f>
        <v>0</v>
      </c>
    </row>
    <row r="73" spans="2:4" x14ac:dyDescent="0.25">
      <c r="B73" s="98" t="s">
        <v>109</v>
      </c>
      <c r="C73" s="116">
        <f>SUMIF(B6:B44,"Sirmet",C6:C44)</f>
        <v>0</v>
      </c>
      <c r="D73" s="147">
        <f>SUMIF(B6:B44,"Alge",U6:U44)</f>
        <v>0</v>
      </c>
    </row>
    <row r="74" spans="2:4" x14ac:dyDescent="0.25">
      <c r="B74" s="98" t="s">
        <v>107</v>
      </c>
      <c r="C74" s="116">
        <f>SUMIF(B6:B44,"Tecnomintra",C6:C44)</f>
        <v>0</v>
      </c>
      <c r="D74" s="147">
        <f>SUMIF(B6:B44,"Tecnomintra",U6:U44)</f>
        <v>0</v>
      </c>
    </row>
    <row r="75" spans="2:4" x14ac:dyDescent="0.25">
      <c r="B75" s="98" t="s">
        <v>90</v>
      </c>
      <c r="C75" s="116">
        <f>SUMIF(B6:B44,"Trafomec",C6:C44)</f>
        <v>6086</v>
      </c>
      <c r="D75" s="147">
        <f>SUMIF(B6:B44,"Trafomec",U6:U44)</f>
        <v>1095.48</v>
      </c>
    </row>
    <row r="76" spans="2:4" x14ac:dyDescent="0.25">
      <c r="B76" s="98" t="s">
        <v>119</v>
      </c>
      <c r="C76" s="116">
        <f>SUMIF(B6:B44,"Trafomec SA",C6:C44)</f>
        <v>0</v>
      </c>
      <c r="D76" s="147">
        <f>SUMIF(B6:B44,"Trafomec SA",U6:U44)</f>
        <v>0</v>
      </c>
    </row>
    <row r="77" spans="2:4" x14ac:dyDescent="0.25">
      <c r="B77" s="98" t="s">
        <v>96</v>
      </c>
      <c r="C77" s="116">
        <f>SUMIF(B6:B44,"Wattsud",C6:C44)</f>
        <v>0</v>
      </c>
      <c r="D77" s="147">
        <f>SUMIF(B6:B44,"Wattsud",U6:U44)</f>
        <v>0</v>
      </c>
    </row>
    <row r="78" spans="2:4" x14ac:dyDescent="0.25">
      <c r="B78" s="98" t="s">
        <v>117</v>
      </c>
      <c r="C78" s="116">
        <f>SUMIF(B6:B44,"Wetter",C6:C44)</f>
        <v>1564</v>
      </c>
      <c r="D78" s="147">
        <f>SUMIF(B6:B44,"Wetter",U6:U44)</f>
        <v>156.4</v>
      </c>
    </row>
    <row r="79" spans="2:4" x14ac:dyDescent="0.25">
      <c r="B79" s="148" t="s">
        <v>99</v>
      </c>
      <c r="C79" s="149">
        <f>SUMIF(B6:B44,"Zucchiatti",C6:C44)</f>
        <v>0</v>
      </c>
      <c r="D79" s="150">
        <f>SUMIF(B6:B44,"Zucchiatti",U6:U44)</f>
        <v>0</v>
      </c>
    </row>
    <row r="80" spans="2:4" ht="15.75" thickBot="1" x14ac:dyDescent="0.3">
      <c r="B80" s="128"/>
      <c r="C80" s="151">
        <v>0</v>
      </c>
      <c r="D80" s="152"/>
    </row>
    <row r="81" spans="3:4" ht="15.75" thickBot="1" x14ac:dyDescent="0.3">
      <c r="C81" s="92">
        <f>SUM(C51:C80)</f>
        <v>16988</v>
      </c>
      <c r="D81" s="93">
        <f ca="1">SUM(D51:D79)</f>
        <v>2185.6800000000003</v>
      </c>
    </row>
  </sheetData>
  <autoFilter ref="B5:B45"/>
  <dataConsolidate/>
  <phoneticPr fontId="0" type="noConversion"/>
  <dataValidations count="46">
    <dataValidation type="list" allowBlank="1" showInputMessage="1" showErrorMessage="1" sqref="H7">
      <formula1>IF(D6="Alluminio",LargAl,LarCu)</formula1>
    </dataValidation>
    <dataValidation type="list" allowBlank="1" showInputMessage="1" showErrorMessage="1" sqref="H44">
      <formula1>Larghezza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H8:H43">
      <formula1>IF(D8="Alluminio",LargAl,LarCu)</formula1>
    </dataValidation>
    <dataValidation type="list" allowBlank="1" showInputMessage="1" showErrorMessage="1" sqref="I6:I44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D7:D44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Z6:Z44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45" max="21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/>
  <dimension ref="A2:Z88"/>
  <sheetViews>
    <sheetView topLeftCell="J1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130</v>
      </c>
      <c r="B6" s="104" t="s">
        <v>131</v>
      </c>
      <c r="C6" s="105">
        <v>370</v>
      </c>
      <c r="D6" s="106" t="s">
        <v>4</v>
      </c>
      <c r="E6" s="107">
        <v>1.31</v>
      </c>
      <c r="F6" s="108">
        <v>41618</v>
      </c>
      <c r="G6" s="85" t="s">
        <v>28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37</v>
      </c>
      <c r="V6" s="113"/>
      <c r="W6" s="114">
        <f t="shared" ref="W6:W51" ca="1" si="5">+V6-T6-E6</f>
        <v>-2.71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132</v>
      </c>
      <c r="B7" s="85" t="s">
        <v>133</v>
      </c>
      <c r="C7" s="116">
        <v>178</v>
      </c>
      <c r="D7" s="86" t="s">
        <v>4</v>
      </c>
      <c r="E7" s="117">
        <v>1.29</v>
      </c>
      <c r="F7" s="118">
        <v>41654</v>
      </c>
      <c r="G7" s="85" t="s">
        <v>25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1.4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1.4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1.4</v>
      </c>
      <c r="U7" s="120">
        <f t="shared" si="4"/>
        <v>17.8</v>
      </c>
      <c r="V7" s="124"/>
      <c r="W7" s="125">
        <f t="shared" ca="1" si="5"/>
        <v>-2.69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160</v>
      </c>
      <c r="B8" s="85" t="s">
        <v>125</v>
      </c>
      <c r="C8" s="116">
        <v>310</v>
      </c>
      <c r="D8" s="86" t="s">
        <v>5</v>
      </c>
      <c r="E8" s="117">
        <v>4.8499999999999996</v>
      </c>
      <c r="F8" s="118">
        <v>41627</v>
      </c>
      <c r="G8" s="85" t="s">
        <v>18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0.6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0.6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0.1</v>
      </c>
      <c r="S8" s="122"/>
      <c r="T8" s="123">
        <f t="shared" ca="1" si="3"/>
        <v>0.7</v>
      </c>
      <c r="U8" s="120">
        <f t="shared" si="4"/>
        <v>31</v>
      </c>
      <c r="V8" s="124"/>
      <c r="W8" s="125">
        <f t="shared" ca="1" si="5"/>
        <v>-5.55</v>
      </c>
      <c r="X8" s="120">
        <f t="shared" ca="1" si="6"/>
        <v>0</v>
      </c>
      <c r="Y8" s="126" t="s">
        <v>61</v>
      </c>
      <c r="Z8" s="95"/>
    </row>
    <row r="9" spans="1:26" ht="15.75" thickBot="1" x14ac:dyDescent="0.3">
      <c r="A9" s="98" t="s">
        <v>134</v>
      </c>
      <c r="B9" s="85" t="s">
        <v>125</v>
      </c>
      <c r="C9" s="116">
        <v>359</v>
      </c>
      <c r="D9" s="86" t="s">
        <v>5</v>
      </c>
      <c r="E9" s="117">
        <v>4.8499999999999996</v>
      </c>
      <c r="F9" s="118">
        <v>41627</v>
      </c>
      <c r="G9" s="85" t="s">
        <v>20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0.1</v>
      </c>
      <c r="S9" s="122"/>
      <c r="T9" s="123">
        <f t="shared" ca="1" si="3"/>
        <v>0.75</v>
      </c>
      <c r="U9" s="120">
        <f t="shared" si="4"/>
        <v>35.9</v>
      </c>
      <c r="V9" s="124"/>
      <c r="W9" s="125">
        <f t="shared" ca="1" si="5"/>
        <v>-5.6</v>
      </c>
      <c r="X9" s="120">
        <f t="shared" ca="1" si="6"/>
        <v>0</v>
      </c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 t="s">
        <v>61</v>
      </c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1217</v>
      </c>
      <c r="R52" s="142"/>
      <c r="S52" s="143"/>
      <c r="U52" s="88">
        <f>SUM(U6:U51)</f>
        <v>121.69999999999999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370</v>
      </c>
      <c r="D72" s="147">
        <f>SUMIF(B6:B51,"Meca",U6:U51)</f>
        <v>37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370</v>
      </c>
      <c r="D88" s="93">
        <f ca="1">SUM(D58:D86)</f>
        <v>37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36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/>
      <c r="B6" s="104"/>
      <c r="C6" s="105"/>
      <c r="D6" s="106" t="s">
        <v>4</v>
      </c>
      <c r="E6" s="107"/>
      <c r="F6" s="108"/>
      <c r="G6" s="85" t="s">
        <v>13</v>
      </c>
      <c r="H6" s="104" t="s">
        <v>7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1.6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1.6</v>
      </c>
      <c r="N6" s="110">
        <f ca="1">+IF(ISERROR(OFFSET(Tabella!$G$1,MATCH(G6,Tabella!$G:$G,0)-1,MATCH(H6,Tabella!$G$1:$FG$1,0)-1)=TRUE),0,OFFSET(Tabella!$G$1,MATCH(G6,Tabella!$G:$G,0)-1,MATCH(H6,Tabella!$G$1:$AB$1,0)-1))</f>
        <v>0.3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0.3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1.9000000000000001</v>
      </c>
      <c r="U6" s="109">
        <f t="shared" ref="U6:U51" si="4">+I6*C6</f>
        <v>0</v>
      </c>
      <c r="V6" s="113"/>
      <c r="W6" s="114">
        <f t="shared" ref="W6:W51" ca="1" si="5">+V6-T6-E6</f>
        <v>-1.9000000000000001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/>
      <c r="B7" s="85"/>
      <c r="C7" s="116"/>
      <c r="D7" s="86"/>
      <c r="E7" s="117"/>
      <c r="F7" s="118"/>
      <c r="G7" s="85"/>
      <c r="H7" s="119"/>
      <c r="I7" s="120"/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0</v>
      </c>
      <c r="V7" s="124"/>
      <c r="W7" s="125">
        <f t="shared" ca="1" si="5"/>
        <v>0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0</v>
      </c>
      <c r="R52" s="142"/>
      <c r="S52" s="143"/>
      <c r="U52" s="88">
        <f>SUM(U6:U51)</f>
        <v>0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0</v>
      </c>
      <c r="D88" s="93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52" max="21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2:Z88"/>
  <sheetViews>
    <sheetView topLeftCell="A70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12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6" width="11.85546875" hidden="1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127</v>
      </c>
      <c r="B6" s="104" t="s">
        <v>128</v>
      </c>
      <c r="C6" s="105">
        <v>2100</v>
      </c>
      <c r="D6" s="106" t="s">
        <v>5</v>
      </c>
      <c r="E6" s="107">
        <v>4.95</v>
      </c>
      <c r="F6" s="108">
        <v>41654</v>
      </c>
      <c r="G6" s="85" t="s">
        <v>16</v>
      </c>
      <c r="H6" s="104"/>
      <c r="I6" s="109">
        <v>0.18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0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15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0</v>
      </c>
      <c r="U6" s="109">
        <f t="shared" ref="U6:U51" si="4">+I6*C6</f>
        <v>378</v>
      </c>
      <c r="V6" s="113"/>
      <c r="W6" s="114">
        <f t="shared" ref="W6:W51" ca="1" si="5">+V6-T6-E6</f>
        <v>-4.95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129</v>
      </c>
      <c r="B7" s="85" t="s">
        <v>128</v>
      </c>
      <c r="C7" s="116">
        <v>2100</v>
      </c>
      <c r="D7" s="86" t="s">
        <v>5</v>
      </c>
      <c r="E7" s="117">
        <v>4.95</v>
      </c>
      <c r="F7" s="118">
        <v>41654</v>
      </c>
      <c r="G7" s="85" t="s">
        <v>16</v>
      </c>
      <c r="H7" s="119"/>
      <c r="I7" s="120">
        <v>0.18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378</v>
      </c>
      <c r="V7" s="124"/>
      <c r="W7" s="125">
        <f t="shared" ca="1" si="5"/>
        <v>-4.95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ca="1">SUM(N16:P16)</f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ca="1">SUM(N17:P17)</f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ref="Q18:Q51" ca="1" si="8">SUM(N18:P18)</f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8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8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8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8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8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8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8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8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8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8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8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8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8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8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8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8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8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8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8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8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8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8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8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8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8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8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8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8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8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8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8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8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8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4200</v>
      </c>
      <c r="R52" s="142"/>
      <c r="S52" s="143"/>
      <c r="U52" s="88">
        <f>SUM(U6:U51)</f>
        <v>756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4200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4200</v>
      </c>
      <c r="D88" s="93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G7"/>
  <sheetViews>
    <sheetView workbookViewId="0">
      <selection activeCell="F11" sqref="F11"/>
    </sheetView>
  </sheetViews>
  <sheetFormatPr defaultRowHeight="15" x14ac:dyDescent="0.25"/>
  <cols>
    <col min="1" max="1" width="16.140625" customWidth="1"/>
    <col min="2" max="2" width="13.7109375" customWidth="1"/>
    <col min="3" max="3" width="14.28515625" customWidth="1"/>
    <col min="4" max="4" width="13.85546875" customWidth="1"/>
    <col min="5" max="5" width="14.140625" customWidth="1"/>
  </cols>
  <sheetData>
    <row r="1" spans="1:7" x14ac:dyDescent="0.25">
      <c r="A1" s="160"/>
      <c r="B1" s="4" t="s">
        <v>171</v>
      </c>
      <c r="C1" s="4" t="s">
        <v>172</v>
      </c>
      <c r="D1" s="4" t="s">
        <v>173</v>
      </c>
      <c r="E1" s="4" t="s">
        <v>174</v>
      </c>
      <c r="F1" s="4"/>
      <c r="G1" s="4"/>
    </row>
    <row r="2" spans="1:7" x14ac:dyDescent="0.25">
      <c r="A2" s="163" t="s">
        <v>176</v>
      </c>
      <c r="B2" s="164"/>
      <c r="C2" s="164"/>
      <c r="D2" s="164"/>
      <c r="E2" s="164"/>
      <c r="F2" s="164"/>
      <c r="G2" s="164"/>
    </row>
    <row r="3" spans="1:7" x14ac:dyDescent="0.25">
      <c r="A3" s="163" t="s">
        <v>177</v>
      </c>
      <c r="B3" s="5">
        <v>1.61</v>
      </c>
      <c r="C3" s="5">
        <v>1.55</v>
      </c>
      <c r="D3" s="5">
        <v>1.41</v>
      </c>
      <c r="E3" s="5">
        <v>1.3</v>
      </c>
      <c r="F3" s="5"/>
      <c r="G3" s="5"/>
    </row>
    <row r="4" spans="1:7" x14ac:dyDescent="0.25">
      <c r="A4" s="163" t="s">
        <v>178</v>
      </c>
      <c r="B4" s="5">
        <v>1.53</v>
      </c>
      <c r="C4" s="5">
        <v>1.48</v>
      </c>
      <c r="D4" s="5">
        <v>1.38</v>
      </c>
      <c r="E4" s="5">
        <v>1.22</v>
      </c>
      <c r="F4" s="5"/>
      <c r="G4" s="5"/>
    </row>
    <row r="5" spans="1:7" x14ac:dyDescent="0.25">
      <c r="A5" s="163" t="s">
        <v>179</v>
      </c>
      <c r="B5" s="5">
        <v>1.47</v>
      </c>
      <c r="C5" s="5">
        <v>1.42</v>
      </c>
      <c r="D5" s="5">
        <v>1.28</v>
      </c>
      <c r="E5" s="5">
        <v>1.1599999999999999</v>
      </c>
      <c r="F5" s="5"/>
      <c r="G5" s="5"/>
    </row>
    <row r="6" spans="1:7" x14ac:dyDescent="0.25">
      <c r="A6" s="163" t="s">
        <v>180</v>
      </c>
      <c r="B6" s="5">
        <v>1.4</v>
      </c>
      <c r="C6" s="5">
        <v>1.34</v>
      </c>
      <c r="D6" s="5">
        <v>1.2</v>
      </c>
      <c r="E6" s="5">
        <v>1.1000000000000001</v>
      </c>
      <c r="F6" s="5"/>
      <c r="G6" s="5"/>
    </row>
    <row r="7" spans="1:7" x14ac:dyDescent="0.25">
      <c r="A7" s="166" t="s">
        <v>181</v>
      </c>
      <c r="B7" s="164"/>
      <c r="C7" s="5">
        <v>1.34</v>
      </c>
      <c r="D7" s="5">
        <v>1.2</v>
      </c>
      <c r="E7" s="5">
        <v>1.19</v>
      </c>
      <c r="F7" s="5"/>
      <c r="G7" s="5"/>
    </row>
  </sheetData>
  <phoneticPr fontId="19" type="noConversion"/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I7"/>
  <sheetViews>
    <sheetView workbookViewId="0">
      <selection activeCell="H11" sqref="H11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6" max="6" width="13" customWidth="1"/>
    <col min="7" max="7" width="11.140625" customWidth="1"/>
    <col min="8" max="8" width="12" customWidth="1"/>
    <col min="9" max="9" width="11.7109375" customWidth="1"/>
  </cols>
  <sheetData>
    <row r="1" spans="1:9" x14ac:dyDescent="0.25">
      <c r="B1" s="8">
        <v>0.1</v>
      </c>
      <c r="C1" s="8">
        <v>0.15</v>
      </c>
      <c r="G1" s="4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1.4</v>
      </c>
      <c r="C2" s="6">
        <v>1.43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1.1000000000000001</v>
      </c>
      <c r="C3" s="6">
        <v>1.25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0.95</v>
      </c>
      <c r="C4" s="6">
        <v>1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0.82</v>
      </c>
      <c r="C5" s="6">
        <v>0.85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0.78</v>
      </c>
      <c r="C6" s="6">
        <v>0.82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0.95</v>
      </c>
      <c r="C7" s="6">
        <v>1</v>
      </c>
      <c r="F7" s="5" t="s">
        <v>20</v>
      </c>
      <c r="G7" s="6">
        <v>0.3</v>
      </c>
      <c r="H7" s="6">
        <v>0.2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1:I7"/>
  <sheetViews>
    <sheetView workbookViewId="0">
      <selection activeCell="B38" sqref="B38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5" max="5" width="7.140625" customWidth="1"/>
    <col min="6" max="6" width="13.85546875" customWidth="1"/>
    <col min="7" max="7" width="11" customWidth="1"/>
    <col min="8" max="8" width="12.7109375" customWidth="1"/>
    <col min="9" max="9" width="13.42578125" customWidth="1"/>
  </cols>
  <sheetData>
    <row r="1" spans="1:9" x14ac:dyDescent="0.25">
      <c r="B1" s="8">
        <v>0.1</v>
      </c>
      <c r="C1" s="8">
        <v>0.15</v>
      </c>
      <c r="G1" s="4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1.05</v>
      </c>
      <c r="C2" s="6">
        <v>1.2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0.75</v>
      </c>
      <c r="C3" s="6">
        <v>0.9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0.65</v>
      </c>
      <c r="C4" s="6">
        <v>0.8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0.6</v>
      </c>
      <c r="C5" s="6">
        <v>0.75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0.6</v>
      </c>
      <c r="C6" s="6">
        <v>0.7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0.65</v>
      </c>
      <c r="C7" s="6">
        <v>0.8</v>
      </c>
      <c r="F7" s="5" t="s">
        <v>20</v>
      </c>
      <c r="G7" s="6">
        <v>0.2</v>
      </c>
      <c r="H7" s="6">
        <v>0.15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M59"/>
  <sheetViews>
    <sheetView topLeftCell="A22" workbookViewId="0">
      <selection sqref="A1:E1"/>
    </sheetView>
  </sheetViews>
  <sheetFormatPr defaultRowHeight="15" x14ac:dyDescent="0.25"/>
  <cols>
    <col min="1" max="2" width="14.5703125" customWidth="1"/>
    <col min="3" max="3" width="12.28515625" customWidth="1"/>
    <col min="4" max="4" width="11.42578125" customWidth="1"/>
    <col min="5" max="5" width="11.5703125" customWidth="1"/>
    <col min="7" max="7" width="12.5703125" customWidth="1"/>
    <col min="9" max="9" width="12.42578125" customWidth="1"/>
    <col min="10" max="10" width="18" customWidth="1"/>
  </cols>
  <sheetData>
    <row r="1" spans="1:10" x14ac:dyDescent="0.25">
      <c r="A1" s="77"/>
      <c r="B1" s="77">
        <v>0.04</v>
      </c>
      <c r="C1" s="77">
        <v>7.0000000000000007E-2</v>
      </c>
      <c r="D1" s="77">
        <v>0.1</v>
      </c>
      <c r="E1" s="77">
        <v>0.2</v>
      </c>
      <c r="H1" t="s">
        <v>87</v>
      </c>
      <c r="I1" s="3" t="s">
        <v>7</v>
      </c>
      <c r="J1" s="4" t="s">
        <v>8</v>
      </c>
    </row>
    <row r="2" spans="1:10" x14ac:dyDescent="0.25">
      <c r="A2" s="5" t="s">
        <v>9</v>
      </c>
      <c r="B2" s="5">
        <v>0</v>
      </c>
      <c r="C2" s="6">
        <v>1.6</v>
      </c>
      <c r="D2" s="6">
        <v>1.75</v>
      </c>
      <c r="E2" s="6">
        <v>0</v>
      </c>
      <c r="G2" s="5" t="s">
        <v>9</v>
      </c>
      <c r="H2" s="5">
        <v>0</v>
      </c>
      <c r="I2" s="6">
        <v>0.4</v>
      </c>
      <c r="J2" s="6">
        <v>0.3</v>
      </c>
    </row>
    <row r="3" spans="1:10" x14ac:dyDescent="0.25">
      <c r="A3" s="5" t="s">
        <v>11</v>
      </c>
      <c r="B3" s="5">
        <v>0</v>
      </c>
      <c r="C3" s="6">
        <v>1.5</v>
      </c>
      <c r="D3" s="6">
        <v>1.65</v>
      </c>
      <c r="E3" s="6">
        <v>0</v>
      </c>
      <c r="G3" s="5" t="s">
        <v>11</v>
      </c>
      <c r="H3" s="5">
        <v>0</v>
      </c>
      <c r="I3" s="6">
        <v>0.3</v>
      </c>
      <c r="J3" s="6">
        <v>0.2</v>
      </c>
    </row>
    <row r="4" spans="1:10" x14ac:dyDescent="0.25">
      <c r="A4" s="5" t="s">
        <v>13</v>
      </c>
      <c r="B4" s="5">
        <v>0</v>
      </c>
      <c r="C4" s="6">
        <v>1.4</v>
      </c>
      <c r="D4" s="6">
        <v>1.6</v>
      </c>
      <c r="E4" s="6">
        <v>0</v>
      </c>
      <c r="G4" s="5" t="s">
        <v>13</v>
      </c>
      <c r="H4" s="5">
        <v>0</v>
      </c>
      <c r="I4" s="6">
        <v>0.3</v>
      </c>
      <c r="J4" s="6">
        <v>0.15</v>
      </c>
    </row>
    <row r="5" spans="1:10" x14ac:dyDescent="0.25">
      <c r="A5" s="5" t="s">
        <v>15</v>
      </c>
      <c r="B5" s="5">
        <v>0</v>
      </c>
      <c r="C5" s="6">
        <v>1.4</v>
      </c>
      <c r="D5" s="6">
        <v>1.6</v>
      </c>
      <c r="E5" s="6">
        <v>0</v>
      </c>
      <c r="G5" s="5" t="s">
        <v>15</v>
      </c>
      <c r="H5" s="5">
        <v>0</v>
      </c>
      <c r="I5" s="6">
        <v>0.3</v>
      </c>
      <c r="J5" s="6">
        <v>0.15</v>
      </c>
    </row>
    <row r="6" spans="1:10" x14ac:dyDescent="0.25">
      <c r="A6" s="5" t="s">
        <v>17</v>
      </c>
      <c r="B6" s="5">
        <v>0</v>
      </c>
      <c r="C6" s="6">
        <v>1.4</v>
      </c>
      <c r="D6" s="6">
        <v>1.6</v>
      </c>
      <c r="E6" s="6">
        <v>0</v>
      </c>
      <c r="G6" s="5" t="s">
        <v>17</v>
      </c>
      <c r="H6" s="5">
        <v>0</v>
      </c>
      <c r="I6" s="6">
        <v>0.25</v>
      </c>
      <c r="J6" s="6">
        <v>0.13</v>
      </c>
    </row>
    <row r="7" spans="1:10" x14ac:dyDescent="0.25">
      <c r="A7" s="5" t="s">
        <v>190</v>
      </c>
      <c r="B7" s="5">
        <v>0</v>
      </c>
      <c r="C7" s="6">
        <v>1.4</v>
      </c>
      <c r="D7" s="6">
        <v>1.6</v>
      </c>
      <c r="E7" s="6">
        <v>0</v>
      </c>
      <c r="G7" s="5"/>
      <c r="H7" s="5"/>
      <c r="I7" s="6"/>
      <c r="J7" s="6"/>
    </row>
    <row r="8" spans="1:10" x14ac:dyDescent="0.25">
      <c r="A8" s="5" t="s">
        <v>19</v>
      </c>
      <c r="B8" s="5">
        <v>0</v>
      </c>
      <c r="C8" s="6">
        <v>1.35</v>
      </c>
      <c r="D8" s="6">
        <v>1.6</v>
      </c>
      <c r="E8" s="6">
        <v>0</v>
      </c>
      <c r="G8" s="5" t="s">
        <v>19</v>
      </c>
      <c r="H8" s="5">
        <v>0</v>
      </c>
      <c r="I8" s="6">
        <v>0.2</v>
      </c>
      <c r="J8" s="6">
        <v>0.1</v>
      </c>
    </row>
    <row r="9" spans="1:10" x14ac:dyDescent="0.25">
      <c r="A9" s="5" t="s">
        <v>191</v>
      </c>
      <c r="B9" s="5">
        <v>0</v>
      </c>
      <c r="C9" s="6">
        <v>1.35</v>
      </c>
      <c r="D9" s="6">
        <v>1.45</v>
      </c>
      <c r="E9" s="6">
        <v>0</v>
      </c>
      <c r="G9" s="5"/>
      <c r="H9" s="5"/>
      <c r="I9" s="6"/>
      <c r="J9" s="6"/>
    </row>
    <row r="10" spans="1:10" x14ac:dyDescent="0.25">
      <c r="A10" s="5" t="s">
        <v>21</v>
      </c>
      <c r="B10" s="5">
        <v>0</v>
      </c>
      <c r="C10" s="6">
        <v>1.25</v>
      </c>
      <c r="D10" s="6">
        <v>1.4</v>
      </c>
      <c r="E10" s="6">
        <v>0</v>
      </c>
      <c r="G10" s="5" t="s">
        <v>21</v>
      </c>
      <c r="H10" s="5">
        <v>0</v>
      </c>
      <c r="I10" s="6">
        <v>0.2</v>
      </c>
      <c r="J10" s="6">
        <v>0.1</v>
      </c>
    </row>
    <row r="11" spans="1:10" x14ac:dyDescent="0.25">
      <c r="A11" s="5" t="s">
        <v>217</v>
      </c>
      <c r="B11" s="5">
        <v>0</v>
      </c>
      <c r="C11" s="6">
        <v>1.25</v>
      </c>
      <c r="D11" s="6">
        <v>1.4</v>
      </c>
      <c r="E11" s="6">
        <v>0</v>
      </c>
      <c r="G11" s="5">
        <v>0.65</v>
      </c>
      <c r="H11" s="5"/>
      <c r="I11" s="6"/>
      <c r="J11" s="6"/>
    </row>
    <row r="12" spans="1:10" x14ac:dyDescent="0.25">
      <c r="A12" s="5" t="s">
        <v>22</v>
      </c>
      <c r="B12" s="5">
        <v>0</v>
      </c>
      <c r="C12" s="6">
        <v>1.25</v>
      </c>
      <c r="D12" s="6">
        <v>1.4</v>
      </c>
      <c r="E12" s="6">
        <v>0</v>
      </c>
      <c r="G12" s="5" t="s">
        <v>22</v>
      </c>
      <c r="H12" s="5">
        <v>0</v>
      </c>
      <c r="I12" s="6">
        <v>0.2</v>
      </c>
      <c r="J12" s="6">
        <v>0.1</v>
      </c>
    </row>
    <row r="13" spans="1:10" x14ac:dyDescent="0.25">
      <c r="A13" s="5" t="s">
        <v>236</v>
      </c>
      <c r="B13" s="5">
        <v>0</v>
      </c>
      <c r="C13" s="6">
        <v>1.25</v>
      </c>
      <c r="D13" s="6">
        <v>1.4</v>
      </c>
      <c r="E13" s="6">
        <v>0</v>
      </c>
      <c r="G13" s="5"/>
      <c r="H13" s="5"/>
      <c r="I13" s="6"/>
      <c r="J13" s="6"/>
    </row>
    <row r="14" spans="1:10" x14ac:dyDescent="0.25">
      <c r="A14" s="5" t="s">
        <v>23</v>
      </c>
      <c r="B14" s="5">
        <v>0</v>
      </c>
      <c r="C14" s="6">
        <v>1.25</v>
      </c>
      <c r="D14" s="6">
        <v>1.4</v>
      </c>
      <c r="E14" s="6">
        <v>0</v>
      </c>
      <c r="G14" s="5" t="s">
        <v>23</v>
      </c>
      <c r="H14" s="5">
        <v>0</v>
      </c>
      <c r="I14" s="6">
        <v>0.2</v>
      </c>
      <c r="J14" s="6">
        <v>0.1</v>
      </c>
    </row>
    <row r="15" spans="1:10" x14ac:dyDescent="0.25">
      <c r="A15" s="5" t="s">
        <v>218</v>
      </c>
      <c r="B15" s="5">
        <v>0</v>
      </c>
      <c r="C15" s="6">
        <v>1.25</v>
      </c>
      <c r="D15" s="6">
        <v>1.4</v>
      </c>
      <c r="E15" s="6">
        <v>0</v>
      </c>
      <c r="G15" s="5"/>
      <c r="H15" s="5"/>
      <c r="I15" s="6"/>
      <c r="J15" s="6"/>
    </row>
    <row r="16" spans="1:10" x14ac:dyDescent="0.25">
      <c r="A16" s="5" t="s">
        <v>24</v>
      </c>
      <c r="B16" s="5">
        <v>0</v>
      </c>
      <c r="C16" s="6">
        <v>1.25</v>
      </c>
      <c r="D16" s="6">
        <v>1.4</v>
      </c>
      <c r="E16" s="6">
        <v>0</v>
      </c>
      <c r="G16" s="5" t="s">
        <v>24</v>
      </c>
      <c r="H16" s="5">
        <v>0</v>
      </c>
      <c r="I16" s="6">
        <v>0.2</v>
      </c>
      <c r="J16" s="6">
        <v>0.1</v>
      </c>
    </row>
    <row r="17" spans="1:13" x14ac:dyDescent="0.25">
      <c r="A17" s="5" t="s">
        <v>235</v>
      </c>
      <c r="B17" s="5">
        <v>0</v>
      </c>
      <c r="C17" s="6">
        <v>1.25</v>
      </c>
      <c r="D17" s="6">
        <v>1.4</v>
      </c>
      <c r="E17" s="6">
        <v>0</v>
      </c>
      <c r="G17" s="5"/>
      <c r="H17" s="5"/>
      <c r="I17" s="6"/>
      <c r="J17" s="6"/>
    </row>
    <row r="18" spans="1:13" x14ac:dyDescent="0.25">
      <c r="A18" s="5" t="s">
        <v>25</v>
      </c>
      <c r="B18" s="5">
        <v>0</v>
      </c>
      <c r="C18" s="6">
        <v>1.25</v>
      </c>
      <c r="D18" s="6">
        <v>1.4</v>
      </c>
      <c r="E18" s="6">
        <v>0</v>
      </c>
      <c r="G18" s="5" t="s">
        <v>25</v>
      </c>
      <c r="H18" s="5">
        <v>0</v>
      </c>
      <c r="I18" s="6">
        <v>0.2</v>
      </c>
      <c r="J18" s="6">
        <v>0.1</v>
      </c>
      <c r="M18" s="81">
        <f>+E2+Ottone!C2+Rame!C2</f>
        <v>2.63</v>
      </c>
    </row>
    <row r="19" spans="1:13" x14ac:dyDescent="0.25">
      <c r="A19" s="5" t="s">
        <v>232</v>
      </c>
      <c r="B19" s="5">
        <v>0</v>
      </c>
      <c r="C19" s="6">
        <v>1.25</v>
      </c>
      <c r="D19" s="6">
        <v>1.4</v>
      </c>
      <c r="E19" s="6">
        <v>0</v>
      </c>
      <c r="G19" s="5"/>
      <c r="H19" s="5"/>
      <c r="I19" s="6"/>
      <c r="J19" s="6"/>
      <c r="M19" s="81"/>
    </row>
    <row r="20" spans="1:13" x14ac:dyDescent="0.25">
      <c r="A20" s="5" t="s">
        <v>233</v>
      </c>
      <c r="B20" s="5">
        <v>0</v>
      </c>
      <c r="C20" s="6">
        <v>1.25</v>
      </c>
      <c r="D20" s="6">
        <v>1.4</v>
      </c>
      <c r="E20" s="6">
        <v>0</v>
      </c>
      <c r="G20" s="5"/>
      <c r="H20" s="5"/>
      <c r="I20" s="6"/>
      <c r="J20" s="6"/>
      <c r="M20" s="81"/>
    </row>
    <row r="21" spans="1:13" x14ac:dyDescent="0.25">
      <c r="A21" s="5" t="s">
        <v>234</v>
      </c>
      <c r="B21" s="5">
        <v>0</v>
      </c>
      <c r="C21" s="6">
        <v>1.25</v>
      </c>
      <c r="D21" s="6">
        <v>1.4</v>
      </c>
      <c r="E21" s="6">
        <v>0</v>
      </c>
      <c r="G21" s="5"/>
      <c r="H21" s="5"/>
      <c r="I21" s="6"/>
      <c r="J21" s="6"/>
      <c r="M21" s="81"/>
    </row>
    <row r="22" spans="1:13" x14ac:dyDescent="0.25">
      <c r="A22" s="5" t="s">
        <v>26</v>
      </c>
      <c r="B22" s="5">
        <v>0</v>
      </c>
      <c r="C22" s="6">
        <v>1.25</v>
      </c>
      <c r="D22" s="6">
        <v>1.4</v>
      </c>
      <c r="E22" s="6">
        <v>0</v>
      </c>
      <c r="G22" s="5" t="s">
        <v>26</v>
      </c>
      <c r="H22" s="5">
        <v>0</v>
      </c>
      <c r="I22" s="6">
        <v>0.2</v>
      </c>
      <c r="J22" s="6">
        <v>0.1</v>
      </c>
    </row>
    <row r="23" spans="1:13" x14ac:dyDescent="0.25">
      <c r="A23" s="5" t="s">
        <v>219</v>
      </c>
      <c r="B23" s="5">
        <v>0</v>
      </c>
      <c r="C23" s="6">
        <v>1.25</v>
      </c>
      <c r="D23" s="6">
        <v>1.4</v>
      </c>
      <c r="E23" s="6">
        <v>0</v>
      </c>
      <c r="G23" s="5"/>
      <c r="H23" s="5"/>
      <c r="I23" s="6"/>
      <c r="J23" s="6"/>
    </row>
    <row r="24" spans="1:13" x14ac:dyDescent="0.25">
      <c r="A24" s="5" t="s">
        <v>237</v>
      </c>
      <c r="B24" s="5">
        <v>0</v>
      </c>
      <c r="C24" s="6">
        <v>1.25</v>
      </c>
      <c r="D24" s="6">
        <v>1.4</v>
      </c>
      <c r="E24" s="6">
        <v>0</v>
      </c>
      <c r="G24" s="5"/>
      <c r="H24" s="5"/>
      <c r="I24" s="6"/>
      <c r="J24" s="6"/>
    </row>
    <row r="25" spans="1:13" x14ac:dyDescent="0.25">
      <c r="A25" s="5" t="s">
        <v>224</v>
      </c>
      <c r="B25" s="5">
        <v>0</v>
      </c>
      <c r="C25" s="6">
        <v>1.25</v>
      </c>
      <c r="D25" s="6">
        <v>1.4</v>
      </c>
      <c r="E25" s="6">
        <v>0</v>
      </c>
      <c r="G25" s="5"/>
      <c r="H25" s="5"/>
      <c r="I25" s="6"/>
      <c r="J25" s="6"/>
    </row>
    <row r="26" spans="1:13" x14ac:dyDescent="0.25">
      <c r="A26" s="5" t="s">
        <v>225</v>
      </c>
      <c r="B26" s="5">
        <v>0</v>
      </c>
      <c r="C26" s="6">
        <v>1.25</v>
      </c>
      <c r="D26" s="6">
        <v>1.4</v>
      </c>
      <c r="E26" s="6">
        <v>0</v>
      </c>
      <c r="G26" s="5"/>
      <c r="H26" s="5"/>
      <c r="I26" s="6"/>
      <c r="J26" s="6"/>
    </row>
    <row r="27" spans="1:13" x14ac:dyDescent="0.25">
      <c r="A27" s="5" t="s">
        <v>226</v>
      </c>
      <c r="B27" s="5">
        <v>0</v>
      </c>
      <c r="C27" s="6">
        <v>1.25</v>
      </c>
      <c r="D27" s="6">
        <v>1.4</v>
      </c>
      <c r="E27" s="6">
        <v>0</v>
      </c>
      <c r="G27" s="5"/>
      <c r="H27" s="5"/>
      <c r="I27" s="6"/>
      <c r="J27" s="6"/>
    </row>
    <row r="28" spans="1:13" x14ac:dyDescent="0.25">
      <c r="A28" s="5" t="s">
        <v>27</v>
      </c>
      <c r="B28" s="5">
        <v>0</v>
      </c>
      <c r="C28" s="6">
        <v>1.25</v>
      </c>
      <c r="D28" s="6">
        <v>1.4</v>
      </c>
      <c r="E28" s="6">
        <v>0</v>
      </c>
      <c r="G28" s="5" t="s">
        <v>27</v>
      </c>
      <c r="H28" s="5">
        <v>0</v>
      </c>
      <c r="I28" s="6">
        <v>0.3</v>
      </c>
      <c r="J28" s="6">
        <v>0.15</v>
      </c>
    </row>
    <row r="29" spans="1:13" x14ac:dyDescent="0.25">
      <c r="A29" s="5" t="s">
        <v>227</v>
      </c>
      <c r="B29" s="5">
        <v>0</v>
      </c>
      <c r="C29" s="6">
        <v>1.25</v>
      </c>
      <c r="D29" s="6">
        <v>1.4</v>
      </c>
      <c r="E29" s="6">
        <v>0</v>
      </c>
      <c r="G29" s="5"/>
      <c r="H29" s="5"/>
      <c r="I29" s="6"/>
      <c r="J29" s="6"/>
    </row>
    <row r="30" spans="1:13" x14ac:dyDescent="0.25">
      <c r="A30" s="5" t="s">
        <v>220</v>
      </c>
      <c r="B30" s="5">
        <v>0</v>
      </c>
      <c r="C30" s="6">
        <v>1.25</v>
      </c>
      <c r="D30" s="6">
        <v>1.4</v>
      </c>
      <c r="E30" s="6">
        <v>0</v>
      </c>
      <c r="G30" s="5"/>
      <c r="H30" s="5"/>
      <c r="I30" s="6"/>
      <c r="J30" s="6"/>
    </row>
    <row r="31" spans="1:13" x14ac:dyDescent="0.25">
      <c r="A31" s="5" t="s">
        <v>228</v>
      </c>
      <c r="B31" s="5">
        <v>0</v>
      </c>
      <c r="C31" s="6">
        <v>1.25</v>
      </c>
      <c r="D31" s="6">
        <v>1.4</v>
      </c>
      <c r="E31" s="6">
        <v>0</v>
      </c>
      <c r="G31" s="5"/>
      <c r="H31" s="5"/>
      <c r="I31" s="6"/>
      <c r="J31" s="6"/>
    </row>
    <row r="32" spans="1:13" x14ac:dyDescent="0.25">
      <c r="A32" s="5" t="s">
        <v>221</v>
      </c>
      <c r="B32" s="5">
        <v>0</v>
      </c>
      <c r="C32" s="6">
        <v>1.25</v>
      </c>
      <c r="D32" s="6">
        <v>1.4</v>
      </c>
      <c r="E32" s="6">
        <v>0</v>
      </c>
      <c r="G32" s="5"/>
      <c r="H32" s="5"/>
      <c r="I32" s="6"/>
      <c r="J32" s="6"/>
    </row>
    <row r="33" spans="1:13" x14ac:dyDescent="0.25">
      <c r="A33" s="5" t="s">
        <v>229</v>
      </c>
      <c r="B33" s="5">
        <v>0</v>
      </c>
      <c r="C33" s="6">
        <v>1.25</v>
      </c>
      <c r="D33" s="6">
        <v>1.4</v>
      </c>
      <c r="E33" s="6">
        <v>0</v>
      </c>
      <c r="G33" s="5"/>
      <c r="H33" s="5"/>
      <c r="I33" s="6"/>
      <c r="J33" s="6"/>
    </row>
    <row r="34" spans="1:13" x14ac:dyDescent="0.25">
      <c r="A34" s="5" t="s">
        <v>222</v>
      </c>
      <c r="B34" s="5">
        <v>0</v>
      </c>
      <c r="C34" s="6">
        <v>1.25</v>
      </c>
      <c r="D34" s="6">
        <v>1.4</v>
      </c>
      <c r="E34" s="6">
        <v>0</v>
      </c>
      <c r="G34" s="5"/>
      <c r="H34" s="5"/>
      <c r="I34" s="6"/>
      <c r="J34" s="6"/>
    </row>
    <row r="35" spans="1:13" x14ac:dyDescent="0.25">
      <c r="A35" s="5" t="s">
        <v>230</v>
      </c>
      <c r="B35" s="5">
        <v>0</v>
      </c>
      <c r="C35" s="6">
        <v>1.25</v>
      </c>
      <c r="D35" s="6">
        <v>1.4</v>
      </c>
      <c r="E35" s="6">
        <v>0</v>
      </c>
      <c r="G35" s="5"/>
      <c r="H35" s="5"/>
      <c r="I35" s="6"/>
      <c r="J35" s="6"/>
    </row>
    <row r="36" spans="1:13" x14ac:dyDescent="0.25">
      <c r="A36" s="5" t="s">
        <v>223</v>
      </c>
      <c r="B36" s="5">
        <v>0</v>
      </c>
      <c r="C36" s="6">
        <v>1.25</v>
      </c>
      <c r="D36" s="6">
        <v>1.4</v>
      </c>
      <c r="E36" s="6">
        <v>0</v>
      </c>
      <c r="G36" s="5"/>
      <c r="H36" s="5"/>
      <c r="I36" s="6"/>
      <c r="J36" s="6"/>
    </row>
    <row r="37" spans="1:13" x14ac:dyDescent="0.25">
      <c r="A37" s="5" t="s">
        <v>231</v>
      </c>
      <c r="B37" s="5">
        <v>0</v>
      </c>
      <c r="C37" s="6">
        <v>1.25</v>
      </c>
      <c r="D37" s="6">
        <v>1.4</v>
      </c>
      <c r="E37" s="6">
        <v>0</v>
      </c>
      <c r="G37" s="5"/>
      <c r="H37" s="5"/>
      <c r="I37" s="6"/>
      <c r="J37" s="6"/>
    </row>
    <row r="38" spans="1:13" ht="14.25" customHeight="1" x14ac:dyDescent="0.25">
      <c r="A38" s="5" t="s">
        <v>28</v>
      </c>
      <c r="B38" s="5">
        <v>0</v>
      </c>
      <c r="C38" s="6">
        <v>1.25</v>
      </c>
      <c r="D38" s="6">
        <v>1.4</v>
      </c>
      <c r="E38" s="6">
        <v>0</v>
      </c>
      <c r="G38" s="5" t="s">
        <v>28</v>
      </c>
      <c r="H38" s="5">
        <v>0</v>
      </c>
      <c r="I38" s="6">
        <v>0.4</v>
      </c>
      <c r="J38" s="6">
        <v>0.2</v>
      </c>
    </row>
    <row r="39" spans="1:13" x14ac:dyDescent="0.25">
      <c r="A39" s="5" t="s">
        <v>29</v>
      </c>
      <c r="B39" s="5">
        <v>0</v>
      </c>
      <c r="C39" s="6">
        <v>1.3</v>
      </c>
      <c r="D39" s="6">
        <v>1.5</v>
      </c>
      <c r="E39" s="6">
        <v>0</v>
      </c>
      <c r="G39" s="5" t="s">
        <v>29</v>
      </c>
      <c r="H39" s="5">
        <v>0</v>
      </c>
      <c r="I39" s="6">
        <v>0.4</v>
      </c>
      <c r="J39" s="6">
        <v>0.2</v>
      </c>
    </row>
    <row r="40" spans="1:13" x14ac:dyDescent="0.25">
      <c r="A40" s="5" t="s">
        <v>30</v>
      </c>
      <c r="B40" s="5">
        <v>0</v>
      </c>
      <c r="C40" s="6">
        <v>1.3</v>
      </c>
      <c r="D40" s="6">
        <v>1.5</v>
      </c>
      <c r="E40" s="6">
        <v>0</v>
      </c>
      <c r="G40" s="5" t="s">
        <v>30</v>
      </c>
      <c r="H40" s="5">
        <v>0</v>
      </c>
      <c r="I40" s="6">
        <v>0.4</v>
      </c>
      <c r="J40" s="6">
        <v>0.25</v>
      </c>
      <c r="M40" t="s">
        <v>121</v>
      </c>
    </row>
    <row r="41" spans="1:13" x14ac:dyDescent="0.25">
      <c r="M41" t="s">
        <v>122</v>
      </c>
    </row>
    <row r="42" spans="1:13" x14ac:dyDescent="0.25">
      <c r="M42" t="s">
        <v>123</v>
      </c>
    </row>
    <row r="43" spans="1:13" x14ac:dyDescent="0.25">
      <c r="C43" s="8"/>
    </row>
    <row r="44" spans="1:13" x14ac:dyDescent="0.25">
      <c r="C44" s="8"/>
    </row>
    <row r="45" spans="1:13" x14ac:dyDescent="0.25">
      <c r="C45" s="8"/>
    </row>
    <row r="46" spans="1:13" x14ac:dyDescent="0.25">
      <c r="C46" s="8"/>
    </row>
    <row r="47" spans="1:13" x14ac:dyDescent="0.25">
      <c r="C47" s="8"/>
    </row>
    <row r="48" spans="1:13" x14ac:dyDescent="0.25">
      <c r="C48" s="8"/>
    </row>
    <row r="49" spans="3:5" x14ac:dyDescent="0.25">
      <c r="C49" s="8"/>
    </row>
    <row r="54" spans="3:5" x14ac:dyDescent="0.25">
      <c r="E54">
        <v>0</v>
      </c>
    </row>
    <row r="55" spans="3:5" x14ac:dyDescent="0.25">
      <c r="E55">
        <v>0</v>
      </c>
    </row>
    <row r="56" spans="3:5" x14ac:dyDescent="0.25">
      <c r="E56">
        <v>0</v>
      </c>
    </row>
    <row r="57" spans="3:5" x14ac:dyDescent="0.25">
      <c r="E57">
        <v>0</v>
      </c>
    </row>
    <row r="58" spans="3:5" x14ac:dyDescent="0.25">
      <c r="E58">
        <v>0</v>
      </c>
    </row>
    <row r="59" spans="3:5" x14ac:dyDescent="0.25">
      <c r="E59">
        <v>0</v>
      </c>
    </row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S58"/>
  <sheetViews>
    <sheetView topLeftCell="J4" workbookViewId="0">
      <selection activeCell="M31" sqref="M31:R31"/>
    </sheetView>
  </sheetViews>
  <sheetFormatPr defaultRowHeight="15" x14ac:dyDescent="0.25"/>
  <cols>
    <col min="1" max="6" width="23.140625" customWidth="1"/>
    <col min="8" max="8" width="11.28515625" customWidth="1"/>
    <col min="9" max="9" width="12.85546875" customWidth="1"/>
    <col min="10" max="10" width="12.140625" customWidth="1"/>
    <col min="11" max="12" width="10.42578125" customWidth="1"/>
    <col min="14" max="14" width="11" customWidth="1"/>
    <col min="15" max="15" width="11.42578125" customWidth="1"/>
    <col min="19" max="19" width="11" customWidth="1"/>
  </cols>
  <sheetData>
    <row r="1" spans="1:19" ht="23.25" x14ac:dyDescent="0.35">
      <c r="A1" s="418" t="s">
        <v>0</v>
      </c>
      <c r="B1" s="418"/>
      <c r="C1" s="418"/>
      <c r="D1" s="418"/>
      <c r="E1" s="418"/>
      <c r="F1" s="418"/>
    </row>
    <row r="2" spans="1:19" ht="21" x14ac:dyDescent="0.35">
      <c r="A2" s="1"/>
      <c r="B2" s="1"/>
      <c r="C2" s="1"/>
      <c r="D2" s="1"/>
      <c r="E2" s="2"/>
    </row>
    <row r="3" spans="1:19" ht="21" x14ac:dyDescent="0.35">
      <c r="A3" s="419" t="s">
        <v>1</v>
      </c>
      <c r="B3" s="419"/>
      <c r="C3" s="419"/>
      <c r="D3" s="419"/>
      <c r="E3" s="419"/>
      <c r="F3" s="419"/>
      <c r="H3" t="s">
        <v>4</v>
      </c>
      <c r="I3" t="s">
        <v>5</v>
      </c>
      <c r="J3" t="s">
        <v>6</v>
      </c>
      <c r="K3" t="s">
        <v>166</v>
      </c>
    </row>
    <row r="4" spans="1:19" x14ac:dyDescent="0.25">
      <c r="S4" s="5" t="s">
        <v>9</v>
      </c>
    </row>
    <row r="5" spans="1:19" x14ac:dyDescent="0.25">
      <c r="A5" s="411" t="s">
        <v>2</v>
      </c>
      <c r="B5" s="409">
        <v>7.0000000000000007E-2</v>
      </c>
      <c r="C5" s="409">
        <v>0.1</v>
      </c>
      <c r="D5" s="409">
        <v>0.18</v>
      </c>
      <c r="E5" s="412" t="s">
        <v>3</v>
      </c>
      <c r="F5" s="412"/>
      <c r="H5" s="5" t="s">
        <v>9</v>
      </c>
      <c r="I5" s="5" t="s">
        <v>10</v>
      </c>
      <c r="J5" s="5" t="s">
        <v>10</v>
      </c>
      <c r="K5" s="167" t="s">
        <v>176</v>
      </c>
      <c r="L5" s="169"/>
      <c r="S5" s="5" t="s">
        <v>11</v>
      </c>
    </row>
    <row r="6" spans="1:19" x14ac:dyDescent="0.25">
      <c r="A6" s="410"/>
      <c r="B6" s="410"/>
      <c r="C6" s="410"/>
      <c r="D6" s="410"/>
      <c r="E6" s="3" t="s">
        <v>7</v>
      </c>
      <c r="F6" s="4" t="s">
        <v>8</v>
      </c>
      <c r="H6" s="5" t="s">
        <v>11</v>
      </c>
      <c r="I6" s="5" t="s">
        <v>12</v>
      </c>
      <c r="J6" s="5" t="s">
        <v>12</v>
      </c>
      <c r="K6" s="167" t="s">
        <v>177</v>
      </c>
      <c r="L6" s="169"/>
      <c r="S6" s="5" t="s">
        <v>13</v>
      </c>
    </row>
    <row r="7" spans="1:19" x14ac:dyDescent="0.25">
      <c r="A7" s="5" t="s">
        <v>9</v>
      </c>
      <c r="B7" s="6">
        <v>1.65</v>
      </c>
      <c r="C7" s="6">
        <v>1.85</v>
      </c>
      <c r="D7" s="6">
        <v>2.0499999999999998</v>
      </c>
      <c r="E7" s="6">
        <v>0.4</v>
      </c>
      <c r="F7" s="6">
        <v>0.3</v>
      </c>
      <c r="H7" s="5" t="s">
        <v>13</v>
      </c>
      <c r="I7" s="5" t="s">
        <v>14</v>
      </c>
      <c r="J7" s="5" t="s">
        <v>14</v>
      </c>
      <c r="K7" s="167" t="s">
        <v>178</v>
      </c>
      <c r="L7" s="169"/>
      <c r="M7" s="170" t="s">
        <v>182</v>
      </c>
      <c r="N7" s="3" t="s">
        <v>7</v>
      </c>
      <c r="O7" s="4" t="s">
        <v>8</v>
      </c>
      <c r="S7" s="5" t="s">
        <v>15</v>
      </c>
    </row>
    <row r="8" spans="1:19" x14ac:dyDescent="0.25">
      <c r="A8" s="5" t="s">
        <v>11</v>
      </c>
      <c r="B8" s="6">
        <v>1.55</v>
      </c>
      <c r="C8" s="6">
        <v>1.75</v>
      </c>
      <c r="D8" s="6">
        <v>1.95</v>
      </c>
      <c r="E8" s="6">
        <v>0.3</v>
      </c>
      <c r="F8" s="6">
        <v>0.2</v>
      </c>
      <c r="H8" s="5" t="s">
        <v>15</v>
      </c>
      <c r="I8" s="5" t="s">
        <v>16</v>
      </c>
      <c r="J8" s="5" t="s">
        <v>16</v>
      </c>
      <c r="K8" s="167" t="s">
        <v>179</v>
      </c>
      <c r="L8" s="169"/>
      <c r="S8" s="5" t="s">
        <v>17</v>
      </c>
    </row>
    <row r="9" spans="1:19" x14ac:dyDescent="0.25">
      <c r="A9" s="5" t="s">
        <v>13</v>
      </c>
      <c r="B9" s="6">
        <v>1.45</v>
      </c>
      <c r="C9" s="6">
        <v>1.65</v>
      </c>
      <c r="D9" s="6">
        <v>1.85</v>
      </c>
      <c r="E9" s="6">
        <v>0.3</v>
      </c>
      <c r="F9" s="6">
        <v>0.15</v>
      </c>
      <c r="H9" s="5" t="s">
        <v>17</v>
      </c>
      <c r="I9" s="5" t="s">
        <v>18</v>
      </c>
      <c r="J9" s="5" t="s">
        <v>18</v>
      </c>
      <c r="K9" s="167" t="s">
        <v>180</v>
      </c>
      <c r="L9" s="169"/>
      <c r="M9" s="170" t="s">
        <v>182</v>
      </c>
      <c r="N9" s="4" t="s">
        <v>7</v>
      </c>
      <c r="O9" s="4" t="s">
        <v>33</v>
      </c>
      <c r="P9" s="4" t="s">
        <v>32</v>
      </c>
      <c r="S9" s="5" t="s">
        <v>190</v>
      </c>
    </row>
    <row r="10" spans="1:19" x14ac:dyDescent="0.25">
      <c r="A10" s="5" t="s">
        <v>15</v>
      </c>
      <c r="B10" s="6">
        <v>1.45</v>
      </c>
      <c r="C10" s="6">
        <v>1.6</v>
      </c>
      <c r="D10" s="6">
        <v>1.8</v>
      </c>
      <c r="E10" s="6">
        <v>0.3</v>
      </c>
      <c r="F10" s="6">
        <v>0.15</v>
      </c>
      <c r="H10" s="5" t="s">
        <v>19</v>
      </c>
      <c r="I10" s="5" t="s">
        <v>20</v>
      </c>
      <c r="J10" s="5" t="s">
        <v>20</v>
      </c>
      <c r="K10" s="168" t="s">
        <v>181</v>
      </c>
      <c r="L10" s="169"/>
      <c r="S10" s="5" t="s">
        <v>19</v>
      </c>
    </row>
    <row r="11" spans="1:19" x14ac:dyDescent="0.25">
      <c r="A11" s="5" t="s">
        <v>17</v>
      </c>
      <c r="B11" s="6">
        <v>1.4</v>
      </c>
      <c r="C11" s="6">
        <v>1.55</v>
      </c>
      <c r="D11" s="6">
        <v>1.75</v>
      </c>
      <c r="E11" s="6">
        <v>0.25</v>
      </c>
      <c r="F11" s="6">
        <v>0.13</v>
      </c>
      <c r="H11" s="5" t="s">
        <v>21</v>
      </c>
      <c r="M11" s="170" t="s">
        <v>182</v>
      </c>
      <c r="N11" s="4" t="s">
        <v>171</v>
      </c>
      <c r="O11" s="4" t="s">
        <v>172</v>
      </c>
      <c r="P11" s="4" t="s">
        <v>173</v>
      </c>
      <c r="Q11" s="4" t="s">
        <v>174</v>
      </c>
      <c r="S11" s="5" t="s">
        <v>191</v>
      </c>
    </row>
    <row r="12" spans="1:19" x14ac:dyDescent="0.25">
      <c r="A12" s="5" t="s">
        <v>19</v>
      </c>
      <c r="B12" s="6">
        <v>1.35</v>
      </c>
      <c r="C12" s="6">
        <v>1.5</v>
      </c>
      <c r="D12" s="6">
        <v>1.7</v>
      </c>
      <c r="E12" s="6">
        <v>0.2</v>
      </c>
      <c r="F12" s="6">
        <v>0.1</v>
      </c>
      <c r="H12" s="189" t="s">
        <v>217</v>
      </c>
      <c r="S12" s="5" t="s">
        <v>21</v>
      </c>
    </row>
    <row r="13" spans="1:19" x14ac:dyDescent="0.25">
      <c r="A13" s="5" t="s">
        <v>21</v>
      </c>
      <c r="B13" s="6">
        <v>1.3</v>
      </c>
      <c r="C13" s="6">
        <v>1.48</v>
      </c>
      <c r="D13" s="6">
        <v>1.68</v>
      </c>
      <c r="E13" s="6">
        <v>0.2</v>
      </c>
      <c r="F13" s="6">
        <v>0.1</v>
      </c>
      <c r="H13" s="5" t="s">
        <v>22</v>
      </c>
      <c r="S13" s="189" t="s">
        <v>217</v>
      </c>
    </row>
    <row r="14" spans="1:19" x14ac:dyDescent="0.25">
      <c r="A14" s="5" t="s">
        <v>22</v>
      </c>
      <c r="B14" s="6">
        <v>1.28</v>
      </c>
      <c r="C14" s="6">
        <v>1.45</v>
      </c>
      <c r="D14" s="6">
        <v>1.65</v>
      </c>
      <c r="E14" s="6">
        <v>0.2</v>
      </c>
      <c r="F14" s="6">
        <v>0.1</v>
      </c>
      <c r="H14" s="5" t="s">
        <v>23</v>
      </c>
      <c r="S14" s="5" t="s">
        <v>22</v>
      </c>
    </row>
    <row r="15" spans="1:19" x14ac:dyDescent="0.25">
      <c r="A15" s="5" t="s">
        <v>23</v>
      </c>
      <c r="B15" s="6">
        <v>1.25</v>
      </c>
      <c r="C15" s="6">
        <v>1.4</v>
      </c>
      <c r="D15" s="6">
        <v>1.6</v>
      </c>
      <c r="E15" s="6">
        <v>0.2</v>
      </c>
      <c r="F15" s="6">
        <v>0.1</v>
      </c>
      <c r="H15" s="5" t="s">
        <v>24</v>
      </c>
      <c r="S15" s="189" t="s">
        <v>236</v>
      </c>
    </row>
    <row r="16" spans="1:19" x14ac:dyDescent="0.25">
      <c r="A16" s="5" t="s">
        <v>24</v>
      </c>
      <c r="B16" s="6">
        <v>1.25</v>
      </c>
      <c r="C16" s="6">
        <v>1.4</v>
      </c>
      <c r="D16" s="6">
        <v>1.6</v>
      </c>
      <c r="E16" s="6">
        <v>0.2</v>
      </c>
      <c r="F16" s="6">
        <v>0.1</v>
      </c>
      <c r="H16" s="5" t="s">
        <v>25</v>
      </c>
      <c r="S16" s="5" t="s">
        <v>23</v>
      </c>
    </row>
    <row r="17" spans="1:19" x14ac:dyDescent="0.25">
      <c r="A17" s="5" t="s">
        <v>25</v>
      </c>
      <c r="B17" s="6">
        <v>1.25</v>
      </c>
      <c r="C17" s="6">
        <v>1.4</v>
      </c>
      <c r="D17" s="6">
        <v>1.6</v>
      </c>
      <c r="E17" s="6">
        <v>0.2</v>
      </c>
      <c r="F17" s="6">
        <v>0.1</v>
      </c>
      <c r="H17" s="5" t="s">
        <v>26</v>
      </c>
      <c r="S17" s="189" t="s">
        <v>218</v>
      </c>
    </row>
    <row r="18" spans="1:19" x14ac:dyDescent="0.25">
      <c r="A18" s="5" t="s">
        <v>26</v>
      </c>
      <c r="B18" s="6">
        <v>1.25</v>
      </c>
      <c r="C18" s="6">
        <v>1.4</v>
      </c>
      <c r="D18" s="6">
        <v>1.6</v>
      </c>
      <c r="E18" s="6">
        <v>0.2</v>
      </c>
      <c r="F18" s="6">
        <v>0.1</v>
      </c>
      <c r="H18" s="5" t="s">
        <v>27</v>
      </c>
      <c r="S18" s="5" t="s">
        <v>24</v>
      </c>
    </row>
    <row r="19" spans="1:19" x14ac:dyDescent="0.25">
      <c r="A19" s="5" t="s">
        <v>27</v>
      </c>
      <c r="B19" s="6">
        <v>1.28</v>
      </c>
      <c r="C19" s="6">
        <v>1.45</v>
      </c>
      <c r="D19" s="6">
        <v>1.65</v>
      </c>
      <c r="E19" s="6">
        <v>0.3</v>
      </c>
      <c r="F19" s="6">
        <v>0.15</v>
      </c>
      <c r="H19" s="5" t="s">
        <v>28</v>
      </c>
      <c r="S19" s="189" t="s">
        <v>235</v>
      </c>
    </row>
    <row r="20" spans="1:19" x14ac:dyDescent="0.25">
      <c r="A20" s="5" t="s">
        <v>28</v>
      </c>
      <c r="B20" s="6">
        <v>1.3</v>
      </c>
      <c r="C20" s="6">
        <v>1.48</v>
      </c>
      <c r="D20" s="6">
        <v>1.68</v>
      </c>
      <c r="E20" s="6">
        <v>0.4</v>
      </c>
      <c r="F20" s="6">
        <v>0.2</v>
      </c>
      <c r="H20" s="5" t="s">
        <v>29</v>
      </c>
      <c r="S20" s="5" t="s">
        <v>25</v>
      </c>
    </row>
    <row r="21" spans="1:19" x14ac:dyDescent="0.25">
      <c r="A21" s="5" t="s">
        <v>29</v>
      </c>
      <c r="B21" s="6">
        <v>1.35</v>
      </c>
      <c r="C21" s="6">
        <v>1.5</v>
      </c>
      <c r="D21" s="6">
        <v>1.7</v>
      </c>
      <c r="E21" s="6">
        <v>0.4</v>
      </c>
      <c r="F21" s="6">
        <v>0.2</v>
      </c>
      <c r="H21" s="5" t="s">
        <v>30</v>
      </c>
      <c r="S21" s="189" t="s">
        <v>232</v>
      </c>
    </row>
    <row r="22" spans="1:19" x14ac:dyDescent="0.25">
      <c r="A22" s="5" t="s">
        <v>30</v>
      </c>
      <c r="B22" s="6">
        <v>1.4</v>
      </c>
      <c r="C22" s="6">
        <v>1.5</v>
      </c>
      <c r="D22" s="6">
        <v>1.7</v>
      </c>
      <c r="E22" s="6">
        <v>0.4</v>
      </c>
      <c r="F22" s="6">
        <v>0.25</v>
      </c>
      <c r="S22" s="189" t="s">
        <v>233</v>
      </c>
    </row>
    <row r="23" spans="1:19" x14ac:dyDescent="0.25">
      <c r="A23" s="7"/>
      <c r="B23" s="8"/>
      <c r="C23" s="8"/>
      <c r="D23" s="8"/>
      <c r="E23" s="8"/>
      <c r="F23" s="8"/>
      <c r="S23" s="189" t="s">
        <v>234</v>
      </c>
    </row>
    <row r="24" spans="1:19" ht="21" x14ac:dyDescent="0.35">
      <c r="A24" s="417" t="s">
        <v>31</v>
      </c>
      <c r="B24" s="417"/>
      <c r="C24" s="417"/>
      <c r="D24" s="417"/>
      <c r="E24" s="417"/>
      <c r="F24" s="417"/>
      <c r="J24" s="4"/>
      <c r="K24" s="4"/>
      <c r="L24" s="170"/>
      <c r="S24" s="5" t="s">
        <v>26</v>
      </c>
    </row>
    <row r="25" spans="1:19" x14ac:dyDescent="0.25">
      <c r="S25" s="189" t="s">
        <v>219</v>
      </c>
    </row>
    <row r="26" spans="1:19" x14ac:dyDescent="0.25">
      <c r="A26" s="411" t="s">
        <v>2</v>
      </c>
      <c r="B26" s="409">
        <v>0.1</v>
      </c>
      <c r="C26" s="409">
        <v>0.18</v>
      </c>
      <c r="D26" s="412" t="s">
        <v>3</v>
      </c>
      <c r="E26" s="412"/>
      <c r="F26" s="412"/>
      <c r="S26" s="189" t="s">
        <v>237</v>
      </c>
    </row>
    <row r="27" spans="1:19" x14ac:dyDescent="0.25">
      <c r="A27" s="410"/>
      <c r="B27" s="410"/>
      <c r="C27" s="410"/>
      <c r="D27" s="4" t="s">
        <v>7</v>
      </c>
      <c r="E27" s="4" t="s">
        <v>33</v>
      </c>
      <c r="F27" s="4" t="s">
        <v>32</v>
      </c>
      <c r="H27" s="409">
        <v>7.0000000000000007E-2</v>
      </c>
      <c r="I27" s="409">
        <v>0.1</v>
      </c>
      <c r="J27" s="409">
        <v>0.18</v>
      </c>
      <c r="S27" s="189" t="s">
        <v>224</v>
      </c>
    </row>
    <row r="28" spans="1:19" x14ac:dyDescent="0.25">
      <c r="A28" s="5" t="s">
        <v>10</v>
      </c>
      <c r="B28" s="6">
        <v>1.1000000000000001</v>
      </c>
      <c r="C28" s="6">
        <v>1.25</v>
      </c>
      <c r="D28" s="6">
        <v>0.5</v>
      </c>
      <c r="E28" s="6">
        <v>0.4</v>
      </c>
      <c r="F28" s="6">
        <v>0.3</v>
      </c>
      <c r="H28" s="410"/>
      <c r="I28" s="410"/>
      <c r="J28" s="410"/>
      <c r="S28" s="189" t="s">
        <v>225</v>
      </c>
    </row>
    <row r="29" spans="1:19" x14ac:dyDescent="0.25">
      <c r="A29" s="5" t="s">
        <v>12</v>
      </c>
      <c r="B29" s="6">
        <v>0.8</v>
      </c>
      <c r="C29" s="6">
        <v>0.95</v>
      </c>
      <c r="D29" s="6">
        <v>0.4</v>
      </c>
      <c r="E29" s="6">
        <v>0.3</v>
      </c>
      <c r="F29" s="6">
        <v>0.2</v>
      </c>
      <c r="S29" s="189" t="s">
        <v>226</v>
      </c>
    </row>
    <row r="30" spans="1:19" x14ac:dyDescent="0.25">
      <c r="A30" s="5" t="s">
        <v>14</v>
      </c>
      <c r="B30" s="6">
        <v>0.7</v>
      </c>
      <c r="C30" s="6">
        <v>0.85</v>
      </c>
      <c r="D30" s="6">
        <v>0.3</v>
      </c>
      <c r="E30" s="6">
        <v>0.2</v>
      </c>
      <c r="F30" s="6">
        <v>0.15</v>
      </c>
      <c r="S30" s="5" t="s">
        <v>27</v>
      </c>
    </row>
    <row r="31" spans="1:19" x14ac:dyDescent="0.25">
      <c r="A31" s="5" t="s">
        <v>16</v>
      </c>
      <c r="B31" s="6">
        <v>0.65</v>
      </c>
      <c r="C31" s="6">
        <v>0.8</v>
      </c>
      <c r="D31" s="6">
        <v>0.2</v>
      </c>
      <c r="E31" s="6">
        <v>0.15</v>
      </c>
      <c r="F31" s="6">
        <v>0.1</v>
      </c>
      <c r="H31" s="9">
        <v>7.0000000000000007E-2</v>
      </c>
      <c r="I31" s="9">
        <v>0.1</v>
      </c>
      <c r="J31" s="9">
        <v>0.18</v>
      </c>
      <c r="M31" s="9">
        <v>0.04</v>
      </c>
      <c r="N31" s="9">
        <v>7.0000000000000007E-2</v>
      </c>
      <c r="O31" s="9">
        <v>0.1</v>
      </c>
      <c r="P31" s="9">
        <v>0.2</v>
      </c>
      <c r="Q31" s="9">
        <v>0.35</v>
      </c>
      <c r="S31" s="189" t="s">
        <v>227</v>
      </c>
    </row>
    <row r="32" spans="1:19" x14ac:dyDescent="0.25">
      <c r="A32" s="5" t="s">
        <v>18</v>
      </c>
      <c r="B32" s="6">
        <v>0.6</v>
      </c>
      <c r="C32" s="6">
        <v>0.75</v>
      </c>
      <c r="D32" s="6">
        <v>0.15</v>
      </c>
      <c r="E32" s="6">
        <v>0.1</v>
      </c>
      <c r="F32" s="6">
        <v>0.05</v>
      </c>
      <c r="H32" s="9">
        <v>0.1</v>
      </c>
      <c r="I32" s="9">
        <v>0.15</v>
      </c>
      <c r="J32">
        <v>0.35</v>
      </c>
      <c r="K32">
        <v>0.55000000000000004</v>
      </c>
      <c r="S32" s="5" t="s">
        <v>220</v>
      </c>
    </row>
    <row r="33" spans="1:19" x14ac:dyDescent="0.25">
      <c r="A33" s="5" t="s">
        <v>20</v>
      </c>
      <c r="B33" s="6">
        <v>0.7</v>
      </c>
      <c r="C33" s="6">
        <v>0.85</v>
      </c>
      <c r="D33" s="6">
        <v>0.2</v>
      </c>
      <c r="E33" s="6">
        <v>0.15</v>
      </c>
      <c r="F33" s="6">
        <v>0.1</v>
      </c>
      <c r="H33" s="171">
        <v>0</v>
      </c>
      <c r="S33" s="189" t="s">
        <v>228</v>
      </c>
    </row>
    <row r="34" spans="1:19" x14ac:dyDescent="0.25">
      <c r="S34" s="5" t="s">
        <v>221</v>
      </c>
    </row>
    <row r="35" spans="1:19" ht="21" x14ac:dyDescent="0.35">
      <c r="A35" s="416" t="s">
        <v>34</v>
      </c>
      <c r="B35" s="416"/>
      <c r="C35" s="416"/>
      <c r="D35" s="416"/>
      <c r="E35" s="416"/>
      <c r="F35" s="416"/>
      <c r="S35" s="189" t="s">
        <v>229</v>
      </c>
    </row>
    <row r="36" spans="1:19" x14ac:dyDescent="0.25">
      <c r="S36" s="5" t="s">
        <v>222</v>
      </c>
    </row>
    <row r="37" spans="1:19" x14ac:dyDescent="0.25">
      <c r="A37" s="411" t="s">
        <v>2</v>
      </c>
      <c r="B37" s="409">
        <v>0.1</v>
      </c>
      <c r="C37" s="409">
        <v>0.18</v>
      </c>
      <c r="D37" s="412" t="s">
        <v>3</v>
      </c>
      <c r="E37" s="412"/>
      <c r="F37" s="412"/>
      <c r="S37" s="189" t="s">
        <v>230</v>
      </c>
    </row>
    <row r="38" spans="1:19" x14ac:dyDescent="0.25">
      <c r="A38" s="410"/>
      <c r="B38" s="410"/>
      <c r="C38" s="410"/>
      <c r="D38" s="4" t="s">
        <v>7</v>
      </c>
      <c r="E38" s="4" t="s">
        <v>33</v>
      </c>
      <c r="F38" s="4" t="s">
        <v>32</v>
      </c>
      <c r="S38" s="5" t="s">
        <v>223</v>
      </c>
    </row>
    <row r="39" spans="1:19" x14ac:dyDescent="0.25">
      <c r="A39" s="5" t="s">
        <v>10</v>
      </c>
      <c r="B39" s="6">
        <v>1.3</v>
      </c>
      <c r="C39" s="6">
        <v>1.45</v>
      </c>
      <c r="D39" s="6">
        <v>0.5</v>
      </c>
      <c r="E39" s="6">
        <v>0.4</v>
      </c>
      <c r="F39" s="6">
        <v>0.3</v>
      </c>
      <c r="S39" s="189" t="s">
        <v>231</v>
      </c>
    </row>
    <row r="40" spans="1:19" x14ac:dyDescent="0.25">
      <c r="A40" s="5" t="s">
        <v>12</v>
      </c>
      <c r="B40" s="6">
        <v>1.05</v>
      </c>
      <c r="C40" s="6">
        <v>1.3</v>
      </c>
      <c r="D40" s="6">
        <v>0.4</v>
      </c>
      <c r="E40" s="6">
        <v>0.3</v>
      </c>
      <c r="F40" s="6">
        <v>0.2</v>
      </c>
      <c r="S40" s="5" t="s">
        <v>28</v>
      </c>
    </row>
    <row r="41" spans="1:19" x14ac:dyDescent="0.25">
      <c r="A41" s="5" t="s">
        <v>14</v>
      </c>
      <c r="B41" s="6">
        <v>0.9</v>
      </c>
      <c r="C41" s="6">
        <v>1.05</v>
      </c>
      <c r="D41" s="6">
        <v>0.3</v>
      </c>
      <c r="E41" s="6">
        <v>0.2</v>
      </c>
      <c r="F41" s="6">
        <v>0.15</v>
      </c>
      <c r="S41" s="5" t="s">
        <v>29</v>
      </c>
    </row>
    <row r="42" spans="1:19" x14ac:dyDescent="0.25">
      <c r="A42" s="5" t="s">
        <v>16</v>
      </c>
      <c r="B42" s="6">
        <v>0.8</v>
      </c>
      <c r="C42" s="6">
        <v>0.95</v>
      </c>
      <c r="D42" s="6">
        <v>0.2</v>
      </c>
      <c r="E42" s="6">
        <v>0.15</v>
      </c>
      <c r="F42" s="6">
        <v>0.1</v>
      </c>
      <c r="S42" s="5" t="s">
        <v>30</v>
      </c>
    </row>
    <row r="43" spans="1:19" x14ac:dyDescent="0.25">
      <c r="A43" s="5" t="s">
        <v>18</v>
      </c>
      <c r="B43" s="6">
        <v>0.75</v>
      </c>
      <c r="C43" s="6">
        <v>0.9</v>
      </c>
      <c r="D43" s="6">
        <v>0.15</v>
      </c>
      <c r="E43" s="6">
        <v>0.1</v>
      </c>
      <c r="F43" s="6">
        <v>0.05</v>
      </c>
    </row>
    <row r="44" spans="1:19" x14ac:dyDescent="0.25">
      <c r="A44" s="5" t="s">
        <v>20</v>
      </c>
      <c r="B44" s="6">
        <v>0.9</v>
      </c>
      <c r="C44" s="6">
        <v>1.05</v>
      </c>
      <c r="D44" s="6">
        <v>0.3</v>
      </c>
      <c r="E44" s="6">
        <v>0.2</v>
      </c>
      <c r="F44" s="6">
        <v>0.1</v>
      </c>
    </row>
    <row r="46" spans="1:19" ht="21" x14ac:dyDescent="0.35">
      <c r="A46" s="413" t="s">
        <v>35</v>
      </c>
      <c r="B46" s="414"/>
      <c r="C46" s="414"/>
      <c r="D46" s="414"/>
      <c r="E46" s="414"/>
      <c r="F46" s="415"/>
    </row>
    <row r="50" spans="1:6" x14ac:dyDescent="0.25">
      <c r="B50" s="159" t="s">
        <v>167</v>
      </c>
      <c r="C50" s="405" t="s">
        <v>168</v>
      </c>
      <c r="D50" s="405"/>
      <c r="E50" s="406" t="s">
        <v>169</v>
      </c>
      <c r="F50" s="407"/>
    </row>
    <row r="51" spans="1:6" x14ac:dyDescent="0.25">
      <c r="B51" s="160" t="s">
        <v>170</v>
      </c>
      <c r="C51" s="4" t="s">
        <v>171</v>
      </c>
      <c r="D51" s="4" t="s">
        <v>172</v>
      </c>
      <c r="E51" s="4" t="s">
        <v>173</v>
      </c>
      <c r="F51" s="4" t="s">
        <v>174</v>
      </c>
    </row>
    <row r="52" spans="1:6" x14ac:dyDescent="0.25">
      <c r="A52" s="408" t="s">
        <v>175</v>
      </c>
      <c r="B52" s="408"/>
      <c r="F52" s="161"/>
    </row>
    <row r="53" spans="1:6" x14ac:dyDescent="0.25">
      <c r="A53" s="162"/>
      <c r="B53" s="163" t="s">
        <v>176</v>
      </c>
      <c r="C53" s="164"/>
      <c r="D53" s="164"/>
      <c r="E53" s="164"/>
      <c r="F53" s="164"/>
    </row>
    <row r="54" spans="1:6" x14ac:dyDescent="0.25">
      <c r="A54" s="162"/>
      <c r="B54" s="163" t="s">
        <v>177</v>
      </c>
      <c r="C54" s="5">
        <v>1.61</v>
      </c>
      <c r="D54" s="5">
        <v>1.55</v>
      </c>
      <c r="E54" s="5">
        <v>1.41</v>
      </c>
      <c r="F54" s="5">
        <v>1.3</v>
      </c>
    </row>
    <row r="55" spans="1:6" x14ac:dyDescent="0.25">
      <c r="A55" s="162"/>
      <c r="B55" s="163" t="s">
        <v>178</v>
      </c>
      <c r="C55" s="5">
        <v>1.53</v>
      </c>
      <c r="D55" s="5">
        <v>1.48</v>
      </c>
      <c r="E55" s="5">
        <v>1.38</v>
      </c>
      <c r="F55" s="5">
        <v>1.22</v>
      </c>
    </row>
    <row r="56" spans="1:6" x14ac:dyDescent="0.25">
      <c r="A56" s="162"/>
      <c r="B56" s="163" t="s">
        <v>179</v>
      </c>
      <c r="C56" s="5">
        <v>1.47</v>
      </c>
      <c r="D56" s="5">
        <v>1.42</v>
      </c>
      <c r="E56" s="5">
        <v>1.28</v>
      </c>
      <c r="F56" s="5">
        <v>1.1599999999999999</v>
      </c>
    </row>
    <row r="57" spans="1:6" x14ac:dyDescent="0.25">
      <c r="A57" s="162"/>
      <c r="B57" s="163" t="s">
        <v>180</v>
      </c>
      <c r="C57" s="5">
        <v>1.4</v>
      </c>
      <c r="D57" s="5">
        <v>1.34</v>
      </c>
      <c r="E57" s="5">
        <v>1.2</v>
      </c>
      <c r="F57" s="5">
        <v>1.1000000000000001</v>
      </c>
    </row>
    <row r="58" spans="1:6" x14ac:dyDescent="0.25">
      <c r="A58" s="165"/>
      <c r="B58" s="166" t="s">
        <v>181</v>
      </c>
      <c r="C58" s="164"/>
      <c r="D58" s="5">
        <v>1.34</v>
      </c>
      <c r="E58" s="5">
        <v>1.2</v>
      </c>
      <c r="F58" s="5">
        <v>1.19</v>
      </c>
    </row>
  </sheetData>
  <mergeCells count="24">
    <mergeCell ref="A1:F1"/>
    <mergeCell ref="A3:F3"/>
    <mergeCell ref="A5:A6"/>
    <mergeCell ref="B5:B6"/>
    <mergeCell ref="C5:C6"/>
    <mergeCell ref="D5:D6"/>
    <mergeCell ref="E5:F5"/>
    <mergeCell ref="A24:F24"/>
    <mergeCell ref="A26:A27"/>
    <mergeCell ref="B26:B27"/>
    <mergeCell ref="C26:C27"/>
    <mergeCell ref="D26:F26"/>
    <mergeCell ref="C50:D50"/>
    <mergeCell ref="E50:F50"/>
    <mergeCell ref="A52:B52"/>
    <mergeCell ref="I27:I28"/>
    <mergeCell ref="J27:J28"/>
    <mergeCell ref="A37:A38"/>
    <mergeCell ref="B37:B38"/>
    <mergeCell ref="C37:C38"/>
    <mergeCell ref="D37:F37"/>
    <mergeCell ref="A46:F46"/>
    <mergeCell ref="H27:H28"/>
    <mergeCell ref="A35:F35"/>
  </mergeCells>
  <phoneticPr fontId="1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AO2941"/>
  <sheetViews>
    <sheetView tabSelected="1" topLeftCell="A37" zoomScaleNormal="100" workbookViewId="0">
      <selection activeCell="V69" sqref="V69"/>
    </sheetView>
  </sheetViews>
  <sheetFormatPr defaultRowHeight="15" x14ac:dyDescent="0.25"/>
  <cols>
    <col min="1" max="1" width="16.28515625" style="235" bestFit="1" customWidth="1"/>
    <col min="2" max="2" width="16.7109375" style="235" bestFit="1" customWidth="1"/>
    <col min="3" max="3" width="12" style="235" bestFit="1" customWidth="1"/>
    <col min="4" max="4" width="11.140625" style="235" customWidth="1"/>
    <col min="5" max="5" width="11.7109375" style="235" customWidth="1"/>
    <col min="6" max="7" width="9.7109375" style="235" customWidth="1"/>
    <col min="8" max="8" width="14.85546875" style="235" bestFit="1" customWidth="1"/>
    <col min="9" max="9" width="10.5703125" style="235" hidden="1" customWidth="1"/>
    <col min="10" max="10" width="0.140625" style="235" customWidth="1"/>
    <col min="11" max="11" width="3.85546875" style="235" hidden="1" customWidth="1"/>
    <col min="12" max="12" width="12.7109375" style="235" bestFit="1" customWidth="1"/>
    <col min="13" max="13" width="13.28515625" style="235" bestFit="1" customWidth="1"/>
    <col min="14" max="14" width="11.7109375" style="235" customWidth="1"/>
    <col min="15" max="16" width="9.7109375" style="235" customWidth="1"/>
    <col min="17" max="17" width="9.7109375" style="235" bestFit="1" customWidth="1"/>
    <col min="18" max="18" width="8.140625" style="235" bestFit="1" customWidth="1"/>
    <col min="19" max="19" width="12.7109375" style="235" bestFit="1" customWidth="1"/>
    <col min="20" max="21" width="12.140625" style="235" bestFit="1" customWidth="1"/>
    <col min="22" max="22" width="10.5703125" style="235" customWidth="1"/>
    <col min="23" max="23" width="0.28515625" style="235" hidden="1" customWidth="1"/>
    <col min="24" max="24" width="0.140625" style="235" customWidth="1"/>
    <col min="25" max="25" width="17.7109375" style="235" customWidth="1"/>
    <col min="26" max="26" width="21.7109375" style="235" bestFit="1" customWidth="1"/>
    <col min="27" max="27" width="10.7109375" style="248" bestFit="1" customWidth="1"/>
    <col min="28" max="28" width="5.85546875" style="248" bestFit="1" customWidth="1"/>
    <col min="29" max="29" width="10" style="235" customWidth="1"/>
    <col min="30" max="30" width="10.42578125" style="235" customWidth="1"/>
    <col min="31" max="31" width="7.7109375" style="235" customWidth="1"/>
    <col min="32" max="32" width="2" style="235" bestFit="1" customWidth="1"/>
    <col min="33" max="33" width="5" style="235" bestFit="1" customWidth="1"/>
    <col min="34" max="34" width="13.42578125" style="235" customWidth="1"/>
    <col min="35" max="38" width="12.28515625" style="235" customWidth="1"/>
    <col min="39" max="39" width="6.42578125" style="235" customWidth="1"/>
    <col min="40" max="40" width="3" style="235" bestFit="1" customWidth="1"/>
    <col min="41" max="41" width="5" style="235" bestFit="1" customWidth="1"/>
    <col min="42" max="16384" width="9.140625" style="235"/>
  </cols>
  <sheetData>
    <row r="1" spans="1:41" x14ac:dyDescent="0.25">
      <c r="C1" s="249"/>
    </row>
    <row r="2" spans="1:41" ht="28.5" x14ac:dyDescent="0.45">
      <c r="F2" s="398" t="s">
        <v>329</v>
      </c>
      <c r="G2" s="399"/>
      <c r="H2" s="399"/>
      <c r="I2" s="399"/>
      <c r="J2" s="399"/>
      <c r="K2" s="399"/>
      <c r="L2" s="399"/>
      <c r="M2" s="399"/>
    </row>
    <row r="3" spans="1:41" customFormat="1" ht="15.75" thickBot="1" x14ac:dyDescent="0.3">
      <c r="Y3" s="361" t="s">
        <v>337</v>
      </c>
      <c r="AA3" s="234"/>
      <c r="AB3" s="234"/>
    </row>
    <row r="4" spans="1:41" customFormat="1" ht="19.5" thickBot="1" x14ac:dyDescent="0.35">
      <c r="A4" s="11"/>
      <c r="B4" s="11"/>
      <c r="C4" s="11"/>
      <c r="D4" s="389"/>
      <c r="E4" s="378" t="s">
        <v>256</v>
      </c>
      <c r="F4" s="377"/>
      <c r="G4" s="377"/>
      <c r="H4" s="379"/>
      <c r="I4" s="389"/>
      <c r="J4" s="11"/>
      <c r="K4" s="11"/>
      <c r="L4" s="11"/>
      <c r="M4" s="11"/>
      <c r="N4" s="386" t="s">
        <v>259</v>
      </c>
      <c r="O4" s="387"/>
      <c r="P4" s="387"/>
      <c r="Q4" s="388"/>
      <c r="R4" s="11"/>
      <c r="S4" s="11"/>
      <c r="T4" s="11"/>
      <c r="U4" s="11"/>
      <c r="V4" s="11"/>
      <c r="W4" s="11"/>
      <c r="Y4" s="362" t="s">
        <v>238</v>
      </c>
      <c r="Z4" s="363" t="s">
        <v>215</v>
      </c>
      <c r="AA4" s="364"/>
      <c r="AB4" s="364"/>
    </row>
    <row r="5" spans="1:41" customFormat="1" ht="111" thickBot="1" x14ac:dyDescent="0.3">
      <c r="A5" s="365" t="s">
        <v>248</v>
      </c>
      <c r="B5" s="366" t="s">
        <v>37</v>
      </c>
      <c r="C5" s="367" t="str">
        <f>IF(C2854=C2908,"Kg","ERRORE KG")</f>
        <v>ERRORE KG</v>
      </c>
      <c r="D5" s="390" t="s">
        <v>39</v>
      </c>
      <c r="E5" s="394" t="s">
        <v>257</v>
      </c>
      <c r="F5" s="395" t="s">
        <v>258</v>
      </c>
      <c r="G5" s="395" t="s">
        <v>253</v>
      </c>
      <c r="H5" s="396" t="s">
        <v>51</v>
      </c>
      <c r="I5" s="391" t="s">
        <v>52</v>
      </c>
      <c r="J5" s="368" t="s">
        <v>254</v>
      </c>
      <c r="K5" s="368" t="s">
        <v>253</v>
      </c>
      <c r="L5" s="368" t="s">
        <v>42</v>
      </c>
      <c r="M5" s="369" t="s">
        <v>48</v>
      </c>
      <c r="N5" s="383" t="s">
        <v>257</v>
      </c>
      <c r="O5" s="384" t="s">
        <v>258</v>
      </c>
      <c r="P5" s="384" t="s">
        <v>253</v>
      </c>
      <c r="Q5" s="385" t="s">
        <v>46</v>
      </c>
      <c r="R5" s="380" t="s">
        <v>250</v>
      </c>
      <c r="S5" s="369" t="s">
        <v>267</v>
      </c>
      <c r="T5" s="369" t="s">
        <v>251</v>
      </c>
      <c r="U5" s="369" t="s">
        <v>252</v>
      </c>
      <c r="V5" s="370" t="s">
        <v>213</v>
      </c>
      <c r="W5" s="94" t="s">
        <v>47</v>
      </c>
      <c r="X5" s="20" t="s">
        <v>120</v>
      </c>
      <c r="Y5" s="371">
        <f>SUMIF(Y7:Y2853,"OK",U7:U2853)</f>
        <v>1707.7798</v>
      </c>
      <c r="Z5" s="372">
        <f>SUMIF(Y7:Y2853,"OK",C7:C2853)</f>
        <v>5030.380000000001</v>
      </c>
      <c r="AA5" s="373"/>
      <c r="AB5" s="373"/>
      <c r="AH5" s="78">
        <f>+Y5</f>
        <v>1707.7798</v>
      </c>
      <c r="AI5" s="78"/>
      <c r="AJ5" s="78"/>
      <c r="AK5" s="78"/>
      <c r="AL5" s="78"/>
    </row>
    <row r="6" spans="1:41" customFormat="1" ht="15.75" x14ac:dyDescent="0.25">
      <c r="A6" s="224"/>
      <c r="B6" s="225"/>
      <c r="C6" s="226"/>
      <c r="D6" s="227"/>
      <c r="E6" s="392"/>
      <c r="F6" s="392"/>
      <c r="G6" s="392"/>
      <c r="H6" s="393">
        <f>+E6+F6+G6</f>
        <v>0</v>
      </c>
      <c r="I6" s="228"/>
      <c r="J6" s="229"/>
      <c r="K6" s="229"/>
      <c r="L6" s="230"/>
      <c r="M6" s="230">
        <f>+L6*C6</f>
        <v>0</v>
      </c>
      <c r="N6" s="381"/>
      <c r="O6" s="381"/>
      <c r="P6" s="381"/>
      <c r="Q6" s="382">
        <f>+N6+O6+P6</f>
        <v>0</v>
      </c>
      <c r="R6" s="231">
        <f>IF(+Q6-H6&lt;=0,0,Q6-H6)</f>
        <v>0</v>
      </c>
      <c r="S6" s="232"/>
      <c r="T6" s="231">
        <f>+(R6*C6)*S6</f>
        <v>0</v>
      </c>
      <c r="U6" s="231">
        <f>+J6+M6+T6</f>
        <v>0</v>
      </c>
      <c r="V6" s="233"/>
      <c r="AA6" s="234"/>
      <c r="AB6" s="234"/>
      <c r="AN6">
        <f>IF(V6="",0,MONTH(V6))</f>
        <v>0</v>
      </c>
      <c r="AO6">
        <f>IF(V6="",0,YEAR(V6))</f>
        <v>0</v>
      </c>
    </row>
    <row r="7" spans="1:41" ht="15.75" x14ac:dyDescent="0.25">
      <c r="A7" s="236" t="s">
        <v>341</v>
      </c>
      <c r="B7" s="237" t="s">
        <v>302</v>
      </c>
      <c r="C7" s="238">
        <v>750</v>
      </c>
      <c r="D7" s="239" t="s">
        <v>4</v>
      </c>
      <c r="E7" s="240"/>
      <c r="F7" s="240">
        <v>5</v>
      </c>
      <c r="G7" s="240">
        <v>0.05</v>
      </c>
      <c r="H7" s="241">
        <f t="shared" ref="H7:H8" si="0">+E7+F7+G7</f>
        <v>5.05</v>
      </c>
      <c r="I7" s="242"/>
      <c r="J7" s="243"/>
      <c r="K7" s="243"/>
      <c r="L7" s="244">
        <v>0.1</v>
      </c>
      <c r="M7" s="244">
        <f t="shared" ref="M7:M8" si="1">+L7*C7</f>
        <v>75</v>
      </c>
      <c r="N7" s="244"/>
      <c r="O7" s="244">
        <v>5.45</v>
      </c>
      <c r="P7" s="244">
        <v>0.05</v>
      </c>
      <c r="Q7" s="245">
        <f t="shared" ref="Q7:Q8" si="2">+N7+O7+P7</f>
        <v>5.5</v>
      </c>
      <c r="R7" s="245">
        <f t="shared" ref="R7:R8" si="3">IF(+Q7-H7&lt;=0,0,Q7-H7)</f>
        <v>0.45000000000000018</v>
      </c>
      <c r="S7" s="246">
        <v>0.5</v>
      </c>
      <c r="T7" s="245">
        <f t="shared" ref="T7:T8" si="4">+(R7*C7)*S7</f>
        <v>168.75000000000006</v>
      </c>
      <c r="U7" s="245">
        <f t="shared" ref="U7:U8" si="5">+J7+M7+T7</f>
        <v>243.75000000000006</v>
      </c>
      <c r="V7" s="247">
        <v>46203</v>
      </c>
      <c r="AN7" s="235">
        <f t="shared" ref="AN7:AN8" si="6">IF(V7="",0,MONTH(V7))</f>
        <v>6</v>
      </c>
      <c r="AO7" s="235">
        <f t="shared" ref="AO7:AO2798" si="7">IF(V7="",0,YEAR(V7))</f>
        <v>2026</v>
      </c>
    </row>
    <row r="8" spans="1:41" ht="15.75" x14ac:dyDescent="0.25">
      <c r="A8" s="236" t="s">
        <v>341</v>
      </c>
      <c r="B8" s="237" t="s">
        <v>302</v>
      </c>
      <c r="C8" s="238">
        <v>750</v>
      </c>
      <c r="D8" s="239" t="s">
        <v>4</v>
      </c>
      <c r="E8" s="240"/>
      <c r="F8" s="240">
        <v>5</v>
      </c>
      <c r="G8" s="240">
        <v>0.05</v>
      </c>
      <c r="H8" s="241">
        <f t="shared" si="0"/>
        <v>5.05</v>
      </c>
      <c r="I8" s="242"/>
      <c r="J8" s="243"/>
      <c r="K8" s="243"/>
      <c r="L8" s="244">
        <v>0.1</v>
      </c>
      <c r="M8" s="244">
        <f t="shared" si="1"/>
        <v>75</v>
      </c>
      <c r="N8" s="244"/>
      <c r="O8" s="244">
        <v>5.45</v>
      </c>
      <c r="P8" s="244">
        <v>0.05</v>
      </c>
      <c r="Q8" s="245">
        <f t="shared" si="2"/>
        <v>5.5</v>
      </c>
      <c r="R8" s="245">
        <f t="shared" si="3"/>
        <v>0.45000000000000018</v>
      </c>
      <c r="S8" s="246">
        <v>0.5</v>
      </c>
      <c r="T8" s="245">
        <f t="shared" si="4"/>
        <v>168.75000000000006</v>
      </c>
      <c r="U8" s="245">
        <f t="shared" si="5"/>
        <v>243.75000000000006</v>
      </c>
      <c r="V8" s="247">
        <v>46203</v>
      </c>
      <c r="AN8" s="235">
        <f t="shared" si="6"/>
        <v>6</v>
      </c>
      <c r="AO8" s="235">
        <f t="shared" si="7"/>
        <v>2026</v>
      </c>
    </row>
    <row r="9" spans="1:41" ht="15.75" x14ac:dyDescent="0.25">
      <c r="A9" s="236" t="s">
        <v>341</v>
      </c>
      <c r="B9" s="237" t="s">
        <v>302</v>
      </c>
      <c r="C9" s="238">
        <v>750</v>
      </c>
      <c r="D9" s="239" t="s">
        <v>4</v>
      </c>
      <c r="E9" s="240"/>
      <c r="F9" s="240">
        <v>5</v>
      </c>
      <c r="G9" s="240">
        <v>0.05</v>
      </c>
      <c r="H9" s="241">
        <f t="shared" ref="H9:H11" si="8">+E9+F9+G9</f>
        <v>5.05</v>
      </c>
      <c r="I9" s="242"/>
      <c r="J9" s="243"/>
      <c r="K9" s="243"/>
      <c r="L9" s="244">
        <v>0.1</v>
      </c>
      <c r="M9" s="244">
        <f t="shared" ref="M9:M11" si="9">+L9*C9</f>
        <v>75</v>
      </c>
      <c r="N9" s="244"/>
      <c r="O9" s="244">
        <v>5.45</v>
      </c>
      <c r="P9" s="244">
        <v>0.05</v>
      </c>
      <c r="Q9" s="245">
        <f t="shared" ref="Q9:Q11" si="10">+N9+O9+P9</f>
        <v>5.5</v>
      </c>
      <c r="R9" s="245">
        <f t="shared" ref="R9:R11" si="11">IF(+Q9-H9&lt;=0,0,Q9-H9)</f>
        <v>0.45000000000000018</v>
      </c>
      <c r="S9" s="246">
        <v>0.5</v>
      </c>
      <c r="T9" s="245">
        <f t="shared" ref="T9:T11" si="12">+(R9*C9)*S9</f>
        <v>168.75000000000006</v>
      </c>
      <c r="U9" s="245">
        <f t="shared" ref="U9:U11" si="13">+J9+M9+T9</f>
        <v>243.75000000000006</v>
      </c>
      <c r="V9" s="247">
        <v>46203</v>
      </c>
      <c r="AN9" s="235">
        <f t="shared" ref="AN9:AN12" si="14">IF(V9="",0,MONTH(V9))</f>
        <v>6</v>
      </c>
      <c r="AO9" s="235">
        <f t="shared" ref="AO9:AO12" si="15">IF(V9="",0,YEAR(V9))</f>
        <v>2026</v>
      </c>
    </row>
    <row r="10" spans="1:41" ht="15.75" x14ac:dyDescent="0.25">
      <c r="A10" s="236" t="s">
        <v>326</v>
      </c>
      <c r="B10" s="237" t="s">
        <v>302</v>
      </c>
      <c r="C10" s="238">
        <v>500</v>
      </c>
      <c r="D10" s="239" t="s">
        <v>4</v>
      </c>
      <c r="E10" s="240"/>
      <c r="F10" s="240">
        <v>5.98</v>
      </c>
      <c r="G10" s="240">
        <v>0.05</v>
      </c>
      <c r="H10" s="241">
        <f t="shared" si="8"/>
        <v>6.03</v>
      </c>
      <c r="I10" s="242"/>
      <c r="J10" s="243"/>
      <c r="K10" s="243"/>
      <c r="L10" s="244">
        <v>0.1</v>
      </c>
      <c r="M10" s="244">
        <f t="shared" si="9"/>
        <v>50</v>
      </c>
      <c r="N10" s="244"/>
      <c r="O10" s="244">
        <v>6.55</v>
      </c>
      <c r="P10" s="244">
        <v>0.05</v>
      </c>
      <c r="Q10" s="245">
        <f t="shared" si="10"/>
        <v>6.6</v>
      </c>
      <c r="R10" s="245">
        <f t="shared" si="11"/>
        <v>0.5699999999999994</v>
      </c>
      <c r="S10" s="246">
        <v>0.5</v>
      </c>
      <c r="T10" s="245">
        <f t="shared" si="12"/>
        <v>142.49999999999986</v>
      </c>
      <c r="U10" s="245">
        <f t="shared" si="13"/>
        <v>192.49999999999986</v>
      </c>
      <c r="V10" s="247">
        <v>46127</v>
      </c>
      <c r="AN10" s="235">
        <f t="shared" si="14"/>
        <v>4</v>
      </c>
      <c r="AO10" s="235">
        <f t="shared" si="15"/>
        <v>2026</v>
      </c>
    </row>
    <row r="11" spans="1:41" ht="15.75" x14ac:dyDescent="0.25">
      <c r="A11" s="236" t="s">
        <v>326</v>
      </c>
      <c r="B11" s="237" t="s">
        <v>302</v>
      </c>
      <c r="C11" s="238">
        <v>500</v>
      </c>
      <c r="D11" s="239" t="s">
        <v>4</v>
      </c>
      <c r="E11" s="240"/>
      <c r="F11" s="240">
        <v>5.98</v>
      </c>
      <c r="G11" s="240">
        <v>0.05</v>
      </c>
      <c r="H11" s="241">
        <f t="shared" si="8"/>
        <v>6.03</v>
      </c>
      <c r="I11" s="242"/>
      <c r="J11" s="243"/>
      <c r="K11" s="243"/>
      <c r="L11" s="244">
        <v>0.1</v>
      </c>
      <c r="M11" s="244">
        <f t="shared" si="9"/>
        <v>50</v>
      </c>
      <c r="N11" s="244"/>
      <c r="O11" s="244">
        <v>6.55</v>
      </c>
      <c r="P11" s="244">
        <v>0.05</v>
      </c>
      <c r="Q11" s="245">
        <f t="shared" si="10"/>
        <v>6.6</v>
      </c>
      <c r="R11" s="245">
        <f t="shared" si="11"/>
        <v>0.5699999999999994</v>
      </c>
      <c r="S11" s="246">
        <v>0.5</v>
      </c>
      <c r="T11" s="245">
        <f t="shared" si="12"/>
        <v>142.49999999999986</v>
      </c>
      <c r="U11" s="245">
        <f t="shared" si="13"/>
        <v>192.49999999999986</v>
      </c>
      <c r="V11" s="247">
        <v>46325</v>
      </c>
      <c r="AN11" s="235">
        <f t="shared" si="14"/>
        <v>10</v>
      </c>
      <c r="AO11" s="235">
        <f t="shared" si="15"/>
        <v>2026</v>
      </c>
    </row>
    <row r="12" spans="1:41" ht="15.75" x14ac:dyDescent="0.25">
      <c r="A12" s="236"/>
      <c r="B12" s="400" t="s">
        <v>255</v>
      </c>
      <c r="C12" s="401">
        <v>1222</v>
      </c>
      <c r="D12" s="239" t="s">
        <v>6</v>
      </c>
      <c r="E12" s="240"/>
      <c r="F12" s="240">
        <v>11.65</v>
      </c>
      <c r="G12" s="240"/>
      <c r="H12" s="241">
        <f t="shared" ref="H12" si="16">+E12+F12+G12</f>
        <v>11.65</v>
      </c>
      <c r="I12" s="242"/>
      <c r="J12" s="243"/>
      <c r="K12" s="243"/>
      <c r="L12" s="244">
        <v>0.1</v>
      </c>
      <c r="M12" s="244">
        <f t="shared" ref="M12" si="17">+L12*C12</f>
        <v>122.2</v>
      </c>
      <c r="N12" s="244"/>
      <c r="O12" s="244">
        <v>11.84</v>
      </c>
      <c r="P12" s="244"/>
      <c r="Q12" s="245">
        <f t="shared" ref="Q12" si="18">+N12+O12+P12</f>
        <v>11.84</v>
      </c>
      <c r="R12" s="245">
        <f t="shared" ref="R12" si="19">IF(+Q12-H12&lt;=0,0,Q12-H12)</f>
        <v>0.1899999999999995</v>
      </c>
      <c r="S12" s="246">
        <v>0.5</v>
      </c>
      <c r="T12" s="245">
        <f t="shared" ref="T12" si="20">+(R12*C12)*S12</f>
        <v>116.08999999999969</v>
      </c>
      <c r="U12" s="252">
        <f t="shared" ref="U12" si="21">+J12+M12+T12</f>
        <v>238.28999999999968</v>
      </c>
      <c r="V12" s="247"/>
      <c r="Z12" s="235" t="s">
        <v>336</v>
      </c>
      <c r="AN12" s="235">
        <f t="shared" si="14"/>
        <v>0</v>
      </c>
      <c r="AO12" s="235">
        <f t="shared" si="15"/>
        <v>0</v>
      </c>
    </row>
    <row r="13" spans="1:41" ht="15.75" x14ac:dyDescent="0.25">
      <c r="A13" s="236" t="s">
        <v>331</v>
      </c>
      <c r="B13" s="237" t="s">
        <v>270</v>
      </c>
      <c r="C13" s="238">
        <v>200</v>
      </c>
      <c r="D13" s="239" t="s">
        <v>4</v>
      </c>
      <c r="E13" s="240"/>
      <c r="F13" s="240">
        <v>5.0999999999999996</v>
      </c>
      <c r="G13" s="240"/>
      <c r="H13" s="241">
        <f t="shared" ref="H13:H21" si="22">+E13+F13+G13</f>
        <v>5.0999999999999996</v>
      </c>
      <c r="I13" s="242"/>
      <c r="J13" s="243"/>
      <c r="K13" s="243"/>
      <c r="L13" s="244">
        <v>0.1</v>
      </c>
      <c r="M13" s="244">
        <f t="shared" ref="M13:M21" si="23">+L13*C13</f>
        <v>20</v>
      </c>
      <c r="N13" s="244"/>
      <c r="O13" s="244">
        <v>5.4</v>
      </c>
      <c r="P13" s="244"/>
      <c r="Q13" s="245">
        <f t="shared" ref="Q13:Q21" si="24">+N13+O13+P13</f>
        <v>5.4</v>
      </c>
      <c r="R13" s="245">
        <f t="shared" ref="R13:R21" si="25">IF(+Q13-H13&lt;=0,0,Q13-H13)</f>
        <v>0.30000000000000071</v>
      </c>
      <c r="S13" s="246">
        <v>0.5</v>
      </c>
      <c r="T13" s="245">
        <f t="shared" ref="T13:T21" si="26">+(R13*C13)*S13</f>
        <v>30.000000000000071</v>
      </c>
      <c r="U13" s="245">
        <f t="shared" ref="U13:U21" si="27">+J13+M13+T13</f>
        <v>50.000000000000071</v>
      </c>
      <c r="V13" s="247">
        <v>46157</v>
      </c>
      <c r="AN13" s="235">
        <f t="shared" ref="AN13:AN14" si="28">IF(V13="",0,MONTH(V13))</f>
        <v>5</v>
      </c>
      <c r="AO13" s="235">
        <f t="shared" ref="AO13:AO14" si="29">IF(V13="",0,YEAR(V13))</f>
        <v>2026</v>
      </c>
    </row>
    <row r="14" spans="1:41" ht="15.75" x14ac:dyDescent="0.25">
      <c r="A14" s="236" t="s">
        <v>330</v>
      </c>
      <c r="B14" s="237" t="s">
        <v>323</v>
      </c>
      <c r="C14" s="238">
        <v>500</v>
      </c>
      <c r="D14" s="239" t="s">
        <v>4</v>
      </c>
      <c r="E14" s="240"/>
      <c r="F14" s="240">
        <v>5.0999999999999996</v>
      </c>
      <c r="G14" s="240"/>
      <c r="H14" s="241">
        <f t="shared" si="22"/>
        <v>5.0999999999999996</v>
      </c>
      <c r="I14" s="242"/>
      <c r="J14" s="243"/>
      <c r="K14" s="243"/>
      <c r="L14" s="244">
        <v>0.1</v>
      </c>
      <c r="M14" s="244">
        <f t="shared" si="23"/>
        <v>50</v>
      </c>
      <c r="N14" s="244"/>
      <c r="O14" s="244">
        <v>5.65</v>
      </c>
      <c r="P14" s="244"/>
      <c r="Q14" s="245">
        <f t="shared" si="24"/>
        <v>5.65</v>
      </c>
      <c r="R14" s="245">
        <f t="shared" si="25"/>
        <v>0.55000000000000071</v>
      </c>
      <c r="S14" s="246">
        <v>0.5</v>
      </c>
      <c r="T14" s="245">
        <f t="shared" si="26"/>
        <v>137.50000000000017</v>
      </c>
      <c r="U14" s="245">
        <f t="shared" si="27"/>
        <v>187.50000000000017</v>
      </c>
      <c r="V14" s="247">
        <v>46150</v>
      </c>
      <c r="AN14" s="235">
        <f t="shared" si="28"/>
        <v>5</v>
      </c>
      <c r="AO14" s="235">
        <f t="shared" si="29"/>
        <v>2026</v>
      </c>
    </row>
    <row r="15" spans="1:41" ht="15.75" x14ac:dyDescent="0.25">
      <c r="A15" s="236" t="s">
        <v>332</v>
      </c>
      <c r="B15" s="237" t="s">
        <v>270</v>
      </c>
      <c r="C15" s="238">
        <v>700</v>
      </c>
      <c r="D15" s="239" t="s">
        <v>4</v>
      </c>
      <c r="E15" s="240"/>
      <c r="F15" s="240">
        <v>5.0999999999999996</v>
      </c>
      <c r="G15" s="240"/>
      <c r="H15" s="241">
        <f t="shared" si="22"/>
        <v>5.0999999999999996</v>
      </c>
      <c r="I15" s="242"/>
      <c r="J15" s="243"/>
      <c r="K15" s="243"/>
      <c r="L15" s="244">
        <v>0.1</v>
      </c>
      <c r="M15" s="244">
        <f t="shared" si="23"/>
        <v>70</v>
      </c>
      <c r="N15" s="244"/>
      <c r="O15" s="244">
        <v>5.6</v>
      </c>
      <c r="P15" s="244"/>
      <c r="Q15" s="245">
        <f t="shared" si="24"/>
        <v>5.6</v>
      </c>
      <c r="R15" s="245">
        <f t="shared" si="25"/>
        <v>0.5</v>
      </c>
      <c r="S15" s="246">
        <v>0.5</v>
      </c>
      <c r="T15" s="245">
        <f t="shared" si="26"/>
        <v>175</v>
      </c>
      <c r="U15" s="245">
        <f t="shared" si="27"/>
        <v>245</v>
      </c>
      <c r="V15" s="247">
        <v>46150</v>
      </c>
      <c r="AN15" s="235">
        <f t="shared" ref="AN15:AN44" si="30">IF(V15="",0,MONTH(V15))</f>
        <v>5</v>
      </c>
      <c r="AO15" s="235">
        <f t="shared" ref="AO15:AO44" si="31">IF(V15="",0,YEAR(V15))</f>
        <v>2026</v>
      </c>
    </row>
    <row r="16" spans="1:41" ht="15.75" x14ac:dyDescent="0.25">
      <c r="A16" s="236" t="s">
        <v>333</v>
      </c>
      <c r="B16" s="237" t="s">
        <v>263</v>
      </c>
      <c r="C16" s="238">
        <v>1200</v>
      </c>
      <c r="D16" s="239" t="s">
        <v>6</v>
      </c>
      <c r="E16" s="240">
        <v>4.08</v>
      </c>
      <c r="F16" s="240">
        <v>11.69</v>
      </c>
      <c r="G16" s="240">
        <v>0.05</v>
      </c>
      <c r="H16" s="241">
        <f t="shared" si="22"/>
        <v>15.82</v>
      </c>
      <c r="I16" s="242"/>
      <c r="J16" s="243"/>
      <c r="K16" s="243"/>
      <c r="L16" s="244">
        <v>0.1</v>
      </c>
      <c r="M16" s="244">
        <f t="shared" si="23"/>
        <v>120</v>
      </c>
      <c r="N16" s="244">
        <v>5.07</v>
      </c>
      <c r="O16" s="244">
        <v>11.03</v>
      </c>
      <c r="P16" s="244">
        <v>0.05</v>
      </c>
      <c r="Q16" s="245">
        <f t="shared" si="24"/>
        <v>16.150000000000002</v>
      </c>
      <c r="R16" s="245">
        <f t="shared" si="25"/>
        <v>0.33000000000000185</v>
      </c>
      <c r="S16" s="246">
        <v>0.5</v>
      </c>
      <c r="T16" s="245">
        <f t="shared" si="26"/>
        <v>198.00000000000111</v>
      </c>
      <c r="U16" s="245">
        <f t="shared" si="27"/>
        <v>318.00000000000114</v>
      </c>
      <c r="V16" s="247">
        <v>46144</v>
      </c>
      <c r="AN16" s="235">
        <f t="shared" si="30"/>
        <v>5</v>
      </c>
      <c r="AO16" s="235">
        <f t="shared" si="31"/>
        <v>2026</v>
      </c>
    </row>
    <row r="17" spans="1:41" ht="15.75" x14ac:dyDescent="0.25">
      <c r="A17" s="236" t="s">
        <v>335</v>
      </c>
      <c r="B17" s="237" t="s">
        <v>323</v>
      </c>
      <c r="C17" s="238">
        <v>60</v>
      </c>
      <c r="D17" s="239" t="s">
        <v>6</v>
      </c>
      <c r="E17" s="240">
        <v>1.27</v>
      </c>
      <c r="F17" s="240">
        <v>11.69</v>
      </c>
      <c r="G17" s="240"/>
      <c r="H17" s="241">
        <f t="shared" si="22"/>
        <v>12.959999999999999</v>
      </c>
      <c r="I17" s="242"/>
      <c r="J17" s="243"/>
      <c r="K17" s="243"/>
      <c r="L17" s="244">
        <v>0.1</v>
      </c>
      <c r="M17" s="244">
        <f t="shared" si="23"/>
        <v>6</v>
      </c>
      <c r="N17" s="244">
        <v>1.94</v>
      </c>
      <c r="O17" s="244">
        <v>11.69</v>
      </c>
      <c r="P17" s="244"/>
      <c r="Q17" s="245">
        <f t="shared" si="24"/>
        <v>13.629999999999999</v>
      </c>
      <c r="R17" s="245">
        <f t="shared" si="25"/>
        <v>0.66999999999999993</v>
      </c>
      <c r="S17" s="246">
        <v>0.5</v>
      </c>
      <c r="T17" s="245">
        <f t="shared" si="26"/>
        <v>20.099999999999998</v>
      </c>
      <c r="U17" s="245">
        <f t="shared" si="27"/>
        <v>26.099999999999998</v>
      </c>
      <c r="V17" s="247">
        <v>46153</v>
      </c>
      <c r="AN17" s="235">
        <f t="shared" si="30"/>
        <v>5</v>
      </c>
      <c r="AO17" s="235">
        <f t="shared" si="31"/>
        <v>2026</v>
      </c>
    </row>
    <row r="18" spans="1:41" ht="15.75" x14ac:dyDescent="0.25">
      <c r="A18" s="236" t="s">
        <v>335</v>
      </c>
      <c r="B18" s="237" t="s">
        <v>323</v>
      </c>
      <c r="C18" s="238">
        <v>60</v>
      </c>
      <c r="D18" s="239" t="s">
        <v>6</v>
      </c>
      <c r="E18" s="240">
        <v>1.1399999999999999</v>
      </c>
      <c r="F18" s="240">
        <v>11.69</v>
      </c>
      <c r="G18" s="240"/>
      <c r="H18" s="241">
        <f t="shared" si="22"/>
        <v>12.83</v>
      </c>
      <c r="I18" s="242"/>
      <c r="J18" s="243"/>
      <c r="K18" s="243"/>
      <c r="L18" s="244">
        <v>0.1</v>
      </c>
      <c r="M18" s="244">
        <f t="shared" si="23"/>
        <v>6</v>
      </c>
      <c r="N18" s="244">
        <v>1.87</v>
      </c>
      <c r="O18" s="244">
        <v>11.69</v>
      </c>
      <c r="P18" s="244"/>
      <c r="Q18" s="245">
        <f t="shared" si="24"/>
        <v>13.559999999999999</v>
      </c>
      <c r="R18" s="245">
        <f t="shared" si="25"/>
        <v>0.72999999999999865</v>
      </c>
      <c r="S18" s="246">
        <v>0.5</v>
      </c>
      <c r="T18" s="245">
        <f t="shared" si="26"/>
        <v>21.899999999999959</v>
      </c>
      <c r="U18" s="245">
        <f t="shared" si="27"/>
        <v>27.899999999999959</v>
      </c>
      <c r="V18" s="247">
        <v>46178</v>
      </c>
      <c r="AN18" s="235">
        <f t="shared" si="30"/>
        <v>6</v>
      </c>
      <c r="AO18" s="235">
        <f t="shared" si="31"/>
        <v>2026</v>
      </c>
    </row>
    <row r="19" spans="1:41" ht="15.75" x14ac:dyDescent="0.25">
      <c r="A19" s="236" t="s">
        <v>334</v>
      </c>
      <c r="B19" s="237" t="s">
        <v>302</v>
      </c>
      <c r="C19" s="238">
        <v>2100</v>
      </c>
      <c r="D19" s="239" t="s">
        <v>4</v>
      </c>
      <c r="E19" s="240"/>
      <c r="F19" s="240">
        <v>5.0999999999999996</v>
      </c>
      <c r="G19" s="240">
        <v>0.05</v>
      </c>
      <c r="H19" s="241">
        <f t="shared" si="22"/>
        <v>5.1499999999999995</v>
      </c>
      <c r="I19" s="242"/>
      <c r="J19" s="243"/>
      <c r="K19" s="243"/>
      <c r="L19" s="244">
        <v>0.1</v>
      </c>
      <c r="M19" s="244">
        <f t="shared" si="23"/>
        <v>210</v>
      </c>
      <c r="N19" s="244"/>
      <c r="O19" s="244">
        <v>5.5</v>
      </c>
      <c r="P19" s="244">
        <v>0.05</v>
      </c>
      <c r="Q19" s="245">
        <f t="shared" si="24"/>
        <v>5.55</v>
      </c>
      <c r="R19" s="245">
        <f t="shared" si="25"/>
        <v>0.40000000000000036</v>
      </c>
      <c r="S19" s="246">
        <v>0.5</v>
      </c>
      <c r="T19" s="245">
        <f t="shared" si="26"/>
        <v>420.0000000000004</v>
      </c>
      <c r="U19" s="245">
        <f t="shared" si="27"/>
        <v>630.00000000000045</v>
      </c>
      <c r="V19" s="247">
        <v>46147</v>
      </c>
      <c r="AN19" s="235">
        <f t="shared" si="30"/>
        <v>5</v>
      </c>
      <c r="AO19" s="235">
        <f t="shared" si="31"/>
        <v>2026</v>
      </c>
    </row>
    <row r="20" spans="1:41" ht="15.75" x14ac:dyDescent="0.25">
      <c r="A20" s="236" t="s">
        <v>334</v>
      </c>
      <c r="B20" s="237" t="s">
        <v>302</v>
      </c>
      <c r="C20" s="238">
        <v>800</v>
      </c>
      <c r="D20" s="239" t="s">
        <v>4</v>
      </c>
      <c r="E20" s="240"/>
      <c r="F20" s="240">
        <v>5.0999999999999996</v>
      </c>
      <c r="G20" s="240">
        <v>0.05</v>
      </c>
      <c r="H20" s="241">
        <f t="shared" si="22"/>
        <v>5.1499999999999995</v>
      </c>
      <c r="I20" s="242"/>
      <c r="J20" s="243"/>
      <c r="K20" s="243"/>
      <c r="L20" s="244">
        <v>0.1</v>
      </c>
      <c r="M20" s="244">
        <f t="shared" si="23"/>
        <v>80</v>
      </c>
      <c r="N20" s="244"/>
      <c r="O20" s="244">
        <v>5.5</v>
      </c>
      <c r="P20" s="244">
        <v>0.05</v>
      </c>
      <c r="Q20" s="245">
        <f t="shared" si="24"/>
        <v>5.55</v>
      </c>
      <c r="R20" s="245">
        <f t="shared" si="25"/>
        <v>0.40000000000000036</v>
      </c>
      <c r="S20" s="246">
        <v>0.5</v>
      </c>
      <c r="T20" s="245">
        <f t="shared" si="26"/>
        <v>160.00000000000014</v>
      </c>
      <c r="U20" s="245">
        <f t="shared" si="27"/>
        <v>240.00000000000014</v>
      </c>
      <c r="V20" s="247">
        <v>46147</v>
      </c>
      <c r="AN20" s="235">
        <f t="shared" si="30"/>
        <v>5</v>
      </c>
      <c r="AO20" s="235">
        <f t="shared" si="31"/>
        <v>2026</v>
      </c>
    </row>
    <row r="21" spans="1:41" ht="15.75" x14ac:dyDescent="0.25">
      <c r="A21" s="236" t="s">
        <v>344</v>
      </c>
      <c r="B21" s="237" t="s">
        <v>263</v>
      </c>
      <c r="C21" s="238">
        <v>1600</v>
      </c>
      <c r="D21" s="239" t="s">
        <v>6</v>
      </c>
      <c r="E21" s="240">
        <v>1.1399999999999999</v>
      </c>
      <c r="F21" s="240">
        <v>11.54</v>
      </c>
      <c r="G21" s="240">
        <v>0.05</v>
      </c>
      <c r="H21" s="241">
        <f t="shared" si="22"/>
        <v>12.73</v>
      </c>
      <c r="I21" s="242"/>
      <c r="J21" s="243"/>
      <c r="K21" s="243"/>
      <c r="L21" s="244">
        <v>0.1</v>
      </c>
      <c r="M21" s="244">
        <f t="shared" si="23"/>
        <v>160</v>
      </c>
      <c r="N21" s="244">
        <v>1.51</v>
      </c>
      <c r="O21" s="244">
        <v>11.54</v>
      </c>
      <c r="P21" s="244">
        <v>0.05</v>
      </c>
      <c r="Q21" s="245">
        <f t="shared" si="24"/>
        <v>13.1</v>
      </c>
      <c r="R21" s="245">
        <f t="shared" si="25"/>
        <v>0.36999999999999922</v>
      </c>
      <c r="S21" s="246">
        <v>0.5</v>
      </c>
      <c r="T21" s="245">
        <f t="shared" si="26"/>
        <v>295.99999999999937</v>
      </c>
      <c r="U21" s="245">
        <f t="shared" si="27"/>
        <v>455.99999999999937</v>
      </c>
      <c r="V21" s="247">
        <v>46146</v>
      </c>
      <c r="AN21" s="235">
        <f t="shared" si="30"/>
        <v>5</v>
      </c>
      <c r="AO21" s="235">
        <f t="shared" si="31"/>
        <v>2026</v>
      </c>
    </row>
    <row r="22" spans="1:41" ht="15.75" x14ac:dyDescent="0.25">
      <c r="A22" s="236" t="s">
        <v>343</v>
      </c>
      <c r="B22" s="237" t="s">
        <v>268</v>
      </c>
      <c r="C22" s="238">
        <v>500</v>
      </c>
      <c r="D22" s="239" t="s">
        <v>4</v>
      </c>
      <c r="E22" s="240"/>
      <c r="F22" s="240">
        <v>5.2</v>
      </c>
      <c r="G22" s="240">
        <v>0.1</v>
      </c>
      <c r="H22" s="241">
        <f t="shared" ref="H22:H1404" si="32">+E22+F22+G22</f>
        <v>5.3</v>
      </c>
      <c r="I22" s="242"/>
      <c r="J22" s="243"/>
      <c r="K22" s="243"/>
      <c r="L22" s="244">
        <v>0.1</v>
      </c>
      <c r="M22" s="244">
        <f t="shared" ref="M22:M1404" si="33">+L22*C22</f>
        <v>50</v>
      </c>
      <c r="N22" s="244"/>
      <c r="O22" s="244">
        <v>5.8</v>
      </c>
      <c r="P22" s="244">
        <v>0.1</v>
      </c>
      <c r="Q22" s="245">
        <f t="shared" ref="Q22:Q1404" si="34">+N22+O22+P22</f>
        <v>5.8999999999999995</v>
      </c>
      <c r="R22" s="245">
        <f t="shared" ref="R22:R1404" si="35">IF(+Q22-H22&lt;=0,0,Q22-H22)</f>
        <v>0.59999999999999964</v>
      </c>
      <c r="S22" s="246">
        <v>0.5</v>
      </c>
      <c r="T22" s="245">
        <f t="shared" ref="T22:T1404" si="36">+(R22*C22)*S22</f>
        <v>149.99999999999991</v>
      </c>
      <c r="U22" s="245">
        <f t="shared" ref="U22:U1404" si="37">+J22+M22+T22</f>
        <v>199.99999999999991</v>
      </c>
      <c r="V22" s="247">
        <v>46153</v>
      </c>
      <c r="AN22" s="235">
        <f t="shared" si="30"/>
        <v>5</v>
      </c>
      <c r="AO22" s="235">
        <f t="shared" si="31"/>
        <v>2026</v>
      </c>
    </row>
    <row r="23" spans="1:41" ht="15.75" x14ac:dyDescent="0.25">
      <c r="A23" s="236" t="s">
        <v>345</v>
      </c>
      <c r="B23" s="237" t="s">
        <v>102</v>
      </c>
      <c r="C23" s="238">
        <v>1100</v>
      </c>
      <c r="D23" s="239" t="s">
        <v>4</v>
      </c>
      <c r="E23" s="240"/>
      <c r="F23" s="240">
        <v>5.2</v>
      </c>
      <c r="G23" s="240">
        <v>0.05</v>
      </c>
      <c r="H23" s="241">
        <f t="shared" ref="H23" si="38">+E23+F23+G23</f>
        <v>5.25</v>
      </c>
      <c r="I23" s="242"/>
      <c r="J23" s="243"/>
      <c r="K23" s="243"/>
      <c r="L23" s="244">
        <v>0.1</v>
      </c>
      <c r="M23" s="244">
        <f t="shared" ref="M23" si="39">+L23*C23</f>
        <v>110</v>
      </c>
      <c r="N23" s="244"/>
      <c r="O23" s="244">
        <v>5.65</v>
      </c>
      <c r="P23" s="244">
        <v>0.05</v>
      </c>
      <c r="Q23" s="245">
        <f t="shared" ref="Q23" si="40">+N23+O23+P23</f>
        <v>5.7</v>
      </c>
      <c r="R23" s="245">
        <f t="shared" ref="R23" si="41">IF(+Q23-H23&lt;=0,0,Q23-H23)</f>
        <v>0.45000000000000018</v>
      </c>
      <c r="S23" s="246">
        <v>0.5</v>
      </c>
      <c r="T23" s="245">
        <f t="shared" ref="T23" si="42">+(R23*C23)*S23</f>
        <v>247.50000000000009</v>
      </c>
      <c r="U23" s="245">
        <f t="shared" ref="U23" si="43">+J23+M23+T23</f>
        <v>357.50000000000011</v>
      </c>
      <c r="V23" s="247">
        <v>46153</v>
      </c>
      <c r="Z23" s="235" t="s">
        <v>347</v>
      </c>
      <c r="AN23" s="235">
        <f t="shared" ref="AN23" si="44">IF(V23="",0,MONTH(V23))</f>
        <v>5</v>
      </c>
      <c r="AO23" s="235">
        <f t="shared" ref="AO23" si="45">IF(V23="",0,YEAR(V23))</f>
        <v>2026</v>
      </c>
    </row>
    <row r="24" spans="1:41" ht="15.75" x14ac:dyDescent="0.25">
      <c r="A24" s="236" t="s">
        <v>355</v>
      </c>
      <c r="B24" s="402" t="s">
        <v>102</v>
      </c>
      <c r="C24" s="403">
        <v>1514.18</v>
      </c>
      <c r="D24" s="239" t="s">
        <v>4</v>
      </c>
      <c r="E24" s="240"/>
      <c r="F24" s="240">
        <v>5.2</v>
      </c>
      <c r="G24" s="240"/>
      <c r="H24" s="241">
        <f t="shared" si="32"/>
        <v>5.2</v>
      </c>
      <c r="I24" s="242"/>
      <c r="J24" s="243"/>
      <c r="K24" s="243"/>
      <c r="L24" s="244">
        <v>0.1</v>
      </c>
      <c r="M24" s="244">
        <f t="shared" si="33"/>
        <v>151.41800000000001</v>
      </c>
      <c r="N24" s="244"/>
      <c r="O24" s="244">
        <v>5.7</v>
      </c>
      <c r="P24" s="244"/>
      <c r="Q24" s="245">
        <f t="shared" si="34"/>
        <v>5.7</v>
      </c>
      <c r="R24" s="245">
        <f t="shared" si="35"/>
        <v>0.5</v>
      </c>
      <c r="S24" s="246">
        <v>0.5</v>
      </c>
      <c r="T24" s="245">
        <f t="shared" si="36"/>
        <v>378.54500000000002</v>
      </c>
      <c r="U24" s="404">
        <f t="shared" si="37"/>
        <v>529.96299999999997</v>
      </c>
      <c r="V24" s="247"/>
      <c r="Y24" s="235" t="s">
        <v>349</v>
      </c>
      <c r="AN24" s="235">
        <f t="shared" si="30"/>
        <v>0</v>
      </c>
      <c r="AO24" s="235">
        <f t="shared" si="31"/>
        <v>0</v>
      </c>
    </row>
    <row r="25" spans="1:41" ht="15.75" x14ac:dyDescent="0.25">
      <c r="A25" s="236" t="s">
        <v>345</v>
      </c>
      <c r="B25" s="237" t="s">
        <v>102</v>
      </c>
      <c r="C25" s="238">
        <v>1200</v>
      </c>
      <c r="D25" s="239" t="s">
        <v>4</v>
      </c>
      <c r="E25" s="240"/>
      <c r="F25" s="240">
        <v>5.2</v>
      </c>
      <c r="G25" s="240">
        <v>0.05</v>
      </c>
      <c r="H25" s="241">
        <f t="shared" ref="H25" si="46">+E25+F25+G25</f>
        <v>5.25</v>
      </c>
      <c r="I25" s="242"/>
      <c r="J25" s="243"/>
      <c r="K25" s="243"/>
      <c r="L25" s="244">
        <v>0.1</v>
      </c>
      <c r="M25" s="244">
        <f t="shared" ref="M25" si="47">+L25*C25</f>
        <v>120</v>
      </c>
      <c r="N25" s="244"/>
      <c r="O25" s="244">
        <v>5.65</v>
      </c>
      <c r="P25" s="244">
        <v>0.05</v>
      </c>
      <c r="Q25" s="245">
        <f t="shared" ref="Q25" si="48">+N25+O25+P25</f>
        <v>5.7</v>
      </c>
      <c r="R25" s="245">
        <f t="shared" ref="R25" si="49">IF(+Q25-H25&lt;=0,0,Q25-H25)</f>
        <v>0.45000000000000018</v>
      </c>
      <c r="S25" s="246">
        <v>0.5</v>
      </c>
      <c r="T25" s="245">
        <f t="shared" ref="T25" si="50">+(R25*C25)*S25</f>
        <v>270.00000000000011</v>
      </c>
      <c r="U25" s="245">
        <f t="shared" ref="U25" si="51">+J25+M25+T25</f>
        <v>390.00000000000011</v>
      </c>
      <c r="V25" s="247">
        <v>46153</v>
      </c>
      <c r="Z25" s="235" t="s">
        <v>347</v>
      </c>
      <c r="AN25" s="235">
        <f t="shared" ref="AN25" si="52">IF(V25="",0,MONTH(V25))</f>
        <v>5</v>
      </c>
      <c r="AO25" s="235">
        <f t="shared" ref="AO25" si="53">IF(V25="",0,YEAR(V25))</f>
        <v>2026</v>
      </c>
    </row>
    <row r="26" spans="1:41" ht="15.75" x14ac:dyDescent="0.25">
      <c r="A26" s="236" t="s">
        <v>345</v>
      </c>
      <c r="B26" s="402" t="s">
        <v>102</v>
      </c>
      <c r="C26" s="403">
        <v>1105.97</v>
      </c>
      <c r="D26" s="239" t="s">
        <v>4</v>
      </c>
      <c r="E26" s="240"/>
      <c r="F26" s="240">
        <v>5.2</v>
      </c>
      <c r="G26" s="240"/>
      <c r="H26" s="241">
        <f t="shared" si="32"/>
        <v>5.2</v>
      </c>
      <c r="I26" s="242"/>
      <c r="J26" s="243"/>
      <c r="K26" s="243"/>
      <c r="L26" s="244">
        <v>0.1</v>
      </c>
      <c r="M26" s="244">
        <f t="shared" si="33"/>
        <v>110.59700000000001</v>
      </c>
      <c r="N26" s="244"/>
      <c r="O26" s="244">
        <v>5.7</v>
      </c>
      <c r="P26" s="244"/>
      <c r="Q26" s="245">
        <f t="shared" si="34"/>
        <v>5.7</v>
      </c>
      <c r="R26" s="245">
        <f t="shared" si="35"/>
        <v>0.5</v>
      </c>
      <c r="S26" s="246">
        <v>0.5</v>
      </c>
      <c r="T26" s="245">
        <f t="shared" si="36"/>
        <v>276.49250000000001</v>
      </c>
      <c r="U26" s="404">
        <f t="shared" si="37"/>
        <v>387.08950000000004</v>
      </c>
      <c r="V26" s="247"/>
      <c r="Y26" s="235" t="s">
        <v>349</v>
      </c>
      <c r="Z26" s="235" t="s">
        <v>356</v>
      </c>
      <c r="AN26" s="235">
        <f t="shared" si="30"/>
        <v>0</v>
      </c>
      <c r="AO26" s="235">
        <f t="shared" si="31"/>
        <v>0</v>
      </c>
    </row>
    <row r="27" spans="1:41" ht="15.75" x14ac:dyDescent="0.25">
      <c r="A27" s="236" t="s">
        <v>345</v>
      </c>
      <c r="B27" s="237" t="s">
        <v>102</v>
      </c>
      <c r="C27" s="238">
        <v>1500</v>
      </c>
      <c r="D27" s="239" t="s">
        <v>4</v>
      </c>
      <c r="E27" s="240"/>
      <c r="F27" s="240">
        <v>5.2</v>
      </c>
      <c r="G27" s="240">
        <v>0.05</v>
      </c>
      <c r="H27" s="241">
        <f t="shared" si="32"/>
        <v>5.25</v>
      </c>
      <c r="I27" s="242"/>
      <c r="J27" s="243"/>
      <c r="K27" s="243"/>
      <c r="L27" s="244">
        <v>0.1</v>
      </c>
      <c r="M27" s="244">
        <f t="shared" si="33"/>
        <v>150</v>
      </c>
      <c r="N27" s="244"/>
      <c r="O27" s="244">
        <v>5.65</v>
      </c>
      <c r="P27" s="244">
        <v>0.05</v>
      </c>
      <c r="Q27" s="245">
        <f t="shared" si="34"/>
        <v>5.7</v>
      </c>
      <c r="R27" s="245">
        <f t="shared" si="35"/>
        <v>0.45000000000000018</v>
      </c>
      <c r="S27" s="246">
        <v>0.5</v>
      </c>
      <c r="T27" s="245">
        <f t="shared" si="36"/>
        <v>337.50000000000011</v>
      </c>
      <c r="U27" s="245">
        <f t="shared" si="37"/>
        <v>487.50000000000011</v>
      </c>
      <c r="V27" s="247">
        <v>46206</v>
      </c>
      <c r="AN27" s="235">
        <f t="shared" si="30"/>
        <v>7</v>
      </c>
      <c r="AO27" s="235">
        <f t="shared" si="31"/>
        <v>2026</v>
      </c>
    </row>
    <row r="28" spans="1:41" ht="15.75" x14ac:dyDescent="0.25">
      <c r="A28" s="236" t="s">
        <v>352</v>
      </c>
      <c r="B28" s="402" t="s">
        <v>340</v>
      </c>
      <c r="C28" s="403">
        <v>42.35</v>
      </c>
      <c r="D28" s="239" t="s">
        <v>6</v>
      </c>
      <c r="E28" s="240">
        <v>2.02</v>
      </c>
      <c r="F28" s="240">
        <v>11.54</v>
      </c>
      <c r="G28" s="240"/>
      <c r="H28" s="241">
        <f t="shared" si="32"/>
        <v>13.559999999999999</v>
      </c>
      <c r="I28" s="242"/>
      <c r="J28" s="243"/>
      <c r="K28" s="243"/>
      <c r="L28" s="244">
        <v>0.1</v>
      </c>
      <c r="M28" s="244">
        <f t="shared" si="33"/>
        <v>4.2350000000000003</v>
      </c>
      <c r="N28" s="244">
        <v>2.72</v>
      </c>
      <c r="O28" s="244">
        <v>11.66</v>
      </c>
      <c r="P28" s="244"/>
      <c r="Q28" s="245">
        <f t="shared" si="34"/>
        <v>14.38</v>
      </c>
      <c r="R28" s="245">
        <f t="shared" si="35"/>
        <v>0.82000000000000206</v>
      </c>
      <c r="S28" s="246">
        <v>0.5</v>
      </c>
      <c r="T28" s="245">
        <f t="shared" si="36"/>
        <v>17.363500000000045</v>
      </c>
      <c r="U28" s="404">
        <f t="shared" si="37"/>
        <v>21.598500000000044</v>
      </c>
      <c r="V28" s="247"/>
      <c r="Y28" s="235" t="s">
        <v>349</v>
      </c>
      <c r="AN28" s="235">
        <f t="shared" si="30"/>
        <v>0</v>
      </c>
      <c r="AO28" s="235">
        <f t="shared" si="31"/>
        <v>0</v>
      </c>
    </row>
    <row r="29" spans="1:41" ht="15.75" x14ac:dyDescent="0.25">
      <c r="A29" s="236" t="s">
        <v>352</v>
      </c>
      <c r="B29" s="402" t="s">
        <v>340</v>
      </c>
      <c r="C29" s="403">
        <v>82.9</v>
      </c>
      <c r="D29" s="239" t="s">
        <v>6</v>
      </c>
      <c r="E29" s="240">
        <v>1.44</v>
      </c>
      <c r="F29" s="240">
        <v>11.54</v>
      </c>
      <c r="G29" s="240"/>
      <c r="H29" s="241">
        <f t="shared" si="32"/>
        <v>12.979999999999999</v>
      </c>
      <c r="I29" s="242"/>
      <c r="J29" s="243"/>
      <c r="K29" s="243"/>
      <c r="L29" s="244">
        <v>0.1</v>
      </c>
      <c r="M29" s="244">
        <f t="shared" si="33"/>
        <v>8.2900000000000009</v>
      </c>
      <c r="N29" s="244">
        <v>1.65</v>
      </c>
      <c r="O29" s="244">
        <v>11.66</v>
      </c>
      <c r="P29" s="244"/>
      <c r="Q29" s="245">
        <f t="shared" si="34"/>
        <v>13.31</v>
      </c>
      <c r="R29" s="245">
        <f t="shared" si="35"/>
        <v>0.33000000000000185</v>
      </c>
      <c r="S29" s="246">
        <v>0.5</v>
      </c>
      <c r="T29" s="245">
        <f t="shared" si="36"/>
        <v>13.678500000000078</v>
      </c>
      <c r="U29" s="404">
        <f t="shared" si="37"/>
        <v>21.968500000000077</v>
      </c>
      <c r="V29" s="247"/>
      <c r="Y29" s="235" t="s">
        <v>349</v>
      </c>
      <c r="AN29" s="235">
        <f t="shared" si="30"/>
        <v>0</v>
      </c>
      <c r="AO29" s="235">
        <f t="shared" si="31"/>
        <v>0</v>
      </c>
    </row>
    <row r="30" spans="1:41" ht="15.75" x14ac:dyDescent="0.25">
      <c r="A30" s="236" t="s">
        <v>342</v>
      </c>
      <c r="B30" s="237" t="s">
        <v>270</v>
      </c>
      <c r="C30" s="238">
        <v>80</v>
      </c>
      <c r="D30" s="239" t="s">
        <v>4</v>
      </c>
      <c r="E30" s="240"/>
      <c r="F30" s="240">
        <v>5.2</v>
      </c>
      <c r="G30" s="240"/>
      <c r="H30" s="241">
        <f t="shared" si="32"/>
        <v>5.2</v>
      </c>
      <c r="I30" s="242"/>
      <c r="J30" s="243"/>
      <c r="K30" s="243"/>
      <c r="L30" s="244">
        <v>0.1</v>
      </c>
      <c r="M30" s="244">
        <f t="shared" si="33"/>
        <v>8</v>
      </c>
      <c r="N30" s="244"/>
      <c r="O30" s="244">
        <v>5.65</v>
      </c>
      <c r="P30" s="244">
        <v>0.05</v>
      </c>
      <c r="Q30" s="245">
        <f t="shared" si="34"/>
        <v>5.7</v>
      </c>
      <c r="R30" s="245">
        <f t="shared" si="35"/>
        <v>0.5</v>
      </c>
      <c r="S30" s="246">
        <v>0.5</v>
      </c>
      <c r="T30" s="245">
        <f t="shared" si="36"/>
        <v>20</v>
      </c>
      <c r="U30" s="245">
        <f t="shared" si="37"/>
        <v>28</v>
      </c>
      <c r="V30" s="247">
        <v>46178</v>
      </c>
      <c r="AN30" s="235">
        <f t="shared" si="30"/>
        <v>6</v>
      </c>
      <c r="AO30" s="235">
        <f t="shared" si="31"/>
        <v>2026</v>
      </c>
    </row>
    <row r="31" spans="1:41" ht="15.75" x14ac:dyDescent="0.25">
      <c r="A31" s="236" t="s">
        <v>342</v>
      </c>
      <c r="B31" s="237" t="s">
        <v>270</v>
      </c>
      <c r="C31" s="238">
        <v>160</v>
      </c>
      <c r="D31" s="239" t="s">
        <v>4</v>
      </c>
      <c r="E31" s="240"/>
      <c r="F31" s="240">
        <v>5.2</v>
      </c>
      <c r="G31" s="240"/>
      <c r="H31" s="241">
        <f t="shared" si="32"/>
        <v>5.2</v>
      </c>
      <c r="I31" s="242"/>
      <c r="J31" s="243"/>
      <c r="K31" s="243"/>
      <c r="L31" s="244">
        <v>0.1</v>
      </c>
      <c r="M31" s="244">
        <f t="shared" si="33"/>
        <v>16</v>
      </c>
      <c r="N31" s="244"/>
      <c r="O31" s="244">
        <v>5.65</v>
      </c>
      <c r="P31" s="244">
        <v>0.05</v>
      </c>
      <c r="Q31" s="245">
        <f t="shared" si="34"/>
        <v>5.7</v>
      </c>
      <c r="R31" s="245">
        <f t="shared" si="35"/>
        <v>0.5</v>
      </c>
      <c r="S31" s="246">
        <v>0.5</v>
      </c>
      <c r="T31" s="245">
        <f t="shared" si="36"/>
        <v>40</v>
      </c>
      <c r="U31" s="245">
        <f t="shared" si="37"/>
        <v>56</v>
      </c>
      <c r="V31" s="247">
        <v>46178</v>
      </c>
      <c r="AN31" s="235">
        <f t="shared" si="30"/>
        <v>6</v>
      </c>
      <c r="AO31" s="235">
        <f t="shared" si="31"/>
        <v>2026</v>
      </c>
    </row>
    <row r="32" spans="1:41" ht="15.75" x14ac:dyDescent="0.25">
      <c r="A32" s="236" t="s">
        <v>342</v>
      </c>
      <c r="B32" s="237" t="s">
        <v>270</v>
      </c>
      <c r="C32" s="238">
        <v>1020</v>
      </c>
      <c r="D32" s="239" t="s">
        <v>4</v>
      </c>
      <c r="E32" s="240"/>
      <c r="F32" s="240">
        <v>5.2</v>
      </c>
      <c r="G32" s="240"/>
      <c r="H32" s="241">
        <f t="shared" si="32"/>
        <v>5.2</v>
      </c>
      <c r="I32" s="242"/>
      <c r="J32" s="243"/>
      <c r="K32" s="243"/>
      <c r="L32" s="244">
        <v>0.1</v>
      </c>
      <c r="M32" s="244">
        <f t="shared" si="33"/>
        <v>102</v>
      </c>
      <c r="N32" s="244"/>
      <c r="O32" s="244">
        <v>5.65</v>
      </c>
      <c r="P32" s="244">
        <v>0.05</v>
      </c>
      <c r="Q32" s="245">
        <f t="shared" si="34"/>
        <v>5.7</v>
      </c>
      <c r="R32" s="245">
        <f t="shared" si="35"/>
        <v>0.5</v>
      </c>
      <c r="S32" s="246">
        <v>0.5</v>
      </c>
      <c r="T32" s="245">
        <f t="shared" si="36"/>
        <v>255</v>
      </c>
      <c r="U32" s="245">
        <f t="shared" si="37"/>
        <v>357</v>
      </c>
      <c r="V32" s="247">
        <v>46178</v>
      </c>
      <c r="AN32" s="235">
        <f t="shared" si="30"/>
        <v>6</v>
      </c>
      <c r="AO32" s="235">
        <f t="shared" si="31"/>
        <v>2026</v>
      </c>
    </row>
    <row r="33" spans="1:41" ht="15.75" x14ac:dyDescent="0.25">
      <c r="A33" s="236" t="s">
        <v>342</v>
      </c>
      <c r="B33" s="237" t="s">
        <v>270</v>
      </c>
      <c r="C33" s="238">
        <v>160</v>
      </c>
      <c r="D33" s="239" t="s">
        <v>4</v>
      </c>
      <c r="E33" s="240"/>
      <c r="F33" s="240">
        <v>5.2</v>
      </c>
      <c r="G33" s="240"/>
      <c r="H33" s="241">
        <f t="shared" si="32"/>
        <v>5.2</v>
      </c>
      <c r="I33" s="242"/>
      <c r="J33" s="243"/>
      <c r="K33" s="243"/>
      <c r="L33" s="244">
        <v>0.1</v>
      </c>
      <c r="M33" s="244">
        <f t="shared" si="33"/>
        <v>16</v>
      </c>
      <c r="N33" s="244"/>
      <c r="O33" s="244">
        <v>5.65</v>
      </c>
      <c r="P33" s="244">
        <v>0.05</v>
      </c>
      <c r="Q33" s="245">
        <f t="shared" si="34"/>
        <v>5.7</v>
      </c>
      <c r="R33" s="245">
        <f t="shared" si="35"/>
        <v>0.5</v>
      </c>
      <c r="S33" s="246">
        <v>0.5</v>
      </c>
      <c r="T33" s="245">
        <f t="shared" si="36"/>
        <v>40</v>
      </c>
      <c r="U33" s="245">
        <f t="shared" si="37"/>
        <v>56</v>
      </c>
      <c r="V33" s="247">
        <v>46239</v>
      </c>
      <c r="AN33" s="235">
        <f t="shared" si="30"/>
        <v>8</v>
      </c>
      <c r="AO33" s="235">
        <f t="shared" si="31"/>
        <v>2026</v>
      </c>
    </row>
    <row r="34" spans="1:41" ht="15.75" x14ac:dyDescent="0.25">
      <c r="A34" s="236" t="s">
        <v>342</v>
      </c>
      <c r="B34" s="237" t="s">
        <v>270</v>
      </c>
      <c r="C34" s="238">
        <v>220</v>
      </c>
      <c r="D34" s="239" t="s">
        <v>4</v>
      </c>
      <c r="E34" s="240"/>
      <c r="F34" s="240">
        <v>5.2</v>
      </c>
      <c r="G34" s="240"/>
      <c r="H34" s="241">
        <f t="shared" si="32"/>
        <v>5.2</v>
      </c>
      <c r="I34" s="242"/>
      <c r="J34" s="243"/>
      <c r="K34" s="243"/>
      <c r="L34" s="244">
        <v>0.1</v>
      </c>
      <c r="M34" s="244">
        <f t="shared" si="33"/>
        <v>22</v>
      </c>
      <c r="N34" s="244"/>
      <c r="O34" s="244">
        <v>5.65</v>
      </c>
      <c r="P34" s="244">
        <v>0.05</v>
      </c>
      <c r="Q34" s="245">
        <f t="shared" si="34"/>
        <v>5.7</v>
      </c>
      <c r="R34" s="245">
        <f t="shared" si="35"/>
        <v>0.5</v>
      </c>
      <c r="S34" s="246">
        <v>0.5</v>
      </c>
      <c r="T34" s="245">
        <f t="shared" si="36"/>
        <v>55</v>
      </c>
      <c r="U34" s="245">
        <f t="shared" si="37"/>
        <v>77</v>
      </c>
      <c r="V34" s="247">
        <v>46178</v>
      </c>
      <c r="AN34" s="235">
        <f t="shared" si="30"/>
        <v>6</v>
      </c>
      <c r="AO34" s="235">
        <f t="shared" si="31"/>
        <v>2026</v>
      </c>
    </row>
    <row r="35" spans="1:41" ht="15.75" x14ac:dyDescent="0.25">
      <c r="A35" s="236" t="s">
        <v>342</v>
      </c>
      <c r="B35" s="237" t="s">
        <v>270</v>
      </c>
      <c r="C35" s="238">
        <v>1040</v>
      </c>
      <c r="D35" s="239" t="s">
        <v>4</v>
      </c>
      <c r="E35" s="240"/>
      <c r="F35" s="240">
        <v>5.2</v>
      </c>
      <c r="G35" s="240"/>
      <c r="H35" s="241">
        <f t="shared" si="32"/>
        <v>5.2</v>
      </c>
      <c r="I35" s="242"/>
      <c r="J35" s="243"/>
      <c r="K35" s="243"/>
      <c r="L35" s="244">
        <v>0.1</v>
      </c>
      <c r="M35" s="244">
        <f t="shared" si="33"/>
        <v>104</v>
      </c>
      <c r="N35" s="244"/>
      <c r="O35" s="244">
        <v>5.65</v>
      </c>
      <c r="P35" s="244">
        <v>0.05</v>
      </c>
      <c r="Q35" s="245">
        <f t="shared" si="34"/>
        <v>5.7</v>
      </c>
      <c r="R35" s="245">
        <f t="shared" si="35"/>
        <v>0.5</v>
      </c>
      <c r="S35" s="246">
        <v>0.5</v>
      </c>
      <c r="T35" s="245">
        <f t="shared" si="36"/>
        <v>260</v>
      </c>
      <c r="U35" s="245">
        <f t="shared" si="37"/>
        <v>364</v>
      </c>
      <c r="V35" s="247">
        <v>46178</v>
      </c>
      <c r="AN35" s="235">
        <f t="shared" si="30"/>
        <v>6</v>
      </c>
      <c r="AO35" s="235">
        <f t="shared" si="31"/>
        <v>2026</v>
      </c>
    </row>
    <row r="36" spans="1:41" ht="15.75" x14ac:dyDescent="0.25">
      <c r="A36" s="236" t="s">
        <v>342</v>
      </c>
      <c r="B36" s="237" t="s">
        <v>270</v>
      </c>
      <c r="C36" s="238">
        <v>200</v>
      </c>
      <c r="D36" s="239" t="s">
        <v>4</v>
      </c>
      <c r="E36" s="240"/>
      <c r="F36" s="240">
        <v>5.2</v>
      </c>
      <c r="G36" s="240"/>
      <c r="H36" s="241">
        <f t="shared" si="32"/>
        <v>5.2</v>
      </c>
      <c r="I36" s="242"/>
      <c r="J36" s="243"/>
      <c r="K36" s="243"/>
      <c r="L36" s="244">
        <v>0.1</v>
      </c>
      <c r="M36" s="244">
        <f t="shared" si="33"/>
        <v>20</v>
      </c>
      <c r="N36" s="244"/>
      <c r="O36" s="244">
        <v>5.65</v>
      </c>
      <c r="P36" s="244">
        <v>0.05</v>
      </c>
      <c r="Q36" s="245">
        <f t="shared" si="34"/>
        <v>5.7</v>
      </c>
      <c r="R36" s="245">
        <f t="shared" si="35"/>
        <v>0.5</v>
      </c>
      <c r="S36" s="246">
        <v>0.5</v>
      </c>
      <c r="T36" s="245">
        <f t="shared" si="36"/>
        <v>50</v>
      </c>
      <c r="U36" s="245">
        <f t="shared" si="37"/>
        <v>70</v>
      </c>
      <c r="V36" s="247">
        <v>46239</v>
      </c>
      <c r="AN36" s="235">
        <f t="shared" si="30"/>
        <v>8</v>
      </c>
      <c r="AO36" s="235">
        <f t="shared" si="31"/>
        <v>2026</v>
      </c>
    </row>
    <row r="37" spans="1:41" ht="15.75" x14ac:dyDescent="0.25">
      <c r="A37" s="236" t="s">
        <v>342</v>
      </c>
      <c r="B37" s="237" t="s">
        <v>270</v>
      </c>
      <c r="C37" s="238">
        <v>1470</v>
      </c>
      <c r="D37" s="239" t="s">
        <v>4</v>
      </c>
      <c r="E37" s="240"/>
      <c r="F37" s="240">
        <v>5.2</v>
      </c>
      <c r="G37" s="240"/>
      <c r="H37" s="241">
        <f t="shared" si="32"/>
        <v>5.2</v>
      </c>
      <c r="I37" s="242"/>
      <c r="J37" s="243"/>
      <c r="K37" s="243"/>
      <c r="L37" s="244">
        <v>0.1</v>
      </c>
      <c r="M37" s="244">
        <f t="shared" si="33"/>
        <v>147</v>
      </c>
      <c r="N37" s="244"/>
      <c r="O37" s="244">
        <v>5.65</v>
      </c>
      <c r="P37" s="244">
        <v>0.05</v>
      </c>
      <c r="Q37" s="245">
        <f t="shared" si="34"/>
        <v>5.7</v>
      </c>
      <c r="R37" s="245">
        <f t="shared" si="35"/>
        <v>0.5</v>
      </c>
      <c r="S37" s="246">
        <v>0.5</v>
      </c>
      <c r="T37" s="245">
        <f t="shared" si="36"/>
        <v>367.5</v>
      </c>
      <c r="U37" s="245">
        <f t="shared" si="37"/>
        <v>514.5</v>
      </c>
      <c r="V37" s="247">
        <v>46178</v>
      </c>
      <c r="AN37" s="235">
        <f t="shared" si="30"/>
        <v>6</v>
      </c>
      <c r="AO37" s="235">
        <f t="shared" si="31"/>
        <v>2026</v>
      </c>
    </row>
    <row r="38" spans="1:41" ht="15.75" x14ac:dyDescent="0.25">
      <c r="A38" s="236" t="s">
        <v>342</v>
      </c>
      <c r="B38" s="237" t="s">
        <v>270</v>
      </c>
      <c r="C38" s="238">
        <v>690</v>
      </c>
      <c r="D38" s="239" t="s">
        <v>4</v>
      </c>
      <c r="E38" s="240"/>
      <c r="F38" s="240">
        <v>5.2</v>
      </c>
      <c r="G38" s="240"/>
      <c r="H38" s="241">
        <f t="shared" si="32"/>
        <v>5.2</v>
      </c>
      <c r="I38" s="242"/>
      <c r="J38" s="243"/>
      <c r="K38" s="243"/>
      <c r="L38" s="244">
        <v>0.1</v>
      </c>
      <c r="M38" s="244">
        <f t="shared" si="33"/>
        <v>69</v>
      </c>
      <c r="N38" s="244"/>
      <c r="O38" s="244">
        <v>5.65</v>
      </c>
      <c r="P38" s="244">
        <v>0.05</v>
      </c>
      <c r="Q38" s="245">
        <f t="shared" si="34"/>
        <v>5.7</v>
      </c>
      <c r="R38" s="245">
        <f t="shared" si="35"/>
        <v>0.5</v>
      </c>
      <c r="S38" s="246">
        <v>0.5</v>
      </c>
      <c r="T38" s="245">
        <f t="shared" si="36"/>
        <v>172.5</v>
      </c>
      <c r="U38" s="245">
        <f t="shared" si="37"/>
        <v>241.5</v>
      </c>
      <c r="V38" s="247">
        <v>46239</v>
      </c>
      <c r="AN38" s="235">
        <f t="shared" si="30"/>
        <v>8</v>
      </c>
      <c r="AO38" s="235">
        <f t="shared" si="31"/>
        <v>2026</v>
      </c>
    </row>
    <row r="39" spans="1:41" ht="15.75" x14ac:dyDescent="0.25">
      <c r="A39" s="236" t="s">
        <v>342</v>
      </c>
      <c r="B39" s="237" t="s">
        <v>270</v>
      </c>
      <c r="C39" s="238">
        <v>450</v>
      </c>
      <c r="D39" s="239" t="s">
        <v>4</v>
      </c>
      <c r="E39" s="240"/>
      <c r="F39" s="240">
        <v>5.2</v>
      </c>
      <c r="G39" s="240"/>
      <c r="H39" s="241">
        <f t="shared" si="32"/>
        <v>5.2</v>
      </c>
      <c r="I39" s="242"/>
      <c r="J39" s="243"/>
      <c r="K39" s="243"/>
      <c r="L39" s="244">
        <v>0.1</v>
      </c>
      <c r="M39" s="244">
        <f t="shared" si="33"/>
        <v>45</v>
      </c>
      <c r="N39" s="244"/>
      <c r="O39" s="244">
        <v>5.65</v>
      </c>
      <c r="P39" s="244">
        <v>0.05</v>
      </c>
      <c r="Q39" s="245">
        <f t="shared" si="34"/>
        <v>5.7</v>
      </c>
      <c r="R39" s="245">
        <f t="shared" si="35"/>
        <v>0.5</v>
      </c>
      <c r="S39" s="246">
        <v>0.5</v>
      </c>
      <c r="T39" s="245">
        <f t="shared" si="36"/>
        <v>112.5</v>
      </c>
      <c r="U39" s="245">
        <f t="shared" si="37"/>
        <v>157.5</v>
      </c>
      <c r="V39" s="247">
        <v>46258</v>
      </c>
      <c r="AN39" s="235">
        <f t="shared" si="30"/>
        <v>8</v>
      </c>
      <c r="AO39" s="235">
        <f t="shared" si="31"/>
        <v>2026</v>
      </c>
    </row>
    <row r="40" spans="1:41" ht="15.75" x14ac:dyDescent="0.25">
      <c r="A40" s="236" t="s">
        <v>342</v>
      </c>
      <c r="B40" s="237" t="s">
        <v>270</v>
      </c>
      <c r="C40" s="238">
        <v>440</v>
      </c>
      <c r="D40" s="239" t="s">
        <v>4</v>
      </c>
      <c r="E40" s="240"/>
      <c r="F40" s="240">
        <v>5.2</v>
      </c>
      <c r="G40" s="240"/>
      <c r="H40" s="241">
        <f t="shared" si="32"/>
        <v>5.2</v>
      </c>
      <c r="I40" s="242"/>
      <c r="J40" s="243"/>
      <c r="K40" s="243"/>
      <c r="L40" s="244">
        <v>0.1</v>
      </c>
      <c r="M40" s="244">
        <f t="shared" si="33"/>
        <v>44</v>
      </c>
      <c r="N40" s="244"/>
      <c r="O40" s="244">
        <v>5.65</v>
      </c>
      <c r="P40" s="244">
        <v>0.05</v>
      </c>
      <c r="Q40" s="245">
        <f t="shared" si="34"/>
        <v>5.7</v>
      </c>
      <c r="R40" s="245">
        <f t="shared" si="35"/>
        <v>0.5</v>
      </c>
      <c r="S40" s="246">
        <v>0.5</v>
      </c>
      <c r="T40" s="245">
        <f t="shared" si="36"/>
        <v>110</v>
      </c>
      <c r="U40" s="245">
        <f t="shared" si="37"/>
        <v>154</v>
      </c>
      <c r="V40" s="247">
        <v>46178</v>
      </c>
      <c r="AN40" s="235">
        <f t="shared" si="30"/>
        <v>6</v>
      </c>
      <c r="AO40" s="235">
        <f t="shared" si="31"/>
        <v>2026</v>
      </c>
    </row>
    <row r="41" spans="1:41" ht="15.75" x14ac:dyDescent="0.25">
      <c r="A41" s="236" t="s">
        <v>342</v>
      </c>
      <c r="B41" s="237" t="s">
        <v>270</v>
      </c>
      <c r="C41" s="238">
        <v>920</v>
      </c>
      <c r="D41" s="239" t="s">
        <v>4</v>
      </c>
      <c r="E41" s="240"/>
      <c r="F41" s="240">
        <v>5.2</v>
      </c>
      <c r="G41" s="240"/>
      <c r="H41" s="241">
        <f t="shared" si="32"/>
        <v>5.2</v>
      </c>
      <c r="I41" s="242"/>
      <c r="J41" s="243"/>
      <c r="K41" s="243"/>
      <c r="L41" s="244">
        <v>0.1</v>
      </c>
      <c r="M41" s="244">
        <f t="shared" si="33"/>
        <v>92</v>
      </c>
      <c r="N41" s="244"/>
      <c r="O41" s="244">
        <v>5.65</v>
      </c>
      <c r="P41" s="244">
        <v>0.05</v>
      </c>
      <c r="Q41" s="245">
        <f t="shared" si="34"/>
        <v>5.7</v>
      </c>
      <c r="R41" s="245">
        <f t="shared" si="35"/>
        <v>0.5</v>
      </c>
      <c r="S41" s="246">
        <v>0.5</v>
      </c>
      <c r="T41" s="245">
        <f t="shared" si="36"/>
        <v>230</v>
      </c>
      <c r="U41" s="245">
        <f t="shared" si="37"/>
        <v>322</v>
      </c>
      <c r="V41" s="247">
        <v>46183</v>
      </c>
      <c r="AN41" s="235">
        <f t="shared" si="30"/>
        <v>6</v>
      </c>
      <c r="AO41" s="235">
        <f t="shared" si="31"/>
        <v>2026</v>
      </c>
    </row>
    <row r="42" spans="1:41" ht="15.75" x14ac:dyDescent="0.25">
      <c r="A42" s="236" t="s">
        <v>342</v>
      </c>
      <c r="B42" s="237" t="s">
        <v>270</v>
      </c>
      <c r="C42" s="238">
        <v>260</v>
      </c>
      <c r="D42" s="239" t="s">
        <v>4</v>
      </c>
      <c r="E42" s="240"/>
      <c r="F42" s="240">
        <v>5.2</v>
      </c>
      <c r="G42" s="240"/>
      <c r="H42" s="241">
        <f t="shared" si="32"/>
        <v>5.2</v>
      </c>
      <c r="I42" s="242"/>
      <c r="J42" s="243"/>
      <c r="K42" s="243"/>
      <c r="L42" s="244">
        <v>0.1</v>
      </c>
      <c r="M42" s="244">
        <f t="shared" si="33"/>
        <v>26</v>
      </c>
      <c r="N42" s="244"/>
      <c r="O42" s="244">
        <v>5.65</v>
      </c>
      <c r="P42" s="244">
        <v>0.05</v>
      </c>
      <c r="Q42" s="245">
        <f t="shared" si="34"/>
        <v>5.7</v>
      </c>
      <c r="R42" s="245">
        <f t="shared" si="35"/>
        <v>0.5</v>
      </c>
      <c r="S42" s="246">
        <v>0.5</v>
      </c>
      <c r="T42" s="245">
        <f t="shared" si="36"/>
        <v>65</v>
      </c>
      <c r="U42" s="245">
        <f t="shared" si="37"/>
        <v>91</v>
      </c>
      <c r="V42" s="247">
        <v>46183</v>
      </c>
      <c r="AN42" s="235">
        <f t="shared" si="30"/>
        <v>6</v>
      </c>
      <c r="AO42" s="235">
        <f t="shared" si="31"/>
        <v>2026</v>
      </c>
    </row>
    <row r="43" spans="1:41" ht="15.75" x14ac:dyDescent="0.25">
      <c r="A43" s="236" t="s">
        <v>342</v>
      </c>
      <c r="B43" s="237" t="s">
        <v>270</v>
      </c>
      <c r="C43" s="238">
        <v>620</v>
      </c>
      <c r="D43" s="239" t="s">
        <v>4</v>
      </c>
      <c r="E43" s="240"/>
      <c r="F43" s="240">
        <v>5.2</v>
      </c>
      <c r="G43" s="240"/>
      <c r="H43" s="241">
        <f t="shared" si="32"/>
        <v>5.2</v>
      </c>
      <c r="I43" s="242"/>
      <c r="J43" s="243"/>
      <c r="K43" s="243"/>
      <c r="L43" s="244">
        <v>0.1</v>
      </c>
      <c r="M43" s="244">
        <f t="shared" si="33"/>
        <v>62</v>
      </c>
      <c r="N43" s="244"/>
      <c r="O43" s="244">
        <v>5.65</v>
      </c>
      <c r="P43" s="244">
        <v>0.05</v>
      </c>
      <c r="Q43" s="245">
        <f t="shared" si="34"/>
        <v>5.7</v>
      </c>
      <c r="R43" s="245">
        <f t="shared" si="35"/>
        <v>0.5</v>
      </c>
      <c r="S43" s="246">
        <v>0.5</v>
      </c>
      <c r="T43" s="245">
        <f t="shared" si="36"/>
        <v>155</v>
      </c>
      <c r="U43" s="245">
        <f t="shared" si="37"/>
        <v>217</v>
      </c>
      <c r="V43" s="247">
        <v>46239</v>
      </c>
      <c r="AN43" s="235">
        <f t="shared" si="30"/>
        <v>8</v>
      </c>
      <c r="AO43" s="235">
        <f t="shared" si="31"/>
        <v>2026</v>
      </c>
    </row>
    <row r="44" spans="1:41" ht="15.75" x14ac:dyDescent="0.25">
      <c r="A44" s="236" t="s">
        <v>342</v>
      </c>
      <c r="B44" s="237" t="s">
        <v>270</v>
      </c>
      <c r="C44" s="238">
        <v>1160</v>
      </c>
      <c r="D44" s="239" t="s">
        <v>4</v>
      </c>
      <c r="E44" s="240"/>
      <c r="F44" s="240">
        <v>5.2</v>
      </c>
      <c r="G44" s="240"/>
      <c r="H44" s="241">
        <f t="shared" si="32"/>
        <v>5.2</v>
      </c>
      <c r="I44" s="242"/>
      <c r="J44" s="243"/>
      <c r="K44" s="243"/>
      <c r="L44" s="244">
        <v>0.1</v>
      </c>
      <c r="M44" s="244">
        <f t="shared" si="33"/>
        <v>116</v>
      </c>
      <c r="N44" s="244"/>
      <c r="O44" s="244">
        <v>5.65</v>
      </c>
      <c r="P44" s="244">
        <v>0.05</v>
      </c>
      <c r="Q44" s="245">
        <f t="shared" si="34"/>
        <v>5.7</v>
      </c>
      <c r="R44" s="245">
        <f t="shared" si="35"/>
        <v>0.5</v>
      </c>
      <c r="S44" s="246">
        <v>0.5</v>
      </c>
      <c r="T44" s="245">
        <f t="shared" si="36"/>
        <v>290</v>
      </c>
      <c r="U44" s="245">
        <f t="shared" si="37"/>
        <v>406</v>
      </c>
      <c r="V44" s="247">
        <v>46178</v>
      </c>
      <c r="AN44" s="235">
        <f t="shared" si="30"/>
        <v>6</v>
      </c>
      <c r="AO44" s="235">
        <f t="shared" si="31"/>
        <v>2026</v>
      </c>
    </row>
    <row r="45" spans="1:41" ht="15.75" x14ac:dyDescent="0.25">
      <c r="A45" s="236"/>
      <c r="B45" s="237" t="s">
        <v>268</v>
      </c>
      <c r="C45" s="238">
        <v>400</v>
      </c>
      <c r="D45" s="239" t="s">
        <v>4</v>
      </c>
      <c r="E45" s="240"/>
      <c r="F45" s="240">
        <v>5.2</v>
      </c>
      <c r="G45" s="240">
        <v>0.1</v>
      </c>
      <c r="H45" s="241">
        <f t="shared" ref="H45:H97" si="54">+E45+F45+G45</f>
        <v>5.3</v>
      </c>
      <c r="I45" s="242"/>
      <c r="J45" s="243"/>
      <c r="K45" s="243"/>
      <c r="L45" s="244">
        <v>0.1</v>
      </c>
      <c r="M45" s="244">
        <f t="shared" ref="M45:M97" si="55">+L45*C45</f>
        <v>40</v>
      </c>
      <c r="N45" s="244"/>
      <c r="O45" s="244">
        <v>5.75</v>
      </c>
      <c r="P45" s="244">
        <v>0.1</v>
      </c>
      <c r="Q45" s="245">
        <f t="shared" ref="Q45:Q97" si="56">+N45+O45+P45</f>
        <v>5.85</v>
      </c>
      <c r="R45" s="245">
        <f t="shared" ref="R45:R97" si="57">IF(+Q45-H45&lt;=0,0,Q45-H45)</f>
        <v>0.54999999999999982</v>
      </c>
      <c r="S45" s="246">
        <v>0.5</v>
      </c>
      <c r="T45" s="245">
        <f t="shared" ref="T45:T97" si="58">+(R45*C45)*S45</f>
        <v>109.99999999999997</v>
      </c>
      <c r="U45" s="245">
        <f t="shared" ref="U45:U97" si="59">+J45+M45+T45</f>
        <v>149.99999999999997</v>
      </c>
      <c r="V45" s="247">
        <v>46147</v>
      </c>
      <c r="AN45" s="235">
        <f t="shared" ref="AN45:AN94" si="60">IF(V45="",0,MONTH(V45))</f>
        <v>5</v>
      </c>
      <c r="AO45" s="235">
        <f t="shared" ref="AO45:AO94" si="61">IF(V45="",0,YEAR(V45))</f>
        <v>2026</v>
      </c>
    </row>
    <row r="46" spans="1:41" ht="15.75" x14ac:dyDescent="0.25">
      <c r="A46" s="236"/>
      <c r="B46" s="237" t="s">
        <v>268</v>
      </c>
      <c r="C46" s="238">
        <v>600</v>
      </c>
      <c r="D46" s="239" t="s">
        <v>4</v>
      </c>
      <c r="E46" s="240"/>
      <c r="F46" s="240">
        <v>5.2</v>
      </c>
      <c r="G46" s="240">
        <v>0.1</v>
      </c>
      <c r="H46" s="241">
        <f t="shared" si="54"/>
        <v>5.3</v>
      </c>
      <c r="I46" s="242"/>
      <c r="J46" s="243"/>
      <c r="K46" s="243"/>
      <c r="L46" s="244">
        <v>0.1</v>
      </c>
      <c r="M46" s="244">
        <f t="shared" si="55"/>
        <v>60</v>
      </c>
      <c r="N46" s="244"/>
      <c r="O46" s="244">
        <v>5.75</v>
      </c>
      <c r="P46" s="244">
        <v>0.1</v>
      </c>
      <c r="Q46" s="245">
        <f t="shared" si="56"/>
        <v>5.85</v>
      </c>
      <c r="R46" s="245">
        <f t="shared" si="57"/>
        <v>0.54999999999999982</v>
      </c>
      <c r="S46" s="246">
        <v>0.5</v>
      </c>
      <c r="T46" s="245">
        <f t="shared" si="58"/>
        <v>164.99999999999994</v>
      </c>
      <c r="U46" s="245">
        <f t="shared" si="59"/>
        <v>224.99999999999994</v>
      </c>
      <c r="V46" s="247">
        <v>46147</v>
      </c>
      <c r="AN46" s="235">
        <f t="shared" si="60"/>
        <v>5</v>
      </c>
      <c r="AO46" s="235">
        <f t="shared" si="61"/>
        <v>2026</v>
      </c>
    </row>
    <row r="47" spans="1:41" ht="15.75" x14ac:dyDescent="0.25">
      <c r="A47" s="236"/>
      <c r="B47" s="237" t="s">
        <v>281</v>
      </c>
      <c r="C47" s="238">
        <v>40</v>
      </c>
      <c r="D47" s="239" t="s">
        <v>4</v>
      </c>
      <c r="E47" s="240">
        <v>2.75</v>
      </c>
      <c r="F47" s="240">
        <v>4.28</v>
      </c>
      <c r="G47" s="240"/>
      <c r="H47" s="241">
        <f t="shared" si="54"/>
        <v>7.03</v>
      </c>
      <c r="I47" s="242"/>
      <c r="J47" s="243"/>
      <c r="K47" s="243"/>
      <c r="L47" s="244">
        <v>0.1</v>
      </c>
      <c r="M47" s="244">
        <f t="shared" si="55"/>
        <v>4</v>
      </c>
      <c r="N47" s="244">
        <v>3.67</v>
      </c>
      <c r="O47" s="244">
        <v>4.28</v>
      </c>
      <c r="P47" s="244"/>
      <c r="Q47" s="245">
        <f t="shared" si="56"/>
        <v>7.95</v>
      </c>
      <c r="R47" s="245">
        <f t="shared" si="57"/>
        <v>0.91999999999999993</v>
      </c>
      <c r="S47" s="246">
        <v>0.5</v>
      </c>
      <c r="T47" s="245">
        <f t="shared" si="58"/>
        <v>18.399999999999999</v>
      </c>
      <c r="U47" s="245">
        <f t="shared" si="59"/>
        <v>22.4</v>
      </c>
      <c r="V47" s="247">
        <v>46249</v>
      </c>
      <c r="AN47" s="235">
        <f t="shared" si="60"/>
        <v>8</v>
      </c>
      <c r="AO47" s="235">
        <f t="shared" si="61"/>
        <v>2026</v>
      </c>
    </row>
    <row r="48" spans="1:41" ht="15.75" x14ac:dyDescent="0.25">
      <c r="A48" s="236"/>
      <c r="B48" s="237" t="s">
        <v>281</v>
      </c>
      <c r="C48" s="238">
        <v>30</v>
      </c>
      <c r="D48" s="239" t="s">
        <v>4</v>
      </c>
      <c r="E48" s="240"/>
      <c r="F48" s="240">
        <v>5.2</v>
      </c>
      <c r="G48" s="240"/>
      <c r="H48" s="241">
        <f t="shared" si="54"/>
        <v>5.2</v>
      </c>
      <c r="I48" s="242"/>
      <c r="J48" s="243"/>
      <c r="K48" s="243"/>
      <c r="L48" s="244">
        <v>0.1</v>
      </c>
      <c r="M48" s="244">
        <f t="shared" si="55"/>
        <v>3</v>
      </c>
      <c r="N48" s="244"/>
      <c r="O48" s="244">
        <v>6.2</v>
      </c>
      <c r="P48" s="244"/>
      <c r="Q48" s="245">
        <f t="shared" si="56"/>
        <v>6.2</v>
      </c>
      <c r="R48" s="245">
        <f t="shared" si="57"/>
        <v>1</v>
      </c>
      <c r="S48" s="246">
        <v>0.5</v>
      </c>
      <c r="T48" s="245">
        <f t="shared" si="58"/>
        <v>15</v>
      </c>
      <c r="U48" s="245">
        <f t="shared" si="59"/>
        <v>18</v>
      </c>
      <c r="V48" s="247">
        <v>46157</v>
      </c>
      <c r="AN48" s="235">
        <f t="shared" si="60"/>
        <v>5</v>
      </c>
      <c r="AO48" s="235">
        <f t="shared" si="61"/>
        <v>2026</v>
      </c>
    </row>
    <row r="49" spans="1:41" ht="15.75" x14ac:dyDescent="0.25">
      <c r="A49" s="236"/>
      <c r="B49" s="237" t="s">
        <v>281</v>
      </c>
      <c r="C49" s="238">
        <v>1000</v>
      </c>
      <c r="D49" s="239" t="s">
        <v>6</v>
      </c>
      <c r="E49" s="240">
        <v>1.1599999999999999</v>
      </c>
      <c r="F49" s="240">
        <v>12.05</v>
      </c>
      <c r="G49" s="240"/>
      <c r="H49" s="241">
        <f t="shared" si="54"/>
        <v>13.21</v>
      </c>
      <c r="I49" s="242"/>
      <c r="J49" s="243"/>
      <c r="K49" s="243"/>
      <c r="L49" s="244">
        <v>0.1</v>
      </c>
      <c r="M49" s="244">
        <f t="shared" si="55"/>
        <v>100</v>
      </c>
      <c r="N49" s="244">
        <v>2.2799999999999998</v>
      </c>
      <c r="O49" s="244">
        <v>12.05</v>
      </c>
      <c r="P49" s="244"/>
      <c r="Q49" s="245">
        <f t="shared" si="56"/>
        <v>14.33</v>
      </c>
      <c r="R49" s="245">
        <f t="shared" si="57"/>
        <v>1.1199999999999992</v>
      </c>
      <c r="S49" s="246">
        <v>0.5</v>
      </c>
      <c r="T49" s="245">
        <f t="shared" si="58"/>
        <v>559.99999999999966</v>
      </c>
      <c r="U49" s="245">
        <f t="shared" si="59"/>
        <v>659.99999999999966</v>
      </c>
      <c r="V49" s="247">
        <v>46185</v>
      </c>
      <c r="AN49" s="235">
        <f t="shared" si="60"/>
        <v>6</v>
      </c>
      <c r="AO49" s="235">
        <f t="shared" si="61"/>
        <v>2026</v>
      </c>
    </row>
    <row r="50" spans="1:41" ht="15.75" x14ac:dyDescent="0.25">
      <c r="A50" s="236"/>
      <c r="B50" s="237" t="s">
        <v>281</v>
      </c>
      <c r="C50" s="238">
        <v>20</v>
      </c>
      <c r="D50" s="239" t="s">
        <v>4</v>
      </c>
      <c r="E50" s="240"/>
      <c r="F50" s="240">
        <v>5.2</v>
      </c>
      <c r="G50" s="240"/>
      <c r="H50" s="241">
        <f t="shared" si="54"/>
        <v>5.2</v>
      </c>
      <c r="I50" s="242"/>
      <c r="J50" s="243"/>
      <c r="K50" s="243"/>
      <c r="L50" s="244">
        <v>0.1</v>
      </c>
      <c r="M50" s="244">
        <f t="shared" si="55"/>
        <v>2</v>
      </c>
      <c r="N50" s="244"/>
      <c r="O50" s="244">
        <v>6.3</v>
      </c>
      <c r="P50" s="244"/>
      <c r="Q50" s="245">
        <f t="shared" si="56"/>
        <v>6.3</v>
      </c>
      <c r="R50" s="245">
        <f t="shared" si="57"/>
        <v>1.0999999999999996</v>
      </c>
      <c r="S50" s="246">
        <v>0.5</v>
      </c>
      <c r="T50" s="245">
        <f t="shared" si="58"/>
        <v>10.999999999999996</v>
      </c>
      <c r="U50" s="245">
        <f t="shared" si="59"/>
        <v>12.999999999999996</v>
      </c>
      <c r="V50" s="247">
        <v>46147</v>
      </c>
      <c r="AN50" s="235">
        <f t="shared" si="60"/>
        <v>5</v>
      </c>
      <c r="AO50" s="235">
        <f t="shared" si="61"/>
        <v>2026</v>
      </c>
    </row>
    <row r="51" spans="1:41" ht="15.75" x14ac:dyDescent="0.25">
      <c r="A51" s="236"/>
      <c r="B51" s="237" t="s">
        <v>281</v>
      </c>
      <c r="C51" s="238">
        <v>170</v>
      </c>
      <c r="D51" s="239" t="s">
        <v>4</v>
      </c>
      <c r="E51" s="240"/>
      <c r="F51" s="240">
        <v>5.2</v>
      </c>
      <c r="G51" s="240"/>
      <c r="H51" s="241">
        <f t="shared" si="54"/>
        <v>5.2</v>
      </c>
      <c r="I51" s="242"/>
      <c r="J51" s="243"/>
      <c r="K51" s="243"/>
      <c r="L51" s="244">
        <v>0.1</v>
      </c>
      <c r="M51" s="244">
        <f t="shared" si="55"/>
        <v>17</v>
      </c>
      <c r="N51" s="244"/>
      <c r="O51" s="244">
        <v>6.3</v>
      </c>
      <c r="P51" s="244"/>
      <c r="Q51" s="245">
        <f t="shared" si="56"/>
        <v>6.3</v>
      </c>
      <c r="R51" s="245">
        <f t="shared" si="57"/>
        <v>1.0999999999999996</v>
      </c>
      <c r="S51" s="246">
        <v>0.5</v>
      </c>
      <c r="T51" s="245">
        <f t="shared" si="58"/>
        <v>93.499999999999972</v>
      </c>
      <c r="U51" s="245">
        <f t="shared" si="59"/>
        <v>110.49999999999997</v>
      </c>
      <c r="V51" s="247">
        <v>46147</v>
      </c>
      <c r="AN51" s="235">
        <f t="shared" si="60"/>
        <v>5</v>
      </c>
      <c r="AO51" s="235">
        <f t="shared" si="61"/>
        <v>2026</v>
      </c>
    </row>
    <row r="52" spans="1:41" ht="15.75" x14ac:dyDescent="0.25">
      <c r="A52" s="236"/>
      <c r="B52" s="237" t="s">
        <v>281</v>
      </c>
      <c r="C52" s="238">
        <v>30</v>
      </c>
      <c r="D52" s="239" t="s">
        <v>4</v>
      </c>
      <c r="E52" s="240"/>
      <c r="F52" s="240">
        <v>5.2</v>
      </c>
      <c r="G52" s="240"/>
      <c r="H52" s="241">
        <f t="shared" si="54"/>
        <v>5.2</v>
      </c>
      <c r="I52" s="242"/>
      <c r="J52" s="243"/>
      <c r="K52" s="243"/>
      <c r="L52" s="244">
        <v>0.1</v>
      </c>
      <c r="M52" s="244">
        <f t="shared" si="55"/>
        <v>3</v>
      </c>
      <c r="N52" s="244"/>
      <c r="O52" s="244">
        <v>6.3</v>
      </c>
      <c r="P52" s="244"/>
      <c r="Q52" s="245">
        <f t="shared" si="56"/>
        <v>6.3</v>
      </c>
      <c r="R52" s="245">
        <f t="shared" si="57"/>
        <v>1.0999999999999996</v>
      </c>
      <c r="S52" s="246">
        <v>0.5</v>
      </c>
      <c r="T52" s="245">
        <f t="shared" si="58"/>
        <v>16.499999999999993</v>
      </c>
      <c r="U52" s="245">
        <f t="shared" si="59"/>
        <v>19.499999999999993</v>
      </c>
      <c r="V52" s="247">
        <v>46147</v>
      </c>
      <c r="AN52" s="235">
        <f t="shared" si="60"/>
        <v>5</v>
      </c>
      <c r="AO52" s="235">
        <f t="shared" si="61"/>
        <v>2026</v>
      </c>
    </row>
    <row r="53" spans="1:41" ht="15.75" x14ac:dyDescent="0.25">
      <c r="A53" s="236"/>
      <c r="B53" s="237" t="s">
        <v>323</v>
      </c>
      <c r="C53" s="238">
        <v>60</v>
      </c>
      <c r="D53" s="239" t="s">
        <v>6</v>
      </c>
      <c r="E53" s="240">
        <v>1.1000000000000001</v>
      </c>
      <c r="F53" s="240">
        <v>11.69</v>
      </c>
      <c r="G53" s="240"/>
      <c r="H53" s="241">
        <f t="shared" si="54"/>
        <v>12.79</v>
      </c>
      <c r="I53" s="242"/>
      <c r="J53" s="243"/>
      <c r="K53" s="243"/>
      <c r="L53" s="244">
        <v>0.1</v>
      </c>
      <c r="M53" s="244">
        <f t="shared" si="55"/>
        <v>6</v>
      </c>
      <c r="N53" s="244">
        <v>2.94</v>
      </c>
      <c r="O53" s="244">
        <v>11.69</v>
      </c>
      <c r="P53" s="244"/>
      <c r="Q53" s="245">
        <f t="shared" si="56"/>
        <v>14.629999999999999</v>
      </c>
      <c r="R53" s="245">
        <f t="shared" si="57"/>
        <v>1.8399999999999999</v>
      </c>
      <c r="S53" s="246">
        <v>0.5</v>
      </c>
      <c r="T53" s="245">
        <f t="shared" si="58"/>
        <v>55.199999999999996</v>
      </c>
      <c r="U53" s="245">
        <f t="shared" si="59"/>
        <v>61.199999999999996</v>
      </c>
      <c r="V53" s="247">
        <v>46150</v>
      </c>
      <c r="AN53" s="235">
        <f t="shared" si="60"/>
        <v>5</v>
      </c>
      <c r="AO53" s="235">
        <f t="shared" si="61"/>
        <v>2026</v>
      </c>
    </row>
    <row r="54" spans="1:41" ht="15.75" x14ac:dyDescent="0.25">
      <c r="A54" s="236" t="s">
        <v>348</v>
      </c>
      <c r="B54" s="402" t="s">
        <v>346</v>
      </c>
      <c r="C54" s="403">
        <v>82.98</v>
      </c>
      <c r="D54" s="239" t="s">
        <v>6</v>
      </c>
      <c r="E54" s="240">
        <v>1.0900000000000001</v>
      </c>
      <c r="F54" s="240">
        <v>11.69</v>
      </c>
      <c r="G54" s="240"/>
      <c r="H54" s="241">
        <f t="shared" si="54"/>
        <v>12.78</v>
      </c>
      <c r="I54" s="242"/>
      <c r="J54" s="243"/>
      <c r="K54" s="243"/>
      <c r="L54" s="244">
        <v>0.1</v>
      </c>
      <c r="M54" s="244">
        <f t="shared" si="55"/>
        <v>8.298</v>
      </c>
      <c r="N54" s="244">
        <v>1.85</v>
      </c>
      <c r="O54" s="244">
        <v>11.69</v>
      </c>
      <c r="P54" s="244"/>
      <c r="Q54" s="245">
        <f t="shared" si="56"/>
        <v>13.54</v>
      </c>
      <c r="R54" s="245">
        <f t="shared" si="57"/>
        <v>0.75999999999999979</v>
      </c>
      <c r="S54" s="246">
        <v>0.5</v>
      </c>
      <c r="T54" s="245">
        <f t="shared" si="58"/>
        <v>31.532399999999992</v>
      </c>
      <c r="U54" s="404">
        <f t="shared" si="59"/>
        <v>39.83039999999999</v>
      </c>
      <c r="V54" s="247"/>
      <c r="Y54" s="235" t="s">
        <v>349</v>
      </c>
      <c r="AN54" s="235">
        <f t="shared" si="60"/>
        <v>0</v>
      </c>
      <c r="AO54" s="235">
        <f t="shared" si="61"/>
        <v>0</v>
      </c>
    </row>
    <row r="55" spans="1:41" ht="15.75" x14ac:dyDescent="0.25">
      <c r="A55" s="236" t="s">
        <v>348</v>
      </c>
      <c r="B55" s="402" t="s">
        <v>346</v>
      </c>
      <c r="C55" s="403">
        <v>81.98</v>
      </c>
      <c r="D55" s="239" t="s">
        <v>6</v>
      </c>
      <c r="E55" s="240">
        <v>1.04</v>
      </c>
      <c r="F55" s="240">
        <v>11.69</v>
      </c>
      <c r="G55" s="240"/>
      <c r="H55" s="241">
        <f t="shared" si="54"/>
        <v>12.73</v>
      </c>
      <c r="I55" s="242"/>
      <c r="J55" s="243"/>
      <c r="K55" s="243"/>
      <c r="L55" s="244">
        <v>0.1</v>
      </c>
      <c r="M55" s="244">
        <f t="shared" si="55"/>
        <v>8.1980000000000004</v>
      </c>
      <c r="N55" s="244">
        <v>1.85</v>
      </c>
      <c r="O55" s="244">
        <v>11.69</v>
      </c>
      <c r="P55" s="244"/>
      <c r="Q55" s="245">
        <f t="shared" si="56"/>
        <v>13.54</v>
      </c>
      <c r="R55" s="245">
        <f t="shared" si="57"/>
        <v>0.80999999999999872</v>
      </c>
      <c r="S55" s="246">
        <v>0.5</v>
      </c>
      <c r="T55" s="245">
        <f t="shared" si="58"/>
        <v>33.201899999999952</v>
      </c>
      <c r="U55" s="404">
        <f t="shared" si="59"/>
        <v>41.399899999999953</v>
      </c>
      <c r="V55" s="247"/>
      <c r="Y55" s="235" t="s">
        <v>349</v>
      </c>
      <c r="AN55" s="235">
        <f t="shared" si="60"/>
        <v>0</v>
      </c>
      <c r="AO55" s="235">
        <f t="shared" si="61"/>
        <v>0</v>
      </c>
    </row>
    <row r="56" spans="1:41" ht="15.75" x14ac:dyDescent="0.25">
      <c r="A56" s="236"/>
      <c r="B56" s="237" t="s">
        <v>281</v>
      </c>
      <c r="C56" s="238">
        <v>30</v>
      </c>
      <c r="D56" s="239" t="s">
        <v>6</v>
      </c>
      <c r="E56" s="240">
        <v>1.1299999999999999</v>
      </c>
      <c r="F56" s="240">
        <v>11.69</v>
      </c>
      <c r="G56" s="240"/>
      <c r="H56" s="241">
        <f t="shared" si="54"/>
        <v>12.82</v>
      </c>
      <c r="I56" s="242"/>
      <c r="J56" s="243"/>
      <c r="K56" s="243"/>
      <c r="L56" s="244">
        <v>0.1</v>
      </c>
      <c r="M56" s="244">
        <f t="shared" si="55"/>
        <v>3</v>
      </c>
      <c r="N56" s="244">
        <v>2.71</v>
      </c>
      <c r="O56" s="244">
        <v>11.69</v>
      </c>
      <c r="P56" s="244"/>
      <c r="Q56" s="245">
        <f t="shared" si="56"/>
        <v>14.399999999999999</v>
      </c>
      <c r="R56" s="245">
        <f t="shared" si="57"/>
        <v>1.5799999999999983</v>
      </c>
      <c r="S56" s="246">
        <v>0.5</v>
      </c>
      <c r="T56" s="245">
        <f t="shared" si="58"/>
        <v>23.699999999999974</v>
      </c>
      <c r="U56" s="245">
        <f t="shared" si="59"/>
        <v>26.699999999999974</v>
      </c>
      <c r="V56" s="247">
        <v>46178</v>
      </c>
      <c r="AN56" s="235">
        <f t="shared" si="60"/>
        <v>6</v>
      </c>
      <c r="AO56" s="235">
        <f t="shared" si="61"/>
        <v>2026</v>
      </c>
    </row>
    <row r="57" spans="1:41" ht="15.75" x14ac:dyDescent="0.25">
      <c r="A57" s="236"/>
      <c r="B57" s="237" t="s">
        <v>302</v>
      </c>
      <c r="C57" s="238">
        <v>500</v>
      </c>
      <c r="D57" s="239" t="s">
        <v>4</v>
      </c>
      <c r="E57" s="240"/>
      <c r="F57" s="240">
        <v>5.9</v>
      </c>
      <c r="G57" s="240">
        <v>0.05</v>
      </c>
      <c r="H57" s="241">
        <f t="shared" si="54"/>
        <v>5.95</v>
      </c>
      <c r="I57" s="242"/>
      <c r="J57" s="243"/>
      <c r="K57" s="243"/>
      <c r="L57" s="244">
        <v>0.1</v>
      </c>
      <c r="M57" s="244">
        <f t="shared" si="55"/>
        <v>50</v>
      </c>
      <c r="N57" s="244"/>
      <c r="O57" s="244">
        <v>6.55</v>
      </c>
      <c r="P57" s="244">
        <v>0.05</v>
      </c>
      <c r="Q57" s="245">
        <f t="shared" si="56"/>
        <v>6.6</v>
      </c>
      <c r="R57" s="245">
        <f t="shared" si="57"/>
        <v>0.64999999999999947</v>
      </c>
      <c r="S57" s="246">
        <v>0.5</v>
      </c>
      <c r="T57" s="245">
        <f t="shared" si="58"/>
        <v>162.49999999999986</v>
      </c>
      <c r="U57" s="245">
        <f t="shared" si="59"/>
        <v>212.49999999999986</v>
      </c>
      <c r="V57" s="247"/>
      <c r="AN57" s="235">
        <f t="shared" si="60"/>
        <v>0</v>
      </c>
      <c r="AO57" s="235">
        <f t="shared" si="61"/>
        <v>0</v>
      </c>
    </row>
    <row r="58" spans="1:41" ht="15.75" x14ac:dyDescent="0.25">
      <c r="A58" s="236"/>
      <c r="B58" s="237" t="s">
        <v>302</v>
      </c>
      <c r="C58" s="238">
        <v>1000</v>
      </c>
      <c r="D58" s="239" t="s">
        <v>4</v>
      </c>
      <c r="E58" s="240"/>
      <c r="F58" s="240">
        <v>5.9</v>
      </c>
      <c r="G58" s="240">
        <v>0.05</v>
      </c>
      <c r="H58" s="241">
        <f t="shared" si="54"/>
        <v>5.95</v>
      </c>
      <c r="I58" s="242"/>
      <c r="J58" s="243"/>
      <c r="K58" s="243"/>
      <c r="L58" s="244">
        <v>0.1</v>
      </c>
      <c r="M58" s="244">
        <f t="shared" si="55"/>
        <v>100</v>
      </c>
      <c r="N58" s="244"/>
      <c r="O58" s="244">
        <v>6.55</v>
      </c>
      <c r="P58" s="244"/>
      <c r="Q58" s="245">
        <f t="shared" si="56"/>
        <v>6.55</v>
      </c>
      <c r="R58" s="245">
        <f t="shared" si="57"/>
        <v>0.59999999999999964</v>
      </c>
      <c r="S58" s="246">
        <v>0.5</v>
      </c>
      <c r="T58" s="245">
        <f t="shared" si="58"/>
        <v>299.99999999999983</v>
      </c>
      <c r="U58" s="245">
        <f t="shared" si="59"/>
        <v>399.99999999999983</v>
      </c>
      <c r="V58" s="247"/>
      <c r="AN58" s="235">
        <f t="shared" si="60"/>
        <v>0</v>
      </c>
      <c r="AO58" s="235">
        <f t="shared" si="61"/>
        <v>0</v>
      </c>
    </row>
    <row r="59" spans="1:41" ht="15.75" x14ac:dyDescent="0.25">
      <c r="A59" s="236"/>
      <c r="B59" s="237" t="s">
        <v>268</v>
      </c>
      <c r="C59" s="238">
        <v>200</v>
      </c>
      <c r="D59" s="239" t="s">
        <v>6</v>
      </c>
      <c r="E59" s="240"/>
      <c r="F59" s="240">
        <v>5.2</v>
      </c>
      <c r="G59" s="240">
        <v>0.1</v>
      </c>
      <c r="H59" s="241">
        <f t="shared" si="54"/>
        <v>5.3</v>
      </c>
      <c r="I59" s="242"/>
      <c r="J59" s="243"/>
      <c r="K59" s="243"/>
      <c r="L59" s="244">
        <v>0.1</v>
      </c>
      <c r="M59" s="244">
        <f t="shared" si="55"/>
        <v>20</v>
      </c>
      <c r="N59" s="244"/>
      <c r="O59" s="244">
        <v>5.75</v>
      </c>
      <c r="P59" s="244">
        <v>0.1</v>
      </c>
      <c r="Q59" s="245">
        <f t="shared" si="56"/>
        <v>5.85</v>
      </c>
      <c r="R59" s="245">
        <f t="shared" si="57"/>
        <v>0.54999999999999982</v>
      </c>
      <c r="S59" s="246">
        <v>0.5</v>
      </c>
      <c r="T59" s="245">
        <f t="shared" si="58"/>
        <v>54.999999999999986</v>
      </c>
      <c r="U59" s="245">
        <f t="shared" si="59"/>
        <v>74.999999999999986</v>
      </c>
      <c r="V59" s="247">
        <v>46156</v>
      </c>
      <c r="AN59" s="235">
        <f t="shared" si="60"/>
        <v>5</v>
      </c>
      <c r="AO59" s="235">
        <f t="shared" si="61"/>
        <v>2026</v>
      </c>
    </row>
    <row r="60" spans="1:41" ht="15.75" x14ac:dyDescent="0.25">
      <c r="A60" s="236"/>
      <c r="B60" s="237" t="s">
        <v>268</v>
      </c>
      <c r="C60" s="238">
        <v>200</v>
      </c>
      <c r="D60" s="239" t="s">
        <v>6</v>
      </c>
      <c r="E60" s="240"/>
      <c r="F60" s="240">
        <v>5.2</v>
      </c>
      <c r="G60" s="240">
        <v>0.1</v>
      </c>
      <c r="H60" s="241">
        <f t="shared" si="54"/>
        <v>5.3</v>
      </c>
      <c r="I60" s="242"/>
      <c r="J60" s="243"/>
      <c r="K60" s="243"/>
      <c r="L60" s="244">
        <v>0.1</v>
      </c>
      <c r="M60" s="244">
        <f t="shared" si="55"/>
        <v>20</v>
      </c>
      <c r="N60" s="244"/>
      <c r="O60" s="244">
        <v>5.75</v>
      </c>
      <c r="P60" s="244">
        <v>0.1</v>
      </c>
      <c r="Q60" s="245">
        <f t="shared" si="56"/>
        <v>5.85</v>
      </c>
      <c r="R60" s="245">
        <f t="shared" si="57"/>
        <v>0.54999999999999982</v>
      </c>
      <c r="S60" s="246">
        <v>0.5</v>
      </c>
      <c r="T60" s="245">
        <f t="shared" si="58"/>
        <v>54.999999999999986</v>
      </c>
      <c r="U60" s="245">
        <f t="shared" si="59"/>
        <v>74.999999999999986</v>
      </c>
      <c r="V60" s="247">
        <v>46178</v>
      </c>
      <c r="AN60" s="235">
        <f t="shared" si="60"/>
        <v>6</v>
      </c>
      <c r="AO60" s="235">
        <f t="shared" si="61"/>
        <v>2026</v>
      </c>
    </row>
    <row r="61" spans="1:41" ht="15.75" x14ac:dyDescent="0.25">
      <c r="A61" s="236" t="s">
        <v>353</v>
      </c>
      <c r="B61" s="402" t="s">
        <v>255</v>
      </c>
      <c r="C61" s="403">
        <v>87.72</v>
      </c>
      <c r="D61" s="239" t="s">
        <v>4</v>
      </c>
      <c r="E61" s="240"/>
      <c r="F61" s="240">
        <v>5.2</v>
      </c>
      <c r="G61" s="240">
        <v>0.1</v>
      </c>
      <c r="H61" s="241">
        <f t="shared" si="54"/>
        <v>5.3</v>
      </c>
      <c r="I61" s="242"/>
      <c r="J61" s="243"/>
      <c r="K61" s="243"/>
      <c r="L61" s="244">
        <v>0.1</v>
      </c>
      <c r="M61" s="244">
        <f t="shared" si="55"/>
        <v>8.7720000000000002</v>
      </c>
      <c r="N61" s="244"/>
      <c r="O61" s="244">
        <v>5.75</v>
      </c>
      <c r="P61" s="244">
        <v>0.1</v>
      </c>
      <c r="Q61" s="245">
        <f t="shared" si="56"/>
        <v>5.85</v>
      </c>
      <c r="R61" s="245">
        <f t="shared" si="57"/>
        <v>0.54999999999999982</v>
      </c>
      <c r="S61" s="246">
        <v>0.5</v>
      </c>
      <c r="T61" s="245">
        <f t="shared" si="58"/>
        <v>24.12299999999999</v>
      </c>
      <c r="U61" s="404">
        <f t="shared" si="59"/>
        <v>32.894999999999989</v>
      </c>
      <c r="V61" s="247"/>
      <c r="Y61" s="235" t="s">
        <v>349</v>
      </c>
      <c r="AN61" s="235">
        <f t="shared" si="60"/>
        <v>0</v>
      </c>
      <c r="AO61" s="235">
        <f t="shared" si="61"/>
        <v>0</v>
      </c>
    </row>
    <row r="62" spans="1:41" ht="15.75" x14ac:dyDescent="0.25">
      <c r="A62" s="236" t="s">
        <v>353</v>
      </c>
      <c r="B62" s="402" t="s">
        <v>255</v>
      </c>
      <c r="C62" s="403">
        <v>1060.1500000000001</v>
      </c>
      <c r="D62" s="239" t="s">
        <v>4</v>
      </c>
      <c r="E62" s="240"/>
      <c r="F62" s="240">
        <v>5.2</v>
      </c>
      <c r="G62" s="240">
        <v>0.1</v>
      </c>
      <c r="H62" s="241">
        <f t="shared" si="54"/>
        <v>5.3</v>
      </c>
      <c r="I62" s="242"/>
      <c r="J62" s="243"/>
      <c r="K62" s="243"/>
      <c r="L62" s="244">
        <v>0.1</v>
      </c>
      <c r="M62" s="244">
        <f t="shared" si="55"/>
        <v>106.01500000000001</v>
      </c>
      <c r="N62" s="244"/>
      <c r="O62" s="244">
        <v>5.75</v>
      </c>
      <c r="P62" s="244">
        <v>0.1</v>
      </c>
      <c r="Q62" s="245">
        <f t="shared" si="56"/>
        <v>5.85</v>
      </c>
      <c r="R62" s="245">
        <f t="shared" si="57"/>
        <v>0.54999999999999982</v>
      </c>
      <c r="S62" s="246">
        <v>0.5</v>
      </c>
      <c r="T62" s="245">
        <f t="shared" si="58"/>
        <v>291.54124999999993</v>
      </c>
      <c r="U62" s="404">
        <f t="shared" si="59"/>
        <v>397.55624999999998</v>
      </c>
      <c r="V62" s="247"/>
      <c r="Y62" s="235" t="s">
        <v>349</v>
      </c>
      <c r="AN62" s="235">
        <f t="shared" si="60"/>
        <v>0</v>
      </c>
      <c r="AO62" s="235">
        <f t="shared" si="61"/>
        <v>0</v>
      </c>
    </row>
    <row r="63" spans="1:41" ht="15.75" x14ac:dyDescent="0.25">
      <c r="A63" s="236"/>
      <c r="B63" s="237" t="s">
        <v>262</v>
      </c>
      <c r="C63" s="238">
        <v>1400</v>
      </c>
      <c r="D63" s="239" t="s">
        <v>6</v>
      </c>
      <c r="E63" s="240">
        <v>1.1100000000000001</v>
      </c>
      <c r="F63" s="240">
        <v>11.8</v>
      </c>
      <c r="G63" s="240"/>
      <c r="H63" s="241">
        <f t="shared" si="54"/>
        <v>12.91</v>
      </c>
      <c r="I63" s="242"/>
      <c r="J63" s="243"/>
      <c r="K63" s="243"/>
      <c r="L63" s="244">
        <v>0.1</v>
      </c>
      <c r="M63" s="244">
        <f t="shared" si="55"/>
        <v>140</v>
      </c>
      <c r="N63" s="244">
        <v>1.2</v>
      </c>
      <c r="O63" s="244">
        <v>11.8</v>
      </c>
      <c r="P63" s="244"/>
      <c r="Q63" s="245">
        <f t="shared" si="56"/>
        <v>13</v>
      </c>
      <c r="R63" s="245">
        <f t="shared" si="57"/>
        <v>8.9999999999999858E-2</v>
      </c>
      <c r="S63" s="246">
        <v>0.5</v>
      </c>
      <c r="T63" s="245">
        <f t="shared" si="58"/>
        <v>62.999999999999901</v>
      </c>
      <c r="U63" s="245">
        <f t="shared" si="59"/>
        <v>202.99999999999989</v>
      </c>
      <c r="V63" s="247">
        <v>46157</v>
      </c>
      <c r="AN63" s="235">
        <f t="shared" si="60"/>
        <v>5</v>
      </c>
      <c r="AO63" s="235">
        <f t="shared" si="61"/>
        <v>2026</v>
      </c>
    </row>
    <row r="64" spans="1:41" ht="15.75" x14ac:dyDescent="0.25">
      <c r="A64" s="236"/>
      <c r="B64" s="237" t="s">
        <v>262</v>
      </c>
      <c r="C64" s="238">
        <v>1300</v>
      </c>
      <c r="D64" s="239" t="s">
        <v>6</v>
      </c>
      <c r="E64" s="240">
        <v>1.1100000000000001</v>
      </c>
      <c r="F64" s="240">
        <v>11.8</v>
      </c>
      <c r="G64" s="240"/>
      <c r="H64" s="241">
        <f t="shared" si="54"/>
        <v>12.91</v>
      </c>
      <c r="I64" s="242"/>
      <c r="J64" s="243"/>
      <c r="K64" s="243"/>
      <c r="L64" s="244">
        <v>0.1</v>
      </c>
      <c r="M64" s="244">
        <f t="shared" si="55"/>
        <v>130</v>
      </c>
      <c r="N64" s="244">
        <v>1.2</v>
      </c>
      <c r="O64" s="244">
        <v>11.8</v>
      </c>
      <c r="P64" s="244"/>
      <c r="Q64" s="245">
        <f t="shared" si="56"/>
        <v>13</v>
      </c>
      <c r="R64" s="245">
        <f t="shared" si="57"/>
        <v>8.9999999999999858E-2</v>
      </c>
      <c r="S64" s="246">
        <v>0.5</v>
      </c>
      <c r="T64" s="245">
        <f t="shared" si="58"/>
        <v>58.499999999999908</v>
      </c>
      <c r="U64" s="245">
        <f t="shared" si="59"/>
        <v>188.49999999999991</v>
      </c>
      <c r="V64" s="247">
        <v>46188</v>
      </c>
      <c r="AN64" s="235">
        <f t="shared" si="60"/>
        <v>6</v>
      </c>
      <c r="AO64" s="235">
        <f t="shared" si="61"/>
        <v>2026</v>
      </c>
    </row>
    <row r="65" spans="1:41" ht="15.75" x14ac:dyDescent="0.25">
      <c r="A65" s="236"/>
      <c r="B65" s="237" t="s">
        <v>262</v>
      </c>
      <c r="C65" s="238">
        <v>120</v>
      </c>
      <c r="D65" s="239" t="s">
        <v>6</v>
      </c>
      <c r="E65" s="240">
        <v>1.1000000000000001</v>
      </c>
      <c r="F65" s="240">
        <v>11.8</v>
      </c>
      <c r="G65" s="240"/>
      <c r="H65" s="241">
        <f t="shared" si="54"/>
        <v>12.9</v>
      </c>
      <c r="I65" s="242"/>
      <c r="J65" s="243"/>
      <c r="K65" s="243"/>
      <c r="L65" s="244">
        <v>0.1</v>
      </c>
      <c r="M65" s="244">
        <f t="shared" si="55"/>
        <v>12</v>
      </c>
      <c r="N65" s="244">
        <v>1.2</v>
      </c>
      <c r="O65" s="244">
        <v>11.8</v>
      </c>
      <c r="P65" s="244"/>
      <c r="Q65" s="245">
        <f t="shared" si="56"/>
        <v>13</v>
      </c>
      <c r="R65" s="245">
        <f t="shared" si="57"/>
        <v>9.9999999999999645E-2</v>
      </c>
      <c r="S65" s="246">
        <v>0.5</v>
      </c>
      <c r="T65" s="245">
        <f t="shared" si="58"/>
        <v>5.9999999999999787</v>
      </c>
      <c r="U65" s="245">
        <f t="shared" si="59"/>
        <v>17.999999999999979</v>
      </c>
      <c r="V65" s="247">
        <v>46157</v>
      </c>
      <c r="AN65" s="235">
        <f t="shared" si="60"/>
        <v>5</v>
      </c>
      <c r="AO65" s="235">
        <f t="shared" si="61"/>
        <v>2026</v>
      </c>
    </row>
    <row r="66" spans="1:41" ht="15.75" x14ac:dyDescent="0.25">
      <c r="A66" s="236"/>
      <c r="B66" s="237" t="s">
        <v>262</v>
      </c>
      <c r="C66" s="238">
        <v>520</v>
      </c>
      <c r="D66" s="239" t="s">
        <v>6</v>
      </c>
      <c r="E66" s="240">
        <v>1.1000000000000001</v>
      </c>
      <c r="F66" s="240">
        <v>11.8</v>
      </c>
      <c r="G66" s="240"/>
      <c r="H66" s="241">
        <f t="shared" si="54"/>
        <v>12.9</v>
      </c>
      <c r="I66" s="242"/>
      <c r="J66" s="243"/>
      <c r="K66" s="243"/>
      <c r="L66" s="244">
        <v>0.1</v>
      </c>
      <c r="M66" s="244">
        <f t="shared" si="55"/>
        <v>52</v>
      </c>
      <c r="N66" s="244">
        <v>1.2</v>
      </c>
      <c r="O66" s="244">
        <v>11.8</v>
      </c>
      <c r="P66" s="244"/>
      <c r="Q66" s="245">
        <f t="shared" si="56"/>
        <v>13</v>
      </c>
      <c r="R66" s="245">
        <f t="shared" si="57"/>
        <v>9.9999999999999645E-2</v>
      </c>
      <c r="S66" s="246">
        <v>0.5</v>
      </c>
      <c r="T66" s="245">
        <f t="shared" si="58"/>
        <v>25.999999999999908</v>
      </c>
      <c r="U66" s="245">
        <f t="shared" si="59"/>
        <v>77.999999999999915</v>
      </c>
      <c r="V66" s="247">
        <v>46157</v>
      </c>
      <c r="AN66" s="235">
        <f t="shared" si="60"/>
        <v>5</v>
      </c>
      <c r="AO66" s="235">
        <f t="shared" si="61"/>
        <v>2026</v>
      </c>
    </row>
    <row r="67" spans="1:41" ht="15.75" x14ac:dyDescent="0.25">
      <c r="A67" s="236"/>
      <c r="B67" s="237" t="s">
        <v>262</v>
      </c>
      <c r="C67" s="238">
        <v>400</v>
      </c>
      <c r="D67" s="239" t="s">
        <v>6</v>
      </c>
      <c r="E67" s="240">
        <v>1.1599999999999999</v>
      </c>
      <c r="F67" s="240">
        <v>11.8</v>
      </c>
      <c r="G67" s="240"/>
      <c r="H67" s="241">
        <f t="shared" si="54"/>
        <v>12.96</v>
      </c>
      <c r="I67" s="242"/>
      <c r="J67" s="243"/>
      <c r="K67" s="243"/>
      <c r="L67" s="244">
        <v>0.1</v>
      </c>
      <c r="M67" s="244">
        <f t="shared" si="55"/>
        <v>40</v>
      </c>
      <c r="N67" s="244">
        <v>1.2</v>
      </c>
      <c r="O67" s="244">
        <v>11.8</v>
      </c>
      <c r="P67" s="244"/>
      <c r="Q67" s="245">
        <f t="shared" si="56"/>
        <v>13</v>
      </c>
      <c r="R67" s="245">
        <f t="shared" si="57"/>
        <v>3.9999999999999147E-2</v>
      </c>
      <c r="S67" s="246">
        <v>0.5</v>
      </c>
      <c r="T67" s="245">
        <f t="shared" si="58"/>
        <v>7.9999999999998295</v>
      </c>
      <c r="U67" s="245">
        <f t="shared" si="59"/>
        <v>47.999999999999829</v>
      </c>
      <c r="V67" s="247">
        <v>46157</v>
      </c>
      <c r="AN67" s="235">
        <f t="shared" si="60"/>
        <v>5</v>
      </c>
      <c r="AO67" s="235">
        <f t="shared" si="61"/>
        <v>2026</v>
      </c>
    </row>
    <row r="68" spans="1:41" ht="15.75" x14ac:dyDescent="0.25">
      <c r="A68" s="236"/>
      <c r="B68" s="237" t="s">
        <v>262</v>
      </c>
      <c r="C68" s="238">
        <v>350</v>
      </c>
      <c r="D68" s="239" t="s">
        <v>6</v>
      </c>
      <c r="E68" s="240">
        <v>1.1599999999999999</v>
      </c>
      <c r="F68" s="240">
        <v>11.8</v>
      </c>
      <c r="G68" s="240"/>
      <c r="H68" s="241">
        <f t="shared" si="54"/>
        <v>12.96</v>
      </c>
      <c r="I68" s="242"/>
      <c r="J68" s="243"/>
      <c r="K68" s="243"/>
      <c r="L68" s="244">
        <v>0.1</v>
      </c>
      <c r="M68" s="244">
        <f t="shared" si="55"/>
        <v>35</v>
      </c>
      <c r="N68" s="244">
        <v>1.2</v>
      </c>
      <c r="O68" s="244">
        <v>11.8</v>
      </c>
      <c r="P68" s="244"/>
      <c r="Q68" s="245">
        <f t="shared" si="56"/>
        <v>13</v>
      </c>
      <c r="R68" s="245">
        <f t="shared" si="57"/>
        <v>3.9999999999999147E-2</v>
      </c>
      <c r="S68" s="246">
        <v>0.5</v>
      </c>
      <c r="T68" s="245">
        <f t="shared" si="58"/>
        <v>6.9999999999998508</v>
      </c>
      <c r="U68" s="245">
        <f t="shared" si="59"/>
        <v>41.999999999999851</v>
      </c>
      <c r="V68" s="247">
        <v>46188</v>
      </c>
      <c r="AN68" s="235">
        <f t="shared" si="60"/>
        <v>6</v>
      </c>
      <c r="AO68" s="235">
        <f t="shared" si="61"/>
        <v>2026</v>
      </c>
    </row>
    <row r="69" spans="1:41" ht="15.75" x14ac:dyDescent="0.25">
      <c r="A69" s="236" t="s">
        <v>351</v>
      </c>
      <c r="B69" s="402" t="s">
        <v>307</v>
      </c>
      <c r="C69" s="403">
        <v>41.4</v>
      </c>
      <c r="D69" s="239" t="s">
        <v>6</v>
      </c>
      <c r="E69" s="240">
        <v>1.1000000000000001</v>
      </c>
      <c r="F69" s="240">
        <v>11.65</v>
      </c>
      <c r="G69" s="240"/>
      <c r="H69" s="241">
        <f t="shared" si="54"/>
        <v>12.75</v>
      </c>
      <c r="I69" s="242"/>
      <c r="J69" s="243"/>
      <c r="K69" s="243"/>
      <c r="L69" s="244">
        <v>0.1</v>
      </c>
      <c r="M69" s="244">
        <f t="shared" si="55"/>
        <v>4.1399999999999997</v>
      </c>
      <c r="N69" s="244">
        <v>1.36</v>
      </c>
      <c r="O69" s="244">
        <v>11.74</v>
      </c>
      <c r="P69" s="244"/>
      <c r="Q69" s="245">
        <f t="shared" si="56"/>
        <v>13.1</v>
      </c>
      <c r="R69" s="245">
        <f t="shared" si="57"/>
        <v>0.34999999999999964</v>
      </c>
      <c r="S69" s="246">
        <v>0.5</v>
      </c>
      <c r="T69" s="245">
        <f t="shared" si="58"/>
        <v>7.2449999999999921</v>
      </c>
      <c r="U69" s="404">
        <f t="shared" si="59"/>
        <v>11.384999999999991</v>
      </c>
      <c r="V69" s="247"/>
      <c r="Y69" s="235" t="s">
        <v>349</v>
      </c>
      <c r="AN69" s="235">
        <f t="shared" si="60"/>
        <v>0</v>
      </c>
      <c r="AO69" s="235">
        <f t="shared" si="61"/>
        <v>0</v>
      </c>
    </row>
    <row r="70" spans="1:41" ht="15.75" x14ac:dyDescent="0.25">
      <c r="A70" s="236" t="s">
        <v>351</v>
      </c>
      <c r="B70" s="402" t="s">
        <v>307</v>
      </c>
      <c r="C70" s="403">
        <v>293.10000000000002</v>
      </c>
      <c r="D70" s="239" t="s">
        <v>6</v>
      </c>
      <c r="E70" s="240">
        <v>1.1000000000000001</v>
      </c>
      <c r="F70" s="240">
        <v>11.74</v>
      </c>
      <c r="G70" s="240"/>
      <c r="H70" s="241">
        <f t="shared" si="54"/>
        <v>12.84</v>
      </c>
      <c r="I70" s="242"/>
      <c r="J70" s="243"/>
      <c r="K70" s="243"/>
      <c r="L70" s="244">
        <v>0.1</v>
      </c>
      <c r="M70" s="244">
        <f t="shared" si="55"/>
        <v>29.310000000000002</v>
      </c>
      <c r="N70" s="244">
        <v>1.36</v>
      </c>
      <c r="O70" s="244">
        <v>11.74</v>
      </c>
      <c r="P70" s="244"/>
      <c r="Q70" s="245">
        <f t="shared" si="56"/>
        <v>13.1</v>
      </c>
      <c r="R70" s="245">
        <f t="shared" si="57"/>
        <v>0.25999999999999979</v>
      </c>
      <c r="S70" s="246">
        <v>0.5</v>
      </c>
      <c r="T70" s="245">
        <f t="shared" si="58"/>
        <v>38.102999999999973</v>
      </c>
      <c r="U70" s="404">
        <f t="shared" si="59"/>
        <v>67.412999999999982</v>
      </c>
      <c r="V70" s="247"/>
      <c r="Y70" s="235" t="s">
        <v>349</v>
      </c>
      <c r="AN70" s="235">
        <f t="shared" si="60"/>
        <v>0</v>
      </c>
      <c r="AO70" s="235">
        <f t="shared" si="61"/>
        <v>0</v>
      </c>
    </row>
    <row r="71" spans="1:41" ht="15.75" x14ac:dyDescent="0.25">
      <c r="A71" s="236" t="s">
        <v>354</v>
      </c>
      <c r="B71" s="402" t="s">
        <v>255</v>
      </c>
      <c r="C71" s="403">
        <v>128.05000000000001</v>
      </c>
      <c r="D71" s="239" t="s">
        <v>6</v>
      </c>
      <c r="E71" s="240">
        <v>1.19</v>
      </c>
      <c r="F71" s="240"/>
      <c r="G71" s="240"/>
      <c r="H71" s="241">
        <f t="shared" si="54"/>
        <v>1.19</v>
      </c>
      <c r="I71" s="242"/>
      <c r="J71" s="243"/>
      <c r="K71" s="243"/>
      <c r="L71" s="244">
        <v>0.1</v>
      </c>
      <c r="M71" s="244">
        <f t="shared" si="55"/>
        <v>12.805000000000001</v>
      </c>
      <c r="N71" s="244">
        <v>1.42</v>
      </c>
      <c r="O71" s="244"/>
      <c r="P71" s="244"/>
      <c r="Q71" s="245">
        <f t="shared" si="56"/>
        <v>1.42</v>
      </c>
      <c r="R71" s="245">
        <f t="shared" si="57"/>
        <v>0.22999999999999998</v>
      </c>
      <c r="S71" s="246">
        <v>0.5</v>
      </c>
      <c r="T71" s="245">
        <f t="shared" si="58"/>
        <v>14.72575</v>
      </c>
      <c r="U71" s="404">
        <f t="shared" si="59"/>
        <v>27.530750000000001</v>
      </c>
      <c r="V71" s="247"/>
      <c r="Y71" s="235" t="s">
        <v>349</v>
      </c>
      <c r="AN71" s="235">
        <f t="shared" si="60"/>
        <v>0</v>
      </c>
      <c r="AO71" s="235">
        <f t="shared" si="61"/>
        <v>0</v>
      </c>
    </row>
    <row r="72" spans="1:41" ht="15.75" x14ac:dyDescent="0.25">
      <c r="A72" s="236" t="s">
        <v>354</v>
      </c>
      <c r="B72" s="402" t="s">
        <v>255</v>
      </c>
      <c r="C72" s="403">
        <v>342.3</v>
      </c>
      <c r="D72" s="239" t="s">
        <v>6</v>
      </c>
      <c r="E72" s="240">
        <v>1.1000000000000001</v>
      </c>
      <c r="F72" s="240"/>
      <c r="G72" s="240"/>
      <c r="H72" s="241">
        <f t="shared" si="54"/>
        <v>1.1000000000000001</v>
      </c>
      <c r="I72" s="242"/>
      <c r="J72" s="243"/>
      <c r="K72" s="243"/>
      <c r="L72" s="244">
        <v>0.1</v>
      </c>
      <c r="M72" s="244">
        <f t="shared" si="55"/>
        <v>34.230000000000004</v>
      </c>
      <c r="N72" s="244">
        <v>1.42</v>
      </c>
      <c r="O72" s="244"/>
      <c r="P72" s="244"/>
      <c r="Q72" s="245">
        <f t="shared" si="56"/>
        <v>1.42</v>
      </c>
      <c r="R72" s="245">
        <f t="shared" si="57"/>
        <v>0.31999999999999984</v>
      </c>
      <c r="S72" s="246">
        <v>0.5</v>
      </c>
      <c r="T72" s="245">
        <f t="shared" si="58"/>
        <v>54.767999999999972</v>
      </c>
      <c r="U72" s="404">
        <f t="shared" si="59"/>
        <v>88.997999999999976</v>
      </c>
      <c r="V72" s="247"/>
      <c r="Y72" s="235" t="s">
        <v>349</v>
      </c>
      <c r="AN72" s="235">
        <f t="shared" si="60"/>
        <v>0</v>
      </c>
      <c r="AO72" s="235">
        <f t="shared" si="61"/>
        <v>0</v>
      </c>
    </row>
    <row r="73" spans="1:41" ht="15.75" x14ac:dyDescent="0.25">
      <c r="A73" s="236" t="s">
        <v>354</v>
      </c>
      <c r="B73" s="402" t="s">
        <v>255</v>
      </c>
      <c r="C73" s="403">
        <v>167.3</v>
      </c>
      <c r="D73" s="239" t="s">
        <v>6</v>
      </c>
      <c r="E73" s="240">
        <v>1.1399999999999999</v>
      </c>
      <c r="F73" s="240"/>
      <c r="G73" s="240"/>
      <c r="H73" s="241">
        <f t="shared" si="54"/>
        <v>1.1399999999999999</v>
      </c>
      <c r="I73" s="242"/>
      <c r="J73" s="243"/>
      <c r="K73" s="243"/>
      <c r="L73" s="244">
        <v>0.1</v>
      </c>
      <c r="M73" s="244">
        <f t="shared" si="55"/>
        <v>16.73</v>
      </c>
      <c r="N73" s="244">
        <v>1.42</v>
      </c>
      <c r="O73" s="244"/>
      <c r="P73" s="244"/>
      <c r="Q73" s="245">
        <f t="shared" si="56"/>
        <v>1.42</v>
      </c>
      <c r="R73" s="245">
        <f t="shared" si="57"/>
        <v>0.28000000000000003</v>
      </c>
      <c r="S73" s="246">
        <v>0.5</v>
      </c>
      <c r="T73" s="245">
        <f t="shared" si="58"/>
        <v>23.422000000000004</v>
      </c>
      <c r="U73" s="404">
        <f t="shared" si="59"/>
        <v>40.152000000000001</v>
      </c>
      <c r="V73" s="247"/>
      <c r="Y73" s="235" t="s">
        <v>349</v>
      </c>
      <c r="AN73" s="235">
        <f t="shared" si="60"/>
        <v>0</v>
      </c>
      <c r="AO73" s="235">
        <f t="shared" si="61"/>
        <v>0</v>
      </c>
    </row>
    <row r="74" spans="1:41" ht="15.75" x14ac:dyDescent="0.25">
      <c r="A74" s="236"/>
      <c r="B74" s="237" t="s">
        <v>260</v>
      </c>
      <c r="C74" s="238">
        <v>50</v>
      </c>
      <c r="D74" s="239" t="s">
        <v>6</v>
      </c>
      <c r="E74" s="240">
        <v>1.1299999999999999</v>
      </c>
      <c r="F74" s="240">
        <v>11.74</v>
      </c>
      <c r="G74" s="240">
        <v>0.26</v>
      </c>
      <c r="H74" s="241">
        <f t="shared" si="54"/>
        <v>13.13</v>
      </c>
      <c r="I74" s="242"/>
      <c r="J74" s="243"/>
      <c r="K74" s="243"/>
      <c r="L74" s="244">
        <v>0.1</v>
      </c>
      <c r="M74" s="244">
        <f t="shared" si="55"/>
        <v>5</v>
      </c>
      <c r="N74" s="244">
        <v>1.44</v>
      </c>
      <c r="O74" s="244">
        <v>12.05</v>
      </c>
      <c r="P74" s="244">
        <v>0.15</v>
      </c>
      <c r="Q74" s="245">
        <f t="shared" si="56"/>
        <v>13.64</v>
      </c>
      <c r="R74" s="245">
        <f t="shared" si="57"/>
        <v>0.50999999999999979</v>
      </c>
      <c r="S74" s="246">
        <v>0.5</v>
      </c>
      <c r="T74" s="245">
        <f t="shared" si="58"/>
        <v>12.749999999999995</v>
      </c>
      <c r="U74" s="245">
        <f t="shared" si="59"/>
        <v>17.749999999999993</v>
      </c>
      <c r="V74" s="247"/>
      <c r="AN74" s="235">
        <f t="shared" si="60"/>
        <v>0</v>
      </c>
      <c r="AO74" s="235">
        <f t="shared" si="61"/>
        <v>0</v>
      </c>
    </row>
    <row r="75" spans="1:41" ht="15.75" x14ac:dyDescent="0.25">
      <c r="A75" s="236"/>
      <c r="B75" s="237" t="s">
        <v>260</v>
      </c>
      <c r="C75" s="238">
        <v>45</v>
      </c>
      <c r="D75" s="239" t="s">
        <v>6</v>
      </c>
      <c r="E75" s="240">
        <v>1.1399999999999999</v>
      </c>
      <c r="F75" s="240">
        <v>11.74</v>
      </c>
      <c r="G75" s="240">
        <v>0.26</v>
      </c>
      <c r="H75" s="241">
        <f t="shared" si="54"/>
        <v>13.14</v>
      </c>
      <c r="I75" s="242"/>
      <c r="J75" s="243"/>
      <c r="K75" s="243"/>
      <c r="L75" s="244">
        <v>0.1</v>
      </c>
      <c r="M75" s="244">
        <f t="shared" si="55"/>
        <v>4.5</v>
      </c>
      <c r="N75" s="244">
        <v>1.45</v>
      </c>
      <c r="O75" s="244">
        <v>12.05</v>
      </c>
      <c r="P75" s="244">
        <v>0.15</v>
      </c>
      <c r="Q75" s="245">
        <f t="shared" si="56"/>
        <v>13.65</v>
      </c>
      <c r="R75" s="245">
        <f t="shared" si="57"/>
        <v>0.50999999999999979</v>
      </c>
      <c r="S75" s="246">
        <v>0.5</v>
      </c>
      <c r="T75" s="245">
        <f t="shared" si="58"/>
        <v>11.474999999999994</v>
      </c>
      <c r="U75" s="245">
        <f t="shared" si="59"/>
        <v>15.974999999999994</v>
      </c>
      <c r="V75" s="247"/>
      <c r="AN75" s="235">
        <f t="shared" si="60"/>
        <v>0</v>
      </c>
      <c r="AO75" s="235">
        <f t="shared" si="61"/>
        <v>0</v>
      </c>
    </row>
    <row r="76" spans="1:41" ht="15.75" x14ac:dyDescent="0.25">
      <c r="A76" s="236"/>
      <c r="B76" s="237" t="s">
        <v>260</v>
      </c>
      <c r="C76" s="238">
        <v>100</v>
      </c>
      <c r="D76" s="239" t="s">
        <v>6</v>
      </c>
      <c r="E76" s="240">
        <v>1.1100000000000001</v>
      </c>
      <c r="F76" s="240">
        <v>11.74</v>
      </c>
      <c r="G76" s="240">
        <v>0.26</v>
      </c>
      <c r="H76" s="241">
        <f t="shared" si="54"/>
        <v>13.11</v>
      </c>
      <c r="I76" s="242"/>
      <c r="J76" s="243"/>
      <c r="K76" s="243"/>
      <c r="L76" s="244">
        <v>0.1</v>
      </c>
      <c r="M76" s="244">
        <f t="shared" si="55"/>
        <v>10</v>
      </c>
      <c r="N76" s="244">
        <v>1.44</v>
      </c>
      <c r="O76" s="244">
        <v>12.05</v>
      </c>
      <c r="P76" s="244">
        <v>0.15</v>
      </c>
      <c r="Q76" s="245">
        <f t="shared" si="56"/>
        <v>13.64</v>
      </c>
      <c r="R76" s="245">
        <f t="shared" si="57"/>
        <v>0.53000000000000114</v>
      </c>
      <c r="S76" s="246">
        <v>0.5</v>
      </c>
      <c r="T76" s="245">
        <f t="shared" si="58"/>
        <v>26.500000000000057</v>
      </c>
      <c r="U76" s="245">
        <f t="shared" si="59"/>
        <v>36.500000000000057</v>
      </c>
      <c r="V76" s="247"/>
      <c r="AN76" s="235">
        <f t="shared" si="60"/>
        <v>0</v>
      </c>
      <c r="AO76" s="235">
        <f t="shared" si="61"/>
        <v>0</v>
      </c>
    </row>
    <row r="77" spans="1:41" ht="15.75" x14ac:dyDescent="0.25">
      <c r="A77" s="236"/>
      <c r="B77" s="237" t="s">
        <v>350</v>
      </c>
      <c r="C77" s="238">
        <v>200</v>
      </c>
      <c r="D77" s="239" t="s">
        <v>6</v>
      </c>
      <c r="E77" s="240">
        <v>1.2</v>
      </c>
      <c r="F77" s="240">
        <v>11.74</v>
      </c>
      <c r="G77" s="240"/>
      <c r="H77" s="241">
        <f t="shared" si="54"/>
        <v>12.94</v>
      </c>
      <c r="I77" s="242"/>
      <c r="J77" s="243"/>
      <c r="K77" s="243"/>
      <c r="L77" s="244">
        <v>0.1</v>
      </c>
      <c r="M77" s="244">
        <f t="shared" si="55"/>
        <v>20</v>
      </c>
      <c r="N77" s="244">
        <v>1.63</v>
      </c>
      <c r="O77" s="244">
        <v>11.74</v>
      </c>
      <c r="P77" s="244"/>
      <c r="Q77" s="245">
        <f t="shared" si="56"/>
        <v>13.370000000000001</v>
      </c>
      <c r="R77" s="245">
        <f t="shared" si="57"/>
        <v>0.43000000000000149</v>
      </c>
      <c r="S77" s="246">
        <v>0.5</v>
      </c>
      <c r="T77" s="245">
        <f t="shared" si="58"/>
        <v>43.000000000000149</v>
      </c>
      <c r="U77" s="245">
        <f t="shared" si="59"/>
        <v>63.000000000000149</v>
      </c>
      <c r="V77" s="247"/>
      <c r="AN77" s="235">
        <f t="shared" si="60"/>
        <v>0</v>
      </c>
      <c r="AO77" s="235">
        <f t="shared" si="61"/>
        <v>0</v>
      </c>
    </row>
    <row r="78" spans="1:41" ht="15.75" x14ac:dyDescent="0.25">
      <c r="A78" s="236"/>
      <c r="B78" s="237" t="s">
        <v>350</v>
      </c>
      <c r="C78" s="238">
        <v>40</v>
      </c>
      <c r="D78" s="239" t="s">
        <v>6</v>
      </c>
      <c r="E78" s="240">
        <v>1.35</v>
      </c>
      <c r="F78" s="240">
        <v>11.74</v>
      </c>
      <c r="G78" s="240"/>
      <c r="H78" s="241">
        <f t="shared" si="54"/>
        <v>13.09</v>
      </c>
      <c r="I78" s="242"/>
      <c r="J78" s="243"/>
      <c r="K78" s="243"/>
      <c r="L78" s="244">
        <v>0.1</v>
      </c>
      <c r="M78" s="244">
        <f t="shared" si="55"/>
        <v>4</v>
      </c>
      <c r="N78" s="244">
        <v>1.75</v>
      </c>
      <c r="O78" s="244">
        <v>11.74</v>
      </c>
      <c r="P78" s="244"/>
      <c r="Q78" s="245">
        <f t="shared" si="56"/>
        <v>13.49</v>
      </c>
      <c r="R78" s="245">
        <f t="shared" si="57"/>
        <v>0.40000000000000036</v>
      </c>
      <c r="S78" s="246">
        <v>0.5</v>
      </c>
      <c r="T78" s="245">
        <f t="shared" si="58"/>
        <v>8.0000000000000071</v>
      </c>
      <c r="U78" s="245">
        <f t="shared" si="59"/>
        <v>12.000000000000007</v>
      </c>
      <c r="V78" s="247"/>
      <c r="AN78" s="235">
        <f t="shared" si="60"/>
        <v>0</v>
      </c>
      <c r="AO78" s="235">
        <f t="shared" si="61"/>
        <v>0</v>
      </c>
    </row>
    <row r="79" spans="1:41" ht="15.75" x14ac:dyDescent="0.25">
      <c r="A79" s="236"/>
      <c r="B79" s="237" t="s">
        <v>350</v>
      </c>
      <c r="C79" s="238">
        <v>40</v>
      </c>
      <c r="D79" s="239" t="s">
        <v>6</v>
      </c>
      <c r="E79" s="240">
        <v>2.02</v>
      </c>
      <c r="F79" s="240">
        <v>11.74</v>
      </c>
      <c r="G79" s="240"/>
      <c r="H79" s="241">
        <f t="shared" si="54"/>
        <v>13.76</v>
      </c>
      <c r="I79" s="242"/>
      <c r="J79" s="243"/>
      <c r="K79" s="243"/>
      <c r="L79" s="244">
        <v>0.1</v>
      </c>
      <c r="M79" s="244">
        <f t="shared" si="55"/>
        <v>4</v>
      </c>
      <c r="N79" s="244">
        <v>2.5299999999999998</v>
      </c>
      <c r="O79" s="244">
        <v>11.74</v>
      </c>
      <c r="P79" s="244"/>
      <c r="Q79" s="245">
        <f t="shared" si="56"/>
        <v>14.27</v>
      </c>
      <c r="R79" s="245">
        <f t="shared" si="57"/>
        <v>0.50999999999999979</v>
      </c>
      <c r="S79" s="246">
        <v>0.5</v>
      </c>
      <c r="T79" s="245">
        <f t="shared" si="58"/>
        <v>10.199999999999996</v>
      </c>
      <c r="U79" s="245">
        <f t="shared" si="59"/>
        <v>14.199999999999996</v>
      </c>
      <c r="V79" s="247"/>
      <c r="AN79" s="235">
        <f t="shared" si="60"/>
        <v>0</v>
      </c>
      <c r="AO79" s="235">
        <f t="shared" si="61"/>
        <v>0</v>
      </c>
    </row>
    <row r="80" spans="1:41" ht="15.75" x14ac:dyDescent="0.25">
      <c r="A80" s="236"/>
      <c r="B80" s="237" t="s">
        <v>102</v>
      </c>
      <c r="C80" s="238">
        <v>3000</v>
      </c>
      <c r="D80" s="239" t="s">
        <v>4</v>
      </c>
      <c r="E80" s="240"/>
      <c r="F80" s="240">
        <v>5.2</v>
      </c>
      <c r="G80" s="240">
        <v>0.05</v>
      </c>
      <c r="H80" s="241">
        <f t="shared" si="54"/>
        <v>5.25</v>
      </c>
      <c r="I80" s="242"/>
      <c r="J80" s="243"/>
      <c r="K80" s="243"/>
      <c r="L80" s="244">
        <v>0.1</v>
      </c>
      <c r="M80" s="244">
        <f t="shared" si="55"/>
        <v>300</v>
      </c>
      <c r="N80" s="244"/>
      <c r="O80" s="244">
        <v>5.65</v>
      </c>
      <c r="P80" s="244">
        <v>0.05</v>
      </c>
      <c r="Q80" s="245">
        <f t="shared" si="56"/>
        <v>5.7</v>
      </c>
      <c r="R80" s="245">
        <f t="shared" si="57"/>
        <v>0.45000000000000018</v>
      </c>
      <c r="S80" s="246">
        <v>0.5</v>
      </c>
      <c r="T80" s="245">
        <f t="shared" si="58"/>
        <v>675.00000000000023</v>
      </c>
      <c r="U80" s="245">
        <f t="shared" si="59"/>
        <v>975.00000000000023</v>
      </c>
      <c r="V80" s="247"/>
      <c r="AN80" s="235">
        <f t="shared" si="60"/>
        <v>0</v>
      </c>
      <c r="AO80" s="235">
        <f t="shared" si="61"/>
        <v>0</v>
      </c>
    </row>
    <row r="81" spans="1:41" ht="15.75" x14ac:dyDescent="0.25">
      <c r="A81" s="236"/>
      <c r="B81" s="237" t="s">
        <v>102</v>
      </c>
      <c r="C81" s="238">
        <v>3000</v>
      </c>
      <c r="D81" s="239" t="s">
        <v>4</v>
      </c>
      <c r="E81" s="240"/>
      <c r="F81" s="240">
        <v>5.2</v>
      </c>
      <c r="G81" s="240">
        <v>0.05</v>
      </c>
      <c r="H81" s="241">
        <f t="shared" si="54"/>
        <v>5.25</v>
      </c>
      <c r="I81" s="242"/>
      <c r="J81" s="243"/>
      <c r="K81" s="243"/>
      <c r="L81" s="244">
        <v>0.1</v>
      </c>
      <c r="M81" s="244">
        <f t="shared" si="55"/>
        <v>300</v>
      </c>
      <c r="N81" s="244"/>
      <c r="O81" s="244">
        <v>5.65</v>
      </c>
      <c r="P81" s="244">
        <v>0.05</v>
      </c>
      <c r="Q81" s="245">
        <f t="shared" si="56"/>
        <v>5.7</v>
      </c>
      <c r="R81" s="245">
        <f t="shared" si="57"/>
        <v>0.45000000000000018</v>
      </c>
      <c r="S81" s="246">
        <v>0.5</v>
      </c>
      <c r="T81" s="245">
        <f t="shared" si="58"/>
        <v>675.00000000000023</v>
      </c>
      <c r="U81" s="245">
        <f t="shared" si="59"/>
        <v>975.00000000000023</v>
      </c>
      <c r="V81" s="247"/>
      <c r="AN81" s="235">
        <f t="shared" si="60"/>
        <v>0</v>
      </c>
      <c r="AO81" s="235">
        <f t="shared" si="61"/>
        <v>0</v>
      </c>
    </row>
    <row r="82" spans="1:41" ht="15.75" x14ac:dyDescent="0.25">
      <c r="A82" s="236"/>
      <c r="B82" s="237" t="s">
        <v>307</v>
      </c>
      <c r="C82" s="238">
        <v>90</v>
      </c>
      <c r="D82" s="239" t="s">
        <v>4</v>
      </c>
      <c r="E82" s="240">
        <v>2.34</v>
      </c>
      <c r="F82" s="240">
        <v>4.2300000000000004</v>
      </c>
      <c r="G82" s="240"/>
      <c r="H82" s="241">
        <f t="shared" si="54"/>
        <v>6.57</v>
      </c>
      <c r="I82" s="242"/>
      <c r="J82" s="243"/>
      <c r="K82" s="243"/>
      <c r="L82" s="244">
        <v>0.1</v>
      </c>
      <c r="M82" s="244">
        <f t="shared" si="55"/>
        <v>9</v>
      </c>
      <c r="N82" s="244">
        <v>2.48</v>
      </c>
      <c r="O82" s="244">
        <v>4.2300000000000004</v>
      </c>
      <c r="P82" s="244"/>
      <c r="Q82" s="245">
        <f t="shared" si="56"/>
        <v>6.7100000000000009</v>
      </c>
      <c r="R82" s="245">
        <f t="shared" si="57"/>
        <v>0.14000000000000057</v>
      </c>
      <c r="S82" s="246">
        <v>0.5</v>
      </c>
      <c r="T82" s="245">
        <f t="shared" si="58"/>
        <v>6.3000000000000256</v>
      </c>
      <c r="U82" s="245">
        <f t="shared" si="59"/>
        <v>15.300000000000026</v>
      </c>
      <c r="V82" s="247"/>
      <c r="AN82" s="235">
        <f t="shared" si="60"/>
        <v>0</v>
      </c>
      <c r="AO82" s="235">
        <f t="shared" si="61"/>
        <v>0</v>
      </c>
    </row>
    <row r="83" spans="1:41" ht="15.75" x14ac:dyDescent="0.25">
      <c r="A83" s="236"/>
      <c r="B83" s="237" t="s">
        <v>307</v>
      </c>
      <c r="C83" s="238">
        <v>90</v>
      </c>
      <c r="D83" s="239" t="s">
        <v>6</v>
      </c>
      <c r="E83" s="240">
        <v>1.8</v>
      </c>
      <c r="F83" s="240">
        <v>11.74</v>
      </c>
      <c r="G83" s="240"/>
      <c r="H83" s="241">
        <f t="shared" si="54"/>
        <v>13.540000000000001</v>
      </c>
      <c r="I83" s="242"/>
      <c r="J83" s="243"/>
      <c r="K83" s="243"/>
      <c r="L83" s="244">
        <v>0.1</v>
      </c>
      <c r="M83" s="244">
        <f t="shared" si="55"/>
        <v>9</v>
      </c>
      <c r="N83" s="244">
        <v>2.33</v>
      </c>
      <c r="O83" s="244">
        <v>11.74</v>
      </c>
      <c r="P83" s="244"/>
      <c r="Q83" s="245">
        <f t="shared" si="56"/>
        <v>14.07</v>
      </c>
      <c r="R83" s="245">
        <f t="shared" si="57"/>
        <v>0.52999999999999936</v>
      </c>
      <c r="S83" s="246">
        <v>0.5</v>
      </c>
      <c r="T83" s="245">
        <f t="shared" si="58"/>
        <v>23.849999999999973</v>
      </c>
      <c r="U83" s="245">
        <f t="shared" si="59"/>
        <v>32.849999999999973</v>
      </c>
      <c r="V83" s="247"/>
      <c r="AN83" s="235">
        <f t="shared" si="60"/>
        <v>0</v>
      </c>
      <c r="AO83" s="235">
        <f t="shared" si="61"/>
        <v>0</v>
      </c>
    </row>
    <row r="84" spans="1:41" ht="15.75" x14ac:dyDescent="0.25">
      <c r="A84" s="236"/>
      <c r="B84" s="237" t="s">
        <v>357</v>
      </c>
      <c r="C84" s="238">
        <v>40</v>
      </c>
      <c r="D84" s="239" t="s">
        <v>6</v>
      </c>
      <c r="E84" s="240">
        <v>1.24</v>
      </c>
      <c r="F84" s="240">
        <v>11.74</v>
      </c>
      <c r="G84" s="240"/>
      <c r="H84" s="241">
        <f t="shared" si="54"/>
        <v>12.98</v>
      </c>
      <c r="I84" s="242"/>
      <c r="J84" s="243"/>
      <c r="K84" s="243"/>
      <c r="L84" s="244">
        <v>0.1</v>
      </c>
      <c r="M84" s="244">
        <f t="shared" si="55"/>
        <v>4</v>
      </c>
      <c r="N84" s="244">
        <v>1.54</v>
      </c>
      <c r="O84" s="244">
        <v>11.74</v>
      </c>
      <c r="P84" s="244"/>
      <c r="Q84" s="245">
        <f t="shared" si="56"/>
        <v>13.280000000000001</v>
      </c>
      <c r="R84" s="245">
        <f t="shared" si="57"/>
        <v>0.30000000000000071</v>
      </c>
      <c r="S84" s="246">
        <v>0.5</v>
      </c>
      <c r="T84" s="245">
        <f t="shared" si="58"/>
        <v>6.0000000000000142</v>
      </c>
      <c r="U84" s="245">
        <f t="shared" si="59"/>
        <v>10.000000000000014</v>
      </c>
      <c r="V84" s="247"/>
      <c r="AN84" s="235">
        <f t="shared" si="60"/>
        <v>0</v>
      </c>
      <c r="AO84" s="235">
        <f t="shared" si="61"/>
        <v>0</v>
      </c>
    </row>
    <row r="85" spans="1:41" ht="15.75" x14ac:dyDescent="0.25">
      <c r="A85" s="236"/>
      <c r="B85" s="237" t="s">
        <v>357</v>
      </c>
      <c r="C85" s="238">
        <v>40</v>
      </c>
      <c r="D85" s="239" t="s">
        <v>6</v>
      </c>
      <c r="E85" s="240">
        <v>1.21</v>
      </c>
      <c r="F85" s="240">
        <v>11.74</v>
      </c>
      <c r="G85" s="240"/>
      <c r="H85" s="241">
        <f t="shared" si="54"/>
        <v>12.95</v>
      </c>
      <c r="I85" s="242"/>
      <c r="J85" s="243"/>
      <c r="K85" s="243"/>
      <c r="L85" s="244">
        <v>0.1</v>
      </c>
      <c r="M85" s="244">
        <f t="shared" si="55"/>
        <v>4</v>
      </c>
      <c r="N85" s="244">
        <v>1.52</v>
      </c>
      <c r="O85" s="244">
        <v>11.74</v>
      </c>
      <c r="P85" s="244"/>
      <c r="Q85" s="245">
        <f t="shared" si="56"/>
        <v>13.26</v>
      </c>
      <c r="R85" s="245">
        <f t="shared" si="57"/>
        <v>0.3100000000000005</v>
      </c>
      <c r="S85" s="246">
        <v>0.5</v>
      </c>
      <c r="T85" s="245">
        <f t="shared" si="58"/>
        <v>6.2000000000000099</v>
      </c>
      <c r="U85" s="245">
        <f t="shared" si="59"/>
        <v>10.20000000000001</v>
      </c>
      <c r="V85" s="247"/>
      <c r="AN85" s="235">
        <f t="shared" si="60"/>
        <v>0</v>
      </c>
      <c r="AO85" s="235">
        <f t="shared" si="61"/>
        <v>0</v>
      </c>
    </row>
    <row r="86" spans="1:41" ht="15.75" x14ac:dyDescent="0.25">
      <c r="A86" s="236"/>
      <c r="B86" s="237" t="s">
        <v>357</v>
      </c>
      <c r="C86" s="238">
        <v>40</v>
      </c>
      <c r="D86" s="239" t="s">
        <v>6</v>
      </c>
      <c r="E86" s="240">
        <v>1.18</v>
      </c>
      <c r="F86" s="240">
        <v>11.74</v>
      </c>
      <c r="G86" s="240"/>
      <c r="H86" s="241">
        <f t="shared" si="54"/>
        <v>12.92</v>
      </c>
      <c r="I86" s="242"/>
      <c r="J86" s="243"/>
      <c r="K86" s="243"/>
      <c r="L86" s="244">
        <v>0.1</v>
      </c>
      <c r="M86" s="244">
        <f t="shared" si="55"/>
        <v>4</v>
      </c>
      <c r="N86" s="244">
        <v>1.49</v>
      </c>
      <c r="O86" s="244">
        <v>11.74</v>
      </c>
      <c r="P86" s="244"/>
      <c r="Q86" s="245">
        <f t="shared" si="56"/>
        <v>13.23</v>
      </c>
      <c r="R86" s="245">
        <f t="shared" si="57"/>
        <v>0.3100000000000005</v>
      </c>
      <c r="S86" s="246">
        <v>0.5</v>
      </c>
      <c r="T86" s="245">
        <f t="shared" si="58"/>
        <v>6.2000000000000099</v>
      </c>
      <c r="U86" s="245">
        <f t="shared" si="59"/>
        <v>10.20000000000001</v>
      </c>
      <c r="V86" s="247"/>
      <c r="AN86" s="235">
        <f t="shared" si="60"/>
        <v>0</v>
      </c>
      <c r="AO86" s="235">
        <f t="shared" si="61"/>
        <v>0</v>
      </c>
    </row>
    <row r="87" spans="1:41" ht="15.75" x14ac:dyDescent="0.25">
      <c r="A87" s="236"/>
      <c r="B87" s="237" t="s">
        <v>357</v>
      </c>
      <c r="C87" s="238">
        <v>40</v>
      </c>
      <c r="D87" s="239" t="s">
        <v>6</v>
      </c>
      <c r="E87" s="240">
        <v>1.1599999999999999</v>
      </c>
      <c r="F87" s="240">
        <v>11.74</v>
      </c>
      <c r="G87" s="240"/>
      <c r="H87" s="241">
        <f t="shared" si="54"/>
        <v>12.9</v>
      </c>
      <c r="I87" s="242"/>
      <c r="J87" s="243"/>
      <c r="K87" s="243"/>
      <c r="L87" s="244">
        <v>0.1</v>
      </c>
      <c r="M87" s="244">
        <f t="shared" si="55"/>
        <v>4</v>
      </c>
      <c r="N87" s="244">
        <v>1.47</v>
      </c>
      <c r="O87" s="244">
        <v>11.74</v>
      </c>
      <c r="P87" s="244"/>
      <c r="Q87" s="245">
        <f t="shared" si="56"/>
        <v>13.21</v>
      </c>
      <c r="R87" s="245">
        <f t="shared" si="57"/>
        <v>0.3100000000000005</v>
      </c>
      <c r="S87" s="246">
        <v>0.5</v>
      </c>
      <c r="T87" s="245">
        <f t="shared" si="58"/>
        <v>6.2000000000000099</v>
      </c>
      <c r="U87" s="245">
        <f t="shared" si="59"/>
        <v>10.20000000000001</v>
      </c>
      <c r="V87" s="247"/>
      <c r="AN87" s="235">
        <f t="shared" si="60"/>
        <v>0</v>
      </c>
      <c r="AO87" s="235">
        <f t="shared" si="61"/>
        <v>0</v>
      </c>
    </row>
    <row r="88" spans="1:41" ht="15.75" x14ac:dyDescent="0.25">
      <c r="A88" s="236"/>
      <c r="B88" s="237" t="s">
        <v>357</v>
      </c>
      <c r="C88" s="238">
        <v>40</v>
      </c>
      <c r="D88" s="239" t="s">
        <v>6</v>
      </c>
      <c r="E88" s="240">
        <v>1.1499999999999999</v>
      </c>
      <c r="F88" s="240">
        <v>11.74</v>
      </c>
      <c r="G88" s="240"/>
      <c r="H88" s="241">
        <f t="shared" si="54"/>
        <v>12.89</v>
      </c>
      <c r="I88" s="242"/>
      <c r="J88" s="243"/>
      <c r="K88" s="243"/>
      <c r="L88" s="244">
        <v>0.1</v>
      </c>
      <c r="M88" s="244">
        <f t="shared" si="55"/>
        <v>4</v>
      </c>
      <c r="N88" s="244">
        <v>1.45</v>
      </c>
      <c r="O88" s="244">
        <v>11.74</v>
      </c>
      <c r="P88" s="244"/>
      <c r="Q88" s="245">
        <f t="shared" si="56"/>
        <v>13.19</v>
      </c>
      <c r="R88" s="245">
        <f t="shared" si="57"/>
        <v>0.29999999999999893</v>
      </c>
      <c r="S88" s="246">
        <v>0.5</v>
      </c>
      <c r="T88" s="245">
        <f t="shared" si="58"/>
        <v>5.9999999999999787</v>
      </c>
      <c r="U88" s="245">
        <f t="shared" si="59"/>
        <v>9.9999999999999787</v>
      </c>
      <c r="V88" s="247"/>
      <c r="AN88" s="235">
        <f t="shared" si="60"/>
        <v>0</v>
      </c>
      <c r="AO88" s="235">
        <f t="shared" si="61"/>
        <v>0</v>
      </c>
    </row>
    <row r="89" spans="1:41" ht="15.75" x14ac:dyDescent="0.25">
      <c r="A89" s="236"/>
      <c r="B89" s="237" t="s">
        <v>357</v>
      </c>
      <c r="C89" s="238">
        <v>40</v>
      </c>
      <c r="D89" s="239" t="s">
        <v>6</v>
      </c>
      <c r="E89" s="240">
        <v>1.1399999999999999</v>
      </c>
      <c r="F89" s="240">
        <v>11.74</v>
      </c>
      <c r="G89" s="240"/>
      <c r="H89" s="241">
        <f t="shared" si="54"/>
        <v>12.88</v>
      </c>
      <c r="I89" s="242"/>
      <c r="J89" s="243"/>
      <c r="K89" s="243"/>
      <c r="L89" s="244">
        <v>0.1</v>
      </c>
      <c r="M89" s="244">
        <f t="shared" si="55"/>
        <v>4</v>
      </c>
      <c r="N89" s="244">
        <v>1.44</v>
      </c>
      <c r="O89" s="244">
        <v>11.74</v>
      </c>
      <c r="P89" s="244"/>
      <c r="Q89" s="245">
        <f t="shared" si="56"/>
        <v>13.18</v>
      </c>
      <c r="R89" s="245">
        <f t="shared" si="57"/>
        <v>0.29999999999999893</v>
      </c>
      <c r="S89" s="246">
        <v>0.5</v>
      </c>
      <c r="T89" s="245">
        <f t="shared" si="58"/>
        <v>5.9999999999999787</v>
      </c>
      <c r="U89" s="245">
        <f t="shared" si="59"/>
        <v>9.9999999999999787</v>
      </c>
      <c r="V89" s="247"/>
      <c r="AN89" s="235">
        <f t="shared" si="60"/>
        <v>0</v>
      </c>
      <c r="AO89" s="235">
        <f t="shared" si="61"/>
        <v>0</v>
      </c>
    </row>
    <row r="90" spans="1:41" ht="15.75" x14ac:dyDescent="0.25">
      <c r="A90" s="236"/>
      <c r="B90" s="237" t="s">
        <v>358</v>
      </c>
      <c r="C90" s="238">
        <v>40</v>
      </c>
      <c r="D90" s="239" t="s">
        <v>6</v>
      </c>
      <c r="E90" s="240">
        <v>1.21</v>
      </c>
      <c r="F90" s="240">
        <v>11.74</v>
      </c>
      <c r="G90" s="240"/>
      <c r="H90" s="241">
        <f t="shared" si="54"/>
        <v>12.95</v>
      </c>
      <c r="I90" s="242"/>
      <c r="J90" s="243"/>
      <c r="K90" s="243"/>
      <c r="L90" s="244">
        <v>0.1</v>
      </c>
      <c r="M90" s="244">
        <f t="shared" si="55"/>
        <v>4</v>
      </c>
      <c r="N90" s="244">
        <v>1.52</v>
      </c>
      <c r="O90" s="244">
        <v>11.74</v>
      </c>
      <c r="P90" s="244"/>
      <c r="Q90" s="245">
        <f t="shared" si="56"/>
        <v>13.26</v>
      </c>
      <c r="R90" s="245">
        <f t="shared" si="57"/>
        <v>0.3100000000000005</v>
      </c>
      <c r="S90" s="246">
        <v>0.5</v>
      </c>
      <c r="T90" s="245">
        <f t="shared" si="58"/>
        <v>6.2000000000000099</v>
      </c>
      <c r="U90" s="245">
        <f t="shared" si="59"/>
        <v>10.20000000000001</v>
      </c>
      <c r="V90" s="247"/>
      <c r="AN90" s="235">
        <f t="shared" si="60"/>
        <v>0</v>
      </c>
      <c r="AO90" s="235">
        <f t="shared" si="61"/>
        <v>0</v>
      </c>
    </row>
    <row r="91" spans="1:41" ht="15.75" x14ac:dyDescent="0.25">
      <c r="A91" s="236"/>
      <c r="B91" s="237" t="s">
        <v>358</v>
      </c>
      <c r="C91" s="238">
        <v>40</v>
      </c>
      <c r="D91" s="239" t="s">
        <v>6</v>
      </c>
      <c r="E91" s="240">
        <v>1.18</v>
      </c>
      <c r="F91" s="240">
        <v>11.74</v>
      </c>
      <c r="G91" s="240"/>
      <c r="H91" s="241">
        <f t="shared" si="54"/>
        <v>12.92</v>
      </c>
      <c r="I91" s="242"/>
      <c r="J91" s="243"/>
      <c r="K91" s="243"/>
      <c r="L91" s="244">
        <v>0.1</v>
      </c>
      <c r="M91" s="244">
        <f t="shared" si="55"/>
        <v>4</v>
      </c>
      <c r="N91" s="244">
        <v>1.49</v>
      </c>
      <c r="O91" s="244">
        <v>11.74</v>
      </c>
      <c r="P91" s="244"/>
      <c r="Q91" s="245">
        <f t="shared" si="56"/>
        <v>13.23</v>
      </c>
      <c r="R91" s="245">
        <f t="shared" si="57"/>
        <v>0.3100000000000005</v>
      </c>
      <c r="S91" s="246">
        <v>0.5</v>
      </c>
      <c r="T91" s="245">
        <f t="shared" si="58"/>
        <v>6.2000000000000099</v>
      </c>
      <c r="U91" s="245">
        <f t="shared" si="59"/>
        <v>10.20000000000001</v>
      </c>
      <c r="V91" s="247"/>
      <c r="AN91" s="235">
        <f t="shared" si="60"/>
        <v>0</v>
      </c>
      <c r="AO91" s="235">
        <f t="shared" si="61"/>
        <v>0</v>
      </c>
    </row>
    <row r="92" spans="1:41" ht="15.75" x14ac:dyDescent="0.25">
      <c r="A92" s="236"/>
      <c r="B92" s="237" t="s">
        <v>358</v>
      </c>
      <c r="C92" s="238">
        <v>40</v>
      </c>
      <c r="D92" s="239" t="s">
        <v>6</v>
      </c>
      <c r="E92" s="240">
        <v>1.1399999999999999</v>
      </c>
      <c r="F92" s="240">
        <v>11.74</v>
      </c>
      <c r="G92" s="240"/>
      <c r="H92" s="241">
        <f t="shared" si="54"/>
        <v>12.88</v>
      </c>
      <c r="I92" s="242"/>
      <c r="J92" s="243"/>
      <c r="K92" s="243"/>
      <c r="L92" s="244">
        <v>0.1</v>
      </c>
      <c r="M92" s="244">
        <f t="shared" si="55"/>
        <v>4</v>
      </c>
      <c r="N92" s="244">
        <v>1.44</v>
      </c>
      <c r="O92" s="244">
        <v>11.74</v>
      </c>
      <c r="P92" s="244"/>
      <c r="Q92" s="245">
        <f t="shared" si="56"/>
        <v>13.18</v>
      </c>
      <c r="R92" s="245">
        <f t="shared" si="57"/>
        <v>0.29999999999999893</v>
      </c>
      <c r="S92" s="246">
        <v>0.5</v>
      </c>
      <c r="T92" s="245">
        <f t="shared" si="58"/>
        <v>5.9999999999999787</v>
      </c>
      <c r="U92" s="245">
        <f t="shared" si="59"/>
        <v>9.9999999999999787</v>
      </c>
      <c r="V92" s="247"/>
      <c r="AN92" s="235">
        <f t="shared" si="60"/>
        <v>0</v>
      </c>
      <c r="AO92" s="235">
        <f t="shared" si="61"/>
        <v>0</v>
      </c>
    </row>
    <row r="93" spans="1:41" ht="15.75" x14ac:dyDescent="0.25">
      <c r="A93" s="236"/>
      <c r="B93" s="237" t="s">
        <v>358</v>
      </c>
      <c r="C93" s="238">
        <v>40</v>
      </c>
      <c r="D93" s="239" t="s">
        <v>6</v>
      </c>
      <c r="E93" s="240">
        <v>1.36</v>
      </c>
      <c r="F93" s="240">
        <v>11.74</v>
      </c>
      <c r="G93" s="240"/>
      <c r="H93" s="241">
        <f t="shared" si="54"/>
        <v>13.1</v>
      </c>
      <c r="I93" s="242"/>
      <c r="J93" s="243"/>
      <c r="K93" s="243"/>
      <c r="L93" s="244">
        <v>0.1</v>
      </c>
      <c r="M93" s="244">
        <f t="shared" si="55"/>
        <v>4</v>
      </c>
      <c r="N93" s="244">
        <v>1.67</v>
      </c>
      <c r="O93" s="244">
        <v>11.74</v>
      </c>
      <c r="P93" s="244"/>
      <c r="Q93" s="245">
        <f t="shared" si="56"/>
        <v>13.41</v>
      </c>
      <c r="R93" s="245">
        <f t="shared" si="57"/>
        <v>0.3100000000000005</v>
      </c>
      <c r="S93" s="246">
        <v>0.5</v>
      </c>
      <c r="T93" s="245">
        <f t="shared" si="58"/>
        <v>6.2000000000000099</v>
      </c>
      <c r="U93" s="245">
        <f t="shared" si="59"/>
        <v>10.20000000000001</v>
      </c>
      <c r="V93" s="247"/>
      <c r="AN93" s="235">
        <f t="shared" si="60"/>
        <v>0</v>
      </c>
      <c r="AO93" s="235">
        <f t="shared" si="61"/>
        <v>0</v>
      </c>
    </row>
    <row r="94" spans="1:41" ht="15.75" x14ac:dyDescent="0.25">
      <c r="A94" s="236"/>
      <c r="B94" s="237" t="s">
        <v>266</v>
      </c>
      <c r="C94" s="238">
        <v>300</v>
      </c>
      <c r="D94" s="239" t="s">
        <v>4</v>
      </c>
      <c r="E94" s="240"/>
      <c r="F94" s="240">
        <v>5.2</v>
      </c>
      <c r="G94" s="240">
        <v>0.1</v>
      </c>
      <c r="H94" s="241">
        <f t="shared" si="54"/>
        <v>5.3</v>
      </c>
      <c r="I94" s="242"/>
      <c r="J94" s="243"/>
      <c r="K94" s="243"/>
      <c r="L94" s="244">
        <v>0.1</v>
      </c>
      <c r="M94" s="244">
        <f t="shared" si="55"/>
        <v>30</v>
      </c>
      <c r="N94" s="244"/>
      <c r="O94" s="244">
        <v>5.6</v>
      </c>
      <c r="P94" s="244">
        <v>0.1</v>
      </c>
      <c r="Q94" s="245">
        <f t="shared" si="56"/>
        <v>5.6999999999999993</v>
      </c>
      <c r="R94" s="245">
        <f t="shared" si="57"/>
        <v>0.39999999999999947</v>
      </c>
      <c r="S94" s="246">
        <v>0.5</v>
      </c>
      <c r="T94" s="245">
        <f t="shared" si="58"/>
        <v>59.999999999999922</v>
      </c>
      <c r="U94" s="245">
        <f t="shared" si="59"/>
        <v>89.999999999999915</v>
      </c>
      <c r="V94" s="247"/>
      <c r="AN94" s="235">
        <f t="shared" si="60"/>
        <v>0</v>
      </c>
      <c r="AO94" s="235">
        <f t="shared" si="61"/>
        <v>0</v>
      </c>
    </row>
    <row r="95" spans="1:41" ht="15.75" x14ac:dyDescent="0.25">
      <c r="A95" s="236"/>
      <c r="B95" s="237"/>
      <c r="C95" s="238"/>
      <c r="D95" s="239"/>
      <c r="E95" s="240"/>
      <c r="F95" s="240"/>
      <c r="G95" s="240"/>
      <c r="H95" s="241">
        <f t="shared" si="54"/>
        <v>0</v>
      </c>
      <c r="I95" s="242"/>
      <c r="J95" s="243"/>
      <c r="K95" s="243"/>
      <c r="L95" s="244">
        <v>0.1</v>
      </c>
      <c r="M95" s="244">
        <f t="shared" si="55"/>
        <v>0</v>
      </c>
      <c r="N95" s="244"/>
      <c r="O95" s="244"/>
      <c r="P95" s="244"/>
      <c r="Q95" s="245">
        <f t="shared" si="56"/>
        <v>0</v>
      </c>
      <c r="R95" s="245">
        <f t="shared" si="57"/>
        <v>0</v>
      </c>
      <c r="S95" s="246">
        <v>0.5</v>
      </c>
      <c r="T95" s="245">
        <f t="shared" si="58"/>
        <v>0</v>
      </c>
      <c r="U95" s="245">
        <f t="shared" si="59"/>
        <v>0</v>
      </c>
      <c r="V95" s="247"/>
      <c r="AN95" s="235">
        <f t="shared" ref="AN95:AN158" si="62">IF(V95="",0,MONTH(V95))</f>
        <v>0</v>
      </c>
      <c r="AO95" s="235">
        <f t="shared" ref="AO95:AO158" si="63">IF(V95="",0,YEAR(V95))</f>
        <v>0</v>
      </c>
    </row>
    <row r="96" spans="1:41" ht="15.75" x14ac:dyDescent="0.25">
      <c r="A96" s="236"/>
      <c r="B96" s="237"/>
      <c r="C96" s="238"/>
      <c r="D96" s="239"/>
      <c r="E96" s="240"/>
      <c r="F96" s="240"/>
      <c r="G96" s="240"/>
      <c r="H96" s="241">
        <f t="shared" si="54"/>
        <v>0</v>
      </c>
      <c r="I96" s="242"/>
      <c r="J96" s="243"/>
      <c r="K96" s="243"/>
      <c r="L96" s="244">
        <v>0.1</v>
      </c>
      <c r="M96" s="244">
        <f t="shared" si="55"/>
        <v>0</v>
      </c>
      <c r="N96" s="244"/>
      <c r="O96" s="244"/>
      <c r="P96" s="244"/>
      <c r="Q96" s="245">
        <f t="shared" si="56"/>
        <v>0</v>
      </c>
      <c r="R96" s="245">
        <f t="shared" si="57"/>
        <v>0</v>
      </c>
      <c r="S96" s="246">
        <v>0.5</v>
      </c>
      <c r="T96" s="245">
        <f t="shared" si="58"/>
        <v>0</v>
      </c>
      <c r="U96" s="245">
        <f t="shared" si="59"/>
        <v>0</v>
      </c>
      <c r="V96" s="247"/>
      <c r="AN96" s="235">
        <f t="shared" si="62"/>
        <v>0</v>
      </c>
      <c r="AO96" s="235">
        <f t="shared" si="63"/>
        <v>0</v>
      </c>
    </row>
    <row r="97" spans="1:41" ht="15.75" x14ac:dyDescent="0.25">
      <c r="A97" s="236"/>
      <c r="B97" s="237"/>
      <c r="C97" s="238"/>
      <c r="D97" s="239"/>
      <c r="E97" s="240"/>
      <c r="F97" s="240"/>
      <c r="G97" s="240"/>
      <c r="H97" s="241">
        <f t="shared" si="54"/>
        <v>0</v>
      </c>
      <c r="I97" s="242"/>
      <c r="J97" s="243"/>
      <c r="K97" s="243"/>
      <c r="L97" s="244">
        <v>0.1</v>
      </c>
      <c r="M97" s="244">
        <f t="shared" si="55"/>
        <v>0</v>
      </c>
      <c r="N97" s="244"/>
      <c r="O97" s="244"/>
      <c r="P97" s="244"/>
      <c r="Q97" s="245">
        <f t="shared" si="56"/>
        <v>0</v>
      </c>
      <c r="R97" s="245">
        <f t="shared" si="57"/>
        <v>0</v>
      </c>
      <c r="S97" s="246">
        <v>0.5</v>
      </c>
      <c r="T97" s="245">
        <f t="shared" si="58"/>
        <v>0</v>
      </c>
      <c r="U97" s="245">
        <f t="shared" si="59"/>
        <v>0</v>
      </c>
      <c r="V97" s="247"/>
      <c r="AN97" s="235">
        <f t="shared" si="62"/>
        <v>0</v>
      </c>
      <c r="AO97" s="235">
        <f t="shared" si="63"/>
        <v>0</v>
      </c>
    </row>
    <row r="98" spans="1:41" ht="15.75" x14ac:dyDescent="0.25">
      <c r="A98" s="236"/>
      <c r="B98" s="237"/>
      <c r="C98" s="238"/>
      <c r="D98" s="239"/>
      <c r="E98" s="240"/>
      <c r="F98" s="240"/>
      <c r="G98" s="240"/>
      <c r="H98" s="241">
        <f t="shared" ref="H98:H161" si="64">+E98+F98+G98</f>
        <v>0</v>
      </c>
      <c r="I98" s="242"/>
      <c r="J98" s="243"/>
      <c r="K98" s="243"/>
      <c r="L98" s="244">
        <v>0.1</v>
      </c>
      <c r="M98" s="244">
        <f t="shared" ref="M98:M161" si="65">+L98*C98</f>
        <v>0</v>
      </c>
      <c r="N98" s="244"/>
      <c r="O98" s="244"/>
      <c r="P98" s="244"/>
      <c r="Q98" s="245">
        <f t="shared" ref="Q98:Q161" si="66">+N98+O98+P98</f>
        <v>0</v>
      </c>
      <c r="R98" s="245">
        <f t="shared" ref="R98:R161" si="67">IF(+Q98-H98&lt;=0,0,Q98-H98)</f>
        <v>0</v>
      </c>
      <c r="S98" s="246">
        <v>0.5</v>
      </c>
      <c r="T98" s="245">
        <f t="shared" ref="T98:T161" si="68">+(R98*C98)*S98</f>
        <v>0</v>
      </c>
      <c r="U98" s="245">
        <f t="shared" ref="U98:U161" si="69">+J98+M98+T98</f>
        <v>0</v>
      </c>
      <c r="V98" s="247"/>
      <c r="AN98" s="235">
        <f t="shared" si="62"/>
        <v>0</v>
      </c>
      <c r="AO98" s="235">
        <f t="shared" si="63"/>
        <v>0</v>
      </c>
    </row>
    <row r="99" spans="1:41" ht="15.75" x14ac:dyDescent="0.25">
      <c r="A99" s="236"/>
      <c r="B99" s="237"/>
      <c r="C99" s="238"/>
      <c r="D99" s="239"/>
      <c r="E99" s="240"/>
      <c r="F99" s="240"/>
      <c r="G99" s="240"/>
      <c r="H99" s="241">
        <f t="shared" si="64"/>
        <v>0</v>
      </c>
      <c r="I99" s="242"/>
      <c r="J99" s="243"/>
      <c r="K99" s="243"/>
      <c r="L99" s="244">
        <v>0.1</v>
      </c>
      <c r="M99" s="244">
        <f t="shared" si="65"/>
        <v>0</v>
      </c>
      <c r="N99" s="244"/>
      <c r="O99" s="244"/>
      <c r="P99" s="244"/>
      <c r="Q99" s="245">
        <f t="shared" si="66"/>
        <v>0</v>
      </c>
      <c r="R99" s="245">
        <f t="shared" si="67"/>
        <v>0</v>
      </c>
      <c r="S99" s="246">
        <v>0.5</v>
      </c>
      <c r="T99" s="245">
        <f t="shared" si="68"/>
        <v>0</v>
      </c>
      <c r="U99" s="245">
        <f t="shared" si="69"/>
        <v>0</v>
      </c>
      <c r="V99" s="247"/>
      <c r="AN99" s="235">
        <f t="shared" si="62"/>
        <v>0</v>
      </c>
      <c r="AO99" s="235">
        <f t="shared" si="63"/>
        <v>0</v>
      </c>
    </row>
    <row r="100" spans="1:41" ht="15.75" x14ac:dyDescent="0.25">
      <c r="A100" s="236"/>
      <c r="B100" s="237"/>
      <c r="C100" s="238"/>
      <c r="D100" s="239"/>
      <c r="E100" s="240"/>
      <c r="F100" s="240"/>
      <c r="G100" s="240"/>
      <c r="H100" s="241">
        <f t="shared" si="64"/>
        <v>0</v>
      </c>
      <c r="I100" s="242"/>
      <c r="J100" s="243"/>
      <c r="K100" s="243"/>
      <c r="L100" s="244">
        <v>0.1</v>
      </c>
      <c r="M100" s="244">
        <f t="shared" si="65"/>
        <v>0</v>
      </c>
      <c r="N100" s="244"/>
      <c r="O100" s="244"/>
      <c r="P100" s="244"/>
      <c r="Q100" s="245">
        <f t="shared" si="66"/>
        <v>0</v>
      </c>
      <c r="R100" s="245">
        <f t="shared" si="67"/>
        <v>0</v>
      </c>
      <c r="S100" s="246">
        <v>0.5</v>
      </c>
      <c r="T100" s="245">
        <f t="shared" si="68"/>
        <v>0</v>
      </c>
      <c r="U100" s="245">
        <f t="shared" si="69"/>
        <v>0</v>
      </c>
      <c r="V100" s="247"/>
      <c r="AN100" s="235">
        <f t="shared" si="62"/>
        <v>0</v>
      </c>
      <c r="AO100" s="235">
        <f t="shared" si="63"/>
        <v>0</v>
      </c>
    </row>
    <row r="101" spans="1:41" ht="15.75" x14ac:dyDescent="0.25">
      <c r="A101" s="236"/>
      <c r="B101" s="237"/>
      <c r="C101" s="238"/>
      <c r="D101" s="239"/>
      <c r="E101" s="240"/>
      <c r="F101" s="240"/>
      <c r="G101" s="240"/>
      <c r="H101" s="241">
        <f t="shared" si="64"/>
        <v>0</v>
      </c>
      <c r="I101" s="242"/>
      <c r="J101" s="243"/>
      <c r="K101" s="243"/>
      <c r="L101" s="244">
        <v>0.1</v>
      </c>
      <c r="M101" s="244">
        <f t="shared" si="65"/>
        <v>0</v>
      </c>
      <c r="N101" s="244"/>
      <c r="O101" s="244"/>
      <c r="P101" s="244"/>
      <c r="Q101" s="245">
        <f t="shared" si="66"/>
        <v>0</v>
      </c>
      <c r="R101" s="245">
        <f t="shared" si="67"/>
        <v>0</v>
      </c>
      <c r="S101" s="246">
        <v>0.5</v>
      </c>
      <c r="T101" s="245">
        <f t="shared" si="68"/>
        <v>0</v>
      </c>
      <c r="U101" s="245">
        <f t="shared" si="69"/>
        <v>0</v>
      </c>
      <c r="V101" s="247"/>
      <c r="AN101" s="235">
        <f t="shared" si="62"/>
        <v>0</v>
      </c>
      <c r="AO101" s="235">
        <f t="shared" si="63"/>
        <v>0</v>
      </c>
    </row>
    <row r="102" spans="1:41" ht="15.75" x14ac:dyDescent="0.25">
      <c r="A102" s="236"/>
      <c r="B102" s="237"/>
      <c r="C102" s="238"/>
      <c r="D102" s="239"/>
      <c r="E102" s="240"/>
      <c r="F102" s="240"/>
      <c r="G102" s="240"/>
      <c r="H102" s="241">
        <f t="shared" si="64"/>
        <v>0</v>
      </c>
      <c r="I102" s="242"/>
      <c r="J102" s="243"/>
      <c r="K102" s="243"/>
      <c r="L102" s="244">
        <v>0.1</v>
      </c>
      <c r="M102" s="244">
        <f t="shared" si="65"/>
        <v>0</v>
      </c>
      <c r="N102" s="244"/>
      <c r="O102" s="244"/>
      <c r="P102" s="244"/>
      <c r="Q102" s="245">
        <f t="shared" si="66"/>
        <v>0</v>
      </c>
      <c r="R102" s="245">
        <f t="shared" si="67"/>
        <v>0</v>
      </c>
      <c r="S102" s="246">
        <v>0.5</v>
      </c>
      <c r="T102" s="245">
        <f t="shared" si="68"/>
        <v>0</v>
      </c>
      <c r="U102" s="245">
        <f t="shared" si="69"/>
        <v>0</v>
      </c>
      <c r="V102" s="247"/>
      <c r="AN102" s="235">
        <f t="shared" si="62"/>
        <v>0</v>
      </c>
      <c r="AO102" s="235">
        <f t="shared" si="63"/>
        <v>0</v>
      </c>
    </row>
    <row r="103" spans="1:41" ht="15.75" x14ac:dyDescent="0.25">
      <c r="A103" s="236"/>
      <c r="B103" s="237"/>
      <c r="C103" s="238"/>
      <c r="D103" s="239"/>
      <c r="E103" s="240"/>
      <c r="F103" s="240"/>
      <c r="G103" s="240"/>
      <c r="H103" s="241">
        <f t="shared" si="64"/>
        <v>0</v>
      </c>
      <c r="I103" s="242"/>
      <c r="J103" s="243"/>
      <c r="K103" s="243"/>
      <c r="L103" s="244">
        <v>0.1</v>
      </c>
      <c r="M103" s="244">
        <f t="shared" si="65"/>
        <v>0</v>
      </c>
      <c r="N103" s="244"/>
      <c r="O103" s="244"/>
      <c r="P103" s="244"/>
      <c r="Q103" s="245">
        <f t="shared" si="66"/>
        <v>0</v>
      </c>
      <c r="R103" s="245">
        <f t="shared" si="67"/>
        <v>0</v>
      </c>
      <c r="S103" s="246">
        <v>0.5</v>
      </c>
      <c r="T103" s="245">
        <f t="shared" si="68"/>
        <v>0</v>
      </c>
      <c r="U103" s="245">
        <f t="shared" si="69"/>
        <v>0</v>
      </c>
      <c r="V103" s="247"/>
      <c r="AN103" s="235">
        <f t="shared" si="62"/>
        <v>0</v>
      </c>
      <c r="AO103" s="235">
        <f t="shared" si="63"/>
        <v>0</v>
      </c>
    </row>
    <row r="104" spans="1:41" ht="15.75" x14ac:dyDescent="0.25">
      <c r="A104" s="236"/>
      <c r="B104" s="237"/>
      <c r="C104" s="238"/>
      <c r="D104" s="239"/>
      <c r="E104" s="240"/>
      <c r="F104" s="240"/>
      <c r="G104" s="240"/>
      <c r="H104" s="241">
        <f t="shared" si="64"/>
        <v>0</v>
      </c>
      <c r="I104" s="242"/>
      <c r="J104" s="243"/>
      <c r="K104" s="243"/>
      <c r="L104" s="244">
        <v>0.1</v>
      </c>
      <c r="M104" s="244">
        <f t="shared" si="65"/>
        <v>0</v>
      </c>
      <c r="N104" s="244"/>
      <c r="O104" s="244"/>
      <c r="P104" s="244"/>
      <c r="Q104" s="245">
        <f t="shared" si="66"/>
        <v>0</v>
      </c>
      <c r="R104" s="245">
        <f t="shared" si="67"/>
        <v>0</v>
      </c>
      <c r="S104" s="246">
        <v>0.5</v>
      </c>
      <c r="T104" s="245">
        <f t="shared" si="68"/>
        <v>0</v>
      </c>
      <c r="U104" s="245">
        <f t="shared" si="69"/>
        <v>0</v>
      </c>
      <c r="V104" s="247"/>
      <c r="AN104" s="235">
        <f t="shared" si="62"/>
        <v>0</v>
      </c>
      <c r="AO104" s="235">
        <f t="shared" si="63"/>
        <v>0</v>
      </c>
    </row>
    <row r="105" spans="1:41" ht="15.75" x14ac:dyDescent="0.25">
      <c r="A105" s="236"/>
      <c r="B105" s="237"/>
      <c r="C105" s="238"/>
      <c r="D105" s="239"/>
      <c r="E105" s="240"/>
      <c r="F105" s="240"/>
      <c r="G105" s="240"/>
      <c r="H105" s="241">
        <f t="shared" si="64"/>
        <v>0</v>
      </c>
      <c r="I105" s="242"/>
      <c r="J105" s="243"/>
      <c r="K105" s="243"/>
      <c r="L105" s="244">
        <v>0.1</v>
      </c>
      <c r="M105" s="244">
        <f t="shared" si="65"/>
        <v>0</v>
      </c>
      <c r="N105" s="244"/>
      <c r="O105" s="244"/>
      <c r="P105" s="244"/>
      <c r="Q105" s="245">
        <f t="shared" si="66"/>
        <v>0</v>
      </c>
      <c r="R105" s="245">
        <f t="shared" si="67"/>
        <v>0</v>
      </c>
      <c r="S105" s="246">
        <v>0.5</v>
      </c>
      <c r="T105" s="245">
        <f t="shared" si="68"/>
        <v>0</v>
      </c>
      <c r="U105" s="245">
        <f t="shared" si="69"/>
        <v>0</v>
      </c>
      <c r="V105" s="247"/>
      <c r="AN105" s="235">
        <f t="shared" si="62"/>
        <v>0</v>
      </c>
      <c r="AO105" s="235">
        <f t="shared" si="63"/>
        <v>0</v>
      </c>
    </row>
    <row r="106" spans="1:41" ht="15.75" x14ac:dyDescent="0.25">
      <c r="A106" s="236"/>
      <c r="B106" s="237"/>
      <c r="C106" s="238"/>
      <c r="D106" s="239"/>
      <c r="E106" s="240"/>
      <c r="F106" s="240"/>
      <c r="G106" s="240"/>
      <c r="H106" s="241">
        <f t="shared" si="64"/>
        <v>0</v>
      </c>
      <c r="I106" s="242"/>
      <c r="J106" s="243"/>
      <c r="K106" s="243"/>
      <c r="L106" s="244">
        <v>0.1</v>
      </c>
      <c r="M106" s="244">
        <f t="shared" si="65"/>
        <v>0</v>
      </c>
      <c r="N106" s="244"/>
      <c r="O106" s="244"/>
      <c r="P106" s="244"/>
      <c r="Q106" s="245">
        <f t="shared" si="66"/>
        <v>0</v>
      </c>
      <c r="R106" s="245">
        <f t="shared" si="67"/>
        <v>0</v>
      </c>
      <c r="S106" s="246">
        <v>0.5</v>
      </c>
      <c r="T106" s="245">
        <f t="shared" si="68"/>
        <v>0</v>
      </c>
      <c r="U106" s="245">
        <f t="shared" si="69"/>
        <v>0</v>
      </c>
      <c r="V106" s="247"/>
      <c r="AN106" s="235">
        <f t="shared" si="62"/>
        <v>0</v>
      </c>
      <c r="AO106" s="235">
        <f t="shared" si="63"/>
        <v>0</v>
      </c>
    </row>
    <row r="107" spans="1:41" ht="15.75" x14ac:dyDescent="0.25">
      <c r="A107" s="236"/>
      <c r="B107" s="237"/>
      <c r="C107" s="238"/>
      <c r="D107" s="239"/>
      <c r="E107" s="240"/>
      <c r="F107" s="240"/>
      <c r="G107" s="240"/>
      <c r="H107" s="241">
        <f t="shared" si="64"/>
        <v>0</v>
      </c>
      <c r="I107" s="242"/>
      <c r="J107" s="243"/>
      <c r="K107" s="243"/>
      <c r="L107" s="244">
        <v>0.1</v>
      </c>
      <c r="M107" s="244">
        <f t="shared" si="65"/>
        <v>0</v>
      </c>
      <c r="N107" s="244"/>
      <c r="O107" s="244"/>
      <c r="P107" s="244"/>
      <c r="Q107" s="245">
        <f t="shared" si="66"/>
        <v>0</v>
      </c>
      <c r="R107" s="245">
        <f t="shared" si="67"/>
        <v>0</v>
      </c>
      <c r="S107" s="246">
        <v>0.5</v>
      </c>
      <c r="T107" s="245">
        <f t="shared" si="68"/>
        <v>0</v>
      </c>
      <c r="U107" s="245">
        <f t="shared" si="69"/>
        <v>0</v>
      </c>
      <c r="V107" s="247"/>
      <c r="AN107" s="235">
        <f t="shared" si="62"/>
        <v>0</v>
      </c>
      <c r="AO107" s="235">
        <f t="shared" si="63"/>
        <v>0</v>
      </c>
    </row>
    <row r="108" spans="1:41" ht="15.75" x14ac:dyDescent="0.25">
      <c r="A108" s="236"/>
      <c r="B108" s="237"/>
      <c r="C108" s="238"/>
      <c r="D108" s="239"/>
      <c r="E108" s="240"/>
      <c r="F108" s="240"/>
      <c r="G108" s="240"/>
      <c r="H108" s="241">
        <f t="shared" si="64"/>
        <v>0</v>
      </c>
      <c r="I108" s="242"/>
      <c r="J108" s="243"/>
      <c r="K108" s="243"/>
      <c r="L108" s="244">
        <v>0.1</v>
      </c>
      <c r="M108" s="244">
        <f t="shared" si="65"/>
        <v>0</v>
      </c>
      <c r="N108" s="244"/>
      <c r="O108" s="244"/>
      <c r="P108" s="244"/>
      <c r="Q108" s="245">
        <f t="shared" si="66"/>
        <v>0</v>
      </c>
      <c r="R108" s="245">
        <f t="shared" si="67"/>
        <v>0</v>
      </c>
      <c r="S108" s="246">
        <v>0.5</v>
      </c>
      <c r="T108" s="245">
        <f t="shared" si="68"/>
        <v>0</v>
      </c>
      <c r="U108" s="245">
        <f t="shared" si="69"/>
        <v>0</v>
      </c>
      <c r="V108" s="247"/>
      <c r="AN108" s="235">
        <f t="shared" si="62"/>
        <v>0</v>
      </c>
      <c r="AO108" s="235">
        <f t="shared" si="63"/>
        <v>0</v>
      </c>
    </row>
    <row r="109" spans="1:41" ht="15.75" x14ac:dyDescent="0.25">
      <c r="A109" s="236"/>
      <c r="B109" s="237"/>
      <c r="C109" s="238"/>
      <c r="D109" s="239"/>
      <c r="E109" s="240"/>
      <c r="F109" s="240"/>
      <c r="G109" s="240"/>
      <c r="H109" s="241">
        <f t="shared" si="64"/>
        <v>0</v>
      </c>
      <c r="I109" s="242"/>
      <c r="J109" s="243"/>
      <c r="K109" s="243"/>
      <c r="L109" s="244">
        <v>0.1</v>
      </c>
      <c r="M109" s="244">
        <f t="shared" si="65"/>
        <v>0</v>
      </c>
      <c r="N109" s="244"/>
      <c r="O109" s="244"/>
      <c r="P109" s="244"/>
      <c r="Q109" s="245">
        <f t="shared" si="66"/>
        <v>0</v>
      </c>
      <c r="R109" s="245">
        <f t="shared" si="67"/>
        <v>0</v>
      </c>
      <c r="S109" s="246">
        <v>0.5</v>
      </c>
      <c r="T109" s="245">
        <f t="shared" si="68"/>
        <v>0</v>
      </c>
      <c r="U109" s="245">
        <f t="shared" si="69"/>
        <v>0</v>
      </c>
      <c r="V109" s="247"/>
      <c r="AN109" s="235">
        <f t="shared" si="62"/>
        <v>0</v>
      </c>
      <c r="AO109" s="235">
        <f t="shared" si="63"/>
        <v>0</v>
      </c>
    </row>
    <row r="110" spans="1:41" ht="15.75" x14ac:dyDescent="0.25">
      <c r="A110" s="236"/>
      <c r="B110" s="237"/>
      <c r="C110" s="238"/>
      <c r="D110" s="239"/>
      <c r="E110" s="240"/>
      <c r="F110" s="240"/>
      <c r="G110" s="240"/>
      <c r="H110" s="241">
        <f t="shared" si="64"/>
        <v>0</v>
      </c>
      <c r="I110" s="242"/>
      <c r="J110" s="243"/>
      <c r="K110" s="243"/>
      <c r="L110" s="244">
        <v>0.1</v>
      </c>
      <c r="M110" s="244">
        <f t="shared" si="65"/>
        <v>0</v>
      </c>
      <c r="N110" s="244"/>
      <c r="O110" s="244"/>
      <c r="P110" s="244"/>
      <c r="Q110" s="245">
        <f t="shared" si="66"/>
        <v>0</v>
      </c>
      <c r="R110" s="245">
        <f t="shared" si="67"/>
        <v>0</v>
      </c>
      <c r="S110" s="246">
        <v>0.5</v>
      </c>
      <c r="T110" s="245">
        <f t="shared" si="68"/>
        <v>0</v>
      </c>
      <c r="U110" s="245">
        <f t="shared" si="69"/>
        <v>0</v>
      </c>
      <c r="V110" s="247"/>
      <c r="AN110" s="235">
        <f t="shared" si="62"/>
        <v>0</v>
      </c>
      <c r="AO110" s="235">
        <f t="shared" si="63"/>
        <v>0</v>
      </c>
    </row>
    <row r="111" spans="1:41" ht="15.75" x14ac:dyDescent="0.25">
      <c r="A111" s="236"/>
      <c r="B111" s="237"/>
      <c r="C111" s="238"/>
      <c r="D111" s="239"/>
      <c r="E111" s="240"/>
      <c r="F111" s="240"/>
      <c r="G111" s="240"/>
      <c r="H111" s="241">
        <f t="shared" si="64"/>
        <v>0</v>
      </c>
      <c r="I111" s="242"/>
      <c r="J111" s="243"/>
      <c r="K111" s="243"/>
      <c r="L111" s="244">
        <v>0.1</v>
      </c>
      <c r="M111" s="244">
        <f t="shared" si="65"/>
        <v>0</v>
      </c>
      <c r="N111" s="244"/>
      <c r="O111" s="244"/>
      <c r="P111" s="244"/>
      <c r="Q111" s="245">
        <f t="shared" si="66"/>
        <v>0</v>
      </c>
      <c r="R111" s="245">
        <f t="shared" si="67"/>
        <v>0</v>
      </c>
      <c r="S111" s="246">
        <v>0.5</v>
      </c>
      <c r="T111" s="245">
        <f t="shared" si="68"/>
        <v>0</v>
      </c>
      <c r="U111" s="245">
        <f t="shared" si="69"/>
        <v>0</v>
      </c>
      <c r="V111" s="247"/>
      <c r="AN111" s="235">
        <f t="shared" si="62"/>
        <v>0</v>
      </c>
      <c r="AO111" s="235">
        <f t="shared" si="63"/>
        <v>0</v>
      </c>
    </row>
    <row r="112" spans="1:41" ht="15.75" x14ac:dyDescent="0.25">
      <c r="A112" s="236"/>
      <c r="B112" s="237"/>
      <c r="C112" s="238"/>
      <c r="D112" s="239"/>
      <c r="E112" s="240"/>
      <c r="F112" s="240"/>
      <c r="G112" s="240"/>
      <c r="H112" s="241">
        <f t="shared" si="64"/>
        <v>0</v>
      </c>
      <c r="I112" s="242"/>
      <c r="J112" s="243"/>
      <c r="K112" s="243"/>
      <c r="L112" s="244">
        <v>0.1</v>
      </c>
      <c r="M112" s="244">
        <f t="shared" si="65"/>
        <v>0</v>
      </c>
      <c r="N112" s="244"/>
      <c r="O112" s="244"/>
      <c r="P112" s="244"/>
      <c r="Q112" s="245">
        <f t="shared" si="66"/>
        <v>0</v>
      </c>
      <c r="R112" s="245">
        <f t="shared" si="67"/>
        <v>0</v>
      </c>
      <c r="S112" s="246">
        <v>0.5</v>
      </c>
      <c r="T112" s="245">
        <f t="shared" si="68"/>
        <v>0</v>
      </c>
      <c r="U112" s="245">
        <f t="shared" si="69"/>
        <v>0</v>
      </c>
      <c r="V112" s="247"/>
      <c r="AN112" s="235">
        <f t="shared" si="62"/>
        <v>0</v>
      </c>
      <c r="AO112" s="235">
        <f t="shared" si="63"/>
        <v>0</v>
      </c>
    </row>
    <row r="113" spans="1:41" ht="15.75" x14ac:dyDescent="0.25">
      <c r="A113" s="236"/>
      <c r="B113" s="237"/>
      <c r="C113" s="238"/>
      <c r="D113" s="239"/>
      <c r="E113" s="240"/>
      <c r="F113" s="240"/>
      <c r="G113" s="240"/>
      <c r="H113" s="241">
        <f t="shared" si="64"/>
        <v>0</v>
      </c>
      <c r="I113" s="242"/>
      <c r="J113" s="243"/>
      <c r="K113" s="243"/>
      <c r="L113" s="244">
        <v>0.1</v>
      </c>
      <c r="M113" s="244">
        <f t="shared" si="65"/>
        <v>0</v>
      </c>
      <c r="N113" s="244"/>
      <c r="O113" s="244"/>
      <c r="P113" s="244"/>
      <c r="Q113" s="245">
        <f t="shared" si="66"/>
        <v>0</v>
      </c>
      <c r="R113" s="245">
        <f t="shared" si="67"/>
        <v>0</v>
      </c>
      <c r="S113" s="246">
        <v>0.5</v>
      </c>
      <c r="T113" s="245">
        <f t="shared" si="68"/>
        <v>0</v>
      </c>
      <c r="U113" s="245">
        <f t="shared" si="69"/>
        <v>0</v>
      </c>
      <c r="V113" s="247"/>
      <c r="AN113" s="235">
        <f t="shared" si="62"/>
        <v>0</v>
      </c>
      <c r="AO113" s="235">
        <f t="shared" si="63"/>
        <v>0</v>
      </c>
    </row>
    <row r="114" spans="1:41" ht="15.75" x14ac:dyDescent="0.25">
      <c r="A114" s="236"/>
      <c r="B114" s="237"/>
      <c r="C114" s="238"/>
      <c r="D114" s="239"/>
      <c r="E114" s="240"/>
      <c r="F114" s="240"/>
      <c r="G114" s="240"/>
      <c r="H114" s="241">
        <f t="shared" si="64"/>
        <v>0</v>
      </c>
      <c r="I114" s="242"/>
      <c r="J114" s="243"/>
      <c r="K114" s="243"/>
      <c r="L114" s="244">
        <v>0.1</v>
      </c>
      <c r="M114" s="244">
        <f t="shared" si="65"/>
        <v>0</v>
      </c>
      <c r="N114" s="244"/>
      <c r="O114" s="244"/>
      <c r="P114" s="244"/>
      <c r="Q114" s="245">
        <f t="shared" si="66"/>
        <v>0</v>
      </c>
      <c r="R114" s="245">
        <f t="shared" si="67"/>
        <v>0</v>
      </c>
      <c r="S114" s="246">
        <v>0.5</v>
      </c>
      <c r="T114" s="245">
        <f t="shared" si="68"/>
        <v>0</v>
      </c>
      <c r="U114" s="245">
        <f t="shared" si="69"/>
        <v>0</v>
      </c>
      <c r="V114" s="247"/>
      <c r="AN114" s="235">
        <f t="shared" si="62"/>
        <v>0</v>
      </c>
      <c r="AO114" s="235">
        <f t="shared" si="63"/>
        <v>0</v>
      </c>
    </row>
    <row r="115" spans="1:41" ht="15.75" x14ac:dyDescent="0.25">
      <c r="A115" s="236"/>
      <c r="B115" s="237"/>
      <c r="C115" s="238"/>
      <c r="D115" s="239"/>
      <c r="E115" s="240"/>
      <c r="F115" s="240"/>
      <c r="G115" s="240"/>
      <c r="H115" s="241">
        <f t="shared" si="64"/>
        <v>0</v>
      </c>
      <c r="I115" s="242"/>
      <c r="J115" s="243"/>
      <c r="K115" s="243"/>
      <c r="L115" s="244">
        <v>0.1</v>
      </c>
      <c r="M115" s="244">
        <f t="shared" si="65"/>
        <v>0</v>
      </c>
      <c r="N115" s="244"/>
      <c r="O115" s="244"/>
      <c r="P115" s="244"/>
      <c r="Q115" s="245">
        <f t="shared" si="66"/>
        <v>0</v>
      </c>
      <c r="R115" s="245">
        <f t="shared" si="67"/>
        <v>0</v>
      </c>
      <c r="S115" s="246">
        <v>0.5</v>
      </c>
      <c r="T115" s="245">
        <f t="shared" si="68"/>
        <v>0</v>
      </c>
      <c r="U115" s="245">
        <f t="shared" si="69"/>
        <v>0</v>
      </c>
      <c r="V115" s="247"/>
      <c r="AN115" s="235">
        <f t="shared" si="62"/>
        <v>0</v>
      </c>
      <c r="AO115" s="235">
        <f t="shared" si="63"/>
        <v>0</v>
      </c>
    </row>
    <row r="116" spans="1:41" ht="15.75" x14ac:dyDescent="0.25">
      <c r="A116" s="236"/>
      <c r="B116" s="237"/>
      <c r="C116" s="238"/>
      <c r="D116" s="239"/>
      <c r="E116" s="240"/>
      <c r="F116" s="240"/>
      <c r="G116" s="240"/>
      <c r="H116" s="241">
        <f t="shared" si="64"/>
        <v>0</v>
      </c>
      <c r="I116" s="242"/>
      <c r="J116" s="243"/>
      <c r="K116" s="243"/>
      <c r="L116" s="244">
        <v>0.1</v>
      </c>
      <c r="M116" s="244">
        <f t="shared" si="65"/>
        <v>0</v>
      </c>
      <c r="N116" s="244"/>
      <c r="O116" s="244"/>
      <c r="P116" s="244"/>
      <c r="Q116" s="245">
        <f t="shared" si="66"/>
        <v>0</v>
      </c>
      <c r="R116" s="245">
        <f t="shared" si="67"/>
        <v>0</v>
      </c>
      <c r="S116" s="246">
        <v>0.5</v>
      </c>
      <c r="T116" s="245">
        <f t="shared" si="68"/>
        <v>0</v>
      </c>
      <c r="U116" s="245">
        <f t="shared" si="69"/>
        <v>0</v>
      </c>
      <c r="V116" s="247"/>
      <c r="AN116" s="235">
        <f t="shared" si="62"/>
        <v>0</v>
      </c>
      <c r="AO116" s="235">
        <f t="shared" si="63"/>
        <v>0</v>
      </c>
    </row>
    <row r="117" spans="1:41" ht="15.75" x14ac:dyDescent="0.25">
      <c r="A117" s="236"/>
      <c r="B117" s="237"/>
      <c r="C117" s="238"/>
      <c r="D117" s="239"/>
      <c r="E117" s="240"/>
      <c r="F117" s="240"/>
      <c r="G117" s="240"/>
      <c r="H117" s="241">
        <f t="shared" si="64"/>
        <v>0</v>
      </c>
      <c r="I117" s="242"/>
      <c r="J117" s="243"/>
      <c r="K117" s="243"/>
      <c r="L117" s="244">
        <v>0.1</v>
      </c>
      <c r="M117" s="244">
        <f t="shared" si="65"/>
        <v>0</v>
      </c>
      <c r="N117" s="244"/>
      <c r="O117" s="244"/>
      <c r="P117" s="244"/>
      <c r="Q117" s="245">
        <f t="shared" si="66"/>
        <v>0</v>
      </c>
      <c r="R117" s="245">
        <f t="shared" si="67"/>
        <v>0</v>
      </c>
      <c r="S117" s="246">
        <v>0.5</v>
      </c>
      <c r="T117" s="245">
        <f t="shared" si="68"/>
        <v>0</v>
      </c>
      <c r="U117" s="245">
        <f t="shared" si="69"/>
        <v>0</v>
      </c>
      <c r="V117" s="247"/>
      <c r="AN117" s="235">
        <f t="shared" si="62"/>
        <v>0</v>
      </c>
      <c r="AO117" s="235">
        <f t="shared" si="63"/>
        <v>0</v>
      </c>
    </row>
    <row r="118" spans="1:41" ht="15.75" x14ac:dyDescent="0.25">
      <c r="A118" s="236"/>
      <c r="B118" s="237"/>
      <c r="C118" s="238"/>
      <c r="D118" s="239"/>
      <c r="E118" s="240"/>
      <c r="F118" s="240"/>
      <c r="G118" s="240"/>
      <c r="H118" s="241">
        <f t="shared" si="64"/>
        <v>0</v>
      </c>
      <c r="I118" s="242"/>
      <c r="J118" s="243"/>
      <c r="K118" s="243"/>
      <c r="L118" s="244">
        <v>0.1</v>
      </c>
      <c r="M118" s="244">
        <f t="shared" si="65"/>
        <v>0</v>
      </c>
      <c r="N118" s="244"/>
      <c r="O118" s="244"/>
      <c r="P118" s="244"/>
      <c r="Q118" s="245">
        <f t="shared" si="66"/>
        <v>0</v>
      </c>
      <c r="R118" s="245">
        <f t="shared" si="67"/>
        <v>0</v>
      </c>
      <c r="S118" s="246">
        <v>0.5</v>
      </c>
      <c r="T118" s="245">
        <f t="shared" si="68"/>
        <v>0</v>
      </c>
      <c r="U118" s="245">
        <f t="shared" si="69"/>
        <v>0</v>
      </c>
      <c r="V118" s="247"/>
      <c r="AN118" s="235">
        <f t="shared" si="62"/>
        <v>0</v>
      </c>
      <c r="AO118" s="235">
        <f t="shared" si="63"/>
        <v>0</v>
      </c>
    </row>
    <row r="119" spans="1:41" ht="15.75" x14ac:dyDescent="0.25">
      <c r="A119" s="236"/>
      <c r="B119" s="237"/>
      <c r="C119" s="238"/>
      <c r="D119" s="239"/>
      <c r="E119" s="240"/>
      <c r="F119" s="240"/>
      <c r="G119" s="240"/>
      <c r="H119" s="241">
        <f t="shared" si="64"/>
        <v>0</v>
      </c>
      <c r="I119" s="242"/>
      <c r="J119" s="243"/>
      <c r="K119" s="243"/>
      <c r="L119" s="244">
        <v>0.1</v>
      </c>
      <c r="M119" s="244">
        <f t="shared" si="65"/>
        <v>0</v>
      </c>
      <c r="N119" s="244"/>
      <c r="O119" s="244"/>
      <c r="P119" s="244"/>
      <c r="Q119" s="245">
        <f t="shared" si="66"/>
        <v>0</v>
      </c>
      <c r="R119" s="245">
        <f t="shared" si="67"/>
        <v>0</v>
      </c>
      <c r="S119" s="246">
        <v>0.5</v>
      </c>
      <c r="T119" s="245">
        <f t="shared" si="68"/>
        <v>0</v>
      </c>
      <c r="U119" s="245">
        <f t="shared" si="69"/>
        <v>0</v>
      </c>
      <c r="V119" s="247"/>
      <c r="AN119" s="235">
        <f t="shared" si="62"/>
        <v>0</v>
      </c>
      <c r="AO119" s="235">
        <f t="shared" si="63"/>
        <v>0</v>
      </c>
    </row>
    <row r="120" spans="1:41" ht="15.75" x14ac:dyDescent="0.25">
      <c r="A120" s="236"/>
      <c r="B120" s="237"/>
      <c r="C120" s="238"/>
      <c r="D120" s="239"/>
      <c r="E120" s="240"/>
      <c r="F120" s="240"/>
      <c r="G120" s="240"/>
      <c r="H120" s="241">
        <f t="shared" si="64"/>
        <v>0</v>
      </c>
      <c r="I120" s="242"/>
      <c r="J120" s="243"/>
      <c r="K120" s="243"/>
      <c r="L120" s="244">
        <v>0.1</v>
      </c>
      <c r="M120" s="244">
        <f t="shared" si="65"/>
        <v>0</v>
      </c>
      <c r="N120" s="244"/>
      <c r="O120" s="244"/>
      <c r="P120" s="244"/>
      <c r="Q120" s="245">
        <f t="shared" si="66"/>
        <v>0</v>
      </c>
      <c r="R120" s="245">
        <f t="shared" si="67"/>
        <v>0</v>
      </c>
      <c r="S120" s="246">
        <v>0.5</v>
      </c>
      <c r="T120" s="245">
        <f t="shared" si="68"/>
        <v>0</v>
      </c>
      <c r="U120" s="245">
        <f t="shared" si="69"/>
        <v>0</v>
      </c>
      <c r="V120" s="247"/>
      <c r="AN120" s="235">
        <f t="shared" si="62"/>
        <v>0</v>
      </c>
      <c r="AO120" s="235">
        <f t="shared" si="63"/>
        <v>0</v>
      </c>
    </row>
    <row r="121" spans="1:41" ht="15.75" x14ac:dyDescent="0.25">
      <c r="A121" s="236"/>
      <c r="B121" s="237"/>
      <c r="C121" s="238"/>
      <c r="D121" s="239"/>
      <c r="E121" s="240"/>
      <c r="F121" s="240"/>
      <c r="G121" s="240"/>
      <c r="H121" s="241">
        <f t="shared" si="64"/>
        <v>0</v>
      </c>
      <c r="I121" s="242"/>
      <c r="J121" s="243"/>
      <c r="K121" s="243"/>
      <c r="L121" s="244">
        <v>0.1</v>
      </c>
      <c r="M121" s="244">
        <f t="shared" si="65"/>
        <v>0</v>
      </c>
      <c r="N121" s="244"/>
      <c r="O121" s="244"/>
      <c r="P121" s="244"/>
      <c r="Q121" s="245">
        <f t="shared" si="66"/>
        <v>0</v>
      </c>
      <c r="R121" s="245">
        <f t="shared" si="67"/>
        <v>0</v>
      </c>
      <c r="S121" s="246">
        <v>0.5</v>
      </c>
      <c r="T121" s="245">
        <f t="shared" si="68"/>
        <v>0</v>
      </c>
      <c r="U121" s="245">
        <f t="shared" si="69"/>
        <v>0</v>
      </c>
      <c r="V121" s="247"/>
      <c r="AN121" s="235">
        <f t="shared" si="62"/>
        <v>0</v>
      </c>
      <c r="AO121" s="235">
        <f t="shared" si="63"/>
        <v>0</v>
      </c>
    </row>
    <row r="122" spans="1:41" ht="15.75" x14ac:dyDescent="0.25">
      <c r="A122" s="236"/>
      <c r="B122" s="237"/>
      <c r="C122" s="238"/>
      <c r="D122" s="239"/>
      <c r="E122" s="240"/>
      <c r="F122" s="240"/>
      <c r="G122" s="240"/>
      <c r="H122" s="241">
        <f t="shared" si="64"/>
        <v>0</v>
      </c>
      <c r="I122" s="242"/>
      <c r="J122" s="243"/>
      <c r="K122" s="243"/>
      <c r="L122" s="244">
        <v>0.1</v>
      </c>
      <c r="M122" s="244">
        <f t="shared" si="65"/>
        <v>0</v>
      </c>
      <c r="N122" s="244"/>
      <c r="O122" s="244"/>
      <c r="P122" s="244"/>
      <c r="Q122" s="245">
        <f t="shared" si="66"/>
        <v>0</v>
      </c>
      <c r="R122" s="245">
        <f t="shared" si="67"/>
        <v>0</v>
      </c>
      <c r="S122" s="246">
        <v>0.5</v>
      </c>
      <c r="T122" s="245">
        <f t="shared" si="68"/>
        <v>0</v>
      </c>
      <c r="U122" s="245">
        <f t="shared" si="69"/>
        <v>0</v>
      </c>
      <c r="V122" s="247"/>
      <c r="AN122" s="235">
        <f t="shared" si="62"/>
        <v>0</v>
      </c>
      <c r="AO122" s="235">
        <f t="shared" si="63"/>
        <v>0</v>
      </c>
    </row>
    <row r="123" spans="1:41" ht="15.75" x14ac:dyDescent="0.25">
      <c r="A123" s="236"/>
      <c r="B123" s="237"/>
      <c r="C123" s="238"/>
      <c r="D123" s="239"/>
      <c r="E123" s="240"/>
      <c r="F123" s="240"/>
      <c r="G123" s="240"/>
      <c r="H123" s="241">
        <f t="shared" si="64"/>
        <v>0</v>
      </c>
      <c r="I123" s="242"/>
      <c r="J123" s="243"/>
      <c r="K123" s="243"/>
      <c r="L123" s="244">
        <v>0.1</v>
      </c>
      <c r="M123" s="244">
        <f t="shared" si="65"/>
        <v>0</v>
      </c>
      <c r="N123" s="244"/>
      <c r="O123" s="244"/>
      <c r="P123" s="244"/>
      <c r="Q123" s="245">
        <f t="shared" si="66"/>
        <v>0</v>
      </c>
      <c r="R123" s="245">
        <f t="shared" si="67"/>
        <v>0</v>
      </c>
      <c r="S123" s="246">
        <v>0.5</v>
      </c>
      <c r="T123" s="245">
        <f t="shared" si="68"/>
        <v>0</v>
      </c>
      <c r="U123" s="245">
        <f t="shared" si="69"/>
        <v>0</v>
      </c>
      <c r="V123" s="247"/>
      <c r="AN123" s="235">
        <f t="shared" si="62"/>
        <v>0</v>
      </c>
      <c r="AO123" s="235">
        <f t="shared" si="63"/>
        <v>0</v>
      </c>
    </row>
    <row r="124" spans="1:41" ht="15.75" x14ac:dyDescent="0.25">
      <c r="A124" s="236"/>
      <c r="B124" s="237"/>
      <c r="C124" s="238"/>
      <c r="D124" s="239"/>
      <c r="E124" s="240"/>
      <c r="F124" s="240"/>
      <c r="G124" s="240"/>
      <c r="H124" s="241">
        <f t="shared" si="64"/>
        <v>0</v>
      </c>
      <c r="I124" s="242"/>
      <c r="J124" s="243"/>
      <c r="K124" s="243"/>
      <c r="L124" s="244">
        <v>0.1</v>
      </c>
      <c r="M124" s="244">
        <f t="shared" si="65"/>
        <v>0</v>
      </c>
      <c r="N124" s="244"/>
      <c r="O124" s="244"/>
      <c r="P124" s="244"/>
      <c r="Q124" s="245">
        <f t="shared" si="66"/>
        <v>0</v>
      </c>
      <c r="R124" s="245">
        <f t="shared" si="67"/>
        <v>0</v>
      </c>
      <c r="S124" s="246">
        <v>0.5</v>
      </c>
      <c r="T124" s="245">
        <f t="shared" si="68"/>
        <v>0</v>
      </c>
      <c r="U124" s="245">
        <f t="shared" si="69"/>
        <v>0</v>
      </c>
      <c r="V124" s="247"/>
      <c r="AN124" s="235">
        <f t="shared" si="62"/>
        <v>0</v>
      </c>
      <c r="AO124" s="235">
        <f t="shared" si="63"/>
        <v>0</v>
      </c>
    </row>
    <row r="125" spans="1:41" ht="15.75" x14ac:dyDescent="0.25">
      <c r="A125" s="236"/>
      <c r="B125" s="237"/>
      <c r="C125" s="238"/>
      <c r="D125" s="239"/>
      <c r="E125" s="240"/>
      <c r="F125" s="240"/>
      <c r="G125" s="240"/>
      <c r="H125" s="241">
        <f t="shared" si="64"/>
        <v>0</v>
      </c>
      <c r="I125" s="242"/>
      <c r="J125" s="243"/>
      <c r="K125" s="243"/>
      <c r="L125" s="244">
        <v>0.1</v>
      </c>
      <c r="M125" s="244">
        <f t="shared" si="65"/>
        <v>0</v>
      </c>
      <c r="N125" s="244"/>
      <c r="O125" s="244"/>
      <c r="P125" s="244"/>
      <c r="Q125" s="245">
        <f t="shared" si="66"/>
        <v>0</v>
      </c>
      <c r="R125" s="245">
        <f t="shared" si="67"/>
        <v>0</v>
      </c>
      <c r="S125" s="246">
        <v>0.5</v>
      </c>
      <c r="T125" s="245">
        <f t="shared" si="68"/>
        <v>0</v>
      </c>
      <c r="U125" s="245">
        <f t="shared" si="69"/>
        <v>0</v>
      </c>
      <c r="V125" s="247"/>
      <c r="AN125" s="235">
        <f t="shared" si="62"/>
        <v>0</v>
      </c>
      <c r="AO125" s="235">
        <f t="shared" si="63"/>
        <v>0</v>
      </c>
    </row>
    <row r="126" spans="1:41" ht="15.75" x14ac:dyDescent="0.25">
      <c r="A126" s="236"/>
      <c r="B126" s="237"/>
      <c r="C126" s="238"/>
      <c r="D126" s="239"/>
      <c r="E126" s="240"/>
      <c r="F126" s="240"/>
      <c r="G126" s="240"/>
      <c r="H126" s="241">
        <f t="shared" si="64"/>
        <v>0</v>
      </c>
      <c r="I126" s="242"/>
      <c r="J126" s="243"/>
      <c r="K126" s="243"/>
      <c r="L126" s="244">
        <v>0.1</v>
      </c>
      <c r="M126" s="244">
        <f t="shared" si="65"/>
        <v>0</v>
      </c>
      <c r="N126" s="244"/>
      <c r="O126" s="244"/>
      <c r="P126" s="244"/>
      <c r="Q126" s="245">
        <f t="shared" si="66"/>
        <v>0</v>
      </c>
      <c r="R126" s="245">
        <f t="shared" si="67"/>
        <v>0</v>
      </c>
      <c r="S126" s="246">
        <v>0.5</v>
      </c>
      <c r="T126" s="245">
        <f t="shared" si="68"/>
        <v>0</v>
      </c>
      <c r="U126" s="245">
        <f t="shared" si="69"/>
        <v>0</v>
      </c>
      <c r="V126" s="247"/>
      <c r="AN126" s="235">
        <f t="shared" si="62"/>
        <v>0</v>
      </c>
      <c r="AO126" s="235">
        <f t="shared" si="63"/>
        <v>0</v>
      </c>
    </row>
    <row r="127" spans="1:41" ht="15.75" x14ac:dyDescent="0.25">
      <c r="A127" s="236"/>
      <c r="B127" s="237"/>
      <c r="C127" s="238"/>
      <c r="D127" s="239"/>
      <c r="E127" s="240"/>
      <c r="F127" s="240"/>
      <c r="G127" s="240"/>
      <c r="H127" s="241">
        <f t="shared" si="64"/>
        <v>0</v>
      </c>
      <c r="I127" s="242"/>
      <c r="J127" s="243"/>
      <c r="K127" s="243"/>
      <c r="L127" s="244">
        <v>0.1</v>
      </c>
      <c r="M127" s="244">
        <f t="shared" si="65"/>
        <v>0</v>
      </c>
      <c r="N127" s="244"/>
      <c r="O127" s="244"/>
      <c r="P127" s="244"/>
      <c r="Q127" s="245">
        <f t="shared" si="66"/>
        <v>0</v>
      </c>
      <c r="R127" s="245">
        <f t="shared" si="67"/>
        <v>0</v>
      </c>
      <c r="S127" s="246">
        <v>0.5</v>
      </c>
      <c r="T127" s="245">
        <f t="shared" si="68"/>
        <v>0</v>
      </c>
      <c r="U127" s="245">
        <f t="shared" si="69"/>
        <v>0</v>
      </c>
      <c r="V127" s="247"/>
      <c r="AN127" s="235">
        <f t="shared" si="62"/>
        <v>0</v>
      </c>
      <c r="AO127" s="235">
        <f t="shared" si="63"/>
        <v>0</v>
      </c>
    </row>
    <row r="128" spans="1:41" ht="15.75" x14ac:dyDescent="0.25">
      <c r="A128" s="236"/>
      <c r="B128" s="237"/>
      <c r="C128" s="238"/>
      <c r="D128" s="239"/>
      <c r="E128" s="240"/>
      <c r="F128" s="240"/>
      <c r="G128" s="240"/>
      <c r="H128" s="241">
        <f t="shared" si="64"/>
        <v>0</v>
      </c>
      <c r="I128" s="242"/>
      <c r="J128" s="243"/>
      <c r="K128" s="243"/>
      <c r="L128" s="244">
        <v>0.1</v>
      </c>
      <c r="M128" s="244">
        <f t="shared" si="65"/>
        <v>0</v>
      </c>
      <c r="N128" s="244"/>
      <c r="O128" s="244"/>
      <c r="P128" s="244"/>
      <c r="Q128" s="245">
        <f t="shared" si="66"/>
        <v>0</v>
      </c>
      <c r="R128" s="245">
        <f t="shared" si="67"/>
        <v>0</v>
      </c>
      <c r="S128" s="246">
        <v>0.5</v>
      </c>
      <c r="T128" s="245">
        <f t="shared" si="68"/>
        <v>0</v>
      </c>
      <c r="U128" s="245">
        <f t="shared" si="69"/>
        <v>0</v>
      </c>
      <c r="V128" s="247"/>
      <c r="AN128" s="235">
        <f t="shared" si="62"/>
        <v>0</v>
      </c>
      <c r="AO128" s="235">
        <f t="shared" si="63"/>
        <v>0</v>
      </c>
    </row>
    <row r="129" spans="1:41" ht="15.75" x14ac:dyDescent="0.25">
      <c r="A129" s="236"/>
      <c r="B129" s="237"/>
      <c r="C129" s="238"/>
      <c r="D129" s="239"/>
      <c r="E129" s="240"/>
      <c r="F129" s="240"/>
      <c r="G129" s="240"/>
      <c r="H129" s="241">
        <f t="shared" si="64"/>
        <v>0</v>
      </c>
      <c r="I129" s="242"/>
      <c r="J129" s="243"/>
      <c r="K129" s="243"/>
      <c r="L129" s="244">
        <v>0.1</v>
      </c>
      <c r="M129" s="244">
        <f t="shared" si="65"/>
        <v>0</v>
      </c>
      <c r="N129" s="244"/>
      <c r="O129" s="244"/>
      <c r="P129" s="244"/>
      <c r="Q129" s="245">
        <f t="shared" si="66"/>
        <v>0</v>
      </c>
      <c r="R129" s="245">
        <f t="shared" si="67"/>
        <v>0</v>
      </c>
      <c r="S129" s="246">
        <v>0.5</v>
      </c>
      <c r="T129" s="245">
        <f t="shared" si="68"/>
        <v>0</v>
      </c>
      <c r="U129" s="245">
        <f t="shared" si="69"/>
        <v>0</v>
      </c>
      <c r="V129" s="247"/>
      <c r="AN129" s="235">
        <f t="shared" si="62"/>
        <v>0</v>
      </c>
      <c r="AO129" s="235">
        <f t="shared" si="63"/>
        <v>0</v>
      </c>
    </row>
    <row r="130" spans="1:41" ht="15.75" x14ac:dyDescent="0.25">
      <c r="A130" s="236"/>
      <c r="B130" s="237"/>
      <c r="C130" s="238"/>
      <c r="D130" s="239"/>
      <c r="E130" s="240"/>
      <c r="F130" s="240"/>
      <c r="G130" s="240"/>
      <c r="H130" s="241">
        <f t="shared" si="64"/>
        <v>0</v>
      </c>
      <c r="I130" s="242"/>
      <c r="J130" s="243"/>
      <c r="K130" s="243"/>
      <c r="L130" s="244">
        <v>0.1</v>
      </c>
      <c r="M130" s="244">
        <f t="shared" si="65"/>
        <v>0</v>
      </c>
      <c r="N130" s="244"/>
      <c r="O130" s="244"/>
      <c r="P130" s="244"/>
      <c r="Q130" s="245">
        <f t="shared" si="66"/>
        <v>0</v>
      </c>
      <c r="R130" s="245">
        <f t="shared" si="67"/>
        <v>0</v>
      </c>
      <c r="S130" s="246">
        <v>0.5</v>
      </c>
      <c r="T130" s="245">
        <f t="shared" si="68"/>
        <v>0</v>
      </c>
      <c r="U130" s="245">
        <f t="shared" si="69"/>
        <v>0</v>
      </c>
      <c r="V130" s="247"/>
      <c r="AN130" s="235">
        <f t="shared" si="62"/>
        <v>0</v>
      </c>
      <c r="AO130" s="235">
        <f t="shared" si="63"/>
        <v>0</v>
      </c>
    </row>
    <row r="131" spans="1:41" ht="15.75" x14ac:dyDescent="0.25">
      <c r="A131" s="236"/>
      <c r="B131" s="237"/>
      <c r="C131" s="238"/>
      <c r="D131" s="239"/>
      <c r="E131" s="240"/>
      <c r="F131" s="240"/>
      <c r="G131" s="240"/>
      <c r="H131" s="241">
        <f t="shared" si="64"/>
        <v>0</v>
      </c>
      <c r="I131" s="242"/>
      <c r="J131" s="243"/>
      <c r="K131" s="243"/>
      <c r="L131" s="244">
        <v>0.1</v>
      </c>
      <c r="M131" s="244">
        <f t="shared" si="65"/>
        <v>0</v>
      </c>
      <c r="N131" s="244"/>
      <c r="O131" s="244"/>
      <c r="P131" s="244"/>
      <c r="Q131" s="245">
        <f t="shared" si="66"/>
        <v>0</v>
      </c>
      <c r="R131" s="245">
        <f t="shared" si="67"/>
        <v>0</v>
      </c>
      <c r="S131" s="246">
        <v>0.5</v>
      </c>
      <c r="T131" s="245">
        <f t="shared" si="68"/>
        <v>0</v>
      </c>
      <c r="U131" s="245">
        <f t="shared" si="69"/>
        <v>0</v>
      </c>
      <c r="V131" s="247"/>
      <c r="AN131" s="235">
        <f t="shared" si="62"/>
        <v>0</v>
      </c>
      <c r="AO131" s="235">
        <f t="shared" si="63"/>
        <v>0</v>
      </c>
    </row>
    <row r="132" spans="1:41" ht="15.75" x14ac:dyDescent="0.25">
      <c r="A132" s="236"/>
      <c r="B132" s="237"/>
      <c r="C132" s="238"/>
      <c r="D132" s="239"/>
      <c r="E132" s="240"/>
      <c r="F132" s="240"/>
      <c r="G132" s="240"/>
      <c r="H132" s="241">
        <f t="shared" si="64"/>
        <v>0</v>
      </c>
      <c r="I132" s="242"/>
      <c r="J132" s="243"/>
      <c r="K132" s="243"/>
      <c r="L132" s="244">
        <v>0.1</v>
      </c>
      <c r="M132" s="244">
        <f t="shared" si="65"/>
        <v>0</v>
      </c>
      <c r="N132" s="244"/>
      <c r="O132" s="244"/>
      <c r="P132" s="244"/>
      <c r="Q132" s="245">
        <f t="shared" si="66"/>
        <v>0</v>
      </c>
      <c r="R132" s="245">
        <f t="shared" si="67"/>
        <v>0</v>
      </c>
      <c r="S132" s="246">
        <v>0.5</v>
      </c>
      <c r="T132" s="245">
        <f t="shared" si="68"/>
        <v>0</v>
      </c>
      <c r="U132" s="245">
        <f t="shared" si="69"/>
        <v>0</v>
      </c>
      <c r="V132" s="247"/>
      <c r="AN132" s="235">
        <f t="shared" si="62"/>
        <v>0</v>
      </c>
      <c r="AO132" s="235">
        <f t="shared" si="63"/>
        <v>0</v>
      </c>
    </row>
    <row r="133" spans="1:41" ht="15.75" x14ac:dyDescent="0.25">
      <c r="A133" s="236"/>
      <c r="B133" s="237"/>
      <c r="C133" s="238"/>
      <c r="D133" s="239"/>
      <c r="E133" s="240"/>
      <c r="F133" s="240"/>
      <c r="G133" s="240"/>
      <c r="H133" s="241">
        <f t="shared" si="64"/>
        <v>0</v>
      </c>
      <c r="I133" s="242"/>
      <c r="J133" s="243"/>
      <c r="K133" s="243"/>
      <c r="L133" s="244">
        <v>0.1</v>
      </c>
      <c r="M133" s="244">
        <f t="shared" si="65"/>
        <v>0</v>
      </c>
      <c r="N133" s="244"/>
      <c r="O133" s="244"/>
      <c r="P133" s="244"/>
      <c r="Q133" s="245">
        <f t="shared" si="66"/>
        <v>0</v>
      </c>
      <c r="R133" s="245">
        <f t="shared" si="67"/>
        <v>0</v>
      </c>
      <c r="S133" s="246">
        <v>0.5</v>
      </c>
      <c r="T133" s="245">
        <f t="shared" si="68"/>
        <v>0</v>
      </c>
      <c r="U133" s="245">
        <f t="shared" si="69"/>
        <v>0</v>
      </c>
      <c r="V133" s="247"/>
      <c r="AN133" s="235">
        <f t="shared" si="62"/>
        <v>0</v>
      </c>
      <c r="AO133" s="235">
        <f t="shared" si="63"/>
        <v>0</v>
      </c>
    </row>
    <row r="134" spans="1:41" ht="15.75" x14ac:dyDescent="0.25">
      <c r="A134" s="236"/>
      <c r="B134" s="237"/>
      <c r="C134" s="238"/>
      <c r="D134" s="239"/>
      <c r="E134" s="240"/>
      <c r="F134" s="240"/>
      <c r="G134" s="240"/>
      <c r="H134" s="241">
        <f t="shared" si="64"/>
        <v>0</v>
      </c>
      <c r="I134" s="242"/>
      <c r="J134" s="243"/>
      <c r="K134" s="243"/>
      <c r="L134" s="244">
        <v>0.1</v>
      </c>
      <c r="M134" s="244">
        <f t="shared" si="65"/>
        <v>0</v>
      </c>
      <c r="N134" s="244"/>
      <c r="O134" s="244"/>
      <c r="P134" s="244"/>
      <c r="Q134" s="245">
        <f t="shared" si="66"/>
        <v>0</v>
      </c>
      <c r="R134" s="245">
        <f t="shared" si="67"/>
        <v>0</v>
      </c>
      <c r="S134" s="246">
        <v>0.5</v>
      </c>
      <c r="T134" s="245">
        <f t="shared" si="68"/>
        <v>0</v>
      </c>
      <c r="U134" s="245">
        <f t="shared" si="69"/>
        <v>0</v>
      </c>
      <c r="V134" s="247"/>
      <c r="AN134" s="235">
        <f t="shared" si="62"/>
        <v>0</v>
      </c>
      <c r="AO134" s="235">
        <f t="shared" si="63"/>
        <v>0</v>
      </c>
    </row>
    <row r="135" spans="1:41" ht="15.75" x14ac:dyDescent="0.25">
      <c r="A135" s="236"/>
      <c r="B135" s="237"/>
      <c r="C135" s="238"/>
      <c r="D135" s="239"/>
      <c r="E135" s="240"/>
      <c r="F135" s="240"/>
      <c r="G135" s="240"/>
      <c r="H135" s="241">
        <f t="shared" si="64"/>
        <v>0</v>
      </c>
      <c r="I135" s="242"/>
      <c r="J135" s="243"/>
      <c r="K135" s="243"/>
      <c r="L135" s="244">
        <v>0.1</v>
      </c>
      <c r="M135" s="244">
        <f t="shared" si="65"/>
        <v>0</v>
      </c>
      <c r="N135" s="244"/>
      <c r="O135" s="244"/>
      <c r="P135" s="244"/>
      <c r="Q135" s="245">
        <f t="shared" si="66"/>
        <v>0</v>
      </c>
      <c r="R135" s="245">
        <f t="shared" si="67"/>
        <v>0</v>
      </c>
      <c r="S135" s="246">
        <v>0.5</v>
      </c>
      <c r="T135" s="245">
        <f t="shared" si="68"/>
        <v>0</v>
      </c>
      <c r="U135" s="245">
        <f t="shared" si="69"/>
        <v>0</v>
      </c>
      <c r="V135" s="247"/>
      <c r="AN135" s="235">
        <f t="shared" si="62"/>
        <v>0</v>
      </c>
      <c r="AO135" s="235">
        <f t="shared" si="63"/>
        <v>0</v>
      </c>
    </row>
    <row r="136" spans="1:41" ht="15.75" x14ac:dyDescent="0.25">
      <c r="A136" s="236"/>
      <c r="B136" s="237"/>
      <c r="C136" s="238"/>
      <c r="D136" s="239"/>
      <c r="E136" s="240"/>
      <c r="F136" s="240"/>
      <c r="G136" s="240"/>
      <c r="H136" s="241">
        <f t="shared" si="64"/>
        <v>0</v>
      </c>
      <c r="I136" s="242"/>
      <c r="J136" s="243"/>
      <c r="K136" s="243"/>
      <c r="L136" s="244">
        <v>0.1</v>
      </c>
      <c r="M136" s="244">
        <f t="shared" si="65"/>
        <v>0</v>
      </c>
      <c r="N136" s="244"/>
      <c r="O136" s="244"/>
      <c r="P136" s="244"/>
      <c r="Q136" s="245">
        <f t="shared" si="66"/>
        <v>0</v>
      </c>
      <c r="R136" s="245">
        <f t="shared" si="67"/>
        <v>0</v>
      </c>
      <c r="S136" s="246">
        <v>0.5</v>
      </c>
      <c r="T136" s="245">
        <f t="shared" si="68"/>
        <v>0</v>
      </c>
      <c r="U136" s="245">
        <f t="shared" si="69"/>
        <v>0</v>
      </c>
      <c r="V136" s="247"/>
      <c r="AN136" s="235">
        <f t="shared" si="62"/>
        <v>0</v>
      </c>
      <c r="AO136" s="235">
        <f t="shared" si="63"/>
        <v>0</v>
      </c>
    </row>
    <row r="137" spans="1:41" ht="15.75" x14ac:dyDescent="0.25">
      <c r="A137" s="236"/>
      <c r="B137" s="237"/>
      <c r="C137" s="238"/>
      <c r="D137" s="239"/>
      <c r="E137" s="240"/>
      <c r="F137" s="240"/>
      <c r="G137" s="240"/>
      <c r="H137" s="241">
        <f t="shared" si="64"/>
        <v>0</v>
      </c>
      <c r="I137" s="242"/>
      <c r="J137" s="243"/>
      <c r="K137" s="243"/>
      <c r="L137" s="244">
        <v>0.1</v>
      </c>
      <c r="M137" s="244">
        <f t="shared" si="65"/>
        <v>0</v>
      </c>
      <c r="N137" s="244"/>
      <c r="O137" s="244"/>
      <c r="P137" s="244"/>
      <c r="Q137" s="245">
        <f t="shared" si="66"/>
        <v>0</v>
      </c>
      <c r="R137" s="245">
        <f t="shared" si="67"/>
        <v>0</v>
      </c>
      <c r="S137" s="246">
        <v>0.5</v>
      </c>
      <c r="T137" s="245">
        <f t="shared" si="68"/>
        <v>0</v>
      </c>
      <c r="U137" s="245">
        <f t="shared" si="69"/>
        <v>0</v>
      </c>
      <c r="V137" s="247"/>
      <c r="AN137" s="235">
        <f t="shared" si="62"/>
        <v>0</v>
      </c>
      <c r="AO137" s="235">
        <f t="shared" si="63"/>
        <v>0</v>
      </c>
    </row>
    <row r="138" spans="1:41" ht="15.75" x14ac:dyDescent="0.25">
      <c r="A138" s="236"/>
      <c r="B138" s="237"/>
      <c r="C138" s="238"/>
      <c r="D138" s="239"/>
      <c r="E138" s="240"/>
      <c r="F138" s="240"/>
      <c r="G138" s="240"/>
      <c r="H138" s="241">
        <f t="shared" si="64"/>
        <v>0</v>
      </c>
      <c r="I138" s="242"/>
      <c r="J138" s="243"/>
      <c r="K138" s="243"/>
      <c r="L138" s="244">
        <v>0.1</v>
      </c>
      <c r="M138" s="244">
        <f t="shared" si="65"/>
        <v>0</v>
      </c>
      <c r="N138" s="244"/>
      <c r="O138" s="244"/>
      <c r="P138" s="244"/>
      <c r="Q138" s="245">
        <f t="shared" si="66"/>
        <v>0</v>
      </c>
      <c r="R138" s="245">
        <f t="shared" si="67"/>
        <v>0</v>
      </c>
      <c r="S138" s="246">
        <v>0.5</v>
      </c>
      <c r="T138" s="245">
        <f t="shared" si="68"/>
        <v>0</v>
      </c>
      <c r="U138" s="245">
        <f t="shared" si="69"/>
        <v>0</v>
      </c>
      <c r="V138" s="247"/>
      <c r="AN138" s="235">
        <f t="shared" si="62"/>
        <v>0</v>
      </c>
      <c r="AO138" s="235">
        <f t="shared" si="63"/>
        <v>0</v>
      </c>
    </row>
    <row r="139" spans="1:41" ht="15.75" x14ac:dyDescent="0.25">
      <c r="A139" s="236"/>
      <c r="B139" s="237"/>
      <c r="C139" s="238"/>
      <c r="D139" s="239"/>
      <c r="E139" s="240"/>
      <c r="F139" s="240"/>
      <c r="G139" s="240"/>
      <c r="H139" s="241">
        <f t="shared" si="64"/>
        <v>0</v>
      </c>
      <c r="I139" s="242"/>
      <c r="J139" s="243"/>
      <c r="K139" s="243"/>
      <c r="L139" s="244">
        <v>0.1</v>
      </c>
      <c r="M139" s="244">
        <f t="shared" si="65"/>
        <v>0</v>
      </c>
      <c r="N139" s="244"/>
      <c r="O139" s="244"/>
      <c r="P139" s="244"/>
      <c r="Q139" s="245">
        <f t="shared" si="66"/>
        <v>0</v>
      </c>
      <c r="R139" s="245">
        <f t="shared" si="67"/>
        <v>0</v>
      </c>
      <c r="S139" s="246">
        <v>0.5</v>
      </c>
      <c r="T139" s="245">
        <f t="shared" si="68"/>
        <v>0</v>
      </c>
      <c r="U139" s="245">
        <f t="shared" si="69"/>
        <v>0</v>
      </c>
      <c r="V139" s="247"/>
      <c r="AN139" s="235">
        <f t="shared" si="62"/>
        <v>0</v>
      </c>
      <c r="AO139" s="235">
        <f t="shared" si="63"/>
        <v>0</v>
      </c>
    </row>
    <row r="140" spans="1:41" ht="15.75" x14ac:dyDescent="0.25">
      <c r="A140" s="236"/>
      <c r="B140" s="237"/>
      <c r="C140" s="238"/>
      <c r="D140" s="239"/>
      <c r="E140" s="240"/>
      <c r="F140" s="240"/>
      <c r="G140" s="240"/>
      <c r="H140" s="241">
        <f t="shared" si="64"/>
        <v>0</v>
      </c>
      <c r="I140" s="242"/>
      <c r="J140" s="243"/>
      <c r="K140" s="243"/>
      <c r="L140" s="244">
        <v>0.1</v>
      </c>
      <c r="M140" s="244">
        <f t="shared" si="65"/>
        <v>0</v>
      </c>
      <c r="N140" s="244"/>
      <c r="O140" s="244"/>
      <c r="P140" s="244"/>
      <c r="Q140" s="245">
        <f t="shared" si="66"/>
        <v>0</v>
      </c>
      <c r="R140" s="245">
        <f t="shared" si="67"/>
        <v>0</v>
      </c>
      <c r="S140" s="246">
        <v>0.5</v>
      </c>
      <c r="T140" s="245">
        <f t="shared" si="68"/>
        <v>0</v>
      </c>
      <c r="U140" s="245">
        <f t="shared" si="69"/>
        <v>0</v>
      </c>
      <c r="V140" s="247"/>
      <c r="AN140" s="235">
        <f t="shared" si="62"/>
        <v>0</v>
      </c>
      <c r="AO140" s="235">
        <f t="shared" si="63"/>
        <v>0</v>
      </c>
    </row>
    <row r="141" spans="1:41" ht="15.75" x14ac:dyDescent="0.25">
      <c r="A141" s="236"/>
      <c r="B141" s="237"/>
      <c r="C141" s="238"/>
      <c r="D141" s="239"/>
      <c r="E141" s="240"/>
      <c r="F141" s="240"/>
      <c r="G141" s="240"/>
      <c r="H141" s="241">
        <f t="shared" si="64"/>
        <v>0</v>
      </c>
      <c r="I141" s="242"/>
      <c r="J141" s="243"/>
      <c r="K141" s="243"/>
      <c r="L141" s="244">
        <v>0.1</v>
      </c>
      <c r="M141" s="244">
        <f t="shared" si="65"/>
        <v>0</v>
      </c>
      <c r="N141" s="244"/>
      <c r="O141" s="244"/>
      <c r="P141" s="244"/>
      <c r="Q141" s="245">
        <f t="shared" si="66"/>
        <v>0</v>
      </c>
      <c r="R141" s="245">
        <f t="shared" si="67"/>
        <v>0</v>
      </c>
      <c r="S141" s="246">
        <v>0.5</v>
      </c>
      <c r="T141" s="245">
        <f t="shared" si="68"/>
        <v>0</v>
      </c>
      <c r="U141" s="245">
        <f t="shared" si="69"/>
        <v>0</v>
      </c>
      <c r="V141" s="247"/>
      <c r="AN141" s="235">
        <f t="shared" si="62"/>
        <v>0</v>
      </c>
      <c r="AO141" s="235">
        <f t="shared" si="63"/>
        <v>0</v>
      </c>
    </row>
    <row r="142" spans="1:41" ht="15.75" x14ac:dyDescent="0.25">
      <c r="A142" s="236"/>
      <c r="B142" s="237"/>
      <c r="C142" s="238"/>
      <c r="D142" s="239"/>
      <c r="E142" s="240"/>
      <c r="F142" s="240"/>
      <c r="G142" s="240"/>
      <c r="H142" s="241">
        <f t="shared" si="64"/>
        <v>0</v>
      </c>
      <c r="I142" s="242"/>
      <c r="J142" s="243"/>
      <c r="K142" s="243"/>
      <c r="L142" s="244">
        <v>0.1</v>
      </c>
      <c r="M142" s="244">
        <f t="shared" si="65"/>
        <v>0</v>
      </c>
      <c r="N142" s="244"/>
      <c r="O142" s="244"/>
      <c r="P142" s="244"/>
      <c r="Q142" s="245">
        <f t="shared" si="66"/>
        <v>0</v>
      </c>
      <c r="R142" s="245">
        <f t="shared" si="67"/>
        <v>0</v>
      </c>
      <c r="S142" s="246">
        <v>0.5</v>
      </c>
      <c r="T142" s="245">
        <f t="shared" si="68"/>
        <v>0</v>
      </c>
      <c r="U142" s="245">
        <f t="shared" si="69"/>
        <v>0</v>
      </c>
      <c r="V142" s="247"/>
      <c r="AN142" s="235">
        <f t="shared" si="62"/>
        <v>0</v>
      </c>
      <c r="AO142" s="235">
        <f t="shared" si="63"/>
        <v>0</v>
      </c>
    </row>
    <row r="143" spans="1:41" ht="15.75" x14ac:dyDescent="0.25">
      <c r="A143" s="236"/>
      <c r="B143" s="237"/>
      <c r="C143" s="238"/>
      <c r="D143" s="239"/>
      <c r="E143" s="240"/>
      <c r="F143" s="240"/>
      <c r="G143" s="240"/>
      <c r="H143" s="241">
        <f t="shared" si="64"/>
        <v>0</v>
      </c>
      <c r="I143" s="242"/>
      <c r="J143" s="243"/>
      <c r="K143" s="243"/>
      <c r="L143" s="244">
        <v>0.1</v>
      </c>
      <c r="M143" s="244">
        <f t="shared" si="65"/>
        <v>0</v>
      </c>
      <c r="N143" s="244"/>
      <c r="O143" s="244"/>
      <c r="P143" s="244"/>
      <c r="Q143" s="245">
        <f t="shared" si="66"/>
        <v>0</v>
      </c>
      <c r="R143" s="245">
        <f t="shared" si="67"/>
        <v>0</v>
      </c>
      <c r="S143" s="246">
        <v>0.5</v>
      </c>
      <c r="T143" s="245">
        <f t="shared" si="68"/>
        <v>0</v>
      </c>
      <c r="U143" s="245">
        <f t="shared" si="69"/>
        <v>0</v>
      </c>
      <c r="V143" s="247"/>
      <c r="AN143" s="235">
        <f t="shared" si="62"/>
        <v>0</v>
      </c>
      <c r="AO143" s="235">
        <f t="shared" si="63"/>
        <v>0</v>
      </c>
    </row>
    <row r="144" spans="1:41" ht="15.75" x14ac:dyDescent="0.25">
      <c r="A144" s="236"/>
      <c r="B144" s="237"/>
      <c r="C144" s="238"/>
      <c r="D144" s="239"/>
      <c r="E144" s="240"/>
      <c r="F144" s="240"/>
      <c r="G144" s="240"/>
      <c r="H144" s="241">
        <f t="shared" si="64"/>
        <v>0</v>
      </c>
      <c r="I144" s="242"/>
      <c r="J144" s="243"/>
      <c r="K144" s="243"/>
      <c r="L144" s="244">
        <v>0.1</v>
      </c>
      <c r="M144" s="244">
        <f t="shared" si="65"/>
        <v>0</v>
      </c>
      <c r="N144" s="244"/>
      <c r="O144" s="244"/>
      <c r="P144" s="244"/>
      <c r="Q144" s="245">
        <f t="shared" si="66"/>
        <v>0</v>
      </c>
      <c r="R144" s="245">
        <f t="shared" si="67"/>
        <v>0</v>
      </c>
      <c r="S144" s="246">
        <v>0.5</v>
      </c>
      <c r="T144" s="245">
        <f t="shared" si="68"/>
        <v>0</v>
      </c>
      <c r="U144" s="245">
        <f t="shared" si="69"/>
        <v>0</v>
      </c>
      <c r="V144" s="247"/>
      <c r="AN144" s="235">
        <f t="shared" si="62"/>
        <v>0</v>
      </c>
      <c r="AO144" s="235">
        <f t="shared" si="63"/>
        <v>0</v>
      </c>
    </row>
    <row r="145" spans="1:41" ht="15.75" x14ac:dyDescent="0.25">
      <c r="A145" s="236"/>
      <c r="B145" s="237"/>
      <c r="C145" s="238"/>
      <c r="D145" s="239"/>
      <c r="E145" s="240"/>
      <c r="F145" s="240"/>
      <c r="G145" s="240"/>
      <c r="H145" s="241">
        <f t="shared" si="64"/>
        <v>0</v>
      </c>
      <c r="I145" s="242"/>
      <c r="J145" s="243"/>
      <c r="K145" s="243"/>
      <c r="L145" s="244">
        <v>0.1</v>
      </c>
      <c r="M145" s="244">
        <f t="shared" si="65"/>
        <v>0</v>
      </c>
      <c r="N145" s="244"/>
      <c r="O145" s="244"/>
      <c r="P145" s="244"/>
      <c r="Q145" s="245">
        <f t="shared" si="66"/>
        <v>0</v>
      </c>
      <c r="R145" s="245">
        <f t="shared" si="67"/>
        <v>0</v>
      </c>
      <c r="S145" s="246">
        <v>0.5</v>
      </c>
      <c r="T145" s="245">
        <f t="shared" si="68"/>
        <v>0</v>
      </c>
      <c r="U145" s="245">
        <f t="shared" si="69"/>
        <v>0</v>
      </c>
      <c r="V145" s="247"/>
      <c r="AN145" s="235">
        <f t="shared" si="62"/>
        <v>0</v>
      </c>
      <c r="AO145" s="235">
        <f t="shared" si="63"/>
        <v>0</v>
      </c>
    </row>
    <row r="146" spans="1:41" ht="15.75" x14ac:dyDescent="0.25">
      <c r="A146" s="236"/>
      <c r="B146" s="237"/>
      <c r="C146" s="238"/>
      <c r="D146" s="239"/>
      <c r="E146" s="240"/>
      <c r="F146" s="240"/>
      <c r="G146" s="240"/>
      <c r="H146" s="241">
        <f t="shared" si="64"/>
        <v>0</v>
      </c>
      <c r="I146" s="242"/>
      <c r="J146" s="243"/>
      <c r="K146" s="243"/>
      <c r="L146" s="244">
        <v>0.1</v>
      </c>
      <c r="M146" s="244">
        <f t="shared" si="65"/>
        <v>0</v>
      </c>
      <c r="N146" s="244"/>
      <c r="O146" s="244"/>
      <c r="P146" s="244"/>
      <c r="Q146" s="245">
        <f t="shared" si="66"/>
        <v>0</v>
      </c>
      <c r="R146" s="245">
        <f t="shared" si="67"/>
        <v>0</v>
      </c>
      <c r="S146" s="246">
        <v>0.5</v>
      </c>
      <c r="T146" s="245">
        <f t="shared" si="68"/>
        <v>0</v>
      </c>
      <c r="U146" s="245">
        <f t="shared" si="69"/>
        <v>0</v>
      </c>
      <c r="V146" s="247"/>
      <c r="AN146" s="235">
        <f t="shared" si="62"/>
        <v>0</v>
      </c>
      <c r="AO146" s="235">
        <f t="shared" si="63"/>
        <v>0</v>
      </c>
    </row>
    <row r="147" spans="1:41" ht="15.75" x14ac:dyDescent="0.25">
      <c r="A147" s="236"/>
      <c r="B147" s="237"/>
      <c r="C147" s="238"/>
      <c r="D147" s="239"/>
      <c r="E147" s="240"/>
      <c r="F147" s="240"/>
      <c r="G147" s="240"/>
      <c r="H147" s="241">
        <f t="shared" si="64"/>
        <v>0</v>
      </c>
      <c r="I147" s="242"/>
      <c r="J147" s="243"/>
      <c r="K147" s="243"/>
      <c r="L147" s="244">
        <v>0.1</v>
      </c>
      <c r="M147" s="244">
        <f t="shared" si="65"/>
        <v>0</v>
      </c>
      <c r="N147" s="244"/>
      <c r="O147" s="244"/>
      <c r="P147" s="244"/>
      <c r="Q147" s="245">
        <f t="shared" si="66"/>
        <v>0</v>
      </c>
      <c r="R147" s="245">
        <f t="shared" si="67"/>
        <v>0</v>
      </c>
      <c r="S147" s="246">
        <v>0.5</v>
      </c>
      <c r="T147" s="245">
        <f t="shared" si="68"/>
        <v>0</v>
      </c>
      <c r="U147" s="245">
        <f t="shared" si="69"/>
        <v>0</v>
      </c>
      <c r="V147" s="247"/>
      <c r="AN147" s="235">
        <f t="shared" si="62"/>
        <v>0</v>
      </c>
      <c r="AO147" s="235">
        <f t="shared" si="63"/>
        <v>0</v>
      </c>
    </row>
    <row r="148" spans="1:41" ht="15.75" x14ac:dyDescent="0.25">
      <c r="A148" s="236"/>
      <c r="B148" s="237"/>
      <c r="C148" s="238"/>
      <c r="D148" s="239"/>
      <c r="E148" s="240"/>
      <c r="F148" s="240"/>
      <c r="G148" s="240"/>
      <c r="H148" s="241">
        <f t="shared" si="64"/>
        <v>0</v>
      </c>
      <c r="I148" s="242"/>
      <c r="J148" s="243"/>
      <c r="K148" s="243"/>
      <c r="L148" s="244">
        <v>0.1</v>
      </c>
      <c r="M148" s="244">
        <f t="shared" si="65"/>
        <v>0</v>
      </c>
      <c r="N148" s="244"/>
      <c r="O148" s="244"/>
      <c r="P148" s="244"/>
      <c r="Q148" s="245">
        <f t="shared" si="66"/>
        <v>0</v>
      </c>
      <c r="R148" s="245">
        <f t="shared" si="67"/>
        <v>0</v>
      </c>
      <c r="S148" s="246">
        <v>0.5</v>
      </c>
      <c r="T148" s="245">
        <f t="shared" si="68"/>
        <v>0</v>
      </c>
      <c r="U148" s="245">
        <f t="shared" si="69"/>
        <v>0</v>
      </c>
      <c r="V148" s="247"/>
      <c r="AN148" s="235">
        <f t="shared" si="62"/>
        <v>0</v>
      </c>
      <c r="AO148" s="235">
        <f t="shared" si="63"/>
        <v>0</v>
      </c>
    </row>
    <row r="149" spans="1:41" ht="15.75" x14ac:dyDescent="0.25">
      <c r="A149" s="236"/>
      <c r="B149" s="237"/>
      <c r="C149" s="238"/>
      <c r="D149" s="239"/>
      <c r="E149" s="240"/>
      <c r="F149" s="240"/>
      <c r="G149" s="240"/>
      <c r="H149" s="241">
        <f t="shared" si="64"/>
        <v>0</v>
      </c>
      <c r="I149" s="242"/>
      <c r="J149" s="243"/>
      <c r="K149" s="243"/>
      <c r="L149" s="244">
        <v>0.1</v>
      </c>
      <c r="M149" s="244">
        <f t="shared" si="65"/>
        <v>0</v>
      </c>
      <c r="N149" s="244"/>
      <c r="O149" s="244"/>
      <c r="P149" s="244"/>
      <c r="Q149" s="245">
        <f t="shared" si="66"/>
        <v>0</v>
      </c>
      <c r="R149" s="245">
        <f t="shared" si="67"/>
        <v>0</v>
      </c>
      <c r="S149" s="246">
        <v>0.5</v>
      </c>
      <c r="T149" s="245">
        <f t="shared" si="68"/>
        <v>0</v>
      </c>
      <c r="U149" s="245">
        <f t="shared" si="69"/>
        <v>0</v>
      </c>
      <c r="V149" s="247"/>
      <c r="AN149" s="235">
        <f t="shared" si="62"/>
        <v>0</v>
      </c>
      <c r="AO149" s="235">
        <f t="shared" si="63"/>
        <v>0</v>
      </c>
    </row>
    <row r="150" spans="1:41" ht="15.75" x14ac:dyDescent="0.25">
      <c r="A150" s="236"/>
      <c r="B150" s="237"/>
      <c r="C150" s="238"/>
      <c r="D150" s="239"/>
      <c r="E150" s="240"/>
      <c r="F150" s="240"/>
      <c r="G150" s="240"/>
      <c r="H150" s="241">
        <f t="shared" si="64"/>
        <v>0</v>
      </c>
      <c r="I150" s="242"/>
      <c r="J150" s="243"/>
      <c r="K150" s="243"/>
      <c r="L150" s="244">
        <v>0.1</v>
      </c>
      <c r="M150" s="244">
        <f t="shared" si="65"/>
        <v>0</v>
      </c>
      <c r="N150" s="244"/>
      <c r="O150" s="244"/>
      <c r="P150" s="244"/>
      <c r="Q150" s="245">
        <f t="shared" si="66"/>
        <v>0</v>
      </c>
      <c r="R150" s="245">
        <f t="shared" si="67"/>
        <v>0</v>
      </c>
      <c r="S150" s="246">
        <v>0.5</v>
      </c>
      <c r="T150" s="245">
        <f t="shared" si="68"/>
        <v>0</v>
      </c>
      <c r="U150" s="245">
        <f t="shared" si="69"/>
        <v>0</v>
      </c>
      <c r="V150" s="247"/>
      <c r="AN150" s="235">
        <f t="shared" si="62"/>
        <v>0</v>
      </c>
      <c r="AO150" s="235">
        <f t="shared" si="63"/>
        <v>0</v>
      </c>
    </row>
    <row r="151" spans="1:41" ht="15.75" x14ac:dyDescent="0.25">
      <c r="A151" s="236"/>
      <c r="B151" s="237"/>
      <c r="C151" s="238"/>
      <c r="D151" s="239"/>
      <c r="E151" s="240"/>
      <c r="F151" s="240"/>
      <c r="G151" s="240"/>
      <c r="H151" s="241">
        <f t="shared" si="64"/>
        <v>0</v>
      </c>
      <c r="I151" s="242"/>
      <c r="J151" s="243"/>
      <c r="K151" s="243"/>
      <c r="L151" s="244">
        <v>0.1</v>
      </c>
      <c r="M151" s="244">
        <f t="shared" si="65"/>
        <v>0</v>
      </c>
      <c r="N151" s="244"/>
      <c r="O151" s="244"/>
      <c r="P151" s="244"/>
      <c r="Q151" s="245">
        <f t="shared" si="66"/>
        <v>0</v>
      </c>
      <c r="R151" s="245">
        <f t="shared" si="67"/>
        <v>0</v>
      </c>
      <c r="S151" s="246">
        <v>0.5</v>
      </c>
      <c r="T151" s="245">
        <f t="shared" si="68"/>
        <v>0</v>
      </c>
      <c r="U151" s="245">
        <f t="shared" si="69"/>
        <v>0</v>
      </c>
      <c r="V151" s="247"/>
      <c r="AN151" s="235">
        <f t="shared" si="62"/>
        <v>0</v>
      </c>
      <c r="AO151" s="235">
        <f t="shared" si="63"/>
        <v>0</v>
      </c>
    </row>
    <row r="152" spans="1:41" ht="15.75" x14ac:dyDescent="0.25">
      <c r="A152" s="236"/>
      <c r="B152" s="237"/>
      <c r="C152" s="238"/>
      <c r="D152" s="239"/>
      <c r="E152" s="240"/>
      <c r="F152" s="240"/>
      <c r="G152" s="240"/>
      <c r="H152" s="241">
        <f t="shared" si="64"/>
        <v>0</v>
      </c>
      <c r="I152" s="242"/>
      <c r="J152" s="243"/>
      <c r="K152" s="243"/>
      <c r="L152" s="244">
        <v>0.1</v>
      </c>
      <c r="M152" s="244">
        <f t="shared" si="65"/>
        <v>0</v>
      </c>
      <c r="N152" s="244"/>
      <c r="O152" s="244"/>
      <c r="P152" s="244"/>
      <c r="Q152" s="245">
        <f t="shared" si="66"/>
        <v>0</v>
      </c>
      <c r="R152" s="245">
        <f t="shared" si="67"/>
        <v>0</v>
      </c>
      <c r="S152" s="246">
        <v>0.5</v>
      </c>
      <c r="T152" s="245">
        <f t="shared" si="68"/>
        <v>0</v>
      </c>
      <c r="U152" s="245">
        <f t="shared" si="69"/>
        <v>0</v>
      </c>
      <c r="V152" s="247"/>
      <c r="AN152" s="235">
        <f t="shared" si="62"/>
        <v>0</v>
      </c>
      <c r="AO152" s="235">
        <f t="shared" si="63"/>
        <v>0</v>
      </c>
    </row>
    <row r="153" spans="1:41" ht="15.75" x14ac:dyDescent="0.25">
      <c r="A153" s="236"/>
      <c r="B153" s="237"/>
      <c r="C153" s="238"/>
      <c r="D153" s="239"/>
      <c r="E153" s="240"/>
      <c r="F153" s="240"/>
      <c r="G153" s="240"/>
      <c r="H153" s="241">
        <f t="shared" si="64"/>
        <v>0</v>
      </c>
      <c r="I153" s="242"/>
      <c r="J153" s="243"/>
      <c r="K153" s="243"/>
      <c r="L153" s="244">
        <v>0.1</v>
      </c>
      <c r="M153" s="244">
        <f t="shared" si="65"/>
        <v>0</v>
      </c>
      <c r="N153" s="244"/>
      <c r="O153" s="244"/>
      <c r="P153" s="244"/>
      <c r="Q153" s="245">
        <f t="shared" si="66"/>
        <v>0</v>
      </c>
      <c r="R153" s="245">
        <f t="shared" si="67"/>
        <v>0</v>
      </c>
      <c r="S153" s="246">
        <v>0.5</v>
      </c>
      <c r="T153" s="245">
        <f t="shared" si="68"/>
        <v>0</v>
      </c>
      <c r="U153" s="245">
        <f t="shared" si="69"/>
        <v>0</v>
      </c>
      <c r="V153" s="247"/>
      <c r="AN153" s="235">
        <f t="shared" si="62"/>
        <v>0</v>
      </c>
      <c r="AO153" s="235">
        <f t="shared" si="63"/>
        <v>0</v>
      </c>
    </row>
    <row r="154" spans="1:41" ht="15.75" x14ac:dyDescent="0.25">
      <c r="A154" s="236"/>
      <c r="B154" s="237"/>
      <c r="C154" s="238"/>
      <c r="D154" s="239"/>
      <c r="E154" s="240"/>
      <c r="F154" s="240"/>
      <c r="G154" s="240"/>
      <c r="H154" s="241">
        <f t="shared" si="64"/>
        <v>0</v>
      </c>
      <c r="I154" s="242"/>
      <c r="J154" s="243"/>
      <c r="K154" s="243"/>
      <c r="L154" s="244">
        <v>0.1</v>
      </c>
      <c r="M154" s="244">
        <f t="shared" si="65"/>
        <v>0</v>
      </c>
      <c r="N154" s="244"/>
      <c r="O154" s="244"/>
      <c r="P154" s="244"/>
      <c r="Q154" s="245">
        <f t="shared" si="66"/>
        <v>0</v>
      </c>
      <c r="R154" s="245">
        <f t="shared" si="67"/>
        <v>0</v>
      </c>
      <c r="S154" s="246">
        <v>0.5</v>
      </c>
      <c r="T154" s="245">
        <f t="shared" si="68"/>
        <v>0</v>
      </c>
      <c r="U154" s="245">
        <f t="shared" si="69"/>
        <v>0</v>
      </c>
      <c r="V154" s="247"/>
      <c r="AN154" s="235">
        <f t="shared" si="62"/>
        <v>0</v>
      </c>
      <c r="AO154" s="235">
        <f t="shared" si="63"/>
        <v>0</v>
      </c>
    </row>
    <row r="155" spans="1:41" ht="15.75" x14ac:dyDescent="0.25">
      <c r="A155" s="236"/>
      <c r="B155" s="237"/>
      <c r="C155" s="238"/>
      <c r="D155" s="239"/>
      <c r="E155" s="240"/>
      <c r="F155" s="240"/>
      <c r="G155" s="240"/>
      <c r="H155" s="241">
        <f t="shared" si="64"/>
        <v>0</v>
      </c>
      <c r="I155" s="242"/>
      <c r="J155" s="243"/>
      <c r="K155" s="243"/>
      <c r="L155" s="244">
        <v>0.1</v>
      </c>
      <c r="M155" s="244">
        <f t="shared" si="65"/>
        <v>0</v>
      </c>
      <c r="N155" s="244"/>
      <c r="O155" s="244"/>
      <c r="P155" s="244"/>
      <c r="Q155" s="245">
        <f t="shared" si="66"/>
        <v>0</v>
      </c>
      <c r="R155" s="245">
        <f t="shared" si="67"/>
        <v>0</v>
      </c>
      <c r="S155" s="246">
        <v>0.5</v>
      </c>
      <c r="T155" s="245">
        <f t="shared" si="68"/>
        <v>0</v>
      </c>
      <c r="U155" s="245">
        <f t="shared" si="69"/>
        <v>0</v>
      </c>
      <c r="V155" s="247"/>
      <c r="AN155" s="235">
        <f t="shared" si="62"/>
        <v>0</v>
      </c>
      <c r="AO155" s="235">
        <f t="shared" si="63"/>
        <v>0</v>
      </c>
    </row>
    <row r="156" spans="1:41" ht="15.75" x14ac:dyDescent="0.25">
      <c r="A156" s="236"/>
      <c r="B156" s="237"/>
      <c r="C156" s="238"/>
      <c r="D156" s="239"/>
      <c r="E156" s="240"/>
      <c r="F156" s="240"/>
      <c r="G156" s="240"/>
      <c r="H156" s="241">
        <f t="shared" si="64"/>
        <v>0</v>
      </c>
      <c r="I156" s="242"/>
      <c r="J156" s="243"/>
      <c r="K156" s="243"/>
      <c r="L156" s="244">
        <v>0.1</v>
      </c>
      <c r="M156" s="244">
        <f t="shared" si="65"/>
        <v>0</v>
      </c>
      <c r="N156" s="244"/>
      <c r="O156" s="244"/>
      <c r="P156" s="244"/>
      <c r="Q156" s="245">
        <f t="shared" si="66"/>
        <v>0</v>
      </c>
      <c r="R156" s="245">
        <f t="shared" si="67"/>
        <v>0</v>
      </c>
      <c r="S156" s="246">
        <v>0.5</v>
      </c>
      <c r="T156" s="245">
        <f t="shared" si="68"/>
        <v>0</v>
      </c>
      <c r="U156" s="245">
        <f t="shared" si="69"/>
        <v>0</v>
      </c>
      <c r="V156" s="247"/>
      <c r="AN156" s="235">
        <f t="shared" si="62"/>
        <v>0</v>
      </c>
      <c r="AO156" s="235">
        <f t="shared" si="63"/>
        <v>0</v>
      </c>
    </row>
    <row r="157" spans="1:41" ht="15.75" x14ac:dyDescent="0.25">
      <c r="A157" s="236"/>
      <c r="B157" s="237"/>
      <c r="C157" s="238"/>
      <c r="D157" s="239"/>
      <c r="E157" s="240"/>
      <c r="F157" s="240"/>
      <c r="G157" s="240"/>
      <c r="H157" s="241">
        <f t="shared" si="64"/>
        <v>0</v>
      </c>
      <c r="I157" s="242"/>
      <c r="J157" s="243"/>
      <c r="K157" s="243"/>
      <c r="L157" s="244">
        <v>0.1</v>
      </c>
      <c r="M157" s="244">
        <f t="shared" si="65"/>
        <v>0</v>
      </c>
      <c r="N157" s="244"/>
      <c r="O157" s="244"/>
      <c r="P157" s="244"/>
      <c r="Q157" s="245">
        <f t="shared" si="66"/>
        <v>0</v>
      </c>
      <c r="R157" s="245">
        <f t="shared" si="67"/>
        <v>0</v>
      </c>
      <c r="S157" s="246">
        <v>0.5</v>
      </c>
      <c r="T157" s="245">
        <f t="shared" si="68"/>
        <v>0</v>
      </c>
      <c r="U157" s="245">
        <f t="shared" si="69"/>
        <v>0</v>
      </c>
      <c r="V157" s="247"/>
      <c r="AN157" s="235">
        <f t="shared" si="62"/>
        <v>0</v>
      </c>
      <c r="AO157" s="235">
        <f t="shared" si="63"/>
        <v>0</v>
      </c>
    </row>
    <row r="158" spans="1:41" ht="15.75" x14ac:dyDescent="0.25">
      <c r="A158" s="236"/>
      <c r="B158" s="237"/>
      <c r="C158" s="238"/>
      <c r="D158" s="239"/>
      <c r="E158" s="240"/>
      <c r="F158" s="240"/>
      <c r="G158" s="240"/>
      <c r="H158" s="241">
        <f t="shared" si="64"/>
        <v>0</v>
      </c>
      <c r="I158" s="242"/>
      <c r="J158" s="243"/>
      <c r="K158" s="243"/>
      <c r="L158" s="244">
        <v>0.1</v>
      </c>
      <c r="M158" s="244">
        <f t="shared" si="65"/>
        <v>0</v>
      </c>
      <c r="N158" s="244"/>
      <c r="O158" s="244"/>
      <c r="P158" s="244"/>
      <c r="Q158" s="245">
        <f t="shared" si="66"/>
        <v>0</v>
      </c>
      <c r="R158" s="245">
        <f t="shared" si="67"/>
        <v>0</v>
      </c>
      <c r="S158" s="246">
        <v>0.5</v>
      </c>
      <c r="T158" s="245">
        <f t="shared" si="68"/>
        <v>0</v>
      </c>
      <c r="U158" s="245">
        <f t="shared" si="69"/>
        <v>0</v>
      </c>
      <c r="V158" s="247"/>
      <c r="AN158" s="235">
        <f t="shared" si="62"/>
        <v>0</v>
      </c>
      <c r="AO158" s="235">
        <f t="shared" si="63"/>
        <v>0</v>
      </c>
    </row>
    <row r="159" spans="1:41" ht="15.75" x14ac:dyDescent="0.25">
      <c r="A159" s="236"/>
      <c r="B159" s="237"/>
      <c r="C159" s="238"/>
      <c r="D159" s="239"/>
      <c r="E159" s="240"/>
      <c r="F159" s="240"/>
      <c r="G159" s="240"/>
      <c r="H159" s="241">
        <f t="shared" si="64"/>
        <v>0</v>
      </c>
      <c r="I159" s="242"/>
      <c r="J159" s="243"/>
      <c r="K159" s="243"/>
      <c r="L159" s="244">
        <v>0.1</v>
      </c>
      <c r="M159" s="244">
        <f t="shared" si="65"/>
        <v>0</v>
      </c>
      <c r="N159" s="244"/>
      <c r="O159" s="244"/>
      <c r="P159" s="244"/>
      <c r="Q159" s="245">
        <f t="shared" si="66"/>
        <v>0</v>
      </c>
      <c r="R159" s="245">
        <f t="shared" si="67"/>
        <v>0</v>
      </c>
      <c r="S159" s="246">
        <v>0.5</v>
      </c>
      <c r="T159" s="245">
        <f t="shared" si="68"/>
        <v>0</v>
      </c>
      <c r="U159" s="245">
        <f t="shared" si="69"/>
        <v>0</v>
      </c>
      <c r="V159" s="247"/>
      <c r="AN159" s="235">
        <f t="shared" ref="AN159:AN182" si="70">IF(V159="",0,MONTH(V159))</f>
        <v>0</v>
      </c>
      <c r="AO159" s="235">
        <f t="shared" ref="AO159:AO182" si="71">IF(V159="",0,YEAR(V159))</f>
        <v>0</v>
      </c>
    </row>
    <row r="160" spans="1:41" ht="15.75" x14ac:dyDescent="0.25">
      <c r="A160" s="236"/>
      <c r="B160" s="237"/>
      <c r="C160" s="238"/>
      <c r="D160" s="239"/>
      <c r="E160" s="240"/>
      <c r="F160" s="240"/>
      <c r="G160" s="240"/>
      <c r="H160" s="241">
        <f t="shared" si="64"/>
        <v>0</v>
      </c>
      <c r="I160" s="242"/>
      <c r="J160" s="243"/>
      <c r="K160" s="243"/>
      <c r="L160" s="244">
        <v>0.1</v>
      </c>
      <c r="M160" s="244">
        <f t="shared" si="65"/>
        <v>0</v>
      </c>
      <c r="N160" s="244"/>
      <c r="O160" s="244"/>
      <c r="P160" s="244"/>
      <c r="Q160" s="245">
        <f t="shared" si="66"/>
        <v>0</v>
      </c>
      <c r="R160" s="245">
        <f t="shared" si="67"/>
        <v>0</v>
      </c>
      <c r="S160" s="246">
        <v>0.5</v>
      </c>
      <c r="T160" s="245">
        <f t="shared" si="68"/>
        <v>0</v>
      </c>
      <c r="U160" s="245">
        <f t="shared" si="69"/>
        <v>0</v>
      </c>
      <c r="V160" s="247"/>
      <c r="AN160" s="235">
        <f t="shared" si="70"/>
        <v>0</v>
      </c>
      <c r="AO160" s="235">
        <f t="shared" si="71"/>
        <v>0</v>
      </c>
    </row>
    <row r="161" spans="1:41" ht="15.75" x14ac:dyDescent="0.25">
      <c r="A161" s="236"/>
      <c r="B161" s="237"/>
      <c r="C161" s="238"/>
      <c r="D161" s="239"/>
      <c r="E161" s="240"/>
      <c r="F161" s="240"/>
      <c r="G161" s="240"/>
      <c r="H161" s="241">
        <f t="shared" si="64"/>
        <v>0</v>
      </c>
      <c r="I161" s="242"/>
      <c r="J161" s="243"/>
      <c r="K161" s="243"/>
      <c r="L161" s="244">
        <v>0.1</v>
      </c>
      <c r="M161" s="244">
        <f t="shared" si="65"/>
        <v>0</v>
      </c>
      <c r="N161" s="244"/>
      <c r="O161" s="244"/>
      <c r="P161" s="244"/>
      <c r="Q161" s="245">
        <f t="shared" si="66"/>
        <v>0</v>
      </c>
      <c r="R161" s="245">
        <f t="shared" si="67"/>
        <v>0</v>
      </c>
      <c r="S161" s="246">
        <v>0.5</v>
      </c>
      <c r="T161" s="245">
        <f t="shared" si="68"/>
        <v>0</v>
      </c>
      <c r="U161" s="245">
        <f t="shared" si="69"/>
        <v>0</v>
      </c>
      <c r="V161" s="247"/>
      <c r="AN161" s="235">
        <f t="shared" si="70"/>
        <v>0</v>
      </c>
      <c r="AO161" s="235">
        <f t="shared" si="71"/>
        <v>0</v>
      </c>
    </row>
    <row r="162" spans="1:41" ht="15.75" x14ac:dyDescent="0.25">
      <c r="A162" s="236"/>
      <c r="B162" s="237"/>
      <c r="C162" s="238"/>
      <c r="D162" s="239"/>
      <c r="E162" s="240"/>
      <c r="F162" s="240"/>
      <c r="G162" s="240"/>
      <c r="H162" s="241">
        <f t="shared" ref="H162:H225" si="72">+E162+F162+G162</f>
        <v>0</v>
      </c>
      <c r="I162" s="242"/>
      <c r="J162" s="243"/>
      <c r="K162" s="243"/>
      <c r="L162" s="244">
        <v>0.1</v>
      </c>
      <c r="M162" s="244">
        <f t="shared" ref="M162:M225" si="73">+L162*C162</f>
        <v>0</v>
      </c>
      <c r="N162" s="244"/>
      <c r="O162" s="244"/>
      <c r="P162" s="244"/>
      <c r="Q162" s="245">
        <f t="shared" ref="Q162:Q225" si="74">+N162+O162+P162</f>
        <v>0</v>
      </c>
      <c r="R162" s="245">
        <f t="shared" ref="R162:R225" si="75">IF(+Q162-H162&lt;=0,0,Q162-H162)</f>
        <v>0</v>
      </c>
      <c r="S162" s="246">
        <v>0.5</v>
      </c>
      <c r="T162" s="245">
        <f t="shared" ref="T162:T225" si="76">+(R162*C162)*S162</f>
        <v>0</v>
      </c>
      <c r="U162" s="245">
        <f t="shared" ref="U162:U225" si="77">+J162+M162+T162</f>
        <v>0</v>
      </c>
      <c r="V162" s="247"/>
      <c r="AN162" s="235">
        <f t="shared" si="70"/>
        <v>0</v>
      </c>
      <c r="AO162" s="235">
        <f t="shared" si="71"/>
        <v>0</v>
      </c>
    </row>
    <row r="163" spans="1:41" ht="15.75" x14ac:dyDescent="0.25">
      <c r="A163" s="236"/>
      <c r="B163" s="237"/>
      <c r="C163" s="238"/>
      <c r="D163" s="239"/>
      <c r="E163" s="240"/>
      <c r="F163" s="240"/>
      <c r="G163" s="240"/>
      <c r="H163" s="241">
        <f t="shared" si="72"/>
        <v>0</v>
      </c>
      <c r="I163" s="242"/>
      <c r="J163" s="243"/>
      <c r="K163" s="243"/>
      <c r="L163" s="244">
        <v>0.1</v>
      </c>
      <c r="M163" s="244">
        <f t="shared" si="73"/>
        <v>0</v>
      </c>
      <c r="N163" s="244"/>
      <c r="O163" s="244"/>
      <c r="P163" s="244"/>
      <c r="Q163" s="245">
        <f t="shared" si="74"/>
        <v>0</v>
      </c>
      <c r="R163" s="245">
        <f t="shared" si="75"/>
        <v>0</v>
      </c>
      <c r="S163" s="246">
        <v>0.5</v>
      </c>
      <c r="T163" s="245">
        <f t="shared" si="76"/>
        <v>0</v>
      </c>
      <c r="U163" s="245">
        <f t="shared" si="77"/>
        <v>0</v>
      </c>
      <c r="V163" s="247"/>
      <c r="AN163" s="235">
        <f t="shared" si="70"/>
        <v>0</v>
      </c>
      <c r="AO163" s="235">
        <f t="shared" si="71"/>
        <v>0</v>
      </c>
    </row>
    <row r="164" spans="1:41" ht="15.75" x14ac:dyDescent="0.25">
      <c r="A164" s="236"/>
      <c r="B164" s="237"/>
      <c r="C164" s="238"/>
      <c r="D164" s="239"/>
      <c r="E164" s="240"/>
      <c r="F164" s="240"/>
      <c r="G164" s="240"/>
      <c r="H164" s="241">
        <f t="shared" si="72"/>
        <v>0</v>
      </c>
      <c r="I164" s="242"/>
      <c r="J164" s="243"/>
      <c r="K164" s="243"/>
      <c r="L164" s="244">
        <v>0.1</v>
      </c>
      <c r="M164" s="244">
        <f t="shared" si="73"/>
        <v>0</v>
      </c>
      <c r="N164" s="244"/>
      <c r="O164" s="244"/>
      <c r="P164" s="244"/>
      <c r="Q164" s="245">
        <f t="shared" si="74"/>
        <v>0</v>
      </c>
      <c r="R164" s="245">
        <f t="shared" si="75"/>
        <v>0</v>
      </c>
      <c r="S164" s="246">
        <v>0.5</v>
      </c>
      <c r="T164" s="245">
        <f t="shared" si="76"/>
        <v>0</v>
      </c>
      <c r="U164" s="245">
        <f t="shared" si="77"/>
        <v>0</v>
      </c>
      <c r="V164" s="247"/>
      <c r="AN164" s="235">
        <f t="shared" si="70"/>
        <v>0</v>
      </c>
      <c r="AO164" s="235">
        <f t="shared" si="71"/>
        <v>0</v>
      </c>
    </row>
    <row r="165" spans="1:41" ht="15.75" x14ac:dyDescent="0.25">
      <c r="A165" s="236"/>
      <c r="B165" s="237"/>
      <c r="C165" s="238"/>
      <c r="D165" s="239"/>
      <c r="E165" s="240"/>
      <c r="F165" s="240"/>
      <c r="G165" s="240"/>
      <c r="H165" s="241">
        <f t="shared" si="72"/>
        <v>0</v>
      </c>
      <c r="I165" s="242"/>
      <c r="J165" s="243"/>
      <c r="K165" s="243"/>
      <c r="L165" s="244">
        <v>0.1</v>
      </c>
      <c r="M165" s="244">
        <f t="shared" si="73"/>
        <v>0</v>
      </c>
      <c r="N165" s="244"/>
      <c r="O165" s="244"/>
      <c r="P165" s="244"/>
      <c r="Q165" s="245">
        <f t="shared" si="74"/>
        <v>0</v>
      </c>
      <c r="R165" s="245">
        <f t="shared" si="75"/>
        <v>0</v>
      </c>
      <c r="S165" s="246">
        <v>0.5</v>
      </c>
      <c r="T165" s="245">
        <f t="shared" si="76"/>
        <v>0</v>
      </c>
      <c r="U165" s="245">
        <f t="shared" si="77"/>
        <v>0</v>
      </c>
      <c r="V165" s="247"/>
      <c r="AN165" s="235">
        <f t="shared" si="70"/>
        <v>0</v>
      </c>
      <c r="AO165" s="235">
        <f t="shared" si="71"/>
        <v>0</v>
      </c>
    </row>
    <row r="166" spans="1:41" ht="15.75" x14ac:dyDescent="0.25">
      <c r="A166" s="236"/>
      <c r="B166" s="237"/>
      <c r="C166" s="238"/>
      <c r="D166" s="239"/>
      <c r="E166" s="240"/>
      <c r="F166" s="240"/>
      <c r="G166" s="240"/>
      <c r="H166" s="241">
        <f t="shared" si="72"/>
        <v>0</v>
      </c>
      <c r="I166" s="242"/>
      <c r="J166" s="243"/>
      <c r="K166" s="243"/>
      <c r="L166" s="244">
        <v>0.1</v>
      </c>
      <c r="M166" s="244">
        <f t="shared" si="73"/>
        <v>0</v>
      </c>
      <c r="N166" s="244"/>
      <c r="O166" s="244"/>
      <c r="P166" s="244"/>
      <c r="Q166" s="245">
        <f t="shared" si="74"/>
        <v>0</v>
      </c>
      <c r="R166" s="245">
        <f t="shared" si="75"/>
        <v>0</v>
      </c>
      <c r="S166" s="246">
        <v>0.5</v>
      </c>
      <c r="T166" s="245">
        <f t="shared" si="76"/>
        <v>0</v>
      </c>
      <c r="U166" s="245">
        <f t="shared" si="77"/>
        <v>0</v>
      </c>
      <c r="V166" s="247"/>
      <c r="AN166" s="235">
        <f t="shared" si="70"/>
        <v>0</v>
      </c>
      <c r="AO166" s="235">
        <f t="shared" si="71"/>
        <v>0</v>
      </c>
    </row>
    <row r="167" spans="1:41" ht="15.75" x14ac:dyDescent="0.25">
      <c r="A167" s="236"/>
      <c r="B167" s="237"/>
      <c r="C167" s="238"/>
      <c r="D167" s="239"/>
      <c r="E167" s="240"/>
      <c r="F167" s="240"/>
      <c r="G167" s="240"/>
      <c r="H167" s="241">
        <f t="shared" si="72"/>
        <v>0</v>
      </c>
      <c r="I167" s="242"/>
      <c r="J167" s="243"/>
      <c r="K167" s="243"/>
      <c r="L167" s="244">
        <v>0.1</v>
      </c>
      <c r="M167" s="244">
        <f t="shared" si="73"/>
        <v>0</v>
      </c>
      <c r="N167" s="244"/>
      <c r="O167" s="244"/>
      <c r="P167" s="244"/>
      <c r="Q167" s="245">
        <f t="shared" si="74"/>
        <v>0</v>
      </c>
      <c r="R167" s="245">
        <f t="shared" si="75"/>
        <v>0</v>
      </c>
      <c r="S167" s="246">
        <v>0.5</v>
      </c>
      <c r="T167" s="245">
        <f t="shared" si="76"/>
        <v>0</v>
      </c>
      <c r="U167" s="245">
        <f t="shared" si="77"/>
        <v>0</v>
      </c>
      <c r="V167" s="247"/>
      <c r="AN167" s="235">
        <f t="shared" si="70"/>
        <v>0</v>
      </c>
      <c r="AO167" s="235">
        <f t="shared" si="71"/>
        <v>0</v>
      </c>
    </row>
    <row r="168" spans="1:41" ht="15.75" x14ac:dyDescent="0.25">
      <c r="A168" s="236"/>
      <c r="B168" s="237"/>
      <c r="C168" s="238"/>
      <c r="D168" s="239"/>
      <c r="E168" s="240"/>
      <c r="F168" s="240"/>
      <c r="G168" s="240"/>
      <c r="H168" s="241">
        <f t="shared" si="72"/>
        <v>0</v>
      </c>
      <c r="I168" s="242"/>
      <c r="J168" s="243"/>
      <c r="K168" s="243"/>
      <c r="L168" s="244">
        <v>0.1</v>
      </c>
      <c r="M168" s="244">
        <f t="shared" si="73"/>
        <v>0</v>
      </c>
      <c r="N168" s="244"/>
      <c r="O168" s="244"/>
      <c r="P168" s="244"/>
      <c r="Q168" s="245">
        <f t="shared" si="74"/>
        <v>0</v>
      </c>
      <c r="R168" s="245">
        <f t="shared" si="75"/>
        <v>0</v>
      </c>
      <c r="S168" s="246">
        <v>0.5</v>
      </c>
      <c r="T168" s="245">
        <f t="shared" si="76"/>
        <v>0</v>
      </c>
      <c r="U168" s="245">
        <f t="shared" si="77"/>
        <v>0</v>
      </c>
      <c r="V168" s="247"/>
      <c r="AN168" s="235">
        <f t="shared" si="70"/>
        <v>0</v>
      </c>
      <c r="AO168" s="235">
        <f t="shared" si="71"/>
        <v>0</v>
      </c>
    </row>
    <row r="169" spans="1:41" ht="15.75" x14ac:dyDescent="0.25">
      <c r="A169" s="236"/>
      <c r="B169" s="237"/>
      <c r="C169" s="238"/>
      <c r="D169" s="239"/>
      <c r="E169" s="240"/>
      <c r="F169" s="240"/>
      <c r="G169" s="240"/>
      <c r="H169" s="241">
        <f t="shared" si="72"/>
        <v>0</v>
      </c>
      <c r="I169" s="242"/>
      <c r="J169" s="243"/>
      <c r="K169" s="243"/>
      <c r="L169" s="244">
        <v>0.1</v>
      </c>
      <c r="M169" s="244">
        <f t="shared" si="73"/>
        <v>0</v>
      </c>
      <c r="N169" s="244"/>
      <c r="O169" s="244"/>
      <c r="P169" s="244"/>
      <c r="Q169" s="245">
        <f t="shared" si="74"/>
        <v>0</v>
      </c>
      <c r="R169" s="245">
        <f t="shared" si="75"/>
        <v>0</v>
      </c>
      <c r="S169" s="246">
        <v>0.5</v>
      </c>
      <c r="T169" s="245">
        <f t="shared" si="76"/>
        <v>0</v>
      </c>
      <c r="U169" s="245">
        <f t="shared" si="77"/>
        <v>0</v>
      </c>
      <c r="V169" s="247"/>
      <c r="AN169" s="235">
        <f t="shared" si="70"/>
        <v>0</v>
      </c>
      <c r="AO169" s="235">
        <f t="shared" si="71"/>
        <v>0</v>
      </c>
    </row>
    <row r="170" spans="1:41" ht="15.75" x14ac:dyDescent="0.25">
      <c r="A170" s="236"/>
      <c r="B170" s="237"/>
      <c r="C170" s="238"/>
      <c r="D170" s="239"/>
      <c r="E170" s="240"/>
      <c r="F170" s="240"/>
      <c r="G170" s="240"/>
      <c r="H170" s="241">
        <f t="shared" si="72"/>
        <v>0</v>
      </c>
      <c r="I170" s="242"/>
      <c r="J170" s="243"/>
      <c r="K170" s="243"/>
      <c r="L170" s="244">
        <v>0.1</v>
      </c>
      <c r="M170" s="244">
        <f t="shared" si="73"/>
        <v>0</v>
      </c>
      <c r="N170" s="244"/>
      <c r="O170" s="244"/>
      <c r="P170" s="244"/>
      <c r="Q170" s="245">
        <f t="shared" si="74"/>
        <v>0</v>
      </c>
      <c r="R170" s="245">
        <f t="shared" si="75"/>
        <v>0</v>
      </c>
      <c r="S170" s="246">
        <v>0.5</v>
      </c>
      <c r="T170" s="245">
        <f t="shared" si="76"/>
        <v>0</v>
      </c>
      <c r="U170" s="245">
        <f t="shared" si="77"/>
        <v>0</v>
      </c>
      <c r="V170" s="247"/>
      <c r="AN170" s="235">
        <f t="shared" si="70"/>
        <v>0</v>
      </c>
      <c r="AO170" s="235">
        <f t="shared" si="71"/>
        <v>0</v>
      </c>
    </row>
    <row r="171" spans="1:41" ht="15.75" x14ac:dyDescent="0.25">
      <c r="A171" s="236"/>
      <c r="B171" s="237"/>
      <c r="C171" s="238"/>
      <c r="D171" s="239"/>
      <c r="E171" s="240"/>
      <c r="F171" s="240"/>
      <c r="G171" s="240"/>
      <c r="H171" s="241">
        <f t="shared" si="72"/>
        <v>0</v>
      </c>
      <c r="I171" s="242"/>
      <c r="J171" s="243"/>
      <c r="K171" s="243"/>
      <c r="L171" s="244">
        <v>0.1</v>
      </c>
      <c r="M171" s="244">
        <f t="shared" si="73"/>
        <v>0</v>
      </c>
      <c r="N171" s="244"/>
      <c r="O171" s="244"/>
      <c r="P171" s="244"/>
      <c r="Q171" s="245">
        <f t="shared" si="74"/>
        <v>0</v>
      </c>
      <c r="R171" s="245">
        <f t="shared" si="75"/>
        <v>0</v>
      </c>
      <c r="S171" s="246">
        <v>0.5</v>
      </c>
      <c r="T171" s="245">
        <f t="shared" si="76"/>
        <v>0</v>
      </c>
      <c r="U171" s="245">
        <f t="shared" si="77"/>
        <v>0</v>
      </c>
      <c r="V171" s="247"/>
      <c r="AN171" s="235">
        <f t="shared" si="70"/>
        <v>0</v>
      </c>
      <c r="AO171" s="235">
        <f t="shared" si="71"/>
        <v>0</v>
      </c>
    </row>
    <row r="172" spans="1:41" ht="15.75" x14ac:dyDescent="0.25">
      <c r="A172" s="236"/>
      <c r="B172" s="237"/>
      <c r="C172" s="238"/>
      <c r="D172" s="239"/>
      <c r="E172" s="240"/>
      <c r="F172" s="240"/>
      <c r="G172" s="240"/>
      <c r="H172" s="241">
        <f t="shared" si="72"/>
        <v>0</v>
      </c>
      <c r="I172" s="242"/>
      <c r="J172" s="243"/>
      <c r="K172" s="243"/>
      <c r="L172" s="244">
        <v>0.1</v>
      </c>
      <c r="M172" s="244">
        <f t="shared" si="73"/>
        <v>0</v>
      </c>
      <c r="N172" s="244"/>
      <c r="O172" s="244"/>
      <c r="P172" s="244"/>
      <c r="Q172" s="245">
        <f t="shared" si="74"/>
        <v>0</v>
      </c>
      <c r="R172" s="245">
        <f t="shared" si="75"/>
        <v>0</v>
      </c>
      <c r="S172" s="246">
        <v>0.5</v>
      </c>
      <c r="T172" s="245">
        <f t="shared" si="76"/>
        <v>0</v>
      </c>
      <c r="U172" s="245">
        <f t="shared" si="77"/>
        <v>0</v>
      </c>
      <c r="V172" s="247"/>
      <c r="AN172" s="235">
        <f t="shared" si="70"/>
        <v>0</v>
      </c>
      <c r="AO172" s="235">
        <f t="shared" si="71"/>
        <v>0</v>
      </c>
    </row>
    <row r="173" spans="1:41" ht="15.75" x14ac:dyDescent="0.25">
      <c r="A173" s="236"/>
      <c r="B173" s="237"/>
      <c r="C173" s="238"/>
      <c r="D173" s="239"/>
      <c r="E173" s="240"/>
      <c r="F173" s="240"/>
      <c r="G173" s="240"/>
      <c r="H173" s="241">
        <f t="shared" si="72"/>
        <v>0</v>
      </c>
      <c r="I173" s="242"/>
      <c r="J173" s="243"/>
      <c r="K173" s="243"/>
      <c r="L173" s="244">
        <v>0.1</v>
      </c>
      <c r="M173" s="244">
        <f t="shared" si="73"/>
        <v>0</v>
      </c>
      <c r="N173" s="244"/>
      <c r="O173" s="244"/>
      <c r="P173" s="244"/>
      <c r="Q173" s="245">
        <f t="shared" si="74"/>
        <v>0</v>
      </c>
      <c r="R173" s="245">
        <f t="shared" si="75"/>
        <v>0</v>
      </c>
      <c r="S173" s="246">
        <v>0.5</v>
      </c>
      <c r="T173" s="245">
        <f t="shared" si="76"/>
        <v>0</v>
      </c>
      <c r="U173" s="245">
        <f t="shared" si="77"/>
        <v>0</v>
      </c>
      <c r="V173" s="247"/>
      <c r="AN173" s="235">
        <f t="shared" si="70"/>
        <v>0</v>
      </c>
      <c r="AO173" s="235">
        <f t="shared" si="71"/>
        <v>0</v>
      </c>
    </row>
    <row r="174" spans="1:41" ht="15.75" x14ac:dyDescent="0.25">
      <c r="A174" s="236"/>
      <c r="B174" s="237"/>
      <c r="C174" s="238"/>
      <c r="D174" s="239"/>
      <c r="E174" s="240"/>
      <c r="F174" s="240"/>
      <c r="G174" s="240"/>
      <c r="H174" s="241">
        <f t="shared" si="72"/>
        <v>0</v>
      </c>
      <c r="I174" s="242"/>
      <c r="J174" s="243"/>
      <c r="K174" s="243"/>
      <c r="L174" s="244">
        <v>0.1</v>
      </c>
      <c r="M174" s="244">
        <f t="shared" si="73"/>
        <v>0</v>
      </c>
      <c r="N174" s="244"/>
      <c r="O174" s="244"/>
      <c r="P174" s="244"/>
      <c r="Q174" s="245">
        <f t="shared" si="74"/>
        <v>0</v>
      </c>
      <c r="R174" s="245">
        <f t="shared" si="75"/>
        <v>0</v>
      </c>
      <c r="S174" s="246">
        <v>0.5</v>
      </c>
      <c r="T174" s="245">
        <f t="shared" si="76"/>
        <v>0</v>
      </c>
      <c r="U174" s="245">
        <f t="shared" si="77"/>
        <v>0</v>
      </c>
      <c r="V174" s="247"/>
      <c r="AN174" s="235">
        <f t="shared" si="70"/>
        <v>0</v>
      </c>
      <c r="AO174" s="235">
        <f t="shared" si="71"/>
        <v>0</v>
      </c>
    </row>
    <row r="175" spans="1:41" ht="15.75" x14ac:dyDescent="0.25">
      <c r="A175" s="236"/>
      <c r="B175" s="237"/>
      <c r="C175" s="238"/>
      <c r="D175" s="239"/>
      <c r="E175" s="240"/>
      <c r="F175" s="240"/>
      <c r="G175" s="240"/>
      <c r="H175" s="241">
        <f t="shared" si="72"/>
        <v>0</v>
      </c>
      <c r="I175" s="242"/>
      <c r="J175" s="243"/>
      <c r="K175" s="243"/>
      <c r="L175" s="244">
        <v>0.1</v>
      </c>
      <c r="M175" s="244">
        <f t="shared" si="73"/>
        <v>0</v>
      </c>
      <c r="N175" s="244"/>
      <c r="O175" s="244"/>
      <c r="P175" s="244"/>
      <c r="Q175" s="245">
        <f t="shared" si="74"/>
        <v>0</v>
      </c>
      <c r="R175" s="245">
        <f t="shared" si="75"/>
        <v>0</v>
      </c>
      <c r="S175" s="246">
        <v>0.5</v>
      </c>
      <c r="T175" s="245">
        <f t="shared" si="76"/>
        <v>0</v>
      </c>
      <c r="U175" s="245">
        <f t="shared" si="77"/>
        <v>0</v>
      </c>
      <c r="V175" s="247"/>
      <c r="AN175" s="235">
        <f t="shared" si="70"/>
        <v>0</v>
      </c>
      <c r="AO175" s="235">
        <f t="shared" si="71"/>
        <v>0</v>
      </c>
    </row>
    <row r="176" spans="1:41" ht="15.75" x14ac:dyDescent="0.25">
      <c r="A176" s="236"/>
      <c r="B176" s="237"/>
      <c r="C176" s="238"/>
      <c r="D176" s="239"/>
      <c r="E176" s="240"/>
      <c r="F176" s="240"/>
      <c r="G176" s="240"/>
      <c r="H176" s="241">
        <f t="shared" si="72"/>
        <v>0</v>
      </c>
      <c r="I176" s="242"/>
      <c r="J176" s="243"/>
      <c r="K176" s="243"/>
      <c r="L176" s="244">
        <v>0.1</v>
      </c>
      <c r="M176" s="244">
        <f t="shared" si="73"/>
        <v>0</v>
      </c>
      <c r="N176" s="244"/>
      <c r="O176" s="244"/>
      <c r="P176" s="244"/>
      <c r="Q176" s="245">
        <f t="shared" si="74"/>
        <v>0</v>
      </c>
      <c r="R176" s="245">
        <f t="shared" si="75"/>
        <v>0</v>
      </c>
      <c r="S176" s="246">
        <v>0.5</v>
      </c>
      <c r="T176" s="245">
        <f t="shared" si="76"/>
        <v>0</v>
      </c>
      <c r="U176" s="245">
        <f t="shared" si="77"/>
        <v>0</v>
      </c>
      <c r="V176" s="247"/>
      <c r="AN176" s="235">
        <f t="shared" si="70"/>
        <v>0</v>
      </c>
      <c r="AO176" s="235">
        <f t="shared" si="71"/>
        <v>0</v>
      </c>
    </row>
    <row r="177" spans="1:41" ht="15.75" x14ac:dyDescent="0.25">
      <c r="A177" s="236"/>
      <c r="B177" s="237"/>
      <c r="C177" s="238"/>
      <c r="D177" s="239"/>
      <c r="E177" s="240"/>
      <c r="F177" s="240"/>
      <c r="G177" s="240"/>
      <c r="H177" s="241">
        <f t="shared" si="72"/>
        <v>0</v>
      </c>
      <c r="I177" s="242"/>
      <c r="J177" s="243"/>
      <c r="K177" s="243"/>
      <c r="L177" s="244">
        <v>0.1</v>
      </c>
      <c r="M177" s="244">
        <f t="shared" si="73"/>
        <v>0</v>
      </c>
      <c r="N177" s="244"/>
      <c r="O177" s="244"/>
      <c r="P177" s="244"/>
      <c r="Q177" s="245">
        <f t="shared" si="74"/>
        <v>0</v>
      </c>
      <c r="R177" s="245">
        <f t="shared" si="75"/>
        <v>0</v>
      </c>
      <c r="S177" s="246">
        <v>0.5</v>
      </c>
      <c r="T177" s="245">
        <f t="shared" si="76"/>
        <v>0</v>
      </c>
      <c r="U177" s="245">
        <f t="shared" si="77"/>
        <v>0</v>
      </c>
      <c r="V177" s="247"/>
      <c r="AN177" s="235">
        <f t="shared" si="70"/>
        <v>0</v>
      </c>
      <c r="AO177" s="235">
        <f t="shared" si="71"/>
        <v>0</v>
      </c>
    </row>
    <row r="178" spans="1:41" ht="15.75" x14ac:dyDescent="0.25">
      <c r="A178" s="236"/>
      <c r="B178" s="237"/>
      <c r="C178" s="238"/>
      <c r="D178" s="239"/>
      <c r="E178" s="240"/>
      <c r="F178" s="240"/>
      <c r="G178" s="240"/>
      <c r="H178" s="241">
        <f t="shared" si="72"/>
        <v>0</v>
      </c>
      <c r="I178" s="242"/>
      <c r="J178" s="243"/>
      <c r="K178" s="243"/>
      <c r="L178" s="244">
        <v>0.1</v>
      </c>
      <c r="M178" s="244">
        <f t="shared" si="73"/>
        <v>0</v>
      </c>
      <c r="N178" s="244"/>
      <c r="O178" s="244"/>
      <c r="P178" s="244"/>
      <c r="Q178" s="245">
        <f t="shared" si="74"/>
        <v>0</v>
      </c>
      <c r="R178" s="245">
        <f t="shared" si="75"/>
        <v>0</v>
      </c>
      <c r="S178" s="246">
        <v>0.5</v>
      </c>
      <c r="T178" s="245">
        <f t="shared" si="76"/>
        <v>0</v>
      </c>
      <c r="U178" s="245">
        <f t="shared" si="77"/>
        <v>0</v>
      </c>
      <c r="V178" s="247"/>
      <c r="AN178" s="235">
        <f t="shared" si="70"/>
        <v>0</v>
      </c>
      <c r="AO178" s="235">
        <f t="shared" si="71"/>
        <v>0</v>
      </c>
    </row>
    <row r="179" spans="1:41" ht="15.75" x14ac:dyDescent="0.25">
      <c r="A179" s="236"/>
      <c r="B179" s="237"/>
      <c r="C179" s="238"/>
      <c r="D179" s="239"/>
      <c r="E179" s="240"/>
      <c r="F179" s="240"/>
      <c r="G179" s="240"/>
      <c r="H179" s="241">
        <f t="shared" si="72"/>
        <v>0</v>
      </c>
      <c r="I179" s="242"/>
      <c r="J179" s="243"/>
      <c r="K179" s="243"/>
      <c r="L179" s="244">
        <v>0.1</v>
      </c>
      <c r="M179" s="244">
        <f t="shared" si="73"/>
        <v>0</v>
      </c>
      <c r="N179" s="244"/>
      <c r="O179" s="244"/>
      <c r="P179" s="244"/>
      <c r="Q179" s="245">
        <f t="shared" si="74"/>
        <v>0</v>
      </c>
      <c r="R179" s="245">
        <f t="shared" si="75"/>
        <v>0</v>
      </c>
      <c r="S179" s="246">
        <v>0.5</v>
      </c>
      <c r="T179" s="245">
        <f t="shared" si="76"/>
        <v>0</v>
      </c>
      <c r="U179" s="245">
        <f t="shared" si="77"/>
        <v>0</v>
      </c>
      <c r="V179" s="247"/>
      <c r="AN179" s="235">
        <f t="shared" si="70"/>
        <v>0</v>
      </c>
      <c r="AO179" s="235">
        <f t="shared" si="71"/>
        <v>0</v>
      </c>
    </row>
    <row r="180" spans="1:41" ht="15.75" x14ac:dyDescent="0.25">
      <c r="A180" s="236"/>
      <c r="B180" s="237"/>
      <c r="C180" s="238"/>
      <c r="D180" s="239"/>
      <c r="E180" s="240"/>
      <c r="F180" s="240"/>
      <c r="G180" s="240"/>
      <c r="H180" s="241">
        <f t="shared" si="72"/>
        <v>0</v>
      </c>
      <c r="I180" s="242"/>
      <c r="J180" s="243"/>
      <c r="K180" s="243"/>
      <c r="L180" s="244">
        <v>0.1</v>
      </c>
      <c r="M180" s="244">
        <f t="shared" si="73"/>
        <v>0</v>
      </c>
      <c r="N180" s="244"/>
      <c r="O180" s="244"/>
      <c r="P180" s="244"/>
      <c r="Q180" s="245">
        <f t="shared" si="74"/>
        <v>0</v>
      </c>
      <c r="R180" s="245">
        <f t="shared" si="75"/>
        <v>0</v>
      </c>
      <c r="S180" s="246">
        <v>0.5</v>
      </c>
      <c r="T180" s="245">
        <f t="shared" si="76"/>
        <v>0</v>
      </c>
      <c r="U180" s="245">
        <f t="shared" si="77"/>
        <v>0</v>
      </c>
      <c r="V180" s="247"/>
      <c r="AN180" s="235">
        <f t="shared" si="70"/>
        <v>0</v>
      </c>
      <c r="AO180" s="235">
        <f t="shared" si="71"/>
        <v>0</v>
      </c>
    </row>
    <row r="181" spans="1:41" ht="15.75" x14ac:dyDescent="0.25">
      <c r="A181" s="236"/>
      <c r="B181" s="237"/>
      <c r="C181" s="238"/>
      <c r="D181" s="239"/>
      <c r="E181" s="240"/>
      <c r="F181" s="240"/>
      <c r="G181" s="240"/>
      <c r="H181" s="241">
        <f t="shared" si="72"/>
        <v>0</v>
      </c>
      <c r="I181" s="242"/>
      <c r="J181" s="243"/>
      <c r="K181" s="243"/>
      <c r="L181" s="244">
        <v>0.1</v>
      </c>
      <c r="M181" s="244">
        <f t="shared" si="73"/>
        <v>0</v>
      </c>
      <c r="N181" s="244"/>
      <c r="O181" s="244"/>
      <c r="P181" s="244"/>
      <c r="Q181" s="245">
        <f t="shared" si="74"/>
        <v>0</v>
      </c>
      <c r="R181" s="245">
        <f t="shared" si="75"/>
        <v>0</v>
      </c>
      <c r="S181" s="246">
        <v>0.5</v>
      </c>
      <c r="T181" s="245">
        <f t="shared" si="76"/>
        <v>0</v>
      </c>
      <c r="U181" s="245">
        <f t="shared" si="77"/>
        <v>0</v>
      </c>
      <c r="V181" s="247"/>
      <c r="AN181" s="235">
        <f t="shared" si="70"/>
        <v>0</v>
      </c>
      <c r="AO181" s="235">
        <f t="shared" si="71"/>
        <v>0</v>
      </c>
    </row>
    <row r="182" spans="1:41" ht="15.75" x14ac:dyDescent="0.25">
      <c r="A182" s="236"/>
      <c r="B182" s="237"/>
      <c r="C182" s="238"/>
      <c r="D182" s="239"/>
      <c r="E182" s="240"/>
      <c r="F182" s="240"/>
      <c r="G182" s="240"/>
      <c r="H182" s="241">
        <f t="shared" si="72"/>
        <v>0</v>
      </c>
      <c r="I182" s="242"/>
      <c r="J182" s="243"/>
      <c r="K182" s="243"/>
      <c r="L182" s="244">
        <v>0.1</v>
      </c>
      <c r="M182" s="244">
        <f t="shared" si="73"/>
        <v>0</v>
      </c>
      <c r="N182" s="244"/>
      <c r="O182" s="244"/>
      <c r="P182" s="244"/>
      <c r="Q182" s="245">
        <f t="shared" si="74"/>
        <v>0</v>
      </c>
      <c r="R182" s="245">
        <f t="shared" si="75"/>
        <v>0</v>
      </c>
      <c r="S182" s="246">
        <v>0.5</v>
      </c>
      <c r="T182" s="245">
        <f t="shared" si="76"/>
        <v>0</v>
      </c>
      <c r="U182" s="245">
        <f t="shared" si="77"/>
        <v>0</v>
      </c>
      <c r="V182" s="247"/>
      <c r="AN182" s="235">
        <f t="shared" si="70"/>
        <v>0</v>
      </c>
      <c r="AO182" s="235">
        <f t="shared" si="71"/>
        <v>0</v>
      </c>
    </row>
    <row r="183" spans="1:41" ht="15.75" x14ac:dyDescent="0.25">
      <c r="A183" s="236"/>
      <c r="B183" s="237"/>
      <c r="C183" s="238"/>
      <c r="D183" s="239"/>
      <c r="E183" s="240"/>
      <c r="F183" s="240"/>
      <c r="G183" s="240"/>
      <c r="H183" s="241">
        <f t="shared" si="72"/>
        <v>0</v>
      </c>
      <c r="I183" s="242"/>
      <c r="J183" s="243"/>
      <c r="K183" s="243"/>
      <c r="L183" s="244">
        <v>0.1</v>
      </c>
      <c r="M183" s="244">
        <f t="shared" si="73"/>
        <v>0</v>
      </c>
      <c r="N183" s="244"/>
      <c r="O183" s="244"/>
      <c r="P183" s="244"/>
      <c r="Q183" s="245">
        <f t="shared" si="74"/>
        <v>0</v>
      </c>
      <c r="R183" s="245">
        <f t="shared" si="75"/>
        <v>0</v>
      </c>
      <c r="S183" s="246">
        <v>0.5</v>
      </c>
      <c r="T183" s="245">
        <f t="shared" si="76"/>
        <v>0</v>
      </c>
      <c r="U183" s="245">
        <f t="shared" si="77"/>
        <v>0</v>
      </c>
      <c r="V183" s="247"/>
    </row>
    <row r="184" spans="1:41" ht="15.75" x14ac:dyDescent="0.25">
      <c r="A184" s="236"/>
      <c r="B184" s="237"/>
      <c r="C184" s="238"/>
      <c r="D184" s="239"/>
      <c r="E184" s="240"/>
      <c r="F184" s="240"/>
      <c r="G184" s="240"/>
      <c r="H184" s="241">
        <f t="shared" si="72"/>
        <v>0</v>
      </c>
      <c r="I184" s="242"/>
      <c r="J184" s="243"/>
      <c r="K184" s="243"/>
      <c r="L184" s="244">
        <v>0.1</v>
      </c>
      <c r="M184" s="244">
        <f t="shared" si="73"/>
        <v>0</v>
      </c>
      <c r="N184" s="244"/>
      <c r="O184" s="244"/>
      <c r="P184" s="244"/>
      <c r="Q184" s="245">
        <f t="shared" si="74"/>
        <v>0</v>
      </c>
      <c r="R184" s="245">
        <f t="shared" si="75"/>
        <v>0</v>
      </c>
      <c r="S184" s="246">
        <v>0.5</v>
      </c>
      <c r="T184" s="245">
        <f t="shared" si="76"/>
        <v>0</v>
      </c>
      <c r="U184" s="245">
        <f t="shared" si="77"/>
        <v>0</v>
      </c>
      <c r="V184" s="247"/>
    </row>
    <row r="185" spans="1:41" ht="15.75" x14ac:dyDescent="0.25">
      <c r="A185" s="236"/>
      <c r="B185" s="237"/>
      <c r="C185" s="238"/>
      <c r="D185" s="239"/>
      <c r="E185" s="240"/>
      <c r="F185" s="240"/>
      <c r="G185" s="240"/>
      <c r="H185" s="241">
        <f t="shared" si="72"/>
        <v>0</v>
      </c>
      <c r="I185" s="242"/>
      <c r="J185" s="243"/>
      <c r="K185" s="243"/>
      <c r="L185" s="244">
        <v>0.1</v>
      </c>
      <c r="M185" s="244">
        <f t="shared" si="73"/>
        <v>0</v>
      </c>
      <c r="N185" s="244"/>
      <c r="O185" s="244"/>
      <c r="P185" s="244"/>
      <c r="Q185" s="245">
        <f t="shared" si="74"/>
        <v>0</v>
      </c>
      <c r="R185" s="245">
        <f t="shared" si="75"/>
        <v>0</v>
      </c>
      <c r="S185" s="246">
        <v>0.5</v>
      </c>
      <c r="T185" s="245">
        <f t="shared" si="76"/>
        <v>0</v>
      </c>
      <c r="U185" s="245">
        <f t="shared" si="77"/>
        <v>0</v>
      </c>
      <c r="V185" s="247"/>
    </row>
    <row r="186" spans="1:41" ht="15.75" x14ac:dyDescent="0.25">
      <c r="A186" s="236"/>
      <c r="B186" s="237"/>
      <c r="C186" s="238"/>
      <c r="D186" s="239"/>
      <c r="E186" s="240"/>
      <c r="F186" s="240"/>
      <c r="G186" s="240"/>
      <c r="H186" s="241">
        <f t="shared" si="72"/>
        <v>0</v>
      </c>
      <c r="I186" s="242"/>
      <c r="J186" s="243"/>
      <c r="K186" s="243"/>
      <c r="L186" s="244">
        <v>0.1</v>
      </c>
      <c r="M186" s="244">
        <f t="shared" si="73"/>
        <v>0</v>
      </c>
      <c r="N186" s="244"/>
      <c r="O186" s="244"/>
      <c r="P186" s="244"/>
      <c r="Q186" s="245">
        <f t="shared" si="74"/>
        <v>0</v>
      </c>
      <c r="R186" s="245">
        <f t="shared" si="75"/>
        <v>0</v>
      </c>
      <c r="S186" s="246">
        <v>0.5</v>
      </c>
      <c r="T186" s="245">
        <f t="shared" si="76"/>
        <v>0</v>
      </c>
      <c r="U186" s="245">
        <f t="shared" si="77"/>
        <v>0</v>
      </c>
      <c r="V186" s="247"/>
    </row>
    <row r="187" spans="1:41" ht="15.75" x14ac:dyDescent="0.25">
      <c r="A187" s="236"/>
      <c r="B187" s="237"/>
      <c r="C187" s="238"/>
      <c r="D187" s="239"/>
      <c r="E187" s="240"/>
      <c r="F187" s="240"/>
      <c r="G187" s="240"/>
      <c r="H187" s="241">
        <f t="shared" si="72"/>
        <v>0</v>
      </c>
      <c r="I187" s="242"/>
      <c r="J187" s="243"/>
      <c r="K187" s="243"/>
      <c r="L187" s="244">
        <v>0.1</v>
      </c>
      <c r="M187" s="244">
        <f t="shared" si="73"/>
        <v>0</v>
      </c>
      <c r="N187" s="244"/>
      <c r="O187" s="244"/>
      <c r="P187" s="244"/>
      <c r="Q187" s="245">
        <f t="shared" si="74"/>
        <v>0</v>
      </c>
      <c r="R187" s="245">
        <f t="shared" si="75"/>
        <v>0</v>
      </c>
      <c r="S187" s="246">
        <v>0.5</v>
      </c>
      <c r="T187" s="245">
        <f t="shared" si="76"/>
        <v>0</v>
      </c>
      <c r="U187" s="245">
        <f t="shared" si="77"/>
        <v>0</v>
      </c>
      <c r="V187" s="247"/>
    </row>
    <row r="188" spans="1:41" ht="15.75" x14ac:dyDescent="0.25">
      <c r="A188" s="236"/>
      <c r="B188" s="237"/>
      <c r="C188" s="238"/>
      <c r="D188" s="239"/>
      <c r="E188" s="240"/>
      <c r="F188" s="240"/>
      <c r="G188" s="240"/>
      <c r="H188" s="241">
        <f t="shared" si="72"/>
        <v>0</v>
      </c>
      <c r="I188" s="242"/>
      <c r="J188" s="243"/>
      <c r="K188" s="243"/>
      <c r="L188" s="244">
        <v>0.1</v>
      </c>
      <c r="M188" s="244">
        <f t="shared" si="73"/>
        <v>0</v>
      </c>
      <c r="N188" s="244"/>
      <c r="O188" s="244"/>
      <c r="P188" s="244"/>
      <c r="Q188" s="245">
        <f t="shared" si="74"/>
        <v>0</v>
      </c>
      <c r="R188" s="245">
        <f t="shared" si="75"/>
        <v>0</v>
      </c>
      <c r="S188" s="246">
        <v>0.5</v>
      </c>
      <c r="T188" s="245">
        <f t="shared" si="76"/>
        <v>0</v>
      </c>
      <c r="U188" s="245">
        <f t="shared" si="77"/>
        <v>0</v>
      </c>
      <c r="V188" s="247"/>
    </row>
    <row r="189" spans="1:41" ht="15.75" x14ac:dyDescent="0.25">
      <c r="A189" s="236"/>
      <c r="B189" s="237"/>
      <c r="C189" s="238"/>
      <c r="D189" s="239"/>
      <c r="E189" s="240"/>
      <c r="F189" s="240"/>
      <c r="G189" s="240"/>
      <c r="H189" s="241">
        <f t="shared" si="72"/>
        <v>0</v>
      </c>
      <c r="I189" s="242"/>
      <c r="J189" s="243"/>
      <c r="K189" s="243"/>
      <c r="L189" s="244">
        <v>0.1</v>
      </c>
      <c r="M189" s="244">
        <f t="shared" si="73"/>
        <v>0</v>
      </c>
      <c r="N189" s="244"/>
      <c r="O189" s="244"/>
      <c r="P189" s="244"/>
      <c r="Q189" s="245">
        <f t="shared" si="74"/>
        <v>0</v>
      </c>
      <c r="R189" s="245">
        <f t="shared" si="75"/>
        <v>0</v>
      </c>
      <c r="S189" s="246">
        <v>0.5</v>
      </c>
      <c r="T189" s="245">
        <f t="shared" si="76"/>
        <v>0</v>
      </c>
      <c r="U189" s="245">
        <f t="shared" si="77"/>
        <v>0</v>
      </c>
      <c r="V189" s="247"/>
    </row>
    <row r="190" spans="1:41" ht="15.75" x14ac:dyDescent="0.25">
      <c r="A190" s="236"/>
      <c r="B190" s="237"/>
      <c r="C190" s="238"/>
      <c r="D190" s="239"/>
      <c r="E190" s="240"/>
      <c r="F190" s="240"/>
      <c r="G190" s="240"/>
      <c r="H190" s="241">
        <f t="shared" si="72"/>
        <v>0</v>
      </c>
      <c r="I190" s="242"/>
      <c r="J190" s="243"/>
      <c r="K190" s="243"/>
      <c r="L190" s="244">
        <v>0.1</v>
      </c>
      <c r="M190" s="244">
        <f t="shared" si="73"/>
        <v>0</v>
      </c>
      <c r="N190" s="244"/>
      <c r="O190" s="244"/>
      <c r="P190" s="244"/>
      <c r="Q190" s="245">
        <f t="shared" si="74"/>
        <v>0</v>
      </c>
      <c r="R190" s="245">
        <f t="shared" si="75"/>
        <v>0</v>
      </c>
      <c r="S190" s="246">
        <v>0.5</v>
      </c>
      <c r="T190" s="245">
        <f t="shared" si="76"/>
        <v>0</v>
      </c>
      <c r="U190" s="245">
        <f t="shared" si="77"/>
        <v>0</v>
      </c>
      <c r="V190" s="247"/>
    </row>
    <row r="191" spans="1:41" ht="15.75" x14ac:dyDescent="0.25">
      <c r="A191" s="236"/>
      <c r="B191" s="237"/>
      <c r="C191" s="238"/>
      <c r="D191" s="239"/>
      <c r="E191" s="240"/>
      <c r="F191" s="240"/>
      <c r="G191" s="240"/>
      <c r="H191" s="241">
        <f t="shared" si="72"/>
        <v>0</v>
      </c>
      <c r="I191" s="242"/>
      <c r="J191" s="243"/>
      <c r="K191" s="243"/>
      <c r="L191" s="244">
        <v>0.1</v>
      </c>
      <c r="M191" s="244">
        <f t="shared" si="73"/>
        <v>0</v>
      </c>
      <c r="N191" s="244"/>
      <c r="O191" s="244"/>
      <c r="P191" s="244"/>
      <c r="Q191" s="245">
        <f t="shared" si="74"/>
        <v>0</v>
      </c>
      <c r="R191" s="245">
        <f t="shared" si="75"/>
        <v>0</v>
      </c>
      <c r="S191" s="246">
        <v>0.5</v>
      </c>
      <c r="T191" s="245">
        <f t="shared" si="76"/>
        <v>0</v>
      </c>
      <c r="U191" s="245">
        <f t="shared" si="77"/>
        <v>0</v>
      </c>
      <c r="V191" s="247"/>
    </row>
    <row r="192" spans="1:41" ht="15.75" x14ac:dyDescent="0.25">
      <c r="A192" s="236"/>
      <c r="B192" s="237"/>
      <c r="C192" s="238"/>
      <c r="D192" s="239"/>
      <c r="E192" s="240"/>
      <c r="F192" s="240"/>
      <c r="G192" s="240"/>
      <c r="H192" s="241">
        <f t="shared" si="72"/>
        <v>0</v>
      </c>
      <c r="I192" s="242"/>
      <c r="J192" s="243"/>
      <c r="K192" s="243"/>
      <c r="L192" s="244">
        <v>0.1</v>
      </c>
      <c r="M192" s="244">
        <f t="shared" si="73"/>
        <v>0</v>
      </c>
      <c r="N192" s="244"/>
      <c r="O192" s="244"/>
      <c r="P192" s="244"/>
      <c r="Q192" s="245">
        <f t="shared" si="74"/>
        <v>0</v>
      </c>
      <c r="R192" s="245">
        <f t="shared" si="75"/>
        <v>0</v>
      </c>
      <c r="S192" s="246">
        <v>0.5</v>
      </c>
      <c r="T192" s="245">
        <f t="shared" si="76"/>
        <v>0</v>
      </c>
      <c r="U192" s="245">
        <f t="shared" si="77"/>
        <v>0</v>
      </c>
      <c r="V192" s="247"/>
    </row>
    <row r="193" spans="1:22" ht="15.75" x14ac:dyDescent="0.25">
      <c r="A193" s="236"/>
      <c r="B193" s="237"/>
      <c r="C193" s="238"/>
      <c r="D193" s="239"/>
      <c r="E193" s="240"/>
      <c r="F193" s="240"/>
      <c r="G193" s="240"/>
      <c r="H193" s="241">
        <f t="shared" si="72"/>
        <v>0</v>
      </c>
      <c r="I193" s="242"/>
      <c r="J193" s="243"/>
      <c r="K193" s="243"/>
      <c r="L193" s="244">
        <v>0.1</v>
      </c>
      <c r="M193" s="244">
        <f t="shared" si="73"/>
        <v>0</v>
      </c>
      <c r="N193" s="244"/>
      <c r="O193" s="244"/>
      <c r="P193" s="244"/>
      <c r="Q193" s="245">
        <f t="shared" si="74"/>
        <v>0</v>
      </c>
      <c r="R193" s="245">
        <f t="shared" si="75"/>
        <v>0</v>
      </c>
      <c r="S193" s="246">
        <v>0.5</v>
      </c>
      <c r="T193" s="245">
        <f t="shared" si="76"/>
        <v>0</v>
      </c>
      <c r="U193" s="245">
        <f t="shared" si="77"/>
        <v>0</v>
      </c>
      <c r="V193" s="247"/>
    </row>
    <row r="194" spans="1:22" ht="15.75" x14ac:dyDescent="0.25">
      <c r="A194" s="236"/>
      <c r="B194" s="237"/>
      <c r="C194" s="238"/>
      <c r="D194" s="239"/>
      <c r="E194" s="240"/>
      <c r="F194" s="240"/>
      <c r="G194" s="240"/>
      <c r="H194" s="241">
        <f t="shared" si="72"/>
        <v>0</v>
      </c>
      <c r="I194" s="242"/>
      <c r="J194" s="243"/>
      <c r="K194" s="243"/>
      <c r="L194" s="244">
        <v>0.1</v>
      </c>
      <c r="M194" s="244">
        <f t="shared" si="73"/>
        <v>0</v>
      </c>
      <c r="N194" s="244"/>
      <c r="O194" s="244"/>
      <c r="P194" s="244"/>
      <c r="Q194" s="245">
        <f t="shared" si="74"/>
        <v>0</v>
      </c>
      <c r="R194" s="245">
        <f t="shared" si="75"/>
        <v>0</v>
      </c>
      <c r="S194" s="246">
        <v>0.5</v>
      </c>
      <c r="T194" s="245">
        <f t="shared" si="76"/>
        <v>0</v>
      </c>
      <c r="U194" s="245">
        <f t="shared" si="77"/>
        <v>0</v>
      </c>
      <c r="V194" s="247"/>
    </row>
    <row r="195" spans="1:22" ht="15.75" x14ac:dyDescent="0.25">
      <c r="A195" s="236"/>
      <c r="B195" s="237"/>
      <c r="C195" s="238"/>
      <c r="D195" s="239"/>
      <c r="E195" s="240"/>
      <c r="F195" s="240"/>
      <c r="G195" s="240"/>
      <c r="H195" s="241">
        <f t="shared" si="72"/>
        <v>0</v>
      </c>
      <c r="I195" s="242"/>
      <c r="J195" s="243"/>
      <c r="K195" s="243"/>
      <c r="L195" s="244">
        <v>0.1</v>
      </c>
      <c r="M195" s="244">
        <f t="shared" si="73"/>
        <v>0</v>
      </c>
      <c r="N195" s="244"/>
      <c r="O195" s="244"/>
      <c r="P195" s="244"/>
      <c r="Q195" s="245">
        <f t="shared" si="74"/>
        <v>0</v>
      </c>
      <c r="R195" s="245">
        <f t="shared" si="75"/>
        <v>0</v>
      </c>
      <c r="S195" s="246">
        <v>0.5</v>
      </c>
      <c r="T195" s="245">
        <f t="shared" si="76"/>
        <v>0</v>
      </c>
      <c r="U195" s="245">
        <f t="shared" si="77"/>
        <v>0</v>
      </c>
      <c r="V195" s="247"/>
    </row>
    <row r="196" spans="1:22" ht="15.75" x14ac:dyDescent="0.25">
      <c r="A196" s="236"/>
      <c r="B196" s="237"/>
      <c r="C196" s="238"/>
      <c r="D196" s="239"/>
      <c r="E196" s="240"/>
      <c r="F196" s="240"/>
      <c r="G196" s="240"/>
      <c r="H196" s="241">
        <f t="shared" si="72"/>
        <v>0</v>
      </c>
      <c r="I196" s="242"/>
      <c r="J196" s="243"/>
      <c r="K196" s="243"/>
      <c r="L196" s="244">
        <v>0.1</v>
      </c>
      <c r="M196" s="244">
        <f t="shared" si="73"/>
        <v>0</v>
      </c>
      <c r="N196" s="244"/>
      <c r="O196" s="244"/>
      <c r="P196" s="244"/>
      <c r="Q196" s="245">
        <f t="shared" si="74"/>
        <v>0</v>
      </c>
      <c r="R196" s="245">
        <f t="shared" si="75"/>
        <v>0</v>
      </c>
      <c r="S196" s="246">
        <v>0.5</v>
      </c>
      <c r="T196" s="245">
        <f t="shared" si="76"/>
        <v>0</v>
      </c>
      <c r="U196" s="245">
        <f t="shared" si="77"/>
        <v>0</v>
      </c>
      <c r="V196" s="247"/>
    </row>
    <row r="197" spans="1:22" ht="15.75" x14ac:dyDescent="0.25">
      <c r="A197" s="236"/>
      <c r="B197" s="237"/>
      <c r="C197" s="238"/>
      <c r="D197" s="239"/>
      <c r="E197" s="240"/>
      <c r="F197" s="240"/>
      <c r="G197" s="240"/>
      <c r="H197" s="241">
        <f t="shared" si="72"/>
        <v>0</v>
      </c>
      <c r="I197" s="242"/>
      <c r="J197" s="243"/>
      <c r="K197" s="243"/>
      <c r="L197" s="244">
        <v>0.1</v>
      </c>
      <c r="M197" s="244">
        <f t="shared" si="73"/>
        <v>0</v>
      </c>
      <c r="N197" s="244"/>
      <c r="O197" s="244"/>
      <c r="P197" s="244"/>
      <c r="Q197" s="245">
        <f t="shared" si="74"/>
        <v>0</v>
      </c>
      <c r="R197" s="245">
        <f t="shared" si="75"/>
        <v>0</v>
      </c>
      <c r="S197" s="246">
        <v>0.5</v>
      </c>
      <c r="T197" s="245">
        <f t="shared" si="76"/>
        <v>0</v>
      </c>
      <c r="U197" s="245">
        <f t="shared" si="77"/>
        <v>0</v>
      </c>
      <c r="V197" s="247"/>
    </row>
    <row r="198" spans="1:22" ht="15.75" x14ac:dyDescent="0.25">
      <c r="A198" s="236"/>
      <c r="B198" s="237"/>
      <c r="C198" s="238"/>
      <c r="D198" s="239"/>
      <c r="E198" s="240"/>
      <c r="F198" s="240"/>
      <c r="G198" s="240"/>
      <c r="H198" s="241">
        <f t="shared" si="72"/>
        <v>0</v>
      </c>
      <c r="I198" s="242"/>
      <c r="J198" s="243"/>
      <c r="K198" s="243"/>
      <c r="L198" s="244">
        <v>0.1</v>
      </c>
      <c r="M198" s="244">
        <f t="shared" si="73"/>
        <v>0</v>
      </c>
      <c r="N198" s="244"/>
      <c r="O198" s="244"/>
      <c r="P198" s="244"/>
      <c r="Q198" s="245">
        <f t="shared" si="74"/>
        <v>0</v>
      </c>
      <c r="R198" s="245">
        <f t="shared" si="75"/>
        <v>0</v>
      </c>
      <c r="S198" s="246">
        <v>0.5</v>
      </c>
      <c r="T198" s="245">
        <f t="shared" si="76"/>
        <v>0</v>
      </c>
      <c r="U198" s="245">
        <f t="shared" si="77"/>
        <v>0</v>
      </c>
      <c r="V198" s="247"/>
    </row>
    <row r="199" spans="1:22" ht="15.75" x14ac:dyDescent="0.25">
      <c r="A199" s="236"/>
      <c r="B199" s="237"/>
      <c r="C199" s="238"/>
      <c r="D199" s="239"/>
      <c r="E199" s="240"/>
      <c r="F199" s="240"/>
      <c r="G199" s="240"/>
      <c r="H199" s="241">
        <f t="shared" si="72"/>
        <v>0</v>
      </c>
      <c r="I199" s="242"/>
      <c r="J199" s="243"/>
      <c r="K199" s="243"/>
      <c r="L199" s="244">
        <v>0.1</v>
      </c>
      <c r="M199" s="244">
        <f t="shared" si="73"/>
        <v>0</v>
      </c>
      <c r="N199" s="244"/>
      <c r="O199" s="244"/>
      <c r="P199" s="244"/>
      <c r="Q199" s="245">
        <f t="shared" si="74"/>
        <v>0</v>
      </c>
      <c r="R199" s="245">
        <f t="shared" si="75"/>
        <v>0</v>
      </c>
      <c r="S199" s="246">
        <v>0.5</v>
      </c>
      <c r="T199" s="245">
        <f t="shared" si="76"/>
        <v>0</v>
      </c>
      <c r="U199" s="245">
        <f t="shared" si="77"/>
        <v>0</v>
      </c>
      <c r="V199" s="247"/>
    </row>
    <row r="200" spans="1:22" ht="15.75" x14ac:dyDescent="0.25">
      <c r="A200" s="236"/>
      <c r="B200" s="237"/>
      <c r="C200" s="238"/>
      <c r="D200" s="239"/>
      <c r="E200" s="240"/>
      <c r="F200" s="240"/>
      <c r="G200" s="240"/>
      <c r="H200" s="241">
        <f t="shared" si="72"/>
        <v>0</v>
      </c>
      <c r="I200" s="242"/>
      <c r="J200" s="243"/>
      <c r="K200" s="243"/>
      <c r="L200" s="244">
        <v>0.1</v>
      </c>
      <c r="M200" s="244">
        <f t="shared" si="73"/>
        <v>0</v>
      </c>
      <c r="N200" s="244"/>
      <c r="O200" s="244"/>
      <c r="P200" s="244"/>
      <c r="Q200" s="245">
        <f t="shared" si="74"/>
        <v>0</v>
      </c>
      <c r="R200" s="245">
        <f t="shared" si="75"/>
        <v>0</v>
      </c>
      <c r="S200" s="246">
        <v>0.5</v>
      </c>
      <c r="T200" s="245">
        <f t="shared" si="76"/>
        <v>0</v>
      </c>
      <c r="U200" s="245">
        <f t="shared" si="77"/>
        <v>0</v>
      </c>
      <c r="V200" s="247"/>
    </row>
    <row r="201" spans="1:22" ht="15.75" x14ac:dyDescent="0.25">
      <c r="A201" s="236"/>
      <c r="B201" s="237"/>
      <c r="C201" s="238"/>
      <c r="D201" s="239"/>
      <c r="E201" s="240"/>
      <c r="F201" s="240"/>
      <c r="G201" s="240"/>
      <c r="H201" s="241">
        <f t="shared" si="72"/>
        <v>0</v>
      </c>
      <c r="I201" s="242"/>
      <c r="J201" s="243"/>
      <c r="K201" s="243"/>
      <c r="L201" s="244">
        <v>0.1</v>
      </c>
      <c r="M201" s="244">
        <f t="shared" si="73"/>
        <v>0</v>
      </c>
      <c r="N201" s="244"/>
      <c r="O201" s="244"/>
      <c r="P201" s="244"/>
      <c r="Q201" s="245">
        <f t="shared" si="74"/>
        <v>0</v>
      </c>
      <c r="R201" s="245">
        <f t="shared" si="75"/>
        <v>0</v>
      </c>
      <c r="S201" s="246">
        <v>0.5</v>
      </c>
      <c r="T201" s="245">
        <f t="shared" si="76"/>
        <v>0</v>
      </c>
      <c r="U201" s="245">
        <f t="shared" si="77"/>
        <v>0</v>
      </c>
      <c r="V201" s="247"/>
    </row>
    <row r="202" spans="1:22" ht="15.75" x14ac:dyDescent="0.25">
      <c r="A202" s="236"/>
      <c r="B202" s="237"/>
      <c r="C202" s="238"/>
      <c r="D202" s="239"/>
      <c r="E202" s="240"/>
      <c r="F202" s="240"/>
      <c r="G202" s="240"/>
      <c r="H202" s="241">
        <f t="shared" si="72"/>
        <v>0</v>
      </c>
      <c r="I202" s="242"/>
      <c r="J202" s="243"/>
      <c r="K202" s="243"/>
      <c r="L202" s="244">
        <v>0.1</v>
      </c>
      <c r="M202" s="244">
        <f t="shared" si="73"/>
        <v>0</v>
      </c>
      <c r="N202" s="244"/>
      <c r="O202" s="244"/>
      <c r="P202" s="244"/>
      <c r="Q202" s="245">
        <f t="shared" si="74"/>
        <v>0</v>
      </c>
      <c r="R202" s="245">
        <f t="shared" si="75"/>
        <v>0</v>
      </c>
      <c r="S202" s="246">
        <v>0.5</v>
      </c>
      <c r="T202" s="245">
        <f t="shared" si="76"/>
        <v>0</v>
      </c>
      <c r="U202" s="245">
        <f t="shared" si="77"/>
        <v>0</v>
      </c>
      <c r="V202" s="247"/>
    </row>
    <row r="203" spans="1:22" ht="15.75" x14ac:dyDescent="0.25">
      <c r="A203" s="236"/>
      <c r="B203" s="237"/>
      <c r="C203" s="238"/>
      <c r="D203" s="239"/>
      <c r="E203" s="240"/>
      <c r="F203" s="240"/>
      <c r="G203" s="240"/>
      <c r="H203" s="241">
        <f t="shared" si="72"/>
        <v>0</v>
      </c>
      <c r="I203" s="242"/>
      <c r="J203" s="243"/>
      <c r="K203" s="243"/>
      <c r="L203" s="244">
        <v>0.1</v>
      </c>
      <c r="M203" s="244">
        <f t="shared" si="73"/>
        <v>0</v>
      </c>
      <c r="N203" s="244"/>
      <c r="O203" s="244"/>
      <c r="P203" s="244"/>
      <c r="Q203" s="245">
        <f t="shared" si="74"/>
        <v>0</v>
      </c>
      <c r="R203" s="245">
        <f t="shared" si="75"/>
        <v>0</v>
      </c>
      <c r="S203" s="246">
        <v>0.5</v>
      </c>
      <c r="T203" s="245">
        <f t="shared" si="76"/>
        <v>0</v>
      </c>
      <c r="U203" s="245">
        <f t="shared" si="77"/>
        <v>0</v>
      </c>
      <c r="V203" s="247"/>
    </row>
    <row r="204" spans="1:22" ht="15.75" x14ac:dyDescent="0.25">
      <c r="A204" s="236"/>
      <c r="B204" s="237"/>
      <c r="C204" s="238"/>
      <c r="D204" s="239"/>
      <c r="E204" s="240"/>
      <c r="F204" s="240"/>
      <c r="G204" s="240"/>
      <c r="H204" s="241">
        <f t="shared" si="72"/>
        <v>0</v>
      </c>
      <c r="I204" s="242"/>
      <c r="J204" s="243"/>
      <c r="K204" s="243"/>
      <c r="L204" s="244">
        <v>0.1</v>
      </c>
      <c r="M204" s="244">
        <f t="shared" si="73"/>
        <v>0</v>
      </c>
      <c r="N204" s="244"/>
      <c r="O204" s="244"/>
      <c r="P204" s="244"/>
      <c r="Q204" s="245">
        <f t="shared" si="74"/>
        <v>0</v>
      </c>
      <c r="R204" s="245">
        <f t="shared" si="75"/>
        <v>0</v>
      </c>
      <c r="S204" s="246">
        <v>0.5</v>
      </c>
      <c r="T204" s="245">
        <f t="shared" si="76"/>
        <v>0</v>
      </c>
      <c r="U204" s="245">
        <f t="shared" si="77"/>
        <v>0</v>
      </c>
      <c r="V204" s="247"/>
    </row>
    <row r="205" spans="1:22" ht="15.75" x14ac:dyDescent="0.25">
      <c r="A205" s="236"/>
      <c r="B205" s="237"/>
      <c r="C205" s="238"/>
      <c r="D205" s="239"/>
      <c r="E205" s="240"/>
      <c r="F205" s="240"/>
      <c r="G205" s="240"/>
      <c r="H205" s="241">
        <f t="shared" si="72"/>
        <v>0</v>
      </c>
      <c r="I205" s="242"/>
      <c r="J205" s="243"/>
      <c r="K205" s="243"/>
      <c r="L205" s="244">
        <v>0.1</v>
      </c>
      <c r="M205" s="244">
        <f t="shared" si="73"/>
        <v>0</v>
      </c>
      <c r="N205" s="244"/>
      <c r="O205" s="244"/>
      <c r="P205" s="244"/>
      <c r="Q205" s="245">
        <f t="shared" si="74"/>
        <v>0</v>
      </c>
      <c r="R205" s="245">
        <f t="shared" si="75"/>
        <v>0</v>
      </c>
      <c r="S205" s="246">
        <v>0.5</v>
      </c>
      <c r="T205" s="245">
        <f t="shared" si="76"/>
        <v>0</v>
      </c>
      <c r="U205" s="245">
        <f t="shared" si="77"/>
        <v>0</v>
      </c>
      <c r="V205" s="247"/>
    </row>
    <row r="206" spans="1:22" ht="15.75" x14ac:dyDescent="0.25">
      <c r="A206" s="236"/>
      <c r="B206" s="237"/>
      <c r="C206" s="238"/>
      <c r="D206" s="239"/>
      <c r="E206" s="240"/>
      <c r="F206" s="240"/>
      <c r="G206" s="240"/>
      <c r="H206" s="241">
        <f t="shared" si="72"/>
        <v>0</v>
      </c>
      <c r="I206" s="242"/>
      <c r="J206" s="243"/>
      <c r="K206" s="243"/>
      <c r="L206" s="244">
        <v>0.1</v>
      </c>
      <c r="M206" s="244">
        <f t="shared" si="73"/>
        <v>0</v>
      </c>
      <c r="N206" s="244"/>
      <c r="O206" s="244"/>
      <c r="P206" s="244"/>
      <c r="Q206" s="245">
        <f t="shared" si="74"/>
        <v>0</v>
      </c>
      <c r="R206" s="245">
        <f t="shared" si="75"/>
        <v>0</v>
      </c>
      <c r="S206" s="246">
        <v>0.5</v>
      </c>
      <c r="T206" s="245">
        <f t="shared" si="76"/>
        <v>0</v>
      </c>
      <c r="U206" s="245">
        <f t="shared" si="77"/>
        <v>0</v>
      </c>
      <c r="V206" s="247"/>
    </row>
    <row r="207" spans="1:22" ht="15.75" x14ac:dyDescent="0.25">
      <c r="A207" s="236"/>
      <c r="B207" s="237"/>
      <c r="C207" s="238"/>
      <c r="D207" s="239"/>
      <c r="E207" s="240"/>
      <c r="F207" s="240"/>
      <c r="G207" s="240"/>
      <c r="H207" s="241">
        <f t="shared" si="72"/>
        <v>0</v>
      </c>
      <c r="I207" s="242"/>
      <c r="J207" s="243"/>
      <c r="K207" s="243"/>
      <c r="L207" s="244">
        <v>0.1</v>
      </c>
      <c r="M207" s="244">
        <f t="shared" si="73"/>
        <v>0</v>
      </c>
      <c r="N207" s="244"/>
      <c r="O207" s="244"/>
      <c r="P207" s="244"/>
      <c r="Q207" s="245">
        <f t="shared" si="74"/>
        <v>0</v>
      </c>
      <c r="R207" s="245">
        <f t="shared" si="75"/>
        <v>0</v>
      </c>
      <c r="S207" s="246">
        <v>0.5</v>
      </c>
      <c r="T207" s="245">
        <f t="shared" si="76"/>
        <v>0</v>
      </c>
      <c r="U207" s="245">
        <f t="shared" si="77"/>
        <v>0</v>
      </c>
      <c r="V207" s="247"/>
    </row>
    <row r="208" spans="1:22" ht="15.75" x14ac:dyDescent="0.25">
      <c r="A208" s="236"/>
      <c r="B208" s="237"/>
      <c r="C208" s="238"/>
      <c r="D208" s="239"/>
      <c r="E208" s="240"/>
      <c r="F208" s="240"/>
      <c r="G208" s="240"/>
      <c r="H208" s="241">
        <f t="shared" si="72"/>
        <v>0</v>
      </c>
      <c r="I208" s="242"/>
      <c r="J208" s="243"/>
      <c r="K208" s="243"/>
      <c r="L208" s="244">
        <v>0.1</v>
      </c>
      <c r="M208" s="244">
        <f t="shared" si="73"/>
        <v>0</v>
      </c>
      <c r="N208" s="244"/>
      <c r="O208" s="244"/>
      <c r="P208" s="244"/>
      <c r="Q208" s="245">
        <f t="shared" si="74"/>
        <v>0</v>
      </c>
      <c r="R208" s="245">
        <f t="shared" si="75"/>
        <v>0</v>
      </c>
      <c r="S208" s="246">
        <v>0.5</v>
      </c>
      <c r="T208" s="245">
        <f t="shared" si="76"/>
        <v>0</v>
      </c>
      <c r="U208" s="245">
        <f t="shared" si="77"/>
        <v>0</v>
      </c>
      <c r="V208" s="247"/>
    </row>
    <row r="209" spans="1:22" ht="15.75" x14ac:dyDescent="0.25">
      <c r="A209" s="236"/>
      <c r="B209" s="237"/>
      <c r="C209" s="238"/>
      <c r="D209" s="239"/>
      <c r="E209" s="240"/>
      <c r="F209" s="240"/>
      <c r="G209" s="240"/>
      <c r="H209" s="241">
        <f t="shared" si="72"/>
        <v>0</v>
      </c>
      <c r="I209" s="242"/>
      <c r="J209" s="243"/>
      <c r="K209" s="243"/>
      <c r="L209" s="244">
        <v>0.1</v>
      </c>
      <c r="M209" s="244">
        <f t="shared" si="73"/>
        <v>0</v>
      </c>
      <c r="N209" s="244"/>
      <c r="O209" s="244"/>
      <c r="P209" s="244"/>
      <c r="Q209" s="245">
        <f t="shared" si="74"/>
        <v>0</v>
      </c>
      <c r="R209" s="245">
        <f t="shared" si="75"/>
        <v>0</v>
      </c>
      <c r="S209" s="246">
        <v>0.5</v>
      </c>
      <c r="T209" s="245">
        <f t="shared" si="76"/>
        <v>0</v>
      </c>
      <c r="U209" s="245">
        <f t="shared" si="77"/>
        <v>0</v>
      </c>
      <c r="V209" s="247"/>
    </row>
    <row r="210" spans="1:22" ht="15.75" x14ac:dyDescent="0.25">
      <c r="A210" s="236"/>
      <c r="B210" s="237"/>
      <c r="C210" s="238"/>
      <c r="D210" s="239"/>
      <c r="E210" s="240"/>
      <c r="F210" s="240"/>
      <c r="G210" s="240"/>
      <c r="H210" s="241">
        <f t="shared" si="72"/>
        <v>0</v>
      </c>
      <c r="I210" s="242"/>
      <c r="J210" s="243"/>
      <c r="K210" s="243"/>
      <c r="L210" s="244">
        <v>0.1</v>
      </c>
      <c r="M210" s="244">
        <f t="shared" si="73"/>
        <v>0</v>
      </c>
      <c r="N210" s="244"/>
      <c r="O210" s="244"/>
      <c r="P210" s="244"/>
      <c r="Q210" s="245">
        <f t="shared" si="74"/>
        <v>0</v>
      </c>
      <c r="R210" s="245">
        <f t="shared" si="75"/>
        <v>0</v>
      </c>
      <c r="S210" s="246">
        <v>0.5</v>
      </c>
      <c r="T210" s="245">
        <f t="shared" si="76"/>
        <v>0</v>
      </c>
      <c r="U210" s="245">
        <f t="shared" si="77"/>
        <v>0</v>
      </c>
      <c r="V210" s="247"/>
    </row>
    <row r="211" spans="1:22" ht="15.75" x14ac:dyDescent="0.25">
      <c r="A211" s="236"/>
      <c r="B211" s="237"/>
      <c r="C211" s="238"/>
      <c r="D211" s="239"/>
      <c r="E211" s="240"/>
      <c r="F211" s="240"/>
      <c r="G211" s="240"/>
      <c r="H211" s="241">
        <f t="shared" si="72"/>
        <v>0</v>
      </c>
      <c r="I211" s="242"/>
      <c r="J211" s="243"/>
      <c r="K211" s="243"/>
      <c r="L211" s="244">
        <v>0.1</v>
      </c>
      <c r="M211" s="244">
        <f t="shared" si="73"/>
        <v>0</v>
      </c>
      <c r="N211" s="244"/>
      <c r="O211" s="244"/>
      <c r="P211" s="244"/>
      <c r="Q211" s="245">
        <f t="shared" si="74"/>
        <v>0</v>
      </c>
      <c r="R211" s="245">
        <f t="shared" si="75"/>
        <v>0</v>
      </c>
      <c r="S211" s="246">
        <v>0.5</v>
      </c>
      <c r="T211" s="245">
        <f t="shared" si="76"/>
        <v>0</v>
      </c>
      <c r="U211" s="245">
        <f t="shared" si="77"/>
        <v>0</v>
      </c>
      <c r="V211" s="247"/>
    </row>
    <row r="212" spans="1:22" ht="15.75" x14ac:dyDescent="0.25">
      <c r="A212" s="236"/>
      <c r="B212" s="237"/>
      <c r="C212" s="238"/>
      <c r="D212" s="239"/>
      <c r="E212" s="240"/>
      <c r="F212" s="240"/>
      <c r="G212" s="240"/>
      <c r="H212" s="241">
        <f t="shared" si="72"/>
        <v>0</v>
      </c>
      <c r="I212" s="242"/>
      <c r="J212" s="243"/>
      <c r="K212" s="243"/>
      <c r="L212" s="244">
        <v>0.1</v>
      </c>
      <c r="M212" s="244">
        <f t="shared" si="73"/>
        <v>0</v>
      </c>
      <c r="N212" s="244"/>
      <c r="O212" s="244"/>
      <c r="P212" s="244"/>
      <c r="Q212" s="245">
        <f t="shared" si="74"/>
        <v>0</v>
      </c>
      <c r="R212" s="245">
        <f t="shared" si="75"/>
        <v>0</v>
      </c>
      <c r="S212" s="246">
        <v>0.5</v>
      </c>
      <c r="T212" s="245">
        <f t="shared" si="76"/>
        <v>0</v>
      </c>
      <c r="U212" s="245">
        <f t="shared" si="77"/>
        <v>0</v>
      </c>
      <c r="V212" s="247"/>
    </row>
    <row r="213" spans="1:22" ht="15.75" x14ac:dyDescent="0.25">
      <c r="A213" s="236"/>
      <c r="B213" s="237"/>
      <c r="C213" s="238"/>
      <c r="D213" s="239"/>
      <c r="E213" s="240"/>
      <c r="F213" s="240"/>
      <c r="G213" s="240"/>
      <c r="H213" s="241">
        <f t="shared" si="72"/>
        <v>0</v>
      </c>
      <c r="I213" s="242"/>
      <c r="J213" s="243"/>
      <c r="K213" s="243"/>
      <c r="L213" s="244">
        <v>0.1</v>
      </c>
      <c r="M213" s="244">
        <f t="shared" si="73"/>
        <v>0</v>
      </c>
      <c r="N213" s="244"/>
      <c r="O213" s="244"/>
      <c r="P213" s="244"/>
      <c r="Q213" s="245">
        <f t="shared" si="74"/>
        <v>0</v>
      </c>
      <c r="R213" s="245">
        <f t="shared" si="75"/>
        <v>0</v>
      </c>
      <c r="S213" s="246">
        <v>0.5</v>
      </c>
      <c r="T213" s="245">
        <f t="shared" si="76"/>
        <v>0</v>
      </c>
      <c r="U213" s="245">
        <f t="shared" si="77"/>
        <v>0</v>
      </c>
      <c r="V213" s="247"/>
    </row>
    <row r="214" spans="1:22" ht="15.75" x14ac:dyDescent="0.25">
      <c r="A214" s="236"/>
      <c r="B214" s="237"/>
      <c r="C214" s="238"/>
      <c r="D214" s="239"/>
      <c r="E214" s="240"/>
      <c r="F214" s="240"/>
      <c r="G214" s="240"/>
      <c r="H214" s="241">
        <f t="shared" si="72"/>
        <v>0</v>
      </c>
      <c r="I214" s="242"/>
      <c r="J214" s="243"/>
      <c r="K214" s="243"/>
      <c r="L214" s="244">
        <v>0.1</v>
      </c>
      <c r="M214" s="244">
        <f t="shared" si="73"/>
        <v>0</v>
      </c>
      <c r="N214" s="244"/>
      <c r="O214" s="244"/>
      <c r="P214" s="244"/>
      <c r="Q214" s="245">
        <f t="shared" si="74"/>
        <v>0</v>
      </c>
      <c r="R214" s="245">
        <f t="shared" si="75"/>
        <v>0</v>
      </c>
      <c r="S214" s="246">
        <v>0.5</v>
      </c>
      <c r="T214" s="245">
        <f t="shared" si="76"/>
        <v>0</v>
      </c>
      <c r="U214" s="245">
        <f t="shared" si="77"/>
        <v>0</v>
      </c>
      <c r="V214" s="247"/>
    </row>
    <row r="215" spans="1:22" ht="15.75" x14ac:dyDescent="0.25">
      <c r="A215" s="236"/>
      <c r="B215" s="237"/>
      <c r="C215" s="238"/>
      <c r="D215" s="239"/>
      <c r="E215" s="240"/>
      <c r="F215" s="240"/>
      <c r="G215" s="240"/>
      <c r="H215" s="241">
        <f t="shared" si="72"/>
        <v>0</v>
      </c>
      <c r="I215" s="242"/>
      <c r="J215" s="243"/>
      <c r="K215" s="243"/>
      <c r="L215" s="244">
        <v>0.1</v>
      </c>
      <c r="M215" s="244">
        <f t="shared" si="73"/>
        <v>0</v>
      </c>
      <c r="N215" s="244"/>
      <c r="O215" s="244"/>
      <c r="P215" s="244"/>
      <c r="Q215" s="245">
        <f t="shared" si="74"/>
        <v>0</v>
      </c>
      <c r="R215" s="245">
        <f t="shared" si="75"/>
        <v>0</v>
      </c>
      <c r="S215" s="246">
        <v>0.5</v>
      </c>
      <c r="T215" s="245">
        <f t="shared" si="76"/>
        <v>0</v>
      </c>
      <c r="U215" s="245">
        <f t="shared" si="77"/>
        <v>0</v>
      </c>
      <c r="V215" s="247"/>
    </row>
    <row r="216" spans="1:22" ht="15.75" x14ac:dyDescent="0.25">
      <c r="A216" s="236"/>
      <c r="B216" s="237"/>
      <c r="C216" s="238"/>
      <c r="D216" s="239"/>
      <c r="E216" s="240"/>
      <c r="F216" s="240"/>
      <c r="G216" s="240"/>
      <c r="H216" s="241">
        <f t="shared" si="72"/>
        <v>0</v>
      </c>
      <c r="I216" s="242"/>
      <c r="J216" s="243"/>
      <c r="K216" s="243"/>
      <c r="L216" s="244">
        <v>0.1</v>
      </c>
      <c r="M216" s="244">
        <f t="shared" si="73"/>
        <v>0</v>
      </c>
      <c r="N216" s="244"/>
      <c r="O216" s="244"/>
      <c r="P216" s="244"/>
      <c r="Q216" s="245">
        <f t="shared" si="74"/>
        <v>0</v>
      </c>
      <c r="R216" s="245">
        <f t="shared" si="75"/>
        <v>0</v>
      </c>
      <c r="S216" s="246">
        <v>0.5</v>
      </c>
      <c r="T216" s="245">
        <f t="shared" si="76"/>
        <v>0</v>
      </c>
      <c r="U216" s="245">
        <f t="shared" si="77"/>
        <v>0</v>
      </c>
      <c r="V216" s="247"/>
    </row>
    <row r="217" spans="1:22" ht="15.75" x14ac:dyDescent="0.25">
      <c r="A217" s="236"/>
      <c r="B217" s="237"/>
      <c r="C217" s="238"/>
      <c r="D217" s="239"/>
      <c r="E217" s="240"/>
      <c r="F217" s="240"/>
      <c r="G217" s="240"/>
      <c r="H217" s="241">
        <f t="shared" si="72"/>
        <v>0</v>
      </c>
      <c r="I217" s="242"/>
      <c r="J217" s="243"/>
      <c r="K217" s="243"/>
      <c r="L217" s="244">
        <v>0.1</v>
      </c>
      <c r="M217" s="244">
        <f t="shared" si="73"/>
        <v>0</v>
      </c>
      <c r="N217" s="244"/>
      <c r="O217" s="244"/>
      <c r="P217" s="244"/>
      <c r="Q217" s="245">
        <f t="shared" si="74"/>
        <v>0</v>
      </c>
      <c r="R217" s="245">
        <f t="shared" si="75"/>
        <v>0</v>
      </c>
      <c r="S217" s="246">
        <v>0.5</v>
      </c>
      <c r="T217" s="245">
        <f t="shared" si="76"/>
        <v>0</v>
      </c>
      <c r="U217" s="245">
        <f t="shared" si="77"/>
        <v>0</v>
      </c>
      <c r="V217" s="247"/>
    </row>
    <row r="218" spans="1:22" ht="15.75" x14ac:dyDescent="0.25">
      <c r="A218" s="236"/>
      <c r="B218" s="237"/>
      <c r="C218" s="238"/>
      <c r="D218" s="239"/>
      <c r="E218" s="240"/>
      <c r="F218" s="240"/>
      <c r="G218" s="240"/>
      <c r="H218" s="241">
        <f t="shared" si="72"/>
        <v>0</v>
      </c>
      <c r="I218" s="242"/>
      <c r="J218" s="243"/>
      <c r="K218" s="243"/>
      <c r="L218" s="244">
        <v>0.1</v>
      </c>
      <c r="M218" s="244">
        <f t="shared" si="73"/>
        <v>0</v>
      </c>
      <c r="N218" s="244"/>
      <c r="O218" s="244"/>
      <c r="P218" s="244"/>
      <c r="Q218" s="245">
        <f t="shared" si="74"/>
        <v>0</v>
      </c>
      <c r="R218" s="245">
        <f t="shared" si="75"/>
        <v>0</v>
      </c>
      <c r="S218" s="246">
        <v>0.5</v>
      </c>
      <c r="T218" s="245">
        <f t="shared" si="76"/>
        <v>0</v>
      </c>
      <c r="U218" s="245">
        <f t="shared" si="77"/>
        <v>0</v>
      </c>
      <c r="V218" s="247"/>
    </row>
    <row r="219" spans="1:22" ht="15.75" x14ac:dyDescent="0.25">
      <c r="A219" s="236"/>
      <c r="B219" s="237"/>
      <c r="C219" s="238"/>
      <c r="D219" s="239"/>
      <c r="E219" s="240"/>
      <c r="F219" s="240"/>
      <c r="G219" s="240"/>
      <c r="H219" s="241">
        <f t="shared" si="72"/>
        <v>0</v>
      </c>
      <c r="I219" s="242"/>
      <c r="J219" s="243"/>
      <c r="K219" s="243"/>
      <c r="L219" s="244">
        <v>0.1</v>
      </c>
      <c r="M219" s="244">
        <f t="shared" si="73"/>
        <v>0</v>
      </c>
      <c r="N219" s="244"/>
      <c r="O219" s="244"/>
      <c r="P219" s="244"/>
      <c r="Q219" s="245">
        <f t="shared" si="74"/>
        <v>0</v>
      </c>
      <c r="R219" s="245">
        <f t="shared" si="75"/>
        <v>0</v>
      </c>
      <c r="S219" s="246">
        <v>0.5</v>
      </c>
      <c r="T219" s="245">
        <f t="shared" si="76"/>
        <v>0</v>
      </c>
      <c r="U219" s="245">
        <f t="shared" si="77"/>
        <v>0</v>
      </c>
      <c r="V219" s="247"/>
    </row>
    <row r="220" spans="1:22" ht="15.75" x14ac:dyDescent="0.25">
      <c r="A220" s="236"/>
      <c r="B220" s="237"/>
      <c r="C220" s="238"/>
      <c r="D220" s="239"/>
      <c r="E220" s="240"/>
      <c r="F220" s="240"/>
      <c r="G220" s="240"/>
      <c r="H220" s="241">
        <f t="shared" si="72"/>
        <v>0</v>
      </c>
      <c r="I220" s="242"/>
      <c r="J220" s="243"/>
      <c r="K220" s="243"/>
      <c r="L220" s="244">
        <v>0.1</v>
      </c>
      <c r="M220" s="244">
        <f t="shared" si="73"/>
        <v>0</v>
      </c>
      <c r="N220" s="244"/>
      <c r="O220" s="244"/>
      <c r="P220" s="244"/>
      <c r="Q220" s="245">
        <f t="shared" si="74"/>
        <v>0</v>
      </c>
      <c r="R220" s="245">
        <f t="shared" si="75"/>
        <v>0</v>
      </c>
      <c r="S220" s="246">
        <v>0.5</v>
      </c>
      <c r="T220" s="245">
        <f t="shared" si="76"/>
        <v>0</v>
      </c>
      <c r="U220" s="245">
        <f t="shared" si="77"/>
        <v>0</v>
      </c>
      <c r="V220" s="247"/>
    </row>
    <row r="221" spans="1:22" ht="15.75" x14ac:dyDescent="0.25">
      <c r="A221" s="236"/>
      <c r="B221" s="237"/>
      <c r="C221" s="238"/>
      <c r="D221" s="239"/>
      <c r="E221" s="240"/>
      <c r="F221" s="240"/>
      <c r="G221" s="240"/>
      <c r="H221" s="241">
        <f t="shared" si="72"/>
        <v>0</v>
      </c>
      <c r="I221" s="242"/>
      <c r="J221" s="243"/>
      <c r="K221" s="243"/>
      <c r="L221" s="244">
        <v>0.1</v>
      </c>
      <c r="M221" s="244">
        <f t="shared" si="73"/>
        <v>0</v>
      </c>
      <c r="N221" s="244"/>
      <c r="O221" s="244"/>
      <c r="P221" s="244"/>
      <c r="Q221" s="245">
        <f t="shared" si="74"/>
        <v>0</v>
      </c>
      <c r="R221" s="245">
        <f t="shared" si="75"/>
        <v>0</v>
      </c>
      <c r="S221" s="246">
        <v>0.5</v>
      </c>
      <c r="T221" s="245">
        <f t="shared" si="76"/>
        <v>0</v>
      </c>
      <c r="U221" s="245">
        <f t="shared" si="77"/>
        <v>0</v>
      </c>
      <c r="V221" s="247"/>
    </row>
    <row r="222" spans="1:22" ht="15.75" x14ac:dyDescent="0.25">
      <c r="A222" s="236"/>
      <c r="B222" s="237"/>
      <c r="C222" s="238"/>
      <c r="D222" s="239"/>
      <c r="E222" s="240"/>
      <c r="F222" s="240"/>
      <c r="G222" s="240"/>
      <c r="H222" s="241">
        <f t="shared" si="72"/>
        <v>0</v>
      </c>
      <c r="I222" s="242"/>
      <c r="J222" s="243"/>
      <c r="K222" s="243"/>
      <c r="L222" s="244">
        <v>0.1</v>
      </c>
      <c r="M222" s="244">
        <f t="shared" si="73"/>
        <v>0</v>
      </c>
      <c r="N222" s="244"/>
      <c r="O222" s="244"/>
      <c r="P222" s="244"/>
      <c r="Q222" s="245">
        <f t="shared" si="74"/>
        <v>0</v>
      </c>
      <c r="R222" s="245">
        <f t="shared" si="75"/>
        <v>0</v>
      </c>
      <c r="S222" s="246">
        <v>0.5</v>
      </c>
      <c r="T222" s="245">
        <f t="shared" si="76"/>
        <v>0</v>
      </c>
      <c r="U222" s="245">
        <f t="shared" si="77"/>
        <v>0</v>
      </c>
      <c r="V222" s="247"/>
    </row>
    <row r="223" spans="1:22" ht="15.75" x14ac:dyDescent="0.25">
      <c r="A223" s="236"/>
      <c r="B223" s="237"/>
      <c r="C223" s="238"/>
      <c r="D223" s="239"/>
      <c r="E223" s="240"/>
      <c r="F223" s="240"/>
      <c r="G223" s="240"/>
      <c r="H223" s="241">
        <f t="shared" si="72"/>
        <v>0</v>
      </c>
      <c r="I223" s="242"/>
      <c r="J223" s="243"/>
      <c r="K223" s="243"/>
      <c r="L223" s="244">
        <v>0.1</v>
      </c>
      <c r="M223" s="244">
        <f t="shared" si="73"/>
        <v>0</v>
      </c>
      <c r="N223" s="244"/>
      <c r="O223" s="244"/>
      <c r="P223" s="244"/>
      <c r="Q223" s="245">
        <f t="shared" si="74"/>
        <v>0</v>
      </c>
      <c r="R223" s="245">
        <f t="shared" si="75"/>
        <v>0</v>
      </c>
      <c r="S223" s="246">
        <v>0.5</v>
      </c>
      <c r="T223" s="245">
        <f t="shared" si="76"/>
        <v>0</v>
      </c>
      <c r="U223" s="245">
        <f t="shared" si="77"/>
        <v>0</v>
      </c>
      <c r="V223" s="247"/>
    </row>
    <row r="224" spans="1:22" ht="15.75" x14ac:dyDescent="0.25">
      <c r="A224" s="236"/>
      <c r="B224" s="237"/>
      <c r="C224" s="238"/>
      <c r="D224" s="239"/>
      <c r="E224" s="240"/>
      <c r="F224" s="240"/>
      <c r="G224" s="240"/>
      <c r="H224" s="241">
        <f t="shared" si="72"/>
        <v>0</v>
      </c>
      <c r="I224" s="242"/>
      <c r="J224" s="243"/>
      <c r="K224" s="243"/>
      <c r="L224" s="244">
        <v>0.1</v>
      </c>
      <c r="M224" s="244">
        <f t="shared" si="73"/>
        <v>0</v>
      </c>
      <c r="N224" s="244"/>
      <c r="O224" s="244"/>
      <c r="P224" s="244"/>
      <c r="Q224" s="245">
        <f t="shared" si="74"/>
        <v>0</v>
      </c>
      <c r="R224" s="245">
        <f t="shared" si="75"/>
        <v>0</v>
      </c>
      <c r="S224" s="246">
        <v>0.5</v>
      </c>
      <c r="T224" s="245">
        <f t="shared" si="76"/>
        <v>0</v>
      </c>
      <c r="U224" s="245">
        <f t="shared" si="77"/>
        <v>0</v>
      </c>
      <c r="V224" s="247"/>
    </row>
    <row r="225" spans="1:22" ht="15.75" x14ac:dyDescent="0.25">
      <c r="A225" s="236"/>
      <c r="B225" s="237"/>
      <c r="C225" s="238"/>
      <c r="D225" s="239"/>
      <c r="E225" s="240"/>
      <c r="F225" s="240"/>
      <c r="G225" s="240"/>
      <c r="H225" s="241">
        <f t="shared" si="72"/>
        <v>0</v>
      </c>
      <c r="I225" s="242"/>
      <c r="J225" s="243"/>
      <c r="K225" s="243"/>
      <c r="L225" s="244">
        <v>0.1</v>
      </c>
      <c r="M225" s="244">
        <f t="shared" si="73"/>
        <v>0</v>
      </c>
      <c r="N225" s="244"/>
      <c r="O225" s="244"/>
      <c r="P225" s="244"/>
      <c r="Q225" s="245">
        <f t="shared" si="74"/>
        <v>0</v>
      </c>
      <c r="R225" s="245">
        <f t="shared" si="75"/>
        <v>0</v>
      </c>
      <c r="S225" s="246">
        <v>0.5</v>
      </c>
      <c r="T225" s="245">
        <f t="shared" si="76"/>
        <v>0</v>
      </c>
      <c r="U225" s="245">
        <f t="shared" si="77"/>
        <v>0</v>
      </c>
      <c r="V225" s="247"/>
    </row>
    <row r="226" spans="1:22" ht="15.75" x14ac:dyDescent="0.25">
      <c r="A226" s="236"/>
      <c r="B226" s="237"/>
      <c r="C226" s="238"/>
      <c r="D226" s="239"/>
      <c r="E226" s="240"/>
      <c r="F226" s="240"/>
      <c r="G226" s="240"/>
      <c r="H226" s="241">
        <f t="shared" ref="H226:H289" si="78">+E226+F226+G226</f>
        <v>0</v>
      </c>
      <c r="I226" s="242"/>
      <c r="J226" s="243"/>
      <c r="K226" s="243"/>
      <c r="L226" s="244">
        <v>0.1</v>
      </c>
      <c r="M226" s="244">
        <f t="shared" ref="M226:M289" si="79">+L226*C226</f>
        <v>0</v>
      </c>
      <c r="N226" s="244"/>
      <c r="O226" s="244"/>
      <c r="P226" s="244"/>
      <c r="Q226" s="245">
        <f t="shared" ref="Q226:Q289" si="80">+N226+O226+P226</f>
        <v>0</v>
      </c>
      <c r="R226" s="245">
        <f t="shared" ref="R226:R289" si="81">IF(+Q226-H226&lt;=0,0,Q226-H226)</f>
        <v>0</v>
      </c>
      <c r="S226" s="246">
        <v>0.5</v>
      </c>
      <c r="T226" s="245">
        <f t="shared" ref="T226:T289" si="82">+(R226*C226)*S226</f>
        <v>0</v>
      </c>
      <c r="U226" s="245">
        <f t="shared" ref="U226:U289" si="83">+J226+M226+T226</f>
        <v>0</v>
      </c>
      <c r="V226" s="247"/>
    </row>
    <row r="227" spans="1:22" ht="15.75" x14ac:dyDescent="0.25">
      <c r="A227" s="236"/>
      <c r="B227" s="237"/>
      <c r="C227" s="238"/>
      <c r="D227" s="239"/>
      <c r="E227" s="240"/>
      <c r="F227" s="240"/>
      <c r="G227" s="240"/>
      <c r="H227" s="241">
        <f t="shared" si="78"/>
        <v>0</v>
      </c>
      <c r="I227" s="242"/>
      <c r="J227" s="243"/>
      <c r="K227" s="243"/>
      <c r="L227" s="244">
        <v>0.1</v>
      </c>
      <c r="M227" s="244">
        <f t="shared" si="79"/>
        <v>0</v>
      </c>
      <c r="N227" s="244"/>
      <c r="O227" s="244"/>
      <c r="P227" s="244"/>
      <c r="Q227" s="245">
        <f t="shared" si="80"/>
        <v>0</v>
      </c>
      <c r="R227" s="245">
        <f t="shared" si="81"/>
        <v>0</v>
      </c>
      <c r="S227" s="246">
        <v>0.5</v>
      </c>
      <c r="T227" s="245">
        <f t="shared" si="82"/>
        <v>0</v>
      </c>
      <c r="U227" s="245">
        <f t="shared" si="83"/>
        <v>0</v>
      </c>
      <c r="V227" s="247"/>
    </row>
    <row r="228" spans="1:22" ht="15.75" x14ac:dyDescent="0.25">
      <c r="A228" s="236"/>
      <c r="B228" s="237"/>
      <c r="C228" s="238"/>
      <c r="D228" s="239"/>
      <c r="E228" s="240"/>
      <c r="F228" s="240"/>
      <c r="G228" s="240"/>
      <c r="H228" s="241">
        <f t="shared" si="78"/>
        <v>0</v>
      </c>
      <c r="I228" s="242"/>
      <c r="J228" s="243"/>
      <c r="K228" s="243"/>
      <c r="L228" s="244">
        <v>0.1</v>
      </c>
      <c r="M228" s="244">
        <f t="shared" si="79"/>
        <v>0</v>
      </c>
      <c r="N228" s="244"/>
      <c r="O228" s="244"/>
      <c r="P228" s="244"/>
      <c r="Q228" s="245">
        <f t="shared" si="80"/>
        <v>0</v>
      </c>
      <c r="R228" s="245">
        <f t="shared" si="81"/>
        <v>0</v>
      </c>
      <c r="S228" s="246">
        <v>0.5</v>
      </c>
      <c r="T228" s="245">
        <f t="shared" si="82"/>
        <v>0</v>
      </c>
      <c r="U228" s="245">
        <f t="shared" si="83"/>
        <v>0</v>
      </c>
      <c r="V228" s="247"/>
    </row>
    <row r="229" spans="1:22" ht="15.75" x14ac:dyDescent="0.25">
      <c r="A229" s="236"/>
      <c r="B229" s="237"/>
      <c r="C229" s="238"/>
      <c r="D229" s="239"/>
      <c r="E229" s="240"/>
      <c r="F229" s="240"/>
      <c r="G229" s="240"/>
      <c r="H229" s="241">
        <f t="shared" si="78"/>
        <v>0</v>
      </c>
      <c r="I229" s="242"/>
      <c r="J229" s="243"/>
      <c r="K229" s="243"/>
      <c r="L229" s="244">
        <v>0.1</v>
      </c>
      <c r="M229" s="244">
        <f t="shared" si="79"/>
        <v>0</v>
      </c>
      <c r="N229" s="244"/>
      <c r="O229" s="244"/>
      <c r="P229" s="244"/>
      <c r="Q229" s="245">
        <f t="shared" si="80"/>
        <v>0</v>
      </c>
      <c r="R229" s="245">
        <f t="shared" si="81"/>
        <v>0</v>
      </c>
      <c r="S229" s="246">
        <v>0.5</v>
      </c>
      <c r="T229" s="245">
        <f t="shared" si="82"/>
        <v>0</v>
      </c>
      <c r="U229" s="245">
        <f t="shared" si="83"/>
        <v>0</v>
      </c>
      <c r="V229" s="247"/>
    </row>
    <row r="230" spans="1:22" ht="15.75" x14ac:dyDescent="0.25">
      <c r="A230" s="236"/>
      <c r="B230" s="237"/>
      <c r="C230" s="238"/>
      <c r="D230" s="239"/>
      <c r="E230" s="240"/>
      <c r="F230" s="240"/>
      <c r="G230" s="240"/>
      <c r="H230" s="241">
        <f t="shared" si="78"/>
        <v>0</v>
      </c>
      <c r="I230" s="242"/>
      <c r="J230" s="243"/>
      <c r="K230" s="243"/>
      <c r="L230" s="244">
        <v>0.1</v>
      </c>
      <c r="M230" s="244">
        <f t="shared" si="79"/>
        <v>0</v>
      </c>
      <c r="N230" s="244"/>
      <c r="O230" s="244"/>
      <c r="P230" s="244"/>
      <c r="Q230" s="245">
        <f t="shared" si="80"/>
        <v>0</v>
      </c>
      <c r="R230" s="245">
        <f t="shared" si="81"/>
        <v>0</v>
      </c>
      <c r="S230" s="246">
        <v>0.5</v>
      </c>
      <c r="T230" s="245">
        <f t="shared" si="82"/>
        <v>0</v>
      </c>
      <c r="U230" s="245">
        <f t="shared" si="83"/>
        <v>0</v>
      </c>
      <c r="V230" s="247"/>
    </row>
    <row r="231" spans="1:22" ht="15.75" x14ac:dyDescent="0.25">
      <c r="A231" s="236"/>
      <c r="B231" s="237"/>
      <c r="C231" s="238"/>
      <c r="D231" s="239"/>
      <c r="E231" s="240"/>
      <c r="F231" s="240"/>
      <c r="G231" s="240"/>
      <c r="H231" s="241">
        <f t="shared" si="78"/>
        <v>0</v>
      </c>
      <c r="I231" s="242"/>
      <c r="J231" s="243"/>
      <c r="K231" s="243"/>
      <c r="L231" s="244">
        <v>0.1</v>
      </c>
      <c r="M231" s="244">
        <f t="shared" si="79"/>
        <v>0</v>
      </c>
      <c r="N231" s="244"/>
      <c r="O231" s="244"/>
      <c r="P231" s="244"/>
      <c r="Q231" s="245">
        <f t="shared" si="80"/>
        <v>0</v>
      </c>
      <c r="R231" s="245">
        <f t="shared" si="81"/>
        <v>0</v>
      </c>
      <c r="S231" s="246">
        <v>0.5</v>
      </c>
      <c r="T231" s="245">
        <f t="shared" si="82"/>
        <v>0</v>
      </c>
      <c r="U231" s="245">
        <f t="shared" si="83"/>
        <v>0</v>
      </c>
      <c r="V231" s="247"/>
    </row>
    <row r="232" spans="1:22" ht="15.75" x14ac:dyDescent="0.25">
      <c r="A232" s="236"/>
      <c r="B232" s="237"/>
      <c r="C232" s="238"/>
      <c r="D232" s="239"/>
      <c r="E232" s="240"/>
      <c r="F232" s="240"/>
      <c r="G232" s="240"/>
      <c r="H232" s="241">
        <f t="shared" si="78"/>
        <v>0</v>
      </c>
      <c r="I232" s="242"/>
      <c r="J232" s="243"/>
      <c r="K232" s="243"/>
      <c r="L232" s="244">
        <v>0.1</v>
      </c>
      <c r="M232" s="244">
        <f t="shared" si="79"/>
        <v>0</v>
      </c>
      <c r="N232" s="244"/>
      <c r="O232" s="244"/>
      <c r="P232" s="244"/>
      <c r="Q232" s="245">
        <f t="shared" si="80"/>
        <v>0</v>
      </c>
      <c r="R232" s="245">
        <f t="shared" si="81"/>
        <v>0</v>
      </c>
      <c r="S232" s="246">
        <v>0.5</v>
      </c>
      <c r="T232" s="245">
        <f t="shared" si="82"/>
        <v>0</v>
      </c>
      <c r="U232" s="245">
        <f t="shared" si="83"/>
        <v>0</v>
      </c>
      <c r="V232" s="247"/>
    </row>
    <row r="233" spans="1:22" ht="15.75" x14ac:dyDescent="0.25">
      <c r="A233" s="236"/>
      <c r="B233" s="237"/>
      <c r="C233" s="238"/>
      <c r="D233" s="239"/>
      <c r="E233" s="240"/>
      <c r="F233" s="240"/>
      <c r="G233" s="240"/>
      <c r="H233" s="241">
        <f t="shared" si="78"/>
        <v>0</v>
      </c>
      <c r="I233" s="242"/>
      <c r="J233" s="243"/>
      <c r="K233" s="243"/>
      <c r="L233" s="244">
        <v>0.1</v>
      </c>
      <c r="M233" s="244">
        <f t="shared" si="79"/>
        <v>0</v>
      </c>
      <c r="N233" s="244"/>
      <c r="O233" s="244"/>
      <c r="P233" s="244"/>
      <c r="Q233" s="245">
        <f t="shared" si="80"/>
        <v>0</v>
      </c>
      <c r="R233" s="245">
        <f t="shared" si="81"/>
        <v>0</v>
      </c>
      <c r="S233" s="246">
        <v>0.5</v>
      </c>
      <c r="T233" s="245">
        <f t="shared" si="82"/>
        <v>0</v>
      </c>
      <c r="U233" s="245">
        <f t="shared" si="83"/>
        <v>0</v>
      </c>
      <c r="V233" s="247"/>
    </row>
    <row r="234" spans="1:22" ht="15.75" x14ac:dyDescent="0.25">
      <c r="A234" s="236"/>
      <c r="B234" s="237"/>
      <c r="C234" s="238"/>
      <c r="D234" s="239"/>
      <c r="E234" s="240"/>
      <c r="F234" s="240"/>
      <c r="G234" s="240"/>
      <c r="H234" s="241">
        <f t="shared" si="78"/>
        <v>0</v>
      </c>
      <c r="I234" s="242"/>
      <c r="J234" s="243"/>
      <c r="K234" s="243"/>
      <c r="L234" s="244">
        <v>0.1</v>
      </c>
      <c r="M234" s="244">
        <f t="shared" si="79"/>
        <v>0</v>
      </c>
      <c r="N234" s="244"/>
      <c r="O234" s="244"/>
      <c r="P234" s="244"/>
      <c r="Q234" s="245">
        <f t="shared" si="80"/>
        <v>0</v>
      </c>
      <c r="R234" s="245">
        <f t="shared" si="81"/>
        <v>0</v>
      </c>
      <c r="S234" s="246">
        <v>0.5</v>
      </c>
      <c r="T234" s="245">
        <f t="shared" si="82"/>
        <v>0</v>
      </c>
      <c r="U234" s="245">
        <f t="shared" si="83"/>
        <v>0</v>
      </c>
      <c r="V234" s="247"/>
    </row>
    <row r="235" spans="1:22" ht="15.75" x14ac:dyDescent="0.25">
      <c r="A235" s="236"/>
      <c r="B235" s="237"/>
      <c r="C235" s="238"/>
      <c r="D235" s="239"/>
      <c r="E235" s="240"/>
      <c r="F235" s="240"/>
      <c r="G235" s="240"/>
      <c r="H235" s="241">
        <f t="shared" si="78"/>
        <v>0</v>
      </c>
      <c r="I235" s="242"/>
      <c r="J235" s="243"/>
      <c r="K235" s="243"/>
      <c r="L235" s="244">
        <v>0.1</v>
      </c>
      <c r="M235" s="244">
        <f t="shared" si="79"/>
        <v>0</v>
      </c>
      <c r="N235" s="244"/>
      <c r="O235" s="244"/>
      <c r="P235" s="244"/>
      <c r="Q235" s="245">
        <f t="shared" si="80"/>
        <v>0</v>
      </c>
      <c r="R235" s="245">
        <f t="shared" si="81"/>
        <v>0</v>
      </c>
      <c r="S235" s="246">
        <v>0.5</v>
      </c>
      <c r="T235" s="245">
        <f t="shared" si="82"/>
        <v>0</v>
      </c>
      <c r="U235" s="245">
        <f t="shared" si="83"/>
        <v>0</v>
      </c>
      <c r="V235" s="247"/>
    </row>
    <row r="236" spans="1:22" ht="15.75" x14ac:dyDescent="0.25">
      <c r="A236" s="236"/>
      <c r="B236" s="237"/>
      <c r="C236" s="238"/>
      <c r="D236" s="239"/>
      <c r="E236" s="240"/>
      <c r="F236" s="240"/>
      <c r="G236" s="240"/>
      <c r="H236" s="241">
        <f t="shared" si="78"/>
        <v>0</v>
      </c>
      <c r="I236" s="242"/>
      <c r="J236" s="243"/>
      <c r="K236" s="243"/>
      <c r="L236" s="244">
        <v>0.1</v>
      </c>
      <c r="M236" s="244">
        <f t="shared" si="79"/>
        <v>0</v>
      </c>
      <c r="N236" s="244"/>
      <c r="O236" s="244"/>
      <c r="P236" s="244"/>
      <c r="Q236" s="245">
        <f t="shared" si="80"/>
        <v>0</v>
      </c>
      <c r="R236" s="245">
        <f t="shared" si="81"/>
        <v>0</v>
      </c>
      <c r="S236" s="246">
        <v>0.5</v>
      </c>
      <c r="T236" s="245">
        <f t="shared" si="82"/>
        <v>0</v>
      </c>
      <c r="U236" s="245">
        <f t="shared" si="83"/>
        <v>0</v>
      </c>
      <c r="V236" s="247"/>
    </row>
    <row r="237" spans="1:22" ht="15.75" x14ac:dyDescent="0.25">
      <c r="A237" s="236"/>
      <c r="B237" s="237"/>
      <c r="C237" s="238"/>
      <c r="D237" s="239"/>
      <c r="E237" s="240"/>
      <c r="F237" s="240"/>
      <c r="G237" s="240"/>
      <c r="H237" s="241">
        <f t="shared" si="78"/>
        <v>0</v>
      </c>
      <c r="I237" s="242"/>
      <c r="J237" s="243"/>
      <c r="K237" s="243"/>
      <c r="L237" s="244">
        <v>0.1</v>
      </c>
      <c r="M237" s="244">
        <f t="shared" si="79"/>
        <v>0</v>
      </c>
      <c r="N237" s="244"/>
      <c r="O237" s="244"/>
      <c r="P237" s="244"/>
      <c r="Q237" s="245">
        <f t="shared" si="80"/>
        <v>0</v>
      </c>
      <c r="R237" s="245">
        <f t="shared" si="81"/>
        <v>0</v>
      </c>
      <c r="S237" s="246">
        <v>0.5</v>
      </c>
      <c r="T237" s="245">
        <f t="shared" si="82"/>
        <v>0</v>
      </c>
      <c r="U237" s="245">
        <f t="shared" si="83"/>
        <v>0</v>
      </c>
      <c r="V237" s="247"/>
    </row>
    <row r="238" spans="1:22" ht="15.75" x14ac:dyDescent="0.25">
      <c r="A238" s="236"/>
      <c r="B238" s="237"/>
      <c r="C238" s="238"/>
      <c r="D238" s="239"/>
      <c r="E238" s="240"/>
      <c r="F238" s="240"/>
      <c r="G238" s="240"/>
      <c r="H238" s="241">
        <f t="shared" si="78"/>
        <v>0</v>
      </c>
      <c r="I238" s="242"/>
      <c r="J238" s="243"/>
      <c r="K238" s="243"/>
      <c r="L238" s="244">
        <v>0.1</v>
      </c>
      <c r="M238" s="244">
        <f t="shared" si="79"/>
        <v>0</v>
      </c>
      <c r="N238" s="244"/>
      <c r="O238" s="244"/>
      <c r="P238" s="244"/>
      <c r="Q238" s="245">
        <f t="shared" si="80"/>
        <v>0</v>
      </c>
      <c r="R238" s="245">
        <f t="shared" si="81"/>
        <v>0</v>
      </c>
      <c r="S238" s="246">
        <v>0.5</v>
      </c>
      <c r="T238" s="245">
        <f t="shared" si="82"/>
        <v>0</v>
      </c>
      <c r="U238" s="245">
        <f t="shared" si="83"/>
        <v>0</v>
      </c>
      <c r="V238" s="247"/>
    </row>
    <row r="239" spans="1:22" ht="15.75" x14ac:dyDescent="0.25">
      <c r="A239" s="236"/>
      <c r="B239" s="237"/>
      <c r="C239" s="238"/>
      <c r="D239" s="239"/>
      <c r="E239" s="240"/>
      <c r="F239" s="240"/>
      <c r="G239" s="240"/>
      <c r="H239" s="241">
        <f t="shared" si="78"/>
        <v>0</v>
      </c>
      <c r="I239" s="242"/>
      <c r="J239" s="243"/>
      <c r="K239" s="243"/>
      <c r="L239" s="244">
        <v>0.1</v>
      </c>
      <c r="M239" s="244">
        <f t="shared" si="79"/>
        <v>0</v>
      </c>
      <c r="N239" s="244"/>
      <c r="O239" s="244"/>
      <c r="P239" s="244"/>
      <c r="Q239" s="245">
        <f t="shared" si="80"/>
        <v>0</v>
      </c>
      <c r="R239" s="245">
        <f t="shared" si="81"/>
        <v>0</v>
      </c>
      <c r="S239" s="246">
        <v>0.5</v>
      </c>
      <c r="T239" s="245">
        <f t="shared" si="82"/>
        <v>0</v>
      </c>
      <c r="U239" s="245">
        <f t="shared" si="83"/>
        <v>0</v>
      </c>
      <c r="V239" s="247"/>
    </row>
    <row r="240" spans="1:22" ht="15.75" x14ac:dyDescent="0.25">
      <c r="A240" s="236"/>
      <c r="B240" s="237"/>
      <c r="C240" s="238"/>
      <c r="D240" s="239"/>
      <c r="E240" s="240"/>
      <c r="F240" s="240"/>
      <c r="G240" s="240"/>
      <c r="H240" s="241">
        <f t="shared" si="78"/>
        <v>0</v>
      </c>
      <c r="I240" s="242"/>
      <c r="J240" s="243"/>
      <c r="K240" s="243"/>
      <c r="L240" s="244">
        <v>0.1</v>
      </c>
      <c r="M240" s="244">
        <f t="shared" si="79"/>
        <v>0</v>
      </c>
      <c r="N240" s="244"/>
      <c r="O240" s="244"/>
      <c r="P240" s="244"/>
      <c r="Q240" s="245">
        <f t="shared" si="80"/>
        <v>0</v>
      </c>
      <c r="R240" s="245">
        <f t="shared" si="81"/>
        <v>0</v>
      </c>
      <c r="S240" s="246">
        <v>0.5</v>
      </c>
      <c r="T240" s="245">
        <f t="shared" si="82"/>
        <v>0</v>
      </c>
      <c r="U240" s="245">
        <f t="shared" si="83"/>
        <v>0</v>
      </c>
      <c r="V240" s="247"/>
    </row>
    <row r="241" spans="1:22" ht="15.75" x14ac:dyDescent="0.25">
      <c r="A241" s="236"/>
      <c r="B241" s="237"/>
      <c r="C241" s="238"/>
      <c r="D241" s="239"/>
      <c r="E241" s="240"/>
      <c r="F241" s="240"/>
      <c r="G241" s="240"/>
      <c r="H241" s="241">
        <f t="shared" si="78"/>
        <v>0</v>
      </c>
      <c r="I241" s="242"/>
      <c r="J241" s="243"/>
      <c r="K241" s="243"/>
      <c r="L241" s="244">
        <v>0.1</v>
      </c>
      <c r="M241" s="244">
        <f t="shared" si="79"/>
        <v>0</v>
      </c>
      <c r="N241" s="244"/>
      <c r="O241" s="244"/>
      <c r="P241" s="244"/>
      <c r="Q241" s="245">
        <f t="shared" si="80"/>
        <v>0</v>
      </c>
      <c r="R241" s="245">
        <f t="shared" si="81"/>
        <v>0</v>
      </c>
      <c r="S241" s="246">
        <v>0.5</v>
      </c>
      <c r="T241" s="245">
        <f t="shared" si="82"/>
        <v>0</v>
      </c>
      <c r="U241" s="245">
        <f t="shared" si="83"/>
        <v>0</v>
      </c>
      <c r="V241" s="247"/>
    </row>
    <row r="242" spans="1:22" ht="15.75" x14ac:dyDescent="0.25">
      <c r="A242" s="236"/>
      <c r="B242" s="237"/>
      <c r="C242" s="238"/>
      <c r="D242" s="239"/>
      <c r="E242" s="240"/>
      <c r="F242" s="240"/>
      <c r="G242" s="240"/>
      <c r="H242" s="241">
        <f t="shared" si="78"/>
        <v>0</v>
      </c>
      <c r="I242" s="242"/>
      <c r="J242" s="243"/>
      <c r="K242" s="243"/>
      <c r="L242" s="244">
        <v>0.1</v>
      </c>
      <c r="M242" s="244">
        <f t="shared" si="79"/>
        <v>0</v>
      </c>
      <c r="N242" s="244"/>
      <c r="O242" s="244"/>
      <c r="P242" s="244"/>
      <c r="Q242" s="245">
        <f t="shared" si="80"/>
        <v>0</v>
      </c>
      <c r="R242" s="245">
        <f t="shared" si="81"/>
        <v>0</v>
      </c>
      <c r="S242" s="246">
        <v>0.5</v>
      </c>
      <c r="T242" s="245">
        <f t="shared" si="82"/>
        <v>0</v>
      </c>
      <c r="U242" s="245">
        <f t="shared" si="83"/>
        <v>0</v>
      </c>
      <c r="V242" s="247"/>
    </row>
    <row r="243" spans="1:22" ht="15.75" x14ac:dyDescent="0.25">
      <c r="A243" s="236"/>
      <c r="B243" s="237"/>
      <c r="C243" s="238"/>
      <c r="D243" s="239"/>
      <c r="E243" s="240"/>
      <c r="F243" s="240"/>
      <c r="G243" s="240"/>
      <c r="H243" s="241">
        <f t="shared" si="78"/>
        <v>0</v>
      </c>
      <c r="I243" s="242"/>
      <c r="J243" s="243"/>
      <c r="K243" s="243"/>
      <c r="L243" s="244">
        <v>0.1</v>
      </c>
      <c r="M243" s="244">
        <f t="shared" si="79"/>
        <v>0</v>
      </c>
      <c r="N243" s="244"/>
      <c r="O243" s="244"/>
      <c r="P243" s="244"/>
      <c r="Q243" s="245">
        <f t="shared" si="80"/>
        <v>0</v>
      </c>
      <c r="R243" s="245">
        <f t="shared" si="81"/>
        <v>0</v>
      </c>
      <c r="S243" s="246">
        <v>0.5</v>
      </c>
      <c r="T243" s="245">
        <f t="shared" si="82"/>
        <v>0</v>
      </c>
      <c r="U243" s="245">
        <f t="shared" si="83"/>
        <v>0</v>
      </c>
      <c r="V243" s="247"/>
    </row>
    <row r="244" spans="1:22" ht="15.75" x14ac:dyDescent="0.25">
      <c r="A244" s="236"/>
      <c r="B244" s="237"/>
      <c r="C244" s="238"/>
      <c r="D244" s="239"/>
      <c r="E244" s="240"/>
      <c r="F244" s="240"/>
      <c r="G244" s="240"/>
      <c r="H244" s="241">
        <f t="shared" si="78"/>
        <v>0</v>
      </c>
      <c r="I244" s="242"/>
      <c r="J244" s="243"/>
      <c r="K244" s="243"/>
      <c r="L244" s="244">
        <v>0.1</v>
      </c>
      <c r="M244" s="244">
        <f t="shared" si="79"/>
        <v>0</v>
      </c>
      <c r="N244" s="244"/>
      <c r="O244" s="244"/>
      <c r="P244" s="244"/>
      <c r="Q244" s="245">
        <f t="shared" si="80"/>
        <v>0</v>
      </c>
      <c r="R244" s="245">
        <f t="shared" si="81"/>
        <v>0</v>
      </c>
      <c r="S244" s="246">
        <v>0.5</v>
      </c>
      <c r="T244" s="245">
        <f t="shared" si="82"/>
        <v>0</v>
      </c>
      <c r="U244" s="245">
        <f t="shared" si="83"/>
        <v>0</v>
      </c>
      <c r="V244" s="247"/>
    </row>
    <row r="245" spans="1:22" ht="15.75" x14ac:dyDescent="0.25">
      <c r="A245" s="236"/>
      <c r="B245" s="237"/>
      <c r="C245" s="238"/>
      <c r="D245" s="239"/>
      <c r="E245" s="240"/>
      <c r="F245" s="240"/>
      <c r="G245" s="240"/>
      <c r="H245" s="241">
        <f t="shared" si="78"/>
        <v>0</v>
      </c>
      <c r="I245" s="242"/>
      <c r="J245" s="243"/>
      <c r="K245" s="243"/>
      <c r="L245" s="244">
        <v>0.1</v>
      </c>
      <c r="M245" s="244">
        <f t="shared" si="79"/>
        <v>0</v>
      </c>
      <c r="N245" s="244"/>
      <c r="O245" s="244"/>
      <c r="P245" s="244"/>
      <c r="Q245" s="245">
        <f t="shared" si="80"/>
        <v>0</v>
      </c>
      <c r="R245" s="245">
        <f t="shared" si="81"/>
        <v>0</v>
      </c>
      <c r="S245" s="246">
        <v>0.5</v>
      </c>
      <c r="T245" s="245">
        <f t="shared" si="82"/>
        <v>0</v>
      </c>
      <c r="U245" s="245">
        <f t="shared" si="83"/>
        <v>0</v>
      </c>
      <c r="V245" s="247"/>
    </row>
    <row r="246" spans="1:22" ht="15.75" x14ac:dyDescent="0.25">
      <c r="A246" s="236"/>
      <c r="B246" s="237"/>
      <c r="C246" s="238"/>
      <c r="D246" s="239"/>
      <c r="E246" s="240"/>
      <c r="F246" s="240"/>
      <c r="G246" s="240"/>
      <c r="H246" s="241">
        <f t="shared" si="78"/>
        <v>0</v>
      </c>
      <c r="I246" s="242"/>
      <c r="J246" s="243"/>
      <c r="K246" s="243"/>
      <c r="L246" s="244">
        <v>0.1</v>
      </c>
      <c r="M246" s="244">
        <f t="shared" si="79"/>
        <v>0</v>
      </c>
      <c r="N246" s="244"/>
      <c r="O246" s="244"/>
      <c r="P246" s="244"/>
      <c r="Q246" s="245">
        <f t="shared" si="80"/>
        <v>0</v>
      </c>
      <c r="R246" s="245">
        <f t="shared" si="81"/>
        <v>0</v>
      </c>
      <c r="S246" s="246">
        <v>0.5</v>
      </c>
      <c r="T246" s="245">
        <f t="shared" si="82"/>
        <v>0</v>
      </c>
      <c r="U246" s="245">
        <f t="shared" si="83"/>
        <v>0</v>
      </c>
      <c r="V246" s="247"/>
    </row>
    <row r="247" spans="1:22" ht="15.75" x14ac:dyDescent="0.25">
      <c r="A247" s="236"/>
      <c r="B247" s="237"/>
      <c r="C247" s="238"/>
      <c r="D247" s="239"/>
      <c r="E247" s="240"/>
      <c r="F247" s="240"/>
      <c r="G247" s="240"/>
      <c r="H247" s="241">
        <f t="shared" si="78"/>
        <v>0</v>
      </c>
      <c r="I247" s="242"/>
      <c r="J247" s="243"/>
      <c r="K247" s="243"/>
      <c r="L247" s="244">
        <v>0.1</v>
      </c>
      <c r="M247" s="244">
        <f t="shared" si="79"/>
        <v>0</v>
      </c>
      <c r="N247" s="244"/>
      <c r="O247" s="244"/>
      <c r="P247" s="244"/>
      <c r="Q247" s="245">
        <f t="shared" si="80"/>
        <v>0</v>
      </c>
      <c r="R247" s="245">
        <f t="shared" si="81"/>
        <v>0</v>
      </c>
      <c r="S247" s="246">
        <v>0.5</v>
      </c>
      <c r="T247" s="245">
        <f t="shared" si="82"/>
        <v>0</v>
      </c>
      <c r="U247" s="245">
        <f t="shared" si="83"/>
        <v>0</v>
      </c>
      <c r="V247" s="247"/>
    </row>
    <row r="248" spans="1:22" ht="15.75" x14ac:dyDescent="0.25">
      <c r="A248" s="236"/>
      <c r="B248" s="237"/>
      <c r="C248" s="238"/>
      <c r="D248" s="239"/>
      <c r="E248" s="240"/>
      <c r="F248" s="240"/>
      <c r="G248" s="240"/>
      <c r="H248" s="241">
        <f t="shared" si="78"/>
        <v>0</v>
      </c>
      <c r="I248" s="242"/>
      <c r="J248" s="243"/>
      <c r="K248" s="243"/>
      <c r="L248" s="244">
        <v>0.1</v>
      </c>
      <c r="M248" s="244">
        <f t="shared" si="79"/>
        <v>0</v>
      </c>
      <c r="N248" s="244"/>
      <c r="O248" s="244"/>
      <c r="P248" s="244"/>
      <c r="Q248" s="245">
        <f t="shared" si="80"/>
        <v>0</v>
      </c>
      <c r="R248" s="245">
        <f t="shared" si="81"/>
        <v>0</v>
      </c>
      <c r="S248" s="246">
        <v>0.5</v>
      </c>
      <c r="T248" s="245">
        <f t="shared" si="82"/>
        <v>0</v>
      </c>
      <c r="U248" s="245">
        <f t="shared" si="83"/>
        <v>0</v>
      </c>
      <c r="V248" s="247"/>
    </row>
    <row r="249" spans="1:22" ht="15.75" x14ac:dyDescent="0.25">
      <c r="A249" s="236"/>
      <c r="B249" s="237"/>
      <c r="C249" s="238"/>
      <c r="D249" s="239"/>
      <c r="E249" s="240"/>
      <c r="F249" s="240"/>
      <c r="G249" s="240"/>
      <c r="H249" s="241">
        <f t="shared" si="78"/>
        <v>0</v>
      </c>
      <c r="I249" s="242"/>
      <c r="J249" s="243"/>
      <c r="K249" s="243"/>
      <c r="L249" s="244">
        <v>0.1</v>
      </c>
      <c r="M249" s="244">
        <f t="shared" si="79"/>
        <v>0</v>
      </c>
      <c r="N249" s="244"/>
      <c r="O249" s="244"/>
      <c r="P249" s="244"/>
      <c r="Q249" s="245">
        <f t="shared" si="80"/>
        <v>0</v>
      </c>
      <c r="R249" s="245">
        <f t="shared" si="81"/>
        <v>0</v>
      </c>
      <c r="S249" s="246">
        <v>0.5</v>
      </c>
      <c r="T249" s="245">
        <f t="shared" si="82"/>
        <v>0</v>
      </c>
      <c r="U249" s="245">
        <f t="shared" si="83"/>
        <v>0</v>
      </c>
      <c r="V249" s="247"/>
    </row>
    <row r="250" spans="1:22" ht="15.75" x14ac:dyDescent="0.25">
      <c r="A250" s="236"/>
      <c r="B250" s="237"/>
      <c r="C250" s="238"/>
      <c r="D250" s="239"/>
      <c r="E250" s="240"/>
      <c r="F250" s="240"/>
      <c r="G250" s="240"/>
      <c r="H250" s="241">
        <f t="shared" si="78"/>
        <v>0</v>
      </c>
      <c r="I250" s="242"/>
      <c r="J250" s="243"/>
      <c r="K250" s="243"/>
      <c r="L250" s="244">
        <v>0.1</v>
      </c>
      <c r="M250" s="244">
        <f t="shared" si="79"/>
        <v>0</v>
      </c>
      <c r="N250" s="244"/>
      <c r="O250" s="244"/>
      <c r="P250" s="244"/>
      <c r="Q250" s="245">
        <f t="shared" si="80"/>
        <v>0</v>
      </c>
      <c r="R250" s="245">
        <f t="shared" si="81"/>
        <v>0</v>
      </c>
      <c r="S250" s="246">
        <v>0.5</v>
      </c>
      <c r="T250" s="245">
        <f t="shared" si="82"/>
        <v>0</v>
      </c>
      <c r="U250" s="245">
        <f t="shared" si="83"/>
        <v>0</v>
      </c>
      <c r="V250" s="247"/>
    </row>
    <row r="251" spans="1:22" ht="15.75" x14ac:dyDescent="0.25">
      <c r="A251" s="236"/>
      <c r="B251" s="237"/>
      <c r="C251" s="238"/>
      <c r="D251" s="239"/>
      <c r="E251" s="240"/>
      <c r="F251" s="240"/>
      <c r="G251" s="240"/>
      <c r="H251" s="241">
        <f t="shared" si="78"/>
        <v>0</v>
      </c>
      <c r="I251" s="242"/>
      <c r="J251" s="243"/>
      <c r="K251" s="243"/>
      <c r="L251" s="244">
        <v>0.1</v>
      </c>
      <c r="M251" s="244">
        <f t="shared" si="79"/>
        <v>0</v>
      </c>
      <c r="N251" s="244"/>
      <c r="O251" s="244"/>
      <c r="P251" s="244"/>
      <c r="Q251" s="245">
        <f t="shared" si="80"/>
        <v>0</v>
      </c>
      <c r="R251" s="245">
        <f t="shared" si="81"/>
        <v>0</v>
      </c>
      <c r="S251" s="246">
        <v>0.5</v>
      </c>
      <c r="T251" s="245">
        <f t="shared" si="82"/>
        <v>0</v>
      </c>
      <c r="U251" s="245">
        <f t="shared" si="83"/>
        <v>0</v>
      </c>
      <c r="V251" s="247"/>
    </row>
    <row r="252" spans="1:22" ht="15.75" x14ac:dyDescent="0.25">
      <c r="A252" s="236"/>
      <c r="B252" s="237"/>
      <c r="C252" s="238"/>
      <c r="D252" s="239"/>
      <c r="E252" s="240"/>
      <c r="F252" s="240"/>
      <c r="G252" s="240"/>
      <c r="H252" s="241">
        <f t="shared" si="78"/>
        <v>0</v>
      </c>
      <c r="I252" s="242"/>
      <c r="J252" s="243"/>
      <c r="K252" s="243"/>
      <c r="L252" s="244">
        <v>0.1</v>
      </c>
      <c r="M252" s="244">
        <f t="shared" si="79"/>
        <v>0</v>
      </c>
      <c r="N252" s="244"/>
      <c r="O252" s="244"/>
      <c r="P252" s="244"/>
      <c r="Q252" s="245">
        <f t="shared" si="80"/>
        <v>0</v>
      </c>
      <c r="R252" s="245">
        <f t="shared" si="81"/>
        <v>0</v>
      </c>
      <c r="S252" s="246">
        <v>0.5</v>
      </c>
      <c r="T252" s="245">
        <f t="shared" si="82"/>
        <v>0</v>
      </c>
      <c r="U252" s="245">
        <f t="shared" si="83"/>
        <v>0</v>
      </c>
      <c r="V252" s="247"/>
    </row>
    <row r="253" spans="1:22" ht="15.75" x14ac:dyDescent="0.25">
      <c r="A253" s="236"/>
      <c r="B253" s="237"/>
      <c r="C253" s="238"/>
      <c r="D253" s="239"/>
      <c r="E253" s="240"/>
      <c r="F253" s="240"/>
      <c r="G253" s="240"/>
      <c r="H253" s="241">
        <f t="shared" si="78"/>
        <v>0</v>
      </c>
      <c r="I253" s="242"/>
      <c r="J253" s="243"/>
      <c r="K253" s="243"/>
      <c r="L253" s="244">
        <v>0.1</v>
      </c>
      <c r="M253" s="244">
        <f t="shared" si="79"/>
        <v>0</v>
      </c>
      <c r="N253" s="244"/>
      <c r="O253" s="244"/>
      <c r="P253" s="244"/>
      <c r="Q253" s="245">
        <f t="shared" si="80"/>
        <v>0</v>
      </c>
      <c r="R253" s="245">
        <f t="shared" si="81"/>
        <v>0</v>
      </c>
      <c r="S253" s="246">
        <v>0.5</v>
      </c>
      <c r="T253" s="245">
        <f t="shared" si="82"/>
        <v>0</v>
      </c>
      <c r="U253" s="245">
        <f t="shared" si="83"/>
        <v>0</v>
      </c>
      <c r="V253" s="247"/>
    </row>
    <row r="254" spans="1:22" ht="15.75" x14ac:dyDescent="0.25">
      <c r="A254" s="236"/>
      <c r="B254" s="237"/>
      <c r="C254" s="238"/>
      <c r="D254" s="239"/>
      <c r="E254" s="240"/>
      <c r="F254" s="240"/>
      <c r="G254" s="240"/>
      <c r="H254" s="241">
        <f t="shared" si="78"/>
        <v>0</v>
      </c>
      <c r="I254" s="242"/>
      <c r="J254" s="243"/>
      <c r="K254" s="243"/>
      <c r="L254" s="244">
        <v>0.1</v>
      </c>
      <c r="M254" s="244">
        <f t="shared" si="79"/>
        <v>0</v>
      </c>
      <c r="N254" s="244"/>
      <c r="O254" s="244"/>
      <c r="P254" s="244"/>
      <c r="Q254" s="245">
        <f t="shared" si="80"/>
        <v>0</v>
      </c>
      <c r="R254" s="245">
        <f t="shared" si="81"/>
        <v>0</v>
      </c>
      <c r="S254" s="246">
        <v>0.5</v>
      </c>
      <c r="T254" s="245">
        <f t="shared" si="82"/>
        <v>0</v>
      </c>
      <c r="U254" s="245">
        <f t="shared" si="83"/>
        <v>0</v>
      </c>
      <c r="V254" s="247"/>
    </row>
    <row r="255" spans="1:22" ht="15.75" x14ac:dyDescent="0.25">
      <c r="A255" s="236"/>
      <c r="B255" s="237"/>
      <c r="C255" s="238"/>
      <c r="D255" s="239"/>
      <c r="E255" s="240"/>
      <c r="F255" s="240"/>
      <c r="G255" s="240"/>
      <c r="H255" s="241">
        <f t="shared" si="78"/>
        <v>0</v>
      </c>
      <c r="I255" s="242"/>
      <c r="J255" s="243"/>
      <c r="K255" s="243"/>
      <c r="L255" s="244">
        <v>0.1</v>
      </c>
      <c r="M255" s="244">
        <f t="shared" si="79"/>
        <v>0</v>
      </c>
      <c r="N255" s="244"/>
      <c r="O255" s="244"/>
      <c r="P255" s="244"/>
      <c r="Q255" s="245">
        <f t="shared" si="80"/>
        <v>0</v>
      </c>
      <c r="R255" s="245">
        <f t="shared" si="81"/>
        <v>0</v>
      </c>
      <c r="S255" s="246">
        <v>0.5</v>
      </c>
      <c r="T255" s="245">
        <f t="shared" si="82"/>
        <v>0</v>
      </c>
      <c r="U255" s="245">
        <f t="shared" si="83"/>
        <v>0</v>
      </c>
      <c r="V255" s="247"/>
    </row>
    <row r="256" spans="1:22" ht="15.75" x14ac:dyDescent="0.25">
      <c r="A256" s="236"/>
      <c r="B256" s="237"/>
      <c r="C256" s="238"/>
      <c r="D256" s="239"/>
      <c r="E256" s="240"/>
      <c r="F256" s="240"/>
      <c r="G256" s="240"/>
      <c r="H256" s="241">
        <f t="shared" si="78"/>
        <v>0</v>
      </c>
      <c r="I256" s="242"/>
      <c r="J256" s="243"/>
      <c r="K256" s="243"/>
      <c r="L256" s="244">
        <v>0.1</v>
      </c>
      <c r="M256" s="244">
        <f t="shared" si="79"/>
        <v>0</v>
      </c>
      <c r="N256" s="244"/>
      <c r="O256" s="244"/>
      <c r="P256" s="244"/>
      <c r="Q256" s="245">
        <f t="shared" si="80"/>
        <v>0</v>
      </c>
      <c r="R256" s="245">
        <f t="shared" si="81"/>
        <v>0</v>
      </c>
      <c r="S256" s="246">
        <v>0.5</v>
      </c>
      <c r="T256" s="245">
        <f t="shared" si="82"/>
        <v>0</v>
      </c>
      <c r="U256" s="245">
        <f t="shared" si="83"/>
        <v>0</v>
      </c>
      <c r="V256" s="247"/>
    </row>
    <row r="257" spans="1:22" ht="15.75" x14ac:dyDescent="0.25">
      <c r="A257" s="236"/>
      <c r="B257" s="237"/>
      <c r="C257" s="238"/>
      <c r="D257" s="239"/>
      <c r="E257" s="240"/>
      <c r="F257" s="240"/>
      <c r="G257" s="240"/>
      <c r="H257" s="241">
        <f t="shared" si="78"/>
        <v>0</v>
      </c>
      <c r="I257" s="242"/>
      <c r="J257" s="243"/>
      <c r="K257" s="243"/>
      <c r="L257" s="244">
        <v>0.1</v>
      </c>
      <c r="M257" s="244">
        <f t="shared" si="79"/>
        <v>0</v>
      </c>
      <c r="N257" s="244"/>
      <c r="O257" s="244"/>
      <c r="P257" s="244"/>
      <c r="Q257" s="245">
        <f t="shared" si="80"/>
        <v>0</v>
      </c>
      <c r="R257" s="245">
        <f t="shared" si="81"/>
        <v>0</v>
      </c>
      <c r="S257" s="246">
        <v>0.5</v>
      </c>
      <c r="T257" s="245">
        <f t="shared" si="82"/>
        <v>0</v>
      </c>
      <c r="U257" s="245">
        <f t="shared" si="83"/>
        <v>0</v>
      </c>
      <c r="V257" s="247"/>
    </row>
    <row r="258" spans="1:22" ht="15.75" x14ac:dyDescent="0.25">
      <c r="A258" s="236"/>
      <c r="B258" s="237"/>
      <c r="C258" s="238"/>
      <c r="D258" s="239"/>
      <c r="E258" s="240"/>
      <c r="F258" s="240"/>
      <c r="G258" s="240"/>
      <c r="H258" s="241">
        <f t="shared" si="78"/>
        <v>0</v>
      </c>
      <c r="I258" s="242"/>
      <c r="J258" s="243"/>
      <c r="K258" s="243"/>
      <c r="L258" s="244">
        <v>0.1</v>
      </c>
      <c r="M258" s="244">
        <f t="shared" si="79"/>
        <v>0</v>
      </c>
      <c r="N258" s="244"/>
      <c r="O258" s="244"/>
      <c r="P258" s="244"/>
      <c r="Q258" s="245">
        <f t="shared" si="80"/>
        <v>0</v>
      </c>
      <c r="R258" s="245">
        <f t="shared" si="81"/>
        <v>0</v>
      </c>
      <c r="S258" s="246">
        <v>0.5</v>
      </c>
      <c r="T258" s="245">
        <f t="shared" si="82"/>
        <v>0</v>
      </c>
      <c r="U258" s="245">
        <f t="shared" si="83"/>
        <v>0</v>
      </c>
      <c r="V258" s="247"/>
    </row>
    <row r="259" spans="1:22" ht="15.75" x14ac:dyDescent="0.25">
      <c r="A259" s="236"/>
      <c r="B259" s="237"/>
      <c r="C259" s="238"/>
      <c r="D259" s="239"/>
      <c r="E259" s="240"/>
      <c r="F259" s="240"/>
      <c r="G259" s="240"/>
      <c r="H259" s="241">
        <f t="shared" si="78"/>
        <v>0</v>
      </c>
      <c r="I259" s="242"/>
      <c r="J259" s="243"/>
      <c r="K259" s="243"/>
      <c r="L259" s="244">
        <v>0.1</v>
      </c>
      <c r="M259" s="244">
        <f t="shared" si="79"/>
        <v>0</v>
      </c>
      <c r="N259" s="244"/>
      <c r="O259" s="244"/>
      <c r="P259" s="244"/>
      <c r="Q259" s="245">
        <f t="shared" si="80"/>
        <v>0</v>
      </c>
      <c r="R259" s="245">
        <f t="shared" si="81"/>
        <v>0</v>
      </c>
      <c r="S259" s="246">
        <v>0.5</v>
      </c>
      <c r="T259" s="245">
        <f t="shared" si="82"/>
        <v>0</v>
      </c>
      <c r="U259" s="245">
        <f t="shared" si="83"/>
        <v>0</v>
      </c>
      <c r="V259" s="247"/>
    </row>
    <row r="260" spans="1:22" ht="15.75" x14ac:dyDescent="0.25">
      <c r="A260" s="236"/>
      <c r="B260" s="237"/>
      <c r="C260" s="238"/>
      <c r="D260" s="239"/>
      <c r="E260" s="240"/>
      <c r="F260" s="240"/>
      <c r="G260" s="240"/>
      <c r="H260" s="241">
        <f t="shared" si="78"/>
        <v>0</v>
      </c>
      <c r="I260" s="242"/>
      <c r="J260" s="243"/>
      <c r="K260" s="243"/>
      <c r="L260" s="244">
        <v>0.1</v>
      </c>
      <c r="M260" s="244">
        <f t="shared" si="79"/>
        <v>0</v>
      </c>
      <c r="N260" s="244"/>
      <c r="O260" s="244"/>
      <c r="P260" s="244"/>
      <c r="Q260" s="245">
        <f t="shared" si="80"/>
        <v>0</v>
      </c>
      <c r="R260" s="245">
        <f t="shared" si="81"/>
        <v>0</v>
      </c>
      <c r="S260" s="246">
        <v>0.5</v>
      </c>
      <c r="T260" s="245">
        <f t="shared" si="82"/>
        <v>0</v>
      </c>
      <c r="U260" s="245">
        <f t="shared" si="83"/>
        <v>0</v>
      </c>
      <c r="V260" s="247"/>
    </row>
    <row r="261" spans="1:22" ht="15.75" x14ac:dyDescent="0.25">
      <c r="A261" s="236"/>
      <c r="B261" s="237"/>
      <c r="C261" s="238"/>
      <c r="D261" s="239"/>
      <c r="E261" s="240"/>
      <c r="F261" s="240"/>
      <c r="G261" s="240"/>
      <c r="H261" s="241">
        <f t="shared" si="78"/>
        <v>0</v>
      </c>
      <c r="I261" s="242"/>
      <c r="J261" s="243"/>
      <c r="K261" s="243"/>
      <c r="L261" s="244">
        <v>0.1</v>
      </c>
      <c r="M261" s="244">
        <f t="shared" si="79"/>
        <v>0</v>
      </c>
      <c r="N261" s="244"/>
      <c r="O261" s="244"/>
      <c r="P261" s="244"/>
      <c r="Q261" s="245">
        <f t="shared" si="80"/>
        <v>0</v>
      </c>
      <c r="R261" s="245">
        <f t="shared" si="81"/>
        <v>0</v>
      </c>
      <c r="S261" s="246">
        <v>0.5</v>
      </c>
      <c r="T261" s="245">
        <f t="shared" si="82"/>
        <v>0</v>
      </c>
      <c r="U261" s="245">
        <f t="shared" si="83"/>
        <v>0</v>
      </c>
      <c r="V261" s="247"/>
    </row>
    <row r="262" spans="1:22" ht="15.75" x14ac:dyDescent="0.25">
      <c r="A262" s="236"/>
      <c r="B262" s="237"/>
      <c r="C262" s="238"/>
      <c r="D262" s="239"/>
      <c r="E262" s="240"/>
      <c r="F262" s="240"/>
      <c r="G262" s="240"/>
      <c r="H262" s="241">
        <f t="shared" si="78"/>
        <v>0</v>
      </c>
      <c r="I262" s="242"/>
      <c r="J262" s="243"/>
      <c r="K262" s="243"/>
      <c r="L262" s="244">
        <v>0.1</v>
      </c>
      <c r="M262" s="244">
        <f t="shared" si="79"/>
        <v>0</v>
      </c>
      <c r="N262" s="244"/>
      <c r="O262" s="244"/>
      <c r="P262" s="244"/>
      <c r="Q262" s="245">
        <f t="shared" si="80"/>
        <v>0</v>
      </c>
      <c r="R262" s="245">
        <f t="shared" si="81"/>
        <v>0</v>
      </c>
      <c r="S262" s="246">
        <v>0.5</v>
      </c>
      <c r="T262" s="245">
        <f t="shared" si="82"/>
        <v>0</v>
      </c>
      <c r="U262" s="245">
        <f t="shared" si="83"/>
        <v>0</v>
      </c>
      <c r="V262" s="247"/>
    </row>
    <row r="263" spans="1:22" ht="15.75" x14ac:dyDescent="0.25">
      <c r="A263" s="236"/>
      <c r="B263" s="237"/>
      <c r="C263" s="238"/>
      <c r="D263" s="239"/>
      <c r="E263" s="240"/>
      <c r="F263" s="240"/>
      <c r="G263" s="240"/>
      <c r="H263" s="241">
        <f t="shared" si="78"/>
        <v>0</v>
      </c>
      <c r="I263" s="242"/>
      <c r="J263" s="243"/>
      <c r="K263" s="243"/>
      <c r="L263" s="244">
        <v>0.1</v>
      </c>
      <c r="M263" s="244">
        <f t="shared" si="79"/>
        <v>0</v>
      </c>
      <c r="N263" s="244"/>
      <c r="O263" s="244"/>
      <c r="P263" s="244"/>
      <c r="Q263" s="245">
        <f t="shared" si="80"/>
        <v>0</v>
      </c>
      <c r="R263" s="245">
        <f t="shared" si="81"/>
        <v>0</v>
      </c>
      <c r="S263" s="246">
        <v>0.5</v>
      </c>
      <c r="T263" s="245">
        <f t="shared" si="82"/>
        <v>0</v>
      </c>
      <c r="U263" s="245">
        <f t="shared" si="83"/>
        <v>0</v>
      </c>
      <c r="V263" s="247"/>
    </row>
    <row r="264" spans="1:22" ht="15.75" x14ac:dyDescent="0.25">
      <c r="A264" s="236"/>
      <c r="B264" s="237"/>
      <c r="C264" s="238"/>
      <c r="D264" s="239"/>
      <c r="E264" s="240"/>
      <c r="F264" s="240"/>
      <c r="G264" s="240"/>
      <c r="H264" s="241">
        <f t="shared" si="78"/>
        <v>0</v>
      </c>
      <c r="I264" s="242"/>
      <c r="J264" s="243"/>
      <c r="K264" s="243"/>
      <c r="L264" s="244">
        <v>0.1</v>
      </c>
      <c r="M264" s="244">
        <f t="shared" si="79"/>
        <v>0</v>
      </c>
      <c r="N264" s="244"/>
      <c r="O264" s="244"/>
      <c r="P264" s="244"/>
      <c r="Q264" s="245">
        <f t="shared" si="80"/>
        <v>0</v>
      </c>
      <c r="R264" s="245">
        <f t="shared" si="81"/>
        <v>0</v>
      </c>
      <c r="S264" s="246">
        <v>0.5</v>
      </c>
      <c r="T264" s="245">
        <f t="shared" si="82"/>
        <v>0</v>
      </c>
      <c r="U264" s="245">
        <f t="shared" si="83"/>
        <v>0</v>
      </c>
      <c r="V264" s="247"/>
    </row>
    <row r="265" spans="1:22" ht="15.75" x14ac:dyDescent="0.25">
      <c r="A265" s="236"/>
      <c r="B265" s="237"/>
      <c r="C265" s="238"/>
      <c r="D265" s="239"/>
      <c r="E265" s="240"/>
      <c r="F265" s="240"/>
      <c r="G265" s="240"/>
      <c r="H265" s="241">
        <f t="shared" si="78"/>
        <v>0</v>
      </c>
      <c r="I265" s="242"/>
      <c r="J265" s="243"/>
      <c r="K265" s="243"/>
      <c r="L265" s="244">
        <v>0.1</v>
      </c>
      <c r="M265" s="244">
        <f t="shared" si="79"/>
        <v>0</v>
      </c>
      <c r="N265" s="244"/>
      <c r="O265" s="244"/>
      <c r="P265" s="244"/>
      <c r="Q265" s="245">
        <f t="shared" si="80"/>
        <v>0</v>
      </c>
      <c r="R265" s="245">
        <f t="shared" si="81"/>
        <v>0</v>
      </c>
      <c r="S265" s="246">
        <v>0.5</v>
      </c>
      <c r="T265" s="245">
        <f t="shared" si="82"/>
        <v>0</v>
      </c>
      <c r="U265" s="245">
        <f t="shared" si="83"/>
        <v>0</v>
      </c>
      <c r="V265" s="247"/>
    </row>
    <row r="266" spans="1:22" ht="15.75" x14ac:dyDescent="0.25">
      <c r="A266" s="236"/>
      <c r="B266" s="237"/>
      <c r="C266" s="238"/>
      <c r="D266" s="239"/>
      <c r="E266" s="240"/>
      <c r="F266" s="240"/>
      <c r="G266" s="240"/>
      <c r="H266" s="241">
        <f t="shared" si="78"/>
        <v>0</v>
      </c>
      <c r="I266" s="242"/>
      <c r="J266" s="243"/>
      <c r="K266" s="243"/>
      <c r="L266" s="244">
        <v>0.1</v>
      </c>
      <c r="M266" s="244">
        <f t="shared" si="79"/>
        <v>0</v>
      </c>
      <c r="N266" s="244"/>
      <c r="O266" s="244"/>
      <c r="P266" s="244"/>
      <c r="Q266" s="245">
        <f t="shared" si="80"/>
        <v>0</v>
      </c>
      <c r="R266" s="245">
        <f t="shared" si="81"/>
        <v>0</v>
      </c>
      <c r="S266" s="246">
        <v>0.5</v>
      </c>
      <c r="T266" s="245">
        <f t="shared" si="82"/>
        <v>0</v>
      </c>
      <c r="U266" s="245">
        <f t="shared" si="83"/>
        <v>0</v>
      </c>
      <c r="V266" s="247"/>
    </row>
    <row r="267" spans="1:22" ht="15.75" x14ac:dyDescent="0.25">
      <c r="A267" s="236"/>
      <c r="B267" s="237"/>
      <c r="C267" s="238"/>
      <c r="D267" s="239"/>
      <c r="E267" s="240"/>
      <c r="F267" s="240"/>
      <c r="G267" s="240"/>
      <c r="H267" s="241">
        <f t="shared" si="78"/>
        <v>0</v>
      </c>
      <c r="I267" s="242"/>
      <c r="J267" s="243"/>
      <c r="K267" s="243"/>
      <c r="L267" s="244">
        <v>0.1</v>
      </c>
      <c r="M267" s="244">
        <f t="shared" si="79"/>
        <v>0</v>
      </c>
      <c r="N267" s="244"/>
      <c r="O267" s="244"/>
      <c r="P267" s="244"/>
      <c r="Q267" s="245">
        <f t="shared" si="80"/>
        <v>0</v>
      </c>
      <c r="R267" s="245">
        <f t="shared" si="81"/>
        <v>0</v>
      </c>
      <c r="S267" s="246">
        <v>0.5</v>
      </c>
      <c r="T267" s="245">
        <f t="shared" si="82"/>
        <v>0</v>
      </c>
      <c r="U267" s="245">
        <f t="shared" si="83"/>
        <v>0</v>
      </c>
      <c r="V267" s="247"/>
    </row>
    <row r="268" spans="1:22" ht="15.75" x14ac:dyDescent="0.25">
      <c r="A268" s="236"/>
      <c r="B268" s="237"/>
      <c r="C268" s="238"/>
      <c r="D268" s="239"/>
      <c r="E268" s="240"/>
      <c r="F268" s="240"/>
      <c r="G268" s="240"/>
      <c r="H268" s="241">
        <f t="shared" si="78"/>
        <v>0</v>
      </c>
      <c r="I268" s="242"/>
      <c r="J268" s="243"/>
      <c r="K268" s="243"/>
      <c r="L268" s="244">
        <v>0.1</v>
      </c>
      <c r="M268" s="244">
        <f t="shared" si="79"/>
        <v>0</v>
      </c>
      <c r="N268" s="244"/>
      <c r="O268" s="244"/>
      <c r="P268" s="244"/>
      <c r="Q268" s="245">
        <f t="shared" si="80"/>
        <v>0</v>
      </c>
      <c r="R268" s="245">
        <f t="shared" si="81"/>
        <v>0</v>
      </c>
      <c r="S268" s="246">
        <v>0.5</v>
      </c>
      <c r="T268" s="245">
        <f t="shared" si="82"/>
        <v>0</v>
      </c>
      <c r="U268" s="245">
        <f t="shared" si="83"/>
        <v>0</v>
      </c>
      <c r="V268" s="247"/>
    </row>
    <row r="269" spans="1:22" ht="15.75" x14ac:dyDescent="0.25">
      <c r="A269" s="236"/>
      <c r="B269" s="237"/>
      <c r="C269" s="238"/>
      <c r="D269" s="239"/>
      <c r="E269" s="240"/>
      <c r="F269" s="240"/>
      <c r="G269" s="240"/>
      <c r="H269" s="241">
        <f t="shared" si="78"/>
        <v>0</v>
      </c>
      <c r="I269" s="242"/>
      <c r="J269" s="243"/>
      <c r="K269" s="243"/>
      <c r="L269" s="244">
        <v>0.1</v>
      </c>
      <c r="M269" s="244">
        <f t="shared" si="79"/>
        <v>0</v>
      </c>
      <c r="N269" s="244"/>
      <c r="O269" s="244"/>
      <c r="P269" s="244"/>
      <c r="Q269" s="245">
        <f t="shared" si="80"/>
        <v>0</v>
      </c>
      <c r="R269" s="245">
        <f t="shared" si="81"/>
        <v>0</v>
      </c>
      <c r="S269" s="246">
        <v>0.5</v>
      </c>
      <c r="T269" s="245">
        <f t="shared" si="82"/>
        <v>0</v>
      </c>
      <c r="U269" s="245">
        <f t="shared" si="83"/>
        <v>0</v>
      </c>
      <c r="V269" s="247"/>
    </row>
    <row r="270" spans="1:22" ht="15.75" x14ac:dyDescent="0.25">
      <c r="A270" s="236"/>
      <c r="B270" s="237"/>
      <c r="C270" s="238"/>
      <c r="D270" s="239"/>
      <c r="E270" s="240"/>
      <c r="F270" s="240"/>
      <c r="G270" s="240"/>
      <c r="H270" s="241">
        <f t="shared" si="78"/>
        <v>0</v>
      </c>
      <c r="I270" s="242"/>
      <c r="J270" s="243"/>
      <c r="K270" s="243"/>
      <c r="L270" s="244">
        <v>0.1</v>
      </c>
      <c r="M270" s="244">
        <f t="shared" si="79"/>
        <v>0</v>
      </c>
      <c r="N270" s="244"/>
      <c r="O270" s="244"/>
      <c r="P270" s="244"/>
      <c r="Q270" s="245">
        <f t="shared" si="80"/>
        <v>0</v>
      </c>
      <c r="R270" s="245">
        <f t="shared" si="81"/>
        <v>0</v>
      </c>
      <c r="S270" s="246">
        <v>0.5</v>
      </c>
      <c r="T270" s="245">
        <f t="shared" si="82"/>
        <v>0</v>
      </c>
      <c r="U270" s="245">
        <f t="shared" si="83"/>
        <v>0</v>
      </c>
      <c r="V270" s="247"/>
    </row>
    <row r="271" spans="1:22" ht="15.75" x14ac:dyDescent="0.25">
      <c r="A271" s="236"/>
      <c r="B271" s="237"/>
      <c r="C271" s="238"/>
      <c r="D271" s="239"/>
      <c r="E271" s="240"/>
      <c r="F271" s="240"/>
      <c r="G271" s="240"/>
      <c r="H271" s="241">
        <f t="shared" si="78"/>
        <v>0</v>
      </c>
      <c r="I271" s="242"/>
      <c r="J271" s="243"/>
      <c r="K271" s="243"/>
      <c r="L271" s="244">
        <v>0.1</v>
      </c>
      <c r="M271" s="244">
        <f t="shared" si="79"/>
        <v>0</v>
      </c>
      <c r="N271" s="244"/>
      <c r="O271" s="244"/>
      <c r="P271" s="244"/>
      <c r="Q271" s="245">
        <f t="shared" si="80"/>
        <v>0</v>
      </c>
      <c r="R271" s="245">
        <f t="shared" si="81"/>
        <v>0</v>
      </c>
      <c r="S271" s="246">
        <v>0.5</v>
      </c>
      <c r="T271" s="245">
        <f t="shared" si="82"/>
        <v>0</v>
      </c>
      <c r="U271" s="245">
        <f t="shared" si="83"/>
        <v>0</v>
      </c>
      <c r="V271" s="247"/>
    </row>
    <row r="272" spans="1:22" ht="15.75" x14ac:dyDescent="0.25">
      <c r="A272" s="236"/>
      <c r="B272" s="237"/>
      <c r="C272" s="238"/>
      <c r="D272" s="239"/>
      <c r="E272" s="240"/>
      <c r="F272" s="240"/>
      <c r="G272" s="240"/>
      <c r="H272" s="241">
        <f t="shared" si="78"/>
        <v>0</v>
      </c>
      <c r="I272" s="242"/>
      <c r="J272" s="243"/>
      <c r="K272" s="243"/>
      <c r="L272" s="244">
        <v>0.1</v>
      </c>
      <c r="M272" s="244">
        <f t="shared" si="79"/>
        <v>0</v>
      </c>
      <c r="N272" s="244"/>
      <c r="O272" s="244"/>
      <c r="P272" s="244"/>
      <c r="Q272" s="245">
        <f t="shared" si="80"/>
        <v>0</v>
      </c>
      <c r="R272" s="245">
        <f t="shared" si="81"/>
        <v>0</v>
      </c>
      <c r="S272" s="246">
        <v>0.5</v>
      </c>
      <c r="T272" s="245">
        <f t="shared" si="82"/>
        <v>0</v>
      </c>
      <c r="U272" s="245">
        <f t="shared" si="83"/>
        <v>0</v>
      </c>
      <c r="V272" s="247"/>
    </row>
    <row r="273" spans="1:22" ht="15.75" x14ac:dyDescent="0.25">
      <c r="A273" s="236"/>
      <c r="B273" s="237"/>
      <c r="C273" s="238"/>
      <c r="D273" s="239"/>
      <c r="E273" s="240"/>
      <c r="F273" s="240"/>
      <c r="G273" s="240"/>
      <c r="H273" s="241">
        <f t="shared" si="78"/>
        <v>0</v>
      </c>
      <c r="I273" s="242"/>
      <c r="J273" s="243"/>
      <c r="K273" s="243"/>
      <c r="L273" s="244">
        <v>0.1</v>
      </c>
      <c r="M273" s="244">
        <f t="shared" si="79"/>
        <v>0</v>
      </c>
      <c r="N273" s="244"/>
      <c r="O273" s="244"/>
      <c r="P273" s="244"/>
      <c r="Q273" s="245">
        <f t="shared" si="80"/>
        <v>0</v>
      </c>
      <c r="R273" s="245">
        <f t="shared" si="81"/>
        <v>0</v>
      </c>
      <c r="S273" s="246">
        <v>0.5</v>
      </c>
      <c r="T273" s="245">
        <f t="shared" si="82"/>
        <v>0</v>
      </c>
      <c r="U273" s="245">
        <f t="shared" si="83"/>
        <v>0</v>
      </c>
      <c r="V273" s="247"/>
    </row>
    <row r="274" spans="1:22" ht="15.75" x14ac:dyDescent="0.25">
      <c r="A274" s="236"/>
      <c r="B274" s="237"/>
      <c r="C274" s="238"/>
      <c r="D274" s="239"/>
      <c r="E274" s="240"/>
      <c r="F274" s="240"/>
      <c r="G274" s="240"/>
      <c r="H274" s="241">
        <f t="shared" si="78"/>
        <v>0</v>
      </c>
      <c r="I274" s="242"/>
      <c r="J274" s="243"/>
      <c r="K274" s="243"/>
      <c r="L274" s="244">
        <v>0.1</v>
      </c>
      <c r="M274" s="244">
        <f t="shared" si="79"/>
        <v>0</v>
      </c>
      <c r="N274" s="244"/>
      <c r="O274" s="244"/>
      <c r="P274" s="244"/>
      <c r="Q274" s="245">
        <f t="shared" si="80"/>
        <v>0</v>
      </c>
      <c r="R274" s="245">
        <f t="shared" si="81"/>
        <v>0</v>
      </c>
      <c r="S274" s="246">
        <v>0.5</v>
      </c>
      <c r="T274" s="245">
        <f t="shared" si="82"/>
        <v>0</v>
      </c>
      <c r="U274" s="245">
        <f t="shared" si="83"/>
        <v>0</v>
      </c>
      <c r="V274" s="247"/>
    </row>
    <row r="275" spans="1:22" ht="15.75" x14ac:dyDescent="0.25">
      <c r="A275" s="236"/>
      <c r="B275" s="237"/>
      <c r="C275" s="238"/>
      <c r="D275" s="239"/>
      <c r="E275" s="240"/>
      <c r="F275" s="240"/>
      <c r="G275" s="240"/>
      <c r="H275" s="241">
        <f t="shared" si="78"/>
        <v>0</v>
      </c>
      <c r="I275" s="242"/>
      <c r="J275" s="243"/>
      <c r="K275" s="243"/>
      <c r="L275" s="244">
        <v>0.1</v>
      </c>
      <c r="M275" s="244">
        <f t="shared" si="79"/>
        <v>0</v>
      </c>
      <c r="N275" s="244"/>
      <c r="O275" s="244"/>
      <c r="P275" s="244"/>
      <c r="Q275" s="245">
        <f t="shared" si="80"/>
        <v>0</v>
      </c>
      <c r="R275" s="245">
        <f t="shared" si="81"/>
        <v>0</v>
      </c>
      <c r="S275" s="246">
        <v>0.5</v>
      </c>
      <c r="T275" s="245">
        <f t="shared" si="82"/>
        <v>0</v>
      </c>
      <c r="U275" s="245">
        <f t="shared" si="83"/>
        <v>0</v>
      </c>
      <c r="V275" s="247"/>
    </row>
    <row r="276" spans="1:22" ht="15.75" x14ac:dyDescent="0.25">
      <c r="A276" s="236"/>
      <c r="B276" s="237"/>
      <c r="C276" s="238"/>
      <c r="D276" s="239"/>
      <c r="E276" s="240"/>
      <c r="F276" s="240"/>
      <c r="G276" s="240"/>
      <c r="H276" s="241">
        <f t="shared" si="78"/>
        <v>0</v>
      </c>
      <c r="I276" s="242"/>
      <c r="J276" s="243"/>
      <c r="K276" s="243"/>
      <c r="L276" s="244">
        <v>0.1</v>
      </c>
      <c r="M276" s="244">
        <f t="shared" si="79"/>
        <v>0</v>
      </c>
      <c r="N276" s="244"/>
      <c r="O276" s="244"/>
      <c r="P276" s="244"/>
      <c r="Q276" s="245">
        <f t="shared" si="80"/>
        <v>0</v>
      </c>
      <c r="R276" s="245">
        <f t="shared" si="81"/>
        <v>0</v>
      </c>
      <c r="S276" s="246">
        <v>0.5</v>
      </c>
      <c r="T276" s="245">
        <f t="shared" si="82"/>
        <v>0</v>
      </c>
      <c r="U276" s="245">
        <f t="shared" si="83"/>
        <v>0</v>
      </c>
      <c r="V276" s="247"/>
    </row>
    <row r="277" spans="1:22" ht="15.75" x14ac:dyDescent="0.25">
      <c r="A277" s="236"/>
      <c r="B277" s="237"/>
      <c r="C277" s="238"/>
      <c r="D277" s="239"/>
      <c r="E277" s="240"/>
      <c r="F277" s="240"/>
      <c r="G277" s="240"/>
      <c r="H277" s="241">
        <f t="shared" si="78"/>
        <v>0</v>
      </c>
      <c r="I277" s="242"/>
      <c r="J277" s="243"/>
      <c r="K277" s="243"/>
      <c r="L277" s="244">
        <v>0.1</v>
      </c>
      <c r="M277" s="244">
        <f t="shared" si="79"/>
        <v>0</v>
      </c>
      <c r="N277" s="244"/>
      <c r="O277" s="244"/>
      <c r="P277" s="244"/>
      <c r="Q277" s="245">
        <f t="shared" si="80"/>
        <v>0</v>
      </c>
      <c r="R277" s="245">
        <f t="shared" si="81"/>
        <v>0</v>
      </c>
      <c r="S277" s="246">
        <v>0.5</v>
      </c>
      <c r="T277" s="245">
        <f t="shared" si="82"/>
        <v>0</v>
      </c>
      <c r="U277" s="245">
        <f t="shared" si="83"/>
        <v>0</v>
      </c>
      <c r="V277" s="247"/>
    </row>
    <row r="278" spans="1:22" ht="15.75" x14ac:dyDescent="0.25">
      <c r="A278" s="236"/>
      <c r="B278" s="237"/>
      <c r="C278" s="238"/>
      <c r="D278" s="239"/>
      <c r="E278" s="240"/>
      <c r="F278" s="240"/>
      <c r="G278" s="240"/>
      <c r="H278" s="241">
        <f t="shared" si="78"/>
        <v>0</v>
      </c>
      <c r="I278" s="242"/>
      <c r="J278" s="243"/>
      <c r="K278" s="243"/>
      <c r="L278" s="244">
        <v>0.1</v>
      </c>
      <c r="M278" s="244">
        <f t="shared" si="79"/>
        <v>0</v>
      </c>
      <c r="N278" s="244"/>
      <c r="O278" s="244"/>
      <c r="P278" s="244"/>
      <c r="Q278" s="245">
        <f t="shared" si="80"/>
        <v>0</v>
      </c>
      <c r="R278" s="245">
        <f t="shared" si="81"/>
        <v>0</v>
      </c>
      <c r="S278" s="246">
        <v>0.5</v>
      </c>
      <c r="T278" s="245">
        <f t="shared" si="82"/>
        <v>0</v>
      </c>
      <c r="U278" s="245">
        <f t="shared" si="83"/>
        <v>0</v>
      </c>
      <c r="V278" s="247"/>
    </row>
    <row r="279" spans="1:22" ht="15.75" x14ac:dyDescent="0.25">
      <c r="A279" s="236"/>
      <c r="B279" s="237"/>
      <c r="C279" s="238"/>
      <c r="D279" s="239"/>
      <c r="E279" s="240"/>
      <c r="F279" s="240"/>
      <c r="G279" s="240"/>
      <c r="H279" s="241">
        <f t="shared" si="78"/>
        <v>0</v>
      </c>
      <c r="I279" s="242"/>
      <c r="J279" s="243"/>
      <c r="K279" s="243"/>
      <c r="L279" s="244">
        <v>0.1</v>
      </c>
      <c r="M279" s="244">
        <f t="shared" si="79"/>
        <v>0</v>
      </c>
      <c r="N279" s="244"/>
      <c r="O279" s="244"/>
      <c r="P279" s="244"/>
      <c r="Q279" s="245">
        <f t="shared" si="80"/>
        <v>0</v>
      </c>
      <c r="R279" s="245">
        <f t="shared" si="81"/>
        <v>0</v>
      </c>
      <c r="S279" s="246">
        <v>0.5</v>
      </c>
      <c r="T279" s="245">
        <f t="shared" si="82"/>
        <v>0</v>
      </c>
      <c r="U279" s="245">
        <f t="shared" si="83"/>
        <v>0</v>
      </c>
      <c r="V279" s="247"/>
    </row>
    <row r="280" spans="1:22" ht="15.75" x14ac:dyDescent="0.25">
      <c r="A280" s="236"/>
      <c r="B280" s="237"/>
      <c r="C280" s="238"/>
      <c r="D280" s="239"/>
      <c r="E280" s="240"/>
      <c r="F280" s="240"/>
      <c r="G280" s="240"/>
      <c r="H280" s="241">
        <f t="shared" si="78"/>
        <v>0</v>
      </c>
      <c r="I280" s="242"/>
      <c r="J280" s="243"/>
      <c r="K280" s="243"/>
      <c r="L280" s="244">
        <v>0.1</v>
      </c>
      <c r="M280" s="244">
        <f t="shared" si="79"/>
        <v>0</v>
      </c>
      <c r="N280" s="244"/>
      <c r="O280" s="244"/>
      <c r="P280" s="244"/>
      <c r="Q280" s="245">
        <f t="shared" si="80"/>
        <v>0</v>
      </c>
      <c r="R280" s="245">
        <f t="shared" si="81"/>
        <v>0</v>
      </c>
      <c r="S280" s="246">
        <v>0.5</v>
      </c>
      <c r="T280" s="245">
        <f t="shared" si="82"/>
        <v>0</v>
      </c>
      <c r="U280" s="245">
        <f t="shared" si="83"/>
        <v>0</v>
      </c>
      <c r="V280" s="247"/>
    </row>
    <row r="281" spans="1:22" ht="15.75" x14ac:dyDescent="0.25">
      <c r="A281" s="236"/>
      <c r="B281" s="237"/>
      <c r="C281" s="238"/>
      <c r="D281" s="239"/>
      <c r="E281" s="240"/>
      <c r="F281" s="240"/>
      <c r="G281" s="240"/>
      <c r="H281" s="241">
        <f t="shared" si="78"/>
        <v>0</v>
      </c>
      <c r="I281" s="242"/>
      <c r="J281" s="243"/>
      <c r="K281" s="243"/>
      <c r="L281" s="244">
        <v>0.1</v>
      </c>
      <c r="M281" s="244">
        <f t="shared" si="79"/>
        <v>0</v>
      </c>
      <c r="N281" s="244"/>
      <c r="O281" s="244"/>
      <c r="P281" s="244"/>
      <c r="Q281" s="245">
        <f t="shared" si="80"/>
        <v>0</v>
      </c>
      <c r="R281" s="245">
        <f t="shared" si="81"/>
        <v>0</v>
      </c>
      <c r="S281" s="246">
        <v>0.5</v>
      </c>
      <c r="T281" s="245">
        <f t="shared" si="82"/>
        <v>0</v>
      </c>
      <c r="U281" s="245">
        <f t="shared" si="83"/>
        <v>0</v>
      </c>
      <c r="V281" s="247"/>
    </row>
    <row r="282" spans="1:22" ht="15.75" x14ac:dyDescent="0.25">
      <c r="A282" s="236"/>
      <c r="B282" s="237"/>
      <c r="C282" s="238"/>
      <c r="D282" s="239"/>
      <c r="E282" s="240"/>
      <c r="F282" s="240"/>
      <c r="G282" s="240"/>
      <c r="H282" s="241">
        <f t="shared" si="78"/>
        <v>0</v>
      </c>
      <c r="I282" s="242"/>
      <c r="J282" s="243"/>
      <c r="K282" s="243"/>
      <c r="L282" s="244">
        <v>0.1</v>
      </c>
      <c r="M282" s="244">
        <f t="shared" si="79"/>
        <v>0</v>
      </c>
      <c r="N282" s="244"/>
      <c r="O282" s="244"/>
      <c r="P282" s="244"/>
      <c r="Q282" s="245">
        <f t="shared" si="80"/>
        <v>0</v>
      </c>
      <c r="R282" s="245">
        <f t="shared" si="81"/>
        <v>0</v>
      </c>
      <c r="S282" s="246">
        <v>0.5</v>
      </c>
      <c r="T282" s="245">
        <f t="shared" si="82"/>
        <v>0</v>
      </c>
      <c r="U282" s="245">
        <f t="shared" si="83"/>
        <v>0</v>
      </c>
      <c r="V282" s="247"/>
    </row>
    <row r="283" spans="1:22" ht="15.75" x14ac:dyDescent="0.25">
      <c r="A283" s="236"/>
      <c r="B283" s="237"/>
      <c r="C283" s="238"/>
      <c r="D283" s="239"/>
      <c r="E283" s="240"/>
      <c r="F283" s="240"/>
      <c r="G283" s="240"/>
      <c r="H283" s="241">
        <f t="shared" si="78"/>
        <v>0</v>
      </c>
      <c r="I283" s="242"/>
      <c r="J283" s="243"/>
      <c r="K283" s="243"/>
      <c r="L283" s="244">
        <v>0.1</v>
      </c>
      <c r="M283" s="244">
        <f t="shared" si="79"/>
        <v>0</v>
      </c>
      <c r="N283" s="244"/>
      <c r="O283" s="244"/>
      <c r="P283" s="244"/>
      <c r="Q283" s="245">
        <f t="shared" si="80"/>
        <v>0</v>
      </c>
      <c r="R283" s="245">
        <f t="shared" si="81"/>
        <v>0</v>
      </c>
      <c r="S283" s="246">
        <v>0.5</v>
      </c>
      <c r="T283" s="245">
        <f t="shared" si="82"/>
        <v>0</v>
      </c>
      <c r="U283" s="245">
        <f t="shared" si="83"/>
        <v>0</v>
      </c>
      <c r="V283" s="247"/>
    </row>
    <row r="284" spans="1:22" ht="15.75" x14ac:dyDescent="0.25">
      <c r="A284" s="236"/>
      <c r="B284" s="237"/>
      <c r="C284" s="238"/>
      <c r="D284" s="239"/>
      <c r="E284" s="240"/>
      <c r="F284" s="240"/>
      <c r="G284" s="240"/>
      <c r="H284" s="241">
        <f t="shared" si="78"/>
        <v>0</v>
      </c>
      <c r="I284" s="242"/>
      <c r="J284" s="243"/>
      <c r="K284" s="243"/>
      <c r="L284" s="244">
        <v>0.1</v>
      </c>
      <c r="M284" s="244">
        <f t="shared" si="79"/>
        <v>0</v>
      </c>
      <c r="N284" s="244"/>
      <c r="O284" s="244"/>
      <c r="P284" s="244"/>
      <c r="Q284" s="245">
        <f t="shared" si="80"/>
        <v>0</v>
      </c>
      <c r="R284" s="245">
        <f t="shared" si="81"/>
        <v>0</v>
      </c>
      <c r="S284" s="246">
        <v>0.5</v>
      </c>
      <c r="T284" s="245">
        <f t="shared" si="82"/>
        <v>0</v>
      </c>
      <c r="U284" s="245">
        <f t="shared" si="83"/>
        <v>0</v>
      </c>
      <c r="V284" s="247"/>
    </row>
    <row r="285" spans="1:22" ht="15.75" x14ac:dyDescent="0.25">
      <c r="A285" s="236"/>
      <c r="B285" s="237"/>
      <c r="C285" s="238"/>
      <c r="D285" s="239"/>
      <c r="E285" s="240"/>
      <c r="F285" s="240"/>
      <c r="G285" s="240"/>
      <c r="H285" s="241">
        <f t="shared" si="78"/>
        <v>0</v>
      </c>
      <c r="I285" s="242"/>
      <c r="J285" s="243"/>
      <c r="K285" s="243"/>
      <c r="L285" s="244">
        <v>0.1</v>
      </c>
      <c r="M285" s="244">
        <f t="shared" si="79"/>
        <v>0</v>
      </c>
      <c r="N285" s="244"/>
      <c r="O285" s="244"/>
      <c r="P285" s="244"/>
      <c r="Q285" s="245">
        <f t="shared" si="80"/>
        <v>0</v>
      </c>
      <c r="R285" s="245">
        <f t="shared" si="81"/>
        <v>0</v>
      </c>
      <c r="S285" s="246">
        <v>0.5</v>
      </c>
      <c r="T285" s="245">
        <f t="shared" si="82"/>
        <v>0</v>
      </c>
      <c r="U285" s="245">
        <f t="shared" si="83"/>
        <v>0</v>
      </c>
      <c r="V285" s="247"/>
    </row>
    <row r="286" spans="1:22" ht="15.75" x14ac:dyDescent="0.25">
      <c r="A286" s="236"/>
      <c r="B286" s="237"/>
      <c r="C286" s="238"/>
      <c r="D286" s="239"/>
      <c r="E286" s="240"/>
      <c r="F286" s="240"/>
      <c r="G286" s="240"/>
      <c r="H286" s="241">
        <f t="shared" si="78"/>
        <v>0</v>
      </c>
      <c r="I286" s="242"/>
      <c r="J286" s="243"/>
      <c r="K286" s="243"/>
      <c r="L286" s="244">
        <v>0.1</v>
      </c>
      <c r="M286" s="244">
        <f t="shared" si="79"/>
        <v>0</v>
      </c>
      <c r="N286" s="244"/>
      <c r="O286" s="244"/>
      <c r="P286" s="244"/>
      <c r="Q286" s="245">
        <f t="shared" si="80"/>
        <v>0</v>
      </c>
      <c r="R286" s="245">
        <f t="shared" si="81"/>
        <v>0</v>
      </c>
      <c r="S286" s="246">
        <v>0.5</v>
      </c>
      <c r="T286" s="245">
        <f t="shared" si="82"/>
        <v>0</v>
      </c>
      <c r="U286" s="245">
        <f t="shared" si="83"/>
        <v>0</v>
      </c>
      <c r="V286" s="247"/>
    </row>
    <row r="287" spans="1:22" ht="15.75" x14ac:dyDescent="0.25">
      <c r="A287" s="236"/>
      <c r="B287" s="237"/>
      <c r="C287" s="238"/>
      <c r="D287" s="239"/>
      <c r="E287" s="240"/>
      <c r="F287" s="240"/>
      <c r="G287" s="240"/>
      <c r="H287" s="241">
        <f t="shared" si="78"/>
        <v>0</v>
      </c>
      <c r="I287" s="242"/>
      <c r="J287" s="243"/>
      <c r="K287" s="243"/>
      <c r="L287" s="244">
        <v>0.1</v>
      </c>
      <c r="M287" s="244">
        <f t="shared" si="79"/>
        <v>0</v>
      </c>
      <c r="N287" s="244"/>
      <c r="O287" s="244"/>
      <c r="P287" s="244"/>
      <c r="Q287" s="245">
        <f t="shared" si="80"/>
        <v>0</v>
      </c>
      <c r="R287" s="245">
        <f t="shared" si="81"/>
        <v>0</v>
      </c>
      <c r="S287" s="246">
        <v>0.5</v>
      </c>
      <c r="T287" s="245">
        <f t="shared" si="82"/>
        <v>0</v>
      </c>
      <c r="U287" s="245">
        <f t="shared" si="83"/>
        <v>0</v>
      </c>
      <c r="V287" s="247"/>
    </row>
    <row r="288" spans="1:22" ht="15.75" x14ac:dyDescent="0.25">
      <c r="A288" s="236"/>
      <c r="B288" s="237"/>
      <c r="C288" s="238"/>
      <c r="D288" s="239"/>
      <c r="E288" s="240"/>
      <c r="F288" s="240"/>
      <c r="G288" s="240"/>
      <c r="H288" s="241">
        <f t="shared" si="78"/>
        <v>0</v>
      </c>
      <c r="I288" s="242"/>
      <c r="J288" s="243"/>
      <c r="K288" s="243"/>
      <c r="L288" s="244">
        <v>0.1</v>
      </c>
      <c r="M288" s="244">
        <f t="shared" si="79"/>
        <v>0</v>
      </c>
      <c r="N288" s="244"/>
      <c r="O288" s="244"/>
      <c r="P288" s="244"/>
      <c r="Q288" s="245">
        <f t="shared" si="80"/>
        <v>0</v>
      </c>
      <c r="R288" s="245">
        <f t="shared" si="81"/>
        <v>0</v>
      </c>
      <c r="S288" s="246">
        <v>0.5</v>
      </c>
      <c r="T288" s="245">
        <f t="shared" si="82"/>
        <v>0</v>
      </c>
      <c r="U288" s="245">
        <f t="shared" si="83"/>
        <v>0</v>
      </c>
      <c r="V288" s="247"/>
    </row>
    <row r="289" spans="1:22" ht="15.75" x14ac:dyDescent="0.25">
      <c r="A289" s="236"/>
      <c r="B289" s="237"/>
      <c r="C289" s="238"/>
      <c r="D289" s="239"/>
      <c r="E289" s="240"/>
      <c r="F289" s="240"/>
      <c r="G289" s="240"/>
      <c r="H289" s="241">
        <f t="shared" si="78"/>
        <v>0</v>
      </c>
      <c r="I289" s="242"/>
      <c r="J289" s="243"/>
      <c r="K289" s="243"/>
      <c r="L289" s="244">
        <v>0.1</v>
      </c>
      <c r="M289" s="244">
        <f t="shared" si="79"/>
        <v>0</v>
      </c>
      <c r="N289" s="244"/>
      <c r="O289" s="244"/>
      <c r="P289" s="244"/>
      <c r="Q289" s="245">
        <f t="shared" si="80"/>
        <v>0</v>
      </c>
      <c r="R289" s="245">
        <f t="shared" si="81"/>
        <v>0</v>
      </c>
      <c r="S289" s="246">
        <v>0.5</v>
      </c>
      <c r="T289" s="245">
        <f t="shared" si="82"/>
        <v>0</v>
      </c>
      <c r="U289" s="245">
        <f t="shared" si="83"/>
        <v>0</v>
      </c>
      <c r="V289" s="247"/>
    </row>
    <row r="290" spans="1:22" ht="15.75" x14ac:dyDescent="0.25">
      <c r="A290" s="236"/>
      <c r="B290" s="237"/>
      <c r="C290" s="238"/>
      <c r="D290" s="239"/>
      <c r="E290" s="240"/>
      <c r="F290" s="240"/>
      <c r="G290" s="240"/>
      <c r="H290" s="241">
        <f t="shared" ref="H290:H353" si="84">+E290+F290+G290</f>
        <v>0</v>
      </c>
      <c r="I290" s="242"/>
      <c r="J290" s="243"/>
      <c r="K290" s="243"/>
      <c r="L290" s="244">
        <v>0.1</v>
      </c>
      <c r="M290" s="244">
        <f t="shared" ref="M290:M353" si="85">+L290*C290</f>
        <v>0</v>
      </c>
      <c r="N290" s="244"/>
      <c r="O290" s="244"/>
      <c r="P290" s="244"/>
      <c r="Q290" s="245">
        <f t="shared" ref="Q290:Q353" si="86">+N290+O290+P290</f>
        <v>0</v>
      </c>
      <c r="R290" s="245">
        <f t="shared" ref="R290:R353" si="87">IF(+Q290-H290&lt;=0,0,Q290-H290)</f>
        <v>0</v>
      </c>
      <c r="S290" s="246">
        <v>0.5</v>
      </c>
      <c r="T290" s="245">
        <f t="shared" ref="T290:T353" si="88">+(R290*C290)*S290</f>
        <v>0</v>
      </c>
      <c r="U290" s="245">
        <f t="shared" ref="U290:U353" si="89">+J290+M290+T290</f>
        <v>0</v>
      </c>
      <c r="V290" s="247"/>
    </row>
    <row r="291" spans="1:22" ht="15.75" x14ac:dyDescent="0.25">
      <c r="A291" s="236"/>
      <c r="B291" s="237"/>
      <c r="C291" s="238"/>
      <c r="D291" s="239"/>
      <c r="E291" s="240"/>
      <c r="F291" s="240"/>
      <c r="G291" s="240"/>
      <c r="H291" s="241">
        <f t="shared" si="84"/>
        <v>0</v>
      </c>
      <c r="I291" s="242"/>
      <c r="J291" s="243"/>
      <c r="K291" s="243"/>
      <c r="L291" s="244">
        <v>0.1</v>
      </c>
      <c r="M291" s="244">
        <f t="shared" si="85"/>
        <v>0</v>
      </c>
      <c r="N291" s="244"/>
      <c r="O291" s="244"/>
      <c r="P291" s="244"/>
      <c r="Q291" s="245">
        <f t="shared" si="86"/>
        <v>0</v>
      </c>
      <c r="R291" s="245">
        <f t="shared" si="87"/>
        <v>0</v>
      </c>
      <c r="S291" s="246">
        <v>0.5</v>
      </c>
      <c r="T291" s="245">
        <f t="shared" si="88"/>
        <v>0</v>
      </c>
      <c r="U291" s="245">
        <f t="shared" si="89"/>
        <v>0</v>
      </c>
      <c r="V291" s="247"/>
    </row>
    <row r="292" spans="1:22" ht="15.75" x14ac:dyDescent="0.25">
      <c r="A292" s="236"/>
      <c r="B292" s="237"/>
      <c r="C292" s="238"/>
      <c r="D292" s="239"/>
      <c r="E292" s="240"/>
      <c r="F292" s="240"/>
      <c r="G292" s="240"/>
      <c r="H292" s="241">
        <f t="shared" si="84"/>
        <v>0</v>
      </c>
      <c r="I292" s="242"/>
      <c r="J292" s="243"/>
      <c r="K292" s="243"/>
      <c r="L292" s="244">
        <v>0.1</v>
      </c>
      <c r="M292" s="244">
        <f t="shared" si="85"/>
        <v>0</v>
      </c>
      <c r="N292" s="244"/>
      <c r="O292" s="244"/>
      <c r="P292" s="244"/>
      <c r="Q292" s="245">
        <f t="shared" si="86"/>
        <v>0</v>
      </c>
      <c r="R292" s="245">
        <f t="shared" si="87"/>
        <v>0</v>
      </c>
      <c r="S292" s="246">
        <v>0.5</v>
      </c>
      <c r="T292" s="245">
        <f t="shared" si="88"/>
        <v>0</v>
      </c>
      <c r="U292" s="245">
        <f t="shared" si="89"/>
        <v>0</v>
      </c>
      <c r="V292" s="247"/>
    </row>
    <row r="293" spans="1:22" ht="15.75" x14ac:dyDescent="0.25">
      <c r="A293" s="236"/>
      <c r="B293" s="237"/>
      <c r="C293" s="238"/>
      <c r="D293" s="239"/>
      <c r="E293" s="240"/>
      <c r="F293" s="240"/>
      <c r="G293" s="240"/>
      <c r="H293" s="241">
        <f t="shared" si="84"/>
        <v>0</v>
      </c>
      <c r="I293" s="242"/>
      <c r="J293" s="243"/>
      <c r="K293" s="243"/>
      <c r="L293" s="244">
        <v>0.1</v>
      </c>
      <c r="M293" s="244">
        <f t="shared" si="85"/>
        <v>0</v>
      </c>
      <c r="N293" s="244"/>
      <c r="O293" s="244"/>
      <c r="P293" s="244"/>
      <c r="Q293" s="245">
        <f t="shared" si="86"/>
        <v>0</v>
      </c>
      <c r="R293" s="245">
        <f t="shared" si="87"/>
        <v>0</v>
      </c>
      <c r="S293" s="246">
        <v>0.5</v>
      </c>
      <c r="T293" s="245">
        <f t="shared" si="88"/>
        <v>0</v>
      </c>
      <c r="U293" s="245">
        <f t="shared" si="89"/>
        <v>0</v>
      </c>
      <c r="V293" s="247"/>
    </row>
    <row r="294" spans="1:22" ht="15.75" x14ac:dyDescent="0.25">
      <c r="A294" s="236"/>
      <c r="B294" s="237"/>
      <c r="C294" s="238"/>
      <c r="D294" s="239"/>
      <c r="E294" s="240"/>
      <c r="F294" s="240"/>
      <c r="G294" s="240"/>
      <c r="H294" s="241">
        <f t="shared" si="84"/>
        <v>0</v>
      </c>
      <c r="I294" s="242"/>
      <c r="J294" s="243"/>
      <c r="K294" s="243"/>
      <c r="L294" s="244">
        <v>0.1</v>
      </c>
      <c r="M294" s="244">
        <f t="shared" si="85"/>
        <v>0</v>
      </c>
      <c r="N294" s="244"/>
      <c r="O294" s="244"/>
      <c r="P294" s="244"/>
      <c r="Q294" s="245">
        <f t="shared" si="86"/>
        <v>0</v>
      </c>
      <c r="R294" s="245">
        <f t="shared" si="87"/>
        <v>0</v>
      </c>
      <c r="S294" s="246">
        <v>0.5</v>
      </c>
      <c r="T294" s="245">
        <f t="shared" si="88"/>
        <v>0</v>
      </c>
      <c r="U294" s="245">
        <f t="shared" si="89"/>
        <v>0</v>
      </c>
      <c r="V294" s="247"/>
    </row>
    <row r="295" spans="1:22" ht="15.75" x14ac:dyDescent="0.25">
      <c r="A295" s="236"/>
      <c r="B295" s="237"/>
      <c r="C295" s="238"/>
      <c r="D295" s="239"/>
      <c r="E295" s="240"/>
      <c r="F295" s="240"/>
      <c r="G295" s="240"/>
      <c r="H295" s="241">
        <f t="shared" si="84"/>
        <v>0</v>
      </c>
      <c r="I295" s="242"/>
      <c r="J295" s="243"/>
      <c r="K295" s="243"/>
      <c r="L295" s="244">
        <v>0.1</v>
      </c>
      <c r="M295" s="244">
        <f t="shared" si="85"/>
        <v>0</v>
      </c>
      <c r="N295" s="244"/>
      <c r="O295" s="244"/>
      <c r="P295" s="244"/>
      <c r="Q295" s="245">
        <f t="shared" si="86"/>
        <v>0</v>
      </c>
      <c r="R295" s="245">
        <f t="shared" si="87"/>
        <v>0</v>
      </c>
      <c r="S295" s="246">
        <v>0.5</v>
      </c>
      <c r="T295" s="245">
        <f t="shared" si="88"/>
        <v>0</v>
      </c>
      <c r="U295" s="245">
        <f t="shared" si="89"/>
        <v>0</v>
      </c>
      <c r="V295" s="247"/>
    </row>
    <row r="296" spans="1:22" ht="15.75" x14ac:dyDescent="0.25">
      <c r="A296" s="236"/>
      <c r="B296" s="237"/>
      <c r="C296" s="238"/>
      <c r="D296" s="239"/>
      <c r="E296" s="240"/>
      <c r="F296" s="240"/>
      <c r="G296" s="240"/>
      <c r="H296" s="241">
        <f t="shared" si="84"/>
        <v>0</v>
      </c>
      <c r="I296" s="242"/>
      <c r="J296" s="243"/>
      <c r="K296" s="243"/>
      <c r="L296" s="244">
        <v>0.1</v>
      </c>
      <c r="M296" s="244">
        <f t="shared" si="85"/>
        <v>0</v>
      </c>
      <c r="N296" s="244"/>
      <c r="O296" s="244"/>
      <c r="P296" s="244"/>
      <c r="Q296" s="245">
        <f t="shared" si="86"/>
        <v>0</v>
      </c>
      <c r="R296" s="245">
        <f t="shared" si="87"/>
        <v>0</v>
      </c>
      <c r="S296" s="246">
        <v>0.5</v>
      </c>
      <c r="T296" s="245">
        <f t="shared" si="88"/>
        <v>0</v>
      </c>
      <c r="U296" s="245">
        <f t="shared" si="89"/>
        <v>0</v>
      </c>
      <c r="V296" s="247"/>
    </row>
    <row r="297" spans="1:22" ht="15.75" x14ac:dyDescent="0.25">
      <c r="A297" s="236"/>
      <c r="B297" s="237"/>
      <c r="C297" s="238"/>
      <c r="D297" s="239"/>
      <c r="E297" s="240"/>
      <c r="F297" s="240"/>
      <c r="G297" s="240"/>
      <c r="H297" s="241">
        <f t="shared" si="84"/>
        <v>0</v>
      </c>
      <c r="I297" s="242"/>
      <c r="J297" s="243"/>
      <c r="K297" s="243"/>
      <c r="L297" s="244">
        <v>0.1</v>
      </c>
      <c r="M297" s="244">
        <f t="shared" si="85"/>
        <v>0</v>
      </c>
      <c r="N297" s="244"/>
      <c r="O297" s="244"/>
      <c r="P297" s="244"/>
      <c r="Q297" s="245">
        <f t="shared" si="86"/>
        <v>0</v>
      </c>
      <c r="R297" s="245">
        <f t="shared" si="87"/>
        <v>0</v>
      </c>
      <c r="S297" s="246">
        <v>0.5</v>
      </c>
      <c r="T297" s="245">
        <f t="shared" si="88"/>
        <v>0</v>
      </c>
      <c r="U297" s="245">
        <f t="shared" si="89"/>
        <v>0</v>
      </c>
      <c r="V297" s="247"/>
    </row>
    <row r="298" spans="1:22" ht="15.75" x14ac:dyDescent="0.25">
      <c r="A298" s="236"/>
      <c r="B298" s="237"/>
      <c r="C298" s="238"/>
      <c r="D298" s="239"/>
      <c r="E298" s="240"/>
      <c r="F298" s="240"/>
      <c r="G298" s="240"/>
      <c r="H298" s="241">
        <f t="shared" si="84"/>
        <v>0</v>
      </c>
      <c r="I298" s="242"/>
      <c r="J298" s="243"/>
      <c r="K298" s="243"/>
      <c r="L298" s="244">
        <v>0.1</v>
      </c>
      <c r="M298" s="244">
        <f t="shared" si="85"/>
        <v>0</v>
      </c>
      <c r="N298" s="244"/>
      <c r="O298" s="244"/>
      <c r="P298" s="244"/>
      <c r="Q298" s="245">
        <f t="shared" si="86"/>
        <v>0</v>
      </c>
      <c r="R298" s="245">
        <f t="shared" si="87"/>
        <v>0</v>
      </c>
      <c r="S298" s="246">
        <v>0.5</v>
      </c>
      <c r="T298" s="245">
        <f t="shared" si="88"/>
        <v>0</v>
      </c>
      <c r="U298" s="245">
        <f t="shared" si="89"/>
        <v>0</v>
      </c>
      <c r="V298" s="247"/>
    </row>
    <row r="299" spans="1:22" ht="15.75" x14ac:dyDescent="0.25">
      <c r="A299" s="236"/>
      <c r="B299" s="237"/>
      <c r="C299" s="238"/>
      <c r="D299" s="239"/>
      <c r="E299" s="240"/>
      <c r="F299" s="240"/>
      <c r="G299" s="240"/>
      <c r="H299" s="241">
        <f t="shared" si="84"/>
        <v>0</v>
      </c>
      <c r="I299" s="242"/>
      <c r="J299" s="243"/>
      <c r="K299" s="243"/>
      <c r="L299" s="244">
        <v>0.1</v>
      </c>
      <c r="M299" s="244">
        <f t="shared" si="85"/>
        <v>0</v>
      </c>
      <c r="N299" s="244"/>
      <c r="O299" s="244"/>
      <c r="P299" s="244"/>
      <c r="Q299" s="245">
        <f t="shared" si="86"/>
        <v>0</v>
      </c>
      <c r="R299" s="245">
        <f t="shared" si="87"/>
        <v>0</v>
      </c>
      <c r="S299" s="246">
        <v>0.5</v>
      </c>
      <c r="T299" s="245">
        <f t="shared" si="88"/>
        <v>0</v>
      </c>
      <c r="U299" s="245">
        <f t="shared" si="89"/>
        <v>0</v>
      </c>
      <c r="V299" s="247"/>
    </row>
    <row r="300" spans="1:22" ht="15.75" x14ac:dyDescent="0.25">
      <c r="A300" s="236"/>
      <c r="B300" s="237"/>
      <c r="C300" s="238"/>
      <c r="D300" s="239"/>
      <c r="E300" s="240"/>
      <c r="F300" s="240"/>
      <c r="G300" s="240"/>
      <c r="H300" s="241">
        <f t="shared" si="84"/>
        <v>0</v>
      </c>
      <c r="I300" s="242"/>
      <c r="J300" s="243"/>
      <c r="K300" s="243"/>
      <c r="L300" s="244">
        <v>0.1</v>
      </c>
      <c r="M300" s="244">
        <f t="shared" si="85"/>
        <v>0</v>
      </c>
      <c r="N300" s="244"/>
      <c r="O300" s="244"/>
      <c r="P300" s="244"/>
      <c r="Q300" s="245">
        <f t="shared" si="86"/>
        <v>0</v>
      </c>
      <c r="R300" s="245">
        <f t="shared" si="87"/>
        <v>0</v>
      </c>
      <c r="S300" s="246">
        <v>0.5</v>
      </c>
      <c r="T300" s="245">
        <f t="shared" si="88"/>
        <v>0</v>
      </c>
      <c r="U300" s="245">
        <f t="shared" si="89"/>
        <v>0</v>
      </c>
      <c r="V300" s="247"/>
    </row>
    <row r="301" spans="1:22" ht="15.75" x14ac:dyDescent="0.25">
      <c r="A301" s="236"/>
      <c r="B301" s="237"/>
      <c r="C301" s="238"/>
      <c r="D301" s="239"/>
      <c r="E301" s="240"/>
      <c r="F301" s="240"/>
      <c r="G301" s="240"/>
      <c r="H301" s="241">
        <f t="shared" si="84"/>
        <v>0</v>
      </c>
      <c r="I301" s="242"/>
      <c r="J301" s="243"/>
      <c r="K301" s="243"/>
      <c r="L301" s="244">
        <v>0.1</v>
      </c>
      <c r="M301" s="244">
        <f t="shared" si="85"/>
        <v>0</v>
      </c>
      <c r="N301" s="244"/>
      <c r="O301" s="244"/>
      <c r="P301" s="244"/>
      <c r="Q301" s="245">
        <f t="shared" si="86"/>
        <v>0</v>
      </c>
      <c r="R301" s="245">
        <f t="shared" si="87"/>
        <v>0</v>
      </c>
      <c r="S301" s="246">
        <v>0.5</v>
      </c>
      <c r="T301" s="245">
        <f t="shared" si="88"/>
        <v>0</v>
      </c>
      <c r="U301" s="245">
        <f t="shared" si="89"/>
        <v>0</v>
      </c>
      <c r="V301" s="247"/>
    </row>
    <row r="302" spans="1:22" ht="15.75" x14ac:dyDescent="0.25">
      <c r="A302" s="236"/>
      <c r="B302" s="237"/>
      <c r="C302" s="238"/>
      <c r="D302" s="239"/>
      <c r="E302" s="240"/>
      <c r="F302" s="240"/>
      <c r="G302" s="240"/>
      <c r="H302" s="241">
        <f t="shared" si="84"/>
        <v>0</v>
      </c>
      <c r="I302" s="242"/>
      <c r="J302" s="243"/>
      <c r="K302" s="243"/>
      <c r="L302" s="244">
        <v>0.1</v>
      </c>
      <c r="M302" s="244">
        <f t="shared" si="85"/>
        <v>0</v>
      </c>
      <c r="N302" s="244"/>
      <c r="O302" s="244"/>
      <c r="P302" s="244"/>
      <c r="Q302" s="245">
        <f t="shared" si="86"/>
        <v>0</v>
      </c>
      <c r="R302" s="245">
        <f t="shared" si="87"/>
        <v>0</v>
      </c>
      <c r="S302" s="246">
        <v>0.5</v>
      </c>
      <c r="T302" s="245">
        <f t="shared" si="88"/>
        <v>0</v>
      </c>
      <c r="U302" s="245">
        <f t="shared" si="89"/>
        <v>0</v>
      </c>
      <c r="V302" s="247"/>
    </row>
    <row r="303" spans="1:22" ht="15.75" x14ac:dyDescent="0.25">
      <c r="A303" s="236"/>
      <c r="B303" s="237"/>
      <c r="C303" s="238"/>
      <c r="D303" s="239"/>
      <c r="E303" s="240"/>
      <c r="F303" s="240"/>
      <c r="G303" s="240"/>
      <c r="H303" s="241">
        <f t="shared" si="84"/>
        <v>0</v>
      </c>
      <c r="I303" s="242"/>
      <c r="J303" s="243"/>
      <c r="K303" s="243"/>
      <c r="L303" s="244">
        <v>0.1</v>
      </c>
      <c r="M303" s="244">
        <f t="shared" si="85"/>
        <v>0</v>
      </c>
      <c r="N303" s="244"/>
      <c r="O303" s="244"/>
      <c r="P303" s="244"/>
      <c r="Q303" s="245">
        <f t="shared" si="86"/>
        <v>0</v>
      </c>
      <c r="R303" s="245">
        <f t="shared" si="87"/>
        <v>0</v>
      </c>
      <c r="S303" s="246">
        <v>0.5</v>
      </c>
      <c r="T303" s="245">
        <f t="shared" si="88"/>
        <v>0</v>
      </c>
      <c r="U303" s="245">
        <f t="shared" si="89"/>
        <v>0</v>
      </c>
      <c r="V303" s="247"/>
    </row>
    <row r="304" spans="1:22" ht="15.75" x14ac:dyDescent="0.25">
      <c r="A304" s="236"/>
      <c r="B304" s="237"/>
      <c r="C304" s="238"/>
      <c r="D304" s="239"/>
      <c r="E304" s="240"/>
      <c r="F304" s="240"/>
      <c r="G304" s="240"/>
      <c r="H304" s="241">
        <f t="shared" si="84"/>
        <v>0</v>
      </c>
      <c r="I304" s="242"/>
      <c r="J304" s="243"/>
      <c r="K304" s="243"/>
      <c r="L304" s="244">
        <v>0.1</v>
      </c>
      <c r="M304" s="244">
        <f t="shared" si="85"/>
        <v>0</v>
      </c>
      <c r="N304" s="244"/>
      <c r="O304" s="244"/>
      <c r="P304" s="244"/>
      <c r="Q304" s="245">
        <f t="shared" si="86"/>
        <v>0</v>
      </c>
      <c r="R304" s="245">
        <f t="shared" si="87"/>
        <v>0</v>
      </c>
      <c r="S304" s="246">
        <v>0.5</v>
      </c>
      <c r="T304" s="245">
        <f t="shared" si="88"/>
        <v>0</v>
      </c>
      <c r="U304" s="245">
        <f t="shared" si="89"/>
        <v>0</v>
      </c>
      <c r="V304" s="247"/>
    </row>
    <row r="305" spans="1:22" ht="15.75" x14ac:dyDescent="0.25">
      <c r="A305" s="236"/>
      <c r="B305" s="237"/>
      <c r="C305" s="238"/>
      <c r="D305" s="239"/>
      <c r="E305" s="240"/>
      <c r="F305" s="240"/>
      <c r="G305" s="240"/>
      <c r="H305" s="241">
        <f t="shared" si="84"/>
        <v>0</v>
      </c>
      <c r="I305" s="242"/>
      <c r="J305" s="243"/>
      <c r="K305" s="243"/>
      <c r="L305" s="244">
        <v>0.1</v>
      </c>
      <c r="M305" s="244">
        <f t="shared" si="85"/>
        <v>0</v>
      </c>
      <c r="N305" s="244"/>
      <c r="O305" s="244"/>
      <c r="P305" s="244"/>
      <c r="Q305" s="245">
        <f t="shared" si="86"/>
        <v>0</v>
      </c>
      <c r="R305" s="245">
        <f t="shared" si="87"/>
        <v>0</v>
      </c>
      <c r="S305" s="246">
        <v>0.5</v>
      </c>
      <c r="T305" s="245">
        <f t="shared" si="88"/>
        <v>0</v>
      </c>
      <c r="U305" s="245">
        <f t="shared" si="89"/>
        <v>0</v>
      </c>
      <c r="V305" s="247"/>
    </row>
    <row r="306" spans="1:22" ht="15.75" x14ac:dyDescent="0.25">
      <c r="A306" s="236"/>
      <c r="B306" s="237"/>
      <c r="C306" s="238"/>
      <c r="D306" s="239"/>
      <c r="E306" s="240"/>
      <c r="F306" s="240"/>
      <c r="G306" s="240"/>
      <c r="H306" s="241">
        <f t="shared" si="84"/>
        <v>0</v>
      </c>
      <c r="I306" s="242"/>
      <c r="J306" s="243"/>
      <c r="K306" s="243"/>
      <c r="L306" s="244">
        <v>0.1</v>
      </c>
      <c r="M306" s="244">
        <f t="shared" si="85"/>
        <v>0</v>
      </c>
      <c r="N306" s="244"/>
      <c r="O306" s="244"/>
      <c r="P306" s="244"/>
      <c r="Q306" s="245">
        <f t="shared" si="86"/>
        <v>0</v>
      </c>
      <c r="R306" s="245">
        <f t="shared" si="87"/>
        <v>0</v>
      </c>
      <c r="S306" s="246">
        <v>0.5</v>
      </c>
      <c r="T306" s="245">
        <f t="shared" si="88"/>
        <v>0</v>
      </c>
      <c r="U306" s="245">
        <f t="shared" si="89"/>
        <v>0</v>
      </c>
      <c r="V306" s="247"/>
    </row>
    <row r="307" spans="1:22" ht="15.75" x14ac:dyDescent="0.25">
      <c r="A307" s="236"/>
      <c r="B307" s="237"/>
      <c r="C307" s="238"/>
      <c r="D307" s="239"/>
      <c r="E307" s="240"/>
      <c r="F307" s="240"/>
      <c r="G307" s="240"/>
      <c r="H307" s="241">
        <f t="shared" si="84"/>
        <v>0</v>
      </c>
      <c r="I307" s="242"/>
      <c r="J307" s="243"/>
      <c r="K307" s="243"/>
      <c r="L307" s="244">
        <v>0.1</v>
      </c>
      <c r="M307" s="244">
        <f t="shared" si="85"/>
        <v>0</v>
      </c>
      <c r="N307" s="244"/>
      <c r="O307" s="244"/>
      <c r="P307" s="244"/>
      <c r="Q307" s="245">
        <f t="shared" si="86"/>
        <v>0</v>
      </c>
      <c r="R307" s="245">
        <f t="shared" si="87"/>
        <v>0</v>
      </c>
      <c r="S307" s="246">
        <v>0.5</v>
      </c>
      <c r="T307" s="245">
        <f t="shared" si="88"/>
        <v>0</v>
      </c>
      <c r="U307" s="245">
        <f t="shared" si="89"/>
        <v>0</v>
      </c>
      <c r="V307" s="247"/>
    </row>
    <row r="308" spans="1:22" ht="15.75" x14ac:dyDescent="0.25">
      <c r="A308" s="236"/>
      <c r="B308" s="237"/>
      <c r="C308" s="238"/>
      <c r="D308" s="239"/>
      <c r="E308" s="240"/>
      <c r="F308" s="240"/>
      <c r="G308" s="240"/>
      <c r="H308" s="241">
        <f t="shared" si="84"/>
        <v>0</v>
      </c>
      <c r="I308" s="242"/>
      <c r="J308" s="243"/>
      <c r="K308" s="243"/>
      <c r="L308" s="244">
        <v>0.1</v>
      </c>
      <c r="M308" s="244">
        <f t="shared" si="85"/>
        <v>0</v>
      </c>
      <c r="N308" s="244"/>
      <c r="O308" s="244"/>
      <c r="P308" s="244"/>
      <c r="Q308" s="245">
        <f t="shared" si="86"/>
        <v>0</v>
      </c>
      <c r="R308" s="245">
        <f t="shared" si="87"/>
        <v>0</v>
      </c>
      <c r="S308" s="246">
        <v>0.5</v>
      </c>
      <c r="T308" s="245">
        <f t="shared" si="88"/>
        <v>0</v>
      </c>
      <c r="U308" s="245">
        <f t="shared" si="89"/>
        <v>0</v>
      </c>
      <c r="V308" s="247"/>
    </row>
    <row r="309" spans="1:22" ht="15.75" x14ac:dyDescent="0.25">
      <c r="A309" s="236"/>
      <c r="B309" s="237"/>
      <c r="C309" s="238"/>
      <c r="D309" s="239"/>
      <c r="E309" s="240"/>
      <c r="F309" s="240"/>
      <c r="G309" s="240"/>
      <c r="H309" s="241">
        <f t="shared" si="84"/>
        <v>0</v>
      </c>
      <c r="I309" s="242"/>
      <c r="J309" s="243"/>
      <c r="K309" s="243"/>
      <c r="L309" s="244">
        <v>0.1</v>
      </c>
      <c r="M309" s="244">
        <f t="shared" si="85"/>
        <v>0</v>
      </c>
      <c r="N309" s="244"/>
      <c r="O309" s="244"/>
      <c r="P309" s="244"/>
      <c r="Q309" s="245">
        <f t="shared" si="86"/>
        <v>0</v>
      </c>
      <c r="R309" s="245">
        <f t="shared" si="87"/>
        <v>0</v>
      </c>
      <c r="S309" s="246">
        <v>0.5</v>
      </c>
      <c r="T309" s="245">
        <f t="shared" si="88"/>
        <v>0</v>
      </c>
      <c r="U309" s="245">
        <f t="shared" si="89"/>
        <v>0</v>
      </c>
      <c r="V309" s="247"/>
    </row>
    <row r="310" spans="1:22" ht="15.75" x14ac:dyDescent="0.25">
      <c r="A310" s="236"/>
      <c r="B310" s="237"/>
      <c r="C310" s="238"/>
      <c r="D310" s="239"/>
      <c r="E310" s="240"/>
      <c r="F310" s="240"/>
      <c r="G310" s="240"/>
      <c r="H310" s="241">
        <f t="shared" si="84"/>
        <v>0</v>
      </c>
      <c r="I310" s="242"/>
      <c r="J310" s="243"/>
      <c r="K310" s="243"/>
      <c r="L310" s="244">
        <v>0.1</v>
      </c>
      <c r="M310" s="244">
        <f t="shared" si="85"/>
        <v>0</v>
      </c>
      <c r="N310" s="244"/>
      <c r="O310" s="244"/>
      <c r="P310" s="244"/>
      <c r="Q310" s="245">
        <f t="shared" si="86"/>
        <v>0</v>
      </c>
      <c r="R310" s="245">
        <f t="shared" si="87"/>
        <v>0</v>
      </c>
      <c r="S310" s="246">
        <v>0.5</v>
      </c>
      <c r="T310" s="245">
        <f t="shared" si="88"/>
        <v>0</v>
      </c>
      <c r="U310" s="245">
        <f t="shared" si="89"/>
        <v>0</v>
      </c>
      <c r="V310" s="247"/>
    </row>
    <row r="311" spans="1:22" ht="15.75" x14ac:dyDescent="0.25">
      <c r="A311" s="236"/>
      <c r="B311" s="237"/>
      <c r="C311" s="238"/>
      <c r="D311" s="239"/>
      <c r="E311" s="240"/>
      <c r="F311" s="240"/>
      <c r="G311" s="240"/>
      <c r="H311" s="241">
        <f t="shared" si="84"/>
        <v>0</v>
      </c>
      <c r="I311" s="242"/>
      <c r="J311" s="243"/>
      <c r="K311" s="243"/>
      <c r="L311" s="244">
        <v>0.1</v>
      </c>
      <c r="M311" s="244">
        <f t="shared" si="85"/>
        <v>0</v>
      </c>
      <c r="N311" s="244"/>
      <c r="O311" s="244"/>
      <c r="P311" s="244"/>
      <c r="Q311" s="245">
        <f t="shared" si="86"/>
        <v>0</v>
      </c>
      <c r="R311" s="245">
        <f t="shared" si="87"/>
        <v>0</v>
      </c>
      <c r="S311" s="246">
        <v>0.5</v>
      </c>
      <c r="T311" s="245">
        <f t="shared" si="88"/>
        <v>0</v>
      </c>
      <c r="U311" s="245">
        <f t="shared" si="89"/>
        <v>0</v>
      </c>
      <c r="V311" s="247"/>
    </row>
    <row r="312" spans="1:22" ht="15.75" x14ac:dyDescent="0.25">
      <c r="A312" s="236"/>
      <c r="B312" s="237"/>
      <c r="C312" s="238"/>
      <c r="D312" s="239"/>
      <c r="E312" s="240"/>
      <c r="F312" s="240"/>
      <c r="G312" s="240"/>
      <c r="H312" s="241">
        <f t="shared" si="84"/>
        <v>0</v>
      </c>
      <c r="I312" s="242"/>
      <c r="J312" s="243"/>
      <c r="K312" s="243"/>
      <c r="L312" s="244">
        <v>0.1</v>
      </c>
      <c r="M312" s="244">
        <f t="shared" si="85"/>
        <v>0</v>
      </c>
      <c r="N312" s="244"/>
      <c r="O312" s="244"/>
      <c r="P312" s="244"/>
      <c r="Q312" s="245">
        <f t="shared" si="86"/>
        <v>0</v>
      </c>
      <c r="R312" s="245">
        <f t="shared" si="87"/>
        <v>0</v>
      </c>
      <c r="S312" s="246">
        <v>0.5</v>
      </c>
      <c r="T312" s="245">
        <f t="shared" si="88"/>
        <v>0</v>
      </c>
      <c r="U312" s="245">
        <f t="shared" si="89"/>
        <v>0</v>
      </c>
      <c r="V312" s="247"/>
    </row>
    <row r="313" spans="1:22" ht="15.75" x14ac:dyDescent="0.25">
      <c r="A313" s="236"/>
      <c r="B313" s="237"/>
      <c r="C313" s="238"/>
      <c r="D313" s="239"/>
      <c r="E313" s="240"/>
      <c r="F313" s="240"/>
      <c r="G313" s="240"/>
      <c r="H313" s="241">
        <f t="shared" si="84"/>
        <v>0</v>
      </c>
      <c r="I313" s="242"/>
      <c r="J313" s="243"/>
      <c r="K313" s="243"/>
      <c r="L313" s="244">
        <v>0.1</v>
      </c>
      <c r="M313" s="244">
        <f t="shared" si="85"/>
        <v>0</v>
      </c>
      <c r="N313" s="244"/>
      <c r="O313" s="244"/>
      <c r="P313" s="244"/>
      <c r="Q313" s="245">
        <f t="shared" si="86"/>
        <v>0</v>
      </c>
      <c r="R313" s="245">
        <f t="shared" si="87"/>
        <v>0</v>
      </c>
      <c r="S313" s="246">
        <v>0.5</v>
      </c>
      <c r="T313" s="245">
        <f t="shared" si="88"/>
        <v>0</v>
      </c>
      <c r="U313" s="245">
        <f t="shared" si="89"/>
        <v>0</v>
      </c>
      <c r="V313" s="247"/>
    </row>
    <row r="314" spans="1:22" ht="15.75" x14ac:dyDescent="0.25">
      <c r="A314" s="236"/>
      <c r="B314" s="237"/>
      <c r="C314" s="238"/>
      <c r="D314" s="239"/>
      <c r="E314" s="240"/>
      <c r="F314" s="240"/>
      <c r="G314" s="240"/>
      <c r="H314" s="241">
        <f t="shared" si="84"/>
        <v>0</v>
      </c>
      <c r="I314" s="242"/>
      <c r="J314" s="243"/>
      <c r="K314" s="243"/>
      <c r="L314" s="244">
        <v>0.1</v>
      </c>
      <c r="M314" s="244">
        <f t="shared" si="85"/>
        <v>0</v>
      </c>
      <c r="N314" s="244"/>
      <c r="O314" s="244"/>
      <c r="P314" s="244"/>
      <c r="Q314" s="245">
        <f t="shared" si="86"/>
        <v>0</v>
      </c>
      <c r="R314" s="245">
        <f t="shared" si="87"/>
        <v>0</v>
      </c>
      <c r="S314" s="246">
        <v>0.5</v>
      </c>
      <c r="T314" s="245">
        <f t="shared" si="88"/>
        <v>0</v>
      </c>
      <c r="U314" s="245">
        <f t="shared" si="89"/>
        <v>0</v>
      </c>
      <c r="V314" s="247"/>
    </row>
    <row r="315" spans="1:22" ht="15.75" x14ac:dyDescent="0.25">
      <c r="A315" s="236"/>
      <c r="B315" s="237"/>
      <c r="C315" s="238"/>
      <c r="D315" s="239"/>
      <c r="E315" s="240"/>
      <c r="F315" s="240"/>
      <c r="G315" s="240"/>
      <c r="H315" s="241">
        <f t="shared" si="84"/>
        <v>0</v>
      </c>
      <c r="I315" s="242"/>
      <c r="J315" s="243"/>
      <c r="K315" s="243"/>
      <c r="L315" s="244">
        <v>0.1</v>
      </c>
      <c r="M315" s="244">
        <f t="shared" si="85"/>
        <v>0</v>
      </c>
      <c r="N315" s="244"/>
      <c r="O315" s="244"/>
      <c r="P315" s="244"/>
      <c r="Q315" s="245">
        <f t="shared" si="86"/>
        <v>0</v>
      </c>
      <c r="R315" s="245">
        <f t="shared" si="87"/>
        <v>0</v>
      </c>
      <c r="S315" s="246">
        <v>0.5</v>
      </c>
      <c r="T315" s="245">
        <f t="shared" si="88"/>
        <v>0</v>
      </c>
      <c r="U315" s="245">
        <f t="shared" si="89"/>
        <v>0</v>
      </c>
      <c r="V315" s="247"/>
    </row>
    <row r="316" spans="1:22" ht="15.75" x14ac:dyDescent="0.25">
      <c r="A316" s="236"/>
      <c r="B316" s="237"/>
      <c r="C316" s="238"/>
      <c r="D316" s="239"/>
      <c r="E316" s="240"/>
      <c r="F316" s="240"/>
      <c r="G316" s="240"/>
      <c r="H316" s="241">
        <f t="shared" si="84"/>
        <v>0</v>
      </c>
      <c r="I316" s="242"/>
      <c r="J316" s="243"/>
      <c r="K316" s="243"/>
      <c r="L316" s="244">
        <v>0.1</v>
      </c>
      <c r="M316" s="244">
        <f t="shared" si="85"/>
        <v>0</v>
      </c>
      <c r="N316" s="244"/>
      <c r="O316" s="244"/>
      <c r="P316" s="244"/>
      <c r="Q316" s="245">
        <f t="shared" si="86"/>
        <v>0</v>
      </c>
      <c r="R316" s="245">
        <f t="shared" si="87"/>
        <v>0</v>
      </c>
      <c r="S316" s="246">
        <v>0.5</v>
      </c>
      <c r="T316" s="245">
        <f t="shared" si="88"/>
        <v>0</v>
      </c>
      <c r="U316" s="245">
        <f t="shared" si="89"/>
        <v>0</v>
      </c>
      <c r="V316" s="247"/>
    </row>
    <row r="317" spans="1:22" ht="15.75" x14ac:dyDescent="0.25">
      <c r="A317" s="236"/>
      <c r="B317" s="237"/>
      <c r="C317" s="238"/>
      <c r="D317" s="239"/>
      <c r="E317" s="240"/>
      <c r="F317" s="240"/>
      <c r="G317" s="240"/>
      <c r="H317" s="241">
        <f t="shared" si="84"/>
        <v>0</v>
      </c>
      <c r="I317" s="242"/>
      <c r="J317" s="243"/>
      <c r="K317" s="243"/>
      <c r="L317" s="244">
        <v>0.1</v>
      </c>
      <c r="M317" s="244">
        <f t="shared" si="85"/>
        <v>0</v>
      </c>
      <c r="N317" s="244"/>
      <c r="O317" s="244"/>
      <c r="P317" s="244"/>
      <c r="Q317" s="245">
        <f t="shared" si="86"/>
        <v>0</v>
      </c>
      <c r="R317" s="245">
        <f t="shared" si="87"/>
        <v>0</v>
      </c>
      <c r="S317" s="246">
        <v>0.5</v>
      </c>
      <c r="T317" s="245">
        <f t="shared" si="88"/>
        <v>0</v>
      </c>
      <c r="U317" s="245">
        <f t="shared" si="89"/>
        <v>0</v>
      </c>
      <c r="V317" s="247"/>
    </row>
    <row r="318" spans="1:22" ht="15.75" x14ac:dyDescent="0.25">
      <c r="A318" s="236"/>
      <c r="B318" s="237"/>
      <c r="C318" s="238"/>
      <c r="D318" s="239"/>
      <c r="E318" s="240"/>
      <c r="F318" s="240"/>
      <c r="G318" s="240"/>
      <c r="H318" s="241">
        <f t="shared" si="84"/>
        <v>0</v>
      </c>
      <c r="I318" s="242"/>
      <c r="J318" s="243"/>
      <c r="K318" s="243"/>
      <c r="L318" s="244">
        <v>0.1</v>
      </c>
      <c r="M318" s="244">
        <f t="shared" si="85"/>
        <v>0</v>
      </c>
      <c r="N318" s="244"/>
      <c r="O318" s="244"/>
      <c r="P318" s="244"/>
      <c r="Q318" s="245">
        <f t="shared" si="86"/>
        <v>0</v>
      </c>
      <c r="R318" s="245">
        <f t="shared" si="87"/>
        <v>0</v>
      </c>
      <c r="S318" s="246">
        <v>0.5</v>
      </c>
      <c r="T318" s="245">
        <f t="shared" si="88"/>
        <v>0</v>
      </c>
      <c r="U318" s="245">
        <f t="shared" si="89"/>
        <v>0</v>
      </c>
      <c r="V318" s="247"/>
    </row>
    <row r="319" spans="1:22" ht="15.75" x14ac:dyDescent="0.25">
      <c r="A319" s="236"/>
      <c r="B319" s="237"/>
      <c r="C319" s="238"/>
      <c r="D319" s="239"/>
      <c r="E319" s="240"/>
      <c r="F319" s="240"/>
      <c r="G319" s="240"/>
      <c r="H319" s="241">
        <f t="shared" si="84"/>
        <v>0</v>
      </c>
      <c r="I319" s="242"/>
      <c r="J319" s="243"/>
      <c r="K319" s="243"/>
      <c r="L319" s="244">
        <v>0.1</v>
      </c>
      <c r="M319" s="244">
        <f t="shared" si="85"/>
        <v>0</v>
      </c>
      <c r="N319" s="244"/>
      <c r="O319" s="244"/>
      <c r="P319" s="244"/>
      <c r="Q319" s="245">
        <f t="shared" si="86"/>
        <v>0</v>
      </c>
      <c r="R319" s="245">
        <f t="shared" si="87"/>
        <v>0</v>
      </c>
      <c r="S319" s="246">
        <v>0.5</v>
      </c>
      <c r="T319" s="245">
        <f t="shared" si="88"/>
        <v>0</v>
      </c>
      <c r="U319" s="245">
        <f t="shared" si="89"/>
        <v>0</v>
      </c>
      <c r="V319" s="247"/>
    </row>
    <row r="320" spans="1:22" ht="15.75" x14ac:dyDescent="0.25">
      <c r="A320" s="236"/>
      <c r="B320" s="237"/>
      <c r="C320" s="238"/>
      <c r="D320" s="239"/>
      <c r="E320" s="240"/>
      <c r="F320" s="240"/>
      <c r="G320" s="240"/>
      <c r="H320" s="241">
        <f t="shared" si="84"/>
        <v>0</v>
      </c>
      <c r="I320" s="242"/>
      <c r="J320" s="243"/>
      <c r="K320" s="243"/>
      <c r="L320" s="244">
        <v>0.1</v>
      </c>
      <c r="M320" s="244">
        <f t="shared" si="85"/>
        <v>0</v>
      </c>
      <c r="N320" s="244"/>
      <c r="O320" s="244"/>
      <c r="P320" s="244"/>
      <c r="Q320" s="245">
        <f t="shared" si="86"/>
        <v>0</v>
      </c>
      <c r="R320" s="245">
        <f t="shared" si="87"/>
        <v>0</v>
      </c>
      <c r="S320" s="246">
        <v>0.5</v>
      </c>
      <c r="T320" s="245">
        <f t="shared" si="88"/>
        <v>0</v>
      </c>
      <c r="U320" s="245">
        <f t="shared" si="89"/>
        <v>0</v>
      </c>
      <c r="V320" s="247"/>
    </row>
    <row r="321" spans="1:22" ht="15.75" x14ac:dyDescent="0.25">
      <c r="A321" s="236"/>
      <c r="B321" s="237"/>
      <c r="C321" s="238"/>
      <c r="D321" s="239"/>
      <c r="E321" s="240"/>
      <c r="F321" s="240"/>
      <c r="G321" s="240"/>
      <c r="H321" s="241">
        <f t="shared" si="84"/>
        <v>0</v>
      </c>
      <c r="I321" s="242"/>
      <c r="J321" s="243"/>
      <c r="K321" s="243"/>
      <c r="L321" s="244">
        <v>0.1</v>
      </c>
      <c r="M321" s="244">
        <f t="shared" si="85"/>
        <v>0</v>
      </c>
      <c r="N321" s="244"/>
      <c r="O321" s="244"/>
      <c r="P321" s="244"/>
      <c r="Q321" s="245">
        <f t="shared" si="86"/>
        <v>0</v>
      </c>
      <c r="R321" s="245">
        <f t="shared" si="87"/>
        <v>0</v>
      </c>
      <c r="S321" s="246">
        <v>0.5</v>
      </c>
      <c r="T321" s="245">
        <f t="shared" si="88"/>
        <v>0</v>
      </c>
      <c r="U321" s="245">
        <f t="shared" si="89"/>
        <v>0</v>
      </c>
      <c r="V321" s="247"/>
    </row>
    <row r="322" spans="1:22" ht="15.75" x14ac:dyDescent="0.25">
      <c r="A322" s="236"/>
      <c r="B322" s="237"/>
      <c r="C322" s="238"/>
      <c r="D322" s="239"/>
      <c r="E322" s="240"/>
      <c r="F322" s="240"/>
      <c r="G322" s="240"/>
      <c r="H322" s="241">
        <f t="shared" si="84"/>
        <v>0</v>
      </c>
      <c r="I322" s="242"/>
      <c r="J322" s="243"/>
      <c r="K322" s="243"/>
      <c r="L322" s="244">
        <v>0.1</v>
      </c>
      <c r="M322" s="244">
        <f t="shared" si="85"/>
        <v>0</v>
      </c>
      <c r="N322" s="244"/>
      <c r="O322" s="244"/>
      <c r="P322" s="244"/>
      <c r="Q322" s="245">
        <f t="shared" si="86"/>
        <v>0</v>
      </c>
      <c r="R322" s="245">
        <f t="shared" si="87"/>
        <v>0</v>
      </c>
      <c r="S322" s="246">
        <v>0.5</v>
      </c>
      <c r="T322" s="245">
        <f t="shared" si="88"/>
        <v>0</v>
      </c>
      <c r="U322" s="245">
        <f t="shared" si="89"/>
        <v>0</v>
      </c>
      <c r="V322" s="247"/>
    </row>
    <row r="323" spans="1:22" ht="15.75" x14ac:dyDescent="0.25">
      <c r="A323" s="236"/>
      <c r="B323" s="237"/>
      <c r="C323" s="238"/>
      <c r="D323" s="239"/>
      <c r="E323" s="240"/>
      <c r="F323" s="240"/>
      <c r="G323" s="240"/>
      <c r="H323" s="241">
        <f t="shared" si="84"/>
        <v>0</v>
      </c>
      <c r="I323" s="242"/>
      <c r="J323" s="243"/>
      <c r="K323" s="243"/>
      <c r="L323" s="244">
        <v>0.1</v>
      </c>
      <c r="M323" s="244">
        <f t="shared" si="85"/>
        <v>0</v>
      </c>
      <c r="N323" s="244"/>
      <c r="O323" s="244"/>
      <c r="P323" s="244"/>
      <c r="Q323" s="245">
        <f t="shared" si="86"/>
        <v>0</v>
      </c>
      <c r="R323" s="245">
        <f t="shared" si="87"/>
        <v>0</v>
      </c>
      <c r="S323" s="246">
        <v>0.5</v>
      </c>
      <c r="T323" s="245">
        <f t="shared" si="88"/>
        <v>0</v>
      </c>
      <c r="U323" s="245">
        <f t="shared" si="89"/>
        <v>0</v>
      </c>
      <c r="V323" s="247"/>
    </row>
    <row r="324" spans="1:22" ht="15.75" x14ac:dyDescent="0.25">
      <c r="A324" s="236"/>
      <c r="B324" s="237"/>
      <c r="C324" s="238"/>
      <c r="D324" s="239"/>
      <c r="E324" s="240"/>
      <c r="F324" s="240"/>
      <c r="G324" s="240"/>
      <c r="H324" s="241">
        <f t="shared" si="84"/>
        <v>0</v>
      </c>
      <c r="I324" s="242"/>
      <c r="J324" s="243"/>
      <c r="K324" s="243"/>
      <c r="L324" s="244">
        <v>0.1</v>
      </c>
      <c r="M324" s="244">
        <f t="shared" si="85"/>
        <v>0</v>
      </c>
      <c r="N324" s="244"/>
      <c r="O324" s="244"/>
      <c r="P324" s="244"/>
      <c r="Q324" s="245">
        <f t="shared" si="86"/>
        <v>0</v>
      </c>
      <c r="R324" s="245">
        <f t="shared" si="87"/>
        <v>0</v>
      </c>
      <c r="S324" s="246">
        <v>0.5</v>
      </c>
      <c r="T324" s="245">
        <f t="shared" si="88"/>
        <v>0</v>
      </c>
      <c r="U324" s="245">
        <f t="shared" si="89"/>
        <v>0</v>
      </c>
      <c r="V324" s="247"/>
    </row>
    <row r="325" spans="1:22" ht="15.75" x14ac:dyDescent="0.25">
      <c r="A325" s="236"/>
      <c r="B325" s="237"/>
      <c r="C325" s="238"/>
      <c r="D325" s="239"/>
      <c r="E325" s="240"/>
      <c r="F325" s="240"/>
      <c r="G325" s="240"/>
      <c r="H325" s="241">
        <f t="shared" si="84"/>
        <v>0</v>
      </c>
      <c r="I325" s="242"/>
      <c r="J325" s="243"/>
      <c r="K325" s="243"/>
      <c r="L325" s="244">
        <v>0.1</v>
      </c>
      <c r="M325" s="244">
        <f t="shared" si="85"/>
        <v>0</v>
      </c>
      <c r="N325" s="244"/>
      <c r="O325" s="244"/>
      <c r="P325" s="244"/>
      <c r="Q325" s="245">
        <f t="shared" si="86"/>
        <v>0</v>
      </c>
      <c r="R325" s="245">
        <f t="shared" si="87"/>
        <v>0</v>
      </c>
      <c r="S325" s="246">
        <v>0.5</v>
      </c>
      <c r="T325" s="245">
        <f t="shared" si="88"/>
        <v>0</v>
      </c>
      <c r="U325" s="245">
        <f t="shared" si="89"/>
        <v>0</v>
      </c>
      <c r="V325" s="247"/>
    </row>
    <row r="326" spans="1:22" ht="15.75" x14ac:dyDescent="0.25">
      <c r="A326" s="236"/>
      <c r="B326" s="237"/>
      <c r="C326" s="238"/>
      <c r="D326" s="239"/>
      <c r="E326" s="240"/>
      <c r="F326" s="240"/>
      <c r="G326" s="240"/>
      <c r="H326" s="241">
        <f t="shared" si="84"/>
        <v>0</v>
      </c>
      <c r="I326" s="242"/>
      <c r="J326" s="243"/>
      <c r="K326" s="243"/>
      <c r="L326" s="244">
        <v>0.1</v>
      </c>
      <c r="M326" s="244">
        <f t="shared" si="85"/>
        <v>0</v>
      </c>
      <c r="N326" s="244"/>
      <c r="O326" s="244"/>
      <c r="P326" s="244"/>
      <c r="Q326" s="245">
        <f t="shared" si="86"/>
        <v>0</v>
      </c>
      <c r="R326" s="245">
        <f t="shared" si="87"/>
        <v>0</v>
      </c>
      <c r="S326" s="246">
        <v>0.5</v>
      </c>
      <c r="T326" s="245">
        <f t="shared" si="88"/>
        <v>0</v>
      </c>
      <c r="U326" s="245">
        <f t="shared" si="89"/>
        <v>0</v>
      </c>
      <c r="V326" s="247"/>
    </row>
    <row r="327" spans="1:22" ht="15.75" x14ac:dyDescent="0.25">
      <c r="A327" s="236"/>
      <c r="B327" s="237"/>
      <c r="C327" s="238"/>
      <c r="D327" s="239"/>
      <c r="E327" s="240"/>
      <c r="F327" s="240"/>
      <c r="G327" s="240"/>
      <c r="H327" s="241">
        <f t="shared" si="84"/>
        <v>0</v>
      </c>
      <c r="I327" s="242"/>
      <c r="J327" s="243"/>
      <c r="K327" s="243"/>
      <c r="L327" s="244">
        <v>0.1</v>
      </c>
      <c r="M327" s="244">
        <f t="shared" si="85"/>
        <v>0</v>
      </c>
      <c r="N327" s="244"/>
      <c r="O327" s="244"/>
      <c r="P327" s="244"/>
      <c r="Q327" s="245">
        <f t="shared" si="86"/>
        <v>0</v>
      </c>
      <c r="R327" s="245">
        <f t="shared" si="87"/>
        <v>0</v>
      </c>
      <c r="S327" s="246">
        <v>0.5</v>
      </c>
      <c r="T327" s="245">
        <f t="shared" si="88"/>
        <v>0</v>
      </c>
      <c r="U327" s="245">
        <f t="shared" si="89"/>
        <v>0</v>
      </c>
      <c r="V327" s="247"/>
    </row>
    <row r="328" spans="1:22" ht="15.75" x14ac:dyDescent="0.25">
      <c r="A328" s="236"/>
      <c r="B328" s="237"/>
      <c r="C328" s="238"/>
      <c r="D328" s="239"/>
      <c r="E328" s="240"/>
      <c r="F328" s="240"/>
      <c r="G328" s="240"/>
      <c r="H328" s="241">
        <f t="shared" si="84"/>
        <v>0</v>
      </c>
      <c r="I328" s="242"/>
      <c r="J328" s="243"/>
      <c r="K328" s="243"/>
      <c r="L328" s="244">
        <v>0.1</v>
      </c>
      <c r="M328" s="244">
        <f t="shared" si="85"/>
        <v>0</v>
      </c>
      <c r="N328" s="244"/>
      <c r="O328" s="244"/>
      <c r="P328" s="244"/>
      <c r="Q328" s="245">
        <f t="shared" si="86"/>
        <v>0</v>
      </c>
      <c r="R328" s="245">
        <f t="shared" si="87"/>
        <v>0</v>
      </c>
      <c r="S328" s="246">
        <v>0.5</v>
      </c>
      <c r="T328" s="245">
        <f t="shared" si="88"/>
        <v>0</v>
      </c>
      <c r="U328" s="245">
        <f t="shared" si="89"/>
        <v>0</v>
      </c>
      <c r="V328" s="247"/>
    </row>
    <row r="329" spans="1:22" ht="15.75" x14ac:dyDescent="0.25">
      <c r="A329" s="236"/>
      <c r="B329" s="237"/>
      <c r="C329" s="238"/>
      <c r="D329" s="239"/>
      <c r="E329" s="240"/>
      <c r="F329" s="240"/>
      <c r="G329" s="240"/>
      <c r="H329" s="241">
        <f t="shared" si="84"/>
        <v>0</v>
      </c>
      <c r="I329" s="242"/>
      <c r="J329" s="243"/>
      <c r="K329" s="243"/>
      <c r="L329" s="244">
        <v>0.1</v>
      </c>
      <c r="M329" s="244">
        <f t="shared" si="85"/>
        <v>0</v>
      </c>
      <c r="N329" s="244"/>
      <c r="O329" s="244"/>
      <c r="P329" s="244"/>
      <c r="Q329" s="245">
        <f t="shared" si="86"/>
        <v>0</v>
      </c>
      <c r="R329" s="245">
        <f t="shared" si="87"/>
        <v>0</v>
      </c>
      <c r="S329" s="246">
        <v>0.5</v>
      </c>
      <c r="T329" s="245">
        <f t="shared" si="88"/>
        <v>0</v>
      </c>
      <c r="U329" s="245">
        <f t="shared" si="89"/>
        <v>0</v>
      </c>
      <c r="V329" s="247"/>
    </row>
    <row r="330" spans="1:22" ht="15.75" x14ac:dyDescent="0.25">
      <c r="A330" s="236"/>
      <c r="B330" s="237"/>
      <c r="C330" s="238"/>
      <c r="D330" s="239"/>
      <c r="E330" s="240"/>
      <c r="F330" s="240"/>
      <c r="G330" s="240"/>
      <c r="H330" s="241">
        <f t="shared" si="84"/>
        <v>0</v>
      </c>
      <c r="I330" s="242"/>
      <c r="J330" s="243"/>
      <c r="K330" s="243"/>
      <c r="L330" s="244">
        <v>0.1</v>
      </c>
      <c r="M330" s="244">
        <f t="shared" si="85"/>
        <v>0</v>
      </c>
      <c r="N330" s="244"/>
      <c r="O330" s="244"/>
      <c r="P330" s="244"/>
      <c r="Q330" s="245">
        <f t="shared" si="86"/>
        <v>0</v>
      </c>
      <c r="R330" s="245">
        <f t="shared" si="87"/>
        <v>0</v>
      </c>
      <c r="S330" s="246">
        <v>0.5</v>
      </c>
      <c r="T330" s="245">
        <f t="shared" si="88"/>
        <v>0</v>
      </c>
      <c r="U330" s="245">
        <f t="shared" si="89"/>
        <v>0</v>
      </c>
      <c r="V330" s="247"/>
    </row>
    <row r="331" spans="1:22" ht="15.75" x14ac:dyDescent="0.25">
      <c r="A331" s="236"/>
      <c r="B331" s="237"/>
      <c r="C331" s="238"/>
      <c r="D331" s="239"/>
      <c r="E331" s="240"/>
      <c r="F331" s="240"/>
      <c r="G331" s="240"/>
      <c r="H331" s="241">
        <f t="shared" si="84"/>
        <v>0</v>
      </c>
      <c r="I331" s="242"/>
      <c r="J331" s="243"/>
      <c r="K331" s="243"/>
      <c r="L331" s="244">
        <v>0.1</v>
      </c>
      <c r="M331" s="244">
        <f t="shared" si="85"/>
        <v>0</v>
      </c>
      <c r="N331" s="244"/>
      <c r="O331" s="244"/>
      <c r="P331" s="244"/>
      <c r="Q331" s="245">
        <f t="shared" si="86"/>
        <v>0</v>
      </c>
      <c r="R331" s="245">
        <f t="shared" si="87"/>
        <v>0</v>
      </c>
      <c r="S331" s="246">
        <v>0.5</v>
      </c>
      <c r="T331" s="245">
        <f t="shared" si="88"/>
        <v>0</v>
      </c>
      <c r="U331" s="245">
        <f t="shared" si="89"/>
        <v>0</v>
      </c>
      <c r="V331" s="247"/>
    </row>
    <row r="332" spans="1:22" ht="15.75" x14ac:dyDescent="0.25">
      <c r="A332" s="236"/>
      <c r="B332" s="237"/>
      <c r="C332" s="238"/>
      <c r="D332" s="239"/>
      <c r="E332" s="240"/>
      <c r="F332" s="240"/>
      <c r="G332" s="240"/>
      <c r="H332" s="241">
        <f t="shared" si="84"/>
        <v>0</v>
      </c>
      <c r="I332" s="242"/>
      <c r="J332" s="243"/>
      <c r="K332" s="243"/>
      <c r="L332" s="244">
        <v>0.1</v>
      </c>
      <c r="M332" s="244">
        <f t="shared" si="85"/>
        <v>0</v>
      </c>
      <c r="N332" s="244"/>
      <c r="O332" s="244"/>
      <c r="P332" s="244"/>
      <c r="Q332" s="245">
        <f t="shared" si="86"/>
        <v>0</v>
      </c>
      <c r="R332" s="245">
        <f t="shared" si="87"/>
        <v>0</v>
      </c>
      <c r="S332" s="246">
        <v>0.5</v>
      </c>
      <c r="T332" s="245">
        <f t="shared" si="88"/>
        <v>0</v>
      </c>
      <c r="U332" s="245">
        <f t="shared" si="89"/>
        <v>0</v>
      </c>
      <c r="V332" s="247"/>
    </row>
    <row r="333" spans="1:22" ht="15.75" x14ac:dyDescent="0.25">
      <c r="A333" s="236"/>
      <c r="B333" s="237"/>
      <c r="C333" s="238"/>
      <c r="D333" s="239"/>
      <c r="E333" s="240"/>
      <c r="F333" s="240"/>
      <c r="G333" s="240"/>
      <c r="H333" s="241">
        <f t="shared" si="84"/>
        <v>0</v>
      </c>
      <c r="I333" s="242"/>
      <c r="J333" s="243"/>
      <c r="K333" s="243"/>
      <c r="L333" s="244">
        <v>0.1</v>
      </c>
      <c r="M333" s="244">
        <f t="shared" si="85"/>
        <v>0</v>
      </c>
      <c r="N333" s="244"/>
      <c r="O333" s="244"/>
      <c r="P333" s="244"/>
      <c r="Q333" s="245">
        <f t="shared" si="86"/>
        <v>0</v>
      </c>
      <c r="R333" s="245">
        <f t="shared" si="87"/>
        <v>0</v>
      </c>
      <c r="S333" s="246">
        <v>0.5</v>
      </c>
      <c r="T333" s="245">
        <f t="shared" si="88"/>
        <v>0</v>
      </c>
      <c r="U333" s="245">
        <f t="shared" si="89"/>
        <v>0</v>
      </c>
      <c r="V333" s="247"/>
    </row>
    <row r="334" spans="1:22" ht="15.75" x14ac:dyDescent="0.25">
      <c r="A334" s="236"/>
      <c r="B334" s="237"/>
      <c r="C334" s="238"/>
      <c r="D334" s="239"/>
      <c r="E334" s="240"/>
      <c r="F334" s="240"/>
      <c r="G334" s="240"/>
      <c r="H334" s="241">
        <f t="shared" si="84"/>
        <v>0</v>
      </c>
      <c r="I334" s="242"/>
      <c r="J334" s="243"/>
      <c r="K334" s="243"/>
      <c r="L334" s="244">
        <v>0.1</v>
      </c>
      <c r="M334" s="244">
        <f t="shared" si="85"/>
        <v>0</v>
      </c>
      <c r="N334" s="244"/>
      <c r="O334" s="244"/>
      <c r="P334" s="244"/>
      <c r="Q334" s="245">
        <f t="shared" si="86"/>
        <v>0</v>
      </c>
      <c r="R334" s="245">
        <f t="shared" si="87"/>
        <v>0</v>
      </c>
      <c r="S334" s="246">
        <v>0.5</v>
      </c>
      <c r="T334" s="245">
        <f t="shared" si="88"/>
        <v>0</v>
      </c>
      <c r="U334" s="245">
        <f t="shared" si="89"/>
        <v>0</v>
      </c>
      <c r="V334" s="247"/>
    </row>
    <row r="335" spans="1:22" ht="15.75" x14ac:dyDescent="0.25">
      <c r="A335" s="236"/>
      <c r="B335" s="237"/>
      <c r="C335" s="238"/>
      <c r="D335" s="239"/>
      <c r="E335" s="240"/>
      <c r="F335" s="240"/>
      <c r="G335" s="240"/>
      <c r="H335" s="241">
        <f t="shared" si="84"/>
        <v>0</v>
      </c>
      <c r="I335" s="242"/>
      <c r="J335" s="243"/>
      <c r="K335" s="243"/>
      <c r="L335" s="244">
        <v>0.1</v>
      </c>
      <c r="M335" s="244">
        <f t="shared" si="85"/>
        <v>0</v>
      </c>
      <c r="N335" s="244"/>
      <c r="O335" s="244"/>
      <c r="P335" s="244"/>
      <c r="Q335" s="245">
        <f t="shared" si="86"/>
        <v>0</v>
      </c>
      <c r="R335" s="245">
        <f t="shared" si="87"/>
        <v>0</v>
      </c>
      <c r="S335" s="246">
        <v>0.5</v>
      </c>
      <c r="T335" s="245">
        <f t="shared" si="88"/>
        <v>0</v>
      </c>
      <c r="U335" s="245">
        <f t="shared" si="89"/>
        <v>0</v>
      </c>
      <c r="V335" s="247"/>
    </row>
    <row r="336" spans="1:22" ht="15.75" x14ac:dyDescent="0.25">
      <c r="A336" s="236"/>
      <c r="B336" s="237"/>
      <c r="C336" s="238"/>
      <c r="D336" s="239"/>
      <c r="E336" s="240"/>
      <c r="F336" s="240"/>
      <c r="G336" s="240"/>
      <c r="H336" s="241">
        <f t="shared" si="84"/>
        <v>0</v>
      </c>
      <c r="I336" s="242"/>
      <c r="J336" s="243"/>
      <c r="K336" s="243"/>
      <c r="L336" s="244">
        <v>0.1</v>
      </c>
      <c r="M336" s="244">
        <f t="shared" si="85"/>
        <v>0</v>
      </c>
      <c r="N336" s="244"/>
      <c r="O336" s="244"/>
      <c r="P336" s="244"/>
      <c r="Q336" s="245">
        <f t="shared" si="86"/>
        <v>0</v>
      </c>
      <c r="R336" s="245">
        <f t="shared" si="87"/>
        <v>0</v>
      </c>
      <c r="S336" s="246">
        <v>0.5</v>
      </c>
      <c r="T336" s="245">
        <f t="shared" si="88"/>
        <v>0</v>
      </c>
      <c r="U336" s="245">
        <f t="shared" si="89"/>
        <v>0</v>
      </c>
      <c r="V336" s="247"/>
    </row>
    <row r="337" spans="1:22" ht="15.75" x14ac:dyDescent="0.25">
      <c r="A337" s="236"/>
      <c r="B337" s="237"/>
      <c r="C337" s="238"/>
      <c r="D337" s="239"/>
      <c r="E337" s="240"/>
      <c r="F337" s="240"/>
      <c r="G337" s="240"/>
      <c r="H337" s="241">
        <f t="shared" si="84"/>
        <v>0</v>
      </c>
      <c r="I337" s="242"/>
      <c r="J337" s="243"/>
      <c r="K337" s="243"/>
      <c r="L337" s="244">
        <v>0.1</v>
      </c>
      <c r="M337" s="244">
        <f t="shared" si="85"/>
        <v>0</v>
      </c>
      <c r="N337" s="244"/>
      <c r="O337" s="244"/>
      <c r="P337" s="244"/>
      <c r="Q337" s="245">
        <f t="shared" si="86"/>
        <v>0</v>
      </c>
      <c r="R337" s="245">
        <f t="shared" si="87"/>
        <v>0</v>
      </c>
      <c r="S337" s="246">
        <v>0.5</v>
      </c>
      <c r="T337" s="245">
        <f t="shared" si="88"/>
        <v>0</v>
      </c>
      <c r="U337" s="245">
        <f t="shared" si="89"/>
        <v>0</v>
      </c>
      <c r="V337" s="247"/>
    </row>
    <row r="338" spans="1:22" ht="15.75" x14ac:dyDescent="0.25">
      <c r="A338" s="236"/>
      <c r="B338" s="237"/>
      <c r="C338" s="238"/>
      <c r="D338" s="239"/>
      <c r="E338" s="240"/>
      <c r="F338" s="240"/>
      <c r="G338" s="240"/>
      <c r="H338" s="241">
        <f t="shared" si="84"/>
        <v>0</v>
      </c>
      <c r="I338" s="242"/>
      <c r="J338" s="243"/>
      <c r="K338" s="243"/>
      <c r="L338" s="244">
        <v>0.1</v>
      </c>
      <c r="M338" s="244">
        <f t="shared" si="85"/>
        <v>0</v>
      </c>
      <c r="N338" s="244"/>
      <c r="O338" s="244"/>
      <c r="P338" s="244"/>
      <c r="Q338" s="245">
        <f t="shared" si="86"/>
        <v>0</v>
      </c>
      <c r="R338" s="245">
        <f t="shared" si="87"/>
        <v>0</v>
      </c>
      <c r="S338" s="246">
        <v>0.5</v>
      </c>
      <c r="T338" s="245">
        <f t="shared" si="88"/>
        <v>0</v>
      </c>
      <c r="U338" s="245">
        <f t="shared" si="89"/>
        <v>0</v>
      </c>
      <c r="V338" s="247"/>
    </row>
    <row r="339" spans="1:22" ht="15.75" x14ac:dyDescent="0.25">
      <c r="A339" s="236"/>
      <c r="B339" s="237"/>
      <c r="C339" s="238"/>
      <c r="D339" s="239"/>
      <c r="E339" s="240"/>
      <c r="F339" s="240"/>
      <c r="G339" s="240"/>
      <c r="H339" s="241">
        <f t="shared" si="84"/>
        <v>0</v>
      </c>
      <c r="I339" s="242"/>
      <c r="J339" s="243"/>
      <c r="K339" s="243"/>
      <c r="L339" s="244">
        <v>0.1</v>
      </c>
      <c r="M339" s="244">
        <f t="shared" si="85"/>
        <v>0</v>
      </c>
      <c r="N339" s="244"/>
      <c r="O339" s="244"/>
      <c r="P339" s="244"/>
      <c r="Q339" s="245">
        <f t="shared" si="86"/>
        <v>0</v>
      </c>
      <c r="R339" s="245">
        <f t="shared" si="87"/>
        <v>0</v>
      </c>
      <c r="S339" s="246">
        <v>0.5</v>
      </c>
      <c r="T339" s="245">
        <f t="shared" si="88"/>
        <v>0</v>
      </c>
      <c r="U339" s="245">
        <f t="shared" si="89"/>
        <v>0</v>
      </c>
      <c r="V339" s="247"/>
    </row>
    <row r="340" spans="1:22" ht="15.75" x14ac:dyDescent="0.25">
      <c r="A340" s="236"/>
      <c r="B340" s="237"/>
      <c r="C340" s="238"/>
      <c r="D340" s="239"/>
      <c r="E340" s="240"/>
      <c r="F340" s="240"/>
      <c r="G340" s="240"/>
      <c r="H340" s="241">
        <f t="shared" si="84"/>
        <v>0</v>
      </c>
      <c r="I340" s="242"/>
      <c r="J340" s="243"/>
      <c r="K340" s="243"/>
      <c r="L340" s="244">
        <v>0.1</v>
      </c>
      <c r="M340" s="244">
        <f t="shared" si="85"/>
        <v>0</v>
      </c>
      <c r="N340" s="244"/>
      <c r="O340" s="244"/>
      <c r="P340" s="244"/>
      <c r="Q340" s="245">
        <f t="shared" si="86"/>
        <v>0</v>
      </c>
      <c r="R340" s="245">
        <f t="shared" si="87"/>
        <v>0</v>
      </c>
      <c r="S340" s="246">
        <v>0.5</v>
      </c>
      <c r="T340" s="245">
        <f t="shared" si="88"/>
        <v>0</v>
      </c>
      <c r="U340" s="245">
        <f t="shared" si="89"/>
        <v>0</v>
      </c>
      <c r="V340" s="247"/>
    </row>
    <row r="341" spans="1:22" ht="15.75" x14ac:dyDescent="0.25">
      <c r="A341" s="236"/>
      <c r="B341" s="237"/>
      <c r="C341" s="238"/>
      <c r="D341" s="239"/>
      <c r="E341" s="240"/>
      <c r="F341" s="240"/>
      <c r="G341" s="240"/>
      <c r="H341" s="241">
        <f t="shared" si="84"/>
        <v>0</v>
      </c>
      <c r="I341" s="242"/>
      <c r="J341" s="243"/>
      <c r="K341" s="243"/>
      <c r="L341" s="244">
        <v>0.1</v>
      </c>
      <c r="M341" s="244">
        <f t="shared" si="85"/>
        <v>0</v>
      </c>
      <c r="N341" s="244"/>
      <c r="O341" s="244"/>
      <c r="P341" s="244"/>
      <c r="Q341" s="245">
        <f t="shared" si="86"/>
        <v>0</v>
      </c>
      <c r="R341" s="245">
        <f t="shared" si="87"/>
        <v>0</v>
      </c>
      <c r="S341" s="246">
        <v>0.5</v>
      </c>
      <c r="T341" s="245">
        <f t="shared" si="88"/>
        <v>0</v>
      </c>
      <c r="U341" s="245">
        <f t="shared" si="89"/>
        <v>0</v>
      </c>
      <c r="V341" s="247"/>
    </row>
    <row r="342" spans="1:22" ht="15.75" x14ac:dyDescent="0.25">
      <c r="A342" s="236"/>
      <c r="B342" s="237"/>
      <c r="C342" s="238"/>
      <c r="D342" s="239"/>
      <c r="E342" s="240"/>
      <c r="F342" s="240"/>
      <c r="G342" s="240"/>
      <c r="H342" s="241">
        <f t="shared" si="84"/>
        <v>0</v>
      </c>
      <c r="I342" s="242"/>
      <c r="J342" s="243"/>
      <c r="K342" s="243"/>
      <c r="L342" s="244">
        <v>0.1</v>
      </c>
      <c r="M342" s="244">
        <f t="shared" si="85"/>
        <v>0</v>
      </c>
      <c r="N342" s="244"/>
      <c r="O342" s="244"/>
      <c r="P342" s="244"/>
      <c r="Q342" s="245">
        <f t="shared" si="86"/>
        <v>0</v>
      </c>
      <c r="R342" s="245">
        <f t="shared" si="87"/>
        <v>0</v>
      </c>
      <c r="S342" s="246">
        <v>0.5</v>
      </c>
      <c r="T342" s="245">
        <f t="shared" si="88"/>
        <v>0</v>
      </c>
      <c r="U342" s="245">
        <f t="shared" si="89"/>
        <v>0</v>
      </c>
      <c r="V342" s="247"/>
    </row>
    <row r="343" spans="1:22" ht="15.75" x14ac:dyDescent="0.25">
      <c r="A343" s="236"/>
      <c r="B343" s="237"/>
      <c r="C343" s="238"/>
      <c r="D343" s="239"/>
      <c r="E343" s="240"/>
      <c r="F343" s="240"/>
      <c r="G343" s="240"/>
      <c r="H343" s="241">
        <f t="shared" si="84"/>
        <v>0</v>
      </c>
      <c r="I343" s="242"/>
      <c r="J343" s="243"/>
      <c r="K343" s="243"/>
      <c r="L343" s="244">
        <v>0.1</v>
      </c>
      <c r="M343" s="244">
        <f t="shared" si="85"/>
        <v>0</v>
      </c>
      <c r="N343" s="244"/>
      <c r="O343" s="244"/>
      <c r="P343" s="244"/>
      <c r="Q343" s="245">
        <f t="shared" si="86"/>
        <v>0</v>
      </c>
      <c r="R343" s="245">
        <f t="shared" si="87"/>
        <v>0</v>
      </c>
      <c r="S343" s="246">
        <v>0.5</v>
      </c>
      <c r="T343" s="245">
        <f t="shared" si="88"/>
        <v>0</v>
      </c>
      <c r="U343" s="245">
        <f t="shared" si="89"/>
        <v>0</v>
      </c>
      <c r="V343" s="247"/>
    </row>
    <row r="344" spans="1:22" ht="15.75" x14ac:dyDescent="0.25">
      <c r="A344" s="236"/>
      <c r="B344" s="237"/>
      <c r="C344" s="238"/>
      <c r="D344" s="239"/>
      <c r="E344" s="240"/>
      <c r="F344" s="240"/>
      <c r="G344" s="240"/>
      <c r="H344" s="241">
        <f t="shared" si="84"/>
        <v>0</v>
      </c>
      <c r="I344" s="242"/>
      <c r="J344" s="243"/>
      <c r="K344" s="243"/>
      <c r="L344" s="244">
        <v>0.1</v>
      </c>
      <c r="M344" s="244">
        <f t="shared" si="85"/>
        <v>0</v>
      </c>
      <c r="N344" s="244"/>
      <c r="O344" s="244"/>
      <c r="P344" s="244"/>
      <c r="Q344" s="245">
        <f t="shared" si="86"/>
        <v>0</v>
      </c>
      <c r="R344" s="245">
        <f t="shared" si="87"/>
        <v>0</v>
      </c>
      <c r="S344" s="246">
        <v>0.5</v>
      </c>
      <c r="T344" s="245">
        <f t="shared" si="88"/>
        <v>0</v>
      </c>
      <c r="U344" s="245">
        <f t="shared" si="89"/>
        <v>0</v>
      </c>
      <c r="V344" s="247"/>
    </row>
    <row r="345" spans="1:22" ht="15.75" x14ac:dyDescent="0.25">
      <c r="A345" s="236"/>
      <c r="B345" s="237"/>
      <c r="C345" s="238"/>
      <c r="D345" s="239"/>
      <c r="E345" s="240"/>
      <c r="F345" s="240"/>
      <c r="G345" s="240"/>
      <c r="H345" s="241">
        <f t="shared" si="84"/>
        <v>0</v>
      </c>
      <c r="I345" s="242"/>
      <c r="J345" s="243"/>
      <c r="K345" s="243"/>
      <c r="L345" s="244">
        <v>0.1</v>
      </c>
      <c r="M345" s="244">
        <f t="shared" si="85"/>
        <v>0</v>
      </c>
      <c r="N345" s="244"/>
      <c r="O345" s="244"/>
      <c r="P345" s="244"/>
      <c r="Q345" s="245">
        <f t="shared" si="86"/>
        <v>0</v>
      </c>
      <c r="R345" s="245">
        <f t="shared" si="87"/>
        <v>0</v>
      </c>
      <c r="S345" s="246">
        <v>0.5</v>
      </c>
      <c r="T345" s="245">
        <f t="shared" si="88"/>
        <v>0</v>
      </c>
      <c r="U345" s="245">
        <f t="shared" si="89"/>
        <v>0</v>
      </c>
      <c r="V345" s="247"/>
    </row>
    <row r="346" spans="1:22" ht="15.75" x14ac:dyDescent="0.25">
      <c r="A346" s="236"/>
      <c r="B346" s="237"/>
      <c r="C346" s="238"/>
      <c r="D346" s="239"/>
      <c r="E346" s="240"/>
      <c r="F346" s="240"/>
      <c r="G346" s="240"/>
      <c r="H346" s="241">
        <f t="shared" si="84"/>
        <v>0</v>
      </c>
      <c r="I346" s="242"/>
      <c r="J346" s="243"/>
      <c r="K346" s="243"/>
      <c r="L346" s="244">
        <v>0.1</v>
      </c>
      <c r="M346" s="244">
        <f t="shared" si="85"/>
        <v>0</v>
      </c>
      <c r="N346" s="244"/>
      <c r="O346" s="244"/>
      <c r="P346" s="244"/>
      <c r="Q346" s="245">
        <f t="shared" si="86"/>
        <v>0</v>
      </c>
      <c r="R346" s="245">
        <f t="shared" si="87"/>
        <v>0</v>
      </c>
      <c r="S346" s="246">
        <v>0.5</v>
      </c>
      <c r="T346" s="245">
        <f t="shared" si="88"/>
        <v>0</v>
      </c>
      <c r="U346" s="245">
        <f t="shared" si="89"/>
        <v>0</v>
      </c>
      <c r="V346" s="247"/>
    </row>
    <row r="347" spans="1:22" ht="15.75" x14ac:dyDescent="0.25">
      <c r="A347" s="236"/>
      <c r="B347" s="237"/>
      <c r="C347" s="238"/>
      <c r="D347" s="239"/>
      <c r="E347" s="240"/>
      <c r="F347" s="240"/>
      <c r="G347" s="240"/>
      <c r="H347" s="241">
        <f t="shared" si="84"/>
        <v>0</v>
      </c>
      <c r="I347" s="242"/>
      <c r="J347" s="243"/>
      <c r="K347" s="243"/>
      <c r="L347" s="244">
        <v>0.1</v>
      </c>
      <c r="M347" s="244">
        <f t="shared" si="85"/>
        <v>0</v>
      </c>
      <c r="N347" s="244"/>
      <c r="O347" s="244"/>
      <c r="P347" s="244"/>
      <c r="Q347" s="245">
        <f t="shared" si="86"/>
        <v>0</v>
      </c>
      <c r="R347" s="245">
        <f t="shared" si="87"/>
        <v>0</v>
      </c>
      <c r="S347" s="246">
        <v>0.5</v>
      </c>
      <c r="T347" s="245">
        <f t="shared" si="88"/>
        <v>0</v>
      </c>
      <c r="U347" s="245">
        <f t="shared" si="89"/>
        <v>0</v>
      </c>
      <c r="V347" s="247"/>
    </row>
    <row r="348" spans="1:22" ht="15.75" x14ac:dyDescent="0.25">
      <c r="A348" s="236"/>
      <c r="B348" s="237"/>
      <c r="C348" s="238"/>
      <c r="D348" s="239"/>
      <c r="E348" s="240"/>
      <c r="F348" s="240"/>
      <c r="G348" s="240"/>
      <c r="H348" s="241">
        <f t="shared" si="84"/>
        <v>0</v>
      </c>
      <c r="I348" s="242"/>
      <c r="J348" s="243"/>
      <c r="K348" s="243"/>
      <c r="L348" s="244">
        <v>0.1</v>
      </c>
      <c r="M348" s="244">
        <f t="shared" si="85"/>
        <v>0</v>
      </c>
      <c r="N348" s="244"/>
      <c r="O348" s="244"/>
      <c r="P348" s="244"/>
      <c r="Q348" s="245">
        <f t="shared" si="86"/>
        <v>0</v>
      </c>
      <c r="R348" s="245">
        <f t="shared" si="87"/>
        <v>0</v>
      </c>
      <c r="S348" s="246">
        <v>0.5</v>
      </c>
      <c r="T348" s="245">
        <f t="shared" si="88"/>
        <v>0</v>
      </c>
      <c r="U348" s="245">
        <f t="shared" si="89"/>
        <v>0</v>
      </c>
      <c r="V348" s="247"/>
    </row>
    <row r="349" spans="1:22" ht="15.75" x14ac:dyDescent="0.25">
      <c r="A349" s="236"/>
      <c r="B349" s="237"/>
      <c r="C349" s="238"/>
      <c r="D349" s="239"/>
      <c r="E349" s="240"/>
      <c r="F349" s="240"/>
      <c r="G349" s="240"/>
      <c r="H349" s="241">
        <f t="shared" si="84"/>
        <v>0</v>
      </c>
      <c r="I349" s="242"/>
      <c r="J349" s="243"/>
      <c r="K349" s="243"/>
      <c r="L349" s="244">
        <v>0.1</v>
      </c>
      <c r="M349" s="244">
        <f t="shared" si="85"/>
        <v>0</v>
      </c>
      <c r="N349" s="244"/>
      <c r="O349" s="244"/>
      <c r="P349" s="244"/>
      <c r="Q349" s="245">
        <f t="shared" si="86"/>
        <v>0</v>
      </c>
      <c r="R349" s="245">
        <f t="shared" si="87"/>
        <v>0</v>
      </c>
      <c r="S349" s="246">
        <v>0.5</v>
      </c>
      <c r="T349" s="245">
        <f t="shared" si="88"/>
        <v>0</v>
      </c>
      <c r="U349" s="245">
        <f t="shared" si="89"/>
        <v>0</v>
      </c>
      <c r="V349" s="247"/>
    </row>
    <row r="350" spans="1:22" ht="15.75" x14ac:dyDescent="0.25">
      <c r="A350" s="236"/>
      <c r="B350" s="237"/>
      <c r="C350" s="238"/>
      <c r="D350" s="239"/>
      <c r="E350" s="240"/>
      <c r="F350" s="240"/>
      <c r="G350" s="240"/>
      <c r="H350" s="241">
        <f t="shared" si="84"/>
        <v>0</v>
      </c>
      <c r="I350" s="242"/>
      <c r="J350" s="243"/>
      <c r="K350" s="243"/>
      <c r="L350" s="244">
        <v>0.1</v>
      </c>
      <c r="M350" s="244">
        <f t="shared" si="85"/>
        <v>0</v>
      </c>
      <c r="N350" s="244"/>
      <c r="O350" s="244"/>
      <c r="P350" s="244"/>
      <c r="Q350" s="245">
        <f t="shared" si="86"/>
        <v>0</v>
      </c>
      <c r="R350" s="245">
        <f t="shared" si="87"/>
        <v>0</v>
      </c>
      <c r="S350" s="246">
        <v>0.5</v>
      </c>
      <c r="T350" s="245">
        <f t="shared" si="88"/>
        <v>0</v>
      </c>
      <c r="U350" s="245">
        <f t="shared" si="89"/>
        <v>0</v>
      </c>
      <c r="V350" s="247"/>
    </row>
    <row r="351" spans="1:22" ht="15.75" x14ac:dyDescent="0.25">
      <c r="A351" s="236"/>
      <c r="B351" s="237"/>
      <c r="C351" s="238"/>
      <c r="D351" s="239"/>
      <c r="E351" s="240"/>
      <c r="F351" s="240"/>
      <c r="G351" s="240"/>
      <c r="H351" s="241">
        <f t="shared" si="84"/>
        <v>0</v>
      </c>
      <c r="I351" s="242"/>
      <c r="J351" s="243"/>
      <c r="K351" s="243"/>
      <c r="L351" s="244">
        <v>0.1</v>
      </c>
      <c r="M351" s="244">
        <f t="shared" si="85"/>
        <v>0</v>
      </c>
      <c r="N351" s="244"/>
      <c r="O351" s="244"/>
      <c r="P351" s="244"/>
      <c r="Q351" s="245">
        <f t="shared" si="86"/>
        <v>0</v>
      </c>
      <c r="R351" s="245">
        <f t="shared" si="87"/>
        <v>0</v>
      </c>
      <c r="S351" s="246">
        <v>0.5</v>
      </c>
      <c r="T351" s="245">
        <f t="shared" si="88"/>
        <v>0</v>
      </c>
      <c r="U351" s="245">
        <f t="shared" si="89"/>
        <v>0</v>
      </c>
      <c r="V351" s="247"/>
    </row>
    <row r="352" spans="1:22" ht="15.75" x14ac:dyDescent="0.25">
      <c r="A352" s="236"/>
      <c r="B352" s="237"/>
      <c r="C352" s="238"/>
      <c r="D352" s="239"/>
      <c r="E352" s="240"/>
      <c r="F352" s="240"/>
      <c r="G352" s="240"/>
      <c r="H352" s="241">
        <f t="shared" si="84"/>
        <v>0</v>
      </c>
      <c r="I352" s="242"/>
      <c r="J352" s="243"/>
      <c r="K352" s="243"/>
      <c r="L352" s="244">
        <v>0.1</v>
      </c>
      <c r="M352" s="244">
        <f t="shared" si="85"/>
        <v>0</v>
      </c>
      <c r="N352" s="244"/>
      <c r="O352" s="244"/>
      <c r="P352" s="244"/>
      <c r="Q352" s="245">
        <f t="shared" si="86"/>
        <v>0</v>
      </c>
      <c r="R352" s="245">
        <f t="shared" si="87"/>
        <v>0</v>
      </c>
      <c r="S352" s="246">
        <v>0.5</v>
      </c>
      <c r="T352" s="245">
        <f t="shared" si="88"/>
        <v>0</v>
      </c>
      <c r="U352" s="245">
        <f t="shared" si="89"/>
        <v>0</v>
      </c>
      <c r="V352" s="247"/>
    </row>
    <row r="353" spans="1:22" ht="15.75" x14ac:dyDescent="0.25">
      <c r="A353" s="236"/>
      <c r="B353" s="237"/>
      <c r="C353" s="238"/>
      <c r="D353" s="239"/>
      <c r="E353" s="240"/>
      <c r="F353" s="240"/>
      <c r="G353" s="240"/>
      <c r="H353" s="241">
        <f t="shared" si="84"/>
        <v>0</v>
      </c>
      <c r="I353" s="242"/>
      <c r="J353" s="243"/>
      <c r="K353" s="243"/>
      <c r="L353" s="244">
        <v>0.1</v>
      </c>
      <c r="M353" s="244">
        <f t="shared" si="85"/>
        <v>0</v>
      </c>
      <c r="N353" s="244"/>
      <c r="O353" s="244"/>
      <c r="P353" s="244"/>
      <c r="Q353" s="245">
        <f t="shared" si="86"/>
        <v>0</v>
      </c>
      <c r="R353" s="245">
        <f t="shared" si="87"/>
        <v>0</v>
      </c>
      <c r="S353" s="246">
        <v>0.5</v>
      </c>
      <c r="T353" s="245">
        <f t="shared" si="88"/>
        <v>0</v>
      </c>
      <c r="U353" s="245">
        <f t="shared" si="89"/>
        <v>0</v>
      </c>
      <c r="V353" s="247"/>
    </row>
    <row r="354" spans="1:22" ht="15.75" x14ac:dyDescent="0.25">
      <c r="A354" s="236"/>
      <c r="B354" s="237"/>
      <c r="C354" s="238"/>
      <c r="D354" s="239"/>
      <c r="E354" s="240"/>
      <c r="F354" s="240"/>
      <c r="G354" s="240"/>
      <c r="H354" s="241">
        <f t="shared" ref="H354:H417" si="90">+E354+F354+G354</f>
        <v>0</v>
      </c>
      <c r="I354" s="242"/>
      <c r="J354" s="243"/>
      <c r="K354" s="243"/>
      <c r="L354" s="244">
        <v>0.1</v>
      </c>
      <c r="M354" s="244">
        <f t="shared" ref="M354:M417" si="91">+L354*C354</f>
        <v>0</v>
      </c>
      <c r="N354" s="244"/>
      <c r="O354" s="244"/>
      <c r="P354" s="244"/>
      <c r="Q354" s="245">
        <f t="shared" ref="Q354:Q417" si="92">+N354+O354+P354</f>
        <v>0</v>
      </c>
      <c r="R354" s="245">
        <f t="shared" ref="R354:R417" si="93">IF(+Q354-H354&lt;=0,0,Q354-H354)</f>
        <v>0</v>
      </c>
      <c r="S354" s="246">
        <v>0.5</v>
      </c>
      <c r="T354" s="245">
        <f t="shared" ref="T354:T417" si="94">+(R354*C354)*S354</f>
        <v>0</v>
      </c>
      <c r="U354" s="245">
        <f t="shared" ref="U354:U417" si="95">+J354+M354+T354</f>
        <v>0</v>
      </c>
      <c r="V354" s="247"/>
    </row>
    <row r="355" spans="1:22" ht="15.75" x14ac:dyDescent="0.25">
      <c r="A355" s="236"/>
      <c r="B355" s="237"/>
      <c r="C355" s="238"/>
      <c r="D355" s="239"/>
      <c r="E355" s="240"/>
      <c r="F355" s="240"/>
      <c r="G355" s="240"/>
      <c r="H355" s="241">
        <f t="shared" si="90"/>
        <v>0</v>
      </c>
      <c r="I355" s="242"/>
      <c r="J355" s="243"/>
      <c r="K355" s="243"/>
      <c r="L355" s="244">
        <v>0.1</v>
      </c>
      <c r="M355" s="244">
        <f t="shared" si="91"/>
        <v>0</v>
      </c>
      <c r="N355" s="244"/>
      <c r="O355" s="244"/>
      <c r="P355" s="244"/>
      <c r="Q355" s="245">
        <f t="shared" si="92"/>
        <v>0</v>
      </c>
      <c r="R355" s="245">
        <f t="shared" si="93"/>
        <v>0</v>
      </c>
      <c r="S355" s="246">
        <v>0.5</v>
      </c>
      <c r="T355" s="245">
        <f t="shared" si="94"/>
        <v>0</v>
      </c>
      <c r="U355" s="245">
        <f t="shared" si="95"/>
        <v>0</v>
      </c>
      <c r="V355" s="247"/>
    </row>
    <row r="356" spans="1:22" ht="15.75" x14ac:dyDescent="0.25">
      <c r="A356" s="236"/>
      <c r="B356" s="237"/>
      <c r="C356" s="238"/>
      <c r="D356" s="239"/>
      <c r="E356" s="240"/>
      <c r="F356" s="240"/>
      <c r="G356" s="240"/>
      <c r="H356" s="241">
        <f t="shared" si="90"/>
        <v>0</v>
      </c>
      <c r="I356" s="242"/>
      <c r="J356" s="243"/>
      <c r="K356" s="243"/>
      <c r="L356" s="244">
        <v>0.1</v>
      </c>
      <c r="M356" s="244">
        <f t="shared" si="91"/>
        <v>0</v>
      </c>
      <c r="N356" s="244"/>
      <c r="O356" s="244"/>
      <c r="P356" s="244"/>
      <c r="Q356" s="245">
        <f t="shared" si="92"/>
        <v>0</v>
      </c>
      <c r="R356" s="245">
        <f t="shared" si="93"/>
        <v>0</v>
      </c>
      <c r="S356" s="246">
        <v>0.5</v>
      </c>
      <c r="T356" s="245">
        <f t="shared" si="94"/>
        <v>0</v>
      </c>
      <c r="U356" s="245">
        <f t="shared" si="95"/>
        <v>0</v>
      </c>
      <c r="V356" s="247"/>
    </row>
    <row r="357" spans="1:22" ht="15.75" x14ac:dyDescent="0.25">
      <c r="A357" s="236"/>
      <c r="B357" s="237"/>
      <c r="C357" s="238"/>
      <c r="D357" s="239"/>
      <c r="E357" s="240"/>
      <c r="F357" s="240"/>
      <c r="G357" s="240"/>
      <c r="H357" s="241">
        <f t="shared" si="90"/>
        <v>0</v>
      </c>
      <c r="I357" s="242"/>
      <c r="J357" s="243"/>
      <c r="K357" s="243"/>
      <c r="L357" s="244">
        <v>0.1</v>
      </c>
      <c r="M357" s="244">
        <f t="shared" si="91"/>
        <v>0</v>
      </c>
      <c r="N357" s="244"/>
      <c r="O357" s="244"/>
      <c r="P357" s="244"/>
      <c r="Q357" s="245">
        <f t="shared" si="92"/>
        <v>0</v>
      </c>
      <c r="R357" s="245">
        <f t="shared" si="93"/>
        <v>0</v>
      </c>
      <c r="S357" s="246">
        <v>0.5</v>
      </c>
      <c r="T357" s="245">
        <f t="shared" si="94"/>
        <v>0</v>
      </c>
      <c r="U357" s="245">
        <f t="shared" si="95"/>
        <v>0</v>
      </c>
      <c r="V357" s="247"/>
    </row>
    <row r="358" spans="1:22" ht="15.75" x14ac:dyDescent="0.25">
      <c r="A358" s="236"/>
      <c r="B358" s="237"/>
      <c r="C358" s="238"/>
      <c r="D358" s="239"/>
      <c r="E358" s="240"/>
      <c r="F358" s="240"/>
      <c r="G358" s="240"/>
      <c r="H358" s="241">
        <f t="shared" si="90"/>
        <v>0</v>
      </c>
      <c r="I358" s="242"/>
      <c r="J358" s="243"/>
      <c r="K358" s="243"/>
      <c r="L358" s="244">
        <v>0.1</v>
      </c>
      <c r="M358" s="244">
        <f t="shared" si="91"/>
        <v>0</v>
      </c>
      <c r="N358" s="244"/>
      <c r="O358" s="244"/>
      <c r="P358" s="244"/>
      <c r="Q358" s="245">
        <f t="shared" si="92"/>
        <v>0</v>
      </c>
      <c r="R358" s="245">
        <f t="shared" si="93"/>
        <v>0</v>
      </c>
      <c r="S358" s="246">
        <v>0.5</v>
      </c>
      <c r="T358" s="245">
        <f t="shared" si="94"/>
        <v>0</v>
      </c>
      <c r="U358" s="245">
        <f t="shared" si="95"/>
        <v>0</v>
      </c>
      <c r="V358" s="247"/>
    </row>
    <row r="359" spans="1:22" ht="15.75" x14ac:dyDescent="0.25">
      <c r="A359" s="236"/>
      <c r="B359" s="237"/>
      <c r="C359" s="238"/>
      <c r="D359" s="239"/>
      <c r="E359" s="240"/>
      <c r="F359" s="240"/>
      <c r="G359" s="240"/>
      <c r="H359" s="241">
        <f t="shared" si="90"/>
        <v>0</v>
      </c>
      <c r="I359" s="242"/>
      <c r="J359" s="243"/>
      <c r="K359" s="243"/>
      <c r="L359" s="244">
        <v>0.1</v>
      </c>
      <c r="M359" s="244">
        <f t="shared" si="91"/>
        <v>0</v>
      </c>
      <c r="N359" s="244"/>
      <c r="O359" s="244"/>
      <c r="P359" s="244"/>
      <c r="Q359" s="245">
        <f t="shared" si="92"/>
        <v>0</v>
      </c>
      <c r="R359" s="245">
        <f t="shared" si="93"/>
        <v>0</v>
      </c>
      <c r="S359" s="246">
        <v>0.5</v>
      </c>
      <c r="T359" s="245">
        <f t="shared" si="94"/>
        <v>0</v>
      </c>
      <c r="U359" s="245">
        <f t="shared" si="95"/>
        <v>0</v>
      </c>
      <c r="V359" s="247"/>
    </row>
    <row r="360" spans="1:22" ht="15.75" x14ac:dyDescent="0.25">
      <c r="A360" s="236"/>
      <c r="B360" s="237"/>
      <c r="C360" s="238"/>
      <c r="D360" s="239"/>
      <c r="E360" s="240"/>
      <c r="F360" s="240"/>
      <c r="G360" s="240"/>
      <c r="H360" s="241">
        <f t="shared" si="90"/>
        <v>0</v>
      </c>
      <c r="I360" s="242"/>
      <c r="J360" s="243"/>
      <c r="K360" s="243"/>
      <c r="L360" s="244">
        <v>0.1</v>
      </c>
      <c r="M360" s="244">
        <f t="shared" si="91"/>
        <v>0</v>
      </c>
      <c r="N360" s="244"/>
      <c r="O360" s="244"/>
      <c r="P360" s="244"/>
      <c r="Q360" s="245">
        <f t="shared" si="92"/>
        <v>0</v>
      </c>
      <c r="R360" s="245">
        <f t="shared" si="93"/>
        <v>0</v>
      </c>
      <c r="S360" s="246">
        <v>0.5</v>
      </c>
      <c r="T360" s="245">
        <f t="shared" si="94"/>
        <v>0</v>
      </c>
      <c r="U360" s="245">
        <f t="shared" si="95"/>
        <v>0</v>
      </c>
      <c r="V360" s="247"/>
    </row>
    <row r="361" spans="1:22" ht="15.75" x14ac:dyDescent="0.25">
      <c r="A361" s="236"/>
      <c r="B361" s="237"/>
      <c r="C361" s="238"/>
      <c r="D361" s="239"/>
      <c r="E361" s="240"/>
      <c r="F361" s="240"/>
      <c r="G361" s="240"/>
      <c r="H361" s="241">
        <f t="shared" si="90"/>
        <v>0</v>
      </c>
      <c r="I361" s="242"/>
      <c r="J361" s="243"/>
      <c r="K361" s="243"/>
      <c r="L361" s="244">
        <v>0.1</v>
      </c>
      <c r="M361" s="244">
        <f t="shared" si="91"/>
        <v>0</v>
      </c>
      <c r="N361" s="244"/>
      <c r="O361" s="244"/>
      <c r="P361" s="244"/>
      <c r="Q361" s="245">
        <f t="shared" si="92"/>
        <v>0</v>
      </c>
      <c r="R361" s="245">
        <f t="shared" si="93"/>
        <v>0</v>
      </c>
      <c r="S361" s="246">
        <v>0.5</v>
      </c>
      <c r="T361" s="245">
        <f t="shared" si="94"/>
        <v>0</v>
      </c>
      <c r="U361" s="245">
        <f t="shared" si="95"/>
        <v>0</v>
      </c>
      <c r="V361" s="247"/>
    </row>
    <row r="362" spans="1:22" ht="15.75" x14ac:dyDescent="0.25">
      <c r="A362" s="236"/>
      <c r="B362" s="237"/>
      <c r="C362" s="238"/>
      <c r="D362" s="239"/>
      <c r="E362" s="240"/>
      <c r="F362" s="240"/>
      <c r="G362" s="240"/>
      <c r="H362" s="241">
        <f t="shared" si="90"/>
        <v>0</v>
      </c>
      <c r="I362" s="242"/>
      <c r="J362" s="243"/>
      <c r="K362" s="243"/>
      <c r="L362" s="244">
        <v>0.1</v>
      </c>
      <c r="M362" s="244">
        <f t="shared" si="91"/>
        <v>0</v>
      </c>
      <c r="N362" s="244"/>
      <c r="O362" s="244"/>
      <c r="P362" s="244"/>
      <c r="Q362" s="245">
        <f t="shared" si="92"/>
        <v>0</v>
      </c>
      <c r="R362" s="245">
        <f t="shared" si="93"/>
        <v>0</v>
      </c>
      <c r="S362" s="246">
        <v>0.5</v>
      </c>
      <c r="T362" s="245">
        <f t="shared" si="94"/>
        <v>0</v>
      </c>
      <c r="U362" s="245">
        <f t="shared" si="95"/>
        <v>0</v>
      </c>
      <c r="V362" s="247"/>
    </row>
    <row r="363" spans="1:22" ht="15.75" x14ac:dyDescent="0.25">
      <c r="A363" s="236"/>
      <c r="B363" s="237"/>
      <c r="C363" s="238"/>
      <c r="D363" s="239"/>
      <c r="E363" s="240"/>
      <c r="F363" s="240"/>
      <c r="G363" s="240"/>
      <c r="H363" s="241">
        <f t="shared" si="90"/>
        <v>0</v>
      </c>
      <c r="I363" s="242"/>
      <c r="J363" s="243"/>
      <c r="K363" s="243"/>
      <c r="L363" s="244">
        <v>0.1</v>
      </c>
      <c r="M363" s="244">
        <f t="shared" si="91"/>
        <v>0</v>
      </c>
      <c r="N363" s="244"/>
      <c r="O363" s="244"/>
      <c r="P363" s="244"/>
      <c r="Q363" s="245">
        <f t="shared" si="92"/>
        <v>0</v>
      </c>
      <c r="R363" s="245">
        <f t="shared" si="93"/>
        <v>0</v>
      </c>
      <c r="S363" s="246">
        <v>0.5</v>
      </c>
      <c r="T363" s="245">
        <f t="shared" si="94"/>
        <v>0</v>
      </c>
      <c r="U363" s="245">
        <f t="shared" si="95"/>
        <v>0</v>
      </c>
      <c r="V363" s="247"/>
    </row>
    <row r="364" spans="1:22" ht="15.75" x14ac:dyDescent="0.25">
      <c r="A364" s="236"/>
      <c r="B364" s="237"/>
      <c r="C364" s="238"/>
      <c r="D364" s="239"/>
      <c r="E364" s="240"/>
      <c r="F364" s="240"/>
      <c r="G364" s="240"/>
      <c r="H364" s="241">
        <f t="shared" si="90"/>
        <v>0</v>
      </c>
      <c r="I364" s="242"/>
      <c r="J364" s="243"/>
      <c r="K364" s="243"/>
      <c r="L364" s="244">
        <v>0.1</v>
      </c>
      <c r="M364" s="244">
        <f t="shared" si="91"/>
        <v>0</v>
      </c>
      <c r="N364" s="244"/>
      <c r="O364" s="244"/>
      <c r="P364" s="244"/>
      <c r="Q364" s="245">
        <f t="shared" si="92"/>
        <v>0</v>
      </c>
      <c r="R364" s="245">
        <f t="shared" si="93"/>
        <v>0</v>
      </c>
      <c r="S364" s="246">
        <v>0.5</v>
      </c>
      <c r="T364" s="245">
        <f t="shared" si="94"/>
        <v>0</v>
      </c>
      <c r="U364" s="245">
        <f t="shared" si="95"/>
        <v>0</v>
      </c>
      <c r="V364" s="247"/>
    </row>
    <row r="365" spans="1:22" ht="15.75" x14ac:dyDescent="0.25">
      <c r="A365" s="236"/>
      <c r="B365" s="237"/>
      <c r="C365" s="238"/>
      <c r="D365" s="239"/>
      <c r="E365" s="240"/>
      <c r="F365" s="240"/>
      <c r="G365" s="240"/>
      <c r="H365" s="241">
        <f t="shared" si="90"/>
        <v>0</v>
      </c>
      <c r="I365" s="242"/>
      <c r="J365" s="243"/>
      <c r="K365" s="243"/>
      <c r="L365" s="244">
        <v>0.1</v>
      </c>
      <c r="M365" s="244">
        <f t="shared" si="91"/>
        <v>0</v>
      </c>
      <c r="N365" s="244"/>
      <c r="O365" s="244"/>
      <c r="P365" s="244"/>
      <c r="Q365" s="245">
        <f t="shared" si="92"/>
        <v>0</v>
      </c>
      <c r="R365" s="245">
        <f t="shared" si="93"/>
        <v>0</v>
      </c>
      <c r="S365" s="246">
        <v>0.5</v>
      </c>
      <c r="T365" s="245">
        <f t="shared" si="94"/>
        <v>0</v>
      </c>
      <c r="U365" s="245">
        <f t="shared" si="95"/>
        <v>0</v>
      </c>
      <c r="V365" s="247"/>
    </row>
    <row r="366" spans="1:22" ht="15.75" x14ac:dyDescent="0.25">
      <c r="A366" s="236"/>
      <c r="B366" s="237"/>
      <c r="C366" s="238"/>
      <c r="D366" s="239"/>
      <c r="E366" s="240"/>
      <c r="F366" s="240"/>
      <c r="G366" s="240"/>
      <c r="H366" s="241">
        <f t="shared" si="90"/>
        <v>0</v>
      </c>
      <c r="I366" s="242"/>
      <c r="J366" s="243"/>
      <c r="K366" s="243"/>
      <c r="L366" s="244">
        <v>0.1</v>
      </c>
      <c r="M366" s="244">
        <f t="shared" si="91"/>
        <v>0</v>
      </c>
      <c r="N366" s="244"/>
      <c r="O366" s="244"/>
      <c r="P366" s="244"/>
      <c r="Q366" s="245">
        <f t="shared" si="92"/>
        <v>0</v>
      </c>
      <c r="R366" s="245">
        <f t="shared" si="93"/>
        <v>0</v>
      </c>
      <c r="S366" s="246">
        <v>0.5</v>
      </c>
      <c r="T366" s="245">
        <f t="shared" si="94"/>
        <v>0</v>
      </c>
      <c r="U366" s="245">
        <f t="shared" si="95"/>
        <v>0</v>
      </c>
      <c r="V366" s="247"/>
    </row>
    <row r="367" spans="1:22" ht="15.75" x14ac:dyDescent="0.25">
      <c r="A367" s="236"/>
      <c r="B367" s="237"/>
      <c r="C367" s="238"/>
      <c r="D367" s="239"/>
      <c r="E367" s="240"/>
      <c r="F367" s="240"/>
      <c r="G367" s="240"/>
      <c r="H367" s="241">
        <f t="shared" si="90"/>
        <v>0</v>
      </c>
      <c r="I367" s="242"/>
      <c r="J367" s="243"/>
      <c r="K367" s="243"/>
      <c r="L367" s="244">
        <v>0.1</v>
      </c>
      <c r="M367" s="244">
        <f t="shared" si="91"/>
        <v>0</v>
      </c>
      <c r="N367" s="244"/>
      <c r="O367" s="244"/>
      <c r="P367" s="244"/>
      <c r="Q367" s="245">
        <f t="shared" si="92"/>
        <v>0</v>
      </c>
      <c r="R367" s="245">
        <f t="shared" si="93"/>
        <v>0</v>
      </c>
      <c r="S367" s="246">
        <v>0.5</v>
      </c>
      <c r="T367" s="245">
        <f t="shared" si="94"/>
        <v>0</v>
      </c>
      <c r="U367" s="245">
        <f t="shared" si="95"/>
        <v>0</v>
      </c>
      <c r="V367" s="247"/>
    </row>
    <row r="368" spans="1:22" ht="15.75" x14ac:dyDescent="0.25">
      <c r="A368" s="236"/>
      <c r="B368" s="237"/>
      <c r="C368" s="238"/>
      <c r="D368" s="239"/>
      <c r="E368" s="240"/>
      <c r="F368" s="240"/>
      <c r="G368" s="240"/>
      <c r="H368" s="241">
        <f t="shared" si="90"/>
        <v>0</v>
      </c>
      <c r="I368" s="242"/>
      <c r="J368" s="243"/>
      <c r="K368" s="243"/>
      <c r="L368" s="244">
        <v>0.1</v>
      </c>
      <c r="M368" s="244">
        <f t="shared" si="91"/>
        <v>0</v>
      </c>
      <c r="N368" s="244"/>
      <c r="O368" s="244"/>
      <c r="P368" s="244"/>
      <c r="Q368" s="245">
        <f t="shared" si="92"/>
        <v>0</v>
      </c>
      <c r="R368" s="245">
        <f t="shared" si="93"/>
        <v>0</v>
      </c>
      <c r="S368" s="246">
        <v>0.5</v>
      </c>
      <c r="T368" s="245">
        <f t="shared" si="94"/>
        <v>0</v>
      </c>
      <c r="U368" s="245">
        <f t="shared" si="95"/>
        <v>0</v>
      </c>
      <c r="V368" s="247"/>
    </row>
    <row r="369" spans="1:22" ht="15.75" x14ac:dyDescent="0.25">
      <c r="A369" s="236"/>
      <c r="B369" s="237"/>
      <c r="C369" s="238"/>
      <c r="D369" s="239"/>
      <c r="E369" s="240"/>
      <c r="F369" s="240"/>
      <c r="G369" s="240"/>
      <c r="H369" s="241">
        <f t="shared" si="90"/>
        <v>0</v>
      </c>
      <c r="I369" s="242"/>
      <c r="J369" s="243"/>
      <c r="K369" s="243"/>
      <c r="L369" s="244">
        <v>0.1</v>
      </c>
      <c r="M369" s="244">
        <f t="shared" si="91"/>
        <v>0</v>
      </c>
      <c r="N369" s="244"/>
      <c r="O369" s="244"/>
      <c r="P369" s="244"/>
      <c r="Q369" s="245">
        <f t="shared" si="92"/>
        <v>0</v>
      </c>
      <c r="R369" s="245">
        <f t="shared" si="93"/>
        <v>0</v>
      </c>
      <c r="S369" s="246">
        <v>0.5</v>
      </c>
      <c r="T369" s="245">
        <f t="shared" si="94"/>
        <v>0</v>
      </c>
      <c r="U369" s="245">
        <f t="shared" si="95"/>
        <v>0</v>
      </c>
      <c r="V369" s="247"/>
    </row>
    <row r="370" spans="1:22" ht="15.75" x14ac:dyDescent="0.25">
      <c r="A370" s="236"/>
      <c r="B370" s="237"/>
      <c r="C370" s="238"/>
      <c r="D370" s="239"/>
      <c r="E370" s="240"/>
      <c r="F370" s="240"/>
      <c r="G370" s="240"/>
      <c r="H370" s="241">
        <f t="shared" si="90"/>
        <v>0</v>
      </c>
      <c r="I370" s="242"/>
      <c r="J370" s="243"/>
      <c r="K370" s="243"/>
      <c r="L370" s="244">
        <v>0.1</v>
      </c>
      <c r="M370" s="244">
        <f t="shared" si="91"/>
        <v>0</v>
      </c>
      <c r="N370" s="244"/>
      <c r="O370" s="244"/>
      <c r="P370" s="244"/>
      <c r="Q370" s="245">
        <f t="shared" si="92"/>
        <v>0</v>
      </c>
      <c r="R370" s="245">
        <f t="shared" si="93"/>
        <v>0</v>
      </c>
      <c r="S370" s="246">
        <v>0.5</v>
      </c>
      <c r="T370" s="245">
        <f t="shared" si="94"/>
        <v>0</v>
      </c>
      <c r="U370" s="245">
        <f t="shared" si="95"/>
        <v>0</v>
      </c>
      <c r="V370" s="247"/>
    </row>
    <row r="371" spans="1:22" ht="15.75" x14ac:dyDescent="0.25">
      <c r="A371" s="236"/>
      <c r="B371" s="237"/>
      <c r="C371" s="238"/>
      <c r="D371" s="239"/>
      <c r="E371" s="240"/>
      <c r="F371" s="240"/>
      <c r="G371" s="240"/>
      <c r="H371" s="241">
        <f t="shared" si="90"/>
        <v>0</v>
      </c>
      <c r="I371" s="242"/>
      <c r="J371" s="243"/>
      <c r="K371" s="243"/>
      <c r="L371" s="244">
        <v>0.1</v>
      </c>
      <c r="M371" s="244">
        <f t="shared" si="91"/>
        <v>0</v>
      </c>
      <c r="N371" s="244"/>
      <c r="O371" s="244"/>
      <c r="P371" s="244"/>
      <c r="Q371" s="245">
        <f t="shared" si="92"/>
        <v>0</v>
      </c>
      <c r="R371" s="245">
        <f t="shared" si="93"/>
        <v>0</v>
      </c>
      <c r="S371" s="246">
        <v>0.5</v>
      </c>
      <c r="T371" s="245">
        <f t="shared" si="94"/>
        <v>0</v>
      </c>
      <c r="U371" s="245">
        <f t="shared" si="95"/>
        <v>0</v>
      </c>
      <c r="V371" s="247"/>
    </row>
    <row r="372" spans="1:22" ht="15.75" x14ac:dyDescent="0.25">
      <c r="A372" s="236"/>
      <c r="B372" s="237"/>
      <c r="C372" s="238"/>
      <c r="D372" s="239"/>
      <c r="E372" s="240"/>
      <c r="F372" s="240"/>
      <c r="G372" s="240"/>
      <c r="H372" s="241">
        <f t="shared" si="90"/>
        <v>0</v>
      </c>
      <c r="I372" s="242"/>
      <c r="J372" s="243"/>
      <c r="K372" s="243"/>
      <c r="L372" s="244">
        <v>0.1</v>
      </c>
      <c r="M372" s="244">
        <f t="shared" si="91"/>
        <v>0</v>
      </c>
      <c r="N372" s="244"/>
      <c r="O372" s="244"/>
      <c r="P372" s="244"/>
      <c r="Q372" s="245">
        <f t="shared" si="92"/>
        <v>0</v>
      </c>
      <c r="R372" s="245">
        <f t="shared" si="93"/>
        <v>0</v>
      </c>
      <c r="S372" s="246">
        <v>0.5</v>
      </c>
      <c r="T372" s="245">
        <f t="shared" si="94"/>
        <v>0</v>
      </c>
      <c r="U372" s="245">
        <f t="shared" si="95"/>
        <v>0</v>
      </c>
      <c r="V372" s="247"/>
    </row>
    <row r="373" spans="1:22" ht="15.75" x14ac:dyDescent="0.25">
      <c r="A373" s="236"/>
      <c r="B373" s="237"/>
      <c r="C373" s="238"/>
      <c r="D373" s="239"/>
      <c r="E373" s="240"/>
      <c r="F373" s="240"/>
      <c r="G373" s="240"/>
      <c r="H373" s="241">
        <f t="shared" si="90"/>
        <v>0</v>
      </c>
      <c r="I373" s="242"/>
      <c r="J373" s="243"/>
      <c r="K373" s="243"/>
      <c r="L373" s="244">
        <v>0.1</v>
      </c>
      <c r="M373" s="244">
        <f t="shared" si="91"/>
        <v>0</v>
      </c>
      <c r="N373" s="244"/>
      <c r="O373" s="244"/>
      <c r="P373" s="244"/>
      <c r="Q373" s="245">
        <f t="shared" si="92"/>
        <v>0</v>
      </c>
      <c r="R373" s="245">
        <f t="shared" si="93"/>
        <v>0</v>
      </c>
      <c r="S373" s="246">
        <v>0.5</v>
      </c>
      <c r="T373" s="245">
        <f t="shared" si="94"/>
        <v>0</v>
      </c>
      <c r="U373" s="245">
        <f t="shared" si="95"/>
        <v>0</v>
      </c>
      <c r="V373" s="247"/>
    </row>
    <row r="374" spans="1:22" ht="15.75" x14ac:dyDescent="0.25">
      <c r="A374" s="236"/>
      <c r="B374" s="237"/>
      <c r="C374" s="238"/>
      <c r="D374" s="239"/>
      <c r="E374" s="240"/>
      <c r="F374" s="240"/>
      <c r="G374" s="240"/>
      <c r="H374" s="241">
        <f t="shared" si="90"/>
        <v>0</v>
      </c>
      <c r="I374" s="242"/>
      <c r="J374" s="243"/>
      <c r="K374" s="243"/>
      <c r="L374" s="244">
        <v>0.1</v>
      </c>
      <c r="M374" s="244">
        <f t="shared" si="91"/>
        <v>0</v>
      </c>
      <c r="N374" s="244"/>
      <c r="O374" s="244"/>
      <c r="P374" s="244"/>
      <c r="Q374" s="245">
        <f t="shared" si="92"/>
        <v>0</v>
      </c>
      <c r="R374" s="245">
        <f t="shared" si="93"/>
        <v>0</v>
      </c>
      <c r="S374" s="246">
        <v>0.5</v>
      </c>
      <c r="T374" s="245">
        <f t="shared" si="94"/>
        <v>0</v>
      </c>
      <c r="U374" s="245">
        <f t="shared" si="95"/>
        <v>0</v>
      </c>
      <c r="V374" s="247"/>
    </row>
    <row r="375" spans="1:22" ht="15.75" x14ac:dyDescent="0.25">
      <c r="A375" s="236"/>
      <c r="B375" s="237"/>
      <c r="C375" s="238"/>
      <c r="D375" s="239"/>
      <c r="E375" s="240"/>
      <c r="F375" s="240"/>
      <c r="G375" s="240"/>
      <c r="H375" s="241">
        <f t="shared" si="90"/>
        <v>0</v>
      </c>
      <c r="I375" s="242"/>
      <c r="J375" s="243"/>
      <c r="K375" s="243"/>
      <c r="L375" s="244">
        <v>0.1</v>
      </c>
      <c r="M375" s="244">
        <f t="shared" si="91"/>
        <v>0</v>
      </c>
      <c r="N375" s="244"/>
      <c r="O375" s="244"/>
      <c r="P375" s="244"/>
      <c r="Q375" s="245">
        <f t="shared" si="92"/>
        <v>0</v>
      </c>
      <c r="R375" s="245">
        <f t="shared" si="93"/>
        <v>0</v>
      </c>
      <c r="S375" s="246">
        <v>0.5</v>
      </c>
      <c r="T375" s="245">
        <f t="shared" si="94"/>
        <v>0</v>
      </c>
      <c r="U375" s="245">
        <f t="shared" si="95"/>
        <v>0</v>
      </c>
      <c r="V375" s="247"/>
    </row>
    <row r="376" spans="1:22" ht="15.75" x14ac:dyDescent="0.25">
      <c r="A376" s="236"/>
      <c r="B376" s="237"/>
      <c r="C376" s="238"/>
      <c r="D376" s="239"/>
      <c r="E376" s="240"/>
      <c r="F376" s="240"/>
      <c r="G376" s="240"/>
      <c r="H376" s="241">
        <f t="shared" si="90"/>
        <v>0</v>
      </c>
      <c r="I376" s="242"/>
      <c r="J376" s="243"/>
      <c r="K376" s="243"/>
      <c r="L376" s="244">
        <v>0.1</v>
      </c>
      <c r="M376" s="244">
        <f t="shared" si="91"/>
        <v>0</v>
      </c>
      <c r="N376" s="244"/>
      <c r="O376" s="244"/>
      <c r="P376" s="244"/>
      <c r="Q376" s="245">
        <f t="shared" si="92"/>
        <v>0</v>
      </c>
      <c r="R376" s="245">
        <f t="shared" si="93"/>
        <v>0</v>
      </c>
      <c r="S376" s="246">
        <v>0.5</v>
      </c>
      <c r="T376" s="245">
        <f t="shared" si="94"/>
        <v>0</v>
      </c>
      <c r="U376" s="245">
        <f t="shared" si="95"/>
        <v>0</v>
      </c>
      <c r="V376" s="247"/>
    </row>
    <row r="377" spans="1:22" ht="15.75" x14ac:dyDescent="0.25">
      <c r="A377" s="236"/>
      <c r="B377" s="237"/>
      <c r="C377" s="238"/>
      <c r="D377" s="239"/>
      <c r="E377" s="240"/>
      <c r="F377" s="240"/>
      <c r="G377" s="240"/>
      <c r="H377" s="241">
        <f t="shared" si="90"/>
        <v>0</v>
      </c>
      <c r="I377" s="242"/>
      <c r="J377" s="243"/>
      <c r="K377" s="243"/>
      <c r="L377" s="244">
        <v>0.1</v>
      </c>
      <c r="M377" s="244">
        <f t="shared" si="91"/>
        <v>0</v>
      </c>
      <c r="N377" s="244"/>
      <c r="O377" s="244"/>
      <c r="P377" s="244"/>
      <c r="Q377" s="245">
        <f t="shared" si="92"/>
        <v>0</v>
      </c>
      <c r="R377" s="245">
        <f t="shared" si="93"/>
        <v>0</v>
      </c>
      <c r="S377" s="246">
        <v>0.5</v>
      </c>
      <c r="T377" s="245">
        <f t="shared" si="94"/>
        <v>0</v>
      </c>
      <c r="U377" s="245">
        <f t="shared" si="95"/>
        <v>0</v>
      </c>
      <c r="V377" s="247"/>
    </row>
    <row r="378" spans="1:22" ht="15.75" x14ac:dyDescent="0.25">
      <c r="A378" s="236"/>
      <c r="B378" s="237"/>
      <c r="C378" s="238"/>
      <c r="D378" s="239"/>
      <c r="E378" s="240"/>
      <c r="F378" s="240"/>
      <c r="G378" s="240"/>
      <c r="H378" s="241">
        <f t="shared" si="90"/>
        <v>0</v>
      </c>
      <c r="I378" s="242"/>
      <c r="J378" s="243"/>
      <c r="K378" s="243"/>
      <c r="L378" s="244">
        <v>0.1</v>
      </c>
      <c r="M378" s="244">
        <f t="shared" si="91"/>
        <v>0</v>
      </c>
      <c r="N378" s="244"/>
      <c r="O378" s="244"/>
      <c r="P378" s="244"/>
      <c r="Q378" s="245">
        <f t="shared" si="92"/>
        <v>0</v>
      </c>
      <c r="R378" s="245">
        <f t="shared" si="93"/>
        <v>0</v>
      </c>
      <c r="S378" s="246">
        <v>0.5</v>
      </c>
      <c r="T378" s="245">
        <f t="shared" si="94"/>
        <v>0</v>
      </c>
      <c r="U378" s="245">
        <f t="shared" si="95"/>
        <v>0</v>
      </c>
      <c r="V378" s="247"/>
    </row>
    <row r="379" spans="1:22" ht="15.75" x14ac:dyDescent="0.25">
      <c r="A379" s="236"/>
      <c r="B379" s="237"/>
      <c r="C379" s="238"/>
      <c r="D379" s="239"/>
      <c r="E379" s="240"/>
      <c r="F379" s="240"/>
      <c r="G379" s="240"/>
      <c r="H379" s="241">
        <f t="shared" si="90"/>
        <v>0</v>
      </c>
      <c r="I379" s="242"/>
      <c r="J379" s="243"/>
      <c r="K379" s="243"/>
      <c r="L379" s="244">
        <v>0.1</v>
      </c>
      <c r="M379" s="244">
        <f t="shared" si="91"/>
        <v>0</v>
      </c>
      <c r="N379" s="244"/>
      <c r="O379" s="244"/>
      <c r="P379" s="244"/>
      <c r="Q379" s="245">
        <f t="shared" si="92"/>
        <v>0</v>
      </c>
      <c r="R379" s="245">
        <f t="shared" si="93"/>
        <v>0</v>
      </c>
      <c r="S379" s="246">
        <v>0.5</v>
      </c>
      <c r="T379" s="245">
        <f t="shared" si="94"/>
        <v>0</v>
      </c>
      <c r="U379" s="245">
        <f t="shared" si="95"/>
        <v>0</v>
      </c>
      <c r="V379" s="247"/>
    </row>
    <row r="380" spans="1:22" ht="15.75" x14ac:dyDescent="0.25">
      <c r="A380" s="236"/>
      <c r="B380" s="237"/>
      <c r="C380" s="238"/>
      <c r="D380" s="239"/>
      <c r="E380" s="240"/>
      <c r="F380" s="240"/>
      <c r="G380" s="240"/>
      <c r="H380" s="241">
        <f t="shared" si="90"/>
        <v>0</v>
      </c>
      <c r="I380" s="242"/>
      <c r="J380" s="243"/>
      <c r="K380" s="243"/>
      <c r="L380" s="244">
        <v>0.1</v>
      </c>
      <c r="M380" s="244">
        <f t="shared" si="91"/>
        <v>0</v>
      </c>
      <c r="N380" s="244"/>
      <c r="O380" s="244"/>
      <c r="P380" s="244"/>
      <c r="Q380" s="245">
        <f t="shared" si="92"/>
        <v>0</v>
      </c>
      <c r="R380" s="245">
        <f t="shared" si="93"/>
        <v>0</v>
      </c>
      <c r="S380" s="246">
        <v>0.5</v>
      </c>
      <c r="T380" s="245">
        <f t="shared" si="94"/>
        <v>0</v>
      </c>
      <c r="U380" s="245">
        <f t="shared" si="95"/>
        <v>0</v>
      </c>
      <c r="V380" s="247"/>
    </row>
    <row r="381" spans="1:22" ht="15.75" x14ac:dyDescent="0.25">
      <c r="A381" s="236"/>
      <c r="B381" s="237"/>
      <c r="C381" s="238"/>
      <c r="D381" s="239"/>
      <c r="E381" s="240"/>
      <c r="F381" s="240"/>
      <c r="G381" s="240"/>
      <c r="H381" s="241">
        <f t="shared" si="90"/>
        <v>0</v>
      </c>
      <c r="I381" s="242"/>
      <c r="J381" s="243"/>
      <c r="K381" s="243"/>
      <c r="L381" s="244">
        <v>0.1</v>
      </c>
      <c r="M381" s="244">
        <f t="shared" si="91"/>
        <v>0</v>
      </c>
      <c r="N381" s="244"/>
      <c r="O381" s="244"/>
      <c r="P381" s="244"/>
      <c r="Q381" s="245">
        <f t="shared" si="92"/>
        <v>0</v>
      </c>
      <c r="R381" s="245">
        <f t="shared" si="93"/>
        <v>0</v>
      </c>
      <c r="S381" s="246">
        <v>0.5</v>
      </c>
      <c r="T381" s="245">
        <f t="shared" si="94"/>
        <v>0</v>
      </c>
      <c r="U381" s="245">
        <f t="shared" si="95"/>
        <v>0</v>
      </c>
      <c r="V381" s="247"/>
    </row>
    <row r="382" spans="1:22" ht="15.75" x14ac:dyDescent="0.25">
      <c r="A382" s="236"/>
      <c r="B382" s="237"/>
      <c r="C382" s="238"/>
      <c r="D382" s="239"/>
      <c r="E382" s="240"/>
      <c r="F382" s="240"/>
      <c r="G382" s="240"/>
      <c r="H382" s="241">
        <f t="shared" si="90"/>
        <v>0</v>
      </c>
      <c r="I382" s="242"/>
      <c r="J382" s="243"/>
      <c r="K382" s="243"/>
      <c r="L382" s="244">
        <v>0.1</v>
      </c>
      <c r="M382" s="244">
        <f t="shared" si="91"/>
        <v>0</v>
      </c>
      <c r="N382" s="244"/>
      <c r="O382" s="244"/>
      <c r="P382" s="244"/>
      <c r="Q382" s="245">
        <f t="shared" si="92"/>
        <v>0</v>
      </c>
      <c r="R382" s="245">
        <f t="shared" si="93"/>
        <v>0</v>
      </c>
      <c r="S382" s="246">
        <v>0.5</v>
      </c>
      <c r="T382" s="245">
        <f t="shared" si="94"/>
        <v>0</v>
      </c>
      <c r="U382" s="245">
        <f t="shared" si="95"/>
        <v>0</v>
      </c>
      <c r="V382" s="247"/>
    </row>
    <row r="383" spans="1:22" ht="15.75" x14ac:dyDescent="0.25">
      <c r="A383" s="236"/>
      <c r="B383" s="237"/>
      <c r="C383" s="238"/>
      <c r="D383" s="239"/>
      <c r="E383" s="240"/>
      <c r="F383" s="240"/>
      <c r="G383" s="240"/>
      <c r="H383" s="241">
        <f t="shared" si="90"/>
        <v>0</v>
      </c>
      <c r="I383" s="242"/>
      <c r="J383" s="243"/>
      <c r="K383" s="243"/>
      <c r="L383" s="244">
        <v>0.1</v>
      </c>
      <c r="M383" s="244">
        <f t="shared" si="91"/>
        <v>0</v>
      </c>
      <c r="N383" s="244"/>
      <c r="O383" s="244"/>
      <c r="P383" s="244"/>
      <c r="Q383" s="245">
        <f t="shared" si="92"/>
        <v>0</v>
      </c>
      <c r="R383" s="245">
        <f t="shared" si="93"/>
        <v>0</v>
      </c>
      <c r="S383" s="246">
        <v>0.5</v>
      </c>
      <c r="T383" s="245">
        <f t="shared" si="94"/>
        <v>0</v>
      </c>
      <c r="U383" s="245">
        <f t="shared" si="95"/>
        <v>0</v>
      </c>
      <c r="V383" s="247"/>
    </row>
    <row r="384" spans="1:22" ht="15.75" x14ac:dyDescent="0.25">
      <c r="A384" s="236"/>
      <c r="B384" s="237"/>
      <c r="C384" s="238"/>
      <c r="D384" s="239"/>
      <c r="E384" s="240"/>
      <c r="F384" s="240"/>
      <c r="G384" s="240"/>
      <c r="H384" s="241">
        <f t="shared" si="90"/>
        <v>0</v>
      </c>
      <c r="I384" s="242"/>
      <c r="J384" s="243"/>
      <c r="K384" s="243"/>
      <c r="L384" s="244">
        <v>0.1</v>
      </c>
      <c r="M384" s="244">
        <f t="shared" si="91"/>
        <v>0</v>
      </c>
      <c r="N384" s="244"/>
      <c r="O384" s="244"/>
      <c r="P384" s="244"/>
      <c r="Q384" s="245">
        <f t="shared" si="92"/>
        <v>0</v>
      </c>
      <c r="R384" s="245">
        <f t="shared" si="93"/>
        <v>0</v>
      </c>
      <c r="S384" s="246">
        <v>0.5</v>
      </c>
      <c r="T384" s="245">
        <f t="shared" si="94"/>
        <v>0</v>
      </c>
      <c r="U384" s="245">
        <f t="shared" si="95"/>
        <v>0</v>
      </c>
      <c r="V384" s="247"/>
    </row>
    <row r="385" spans="1:22" ht="15.75" x14ac:dyDescent="0.25">
      <c r="A385" s="236"/>
      <c r="B385" s="237"/>
      <c r="C385" s="238"/>
      <c r="D385" s="239"/>
      <c r="E385" s="240"/>
      <c r="F385" s="240"/>
      <c r="G385" s="240"/>
      <c r="H385" s="241">
        <f t="shared" si="90"/>
        <v>0</v>
      </c>
      <c r="I385" s="242"/>
      <c r="J385" s="243"/>
      <c r="K385" s="243"/>
      <c r="L385" s="244">
        <v>0.1</v>
      </c>
      <c r="M385" s="244">
        <f t="shared" si="91"/>
        <v>0</v>
      </c>
      <c r="N385" s="244"/>
      <c r="O385" s="244"/>
      <c r="P385" s="244"/>
      <c r="Q385" s="245">
        <f t="shared" si="92"/>
        <v>0</v>
      </c>
      <c r="R385" s="245">
        <f t="shared" si="93"/>
        <v>0</v>
      </c>
      <c r="S385" s="246">
        <v>0.5</v>
      </c>
      <c r="T385" s="245">
        <f t="shared" si="94"/>
        <v>0</v>
      </c>
      <c r="U385" s="245">
        <f t="shared" si="95"/>
        <v>0</v>
      </c>
      <c r="V385" s="247"/>
    </row>
    <row r="386" spans="1:22" ht="15.75" x14ac:dyDescent="0.25">
      <c r="A386" s="236"/>
      <c r="B386" s="237"/>
      <c r="C386" s="238"/>
      <c r="D386" s="239"/>
      <c r="E386" s="240"/>
      <c r="F386" s="240"/>
      <c r="G386" s="240"/>
      <c r="H386" s="241">
        <f t="shared" si="90"/>
        <v>0</v>
      </c>
      <c r="I386" s="242"/>
      <c r="J386" s="243"/>
      <c r="K386" s="243"/>
      <c r="L386" s="244">
        <v>0.1</v>
      </c>
      <c r="M386" s="244">
        <f t="shared" si="91"/>
        <v>0</v>
      </c>
      <c r="N386" s="244"/>
      <c r="O386" s="244"/>
      <c r="P386" s="244"/>
      <c r="Q386" s="245">
        <f t="shared" si="92"/>
        <v>0</v>
      </c>
      <c r="R386" s="245">
        <f t="shared" si="93"/>
        <v>0</v>
      </c>
      <c r="S386" s="246">
        <v>0.5</v>
      </c>
      <c r="T386" s="245">
        <f t="shared" si="94"/>
        <v>0</v>
      </c>
      <c r="U386" s="245">
        <f t="shared" si="95"/>
        <v>0</v>
      </c>
      <c r="V386" s="247"/>
    </row>
    <row r="387" spans="1:22" ht="15.75" x14ac:dyDescent="0.25">
      <c r="A387" s="236"/>
      <c r="B387" s="237"/>
      <c r="C387" s="238"/>
      <c r="D387" s="239"/>
      <c r="E387" s="240"/>
      <c r="F387" s="240"/>
      <c r="G387" s="240"/>
      <c r="H387" s="241">
        <f t="shared" si="90"/>
        <v>0</v>
      </c>
      <c r="I387" s="242"/>
      <c r="J387" s="243"/>
      <c r="K387" s="243"/>
      <c r="L387" s="244">
        <v>0.1</v>
      </c>
      <c r="M387" s="244">
        <f t="shared" si="91"/>
        <v>0</v>
      </c>
      <c r="N387" s="244"/>
      <c r="O387" s="244"/>
      <c r="P387" s="244"/>
      <c r="Q387" s="245">
        <f t="shared" si="92"/>
        <v>0</v>
      </c>
      <c r="R387" s="245">
        <f t="shared" si="93"/>
        <v>0</v>
      </c>
      <c r="S387" s="246">
        <v>0.5</v>
      </c>
      <c r="T387" s="245">
        <f t="shared" si="94"/>
        <v>0</v>
      </c>
      <c r="U387" s="245">
        <f t="shared" si="95"/>
        <v>0</v>
      </c>
      <c r="V387" s="247"/>
    </row>
    <row r="388" spans="1:22" ht="15.75" x14ac:dyDescent="0.25">
      <c r="A388" s="236"/>
      <c r="B388" s="237"/>
      <c r="C388" s="238"/>
      <c r="D388" s="239"/>
      <c r="E388" s="240"/>
      <c r="F388" s="240"/>
      <c r="G388" s="240"/>
      <c r="H388" s="241">
        <f t="shared" si="90"/>
        <v>0</v>
      </c>
      <c r="I388" s="242"/>
      <c r="J388" s="243"/>
      <c r="K388" s="243"/>
      <c r="L388" s="244">
        <v>0.1</v>
      </c>
      <c r="M388" s="244">
        <f t="shared" si="91"/>
        <v>0</v>
      </c>
      <c r="N388" s="244"/>
      <c r="O388" s="244"/>
      <c r="P388" s="244"/>
      <c r="Q388" s="245">
        <f t="shared" si="92"/>
        <v>0</v>
      </c>
      <c r="R388" s="245">
        <f t="shared" si="93"/>
        <v>0</v>
      </c>
      <c r="S388" s="246">
        <v>0.5</v>
      </c>
      <c r="T388" s="245">
        <f t="shared" si="94"/>
        <v>0</v>
      </c>
      <c r="U388" s="245">
        <f t="shared" si="95"/>
        <v>0</v>
      </c>
      <c r="V388" s="247"/>
    </row>
    <row r="389" spans="1:22" ht="15.75" x14ac:dyDescent="0.25">
      <c r="A389" s="236"/>
      <c r="B389" s="237"/>
      <c r="C389" s="238"/>
      <c r="D389" s="239"/>
      <c r="E389" s="240"/>
      <c r="F389" s="240"/>
      <c r="G389" s="240"/>
      <c r="H389" s="241">
        <f t="shared" si="90"/>
        <v>0</v>
      </c>
      <c r="I389" s="242"/>
      <c r="J389" s="243"/>
      <c r="K389" s="243"/>
      <c r="L389" s="244">
        <v>0.1</v>
      </c>
      <c r="M389" s="244">
        <f t="shared" si="91"/>
        <v>0</v>
      </c>
      <c r="N389" s="244"/>
      <c r="O389" s="244"/>
      <c r="P389" s="244"/>
      <c r="Q389" s="245">
        <f t="shared" si="92"/>
        <v>0</v>
      </c>
      <c r="R389" s="245">
        <f t="shared" si="93"/>
        <v>0</v>
      </c>
      <c r="S389" s="246">
        <v>0.5</v>
      </c>
      <c r="T389" s="245">
        <f t="shared" si="94"/>
        <v>0</v>
      </c>
      <c r="U389" s="245">
        <f t="shared" si="95"/>
        <v>0</v>
      </c>
      <c r="V389" s="247"/>
    </row>
    <row r="390" spans="1:22" ht="15.75" x14ac:dyDescent="0.25">
      <c r="A390" s="236"/>
      <c r="B390" s="237"/>
      <c r="C390" s="238"/>
      <c r="D390" s="239"/>
      <c r="E390" s="240"/>
      <c r="F390" s="240"/>
      <c r="G390" s="240"/>
      <c r="H390" s="241">
        <f t="shared" si="90"/>
        <v>0</v>
      </c>
      <c r="I390" s="242"/>
      <c r="J390" s="243"/>
      <c r="K390" s="243"/>
      <c r="L390" s="244">
        <v>0.1</v>
      </c>
      <c r="M390" s="244">
        <f t="shared" si="91"/>
        <v>0</v>
      </c>
      <c r="N390" s="244"/>
      <c r="O390" s="244"/>
      <c r="P390" s="244"/>
      <c r="Q390" s="245">
        <f t="shared" si="92"/>
        <v>0</v>
      </c>
      <c r="R390" s="245">
        <f t="shared" si="93"/>
        <v>0</v>
      </c>
      <c r="S390" s="246">
        <v>0.5</v>
      </c>
      <c r="T390" s="245">
        <f t="shared" si="94"/>
        <v>0</v>
      </c>
      <c r="U390" s="245">
        <f t="shared" si="95"/>
        <v>0</v>
      </c>
      <c r="V390" s="247"/>
    </row>
    <row r="391" spans="1:22" ht="15.75" x14ac:dyDescent="0.25">
      <c r="A391" s="236"/>
      <c r="B391" s="237"/>
      <c r="C391" s="238"/>
      <c r="D391" s="239"/>
      <c r="E391" s="240"/>
      <c r="F391" s="240"/>
      <c r="G391" s="240"/>
      <c r="H391" s="241">
        <f t="shared" si="90"/>
        <v>0</v>
      </c>
      <c r="I391" s="242"/>
      <c r="J391" s="243"/>
      <c r="K391" s="243"/>
      <c r="L391" s="244">
        <v>0.1</v>
      </c>
      <c r="M391" s="244">
        <f t="shared" si="91"/>
        <v>0</v>
      </c>
      <c r="N391" s="244"/>
      <c r="O391" s="244"/>
      <c r="P391" s="244"/>
      <c r="Q391" s="245">
        <f t="shared" si="92"/>
        <v>0</v>
      </c>
      <c r="R391" s="245">
        <f t="shared" si="93"/>
        <v>0</v>
      </c>
      <c r="S391" s="246">
        <v>0.5</v>
      </c>
      <c r="T391" s="245">
        <f t="shared" si="94"/>
        <v>0</v>
      </c>
      <c r="U391" s="245">
        <f t="shared" si="95"/>
        <v>0</v>
      </c>
      <c r="V391" s="247"/>
    </row>
    <row r="392" spans="1:22" ht="15.75" x14ac:dyDescent="0.25">
      <c r="A392" s="236"/>
      <c r="B392" s="237"/>
      <c r="C392" s="238"/>
      <c r="D392" s="239"/>
      <c r="E392" s="240"/>
      <c r="F392" s="240"/>
      <c r="G392" s="240"/>
      <c r="H392" s="241">
        <f t="shared" si="90"/>
        <v>0</v>
      </c>
      <c r="I392" s="242"/>
      <c r="J392" s="243"/>
      <c r="K392" s="243"/>
      <c r="L392" s="244">
        <v>0.1</v>
      </c>
      <c r="M392" s="244">
        <f t="shared" si="91"/>
        <v>0</v>
      </c>
      <c r="N392" s="244"/>
      <c r="O392" s="244"/>
      <c r="P392" s="244"/>
      <c r="Q392" s="245">
        <f t="shared" si="92"/>
        <v>0</v>
      </c>
      <c r="R392" s="245">
        <f t="shared" si="93"/>
        <v>0</v>
      </c>
      <c r="S392" s="246">
        <v>0.5</v>
      </c>
      <c r="T392" s="245">
        <f t="shared" si="94"/>
        <v>0</v>
      </c>
      <c r="U392" s="245">
        <f t="shared" si="95"/>
        <v>0</v>
      </c>
      <c r="V392" s="247"/>
    </row>
    <row r="393" spans="1:22" ht="15.75" x14ac:dyDescent="0.25">
      <c r="A393" s="236"/>
      <c r="B393" s="237"/>
      <c r="C393" s="238"/>
      <c r="D393" s="239"/>
      <c r="E393" s="240"/>
      <c r="F393" s="240"/>
      <c r="G393" s="240"/>
      <c r="H393" s="241">
        <f t="shared" si="90"/>
        <v>0</v>
      </c>
      <c r="I393" s="242"/>
      <c r="J393" s="243"/>
      <c r="K393" s="243"/>
      <c r="L393" s="244">
        <v>0.1</v>
      </c>
      <c r="M393" s="244">
        <f t="shared" si="91"/>
        <v>0</v>
      </c>
      <c r="N393" s="244"/>
      <c r="O393" s="244"/>
      <c r="P393" s="244"/>
      <c r="Q393" s="245">
        <f t="shared" si="92"/>
        <v>0</v>
      </c>
      <c r="R393" s="245">
        <f t="shared" si="93"/>
        <v>0</v>
      </c>
      <c r="S393" s="246">
        <v>0.5</v>
      </c>
      <c r="T393" s="245">
        <f t="shared" si="94"/>
        <v>0</v>
      </c>
      <c r="U393" s="245">
        <f t="shared" si="95"/>
        <v>0</v>
      </c>
      <c r="V393" s="247"/>
    </row>
    <row r="394" spans="1:22" ht="15.75" x14ac:dyDescent="0.25">
      <c r="A394" s="236"/>
      <c r="B394" s="237"/>
      <c r="C394" s="238"/>
      <c r="D394" s="239"/>
      <c r="E394" s="240"/>
      <c r="F394" s="240"/>
      <c r="G394" s="240"/>
      <c r="H394" s="241">
        <f t="shared" si="90"/>
        <v>0</v>
      </c>
      <c r="I394" s="242"/>
      <c r="J394" s="243"/>
      <c r="K394" s="243"/>
      <c r="L394" s="244">
        <v>0.1</v>
      </c>
      <c r="M394" s="244">
        <f t="shared" si="91"/>
        <v>0</v>
      </c>
      <c r="N394" s="244"/>
      <c r="O394" s="244"/>
      <c r="P394" s="244"/>
      <c r="Q394" s="245">
        <f t="shared" si="92"/>
        <v>0</v>
      </c>
      <c r="R394" s="245">
        <f t="shared" si="93"/>
        <v>0</v>
      </c>
      <c r="S394" s="246">
        <v>0.5</v>
      </c>
      <c r="T394" s="245">
        <f t="shared" si="94"/>
        <v>0</v>
      </c>
      <c r="U394" s="245">
        <f t="shared" si="95"/>
        <v>0</v>
      </c>
      <c r="V394" s="247"/>
    </row>
    <row r="395" spans="1:22" ht="15.75" x14ac:dyDescent="0.25">
      <c r="A395" s="236"/>
      <c r="B395" s="237"/>
      <c r="C395" s="238"/>
      <c r="D395" s="239"/>
      <c r="E395" s="240"/>
      <c r="F395" s="240"/>
      <c r="G395" s="240"/>
      <c r="H395" s="241">
        <f t="shared" si="90"/>
        <v>0</v>
      </c>
      <c r="I395" s="242"/>
      <c r="J395" s="243"/>
      <c r="K395" s="243"/>
      <c r="L395" s="244">
        <v>0.1</v>
      </c>
      <c r="M395" s="244">
        <f t="shared" si="91"/>
        <v>0</v>
      </c>
      <c r="N395" s="244"/>
      <c r="O395" s="244"/>
      <c r="P395" s="244"/>
      <c r="Q395" s="245">
        <f t="shared" si="92"/>
        <v>0</v>
      </c>
      <c r="R395" s="245">
        <f t="shared" si="93"/>
        <v>0</v>
      </c>
      <c r="S395" s="246">
        <v>0.5</v>
      </c>
      <c r="T395" s="245">
        <f t="shared" si="94"/>
        <v>0</v>
      </c>
      <c r="U395" s="245">
        <f t="shared" si="95"/>
        <v>0</v>
      </c>
      <c r="V395" s="247"/>
    </row>
    <row r="396" spans="1:22" ht="15.75" x14ac:dyDescent="0.25">
      <c r="A396" s="236"/>
      <c r="B396" s="237"/>
      <c r="C396" s="238"/>
      <c r="D396" s="239"/>
      <c r="E396" s="240"/>
      <c r="F396" s="240"/>
      <c r="G396" s="240"/>
      <c r="H396" s="241">
        <f t="shared" si="90"/>
        <v>0</v>
      </c>
      <c r="I396" s="242"/>
      <c r="J396" s="243"/>
      <c r="K396" s="243"/>
      <c r="L396" s="244">
        <v>0.1</v>
      </c>
      <c r="M396" s="244">
        <f t="shared" si="91"/>
        <v>0</v>
      </c>
      <c r="N396" s="244"/>
      <c r="O396" s="244"/>
      <c r="P396" s="244"/>
      <c r="Q396" s="245">
        <f t="shared" si="92"/>
        <v>0</v>
      </c>
      <c r="R396" s="245">
        <f t="shared" si="93"/>
        <v>0</v>
      </c>
      <c r="S396" s="246">
        <v>0.5</v>
      </c>
      <c r="T396" s="245">
        <f t="shared" si="94"/>
        <v>0</v>
      </c>
      <c r="U396" s="245">
        <f t="shared" si="95"/>
        <v>0</v>
      </c>
      <c r="V396" s="247"/>
    </row>
    <row r="397" spans="1:22" ht="15.75" x14ac:dyDescent="0.25">
      <c r="A397" s="236"/>
      <c r="B397" s="237"/>
      <c r="C397" s="238"/>
      <c r="D397" s="239"/>
      <c r="E397" s="240"/>
      <c r="F397" s="240"/>
      <c r="G397" s="240"/>
      <c r="H397" s="241">
        <f t="shared" si="90"/>
        <v>0</v>
      </c>
      <c r="I397" s="242"/>
      <c r="J397" s="243"/>
      <c r="K397" s="243"/>
      <c r="L397" s="244">
        <v>0.1</v>
      </c>
      <c r="M397" s="244">
        <f t="shared" si="91"/>
        <v>0</v>
      </c>
      <c r="N397" s="244"/>
      <c r="O397" s="244"/>
      <c r="P397" s="244"/>
      <c r="Q397" s="245">
        <f t="shared" si="92"/>
        <v>0</v>
      </c>
      <c r="R397" s="245">
        <f t="shared" si="93"/>
        <v>0</v>
      </c>
      <c r="S397" s="246">
        <v>0.5</v>
      </c>
      <c r="T397" s="245">
        <f t="shared" si="94"/>
        <v>0</v>
      </c>
      <c r="U397" s="245">
        <f t="shared" si="95"/>
        <v>0</v>
      </c>
      <c r="V397" s="247"/>
    </row>
    <row r="398" spans="1:22" ht="15.75" x14ac:dyDescent="0.25">
      <c r="A398" s="236"/>
      <c r="B398" s="237"/>
      <c r="C398" s="238"/>
      <c r="D398" s="239"/>
      <c r="E398" s="240"/>
      <c r="F398" s="240"/>
      <c r="G398" s="240"/>
      <c r="H398" s="241">
        <f t="shared" si="90"/>
        <v>0</v>
      </c>
      <c r="I398" s="242"/>
      <c r="J398" s="243"/>
      <c r="K398" s="243"/>
      <c r="L398" s="244">
        <v>0.1</v>
      </c>
      <c r="M398" s="244">
        <f t="shared" si="91"/>
        <v>0</v>
      </c>
      <c r="N398" s="244"/>
      <c r="O398" s="244"/>
      <c r="P398" s="244"/>
      <c r="Q398" s="245">
        <f t="shared" si="92"/>
        <v>0</v>
      </c>
      <c r="R398" s="245">
        <f t="shared" si="93"/>
        <v>0</v>
      </c>
      <c r="S398" s="246">
        <v>0.5</v>
      </c>
      <c r="T398" s="245">
        <f t="shared" si="94"/>
        <v>0</v>
      </c>
      <c r="U398" s="245">
        <f t="shared" si="95"/>
        <v>0</v>
      </c>
      <c r="V398" s="247"/>
    </row>
    <row r="399" spans="1:22" ht="15.75" x14ac:dyDescent="0.25">
      <c r="A399" s="236"/>
      <c r="B399" s="237"/>
      <c r="C399" s="238"/>
      <c r="D399" s="239"/>
      <c r="E399" s="240"/>
      <c r="F399" s="240"/>
      <c r="G399" s="240"/>
      <c r="H399" s="241">
        <f t="shared" si="90"/>
        <v>0</v>
      </c>
      <c r="I399" s="242"/>
      <c r="J399" s="243"/>
      <c r="K399" s="243"/>
      <c r="L399" s="244">
        <v>0.1</v>
      </c>
      <c r="M399" s="244">
        <f t="shared" si="91"/>
        <v>0</v>
      </c>
      <c r="N399" s="244"/>
      <c r="O399" s="244"/>
      <c r="P399" s="244"/>
      <c r="Q399" s="245">
        <f t="shared" si="92"/>
        <v>0</v>
      </c>
      <c r="R399" s="245">
        <f t="shared" si="93"/>
        <v>0</v>
      </c>
      <c r="S399" s="246">
        <v>0.5</v>
      </c>
      <c r="T399" s="245">
        <f t="shared" si="94"/>
        <v>0</v>
      </c>
      <c r="U399" s="245">
        <f t="shared" si="95"/>
        <v>0</v>
      </c>
      <c r="V399" s="247"/>
    </row>
    <row r="400" spans="1:22" ht="15.75" x14ac:dyDescent="0.25">
      <c r="A400" s="236"/>
      <c r="B400" s="237"/>
      <c r="C400" s="238"/>
      <c r="D400" s="239"/>
      <c r="E400" s="240"/>
      <c r="F400" s="240"/>
      <c r="G400" s="240"/>
      <c r="H400" s="241">
        <f t="shared" si="90"/>
        <v>0</v>
      </c>
      <c r="I400" s="242"/>
      <c r="J400" s="243"/>
      <c r="K400" s="243"/>
      <c r="L400" s="244">
        <v>0.1</v>
      </c>
      <c r="M400" s="244">
        <f t="shared" si="91"/>
        <v>0</v>
      </c>
      <c r="N400" s="244"/>
      <c r="O400" s="244"/>
      <c r="P400" s="244"/>
      <c r="Q400" s="245">
        <f t="shared" si="92"/>
        <v>0</v>
      </c>
      <c r="R400" s="245">
        <f t="shared" si="93"/>
        <v>0</v>
      </c>
      <c r="S400" s="246">
        <v>0.5</v>
      </c>
      <c r="T400" s="245">
        <f t="shared" si="94"/>
        <v>0</v>
      </c>
      <c r="U400" s="245">
        <f t="shared" si="95"/>
        <v>0</v>
      </c>
      <c r="V400" s="247"/>
    </row>
    <row r="401" spans="1:22" ht="15.75" x14ac:dyDescent="0.25">
      <c r="A401" s="236"/>
      <c r="B401" s="237"/>
      <c r="C401" s="238"/>
      <c r="D401" s="239"/>
      <c r="E401" s="240"/>
      <c r="F401" s="240"/>
      <c r="G401" s="240"/>
      <c r="H401" s="241">
        <f t="shared" si="90"/>
        <v>0</v>
      </c>
      <c r="I401" s="242"/>
      <c r="J401" s="243"/>
      <c r="K401" s="243"/>
      <c r="L401" s="244">
        <v>0.1</v>
      </c>
      <c r="M401" s="244">
        <f t="shared" si="91"/>
        <v>0</v>
      </c>
      <c r="N401" s="244"/>
      <c r="O401" s="244"/>
      <c r="P401" s="244"/>
      <c r="Q401" s="245">
        <f t="shared" si="92"/>
        <v>0</v>
      </c>
      <c r="R401" s="245">
        <f t="shared" si="93"/>
        <v>0</v>
      </c>
      <c r="S401" s="246">
        <v>0.5</v>
      </c>
      <c r="T401" s="245">
        <f t="shared" si="94"/>
        <v>0</v>
      </c>
      <c r="U401" s="245">
        <f t="shared" si="95"/>
        <v>0</v>
      </c>
      <c r="V401" s="247"/>
    </row>
    <row r="402" spans="1:22" ht="15.75" x14ac:dyDescent="0.25">
      <c r="A402" s="236"/>
      <c r="B402" s="237"/>
      <c r="C402" s="238"/>
      <c r="D402" s="239"/>
      <c r="E402" s="240"/>
      <c r="F402" s="240"/>
      <c r="G402" s="240"/>
      <c r="H402" s="241">
        <f t="shared" si="90"/>
        <v>0</v>
      </c>
      <c r="I402" s="242"/>
      <c r="J402" s="243"/>
      <c r="K402" s="243"/>
      <c r="L402" s="244">
        <v>0.1</v>
      </c>
      <c r="M402" s="244">
        <f t="shared" si="91"/>
        <v>0</v>
      </c>
      <c r="N402" s="244"/>
      <c r="O402" s="244"/>
      <c r="P402" s="244"/>
      <c r="Q402" s="245">
        <f t="shared" si="92"/>
        <v>0</v>
      </c>
      <c r="R402" s="245">
        <f t="shared" si="93"/>
        <v>0</v>
      </c>
      <c r="S402" s="246">
        <v>0.5</v>
      </c>
      <c r="T402" s="245">
        <f t="shared" si="94"/>
        <v>0</v>
      </c>
      <c r="U402" s="245">
        <f t="shared" si="95"/>
        <v>0</v>
      </c>
      <c r="V402" s="247"/>
    </row>
    <row r="403" spans="1:22" ht="15.75" x14ac:dyDescent="0.25">
      <c r="A403" s="236"/>
      <c r="B403" s="237"/>
      <c r="C403" s="238"/>
      <c r="D403" s="239"/>
      <c r="E403" s="240"/>
      <c r="F403" s="240"/>
      <c r="G403" s="240"/>
      <c r="H403" s="241">
        <f t="shared" si="90"/>
        <v>0</v>
      </c>
      <c r="I403" s="242"/>
      <c r="J403" s="243"/>
      <c r="K403" s="243"/>
      <c r="L403" s="244">
        <v>0.1</v>
      </c>
      <c r="M403" s="244">
        <f t="shared" si="91"/>
        <v>0</v>
      </c>
      <c r="N403" s="244"/>
      <c r="O403" s="244"/>
      <c r="P403" s="244"/>
      <c r="Q403" s="245">
        <f t="shared" si="92"/>
        <v>0</v>
      </c>
      <c r="R403" s="245">
        <f t="shared" si="93"/>
        <v>0</v>
      </c>
      <c r="S403" s="246">
        <v>0.5</v>
      </c>
      <c r="T403" s="245">
        <f t="shared" si="94"/>
        <v>0</v>
      </c>
      <c r="U403" s="245">
        <f t="shared" si="95"/>
        <v>0</v>
      </c>
      <c r="V403" s="247"/>
    </row>
    <row r="404" spans="1:22" ht="15.75" x14ac:dyDescent="0.25">
      <c r="A404" s="236"/>
      <c r="B404" s="237"/>
      <c r="C404" s="238"/>
      <c r="D404" s="239"/>
      <c r="E404" s="240"/>
      <c r="F404" s="240"/>
      <c r="G404" s="240"/>
      <c r="H404" s="241">
        <f t="shared" si="90"/>
        <v>0</v>
      </c>
      <c r="I404" s="242"/>
      <c r="J404" s="243"/>
      <c r="K404" s="243"/>
      <c r="L404" s="244">
        <v>0.1</v>
      </c>
      <c r="M404" s="244">
        <f t="shared" si="91"/>
        <v>0</v>
      </c>
      <c r="N404" s="244"/>
      <c r="O404" s="244"/>
      <c r="P404" s="244"/>
      <c r="Q404" s="245">
        <f t="shared" si="92"/>
        <v>0</v>
      </c>
      <c r="R404" s="245">
        <f t="shared" si="93"/>
        <v>0</v>
      </c>
      <c r="S404" s="246">
        <v>0.5</v>
      </c>
      <c r="T404" s="245">
        <f t="shared" si="94"/>
        <v>0</v>
      </c>
      <c r="U404" s="245">
        <f t="shared" si="95"/>
        <v>0</v>
      </c>
      <c r="V404" s="247"/>
    </row>
    <row r="405" spans="1:22" ht="15.75" x14ac:dyDescent="0.25">
      <c r="A405" s="236"/>
      <c r="B405" s="237"/>
      <c r="C405" s="238"/>
      <c r="D405" s="239"/>
      <c r="E405" s="240"/>
      <c r="F405" s="240"/>
      <c r="G405" s="240"/>
      <c r="H405" s="241">
        <f t="shared" si="90"/>
        <v>0</v>
      </c>
      <c r="I405" s="242"/>
      <c r="J405" s="243"/>
      <c r="K405" s="243"/>
      <c r="L405" s="244">
        <v>0.1</v>
      </c>
      <c r="M405" s="244">
        <f t="shared" si="91"/>
        <v>0</v>
      </c>
      <c r="N405" s="244"/>
      <c r="O405" s="244"/>
      <c r="P405" s="244"/>
      <c r="Q405" s="245">
        <f t="shared" si="92"/>
        <v>0</v>
      </c>
      <c r="R405" s="245">
        <f t="shared" si="93"/>
        <v>0</v>
      </c>
      <c r="S405" s="246">
        <v>0.5</v>
      </c>
      <c r="T405" s="245">
        <f t="shared" si="94"/>
        <v>0</v>
      </c>
      <c r="U405" s="245">
        <f t="shared" si="95"/>
        <v>0</v>
      </c>
      <c r="V405" s="247"/>
    </row>
    <row r="406" spans="1:22" ht="15.75" x14ac:dyDescent="0.25">
      <c r="A406" s="236"/>
      <c r="B406" s="237"/>
      <c r="C406" s="238"/>
      <c r="D406" s="239"/>
      <c r="E406" s="240"/>
      <c r="F406" s="240"/>
      <c r="G406" s="240"/>
      <c r="H406" s="241">
        <f t="shared" si="90"/>
        <v>0</v>
      </c>
      <c r="I406" s="242"/>
      <c r="J406" s="243"/>
      <c r="K406" s="243"/>
      <c r="L406" s="244">
        <v>0.1</v>
      </c>
      <c r="M406" s="244">
        <f t="shared" si="91"/>
        <v>0</v>
      </c>
      <c r="N406" s="244"/>
      <c r="O406" s="244"/>
      <c r="P406" s="244"/>
      <c r="Q406" s="245">
        <f t="shared" si="92"/>
        <v>0</v>
      </c>
      <c r="R406" s="245">
        <f t="shared" si="93"/>
        <v>0</v>
      </c>
      <c r="S406" s="246">
        <v>0.5</v>
      </c>
      <c r="T406" s="245">
        <f t="shared" si="94"/>
        <v>0</v>
      </c>
      <c r="U406" s="245">
        <f t="shared" si="95"/>
        <v>0</v>
      </c>
      <c r="V406" s="247"/>
    </row>
    <row r="407" spans="1:22" ht="15.75" x14ac:dyDescent="0.25">
      <c r="A407" s="236"/>
      <c r="B407" s="237"/>
      <c r="C407" s="238"/>
      <c r="D407" s="239"/>
      <c r="E407" s="240"/>
      <c r="F407" s="240"/>
      <c r="G407" s="240"/>
      <c r="H407" s="241">
        <f t="shared" si="90"/>
        <v>0</v>
      </c>
      <c r="I407" s="242"/>
      <c r="J407" s="243"/>
      <c r="K407" s="243"/>
      <c r="L407" s="244">
        <v>0.1</v>
      </c>
      <c r="M407" s="244">
        <f t="shared" si="91"/>
        <v>0</v>
      </c>
      <c r="N407" s="244"/>
      <c r="O407" s="244"/>
      <c r="P407" s="244"/>
      <c r="Q407" s="245">
        <f t="shared" si="92"/>
        <v>0</v>
      </c>
      <c r="R407" s="245">
        <f t="shared" si="93"/>
        <v>0</v>
      </c>
      <c r="S407" s="246">
        <v>0.5</v>
      </c>
      <c r="T407" s="245">
        <f t="shared" si="94"/>
        <v>0</v>
      </c>
      <c r="U407" s="245">
        <f t="shared" si="95"/>
        <v>0</v>
      </c>
      <c r="V407" s="247"/>
    </row>
    <row r="408" spans="1:22" ht="15.75" x14ac:dyDescent="0.25">
      <c r="A408" s="236"/>
      <c r="B408" s="237"/>
      <c r="C408" s="238"/>
      <c r="D408" s="239"/>
      <c r="E408" s="240"/>
      <c r="F408" s="240"/>
      <c r="G408" s="240"/>
      <c r="H408" s="241">
        <f t="shared" si="90"/>
        <v>0</v>
      </c>
      <c r="I408" s="242"/>
      <c r="J408" s="243"/>
      <c r="K408" s="243"/>
      <c r="L408" s="244">
        <v>0.1</v>
      </c>
      <c r="M408" s="244">
        <f t="shared" si="91"/>
        <v>0</v>
      </c>
      <c r="N408" s="244"/>
      <c r="O408" s="244"/>
      <c r="P408" s="244"/>
      <c r="Q408" s="245">
        <f t="shared" si="92"/>
        <v>0</v>
      </c>
      <c r="R408" s="245">
        <f t="shared" si="93"/>
        <v>0</v>
      </c>
      <c r="S408" s="246">
        <v>0.5</v>
      </c>
      <c r="T408" s="245">
        <f t="shared" si="94"/>
        <v>0</v>
      </c>
      <c r="U408" s="245">
        <f t="shared" si="95"/>
        <v>0</v>
      </c>
      <c r="V408" s="247"/>
    </row>
    <row r="409" spans="1:22" ht="15.75" x14ac:dyDescent="0.25">
      <c r="A409" s="236"/>
      <c r="B409" s="237"/>
      <c r="C409" s="238"/>
      <c r="D409" s="239"/>
      <c r="E409" s="240"/>
      <c r="F409" s="240"/>
      <c r="G409" s="240"/>
      <c r="H409" s="241">
        <f t="shared" si="90"/>
        <v>0</v>
      </c>
      <c r="I409" s="242"/>
      <c r="J409" s="243"/>
      <c r="K409" s="243"/>
      <c r="L409" s="244">
        <v>0.1</v>
      </c>
      <c r="M409" s="244">
        <f t="shared" si="91"/>
        <v>0</v>
      </c>
      <c r="N409" s="244"/>
      <c r="O409" s="244"/>
      <c r="P409" s="244"/>
      <c r="Q409" s="245">
        <f t="shared" si="92"/>
        <v>0</v>
      </c>
      <c r="R409" s="245">
        <f t="shared" si="93"/>
        <v>0</v>
      </c>
      <c r="S409" s="246">
        <v>0.5</v>
      </c>
      <c r="T409" s="245">
        <f t="shared" si="94"/>
        <v>0</v>
      </c>
      <c r="U409" s="245">
        <f t="shared" si="95"/>
        <v>0</v>
      </c>
      <c r="V409" s="247"/>
    </row>
    <row r="410" spans="1:22" ht="15.75" x14ac:dyDescent="0.25">
      <c r="A410" s="236"/>
      <c r="B410" s="237"/>
      <c r="C410" s="238"/>
      <c r="D410" s="239"/>
      <c r="E410" s="240"/>
      <c r="F410" s="240"/>
      <c r="G410" s="240"/>
      <c r="H410" s="241">
        <f t="shared" si="90"/>
        <v>0</v>
      </c>
      <c r="I410" s="242"/>
      <c r="J410" s="243"/>
      <c r="K410" s="243"/>
      <c r="L410" s="244">
        <v>0.1</v>
      </c>
      <c r="M410" s="244">
        <f t="shared" si="91"/>
        <v>0</v>
      </c>
      <c r="N410" s="244"/>
      <c r="O410" s="244"/>
      <c r="P410" s="244"/>
      <c r="Q410" s="245">
        <f t="shared" si="92"/>
        <v>0</v>
      </c>
      <c r="R410" s="245">
        <f t="shared" si="93"/>
        <v>0</v>
      </c>
      <c r="S410" s="246">
        <v>0.5</v>
      </c>
      <c r="T410" s="245">
        <f t="shared" si="94"/>
        <v>0</v>
      </c>
      <c r="U410" s="245">
        <f t="shared" si="95"/>
        <v>0</v>
      </c>
      <c r="V410" s="247"/>
    </row>
    <row r="411" spans="1:22" ht="15.75" x14ac:dyDescent="0.25">
      <c r="A411" s="236"/>
      <c r="B411" s="237"/>
      <c r="C411" s="238"/>
      <c r="D411" s="239"/>
      <c r="E411" s="240"/>
      <c r="F411" s="240"/>
      <c r="G411" s="240"/>
      <c r="H411" s="241">
        <f t="shared" si="90"/>
        <v>0</v>
      </c>
      <c r="I411" s="242"/>
      <c r="J411" s="243"/>
      <c r="K411" s="243"/>
      <c r="L411" s="244">
        <v>0.1</v>
      </c>
      <c r="M411" s="244">
        <f t="shared" si="91"/>
        <v>0</v>
      </c>
      <c r="N411" s="244"/>
      <c r="O411" s="244"/>
      <c r="P411" s="244"/>
      <c r="Q411" s="245">
        <f t="shared" si="92"/>
        <v>0</v>
      </c>
      <c r="R411" s="245">
        <f t="shared" si="93"/>
        <v>0</v>
      </c>
      <c r="S411" s="246">
        <v>0.5</v>
      </c>
      <c r="T411" s="245">
        <f t="shared" si="94"/>
        <v>0</v>
      </c>
      <c r="U411" s="245">
        <f t="shared" si="95"/>
        <v>0</v>
      </c>
      <c r="V411" s="247"/>
    </row>
    <row r="412" spans="1:22" ht="15.75" x14ac:dyDescent="0.25">
      <c r="A412" s="236"/>
      <c r="B412" s="237"/>
      <c r="C412" s="238"/>
      <c r="D412" s="239"/>
      <c r="E412" s="240"/>
      <c r="F412" s="240"/>
      <c r="G412" s="240"/>
      <c r="H412" s="241">
        <f t="shared" si="90"/>
        <v>0</v>
      </c>
      <c r="I412" s="242"/>
      <c r="J412" s="243"/>
      <c r="K412" s="243"/>
      <c r="L412" s="244">
        <v>0.1</v>
      </c>
      <c r="M412" s="244">
        <f t="shared" si="91"/>
        <v>0</v>
      </c>
      <c r="N412" s="244"/>
      <c r="O412" s="244"/>
      <c r="P412" s="244"/>
      <c r="Q412" s="245">
        <f t="shared" si="92"/>
        <v>0</v>
      </c>
      <c r="R412" s="245">
        <f t="shared" si="93"/>
        <v>0</v>
      </c>
      <c r="S412" s="246">
        <v>0.5</v>
      </c>
      <c r="T412" s="245">
        <f t="shared" si="94"/>
        <v>0</v>
      </c>
      <c r="U412" s="245">
        <f t="shared" si="95"/>
        <v>0</v>
      </c>
      <c r="V412" s="247"/>
    </row>
    <row r="413" spans="1:22" ht="15.75" x14ac:dyDescent="0.25">
      <c r="A413" s="236"/>
      <c r="B413" s="237"/>
      <c r="C413" s="238"/>
      <c r="D413" s="239"/>
      <c r="E413" s="240"/>
      <c r="F413" s="240"/>
      <c r="G413" s="240"/>
      <c r="H413" s="241">
        <f t="shared" si="90"/>
        <v>0</v>
      </c>
      <c r="I413" s="242"/>
      <c r="J413" s="243"/>
      <c r="K413" s="243"/>
      <c r="L413" s="244">
        <v>0.1</v>
      </c>
      <c r="M413" s="244">
        <f t="shared" si="91"/>
        <v>0</v>
      </c>
      <c r="N413" s="244"/>
      <c r="O413" s="244"/>
      <c r="P413" s="244"/>
      <c r="Q413" s="245">
        <f t="shared" si="92"/>
        <v>0</v>
      </c>
      <c r="R413" s="245">
        <f t="shared" si="93"/>
        <v>0</v>
      </c>
      <c r="S413" s="246">
        <v>0.5</v>
      </c>
      <c r="T413" s="245">
        <f t="shared" si="94"/>
        <v>0</v>
      </c>
      <c r="U413" s="245">
        <f t="shared" si="95"/>
        <v>0</v>
      </c>
      <c r="V413" s="247"/>
    </row>
    <row r="414" spans="1:22" ht="15.75" x14ac:dyDescent="0.25">
      <c r="A414" s="236"/>
      <c r="B414" s="237"/>
      <c r="C414" s="238"/>
      <c r="D414" s="239"/>
      <c r="E414" s="240"/>
      <c r="F414" s="240"/>
      <c r="G414" s="240"/>
      <c r="H414" s="241">
        <f t="shared" si="90"/>
        <v>0</v>
      </c>
      <c r="I414" s="242"/>
      <c r="J414" s="243"/>
      <c r="K414" s="243"/>
      <c r="L414" s="244">
        <v>0.1</v>
      </c>
      <c r="M414" s="244">
        <f t="shared" si="91"/>
        <v>0</v>
      </c>
      <c r="N414" s="244"/>
      <c r="O414" s="244"/>
      <c r="P414" s="244"/>
      <c r="Q414" s="245">
        <f t="shared" si="92"/>
        <v>0</v>
      </c>
      <c r="R414" s="245">
        <f t="shared" si="93"/>
        <v>0</v>
      </c>
      <c r="S414" s="246">
        <v>0.5</v>
      </c>
      <c r="T414" s="245">
        <f t="shared" si="94"/>
        <v>0</v>
      </c>
      <c r="U414" s="245">
        <f t="shared" si="95"/>
        <v>0</v>
      </c>
      <c r="V414" s="247"/>
    </row>
    <row r="415" spans="1:22" ht="15.75" x14ac:dyDescent="0.25">
      <c r="A415" s="236"/>
      <c r="B415" s="237"/>
      <c r="C415" s="238"/>
      <c r="D415" s="239"/>
      <c r="E415" s="240"/>
      <c r="F415" s="240"/>
      <c r="G415" s="240"/>
      <c r="H415" s="241">
        <f t="shared" si="90"/>
        <v>0</v>
      </c>
      <c r="I415" s="242"/>
      <c r="J415" s="243"/>
      <c r="K415" s="243"/>
      <c r="L415" s="244">
        <v>0.1</v>
      </c>
      <c r="M415" s="244">
        <f t="shared" si="91"/>
        <v>0</v>
      </c>
      <c r="N415" s="244"/>
      <c r="O415" s="244"/>
      <c r="P415" s="244"/>
      <c r="Q415" s="245">
        <f t="shared" si="92"/>
        <v>0</v>
      </c>
      <c r="R415" s="245">
        <f t="shared" si="93"/>
        <v>0</v>
      </c>
      <c r="S415" s="246">
        <v>0.5</v>
      </c>
      <c r="T415" s="245">
        <f t="shared" si="94"/>
        <v>0</v>
      </c>
      <c r="U415" s="245">
        <f t="shared" si="95"/>
        <v>0</v>
      </c>
      <c r="V415" s="247"/>
    </row>
    <row r="416" spans="1:22" ht="15.75" x14ac:dyDescent="0.25">
      <c r="A416" s="236"/>
      <c r="B416" s="237"/>
      <c r="C416" s="238"/>
      <c r="D416" s="239"/>
      <c r="E416" s="240"/>
      <c r="F416" s="240"/>
      <c r="G416" s="240"/>
      <c r="H416" s="241">
        <f t="shared" si="90"/>
        <v>0</v>
      </c>
      <c r="I416" s="242"/>
      <c r="J416" s="243"/>
      <c r="K416" s="243"/>
      <c r="L416" s="244">
        <v>0.1</v>
      </c>
      <c r="M416" s="244">
        <f t="shared" si="91"/>
        <v>0</v>
      </c>
      <c r="N416" s="244"/>
      <c r="O416" s="244"/>
      <c r="P416" s="244"/>
      <c r="Q416" s="245">
        <f t="shared" si="92"/>
        <v>0</v>
      </c>
      <c r="R416" s="245">
        <f t="shared" si="93"/>
        <v>0</v>
      </c>
      <c r="S416" s="246">
        <v>0.5</v>
      </c>
      <c r="T416" s="245">
        <f t="shared" si="94"/>
        <v>0</v>
      </c>
      <c r="U416" s="245">
        <f t="shared" si="95"/>
        <v>0</v>
      </c>
      <c r="V416" s="247"/>
    </row>
    <row r="417" spans="1:22" ht="15.75" x14ac:dyDescent="0.25">
      <c r="A417" s="236"/>
      <c r="B417" s="237"/>
      <c r="C417" s="238"/>
      <c r="D417" s="239"/>
      <c r="E417" s="240"/>
      <c r="F417" s="240"/>
      <c r="G417" s="240"/>
      <c r="H417" s="241">
        <f t="shared" si="90"/>
        <v>0</v>
      </c>
      <c r="I417" s="242"/>
      <c r="J417" s="243"/>
      <c r="K417" s="243"/>
      <c r="L417" s="244">
        <v>0.1</v>
      </c>
      <c r="M417" s="244">
        <f t="shared" si="91"/>
        <v>0</v>
      </c>
      <c r="N417" s="244"/>
      <c r="O417" s="244"/>
      <c r="P417" s="244"/>
      <c r="Q417" s="245">
        <f t="shared" si="92"/>
        <v>0</v>
      </c>
      <c r="R417" s="245">
        <f t="shared" si="93"/>
        <v>0</v>
      </c>
      <c r="S417" s="246">
        <v>0.5</v>
      </c>
      <c r="T417" s="245">
        <f t="shared" si="94"/>
        <v>0</v>
      </c>
      <c r="U417" s="245">
        <f t="shared" si="95"/>
        <v>0</v>
      </c>
      <c r="V417" s="247"/>
    </row>
    <row r="418" spans="1:22" ht="15.75" x14ac:dyDescent="0.25">
      <c r="A418" s="236"/>
      <c r="B418" s="237"/>
      <c r="C418" s="238"/>
      <c r="D418" s="239"/>
      <c r="E418" s="240"/>
      <c r="F418" s="240"/>
      <c r="G418" s="240"/>
      <c r="H418" s="241">
        <f t="shared" ref="H418:H481" si="96">+E418+F418+G418</f>
        <v>0</v>
      </c>
      <c r="I418" s="242"/>
      <c r="J418" s="243"/>
      <c r="K418" s="243"/>
      <c r="L418" s="244">
        <v>0.1</v>
      </c>
      <c r="M418" s="244">
        <f t="shared" ref="M418:M481" si="97">+L418*C418</f>
        <v>0</v>
      </c>
      <c r="N418" s="244"/>
      <c r="O418" s="244"/>
      <c r="P418" s="244"/>
      <c r="Q418" s="245">
        <f t="shared" ref="Q418:Q481" si="98">+N418+O418+P418</f>
        <v>0</v>
      </c>
      <c r="R418" s="245">
        <f t="shared" ref="R418:R481" si="99">IF(+Q418-H418&lt;=0,0,Q418-H418)</f>
        <v>0</v>
      </c>
      <c r="S418" s="246">
        <v>0.5</v>
      </c>
      <c r="T418" s="245">
        <f t="shared" ref="T418:T481" si="100">+(R418*C418)*S418</f>
        <v>0</v>
      </c>
      <c r="U418" s="245">
        <f t="shared" ref="U418:U481" si="101">+J418+M418+T418</f>
        <v>0</v>
      </c>
      <c r="V418" s="247"/>
    </row>
    <row r="419" spans="1:22" ht="15.75" x14ac:dyDescent="0.25">
      <c r="A419" s="236"/>
      <c r="B419" s="237"/>
      <c r="C419" s="238"/>
      <c r="D419" s="239"/>
      <c r="E419" s="240"/>
      <c r="F419" s="240"/>
      <c r="G419" s="240"/>
      <c r="H419" s="241">
        <f t="shared" si="96"/>
        <v>0</v>
      </c>
      <c r="I419" s="242"/>
      <c r="J419" s="243"/>
      <c r="K419" s="243"/>
      <c r="L419" s="244">
        <v>0.1</v>
      </c>
      <c r="M419" s="244">
        <f t="shared" si="97"/>
        <v>0</v>
      </c>
      <c r="N419" s="244"/>
      <c r="O419" s="244"/>
      <c r="P419" s="244"/>
      <c r="Q419" s="245">
        <f t="shared" si="98"/>
        <v>0</v>
      </c>
      <c r="R419" s="245">
        <f t="shared" si="99"/>
        <v>0</v>
      </c>
      <c r="S419" s="246">
        <v>0.5</v>
      </c>
      <c r="T419" s="245">
        <f t="shared" si="100"/>
        <v>0</v>
      </c>
      <c r="U419" s="245">
        <f t="shared" si="101"/>
        <v>0</v>
      </c>
      <c r="V419" s="247"/>
    </row>
    <row r="420" spans="1:22" ht="15.75" x14ac:dyDescent="0.25">
      <c r="A420" s="236"/>
      <c r="B420" s="237"/>
      <c r="C420" s="238"/>
      <c r="D420" s="239"/>
      <c r="E420" s="240"/>
      <c r="F420" s="240"/>
      <c r="G420" s="240"/>
      <c r="H420" s="241">
        <f t="shared" si="96"/>
        <v>0</v>
      </c>
      <c r="I420" s="242"/>
      <c r="J420" s="243"/>
      <c r="K420" s="243"/>
      <c r="L420" s="244">
        <v>0.1</v>
      </c>
      <c r="M420" s="244">
        <f t="shared" si="97"/>
        <v>0</v>
      </c>
      <c r="N420" s="244"/>
      <c r="O420" s="244"/>
      <c r="P420" s="244"/>
      <c r="Q420" s="245">
        <f t="shared" si="98"/>
        <v>0</v>
      </c>
      <c r="R420" s="245">
        <f t="shared" si="99"/>
        <v>0</v>
      </c>
      <c r="S420" s="246">
        <v>0.5</v>
      </c>
      <c r="T420" s="245">
        <f t="shared" si="100"/>
        <v>0</v>
      </c>
      <c r="U420" s="245">
        <f t="shared" si="101"/>
        <v>0</v>
      </c>
      <c r="V420" s="247"/>
    </row>
    <row r="421" spans="1:22" ht="15.75" x14ac:dyDescent="0.25">
      <c r="A421" s="236"/>
      <c r="B421" s="237"/>
      <c r="C421" s="238"/>
      <c r="D421" s="239"/>
      <c r="E421" s="240"/>
      <c r="F421" s="240"/>
      <c r="G421" s="240"/>
      <c r="H421" s="241">
        <f t="shared" si="96"/>
        <v>0</v>
      </c>
      <c r="I421" s="242"/>
      <c r="J421" s="243"/>
      <c r="K421" s="243"/>
      <c r="L421" s="244">
        <v>0.1</v>
      </c>
      <c r="M421" s="244">
        <f t="shared" si="97"/>
        <v>0</v>
      </c>
      <c r="N421" s="244"/>
      <c r="O421" s="244"/>
      <c r="P421" s="244"/>
      <c r="Q421" s="245">
        <f t="shared" si="98"/>
        <v>0</v>
      </c>
      <c r="R421" s="245">
        <f t="shared" si="99"/>
        <v>0</v>
      </c>
      <c r="S421" s="246">
        <v>0.5</v>
      </c>
      <c r="T421" s="245">
        <f t="shared" si="100"/>
        <v>0</v>
      </c>
      <c r="U421" s="245">
        <f t="shared" si="101"/>
        <v>0</v>
      </c>
      <c r="V421" s="247"/>
    </row>
    <row r="422" spans="1:22" ht="15.75" x14ac:dyDescent="0.25">
      <c r="A422" s="236"/>
      <c r="B422" s="237"/>
      <c r="C422" s="238"/>
      <c r="D422" s="239"/>
      <c r="E422" s="240"/>
      <c r="F422" s="240"/>
      <c r="G422" s="240"/>
      <c r="H422" s="241">
        <f t="shared" si="96"/>
        <v>0</v>
      </c>
      <c r="I422" s="242"/>
      <c r="J422" s="243"/>
      <c r="K422" s="243"/>
      <c r="L422" s="244">
        <v>0.1</v>
      </c>
      <c r="M422" s="244">
        <f t="shared" si="97"/>
        <v>0</v>
      </c>
      <c r="N422" s="244"/>
      <c r="O422" s="244"/>
      <c r="P422" s="244"/>
      <c r="Q422" s="245">
        <f t="shared" si="98"/>
        <v>0</v>
      </c>
      <c r="R422" s="245">
        <f t="shared" si="99"/>
        <v>0</v>
      </c>
      <c r="S422" s="246">
        <v>0.5</v>
      </c>
      <c r="T422" s="245">
        <f t="shared" si="100"/>
        <v>0</v>
      </c>
      <c r="U422" s="245">
        <f t="shared" si="101"/>
        <v>0</v>
      </c>
      <c r="V422" s="247"/>
    </row>
    <row r="423" spans="1:22" ht="15.75" x14ac:dyDescent="0.25">
      <c r="A423" s="236"/>
      <c r="B423" s="237"/>
      <c r="C423" s="238"/>
      <c r="D423" s="239"/>
      <c r="E423" s="240"/>
      <c r="F423" s="240"/>
      <c r="G423" s="240"/>
      <c r="H423" s="241">
        <f t="shared" si="96"/>
        <v>0</v>
      </c>
      <c r="I423" s="242"/>
      <c r="J423" s="243"/>
      <c r="K423" s="243"/>
      <c r="L423" s="244">
        <v>0.1</v>
      </c>
      <c r="M423" s="244">
        <f t="shared" si="97"/>
        <v>0</v>
      </c>
      <c r="N423" s="244"/>
      <c r="O423" s="244"/>
      <c r="P423" s="244"/>
      <c r="Q423" s="245">
        <f t="shared" si="98"/>
        <v>0</v>
      </c>
      <c r="R423" s="245">
        <f t="shared" si="99"/>
        <v>0</v>
      </c>
      <c r="S423" s="246">
        <v>0.5</v>
      </c>
      <c r="T423" s="245">
        <f t="shared" si="100"/>
        <v>0</v>
      </c>
      <c r="U423" s="245">
        <f t="shared" si="101"/>
        <v>0</v>
      </c>
      <c r="V423" s="247"/>
    </row>
    <row r="424" spans="1:22" ht="15.75" x14ac:dyDescent="0.25">
      <c r="A424" s="236"/>
      <c r="B424" s="237"/>
      <c r="C424" s="238"/>
      <c r="D424" s="239"/>
      <c r="E424" s="240"/>
      <c r="F424" s="240"/>
      <c r="G424" s="240"/>
      <c r="H424" s="241">
        <f t="shared" si="96"/>
        <v>0</v>
      </c>
      <c r="I424" s="242"/>
      <c r="J424" s="243"/>
      <c r="K424" s="243"/>
      <c r="L424" s="244">
        <v>0.1</v>
      </c>
      <c r="M424" s="244">
        <f t="shared" si="97"/>
        <v>0</v>
      </c>
      <c r="N424" s="244"/>
      <c r="O424" s="244"/>
      <c r="P424" s="244"/>
      <c r="Q424" s="245">
        <f t="shared" si="98"/>
        <v>0</v>
      </c>
      <c r="R424" s="245">
        <f t="shared" si="99"/>
        <v>0</v>
      </c>
      <c r="S424" s="246">
        <v>0.5</v>
      </c>
      <c r="T424" s="245">
        <f t="shared" si="100"/>
        <v>0</v>
      </c>
      <c r="U424" s="245">
        <f t="shared" si="101"/>
        <v>0</v>
      </c>
      <c r="V424" s="247"/>
    </row>
    <row r="425" spans="1:22" ht="15.75" x14ac:dyDescent="0.25">
      <c r="A425" s="236"/>
      <c r="B425" s="237"/>
      <c r="C425" s="238"/>
      <c r="D425" s="239"/>
      <c r="E425" s="240"/>
      <c r="F425" s="240"/>
      <c r="G425" s="240"/>
      <c r="H425" s="241">
        <f t="shared" si="96"/>
        <v>0</v>
      </c>
      <c r="I425" s="242"/>
      <c r="J425" s="243"/>
      <c r="K425" s="243"/>
      <c r="L425" s="244">
        <v>0.1</v>
      </c>
      <c r="M425" s="244">
        <f t="shared" si="97"/>
        <v>0</v>
      </c>
      <c r="N425" s="244"/>
      <c r="O425" s="244"/>
      <c r="P425" s="244"/>
      <c r="Q425" s="245">
        <f t="shared" si="98"/>
        <v>0</v>
      </c>
      <c r="R425" s="245">
        <f t="shared" si="99"/>
        <v>0</v>
      </c>
      <c r="S425" s="246">
        <v>0.5</v>
      </c>
      <c r="T425" s="245">
        <f t="shared" si="100"/>
        <v>0</v>
      </c>
      <c r="U425" s="245">
        <f t="shared" si="101"/>
        <v>0</v>
      </c>
      <c r="V425" s="247"/>
    </row>
    <row r="426" spans="1:22" ht="15.75" x14ac:dyDescent="0.25">
      <c r="A426" s="236"/>
      <c r="B426" s="237"/>
      <c r="C426" s="238"/>
      <c r="D426" s="239"/>
      <c r="E426" s="240"/>
      <c r="F426" s="240"/>
      <c r="G426" s="240"/>
      <c r="H426" s="241">
        <f t="shared" si="96"/>
        <v>0</v>
      </c>
      <c r="I426" s="242"/>
      <c r="J426" s="243"/>
      <c r="K426" s="243"/>
      <c r="L426" s="244">
        <v>0.1</v>
      </c>
      <c r="M426" s="244">
        <f t="shared" si="97"/>
        <v>0</v>
      </c>
      <c r="N426" s="244"/>
      <c r="O426" s="244"/>
      <c r="P426" s="244"/>
      <c r="Q426" s="245">
        <f t="shared" si="98"/>
        <v>0</v>
      </c>
      <c r="R426" s="245">
        <f t="shared" si="99"/>
        <v>0</v>
      </c>
      <c r="S426" s="246">
        <v>0.5</v>
      </c>
      <c r="T426" s="245">
        <f t="shared" si="100"/>
        <v>0</v>
      </c>
      <c r="U426" s="245">
        <f t="shared" si="101"/>
        <v>0</v>
      </c>
      <c r="V426" s="247"/>
    </row>
    <row r="427" spans="1:22" ht="15.75" x14ac:dyDescent="0.25">
      <c r="A427" s="236"/>
      <c r="B427" s="237"/>
      <c r="C427" s="238"/>
      <c r="D427" s="239"/>
      <c r="E427" s="240"/>
      <c r="F427" s="240"/>
      <c r="G427" s="240"/>
      <c r="H427" s="241">
        <f t="shared" si="96"/>
        <v>0</v>
      </c>
      <c r="I427" s="242"/>
      <c r="J427" s="243"/>
      <c r="K427" s="243"/>
      <c r="L427" s="244">
        <v>0.1</v>
      </c>
      <c r="M427" s="244">
        <f t="shared" si="97"/>
        <v>0</v>
      </c>
      <c r="N427" s="244"/>
      <c r="O427" s="244"/>
      <c r="P427" s="244"/>
      <c r="Q427" s="245">
        <f t="shared" si="98"/>
        <v>0</v>
      </c>
      <c r="R427" s="245">
        <f t="shared" si="99"/>
        <v>0</v>
      </c>
      <c r="S427" s="246">
        <v>0.5</v>
      </c>
      <c r="T427" s="245">
        <f t="shared" si="100"/>
        <v>0</v>
      </c>
      <c r="U427" s="245">
        <f t="shared" si="101"/>
        <v>0</v>
      </c>
      <c r="V427" s="247"/>
    </row>
    <row r="428" spans="1:22" ht="15.75" x14ac:dyDescent="0.25">
      <c r="A428" s="236"/>
      <c r="B428" s="237"/>
      <c r="C428" s="238"/>
      <c r="D428" s="239"/>
      <c r="E428" s="240"/>
      <c r="F428" s="240"/>
      <c r="G428" s="240"/>
      <c r="H428" s="241">
        <f t="shared" si="96"/>
        <v>0</v>
      </c>
      <c r="I428" s="242"/>
      <c r="J428" s="243"/>
      <c r="K428" s="243"/>
      <c r="L428" s="244">
        <v>0.1</v>
      </c>
      <c r="M428" s="244">
        <f t="shared" si="97"/>
        <v>0</v>
      </c>
      <c r="N428" s="244"/>
      <c r="O428" s="244"/>
      <c r="P428" s="244"/>
      <c r="Q428" s="245">
        <f t="shared" si="98"/>
        <v>0</v>
      </c>
      <c r="R428" s="245">
        <f t="shared" si="99"/>
        <v>0</v>
      </c>
      <c r="S428" s="246">
        <v>0.5</v>
      </c>
      <c r="T428" s="245">
        <f t="shared" si="100"/>
        <v>0</v>
      </c>
      <c r="U428" s="245">
        <f t="shared" si="101"/>
        <v>0</v>
      </c>
      <c r="V428" s="247"/>
    </row>
    <row r="429" spans="1:22" ht="15.75" x14ac:dyDescent="0.25">
      <c r="A429" s="236"/>
      <c r="B429" s="237"/>
      <c r="C429" s="238"/>
      <c r="D429" s="239"/>
      <c r="E429" s="240"/>
      <c r="F429" s="240"/>
      <c r="G429" s="240"/>
      <c r="H429" s="241">
        <f t="shared" si="96"/>
        <v>0</v>
      </c>
      <c r="I429" s="242"/>
      <c r="J429" s="243"/>
      <c r="K429" s="243"/>
      <c r="L429" s="244">
        <v>0.1</v>
      </c>
      <c r="M429" s="244">
        <f t="shared" si="97"/>
        <v>0</v>
      </c>
      <c r="N429" s="244"/>
      <c r="O429" s="244"/>
      <c r="P429" s="244"/>
      <c r="Q429" s="245">
        <f t="shared" si="98"/>
        <v>0</v>
      </c>
      <c r="R429" s="245">
        <f t="shared" si="99"/>
        <v>0</v>
      </c>
      <c r="S429" s="246">
        <v>0.5</v>
      </c>
      <c r="T429" s="245">
        <f t="shared" si="100"/>
        <v>0</v>
      </c>
      <c r="U429" s="245">
        <f t="shared" si="101"/>
        <v>0</v>
      </c>
      <c r="V429" s="247"/>
    </row>
    <row r="430" spans="1:22" ht="15.75" x14ac:dyDescent="0.25">
      <c r="A430" s="236"/>
      <c r="B430" s="237"/>
      <c r="C430" s="238"/>
      <c r="D430" s="239"/>
      <c r="E430" s="240"/>
      <c r="F430" s="240"/>
      <c r="G430" s="240"/>
      <c r="H430" s="241">
        <f t="shared" si="96"/>
        <v>0</v>
      </c>
      <c r="I430" s="242"/>
      <c r="J430" s="243"/>
      <c r="K430" s="243"/>
      <c r="L430" s="244">
        <v>0.1</v>
      </c>
      <c r="M430" s="244">
        <f t="shared" si="97"/>
        <v>0</v>
      </c>
      <c r="N430" s="244"/>
      <c r="O430" s="244"/>
      <c r="P430" s="244"/>
      <c r="Q430" s="245">
        <f t="shared" si="98"/>
        <v>0</v>
      </c>
      <c r="R430" s="245">
        <f t="shared" si="99"/>
        <v>0</v>
      </c>
      <c r="S430" s="246">
        <v>0.5</v>
      </c>
      <c r="T430" s="245">
        <f t="shared" si="100"/>
        <v>0</v>
      </c>
      <c r="U430" s="245">
        <f t="shared" si="101"/>
        <v>0</v>
      </c>
      <c r="V430" s="247"/>
    </row>
    <row r="431" spans="1:22" ht="15.75" x14ac:dyDescent="0.25">
      <c r="A431" s="236"/>
      <c r="B431" s="237"/>
      <c r="C431" s="238"/>
      <c r="D431" s="239"/>
      <c r="E431" s="240"/>
      <c r="F431" s="240"/>
      <c r="G431" s="240"/>
      <c r="H431" s="241">
        <f t="shared" si="96"/>
        <v>0</v>
      </c>
      <c r="I431" s="242"/>
      <c r="J431" s="243"/>
      <c r="K431" s="243"/>
      <c r="L431" s="244">
        <v>0.1</v>
      </c>
      <c r="M431" s="244">
        <f t="shared" si="97"/>
        <v>0</v>
      </c>
      <c r="N431" s="244"/>
      <c r="O431" s="244"/>
      <c r="P431" s="244"/>
      <c r="Q431" s="245">
        <f t="shared" si="98"/>
        <v>0</v>
      </c>
      <c r="R431" s="245">
        <f t="shared" si="99"/>
        <v>0</v>
      </c>
      <c r="S431" s="246">
        <v>0.5</v>
      </c>
      <c r="T431" s="245">
        <f t="shared" si="100"/>
        <v>0</v>
      </c>
      <c r="U431" s="245">
        <f t="shared" si="101"/>
        <v>0</v>
      </c>
      <c r="V431" s="247"/>
    </row>
    <row r="432" spans="1:22" ht="15.75" x14ac:dyDescent="0.25">
      <c r="A432" s="236"/>
      <c r="B432" s="237"/>
      <c r="C432" s="238"/>
      <c r="D432" s="239"/>
      <c r="E432" s="240"/>
      <c r="F432" s="240"/>
      <c r="G432" s="240"/>
      <c r="H432" s="241">
        <f t="shared" si="96"/>
        <v>0</v>
      </c>
      <c r="I432" s="242"/>
      <c r="J432" s="243"/>
      <c r="K432" s="243"/>
      <c r="L432" s="244">
        <v>0.1</v>
      </c>
      <c r="M432" s="244">
        <f t="shared" si="97"/>
        <v>0</v>
      </c>
      <c r="N432" s="244"/>
      <c r="O432" s="244"/>
      <c r="P432" s="244"/>
      <c r="Q432" s="245">
        <f t="shared" si="98"/>
        <v>0</v>
      </c>
      <c r="R432" s="245">
        <f t="shared" si="99"/>
        <v>0</v>
      </c>
      <c r="S432" s="246">
        <v>0.5</v>
      </c>
      <c r="T432" s="245">
        <f t="shared" si="100"/>
        <v>0</v>
      </c>
      <c r="U432" s="245">
        <f t="shared" si="101"/>
        <v>0</v>
      </c>
      <c r="V432" s="247"/>
    </row>
    <row r="433" spans="1:22" ht="15.75" x14ac:dyDescent="0.25">
      <c r="A433" s="236"/>
      <c r="B433" s="237"/>
      <c r="C433" s="238"/>
      <c r="D433" s="239"/>
      <c r="E433" s="240"/>
      <c r="F433" s="240"/>
      <c r="G433" s="240"/>
      <c r="H433" s="241">
        <f t="shared" si="96"/>
        <v>0</v>
      </c>
      <c r="I433" s="242"/>
      <c r="J433" s="243"/>
      <c r="K433" s="243"/>
      <c r="L433" s="244">
        <v>0.1</v>
      </c>
      <c r="M433" s="244">
        <f t="shared" si="97"/>
        <v>0</v>
      </c>
      <c r="N433" s="244"/>
      <c r="O433" s="244"/>
      <c r="P433" s="244"/>
      <c r="Q433" s="245">
        <f t="shared" si="98"/>
        <v>0</v>
      </c>
      <c r="R433" s="245">
        <f t="shared" si="99"/>
        <v>0</v>
      </c>
      <c r="S433" s="246">
        <v>0.5</v>
      </c>
      <c r="T433" s="245">
        <f t="shared" si="100"/>
        <v>0</v>
      </c>
      <c r="U433" s="245">
        <f t="shared" si="101"/>
        <v>0</v>
      </c>
      <c r="V433" s="247"/>
    </row>
    <row r="434" spans="1:22" ht="15.75" x14ac:dyDescent="0.25">
      <c r="A434" s="236"/>
      <c r="B434" s="237"/>
      <c r="C434" s="238"/>
      <c r="D434" s="239"/>
      <c r="E434" s="240"/>
      <c r="F434" s="240"/>
      <c r="G434" s="240"/>
      <c r="H434" s="241">
        <f t="shared" si="96"/>
        <v>0</v>
      </c>
      <c r="I434" s="242"/>
      <c r="J434" s="243"/>
      <c r="K434" s="243"/>
      <c r="L434" s="244">
        <v>0.1</v>
      </c>
      <c r="M434" s="244">
        <f t="shared" si="97"/>
        <v>0</v>
      </c>
      <c r="N434" s="244"/>
      <c r="O434" s="244"/>
      <c r="P434" s="244"/>
      <c r="Q434" s="245">
        <f t="shared" si="98"/>
        <v>0</v>
      </c>
      <c r="R434" s="245">
        <f t="shared" si="99"/>
        <v>0</v>
      </c>
      <c r="S434" s="246">
        <v>0.5</v>
      </c>
      <c r="T434" s="245">
        <f t="shared" si="100"/>
        <v>0</v>
      </c>
      <c r="U434" s="245">
        <f t="shared" si="101"/>
        <v>0</v>
      </c>
      <c r="V434" s="247"/>
    </row>
    <row r="435" spans="1:22" ht="15.75" x14ac:dyDescent="0.25">
      <c r="A435" s="236"/>
      <c r="B435" s="237"/>
      <c r="C435" s="238"/>
      <c r="D435" s="239"/>
      <c r="E435" s="240"/>
      <c r="F435" s="240"/>
      <c r="G435" s="240"/>
      <c r="H435" s="241">
        <f t="shared" si="96"/>
        <v>0</v>
      </c>
      <c r="I435" s="242"/>
      <c r="J435" s="243"/>
      <c r="K435" s="243"/>
      <c r="L435" s="244">
        <v>0.1</v>
      </c>
      <c r="M435" s="244">
        <f t="shared" si="97"/>
        <v>0</v>
      </c>
      <c r="N435" s="244"/>
      <c r="O435" s="244"/>
      <c r="P435" s="244"/>
      <c r="Q435" s="245">
        <f t="shared" si="98"/>
        <v>0</v>
      </c>
      <c r="R435" s="245">
        <f t="shared" si="99"/>
        <v>0</v>
      </c>
      <c r="S435" s="246">
        <v>0.5</v>
      </c>
      <c r="T435" s="245">
        <f t="shared" si="100"/>
        <v>0</v>
      </c>
      <c r="U435" s="245">
        <f t="shared" si="101"/>
        <v>0</v>
      </c>
      <c r="V435" s="247"/>
    </row>
    <row r="436" spans="1:22" ht="15.75" x14ac:dyDescent="0.25">
      <c r="A436" s="236"/>
      <c r="B436" s="237"/>
      <c r="C436" s="238"/>
      <c r="D436" s="239"/>
      <c r="E436" s="240"/>
      <c r="F436" s="240"/>
      <c r="G436" s="240"/>
      <c r="H436" s="241">
        <f t="shared" si="96"/>
        <v>0</v>
      </c>
      <c r="I436" s="242"/>
      <c r="J436" s="243"/>
      <c r="K436" s="243"/>
      <c r="L436" s="244">
        <v>0.1</v>
      </c>
      <c r="M436" s="244">
        <f t="shared" si="97"/>
        <v>0</v>
      </c>
      <c r="N436" s="244"/>
      <c r="O436" s="244"/>
      <c r="P436" s="244"/>
      <c r="Q436" s="245">
        <f t="shared" si="98"/>
        <v>0</v>
      </c>
      <c r="R436" s="245">
        <f t="shared" si="99"/>
        <v>0</v>
      </c>
      <c r="S436" s="246">
        <v>0.5</v>
      </c>
      <c r="T436" s="245">
        <f t="shared" si="100"/>
        <v>0</v>
      </c>
      <c r="U436" s="245">
        <f t="shared" si="101"/>
        <v>0</v>
      </c>
      <c r="V436" s="247"/>
    </row>
    <row r="437" spans="1:22" ht="15.75" x14ac:dyDescent="0.25">
      <c r="A437" s="236"/>
      <c r="B437" s="237"/>
      <c r="C437" s="238"/>
      <c r="D437" s="239"/>
      <c r="E437" s="240"/>
      <c r="F437" s="240"/>
      <c r="G437" s="240"/>
      <c r="H437" s="241">
        <f t="shared" si="96"/>
        <v>0</v>
      </c>
      <c r="I437" s="242"/>
      <c r="J437" s="243"/>
      <c r="K437" s="243"/>
      <c r="L437" s="244">
        <v>0.1</v>
      </c>
      <c r="M437" s="244">
        <f t="shared" si="97"/>
        <v>0</v>
      </c>
      <c r="N437" s="244"/>
      <c r="O437" s="244"/>
      <c r="P437" s="244"/>
      <c r="Q437" s="245">
        <f t="shared" si="98"/>
        <v>0</v>
      </c>
      <c r="R437" s="245">
        <f t="shared" si="99"/>
        <v>0</v>
      </c>
      <c r="S437" s="246">
        <v>0.5</v>
      </c>
      <c r="T437" s="245">
        <f t="shared" si="100"/>
        <v>0</v>
      </c>
      <c r="U437" s="245">
        <f t="shared" si="101"/>
        <v>0</v>
      </c>
      <c r="V437" s="247"/>
    </row>
    <row r="438" spans="1:22" ht="15.75" x14ac:dyDescent="0.25">
      <c r="A438" s="236"/>
      <c r="B438" s="237"/>
      <c r="C438" s="238"/>
      <c r="D438" s="239"/>
      <c r="E438" s="240"/>
      <c r="F438" s="240"/>
      <c r="G438" s="240"/>
      <c r="H438" s="241">
        <f t="shared" si="96"/>
        <v>0</v>
      </c>
      <c r="I438" s="242"/>
      <c r="J438" s="243"/>
      <c r="K438" s="243"/>
      <c r="L438" s="244">
        <v>0.1</v>
      </c>
      <c r="M438" s="244">
        <f t="shared" si="97"/>
        <v>0</v>
      </c>
      <c r="N438" s="244"/>
      <c r="O438" s="244"/>
      <c r="P438" s="244"/>
      <c r="Q438" s="245">
        <f t="shared" si="98"/>
        <v>0</v>
      </c>
      <c r="R438" s="245">
        <f t="shared" si="99"/>
        <v>0</v>
      </c>
      <c r="S438" s="246">
        <v>0.5</v>
      </c>
      <c r="T438" s="245">
        <f t="shared" si="100"/>
        <v>0</v>
      </c>
      <c r="U438" s="245">
        <f t="shared" si="101"/>
        <v>0</v>
      </c>
      <c r="V438" s="247"/>
    </row>
    <row r="439" spans="1:22" ht="15.75" x14ac:dyDescent="0.25">
      <c r="A439" s="236"/>
      <c r="B439" s="237"/>
      <c r="C439" s="238"/>
      <c r="D439" s="239"/>
      <c r="E439" s="240"/>
      <c r="F439" s="240"/>
      <c r="G439" s="240"/>
      <c r="H439" s="241">
        <f t="shared" si="96"/>
        <v>0</v>
      </c>
      <c r="I439" s="242"/>
      <c r="J439" s="243"/>
      <c r="K439" s="243"/>
      <c r="L439" s="244">
        <v>0.1</v>
      </c>
      <c r="M439" s="244">
        <f t="shared" si="97"/>
        <v>0</v>
      </c>
      <c r="N439" s="244"/>
      <c r="O439" s="244"/>
      <c r="P439" s="244"/>
      <c r="Q439" s="245">
        <f t="shared" si="98"/>
        <v>0</v>
      </c>
      <c r="R439" s="245">
        <f t="shared" si="99"/>
        <v>0</v>
      </c>
      <c r="S439" s="246">
        <v>0.5</v>
      </c>
      <c r="T439" s="245">
        <f t="shared" si="100"/>
        <v>0</v>
      </c>
      <c r="U439" s="245">
        <f t="shared" si="101"/>
        <v>0</v>
      </c>
      <c r="V439" s="247"/>
    </row>
    <row r="440" spans="1:22" ht="15.75" x14ac:dyDescent="0.25">
      <c r="A440" s="236"/>
      <c r="B440" s="237"/>
      <c r="C440" s="238"/>
      <c r="D440" s="239"/>
      <c r="E440" s="240"/>
      <c r="F440" s="240"/>
      <c r="G440" s="240"/>
      <c r="H440" s="241">
        <f t="shared" si="96"/>
        <v>0</v>
      </c>
      <c r="I440" s="242"/>
      <c r="J440" s="243"/>
      <c r="K440" s="243"/>
      <c r="L440" s="244">
        <v>0.1</v>
      </c>
      <c r="M440" s="244">
        <f t="shared" si="97"/>
        <v>0</v>
      </c>
      <c r="N440" s="244"/>
      <c r="O440" s="244"/>
      <c r="P440" s="244"/>
      <c r="Q440" s="245">
        <f t="shared" si="98"/>
        <v>0</v>
      </c>
      <c r="R440" s="245">
        <f t="shared" si="99"/>
        <v>0</v>
      </c>
      <c r="S440" s="246">
        <v>0.5</v>
      </c>
      <c r="T440" s="245">
        <f t="shared" si="100"/>
        <v>0</v>
      </c>
      <c r="U440" s="245">
        <f t="shared" si="101"/>
        <v>0</v>
      </c>
      <c r="V440" s="247"/>
    </row>
    <row r="441" spans="1:22" ht="15.75" x14ac:dyDescent="0.25">
      <c r="A441" s="236"/>
      <c r="B441" s="237"/>
      <c r="C441" s="238"/>
      <c r="D441" s="239"/>
      <c r="E441" s="240"/>
      <c r="F441" s="240"/>
      <c r="G441" s="240"/>
      <c r="H441" s="241">
        <f t="shared" si="96"/>
        <v>0</v>
      </c>
      <c r="I441" s="242"/>
      <c r="J441" s="243"/>
      <c r="K441" s="243"/>
      <c r="L441" s="244">
        <v>0.1</v>
      </c>
      <c r="M441" s="244">
        <f t="shared" si="97"/>
        <v>0</v>
      </c>
      <c r="N441" s="244"/>
      <c r="O441" s="244"/>
      <c r="P441" s="244"/>
      <c r="Q441" s="245">
        <f t="shared" si="98"/>
        <v>0</v>
      </c>
      <c r="R441" s="245">
        <f t="shared" si="99"/>
        <v>0</v>
      </c>
      <c r="S441" s="246">
        <v>0.5</v>
      </c>
      <c r="T441" s="245">
        <f t="shared" si="100"/>
        <v>0</v>
      </c>
      <c r="U441" s="245">
        <f t="shared" si="101"/>
        <v>0</v>
      </c>
      <c r="V441" s="247"/>
    </row>
    <row r="442" spans="1:22" ht="15.75" x14ac:dyDescent="0.25">
      <c r="A442" s="236"/>
      <c r="B442" s="237"/>
      <c r="C442" s="238"/>
      <c r="D442" s="239"/>
      <c r="E442" s="240"/>
      <c r="F442" s="240"/>
      <c r="G442" s="240"/>
      <c r="H442" s="241">
        <f t="shared" si="96"/>
        <v>0</v>
      </c>
      <c r="I442" s="242"/>
      <c r="J442" s="243"/>
      <c r="K442" s="243"/>
      <c r="L442" s="244">
        <v>0.1</v>
      </c>
      <c r="M442" s="244">
        <f t="shared" si="97"/>
        <v>0</v>
      </c>
      <c r="N442" s="244"/>
      <c r="O442" s="244"/>
      <c r="P442" s="244"/>
      <c r="Q442" s="245">
        <f t="shared" si="98"/>
        <v>0</v>
      </c>
      <c r="R442" s="245">
        <f t="shared" si="99"/>
        <v>0</v>
      </c>
      <c r="S442" s="246">
        <v>0.5</v>
      </c>
      <c r="T442" s="245">
        <f t="shared" si="100"/>
        <v>0</v>
      </c>
      <c r="U442" s="245">
        <f t="shared" si="101"/>
        <v>0</v>
      </c>
      <c r="V442" s="247"/>
    </row>
    <row r="443" spans="1:22" ht="15.75" x14ac:dyDescent="0.25">
      <c r="A443" s="236"/>
      <c r="B443" s="237"/>
      <c r="C443" s="238"/>
      <c r="D443" s="239"/>
      <c r="E443" s="240"/>
      <c r="F443" s="240"/>
      <c r="G443" s="240"/>
      <c r="H443" s="241">
        <f t="shared" si="96"/>
        <v>0</v>
      </c>
      <c r="I443" s="242"/>
      <c r="J443" s="243"/>
      <c r="K443" s="243"/>
      <c r="L443" s="244">
        <v>0.1</v>
      </c>
      <c r="M443" s="244">
        <f t="shared" si="97"/>
        <v>0</v>
      </c>
      <c r="N443" s="244"/>
      <c r="O443" s="244"/>
      <c r="P443" s="244"/>
      <c r="Q443" s="245">
        <f t="shared" si="98"/>
        <v>0</v>
      </c>
      <c r="R443" s="245">
        <f t="shared" si="99"/>
        <v>0</v>
      </c>
      <c r="S443" s="246">
        <v>0.5</v>
      </c>
      <c r="T443" s="245">
        <f t="shared" si="100"/>
        <v>0</v>
      </c>
      <c r="U443" s="245">
        <f t="shared" si="101"/>
        <v>0</v>
      </c>
      <c r="V443" s="247"/>
    </row>
    <row r="444" spans="1:22" ht="15.75" x14ac:dyDescent="0.25">
      <c r="A444" s="236"/>
      <c r="B444" s="237"/>
      <c r="C444" s="238"/>
      <c r="D444" s="239"/>
      <c r="E444" s="240"/>
      <c r="F444" s="240"/>
      <c r="G444" s="240"/>
      <c r="H444" s="241">
        <f t="shared" si="96"/>
        <v>0</v>
      </c>
      <c r="I444" s="242"/>
      <c r="J444" s="243"/>
      <c r="K444" s="243"/>
      <c r="L444" s="244">
        <v>0.1</v>
      </c>
      <c r="M444" s="244">
        <f t="shared" si="97"/>
        <v>0</v>
      </c>
      <c r="N444" s="244"/>
      <c r="O444" s="244"/>
      <c r="P444" s="244"/>
      <c r="Q444" s="245">
        <f t="shared" si="98"/>
        <v>0</v>
      </c>
      <c r="R444" s="245">
        <f t="shared" si="99"/>
        <v>0</v>
      </c>
      <c r="S444" s="246">
        <v>0.5</v>
      </c>
      <c r="T444" s="245">
        <f t="shared" si="100"/>
        <v>0</v>
      </c>
      <c r="U444" s="245">
        <f t="shared" si="101"/>
        <v>0</v>
      </c>
      <c r="V444" s="247"/>
    </row>
    <row r="445" spans="1:22" ht="15.75" x14ac:dyDescent="0.25">
      <c r="A445" s="236"/>
      <c r="B445" s="237"/>
      <c r="C445" s="238"/>
      <c r="D445" s="239"/>
      <c r="E445" s="240"/>
      <c r="F445" s="240"/>
      <c r="G445" s="240"/>
      <c r="H445" s="241">
        <f t="shared" si="96"/>
        <v>0</v>
      </c>
      <c r="I445" s="242"/>
      <c r="J445" s="243"/>
      <c r="K445" s="243"/>
      <c r="L445" s="244">
        <v>0.1</v>
      </c>
      <c r="M445" s="244">
        <f t="shared" si="97"/>
        <v>0</v>
      </c>
      <c r="N445" s="244"/>
      <c r="O445" s="244"/>
      <c r="P445" s="244"/>
      <c r="Q445" s="245">
        <f t="shared" si="98"/>
        <v>0</v>
      </c>
      <c r="R445" s="245">
        <f t="shared" si="99"/>
        <v>0</v>
      </c>
      <c r="S445" s="246">
        <v>0.5</v>
      </c>
      <c r="T445" s="245">
        <f t="shared" si="100"/>
        <v>0</v>
      </c>
      <c r="U445" s="245">
        <f t="shared" si="101"/>
        <v>0</v>
      </c>
      <c r="V445" s="247"/>
    </row>
    <row r="446" spans="1:22" ht="15.75" x14ac:dyDescent="0.25">
      <c r="A446" s="236"/>
      <c r="B446" s="237"/>
      <c r="C446" s="238"/>
      <c r="D446" s="239"/>
      <c r="E446" s="240"/>
      <c r="F446" s="240"/>
      <c r="G446" s="240"/>
      <c r="H446" s="241">
        <f t="shared" si="96"/>
        <v>0</v>
      </c>
      <c r="I446" s="242"/>
      <c r="J446" s="243"/>
      <c r="K446" s="243"/>
      <c r="L446" s="244">
        <v>0.1</v>
      </c>
      <c r="M446" s="244">
        <f t="shared" si="97"/>
        <v>0</v>
      </c>
      <c r="N446" s="244"/>
      <c r="O446" s="244"/>
      <c r="P446" s="244"/>
      <c r="Q446" s="245">
        <f t="shared" si="98"/>
        <v>0</v>
      </c>
      <c r="R446" s="245">
        <f t="shared" si="99"/>
        <v>0</v>
      </c>
      <c r="S446" s="246">
        <v>0.5</v>
      </c>
      <c r="T446" s="245">
        <f t="shared" si="100"/>
        <v>0</v>
      </c>
      <c r="U446" s="245">
        <f t="shared" si="101"/>
        <v>0</v>
      </c>
      <c r="V446" s="247"/>
    </row>
    <row r="447" spans="1:22" ht="15.75" x14ac:dyDescent="0.25">
      <c r="A447" s="236"/>
      <c r="B447" s="237"/>
      <c r="C447" s="238"/>
      <c r="D447" s="239"/>
      <c r="E447" s="240"/>
      <c r="F447" s="240"/>
      <c r="G447" s="240"/>
      <c r="H447" s="241">
        <f t="shared" si="96"/>
        <v>0</v>
      </c>
      <c r="I447" s="242"/>
      <c r="J447" s="243"/>
      <c r="K447" s="243"/>
      <c r="L447" s="244">
        <v>0.1</v>
      </c>
      <c r="M447" s="244">
        <f t="shared" si="97"/>
        <v>0</v>
      </c>
      <c r="N447" s="244"/>
      <c r="O447" s="244"/>
      <c r="P447" s="244"/>
      <c r="Q447" s="245">
        <f t="shared" si="98"/>
        <v>0</v>
      </c>
      <c r="R447" s="245">
        <f t="shared" si="99"/>
        <v>0</v>
      </c>
      <c r="S447" s="246">
        <v>0.5</v>
      </c>
      <c r="T447" s="245">
        <f t="shared" si="100"/>
        <v>0</v>
      </c>
      <c r="U447" s="245">
        <f t="shared" si="101"/>
        <v>0</v>
      </c>
      <c r="V447" s="247"/>
    </row>
    <row r="448" spans="1:22" ht="15.75" x14ac:dyDescent="0.25">
      <c r="A448" s="236"/>
      <c r="B448" s="237"/>
      <c r="C448" s="238"/>
      <c r="D448" s="239"/>
      <c r="E448" s="240"/>
      <c r="F448" s="240"/>
      <c r="G448" s="240"/>
      <c r="H448" s="241">
        <f t="shared" si="96"/>
        <v>0</v>
      </c>
      <c r="I448" s="242"/>
      <c r="J448" s="243"/>
      <c r="K448" s="243"/>
      <c r="L448" s="244">
        <v>0.1</v>
      </c>
      <c r="M448" s="244">
        <f t="shared" si="97"/>
        <v>0</v>
      </c>
      <c r="N448" s="244"/>
      <c r="O448" s="244"/>
      <c r="P448" s="244"/>
      <c r="Q448" s="245">
        <f t="shared" si="98"/>
        <v>0</v>
      </c>
      <c r="R448" s="245">
        <f t="shared" si="99"/>
        <v>0</v>
      </c>
      <c r="S448" s="246">
        <v>0.5</v>
      </c>
      <c r="T448" s="245">
        <f t="shared" si="100"/>
        <v>0</v>
      </c>
      <c r="U448" s="245">
        <f t="shared" si="101"/>
        <v>0</v>
      </c>
      <c r="V448" s="247"/>
    </row>
    <row r="449" spans="1:22" ht="15.75" x14ac:dyDescent="0.25">
      <c r="A449" s="236"/>
      <c r="B449" s="237"/>
      <c r="C449" s="238"/>
      <c r="D449" s="239"/>
      <c r="E449" s="240"/>
      <c r="F449" s="240"/>
      <c r="G449" s="240"/>
      <c r="H449" s="241">
        <f t="shared" si="96"/>
        <v>0</v>
      </c>
      <c r="I449" s="242"/>
      <c r="J449" s="243"/>
      <c r="K449" s="243"/>
      <c r="L449" s="244">
        <v>0.1</v>
      </c>
      <c r="M449" s="244">
        <f t="shared" si="97"/>
        <v>0</v>
      </c>
      <c r="N449" s="244"/>
      <c r="O449" s="244"/>
      <c r="P449" s="244"/>
      <c r="Q449" s="245">
        <f t="shared" si="98"/>
        <v>0</v>
      </c>
      <c r="R449" s="245">
        <f t="shared" si="99"/>
        <v>0</v>
      </c>
      <c r="S449" s="246">
        <v>0.5</v>
      </c>
      <c r="T449" s="245">
        <f t="shared" si="100"/>
        <v>0</v>
      </c>
      <c r="U449" s="245">
        <f t="shared" si="101"/>
        <v>0</v>
      </c>
      <c r="V449" s="247"/>
    </row>
    <row r="450" spans="1:22" ht="15.75" x14ac:dyDescent="0.25">
      <c r="A450" s="236"/>
      <c r="B450" s="237"/>
      <c r="C450" s="238"/>
      <c r="D450" s="239"/>
      <c r="E450" s="240"/>
      <c r="F450" s="240"/>
      <c r="G450" s="240"/>
      <c r="H450" s="241">
        <f t="shared" si="96"/>
        <v>0</v>
      </c>
      <c r="I450" s="242"/>
      <c r="J450" s="243"/>
      <c r="K450" s="243"/>
      <c r="L450" s="244">
        <v>0.1</v>
      </c>
      <c r="M450" s="244">
        <f t="shared" si="97"/>
        <v>0</v>
      </c>
      <c r="N450" s="244"/>
      <c r="O450" s="244"/>
      <c r="P450" s="244"/>
      <c r="Q450" s="245">
        <f t="shared" si="98"/>
        <v>0</v>
      </c>
      <c r="R450" s="245">
        <f t="shared" si="99"/>
        <v>0</v>
      </c>
      <c r="S450" s="246">
        <v>0.5</v>
      </c>
      <c r="T450" s="245">
        <f t="shared" si="100"/>
        <v>0</v>
      </c>
      <c r="U450" s="245">
        <f t="shared" si="101"/>
        <v>0</v>
      </c>
      <c r="V450" s="247"/>
    </row>
    <row r="451" spans="1:22" ht="15.75" x14ac:dyDescent="0.25">
      <c r="A451" s="236"/>
      <c r="B451" s="237"/>
      <c r="C451" s="238"/>
      <c r="D451" s="239"/>
      <c r="E451" s="240"/>
      <c r="F451" s="240"/>
      <c r="G451" s="240"/>
      <c r="H451" s="241">
        <f t="shared" si="96"/>
        <v>0</v>
      </c>
      <c r="I451" s="242"/>
      <c r="J451" s="243"/>
      <c r="K451" s="243"/>
      <c r="L451" s="244">
        <v>0.1</v>
      </c>
      <c r="M451" s="244">
        <f t="shared" si="97"/>
        <v>0</v>
      </c>
      <c r="N451" s="244"/>
      <c r="O451" s="244"/>
      <c r="P451" s="244"/>
      <c r="Q451" s="245">
        <f t="shared" si="98"/>
        <v>0</v>
      </c>
      <c r="R451" s="245">
        <f t="shared" si="99"/>
        <v>0</v>
      </c>
      <c r="S451" s="246">
        <v>0.5</v>
      </c>
      <c r="T451" s="245">
        <f t="shared" si="100"/>
        <v>0</v>
      </c>
      <c r="U451" s="245">
        <f t="shared" si="101"/>
        <v>0</v>
      </c>
      <c r="V451" s="247"/>
    </row>
    <row r="452" spans="1:22" ht="15.75" x14ac:dyDescent="0.25">
      <c r="A452" s="236"/>
      <c r="B452" s="237"/>
      <c r="C452" s="238"/>
      <c r="D452" s="239"/>
      <c r="E452" s="240"/>
      <c r="F452" s="240"/>
      <c r="G452" s="240"/>
      <c r="H452" s="241">
        <f t="shared" si="96"/>
        <v>0</v>
      </c>
      <c r="I452" s="242"/>
      <c r="J452" s="243"/>
      <c r="K452" s="243"/>
      <c r="L452" s="244">
        <v>0.1</v>
      </c>
      <c r="M452" s="244">
        <f t="shared" si="97"/>
        <v>0</v>
      </c>
      <c r="N452" s="244"/>
      <c r="O452" s="244"/>
      <c r="P452" s="244"/>
      <c r="Q452" s="245">
        <f t="shared" si="98"/>
        <v>0</v>
      </c>
      <c r="R452" s="245">
        <f t="shared" si="99"/>
        <v>0</v>
      </c>
      <c r="S452" s="246">
        <v>0.5</v>
      </c>
      <c r="T452" s="245">
        <f t="shared" si="100"/>
        <v>0</v>
      </c>
      <c r="U452" s="245">
        <f t="shared" si="101"/>
        <v>0</v>
      </c>
      <c r="V452" s="247"/>
    </row>
    <row r="453" spans="1:22" ht="15.75" x14ac:dyDescent="0.25">
      <c r="A453" s="236"/>
      <c r="B453" s="237"/>
      <c r="C453" s="238"/>
      <c r="D453" s="239"/>
      <c r="E453" s="240"/>
      <c r="F453" s="240"/>
      <c r="G453" s="240"/>
      <c r="H453" s="241">
        <f t="shared" si="96"/>
        <v>0</v>
      </c>
      <c r="I453" s="242"/>
      <c r="J453" s="243"/>
      <c r="K453" s="243"/>
      <c r="L453" s="244">
        <v>0.1</v>
      </c>
      <c r="M453" s="244">
        <f t="shared" si="97"/>
        <v>0</v>
      </c>
      <c r="N453" s="244"/>
      <c r="O453" s="244"/>
      <c r="P453" s="244"/>
      <c r="Q453" s="245">
        <f t="shared" si="98"/>
        <v>0</v>
      </c>
      <c r="R453" s="245">
        <f t="shared" si="99"/>
        <v>0</v>
      </c>
      <c r="S453" s="246">
        <v>0.5</v>
      </c>
      <c r="T453" s="245">
        <f t="shared" si="100"/>
        <v>0</v>
      </c>
      <c r="U453" s="245">
        <f t="shared" si="101"/>
        <v>0</v>
      </c>
      <c r="V453" s="247"/>
    </row>
    <row r="454" spans="1:22" ht="15.75" x14ac:dyDescent="0.25">
      <c r="A454" s="236"/>
      <c r="B454" s="237"/>
      <c r="C454" s="238"/>
      <c r="D454" s="239"/>
      <c r="E454" s="240"/>
      <c r="F454" s="240"/>
      <c r="G454" s="240"/>
      <c r="H454" s="241">
        <f t="shared" si="96"/>
        <v>0</v>
      </c>
      <c r="I454" s="242"/>
      <c r="J454" s="243"/>
      <c r="K454" s="243"/>
      <c r="L454" s="244">
        <v>0.1</v>
      </c>
      <c r="M454" s="244">
        <f t="shared" si="97"/>
        <v>0</v>
      </c>
      <c r="N454" s="244"/>
      <c r="O454" s="244"/>
      <c r="P454" s="244"/>
      <c r="Q454" s="245">
        <f t="shared" si="98"/>
        <v>0</v>
      </c>
      <c r="R454" s="245">
        <f t="shared" si="99"/>
        <v>0</v>
      </c>
      <c r="S454" s="246">
        <v>0.5</v>
      </c>
      <c r="T454" s="245">
        <f t="shared" si="100"/>
        <v>0</v>
      </c>
      <c r="U454" s="245">
        <f t="shared" si="101"/>
        <v>0</v>
      </c>
      <c r="V454" s="247"/>
    </row>
    <row r="455" spans="1:22" ht="15.75" x14ac:dyDescent="0.25">
      <c r="A455" s="236"/>
      <c r="B455" s="237"/>
      <c r="C455" s="238"/>
      <c r="D455" s="239"/>
      <c r="E455" s="240"/>
      <c r="F455" s="240"/>
      <c r="G455" s="240"/>
      <c r="H455" s="241">
        <f t="shared" si="96"/>
        <v>0</v>
      </c>
      <c r="I455" s="242"/>
      <c r="J455" s="243"/>
      <c r="K455" s="243"/>
      <c r="L455" s="244">
        <v>0.1</v>
      </c>
      <c r="M455" s="244">
        <f t="shared" si="97"/>
        <v>0</v>
      </c>
      <c r="N455" s="244"/>
      <c r="O455" s="244"/>
      <c r="P455" s="244"/>
      <c r="Q455" s="245">
        <f t="shared" si="98"/>
        <v>0</v>
      </c>
      <c r="R455" s="245">
        <f t="shared" si="99"/>
        <v>0</v>
      </c>
      <c r="S455" s="246">
        <v>0.5</v>
      </c>
      <c r="T455" s="245">
        <f t="shared" si="100"/>
        <v>0</v>
      </c>
      <c r="U455" s="245">
        <f t="shared" si="101"/>
        <v>0</v>
      </c>
      <c r="V455" s="247"/>
    </row>
    <row r="456" spans="1:22" ht="15.75" x14ac:dyDescent="0.25">
      <c r="A456" s="236"/>
      <c r="B456" s="237"/>
      <c r="C456" s="238"/>
      <c r="D456" s="239"/>
      <c r="E456" s="240"/>
      <c r="F456" s="240"/>
      <c r="G456" s="240"/>
      <c r="H456" s="241">
        <f t="shared" si="96"/>
        <v>0</v>
      </c>
      <c r="I456" s="242"/>
      <c r="J456" s="243"/>
      <c r="K456" s="243"/>
      <c r="L456" s="244">
        <v>0.1</v>
      </c>
      <c r="M456" s="244">
        <f t="shared" si="97"/>
        <v>0</v>
      </c>
      <c r="N456" s="244"/>
      <c r="O456" s="244"/>
      <c r="P456" s="244"/>
      <c r="Q456" s="245">
        <f t="shared" si="98"/>
        <v>0</v>
      </c>
      <c r="R456" s="245">
        <f t="shared" si="99"/>
        <v>0</v>
      </c>
      <c r="S456" s="246">
        <v>0.5</v>
      </c>
      <c r="T456" s="245">
        <f t="shared" si="100"/>
        <v>0</v>
      </c>
      <c r="U456" s="245">
        <f t="shared" si="101"/>
        <v>0</v>
      </c>
      <c r="V456" s="247"/>
    </row>
    <row r="457" spans="1:22" ht="15.75" x14ac:dyDescent="0.25">
      <c r="A457" s="236"/>
      <c r="B457" s="237"/>
      <c r="C457" s="238"/>
      <c r="D457" s="239"/>
      <c r="E457" s="240"/>
      <c r="F457" s="240"/>
      <c r="G457" s="240"/>
      <c r="H457" s="241">
        <f t="shared" si="96"/>
        <v>0</v>
      </c>
      <c r="I457" s="242"/>
      <c r="J457" s="243"/>
      <c r="K457" s="243"/>
      <c r="L457" s="244">
        <v>0.1</v>
      </c>
      <c r="M457" s="244">
        <f t="shared" si="97"/>
        <v>0</v>
      </c>
      <c r="N457" s="244"/>
      <c r="O457" s="244"/>
      <c r="P457" s="244"/>
      <c r="Q457" s="245">
        <f t="shared" si="98"/>
        <v>0</v>
      </c>
      <c r="R457" s="245">
        <f t="shared" si="99"/>
        <v>0</v>
      </c>
      <c r="S457" s="246">
        <v>0.5</v>
      </c>
      <c r="T457" s="245">
        <f t="shared" si="100"/>
        <v>0</v>
      </c>
      <c r="U457" s="245">
        <f t="shared" si="101"/>
        <v>0</v>
      </c>
      <c r="V457" s="247"/>
    </row>
    <row r="458" spans="1:22" ht="15.75" x14ac:dyDescent="0.25">
      <c r="A458" s="236"/>
      <c r="B458" s="237"/>
      <c r="C458" s="238"/>
      <c r="D458" s="239"/>
      <c r="E458" s="240"/>
      <c r="F458" s="240"/>
      <c r="G458" s="240"/>
      <c r="H458" s="241">
        <f t="shared" si="96"/>
        <v>0</v>
      </c>
      <c r="I458" s="242"/>
      <c r="J458" s="243"/>
      <c r="K458" s="243"/>
      <c r="L458" s="244">
        <v>0.1</v>
      </c>
      <c r="M458" s="244">
        <f t="shared" si="97"/>
        <v>0</v>
      </c>
      <c r="N458" s="244"/>
      <c r="O458" s="244"/>
      <c r="P458" s="244"/>
      <c r="Q458" s="245">
        <f t="shared" si="98"/>
        <v>0</v>
      </c>
      <c r="R458" s="245">
        <f t="shared" si="99"/>
        <v>0</v>
      </c>
      <c r="S458" s="246">
        <v>0.5</v>
      </c>
      <c r="T458" s="245">
        <f t="shared" si="100"/>
        <v>0</v>
      </c>
      <c r="U458" s="245">
        <f t="shared" si="101"/>
        <v>0</v>
      </c>
      <c r="V458" s="247"/>
    </row>
    <row r="459" spans="1:22" ht="15.75" x14ac:dyDescent="0.25">
      <c r="A459" s="236"/>
      <c r="B459" s="237"/>
      <c r="C459" s="238"/>
      <c r="D459" s="239"/>
      <c r="E459" s="240"/>
      <c r="F459" s="240"/>
      <c r="G459" s="240"/>
      <c r="H459" s="241">
        <f t="shared" si="96"/>
        <v>0</v>
      </c>
      <c r="I459" s="242"/>
      <c r="J459" s="243"/>
      <c r="K459" s="243"/>
      <c r="L459" s="244">
        <v>0.1</v>
      </c>
      <c r="M459" s="244">
        <f t="shared" si="97"/>
        <v>0</v>
      </c>
      <c r="N459" s="244"/>
      <c r="O459" s="244"/>
      <c r="P459" s="244"/>
      <c r="Q459" s="245">
        <f t="shared" si="98"/>
        <v>0</v>
      </c>
      <c r="R459" s="245">
        <f t="shared" si="99"/>
        <v>0</v>
      </c>
      <c r="S459" s="246">
        <v>0.5</v>
      </c>
      <c r="T459" s="245">
        <f t="shared" si="100"/>
        <v>0</v>
      </c>
      <c r="U459" s="245">
        <f t="shared" si="101"/>
        <v>0</v>
      </c>
      <c r="V459" s="247"/>
    </row>
    <row r="460" spans="1:22" ht="15.75" x14ac:dyDescent="0.25">
      <c r="A460" s="236"/>
      <c r="B460" s="237"/>
      <c r="C460" s="238"/>
      <c r="D460" s="239"/>
      <c r="E460" s="240"/>
      <c r="F460" s="240"/>
      <c r="G460" s="240"/>
      <c r="H460" s="241">
        <f t="shared" si="96"/>
        <v>0</v>
      </c>
      <c r="I460" s="242"/>
      <c r="J460" s="243"/>
      <c r="K460" s="243"/>
      <c r="L460" s="244">
        <v>0.1</v>
      </c>
      <c r="M460" s="244">
        <f t="shared" si="97"/>
        <v>0</v>
      </c>
      <c r="N460" s="244"/>
      <c r="O460" s="244"/>
      <c r="P460" s="244"/>
      <c r="Q460" s="245">
        <f t="shared" si="98"/>
        <v>0</v>
      </c>
      <c r="R460" s="245">
        <f t="shared" si="99"/>
        <v>0</v>
      </c>
      <c r="S460" s="246">
        <v>0.5</v>
      </c>
      <c r="T460" s="245">
        <f t="shared" si="100"/>
        <v>0</v>
      </c>
      <c r="U460" s="245">
        <f t="shared" si="101"/>
        <v>0</v>
      </c>
      <c r="V460" s="247"/>
    </row>
    <row r="461" spans="1:22" ht="15.75" x14ac:dyDescent="0.25">
      <c r="A461" s="236"/>
      <c r="B461" s="237"/>
      <c r="C461" s="238"/>
      <c r="D461" s="239"/>
      <c r="E461" s="240"/>
      <c r="F461" s="240"/>
      <c r="G461" s="240"/>
      <c r="H461" s="241">
        <f t="shared" si="96"/>
        <v>0</v>
      </c>
      <c r="I461" s="242"/>
      <c r="J461" s="243"/>
      <c r="K461" s="243"/>
      <c r="L461" s="244">
        <v>0.1</v>
      </c>
      <c r="M461" s="244">
        <f t="shared" si="97"/>
        <v>0</v>
      </c>
      <c r="N461" s="244"/>
      <c r="O461" s="244"/>
      <c r="P461" s="244"/>
      <c r="Q461" s="245">
        <f t="shared" si="98"/>
        <v>0</v>
      </c>
      <c r="R461" s="245">
        <f t="shared" si="99"/>
        <v>0</v>
      </c>
      <c r="S461" s="246">
        <v>0.5</v>
      </c>
      <c r="T461" s="245">
        <f t="shared" si="100"/>
        <v>0</v>
      </c>
      <c r="U461" s="245">
        <f t="shared" si="101"/>
        <v>0</v>
      </c>
      <c r="V461" s="247"/>
    </row>
    <row r="462" spans="1:22" ht="15.75" x14ac:dyDescent="0.25">
      <c r="A462" s="236"/>
      <c r="B462" s="237"/>
      <c r="C462" s="238"/>
      <c r="D462" s="239"/>
      <c r="E462" s="240"/>
      <c r="F462" s="240"/>
      <c r="G462" s="240"/>
      <c r="H462" s="241">
        <f t="shared" si="96"/>
        <v>0</v>
      </c>
      <c r="I462" s="242"/>
      <c r="J462" s="243"/>
      <c r="K462" s="243"/>
      <c r="L462" s="244">
        <v>0.1</v>
      </c>
      <c r="M462" s="244">
        <f t="shared" si="97"/>
        <v>0</v>
      </c>
      <c r="N462" s="244"/>
      <c r="O462" s="244"/>
      <c r="P462" s="244"/>
      <c r="Q462" s="245">
        <f t="shared" si="98"/>
        <v>0</v>
      </c>
      <c r="R462" s="245">
        <f t="shared" si="99"/>
        <v>0</v>
      </c>
      <c r="S462" s="246">
        <v>0.5</v>
      </c>
      <c r="T462" s="245">
        <f t="shared" si="100"/>
        <v>0</v>
      </c>
      <c r="U462" s="245">
        <f t="shared" si="101"/>
        <v>0</v>
      </c>
      <c r="V462" s="247"/>
    </row>
    <row r="463" spans="1:22" ht="15.75" x14ac:dyDescent="0.25">
      <c r="A463" s="236"/>
      <c r="B463" s="237"/>
      <c r="C463" s="238"/>
      <c r="D463" s="239"/>
      <c r="E463" s="240"/>
      <c r="F463" s="240"/>
      <c r="G463" s="240"/>
      <c r="H463" s="241">
        <f t="shared" si="96"/>
        <v>0</v>
      </c>
      <c r="I463" s="242"/>
      <c r="J463" s="243"/>
      <c r="K463" s="243"/>
      <c r="L463" s="244">
        <v>0.1</v>
      </c>
      <c r="M463" s="244">
        <f t="shared" si="97"/>
        <v>0</v>
      </c>
      <c r="N463" s="244"/>
      <c r="O463" s="244"/>
      <c r="P463" s="244"/>
      <c r="Q463" s="245">
        <f t="shared" si="98"/>
        <v>0</v>
      </c>
      <c r="R463" s="245">
        <f t="shared" si="99"/>
        <v>0</v>
      </c>
      <c r="S463" s="246">
        <v>0.5</v>
      </c>
      <c r="T463" s="245">
        <f t="shared" si="100"/>
        <v>0</v>
      </c>
      <c r="U463" s="245">
        <f t="shared" si="101"/>
        <v>0</v>
      </c>
      <c r="V463" s="247"/>
    </row>
    <row r="464" spans="1:22" ht="15.75" x14ac:dyDescent="0.25">
      <c r="A464" s="236"/>
      <c r="B464" s="237"/>
      <c r="C464" s="238"/>
      <c r="D464" s="239"/>
      <c r="E464" s="240"/>
      <c r="F464" s="240"/>
      <c r="G464" s="240"/>
      <c r="H464" s="241">
        <f t="shared" si="96"/>
        <v>0</v>
      </c>
      <c r="I464" s="242"/>
      <c r="J464" s="243"/>
      <c r="K464" s="243"/>
      <c r="L464" s="244">
        <v>0.1</v>
      </c>
      <c r="M464" s="244">
        <f t="shared" si="97"/>
        <v>0</v>
      </c>
      <c r="N464" s="244"/>
      <c r="O464" s="244"/>
      <c r="P464" s="244"/>
      <c r="Q464" s="245">
        <f t="shared" si="98"/>
        <v>0</v>
      </c>
      <c r="R464" s="245">
        <f t="shared" si="99"/>
        <v>0</v>
      </c>
      <c r="S464" s="246">
        <v>0.5</v>
      </c>
      <c r="T464" s="245">
        <f t="shared" si="100"/>
        <v>0</v>
      </c>
      <c r="U464" s="245">
        <f t="shared" si="101"/>
        <v>0</v>
      </c>
      <c r="V464" s="247"/>
    </row>
    <row r="465" spans="1:22" ht="15.75" x14ac:dyDescent="0.25">
      <c r="A465" s="236"/>
      <c r="B465" s="237"/>
      <c r="C465" s="238"/>
      <c r="D465" s="239"/>
      <c r="E465" s="240"/>
      <c r="F465" s="240"/>
      <c r="G465" s="240"/>
      <c r="H465" s="241">
        <f t="shared" si="96"/>
        <v>0</v>
      </c>
      <c r="I465" s="242"/>
      <c r="J465" s="243"/>
      <c r="K465" s="243"/>
      <c r="L465" s="244">
        <v>0.1</v>
      </c>
      <c r="M465" s="244">
        <f t="shared" si="97"/>
        <v>0</v>
      </c>
      <c r="N465" s="244"/>
      <c r="O465" s="244"/>
      <c r="P465" s="244"/>
      <c r="Q465" s="245">
        <f t="shared" si="98"/>
        <v>0</v>
      </c>
      <c r="R465" s="245">
        <f t="shared" si="99"/>
        <v>0</v>
      </c>
      <c r="S465" s="246">
        <v>0.5</v>
      </c>
      <c r="T465" s="245">
        <f t="shared" si="100"/>
        <v>0</v>
      </c>
      <c r="U465" s="245">
        <f t="shared" si="101"/>
        <v>0</v>
      </c>
      <c r="V465" s="247"/>
    </row>
    <row r="466" spans="1:22" ht="15.75" x14ac:dyDescent="0.25">
      <c r="A466" s="236"/>
      <c r="B466" s="237"/>
      <c r="C466" s="238"/>
      <c r="D466" s="239"/>
      <c r="E466" s="240"/>
      <c r="F466" s="240"/>
      <c r="G466" s="240"/>
      <c r="H466" s="241">
        <f t="shared" si="96"/>
        <v>0</v>
      </c>
      <c r="I466" s="242"/>
      <c r="J466" s="243"/>
      <c r="K466" s="243"/>
      <c r="L466" s="244">
        <v>0.1</v>
      </c>
      <c r="M466" s="244">
        <f t="shared" si="97"/>
        <v>0</v>
      </c>
      <c r="N466" s="244"/>
      <c r="O466" s="244"/>
      <c r="P466" s="244"/>
      <c r="Q466" s="245">
        <f t="shared" si="98"/>
        <v>0</v>
      </c>
      <c r="R466" s="245">
        <f t="shared" si="99"/>
        <v>0</v>
      </c>
      <c r="S466" s="246">
        <v>0.5</v>
      </c>
      <c r="T466" s="245">
        <f t="shared" si="100"/>
        <v>0</v>
      </c>
      <c r="U466" s="245">
        <f t="shared" si="101"/>
        <v>0</v>
      </c>
      <c r="V466" s="247"/>
    </row>
    <row r="467" spans="1:22" ht="15.75" x14ac:dyDescent="0.25">
      <c r="A467" s="236"/>
      <c r="B467" s="237"/>
      <c r="C467" s="238"/>
      <c r="D467" s="239"/>
      <c r="E467" s="240"/>
      <c r="F467" s="240"/>
      <c r="G467" s="240"/>
      <c r="H467" s="241">
        <f t="shared" si="96"/>
        <v>0</v>
      </c>
      <c r="I467" s="242"/>
      <c r="J467" s="243"/>
      <c r="K467" s="243"/>
      <c r="L467" s="244">
        <v>0.1</v>
      </c>
      <c r="M467" s="244">
        <f t="shared" si="97"/>
        <v>0</v>
      </c>
      <c r="N467" s="244"/>
      <c r="O467" s="244"/>
      <c r="P467" s="244"/>
      <c r="Q467" s="245">
        <f t="shared" si="98"/>
        <v>0</v>
      </c>
      <c r="R467" s="245">
        <f t="shared" si="99"/>
        <v>0</v>
      </c>
      <c r="S467" s="246">
        <v>0.5</v>
      </c>
      <c r="T467" s="245">
        <f t="shared" si="100"/>
        <v>0</v>
      </c>
      <c r="U467" s="245">
        <f t="shared" si="101"/>
        <v>0</v>
      </c>
      <c r="V467" s="247"/>
    </row>
    <row r="468" spans="1:22" ht="15.75" x14ac:dyDescent="0.25">
      <c r="A468" s="236"/>
      <c r="B468" s="237"/>
      <c r="C468" s="238"/>
      <c r="D468" s="239"/>
      <c r="E468" s="240"/>
      <c r="F468" s="240"/>
      <c r="G468" s="240"/>
      <c r="H468" s="241">
        <f t="shared" si="96"/>
        <v>0</v>
      </c>
      <c r="I468" s="242"/>
      <c r="J468" s="243"/>
      <c r="K468" s="243"/>
      <c r="L468" s="244">
        <v>0.1</v>
      </c>
      <c r="M468" s="244">
        <f t="shared" si="97"/>
        <v>0</v>
      </c>
      <c r="N468" s="244"/>
      <c r="O468" s="244"/>
      <c r="P468" s="244"/>
      <c r="Q468" s="245">
        <f t="shared" si="98"/>
        <v>0</v>
      </c>
      <c r="R468" s="245">
        <f t="shared" si="99"/>
        <v>0</v>
      </c>
      <c r="S468" s="246">
        <v>0.5</v>
      </c>
      <c r="T468" s="245">
        <f t="shared" si="100"/>
        <v>0</v>
      </c>
      <c r="U468" s="245">
        <f t="shared" si="101"/>
        <v>0</v>
      </c>
      <c r="V468" s="247"/>
    </row>
    <row r="469" spans="1:22" ht="15.75" x14ac:dyDescent="0.25">
      <c r="A469" s="236"/>
      <c r="B469" s="237"/>
      <c r="C469" s="238"/>
      <c r="D469" s="239"/>
      <c r="E469" s="240"/>
      <c r="F469" s="240"/>
      <c r="G469" s="240"/>
      <c r="H469" s="241">
        <f t="shared" si="96"/>
        <v>0</v>
      </c>
      <c r="I469" s="242"/>
      <c r="J469" s="243"/>
      <c r="K469" s="243"/>
      <c r="L469" s="244">
        <v>0.1</v>
      </c>
      <c r="M469" s="244">
        <f t="shared" si="97"/>
        <v>0</v>
      </c>
      <c r="N469" s="244"/>
      <c r="O469" s="244"/>
      <c r="P469" s="244"/>
      <c r="Q469" s="245">
        <f t="shared" si="98"/>
        <v>0</v>
      </c>
      <c r="R469" s="245">
        <f t="shared" si="99"/>
        <v>0</v>
      </c>
      <c r="S469" s="246">
        <v>0.5</v>
      </c>
      <c r="T469" s="245">
        <f t="shared" si="100"/>
        <v>0</v>
      </c>
      <c r="U469" s="245">
        <f t="shared" si="101"/>
        <v>0</v>
      </c>
      <c r="V469" s="247"/>
    </row>
    <row r="470" spans="1:22" ht="15.75" x14ac:dyDescent="0.25">
      <c r="A470" s="236"/>
      <c r="B470" s="237"/>
      <c r="C470" s="238"/>
      <c r="D470" s="239"/>
      <c r="E470" s="240"/>
      <c r="F470" s="240"/>
      <c r="G470" s="240"/>
      <c r="H470" s="241">
        <f t="shared" si="96"/>
        <v>0</v>
      </c>
      <c r="I470" s="242"/>
      <c r="J470" s="243"/>
      <c r="K470" s="243"/>
      <c r="L470" s="244">
        <v>0.1</v>
      </c>
      <c r="M470" s="244">
        <f t="shared" si="97"/>
        <v>0</v>
      </c>
      <c r="N470" s="244"/>
      <c r="O470" s="244"/>
      <c r="P470" s="244"/>
      <c r="Q470" s="245">
        <f t="shared" si="98"/>
        <v>0</v>
      </c>
      <c r="R470" s="245">
        <f t="shared" si="99"/>
        <v>0</v>
      </c>
      <c r="S470" s="246">
        <v>0.5</v>
      </c>
      <c r="T470" s="245">
        <f t="shared" si="100"/>
        <v>0</v>
      </c>
      <c r="U470" s="245">
        <f t="shared" si="101"/>
        <v>0</v>
      </c>
      <c r="V470" s="247"/>
    </row>
    <row r="471" spans="1:22" ht="15.75" x14ac:dyDescent="0.25">
      <c r="A471" s="236"/>
      <c r="B471" s="237"/>
      <c r="C471" s="238"/>
      <c r="D471" s="239"/>
      <c r="E471" s="240"/>
      <c r="F471" s="240"/>
      <c r="G471" s="240"/>
      <c r="H471" s="241">
        <f t="shared" si="96"/>
        <v>0</v>
      </c>
      <c r="I471" s="242"/>
      <c r="J471" s="243"/>
      <c r="K471" s="243"/>
      <c r="L471" s="244">
        <v>0.1</v>
      </c>
      <c r="M471" s="244">
        <f t="shared" si="97"/>
        <v>0</v>
      </c>
      <c r="N471" s="244"/>
      <c r="O471" s="244"/>
      <c r="P471" s="244"/>
      <c r="Q471" s="245">
        <f t="shared" si="98"/>
        <v>0</v>
      </c>
      <c r="R471" s="245">
        <f t="shared" si="99"/>
        <v>0</v>
      </c>
      <c r="S471" s="246">
        <v>0.5</v>
      </c>
      <c r="T471" s="245">
        <f t="shared" si="100"/>
        <v>0</v>
      </c>
      <c r="U471" s="245">
        <f t="shared" si="101"/>
        <v>0</v>
      </c>
      <c r="V471" s="247"/>
    </row>
    <row r="472" spans="1:22" ht="15.75" x14ac:dyDescent="0.25">
      <c r="A472" s="236"/>
      <c r="B472" s="237"/>
      <c r="C472" s="238"/>
      <c r="D472" s="239"/>
      <c r="E472" s="240"/>
      <c r="F472" s="240"/>
      <c r="G472" s="240"/>
      <c r="H472" s="241">
        <f t="shared" si="96"/>
        <v>0</v>
      </c>
      <c r="I472" s="242"/>
      <c r="J472" s="243"/>
      <c r="K472" s="243"/>
      <c r="L472" s="244">
        <v>0.1</v>
      </c>
      <c r="M472" s="244">
        <f t="shared" si="97"/>
        <v>0</v>
      </c>
      <c r="N472" s="244"/>
      <c r="O472" s="244"/>
      <c r="P472" s="244"/>
      <c r="Q472" s="245">
        <f t="shared" si="98"/>
        <v>0</v>
      </c>
      <c r="R472" s="245">
        <f t="shared" si="99"/>
        <v>0</v>
      </c>
      <c r="S472" s="246">
        <v>0.5</v>
      </c>
      <c r="T472" s="245">
        <f t="shared" si="100"/>
        <v>0</v>
      </c>
      <c r="U472" s="245">
        <f t="shared" si="101"/>
        <v>0</v>
      </c>
      <c r="V472" s="247"/>
    </row>
    <row r="473" spans="1:22" ht="15.75" x14ac:dyDescent="0.25">
      <c r="A473" s="236"/>
      <c r="B473" s="237"/>
      <c r="C473" s="238"/>
      <c r="D473" s="239"/>
      <c r="E473" s="240"/>
      <c r="F473" s="240"/>
      <c r="G473" s="240"/>
      <c r="H473" s="241">
        <f t="shared" si="96"/>
        <v>0</v>
      </c>
      <c r="I473" s="242"/>
      <c r="J473" s="243"/>
      <c r="K473" s="243"/>
      <c r="L473" s="244">
        <v>0.1</v>
      </c>
      <c r="M473" s="244">
        <f t="shared" si="97"/>
        <v>0</v>
      </c>
      <c r="N473" s="244"/>
      <c r="O473" s="244"/>
      <c r="P473" s="244"/>
      <c r="Q473" s="245">
        <f t="shared" si="98"/>
        <v>0</v>
      </c>
      <c r="R473" s="245">
        <f t="shared" si="99"/>
        <v>0</v>
      </c>
      <c r="S473" s="246">
        <v>0.5</v>
      </c>
      <c r="T473" s="245">
        <f t="shared" si="100"/>
        <v>0</v>
      </c>
      <c r="U473" s="245">
        <f t="shared" si="101"/>
        <v>0</v>
      </c>
      <c r="V473" s="247"/>
    </row>
    <row r="474" spans="1:22" ht="15.75" x14ac:dyDescent="0.25">
      <c r="A474" s="236"/>
      <c r="B474" s="237"/>
      <c r="C474" s="238"/>
      <c r="D474" s="239"/>
      <c r="E474" s="240"/>
      <c r="F474" s="240"/>
      <c r="G474" s="240"/>
      <c r="H474" s="241">
        <f t="shared" si="96"/>
        <v>0</v>
      </c>
      <c r="I474" s="242"/>
      <c r="J474" s="243"/>
      <c r="K474" s="243"/>
      <c r="L474" s="244">
        <v>0.1</v>
      </c>
      <c r="M474" s="244">
        <f t="shared" si="97"/>
        <v>0</v>
      </c>
      <c r="N474" s="244"/>
      <c r="O474" s="244"/>
      <c r="P474" s="244"/>
      <c r="Q474" s="245">
        <f t="shared" si="98"/>
        <v>0</v>
      </c>
      <c r="R474" s="245">
        <f t="shared" si="99"/>
        <v>0</v>
      </c>
      <c r="S474" s="246">
        <v>0.5</v>
      </c>
      <c r="T474" s="245">
        <f t="shared" si="100"/>
        <v>0</v>
      </c>
      <c r="U474" s="245">
        <f t="shared" si="101"/>
        <v>0</v>
      </c>
      <c r="V474" s="247"/>
    </row>
    <row r="475" spans="1:22" ht="15.75" x14ac:dyDescent="0.25">
      <c r="A475" s="236"/>
      <c r="B475" s="237"/>
      <c r="C475" s="238"/>
      <c r="D475" s="239"/>
      <c r="E475" s="240"/>
      <c r="F475" s="240"/>
      <c r="G475" s="240"/>
      <c r="H475" s="241">
        <f t="shared" si="96"/>
        <v>0</v>
      </c>
      <c r="I475" s="242"/>
      <c r="J475" s="243"/>
      <c r="K475" s="243"/>
      <c r="L475" s="244">
        <v>0.1</v>
      </c>
      <c r="M475" s="244">
        <f t="shared" si="97"/>
        <v>0</v>
      </c>
      <c r="N475" s="244"/>
      <c r="O475" s="244"/>
      <c r="P475" s="244"/>
      <c r="Q475" s="245">
        <f t="shared" si="98"/>
        <v>0</v>
      </c>
      <c r="R475" s="245">
        <f t="shared" si="99"/>
        <v>0</v>
      </c>
      <c r="S475" s="246">
        <v>0.5</v>
      </c>
      <c r="T475" s="245">
        <f t="shared" si="100"/>
        <v>0</v>
      </c>
      <c r="U475" s="245">
        <f t="shared" si="101"/>
        <v>0</v>
      </c>
      <c r="V475" s="247"/>
    </row>
    <row r="476" spans="1:22" ht="15.75" x14ac:dyDescent="0.25">
      <c r="A476" s="236"/>
      <c r="B476" s="237"/>
      <c r="C476" s="238"/>
      <c r="D476" s="239"/>
      <c r="E476" s="240"/>
      <c r="F476" s="240"/>
      <c r="G476" s="240"/>
      <c r="H476" s="241">
        <f t="shared" si="96"/>
        <v>0</v>
      </c>
      <c r="I476" s="242"/>
      <c r="J476" s="243"/>
      <c r="K476" s="243"/>
      <c r="L476" s="244">
        <v>0.1</v>
      </c>
      <c r="M476" s="244">
        <f t="shared" si="97"/>
        <v>0</v>
      </c>
      <c r="N476" s="244"/>
      <c r="O476" s="244"/>
      <c r="P476" s="244"/>
      <c r="Q476" s="245">
        <f t="shared" si="98"/>
        <v>0</v>
      </c>
      <c r="R476" s="245">
        <f t="shared" si="99"/>
        <v>0</v>
      </c>
      <c r="S476" s="246">
        <v>0.5</v>
      </c>
      <c r="T476" s="245">
        <f t="shared" si="100"/>
        <v>0</v>
      </c>
      <c r="U476" s="245">
        <f t="shared" si="101"/>
        <v>0</v>
      </c>
      <c r="V476" s="247"/>
    </row>
    <row r="477" spans="1:22" ht="15.75" x14ac:dyDescent="0.25">
      <c r="A477" s="236"/>
      <c r="B477" s="237"/>
      <c r="C477" s="238"/>
      <c r="D477" s="239"/>
      <c r="E477" s="240"/>
      <c r="F477" s="240"/>
      <c r="G477" s="240"/>
      <c r="H477" s="241">
        <f t="shared" si="96"/>
        <v>0</v>
      </c>
      <c r="I477" s="242"/>
      <c r="J477" s="243"/>
      <c r="K477" s="243"/>
      <c r="L477" s="244">
        <v>0.1</v>
      </c>
      <c r="M477" s="244">
        <f t="shared" si="97"/>
        <v>0</v>
      </c>
      <c r="N477" s="244"/>
      <c r="O477" s="244"/>
      <c r="P477" s="244"/>
      <c r="Q477" s="245">
        <f t="shared" si="98"/>
        <v>0</v>
      </c>
      <c r="R477" s="245">
        <f t="shared" si="99"/>
        <v>0</v>
      </c>
      <c r="S477" s="246">
        <v>0.5</v>
      </c>
      <c r="T477" s="245">
        <f t="shared" si="100"/>
        <v>0</v>
      </c>
      <c r="U477" s="245">
        <f t="shared" si="101"/>
        <v>0</v>
      </c>
      <c r="V477" s="247"/>
    </row>
    <row r="478" spans="1:22" ht="15.75" x14ac:dyDescent="0.25">
      <c r="A478" s="236"/>
      <c r="B478" s="237"/>
      <c r="C478" s="238"/>
      <c r="D478" s="239"/>
      <c r="E478" s="240"/>
      <c r="F478" s="240"/>
      <c r="G478" s="240"/>
      <c r="H478" s="241">
        <f t="shared" si="96"/>
        <v>0</v>
      </c>
      <c r="I478" s="242"/>
      <c r="J478" s="243"/>
      <c r="K478" s="243"/>
      <c r="L478" s="244">
        <v>0.1</v>
      </c>
      <c r="M478" s="244">
        <f t="shared" si="97"/>
        <v>0</v>
      </c>
      <c r="N478" s="244"/>
      <c r="O478" s="244"/>
      <c r="P478" s="244"/>
      <c r="Q478" s="245">
        <f t="shared" si="98"/>
        <v>0</v>
      </c>
      <c r="R478" s="245">
        <f t="shared" si="99"/>
        <v>0</v>
      </c>
      <c r="S478" s="246">
        <v>0.5</v>
      </c>
      <c r="T478" s="245">
        <f t="shared" si="100"/>
        <v>0</v>
      </c>
      <c r="U478" s="245">
        <f t="shared" si="101"/>
        <v>0</v>
      </c>
      <c r="V478" s="247"/>
    </row>
    <row r="479" spans="1:22" ht="15.75" x14ac:dyDescent="0.25">
      <c r="A479" s="236"/>
      <c r="B479" s="237"/>
      <c r="C479" s="238"/>
      <c r="D479" s="239"/>
      <c r="E479" s="240"/>
      <c r="F479" s="240"/>
      <c r="G479" s="240"/>
      <c r="H479" s="241">
        <f t="shared" si="96"/>
        <v>0</v>
      </c>
      <c r="I479" s="242"/>
      <c r="J479" s="243"/>
      <c r="K479" s="243"/>
      <c r="L479" s="244">
        <v>0.1</v>
      </c>
      <c r="M479" s="244">
        <f t="shared" si="97"/>
        <v>0</v>
      </c>
      <c r="N479" s="244"/>
      <c r="O479" s="244"/>
      <c r="P479" s="244"/>
      <c r="Q479" s="245">
        <f t="shared" si="98"/>
        <v>0</v>
      </c>
      <c r="R479" s="245">
        <f t="shared" si="99"/>
        <v>0</v>
      </c>
      <c r="S479" s="246">
        <v>0.5</v>
      </c>
      <c r="T479" s="245">
        <f t="shared" si="100"/>
        <v>0</v>
      </c>
      <c r="U479" s="245">
        <f t="shared" si="101"/>
        <v>0</v>
      </c>
      <c r="V479" s="247"/>
    </row>
    <row r="480" spans="1:22" ht="15.75" x14ac:dyDescent="0.25">
      <c r="A480" s="236"/>
      <c r="B480" s="237"/>
      <c r="C480" s="238"/>
      <c r="D480" s="239"/>
      <c r="E480" s="240"/>
      <c r="F480" s="240"/>
      <c r="G480" s="240"/>
      <c r="H480" s="241">
        <f t="shared" si="96"/>
        <v>0</v>
      </c>
      <c r="I480" s="242"/>
      <c r="J480" s="243"/>
      <c r="K480" s="243"/>
      <c r="L480" s="244">
        <v>0.1</v>
      </c>
      <c r="M480" s="244">
        <f t="shared" si="97"/>
        <v>0</v>
      </c>
      <c r="N480" s="244"/>
      <c r="O480" s="244"/>
      <c r="P480" s="244"/>
      <c r="Q480" s="245">
        <f t="shared" si="98"/>
        <v>0</v>
      </c>
      <c r="R480" s="245">
        <f t="shared" si="99"/>
        <v>0</v>
      </c>
      <c r="S480" s="246">
        <v>0.5</v>
      </c>
      <c r="T480" s="245">
        <f t="shared" si="100"/>
        <v>0</v>
      </c>
      <c r="U480" s="245">
        <f t="shared" si="101"/>
        <v>0</v>
      </c>
      <c r="V480" s="247"/>
    </row>
    <row r="481" spans="1:22" ht="15.75" x14ac:dyDescent="0.25">
      <c r="A481" s="236"/>
      <c r="B481" s="237"/>
      <c r="C481" s="238"/>
      <c r="D481" s="239"/>
      <c r="E481" s="240"/>
      <c r="F481" s="240"/>
      <c r="G481" s="240"/>
      <c r="H481" s="241">
        <f t="shared" si="96"/>
        <v>0</v>
      </c>
      <c r="I481" s="242"/>
      <c r="J481" s="243"/>
      <c r="K481" s="243"/>
      <c r="L481" s="244">
        <v>0.1</v>
      </c>
      <c r="M481" s="244">
        <f t="shared" si="97"/>
        <v>0</v>
      </c>
      <c r="N481" s="244"/>
      <c r="O481" s="244"/>
      <c r="P481" s="244"/>
      <c r="Q481" s="245">
        <f t="shared" si="98"/>
        <v>0</v>
      </c>
      <c r="R481" s="245">
        <f t="shared" si="99"/>
        <v>0</v>
      </c>
      <c r="S481" s="246">
        <v>0.5</v>
      </c>
      <c r="T481" s="245">
        <f t="shared" si="100"/>
        <v>0</v>
      </c>
      <c r="U481" s="245">
        <f t="shared" si="101"/>
        <v>0</v>
      </c>
      <c r="V481" s="247"/>
    </row>
    <row r="482" spans="1:22" ht="15.75" x14ac:dyDescent="0.25">
      <c r="A482" s="236"/>
      <c r="B482" s="237"/>
      <c r="C482" s="238"/>
      <c r="D482" s="239"/>
      <c r="E482" s="240"/>
      <c r="F482" s="240"/>
      <c r="G482" s="240"/>
      <c r="H482" s="241">
        <f t="shared" ref="H482:H545" si="102">+E482+F482+G482</f>
        <v>0</v>
      </c>
      <c r="I482" s="242"/>
      <c r="J482" s="243"/>
      <c r="K482" s="243"/>
      <c r="L482" s="244">
        <v>0.1</v>
      </c>
      <c r="M482" s="244">
        <f t="shared" ref="M482:M545" si="103">+L482*C482</f>
        <v>0</v>
      </c>
      <c r="N482" s="244"/>
      <c r="O482" s="244"/>
      <c r="P482" s="244"/>
      <c r="Q482" s="245">
        <f t="shared" ref="Q482:Q545" si="104">+N482+O482+P482</f>
        <v>0</v>
      </c>
      <c r="R482" s="245">
        <f t="shared" ref="R482:R545" si="105">IF(+Q482-H482&lt;=0,0,Q482-H482)</f>
        <v>0</v>
      </c>
      <c r="S482" s="246">
        <v>0.5</v>
      </c>
      <c r="T482" s="245">
        <f t="shared" ref="T482:T545" si="106">+(R482*C482)*S482</f>
        <v>0</v>
      </c>
      <c r="U482" s="245">
        <f t="shared" ref="U482:U545" si="107">+J482+M482+T482</f>
        <v>0</v>
      </c>
      <c r="V482" s="247"/>
    </row>
    <row r="483" spans="1:22" ht="15.75" x14ac:dyDescent="0.25">
      <c r="A483" s="236"/>
      <c r="B483" s="237"/>
      <c r="C483" s="238"/>
      <c r="D483" s="239"/>
      <c r="E483" s="240"/>
      <c r="F483" s="240"/>
      <c r="G483" s="240"/>
      <c r="H483" s="241">
        <f t="shared" si="102"/>
        <v>0</v>
      </c>
      <c r="I483" s="242"/>
      <c r="J483" s="243"/>
      <c r="K483" s="243"/>
      <c r="L483" s="244">
        <v>0.1</v>
      </c>
      <c r="M483" s="244">
        <f t="shared" si="103"/>
        <v>0</v>
      </c>
      <c r="N483" s="244"/>
      <c r="O483" s="244"/>
      <c r="P483" s="244"/>
      <c r="Q483" s="245">
        <f t="shared" si="104"/>
        <v>0</v>
      </c>
      <c r="R483" s="245">
        <f t="shared" si="105"/>
        <v>0</v>
      </c>
      <c r="S483" s="246">
        <v>0.5</v>
      </c>
      <c r="T483" s="245">
        <f t="shared" si="106"/>
        <v>0</v>
      </c>
      <c r="U483" s="245">
        <f t="shared" si="107"/>
        <v>0</v>
      </c>
      <c r="V483" s="247"/>
    </row>
    <row r="484" spans="1:22" ht="15.75" x14ac:dyDescent="0.25">
      <c r="A484" s="236"/>
      <c r="B484" s="237"/>
      <c r="C484" s="238"/>
      <c r="D484" s="239"/>
      <c r="E484" s="240"/>
      <c r="F484" s="240"/>
      <c r="G484" s="240"/>
      <c r="H484" s="241">
        <f t="shared" si="102"/>
        <v>0</v>
      </c>
      <c r="I484" s="242"/>
      <c r="J484" s="243"/>
      <c r="K484" s="243"/>
      <c r="L484" s="244">
        <v>0.1</v>
      </c>
      <c r="M484" s="244">
        <f t="shared" si="103"/>
        <v>0</v>
      </c>
      <c r="N484" s="244"/>
      <c r="O484" s="244"/>
      <c r="P484" s="244"/>
      <c r="Q484" s="245">
        <f t="shared" si="104"/>
        <v>0</v>
      </c>
      <c r="R484" s="245">
        <f t="shared" si="105"/>
        <v>0</v>
      </c>
      <c r="S484" s="246">
        <v>0.5</v>
      </c>
      <c r="T484" s="245">
        <f t="shared" si="106"/>
        <v>0</v>
      </c>
      <c r="U484" s="245">
        <f t="shared" si="107"/>
        <v>0</v>
      </c>
      <c r="V484" s="247"/>
    </row>
    <row r="485" spans="1:22" ht="15.75" x14ac:dyDescent="0.25">
      <c r="A485" s="236"/>
      <c r="B485" s="237"/>
      <c r="C485" s="238"/>
      <c r="D485" s="239"/>
      <c r="E485" s="240"/>
      <c r="F485" s="240"/>
      <c r="G485" s="240"/>
      <c r="H485" s="241">
        <f t="shared" si="102"/>
        <v>0</v>
      </c>
      <c r="I485" s="242"/>
      <c r="J485" s="243"/>
      <c r="K485" s="243"/>
      <c r="L485" s="244">
        <v>0.1</v>
      </c>
      <c r="M485" s="244">
        <f t="shared" si="103"/>
        <v>0</v>
      </c>
      <c r="N485" s="244"/>
      <c r="O485" s="244"/>
      <c r="P485" s="244"/>
      <c r="Q485" s="245">
        <f t="shared" si="104"/>
        <v>0</v>
      </c>
      <c r="R485" s="245">
        <f t="shared" si="105"/>
        <v>0</v>
      </c>
      <c r="S485" s="246">
        <v>0.5</v>
      </c>
      <c r="T485" s="245">
        <f t="shared" si="106"/>
        <v>0</v>
      </c>
      <c r="U485" s="245">
        <f t="shared" si="107"/>
        <v>0</v>
      </c>
      <c r="V485" s="247"/>
    </row>
    <row r="486" spans="1:22" ht="15.75" x14ac:dyDescent="0.25">
      <c r="A486" s="236"/>
      <c r="B486" s="237"/>
      <c r="C486" s="238"/>
      <c r="D486" s="239"/>
      <c r="E486" s="240"/>
      <c r="F486" s="240"/>
      <c r="G486" s="240"/>
      <c r="H486" s="241">
        <f t="shared" si="102"/>
        <v>0</v>
      </c>
      <c r="I486" s="242"/>
      <c r="J486" s="243"/>
      <c r="K486" s="243"/>
      <c r="L486" s="244">
        <v>0.1</v>
      </c>
      <c r="M486" s="244">
        <f t="shared" si="103"/>
        <v>0</v>
      </c>
      <c r="N486" s="244"/>
      <c r="O486" s="244"/>
      <c r="P486" s="244"/>
      <c r="Q486" s="245">
        <f t="shared" si="104"/>
        <v>0</v>
      </c>
      <c r="R486" s="245">
        <f t="shared" si="105"/>
        <v>0</v>
      </c>
      <c r="S486" s="246">
        <v>0.5</v>
      </c>
      <c r="T486" s="245">
        <f t="shared" si="106"/>
        <v>0</v>
      </c>
      <c r="U486" s="245">
        <f t="shared" si="107"/>
        <v>0</v>
      </c>
      <c r="V486" s="247"/>
    </row>
    <row r="487" spans="1:22" ht="15.75" x14ac:dyDescent="0.25">
      <c r="A487" s="236"/>
      <c r="B487" s="237"/>
      <c r="C487" s="238"/>
      <c r="D487" s="239"/>
      <c r="E487" s="240"/>
      <c r="F487" s="240"/>
      <c r="G487" s="240"/>
      <c r="H487" s="241">
        <f t="shared" si="102"/>
        <v>0</v>
      </c>
      <c r="I487" s="242"/>
      <c r="J487" s="243"/>
      <c r="K487" s="243"/>
      <c r="L487" s="244">
        <v>0.1</v>
      </c>
      <c r="M487" s="244">
        <f t="shared" si="103"/>
        <v>0</v>
      </c>
      <c r="N487" s="244"/>
      <c r="O487" s="244"/>
      <c r="P487" s="244"/>
      <c r="Q487" s="245">
        <f t="shared" si="104"/>
        <v>0</v>
      </c>
      <c r="R487" s="245">
        <f t="shared" si="105"/>
        <v>0</v>
      </c>
      <c r="S487" s="246">
        <v>0.5</v>
      </c>
      <c r="T487" s="245">
        <f t="shared" si="106"/>
        <v>0</v>
      </c>
      <c r="U487" s="245">
        <f t="shared" si="107"/>
        <v>0</v>
      </c>
      <c r="V487" s="247"/>
    </row>
    <row r="488" spans="1:22" ht="15.75" x14ac:dyDescent="0.25">
      <c r="A488" s="236"/>
      <c r="B488" s="237"/>
      <c r="C488" s="238"/>
      <c r="D488" s="239"/>
      <c r="E488" s="240"/>
      <c r="F488" s="240"/>
      <c r="G488" s="240"/>
      <c r="H488" s="241">
        <f t="shared" si="102"/>
        <v>0</v>
      </c>
      <c r="I488" s="242"/>
      <c r="J488" s="243"/>
      <c r="K488" s="243"/>
      <c r="L488" s="244">
        <v>0.1</v>
      </c>
      <c r="M488" s="244">
        <f t="shared" si="103"/>
        <v>0</v>
      </c>
      <c r="N488" s="244"/>
      <c r="O488" s="244"/>
      <c r="P488" s="244"/>
      <c r="Q488" s="245">
        <f t="shared" si="104"/>
        <v>0</v>
      </c>
      <c r="R488" s="245">
        <f t="shared" si="105"/>
        <v>0</v>
      </c>
      <c r="S488" s="246">
        <v>0.5</v>
      </c>
      <c r="T488" s="245">
        <f t="shared" si="106"/>
        <v>0</v>
      </c>
      <c r="U488" s="245">
        <f t="shared" si="107"/>
        <v>0</v>
      </c>
      <c r="V488" s="247"/>
    </row>
    <row r="489" spans="1:22" ht="15.75" x14ac:dyDescent="0.25">
      <c r="A489" s="236"/>
      <c r="B489" s="237"/>
      <c r="C489" s="238"/>
      <c r="D489" s="239"/>
      <c r="E489" s="240"/>
      <c r="F489" s="240"/>
      <c r="G489" s="240"/>
      <c r="H489" s="241">
        <f t="shared" si="102"/>
        <v>0</v>
      </c>
      <c r="I489" s="242"/>
      <c r="J489" s="243"/>
      <c r="K489" s="243"/>
      <c r="L489" s="244">
        <v>0.1</v>
      </c>
      <c r="M489" s="244">
        <f t="shared" si="103"/>
        <v>0</v>
      </c>
      <c r="N489" s="244"/>
      <c r="O489" s="244"/>
      <c r="P489" s="244"/>
      <c r="Q489" s="245">
        <f t="shared" si="104"/>
        <v>0</v>
      </c>
      <c r="R489" s="245">
        <f t="shared" si="105"/>
        <v>0</v>
      </c>
      <c r="S489" s="246">
        <v>0.5</v>
      </c>
      <c r="T489" s="245">
        <f t="shared" si="106"/>
        <v>0</v>
      </c>
      <c r="U489" s="245">
        <f t="shared" si="107"/>
        <v>0</v>
      </c>
      <c r="V489" s="247"/>
    </row>
    <row r="490" spans="1:22" ht="15.75" x14ac:dyDescent="0.25">
      <c r="A490" s="236"/>
      <c r="B490" s="237"/>
      <c r="C490" s="238"/>
      <c r="D490" s="239"/>
      <c r="E490" s="240"/>
      <c r="F490" s="240"/>
      <c r="G490" s="240"/>
      <c r="H490" s="241">
        <f t="shared" si="102"/>
        <v>0</v>
      </c>
      <c r="I490" s="242"/>
      <c r="J490" s="243"/>
      <c r="K490" s="243"/>
      <c r="L490" s="244">
        <v>0.1</v>
      </c>
      <c r="M490" s="244">
        <f t="shared" si="103"/>
        <v>0</v>
      </c>
      <c r="N490" s="244"/>
      <c r="O490" s="244"/>
      <c r="P490" s="244"/>
      <c r="Q490" s="245">
        <f t="shared" si="104"/>
        <v>0</v>
      </c>
      <c r="R490" s="245">
        <f t="shared" si="105"/>
        <v>0</v>
      </c>
      <c r="S490" s="246">
        <v>0.5</v>
      </c>
      <c r="T490" s="245">
        <f t="shared" si="106"/>
        <v>0</v>
      </c>
      <c r="U490" s="245">
        <f t="shared" si="107"/>
        <v>0</v>
      </c>
      <c r="V490" s="247"/>
    </row>
    <row r="491" spans="1:22" ht="15.75" x14ac:dyDescent="0.25">
      <c r="A491" s="236"/>
      <c r="B491" s="237"/>
      <c r="C491" s="238"/>
      <c r="D491" s="239"/>
      <c r="E491" s="240"/>
      <c r="F491" s="240"/>
      <c r="G491" s="240"/>
      <c r="H491" s="241">
        <f t="shared" si="102"/>
        <v>0</v>
      </c>
      <c r="I491" s="242"/>
      <c r="J491" s="243"/>
      <c r="K491" s="243"/>
      <c r="L491" s="244">
        <v>0.1</v>
      </c>
      <c r="M491" s="244">
        <f t="shared" si="103"/>
        <v>0</v>
      </c>
      <c r="N491" s="244"/>
      <c r="O491" s="244"/>
      <c r="P491" s="244"/>
      <c r="Q491" s="245">
        <f t="shared" si="104"/>
        <v>0</v>
      </c>
      <c r="R491" s="245">
        <f t="shared" si="105"/>
        <v>0</v>
      </c>
      <c r="S491" s="246">
        <v>0.5</v>
      </c>
      <c r="T491" s="245">
        <f t="shared" si="106"/>
        <v>0</v>
      </c>
      <c r="U491" s="245">
        <f t="shared" si="107"/>
        <v>0</v>
      </c>
      <c r="V491" s="247"/>
    </row>
    <row r="492" spans="1:22" ht="15.75" x14ac:dyDescent="0.25">
      <c r="A492" s="236"/>
      <c r="B492" s="237"/>
      <c r="C492" s="238"/>
      <c r="D492" s="239"/>
      <c r="E492" s="240"/>
      <c r="F492" s="240"/>
      <c r="G492" s="240"/>
      <c r="H492" s="241">
        <f t="shared" si="102"/>
        <v>0</v>
      </c>
      <c r="I492" s="242"/>
      <c r="J492" s="243"/>
      <c r="K492" s="243"/>
      <c r="L492" s="244">
        <v>0.1</v>
      </c>
      <c r="M492" s="244">
        <f t="shared" si="103"/>
        <v>0</v>
      </c>
      <c r="N492" s="244"/>
      <c r="O492" s="244"/>
      <c r="P492" s="244"/>
      <c r="Q492" s="245">
        <f t="shared" si="104"/>
        <v>0</v>
      </c>
      <c r="R492" s="245">
        <f t="shared" si="105"/>
        <v>0</v>
      </c>
      <c r="S492" s="246">
        <v>0.5</v>
      </c>
      <c r="T492" s="245">
        <f t="shared" si="106"/>
        <v>0</v>
      </c>
      <c r="U492" s="245">
        <f t="shared" si="107"/>
        <v>0</v>
      </c>
      <c r="V492" s="247"/>
    </row>
    <row r="493" spans="1:22" ht="15.75" x14ac:dyDescent="0.25">
      <c r="A493" s="236"/>
      <c r="B493" s="237"/>
      <c r="C493" s="238"/>
      <c r="D493" s="239"/>
      <c r="E493" s="240"/>
      <c r="F493" s="240"/>
      <c r="G493" s="240"/>
      <c r="H493" s="241">
        <f t="shared" si="102"/>
        <v>0</v>
      </c>
      <c r="I493" s="242"/>
      <c r="J493" s="243"/>
      <c r="K493" s="243"/>
      <c r="L493" s="244">
        <v>0.1</v>
      </c>
      <c r="M493" s="244">
        <f t="shared" si="103"/>
        <v>0</v>
      </c>
      <c r="N493" s="244"/>
      <c r="O493" s="244"/>
      <c r="P493" s="244"/>
      <c r="Q493" s="245">
        <f t="shared" si="104"/>
        <v>0</v>
      </c>
      <c r="R493" s="245">
        <f t="shared" si="105"/>
        <v>0</v>
      </c>
      <c r="S493" s="246">
        <v>0.5</v>
      </c>
      <c r="T493" s="245">
        <f t="shared" si="106"/>
        <v>0</v>
      </c>
      <c r="U493" s="245">
        <f t="shared" si="107"/>
        <v>0</v>
      </c>
      <c r="V493" s="247"/>
    </row>
    <row r="494" spans="1:22" ht="15.75" x14ac:dyDescent="0.25">
      <c r="A494" s="236"/>
      <c r="B494" s="237"/>
      <c r="C494" s="238"/>
      <c r="D494" s="239"/>
      <c r="E494" s="240"/>
      <c r="F494" s="240"/>
      <c r="G494" s="240"/>
      <c r="H494" s="241">
        <f t="shared" si="102"/>
        <v>0</v>
      </c>
      <c r="I494" s="242"/>
      <c r="J494" s="243"/>
      <c r="K494" s="243"/>
      <c r="L494" s="244">
        <v>0.1</v>
      </c>
      <c r="M494" s="244">
        <f t="shared" si="103"/>
        <v>0</v>
      </c>
      <c r="N494" s="244"/>
      <c r="O494" s="244"/>
      <c r="P494" s="244"/>
      <c r="Q494" s="245">
        <f t="shared" si="104"/>
        <v>0</v>
      </c>
      <c r="R494" s="245">
        <f t="shared" si="105"/>
        <v>0</v>
      </c>
      <c r="S494" s="246">
        <v>0.5</v>
      </c>
      <c r="T494" s="245">
        <f t="shared" si="106"/>
        <v>0</v>
      </c>
      <c r="U494" s="245">
        <f t="shared" si="107"/>
        <v>0</v>
      </c>
      <c r="V494" s="247"/>
    </row>
    <row r="495" spans="1:22" ht="15.75" x14ac:dyDescent="0.25">
      <c r="A495" s="236"/>
      <c r="B495" s="237"/>
      <c r="C495" s="238"/>
      <c r="D495" s="239"/>
      <c r="E495" s="240"/>
      <c r="F495" s="240"/>
      <c r="G495" s="240"/>
      <c r="H495" s="241">
        <f t="shared" si="102"/>
        <v>0</v>
      </c>
      <c r="I495" s="242"/>
      <c r="J495" s="243"/>
      <c r="K495" s="243"/>
      <c r="L495" s="244">
        <v>0.1</v>
      </c>
      <c r="M495" s="244">
        <f t="shared" si="103"/>
        <v>0</v>
      </c>
      <c r="N495" s="244"/>
      <c r="O495" s="244"/>
      <c r="P495" s="244"/>
      <c r="Q495" s="245">
        <f t="shared" si="104"/>
        <v>0</v>
      </c>
      <c r="R495" s="245">
        <f t="shared" si="105"/>
        <v>0</v>
      </c>
      <c r="S495" s="246">
        <v>0.5</v>
      </c>
      <c r="T495" s="245">
        <f t="shared" si="106"/>
        <v>0</v>
      </c>
      <c r="U495" s="245">
        <f t="shared" si="107"/>
        <v>0</v>
      </c>
      <c r="V495" s="247"/>
    </row>
    <row r="496" spans="1:22" ht="15.75" x14ac:dyDescent="0.25">
      <c r="A496" s="236"/>
      <c r="B496" s="237"/>
      <c r="C496" s="238"/>
      <c r="D496" s="239"/>
      <c r="E496" s="240"/>
      <c r="F496" s="240"/>
      <c r="G496" s="240"/>
      <c r="H496" s="241">
        <f t="shared" si="102"/>
        <v>0</v>
      </c>
      <c r="I496" s="242"/>
      <c r="J496" s="243"/>
      <c r="K496" s="243"/>
      <c r="L496" s="244">
        <v>0.1</v>
      </c>
      <c r="M496" s="244">
        <f t="shared" si="103"/>
        <v>0</v>
      </c>
      <c r="N496" s="244"/>
      <c r="O496" s="244"/>
      <c r="P496" s="244"/>
      <c r="Q496" s="245">
        <f t="shared" si="104"/>
        <v>0</v>
      </c>
      <c r="R496" s="245">
        <f t="shared" si="105"/>
        <v>0</v>
      </c>
      <c r="S496" s="246">
        <v>0.5</v>
      </c>
      <c r="T496" s="245">
        <f t="shared" si="106"/>
        <v>0</v>
      </c>
      <c r="U496" s="245">
        <f t="shared" si="107"/>
        <v>0</v>
      </c>
      <c r="V496" s="247"/>
    </row>
    <row r="497" spans="1:22" ht="15.75" x14ac:dyDescent="0.25">
      <c r="A497" s="236"/>
      <c r="B497" s="237"/>
      <c r="C497" s="238"/>
      <c r="D497" s="239"/>
      <c r="E497" s="240"/>
      <c r="F497" s="240"/>
      <c r="G497" s="240"/>
      <c r="H497" s="241">
        <f t="shared" si="102"/>
        <v>0</v>
      </c>
      <c r="I497" s="242"/>
      <c r="J497" s="243"/>
      <c r="K497" s="243"/>
      <c r="L497" s="244">
        <v>0.1</v>
      </c>
      <c r="M497" s="244">
        <f t="shared" si="103"/>
        <v>0</v>
      </c>
      <c r="N497" s="244"/>
      <c r="O497" s="244"/>
      <c r="P497" s="244"/>
      <c r="Q497" s="245">
        <f t="shared" si="104"/>
        <v>0</v>
      </c>
      <c r="R497" s="245">
        <f t="shared" si="105"/>
        <v>0</v>
      </c>
      <c r="S497" s="246">
        <v>0.5</v>
      </c>
      <c r="T497" s="245">
        <f t="shared" si="106"/>
        <v>0</v>
      </c>
      <c r="U497" s="245">
        <f t="shared" si="107"/>
        <v>0</v>
      </c>
      <c r="V497" s="247"/>
    </row>
    <row r="498" spans="1:22" ht="15.75" x14ac:dyDescent="0.25">
      <c r="A498" s="236"/>
      <c r="B498" s="237"/>
      <c r="C498" s="238"/>
      <c r="D498" s="239"/>
      <c r="E498" s="240"/>
      <c r="F498" s="240"/>
      <c r="G498" s="240"/>
      <c r="H498" s="241">
        <f t="shared" si="102"/>
        <v>0</v>
      </c>
      <c r="I498" s="242"/>
      <c r="J498" s="243"/>
      <c r="K498" s="243"/>
      <c r="L498" s="244">
        <v>0.1</v>
      </c>
      <c r="M498" s="244">
        <f t="shared" si="103"/>
        <v>0</v>
      </c>
      <c r="N498" s="244"/>
      <c r="O498" s="244"/>
      <c r="P498" s="244"/>
      <c r="Q498" s="245">
        <f t="shared" si="104"/>
        <v>0</v>
      </c>
      <c r="R498" s="245">
        <f t="shared" si="105"/>
        <v>0</v>
      </c>
      <c r="S498" s="246">
        <v>0.5</v>
      </c>
      <c r="T498" s="245">
        <f t="shared" si="106"/>
        <v>0</v>
      </c>
      <c r="U498" s="245">
        <f t="shared" si="107"/>
        <v>0</v>
      </c>
      <c r="V498" s="247"/>
    </row>
    <row r="499" spans="1:22" ht="15.75" x14ac:dyDescent="0.25">
      <c r="A499" s="236"/>
      <c r="B499" s="237"/>
      <c r="C499" s="238"/>
      <c r="D499" s="239"/>
      <c r="E499" s="240"/>
      <c r="F499" s="240"/>
      <c r="G499" s="240"/>
      <c r="H499" s="241">
        <f t="shared" si="102"/>
        <v>0</v>
      </c>
      <c r="I499" s="242"/>
      <c r="J499" s="243"/>
      <c r="K499" s="243"/>
      <c r="L499" s="244">
        <v>0.1</v>
      </c>
      <c r="M499" s="244">
        <f t="shared" si="103"/>
        <v>0</v>
      </c>
      <c r="N499" s="244"/>
      <c r="O499" s="244"/>
      <c r="P499" s="244"/>
      <c r="Q499" s="245">
        <f t="shared" si="104"/>
        <v>0</v>
      </c>
      <c r="R499" s="245">
        <f t="shared" si="105"/>
        <v>0</v>
      </c>
      <c r="S499" s="246">
        <v>0.5</v>
      </c>
      <c r="T499" s="245">
        <f t="shared" si="106"/>
        <v>0</v>
      </c>
      <c r="U499" s="245">
        <f t="shared" si="107"/>
        <v>0</v>
      </c>
      <c r="V499" s="247"/>
    </row>
    <row r="500" spans="1:22" ht="15.75" x14ac:dyDescent="0.25">
      <c r="A500" s="236"/>
      <c r="B500" s="237"/>
      <c r="C500" s="238"/>
      <c r="D500" s="239"/>
      <c r="E500" s="240"/>
      <c r="F500" s="240"/>
      <c r="G500" s="240"/>
      <c r="H500" s="241">
        <f t="shared" si="102"/>
        <v>0</v>
      </c>
      <c r="I500" s="242"/>
      <c r="J500" s="243"/>
      <c r="K500" s="243"/>
      <c r="L500" s="244">
        <v>0.1</v>
      </c>
      <c r="M500" s="244">
        <f t="shared" si="103"/>
        <v>0</v>
      </c>
      <c r="N500" s="244"/>
      <c r="O500" s="244"/>
      <c r="P500" s="244"/>
      <c r="Q500" s="245">
        <f t="shared" si="104"/>
        <v>0</v>
      </c>
      <c r="R500" s="245">
        <f t="shared" si="105"/>
        <v>0</v>
      </c>
      <c r="S500" s="246">
        <v>0.5</v>
      </c>
      <c r="T500" s="245">
        <f t="shared" si="106"/>
        <v>0</v>
      </c>
      <c r="U500" s="245">
        <f t="shared" si="107"/>
        <v>0</v>
      </c>
      <c r="V500" s="247"/>
    </row>
    <row r="501" spans="1:22" ht="15.75" x14ac:dyDescent="0.25">
      <c r="A501" s="236"/>
      <c r="B501" s="237"/>
      <c r="C501" s="238"/>
      <c r="D501" s="239"/>
      <c r="E501" s="240"/>
      <c r="F501" s="240"/>
      <c r="G501" s="240"/>
      <c r="H501" s="241">
        <f t="shared" si="102"/>
        <v>0</v>
      </c>
      <c r="I501" s="242"/>
      <c r="J501" s="243"/>
      <c r="K501" s="243"/>
      <c r="L501" s="244">
        <v>0.1</v>
      </c>
      <c r="M501" s="244">
        <f t="shared" si="103"/>
        <v>0</v>
      </c>
      <c r="N501" s="244"/>
      <c r="O501" s="244"/>
      <c r="P501" s="244"/>
      <c r="Q501" s="245">
        <f t="shared" si="104"/>
        <v>0</v>
      </c>
      <c r="R501" s="245">
        <f t="shared" si="105"/>
        <v>0</v>
      </c>
      <c r="S501" s="246">
        <v>0.5</v>
      </c>
      <c r="T501" s="245">
        <f t="shared" si="106"/>
        <v>0</v>
      </c>
      <c r="U501" s="245">
        <f t="shared" si="107"/>
        <v>0</v>
      </c>
      <c r="V501" s="247"/>
    </row>
    <row r="502" spans="1:22" ht="15.75" x14ac:dyDescent="0.25">
      <c r="A502" s="236"/>
      <c r="B502" s="237"/>
      <c r="C502" s="238"/>
      <c r="D502" s="239"/>
      <c r="E502" s="240"/>
      <c r="F502" s="240"/>
      <c r="G502" s="240"/>
      <c r="H502" s="241">
        <f t="shared" si="102"/>
        <v>0</v>
      </c>
      <c r="I502" s="242"/>
      <c r="J502" s="243"/>
      <c r="K502" s="243"/>
      <c r="L502" s="244">
        <v>0.1</v>
      </c>
      <c r="M502" s="244">
        <f t="shared" si="103"/>
        <v>0</v>
      </c>
      <c r="N502" s="244"/>
      <c r="O502" s="244"/>
      <c r="P502" s="244"/>
      <c r="Q502" s="245">
        <f t="shared" si="104"/>
        <v>0</v>
      </c>
      <c r="R502" s="245">
        <f t="shared" si="105"/>
        <v>0</v>
      </c>
      <c r="S502" s="246">
        <v>0.5</v>
      </c>
      <c r="T502" s="245">
        <f t="shared" si="106"/>
        <v>0</v>
      </c>
      <c r="U502" s="245">
        <f t="shared" si="107"/>
        <v>0</v>
      </c>
      <c r="V502" s="247"/>
    </row>
    <row r="503" spans="1:22" ht="15.75" x14ac:dyDescent="0.25">
      <c r="A503" s="236"/>
      <c r="B503" s="237"/>
      <c r="C503" s="238"/>
      <c r="D503" s="239"/>
      <c r="E503" s="240"/>
      <c r="F503" s="240"/>
      <c r="G503" s="240"/>
      <c r="H503" s="241">
        <f t="shared" si="102"/>
        <v>0</v>
      </c>
      <c r="I503" s="242"/>
      <c r="J503" s="243"/>
      <c r="K503" s="243"/>
      <c r="L503" s="244">
        <v>0.1</v>
      </c>
      <c r="M503" s="244">
        <f t="shared" si="103"/>
        <v>0</v>
      </c>
      <c r="N503" s="244"/>
      <c r="O503" s="244"/>
      <c r="P503" s="244"/>
      <c r="Q503" s="245">
        <f t="shared" si="104"/>
        <v>0</v>
      </c>
      <c r="R503" s="245">
        <f t="shared" si="105"/>
        <v>0</v>
      </c>
      <c r="S503" s="246">
        <v>0.5</v>
      </c>
      <c r="T503" s="245">
        <f t="shared" si="106"/>
        <v>0</v>
      </c>
      <c r="U503" s="245">
        <f t="shared" si="107"/>
        <v>0</v>
      </c>
      <c r="V503" s="247"/>
    </row>
    <row r="504" spans="1:22" ht="15.75" x14ac:dyDescent="0.25">
      <c r="A504" s="236"/>
      <c r="B504" s="237"/>
      <c r="C504" s="238"/>
      <c r="D504" s="239"/>
      <c r="E504" s="240"/>
      <c r="F504" s="240"/>
      <c r="G504" s="240"/>
      <c r="H504" s="241">
        <f t="shared" si="102"/>
        <v>0</v>
      </c>
      <c r="I504" s="242"/>
      <c r="J504" s="243"/>
      <c r="K504" s="243"/>
      <c r="L504" s="244">
        <v>0.1</v>
      </c>
      <c r="M504" s="244">
        <f t="shared" si="103"/>
        <v>0</v>
      </c>
      <c r="N504" s="244"/>
      <c r="O504" s="244"/>
      <c r="P504" s="244"/>
      <c r="Q504" s="245">
        <f t="shared" si="104"/>
        <v>0</v>
      </c>
      <c r="R504" s="245">
        <f t="shared" si="105"/>
        <v>0</v>
      </c>
      <c r="S504" s="246">
        <v>0.5</v>
      </c>
      <c r="T504" s="245">
        <f t="shared" si="106"/>
        <v>0</v>
      </c>
      <c r="U504" s="245">
        <f t="shared" si="107"/>
        <v>0</v>
      </c>
      <c r="V504" s="247"/>
    </row>
    <row r="505" spans="1:22" ht="15.75" x14ac:dyDescent="0.25">
      <c r="A505" s="236"/>
      <c r="B505" s="237"/>
      <c r="C505" s="238"/>
      <c r="D505" s="239"/>
      <c r="E505" s="240"/>
      <c r="F505" s="240"/>
      <c r="G505" s="240"/>
      <c r="H505" s="241">
        <f t="shared" si="102"/>
        <v>0</v>
      </c>
      <c r="I505" s="242"/>
      <c r="J505" s="243"/>
      <c r="K505" s="243"/>
      <c r="L505" s="244">
        <v>0.1</v>
      </c>
      <c r="M505" s="244">
        <f t="shared" si="103"/>
        <v>0</v>
      </c>
      <c r="N505" s="244"/>
      <c r="O505" s="244"/>
      <c r="P505" s="244"/>
      <c r="Q505" s="245">
        <f t="shared" si="104"/>
        <v>0</v>
      </c>
      <c r="R505" s="245">
        <f t="shared" si="105"/>
        <v>0</v>
      </c>
      <c r="S505" s="246">
        <v>0.5</v>
      </c>
      <c r="T505" s="245">
        <f t="shared" si="106"/>
        <v>0</v>
      </c>
      <c r="U505" s="245">
        <f t="shared" si="107"/>
        <v>0</v>
      </c>
      <c r="V505" s="247"/>
    </row>
    <row r="506" spans="1:22" ht="15.75" x14ac:dyDescent="0.25">
      <c r="A506" s="236"/>
      <c r="B506" s="237"/>
      <c r="C506" s="238"/>
      <c r="D506" s="239"/>
      <c r="E506" s="240"/>
      <c r="F506" s="240"/>
      <c r="G506" s="240"/>
      <c r="H506" s="241">
        <f t="shared" si="102"/>
        <v>0</v>
      </c>
      <c r="I506" s="242"/>
      <c r="J506" s="243"/>
      <c r="K506" s="243"/>
      <c r="L506" s="244">
        <v>0.1</v>
      </c>
      <c r="M506" s="244">
        <f t="shared" si="103"/>
        <v>0</v>
      </c>
      <c r="N506" s="244"/>
      <c r="O506" s="244"/>
      <c r="P506" s="244"/>
      <c r="Q506" s="245">
        <f t="shared" si="104"/>
        <v>0</v>
      </c>
      <c r="R506" s="245">
        <f t="shared" si="105"/>
        <v>0</v>
      </c>
      <c r="S506" s="246">
        <v>0.5</v>
      </c>
      <c r="T506" s="245">
        <f t="shared" si="106"/>
        <v>0</v>
      </c>
      <c r="U506" s="245">
        <f t="shared" si="107"/>
        <v>0</v>
      </c>
      <c r="V506" s="247"/>
    </row>
    <row r="507" spans="1:22" ht="15.75" x14ac:dyDescent="0.25">
      <c r="A507" s="236"/>
      <c r="B507" s="237"/>
      <c r="C507" s="238"/>
      <c r="D507" s="239"/>
      <c r="E507" s="240"/>
      <c r="F507" s="240"/>
      <c r="G507" s="240"/>
      <c r="H507" s="241">
        <f t="shared" si="102"/>
        <v>0</v>
      </c>
      <c r="I507" s="242"/>
      <c r="J507" s="243"/>
      <c r="K507" s="243"/>
      <c r="L507" s="244">
        <v>0.1</v>
      </c>
      <c r="M507" s="244">
        <f t="shared" si="103"/>
        <v>0</v>
      </c>
      <c r="N507" s="244"/>
      <c r="O507" s="244"/>
      <c r="P507" s="244"/>
      <c r="Q507" s="245">
        <f t="shared" si="104"/>
        <v>0</v>
      </c>
      <c r="R507" s="245">
        <f t="shared" si="105"/>
        <v>0</v>
      </c>
      <c r="S507" s="246">
        <v>0.5</v>
      </c>
      <c r="T507" s="245">
        <f t="shared" si="106"/>
        <v>0</v>
      </c>
      <c r="U507" s="245">
        <f t="shared" si="107"/>
        <v>0</v>
      </c>
      <c r="V507" s="247"/>
    </row>
    <row r="508" spans="1:22" ht="15.75" x14ac:dyDescent="0.25">
      <c r="A508" s="236"/>
      <c r="B508" s="237"/>
      <c r="C508" s="238"/>
      <c r="D508" s="239"/>
      <c r="E508" s="240"/>
      <c r="F508" s="240"/>
      <c r="G508" s="240"/>
      <c r="H508" s="241">
        <f t="shared" si="102"/>
        <v>0</v>
      </c>
      <c r="I508" s="242"/>
      <c r="J508" s="243"/>
      <c r="K508" s="243"/>
      <c r="L508" s="244">
        <v>0.1</v>
      </c>
      <c r="M508" s="244">
        <f t="shared" si="103"/>
        <v>0</v>
      </c>
      <c r="N508" s="244"/>
      <c r="O508" s="244"/>
      <c r="P508" s="244"/>
      <c r="Q508" s="245">
        <f t="shared" si="104"/>
        <v>0</v>
      </c>
      <c r="R508" s="245">
        <f t="shared" si="105"/>
        <v>0</v>
      </c>
      <c r="S508" s="246">
        <v>0.5</v>
      </c>
      <c r="T508" s="245">
        <f t="shared" si="106"/>
        <v>0</v>
      </c>
      <c r="U508" s="245">
        <f t="shared" si="107"/>
        <v>0</v>
      </c>
      <c r="V508" s="247"/>
    </row>
    <row r="509" spans="1:22" ht="15.75" x14ac:dyDescent="0.25">
      <c r="A509" s="236"/>
      <c r="B509" s="237"/>
      <c r="C509" s="238"/>
      <c r="D509" s="239"/>
      <c r="E509" s="240"/>
      <c r="F509" s="240"/>
      <c r="G509" s="240"/>
      <c r="H509" s="241">
        <f t="shared" si="102"/>
        <v>0</v>
      </c>
      <c r="I509" s="242"/>
      <c r="J509" s="243"/>
      <c r="K509" s="243"/>
      <c r="L509" s="244">
        <v>0.1</v>
      </c>
      <c r="M509" s="244">
        <f t="shared" si="103"/>
        <v>0</v>
      </c>
      <c r="N509" s="244"/>
      <c r="O509" s="244"/>
      <c r="P509" s="244"/>
      <c r="Q509" s="245">
        <f t="shared" si="104"/>
        <v>0</v>
      </c>
      <c r="R509" s="245">
        <f t="shared" si="105"/>
        <v>0</v>
      </c>
      <c r="S509" s="246">
        <v>0.5</v>
      </c>
      <c r="T509" s="245">
        <f t="shared" si="106"/>
        <v>0</v>
      </c>
      <c r="U509" s="245">
        <f t="shared" si="107"/>
        <v>0</v>
      </c>
      <c r="V509" s="247"/>
    </row>
    <row r="510" spans="1:22" ht="15.75" x14ac:dyDescent="0.25">
      <c r="A510" s="236"/>
      <c r="B510" s="237"/>
      <c r="C510" s="238"/>
      <c r="D510" s="239"/>
      <c r="E510" s="240"/>
      <c r="F510" s="240"/>
      <c r="G510" s="240"/>
      <c r="H510" s="241">
        <f t="shared" si="102"/>
        <v>0</v>
      </c>
      <c r="I510" s="242"/>
      <c r="J510" s="243"/>
      <c r="K510" s="243"/>
      <c r="L510" s="244">
        <v>0.1</v>
      </c>
      <c r="M510" s="244">
        <f t="shared" si="103"/>
        <v>0</v>
      </c>
      <c r="N510" s="244"/>
      <c r="O510" s="244"/>
      <c r="P510" s="244"/>
      <c r="Q510" s="245">
        <f t="shared" si="104"/>
        <v>0</v>
      </c>
      <c r="R510" s="245">
        <f t="shared" si="105"/>
        <v>0</v>
      </c>
      <c r="S510" s="246">
        <v>0.5</v>
      </c>
      <c r="T510" s="245">
        <f t="shared" si="106"/>
        <v>0</v>
      </c>
      <c r="U510" s="245">
        <f t="shared" si="107"/>
        <v>0</v>
      </c>
      <c r="V510" s="247"/>
    </row>
    <row r="511" spans="1:22" ht="15.75" x14ac:dyDescent="0.25">
      <c r="A511" s="236"/>
      <c r="B511" s="237"/>
      <c r="C511" s="238"/>
      <c r="D511" s="239"/>
      <c r="E511" s="240"/>
      <c r="F511" s="240"/>
      <c r="G511" s="240"/>
      <c r="H511" s="241">
        <f t="shared" si="102"/>
        <v>0</v>
      </c>
      <c r="I511" s="242"/>
      <c r="J511" s="243"/>
      <c r="K511" s="243"/>
      <c r="L511" s="244">
        <v>0.1</v>
      </c>
      <c r="M511" s="244">
        <f t="shared" si="103"/>
        <v>0</v>
      </c>
      <c r="N511" s="244"/>
      <c r="O511" s="244"/>
      <c r="P511" s="244"/>
      <c r="Q511" s="245">
        <f t="shared" si="104"/>
        <v>0</v>
      </c>
      <c r="R511" s="245">
        <f t="shared" si="105"/>
        <v>0</v>
      </c>
      <c r="S511" s="246">
        <v>0.5</v>
      </c>
      <c r="T511" s="245">
        <f t="shared" si="106"/>
        <v>0</v>
      </c>
      <c r="U511" s="245">
        <f t="shared" si="107"/>
        <v>0</v>
      </c>
      <c r="V511" s="247"/>
    </row>
    <row r="512" spans="1:22" ht="15.75" x14ac:dyDescent="0.25">
      <c r="A512" s="236"/>
      <c r="B512" s="237"/>
      <c r="C512" s="238"/>
      <c r="D512" s="239"/>
      <c r="E512" s="240"/>
      <c r="F512" s="240"/>
      <c r="G512" s="240"/>
      <c r="H512" s="241">
        <f t="shared" si="102"/>
        <v>0</v>
      </c>
      <c r="I512" s="242"/>
      <c r="J512" s="243"/>
      <c r="K512" s="243"/>
      <c r="L512" s="244">
        <v>0.1</v>
      </c>
      <c r="M512" s="244">
        <f t="shared" si="103"/>
        <v>0</v>
      </c>
      <c r="N512" s="244"/>
      <c r="O512" s="244"/>
      <c r="P512" s="244"/>
      <c r="Q512" s="245">
        <f t="shared" si="104"/>
        <v>0</v>
      </c>
      <c r="R512" s="245">
        <f t="shared" si="105"/>
        <v>0</v>
      </c>
      <c r="S512" s="246">
        <v>0.5</v>
      </c>
      <c r="T512" s="245">
        <f t="shared" si="106"/>
        <v>0</v>
      </c>
      <c r="U512" s="245">
        <f t="shared" si="107"/>
        <v>0</v>
      </c>
      <c r="V512" s="247"/>
    </row>
    <row r="513" spans="1:22" ht="15.75" x14ac:dyDescent="0.25">
      <c r="A513" s="236"/>
      <c r="B513" s="237"/>
      <c r="C513" s="238"/>
      <c r="D513" s="239"/>
      <c r="E513" s="240"/>
      <c r="F513" s="240"/>
      <c r="G513" s="240"/>
      <c r="H513" s="241">
        <f t="shared" si="102"/>
        <v>0</v>
      </c>
      <c r="I513" s="242"/>
      <c r="J513" s="243"/>
      <c r="K513" s="243"/>
      <c r="L513" s="244">
        <v>0.1</v>
      </c>
      <c r="M513" s="244">
        <f t="shared" si="103"/>
        <v>0</v>
      </c>
      <c r="N513" s="244"/>
      <c r="O513" s="244"/>
      <c r="P513" s="244"/>
      <c r="Q513" s="245">
        <f t="shared" si="104"/>
        <v>0</v>
      </c>
      <c r="R513" s="245">
        <f t="shared" si="105"/>
        <v>0</v>
      </c>
      <c r="S513" s="246">
        <v>0.5</v>
      </c>
      <c r="T513" s="245">
        <f t="shared" si="106"/>
        <v>0</v>
      </c>
      <c r="U513" s="245">
        <f t="shared" si="107"/>
        <v>0</v>
      </c>
      <c r="V513" s="247"/>
    </row>
    <row r="514" spans="1:22" ht="15.75" x14ac:dyDescent="0.25">
      <c r="A514" s="236"/>
      <c r="B514" s="237"/>
      <c r="C514" s="238"/>
      <c r="D514" s="239"/>
      <c r="E514" s="240"/>
      <c r="F514" s="240"/>
      <c r="G514" s="240"/>
      <c r="H514" s="241">
        <f t="shared" si="102"/>
        <v>0</v>
      </c>
      <c r="I514" s="242"/>
      <c r="J514" s="243"/>
      <c r="K514" s="243"/>
      <c r="L514" s="244">
        <v>0.1</v>
      </c>
      <c r="M514" s="244">
        <f t="shared" si="103"/>
        <v>0</v>
      </c>
      <c r="N514" s="244"/>
      <c r="O514" s="244"/>
      <c r="P514" s="244"/>
      <c r="Q514" s="245">
        <f t="shared" si="104"/>
        <v>0</v>
      </c>
      <c r="R514" s="245">
        <f t="shared" si="105"/>
        <v>0</v>
      </c>
      <c r="S514" s="246">
        <v>0.5</v>
      </c>
      <c r="T514" s="245">
        <f t="shared" si="106"/>
        <v>0</v>
      </c>
      <c r="U514" s="245">
        <f t="shared" si="107"/>
        <v>0</v>
      </c>
      <c r="V514" s="247"/>
    </row>
    <row r="515" spans="1:22" ht="15.75" x14ac:dyDescent="0.25">
      <c r="A515" s="236"/>
      <c r="B515" s="237"/>
      <c r="C515" s="238"/>
      <c r="D515" s="239"/>
      <c r="E515" s="240"/>
      <c r="F515" s="240"/>
      <c r="G515" s="240"/>
      <c r="H515" s="241">
        <f t="shared" si="102"/>
        <v>0</v>
      </c>
      <c r="I515" s="242"/>
      <c r="J515" s="243"/>
      <c r="K515" s="243"/>
      <c r="L515" s="244">
        <v>0.1</v>
      </c>
      <c r="M515" s="244">
        <f t="shared" si="103"/>
        <v>0</v>
      </c>
      <c r="N515" s="244"/>
      <c r="O515" s="244"/>
      <c r="P515" s="244"/>
      <c r="Q515" s="245">
        <f t="shared" si="104"/>
        <v>0</v>
      </c>
      <c r="R515" s="245">
        <f t="shared" si="105"/>
        <v>0</v>
      </c>
      <c r="S515" s="246">
        <v>0.5</v>
      </c>
      <c r="T515" s="245">
        <f t="shared" si="106"/>
        <v>0</v>
      </c>
      <c r="U515" s="245">
        <f t="shared" si="107"/>
        <v>0</v>
      </c>
      <c r="V515" s="247"/>
    </row>
    <row r="516" spans="1:22" ht="15.75" x14ac:dyDescent="0.25">
      <c r="A516" s="236"/>
      <c r="B516" s="237"/>
      <c r="C516" s="238"/>
      <c r="D516" s="239"/>
      <c r="E516" s="240"/>
      <c r="F516" s="240"/>
      <c r="G516" s="240"/>
      <c r="H516" s="241">
        <f t="shared" si="102"/>
        <v>0</v>
      </c>
      <c r="I516" s="242"/>
      <c r="J516" s="243"/>
      <c r="K516" s="243"/>
      <c r="L516" s="244">
        <v>0.1</v>
      </c>
      <c r="M516" s="244">
        <f t="shared" si="103"/>
        <v>0</v>
      </c>
      <c r="N516" s="244"/>
      <c r="O516" s="244"/>
      <c r="P516" s="244"/>
      <c r="Q516" s="245">
        <f t="shared" si="104"/>
        <v>0</v>
      </c>
      <c r="R516" s="245">
        <f t="shared" si="105"/>
        <v>0</v>
      </c>
      <c r="S516" s="246">
        <v>0.5</v>
      </c>
      <c r="T516" s="245">
        <f t="shared" si="106"/>
        <v>0</v>
      </c>
      <c r="U516" s="245">
        <f t="shared" si="107"/>
        <v>0</v>
      </c>
      <c r="V516" s="247"/>
    </row>
    <row r="517" spans="1:22" ht="15.75" x14ac:dyDescent="0.25">
      <c r="A517" s="236"/>
      <c r="B517" s="237"/>
      <c r="C517" s="238"/>
      <c r="D517" s="239"/>
      <c r="E517" s="240"/>
      <c r="F517" s="240"/>
      <c r="G517" s="240"/>
      <c r="H517" s="241">
        <f t="shared" si="102"/>
        <v>0</v>
      </c>
      <c r="I517" s="242"/>
      <c r="J517" s="243"/>
      <c r="K517" s="243"/>
      <c r="L517" s="244">
        <v>0.1</v>
      </c>
      <c r="M517" s="244">
        <f t="shared" si="103"/>
        <v>0</v>
      </c>
      <c r="N517" s="244"/>
      <c r="O517" s="244"/>
      <c r="P517" s="244"/>
      <c r="Q517" s="245">
        <f t="shared" si="104"/>
        <v>0</v>
      </c>
      <c r="R517" s="245">
        <f t="shared" si="105"/>
        <v>0</v>
      </c>
      <c r="S517" s="246">
        <v>0.5</v>
      </c>
      <c r="T517" s="245">
        <f t="shared" si="106"/>
        <v>0</v>
      </c>
      <c r="U517" s="245">
        <f t="shared" si="107"/>
        <v>0</v>
      </c>
      <c r="V517" s="247"/>
    </row>
    <row r="518" spans="1:22" ht="15.75" x14ac:dyDescent="0.25">
      <c r="A518" s="236"/>
      <c r="B518" s="237"/>
      <c r="C518" s="238"/>
      <c r="D518" s="239"/>
      <c r="E518" s="240"/>
      <c r="F518" s="240"/>
      <c r="G518" s="240"/>
      <c r="H518" s="241">
        <f t="shared" si="102"/>
        <v>0</v>
      </c>
      <c r="I518" s="242"/>
      <c r="J518" s="243"/>
      <c r="K518" s="243"/>
      <c r="L518" s="244">
        <v>0.1</v>
      </c>
      <c r="M518" s="244">
        <f t="shared" si="103"/>
        <v>0</v>
      </c>
      <c r="N518" s="244"/>
      <c r="O518" s="244"/>
      <c r="P518" s="244"/>
      <c r="Q518" s="245">
        <f t="shared" si="104"/>
        <v>0</v>
      </c>
      <c r="R518" s="245">
        <f t="shared" si="105"/>
        <v>0</v>
      </c>
      <c r="S518" s="246">
        <v>0.5</v>
      </c>
      <c r="T518" s="245">
        <f t="shared" si="106"/>
        <v>0</v>
      </c>
      <c r="U518" s="245">
        <f t="shared" si="107"/>
        <v>0</v>
      </c>
      <c r="V518" s="247"/>
    </row>
    <row r="519" spans="1:22" ht="15.75" x14ac:dyDescent="0.25">
      <c r="A519" s="236"/>
      <c r="B519" s="237"/>
      <c r="C519" s="238"/>
      <c r="D519" s="239"/>
      <c r="E519" s="240"/>
      <c r="F519" s="240"/>
      <c r="G519" s="240"/>
      <c r="H519" s="241">
        <f t="shared" si="102"/>
        <v>0</v>
      </c>
      <c r="I519" s="242"/>
      <c r="J519" s="243"/>
      <c r="K519" s="243"/>
      <c r="L519" s="244">
        <v>0.1</v>
      </c>
      <c r="M519" s="244">
        <f t="shared" si="103"/>
        <v>0</v>
      </c>
      <c r="N519" s="244"/>
      <c r="O519" s="244"/>
      <c r="P519" s="244"/>
      <c r="Q519" s="245">
        <f t="shared" si="104"/>
        <v>0</v>
      </c>
      <c r="R519" s="245">
        <f t="shared" si="105"/>
        <v>0</v>
      </c>
      <c r="S519" s="246">
        <v>0.5</v>
      </c>
      <c r="T519" s="245">
        <f t="shared" si="106"/>
        <v>0</v>
      </c>
      <c r="U519" s="245">
        <f t="shared" si="107"/>
        <v>0</v>
      </c>
      <c r="V519" s="247"/>
    </row>
    <row r="520" spans="1:22" ht="15.75" x14ac:dyDescent="0.25">
      <c r="A520" s="236"/>
      <c r="B520" s="237"/>
      <c r="C520" s="238"/>
      <c r="D520" s="239"/>
      <c r="E520" s="240"/>
      <c r="F520" s="240"/>
      <c r="G520" s="240"/>
      <c r="H520" s="241">
        <f t="shared" si="102"/>
        <v>0</v>
      </c>
      <c r="I520" s="242"/>
      <c r="J520" s="243"/>
      <c r="K520" s="243"/>
      <c r="L520" s="244">
        <v>0.1</v>
      </c>
      <c r="M520" s="244">
        <f t="shared" si="103"/>
        <v>0</v>
      </c>
      <c r="N520" s="244"/>
      <c r="O520" s="244"/>
      <c r="P520" s="244"/>
      <c r="Q520" s="245">
        <f t="shared" si="104"/>
        <v>0</v>
      </c>
      <c r="R520" s="245">
        <f t="shared" si="105"/>
        <v>0</v>
      </c>
      <c r="S520" s="246">
        <v>0.5</v>
      </c>
      <c r="T520" s="245">
        <f t="shared" si="106"/>
        <v>0</v>
      </c>
      <c r="U520" s="245">
        <f t="shared" si="107"/>
        <v>0</v>
      </c>
      <c r="V520" s="247"/>
    </row>
    <row r="521" spans="1:22" ht="15.75" x14ac:dyDescent="0.25">
      <c r="A521" s="236"/>
      <c r="B521" s="237"/>
      <c r="C521" s="238"/>
      <c r="D521" s="239"/>
      <c r="E521" s="240"/>
      <c r="F521" s="240"/>
      <c r="G521" s="240"/>
      <c r="H521" s="241">
        <f t="shared" si="102"/>
        <v>0</v>
      </c>
      <c r="I521" s="242"/>
      <c r="J521" s="243"/>
      <c r="K521" s="243"/>
      <c r="L521" s="244">
        <v>0.1</v>
      </c>
      <c r="M521" s="244">
        <f t="shared" si="103"/>
        <v>0</v>
      </c>
      <c r="N521" s="244"/>
      <c r="O521" s="244"/>
      <c r="P521" s="244"/>
      <c r="Q521" s="245">
        <f t="shared" si="104"/>
        <v>0</v>
      </c>
      <c r="R521" s="245">
        <f t="shared" si="105"/>
        <v>0</v>
      </c>
      <c r="S521" s="246">
        <v>0.5</v>
      </c>
      <c r="T521" s="245">
        <f t="shared" si="106"/>
        <v>0</v>
      </c>
      <c r="U521" s="245">
        <f t="shared" si="107"/>
        <v>0</v>
      </c>
      <c r="V521" s="247"/>
    </row>
    <row r="522" spans="1:22" ht="15.75" x14ac:dyDescent="0.25">
      <c r="A522" s="236"/>
      <c r="B522" s="237"/>
      <c r="C522" s="238"/>
      <c r="D522" s="239"/>
      <c r="E522" s="240"/>
      <c r="F522" s="240"/>
      <c r="G522" s="240"/>
      <c r="H522" s="241">
        <f t="shared" si="102"/>
        <v>0</v>
      </c>
      <c r="I522" s="242"/>
      <c r="J522" s="243"/>
      <c r="K522" s="243"/>
      <c r="L522" s="244">
        <v>0.1</v>
      </c>
      <c r="M522" s="244">
        <f t="shared" si="103"/>
        <v>0</v>
      </c>
      <c r="N522" s="244"/>
      <c r="O522" s="244"/>
      <c r="P522" s="244"/>
      <c r="Q522" s="245">
        <f t="shared" si="104"/>
        <v>0</v>
      </c>
      <c r="R522" s="245">
        <f t="shared" si="105"/>
        <v>0</v>
      </c>
      <c r="S522" s="246">
        <v>0.5</v>
      </c>
      <c r="T522" s="245">
        <f t="shared" si="106"/>
        <v>0</v>
      </c>
      <c r="U522" s="245">
        <f t="shared" si="107"/>
        <v>0</v>
      </c>
      <c r="V522" s="247"/>
    </row>
    <row r="523" spans="1:22" ht="15.75" x14ac:dyDescent="0.25">
      <c r="A523" s="236"/>
      <c r="B523" s="237"/>
      <c r="C523" s="238"/>
      <c r="D523" s="239"/>
      <c r="E523" s="240"/>
      <c r="F523" s="240"/>
      <c r="G523" s="240"/>
      <c r="H523" s="241">
        <f t="shared" si="102"/>
        <v>0</v>
      </c>
      <c r="I523" s="242"/>
      <c r="J523" s="243"/>
      <c r="K523" s="243"/>
      <c r="L523" s="244">
        <v>0.1</v>
      </c>
      <c r="M523" s="244">
        <f t="shared" si="103"/>
        <v>0</v>
      </c>
      <c r="N523" s="244"/>
      <c r="O523" s="244"/>
      <c r="P523" s="244"/>
      <c r="Q523" s="245">
        <f t="shared" si="104"/>
        <v>0</v>
      </c>
      <c r="R523" s="245">
        <f t="shared" si="105"/>
        <v>0</v>
      </c>
      <c r="S523" s="246">
        <v>0.5</v>
      </c>
      <c r="T523" s="245">
        <f t="shared" si="106"/>
        <v>0</v>
      </c>
      <c r="U523" s="245">
        <f t="shared" si="107"/>
        <v>0</v>
      </c>
      <c r="V523" s="247"/>
    </row>
    <row r="524" spans="1:22" ht="15.75" x14ac:dyDescent="0.25">
      <c r="A524" s="236"/>
      <c r="B524" s="237"/>
      <c r="C524" s="238"/>
      <c r="D524" s="239"/>
      <c r="E524" s="240"/>
      <c r="F524" s="240"/>
      <c r="G524" s="240"/>
      <c r="H524" s="241">
        <f t="shared" si="102"/>
        <v>0</v>
      </c>
      <c r="I524" s="242"/>
      <c r="J524" s="243"/>
      <c r="K524" s="243"/>
      <c r="L524" s="244">
        <v>0.1</v>
      </c>
      <c r="M524" s="244">
        <f t="shared" si="103"/>
        <v>0</v>
      </c>
      <c r="N524" s="244"/>
      <c r="O524" s="244"/>
      <c r="P524" s="244"/>
      <c r="Q524" s="245">
        <f t="shared" si="104"/>
        <v>0</v>
      </c>
      <c r="R524" s="245">
        <f t="shared" si="105"/>
        <v>0</v>
      </c>
      <c r="S524" s="246">
        <v>0.5</v>
      </c>
      <c r="T524" s="245">
        <f t="shared" si="106"/>
        <v>0</v>
      </c>
      <c r="U524" s="245">
        <f t="shared" si="107"/>
        <v>0</v>
      </c>
      <c r="V524" s="247"/>
    </row>
    <row r="525" spans="1:22" ht="15.75" x14ac:dyDescent="0.25">
      <c r="A525" s="236"/>
      <c r="B525" s="237"/>
      <c r="C525" s="238"/>
      <c r="D525" s="239"/>
      <c r="E525" s="240"/>
      <c r="F525" s="240"/>
      <c r="G525" s="240"/>
      <c r="H525" s="241">
        <f t="shared" si="102"/>
        <v>0</v>
      </c>
      <c r="I525" s="242"/>
      <c r="J525" s="243"/>
      <c r="K525" s="243"/>
      <c r="L525" s="244">
        <v>0.1</v>
      </c>
      <c r="M525" s="244">
        <f t="shared" si="103"/>
        <v>0</v>
      </c>
      <c r="N525" s="244"/>
      <c r="O525" s="244"/>
      <c r="P525" s="244"/>
      <c r="Q525" s="245">
        <f t="shared" si="104"/>
        <v>0</v>
      </c>
      <c r="R525" s="245">
        <f t="shared" si="105"/>
        <v>0</v>
      </c>
      <c r="S525" s="246">
        <v>0.5</v>
      </c>
      <c r="T525" s="245">
        <f t="shared" si="106"/>
        <v>0</v>
      </c>
      <c r="U525" s="245">
        <f t="shared" si="107"/>
        <v>0</v>
      </c>
      <c r="V525" s="247"/>
    </row>
    <row r="526" spans="1:22" ht="15.75" x14ac:dyDescent="0.25">
      <c r="A526" s="236"/>
      <c r="B526" s="237"/>
      <c r="C526" s="238"/>
      <c r="D526" s="239"/>
      <c r="E526" s="240"/>
      <c r="F526" s="240"/>
      <c r="G526" s="240"/>
      <c r="H526" s="241">
        <f t="shared" si="102"/>
        <v>0</v>
      </c>
      <c r="I526" s="242"/>
      <c r="J526" s="243"/>
      <c r="K526" s="243"/>
      <c r="L526" s="244">
        <v>0.1</v>
      </c>
      <c r="M526" s="244">
        <f t="shared" si="103"/>
        <v>0</v>
      </c>
      <c r="N526" s="244"/>
      <c r="O526" s="244"/>
      <c r="P526" s="244"/>
      <c r="Q526" s="245">
        <f t="shared" si="104"/>
        <v>0</v>
      </c>
      <c r="R526" s="245">
        <f t="shared" si="105"/>
        <v>0</v>
      </c>
      <c r="S526" s="246">
        <v>0.5</v>
      </c>
      <c r="T526" s="245">
        <f t="shared" si="106"/>
        <v>0</v>
      </c>
      <c r="U526" s="245">
        <f t="shared" si="107"/>
        <v>0</v>
      </c>
      <c r="V526" s="247"/>
    </row>
    <row r="527" spans="1:22" ht="15.75" x14ac:dyDescent="0.25">
      <c r="A527" s="236"/>
      <c r="B527" s="237"/>
      <c r="C527" s="238"/>
      <c r="D527" s="239"/>
      <c r="E527" s="240"/>
      <c r="F527" s="240"/>
      <c r="G527" s="240"/>
      <c r="H527" s="241">
        <f t="shared" si="102"/>
        <v>0</v>
      </c>
      <c r="I527" s="242"/>
      <c r="J527" s="243"/>
      <c r="K527" s="243"/>
      <c r="L527" s="244">
        <v>0.1</v>
      </c>
      <c r="M527" s="244">
        <f t="shared" si="103"/>
        <v>0</v>
      </c>
      <c r="N527" s="244"/>
      <c r="O527" s="244"/>
      <c r="P527" s="244"/>
      <c r="Q527" s="245">
        <f t="shared" si="104"/>
        <v>0</v>
      </c>
      <c r="R527" s="245">
        <f t="shared" si="105"/>
        <v>0</v>
      </c>
      <c r="S527" s="246">
        <v>0.5</v>
      </c>
      <c r="T527" s="245">
        <f t="shared" si="106"/>
        <v>0</v>
      </c>
      <c r="U527" s="245">
        <f t="shared" si="107"/>
        <v>0</v>
      </c>
      <c r="V527" s="247"/>
    </row>
    <row r="528" spans="1:22" ht="15.75" x14ac:dyDescent="0.25">
      <c r="A528" s="236"/>
      <c r="B528" s="237"/>
      <c r="C528" s="238"/>
      <c r="D528" s="239"/>
      <c r="E528" s="240"/>
      <c r="F528" s="240"/>
      <c r="G528" s="240"/>
      <c r="H528" s="241">
        <f t="shared" si="102"/>
        <v>0</v>
      </c>
      <c r="I528" s="242"/>
      <c r="J528" s="243"/>
      <c r="K528" s="243"/>
      <c r="L528" s="244">
        <v>0.1</v>
      </c>
      <c r="M528" s="244">
        <f t="shared" si="103"/>
        <v>0</v>
      </c>
      <c r="N528" s="244"/>
      <c r="O528" s="244"/>
      <c r="P528" s="244"/>
      <c r="Q528" s="245">
        <f t="shared" si="104"/>
        <v>0</v>
      </c>
      <c r="R528" s="245">
        <f t="shared" si="105"/>
        <v>0</v>
      </c>
      <c r="S528" s="246">
        <v>0.5</v>
      </c>
      <c r="T528" s="245">
        <f t="shared" si="106"/>
        <v>0</v>
      </c>
      <c r="U528" s="245">
        <f t="shared" si="107"/>
        <v>0</v>
      </c>
      <c r="V528" s="247"/>
    </row>
    <row r="529" spans="1:22" ht="15.75" x14ac:dyDescent="0.25">
      <c r="A529" s="236"/>
      <c r="B529" s="237"/>
      <c r="C529" s="238"/>
      <c r="D529" s="239"/>
      <c r="E529" s="240"/>
      <c r="F529" s="240"/>
      <c r="G529" s="240"/>
      <c r="H529" s="241">
        <f t="shared" si="102"/>
        <v>0</v>
      </c>
      <c r="I529" s="242"/>
      <c r="J529" s="243"/>
      <c r="K529" s="243"/>
      <c r="L529" s="244">
        <v>0.1</v>
      </c>
      <c r="M529" s="244">
        <f t="shared" si="103"/>
        <v>0</v>
      </c>
      <c r="N529" s="244"/>
      <c r="O529" s="244"/>
      <c r="P529" s="244"/>
      <c r="Q529" s="245">
        <f t="shared" si="104"/>
        <v>0</v>
      </c>
      <c r="R529" s="245">
        <f t="shared" si="105"/>
        <v>0</v>
      </c>
      <c r="S529" s="246">
        <v>0.5</v>
      </c>
      <c r="T529" s="245">
        <f t="shared" si="106"/>
        <v>0</v>
      </c>
      <c r="U529" s="245">
        <f t="shared" si="107"/>
        <v>0</v>
      </c>
      <c r="V529" s="247"/>
    </row>
    <row r="530" spans="1:22" ht="15.75" x14ac:dyDescent="0.25">
      <c r="A530" s="236"/>
      <c r="B530" s="237"/>
      <c r="C530" s="238"/>
      <c r="D530" s="239"/>
      <c r="E530" s="240"/>
      <c r="F530" s="240"/>
      <c r="G530" s="240"/>
      <c r="H530" s="241">
        <f t="shared" si="102"/>
        <v>0</v>
      </c>
      <c r="I530" s="242"/>
      <c r="J530" s="243"/>
      <c r="K530" s="243"/>
      <c r="L530" s="244">
        <v>0.1</v>
      </c>
      <c r="M530" s="244">
        <f t="shared" si="103"/>
        <v>0</v>
      </c>
      <c r="N530" s="244"/>
      <c r="O530" s="244"/>
      <c r="P530" s="244"/>
      <c r="Q530" s="245">
        <f t="shared" si="104"/>
        <v>0</v>
      </c>
      <c r="R530" s="245">
        <f t="shared" si="105"/>
        <v>0</v>
      </c>
      <c r="S530" s="246">
        <v>0.5</v>
      </c>
      <c r="T530" s="245">
        <f t="shared" si="106"/>
        <v>0</v>
      </c>
      <c r="U530" s="245">
        <f t="shared" si="107"/>
        <v>0</v>
      </c>
      <c r="V530" s="247"/>
    </row>
    <row r="531" spans="1:22" ht="15.75" x14ac:dyDescent="0.25">
      <c r="A531" s="236"/>
      <c r="B531" s="237"/>
      <c r="C531" s="238"/>
      <c r="D531" s="239"/>
      <c r="E531" s="240"/>
      <c r="F531" s="240"/>
      <c r="G531" s="240"/>
      <c r="H531" s="241">
        <f t="shared" si="102"/>
        <v>0</v>
      </c>
      <c r="I531" s="242"/>
      <c r="J531" s="243"/>
      <c r="K531" s="243"/>
      <c r="L531" s="244">
        <v>0.1</v>
      </c>
      <c r="M531" s="244">
        <f t="shared" si="103"/>
        <v>0</v>
      </c>
      <c r="N531" s="244"/>
      <c r="O531" s="244"/>
      <c r="P531" s="244"/>
      <c r="Q531" s="245">
        <f t="shared" si="104"/>
        <v>0</v>
      </c>
      <c r="R531" s="245">
        <f t="shared" si="105"/>
        <v>0</v>
      </c>
      <c r="S531" s="246">
        <v>0.5</v>
      </c>
      <c r="T531" s="245">
        <f t="shared" si="106"/>
        <v>0</v>
      </c>
      <c r="U531" s="245">
        <f t="shared" si="107"/>
        <v>0</v>
      </c>
      <c r="V531" s="247"/>
    </row>
    <row r="532" spans="1:22" ht="15.75" x14ac:dyDescent="0.25">
      <c r="A532" s="236"/>
      <c r="B532" s="237"/>
      <c r="C532" s="238"/>
      <c r="D532" s="239"/>
      <c r="E532" s="240"/>
      <c r="F532" s="240"/>
      <c r="G532" s="240"/>
      <c r="H532" s="241">
        <f t="shared" si="102"/>
        <v>0</v>
      </c>
      <c r="I532" s="242"/>
      <c r="J532" s="243"/>
      <c r="K532" s="243"/>
      <c r="L532" s="244">
        <v>0.1</v>
      </c>
      <c r="M532" s="244">
        <f t="shared" si="103"/>
        <v>0</v>
      </c>
      <c r="N532" s="244"/>
      <c r="O532" s="244"/>
      <c r="P532" s="244"/>
      <c r="Q532" s="245">
        <f t="shared" si="104"/>
        <v>0</v>
      </c>
      <c r="R532" s="245">
        <f t="shared" si="105"/>
        <v>0</v>
      </c>
      <c r="S532" s="246">
        <v>0.5</v>
      </c>
      <c r="T532" s="245">
        <f t="shared" si="106"/>
        <v>0</v>
      </c>
      <c r="U532" s="245">
        <f t="shared" si="107"/>
        <v>0</v>
      </c>
      <c r="V532" s="247"/>
    </row>
    <row r="533" spans="1:22" ht="15.75" x14ac:dyDescent="0.25">
      <c r="A533" s="236"/>
      <c r="B533" s="237"/>
      <c r="C533" s="238"/>
      <c r="D533" s="239"/>
      <c r="E533" s="240"/>
      <c r="F533" s="240"/>
      <c r="G533" s="240"/>
      <c r="H533" s="241">
        <f t="shared" si="102"/>
        <v>0</v>
      </c>
      <c r="I533" s="242"/>
      <c r="J533" s="243"/>
      <c r="K533" s="243"/>
      <c r="L533" s="244">
        <v>0.1</v>
      </c>
      <c r="M533" s="244">
        <f t="shared" si="103"/>
        <v>0</v>
      </c>
      <c r="N533" s="244"/>
      <c r="O533" s="244"/>
      <c r="P533" s="244"/>
      <c r="Q533" s="245">
        <f t="shared" si="104"/>
        <v>0</v>
      </c>
      <c r="R533" s="245">
        <f t="shared" si="105"/>
        <v>0</v>
      </c>
      <c r="S533" s="246">
        <v>0.5</v>
      </c>
      <c r="T533" s="245">
        <f t="shared" si="106"/>
        <v>0</v>
      </c>
      <c r="U533" s="245">
        <f t="shared" si="107"/>
        <v>0</v>
      </c>
      <c r="V533" s="247"/>
    </row>
    <row r="534" spans="1:22" ht="15.75" x14ac:dyDescent="0.25">
      <c r="A534" s="236"/>
      <c r="B534" s="237"/>
      <c r="C534" s="238"/>
      <c r="D534" s="239"/>
      <c r="E534" s="240"/>
      <c r="F534" s="240"/>
      <c r="G534" s="240"/>
      <c r="H534" s="241">
        <f t="shared" si="102"/>
        <v>0</v>
      </c>
      <c r="I534" s="242"/>
      <c r="J534" s="243"/>
      <c r="K534" s="243"/>
      <c r="L534" s="244">
        <v>0.1</v>
      </c>
      <c r="M534" s="244">
        <f t="shared" si="103"/>
        <v>0</v>
      </c>
      <c r="N534" s="244"/>
      <c r="O534" s="244"/>
      <c r="P534" s="244"/>
      <c r="Q534" s="245">
        <f t="shared" si="104"/>
        <v>0</v>
      </c>
      <c r="R534" s="245">
        <f t="shared" si="105"/>
        <v>0</v>
      </c>
      <c r="S534" s="246">
        <v>0.5</v>
      </c>
      <c r="T534" s="245">
        <f t="shared" si="106"/>
        <v>0</v>
      </c>
      <c r="U534" s="245">
        <f t="shared" si="107"/>
        <v>0</v>
      </c>
      <c r="V534" s="247"/>
    </row>
    <row r="535" spans="1:22" ht="15.75" x14ac:dyDescent="0.25">
      <c r="A535" s="236"/>
      <c r="B535" s="237"/>
      <c r="C535" s="238"/>
      <c r="D535" s="239"/>
      <c r="E535" s="240"/>
      <c r="F535" s="240"/>
      <c r="G535" s="240"/>
      <c r="H535" s="241">
        <f t="shared" si="102"/>
        <v>0</v>
      </c>
      <c r="I535" s="242"/>
      <c r="J535" s="243"/>
      <c r="K535" s="243"/>
      <c r="L535" s="244">
        <v>0.1</v>
      </c>
      <c r="M535" s="244">
        <f t="shared" si="103"/>
        <v>0</v>
      </c>
      <c r="N535" s="244"/>
      <c r="O535" s="244"/>
      <c r="P535" s="244"/>
      <c r="Q535" s="245">
        <f t="shared" si="104"/>
        <v>0</v>
      </c>
      <c r="R535" s="245">
        <f t="shared" si="105"/>
        <v>0</v>
      </c>
      <c r="S535" s="246">
        <v>0.5</v>
      </c>
      <c r="T535" s="245">
        <f t="shared" si="106"/>
        <v>0</v>
      </c>
      <c r="U535" s="245">
        <f t="shared" si="107"/>
        <v>0</v>
      </c>
      <c r="V535" s="247"/>
    </row>
    <row r="536" spans="1:22" ht="15.75" x14ac:dyDescent="0.25">
      <c r="A536" s="236"/>
      <c r="B536" s="237"/>
      <c r="C536" s="238"/>
      <c r="D536" s="239"/>
      <c r="E536" s="240"/>
      <c r="F536" s="240"/>
      <c r="G536" s="240"/>
      <c r="H536" s="241">
        <f t="shared" si="102"/>
        <v>0</v>
      </c>
      <c r="I536" s="242"/>
      <c r="J536" s="243"/>
      <c r="K536" s="243"/>
      <c r="L536" s="244">
        <v>0.1</v>
      </c>
      <c r="M536" s="244">
        <f t="shared" si="103"/>
        <v>0</v>
      </c>
      <c r="N536" s="244"/>
      <c r="O536" s="244"/>
      <c r="P536" s="244"/>
      <c r="Q536" s="245">
        <f t="shared" si="104"/>
        <v>0</v>
      </c>
      <c r="R536" s="245">
        <f t="shared" si="105"/>
        <v>0</v>
      </c>
      <c r="S536" s="246">
        <v>0.5</v>
      </c>
      <c r="T536" s="245">
        <f t="shared" si="106"/>
        <v>0</v>
      </c>
      <c r="U536" s="245">
        <f t="shared" si="107"/>
        <v>0</v>
      </c>
      <c r="V536" s="247"/>
    </row>
    <row r="537" spans="1:22" ht="15.75" x14ac:dyDescent="0.25">
      <c r="A537" s="236"/>
      <c r="B537" s="237"/>
      <c r="C537" s="238"/>
      <c r="D537" s="239"/>
      <c r="E537" s="240"/>
      <c r="F537" s="240"/>
      <c r="G537" s="240"/>
      <c r="H537" s="241">
        <f t="shared" si="102"/>
        <v>0</v>
      </c>
      <c r="I537" s="242"/>
      <c r="J537" s="243"/>
      <c r="K537" s="243"/>
      <c r="L537" s="244">
        <v>0.1</v>
      </c>
      <c r="M537" s="244">
        <f t="shared" si="103"/>
        <v>0</v>
      </c>
      <c r="N537" s="244"/>
      <c r="O537" s="244"/>
      <c r="P537" s="244"/>
      <c r="Q537" s="245">
        <f t="shared" si="104"/>
        <v>0</v>
      </c>
      <c r="R537" s="245">
        <f t="shared" si="105"/>
        <v>0</v>
      </c>
      <c r="S537" s="246">
        <v>0.5</v>
      </c>
      <c r="T537" s="245">
        <f t="shared" si="106"/>
        <v>0</v>
      </c>
      <c r="U537" s="245">
        <f t="shared" si="107"/>
        <v>0</v>
      </c>
      <c r="V537" s="247"/>
    </row>
    <row r="538" spans="1:22" ht="15.75" x14ac:dyDescent="0.25">
      <c r="A538" s="236"/>
      <c r="B538" s="237"/>
      <c r="C538" s="238"/>
      <c r="D538" s="239"/>
      <c r="E538" s="240"/>
      <c r="F538" s="240"/>
      <c r="G538" s="240"/>
      <c r="H538" s="241">
        <f t="shared" si="102"/>
        <v>0</v>
      </c>
      <c r="I538" s="242"/>
      <c r="J538" s="243"/>
      <c r="K538" s="243"/>
      <c r="L538" s="244">
        <v>0.1</v>
      </c>
      <c r="M538" s="244">
        <f t="shared" si="103"/>
        <v>0</v>
      </c>
      <c r="N538" s="244"/>
      <c r="O538" s="244"/>
      <c r="P538" s="244"/>
      <c r="Q538" s="245">
        <f t="shared" si="104"/>
        <v>0</v>
      </c>
      <c r="R538" s="245">
        <f t="shared" si="105"/>
        <v>0</v>
      </c>
      <c r="S538" s="246">
        <v>0.5</v>
      </c>
      <c r="T538" s="245">
        <f t="shared" si="106"/>
        <v>0</v>
      </c>
      <c r="U538" s="245">
        <f t="shared" si="107"/>
        <v>0</v>
      </c>
      <c r="V538" s="247"/>
    </row>
    <row r="539" spans="1:22" ht="15.75" x14ac:dyDescent="0.25">
      <c r="A539" s="236"/>
      <c r="B539" s="237"/>
      <c r="C539" s="238"/>
      <c r="D539" s="239"/>
      <c r="E539" s="240"/>
      <c r="F539" s="240"/>
      <c r="G539" s="240"/>
      <c r="H539" s="241">
        <f t="shared" si="102"/>
        <v>0</v>
      </c>
      <c r="I539" s="242"/>
      <c r="J539" s="243"/>
      <c r="K539" s="243"/>
      <c r="L539" s="244">
        <v>0.1</v>
      </c>
      <c r="M539" s="244">
        <f t="shared" si="103"/>
        <v>0</v>
      </c>
      <c r="N539" s="244"/>
      <c r="O539" s="244"/>
      <c r="P539" s="244"/>
      <c r="Q539" s="245">
        <f t="shared" si="104"/>
        <v>0</v>
      </c>
      <c r="R539" s="245">
        <f t="shared" si="105"/>
        <v>0</v>
      </c>
      <c r="S539" s="246">
        <v>0.5</v>
      </c>
      <c r="T539" s="245">
        <f t="shared" si="106"/>
        <v>0</v>
      </c>
      <c r="U539" s="245">
        <f t="shared" si="107"/>
        <v>0</v>
      </c>
      <c r="V539" s="247"/>
    </row>
    <row r="540" spans="1:22" ht="15.75" x14ac:dyDescent="0.25">
      <c r="A540" s="236"/>
      <c r="B540" s="237"/>
      <c r="C540" s="238"/>
      <c r="D540" s="239"/>
      <c r="E540" s="240"/>
      <c r="F540" s="240"/>
      <c r="G540" s="240"/>
      <c r="H540" s="241">
        <f t="shared" si="102"/>
        <v>0</v>
      </c>
      <c r="I540" s="242"/>
      <c r="J540" s="243"/>
      <c r="K540" s="243"/>
      <c r="L540" s="244">
        <v>0.1</v>
      </c>
      <c r="M540" s="244">
        <f t="shared" si="103"/>
        <v>0</v>
      </c>
      <c r="N540" s="244"/>
      <c r="O540" s="244"/>
      <c r="P540" s="244"/>
      <c r="Q540" s="245">
        <f t="shared" si="104"/>
        <v>0</v>
      </c>
      <c r="R540" s="245">
        <f t="shared" si="105"/>
        <v>0</v>
      </c>
      <c r="S540" s="246">
        <v>0.5</v>
      </c>
      <c r="T540" s="245">
        <f t="shared" si="106"/>
        <v>0</v>
      </c>
      <c r="U540" s="245">
        <f t="shared" si="107"/>
        <v>0</v>
      </c>
      <c r="V540" s="247"/>
    </row>
    <row r="541" spans="1:22" ht="15.75" x14ac:dyDescent="0.25">
      <c r="A541" s="236"/>
      <c r="B541" s="237"/>
      <c r="C541" s="238"/>
      <c r="D541" s="239"/>
      <c r="E541" s="240"/>
      <c r="F541" s="240"/>
      <c r="G541" s="240"/>
      <c r="H541" s="241">
        <f t="shared" si="102"/>
        <v>0</v>
      </c>
      <c r="I541" s="242"/>
      <c r="J541" s="243"/>
      <c r="K541" s="243"/>
      <c r="L541" s="244">
        <v>0.1</v>
      </c>
      <c r="M541" s="244">
        <f t="shared" si="103"/>
        <v>0</v>
      </c>
      <c r="N541" s="244"/>
      <c r="O541" s="244"/>
      <c r="P541" s="244"/>
      <c r="Q541" s="245">
        <f t="shared" si="104"/>
        <v>0</v>
      </c>
      <c r="R541" s="245">
        <f t="shared" si="105"/>
        <v>0</v>
      </c>
      <c r="S541" s="246">
        <v>0.5</v>
      </c>
      <c r="T541" s="245">
        <f t="shared" si="106"/>
        <v>0</v>
      </c>
      <c r="U541" s="245">
        <f t="shared" si="107"/>
        <v>0</v>
      </c>
      <c r="V541" s="247"/>
    </row>
    <row r="542" spans="1:22" ht="15.75" x14ac:dyDescent="0.25">
      <c r="A542" s="236"/>
      <c r="B542" s="237"/>
      <c r="C542" s="238"/>
      <c r="D542" s="239"/>
      <c r="E542" s="240"/>
      <c r="F542" s="240"/>
      <c r="G542" s="240"/>
      <c r="H542" s="241">
        <f t="shared" si="102"/>
        <v>0</v>
      </c>
      <c r="I542" s="242"/>
      <c r="J542" s="243"/>
      <c r="K542" s="243"/>
      <c r="L542" s="244">
        <v>0.1</v>
      </c>
      <c r="M542" s="244">
        <f t="shared" si="103"/>
        <v>0</v>
      </c>
      <c r="N542" s="244"/>
      <c r="O542" s="244"/>
      <c r="P542" s="244"/>
      <c r="Q542" s="245">
        <f t="shared" si="104"/>
        <v>0</v>
      </c>
      <c r="R542" s="245">
        <f t="shared" si="105"/>
        <v>0</v>
      </c>
      <c r="S542" s="246">
        <v>0.5</v>
      </c>
      <c r="T542" s="245">
        <f t="shared" si="106"/>
        <v>0</v>
      </c>
      <c r="U542" s="245">
        <f t="shared" si="107"/>
        <v>0</v>
      </c>
      <c r="V542" s="247"/>
    </row>
    <row r="543" spans="1:22" ht="15.75" x14ac:dyDescent="0.25">
      <c r="A543" s="236"/>
      <c r="B543" s="237"/>
      <c r="C543" s="238"/>
      <c r="D543" s="239"/>
      <c r="E543" s="240"/>
      <c r="F543" s="240"/>
      <c r="G543" s="240"/>
      <c r="H543" s="241">
        <f t="shared" si="102"/>
        <v>0</v>
      </c>
      <c r="I543" s="242"/>
      <c r="J543" s="243"/>
      <c r="K543" s="243"/>
      <c r="L543" s="244">
        <v>0.1</v>
      </c>
      <c r="M543" s="244">
        <f t="shared" si="103"/>
        <v>0</v>
      </c>
      <c r="N543" s="244"/>
      <c r="O543" s="244"/>
      <c r="P543" s="244"/>
      <c r="Q543" s="245">
        <f t="shared" si="104"/>
        <v>0</v>
      </c>
      <c r="R543" s="245">
        <f t="shared" si="105"/>
        <v>0</v>
      </c>
      <c r="S543" s="246">
        <v>0.5</v>
      </c>
      <c r="T543" s="245">
        <f t="shared" si="106"/>
        <v>0</v>
      </c>
      <c r="U543" s="245">
        <f t="shared" si="107"/>
        <v>0</v>
      </c>
      <c r="V543" s="247"/>
    </row>
    <row r="544" spans="1:22" ht="15.75" x14ac:dyDescent="0.25">
      <c r="A544" s="236"/>
      <c r="B544" s="237"/>
      <c r="C544" s="238"/>
      <c r="D544" s="239"/>
      <c r="E544" s="240"/>
      <c r="F544" s="240"/>
      <c r="G544" s="240"/>
      <c r="H544" s="241">
        <f t="shared" si="102"/>
        <v>0</v>
      </c>
      <c r="I544" s="242"/>
      <c r="J544" s="243"/>
      <c r="K544" s="243"/>
      <c r="L544" s="244">
        <v>0.1</v>
      </c>
      <c r="M544" s="244">
        <f t="shared" si="103"/>
        <v>0</v>
      </c>
      <c r="N544" s="244"/>
      <c r="O544" s="244"/>
      <c r="P544" s="244"/>
      <c r="Q544" s="245">
        <f t="shared" si="104"/>
        <v>0</v>
      </c>
      <c r="R544" s="245">
        <f t="shared" si="105"/>
        <v>0</v>
      </c>
      <c r="S544" s="246">
        <v>0.5</v>
      </c>
      <c r="T544" s="245">
        <f t="shared" si="106"/>
        <v>0</v>
      </c>
      <c r="U544" s="245">
        <f t="shared" si="107"/>
        <v>0</v>
      </c>
      <c r="V544" s="247"/>
    </row>
    <row r="545" spans="1:22" ht="15.75" x14ac:dyDescent="0.25">
      <c r="A545" s="236"/>
      <c r="B545" s="237"/>
      <c r="C545" s="238"/>
      <c r="D545" s="239"/>
      <c r="E545" s="240"/>
      <c r="F545" s="240"/>
      <c r="G545" s="240"/>
      <c r="H545" s="241">
        <f t="shared" si="102"/>
        <v>0</v>
      </c>
      <c r="I545" s="242"/>
      <c r="J545" s="243"/>
      <c r="K545" s="243"/>
      <c r="L545" s="244">
        <v>0.1</v>
      </c>
      <c r="M545" s="244">
        <f t="shared" si="103"/>
        <v>0</v>
      </c>
      <c r="N545" s="244"/>
      <c r="O545" s="244"/>
      <c r="P545" s="244"/>
      <c r="Q545" s="245">
        <f t="shared" si="104"/>
        <v>0</v>
      </c>
      <c r="R545" s="245">
        <f t="shared" si="105"/>
        <v>0</v>
      </c>
      <c r="S545" s="246">
        <v>0.5</v>
      </c>
      <c r="T545" s="245">
        <f t="shared" si="106"/>
        <v>0</v>
      </c>
      <c r="U545" s="245">
        <f t="shared" si="107"/>
        <v>0</v>
      </c>
      <c r="V545" s="247"/>
    </row>
    <row r="546" spans="1:22" ht="15.75" x14ac:dyDescent="0.25">
      <c r="A546" s="236"/>
      <c r="B546" s="237"/>
      <c r="C546" s="238"/>
      <c r="D546" s="239"/>
      <c r="E546" s="240"/>
      <c r="F546" s="240"/>
      <c r="G546" s="240"/>
      <c r="H546" s="241">
        <f t="shared" ref="H546:H609" si="108">+E546+F546+G546</f>
        <v>0</v>
      </c>
      <c r="I546" s="242"/>
      <c r="J546" s="243"/>
      <c r="K546" s="243"/>
      <c r="L546" s="244">
        <v>0.1</v>
      </c>
      <c r="M546" s="244">
        <f t="shared" ref="M546:M609" si="109">+L546*C546</f>
        <v>0</v>
      </c>
      <c r="N546" s="244"/>
      <c r="O546" s="244"/>
      <c r="P546" s="244"/>
      <c r="Q546" s="245">
        <f t="shared" ref="Q546:Q609" si="110">+N546+O546+P546</f>
        <v>0</v>
      </c>
      <c r="R546" s="245">
        <f t="shared" ref="R546:R609" si="111">IF(+Q546-H546&lt;=0,0,Q546-H546)</f>
        <v>0</v>
      </c>
      <c r="S546" s="246">
        <v>0.5</v>
      </c>
      <c r="T546" s="245">
        <f t="shared" ref="T546:T609" si="112">+(R546*C546)*S546</f>
        <v>0</v>
      </c>
      <c r="U546" s="245">
        <f t="shared" ref="U546:U609" si="113">+J546+M546+T546</f>
        <v>0</v>
      </c>
      <c r="V546" s="247"/>
    </row>
    <row r="547" spans="1:22" ht="15.75" x14ac:dyDescent="0.25">
      <c r="A547" s="236"/>
      <c r="B547" s="237"/>
      <c r="C547" s="238"/>
      <c r="D547" s="239"/>
      <c r="E547" s="240"/>
      <c r="F547" s="240"/>
      <c r="G547" s="240"/>
      <c r="H547" s="241">
        <f t="shared" si="108"/>
        <v>0</v>
      </c>
      <c r="I547" s="242"/>
      <c r="J547" s="243"/>
      <c r="K547" s="243"/>
      <c r="L547" s="244">
        <v>0.1</v>
      </c>
      <c r="M547" s="244">
        <f t="shared" si="109"/>
        <v>0</v>
      </c>
      <c r="N547" s="244"/>
      <c r="O547" s="244"/>
      <c r="P547" s="244"/>
      <c r="Q547" s="245">
        <f t="shared" si="110"/>
        <v>0</v>
      </c>
      <c r="R547" s="245">
        <f t="shared" si="111"/>
        <v>0</v>
      </c>
      <c r="S547" s="246">
        <v>0.5</v>
      </c>
      <c r="T547" s="245">
        <f t="shared" si="112"/>
        <v>0</v>
      </c>
      <c r="U547" s="245">
        <f t="shared" si="113"/>
        <v>0</v>
      </c>
      <c r="V547" s="247"/>
    </row>
    <row r="548" spans="1:22" ht="15.75" x14ac:dyDescent="0.25">
      <c r="A548" s="236"/>
      <c r="B548" s="237"/>
      <c r="C548" s="238"/>
      <c r="D548" s="239"/>
      <c r="E548" s="240"/>
      <c r="F548" s="240"/>
      <c r="G548" s="240"/>
      <c r="H548" s="241">
        <f t="shared" si="108"/>
        <v>0</v>
      </c>
      <c r="I548" s="242"/>
      <c r="J548" s="243"/>
      <c r="K548" s="243"/>
      <c r="L548" s="244">
        <v>0.1</v>
      </c>
      <c r="M548" s="244">
        <f t="shared" si="109"/>
        <v>0</v>
      </c>
      <c r="N548" s="244"/>
      <c r="O548" s="244"/>
      <c r="P548" s="244"/>
      <c r="Q548" s="245">
        <f t="shared" si="110"/>
        <v>0</v>
      </c>
      <c r="R548" s="245">
        <f t="shared" si="111"/>
        <v>0</v>
      </c>
      <c r="S548" s="246">
        <v>0.5</v>
      </c>
      <c r="T548" s="245">
        <f t="shared" si="112"/>
        <v>0</v>
      </c>
      <c r="U548" s="245">
        <f t="shared" si="113"/>
        <v>0</v>
      </c>
      <c r="V548" s="247"/>
    </row>
    <row r="549" spans="1:22" ht="15.75" x14ac:dyDescent="0.25">
      <c r="A549" s="236"/>
      <c r="B549" s="237"/>
      <c r="C549" s="238"/>
      <c r="D549" s="239"/>
      <c r="E549" s="240"/>
      <c r="F549" s="240"/>
      <c r="G549" s="240"/>
      <c r="H549" s="241">
        <f t="shared" si="108"/>
        <v>0</v>
      </c>
      <c r="I549" s="242"/>
      <c r="J549" s="243"/>
      <c r="K549" s="243"/>
      <c r="L549" s="244">
        <v>0.1</v>
      </c>
      <c r="M549" s="244">
        <f t="shared" si="109"/>
        <v>0</v>
      </c>
      <c r="N549" s="244"/>
      <c r="O549" s="244"/>
      <c r="P549" s="244"/>
      <c r="Q549" s="245">
        <f t="shared" si="110"/>
        <v>0</v>
      </c>
      <c r="R549" s="245">
        <f t="shared" si="111"/>
        <v>0</v>
      </c>
      <c r="S549" s="246">
        <v>0.5</v>
      </c>
      <c r="T549" s="245">
        <f t="shared" si="112"/>
        <v>0</v>
      </c>
      <c r="U549" s="245">
        <f t="shared" si="113"/>
        <v>0</v>
      </c>
      <c r="V549" s="247"/>
    </row>
    <row r="550" spans="1:22" ht="15.75" x14ac:dyDescent="0.25">
      <c r="A550" s="236"/>
      <c r="B550" s="237"/>
      <c r="C550" s="238"/>
      <c r="D550" s="239"/>
      <c r="E550" s="240"/>
      <c r="F550" s="240"/>
      <c r="G550" s="240"/>
      <c r="H550" s="241">
        <f t="shared" si="108"/>
        <v>0</v>
      </c>
      <c r="I550" s="242"/>
      <c r="J550" s="243"/>
      <c r="K550" s="243"/>
      <c r="L550" s="244">
        <v>0.1</v>
      </c>
      <c r="M550" s="244">
        <f t="shared" si="109"/>
        <v>0</v>
      </c>
      <c r="N550" s="244"/>
      <c r="O550" s="244"/>
      <c r="P550" s="244"/>
      <c r="Q550" s="245">
        <f t="shared" si="110"/>
        <v>0</v>
      </c>
      <c r="R550" s="245">
        <f t="shared" si="111"/>
        <v>0</v>
      </c>
      <c r="S550" s="246">
        <v>0.5</v>
      </c>
      <c r="T550" s="245">
        <f t="shared" si="112"/>
        <v>0</v>
      </c>
      <c r="U550" s="245">
        <f t="shared" si="113"/>
        <v>0</v>
      </c>
      <c r="V550" s="247"/>
    </row>
    <row r="551" spans="1:22" ht="15.75" x14ac:dyDescent="0.25">
      <c r="A551" s="236"/>
      <c r="B551" s="237"/>
      <c r="C551" s="238"/>
      <c r="D551" s="239"/>
      <c r="E551" s="240"/>
      <c r="F551" s="240"/>
      <c r="G551" s="240"/>
      <c r="H551" s="241">
        <f t="shared" si="108"/>
        <v>0</v>
      </c>
      <c r="I551" s="242"/>
      <c r="J551" s="243"/>
      <c r="K551" s="243"/>
      <c r="L551" s="244">
        <v>0.1</v>
      </c>
      <c r="M551" s="244">
        <f t="shared" si="109"/>
        <v>0</v>
      </c>
      <c r="N551" s="244"/>
      <c r="O551" s="244"/>
      <c r="P551" s="244"/>
      <c r="Q551" s="245">
        <f t="shared" si="110"/>
        <v>0</v>
      </c>
      <c r="R551" s="245">
        <f t="shared" si="111"/>
        <v>0</v>
      </c>
      <c r="S551" s="246">
        <v>0.5</v>
      </c>
      <c r="T551" s="245">
        <f t="shared" si="112"/>
        <v>0</v>
      </c>
      <c r="U551" s="245">
        <f t="shared" si="113"/>
        <v>0</v>
      </c>
      <c r="V551" s="247"/>
    </row>
    <row r="552" spans="1:22" ht="15.75" x14ac:dyDescent="0.25">
      <c r="A552" s="236"/>
      <c r="B552" s="237"/>
      <c r="C552" s="238"/>
      <c r="D552" s="239"/>
      <c r="E552" s="240"/>
      <c r="F552" s="240"/>
      <c r="G552" s="240"/>
      <c r="H552" s="241">
        <f t="shared" si="108"/>
        <v>0</v>
      </c>
      <c r="I552" s="242"/>
      <c r="J552" s="243"/>
      <c r="K552" s="243"/>
      <c r="L552" s="244">
        <v>0.1</v>
      </c>
      <c r="M552" s="244">
        <f t="shared" si="109"/>
        <v>0</v>
      </c>
      <c r="N552" s="244"/>
      <c r="O552" s="244"/>
      <c r="P552" s="244"/>
      <c r="Q552" s="245">
        <f t="shared" si="110"/>
        <v>0</v>
      </c>
      <c r="R552" s="245">
        <f t="shared" si="111"/>
        <v>0</v>
      </c>
      <c r="S552" s="246">
        <v>0.5</v>
      </c>
      <c r="T552" s="245">
        <f t="shared" si="112"/>
        <v>0</v>
      </c>
      <c r="U552" s="245">
        <f t="shared" si="113"/>
        <v>0</v>
      </c>
      <c r="V552" s="247"/>
    </row>
    <row r="553" spans="1:22" ht="15.75" x14ac:dyDescent="0.25">
      <c r="A553" s="236"/>
      <c r="B553" s="237"/>
      <c r="C553" s="238"/>
      <c r="D553" s="239"/>
      <c r="E553" s="240"/>
      <c r="F553" s="240"/>
      <c r="G553" s="240"/>
      <c r="H553" s="241">
        <f t="shared" si="108"/>
        <v>0</v>
      </c>
      <c r="I553" s="242"/>
      <c r="J553" s="243"/>
      <c r="K553" s="243"/>
      <c r="L553" s="244">
        <v>0.1</v>
      </c>
      <c r="M553" s="244">
        <f t="shared" si="109"/>
        <v>0</v>
      </c>
      <c r="N553" s="244"/>
      <c r="O553" s="244"/>
      <c r="P553" s="244"/>
      <c r="Q553" s="245">
        <f t="shared" si="110"/>
        <v>0</v>
      </c>
      <c r="R553" s="245">
        <f t="shared" si="111"/>
        <v>0</v>
      </c>
      <c r="S553" s="246">
        <v>0.5</v>
      </c>
      <c r="T553" s="245">
        <f t="shared" si="112"/>
        <v>0</v>
      </c>
      <c r="U553" s="245">
        <f t="shared" si="113"/>
        <v>0</v>
      </c>
      <c r="V553" s="247"/>
    </row>
    <row r="554" spans="1:22" ht="15.75" x14ac:dyDescent="0.25">
      <c r="A554" s="236"/>
      <c r="B554" s="237"/>
      <c r="C554" s="238"/>
      <c r="D554" s="239"/>
      <c r="E554" s="240"/>
      <c r="F554" s="240"/>
      <c r="G554" s="240"/>
      <c r="H554" s="241">
        <f t="shared" si="108"/>
        <v>0</v>
      </c>
      <c r="I554" s="242"/>
      <c r="J554" s="243"/>
      <c r="K554" s="243"/>
      <c r="L554" s="244">
        <v>0.1</v>
      </c>
      <c r="M554" s="244">
        <f t="shared" si="109"/>
        <v>0</v>
      </c>
      <c r="N554" s="244"/>
      <c r="O554" s="244"/>
      <c r="P554" s="244"/>
      <c r="Q554" s="245">
        <f t="shared" si="110"/>
        <v>0</v>
      </c>
      <c r="R554" s="245">
        <f t="shared" si="111"/>
        <v>0</v>
      </c>
      <c r="S554" s="246">
        <v>0.5</v>
      </c>
      <c r="T554" s="245">
        <f t="shared" si="112"/>
        <v>0</v>
      </c>
      <c r="U554" s="245">
        <f t="shared" si="113"/>
        <v>0</v>
      </c>
      <c r="V554" s="247"/>
    </row>
    <row r="555" spans="1:22" ht="15.75" x14ac:dyDescent="0.25">
      <c r="A555" s="236"/>
      <c r="B555" s="237"/>
      <c r="C555" s="238"/>
      <c r="D555" s="239"/>
      <c r="E555" s="240"/>
      <c r="F555" s="240"/>
      <c r="G555" s="240"/>
      <c r="H555" s="241">
        <f t="shared" si="108"/>
        <v>0</v>
      </c>
      <c r="I555" s="242"/>
      <c r="J555" s="243"/>
      <c r="K555" s="243"/>
      <c r="L555" s="244">
        <v>0.1</v>
      </c>
      <c r="M555" s="244">
        <f t="shared" si="109"/>
        <v>0</v>
      </c>
      <c r="N555" s="244"/>
      <c r="O555" s="244"/>
      <c r="P555" s="244"/>
      <c r="Q555" s="245">
        <f t="shared" si="110"/>
        <v>0</v>
      </c>
      <c r="R555" s="245">
        <f t="shared" si="111"/>
        <v>0</v>
      </c>
      <c r="S555" s="246">
        <v>0.5</v>
      </c>
      <c r="T555" s="245">
        <f t="shared" si="112"/>
        <v>0</v>
      </c>
      <c r="U555" s="245">
        <f t="shared" si="113"/>
        <v>0</v>
      </c>
      <c r="V555" s="247"/>
    </row>
    <row r="556" spans="1:22" ht="15.75" x14ac:dyDescent="0.25">
      <c r="A556" s="236"/>
      <c r="B556" s="237"/>
      <c r="C556" s="238"/>
      <c r="D556" s="239"/>
      <c r="E556" s="240"/>
      <c r="F556" s="240"/>
      <c r="G556" s="240"/>
      <c r="H556" s="241">
        <f t="shared" si="108"/>
        <v>0</v>
      </c>
      <c r="I556" s="242"/>
      <c r="J556" s="243"/>
      <c r="K556" s="243"/>
      <c r="L556" s="244">
        <v>0.1</v>
      </c>
      <c r="M556" s="244">
        <f t="shared" si="109"/>
        <v>0</v>
      </c>
      <c r="N556" s="244"/>
      <c r="O556" s="244"/>
      <c r="P556" s="244"/>
      <c r="Q556" s="245">
        <f t="shared" si="110"/>
        <v>0</v>
      </c>
      <c r="R556" s="245">
        <f t="shared" si="111"/>
        <v>0</v>
      </c>
      <c r="S556" s="246">
        <v>0.5</v>
      </c>
      <c r="T556" s="245">
        <f t="shared" si="112"/>
        <v>0</v>
      </c>
      <c r="U556" s="245">
        <f t="shared" si="113"/>
        <v>0</v>
      </c>
      <c r="V556" s="247"/>
    </row>
    <row r="557" spans="1:22" ht="15.75" x14ac:dyDescent="0.25">
      <c r="A557" s="236"/>
      <c r="B557" s="237"/>
      <c r="C557" s="238"/>
      <c r="D557" s="239"/>
      <c r="E557" s="240"/>
      <c r="F557" s="240"/>
      <c r="G557" s="240"/>
      <c r="H557" s="241">
        <f t="shared" si="108"/>
        <v>0</v>
      </c>
      <c r="I557" s="242"/>
      <c r="J557" s="243"/>
      <c r="K557" s="243"/>
      <c r="L557" s="244">
        <v>0.1</v>
      </c>
      <c r="M557" s="244">
        <f t="shared" si="109"/>
        <v>0</v>
      </c>
      <c r="N557" s="244"/>
      <c r="O557" s="244"/>
      <c r="P557" s="244"/>
      <c r="Q557" s="245">
        <f t="shared" si="110"/>
        <v>0</v>
      </c>
      <c r="R557" s="245">
        <f t="shared" si="111"/>
        <v>0</v>
      </c>
      <c r="S557" s="246">
        <v>0.5</v>
      </c>
      <c r="T557" s="245">
        <f t="shared" si="112"/>
        <v>0</v>
      </c>
      <c r="U557" s="245">
        <f t="shared" si="113"/>
        <v>0</v>
      </c>
      <c r="V557" s="247"/>
    </row>
    <row r="558" spans="1:22" ht="15.75" x14ac:dyDescent="0.25">
      <c r="A558" s="236"/>
      <c r="B558" s="237"/>
      <c r="C558" s="238"/>
      <c r="D558" s="239"/>
      <c r="E558" s="240"/>
      <c r="F558" s="240"/>
      <c r="G558" s="240"/>
      <c r="H558" s="241">
        <f t="shared" si="108"/>
        <v>0</v>
      </c>
      <c r="I558" s="242"/>
      <c r="J558" s="243"/>
      <c r="K558" s="243"/>
      <c r="L558" s="244">
        <v>0.1</v>
      </c>
      <c r="M558" s="244">
        <f t="shared" si="109"/>
        <v>0</v>
      </c>
      <c r="N558" s="244"/>
      <c r="O558" s="244"/>
      <c r="P558" s="244"/>
      <c r="Q558" s="245">
        <f t="shared" si="110"/>
        <v>0</v>
      </c>
      <c r="R558" s="245">
        <f t="shared" si="111"/>
        <v>0</v>
      </c>
      <c r="S558" s="246">
        <v>0.5</v>
      </c>
      <c r="T558" s="245">
        <f t="shared" si="112"/>
        <v>0</v>
      </c>
      <c r="U558" s="245">
        <f t="shared" si="113"/>
        <v>0</v>
      </c>
      <c r="V558" s="247"/>
    </row>
    <row r="559" spans="1:22" ht="15.75" x14ac:dyDescent="0.25">
      <c r="A559" s="236"/>
      <c r="B559" s="237"/>
      <c r="C559" s="238"/>
      <c r="D559" s="239"/>
      <c r="E559" s="240"/>
      <c r="F559" s="240"/>
      <c r="G559" s="240"/>
      <c r="H559" s="241">
        <f t="shared" si="108"/>
        <v>0</v>
      </c>
      <c r="I559" s="242"/>
      <c r="J559" s="243"/>
      <c r="K559" s="243"/>
      <c r="L559" s="244">
        <v>0.1</v>
      </c>
      <c r="M559" s="244">
        <f t="shared" si="109"/>
        <v>0</v>
      </c>
      <c r="N559" s="244"/>
      <c r="O559" s="244"/>
      <c r="P559" s="244"/>
      <c r="Q559" s="245">
        <f t="shared" si="110"/>
        <v>0</v>
      </c>
      <c r="R559" s="245">
        <f t="shared" si="111"/>
        <v>0</v>
      </c>
      <c r="S559" s="246">
        <v>0.5</v>
      </c>
      <c r="T559" s="245">
        <f t="shared" si="112"/>
        <v>0</v>
      </c>
      <c r="U559" s="245">
        <f t="shared" si="113"/>
        <v>0</v>
      </c>
      <c r="V559" s="247"/>
    </row>
    <row r="560" spans="1:22" ht="15.75" x14ac:dyDescent="0.25">
      <c r="A560" s="236"/>
      <c r="B560" s="237"/>
      <c r="C560" s="238"/>
      <c r="D560" s="239"/>
      <c r="E560" s="240"/>
      <c r="F560" s="240"/>
      <c r="G560" s="240"/>
      <c r="H560" s="241">
        <f t="shared" si="108"/>
        <v>0</v>
      </c>
      <c r="I560" s="242"/>
      <c r="J560" s="243"/>
      <c r="K560" s="243"/>
      <c r="L560" s="244">
        <v>0.1</v>
      </c>
      <c r="M560" s="244">
        <f t="shared" si="109"/>
        <v>0</v>
      </c>
      <c r="N560" s="244"/>
      <c r="O560" s="244"/>
      <c r="P560" s="244"/>
      <c r="Q560" s="245">
        <f t="shared" si="110"/>
        <v>0</v>
      </c>
      <c r="R560" s="245">
        <f t="shared" si="111"/>
        <v>0</v>
      </c>
      <c r="S560" s="246">
        <v>0.5</v>
      </c>
      <c r="T560" s="245">
        <f t="shared" si="112"/>
        <v>0</v>
      </c>
      <c r="U560" s="245">
        <f t="shared" si="113"/>
        <v>0</v>
      </c>
      <c r="V560" s="247"/>
    </row>
    <row r="561" spans="1:22" ht="15.75" x14ac:dyDescent="0.25">
      <c r="A561" s="236"/>
      <c r="B561" s="237"/>
      <c r="C561" s="238"/>
      <c r="D561" s="239"/>
      <c r="E561" s="240"/>
      <c r="F561" s="240"/>
      <c r="G561" s="240"/>
      <c r="H561" s="241">
        <f t="shared" si="108"/>
        <v>0</v>
      </c>
      <c r="I561" s="242"/>
      <c r="J561" s="243"/>
      <c r="K561" s="243"/>
      <c r="L561" s="244">
        <v>0.1</v>
      </c>
      <c r="M561" s="244">
        <f t="shared" si="109"/>
        <v>0</v>
      </c>
      <c r="N561" s="244"/>
      <c r="O561" s="244"/>
      <c r="P561" s="244"/>
      <c r="Q561" s="245">
        <f t="shared" si="110"/>
        <v>0</v>
      </c>
      <c r="R561" s="245">
        <f t="shared" si="111"/>
        <v>0</v>
      </c>
      <c r="S561" s="246">
        <v>0.5</v>
      </c>
      <c r="T561" s="245">
        <f t="shared" si="112"/>
        <v>0</v>
      </c>
      <c r="U561" s="245">
        <f t="shared" si="113"/>
        <v>0</v>
      </c>
      <c r="V561" s="247"/>
    </row>
    <row r="562" spans="1:22" ht="15.75" x14ac:dyDescent="0.25">
      <c r="A562" s="236"/>
      <c r="B562" s="237"/>
      <c r="C562" s="238"/>
      <c r="D562" s="239"/>
      <c r="E562" s="240"/>
      <c r="F562" s="240"/>
      <c r="G562" s="240"/>
      <c r="H562" s="241">
        <f t="shared" si="108"/>
        <v>0</v>
      </c>
      <c r="I562" s="242"/>
      <c r="J562" s="243"/>
      <c r="K562" s="243"/>
      <c r="L562" s="244">
        <v>0.1</v>
      </c>
      <c r="M562" s="244">
        <f t="shared" si="109"/>
        <v>0</v>
      </c>
      <c r="N562" s="244"/>
      <c r="O562" s="244"/>
      <c r="P562" s="244"/>
      <c r="Q562" s="245">
        <f t="shared" si="110"/>
        <v>0</v>
      </c>
      <c r="R562" s="245">
        <f t="shared" si="111"/>
        <v>0</v>
      </c>
      <c r="S562" s="246">
        <v>0.5</v>
      </c>
      <c r="T562" s="245">
        <f t="shared" si="112"/>
        <v>0</v>
      </c>
      <c r="U562" s="245">
        <f t="shared" si="113"/>
        <v>0</v>
      </c>
      <c r="V562" s="247"/>
    </row>
    <row r="563" spans="1:22" ht="15.75" x14ac:dyDescent="0.25">
      <c r="A563" s="236"/>
      <c r="B563" s="237"/>
      <c r="C563" s="238"/>
      <c r="D563" s="239"/>
      <c r="E563" s="240"/>
      <c r="F563" s="240"/>
      <c r="G563" s="240"/>
      <c r="H563" s="241">
        <f t="shared" si="108"/>
        <v>0</v>
      </c>
      <c r="I563" s="242"/>
      <c r="J563" s="243"/>
      <c r="K563" s="243"/>
      <c r="L563" s="244">
        <v>0.1</v>
      </c>
      <c r="M563" s="244">
        <f t="shared" si="109"/>
        <v>0</v>
      </c>
      <c r="N563" s="244"/>
      <c r="O563" s="244"/>
      <c r="P563" s="244"/>
      <c r="Q563" s="245">
        <f t="shared" si="110"/>
        <v>0</v>
      </c>
      <c r="R563" s="245">
        <f t="shared" si="111"/>
        <v>0</v>
      </c>
      <c r="S563" s="246">
        <v>0.5</v>
      </c>
      <c r="T563" s="245">
        <f t="shared" si="112"/>
        <v>0</v>
      </c>
      <c r="U563" s="245">
        <f t="shared" si="113"/>
        <v>0</v>
      </c>
      <c r="V563" s="247"/>
    </row>
    <row r="564" spans="1:22" ht="15.75" x14ac:dyDescent="0.25">
      <c r="A564" s="236"/>
      <c r="B564" s="237"/>
      <c r="C564" s="238"/>
      <c r="D564" s="239"/>
      <c r="E564" s="240"/>
      <c r="F564" s="240"/>
      <c r="G564" s="240"/>
      <c r="H564" s="241">
        <f t="shared" si="108"/>
        <v>0</v>
      </c>
      <c r="I564" s="242"/>
      <c r="J564" s="243"/>
      <c r="K564" s="243"/>
      <c r="L564" s="244">
        <v>0.1</v>
      </c>
      <c r="M564" s="244">
        <f t="shared" si="109"/>
        <v>0</v>
      </c>
      <c r="N564" s="244"/>
      <c r="O564" s="244"/>
      <c r="P564" s="244"/>
      <c r="Q564" s="245">
        <f t="shared" si="110"/>
        <v>0</v>
      </c>
      <c r="R564" s="245">
        <f t="shared" si="111"/>
        <v>0</v>
      </c>
      <c r="S564" s="246">
        <v>0.5</v>
      </c>
      <c r="T564" s="245">
        <f t="shared" si="112"/>
        <v>0</v>
      </c>
      <c r="U564" s="245">
        <f t="shared" si="113"/>
        <v>0</v>
      </c>
      <c r="V564" s="247"/>
    </row>
    <row r="565" spans="1:22" ht="15.75" x14ac:dyDescent="0.25">
      <c r="A565" s="236"/>
      <c r="B565" s="237"/>
      <c r="C565" s="238"/>
      <c r="D565" s="239"/>
      <c r="E565" s="240"/>
      <c r="F565" s="240"/>
      <c r="G565" s="240"/>
      <c r="H565" s="241">
        <f t="shared" si="108"/>
        <v>0</v>
      </c>
      <c r="I565" s="242"/>
      <c r="J565" s="243"/>
      <c r="K565" s="243"/>
      <c r="L565" s="244">
        <v>0.1</v>
      </c>
      <c r="M565" s="244">
        <f t="shared" si="109"/>
        <v>0</v>
      </c>
      <c r="N565" s="244"/>
      <c r="O565" s="244"/>
      <c r="P565" s="244"/>
      <c r="Q565" s="245">
        <f t="shared" si="110"/>
        <v>0</v>
      </c>
      <c r="R565" s="245">
        <f t="shared" si="111"/>
        <v>0</v>
      </c>
      <c r="S565" s="246">
        <v>0.5</v>
      </c>
      <c r="T565" s="245">
        <f t="shared" si="112"/>
        <v>0</v>
      </c>
      <c r="U565" s="245">
        <f t="shared" si="113"/>
        <v>0</v>
      </c>
      <c r="V565" s="247"/>
    </row>
    <row r="566" spans="1:22" ht="15.75" x14ac:dyDescent="0.25">
      <c r="A566" s="236"/>
      <c r="B566" s="237"/>
      <c r="C566" s="238"/>
      <c r="D566" s="239"/>
      <c r="E566" s="240"/>
      <c r="F566" s="240"/>
      <c r="G566" s="240"/>
      <c r="H566" s="241">
        <f t="shared" si="108"/>
        <v>0</v>
      </c>
      <c r="I566" s="242"/>
      <c r="J566" s="243"/>
      <c r="K566" s="243"/>
      <c r="L566" s="244">
        <v>0.1</v>
      </c>
      <c r="M566" s="244">
        <f t="shared" si="109"/>
        <v>0</v>
      </c>
      <c r="N566" s="244"/>
      <c r="O566" s="244"/>
      <c r="P566" s="244"/>
      <c r="Q566" s="245">
        <f t="shared" si="110"/>
        <v>0</v>
      </c>
      <c r="R566" s="245">
        <f t="shared" si="111"/>
        <v>0</v>
      </c>
      <c r="S566" s="246">
        <v>0.5</v>
      </c>
      <c r="T566" s="245">
        <f t="shared" si="112"/>
        <v>0</v>
      </c>
      <c r="U566" s="245">
        <f t="shared" si="113"/>
        <v>0</v>
      </c>
      <c r="V566" s="247"/>
    </row>
    <row r="567" spans="1:22" ht="15.75" x14ac:dyDescent="0.25">
      <c r="A567" s="236"/>
      <c r="B567" s="237"/>
      <c r="C567" s="238"/>
      <c r="D567" s="239"/>
      <c r="E567" s="240"/>
      <c r="F567" s="240"/>
      <c r="G567" s="240"/>
      <c r="H567" s="241">
        <f t="shared" si="108"/>
        <v>0</v>
      </c>
      <c r="I567" s="242"/>
      <c r="J567" s="243"/>
      <c r="K567" s="243"/>
      <c r="L567" s="244">
        <v>0.1</v>
      </c>
      <c r="M567" s="244">
        <f t="shared" si="109"/>
        <v>0</v>
      </c>
      <c r="N567" s="244"/>
      <c r="O567" s="244"/>
      <c r="P567" s="244"/>
      <c r="Q567" s="245">
        <f t="shared" si="110"/>
        <v>0</v>
      </c>
      <c r="R567" s="245">
        <f t="shared" si="111"/>
        <v>0</v>
      </c>
      <c r="S567" s="246">
        <v>0.5</v>
      </c>
      <c r="T567" s="245">
        <f t="shared" si="112"/>
        <v>0</v>
      </c>
      <c r="U567" s="245">
        <f t="shared" si="113"/>
        <v>0</v>
      </c>
      <c r="V567" s="247"/>
    </row>
    <row r="568" spans="1:22" ht="15.75" x14ac:dyDescent="0.25">
      <c r="A568" s="236"/>
      <c r="B568" s="237"/>
      <c r="C568" s="238"/>
      <c r="D568" s="239"/>
      <c r="E568" s="240"/>
      <c r="F568" s="240"/>
      <c r="G568" s="240"/>
      <c r="H568" s="241">
        <f t="shared" si="108"/>
        <v>0</v>
      </c>
      <c r="I568" s="242"/>
      <c r="J568" s="243"/>
      <c r="K568" s="243"/>
      <c r="L568" s="244">
        <v>0.1</v>
      </c>
      <c r="M568" s="244">
        <f t="shared" si="109"/>
        <v>0</v>
      </c>
      <c r="N568" s="244"/>
      <c r="O568" s="244"/>
      <c r="P568" s="244"/>
      <c r="Q568" s="245">
        <f t="shared" si="110"/>
        <v>0</v>
      </c>
      <c r="R568" s="245">
        <f t="shared" si="111"/>
        <v>0</v>
      </c>
      <c r="S568" s="246">
        <v>0.5</v>
      </c>
      <c r="T568" s="245">
        <f t="shared" si="112"/>
        <v>0</v>
      </c>
      <c r="U568" s="245">
        <f t="shared" si="113"/>
        <v>0</v>
      </c>
      <c r="V568" s="247"/>
    </row>
    <row r="569" spans="1:22" ht="15.75" x14ac:dyDescent="0.25">
      <c r="A569" s="236"/>
      <c r="B569" s="237"/>
      <c r="C569" s="238"/>
      <c r="D569" s="239"/>
      <c r="E569" s="240"/>
      <c r="F569" s="240"/>
      <c r="G569" s="240"/>
      <c r="H569" s="241">
        <f t="shared" si="108"/>
        <v>0</v>
      </c>
      <c r="I569" s="242"/>
      <c r="J569" s="243"/>
      <c r="K569" s="243"/>
      <c r="L569" s="244">
        <v>0.1</v>
      </c>
      <c r="M569" s="244">
        <f t="shared" si="109"/>
        <v>0</v>
      </c>
      <c r="N569" s="244"/>
      <c r="O569" s="244"/>
      <c r="P569" s="244"/>
      <c r="Q569" s="245">
        <f t="shared" si="110"/>
        <v>0</v>
      </c>
      <c r="R569" s="245">
        <f t="shared" si="111"/>
        <v>0</v>
      </c>
      <c r="S569" s="246">
        <v>0.5</v>
      </c>
      <c r="T569" s="245">
        <f t="shared" si="112"/>
        <v>0</v>
      </c>
      <c r="U569" s="245">
        <f t="shared" si="113"/>
        <v>0</v>
      </c>
      <c r="V569" s="247"/>
    </row>
    <row r="570" spans="1:22" ht="15.75" x14ac:dyDescent="0.25">
      <c r="A570" s="236"/>
      <c r="B570" s="237"/>
      <c r="C570" s="238"/>
      <c r="D570" s="239"/>
      <c r="E570" s="240"/>
      <c r="F570" s="240"/>
      <c r="G570" s="240"/>
      <c r="H570" s="241">
        <f t="shared" si="108"/>
        <v>0</v>
      </c>
      <c r="I570" s="242"/>
      <c r="J570" s="243"/>
      <c r="K570" s="243"/>
      <c r="L570" s="244">
        <v>0.1</v>
      </c>
      <c r="M570" s="244">
        <f t="shared" si="109"/>
        <v>0</v>
      </c>
      <c r="N570" s="244"/>
      <c r="O570" s="244"/>
      <c r="P570" s="244"/>
      <c r="Q570" s="245">
        <f t="shared" si="110"/>
        <v>0</v>
      </c>
      <c r="R570" s="245">
        <f t="shared" si="111"/>
        <v>0</v>
      </c>
      <c r="S570" s="246">
        <v>0.5</v>
      </c>
      <c r="T570" s="245">
        <f t="shared" si="112"/>
        <v>0</v>
      </c>
      <c r="U570" s="245">
        <f t="shared" si="113"/>
        <v>0</v>
      </c>
      <c r="V570" s="247"/>
    </row>
    <row r="571" spans="1:22" ht="15.75" x14ac:dyDescent="0.25">
      <c r="A571" s="236"/>
      <c r="B571" s="237"/>
      <c r="C571" s="238"/>
      <c r="D571" s="239"/>
      <c r="E571" s="240"/>
      <c r="F571" s="240"/>
      <c r="G571" s="240"/>
      <c r="H571" s="241">
        <f t="shared" si="108"/>
        <v>0</v>
      </c>
      <c r="I571" s="242"/>
      <c r="J571" s="243"/>
      <c r="K571" s="243"/>
      <c r="L571" s="244">
        <v>0.1</v>
      </c>
      <c r="M571" s="244">
        <f t="shared" si="109"/>
        <v>0</v>
      </c>
      <c r="N571" s="244"/>
      <c r="O571" s="244"/>
      <c r="P571" s="244"/>
      <c r="Q571" s="245">
        <f t="shared" si="110"/>
        <v>0</v>
      </c>
      <c r="R571" s="245">
        <f t="shared" si="111"/>
        <v>0</v>
      </c>
      <c r="S571" s="246">
        <v>0.5</v>
      </c>
      <c r="T571" s="245">
        <f t="shared" si="112"/>
        <v>0</v>
      </c>
      <c r="U571" s="245">
        <f t="shared" si="113"/>
        <v>0</v>
      </c>
      <c r="V571" s="247"/>
    </row>
    <row r="572" spans="1:22" ht="15.75" x14ac:dyDescent="0.25">
      <c r="A572" s="236"/>
      <c r="B572" s="237"/>
      <c r="C572" s="238"/>
      <c r="D572" s="239"/>
      <c r="E572" s="240"/>
      <c r="F572" s="240"/>
      <c r="G572" s="240"/>
      <c r="H572" s="241">
        <f t="shared" si="108"/>
        <v>0</v>
      </c>
      <c r="I572" s="242"/>
      <c r="J572" s="243"/>
      <c r="K572" s="243"/>
      <c r="L572" s="244">
        <v>0.1</v>
      </c>
      <c r="M572" s="244">
        <f t="shared" si="109"/>
        <v>0</v>
      </c>
      <c r="N572" s="244"/>
      <c r="O572" s="244"/>
      <c r="P572" s="244"/>
      <c r="Q572" s="245">
        <f t="shared" si="110"/>
        <v>0</v>
      </c>
      <c r="R572" s="245">
        <f t="shared" si="111"/>
        <v>0</v>
      </c>
      <c r="S572" s="246">
        <v>0.5</v>
      </c>
      <c r="T572" s="245">
        <f t="shared" si="112"/>
        <v>0</v>
      </c>
      <c r="U572" s="245">
        <f t="shared" si="113"/>
        <v>0</v>
      </c>
      <c r="V572" s="247"/>
    </row>
    <row r="573" spans="1:22" ht="15.75" x14ac:dyDescent="0.25">
      <c r="A573" s="236"/>
      <c r="B573" s="237"/>
      <c r="C573" s="238"/>
      <c r="D573" s="239"/>
      <c r="E573" s="240"/>
      <c r="F573" s="240"/>
      <c r="G573" s="240"/>
      <c r="H573" s="241">
        <f t="shared" si="108"/>
        <v>0</v>
      </c>
      <c r="I573" s="242"/>
      <c r="J573" s="243"/>
      <c r="K573" s="243"/>
      <c r="L573" s="244">
        <v>0.1</v>
      </c>
      <c r="M573" s="244">
        <f t="shared" si="109"/>
        <v>0</v>
      </c>
      <c r="N573" s="244"/>
      <c r="O573" s="244"/>
      <c r="P573" s="244"/>
      <c r="Q573" s="245">
        <f t="shared" si="110"/>
        <v>0</v>
      </c>
      <c r="R573" s="245">
        <f t="shared" si="111"/>
        <v>0</v>
      </c>
      <c r="S573" s="246">
        <v>0.5</v>
      </c>
      <c r="T573" s="245">
        <f t="shared" si="112"/>
        <v>0</v>
      </c>
      <c r="U573" s="245">
        <f t="shared" si="113"/>
        <v>0</v>
      </c>
      <c r="V573" s="247"/>
    </row>
    <row r="574" spans="1:22" ht="15.75" x14ac:dyDescent="0.25">
      <c r="A574" s="236"/>
      <c r="B574" s="237"/>
      <c r="C574" s="238"/>
      <c r="D574" s="239"/>
      <c r="E574" s="240"/>
      <c r="F574" s="240"/>
      <c r="G574" s="240"/>
      <c r="H574" s="241">
        <f t="shared" si="108"/>
        <v>0</v>
      </c>
      <c r="I574" s="242"/>
      <c r="J574" s="243"/>
      <c r="K574" s="243"/>
      <c r="L574" s="244">
        <v>0.1</v>
      </c>
      <c r="M574" s="244">
        <f t="shared" si="109"/>
        <v>0</v>
      </c>
      <c r="N574" s="244"/>
      <c r="O574" s="244"/>
      <c r="P574" s="244"/>
      <c r="Q574" s="245">
        <f t="shared" si="110"/>
        <v>0</v>
      </c>
      <c r="R574" s="245">
        <f t="shared" si="111"/>
        <v>0</v>
      </c>
      <c r="S574" s="246">
        <v>0.5</v>
      </c>
      <c r="T574" s="245">
        <f t="shared" si="112"/>
        <v>0</v>
      </c>
      <c r="U574" s="245">
        <f t="shared" si="113"/>
        <v>0</v>
      </c>
      <c r="V574" s="247"/>
    </row>
    <row r="575" spans="1:22" ht="15.75" x14ac:dyDescent="0.25">
      <c r="A575" s="236"/>
      <c r="B575" s="237"/>
      <c r="C575" s="238"/>
      <c r="D575" s="239"/>
      <c r="E575" s="240"/>
      <c r="F575" s="240"/>
      <c r="G575" s="240"/>
      <c r="H575" s="241">
        <f t="shared" si="108"/>
        <v>0</v>
      </c>
      <c r="I575" s="242"/>
      <c r="J575" s="243"/>
      <c r="K575" s="243"/>
      <c r="L575" s="244">
        <v>0.1</v>
      </c>
      <c r="M575" s="244">
        <f t="shared" si="109"/>
        <v>0</v>
      </c>
      <c r="N575" s="244"/>
      <c r="O575" s="244"/>
      <c r="P575" s="244"/>
      <c r="Q575" s="245">
        <f t="shared" si="110"/>
        <v>0</v>
      </c>
      <c r="R575" s="245">
        <f t="shared" si="111"/>
        <v>0</v>
      </c>
      <c r="S575" s="246">
        <v>0.5</v>
      </c>
      <c r="T575" s="245">
        <f t="shared" si="112"/>
        <v>0</v>
      </c>
      <c r="U575" s="245">
        <f t="shared" si="113"/>
        <v>0</v>
      </c>
      <c r="V575" s="247"/>
    </row>
    <row r="576" spans="1:22" ht="15.75" x14ac:dyDescent="0.25">
      <c r="A576" s="236"/>
      <c r="B576" s="237"/>
      <c r="C576" s="238"/>
      <c r="D576" s="239"/>
      <c r="E576" s="240"/>
      <c r="F576" s="240"/>
      <c r="G576" s="240"/>
      <c r="H576" s="241">
        <f t="shared" si="108"/>
        <v>0</v>
      </c>
      <c r="I576" s="242"/>
      <c r="J576" s="243"/>
      <c r="K576" s="243"/>
      <c r="L576" s="244">
        <v>0.1</v>
      </c>
      <c r="M576" s="244">
        <f t="shared" si="109"/>
        <v>0</v>
      </c>
      <c r="N576" s="244"/>
      <c r="O576" s="244"/>
      <c r="P576" s="244"/>
      <c r="Q576" s="245">
        <f t="shared" si="110"/>
        <v>0</v>
      </c>
      <c r="R576" s="245">
        <f t="shared" si="111"/>
        <v>0</v>
      </c>
      <c r="S576" s="246">
        <v>0.5</v>
      </c>
      <c r="T576" s="245">
        <f t="shared" si="112"/>
        <v>0</v>
      </c>
      <c r="U576" s="245">
        <f t="shared" si="113"/>
        <v>0</v>
      </c>
      <c r="V576" s="247"/>
    </row>
    <row r="577" spans="1:22" ht="15.75" x14ac:dyDescent="0.25">
      <c r="A577" s="236"/>
      <c r="B577" s="237"/>
      <c r="C577" s="238"/>
      <c r="D577" s="239"/>
      <c r="E577" s="240"/>
      <c r="F577" s="240"/>
      <c r="G577" s="240"/>
      <c r="H577" s="241">
        <f t="shared" si="108"/>
        <v>0</v>
      </c>
      <c r="I577" s="242"/>
      <c r="J577" s="243"/>
      <c r="K577" s="243"/>
      <c r="L577" s="244">
        <v>0.1</v>
      </c>
      <c r="M577" s="244">
        <f t="shared" si="109"/>
        <v>0</v>
      </c>
      <c r="N577" s="244"/>
      <c r="O577" s="244"/>
      <c r="P577" s="244"/>
      <c r="Q577" s="245">
        <f t="shared" si="110"/>
        <v>0</v>
      </c>
      <c r="R577" s="245">
        <f t="shared" si="111"/>
        <v>0</v>
      </c>
      <c r="S577" s="246">
        <v>0.5</v>
      </c>
      <c r="T577" s="245">
        <f t="shared" si="112"/>
        <v>0</v>
      </c>
      <c r="U577" s="245">
        <f t="shared" si="113"/>
        <v>0</v>
      </c>
      <c r="V577" s="247"/>
    </row>
    <row r="578" spans="1:22" ht="15.75" x14ac:dyDescent="0.25">
      <c r="A578" s="236"/>
      <c r="B578" s="237"/>
      <c r="C578" s="238"/>
      <c r="D578" s="239"/>
      <c r="E578" s="240"/>
      <c r="F578" s="240"/>
      <c r="G578" s="240"/>
      <c r="H578" s="241">
        <f t="shared" si="108"/>
        <v>0</v>
      </c>
      <c r="I578" s="242"/>
      <c r="J578" s="243"/>
      <c r="K578" s="243"/>
      <c r="L578" s="244">
        <v>0.1</v>
      </c>
      <c r="M578" s="244">
        <f t="shared" si="109"/>
        <v>0</v>
      </c>
      <c r="N578" s="244"/>
      <c r="O578" s="244"/>
      <c r="P578" s="244"/>
      <c r="Q578" s="245">
        <f t="shared" si="110"/>
        <v>0</v>
      </c>
      <c r="R578" s="245">
        <f t="shared" si="111"/>
        <v>0</v>
      </c>
      <c r="S578" s="246">
        <v>0.5</v>
      </c>
      <c r="T578" s="245">
        <f t="shared" si="112"/>
        <v>0</v>
      </c>
      <c r="U578" s="245">
        <f t="shared" si="113"/>
        <v>0</v>
      </c>
      <c r="V578" s="247"/>
    </row>
    <row r="579" spans="1:22" ht="15.75" x14ac:dyDescent="0.25">
      <c r="A579" s="236"/>
      <c r="B579" s="237"/>
      <c r="C579" s="238"/>
      <c r="D579" s="239"/>
      <c r="E579" s="240"/>
      <c r="F579" s="240"/>
      <c r="G579" s="240"/>
      <c r="H579" s="241">
        <f t="shared" si="108"/>
        <v>0</v>
      </c>
      <c r="I579" s="242"/>
      <c r="J579" s="243"/>
      <c r="K579" s="243"/>
      <c r="L579" s="244">
        <v>0.1</v>
      </c>
      <c r="M579" s="244">
        <f t="shared" si="109"/>
        <v>0</v>
      </c>
      <c r="N579" s="244"/>
      <c r="O579" s="244"/>
      <c r="P579" s="244"/>
      <c r="Q579" s="245">
        <f t="shared" si="110"/>
        <v>0</v>
      </c>
      <c r="R579" s="245">
        <f t="shared" si="111"/>
        <v>0</v>
      </c>
      <c r="S579" s="246">
        <v>0.5</v>
      </c>
      <c r="T579" s="245">
        <f t="shared" si="112"/>
        <v>0</v>
      </c>
      <c r="U579" s="245">
        <f t="shared" si="113"/>
        <v>0</v>
      </c>
      <c r="V579" s="247"/>
    </row>
    <row r="580" spans="1:22" ht="15.75" x14ac:dyDescent="0.25">
      <c r="A580" s="236"/>
      <c r="B580" s="237"/>
      <c r="C580" s="238"/>
      <c r="D580" s="239"/>
      <c r="E580" s="240"/>
      <c r="F580" s="240"/>
      <c r="G580" s="240"/>
      <c r="H580" s="241">
        <f t="shared" si="108"/>
        <v>0</v>
      </c>
      <c r="I580" s="242"/>
      <c r="J580" s="243"/>
      <c r="K580" s="243"/>
      <c r="L580" s="244">
        <v>0.1</v>
      </c>
      <c r="M580" s="244">
        <f t="shared" si="109"/>
        <v>0</v>
      </c>
      <c r="N580" s="244"/>
      <c r="O580" s="244"/>
      <c r="P580" s="244"/>
      <c r="Q580" s="245">
        <f t="shared" si="110"/>
        <v>0</v>
      </c>
      <c r="R580" s="245">
        <f t="shared" si="111"/>
        <v>0</v>
      </c>
      <c r="S580" s="246">
        <v>0.5</v>
      </c>
      <c r="T580" s="245">
        <f t="shared" si="112"/>
        <v>0</v>
      </c>
      <c r="U580" s="245">
        <f t="shared" si="113"/>
        <v>0</v>
      </c>
      <c r="V580" s="247"/>
    </row>
    <row r="581" spans="1:22" ht="15.75" x14ac:dyDescent="0.25">
      <c r="A581" s="236"/>
      <c r="B581" s="237"/>
      <c r="C581" s="238"/>
      <c r="D581" s="239"/>
      <c r="E581" s="240"/>
      <c r="F581" s="240"/>
      <c r="G581" s="240"/>
      <c r="H581" s="241">
        <f t="shared" si="108"/>
        <v>0</v>
      </c>
      <c r="I581" s="242"/>
      <c r="J581" s="243"/>
      <c r="K581" s="243"/>
      <c r="L581" s="244">
        <v>0.1</v>
      </c>
      <c r="M581" s="244">
        <f t="shared" si="109"/>
        <v>0</v>
      </c>
      <c r="N581" s="244"/>
      <c r="O581" s="244"/>
      <c r="P581" s="244"/>
      <c r="Q581" s="245">
        <f t="shared" si="110"/>
        <v>0</v>
      </c>
      <c r="R581" s="245">
        <f t="shared" si="111"/>
        <v>0</v>
      </c>
      <c r="S581" s="246">
        <v>0.5</v>
      </c>
      <c r="T581" s="245">
        <f t="shared" si="112"/>
        <v>0</v>
      </c>
      <c r="U581" s="245">
        <f t="shared" si="113"/>
        <v>0</v>
      </c>
      <c r="V581" s="247"/>
    </row>
    <row r="582" spans="1:22" ht="15.75" x14ac:dyDescent="0.25">
      <c r="A582" s="236"/>
      <c r="B582" s="237"/>
      <c r="C582" s="238"/>
      <c r="D582" s="239"/>
      <c r="E582" s="240"/>
      <c r="F582" s="240"/>
      <c r="G582" s="240"/>
      <c r="H582" s="241">
        <f t="shared" si="108"/>
        <v>0</v>
      </c>
      <c r="I582" s="242"/>
      <c r="J582" s="243"/>
      <c r="K582" s="243"/>
      <c r="L582" s="244">
        <v>0.1</v>
      </c>
      <c r="M582" s="244">
        <f t="shared" si="109"/>
        <v>0</v>
      </c>
      <c r="N582" s="244"/>
      <c r="O582" s="244"/>
      <c r="P582" s="244"/>
      <c r="Q582" s="245">
        <f t="shared" si="110"/>
        <v>0</v>
      </c>
      <c r="R582" s="245">
        <f t="shared" si="111"/>
        <v>0</v>
      </c>
      <c r="S582" s="246">
        <v>0.5</v>
      </c>
      <c r="T582" s="245">
        <f t="shared" si="112"/>
        <v>0</v>
      </c>
      <c r="U582" s="245">
        <f t="shared" si="113"/>
        <v>0</v>
      </c>
      <c r="V582" s="247"/>
    </row>
    <row r="583" spans="1:22" ht="15.75" x14ac:dyDescent="0.25">
      <c r="A583" s="236"/>
      <c r="B583" s="237"/>
      <c r="C583" s="238"/>
      <c r="D583" s="239"/>
      <c r="E583" s="240"/>
      <c r="F583" s="240"/>
      <c r="G583" s="240"/>
      <c r="H583" s="241">
        <f t="shared" si="108"/>
        <v>0</v>
      </c>
      <c r="I583" s="242"/>
      <c r="J583" s="243"/>
      <c r="K583" s="243"/>
      <c r="L583" s="244">
        <v>0.1</v>
      </c>
      <c r="M583" s="244">
        <f t="shared" si="109"/>
        <v>0</v>
      </c>
      <c r="N583" s="244"/>
      <c r="O583" s="244"/>
      <c r="P583" s="244"/>
      <c r="Q583" s="245">
        <f t="shared" si="110"/>
        <v>0</v>
      </c>
      <c r="R583" s="245">
        <f t="shared" si="111"/>
        <v>0</v>
      </c>
      <c r="S583" s="246">
        <v>0.5</v>
      </c>
      <c r="T583" s="245">
        <f t="shared" si="112"/>
        <v>0</v>
      </c>
      <c r="U583" s="245">
        <f t="shared" si="113"/>
        <v>0</v>
      </c>
      <c r="V583" s="247"/>
    </row>
    <row r="584" spans="1:22" ht="15.75" x14ac:dyDescent="0.25">
      <c r="A584" s="236"/>
      <c r="B584" s="237"/>
      <c r="C584" s="238"/>
      <c r="D584" s="239"/>
      <c r="E584" s="240"/>
      <c r="F584" s="240"/>
      <c r="G584" s="240"/>
      <c r="H584" s="241">
        <f t="shared" si="108"/>
        <v>0</v>
      </c>
      <c r="I584" s="242"/>
      <c r="J584" s="243"/>
      <c r="K584" s="243"/>
      <c r="L584" s="244">
        <v>0.1</v>
      </c>
      <c r="M584" s="244">
        <f t="shared" si="109"/>
        <v>0</v>
      </c>
      <c r="N584" s="244"/>
      <c r="O584" s="244"/>
      <c r="P584" s="244"/>
      <c r="Q584" s="245">
        <f t="shared" si="110"/>
        <v>0</v>
      </c>
      <c r="R584" s="245">
        <f t="shared" si="111"/>
        <v>0</v>
      </c>
      <c r="S584" s="246">
        <v>0.5</v>
      </c>
      <c r="T584" s="245">
        <f t="shared" si="112"/>
        <v>0</v>
      </c>
      <c r="U584" s="245">
        <f t="shared" si="113"/>
        <v>0</v>
      </c>
      <c r="V584" s="247"/>
    </row>
    <row r="585" spans="1:22" ht="15.75" x14ac:dyDescent="0.25">
      <c r="A585" s="236"/>
      <c r="B585" s="237"/>
      <c r="C585" s="238"/>
      <c r="D585" s="239"/>
      <c r="E585" s="240"/>
      <c r="F585" s="240"/>
      <c r="G585" s="240"/>
      <c r="H585" s="241">
        <f t="shared" si="108"/>
        <v>0</v>
      </c>
      <c r="I585" s="242"/>
      <c r="J585" s="243"/>
      <c r="K585" s="243"/>
      <c r="L585" s="244">
        <v>0.1</v>
      </c>
      <c r="M585" s="244">
        <f t="shared" si="109"/>
        <v>0</v>
      </c>
      <c r="N585" s="244"/>
      <c r="O585" s="244"/>
      <c r="P585" s="244"/>
      <c r="Q585" s="245">
        <f t="shared" si="110"/>
        <v>0</v>
      </c>
      <c r="R585" s="245">
        <f t="shared" si="111"/>
        <v>0</v>
      </c>
      <c r="S585" s="246">
        <v>0.5</v>
      </c>
      <c r="T585" s="245">
        <f t="shared" si="112"/>
        <v>0</v>
      </c>
      <c r="U585" s="245">
        <f t="shared" si="113"/>
        <v>0</v>
      </c>
      <c r="V585" s="247"/>
    </row>
    <row r="586" spans="1:22" ht="15.75" x14ac:dyDescent="0.25">
      <c r="A586" s="236"/>
      <c r="B586" s="237"/>
      <c r="C586" s="238"/>
      <c r="D586" s="239"/>
      <c r="E586" s="240"/>
      <c r="F586" s="240"/>
      <c r="G586" s="240"/>
      <c r="H586" s="241">
        <f t="shared" si="108"/>
        <v>0</v>
      </c>
      <c r="I586" s="242"/>
      <c r="J586" s="243"/>
      <c r="K586" s="243"/>
      <c r="L586" s="244">
        <v>0.1</v>
      </c>
      <c r="M586" s="244">
        <f t="shared" si="109"/>
        <v>0</v>
      </c>
      <c r="N586" s="244"/>
      <c r="O586" s="244"/>
      <c r="P586" s="244"/>
      <c r="Q586" s="245">
        <f t="shared" si="110"/>
        <v>0</v>
      </c>
      <c r="R586" s="245">
        <f t="shared" si="111"/>
        <v>0</v>
      </c>
      <c r="S586" s="246">
        <v>0.5</v>
      </c>
      <c r="T586" s="245">
        <f t="shared" si="112"/>
        <v>0</v>
      </c>
      <c r="U586" s="245">
        <f t="shared" si="113"/>
        <v>0</v>
      </c>
      <c r="V586" s="247"/>
    </row>
    <row r="587" spans="1:22" ht="15.75" x14ac:dyDescent="0.25">
      <c r="A587" s="236"/>
      <c r="B587" s="237"/>
      <c r="C587" s="238"/>
      <c r="D587" s="239"/>
      <c r="E587" s="240"/>
      <c r="F587" s="240"/>
      <c r="G587" s="240"/>
      <c r="H587" s="241">
        <f t="shared" si="108"/>
        <v>0</v>
      </c>
      <c r="I587" s="242"/>
      <c r="J587" s="243"/>
      <c r="K587" s="243"/>
      <c r="L587" s="244">
        <v>0.1</v>
      </c>
      <c r="M587" s="244">
        <f t="shared" si="109"/>
        <v>0</v>
      </c>
      <c r="N587" s="244"/>
      <c r="O587" s="244"/>
      <c r="P587" s="244"/>
      <c r="Q587" s="245">
        <f t="shared" si="110"/>
        <v>0</v>
      </c>
      <c r="R587" s="245">
        <f t="shared" si="111"/>
        <v>0</v>
      </c>
      <c r="S587" s="246">
        <v>0.5</v>
      </c>
      <c r="T587" s="245">
        <f t="shared" si="112"/>
        <v>0</v>
      </c>
      <c r="U587" s="245">
        <f t="shared" si="113"/>
        <v>0</v>
      </c>
      <c r="V587" s="247"/>
    </row>
    <row r="588" spans="1:22" ht="15.75" x14ac:dyDescent="0.25">
      <c r="A588" s="236"/>
      <c r="B588" s="237"/>
      <c r="C588" s="238"/>
      <c r="D588" s="239"/>
      <c r="E588" s="240"/>
      <c r="F588" s="240"/>
      <c r="G588" s="240"/>
      <c r="H588" s="241">
        <f t="shared" si="108"/>
        <v>0</v>
      </c>
      <c r="I588" s="242"/>
      <c r="J588" s="243"/>
      <c r="K588" s="243"/>
      <c r="L588" s="244">
        <v>0.1</v>
      </c>
      <c r="M588" s="244">
        <f t="shared" si="109"/>
        <v>0</v>
      </c>
      <c r="N588" s="244"/>
      <c r="O588" s="244"/>
      <c r="P588" s="244"/>
      <c r="Q588" s="245">
        <f t="shared" si="110"/>
        <v>0</v>
      </c>
      <c r="R588" s="245">
        <f t="shared" si="111"/>
        <v>0</v>
      </c>
      <c r="S588" s="246">
        <v>0.5</v>
      </c>
      <c r="T588" s="245">
        <f t="shared" si="112"/>
        <v>0</v>
      </c>
      <c r="U588" s="245">
        <f t="shared" si="113"/>
        <v>0</v>
      </c>
      <c r="V588" s="247"/>
    </row>
    <row r="589" spans="1:22" ht="15.75" x14ac:dyDescent="0.25">
      <c r="A589" s="236"/>
      <c r="B589" s="237"/>
      <c r="C589" s="238"/>
      <c r="D589" s="239"/>
      <c r="E589" s="240"/>
      <c r="F589" s="240"/>
      <c r="G589" s="240"/>
      <c r="H589" s="241">
        <f t="shared" si="108"/>
        <v>0</v>
      </c>
      <c r="I589" s="242"/>
      <c r="J589" s="243"/>
      <c r="K589" s="243"/>
      <c r="L589" s="244">
        <v>0.1</v>
      </c>
      <c r="M589" s="244">
        <f t="shared" si="109"/>
        <v>0</v>
      </c>
      <c r="N589" s="244"/>
      <c r="O589" s="244"/>
      <c r="P589" s="244"/>
      <c r="Q589" s="245">
        <f t="shared" si="110"/>
        <v>0</v>
      </c>
      <c r="R589" s="245">
        <f t="shared" si="111"/>
        <v>0</v>
      </c>
      <c r="S589" s="246">
        <v>0.5</v>
      </c>
      <c r="T589" s="245">
        <f t="shared" si="112"/>
        <v>0</v>
      </c>
      <c r="U589" s="245">
        <f t="shared" si="113"/>
        <v>0</v>
      </c>
      <c r="V589" s="247"/>
    </row>
    <row r="590" spans="1:22" ht="15.75" x14ac:dyDescent="0.25">
      <c r="A590" s="236"/>
      <c r="B590" s="237"/>
      <c r="C590" s="238"/>
      <c r="D590" s="239"/>
      <c r="E590" s="240"/>
      <c r="F590" s="240"/>
      <c r="G590" s="240"/>
      <c r="H590" s="241">
        <f t="shared" si="108"/>
        <v>0</v>
      </c>
      <c r="I590" s="242"/>
      <c r="J590" s="243"/>
      <c r="K590" s="243"/>
      <c r="L590" s="244">
        <v>0.1</v>
      </c>
      <c r="M590" s="244">
        <f t="shared" si="109"/>
        <v>0</v>
      </c>
      <c r="N590" s="244"/>
      <c r="O590" s="244"/>
      <c r="P590" s="244"/>
      <c r="Q590" s="245">
        <f t="shared" si="110"/>
        <v>0</v>
      </c>
      <c r="R590" s="245">
        <f t="shared" si="111"/>
        <v>0</v>
      </c>
      <c r="S590" s="246">
        <v>0.5</v>
      </c>
      <c r="T590" s="245">
        <f t="shared" si="112"/>
        <v>0</v>
      </c>
      <c r="U590" s="245">
        <f t="shared" si="113"/>
        <v>0</v>
      </c>
      <c r="V590" s="247"/>
    </row>
    <row r="591" spans="1:22" ht="15.75" x14ac:dyDescent="0.25">
      <c r="A591" s="236"/>
      <c r="B591" s="237"/>
      <c r="C591" s="238"/>
      <c r="D591" s="239"/>
      <c r="E591" s="240"/>
      <c r="F591" s="240"/>
      <c r="G591" s="240"/>
      <c r="H591" s="241">
        <f t="shared" si="108"/>
        <v>0</v>
      </c>
      <c r="I591" s="242"/>
      <c r="J591" s="243"/>
      <c r="K591" s="243"/>
      <c r="L591" s="244">
        <v>0.1</v>
      </c>
      <c r="M591" s="244">
        <f t="shared" si="109"/>
        <v>0</v>
      </c>
      <c r="N591" s="244"/>
      <c r="O591" s="244"/>
      <c r="P591" s="244"/>
      <c r="Q591" s="245">
        <f t="shared" si="110"/>
        <v>0</v>
      </c>
      <c r="R591" s="245">
        <f t="shared" si="111"/>
        <v>0</v>
      </c>
      <c r="S591" s="246">
        <v>0.5</v>
      </c>
      <c r="T591" s="245">
        <f t="shared" si="112"/>
        <v>0</v>
      </c>
      <c r="U591" s="245">
        <f t="shared" si="113"/>
        <v>0</v>
      </c>
      <c r="V591" s="247"/>
    </row>
    <row r="592" spans="1:22" ht="15.75" x14ac:dyDescent="0.25">
      <c r="A592" s="236"/>
      <c r="B592" s="237"/>
      <c r="C592" s="238"/>
      <c r="D592" s="239"/>
      <c r="E592" s="240"/>
      <c r="F592" s="240"/>
      <c r="G592" s="240"/>
      <c r="H592" s="241">
        <f t="shared" si="108"/>
        <v>0</v>
      </c>
      <c r="I592" s="242"/>
      <c r="J592" s="243"/>
      <c r="K592" s="243"/>
      <c r="L592" s="244">
        <v>0.1</v>
      </c>
      <c r="M592" s="244">
        <f t="shared" si="109"/>
        <v>0</v>
      </c>
      <c r="N592" s="244"/>
      <c r="O592" s="244"/>
      <c r="P592" s="244"/>
      <c r="Q592" s="245">
        <f t="shared" si="110"/>
        <v>0</v>
      </c>
      <c r="R592" s="245">
        <f t="shared" si="111"/>
        <v>0</v>
      </c>
      <c r="S592" s="246">
        <v>0.5</v>
      </c>
      <c r="T592" s="245">
        <f t="shared" si="112"/>
        <v>0</v>
      </c>
      <c r="U592" s="245">
        <f t="shared" si="113"/>
        <v>0</v>
      </c>
      <c r="V592" s="247"/>
    </row>
    <row r="593" spans="1:22" ht="15.75" x14ac:dyDescent="0.25">
      <c r="A593" s="236"/>
      <c r="B593" s="237"/>
      <c r="C593" s="238"/>
      <c r="D593" s="239"/>
      <c r="E593" s="240"/>
      <c r="F593" s="240"/>
      <c r="G593" s="240"/>
      <c r="H593" s="241">
        <f t="shared" si="108"/>
        <v>0</v>
      </c>
      <c r="I593" s="242"/>
      <c r="J593" s="243"/>
      <c r="K593" s="243"/>
      <c r="L593" s="244">
        <v>0.1</v>
      </c>
      <c r="M593" s="244">
        <f t="shared" si="109"/>
        <v>0</v>
      </c>
      <c r="N593" s="244"/>
      <c r="O593" s="244"/>
      <c r="P593" s="244"/>
      <c r="Q593" s="245">
        <f t="shared" si="110"/>
        <v>0</v>
      </c>
      <c r="R593" s="245">
        <f t="shared" si="111"/>
        <v>0</v>
      </c>
      <c r="S593" s="246">
        <v>0.5</v>
      </c>
      <c r="T593" s="245">
        <f t="shared" si="112"/>
        <v>0</v>
      </c>
      <c r="U593" s="245">
        <f t="shared" si="113"/>
        <v>0</v>
      </c>
      <c r="V593" s="247"/>
    </row>
    <row r="594" spans="1:22" ht="15.75" x14ac:dyDescent="0.25">
      <c r="A594" s="236"/>
      <c r="B594" s="237"/>
      <c r="C594" s="238"/>
      <c r="D594" s="239"/>
      <c r="E594" s="240"/>
      <c r="F594" s="240"/>
      <c r="G594" s="240"/>
      <c r="H594" s="241">
        <f t="shared" si="108"/>
        <v>0</v>
      </c>
      <c r="I594" s="242"/>
      <c r="J594" s="243"/>
      <c r="K594" s="243"/>
      <c r="L594" s="244">
        <v>0.1</v>
      </c>
      <c r="M594" s="244">
        <f t="shared" si="109"/>
        <v>0</v>
      </c>
      <c r="N594" s="244"/>
      <c r="O594" s="244"/>
      <c r="P594" s="244"/>
      <c r="Q594" s="245">
        <f t="shared" si="110"/>
        <v>0</v>
      </c>
      <c r="R594" s="245">
        <f t="shared" si="111"/>
        <v>0</v>
      </c>
      <c r="S594" s="246">
        <v>0.5</v>
      </c>
      <c r="T594" s="245">
        <f t="shared" si="112"/>
        <v>0</v>
      </c>
      <c r="U594" s="245">
        <f t="shared" si="113"/>
        <v>0</v>
      </c>
      <c r="V594" s="247"/>
    </row>
    <row r="595" spans="1:22" ht="15.75" x14ac:dyDescent="0.25">
      <c r="A595" s="236"/>
      <c r="B595" s="237"/>
      <c r="C595" s="238"/>
      <c r="D595" s="239"/>
      <c r="E595" s="240"/>
      <c r="F595" s="240"/>
      <c r="G595" s="240"/>
      <c r="H595" s="241">
        <f t="shared" si="108"/>
        <v>0</v>
      </c>
      <c r="I595" s="242"/>
      <c r="J595" s="243"/>
      <c r="K595" s="243"/>
      <c r="L595" s="244">
        <v>0.1</v>
      </c>
      <c r="M595" s="244">
        <f t="shared" si="109"/>
        <v>0</v>
      </c>
      <c r="N595" s="244"/>
      <c r="O595" s="244"/>
      <c r="P595" s="244"/>
      <c r="Q595" s="245">
        <f t="shared" si="110"/>
        <v>0</v>
      </c>
      <c r="R595" s="245">
        <f t="shared" si="111"/>
        <v>0</v>
      </c>
      <c r="S595" s="246">
        <v>0.5</v>
      </c>
      <c r="T595" s="245">
        <f t="shared" si="112"/>
        <v>0</v>
      </c>
      <c r="U595" s="245">
        <f t="shared" si="113"/>
        <v>0</v>
      </c>
      <c r="V595" s="247"/>
    </row>
    <row r="596" spans="1:22" ht="15.75" x14ac:dyDescent="0.25">
      <c r="A596" s="236"/>
      <c r="B596" s="237"/>
      <c r="C596" s="238"/>
      <c r="D596" s="239"/>
      <c r="E596" s="240"/>
      <c r="F596" s="240"/>
      <c r="G596" s="240"/>
      <c r="H596" s="241">
        <f t="shared" si="108"/>
        <v>0</v>
      </c>
      <c r="I596" s="242"/>
      <c r="J596" s="243"/>
      <c r="K596" s="243"/>
      <c r="L596" s="244">
        <v>0.1</v>
      </c>
      <c r="M596" s="244">
        <f t="shared" si="109"/>
        <v>0</v>
      </c>
      <c r="N596" s="244"/>
      <c r="O596" s="244"/>
      <c r="P596" s="244"/>
      <c r="Q596" s="245">
        <f t="shared" si="110"/>
        <v>0</v>
      </c>
      <c r="R596" s="245">
        <f t="shared" si="111"/>
        <v>0</v>
      </c>
      <c r="S596" s="246">
        <v>0.5</v>
      </c>
      <c r="T596" s="245">
        <f t="shared" si="112"/>
        <v>0</v>
      </c>
      <c r="U596" s="245">
        <f t="shared" si="113"/>
        <v>0</v>
      </c>
      <c r="V596" s="247"/>
    </row>
    <row r="597" spans="1:22" ht="15.75" x14ac:dyDescent="0.25">
      <c r="A597" s="236"/>
      <c r="B597" s="237"/>
      <c r="C597" s="238"/>
      <c r="D597" s="239"/>
      <c r="E597" s="240"/>
      <c r="F597" s="240"/>
      <c r="G597" s="240"/>
      <c r="H597" s="241">
        <f t="shared" si="108"/>
        <v>0</v>
      </c>
      <c r="I597" s="242"/>
      <c r="J597" s="243"/>
      <c r="K597" s="243"/>
      <c r="L597" s="244">
        <v>0.1</v>
      </c>
      <c r="M597" s="244">
        <f t="shared" si="109"/>
        <v>0</v>
      </c>
      <c r="N597" s="244"/>
      <c r="O597" s="244"/>
      <c r="P597" s="244"/>
      <c r="Q597" s="245">
        <f t="shared" si="110"/>
        <v>0</v>
      </c>
      <c r="R597" s="245">
        <f t="shared" si="111"/>
        <v>0</v>
      </c>
      <c r="S597" s="246">
        <v>0.5</v>
      </c>
      <c r="T597" s="245">
        <f t="shared" si="112"/>
        <v>0</v>
      </c>
      <c r="U597" s="245">
        <f t="shared" si="113"/>
        <v>0</v>
      </c>
      <c r="V597" s="247"/>
    </row>
    <row r="598" spans="1:22" ht="15.75" x14ac:dyDescent="0.25">
      <c r="A598" s="236"/>
      <c r="B598" s="237"/>
      <c r="C598" s="238"/>
      <c r="D598" s="239"/>
      <c r="E598" s="240"/>
      <c r="F598" s="240"/>
      <c r="G598" s="240"/>
      <c r="H598" s="241">
        <f t="shared" si="108"/>
        <v>0</v>
      </c>
      <c r="I598" s="242"/>
      <c r="J598" s="243"/>
      <c r="K598" s="243"/>
      <c r="L598" s="244">
        <v>0.1</v>
      </c>
      <c r="M598" s="244">
        <f t="shared" si="109"/>
        <v>0</v>
      </c>
      <c r="N598" s="244"/>
      <c r="O598" s="244"/>
      <c r="P598" s="244"/>
      <c r="Q598" s="245">
        <f t="shared" si="110"/>
        <v>0</v>
      </c>
      <c r="R598" s="245">
        <f t="shared" si="111"/>
        <v>0</v>
      </c>
      <c r="S598" s="246">
        <v>0.5</v>
      </c>
      <c r="T598" s="245">
        <f t="shared" si="112"/>
        <v>0</v>
      </c>
      <c r="U598" s="245">
        <f t="shared" si="113"/>
        <v>0</v>
      </c>
      <c r="V598" s="247"/>
    </row>
    <row r="599" spans="1:22" ht="15.75" x14ac:dyDescent="0.25">
      <c r="A599" s="236"/>
      <c r="B599" s="237"/>
      <c r="C599" s="238"/>
      <c r="D599" s="239"/>
      <c r="E599" s="240"/>
      <c r="F599" s="240"/>
      <c r="G599" s="240"/>
      <c r="H599" s="241">
        <f t="shared" si="108"/>
        <v>0</v>
      </c>
      <c r="I599" s="242"/>
      <c r="J599" s="243"/>
      <c r="K599" s="243"/>
      <c r="L599" s="244">
        <v>0.1</v>
      </c>
      <c r="M599" s="244">
        <f t="shared" si="109"/>
        <v>0</v>
      </c>
      <c r="N599" s="244"/>
      <c r="O599" s="244"/>
      <c r="P599" s="244"/>
      <c r="Q599" s="245">
        <f t="shared" si="110"/>
        <v>0</v>
      </c>
      <c r="R599" s="245">
        <f t="shared" si="111"/>
        <v>0</v>
      </c>
      <c r="S599" s="246">
        <v>0.5</v>
      </c>
      <c r="T599" s="245">
        <f t="shared" si="112"/>
        <v>0</v>
      </c>
      <c r="U599" s="245">
        <f t="shared" si="113"/>
        <v>0</v>
      </c>
      <c r="V599" s="247"/>
    </row>
    <row r="600" spans="1:22" ht="15.75" x14ac:dyDescent="0.25">
      <c r="A600" s="236"/>
      <c r="B600" s="237"/>
      <c r="C600" s="238"/>
      <c r="D600" s="239"/>
      <c r="E600" s="240"/>
      <c r="F600" s="240"/>
      <c r="G600" s="240"/>
      <c r="H600" s="241">
        <f t="shared" si="108"/>
        <v>0</v>
      </c>
      <c r="I600" s="242"/>
      <c r="J600" s="243"/>
      <c r="K600" s="243"/>
      <c r="L600" s="244">
        <v>0.1</v>
      </c>
      <c r="M600" s="244">
        <f t="shared" si="109"/>
        <v>0</v>
      </c>
      <c r="N600" s="244"/>
      <c r="O600" s="244"/>
      <c r="P600" s="244"/>
      <c r="Q600" s="245">
        <f t="shared" si="110"/>
        <v>0</v>
      </c>
      <c r="R600" s="245">
        <f t="shared" si="111"/>
        <v>0</v>
      </c>
      <c r="S600" s="246">
        <v>0.5</v>
      </c>
      <c r="T600" s="245">
        <f t="shared" si="112"/>
        <v>0</v>
      </c>
      <c r="U600" s="245">
        <f t="shared" si="113"/>
        <v>0</v>
      </c>
      <c r="V600" s="247"/>
    </row>
    <row r="601" spans="1:22" ht="15.75" x14ac:dyDescent="0.25">
      <c r="A601" s="236"/>
      <c r="B601" s="237"/>
      <c r="C601" s="238"/>
      <c r="D601" s="239"/>
      <c r="E601" s="240"/>
      <c r="F601" s="240"/>
      <c r="G601" s="240"/>
      <c r="H601" s="241">
        <f t="shared" si="108"/>
        <v>0</v>
      </c>
      <c r="I601" s="242"/>
      <c r="J601" s="243"/>
      <c r="K601" s="243"/>
      <c r="L601" s="244">
        <v>0.1</v>
      </c>
      <c r="M601" s="244">
        <f t="shared" si="109"/>
        <v>0</v>
      </c>
      <c r="N601" s="244"/>
      <c r="O601" s="244"/>
      <c r="P601" s="244"/>
      <c r="Q601" s="245">
        <f t="shared" si="110"/>
        <v>0</v>
      </c>
      <c r="R601" s="245">
        <f t="shared" si="111"/>
        <v>0</v>
      </c>
      <c r="S601" s="246">
        <v>0.5</v>
      </c>
      <c r="T601" s="245">
        <f t="shared" si="112"/>
        <v>0</v>
      </c>
      <c r="U601" s="245">
        <f t="shared" si="113"/>
        <v>0</v>
      </c>
      <c r="V601" s="247"/>
    </row>
    <row r="602" spans="1:22" ht="15.75" x14ac:dyDescent="0.25">
      <c r="A602" s="236"/>
      <c r="B602" s="237"/>
      <c r="C602" s="238"/>
      <c r="D602" s="239"/>
      <c r="E602" s="240"/>
      <c r="F602" s="240"/>
      <c r="G602" s="240"/>
      <c r="H602" s="241">
        <f t="shared" si="108"/>
        <v>0</v>
      </c>
      <c r="I602" s="242"/>
      <c r="J602" s="243"/>
      <c r="K602" s="243"/>
      <c r="L602" s="244">
        <v>0.1</v>
      </c>
      <c r="M602" s="244">
        <f t="shared" si="109"/>
        <v>0</v>
      </c>
      <c r="N602" s="244"/>
      <c r="O602" s="244"/>
      <c r="P602" s="244"/>
      <c r="Q602" s="245">
        <f t="shared" si="110"/>
        <v>0</v>
      </c>
      <c r="R602" s="245">
        <f t="shared" si="111"/>
        <v>0</v>
      </c>
      <c r="S602" s="246">
        <v>0.5</v>
      </c>
      <c r="T602" s="245">
        <f t="shared" si="112"/>
        <v>0</v>
      </c>
      <c r="U602" s="245">
        <f t="shared" si="113"/>
        <v>0</v>
      </c>
      <c r="V602" s="247"/>
    </row>
    <row r="603" spans="1:22" ht="15.75" x14ac:dyDescent="0.25">
      <c r="A603" s="236"/>
      <c r="B603" s="237"/>
      <c r="C603" s="238"/>
      <c r="D603" s="239"/>
      <c r="E603" s="240"/>
      <c r="F603" s="240"/>
      <c r="G603" s="240"/>
      <c r="H603" s="241">
        <f t="shared" si="108"/>
        <v>0</v>
      </c>
      <c r="I603" s="242"/>
      <c r="J603" s="243"/>
      <c r="K603" s="243"/>
      <c r="L603" s="244">
        <v>0.1</v>
      </c>
      <c r="M603" s="244">
        <f t="shared" si="109"/>
        <v>0</v>
      </c>
      <c r="N603" s="244"/>
      <c r="O603" s="244"/>
      <c r="P603" s="244"/>
      <c r="Q603" s="245">
        <f t="shared" si="110"/>
        <v>0</v>
      </c>
      <c r="R603" s="245">
        <f t="shared" si="111"/>
        <v>0</v>
      </c>
      <c r="S603" s="246">
        <v>0.5</v>
      </c>
      <c r="T603" s="245">
        <f t="shared" si="112"/>
        <v>0</v>
      </c>
      <c r="U603" s="245">
        <f t="shared" si="113"/>
        <v>0</v>
      </c>
      <c r="V603" s="247"/>
    </row>
    <row r="604" spans="1:22" ht="15.75" x14ac:dyDescent="0.25">
      <c r="A604" s="236"/>
      <c r="B604" s="237"/>
      <c r="C604" s="238"/>
      <c r="D604" s="239"/>
      <c r="E604" s="240"/>
      <c r="F604" s="240"/>
      <c r="G604" s="240"/>
      <c r="H604" s="241">
        <f t="shared" si="108"/>
        <v>0</v>
      </c>
      <c r="I604" s="242"/>
      <c r="J604" s="243"/>
      <c r="K604" s="243"/>
      <c r="L604" s="244">
        <v>0.1</v>
      </c>
      <c r="M604" s="244">
        <f t="shared" si="109"/>
        <v>0</v>
      </c>
      <c r="N604" s="244"/>
      <c r="O604" s="244"/>
      <c r="P604" s="244"/>
      <c r="Q604" s="245">
        <f t="shared" si="110"/>
        <v>0</v>
      </c>
      <c r="R604" s="245">
        <f t="shared" si="111"/>
        <v>0</v>
      </c>
      <c r="S604" s="246">
        <v>0.5</v>
      </c>
      <c r="T604" s="245">
        <f t="shared" si="112"/>
        <v>0</v>
      </c>
      <c r="U604" s="245">
        <f t="shared" si="113"/>
        <v>0</v>
      </c>
      <c r="V604" s="247"/>
    </row>
    <row r="605" spans="1:22" ht="15.75" x14ac:dyDescent="0.25">
      <c r="A605" s="236"/>
      <c r="B605" s="237"/>
      <c r="C605" s="238"/>
      <c r="D605" s="239"/>
      <c r="E605" s="240"/>
      <c r="F605" s="240"/>
      <c r="G605" s="240"/>
      <c r="H605" s="241">
        <f t="shared" si="108"/>
        <v>0</v>
      </c>
      <c r="I605" s="242"/>
      <c r="J605" s="243"/>
      <c r="K605" s="243"/>
      <c r="L605" s="244">
        <v>0.1</v>
      </c>
      <c r="M605" s="244">
        <f t="shared" si="109"/>
        <v>0</v>
      </c>
      <c r="N605" s="244"/>
      <c r="O605" s="244"/>
      <c r="P605" s="244"/>
      <c r="Q605" s="245">
        <f t="shared" si="110"/>
        <v>0</v>
      </c>
      <c r="R605" s="245">
        <f t="shared" si="111"/>
        <v>0</v>
      </c>
      <c r="S605" s="246">
        <v>0.5</v>
      </c>
      <c r="T605" s="245">
        <f t="shared" si="112"/>
        <v>0</v>
      </c>
      <c r="U605" s="245">
        <f t="shared" si="113"/>
        <v>0</v>
      </c>
      <c r="V605" s="247"/>
    </row>
    <row r="606" spans="1:22" ht="15.75" x14ac:dyDescent="0.25">
      <c r="A606" s="236"/>
      <c r="B606" s="237"/>
      <c r="C606" s="238"/>
      <c r="D606" s="239"/>
      <c r="E606" s="240"/>
      <c r="F606" s="240"/>
      <c r="G606" s="240"/>
      <c r="H606" s="241">
        <f t="shared" si="108"/>
        <v>0</v>
      </c>
      <c r="I606" s="242"/>
      <c r="J606" s="243"/>
      <c r="K606" s="243"/>
      <c r="L606" s="244">
        <v>0.1</v>
      </c>
      <c r="M606" s="244">
        <f t="shared" si="109"/>
        <v>0</v>
      </c>
      <c r="N606" s="244"/>
      <c r="O606" s="244"/>
      <c r="P606" s="244"/>
      <c r="Q606" s="245">
        <f t="shared" si="110"/>
        <v>0</v>
      </c>
      <c r="R606" s="245">
        <f t="shared" si="111"/>
        <v>0</v>
      </c>
      <c r="S606" s="246">
        <v>0.5</v>
      </c>
      <c r="T606" s="245">
        <f t="shared" si="112"/>
        <v>0</v>
      </c>
      <c r="U606" s="245">
        <f t="shared" si="113"/>
        <v>0</v>
      </c>
      <c r="V606" s="247"/>
    </row>
    <row r="607" spans="1:22" ht="15.75" x14ac:dyDescent="0.25">
      <c r="A607" s="236"/>
      <c r="B607" s="237"/>
      <c r="C607" s="238"/>
      <c r="D607" s="239"/>
      <c r="E607" s="240"/>
      <c r="F607" s="240"/>
      <c r="G607" s="240"/>
      <c r="H607" s="241">
        <f t="shared" si="108"/>
        <v>0</v>
      </c>
      <c r="I607" s="242"/>
      <c r="J607" s="243"/>
      <c r="K607" s="243"/>
      <c r="L607" s="244">
        <v>0.1</v>
      </c>
      <c r="M607" s="244">
        <f t="shared" si="109"/>
        <v>0</v>
      </c>
      <c r="N607" s="244"/>
      <c r="O607" s="244"/>
      <c r="P607" s="244"/>
      <c r="Q607" s="245">
        <f t="shared" si="110"/>
        <v>0</v>
      </c>
      <c r="R607" s="245">
        <f t="shared" si="111"/>
        <v>0</v>
      </c>
      <c r="S607" s="246">
        <v>0.5</v>
      </c>
      <c r="T607" s="245">
        <f t="shared" si="112"/>
        <v>0</v>
      </c>
      <c r="U607" s="245">
        <f t="shared" si="113"/>
        <v>0</v>
      </c>
      <c r="V607" s="247"/>
    </row>
    <row r="608" spans="1:22" ht="15.75" x14ac:dyDescent="0.25">
      <c r="A608" s="236"/>
      <c r="B608" s="237"/>
      <c r="C608" s="238"/>
      <c r="D608" s="239"/>
      <c r="E608" s="240"/>
      <c r="F608" s="240"/>
      <c r="G608" s="240"/>
      <c r="H608" s="241">
        <f t="shared" si="108"/>
        <v>0</v>
      </c>
      <c r="I608" s="242"/>
      <c r="J608" s="243"/>
      <c r="K608" s="243"/>
      <c r="L608" s="244">
        <v>0.1</v>
      </c>
      <c r="M608" s="244">
        <f t="shared" si="109"/>
        <v>0</v>
      </c>
      <c r="N608" s="244"/>
      <c r="O608" s="244"/>
      <c r="P608" s="244"/>
      <c r="Q608" s="245">
        <f t="shared" si="110"/>
        <v>0</v>
      </c>
      <c r="R608" s="245">
        <f t="shared" si="111"/>
        <v>0</v>
      </c>
      <c r="S608" s="246">
        <v>0.5</v>
      </c>
      <c r="T608" s="245">
        <f t="shared" si="112"/>
        <v>0</v>
      </c>
      <c r="U608" s="245">
        <f t="shared" si="113"/>
        <v>0</v>
      </c>
      <c r="V608" s="247"/>
    </row>
    <row r="609" spans="1:22" ht="15.75" x14ac:dyDescent="0.25">
      <c r="A609" s="236"/>
      <c r="B609" s="237"/>
      <c r="C609" s="238"/>
      <c r="D609" s="239"/>
      <c r="E609" s="240"/>
      <c r="F609" s="240"/>
      <c r="G609" s="240"/>
      <c r="H609" s="241">
        <f t="shared" si="108"/>
        <v>0</v>
      </c>
      <c r="I609" s="242"/>
      <c r="J609" s="243"/>
      <c r="K609" s="243"/>
      <c r="L609" s="244">
        <v>0.1</v>
      </c>
      <c r="M609" s="244">
        <f t="shared" si="109"/>
        <v>0</v>
      </c>
      <c r="N609" s="244"/>
      <c r="O609" s="244"/>
      <c r="P609" s="244"/>
      <c r="Q609" s="245">
        <f t="shared" si="110"/>
        <v>0</v>
      </c>
      <c r="R609" s="245">
        <f t="shared" si="111"/>
        <v>0</v>
      </c>
      <c r="S609" s="246">
        <v>0.5</v>
      </c>
      <c r="T609" s="245">
        <f t="shared" si="112"/>
        <v>0</v>
      </c>
      <c r="U609" s="245">
        <f t="shared" si="113"/>
        <v>0</v>
      </c>
      <c r="V609" s="247"/>
    </row>
    <row r="610" spans="1:22" ht="15.75" x14ac:dyDescent="0.25">
      <c r="A610" s="236"/>
      <c r="B610" s="237"/>
      <c r="C610" s="238"/>
      <c r="D610" s="239"/>
      <c r="E610" s="240"/>
      <c r="F610" s="240"/>
      <c r="G610" s="240"/>
      <c r="H610" s="241">
        <f t="shared" ref="H610:H673" si="114">+E610+F610+G610</f>
        <v>0</v>
      </c>
      <c r="I610" s="242"/>
      <c r="J610" s="243"/>
      <c r="K610" s="243"/>
      <c r="L610" s="244">
        <v>0.1</v>
      </c>
      <c r="M610" s="244">
        <f t="shared" ref="M610:M673" si="115">+L610*C610</f>
        <v>0</v>
      </c>
      <c r="N610" s="244"/>
      <c r="O610" s="244"/>
      <c r="P610" s="244"/>
      <c r="Q610" s="245">
        <f t="shared" ref="Q610:Q673" si="116">+N610+O610+P610</f>
        <v>0</v>
      </c>
      <c r="R610" s="245">
        <f t="shared" ref="R610:R673" si="117">IF(+Q610-H610&lt;=0,0,Q610-H610)</f>
        <v>0</v>
      </c>
      <c r="S610" s="246">
        <v>0.5</v>
      </c>
      <c r="T610" s="245">
        <f t="shared" ref="T610:T673" si="118">+(R610*C610)*S610</f>
        <v>0</v>
      </c>
      <c r="U610" s="245">
        <f t="shared" ref="U610:U673" si="119">+J610+M610+T610</f>
        <v>0</v>
      </c>
      <c r="V610" s="247"/>
    </row>
    <row r="611" spans="1:22" ht="15.75" x14ac:dyDescent="0.25">
      <c r="A611" s="236"/>
      <c r="B611" s="237"/>
      <c r="C611" s="238"/>
      <c r="D611" s="239"/>
      <c r="E611" s="240"/>
      <c r="F611" s="240"/>
      <c r="G611" s="240"/>
      <c r="H611" s="241">
        <f t="shared" si="114"/>
        <v>0</v>
      </c>
      <c r="I611" s="242"/>
      <c r="J611" s="243"/>
      <c r="K611" s="243"/>
      <c r="L611" s="244">
        <v>0.1</v>
      </c>
      <c r="M611" s="244">
        <f t="shared" si="115"/>
        <v>0</v>
      </c>
      <c r="N611" s="244"/>
      <c r="O611" s="244"/>
      <c r="P611" s="244"/>
      <c r="Q611" s="245">
        <f t="shared" si="116"/>
        <v>0</v>
      </c>
      <c r="R611" s="245">
        <f t="shared" si="117"/>
        <v>0</v>
      </c>
      <c r="S611" s="246">
        <v>0.5</v>
      </c>
      <c r="T611" s="245">
        <f t="shared" si="118"/>
        <v>0</v>
      </c>
      <c r="U611" s="245">
        <f t="shared" si="119"/>
        <v>0</v>
      </c>
      <c r="V611" s="247"/>
    </row>
    <row r="612" spans="1:22" ht="15.75" x14ac:dyDescent="0.25">
      <c r="A612" s="236"/>
      <c r="B612" s="237"/>
      <c r="C612" s="238"/>
      <c r="D612" s="239"/>
      <c r="E612" s="240"/>
      <c r="F612" s="240"/>
      <c r="G612" s="240"/>
      <c r="H612" s="241">
        <f t="shared" si="114"/>
        <v>0</v>
      </c>
      <c r="I612" s="242"/>
      <c r="J612" s="243"/>
      <c r="K612" s="243"/>
      <c r="L612" s="244">
        <v>0.1</v>
      </c>
      <c r="M612" s="244">
        <f t="shared" si="115"/>
        <v>0</v>
      </c>
      <c r="N612" s="244"/>
      <c r="O612" s="244"/>
      <c r="P612" s="244"/>
      <c r="Q612" s="245">
        <f t="shared" si="116"/>
        <v>0</v>
      </c>
      <c r="R612" s="245">
        <f t="shared" si="117"/>
        <v>0</v>
      </c>
      <c r="S612" s="246">
        <v>0.5</v>
      </c>
      <c r="T612" s="245">
        <f t="shared" si="118"/>
        <v>0</v>
      </c>
      <c r="U612" s="245">
        <f t="shared" si="119"/>
        <v>0</v>
      </c>
      <c r="V612" s="247"/>
    </row>
    <row r="613" spans="1:22" ht="15.75" x14ac:dyDescent="0.25">
      <c r="A613" s="236"/>
      <c r="B613" s="237"/>
      <c r="C613" s="238"/>
      <c r="D613" s="239"/>
      <c r="E613" s="240"/>
      <c r="F613" s="240"/>
      <c r="G613" s="240"/>
      <c r="H613" s="241">
        <f t="shared" si="114"/>
        <v>0</v>
      </c>
      <c r="I613" s="242"/>
      <c r="J613" s="243"/>
      <c r="K613" s="243"/>
      <c r="L613" s="244">
        <v>0.1</v>
      </c>
      <c r="M613" s="244">
        <f t="shared" si="115"/>
        <v>0</v>
      </c>
      <c r="N613" s="244"/>
      <c r="O613" s="244"/>
      <c r="P613" s="244"/>
      <c r="Q613" s="245">
        <f t="shared" si="116"/>
        <v>0</v>
      </c>
      <c r="R613" s="245">
        <f t="shared" si="117"/>
        <v>0</v>
      </c>
      <c r="S613" s="246">
        <v>0.5</v>
      </c>
      <c r="T613" s="245">
        <f t="shared" si="118"/>
        <v>0</v>
      </c>
      <c r="U613" s="245">
        <f t="shared" si="119"/>
        <v>0</v>
      </c>
      <c r="V613" s="247"/>
    </row>
    <row r="614" spans="1:22" ht="15.75" x14ac:dyDescent="0.25">
      <c r="A614" s="236"/>
      <c r="B614" s="237"/>
      <c r="C614" s="238"/>
      <c r="D614" s="239"/>
      <c r="E614" s="240"/>
      <c r="F614" s="240"/>
      <c r="G614" s="240"/>
      <c r="H614" s="241">
        <f t="shared" si="114"/>
        <v>0</v>
      </c>
      <c r="I614" s="242"/>
      <c r="J614" s="243"/>
      <c r="K614" s="243"/>
      <c r="L614" s="244">
        <v>0.1</v>
      </c>
      <c r="M614" s="244">
        <f t="shared" si="115"/>
        <v>0</v>
      </c>
      <c r="N614" s="244"/>
      <c r="O614" s="244"/>
      <c r="P614" s="244"/>
      <c r="Q614" s="245">
        <f t="shared" si="116"/>
        <v>0</v>
      </c>
      <c r="R614" s="245">
        <f t="shared" si="117"/>
        <v>0</v>
      </c>
      <c r="S614" s="246">
        <v>0.5</v>
      </c>
      <c r="T614" s="245">
        <f t="shared" si="118"/>
        <v>0</v>
      </c>
      <c r="U614" s="245">
        <f t="shared" si="119"/>
        <v>0</v>
      </c>
      <c r="V614" s="247"/>
    </row>
    <row r="615" spans="1:22" ht="15.75" x14ac:dyDescent="0.25">
      <c r="A615" s="236"/>
      <c r="B615" s="237"/>
      <c r="C615" s="238"/>
      <c r="D615" s="239"/>
      <c r="E615" s="240"/>
      <c r="F615" s="240"/>
      <c r="G615" s="240"/>
      <c r="H615" s="241">
        <f t="shared" si="114"/>
        <v>0</v>
      </c>
      <c r="I615" s="242"/>
      <c r="J615" s="243"/>
      <c r="K615" s="243"/>
      <c r="L615" s="244">
        <v>0.1</v>
      </c>
      <c r="M615" s="244">
        <f t="shared" si="115"/>
        <v>0</v>
      </c>
      <c r="N615" s="244"/>
      <c r="O615" s="244"/>
      <c r="P615" s="244"/>
      <c r="Q615" s="245">
        <f t="shared" si="116"/>
        <v>0</v>
      </c>
      <c r="R615" s="245">
        <f t="shared" si="117"/>
        <v>0</v>
      </c>
      <c r="S615" s="246">
        <v>0.5</v>
      </c>
      <c r="T615" s="245">
        <f t="shared" si="118"/>
        <v>0</v>
      </c>
      <c r="U615" s="245">
        <f t="shared" si="119"/>
        <v>0</v>
      </c>
      <c r="V615" s="247"/>
    </row>
    <row r="616" spans="1:22" ht="15.75" x14ac:dyDescent="0.25">
      <c r="A616" s="236"/>
      <c r="B616" s="237"/>
      <c r="C616" s="238"/>
      <c r="D616" s="239"/>
      <c r="E616" s="240"/>
      <c r="F616" s="240"/>
      <c r="G616" s="240"/>
      <c r="H616" s="241">
        <f t="shared" si="114"/>
        <v>0</v>
      </c>
      <c r="I616" s="242"/>
      <c r="J616" s="243"/>
      <c r="K616" s="243"/>
      <c r="L616" s="244">
        <v>0.1</v>
      </c>
      <c r="M616" s="244">
        <f t="shared" si="115"/>
        <v>0</v>
      </c>
      <c r="N616" s="244"/>
      <c r="O616" s="244"/>
      <c r="P616" s="244"/>
      <c r="Q616" s="245">
        <f t="shared" si="116"/>
        <v>0</v>
      </c>
      <c r="R616" s="245">
        <f t="shared" si="117"/>
        <v>0</v>
      </c>
      <c r="S616" s="246">
        <v>0.5</v>
      </c>
      <c r="T616" s="245">
        <f t="shared" si="118"/>
        <v>0</v>
      </c>
      <c r="U616" s="245">
        <f t="shared" si="119"/>
        <v>0</v>
      </c>
      <c r="V616" s="247"/>
    </row>
    <row r="617" spans="1:22" ht="15.75" x14ac:dyDescent="0.25">
      <c r="A617" s="236"/>
      <c r="B617" s="237"/>
      <c r="C617" s="238"/>
      <c r="D617" s="239"/>
      <c r="E617" s="240"/>
      <c r="F617" s="240"/>
      <c r="G617" s="240"/>
      <c r="H617" s="241">
        <f t="shared" si="114"/>
        <v>0</v>
      </c>
      <c r="I617" s="242"/>
      <c r="J617" s="243"/>
      <c r="K617" s="243"/>
      <c r="L617" s="244">
        <v>0.1</v>
      </c>
      <c r="M617" s="244">
        <f t="shared" si="115"/>
        <v>0</v>
      </c>
      <c r="N617" s="244"/>
      <c r="O617" s="244"/>
      <c r="P617" s="244"/>
      <c r="Q617" s="245">
        <f t="shared" si="116"/>
        <v>0</v>
      </c>
      <c r="R617" s="245">
        <f t="shared" si="117"/>
        <v>0</v>
      </c>
      <c r="S617" s="246">
        <v>0.5</v>
      </c>
      <c r="T617" s="245">
        <f t="shared" si="118"/>
        <v>0</v>
      </c>
      <c r="U617" s="245">
        <f t="shared" si="119"/>
        <v>0</v>
      </c>
      <c r="V617" s="247"/>
    </row>
    <row r="618" spans="1:22" ht="15.75" x14ac:dyDescent="0.25">
      <c r="A618" s="236"/>
      <c r="B618" s="237"/>
      <c r="C618" s="238"/>
      <c r="D618" s="239"/>
      <c r="E618" s="240"/>
      <c r="F618" s="240"/>
      <c r="G618" s="240"/>
      <c r="H618" s="241">
        <f t="shared" si="114"/>
        <v>0</v>
      </c>
      <c r="I618" s="242"/>
      <c r="J618" s="243"/>
      <c r="K618" s="243"/>
      <c r="L618" s="244">
        <v>0.1</v>
      </c>
      <c r="M618" s="244">
        <f t="shared" si="115"/>
        <v>0</v>
      </c>
      <c r="N618" s="244"/>
      <c r="O618" s="244"/>
      <c r="P618" s="244"/>
      <c r="Q618" s="245">
        <f t="shared" si="116"/>
        <v>0</v>
      </c>
      <c r="R618" s="245">
        <f t="shared" si="117"/>
        <v>0</v>
      </c>
      <c r="S618" s="246">
        <v>0.5</v>
      </c>
      <c r="T618" s="245">
        <f t="shared" si="118"/>
        <v>0</v>
      </c>
      <c r="U618" s="245">
        <f t="shared" si="119"/>
        <v>0</v>
      </c>
      <c r="V618" s="247"/>
    </row>
    <row r="619" spans="1:22" ht="15.75" x14ac:dyDescent="0.25">
      <c r="A619" s="236"/>
      <c r="B619" s="237"/>
      <c r="C619" s="238"/>
      <c r="D619" s="239"/>
      <c r="E619" s="240"/>
      <c r="F619" s="240"/>
      <c r="G619" s="240"/>
      <c r="H619" s="241">
        <f t="shared" si="114"/>
        <v>0</v>
      </c>
      <c r="I619" s="242"/>
      <c r="J619" s="243"/>
      <c r="K619" s="243"/>
      <c r="L619" s="244">
        <v>0.1</v>
      </c>
      <c r="M619" s="244">
        <f t="shared" si="115"/>
        <v>0</v>
      </c>
      <c r="N619" s="244"/>
      <c r="O619" s="244"/>
      <c r="P619" s="244"/>
      <c r="Q619" s="245">
        <f t="shared" si="116"/>
        <v>0</v>
      </c>
      <c r="R619" s="245">
        <f t="shared" si="117"/>
        <v>0</v>
      </c>
      <c r="S619" s="246">
        <v>0.5</v>
      </c>
      <c r="T619" s="245">
        <f t="shared" si="118"/>
        <v>0</v>
      </c>
      <c r="U619" s="245">
        <f t="shared" si="119"/>
        <v>0</v>
      </c>
      <c r="V619" s="247"/>
    </row>
    <row r="620" spans="1:22" ht="15.75" x14ac:dyDescent="0.25">
      <c r="A620" s="236"/>
      <c r="B620" s="237"/>
      <c r="C620" s="238"/>
      <c r="D620" s="239"/>
      <c r="E620" s="240"/>
      <c r="F620" s="240"/>
      <c r="G620" s="240"/>
      <c r="H620" s="241">
        <f t="shared" si="114"/>
        <v>0</v>
      </c>
      <c r="I620" s="242"/>
      <c r="J620" s="243"/>
      <c r="K620" s="243"/>
      <c r="L620" s="244">
        <v>0.1</v>
      </c>
      <c r="M620" s="244">
        <f t="shared" si="115"/>
        <v>0</v>
      </c>
      <c r="N620" s="244"/>
      <c r="O620" s="244"/>
      <c r="P620" s="244"/>
      <c r="Q620" s="245">
        <f t="shared" si="116"/>
        <v>0</v>
      </c>
      <c r="R620" s="245">
        <f t="shared" si="117"/>
        <v>0</v>
      </c>
      <c r="S620" s="246">
        <v>0.5</v>
      </c>
      <c r="T620" s="245">
        <f t="shared" si="118"/>
        <v>0</v>
      </c>
      <c r="U620" s="245">
        <f t="shared" si="119"/>
        <v>0</v>
      </c>
      <c r="V620" s="247"/>
    </row>
    <row r="621" spans="1:22" ht="15.75" x14ac:dyDescent="0.25">
      <c r="A621" s="236"/>
      <c r="B621" s="237"/>
      <c r="C621" s="238"/>
      <c r="D621" s="239"/>
      <c r="E621" s="240"/>
      <c r="F621" s="240"/>
      <c r="G621" s="240"/>
      <c r="H621" s="241">
        <f t="shared" si="114"/>
        <v>0</v>
      </c>
      <c r="I621" s="242"/>
      <c r="J621" s="243"/>
      <c r="K621" s="243"/>
      <c r="L621" s="244">
        <v>0.1</v>
      </c>
      <c r="M621" s="244">
        <f t="shared" si="115"/>
        <v>0</v>
      </c>
      <c r="N621" s="244"/>
      <c r="O621" s="244"/>
      <c r="P621" s="244"/>
      <c r="Q621" s="245">
        <f t="shared" si="116"/>
        <v>0</v>
      </c>
      <c r="R621" s="245">
        <f t="shared" si="117"/>
        <v>0</v>
      </c>
      <c r="S621" s="246">
        <v>0.5</v>
      </c>
      <c r="T621" s="245">
        <f t="shared" si="118"/>
        <v>0</v>
      </c>
      <c r="U621" s="245">
        <f t="shared" si="119"/>
        <v>0</v>
      </c>
      <c r="V621" s="247"/>
    </row>
    <row r="622" spans="1:22" ht="15.75" x14ac:dyDescent="0.25">
      <c r="A622" s="236"/>
      <c r="B622" s="237"/>
      <c r="C622" s="238"/>
      <c r="D622" s="239"/>
      <c r="E622" s="240"/>
      <c r="F622" s="240"/>
      <c r="G622" s="240"/>
      <c r="H622" s="241">
        <f t="shared" si="114"/>
        <v>0</v>
      </c>
      <c r="I622" s="242"/>
      <c r="J622" s="243"/>
      <c r="K622" s="243"/>
      <c r="L622" s="244">
        <v>0.1</v>
      </c>
      <c r="M622" s="244">
        <f t="shared" si="115"/>
        <v>0</v>
      </c>
      <c r="N622" s="244"/>
      <c r="O622" s="244"/>
      <c r="P622" s="244"/>
      <c r="Q622" s="245">
        <f t="shared" si="116"/>
        <v>0</v>
      </c>
      <c r="R622" s="245">
        <f t="shared" si="117"/>
        <v>0</v>
      </c>
      <c r="S622" s="246">
        <v>0.5</v>
      </c>
      <c r="T622" s="245">
        <f t="shared" si="118"/>
        <v>0</v>
      </c>
      <c r="U622" s="245">
        <f t="shared" si="119"/>
        <v>0</v>
      </c>
      <c r="V622" s="247"/>
    </row>
    <row r="623" spans="1:22" ht="15.75" x14ac:dyDescent="0.25">
      <c r="A623" s="236"/>
      <c r="B623" s="237"/>
      <c r="C623" s="238"/>
      <c r="D623" s="239"/>
      <c r="E623" s="240"/>
      <c r="F623" s="240"/>
      <c r="G623" s="240"/>
      <c r="H623" s="241">
        <f t="shared" si="114"/>
        <v>0</v>
      </c>
      <c r="I623" s="242"/>
      <c r="J623" s="243"/>
      <c r="K623" s="243"/>
      <c r="L623" s="244">
        <v>0.1</v>
      </c>
      <c r="M623" s="244">
        <f t="shared" si="115"/>
        <v>0</v>
      </c>
      <c r="N623" s="244"/>
      <c r="O623" s="244"/>
      <c r="P623" s="244"/>
      <c r="Q623" s="245">
        <f t="shared" si="116"/>
        <v>0</v>
      </c>
      <c r="R623" s="245">
        <f t="shared" si="117"/>
        <v>0</v>
      </c>
      <c r="S623" s="246">
        <v>0.5</v>
      </c>
      <c r="T623" s="245">
        <f t="shared" si="118"/>
        <v>0</v>
      </c>
      <c r="U623" s="245">
        <f t="shared" si="119"/>
        <v>0</v>
      </c>
      <c r="V623" s="247"/>
    </row>
    <row r="624" spans="1:22" ht="15.75" x14ac:dyDescent="0.25">
      <c r="A624" s="236"/>
      <c r="B624" s="237"/>
      <c r="C624" s="238"/>
      <c r="D624" s="239"/>
      <c r="E624" s="240"/>
      <c r="F624" s="240"/>
      <c r="G624" s="240"/>
      <c r="H624" s="241">
        <f t="shared" si="114"/>
        <v>0</v>
      </c>
      <c r="I624" s="242"/>
      <c r="J624" s="243"/>
      <c r="K624" s="243"/>
      <c r="L624" s="244">
        <v>0.1</v>
      </c>
      <c r="M624" s="244">
        <f t="shared" si="115"/>
        <v>0</v>
      </c>
      <c r="N624" s="244"/>
      <c r="O624" s="244"/>
      <c r="P624" s="244"/>
      <c r="Q624" s="245">
        <f t="shared" si="116"/>
        <v>0</v>
      </c>
      <c r="R624" s="245">
        <f t="shared" si="117"/>
        <v>0</v>
      </c>
      <c r="S624" s="246">
        <v>0.5</v>
      </c>
      <c r="T624" s="245">
        <f t="shared" si="118"/>
        <v>0</v>
      </c>
      <c r="U624" s="245">
        <f t="shared" si="119"/>
        <v>0</v>
      </c>
      <c r="V624" s="247"/>
    </row>
    <row r="625" spans="1:22" ht="15.75" x14ac:dyDescent="0.25">
      <c r="A625" s="236"/>
      <c r="B625" s="237"/>
      <c r="C625" s="238"/>
      <c r="D625" s="239"/>
      <c r="E625" s="240"/>
      <c r="F625" s="240"/>
      <c r="G625" s="240"/>
      <c r="H625" s="241">
        <f t="shared" si="114"/>
        <v>0</v>
      </c>
      <c r="I625" s="242"/>
      <c r="J625" s="243"/>
      <c r="K625" s="243"/>
      <c r="L625" s="244">
        <v>0.1</v>
      </c>
      <c r="M625" s="244">
        <f t="shared" si="115"/>
        <v>0</v>
      </c>
      <c r="N625" s="244"/>
      <c r="O625" s="244"/>
      <c r="P625" s="244"/>
      <c r="Q625" s="245">
        <f t="shared" si="116"/>
        <v>0</v>
      </c>
      <c r="R625" s="245">
        <f t="shared" si="117"/>
        <v>0</v>
      </c>
      <c r="S625" s="246">
        <v>0.5</v>
      </c>
      <c r="T625" s="245">
        <f t="shared" si="118"/>
        <v>0</v>
      </c>
      <c r="U625" s="245">
        <f t="shared" si="119"/>
        <v>0</v>
      </c>
      <c r="V625" s="247"/>
    </row>
    <row r="626" spans="1:22" ht="15.75" x14ac:dyDescent="0.25">
      <c r="A626" s="236"/>
      <c r="B626" s="237"/>
      <c r="C626" s="238"/>
      <c r="D626" s="239"/>
      <c r="E626" s="240"/>
      <c r="F626" s="240"/>
      <c r="G626" s="240"/>
      <c r="H626" s="241">
        <f t="shared" si="114"/>
        <v>0</v>
      </c>
      <c r="I626" s="242"/>
      <c r="J626" s="243"/>
      <c r="K626" s="243"/>
      <c r="L626" s="244">
        <v>0.1</v>
      </c>
      <c r="M626" s="244">
        <f t="shared" si="115"/>
        <v>0</v>
      </c>
      <c r="N626" s="244"/>
      <c r="O626" s="244"/>
      <c r="P626" s="244"/>
      <c r="Q626" s="245">
        <f t="shared" si="116"/>
        <v>0</v>
      </c>
      <c r="R626" s="245">
        <f t="shared" si="117"/>
        <v>0</v>
      </c>
      <c r="S626" s="246">
        <v>0.5</v>
      </c>
      <c r="T626" s="245">
        <f t="shared" si="118"/>
        <v>0</v>
      </c>
      <c r="U626" s="245">
        <f t="shared" si="119"/>
        <v>0</v>
      </c>
      <c r="V626" s="247"/>
    </row>
    <row r="627" spans="1:22" ht="15.75" x14ac:dyDescent="0.25">
      <c r="A627" s="236"/>
      <c r="B627" s="237"/>
      <c r="C627" s="238"/>
      <c r="D627" s="239"/>
      <c r="E627" s="240"/>
      <c r="F627" s="240"/>
      <c r="G627" s="240"/>
      <c r="H627" s="241">
        <f t="shared" si="114"/>
        <v>0</v>
      </c>
      <c r="I627" s="242"/>
      <c r="J627" s="243"/>
      <c r="K627" s="243"/>
      <c r="L627" s="244">
        <v>0.1</v>
      </c>
      <c r="M627" s="244">
        <f t="shared" si="115"/>
        <v>0</v>
      </c>
      <c r="N627" s="244"/>
      <c r="O627" s="244"/>
      <c r="P627" s="244"/>
      <c r="Q627" s="245">
        <f t="shared" si="116"/>
        <v>0</v>
      </c>
      <c r="R627" s="245">
        <f t="shared" si="117"/>
        <v>0</v>
      </c>
      <c r="S627" s="246">
        <v>0.5</v>
      </c>
      <c r="T627" s="245">
        <f t="shared" si="118"/>
        <v>0</v>
      </c>
      <c r="U627" s="245">
        <f t="shared" si="119"/>
        <v>0</v>
      </c>
      <c r="V627" s="247"/>
    </row>
    <row r="628" spans="1:22" ht="15.75" x14ac:dyDescent="0.25">
      <c r="A628" s="236"/>
      <c r="B628" s="237"/>
      <c r="C628" s="238"/>
      <c r="D628" s="239"/>
      <c r="E628" s="240"/>
      <c r="F628" s="240"/>
      <c r="G628" s="240"/>
      <c r="H628" s="241">
        <f t="shared" si="114"/>
        <v>0</v>
      </c>
      <c r="I628" s="242"/>
      <c r="J628" s="243"/>
      <c r="K628" s="243"/>
      <c r="L628" s="244">
        <v>0.1</v>
      </c>
      <c r="M628" s="244">
        <f t="shared" si="115"/>
        <v>0</v>
      </c>
      <c r="N628" s="244"/>
      <c r="O628" s="244"/>
      <c r="P628" s="244"/>
      <c r="Q628" s="245">
        <f t="shared" si="116"/>
        <v>0</v>
      </c>
      <c r="R628" s="245">
        <f t="shared" si="117"/>
        <v>0</v>
      </c>
      <c r="S628" s="246">
        <v>0.5</v>
      </c>
      <c r="T628" s="245">
        <f t="shared" si="118"/>
        <v>0</v>
      </c>
      <c r="U628" s="245">
        <f t="shared" si="119"/>
        <v>0</v>
      </c>
      <c r="V628" s="247"/>
    </row>
    <row r="629" spans="1:22" ht="15.75" x14ac:dyDescent="0.25">
      <c r="A629" s="236"/>
      <c r="B629" s="237"/>
      <c r="C629" s="238"/>
      <c r="D629" s="239"/>
      <c r="E629" s="240"/>
      <c r="F629" s="240"/>
      <c r="G629" s="240"/>
      <c r="H629" s="241">
        <f t="shared" si="114"/>
        <v>0</v>
      </c>
      <c r="I629" s="242"/>
      <c r="J629" s="243"/>
      <c r="K629" s="243"/>
      <c r="L629" s="244">
        <v>0.1</v>
      </c>
      <c r="M629" s="244">
        <f t="shared" si="115"/>
        <v>0</v>
      </c>
      <c r="N629" s="244"/>
      <c r="O629" s="244"/>
      <c r="P629" s="244"/>
      <c r="Q629" s="245">
        <f t="shared" si="116"/>
        <v>0</v>
      </c>
      <c r="R629" s="245">
        <f t="shared" si="117"/>
        <v>0</v>
      </c>
      <c r="S629" s="246">
        <v>0.5</v>
      </c>
      <c r="T629" s="245">
        <f t="shared" si="118"/>
        <v>0</v>
      </c>
      <c r="U629" s="245">
        <f t="shared" si="119"/>
        <v>0</v>
      </c>
      <c r="V629" s="247"/>
    </row>
    <row r="630" spans="1:22" ht="15.75" x14ac:dyDescent="0.25">
      <c r="A630" s="236"/>
      <c r="B630" s="237"/>
      <c r="C630" s="238"/>
      <c r="D630" s="239"/>
      <c r="E630" s="240"/>
      <c r="F630" s="240"/>
      <c r="G630" s="240"/>
      <c r="H630" s="241">
        <f t="shared" si="114"/>
        <v>0</v>
      </c>
      <c r="I630" s="242"/>
      <c r="J630" s="243"/>
      <c r="K630" s="243"/>
      <c r="L630" s="244">
        <v>0.1</v>
      </c>
      <c r="M630" s="244">
        <f t="shared" si="115"/>
        <v>0</v>
      </c>
      <c r="N630" s="244"/>
      <c r="O630" s="244"/>
      <c r="P630" s="244"/>
      <c r="Q630" s="245">
        <f t="shared" si="116"/>
        <v>0</v>
      </c>
      <c r="R630" s="245">
        <f t="shared" si="117"/>
        <v>0</v>
      </c>
      <c r="S630" s="246">
        <v>0.5</v>
      </c>
      <c r="T630" s="245">
        <f t="shared" si="118"/>
        <v>0</v>
      </c>
      <c r="U630" s="245">
        <f t="shared" si="119"/>
        <v>0</v>
      </c>
      <c r="V630" s="247"/>
    </row>
    <row r="631" spans="1:22" ht="15.75" x14ac:dyDescent="0.25">
      <c r="A631" s="236"/>
      <c r="B631" s="237"/>
      <c r="C631" s="238"/>
      <c r="D631" s="239"/>
      <c r="E631" s="240"/>
      <c r="F631" s="240"/>
      <c r="G631" s="240"/>
      <c r="H631" s="241">
        <f t="shared" si="114"/>
        <v>0</v>
      </c>
      <c r="I631" s="242"/>
      <c r="J631" s="243"/>
      <c r="K631" s="243"/>
      <c r="L631" s="244">
        <v>0.1</v>
      </c>
      <c r="M631" s="244">
        <f t="shared" si="115"/>
        <v>0</v>
      </c>
      <c r="N631" s="244"/>
      <c r="O631" s="244"/>
      <c r="P631" s="244"/>
      <c r="Q631" s="245">
        <f t="shared" si="116"/>
        <v>0</v>
      </c>
      <c r="R631" s="245">
        <f t="shared" si="117"/>
        <v>0</v>
      </c>
      <c r="S631" s="246">
        <v>0.5</v>
      </c>
      <c r="T631" s="245">
        <f t="shared" si="118"/>
        <v>0</v>
      </c>
      <c r="U631" s="245">
        <f t="shared" si="119"/>
        <v>0</v>
      </c>
      <c r="V631" s="247"/>
    </row>
    <row r="632" spans="1:22" ht="15.75" x14ac:dyDescent="0.25">
      <c r="A632" s="236"/>
      <c r="B632" s="237"/>
      <c r="C632" s="238"/>
      <c r="D632" s="239"/>
      <c r="E632" s="240"/>
      <c r="F632" s="240"/>
      <c r="G632" s="240"/>
      <c r="H632" s="241">
        <f t="shared" si="114"/>
        <v>0</v>
      </c>
      <c r="I632" s="242"/>
      <c r="J632" s="243"/>
      <c r="K632" s="243"/>
      <c r="L632" s="244">
        <v>0.1</v>
      </c>
      <c r="M632" s="244">
        <f t="shared" si="115"/>
        <v>0</v>
      </c>
      <c r="N632" s="244"/>
      <c r="O632" s="244"/>
      <c r="P632" s="244"/>
      <c r="Q632" s="245">
        <f t="shared" si="116"/>
        <v>0</v>
      </c>
      <c r="R632" s="245">
        <f t="shared" si="117"/>
        <v>0</v>
      </c>
      <c r="S632" s="246">
        <v>0.5</v>
      </c>
      <c r="T632" s="245">
        <f t="shared" si="118"/>
        <v>0</v>
      </c>
      <c r="U632" s="245">
        <f t="shared" si="119"/>
        <v>0</v>
      </c>
      <c r="V632" s="247"/>
    </row>
    <row r="633" spans="1:22" ht="15.75" x14ac:dyDescent="0.25">
      <c r="A633" s="236"/>
      <c r="B633" s="237"/>
      <c r="C633" s="238"/>
      <c r="D633" s="239"/>
      <c r="E633" s="240"/>
      <c r="F633" s="240"/>
      <c r="G633" s="240"/>
      <c r="H633" s="241">
        <f t="shared" si="114"/>
        <v>0</v>
      </c>
      <c r="I633" s="242"/>
      <c r="J633" s="243"/>
      <c r="K633" s="243"/>
      <c r="L633" s="244">
        <v>0.1</v>
      </c>
      <c r="M633" s="244">
        <f t="shared" si="115"/>
        <v>0</v>
      </c>
      <c r="N633" s="244"/>
      <c r="O633" s="244"/>
      <c r="P633" s="244"/>
      <c r="Q633" s="245">
        <f t="shared" si="116"/>
        <v>0</v>
      </c>
      <c r="R633" s="245">
        <f t="shared" si="117"/>
        <v>0</v>
      </c>
      <c r="S633" s="246">
        <v>0.5</v>
      </c>
      <c r="T633" s="245">
        <f t="shared" si="118"/>
        <v>0</v>
      </c>
      <c r="U633" s="245">
        <f t="shared" si="119"/>
        <v>0</v>
      </c>
      <c r="V633" s="247"/>
    </row>
    <row r="634" spans="1:22" ht="15.75" x14ac:dyDescent="0.25">
      <c r="A634" s="236"/>
      <c r="B634" s="237"/>
      <c r="C634" s="238"/>
      <c r="D634" s="239"/>
      <c r="E634" s="240"/>
      <c r="F634" s="240"/>
      <c r="G634" s="240"/>
      <c r="H634" s="241">
        <f t="shared" si="114"/>
        <v>0</v>
      </c>
      <c r="I634" s="242"/>
      <c r="J634" s="243"/>
      <c r="K634" s="243"/>
      <c r="L634" s="244">
        <v>0.1</v>
      </c>
      <c r="M634" s="244">
        <f t="shared" si="115"/>
        <v>0</v>
      </c>
      <c r="N634" s="244"/>
      <c r="O634" s="244"/>
      <c r="P634" s="244"/>
      <c r="Q634" s="245">
        <f t="shared" si="116"/>
        <v>0</v>
      </c>
      <c r="R634" s="245">
        <f t="shared" si="117"/>
        <v>0</v>
      </c>
      <c r="S634" s="246">
        <v>0.5</v>
      </c>
      <c r="T634" s="245">
        <f t="shared" si="118"/>
        <v>0</v>
      </c>
      <c r="U634" s="245">
        <f t="shared" si="119"/>
        <v>0</v>
      </c>
      <c r="V634" s="247"/>
    </row>
    <row r="635" spans="1:22" ht="15.75" x14ac:dyDescent="0.25">
      <c r="A635" s="236"/>
      <c r="B635" s="237"/>
      <c r="C635" s="238"/>
      <c r="D635" s="239"/>
      <c r="E635" s="240"/>
      <c r="F635" s="240"/>
      <c r="G635" s="240"/>
      <c r="H635" s="241">
        <f t="shared" si="114"/>
        <v>0</v>
      </c>
      <c r="I635" s="242"/>
      <c r="J635" s="243"/>
      <c r="K635" s="243"/>
      <c r="L635" s="244">
        <v>0.1</v>
      </c>
      <c r="M635" s="244">
        <f t="shared" si="115"/>
        <v>0</v>
      </c>
      <c r="N635" s="244"/>
      <c r="O635" s="244"/>
      <c r="P635" s="244"/>
      <c r="Q635" s="245">
        <f t="shared" si="116"/>
        <v>0</v>
      </c>
      <c r="R635" s="245">
        <f t="shared" si="117"/>
        <v>0</v>
      </c>
      <c r="S635" s="246">
        <v>0.5</v>
      </c>
      <c r="T635" s="245">
        <f t="shared" si="118"/>
        <v>0</v>
      </c>
      <c r="U635" s="245">
        <f t="shared" si="119"/>
        <v>0</v>
      </c>
      <c r="V635" s="247"/>
    </row>
    <row r="636" spans="1:22" ht="15.75" x14ac:dyDescent="0.25">
      <c r="A636" s="236"/>
      <c r="B636" s="237"/>
      <c r="C636" s="238"/>
      <c r="D636" s="239"/>
      <c r="E636" s="240"/>
      <c r="F636" s="240"/>
      <c r="G636" s="240"/>
      <c r="H636" s="241">
        <f t="shared" si="114"/>
        <v>0</v>
      </c>
      <c r="I636" s="242"/>
      <c r="J636" s="243"/>
      <c r="K636" s="243"/>
      <c r="L636" s="244">
        <v>0.1</v>
      </c>
      <c r="M636" s="244">
        <f t="shared" si="115"/>
        <v>0</v>
      </c>
      <c r="N636" s="244"/>
      <c r="O636" s="244"/>
      <c r="P636" s="244"/>
      <c r="Q636" s="245">
        <f t="shared" si="116"/>
        <v>0</v>
      </c>
      <c r="R636" s="245">
        <f t="shared" si="117"/>
        <v>0</v>
      </c>
      <c r="S636" s="246">
        <v>0.5</v>
      </c>
      <c r="T636" s="245">
        <f t="shared" si="118"/>
        <v>0</v>
      </c>
      <c r="U636" s="245">
        <f t="shared" si="119"/>
        <v>0</v>
      </c>
      <c r="V636" s="247"/>
    </row>
    <row r="637" spans="1:22" ht="15.75" x14ac:dyDescent="0.25">
      <c r="A637" s="236"/>
      <c r="B637" s="237"/>
      <c r="C637" s="238"/>
      <c r="D637" s="239"/>
      <c r="E637" s="240"/>
      <c r="F637" s="240"/>
      <c r="G637" s="240"/>
      <c r="H637" s="241">
        <f t="shared" si="114"/>
        <v>0</v>
      </c>
      <c r="I637" s="242"/>
      <c r="J637" s="243"/>
      <c r="K637" s="243"/>
      <c r="L637" s="244">
        <v>0.1</v>
      </c>
      <c r="M637" s="244">
        <f t="shared" si="115"/>
        <v>0</v>
      </c>
      <c r="N637" s="244"/>
      <c r="O637" s="244"/>
      <c r="P637" s="244"/>
      <c r="Q637" s="245">
        <f t="shared" si="116"/>
        <v>0</v>
      </c>
      <c r="R637" s="245">
        <f t="shared" si="117"/>
        <v>0</v>
      </c>
      <c r="S637" s="246">
        <v>0.5</v>
      </c>
      <c r="T637" s="245">
        <f t="shared" si="118"/>
        <v>0</v>
      </c>
      <c r="U637" s="245">
        <f t="shared" si="119"/>
        <v>0</v>
      </c>
      <c r="V637" s="247"/>
    </row>
    <row r="638" spans="1:22" ht="15.75" x14ac:dyDescent="0.25">
      <c r="A638" s="236"/>
      <c r="B638" s="237"/>
      <c r="C638" s="238"/>
      <c r="D638" s="239"/>
      <c r="E638" s="240"/>
      <c r="F638" s="240"/>
      <c r="G638" s="240"/>
      <c r="H638" s="241">
        <f t="shared" si="114"/>
        <v>0</v>
      </c>
      <c r="I638" s="242"/>
      <c r="J638" s="243"/>
      <c r="K638" s="243"/>
      <c r="L638" s="244">
        <v>0.1</v>
      </c>
      <c r="M638" s="244">
        <f t="shared" si="115"/>
        <v>0</v>
      </c>
      <c r="N638" s="244"/>
      <c r="O638" s="244"/>
      <c r="P638" s="244"/>
      <c r="Q638" s="245">
        <f t="shared" si="116"/>
        <v>0</v>
      </c>
      <c r="R638" s="245">
        <f t="shared" si="117"/>
        <v>0</v>
      </c>
      <c r="S638" s="246">
        <v>0.5</v>
      </c>
      <c r="T638" s="245">
        <f t="shared" si="118"/>
        <v>0</v>
      </c>
      <c r="U638" s="245">
        <f t="shared" si="119"/>
        <v>0</v>
      </c>
      <c r="V638" s="247"/>
    </row>
    <row r="639" spans="1:22" ht="15.75" x14ac:dyDescent="0.25">
      <c r="A639" s="236"/>
      <c r="B639" s="237"/>
      <c r="C639" s="238"/>
      <c r="D639" s="239"/>
      <c r="E639" s="240"/>
      <c r="F639" s="240"/>
      <c r="G639" s="240"/>
      <c r="H639" s="241">
        <f t="shared" si="114"/>
        <v>0</v>
      </c>
      <c r="I639" s="242"/>
      <c r="J639" s="243"/>
      <c r="K639" s="243"/>
      <c r="L639" s="244">
        <v>0.1</v>
      </c>
      <c r="M639" s="244">
        <f t="shared" si="115"/>
        <v>0</v>
      </c>
      <c r="N639" s="244"/>
      <c r="O639" s="244"/>
      <c r="P639" s="244"/>
      <c r="Q639" s="245">
        <f t="shared" si="116"/>
        <v>0</v>
      </c>
      <c r="R639" s="245">
        <f t="shared" si="117"/>
        <v>0</v>
      </c>
      <c r="S639" s="246">
        <v>0.5</v>
      </c>
      <c r="T639" s="245">
        <f t="shared" si="118"/>
        <v>0</v>
      </c>
      <c r="U639" s="245">
        <f t="shared" si="119"/>
        <v>0</v>
      </c>
      <c r="V639" s="247"/>
    </row>
    <row r="640" spans="1:22" ht="15.75" x14ac:dyDescent="0.25">
      <c r="A640" s="236"/>
      <c r="B640" s="237"/>
      <c r="C640" s="238"/>
      <c r="D640" s="239"/>
      <c r="E640" s="240"/>
      <c r="F640" s="240"/>
      <c r="G640" s="240"/>
      <c r="H640" s="241">
        <f t="shared" si="114"/>
        <v>0</v>
      </c>
      <c r="I640" s="242"/>
      <c r="J640" s="243"/>
      <c r="K640" s="243"/>
      <c r="L640" s="244">
        <v>0.1</v>
      </c>
      <c r="M640" s="244">
        <f t="shared" si="115"/>
        <v>0</v>
      </c>
      <c r="N640" s="244"/>
      <c r="O640" s="244"/>
      <c r="P640" s="244"/>
      <c r="Q640" s="245">
        <f t="shared" si="116"/>
        <v>0</v>
      </c>
      <c r="R640" s="245">
        <f t="shared" si="117"/>
        <v>0</v>
      </c>
      <c r="S640" s="246">
        <v>0.5</v>
      </c>
      <c r="T640" s="245">
        <f t="shared" si="118"/>
        <v>0</v>
      </c>
      <c r="U640" s="245">
        <f t="shared" si="119"/>
        <v>0</v>
      </c>
      <c r="V640" s="247"/>
    </row>
    <row r="641" spans="1:22" ht="15.75" x14ac:dyDescent="0.25">
      <c r="A641" s="236"/>
      <c r="B641" s="237"/>
      <c r="C641" s="238"/>
      <c r="D641" s="239"/>
      <c r="E641" s="240"/>
      <c r="F641" s="240"/>
      <c r="G641" s="240"/>
      <c r="H641" s="241">
        <f t="shared" si="114"/>
        <v>0</v>
      </c>
      <c r="I641" s="242"/>
      <c r="J641" s="243"/>
      <c r="K641" s="243"/>
      <c r="L641" s="244">
        <v>0.1</v>
      </c>
      <c r="M641" s="244">
        <f t="shared" si="115"/>
        <v>0</v>
      </c>
      <c r="N641" s="244"/>
      <c r="O641" s="244"/>
      <c r="P641" s="244"/>
      <c r="Q641" s="245">
        <f t="shared" si="116"/>
        <v>0</v>
      </c>
      <c r="R641" s="245">
        <f t="shared" si="117"/>
        <v>0</v>
      </c>
      <c r="S641" s="246">
        <v>0.5</v>
      </c>
      <c r="T641" s="245">
        <f t="shared" si="118"/>
        <v>0</v>
      </c>
      <c r="U641" s="245">
        <f t="shared" si="119"/>
        <v>0</v>
      </c>
      <c r="V641" s="247"/>
    </row>
    <row r="642" spans="1:22" ht="15.75" x14ac:dyDescent="0.25">
      <c r="A642" s="236"/>
      <c r="B642" s="237"/>
      <c r="C642" s="238"/>
      <c r="D642" s="239"/>
      <c r="E642" s="240"/>
      <c r="F642" s="240"/>
      <c r="G642" s="240"/>
      <c r="H642" s="241">
        <f t="shared" si="114"/>
        <v>0</v>
      </c>
      <c r="I642" s="242"/>
      <c r="J642" s="243"/>
      <c r="K642" s="243"/>
      <c r="L642" s="244">
        <v>0.1</v>
      </c>
      <c r="M642" s="244">
        <f t="shared" si="115"/>
        <v>0</v>
      </c>
      <c r="N642" s="244"/>
      <c r="O642" s="244"/>
      <c r="P642" s="244"/>
      <c r="Q642" s="245">
        <f t="shared" si="116"/>
        <v>0</v>
      </c>
      <c r="R642" s="245">
        <f t="shared" si="117"/>
        <v>0</v>
      </c>
      <c r="S642" s="246">
        <v>0.5</v>
      </c>
      <c r="T642" s="245">
        <f t="shared" si="118"/>
        <v>0</v>
      </c>
      <c r="U642" s="245">
        <f t="shared" si="119"/>
        <v>0</v>
      </c>
      <c r="V642" s="247"/>
    </row>
    <row r="643" spans="1:22" ht="15.75" x14ac:dyDescent="0.25">
      <c r="A643" s="236"/>
      <c r="B643" s="237"/>
      <c r="C643" s="238"/>
      <c r="D643" s="239"/>
      <c r="E643" s="240"/>
      <c r="F643" s="240"/>
      <c r="G643" s="240"/>
      <c r="H643" s="241">
        <f t="shared" si="114"/>
        <v>0</v>
      </c>
      <c r="I643" s="242"/>
      <c r="J643" s="243"/>
      <c r="K643" s="243"/>
      <c r="L643" s="244">
        <v>0.1</v>
      </c>
      <c r="M643" s="244">
        <f t="shared" si="115"/>
        <v>0</v>
      </c>
      <c r="N643" s="244"/>
      <c r="O643" s="244"/>
      <c r="P643" s="244"/>
      <c r="Q643" s="245">
        <f t="shared" si="116"/>
        <v>0</v>
      </c>
      <c r="R643" s="245">
        <f t="shared" si="117"/>
        <v>0</v>
      </c>
      <c r="S643" s="246">
        <v>0.5</v>
      </c>
      <c r="T643" s="245">
        <f t="shared" si="118"/>
        <v>0</v>
      </c>
      <c r="U643" s="245">
        <f t="shared" si="119"/>
        <v>0</v>
      </c>
      <c r="V643" s="247"/>
    </row>
    <row r="644" spans="1:22" ht="15.75" x14ac:dyDescent="0.25">
      <c r="A644" s="236"/>
      <c r="B644" s="237"/>
      <c r="C644" s="238"/>
      <c r="D644" s="239"/>
      <c r="E644" s="240"/>
      <c r="F644" s="240"/>
      <c r="G644" s="240"/>
      <c r="H644" s="241">
        <f t="shared" si="114"/>
        <v>0</v>
      </c>
      <c r="I644" s="242"/>
      <c r="J644" s="243"/>
      <c r="K644" s="243"/>
      <c r="L644" s="244">
        <v>0.1</v>
      </c>
      <c r="M644" s="244">
        <f t="shared" si="115"/>
        <v>0</v>
      </c>
      <c r="N644" s="244"/>
      <c r="O644" s="244"/>
      <c r="P644" s="244"/>
      <c r="Q644" s="245">
        <f t="shared" si="116"/>
        <v>0</v>
      </c>
      <c r="R644" s="245">
        <f t="shared" si="117"/>
        <v>0</v>
      </c>
      <c r="S644" s="246">
        <v>0.5</v>
      </c>
      <c r="T644" s="245">
        <f t="shared" si="118"/>
        <v>0</v>
      </c>
      <c r="U644" s="245">
        <f t="shared" si="119"/>
        <v>0</v>
      </c>
      <c r="V644" s="247"/>
    </row>
    <row r="645" spans="1:22" ht="15.75" x14ac:dyDescent="0.25">
      <c r="A645" s="236"/>
      <c r="B645" s="237"/>
      <c r="C645" s="238"/>
      <c r="D645" s="239"/>
      <c r="E645" s="240"/>
      <c r="F645" s="240"/>
      <c r="G645" s="240"/>
      <c r="H645" s="241">
        <f t="shared" si="114"/>
        <v>0</v>
      </c>
      <c r="I645" s="242"/>
      <c r="J645" s="243"/>
      <c r="K645" s="243"/>
      <c r="L645" s="244">
        <v>0.1</v>
      </c>
      <c r="M645" s="244">
        <f t="shared" si="115"/>
        <v>0</v>
      </c>
      <c r="N645" s="244"/>
      <c r="O645" s="244"/>
      <c r="P645" s="244"/>
      <c r="Q645" s="245">
        <f t="shared" si="116"/>
        <v>0</v>
      </c>
      <c r="R645" s="245">
        <f t="shared" si="117"/>
        <v>0</v>
      </c>
      <c r="S645" s="246">
        <v>0.5</v>
      </c>
      <c r="T645" s="245">
        <f t="shared" si="118"/>
        <v>0</v>
      </c>
      <c r="U645" s="245">
        <f t="shared" si="119"/>
        <v>0</v>
      </c>
      <c r="V645" s="247"/>
    </row>
    <row r="646" spans="1:22" ht="15.75" x14ac:dyDescent="0.25">
      <c r="A646" s="236"/>
      <c r="B646" s="237"/>
      <c r="C646" s="238"/>
      <c r="D646" s="239"/>
      <c r="E646" s="240"/>
      <c r="F646" s="240"/>
      <c r="G646" s="240"/>
      <c r="H646" s="241">
        <f t="shared" si="114"/>
        <v>0</v>
      </c>
      <c r="I646" s="242"/>
      <c r="J646" s="243"/>
      <c r="K646" s="243"/>
      <c r="L646" s="244">
        <v>0.1</v>
      </c>
      <c r="M646" s="244">
        <f t="shared" si="115"/>
        <v>0</v>
      </c>
      <c r="N646" s="244"/>
      <c r="O646" s="244"/>
      <c r="P646" s="244"/>
      <c r="Q646" s="245">
        <f t="shared" si="116"/>
        <v>0</v>
      </c>
      <c r="R646" s="245">
        <f t="shared" si="117"/>
        <v>0</v>
      </c>
      <c r="S646" s="246">
        <v>0.5</v>
      </c>
      <c r="T646" s="245">
        <f t="shared" si="118"/>
        <v>0</v>
      </c>
      <c r="U646" s="245">
        <f t="shared" si="119"/>
        <v>0</v>
      </c>
      <c r="V646" s="247"/>
    </row>
    <row r="647" spans="1:22" ht="15.75" x14ac:dyDescent="0.25">
      <c r="A647" s="236"/>
      <c r="B647" s="237"/>
      <c r="C647" s="238"/>
      <c r="D647" s="239"/>
      <c r="E647" s="240"/>
      <c r="F647" s="240"/>
      <c r="G647" s="240"/>
      <c r="H647" s="241">
        <f t="shared" si="114"/>
        <v>0</v>
      </c>
      <c r="I647" s="242"/>
      <c r="J647" s="243"/>
      <c r="K647" s="243"/>
      <c r="L647" s="244">
        <v>0.1</v>
      </c>
      <c r="M647" s="244">
        <f t="shared" si="115"/>
        <v>0</v>
      </c>
      <c r="N647" s="244"/>
      <c r="O647" s="244"/>
      <c r="P647" s="244"/>
      <c r="Q647" s="245">
        <f t="shared" si="116"/>
        <v>0</v>
      </c>
      <c r="R647" s="245">
        <f t="shared" si="117"/>
        <v>0</v>
      </c>
      <c r="S647" s="246">
        <v>0.5</v>
      </c>
      <c r="T647" s="245">
        <f t="shared" si="118"/>
        <v>0</v>
      </c>
      <c r="U647" s="245">
        <f t="shared" si="119"/>
        <v>0</v>
      </c>
      <c r="V647" s="247"/>
    </row>
    <row r="648" spans="1:22" ht="15.75" x14ac:dyDescent="0.25">
      <c r="A648" s="236"/>
      <c r="B648" s="237"/>
      <c r="C648" s="238"/>
      <c r="D648" s="239"/>
      <c r="E648" s="240"/>
      <c r="F648" s="240"/>
      <c r="G648" s="240"/>
      <c r="H648" s="241">
        <f t="shared" si="114"/>
        <v>0</v>
      </c>
      <c r="I648" s="242"/>
      <c r="J648" s="243"/>
      <c r="K648" s="243"/>
      <c r="L648" s="244">
        <v>0.1</v>
      </c>
      <c r="M648" s="244">
        <f t="shared" si="115"/>
        <v>0</v>
      </c>
      <c r="N648" s="244"/>
      <c r="O648" s="244"/>
      <c r="P648" s="244"/>
      <c r="Q648" s="245">
        <f t="shared" si="116"/>
        <v>0</v>
      </c>
      <c r="R648" s="245">
        <f t="shared" si="117"/>
        <v>0</v>
      </c>
      <c r="S648" s="246">
        <v>0.5</v>
      </c>
      <c r="T648" s="245">
        <f t="shared" si="118"/>
        <v>0</v>
      </c>
      <c r="U648" s="245">
        <f t="shared" si="119"/>
        <v>0</v>
      </c>
      <c r="V648" s="247"/>
    </row>
    <row r="649" spans="1:22" ht="15.75" x14ac:dyDescent="0.25">
      <c r="A649" s="236"/>
      <c r="B649" s="237"/>
      <c r="C649" s="238"/>
      <c r="D649" s="239"/>
      <c r="E649" s="240"/>
      <c r="F649" s="240"/>
      <c r="G649" s="240"/>
      <c r="H649" s="241">
        <f t="shared" si="114"/>
        <v>0</v>
      </c>
      <c r="I649" s="242"/>
      <c r="J649" s="243"/>
      <c r="K649" s="243"/>
      <c r="L649" s="244">
        <v>0.1</v>
      </c>
      <c r="M649" s="244">
        <f t="shared" si="115"/>
        <v>0</v>
      </c>
      <c r="N649" s="244"/>
      <c r="O649" s="244"/>
      <c r="P649" s="244"/>
      <c r="Q649" s="245">
        <f t="shared" si="116"/>
        <v>0</v>
      </c>
      <c r="R649" s="245">
        <f t="shared" si="117"/>
        <v>0</v>
      </c>
      <c r="S649" s="246">
        <v>0.5</v>
      </c>
      <c r="T649" s="245">
        <f t="shared" si="118"/>
        <v>0</v>
      </c>
      <c r="U649" s="245">
        <f t="shared" si="119"/>
        <v>0</v>
      </c>
      <c r="V649" s="247"/>
    </row>
    <row r="650" spans="1:22" ht="15.75" x14ac:dyDescent="0.25">
      <c r="A650" s="236"/>
      <c r="B650" s="237"/>
      <c r="C650" s="238"/>
      <c r="D650" s="239"/>
      <c r="E650" s="240"/>
      <c r="F650" s="240"/>
      <c r="G650" s="240"/>
      <c r="H650" s="241">
        <f t="shared" si="114"/>
        <v>0</v>
      </c>
      <c r="I650" s="242"/>
      <c r="J650" s="243"/>
      <c r="K650" s="243"/>
      <c r="L650" s="244">
        <v>0.1</v>
      </c>
      <c r="M650" s="244">
        <f t="shared" si="115"/>
        <v>0</v>
      </c>
      <c r="N650" s="244"/>
      <c r="O650" s="244"/>
      <c r="P650" s="244"/>
      <c r="Q650" s="245">
        <f t="shared" si="116"/>
        <v>0</v>
      </c>
      <c r="R650" s="245">
        <f t="shared" si="117"/>
        <v>0</v>
      </c>
      <c r="S650" s="246">
        <v>0.5</v>
      </c>
      <c r="T650" s="245">
        <f t="shared" si="118"/>
        <v>0</v>
      </c>
      <c r="U650" s="245">
        <f t="shared" si="119"/>
        <v>0</v>
      </c>
      <c r="V650" s="247"/>
    </row>
    <row r="651" spans="1:22" ht="15.75" x14ac:dyDescent="0.25">
      <c r="A651" s="236"/>
      <c r="B651" s="237"/>
      <c r="C651" s="238"/>
      <c r="D651" s="239"/>
      <c r="E651" s="240"/>
      <c r="F651" s="240"/>
      <c r="G651" s="240"/>
      <c r="H651" s="241">
        <f t="shared" si="114"/>
        <v>0</v>
      </c>
      <c r="I651" s="242"/>
      <c r="J651" s="243"/>
      <c r="K651" s="243"/>
      <c r="L651" s="244">
        <v>0.1</v>
      </c>
      <c r="M651" s="244">
        <f t="shared" si="115"/>
        <v>0</v>
      </c>
      <c r="N651" s="244"/>
      <c r="O651" s="244"/>
      <c r="P651" s="244"/>
      <c r="Q651" s="245">
        <f t="shared" si="116"/>
        <v>0</v>
      </c>
      <c r="R651" s="245">
        <f t="shared" si="117"/>
        <v>0</v>
      </c>
      <c r="S651" s="246">
        <v>0.5</v>
      </c>
      <c r="T651" s="245">
        <f t="shared" si="118"/>
        <v>0</v>
      </c>
      <c r="U651" s="245">
        <f t="shared" si="119"/>
        <v>0</v>
      </c>
      <c r="V651" s="247"/>
    </row>
    <row r="652" spans="1:22" ht="15.75" x14ac:dyDescent="0.25">
      <c r="A652" s="236"/>
      <c r="B652" s="237"/>
      <c r="C652" s="238"/>
      <c r="D652" s="239"/>
      <c r="E652" s="240"/>
      <c r="F652" s="240"/>
      <c r="G652" s="240"/>
      <c r="H652" s="241">
        <f t="shared" si="114"/>
        <v>0</v>
      </c>
      <c r="I652" s="242"/>
      <c r="J652" s="243"/>
      <c r="K652" s="243"/>
      <c r="L652" s="244">
        <v>0.1</v>
      </c>
      <c r="M652" s="244">
        <f t="shared" si="115"/>
        <v>0</v>
      </c>
      <c r="N652" s="244"/>
      <c r="O652" s="244"/>
      <c r="P652" s="244"/>
      <c r="Q652" s="245">
        <f t="shared" si="116"/>
        <v>0</v>
      </c>
      <c r="R652" s="245">
        <f t="shared" si="117"/>
        <v>0</v>
      </c>
      <c r="S652" s="246">
        <v>0.5</v>
      </c>
      <c r="T652" s="245">
        <f t="shared" si="118"/>
        <v>0</v>
      </c>
      <c r="U652" s="245">
        <f t="shared" si="119"/>
        <v>0</v>
      </c>
      <c r="V652" s="247"/>
    </row>
    <row r="653" spans="1:22" ht="15.75" x14ac:dyDescent="0.25">
      <c r="A653" s="236"/>
      <c r="B653" s="237"/>
      <c r="C653" s="238"/>
      <c r="D653" s="239"/>
      <c r="E653" s="240"/>
      <c r="F653" s="240"/>
      <c r="G653" s="240"/>
      <c r="H653" s="241">
        <f t="shared" si="114"/>
        <v>0</v>
      </c>
      <c r="I653" s="242"/>
      <c r="J653" s="243"/>
      <c r="K653" s="243"/>
      <c r="L653" s="244">
        <v>0.1</v>
      </c>
      <c r="M653" s="244">
        <f t="shared" si="115"/>
        <v>0</v>
      </c>
      <c r="N653" s="244"/>
      <c r="O653" s="244"/>
      <c r="P653" s="244"/>
      <c r="Q653" s="245">
        <f t="shared" si="116"/>
        <v>0</v>
      </c>
      <c r="R653" s="245">
        <f t="shared" si="117"/>
        <v>0</v>
      </c>
      <c r="S653" s="246">
        <v>0.5</v>
      </c>
      <c r="T653" s="245">
        <f t="shared" si="118"/>
        <v>0</v>
      </c>
      <c r="U653" s="245">
        <f t="shared" si="119"/>
        <v>0</v>
      </c>
      <c r="V653" s="247"/>
    </row>
    <row r="654" spans="1:22" ht="15.75" x14ac:dyDescent="0.25">
      <c r="A654" s="236"/>
      <c r="B654" s="237"/>
      <c r="C654" s="238"/>
      <c r="D654" s="239"/>
      <c r="E654" s="240"/>
      <c r="F654" s="240"/>
      <c r="G654" s="240"/>
      <c r="H654" s="241">
        <f t="shared" si="114"/>
        <v>0</v>
      </c>
      <c r="I654" s="242"/>
      <c r="J654" s="243"/>
      <c r="K654" s="243"/>
      <c r="L654" s="244">
        <v>0.1</v>
      </c>
      <c r="M654" s="244">
        <f t="shared" si="115"/>
        <v>0</v>
      </c>
      <c r="N654" s="244"/>
      <c r="O654" s="244"/>
      <c r="P654" s="244"/>
      <c r="Q654" s="245">
        <f t="shared" si="116"/>
        <v>0</v>
      </c>
      <c r="R654" s="245">
        <f t="shared" si="117"/>
        <v>0</v>
      </c>
      <c r="S654" s="246">
        <v>0.5</v>
      </c>
      <c r="T654" s="245">
        <f t="shared" si="118"/>
        <v>0</v>
      </c>
      <c r="U654" s="245">
        <f t="shared" si="119"/>
        <v>0</v>
      </c>
      <c r="V654" s="247"/>
    </row>
    <row r="655" spans="1:22" ht="15.75" x14ac:dyDescent="0.25">
      <c r="A655" s="236"/>
      <c r="B655" s="237"/>
      <c r="C655" s="238"/>
      <c r="D655" s="239"/>
      <c r="E655" s="240"/>
      <c r="F655" s="240"/>
      <c r="G655" s="240"/>
      <c r="H655" s="241">
        <f t="shared" si="114"/>
        <v>0</v>
      </c>
      <c r="I655" s="242"/>
      <c r="J655" s="243"/>
      <c r="K655" s="243"/>
      <c r="L655" s="244">
        <v>0.1</v>
      </c>
      <c r="M655" s="244">
        <f t="shared" si="115"/>
        <v>0</v>
      </c>
      <c r="N655" s="244"/>
      <c r="O655" s="244"/>
      <c r="P655" s="244"/>
      <c r="Q655" s="245">
        <f t="shared" si="116"/>
        <v>0</v>
      </c>
      <c r="R655" s="245">
        <f t="shared" si="117"/>
        <v>0</v>
      </c>
      <c r="S655" s="246">
        <v>0.5</v>
      </c>
      <c r="T655" s="245">
        <f t="shared" si="118"/>
        <v>0</v>
      </c>
      <c r="U655" s="245">
        <f t="shared" si="119"/>
        <v>0</v>
      </c>
      <c r="V655" s="247"/>
    </row>
    <row r="656" spans="1:22" ht="15.75" x14ac:dyDescent="0.25">
      <c r="A656" s="236"/>
      <c r="B656" s="237"/>
      <c r="C656" s="238"/>
      <c r="D656" s="239"/>
      <c r="E656" s="240"/>
      <c r="F656" s="240"/>
      <c r="G656" s="240"/>
      <c r="H656" s="241">
        <f t="shared" si="114"/>
        <v>0</v>
      </c>
      <c r="I656" s="242"/>
      <c r="J656" s="243"/>
      <c r="K656" s="243"/>
      <c r="L656" s="244">
        <v>0.1</v>
      </c>
      <c r="M656" s="244">
        <f t="shared" si="115"/>
        <v>0</v>
      </c>
      <c r="N656" s="244"/>
      <c r="O656" s="244"/>
      <c r="P656" s="244"/>
      <c r="Q656" s="245">
        <f t="shared" si="116"/>
        <v>0</v>
      </c>
      <c r="R656" s="245">
        <f t="shared" si="117"/>
        <v>0</v>
      </c>
      <c r="S656" s="246">
        <v>0.5</v>
      </c>
      <c r="T656" s="245">
        <f t="shared" si="118"/>
        <v>0</v>
      </c>
      <c r="U656" s="245">
        <f t="shared" si="119"/>
        <v>0</v>
      </c>
      <c r="V656" s="247"/>
    </row>
    <row r="657" spans="1:22" ht="15.75" x14ac:dyDescent="0.25">
      <c r="A657" s="236"/>
      <c r="B657" s="237"/>
      <c r="C657" s="238"/>
      <c r="D657" s="239"/>
      <c r="E657" s="240"/>
      <c r="F657" s="240"/>
      <c r="G657" s="240"/>
      <c r="H657" s="241">
        <f t="shared" si="114"/>
        <v>0</v>
      </c>
      <c r="I657" s="242"/>
      <c r="J657" s="243"/>
      <c r="K657" s="243"/>
      <c r="L657" s="244">
        <v>0.1</v>
      </c>
      <c r="M657" s="244">
        <f t="shared" si="115"/>
        <v>0</v>
      </c>
      <c r="N657" s="244"/>
      <c r="O657" s="244"/>
      <c r="P657" s="244"/>
      <c r="Q657" s="245">
        <f t="shared" si="116"/>
        <v>0</v>
      </c>
      <c r="R657" s="245">
        <f t="shared" si="117"/>
        <v>0</v>
      </c>
      <c r="S657" s="246">
        <v>0.5</v>
      </c>
      <c r="T657" s="245">
        <f t="shared" si="118"/>
        <v>0</v>
      </c>
      <c r="U657" s="245">
        <f t="shared" si="119"/>
        <v>0</v>
      </c>
      <c r="V657" s="247"/>
    </row>
    <row r="658" spans="1:22" ht="15.75" x14ac:dyDescent="0.25">
      <c r="A658" s="236"/>
      <c r="B658" s="237"/>
      <c r="C658" s="238"/>
      <c r="D658" s="239"/>
      <c r="E658" s="240"/>
      <c r="F658" s="240"/>
      <c r="G658" s="240"/>
      <c r="H658" s="241">
        <f t="shared" si="114"/>
        <v>0</v>
      </c>
      <c r="I658" s="242"/>
      <c r="J658" s="243"/>
      <c r="K658" s="243"/>
      <c r="L658" s="244">
        <v>0.1</v>
      </c>
      <c r="M658" s="244">
        <f t="shared" si="115"/>
        <v>0</v>
      </c>
      <c r="N658" s="244"/>
      <c r="O658" s="244"/>
      <c r="P658" s="244"/>
      <c r="Q658" s="245">
        <f t="shared" si="116"/>
        <v>0</v>
      </c>
      <c r="R658" s="245">
        <f t="shared" si="117"/>
        <v>0</v>
      </c>
      <c r="S658" s="246">
        <v>0.5</v>
      </c>
      <c r="T658" s="245">
        <f t="shared" si="118"/>
        <v>0</v>
      </c>
      <c r="U658" s="245">
        <f t="shared" si="119"/>
        <v>0</v>
      </c>
      <c r="V658" s="247"/>
    </row>
    <row r="659" spans="1:22" ht="15.75" x14ac:dyDescent="0.25">
      <c r="A659" s="236"/>
      <c r="B659" s="237"/>
      <c r="C659" s="238"/>
      <c r="D659" s="239"/>
      <c r="E659" s="240"/>
      <c r="F659" s="240"/>
      <c r="G659" s="240"/>
      <c r="H659" s="241">
        <f t="shared" si="114"/>
        <v>0</v>
      </c>
      <c r="I659" s="242"/>
      <c r="J659" s="243"/>
      <c r="K659" s="243"/>
      <c r="L659" s="244">
        <v>0.1</v>
      </c>
      <c r="M659" s="244">
        <f t="shared" si="115"/>
        <v>0</v>
      </c>
      <c r="N659" s="244"/>
      <c r="O659" s="244"/>
      <c r="P659" s="244"/>
      <c r="Q659" s="245">
        <f t="shared" si="116"/>
        <v>0</v>
      </c>
      <c r="R659" s="245">
        <f t="shared" si="117"/>
        <v>0</v>
      </c>
      <c r="S659" s="246">
        <v>0.5</v>
      </c>
      <c r="T659" s="245">
        <f t="shared" si="118"/>
        <v>0</v>
      </c>
      <c r="U659" s="245">
        <f t="shared" si="119"/>
        <v>0</v>
      </c>
      <c r="V659" s="247"/>
    </row>
    <row r="660" spans="1:22" ht="15.75" x14ac:dyDescent="0.25">
      <c r="A660" s="236"/>
      <c r="B660" s="237"/>
      <c r="C660" s="238"/>
      <c r="D660" s="239"/>
      <c r="E660" s="240"/>
      <c r="F660" s="240"/>
      <c r="G660" s="240"/>
      <c r="H660" s="241">
        <f t="shared" si="114"/>
        <v>0</v>
      </c>
      <c r="I660" s="242"/>
      <c r="J660" s="243"/>
      <c r="K660" s="243"/>
      <c r="L660" s="244">
        <v>0.1</v>
      </c>
      <c r="M660" s="244">
        <f t="shared" si="115"/>
        <v>0</v>
      </c>
      <c r="N660" s="244"/>
      <c r="O660" s="244"/>
      <c r="P660" s="244"/>
      <c r="Q660" s="245">
        <f t="shared" si="116"/>
        <v>0</v>
      </c>
      <c r="R660" s="245">
        <f t="shared" si="117"/>
        <v>0</v>
      </c>
      <c r="S660" s="246">
        <v>0.5</v>
      </c>
      <c r="T660" s="245">
        <f t="shared" si="118"/>
        <v>0</v>
      </c>
      <c r="U660" s="245">
        <f t="shared" si="119"/>
        <v>0</v>
      </c>
      <c r="V660" s="247"/>
    </row>
    <row r="661" spans="1:22" ht="15.75" x14ac:dyDescent="0.25">
      <c r="A661" s="236"/>
      <c r="B661" s="237"/>
      <c r="C661" s="238"/>
      <c r="D661" s="239"/>
      <c r="E661" s="240"/>
      <c r="F661" s="240"/>
      <c r="G661" s="240"/>
      <c r="H661" s="241">
        <f t="shared" si="114"/>
        <v>0</v>
      </c>
      <c r="I661" s="242"/>
      <c r="J661" s="243"/>
      <c r="K661" s="243"/>
      <c r="L661" s="244">
        <v>0.1</v>
      </c>
      <c r="M661" s="244">
        <f t="shared" si="115"/>
        <v>0</v>
      </c>
      <c r="N661" s="244"/>
      <c r="O661" s="244"/>
      <c r="P661" s="244"/>
      <c r="Q661" s="245">
        <f t="shared" si="116"/>
        <v>0</v>
      </c>
      <c r="R661" s="245">
        <f t="shared" si="117"/>
        <v>0</v>
      </c>
      <c r="S661" s="246">
        <v>0.5</v>
      </c>
      <c r="T661" s="245">
        <f t="shared" si="118"/>
        <v>0</v>
      </c>
      <c r="U661" s="245">
        <f t="shared" si="119"/>
        <v>0</v>
      </c>
      <c r="V661" s="247"/>
    </row>
    <row r="662" spans="1:22" ht="15.75" x14ac:dyDescent="0.25">
      <c r="A662" s="236"/>
      <c r="B662" s="237"/>
      <c r="C662" s="238"/>
      <c r="D662" s="239"/>
      <c r="E662" s="240"/>
      <c r="F662" s="240"/>
      <c r="G662" s="240"/>
      <c r="H662" s="241">
        <f t="shared" si="114"/>
        <v>0</v>
      </c>
      <c r="I662" s="242"/>
      <c r="J662" s="243"/>
      <c r="K662" s="243"/>
      <c r="L662" s="244">
        <v>0.1</v>
      </c>
      <c r="M662" s="244">
        <f t="shared" si="115"/>
        <v>0</v>
      </c>
      <c r="N662" s="244"/>
      <c r="O662" s="244"/>
      <c r="P662" s="244"/>
      <c r="Q662" s="245">
        <f t="shared" si="116"/>
        <v>0</v>
      </c>
      <c r="R662" s="245">
        <f t="shared" si="117"/>
        <v>0</v>
      </c>
      <c r="S662" s="246">
        <v>0.5</v>
      </c>
      <c r="T662" s="245">
        <f t="shared" si="118"/>
        <v>0</v>
      </c>
      <c r="U662" s="245">
        <f t="shared" si="119"/>
        <v>0</v>
      </c>
      <c r="V662" s="247"/>
    </row>
    <row r="663" spans="1:22" ht="15.75" x14ac:dyDescent="0.25">
      <c r="A663" s="236"/>
      <c r="B663" s="237"/>
      <c r="C663" s="238"/>
      <c r="D663" s="239"/>
      <c r="E663" s="240"/>
      <c r="F663" s="240"/>
      <c r="G663" s="240"/>
      <c r="H663" s="241">
        <f t="shared" si="114"/>
        <v>0</v>
      </c>
      <c r="I663" s="242"/>
      <c r="J663" s="243"/>
      <c r="K663" s="243"/>
      <c r="L663" s="244">
        <v>0.1</v>
      </c>
      <c r="M663" s="244">
        <f t="shared" si="115"/>
        <v>0</v>
      </c>
      <c r="N663" s="244"/>
      <c r="O663" s="244"/>
      <c r="P663" s="244"/>
      <c r="Q663" s="245">
        <f t="shared" si="116"/>
        <v>0</v>
      </c>
      <c r="R663" s="245">
        <f t="shared" si="117"/>
        <v>0</v>
      </c>
      <c r="S663" s="246">
        <v>0.5</v>
      </c>
      <c r="T663" s="245">
        <f t="shared" si="118"/>
        <v>0</v>
      </c>
      <c r="U663" s="245">
        <f t="shared" si="119"/>
        <v>0</v>
      </c>
      <c r="V663" s="247"/>
    </row>
    <row r="664" spans="1:22" ht="15.75" x14ac:dyDescent="0.25">
      <c r="A664" s="236"/>
      <c r="B664" s="237"/>
      <c r="C664" s="238"/>
      <c r="D664" s="239"/>
      <c r="E664" s="240"/>
      <c r="F664" s="240"/>
      <c r="G664" s="240"/>
      <c r="H664" s="241">
        <f t="shared" si="114"/>
        <v>0</v>
      </c>
      <c r="I664" s="242"/>
      <c r="J664" s="243"/>
      <c r="K664" s="243"/>
      <c r="L664" s="244">
        <v>0.1</v>
      </c>
      <c r="M664" s="244">
        <f t="shared" si="115"/>
        <v>0</v>
      </c>
      <c r="N664" s="244"/>
      <c r="O664" s="244"/>
      <c r="P664" s="244"/>
      <c r="Q664" s="245">
        <f t="shared" si="116"/>
        <v>0</v>
      </c>
      <c r="R664" s="245">
        <f t="shared" si="117"/>
        <v>0</v>
      </c>
      <c r="S664" s="246">
        <v>0.5</v>
      </c>
      <c r="T664" s="245">
        <f t="shared" si="118"/>
        <v>0</v>
      </c>
      <c r="U664" s="245">
        <f t="shared" si="119"/>
        <v>0</v>
      </c>
      <c r="V664" s="247"/>
    </row>
    <row r="665" spans="1:22" ht="15.75" x14ac:dyDescent="0.25">
      <c r="A665" s="236"/>
      <c r="B665" s="237"/>
      <c r="C665" s="238"/>
      <c r="D665" s="239"/>
      <c r="E665" s="240"/>
      <c r="F665" s="240"/>
      <c r="G665" s="240"/>
      <c r="H665" s="241">
        <f t="shared" si="114"/>
        <v>0</v>
      </c>
      <c r="I665" s="242"/>
      <c r="J665" s="243"/>
      <c r="K665" s="243"/>
      <c r="L665" s="244">
        <v>0.1</v>
      </c>
      <c r="M665" s="244">
        <f t="shared" si="115"/>
        <v>0</v>
      </c>
      <c r="N665" s="244"/>
      <c r="O665" s="244"/>
      <c r="P665" s="244"/>
      <c r="Q665" s="245">
        <f t="shared" si="116"/>
        <v>0</v>
      </c>
      <c r="R665" s="245">
        <f t="shared" si="117"/>
        <v>0</v>
      </c>
      <c r="S665" s="246">
        <v>0.5</v>
      </c>
      <c r="T665" s="245">
        <f t="shared" si="118"/>
        <v>0</v>
      </c>
      <c r="U665" s="245">
        <f t="shared" si="119"/>
        <v>0</v>
      </c>
      <c r="V665" s="247"/>
    </row>
    <row r="666" spans="1:22" ht="15.75" x14ac:dyDescent="0.25">
      <c r="A666" s="236"/>
      <c r="B666" s="237"/>
      <c r="C666" s="238"/>
      <c r="D666" s="239"/>
      <c r="E666" s="240"/>
      <c r="F666" s="240"/>
      <c r="G666" s="240"/>
      <c r="H666" s="241">
        <f t="shared" si="114"/>
        <v>0</v>
      </c>
      <c r="I666" s="242"/>
      <c r="J666" s="243"/>
      <c r="K666" s="243"/>
      <c r="L666" s="244">
        <v>0.1</v>
      </c>
      <c r="M666" s="244">
        <f t="shared" si="115"/>
        <v>0</v>
      </c>
      <c r="N666" s="244"/>
      <c r="O666" s="244"/>
      <c r="P666" s="244"/>
      <c r="Q666" s="245">
        <f t="shared" si="116"/>
        <v>0</v>
      </c>
      <c r="R666" s="245">
        <f t="shared" si="117"/>
        <v>0</v>
      </c>
      <c r="S666" s="246">
        <v>0.5</v>
      </c>
      <c r="T666" s="245">
        <f t="shared" si="118"/>
        <v>0</v>
      </c>
      <c r="U666" s="245">
        <f t="shared" si="119"/>
        <v>0</v>
      </c>
      <c r="V666" s="247"/>
    </row>
    <row r="667" spans="1:22" ht="15.75" x14ac:dyDescent="0.25">
      <c r="A667" s="236"/>
      <c r="B667" s="237"/>
      <c r="C667" s="238"/>
      <c r="D667" s="239"/>
      <c r="E667" s="240"/>
      <c r="F667" s="240"/>
      <c r="G667" s="240"/>
      <c r="H667" s="241">
        <f t="shared" si="114"/>
        <v>0</v>
      </c>
      <c r="I667" s="242"/>
      <c r="J667" s="243"/>
      <c r="K667" s="243"/>
      <c r="L667" s="244">
        <v>0.1</v>
      </c>
      <c r="M667" s="244">
        <f t="shared" si="115"/>
        <v>0</v>
      </c>
      <c r="N667" s="244"/>
      <c r="O667" s="244"/>
      <c r="P667" s="244"/>
      <c r="Q667" s="245">
        <f t="shared" si="116"/>
        <v>0</v>
      </c>
      <c r="R667" s="245">
        <f t="shared" si="117"/>
        <v>0</v>
      </c>
      <c r="S667" s="246">
        <v>0.5</v>
      </c>
      <c r="T667" s="245">
        <f t="shared" si="118"/>
        <v>0</v>
      </c>
      <c r="U667" s="245">
        <f t="shared" si="119"/>
        <v>0</v>
      </c>
      <c r="V667" s="247"/>
    </row>
    <row r="668" spans="1:22" ht="15.75" x14ac:dyDescent="0.25">
      <c r="A668" s="236"/>
      <c r="B668" s="237"/>
      <c r="C668" s="238"/>
      <c r="D668" s="239"/>
      <c r="E668" s="240"/>
      <c r="F668" s="240"/>
      <c r="G668" s="240"/>
      <c r="H668" s="241">
        <f t="shared" si="114"/>
        <v>0</v>
      </c>
      <c r="I668" s="242"/>
      <c r="J668" s="243"/>
      <c r="K668" s="243"/>
      <c r="L668" s="244">
        <v>0.1</v>
      </c>
      <c r="M668" s="244">
        <f t="shared" si="115"/>
        <v>0</v>
      </c>
      <c r="N668" s="244"/>
      <c r="O668" s="244"/>
      <c r="P668" s="244"/>
      <c r="Q668" s="245">
        <f t="shared" si="116"/>
        <v>0</v>
      </c>
      <c r="R668" s="245">
        <f t="shared" si="117"/>
        <v>0</v>
      </c>
      <c r="S668" s="246">
        <v>0.5</v>
      </c>
      <c r="T668" s="245">
        <f t="shared" si="118"/>
        <v>0</v>
      </c>
      <c r="U668" s="245">
        <f t="shared" si="119"/>
        <v>0</v>
      </c>
      <c r="V668" s="247"/>
    </row>
    <row r="669" spans="1:22" ht="15.75" x14ac:dyDescent="0.25">
      <c r="A669" s="236"/>
      <c r="B669" s="237"/>
      <c r="C669" s="238"/>
      <c r="D669" s="239"/>
      <c r="E669" s="240"/>
      <c r="F669" s="240"/>
      <c r="G669" s="240"/>
      <c r="H669" s="241">
        <f t="shared" si="114"/>
        <v>0</v>
      </c>
      <c r="I669" s="242"/>
      <c r="J669" s="243"/>
      <c r="K669" s="243"/>
      <c r="L669" s="244">
        <v>0.1</v>
      </c>
      <c r="M669" s="244">
        <f t="shared" si="115"/>
        <v>0</v>
      </c>
      <c r="N669" s="244"/>
      <c r="O669" s="244"/>
      <c r="P669" s="244"/>
      <c r="Q669" s="245">
        <f t="shared" si="116"/>
        <v>0</v>
      </c>
      <c r="R669" s="245">
        <f t="shared" si="117"/>
        <v>0</v>
      </c>
      <c r="S669" s="246">
        <v>0.5</v>
      </c>
      <c r="T669" s="245">
        <f t="shared" si="118"/>
        <v>0</v>
      </c>
      <c r="U669" s="245">
        <f t="shared" si="119"/>
        <v>0</v>
      </c>
      <c r="V669" s="247"/>
    </row>
    <row r="670" spans="1:22" ht="15.75" x14ac:dyDescent="0.25">
      <c r="A670" s="236"/>
      <c r="B670" s="237"/>
      <c r="C670" s="238"/>
      <c r="D670" s="239"/>
      <c r="E670" s="240"/>
      <c r="F670" s="240"/>
      <c r="G670" s="240"/>
      <c r="H670" s="241">
        <f t="shared" si="114"/>
        <v>0</v>
      </c>
      <c r="I670" s="242"/>
      <c r="J670" s="243"/>
      <c r="K670" s="243"/>
      <c r="L670" s="244">
        <v>0.1</v>
      </c>
      <c r="M670" s="244">
        <f t="shared" si="115"/>
        <v>0</v>
      </c>
      <c r="N670" s="244"/>
      <c r="O670" s="244"/>
      <c r="P670" s="244"/>
      <c r="Q670" s="245">
        <f t="shared" si="116"/>
        <v>0</v>
      </c>
      <c r="R670" s="245">
        <f t="shared" si="117"/>
        <v>0</v>
      </c>
      <c r="S670" s="246">
        <v>0.5</v>
      </c>
      <c r="T670" s="245">
        <f t="shared" si="118"/>
        <v>0</v>
      </c>
      <c r="U670" s="245">
        <f t="shared" si="119"/>
        <v>0</v>
      </c>
      <c r="V670" s="247"/>
    </row>
    <row r="671" spans="1:22" ht="15.75" x14ac:dyDescent="0.25">
      <c r="A671" s="236"/>
      <c r="B671" s="237"/>
      <c r="C671" s="238"/>
      <c r="D671" s="239"/>
      <c r="E671" s="240"/>
      <c r="F671" s="240"/>
      <c r="G671" s="240"/>
      <c r="H671" s="241">
        <f t="shared" si="114"/>
        <v>0</v>
      </c>
      <c r="I671" s="242"/>
      <c r="J671" s="243"/>
      <c r="K671" s="243"/>
      <c r="L671" s="244">
        <v>0.1</v>
      </c>
      <c r="M671" s="244">
        <f t="shared" si="115"/>
        <v>0</v>
      </c>
      <c r="N671" s="244"/>
      <c r="O671" s="244"/>
      <c r="P671" s="244"/>
      <c r="Q671" s="245">
        <f t="shared" si="116"/>
        <v>0</v>
      </c>
      <c r="R671" s="245">
        <f t="shared" si="117"/>
        <v>0</v>
      </c>
      <c r="S671" s="246">
        <v>0.5</v>
      </c>
      <c r="T671" s="245">
        <f t="shared" si="118"/>
        <v>0</v>
      </c>
      <c r="U671" s="245">
        <f t="shared" si="119"/>
        <v>0</v>
      </c>
      <c r="V671" s="247"/>
    </row>
    <row r="672" spans="1:22" ht="15.75" x14ac:dyDescent="0.25">
      <c r="A672" s="236"/>
      <c r="B672" s="237"/>
      <c r="C672" s="238"/>
      <c r="D672" s="239"/>
      <c r="E672" s="240"/>
      <c r="F672" s="240"/>
      <c r="G672" s="240"/>
      <c r="H672" s="241">
        <f t="shared" si="114"/>
        <v>0</v>
      </c>
      <c r="I672" s="242"/>
      <c r="J672" s="243"/>
      <c r="K672" s="243"/>
      <c r="L672" s="244">
        <v>0.1</v>
      </c>
      <c r="M672" s="244">
        <f t="shared" si="115"/>
        <v>0</v>
      </c>
      <c r="N672" s="244"/>
      <c r="O672" s="244"/>
      <c r="P672" s="244"/>
      <c r="Q672" s="245">
        <f t="shared" si="116"/>
        <v>0</v>
      </c>
      <c r="R672" s="245">
        <f t="shared" si="117"/>
        <v>0</v>
      </c>
      <c r="S672" s="246">
        <v>0.5</v>
      </c>
      <c r="T672" s="245">
        <f t="shared" si="118"/>
        <v>0</v>
      </c>
      <c r="U672" s="245">
        <f t="shared" si="119"/>
        <v>0</v>
      </c>
      <c r="V672" s="247"/>
    </row>
    <row r="673" spans="1:22" ht="15.75" x14ac:dyDescent="0.25">
      <c r="A673" s="236"/>
      <c r="B673" s="237"/>
      <c r="C673" s="238"/>
      <c r="D673" s="239"/>
      <c r="E673" s="240"/>
      <c r="F673" s="240"/>
      <c r="G673" s="240"/>
      <c r="H673" s="241">
        <f t="shared" si="114"/>
        <v>0</v>
      </c>
      <c r="I673" s="242"/>
      <c r="J673" s="243"/>
      <c r="K673" s="243"/>
      <c r="L673" s="244">
        <v>0.1</v>
      </c>
      <c r="M673" s="244">
        <f t="shared" si="115"/>
        <v>0</v>
      </c>
      <c r="N673" s="244"/>
      <c r="O673" s="244"/>
      <c r="P673" s="244"/>
      <c r="Q673" s="245">
        <f t="shared" si="116"/>
        <v>0</v>
      </c>
      <c r="R673" s="245">
        <f t="shared" si="117"/>
        <v>0</v>
      </c>
      <c r="S673" s="246">
        <v>0.5</v>
      </c>
      <c r="T673" s="245">
        <f t="shared" si="118"/>
        <v>0</v>
      </c>
      <c r="U673" s="245">
        <f t="shared" si="119"/>
        <v>0</v>
      </c>
      <c r="V673" s="247"/>
    </row>
    <row r="674" spans="1:22" ht="15.75" x14ac:dyDescent="0.25">
      <c r="A674" s="236"/>
      <c r="B674" s="237"/>
      <c r="C674" s="238"/>
      <c r="D674" s="239"/>
      <c r="E674" s="240"/>
      <c r="F674" s="240"/>
      <c r="G674" s="240"/>
      <c r="H674" s="241">
        <f t="shared" ref="H674:H737" si="120">+E674+F674+G674</f>
        <v>0</v>
      </c>
      <c r="I674" s="242"/>
      <c r="J674" s="243"/>
      <c r="K674" s="243"/>
      <c r="L674" s="244">
        <v>0.1</v>
      </c>
      <c r="M674" s="244">
        <f t="shared" ref="M674:M737" si="121">+L674*C674</f>
        <v>0</v>
      </c>
      <c r="N674" s="244"/>
      <c r="O674" s="244"/>
      <c r="P674" s="244"/>
      <c r="Q674" s="245">
        <f t="shared" ref="Q674:Q737" si="122">+N674+O674+P674</f>
        <v>0</v>
      </c>
      <c r="R674" s="245">
        <f t="shared" ref="R674:R737" si="123">IF(+Q674-H674&lt;=0,0,Q674-H674)</f>
        <v>0</v>
      </c>
      <c r="S674" s="246">
        <v>0.5</v>
      </c>
      <c r="T674" s="245">
        <f t="shared" ref="T674:T737" si="124">+(R674*C674)*S674</f>
        <v>0</v>
      </c>
      <c r="U674" s="245">
        <f t="shared" ref="U674:U737" si="125">+J674+M674+T674</f>
        <v>0</v>
      </c>
      <c r="V674" s="247"/>
    </row>
    <row r="675" spans="1:22" ht="15.75" x14ac:dyDescent="0.25">
      <c r="A675" s="236"/>
      <c r="B675" s="237"/>
      <c r="C675" s="238"/>
      <c r="D675" s="239"/>
      <c r="E675" s="240"/>
      <c r="F675" s="240"/>
      <c r="G675" s="240"/>
      <c r="H675" s="241">
        <f t="shared" si="120"/>
        <v>0</v>
      </c>
      <c r="I675" s="242"/>
      <c r="J675" s="243"/>
      <c r="K675" s="243"/>
      <c r="L675" s="244">
        <v>0.1</v>
      </c>
      <c r="M675" s="244">
        <f t="shared" si="121"/>
        <v>0</v>
      </c>
      <c r="N675" s="244"/>
      <c r="O675" s="244"/>
      <c r="P675" s="244"/>
      <c r="Q675" s="245">
        <f t="shared" si="122"/>
        <v>0</v>
      </c>
      <c r="R675" s="245">
        <f t="shared" si="123"/>
        <v>0</v>
      </c>
      <c r="S675" s="246">
        <v>0.5</v>
      </c>
      <c r="T675" s="245">
        <f t="shared" si="124"/>
        <v>0</v>
      </c>
      <c r="U675" s="245">
        <f t="shared" si="125"/>
        <v>0</v>
      </c>
      <c r="V675" s="247"/>
    </row>
    <row r="676" spans="1:22" ht="15.75" x14ac:dyDescent="0.25">
      <c r="A676" s="236"/>
      <c r="B676" s="237"/>
      <c r="C676" s="238"/>
      <c r="D676" s="239"/>
      <c r="E676" s="240"/>
      <c r="F676" s="240"/>
      <c r="G676" s="240"/>
      <c r="H676" s="241">
        <f t="shared" si="120"/>
        <v>0</v>
      </c>
      <c r="I676" s="242"/>
      <c r="J676" s="243"/>
      <c r="K676" s="243"/>
      <c r="L676" s="244">
        <v>0.1</v>
      </c>
      <c r="M676" s="244">
        <f t="shared" si="121"/>
        <v>0</v>
      </c>
      <c r="N676" s="244"/>
      <c r="O676" s="244"/>
      <c r="P676" s="244"/>
      <c r="Q676" s="245">
        <f t="shared" si="122"/>
        <v>0</v>
      </c>
      <c r="R676" s="245">
        <f t="shared" si="123"/>
        <v>0</v>
      </c>
      <c r="S676" s="246">
        <v>0.5</v>
      </c>
      <c r="T676" s="245">
        <f t="shared" si="124"/>
        <v>0</v>
      </c>
      <c r="U676" s="245">
        <f t="shared" si="125"/>
        <v>0</v>
      </c>
      <c r="V676" s="247"/>
    </row>
    <row r="677" spans="1:22" ht="15.75" x14ac:dyDescent="0.25">
      <c r="A677" s="236"/>
      <c r="B677" s="237"/>
      <c r="C677" s="238"/>
      <c r="D677" s="239"/>
      <c r="E677" s="240"/>
      <c r="F677" s="240"/>
      <c r="G677" s="240"/>
      <c r="H677" s="241">
        <f t="shared" si="120"/>
        <v>0</v>
      </c>
      <c r="I677" s="242"/>
      <c r="J677" s="243"/>
      <c r="K677" s="243"/>
      <c r="L677" s="244">
        <v>0.1</v>
      </c>
      <c r="M677" s="244">
        <f t="shared" si="121"/>
        <v>0</v>
      </c>
      <c r="N677" s="244"/>
      <c r="O677" s="244"/>
      <c r="P677" s="244"/>
      <c r="Q677" s="245">
        <f t="shared" si="122"/>
        <v>0</v>
      </c>
      <c r="R677" s="245">
        <f t="shared" si="123"/>
        <v>0</v>
      </c>
      <c r="S677" s="246">
        <v>0.5</v>
      </c>
      <c r="T677" s="245">
        <f t="shared" si="124"/>
        <v>0</v>
      </c>
      <c r="U677" s="245">
        <f t="shared" si="125"/>
        <v>0</v>
      </c>
      <c r="V677" s="247"/>
    </row>
    <row r="678" spans="1:22" ht="15.75" x14ac:dyDescent="0.25">
      <c r="A678" s="236"/>
      <c r="B678" s="237"/>
      <c r="C678" s="238"/>
      <c r="D678" s="239"/>
      <c r="E678" s="240"/>
      <c r="F678" s="240"/>
      <c r="G678" s="240"/>
      <c r="H678" s="241">
        <f t="shared" si="120"/>
        <v>0</v>
      </c>
      <c r="I678" s="242"/>
      <c r="J678" s="243"/>
      <c r="K678" s="243"/>
      <c r="L678" s="244">
        <v>0.1</v>
      </c>
      <c r="M678" s="244">
        <f t="shared" si="121"/>
        <v>0</v>
      </c>
      <c r="N678" s="244"/>
      <c r="O678" s="244"/>
      <c r="P678" s="244"/>
      <c r="Q678" s="245">
        <f t="shared" si="122"/>
        <v>0</v>
      </c>
      <c r="R678" s="245">
        <f t="shared" si="123"/>
        <v>0</v>
      </c>
      <c r="S678" s="246">
        <v>0.5</v>
      </c>
      <c r="T678" s="245">
        <f t="shared" si="124"/>
        <v>0</v>
      </c>
      <c r="U678" s="245">
        <f t="shared" si="125"/>
        <v>0</v>
      </c>
      <c r="V678" s="247"/>
    </row>
    <row r="679" spans="1:22" ht="15.75" x14ac:dyDescent="0.25">
      <c r="A679" s="236"/>
      <c r="B679" s="237"/>
      <c r="C679" s="238"/>
      <c r="D679" s="239"/>
      <c r="E679" s="240"/>
      <c r="F679" s="240"/>
      <c r="G679" s="240"/>
      <c r="H679" s="241">
        <f t="shared" si="120"/>
        <v>0</v>
      </c>
      <c r="I679" s="242"/>
      <c r="J679" s="243"/>
      <c r="K679" s="243"/>
      <c r="L679" s="244">
        <v>0.1</v>
      </c>
      <c r="M679" s="244">
        <f t="shared" si="121"/>
        <v>0</v>
      </c>
      <c r="N679" s="244"/>
      <c r="O679" s="244"/>
      <c r="P679" s="244"/>
      <c r="Q679" s="245">
        <f t="shared" si="122"/>
        <v>0</v>
      </c>
      <c r="R679" s="245">
        <f t="shared" si="123"/>
        <v>0</v>
      </c>
      <c r="S679" s="246">
        <v>0.5</v>
      </c>
      <c r="T679" s="245">
        <f t="shared" si="124"/>
        <v>0</v>
      </c>
      <c r="U679" s="245">
        <f t="shared" si="125"/>
        <v>0</v>
      </c>
      <c r="V679" s="247"/>
    </row>
    <row r="680" spans="1:22" ht="15.75" x14ac:dyDescent="0.25">
      <c r="A680" s="236"/>
      <c r="B680" s="237"/>
      <c r="C680" s="238"/>
      <c r="D680" s="239"/>
      <c r="E680" s="240"/>
      <c r="F680" s="240"/>
      <c r="G680" s="240"/>
      <c r="H680" s="241">
        <f t="shared" si="120"/>
        <v>0</v>
      </c>
      <c r="I680" s="242"/>
      <c r="J680" s="243"/>
      <c r="K680" s="243"/>
      <c r="L680" s="244">
        <v>0.1</v>
      </c>
      <c r="M680" s="244">
        <f t="shared" si="121"/>
        <v>0</v>
      </c>
      <c r="N680" s="244"/>
      <c r="O680" s="244"/>
      <c r="P680" s="244"/>
      <c r="Q680" s="245">
        <f t="shared" si="122"/>
        <v>0</v>
      </c>
      <c r="R680" s="245">
        <f t="shared" si="123"/>
        <v>0</v>
      </c>
      <c r="S680" s="246">
        <v>0.5</v>
      </c>
      <c r="T680" s="245">
        <f t="shared" si="124"/>
        <v>0</v>
      </c>
      <c r="U680" s="245">
        <f t="shared" si="125"/>
        <v>0</v>
      </c>
      <c r="V680" s="247"/>
    </row>
    <row r="681" spans="1:22" ht="15.75" x14ac:dyDescent="0.25">
      <c r="A681" s="236"/>
      <c r="B681" s="237"/>
      <c r="C681" s="238"/>
      <c r="D681" s="239"/>
      <c r="E681" s="240"/>
      <c r="F681" s="240"/>
      <c r="G681" s="240"/>
      <c r="H681" s="241">
        <f t="shared" si="120"/>
        <v>0</v>
      </c>
      <c r="I681" s="242"/>
      <c r="J681" s="243"/>
      <c r="K681" s="243"/>
      <c r="L681" s="244">
        <v>0.1</v>
      </c>
      <c r="M681" s="244">
        <f t="shared" si="121"/>
        <v>0</v>
      </c>
      <c r="N681" s="244"/>
      <c r="O681" s="244"/>
      <c r="P681" s="244"/>
      <c r="Q681" s="245">
        <f t="shared" si="122"/>
        <v>0</v>
      </c>
      <c r="R681" s="245">
        <f t="shared" si="123"/>
        <v>0</v>
      </c>
      <c r="S681" s="246">
        <v>0.5</v>
      </c>
      <c r="T681" s="245">
        <f t="shared" si="124"/>
        <v>0</v>
      </c>
      <c r="U681" s="245">
        <f t="shared" si="125"/>
        <v>0</v>
      </c>
      <c r="V681" s="247"/>
    </row>
    <row r="682" spans="1:22" ht="15.75" x14ac:dyDescent="0.25">
      <c r="A682" s="236"/>
      <c r="B682" s="237"/>
      <c r="C682" s="238"/>
      <c r="D682" s="239"/>
      <c r="E682" s="240"/>
      <c r="F682" s="240"/>
      <c r="G682" s="240"/>
      <c r="H682" s="241">
        <f t="shared" si="120"/>
        <v>0</v>
      </c>
      <c r="I682" s="242"/>
      <c r="J682" s="243"/>
      <c r="K682" s="243"/>
      <c r="L682" s="244">
        <v>0.1</v>
      </c>
      <c r="M682" s="244">
        <f t="shared" si="121"/>
        <v>0</v>
      </c>
      <c r="N682" s="244"/>
      <c r="O682" s="244"/>
      <c r="P682" s="244"/>
      <c r="Q682" s="245">
        <f t="shared" si="122"/>
        <v>0</v>
      </c>
      <c r="R682" s="245">
        <f t="shared" si="123"/>
        <v>0</v>
      </c>
      <c r="S682" s="246">
        <v>0.5</v>
      </c>
      <c r="T682" s="245">
        <f t="shared" si="124"/>
        <v>0</v>
      </c>
      <c r="U682" s="245">
        <f t="shared" si="125"/>
        <v>0</v>
      </c>
      <c r="V682" s="247"/>
    </row>
    <row r="683" spans="1:22" ht="15.75" x14ac:dyDescent="0.25">
      <c r="A683" s="236"/>
      <c r="B683" s="237"/>
      <c r="C683" s="238"/>
      <c r="D683" s="239"/>
      <c r="E683" s="240"/>
      <c r="F683" s="240"/>
      <c r="G683" s="240"/>
      <c r="H683" s="241">
        <f t="shared" si="120"/>
        <v>0</v>
      </c>
      <c r="I683" s="242"/>
      <c r="J683" s="243"/>
      <c r="K683" s="243"/>
      <c r="L683" s="244">
        <v>0.1</v>
      </c>
      <c r="M683" s="244">
        <f t="shared" si="121"/>
        <v>0</v>
      </c>
      <c r="N683" s="244"/>
      <c r="O683" s="244"/>
      <c r="P683" s="244"/>
      <c r="Q683" s="245">
        <f t="shared" si="122"/>
        <v>0</v>
      </c>
      <c r="R683" s="245">
        <f t="shared" si="123"/>
        <v>0</v>
      </c>
      <c r="S683" s="246">
        <v>0.5</v>
      </c>
      <c r="T683" s="245">
        <f t="shared" si="124"/>
        <v>0</v>
      </c>
      <c r="U683" s="245">
        <f t="shared" si="125"/>
        <v>0</v>
      </c>
      <c r="V683" s="247"/>
    </row>
    <row r="684" spans="1:22" ht="15.75" x14ac:dyDescent="0.25">
      <c r="A684" s="236"/>
      <c r="B684" s="237"/>
      <c r="C684" s="238"/>
      <c r="D684" s="239"/>
      <c r="E684" s="240"/>
      <c r="F684" s="240"/>
      <c r="G684" s="240"/>
      <c r="H684" s="241">
        <f t="shared" si="120"/>
        <v>0</v>
      </c>
      <c r="I684" s="242"/>
      <c r="J684" s="243"/>
      <c r="K684" s="243"/>
      <c r="L684" s="244">
        <v>0.1</v>
      </c>
      <c r="M684" s="244">
        <f t="shared" si="121"/>
        <v>0</v>
      </c>
      <c r="N684" s="244"/>
      <c r="O684" s="244"/>
      <c r="P684" s="244"/>
      <c r="Q684" s="245">
        <f t="shared" si="122"/>
        <v>0</v>
      </c>
      <c r="R684" s="245">
        <f t="shared" si="123"/>
        <v>0</v>
      </c>
      <c r="S684" s="246">
        <v>0.5</v>
      </c>
      <c r="T684" s="245">
        <f t="shared" si="124"/>
        <v>0</v>
      </c>
      <c r="U684" s="245">
        <f t="shared" si="125"/>
        <v>0</v>
      </c>
      <c r="V684" s="247"/>
    </row>
    <row r="685" spans="1:22" ht="15.75" x14ac:dyDescent="0.25">
      <c r="A685" s="236"/>
      <c r="B685" s="237"/>
      <c r="C685" s="238"/>
      <c r="D685" s="239"/>
      <c r="E685" s="240"/>
      <c r="F685" s="240"/>
      <c r="G685" s="240"/>
      <c r="H685" s="241">
        <f t="shared" si="120"/>
        <v>0</v>
      </c>
      <c r="I685" s="242"/>
      <c r="J685" s="243"/>
      <c r="K685" s="243"/>
      <c r="L685" s="244">
        <v>0.1</v>
      </c>
      <c r="M685" s="244">
        <f t="shared" si="121"/>
        <v>0</v>
      </c>
      <c r="N685" s="244"/>
      <c r="O685" s="244"/>
      <c r="P685" s="244"/>
      <c r="Q685" s="245">
        <f t="shared" si="122"/>
        <v>0</v>
      </c>
      <c r="R685" s="245">
        <f t="shared" si="123"/>
        <v>0</v>
      </c>
      <c r="S685" s="246">
        <v>0.5</v>
      </c>
      <c r="T685" s="245">
        <f t="shared" si="124"/>
        <v>0</v>
      </c>
      <c r="U685" s="245">
        <f t="shared" si="125"/>
        <v>0</v>
      </c>
      <c r="V685" s="247"/>
    </row>
    <row r="686" spans="1:22" ht="15.75" x14ac:dyDescent="0.25">
      <c r="A686" s="236"/>
      <c r="B686" s="237"/>
      <c r="C686" s="238"/>
      <c r="D686" s="239"/>
      <c r="E686" s="240"/>
      <c r="F686" s="240"/>
      <c r="G686" s="240"/>
      <c r="H686" s="241">
        <f t="shared" si="120"/>
        <v>0</v>
      </c>
      <c r="I686" s="242"/>
      <c r="J686" s="243"/>
      <c r="K686" s="243"/>
      <c r="L686" s="244">
        <v>0.1</v>
      </c>
      <c r="M686" s="244">
        <f t="shared" si="121"/>
        <v>0</v>
      </c>
      <c r="N686" s="244"/>
      <c r="O686" s="244"/>
      <c r="P686" s="244"/>
      <c r="Q686" s="245">
        <f t="shared" si="122"/>
        <v>0</v>
      </c>
      <c r="R686" s="245">
        <f t="shared" si="123"/>
        <v>0</v>
      </c>
      <c r="S686" s="246">
        <v>0.5</v>
      </c>
      <c r="T686" s="245">
        <f t="shared" si="124"/>
        <v>0</v>
      </c>
      <c r="U686" s="245">
        <f t="shared" si="125"/>
        <v>0</v>
      </c>
      <c r="V686" s="247"/>
    </row>
    <row r="687" spans="1:22" ht="15.75" x14ac:dyDescent="0.25">
      <c r="A687" s="236"/>
      <c r="B687" s="237"/>
      <c r="C687" s="238"/>
      <c r="D687" s="239"/>
      <c r="E687" s="240"/>
      <c r="F687" s="240"/>
      <c r="G687" s="240"/>
      <c r="H687" s="241">
        <f t="shared" si="120"/>
        <v>0</v>
      </c>
      <c r="I687" s="242"/>
      <c r="J687" s="243"/>
      <c r="K687" s="243"/>
      <c r="L687" s="244">
        <v>0.1</v>
      </c>
      <c r="M687" s="244">
        <f t="shared" si="121"/>
        <v>0</v>
      </c>
      <c r="N687" s="244"/>
      <c r="O687" s="244"/>
      <c r="P687" s="244"/>
      <c r="Q687" s="245">
        <f t="shared" si="122"/>
        <v>0</v>
      </c>
      <c r="R687" s="245">
        <f t="shared" si="123"/>
        <v>0</v>
      </c>
      <c r="S687" s="246">
        <v>0.5</v>
      </c>
      <c r="T687" s="245">
        <f t="shared" si="124"/>
        <v>0</v>
      </c>
      <c r="U687" s="245">
        <f t="shared" si="125"/>
        <v>0</v>
      </c>
      <c r="V687" s="247"/>
    </row>
    <row r="688" spans="1:22" ht="15.75" x14ac:dyDescent="0.25">
      <c r="A688" s="236"/>
      <c r="B688" s="237"/>
      <c r="C688" s="238"/>
      <c r="D688" s="239"/>
      <c r="E688" s="240"/>
      <c r="F688" s="240"/>
      <c r="G688" s="240"/>
      <c r="H688" s="241">
        <f t="shared" si="120"/>
        <v>0</v>
      </c>
      <c r="I688" s="242"/>
      <c r="J688" s="243"/>
      <c r="K688" s="243"/>
      <c r="L688" s="244">
        <v>0.1</v>
      </c>
      <c r="M688" s="244">
        <f t="shared" si="121"/>
        <v>0</v>
      </c>
      <c r="N688" s="244"/>
      <c r="O688" s="244"/>
      <c r="P688" s="244"/>
      <c r="Q688" s="245">
        <f t="shared" si="122"/>
        <v>0</v>
      </c>
      <c r="R688" s="245">
        <f t="shared" si="123"/>
        <v>0</v>
      </c>
      <c r="S688" s="246">
        <v>0.5</v>
      </c>
      <c r="T688" s="245">
        <f t="shared" si="124"/>
        <v>0</v>
      </c>
      <c r="U688" s="245">
        <f t="shared" si="125"/>
        <v>0</v>
      </c>
      <c r="V688" s="247"/>
    </row>
    <row r="689" spans="1:22" ht="15.75" x14ac:dyDescent="0.25">
      <c r="A689" s="236"/>
      <c r="B689" s="237"/>
      <c r="C689" s="238"/>
      <c r="D689" s="239"/>
      <c r="E689" s="240"/>
      <c r="F689" s="240"/>
      <c r="G689" s="240"/>
      <c r="H689" s="241">
        <f t="shared" si="120"/>
        <v>0</v>
      </c>
      <c r="I689" s="242"/>
      <c r="J689" s="243"/>
      <c r="K689" s="243"/>
      <c r="L689" s="244">
        <v>0.1</v>
      </c>
      <c r="M689" s="244">
        <f t="shared" si="121"/>
        <v>0</v>
      </c>
      <c r="N689" s="244"/>
      <c r="O689" s="244"/>
      <c r="P689" s="244"/>
      <c r="Q689" s="245">
        <f t="shared" si="122"/>
        <v>0</v>
      </c>
      <c r="R689" s="245">
        <f t="shared" si="123"/>
        <v>0</v>
      </c>
      <c r="S689" s="246">
        <v>0.5</v>
      </c>
      <c r="T689" s="245">
        <f t="shared" si="124"/>
        <v>0</v>
      </c>
      <c r="U689" s="245">
        <f t="shared" si="125"/>
        <v>0</v>
      </c>
      <c r="V689" s="247"/>
    </row>
    <row r="690" spans="1:22" ht="15.75" x14ac:dyDescent="0.25">
      <c r="A690" s="236"/>
      <c r="B690" s="237"/>
      <c r="C690" s="238"/>
      <c r="D690" s="239"/>
      <c r="E690" s="240"/>
      <c r="F690" s="240"/>
      <c r="G690" s="240"/>
      <c r="H690" s="241">
        <f t="shared" si="120"/>
        <v>0</v>
      </c>
      <c r="I690" s="242"/>
      <c r="J690" s="243"/>
      <c r="K690" s="243"/>
      <c r="L690" s="244">
        <v>0.1</v>
      </c>
      <c r="M690" s="244">
        <f t="shared" si="121"/>
        <v>0</v>
      </c>
      <c r="N690" s="244"/>
      <c r="O690" s="244"/>
      <c r="P690" s="244"/>
      <c r="Q690" s="245">
        <f t="shared" si="122"/>
        <v>0</v>
      </c>
      <c r="R690" s="245">
        <f t="shared" si="123"/>
        <v>0</v>
      </c>
      <c r="S690" s="246">
        <v>0.5</v>
      </c>
      <c r="T690" s="245">
        <f t="shared" si="124"/>
        <v>0</v>
      </c>
      <c r="U690" s="245">
        <f t="shared" si="125"/>
        <v>0</v>
      </c>
      <c r="V690" s="247"/>
    </row>
    <row r="691" spans="1:22" ht="15.75" x14ac:dyDescent="0.25">
      <c r="A691" s="236"/>
      <c r="B691" s="237"/>
      <c r="C691" s="238"/>
      <c r="D691" s="239"/>
      <c r="E691" s="240"/>
      <c r="F691" s="240"/>
      <c r="G691" s="240"/>
      <c r="H691" s="241">
        <f t="shared" si="120"/>
        <v>0</v>
      </c>
      <c r="I691" s="242"/>
      <c r="J691" s="243"/>
      <c r="K691" s="243"/>
      <c r="L691" s="244">
        <v>0.1</v>
      </c>
      <c r="M691" s="244">
        <f t="shared" si="121"/>
        <v>0</v>
      </c>
      <c r="N691" s="244"/>
      <c r="O691" s="244"/>
      <c r="P691" s="244"/>
      <c r="Q691" s="245">
        <f t="shared" si="122"/>
        <v>0</v>
      </c>
      <c r="R691" s="245">
        <f t="shared" si="123"/>
        <v>0</v>
      </c>
      <c r="S691" s="246">
        <v>0.5</v>
      </c>
      <c r="T691" s="245">
        <f t="shared" si="124"/>
        <v>0</v>
      </c>
      <c r="U691" s="245">
        <f t="shared" si="125"/>
        <v>0</v>
      </c>
      <c r="V691" s="247"/>
    </row>
    <row r="692" spans="1:22" ht="15.75" x14ac:dyDescent="0.25">
      <c r="A692" s="236"/>
      <c r="B692" s="237"/>
      <c r="C692" s="238"/>
      <c r="D692" s="239"/>
      <c r="E692" s="240"/>
      <c r="F692" s="240"/>
      <c r="G692" s="240"/>
      <c r="H692" s="241">
        <f t="shared" si="120"/>
        <v>0</v>
      </c>
      <c r="I692" s="242"/>
      <c r="J692" s="243"/>
      <c r="K692" s="243"/>
      <c r="L692" s="244">
        <v>0.1</v>
      </c>
      <c r="M692" s="244">
        <f t="shared" si="121"/>
        <v>0</v>
      </c>
      <c r="N692" s="244"/>
      <c r="O692" s="244"/>
      <c r="P692" s="244"/>
      <c r="Q692" s="245">
        <f t="shared" si="122"/>
        <v>0</v>
      </c>
      <c r="R692" s="245">
        <f t="shared" si="123"/>
        <v>0</v>
      </c>
      <c r="S692" s="246">
        <v>0.5</v>
      </c>
      <c r="T692" s="245">
        <f t="shared" si="124"/>
        <v>0</v>
      </c>
      <c r="U692" s="245">
        <f t="shared" si="125"/>
        <v>0</v>
      </c>
      <c r="V692" s="247"/>
    </row>
    <row r="693" spans="1:22" ht="15.75" x14ac:dyDescent="0.25">
      <c r="A693" s="236"/>
      <c r="B693" s="237"/>
      <c r="C693" s="238"/>
      <c r="D693" s="239"/>
      <c r="E693" s="240"/>
      <c r="F693" s="240"/>
      <c r="G693" s="240"/>
      <c r="H693" s="241">
        <f t="shared" si="120"/>
        <v>0</v>
      </c>
      <c r="I693" s="242"/>
      <c r="J693" s="243"/>
      <c r="K693" s="243"/>
      <c r="L693" s="244">
        <v>0.1</v>
      </c>
      <c r="M693" s="244">
        <f t="shared" si="121"/>
        <v>0</v>
      </c>
      <c r="N693" s="244"/>
      <c r="O693" s="244"/>
      <c r="P693" s="244"/>
      <c r="Q693" s="245">
        <f t="shared" si="122"/>
        <v>0</v>
      </c>
      <c r="R693" s="245">
        <f t="shared" si="123"/>
        <v>0</v>
      </c>
      <c r="S693" s="246">
        <v>0.5</v>
      </c>
      <c r="T693" s="245">
        <f t="shared" si="124"/>
        <v>0</v>
      </c>
      <c r="U693" s="245">
        <f t="shared" si="125"/>
        <v>0</v>
      </c>
      <c r="V693" s="247"/>
    </row>
    <row r="694" spans="1:22" ht="15.75" x14ac:dyDescent="0.25">
      <c r="A694" s="236"/>
      <c r="B694" s="237"/>
      <c r="C694" s="238"/>
      <c r="D694" s="239"/>
      <c r="E694" s="240"/>
      <c r="F694" s="240"/>
      <c r="G694" s="240"/>
      <c r="H694" s="241">
        <f t="shared" si="120"/>
        <v>0</v>
      </c>
      <c r="I694" s="242"/>
      <c r="J694" s="243"/>
      <c r="K694" s="243"/>
      <c r="L694" s="244">
        <v>0.1</v>
      </c>
      <c r="M694" s="244">
        <f t="shared" si="121"/>
        <v>0</v>
      </c>
      <c r="N694" s="244"/>
      <c r="O694" s="244"/>
      <c r="P694" s="244"/>
      <c r="Q694" s="245">
        <f t="shared" si="122"/>
        <v>0</v>
      </c>
      <c r="R694" s="245">
        <f t="shared" si="123"/>
        <v>0</v>
      </c>
      <c r="S694" s="246">
        <v>0.5</v>
      </c>
      <c r="T694" s="245">
        <f t="shared" si="124"/>
        <v>0</v>
      </c>
      <c r="U694" s="245">
        <f t="shared" si="125"/>
        <v>0</v>
      </c>
      <c r="V694" s="247"/>
    </row>
    <row r="695" spans="1:22" ht="15.75" x14ac:dyDescent="0.25">
      <c r="A695" s="236"/>
      <c r="B695" s="237"/>
      <c r="C695" s="238"/>
      <c r="D695" s="239"/>
      <c r="E695" s="240"/>
      <c r="F695" s="240"/>
      <c r="G695" s="240"/>
      <c r="H695" s="241">
        <f t="shared" si="120"/>
        <v>0</v>
      </c>
      <c r="I695" s="242"/>
      <c r="J695" s="243"/>
      <c r="K695" s="243"/>
      <c r="L695" s="244">
        <v>0.1</v>
      </c>
      <c r="M695" s="244">
        <f t="shared" si="121"/>
        <v>0</v>
      </c>
      <c r="N695" s="244"/>
      <c r="O695" s="244"/>
      <c r="P695" s="244"/>
      <c r="Q695" s="245">
        <f t="shared" si="122"/>
        <v>0</v>
      </c>
      <c r="R695" s="245">
        <f t="shared" si="123"/>
        <v>0</v>
      </c>
      <c r="S695" s="246">
        <v>0.5</v>
      </c>
      <c r="T695" s="245">
        <f t="shared" si="124"/>
        <v>0</v>
      </c>
      <c r="U695" s="245">
        <f t="shared" si="125"/>
        <v>0</v>
      </c>
      <c r="V695" s="247"/>
    </row>
    <row r="696" spans="1:22" ht="15.75" x14ac:dyDescent="0.25">
      <c r="A696" s="236"/>
      <c r="B696" s="237"/>
      <c r="C696" s="238"/>
      <c r="D696" s="239"/>
      <c r="E696" s="240"/>
      <c r="F696" s="240"/>
      <c r="G696" s="240"/>
      <c r="H696" s="241">
        <f t="shared" si="120"/>
        <v>0</v>
      </c>
      <c r="I696" s="242"/>
      <c r="J696" s="243"/>
      <c r="K696" s="243"/>
      <c r="L696" s="244">
        <v>0.1</v>
      </c>
      <c r="M696" s="244">
        <f t="shared" si="121"/>
        <v>0</v>
      </c>
      <c r="N696" s="244"/>
      <c r="O696" s="244"/>
      <c r="P696" s="244"/>
      <c r="Q696" s="245">
        <f t="shared" si="122"/>
        <v>0</v>
      </c>
      <c r="R696" s="245">
        <f t="shared" si="123"/>
        <v>0</v>
      </c>
      <c r="S696" s="246">
        <v>0.5</v>
      </c>
      <c r="T696" s="245">
        <f t="shared" si="124"/>
        <v>0</v>
      </c>
      <c r="U696" s="245">
        <f t="shared" si="125"/>
        <v>0</v>
      </c>
      <c r="V696" s="247"/>
    </row>
    <row r="697" spans="1:22" ht="15.75" x14ac:dyDescent="0.25">
      <c r="A697" s="236"/>
      <c r="B697" s="237"/>
      <c r="C697" s="238"/>
      <c r="D697" s="239"/>
      <c r="E697" s="240"/>
      <c r="F697" s="240"/>
      <c r="G697" s="240"/>
      <c r="H697" s="241">
        <f t="shared" si="120"/>
        <v>0</v>
      </c>
      <c r="I697" s="242"/>
      <c r="J697" s="243"/>
      <c r="K697" s="243"/>
      <c r="L697" s="244">
        <v>0.1</v>
      </c>
      <c r="M697" s="244">
        <f t="shared" si="121"/>
        <v>0</v>
      </c>
      <c r="N697" s="244"/>
      <c r="O697" s="244"/>
      <c r="P697" s="244"/>
      <c r="Q697" s="245">
        <f t="shared" si="122"/>
        <v>0</v>
      </c>
      <c r="R697" s="245">
        <f t="shared" si="123"/>
        <v>0</v>
      </c>
      <c r="S697" s="246">
        <v>0.5</v>
      </c>
      <c r="T697" s="245">
        <f t="shared" si="124"/>
        <v>0</v>
      </c>
      <c r="U697" s="245">
        <f t="shared" si="125"/>
        <v>0</v>
      </c>
      <c r="V697" s="247"/>
    </row>
    <row r="698" spans="1:22" ht="15.75" x14ac:dyDescent="0.25">
      <c r="A698" s="236"/>
      <c r="B698" s="237"/>
      <c r="C698" s="238"/>
      <c r="D698" s="239"/>
      <c r="E698" s="240"/>
      <c r="F698" s="240"/>
      <c r="G698" s="240"/>
      <c r="H698" s="241">
        <f t="shared" si="120"/>
        <v>0</v>
      </c>
      <c r="I698" s="242"/>
      <c r="J698" s="243"/>
      <c r="K698" s="243"/>
      <c r="L698" s="244">
        <v>0.1</v>
      </c>
      <c r="M698" s="244">
        <f t="shared" si="121"/>
        <v>0</v>
      </c>
      <c r="N698" s="244"/>
      <c r="O698" s="244"/>
      <c r="P698" s="244"/>
      <c r="Q698" s="245">
        <f t="shared" si="122"/>
        <v>0</v>
      </c>
      <c r="R698" s="245">
        <f t="shared" si="123"/>
        <v>0</v>
      </c>
      <c r="S698" s="246">
        <v>0.5</v>
      </c>
      <c r="T698" s="245">
        <f t="shared" si="124"/>
        <v>0</v>
      </c>
      <c r="U698" s="245">
        <f t="shared" si="125"/>
        <v>0</v>
      </c>
      <c r="V698" s="247"/>
    </row>
    <row r="699" spans="1:22" ht="15.75" x14ac:dyDescent="0.25">
      <c r="A699" s="236"/>
      <c r="B699" s="237"/>
      <c r="C699" s="238"/>
      <c r="D699" s="239"/>
      <c r="E699" s="240"/>
      <c r="F699" s="240"/>
      <c r="G699" s="240"/>
      <c r="H699" s="241">
        <f t="shared" si="120"/>
        <v>0</v>
      </c>
      <c r="I699" s="242"/>
      <c r="J699" s="243"/>
      <c r="K699" s="243"/>
      <c r="L699" s="244">
        <v>0.1</v>
      </c>
      <c r="M699" s="244">
        <f t="shared" si="121"/>
        <v>0</v>
      </c>
      <c r="N699" s="244"/>
      <c r="O699" s="244"/>
      <c r="P699" s="244"/>
      <c r="Q699" s="245">
        <f t="shared" si="122"/>
        <v>0</v>
      </c>
      <c r="R699" s="245">
        <f t="shared" si="123"/>
        <v>0</v>
      </c>
      <c r="S699" s="246">
        <v>0.5</v>
      </c>
      <c r="T699" s="245">
        <f t="shared" si="124"/>
        <v>0</v>
      </c>
      <c r="U699" s="245">
        <f t="shared" si="125"/>
        <v>0</v>
      </c>
      <c r="V699" s="247"/>
    </row>
    <row r="700" spans="1:22" ht="15.75" x14ac:dyDescent="0.25">
      <c r="A700" s="236"/>
      <c r="B700" s="237"/>
      <c r="C700" s="238"/>
      <c r="D700" s="239"/>
      <c r="E700" s="240"/>
      <c r="F700" s="240"/>
      <c r="G700" s="240"/>
      <c r="H700" s="241">
        <f t="shared" si="120"/>
        <v>0</v>
      </c>
      <c r="I700" s="242"/>
      <c r="J700" s="243"/>
      <c r="K700" s="243"/>
      <c r="L700" s="244">
        <v>0.1</v>
      </c>
      <c r="M700" s="244">
        <f t="shared" si="121"/>
        <v>0</v>
      </c>
      <c r="N700" s="244"/>
      <c r="O700" s="244"/>
      <c r="P700" s="244"/>
      <c r="Q700" s="245">
        <f t="shared" si="122"/>
        <v>0</v>
      </c>
      <c r="R700" s="245">
        <f t="shared" si="123"/>
        <v>0</v>
      </c>
      <c r="S700" s="246">
        <v>0.5</v>
      </c>
      <c r="T700" s="245">
        <f t="shared" si="124"/>
        <v>0</v>
      </c>
      <c r="U700" s="245">
        <f t="shared" si="125"/>
        <v>0</v>
      </c>
      <c r="V700" s="247"/>
    </row>
    <row r="701" spans="1:22" ht="15.75" x14ac:dyDescent="0.25">
      <c r="A701" s="236"/>
      <c r="B701" s="237"/>
      <c r="C701" s="238"/>
      <c r="D701" s="239"/>
      <c r="E701" s="240"/>
      <c r="F701" s="240"/>
      <c r="G701" s="240"/>
      <c r="H701" s="241">
        <f t="shared" si="120"/>
        <v>0</v>
      </c>
      <c r="I701" s="242"/>
      <c r="J701" s="243"/>
      <c r="K701" s="243"/>
      <c r="L701" s="244">
        <v>0.1</v>
      </c>
      <c r="M701" s="244">
        <f t="shared" si="121"/>
        <v>0</v>
      </c>
      <c r="N701" s="244"/>
      <c r="O701" s="244"/>
      <c r="P701" s="244"/>
      <c r="Q701" s="245">
        <f t="shared" si="122"/>
        <v>0</v>
      </c>
      <c r="R701" s="245">
        <f t="shared" si="123"/>
        <v>0</v>
      </c>
      <c r="S701" s="246">
        <v>0.5</v>
      </c>
      <c r="T701" s="245">
        <f t="shared" si="124"/>
        <v>0</v>
      </c>
      <c r="U701" s="245">
        <f t="shared" si="125"/>
        <v>0</v>
      </c>
      <c r="V701" s="247"/>
    </row>
    <row r="702" spans="1:22" ht="15.75" x14ac:dyDescent="0.25">
      <c r="A702" s="236"/>
      <c r="B702" s="237"/>
      <c r="C702" s="238"/>
      <c r="D702" s="239"/>
      <c r="E702" s="240"/>
      <c r="F702" s="240"/>
      <c r="G702" s="240"/>
      <c r="H702" s="241">
        <f t="shared" si="120"/>
        <v>0</v>
      </c>
      <c r="I702" s="242"/>
      <c r="J702" s="243"/>
      <c r="K702" s="243"/>
      <c r="L702" s="244">
        <v>0.1</v>
      </c>
      <c r="M702" s="244">
        <f t="shared" si="121"/>
        <v>0</v>
      </c>
      <c r="N702" s="244"/>
      <c r="O702" s="244"/>
      <c r="P702" s="244"/>
      <c r="Q702" s="245">
        <f t="shared" si="122"/>
        <v>0</v>
      </c>
      <c r="R702" s="245">
        <f t="shared" si="123"/>
        <v>0</v>
      </c>
      <c r="S702" s="246">
        <v>0.5</v>
      </c>
      <c r="T702" s="245">
        <f t="shared" si="124"/>
        <v>0</v>
      </c>
      <c r="U702" s="245">
        <f t="shared" si="125"/>
        <v>0</v>
      </c>
      <c r="V702" s="247"/>
    </row>
    <row r="703" spans="1:22" ht="15.75" x14ac:dyDescent="0.25">
      <c r="A703" s="236"/>
      <c r="B703" s="237"/>
      <c r="C703" s="238"/>
      <c r="D703" s="239"/>
      <c r="E703" s="240"/>
      <c r="F703" s="240"/>
      <c r="G703" s="240"/>
      <c r="H703" s="241">
        <f t="shared" si="120"/>
        <v>0</v>
      </c>
      <c r="I703" s="242"/>
      <c r="J703" s="243"/>
      <c r="K703" s="243"/>
      <c r="L703" s="244">
        <v>0.1</v>
      </c>
      <c r="M703" s="244">
        <f t="shared" si="121"/>
        <v>0</v>
      </c>
      <c r="N703" s="244"/>
      <c r="O703" s="244"/>
      <c r="P703" s="244"/>
      <c r="Q703" s="245">
        <f t="shared" si="122"/>
        <v>0</v>
      </c>
      <c r="R703" s="245">
        <f t="shared" si="123"/>
        <v>0</v>
      </c>
      <c r="S703" s="246">
        <v>0.5</v>
      </c>
      <c r="T703" s="245">
        <f t="shared" si="124"/>
        <v>0</v>
      </c>
      <c r="U703" s="245">
        <f t="shared" si="125"/>
        <v>0</v>
      </c>
      <c r="V703" s="247"/>
    </row>
    <row r="704" spans="1:22" ht="15.75" x14ac:dyDescent="0.25">
      <c r="A704" s="236"/>
      <c r="B704" s="237"/>
      <c r="C704" s="238"/>
      <c r="D704" s="239"/>
      <c r="E704" s="240"/>
      <c r="F704" s="240"/>
      <c r="G704" s="240"/>
      <c r="H704" s="241">
        <f t="shared" si="120"/>
        <v>0</v>
      </c>
      <c r="I704" s="242"/>
      <c r="J704" s="243"/>
      <c r="K704" s="243"/>
      <c r="L704" s="244">
        <v>0.1</v>
      </c>
      <c r="M704" s="244">
        <f t="shared" si="121"/>
        <v>0</v>
      </c>
      <c r="N704" s="244"/>
      <c r="O704" s="244"/>
      <c r="P704" s="244"/>
      <c r="Q704" s="245">
        <f t="shared" si="122"/>
        <v>0</v>
      </c>
      <c r="R704" s="245">
        <f t="shared" si="123"/>
        <v>0</v>
      </c>
      <c r="S704" s="246">
        <v>0.5</v>
      </c>
      <c r="T704" s="245">
        <f t="shared" si="124"/>
        <v>0</v>
      </c>
      <c r="U704" s="245">
        <f t="shared" si="125"/>
        <v>0</v>
      </c>
      <c r="V704" s="247"/>
    </row>
    <row r="705" spans="1:22" ht="15.75" x14ac:dyDescent="0.25">
      <c r="A705" s="236"/>
      <c r="B705" s="237"/>
      <c r="C705" s="238"/>
      <c r="D705" s="239"/>
      <c r="E705" s="240"/>
      <c r="F705" s="240"/>
      <c r="G705" s="240"/>
      <c r="H705" s="241">
        <f t="shared" si="120"/>
        <v>0</v>
      </c>
      <c r="I705" s="242"/>
      <c r="J705" s="243"/>
      <c r="K705" s="243"/>
      <c r="L705" s="244">
        <v>0.1</v>
      </c>
      <c r="M705" s="244">
        <f t="shared" si="121"/>
        <v>0</v>
      </c>
      <c r="N705" s="244"/>
      <c r="O705" s="244"/>
      <c r="P705" s="244"/>
      <c r="Q705" s="245">
        <f t="shared" si="122"/>
        <v>0</v>
      </c>
      <c r="R705" s="245">
        <f t="shared" si="123"/>
        <v>0</v>
      </c>
      <c r="S705" s="246">
        <v>0.5</v>
      </c>
      <c r="T705" s="245">
        <f t="shared" si="124"/>
        <v>0</v>
      </c>
      <c r="U705" s="245">
        <f t="shared" si="125"/>
        <v>0</v>
      </c>
      <c r="V705" s="247"/>
    </row>
    <row r="706" spans="1:22" ht="15.75" x14ac:dyDescent="0.25">
      <c r="A706" s="236"/>
      <c r="B706" s="237"/>
      <c r="C706" s="238"/>
      <c r="D706" s="239"/>
      <c r="E706" s="240"/>
      <c r="F706" s="240"/>
      <c r="G706" s="240"/>
      <c r="H706" s="241">
        <f t="shared" si="120"/>
        <v>0</v>
      </c>
      <c r="I706" s="242"/>
      <c r="J706" s="243"/>
      <c r="K706" s="243"/>
      <c r="L706" s="244">
        <v>0.1</v>
      </c>
      <c r="M706" s="244">
        <f t="shared" si="121"/>
        <v>0</v>
      </c>
      <c r="N706" s="244"/>
      <c r="O706" s="244"/>
      <c r="P706" s="244"/>
      <c r="Q706" s="245">
        <f t="shared" si="122"/>
        <v>0</v>
      </c>
      <c r="R706" s="245">
        <f t="shared" si="123"/>
        <v>0</v>
      </c>
      <c r="S706" s="246">
        <v>0.5</v>
      </c>
      <c r="T706" s="245">
        <f t="shared" si="124"/>
        <v>0</v>
      </c>
      <c r="U706" s="245">
        <f t="shared" si="125"/>
        <v>0</v>
      </c>
      <c r="V706" s="247"/>
    </row>
    <row r="707" spans="1:22" ht="15.75" x14ac:dyDescent="0.25">
      <c r="A707" s="236"/>
      <c r="B707" s="237"/>
      <c r="C707" s="238"/>
      <c r="D707" s="239"/>
      <c r="E707" s="240"/>
      <c r="F707" s="240"/>
      <c r="G707" s="240"/>
      <c r="H707" s="241">
        <f t="shared" si="120"/>
        <v>0</v>
      </c>
      <c r="I707" s="242"/>
      <c r="J707" s="243"/>
      <c r="K707" s="243"/>
      <c r="L707" s="244">
        <v>0.1</v>
      </c>
      <c r="M707" s="244">
        <f t="shared" si="121"/>
        <v>0</v>
      </c>
      <c r="N707" s="244"/>
      <c r="O707" s="244"/>
      <c r="P707" s="244"/>
      <c r="Q707" s="245">
        <f t="shared" si="122"/>
        <v>0</v>
      </c>
      <c r="R707" s="245">
        <f t="shared" si="123"/>
        <v>0</v>
      </c>
      <c r="S707" s="246">
        <v>0.5</v>
      </c>
      <c r="T707" s="245">
        <f t="shared" si="124"/>
        <v>0</v>
      </c>
      <c r="U707" s="245">
        <f t="shared" si="125"/>
        <v>0</v>
      </c>
      <c r="V707" s="247"/>
    </row>
    <row r="708" spans="1:22" ht="15.75" x14ac:dyDescent="0.25">
      <c r="A708" s="236"/>
      <c r="B708" s="237"/>
      <c r="C708" s="238"/>
      <c r="D708" s="239"/>
      <c r="E708" s="240"/>
      <c r="F708" s="240"/>
      <c r="G708" s="240"/>
      <c r="H708" s="241">
        <f t="shared" si="120"/>
        <v>0</v>
      </c>
      <c r="I708" s="242"/>
      <c r="J708" s="243"/>
      <c r="K708" s="243"/>
      <c r="L708" s="244">
        <v>0.1</v>
      </c>
      <c r="M708" s="244">
        <f t="shared" si="121"/>
        <v>0</v>
      </c>
      <c r="N708" s="244"/>
      <c r="O708" s="244"/>
      <c r="P708" s="244"/>
      <c r="Q708" s="245">
        <f t="shared" si="122"/>
        <v>0</v>
      </c>
      <c r="R708" s="245">
        <f t="shared" si="123"/>
        <v>0</v>
      </c>
      <c r="S708" s="246">
        <v>0.5</v>
      </c>
      <c r="T708" s="245">
        <f t="shared" si="124"/>
        <v>0</v>
      </c>
      <c r="U708" s="245">
        <f t="shared" si="125"/>
        <v>0</v>
      </c>
      <c r="V708" s="247"/>
    </row>
    <row r="709" spans="1:22" ht="15.75" x14ac:dyDescent="0.25">
      <c r="A709" s="236"/>
      <c r="B709" s="237"/>
      <c r="C709" s="238"/>
      <c r="D709" s="239"/>
      <c r="E709" s="240"/>
      <c r="F709" s="240"/>
      <c r="G709" s="240"/>
      <c r="H709" s="241">
        <f t="shared" si="120"/>
        <v>0</v>
      </c>
      <c r="I709" s="242"/>
      <c r="J709" s="243"/>
      <c r="K709" s="243"/>
      <c r="L709" s="244">
        <v>0.1</v>
      </c>
      <c r="M709" s="244">
        <f t="shared" si="121"/>
        <v>0</v>
      </c>
      <c r="N709" s="244"/>
      <c r="O709" s="244"/>
      <c r="P709" s="244"/>
      <c r="Q709" s="245">
        <f t="shared" si="122"/>
        <v>0</v>
      </c>
      <c r="R709" s="245">
        <f t="shared" si="123"/>
        <v>0</v>
      </c>
      <c r="S709" s="246">
        <v>0.5</v>
      </c>
      <c r="T709" s="245">
        <f t="shared" si="124"/>
        <v>0</v>
      </c>
      <c r="U709" s="245">
        <f t="shared" si="125"/>
        <v>0</v>
      </c>
      <c r="V709" s="247"/>
    </row>
    <row r="710" spans="1:22" ht="15.75" x14ac:dyDescent="0.25">
      <c r="A710" s="236"/>
      <c r="B710" s="237"/>
      <c r="C710" s="238"/>
      <c r="D710" s="239"/>
      <c r="E710" s="240"/>
      <c r="F710" s="240"/>
      <c r="G710" s="240"/>
      <c r="H710" s="241">
        <f t="shared" si="120"/>
        <v>0</v>
      </c>
      <c r="I710" s="242"/>
      <c r="J710" s="243"/>
      <c r="K710" s="243"/>
      <c r="L710" s="244">
        <v>0.1</v>
      </c>
      <c r="M710" s="244">
        <f t="shared" si="121"/>
        <v>0</v>
      </c>
      <c r="N710" s="244"/>
      <c r="O710" s="244"/>
      <c r="P710" s="244"/>
      <c r="Q710" s="245">
        <f t="shared" si="122"/>
        <v>0</v>
      </c>
      <c r="R710" s="245">
        <f t="shared" si="123"/>
        <v>0</v>
      </c>
      <c r="S710" s="246">
        <v>0.5</v>
      </c>
      <c r="T710" s="245">
        <f t="shared" si="124"/>
        <v>0</v>
      </c>
      <c r="U710" s="245">
        <f t="shared" si="125"/>
        <v>0</v>
      </c>
      <c r="V710" s="247"/>
    </row>
    <row r="711" spans="1:22" ht="15.75" x14ac:dyDescent="0.25">
      <c r="A711" s="236"/>
      <c r="B711" s="237"/>
      <c r="C711" s="238"/>
      <c r="D711" s="239"/>
      <c r="E711" s="240"/>
      <c r="F711" s="240"/>
      <c r="G711" s="240"/>
      <c r="H711" s="241">
        <f t="shared" si="120"/>
        <v>0</v>
      </c>
      <c r="I711" s="242"/>
      <c r="J711" s="243"/>
      <c r="K711" s="243"/>
      <c r="L711" s="244">
        <v>0.1</v>
      </c>
      <c r="M711" s="244">
        <f t="shared" si="121"/>
        <v>0</v>
      </c>
      <c r="N711" s="244"/>
      <c r="O711" s="244"/>
      <c r="P711" s="244"/>
      <c r="Q711" s="245">
        <f t="shared" si="122"/>
        <v>0</v>
      </c>
      <c r="R711" s="245">
        <f t="shared" si="123"/>
        <v>0</v>
      </c>
      <c r="S711" s="246">
        <v>0.5</v>
      </c>
      <c r="T711" s="245">
        <f t="shared" si="124"/>
        <v>0</v>
      </c>
      <c r="U711" s="245">
        <f t="shared" si="125"/>
        <v>0</v>
      </c>
      <c r="V711" s="247"/>
    </row>
    <row r="712" spans="1:22" ht="15.75" x14ac:dyDescent="0.25">
      <c r="A712" s="236"/>
      <c r="B712" s="237"/>
      <c r="C712" s="238"/>
      <c r="D712" s="239"/>
      <c r="E712" s="240"/>
      <c r="F712" s="240"/>
      <c r="G712" s="240"/>
      <c r="H712" s="241">
        <f t="shared" si="120"/>
        <v>0</v>
      </c>
      <c r="I712" s="242"/>
      <c r="J712" s="243"/>
      <c r="K712" s="243"/>
      <c r="L712" s="244">
        <v>0.1</v>
      </c>
      <c r="M712" s="244">
        <f t="shared" si="121"/>
        <v>0</v>
      </c>
      <c r="N712" s="244"/>
      <c r="O712" s="244"/>
      <c r="P712" s="244"/>
      <c r="Q712" s="245">
        <f t="shared" si="122"/>
        <v>0</v>
      </c>
      <c r="R712" s="245">
        <f t="shared" si="123"/>
        <v>0</v>
      </c>
      <c r="S712" s="246">
        <v>0.5</v>
      </c>
      <c r="T712" s="245">
        <f t="shared" si="124"/>
        <v>0</v>
      </c>
      <c r="U712" s="245">
        <f t="shared" si="125"/>
        <v>0</v>
      </c>
      <c r="V712" s="247"/>
    </row>
    <row r="713" spans="1:22" ht="15.75" x14ac:dyDescent="0.25">
      <c r="A713" s="236"/>
      <c r="B713" s="237"/>
      <c r="C713" s="238"/>
      <c r="D713" s="239"/>
      <c r="E713" s="240"/>
      <c r="F713" s="240"/>
      <c r="G713" s="240"/>
      <c r="H713" s="241">
        <f t="shared" si="120"/>
        <v>0</v>
      </c>
      <c r="I713" s="242"/>
      <c r="J713" s="243"/>
      <c r="K713" s="243"/>
      <c r="L713" s="244">
        <v>0.1</v>
      </c>
      <c r="M713" s="244">
        <f t="shared" si="121"/>
        <v>0</v>
      </c>
      <c r="N713" s="244"/>
      <c r="O713" s="244"/>
      <c r="P713" s="244"/>
      <c r="Q713" s="245">
        <f t="shared" si="122"/>
        <v>0</v>
      </c>
      <c r="R713" s="245">
        <f t="shared" si="123"/>
        <v>0</v>
      </c>
      <c r="S713" s="246">
        <v>0.5</v>
      </c>
      <c r="T713" s="245">
        <f t="shared" si="124"/>
        <v>0</v>
      </c>
      <c r="U713" s="245">
        <f t="shared" si="125"/>
        <v>0</v>
      </c>
      <c r="V713" s="247"/>
    </row>
    <row r="714" spans="1:22" ht="15.75" x14ac:dyDescent="0.25">
      <c r="A714" s="236"/>
      <c r="B714" s="237"/>
      <c r="C714" s="238"/>
      <c r="D714" s="239"/>
      <c r="E714" s="240"/>
      <c r="F714" s="240"/>
      <c r="G714" s="240"/>
      <c r="H714" s="241">
        <f t="shared" si="120"/>
        <v>0</v>
      </c>
      <c r="I714" s="242"/>
      <c r="J714" s="243"/>
      <c r="K714" s="243"/>
      <c r="L714" s="244">
        <v>0.1</v>
      </c>
      <c r="M714" s="244">
        <f t="shared" si="121"/>
        <v>0</v>
      </c>
      <c r="N714" s="244"/>
      <c r="O714" s="244"/>
      <c r="P714" s="244"/>
      <c r="Q714" s="245">
        <f t="shared" si="122"/>
        <v>0</v>
      </c>
      <c r="R714" s="245">
        <f t="shared" si="123"/>
        <v>0</v>
      </c>
      <c r="S714" s="246">
        <v>0.5</v>
      </c>
      <c r="T714" s="245">
        <f t="shared" si="124"/>
        <v>0</v>
      </c>
      <c r="U714" s="245">
        <f t="shared" si="125"/>
        <v>0</v>
      </c>
      <c r="V714" s="247"/>
    </row>
    <row r="715" spans="1:22" ht="15.75" x14ac:dyDescent="0.25">
      <c r="A715" s="236"/>
      <c r="B715" s="237"/>
      <c r="C715" s="238"/>
      <c r="D715" s="239"/>
      <c r="E715" s="240"/>
      <c r="F715" s="240"/>
      <c r="G715" s="240"/>
      <c r="H715" s="241">
        <f t="shared" si="120"/>
        <v>0</v>
      </c>
      <c r="I715" s="242"/>
      <c r="J715" s="243"/>
      <c r="K715" s="243"/>
      <c r="L715" s="244">
        <v>0.1</v>
      </c>
      <c r="M715" s="244">
        <f t="shared" si="121"/>
        <v>0</v>
      </c>
      <c r="N715" s="244"/>
      <c r="O715" s="244"/>
      <c r="P715" s="244"/>
      <c r="Q715" s="245">
        <f t="shared" si="122"/>
        <v>0</v>
      </c>
      <c r="R715" s="245">
        <f t="shared" si="123"/>
        <v>0</v>
      </c>
      <c r="S715" s="246">
        <v>0.5</v>
      </c>
      <c r="T715" s="245">
        <f t="shared" si="124"/>
        <v>0</v>
      </c>
      <c r="U715" s="245">
        <f t="shared" si="125"/>
        <v>0</v>
      </c>
      <c r="V715" s="247"/>
    </row>
    <row r="716" spans="1:22" ht="15.75" x14ac:dyDescent="0.25">
      <c r="A716" s="236"/>
      <c r="B716" s="237"/>
      <c r="C716" s="238"/>
      <c r="D716" s="239"/>
      <c r="E716" s="240"/>
      <c r="F716" s="240"/>
      <c r="G716" s="240"/>
      <c r="H716" s="241">
        <f t="shared" si="120"/>
        <v>0</v>
      </c>
      <c r="I716" s="242"/>
      <c r="J716" s="243"/>
      <c r="K716" s="243"/>
      <c r="L716" s="244">
        <v>0.1</v>
      </c>
      <c r="M716" s="244">
        <f t="shared" si="121"/>
        <v>0</v>
      </c>
      <c r="N716" s="244"/>
      <c r="O716" s="244"/>
      <c r="P716" s="244"/>
      <c r="Q716" s="245">
        <f t="shared" si="122"/>
        <v>0</v>
      </c>
      <c r="R716" s="245">
        <f t="shared" si="123"/>
        <v>0</v>
      </c>
      <c r="S716" s="246">
        <v>0.5</v>
      </c>
      <c r="T716" s="245">
        <f t="shared" si="124"/>
        <v>0</v>
      </c>
      <c r="U716" s="245">
        <f t="shared" si="125"/>
        <v>0</v>
      </c>
      <c r="V716" s="247"/>
    </row>
    <row r="717" spans="1:22" ht="15.75" x14ac:dyDescent="0.25">
      <c r="A717" s="236"/>
      <c r="B717" s="237"/>
      <c r="C717" s="238"/>
      <c r="D717" s="239"/>
      <c r="E717" s="240"/>
      <c r="F717" s="240"/>
      <c r="G717" s="240"/>
      <c r="H717" s="241">
        <f t="shared" si="120"/>
        <v>0</v>
      </c>
      <c r="I717" s="242"/>
      <c r="J717" s="243"/>
      <c r="K717" s="243"/>
      <c r="L717" s="244">
        <v>0.1</v>
      </c>
      <c r="M717" s="244">
        <f t="shared" si="121"/>
        <v>0</v>
      </c>
      <c r="N717" s="244"/>
      <c r="O717" s="244"/>
      <c r="P717" s="244"/>
      <c r="Q717" s="245">
        <f t="shared" si="122"/>
        <v>0</v>
      </c>
      <c r="R717" s="245">
        <f t="shared" si="123"/>
        <v>0</v>
      </c>
      <c r="S717" s="246">
        <v>0.5</v>
      </c>
      <c r="T717" s="245">
        <f t="shared" si="124"/>
        <v>0</v>
      </c>
      <c r="U717" s="245">
        <f t="shared" si="125"/>
        <v>0</v>
      </c>
      <c r="V717" s="247"/>
    </row>
    <row r="718" spans="1:22" ht="15.75" x14ac:dyDescent="0.25">
      <c r="A718" s="236"/>
      <c r="B718" s="237"/>
      <c r="C718" s="238"/>
      <c r="D718" s="239"/>
      <c r="E718" s="240"/>
      <c r="F718" s="240"/>
      <c r="G718" s="240"/>
      <c r="H718" s="241">
        <f t="shared" si="120"/>
        <v>0</v>
      </c>
      <c r="I718" s="242"/>
      <c r="J718" s="243"/>
      <c r="K718" s="243"/>
      <c r="L718" s="244">
        <v>0.1</v>
      </c>
      <c r="M718" s="244">
        <f t="shared" si="121"/>
        <v>0</v>
      </c>
      <c r="N718" s="244"/>
      <c r="O718" s="244"/>
      <c r="P718" s="244"/>
      <c r="Q718" s="245">
        <f t="shared" si="122"/>
        <v>0</v>
      </c>
      <c r="R718" s="245">
        <f t="shared" si="123"/>
        <v>0</v>
      </c>
      <c r="S718" s="246">
        <v>0.5</v>
      </c>
      <c r="T718" s="245">
        <f t="shared" si="124"/>
        <v>0</v>
      </c>
      <c r="U718" s="245">
        <f t="shared" si="125"/>
        <v>0</v>
      </c>
      <c r="V718" s="247"/>
    </row>
    <row r="719" spans="1:22" ht="15.75" x14ac:dyDescent="0.25">
      <c r="A719" s="236"/>
      <c r="B719" s="237"/>
      <c r="C719" s="238"/>
      <c r="D719" s="239"/>
      <c r="E719" s="240"/>
      <c r="F719" s="240"/>
      <c r="G719" s="240"/>
      <c r="H719" s="241">
        <f t="shared" si="120"/>
        <v>0</v>
      </c>
      <c r="I719" s="242"/>
      <c r="J719" s="243"/>
      <c r="K719" s="243"/>
      <c r="L719" s="244">
        <v>0.1</v>
      </c>
      <c r="M719" s="244">
        <f t="shared" si="121"/>
        <v>0</v>
      </c>
      <c r="N719" s="244"/>
      <c r="O719" s="244"/>
      <c r="P719" s="244"/>
      <c r="Q719" s="245">
        <f t="shared" si="122"/>
        <v>0</v>
      </c>
      <c r="R719" s="245">
        <f t="shared" si="123"/>
        <v>0</v>
      </c>
      <c r="S719" s="246">
        <v>0.5</v>
      </c>
      <c r="T719" s="245">
        <f t="shared" si="124"/>
        <v>0</v>
      </c>
      <c r="U719" s="245">
        <f t="shared" si="125"/>
        <v>0</v>
      </c>
      <c r="V719" s="247"/>
    </row>
    <row r="720" spans="1:22" ht="15.75" x14ac:dyDescent="0.25">
      <c r="A720" s="236"/>
      <c r="B720" s="237"/>
      <c r="C720" s="238"/>
      <c r="D720" s="239"/>
      <c r="E720" s="240"/>
      <c r="F720" s="240"/>
      <c r="G720" s="240"/>
      <c r="H720" s="241">
        <f t="shared" si="120"/>
        <v>0</v>
      </c>
      <c r="I720" s="242"/>
      <c r="J720" s="243"/>
      <c r="K720" s="243"/>
      <c r="L720" s="244">
        <v>0.1</v>
      </c>
      <c r="M720" s="244">
        <f t="shared" si="121"/>
        <v>0</v>
      </c>
      <c r="N720" s="244"/>
      <c r="O720" s="244"/>
      <c r="P720" s="244"/>
      <c r="Q720" s="245">
        <f t="shared" si="122"/>
        <v>0</v>
      </c>
      <c r="R720" s="245">
        <f t="shared" si="123"/>
        <v>0</v>
      </c>
      <c r="S720" s="246">
        <v>0.5</v>
      </c>
      <c r="T720" s="245">
        <f t="shared" si="124"/>
        <v>0</v>
      </c>
      <c r="U720" s="245">
        <f t="shared" si="125"/>
        <v>0</v>
      </c>
      <c r="V720" s="247"/>
    </row>
    <row r="721" spans="1:22" ht="15.75" x14ac:dyDescent="0.25">
      <c r="A721" s="236"/>
      <c r="B721" s="237"/>
      <c r="C721" s="238"/>
      <c r="D721" s="239"/>
      <c r="E721" s="240"/>
      <c r="F721" s="240"/>
      <c r="G721" s="240"/>
      <c r="H721" s="241">
        <f t="shared" si="120"/>
        <v>0</v>
      </c>
      <c r="I721" s="242"/>
      <c r="J721" s="243"/>
      <c r="K721" s="243"/>
      <c r="L721" s="244">
        <v>0.1</v>
      </c>
      <c r="M721" s="244">
        <f t="shared" si="121"/>
        <v>0</v>
      </c>
      <c r="N721" s="244"/>
      <c r="O721" s="244"/>
      <c r="P721" s="244"/>
      <c r="Q721" s="245">
        <f t="shared" si="122"/>
        <v>0</v>
      </c>
      <c r="R721" s="245">
        <f t="shared" si="123"/>
        <v>0</v>
      </c>
      <c r="S721" s="246">
        <v>0.5</v>
      </c>
      <c r="T721" s="245">
        <f t="shared" si="124"/>
        <v>0</v>
      </c>
      <c r="U721" s="245">
        <f t="shared" si="125"/>
        <v>0</v>
      </c>
      <c r="V721" s="247"/>
    </row>
    <row r="722" spans="1:22" ht="15.75" x14ac:dyDescent="0.25">
      <c r="A722" s="236"/>
      <c r="B722" s="237"/>
      <c r="C722" s="238"/>
      <c r="D722" s="239"/>
      <c r="E722" s="240"/>
      <c r="F722" s="240"/>
      <c r="G722" s="240"/>
      <c r="H722" s="241">
        <f t="shared" si="120"/>
        <v>0</v>
      </c>
      <c r="I722" s="242"/>
      <c r="J722" s="243"/>
      <c r="K722" s="243"/>
      <c r="L722" s="244">
        <v>0.1</v>
      </c>
      <c r="M722" s="244">
        <f t="shared" si="121"/>
        <v>0</v>
      </c>
      <c r="N722" s="244"/>
      <c r="O722" s="244"/>
      <c r="P722" s="244"/>
      <c r="Q722" s="245">
        <f t="shared" si="122"/>
        <v>0</v>
      </c>
      <c r="R722" s="245">
        <f t="shared" si="123"/>
        <v>0</v>
      </c>
      <c r="S722" s="246">
        <v>0.5</v>
      </c>
      <c r="T722" s="245">
        <f t="shared" si="124"/>
        <v>0</v>
      </c>
      <c r="U722" s="245">
        <f t="shared" si="125"/>
        <v>0</v>
      </c>
      <c r="V722" s="247"/>
    </row>
    <row r="723" spans="1:22" ht="15.75" x14ac:dyDescent="0.25">
      <c r="A723" s="236"/>
      <c r="B723" s="237"/>
      <c r="C723" s="238"/>
      <c r="D723" s="239"/>
      <c r="E723" s="240"/>
      <c r="F723" s="240"/>
      <c r="G723" s="240"/>
      <c r="H723" s="241">
        <f t="shared" si="120"/>
        <v>0</v>
      </c>
      <c r="I723" s="242"/>
      <c r="J723" s="243"/>
      <c r="K723" s="243"/>
      <c r="L723" s="244">
        <v>0.1</v>
      </c>
      <c r="M723" s="244">
        <f t="shared" si="121"/>
        <v>0</v>
      </c>
      <c r="N723" s="244"/>
      <c r="O723" s="244"/>
      <c r="P723" s="244"/>
      <c r="Q723" s="245">
        <f t="shared" si="122"/>
        <v>0</v>
      </c>
      <c r="R723" s="245">
        <f t="shared" si="123"/>
        <v>0</v>
      </c>
      <c r="S723" s="246">
        <v>0.5</v>
      </c>
      <c r="T723" s="245">
        <f t="shared" si="124"/>
        <v>0</v>
      </c>
      <c r="U723" s="245">
        <f t="shared" si="125"/>
        <v>0</v>
      </c>
      <c r="V723" s="247"/>
    </row>
    <row r="724" spans="1:22" ht="15.75" x14ac:dyDescent="0.25">
      <c r="A724" s="236"/>
      <c r="B724" s="237"/>
      <c r="C724" s="238"/>
      <c r="D724" s="239"/>
      <c r="E724" s="240"/>
      <c r="F724" s="240"/>
      <c r="G724" s="240"/>
      <c r="H724" s="241">
        <f t="shared" si="120"/>
        <v>0</v>
      </c>
      <c r="I724" s="242"/>
      <c r="J724" s="243"/>
      <c r="K724" s="243"/>
      <c r="L724" s="244">
        <v>0.1</v>
      </c>
      <c r="M724" s="244">
        <f t="shared" si="121"/>
        <v>0</v>
      </c>
      <c r="N724" s="244"/>
      <c r="O724" s="244"/>
      <c r="P724" s="244"/>
      <c r="Q724" s="245">
        <f t="shared" si="122"/>
        <v>0</v>
      </c>
      <c r="R724" s="245">
        <f t="shared" si="123"/>
        <v>0</v>
      </c>
      <c r="S724" s="246">
        <v>0.5</v>
      </c>
      <c r="T724" s="245">
        <f t="shared" si="124"/>
        <v>0</v>
      </c>
      <c r="U724" s="245">
        <f t="shared" si="125"/>
        <v>0</v>
      </c>
      <c r="V724" s="247"/>
    </row>
    <row r="725" spans="1:22" ht="15.75" x14ac:dyDescent="0.25">
      <c r="A725" s="236"/>
      <c r="B725" s="237"/>
      <c r="C725" s="238"/>
      <c r="D725" s="239"/>
      <c r="E725" s="240"/>
      <c r="F725" s="240"/>
      <c r="G725" s="240"/>
      <c r="H725" s="241">
        <f t="shared" si="120"/>
        <v>0</v>
      </c>
      <c r="I725" s="242"/>
      <c r="J725" s="243"/>
      <c r="K725" s="243"/>
      <c r="L725" s="244">
        <v>0.1</v>
      </c>
      <c r="M725" s="244">
        <f t="shared" si="121"/>
        <v>0</v>
      </c>
      <c r="N725" s="244"/>
      <c r="O725" s="244"/>
      <c r="P725" s="244"/>
      <c r="Q725" s="245">
        <f t="shared" si="122"/>
        <v>0</v>
      </c>
      <c r="R725" s="245">
        <f t="shared" si="123"/>
        <v>0</v>
      </c>
      <c r="S725" s="246">
        <v>0.5</v>
      </c>
      <c r="T725" s="245">
        <f t="shared" si="124"/>
        <v>0</v>
      </c>
      <c r="U725" s="245">
        <f t="shared" si="125"/>
        <v>0</v>
      </c>
      <c r="V725" s="247"/>
    </row>
    <row r="726" spans="1:22" ht="15.75" x14ac:dyDescent="0.25">
      <c r="A726" s="236"/>
      <c r="B726" s="237"/>
      <c r="C726" s="238"/>
      <c r="D726" s="239"/>
      <c r="E726" s="240"/>
      <c r="F726" s="240"/>
      <c r="G726" s="240"/>
      <c r="H726" s="241">
        <f t="shared" si="120"/>
        <v>0</v>
      </c>
      <c r="I726" s="242"/>
      <c r="J726" s="243"/>
      <c r="K726" s="243"/>
      <c r="L726" s="244">
        <v>0.1</v>
      </c>
      <c r="M726" s="244">
        <f t="shared" si="121"/>
        <v>0</v>
      </c>
      <c r="N726" s="244"/>
      <c r="O726" s="244"/>
      <c r="P726" s="244"/>
      <c r="Q726" s="245">
        <f t="shared" si="122"/>
        <v>0</v>
      </c>
      <c r="R726" s="245">
        <f t="shared" si="123"/>
        <v>0</v>
      </c>
      <c r="S726" s="246">
        <v>0.5</v>
      </c>
      <c r="T726" s="245">
        <f t="shared" si="124"/>
        <v>0</v>
      </c>
      <c r="U726" s="245">
        <f t="shared" si="125"/>
        <v>0</v>
      </c>
      <c r="V726" s="247"/>
    </row>
    <row r="727" spans="1:22" ht="15.75" x14ac:dyDescent="0.25">
      <c r="A727" s="236"/>
      <c r="B727" s="237"/>
      <c r="C727" s="238"/>
      <c r="D727" s="239"/>
      <c r="E727" s="240"/>
      <c r="F727" s="240"/>
      <c r="G727" s="240"/>
      <c r="H727" s="241">
        <f t="shared" si="120"/>
        <v>0</v>
      </c>
      <c r="I727" s="242"/>
      <c r="J727" s="243"/>
      <c r="K727" s="243"/>
      <c r="L727" s="244">
        <v>0.1</v>
      </c>
      <c r="M727" s="244">
        <f t="shared" si="121"/>
        <v>0</v>
      </c>
      <c r="N727" s="244"/>
      <c r="O727" s="244"/>
      <c r="P727" s="244"/>
      <c r="Q727" s="245">
        <f t="shared" si="122"/>
        <v>0</v>
      </c>
      <c r="R727" s="245">
        <f t="shared" si="123"/>
        <v>0</v>
      </c>
      <c r="S727" s="246">
        <v>0.5</v>
      </c>
      <c r="T727" s="245">
        <f t="shared" si="124"/>
        <v>0</v>
      </c>
      <c r="U727" s="245">
        <f t="shared" si="125"/>
        <v>0</v>
      </c>
      <c r="V727" s="247"/>
    </row>
    <row r="728" spans="1:22" ht="15.75" x14ac:dyDescent="0.25">
      <c r="A728" s="236"/>
      <c r="B728" s="237"/>
      <c r="C728" s="238"/>
      <c r="D728" s="239"/>
      <c r="E728" s="240"/>
      <c r="F728" s="240"/>
      <c r="G728" s="240"/>
      <c r="H728" s="241">
        <f t="shared" si="120"/>
        <v>0</v>
      </c>
      <c r="I728" s="242"/>
      <c r="J728" s="243"/>
      <c r="K728" s="243"/>
      <c r="L728" s="244">
        <v>0.1</v>
      </c>
      <c r="M728" s="244">
        <f t="shared" si="121"/>
        <v>0</v>
      </c>
      <c r="N728" s="244"/>
      <c r="O728" s="244"/>
      <c r="P728" s="244"/>
      <c r="Q728" s="245">
        <f t="shared" si="122"/>
        <v>0</v>
      </c>
      <c r="R728" s="245">
        <f t="shared" si="123"/>
        <v>0</v>
      </c>
      <c r="S728" s="246">
        <v>0.5</v>
      </c>
      <c r="T728" s="245">
        <f t="shared" si="124"/>
        <v>0</v>
      </c>
      <c r="U728" s="245">
        <f t="shared" si="125"/>
        <v>0</v>
      </c>
      <c r="V728" s="247"/>
    </row>
    <row r="729" spans="1:22" ht="15.75" x14ac:dyDescent="0.25">
      <c r="A729" s="236"/>
      <c r="B729" s="237"/>
      <c r="C729" s="238"/>
      <c r="D729" s="239"/>
      <c r="E729" s="240"/>
      <c r="F729" s="240"/>
      <c r="G729" s="240"/>
      <c r="H729" s="241">
        <f t="shared" si="120"/>
        <v>0</v>
      </c>
      <c r="I729" s="242"/>
      <c r="J729" s="243"/>
      <c r="K729" s="243"/>
      <c r="L729" s="244">
        <v>0.1</v>
      </c>
      <c r="M729" s="244">
        <f t="shared" si="121"/>
        <v>0</v>
      </c>
      <c r="N729" s="244"/>
      <c r="O729" s="244"/>
      <c r="P729" s="244"/>
      <c r="Q729" s="245">
        <f t="shared" si="122"/>
        <v>0</v>
      </c>
      <c r="R729" s="245">
        <f t="shared" si="123"/>
        <v>0</v>
      </c>
      <c r="S729" s="246">
        <v>0.5</v>
      </c>
      <c r="T729" s="245">
        <f t="shared" si="124"/>
        <v>0</v>
      </c>
      <c r="U729" s="245">
        <f t="shared" si="125"/>
        <v>0</v>
      </c>
      <c r="V729" s="247"/>
    </row>
    <row r="730" spans="1:22" ht="15.75" x14ac:dyDescent="0.25">
      <c r="A730" s="236"/>
      <c r="B730" s="237"/>
      <c r="C730" s="238"/>
      <c r="D730" s="239"/>
      <c r="E730" s="240"/>
      <c r="F730" s="240"/>
      <c r="G730" s="240"/>
      <c r="H730" s="241">
        <f t="shared" si="120"/>
        <v>0</v>
      </c>
      <c r="I730" s="242"/>
      <c r="J730" s="243"/>
      <c r="K730" s="243"/>
      <c r="L730" s="244">
        <v>0.1</v>
      </c>
      <c r="M730" s="244">
        <f t="shared" si="121"/>
        <v>0</v>
      </c>
      <c r="N730" s="244"/>
      <c r="O730" s="244"/>
      <c r="P730" s="244"/>
      <c r="Q730" s="245">
        <f t="shared" si="122"/>
        <v>0</v>
      </c>
      <c r="R730" s="245">
        <f t="shared" si="123"/>
        <v>0</v>
      </c>
      <c r="S730" s="246">
        <v>0.5</v>
      </c>
      <c r="T730" s="245">
        <f t="shared" si="124"/>
        <v>0</v>
      </c>
      <c r="U730" s="245">
        <f t="shared" si="125"/>
        <v>0</v>
      </c>
      <c r="V730" s="247"/>
    </row>
    <row r="731" spans="1:22" ht="15.75" x14ac:dyDescent="0.25">
      <c r="A731" s="236"/>
      <c r="B731" s="237"/>
      <c r="C731" s="238"/>
      <c r="D731" s="239"/>
      <c r="E731" s="240"/>
      <c r="F731" s="240"/>
      <c r="G731" s="240"/>
      <c r="H731" s="241">
        <f t="shared" si="120"/>
        <v>0</v>
      </c>
      <c r="I731" s="242"/>
      <c r="J731" s="243"/>
      <c r="K731" s="243"/>
      <c r="L731" s="244">
        <v>0.1</v>
      </c>
      <c r="M731" s="244">
        <f t="shared" si="121"/>
        <v>0</v>
      </c>
      <c r="N731" s="244"/>
      <c r="O731" s="244"/>
      <c r="P731" s="244"/>
      <c r="Q731" s="245">
        <f t="shared" si="122"/>
        <v>0</v>
      </c>
      <c r="R731" s="245">
        <f t="shared" si="123"/>
        <v>0</v>
      </c>
      <c r="S731" s="246">
        <v>0.5</v>
      </c>
      <c r="T731" s="245">
        <f t="shared" si="124"/>
        <v>0</v>
      </c>
      <c r="U731" s="245">
        <f t="shared" si="125"/>
        <v>0</v>
      </c>
      <c r="V731" s="247"/>
    </row>
    <row r="732" spans="1:22" ht="15.75" x14ac:dyDescent="0.25">
      <c r="A732" s="236"/>
      <c r="B732" s="237"/>
      <c r="C732" s="238"/>
      <c r="D732" s="239"/>
      <c r="E732" s="240"/>
      <c r="F732" s="240"/>
      <c r="G732" s="240"/>
      <c r="H732" s="241">
        <f t="shared" si="120"/>
        <v>0</v>
      </c>
      <c r="I732" s="242"/>
      <c r="J732" s="243"/>
      <c r="K732" s="243"/>
      <c r="L732" s="244">
        <v>0.1</v>
      </c>
      <c r="M732" s="244">
        <f t="shared" si="121"/>
        <v>0</v>
      </c>
      <c r="N732" s="244"/>
      <c r="O732" s="244"/>
      <c r="P732" s="244"/>
      <c r="Q732" s="245">
        <f t="shared" si="122"/>
        <v>0</v>
      </c>
      <c r="R732" s="245">
        <f t="shared" si="123"/>
        <v>0</v>
      </c>
      <c r="S732" s="246">
        <v>0.5</v>
      </c>
      <c r="T732" s="245">
        <f t="shared" si="124"/>
        <v>0</v>
      </c>
      <c r="U732" s="245">
        <f t="shared" si="125"/>
        <v>0</v>
      </c>
      <c r="V732" s="247"/>
    </row>
    <row r="733" spans="1:22" ht="15.75" x14ac:dyDescent="0.25">
      <c r="A733" s="236"/>
      <c r="B733" s="237"/>
      <c r="C733" s="238"/>
      <c r="D733" s="239"/>
      <c r="E733" s="240"/>
      <c r="F733" s="240"/>
      <c r="G733" s="240"/>
      <c r="H733" s="241">
        <f t="shared" si="120"/>
        <v>0</v>
      </c>
      <c r="I733" s="242"/>
      <c r="J733" s="243"/>
      <c r="K733" s="243"/>
      <c r="L733" s="244">
        <v>0.1</v>
      </c>
      <c r="M733" s="244">
        <f t="shared" si="121"/>
        <v>0</v>
      </c>
      <c r="N733" s="244"/>
      <c r="O733" s="244"/>
      <c r="P733" s="244"/>
      <c r="Q733" s="245">
        <f t="shared" si="122"/>
        <v>0</v>
      </c>
      <c r="R733" s="245">
        <f t="shared" si="123"/>
        <v>0</v>
      </c>
      <c r="S733" s="246">
        <v>0.5</v>
      </c>
      <c r="T733" s="245">
        <f t="shared" si="124"/>
        <v>0</v>
      </c>
      <c r="U733" s="245">
        <f t="shared" si="125"/>
        <v>0</v>
      </c>
      <c r="V733" s="247"/>
    </row>
    <row r="734" spans="1:22" ht="15.75" x14ac:dyDescent="0.25">
      <c r="A734" s="236"/>
      <c r="B734" s="237"/>
      <c r="C734" s="238"/>
      <c r="D734" s="239"/>
      <c r="E734" s="240"/>
      <c r="F734" s="240"/>
      <c r="G734" s="240"/>
      <c r="H734" s="241">
        <f t="shared" si="120"/>
        <v>0</v>
      </c>
      <c r="I734" s="242"/>
      <c r="J734" s="243"/>
      <c r="K734" s="243"/>
      <c r="L734" s="244">
        <v>0.1</v>
      </c>
      <c r="M734" s="244">
        <f t="shared" si="121"/>
        <v>0</v>
      </c>
      <c r="N734" s="244"/>
      <c r="O734" s="244"/>
      <c r="P734" s="244"/>
      <c r="Q734" s="245">
        <f t="shared" si="122"/>
        <v>0</v>
      </c>
      <c r="R734" s="245">
        <f t="shared" si="123"/>
        <v>0</v>
      </c>
      <c r="S734" s="246">
        <v>0.5</v>
      </c>
      <c r="T734" s="245">
        <f t="shared" si="124"/>
        <v>0</v>
      </c>
      <c r="U734" s="245">
        <f t="shared" si="125"/>
        <v>0</v>
      </c>
      <c r="V734" s="247"/>
    </row>
    <row r="735" spans="1:22" ht="15.75" x14ac:dyDescent="0.25">
      <c r="A735" s="236"/>
      <c r="B735" s="237"/>
      <c r="C735" s="238"/>
      <c r="D735" s="239"/>
      <c r="E735" s="240"/>
      <c r="F735" s="240"/>
      <c r="G735" s="240"/>
      <c r="H735" s="241">
        <f t="shared" si="120"/>
        <v>0</v>
      </c>
      <c r="I735" s="242"/>
      <c r="J735" s="243"/>
      <c r="K735" s="243"/>
      <c r="L735" s="244">
        <v>0.1</v>
      </c>
      <c r="M735" s="244">
        <f t="shared" si="121"/>
        <v>0</v>
      </c>
      <c r="N735" s="244"/>
      <c r="O735" s="244"/>
      <c r="P735" s="244"/>
      <c r="Q735" s="245">
        <f t="shared" si="122"/>
        <v>0</v>
      </c>
      <c r="R735" s="245">
        <f t="shared" si="123"/>
        <v>0</v>
      </c>
      <c r="S735" s="246">
        <v>0.5</v>
      </c>
      <c r="T735" s="245">
        <f t="shared" si="124"/>
        <v>0</v>
      </c>
      <c r="U735" s="245">
        <f t="shared" si="125"/>
        <v>0</v>
      </c>
      <c r="V735" s="247"/>
    </row>
    <row r="736" spans="1:22" ht="15.75" x14ac:dyDescent="0.25">
      <c r="A736" s="236"/>
      <c r="B736" s="237"/>
      <c r="C736" s="238"/>
      <c r="D736" s="239"/>
      <c r="E736" s="240"/>
      <c r="F736" s="240"/>
      <c r="G736" s="240"/>
      <c r="H736" s="241">
        <f t="shared" si="120"/>
        <v>0</v>
      </c>
      <c r="I736" s="242"/>
      <c r="J736" s="243"/>
      <c r="K736" s="243"/>
      <c r="L736" s="244">
        <v>0.1</v>
      </c>
      <c r="M736" s="244">
        <f t="shared" si="121"/>
        <v>0</v>
      </c>
      <c r="N736" s="244"/>
      <c r="O736" s="244"/>
      <c r="P736" s="244"/>
      <c r="Q736" s="245">
        <f t="shared" si="122"/>
        <v>0</v>
      </c>
      <c r="R736" s="245">
        <f t="shared" si="123"/>
        <v>0</v>
      </c>
      <c r="S736" s="246">
        <v>0.5</v>
      </c>
      <c r="T736" s="245">
        <f t="shared" si="124"/>
        <v>0</v>
      </c>
      <c r="U736" s="245">
        <f t="shared" si="125"/>
        <v>0</v>
      </c>
      <c r="V736" s="247"/>
    </row>
    <row r="737" spans="1:22" ht="15.75" x14ac:dyDescent="0.25">
      <c r="A737" s="236"/>
      <c r="B737" s="237"/>
      <c r="C737" s="238"/>
      <c r="D737" s="239"/>
      <c r="E737" s="240"/>
      <c r="F737" s="240"/>
      <c r="G737" s="240"/>
      <c r="H737" s="241">
        <f t="shared" si="120"/>
        <v>0</v>
      </c>
      <c r="I737" s="242"/>
      <c r="J737" s="243"/>
      <c r="K737" s="243"/>
      <c r="L737" s="244">
        <v>0.1</v>
      </c>
      <c r="M737" s="244">
        <f t="shared" si="121"/>
        <v>0</v>
      </c>
      <c r="N737" s="244"/>
      <c r="O737" s="244"/>
      <c r="P737" s="244"/>
      <c r="Q737" s="245">
        <f t="shared" si="122"/>
        <v>0</v>
      </c>
      <c r="R737" s="245">
        <f t="shared" si="123"/>
        <v>0</v>
      </c>
      <c r="S737" s="246">
        <v>0.5</v>
      </c>
      <c r="T737" s="245">
        <f t="shared" si="124"/>
        <v>0</v>
      </c>
      <c r="U737" s="245">
        <f t="shared" si="125"/>
        <v>0</v>
      </c>
      <c r="V737" s="247"/>
    </row>
    <row r="738" spans="1:22" ht="15.75" x14ac:dyDescent="0.25">
      <c r="A738" s="236"/>
      <c r="B738" s="237"/>
      <c r="C738" s="238"/>
      <c r="D738" s="239"/>
      <c r="E738" s="240"/>
      <c r="F738" s="240"/>
      <c r="G738" s="240"/>
      <c r="H738" s="241">
        <f t="shared" ref="H738:H801" si="126">+E738+F738+G738</f>
        <v>0</v>
      </c>
      <c r="I738" s="242"/>
      <c r="J738" s="243"/>
      <c r="K738" s="243"/>
      <c r="L738" s="244">
        <v>0.1</v>
      </c>
      <c r="M738" s="244">
        <f t="shared" ref="M738:M801" si="127">+L738*C738</f>
        <v>0</v>
      </c>
      <c r="N738" s="244"/>
      <c r="O738" s="244"/>
      <c r="P738" s="244"/>
      <c r="Q738" s="245">
        <f t="shared" ref="Q738:Q801" si="128">+N738+O738+P738</f>
        <v>0</v>
      </c>
      <c r="R738" s="245">
        <f t="shared" ref="R738:R801" si="129">IF(+Q738-H738&lt;=0,0,Q738-H738)</f>
        <v>0</v>
      </c>
      <c r="S738" s="246">
        <v>0.5</v>
      </c>
      <c r="T738" s="245">
        <f t="shared" ref="T738:T801" si="130">+(R738*C738)*S738</f>
        <v>0</v>
      </c>
      <c r="U738" s="245">
        <f t="shared" ref="U738:U801" si="131">+J738+M738+T738</f>
        <v>0</v>
      </c>
      <c r="V738" s="247"/>
    </row>
    <row r="739" spans="1:22" ht="15.75" x14ac:dyDescent="0.25">
      <c r="A739" s="236"/>
      <c r="B739" s="237"/>
      <c r="C739" s="238"/>
      <c r="D739" s="239"/>
      <c r="E739" s="240"/>
      <c r="F739" s="240"/>
      <c r="G739" s="240"/>
      <c r="H739" s="241">
        <f t="shared" si="126"/>
        <v>0</v>
      </c>
      <c r="I739" s="242"/>
      <c r="J739" s="243"/>
      <c r="K739" s="243"/>
      <c r="L739" s="244">
        <v>0.1</v>
      </c>
      <c r="M739" s="244">
        <f t="shared" si="127"/>
        <v>0</v>
      </c>
      <c r="N739" s="244"/>
      <c r="O739" s="244"/>
      <c r="P739" s="244"/>
      <c r="Q739" s="245">
        <f t="shared" si="128"/>
        <v>0</v>
      </c>
      <c r="R739" s="245">
        <f t="shared" si="129"/>
        <v>0</v>
      </c>
      <c r="S739" s="246">
        <v>0.5</v>
      </c>
      <c r="T739" s="245">
        <f t="shared" si="130"/>
        <v>0</v>
      </c>
      <c r="U739" s="245">
        <f t="shared" si="131"/>
        <v>0</v>
      </c>
      <c r="V739" s="247"/>
    </row>
    <row r="740" spans="1:22" ht="15.75" x14ac:dyDescent="0.25">
      <c r="A740" s="236"/>
      <c r="B740" s="237"/>
      <c r="C740" s="238"/>
      <c r="D740" s="239"/>
      <c r="E740" s="240"/>
      <c r="F740" s="240"/>
      <c r="G740" s="240"/>
      <c r="H740" s="241">
        <f t="shared" si="126"/>
        <v>0</v>
      </c>
      <c r="I740" s="242"/>
      <c r="J740" s="243"/>
      <c r="K740" s="243"/>
      <c r="L740" s="244">
        <v>0.1</v>
      </c>
      <c r="M740" s="244">
        <f t="shared" si="127"/>
        <v>0</v>
      </c>
      <c r="N740" s="244"/>
      <c r="O740" s="244"/>
      <c r="P740" s="244"/>
      <c r="Q740" s="245">
        <f t="shared" si="128"/>
        <v>0</v>
      </c>
      <c r="R740" s="245">
        <f t="shared" si="129"/>
        <v>0</v>
      </c>
      <c r="S740" s="246">
        <v>0.5</v>
      </c>
      <c r="T740" s="245">
        <f t="shared" si="130"/>
        <v>0</v>
      </c>
      <c r="U740" s="245">
        <f t="shared" si="131"/>
        <v>0</v>
      </c>
      <c r="V740" s="247"/>
    </row>
    <row r="741" spans="1:22" ht="15.75" x14ac:dyDescent="0.25">
      <c r="A741" s="236"/>
      <c r="B741" s="237"/>
      <c r="C741" s="238"/>
      <c r="D741" s="239"/>
      <c r="E741" s="240"/>
      <c r="F741" s="240"/>
      <c r="G741" s="240"/>
      <c r="H741" s="241">
        <f t="shared" si="126"/>
        <v>0</v>
      </c>
      <c r="I741" s="242"/>
      <c r="J741" s="243"/>
      <c r="K741" s="243"/>
      <c r="L741" s="244">
        <v>0.1</v>
      </c>
      <c r="M741" s="244">
        <f t="shared" si="127"/>
        <v>0</v>
      </c>
      <c r="N741" s="244"/>
      <c r="O741" s="244"/>
      <c r="P741" s="244"/>
      <c r="Q741" s="245">
        <f t="shared" si="128"/>
        <v>0</v>
      </c>
      <c r="R741" s="245">
        <f t="shared" si="129"/>
        <v>0</v>
      </c>
      <c r="S741" s="246">
        <v>0.5</v>
      </c>
      <c r="T741" s="245">
        <f t="shared" si="130"/>
        <v>0</v>
      </c>
      <c r="U741" s="245">
        <f t="shared" si="131"/>
        <v>0</v>
      </c>
      <c r="V741" s="247"/>
    </row>
    <row r="742" spans="1:22" ht="15.75" x14ac:dyDescent="0.25">
      <c r="A742" s="236"/>
      <c r="B742" s="237"/>
      <c r="C742" s="238"/>
      <c r="D742" s="239"/>
      <c r="E742" s="240"/>
      <c r="F742" s="240"/>
      <c r="G742" s="240"/>
      <c r="H742" s="241">
        <f t="shared" si="126"/>
        <v>0</v>
      </c>
      <c r="I742" s="242"/>
      <c r="J742" s="243"/>
      <c r="K742" s="243"/>
      <c r="L742" s="244">
        <v>0.1</v>
      </c>
      <c r="M742" s="244">
        <f t="shared" si="127"/>
        <v>0</v>
      </c>
      <c r="N742" s="244"/>
      <c r="O742" s="244"/>
      <c r="P742" s="244"/>
      <c r="Q742" s="245">
        <f t="shared" si="128"/>
        <v>0</v>
      </c>
      <c r="R742" s="245">
        <f t="shared" si="129"/>
        <v>0</v>
      </c>
      <c r="S742" s="246">
        <v>0.5</v>
      </c>
      <c r="T742" s="245">
        <f t="shared" si="130"/>
        <v>0</v>
      </c>
      <c r="U742" s="245">
        <f t="shared" si="131"/>
        <v>0</v>
      </c>
      <c r="V742" s="247"/>
    </row>
    <row r="743" spans="1:22" ht="15.75" x14ac:dyDescent="0.25">
      <c r="A743" s="236"/>
      <c r="B743" s="237"/>
      <c r="C743" s="238"/>
      <c r="D743" s="239"/>
      <c r="E743" s="240"/>
      <c r="F743" s="240"/>
      <c r="G743" s="240"/>
      <c r="H743" s="241">
        <f t="shared" si="126"/>
        <v>0</v>
      </c>
      <c r="I743" s="242"/>
      <c r="J743" s="243"/>
      <c r="K743" s="243"/>
      <c r="L743" s="244">
        <v>0.1</v>
      </c>
      <c r="M743" s="244">
        <f t="shared" si="127"/>
        <v>0</v>
      </c>
      <c r="N743" s="244"/>
      <c r="O743" s="244"/>
      <c r="P743" s="244"/>
      <c r="Q743" s="245">
        <f t="shared" si="128"/>
        <v>0</v>
      </c>
      <c r="R743" s="245">
        <f t="shared" si="129"/>
        <v>0</v>
      </c>
      <c r="S743" s="246">
        <v>0.5</v>
      </c>
      <c r="T743" s="245">
        <f t="shared" si="130"/>
        <v>0</v>
      </c>
      <c r="U743" s="245">
        <f t="shared" si="131"/>
        <v>0</v>
      </c>
      <c r="V743" s="247"/>
    </row>
    <row r="744" spans="1:22" ht="15.75" x14ac:dyDescent="0.25">
      <c r="A744" s="236"/>
      <c r="B744" s="237"/>
      <c r="C744" s="238"/>
      <c r="D744" s="239"/>
      <c r="E744" s="240"/>
      <c r="F744" s="240"/>
      <c r="G744" s="240"/>
      <c r="H744" s="241">
        <f t="shared" si="126"/>
        <v>0</v>
      </c>
      <c r="I744" s="242"/>
      <c r="J744" s="243"/>
      <c r="K744" s="243"/>
      <c r="L744" s="244">
        <v>0.1</v>
      </c>
      <c r="M744" s="244">
        <f t="shared" si="127"/>
        <v>0</v>
      </c>
      <c r="N744" s="244"/>
      <c r="O744" s="244"/>
      <c r="P744" s="244"/>
      <c r="Q744" s="245">
        <f t="shared" si="128"/>
        <v>0</v>
      </c>
      <c r="R744" s="245">
        <f t="shared" si="129"/>
        <v>0</v>
      </c>
      <c r="S744" s="246">
        <v>0.5</v>
      </c>
      <c r="T744" s="245">
        <f t="shared" si="130"/>
        <v>0</v>
      </c>
      <c r="U744" s="245">
        <f t="shared" si="131"/>
        <v>0</v>
      </c>
      <c r="V744" s="247"/>
    </row>
    <row r="745" spans="1:22" ht="15.75" x14ac:dyDescent="0.25">
      <c r="A745" s="236"/>
      <c r="B745" s="237"/>
      <c r="C745" s="238"/>
      <c r="D745" s="239"/>
      <c r="E745" s="240"/>
      <c r="F745" s="240"/>
      <c r="G745" s="240"/>
      <c r="H745" s="241">
        <f t="shared" si="126"/>
        <v>0</v>
      </c>
      <c r="I745" s="242"/>
      <c r="J745" s="243"/>
      <c r="K745" s="243"/>
      <c r="L745" s="244">
        <v>0.1</v>
      </c>
      <c r="M745" s="244">
        <f t="shared" si="127"/>
        <v>0</v>
      </c>
      <c r="N745" s="244"/>
      <c r="O745" s="244"/>
      <c r="P745" s="244"/>
      <c r="Q745" s="245">
        <f t="shared" si="128"/>
        <v>0</v>
      </c>
      <c r="R745" s="245">
        <f t="shared" si="129"/>
        <v>0</v>
      </c>
      <c r="S745" s="246">
        <v>0.5</v>
      </c>
      <c r="T745" s="245">
        <f t="shared" si="130"/>
        <v>0</v>
      </c>
      <c r="U745" s="245">
        <f t="shared" si="131"/>
        <v>0</v>
      </c>
      <c r="V745" s="247"/>
    </row>
    <row r="746" spans="1:22" ht="15.75" x14ac:dyDescent="0.25">
      <c r="A746" s="236"/>
      <c r="B746" s="237"/>
      <c r="C746" s="238"/>
      <c r="D746" s="239"/>
      <c r="E746" s="240"/>
      <c r="F746" s="240"/>
      <c r="G746" s="240"/>
      <c r="H746" s="241">
        <f t="shared" si="126"/>
        <v>0</v>
      </c>
      <c r="I746" s="242"/>
      <c r="J746" s="243"/>
      <c r="K746" s="243"/>
      <c r="L746" s="244">
        <v>0.1</v>
      </c>
      <c r="M746" s="244">
        <f t="shared" si="127"/>
        <v>0</v>
      </c>
      <c r="N746" s="244"/>
      <c r="O746" s="244"/>
      <c r="P746" s="244"/>
      <c r="Q746" s="245">
        <f t="shared" si="128"/>
        <v>0</v>
      </c>
      <c r="R746" s="245">
        <f t="shared" si="129"/>
        <v>0</v>
      </c>
      <c r="S746" s="246">
        <v>0.5</v>
      </c>
      <c r="T746" s="245">
        <f t="shared" si="130"/>
        <v>0</v>
      </c>
      <c r="U746" s="245">
        <f t="shared" si="131"/>
        <v>0</v>
      </c>
      <c r="V746" s="247"/>
    </row>
    <row r="747" spans="1:22" ht="15.75" x14ac:dyDescent="0.25">
      <c r="A747" s="236"/>
      <c r="B747" s="237"/>
      <c r="C747" s="238"/>
      <c r="D747" s="239"/>
      <c r="E747" s="240"/>
      <c r="F747" s="240"/>
      <c r="G747" s="240"/>
      <c r="H747" s="241">
        <f t="shared" si="126"/>
        <v>0</v>
      </c>
      <c r="I747" s="242"/>
      <c r="J747" s="243"/>
      <c r="K747" s="243"/>
      <c r="L747" s="244">
        <v>0.1</v>
      </c>
      <c r="M747" s="244">
        <f t="shared" si="127"/>
        <v>0</v>
      </c>
      <c r="N747" s="244"/>
      <c r="O747" s="244"/>
      <c r="P747" s="244"/>
      <c r="Q747" s="245">
        <f t="shared" si="128"/>
        <v>0</v>
      </c>
      <c r="R747" s="245">
        <f t="shared" si="129"/>
        <v>0</v>
      </c>
      <c r="S747" s="246">
        <v>0.5</v>
      </c>
      <c r="T747" s="245">
        <f t="shared" si="130"/>
        <v>0</v>
      </c>
      <c r="U747" s="245">
        <f t="shared" si="131"/>
        <v>0</v>
      </c>
      <c r="V747" s="247"/>
    </row>
    <row r="748" spans="1:22" ht="15.75" x14ac:dyDescent="0.25">
      <c r="A748" s="236"/>
      <c r="B748" s="237"/>
      <c r="C748" s="238"/>
      <c r="D748" s="239"/>
      <c r="E748" s="240"/>
      <c r="F748" s="240"/>
      <c r="G748" s="240"/>
      <c r="H748" s="241">
        <f t="shared" si="126"/>
        <v>0</v>
      </c>
      <c r="I748" s="242"/>
      <c r="J748" s="243"/>
      <c r="K748" s="243"/>
      <c r="L748" s="244">
        <v>0.1</v>
      </c>
      <c r="M748" s="244">
        <f t="shared" si="127"/>
        <v>0</v>
      </c>
      <c r="N748" s="244"/>
      <c r="O748" s="244"/>
      <c r="P748" s="244"/>
      <c r="Q748" s="245">
        <f t="shared" si="128"/>
        <v>0</v>
      </c>
      <c r="R748" s="245">
        <f t="shared" si="129"/>
        <v>0</v>
      </c>
      <c r="S748" s="246">
        <v>0.5</v>
      </c>
      <c r="T748" s="245">
        <f t="shared" si="130"/>
        <v>0</v>
      </c>
      <c r="U748" s="245">
        <f t="shared" si="131"/>
        <v>0</v>
      </c>
      <c r="V748" s="247"/>
    </row>
    <row r="749" spans="1:22" ht="15.75" x14ac:dyDescent="0.25">
      <c r="A749" s="236"/>
      <c r="B749" s="237"/>
      <c r="C749" s="238"/>
      <c r="D749" s="239"/>
      <c r="E749" s="240"/>
      <c r="F749" s="240"/>
      <c r="G749" s="240"/>
      <c r="H749" s="241">
        <f t="shared" si="126"/>
        <v>0</v>
      </c>
      <c r="I749" s="242"/>
      <c r="J749" s="243"/>
      <c r="K749" s="243"/>
      <c r="L749" s="244">
        <v>0.1</v>
      </c>
      <c r="M749" s="244">
        <f t="shared" si="127"/>
        <v>0</v>
      </c>
      <c r="N749" s="244"/>
      <c r="O749" s="244"/>
      <c r="P749" s="244"/>
      <c r="Q749" s="245">
        <f t="shared" si="128"/>
        <v>0</v>
      </c>
      <c r="R749" s="245">
        <f t="shared" si="129"/>
        <v>0</v>
      </c>
      <c r="S749" s="246">
        <v>0.5</v>
      </c>
      <c r="T749" s="245">
        <f t="shared" si="130"/>
        <v>0</v>
      </c>
      <c r="U749" s="245">
        <f t="shared" si="131"/>
        <v>0</v>
      </c>
      <c r="V749" s="247"/>
    </row>
    <row r="750" spans="1:22" ht="15.75" x14ac:dyDescent="0.25">
      <c r="A750" s="236"/>
      <c r="B750" s="237"/>
      <c r="C750" s="238"/>
      <c r="D750" s="239"/>
      <c r="E750" s="240"/>
      <c r="F750" s="240"/>
      <c r="G750" s="240"/>
      <c r="H750" s="241">
        <f t="shared" si="126"/>
        <v>0</v>
      </c>
      <c r="I750" s="242"/>
      <c r="J750" s="243"/>
      <c r="K750" s="243"/>
      <c r="L750" s="244">
        <v>0.1</v>
      </c>
      <c r="M750" s="244">
        <f t="shared" si="127"/>
        <v>0</v>
      </c>
      <c r="N750" s="244"/>
      <c r="O750" s="244"/>
      <c r="P750" s="244"/>
      <c r="Q750" s="245">
        <f t="shared" si="128"/>
        <v>0</v>
      </c>
      <c r="R750" s="245">
        <f t="shared" si="129"/>
        <v>0</v>
      </c>
      <c r="S750" s="246">
        <v>0.5</v>
      </c>
      <c r="T750" s="245">
        <f t="shared" si="130"/>
        <v>0</v>
      </c>
      <c r="U750" s="245">
        <f t="shared" si="131"/>
        <v>0</v>
      </c>
      <c r="V750" s="247"/>
    </row>
    <row r="751" spans="1:22" ht="15.75" x14ac:dyDescent="0.25">
      <c r="A751" s="236"/>
      <c r="B751" s="237"/>
      <c r="C751" s="238"/>
      <c r="D751" s="239"/>
      <c r="E751" s="240"/>
      <c r="F751" s="240"/>
      <c r="G751" s="240"/>
      <c r="H751" s="241">
        <f t="shared" si="126"/>
        <v>0</v>
      </c>
      <c r="I751" s="242"/>
      <c r="J751" s="243"/>
      <c r="K751" s="243"/>
      <c r="L751" s="244">
        <v>0.1</v>
      </c>
      <c r="M751" s="244">
        <f t="shared" si="127"/>
        <v>0</v>
      </c>
      <c r="N751" s="244"/>
      <c r="O751" s="244"/>
      <c r="P751" s="244"/>
      <c r="Q751" s="245">
        <f t="shared" si="128"/>
        <v>0</v>
      </c>
      <c r="R751" s="245">
        <f t="shared" si="129"/>
        <v>0</v>
      </c>
      <c r="S751" s="246">
        <v>0.5</v>
      </c>
      <c r="T751" s="245">
        <f t="shared" si="130"/>
        <v>0</v>
      </c>
      <c r="U751" s="245">
        <f t="shared" si="131"/>
        <v>0</v>
      </c>
      <c r="V751" s="247"/>
    </row>
    <row r="752" spans="1:22" ht="15.75" x14ac:dyDescent="0.25">
      <c r="A752" s="236"/>
      <c r="B752" s="237"/>
      <c r="C752" s="238"/>
      <c r="D752" s="239"/>
      <c r="E752" s="240"/>
      <c r="F752" s="240"/>
      <c r="G752" s="240"/>
      <c r="H752" s="241">
        <f t="shared" si="126"/>
        <v>0</v>
      </c>
      <c r="I752" s="242"/>
      <c r="J752" s="243"/>
      <c r="K752" s="243"/>
      <c r="L752" s="244">
        <v>0.1</v>
      </c>
      <c r="M752" s="244">
        <f t="shared" si="127"/>
        <v>0</v>
      </c>
      <c r="N752" s="244"/>
      <c r="O752" s="244"/>
      <c r="P752" s="244"/>
      <c r="Q752" s="245">
        <f t="shared" si="128"/>
        <v>0</v>
      </c>
      <c r="R752" s="245">
        <f t="shared" si="129"/>
        <v>0</v>
      </c>
      <c r="S752" s="246">
        <v>0.5</v>
      </c>
      <c r="T752" s="245">
        <f t="shared" si="130"/>
        <v>0</v>
      </c>
      <c r="U752" s="245">
        <f t="shared" si="131"/>
        <v>0</v>
      </c>
      <c r="V752" s="247"/>
    </row>
    <row r="753" spans="1:22" ht="15.75" x14ac:dyDescent="0.25">
      <c r="A753" s="236"/>
      <c r="B753" s="237"/>
      <c r="C753" s="238"/>
      <c r="D753" s="239"/>
      <c r="E753" s="240"/>
      <c r="F753" s="240"/>
      <c r="G753" s="240"/>
      <c r="H753" s="241">
        <f t="shared" si="126"/>
        <v>0</v>
      </c>
      <c r="I753" s="242"/>
      <c r="J753" s="243"/>
      <c r="K753" s="243"/>
      <c r="L753" s="244">
        <v>0.1</v>
      </c>
      <c r="M753" s="244">
        <f t="shared" si="127"/>
        <v>0</v>
      </c>
      <c r="N753" s="244"/>
      <c r="O753" s="244"/>
      <c r="P753" s="244"/>
      <c r="Q753" s="245">
        <f t="shared" si="128"/>
        <v>0</v>
      </c>
      <c r="R753" s="245">
        <f t="shared" si="129"/>
        <v>0</v>
      </c>
      <c r="S753" s="246">
        <v>0.5</v>
      </c>
      <c r="T753" s="245">
        <f t="shared" si="130"/>
        <v>0</v>
      </c>
      <c r="U753" s="245">
        <f t="shared" si="131"/>
        <v>0</v>
      </c>
      <c r="V753" s="247"/>
    </row>
    <row r="754" spans="1:22" ht="15.75" x14ac:dyDescent="0.25">
      <c r="A754" s="236"/>
      <c r="B754" s="237"/>
      <c r="C754" s="238"/>
      <c r="D754" s="239"/>
      <c r="E754" s="240"/>
      <c r="F754" s="240"/>
      <c r="G754" s="240"/>
      <c r="H754" s="241">
        <f t="shared" si="126"/>
        <v>0</v>
      </c>
      <c r="I754" s="242"/>
      <c r="J754" s="243"/>
      <c r="K754" s="243"/>
      <c r="L754" s="244">
        <v>0.1</v>
      </c>
      <c r="M754" s="244">
        <f t="shared" si="127"/>
        <v>0</v>
      </c>
      <c r="N754" s="244"/>
      <c r="O754" s="244"/>
      <c r="P754" s="244"/>
      <c r="Q754" s="245">
        <f t="shared" si="128"/>
        <v>0</v>
      </c>
      <c r="R754" s="245">
        <f t="shared" si="129"/>
        <v>0</v>
      </c>
      <c r="S754" s="246">
        <v>0.5</v>
      </c>
      <c r="T754" s="245">
        <f t="shared" si="130"/>
        <v>0</v>
      </c>
      <c r="U754" s="245">
        <f t="shared" si="131"/>
        <v>0</v>
      </c>
      <c r="V754" s="247"/>
    </row>
    <row r="755" spans="1:22" ht="15.75" x14ac:dyDescent="0.25">
      <c r="A755" s="236"/>
      <c r="B755" s="237"/>
      <c r="C755" s="238"/>
      <c r="D755" s="239"/>
      <c r="E755" s="240"/>
      <c r="F755" s="240"/>
      <c r="G755" s="240"/>
      <c r="H755" s="241">
        <f t="shared" si="126"/>
        <v>0</v>
      </c>
      <c r="I755" s="242"/>
      <c r="J755" s="243"/>
      <c r="K755" s="243"/>
      <c r="L755" s="244">
        <v>0.1</v>
      </c>
      <c r="M755" s="244">
        <f t="shared" si="127"/>
        <v>0</v>
      </c>
      <c r="N755" s="244"/>
      <c r="O755" s="244"/>
      <c r="P755" s="244"/>
      <c r="Q755" s="245">
        <f t="shared" si="128"/>
        <v>0</v>
      </c>
      <c r="R755" s="245">
        <f t="shared" si="129"/>
        <v>0</v>
      </c>
      <c r="S755" s="246">
        <v>0.5</v>
      </c>
      <c r="T755" s="245">
        <f t="shared" si="130"/>
        <v>0</v>
      </c>
      <c r="U755" s="245">
        <f t="shared" si="131"/>
        <v>0</v>
      </c>
      <c r="V755" s="247"/>
    </row>
    <row r="756" spans="1:22" ht="15.75" x14ac:dyDescent="0.25">
      <c r="A756" s="236"/>
      <c r="B756" s="237"/>
      <c r="C756" s="238"/>
      <c r="D756" s="239"/>
      <c r="E756" s="240"/>
      <c r="F756" s="240"/>
      <c r="G756" s="240"/>
      <c r="H756" s="241">
        <f t="shared" si="126"/>
        <v>0</v>
      </c>
      <c r="I756" s="242"/>
      <c r="J756" s="243"/>
      <c r="K756" s="243"/>
      <c r="L756" s="244">
        <v>0.1</v>
      </c>
      <c r="M756" s="244">
        <f t="shared" si="127"/>
        <v>0</v>
      </c>
      <c r="N756" s="244"/>
      <c r="O756" s="244"/>
      <c r="P756" s="244"/>
      <c r="Q756" s="245">
        <f t="shared" si="128"/>
        <v>0</v>
      </c>
      <c r="R756" s="245">
        <f t="shared" si="129"/>
        <v>0</v>
      </c>
      <c r="S756" s="246">
        <v>0.5</v>
      </c>
      <c r="T756" s="245">
        <f t="shared" si="130"/>
        <v>0</v>
      </c>
      <c r="U756" s="245">
        <f t="shared" si="131"/>
        <v>0</v>
      </c>
      <c r="V756" s="247"/>
    </row>
    <row r="757" spans="1:22" ht="15.75" x14ac:dyDescent="0.25">
      <c r="A757" s="236"/>
      <c r="B757" s="237"/>
      <c r="C757" s="238"/>
      <c r="D757" s="239"/>
      <c r="E757" s="240"/>
      <c r="F757" s="240"/>
      <c r="G757" s="240"/>
      <c r="H757" s="241">
        <f t="shared" si="126"/>
        <v>0</v>
      </c>
      <c r="I757" s="242"/>
      <c r="J757" s="243"/>
      <c r="K757" s="243"/>
      <c r="L757" s="244">
        <v>0.1</v>
      </c>
      <c r="M757" s="244">
        <f t="shared" si="127"/>
        <v>0</v>
      </c>
      <c r="N757" s="244"/>
      <c r="O757" s="244"/>
      <c r="P757" s="244"/>
      <c r="Q757" s="245">
        <f t="shared" si="128"/>
        <v>0</v>
      </c>
      <c r="R757" s="245">
        <f t="shared" si="129"/>
        <v>0</v>
      </c>
      <c r="S757" s="246">
        <v>0.5</v>
      </c>
      <c r="T757" s="245">
        <f t="shared" si="130"/>
        <v>0</v>
      </c>
      <c r="U757" s="245">
        <f t="shared" si="131"/>
        <v>0</v>
      </c>
      <c r="V757" s="247"/>
    </row>
    <row r="758" spans="1:22" ht="15.75" x14ac:dyDescent="0.25">
      <c r="A758" s="236"/>
      <c r="B758" s="237"/>
      <c r="C758" s="238"/>
      <c r="D758" s="239"/>
      <c r="E758" s="240"/>
      <c r="F758" s="240"/>
      <c r="G758" s="240"/>
      <c r="H758" s="241">
        <f t="shared" si="126"/>
        <v>0</v>
      </c>
      <c r="I758" s="242"/>
      <c r="J758" s="243"/>
      <c r="K758" s="243"/>
      <c r="L758" s="244">
        <v>0.1</v>
      </c>
      <c r="M758" s="244">
        <f t="shared" si="127"/>
        <v>0</v>
      </c>
      <c r="N758" s="244"/>
      <c r="O758" s="244"/>
      <c r="P758" s="244"/>
      <c r="Q758" s="245">
        <f t="shared" si="128"/>
        <v>0</v>
      </c>
      <c r="R758" s="245">
        <f t="shared" si="129"/>
        <v>0</v>
      </c>
      <c r="S758" s="246">
        <v>0.5</v>
      </c>
      <c r="T758" s="245">
        <f t="shared" si="130"/>
        <v>0</v>
      </c>
      <c r="U758" s="245">
        <f t="shared" si="131"/>
        <v>0</v>
      </c>
      <c r="V758" s="247"/>
    </row>
    <row r="759" spans="1:22" ht="15.75" x14ac:dyDescent="0.25">
      <c r="A759" s="236"/>
      <c r="B759" s="237"/>
      <c r="C759" s="238"/>
      <c r="D759" s="239"/>
      <c r="E759" s="240"/>
      <c r="F759" s="240"/>
      <c r="G759" s="240"/>
      <c r="H759" s="241">
        <f t="shared" si="126"/>
        <v>0</v>
      </c>
      <c r="I759" s="242"/>
      <c r="J759" s="243"/>
      <c r="K759" s="243"/>
      <c r="L759" s="244">
        <v>0.1</v>
      </c>
      <c r="M759" s="244">
        <f t="shared" si="127"/>
        <v>0</v>
      </c>
      <c r="N759" s="244"/>
      <c r="O759" s="244"/>
      <c r="P759" s="244"/>
      <c r="Q759" s="245">
        <f t="shared" si="128"/>
        <v>0</v>
      </c>
      <c r="R759" s="245">
        <f t="shared" si="129"/>
        <v>0</v>
      </c>
      <c r="S759" s="246">
        <v>0.5</v>
      </c>
      <c r="T759" s="245">
        <f t="shared" si="130"/>
        <v>0</v>
      </c>
      <c r="U759" s="245">
        <f t="shared" si="131"/>
        <v>0</v>
      </c>
      <c r="V759" s="247"/>
    </row>
    <row r="760" spans="1:22" ht="15.75" x14ac:dyDescent="0.25">
      <c r="A760" s="236"/>
      <c r="B760" s="237"/>
      <c r="C760" s="238"/>
      <c r="D760" s="239"/>
      <c r="E760" s="240"/>
      <c r="F760" s="240"/>
      <c r="G760" s="240"/>
      <c r="H760" s="241">
        <f t="shared" si="126"/>
        <v>0</v>
      </c>
      <c r="I760" s="242"/>
      <c r="J760" s="243"/>
      <c r="K760" s="243"/>
      <c r="L760" s="244">
        <v>0.1</v>
      </c>
      <c r="M760" s="244">
        <f t="shared" si="127"/>
        <v>0</v>
      </c>
      <c r="N760" s="244"/>
      <c r="O760" s="244"/>
      <c r="P760" s="244"/>
      <c r="Q760" s="245">
        <f t="shared" si="128"/>
        <v>0</v>
      </c>
      <c r="R760" s="245">
        <f t="shared" si="129"/>
        <v>0</v>
      </c>
      <c r="S760" s="246">
        <v>0.5</v>
      </c>
      <c r="T760" s="245">
        <f t="shared" si="130"/>
        <v>0</v>
      </c>
      <c r="U760" s="245">
        <f t="shared" si="131"/>
        <v>0</v>
      </c>
      <c r="V760" s="247"/>
    </row>
    <row r="761" spans="1:22" ht="15.75" x14ac:dyDescent="0.25">
      <c r="A761" s="236"/>
      <c r="B761" s="237"/>
      <c r="C761" s="238"/>
      <c r="D761" s="239"/>
      <c r="E761" s="240"/>
      <c r="F761" s="240"/>
      <c r="G761" s="240"/>
      <c r="H761" s="241">
        <f t="shared" si="126"/>
        <v>0</v>
      </c>
      <c r="I761" s="242"/>
      <c r="J761" s="243"/>
      <c r="K761" s="243"/>
      <c r="L761" s="244">
        <v>0.1</v>
      </c>
      <c r="M761" s="244">
        <f t="shared" si="127"/>
        <v>0</v>
      </c>
      <c r="N761" s="244"/>
      <c r="O761" s="244"/>
      <c r="P761" s="244"/>
      <c r="Q761" s="245">
        <f t="shared" si="128"/>
        <v>0</v>
      </c>
      <c r="R761" s="245">
        <f t="shared" si="129"/>
        <v>0</v>
      </c>
      <c r="S761" s="246">
        <v>0.5</v>
      </c>
      <c r="T761" s="245">
        <f t="shared" si="130"/>
        <v>0</v>
      </c>
      <c r="U761" s="245">
        <f t="shared" si="131"/>
        <v>0</v>
      </c>
      <c r="V761" s="247"/>
    </row>
    <row r="762" spans="1:22" ht="15.75" x14ac:dyDescent="0.25">
      <c r="A762" s="236"/>
      <c r="B762" s="237"/>
      <c r="C762" s="238"/>
      <c r="D762" s="239"/>
      <c r="E762" s="240"/>
      <c r="F762" s="240"/>
      <c r="G762" s="240"/>
      <c r="H762" s="241">
        <f t="shared" si="126"/>
        <v>0</v>
      </c>
      <c r="I762" s="242"/>
      <c r="J762" s="243"/>
      <c r="K762" s="243"/>
      <c r="L762" s="244">
        <v>0.1</v>
      </c>
      <c r="M762" s="244">
        <f t="shared" si="127"/>
        <v>0</v>
      </c>
      <c r="N762" s="244"/>
      <c r="O762" s="244"/>
      <c r="P762" s="244"/>
      <c r="Q762" s="245">
        <f t="shared" si="128"/>
        <v>0</v>
      </c>
      <c r="R762" s="245">
        <f t="shared" si="129"/>
        <v>0</v>
      </c>
      <c r="S762" s="246">
        <v>0.5</v>
      </c>
      <c r="T762" s="245">
        <f t="shared" si="130"/>
        <v>0</v>
      </c>
      <c r="U762" s="245">
        <f t="shared" si="131"/>
        <v>0</v>
      </c>
      <c r="V762" s="247"/>
    </row>
    <row r="763" spans="1:22" ht="15.75" x14ac:dyDescent="0.25">
      <c r="A763" s="236"/>
      <c r="B763" s="237"/>
      <c r="C763" s="238"/>
      <c r="D763" s="239"/>
      <c r="E763" s="240"/>
      <c r="F763" s="240"/>
      <c r="G763" s="240"/>
      <c r="H763" s="241">
        <f t="shared" si="126"/>
        <v>0</v>
      </c>
      <c r="I763" s="242"/>
      <c r="J763" s="243"/>
      <c r="K763" s="243"/>
      <c r="L763" s="244">
        <v>0.1</v>
      </c>
      <c r="M763" s="244">
        <f t="shared" si="127"/>
        <v>0</v>
      </c>
      <c r="N763" s="244"/>
      <c r="O763" s="244"/>
      <c r="P763" s="244"/>
      <c r="Q763" s="245">
        <f t="shared" si="128"/>
        <v>0</v>
      </c>
      <c r="R763" s="245">
        <f t="shared" si="129"/>
        <v>0</v>
      </c>
      <c r="S763" s="246">
        <v>0.5</v>
      </c>
      <c r="T763" s="245">
        <f t="shared" si="130"/>
        <v>0</v>
      </c>
      <c r="U763" s="245">
        <f t="shared" si="131"/>
        <v>0</v>
      </c>
      <c r="V763" s="247"/>
    </row>
    <row r="764" spans="1:22" ht="15.75" x14ac:dyDescent="0.25">
      <c r="A764" s="236"/>
      <c r="B764" s="237"/>
      <c r="C764" s="238"/>
      <c r="D764" s="239"/>
      <c r="E764" s="240"/>
      <c r="F764" s="240"/>
      <c r="G764" s="240"/>
      <c r="H764" s="241">
        <f t="shared" si="126"/>
        <v>0</v>
      </c>
      <c r="I764" s="242"/>
      <c r="J764" s="243"/>
      <c r="K764" s="243"/>
      <c r="L764" s="244">
        <v>0.1</v>
      </c>
      <c r="M764" s="244">
        <f t="shared" si="127"/>
        <v>0</v>
      </c>
      <c r="N764" s="244"/>
      <c r="O764" s="244"/>
      <c r="P764" s="244"/>
      <c r="Q764" s="245">
        <f t="shared" si="128"/>
        <v>0</v>
      </c>
      <c r="R764" s="245">
        <f t="shared" si="129"/>
        <v>0</v>
      </c>
      <c r="S764" s="246">
        <v>0.5</v>
      </c>
      <c r="T764" s="245">
        <f t="shared" si="130"/>
        <v>0</v>
      </c>
      <c r="U764" s="245">
        <f t="shared" si="131"/>
        <v>0</v>
      </c>
      <c r="V764" s="247"/>
    </row>
    <row r="765" spans="1:22" ht="15.75" x14ac:dyDescent="0.25">
      <c r="A765" s="236"/>
      <c r="B765" s="237"/>
      <c r="C765" s="238"/>
      <c r="D765" s="239"/>
      <c r="E765" s="240"/>
      <c r="F765" s="240"/>
      <c r="G765" s="240"/>
      <c r="H765" s="241">
        <f t="shared" si="126"/>
        <v>0</v>
      </c>
      <c r="I765" s="242"/>
      <c r="J765" s="243"/>
      <c r="K765" s="243"/>
      <c r="L765" s="244">
        <v>0.1</v>
      </c>
      <c r="M765" s="244">
        <f t="shared" si="127"/>
        <v>0</v>
      </c>
      <c r="N765" s="244"/>
      <c r="O765" s="244"/>
      <c r="P765" s="244"/>
      <c r="Q765" s="245">
        <f t="shared" si="128"/>
        <v>0</v>
      </c>
      <c r="R765" s="245">
        <f t="shared" si="129"/>
        <v>0</v>
      </c>
      <c r="S765" s="246">
        <v>0.5</v>
      </c>
      <c r="T765" s="245">
        <f t="shared" si="130"/>
        <v>0</v>
      </c>
      <c r="U765" s="245">
        <f t="shared" si="131"/>
        <v>0</v>
      </c>
      <c r="V765" s="247"/>
    </row>
    <row r="766" spans="1:22" ht="15.75" x14ac:dyDescent="0.25">
      <c r="A766" s="236"/>
      <c r="B766" s="237"/>
      <c r="C766" s="238"/>
      <c r="D766" s="239"/>
      <c r="E766" s="240"/>
      <c r="F766" s="240"/>
      <c r="G766" s="240"/>
      <c r="H766" s="241">
        <f t="shared" si="126"/>
        <v>0</v>
      </c>
      <c r="I766" s="242"/>
      <c r="J766" s="243"/>
      <c r="K766" s="243"/>
      <c r="L766" s="244">
        <v>0.1</v>
      </c>
      <c r="M766" s="244">
        <f t="shared" si="127"/>
        <v>0</v>
      </c>
      <c r="N766" s="244"/>
      <c r="O766" s="244"/>
      <c r="P766" s="244"/>
      <c r="Q766" s="245">
        <f t="shared" si="128"/>
        <v>0</v>
      </c>
      <c r="R766" s="245">
        <f t="shared" si="129"/>
        <v>0</v>
      </c>
      <c r="S766" s="246">
        <v>0.5</v>
      </c>
      <c r="T766" s="245">
        <f t="shared" si="130"/>
        <v>0</v>
      </c>
      <c r="U766" s="245">
        <f t="shared" si="131"/>
        <v>0</v>
      </c>
      <c r="V766" s="247"/>
    </row>
    <row r="767" spans="1:22" ht="15.75" x14ac:dyDescent="0.25">
      <c r="A767" s="236"/>
      <c r="B767" s="237"/>
      <c r="C767" s="238"/>
      <c r="D767" s="239"/>
      <c r="E767" s="240"/>
      <c r="F767" s="240"/>
      <c r="G767" s="240"/>
      <c r="H767" s="241">
        <f t="shared" si="126"/>
        <v>0</v>
      </c>
      <c r="I767" s="242"/>
      <c r="J767" s="243"/>
      <c r="K767" s="243"/>
      <c r="L767" s="244">
        <v>0.1</v>
      </c>
      <c r="M767" s="244">
        <f t="shared" si="127"/>
        <v>0</v>
      </c>
      <c r="N767" s="244"/>
      <c r="O767" s="244"/>
      <c r="P767" s="244"/>
      <c r="Q767" s="245">
        <f t="shared" si="128"/>
        <v>0</v>
      </c>
      <c r="R767" s="245">
        <f t="shared" si="129"/>
        <v>0</v>
      </c>
      <c r="S767" s="246">
        <v>0.5</v>
      </c>
      <c r="T767" s="245">
        <f t="shared" si="130"/>
        <v>0</v>
      </c>
      <c r="U767" s="245">
        <f t="shared" si="131"/>
        <v>0</v>
      </c>
      <c r="V767" s="247"/>
    </row>
    <row r="768" spans="1:22" ht="15.75" x14ac:dyDescent="0.25">
      <c r="A768" s="236"/>
      <c r="B768" s="237"/>
      <c r="C768" s="238"/>
      <c r="D768" s="239"/>
      <c r="E768" s="240"/>
      <c r="F768" s="240"/>
      <c r="G768" s="240"/>
      <c r="H768" s="241">
        <f t="shared" si="126"/>
        <v>0</v>
      </c>
      <c r="I768" s="242"/>
      <c r="J768" s="243"/>
      <c r="K768" s="243"/>
      <c r="L768" s="244">
        <v>0.1</v>
      </c>
      <c r="M768" s="244">
        <f t="shared" si="127"/>
        <v>0</v>
      </c>
      <c r="N768" s="244"/>
      <c r="O768" s="244"/>
      <c r="P768" s="244"/>
      <c r="Q768" s="245">
        <f t="shared" si="128"/>
        <v>0</v>
      </c>
      <c r="R768" s="245">
        <f t="shared" si="129"/>
        <v>0</v>
      </c>
      <c r="S768" s="246">
        <v>0.5</v>
      </c>
      <c r="T768" s="245">
        <f t="shared" si="130"/>
        <v>0</v>
      </c>
      <c r="U768" s="245">
        <f t="shared" si="131"/>
        <v>0</v>
      </c>
      <c r="V768" s="247"/>
    </row>
    <row r="769" spans="1:22" ht="15.75" x14ac:dyDescent="0.25">
      <c r="A769" s="236"/>
      <c r="B769" s="237"/>
      <c r="C769" s="238"/>
      <c r="D769" s="239"/>
      <c r="E769" s="240"/>
      <c r="F769" s="240"/>
      <c r="G769" s="240"/>
      <c r="H769" s="241">
        <f t="shared" si="126"/>
        <v>0</v>
      </c>
      <c r="I769" s="242"/>
      <c r="J769" s="243"/>
      <c r="K769" s="243"/>
      <c r="L769" s="244">
        <v>0.1</v>
      </c>
      <c r="M769" s="244">
        <f t="shared" si="127"/>
        <v>0</v>
      </c>
      <c r="N769" s="244"/>
      <c r="O769" s="244"/>
      <c r="P769" s="244"/>
      <c r="Q769" s="245">
        <f t="shared" si="128"/>
        <v>0</v>
      </c>
      <c r="R769" s="245">
        <f t="shared" si="129"/>
        <v>0</v>
      </c>
      <c r="S769" s="246">
        <v>0.5</v>
      </c>
      <c r="T769" s="245">
        <f t="shared" si="130"/>
        <v>0</v>
      </c>
      <c r="U769" s="245">
        <f t="shared" si="131"/>
        <v>0</v>
      </c>
      <c r="V769" s="247"/>
    </row>
    <row r="770" spans="1:22" ht="15.75" x14ac:dyDescent="0.25">
      <c r="A770" s="236"/>
      <c r="B770" s="237"/>
      <c r="C770" s="238"/>
      <c r="D770" s="239"/>
      <c r="E770" s="240"/>
      <c r="F770" s="240"/>
      <c r="G770" s="240"/>
      <c r="H770" s="241">
        <f t="shared" si="126"/>
        <v>0</v>
      </c>
      <c r="I770" s="242"/>
      <c r="J770" s="243"/>
      <c r="K770" s="243"/>
      <c r="L770" s="244">
        <v>0.1</v>
      </c>
      <c r="M770" s="244">
        <f t="shared" si="127"/>
        <v>0</v>
      </c>
      <c r="N770" s="244"/>
      <c r="O770" s="244"/>
      <c r="P770" s="244"/>
      <c r="Q770" s="245">
        <f t="shared" si="128"/>
        <v>0</v>
      </c>
      <c r="R770" s="245">
        <f t="shared" si="129"/>
        <v>0</v>
      </c>
      <c r="S770" s="246">
        <v>0.5</v>
      </c>
      <c r="T770" s="245">
        <f t="shared" si="130"/>
        <v>0</v>
      </c>
      <c r="U770" s="245">
        <f t="shared" si="131"/>
        <v>0</v>
      </c>
      <c r="V770" s="247"/>
    </row>
    <row r="771" spans="1:22" ht="15.75" x14ac:dyDescent="0.25">
      <c r="A771" s="236"/>
      <c r="B771" s="237"/>
      <c r="C771" s="238"/>
      <c r="D771" s="239"/>
      <c r="E771" s="240"/>
      <c r="F771" s="240"/>
      <c r="G771" s="240"/>
      <c r="H771" s="241">
        <f t="shared" si="126"/>
        <v>0</v>
      </c>
      <c r="I771" s="242"/>
      <c r="J771" s="243"/>
      <c r="K771" s="243"/>
      <c r="L771" s="244">
        <v>0.1</v>
      </c>
      <c r="M771" s="244">
        <f t="shared" si="127"/>
        <v>0</v>
      </c>
      <c r="N771" s="244"/>
      <c r="O771" s="244"/>
      <c r="P771" s="244"/>
      <c r="Q771" s="245">
        <f t="shared" si="128"/>
        <v>0</v>
      </c>
      <c r="R771" s="245">
        <f t="shared" si="129"/>
        <v>0</v>
      </c>
      <c r="S771" s="246">
        <v>0.5</v>
      </c>
      <c r="T771" s="245">
        <f t="shared" si="130"/>
        <v>0</v>
      </c>
      <c r="U771" s="245">
        <f t="shared" si="131"/>
        <v>0</v>
      </c>
      <c r="V771" s="247"/>
    </row>
    <row r="772" spans="1:22" ht="15.75" x14ac:dyDescent="0.25">
      <c r="A772" s="236"/>
      <c r="B772" s="237"/>
      <c r="C772" s="238"/>
      <c r="D772" s="239"/>
      <c r="E772" s="240"/>
      <c r="F772" s="240"/>
      <c r="G772" s="240"/>
      <c r="H772" s="241">
        <f t="shared" si="126"/>
        <v>0</v>
      </c>
      <c r="I772" s="242"/>
      <c r="J772" s="243"/>
      <c r="K772" s="243"/>
      <c r="L772" s="244">
        <v>0.1</v>
      </c>
      <c r="M772" s="244">
        <f t="shared" si="127"/>
        <v>0</v>
      </c>
      <c r="N772" s="244"/>
      <c r="O772" s="244"/>
      <c r="P772" s="244"/>
      <c r="Q772" s="245">
        <f t="shared" si="128"/>
        <v>0</v>
      </c>
      <c r="R772" s="245">
        <f t="shared" si="129"/>
        <v>0</v>
      </c>
      <c r="S772" s="246">
        <v>0.5</v>
      </c>
      <c r="T772" s="245">
        <f t="shared" si="130"/>
        <v>0</v>
      </c>
      <c r="U772" s="245">
        <f t="shared" si="131"/>
        <v>0</v>
      </c>
      <c r="V772" s="247"/>
    </row>
    <row r="773" spans="1:22" ht="15.75" x14ac:dyDescent="0.25">
      <c r="A773" s="236"/>
      <c r="B773" s="237"/>
      <c r="C773" s="238"/>
      <c r="D773" s="239"/>
      <c r="E773" s="240"/>
      <c r="F773" s="240"/>
      <c r="G773" s="240"/>
      <c r="H773" s="241">
        <f t="shared" si="126"/>
        <v>0</v>
      </c>
      <c r="I773" s="242"/>
      <c r="J773" s="243"/>
      <c r="K773" s="243"/>
      <c r="L773" s="244">
        <v>0.1</v>
      </c>
      <c r="M773" s="244">
        <f t="shared" si="127"/>
        <v>0</v>
      </c>
      <c r="N773" s="244"/>
      <c r="O773" s="244"/>
      <c r="P773" s="244"/>
      <c r="Q773" s="245">
        <f t="shared" si="128"/>
        <v>0</v>
      </c>
      <c r="R773" s="245">
        <f t="shared" si="129"/>
        <v>0</v>
      </c>
      <c r="S773" s="246">
        <v>0.5</v>
      </c>
      <c r="T773" s="245">
        <f t="shared" si="130"/>
        <v>0</v>
      </c>
      <c r="U773" s="245">
        <f t="shared" si="131"/>
        <v>0</v>
      </c>
      <c r="V773" s="247"/>
    </row>
    <row r="774" spans="1:22" ht="15.75" x14ac:dyDescent="0.25">
      <c r="A774" s="236"/>
      <c r="B774" s="237"/>
      <c r="C774" s="238"/>
      <c r="D774" s="239"/>
      <c r="E774" s="240"/>
      <c r="F774" s="240"/>
      <c r="G774" s="240"/>
      <c r="H774" s="241">
        <f t="shared" si="126"/>
        <v>0</v>
      </c>
      <c r="I774" s="242"/>
      <c r="J774" s="243"/>
      <c r="K774" s="243"/>
      <c r="L774" s="244">
        <v>0.1</v>
      </c>
      <c r="M774" s="244">
        <f t="shared" si="127"/>
        <v>0</v>
      </c>
      <c r="N774" s="244"/>
      <c r="O774" s="244"/>
      <c r="P774" s="244"/>
      <c r="Q774" s="245">
        <f t="shared" si="128"/>
        <v>0</v>
      </c>
      <c r="R774" s="245">
        <f t="shared" si="129"/>
        <v>0</v>
      </c>
      <c r="S774" s="246">
        <v>0.5</v>
      </c>
      <c r="T774" s="245">
        <f t="shared" si="130"/>
        <v>0</v>
      </c>
      <c r="U774" s="245">
        <f t="shared" si="131"/>
        <v>0</v>
      </c>
      <c r="V774" s="247"/>
    </row>
    <row r="775" spans="1:22" ht="15.75" x14ac:dyDescent="0.25">
      <c r="A775" s="236"/>
      <c r="B775" s="237"/>
      <c r="C775" s="238"/>
      <c r="D775" s="239"/>
      <c r="E775" s="240"/>
      <c r="F775" s="240"/>
      <c r="G775" s="240"/>
      <c r="H775" s="241">
        <f t="shared" si="126"/>
        <v>0</v>
      </c>
      <c r="I775" s="242"/>
      <c r="J775" s="243"/>
      <c r="K775" s="243"/>
      <c r="L775" s="244">
        <v>0.1</v>
      </c>
      <c r="M775" s="244">
        <f t="shared" si="127"/>
        <v>0</v>
      </c>
      <c r="N775" s="244"/>
      <c r="O775" s="244"/>
      <c r="P775" s="244"/>
      <c r="Q775" s="245">
        <f t="shared" si="128"/>
        <v>0</v>
      </c>
      <c r="R775" s="245">
        <f t="shared" si="129"/>
        <v>0</v>
      </c>
      <c r="S775" s="246">
        <v>0.5</v>
      </c>
      <c r="T775" s="245">
        <f t="shared" si="130"/>
        <v>0</v>
      </c>
      <c r="U775" s="245">
        <f t="shared" si="131"/>
        <v>0</v>
      </c>
      <c r="V775" s="247"/>
    </row>
    <row r="776" spans="1:22" ht="15.75" x14ac:dyDescent="0.25">
      <c r="A776" s="236"/>
      <c r="B776" s="237"/>
      <c r="C776" s="238"/>
      <c r="D776" s="239"/>
      <c r="E776" s="240"/>
      <c r="F776" s="240"/>
      <c r="G776" s="240"/>
      <c r="H776" s="241">
        <f t="shared" si="126"/>
        <v>0</v>
      </c>
      <c r="I776" s="242"/>
      <c r="J776" s="243"/>
      <c r="K776" s="243"/>
      <c r="L776" s="244">
        <v>0.1</v>
      </c>
      <c r="M776" s="244">
        <f t="shared" si="127"/>
        <v>0</v>
      </c>
      <c r="N776" s="244"/>
      <c r="O776" s="244"/>
      <c r="P776" s="244"/>
      <c r="Q776" s="245">
        <f t="shared" si="128"/>
        <v>0</v>
      </c>
      <c r="R776" s="245">
        <f t="shared" si="129"/>
        <v>0</v>
      </c>
      <c r="S776" s="246">
        <v>0.5</v>
      </c>
      <c r="T776" s="245">
        <f t="shared" si="130"/>
        <v>0</v>
      </c>
      <c r="U776" s="245">
        <f t="shared" si="131"/>
        <v>0</v>
      </c>
      <c r="V776" s="247"/>
    </row>
    <row r="777" spans="1:22" ht="15.75" x14ac:dyDescent="0.25">
      <c r="A777" s="236"/>
      <c r="B777" s="237"/>
      <c r="C777" s="238"/>
      <c r="D777" s="239"/>
      <c r="E777" s="240"/>
      <c r="F777" s="240"/>
      <c r="G777" s="240"/>
      <c r="H777" s="241">
        <f t="shared" si="126"/>
        <v>0</v>
      </c>
      <c r="I777" s="242"/>
      <c r="J777" s="243"/>
      <c r="K777" s="243"/>
      <c r="L777" s="244">
        <v>0.1</v>
      </c>
      <c r="M777" s="244">
        <f t="shared" si="127"/>
        <v>0</v>
      </c>
      <c r="N777" s="244"/>
      <c r="O777" s="244"/>
      <c r="P777" s="244"/>
      <c r="Q777" s="245">
        <f t="shared" si="128"/>
        <v>0</v>
      </c>
      <c r="R777" s="245">
        <f t="shared" si="129"/>
        <v>0</v>
      </c>
      <c r="S777" s="246">
        <v>0.5</v>
      </c>
      <c r="T777" s="245">
        <f t="shared" si="130"/>
        <v>0</v>
      </c>
      <c r="U777" s="245">
        <f t="shared" si="131"/>
        <v>0</v>
      </c>
      <c r="V777" s="247"/>
    </row>
    <row r="778" spans="1:22" ht="15.75" x14ac:dyDescent="0.25">
      <c r="A778" s="236"/>
      <c r="B778" s="237"/>
      <c r="C778" s="238"/>
      <c r="D778" s="239"/>
      <c r="E778" s="240"/>
      <c r="F778" s="240"/>
      <c r="G778" s="240"/>
      <c r="H778" s="241">
        <f t="shared" si="126"/>
        <v>0</v>
      </c>
      <c r="I778" s="242"/>
      <c r="J778" s="243"/>
      <c r="K778" s="243"/>
      <c r="L778" s="244">
        <v>0.1</v>
      </c>
      <c r="M778" s="244">
        <f t="shared" si="127"/>
        <v>0</v>
      </c>
      <c r="N778" s="244"/>
      <c r="O778" s="244"/>
      <c r="P778" s="244"/>
      <c r="Q778" s="245">
        <f t="shared" si="128"/>
        <v>0</v>
      </c>
      <c r="R778" s="245">
        <f t="shared" si="129"/>
        <v>0</v>
      </c>
      <c r="S778" s="246">
        <v>0.5</v>
      </c>
      <c r="T778" s="245">
        <f t="shared" si="130"/>
        <v>0</v>
      </c>
      <c r="U778" s="245">
        <f t="shared" si="131"/>
        <v>0</v>
      </c>
      <c r="V778" s="247"/>
    </row>
    <row r="779" spans="1:22" ht="15.75" x14ac:dyDescent="0.25">
      <c r="A779" s="236"/>
      <c r="B779" s="237"/>
      <c r="C779" s="238"/>
      <c r="D779" s="239"/>
      <c r="E779" s="240"/>
      <c r="F779" s="240"/>
      <c r="G779" s="240"/>
      <c r="H779" s="241">
        <f t="shared" si="126"/>
        <v>0</v>
      </c>
      <c r="I779" s="242"/>
      <c r="J779" s="243"/>
      <c r="K779" s="243"/>
      <c r="L779" s="244">
        <v>0.1</v>
      </c>
      <c r="M779" s="244">
        <f t="shared" si="127"/>
        <v>0</v>
      </c>
      <c r="N779" s="244"/>
      <c r="O779" s="244"/>
      <c r="P779" s="244"/>
      <c r="Q779" s="245">
        <f t="shared" si="128"/>
        <v>0</v>
      </c>
      <c r="R779" s="245">
        <f t="shared" si="129"/>
        <v>0</v>
      </c>
      <c r="S779" s="246">
        <v>0.5</v>
      </c>
      <c r="T779" s="245">
        <f t="shared" si="130"/>
        <v>0</v>
      </c>
      <c r="U779" s="245">
        <f t="shared" si="131"/>
        <v>0</v>
      </c>
      <c r="V779" s="247"/>
    </row>
    <row r="780" spans="1:22" ht="15.75" x14ac:dyDescent="0.25">
      <c r="A780" s="236"/>
      <c r="B780" s="237"/>
      <c r="C780" s="238"/>
      <c r="D780" s="239"/>
      <c r="E780" s="240"/>
      <c r="F780" s="240"/>
      <c r="G780" s="240"/>
      <c r="H780" s="241">
        <f t="shared" si="126"/>
        <v>0</v>
      </c>
      <c r="I780" s="242"/>
      <c r="J780" s="243"/>
      <c r="K780" s="243"/>
      <c r="L780" s="244">
        <v>0.1</v>
      </c>
      <c r="M780" s="244">
        <f t="shared" si="127"/>
        <v>0</v>
      </c>
      <c r="N780" s="244"/>
      <c r="O780" s="244"/>
      <c r="P780" s="244"/>
      <c r="Q780" s="245">
        <f t="shared" si="128"/>
        <v>0</v>
      </c>
      <c r="R780" s="245">
        <f t="shared" si="129"/>
        <v>0</v>
      </c>
      <c r="S780" s="246">
        <v>0.5</v>
      </c>
      <c r="T780" s="245">
        <f t="shared" si="130"/>
        <v>0</v>
      </c>
      <c r="U780" s="245">
        <f t="shared" si="131"/>
        <v>0</v>
      </c>
      <c r="V780" s="247"/>
    </row>
    <row r="781" spans="1:22" ht="15.75" x14ac:dyDescent="0.25">
      <c r="A781" s="236"/>
      <c r="B781" s="237"/>
      <c r="C781" s="238"/>
      <c r="D781" s="239"/>
      <c r="E781" s="240"/>
      <c r="F781" s="240"/>
      <c r="G781" s="240"/>
      <c r="H781" s="241">
        <f t="shared" si="126"/>
        <v>0</v>
      </c>
      <c r="I781" s="242"/>
      <c r="J781" s="243"/>
      <c r="K781" s="243"/>
      <c r="L781" s="244">
        <v>0.1</v>
      </c>
      <c r="M781" s="244">
        <f t="shared" si="127"/>
        <v>0</v>
      </c>
      <c r="N781" s="244"/>
      <c r="O781" s="244"/>
      <c r="P781" s="244"/>
      <c r="Q781" s="245">
        <f t="shared" si="128"/>
        <v>0</v>
      </c>
      <c r="R781" s="245">
        <f t="shared" si="129"/>
        <v>0</v>
      </c>
      <c r="S781" s="246">
        <v>0.5</v>
      </c>
      <c r="T781" s="245">
        <f t="shared" si="130"/>
        <v>0</v>
      </c>
      <c r="U781" s="245">
        <f t="shared" si="131"/>
        <v>0</v>
      </c>
      <c r="V781" s="247"/>
    </row>
    <row r="782" spans="1:22" ht="15.75" x14ac:dyDescent="0.25">
      <c r="A782" s="236"/>
      <c r="B782" s="237"/>
      <c r="C782" s="238"/>
      <c r="D782" s="239"/>
      <c r="E782" s="240"/>
      <c r="F782" s="240"/>
      <c r="G782" s="240"/>
      <c r="H782" s="241">
        <f t="shared" si="126"/>
        <v>0</v>
      </c>
      <c r="I782" s="242"/>
      <c r="J782" s="243"/>
      <c r="K782" s="243"/>
      <c r="L782" s="244">
        <v>0.1</v>
      </c>
      <c r="M782" s="244">
        <f t="shared" si="127"/>
        <v>0</v>
      </c>
      <c r="N782" s="244"/>
      <c r="O782" s="244"/>
      <c r="P782" s="244"/>
      <c r="Q782" s="245">
        <f t="shared" si="128"/>
        <v>0</v>
      </c>
      <c r="R782" s="245">
        <f t="shared" si="129"/>
        <v>0</v>
      </c>
      <c r="S782" s="246">
        <v>0.5</v>
      </c>
      <c r="T782" s="245">
        <f t="shared" si="130"/>
        <v>0</v>
      </c>
      <c r="U782" s="245">
        <f t="shared" si="131"/>
        <v>0</v>
      </c>
      <c r="V782" s="247"/>
    </row>
    <row r="783" spans="1:22" ht="15.75" x14ac:dyDescent="0.25">
      <c r="A783" s="236"/>
      <c r="B783" s="237"/>
      <c r="C783" s="238"/>
      <c r="D783" s="239"/>
      <c r="E783" s="240"/>
      <c r="F783" s="240"/>
      <c r="G783" s="240"/>
      <c r="H783" s="241">
        <f t="shared" si="126"/>
        <v>0</v>
      </c>
      <c r="I783" s="242"/>
      <c r="J783" s="243"/>
      <c r="K783" s="243"/>
      <c r="L783" s="244">
        <v>0.1</v>
      </c>
      <c r="M783" s="244">
        <f t="shared" si="127"/>
        <v>0</v>
      </c>
      <c r="N783" s="244"/>
      <c r="O783" s="244"/>
      <c r="P783" s="244"/>
      <c r="Q783" s="245">
        <f t="shared" si="128"/>
        <v>0</v>
      </c>
      <c r="R783" s="245">
        <f t="shared" si="129"/>
        <v>0</v>
      </c>
      <c r="S783" s="246">
        <v>0.5</v>
      </c>
      <c r="T783" s="245">
        <f t="shared" si="130"/>
        <v>0</v>
      </c>
      <c r="U783" s="245">
        <f t="shared" si="131"/>
        <v>0</v>
      </c>
      <c r="V783" s="247"/>
    </row>
    <row r="784" spans="1:22" ht="15.75" x14ac:dyDescent="0.25">
      <c r="A784" s="236"/>
      <c r="B784" s="237"/>
      <c r="C784" s="238"/>
      <c r="D784" s="239"/>
      <c r="E784" s="240"/>
      <c r="F784" s="240"/>
      <c r="G784" s="240"/>
      <c r="H784" s="241">
        <f t="shared" si="126"/>
        <v>0</v>
      </c>
      <c r="I784" s="242"/>
      <c r="J784" s="243"/>
      <c r="K784" s="243"/>
      <c r="L784" s="244">
        <v>0.1</v>
      </c>
      <c r="M784" s="244">
        <f t="shared" si="127"/>
        <v>0</v>
      </c>
      <c r="N784" s="244"/>
      <c r="O784" s="244"/>
      <c r="P784" s="244"/>
      <c r="Q784" s="245">
        <f t="shared" si="128"/>
        <v>0</v>
      </c>
      <c r="R784" s="245">
        <f t="shared" si="129"/>
        <v>0</v>
      </c>
      <c r="S784" s="246">
        <v>0.5</v>
      </c>
      <c r="T784" s="245">
        <f t="shared" si="130"/>
        <v>0</v>
      </c>
      <c r="U784" s="245">
        <f t="shared" si="131"/>
        <v>0</v>
      </c>
      <c r="V784" s="247"/>
    </row>
    <row r="785" spans="1:22" ht="15.75" x14ac:dyDescent="0.25">
      <c r="A785" s="236"/>
      <c r="B785" s="237"/>
      <c r="C785" s="238"/>
      <c r="D785" s="239"/>
      <c r="E785" s="240"/>
      <c r="F785" s="240"/>
      <c r="G785" s="240"/>
      <c r="H785" s="241">
        <f t="shared" si="126"/>
        <v>0</v>
      </c>
      <c r="I785" s="242"/>
      <c r="J785" s="243"/>
      <c r="K785" s="243"/>
      <c r="L785" s="244">
        <v>0.1</v>
      </c>
      <c r="M785" s="244">
        <f t="shared" si="127"/>
        <v>0</v>
      </c>
      <c r="N785" s="244"/>
      <c r="O785" s="244"/>
      <c r="P785" s="244"/>
      <c r="Q785" s="245">
        <f t="shared" si="128"/>
        <v>0</v>
      </c>
      <c r="R785" s="245">
        <f t="shared" si="129"/>
        <v>0</v>
      </c>
      <c r="S785" s="246">
        <v>0.5</v>
      </c>
      <c r="T785" s="245">
        <f t="shared" si="130"/>
        <v>0</v>
      </c>
      <c r="U785" s="245">
        <f t="shared" si="131"/>
        <v>0</v>
      </c>
      <c r="V785" s="247"/>
    </row>
    <row r="786" spans="1:22" ht="15.75" x14ac:dyDescent="0.25">
      <c r="A786" s="236"/>
      <c r="B786" s="237"/>
      <c r="C786" s="238"/>
      <c r="D786" s="239"/>
      <c r="E786" s="240"/>
      <c r="F786" s="240"/>
      <c r="G786" s="240"/>
      <c r="H786" s="241">
        <f t="shared" si="126"/>
        <v>0</v>
      </c>
      <c r="I786" s="242"/>
      <c r="J786" s="243"/>
      <c r="K786" s="243"/>
      <c r="L786" s="244">
        <v>0.1</v>
      </c>
      <c r="M786" s="244">
        <f t="shared" si="127"/>
        <v>0</v>
      </c>
      <c r="N786" s="244"/>
      <c r="O786" s="244"/>
      <c r="P786" s="244"/>
      <c r="Q786" s="245">
        <f t="shared" si="128"/>
        <v>0</v>
      </c>
      <c r="R786" s="245">
        <f t="shared" si="129"/>
        <v>0</v>
      </c>
      <c r="S786" s="246">
        <v>0.5</v>
      </c>
      <c r="T786" s="245">
        <f t="shared" si="130"/>
        <v>0</v>
      </c>
      <c r="U786" s="245">
        <f t="shared" si="131"/>
        <v>0</v>
      </c>
      <c r="V786" s="247"/>
    </row>
    <row r="787" spans="1:22" ht="15.75" x14ac:dyDescent="0.25">
      <c r="A787" s="236"/>
      <c r="B787" s="237"/>
      <c r="C787" s="238"/>
      <c r="D787" s="239"/>
      <c r="E787" s="240"/>
      <c r="F787" s="240"/>
      <c r="G787" s="240"/>
      <c r="H787" s="241">
        <f t="shared" si="126"/>
        <v>0</v>
      </c>
      <c r="I787" s="242"/>
      <c r="J787" s="243"/>
      <c r="K787" s="243"/>
      <c r="L787" s="244">
        <v>0.1</v>
      </c>
      <c r="M787" s="244">
        <f t="shared" si="127"/>
        <v>0</v>
      </c>
      <c r="N787" s="244"/>
      <c r="O787" s="244"/>
      <c r="P787" s="244"/>
      <c r="Q787" s="245">
        <f t="shared" si="128"/>
        <v>0</v>
      </c>
      <c r="R787" s="245">
        <f t="shared" si="129"/>
        <v>0</v>
      </c>
      <c r="S787" s="246">
        <v>0.5</v>
      </c>
      <c r="T787" s="245">
        <f t="shared" si="130"/>
        <v>0</v>
      </c>
      <c r="U787" s="245">
        <f t="shared" si="131"/>
        <v>0</v>
      </c>
      <c r="V787" s="247"/>
    </row>
    <row r="788" spans="1:22" ht="15.75" x14ac:dyDescent="0.25">
      <c r="A788" s="236"/>
      <c r="B788" s="237"/>
      <c r="C788" s="238"/>
      <c r="D788" s="239"/>
      <c r="E788" s="240"/>
      <c r="F788" s="240"/>
      <c r="G788" s="240"/>
      <c r="H788" s="241">
        <f t="shared" si="126"/>
        <v>0</v>
      </c>
      <c r="I788" s="242"/>
      <c r="J788" s="243"/>
      <c r="K788" s="243"/>
      <c r="L788" s="244">
        <v>0.1</v>
      </c>
      <c r="M788" s="244">
        <f t="shared" si="127"/>
        <v>0</v>
      </c>
      <c r="N788" s="244"/>
      <c r="O788" s="244"/>
      <c r="P788" s="244"/>
      <c r="Q788" s="245">
        <f t="shared" si="128"/>
        <v>0</v>
      </c>
      <c r="R788" s="245">
        <f t="shared" si="129"/>
        <v>0</v>
      </c>
      <c r="S788" s="246">
        <v>0.5</v>
      </c>
      <c r="T788" s="245">
        <f t="shared" si="130"/>
        <v>0</v>
      </c>
      <c r="U788" s="245">
        <f t="shared" si="131"/>
        <v>0</v>
      </c>
      <c r="V788" s="247"/>
    </row>
    <row r="789" spans="1:22" ht="15.75" x14ac:dyDescent="0.25">
      <c r="A789" s="236"/>
      <c r="B789" s="237"/>
      <c r="C789" s="238"/>
      <c r="D789" s="239"/>
      <c r="E789" s="240"/>
      <c r="F789" s="240"/>
      <c r="G789" s="240"/>
      <c r="H789" s="241">
        <f t="shared" si="126"/>
        <v>0</v>
      </c>
      <c r="I789" s="242"/>
      <c r="J789" s="243"/>
      <c r="K789" s="243"/>
      <c r="L789" s="244">
        <v>0.1</v>
      </c>
      <c r="M789" s="244">
        <f t="shared" si="127"/>
        <v>0</v>
      </c>
      <c r="N789" s="244"/>
      <c r="O789" s="244"/>
      <c r="P789" s="244"/>
      <c r="Q789" s="245">
        <f t="shared" si="128"/>
        <v>0</v>
      </c>
      <c r="R789" s="245">
        <f t="shared" si="129"/>
        <v>0</v>
      </c>
      <c r="S789" s="246">
        <v>0.5</v>
      </c>
      <c r="T789" s="245">
        <f t="shared" si="130"/>
        <v>0</v>
      </c>
      <c r="U789" s="245">
        <f t="shared" si="131"/>
        <v>0</v>
      </c>
      <c r="V789" s="247"/>
    </row>
    <row r="790" spans="1:22" ht="15.75" x14ac:dyDescent="0.25">
      <c r="A790" s="236"/>
      <c r="B790" s="237"/>
      <c r="C790" s="238"/>
      <c r="D790" s="239"/>
      <c r="E790" s="240"/>
      <c r="F790" s="240"/>
      <c r="G790" s="240"/>
      <c r="H790" s="241">
        <f t="shared" si="126"/>
        <v>0</v>
      </c>
      <c r="I790" s="242"/>
      <c r="J790" s="243"/>
      <c r="K790" s="243"/>
      <c r="L790" s="244">
        <v>0.1</v>
      </c>
      <c r="M790" s="244">
        <f t="shared" si="127"/>
        <v>0</v>
      </c>
      <c r="N790" s="244"/>
      <c r="O790" s="244"/>
      <c r="P790" s="244"/>
      <c r="Q790" s="245">
        <f t="shared" si="128"/>
        <v>0</v>
      </c>
      <c r="R790" s="245">
        <f t="shared" si="129"/>
        <v>0</v>
      </c>
      <c r="S790" s="246">
        <v>0.5</v>
      </c>
      <c r="T790" s="245">
        <f t="shared" si="130"/>
        <v>0</v>
      </c>
      <c r="U790" s="245">
        <f t="shared" si="131"/>
        <v>0</v>
      </c>
      <c r="V790" s="247"/>
    </row>
    <row r="791" spans="1:22" ht="15.75" x14ac:dyDescent="0.25">
      <c r="A791" s="236"/>
      <c r="B791" s="237"/>
      <c r="C791" s="238"/>
      <c r="D791" s="239"/>
      <c r="E791" s="240"/>
      <c r="F791" s="240"/>
      <c r="G791" s="240"/>
      <c r="H791" s="241">
        <f t="shared" si="126"/>
        <v>0</v>
      </c>
      <c r="I791" s="242"/>
      <c r="J791" s="243"/>
      <c r="K791" s="243"/>
      <c r="L791" s="244">
        <v>0.1</v>
      </c>
      <c r="M791" s="244">
        <f t="shared" si="127"/>
        <v>0</v>
      </c>
      <c r="N791" s="244"/>
      <c r="O791" s="244"/>
      <c r="P791" s="244"/>
      <c r="Q791" s="245">
        <f t="shared" si="128"/>
        <v>0</v>
      </c>
      <c r="R791" s="245">
        <f t="shared" si="129"/>
        <v>0</v>
      </c>
      <c r="S791" s="246">
        <v>0.5</v>
      </c>
      <c r="T791" s="245">
        <f t="shared" si="130"/>
        <v>0</v>
      </c>
      <c r="U791" s="245">
        <f t="shared" si="131"/>
        <v>0</v>
      </c>
      <c r="V791" s="247"/>
    </row>
    <row r="792" spans="1:22" ht="15.75" x14ac:dyDescent="0.25">
      <c r="A792" s="236"/>
      <c r="B792" s="237"/>
      <c r="C792" s="238"/>
      <c r="D792" s="239"/>
      <c r="E792" s="240"/>
      <c r="F792" s="240"/>
      <c r="G792" s="240"/>
      <c r="H792" s="241">
        <f t="shared" si="126"/>
        <v>0</v>
      </c>
      <c r="I792" s="242"/>
      <c r="J792" s="243"/>
      <c r="K792" s="243"/>
      <c r="L792" s="244">
        <v>0.1</v>
      </c>
      <c r="M792" s="244">
        <f t="shared" si="127"/>
        <v>0</v>
      </c>
      <c r="N792" s="244"/>
      <c r="O792" s="244"/>
      <c r="P792" s="244"/>
      <c r="Q792" s="245">
        <f t="shared" si="128"/>
        <v>0</v>
      </c>
      <c r="R792" s="245">
        <f t="shared" si="129"/>
        <v>0</v>
      </c>
      <c r="S792" s="246">
        <v>0.5</v>
      </c>
      <c r="T792" s="245">
        <f t="shared" si="130"/>
        <v>0</v>
      </c>
      <c r="U792" s="245">
        <f t="shared" si="131"/>
        <v>0</v>
      </c>
      <c r="V792" s="247"/>
    </row>
    <row r="793" spans="1:22" ht="15.75" x14ac:dyDescent="0.25">
      <c r="A793" s="236"/>
      <c r="B793" s="237"/>
      <c r="C793" s="238"/>
      <c r="D793" s="239"/>
      <c r="E793" s="240"/>
      <c r="F793" s="240"/>
      <c r="G793" s="240"/>
      <c r="H793" s="241">
        <f t="shared" si="126"/>
        <v>0</v>
      </c>
      <c r="I793" s="242"/>
      <c r="J793" s="243"/>
      <c r="K793" s="243"/>
      <c r="L793" s="244">
        <v>0.1</v>
      </c>
      <c r="M793" s="244">
        <f t="shared" si="127"/>
        <v>0</v>
      </c>
      <c r="N793" s="244"/>
      <c r="O793" s="244"/>
      <c r="P793" s="244"/>
      <c r="Q793" s="245">
        <f t="shared" si="128"/>
        <v>0</v>
      </c>
      <c r="R793" s="245">
        <f t="shared" si="129"/>
        <v>0</v>
      </c>
      <c r="S793" s="246">
        <v>0.5</v>
      </c>
      <c r="T793" s="245">
        <f t="shared" si="130"/>
        <v>0</v>
      </c>
      <c r="U793" s="245">
        <f t="shared" si="131"/>
        <v>0</v>
      </c>
      <c r="V793" s="247"/>
    </row>
    <row r="794" spans="1:22" ht="15.75" x14ac:dyDescent="0.25">
      <c r="A794" s="236"/>
      <c r="B794" s="237"/>
      <c r="C794" s="238"/>
      <c r="D794" s="239"/>
      <c r="E794" s="240"/>
      <c r="F794" s="240"/>
      <c r="G794" s="240"/>
      <c r="H794" s="241">
        <f t="shared" si="126"/>
        <v>0</v>
      </c>
      <c r="I794" s="242"/>
      <c r="J794" s="243"/>
      <c r="K794" s="243"/>
      <c r="L794" s="244">
        <v>0.1</v>
      </c>
      <c r="M794" s="244">
        <f t="shared" si="127"/>
        <v>0</v>
      </c>
      <c r="N794" s="244"/>
      <c r="O794" s="244"/>
      <c r="P794" s="244"/>
      <c r="Q794" s="245">
        <f t="shared" si="128"/>
        <v>0</v>
      </c>
      <c r="R794" s="245">
        <f t="shared" si="129"/>
        <v>0</v>
      </c>
      <c r="S794" s="246">
        <v>0.5</v>
      </c>
      <c r="T794" s="245">
        <f t="shared" si="130"/>
        <v>0</v>
      </c>
      <c r="U794" s="245">
        <f t="shared" si="131"/>
        <v>0</v>
      </c>
      <c r="V794" s="247"/>
    </row>
    <row r="795" spans="1:22" ht="15.75" x14ac:dyDescent="0.25">
      <c r="A795" s="236"/>
      <c r="B795" s="237"/>
      <c r="C795" s="238"/>
      <c r="D795" s="239"/>
      <c r="E795" s="240"/>
      <c r="F795" s="240"/>
      <c r="G795" s="240"/>
      <c r="H795" s="241">
        <f t="shared" si="126"/>
        <v>0</v>
      </c>
      <c r="I795" s="242"/>
      <c r="J795" s="243"/>
      <c r="K795" s="243"/>
      <c r="L795" s="244">
        <v>0.1</v>
      </c>
      <c r="M795" s="244">
        <f t="shared" si="127"/>
        <v>0</v>
      </c>
      <c r="N795" s="244"/>
      <c r="O795" s="244"/>
      <c r="P795" s="244"/>
      <c r="Q795" s="245">
        <f t="shared" si="128"/>
        <v>0</v>
      </c>
      <c r="R795" s="245">
        <f t="shared" si="129"/>
        <v>0</v>
      </c>
      <c r="S795" s="246">
        <v>0.5</v>
      </c>
      <c r="T795" s="245">
        <f t="shared" si="130"/>
        <v>0</v>
      </c>
      <c r="U795" s="245">
        <f t="shared" si="131"/>
        <v>0</v>
      </c>
      <c r="V795" s="247"/>
    </row>
    <row r="796" spans="1:22" ht="15.75" x14ac:dyDescent="0.25">
      <c r="A796" s="236"/>
      <c r="B796" s="237"/>
      <c r="C796" s="238"/>
      <c r="D796" s="239"/>
      <c r="E796" s="240"/>
      <c r="F796" s="240"/>
      <c r="G796" s="240"/>
      <c r="H796" s="241">
        <f t="shared" si="126"/>
        <v>0</v>
      </c>
      <c r="I796" s="242"/>
      <c r="J796" s="243"/>
      <c r="K796" s="243"/>
      <c r="L796" s="244">
        <v>0.1</v>
      </c>
      <c r="M796" s="244">
        <f t="shared" si="127"/>
        <v>0</v>
      </c>
      <c r="N796" s="244"/>
      <c r="O796" s="244"/>
      <c r="P796" s="244"/>
      <c r="Q796" s="245">
        <f t="shared" si="128"/>
        <v>0</v>
      </c>
      <c r="R796" s="245">
        <f t="shared" si="129"/>
        <v>0</v>
      </c>
      <c r="S796" s="246">
        <v>0.5</v>
      </c>
      <c r="T796" s="245">
        <f t="shared" si="130"/>
        <v>0</v>
      </c>
      <c r="U796" s="245">
        <f t="shared" si="131"/>
        <v>0</v>
      </c>
      <c r="V796" s="247"/>
    </row>
    <row r="797" spans="1:22" ht="15.75" x14ac:dyDescent="0.25">
      <c r="A797" s="236"/>
      <c r="B797" s="237"/>
      <c r="C797" s="238"/>
      <c r="D797" s="239"/>
      <c r="E797" s="240"/>
      <c r="F797" s="240"/>
      <c r="G797" s="240"/>
      <c r="H797" s="241">
        <f t="shared" si="126"/>
        <v>0</v>
      </c>
      <c r="I797" s="242"/>
      <c r="J797" s="243"/>
      <c r="K797" s="243"/>
      <c r="L797" s="244">
        <v>0.1</v>
      </c>
      <c r="M797" s="244">
        <f t="shared" si="127"/>
        <v>0</v>
      </c>
      <c r="N797" s="244"/>
      <c r="O797" s="244"/>
      <c r="P797" s="244"/>
      <c r="Q797" s="245">
        <f t="shared" si="128"/>
        <v>0</v>
      </c>
      <c r="R797" s="245">
        <f t="shared" si="129"/>
        <v>0</v>
      </c>
      <c r="S797" s="246">
        <v>0.5</v>
      </c>
      <c r="T797" s="245">
        <f t="shared" si="130"/>
        <v>0</v>
      </c>
      <c r="U797" s="245">
        <f t="shared" si="131"/>
        <v>0</v>
      </c>
      <c r="V797" s="247"/>
    </row>
    <row r="798" spans="1:22" ht="15.75" x14ac:dyDescent="0.25">
      <c r="A798" s="236"/>
      <c r="B798" s="237"/>
      <c r="C798" s="238"/>
      <c r="D798" s="239"/>
      <c r="E798" s="240"/>
      <c r="F798" s="240"/>
      <c r="G798" s="240"/>
      <c r="H798" s="241">
        <f t="shared" si="126"/>
        <v>0</v>
      </c>
      <c r="I798" s="242"/>
      <c r="J798" s="243"/>
      <c r="K798" s="243"/>
      <c r="L798" s="244">
        <v>0.1</v>
      </c>
      <c r="M798" s="244">
        <f t="shared" si="127"/>
        <v>0</v>
      </c>
      <c r="N798" s="244"/>
      <c r="O798" s="244"/>
      <c r="P798" s="244"/>
      <c r="Q798" s="245">
        <f t="shared" si="128"/>
        <v>0</v>
      </c>
      <c r="R798" s="245">
        <f t="shared" si="129"/>
        <v>0</v>
      </c>
      <c r="S798" s="246">
        <v>0.5</v>
      </c>
      <c r="T798" s="245">
        <f t="shared" si="130"/>
        <v>0</v>
      </c>
      <c r="U798" s="245">
        <f t="shared" si="131"/>
        <v>0</v>
      </c>
      <c r="V798" s="247"/>
    </row>
    <row r="799" spans="1:22" ht="15.75" x14ac:dyDescent="0.25">
      <c r="A799" s="236"/>
      <c r="B799" s="237"/>
      <c r="C799" s="238"/>
      <c r="D799" s="239"/>
      <c r="E799" s="240"/>
      <c r="F799" s="240"/>
      <c r="G799" s="240"/>
      <c r="H799" s="241">
        <f t="shared" si="126"/>
        <v>0</v>
      </c>
      <c r="I799" s="242"/>
      <c r="J799" s="243"/>
      <c r="K799" s="243"/>
      <c r="L799" s="244">
        <v>0.1</v>
      </c>
      <c r="M799" s="244">
        <f t="shared" si="127"/>
        <v>0</v>
      </c>
      <c r="N799" s="244"/>
      <c r="O799" s="244"/>
      <c r="P799" s="244"/>
      <c r="Q799" s="245">
        <f t="shared" si="128"/>
        <v>0</v>
      </c>
      <c r="R799" s="245">
        <f t="shared" si="129"/>
        <v>0</v>
      </c>
      <c r="S799" s="246">
        <v>0.5</v>
      </c>
      <c r="T799" s="245">
        <f t="shared" si="130"/>
        <v>0</v>
      </c>
      <c r="U799" s="245">
        <f t="shared" si="131"/>
        <v>0</v>
      </c>
      <c r="V799" s="247"/>
    </row>
    <row r="800" spans="1:22" ht="15.75" x14ac:dyDescent="0.25">
      <c r="A800" s="236"/>
      <c r="B800" s="237"/>
      <c r="C800" s="238"/>
      <c r="D800" s="239"/>
      <c r="E800" s="240"/>
      <c r="F800" s="240"/>
      <c r="G800" s="240"/>
      <c r="H800" s="241">
        <f t="shared" si="126"/>
        <v>0</v>
      </c>
      <c r="I800" s="242"/>
      <c r="J800" s="243"/>
      <c r="K800" s="243"/>
      <c r="L800" s="244">
        <v>0.1</v>
      </c>
      <c r="M800" s="244">
        <f t="shared" si="127"/>
        <v>0</v>
      </c>
      <c r="N800" s="244"/>
      <c r="O800" s="244"/>
      <c r="P800" s="244"/>
      <c r="Q800" s="245">
        <f t="shared" si="128"/>
        <v>0</v>
      </c>
      <c r="R800" s="245">
        <f t="shared" si="129"/>
        <v>0</v>
      </c>
      <c r="S800" s="246">
        <v>0.5</v>
      </c>
      <c r="T800" s="245">
        <f t="shared" si="130"/>
        <v>0</v>
      </c>
      <c r="U800" s="245">
        <f t="shared" si="131"/>
        <v>0</v>
      </c>
      <c r="V800" s="247"/>
    </row>
    <row r="801" spans="1:22" ht="15.75" x14ac:dyDescent="0.25">
      <c r="A801" s="236"/>
      <c r="B801" s="237"/>
      <c r="C801" s="238"/>
      <c r="D801" s="239"/>
      <c r="E801" s="240"/>
      <c r="F801" s="240"/>
      <c r="G801" s="240"/>
      <c r="H801" s="241">
        <f t="shared" si="126"/>
        <v>0</v>
      </c>
      <c r="I801" s="242"/>
      <c r="J801" s="243"/>
      <c r="K801" s="243"/>
      <c r="L801" s="244">
        <v>0.1</v>
      </c>
      <c r="M801" s="244">
        <f t="shared" si="127"/>
        <v>0</v>
      </c>
      <c r="N801" s="244"/>
      <c r="O801" s="244"/>
      <c r="P801" s="244"/>
      <c r="Q801" s="245">
        <f t="shared" si="128"/>
        <v>0</v>
      </c>
      <c r="R801" s="245">
        <f t="shared" si="129"/>
        <v>0</v>
      </c>
      <c r="S801" s="246">
        <v>0.5</v>
      </c>
      <c r="T801" s="245">
        <f t="shared" si="130"/>
        <v>0</v>
      </c>
      <c r="U801" s="245">
        <f t="shared" si="131"/>
        <v>0</v>
      </c>
      <c r="V801" s="247"/>
    </row>
    <row r="802" spans="1:22" ht="15.75" x14ac:dyDescent="0.25">
      <c r="A802" s="236"/>
      <c r="B802" s="237"/>
      <c r="C802" s="238"/>
      <c r="D802" s="239"/>
      <c r="E802" s="240"/>
      <c r="F802" s="240"/>
      <c r="G802" s="240"/>
      <c r="H802" s="241">
        <f t="shared" ref="H802:H865" si="132">+E802+F802+G802</f>
        <v>0</v>
      </c>
      <c r="I802" s="242"/>
      <c r="J802" s="243"/>
      <c r="K802" s="243"/>
      <c r="L802" s="244">
        <v>0.1</v>
      </c>
      <c r="M802" s="244">
        <f t="shared" ref="M802:M865" si="133">+L802*C802</f>
        <v>0</v>
      </c>
      <c r="N802" s="244"/>
      <c r="O802" s="244"/>
      <c r="P802" s="244"/>
      <c r="Q802" s="245">
        <f t="shared" ref="Q802:Q865" si="134">+N802+O802+P802</f>
        <v>0</v>
      </c>
      <c r="R802" s="245">
        <f t="shared" ref="R802:R865" si="135">IF(+Q802-H802&lt;=0,0,Q802-H802)</f>
        <v>0</v>
      </c>
      <c r="S802" s="246">
        <v>0.5</v>
      </c>
      <c r="T802" s="245">
        <f t="shared" ref="T802:T865" si="136">+(R802*C802)*S802</f>
        <v>0</v>
      </c>
      <c r="U802" s="245">
        <f t="shared" ref="U802:U865" si="137">+J802+M802+T802</f>
        <v>0</v>
      </c>
      <c r="V802" s="247"/>
    </row>
    <row r="803" spans="1:22" ht="15.75" x14ac:dyDescent="0.25">
      <c r="A803" s="236"/>
      <c r="B803" s="237"/>
      <c r="C803" s="238"/>
      <c r="D803" s="239"/>
      <c r="E803" s="240"/>
      <c r="F803" s="240"/>
      <c r="G803" s="240"/>
      <c r="H803" s="241">
        <f t="shared" si="132"/>
        <v>0</v>
      </c>
      <c r="I803" s="242"/>
      <c r="J803" s="243"/>
      <c r="K803" s="243"/>
      <c r="L803" s="244">
        <v>0.1</v>
      </c>
      <c r="M803" s="244">
        <f t="shared" si="133"/>
        <v>0</v>
      </c>
      <c r="N803" s="244"/>
      <c r="O803" s="244"/>
      <c r="P803" s="244"/>
      <c r="Q803" s="245">
        <f t="shared" si="134"/>
        <v>0</v>
      </c>
      <c r="R803" s="245">
        <f t="shared" si="135"/>
        <v>0</v>
      </c>
      <c r="S803" s="246">
        <v>0.5</v>
      </c>
      <c r="T803" s="245">
        <f t="shared" si="136"/>
        <v>0</v>
      </c>
      <c r="U803" s="245">
        <f t="shared" si="137"/>
        <v>0</v>
      </c>
      <c r="V803" s="247"/>
    </row>
    <row r="804" spans="1:22" ht="15.75" x14ac:dyDescent="0.25">
      <c r="A804" s="236"/>
      <c r="B804" s="237"/>
      <c r="C804" s="238"/>
      <c r="D804" s="239"/>
      <c r="E804" s="240"/>
      <c r="F804" s="240"/>
      <c r="G804" s="240"/>
      <c r="H804" s="241">
        <f t="shared" si="132"/>
        <v>0</v>
      </c>
      <c r="I804" s="242"/>
      <c r="J804" s="243"/>
      <c r="K804" s="243"/>
      <c r="L804" s="244">
        <v>0.1</v>
      </c>
      <c r="M804" s="244">
        <f t="shared" si="133"/>
        <v>0</v>
      </c>
      <c r="N804" s="244"/>
      <c r="O804" s="244"/>
      <c r="P804" s="244"/>
      <c r="Q804" s="245">
        <f t="shared" si="134"/>
        <v>0</v>
      </c>
      <c r="R804" s="245">
        <f t="shared" si="135"/>
        <v>0</v>
      </c>
      <c r="S804" s="246">
        <v>0.5</v>
      </c>
      <c r="T804" s="245">
        <f t="shared" si="136"/>
        <v>0</v>
      </c>
      <c r="U804" s="245">
        <f t="shared" si="137"/>
        <v>0</v>
      </c>
      <c r="V804" s="247"/>
    </row>
    <row r="805" spans="1:22" ht="15.75" x14ac:dyDescent="0.25">
      <c r="A805" s="236"/>
      <c r="B805" s="237"/>
      <c r="C805" s="238"/>
      <c r="D805" s="239"/>
      <c r="E805" s="240"/>
      <c r="F805" s="240"/>
      <c r="G805" s="240"/>
      <c r="H805" s="241">
        <f t="shared" si="132"/>
        <v>0</v>
      </c>
      <c r="I805" s="242"/>
      <c r="J805" s="243"/>
      <c r="K805" s="243"/>
      <c r="L805" s="244">
        <v>0.1</v>
      </c>
      <c r="M805" s="244">
        <f t="shared" si="133"/>
        <v>0</v>
      </c>
      <c r="N805" s="244"/>
      <c r="O805" s="244"/>
      <c r="P805" s="244"/>
      <c r="Q805" s="245">
        <f t="shared" si="134"/>
        <v>0</v>
      </c>
      <c r="R805" s="245">
        <f t="shared" si="135"/>
        <v>0</v>
      </c>
      <c r="S805" s="246">
        <v>0.5</v>
      </c>
      <c r="T805" s="245">
        <f t="shared" si="136"/>
        <v>0</v>
      </c>
      <c r="U805" s="245">
        <f t="shared" si="137"/>
        <v>0</v>
      </c>
      <c r="V805" s="247"/>
    </row>
    <row r="806" spans="1:22" ht="15.75" x14ac:dyDescent="0.25">
      <c r="A806" s="236"/>
      <c r="B806" s="237"/>
      <c r="C806" s="238"/>
      <c r="D806" s="239"/>
      <c r="E806" s="240"/>
      <c r="F806" s="240"/>
      <c r="G806" s="240"/>
      <c r="H806" s="241">
        <f t="shared" si="132"/>
        <v>0</v>
      </c>
      <c r="I806" s="242"/>
      <c r="J806" s="243"/>
      <c r="K806" s="243"/>
      <c r="L806" s="244">
        <v>0.1</v>
      </c>
      <c r="M806" s="244">
        <f t="shared" si="133"/>
        <v>0</v>
      </c>
      <c r="N806" s="244"/>
      <c r="O806" s="244"/>
      <c r="P806" s="244"/>
      <c r="Q806" s="245">
        <f t="shared" si="134"/>
        <v>0</v>
      </c>
      <c r="R806" s="245">
        <f t="shared" si="135"/>
        <v>0</v>
      </c>
      <c r="S806" s="246">
        <v>0.5</v>
      </c>
      <c r="T806" s="245">
        <f t="shared" si="136"/>
        <v>0</v>
      </c>
      <c r="U806" s="245">
        <f t="shared" si="137"/>
        <v>0</v>
      </c>
      <c r="V806" s="247"/>
    </row>
    <row r="807" spans="1:22" ht="15.75" x14ac:dyDescent="0.25">
      <c r="A807" s="236"/>
      <c r="B807" s="237"/>
      <c r="C807" s="238"/>
      <c r="D807" s="239"/>
      <c r="E807" s="240"/>
      <c r="F807" s="240"/>
      <c r="G807" s="240"/>
      <c r="H807" s="241">
        <f t="shared" si="132"/>
        <v>0</v>
      </c>
      <c r="I807" s="242"/>
      <c r="J807" s="243"/>
      <c r="K807" s="243"/>
      <c r="L807" s="244">
        <v>0.1</v>
      </c>
      <c r="M807" s="244">
        <f t="shared" si="133"/>
        <v>0</v>
      </c>
      <c r="N807" s="244"/>
      <c r="O807" s="244"/>
      <c r="P807" s="244"/>
      <c r="Q807" s="245">
        <f t="shared" si="134"/>
        <v>0</v>
      </c>
      <c r="R807" s="245">
        <f t="shared" si="135"/>
        <v>0</v>
      </c>
      <c r="S807" s="246">
        <v>0.5</v>
      </c>
      <c r="T807" s="245">
        <f t="shared" si="136"/>
        <v>0</v>
      </c>
      <c r="U807" s="245">
        <f t="shared" si="137"/>
        <v>0</v>
      </c>
      <c r="V807" s="247"/>
    </row>
    <row r="808" spans="1:22" ht="15.75" x14ac:dyDescent="0.25">
      <c r="A808" s="236"/>
      <c r="B808" s="237"/>
      <c r="C808" s="238"/>
      <c r="D808" s="239"/>
      <c r="E808" s="240"/>
      <c r="F808" s="240"/>
      <c r="G808" s="240"/>
      <c r="H808" s="241">
        <f t="shared" si="132"/>
        <v>0</v>
      </c>
      <c r="I808" s="242"/>
      <c r="J808" s="243"/>
      <c r="K808" s="243"/>
      <c r="L808" s="244">
        <v>0.1</v>
      </c>
      <c r="M808" s="244">
        <f t="shared" si="133"/>
        <v>0</v>
      </c>
      <c r="N808" s="244"/>
      <c r="O808" s="244"/>
      <c r="P808" s="244"/>
      <c r="Q808" s="245">
        <f t="shared" si="134"/>
        <v>0</v>
      </c>
      <c r="R808" s="245">
        <f t="shared" si="135"/>
        <v>0</v>
      </c>
      <c r="S808" s="246">
        <v>0.5</v>
      </c>
      <c r="T808" s="245">
        <f t="shared" si="136"/>
        <v>0</v>
      </c>
      <c r="U808" s="245">
        <f t="shared" si="137"/>
        <v>0</v>
      </c>
      <c r="V808" s="247"/>
    </row>
    <row r="809" spans="1:22" ht="15.75" x14ac:dyDescent="0.25">
      <c r="A809" s="236"/>
      <c r="B809" s="237"/>
      <c r="C809" s="238"/>
      <c r="D809" s="239"/>
      <c r="E809" s="240"/>
      <c r="F809" s="240"/>
      <c r="G809" s="240"/>
      <c r="H809" s="241">
        <f t="shared" si="132"/>
        <v>0</v>
      </c>
      <c r="I809" s="242"/>
      <c r="J809" s="243"/>
      <c r="K809" s="243"/>
      <c r="L809" s="244">
        <v>0.1</v>
      </c>
      <c r="M809" s="244">
        <f t="shared" si="133"/>
        <v>0</v>
      </c>
      <c r="N809" s="244"/>
      <c r="O809" s="244"/>
      <c r="P809" s="244"/>
      <c r="Q809" s="245">
        <f t="shared" si="134"/>
        <v>0</v>
      </c>
      <c r="R809" s="245">
        <f t="shared" si="135"/>
        <v>0</v>
      </c>
      <c r="S809" s="246">
        <v>0.5</v>
      </c>
      <c r="T809" s="245">
        <f t="shared" si="136"/>
        <v>0</v>
      </c>
      <c r="U809" s="245">
        <f t="shared" si="137"/>
        <v>0</v>
      </c>
      <c r="V809" s="247"/>
    </row>
    <row r="810" spans="1:22" ht="15.75" x14ac:dyDescent="0.25">
      <c r="A810" s="236"/>
      <c r="B810" s="237"/>
      <c r="C810" s="238"/>
      <c r="D810" s="239"/>
      <c r="E810" s="240"/>
      <c r="F810" s="240"/>
      <c r="G810" s="240"/>
      <c r="H810" s="241">
        <f t="shared" si="132"/>
        <v>0</v>
      </c>
      <c r="I810" s="242"/>
      <c r="J810" s="243"/>
      <c r="K810" s="243"/>
      <c r="L810" s="244">
        <v>0.1</v>
      </c>
      <c r="M810" s="244">
        <f t="shared" si="133"/>
        <v>0</v>
      </c>
      <c r="N810" s="244"/>
      <c r="O810" s="244"/>
      <c r="P810" s="244"/>
      <c r="Q810" s="245">
        <f t="shared" si="134"/>
        <v>0</v>
      </c>
      <c r="R810" s="245">
        <f t="shared" si="135"/>
        <v>0</v>
      </c>
      <c r="S810" s="246">
        <v>0.5</v>
      </c>
      <c r="T810" s="245">
        <f t="shared" si="136"/>
        <v>0</v>
      </c>
      <c r="U810" s="245">
        <f t="shared" si="137"/>
        <v>0</v>
      </c>
      <c r="V810" s="247"/>
    </row>
    <row r="811" spans="1:22" ht="15.75" x14ac:dyDescent="0.25">
      <c r="A811" s="236"/>
      <c r="B811" s="237"/>
      <c r="C811" s="238"/>
      <c r="D811" s="239"/>
      <c r="E811" s="240"/>
      <c r="F811" s="240"/>
      <c r="G811" s="240"/>
      <c r="H811" s="241">
        <f t="shared" si="132"/>
        <v>0</v>
      </c>
      <c r="I811" s="242"/>
      <c r="J811" s="243"/>
      <c r="K811" s="243"/>
      <c r="L811" s="244">
        <v>0.1</v>
      </c>
      <c r="M811" s="244">
        <f t="shared" si="133"/>
        <v>0</v>
      </c>
      <c r="N811" s="244"/>
      <c r="O811" s="244"/>
      <c r="P811" s="244"/>
      <c r="Q811" s="245">
        <f t="shared" si="134"/>
        <v>0</v>
      </c>
      <c r="R811" s="245">
        <f t="shared" si="135"/>
        <v>0</v>
      </c>
      <c r="S811" s="246">
        <v>0.5</v>
      </c>
      <c r="T811" s="245">
        <f t="shared" si="136"/>
        <v>0</v>
      </c>
      <c r="U811" s="245">
        <f t="shared" si="137"/>
        <v>0</v>
      </c>
      <c r="V811" s="247"/>
    </row>
    <row r="812" spans="1:22" ht="15.75" x14ac:dyDescent="0.25">
      <c r="A812" s="236"/>
      <c r="B812" s="237"/>
      <c r="C812" s="238"/>
      <c r="D812" s="239"/>
      <c r="E812" s="240"/>
      <c r="F812" s="240"/>
      <c r="G812" s="240"/>
      <c r="H812" s="241">
        <f t="shared" si="132"/>
        <v>0</v>
      </c>
      <c r="I812" s="242"/>
      <c r="J812" s="243"/>
      <c r="K812" s="243"/>
      <c r="L812" s="244">
        <v>0.1</v>
      </c>
      <c r="M812" s="244">
        <f t="shared" si="133"/>
        <v>0</v>
      </c>
      <c r="N812" s="244"/>
      <c r="O812" s="244"/>
      <c r="P812" s="244"/>
      <c r="Q812" s="245">
        <f t="shared" si="134"/>
        <v>0</v>
      </c>
      <c r="R812" s="245">
        <f t="shared" si="135"/>
        <v>0</v>
      </c>
      <c r="S812" s="246">
        <v>0.5</v>
      </c>
      <c r="T812" s="245">
        <f t="shared" si="136"/>
        <v>0</v>
      </c>
      <c r="U812" s="245">
        <f t="shared" si="137"/>
        <v>0</v>
      </c>
      <c r="V812" s="247"/>
    </row>
    <row r="813" spans="1:22" ht="15.75" x14ac:dyDescent="0.25">
      <c r="A813" s="236"/>
      <c r="B813" s="237"/>
      <c r="C813" s="238"/>
      <c r="D813" s="239"/>
      <c r="E813" s="240"/>
      <c r="F813" s="240"/>
      <c r="G813" s="240"/>
      <c r="H813" s="241">
        <f t="shared" si="132"/>
        <v>0</v>
      </c>
      <c r="I813" s="242"/>
      <c r="J813" s="243"/>
      <c r="K813" s="243"/>
      <c r="L813" s="244">
        <v>0.1</v>
      </c>
      <c r="M813" s="244">
        <f t="shared" si="133"/>
        <v>0</v>
      </c>
      <c r="N813" s="244"/>
      <c r="O813" s="244"/>
      <c r="P813" s="244"/>
      <c r="Q813" s="245">
        <f t="shared" si="134"/>
        <v>0</v>
      </c>
      <c r="R813" s="245">
        <f t="shared" si="135"/>
        <v>0</v>
      </c>
      <c r="S813" s="246">
        <v>0.5</v>
      </c>
      <c r="T813" s="245">
        <f t="shared" si="136"/>
        <v>0</v>
      </c>
      <c r="U813" s="245">
        <f t="shared" si="137"/>
        <v>0</v>
      </c>
      <c r="V813" s="247"/>
    </row>
    <row r="814" spans="1:22" ht="15.75" x14ac:dyDescent="0.25">
      <c r="A814" s="236"/>
      <c r="B814" s="237"/>
      <c r="C814" s="238"/>
      <c r="D814" s="239"/>
      <c r="E814" s="240"/>
      <c r="F814" s="240"/>
      <c r="G814" s="240"/>
      <c r="H814" s="241">
        <f t="shared" si="132"/>
        <v>0</v>
      </c>
      <c r="I814" s="242"/>
      <c r="J814" s="243"/>
      <c r="K814" s="243"/>
      <c r="L814" s="244">
        <v>0.1</v>
      </c>
      <c r="M814" s="244">
        <f t="shared" si="133"/>
        <v>0</v>
      </c>
      <c r="N814" s="244"/>
      <c r="O814" s="244"/>
      <c r="P814" s="244"/>
      <c r="Q814" s="245">
        <f t="shared" si="134"/>
        <v>0</v>
      </c>
      <c r="R814" s="245">
        <f t="shared" si="135"/>
        <v>0</v>
      </c>
      <c r="S814" s="246">
        <v>0.5</v>
      </c>
      <c r="T814" s="245">
        <f t="shared" si="136"/>
        <v>0</v>
      </c>
      <c r="U814" s="245">
        <f t="shared" si="137"/>
        <v>0</v>
      </c>
      <c r="V814" s="247"/>
    </row>
    <row r="815" spans="1:22" ht="15.75" x14ac:dyDescent="0.25">
      <c r="A815" s="236"/>
      <c r="B815" s="237"/>
      <c r="C815" s="238"/>
      <c r="D815" s="239"/>
      <c r="E815" s="240"/>
      <c r="F815" s="240"/>
      <c r="G815" s="240"/>
      <c r="H815" s="241">
        <f t="shared" si="132"/>
        <v>0</v>
      </c>
      <c r="I815" s="242"/>
      <c r="J815" s="243"/>
      <c r="K815" s="243"/>
      <c r="L815" s="244">
        <v>0.1</v>
      </c>
      <c r="M815" s="244">
        <f t="shared" si="133"/>
        <v>0</v>
      </c>
      <c r="N815" s="244"/>
      <c r="O815" s="244"/>
      <c r="P815" s="244"/>
      <c r="Q815" s="245">
        <f t="shared" si="134"/>
        <v>0</v>
      </c>
      <c r="R815" s="245">
        <f t="shared" si="135"/>
        <v>0</v>
      </c>
      <c r="S815" s="246">
        <v>0.5</v>
      </c>
      <c r="T815" s="245">
        <f t="shared" si="136"/>
        <v>0</v>
      </c>
      <c r="U815" s="245">
        <f t="shared" si="137"/>
        <v>0</v>
      </c>
      <c r="V815" s="247"/>
    </row>
    <row r="816" spans="1:22" ht="15.75" x14ac:dyDescent="0.25">
      <c r="A816" s="236"/>
      <c r="B816" s="237"/>
      <c r="C816" s="238"/>
      <c r="D816" s="239"/>
      <c r="E816" s="240"/>
      <c r="F816" s="240"/>
      <c r="G816" s="240"/>
      <c r="H816" s="241">
        <f t="shared" si="132"/>
        <v>0</v>
      </c>
      <c r="I816" s="242"/>
      <c r="J816" s="243"/>
      <c r="K816" s="243"/>
      <c r="L816" s="244">
        <v>0.1</v>
      </c>
      <c r="M816" s="244">
        <f t="shared" si="133"/>
        <v>0</v>
      </c>
      <c r="N816" s="244"/>
      <c r="O816" s="244"/>
      <c r="P816" s="244"/>
      <c r="Q816" s="245">
        <f t="shared" si="134"/>
        <v>0</v>
      </c>
      <c r="R816" s="245">
        <f t="shared" si="135"/>
        <v>0</v>
      </c>
      <c r="S816" s="246">
        <v>0.5</v>
      </c>
      <c r="T816" s="245">
        <f t="shared" si="136"/>
        <v>0</v>
      </c>
      <c r="U816" s="245">
        <f t="shared" si="137"/>
        <v>0</v>
      </c>
      <c r="V816" s="247"/>
    </row>
    <row r="817" spans="1:22" ht="15.75" x14ac:dyDescent="0.25">
      <c r="A817" s="236"/>
      <c r="B817" s="237"/>
      <c r="C817" s="238"/>
      <c r="D817" s="239"/>
      <c r="E817" s="240"/>
      <c r="F817" s="240"/>
      <c r="G817" s="240"/>
      <c r="H817" s="241">
        <f t="shared" si="132"/>
        <v>0</v>
      </c>
      <c r="I817" s="242"/>
      <c r="J817" s="243"/>
      <c r="K817" s="243"/>
      <c r="L817" s="244">
        <v>0.1</v>
      </c>
      <c r="M817" s="244">
        <f t="shared" si="133"/>
        <v>0</v>
      </c>
      <c r="N817" s="244"/>
      <c r="O817" s="244"/>
      <c r="P817" s="244"/>
      <c r="Q817" s="245">
        <f t="shared" si="134"/>
        <v>0</v>
      </c>
      <c r="R817" s="245">
        <f t="shared" si="135"/>
        <v>0</v>
      </c>
      <c r="S817" s="246">
        <v>0.5</v>
      </c>
      <c r="T817" s="245">
        <f t="shared" si="136"/>
        <v>0</v>
      </c>
      <c r="U817" s="245">
        <f t="shared" si="137"/>
        <v>0</v>
      </c>
      <c r="V817" s="247"/>
    </row>
    <row r="818" spans="1:22" ht="15.75" x14ac:dyDescent="0.25">
      <c r="A818" s="236"/>
      <c r="B818" s="237"/>
      <c r="C818" s="238"/>
      <c r="D818" s="239"/>
      <c r="E818" s="240"/>
      <c r="F818" s="240"/>
      <c r="G818" s="240"/>
      <c r="H818" s="241">
        <f t="shared" si="132"/>
        <v>0</v>
      </c>
      <c r="I818" s="242"/>
      <c r="J818" s="243"/>
      <c r="K818" s="243"/>
      <c r="L818" s="244">
        <v>0.1</v>
      </c>
      <c r="M818" s="244">
        <f t="shared" si="133"/>
        <v>0</v>
      </c>
      <c r="N818" s="244"/>
      <c r="O818" s="244"/>
      <c r="P818" s="244"/>
      <c r="Q818" s="245">
        <f t="shared" si="134"/>
        <v>0</v>
      </c>
      <c r="R818" s="245">
        <f t="shared" si="135"/>
        <v>0</v>
      </c>
      <c r="S818" s="246">
        <v>0.5</v>
      </c>
      <c r="T818" s="245">
        <f t="shared" si="136"/>
        <v>0</v>
      </c>
      <c r="U818" s="245">
        <f t="shared" si="137"/>
        <v>0</v>
      </c>
      <c r="V818" s="247"/>
    </row>
    <row r="819" spans="1:22" ht="15.75" x14ac:dyDescent="0.25">
      <c r="A819" s="236"/>
      <c r="B819" s="237"/>
      <c r="C819" s="238"/>
      <c r="D819" s="239"/>
      <c r="E819" s="240"/>
      <c r="F819" s="240"/>
      <c r="G819" s="240"/>
      <c r="H819" s="241">
        <f t="shared" si="132"/>
        <v>0</v>
      </c>
      <c r="I819" s="242"/>
      <c r="J819" s="243"/>
      <c r="K819" s="243"/>
      <c r="L819" s="244">
        <v>0.1</v>
      </c>
      <c r="M819" s="244">
        <f t="shared" si="133"/>
        <v>0</v>
      </c>
      <c r="N819" s="244"/>
      <c r="O819" s="244"/>
      <c r="P819" s="244"/>
      <c r="Q819" s="245">
        <f t="shared" si="134"/>
        <v>0</v>
      </c>
      <c r="R819" s="245">
        <f t="shared" si="135"/>
        <v>0</v>
      </c>
      <c r="S819" s="246">
        <v>0.5</v>
      </c>
      <c r="T819" s="245">
        <f t="shared" si="136"/>
        <v>0</v>
      </c>
      <c r="U819" s="245">
        <f t="shared" si="137"/>
        <v>0</v>
      </c>
      <c r="V819" s="247"/>
    </row>
    <row r="820" spans="1:22" ht="15.75" x14ac:dyDescent="0.25">
      <c r="A820" s="236"/>
      <c r="B820" s="237"/>
      <c r="C820" s="238"/>
      <c r="D820" s="239"/>
      <c r="E820" s="240"/>
      <c r="F820" s="240"/>
      <c r="G820" s="240"/>
      <c r="H820" s="241">
        <f t="shared" si="132"/>
        <v>0</v>
      </c>
      <c r="I820" s="242"/>
      <c r="J820" s="243"/>
      <c r="K820" s="243"/>
      <c r="L820" s="244">
        <v>0.1</v>
      </c>
      <c r="M820" s="244">
        <f t="shared" si="133"/>
        <v>0</v>
      </c>
      <c r="N820" s="244"/>
      <c r="O820" s="244"/>
      <c r="P820" s="244"/>
      <c r="Q820" s="245">
        <f t="shared" si="134"/>
        <v>0</v>
      </c>
      <c r="R820" s="245">
        <f t="shared" si="135"/>
        <v>0</v>
      </c>
      <c r="S820" s="246">
        <v>0.5</v>
      </c>
      <c r="T820" s="245">
        <f t="shared" si="136"/>
        <v>0</v>
      </c>
      <c r="U820" s="245">
        <f t="shared" si="137"/>
        <v>0</v>
      </c>
      <c r="V820" s="247"/>
    </row>
    <row r="821" spans="1:22" ht="15.75" x14ac:dyDescent="0.25">
      <c r="A821" s="236"/>
      <c r="B821" s="237"/>
      <c r="C821" s="238"/>
      <c r="D821" s="239"/>
      <c r="E821" s="240"/>
      <c r="F821" s="240"/>
      <c r="G821" s="240"/>
      <c r="H821" s="241">
        <f t="shared" si="132"/>
        <v>0</v>
      </c>
      <c r="I821" s="242"/>
      <c r="J821" s="243"/>
      <c r="K821" s="243"/>
      <c r="L821" s="244">
        <v>0.1</v>
      </c>
      <c r="M821" s="244">
        <f t="shared" si="133"/>
        <v>0</v>
      </c>
      <c r="N821" s="244"/>
      <c r="O821" s="244"/>
      <c r="P821" s="244"/>
      <c r="Q821" s="245">
        <f t="shared" si="134"/>
        <v>0</v>
      </c>
      <c r="R821" s="245">
        <f t="shared" si="135"/>
        <v>0</v>
      </c>
      <c r="S821" s="246">
        <v>0.5</v>
      </c>
      <c r="T821" s="245">
        <f t="shared" si="136"/>
        <v>0</v>
      </c>
      <c r="U821" s="245">
        <f t="shared" si="137"/>
        <v>0</v>
      </c>
      <c r="V821" s="247"/>
    </row>
    <row r="822" spans="1:22" ht="15.75" x14ac:dyDescent="0.25">
      <c r="A822" s="236"/>
      <c r="B822" s="237"/>
      <c r="C822" s="238"/>
      <c r="D822" s="239"/>
      <c r="E822" s="240"/>
      <c r="F822" s="240"/>
      <c r="G822" s="240"/>
      <c r="H822" s="241">
        <f t="shared" si="132"/>
        <v>0</v>
      </c>
      <c r="I822" s="242"/>
      <c r="J822" s="243"/>
      <c r="K822" s="243"/>
      <c r="L822" s="244">
        <v>0.1</v>
      </c>
      <c r="M822" s="244">
        <f t="shared" si="133"/>
        <v>0</v>
      </c>
      <c r="N822" s="244"/>
      <c r="O822" s="244"/>
      <c r="P822" s="244"/>
      <c r="Q822" s="245">
        <f t="shared" si="134"/>
        <v>0</v>
      </c>
      <c r="R822" s="245">
        <f t="shared" si="135"/>
        <v>0</v>
      </c>
      <c r="S822" s="246">
        <v>0.5</v>
      </c>
      <c r="T822" s="245">
        <f t="shared" si="136"/>
        <v>0</v>
      </c>
      <c r="U822" s="245">
        <f t="shared" si="137"/>
        <v>0</v>
      </c>
      <c r="V822" s="247"/>
    </row>
    <row r="823" spans="1:22" ht="15.75" x14ac:dyDescent="0.25">
      <c r="A823" s="236"/>
      <c r="B823" s="237"/>
      <c r="C823" s="238"/>
      <c r="D823" s="239"/>
      <c r="E823" s="240"/>
      <c r="F823" s="240"/>
      <c r="G823" s="240"/>
      <c r="H823" s="241">
        <f t="shared" si="132"/>
        <v>0</v>
      </c>
      <c r="I823" s="242"/>
      <c r="J823" s="243"/>
      <c r="K823" s="243"/>
      <c r="L823" s="244">
        <v>0.1</v>
      </c>
      <c r="M823" s="244">
        <f t="shared" si="133"/>
        <v>0</v>
      </c>
      <c r="N823" s="244"/>
      <c r="O823" s="244"/>
      <c r="P823" s="244"/>
      <c r="Q823" s="245">
        <f t="shared" si="134"/>
        <v>0</v>
      </c>
      <c r="R823" s="245">
        <f t="shared" si="135"/>
        <v>0</v>
      </c>
      <c r="S823" s="246">
        <v>0.5</v>
      </c>
      <c r="T823" s="245">
        <f t="shared" si="136"/>
        <v>0</v>
      </c>
      <c r="U823" s="245">
        <f t="shared" si="137"/>
        <v>0</v>
      </c>
      <c r="V823" s="247"/>
    </row>
    <row r="824" spans="1:22" ht="15.75" x14ac:dyDescent="0.25">
      <c r="A824" s="236"/>
      <c r="B824" s="237"/>
      <c r="C824" s="238"/>
      <c r="D824" s="239"/>
      <c r="E824" s="240"/>
      <c r="F824" s="240"/>
      <c r="G824" s="240"/>
      <c r="H824" s="241">
        <f t="shared" si="132"/>
        <v>0</v>
      </c>
      <c r="I824" s="242"/>
      <c r="J824" s="243"/>
      <c r="K824" s="243"/>
      <c r="L824" s="244">
        <v>0.1</v>
      </c>
      <c r="M824" s="244">
        <f t="shared" si="133"/>
        <v>0</v>
      </c>
      <c r="N824" s="244"/>
      <c r="O824" s="244"/>
      <c r="P824" s="244"/>
      <c r="Q824" s="245">
        <f t="shared" si="134"/>
        <v>0</v>
      </c>
      <c r="R824" s="245">
        <f t="shared" si="135"/>
        <v>0</v>
      </c>
      <c r="S824" s="246">
        <v>0.5</v>
      </c>
      <c r="T824" s="245">
        <f t="shared" si="136"/>
        <v>0</v>
      </c>
      <c r="U824" s="245">
        <f t="shared" si="137"/>
        <v>0</v>
      </c>
      <c r="V824" s="247"/>
    </row>
    <row r="825" spans="1:22" ht="15.75" x14ac:dyDescent="0.25">
      <c r="A825" s="236"/>
      <c r="B825" s="237"/>
      <c r="C825" s="238"/>
      <c r="D825" s="239"/>
      <c r="E825" s="240"/>
      <c r="F825" s="240"/>
      <c r="G825" s="240"/>
      <c r="H825" s="241">
        <f t="shared" si="132"/>
        <v>0</v>
      </c>
      <c r="I825" s="242"/>
      <c r="J825" s="243"/>
      <c r="K825" s="243"/>
      <c r="L825" s="244">
        <v>0.1</v>
      </c>
      <c r="M825" s="244">
        <f t="shared" si="133"/>
        <v>0</v>
      </c>
      <c r="N825" s="244"/>
      <c r="O825" s="244"/>
      <c r="P825" s="244"/>
      <c r="Q825" s="245">
        <f t="shared" si="134"/>
        <v>0</v>
      </c>
      <c r="R825" s="245">
        <f t="shared" si="135"/>
        <v>0</v>
      </c>
      <c r="S825" s="246">
        <v>0.5</v>
      </c>
      <c r="T825" s="245">
        <f t="shared" si="136"/>
        <v>0</v>
      </c>
      <c r="U825" s="245">
        <f t="shared" si="137"/>
        <v>0</v>
      </c>
      <c r="V825" s="247"/>
    </row>
    <row r="826" spans="1:22" ht="15.75" x14ac:dyDescent="0.25">
      <c r="A826" s="236"/>
      <c r="B826" s="237"/>
      <c r="C826" s="238"/>
      <c r="D826" s="239"/>
      <c r="E826" s="240"/>
      <c r="F826" s="240"/>
      <c r="G826" s="240"/>
      <c r="H826" s="241">
        <f t="shared" si="132"/>
        <v>0</v>
      </c>
      <c r="I826" s="242"/>
      <c r="J826" s="243"/>
      <c r="K826" s="243"/>
      <c r="L826" s="244">
        <v>0.1</v>
      </c>
      <c r="M826" s="244">
        <f t="shared" si="133"/>
        <v>0</v>
      </c>
      <c r="N826" s="244"/>
      <c r="O826" s="244"/>
      <c r="P826" s="244"/>
      <c r="Q826" s="245">
        <f t="shared" si="134"/>
        <v>0</v>
      </c>
      <c r="R826" s="245">
        <f t="shared" si="135"/>
        <v>0</v>
      </c>
      <c r="S826" s="246">
        <v>0.5</v>
      </c>
      <c r="T826" s="245">
        <f t="shared" si="136"/>
        <v>0</v>
      </c>
      <c r="U826" s="245">
        <f t="shared" si="137"/>
        <v>0</v>
      </c>
      <c r="V826" s="247"/>
    </row>
    <row r="827" spans="1:22" ht="15.75" x14ac:dyDescent="0.25">
      <c r="A827" s="236"/>
      <c r="B827" s="237"/>
      <c r="C827" s="238"/>
      <c r="D827" s="239"/>
      <c r="E827" s="240"/>
      <c r="F827" s="240"/>
      <c r="G827" s="240"/>
      <c r="H827" s="241">
        <f t="shared" si="132"/>
        <v>0</v>
      </c>
      <c r="I827" s="242"/>
      <c r="J827" s="243"/>
      <c r="K827" s="243"/>
      <c r="L827" s="244">
        <v>0.1</v>
      </c>
      <c r="M827" s="244">
        <f t="shared" si="133"/>
        <v>0</v>
      </c>
      <c r="N827" s="244"/>
      <c r="O827" s="244"/>
      <c r="P827" s="244"/>
      <c r="Q827" s="245">
        <f t="shared" si="134"/>
        <v>0</v>
      </c>
      <c r="R827" s="245">
        <f t="shared" si="135"/>
        <v>0</v>
      </c>
      <c r="S827" s="246">
        <v>0.5</v>
      </c>
      <c r="T827" s="245">
        <f t="shared" si="136"/>
        <v>0</v>
      </c>
      <c r="U827" s="245">
        <f t="shared" si="137"/>
        <v>0</v>
      </c>
      <c r="V827" s="247"/>
    </row>
    <row r="828" spans="1:22" ht="15.75" x14ac:dyDescent="0.25">
      <c r="A828" s="236"/>
      <c r="B828" s="237"/>
      <c r="C828" s="238"/>
      <c r="D828" s="239"/>
      <c r="E828" s="240"/>
      <c r="F828" s="240"/>
      <c r="G828" s="240"/>
      <c r="H828" s="241">
        <f t="shared" si="132"/>
        <v>0</v>
      </c>
      <c r="I828" s="242"/>
      <c r="J828" s="243"/>
      <c r="K828" s="243"/>
      <c r="L828" s="244">
        <v>0.1</v>
      </c>
      <c r="M828" s="244">
        <f t="shared" si="133"/>
        <v>0</v>
      </c>
      <c r="N828" s="244"/>
      <c r="O828" s="244"/>
      <c r="P828" s="244"/>
      <c r="Q828" s="245">
        <f t="shared" si="134"/>
        <v>0</v>
      </c>
      <c r="R828" s="245">
        <f t="shared" si="135"/>
        <v>0</v>
      </c>
      <c r="S828" s="246">
        <v>0.5</v>
      </c>
      <c r="T828" s="245">
        <f t="shared" si="136"/>
        <v>0</v>
      </c>
      <c r="U828" s="245">
        <f t="shared" si="137"/>
        <v>0</v>
      </c>
      <c r="V828" s="247"/>
    </row>
    <row r="829" spans="1:22" ht="15.75" x14ac:dyDescent="0.25">
      <c r="A829" s="236"/>
      <c r="B829" s="237"/>
      <c r="C829" s="238"/>
      <c r="D829" s="239"/>
      <c r="E829" s="240"/>
      <c r="F829" s="240"/>
      <c r="G829" s="240"/>
      <c r="H829" s="241">
        <f t="shared" si="132"/>
        <v>0</v>
      </c>
      <c r="I829" s="242"/>
      <c r="J829" s="243"/>
      <c r="K829" s="243"/>
      <c r="L829" s="244">
        <v>0.1</v>
      </c>
      <c r="M829" s="244">
        <f t="shared" si="133"/>
        <v>0</v>
      </c>
      <c r="N829" s="244"/>
      <c r="O829" s="244"/>
      <c r="P829" s="244"/>
      <c r="Q829" s="245">
        <f t="shared" si="134"/>
        <v>0</v>
      </c>
      <c r="R829" s="245">
        <f t="shared" si="135"/>
        <v>0</v>
      </c>
      <c r="S829" s="246">
        <v>0.5</v>
      </c>
      <c r="T829" s="245">
        <f t="shared" si="136"/>
        <v>0</v>
      </c>
      <c r="U829" s="245">
        <f t="shared" si="137"/>
        <v>0</v>
      </c>
      <c r="V829" s="247"/>
    </row>
    <row r="830" spans="1:22" ht="15.75" x14ac:dyDescent="0.25">
      <c r="A830" s="236"/>
      <c r="B830" s="237"/>
      <c r="C830" s="238"/>
      <c r="D830" s="239"/>
      <c r="E830" s="240"/>
      <c r="F830" s="240"/>
      <c r="G830" s="240"/>
      <c r="H830" s="241">
        <f t="shared" si="132"/>
        <v>0</v>
      </c>
      <c r="I830" s="242"/>
      <c r="J830" s="243"/>
      <c r="K830" s="243"/>
      <c r="L830" s="244">
        <v>0.1</v>
      </c>
      <c r="M830" s="244">
        <f t="shared" si="133"/>
        <v>0</v>
      </c>
      <c r="N830" s="244"/>
      <c r="O830" s="244"/>
      <c r="P830" s="244"/>
      <c r="Q830" s="245">
        <f t="shared" si="134"/>
        <v>0</v>
      </c>
      <c r="R830" s="245">
        <f t="shared" si="135"/>
        <v>0</v>
      </c>
      <c r="S830" s="246">
        <v>0.5</v>
      </c>
      <c r="T830" s="245">
        <f t="shared" si="136"/>
        <v>0</v>
      </c>
      <c r="U830" s="245">
        <f t="shared" si="137"/>
        <v>0</v>
      </c>
      <c r="V830" s="247"/>
    </row>
    <row r="831" spans="1:22" ht="15.75" x14ac:dyDescent="0.25">
      <c r="A831" s="236"/>
      <c r="B831" s="237"/>
      <c r="C831" s="238"/>
      <c r="D831" s="239"/>
      <c r="E831" s="240"/>
      <c r="F831" s="240"/>
      <c r="G831" s="240"/>
      <c r="H831" s="241">
        <f t="shared" si="132"/>
        <v>0</v>
      </c>
      <c r="I831" s="242"/>
      <c r="J831" s="243"/>
      <c r="K831" s="243"/>
      <c r="L831" s="244">
        <v>0.1</v>
      </c>
      <c r="M831" s="244">
        <f t="shared" si="133"/>
        <v>0</v>
      </c>
      <c r="N831" s="244"/>
      <c r="O831" s="244"/>
      <c r="P831" s="244"/>
      <c r="Q831" s="245">
        <f t="shared" si="134"/>
        <v>0</v>
      </c>
      <c r="R831" s="245">
        <f t="shared" si="135"/>
        <v>0</v>
      </c>
      <c r="S831" s="246">
        <v>0.5</v>
      </c>
      <c r="T831" s="245">
        <f t="shared" si="136"/>
        <v>0</v>
      </c>
      <c r="U831" s="245">
        <f t="shared" si="137"/>
        <v>0</v>
      </c>
      <c r="V831" s="247"/>
    </row>
    <row r="832" spans="1:22" ht="15.75" x14ac:dyDescent="0.25">
      <c r="A832" s="236"/>
      <c r="B832" s="237"/>
      <c r="C832" s="238"/>
      <c r="D832" s="239"/>
      <c r="E832" s="240"/>
      <c r="F832" s="240"/>
      <c r="G832" s="240"/>
      <c r="H832" s="241">
        <f t="shared" si="132"/>
        <v>0</v>
      </c>
      <c r="I832" s="242"/>
      <c r="J832" s="243"/>
      <c r="K832" s="243"/>
      <c r="L832" s="244">
        <v>0.1</v>
      </c>
      <c r="M832" s="244">
        <f t="shared" si="133"/>
        <v>0</v>
      </c>
      <c r="N832" s="244"/>
      <c r="O832" s="244"/>
      <c r="P832" s="244"/>
      <c r="Q832" s="245">
        <f t="shared" si="134"/>
        <v>0</v>
      </c>
      <c r="R832" s="245">
        <f t="shared" si="135"/>
        <v>0</v>
      </c>
      <c r="S832" s="246">
        <v>0.5</v>
      </c>
      <c r="T832" s="245">
        <f t="shared" si="136"/>
        <v>0</v>
      </c>
      <c r="U832" s="245">
        <f t="shared" si="137"/>
        <v>0</v>
      </c>
      <c r="V832" s="247"/>
    </row>
    <row r="833" spans="1:22" ht="15.75" x14ac:dyDescent="0.25">
      <c r="A833" s="236"/>
      <c r="B833" s="237"/>
      <c r="C833" s="238"/>
      <c r="D833" s="239"/>
      <c r="E833" s="240"/>
      <c r="F833" s="240"/>
      <c r="G833" s="240"/>
      <c r="H833" s="241">
        <f t="shared" si="132"/>
        <v>0</v>
      </c>
      <c r="I833" s="242"/>
      <c r="J833" s="243"/>
      <c r="K833" s="243"/>
      <c r="L833" s="244">
        <v>0.1</v>
      </c>
      <c r="M833" s="244">
        <f t="shared" si="133"/>
        <v>0</v>
      </c>
      <c r="N833" s="244"/>
      <c r="O833" s="244"/>
      <c r="P833" s="244"/>
      <c r="Q833" s="245">
        <f t="shared" si="134"/>
        <v>0</v>
      </c>
      <c r="R833" s="245">
        <f t="shared" si="135"/>
        <v>0</v>
      </c>
      <c r="S833" s="246">
        <v>0.5</v>
      </c>
      <c r="T833" s="245">
        <f t="shared" si="136"/>
        <v>0</v>
      </c>
      <c r="U833" s="245">
        <f t="shared" si="137"/>
        <v>0</v>
      </c>
      <c r="V833" s="247"/>
    </row>
    <row r="834" spans="1:22" ht="15.75" x14ac:dyDescent="0.25">
      <c r="A834" s="236"/>
      <c r="B834" s="237"/>
      <c r="C834" s="238"/>
      <c r="D834" s="239"/>
      <c r="E834" s="240"/>
      <c r="F834" s="240"/>
      <c r="G834" s="240"/>
      <c r="H834" s="241">
        <f t="shared" si="132"/>
        <v>0</v>
      </c>
      <c r="I834" s="242"/>
      <c r="J834" s="243"/>
      <c r="K834" s="243"/>
      <c r="L834" s="244">
        <v>0.1</v>
      </c>
      <c r="M834" s="244">
        <f t="shared" si="133"/>
        <v>0</v>
      </c>
      <c r="N834" s="244"/>
      <c r="O834" s="244"/>
      <c r="P834" s="244"/>
      <c r="Q834" s="245">
        <f t="shared" si="134"/>
        <v>0</v>
      </c>
      <c r="R834" s="245">
        <f t="shared" si="135"/>
        <v>0</v>
      </c>
      <c r="S834" s="246">
        <v>0.5</v>
      </c>
      <c r="T834" s="245">
        <f t="shared" si="136"/>
        <v>0</v>
      </c>
      <c r="U834" s="245">
        <f t="shared" si="137"/>
        <v>0</v>
      </c>
      <c r="V834" s="247"/>
    </row>
    <row r="835" spans="1:22" ht="15.75" x14ac:dyDescent="0.25">
      <c r="A835" s="236"/>
      <c r="B835" s="237"/>
      <c r="C835" s="238"/>
      <c r="D835" s="239"/>
      <c r="E835" s="240"/>
      <c r="F835" s="240"/>
      <c r="G835" s="240"/>
      <c r="H835" s="241">
        <f t="shared" si="132"/>
        <v>0</v>
      </c>
      <c r="I835" s="242"/>
      <c r="J835" s="243"/>
      <c r="K835" s="243"/>
      <c r="L835" s="244">
        <v>0.1</v>
      </c>
      <c r="M835" s="244">
        <f t="shared" si="133"/>
        <v>0</v>
      </c>
      <c r="N835" s="244"/>
      <c r="O835" s="244"/>
      <c r="P835" s="244"/>
      <c r="Q835" s="245">
        <f t="shared" si="134"/>
        <v>0</v>
      </c>
      <c r="R835" s="245">
        <f t="shared" si="135"/>
        <v>0</v>
      </c>
      <c r="S835" s="246">
        <v>0.5</v>
      </c>
      <c r="T835" s="245">
        <f t="shared" si="136"/>
        <v>0</v>
      </c>
      <c r="U835" s="245">
        <f t="shared" si="137"/>
        <v>0</v>
      </c>
      <c r="V835" s="247"/>
    </row>
    <row r="836" spans="1:22" ht="15.75" x14ac:dyDescent="0.25">
      <c r="A836" s="236"/>
      <c r="B836" s="237"/>
      <c r="C836" s="238"/>
      <c r="D836" s="239"/>
      <c r="E836" s="240"/>
      <c r="F836" s="240"/>
      <c r="G836" s="240"/>
      <c r="H836" s="241">
        <f t="shared" si="132"/>
        <v>0</v>
      </c>
      <c r="I836" s="242"/>
      <c r="J836" s="243"/>
      <c r="K836" s="243"/>
      <c r="L836" s="244">
        <v>0.1</v>
      </c>
      <c r="M836" s="244">
        <f t="shared" si="133"/>
        <v>0</v>
      </c>
      <c r="N836" s="244"/>
      <c r="O836" s="244"/>
      <c r="P836" s="244"/>
      <c r="Q836" s="245">
        <f t="shared" si="134"/>
        <v>0</v>
      </c>
      <c r="R836" s="245">
        <f t="shared" si="135"/>
        <v>0</v>
      </c>
      <c r="S836" s="246">
        <v>0.5</v>
      </c>
      <c r="T836" s="245">
        <f t="shared" si="136"/>
        <v>0</v>
      </c>
      <c r="U836" s="245">
        <f t="shared" si="137"/>
        <v>0</v>
      </c>
      <c r="V836" s="247"/>
    </row>
    <row r="837" spans="1:22" ht="15.75" x14ac:dyDescent="0.25">
      <c r="A837" s="236"/>
      <c r="B837" s="237"/>
      <c r="C837" s="238"/>
      <c r="D837" s="239"/>
      <c r="E837" s="240"/>
      <c r="F837" s="240"/>
      <c r="G837" s="240"/>
      <c r="H837" s="241">
        <f t="shared" si="132"/>
        <v>0</v>
      </c>
      <c r="I837" s="242"/>
      <c r="J837" s="243"/>
      <c r="K837" s="243"/>
      <c r="L837" s="244">
        <v>0.1</v>
      </c>
      <c r="M837" s="244">
        <f t="shared" si="133"/>
        <v>0</v>
      </c>
      <c r="N837" s="244"/>
      <c r="O837" s="244"/>
      <c r="P837" s="244"/>
      <c r="Q837" s="245">
        <f t="shared" si="134"/>
        <v>0</v>
      </c>
      <c r="R837" s="245">
        <f t="shared" si="135"/>
        <v>0</v>
      </c>
      <c r="S837" s="246">
        <v>0.5</v>
      </c>
      <c r="T837" s="245">
        <f t="shared" si="136"/>
        <v>0</v>
      </c>
      <c r="U837" s="245">
        <f t="shared" si="137"/>
        <v>0</v>
      </c>
      <c r="V837" s="247"/>
    </row>
    <row r="838" spans="1:22" ht="15.75" x14ac:dyDescent="0.25">
      <c r="A838" s="236"/>
      <c r="B838" s="237"/>
      <c r="C838" s="238"/>
      <c r="D838" s="239"/>
      <c r="E838" s="240"/>
      <c r="F838" s="240"/>
      <c r="G838" s="240"/>
      <c r="H838" s="241">
        <f t="shared" si="132"/>
        <v>0</v>
      </c>
      <c r="I838" s="242"/>
      <c r="J838" s="243"/>
      <c r="K838" s="243"/>
      <c r="L838" s="244">
        <v>0.1</v>
      </c>
      <c r="M838" s="244">
        <f t="shared" si="133"/>
        <v>0</v>
      </c>
      <c r="N838" s="244"/>
      <c r="O838" s="244"/>
      <c r="P838" s="244"/>
      <c r="Q838" s="245">
        <f t="shared" si="134"/>
        <v>0</v>
      </c>
      <c r="R838" s="245">
        <f t="shared" si="135"/>
        <v>0</v>
      </c>
      <c r="S838" s="246">
        <v>0.5</v>
      </c>
      <c r="T838" s="245">
        <f t="shared" si="136"/>
        <v>0</v>
      </c>
      <c r="U838" s="245">
        <f t="shared" si="137"/>
        <v>0</v>
      </c>
      <c r="V838" s="247"/>
    </row>
    <row r="839" spans="1:22" ht="15.75" x14ac:dyDescent="0.25">
      <c r="A839" s="236"/>
      <c r="B839" s="237"/>
      <c r="C839" s="238"/>
      <c r="D839" s="239"/>
      <c r="E839" s="240"/>
      <c r="F839" s="240"/>
      <c r="G839" s="240"/>
      <c r="H839" s="241">
        <f t="shared" si="132"/>
        <v>0</v>
      </c>
      <c r="I839" s="242"/>
      <c r="J839" s="243"/>
      <c r="K839" s="243"/>
      <c r="L839" s="244">
        <v>0.1</v>
      </c>
      <c r="M839" s="244">
        <f t="shared" si="133"/>
        <v>0</v>
      </c>
      <c r="N839" s="244"/>
      <c r="O839" s="244"/>
      <c r="P839" s="244"/>
      <c r="Q839" s="245">
        <f t="shared" si="134"/>
        <v>0</v>
      </c>
      <c r="R839" s="245">
        <f t="shared" si="135"/>
        <v>0</v>
      </c>
      <c r="S839" s="246">
        <v>0.5</v>
      </c>
      <c r="T839" s="245">
        <f t="shared" si="136"/>
        <v>0</v>
      </c>
      <c r="U839" s="245">
        <f t="shared" si="137"/>
        <v>0</v>
      </c>
      <c r="V839" s="247"/>
    </row>
    <row r="840" spans="1:22" ht="15.75" x14ac:dyDescent="0.25">
      <c r="A840" s="236"/>
      <c r="B840" s="237"/>
      <c r="C840" s="238"/>
      <c r="D840" s="239"/>
      <c r="E840" s="240"/>
      <c r="F840" s="240"/>
      <c r="G840" s="240"/>
      <c r="H840" s="241">
        <f t="shared" si="132"/>
        <v>0</v>
      </c>
      <c r="I840" s="242"/>
      <c r="J840" s="243"/>
      <c r="K840" s="243"/>
      <c r="L840" s="244">
        <v>0.1</v>
      </c>
      <c r="M840" s="244">
        <f t="shared" si="133"/>
        <v>0</v>
      </c>
      <c r="N840" s="244"/>
      <c r="O840" s="244"/>
      <c r="P840" s="244"/>
      <c r="Q840" s="245">
        <f t="shared" si="134"/>
        <v>0</v>
      </c>
      <c r="R840" s="245">
        <f t="shared" si="135"/>
        <v>0</v>
      </c>
      <c r="S840" s="246">
        <v>0.5</v>
      </c>
      <c r="T840" s="245">
        <f t="shared" si="136"/>
        <v>0</v>
      </c>
      <c r="U840" s="245">
        <f t="shared" si="137"/>
        <v>0</v>
      </c>
      <c r="V840" s="247"/>
    </row>
    <row r="841" spans="1:22" ht="15.75" x14ac:dyDescent="0.25">
      <c r="A841" s="236"/>
      <c r="B841" s="237"/>
      <c r="C841" s="238"/>
      <c r="D841" s="239"/>
      <c r="E841" s="240"/>
      <c r="F841" s="240"/>
      <c r="G841" s="240"/>
      <c r="H841" s="241">
        <f t="shared" si="132"/>
        <v>0</v>
      </c>
      <c r="I841" s="242"/>
      <c r="J841" s="243"/>
      <c r="K841" s="243"/>
      <c r="L841" s="244">
        <v>0.1</v>
      </c>
      <c r="M841" s="244">
        <f t="shared" si="133"/>
        <v>0</v>
      </c>
      <c r="N841" s="244"/>
      <c r="O841" s="244"/>
      <c r="P841" s="244"/>
      <c r="Q841" s="245">
        <f t="shared" si="134"/>
        <v>0</v>
      </c>
      <c r="R841" s="245">
        <f t="shared" si="135"/>
        <v>0</v>
      </c>
      <c r="S841" s="246">
        <v>0.5</v>
      </c>
      <c r="T841" s="245">
        <f t="shared" si="136"/>
        <v>0</v>
      </c>
      <c r="U841" s="245">
        <f t="shared" si="137"/>
        <v>0</v>
      </c>
      <c r="V841" s="247"/>
    </row>
    <row r="842" spans="1:22" ht="15.75" x14ac:dyDescent="0.25">
      <c r="A842" s="236"/>
      <c r="B842" s="237"/>
      <c r="C842" s="238"/>
      <c r="D842" s="239"/>
      <c r="E842" s="240"/>
      <c r="F842" s="240"/>
      <c r="G842" s="240"/>
      <c r="H842" s="241">
        <f t="shared" si="132"/>
        <v>0</v>
      </c>
      <c r="I842" s="242"/>
      <c r="J842" s="243"/>
      <c r="K842" s="243"/>
      <c r="L842" s="244">
        <v>0.1</v>
      </c>
      <c r="M842" s="244">
        <f t="shared" si="133"/>
        <v>0</v>
      </c>
      <c r="N842" s="244"/>
      <c r="O842" s="244"/>
      <c r="P842" s="244"/>
      <c r="Q842" s="245">
        <f t="shared" si="134"/>
        <v>0</v>
      </c>
      <c r="R842" s="245">
        <f t="shared" si="135"/>
        <v>0</v>
      </c>
      <c r="S842" s="246">
        <v>0.5</v>
      </c>
      <c r="T842" s="245">
        <f t="shared" si="136"/>
        <v>0</v>
      </c>
      <c r="U842" s="245">
        <f t="shared" si="137"/>
        <v>0</v>
      </c>
      <c r="V842" s="247"/>
    </row>
    <row r="843" spans="1:22" ht="15.75" x14ac:dyDescent="0.25">
      <c r="A843" s="236"/>
      <c r="B843" s="237"/>
      <c r="C843" s="238"/>
      <c r="D843" s="239"/>
      <c r="E843" s="240"/>
      <c r="F843" s="240"/>
      <c r="G843" s="240"/>
      <c r="H843" s="241">
        <f t="shared" si="132"/>
        <v>0</v>
      </c>
      <c r="I843" s="242"/>
      <c r="J843" s="243"/>
      <c r="K843" s="243"/>
      <c r="L843" s="244">
        <v>0.1</v>
      </c>
      <c r="M843" s="244">
        <f t="shared" si="133"/>
        <v>0</v>
      </c>
      <c r="N843" s="244"/>
      <c r="O843" s="244"/>
      <c r="P843" s="244"/>
      <c r="Q843" s="245">
        <f t="shared" si="134"/>
        <v>0</v>
      </c>
      <c r="R843" s="245">
        <f t="shared" si="135"/>
        <v>0</v>
      </c>
      <c r="S843" s="246">
        <v>0.5</v>
      </c>
      <c r="T843" s="245">
        <f t="shared" si="136"/>
        <v>0</v>
      </c>
      <c r="U843" s="245">
        <f t="shared" si="137"/>
        <v>0</v>
      </c>
      <c r="V843" s="247"/>
    </row>
    <row r="844" spans="1:22" ht="15.75" x14ac:dyDescent="0.25">
      <c r="A844" s="236"/>
      <c r="B844" s="237"/>
      <c r="C844" s="238"/>
      <c r="D844" s="239"/>
      <c r="E844" s="240"/>
      <c r="F844" s="240"/>
      <c r="G844" s="240"/>
      <c r="H844" s="241">
        <f t="shared" si="132"/>
        <v>0</v>
      </c>
      <c r="I844" s="242"/>
      <c r="J844" s="243"/>
      <c r="K844" s="243"/>
      <c r="L844" s="244">
        <v>0.1</v>
      </c>
      <c r="M844" s="244">
        <f t="shared" si="133"/>
        <v>0</v>
      </c>
      <c r="N844" s="244"/>
      <c r="O844" s="244"/>
      <c r="P844" s="244"/>
      <c r="Q844" s="245">
        <f t="shared" si="134"/>
        <v>0</v>
      </c>
      <c r="R844" s="245">
        <f t="shared" si="135"/>
        <v>0</v>
      </c>
      <c r="S844" s="246">
        <v>0.5</v>
      </c>
      <c r="T844" s="245">
        <f t="shared" si="136"/>
        <v>0</v>
      </c>
      <c r="U844" s="245">
        <f t="shared" si="137"/>
        <v>0</v>
      </c>
      <c r="V844" s="247"/>
    </row>
    <row r="845" spans="1:22" ht="15.75" x14ac:dyDescent="0.25">
      <c r="A845" s="236"/>
      <c r="B845" s="237"/>
      <c r="C845" s="238"/>
      <c r="D845" s="239"/>
      <c r="E845" s="240"/>
      <c r="F845" s="240"/>
      <c r="G845" s="240"/>
      <c r="H845" s="241">
        <f t="shared" si="132"/>
        <v>0</v>
      </c>
      <c r="I845" s="242"/>
      <c r="J845" s="243"/>
      <c r="K845" s="243"/>
      <c r="L845" s="244">
        <v>0.1</v>
      </c>
      <c r="M845" s="244">
        <f t="shared" si="133"/>
        <v>0</v>
      </c>
      <c r="N845" s="244"/>
      <c r="O845" s="244"/>
      <c r="P845" s="244"/>
      <c r="Q845" s="245">
        <f t="shared" si="134"/>
        <v>0</v>
      </c>
      <c r="R845" s="245">
        <f t="shared" si="135"/>
        <v>0</v>
      </c>
      <c r="S845" s="246">
        <v>0.5</v>
      </c>
      <c r="T845" s="245">
        <f t="shared" si="136"/>
        <v>0</v>
      </c>
      <c r="U845" s="245">
        <f t="shared" si="137"/>
        <v>0</v>
      </c>
      <c r="V845" s="247"/>
    </row>
    <row r="846" spans="1:22" ht="15.75" x14ac:dyDescent="0.25">
      <c r="A846" s="236"/>
      <c r="B846" s="237"/>
      <c r="C846" s="238"/>
      <c r="D846" s="239"/>
      <c r="E846" s="240"/>
      <c r="F846" s="240"/>
      <c r="G846" s="240"/>
      <c r="H846" s="241">
        <f t="shared" si="132"/>
        <v>0</v>
      </c>
      <c r="I846" s="242"/>
      <c r="J846" s="243"/>
      <c r="K846" s="243"/>
      <c r="L846" s="244">
        <v>0.1</v>
      </c>
      <c r="M846" s="244">
        <f t="shared" si="133"/>
        <v>0</v>
      </c>
      <c r="N846" s="244"/>
      <c r="O846" s="244"/>
      <c r="P846" s="244"/>
      <c r="Q846" s="245">
        <f t="shared" si="134"/>
        <v>0</v>
      </c>
      <c r="R846" s="245">
        <f t="shared" si="135"/>
        <v>0</v>
      </c>
      <c r="S846" s="246">
        <v>0.5</v>
      </c>
      <c r="T846" s="245">
        <f t="shared" si="136"/>
        <v>0</v>
      </c>
      <c r="U846" s="245">
        <f t="shared" si="137"/>
        <v>0</v>
      </c>
      <c r="V846" s="247"/>
    </row>
    <row r="847" spans="1:22" ht="15.75" x14ac:dyDescent="0.25">
      <c r="A847" s="236"/>
      <c r="B847" s="237"/>
      <c r="C847" s="238"/>
      <c r="D847" s="239"/>
      <c r="E847" s="240"/>
      <c r="F847" s="240"/>
      <c r="G847" s="240"/>
      <c r="H847" s="241">
        <f t="shared" si="132"/>
        <v>0</v>
      </c>
      <c r="I847" s="242"/>
      <c r="J847" s="243"/>
      <c r="K847" s="243"/>
      <c r="L847" s="244">
        <v>0.1</v>
      </c>
      <c r="M847" s="244">
        <f t="shared" si="133"/>
        <v>0</v>
      </c>
      <c r="N847" s="244"/>
      <c r="O847" s="244"/>
      <c r="P847" s="244"/>
      <c r="Q847" s="245">
        <f t="shared" si="134"/>
        <v>0</v>
      </c>
      <c r="R847" s="245">
        <f t="shared" si="135"/>
        <v>0</v>
      </c>
      <c r="S847" s="246">
        <v>0.5</v>
      </c>
      <c r="T847" s="245">
        <f t="shared" si="136"/>
        <v>0</v>
      </c>
      <c r="U847" s="245">
        <f t="shared" si="137"/>
        <v>0</v>
      </c>
      <c r="V847" s="247"/>
    </row>
    <row r="848" spans="1:22" ht="15.75" x14ac:dyDescent="0.25">
      <c r="A848" s="236"/>
      <c r="B848" s="237"/>
      <c r="C848" s="238"/>
      <c r="D848" s="239"/>
      <c r="E848" s="240"/>
      <c r="F848" s="240"/>
      <c r="G848" s="240"/>
      <c r="H848" s="241">
        <f t="shared" si="132"/>
        <v>0</v>
      </c>
      <c r="I848" s="242"/>
      <c r="J848" s="243"/>
      <c r="K848" s="243"/>
      <c r="L848" s="244">
        <v>0.1</v>
      </c>
      <c r="M848" s="244">
        <f t="shared" si="133"/>
        <v>0</v>
      </c>
      <c r="N848" s="244"/>
      <c r="O848" s="244"/>
      <c r="P848" s="244"/>
      <c r="Q848" s="245">
        <f t="shared" si="134"/>
        <v>0</v>
      </c>
      <c r="R848" s="245">
        <f t="shared" si="135"/>
        <v>0</v>
      </c>
      <c r="S848" s="246">
        <v>0.5</v>
      </c>
      <c r="T848" s="245">
        <f t="shared" si="136"/>
        <v>0</v>
      </c>
      <c r="U848" s="245">
        <f t="shared" si="137"/>
        <v>0</v>
      </c>
      <c r="V848" s="247"/>
    </row>
    <row r="849" spans="1:22" ht="15.75" x14ac:dyDescent="0.25">
      <c r="A849" s="236"/>
      <c r="B849" s="237"/>
      <c r="C849" s="238"/>
      <c r="D849" s="239"/>
      <c r="E849" s="240"/>
      <c r="F849" s="240"/>
      <c r="G849" s="240"/>
      <c r="H849" s="241">
        <f t="shared" si="132"/>
        <v>0</v>
      </c>
      <c r="I849" s="242"/>
      <c r="J849" s="243"/>
      <c r="K849" s="243"/>
      <c r="L849" s="244">
        <v>0.1</v>
      </c>
      <c r="M849" s="244">
        <f t="shared" si="133"/>
        <v>0</v>
      </c>
      <c r="N849" s="244"/>
      <c r="O849" s="244"/>
      <c r="P849" s="244"/>
      <c r="Q849" s="245">
        <f t="shared" si="134"/>
        <v>0</v>
      </c>
      <c r="R849" s="245">
        <f t="shared" si="135"/>
        <v>0</v>
      </c>
      <c r="S849" s="246">
        <v>0.5</v>
      </c>
      <c r="T849" s="245">
        <f t="shared" si="136"/>
        <v>0</v>
      </c>
      <c r="U849" s="245">
        <f t="shared" si="137"/>
        <v>0</v>
      </c>
      <c r="V849" s="247"/>
    </row>
    <row r="850" spans="1:22" ht="15.75" x14ac:dyDescent="0.25">
      <c r="A850" s="236"/>
      <c r="B850" s="237"/>
      <c r="C850" s="238"/>
      <c r="D850" s="239"/>
      <c r="E850" s="240"/>
      <c r="F850" s="240"/>
      <c r="G850" s="240"/>
      <c r="H850" s="241">
        <f t="shared" si="132"/>
        <v>0</v>
      </c>
      <c r="I850" s="242"/>
      <c r="J850" s="243"/>
      <c r="K850" s="243"/>
      <c r="L850" s="244">
        <v>0.1</v>
      </c>
      <c r="M850" s="244">
        <f t="shared" si="133"/>
        <v>0</v>
      </c>
      <c r="N850" s="244"/>
      <c r="O850" s="244"/>
      <c r="P850" s="244"/>
      <c r="Q850" s="245">
        <f t="shared" si="134"/>
        <v>0</v>
      </c>
      <c r="R850" s="245">
        <f t="shared" si="135"/>
        <v>0</v>
      </c>
      <c r="S850" s="246">
        <v>0.5</v>
      </c>
      <c r="T850" s="245">
        <f t="shared" si="136"/>
        <v>0</v>
      </c>
      <c r="U850" s="245">
        <f t="shared" si="137"/>
        <v>0</v>
      </c>
      <c r="V850" s="247"/>
    </row>
    <row r="851" spans="1:22" ht="15.75" x14ac:dyDescent="0.25">
      <c r="A851" s="236"/>
      <c r="B851" s="237"/>
      <c r="C851" s="238"/>
      <c r="D851" s="239"/>
      <c r="E851" s="240"/>
      <c r="F851" s="240"/>
      <c r="G851" s="240"/>
      <c r="H851" s="241">
        <f t="shared" si="132"/>
        <v>0</v>
      </c>
      <c r="I851" s="242"/>
      <c r="J851" s="243"/>
      <c r="K851" s="243"/>
      <c r="L851" s="244">
        <v>0.1</v>
      </c>
      <c r="M851" s="244">
        <f t="shared" si="133"/>
        <v>0</v>
      </c>
      <c r="N851" s="244"/>
      <c r="O851" s="244"/>
      <c r="P851" s="244"/>
      <c r="Q851" s="245">
        <f t="shared" si="134"/>
        <v>0</v>
      </c>
      <c r="R851" s="245">
        <f t="shared" si="135"/>
        <v>0</v>
      </c>
      <c r="S851" s="246">
        <v>0.5</v>
      </c>
      <c r="T851" s="245">
        <f t="shared" si="136"/>
        <v>0</v>
      </c>
      <c r="U851" s="245">
        <f t="shared" si="137"/>
        <v>0</v>
      </c>
      <c r="V851" s="247"/>
    </row>
    <row r="852" spans="1:22" ht="15.75" x14ac:dyDescent="0.25">
      <c r="A852" s="236"/>
      <c r="B852" s="237"/>
      <c r="C852" s="238"/>
      <c r="D852" s="239"/>
      <c r="E852" s="240"/>
      <c r="F852" s="240"/>
      <c r="G852" s="240"/>
      <c r="H852" s="241">
        <f t="shared" si="132"/>
        <v>0</v>
      </c>
      <c r="I852" s="242"/>
      <c r="J852" s="243"/>
      <c r="K852" s="243"/>
      <c r="L852" s="244">
        <v>0.1</v>
      </c>
      <c r="M852" s="244">
        <f t="shared" si="133"/>
        <v>0</v>
      </c>
      <c r="N852" s="244"/>
      <c r="O852" s="244"/>
      <c r="P852" s="244"/>
      <c r="Q852" s="245">
        <f t="shared" si="134"/>
        <v>0</v>
      </c>
      <c r="R852" s="245">
        <f t="shared" si="135"/>
        <v>0</v>
      </c>
      <c r="S852" s="246">
        <v>0.5</v>
      </c>
      <c r="T852" s="245">
        <f t="shared" si="136"/>
        <v>0</v>
      </c>
      <c r="U852" s="245">
        <f t="shared" si="137"/>
        <v>0</v>
      </c>
      <c r="V852" s="247"/>
    </row>
    <row r="853" spans="1:22" ht="15.75" x14ac:dyDescent="0.25">
      <c r="A853" s="236"/>
      <c r="B853" s="237"/>
      <c r="C853" s="238"/>
      <c r="D853" s="239"/>
      <c r="E853" s="240"/>
      <c r="F853" s="240"/>
      <c r="G853" s="240"/>
      <c r="H853" s="241">
        <f t="shared" si="132"/>
        <v>0</v>
      </c>
      <c r="I853" s="242"/>
      <c r="J853" s="243"/>
      <c r="K853" s="243"/>
      <c r="L853" s="244">
        <v>0.1</v>
      </c>
      <c r="M853" s="244">
        <f t="shared" si="133"/>
        <v>0</v>
      </c>
      <c r="N853" s="244"/>
      <c r="O853" s="244"/>
      <c r="P853" s="244"/>
      <c r="Q853" s="245">
        <f t="shared" si="134"/>
        <v>0</v>
      </c>
      <c r="R853" s="245">
        <f t="shared" si="135"/>
        <v>0</v>
      </c>
      <c r="S853" s="246">
        <v>0.5</v>
      </c>
      <c r="T853" s="245">
        <f t="shared" si="136"/>
        <v>0</v>
      </c>
      <c r="U853" s="245">
        <f t="shared" si="137"/>
        <v>0</v>
      </c>
      <c r="V853" s="247"/>
    </row>
    <row r="854" spans="1:22" ht="15.75" x14ac:dyDescent="0.25">
      <c r="A854" s="236"/>
      <c r="B854" s="237"/>
      <c r="C854" s="238"/>
      <c r="D854" s="239"/>
      <c r="E854" s="240"/>
      <c r="F854" s="240"/>
      <c r="G854" s="240"/>
      <c r="H854" s="241">
        <f t="shared" si="132"/>
        <v>0</v>
      </c>
      <c r="I854" s="242"/>
      <c r="J854" s="243"/>
      <c r="K854" s="243"/>
      <c r="L854" s="244">
        <v>0.1</v>
      </c>
      <c r="M854" s="244">
        <f t="shared" si="133"/>
        <v>0</v>
      </c>
      <c r="N854" s="244"/>
      <c r="O854" s="244"/>
      <c r="P854" s="244"/>
      <c r="Q854" s="245">
        <f t="shared" si="134"/>
        <v>0</v>
      </c>
      <c r="R854" s="245">
        <f t="shared" si="135"/>
        <v>0</v>
      </c>
      <c r="S854" s="246">
        <v>0.5</v>
      </c>
      <c r="T854" s="245">
        <f t="shared" si="136"/>
        <v>0</v>
      </c>
      <c r="U854" s="245">
        <f t="shared" si="137"/>
        <v>0</v>
      </c>
      <c r="V854" s="247"/>
    </row>
    <row r="855" spans="1:22" ht="15.75" x14ac:dyDescent="0.25">
      <c r="A855" s="236"/>
      <c r="B855" s="237"/>
      <c r="C855" s="238"/>
      <c r="D855" s="239"/>
      <c r="E855" s="240"/>
      <c r="F855" s="240"/>
      <c r="G855" s="240"/>
      <c r="H855" s="241">
        <f t="shared" si="132"/>
        <v>0</v>
      </c>
      <c r="I855" s="242"/>
      <c r="J855" s="243"/>
      <c r="K855" s="243"/>
      <c r="L855" s="244">
        <v>0.1</v>
      </c>
      <c r="M855" s="244">
        <f t="shared" si="133"/>
        <v>0</v>
      </c>
      <c r="N855" s="244"/>
      <c r="O855" s="244"/>
      <c r="P855" s="244"/>
      <c r="Q855" s="245">
        <f t="shared" si="134"/>
        <v>0</v>
      </c>
      <c r="R855" s="245">
        <f t="shared" si="135"/>
        <v>0</v>
      </c>
      <c r="S855" s="246">
        <v>0.5</v>
      </c>
      <c r="T855" s="245">
        <f t="shared" si="136"/>
        <v>0</v>
      </c>
      <c r="U855" s="245">
        <f t="shared" si="137"/>
        <v>0</v>
      </c>
      <c r="V855" s="247"/>
    </row>
    <row r="856" spans="1:22" ht="15.75" x14ac:dyDescent="0.25">
      <c r="A856" s="236"/>
      <c r="B856" s="237"/>
      <c r="C856" s="238"/>
      <c r="D856" s="239"/>
      <c r="E856" s="240"/>
      <c r="F856" s="240"/>
      <c r="G856" s="240"/>
      <c r="H856" s="241">
        <f t="shared" si="132"/>
        <v>0</v>
      </c>
      <c r="I856" s="242"/>
      <c r="J856" s="243"/>
      <c r="K856" s="243"/>
      <c r="L856" s="244">
        <v>0.1</v>
      </c>
      <c r="M856" s="244">
        <f t="shared" si="133"/>
        <v>0</v>
      </c>
      <c r="N856" s="244"/>
      <c r="O856" s="244"/>
      <c r="P856" s="244"/>
      <c r="Q856" s="245">
        <f t="shared" si="134"/>
        <v>0</v>
      </c>
      <c r="R856" s="245">
        <f t="shared" si="135"/>
        <v>0</v>
      </c>
      <c r="S856" s="246">
        <v>0.5</v>
      </c>
      <c r="T856" s="245">
        <f t="shared" si="136"/>
        <v>0</v>
      </c>
      <c r="U856" s="245">
        <f t="shared" si="137"/>
        <v>0</v>
      </c>
      <c r="V856" s="247"/>
    </row>
    <row r="857" spans="1:22" ht="15.75" x14ac:dyDescent="0.25">
      <c r="A857" s="236"/>
      <c r="B857" s="237"/>
      <c r="C857" s="238"/>
      <c r="D857" s="239"/>
      <c r="E857" s="240"/>
      <c r="F857" s="240"/>
      <c r="G857" s="240"/>
      <c r="H857" s="241">
        <f t="shared" si="132"/>
        <v>0</v>
      </c>
      <c r="I857" s="242"/>
      <c r="J857" s="243"/>
      <c r="K857" s="243"/>
      <c r="L857" s="244">
        <v>0.1</v>
      </c>
      <c r="M857" s="244">
        <f t="shared" si="133"/>
        <v>0</v>
      </c>
      <c r="N857" s="244"/>
      <c r="O857" s="244"/>
      <c r="P857" s="244"/>
      <c r="Q857" s="245">
        <f t="shared" si="134"/>
        <v>0</v>
      </c>
      <c r="R857" s="245">
        <f t="shared" si="135"/>
        <v>0</v>
      </c>
      <c r="S857" s="246">
        <v>0.5</v>
      </c>
      <c r="T857" s="245">
        <f t="shared" si="136"/>
        <v>0</v>
      </c>
      <c r="U857" s="245">
        <f t="shared" si="137"/>
        <v>0</v>
      </c>
      <c r="V857" s="247"/>
    </row>
    <row r="858" spans="1:22" ht="15.75" x14ac:dyDescent="0.25">
      <c r="A858" s="236"/>
      <c r="B858" s="237"/>
      <c r="C858" s="238"/>
      <c r="D858" s="239"/>
      <c r="E858" s="240"/>
      <c r="F858" s="240"/>
      <c r="G858" s="240"/>
      <c r="H858" s="241">
        <f t="shared" si="132"/>
        <v>0</v>
      </c>
      <c r="I858" s="242"/>
      <c r="J858" s="243"/>
      <c r="K858" s="243"/>
      <c r="L858" s="244">
        <v>0.1</v>
      </c>
      <c r="M858" s="244">
        <f t="shared" si="133"/>
        <v>0</v>
      </c>
      <c r="N858" s="244"/>
      <c r="O858" s="244"/>
      <c r="P858" s="244"/>
      <c r="Q858" s="245">
        <f t="shared" si="134"/>
        <v>0</v>
      </c>
      <c r="R858" s="245">
        <f t="shared" si="135"/>
        <v>0</v>
      </c>
      <c r="S858" s="246">
        <v>0.5</v>
      </c>
      <c r="T858" s="245">
        <f t="shared" si="136"/>
        <v>0</v>
      </c>
      <c r="U858" s="245">
        <f t="shared" si="137"/>
        <v>0</v>
      </c>
      <c r="V858" s="247"/>
    </row>
    <row r="859" spans="1:22" ht="15.75" x14ac:dyDescent="0.25">
      <c r="A859" s="236"/>
      <c r="B859" s="237"/>
      <c r="C859" s="238"/>
      <c r="D859" s="239"/>
      <c r="E859" s="240"/>
      <c r="F859" s="240"/>
      <c r="G859" s="240"/>
      <c r="H859" s="241">
        <f t="shared" si="132"/>
        <v>0</v>
      </c>
      <c r="I859" s="242"/>
      <c r="J859" s="243"/>
      <c r="K859" s="243"/>
      <c r="L859" s="244">
        <v>0.1</v>
      </c>
      <c r="M859" s="244">
        <f t="shared" si="133"/>
        <v>0</v>
      </c>
      <c r="N859" s="244"/>
      <c r="O859" s="244"/>
      <c r="P859" s="244"/>
      <c r="Q859" s="245">
        <f t="shared" si="134"/>
        <v>0</v>
      </c>
      <c r="R859" s="245">
        <f t="shared" si="135"/>
        <v>0</v>
      </c>
      <c r="S859" s="246">
        <v>0.5</v>
      </c>
      <c r="T859" s="245">
        <f t="shared" si="136"/>
        <v>0</v>
      </c>
      <c r="U859" s="245">
        <f t="shared" si="137"/>
        <v>0</v>
      </c>
      <c r="V859" s="247"/>
    </row>
    <row r="860" spans="1:22" ht="15.75" x14ac:dyDescent="0.25">
      <c r="A860" s="236"/>
      <c r="B860" s="237"/>
      <c r="C860" s="238"/>
      <c r="D860" s="239"/>
      <c r="E860" s="240"/>
      <c r="F860" s="240"/>
      <c r="G860" s="240"/>
      <c r="H860" s="241">
        <f t="shared" si="132"/>
        <v>0</v>
      </c>
      <c r="I860" s="242"/>
      <c r="J860" s="243"/>
      <c r="K860" s="243"/>
      <c r="L860" s="244">
        <v>0.1</v>
      </c>
      <c r="M860" s="244">
        <f t="shared" si="133"/>
        <v>0</v>
      </c>
      <c r="N860" s="244"/>
      <c r="O860" s="244"/>
      <c r="P860" s="244"/>
      <c r="Q860" s="245">
        <f t="shared" si="134"/>
        <v>0</v>
      </c>
      <c r="R860" s="245">
        <f t="shared" si="135"/>
        <v>0</v>
      </c>
      <c r="S860" s="246">
        <v>0.5</v>
      </c>
      <c r="T860" s="245">
        <f t="shared" si="136"/>
        <v>0</v>
      </c>
      <c r="U860" s="245">
        <f t="shared" si="137"/>
        <v>0</v>
      </c>
      <c r="V860" s="247"/>
    </row>
    <row r="861" spans="1:22" ht="15.75" x14ac:dyDescent="0.25">
      <c r="A861" s="236"/>
      <c r="B861" s="237"/>
      <c r="C861" s="238"/>
      <c r="D861" s="239"/>
      <c r="E861" s="240"/>
      <c r="F861" s="240"/>
      <c r="G861" s="240"/>
      <c r="H861" s="241">
        <f t="shared" si="132"/>
        <v>0</v>
      </c>
      <c r="I861" s="242"/>
      <c r="J861" s="243"/>
      <c r="K861" s="243"/>
      <c r="L861" s="244">
        <v>0.1</v>
      </c>
      <c r="M861" s="244">
        <f t="shared" si="133"/>
        <v>0</v>
      </c>
      <c r="N861" s="244"/>
      <c r="O861" s="244"/>
      <c r="P861" s="244"/>
      <c r="Q861" s="245">
        <f t="shared" si="134"/>
        <v>0</v>
      </c>
      <c r="R861" s="245">
        <f t="shared" si="135"/>
        <v>0</v>
      </c>
      <c r="S861" s="246">
        <v>0.5</v>
      </c>
      <c r="T861" s="245">
        <f t="shared" si="136"/>
        <v>0</v>
      </c>
      <c r="U861" s="245">
        <f t="shared" si="137"/>
        <v>0</v>
      </c>
      <c r="V861" s="247"/>
    </row>
    <row r="862" spans="1:22" ht="15.75" x14ac:dyDescent="0.25">
      <c r="A862" s="236"/>
      <c r="B862" s="237"/>
      <c r="C862" s="238"/>
      <c r="D862" s="239"/>
      <c r="E862" s="240"/>
      <c r="F862" s="240"/>
      <c r="G862" s="240"/>
      <c r="H862" s="241">
        <f t="shared" si="132"/>
        <v>0</v>
      </c>
      <c r="I862" s="242"/>
      <c r="J862" s="243"/>
      <c r="K862" s="243"/>
      <c r="L862" s="244">
        <v>0.1</v>
      </c>
      <c r="M862" s="244">
        <f t="shared" si="133"/>
        <v>0</v>
      </c>
      <c r="N862" s="244"/>
      <c r="O862" s="244"/>
      <c r="P862" s="244"/>
      <c r="Q862" s="245">
        <f t="shared" si="134"/>
        <v>0</v>
      </c>
      <c r="R862" s="245">
        <f t="shared" si="135"/>
        <v>0</v>
      </c>
      <c r="S862" s="246">
        <v>0.5</v>
      </c>
      <c r="T862" s="245">
        <f t="shared" si="136"/>
        <v>0</v>
      </c>
      <c r="U862" s="245">
        <f t="shared" si="137"/>
        <v>0</v>
      </c>
      <c r="V862" s="247"/>
    </row>
    <row r="863" spans="1:22" ht="15.75" x14ac:dyDescent="0.25">
      <c r="A863" s="236"/>
      <c r="B863" s="237"/>
      <c r="C863" s="238"/>
      <c r="D863" s="239"/>
      <c r="E863" s="240"/>
      <c r="F863" s="240"/>
      <c r="G863" s="240"/>
      <c r="H863" s="241">
        <f t="shared" si="132"/>
        <v>0</v>
      </c>
      <c r="I863" s="242"/>
      <c r="J863" s="243"/>
      <c r="K863" s="243"/>
      <c r="L863" s="244">
        <v>0.1</v>
      </c>
      <c r="M863" s="244">
        <f t="shared" si="133"/>
        <v>0</v>
      </c>
      <c r="N863" s="244"/>
      <c r="O863" s="244"/>
      <c r="P863" s="244"/>
      <c r="Q863" s="245">
        <f t="shared" si="134"/>
        <v>0</v>
      </c>
      <c r="R863" s="245">
        <f t="shared" si="135"/>
        <v>0</v>
      </c>
      <c r="S863" s="246">
        <v>0.5</v>
      </c>
      <c r="T863" s="245">
        <f t="shared" si="136"/>
        <v>0</v>
      </c>
      <c r="U863" s="245">
        <f t="shared" si="137"/>
        <v>0</v>
      </c>
      <c r="V863" s="247"/>
    </row>
    <row r="864" spans="1:22" ht="15.75" x14ac:dyDescent="0.25">
      <c r="A864" s="236"/>
      <c r="B864" s="237"/>
      <c r="C864" s="238"/>
      <c r="D864" s="239"/>
      <c r="E864" s="240"/>
      <c r="F864" s="240"/>
      <c r="G864" s="240"/>
      <c r="H864" s="241">
        <f t="shared" si="132"/>
        <v>0</v>
      </c>
      <c r="I864" s="242"/>
      <c r="J864" s="243"/>
      <c r="K864" s="243"/>
      <c r="L864" s="244">
        <v>0.1</v>
      </c>
      <c r="M864" s="244">
        <f t="shared" si="133"/>
        <v>0</v>
      </c>
      <c r="N864" s="244"/>
      <c r="O864" s="244"/>
      <c r="P864" s="244"/>
      <c r="Q864" s="245">
        <f t="shared" si="134"/>
        <v>0</v>
      </c>
      <c r="R864" s="245">
        <f t="shared" si="135"/>
        <v>0</v>
      </c>
      <c r="S864" s="246">
        <v>0.5</v>
      </c>
      <c r="T864" s="245">
        <f t="shared" si="136"/>
        <v>0</v>
      </c>
      <c r="U864" s="245">
        <f t="shared" si="137"/>
        <v>0</v>
      </c>
      <c r="V864" s="247"/>
    </row>
    <row r="865" spans="1:22" ht="15.75" x14ac:dyDescent="0.25">
      <c r="A865" s="236"/>
      <c r="B865" s="237"/>
      <c r="C865" s="238"/>
      <c r="D865" s="239"/>
      <c r="E865" s="240"/>
      <c r="F865" s="240"/>
      <c r="G865" s="240"/>
      <c r="H865" s="241">
        <f t="shared" si="132"/>
        <v>0</v>
      </c>
      <c r="I865" s="242"/>
      <c r="J865" s="243"/>
      <c r="K865" s="243"/>
      <c r="L865" s="244">
        <v>0.1</v>
      </c>
      <c r="M865" s="244">
        <f t="shared" si="133"/>
        <v>0</v>
      </c>
      <c r="N865" s="244"/>
      <c r="O865" s="244"/>
      <c r="P865" s="244"/>
      <c r="Q865" s="245">
        <f t="shared" si="134"/>
        <v>0</v>
      </c>
      <c r="R865" s="245">
        <f t="shared" si="135"/>
        <v>0</v>
      </c>
      <c r="S865" s="246">
        <v>0.5</v>
      </c>
      <c r="T865" s="245">
        <f t="shared" si="136"/>
        <v>0</v>
      </c>
      <c r="U865" s="245">
        <f t="shared" si="137"/>
        <v>0</v>
      </c>
      <c r="V865" s="247"/>
    </row>
    <row r="866" spans="1:22" ht="15.75" x14ac:dyDescent="0.25">
      <c r="A866" s="236"/>
      <c r="B866" s="237"/>
      <c r="C866" s="238"/>
      <c r="D866" s="239"/>
      <c r="E866" s="240"/>
      <c r="F866" s="240"/>
      <c r="G866" s="240"/>
      <c r="H866" s="241">
        <f t="shared" ref="H866:H929" si="138">+E866+F866+G866</f>
        <v>0</v>
      </c>
      <c r="I866" s="242"/>
      <c r="J866" s="243"/>
      <c r="K866" s="243"/>
      <c r="L866" s="244">
        <v>0.1</v>
      </c>
      <c r="M866" s="244">
        <f t="shared" ref="M866:M929" si="139">+L866*C866</f>
        <v>0</v>
      </c>
      <c r="N866" s="244"/>
      <c r="O866" s="244"/>
      <c r="P866" s="244"/>
      <c r="Q866" s="245">
        <f t="shared" ref="Q866:Q929" si="140">+N866+O866+P866</f>
        <v>0</v>
      </c>
      <c r="R866" s="245">
        <f t="shared" ref="R866:R929" si="141">IF(+Q866-H866&lt;=0,0,Q866-H866)</f>
        <v>0</v>
      </c>
      <c r="S866" s="246">
        <v>0.5</v>
      </c>
      <c r="T866" s="245">
        <f t="shared" ref="T866:T929" si="142">+(R866*C866)*S866</f>
        <v>0</v>
      </c>
      <c r="U866" s="245">
        <f t="shared" ref="U866:U929" si="143">+J866+M866+T866</f>
        <v>0</v>
      </c>
      <c r="V866" s="247"/>
    </row>
    <row r="867" spans="1:22" ht="15.75" x14ac:dyDescent="0.25">
      <c r="A867" s="236"/>
      <c r="B867" s="237"/>
      <c r="C867" s="238"/>
      <c r="D867" s="239"/>
      <c r="E867" s="240"/>
      <c r="F867" s="240"/>
      <c r="G867" s="240"/>
      <c r="H867" s="241">
        <f t="shared" si="138"/>
        <v>0</v>
      </c>
      <c r="I867" s="242"/>
      <c r="J867" s="243"/>
      <c r="K867" s="243"/>
      <c r="L867" s="244">
        <v>0.1</v>
      </c>
      <c r="M867" s="244">
        <f t="shared" si="139"/>
        <v>0</v>
      </c>
      <c r="N867" s="244"/>
      <c r="O867" s="244"/>
      <c r="P867" s="244"/>
      <c r="Q867" s="245">
        <f t="shared" si="140"/>
        <v>0</v>
      </c>
      <c r="R867" s="245">
        <f t="shared" si="141"/>
        <v>0</v>
      </c>
      <c r="S867" s="246">
        <v>0.5</v>
      </c>
      <c r="T867" s="245">
        <f t="shared" si="142"/>
        <v>0</v>
      </c>
      <c r="U867" s="245">
        <f t="shared" si="143"/>
        <v>0</v>
      </c>
      <c r="V867" s="247"/>
    </row>
    <row r="868" spans="1:22" ht="15.75" x14ac:dyDescent="0.25">
      <c r="A868" s="236"/>
      <c r="B868" s="237"/>
      <c r="C868" s="238"/>
      <c r="D868" s="239"/>
      <c r="E868" s="240"/>
      <c r="F868" s="240"/>
      <c r="G868" s="240"/>
      <c r="H868" s="241">
        <f t="shared" si="138"/>
        <v>0</v>
      </c>
      <c r="I868" s="242"/>
      <c r="J868" s="243"/>
      <c r="K868" s="243"/>
      <c r="L868" s="244">
        <v>0.1</v>
      </c>
      <c r="M868" s="244">
        <f t="shared" si="139"/>
        <v>0</v>
      </c>
      <c r="N868" s="244"/>
      <c r="O868" s="244"/>
      <c r="P868" s="244"/>
      <c r="Q868" s="245">
        <f t="shared" si="140"/>
        <v>0</v>
      </c>
      <c r="R868" s="245">
        <f t="shared" si="141"/>
        <v>0</v>
      </c>
      <c r="S868" s="246">
        <v>0.5</v>
      </c>
      <c r="T868" s="245">
        <f t="shared" si="142"/>
        <v>0</v>
      </c>
      <c r="U868" s="245">
        <f t="shared" si="143"/>
        <v>0</v>
      </c>
      <c r="V868" s="247"/>
    </row>
    <row r="869" spans="1:22" ht="15.75" x14ac:dyDescent="0.25">
      <c r="A869" s="236"/>
      <c r="B869" s="237"/>
      <c r="C869" s="238"/>
      <c r="D869" s="239"/>
      <c r="E869" s="240"/>
      <c r="F869" s="240"/>
      <c r="G869" s="240"/>
      <c r="H869" s="241">
        <f t="shared" si="138"/>
        <v>0</v>
      </c>
      <c r="I869" s="242"/>
      <c r="J869" s="243"/>
      <c r="K869" s="243"/>
      <c r="L869" s="244">
        <v>0.1</v>
      </c>
      <c r="M869" s="244">
        <f t="shared" si="139"/>
        <v>0</v>
      </c>
      <c r="N869" s="244"/>
      <c r="O869" s="244"/>
      <c r="P869" s="244"/>
      <c r="Q869" s="245">
        <f t="shared" si="140"/>
        <v>0</v>
      </c>
      <c r="R869" s="245">
        <f t="shared" si="141"/>
        <v>0</v>
      </c>
      <c r="S869" s="246">
        <v>0.5</v>
      </c>
      <c r="T869" s="245">
        <f t="shared" si="142"/>
        <v>0</v>
      </c>
      <c r="U869" s="245">
        <f t="shared" si="143"/>
        <v>0</v>
      </c>
      <c r="V869" s="247"/>
    </row>
    <row r="870" spans="1:22" ht="15.75" x14ac:dyDescent="0.25">
      <c r="A870" s="236"/>
      <c r="B870" s="237"/>
      <c r="C870" s="238"/>
      <c r="D870" s="239"/>
      <c r="E870" s="240"/>
      <c r="F870" s="240"/>
      <c r="G870" s="240"/>
      <c r="H870" s="241">
        <f t="shared" si="138"/>
        <v>0</v>
      </c>
      <c r="I870" s="242"/>
      <c r="J870" s="243"/>
      <c r="K870" s="243"/>
      <c r="L870" s="244">
        <v>0.1</v>
      </c>
      <c r="M870" s="244">
        <f t="shared" si="139"/>
        <v>0</v>
      </c>
      <c r="N870" s="244"/>
      <c r="O870" s="244"/>
      <c r="P870" s="244"/>
      <c r="Q870" s="245">
        <f t="shared" si="140"/>
        <v>0</v>
      </c>
      <c r="R870" s="245">
        <f t="shared" si="141"/>
        <v>0</v>
      </c>
      <c r="S870" s="246">
        <v>0.5</v>
      </c>
      <c r="T870" s="245">
        <f t="shared" si="142"/>
        <v>0</v>
      </c>
      <c r="U870" s="245">
        <f t="shared" si="143"/>
        <v>0</v>
      </c>
      <c r="V870" s="247"/>
    </row>
    <row r="871" spans="1:22" ht="15.75" x14ac:dyDescent="0.25">
      <c r="A871" s="236"/>
      <c r="B871" s="237"/>
      <c r="C871" s="238"/>
      <c r="D871" s="239"/>
      <c r="E871" s="240"/>
      <c r="F871" s="240"/>
      <c r="G871" s="240"/>
      <c r="H871" s="241">
        <f t="shared" si="138"/>
        <v>0</v>
      </c>
      <c r="I871" s="242"/>
      <c r="J871" s="243"/>
      <c r="K871" s="243"/>
      <c r="L871" s="244">
        <v>0.1</v>
      </c>
      <c r="M871" s="244">
        <f t="shared" si="139"/>
        <v>0</v>
      </c>
      <c r="N871" s="244"/>
      <c r="O871" s="244"/>
      <c r="P871" s="244"/>
      <c r="Q871" s="245">
        <f t="shared" si="140"/>
        <v>0</v>
      </c>
      <c r="R871" s="245">
        <f t="shared" si="141"/>
        <v>0</v>
      </c>
      <c r="S871" s="246">
        <v>0.5</v>
      </c>
      <c r="T871" s="245">
        <f t="shared" si="142"/>
        <v>0</v>
      </c>
      <c r="U871" s="245">
        <f t="shared" si="143"/>
        <v>0</v>
      </c>
      <c r="V871" s="247"/>
    </row>
    <row r="872" spans="1:22" ht="15.75" x14ac:dyDescent="0.25">
      <c r="A872" s="236"/>
      <c r="B872" s="237"/>
      <c r="C872" s="238"/>
      <c r="D872" s="239"/>
      <c r="E872" s="240"/>
      <c r="F872" s="240"/>
      <c r="G872" s="240"/>
      <c r="H872" s="241">
        <f t="shared" si="138"/>
        <v>0</v>
      </c>
      <c r="I872" s="242"/>
      <c r="J872" s="243"/>
      <c r="K872" s="243"/>
      <c r="L872" s="244">
        <v>0.1</v>
      </c>
      <c r="M872" s="244">
        <f t="shared" si="139"/>
        <v>0</v>
      </c>
      <c r="N872" s="244"/>
      <c r="O872" s="244"/>
      <c r="P872" s="244"/>
      <c r="Q872" s="245">
        <f t="shared" si="140"/>
        <v>0</v>
      </c>
      <c r="R872" s="245">
        <f t="shared" si="141"/>
        <v>0</v>
      </c>
      <c r="S872" s="246">
        <v>0.5</v>
      </c>
      <c r="T872" s="245">
        <f t="shared" si="142"/>
        <v>0</v>
      </c>
      <c r="U872" s="245">
        <f t="shared" si="143"/>
        <v>0</v>
      </c>
      <c r="V872" s="247"/>
    </row>
    <row r="873" spans="1:22" ht="15.75" x14ac:dyDescent="0.25">
      <c r="A873" s="236"/>
      <c r="B873" s="237"/>
      <c r="C873" s="238"/>
      <c r="D873" s="239"/>
      <c r="E873" s="240"/>
      <c r="F873" s="240"/>
      <c r="G873" s="240"/>
      <c r="H873" s="241">
        <f t="shared" si="138"/>
        <v>0</v>
      </c>
      <c r="I873" s="242"/>
      <c r="J873" s="243"/>
      <c r="K873" s="243"/>
      <c r="L873" s="244">
        <v>0.1</v>
      </c>
      <c r="M873" s="244">
        <f t="shared" si="139"/>
        <v>0</v>
      </c>
      <c r="N873" s="244"/>
      <c r="O873" s="244"/>
      <c r="P873" s="244"/>
      <c r="Q873" s="245">
        <f t="shared" si="140"/>
        <v>0</v>
      </c>
      <c r="R873" s="245">
        <f t="shared" si="141"/>
        <v>0</v>
      </c>
      <c r="S873" s="246">
        <v>0.5</v>
      </c>
      <c r="T873" s="245">
        <f t="shared" si="142"/>
        <v>0</v>
      </c>
      <c r="U873" s="245">
        <f t="shared" si="143"/>
        <v>0</v>
      </c>
      <c r="V873" s="247"/>
    </row>
    <row r="874" spans="1:22" ht="15.75" x14ac:dyDescent="0.25">
      <c r="A874" s="236"/>
      <c r="B874" s="237"/>
      <c r="C874" s="238"/>
      <c r="D874" s="239"/>
      <c r="E874" s="240"/>
      <c r="F874" s="240"/>
      <c r="G874" s="240"/>
      <c r="H874" s="241">
        <f t="shared" si="138"/>
        <v>0</v>
      </c>
      <c r="I874" s="242"/>
      <c r="J874" s="243"/>
      <c r="K874" s="243"/>
      <c r="L874" s="244">
        <v>0.1</v>
      </c>
      <c r="M874" s="244">
        <f t="shared" si="139"/>
        <v>0</v>
      </c>
      <c r="N874" s="244"/>
      <c r="O874" s="244"/>
      <c r="P874" s="244"/>
      <c r="Q874" s="245">
        <f t="shared" si="140"/>
        <v>0</v>
      </c>
      <c r="R874" s="245">
        <f t="shared" si="141"/>
        <v>0</v>
      </c>
      <c r="S874" s="246">
        <v>0.5</v>
      </c>
      <c r="T874" s="245">
        <f t="shared" si="142"/>
        <v>0</v>
      </c>
      <c r="U874" s="245">
        <f t="shared" si="143"/>
        <v>0</v>
      </c>
      <c r="V874" s="247"/>
    </row>
    <row r="875" spans="1:22" ht="15.75" x14ac:dyDescent="0.25">
      <c r="A875" s="236"/>
      <c r="B875" s="237"/>
      <c r="C875" s="238"/>
      <c r="D875" s="239"/>
      <c r="E875" s="240"/>
      <c r="F875" s="240"/>
      <c r="G875" s="240"/>
      <c r="H875" s="241">
        <f t="shared" si="138"/>
        <v>0</v>
      </c>
      <c r="I875" s="242"/>
      <c r="J875" s="243"/>
      <c r="K875" s="243"/>
      <c r="L875" s="244">
        <v>0.1</v>
      </c>
      <c r="M875" s="244">
        <f t="shared" si="139"/>
        <v>0</v>
      </c>
      <c r="N875" s="244"/>
      <c r="O875" s="244"/>
      <c r="P875" s="244"/>
      <c r="Q875" s="245">
        <f t="shared" si="140"/>
        <v>0</v>
      </c>
      <c r="R875" s="245">
        <f t="shared" si="141"/>
        <v>0</v>
      </c>
      <c r="S875" s="246">
        <v>0.5</v>
      </c>
      <c r="T875" s="245">
        <f t="shared" si="142"/>
        <v>0</v>
      </c>
      <c r="U875" s="245">
        <f t="shared" si="143"/>
        <v>0</v>
      </c>
      <c r="V875" s="247"/>
    </row>
    <row r="876" spans="1:22" ht="15.75" x14ac:dyDescent="0.25">
      <c r="A876" s="236"/>
      <c r="B876" s="237"/>
      <c r="C876" s="238"/>
      <c r="D876" s="239"/>
      <c r="E876" s="240"/>
      <c r="F876" s="240"/>
      <c r="G876" s="240"/>
      <c r="H876" s="241">
        <f t="shared" si="138"/>
        <v>0</v>
      </c>
      <c r="I876" s="242"/>
      <c r="J876" s="243"/>
      <c r="K876" s="243"/>
      <c r="L876" s="244">
        <v>0.1</v>
      </c>
      <c r="M876" s="244">
        <f t="shared" si="139"/>
        <v>0</v>
      </c>
      <c r="N876" s="244"/>
      <c r="O876" s="244"/>
      <c r="P876" s="244"/>
      <c r="Q876" s="245">
        <f t="shared" si="140"/>
        <v>0</v>
      </c>
      <c r="R876" s="245">
        <f t="shared" si="141"/>
        <v>0</v>
      </c>
      <c r="S876" s="246">
        <v>0.5</v>
      </c>
      <c r="T876" s="245">
        <f t="shared" si="142"/>
        <v>0</v>
      </c>
      <c r="U876" s="245">
        <f t="shared" si="143"/>
        <v>0</v>
      </c>
      <c r="V876" s="247"/>
    </row>
    <row r="877" spans="1:22" ht="15.75" x14ac:dyDescent="0.25">
      <c r="A877" s="236"/>
      <c r="B877" s="237"/>
      <c r="C877" s="238"/>
      <c r="D877" s="239"/>
      <c r="E877" s="240"/>
      <c r="F877" s="240"/>
      <c r="G877" s="240"/>
      <c r="H877" s="241">
        <f t="shared" si="138"/>
        <v>0</v>
      </c>
      <c r="I877" s="242"/>
      <c r="J877" s="243"/>
      <c r="K877" s="243"/>
      <c r="L877" s="244">
        <v>0.1</v>
      </c>
      <c r="M877" s="244">
        <f t="shared" si="139"/>
        <v>0</v>
      </c>
      <c r="N877" s="244"/>
      <c r="O877" s="244"/>
      <c r="P877" s="244"/>
      <c r="Q877" s="245">
        <f t="shared" si="140"/>
        <v>0</v>
      </c>
      <c r="R877" s="245">
        <f t="shared" si="141"/>
        <v>0</v>
      </c>
      <c r="S877" s="246">
        <v>0.5</v>
      </c>
      <c r="T877" s="245">
        <f t="shared" si="142"/>
        <v>0</v>
      </c>
      <c r="U877" s="245">
        <f t="shared" si="143"/>
        <v>0</v>
      </c>
      <c r="V877" s="247"/>
    </row>
    <row r="878" spans="1:22" ht="15.75" x14ac:dyDescent="0.25">
      <c r="A878" s="236"/>
      <c r="B878" s="237"/>
      <c r="C878" s="238"/>
      <c r="D878" s="239"/>
      <c r="E878" s="240"/>
      <c r="F878" s="240"/>
      <c r="G878" s="240"/>
      <c r="H878" s="241">
        <f t="shared" si="138"/>
        <v>0</v>
      </c>
      <c r="I878" s="242"/>
      <c r="J878" s="243"/>
      <c r="K878" s="243"/>
      <c r="L878" s="244">
        <v>0.1</v>
      </c>
      <c r="M878" s="244">
        <f t="shared" si="139"/>
        <v>0</v>
      </c>
      <c r="N878" s="244"/>
      <c r="O878" s="244"/>
      <c r="P878" s="244"/>
      <c r="Q878" s="245">
        <f t="shared" si="140"/>
        <v>0</v>
      </c>
      <c r="R878" s="245">
        <f t="shared" si="141"/>
        <v>0</v>
      </c>
      <c r="S878" s="246">
        <v>0.5</v>
      </c>
      <c r="T878" s="245">
        <f t="shared" si="142"/>
        <v>0</v>
      </c>
      <c r="U878" s="245">
        <f t="shared" si="143"/>
        <v>0</v>
      </c>
      <c r="V878" s="247"/>
    </row>
    <row r="879" spans="1:22" ht="15.75" x14ac:dyDescent="0.25">
      <c r="A879" s="236"/>
      <c r="B879" s="237"/>
      <c r="C879" s="238"/>
      <c r="D879" s="239"/>
      <c r="E879" s="240"/>
      <c r="F879" s="240"/>
      <c r="G879" s="240"/>
      <c r="H879" s="241">
        <f t="shared" si="138"/>
        <v>0</v>
      </c>
      <c r="I879" s="242"/>
      <c r="J879" s="243"/>
      <c r="K879" s="243"/>
      <c r="L879" s="244">
        <v>0.1</v>
      </c>
      <c r="M879" s="244">
        <f t="shared" si="139"/>
        <v>0</v>
      </c>
      <c r="N879" s="244"/>
      <c r="O879" s="244"/>
      <c r="P879" s="244"/>
      <c r="Q879" s="245">
        <f t="shared" si="140"/>
        <v>0</v>
      </c>
      <c r="R879" s="245">
        <f t="shared" si="141"/>
        <v>0</v>
      </c>
      <c r="S879" s="246">
        <v>0.5</v>
      </c>
      <c r="T879" s="245">
        <f t="shared" si="142"/>
        <v>0</v>
      </c>
      <c r="U879" s="245">
        <f t="shared" si="143"/>
        <v>0</v>
      </c>
      <c r="V879" s="247"/>
    </row>
    <row r="880" spans="1:22" ht="15.75" x14ac:dyDescent="0.25">
      <c r="A880" s="236"/>
      <c r="B880" s="237"/>
      <c r="C880" s="238"/>
      <c r="D880" s="239"/>
      <c r="E880" s="240"/>
      <c r="F880" s="240"/>
      <c r="G880" s="240"/>
      <c r="H880" s="241">
        <f t="shared" si="138"/>
        <v>0</v>
      </c>
      <c r="I880" s="242"/>
      <c r="J880" s="243"/>
      <c r="K880" s="243"/>
      <c r="L880" s="244">
        <v>0.1</v>
      </c>
      <c r="M880" s="244">
        <f t="shared" si="139"/>
        <v>0</v>
      </c>
      <c r="N880" s="244"/>
      <c r="O880" s="244"/>
      <c r="P880" s="244"/>
      <c r="Q880" s="245">
        <f t="shared" si="140"/>
        <v>0</v>
      </c>
      <c r="R880" s="245">
        <f t="shared" si="141"/>
        <v>0</v>
      </c>
      <c r="S880" s="246">
        <v>0.5</v>
      </c>
      <c r="T880" s="245">
        <f t="shared" si="142"/>
        <v>0</v>
      </c>
      <c r="U880" s="245">
        <f t="shared" si="143"/>
        <v>0</v>
      </c>
      <c r="V880" s="247"/>
    </row>
    <row r="881" spans="1:22" ht="15.75" x14ac:dyDescent="0.25">
      <c r="A881" s="236"/>
      <c r="B881" s="237"/>
      <c r="C881" s="238"/>
      <c r="D881" s="239"/>
      <c r="E881" s="240"/>
      <c r="F881" s="240"/>
      <c r="G881" s="240"/>
      <c r="H881" s="241">
        <f t="shared" si="138"/>
        <v>0</v>
      </c>
      <c r="I881" s="242"/>
      <c r="J881" s="243"/>
      <c r="K881" s="243"/>
      <c r="L881" s="244">
        <v>0.1</v>
      </c>
      <c r="M881" s="244">
        <f t="shared" si="139"/>
        <v>0</v>
      </c>
      <c r="N881" s="244"/>
      <c r="O881" s="244"/>
      <c r="P881" s="244"/>
      <c r="Q881" s="245">
        <f t="shared" si="140"/>
        <v>0</v>
      </c>
      <c r="R881" s="245">
        <f t="shared" si="141"/>
        <v>0</v>
      </c>
      <c r="S881" s="246">
        <v>0.5</v>
      </c>
      <c r="T881" s="245">
        <f t="shared" si="142"/>
        <v>0</v>
      </c>
      <c r="U881" s="245">
        <f t="shared" si="143"/>
        <v>0</v>
      </c>
      <c r="V881" s="247"/>
    </row>
    <row r="882" spans="1:22" ht="15.75" x14ac:dyDescent="0.25">
      <c r="A882" s="236"/>
      <c r="B882" s="237"/>
      <c r="C882" s="238"/>
      <c r="D882" s="239"/>
      <c r="E882" s="240"/>
      <c r="F882" s="240"/>
      <c r="G882" s="240"/>
      <c r="H882" s="241">
        <f t="shared" si="138"/>
        <v>0</v>
      </c>
      <c r="I882" s="242"/>
      <c r="J882" s="243"/>
      <c r="K882" s="243"/>
      <c r="L882" s="244">
        <v>0.1</v>
      </c>
      <c r="M882" s="244">
        <f t="shared" si="139"/>
        <v>0</v>
      </c>
      <c r="N882" s="244"/>
      <c r="O882" s="244"/>
      <c r="P882" s="244"/>
      <c r="Q882" s="245">
        <f t="shared" si="140"/>
        <v>0</v>
      </c>
      <c r="R882" s="245">
        <f t="shared" si="141"/>
        <v>0</v>
      </c>
      <c r="S882" s="246">
        <v>0.5</v>
      </c>
      <c r="T882" s="245">
        <f t="shared" si="142"/>
        <v>0</v>
      </c>
      <c r="U882" s="245">
        <f t="shared" si="143"/>
        <v>0</v>
      </c>
      <c r="V882" s="247"/>
    </row>
    <row r="883" spans="1:22" ht="15.75" x14ac:dyDescent="0.25">
      <c r="A883" s="236"/>
      <c r="B883" s="237"/>
      <c r="C883" s="238"/>
      <c r="D883" s="239"/>
      <c r="E883" s="240"/>
      <c r="F883" s="240"/>
      <c r="G883" s="240"/>
      <c r="H883" s="241">
        <f t="shared" si="138"/>
        <v>0</v>
      </c>
      <c r="I883" s="242"/>
      <c r="J883" s="243"/>
      <c r="K883" s="243"/>
      <c r="L883" s="244">
        <v>0.1</v>
      </c>
      <c r="M883" s="244">
        <f t="shared" si="139"/>
        <v>0</v>
      </c>
      <c r="N883" s="244"/>
      <c r="O883" s="244"/>
      <c r="P883" s="244"/>
      <c r="Q883" s="245">
        <f t="shared" si="140"/>
        <v>0</v>
      </c>
      <c r="R883" s="245">
        <f t="shared" si="141"/>
        <v>0</v>
      </c>
      <c r="S883" s="246">
        <v>0.5</v>
      </c>
      <c r="T883" s="245">
        <f t="shared" si="142"/>
        <v>0</v>
      </c>
      <c r="U883" s="245">
        <f t="shared" si="143"/>
        <v>0</v>
      </c>
      <c r="V883" s="247"/>
    </row>
    <row r="884" spans="1:22" ht="15.75" x14ac:dyDescent="0.25">
      <c r="A884" s="236"/>
      <c r="B884" s="237"/>
      <c r="C884" s="238"/>
      <c r="D884" s="239"/>
      <c r="E884" s="240"/>
      <c r="F884" s="240"/>
      <c r="G884" s="240"/>
      <c r="H884" s="241">
        <f t="shared" si="138"/>
        <v>0</v>
      </c>
      <c r="I884" s="242"/>
      <c r="J884" s="243"/>
      <c r="K884" s="243"/>
      <c r="L884" s="244">
        <v>0.1</v>
      </c>
      <c r="M884" s="244">
        <f t="shared" si="139"/>
        <v>0</v>
      </c>
      <c r="N884" s="244"/>
      <c r="O884" s="244"/>
      <c r="P884" s="244"/>
      <c r="Q884" s="245">
        <f t="shared" si="140"/>
        <v>0</v>
      </c>
      <c r="R884" s="245">
        <f t="shared" si="141"/>
        <v>0</v>
      </c>
      <c r="S884" s="246">
        <v>0.5</v>
      </c>
      <c r="T884" s="245">
        <f t="shared" si="142"/>
        <v>0</v>
      </c>
      <c r="U884" s="245">
        <f t="shared" si="143"/>
        <v>0</v>
      </c>
      <c r="V884" s="247"/>
    </row>
    <row r="885" spans="1:22" ht="15.75" x14ac:dyDescent="0.25">
      <c r="A885" s="236"/>
      <c r="B885" s="237"/>
      <c r="C885" s="238"/>
      <c r="D885" s="239"/>
      <c r="E885" s="240"/>
      <c r="F885" s="240"/>
      <c r="G885" s="240"/>
      <c r="H885" s="241">
        <f t="shared" si="138"/>
        <v>0</v>
      </c>
      <c r="I885" s="242"/>
      <c r="J885" s="243"/>
      <c r="K885" s="243"/>
      <c r="L885" s="244">
        <v>0.1</v>
      </c>
      <c r="M885" s="244">
        <f t="shared" si="139"/>
        <v>0</v>
      </c>
      <c r="N885" s="244"/>
      <c r="O885" s="244"/>
      <c r="P885" s="244"/>
      <c r="Q885" s="245">
        <f t="shared" si="140"/>
        <v>0</v>
      </c>
      <c r="R885" s="245">
        <f t="shared" si="141"/>
        <v>0</v>
      </c>
      <c r="S885" s="246">
        <v>0.5</v>
      </c>
      <c r="T885" s="245">
        <f t="shared" si="142"/>
        <v>0</v>
      </c>
      <c r="U885" s="245">
        <f t="shared" si="143"/>
        <v>0</v>
      </c>
      <c r="V885" s="247"/>
    </row>
    <row r="886" spans="1:22" ht="15.75" x14ac:dyDescent="0.25">
      <c r="A886" s="236"/>
      <c r="B886" s="237"/>
      <c r="C886" s="238"/>
      <c r="D886" s="239"/>
      <c r="E886" s="240"/>
      <c r="F886" s="240"/>
      <c r="G886" s="240"/>
      <c r="H886" s="241">
        <f t="shared" si="138"/>
        <v>0</v>
      </c>
      <c r="I886" s="242"/>
      <c r="J886" s="243"/>
      <c r="K886" s="243"/>
      <c r="L886" s="244">
        <v>0.1</v>
      </c>
      <c r="M886" s="244">
        <f t="shared" si="139"/>
        <v>0</v>
      </c>
      <c r="N886" s="244"/>
      <c r="O886" s="244"/>
      <c r="P886" s="244"/>
      <c r="Q886" s="245">
        <f t="shared" si="140"/>
        <v>0</v>
      </c>
      <c r="R886" s="245">
        <f t="shared" si="141"/>
        <v>0</v>
      </c>
      <c r="S886" s="246">
        <v>0.5</v>
      </c>
      <c r="T886" s="245">
        <f t="shared" si="142"/>
        <v>0</v>
      </c>
      <c r="U886" s="245">
        <f t="shared" si="143"/>
        <v>0</v>
      </c>
      <c r="V886" s="247"/>
    </row>
    <row r="887" spans="1:22" ht="15.75" x14ac:dyDescent="0.25">
      <c r="A887" s="236"/>
      <c r="B887" s="237"/>
      <c r="C887" s="238"/>
      <c r="D887" s="239"/>
      <c r="E887" s="240"/>
      <c r="F887" s="240"/>
      <c r="G887" s="240"/>
      <c r="H887" s="241">
        <f t="shared" si="138"/>
        <v>0</v>
      </c>
      <c r="I887" s="242"/>
      <c r="J887" s="243"/>
      <c r="K887" s="243"/>
      <c r="L887" s="244">
        <v>0.1</v>
      </c>
      <c r="M887" s="244">
        <f t="shared" si="139"/>
        <v>0</v>
      </c>
      <c r="N887" s="244"/>
      <c r="O887" s="244"/>
      <c r="P887" s="244"/>
      <c r="Q887" s="245">
        <f t="shared" si="140"/>
        <v>0</v>
      </c>
      <c r="R887" s="245">
        <f t="shared" si="141"/>
        <v>0</v>
      </c>
      <c r="S887" s="246">
        <v>0.5</v>
      </c>
      <c r="T887" s="245">
        <f t="shared" si="142"/>
        <v>0</v>
      </c>
      <c r="U887" s="245">
        <f t="shared" si="143"/>
        <v>0</v>
      </c>
      <c r="V887" s="247"/>
    </row>
    <row r="888" spans="1:22" ht="15.75" x14ac:dyDescent="0.25">
      <c r="A888" s="236"/>
      <c r="B888" s="237"/>
      <c r="C888" s="238"/>
      <c r="D888" s="239"/>
      <c r="E888" s="240"/>
      <c r="F888" s="240"/>
      <c r="G888" s="240"/>
      <c r="H888" s="241">
        <f t="shared" si="138"/>
        <v>0</v>
      </c>
      <c r="I888" s="242"/>
      <c r="J888" s="243"/>
      <c r="K888" s="243"/>
      <c r="L888" s="244">
        <v>0.1</v>
      </c>
      <c r="M888" s="244">
        <f t="shared" si="139"/>
        <v>0</v>
      </c>
      <c r="N888" s="244"/>
      <c r="O888" s="244"/>
      <c r="P888" s="244"/>
      <c r="Q888" s="245">
        <f t="shared" si="140"/>
        <v>0</v>
      </c>
      <c r="R888" s="245">
        <f t="shared" si="141"/>
        <v>0</v>
      </c>
      <c r="S888" s="246">
        <v>0.5</v>
      </c>
      <c r="T888" s="245">
        <f t="shared" si="142"/>
        <v>0</v>
      </c>
      <c r="U888" s="245">
        <f t="shared" si="143"/>
        <v>0</v>
      </c>
      <c r="V888" s="247"/>
    </row>
    <row r="889" spans="1:22" ht="15.75" x14ac:dyDescent="0.25">
      <c r="A889" s="236"/>
      <c r="B889" s="237"/>
      <c r="C889" s="238"/>
      <c r="D889" s="239"/>
      <c r="E889" s="240"/>
      <c r="F889" s="240"/>
      <c r="G889" s="240"/>
      <c r="H889" s="241">
        <f t="shared" si="138"/>
        <v>0</v>
      </c>
      <c r="I889" s="242"/>
      <c r="J889" s="243"/>
      <c r="K889" s="243"/>
      <c r="L889" s="244">
        <v>0.1</v>
      </c>
      <c r="M889" s="244">
        <f t="shared" si="139"/>
        <v>0</v>
      </c>
      <c r="N889" s="244"/>
      <c r="O889" s="244"/>
      <c r="P889" s="244"/>
      <c r="Q889" s="245">
        <f t="shared" si="140"/>
        <v>0</v>
      </c>
      <c r="R889" s="245">
        <f t="shared" si="141"/>
        <v>0</v>
      </c>
      <c r="S889" s="246">
        <v>0.5</v>
      </c>
      <c r="T889" s="245">
        <f t="shared" si="142"/>
        <v>0</v>
      </c>
      <c r="U889" s="245">
        <f t="shared" si="143"/>
        <v>0</v>
      </c>
      <c r="V889" s="247"/>
    </row>
    <row r="890" spans="1:22" ht="15.75" x14ac:dyDescent="0.25">
      <c r="A890" s="236"/>
      <c r="B890" s="237"/>
      <c r="C890" s="238"/>
      <c r="D890" s="239"/>
      <c r="E890" s="240"/>
      <c r="F890" s="240"/>
      <c r="G890" s="240"/>
      <c r="H890" s="241">
        <f t="shared" si="138"/>
        <v>0</v>
      </c>
      <c r="I890" s="242"/>
      <c r="J890" s="243"/>
      <c r="K890" s="243"/>
      <c r="L890" s="244">
        <v>0.1</v>
      </c>
      <c r="M890" s="244">
        <f t="shared" si="139"/>
        <v>0</v>
      </c>
      <c r="N890" s="244"/>
      <c r="O890" s="244"/>
      <c r="P890" s="244"/>
      <c r="Q890" s="245">
        <f t="shared" si="140"/>
        <v>0</v>
      </c>
      <c r="R890" s="245">
        <f t="shared" si="141"/>
        <v>0</v>
      </c>
      <c r="S890" s="246">
        <v>0.5</v>
      </c>
      <c r="T890" s="245">
        <f t="shared" si="142"/>
        <v>0</v>
      </c>
      <c r="U890" s="245">
        <f t="shared" si="143"/>
        <v>0</v>
      </c>
      <c r="V890" s="247"/>
    </row>
    <row r="891" spans="1:22" ht="15.75" x14ac:dyDescent="0.25">
      <c r="A891" s="236"/>
      <c r="B891" s="237"/>
      <c r="C891" s="238"/>
      <c r="D891" s="239"/>
      <c r="E891" s="240"/>
      <c r="F891" s="240"/>
      <c r="G891" s="240"/>
      <c r="H891" s="241">
        <f t="shared" si="138"/>
        <v>0</v>
      </c>
      <c r="I891" s="242"/>
      <c r="J891" s="243"/>
      <c r="K891" s="243"/>
      <c r="L891" s="244">
        <v>0.1</v>
      </c>
      <c r="M891" s="244">
        <f t="shared" si="139"/>
        <v>0</v>
      </c>
      <c r="N891" s="244"/>
      <c r="O891" s="244"/>
      <c r="P891" s="244"/>
      <c r="Q891" s="245">
        <f t="shared" si="140"/>
        <v>0</v>
      </c>
      <c r="R891" s="245">
        <f t="shared" si="141"/>
        <v>0</v>
      </c>
      <c r="S891" s="246">
        <v>0.5</v>
      </c>
      <c r="T891" s="245">
        <f t="shared" si="142"/>
        <v>0</v>
      </c>
      <c r="U891" s="245">
        <f t="shared" si="143"/>
        <v>0</v>
      </c>
      <c r="V891" s="247"/>
    </row>
    <row r="892" spans="1:22" ht="15.75" x14ac:dyDescent="0.25">
      <c r="A892" s="236"/>
      <c r="B892" s="237"/>
      <c r="C892" s="238"/>
      <c r="D892" s="239"/>
      <c r="E892" s="240"/>
      <c r="F892" s="240"/>
      <c r="G892" s="240"/>
      <c r="H892" s="241">
        <f t="shared" si="138"/>
        <v>0</v>
      </c>
      <c r="I892" s="242"/>
      <c r="J892" s="243"/>
      <c r="K892" s="243"/>
      <c r="L892" s="244">
        <v>0.1</v>
      </c>
      <c r="M892" s="244">
        <f t="shared" si="139"/>
        <v>0</v>
      </c>
      <c r="N892" s="244"/>
      <c r="O892" s="244"/>
      <c r="P892" s="244"/>
      <c r="Q892" s="245">
        <f t="shared" si="140"/>
        <v>0</v>
      </c>
      <c r="R892" s="245">
        <f t="shared" si="141"/>
        <v>0</v>
      </c>
      <c r="S892" s="246">
        <v>0.5</v>
      </c>
      <c r="T892" s="245">
        <f t="shared" si="142"/>
        <v>0</v>
      </c>
      <c r="U892" s="245">
        <f t="shared" si="143"/>
        <v>0</v>
      </c>
      <c r="V892" s="247"/>
    </row>
    <row r="893" spans="1:22" ht="15.75" x14ac:dyDescent="0.25">
      <c r="A893" s="236"/>
      <c r="B893" s="237"/>
      <c r="C893" s="238"/>
      <c r="D893" s="239"/>
      <c r="E893" s="240"/>
      <c r="F893" s="240"/>
      <c r="G893" s="240"/>
      <c r="H893" s="241">
        <f t="shared" si="138"/>
        <v>0</v>
      </c>
      <c r="I893" s="242"/>
      <c r="J893" s="243"/>
      <c r="K893" s="243"/>
      <c r="L893" s="244">
        <v>0.1</v>
      </c>
      <c r="M893" s="244">
        <f t="shared" si="139"/>
        <v>0</v>
      </c>
      <c r="N893" s="244"/>
      <c r="O893" s="244"/>
      <c r="P893" s="244"/>
      <c r="Q893" s="245">
        <f t="shared" si="140"/>
        <v>0</v>
      </c>
      <c r="R893" s="245">
        <f t="shared" si="141"/>
        <v>0</v>
      </c>
      <c r="S893" s="246">
        <v>0.5</v>
      </c>
      <c r="T893" s="245">
        <f t="shared" si="142"/>
        <v>0</v>
      </c>
      <c r="U893" s="245">
        <f t="shared" si="143"/>
        <v>0</v>
      </c>
      <c r="V893" s="247"/>
    </row>
    <row r="894" spans="1:22" ht="15.75" x14ac:dyDescent="0.25">
      <c r="A894" s="236"/>
      <c r="B894" s="237"/>
      <c r="C894" s="238"/>
      <c r="D894" s="239"/>
      <c r="E894" s="240"/>
      <c r="F894" s="240"/>
      <c r="G894" s="240"/>
      <c r="H894" s="241">
        <f t="shared" si="138"/>
        <v>0</v>
      </c>
      <c r="I894" s="242"/>
      <c r="J894" s="243"/>
      <c r="K894" s="243"/>
      <c r="L894" s="244">
        <v>0.1</v>
      </c>
      <c r="M894" s="244">
        <f t="shared" si="139"/>
        <v>0</v>
      </c>
      <c r="N894" s="244"/>
      <c r="O894" s="244"/>
      <c r="P894" s="244"/>
      <c r="Q894" s="245">
        <f t="shared" si="140"/>
        <v>0</v>
      </c>
      <c r="R894" s="245">
        <f t="shared" si="141"/>
        <v>0</v>
      </c>
      <c r="S894" s="246">
        <v>0.5</v>
      </c>
      <c r="T894" s="245">
        <f t="shared" si="142"/>
        <v>0</v>
      </c>
      <c r="U894" s="245">
        <f t="shared" si="143"/>
        <v>0</v>
      </c>
      <c r="V894" s="247"/>
    </row>
    <row r="895" spans="1:22" ht="15.75" x14ac:dyDescent="0.25">
      <c r="A895" s="236"/>
      <c r="B895" s="237"/>
      <c r="C895" s="238"/>
      <c r="D895" s="239"/>
      <c r="E895" s="240"/>
      <c r="F895" s="240"/>
      <c r="G895" s="240"/>
      <c r="H895" s="241">
        <f t="shared" si="138"/>
        <v>0</v>
      </c>
      <c r="I895" s="242"/>
      <c r="J895" s="243"/>
      <c r="K895" s="243"/>
      <c r="L895" s="244">
        <v>0.1</v>
      </c>
      <c r="M895" s="244">
        <f t="shared" si="139"/>
        <v>0</v>
      </c>
      <c r="N895" s="244"/>
      <c r="O895" s="244"/>
      <c r="P895" s="244"/>
      <c r="Q895" s="245">
        <f t="shared" si="140"/>
        <v>0</v>
      </c>
      <c r="R895" s="245">
        <f t="shared" si="141"/>
        <v>0</v>
      </c>
      <c r="S895" s="246">
        <v>0.5</v>
      </c>
      <c r="T895" s="245">
        <f t="shared" si="142"/>
        <v>0</v>
      </c>
      <c r="U895" s="245">
        <f t="shared" si="143"/>
        <v>0</v>
      </c>
      <c r="V895" s="247"/>
    </row>
    <row r="896" spans="1:22" ht="15.75" x14ac:dyDescent="0.25">
      <c r="A896" s="236"/>
      <c r="B896" s="237"/>
      <c r="C896" s="238"/>
      <c r="D896" s="239"/>
      <c r="E896" s="240"/>
      <c r="F896" s="240"/>
      <c r="G896" s="240"/>
      <c r="H896" s="241">
        <f t="shared" si="138"/>
        <v>0</v>
      </c>
      <c r="I896" s="242"/>
      <c r="J896" s="243"/>
      <c r="K896" s="243"/>
      <c r="L896" s="244">
        <v>0.1</v>
      </c>
      <c r="M896" s="244">
        <f t="shared" si="139"/>
        <v>0</v>
      </c>
      <c r="N896" s="244"/>
      <c r="O896" s="244"/>
      <c r="P896" s="244"/>
      <c r="Q896" s="245">
        <f t="shared" si="140"/>
        <v>0</v>
      </c>
      <c r="R896" s="245">
        <f t="shared" si="141"/>
        <v>0</v>
      </c>
      <c r="S896" s="246">
        <v>0.5</v>
      </c>
      <c r="T896" s="245">
        <f t="shared" si="142"/>
        <v>0</v>
      </c>
      <c r="U896" s="245">
        <f t="shared" si="143"/>
        <v>0</v>
      </c>
      <c r="V896" s="247"/>
    </row>
    <row r="897" spans="1:22" ht="15.75" x14ac:dyDescent="0.25">
      <c r="A897" s="236"/>
      <c r="B897" s="237"/>
      <c r="C897" s="238"/>
      <c r="D897" s="239"/>
      <c r="E897" s="240"/>
      <c r="F897" s="240"/>
      <c r="G897" s="240"/>
      <c r="H897" s="241">
        <f t="shared" si="138"/>
        <v>0</v>
      </c>
      <c r="I897" s="242"/>
      <c r="J897" s="243"/>
      <c r="K897" s="243"/>
      <c r="L897" s="244">
        <v>0.1</v>
      </c>
      <c r="M897" s="244">
        <f t="shared" si="139"/>
        <v>0</v>
      </c>
      <c r="N897" s="244"/>
      <c r="O897" s="244"/>
      <c r="P897" s="244"/>
      <c r="Q897" s="245">
        <f t="shared" si="140"/>
        <v>0</v>
      </c>
      <c r="R897" s="245">
        <f t="shared" si="141"/>
        <v>0</v>
      </c>
      <c r="S897" s="246">
        <v>0.5</v>
      </c>
      <c r="T897" s="245">
        <f t="shared" si="142"/>
        <v>0</v>
      </c>
      <c r="U897" s="245">
        <f t="shared" si="143"/>
        <v>0</v>
      </c>
      <c r="V897" s="247"/>
    </row>
    <row r="898" spans="1:22" ht="15.75" x14ac:dyDescent="0.25">
      <c r="A898" s="236"/>
      <c r="B898" s="237"/>
      <c r="C898" s="238"/>
      <c r="D898" s="239"/>
      <c r="E898" s="240"/>
      <c r="F898" s="240"/>
      <c r="G898" s="240"/>
      <c r="H898" s="241">
        <f t="shared" si="138"/>
        <v>0</v>
      </c>
      <c r="I898" s="242"/>
      <c r="J898" s="243"/>
      <c r="K898" s="243"/>
      <c r="L898" s="244">
        <v>0.1</v>
      </c>
      <c r="M898" s="244">
        <f t="shared" si="139"/>
        <v>0</v>
      </c>
      <c r="N898" s="244"/>
      <c r="O898" s="244"/>
      <c r="P898" s="244"/>
      <c r="Q898" s="245">
        <f t="shared" si="140"/>
        <v>0</v>
      </c>
      <c r="R898" s="245">
        <f t="shared" si="141"/>
        <v>0</v>
      </c>
      <c r="S898" s="246">
        <v>0.5</v>
      </c>
      <c r="T898" s="245">
        <f t="shared" si="142"/>
        <v>0</v>
      </c>
      <c r="U898" s="245">
        <f t="shared" si="143"/>
        <v>0</v>
      </c>
      <c r="V898" s="247"/>
    </row>
    <row r="899" spans="1:22" ht="15.75" x14ac:dyDescent="0.25">
      <c r="A899" s="236"/>
      <c r="B899" s="237"/>
      <c r="C899" s="238"/>
      <c r="D899" s="239"/>
      <c r="E899" s="240"/>
      <c r="F899" s="240"/>
      <c r="G899" s="240"/>
      <c r="H899" s="241">
        <f t="shared" si="138"/>
        <v>0</v>
      </c>
      <c r="I899" s="242"/>
      <c r="J899" s="243"/>
      <c r="K899" s="243"/>
      <c r="L899" s="244">
        <v>0.1</v>
      </c>
      <c r="M899" s="244">
        <f t="shared" si="139"/>
        <v>0</v>
      </c>
      <c r="N899" s="244"/>
      <c r="O899" s="244"/>
      <c r="P899" s="244"/>
      <c r="Q899" s="245">
        <f t="shared" si="140"/>
        <v>0</v>
      </c>
      <c r="R899" s="245">
        <f t="shared" si="141"/>
        <v>0</v>
      </c>
      <c r="S899" s="246">
        <v>0.5</v>
      </c>
      <c r="T899" s="245">
        <f t="shared" si="142"/>
        <v>0</v>
      </c>
      <c r="U899" s="245">
        <f t="shared" si="143"/>
        <v>0</v>
      </c>
      <c r="V899" s="247"/>
    </row>
    <row r="900" spans="1:22" ht="15.75" x14ac:dyDescent="0.25">
      <c r="A900" s="236"/>
      <c r="B900" s="237"/>
      <c r="C900" s="238"/>
      <c r="D900" s="239"/>
      <c r="E900" s="240"/>
      <c r="F900" s="240"/>
      <c r="G900" s="240"/>
      <c r="H900" s="241">
        <f t="shared" si="138"/>
        <v>0</v>
      </c>
      <c r="I900" s="242"/>
      <c r="J900" s="243"/>
      <c r="K900" s="243"/>
      <c r="L900" s="244">
        <v>0.1</v>
      </c>
      <c r="M900" s="244">
        <f t="shared" si="139"/>
        <v>0</v>
      </c>
      <c r="N900" s="244"/>
      <c r="O900" s="244"/>
      <c r="P900" s="244"/>
      <c r="Q900" s="245">
        <f t="shared" si="140"/>
        <v>0</v>
      </c>
      <c r="R900" s="245">
        <f t="shared" si="141"/>
        <v>0</v>
      </c>
      <c r="S900" s="246">
        <v>0.5</v>
      </c>
      <c r="T900" s="245">
        <f t="shared" si="142"/>
        <v>0</v>
      </c>
      <c r="U900" s="245">
        <f t="shared" si="143"/>
        <v>0</v>
      </c>
      <c r="V900" s="247"/>
    </row>
    <row r="901" spans="1:22" ht="15.75" x14ac:dyDescent="0.25">
      <c r="A901" s="236"/>
      <c r="B901" s="237"/>
      <c r="C901" s="238"/>
      <c r="D901" s="239"/>
      <c r="E901" s="240"/>
      <c r="F901" s="240"/>
      <c r="G901" s="240"/>
      <c r="H901" s="241">
        <f t="shared" si="138"/>
        <v>0</v>
      </c>
      <c r="I901" s="242"/>
      <c r="J901" s="243"/>
      <c r="K901" s="243"/>
      <c r="L901" s="244">
        <v>0.1</v>
      </c>
      <c r="M901" s="244">
        <f t="shared" si="139"/>
        <v>0</v>
      </c>
      <c r="N901" s="244"/>
      <c r="O901" s="244"/>
      <c r="P901" s="244"/>
      <c r="Q901" s="245">
        <f t="shared" si="140"/>
        <v>0</v>
      </c>
      <c r="R901" s="245">
        <f t="shared" si="141"/>
        <v>0</v>
      </c>
      <c r="S901" s="246">
        <v>0.5</v>
      </c>
      <c r="T901" s="245">
        <f t="shared" si="142"/>
        <v>0</v>
      </c>
      <c r="U901" s="245">
        <f t="shared" si="143"/>
        <v>0</v>
      </c>
      <c r="V901" s="247"/>
    </row>
    <row r="902" spans="1:22" ht="15.75" x14ac:dyDescent="0.25">
      <c r="A902" s="236"/>
      <c r="B902" s="237"/>
      <c r="C902" s="238"/>
      <c r="D902" s="239"/>
      <c r="E902" s="240"/>
      <c r="F902" s="240"/>
      <c r="G902" s="240"/>
      <c r="H902" s="241">
        <f t="shared" si="138"/>
        <v>0</v>
      </c>
      <c r="I902" s="242"/>
      <c r="J902" s="243"/>
      <c r="K902" s="243"/>
      <c r="L902" s="244">
        <v>0.1</v>
      </c>
      <c r="M902" s="244">
        <f t="shared" si="139"/>
        <v>0</v>
      </c>
      <c r="N902" s="244"/>
      <c r="O902" s="244"/>
      <c r="P902" s="244"/>
      <c r="Q902" s="245">
        <f t="shared" si="140"/>
        <v>0</v>
      </c>
      <c r="R902" s="245">
        <f t="shared" si="141"/>
        <v>0</v>
      </c>
      <c r="S902" s="246">
        <v>0.5</v>
      </c>
      <c r="T902" s="245">
        <f t="shared" si="142"/>
        <v>0</v>
      </c>
      <c r="U902" s="245">
        <f t="shared" si="143"/>
        <v>0</v>
      </c>
      <c r="V902" s="247"/>
    </row>
    <row r="903" spans="1:22" ht="15.75" x14ac:dyDescent="0.25">
      <c r="A903" s="236"/>
      <c r="B903" s="237"/>
      <c r="C903" s="238"/>
      <c r="D903" s="239"/>
      <c r="E903" s="240"/>
      <c r="F903" s="240"/>
      <c r="G903" s="240"/>
      <c r="H903" s="241">
        <f t="shared" si="138"/>
        <v>0</v>
      </c>
      <c r="I903" s="242"/>
      <c r="J903" s="243"/>
      <c r="K903" s="243"/>
      <c r="L903" s="244">
        <v>0.1</v>
      </c>
      <c r="M903" s="244">
        <f t="shared" si="139"/>
        <v>0</v>
      </c>
      <c r="N903" s="244"/>
      <c r="O903" s="244"/>
      <c r="P903" s="244"/>
      <c r="Q903" s="245">
        <f t="shared" si="140"/>
        <v>0</v>
      </c>
      <c r="R903" s="245">
        <f t="shared" si="141"/>
        <v>0</v>
      </c>
      <c r="S903" s="246">
        <v>0.5</v>
      </c>
      <c r="T903" s="245">
        <f t="shared" si="142"/>
        <v>0</v>
      </c>
      <c r="U903" s="245">
        <f t="shared" si="143"/>
        <v>0</v>
      </c>
      <c r="V903" s="247"/>
    </row>
    <row r="904" spans="1:22" ht="15.75" x14ac:dyDescent="0.25">
      <c r="A904" s="236"/>
      <c r="B904" s="237"/>
      <c r="C904" s="238"/>
      <c r="D904" s="239"/>
      <c r="E904" s="240"/>
      <c r="F904" s="240"/>
      <c r="G904" s="240"/>
      <c r="H904" s="241">
        <f t="shared" si="138"/>
        <v>0</v>
      </c>
      <c r="I904" s="242"/>
      <c r="J904" s="243"/>
      <c r="K904" s="243"/>
      <c r="L904" s="244">
        <v>0.1</v>
      </c>
      <c r="M904" s="244">
        <f t="shared" si="139"/>
        <v>0</v>
      </c>
      <c r="N904" s="244"/>
      <c r="O904" s="244"/>
      <c r="P904" s="244"/>
      <c r="Q904" s="245">
        <f t="shared" si="140"/>
        <v>0</v>
      </c>
      <c r="R904" s="245">
        <f t="shared" si="141"/>
        <v>0</v>
      </c>
      <c r="S904" s="246">
        <v>0.5</v>
      </c>
      <c r="T904" s="245">
        <f t="shared" si="142"/>
        <v>0</v>
      </c>
      <c r="U904" s="245">
        <f t="shared" si="143"/>
        <v>0</v>
      </c>
      <c r="V904" s="247"/>
    </row>
    <row r="905" spans="1:22" ht="15.75" x14ac:dyDescent="0.25">
      <c r="A905" s="236"/>
      <c r="B905" s="237"/>
      <c r="C905" s="238"/>
      <c r="D905" s="239"/>
      <c r="E905" s="240"/>
      <c r="F905" s="240"/>
      <c r="G905" s="240"/>
      <c r="H905" s="241">
        <f t="shared" si="138"/>
        <v>0</v>
      </c>
      <c r="I905" s="242"/>
      <c r="J905" s="243"/>
      <c r="K905" s="243"/>
      <c r="L905" s="244">
        <v>0.1</v>
      </c>
      <c r="M905" s="244">
        <f t="shared" si="139"/>
        <v>0</v>
      </c>
      <c r="N905" s="244"/>
      <c r="O905" s="244"/>
      <c r="P905" s="244"/>
      <c r="Q905" s="245">
        <f t="shared" si="140"/>
        <v>0</v>
      </c>
      <c r="R905" s="245">
        <f t="shared" si="141"/>
        <v>0</v>
      </c>
      <c r="S905" s="246">
        <v>0.5</v>
      </c>
      <c r="T905" s="245">
        <f t="shared" si="142"/>
        <v>0</v>
      </c>
      <c r="U905" s="245">
        <f t="shared" si="143"/>
        <v>0</v>
      </c>
      <c r="V905" s="247"/>
    </row>
    <row r="906" spans="1:22" ht="15.75" x14ac:dyDescent="0.25">
      <c r="A906" s="236"/>
      <c r="B906" s="237"/>
      <c r="C906" s="238"/>
      <c r="D906" s="239"/>
      <c r="E906" s="240"/>
      <c r="F906" s="240"/>
      <c r="G906" s="240"/>
      <c r="H906" s="241">
        <f t="shared" si="138"/>
        <v>0</v>
      </c>
      <c r="I906" s="242"/>
      <c r="J906" s="243"/>
      <c r="K906" s="243"/>
      <c r="L906" s="244">
        <v>0.1</v>
      </c>
      <c r="M906" s="244">
        <f t="shared" si="139"/>
        <v>0</v>
      </c>
      <c r="N906" s="244"/>
      <c r="O906" s="244"/>
      <c r="P906" s="244"/>
      <c r="Q906" s="245">
        <f t="shared" si="140"/>
        <v>0</v>
      </c>
      <c r="R906" s="245">
        <f t="shared" si="141"/>
        <v>0</v>
      </c>
      <c r="S906" s="246">
        <v>0.5</v>
      </c>
      <c r="T906" s="245">
        <f t="shared" si="142"/>
        <v>0</v>
      </c>
      <c r="U906" s="245">
        <f t="shared" si="143"/>
        <v>0</v>
      </c>
      <c r="V906" s="247"/>
    </row>
    <row r="907" spans="1:22" ht="15.75" x14ac:dyDescent="0.25">
      <c r="A907" s="236"/>
      <c r="B907" s="237"/>
      <c r="C907" s="238"/>
      <c r="D907" s="239"/>
      <c r="E907" s="240"/>
      <c r="F907" s="240"/>
      <c r="G907" s="240"/>
      <c r="H907" s="241">
        <f t="shared" si="138"/>
        <v>0</v>
      </c>
      <c r="I907" s="242"/>
      <c r="J907" s="243"/>
      <c r="K907" s="243"/>
      <c r="L907" s="244">
        <v>0.1</v>
      </c>
      <c r="M907" s="244">
        <f t="shared" si="139"/>
        <v>0</v>
      </c>
      <c r="N907" s="244"/>
      <c r="O907" s="244"/>
      <c r="P907" s="244"/>
      <c r="Q907" s="245">
        <f t="shared" si="140"/>
        <v>0</v>
      </c>
      <c r="R907" s="245">
        <f t="shared" si="141"/>
        <v>0</v>
      </c>
      <c r="S907" s="246">
        <v>0.5</v>
      </c>
      <c r="T907" s="245">
        <f t="shared" si="142"/>
        <v>0</v>
      </c>
      <c r="U907" s="245">
        <f t="shared" si="143"/>
        <v>0</v>
      </c>
      <c r="V907" s="247"/>
    </row>
    <row r="908" spans="1:22" ht="15.75" x14ac:dyDescent="0.25">
      <c r="A908" s="236"/>
      <c r="B908" s="237"/>
      <c r="C908" s="238"/>
      <c r="D908" s="239"/>
      <c r="E908" s="240"/>
      <c r="F908" s="240"/>
      <c r="G908" s="240"/>
      <c r="H908" s="241">
        <f t="shared" si="138"/>
        <v>0</v>
      </c>
      <c r="I908" s="242"/>
      <c r="J908" s="243"/>
      <c r="K908" s="243"/>
      <c r="L908" s="244">
        <v>0.1</v>
      </c>
      <c r="M908" s="244">
        <f t="shared" si="139"/>
        <v>0</v>
      </c>
      <c r="N908" s="244"/>
      <c r="O908" s="244"/>
      <c r="P908" s="244"/>
      <c r="Q908" s="245">
        <f t="shared" si="140"/>
        <v>0</v>
      </c>
      <c r="R908" s="245">
        <f t="shared" si="141"/>
        <v>0</v>
      </c>
      <c r="S908" s="246">
        <v>0.5</v>
      </c>
      <c r="T908" s="245">
        <f t="shared" si="142"/>
        <v>0</v>
      </c>
      <c r="U908" s="245">
        <f t="shared" si="143"/>
        <v>0</v>
      </c>
      <c r="V908" s="247"/>
    </row>
    <row r="909" spans="1:22" ht="15.75" x14ac:dyDescent="0.25">
      <c r="A909" s="236"/>
      <c r="B909" s="237"/>
      <c r="C909" s="238"/>
      <c r="D909" s="239"/>
      <c r="E909" s="240"/>
      <c r="F909" s="240"/>
      <c r="G909" s="240"/>
      <c r="H909" s="241">
        <f t="shared" si="138"/>
        <v>0</v>
      </c>
      <c r="I909" s="242"/>
      <c r="J909" s="243"/>
      <c r="K909" s="243"/>
      <c r="L909" s="244">
        <v>0.1</v>
      </c>
      <c r="M909" s="244">
        <f t="shared" si="139"/>
        <v>0</v>
      </c>
      <c r="N909" s="244"/>
      <c r="O909" s="244"/>
      <c r="P909" s="244"/>
      <c r="Q909" s="245">
        <f t="shared" si="140"/>
        <v>0</v>
      </c>
      <c r="R909" s="245">
        <f t="shared" si="141"/>
        <v>0</v>
      </c>
      <c r="S909" s="246">
        <v>0.5</v>
      </c>
      <c r="T909" s="245">
        <f t="shared" si="142"/>
        <v>0</v>
      </c>
      <c r="U909" s="245">
        <f t="shared" si="143"/>
        <v>0</v>
      </c>
      <c r="V909" s="247"/>
    </row>
    <row r="910" spans="1:22" ht="15.75" x14ac:dyDescent="0.25">
      <c r="A910" s="236"/>
      <c r="B910" s="237"/>
      <c r="C910" s="238"/>
      <c r="D910" s="239"/>
      <c r="E910" s="240"/>
      <c r="F910" s="240"/>
      <c r="G910" s="240"/>
      <c r="H910" s="241">
        <f t="shared" si="138"/>
        <v>0</v>
      </c>
      <c r="I910" s="242"/>
      <c r="J910" s="243"/>
      <c r="K910" s="243"/>
      <c r="L910" s="244">
        <v>0.1</v>
      </c>
      <c r="M910" s="244">
        <f t="shared" si="139"/>
        <v>0</v>
      </c>
      <c r="N910" s="244"/>
      <c r="O910" s="244"/>
      <c r="P910" s="244"/>
      <c r="Q910" s="245">
        <f t="shared" si="140"/>
        <v>0</v>
      </c>
      <c r="R910" s="245">
        <f t="shared" si="141"/>
        <v>0</v>
      </c>
      <c r="S910" s="246">
        <v>0.5</v>
      </c>
      <c r="T910" s="245">
        <f t="shared" si="142"/>
        <v>0</v>
      </c>
      <c r="U910" s="245">
        <f t="shared" si="143"/>
        <v>0</v>
      </c>
      <c r="V910" s="247"/>
    </row>
    <row r="911" spans="1:22" ht="15.75" x14ac:dyDescent="0.25">
      <c r="A911" s="236"/>
      <c r="B911" s="237"/>
      <c r="C911" s="238"/>
      <c r="D911" s="239"/>
      <c r="E911" s="240"/>
      <c r="F911" s="240"/>
      <c r="G911" s="240"/>
      <c r="H911" s="241">
        <f t="shared" si="138"/>
        <v>0</v>
      </c>
      <c r="I911" s="242"/>
      <c r="J911" s="243"/>
      <c r="K911" s="243"/>
      <c r="L911" s="244">
        <v>0.1</v>
      </c>
      <c r="M911" s="244">
        <f t="shared" si="139"/>
        <v>0</v>
      </c>
      <c r="N911" s="244"/>
      <c r="O911" s="244"/>
      <c r="P911" s="244"/>
      <c r="Q911" s="245">
        <f t="shared" si="140"/>
        <v>0</v>
      </c>
      <c r="R911" s="245">
        <f t="shared" si="141"/>
        <v>0</v>
      </c>
      <c r="S911" s="246">
        <v>0.5</v>
      </c>
      <c r="T911" s="245">
        <f t="shared" si="142"/>
        <v>0</v>
      </c>
      <c r="U911" s="245">
        <f t="shared" si="143"/>
        <v>0</v>
      </c>
      <c r="V911" s="247"/>
    </row>
    <row r="912" spans="1:22" ht="15.75" x14ac:dyDescent="0.25">
      <c r="A912" s="236"/>
      <c r="B912" s="237"/>
      <c r="C912" s="238"/>
      <c r="D912" s="239"/>
      <c r="E912" s="240"/>
      <c r="F912" s="240"/>
      <c r="G912" s="240"/>
      <c r="H912" s="241">
        <f t="shared" si="138"/>
        <v>0</v>
      </c>
      <c r="I912" s="242"/>
      <c r="J912" s="243"/>
      <c r="K912" s="243"/>
      <c r="L912" s="244">
        <v>0.1</v>
      </c>
      <c r="M912" s="244">
        <f t="shared" si="139"/>
        <v>0</v>
      </c>
      <c r="N912" s="244"/>
      <c r="O912" s="244"/>
      <c r="P912" s="244"/>
      <c r="Q912" s="245">
        <f t="shared" si="140"/>
        <v>0</v>
      </c>
      <c r="R912" s="245">
        <f t="shared" si="141"/>
        <v>0</v>
      </c>
      <c r="S912" s="246">
        <v>0.5</v>
      </c>
      <c r="T912" s="245">
        <f t="shared" si="142"/>
        <v>0</v>
      </c>
      <c r="U912" s="245">
        <f t="shared" si="143"/>
        <v>0</v>
      </c>
      <c r="V912" s="247"/>
    </row>
    <row r="913" spans="1:22" ht="15.75" x14ac:dyDescent="0.25">
      <c r="A913" s="236"/>
      <c r="B913" s="237"/>
      <c r="C913" s="238"/>
      <c r="D913" s="239"/>
      <c r="E913" s="240"/>
      <c r="F913" s="240"/>
      <c r="G913" s="240"/>
      <c r="H913" s="241">
        <f t="shared" si="138"/>
        <v>0</v>
      </c>
      <c r="I913" s="242"/>
      <c r="J913" s="243"/>
      <c r="K913" s="243"/>
      <c r="L913" s="244">
        <v>0.1</v>
      </c>
      <c r="M913" s="244">
        <f t="shared" si="139"/>
        <v>0</v>
      </c>
      <c r="N913" s="244"/>
      <c r="O913" s="244"/>
      <c r="P913" s="244"/>
      <c r="Q913" s="245">
        <f t="shared" si="140"/>
        <v>0</v>
      </c>
      <c r="R913" s="245">
        <f t="shared" si="141"/>
        <v>0</v>
      </c>
      <c r="S913" s="246">
        <v>0.5</v>
      </c>
      <c r="T913" s="245">
        <f t="shared" si="142"/>
        <v>0</v>
      </c>
      <c r="U913" s="245">
        <f t="shared" si="143"/>
        <v>0</v>
      </c>
      <c r="V913" s="247"/>
    </row>
    <row r="914" spans="1:22" ht="15.75" x14ac:dyDescent="0.25">
      <c r="A914" s="236"/>
      <c r="B914" s="237"/>
      <c r="C914" s="238"/>
      <c r="D914" s="239"/>
      <c r="E914" s="240"/>
      <c r="F914" s="240"/>
      <c r="G914" s="240"/>
      <c r="H914" s="241">
        <f t="shared" si="138"/>
        <v>0</v>
      </c>
      <c r="I914" s="242"/>
      <c r="J914" s="243"/>
      <c r="K914" s="243"/>
      <c r="L914" s="244">
        <v>0.1</v>
      </c>
      <c r="M914" s="244">
        <f t="shared" si="139"/>
        <v>0</v>
      </c>
      <c r="N914" s="244"/>
      <c r="O914" s="244"/>
      <c r="P914" s="244"/>
      <c r="Q914" s="245">
        <f t="shared" si="140"/>
        <v>0</v>
      </c>
      <c r="R914" s="245">
        <f t="shared" si="141"/>
        <v>0</v>
      </c>
      <c r="S914" s="246">
        <v>0.5</v>
      </c>
      <c r="T914" s="245">
        <f t="shared" si="142"/>
        <v>0</v>
      </c>
      <c r="U914" s="245">
        <f t="shared" si="143"/>
        <v>0</v>
      </c>
      <c r="V914" s="247"/>
    </row>
    <row r="915" spans="1:22" ht="15.75" x14ac:dyDescent="0.25">
      <c r="A915" s="236"/>
      <c r="B915" s="237"/>
      <c r="C915" s="238"/>
      <c r="D915" s="239"/>
      <c r="E915" s="240"/>
      <c r="F915" s="240"/>
      <c r="G915" s="240"/>
      <c r="H915" s="241">
        <f t="shared" si="138"/>
        <v>0</v>
      </c>
      <c r="I915" s="242"/>
      <c r="J915" s="243"/>
      <c r="K915" s="243"/>
      <c r="L915" s="244">
        <v>0.1</v>
      </c>
      <c r="M915" s="244">
        <f t="shared" si="139"/>
        <v>0</v>
      </c>
      <c r="N915" s="244"/>
      <c r="O915" s="244"/>
      <c r="P915" s="244"/>
      <c r="Q915" s="245">
        <f t="shared" si="140"/>
        <v>0</v>
      </c>
      <c r="R915" s="245">
        <f t="shared" si="141"/>
        <v>0</v>
      </c>
      <c r="S915" s="246">
        <v>0.5</v>
      </c>
      <c r="T915" s="245">
        <f t="shared" si="142"/>
        <v>0</v>
      </c>
      <c r="U915" s="245">
        <f t="shared" si="143"/>
        <v>0</v>
      </c>
      <c r="V915" s="247"/>
    </row>
    <row r="916" spans="1:22" ht="15.75" x14ac:dyDescent="0.25">
      <c r="A916" s="236"/>
      <c r="B916" s="237"/>
      <c r="C916" s="238"/>
      <c r="D916" s="239"/>
      <c r="E916" s="240"/>
      <c r="F916" s="240"/>
      <c r="G916" s="240"/>
      <c r="H916" s="241">
        <f t="shared" si="138"/>
        <v>0</v>
      </c>
      <c r="I916" s="242"/>
      <c r="J916" s="243"/>
      <c r="K916" s="243"/>
      <c r="L916" s="244">
        <v>0.1</v>
      </c>
      <c r="M916" s="244">
        <f t="shared" si="139"/>
        <v>0</v>
      </c>
      <c r="N916" s="244"/>
      <c r="O916" s="244"/>
      <c r="P916" s="244"/>
      <c r="Q916" s="245">
        <f t="shared" si="140"/>
        <v>0</v>
      </c>
      <c r="R916" s="245">
        <f t="shared" si="141"/>
        <v>0</v>
      </c>
      <c r="S916" s="246">
        <v>0.5</v>
      </c>
      <c r="T916" s="245">
        <f t="shared" si="142"/>
        <v>0</v>
      </c>
      <c r="U916" s="245">
        <f t="shared" si="143"/>
        <v>0</v>
      </c>
      <c r="V916" s="247"/>
    </row>
    <row r="917" spans="1:22" ht="15.75" x14ac:dyDescent="0.25">
      <c r="A917" s="236"/>
      <c r="B917" s="237"/>
      <c r="C917" s="238"/>
      <c r="D917" s="239"/>
      <c r="E917" s="240"/>
      <c r="F917" s="240"/>
      <c r="G917" s="240"/>
      <c r="H917" s="241">
        <f t="shared" si="138"/>
        <v>0</v>
      </c>
      <c r="I917" s="242"/>
      <c r="J917" s="243"/>
      <c r="K917" s="243"/>
      <c r="L917" s="244">
        <v>0.1</v>
      </c>
      <c r="M917" s="244">
        <f t="shared" si="139"/>
        <v>0</v>
      </c>
      <c r="N917" s="244"/>
      <c r="O917" s="244"/>
      <c r="P917" s="244"/>
      <c r="Q917" s="245">
        <f t="shared" si="140"/>
        <v>0</v>
      </c>
      <c r="R917" s="245">
        <f t="shared" si="141"/>
        <v>0</v>
      </c>
      <c r="S917" s="246">
        <v>0.5</v>
      </c>
      <c r="T917" s="245">
        <f t="shared" si="142"/>
        <v>0</v>
      </c>
      <c r="U917" s="245">
        <f t="shared" si="143"/>
        <v>0</v>
      </c>
      <c r="V917" s="247"/>
    </row>
    <row r="918" spans="1:22" ht="15.75" x14ac:dyDescent="0.25">
      <c r="A918" s="236"/>
      <c r="B918" s="237"/>
      <c r="C918" s="238"/>
      <c r="D918" s="239"/>
      <c r="E918" s="240"/>
      <c r="F918" s="240"/>
      <c r="G918" s="240"/>
      <c r="H918" s="241">
        <f t="shared" si="138"/>
        <v>0</v>
      </c>
      <c r="I918" s="242"/>
      <c r="J918" s="243"/>
      <c r="K918" s="243"/>
      <c r="L918" s="244">
        <v>0.1</v>
      </c>
      <c r="M918" s="244">
        <f t="shared" si="139"/>
        <v>0</v>
      </c>
      <c r="N918" s="244"/>
      <c r="O918" s="244"/>
      <c r="P918" s="244"/>
      <c r="Q918" s="245">
        <f t="shared" si="140"/>
        <v>0</v>
      </c>
      <c r="R918" s="245">
        <f t="shared" si="141"/>
        <v>0</v>
      </c>
      <c r="S918" s="246">
        <v>0.5</v>
      </c>
      <c r="T918" s="245">
        <f t="shared" si="142"/>
        <v>0</v>
      </c>
      <c r="U918" s="245">
        <f t="shared" si="143"/>
        <v>0</v>
      </c>
      <c r="V918" s="247"/>
    </row>
    <row r="919" spans="1:22" ht="15.75" x14ac:dyDescent="0.25">
      <c r="A919" s="236"/>
      <c r="B919" s="237"/>
      <c r="C919" s="238"/>
      <c r="D919" s="239"/>
      <c r="E919" s="240"/>
      <c r="F919" s="240"/>
      <c r="G919" s="240"/>
      <c r="H919" s="241">
        <f t="shared" si="138"/>
        <v>0</v>
      </c>
      <c r="I919" s="242"/>
      <c r="J919" s="243"/>
      <c r="K919" s="243"/>
      <c r="L919" s="244">
        <v>0.1</v>
      </c>
      <c r="M919" s="244">
        <f t="shared" si="139"/>
        <v>0</v>
      </c>
      <c r="N919" s="244"/>
      <c r="O919" s="244"/>
      <c r="P919" s="244"/>
      <c r="Q919" s="245">
        <f t="shared" si="140"/>
        <v>0</v>
      </c>
      <c r="R919" s="245">
        <f t="shared" si="141"/>
        <v>0</v>
      </c>
      <c r="S919" s="246">
        <v>0.5</v>
      </c>
      <c r="T919" s="245">
        <f t="shared" si="142"/>
        <v>0</v>
      </c>
      <c r="U919" s="245">
        <f t="shared" si="143"/>
        <v>0</v>
      </c>
      <c r="V919" s="247"/>
    </row>
    <row r="920" spans="1:22" ht="15.75" x14ac:dyDescent="0.25">
      <c r="A920" s="236"/>
      <c r="B920" s="237"/>
      <c r="C920" s="238"/>
      <c r="D920" s="239"/>
      <c r="E920" s="240"/>
      <c r="F920" s="240"/>
      <c r="G920" s="240"/>
      <c r="H920" s="241">
        <f t="shared" si="138"/>
        <v>0</v>
      </c>
      <c r="I920" s="242"/>
      <c r="J920" s="243"/>
      <c r="K920" s="243"/>
      <c r="L920" s="244">
        <v>0.1</v>
      </c>
      <c r="M920" s="244">
        <f t="shared" si="139"/>
        <v>0</v>
      </c>
      <c r="N920" s="244"/>
      <c r="O920" s="244"/>
      <c r="P920" s="244"/>
      <c r="Q920" s="245">
        <f t="shared" si="140"/>
        <v>0</v>
      </c>
      <c r="R920" s="245">
        <f t="shared" si="141"/>
        <v>0</v>
      </c>
      <c r="S920" s="246">
        <v>0.5</v>
      </c>
      <c r="T920" s="245">
        <f t="shared" si="142"/>
        <v>0</v>
      </c>
      <c r="U920" s="245">
        <f t="shared" si="143"/>
        <v>0</v>
      </c>
      <c r="V920" s="247"/>
    </row>
    <row r="921" spans="1:22" ht="15.75" x14ac:dyDescent="0.25">
      <c r="A921" s="236"/>
      <c r="B921" s="237"/>
      <c r="C921" s="238"/>
      <c r="D921" s="239"/>
      <c r="E921" s="240"/>
      <c r="F921" s="240"/>
      <c r="G921" s="240"/>
      <c r="H921" s="241">
        <f t="shared" si="138"/>
        <v>0</v>
      </c>
      <c r="I921" s="242"/>
      <c r="J921" s="243"/>
      <c r="K921" s="243"/>
      <c r="L921" s="244">
        <v>0.1</v>
      </c>
      <c r="M921" s="244">
        <f t="shared" si="139"/>
        <v>0</v>
      </c>
      <c r="N921" s="244"/>
      <c r="O921" s="244"/>
      <c r="P921" s="244"/>
      <c r="Q921" s="245">
        <f t="shared" si="140"/>
        <v>0</v>
      </c>
      <c r="R921" s="245">
        <f t="shared" si="141"/>
        <v>0</v>
      </c>
      <c r="S921" s="246">
        <v>0.5</v>
      </c>
      <c r="T921" s="245">
        <f t="shared" si="142"/>
        <v>0</v>
      </c>
      <c r="U921" s="245">
        <f t="shared" si="143"/>
        <v>0</v>
      </c>
      <c r="V921" s="247"/>
    </row>
    <row r="922" spans="1:22" ht="15.75" x14ac:dyDescent="0.25">
      <c r="A922" s="236"/>
      <c r="B922" s="237"/>
      <c r="C922" s="238"/>
      <c r="D922" s="239"/>
      <c r="E922" s="240"/>
      <c r="F922" s="240"/>
      <c r="G922" s="240"/>
      <c r="H922" s="241">
        <f t="shared" si="138"/>
        <v>0</v>
      </c>
      <c r="I922" s="242"/>
      <c r="J922" s="243"/>
      <c r="K922" s="243"/>
      <c r="L922" s="244">
        <v>0.1</v>
      </c>
      <c r="M922" s="244">
        <f t="shared" si="139"/>
        <v>0</v>
      </c>
      <c r="N922" s="244"/>
      <c r="O922" s="244"/>
      <c r="P922" s="244"/>
      <c r="Q922" s="245">
        <f t="shared" si="140"/>
        <v>0</v>
      </c>
      <c r="R922" s="245">
        <f t="shared" si="141"/>
        <v>0</v>
      </c>
      <c r="S922" s="246">
        <v>0.5</v>
      </c>
      <c r="T922" s="245">
        <f t="shared" si="142"/>
        <v>0</v>
      </c>
      <c r="U922" s="245">
        <f t="shared" si="143"/>
        <v>0</v>
      </c>
      <c r="V922" s="247"/>
    </row>
    <row r="923" spans="1:22" ht="15.75" x14ac:dyDescent="0.25">
      <c r="A923" s="236"/>
      <c r="B923" s="237"/>
      <c r="C923" s="238"/>
      <c r="D923" s="239"/>
      <c r="E923" s="240"/>
      <c r="F923" s="240"/>
      <c r="G923" s="240"/>
      <c r="H923" s="241">
        <f t="shared" si="138"/>
        <v>0</v>
      </c>
      <c r="I923" s="242"/>
      <c r="J923" s="243"/>
      <c r="K923" s="243"/>
      <c r="L923" s="244">
        <v>0.1</v>
      </c>
      <c r="M923" s="244">
        <f t="shared" si="139"/>
        <v>0</v>
      </c>
      <c r="N923" s="244"/>
      <c r="O923" s="244"/>
      <c r="P923" s="244"/>
      <c r="Q923" s="245">
        <f t="shared" si="140"/>
        <v>0</v>
      </c>
      <c r="R923" s="245">
        <f t="shared" si="141"/>
        <v>0</v>
      </c>
      <c r="S923" s="246">
        <v>0.5</v>
      </c>
      <c r="T923" s="245">
        <f t="shared" si="142"/>
        <v>0</v>
      </c>
      <c r="U923" s="245">
        <f t="shared" si="143"/>
        <v>0</v>
      </c>
      <c r="V923" s="247"/>
    </row>
    <row r="924" spans="1:22" ht="15.75" x14ac:dyDescent="0.25">
      <c r="A924" s="236"/>
      <c r="B924" s="237"/>
      <c r="C924" s="238"/>
      <c r="D924" s="239"/>
      <c r="E924" s="240"/>
      <c r="F924" s="240"/>
      <c r="G924" s="240"/>
      <c r="H924" s="241">
        <f t="shared" si="138"/>
        <v>0</v>
      </c>
      <c r="I924" s="242"/>
      <c r="J924" s="243"/>
      <c r="K924" s="243"/>
      <c r="L924" s="244">
        <v>0.1</v>
      </c>
      <c r="M924" s="244">
        <f t="shared" si="139"/>
        <v>0</v>
      </c>
      <c r="N924" s="244"/>
      <c r="O924" s="244"/>
      <c r="P924" s="244"/>
      <c r="Q924" s="245">
        <f t="shared" si="140"/>
        <v>0</v>
      </c>
      <c r="R924" s="245">
        <f t="shared" si="141"/>
        <v>0</v>
      </c>
      <c r="S924" s="246">
        <v>0.5</v>
      </c>
      <c r="T924" s="245">
        <f t="shared" si="142"/>
        <v>0</v>
      </c>
      <c r="U924" s="245">
        <f t="shared" si="143"/>
        <v>0</v>
      </c>
      <c r="V924" s="247"/>
    </row>
    <row r="925" spans="1:22" ht="15.75" x14ac:dyDescent="0.25">
      <c r="A925" s="236"/>
      <c r="B925" s="237"/>
      <c r="C925" s="238"/>
      <c r="D925" s="239"/>
      <c r="E925" s="240"/>
      <c r="F925" s="240"/>
      <c r="G925" s="240"/>
      <c r="H925" s="241">
        <f t="shared" si="138"/>
        <v>0</v>
      </c>
      <c r="I925" s="242"/>
      <c r="J925" s="243"/>
      <c r="K925" s="243"/>
      <c r="L925" s="244">
        <v>0.1</v>
      </c>
      <c r="M925" s="244">
        <f t="shared" si="139"/>
        <v>0</v>
      </c>
      <c r="N925" s="244"/>
      <c r="O925" s="244"/>
      <c r="P925" s="244"/>
      <c r="Q925" s="245">
        <f t="shared" si="140"/>
        <v>0</v>
      </c>
      <c r="R925" s="245">
        <f t="shared" si="141"/>
        <v>0</v>
      </c>
      <c r="S925" s="246">
        <v>0.5</v>
      </c>
      <c r="T925" s="245">
        <f t="shared" si="142"/>
        <v>0</v>
      </c>
      <c r="U925" s="245">
        <f t="shared" si="143"/>
        <v>0</v>
      </c>
      <c r="V925" s="247"/>
    </row>
    <row r="926" spans="1:22" ht="15.75" x14ac:dyDescent="0.25">
      <c r="A926" s="236"/>
      <c r="B926" s="237"/>
      <c r="C926" s="238"/>
      <c r="D926" s="239"/>
      <c r="E926" s="240"/>
      <c r="F926" s="240"/>
      <c r="G926" s="240"/>
      <c r="H926" s="241">
        <f t="shared" si="138"/>
        <v>0</v>
      </c>
      <c r="I926" s="242"/>
      <c r="J926" s="243"/>
      <c r="K926" s="243"/>
      <c r="L926" s="244">
        <v>0.1</v>
      </c>
      <c r="M926" s="244">
        <f t="shared" si="139"/>
        <v>0</v>
      </c>
      <c r="N926" s="244"/>
      <c r="O926" s="244"/>
      <c r="P926" s="244"/>
      <c r="Q926" s="245">
        <f t="shared" si="140"/>
        <v>0</v>
      </c>
      <c r="R926" s="245">
        <f t="shared" si="141"/>
        <v>0</v>
      </c>
      <c r="S926" s="246">
        <v>0.5</v>
      </c>
      <c r="T926" s="245">
        <f t="shared" si="142"/>
        <v>0</v>
      </c>
      <c r="U926" s="245">
        <f t="shared" si="143"/>
        <v>0</v>
      </c>
      <c r="V926" s="247"/>
    </row>
    <row r="927" spans="1:22" ht="15.75" x14ac:dyDescent="0.25">
      <c r="A927" s="236"/>
      <c r="B927" s="237"/>
      <c r="C927" s="238"/>
      <c r="D927" s="239"/>
      <c r="E927" s="240"/>
      <c r="F927" s="240"/>
      <c r="G927" s="240"/>
      <c r="H927" s="241">
        <f t="shared" si="138"/>
        <v>0</v>
      </c>
      <c r="I927" s="242"/>
      <c r="J927" s="243"/>
      <c r="K927" s="243"/>
      <c r="L927" s="244">
        <v>0.1</v>
      </c>
      <c r="M927" s="244">
        <f t="shared" si="139"/>
        <v>0</v>
      </c>
      <c r="N927" s="244"/>
      <c r="O927" s="244"/>
      <c r="P927" s="244"/>
      <c r="Q927" s="245">
        <f t="shared" si="140"/>
        <v>0</v>
      </c>
      <c r="R927" s="245">
        <f t="shared" si="141"/>
        <v>0</v>
      </c>
      <c r="S927" s="246">
        <v>0.5</v>
      </c>
      <c r="T927" s="245">
        <f t="shared" si="142"/>
        <v>0</v>
      </c>
      <c r="U927" s="245">
        <f t="shared" si="143"/>
        <v>0</v>
      </c>
      <c r="V927" s="247"/>
    </row>
    <row r="928" spans="1:22" ht="15.75" x14ac:dyDescent="0.25">
      <c r="A928" s="236"/>
      <c r="B928" s="237"/>
      <c r="C928" s="238"/>
      <c r="D928" s="239"/>
      <c r="E928" s="240"/>
      <c r="F928" s="240"/>
      <c r="G928" s="240"/>
      <c r="H928" s="241">
        <f t="shared" si="138"/>
        <v>0</v>
      </c>
      <c r="I928" s="242"/>
      <c r="J928" s="243"/>
      <c r="K928" s="243"/>
      <c r="L928" s="244">
        <v>0.1</v>
      </c>
      <c r="M928" s="244">
        <f t="shared" si="139"/>
        <v>0</v>
      </c>
      <c r="N928" s="244"/>
      <c r="O928" s="244"/>
      <c r="P928" s="244"/>
      <c r="Q928" s="245">
        <f t="shared" si="140"/>
        <v>0</v>
      </c>
      <c r="R928" s="245">
        <f t="shared" si="141"/>
        <v>0</v>
      </c>
      <c r="S928" s="246">
        <v>0.5</v>
      </c>
      <c r="T928" s="245">
        <f t="shared" si="142"/>
        <v>0</v>
      </c>
      <c r="U928" s="245">
        <f t="shared" si="143"/>
        <v>0</v>
      </c>
      <c r="V928" s="247"/>
    </row>
    <row r="929" spans="1:22" ht="15.75" x14ac:dyDescent="0.25">
      <c r="A929" s="236"/>
      <c r="B929" s="237"/>
      <c r="C929" s="238"/>
      <c r="D929" s="239"/>
      <c r="E929" s="240"/>
      <c r="F929" s="240"/>
      <c r="G929" s="240"/>
      <c r="H929" s="241">
        <f t="shared" si="138"/>
        <v>0</v>
      </c>
      <c r="I929" s="242"/>
      <c r="J929" s="243"/>
      <c r="K929" s="243"/>
      <c r="L929" s="244">
        <v>0.1</v>
      </c>
      <c r="M929" s="244">
        <f t="shared" si="139"/>
        <v>0</v>
      </c>
      <c r="N929" s="244"/>
      <c r="O929" s="244"/>
      <c r="P929" s="244"/>
      <c r="Q929" s="245">
        <f t="shared" si="140"/>
        <v>0</v>
      </c>
      <c r="R929" s="245">
        <f t="shared" si="141"/>
        <v>0</v>
      </c>
      <c r="S929" s="246">
        <v>0.5</v>
      </c>
      <c r="T929" s="245">
        <f t="shared" si="142"/>
        <v>0</v>
      </c>
      <c r="U929" s="245">
        <f t="shared" si="143"/>
        <v>0</v>
      </c>
      <c r="V929" s="247"/>
    </row>
    <row r="930" spans="1:22" ht="15.75" x14ac:dyDescent="0.25">
      <c r="A930" s="236"/>
      <c r="B930" s="237"/>
      <c r="C930" s="238"/>
      <c r="D930" s="239"/>
      <c r="E930" s="240"/>
      <c r="F930" s="240"/>
      <c r="G930" s="240"/>
      <c r="H930" s="241">
        <f t="shared" ref="H930:H993" si="144">+E930+F930+G930</f>
        <v>0</v>
      </c>
      <c r="I930" s="242"/>
      <c r="J930" s="243"/>
      <c r="K930" s="243"/>
      <c r="L930" s="244">
        <v>0.1</v>
      </c>
      <c r="M930" s="244">
        <f t="shared" ref="M930:M993" si="145">+L930*C930</f>
        <v>0</v>
      </c>
      <c r="N930" s="244"/>
      <c r="O930" s="244"/>
      <c r="P930" s="244"/>
      <c r="Q930" s="245">
        <f t="shared" ref="Q930:Q993" si="146">+N930+O930+P930</f>
        <v>0</v>
      </c>
      <c r="R930" s="245">
        <f t="shared" ref="R930:R993" si="147">IF(+Q930-H930&lt;=0,0,Q930-H930)</f>
        <v>0</v>
      </c>
      <c r="S930" s="246">
        <v>0.5</v>
      </c>
      <c r="T930" s="245">
        <f t="shared" ref="T930:T993" si="148">+(R930*C930)*S930</f>
        <v>0</v>
      </c>
      <c r="U930" s="245">
        <f t="shared" ref="U930:U993" si="149">+J930+M930+T930</f>
        <v>0</v>
      </c>
      <c r="V930" s="247"/>
    </row>
    <row r="931" spans="1:22" ht="15.75" x14ac:dyDescent="0.25">
      <c r="A931" s="236"/>
      <c r="B931" s="237"/>
      <c r="C931" s="238"/>
      <c r="D931" s="239"/>
      <c r="E931" s="240"/>
      <c r="F931" s="240"/>
      <c r="G931" s="240"/>
      <c r="H931" s="241">
        <f t="shared" si="144"/>
        <v>0</v>
      </c>
      <c r="I931" s="242"/>
      <c r="J931" s="243"/>
      <c r="K931" s="243"/>
      <c r="L931" s="244">
        <v>0.1</v>
      </c>
      <c r="M931" s="244">
        <f t="shared" si="145"/>
        <v>0</v>
      </c>
      <c r="N931" s="244"/>
      <c r="O931" s="244"/>
      <c r="P931" s="244"/>
      <c r="Q931" s="245">
        <f t="shared" si="146"/>
        <v>0</v>
      </c>
      <c r="R931" s="245">
        <f t="shared" si="147"/>
        <v>0</v>
      </c>
      <c r="S931" s="246">
        <v>0.5</v>
      </c>
      <c r="T931" s="245">
        <f t="shared" si="148"/>
        <v>0</v>
      </c>
      <c r="U931" s="245">
        <f t="shared" si="149"/>
        <v>0</v>
      </c>
      <c r="V931" s="247"/>
    </row>
    <row r="932" spans="1:22" ht="15.75" x14ac:dyDescent="0.25">
      <c r="A932" s="236"/>
      <c r="B932" s="237"/>
      <c r="C932" s="238"/>
      <c r="D932" s="239"/>
      <c r="E932" s="240"/>
      <c r="F932" s="240"/>
      <c r="G932" s="240"/>
      <c r="H932" s="241">
        <f t="shared" si="144"/>
        <v>0</v>
      </c>
      <c r="I932" s="242"/>
      <c r="J932" s="243"/>
      <c r="K932" s="243"/>
      <c r="L932" s="244">
        <v>0.1</v>
      </c>
      <c r="M932" s="244">
        <f t="shared" si="145"/>
        <v>0</v>
      </c>
      <c r="N932" s="244"/>
      <c r="O932" s="244"/>
      <c r="P932" s="244"/>
      <c r="Q932" s="245">
        <f t="shared" si="146"/>
        <v>0</v>
      </c>
      <c r="R932" s="245">
        <f t="shared" si="147"/>
        <v>0</v>
      </c>
      <c r="S932" s="246">
        <v>0.5</v>
      </c>
      <c r="T932" s="245">
        <f t="shared" si="148"/>
        <v>0</v>
      </c>
      <c r="U932" s="245">
        <f t="shared" si="149"/>
        <v>0</v>
      </c>
      <c r="V932" s="247"/>
    </row>
    <row r="933" spans="1:22" ht="15.75" x14ac:dyDescent="0.25">
      <c r="A933" s="236"/>
      <c r="B933" s="237"/>
      <c r="C933" s="238"/>
      <c r="D933" s="239"/>
      <c r="E933" s="240"/>
      <c r="F933" s="240"/>
      <c r="G933" s="240"/>
      <c r="H933" s="241">
        <f t="shared" si="144"/>
        <v>0</v>
      </c>
      <c r="I933" s="242"/>
      <c r="J933" s="243"/>
      <c r="K933" s="243"/>
      <c r="L933" s="244">
        <v>0.1</v>
      </c>
      <c r="M933" s="244">
        <f t="shared" si="145"/>
        <v>0</v>
      </c>
      <c r="N933" s="244"/>
      <c r="O933" s="244"/>
      <c r="P933" s="244"/>
      <c r="Q933" s="245">
        <f t="shared" si="146"/>
        <v>0</v>
      </c>
      <c r="R933" s="245">
        <f t="shared" si="147"/>
        <v>0</v>
      </c>
      <c r="S933" s="246">
        <v>0.5</v>
      </c>
      <c r="T933" s="245">
        <f t="shared" si="148"/>
        <v>0</v>
      </c>
      <c r="U933" s="245">
        <f t="shared" si="149"/>
        <v>0</v>
      </c>
      <c r="V933" s="247"/>
    </row>
    <row r="934" spans="1:22" ht="15.75" x14ac:dyDescent="0.25">
      <c r="A934" s="236"/>
      <c r="B934" s="237"/>
      <c r="C934" s="238"/>
      <c r="D934" s="239"/>
      <c r="E934" s="240"/>
      <c r="F934" s="240"/>
      <c r="G934" s="240"/>
      <c r="H934" s="241">
        <f t="shared" si="144"/>
        <v>0</v>
      </c>
      <c r="I934" s="242"/>
      <c r="J934" s="243"/>
      <c r="K934" s="243"/>
      <c r="L934" s="244">
        <v>0.1</v>
      </c>
      <c r="M934" s="244">
        <f t="shared" si="145"/>
        <v>0</v>
      </c>
      <c r="N934" s="244"/>
      <c r="O934" s="244"/>
      <c r="P934" s="244"/>
      <c r="Q934" s="245">
        <f t="shared" si="146"/>
        <v>0</v>
      </c>
      <c r="R934" s="245">
        <f t="shared" si="147"/>
        <v>0</v>
      </c>
      <c r="S934" s="246">
        <v>0.5</v>
      </c>
      <c r="T934" s="245">
        <f t="shared" si="148"/>
        <v>0</v>
      </c>
      <c r="U934" s="245">
        <f t="shared" si="149"/>
        <v>0</v>
      </c>
      <c r="V934" s="247"/>
    </row>
    <row r="935" spans="1:22" ht="15.75" x14ac:dyDescent="0.25">
      <c r="A935" s="236"/>
      <c r="B935" s="237"/>
      <c r="C935" s="238"/>
      <c r="D935" s="239"/>
      <c r="E935" s="240"/>
      <c r="F935" s="240"/>
      <c r="G935" s="240"/>
      <c r="H935" s="241">
        <f t="shared" si="144"/>
        <v>0</v>
      </c>
      <c r="I935" s="242"/>
      <c r="J935" s="243"/>
      <c r="K935" s="243"/>
      <c r="L935" s="244">
        <v>0.1</v>
      </c>
      <c r="M935" s="244">
        <f t="shared" si="145"/>
        <v>0</v>
      </c>
      <c r="N935" s="244"/>
      <c r="O935" s="244"/>
      <c r="P935" s="244"/>
      <c r="Q935" s="245">
        <f t="shared" si="146"/>
        <v>0</v>
      </c>
      <c r="R935" s="245">
        <f t="shared" si="147"/>
        <v>0</v>
      </c>
      <c r="S935" s="246">
        <v>0.5</v>
      </c>
      <c r="T935" s="245">
        <f t="shared" si="148"/>
        <v>0</v>
      </c>
      <c r="U935" s="245">
        <f t="shared" si="149"/>
        <v>0</v>
      </c>
      <c r="V935" s="247"/>
    </row>
    <row r="936" spans="1:22" ht="15.75" x14ac:dyDescent="0.25">
      <c r="A936" s="236"/>
      <c r="B936" s="237"/>
      <c r="C936" s="238"/>
      <c r="D936" s="239"/>
      <c r="E936" s="240"/>
      <c r="F936" s="240"/>
      <c r="G936" s="240"/>
      <c r="H936" s="241">
        <f t="shared" si="144"/>
        <v>0</v>
      </c>
      <c r="I936" s="242"/>
      <c r="J936" s="243"/>
      <c r="K936" s="243"/>
      <c r="L936" s="244">
        <v>0.1</v>
      </c>
      <c r="M936" s="244">
        <f t="shared" si="145"/>
        <v>0</v>
      </c>
      <c r="N936" s="244"/>
      <c r="O936" s="244"/>
      <c r="P936" s="244"/>
      <c r="Q936" s="245">
        <f t="shared" si="146"/>
        <v>0</v>
      </c>
      <c r="R936" s="245">
        <f t="shared" si="147"/>
        <v>0</v>
      </c>
      <c r="S936" s="246">
        <v>0.5</v>
      </c>
      <c r="T936" s="245">
        <f t="shared" si="148"/>
        <v>0</v>
      </c>
      <c r="U936" s="245">
        <f t="shared" si="149"/>
        <v>0</v>
      </c>
      <c r="V936" s="247"/>
    </row>
    <row r="937" spans="1:22" ht="15.75" x14ac:dyDescent="0.25">
      <c r="A937" s="236"/>
      <c r="B937" s="237"/>
      <c r="C937" s="238"/>
      <c r="D937" s="239"/>
      <c r="E937" s="240"/>
      <c r="F937" s="240"/>
      <c r="G937" s="240"/>
      <c r="H937" s="241">
        <f t="shared" si="144"/>
        <v>0</v>
      </c>
      <c r="I937" s="242"/>
      <c r="J937" s="243"/>
      <c r="K937" s="243"/>
      <c r="L937" s="244">
        <v>0.1</v>
      </c>
      <c r="M937" s="244">
        <f t="shared" si="145"/>
        <v>0</v>
      </c>
      <c r="N937" s="244"/>
      <c r="O937" s="244"/>
      <c r="P937" s="244"/>
      <c r="Q937" s="245">
        <f t="shared" si="146"/>
        <v>0</v>
      </c>
      <c r="R937" s="245">
        <f t="shared" si="147"/>
        <v>0</v>
      </c>
      <c r="S937" s="246">
        <v>0.5</v>
      </c>
      <c r="T937" s="245">
        <f t="shared" si="148"/>
        <v>0</v>
      </c>
      <c r="U937" s="245">
        <f t="shared" si="149"/>
        <v>0</v>
      </c>
      <c r="V937" s="247"/>
    </row>
    <row r="938" spans="1:22" ht="15.75" x14ac:dyDescent="0.25">
      <c r="A938" s="236"/>
      <c r="B938" s="237"/>
      <c r="C938" s="238"/>
      <c r="D938" s="239"/>
      <c r="E938" s="240"/>
      <c r="F938" s="240"/>
      <c r="G938" s="240"/>
      <c r="H938" s="241">
        <f t="shared" si="144"/>
        <v>0</v>
      </c>
      <c r="I938" s="242"/>
      <c r="J938" s="243"/>
      <c r="K938" s="243"/>
      <c r="L938" s="244">
        <v>0.1</v>
      </c>
      <c r="M938" s="244">
        <f t="shared" si="145"/>
        <v>0</v>
      </c>
      <c r="N938" s="244"/>
      <c r="O938" s="244"/>
      <c r="P938" s="244"/>
      <c r="Q938" s="245">
        <f t="shared" si="146"/>
        <v>0</v>
      </c>
      <c r="R938" s="245">
        <f t="shared" si="147"/>
        <v>0</v>
      </c>
      <c r="S938" s="246">
        <v>0.5</v>
      </c>
      <c r="T938" s="245">
        <f t="shared" si="148"/>
        <v>0</v>
      </c>
      <c r="U938" s="245">
        <f t="shared" si="149"/>
        <v>0</v>
      </c>
      <c r="V938" s="247"/>
    </row>
    <row r="939" spans="1:22" ht="15.75" x14ac:dyDescent="0.25">
      <c r="A939" s="236"/>
      <c r="B939" s="237"/>
      <c r="C939" s="238"/>
      <c r="D939" s="239"/>
      <c r="E939" s="240"/>
      <c r="F939" s="240"/>
      <c r="G939" s="240"/>
      <c r="H939" s="241">
        <f t="shared" si="144"/>
        <v>0</v>
      </c>
      <c r="I939" s="242"/>
      <c r="J939" s="243"/>
      <c r="K939" s="243"/>
      <c r="L939" s="244">
        <v>0.1</v>
      </c>
      <c r="M939" s="244">
        <f t="shared" si="145"/>
        <v>0</v>
      </c>
      <c r="N939" s="244"/>
      <c r="O939" s="244"/>
      <c r="P939" s="244"/>
      <c r="Q939" s="245">
        <f t="shared" si="146"/>
        <v>0</v>
      </c>
      <c r="R939" s="245">
        <f t="shared" si="147"/>
        <v>0</v>
      </c>
      <c r="S939" s="246">
        <v>0.5</v>
      </c>
      <c r="T939" s="245">
        <f t="shared" si="148"/>
        <v>0</v>
      </c>
      <c r="U939" s="245">
        <f t="shared" si="149"/>
        <v>0</v>
      </c>
      <c r="V939" s="247"/>
    </row>
    <row r="940" spans="1:22" ht="15.75" x14ac:dyDescent="0.25">
      <c r="A940" s="236"/>
      <c r="B940" s="237"/>
      <c r="C940" s="238"/>
      <c r="D940" s="239"/>
      <c r="E940" s="240"/>
      <c r="F940" s="240"/>
      <c r="G940" s="240"/>
      <c r="H940" s="241">
        <f t="shared" si="144"/>
        <v>0</v>
      </c>
      <c r="I940" s="242"/>
      <c r="J940" s="243"/>
      <c r="K940" s="243"/>
      <c r="L940" s="244">
        <v>0.1</v>
      </c>
      <c r="M940" s="244">
        <f t="shared" si="145"/>
        <v>0</v>
      </c>
      <c r="N940" s="244"/>
      <c r="O940" s="244"/>
      <c r="P940" s="244"/>
      <c r="Q940" s="245">
        <f t="shared" si="146"/>
        <v>0</v>
      </c>
      <c r="R940" s="245">
        <f t="shared" si="147"/>
        <v>0</v>
      </c>
      <c r="S940" s="246">
        <v>0.5</v>
      </c>
      <c r="T940" s="245">
        <f t="shared" si="148"/>
        <v>0</v>
      </c>
      <c r="U940" s="245">
        <f t="shared" si="149"/>
        <v>0</v>
      </c>
      <c r="V940" s="247"/>
    </row>
    <row r="941" spans="1:22" ht="15.75" x14ac:dyDescent="0.25">
      <c r="A941" s="236"/>
      <c r="B941" s="237"/>
      <c r="C941" s="238"/>
      <c r="D941" s="239"/>
      <c r="E941" s="240"/>
      <c r="F941" s="240"/>
      <c r="G941" s="240"/>
      <c r="H941" s="241">
        <f t="shared" si="144"/>
        <v>0</v>
      </c>
      <c r="I941" s="242"/>
      <c r="J941" s="243"/>
      <c r="K941" s="243"/>
      <c r="L941" s="244">
        <v>0.1</v>
      </c>
      <c r="M941" s="244">
        <f t="shared" si="145"/>
        <v>0</v>
      </c>
      <c r="N941" s="244"/>
      <c r="O941" s="244"/>
      <c r="P941" s="244"/>
      <c r="Q941" s="245">
        <f t="shared" si="146"/>
        <v>0</v>
      </c>
      <c r="R941" s="245">
        <f t="shared" si="147"/>
        <v>0</v>
      </c>
      <c r="S941" s="246">
        <v>0.5</v>
      </c>
      <c r="T941" s="245">
        <f t="shared" si="148"/>
        <v>0</v>
      </c>
      <c r="U941" s="245">
        <f t="shared" si="149"/>
        <v>0</v>
      </c>
      <c r="V941" s="247"/>
    </row>
    <row r="942" spans="1:22" ht="15.75" x14ac:dyDescent="0.25">
      <c r="A942" s="236"/>
      <c r="B942" s="237"/>
      <c r="C942" s="238"/>
      <c r="D942" s="239"/>
      <c r="E942" s="240"/>
      <c r="F942" s="240"/>
      <c r="G942" s="240"/>
      <c r="H942" s="241">
        <f t="shared" si="144"/>
        <v>0</v>
      </c>
      <c r="I942" s="242"/>
      <c r="J942" s="243"/>
      <c r="K942" s="243"/>
      <c r="L942" s="244">
        <v>0.1</v>
      </c>
      <c r="M942" s="244">
        <f t="shared" si="145"/>
        <v>0</v>
      </c>
      <c r="N942" s="244"/>
      <c r="O942" s="244"/>
      <c r="P942" s="244"/>
      <c r="Q942" s="245">
        <f t="shared" si="146"/>
        <v>0</v>
      </c>
      <c r="R942" s="245">
        <f t="shared" si="147"/>
        <v>0</v>
      </c>
      <c r="S942" s="246">
        <v>0.5</v>
      </c>
      <c r="T942" s="245">
        <f t="shared" si="148"/>
        <v>0</v>
      </c>
      <c r="U942" s="245">
        <f t="shared" si="149"/>
        <v>0</v>
      </c>
      <c r="V942" s="247"/>
    </row>
    <row r="943" spans="1:22" ht="15.75" x14ac:dyDescent="0.25">
      <c r="A943" s="236"/>
      <c r="B943" s="237"/>
      <c r="C943" s="238"/>
      <c r="D943" s="239"/>
      <c r="E943" s="240"/>
      <c r="F943" s="240"/>
      <c r="G943" s="240"/>
      <c r="H943" s="241">
        <f t="shared" si="144"/>
        <v>0</v>
      </c>
      <c r="I943" s="242"/>
      <c r="J943" s="243"/>
      <c r="K943" s="243"/>
      <c r="L943" s="244">
        <v>0.1</v>
      </c>
      <c r="M943" s="244">
        <f t="shared" si="145"/>
        <v>0</v>
      </c>
      <c r="N943" s="244"/>
      <c r="O943" s="244"/>
      <c r="P943" s="244"/>
      <c r="Q943" s="245">
        <f t="shared" si="146"/>
        <v>0</v>
      </c>
      <c r="R943" s="245">
        <f t="shared" si="147"/>
        <v>0</v>
      </c>
      <c r="S943" s="246">
        <v>0.5</v>
      </c>
      <c r="T943" s="245">
        <f t="shared" si="148"/>
        <v>0</v>
      </c>
      <c r="U943" s="245">
        <f t="shared" si="149"/>
        <v>0</v>
      </c>
      <c r="V943" s="247"/>
    </row>
    <row r="944" spans="1:22" ht="15.75" x14ac:dyDescent="0.25">
      <c r="A944" s="236"/>
      <c r="B944" s="237"/>
      <c r="C944" s="238"/>
      <c r="D944" s="239"/>
      <c r="E944" s="240"/>
      <c r="F944" s="240"/>
      <c r="G944" s="240"/>
      <c r="H944" s="241">
        <f t="shared" si="144"/>
        <v>0</v>
      </c>
      <c r="I944" s="242"/>
      <c r="J944" s="243"/>
      <c r="K944" s="243"/>
      <c r="L944" s="244">
        <v>0.1</v>
      </c>
      <c r="M944" s="244">
        <f t="shared" si="145"/>
        <v>0</v>
      </c>
      <c r="N944" s="244"/>
      <c r="O944" s="244"/>
      <c r="P944" s="244"/>
      <c r="Q944" s="245">
        <f t="shared" si="146"/>
        <v>0</v>
      </c>
      <c r="R944" s="245">
        <f t="shared" si="147"/>
        <v>0</v>
      </c>
      <c r="S944" s="246">
        <v>0.5</v>
      </c>
      <c r="T944" s="245">
        <f t="shared" si="148"/>
        <v>0</v>
      </c>
      <c r="U944" s="245">
        <f t="shared" si="149"/>
        <v>0</v>
      </c>
      <c r="V944" s="247"/>
    </row>
    <row r="945" spans="1:22" ht="15.75" x14ac:dyDescent="0.25">
      <c r="A945" s="236"/>
      <c r="B945" s="237"/>
      <c r="C945" s="238"/>
      <c r="D945" s="239"/>
      <c r="E945" s="240"/>
      <c r="F945" s="240"/>
      <c r="G945" s="240"/>
      <c r="H945" s="241">
        <f t="shared" si="144"/>
        <v>0</v>
      </c>
      <c r="I945" s="242"/>
      <c r="J945" s="243"/>
      <c r="K945" s="243"/>
      <c r="L945" s="244">
        <v>0.1</v>
      </c>
      <c r="M945" s="244">
        <f t="shared" si="145"/>
        <v>0</v>
      </c>
      <c r="N945" s="244"/>
      <c r="O945" s="244"/>
      <c r="P945" s="244"/>
      <c r="Q945" s="245">
        <f t="shared" si="146"/>
        <v>0</v>
      </c>
      <c r="R945" s="245">
        <f t="shared" si="147"/>
        <v>0</v>
      </c>
      <c r="S945" s="246">
        <v>0.5</v>
      </c>
      <c r="T945" s="245">
        <f t="shared" si="148"/>
        <v>0</v>
      </c>
      <c r="U945" s="245">
        <f t="shared" si="149"/>
        <v>0</v>
      </c>
      <c r="V945" s="247"/>
    </row>
    <row r="946" spans="1:22" ht="15.75" x14ac:dyDescent="0.25">
      <c r="A946" s="236"/>
      <c r="B946" s="237"/>
      <c r="C946" s="238"/>
      <c r="D946" s="239"/>
      <c r="E946" s="240"/>
      <c r="F946" s="240"/>
      <c r="G946" s="240"/>
      <c r="H946" s="241">
        <f t="shared" si="144"/>
        <v>0</v>
      </c>
      <c r="I946" s="242"/>
      <c r="J946" s="243"/>
      <c r="K946" s="243"/>
      <c r="L946" s="244">
        <v>0.1</v>
      </c>
      <c r="M946" s="244">
        <f t="shared" si="145"/>
        <v>0</v>
      </c>
      <c r="N946" s="244"/>
      <c r="O946" s="244"/>
      <c r="P946" s="244"/>
      <c r="Q946" s="245">
        <f t="shared" si="146"/>
        <v>0</v>
      </c>
      <c r="R946" s="245">
        <f t="shared" si="147"/>
        <v>0</v>
      </c>
      <c r="S946" s="246">
        <v>0.5</v>
      </c>
      <c r="T946" s="245">
        <f t="shared" si="148"/>
        <v>0</v>
      </c>
      <c r="U946" s="245">
        <f t="shared" si="149"/>
        <v>0</v>
      </c>
      <c r="V946" s="247"/>
    </row>
    <row r="947" spans="1:22" ht="15.75" x14ac:dyDescent="0.25">
      <c r="A947" s="236"/>
      <c r="B947" s="237"/>
      <c r="C947" s="238"/>
      <c r="D947" s="239"/>
      <c r="E947" s="240"/>
      <c r="F947" s="240"/>
      <c r="G947" s="240"/>
      <c r="H947" s="241">
        <f t="shared" si="144"/>
        <v>0</v>
      </c>
      <c r="I947" s="242"/>
      <c r="J947" s="243"/>
      <c r="K947" s="243"/>
      <c r="L947" s="244">
        <v>0.1</v>
      </c>
      <c r="M947" s="244">
        <f t="shared" si="145"/>
        <v>0</v>
      </c>
      <c r="N947" s="244"/>
      <c r="O947" s="244"/>
      <c r="P947" s="244"/>
      <c r="Q947" s="245">
        <f t="shared" si="146"/>
        <v>0</v>
      </c>
      <c r="R947" s="245">
        <f t="shared" si="147"/>
        <v>0</v>
      </c>
      <c r="S947" s="246">
        <v>0.5</v>
      </c>
      <c r="T947" s="245">
        <f t="shared" si="148"/>
        <v>0</v>
      </c>
      <c r="U947" s="245">
        <f t="shared" si="149"/>
        <v>0</v>
      </c>
      <c r="V947" s="247"/>
    </row>
    <row r="948" spans="1:22" ht="15.75" x14ac:dyDescent="0.25">
      <c r="A948" s="236"/>
      <c r="B948" s="237"/>
      <c r="C948" s="238"/>
      <c r="D948" s="239"/>
      <c r="E948" s="240"/>
      <c r="F948" s="240"/>
      <c r="G948" s="240"/>
      <c r="H948" s="241">
        <f t="shared" si="144"/>
        <v>0</v>
      </c>
      <c r="I948" s="242"/>
      <c r="J948" s="243"/>
      <c r="K948" s="243"/>
      <c r="L948" s="244">
        <v>0.1</v>
      </c>
      <c r="M948" s="244">
        <f t="shared" si="145"/>
        <v>0</v>
      </c>
      <c r="N948" s="244"/>
      <c r="O948" s="244"/>
      <c r="P948" s="244"/>
      <c r="Q948" s="245">
        <f t="shared" si="146"/>
        <v>0</v>
      </c>
      <c r="R948" s="245">
        <f t="shared" si="147"/>
        <v>0</v>
      </c>
      <c r="S948" s="246">
        <v>0.5</v>
      </c>
      <c r="T948" s="245">
        <f t="shared" si="148"/>
        <v>0</v>
      </c>
      <c r="U948" s="245">
        <f t="shared" si="149"/>
        <v>0</v>
      </c>
      <c r="V948" s="247"/>
    </row>
    <row r="949" spans="1:22" ht="15.75" x14ac:dyDescent="0.25">
      <c r="A949" s="236"/>
      <c r="B949" s="237"/>
      <c r="C949" s="238"/>
      <c r="D949" s="239"/>
      <c r="E949" s="240"/>
      <c r="F949" s="240"/>
      <c r="G949" s="240"/>
      <c r="H949" s="241">
        <f t="shared" si="144"/>
        <v>0</v>
      </c>
      <c r="I949" s="242"/>
      <c r="J949" s="243"/>
      <c r="K949" s="243"/>
      <c r="L949" s="244">
        <v>0.1</v>
      </c>
      <c r="M949" s="244">
        <f t="shared" si="145"/>
        <v>0</v>
      </c>
      <c r="N949" s="244"/>
      <c r="O949" s="244"/>
      <c r="P949" s="244"/>
      <c r="Q949" s="245">
        <f t="shared" si="146"/>
        <v>0</v>
      </c>
      <c r="R949" s="245">
        <f t="shared" si="147"/>
        <v>0</v>
      </c>
      <c r="S949" s="246">
        <v>0.5</v>
      </c>
      <c r="T949" s="245">
        <f t="shared" si="148"/>
        <v>0</v>
      </c>
      <c r="U949" s="245">
        <f t="shared" si="149"/>
        <v>0</v>
      </c>
      <c r="V949" s="247"/>
    </row>
    <row r="950" spans="1:22" ht="15.75" x14ac:dyDescent="0.25">
      <c r="A950" s="236"/>
      <c r="B950" s="237"/>
      <c r="C950" s="238"/>
      <c r="D950" s="239"/>
      <c r="E950" s="240"/>
      <c r="F950" s="240"/>
      <c r="G950" s="240"/>
      <c r="H950" s="241">
        <f t="shared" si="144"/>
        <v>0</v>
      </c>
      <c r="I950" s="242"/>
      <c r="J950" s="243"/>
      <c r="K950" s="243"/>
      <c r="L950" s="244">
        <v>0.1</v>
      </c>
      <c r="M950" s="244">
        <f t="shared" si="145"/>
        <v>0</v>
      </c>
      <c r="N950" s="244"/>
      <c r="O950" s="244"/>
      <c r="P950" s="244"/>
      <c r="Q950" s="245">
        <f t="shared" si="146"/>
        <v>0</v>
      </c>
      <c r="R950" s="245">
        <f t="shared" si="147"/>
        <v>0</v>
      </c>
      <c r="S950" s="246">
        <v>0.5</v>
      </c>
      <c r="T950" s="245">
        <f t="shared" si="148"/>
        <v>0</v>
      </c>
      <c r="U950" s="245">
        <f t="shared" si="149"/>
        <v>0</v>
      </c>
      <c r="V950" s="247"/>
    </row>
    <row r="951" spans="1:22" ht="15.75" x14ac:dyDescent="0.25">
      <c r="A951" s="236"/>
      <c r="B951" s="237"/>
      <c r="C951" s="238"/>
      <c r="D951" s="239"/>
      <c r="E951" s="240"/>
      <c r="F951" s="240"/>
      <c r="G951" s="240"/>
      <c r="H951" s="241">
        <f t="shared" si="144"/>
        <v>0</v>
      </c>
      <c r="I951" s="242"/>
      <c r="J951" s="243"/>
      <c r="K951" s="243"/>
      <c r="L951" s="244">
        <v>0.1</v>
      </c>
      <c r="M951" s="244">
        <f t="shared" si="145"/>
        <v>0</v>
      </c>
      <c r="N951" s="244"/>
      <c r="O951" s="244"/>
      <c r="P951" s="244"/>
      <c r="Q951" s="245">
        <f t="shared" si="146"/>
        <v>0</v>
      </c>
      <c r="R951" s="245">
        <f t="shared" si="147"/>
        <v>0</v>
      </c>
      <c r="S951" s="246">
        <v>0.5</v>
      </c>
      <c r="T951" s="245">
        <f t="shared" si="148"/>
        <v>0</v>
      </c>
      <c r="U951" s="245">
        <f t="shared" si="149"/>
        <v>0</v>
      </c>
      <c r="V951" s="247"/>
    </row>
    <row r="952" spans="1:22" ht="15.75" x14ac:dyDescent="0.25">
      <c r="A952" s="236"/>
      <c r="B952" s="237"/>
      <c r="C952" s="238"/>
      <c r="D952" s="239"/>
      <c r="E952" s="240"/>
      <c r="F952" s="240"/>
      <c r="G952" s="240"/>
      <c r="H952" s="241">
        <f t="shared" si="144"/>
        <v>0</v>
      </c>
      <c r="I952" s="242"/>
      <c r="J952" s="243"/>
      <c r="K952" s="243"/>
      <c r="L952" s="244">
        <v>0.1</v>
      </c>
      <c r="M952" s="244">
        <f t="shared" si="145"/>
        <v>0</v>
      </c>
      <c r="N952" s="244"/>
      <c r="O952" s="244"/>
      <c r="P952" s="244"/>
      <c r="Q952" s="245">
        <f t="shared" si="146"/>
        <v>0</v>
      </c>
      <c r="R952" s="245">
        <f t="shared" si="147"/>
        <v>0</v>
      </c>
      <c r="S952" s="246">
        <v>0.5</v>
      </c>
      <c r="T952" s="245">
        <f t="shared" si="148"/>
        <v>0</v>
      </c>
      <c r="U952" s="245">
        <f t="shared" si="149"/>
        <v>0</v>
      </c>
      <c r="V952" s="247"/>
    </row>
    <row r="953" spans="1:22" ht="15.75" x14ac:dyDescent="0.25">
      <c r="A953" s="236"/>
      <c r="B953" s="237"/>
      <c r="C953" s="238"/>
      <c r="D953" s="239"/>
      <c r="E953" s="240"/>
      <c r="F953" s="240"/>
      <c r="G953" s="240"/>
      <c r="H953" s="241">
        <f t="shared" si="144"/>
        <v>0</v>
      </c>
      <c r="I953" s="242"/>
      <c r="J953" s="243"/>
      <c r="K953" s="243"/>
      <c r="L953" s="244">
        <v>0.1</v>
      </c>
      <c r="M953" s="244">
        <f t="shared" si="145"/>
        <v>0</v>
      </c>
      <c r="N953" s="244"/>
      <c r="O953" s="244"/>
      <c r="P953" s="244"/>
      <c r="Q953" s="245">
        <f t="shared" si="146"/>
        <v>0</v>
      </c>
      <c r="R953" s="245">
        <f t="shared" si="147"/>
        <v>0</v>
      </c>
      <c r="S953" s="246">
        <v>0.5</v>
      </c>
      <c r="T953" s="245">
        <f t="shared" si="148"/>
        <v>0</v>
      </c>
      <c r="U953" s="245">
        <f t="shared" si="149"/>
        <v>0</v>
      </c>
      <c r="V953" s="247"/>
    </row>
    <row r="954" spans="1:22" ht="15.75" x14ac:dyDescent="0.25">
      <c r="A954" s="236"/>
      <c r="B954" s="237"/>
      <c r="C954" s="238"/>
      <c r="D954" s="239"/>
      <c r="E954" s="240"/>
      <c r="F954" s="240"/>
      <c r="G954" s="240"/>
      <c r="H954" s="241">
        <f t="shared" si="144"/>
        <v>0</v>
      </c>
      <c r="I954" s="242"/>
      <c r="J954" s="243"/>
      <c r="K954" s="243"/>
      <c r="L954" s="244">
        <v>0.1</v>
      </c>
      <c r="M954" s="244">
        <f t="shared" si="145"/>
        <v>0</v>
      </c>
      <c r="N954" s="244"/>
      <c r="O954" s="244"/>
      <c r="P954" s="244"/>
      <c r="Q954" s="245">
        <f t="shared" si="146"/>
        <v>0</v>
      </c>
      <c r="R954" s="245">
        <f t="shared" si="147"/>
        <v>0</v>
      </c>
      <c r="S954" s="246">
        <v>0.5</v>
      </c>
      <c r="T954" s="245">
        <f t="shared" si="148"/>
        <v>0</v>
      </c>
      <c r="U954" s="245">
        <f t="shared" si="149"/>
        <v>0</v>
      </c>
      <c r="V954" s="247"/>
    </row>
    <row r="955" spans="1:22" ht="15.75" x14ac:dyDescent="0.25">
      <c r="A955" s="236"/>
      <c r="B955" s="237"/>
      <c r="C955" s="238"/>
      <c r="D955" s="239"/>
      <c r="E955" s="240"/>
      <c r="F955" s="240"/>
      <c r="G955" s="240"/>
      <c r="H955" s="241">
        <f t="shared" si="144"/>
        <v>0</v>
      </c>
      <c r="I955" s="242"/>
      <c r="J955" s="243"/>
      <c r="K955" s="243"/>
      <c r="L955" s="244">
        <v>0.1</v>
      </c>
      <c r="M955" s="244">
        <f t="shared" si="145"/>
        <v>0</v>
      </c>
      <c r="N955" s="244"/>
      <c r="O955" s="244"/>
      <c r="P955" s="244"/>
      <c r="Q955" s="245">
        <f t="shared" si="146"/>
        <v>0</v>
      </c>
      <c r="R955" s="245">
        <f t="shared" si="147"/>
        <v>0</v>
      </c>
      <c r="S955" s="246">
        <v>0.5</v>
      </c>
      <c r="T955" s="245">
        <f t="shared" si="148"/>
        <v>0</v>
      </c>
      <c r="U955" s="245">
        <f t="shared" si="149"/>
        <v>0</v>
      </c>
      <c r="V955" s="247"/>
    </row>
    <row r="956" spans="1:22" ht="15.75" x14ac:dyDescent="0.25">
      <c r="A956" s="236"/>
      <c r="B956" s="237"/>
      <c r="C956" s="238"/>
      <c r="D956" s="239"/>
      <c r="E956" s="240"/>
      <c r="F956" s="240"/>
      <c r="G956" s="240"/>
      <c r="H956" s="241">
        <f t="shared" si="144"/>
        <v>0</v>
      </c>
      <c r="I956" s="242"/>
      <c r="J956" s="243"/>
      <c r="K956" s="243"/>
      <c r="L956" s="244">
        <v>0.1</v>
      </c>
      <c r="M956" s="244">
        <f t="shared" si="145"/>
        <v>0</v>
      </c>
      <c r="N956" s="244"/>
      <c r="O956" s="244"/>
      <c r="P956" s="244"/>
      <c r="Q956" s="245">
        <f t="shared" si="146"/>
        <v>0</v>
      </c>
      <c r="R956" s="245">
        <f t="shared" si="147"/>
        <v>0</v>
      </c>
      <c r="S956" s="246">
        <v>0.5</v>
      </c>
      <c r="T956" s="245">
        <f t="shared" si="148"/>
        <v>0</v>
      </c>
      <c r="U956" s="245">
        <f t="shared" si="149"/>
        <v>0</v>
      </c>
      <c r="V956" s="247"/>
    </row>
    <row r="957" spans="1:22" ht="15.75" x14ac:dyDescent="0.25">
      <c r="A957" s="236"/>
      <c r="B957" s="237"/>
      <c r="C957" s="238"/>
      <c r="D957" s="239"/>
      <c r="E957" s="240"/>
      <c r="F957" s="240"/>
      <c r="G957" s="240"/>
      <c r="H957" s="241">
        <f t="shared" si="144"/>
        <v>0</v>
      </c>
      <c r="I957" s="242"/>
      <c r="J957" s="243"/>
      <c r="K957" s="243"/>
      <c r="L957" s="244">
        <v>0.1</v>
      </c>
      <c r="M957" s="244">
        <f t="shared" si="145"/>
        <v>0</v>
      </c>
      <c r="N957" s="244"/>
      <c r="O957" s="244"/>
      <c r="P957" s="244"/>
      <c r="Q957" s="245">
        <f t="shared" si="146"/>
        <v>0</v>
      </c>
      <c r="R957" s="245">
        <f t="shared" si="147"/>
        <v>0</v>
      </c>
      <c r="S957" s="246">
        <v>0.5</v>
      </c>
      <c r="T957" s="245">
        <f t="shared" si="148"/>
        <v>0</v>
      </c>
      <c r="U957" s="245">
        <f t="shared" si="149"/>
        <v>0</v>
      </c>
      <c r="V957" s="247"/>
    </row>
    <row r="958" spans="1:22" ht="15.75" x14ac:dyDescent="0.25">
      <c r="A958" s="236"/>
      <c r="B958" s="237"/>
      <c r="C958" s="238"/>
      <c r="D958" s="239"/>
      <c r="E958" s="240"/>
      <c r="F958" s="240"/>
      <c r="G958" s="240"/>
      <c r="H958" s="241">
        <f t="shared" si="144"/>
        <v>0</v>
      </c>
      <c r="I958" s="242"/>
      <c r="J958" s="243"/>
      <c r="K958" s="243"/>
      <c r="L958" s="244">
        <v>0.1</v>
      </c>
      <c r="M958" s="244">
        <f t="shared" si="145"/>
        <v>0</v>
      </c>
      <c r="N958" s="244"/>
      <c r="O958" s="244"/>
      <c r="P958" s="244"/>
      <c r="Q958" s="245">
        <f t="shared" si="146"/>
        <v>0</v>
      </c>
      <c r="R958" s="245">
        <f t="shared" si="147"/>
        <v>0</v>
      </c>
      <c r="S958" s="246">
        <v>0.5</v>
      </c>
      <c r="T958" s="245">
        <f t="shared" si="148"/>
        <v>0</v>
      </c>
      <c r="U958" s="245">
        <f t="shared" si="149"/>
        <v>0</v>
      </c>
      <c r="V958" s="247"/>
    </row>
    <row r="959" spans="1:22" ht="15.75" x14ac:dyDescent="0.25">
      <c r="A959" s="236"/>
      <c r="B959" s="237"/>
      <c r="C959" s="238"/>
      <c r="D959" s="239"/>
      <c r="E959" s="240"/>
      <c r="F959" s="240"/>
      <c r="G959" s="240"/>
      <c r="H959" s="241">
        <f t="shared" si="144"/>
        <v>0</v>
      </c>
      <c r="I959" s="242"/>
      <c r="J959" s="243"/>
      <c r="K959" s="243"/>
      <c r="L959" s="244">
        <v>0.1</v>
      </c>
      <c r="M959" s="244">
        <f t="shared" si="145"/>
        <v>0</v>
      </c>
      <c r="N959" s="244"/>
      <c r="O959" s="244"/>
      <c r="P959" s="244"/>
      <c r="Q959" s="245">
        <f t="shared" si="146"/>
        <v>0</v>
      </c>
      <c r="R959" s="245">
        <f t="shared" si="147"/>
        <v>0</v>
      </c>
      <c r="S959" s="246">
        <v>0.5</v>
      </c>
      <c r="T959" s="245">
        <f t="shared" si="148"/>
        <v>0</v>
      </c>
      <c r="U959" s="245">
        <f t="shared" si="149"/>
        <v>0</v>
      </c>
      <c r="V959" s="247"/>
    </row>
    <row r="960" spans="1:22" ht="15.75" x14ac:dyDescent="0.25">
      <c r="A960" s="236"/>
      <c r="B960" s="237"/>
      <c r="C960" s="238"/>
      <c r="D960" s="239"/>
      <c r="E960" s="240"/>
      <c r="F960" s="240"/>
      <c r="G960" s="240"/>
      <c r="H960" s="241">
        <f t="shared" si="144"/>
        <v>0</v>
      </c>
      <c r="I960" s="242"/>
      <c r="J960" s="243"/>
      <c r="K960" s="243"/>
      <c r="L960" s="244">
        <v>0.1</v>
      </c>
      <c r="M960" s="244">
        <f t="shared" si="145"/>
        <v>0</v>
      </c>
      <c r="N960" s="244"/>
      <c r="O960" s="244"/>
      <c r="P960" s="244"/>
      <c r="Q960" s="245">
        <f t="shared" si="146"/>
        <v>0</v>
      </c>
      <c r="R960" s="245">
        <f t="shared" si="147"/>
        <v>0</v>
      </c>
      <c r="S960" s="246">
        <v>0.5</v>
      </c>
      <c r="T960" s="245">
        <f t="shared" si="148"/>
        <v>0</v>
      </c>
      <c r="U960" s="245">
        <f t="shared" si="149"/>
        <v>0</v>
      </c>
      <c r="V960" s="247"/>
    </row>
    <row r="961" spans="1:22" ht="15.75" x14ac:dyDescent="0.25">
      <c r="A961" s="236"/>
      <c r="B961" s="237"/>
      <c r="C961" s="238"/>
      <c r="D961" s="239"/>
      <c r="E961" s="240"/>
      <c r="F961" s="240"/>
      <c r="G961" s="240"/>
      <c r="H961" s="241">
        <f t="shared" si="144"/>
        <v>0</v>
      </c>
      <c r="I961" s="242"/>
      <c r="J961" s="243"/>
      <c r="K961" s="243"/>
      <c r="L961" s="244">
        <v>0.1</v>
      </c>
      <c r="M961" s="244">
        <f t="shared" si="145"/>
        <v>0</v>
      </c>
      <c r="N961" s="244"/>
      <c r="O961" s="244"/>
      <c r="P961" s="244"/>
      <c r="Q961" s="245">
        <f t="shared" si="146"/>
        <v>0</v>
      </c>
      <c r="R961" s="245">
        <f t="shared" si="147"/>
        <v>0</v>
      </c>
      <c r="S961" s="246">
        <v>0.5</v>
      </c>
      <c r="T961" s="245">
        <f t="shared" si="148"/>
        <v>0</v>
      </c>
      <c r="U961" s="245">
        <f t="shared" si="149"/>
        <v>0</v>
      </c>
      <c r="V961" s="247"/>
    </row>
    <row r="962" spans="1:22" ht="15.75" x14ac:dyDescent="0.25">
      <c r="A962" s="236"/>
      <c r="B962" s="237"/>
      <c r="C962" s="238"/>
      <c r="D962" s="239"/>
      <c r="E962" s="240"/>
      <c r="F962" s="240"/>
      <c r="G962" s="240"/>
      <c r="H962" s="241">
        <f t="shared" si="144"/>
        <v>0</v>
      </c>
      <c r="I962" s="242"/>
      <c r="J962" s="243"/>
      <c r="K962" s="243"/>
      <c r="L962" s="244">
        <v>0.1</v>
      </c>
      <c r="M962" s="244">
        <f t="shared" si="145"/>
        <v>0</v>
      </c>
      <c r="N962" s="244"/>
      <c r="O962" s="244"/>
      <c r="P962" s="244"/>
      <c r="Q962" s="245">
        <f t="shared" si="146"/>
        <v>0</v>
      </c>
      <c r="R962" s="245">
        <f t="shared" si="147"/>
        <v>0</v>
      </c>
      <c r="S962" s="246">
        <v>0.5</v>
      </c>
      <c r="T962" s="245">
        <f t="shared" si="148"/>
        <v>0</v>
      </c>
      <c r="U962" s="245">
        <f t="shared" si="149"/>
        <v>0</v>
      </c>
      <c r="V962" s="247"/>
    </row>
    <row r="963" spans="1:22" ht="15.75" x14ac:dyDescent="0.25">
      <c r="A963" s="236"/>
      <c r="B963" s="237"/>
      <c r="C963" s="238"/>
      <c r="D963" s="239"/>
      <c r="E963" s="240"/>
      <c r="F963" s="240"/>
      <c r="G963" s="240"/>
      <c r="H963" s="241">
        <f t="shared" si="144"/>
        <v>0</v>
      </c>
      <c r="I963" s="242"/>
      <c r="J963" s="243"/>
      <c r="K963" s="243"/>
      <c r="L963" s="244">
        <v>0.1</v>
      </c>
      <c r="M963" s="244">
        <f t="shared" si="145"/>
        <v>0</v>
      </c>
      <c r="N963" s="244"/>
      <c r="O963" s="244"/>
      <c r="P963" s="244"/>
      <c r="Q963" s="245">
        <f t="shared" si="146"/>
        <v>0</v>
      </c>
      <c r="R963" s="245">
        <f t="shared" si="147"/>
        <v>0</v>
      </c>
      <c r="S963" s="246">
        <v>0.5</v>
      </c>
      <c r="T963" s="245">
        <f t="shared" si="148"/>
        <v>0</v>
      </c>
      <c r="U963" s="245">
        <f t="shared" si="149"/>
        <v>0</v>
      </c>
      <c r="V963" s="247"/>
    </row>
    <row r="964" spans="1:22" ht="15.75" x14ac:dyDescent="0.25">
      <c r="A964" s="236"/>
      <c r="B964" s="237"/>
      <c r="C964" s="238"/>
      <c r="D964" s="239"/>
      <c r="E964" s="240"/>
      <c r="F964" s="240"/>
      <c r="G964" s="240"/>
      <c r="H964" s="241">
        <f t="shared" si="144"/>
        <v>0</v>
      </c>
      <c r="I964" s="242"/>
      <c r="J964" s="243"/>
      <c r="K964" s="243"/>
      <c r="L964" s="244">
        <v>0.1</v>
      </c>
      <c r="M964" s="244">
        <f t="shared" si="145"/>
        <v>0</v>
      </c>
      <c r="N964" s="244"/>
      <c r="O964" s="244"/>
      <c r="P964" s="244"/>
      <c r="Q964" s="245">
        <f t="shared" si="146"/>
        <v>0</v>
      </c>
      <c r="R964" s="245">
        <f t="shared" si="147"/>
        <v>0</v>
      </c>
      <c r="S964" s="246">
        <v>0.5</v>
      </c>
      <c r="T964" s="245">
        <f t="shared" si="148"/>
        <v>0</v>
      </c>
      <c r="U964" s="245">
        <f t="shared" si="149"/>
        <v>0</v>
      </c>
      <c r="V964" s="247"/>
    </row>
    <row r="965" spans="1:22" ht="15.75" x14ac:dyDescent="0.25">
      <c r="A965" s="236"/>
      <c r="B965" s="237"/>
      <c r="C965" s="238"/>
      <c r="D965" s="239"/>
      <c r="E965" s="240"/>
      <c r="F965" s="240"/>
      <c r="G965" s="240"/>
      <c r="H965" s="241">
        <f t="shared" si="144"/>
        <v>0</v>
      </c>
      <c r="I965" s="242"/>
      <c r="J965" s="243"/>
      <c r="K965" s="243"/>
      <c r="L965" s="244">
        <v>0.1</v>
      </c>
      <c r="M965" s="244">
        <f t="shared" si="145"/>
        <v>0</v>
      </c>
      <c r="N965" s="244"/>
      <c r="O965" s="244"/>
      <c r="P965" s="244"/>
      <c r="Q965" s="245">
        <f t="shared" si="146"/>
        <v>0</v>
      </c>
      <c r="R965" s="245">
        <f t="shared" si="147"/>
        <v>0</v>
      </c>
      <c r="S965" s="246">
        <v>0.5</v>
      </c>
      <c r="T965" s="245">
        <f t="shared" si="148"/>
        <v>0</v>
      </c>
      <c r="U965" s="245">
        <f t="shared" si="149"/>
        <v>0</v>
      </c>
      <c r="V965" s="247"/>
    </row>
    <row r="966" spans="1:22" ht="15.75" x14ac:dyDescent="0.25">
      <c r="A966" s="236"/>
      <c r="B966" s="237"/>
      <c r="C966" s="238"/>
      <c r="D966" s="239"/>
      <c r="E966" s="240"/>
      <c r="F966" s="240"/>
      <c r="G966" s="240"/>
      <c r="H966" s="241">
        <f t="shared" si="144"/>
        <v>0</v>
      </c>
      <c r="I966" s="242"/>
      <c r="J966" s="243"/>
      <c r="K966" s="243"/>
      <c r="L966" s="244">
        <v>0.1</v>
      </c>
      <c r="M966" s="244">
        <f t="shared" si="145"/>
        <v>0</v>
      </c>
      <c r="N966" s="244"/>
      <c r="O966" s="244"/>
      <c r="P966" s="244"/>
      <c r="Q966" s="245">
        <f t="shared" si="146"/>
        <v>0</v>
      </c>
      <c r="R966" s="245">
        <f t="shared" si="147"/>
        <v>0</v>
      </c>
      <c r="S966" s="246">
        <v>0.5</v>
      </c>
      <c r="T966" s="245">
        <f t="shared" si="148"/>
        <v>0</v>
      </c>
      <c r="U966" s="245">
        <f t="shared" si="149"/>
        <v>0</v>
      </c>
      <c r="V966" s="247"/>
    </row>
    <row r="967" spans="1:22" ht="15.75" x14ac:dyDescent="0.25">
      <c r="A967" s="236"/>
      <c r="B967" s="237"/>
      <c r="C967" s="238"/>
      <c r="D967" s="239"/>
      <c r="E967" s="240"/>
      <c r="F967" s="240"/>
      <c r="G967" s="240"/>
      <c r="H967" s="241">
        <f t="shared" si="144"/>
        <v>0</v>
      </c>
      <c r="I967" s="242"/>
      <c r="J967" s="243"/>
      <c r="K967" s="243"/>
      <c r="L967" s="244">
        <v>0.1</v>
      </c>
      <c r="M967" s="244">
        <f t="shared" si="145"/>
        <v>0</v>
      </c>
      <c r="N967" s="244"/>
      <c r="O967" s="244"/>
      <c r="P967" s="244"/>
      <c r="Q967" s="245">
        <f t="shared" si="146"/>
        <v>0</v>
      </c>
      <c r="R967" s="245">
        <f t="shared" si="147"/>
        <v>0</v>
      </c>
      <c r="S967" s="246">
        <v>0.5</v>
      </c>
      <c r="T967" s="245">
        <f t="shared" si="148"/>
        <v>0</v>
      </c>
      <c r="U967" s="245">
        <f t="shared" si="149"/>
        <v>0</v>
      </c>
      <c r="V967" s="247"/>
    </row>
    <row r="968" spans="1:22" ht="15.75" x14ac:dyDescent="0.25">
      <c r="A968" s="236"/>
      <c r="B968" s="237"/>
      <c r="C968" s="238"/>
      <c r="D968" s="239"/>
      <c r="E968" s="240"/>
      <c r="F968" s="240"/>
      <c r="G968" s="240"/>
      <c r="H968" s="241">
        <f t="shared" si="144"/>
        <v>0</v>
      </c>
      <c r="I968" s="242"/>
      <c r="J968" s="243"/>
      <c r="K968" s="243"/>
      <c r="L968" s="244">
        <v>0.1</v>
      </c>
      <c r="M968" s="244">
        <f t="shared" si="145"/>
        <v>0</v>
      </c>
      <c r="N968" s="244"/>
      <c r="O968" s="244"/>
      <c r="P968" s="244"/>
      <c r="Q968" s="245">
        <f t="shared" si="146"/>
        <v>0</v>
      </c>
      <c r="R968" s="245">
        <f t="shared" si="147"/>
        <v>0</v>
      </c>
      <c r="S968" s="246">
        <v>0.5</v>
      </c>
      <c r="T968" s="245">
        <f t="shared" si="148"/>
        <v>0</v>
      </c>
      <c r="U968" s="245">
        <f t="shared" si="149"/>
        <v>0</v>
      </c>
      <c r="V968" s="247"/>
    </row>
    <row r="969" spans="1:22" ht="15.75" x14ac:dyDescent="0.25">
      <c r="A969" s="236"/>
      <c r="B969" s="237"/>
      <c r="C969" s="238"/>
      <c r="D969" s="239"/>
      <c r="E969" s="240"/>
      <c r="F969" s="240"/>
      <c r="G969" s="240"/>
      <c r="H969" s="241">
        <f t="shared" si="144"/>
        <v>0</v>
      </c>
      <c r="I969" s="242"/>
      <c r="J969" s="243"/>
      <c r="K969" s="243"/>
      <c r="L969" s="244">
        <v>0.1</v>
      </c>
      <c r="M969" s="244">
        <f t="shared" si="145"/>
        <v>0</v>
      </c>
      <c r="N969" s="244"/>
      <c r="O969" s="244"/>
      <c r="P969" s="244"/>
      <c r="Q969" s="245">
        <f t="shared" si="146"/>
        <v>0</v>
      </c>
      <c r="R969" s="245">
        <f t="shared" si="147"/>
        <v>0</v>
      </c>
      <c r="S969" s="246">
        <v>0.5</v>
      </c>
      <c r="T969" s="245">
        <f t="shared" si="148"/>
        <v>0</v>
      </c>
      <c r="U969" s="245">
        <f t="shared" si="149"/>
        <v>0</v>
      </c>
      <c r="V969" s="247"/>
    </row>
    <row r="970" spans="1:22" ht="15.75" x14ac:dyDescent="0.25">
      <c r="A970" s="236"/>
      <c r="B970" s="237"/>
      <c r="C970" s="238"/>
      <c r="D970" s="239"/>
      <c r="E970" s="240"/>
      <c r="F970" s="240"/>
      <c r="G970" s="240"/>
      <c r="H970" s="241">
        <f t="shared" si="144"/>
        <v>0</v>
      </c>
      <c r="I970" s="242"/>
      <c r="J970" s="243"/>
      <c r="K970" s="243"/>
      <c r="L970" s="244">
        <v>0.1</v>
      </c>
      <c r="M970" s="244">
        <f t="shared" si="145"/>
        <v>0</v>
      </c>
      <c r="N970" s="244"/>
      <c r="O970" s="244"/>
      <c r="P970" s="244"/>
      <c r="Q970" s="245">
        <f t="shared" si="146"/>
        <v>0</v>
      </c>
      <c r="R970" s="245">
        <f t="shared" si="147"/>
        <v>0</v>
      </c>
      <c r="S970" s="246">
        <v>0.5</v>
      </c>
      <c r="T970" s="245">
        <f t="shared" si="148"/>
        <v>0</v>
      </c>
      <c r="U970" s="245">
        <f t="shared" si="149"/>
        <v>0</v>
      </c>
      <c r="V970" s="247"/>
    </row>
    <row r="971" spans="1:22" ht="15.75" x14ac:dyDescent="0.25">
      <c r="A971" s="236"/>
      <c r="B971" s="237"/>
      <c r="C971" s="238"/>
      <c r="D971" s="239"/>
      <c r="E971" s="240"/>
      <c r="F971" s="240"/>
      <c r="G971" s="240"/>
      <c r="H971" s="241">
        <f t="shared" si="144"/>
        <v>0</v>
      </c>
      <c r="I971" s="242"/>
      <c r="J971" s="243"/>
      <c r="K971" s="243"/>
      <c r="L971" s="244">
        <v>0.1</v>
      </c>
      <c r="M971" s="244">
        <f t="shared" si="145"/>
        <v>0</v>
      </c>
      <c r="N971" s="244"/>
      <c r="O971" s="244"/>
      <c r="P971" s="244"/>
      <c r="Q971" s="245">
        <f t="shared" si="146"/>
        <v>0</v>
      </c>
      <c r="R971" s="245">
        <f t="shared" si="147"/>
        <v>0</v>
      </c>
      <c r="S971" s="246">
        <v>0.5</v>
      </c>
      <c r="T971" s="245">
        <f t="shared" si="148"/>
        <v>0</v>
      </c>
      <c r="U971" s="245">
        <f t="shared" si="149"/>
        <v>0</v>
      </c>
      <c r="V971" s="247"/>
    </row>
    <row r="972" spans="1:22" ht="15.75" x14ac:dyDescent="0.25">
      <c r="A972" s="236"/>
      <c r="B972" s="237"/>
      <c r="C972" s="238"/>
      <c r="D972" s="239"/>
      <c r="E972" s="240"/>
      <c r="F972" s="240"/>
      <c r="G972" s="240"/>
      <c r="H972" s="241">
        <f t="shared" si="144"/>
        <v>0</v>
      </c>
      <c r="I972" s="242"/>
      <c r="J972" s="243"/>
      <c r="K972" s="243"/>
      <c r="L972" s="244">
        <v>0.1</v>
      </c>
      <c r="M972" s="244">
        <f t="shared" si="145"/>
        <v>0</v>
      </c>
      <c r="N972" s="244"/>
      <c r="O972" s="244"/>
      <c r="P972" s="244"/>
      <c r="Q972" s="245">
        <f t="shared" si="146"/>
        <v>0</v>
      </c>
      <c r="R972" s="245">
        <f t="shared" si="147"/>
        <v>0</v>
      </c>
      <c r="S972" s="246">
        <v>0.5</v>
      </c>
      <c r="T972" s="245">
        <f t="shared" si="148"/>
        <v>0</v>
      </c>
      <c r="U972" s="245">
        <f t="shared" si="149"/>
        <v>0</v>
      </c>
      <c r="V972" s="247"/>
    </row>
    <row r="973" spans="1:22" ht="15.75" x14ac:dyDescent="0.25">
      <c r="A973" s="236"/>
      <c r="B973" s="237"/>
      <c r="C973" s="238"/>
      <c r="D973" s="239"/>
      <c r="E973" s="240"/>
      <c r="F973" s="240"/>
      <c r="G973" s="240"/>
      <c r="H973" s="241">
        <f t="shared" si="144"/>
        <v>0</v>
      </c>
      <c r="I973" s="242"/>
      <c r="J973" s="243"/>
      <c r="K973" s="243"/>
      <c r="L973" s="244">
        <v>0.1</v>
      </c>
      <c r="M973" s="244">
        <f t="shared" si="145"/>
        <v>0</v>
      </c>
      <c r="N973" s="244"/>
      <c r="O973" s="244"/>
      <c r="P973" s="244"/>
      <c r="Q973" s="245">
        <f t="shared" si="146"/>
        <v>0</v>
      </c>
      <c r="R973" s="245">
        <f t="shared" si="147"/>
        <v>0</v>
      </c>
      <c r="S973" s="246">
        <v>0.5</v>
      </c>
      <c r="T973" s="245">
        <f t="shared" si="148"/>
        <v>0</v>
      </c>
      <c r="U973" s="245">
        <f t="shared" si="149"/>
        <v>0</v>
      </c>
      <c r="V973" s="247"/>
    </row>
    <row r="974" spans="1:22" ht="15.75" x14ac:dyDescent="0.25">
      <c r="A974" s="236"/>
      <c r="B974" s="237"/>
      <c r="C974" s="238"/>
      <c r="D974" s="239"/>
      <c r="E974" s="240"/>
      <c r="F974" s="240"/>
      <c r="G974" s="240"/>
      <c r="H974" s="241">
        <f t="shared" si="144"/>
        <v>0</v>
      </c>
      <c r="I974" s="242"/>
      <c r="J974" s="243"/>
      <c r="K974" s="243"/>
      <c r="L974" s="244">
        <v>0.1</v>
      </c>
      <c r="M974" s="244">
        <f t="shared" si="145"/>
        <v>0</v>
      </c>
      <c r="N974" s="244"/>
      <c r="O974" s="244"/>
      <c r="P974" s="244"/>
      <c r="Q974" s="245">
        <f t="shared" si="146"/>
        <v>0</v>
      </c>
      <c r="R974" s="245">
        <f t="shared" si="147"/>
        <v>0</v>
      </c>
      <c r="S974" s="246">
        <v>0.5</v>
      </c>
      <c r="T974" s="245">
        <f t="shared" si="148"/>
        <v>0</v>
      </c>
      <c r="U974" s="245">
        <f t="shared" si="149"/>
        <v>0</v>
      </c>
      <c r="V974" s="247"/>
    </row>
    <row r="975" spans="1:22" ht="15.75" x14ac:dyDescent="0.25">
      <c r="A975" s="236"/>
      <c r="B975" s="237"/>
      <c r="C975" s="238"/>
      <c r="D975" s="239"/>
      <c r="E975" s="240"/>
      <c r="F975" s="240"/>
      <c r="G975" s="240"/>
      <c r="H975" s="241">
        <f t="shared" si="144"/>
        <v>0</v>
      </c>
      <c r="I975" s="242"/>
      <c r="J975" s="243"/>
      <c r="K975" s="243"/>
      <c r="L975" s="244">
        <v>0.1</v>
      </c>
      <c r="M975" s="244">
        <f t="shared" si="145"/>
        <v>0</v>
      </c>
      <c r="N975" s="244"/>
      <c r="O975" s="244"/>
      <c r="P975" s="244"/>
      <c r="Q975" s="245">
        <f t="shared" si="146"/>
        <v>0</v>
      </c>
      <c r="R975" s="245">
        <f t="shared" si="147"/>
        <v>0</v>
      </c>
      <c r="S975" s="246">
        <v>0.5</v>
      </c>
      <c r="T975" s="245">
        <f t="shared" si="148"/>
        <v>0</v>
      </c>
      <c r="U975" s="245">
        <f t="shared" si="149"/>
        <v>0</v>
      </c>
      <c r="V975" s="247"/>
    </row>
    <row r="976" spans="1:22" ht="15.75" x14ac:dyDescent="0.25">
      <c r="A976" s="236"/>
      <c r="B976" s="237"/>
      <c r="C976" s="238"/>
      <c r="D976" s="239"/>
      <c r="E976" s="240"/>
      <c r="F976" s="240"/>
      <c r="G976" s="240"/>
      <c r="H976" s="241">
        <f t="shared" si="144"/>
        <v>0</v>
      </c>
      <c r="I976" s="242"/>
      <c r="J976" s="243"/>
      <c r="K976" s="243"/>
      <c r="L976" s="244">
        <v>0.1</v>
      </c>
      <c r="M976" s="244">
        <f t="shared" si="145"/>
        <v>0</v>
      </c>
      <c r="N976" s="244"/>
      <c r="O976" s="244"/>
      <c r="P976" s="244"/>
      <c r="Q976" s="245">
        <f t="shared" si="146"/>
        <v>0</v>
      </c>
      <c r="R976" s="245">
        <f t="shared" si="147"/>
        <v>0</v>
      </c>
      <c r="S976" s="246">
        <v>0.5</v>
      </c>
      <c r="T976" s="245">
        <f t="shared" si="148"/>
        <v>0</v>
      </c>
      <c r="U976" s="245">
        <f t="shared" si="149"/>
        <v>0</v>
      </c>
      <c r="V976" s="247"/>
    </row>
    <row r="977" spans="1:22" ht="15.75" x14ac:dyDescent="0.25">
      <c r="A977" s="236"/>
      <c r="B977" s="237"/>
      <c r="C977" s="238"/>
      <c r="D977" s="239"/>
      <c r="E977" s="240"/>
      <c r="F977" s="240"/>
      <c r="G977" s="240"/>
      <c r="H977" s="241">
        <f t="shared" si="144"/>
        <v>0</v>
      </c>
      <c r="I977" s="242"/>
      <c r="J977" s="243"/>
      <c r="K977" s="243"/>
      <c r="L977" s="244">
        <v>0.1</v>
      </c>
      <c r="M977" s="244">
        <f t="shared" si="145"/>
        <v>0</v>
      </c>
      <c r="N977" s="244"/>
      <c r="O977" s="244"/>
      <c r="P977" s="244"/>
      <c r="Q977" s="245">
        <f t="shared" si="146"/>
        <v>0</v>
      </c>
      <c r="R977" s="245">
        <f t="shared" si="147"/>
        <v>0</v>
      </c>
      <c r="S977" s="246">
        <v>0.5</v>
      </c>
      <c r="T977" s="245">
        <f t="shared" si="148"/>
        <v>0</v>
      </c>
      <c r="U977" s="245">
        <f t="shared" si="149"/>
        <v>0</v>
      </c>
      <c r="V977" s="247"/>
    </row>
    <row r="978" spans="1:22" ht="15.75" x14ac:dyDescent="0.25">
      <c r="A978" s="236"/>
      <c r="B978" s="237"/>
      <c r="C978" s="238"/>
      <c r="D978" s="239"/>
      <c r="E978" s="240"/>
      <c r="F978" s="240"/>
      <c r="G978" s="240"/>
      <c r="H978" s="241">
        <f t="shared" si="144"/>
        <v>0</v>
      </c>
      <c r="I978" s="242"/>
      <c r="J978" s="243"/>
      <c r="K978" s="243"/>
      <c r="L978" s="244">
        <v>0.1</v>
      </c>
      <c r="M978" s="244">
        <f t="shared" si="145"/>
        <v>0</v>
      </c>
      <c r="N978" s="244"/>
      <c r="O978" s="244"/>
      <c r="P978" s="244"/>
      <c r="Q978" s="245">
        <f t="shared" si="146"/>
        <v>0</v>
      </c>
      <c r="R978" s="245">
        <f t="shared" si="147"/>
        <v>0</v>
      </c>
      <c r="S978" s="246">
        <v>0.5</v>
      </c>
      <c r="T978" s="245">
        <f t="shared" si="148"/>
        <v>0</v>
      </c>
      <c r="U978" s="245">
        <f t="shared" si="149"/>
        <v>0</v>
      </c>
      <c r="V978" s="247"/>
    </row>
    <row r="979" spans="1:22" ht="15.75" x14ac:dyDescent="0.25">
      <c r="A979" s="236"/>
      <c r="B979" s="237"/>
      <c r="C979" s="238"/>
      <c r="D979" s="239"/>
      <c r="E979" s="240"/>
      <c r="F979" s="240"/>
      <c r="G979" s="240"/>
      <c r="H979" s="241">
        <f t="shared" si="144"/>
        <v>0</v>
      </c>
      <c r="I979" s="242"/>
      <c r="J979" s="243"/>
      <c r="K979" s="243"/>
      <c r="L979" s="244">
        <v>0.1</v>
      </c>
      <c r="M979" s="244">
        <f t="shared" si="145"/>
        <v>0</v>
      </c>
      <c r="N979" s="244"/>
      <c r="O979" s="244"/>
      <c r="P979" s="244"/>
      <c r="Q979" s="245">
        <f t="shared" si="146"/>
        <v>0</v>
      </c>
      <c r="R979" s="245">
        <f t="shared" si="147"/>
        <v>0</v>
      </c>
      <c r="S979" s="246">
        <v>0.5</v>
      </c>
      <c r="T979" s="245">
        <f t="shared" si="148"/>
        <v>0</v>
      </c>
      <c r="U979" s="245">
        <f t="shared" si="149"/>
        <v>0</v>
      </c>
      <c r="V979" s="247"/>
    </row>
    <row r="980" spans="1:22" ht="15.75" x14ac:dyDescent="0.25">
      <c r="A980" s="236"/>
      <c r="B980" s="237"/>
      <c r="C980" s="238"/>
      <c r="D980" s="239"/>
      <c r="E980" s="240"/>
      <c r="F980" s="240"/>
      <c r="G980" s="240"/>
      <c r="H980" s="241">
        <f t="shared" si="144"/>
        <v>0</v>
      </c>
      <c r="I980" s="242"/>
      <c r="J980" s="243"/>
      <c r="K980" s="243"/>
      <c r="L980" s="244">
        <v>0.1</v>
      </c>
      <c r="M980" s="244">
        <f t="shared" si="145"/>
        <v>0</v>
      </c>
      <c r="N980" s="244"/>
      <c r="O980" s="244"/>
      <c r="P980" s="244"/>
      <c r="Q980" s="245">
        <f t="shared" si="146"/>
        <v>0</v>
      </c>
      <c r="R980" s="245">
        <f t="shared" si="147"/>
        <v>0</v>
      </c>
      <c r="S980" s="246">
        <v>0.5</v>
      </c>
      <c r="T980" s="245">
        <f t="shared" si="148"/>
        <v>0</v>
      </c>
      <c r="U980" s="245">
        <f t="shared" si="149"/>
        <v>0</v>
      </c>
      <c r="V980" s="247"/>
    </row>
    <row r="981" spans="1:22" ht="15.75" x14ac:dyDescent="0.25">
      <c r="A981" s="236"/>
      <c r="B981" s="237"/>
      <c r="C981" s="238"/>
      <c r="D981" s="239"/>
      <c r="E981" s="240"/>
      <c r="F981" s="240"/>
      <c r="G981" s="240"/>
      <c r="H981" s="241">
        <f t="shared" si="144"/>
        <v>0</v>
      </c>
      <c r="I981" s="242"/>
      <c r="J981" s="243"/>
      <c r="K981" s="243"/>
      <c r="L981" s="244">
        <v>0.1</v>
      </c>
      <c r="M981" s="244">
        <f t="shared" si="145"/>
        <v>0</v>
      </c>
      <c r="N981" s="244"/>
      <c r="O981" s="244"/>
      <c r="P981" s="244"/>
      <c r="Q981" s="245">
        <f t="shared" si="146"/>
        <v>0</v>
      </c>
      <c r="R981" s="245">
        <f t="shared" si="147"/>
        <v>0</v>
      </c>
      <c r="S981" s="246">
        <v>0.5</v>
      </c>
      <c r="T981" s="245">
        <f t="shared" si="148"/>
        <v>0</v>
      </c>
      <c r="U981" s="245">
        <f t="shared" si="149"/>
        <v>0</v>
      </c>
      <c r="V981" s="247"/>
    </row>
    <row r="982" spans="1:22" ht="15.75" x14ac:dyDescent="0.25">
      <c r="A982" s="236"/>
      <c r="B982" s="237"/>
      <c r="C982" s="238"/>
      <c r="D982" s="239"/>
      <c r="E982" s="240"/>
      <c r="F982" s="240"/>
      <c r="G982" s="240"/>
      <c r="H982" s="241">
        <f t="shared" si="144"/>
        <v>0</v>
      </c>
      <c r="I982" s="242"/>
      <c r="J982" s="243"/>
      <c r="K982" s="243"/>
      <c r="L982" s="244">
        <v>0.1</v>
      </c>
      <c r="M982" s="244">
        <f t="shared" si="145"/>
        <v>0</v>
      </c>
      <c r="N982" s="244"/>
      <c r="O982" s="244"/>
      <c r="P982" s="244"/>
      <c r="Q982" s="245">
        <f t="shared" si="146"/>
        <v>0</v>
      </c>
      <c r="R982" s="245">
        <f t="shared" si="147"/>
        <v>0</v>
      </c>
      <c r="S982" s="246">
        <v>0.5</v>
      </c>
      <c r="T982" s="245">
        <f t="shared" si="148"/>
        <v>0</v>
      </c>
      <c r="U982" s="245">
        <f t="shared" si="149"/>
        <v>0</v>
      </c>
      <c r="V982" s="247"/>
    </row>
    <row r="983" spans="1:22" ht="15.75" x14ac:dyDescent="0.25">
      <c r="A983" s="236"/>
      <c r="B983" s="237"/>
      <c r="C983" s="238"/>
      <c r="D983" s="239"/>
      <c r="E983" s="240"/>
      <c r="F983" s="240"/>
      <c r="G983" s="240"/>
      <c r="H983" s="241">
        <f t="shared" si="144"/>
        <v>0</v>
      </c>
      <c r="I983" s="242"/>
      <c r="J983" s="243"/>
      <c r="K983" s="243"/>
      <c r="L983" s="244">
        <v>0.1</v>
      </c>
      <c r="M983" s="244">
        <f t="shared" si="145"/>
        <v>0</v>
      </c>
      <c r="N983" s="244"/>
      <c r="O983" s="244"/>
      <c r="P983" s="244"/>
      <c r="Q983" s="245">
        <f t="shared" si="146"/>
        <v>0</v>
      </c>
      <c r="R983" s="245">
        <f t="shared" si="147"/>
        <v>0</v>
      </c>
      <c r="S983" s="246">
        <v>0.5</v>
      </c>
      <c r="T983" s="245">
        <f t="shared" si="148"/>
        <v>0</v>
      </c>
      <c r="U983" s="245">
        <f t="shared" si="149"/>
        <v>0</v>
      </c>
      <c r="V983" s="247"/>
    </row>
    <row r="984" spans="1:22" ht="15.75" x14ac:dyDescent="0.25">
      <c r="A984" s="236"/>
      <c r="B984" s="237"/>
      <c r="C984" s="238"/>
      <c r="D984" s="239"/>
      <c r="E984" s="240"/>
      <c r="F984" s="240"/>
      <c r="G984" s="240"/>
      <c r="H984" s="241">
        <f t="shared" si="144"/>
        <v>0</v>
      </c>
      <c r="I984" s="242"/>
      <c r="J984" s="243"/>
      <c r="K984" s="243"/>
      <c r="L984" s="244">
        <v>0.1</v>
      </c>
      <c r="M984" s="244">
        <f t="shared" si="145"/>
        <v>0</v>
      </c>
      <c r="N984" s="244"/>
      <c r="O984" s="244"/>
      <c r="P984" s="244"/>
      <c r="Q984" s="245">
        <f t="shared" si="146"/>
        <v>0</v>
      </c>
      <c r="R984" s="245">
        <f t="shared" si="147"/>
        <v>0</v>
      </c>
      <c r="S984" s="246">
        <v>0.5</v>
      </c>
      <c r="T984" s="245">
        <f t="shared" si="148"/>
        <v>0</v>
      </c>
      <c r="U984" s="245">
        <f t="shared" si="149"/>
        <v>0</v>
      </c>
      <c r="V984" s="247"/>
    </row>
    <row r="985" spans="1:22" ht="15.75" x14ac:dyDescent="0.25">
      <c r="A985" s="236"/>
      <c r="B985" s="237"/>
      <c r="C985" s="238"/>
      <c r="D985" s="239"/>
      <c r="E985" s="240"/>
      <c r="F985" s="240"/>
      <c r="G985" s="240"/>
      <c r="H985" s="241">
        <f t="shared" si="144"/>
        <v>0</v>
      </c>
      <c r="I985" s="242"/>
      <c r="J985" s="243"/>
      <c r="K985" s="243"/>
      <c r="L985" s="244">
        <v>0.1</v>
      </c>
      <c r="M985" s="244">
        <f t="shared" si="145"/>
        <v>0</v>
      </c>
      <c r="N985" s="244"/>
      <c r="O985" s="244"/>
      <c r="P985" s="244"/>
      <c r="Q985" s="245">
        <f t="shared" si="146"/>
        <v>0</v>
      </c>
      <c r="R985" s="245">
        <f t="shared" si="147"/>
        <v>0</v>
      </c>
      <c r="S985" s="246">
        <v>0.5</v>
      </c>
      <c r="T985" s="245">
        <f t="shared" si="148"/>
        <v>0</v>
      </c>
      <c r="U985" s="245">
        <f t="shared" si="149"/>
        <v>0</v>
      </c>
      <c r="V985" s="247"/>
    </row>
    <row r="986" spans="1:22" ht="15.75" x14ac:dyDescent="0.25">
      <c r="A986" s="236"/>
      <c r="B986" s="237"/>
      <c r="C986" s="238"/>
      <c r="D986" s="239"/>
      <c r="E986" s="240"/>
      <c r="F986" s="240"/>
      <c r="G986" s="240"/>
      <c r="H986" s="241">
        <f t="shared" si="144"/>
        <v>0</v>
      </c>
      <c r="I986" s="242"/>
      <c r="J986" s="243"/>
      <c r="K986" s="243"/>
      <c r="L986" s="244">
        <v>0.1</v>
      </c>
      <c r="M986" s="244">
        <f t="shared" si="145"/>
        <v>0</v>
      </c>
      <c r="N986" s="244"/>
      <c r="O986" s="244"/>
      <c r="P986" s="244"/>
      <c r="Q986" s="245">
        <f t="shared" si="146"/>
        <v>0</v>
      </c>
      <c r="R986" s="245">
        <f t="shared" si="147"/>
        <v>0</v>
      </c>
      <c r="S986" s="246">
        <v>0.5</v>
      </c>
      <c r="T986" s="245">
        <f t="shared" si="148"/>
        <v>0</v>
      </c>
      <c r="U986" s="245">
        <f t="shared" si="149"/>
        <v>0</v>
      </c>
      <c r="V986" s="247"/>
    </row>
    <row r="987" spans="1:22" ht="15.75" x14ac:dyDescent="0.25">
      <c r="A987" s="236"/>
      <c r="B987" s="237"/>
      <c r="C987" s="238"/>
      <c r="D987" s="239"/>
      <c r="E987" s="240"/>
      <c r="F987" s="240"/>
      <c r="G987" s="240"/>
      <c r="H987" s="241">
        <f t="shared" si="144"/>
        <v>0</v>
      </c>
      <c r="I987" s="242"/>
      <c r="J987" s="243"/>
      <c r="K987" s="243"/>
      <c r="L987" s="244">
        <v>0.1</v>
      </c>
      <c r="M987" s="244">
        <f t="shared" si="145"/>
        <v>0</v>
      </c>
      <c r="N987" s="244"/>
      <c r="O987" s="244"/>
      <c r="P987" s="244"/>
      <c r="Q987" s="245">
        <f t="shared" si="146"/>
        <v>0</v>
      </c>
      <c r="R987" s="245">
        <f t="shared" si="147"/>
        <v>0</v>
      </c>
      <c r="S987" s="246">
        <v>0.5</v>
      </c>
      <c r="T987" s="245">
        <f t="shared" si="148"/>
        <v>0</v>
      </c>
      <c r="U987" s="245">
        <f t="shared" si="149"/>
        <v>0</v>
      </c>
      <c r="V987" s="247"/>
    </row>
    <row r="988" spans="1:22" ht="15.75" x14ac:dyDescent="0.25">
      <c r="A988" s="236"/>
      <c r="B988" s="237"/>
      <c r="C988" s="238"/>
      <c r="D988" s="239"/>
      <c r="E988" s="240"/>
      <c r="F988" s="240"/>
      <c r="G988" s="240"/>
      <c r="H988" s="241">
        <f t="shared" si="144"/>
        <v>0</v>
      </c>
      <c r="I988" s="242"/>
      <c r="J988" s="243"/>
      <c r="K988" s="243"/>
      <c r="L988" s="244">
        <v>0.1</v>
      </c>
      <c r="M988" s="244">
        <f t="shared" si="145"/>
        <v>0</v>
      </c>
      <c r="N988" s="244"/>
      <c r="O988" s="244"/>
      <c r="P988" s="244"/>
      <c r="Q988" s="245">
        <f t="shared" si="146"/>
        <v>0</v>
      </c>
      <c r="R988" s="245">
        <f t="shared" si="147"/>
        <v>0</v>
      </c>
      <c r="S988" s="246">
        <v>0.5</v>
      </c>
      <c r="T988" s="245">
        <f t="shared" si="148"/>
        <v>0</v>
      </c>
      <c r="U988" s="245">
        <f t="shared" si="149"/>
        <v>0</v>
      </c>
      <c r="V988" s="247"/>
    </row>
    <row r="989" spans="1:22" ht="15.75" x14ac:dyDescent="0.25">
      <c r="A989" s="236"/>
      <c r="B989" s="237"/>
      <c r="C989" s="238"/>
      <c r="D989" s="239"/>
      <c r="E989" s="240"/>
      <c r="F989" s="240"/>
      <c r="G989" s="240"/>
      <c r="H989" s="241">
        <f t="shared" si="144"/>
        <v>0</v>
      </c>
      <c r="I989" s="242"/>
      <c r="J989" s="243"/>
      <c r="K989" s="243"/>
      <c r="L989" s="244">
        <v>0.1</v>
      </c>
      <c r="M989" s="244">
        <f t="shared" si="145"/>
        <v>0</v>
      </c>
      <c r="N989" s="244"/>
      <c r="O989" s="244"/>
      <c r="P989" s="244"/>
      <c r="Q989" s="245">
        <f t="shared" si="146"/>
        <v>0</v>
      </c>
      <c r="R989" s="245">
        <f t="shared" si="147"/>
        <v>0</v>
      </c>
      <c r="S989" s="246">
        <v>0.5</v>
      </c>
      <c r="T989" s="245">
        <f t="shared" si="148"/>
        <v>0</v>
      </c>
      <c r="U989" s="245">
        <f t="shared" si="149"/>
        <v>0</v>
      </c>
      <c r="V989" s="247"/>
    </row>
    <row r="990" spans="1:22" ht="15.75" x14ac:dyDescent="0.25">
      <c r="A990" s="236"/>
      <c r="B990" s="237"/>
      <c r="C990" s="238"/>
      <c r="D990" s="239"/>
      <c r="E990" s="240"/>
      <c r="F990" s="240"/>
      <c r="G990" s="240"/>
      <c r="H990" s="241">
        <f t="shared" si="144"/>
        <v>0</v>
      </c>
      <c r="I990" s="242"/>
      <c r="J990" s="243"/>
      <c r="K990" s="243"/>
      <c r="L990" s="244">
        <v>0.1</v>
      </c>
      <c r="M990" s="244">
        <f t="shared" si="145"/>
        <v>0</v>
      </c>
      <c r="N990" s="244"/>
      <c r="O990" s="244"/>
      <c r="P990" s="244"/>
      <c r="Q990" s="245">
        <f t="shared" si="146"/>
        <v>0</v>
      </c>
      <c r="R990" s="245">
        <f t="shared" si="147"/>
        <v>0</v>
      </c>
      <c r="S990" s="246">
        <v>0.5</v>
      </c>
      <c r="T990" s="245">
        <f t="shared" si="148"/>
        <v>0</v>
      </c>
      <c r="U990" s="245">
        <f t="shared" si="149"/>
        <v>0</v>
      </c>
      <c r="V990" s="247"/>
    </row>
    <row r="991" spans="1:22" ht="15.75" x14ac:dyDescent="0.25">
      <c r="A991" s="236"/>
      <c r="B991" s="237"/>
      <c r="C991" s="238"/>
      <c r="D991" s="239"/>
      <c r="E991" s="240"/>
      <c r="F991" s="240"/>
      <c r="G991" s="240"/>
      <c r="H991" s="241">
        <f t="shared" si="144"/>
        <v>0</v>
      </c>
      <c r="I991" s="242"/>
      <c r="J991" s="243"/>
      <c r="K991" s="243"/>
      <c r="L991" s="244">
        <v>0.1</v>
      </c>
      <c r="M991" s="244">
        <f t="shared" si="145"/>
        <v>0</v>
      </c>
      <c r="N991" s="244"/>
      <c r="O991" s="244"/>
      <c r="P991" s="244"/>
      <c r="Q991" s="245">
        <f t="shared" si="146"/>
        <v>0</v>
      </c>
      <c r="R991" s="245">
        <f t="shared" si="147"/>
        <v>0</v>
      </c>
      <c r="S991" s="246">
        <v>0.5</v>
      </c>
      <c r="T991" s="245">
        <f t="shared" si="148"/>
        <v>0</v>
      </c>
      <c r="U991" s="245">
        <f t="shared" si="149"/>
        <v>0</v>
      </c>
      <c r="V991" s="247"/>
    </row>
    <row r="992" spans="1:22" ht="15.75" x14ac:dyDescent="0.25">
      <c r="A992" s="236"/>
      <c r="B992" s="237"/>
      <c r="C992" s="238"/>
      <c r="D992" s="239"/>
      <c r="E992" s="240"/>
      <c r="F992" s="240"/>
      <c r="G992" s="240"/>
      <c r="H992" s="241">
        <f t="shared" si="144"/>
        <v>0</v>
      </c>
      <c r="I992" s="242"/>
      <c r="J992" s="243"/>
      <c r="K992" s="243"/>
      <c r="L992" s="244">
        <v>0.1</v>
      </c>
      <c r="M992" s="244">
        <f t="shared" si="145"/>
        <v>0</v>
      </c>
      <c r="N992" s="244"/>
      <c r="O992" s="244"/>
      <c r="P992" s="244"/>
      <c r="Q992" s="245">
        <f t="shared" si="146"/>
        <v>0</v>
      </c>
      <c r="R992" s="245">
        <f t="shared" si="147"/>
        <v>0</v>
      </c>
      <c r="S992" s="246">
        <v>0.5</v>
      </c>
      <c r="T992" s="245">
        <f t="shared" si="148"/>
        <v>0</v>
      </c>
      <c r="U992" s="245">
        <f t="shared" si="149"/>
        <v>0</v>
      </c>
      <c r="V992" s="247"/>
    </row>
    <row r="993" spans="1:22" ht="15.75" x14ac:dyDescent="0.25">
      <c r="A993" s="236"/>
      <c r="B993" s="237"/>
      <c r="C993" s="238"/>
      <c r="D993" s="239"/>
      <c r="E993" s="240"/>
      <c r="F993" s="240"/>
      <c r="G993" s="240"/>
      <c r="H993" s="241">
        <f t="shared" si="144"/>
        <v>0</v>
      </c>
      <c r="I993" s="242"/>
      <c r="J993" s="243"/>
      <c r="K993" s="243"/>
      <c r="L993" s="244">
        <v>0.1</v>
      </c>
      <c r="M993" s="244">
        <f t="shared" si="145"/>
        <v>0</v>
      </c>
      <c r="N993" s="244"/>
      <c r="O993" s="244"/>
      <c r="P993" s="244"/>
      <c r="Q993" s="245">
        <f t="shared" si="146"/>
        <v>0</v>
      </c>
      <c r="R993" s="245">
        <f t="shared" si="147"/>
        <v>0</v>
      </c>
      <c r="S993" s="246">
        <v>0.5</v>
      </c>
      <c r="T993" s="245">
        <f t="shared" si="148"/>
        <v>0</v>
      </c>
      <c r="U993" s="245">
        <f t="shared" si="149"/>
        <v>0</v>
      </c>
      <c r="V993" s="247"/>
    </row>
    <row r="994" spans="1:22" ht="15.75" x14ac:dyDescent="0.25">
      <c r="A994" s="236"/>
      <c r="B994" s="237"/>
      <c r="C994" s="238"/>
      <c r="D994" s="239"/>
      <c r="E994" s="240"/>
      <c r="F994" s="240"/>
      <c r="G994" s="240"/>
      <c r="H994" s="241">
        <f t="shared" ref="H994:H1057" si="150">+E994+F994+G994</f>
        <v>0</v>
      </c>
      <c r="I994" s="242"/>
      <c r="J994" s="243"/>
      <c r="K994" s="243"/>
      <c r="L994" s="244">
        <v>0.1</v>
      </c>
      <c r="M994" s="244">
        <f t="shared" ref="M994:M1057" si="151">+L994*C994</f>
        <v>0</v>
      </c>
      <c r="N994" s="244"/>
      <c r="O994" s="244"/>
      <c r="P994" s="244"/>
      <c r="Q994" s="245">
        <f t="shared" ref="Q994:Q1057" si="152">+N994+O994+P994</f>
        <v>0</v>
      </c>
      <c r="R994" s="245">
        <f t="shared" ref="R994:R1057" si="153">IF(+Q994-H994&lt;=0,0,Q994-H994)</f>
        <v>0</v>
      </c>
      <c r="S994" s="246">
        <v>0.5</v>
      </c>
      <c r="T994" s="245">
        <f t="shared" ref="T994:T1057" si="154">+(R994*C994)*S994</f>
        <v>0</v>
      </c>
      <c r="U994" s="245">
        <f t="shared" ref="U994:U1057" si="155">+J994+M994+T994</f>
        <v>0</v>
      </c>
      <c r="V994" s="247"/>
    </row>
    <row r="995" spans="1:22" ht="15.75" x14ac:dyDescent="0.25">
      <c r="A995" s="236"/>
      <c r="B995" s="237"/>
      <c r="C995" s="238"/>
      <c r="D995" s="239"/>
      <c r="E995" s="240"/>
      <c r="F995" s="240"/>
      <c r="G995" s="240"/>
      <c r="H995" s="241">
        <f t="shared" si="150"/>
        <v>0</v>
      </c>
      <c r="I995" s="242"/>
      <c r="J995" s="243"/>
      <c r="K995" s="243"/>
      <c r="L995" s="244">
        <v>0.1</v>
      </c>
      <c r="M995" s="244">
        <f t="shared" si="151"/>
        <v>0</v>
      </c>
      <c r="N995" s="244"/>
      <c r="O995" s="244"/>
      <c r="P995" s="244"/>
      <c r="Q995" s="245">
        <f t="shared" si="152"/>
        <v>0</v>
      </c>
      <c r="R995" s="245">
        <f t="shared" si="153"/>
        <v>0</v>
      </c>
      <c r="S995" s="246">
        <v>0.5</v>
      </c>
      <c r="T995" s="245">
        <f t="shared" si="154"/>
        <v>0</v>
      </c>
      <c r="U995" s="245">
        <f t="shared" si="155"/>
        <v>0</v>
      </c>
      <c r="V995" s="247"/>
    </row>
    <row r="996" spans="1:22" ht="15.75" x14ac:dyDescent="0.25">
      <c r="A996" s="236"/>
      <c r="B996" s="237"/>
      <c r="C996" s="238"/>
      <c r="D996" s="239"/>
      <c r="E996" s="240"/>
      <c r="F996" s="240"/>
      <c r="G996" s="240"/>
      <c r="H996" s="241">
        <f t="shared" si="150"/>
        <v>0</v>
      </c>
      <c r="I996" s="242"/>
      <c r="J996" s="243"/>
      <c r="K996" s="243"/>
      <c r="L996" s="244">
        <v>0.1</v>
      </c>
      <c r="M996" s="244">
        <f t="shared" si="151"/>
        <v>0</v>
      </c>
      <c r="N996" s="244"/>
      <c r="O996" s="244"/>
      <c r="P996" s="244"/>
      <c r="Q996" s="245">
        <f t="shared" si="152"/>
        <v>0</v>
      </c>
      <c r="R996" s="245">
        <f t="shared" si="153"/>
        <v>0</v>
      </c>
      <c r="S996" s="246">
        <v>0.5</v>
      </c>
      <c r="T996" s="245">
        <f t="shared" si="154"/>
        <v>0</v>
      </c>
      <c r="U996" s="245">
        <f t="shared" si="155"/>
        <v>0</v>
      </c>
      <c r="V996" s="247"/>
    </row>
    <row r="997" spans="1:22" ht="15.75" x14ac:dyDescent="0.25">
      <c r="A997" s="236"/>
      <c r="B997" s="237"/>
      <c r="C997" s="238"/>
      <c r="D997" s="239"/>
      <c r="E997" s="240"/>
      <c r="F997" s="240"/>
      <c r="G997" s="240"/>
      <c r="H997" s="241">
        <f t="shared" si="150"/>
        <v>0</v>
      </c>
      <c r="I997" s="242"/>
      <c r="J997" s="243"/>
      <c r="K997" s="243"/>
      <c r="L997" s="244">
        <v>0.1</v>
      </c>
      <c r="M997" s="244">
        <f t="shared" si="151"/>
        <v>0</v>
      </c>
      <c r="N997" s="244"/>
      <c r="O997" s="244"/>
      <c r="P997" s="244"/>
      <c r="Q997" s="245">
        <f t="shared" si="152"/>
        <v>0</v>
      </c>
      <c r="R997" s="245">
        <f t="shared" si="153"/>
        <v>0</v>
      </c>
      <c r="S997" s="246">
        <v>0.5</v>
      </c>
      <c r="T997" s="245">
        <f t="shared" si="154"/>
        <v>0</v>
      </c>
      <c r="U997" s="245">
        <f t="shared" si="155"/>
        <v>0</v>
      </c>
      <c r="V997" s="247"/>
    </row>
    <row r="998" spans="1:22" ht="15.75" x14ac:dyDescent="0.25">
      <c r="A998" s="236"/>
      <c r="B998" s="237"/>
      <c r="C998" s="238"/>
      <c r="D998" s="239"/>
      <c r="E998" s="240"/>
      <c r="F998" s="240"/>
      <c r="G998" s="240"/>
      <c r="H998" s="241">
        <f t="shared" si="150"/>
        <v>0</v>
      </c>
      <c r="I998" s="242"/>
      <c r="J998" s="243"/>
      <c r="K998" s="243"/>
      <c r="L998" s="244">
        <v>0.1</v>
      </c>
      <c r="M998" s="244">
        <f t="shared" si="151"/>
        <v>0</v>
      </c>
      <c r="N998" s="244"/>
      <c r="O998" s="244"/>
      <c r="P998" s="244"/>
      <c r="Q998" s="245">
        <f t="shared" si="152"/>
        <v>0</v>
      </c>
      <c r="R998" s="245">
        <f t="shared" si="153"/>
        <v>0</v>
      </c>
      <c r="S998" s="246">
        <v>0.5</v>
      </c>
      <c r="T998" s="245">
        <f t="shared" si="154"/>
        <v>0</v>
      </c>
      <c r="U998" s="245">
        <f t="shared" si="155"/>
        <v>0</v>
      </c>
      <c r="V998" s="247"/>
    </row>
    <row r="999" spans="1:22" ht="15.75" x14ac:dyDescent="0.25">
      <c r="A999" s="236"/>
      <c r="B999" s="237"/>
      <c r="C999" s="238"/>
      <c r="D999" s="239"/>
      <c r="E999" s="240"/>
      <c r="F999" s="240"/>
      <c r="G999" s="240"/>
      <c r="H999" s="241">
        <f t="shared" si="150"/>
        <v>0</v>
      </c>
      <c r="I999" s="242"/>
      <c r="J999" s="243"/>
      <c r="K999" s="243"/>
      <c r="L999" s="244">
        <v>0.1</v>
      </c>
      <c r="M999" s="244">
        <f t="shared" si="151"/>
        <v>0</v>
      </c>
      <c r="N999" s="244"/>
      <c r="O999" s="244"/>
      <c r="P999" s="244"/>
      <c r="Q999" s="245">
        <f t="shared" si="152"/>
        <v>0</v>
      </c>
      <c r="R999" s="245">
        <f t="shared" si="153"/>
        <v>0</v>
      </c>
      <c r="S999" s="246">
        <v>0.5</v>
      </c>
      <c r="T999" s="245">
        <f t="shared" si="154"/>
        <v>0</v>
      </c>
      <c r="U999" s="245">
        <f t="shared" si="155"/>
        <v>0</v>
      </c>
      <c r="V999" s="247"/>
    </row>
    <row r="1000" spans="1:22" ht="15.75" x14ac:dyDescent="0.25">
      <c r="A1000" s="236"/>
      <c r="B1000" s="237"/>
      <c r="C1000" s="238"/>
      <c r="D1000" s="239"/>
      <c r="E1000" s="240"/>
      <c r="F1000" s="240"/>
      <c r="G1000" s="240"/>
      <c r="H1000" s="241">
        <f t="shared" si="150"/>
        <v>0</v>
      </c>
      <c r="I1000" s="242"/>
      <c r="J1000" s="243"/>
      <c r="K1000" s="243"/>
      <c r="L1000" s="244">
        <v>0.1</v>
      </c>
      <c r="M1000" s="244">
        <f t="shared" si="151"/>
        <v>0</v>
      </c>
      <c r="N1000" s="244"/>
      <c r="O1000" s="244"/>
      <c r="P1000" s="244"/>
      <c r="Q1000" s="245">
        <f t="shared" si="152"/>
        <v>0</v>
      </c>
      <c r="R1000" s="245">
        <f t="shared" si="153"/>
        <v>0</v>
      </c>
      <c r="S1000" s="246">
        <v>0.5</v>
      </c>
      <c r="T1000" s="245">
        <f t="shared" si="154"/>
        <v>0</v>
      </c>
      <c r="U1000" s="245">
        <f t="shared" si="155"/>
        <v>0</v>
      </c>
      <c r="V1000" s="247"/>
    </row>
    <row r="1001" spans="1:22" ht="15.75" x14ac:dyDescent="0.25">
      <c r="A1001" s="236"/>
      <c r="B1001" s="237"/>
      <c r="C1001" s="238"/>
      <c r="D1001" s="239"/>
      <c r="E1001" s="240"/>
      <c r="F1001" s="240"/>
      <c r="G1001" s="240"/>
      <c r="H1001" s="241">
        <f t="shared" si="150"/>
        <v>0</v>
      </c>
      <c r="I1001" s="242"/>
      <c r="J1001" s="243"/>
      <c r="K1001" s="243"/>
      <c r="L1001" s="244">
        <v>0.1</v>
      </c>
      <c r="M1001" s="244">
        <f t="shared" si="151"/>
        <v>0</v>
      </c>
      <c r="N1001" s="244"/>
      <c r="O1001" s="244"/>
      <c r="P1001" s="244"/>
      <c r="Q1001" s="245">
        <f t="shared" si="152"/>
        <v>0</v>
      </c>
      <c r="R1001" s="245">
        <f t="shared" si="153"/>
        <v>0</v>
      </c>
      <c r="S1001" s="246">
        <v>0.5</v>
      </c>
      <c r="T1001" s="245">
        <f t="shared" si="154"/>
        <v>0</v>
      </c>
      <c r="U1001" s="245">
        <f t="shared" si="155"/>
        <v>0</v>
      </c>
      <c r="V1001" s="247"/>
    </row>
    <row r="1002" spans="1:22" ht="15.75" x14ac:dyDescent="0.25">
      <c r="A1002" s="236"/>
      <c r="B1002" s="237"/>
      <c r="C1002" s="238"/>
      <c r="D1002" s="239"/>
      <c r="E1002" s="240"/>
      <c r="F1002" s="240"/>
      <c r="G1002" s="240"/>
      <c r="H1002" s="241">
        <f t="shared" si="150"/>
        <v>0</v>
      </c>
      <c r="I1002" s="242"/>
      <c r="J1002" s="243"/>
      <c r="K1002" s="243"/>
      <c r="L1002" s="244">
        <v>0.1</v>
      </c>
      <c r="M1002" s="244">
        <f t="shared" si="151"/>
        <v>0</v>
      </c>
      <c r="N1002" s="244"/>
      <c r="O1002" s="244"/>
      <c r="P1002" s="244"/>
      <c r="Q1002" s="245">
        <f t="shared" si="152"/>
        <v>0</v>
      </c>
      <c r="R1002" s="245">
        <f t="shared" si="153"/>
        <v>0</v>
      </c>
      <c r="S1002" s="246">
        <v>0.5</v>
      </c>
      <c r="T1002" s="245">
        <f t="shared" si="154"/>
        <v>0</v>
      </c>
      <c r="U1002" s="245">
        <f t="shared" si="155"/>
        <v>0</v>
      </c>
      <c r="V1002" s="247"/>
    </row>
    <row r="1003" spans="1:22" ht="15.75" x14ac:dyDescent="0.25">
      <c r="A1003" s="236"/>
      <c r="B1003" s="237"/>
      <c r="C1003" s="238"/>
      <c r="D1003" s="239"/>
      <c r="E1003" s="240"/>
      <c r="F1003" s="240"/>
      <c r="G1003" s="240"/>
      <c r="H1003" s="241">
        <f t="shared" si="150"/>
        <v>0</v>
      </c>
      <c r="I1003" s="242"/>
      <c r="J1003" s="243"/>
      <c r="K1003" s="243"/>
      <c r="L1003" s="244">
        <v>0.1</v>
      </c>
      <c r="M1003" s="244">
        <f t="shared" si="151"/>
        <v>0</v>
      </c>
      <c r="N1003" s="244"/>
      <c r="O1003" s="244"/>
      <c r="P1003" s="244"/>
      <c r="Q1003" s="245">
        <f t="shared" si="152"/>
        <v>0</v>
      </c>
      <c r="R1003" s="245">
        <f t="shared" si="153"/>
        <v>0</v>
      </c>
      <c r="S1003" s="246">
        <v>0.5</v>
      </c>
      <c r="T1003" s="245">
        <f t="shared" si="154"/>
        <v>0</v>
      </c>
      <c r="U1003" s="245">
        <f t="shared" si="155"/>
        <v>0</v>
      </c>
      <c r="V1003" s="247"/>
    </row>
    <row r="1004" spans="1:22" ht="15.75" x14ac:dyDescent="0.25">
      <c r="A1004" s="236"/>
      <c r="B1004" s="237"/>
      <c r="C1004" s="238"/>
      <c r="D1004" s="239"/>
      <c r="E1004" s="240"/>
      <c r="F1004" s="240"/>
      <c r="G1004" s="240"/>
      <c r="H1004" s="241">
        <f t="shared" si="150"/>
        <v>0</v>
      </c>
      <c r="I1004" s="242"/>
      <c r="J1004" s="243"/>
      <c r="K1004" s="243"/>
      <c r="L1004" s="244">
        <v>0.1</v>
      </c>
      <c r="M1004" s="244">
        <f t="shared" si="151"/>
        <v>0</v>
      </c>
      <c r="N1004" s="244"/>
      <c r="O1004" s="244"/>
      <c r="P1004" s="244"/>
      <c r="Q1004" s="245">
        <f t="shared" si="152"/>
        <v>0</v>
      </c>
      <c r="R1004" s="245">
        <f t="shared" si="153"/>
        <v>0</v>
      </c>
      <c r="S1004" s="246">
        <v>0.5</v>
      </c>
      <c r="T1004" s="245">
        <f t="shared" si="154"/>
        <v>0</v>
      </c>
      <c r="U1004" s="245">
        <f t="shared" si="155"/>
        <v>0</v>
      </c>
      <c r="V1004" s="247"/>
    </row>
    <row r="1005" spans="1:22" ht="15.75" x14ac:dyDescent="0.25">
      <c r="A1005" s="236"/>
      <c r="B1005" s="237"/>
      <c r="C1005" s="238"/>
      <c r="D1005" s="239"/>
      <c r="E1005" s="240"/>
      <c r="F1005" s="240"/>
      <c r="G1005" s="240"/>
      <c r="H1005" s="241">
        <f t="shared" si="150"/>
        <v>0</v>
      </c>
      <c r="I1005" s="242"/>
      <c r="J1005" s="243"/>
      <c r="K1005" s="243"/>
      <c r="L1005" s="244">
        <v>0.1</v>
      </c>
      <c r="M1005" s="244">
        <f t="shared" si="151"/>
        <v>0</v>
      </c>
      <c r="N1005" s="244"/>
      <c r="O1005" s="244"/>
      <c r="P1005" s="244"/>
      <c r="Q1005" s="245">
        <f t="shared" si="152"/>
        <v>0</v>
      </c>
      <c r="R1005" s="245">
        <f t="shared" si="153"/>
        <v>0</v>
      </c>
      <c r="S1005" s="246">
        <v>0.5</v>
      </c>
      <c r="T1005" s="245">
        <f t="shared" si="154"/>
        <v>0</v>
      </c>
      <c r="U1005" s="245">
        <f t="shared" si="155"/>
        <v>0</v>
      </c>
      <c r="V1005" s="247"/>
    </row>
    <row r="1006" spans="1:22" ht="15.75" x14ac:dyDescent="0.25">
      <c r="A1006" s="236"/>
      <c r="B1006" s="237"/>
      <c r="C1006" s="238"/>
      <c r="D1006" s="239"/>
      <c r="E1006" s="240"/>
      <c r="F1006" s="240"/>
      <c r="G1006" s="240"/>
      <c r="H1006" s="241">
        <f t="shared" si="150"/>
        <v>0</v>
      </c>
      <c r="I1006" s="242"/>
      <c r="J1006" s="243"/>
      <c r="K1006" s="243"/>
      <c r="L1006" s="244">
        <v>0.1</v>
      </c>
      <c r="M1006" s="244">
        <f t="shared" si="151"/>
        <v>0</v>
      </c>
      <c r="N1006" s="244"/>
      <c r="O1006" s="244"/>
      <c r="P1006" s="244"/>
      <c r="Q1006" s="245">
        <f t="shared" si="152"/>
        <v>0</v>
      </c>
      <c r="R1006" s="245">
        <f t="shared" si="153"/>
        <v>0</v>
      </c>
      <c r="S1006" s="246">
        <v>0.5</v>
      </c>
      <c r="T1006" s="245">
        <f t="shared" si="154"/>
        <v>0</v>
      </c>
      <c r="U1006" s="245">
        <f t="shared" si="155"/>
        <v>0</v>
      </c>
      <c r="V1006" s="247"/>
    </row>
    <row r="1007" spans="1:22" ht="15.75" x14ac:dyDescent="0.25">
      <c r="A1007" s="236"/>
      <c r="B1007" s="237"/>
      <c r="C1007" s="238"/>
      <c r="D1007" s="239"/>
      <c r="E1007" s="240"/>
      <c r="F1007" s="240"/>
      <c r="G1007" s="240"/>
      <c r="H1007" s="241">
        <f t="shared" si="150"/>
        <v>0</v>
      </c>
      <c r="I1007" s="242"/>
      <c r="J1007" s="243"/>
      <c r="K1007" s="243"/>
      <c r="L1007" s="244">
        <v>0.1</v>
      </c>
      <c r="M1007" s="244">
        <f t="shared" si="151"/>
        <v>0</v>
      </c>
      <c r="N1007" s="244"/>
      <c r="O1007" s="244"/>
      <c r="P1007" s="244"/>
      <c r="Q1007" s="245">
        <f t="shared" si="152"/>
        <v>0</v>
      </c>
      <c r="R1007" s="245">
        <f t="shared" si="153"/>
        <v>0</v>
      </c>
      <c r="S1007" s="246">
        <v>0.5</v>
      </c>
      <c r="T1007" s="245">
        <f t="shared" si="154"/>
        <v>0</v>
      </c>
      <c r="U1007" s="245">
        <f t="shared" si="155"/>
        <v>0</v>
      </c>
      <c r="V1007" s="247"/>
    </row>
    <row r="1008" spans="1:22" ht="15.75" x14ac:dyDescent="0.25">
      <c r="A1008" s="236"/>
      <c r="B1008" s="237"/>
      <c r="C1008" s="238"/>
      <c r="D1008" s="239"/>
      <c r="E1008" s="240"/>
      <c r="F1008" s="240"/>
      <c r="G1008" s="240"/>
      <c r="H1008" s="241">
        <f t="shared" si="150"/>
        <v>0</v>
      </c>
      <c r="I1008" s="242"/>
      <c r="J1008" s="243"/>
      <c r="K1008" s="243"/>
      <c r="L1008" s="244">
        <v>0.1</v>
      </c>
      <c r="M1008" s="244">
        <f t="shared" si="151"/>
        <v>0</v>
      </c>
      <c r="N1008" s="244"/>
      <c r="O1008" s="244"/>
      <c r="P1008" s="244"/>
      <c r="Q1008" s="245">
        <f t="shared" si="152"/>
        <v>0</v>
      </c>
      <c r="R1008" s="245">
        <f t="shared" si="153"/>
        <v>0</v>
      </c>
      <c r="S1008" s="246">
        <v>0.5</v>
      </c>
      <c r="T1008" s="245">
        <f t="shared" si="154"/>
        <v>0</v>
      </c>
      <c r="U1008" s="245">
        <f t="shared" si="155"/>
        <v>0</v>
      </c>
      <c r="V1008" s="247"/>
    </row>
    <row r="1009" spans="1:22" ht="15.75" x14ac:dyDescent="0.25">
      <c r="A1009" s="236"/>
      <c r="B1009" s="237"/>
      <c r="C1009" s="238"/>
      <c r="D1009" s="239"/>
      <c r="E1009" s="240"/>
      <c r="F1009" s="240"/>
      <c r="G1009" s="240"/>
      <c r="H1009" s="241">
        <f t="shared" si="150"/>
        <v>0</v>
      </c>
      <c r="I1009" s="242"/>
      <c r="J1009" s="243"/>
      <c r="K1009" s="243"/>
      <c r="L1009" s="244">
        <v>0.1</v>
      </c>
      <c r="M1009" s="244">
        <f t="shared" si="151"/>
        <v>0</v>
      </c>
      <c r="N1009" s="244"/>
      <c r="O1009" s="244"/>
      <c r="P1009" s="244"/>
      <c r="Q1009" s="245">
        <f t="shared" si="152"/>
        <v>0</v>
      </c>
      <c r="R1009" s="245">
        <f t="shared" si="153"/>
        <v>0</v>
      </c>
      <c r="S1009" s="246">
        <v>0.5</v>
      </c>
      <c r="T1009" s="245">
        <f t="shared" si="154"/>
        <v>0</v>
      </c>
      <c r="U1009" s="245">
        <f t="shared" si="155"/>
        <v>0</v>
      </c>
      <c r="V1009" s="247"/>
    </row>
    <row r="1010" spans="1:22" ht="15.75" x14ac:dyDescent="0.25">
      <c r="A1010" s="236"/>
      <c r="B1010" s="237"/>
      <c r="C1010" s="238"/>
      <c r="D1010" s="239"/>
      <c r="E1010" s="240"/>
      <c r="F1010" s="240"/>
      <c r="G1010" s="240"/>
      <c r="H1010" s="241">
        <f t="shared" si="150"/>
        <v>0</v>
      </c>
      <c r="I1010" s="242"/>
      <c r="J1010" s="243"/>
      <c r="K1010" s="243"/>
      <c r="L1010" s="244">
        <v>0.1</v>
      </c>
      <c r="M1010" s="244">
        <f t="shared" si="151"/>
        <v>0</v>
      </c>
      <c r="N1010" s="244"/>
      <c r="O1010" s="244"/>
      <c r="P1010" s="244"/>
      <c r="Q1010" s="245">
        <f t="shared" si="152"/>
        <v>0</v>
      </c>
      <c r="R1010" s="245">
        <f t="shared" si="153"/>
        <v>0</v>
      </c>
      <c r="S1010" s="246">
        <v>0.5</v>
      </c>
      <c r="T1010" s="245">
        <f t="shared" si="154"/>
        <v>0</v>
      </c>
      <c r="U1010" s="245">
        <f t="shared" si="155"/>
        <v>0</v>
      </c>
      <c r="V1010" s="247"/>
    </row>
    <row r="1011" spans="1:22" ht="15.75" x14ac:dyDescent="0.25">
      <c r="A1011" s="236"/>
      <c r="B1011" s="237"/>
      <c r="C1011" s="238"/>
      <c r="D1011" s="239"/>
      <c r="E1011" s="240"/>
      <c r="F1011" s="240"/>
      <c r="G1011" s="240"/>
      <c r="H1011" s="241">
        <f t="shared" si="150"/>
        <v>0</v>
      </c>
      <c r="I1011" s="242"/>
      <c r="J1011" s="243"/>
      <c r="K1011" s="243"/>
      <c r="L1011" s="244">
        <v>0.1</v>
      </c>
      <c r="M1011" s="244">
        <f t="shared" si="151"/>
        <v>0</v>
      </c>
      <c r="N1011" s="244"/>
      <c r="O1011" s="244"/>
      <c r="P1011" s="244"/>
      <c r="Q1011" s="245">
        <f t="shared" si="152"/>
        <v>0</v>
      </c>
      <c r="R1011" s="245">
        <f t="shared" si="153"/>
        <v>0</v>
      </c>
      <c r="S1011" s="246">
        <v>0.5</v>
      </c>
      <c r="T1011" s="245">
        <f t="shared" si="154"/>
        <v>0</v>
      </c>
      <c r="U1011" s="245">
        <f t="shared" si="155"/>
        <v>0</v>
      </c>
      <c r="V1011" s="247"/>
    </row>
    <row r="1012" spans="1:22" ht="15.75" x14ac:dyDescent="0.25">
      <c r="A1012" s="236"/>
      <c r="B1012" s="237"/>
      <c r="C1012" s="238"/>
      <c r="D1012" s="239"/>
      <c r="E1012" s="240"/>
      <c r="F1012" s="240"/>
      <c r="G1012" s="240"/>
      <c r="H1012" s="241">
        <f t="shared" si="150"/>
        <v>0</v>
      </c>
      <c r="I1012" s="242"/>
      <c r="J1012" s="243"/>
      <c r="K1012" s="243"/>
      <c r="L1012" s="244">
        <v>0.1</v>
      </c>
      <c r="M1012" s="244">
        <f t="shared" si="151"/>
        <v>0</v>
      </c>
      <c r="N1012" s="244"/>
      <c r="O1012" s="244"/>
      <c r="P1012" s="244"/>
      <c r="Q1012" s="245">
        <f t="shared" si="152"/>
        <v>0</v>
      </c>
      <c r="R1012" s="245">
        <f t="shared" si="153"/>
        <v>0</v>
      </c>
      <c r="S1012" s="246">
        <v>0.5</v>
      </c>
      <c r="T1012" s="245">
        <f t="shared" si="154"/>
        <v>0</v>
      </c>
      <c r="U1012" s="245">
        <f t="shared" si="155"/>
        <v>0</v>
      </c>
      <c r="V1012" s="247"/>
    </row>
    <row r="1013" spans="1:22" ht="15.75" x14ac:dyDescent="0.25">
      <c r="A1013" s="236"/>
      <c r="B1013" s="237"/>
      <c r="C1013" s="238"/>
      <c r="D1013" s="239"/>
      <c r="E1013" s="240"/>
      <c r="F1013" s="240"/>
      <c r="G1013" s="240"/>
      <c r="H1013" s="241">
        <f t="shared" si="150"/>
        <v>0</v>
      </c>
      <c r="I1013" s="242"/>
      <c r="J1013" s="243"/>
      <c r="K1013" s="243"/>
      <c r="L1013" s="244">
        <v>0.1</v>
      </c>
      <c r="M1013" s="244">
        <f t="shared" si="151"/>
        <v>0</v>
      </c>
      <c r="N1013" s="244"/>
      <c r="O1013" s="244"/>
      <c r="P1013" s="244"/>
      <c r="Q1013" s="245">
        <f t="shared" si="152"/>
        <v>0</v>
      </c>
      <c r="R1013" s="245">
        <f t="shared" si="153"/>
        <v>0</v>
      </c>
      <c r="S1013" s="246">
        <v>0.5</v>
      </c>
      <c r="T1013" s="245">
        <f t="shared" si="154"/>
        <v>0</v>
      </c>
      <c r="U1013" s="245">
        <f t="shared" si="155"/>
        <v>0</v>
      </c>
      <c r="V1013" s="247"/>
    </row>
    <row r="1014" spans="1:22" ht="15.75" x14ac:dyDescent="0.25">
      <c r="A1014" s="236"/>
      <c r="B1014" s="237"/>
      <c r="C1014" s="238"/>
      <c r="D1014" s="239"/>
      <c r="E1014" s="240"/>
      <c r="F1014" s="240"/>
      <c r="G1014" s="240"/>
      <c r="H1014" s="241">
        <f t="shared" si="150"/>
        <v>0</v>
      </c>
      <c r="I1014" s="242"/>
      <c r="J1014" s="243"/>
      <c r="K1014" s="243"/>
      <c r="L1014" s="244">
        <v>0.1</v>
      </c>
      <c r="M1014" s="244">
        <f t="shared" si="151"/>
        <v>0</v>
      </c>
      <c r="N1014" s="244"/>
      <c r="O1014" s="244"/>
      <c r="P1014" s="244"/>
      <c r="Q1014" s="245">
        <f t="shared" si="152"/>
        <v>0</v>
      </c>
      <c r="R1014" s="245">
        <f t="shared" si="153"/>
        <v>0</v>
      </c>
      <c r="S1014" s="246">
        <v>0.5</v>
      </c>
      <c r="T1014" s="245">
        <f t="shared" si="154"/>
        <v>0</v>
      </c>
      <c r="U1014" s="245">
        <f t="shared" si="155"/>
        <v>0</v>
      </c>
      <c r="V1014" s="247"/>
    </row>
    <row r="1015" spans="1:22" ht="15.75" x14ac:dyDescent="0.25">
      <c r="A1015" s="236"/>
      <c r="B1015" s="237"/>
      <c r="C1015" s="238"/>
      <c r="D1015" s="239"/>
      <c r="E1015" s="240"/>
      <c r="F1015" s="240"/>
      <c r="G1015" s="240"/>
      <c r="H1015" s="241">
        <f t="shared" si="150"/>
        <v>0</v>
      </c>
      <c r="I1015" s="242"/>
      <c r="J1015" s="243"/>
      <c r="K1015" s="243"/>
      <c r="L1015" s="244">
        <v>0.1</v>
      </c>
      <c r="M1015" s="244">
        <f t="shared" si="151"/>
        <v>0</v>
      </c>
      <c r="N1015" s="244"/>
      <c r="O1015" s="244"/>
      <c r="P1015" s="244"/>
      <c r="Q1015" s="245">
        <f t="shared" si="152"/>
        <v>0</v>
      </c>
      <c r="R1015" s="245">
        <f t="shared" si="153"/>
        <v>0</v>
      </c>
      <c r="S1015" s="246">
        <v>0.5</v>
      </c>
      <c r="T1015" s="245">
        <f t="shared" si="154"/>
        <v>0</v>
      </c>
      <c r="U1015" s="245">
        <f t="shared" si="155"/>
        <v>0</v>
      </c>
      <c r="V1015" s="247"/>
    </row>
    <row r="1016" spans="1:22" ht="15.75" x14ac:dyDescent="0.25">
      <c r="A1016" s="236"/>
      <c r="B1016" s="237"/>
      <c r="C1016" s="238"/>
      <c r="D1016" s="239"/>
      <c r="E1016" s="240"/>
      <c r="F1016" s="240"/>
      <c r="G1016" s="240"/>
      <c r="H1016" s="241">
        <f t="shared" si="150"/>
        <v>0</v>
      </c>
      <c r="I1016" s="242"/>
      <c r="J1016" s="243"/>
      <c r="K1016" s="243"/>
      <c r="L1016" s="244">
        <v>0.1</v>
      </c>
      <c r="M1016" s="244">
        <f t="shared" si="151"/>
        <v>0</v>
      </c>
      <c r="N1016" s="244"/>
      <c r="O1016" s="244"/>
      <c r="P1016" s="244"/>
      <c r="Q1016" s="245">
        <f t="shared" si="152"/>
        <v>0</v>
      </c>
      <c r="R1016" s="245">
        <f t="shared" si="153"/>
        <v>0</v>
      </c>
      <c r="S1016" s="246">
        <v>0.5</v>
      </c>
      <c r="T1016" s="245">
        <f t="shared" si="154"/>
        <v>0</v>
      </c>
      <c r="U1016" s="245">
        <f t="shared" si="155"/>
        <v>0</v>
      </c>
      <c r="V1016" s="247"/>
    </row>
    <row r="1017" spans="1:22" ht="15.75" x14ac:dyDescent="0.25">
      <c r="A1017" s="236"/>
      <c r="B1017" s="237"/>
      <c r="C1017" s="238"/>
      <c r="D1017" s="239"/>
      <c r="E1017" s="240"/>
      <c r="F1017" s="240"/>
      <c r="G1017" s="240"/>
      <c r="H1017" s="241">
        <f t="shared" si="150"/>
        <v>0</v>
      </c>
      <c r="I1017" s="242"/>
      <c r="J1017" s="243"/>
      <c r="K1017" s="243"/>
      <c r="L1017" s="244">
        <v>0.1</v>
      </c>
      <c r="M1017" s="244">
        <f t="shared" si="151"/>
        <v>0</v>
      </c>
      <c r="N1017" s="244"/>
      <c r="O1017" s="244"/>
      <c r="P1017" s="244"/>
      <c r="Q1017" s="245">
        <f t="shared" si="152"/>
        <v>0</v>
      </c>
      <c r="R1017" s="245">
        <f t="shared" si="153"/>
        <v>0</v>
      </c>
      <c r="S1017" s="246">
        <v>0.5</v>
      </c>
      <c r="T1017" s="245">
        <f t="shared" si="154"/>
        <v>0</v>
      </c>
      <c r="U1017" s="245">
        <f t="shared" si="155"/>
        <v>0</v>
      </c>
      <c r="V1017" s="247"/>
    </row>
    <row r="1018" spans="1:22" ht="15.75" x14ac:dyDescent="0.25">
      <c r="A1018" s="236"/>
      <c r="B1018" s="237"/>
      <c r="C1018" s="238"/>
      <c r="D1018" s="239"/>
      <c r="E1018" s="240"/>
      <c r="F1018" s="240"/>
      <c r="G1018" s="240"/>
      <c r="H1018" s="241">
        <f t="shared" si="150"/>
        <v>0</v>
      </c>
      <c r="I1018" s="242"/>
      <c r="J1018" s="243"/>
      <c r="K1018" s="243"/>
      <c r="L1018" s="244">
        <v>0.1</v>
      </c>
      <c r="M1018" s="244">
        <f t="shared" si="151"/>
        <v>0</v>
      </c>
      <c r="N1018" s="244"/>
      <c r="O1018" s="244"/>
      <c r="P1018" s="244"/>
      <c r="Q1018" s="245">
        <f t="shared" si="152"/>
        <v>0</v>
      </c>
      <c r="R1018" s="245">
        <f t="shared" si="153"/>
        <v>0</v>
      </c>
      <c r="S1018" s="246">
        <v>0.5</v>
      </c>
      <c r="T1018" s="245">
        <f t="shared" si="154"/>
        <v>0</v>
      </c>
      <c r="U1018" s="245">
        <f t="shared" si="155"/>
        <v>0</v>
      </c>
      <c r="V1018" s="247"/>
    </row>
    <row r="1019" spans="1:22" ht="15.75" x14ac:dyDescent="0.25">
      <c r="A1019" s="236"/>
      <c r="B1019" s="237"/>
      <c r="C1019" s="238"/>
      <c r="D1019" s="239"/>
      <c r="E1019" s="240"/>
      <c r="F1019" s="240"/>
      <c r="G1019" s="240"/>
      <c r="H1019" s="241">
        <f t="shared" si="150"/>
        <v>0</v>
      </c>
      <c r="I1019" s="242"/>
      <c r="J1019" s="243"/>
      <c r="K1019" s="243"/>
      <c r="L1019" s="244">
        <v>0.1</v>
      </c>
      <c r="M1019" s="244">
        <f t="shared" si="151"/>
        <v>0</v>
      </c>
      <c r="N1019" s="244"/>
      <c r="O1019" s="244"/>
      <c r="P1019" s="244"/>
      <c r="Q1019" s="245">
        <f t="shared" si="152"/>
        <v>0</v>
      </c>
      <c r="R1019" s="245">
        <f t="shared" si="153"/>
        <v>0</v>
      </c>
      <c r="S1019" s="246">
        <v>0.5</v>
      </c>
      <c r="T1019" s="245">
        <f t="shared" si="154"/>
        <v>0</v>
      </c>
      <c r="U1019" s="245">
        <f t="shared" si="155"/>
        <v>0</v>
      </c>
      <c r="V1019" s="247"/>
    </row>
    <row r="1020" spans="1:22" ht="15.75" x14ac:dyDescent="0.25">
      <c r="A1020" s="236"/>
      <c r="B1020" s="237"/>
      <c r="C1020" s="238"/>
      <c r="D1020" s="239"/>
      <c r="E1020" s="240"/>
      <c r="F1020" s="240"/>
      <c r="G1020" s="240"/>
      <c r="H1020" s="241">
        <f t="shared" si="150"/>
        <v>0</v>
      </c>
      <c r="I1020" s="242"/>
      <c r="J1020" s="243"/>
      <c r="K1020" s="243"/>
      <c r="L1020" s="244">
        <v>0.1</v>
      </c>
      <c r="M1020" s="244">
        <f t="shared" si="151"/>
        <v>0</v>
      </c>
      <c r="N1020" s="244"/>
      <c r="O1020" s="244"/>
      <c r="P1020" s="244"/>
      <c r="Q1020" s="245">
        <f t="shared" si="152"/>
        <v>0</v>
      </c>
      <c r="R1020" s="245">
        <f t="shared" si="153"/>
        <v>0</v>
      </c>
      <c r="S1020" s="246">
        <v>0.5</v>
      </c>
      <c r="T1020" s="245">
        <f t="shared" si="154"/>
        <v>0</v>
      </c>
      <c r="U1020" s="245">
        <f t="shared" si="155"/>
        <v>0</v>
      </c>
      <c r="V1020" s="247"/>
    </row>
    <row r="1021" spans="1:22" ht="15.75" x14ac:dyDescent="0.25">
      <c r="A1021" s="236"/>
      <c r="B1021" s="237"/>
      <c r="C1021" s="238"/>
      <c r="D1021" s="239"/>
      <c r="E1021" s="240"/>
      <c r="F1021" s="240"/>
      <c r="G1021" s="240"/>
      <c r="H1021" s="241">
        <f t="shared" si="150"/>
        <v>0</v>
      </c>
      <c r="I1021" s="242"/>
      <c r="J1021" s="243"/>
      <c r="K1021" s="243"/>
      <c r="L1021" s="244">
        <v>0.1</v>
      </c>
      <c r="M1021" s="244">
        <f t="shared" si="151"/>
        <v>0</v>
      </c>
      <c r="N1021" s="244"/>
      <c r="O1021" s="244"/>
      <c r="P1021" s="244"/>
      <c r="Q1021" s="245">
        <f t="shared" si="152"/>
        <v>0</v>
      </c>
      <c r="R1021" s="245">
        <f t="shared" si="153"/>
        <v>0</v>
      </c>
      <c r="S1021" s="246">
        <v>0.5</v>
      </c>
      <c r="T1021" s="245">
        <f t="shared" si="154"/>
        <v>0</v>
      </c>
      <c r="U1021" s="245">
        <f t="shared" si="155"/>
        <v>0</v>
      </c>
      <c r="V1021" s="247"/>
    </row>
    <row r="1022" spans="1:22" ht="15.75" x14ac:dyDescent="0.25">
      <c r="A1022" s="236"/>
      <c r="B1022" s="237"/>
      <c r="C1022" s="238"/>
      <c r="D1022" s="239"/>
      <c r="E1022" s="240"/>
      <c r="F1022" s="240"/>
      <c r="G1022" s="240"/>
      <c r="H1022" s="241">
        <f t="shared" si="150"/>
        <v>0</v>
      </c>
      <c r="I1022" s="242"/>
      <c r="J1022" s="243"/>
      <c r="K1022" s="243"/>
      <c r="L1022" s="244">
        <v>0.1</v>
      </c>
      <c r="M1022" s="244">
        <f t="shared" si="151"/>
        <v>0</v>
      </c>
      <c r="N1022" s="244"/>
      <c r="O1022" s="244"/>
      <c r="P1022" s="244"/>
      <c r="Q1022" s="245">
        <f t="shared" si="152"/>
        <v>0</v>
      </c>
      <c r="R1022" s="245">
        <f t="shared" si="153"/>
        <v>0</v>
      </c>
      <c r="S1022" s="246">
        <v>0.5</v>
      </c>
      <c r="T1022" s="245">
        <f t="shared" si="154"/>
        <v>0</v>
      </c>
      <c r="U1022" s="245">
        <f t="shared" si="155"/>
        <v>0</v>
      </c>
      <c r="V1022" s="247"/>
    </row>
    <row r="1023" spans="1:22" ht="15.75" x14ac:dyDescent="0.25">
      <c r="A1023" s="236"/>
      <c r="B1023" s="237"/>
      <c r="C1023" s="238"/>
      <c r="D1023" s="239"/>
      <c r="E1023" s="240"/>
      <c r="F1023" s="240"/>
      <c r="G1023" s="240"/>
      <c r="H1023" s="241">
        <f t="shared" si="150"/>
        <v>0</v>
      </c>
      <c r="I1023" s="242"/>
      <c r="J1023" s="243"/>
      <c r="K1023" s="243"/>
      <c r="L1023" s="244">
        <v>0.1</v>
      </c>
      <c r="M1023" s="244">
        <f t="shared" si="151"/>
        <v>0</v>
      </c>
      <c r="N1023" s="244"/>
      <c r="O1023" s="244"/>
      <c r="P1023" s="244"/>
      <c r="Q1023" s="245">
        <f t="shared" si="152"/>
        <v>0</v>
      </c>
      <c r="R1023" s="245">
        <f t="shared" si="153"/>
        <v>0</v>
      </c>
      <c r="S1023" s="246">
        <v>0.5</v>
      </c>
      <c r="T1023" s="245">
        <f t="shared" si="154"/>
        <v>0</v>
      </c>
      <c r="U1023" s="245">
        <f t="shared" si="155"/>
        <v>0</v>
      </c>
      <c r="V1023" s="247"/>
    </row>
    <row r="1024" spans="1:22" ht="15.75" x14ac:dyDescent="0.25">
      <c r="A1024" s="236"/>
      <c r="B1024" s="237"/>
      <c r="C1024" s="238"/>
      <c r="D1024" s="239"/>
      <c r="E1024" s="240"/>
      <c r="F1024" s="240"/>
      <c r="G1024" s="240"/>
      <c r="H1024" s="241">
        <f t="shared" si="150"/>
        <v>0</v>
      </c>
      <c r="I1024" s="242"/>
      <c r="J1024" s="243"/>
      <c r="K1024" s="243"/>
      <c r="L1024" s="244">
        <v>0.1</v>
      </c>
      <c r="M1024" s="244">
        <f t="shared" si="151"/>
        <v>0</v>
      </c>
      <c r="N1024" s="244"/>
      <c r="O1024" s="244"/>
      <c r="P1024" s="244"/>
      <c r="Q1024" s="245">
        <f t="shared" si="152"/>
        <v>0</v>
      </c>
      <c r="R1024" s="245">
        <f t="shared" si="153"/>
        <v>0</v>
      </c>
      <c r="S1024" s="246">
        <v>0.5</v>
      </c>
      <c r="T1024" s="245">
        <f t="shared" si="154"/>
        <v>0</v>
      </c>
      <c r="U1024" s="245">
        <f t="shared" si="155"/>
        <v>0</v>
      </c>
      <c r="V1024" s="247"/>
    </row>
    <row r="1025" spans="1:22" ht="15.75" x14ac:dyDescent="0.25">
      <c r="A1025" s="236"/>
      <c r="B1025" s="237"/>
      <c r="C1025" s="238"/>
      <c r="D1025" s="239"/>
      <c r="E1025" s="240"/>
      <c r="F1025" s="240"/>
      <c r="G1025" s="240"/>
      <c r="H1025" s="241">
        <f t="shared" si="150"/>
        <v>0</v>
      </c>
      <c r="I1025" s="242"/>
      <c r="J1025" s="243"/>
      <c r="K1025" s="243"/>
      <c r="L1025" s="244">
        <v>0.1</v>
      </c>
      <c r="M1025" s="244">
        <f t="shared" si="151"/>
        <v>0</v>
      </c>
      <c r="N1025" s="244"/>
      <c r="O1025" s="244"/>
      <c r="P1025" s="244"/>
      <c r="Q1025" s="245">
        <f t="shared" si="152"/>
        <v>0</v>
      </c>
      <c r="R1025" s="245">
        <f t="shared" si="153"/>
        <v>0</v>
      </c>
      <c r="S1025" s="246">
        <v>0.5</v>
      </c>
      <c r="T1025" s="245">
        <f t="shared" si="154"/>
        <v>0</v>
      </c>
      <c r="U1025" s="245">
        <f t="shared" si="155"/>
        <v>0</v>
      </c>
      <c r="V1025" s="247"/>
    </row>
    <row r="1026" spans="1:22" ht="15.75" x14ac:dyDescent="0.25">
      <c r="A1026" s="236"/>
      <c r="B1026" s="237"/>
      <c r="C1026" s="238"/>
      <c r="D1026" s="239"/>
      <c r="E1026" s="240"/>
      <c r="F1026" s="240"/>
      <c r="G1026" s="240"/>
      <c r="H1026" s="241">
        <f t="shared" si="150"/>
        <v>0</v>
      </c>
      <c r="I1026" s="242"/>
      <c r="J1026" s="243"/>
      <c r="K1026" s="243"/>
      <c r="L1026" s="244">
        <v>0.1</v>
      </c>
      <c r="M1026" s="244">
        <f t="shared" si="151"/>
        <v>0</v>
      </c>
      <c r="N1026" s="244"/>
      <c r="O1026" s="244"/>
      <c r="P1026" s="244"/>
      <c r="Q1026" s="245">
        <f t="shared" si="152"/>
        <v>0</v>
      </c>
      <c r="R1026" s="245">
        <f t="shared" si="153"/>
        <v>0</v>
      </c>
      <c r="S1026" s="246">
        <v>0.5</v>
      </c>
      <c r="T1026" s="245">
        <f t="shared" si="154"/>
        <v>0</v>
      </c>
      <c r="U1026" s="245">
        <f t="shared" si="155"/>
        <v>0</v>
      </c>
      <c r="V1026" s="247"/>
    </row>
    <row r="1027" spans="1:22" ht="15.75" x14ac:dyDescent="0.25">
      <c r="A1027" s="236"/>
      <c r="B1027" s="237"/>
      <c r="C1027" s="238"/>
      <c r="D1027" s="239"/>
      <c r="E1027" s="240"/>
      <c r="F1027" s="240"/>
      <c r="G1027" s="240"/>
      <c r="H1027" s="241">
        <f t="shared" si="150"/>
        <v>0</v>
      </c>
      <c r="I1027" s="242"/>
      <c r="J1027" s="243"/>
      <c r="K1027" s="243"/>
      <c r="L1027" s="244">
        <v>0.1</v>
      </c>
      <c r="M1027" s="244">
        <f t="shared" si="151"/>
        <v>0</v>
      </c>
      <c r="N1027" s="244"/>
      <c r="O1027" s="244"/>
      <c r="P1027" s="244"/>
      <c r="Q1027" s="245">
        <f t="shared" si="152"/>
        <v>0</v>
      </c>
      <c r="R1027" s="245">
        <f t="shared" si="153"/>
        <v>0</v>
      </c>
      <c r="S1027" s="246">
        <v>0.5</v>
      </c>
      <c r="T1027" s="245">
        <f t="shared" si="154"/>
        <v>0</v>
      </c>
      <c r="U1027" s="245">
        <f t="shared" si="155"/>
        <v>0</v>
      </c>
      <c r="V1027" s="247"/>
    </row>
    <row r="1028" spans="1:22" ht="15.75" x14ac:dyDescent="0.25">
      <c r="A1028" s="236"/>
      <c r="B1028" s="237"/>
      <c r="C1028" s="238"/>
      <c r="D1028" s="239"/>
      <c r="E1028" s="240"/>
      <c r="F1028" s="240"/>
      <c r="G1028" s="240"/>
      <c r="H1028" s="241">
        <f t="shared" si="150"/>
        <v>0</v>
      </c>
      <c r="I1028" s="242"/>
      <c r="J1028" s="243"/>
      <c r="K1028" s="243"/>
      <c r="L1028" s="244">
        <v>0.1</v>
      </c>
      <c r="M1028" s="244">
        <f t="shared" si="151"/>
        <v>0</v>
      </c>
      <c r="N1028" s="244"/>
      <c r="O1028" s="244"/>
      <c r="P1028" s="244"/>
      <c r="Q1028" s="245">
        <f t="shared" si="152"/>
        <v>0</v>
      </c>
      <c r="R1028" s="245">
        <f t="shared" si="153"/>
        <v>0</v>
      </c>
      <c r="S1028" s="246">
        <v>0.5</v>
      </c>
      <c r="T1028" s="245">
        <f t="shared" si="154"/>
        <v>0</v>
      </c>
      <c r="U1028" s="245">
        <f t="shared" si="155"/>
        <v>0</v>
      </c>
      <c r="V1028" s="247"/>
    </row>
    <row r="1029" spans="1:22" ht="15.75" x14ac:dyDescent="0.25">
      <c r="A1029" s="236"/>
      <c r="B1029" s="237"/>
      <c r="C1029" s="238"/>
      <c r="D1029" s="239"/>
      <c r="E1029" s="240"/>
      <c r="F1029" s="240"/>
      <c r="G1029" s="240"/>
      <c r="H1029" s="241">
        <f t="shared" si="150"/>
        <v>0</v>
      </c>
      <c r="I1029" s="242"/>
      <c r="J1029" s="243"/>
      <c r="K1029" s="243"/>
      <c r="L1029" s="244">
        <v>0.1</v>
      </c>
      <c r="M1029" s="244">
        <f t="shared" si="151"/>
        <v>0</v>
      </c>
      <c r="N1029" s="244"/>
      <c r="O1029" s="244"/>
      <c r="P1029" s="244"/>
      <c r="Q1029" s="245">
        <f t="shared" si="152"/>
        <v>0</v>
      </c>
      <c r="R1029" s="245">
        <f t="shared" si="153"/>
        <v>0</v>
      </c>
      <c r="S1029" s="246">
        <v>0.5</v>
      </c>
      <c r="T1029" s="245">
        <f t="shared" si="154"/>
        <v>0</v>
      </c>
      <c r="U1029" s="245">
        <f t="shared" si="155"/>
        <v>0</v>
      </c>
      <c r="V1029" s="247"/>
    </row>
    <row r="1030" spans="1:22" ht="15.75" x14ac:dyDescent="0.25">
      <c r="A1030" s="236"/>
      <c r="B1030" s="237"/>
      <c r="C1030" s="238"/>
      <c r="D1030" s="239"/>
      <c r="E1030" s="240"/>
      <c r="F1030" s="240"/>
      <c r="G1030" s="240"/>
      <c r="H1030" s="241">
        <f t="shared" si="150"/>
        <v>0</v>
      </c>
      <c r="I1030" s="242"/>
      <c r="J1030" s="243"/>
      <c r="K1030" s="243"/>
      <c r="L1030" s="244">
        <v>0.1</v>
      </c>
      <c r="M1030" s="244">
        <f t="shared" si="151"/>
        <v>0</v>
      </c>
      <c r="N1030" s="244"/>
      <c r="O1030" s="244"/>
      <c r="P1030" s="244"/>
      <c r="Q1030" s="245">
        <f t="shared" si="152"/>
        <v>0</v>
      </c>
      <c r="R1030" s="245">
        <f t="shared" si="153"/>
        <v>0</v>
      </c>
      <c r="S1030" s="246">
        <v>0.5</v>
      </c>
      <c r="T1030" s="245">
        <f t="shared" si="154"/>
        <v>0</v>
      </c>
      <c r="U1030" s="245">
        <f t="shared" si="155"/>
        <v>0</v>
      </c>
      <c r="V1030" s="247"/>
    </row>
    <row r="1031" spans="1:22" ht="15.75" x14ac:dyDescent="0.25">
      <c r="A1031" s="236"/>
      <c r="B1031" s="237"/>
      <c r="C1031" s="238"/>
      <c r="D1031" s="239"/>
      <c r="E1031" s="240"/>
      <c r="F1031" s="240"/>
      <c r="G1031" s="240"/>
      <c r="H1031" s="241">
        <f t="shared" si="150"/>
        <v>0</v>
      </c>
      <c r="I1031" s="242"/>
      <c r="J1031" s="243"/>
      <c r="K1031" s="243"/>
      <c r="L1031" s="244">
        <v>0.1</v>
      </c>
      <c r="M1031" s="244">
        <f t="shared" si="151"/>
        <v>0</v>
      </c>
      <c r="N1031" s="244"/>
      <c r="O1031" s="244"/>
      <c r="P1031" s="244"/>
      <c r="Q1031" s="245">
        <f t="shared" si="152"/>
        <v>0</v>
      </c>
      <c r="R1031" s="245">
        <f t="shared" si="153"/>
        <v>0</v>
      </c>
      <c r="S1031" s="246">
        <v>0.5</v>
      </c>
      <c r="T1031" s="245">
        <f t="shared" si="154"/>
        <v>0</v>
      </c>
      <c r="U1031" s="245">
        <f t="shared" si="155"/>
        <v>0</v>
      </c>
      <c r="V1031" s="247"/>
    </row>
    <row r="1032" spans="1:22" ht="15.75" x14ac:dyDescent="0.25">
      <c r="A1032" s="236"/>
      <c r="B1032" s="237"/>
      <c r="C1032" s="238"/>
      <c r="D1032" s="239"/>
      <c r="E1032" s="240"/>
      <c r="F1032" s="240"/>
      <c r="G1032" s="240"/>
      <c r="H1032" s="241">
        <f t="shared" si="150"/>
        <v>0</v>
      </c>
      <c r="I1032" s="242"/>
      <c r="J1032" s="243"/>
      <c r="K1032" s="243"/>
      <c r="L1032" s="244">
        <v>0.1</v>
      </c>
      <c r="M1032" s="244">
        <f t="shared" si="151"/>
        <v>0</v>
      </c>
      <c r="N1032" s="244"/>
      <c r="O1032" s="244"/>
      <c r="P1032" s="244"/>
      <c r="Q1032" s="245">
        <f t="shared" si="152"/>
        <v>0</v>
      </c>
      <c r="R1032" s="245">
        <f t="shared" si="153"/>
        <v>0</v>
      </c>
      <c r="S1032" s="246">
        <v>0.5</v>
      </c>
      <c r="T1032" s="245">
        <f t="shared" si="154"/>
        <v>0</v>
      </c>
      <c r="U1032" s="245">
        <f t="shared" si="155"/>
        <v>0</v>
      </c>
      <c r="V1032" s="247"/>
    </row>
    <row r="1033" spans="1:22" ht="15.75" x14ac:dyDescent="0.25">
      <c r="A1033" s="236"/>
      <c r="B1033" s="237"/>
      <c r="C1033" s="238"/>
      <c r="D1033" s="239"/>
      <c r="E1033" s="240"/>
      <c r="F1033" s="240"/>
      <c r="G1033" s="240"/>
      <c r="H1033" s="241">
        <f t="shared" si="150"/>
        <v>0</v>
      </c>
      <c r="I1033" s="242"/>
      <c r="J1033" s="243"/>
      <c r="K1033" s="243"/>
      <c r="L1033" s="244">
        <v>0.1</v>
      </c>
      <c r="M1033" s="244">
        <f t="shared" si="151"/>
        <v>0</v>
      </c>
      <c r="N1033" s="244"/>
      <c r="O1033" s="244"/>
      <c r="P1033" s="244"/>
      <c r="Q1033" s="245">
        <f t="shared" si="152"/>
        <v>0</v>
      </c>
      <c r="R1033" s="245">
        <f t="shared" si="153"/>
        <v>0</v>
      </c>
      <c r="S1033" s="246">
        <v>0.5</v>
      </c>
      <c r="T1033" s="245">
        <f t="shared" si="154"/>
        <v>0</v>
      </c>
      <c r="U1033" s="245">
        <f t="shared" si="155"/>
        <v>0</v>
      </c>
      <c r="V1033" s="247"/>
    </row>
    <row r="1034" spans="1:22" ht="15.75" x14ac:dyDescent="0.25">
      <c r="A1034" s="236"/>
      <c r="B1034" s="237"/>
      <c r="C1034" s="238"/>
      <c r="D1034" s="239"/>
      <c r="E1034" s="240"/>
      <c r="F1034" s="240"/>
      <c r="G1034" s="240"/>
      <c r="H1034" s="241">
        <f t="shared" si="150"/>
        <v>0</v>
      </c>
      <c r="I1034" s="242"/>
      <c r="J1034" s="243"/>
      <c r="K1034" s="243"/>
      <c r="L1034" s="244">
        <v>0.1</v>
      </c>
      <c r="M1034" s="244">
        <f t="shared" si="151"/>
        <v>0</v>
      </c>
      <c r="N1034" s="244"/>
      <c r="O1034" s="244"/>
      <c r="P1034" s="244"/>
      <c r="Q1034" s="245">
        <f t="shared" si="152"/>
        <v>0</v>
      </c>
      <c r="R1034" s="245">
        <f t="shared" si="153"/>
        <v>0</v>
      </c>
      <c r="S1034" s="246">
        <v>0.5</v>
      </c>
      <c r="T1034" s="245">
        <f t="shared" si="154"/>
        <v>0</v>
      </c>
      <c r="U1034" s="245">
        <f t="shared" si="155"/>
        <v>0</v>
      </c>
      <c r="V1034" s="247"/>
    </row>
    <row r="1035" spans="1:22" ht="15.75" x14ac:dyDescent="0.25">
      <c r="A1035" s="236"/>
      <c r="B1035" s="237"/>
      <c r="C1035" s="238"/>
      <c r="D1035" s="239"/>
      <c r="E1035" s="240"/>
      <c r="F1035" s="240"/>
      <c r="G1035" s="240"/>
      <c r="H1035" s="241">
        <f t="shared" si="150"/>
        <v>0</v>
      </c>
      <c r="I1035" s="242"/>
      <c r="J1035" s="243"/>
      <c r="K1035" s="243"/>
      <c r="L1035" s="244">
        <v>0.1</v>
      </c>
      <c r="M1035" s="244">
        <f t="shared" si="151"/>
        <v>0</v>
      </c>
      <c r="N1035" s="244"/>
      <c r="O1035" s="244"/>
      <c r="P1035" s="244"/>
      <c r="Q1035" s="245">
        <f t="shared" si="152"/>
        <v>0</v>
      </c>
      <c r="R1035" s="245">
        <f t="shared" si="153"/>
        <v>0</v>
      </c>
      <c r="S1035" s="246">
        <v>0.5</v>
      </c>
      <c r="T1035" s="245">
        <f t="shared" si="154"/>
        <v>0</v>
      </c>
      <c r="U1035" s="245">
        <f t="shared" si="155"/>
        <v>0</v>
      </c>
      <c r="V1035" s="247"/>
    </row>
    <row r="1036" spans="1:22" ht="15.75" x14ac:dyDescent="0.25">
      <c r="A1036" s="236"/>
      <c r="B1036" s="237"/>
      <c r="C1036" s="238"/>
      <c r="D1036" s="239"/>
      <c r="E1036" s="240"/>
      <c r="F1036" s="240"/>
      <c r="G1036" s="240"/>
      <c r="H1036" s="241">
        <f t="shared" si="150"/>
        <v>0</v>
      </c>
      <c r="I1036" s="242"/>
      <c r="J1036" s="243"/>
      <c r="K1036" s="243"/>
      <c r="L1036" s="244">
        <v>0.1</v>
      </c>
      <c r="M1036" s="244">
        <f t="shared" si="151"/>
        <v>0</v>
      </c>
      <c r="N1036" s="244"/>
      <c r="O1036" s="244"/>
      <c r="P1036" s="244"/>
      <c r="Q1036" s="245">
        <f t="shared" si="152"/>
        <v>0</v>
      </c>
      <c r="R1036" s="245">
        <f t="shared" si="153"/>
        <v>0</v>
      </c>
      <c r="S1036" s="246">
        <v>0.5</v>
      </c>
      <c r="T1036" s="245">
        <f t="shared" si="154"/>
        <v>0</v>
      </c>
      <c r="U1036" s="245">
        <f t="shared" si="155"/>
        <v>0</v>
      </c>
      <c r="V1036" s="247"/>
    </row>
    <row r="1037" spans="1:22" ht="15.75" x14ac:dyDescent="0.25">
      <c r="A1037" s="236"/>
      <c r="B1037" s="237"/>
      <c r="C1037" s="238"/>
      <c r="D1037" s="239"/>
      <c r="E1037" s="240"/>
      <c r="F1037" s="240"/>
      <c r="G1037" s="240"/>
      <c r="H1037" s="241">
        <f t="shared" si="150"/>
        <v>0</v>
      </c>
      <c r="I1037" s="242"/>
      <c r="J1037" s="243"/>
      <c r="K1037" s="243"/>
      <c r="L1037" s="244">
        <v>0.1</v>
      </c>
      <c r="M1037" s="244">
        <f t="shared" si="151"/>
        <v>0</v>
      </c>
      <c r="N1037" s="244"/>
      <c r="O1037" s="244"/>
      <c r="P1037" s="244"/>
      <c r="Q1037" s="245">
        <f t="shared" si="152"/>
        <v>0</v>
      </c>
      <c r="R1037" s="245">
        <f t="shared" si="153"/>
        <v>0</v>
      </c>
      <c r="S1037" s="246">
        <v>0.5</v>
      </c>
      <c r="T1037" s="245">
        <f t="shared" si="154"/>
        <v>0</v>
      </c>
      <c r="U1037" s="245">
        <f t="shared" si="155"/>
        <v>0</v>
      </c>
      <c r="V1037" s="247"/>
    </row>
    <row r="1038" spans="1:22" ht="15.75" x14ac:dyDescent="0.25">
      <c r="A1038" s="236"/>
      <c r="B1038" s="237"/>
      <c r="C1038" s="238"/>
      <c r="D1038" s="239"/>
      <c r="E1038" s="240"/>
      <c r="F1038" s="240"/>
      <c r="G1038" s="240"/>
      <c r="H1038" s="241">
        <f t="shared" si="150"/>
        <v>0</v>
      </c>
      <c r="I1038" s="242"/>
      <c r="J1038" s="243"/>
      <c r="K1038" s="243"/>
      <c r="L1038" s="244">
        <v>0.1</v>
      </c>
      <c r="M1038" s="244">
        <f t="shared" si="151"/>
        <v>0</v>
      </c>
      <c r="N1038" s="244"/>
      <c r="O1038" s="244"/>
      <c r="P1038" s="244"/>
      <c r="Q1038" s="245">
        <f t="shared" si="152"/>
        <v>0</v>
      </c>
      <c r="R1038" s="245">
        <f t="shared" si="153"/>
        <v>0</v>
      </c>
      <c r="S1038" s="246">
        <v>0.5</v>
      </c>
      <c r="T1038" s="245">
        <f t="shared" si="154"/>
        <v>0</v>
      </c>
      <c r="U1038" s="245">
        <f t="shared" si="155"/>
        <v>0</v>
      </c>
      <c r="V1038" s="247"/>
    </row>
    <row r="1039" spans="1:22" ht="15.75" x14ac:dyDescent="0.25">
      <c r="A1039" s="236"/>
      <c r="B1039" s="237"/>
      <c r="C1039" s="238"/>
      <c r="D1039" s="239"/>
      <c r="E1039" s="240"/>
      <c r="F1039" s="240"/>
      <c r="G1039" s="240"/>
      <c r="H1039" s="241">
        <f t="shared" si="150"/>
        <v>0</v>
      </c>
      <c r="I1039" s="242"/>
      <c r="J1039" s="243"/>
      <c r="K1039" s="243"/>
      <c r="L1039" s="244">
        <v>0.1</v>
      </c>
      <c r="M1039" s="244">
        <f t="shared" si="151"/>
        <v>0</v>
      </c>
      <c r="N1039" s="244"/>
      <c r="O1039" s="244"/>
      <c r="P1039" s="244"/>
      <c r="Q1039" s="245">
        <f t="shared" si="152"/>
        <v>0</v>
      </c>
      <c r="R1039" s="245">
        <f t="shared" si="153"/>
        <v>0</v>
      </c>
      <c r="S1039" s="246">
        <v>0.5</v>
      </c>
      <c r="T1039" s="245">
        <f t="shared" si="154"/>
        <v>0</v>
      </c>
      <c r="U1039" s="245">
        <f t="shared" si="155"/>
        <v>0</v>
      </c>
      <c r="V1039" s="247"/>
    </row>
    <row r="1040" spans="1:22" ht="15.75" x14ac:dyDescent="0.25">
      <c r="A1040" s="236"/>
      <c r="B1040" s="237"/>
      <c r="C1040" s="238"/>
      <c r="D1040" s="239"/>
      <c r="E1040" s="240"/>
      <c r="F1040" s="240"/>
      <c r="G1040" s="240"/>
      <c r="H1040" s="241">
        <f t="shared" si="150"/>
        <v>0</v>
      </c>
      <c r="I1040" s="242"/>
      <c r="J1040" s="243"/>
      <c r="K1040" s="243"/>
      <c r="L1040" s="244">
        <v>0.1</v>
      </c>
      <c r="M1040" s="244">
        <f t="shared" si="151"/>
        <v>0</v>
      </c>
      <c r="N1040" s="244"/>
      <c r="O1040" s="244"/>
      <c r="P1040" s="244"/>
      <c r="Q1040" s="245">
        <f t="shared" si="152"/>
        <v>0</v>
      </c>
      <c r="R1040" s="245">
        <f t="shared" si="153"/>
        <v>0</v>
      </c>
      <c r="S1040" s="246">
        <v>0.5</v>
      </c>
      <c r="T1040" s="245">
        <f t="shared" si="154"/>
        <v>0</v>
      </c>
      <c r="U1040" s="245">
        <f t="shared" si="155"/>
        <v>0</v>
      </c>
      <c r="V1040" s="247"/>
    </row>
    <row r="1041" spans="1:22" ht="15.75" x14ac:dyDescent="0.25">
      <c r="A1041" s="236"/>
      <c r="B1041" s="237"/>
      <c r="C1041" s="238"/>
      <c r="D1041" s="239"/>
      <c r="E1041" s="240"/>
      <c r="F1041" s="240"/>
      <c r="G1041" s="240"/>
      <c r="H1041" s="241">
        <f t="shared" si="150"/>
        <v>0</v>
      </c>
      <c r="I1041" s="242"/>
      <c r="J1041" s="243"/>
      <c r="K1041" s="243"/>
      <c r="L1041" s="244">
        <v>0.1</v>
      </c>
      <c r="M1041" s="244">
        <f t="shared" si="151"/>
        <v>0</v>
      </c>
      <c r="N1041" s="244"/>
      <c r="O1041" s="244"/>
      <c r="P1041" s="244"/>
      <c r="Q1041" s="245">
        <f t="shared" si="152"/>
        <v>0</v>
      </c>
      <c r="R1041" s="245">
        <f t="shared" si="153"/>
        <v>0</v>
      </c>
      <c r="S1041" s="246">
        <v>0.5</v>
      </c>
      <c r="T1041" s="245">
        <f t="shared" si="154"/>
        <v>0</v>
      </c>
      <c r="U1041" s="245">
        <f t="shared" si="155"/>
        <v>0</v>
      </c>
      <c r="V1041" s="247"/>
    </row>
    <row r="1042" spans="1:22" ht="15.75" x14ac:dyDescent="0.25">
      <c r="A1042" s="236"/>
      <c r="B1042" s="237"/>
      <c r="C1042" s="238"/>
      <c r="D1042" s="239"/>
      <c r="E1042" s="240"/>
      <c r="F1042" s="240"/>
      <c r="G1042" s="240"/>
      <c r="H1042" s="241">
        <f t="shared" si="150"/>
        <v>0</v>
      </c>
      <c r="I1042" s="242"/>
      <c r="J1042" s="243"/>
      <c r="K1042" s="243"/>
      <c r="L1042" s="244">
        <v>0.1</v>
      </c>
      <c r="M1042" s="244">
        <f t="shared" si="151"/>
        <v>0</v>
      </c>
      <c r="N1042" s="244"/>
      <c r="O1042" s="244"/>
      <c r="P1042" s="244"/>
      <c r="Q1042" s="245">
        <f t="shared" si="152"/>
        <v>0</v>
      </c>
      <c r="R1042" s="245">
        <f t="shared" si="153"/>
        <v>0</v>
      </c>
      <c r="S1042" s="246">
        <v>0.5</v>
      </c>
      <c r="T1042" s="245">
        <f t="shared" si="154"/>
        <v>0</v>
      </c>
      <c r="U1042" s="245">
        <f t="shared" si="155"/>
        <v>0</v>
      </c>
      <c r="V1042" s="247"/>
    </row>
    <row r="1043" spans="1:22" ht="15.75" x14ac:dyDescent="0.25">
      <c r="A1043" s="236"/>
      <c r="B1043" s="237"/>
      <c r="C1043" s="238"/>
      <c r="D1043" s="239"/>
      <c r="E1043" s="240"/>
      <c r="F1043" s="240"/>
      <c r="G1043" s="240"/>
      <c r="H1043" s="241">
        <f t="shared" si="150"/>
        <v>0</v>
      </c>
      <c r="I1043" s="242"/>
      <c r="J1043" s="243"/>
      <c r="K1043" s="243"/>
      <c r="L1043" s="244">
        <v>0.1</v>
      </c>
      <c r="M1043" s="244">
        <f t="shared" si="151"/>
        <v>0</v>
      </c>
      <c r="N1043" s="244"/>
      <c r="O1043" s="244"/>
      <c r="P1043" s="244"/>
      <c r="Q1043" s="245">
        <f t="shared" si="152"/>
        <v>0</v>
      </c>
      <c r="R1043" s="245">
        <f t="shared" si="153"/>
        <v>0</v>
      </c>
      <c r="S1043" s="246">
        <v>0.5</v>
      </c>
      <c r="T1043" s="245">
        <f t="shared" si="154"/>
        <v>0</v>
      </c>
      <c r="U1043" s="245">
        <f t="shared" si="155"/>
        <v>0</v>
      </c>
      <c r="V1043" s="247"/>
    </row>
    <row r="1044" spans="1:22" ht="15.75" x14ac:dyDescent="0.25">
      <c r="A1044" s="236"/>
      <c r="B1044" s="237"/>
      <c r="C1044" s="238"/>
      <c r="D1044" s="239"/>
      <c r="E1044" s="240"/>
      <c r="F1044" s="240"/>
      <c r="G1044" s="240"/>
      <c r="H1044" s="241">
        <f t="shared" si="150"/>
        <v>0</v>
      </c>
      <c r="I1044" s="242"/>
      <c r="J1044" s="243"/>
      <c r="K1044" s="243"/>
      <c r="L1044" s="244">
        <v>0.1</v>
      </c>
      <c r="M1044" s="244">
        <f t="shared" si="151"/>
        <v>0</v>
      </c>
      <c r="N1044" s="244"/>
      <c r="O1044" s="244"/>
      <c r="P1044" s="244"/>
      <c r="Q1044" s="245">
        <f t="shared" si="152"/>
        <v>0</v>
      </c>
      <c r="R1044" s="245">
        <f t="shared" si="153"/>
        <v>0</v>
      </c>
      <c r="S1044" s="246">
        <v>0.5</v>
      </c>
      <c r="T1044" s="245">
        <f t="shared" si="154"/>
        <v>0</v>
      </c>
      <c r="U1044" s="245">
        <f t="shared" si="155"/>
        <v>0</v>
      </c>
      <c r="V1044" s="247"/>
    </row>
    <row r="1045" spans="1:22" ht="15.75" x14ac:dyDescent="0.25">
      <c r="A1045" s="236"/>
      <c r="B1045" s="237"/>
      <c r="C1045" s="238"/>
      <c r="D1045" s="239"/>
      <c r="E1045" s="240"/>
      <c r="F1045" s="240"/>
      <c r="G1045" s="240"/>
      <c r="H1045" s="241">
        <f t="shared" si="150"/>
        <v>0</v>
      </c>
      <c r="I1045" s="242"/>
      <c r="J1045" s="243"/>
      <c r="K1045" s="243"/>
      <c r="L1045" s="244">
        <v>0.1</v>
      </c>
      <c r="M1045" s="244">
        <f t="shared" si="151"/>
        <v>0</v>
      </c>
      <c r="N1045" s="244"/>
      <c r="O1045" s="244"/>
      <c r="P1045" s="244"/>
      <c r="Q1045" s="245">
        <f t="shared" si="152"/>
        <v>0</v>
      </c>
      <c r="R1045" s="245">
        <f t="shared" si="153"/>
        <v>0</v>
      </c>
      <c r="S1045" s="246">
        <v>0.5</v>
      </c>
      <c r="T1045" s="245">
        <f t="shared" si="154"/>
        <v>0</v>
      </c>
      <c r="U1045" s="245">
        <f t="shared" si="155"/>
        <v>0</v>
      </c>
      <c r="V1045" s="247"/>
    </row>
    <row r="1046" spans="1:22" ht="15.75" x14ac:dyDescent="0.25">
      <c r="A1046" s="236"/>
      <c r="B1046" s="237"/>
      <c r="C1046" s="238"/>
      <c r="D1046" s="239"/>
      <c r="E1046" s="240"/>
      <c r="F1046" s="240"/>
      <c r="G1046" s="240"/>
      <c r="H1046" s="241">
        <f t="shared" si="150"/>
        <v>0</v>
      </c>
      <c r="I1046" s="242"/>
      <c r="J1046" s="243"/>
      <c r="K1046" s="243"/>
      <c r="L1046" s="244">
        <v>0.1</v>
      </c>
      <c r="M1046" s="244">
        <f t="shared" si="151"/>
        <v>0</v>
      </c>
      <c r="N1046" s="244"/>
      <c r="O1046" s="244"/>
      <c r="P1046" s="244"/>
      <c r="Q1046" s="245">
        <f t="shared" si="152"/>
        <v>0</v>
      </c>
      <c r="R1046" s="245">
        <f t="shared" si="153"/>
        <v>0</v>
      </c>
      <c r="S1046" s="246">
        <v>0.5</v>
      </c>
      <c r="T1046" s="245">
        <f t="shared" si="154"/>
        <v>0</v>
      </c>
      <c r="U1046" s="245">
        <f t="shared" si="155"/>
        <v>0</v>
      </c>
      <c r="V1046" s="247"/>
    </row>
    <row r="1047" spans="1:22" ht="15.75" x14ac:dyDescent="0.25">
      <c r="A1047" s="236"/>
      <c r="B1047" s="237"/>
      <c r="C1047" s="238"/>
      <c r="D1047" s="239"/>
      <c r="E1047" s="240"/>
      <c r="F1047" s="240"/>
      <c r="G1047" s="240"/>
      <c r="H1047" s="241">
        <f t="shared" si="150"/>
        <v>0</v>
      </c>
      <c r="I1047" s="242"/>
      <c r="J1047" s="243"/>
      <c r="K1047" s="243"/>
      <c r="L1047" s="244">
        <v>0.1</v>
      </c>
      <c r="M1047" s="244">
        <f t="shared" si="151"/>
        <v>0</v>
      </c>
      <c r="N1047" s="244"/>
      <c r="O1047" s="244"/>
      <c r="P1047" s="244"/>
      <c r="Q1047" s="245">
        <f t="shared" si="152"/>
        <v>0</v>
      </c>
      <c r="R1047" s="245">
        <f t="shared" si="153"/>
        <v>0</v>
      </c>
      <c r="S1047" s="246">
        <v>0.5</v>
      </c>
      <c r="T1047" s="245">
        <f t="shared" si="154"/>
        <v>0</v>
      </c>
      <c r="U1047" s="245">
        <f t="shared" si="155"/>
        <v>0</v>
      </c>
      <c r="V1047" s="247"/>
    </row>
    <row r="1048" spans="1:22" ht="15.75" x14ac:dyDescent="0.25">
      <c r="A1048" s="236"/>
      <c r="B1048" s="237"/>
      <c r="C1048" s="238"/>
      <c r="D1048" s="239"/>
      <c r="E1048" s="240"/>
      <c r="F1048" s="240"/>
      <c r="G1048" s="240"/>
      <c r="H1048" s="241">
        <f t="shared" si="150"/>
        <v>0</v>
      </c>
      <c r="I1048" s="242"/>
      <c r="J1048" s="243"/>
      <c r="K1048" s="243"/>
      <c r="L1048" s="244">
        <v>0.1</v>
      </c>
      <c r="M1048" s="244">
        <f t="shared" si="151"/>
        <v>0</v>
      </c>
      <c r="N1048" s="244"/>
      <c r="O1048" s="244"/>
      <c r="P1048" s="244"/>
      <c r="Q1048" s="245">
        <f t="shared" si="152"/>
        <v>0</v>
      </c>
      <c r="R1048" s="245">
        <f t="shared" si="153"/>
        <v>0</v>
      </c>
      <c r="S1048" s="246">
        <v>0.5</v>
      </c>
      <c r="T1048" s="245">
        <f t="shared" si="154"/>
        <v>0</v>
      </c>
      <c r="U1048" s="245">
        <f t="shared" si="155"/>
        <v>0</v>
      </c>
      <c r="V1048" s="247"/>
    </row>
    <row r="1049" spans="1:22" ht="15.75" x14ac:dyDescent="0.25">
      <c r="A1049" s="236"/>
      <c r="B1049" s="237"/>
      <c r="C1049" s="238"/>
      <c r="D1049" s="239"/>
      <c r="E1049" s="240"/>
      <c r="F1049" s="240"/>
      <c r="G1049" s="240"/>
      <c r="H1049" s="241">
        <f t="shared" si="150"/>
        <v>0</v>
      </c>
      <c r="I1049" s="242"/>
      <c r="J1049" s="243"/>
      <c r="K1049" s="243"/>
      <c r="L1049" s="244">
        <v>0.1</v>
      </c>
      <c r="M1049" s="244">
        <f t="shared" si="151"/>
        <v>0</v>
      </c>
      <c r="N1049" s="244"/>
      <c r="O1049" s="244"/>
      <c r="P1049" s="244"/>
      <c r="Q1049" s="245">
        <f t="shared" si="152"/>
        <v>0</v>
      </c>
      <c r="R1049" s="245">
        <f t="shared" si="153"/>
        <v>0</v>
      </c>
      <c r="S1049" s="246">
        <v>0.5</v>
      </c>
      <c r="T1049" s="245">
        <f t="shared" si="154"/>
        <v>0</v>
      </c>
      <c r="U1049" s="245">
        <f t="shared" si="155"/>
        <v>0</v>
      </c>
      <c r="V1049" s="247"/>
    </row>
    <row r="1050" spans="1:22" ht="15.75" x14ac:dyDescent="0.25">
      <c r="A1050" s="236"/>
      <c r="B1050" s="237"/>
      <c r="C1050" s="238"/>
      <c r="D1050" s="239"/>
      <c r="E1050" s="240"/>
      <c r="F1050" s="240"/>
      <c r="G1050" s="240"/>
      <c r="H1050" s="241">
        <f t="shared" si="150"/>
        <v>0</v>
      </c>
      <c r="I1050" s="242"/>
      <c r="J1050" s="243"/>
      <c r="K1050" s="243"/>
      <c r="L1050" s="244">
        <v>0.1</v>
      </c>
      <c r="M1050" s="244">
        <f t="shared" si="151"/>
        <v>0</v>
      </c>
      <c r="N1050" s="244"/>
      <c r="O1050" s="244"/>
      <c r="P1050" s="244"/>
      <c r="Q1050" s="245">
        <f t="shared" si="152"/>
        <v>0</v>
      </c>
      <c r="R1050" s="245">
        <f t="shared" si="153"/>
        <v>0</v>
      </c>
      <c r="S1050" s="246">
        <v>0.5</v>
      </c>
      <c r="T1050" s="245">
        <f t="shared" si="154"/>
        <v>0</v>
      </c>
      <c r="U1050" s="245">
        <f t="shared" si="155"/>
        <v>0</v>
      </c>
      <c r="V1050" s="247"/>
    </row>
    <row r="1051" spans="1:22" ht="15.75" x14ac:dyDescent="0.25">
      <c r="A1051" s="236"/>
      <c r="B1051" s="237"/>
      <c r="C1051" s="238"/>
      <c r="D1051" s="239"/>
      <c r="E1051" s="240"/>
      <c r="F1051" s="240"/>
      <c r="G1051" s="240"/>
      <c r="H1051" s="241">
        <f t="shared" si="150"/>
        <v>0</v>
      </c>
      <c r="I1051" s="242"/>
      <c r="J1051" s="243"/>
      <c r="K1051" s="243"/>
      <c r="L1051" s="244">
        <v>0.1</v>
      </c>
      <c r="M1051" s="244">
        <f t="shared" si="151"/>
        <v>0</v>
      </c>
      <c r="N1051" s="244"/>
      <c r="O1051" s="244"/>
      <c r="P1051" s="244"/>
      <c r="Q1051" s="245">
        <f t="shared" si="152"/>
        <v>0</v>
      </c>
      <c r="R1051" s="245">
        <f t="shared" si="153"/>
        <v>0</v>
      </c>
      <c r="S1051" s="246">
        <v>0.5</v>
      </c>
      <c r="T1051" s="245">
        <f t="shared" si="154"/>
        <v>0</v>
      </c>
      <c r="U1051" s="245">
        <f t="shared" si="155"/>
        <v>0</v>
      </c>
      <c r="V1051" s="247"/>
    </row>
    <row r="1052" spans="1:22" ht="15.75" x14ac:dyDescent="0.25">
      <c r="A1052" s="236"/>
      <c r="B1052" s="237"/>
      <c r="C1052" s="238"/>
      <c r="D1052" s="239"/>
      <c r="E1052" s="240"/>
      <c r="F1052" s="240"/>
      <c r="G1052" s="240"/>
      <c r="H1052" s="241">
        <f t="shared" si="150"/>
        <v>0</v>
      </c>
      <c r="I1052" s="242"/>
      <c r="J1052" s="243"/>
      <c r="K1052" s="243"/>
      <c r="L1052" s="244">
        <v>0.1</v>
      </c>
      <c r="M1052" s="244">
        <f t="shared" si="151"/>
        <v>0</v>
      </c>
      <c r="N1052" s="244"/>
      <c r="O1052" s="244"/>
      <c r="P1052" s="244"/>
      <c r="Q1052" s="245">
        <f t="shared" si="152"/>
        <v>0</v>
      </c>
      <c r="R1052" s="245">
        <f t="shared" si="153"/>
        <v>0</v>
      </c>
      <c r="S1052" s="246">
        <v>0.5</v>
      </c>
      <c r="T1052" s="245">
        <f t="shared" si="154"/>
        <v>0</v>
      </c>
      <c r="U1052" s="245">
        <f t="shared" si="155"/>
        <v>0</v>
      </c>
      <c r="V1052" s="247"/>
    </row>
    <row r="1053" spans="1:22" ht="15.75" x14ac:dyDescent="0.25">
      <c r="A1053" s="236"/>
      <c r="B1053" s="237"/>
      <c r="C1053" s="238"/>
      <c r="D1053" s="239"/>
      <c r="E1053" s="240"/>
      <c r="F1053" s="240"/>
      <c r="G1053" s="240"/>
      <c r="H1053" s="241">
        <f t="shared" si="150"/>
        <v>0</v>
      </c>
      <c r="I1053" s="242"/>
      <c r="J1053" s="243"/>
      <c r="K1053" s="243"/>
      <c r="L1053" s="244">
        <v>0.1</v>
      </c>
      <c r="M1053" s="244">
        <f t="shared" si="151"/>
        <v>0</v>
      </c>
      <c r="N1053" s="244"/>
      <c r="O1053" s="244"/>
      <c r="P1053" s="244"/>
      <c r="Q1053" s="245">
        <f t="shared" si="152"/>
        <v>0</v>
      </c>
      <c r="R1053" s="245">
        <f t="shared" si="153"/>
        <v>0</v>
      </c>
      <c r="S1053" s="246">
        <v>0.5</v>
      </c>
      <c r="T1053" s="245">
        <f t="shared" si="154"/>
        <v>0</v>
      </c>
      <c r="U1053" s="245">
        <f t="shared" si="155"/>
        <v>0</v>
      </c>
      <c r="V1053" s="247"/>
    </row>
    <row r="1054" spans="1:22" ht="15.75" x14ac:dyDescent="0.25">
      <c r="A1054" s="236"/>
      <c r="B1054" s="237"/>
      <c r="C1054" s="238"/>
      <c r="D1054" s="239"/>
      <c r="E1054" s="240"/>
      <c r="F1054" s="240"/>
      <c r="G1054" s="240"/>
      <c r="H1054" s="241">
        <f t="shared" si="150"/>
        <v>0</v>
      </c>
      <c r="I1054" s="242"/>
      <c r="J1054" s="243"/>
      <c r="K1054" s="243"/>
      <c r="L1054" s="244">
        <v>0.1</v>
      </c>
      <c r="M1054" s="244">
        <f t="shared" si="151"/>
        <v>0</v>
      </c>
      <c r="N1054" s="244"/>
      <c r="O1054" s="244"/>
      <c r="P1054" s="244"/>
      <c r="Q1054" s="245">
        <f t="shared" si="152"/>
        <v>0</v>
      </c>
      <c r="R1054" s="245">
        <f t="shared" si="153"/>
        <v>0</v>
      </c>
      <c r="S1054" s="246">
        <v>0.5</v>
      </c>
      <c r="T1054" s="245">
        <f t="shared" si="154"/>
        <v>0</v>
      </c>
      <c r="U1054" s="245">
        <f t="shared" si="155"/>
        <v>0</v>
      </c>
      <c r="V1054" s="247"/>
    </row>
    <row r="1055" spans="1:22" ht="15.75" x14ac:dyDescent="0.25">
      <c r="A1055" s="236"/>
      <c r="B1055" s="237"/>
      <c r="C1055" s="238"/>
      <c r="D1055" s="239"/>
      <c r="E1055" s="240"/>
      <c r="F1055" s="240"/>
      <c r="G1055" s="240"/>
      <c r="H1055" s="241">
        <f t="shared" si="150"/>
        <v>0</v>
      </c>
      <c r="I1055" s="242"/>
      <c r="J1055" s="243"/>
      <c r="K1055" s="243"/>
      <c r="L1055" s="244">
        <v>0.1</v>
      </c>
      <c r="M1055" s="244">
        <f t="shared" si="151"/>
        <v>0</v>
      </c>
      <c r="N1055" s="244"/>
      <c r="O1055" s="244"/>
      <c r="P1055" s="244"/>
      <c r="Q1055" s="245">
        <f t="shared" si="152"/>
        <v>0</v>
      </c>
      <c r="R1055" s="245">
        <f t="shared" si="153"/>
        <v>0</v>
      </c>
      <c r="S1055" s="246">
        <v>0.5</v>
      </c>
      <c r="T1055" s="245">
        <f t="shared" si="154"/>
        <v>0</v>
      </c>
      <c r="U1055" s="245">
        <f t="shared" si="155"/>
        <v>0</v>
      </c>
      <c r="V1055" s="247"/>
    </row>
    <row r="1056" spans="1:22" ht="15.75" x14ac:dyDescent="0.25">
      <c r="A1056" s="236"/>
      <c r="B1056" s="237"/>
      <c r="C1056" s="238"/>
      <c r="D1056" s="239"/>
      <c r="E1056" s="240"/>
      <c r="F1056" s="240"/>
      <c r="G1056" s="240"/>
      <c r="H1056" s="241">
        <f t="shared" si="150"/>
        <v>0</v>
      </c>
      <c r="I1056" s="242"/>
      <c r="J1056" s="243"/>
      <c r="K1056" s="243"/>
      <c r="L1056" s="244">
        <v>0.1</v>
      </c>
      <c r="M1056" s="244">
        <f t="shared" si="151"/>
        <v>0</v>
      </c>
      <c r="N1056" s="244"/>
      <c r="O1056" s="244"/>
      <c r="P1056" s="244"/>
      <c r="Q1056" s="245">
        <f t="shared" si="152"/>
        <v>0</v>
      </c>
      <c r="R1056" s="245">
        <f t="shared" si="153"/>
        <v>0</v>
      </c>
      <c r="S1056" s="246">
        <v>0.5</v>
      </c>
      <c r="T1056" s="245">
        <f t="shared" si="154"/>
        <v>0</v>
      </c>
      <c r="U1056" s="245">
        <f t="shared" si="155"/>
        <v>0</v>
      </c>
      <c r="V1056" s="247"/>
    </row>
    <row r="1057" spans="1:22" ht="15.75" x14ac:dyDescent="0.25">
      <c r="A1057" s="236"/>
      <c r="B1057" s="237"/>
      <c r="C1057" s="238"/>
      <c r="D1057" s="239"/>
      <c r="E1057" s="240"/>
      <c r="F1057" s="240"/>
      <c r="G1057" s="240"/>
      <c r="H1057" s="241">
        <f t="shared" si="150"/>
        <v>0</v>
      </c>
      <c r="I1057" s="242"/>
      <c r="J1057" s="243"/>
      <c r="K1057" s="243"/>
      <c r="L1057" s="244">
        <v>0.1</v>
      </c>
      <c r="M1057" s="244">
        <f t="shared" si="151"/>
        <v>0</v>
      </c>
      <c r="N1057" s="244"/>
      <c r="O1057" s="244"/>
      <c r="P1057" s="244"/>
      <c r="Q1057" s="245">
        <f t="shared" si="152"/>
        <v>0</v>
      </c>
      <c r="R1057" s="245">
        <f t="shared" si="153"/>
        <v>0</v>
      </c>
      <c r="S1057" s="246">
        <v>0.5</v>
      </c>
      <c r="T1057" s="245">
        <f t="shared" si="154"/>
        <v>0</v>
      </c>
      <c r="U1057" s="245">
        <f t="shared" si="155"/>
        <v>0</v>
      </c>
      <c r="V1057" s="247"/>
    </row>
    <row r="1058" spans="1:22" ht="15.75" x14ac:dyDescent="0.25">
      <c r="A1058" s="236"/>
      <c r="B1058" s="237"/>
      <c r="C1058" s="238"/>
      <c r="D1058" s="239"/>
      <c r="E1058" s="240"/>
      <c r="F1058" s="240"/>
      <c r="G1058" s="240"/>
      <c r="H1058" s="241">
        <f t="shared" ref="H1058:H1121" si="156">+E1058+F1058+G1058</f>
        <v>0</v>
      </c>
      <c r="I1058" s="242"/>
      <c r="J1058" s="243"/>
      <c r="K1058" s="243"/>
      <c r="L1058" s="244">
        <v>0.1</v>
      </c>
      <c r="M1058" s="244">
        <f t="shared" ref="M1058:M1121" si="157">+L1058*C1058</f>
        <v>0</v>
      </c>
      <c r="N1058" s="244"/>
      <c r="O1058" s="244"/>
      <c r="P1058" s="244"/>
      <c r="Q1058" s="245">
        <f t="shared" ref="Q1058:Q1121" si="158">+N1058+O1058+P1058</f>
        <v>0</v>
      </c>
      <c r="R1058" s="245">
        <f t="shared" ref="R1058:R1121" si="159">IF(+Q1058-H1058&lt;=0,0,Q1058-H1058)</f>
        <v>0</v>
      </c>
      <c r="S1058" s="246">
        <v>0.5</v>
      </c>
      <c r="T1058" s="245">
        <f t="shared" ref="T1058:T1121" si="160">+(R1058*C1058)*S1058</f>
        <v>0</v>
      </c>
      <c r="U1058" s="245">
        <f t="shared" ref="U1058:U1121" si="161">+J1058+M1058+T1058</f>
        <v>0</v>
      </c>
      <c r="V1058" s="247"/>
    </row>
    <row r="1059" spans="1:22" ht="15.75" x14ac:dyDescent="0.25">
      <c r="A1059" s="236"/>
      <c r="B1059" s="237"/>
      <c r="C1059" s="238"/>
      <c r="D1059" s="239"/>
      <c r="E1059" s="240"/>
      <c r="F1059" s="240"/>
      <c r="G1059" s="240"/>
      <c r="H1059" s="241">
        <f t="shared" si="156"/>
        <v>0</v>
      </c>
      <c r="I1059" s="242"/>
      <c r="J1059" s="243"/>
      <c r="K1059" s="243"/>
      <c r="L1059" s="244">
        <v>0.1</v>
      </c>
      <c r="M1059" s="244">
        <f t="shared" si="157"/>
        <v>0</v>
      </c>
      <c r="N1059" s="244"/>
      <c r="O1059" s="244"/>
      <c r="P1059" s="244"/>
      <c r="Q1059" s="245">
        <f t="shared" si="158"/>
        <v>0</v>
      </c>
      <c r="R1059" s="245">
        <f t="shared" si="159"/>
        <v>0</v>
      </c>
      <c r="S1059" s="246">
        <v>0.5</v>
      </c>
      <c r="T1059" s="245">
        <f t="shared" si="160"/>
        <v>0</v>
      </c>
      <c r="U1059" s="245">
        <f t="shared" si="161"/>
        <v>0</v>
      </c>
      <c r="V1059" s="247"/>
    </row>
    <row r="1060" spans="1:22" ht="15.75" x14ac:dyDescent="0.25">
      <c r="A1060" s="236"/>
      <c r="B1060" s="237"/>
      <c r="C1060" s="238"/>
      <c r="D1060" s="239"/>
      <c r="E1060" s="240"/>
      <c r="F1060" s="240"/>
      <c r="G1060" s="240"/>
      <c r="H1060" s="241">
        <f t="shared" si="156"/>
        <v>0</v>
      </c>
      <c r="I1060" s="242"/>
      <c r="J1060" s="243"/>
      <c r="K1060" s="243"/>
      <c r="L1060" s="244">
        <v>0.1</v>
      </c>
      <c r="M1060" s="244">
        <f t="shared" si="157"/>
        <v>0</v>
      </c>
      <c r="N1060" s="244"/>
      <c r="O1060" s="244"/>
      <c r="P1060" s="244"/>
      <c r="Q1060" s="245">
        <f t="shared" si="158"/>
        <v>0</v>
      </c>
      <c r="R1060" s="245">
        <f t="shared" si="159"/>
        <v>0</v>
      </c>
      <c r="S1060" s="246">
        <v>0.5</v>
      </c>
      <c r="T1060" s="245">
        <f t="shared" si="160"/>
        <v>0</v>
      </c>
      <c r="U1060" s="245">
        <f t="shared" si="161"/>
        <v>0</v>
      </c>
      <c r="V1060" s="247"/>
    </row>
    <row r="1061" spans="1:22" ht="15.75" x14ac:dyDescent="0.25">
      <c r="A1061" s="236"/>
      <c r="B1061" s="237"/>
      <c r="C1061" s="238"/>
      <c r="D1061" s="239"/>
      <c r="E1061" s="240"/>
      <c r="F1061" s="240"/>
      <c r="G1061" s="240"/>
      <c r="H1061" s="241">
        <f t="shared" si="156"/>
        <v>0</v>
      </c>
      <c r="I1061" s="242"/>
      <c r="J1061" s="243"/>
      <c r="K1061" s="243"/>
      <c r="L1061" s="244">
        <v>0.1</v>
      </c>
      <c r="M1061" s="244">
        <f t="shared" si="157"/>
        <v>0</v>
      </c>
      <c r="N1061" s="244"/>
      <c r="O1061" s="244"/>
      <c r="P1061" s="244"/>
      <c r="Q1061" s="245">
        <f t="shared" si="158"/>
        <v>0</v>
      </c>
      <c r="R1061" s="245">
        <f t="shared" si="159"/>
        <v>0</v>
      </c>
      <c r="S1061" s="246">
        <v>0.5</v>
      </c>
      <c r="T1061" s="245">
        <f t="shared" si="160"/>
        <v>0</v>
      </c>
      <c r="U1061" s="245">
        <f t="shared" si="161"/>
        <v>0</v>
      </c>
      <c r="V1061" s="247"/>
    </row>
    <row r="1062" spans="1:22" ht="15.75" x14ac:dyDescent="0.25">
      <c r="A1062" s="236"/>
      <c r="B1062" s="237"/>
      <c r="C1062" s="238"/>
      <c r="D1062" s="239"/>
      <c r="E1062" s="240"/>
      <c r="F1062" s="240"/>
      <c r="G1062" s="240"/>
      <c r="H1062" s="241">
        <f t="shared" si="156"/>
        <v>0</v>
      </c>
      <c r="I1062" s="242"/>
      <c r="J1062" s="243"/>
      <c r="K1062" s="243"/>
      <c r="L1062" s="244">
        <v>0.1</v>
      </c>
      <c r="M1062" s="244">
        <f t="shared" si="157"/>
        <v>0</v>
      </c>
      <c r="N1062" s="244"/>
      <c r="O1062" s="244"/>
      <c r="P1062" s="244"/>
      <c r="Q1062" s="245">
        <f t="shared" si="158"/>
        <v>0</v>
      </c>
      <c r="R1062" s="245">
        <f t="shared" si="159"/>
        <v>0</v>
      </c>
      <c r="S1062" s="246">
        <v>0.5</v>
      </c>
      <c r="T1062" s="245">
        <f t="shared" si="160"/>
        <v>0</v>
      </c>
      <c r="U1062" s="245">
        <f t="shared" si="161"/>
        <v>0</v>
      </c>
      <c r="V1062" s="247"/>
    </row>
    <row r="1063" spans="1:22" ht="15.75" x14ac:dyDescent="0.25">
      <c r="A1063" s="236"/>
      <c r="B1063" s="237"/>
      <c r="C1063" s="238"/>
      <c r="D1063" s="239"/>
      <c r="E1063" s="240"/>
      <c r="F1063" s="240"/>
      <c r="G1063" s="240"/>
      <c r="H1063" s="241">
        <f t="shared" si="156"/>
        <v>0</v>
      </c>
      <c r="I1063" s="242"/>
      <c r="J1063" s="243"/>
      <c r="K1063" s="243"/>
      <c r="L1063" s="244">
        <v>0.1</v>
      </c>
      <c r="M1063" s="244">
        <f t="shared" si="157"/>
        <v>0</v>
      </c>
      <c r="N1063" s="244"/>
      <c r="O1063" s="244"/>
      <c r="P1063" s="244"/>
      <c r="Q1063" s="245">
        <f t="shared" si="158"/>
        <v>0</v>
      </c>
      <c r="R1063" s="245">
        <f t="shared" si="159"/>
        <v>0</v>
      </c>
      <c r="S1063" s="246">
        <v>0.5</v>
      </c>
      <c r="T1063" s="245">
        <f t="shared" si="160"/>
        <v>0</v>
      </c>
      <c r="U1063" s="245">
        <f t="shared" si="161"/>
        <v>0</v>
      </c>
      <c r="V1063" s="247"/>
    </row>
    <row r="1064" spans="1:22" ht="15.75" x14ac:dyDescent="0.25">
      <c r="A1064" s="236"/>
      <c r="B1064" s="237"/>
      <c r="C1064" s="238"/>
      <c r="D1064" s="239"/>
      <c r="E1064" s="240"/>
      <c r="F1064" s="240"/>
      <c r="G1064" s="240"/>
      <c r="H1064" s="241">
        <f t="shared" si="156"/>
        <v>0</v>
      </c>
      <c r="I1064" s="242"/>
      <c r="J1064" s="243"/>
      <c r="K1064" s="243"/>
      <c r="L1064" s="244">
        <v>0.1</v>
      </c>
      <c r="M1064" s="244">
        <f t="shared" si="157"/>
        <v>0</v>
      </c>
      <c r="N1064" s="244"/>
      <c r="O1064" s="244"/>
      <c r="P1064" s="244"/>
      <c r="Q1064" s="245">
        <f t="shared" si="158"/>
        <v>0</v>
      </c>
      <c r="R1064" s="245">
        <f t="shared" si="159"/>
        <v>0</v>
      </c>
      <c r="S1064" s="246">
        <v>0.5</v>
      </c>
      <c r="T1064" s="245">
        <f t="shared" si="160"/>
        <v>0</v>
      </c>
      <c r="U1064" s="245">
        <f t="shared" si="161"/>
        <v>0</v>
      </c>
      <c r="V1064" s="247"/>
    </row>
    <row r="1065" spans="1:22" ht="15.75" x14ac:dyDescent="0.25">
      <c r="A1065" s="236"/>
      <c r="B1065" s="237"/>
      <c r="C1065" s="238"/>
      <c r="D1065" s="239"/>
      <c r="E1065" s="240"/>
      <c r="F1065" s="240"/>
      <c r="G1065" s="240"/>
      <c r="H1065" s="241">
        <f t="shared" si="156"/>
        <v>0</v>
      </c>
      <c r="I1065" s="242"/>
      <c r="J1065" s="243"/>
      <c r="K1065" s="243"/>
      <c r="L1065" s="244">
        <v>0.1</v>
      </c>
      <c r="M1065" s="244">
        <f t="shared" si="157"/>
        <v>0</v>
      </c>
      <c r="N1065" s="244"/>
      <c r="O1065" s="244"/>
      <c r="P1065" s="244"/>
      <c r="Q1065" s="245">
        <f t="shared" si="158"/>
        <v>0</v>
      </c>
      <c r="R1065" s="245">
        <f t="shared" si="159"/>
        <v>0</v>
      </c>
      <c r="S1065" s="246">
        <v>0.5</v>
      </c>
      <c r="T1065" s="245">
        <f t="shared" si="160"/>
        <v>0</v>
      </c>
      <c r="U1065" s="245">
        <f t="shared" si="161"/>
        <v>0</v>
      </c>
      <c r="V1065" s="247"/>
    </row>
    <row r="1066" spans="1:22" ht="15.75" x14ac:dyDescent="0.25">
      <c r="A1066" s="236"/>
      <c r="B1066" s="237"/>
      <c r="C1066" s="238"/>
      <c r="D1066" s="239"/>
      <c r="E1066" s="240"/>
      <c r="F1066" s="240"/>
      <c r="G1066" s="240"/>
      <c r="H1066" s="241">
        <f t="shared" si="156"/>
        <v>0</v>
      </c>
      <c r="I1066" s="242"/>
      <c r="J1066" s="243"/>
      <c r="K1066" s="243"/>
      <c r="L1066" s="244">
        <v>0.1</v>
      </c>
      <c r="M1066" s="244">
        <f t="shared" si="157"/>
        <v>0</v>
      </c>
      <c r="N1066" s="244"/>
      <c r="O1066" s="244"/>
      <c r="P1066" s="244"/>
      <c r="Q1066" s="245">
        <f t="shared" si="158"/>
        <v>0</v>
      </c>
      <c r="R1066" s="245">
        <f t="shared" si="159"/>
        <v>0</v>
      </c>
      <c r="S1066" s="246">
        <v>0.5</v>
      </c>
      <c r="T1066" s="245">
        <f t="shared" si="160"/>
        <v>0</v>
      </c>
      <c r="U1066" s="245">
        <f t="shared" si="161"/>
        <v>0</v>
      </c>
      <c r="V1066" s="247"/>
    </row>
    <row r="1067" spans="1:22" ht="15.75" x14ac:dyDescent="0.25">
      <c r="A1067" s="236"/>
      <c r="B1067" s="237"/>
      <c r="C1067" s="238"/>
      <c r="D1067" s="239"/>
      <c r="E1067" s="240"/>
      <c r="F1067" s="240"/>
      <c r="G1067" s="240"/>
      <c r="H1067" s="241">
        <f t="shared" si="156"/>
        <v>0</v>
      </c>
      <c r="I1067" s="242"/>
      <c r="J1067" s="243"/>
      <c r="K1067" s="243"/>
      <c r="L1067" s="244">
        <v>0.1</v>
      </c>
      <c r="M1067" s="244">
        <f t="shared" si="157"/>
        <v>0</v>
      </c>
      <c r="N1067" s="244"/>
      <c r="O1067" s="244"/>
      <c r="P1067" s="244"/>
      <c r="Q1067" s="245">
        <f t="shared" si="158"/>
        <v>0</v>
      </c>
      <c r="R1067" s="245">
        <f t="shared" si="159"/>
        <v>0</v>
      </c>
      <c r="S1067" s="246">
        <v>0.5</v>
      </c>
      <c r="T1067" s="245">
        <f t="shared" si="160"/>
        <v>0</v>
      </c>
      <c r="U1067" s="245">
        <f t="shared" si="161"/>
        <v>0</v>
      </c>
      <c r="V1067" s="247"/>
    </row>
    <row r="1068" spans="1:22" ht="15.75" x14ac:dyDescent="0.25">
      <c r="A1068" s="236"/>
      <c r="B1068" s="237"/>
      <c r="C1068" s="238"/>
      <c r="D1068" s="239"/>
      <c r="E1068" s="240"/>
      <c r="F1068" s="240"/>
      <c r="G1068" s="240"/>
      <c r="H1068" s="241">
        <f t="shared" si="156"/>
        <v>0</v>
      </c>
      <c r="I1068" s="242"/>
      <c r="J1068" s="243"/>
      <c r="K1068" s="243"/>
      <c r="L1068" s="244">
        <v>0.1</v>
      </c>
      <c r="M1068" s="244">
        <f t="shared" si="157"/>
        <v>0</v>
      </c>
      <c r="N1068" s="244"/>
      <c r="O1068" s="244"/>
      <c r="P1068" s="244"/>
      <c r="Q1068" s="245">
        <f t="shared" si="158"/>
        <v>0</v>
      </c>
      <c r="R1068" s="245">
        <f t="shared" si="159"/>
        <v>0</v>
      </c>
      <c r="S1068" s="246">
        <v>0.5</v>
      </c>
      <c r="T1068" s="245">
        <f t="shared" si="160"/>
        <v>0</v>
      </c>
      <c r="U1068" s="245">
        <f t="shared" si="161"/>
        <v>0</v>
      </c>
      <c r="V1068" s="247"/>
    </row>
    <row r="1069" spans="1:22" ht="15.75" x14ac:dyDescent="0.25">
      <c r="A1069" s="236"/>
      <c r="B1069" s="237"/>
      <c r="C1069" s="238"/>
      <c r="D1069" s="239"/>
      <c r="E1069" s="240"/>
      <c r="F1069" s="240"/>
      <c r="G1069" s="240"/>
      <c r="H1069" s="241">
        <f t="shared" si="156"/>
        <v>0</v>
      </c>
      <c r="I1069" s="242"/>
      <c r="J1069" s="243"/>
      <c r="K1069" s="243"/>
      <c r="L1069" s="244">
        <v>0.1</v>
      </c>
      <c r="M1069" s="244">
        <f t="shared" si="157"/>
        <v>0</v>
      </c>
      <c r="N1069" s="244"/>
      <c r="O1069" s="244"/>
      <c r="P1069" s="244"/>
      <c r="Q1069" s="245">
        <f t="shared" si="158"/>
        <v>0</v>
      </c>
      <c r="R1069" s="245">
        <f t="shared" si="159"/>
        <v>0</v>
      </c>
      <c r="S1069" s="246">
        <v>0.5</v>
      </c>
      <c r="T1069" s="245">
        <f t="shared" si="160"/>
        <v>0</v>
      </c>
      <c r="U1069" s="245">
        <f t="shared" si="161"/>
        <v>0</v>
      </c>
      <c r="V1069" s="247"/>
    </row>
    <row r="1070" spans="1:22" ht="15.75" x14ac:dyDescent="0.25">
      <c r="A1070" s="236"/>
      <c r="B1070" s="237"/>
      <c r="C1070" s="238"/>
      <c r="D1070" s="239"/>
      <c r="E1070" s="240"/>
      <c r="F1070" s="240"/>
      <c r="G1070" s="240"/>
      <c r="H1070" s="241">
        <f t="shared" si="156"/>
        <v>0</v>
      </c>
      <c r="I1070" s="242"/>
      <c r="J1070" s="243"/>
      <c r="K1070" s="243"/>
      <c r="L1070" s="244">
        <v>0.1</v>
      </c>
      <c r="M1070" s="244">
        <f t="shared" si="157"/>
        <v>0</v>
      </c>
      <c r="N1070" s="244"/>
      <c r="O1070" s="244"/>
      <c r="P1070" s="244"/>
      <c r="Q1070" s="245">
        <f t="shared" si="158"/>
        <v>0</v>
      </c>
      <c r="R1070" s="245">
        <f t="shared" si="159"/>
        <v>0</v>
      </c>
      <c r="S1070" s="246">
        <v>0.5</v>
      </c>
      <c r="T1070" s="245">
        <f t="shared" si="160"/>
        <v>0</v>
      </c>
      <c r="U1070" s="245">
        <f t="shared" si="161"/>
        <v>0</v>
      </c>
      <c r="V1070" s="247"/>
    </row>
    <row r="1071" spans="1:22" ht="15.75" x14ac:dyDescent="0.25">
      <c r="A1071" s="236"/>
      <c r="B1071" s="237"/>
      <c r="C1071" s="238"/>
      <c r="D1071" s="239"/>
      <c r="E1071" s="240"/>
      <c r="F1071" s="240"/>
      <c r="G1071" s="240"/>
      <c r="H1071" s="241">
        <f t="shared" si="156"/>
        <v>0</v>
      </c>
      <c r="I1071" s="242"/>
      <c r="J1071" s="243"/>
      <c r="K1071" s="243"/>
      <c r="L1071" s="244">
        <v>0.1</v>
      </c>
      <c r="M1071" s="244">
        <f t="shared" si="157"/>
        <v>0</v>
      </c>
      <c r="N1071" s="244"/>
      <c r="O1071" s="244"/>
      <c r="P1071" s="244"/>
      <c r="Q1071" s="245">
        <f t="shared" si="158"/>
        <v>0</v>
      </c>
      <c r="R1071" s="245">
        <f t="shared" si="159"/>
        <v>0</v>
      </c>
      <c r="S1071" s="246">
        <v>0.5</v>
      </c>
      <c r="T1071" s="245">
        <f t="shared" si="160"/>
        <v>0</v>
      </c>
      <c r="U1071" s="245">
        <f t="shared" si="161"/>
        <v>0</v>
      </c>
      <c r="V1071" s="247"/>
    </row>
    <row r="1072" spans="1:22" ht="15.75" x14ac:dyDescent="0.25">
      <c r="A1072" s="236"/>
      <c r="B1072" s="237"/>
      <c r="C1072" s="238"/>
      <c r="D1072" s="239"/>
      <c r="E1072" s="240"/>
      <c r="F1072" s="240"/>
      <c r="G1072" s="240"/>
      <c r="H1072" s="241">
        <f t="shared" si="156"/>
        <v>0</v>
      </c>
      <c r="I1072" s="242"/>
      <c r="J1072" s="243"/>
      <c r="K1072" s="243"/>
      <c r="L1072" s="244">
        <v>0.1</v>
      </c>
      <c r="M1072" s="244">
        <f t="shared" si="157"/>
        <v>0</v>
      </c>
      <c r="N1072" s="244"/>
      <c r="O1072" s="244"/>
      <c r="P1072" s="244"/>
      <c r="Q1072" s="245">
        <f t="shared" si="158"/>
        <v>0</v>
      </c>
      <c r="R1072" s="245">
        <f t="shared" si="159"/>
        <v>0</v>
      </c>
      <c r="S1072" s="246">
        <v>0.5</v>
      </c>
      <c r="T1072" s="245">
        <f t="shared" si="160"/>
        <v>0</v>
      </c>
      <c r="U1072" s="245">
        <f t="shared" si="161"/>
        <v>0</v>
      </c>
      <c r="V1072" s="247"/>
    </row>
    <row r="1073" spans="1:22" ht="15.75" x14ac:dyDescent="0.25">
      <c r="A1073" s="236"/>
      <c r="B1073" s="237"/>
      <c r="C1073" s="238"/>
      <c r="D1073" s="239"/>
      <c r="E1073" s="240"/>
      <c r="F1073" s="240"/>
      <c r="G1073" s="240"/>
      <c r="H1073" s="241">
        <f t="shared" si="156"/>
        <v>0</v>
      </c>
      <c r="I1073" s="242"/>
      <c r="J1073" s="243"/>
      <c r="K1073" s="243"/>
      <c r="L1073" s="244">
        <v>0.1</v>
      </c>
      <c r="M1073" s="244">
        <f t="shared" si="157"/>
        <v>0</v>
      </c>
      <c r="N1073" s="244"/>
      <c r="O1073" s="244"/>
      <c r="P1073" s="244"/>
      <c r="Q1073" s="245">
        <f t="shared" si="158"/>
        <v>0</v>
      </c>
      <c r="R1073" s="245">
        <f t="shared" si="159"/>
        <v>0</v>
      </c>
      <c r="S1073" s="246">
        <v>0.5</v>
      </c>
      <c r="T1073" s="245">
        <f t="shared" si="160"/>
        <v>0</v>
      </c>
      <c r="U1073" s="245">
        <f t="shared" si="161"/>
        <v>0</v>
      </c>
      <c r="V1073" s="247"/>
    </row>
    <row r="1074" spans="1:22" ht="15.75" x14ac:dyDescent="0.25">
      <c r="A1074" s="236"/>
      <c r="B1074" s="237"/>
      <c r="C1074" s="238"/>
      <c r="D1074" s="239"/>
      <c r="E1074" s="240"/>
      <c r="F1074" s="240"/>
      <c r="G1074" s="240"/>
      <c r="H1074" s="241">
        <f t="shared" si="156"/>
        <v>0</v>
      </c>
      <c r="I1074" s="242"/>
      <c r="J1074" s="243"/>
      <c r="K1074" s="243"/>
      <c r="L1074" s="244">
        <v>0.1</v>
      </c>
      <c r="M1074" s="244">
        <f t="shared" si="157"/>
        <v>0</v>
      </c>
      <c r="N1074" s="244"/>
      <c r="O1074" s="244"/>
      <c r="P1074" s="244"/>
      <c r="Q1074" s="245">
        <f t="shared" si="158"/>
        <v>0</v>
      </c>
      <c r="R1074" s="245">
        <f t="shared" si="159"/>
        <v>0</v>
      </c>
      <c r="S1074" s="246">
        <v>0.5</v>
      </c>
      <c r="T1074" s="245">
        <f t="shared" si="160"/>
        <v>0</v>
      </c>
      <c r="U1074" s="245">
        <f t="shared" si="161"/>
        <v>0</v>
      </c>
      <c r="V1074" s="247"/>
    </row>
    <row r="1075" spans="1:22" ht="15.75" x14ac:dyDescent="0.25">
      <c r="A1075" s="236"/>
      <c r="B1075" s="237"/>
      <c r="C1075" s="238"/>
      <c r="D1075" s="239"/>
      <c r="E1075" s="240"/>
      <c r="F1075" s="240"/>
      <c r="G1075" s="240"/>
      <c r="H1075" s="241">
        <f t="shared" si="156"/>
        <v>0</v>
      </c>
      <c r="I1075" s="242"/>
      <c r="J1075" s="243"/>
      <c r="K1075" s="243"/>
      <c r="L1075" s="244">
        <v>0.1</v>
      </c>
      <c r="M1075" s="244">
        <f t="shared" si="157"/>
        <v>0</v>
      </c>
      <c r="N1075" s="244"/>
      <c r="O1075" s="244"/>
      <c r="P1075" s="244"/>
      <c r="Q1075" s="245">
        <f t="shared" si="158"/>
        <v>0</v>
      </c>
      <c r="R1075" s="245">
        <f t="shared" si="159"/>
        <v>0</v>
      </c>
      <c r="S1075" s="246">
        <v>0.5</v>
      </c>
      <c r="T1075" s="245">
        <f t="shared" si="160"/>
        <v>0</v>
      </c>
      <c r="U1075" s="245">
        <f t="shared" si="161"/>
        <v>0</v>
      </c>
      <c r="V1075" s="247"/>
    </row>
    <row r="1076" spans="1:22" ht="15.75" x14ac:dyDescent="0.25">
      <c r="A1076" s="236"/>
      <c r="B1076" s="237"/>
      <c r="C1076" s="238"/>
      <c r="D1076" s="239"/>
      <c r="E1076" s="240"/>
      <c r="F1076" s="240"/>
      <c r="G1076" s="240"/>
      <c r="H1076" s="241">
        <f t="shared" si="156"/>
        <v>0</v>
      </c>
      <c r="I1076" s="242"/>
      <c r="J1076" s="243"/>
      <c r="K1076" s="243"/>
      <c r="L1076" s="244">
        <v>0.1</v>
      </c>
      <c r="M1076" s="244">
        <f t="shared" si="157"/>
        <v>0</v>
      </c>
      <c r="N1076" s="244"/>
      <c r="O1076" s="244"/>
      <c r="P1076" s="244"/>
      <c r="Q1076" s="245">
        <f t="shared" si="158"/>
        <v>0</v>
      </c>
      <c r="R1076" s="245">
        <f t="shared" si="159"/>
        <v>0</v>
      </c>
      <c r="S1076" s="246">
        <v>0.5</v>
      </c>
      <c r="T1076" s="245">
        <f t="shared" si="160"/>
        <v>0</v>
      </c>
      <c r="U1076" s="245">
        <f t="shared" si="161"/>
        <v>0</v>
      </c>
      <c r="V1076" s="247"/>
    </row>
    <row r="1077" spans="1:22" ht="15.75" x14ac:dyDescent="0.25">
      <c r="A1077" s="236"/>
      <c r="B1077" s="237"/>
      <c r="C1077" s="238"/>
      <c r="D1077" s="239"/>
      <c r="E1077" s="240"/>
      <c r="F1077" s="240"/>
      <c r="G1077" s="240"/>
      <c r="H1077" s="241">
        <f t="shared" si="156"/>
        <v>0</v>
      </c>
      <c r="I1077" s="242"/>
      <c r="J1077" s="243"/>
      <c r="K1077" s="243"/>
      <c r="L1077" s="244">
        <v>0.1</v>
      </c>
      <c r="M1077" s="244">
        <f t="shared" si="157"/>
        <v>0</v>
      </c>
      <c r="N1077" s="244"/>
      <c r="O1077" s="244"/>
      <c r="P1077" s="244"/>
      <c r="Q1077" s="245">
        <f t="shared" si="158"/>
        <v>0</v>
      </c>
      <c r="R1077" s="245">
        <f t="shared" si="159"/>
        <v>0</v>
      </c>
      <c r="S1077" s="246">
        <v>0.5</v>
      </c>
      <c r="T1077" s="245">
        <f t="shared" si="160"/>
        <v>0</v>
      </c>
      <c r="U1077" s="245">
        <f t="shared" si="161"/>
        <v>0</v>
      </c>
      <c r="V1077" s="247"/>
    </row>
    <row r="1078" spans="1:22" ht="15.75" x14ac:dyDescent="0.25">
      <c r="A1078" s="236"/>
      <c r="B1078" s="237"/>
      <c r="C1078" s="238"/>
      <c r="D1078" s="239"/>
      <c r="E1078" s="240"/>
      <c r="F1078" s="240"/>
      <c r="G1078" s="240"/>
      <c r="H1078" s="241">
        <f t="shared" si="156"/>
        <v>0</v>
      </c>
      <c r="I1078" s="242"/>
      <c r="J1078" s="243"/>
      <c r="K1078" s="243"/>
      <c r="L1078" s="244">
        <v>0.1</v>
      </c>
      <c r="M1078" s="244">
        <f t="shared" si="157"/>
        <v>0</v>
      </c>
      <c r="N1078" s="244"/>
      <c r="O1078" s="244"/>
      <c r="P1078" s="244"/>
      <c r="Q1078" s="245">
        <f t="shared" si="158"/>
        <v>0</v>
      </c>
      <c r="R1078" s="245">
        <f t="shared" si="159"/>
        <v>0</v>
      </c>
      <c r="S1078" s="246">
        <v>0.5</v>
      </c>
      <c r="T1078" s="245">
        <f t="shared" si="160"/>
        <v>0</v>
      </c>
      <c r="U1078" s="245">
        <f t="shared" si="161"/>
        <v>0</v>
      </c>
      <c r="V1078" s="247"/>
    </row>
    <row r="1079" spans="1:22" ht="15.75" x14ac:dyDescent="0.25">
      <c r="A1079" s="236"/>
      <c r="B1079" s="237"/>
      <c r="C1079" s="238"/>
      <c r="D1079" s="239"/>
      <c r="E1079" s="240"/>
      <c r="F1079" s="240"/>
      <c r="G1079" s="240"/>
      <c r="H1079" s="241">
        <f t="shared" si="156"/>
        <v>0</v>
      </c>
      <c r="I1079" s="242"/>
      <c r="J1079" s="243"/>
      <c r="K1079" s="243"/>
      <c r="L1079" s="244">
        <v>0.1</v>
      </c>
      <c r="M1079" s="244">
        <f t="shared" si="157"/>
        <v>0</v>
      </c>
      <c r="N1079" s="244"/>
      <c r="O1079" s="244"/>
      <c r="P1079" s="244"/>
      <c r="Q1079" s="245">
        <f t="shared" si="158"/>
        <v>0</v>
      </c>
      <c r="R1079" s="245">
        <f t="shared" si="159"/>
        <v>0</v>
      </c>
      <c r="S1079" s="246">
        <v>0.5</v>
      </c>
      <c r="T1079" s="245">
        <f t="shared" si="160"/>
        <v>0</v>
      </c>
      <c r="U1079" s="245">
        <f t="shared" si="161"/>
        <v>0</v>
      </c>
      <c r="V1079" s="247"/>
    </row>
    <row r="1080" spans="1:22" ht="15.75" x14ac:dyDescent="0.25">
      <c r="A1080" s="236"/>
      <c r="B1080" s="237"/>
      <c r="C1080" s="238"/>
      <c r="D1080" s="239"/>
      <c r="E1080" s="240"/>
      <c r="F1080" s="240"/>
      <c r="G1080" s="240"/>
      <c r="H1080" s="241">
        <f t="shared" si="156"/>
        <v>0</v>
      </c>
      <c r="I1080" s="242"/>
      <c r="J1080" s="243"/>
      <c r="K1080" s="243"/>
      <c r="L1080" s="244">
        <v>0.1</v>
      </c>
      <c r="M1080" s="244">
        <f t="shared" si="157"/>
        <v>0</v>
      </c>
      <c r="N1080" s="244"/>
      <c r="O1080" s="244"/>
      <c r="P1080" s="244"/>
      <c r="Q1080" s="245">
        <f t="shared" si="158"/>
        <v>0</v>
      </c>
      <c r="R1080" s="245">
        <f t="shared" si="159"/>
        <v>0</v>
      </c>
      <c r="S1080" s="246">
        <v>0.5</v>
      </c>
      <c r="T1080" s="245">
        <f t="shared" si="160"/>
        <v>0</v>
      </c>
      <c r="U1080" s="245">
        <f t="shared" si="161"/>
        <v>0</v>
      </c>
      <c r="V1080" s="247"/>
    </row>
    <row r="1081" spans="1:22" ht="15.75" x14ac:dyDescent="0.25">
      <c r="A1081" s="236"/>
      <c r="B1081" s="237"/>
      <c r="C1081" s="238"/>
      <c r="D1081" s="239"/>
      <c r="E1081" s="240"/>
      <c r="F1081" s="240"/>
      <c r="G1081" s="240"/>
      <c r="H1081" s="241">
        <f t="shared" si="156"/>
        <v>0</v>
      </c>
      <c r="I1081" s="242"/>
      <c r="J1081" s="243"/>
      <c r="K1081" s="243"/>
      <c r="L1081" s="244">
        <v>0.1</v>
      </c>
      <c r="M1081" s="244">
        <f t="shared" si="157"/>
        <v>0</v>
      </c>
      <c r="N1081" s="244"/>
      <c r="O1081" s="244"/>
      <c r="P1081" s="244"/>
      <c r="Q1081" s="245">
        <f t="shared" si="158"/>
        <v>0</v>
      </c>
      <c r="R1081" s="245">
        <f t="shared" si="159"/>
        <v>0</v>
      </c>
      <c r="S1081" s="246">
        <v>0.5</v>
      </c>
      <c r="T1081" s="245">
        <f t="shared" si="160"/>
        <v>0</v>
      </c>
      <c r="U1081" s="245">
        <f t="shared" si="161"/>
        <v>0</v>
      </c>
      <c r="V1081" s="247"/>
    </row>
    <row r="1082" spans="1:22" ht="15.75" x14ac:dyDescent="0.25">
      <c r="A1082" s="236"/>
      <c r="B1082" s="237"/>
      <c r="C1082" s="238"/>
      <c r="D1082" s="239"/>
      <c r="E1082" s="240"/>
      <c r="F1082" s="240"/>
      <c r="G1082" s="240"/>
      <c r="H1082" s="241">
        <f t="shared" si="156"/>
        <v>0</v>
      </c>
      <c r="I1082" s="242"/>
      <c r="J1082" s="243"/>
      <c r="K1082" s="243"/>
      <c r="L1082" s="244">
        <v>0.1</v>
      </c>
      <c r="M1082" s="244">
        <f t="shared" si="157"/>
        <v>0</v>
      </c>
      <c r="N1082" s="244"/>
      <c r="O1082" s="244"/>
      <c r="P1082" s="244"/>
      <c r="Q1082" s="245">
        <f t="shared" si="158"/>
        <v>0</v>
      </c>
      <c r="R1082" s="245">
        <f t="shared" si="159"/>
        <v>0</v>
      </c>
      <c r="S1082" s="246">
        <v>0.5</v>
      </c>
      <c r="T1082" s="245">
        <f t="shared" si="160"/>
        <v>0</v>
      </c>
      <c r="U1082" s="245">
        <f t="shared" si="161"/>
        <v>0</v>
      </c>
      <c r="V1082" s="247"/>
    </row>
    <row r="1083" spans="1:22" ht="15.75" x14ac:dyDescent="0.25">
      <c r="A1083" s="236"/>
      <c r="B1083" s="237"/>
      <c r="C1083" s="238"/>
      <c r="D1083" s="239"/>
      <c r="E1083" s="240"/>
      <c r="F1083" s="240"/>
      <c r="G1083" s="240"/>
      <c r="H1083" s="241">
        <f t="shared" si="156"/>
        <v>0</v>
      </c>
      <c r="I1083" s="242"/>
      <c r="J1083" s="243"/>
      <c r="K1083" s="243"/>
      <c r="L1083" s="244">
        <v>0.1</v>
      </c>
      <c r="M1083" s="244">
        <f t="shared" si="157"/>
        <v>0</v>
      </c>
      <c r="N1083" s="244"/>
      <c r="O1083" s="244"/>
      <c r="P1083" s="244"/>
      <c r="Q1083" s="245">
        <f t="shared" si="158"/>
        <v>0</v>
      </c>
      <c r="R1083" s="245">
        <f t="shared" si="159"/>
        <v>0</v>
      </c>
      <c r="S1083" s="246">
        <v>0.5</v>
      </c>
      <c r="T1083" s="245">
        <f t="shared" si="160"/>
        <v>0</v>
      </c>
      <c r="U1083" s="245">
        <f t="shared" si="161"/>
        <v>0</v>
      </c>
      <c r="V1083" s="247"/>
    </row>
    <row r="1084" spans="1:22" ht="15.75" x14ac:dyDescent="0.25">
      <c r="A1084" s="236"/>
      <c r="B1084" s="237"/>
      <c r="C1084" s="238"/>
      <c r="D1084" s="239"/>
      <c r="E1084" s="240"/>
      <c r="F1084" s="240"/>
      <c r="G1084" s="240"/>
      <c r="H1084" s="241">
        <f t="shared" si="156"/>
        <v>0</v>
      </c>
      <c r="I1084" s="242"/>
      <c r="J1084" s="243"/>
      <c r="K1084" s="243"/>
      <c r="L1084" s="244">
        <v>0.1</v>
      </c>
      <c r="M1084" s="244">
        <f t="shared" si="157"/>
        <v>0</v>
      </c>
      <c r="N1084" s="244"/>
      <c r="O1084" s="244"/>
      <c r="P1084" s="244"/>
      <c r="Q1084" s="245">
        <f t="shared" si="158"/>
        <v>0</v>
      </c>
      <c r="R1084" s="245">
        <f t="shared" si="159"/>
        <v>0</v>
      </c>
      <c r="S1084" s="246">
        <v>0.5</v>
      </c>
      <c r="T1084" s="245">
        <f t="shared" si="160"/>
        <v>0</v>
      </c>
      <c r="U1084" s="245">
        <f t="shared" si="161"/>
        <v>0</v>
      </c>
      <c r="V1084" s="247"/>
    </row>
    <row r="1085" spans="1:22" ht="15.75" x14ac:dyDescent="0.25">
      <c r="A1085" s="236"/>
      <c r="B1085" s="237"/>
      <c r="C1085" s="238"/>
      <c r="D1085" s="239"/>
      <c r="E1085" s="240"/>
      <c r="F1085" s="240"/>
      <c r="G1085" s="240"/>
      <c r="H1085" s="241">
        <f t="shared" si="156"/>
        <v>0</v>
      </c>
      <c r="I1085" s="242"/>
      <c r="J1085" s="243"/>
      <c r="K1085" s="243"/>
      <c r="L1085" s="244">
        <v>0.1</v>
      </c>
      <c r="M1085" s="244">
        <f t="shared" si="157"/>
        <v>0</v>
      </c>
      <c r="N1085" s="244"/>
      <c r="O1085" s="244"/>
      <c r="P1085" s="244"/>
      <c r="Q1085" s="245">
        <f t="shared" si="158"/>
        <v>0</v>
      </c>
      <c r="R1085" s="245">
        <f t="shared" si="159"/>
        <v>0</v>
      </c>
      <c r="S1085" s="246">
        <v>0.5</v>
      </c>
      <c r="T1085" s="245">
        <f t="shared" si="160"/>
        <v>0</v>
      </c>
      <c r="U1085" s="245">
        <f t="shared" si="161"/>
        <v>0</v>
      </c>
      <c r="V1085" s="247"/>
    </row>
    <row r="1086" spans="1:22" ht="15.75" x14ac:dyDescent="0.25">
      <c r="A1086" s="236"/>
      <c r="B1086" s="237"/>
      <c r="C1086" s="238"/>
      <c r="D1086" s="239"/>
      <c r="E1086" s="240"/>
      <c r="F1086" s="240"/>
      <c r="G1086" s="240"/>
      <c r="H1086" s="241">
        <f t="shared" si="156"/>
        <v>0</v>
      </c>
      <c r="I1086" s="242"/>
      <c r="J1086" s="243"/>
      <c r="K1086" s="243"/>
      <c r="L1086" s="244">
        <v>0.1</v>
      </c>
      <c r="M1086" s="244">
        <f t="shared" si="157"/>
        <v>0</v>
      </c>
      <c r="N1086" s="244"/>
      <c r="O1086" s="244"/>
      <c r="P1086" s="244"/>
      <c r="Q1086" s="245">
        <f t="shared" si="158"/>
        <v>0</v>
      </c>
      <c r="R1086" s="245">
        <f t="shared" si="159"/>
        <v>0</v>
      </c>
      <c r="S1086" s="246">
        <v>0.5</v>
      </c>
      <c r="T1086" s="245">
        <f t="shared" si="160"/>
        <v>0</v>
      </c>
      <c r="U1086" s="245">
        <f t="shared" si="161"/>
        <v>0</v>
      </c>
      <c r="V1086" s="247"/>
    </row>
    <row r="1087" spans="1:22" ht="15.75" x14ac:dyDescent="0.25">
      <c r="A1087" s="236"/>
      <c r="B1087" s="237"/>
      <c r="C1087" s="238"/>
      <c r="D1087" s="239"/>
      <c r="E1087" s="240"/>
      <c r="F1087" s="240"/>
      <c r="G1087" s="240"/>
      <c r="H1087" s="241">
        <f t="shared" si="156"/>
        <v>0</v>
      </c>
      <c r="I1087" s="242"/>
      <c r="J1087" s="243"/>
      <c r="K1087" s="243"/>
      <c r="L1087" s="244">
        <v>0.1</v>
      </c>
      <c r="M1087" s="244">
        <f t="shared" si="157"/>
        <v>0</v>
      </c>
      <c r="N1087" s="244"/>
      <c r="O1087" s="244"/>
      <c r="P1087" s="244"/>
      <c r="Q1087" s="245">
        <f t="shared" si="158"/>
        <v>0</v>
      </c>
      <c r="R1087" s="245">
        <f t="shared" si="159"/>
        <v>0</v>
      </c>
      <c r="S1087" s="246">
        <v>0.5</v>
      </c>
      <c r="T1087" s="245">
        <f t="shared" si="160"/>
        <v>0</v>
      </c>
      <c r="U1087" s="245">
        <f t="shared" si="161"/>
        <v>0</v>
      </c>
      <c r="V1087" s="247"/>
    </row>
    <row r="1088" spans="1:22" ht="15.75" x14ac:dyDescent="0.25">
      <c r="A1088" s="236"/>
      <c r="B1088" s="237"/>
      <c r="C1088" s="238"/>
      <c r="D1088" s="239"/>
      <c r="E1088" s="240"/>
      <c r="F1088" s="240"/>
      <c r="G1088" s="240"/>
      <c r="H1088" s="241">
        <f t="shared" si="156"/>
        <v>0</v>
      </c>
      <c r="I1088" s="242"/>
      <c r="J1088" s="243"/>
      <c r="K1088" s="243"/>
      <c r="L1088" s="244">
        <v>0.1</v>
      </c>
      <c r="M1088" s="244">
        <f t="shared" si="157"/>
        <v>0</v>
      </c>
      <c r="N1088" s="244"/>
      <c r="O1088" s="244"/>
      <c r="P1088" s="244"/>
      <c r="Q1088" s="245">
        <f t="shared" si="158"/>
        <v>0</v>
      </c>
      <c r="R1088" s="245">
        <f t="shared" si="159"/>
        <v>0</v>
      </c>
      <c r="S1088" s="246">
        <v>0.5</v>
      </c>
      <c r="T1088" s="245">
        <f t="shared" si="160"/>
        <v>0</v>
      </c>
      <c r="U1088" s="245">
        <f t="shared" si="161"/>
        <v>0</v>
      </c>
      <c r="V1088" s="247"/>
    </row>
    <row r="1089" spans="1:22" ht="15.75" x14ac:dyDescent="0.25">
      <c r="A1089" s="236"/>
      <c r="B1089" s="237"/>
      <c r="C1089" s="238"/>
      <c r="D1089" s="239"/>
      <c r="E1089" s="240"/>
      <c r="F1089" s="240"/>
      <c r="G1089" s="240"/>
      <c r="H1089" s="241">
        <f t="shared" si="156"/>
        <v>0</v>
      </c>
      <c r="I1089" s="242"/>
      <c r="J1089" s="243"/>
      <c r="K1089" s="243"/>
      <c r="L1089" s="244">
        <v>0.1</v>
      </c>
      <c r="M1089" s="244">
        <f t="shared" si="157"/>
        <v>0</v>
      </c>
      <c r="N1089" s="244"/>
      <c r="O1089" s="244"/>
      <c r="P1089" s="244"/>
      <c r="Q1089" s="245">
        <f t="shared" si="158"/>
        <v>0</v>
      </c>
      <c r="R1089" s="245">
        <f t="shared" si="159"/>
        <v>0</v>
      </c>
      <c r="S1089" s="246">
        <v>0.5</v>
      </c>
      <c r="T1089" s="245">
        <f t="shared" si="160"/>
        <v>0</v>
      </c>
      <c r="U1089" s="245">
        <f t="shared" si="161"/>
        <v>0</v>
      </c>
      <c r="V1089" s="247"/>
    </row>
    <row r="1090" spans="1:22" ht="15.75" x14ac:dyDescent="0.25">
      <c r="A1090" s="236"/>
      <c r="B1090" s="237"/>
      <c r="C1090" s="238"/>
      <c r="D1090" s="239"/>
      <c r="E1090" s="240"/>
      <c r="F1090" s="240"/>
      <c r="G1090" s="240"/>
      <c r="H1090" s="241">
        <f t="shared" si="156"/>
        <v>0</v>
      </c>
      <c r="I1090" s="242"/>
      <c r="J1090" s="243"/>
      <c r="K1090" s="243"/>
      <c r="L1090" s="244">
        <v>0.1</v>
      </c>
      <c r="M1090" s="244">
        <f t="shared" si="157"/>
        <v>0</v>
      </c>
      <c r="N1090" s="244"/>
      <c r="O1090" s="244"/>
      <c r="P1090" s="244"/>
      <c r="Q1090" s="245">
        <f t="shared" si="158"/>
        <v>0</v>
      </c>
      <c r="R1090" s="245">
        <f t="shared" si="159"/>
        <v>0</v>
      </c>
      <c r="S1090" s="246">
        <v>0.5</v>
      </c>
      <c r="T1090" s="245">
        <f t="shared" si="160"/>
        <v>0</v>
      </c>
      <c r="U1090" s="245">
        <f t="shared" si="161"/>
        <v>0</v>
      </c>
      <c r="V1090" s="247"/>
    </row>
    <row r="1091" spans="1:22" ht="15.75" x14ac:dyDescent="0.25">
      <c r="A1091" s="236"/>
      <c r="B1091" s="237"/>
      <c r="C1091" s="238"/>
      <c r="D1091" s="239"/>
      <c r="E1091" s="240"/>
      <c r="F1091" s="240"/>
      <c r="G1091" s="240"/>
      <c r="H1091" s="241">
        <f t="shared" si="156"/>
        <v>0</v>
      </c>
      <c r="I1091" s="242"/>
      <c r="J1091" s="243"/>
      <c r="K1091" s="243"/>
      <c r="L1091" s="244">
        <v>0.1</v>
      </c>
      <c r="M1091" s="244">
        <f t="shared" si="157"/>
        <v>0</v>
      </c>
      <c r="N1091" s="244"/>
      <c r="O1091" s="244"/>
      <c r="P1091" s="244"/>
      <c r="Q1091" s="245">
        <f t="shared" si="158"/>
        <v>0</v>
      </c>
      <c r="R1091" s="245">
        <f t="shared" si="159"/>
        <v>0</v>
      </c>
      <c r="S1091" s="246">
        <v>0.5</v>
      </c>
      <c r="T1091" s="245">
        <f t="shared" si="160"/>
        <v>0</v>
      </c>
      <c r="U1091" s="245">
        <f t="shared" si="161"/>
        <v>0</v>
      </c>
      <c r="V1091" s="247"/>
    </row>
    <row r="1092" spans="1:22" ht="15.75" x14ac:dyDescent="0.25">
      <c r="A1092" s="236"/>
      <c r="B1092" s="237"/>
      <c r="C1092" s="238"/>
      <c r="D1092" s="239"/>
      <c r="E1092" s="240"/>
      <c r="F1092" s="240"/>
      <c r="G1092" s="240"/>
      <c r="H1092" s="241">
        <f t="shared" si="156"/>
        <v>0</v>
      </c>
      <c r="I1092" s="242"/>
      <c r="J1092" s="243"/>
      <c r="K1092" s="243"/>
      <c r="L1092" s="244">
        <v>0.1</v>
      </c>
      <c r="M1092" s="244">
        <f t="shared" si="157"/>
        <v>0</v>
      </c>
      <c r="N1092" s="244"/>
      <c r="O1092" s="244"/>
      <c r="P1092" s="244"/>
      <c r="Q1092" s="245">
        <f t="shared" si="158"/>
        <v>0</v>
      </c>
      <c r="R1092" s="245">
        <f t="shared" si="159"/>
        <v>0</v>
      </c>
      <c r="S1092" s="246">
        <v>0.5</v>
      </c>
      <c r="T1092" s="245">
        <f t="shared" si="160"/>
        <v>0</v>
      </c>
      <c r="U1092" s="245">
        <f t="shared" si="161"/>
        <v>0</v>
      </c>
      <c r="V1092" s="247"/>
    </row>
    <row r="1093" spans="1:22" ht="15.75" x14ac:dyDescent="0.25">
      <c r="A1093" s="236"/>
      <c r="B1093" s="237"/>
      <c r="C1093" s="238"/>
      <c r="D1093" s="239"/>
      <c r="E1093" s="240"/>
      <c r="F1093" s="240"/>
      <c r="G1093" s="240"/>
      <c r="H1093" s="241">
        <f t="shared" si="156"/>
        <v>0</v>
      </c>
      <c r="I1093" s="242"/>
      <c r="J1093" s="243"/>
      <c r="K1093" s="243"/>
      <c r="L1093" s="244">
        <v>0.1</v>
      </c>
      <c r="M1093" s="244">
        <f t="shared" si="157"/>
        <v>0</v>
      </c>
      <c r="N1093" s="244"/>
      <c r="O1093" s="244"/>
      <c r="P1093" s="244"/>
      <c r="Q1093" s="245">
        <f t="shared" si="158"/>
        <v>0</v>
      </c>
      <c r="R1093" s="245">
        <f t="shared" si="159"/>
        <v>0</v>
      </c>
      <c r="S1093" s="246">
        <v>0.5</v>
      </c>
      <c r="T1093" s="245">
        <f t="shared" si="160"/>
        <v>0</v>
      </c>
      <c r="U1093" s="245">
        <f t="shared" si="161"/>
        <v>0</v>
      </c>
      <c r="V1093" s="247"/>
    </row>
    <row r="1094" spans="1:22" ht="15.75" x14ac:dyDescent="0.25">
      <c r="A1094" s="236"/>
      <c r="B1094" s="237"/>
      <c r="C1094" s="238"/>
      <c r="D1094" s="239"/>
      <c r="E1094" s="240"/>
      <c r="F1094" s="240"/>
      <c r="G1094" s="240"/>
      <c r="H1094" s="241">
        <f t="shared" si="156"/>
        <v>0</v>
      </c>
      <c r="I1094" s="242"/>
      <c r="J1094" s="243"/>
      <c r="K1094" s="243"/>
      <c r="L1094" s="244">
        <v>0.1</v>
      </c>
      <c r="M1094" s="244">
        <f t="shared" si="157"/>
        <v>0</v>
      </c>
      <c r="N1094" s="244"/>
      <c r="O1094" s="244"/>
      <c r="P1094" s="244"/>
      <c r="Q1094" s="245">
        <f t="shared" si="158"/>
        <v>0</v>
      </c>
      <c r="R1094" s="245">
        <f t="shared" si="159"/>
        <v>0</v>
      </c>
      <c r="S1094" s="246">
        <v>0.5</v>
      </c>
      <c r="T1094" s="245">
        <f t="shared" si="160"/>
        <v>0</v>
      </c>
      <c r="U1094" s="245">
        <f t="shared" si="161"/>
        <v>0</v>
      </c>
      <c r="V1094" s="247"/>
    </row>
    <row r="1095" spans="1:22" ht="15.75" x14ac:dyDescent="0.25">
      <c r="A1095" s="236"/>
      <c r="B1095" s="237"/>
      <c r="C1095" s="238"/>
      <c r="D1095" s="239"/>
      <c r="E1095" s="240"/>
      <c r="F1095" s="240"/>
      <c r="G1095" s="240"/>
      <c r="H1095" s="241">
        <f t="shared" si="156"/>
        <v>0</v>
      </c>
      <c r="I1095" s="242"/>
      <c r="J1095" s="243"/>
      <c r="K1095" s="243"/>
      <c r="L1095" s="244">
        <v>0.1</v>
      </c>
      <c r="M1095" s="244">
        <f t="shared" si="157"/>
        <v>0</v>
      </c>
      <c r="N1095" s="244"/>
      <c r="O1095" s="244"/>
      <c r="P1095" s="244"/>
      <c r="Q1095" s="245">
        <f t="shared" si="158"/>
        <v>0</v>
      </c>
      <c r="R1095" s="245">
        <f t="shared" si="159"/>
        <v>0</v>
      </c>
      <c r="S1095" s="246">
        <v>0.5</v>
      </c>
      <c r="T1095" s="245">
        <f t="shared" si="160"/>
        <v>0</v>
      </c>
      <c r="U1095" s="245">
        <f t="shared" si="161"/>
        <v>0</v>
      </c>
      <c r="V1095" s="247"/>
    </row>
    <row r="1096" spans="1:22" ht="15.75" x14ac:dyDescent="0.25">
      <c r="A1096" s="236"/>
      <c r="B1096" s="237"/>
      <c r="C1096" s="238"/>
      <c r="D1096" s="239"/>
      <c r="E1096" s="240"/>
      <c r="F1096" s="240"/>
      <c r="G1096" s="240"/>
      <c r="H1096" s="241">
        <f t="shared" si="156"/>
        <v>0</v>
      </c>
      <c r="I1096" s="242"/>
      <c r="J1096" s="243"/>
      <c r="K1096" s="243"/>
      <c r="L1096" s="244">
        <v>0.1</v>
      </c>
      <c r="M1096" s="244">
        <f t="shared" si="157"/>
        <v>0</v>
      </c>
      <c r="N1096" s="244"/>
      <c r="O1096" s="244"/>
      <c r="P1096" s="244"/>
      <c r="Q1096" s="245">
        <f t="shared" si="158"/>
        <v>0</v>
      </c>
      <c r="R1096" s="245">
        <f t="shared" si="159"/>
        <v>0</v>
      </c>
      <c r="S1096" s="246">
        <v>0.5</v>
      </c>
      <c r="T1096" s="245">
        <f t="shared" si="160"/>
        <v>0</v>
      </c>
      <c r="U1096" s="245">
        <f t="shared" si="161"/>
        <v>0</v>
      </c>
      <c r="V1096" s="247"/>
    </row>
    <row r="1097" spans="1:22" ht="15.75" x14ac:dyDescent="0.25">
      <c r="A1097" s="236"/>
      <c r="B1097" s="237"/>
      <c r="C1097" s="238"/>
      <c r="D1097" s="239"/>
      <c r="E1097" s="240"/>
      <c r="F1097" s="240"/>
      <c r="G1097" s="240"/>
      <c r="H1097" s="241">
        <f t="shared" si="156"/>
        <v>0</v>
      </c>
      <c r="I1097" s="242"/>
      <c r="J1097" s="243"/>
      <c r="K1097" s="243"/>
      <c r="L1097" s="244">
        <v>0.1</v>
      </c>
      <c r="M1097" s="244">
        <f t="shared" si="157"/>
        <v>0</v>
      </c>
      <c r="N1097" s="244"/>
      <c r="O1097" s="244"/>
      <c r="P1097" s="244"/>
      <c r="Q1097" s="245">
        <f t="shared" si="158"/>
        <v>0</v>
      </c>
      <c r="R1097" s="245">
        <f t="shared" si="159"/>
        <v>0</v>
      </c>
      <c r="S1097" s="246">
        <v>0.5</v>
      </c>
      <c r="T1097" s="245">
        <f t="shared" si="160"/>
        <v>0</v>
      </c>
      <c r="U1097" s="245">
        <f t="shared" si="161"/>
        <v>0</v>
      </c>
      <c r="V1097" s="247"/>
    </row>
    <row r="1098" spans="1:22" ht="15.75" x14ac:dyDescent="0.25">
      <c r="A1098" s="236"/>
      <c r="B1098" s="237"/>
      <c r="C1098" s="238"/>
      <c r="D1098" s="239"/>
      <c r="E1098" s="240"/>
      <c r="F1098" s="240"/>
      <c r="G1098" s="240"/>
      <c r="H1098" s="241">
        <f t="shared" si="156"/>
        <v>0</v>
      </c>
      <c r="I1098" s="242"/>
      <c r="J1098" s="243"/>
      <c r="K1098" s="243"/>
      <c r="L1098" s="244">
        <v>0.1</v>
      </c>
      <c r="M1098" s="244">
        <f t="shared" si="157"/>
        <v>0</v>
      </c>
      <c r="N1098" s="244"/>
      <c r="O1098" s="244"/>
      <c r="P1098" s="244"/>
      <c r="Q1098" s="245">
        <f t="shared" si="158"/>
        <v>0</v>
      </c>
      <c r="R1098" s="245">
        <f t="shared" si="159"/>
        <v>0</v>
      </c>
      <c r="S1098" s="246">
        <v>0.5</v>
      </c>
      <c r="T1098" s="245">
        <f t="shared" si="160"/>
        <v>0</v>
      </c>
      <c r="U1098" s="245">
        <f t="shared" si="161"/>
        <v>0</v>
      </c>
      <c r="V1098" s="247"/>
    </row>
    <row r="1099" spans="1:22" ht="15.75" x14ac:dyDescent="0.25">
      <c r="A1099" s="236"/>
      <c r="B1099" s="237"/>
      <c r="C1099" s="238"/>
      <c r="D1099" s="239"/>
      <c r="E1099" s="240"/>
      <c r="F1099" s="240"/>
      <c r="G1099" s="240"/>
      <c r="H1099" s="241">
        <f t="shared" si="156"/>
        <v>0</v>
      </c>
      <c r="I1099" s="242"/>
      <c r="J1099" s="243"/>
      <c r="K1099" s="243"/>
      <c r="L1099" s="244">
        <v>0.1</v>
      </c>
      <c r="M1099" s="244">
        <f t="shared" si="157"/>
        <v>0</v>
      </c>
      <c r="N1099" s="244"/>
      <c r="O1099" s="244"/>
      <c r="P1099" s="244"/>
      <c r="Q1099" s="245">
        <f t="shared" si="158"/>
        <v>0</v>
      </c>
      <c r="R1099" s="245">
        <f t="shared" si="159"/>
        <v>0</v>
      </c>
      <c r="S1099" s="246">
        <v>0.5</v>
      </c>
      <c r="T1099" s="245">
        <f t="shared" si="160"/>
        <v>0</v>
      </c>
      <c r="U1099" s="245">
        <f t="shared" si="161"/>
        <v>0</v>
      </c>
      <c r="V1099" s="247"/>
    </row>
    <row r="1100" spans="1:22" ht="15.75" x14ac:dyDescent="0.25">
      <c r="A1100" s="236"/>
      <c r="B1100" s="237"/>
      <c r="C1100" s="238"/>
      <c r="D1100" s="239"/>
      <c r="E1100" s="240"/>
      <c r="F1100" s="240"/>
      <c r="G1100" s="240"/>
      <c r="H1100" s="241">
        <f t="shared" si="156"/>
        <v>0</v>
      </c>
      <c r="I1100" s="242"/>
      <c r="J1100" s="243"/>
      <c r="K1100" s="243"/>
      <c r="L1100" s="244">
        <v>0.1</v>
      </c>
      <c r="M1100" s="244">
        <f t="shared" si="157"/>
        <v>0</v>
      </c>
      <c r="N1100" s="244"/>
      <c r="O1100" s="244"/>
      <c r="P1100" s="244"/>
      <c r="Q1100" s="245">
        <f t="shared" si="158"/>
        <v>0</v>
      </c>
      <c r="R1100" s="245">
        <f t="shared" si="159"/>
        <v>0</v>
      </c>
      <c r="S1100" s="246">
        <v>0.5</v>
      </c>
      <c r="T1100" s="245">
        <f t="shared" si="160"/>
        <v>0</v>
      </c>
      <c r="U1100" s="245">
        <f t="shared" si="161"/>
        <v>0</v>
      </c>
      <c r="V1100" s="247"/>
    </row>
    <row r="1101" spans="1:22" ht="15.75" x14ac:dyDescent="0.25">
      <c r="A1101" s="236"/>
      <c r="B1101" s="237"/>
      <c r="C1101" s="238"/>
      <c r="D1101" s="239"/>
      <c r="E1101" s="240"/>
      <c r="F1101" s="240"/>
      <c r="G1101" s="240"/>
      <c r="H1101" s="241">
        <f t="shared" si="156"/>
        <v>0</v>
      </c>
      <c r="I1101" s="242"/>
      <c r="J1101" s="243"/>
      <c r="K1101" s="243"/>
      <c r="L1101" s="244">
        <v>0.1</v>
      </c>
      <c r="M1101" s="244">
        <f t="shared" si="157"/>
        <v>0</v>
      </c>
      <c r="N1101" s="244"/>
      <c r="O1101" s="244"/>
      <c r="P1101" s="244"/>
      <c r="Q1101" s="245">
        <f t="shared" si="158"/>
        <v>0</v>
      </c>
      <c r="R1101" s="245">
        <f t="shared" si="159"/>
        <v>0</v>
      </c>
      <c r="S1101" s="246">
        <v>0.5</v>
      </c>
      <c r="T1101" s="245">
        <f t="shared" si="160"/>
        <v>0</v>
      </c>
      <c r="U1101" s="245">
        <f t="shared" si="161"/>
        <v>0</v>
      </c>
      <c r="V1101" s="247"/>
    </row>
    <row r="1102" spans="1:22" ht="15.75" x14ac:dyDescent="0.25">
      <c r="A1102" s="236"/>
      <c r="B1102" s="237"/>
      <c r="C1102" s="238"/>
      <c r="D1102" s="239"/>
      <c r="E1102" s="240"/>
      <c r="F1102" s="240"/>
      <c r="G1102" s="240"/>
      <c r="H1102" s="241">
        <f t="shared" si="156"/>
        <v>0</v>
      </c>
      <c r="I1102" s="242"/>
      <c r="J1102" s="243"/>
      <c r="K1102" s="243"/>
      <c r="L1102" s="244">
        <v>0.1</v>
      </c>
      <c r="M1102" s="244">
        <f t="shared" si="157"/>
        <v>0</v>
      </c>
      <c r="N1102" s="244"/>
      <c r="O1102" s="244"/>
      <c r="P1102" s="244"/>
      <c r="Q1102" s="245">
        <f t="shared" si="158"/>
        <v>0</v>
      </c>
      <c r="R1102" s="245">
        <f t="shared" si="159"/>
        <v>0</v>
      </c>
      <c r="S1102" s="246">
        <v>0.5</v>
      </c>
      <c r="T1102" s="245">
        <f t="shared" si="160"/>
        <v>0</v>
      </c>
      <c r="U1102" s="245">
        <f t="shared" si="161"/>
        <v>0</v>
      </c>
      <c r="V1102" s="247"/>
    </row>
    <row r="1103" spans="1:22" ht="15.75" x14ac:dyDescent="0.25">
      <c r="A1103" s="236"/>
      <c r="B1103" s="237"/>
      <c r="C1103" s="238"/>
      <c r="D1103" s="239"/>
      <c r="E1103" s="240"/>
      <c r="F1103" s="240"/>
      <c r="G1103" s="240"/>
      <c r="H1103" s="241">
        <f t="shared" si="156"/>
        <v>0</v>
      </c>
      <c r="I1103" s="242"/>
      <c r="J1103" s="243"/>
      <c r="K1103" s="243"/>
      <c r="L1103" s="244">
        <v>0.1</v>
      </c>
      <c r="M1103" s="244">
        <f t="shared" si="157"/>
        <v>0</v>
      </c>
      <c r="N1103" s="244"/>
      <c r="O1103" s="244"/>
      <c r="P1103" s="244"/>
      <c r="Q1103" s="245">
        <f t="shared" si="158"/>
        <v>0</v>
      </c>
      <c r="R1103" s="245">
        <f t="shared" si="159"/>
        <v>0</v>
      </c>
      <c r="S1103" s="246">
        <v>0.5</v>
      </c>
      <c r="T1103" s="245">
        <f t="shared" si="160"/>
        <v>0</v>
      </c>
      <c r="U1103" s="245">
        <f t="shared" si="161"/>
        <v>0</v>
      </c>
      <c r="V1103" s="247"/>
    </row>
    <row r="1104" spans="1:22" ht="15.75" x14ac:dyDescent="0.25">
      <c r="A1104" s="236"/>
      <c r="B1104" s="237"/>
      <c r="C1104" s="238"/>
      <c r="D1104" s="239"/>
      <c r="E1104" s="240"/>
      <c r="F1104" s="240"/>
      <c r="G1104" s="240"/>
      <c r="H1104" s="241">
        <f t="shared" si="156"/>
        <v>0</v>
      </c>
      <c r="I1104" s="242"/>
      <c r="J1104" s="243"/>
      <c r="K1104" s="243"/>
      <c r="L1104" s="244">
        <v>0.1</v>
      </c>
      <c r="M1104" s="244">
        <f t="shared" si="157"/>
        <v>0</v>
      </c>
      <c r="N1104" s="244"/>
      <c r="O1104" s="244"/>
      <c r="P1104" s="244"/>
      <c r="Q1104" s="245">
        <f t="shared" si="158"/>
        <v>0</v>
      </c>
      <c r="R1104" s="245">
        <f t="shared" si="159"/>
        <v>0</v>
      </c>
      <c r="S1104" s="246">
        <v>0.5</v>
      </c>
      <c r="T1104" s="245">
        <f t="shared" si="160"/>
        <v>0</v>
      </c>
      <c r="U1104" s="245">
        <f t="shared" si="161"/>
        <v>0</v>
      </c>
      <c r="V1104" s="247"/>
    </row>
    <row r="1105" spans="1:22" ht="15.75" x14ac:dyDescent="0.25">
      <c r="A1105" s="236"/>
      <c r="B1105" s="237"/>
      <c r="C1105" s="238"/>
      <c r="D1105" s="239"/>
      <c r="E1105" s="240"/>
      <c r="F1105" s="240"/>
      <c r="G1105" s="240"/>
      <c r="H1105" s="241">
        <f t="shared" si="156"/>
        <v>0</v>
      </c>
      <c r="I1105" s="242"/>
      <c r="J1105" s="243"/>
      <c r="K1105" s="243"/>
      <c r="L1105" s="244">
        <v>0.1</v>
      </c>
      <c r="M1105" s="244">
        <f t="shared" si="157"/>
        <v>0</v>
      </c>
      <c r="N1105" s="244"/>
      <c r="O1105" s="244"/>
      <c r="P1105" s="244"/>
      <c r="Q1105" s="245">
        <f t="shared" si="158"/>
        <v>0</v>
      </c>
      <c r="R1105" s="245">
        <f t="shared" si="159"/>
        <v>0</v>
      </c>
      <c r="S1105" s="246">
        <v>0.5</v>
      </c>
      <c r="T1105" s="245">
        <f t="shared" si="160"/>
        <v>0</v>
      </c>
      <c r="U1105" s="245">
        <f t="shared" si="161"/>
        <v>0</v>
      </c>
      <c r="V1105" s="247"/>
    </row>
    <row r="1106" spans="1:22" ht="15.75" x14ac:dyDescent="0.25">
      <c r="A1106" s="236"/>
      <c r="B1106" s="237"/>
      <c r="C1106" s="238"/>
      <c r="D1106" s="239"/>
      <c r="E1106" s="240"/>
      <c r="F1106" s="240"/>
      <c r="G1106" s="240"/>
      <c r="H1106" s="241">
        <f t="shared" si="156"/>
        <v>0</v>
      </c>
      <c r="I1106" s="242"/>
      <c r="J1106" s="243"/>
      <c r="K1106" s="243"/>
      <c r="L1106" s="244">
        <v>0.1</v>
      </c>
      <c r="M1106" s="244">
        <f t="shared" si="157"/>
        <v>0</v>
      </c>
      <c r="N1106" s="244"/>
      <c r="O1106" s="244"/>
      <c r="P1106" s="244"/>
      <c r="Q1106" s="245">
        <f t="shared" si="158"/>
        <v>0</v>
      </c>
      <c r="R1106" s="245">
        <f t="shared" si="159"/>
        <v>0</v>
      </c>
      <c r="S1106" s="246">
        <v>0.5</v>
      </c>
      <c r="T1106" s="245">
        <f t="shared" si="160"/>
        <v>0</v>
      </c>
      <c r="U1106" s="245">
        <f t="shared" si="161"/>
        <v>0</v>
      </c>
      <c r="V1106" s="247"/>
    </row>
    <row r="1107" spans="1:22" ht="15.75" x14ac:dyDescent="0.25">
      <c r="A1107" s="236"/>
      <c r="B1107" s="237"/>
      <c r="C1107" s="238"/>
      <c r="D1107" s="239"/>
      <c r="E1107" s="240"/>
      <c r="F1107" s="240"/>
      <c r="G1107" s="240"/>
      <c r="H1107" s="241">
        <f t="shared" si="156"/>
        <v>0</v>
      </c>
      <c r="I1107" s="242"/>
      <c r="J1107" s="243"/>
      <c r="K1107" s="243"/>
      <c r="L1107" s="244">
        <v>0.1</v>
      </c>
      <c r="M1107" s="244">
        <f t="shared" si="157"/>
        <v>0</v>
      </c>
      <c r="N1107" s="244"/>
      <c r="O1107" s="244"/>
      <c r="P1107" s="244"/>
      <c r="Q1107" s="245">
        <f t="shared" si="158"/>
        <v>0</v>
      </c>
      <c r="R1107" s="245">
        <f t="shared" si="159"/>
        <v>0</v>
      </c>
      <c r="S1107" s="246">
        <v>0.5</v>
      </c>
      <c r="T1107" s="245">
        <f t="shared" si="160"/>
        <v>0</v>
      </c>
      <c r="U1107" s="245">
        <f t="shared" si="161"/>
        <v>0</v>
      </c>
      <c r="V1107" s="247"/>
    </row>
    <row r="1108" spans="1:22" ht="15.75" x14ac:dyDescent="0.25">
      <c r="A1108" s="236"/>
      <c r="B1108" s="237"/>
      <c r="C1108" s="238"/>
      <c r="D1108" s="239"/>
      <c r="E1108" s="240"/>
      <c r="F1108" s="240"/>
      <c r="G1108" s="240"/>
      <c r="H1108" s="241">
        <f t="shared" si="156"/>
        <v>0</v>
      </c>
      <c r="I1108" s="242"/>
      <c r="J1108" s="243"/>
      <c r="K1108" s="243"/>
      <c r="L1108" s="244">
        <v>0.1</v>
      </c>
      <c r="M1108" s="244">
        <f t="shared" si="157"/>
        <v>0</v>
      </c>
      <c r="N1108" s="244"/>
      <c r="O1108" s="244"/>
      <c r="P1108" s="244"/>
      <c r="Q1108" s="245">
        <f t="shared" si="158"/>
        <v>0</v>
      </c>
      <c r="R1108" s="245">
        <f t="shared" si="159"/>
        <v>0</v>
      </c>
      <c r="S1108" s="246">
        <v>0.5</v>
      </c>
      <c r="T1108" s="245">
        <f t="shared" si="160"/>
        <v>0</v>
      </c>
      <c r="U1108" s="245">
        <f t="shared" si="161"/>
        <v>0</v>
      </c>
      <c r="V1108" s="247"/>
    </row>
    <row r="1109" spans="1:22" ht="15.75" x14ac:dyDescent="0.25">
      <c r="A1109" s="236"/>
      <c r="B1109" s="237"/>
      <c r="C1109" s="238"/>
      <c r="D1109" s="239"/>
      <c r="E1109" s="240"/>
      <c r="F1109" s="240"/>
      <c r="G1109" s="240"/>
      <c r="H1109" s="241">
        <f t="shared" si="156"/>
        <v>0</v>
      </c>
      <c r="I1109" s="242"/>
      <c r="J1109" s="243"/>
      <c r="K1109" s="243"/>
      <c r="L1109" s="244">
        <v>0.1</v>
      </c>
      <c r="M1109" s="244">
        <f t="shared" si="157"/>
        <v>0</v>
      </c>
      <c r="N1109" s="244"/>
      <c r="O1109" s="244"/>
      <c r="P1109" s="244"/>
      <c r="Q1109" s="245">
        <f t="shared" si="158"/>
        <v>0</v>
      </c>
      <c r="R1109" s="245">
        <f t="shared" si="159"/>
        <v>0</v>
      </c>
      <c r="S1109" s="246">
        <v>0.5</v>
      </c>
      <c r="T1109" s="245">
        <f t="shared" si="160"/>
        <v>0</v>
      </c>
      <c r="U1109" s="245">
        <f t="shared" si="161"/>
        <v>0</v>
      </c>
      <c r="V1109" s="247"/>
    </row>
    <row r="1110" spans="1:22" ht="15.75" x14ac:dyDescent="0.25">
      <c r="A1110" s="236"/>
      <c r="B1110" s="237"/>
      <c r="C1110" s="238"/>
      <c r="D1110" s="239"/>
      <c r="E1110" s="240"/>
      <c r="F1110" s="240"/>
      <c r="G1110" s="240"/>
      <c r="H1110" s="241">
        <f t="shared" si="156"/>
        <v>0</v>
      </c>
      <c r="I1110" s="242"/>
      <c r="J1110" s="243"/>
      <c r="K1110" s="243"/>
      <c r="L1110" s="244">
        <v>0.1</v>
      </c>
      <c r="M1110" s="244">
        <f t="shared" si="157"/>
        <v>0</v>
      </c>
      <c r="N1110" s="244"/>
      <c r="O1110" s="244"/>
      <c r="P1110" s="244"/>
      <c r="Q1110" s="245">
        <f t="shared" si="158"/>
        <v>0</v>
      </c>
      <c r="R1110" s="245">
        <f t="shared" si="159"/>
        <v>0</v>
      </c>
      <c r="S1110" s="246">
        <v>0.5</v>
      </c>
      <c r="T1110" s="245">
        <f t="shared" si="160"/>
        <v>0</v>
      </c>
      <c r="U1110" s="245">
        <f t="shared" si="161"/>
        <v>0</v>
      </c>
      <c r="V1110" s="247"/>
    </row>
    <row r="1111" spans="1:22" ht="15.75" x14ac:dyDescent="0.25">
      <c r="A1111" s="236"/>
      <c r="B1111" s="237"/>
      <c r="C1111" s="238"/>
      <c r="D1111" s="239"/>
      <c r="E1111" s="240"/>
      <c r="F1111" s="240"/>
      <c r="G1111" s="240"/>
      <c r="H1111" s="241">
        <f t="shared" si="156"/>
        <v>0</v>
      </c>
      <c r="I1111" s="242"/>
      <c r="J1111" s="243"/>
      <c r="K1111" s="243"/>
      <c r="L1111" s="244">
        <v>0.1</v>
      </c>
      <c r="M1111" s="244">
        <f t="shared" si="157"/>
        <v>0</v>
      </c>
      <c r="N1111" s="244"/>
      <c r="O1111" s="244"/>
      <c r="P1111" s="244"/>
      <c r="Q1111" s="245">
        <f t="shared" si="158"/>
        <v>0</v>
      </c>
      <c r="R1111" s="245">
        <f t="shared" si="159"/>
        <v>0</v>
      </c>
      <c r="S1111" s="246">
        <v>0.5</v>
      </c>
      <c r="T1111" s="245">
        <f t="shared" si="160"/>
        <v>0</v>
      </c>
      <c r="U1111" s="245">
        <f t="shared" si="161"/>
        <v>0</v>
      </c>
      <c r="V1111" s="247"/>
    </row>
    <row r="1112" spans="1:22" ht="15.75" x14ac:dyDescent="0.25">
      <c r="A1112" s="236"/>
      <c r="B1112" s="237"/>
      <c r="C1112" s="238"/>
      <c r="D1112" s="239"/>
      <c r="E1112" s="240"/>
      <c r="F1112" s="240"/>
      <c r="G1112" s="240"/>
      <c r="H1112" s="241">
        <f t="shared" si="156"/>
        <v>0</v>
      </c>
      <c r="I1112" s="242"/>
      <c r="J1112" s="243"/>
      <c r="K1112" s="243"/>
      <c r="L1112" s="244">
        <v>0.1</v>
      </c>
      <c r="M1112" s="244">
        <f t="shared" si="157"/>
        <v>0</v>
      </c>
      <c r="N1112" s="244"/>
      <c r="O1112" s="244"/>
      <c r="P1112" s="244"/>
      <c r="Q1112" s="245">
        <f t="shared" si="158"/>
        <v>0</v>
      </c>
      <c r="R1112" s="245">
        <f t="shared" si="159"/>
        <v>0</v>
      </c>
      <c r="S1112" s="246">
        <v>0.5</v>
      </c>
      <c r="T1112" s="245">
        <f t="shared" si="160"/>
        <v>0</v>
      </c>
      <c r="U1112" s="245">
        <f t="shared" si="161"/>
        <v>0</v>
      </c>
      <c r="V1112" s="247"/>
    </row>
    <row r="1113" spans="1:22" ht="15.75" x14ac:dyDescent="0.25">
      <c r="A1113" s="236"/>
      <c r="B1113" s="237"/>
      <c r="C1113" s="238"/>
      <c r="D1113" s="239"/>
      <c r="E1113" s="240"/>
      <c r="F1113" s="240"/>
      <c r="G1113" s="240"/>
      <c r="H1113" s="241">
        <f t="shared" si="156"/>
        <v>0</v>
      </c>
      <c r="I1113" s="242"/>
      <c r="J1113" s="243"/>
      <c r="K1113" s="243"/>
      <c r="L1113" s="244">
        <v>0.1</v>
      </c>
      <c r="M1113" s="244">
        <f t="shared" si="157"/>
        <v>0</v>
      </c>
      <c r="N1113" s="244"/>
      <c r="O1113" s="244"/>
      <c r="P1113" s="244"/>
      <c r="Q1113" s="245">
        <f t="shared" si="158"/>
        <v>0</v>
      </c>
      <c r="R1113" s="245">
        <f t="shared" si="159"/>
        <v>0</v>
      </c>
      <c r="S1113" s="246">
        <v>0.5</v>
      </c>
      <c r="T1113" s="245">
        <f t="shared" si="160"/>
        <v>0</v>
      </c>
      <c r="U1113" s="245">
        <f t="shared" si="161"/>
        <v>0</v>
      </c>
      <c r="V1113" s="247"/>
    </row>
    <row r="1114" spans="1:22" ht="15.75" x14ac:dyDescent="0.25">
      <c r="A1114" s="236"/>
      <c r="B1114" s="237"/>
      <c r="C1114" s="238"/>
      <c r="D1114" s="239"/>
      <c r="E1114" s="240"/>
      <c r="F1114" s="240"/>
      <c r="G1114" s="240"/>
      <c r="H1114" s="241">
        <f t="shared" si="156"/>
        <v>0</v>
      </c>
      <c r="I1114" s="242"/>
      <c r="J1114" s="243"/>
      <c r="K1114" s="243"/>
      <c r="L1114" s="244">
        <v>0.1</v>
      </c>
      <c r="M1114" s="244">
        <f t="shared" si="157"/>
        <v>0</v>
      </c>
      <c r="N1114" s="244"/>
      <c r="O1114" s="244"/>
      <c r="P1114" s="244"/>
      <c r="Q1114" s="245">
        <f t="shared" si="158"/>
        <v>0</v>
      </c>
      <c r="R1114" s="245">
        <f t="shared" si="159"/>
        <v>0</v>
      </c>
      <c r="S1114" s="246">
        <v>0.5</v>
      </c>
      <c r="T1114" s="245">
        <f t="shared" si="160"/>
        <v>0</v>
      </c>
      <c r="U1114" s="245">
        <f t="shared" si="161"/>
        <v>0</v>
      </c>
      <c r="V1114" s="247"/>
    </row>
    <row r="1115" spans="1:22" ht="15.75" x14ac:dyDescent="0.25">
      <c r="A1115" s="236"/>
      <c r="B1115" s="237"/>
      <c r="C1115" s="238"/>
      <c r="D1115" s="239"/>
      <c r="E1115" s="240"/>
      <c r="F1115" s="240"/>
      <c r="G1115" s="240"/>
      <c r="H1115" s="241">
        <f t="shared" si="156"/>
        <v>0</v>
      </c>
      <c r="I1115" s="242"/>
      <c r="J1115" s="243"/>
      <c r="K1115" s="243"/>
      <c r="L1115" s="244">
        <v>0.1</v>
      </c>
      <c r="M1115" s="244">
        <f t="shared" si="157"/>
        <v>0</v>
      </c>
      <c r="N1115" s="244"/>
      <c r="O1115" s="244"/>
      <c r="P1115" s="244"/>
      <c r="Q1115" s="245">
        <f t="shared" si="158"/>
        <v>0</v>
      </c>
      <c r="R1115" s="245">
        <f t="shared" si="159"/>
        <v>0</v>
      </c>
      <c r="S1115" s="246">
        <v>0.5</v>
      </c>
      <c r="T1115" s="245">
        <f t="shared" si="160"/>
        <v>0</v>
      </c>
      <c r="U1115" s="245">
        <f t="shared" si="161"/>
        <v>0</v>
      </c>
      <c r="V1115" s="247"/>
    </row>
    <row r="1116" spans="1:22" ht="15.75" x14ac:dyDescent="0.25">
      <c r="A1116" s="236"/>
      <c r="B1116" s="237"/>
      <c r="C1116" s="238"/>
      <c r="D1116" s="239"/>
      <c r="E1116" s="240"/>
      <c r="F1116" s="240"/>
      <c r="G1116" s="240"/>
      <c r="H1116" s="241">
        <f t="shared" si="156"/>
        <v>0</v>
      </c>
      <c r="I1116" s="242"/>
      <c r="J1116" s="243"/>
      <c r="K1116" s="243"/>
      <c r="L1116" s="244">
        <v>0.1</v>
      </c>
      <c r="M1116" s="244">
        <f t="shared" si="157"/>
        <v>0</v>
      </c>
      <c r="N1116" s="244"/>
      <c r="O1116" s="244"/>
      <c r="P1116" s="244"/>
      <c r="Q1116" s="245">
        <f t="shared" si="158"/>
        <v>0</v>
      </c>
      <c r="R1116" s="245">
        <f t="shared" si="159"/>
        <v>0</v>
      </c>
      <c r="S1116" s="246">
        <v>0.5</v>
      </c>
      <c r="T1116" s="245">
        <f t="shared" si="160"/>
        <v>0</v>
      </c>
      <c r="U1116" s="245">
        <f t="shared" si="161"/>
        <v>0</v>
      </c>
      <c r="V1116" s="247"/>
    </row>
    <row r="1117" spans="1:22" ht="15.75" x14ac:dyDescent="0.25">
      <c r="A1117" s="236"/>
      <c r="B1117" s="237"/>
      <c r="C1117" s="238"/>
      <c r="D1117" s="239"/>
      <c r="E1117" s="240"/>
      <c r="F1117" s="240"/>
      <c r="G1117" s="240"/>
      <c r="H1117" s="241">
        <f t="shared" si="156"/>
        <v>0</v>
      </c>
      <c r="I1117" s="242"/>
      <c r="J1117" s="243"/>
      <c r="K1117" s="243"/>
      <c r="L1117" s="244">
        <v>0.1</v>
      </c>
      <c r="M1117" s="244">
        <f t="shared" si="157"/>
        <v>0</v>
      </c>
      <c r="N1117" s="244"/>
      <c r="O1117" s="244"/>
      <c r="P1117" s="244"/>
      <c r="Q1117" s="245">
        <f t="shared" si="158"/>
        <v>0</v>
      </c>
      <c r="R1117" s="245">
        <f t="shared" si="159"/>
        <v>0</v>
      </c>
      <c r="S1117" s="246">
        <v>0.5</v>
      </c>
      <c r="T1117" s="245">
        <f t="shared" si="160"/>
        <v>0</v>
      </c>
      <c r="U1117" s="245">
        <f t="shared" si="161"/>
        <v>0</v>
      </c>
      <c r="V1117" s="247"/>
    </row>
    <row r="1118" spans="1:22" ht="15.75" x14ac:dyDescent="0.25">
      <c r="A1118" s="236"/>
      <c r="B1118" s="237"/>
      <c r="C1118" s="238"/>
      <c r="D1118" s="239"/>
      <c r="E1118" s="240"/>
      <c r="F1118" s="240"/>
      <c r="G1118" s="240"/>
      <c r="H1118" s="241">
        <f t="shared" si="156"/>
        <v>0</v>
      </c>
      <c r="I1118" s="242"/>
      <c r="J1118" s="243"/>
      <c r="K1118" s="243"/>
      <c r="L1118" s="244">
        <v>0.1</v>
      </c>
      <c r="M1118" s="244">
        <f t="shared" si="157"/>
        <v>0</v>
      </c>
      <c r="N1118" s="244"/>
      <c r="O1118" s="244"/>
      <c r="P1118" s="244"/>
      <c r="Q1118" s="245">
        <f t="shared" si="158"/>
        <v>0</v>
      </c>
      <c r="R1118" s="245">
        <f t="shared" si="159"/>
        <v>0</v>
      </c>
      <c r="S1118" s="246">
        <v>0.5</v>
      </c>
      <c r="T1118" s="245">
        <f t="shared" si="160"/>
        <v>0</v>
      </c>
      <c r="U1118" s="245">
        <f t="shared" si="161"/>
        <v>0</v>
      </c>
      <c r="V1118" s="247"/>
    </row>
    <row r="1119" spans="1:22" ht="15.75" x14ac:dyDescent="0.25">
      <c r="A1119" s="236"/>
      <c r="B1119" s="237"/>
      <c r="C1119" s="238"/>
      <c r="D1119" s="239"/>
      <c r="E1119" s="240"/>
      <c r="F1119" s="240"/>
      <c r="G1119" s="240"/>
      <c r="H1119" s="241">
        <f t="shared" si="156"/>
        <v>0</v>
      </c>
      <c r="I1119" s="242"/>
      <c r="J1119" s="243"/>
      <c r="K1119" s="243"/>
      <c r="L1119" s="244">
        <v>0.1</v>
      </c>
      <c r="M1119" s="244">
        <f t="shared" si="157"/>
        <v>0</v>
      </c>
      <c r="N1119" s="244"/>
      <c r="O1119" s="244"/>
      <c r="P1119" s="244"/>
      <c r="Q1119" s="245">
        <f t="shared" si="158"/>
        <v>0</v>
      </c>
      <c r="R1119" s="245">
        <f t="shared" si="159"/>
        <v>0</v>
      </c>
      <c r="S1119" s="246">
        <v>0.5</v>
      </c>
      <c r="T1119" s="245">
        <f t="shared" si="160"/>
        <v>0</v>
      </c>
      <c r="U1119" s="245">
        <f t="shared" si="161"/>
        <v>0</v>
      </c>
      <c r="V1119" s="247"/>
    </row>
    <row r="1120" spans="1:22" ht="15.75" x14ac:dyDescent="0.25">
      <c r="A1120" s="236"/>
      <c r="B1120" s="237"/>
      <c r="C1120" s="238"/>
      <c r="D1120" s="239"/>
      <c r="E1120" s="240"/>
      <c r="F1120" s="240"/>
      <c r="G1120" s="240"/>
      <c r="H1120" s="241">
        <f t="shared" si="156"/>
        <v>0</v>
      </c>
      <c r="I1120" s="242"/>
      <c r="J1120" s="243"/>
      <c r="K1120" s="243"/>
      <c r="L1120" s="244">
        <v>0.1</v>
      </c>
      <c r="M1120" s="244">
        <f t="shared" si="157"/>
        <v>0</v>
      </c>
      <c r="N1120" s="244"/>
      <c r="O1120" s="244"/>
      <c r="P1120" s="244"/>
      <c r="Q1120" s="245">
        <f t="shared" si="158"/>
        <v>0</v>
      </c>
      <c r="R1120" s="245">
        <f t="shared" si="159"/>
        <v>0</v>
      </c>
      <c r="S1120" s="246">
        <v>0.5</v>
      </c>
      <c r="T1120" s="245">
        <f t="shared" si="160"/>
        <v>0</v>
      </c>
      <c r="U1120" s="245">
        <f t="shared" si="161"/>
        <v>0</v>
      </c>
      <c r="V1120" s="247"/>
    </row>
    <row r="1121" spans="1:22" ht="15.75" x14ac:dyDescent="0.25">
      <c r="A1121" s="236"/>
      <c r="B1121" s="237"/>
      <c r="C1121" s="238"/>
      <c r="D1121" s="239"/>
      <c r="E1121" s="240"/>
      <c r="F1121" s="240"/>
      <c r="G1121" s="240"/>
      <c r="H1121" s="241">
        <f t="shared" si="156"/>
        <v>0</v>
      </c>
      <c r="I1121" s="242"/>
      <c r="J1121" s="243"/>
      <c r="K1121" s="243"/>
      <c r="L1121" s="244">
        <v>0.1</v>
      </c>
      <c r="M1121" s="244">
        <f t="shared" si="157"/>
        <v>0</v>
      </c>
      <c r="N1121" s="244"/>
      <c r="O1121" s="244"/>
      <c r="P1121" s="244"/>
      <c r="Q1121" s="245">
        <f t="shared" si="158"/>
        <v>0</v>
      </c>
      <c r="R1121" s="245">
        <f t="shared" si="159"/>
        <v>0</v>
      </c>
      <c r="S1121" s="246">
        <v>0.5</v>
      </c>
      <c r="T1121" s="245">
        <f t="shared" si="160"/>
        <v>0</v>
      </c>
      <c r="U1121" s="245">
        <f t="shared" si="161"/>
        <v>0</v>
      </c>
      <c r="V1121" s="247"/>
    </row>
    <row r="1122" spans="1:22" ht="15.75" x14ac:dyDescent="0.25">
      <c r="A1122" s="236"/>
      <c r="B1122" s="237"/>
      <c r="C1122" s="238"/>
      <c r="D1122" s="239"/>
      <c r="E1122" s="240"/>
      <c r="F1122" s="240"/>
      <c r="G1122" s="240"/>
      <c r="H1122" s="241">
        <f t="shared" ref="H1122:H1185" si="162">+E1122+F1122+G1122</f>
        <v>0</v>
      </c>
      <c r="I1122" s="242"/>
      <c r="J1122" s="243"/>
      <c r="K1122" s="243"/>
      <c r="L1122" s="244">
        <v>0.1</v>
      </c>
      <c r="M1122" s="244">
        <f t="shared" ref="M1122:M1185" si="163">+L1122*C1122</f>
        <v>0</v>
      </c>
      <c r="N1122" s="244"/>
      <c r="O1122" s="244"/>
      <c r="P1122" s="244"/>
      <c r="Q1122" s="245">
        <f t="shared" ref="Q1122:Q1185" si="164">+N1122+O1122+P1122</f>
        <v>0</v>
      </c>
      <c r="R1122" s="245">
        <f t="shared" ref="R1122:R1185" si="165">IF(+Q1122-H1122&lt;=0,0,Q1122-H1122)</f>
        <v>0</v>
      </c>
      <c r="S1122" s="246">
        <v>0.5</v>
      </c>
      <c r="T1122" s="245">
        <f t="shared" ref="T1122:T1185" si="166">+(R1122*C1122)*S1122</f>
        <v>0</v>
      </c>
      <c r="U1122" s="245">
        <f t="shared" ref="U1122:U1185" si="167">+J1122+M1122+T1122</f>
        <v>0</v>
      </c>
      <c r="V1122" s="247"/>
    </row>
    <row r="1123" spans="1:22" ht="15.75" x14ac:dyDescent="0.25">
      <c r="A1123" s="236"/>
      <c r="B1123" s="237"/>
      <c r="C1123" s="238"/>
      <c r="D1123" s="239"/>
      <c r="E1123" s="240"/>
      <c r="F1123" s="240"/>
      <c r="G1123" s="240"/>
      <c r="H1123" s="241">
        <f t="shared" si="162"/>
        <v>0</v>
      </c>
      <c r="I1123" s="242"/>
      <c r="J1123" s="243"/>
      <c r="K1123" s="243"/>
      <c r="L1123" s="244">
        <v>0.1</v>
      </c>
      <c r="M1123" s="244">
        <f t="shared" si="163"/>
        <v>0</v>
      </c>
      <c r="N1123" s="244"/>
      <c r="O1123" s="244"/>
      <c r="P1123" s="244"/>
      <c r="Q1123" s="245">
        <f t="shared" si="164"/>
        <v>0</v>
      </c>
      <c r="R1123" s="245">
        <f t="shared" si="165"/>
        <v>0</v>
      </c>
      <c r="S1123" s="246">
        <v>0.5</v>
      </c>
      <c r="T1123" s="245">
        <f t="shared" si="166"/>
        <v>0</v>
      </c>
      <c r="U1123" s="245">
        <f t="shared" si="167"/>
        <v>0</v>
      </c>
      <c r="V1123" s="247"/>
    </row>
    <row r="1124" spans="1:22" ht="15.75" x14ac:dyDescent="0.25">
      <c r="A1124" s="236"/>
      <c r="B1124" s="237"/>
      <c r="C1124" s="238"/>
      <c r="D1124" s="239"/>
      <c r="E1124" s="240"/>
      <c r="F1124" s="240"/>
      <c r="G1124" s="240"/>
      <c r="H1124" s="241">
        <f t="shared" si="162"/>
        <v>0</v>
      </c>
      <c r="I1124" s="242"/>
      <c r="J1124" s="243"/>
      <c r="K1124" s="243"/>
      <c r="L1124" s="244">
        <v>0.1</v>
      </c>
      <c r="M1124" s="244">
        <f t="shared" si="163"/>
        <v>0</v>
      </c>
      <c r="N1124" s="244"/>
      <c r="O1124" s="244"/>
      <c r="P1124" s="244"/>
      <c r="Q1124" s="245">
        <f t="shared" si="164"/>
        <v>0</v>
      </c>
      <c r="R1124" s="245">
        <f t="shared" si="165"/>
        <v>0</v>
      </c>
      <c r="S1124" s="246">
        <v>0.5</v>
      </c>
      <c r="T1124" s="245">
        <f t="shared" si="166"/>
        <v>0</v>
      </c>
      <c r="U1124" s="245">
        <f t="shared" si="167"/>
        <v>0</v>
      </c>
      <c r="V1124" s="247"/>
    </row>
    <row r="1125" spans="1:22" ht="15.75" x14ac:dyDescent="0.25">
      <c r="A1125" s="236"/>
      <c r="B1125" s="237"/>
      <c r="C1125" s="238"/>
      <c r="D1125" s="239"/>
      <c r="E1125" s="240"/>
      <c r="F1125" s="240"/>
      <c r="G1125" s="240"/>
      <c r="H1125" s="241">
        <f t="shared" si="162"/>
        <v>0</v>
      </c>
      <c r="I1125" s="242"/>
      <c r="J1125" s="243"/>
      <c r="K1125" s="243"/>
      <c r="L1125" s="244">
        <v>0.1</v>
      </c>
      <c r="M1125" s="244">
        <f t="shared" si="163"/>
        <v>0</v>
      </c>
      <c r="N1125" s="244"/>
      <c r="O1125" s="244"/>
      <c r="P1125" s="244"/>
      <c r="Q1125" s="245">
        <f t="shared" si="164"/>
        <v>0</v>
      </c>
      <c r="R1125" s="245">
        <f t="shared" si="165"/>
        <v>0</v>
      </c>
      <c r="S1125" s="246">
        <v>0.5</v>
      </c>
      <c r="T1125" s="245">
        <f t="shared" si="166"/>
        <v>0</v>
      </c>
      <c r="U1125" s="245">
        <f t="shared" si="167"/>
        <v>0</v>
      </c>
      <c r="V1125" s="247"/>
    </row>
    <row r="1126" spans="1:22" ht="15.75" x14ac:dyDescent="0.25">
      <c r="A1126" s="236"/>
      <c r="B1126" s="237"/>
      <c r="C1126" s="238"/>
      <c r="D1126" s="239"/>
      <c r="E1126" s="240"/>
      <c r="F1126" s="240"/>
      <c r="G1126" s="240"/>
      <c r="H1126" s="241">
        <f t="shared" si="162"/>
        <v>0</v>
      </c>
      <c r="I1126" s="242"/>
      <c r="J1126" s="243"/>
      <c r="K1126" s="243"/>
      <c r="L1126" s="244">
        <v>0.1</v>
      </c>
      <c r="M1126" s="244">
        <f t="shared" si="163"/>
        <v>0</v>
      </c>
      <c r="N1126" s="244"/>
      <c r="O1126" s="244"/>
      <c r="P1126" s="244"/>
      <c r="Q1126" s="245">
        <f t="shared" si="164"/>
        <v>0</v>
      </c>
      <c r="R1126" s="245">
        <f t="shared" si="165"/>
        <v>0</v>
      </c>
      <c r="S1126" s="246">
        <v>0.5</v>
      </c>
      <c r="T1126" s="245">
        <f t="shared" si="166"/>
        <v>0</v>
      </c>
      <c r="U1126" s="245">
        <f t="shared" si="167"/>
        <v>0</v>
      </c>
      <c r="V1126" s="247"/>
    </row>
    <row r="1127" spans="1:22" ht="15.75" x14ac:dyDescent="0.25">
      <c r="A1127" s="236"/>
      <c r="B1127" s="237"/>
      <c r="C1127" s="238"/>
      <c r="D1127" s="239"/>
      <c r="E1127" s="240"/>
      <c r="F1127" s="240"/>
      <c r="G1127" s="240"/>
      <c r="H1127" s="241">
        <f t="shared" si="162"/>
        <v>0</v>
      </c>
      <c r="I1127" s="242"/>
      <c r="J1127" s="243"/>
      <c r="K1127" s="243"/>
      <c r="L1127" s="244">
        <v>0.1</v>
      </c>
      <c r="M1127" s="244">
        <f t="shared" si="163"/>
        <v>0</v>
      </c>
      <c r="N1127" s="244"/>
      <c r="O1127" s="244"/>
      <c r="P1127" s="244"/>
      <c r="Q1127" s="245">
        <f t="shared" si="164"/>
        <v>0</v>
      </c>
      <c r="R1127" s="245">
        <f t="shared" si="165"/>
        <v>0</v>
      </c>
      <c r="S1127" s="246">
        <v>0.5</v>
      </c>
      <c r="T1127" s="245">
        <f t="shared" si="166"/>
        <v>0</v>
      </c>
      <c r="U1127" s="245">
        <f t="shared" si="167"/>
        <v>0</v>
      </c>
      <c r="V1127" s="247"/>
    </row>
    <row r="1128" spans="1:22" ht="15.75" x14ac:dyDescent="0.25">
      <c r="A1128" s="236"/>
      <c r="B1128" s="237"/>
      <c r="C1128" s="238"/>
      <c r="D1128" s="239"/>
      <c r="E1128" s="240"/>
      <c r="F1128" s="240"/>
      <c r="G1128" s="240"/>
      <c r="H1128" s="241">
        <f t="shared" si="162"/>
        <v>0</v>
      </c>
      <c r="I1128" s="242"/>
      <c r="J1128" s="243"/>
      <c r="K1128" s="243"/>
      <c r="L1128" s="244">
        <v>0.1</v>
      </c>
      <c r="M1128" s="244">
        <f t="shared" si="163"/>
        <v>0</v>
      </c>
      <c r="N1128" s="244"/>
      <c r="O1128" s="244"/>
      <c r="P1128" s="244"/>
      <c r="Q1128" s="245">
        <f t="shared" si="164"/>
        <v>0</v>
      </c>
      <c r="R1128" s="245">
        <f t="shared" si="165"/>
        <v>0</v>
      </c>
      <c r="S1128" s="246">
        <v>0.5</v>
      </c>
      <c r="T1128" s="245">
        <f t="shared" si="166"/>
        <v>0</v>
      </c>
      <c r="U1128" s="245">
        <f t="shared" si="167"/>
        <v>0</v>
      </c>
      <c r="V1128" s="247"/>
    </row>
    <row r="1129" spans="1:22" ht="15.75" x14ac:dyDescent="0.25">
      <c r="A1129" s="236"/>
      <c r="B1129" s="237"/>
      <c r="C1129" s="238"/>
      <c r="D1129" s="239"/>
      <c r="E1129" s="240"/>
      <c r="F1129" s="240"/>
      <c r="G1129" s="240"/>
      <c r="H1129" s="241">
        <f t="shared" si="162"/>
        <v>0</v>
      </c>
      <c r="I1129" s="242"/>
      <c r="J1129" s="243"/>
      <c r="K1129" s="243"/>
      <c r="L1129" s="244">
        <v>0.1</v>
      </c>
      <c r="M1129" s="244">
        <f t="shared" si="163"/>
        <v>0</v>
      </c>
      <c r="N1129" s="244"/>
      <c r="O1129" s="244"/>
      <c r="P1129" s="244"/>
      <c r="Q1129" s="245">
        <f t="shared" si="164"/>
        <v>0</v>
      </c>
      <c r="R1129" s="245">
        <f t="shared" si="165"/>
        <v>0</v>
      </c>
      <c r="S1129" s="246">
        <v>0.5</v>
      </c>
      <c r="T1129" s="245">
        <f t="shared" si="166"/>
        <v>0</v>
      </c>
      <c r="U1129" s="245">
        <f t="shared" si="167"/>
        <v>0</v>
      </c>
      <c r="V1129" s="247"/>
    </row>
    <row r="1130" spans="1:22" ht="15.75" x14ac:dyDescent="0.25">
      <c r="A1130" s="236"/>
      <c r="B1130" s="237"/>
      <c r="C1130" s="238"/>
      <c r="D1130" s="239"/>
      <c r="E1130" s="240"/>
      <c r="F1130" s="240"/>
      <c r="G1130" s="240"/>
      <c r="H1130" s="241">
        <f t="shared" si="162"/>
        <v>0</v>
      </c>
      <c r="I1130" s="242"/>
      <c r="J1130" s="243"/>
      <c r="K1130" s="243"/>
      <c r="L1130" s="244">
        <v>0.1</v>
      </c>
      <c r="M1130" s="244">
        <f t="shared" si="163"/>
        <v>0</v>
      </c>
      <c r="N1130" s="244"/>
      <c r="O1130" s="244"/>
      <c r="P1130" s="244"/>
      <c r="Q1130" s="245">
        <f t="shared" si="164"/>
        <v>0</v>
      </c>
      <c r="R1130" s="245">
        <f t="shared" si="165"/>
        <v>0</v>
      </c>
      <c r="S1130" s="246">
        <v>0.5</v>
      </c>
      <c r="T1130" s="245">
        <f t="shared" si="166"/>
        <v>0</v>
      </c>
      <c r="U1130" s="245">
        <f t="shared" si="167"/>
        <v>0</v>
      </c>
      <c r="V1130" s="247"/>
    </row>
    <row r="1131" spans="1:22" ht="15.75" x14ac:dyDescent="0.25">
      <c r="A1131" s="236"/>
      <c r="B1131" s="237"/>
      <c r="C1131" s="238"/>
      <c r="D1131" s="239"/>
      <c r="E1131" s="240"/>
      <c r="F1131" s="240"/>
      <c r="G1131" s="240"/>
      <c r="H1131" s="241">
        <f t="shared" si="162"/>
        <v>0</v>
      </c>
      <c r="I1131" s="242"/>
      <c r="J1131" s="243"/>
      <c r="K1131" s="243"/>
      <c r="L1131" s="244">
        <v>0.1</v>
      </c>
      <c r="M1131" s="244">
        <f t="shared" si="163"/>
        <v>0</v>
      </c>
      <c r="N1131" s="244"/>
      <c r="O1131" s="244"/>
      <c r="P1131" s="244"/>
      <c r="Q1131" s="245">
        <f t="shared" si="164"/>
        <v>0</v>
      </c>
      <c r="R1131" s="245">
        <f t="shared" si="165"/>
        <v>0</v>
      </c>
      <c r="S1131" s="246">
        <v>0.5</v>
      </c>
      <c r="T1131" s="245">
        <f t="shared" si="166"/>
        <v>0</v>
      </c>
      <c r="U1131" s="245">
        <f t="shared" si="167"/>
        <v>0</v>
      </c>
      <c r="V1131" s="247"/>
    </row>
    <row r="1132" spans="1:22" ht="15.75" x14ac:dyDescent="0.25">
      <c r="A1132" s="236"/>
      <c r="B1132" s="237"/>
      <c r="C1132" s="238"/>
      <c r="D1132" s="239"/>
      <c r="E1132" s="240"/>
      <c r="F1132" s="240"/>
      <c r="G1132" s="240"/>
      <c r="H1132" s="241">
        <f t="shared" si="162"/>
        <v>0</v>
      </c>
      <c r="I1132" s="242"/>
      <c r="J1132" s="243"/>
      <c r="K1132" s="243"/>
      <c r="L1132" s="244">
        <v>0.1</v>
      </c>
      <c r="M1132" s="244">
        <f t="shared" si="163"/>
        <v>0</v>
      </c>
      <c r="N1132" s="244"/>
      <c r="O1132" s="244"/>
      <c r="P1132" s="244"/>
      <c r="Q1132" s="245">
        <f t="shared" si="164"/>
        <v>0</v>
      </c>
      <c r="R1132" s="245">
        <f t="shared" si="165"/>
        <v>0</v>
      </c>
      <c r="S1132" s="246">
        <v>0.5</v>
      </c>
      <c r="T1132" s="245">
        <f t="shared" si="166"/>
        <v>0</v>
      </c>
      <c r="U1132" s="245">
        <f t="shared" si="167"/>
        <v>0</v>
      </c>
      <c r="V1132" s="247"/>
    </row>
    <row r="1133" spans="1:22" ht="15.75" x14ac:dyDescent="0.25">
      <c r="A1133" s="236"/>
      <c r="B1133" s="237"/>
      <c r="C1133" s="238"/>
      <c r="D1133" s="239"/>
      <c r="E1133" s="240"/>
      <c r="F1133" s="240"/>
      <c r="G1133" s="240"/>
      <c r="H1133" s="241">
        <f t="shared" si="162"/>
        <v>0</v>
      </c>
      <c r="I1133" s="242"/>
      <c r="J1133" s="243"/>
      <c r="K1133" s="243"/>
      <c r="L1133" s="244">
        <v>0.1</v>
      </c>
      <c r="M1133" s="244">
        <f t="shared" si="163"/>
        <v>0</v>
      </c>
      <c r="N1133" s="244"/>
      <c r="O1133" s="244"/>
      <c r="P1133" s="244"/>
      <c r="Q1133" s="245">
        <f t="shared" si="164"/>
        <v>0</v>
      </c>
      <c r="R1133" s="245">
        <f t="shared" si="165"/>
        <v>0</v>
      </c>
      <c r="S1133" s="246">
        <v>0.5</v>
      </c>
      <c r="T1133" s="245">
        <f t="shared" si="166"/>
        <v>0</v>
      </c>
      <c r="U1133" s="245">
        <f t="shared" si="167"/>
        <v>0</v>
      </c>
      <c r="V1133" s="247"/>
    </row>
    <row r="1134" spans="1:22" ht="15.75" x14ac:dyDescent="0.25">
      <c r="A1134" s="236"/>
      <c r="B1134" s="237"/>
      <c r="C1134" s="238"/>
      <c r="D1134" s="239"/>
      <c r="E1134" s="240"/>
      <c r="F1134" s="240"/>
      <c r="G1134" s="240"/>
      <c r="H1134" s="241">
        <f t="shared" si="162"/>
        <v>0</v>
      </c>
      <c r="I1134" s="242"/>
      <c r="J1134" s="243"/>
      <c r="K1134" s="243"/>
      <c r="L1134" s="244">
        <v>0.1</v>
      </c>
      <c r="M1134" s="244">
        <f t="shared" si="163"/>
        <v>0</v>
      </c>
      <c r="N1134" s="244"/>
      <c r="O1134" s="244"/>
      <c r="P1134" s="244"/>
      <c r="Q1134" s="245">
        <f t="shared" si="164"/>
        <v>0</v>
      </c>
      <c r="R1134" s="245">
        <f t="shared" si="165"/>
        <v>0</v>
      </c>
      <c r="S1134" s="246">
        <v>0.5</v>
      </c>
      <c r="T1134" s="245">
        <f t="shared" si="166"/>
        <v>0</v>
      </c>
      <c r="U1134" s="245">
        <f t="shared" si="167"/>
        <v>0</v>
      </c>
      <c r="V1134" s="247"/>
    </row>
    <row r="1135" spans="1:22" ht="15.75" x14ac:dyDescent="0.25">
      <c r="A1135" s="236"/>
      <c r="B1135" s="237"/>
      <c r="C1135" s="238"/>
      <c r="D1135" s="239"/>
      <c r="E1135" s="240"/>
      <c r="F1135" s="240"/>
      <c r="G1135" s="240"/>
      <c r="H1135" s="241">
        <f t="shared" si="162"/>
        <v>0</v>
      </c>
      <c r="I1135" s="242"/>
      <c r="J1135" s="243"/>
      <c r="K1135" s="243"/>
      <c r="L1135" s="244">
        <v>0.1</v>
      </c>
      <c r="M1135" s="244">
        <f t="shared" si="163"/>
        <v>0</v>
      </c>
      <c r="N1135" s="244"/>
      <c r="O1135" s="244"/>
      <c r="P1135" s="244"/>
      <c r="Q1135" s="245">
        <f t="shared" si="164"/>
        <v>0</v>
      </c>
      <c r="R1135" s="245">
        <f t="shared" si="165"/>
        <v>0</v>
      </c>
      <c r="S1135" s="246">
        <v>0.5</v>
      </c>
      <c r="T1135" s="245">
        <f t="shared" si="166"/>
        <v>0</v>
      </c>
      <c r="U1135" s="245">
        <f t="shared" si="167"/>
        <v>0</v>
      </c>
      <c r="V1135" s="247"/>
    </row>
    <row r="1136" spans="1:22" ht="15.75" x14ac:dyDescent="0.25">
      <c r="A1136" s="236"/>
      <c r="B1136" s="237"/>
      <c r="C1136" s="238"/>
      <c r="D1136" s="239"/>
      <c r="E1136" s="240"/>
      <c r="F1136" s="240"/>
      <c r="G1136" s="240"/>
      <c r="H1136" s="241">
        <f t="shared" si="162"/>
        <v>0</v>
      </c>
      <c r="I1136" s="242"/>
      <c r="J1136" s="243"/>
      <c r="K1136" s="243"/>
      <c r="L1136" s="244">
        <v>0.1</v>
      </c>
      <c r="M1136" s="244">
        <f t="shared" si="163"/>
        <v>0</v>
      </c>
      <c r="N1136" s="244"/>
      <c r="O1136" s="244"/>
      <c r="P1136" s="244"/>
      <c r="Q1136" s="245">
        <f t="shared" si="164"/>
        <v>0</v>
      </c>
      <c r="R1136" s="245">
        <f t="shared" si="165"/>
        <v>0</v>
      </c>
      <c r="S1136" s="246">
        <v>0.5</v>
      </c>
      <c r="T1136" s="245">
        <f t="shared" si="166"/>
        <v>0</v>
      </c>
      <c r="U1136" s="245">
        <f t="shared" si="167"/>
        <v>0</v>
      </c>
      <c r="V1136" s="247"/>
    </row>
    <row r="1137" spans="1:22" ht="15.75" x14ac:dyDescent="0.25">
      <c r="A1137" s="236"/>
      <c r="B1137" s="237"/>
      <c r="C1137" s="238"/>
      <c r="D1137" s="239"/>
      <c r="E1137" s="240"/>
      <c r="F1137" s="240"/>
      <c r="G1137" s="240"/>
      <c r="H1137" s="241">
        <f t="shared" si="162"/>
        <v>0</v>
      </c>
      <c r="I1137" s="242"/>
      <c r="J1137" s="243"/>
      <c r="K1137" s="243"/>
      <c r="L1137" s="244">
        <v>0.1</v>
      </c>
      <c r="M1137" s="244">
        <f t="shared" si="163"/>
        <v>0</v>
      </c>
      <c r="N1137" s="244"/>
      <c r="O1137" s="244"/>
      <c r="P1137" s="244"/>
      <c r="Q1137" s="245">
        <f t="shared" si="164"/>
        <v>0</v>
      </c>
      <c r="R1137" s="245">
        <f t="shared" si="165"/>
        <v>0</v>
      </c>
      <c r="S1137" s="246">
        <v>0.5</v>
      </c>
      <c r="T1137" s="245">
        <f t="shared" si="166"/>
        <v>0</v>
      </c>
      <c r="U1137" s="245">
        <f t="shared" si="167"/>
        <v>0</v>
      </c>
      <c r="V1137" s="247"/>
    </row>
    <row r="1138" spans="1:22" ht="15.75" x14ac:dyDescent="0.25">
      <c r="A1138" s="236"/>
      <c r="B1138" s="237"/>
      <c r="C1138" s="238"/>
      <c r="D1138" s="239"/>
      <c r="E1138" s="240"/>
      <c r="F1138" s="240"/>
      <c r="G1138" s="240"/>
      <c r="H1138" s="241">
        <f t="shared" si="162"/>
        <v>0</v>
      </c>
      <c r="I1138" s="242"/>
      <c r="J1138" s="243"/>
      <c r="K1138" s="243"/>
      <c r="L1138" s="244">
        <v>0.1</v>
      </c>
      <c r="M1138" s="244">
        <f t="shared" si="163"/>
        <v>0</v>
      </c>
      <c r="N1138" s="244"/>
      <c r="O1138" s="244"/>
      <c r="P1138" s="244"/>
      <c r="Q1138" s="245">
        <f t="shared" si="164"/>
        <v>0</v>
      </c>
      <c r="R1138" s="245">
        <f t="shared" si="165"/>
        <v>0</v>
      </c>
      <c r="S1138" s="246">
        <v>0.5</v>
      </c>
      <c r="T1138" s="245">
        <f t="shared" si="166"/>
        <v>0</v>
      </c>
      <c r="U1138" s="245">
        <f t="shared" si="167"/>
        <v>0</v>
      </c>
      <c r="V1138" s="247"/>
    </row>
    <row r="1139" spans="1:22" ht="15.75" x14ac:dyDescent="0.25">
      <c r="A1139" s="236"/>
      <c r="B1139" s="237"/>
      <c r="C1139" s="238"/>
      <c r="D1139" s="239"/>
      <c r="E1139" s="240"/>
      <c r="F1139" s="240"/>
      <c r="G1139" s="240"/>
      <c r="H1139" s="241">
        <f t="shared" si="162"/>
        <v>0</v>
      </c>
      <c r="I1139" s="242"/>
      <c r="J1139" s="243"/>
      <c r="K1139" s="243"/>
      <c r="L1139" s="244">
        <v>0.1</v>
      </c>
      <c r="M1139" s="244">
        <f t="shared" si="163"/>
        <v>0</v>
      </c>
      <c r="N1139" s="244"/>
      <c r="O1139" s="244"/>
      <c r="P1139" s="244"/>
      <c r="Q1139" s="245">
        <f t="shared" si="164"/>
        <v>0</v>
      </c>
      <c r="R1139" s="245">
        <f t="shared" si="165"/>
        <v>0</v>
      </c>
      <c r="S1139" s="246">
        <v>0.5</v>
      </c>
      <c r="T1139" s="245">
        <f t="shared" si="166"/>
        <v>0</v>
      </c>
      <c r="U1139" s="245">
        <f t="shared" si="167"/>
        <v>0</v>
      </c>
      <c r="V1139" s="247"/>
    </row>
    <row r="1140" spans="1:22" ht="15.75" x14ac:dyDescent="0.25">
      <c r="A1140" s="236"/>
      <c r="B1140" s="237"/>
      <c r="C1140" s="238"/>
      <c r="D1140" s="239"/>
      <c r="E1140" s="240"/>
      <c r="F1140" s="240"/>
      <c r="G1140" s="240"/>
      <c r="H1140" s="241">
        <f t="shared" si="162"/>
        <v>0</v>
      </c>
      <c r="I1140" s="242"/>
      <c r="J1140" s="243"/>
      <c r="K1140" s="243"/>
      <c r="L1140" s="244">
        <v>0.1</v>
      </c>
      <c r="M1140" s="244">
        <f t="shared" si="163"/>
        <v>0</v>
      </c>
      <c r="N1140" s="244"/>
      <c r="O1140" s="244"/>
      <c r="P1140" s="244"/>
      <c r="Q1140" s="245">
        <f t="shared" si="164"/>
        <v>0</v>
      </c>
      <c r="R1140" s="245">
        <f t="shared" si="165"/>
        <v>0</v>
      </c>
      <c r="S1140" s="246">
        <v>0.5</v>
      </c>
      <c r="T1140" s="245">
        <f t="shared" si="166"/>
        <v>0</v>
      </c>
      <c r="U1140" s="245">
        <f t="shared" si="167"/>
        <v>0</v>
      </c>
      <c r="V1140" s="247"/>
    </row>
    <row r="1141" spans="1:22" ht="15.75" x14ac:dyDescent="0.25">
      <c r="A1141" s="236"/>
      <c r="B1141" s="237"/>
      <c r="C1141" s="238"/>
      <c r="D1141" s="239"/>
      <c r="E1141" s="240"/>
      <c r="F1141" s="240"/>
      <c r="G1141" s="240"/>
      <c r="H1141" s="241">
        <f t="shared" si="162"/>
        <v>0</v>
      </c>
      <c r="I1141" s="242"/>
      <c r="J1141" s="243"/>
      <c r="K1141" s="243"/>
      <c r="L1141" s="244">
        <v>0.1</v>
      </c>
      <c r="M1141" s="244">
        <f t="shared" si="163"/>
        <v>0</v>
      </c>
      <c r="N1141" s="244"/>
      <c r="O1141" s="244"/>
      <c r="P1141" s="244"/>
      <c r="Q1141" s="245">
        <f t="shared" si="164"/>
        <v>0</v>
      </c>
      <c r="R1141" s="245">
        <f t="shared" si="165"/>
        <v>0</v>
      </c>
      <c r="S1141" s="246">
        <v>0.5</v>
      </c>
      <c r="T1141" s="245">
        <f t="shared" si="166"/>
        <v>0</v>
      </c>
      <c r="U1141" s="245">
        <f t="shared" si="167"/>
        <v>0</v>
      </c>
      <c r="V1141" s="247"/>
    </row>
    <row r="1142" spans="1:22" ht="15.75" x14ac:dyDescent="0.25">
      <c r="A1142" s="236"/>
      <c r="B1142" s="237"/>
      <c r="C1142" s="238"/>
      <c r="D1142" s="239"/>
      <c r="E1142" s="240"/>
      <c r="F1142" s="240"/>
      <c r="G1142" s="240"/>
      <c r="H1142" s="241">
        <f t="shared" si="162"/>
        <v>0</v>
      </c>
      <c r="I1142" s="242"/>
      <c r="J1142" s="243"/>
      <c r="K1142" s="243"/>
      <c r="L1142" s="244">
        <v>0.1</v>
      </c>
      <c r="M1142" s="244">
        <f t="shared" si="163"/>
        <v>0</v>
      </c>
      <c r="N1142" s="244"/>
      <c r="O1142" s="244"/>
      <c r="P1142" s="244"/>
      <c r="Q1142" s="245">
        <f t="shared" si="164"/>
        <v>0</v>
      </c>
      <c r="R1142" s="245">
        <f t="shared" si="165"/>
        <v>0</v>
      </c>
      <c r="S1142" s="246">
        <v>0.5</v>
      </c>
      <c r="T1142" s="245">
        <f t="shared" si="166"/>
        <v>0</v>
      </c>
      <c r="U1142" s="245">
        <f t="shared" si="167"/>
        <v>0</v>
      </c>
      <c r="V1142" s="247"/>
    </row>
    <row r="1143" spans="1:22" ht="15.75" x14ac:dyDescent="0.25">
      <c r="A1143" s="236"/>
      <c r="B1143" s="237"/>
      <c r="C1143" s="238"/>
      <c r="D1143" s="239"/>
      <c r="E1143" s="240"/>
      <c r="F1143" s="240"/>
      <c r="G1143" s="240"/>
      <c r="H1143" s="241">
        <f t="shared" si="162"/>
        <v>0</v>
      </c>
      <c r="I1143" s="242"/>
      <c r="J1143" s="243"/>
      <c r="K1143" s="243"/>
      <c r="L1143" s="244">
        <v>0.1</v>
      </c>
      <c r="M1143" s="244">
        <f t="shared" si="163"/>
        <v>0</v>
      </c>
      <c r="N1143" s="244"/>
      <c r="O1143" s="244"/>
      <c r="P1143" s="244"/>
      <c r="Q1143" s="245">
        <f t="shared" si="164"/>
        <v>0</v>
      </c>
      <c r="R1143" s="245">
        <f t="shared" si="165"/>
        <v>0</v>
      </c>
      <c r="S1143" s="246">
        <v>0.5</v>
      </c>
      <c r="T1143" s="245">
        <f t="shared" si="166"/>
        <v>0</v>
      </c>
      <c r="U1143" s="245">
        <f t="shared" si="167"/>
        <v>0</v>
      </c>
      <c r="V1143" s="247"/>
    </row>
    <row r="1144" spans="1:22" ht="15.75" x14ac:dyDescent="0.25">
      <c r="A1144" s="236"/>
      <c r="B1144" s="237"/>
      <c r="C1144" s="238"/>
      <c r="D1144" s="239"/>
      <c r="E1144" s="240"/>
      <c r="F1144" s="240"/>
      <c r="G1144" s="240"/>
      <c r="H1144" s="241">
        <f t="shared" si="162"/>
        <v>0</v>
      </c>
      <c r="I1144" s="242"/>
      <c r="J1144" s="243"/>
      <c r="K1144" s="243"/>
      <c r="L1144" s="244">
        <v>0.1</v>
      </c>
      <c r="M1144" s="244">
        <f t="shared" si="163"/>
        <v>0</v>
      </c>
      <c r="N1144" s="244"/>
      <c r="O1144" s="244"/>
      <c r="P1144" s="244"/>
      <c r="Q1144" s="245">
        <f t="shared" si="164"/>
        <v>0</v>
      </c>
      <c r="R1144" s="245">
        <f t="shared" si="165"/>
        <v>0</v>
      </c>
      <c r="S1144" s="246">
        <v>0.5</v>
      </c>
      <c r="T1144" s="245">
        <f t="shared" si="166"/>
        <v>0</v>
      </c>
      <c r="U1144" s="245">
        <f t="shared" si="167"/>
        <v>0</v>
      </c>
      <c r="V1144" s="247"/>
    </row>
    <row r="1145" spans="1:22" ht="15.75" x14ac:dyDescent="0.25">
      <c r="A1145" s="236"/>
      <c r="B1145" s="237"/>
      <c r="C1145" s="238"/>
      <c r="D1145" s="239"/>
      <c r="E1145" s="240"/>
      <c r="F1145" s="240"/>
      <c r="G1145" s="240"/>
      <c r="H1145" s="241">
        <f t="shared" si="162"/>
        <v>0</v>
      </c>
      <c r="I1145" s="242"/>
      <c r="J1145" s="243"/>
      <c r="K1145" s="243"/>
      <c r="L1145" s="244">
        <v>0.1</v>
      </c>
      <c r="M1145" s="244">
        <f t="shared" si="163"/>
        <v>0</v>
      </c>
      <c r="N1145" s="244"/>
      <c r="O1145" s="244"/>
      <c r="P1145" s="244"/>
      <c r="Q1145" s="245">
        <f t="shared" si="164"/>
        <v>0</v>
      </c>
      <c r="R1145" s="245">
        <f t="shared" si="165"/>
        <v>0</v>
      </c>
      <c r="S1145" s="246">
        <v>0.5</v>
      </c>
      <c r="T1145" s="245">
        <f t="shared" si="166"/>
        <v>0</v>
      </c>
      <c r="U1145" s="245">
        <f t="shared" si="167"/>
        <v>0</v>
      </c>
      <c r="V1145" s="247"/>
    </row>
    <row r="1146" spans="1:22" ht="15.75" x14ac:dyDescent="0.25">
      <c r="A1146" s="236"/>
      <c r="B1146" s="237"/>
      <c r="C1146" s="238"/>
      <c r="D1146" s="239"/>
      <c r="E1146" s="240"/>
      <c r="F1146" s="240"/>
      <c r="G1146" s="240"/>
      <c r="H1146" s="241">
        <f t="shared" si="162"/>
        <v>0</v>
      </c>
      <c r="I1146" s="242"/>
      <c r="J1146" s="243"/>
      <c r="K1146" s="243"/>
      <c r="L1146" s="244">
        <v>0.1</v>
      </c>
      <c r="M1146" s="244">
        <f t="shared" si="163"/>
        <v>0</v>
      </c>
      <c r="N1146" s="244"/>
      <c r="O1146" s="244"/>
      <c r="P1146" s="244"/>
      <c r="Q1146" s="245">
        <f t="shared" si="164"/>
        <v>0</v>
      </c>
      <c r="R1146" s="245">
        <f t="shared" si="165"/>
        <v>0</v>
      </c>
      <c r="S1146" s="246">
        <v>0.5</v>
      </c>
      <c r="T1146" s="245">
        <f t="shared" si="166"/>
        <v>0</v>
      </c>
      <c r="U1146" s="245">
        <f t="shared" si="167"/>
        <v>0</v>
      </c>
      <c r="V1146" s="247"/>
    </row>
    <row r="1147" spans="1:22" ht="15.75" x14ac:dyDescent="0.25">
      <c r="A1147" s="236"/>
      <c r="B1147" s="237"/>
      <c r="C1147" s="238"/>
      <c r="D1147" s="239"/>
      <c r="E1147" s="240"/>
      <c r="F1147" s="240"/>
      <c r="G1147" s="240"/>
      <c r="H1147" s="241">
        <f t="shared" si="162"/>
        <v>0</v>
      </c>
      <c r="I1147" s="242"/>
      <c r="J1147" s="243"/>
      <c r="K1147" s="243"/>
      <c r="L1147" s="244">
        <v>0.1</v>
      </c>
      <c r="M1147" s="244">
        <f t="shared" si="163"/>
        <v>0</v>
      </c>
      <c r="N1147" s="244"/>
      <c r="O1147" s="244"/>
      <c r="P1147" s="244"/>
      <c r="Q1147" s="245">
        <f t="shared" si="164"/>
        <v>0</v>
      </c>
      <c r="R1147" s="245">
        <f t="shared" si="165"/>
        <v>0</v>
      </c>
      <c r="S1147" s="246">
        <v>0.5</v>
      </c>
      <c r="T1147" s="245">
        <f t="shared" si="166"/>
        <v>0</v>
      </c>
      <c r="U1147" s="245">
        <f t="shared" si="167"/>
        <v>0</v>
      </c>
      <c r="V1147" s="247"/>
    </row>
    <row r="1148" spans="1:22" ht="15.75" x14ac:dyDescent="0.25">
      <c r="A1148" s="236"/>
      <c r="B1148" s="237"/>
      <c r="C1148" s="238"/>
      <c r="D1148" s="239"/>
      <c r="E1148" s="240"/>
      <c r="F1148" s="240"/>
      <c r="G1148" s="240"/>
      <c r="H1148" s="241">
        <f t="shared" si="162"/>
        <v>0</v>
      </c>
      <c r="I1148" s="242"/>
      <c r="J1148" s="243"/>
      <c r="K1148" s="243"/>
      <c r="L1148" s="244">
        <v>0.1</v>
      </c>
      <c r="M1148" s="244">
        <f t="shared" si="163"/>
        <v>0</v>
      </c>
      <c r="N1148" s="244"/>
      <c r="O1148" s="244"/>
      <c r="P1148" s="244"/>
      <c r="Q1148" s="245">
        <f t="shared" si="164"/>
        <v>0</v>
      </c>
      <c r="R1148" s="245">
        <f t="shared" si="165"/>
        <v>0</v>
      </c>
      <c r="S1148" s="246">
        <v>0.5</v>
      </c>
      <c r="T1148" s="245">
        <f t="shared" si="166"/>
        <v>0</v>
      </c>
      <c r="U1148" s="245">
        <f t="shared" si="167"/>
        <v>0</v>
      </c>
      <c r="V1148" s="247"/>
    </row>
    <row r="1149" spans="1:22" ht="15.75" x14ac:dyDescent="0.25">
      <c r="A1149" s="236"/>
      <c r="B1149" s="237"/>
      <c r="C1149" s="238"/>
      <c r="D1149" s="239"/>
      <c r="E1149" s="240"/>
      <c r="F1149" s="240"/>
      <c r="G1149" s="240"/>
      <c r="H1149" s="241">
        <f t="shared" si="162"/>
        <v>0</v>
      </c>
      <c r="I1149" s="242"/>
      <c r="J1149" s="243"/>
      <c r="K1149" s="243"/>
      <c r="L1149" s="244">
        <v>0.1</v>
      </c>
      <c r="M1149" s="244">
        <f t="shared" si="163"/>
        <v>0</v>
      </c>
      <c r="N1149" s="244"/>
      <c r="O1149" s="244"/>
      <c r="P1149" s="244"/>
      <c r="Q1149" s="245">
        <f t="shared" si="164"/>
        <v>0</v>
      </c>
      <c r="R1149" s="245">
        <f t="shared" si="165"/>
        <v>0</v>
      </c>
      <c r="S1149" s="246">
        <v>0.5</v>
      </c>
      <c r="T1149" s="245">
        <f t="shared" si="166"/>
        <v>0</v>
      </c>
      <c r="U1149" s="245">
        <f t="shared" si="167"/>
        <v>0</v>
      </c>
      <c r="V1149" s="247"/>
    </row>
    <row r="1150" spans="1:22" ht="15.75" x14ac:dyDescent="0.25">
      <c r="A1150" s="236"/>
      <c r="B1150" s="237"/>
      <c r="C1150" s="238"/>
      <c r="D1150" s="239"/>
      <c r="E1150" s="240"/>
      <c r="F1150" s="240"/>
      <c r="G1150" s="240"/>
      <c r="H1150" s="241">
        <f t="shared" si="162"/>
        <v>0</v>
      </c>
      <c r="I1150" s="242"/>
      <c r="J1150" s="243"/>
      <c r="K1150" s="243"/>
      <c r="L1150" s="244">
        <v>0.1</v>
      </c>
      <c r="M1150" s="244">
        <f t="shared" si="163"/>
        <v>0</v>
      </c>
      <c r="N1150" s="244"/>
      <c r="O1150" s="244"/>
      <c r="P1150" s="244"/>
      <c r="Q1150" s="245">
        <f t="shared" si="164"/>
        <v>0</v>
      </c>
      <c r="R1150" s="245">
        <f t="shared" si="165"/>
        <v>0</v>
      </c>
      <c r="S1150" s="246">
        <v>0.5</v>
      </c>
      <c r="T1150" s="245">
        <f t="shared" si="166"/>
        <v>0</v>
      </c>
      <c r="U1150" s="245">
        <f t="shared" si="167"/>
        <v>0</v>
      </c>
      <c r="V1150" s="247"/>
    </row>
    <row r="1151" spans="1:22" ht="15.75" x14ac:dyDescent="0.25">
      <c r="A1151" s="236"/>
      <c r="B1151" s="237"/>
      <c r="C1151" s="238"/>
      <c r="D1151" s="239"/>
      <c r="E1151" s="240"/>
      <c r="F1151" s="240"/>
      <c r="G1151" s="240"/>
      <c r="H1151" s="241">
        <f t="shared" si="162"/>
        <v>0</v>
      </c>
      <c r="I1151" s="242"/>
      <c r="J1151" s="243"/>
      <c r="K1151" s="243"/>
      <c r="L1151" s="244">
        <v>0.1</v>
      </c>
      <c r="M1151" s="244">
        <f t="shared" si="163"/>
        <v>0</v>
      </c>
      <c r="N1151" s="244"/>
      <c r="O1151" s="244"/>
      <c r="P1151" s="244"/>
      <c r="Q1151" s="245">
        <f t="shared" si="164"/>
        <v>0</v>
      </c>
      <c r="R1151" s="245">
        <f t="shared" si="165"/>
        <v>0</v>
      </c>
      <c r="S1151" s="246">
        <v>0.5</v>
      </c>
      <c r="T1151" s="245">
        <f t="shared" si="166"/>
        <v>0</v>
      </c>
      <c r="U1151" s="245">
        <f t="shared" si="167"/>
        <v>0</v>
      </c>
      <c r="V1151" s="247"/>
    </row>
    <row r="1152" spans="1:22" ht="15.75" x14ac:dyDescent="0.25">
      <c r="A1152" s="236"/>
      <c r="B1152" s="237"/>
      <c r="C1152" s="238"/>
      <c r="D1152" s="239"/>
      <c r="E1152" s="240"/>
      <c r="F1152" s="240"/>
      <c r="G1152" s="240"/>
      <c r="H1152" s="241">
        <f t="shared" si="162"/>
        <v>0</v>
      </c>
      <c r="I1152" s="242"/>
      <c r="J1152" s="243"/>
      <c r="K1152" s="243"/>
      <c r="L1152" s="244">
        <v>0.1</v>
      </c>
      <c r="M1152" s="244">
        <f t="shared" si="163"/>
        <v>0</v>
      </c>
      <c r="N1152" s="244"/>
      <c r="O1152" s="244"/>
      <c r="P1152" s="244"/>
      <c r="Q1152" s="245">
        <f t="shared" si="164"/>
        <v>0</v>
      </c>
      <c r="R1152" s="245">
        <f t="shared" si="165"/>
        <v>0</v>
      </c>
      <c r="S1152" s="246">
        <v>0.5</v>
      </c>
      <c r="T1152" s="245">
        <f t="shared" si="166"/>
        <v>0</v>
      </c>
      <c r="U1152" s="245">
        <f t="shared" si="167"/>
        <v>0</v>
      </c>
      <c r="V1152" s="247"/>
    </row>
    <row r="1153" spans="1:22" ht="15.75" x14ac:dyDescent="0.25">
      <c r="A1153" s="236"/>
      <c r="B1153" s="237"/>
      <c r="C1153" s="238"/>
      <c r="D1153" s="239"/>
      <c r="E1153" s="240"/>
      <c r="F1153" s="240"/>
      <c r="G1153" s="240"/>
      <c r="H1153" s="241">
        <f t="shared" si="162"/>
        <v>0</v>
      </c>
      <c r="I1153" s="242"/>
      <c r="J1153" s="243"/>
      <c r="K1153" s="243"/>
      <c r="L1153" s="244">
        <v>0.1</v>
      </c>
      <c r="M1153" s="244">
        <f t="shared" si="163"/>
        <v>0</v>
      </c>
      <c r="N1153" s="244"/>
      <c r="O1153" s="244"/>
      <c r="P1153" s="244"/>
      <c r="Q1153" s="245">
        <f t="shared" si="164"/>
        <v>0</v>
      </c>
      <c r="R1153" s="245">
        <f t="shared" si="165"/>
        <v>0</v>
      </c>
      <c r="S1153" s="246">
        <v>0.5</v>
      </c>
      <c r="T1153" s="245">
        <f t="shared" si="166"/>
        <v>0</v>
      </c>
      <c r="U1153" s="245">
        <f t="shared" si="167"/>
        <v>0</v>
      </c>
      <c r="V1153" s="247"/>
    </row>
    <row r="1154" spans="1:22" ht="15.75" x14ac:dyDescent="0.25">
      <c r="A1154" s="236"/>
      <c r="B1154" s="237"/>
      <c r="C1154" s="238"/>
      <c r="D1154" s="239"/>
      <c r="E1154" s="240"/>
      <c r="F1154" s="240"/>
      <c r="G1154" s="240"/>
      <c r="H1154" s="241">
        <f t="shared" si="162"/>
        <v>0</v>
      </c>
      <c r="I1154" s="242"/>
      <c r="J1154" s="243"/>
      <c r="K1154" s="243"/>
      <c r="L1154" s="244">
        <v>0.1</v>
      </c>
      <c r="M1154" s="244">
        <f t="shared" si="163"/>
        <v>0</v>
      </c>
      <c r="N1154" s="244"/>
      <c r="O1154" s="244"/>
      <c r="P1154" s="244"/>
      <c r="Q1154" s="245">
        <f t="shared" si="164"/>
        <v>0</v>
      </c>
      <c r="R1154" s="245">
        <f t="shared" si="165"/>
        <v>0</v>
      </c>
      <c r="S1154" s="246">
        <v>0.5</v>
      </c>
      <c r="T1154" s="245">
        <f t="shared" si="166"/>
        <v>0</v>
      </c>
      <c r="U1154" s="245">
        <f t="shared" si="167"/>
        <v>0</v>
      </c>
      <c r="V1154" s="247"/>
    </row>
    <row r="1155" spans="1:22" ht="15.75" x14ac:dyDescent="0.25">
      <c r="A1155" s="236"/>
      <c r="B1155" s="237"/>
      <c r="C1155" s="238"/>
      <c r="D1155" s="239"/>
      <c r="E1155" s="240"/>
      <c r="F1155" s="240"/>
      <c r="G1155" s="240"/>
      <c r="H1155" s="241">
        <f t="shared" si="162"/>
        <v>0</v>
      </c>
      <c r="I1155" s="242"/>
      <c r="J1155" s="243"/>
      <c r="K1155" s="243"/>
      <c r="L1155" s="244">
        <v>0.1</v>
      </c>
      <c r="M1155" s="244">
        <f t="shared" si="163"/>
        <v>0</v>
      </c>
      <c r="N1155" s="244"/>
      <c r="O1155" s="244"/>
      <c r="P1155" s="244"/>
      <c r="Q1155" s="245">
        <f t="shared" si="164"/>
        <v>0</v>
      </c>
      <c r="R1155" s="245">
        <f t="shared" si="165"/>
        <v>0</v>
      </c>
      <c r="S1155" s="246">
        <v>0.5</v>
      </c>
      <c r="T1155" s="245">
        <f t="shared" si="166"/>
        <v>0</v>
      </c>
      <c r="U1155" s="245">
        <f t="shared" si="167"/>
        <v>0</v>
      </c>
      <c r="V1155" s="247"/>
    </row>
    <row r="1156" spans="1:22" ht="15.75" x14ac:dyDescent="0.25">
      <c r="A1156" s="236"/>
      <c r="B1156" s="237"/>
      <c r="C1156" s="238"/>
      <c r="D1156" s="239"/>
      <c r="E1156" s="240"/>
      <c r="F1156" s="240"/>
      <c r="G1156" s="240"/>
      <c r="H1156" s="241">
        <f t="shared" si="162"/>
        <v>0</v>
      </c>
      <c r="I1156" s="242"/>
      <c r="J1156" s="243"/>
      <c r="K1156" s="243"/>
      <c r="L1156" s="244">
        <v>0.1</v>
      </c>
      <c r="M1156" s="244">
        <f t="shared" si="163"/>
        <v>0</v>
      </c>
      <c r="N1156" s="244"/>
      <c r="O1156" s="244"/>
      <c r="P1156" s="244"/>
      <c r="Q1156" s="245">
        <f t="shared" si="164"/>
        <v>0</v>
      </c>
      <c r="R1156" s="245">
        <f t="shared" si="165"/>
        <v>0</v>
      </c>
      <c r="S1156" s="246">
        <v>0.5</v>
      </c>
      <c r="T1156" s="245">
        <f t="shared" si="166"/>
        <v>0</v>
      </c>
      <c r="U1156" s="245">
        <f t="shared" si="167"/>
        <v>0</v>
      </c>
      <c r="V1156" s="247"/>
    </row>
    <row r="1157" spans="1:22" ht="15.75" x14ac:dyDescent="0.25">
      <c r="A1157" s="236"/>
      <c r="B1157" s="237"/>
      <c r="C1157" s="238"/>
      <c r="D1157" s="239"/>
      <c r="E1157" s="240"/>
      <c r="F1157" s="240"/>
      <c r="G1157" s="240"/>
      <c r="H1157" s="241">
        <f t="shared" si="162"/>
        <v>0</v>
      </c>
      <c r="I1157" s="242"/>
      <c r="J1157" s="243"/>
      <c r="K1157" s="243"/>
      <c r="L1157" s="244">
        <v>0.1</v>
      </c>
      <c r="M1157" s="244">
        <f t="shared" si="163"/>
        <v>0</v>
      </c>
      <c r="N1157" s="244"/>
      <c r="O1157" s="244"/>
      <c r="P1157" s="244"/>
      <c r="Q1157" s="245">
        <f t="shared" si="164"/>
        <v>0</v>
      </c>
      <c r="R1157" s="245">
        <f t="shared" si="165"/>
        <v>0</v>
      </c>
      <c r="S1157" s="246">
        <v>0.5</v>
      </c>
      <c r="T1157" s="245">
        <f t="shared" si="166"/>
        <v>0</v>
      </c>
      <c r="U1157" s="245">
        <f t="shared" si="167"/>
        <v>0</v>
      </c>
      <c r="V1157" s="247"/>
    </row>
    <row r="1158" spans="1:22" ht="15.75" x14ac:dyDescent="0.25">
      <c r="A1158" s="236"/>
      <c r="B1158" s="237"/>
      <c r="C1158" s="238"/>
      <c r="D1158" s="239"/>
      <c r="E1158" s="240"/>
      <c r="F1158" s="240"/>
      <c r="G1158" s="240"/>
      <c r="H1158" s="241">
        <f t="shared" si="162"/>
        <v>0</v>
      </c>
      <c r="I1158" s="242"/>
      <c r="J1158" s="243"/>
      <c r="K1158" s="243"/>
      <c r="L1158" s="244">
        <v>0.1</v>
      </c>
      <c r="M1158" s="244">
        <f t="shared" si="163"/>
        <v>0</v>
      </c>
      <c r="N1158" s="244"/>
      <c r="O1158" s="244"/>
      <c r="P1158" s="244"/>
      <c r="Q1158" s="245">
        <f t="shared" si="164"/>
        <v>0</v>
      </c>
      <c r="R1158" s="245">
        <f t="shared" si="165"/>
        <v>0</v>
      </c>
      <c r="S1158" s="246">
        <v>0.5</v>
      </c>
      <c r="T1158" s="245">
        <f t="shared" si="166"/>
        <v>0</v>
      </c>
      <c r="U1158" s="245">
        <f t="shared" si="167"/>
        <v>0</v>
      </c>
      <c r="V1158" s="247"/>
    </row>
    <row r="1159" spans="1:22" ht="15.75" x14ac:dyDescent="0.25">
      <c r="A1159" s="236"/>
      <c r="B1159" s="237"/>
      <c r="C1159" s="238"/>
      <c r="D1159" s="239"/>
      <c r="E1159" s="240"/>
      <c r="F1159" s="240"/>
      <c r="G1159" s="240"/>
      <c r="H1159" s="241">
        <f t="shared" si="162"/>
        <v>0</v>
      </c>
      <c r="I1159" s="242"/>
      <c r="J1159" s="243"/>
      <c r="K1159" s="243"/>
      <c r="L1159" s="244">
        <v>0.1</v>
      </c>
      <c r="M1159" s="244">
        <f t="shared" si="163"/>
        <v>0</v>
      </c>
      <c r="N1159" s="244"/>
      <c r="O1159" s="244"/>
      <c r="P1159" s="244"/>
      <c r="Q1159" s="245">
        <f t="shared" si="164"/>
        <v>0</v>
      </c>
      <c r="R1159" s="245">
        <f t="shared" si="165"/>
        <v>0</v>
      </c>
      <c r="S1159" s="246">
        <v>0.5</v>
      </c>
      <c r="T1159" s="245">
        <f t="shared" si="166"/>
        <v>0</v>
      </c>
      <c r="U1159" s="245">
        <f t="shared" si="167"/>
        <v>0</v>
      </c>
      <c r="V1159" s="247"/>
    </row>
    <row r="1160" spans="1:22" ht="15.75" x14ac:dyDescent="0.25">
      <c r="A1160" s="236"/>
      <c r="B1160" s="237"/>
      <c r="C1160" s="238"/>
      <c r="D1160" s="239"/>
      <c r="E1160" s="240"/>
      <c r="F1160" s="240"/>
      <c r="G1160" s="240"/>
      <c r="H1160" s="241">
        <f t="shared" si="162"/>
        <v>0</v>
      </c>
      <c r="I1160" s="242"/>
      <c r="J1160" s="243"/>
      <c r="K1160" s="243"/>
      <c r="L1160" s="244">
        <v>0.1</v>
      </c>
      <c r="M1160" s="244">
        <f t="shared" si="163"/>
        <v>0</v>
      </c>
      <c r="N1160" s="244"/>
      <c r="O1160" s="244"/>
      <c r="P1160" s="244"/>
      <c r="Q1160" s="245">
        <f t="shared" si="164"/>
        <v>0</v>
      </c>
      <c r="R1160" s="245">
        <f t="shared" si="165"/>
        <v>0</v>
      </c>
      <c r="S1160" s="246">
        <v>0.5</v>
      </c>
      <c r="T1160" s="245">
        <f t="shared" si="166"/>
        <v>0</v>
      </c>
      <c r="U1160" s="245">
        <f t="shared" si="167"/>
        <v>0</v>
      </c>
      <c r="V1160" s="247"/>
    </row>
    <row r="1161" spans="1:22" ht="15.75" x14ac:dyDescent="0.25">
      <c r="A1161" s="236"/>
      <c r="B1161" s="237"/>
      <c r="C1161" s="238"/>
      <c r="D1161" s="239"/>
      <c r="E1161" s="240"/>
      <c r="F1161" s="240"/>
      <c r="G1161" s="240"/>
      <c r="H1161" s="241">
        <f t="shared" si="162"/>
        <v>0</v>
      </c>
      <c r="I1161" s="242"/>
      <c r="J1161" s="243"/>
      <c r="K1161" s="243"/>
      <c r="L1161" s="244">
        <v>0.1</v>
      </c>
      <c r="M1161" s="244">
        <f t="shared" si="163"/>
        <v>0</v>
      </c>
      <c r="N1161" s="244"/>
      <c r="O1161" s="244"/>
      <c r="P1161" s="244"/>
      <c r="Q1161" s="245">
        <f t="shared" si="164"/>
        <v>0</v>
      </c>
      <c r="R1161" s="245">
        <f t="shared" si="165"/>
        <v>0</v>
      </c>
      <c r="S1161" s="246">
        <v>0.5</v>
      </c>
      <c r="T1161" s="245">
        <f t="shared" si="166"/>
        <v>0</v>
      </c>
      <c r="U1161" s="245">
        <f t="shared" si="167"/>
        <v>0</v>
      </c>
      <c r="V1161" s="247"/>
    </row>
    <row r="1162" spans="1:22" ht="15.75" x14ac:dyDescent="0.25">
      <c r="A1162" s="236"/>
      <c r="B1162" s="237"/>
      <c r="C1162" s="238"/>
      <c r="D1162" s="239"/>
      <c r="E1162" s="240"/>
      <c r="F1162" s="240"/>
      <c r="G1162" s="240"/>
      <c r="H1162" s="241">
        <f t="shared" si="162"/>
        <v>0</v>
      </c>
      <c r="I1162" s="242"/>
      <c r="J1162" s="243"/>
      <c r="K1162" s="243"/>
      <c r="L1162" s="244">
        <v>0.1</v>
      </c>
      <c r="M1162" s="244">
        <f t="shared" si="163"/>
        <v>0</v>
      </c>
      <c r="N1162" s="244"/>
      <c r="O1162" s="244"/>
      <c r="P1162" s="244"/>
      <c r="Q1162" s="245">
        <f t="shared" si="164"/>
        <v>0</v>
      </c>
      <c r="R1162" s="245">
        <f t="shared" si="165"/>
        <v>0</v>
      </c>
      <c r="S1162" s="246">
        <v>0.5</v>
      </c>
      <c r="T1162" s="245">
        <f t="shared" si="166"/>
        <v>0</v>
      </c>
      <c r="U1162" s="245">
        <f t="shared" si="167"/>
        <v>0</v>
      </c>
      <c r="V1162" s="247"/>
    </row>
    <row r="1163" spans="1:22" ht="15.75" x14ac:dyDescent="0.25">
      <c r="A1163" s="236"/>
      <c r="B1163" s="237"/>
      <c r="C1163" s="238"/>
      <c r="D1163" s="239"/>
      <c r="E1163" s="240"/>
      <c r="F1163" s="240"/>
      <c r="G1163" s="240"/>
      <c r="H1163" s="241">
        <f t="shared" si="162"/>
        <v>0</v>
      </c>
      <c r="I1163" s="242"/>
      <c r="J1163" s="243"/>
      <c r="K1163" s="243"/>
      <c r="L1163" s="244">
        <v>0.1</v>
      </c>
      <c r="M1163" s="244">
        <f t="shared" si="163"/>
        <v>0</v>
      </c>
      <c r="N1163" s="244"/>
      <c r="O1163" s="244"/>
      <c r="P1163" s="244"/>
      <c r="Q1163" s="245">
        <f t="shared" si="164"/>
        <v>0</v>
      </c>
      <c r="R1163" s="245">
        <f t="shared" si="165"/>
        <v>0</v>
      </c>
      <c r="S1163" s="246">
        <v>0.5</v>
      </c>
      <c r="T1163" s="245">
        <f t="shared" si="166"/>
        <v>0</v>
      </c>
      <c r="U1163" s="245">
        <f t="shared" si="167"/>
        <v>0</v>
      </c>
      <c r="V1163" s="247"/>
    </row>
    <row r="1164" spans="1:22" ht="15.75" x14ac:dyDescent="0.25">
      <c r="A1164" s="236"/>
      <c r="B1164" s="237"/>
      <c r="C1164" s="238"/>
      <c r="D1164" s="239"/>
      <c r="E1164" s="240"/>
      <c r="F1164" s="240"/>
      <c r="G1164" s="240"/>
      <c r="H1164" s="241">
        <f t="shared" si="162"/>
        <v>0</v>
      </c>
      <c r="I1164" s="242"/>
      <c r="J1164" s="243"/>
      <c r="K1164" s="243"/>
      <c r="L1164" s="244">
        <v>0.1</v>
      </c>
      <c r="M1164" s="244">
        <f t="shared" si="163"/>
        <v>0</v>
      </c>
      <c r="N1164" s="244"/>
      <c r="O1164" s="244"/>
      <c r="P1164" s="244"/>
      <c r="Q1164" s="245">
        <f t="shared" si="164"/>
        <v>0</v>
      </c>
      <c r="R1164" s="245">
        <f t="shared" si="165"/>
        <v>0</v>
      </c>
      <c r="S1164" s="246">
        <v>0.5</v>
      </c>
      <c r="T1164" s="245">
        <f t="shared" si="166"/>
        <v>0</v>
      </c>
      <c r="U1164" s="245">
        <f t="shared" si="167"/>
        <v>0</v>
      </c>
      <c r="V1164" s="247"/>
    </row>
    <row r="1165" spans="1:22" ht="15.75" x14ac:dyDescent="0.25">
      <c r="A1165" s="236"/>
      <c r="B1165" s="237"/>
      <c r="C1165" s="238"/>
      <c r="D1165" s="239"/>
      <c r="E1165" s="240"/>
      <c r="F1165" s="240"/>
      <c r="G1165" s="240"/>
      <c r="H1165" s="241">
        <f t="shared" si="162"/>
        <v>0</v>
      </c>
      <c r="I1165" s="242"/>
      <c r="J1165" s="243"/>
      <c r="K1165" s="243"/>
      <c r="L1165" s="244">
        <v>0.1</v>
      </c>
      <c r="M1165" s="244">
        <f t="shared" si="163"/>
        <v>0</v>
      </c>
      <c r="N1165" s="244"/>
      <c r="O1165" s="244"/>
      <c r="P1165" s="244"/>
      <c r="Q1165" s="245">
        <f t="shared" si="164"/>
        <v>0</v>
      </c>
      <c r="R1165" s="245">
        <f t="shared" si="165"/>
        <v>0</v>
      </c>
      <c r="S1165" s="246">
        <v>0.5</v>
      </c>
      <c r="T1165" s="245">
        <f t="shared" si="166"/>
        <v>0</v>
      </c>
      <c r="U1165" s="245">
        <f t="shared" si="167"/>
        <v>0</v>
      </c>
      <c r="V1165" s="247"/>
    </row>
    <row r="1166" spans="1:22" ht="15.75" x14ac:dyDescent="0.25">
      <c r="A1166" s="236"/>
      <c r="B1166" s="237"/>
      <c r="C1166" s="238"/>
      <c r="D1166" s="239"/>
      <c r="E1166" s="240"/>
      <c r="F1166" s="240"/>
      <c r="G1166" s="240"/>
      <c r="H1166" s="241">
        <f t="shared" si="162"/>
        <v>0</v>
      </c>
      <c r="I1166" s="242"/>
      <c r="J1166" s="243"/>
      <c r="K1166" s="243"/>
      <c r="L1166" s="244">
        <v>0.1</v>
      </c>
      <c r="M1166" s="244">
        <f t="shared" si="163"/>
        <v>0</v>
      </c>
      <c r="N1166" s="244"/>
      <c r="O1166" s="244"/>
      <c r="P1166" s="244"/>
      <c r="Q1166" s="245">
        <f t="shared" si="164"/>
        <v>0</v>
      </c>
      <c r="R1166" s="245">
        <f t="shared" si="165"/>
        <v>0</v>
      </c>
      <c r="S1166" s="246">
        <v>0.5</v>
      </c>
      <c r="T1166" s="245">
        <f t="shared" si="166"/>
        <v>0</v>
      </c>
      <c r="U1166" s="245">
        <f t="shared" si="167"/>
        <v>0</v>
      </c>
      <c r="V1166" s="247"/>
    </row>
    <row r="1167" spans="1:22" ht="15.75" x14ac:dyDescent="0.25">
      <c r="A1167" s="236"/>
      <c r="B1167" s="237"/>
      <c r="C1167" s="238"/>
      <c r="D1167" s="239"/>
      <c r="E1167" s="240"/>
      <c r="F1167" s="240"/>
      <c r="G1167" s="240"/>
      <c r="H1167" s="241">
        <f t="shared" si="162"/>
        <v>0</v>
      </c>
      <c r="I1167" s="242"/>
      <c r="J1167" s="243"/>
      <c r="K1167" s="243"/>
      <c r="L1167" s="244">
        <v>0.1</v>
      </c>
      <c r="M1167" s="244">
        <f t="shared" si="163"/>
        <v>0</v>
      </c>
      <c r="N1167" s="244"/>
      <c r="O1167" s="244"/>
      <c r="P1167" s="244"/>
      <c r="Q1167" s="245">
        <f t="shared" si="164"/>
        <v>0</v>
      </c>
      <c r="R1167" s="245">
        <f t="shared" si="165"/>
        <v>0</v>
      </c>
      <c r="S1167" s="246">
        <v>0.5</v>
      </c>
      <c r="T1167" s="245">
        <f t="shared" si="166"/>
        <v>0</v>
      </c>
      <c r="U1167" s="245">
        <f t="shared" si="167"/>
        <v>0</v>
      </c>
      <c r="V1167" s="247"/>
    </row>
    <row r="1168" spans="1:22" ht="15.75" x14ac:dyDescent="0.25">
      <c r="A1168" s="236"/>
      <c r="B1168" s="237"/>
      <c r="C1168" s="238"/>
      <c r="D1168" s="239"/>
      <c r="E1168" s="240"/>
      <c r="F1168" s="240"/>
      <c r="G1168" s="240"/>
      <c r="H1168" s="241">
        <f t="shared" si="162"/>
        <v>0</v>
      </c>
      <c r="I1168" s="242"/>
      <c r="J1168" s="243"/>
      <c r="K1168" s="243"/>
      <c r="L1168" s="244">
        <v>0.1</v>
      </c>
      <c r="M1168" s="244">
        <f t="shared" si="163"/>
        <v>0</v>
      </c>
      <c r="N1168" s="244"/>
      <c r="O1168" s="244"/>
      <c r="P1168" s="244"/>
      <c r="Q1168" s="245">
        <f t="shared" si="164"/>
        <v>0</v>
      </c>
      <c r="R1168" s="245">
        <f t="shared" si="165"/>
        <v>0</v>
      </c>
      <c r="S1168" s="246">
        <v>0.5</v>
      </c>
      <c r="T1168" s="245">
        <f t="shared" si="166"/>
        <v>0</v>
      </c>
      <c r="U1168" s="245">
        <f t="shared" si="167"/>
        <v>0</v>
      </c>
      <c r="V1168" s="247"/>
    </row>
    <row r="1169" spans="1:22" ht="15.75" x14ac:dyDescent="0.25">
      <c r="A1169" s="236"/>
      <c r="B1169" s="237"/>
      <c r="C1169" s="238"/>
      <c r="D1169" s="239"/>
      <c r="E1169" s="240"/>
      <c r="F1169" s="240"/>
      <c r="G1169" s="240"/>
      <c r="H1169" s="241">
        <f t="shared" si="162"/>
        <v>0</v>
      </c>
      <c r="I1169" s="242"/>
      <c r="J1169" s="243"/>
      <c r="K1169" s="243"/>
      <c r="L1169" s="244">
        <v>0.1</v>
      </c>
      <c r="M1169" s="244">
        <f t="shared" si="163"/>
        <v>0</v>
      </c>
      <c r="N1169" s="244"/>
      <c r="O1169" s="244"/>
      <c r="P1169" s="244"/>
      <c r="Q1169" s="245">
        <f t="shared" si="164"/>
        <v>0</v>
      </c>
      <c r="R1169" s="245">
        <f t="shared" si="165"/>
        <v>0</v>
      </c>
      <c r="S1169" s="246">
        <v>0.5</v>
      </c>
      <c r="T1169" s="245">
        <f t="shared" si="166"/>
        <v>0</v>
      </c>
      <c r="U1169" s="245">
        <f t="shared" si="167"/>
        <v>0</v>
      </c>
      <c r="V1169" s="247"/>
    </row>
    <row r="1170" spans="1:22" ht="15.75" x14ac:dyDescent="0.25">
      <c r="A1170" s="236"/>
      <c r="B1170" s="237"/>
      <c r="C1170" s="238"/>
      <c r="D1170" s="239"/>
      <c r="E1170" s="240"/>
      <c r="F1170" s="240"/>
      <c r="G1170" s="240"/>
      <c r="H1170" s="241">
        <f t="shared" si="162"/>
        <v>0</v>
      </c>
      <c r="I1170" s="242"/>
      <c r="J1170" s="243"/>
      <c r="K1170" s="243"/>
      <c r="L1170" s="244">
        <v>0.1</v>
      </c>
      <c r="M1170" s="244">
        <f t="shared" si="163"/>
        <v>0</v>
      </c>
      <c r="N1170" s="244"/>
      <c r="O1170" s="244"/>
      <c r="P1170" s="244"/>
      <c r="Q1170" s="245">
        <f t="shared" si="164"/>
        <v>0</v>
      </c>
      <c r="R1170" s="245">
        <f t="shared" si="165"/>
        <v>0</v>
      </c>
      <c r="S1170" s="246">
        <v>0.5</v>
      </c>
      <c r="T1170" s="245">
        <f t="shared" si="166"/>
        <v>0</v>
      </c>
      <c r="U1170" s="245">
        <f t="shared" si="167"/>
        <v>0</v>
      </c>
      <c r="V1170" s="247"/>
    </row>
    <row r="1171" spans="1:22" ht="15.75" x14ac:dyDescent="0.25">
      <c r="A1171" s="236"/>
      <c r="B1171" s="237"/>
      <c r="C1171" s="238"/>
      <c r="D1171" s="239"/>
      <c r="E1171" s="240"/>
      <c r="F1171" s="240"/>
      <c r="G1171" s="240"/>
      <c r="H1171" s="241">
        <f t="shared" si="162"/>
        <v>0</v>
      </c>
      <c r="I1171" s="242"/>
      <c r="J1171" s="243"/>
      <c r="K1171" s="243"/>
      <c r="L1171" s="244">
        <v>0.1</v>
      </c>
      <c r="M1171" s="244">
        <f t="shared" si="163"/>
        <v>0</v>
      </c>
      <c r="N1171" s="244"/>
      <c r="O1171" s="244"/>
      <c r="P1171" s="244"/>
      <c r="Q1171" s="245">
        <f t="shared" si="164"/>
        <v>0</v>
      </c>
      <c r="R1171" s="245">
        <f t="shared" si="165"/>
        <v>0</v>
      </c>
      <c r="S1171" s="246">
        <v>0.5</v>
      </c>
      <c r="T1171" s="245">
        <f t="shared" si="166"/>
        <v>0</v>
      </c>
      <c r="U1171" s="245">
        <f t="shared" si="167"/>
        <v>0</v>
      </c>
      <c r="V1171" s="247"/>
    </row>
    <row r="1172" spans="1:22" ht="15.75" x14ac:dyDescent="0.25">
      <c r="A1172" s="236"/>
      <c r="B1172" s="237"/>
      <c r="C1172" s="238"/>
      <c r="D1172" s="239"/>
      <c r="E1172" s="240"/>
      <c r="F1172" s="240"/>
      <c r="G1172" s="240"/>
      <c r="H1172" s="241">
        <f t="shared" si="162"/>
        <v>0</v>
      </c>
      <c r="I1172" s="242"/>
      <c r="J1172" s="243"/>
      <c r="K1172" s="243"/>
      <c r="L1172" s="244">
        <v>0.1</v>
      </c>
      <c r="M1172" s="244">
        <f t="shared" si="163"/>
        <v>0</v>
      </c>
      <c r="N1172" s="244"/>
      <c r="O1172" s="244"/>
      <c r="P1172" s="244"/>
      <c r="Q1172" s="245">
        <f t="shared" si="164"/>
        <v>0</v>
      </c>
      <c r="R1172" s="245">
        <f t="shared" si="165"/>
        <v>0</v>
      </c>
      <c r="S1172" s="246">
        <v>0.5</v>
      </c>
      <c r="T1172" s="245">
        <f t="shared" si="166"/>
        <v>0</v>
      </c>
      <c r="U1172" s="245">
        <f t="shared" si="167"/>
        <v>0</v>
      </c>
      <c r="V1172" s="247"/>
    </row>
    <row r="1173" spans="1:22" ht="15.75" x14ac:dyDescent="0.25">
      <c r="A1173" s="236"/>
      <c r="B1173" s="237"/>
      <c r="C1173" s="238"/>
      <c r="D1173" s="239"/>
      <c r="E1173" s="240"/>
      <c r="F1173" s="240"/>
      <c r="G1173" s="240"/>
      <c r="H1173" s="241">
        <f t="shared" si="162"/>
        <v>0</v>
      </c>
      <c r="I1173" s="242"/>
      <c r="J1173" s="243"/>
      <c r="K1173" s="243"/>
      <c r="L1173" s="244">
        <v>0.1</v>
      </c>
      <c r="M1173" s="244">
        <f t="shared" si="163"/>
        <v>0</v>
      </c>
      <c r="N1173" s="244"/>
      <c r="O1173" s="244"/>
      <c r="P1173" s="244"/>
      <c r="Q1173" s="245">
        <f t="shared" si="164"/>
        <v>0</v>
      </c>
      <c r="R1173" s="245">
        <f t="shared" si="165"/>
        <v>0</v>
      </c>
      <c r="S1173" s="246">
        <v>0.5</v>
      </c>
      <c r="T1173" s="245">
        <f t="shared" si="166"/>
        <v>0</v>
      </c>
      <c r="U1173" s="245">
        <f t="shared" si="167"/>
        <v>0</v>
      </c>
      <c r="V1173" s="247"/>
    </row>
    <row r="1174" spans="1:22" ht="15.75" x14ac:dyDescent="0.25">
      <c r="A1174" s="236"/>
      <c r="B1174" s="237"/>
      <c r="C1174" s="238"/>
      <c r="D1174" s="239"/>
      <c r="E1174" s="240"/>
      <c r="F1174" s="240"/>
      <c r="G1174" s="240"/>
      <c r="H1174" s="241">
        <f t="shared" si="162"/>
        <v>0</v>
      </c>
      <c r="I1174" s="242"/>
      <c r="J1174" s="243"/>
      <c r="K1174" s="243"/>
      <c r="L1174" s="244">
        <v>0.1</v>
      </c>
      <c r="M1174" s="244">
        <f t="shared" si="163"/>
        <v>0</v>
      </c>
      <c r="N1174" s="244"/>
      <c r="O1174" s="244"/>
      <c r="P1174" s="244"/>
      <c r="Q1174" s="245">
        <f t="shared" si="164"/>
        <v>0</v>
      </c>
      <c r="R1174" s="245">
        <f t="shared" si="165"/>
        <v>0</v>
      </c>
      <c r="S1174" s="246">
        <v>0.5</v>
      </c>
      <c r="T1174" s="245">
        <f t="shared" si="166"/>
        <v>0</v>
      </c>
      <c r="U1174" s="245">
        <f t="shared" si="167"/>
        <v>0</v>
      </c>
      <c r="V1174" s="247"/>
    </row>
    <row r="1175" spans="1:22" ht="15.75" x14ac:dyDescent="0.25">
      <c r="A1175" s="236"/>
      <c r="B1175" s="237"/>
      <c r="C1175" s="238"/>
      <c r="D1175" s="239"/>
      <c r="E1175" s="240"/>
      <c r="F1175" s="240"/>
      <c r="G1175" s="240"/>
      <c r="H1175" s="241">
        <f t="shared" si="162"/>
        <v>0</v>
      </c>
      <c r="I1175" s="242"/>
      <c r="J1175" s="243"/>
      <c r="K1175" s="243"/>
      <c r="L1175" s="244">
        <v>0.1</v>
      </c>
      <c r="M1175" s="244">
        <f t="shared" si="163"/>
        <v>0</v>
      </c>
      <c r="N1175" s="244"/>
      <c r="O1175" s="244"/>
      <c r="P1175" s="244"/>
      <c r="Q1175" s="245">
        <f t="shared" si="164"/>
        <v>0</v>
      </c>
      <c r="R1175" s="245">
        <f t="shared" si="165"/>
        <v>0</v>
      </c>
      <c r="S1175" s="246">
        <v>0.5</v>
      </c>
      <c r="T1175" s="245">
        <f t="shared" si="166"/>
        <v>0</v>
      </c>
      <c r="U1175" s="245">
        <f t="shared" si="167"/>
        <v>0</v>
      </c>
      <c r="V1175" s="247"/>
    </row>
    <row r="1176" spans="1:22" ht="15.75" x14ac:dyDescent="0.25">
      <c r="A1176" s="236"/>
      <c r="B1176" s="237"/>
      <c r="C1176" s="238"/>
      <c r="D1176" s="239"/>
      <c r="E1176" s="240"/>
      <c r="F1176" s="240"/>
      <c r="G1176" s="240"/>
      <c r="H1176" s="241">
        <f t="shared" si="162"/>
        <v>0</v>
      </c>
      <c r="I1176" s="242"/>
      <c r="J1176" s="243"/>
      <c r="K1176" s="243"/>
      <c r="L1176" s="244">
        <v>0.1</v>
      </c>
      <c r="M1176" s="244">
        <f t="shared" si="163"/>
        <v>0</v>
      </c>
      <c r="N1176" s="244"/>
      <c r="O1176" s="244"/>
      <c r="P1176" s="244"/>
      <c r="Q1176" s="245">
        <f t="shared" si="164"/>
        <v>0</v>
      </c>
      <c r="R1176" s="245">
        <f t="shared" si="165"/>
        <v>0</v>
      </c>
      <c r="S1176" s="246">
        <v>0.5</v>
      </c>
      <c r="T1176" s="245">
        <f t="shared" si="166"/>
        <v>0</v>
      </c>
      <c r="U1176" s="245">
        <f t="shared" si="167"/>
        <v>0</v>
      </c>
      <c r="V1176" s="247"/>
    </row>
    <row r="1177" spans="1:22" ht="15.75" x14ac:dyDescent="0.25">
      <c r="A1177" s="236"/>
      <c r="B1177" s="237"/>
      <c r="C1177" s="238"/>
      <c r="D1177" s="239"/>
      <c r="E1177" s="240"/>
      <c r="F1177" s="240"/>
      <c r="G1177" s="240"/>
      <c r="H1177" s="241">
        <f t="shared" si="162"/>
        <v>0</v>
      </c>
      <c r="I1177" s="242"/>
      <c r="J1177" s="243"/>
      <c r="K1177" s="243"/>
      <c r="L1177" s="244">
        <v>0.1</v>
      </c>
      <c r="M1177" s="244">
        <f t="shared" si="163"/>
        <v>0</v>
      </c>
      <c r="N1177" s="244"/>
      <c r="O1177" s="244"/>
      <c r="P1177" s="244"/>
      <c r="Q1177" s="245">
        <f t="shared" si="164"/>
        <v>0</v>
      </c>
      <c r="R1177" s="245">
        <f t="shared" si="165"/>
        <v>0</v>
      </c>
      <c r="S1177" s="246">
        <v>0.5</v>
      </c>
      <c r="T1177" s="245">
        <f t="shared" si="166"/>
        <v>0</v>
      </c>
      <c r="U1177" s="245">
        <f t="shared" si="167"/>
        <v>0</v>
      </c>
      <c r="V1177" s="247"/>
    </row>
    <row r="1178" spans="1:22" ht="15.75" x14ac:dyDescent="0.25">
      <c r="A1178" s="236"/>
      <c r="B1178" s="237"/>
      <c r="C1178" s="238"/>
      <c r="D1178" s="239"/>
      <c r="E1178" s="240"/>
      <c r="F1178" s="240"/>
      <c r="G1178" s="240"/>
      <c r="H1178" s="241">
        <f t="shared" si="162"/>
        <v>0</v>
      </c>
      <c r="I1178" s="242"/>
      <c r="J1178" s="243"/>
      <c r="K1178" s="243"/>
      <c r="L1178" s="244">
        <v>0.1</v>
      </c>
      <c r="M1178" s="244">
        <f t="shared" si="163"/>
        <v>0</v>
      </c>
      <c r="N1178" s="244"/>
      <c r="O1178" s="244"/>
      <c r="P1178" s="244"/>
      <c r="Q1178" s="245">
        <f t="shared" si="164"/>
        <v>0</v>
      </c>
      <c r="R1178" s="245">
        <f t="shared" si="165"/>
        <v>0</v>
      </c>
      <c r="S1178" s="246">
        <v>0.5</v>
      </c>
      <c r="T1178" s="245">
        <f t="shared" si="166"/>
        <v>0</v>
      </c>
      <c r="U1178" s="245">
        <f t="shared" si="167"/>
        <v>0</v>
      </c>
      <c r="V1178" s="247"/>
    </row>
    <row r="1179" spans="1:22" ht="15.75" x14ac:dyDescent="0.25">
      <c r="A1179" s="236"/>
      <c r="B1179" s="237"/>
      <c r="C1179" s="238"/>
      <c r="D1179" s="239"/>
      <c r="E1179" s="240"/>
      <c r="F1179" s="240"/>
      <c r="G1179" s="240"/>
      <c r="H1179" s="241">
        <f t="shared" si="162"/>
        <v>0</v>
      </c>
      <c r="I1179" s="242"/>
      <c r="J1179" s="243"/>
      <c r="K1179" s="243"/>
      <c r="L1179" s="244">
        <v>0.1</v>
      </c>
      <c r="M1179" s="244">
        <f t="shared" si="163"/>
        <v>0</v>
      </c>
      <c r="N1179" s="244"/>
      <c r="O1179" s="244"/>
      <c r="P1179" s="244"/>
      <c r="Q1179" s="245">
        <f t="shared" si="164"/>
        <v>0</v>
      </c>
      <c r="R1179" s="245">
        <f t="shared" si="165"/>
        <v>0</v>
      </c>
      <c r="S1179" s="246">
        <v>0.5</v>
      </c>
      <c r="T1179" s="245">
        <f t="shared" si="166"/>
        <v>0</v>
      </c>
      <c r="U1179" s="245">
        <f t="shared" si="167"/>
        <v>0</v>
      </c>
      <c r="V1179" s="247"/>
    </row>
    <row r="1180" spans="1:22" ht="15.75" x14ac:dyDescent="0.25">
      <c r="A1180" s="236"/>
      <c r="B1180" s="237"/>
      <c r="C1180" s="238"/>
      <c r="D1180" s="239"/>
      <c r="E1180" s="240"/>
      <c r="F1180" s="240"/>
      <c r="G1180" s="240"/>
      <c r="H1180" s="241">
        <f t="shared" si="162"/>
        <v>0</v>
      </c>
      <c r="I1180" s="242"/>
      <c r="J1180" s="243"/>
      <c r="K1180" s="243"/>
      <c r="L1180" s="244">
        <v>0.1</v>
      </c>
      <c r="M1180" s="244">
        <f t="shared" si="163"/>
        <v>0</v>
      </c>
      <c r="N1180" s="244"/>
      <c r="O1180" s="244"/>
      <c r="P1180" s="244"/>
      <c r="Q1180" s="245">
        <f t="shared" si="164"/>
        <v>0</v>
      </c>
      <c r="R1180" s="245">
        <f t="shared" si="165"/>
        <v>0</v>
      </c>
      <c r="S1180" s="246">
        <v>0.5</v>
      </c>
      <c r="T1180" s="245">
        <f t="shared" si="166"/>
        <v>0</v>
      </c>
      <c r="U1180" s="245">
        <f t="shared" si="167"/>
        <v>0</v>
      </c>
      <c r="V1180" s="247"/>
    </row>
    <row r="1181" spans="1:22" ht="15.75" x14ac:dyDescent="0.25">
      <c r="A1181" s="236"/>
      <c r="B1181" s="237"/>
      <c r="C1181" s="238"/>
      <c r="D1181" s="239"/>
      <c r="E1181" s="240"/>
      <c r="F1181" s="240"/>
      <c r="G1181" s="240"/>
      <c r="H1181" s="241">
        <f t="shared" si="162"/>
        <v>0</v>
      </c>
      <c r="I1181" s="242"/>
      <c r="J1181" s="243"/>
      <c r="K1181" s="243"/>
      <c r="L1181" s="244">
        <v>0.1</v>
      </c>
      <c r="M1181" s="244">
        <f t="shared" si="163"/>
        <v>0</v>
      </c>
      <c r="N1181" s="244"/>
      <c r="O1181" s="244"/>
      <c r="P1181" s="244"/>
      <c r="Q1181" s="245">
        <f t="shared" si="164"/>
        <v>0</v>
      </c>
      <c r="R1181" s="245">
        <f t="shared" si="165"/>
        <v>0</v>
      </c>
      <c r="S1181" s="246">
        <v>0.5</v>
      </c>
      <c r="T1181" s="245">
        <f t="shared" si="166"/>
        <v>0</v>
      </c>
      <c r="U1181" s="245">
        <f t="shared" si="167"/>
        <v>0</v>
      </c>
      <c r="V1181" s="247"/>
    </row>
    <row r="1182" spans="1:22" ht="15.75" x14ac:dyDescent="0.25">
      <c r="A1182" s="236"/>
      <c r="B1182" s="237"/>
      <c r="C1182" s="238"/>
      <c r="D1182" s="239"/>
      <c r="E1182" s="240"/>
      <c r="F1182" s="240"/>
      <c r="G1182" s="240"/>
      <c r="H1182" s="241">
        <f t="shared" si="162"/>
        <v>0</v>
      </c>
      <c r="I1182" s="242"/>
      <c r="J1182" s="243"/>
      <c r="K1182" s="243"/>
      <c r="L1182" s="244">
        <v>0.1</v>
      </c>
      <c r="M1182" s="244">
        <f t="shared" si="163"/>
        <v>0</v>
      </c>
      <c r="N1182" s="244"/>
      <c r="O1182" s="244"/>
      <c r="P1182" s="244"/>
      <c r="Q1182" s="245">
        <f t="shared" si="164"/>
        <v>0</v>
      </c>
      <c r="R1182" s="245">
        <f t="shared" si="165"/>
        <v>0</v>
      </c>
      <c r="S1182" s="246">
        <v>0.5</v>
      </c>
      <c r="T1182" s="245">
        <f t="shared" si="166"/>
        <v>0</v>
      </c>
      <c r="U1182" s="245">
        <f t="shared" si="167"/>
        <v>0</v>
      </c>
      <c r="V1182" s="247"/>
    </row>
    <row r="1183" spans="1:22" ht="15.75" x14ac:dyDescent="0.25">
      <c r="A1183" s="236"/>
      <c r="B1183" s="237"/>
      <c r="C1183" s="238"/>
      <c r="D1183" s="239"/>
      <c r="E1183" s="240"/>
      <c r="F1183" s="240"/>
      <c r="G1183" s="240"/>
      <c r="H1183" s="241">
        <f t="shared" si="162"/>
        <v>0</v>
      </c>
      <c r="I1183" s="242"/>
      <c r="J1183" s="243"/>
      <c r="K1183" s="243"/>
      <c r="L1183" s="244">
        <v>0.1</v>
      </c>
      <c r="M1183" s="244">
        <f t="shared" si="163"/>
        <v>0</v>
      </c>
      <c r="N1183" s="244"/>
      <c r="O1183" s="244"/>
      <c r="P1183" s="244"/>
      <c r="Q1183" s="245">
        <f t="shared" si="164"/>
        <v>0</v>
      </c>
      <c r="R1183" s="245">
        <f t="shared" si="165"/>
        <v>0</v>
      </c>
      <c r="S1183" s="246">
        <v>0.5</v>
      </c>
      <c r="T1183" s="245">
        <f t="shared" si="166"/>
        <v>0</v>
      </c>
      <c r="U1183" s="245">
        <f t="shared" si="167"/>
        <v>0</v>
      </c>
      <c r="V1183" s="247"/>
    </row>
    <row r="1184" spans="1:22" ht="15.75" x14ac:dyDescent="0.25">
      <c r="A1184" s="236"/>
      <c r="B1184" s="237"/>
      <c r="C1184" s="238"/>
      <c r="D1184" s="239"/>
      <c r="E1184" s="240"/>
      <c r="F1184" s="240"/>
      <c r="G1184" s="240"/>
      <c r="H1184" s="241">
        <f t="shared" si="162"/>
        <v>0</v>
      </c>
      <c r="I1184" s="242"/>
      <c r="J1184" s="243"/>
      <c r="K1184" s="243"/>
      <c r="L1184" s="244">
        <v>0.1</v>
      </c>
      <c r="M1184" s="244">
        <f t="shared" si="163"/>
        <v>0</v>
      </c>
      <c r="N1184" s="244"/>
      <c r="O1184" s="244"/>
      <c r="P1184" s="244"/>
      <c r="Q1184" s="245">
        <f t="shared" si="164"/>
        <v>0</v>
      </c>
      <c r="R1184" s="245">
        <f t="shared" si="165"/>
        <v>0</v>
      </c>
      <c r="S1184" s="246">
        <v>0.5</v>
      </c>
      <c r="T1184" s="245">
        <f t="shared" si="166"/>
        <v>0</v>
      </c>
      <c r="U1184" s="245">
        <f t="shared" si="167"/>
        <v>0</v>
      </c>
      <c r="V1184" s="247"/>
    </row>
    <row r="1185" spans="1:22" ht="15.75" x14ac:dyDescent="0.25">
      <c r="A1185" s="236"/>
      <c r="B1185" s="237"/>
      <c r="C1185" s="238"/>
      <c r="D1185" s="239"/>
      <c r="E1185" s="240"/>
      <c r="F1185" s="240"/>
      <c r="G1185" s="240"/>
      <c r="H1185" s="241">
        <f t="shared" si="162"/>
        <v>0</v>
      </c>
      <c r="I1185" s="242"/>
      <c r="J1185" s="243"/>
      <c r="K1185" s="243"/>
      <c r="L1185" s="244">
        <v>0.1</v>
      </c>
      <c r="M1185" s="244">
        <f t="shared" si="163"/>
        <v>0</v>
      </c>
      <c r="N1185" s="244"/>
      <c r="O1185" s="244"/>
      <c r="P1185" s="244"/>
      <c r="Q1185" s="245">
        <f t="shared" si="164"/>
        <v>0</v>
      </c>
      <c r="R1185" s="245">
        <f t="shared" si="165"/>
        <v>0</v>
      </c>
      <c r="S1185" s="246">
        <v>0.5</v>
      </c>
      <c r="T1185" s="245">
        <f t="shared" si="166"/>
        <v>0</v>
      </c>
      <c r="U1185" s="245">
        <f t="shared" si="167"/>
        <v>0</v>
      </c>
      <c r="V1185" s="247"/>
    </row>
    <row r="1186" spans="1:22" ht="15.75" x14ac:dyDescent="0.25">
      <c r="A1186" s="236"/>
      <c r="B1186" s="237"/>
      <c r="C1186" s="238"/>
      <c r="D1186" s="239"/>
      <c r="E1186" s="240"/>
      <c r="F1186" s="240"/>
      <c r="G1186" s="240"/>
      <c r="H1186" s="241">
        <f t="shared" ref="H1186:H1249" si="168">+E1186+F1186+G1186</f>
        <v>0</v>
      </c>
      <c r="I1186" s="242"/>
      <c r="J1186" s="243"/>
      <c r="K1186" s="243"/>
      <c r="L1186" s="244">
        <v>0.1</v>
      </c>
      <c r="M1186" s="244">
        <f t="shared" ref="M1186:M1249" si="169">+L1186*C1186</f>
        <v>0</v>
      </c>
      <c r="N1186" s="244"/>
      <c r="O1186" s="244"/>
      <c r="P1186" s="244"/>
      <c r="Q1186" s="245">
        <f t="shared" ref="Q1186:Q1249" si="170">+N1186+O1186+P1186</f>
        <v>0</v>
      </c>
      <c r="R1186" s="245">
        <f t="shared" ref="R1186:R1249" si="171">IF(+Q1186-H1186&lt;=0,0,Q1186-H1186)</f>
        <v>0</v>
      </c>
      <c r="S1186" s="246">
        <v>0.5</v>
      </c>
      <c r="T1186" s="245">
        <f t="shared" ref="T1186:T1249" si="172">+(R1186*C1186)*S1186</f>
        <v>0</v>
      </c>
      <c r="U1186" s="245">
        <f t="shared" ref="U1186:U1249" si="173">+J1186+M1186+T1186</f>
        <v>0</v>
      </c>
      <c r="V1186" s="247"/>
    </row>
    <row r="1187" spans="1:22" ht="15.75" x14ac:dyDescent="0.25">
      <c r="A1187" s="236"/>
      <c r="B1187" s="237"/>
      <c r="C1187" s="238"/>
      <c r="D1187" s="239"/>
      <c r="E1187" s="240"/>
      <c r="F1187" s="240"/>
      <c r="G1187" s="240"/>
      <c r="H1187" s="241">
        <f t="shared" si="168"/>
        <v>0</v>
      </c>
      <c r="I1187" s="242"/>
      <c r="J1187" s="243"/>
      <c r="K1187" s="243"/>
      <c r="L1187" s="244">
        <v>0.1</v>
      </c>
      <c r="M1187" s="244">
        <f t="shared" si="169"/>
        <v>0</v>
      </c>
      <c r="N1187" s="244"/>
      <c r="O1187" s="244"/>
      <c r="P1187" s="244"/>
      <c r="Q1187" s="245">
        <f t="shared" si="170"/>
        <v>0</v>
      </c>
      <c r="R1187" s="245">
        <f t="shared" si="171"/>
        <v>0</v>
      </c>
      <c r="S1187" s="246">
        <v>0.5</v>
      </c>
      <c r="T1187" s="245">
        <f t="shared" si="172"/>
        <v>0</v>
      </c>
      <c r="U1187" s="245">
        <f t="shared" si="173"/>
        <v>0</v>
      </c>
      <c r="V1187" s="247"/>
    </row>
    <row r="1188" spans="1:22" ht="15.75" x14ac:dyDescent="0.25">
      <c r="A1188" s="236"/>
      <c r="B1188" s="237"/>
      <c r="C1188" s="238"/>
      <c r="D1188" s="239"/>
      <c r="E1188" s="240"/>
      <c r="F1188" s="240"/>
      <c r="G1188" s="240"/>
      <c r="H1188" s="241">
        <f t="shared" si="168"/>
        <v>0</v>
      </c>
      <c r="I1188" s="242"/>
      <c r="J1188" s="243"/>
      <c r="K1188" s="243"/>
      <c r="L1188" s="244">
        <v>0.1</v>
      </c>
      <c r="M1188" s="244">
        <f t="shared" si="169"/>
        <v>0</v>
      </c>
      <c r="N1188" s="244"/>
      <c r="O1188" s="244"/>
      <c r="P1188" s="244"/>
      <c r="Q1188" s="245">
        <f t="shared" si="170"/>
        <v>0</v>
      </c>
      <c r="R1188" s="245">
        <f t="shared" si="171"/>
        <v>0</v>
      </c>
      <c r="S1188" s="246">
        <v>0.5</v>
      </c>
      <c r="T1188" s="245">
        <f t="shared" si="172"/>
        <v>0</v>
      </c>
      <c r="U1188" s="245">
        <f t="shared" si="173"/>
        <v>0</v>
      </c>
      <c r="V1188" s="247"/>
    </row>
    <row r="1189" spans="1:22" ht="15.75" x14ac:dyDescent="0.25">
      <c r="A1189" s="236"/>
      <c r="B1189" s="237"/>
      <c r="C1189" s="238"/>
      <c r="D1189" s="239"/>
      <c r="E1189" s="240"/>
      <c r="F1189" s="240"/>
      <c r="G1189" s="240"/>
      <c r="H1189" s="241">
        <f t="shared" si="168"/>
        <v>0</v>
      </c>
      <c r="I1189" s="242"/>
      <c r="J1189" s="243"/>
      <c r="K1189" s="243"/>
      <c r="L1189" s="244">
        <v>0.1</v>
      </c>
      <c r="M1189" s="244">
        <f t="shared" si="169"/>
        <v>0</v>
      </c>
      <c r="N1189" s="244"/>
      <c r="O1189" s="244"/>
      <c r="P1189" s="244"/>
      <c r="Q1189" s="245">
        <f t="shared" si="170"/>
        <v>0</v>
      </c>
      <c r="R1189" s="245">
        <f t="shared" si="171"/>
        <v>0</v>
      </c>
      <c r="S1189" s="246">
        <v>0.5</v>
      </c>
      <c r="T1189" s="245">
        <f t="shared" si="172"/>
        <v>0</v>
      </c>
      <c r="U1189" s="245">
        <f t="shared" si="173"/>
        <v>0</v>
      </c>
      <c r="V1189" s="247"/>
    </row>
    <row r="1190" spans="1:22" ht="15.75" x14ac:dyDescent="0.25">
      <c r="A1190" s="236"/>
      <c r="B1190" s="237"/>
      <c r="C1190" s="238"/>
      <c r="D1190" s="239"/>
      <c r="E1190" s="240"/>
      <c r="F1190" s="240"/>
      <c r="G1190" s="240"/>
      <c r="H1190" s="241">
        <f t="shared" si="168"/>
        <v>0</v>
      </c>
      <c r="I1190" s="242"/>
      <c r="J1190" s="243"/>
      <c r="K1190" s="243"/>
      <c r="L1190" s="244">
        <v>0.1</v>
      </c>
      <c r="M1190" s="244">
        <f t="shared" si="169"/>
        <v>0</v>
      </c>
      <c r="N1190" s="244"/>
      <c r="O1190" s="244"/>
      <c r="P1190" s="244"/>
      <c r="Q1190" s="245">
        <f t="shared" si="170"/>
        <v>0</v>
      </c>
      <c r="R1190" s="245">
        <f t="shared" si="171"/>
        <v>0</v>
      </c>
      <c r="S1190" s="246">
        <v>0.5</v>
      </c>
      <c r="T1190" s="245">
        <f t="shared" si="172"/>
        <v>0</v>
      </c>
      <c r="U1190" s="245">
        <f t="shared" si="173"/>
        <v>0</v>
      </c>
      <c r="V1190" s="247"/>
    </row>
    <row r="1191" spans="1:22" ht="15.75" x14ac:dyDescent="0.25">
      <c r="A1191" s="236"/>
      <c r="B1191" s="237"/>
      <c r="C1191" s="238"/>
      <c r="D1191" s="239"/>
      <c r="E1191" s="240"/>
      <c r="F1191" s="240"/>
      <c r="G1191" s="240"/>
      <c r="H1191" s="241">
        <f t="shared" si="168"/>
        <v>0</v>
      </c>
      <c r="I1191" s="242"/>
      <c r="J1191" s="243"/>
      <c r="K1191" s="243"/>
      <c r="L1191" s="244">
        <v>0.1</v>
      </c>
      <c r="M1191" s="244">
        <f t="shared" si="169"/>
        <v>0</v>
      </c>
      <c r="N1191" s="244"/>
      <c r="O1191" s="244"/>
      <c r="P1191" s="244"/>
      <c r="Q1191" s="245">
        <f t="shared" si="170"/>
        <v>0</v>
      </c>
      <c r="R1191" s="245">
        <f t="shared" si="171"/>
        <v>0</v>
      </c>
      <c r="S1191" s="246">
        <v>0.5</v>
      </c>
      <c r="T1191" s="245">
        <f t="shared" si="172"/>
        <v>0</v>
      </c>
      <c r="U1191" s="245">
        <f t="shared" si="173"/>
        <v>0</v>
      </c>
      <c r="V1191" s="247"/>
    </row>
    <row r="1192" spans="1:22" ht="15.75" x14ac:dyDescent="0.25">
      <c r="A1192" s="236"/>
      <c r="B1192" s="237"/>
      <c r="C1192" s="238"/>
      <c r="D1192" s="239"/>
      <c r="E1192" s="240"/>
      <c r="F1192" s="240"/>
      <c r="G1192" s="240"/>
      <c r="H1192" s="241">
        <f t="shared" si="168"/>
        <v>0</v>
      </c>
      <c r="I1192" s="242"/>
      <c r="J1192" s="243"/>
      <c r="K1192" s="243"/>
      <c r="L1192" s="244">
        <v>0.1</v>
      </c>
      <c r="M1192" s="244">
        <f t="shared" si="169"/>
        <v>0</v>
      </c>
      <c r="N1192" s="244"/>
      <c r="O1192" s="244"/>
      <c r="P1192" s="244"/>
      <c r="Q1192" s="245">
        <f t="shared" si="170"/>
        <v>0</v>
      </c>
      <c r="R1192" s="245">
        <f t="shared" si="171"/>
        <v>0</v>
      </c>
      <c r="S1192" s="246">
        <v>0.5</v>
      </c>
      <c r="T1192" s="245">
        <f t="shared" si="172"/>
        <v>0</v>
      </c>
      <c r="U1192" s="245">
        <f t="shared" si="173"/>
        <v>0</v>
      </c>
      <c r="V1192" s="247"/>
    </row>
    <row r="1193" spans="1:22" ht="15.75" x14ac:dyDescent="0.25">
      <c r="A1193" s="236"/>
      <c r="B1193" s="237"/>
      <c r="C1193" s="238"/>
      <c r="D1193" s="239"/>
      <c r="E1193" s="240"/>
      <c r="F1193" s="240"/>
      <c r="G1193" s="240"/>
      <c r="H1193" s="241">
        <f t="shared" si="168"/>
        <v>0</v>
      </c>
      <c r="I1193" s="242"/>
      <c r="J1193" s="243"/>
      <c r="K1193" s="243"/>
      <c r="L1193" s="244">
        <v>0.1</v>
      </c>
      <c r="M1193" s="244">
        <f t="shared" si="169"/>
        <v>0</v>
      </c>
      <c r="N1193" s="244"/>
      <c r="O1193" s="244"/>
      <c r="P1193" s="244"/>
      <c r="Q1193" s="245">
        <f t="shared" si="170"/>
        <v>0</v>
      </c>
      <c r="R1193" s="245">
        <f t="shared" si="171"/>
        <v>0</v>
      </c>
      <c r="S1193" s="246">
        <v>0.5</v>
      </c>
      <c r="T1193" s="245">
        <f t="shared" si="172"/>
        <v>0</v>
      </c>
      <c r="U1193" s="245">
        <f t="shared" si="173"/>
        <v>0</v>
      </c>
      <c r="V1193" s="247"/>
    </row>
    <row r="1194" spans="1:22" ht="15.75" x14ac:dyDescent="0.25">
      <c r="A1194" s="236"/>
      <c r="B1194" s="237"/>
      <c r="C1194" s="238"/>
      <c r="D1194" s="239"/>
      <c r="E1194" s="240"/>
      <c r="F1194" s="240"/>
      <c r="G1194" s="240"/>
      <c r="H1194" s="241">
        <f t="shared" si="168"/>
        <v>0</v>
      </c>
      <c r="I1194" s="242"/>
      <c r="J1194" s="243"/>
      <c r="K1194" s="243"/>
      <c r="L1194" s="244">
        <v>0.1</v>
      </c>
      <c r="M1194" s="244">
        <f t="shared" si="169"/>
        <v>0</v>
      </c>
      <c r="N1194" s="244"/>
      <c r="O1194" s="244"/>
      <c r="P1194" s="244"/>
      <c r="Q1194" s="245">
        <f t="shared" si="170"/>
        <v>0</v>
      </c>
      <c r="R1194" s="245">
        <f t="shared" si="171"/>
        <v>0</v>
      </c>
      <c r="S1194" s="246">
        <v>0.5</v>
      </c>
      <c r="T1194" s="245">
        <f t="shared" si="172"/>
        <v>0</v>
      </c>
      <c r="U1194" s="245">
        <f t="shared" si="173"/>
        <v>0</v>
      </c>
      <c r="V1194" s="247"/>
    </row>
    <row r="1195" spans="1:22" ht="15.75" x14ac:dyDescent="0.25">
      <c r="A1195" s="236"/>
      <c r="B1195" s="237"/>
      <c r="C1195" s="238"/>
      <c r="D1195" s="239"/>
      <c r="E1195" s="240"/>
      <c r="F1195" s="240"/>
      <c r="G1195" s="240"/>
      <c r="H1195" s="241">
        <f t="shared" si="168"/>
        <v>0</v>
      </c>
      <c r="I1195" s="242"/>
      <c r="J1195" s="243"/>
      <c r="K1195" s="243"/>
      <c r="L1195" s="244">
        <v>0.1</v>
      </c>
      <c r="M1195" s="244">
        <f t="shared" si="169"/>
        <v>0</v>
      </c>
      <c r="N1195" s="244"/>
      <c r="O1195" s="244"/>
      <c r="P1195" s="244"/>
      <c r="Q1195" s="245">
        <f t="shared" si="170"/>
        <v>0</v>
      </c>
      <c r="R1195" s="245">
        <f t="shared" si="171"/>
        <v>0</v>
      </c>
      <c r="S1195" s="246">
        <v>0.5</v>
      </c>
      <c r="T1195" s="245">
        <f t="shared" si="172"/>
        <v>0</v>
      </c>
      <c r="U1195" s="245">
        <f t="shared" si="173"/>
        <v>0</v>
      </c>
      <c r="V1195" s="247"/>
    </row>
    <row r="1196" spans="1:22" ht="15.75" x14ac:dyDescent="0.25">
      <c r="A1196" s="236"/>
      <c r="B1196" s="237"/>
      <c r="C1196" s="238"/>
      <c r="D1196" s="239"/>
      <c r="E1196" s="240"/>
      <c r="F1196" s="240"/>
      <c r="G1196" s="240"/>
      <c r="H1196" s="241">
        <f t="shared" si="168"/>
        <v>0</v>
      </c>
      <c r="I1196" s="242"/>
      <c r="J1196" s="243"/>
      <c r="K1196" s="243"/>
      <c r="L1196" s="244">
        <v>0.1</v>
      </c>
      <c r="M1196" s="244">
        <f t="shared" si="169"/>
        <v>0</v>
      </c>
      <c r="N1196" s="244"/>
      <c r="O1196" s="244"/>
      <c r="P1196" s="244"/>
      <c r="Q1196" s="245">
        <f t="shared" si="170"/>
        <v>0</v>
      </c>
      <c r="R1196" s="245">
        <f t="shared" si="171"/>
        <v>0</v>
      </c>
      <c r="S1196" s="246">
        <v>0.5</v>
      </c>
      <c r="T1196" s="245">
        <f t="shared" si="172"/>
        <v>0</v>
      </c>
      <c r="U1196" s="245">
        <f t="shared" si="173"/>
        <v>0</v>
      </c>
      <c r="V1196" s="247"/>
    </row>
    <row r="1197" spans="1:22" ht="15.75" x14ac:dyDescent="0.25">
      <c r="A1197" s="236"/>
      <c r="B1197" s="237"/>
      <c r="C1197" s="238"/>
      <c r="D1197" s="239"/>
      <c r="E1197" s="240"/>
      <c r="F1197" s="240"/>
      <c r="G1197" s="240"/>
      <c r="H1197" s="241">
        <f t="shared" si="168"/>
        <v>0</v>
      </c>
      <c r="I1197" s="242"/>
      <c r="J1197" s="243"/>
      <c r="K1197" s="243"/>
      <c r="L1197" s="244">
        <v>0.1</v>
      </c>
      <c r="M1197" s="244">
        <f t="shared" si="169"/>
        <v>0</v>
      </c>
      <c r="N1197" s="244"/>
      <c r="O1197" s="244"/>
      <c r="P1197" s="244"/>
      <c r="Q1197" s="245">
        <f t="shared" si="170"/>
        <v>0</v>
      </c>
      <c r="R1197" s="245">
        <f t="shared" si="171"/>
        <v>0</v>
      </c>
      <c r="S1197" s="246">
        <v>0.5</v>
      </c>
      <c r="T1197" s="245">
        <f t="shared" si="172"/>
        <v>0</v>
      </c>
      <c r="U1197" s="245">
        <f t="shared" si="173"/>
        <v>0</v>
      </c>
      <c r="V1197" s="247"/>
    </row>
    <row r="1198" spans="1:22" ht="15.75" x14ac:dyDescent="0.25">
      <c r="A1198" s="236"/>
      <c r="B1198" s="237"/>
      <c r="C1198" s="238"/>
      <c r="D1198" s="239"/>
      <c r="E1198" s="240"/>
      <c r="F1198" s="240"/>
      <c r="G1198" s="240"/>
      <c r="H1198" s="241">
        <f t="shared" si="168"/>
        <v>0</v>
      </c>
      <c r="I1198" s="242"/>
      <c r="J1198" s="243"/>
      <c r="K1198" s="243"/>
      <c r="L1198" s="244">
        <v>0.1</v>
      </c>
      <c r="M1198" s="244">
        <f t="shared" si="169"/>
        <v>0</v>
      </c>
      <c r="N1198" s="244"/>
      <c r="O1198" s="244"/>
      <c r="P1198" s="244"/>
      <c r="Q1198" s="245">
        <f t="shared" si="170"/>
        <v>0</v>
      </c>
      <c r="R1198" s="245">
        <f t="shared" si="171"/>
        <v>0</v>
      </c>
      <c r="S1198" s="246">
        <v>0.5</v>
      </c>
      <c r="T1198" s="245">
        <f t="shared" si="172"/>
        <v>0</v>
      </c>
      <c r="U1198" s="245">
        <f t="shared" si="173"/>
        <v>0</v>
      </c>
      <c r="V1198" s="247"/>
    </row>
    <row r="1199" spans="1:22" ht="15.75" x14ac:dyDescent="0.25">
      <c r="A1199" s="236"/>
      <c r="B1199" s="237"/>
      <c r="C1199" s="238"/>
      <c r="D1199" s="239"/>
      <c r="E1199" s="240"/>
      <c r="F1199" s="240"/>
      <c r="G1199" s="240"/>
      <c r="H1199" s="241">
        <f t="shared" si="168"/>
        <v>0</v>
      </c>
      <c r="I1199" s="242"/>
      <c r="J1199" s="243"/>
      <c r="K1199" s="243"/>
      <c r="L1199" s="244">
        <v>0.1</v>
      </c>
      <c r="M1199" s="244">
        <f t="shared" si="169"/>
        <v>0</v>
      </c>
      <c r="N1199" s="244"/>
      <c r="O1199" s="244"/>
      <c r="P1199" s="244"/>
      <c r="Q1199" s="245">
        <f t="shared" si="170"/>
        <v>0</v>
      </c>
      <c r="R1199" s="245">
        <f t="shared" si="171"/>
        <v>0</v>
      </c>
      <c r="S1199" s="246">
        <v>0.5</v>
      </c>
      <c r="T1199" s="245">
        <f t="shared" si="172"/>
        <v>0</v>
      </c>
      <c r="U1199" s="245">
        <f t="shared" si="173"/>
        <v>0</v>
      </c>
      <c r="V1199" s="247"/>
    </row>
    <row r="1200" spans="1:22" ht="15.75" x14ac:dyDescent="0.25">
      <c r="A1200" s="236"/>
      <c r="B1200" s="237"/>
      <c r="C1200" s="238"/>
      <c r="D1200" s="239"/>
      <c r="E1200" s="240"/>
      <c r="F1200" s="240"/>
      <c r="G1200" s="240"/>
      <c r="H1200" s="241">
        <f t="shared" si="168"/>
        <v>0</v>
      </c>
      <c r="I1200" s="242"/>
      <c r="J1200" s="243"/>
      <c r="K1200" s="243"/>
      <c r="L1200" s="244">
        <v>0.1</v>
      </c>
      <c r="M1200" s="244">
        <f t="shared" si="169"/>
        <v>0</v>
      </c>
      <c r="N1200" s="244"/>
      <c r="O1200" s="244"/>
      <c r="P1200" s="244"/>
      <c r="Q1200" s="245">
        <f t="shared" si="170"/>
        <v>0</v>
      </c>
      <c r="R1200" s="245">
        <f t="shared" si="171"/>
        <v>0</v>
      </c>
      <c r="S1200" s="246">
        <v>0.5</v>
      </c>
      <c r="T1200" s="245">
        <f t="shared" si="172"/>
        <v>0</v>
      </c>
      <c r="U1200" s="245">
        <f t="shared" si="173"/>
        <v>0</v>
      </c>
      <c r="V1200" s="247"/>
    </row>
    <row r="1201" spans="1:22" ht="15.75" x14ac:dyDescent="0.25">
      <c r="A1201" s="236"/>
      <c r="B1201" s="237"/>
      <c r="C1201" s="238"/>
      <c r="D1201" s="239"/>
      <c r="E1201" s="240"/>
      <c r="F1201" s="240"/>
      <c r="G1201" s="240"/>
      <c r="H1201" s="241">
        <f t="shared" si="168"/>
        <v>0</v>
      </c>
      <c r="I1201" s="242"/>
      <c r="J1201" s="243"/>
      <c r="K1201" s="243"/>
      <c r="L1201" s="244">
        <v>0.1</v>
      </c>
      <c r="M1201" s="244">
        <f t="shared" si="169"/>
        <v>0</v>
      </c>
      <c r="N1201" s="244"/>
      <c r="O1201" s="244"/>
      <c r="P1201" s="244"/>
      <c r="Q1201" s="245">
        <f t="shared" si="170"/>
        <v>0</v>
      </c>
      <c r="R1201" s="245">
        <f t="shared" si="171"/>
        <v>0</v>
      </c>
      <c r="S1201" s="246">
        <v>0.5</v>
      </c>
      <c r="T1201" s="245">
        <f t="shared" si="172"/>
        <v>0</v>
      </c>
      <c r="U1201" s="245">
        <f t="shared" si="173"/>
        <v>0</v>
      </c>
      <c r="V1201" s="247"/>
    </row>
    <row r="1202" spans="1:22" ht="15.75" x14ac:dyDescent="0.25">
      <c r="A1202" s="236"/>
      <c r="B1202" s="237"/>
      <c r="C1202" s="238"/>
      <c r="D1202" s="239"/>
      <c r="E1202" s="240"/>
      <c r="F1202" s="240"/>
      <c r="G1202" s="240"/>
      <c r="H1202" s="241">
        <f t="shared" si="168"/>
        <v>0</v>
      </c>
      <c r="I1202" s="242"/>
      <c r="J1202" s="243"/>
      <c r="K1202" s="243"/>
      <c r="L1202" s="244">
        <v>0.1</v>
      </c>
      <c r="M1202" s="244">
        <f t="shared" si="169"/>
        <v>0</v>
      </c>
      <c r="N1202" s="244"/>
      <c r="O1202" s="244"/>
      <c r="P1202" s="244"/>
      <c r="Q1202" s="245">
        <f t="shared" si="170"/>
        <v>0</v>
      </c>
      <c r="R1202" s="245">
        <f t="shared" si="171"/>
        <v>0</v>
      </c>
      <c r="S1202" s="246">
        <v>0.5</v>
      </c>
      <c r="T1202" s="245">
        <f t="shared" si="172"/>
        <v>0</v>
      </c>
      <c r="U1202" s="245">
        <f t="shared" si="173"/>
        <v>0</v>
      </c>
      <c r="V1202" s="247"/>
    </row>
    <row r="1203" spans="1:22" ht="15.75" x14ac:dyDescent="0.25">
      <c r="A1203" s="236"/>
      <c r="B1203" s="237"/>
      <c r="C1203" s="238"/>
      <c r="D1203" s="239"/>
      <c r="E1203" s="240"/>
      <c r="F1203" s="240"/>
      <c r="G1203" s="240"/>
      <c r="H1203" s="241">
        <f t="shared" si="168"/>
        <v>0</v>
      </c>
      <c r="I1203" s="242"/>
      <c r="J1203" s="243"/>
      <c r="K1203" s="243"/>
      <c r="L1203" s="244">
        <v>0.1</v>
      </c>
      <c r="M1203" s="244">
        <f t="shared" si="169"/>
        <v>0</v>
      </c>
      <c r="N1203" s="244"/>
      <c r="O1203" s="244"/>
      <c r="P1203" s="244"/>
      <c r="Q1203" s="245">
        <f t="shared" si="170"/>
        <v>0</v>
      </c>
      <c r="R1203" s="245">
        <f t="shared" si="171"/>
        <v>0</v>
      </c>
      <c r="S1203" s="246">
        <v>0.5</v>
      </c>
      <c r="T1203" s="245">
        <f t="shared" si="172"/>
        <v>0</v>
      </c>
      <c r="U1203" s="245">
        <f t="shared" si="173"/>
        <v>0</v>
      </c>
      <c r="V1203" s="247"/>
    </row>
    <row r="1204" spans="1:22" ht="15.75" x14ac:dyDescent="0.25">
      <c r="A1204" s="236"/>
      <c r="B1204" s="237"/>
      <c r="C1204" s="238"/>
      <c r="D1204" s="239"/>
      <c r="E1204" s="240"/>
      <c r="F1204" s="240"/>
      <c r="G1204" s="240"/>
      <c r="H1204" s="241">
        <f t="shared" si="168"/>
        <v>0</v>
      </c>
      <c r="I1204" s="242"/>
      <c r="J1204" s="243"/>
      <c r="K1204" s="243"/>
      <c r="L1204" s="244">
        <v>0.1</v>
      </c>
      <c r="M1204" s="244">
        <f t="shared" si="169"/>
        <v>0</v>
      </c>
      <c r="N1204" s="244"/>
      <c r="O1204" s="244"/>
      <c r="P1204" s="244"/>
      <c r="Q1204" s="245">
        <f t="shared" si="170"/>
        <v>0</v>
      </c>
      <c r="R1204" s="245">
        <f t="shared" si="171"/>
        <v>0</v>
      </c>
      <c r="S1204" s="246">
        <v>0.5</v>
      </c>
      <c r="T1204" s="245">
        <f t="shared" si="172"/>
        <v>0</v>
      </c>
      <c r="U1204" s="245">
        <f t="shared" si="173"/>
        <v>0</v>
      </c>
      <c r="V1204" s="247"/>
    </row>
    <row r="1205" spans="1:22" ht="15.75" x14ac:dyDescent="0.25">
      <c r="A1205" s="236"/>
      <c r="B1205" s="237"/>
      <c r="C1205" s="238"/>
      <c r="D1205" s="239"/>
      <c r="E1205" s="240"/>
      <c r="F1205" s="240"/>
      <c r="G1205" s="240"/>
      <c r="H1205" s="241">
        <f t="shared" si="168"/>
        <v>0</v>
      </c>
      <c r="I1205" s="242"/>
      <c r="J1205" s="243"/>
      <c r="K1205" s="243"/>
      <c r="L1205" s="244">
        <v>0.1</v>
      </c>
      <c r="M1205" s="244">
        <f t="shared" si="169"/>
        <v>0</v>
      </c>
      <c r="N1205" s="244"/>
      <c r="O1205" s="244"/>
      <c r="P1205" s="244"/>
      <c r="Q1205" s="245">
        <f t="shared" si="170"/>
        <v>0</v>
      </c>
      <c r="R1205" s="245">
        <f t="shared" si="171"/>
        <v>0</v>
      </c>
      <c r="S1205" s="246">
        <v>0.5</v>
      </c>
      <c r="T1205" s="245">
        <f t="shared" si="172"/>
        <v>0</v>
      </c>
      <c r="U1205" s="245">
        <f t="shared" si="173"/>
        <v>0</v>
      </c>
      <c r="V1205" s="247"/>
    </row>
    <row r="1206" spans="1:22" ht="15.75" x14ac:dyDescent="0.25">
      <c r="A1206" s="236"/>
      <c r="B1206" s="237"/>
      <c r="C1206" s="238"/>
      <c r="D1206" s="239"/>
      <c r="E1206" s="240"/>
      <c r="F1206" s="240"/>
      <c r="G1206" s="240"/>
      <c r="H1206" s="241">
        <f t="shared" si="168"/>
        <v>0</v>
      </c>
      <c r="I1206" s="242"/>
      <c r="J1206" s="243"/>
      <c r="K1206" s="243"/>
      <c r="L1206" s="244">
        <v>0.1</v>
      </c>
      <c r="M1206" s="244">
        <f t="shared" si="169"/>
        <v>0</v>
      </c>
      <c r="N1206" s="244"/>
      <c r="O1206" s="244"/>
      <c r="P1206" s="244"/>
      <c r="Q1206" s="245">
        <f t="shared" si="170"/>
        <v>0</v>
      </c>
      <c r="R1206" s="245">
        <f t="shared" si="171"/>
        <v>0</v>
      </c>
      <c r="S1206" s="246">
        <v>0.5</v>
      </c>
      <c r="T1206" s="245">
        <f t="shared" si="172"/>
        <v>0</v>
      </c>
      <c r="U1206" s="245">
        <f t="shared" si="173"/>
        <v>0</v>
      </c>
      <c r="V1206" s="247"/>
    </row>
    <row r="1207" spans="1:22" ht="15.75" x14ac:dyDescent="0.25">
      <c r="A1207" s="236"/>
      <c r="B1207" s="237"/>
      <c r="C1207" s="238"/>
      <c r="D1207" s="239"/>
      <c r="E1207" s="240"/>
      <c r="F1207" s="240"/>
      <c r="G1207" s="240"/>
      <c r="H1207" s="241">
        <f t="shared" si="168"/>
        <v>0</v>
      </c>
      <c r="I1207" s="242"/>
      <c r="J1207" s="243"/>
      <c r="K1207" s="243"/>
      <c r="L1207" s="244">
        <v>0.1</v>
      </c>
      <c r="M1207" s="244">
        <f t="shared" si="169"/>
        <v>0</v>
      </c>
      <c r="N1207" s="244"/>
      <c r="O1207" s="244"/>
      <c r="P1207" s="244"/>
      <c r="Q1207" s="245">
        <f t="shared" si="170"/>
        <v>0</v>
      </c>
      <c r="R1207" s="245">
        <f t="shared" si="171"/>
        <v>0</v>
      </c>
      <c r="S1207" s="246">
        <v>0.5</v>
      </c>
      <c r="T1207" s="245">
        <f t="shared" si="172"/>
        <v>0</v>
      </c>
      <c r="U1207" s="245">
        <f t="shared" si="173"/>
        <v>0</v>
      </c>
      <c r="V1207" s="247"/>
    </row>
    <row r="1208" spans="1:22" ht="15.75" x14ac:dyDescent="0.25">
      <c r="A1208" s="236"/>
      <c r="B1208" s="237"/>
      <c r="C1208" s="238"/>
      <c r="D1208" s="239"/>
      <c r="E1208" s="240"/>
      <c r="F1208" s="240"/>
      <c r="G1208" s="240"/>
      <c r="H1208" s="241">
        <f t="shared" si="168"/>
        <v>0</v>
      </c>
      <c r="I1208" s="242"/>
      <c r="J1208" s="243"/>
      <c r="K1208" s="243"/>
      <c r="L1208" s="244">
        <v>0.1</v>
      </c>
      <c r="M1208" s="244">
        <f t="shared" si="169"/>
        <v>0</v>
      </c>
      <c r="N1208" s="244"/>
      <c r="O1208" s="244"/>
      <c r="P1208" s="244"/>
      <c r="Q1208" s="245">
        <f t="shared" si="170"/>
        <v>0</v>
      </c>
      <c r="R1208" s="245">
        <f t="shared" si="171"/>
        <v>0</v>
      </c>
      <c r="S1208" s="246">
        <v>0.5</v>
      </c>
      <c r="T1208" s="245">
        <f t="shared" si="172"/>
        <v>0</v>
      </c>
      <c r="U1208" s="245">
        <f t="shared" si="173"/>
        <v>0</v>
      </c>
      <c r="V1208" s="247"/>
    </row>
    <row r="1209" spans="1:22" ht="15.75" x14ac:dyDescent="0.25">
      <c r="A1209" s="236"/>
      <c r="B1209" s="237"/>
      <c r="C1209" s="238"/>
      <c r="D1209" s="239"/>
      <c r="E1209" s="240"/>
      <c r="F1209" s="240"/>
      <c r="G1209" s="240"/>
      <c r="H1209" s="241">
        <f t="shared" si="168"/>
        <v>0</v>
      </c>
      <c r="I1209" s="242"/>
      <c r="J1209" s="243"/>
      <c r="K1209" s="243"/>
      <c r="L1209" s="244">
        <v>0.1</v>
      </c>
      <c r="M1209" s="244">
        <f t="shared" si="169"/>
        <v>0</v>
      </c>
      <c r="N1209" s="244"/>
      <c r="O1209" s="244"/>
      <c r="P1209" s="244"/>
      <c r="Q1209" s="245">
        <f t="shared" si="170"/>
        <v>0</v>
      </c>
      <c r="R1209" s="245">
        <f t="shared" si="171"/>
        <v>0</v>
      </c>
      <c r="S1209" s="246">
        <v>0.5</v>
      </c>
      <c r="T1209" s="245">
        <f t="shared" si="172"/>
        <v>0</v>
      </c>
      <c r="U1209" s="245">
        <f t="shared" si="173"/>
        <v>0</v>
      </c>
      <c r="V1209" s="247"/>
    </row>
    <row r="1210" spans="1:22" ht="15.75" x14ac:dyDescent="0.25">
      <c r="A1210" s="236"/>
      <c r="B1210" s="237"/>
      <c r="C1210" s="238"/>
      <c r="D1210" s="239"/>
      <c r="E1210" s="240"/>
      <c r="F1210" s="240"/>
      <c r="G1210" s="240"/>
      <c r="H1210" s="241">
        <f t="shared" si="168"/>
        <v>0</v>
      </c>
      <c r="I1210" s="242"/>
      <c r="J1210" s="243"/>
      <c r="K1210" s="243"/>
      <c r="L1210" s="244">
        <v>0.1</v>
      </c>
      <c r="M1210" s="244">
        <f t="shared" si="169"/>
        <v>0</v>
      </c>
      <c r="N1210" s="244"/>
      <c r="O1210" s="244"/>
      <c r="P1210" s="244"/>
      <c r="Q1210" s="245">
        <f t="shared" si="170"/>
        <v>0</v>
      </c>
      <c r="R1210" s="245">
        <f t="shared" si="171"/>
        <v>0</v>
      </c>
      <c r="S1210" s="246">
        <v>0.5</v>
      </c>
      <c r="T1210" s="245">
        <f t="shared" si="172"/>
        <v>0</v>
      </c>
      <c r="U1210" s="245">
        <f t="shared" si="173"/>
        <v>0</v>
      </c>
      <c r="V1210" s="247"/>
    </row>
    <row r="1211" spans="1:22" ht="15.75" x14ac:dyDescent="0.25">
      <c r="A1211" s="236"/>
      <c r="B1211" s="237"/>
      <c r="C1211" s="238"/>
      <c r="D1211" s="239"/>
      <c r="E1211" s="240"/>
      <c r="F1211" s="240"/>
      <c r="G1211" s="240"/>
      <c r="H1211" s="241">
        <f t="shared" si="168"/>
        <v>0</v>
      </c>
      <c r="I1211" s="242"/>
      <c r="J1211" s="243"/>
      <c r="K1211" s="243"/>
      <c r="L1211" s="244">
        <v>0.1</v>
      </c>
      <c r="M1211" s="244">
        <f t="shared" si="169"/>
        <v>0</v>
      </c>
      <c r="N1211" s="244"/>
      <c r="O1211" s="244"/>
      <c r="P1211" s="244"/>
      <c r="Q1211" s="245">
        <f t="shared" si="170"/>
        <v>0</v>
      </c>
      <c r="R1211" s="245">
        <f t="shared" si="171"/>
        <v>0</v>
      </c>
      <c r="S1211" s="246">
        <v>0.5</v>
      </c>
      <c r="T1211" s="245">
        <f t="shared" si="172"/>
        <v>0</v>
      </c>
      <c r="U1211" s="245">
        <f t="shared" si="173"/>
        <v>0</v>
      </c>
      <c r="V1211" s="247"/>
    </row>
    <row r="1212" spans="1:22" ht="15.75" x14ac:dyDescent="0.25">
      <c r="A1212" s="236"/>
      <c r="B1212" s="237"/>
      <c r="C1212" s="238"/>
      <c r="D1212" s="239"/>
      <c r="E1212" s="240"/>
      <c r="F1212" s="240"/>
      <c r="G1212" s="240"/>
      <c r="H1212" s="241">
        <f t="shared" si="168"/>
        <v>0</v>
      </c>
      <c r="I1212" s="242"/>
      <c r="J1212" s="243"/>
      <c r="K1212" s="243"/>
      <c r="L1212" s="244">
        <v>0.1</v>
      </c>
      <c r="M1212" s="244">
        <f t="shared" si="169"/>
        <v>0</v>
      </c>
      <c r="N1212" s="244"/>
      <c r="O1212" s="244"/>
      <c r="P1212" s="244"/>
      <c r="Q1212" s="245">
        <f t="shared" si="170"/>
        <v>0</v>
      </c>
      <c r="R1212" s="245">
        <f t="shared" si="171"/>
        <v>0</v>
      </c>
      <c r="S1212" s="246">
        <v>0.5</v>
      </c>
      <c r="T1212" s="245">
        <f t="shared" si="172"/>
        <v>0</v>
      </c>
      <c r="U1212" s="245">
        <f t="shared" si="173"/>
        <v>0</v>
      </c>
      <c r="V1212" s="247"/>
    </row>
    <row r="1213" spans="1:22" ht="15.75" x14ac:dyDescent="0.25">
      <c r="A1213" s="236"/>
      <c r="B1213" s="237"/>
      <c r="C1213" s="238"/>
      <c r="D1213" s="239"/>
      <c r="E1213" s="240"/>
      <c r="F1213" s="240"/>
      <c r="G1213" s="240"/>
      <c r="H1213" s="241">
        <f t="shared" si="168"/>
        <v>0</v>
      </c>
      <c r="I1213" s="242"/>
      <c r="J1213" s="243"/>
      <c r="K1213" s="243"/>
      <c r="L1213" s="244">
        <v>0.1</v>
      </c>
      <c r="M1213" s="244">
        <f t="shared" si="169"/>
        <v>0</v>
      </c>
      <c r="N1213" s="244"/>
      <c r="O1213" s="244"/>
      <c r="P1213" s="244"/>
      <c r="Q1213" s="245">
        <f t="shared" si="170"/>
        <v>0</v>
      </c>
      <c r="R1213" s="245">
        <f t="shared" si="171"/>
        <v>0</v>
      </c>
      <c r="S1213" s="246">
        <v>0.5</v>
      </c>
      <c r="T1213" s="245">
        <f t="shared" si="172"/>
        <v>0</v>
      </c>
      <c r="U1213" s="245">
        <f t="shared" si="173"/>
        <v>0</v>
      </c>
      <c r="V1213" s="247"/>
    </row>
    <row r="1214" spans="1:22" ht="15.75" x14ac:dyDescent="0.25">
      <c r="A1214" s="236"/>
      <c r="B1214" s="237"/>
      <c r="C1214" s="238"/>
      <c r="D1214" s="239"/>
      <c r="E1214" s="240"/>
      <c r="F1214" s="240"/>
      <c r="G1214" s="240"/>
      <c r="H1214" s="241">
        <f t="shared" si="168"/>
        <v>0</v>
      </c>
      <c r="I1214" s="242"/>
      <c r="J1214" s="243"/>
      <c r="K1214" s="243"/>
      <c r="L1214" s="244">
        <v>0.1</v>
      </c>
      <c r="M1214" s="244">
        <f t="shared" si="169"/>
        <v>0</v>
      </c>
      <c r="N1214" s="244"/>
      <c r="O1214" s="244"/>
      <c r="P1214" s="244"/>
      <c r="Q1214" s="245">
        <f t="shared" si="170"/>
        <v>0</v>
      </c>
      <c r="R1214" s="245">
        <f t="shared" si="171"/>
        <v>0</v>
      </c>
      <c r="S1214" s="246">
        <v>0.5</v>
      </c>
      <c r="T1214" s="245">
        <f t="shared" si="172"/>
        <v>0</v>
      </c>
      <c r="U1214" s="245">
        <f t="shared" si="173"/>
        <v>0</v>
      </c>
      <c r="V1214" s="247"/>
    </row>
    <row r="1215" spans="1:22" ht="15.75" x14ac:dyDescent="0.25">
      <c r="A1215" s="236"/>
      <c r="B1215" s="237"/>
      <c r="C1215" s="238"/>
      <c r="D1215" s="239"/>
      <c r="E1215" s="240"/>
      <c r="F1215" s="240"/>
      <c r="G1215" s="240"/>
      <c r="H1215" s="241">
        <f t="shared" si="168"/>
        <v>0</v>
      </c>
      <c r="I1215" s="242"/>
      <c r="J1215" s="243"/>
      <c r="K1215" s="243"/>
      <c r="L1215" s="244">
        <v>0.1</v>
      </c>
      <c r="M1215" s="244">
        <f t="shared" si="169"/>
        <v>0</v>
      </c>
      <c r="N1215" s="244"/>
      <c r="O1215" s="244"/>
      <c r="P1215" s="244"/>
      <c r="Q1215" s="245">
        <f t="shared" si="170"/>
        <v>0</v>
      </c>
      <c r="R1215" s="245">
        <f t="shared" si="171"/>
        <v>0</v>
      </c>
      <c r="S1215" s="246">
        <v>0.5</v>
      </c>
      <c r="T1215" s="245">
        <f t="shared" si="172"/>
        <v>0</v>
      </c>
      <c r="U1215" s="245">
        <f t="shared" si="173"/>
        <v>0</v>
      </c>
      <c r="V1215" s="247"/>
    </row>
    <row r="1216" spans="1:22" ht="15.75" x14ac:dyDescent="0.25">
      <c r="A1216" s="236"/>
      <c r="B1216" s="237"/>
      <c r="C1216" s="238"/>
      <c r="D1216" s="239"/>
      <c r="E1216" s="240"/>
      <c r="F1216" s="240"/>
      <c r="G1216" s="240"/>
      <c r="H1216" s="241">
        <f t="shared" si="168"/>
        <v>0</v>
      </c>
      <c r="I1216" s="242"/>
      <c r="J1216" s="243"/>
      <c r="K1216" s="243"/>
      <c r="L1216" s="244">
        <v>0.1</v>
      </c>
      <c r="M1216" s="244">
        <f t="shared" si="169"/>
        <v>0</v>
      </c>
      <c r="N1216" s="244"/>
      <c r="O1216" s="244"/>
      <c r="P1216" s="244"/>
      <c r="Q1216" s="245">
        <f t="shared" si="170"/>
        <v>0</v>
      </c>
      <c r="R1216" s="245">
        <f t="shared" si="171"/>
        <v>0</v>
      </c>
      <c r="S1216" s="246">
        <v>0.5</v>
      </c>
      <c r="T1216" s="245">
        <f t="shared" si="172"/>
        <v>0</v>
      </c>
      <c r="U1216" s="245">
        <f t="shared" si="173"/>
        <v>0</v>
      </c>
      <c r="V1216" s="247"/>
    </row>
    <row r="1217" spans="1:22" ht="15.75" x14ac:dyDescent="0.25">
      <c r="A1217" s="236"/>
      <c r="B1217" s="237"/>
      <c r="C1217" s="238"/>
      <c r="D1217" s="239"/>
      <c r="E1217" s="240"/>
      <c r="F1217" s="240"/>
      <c r="G1217" s="240"/>
      <c r="H1217" s="241">
        <f t="shared" si="168"/>
        <v>0</v>
      </c>
      <c r="I1217" s="242"/>
      <c r="J1217" s="243"/>
      <c r="K1217" s="243"/>
      <c r="L1217" s="244">
        <v>0.1</v>
      </c>
      <c r="M1217" s="244">
        <f t="shared" si="169"/>
        <v>0</v>
      </c>
      <c r="N1217" s="244"/>
      <c r="O1217" s="244"/>
      <c r="P1217" s="244"/>
      <c r="Q1217" s="245">
        <f t="shared" si="170"/>
        <v>0</v>
      </c>
      <c r="R1217" s="245">
        <f t="shared" si="171"/>
        <v>0</v>
      </c>
      <c r="S1217" s="246">
        <v>0.5</v>
      </c>
      <c r="T1217" s="245">
        <f t="shared" si="172"/>
        <v>0</v>
      </c>
      <c r="U1217" s="245">
        <f t="shared" si="173"/>
        <v>0</v>
      </c>
      <c r="V1217" s="247"/>
    </row>
    <row r="1218" spans="1:22" ht="15.75" x14ac:dyDescent="0.25">
      <c r="A1218" s="236"/>
      <c r="B1218" s="237"/>
      <c r="C1218" s="238"/>
      <c r="D1218" s="239"/>
      <c r="E1218" s="240"/>
      <c r="F1218" s="240"/>
      <c r="G1218" s="240"/>
      <c r="H1218" s="241">
        <f t="shared" si="168"/>
        <v>0</v>
      </c>
      <c r="I1218" s="242"/>
      <c r="J1218" s="243"/>
      <c r="K1218" s="243"/>
      <c r="L1218" s="244">
        <v>0.1</v>
      </c>
      <c r="M1218" s="244">
        <f t="shared" si="169"/>
        <v>0</v>
      </c>
      <c r="N1218" s="244"/>
      <c r="O1218" s="244"/>
      <c r="P1218" s="244"/>
      <c r="Q1218" s="245">
        <f t="shared" si="170"/>
        <v>0</v>
      </c>
      <c r="R1218" s="245">
        <f t="shared" si="171"/>
        <v>0</v>
      </c>
      <c r="S1218" s="246">
        <v>0.5</v>
      </c>
      <c r="T1218" s="245">
        <f t="shared" si="172"/>
        <v>0</v>
      </c>
      <c r="U1218" s="245">
        <f t="shared" si="173"/>
        <v>0</v>
      </c>
      <c r="V1218" s="247"/>
    </row>
    <row r="1219" spans="1:22" ht="15.75" x14ac:dyDescent="0.25">
      <c r="A1219" s="236"/>
      <c r="B1219" s="237"/>
      <c r="C1219" s="238"/>
      <c r="D1219" s="239"/>
      <c r="E1219" s="240"/>
      <c r="F1219" s="240"/>
      <c r="G1219" s="240"/>
      <c r="H1219" s="241">
        <f t="shared" si="168"/>
        <v>0</v>
      </c>
      <c r="I1219" s="242"/>
      <c r="J1219" s="243"/>
      <c r="K1219" s="243"/>
      <c r="L1219" s="244">
        <v>0.1</v>
      </c>
      <c r="M1219" s="244">
        <f t="shared" si="169"/>
        <v>0</v>
      </c>
      <c r="N1219" s="244"/>
      <c r="O1219" s="244"/>
      <c r="P1219" s="244"/>
      <c r="Q1219" s="245">
        <f t="shared" si="170"/>
        <v>0</v>
      </c>
      <c r="R1219" s="245">
        <f t="shared" si="171"/>
        <v>0</v>
      </c>
      <c r="S1219" s="246">
        <v>0.5</v>
      </c>
      <c r="T1219" s="245">
        <f t="shared" si="172"/>
        <v>0</v>
      </c>
      <c r="U1219" s="245">
        <f t="shared" si="173"/>
        <v>0</v>
      </c>
      <c r="V1219" s="247"/>
    </row>
    <row r="1220" spans="1:22" ht="15.75" x14ac:dyDescent="0.25">
      <c r="A1220" s="236"/>
      <c r="B1220" s="237"/>
      <c r="C1220" s="238"/>
      <c r="D1220" s="239"/>
      <c r="E1220" s="240"/>
      <c r="F1220" s="240"/>
      <c r="G1220" s="240"/>
      <c r="H1220" s="241">
        <f t="shared" si="168"/>
        <v>0</v>
      </c>
      <c r="I1220" s="242"/>
      <c r="J1220" s="243"/>
      <c r="K1220" s="243"/>
      <c r="L1220" s="244">
        <v>0.1</v>
      </c>
      <c r="M1220" s="244">
        <f t="shared" si="169"/>
        <v>0</v>
      </c>
      <c r="N1220" s="244"/>
      <c r="O1220" s="244"/>
      <c r="P1220" s="244"/>
      <c r="Q1220" s="245">
        <f t="shared" si="170"/>
        <v>0</v>
      </c>
      <c r="R1220" s="245">
        <f t="shared" si="171"/>
        <v>0</v>
      </c>
      <c r="S1220" s="246">
        <v>0.5</v>
      </c>
      <c r="T1220" s="245">
        <f t="shared" si="172"/>
        <v>0</v>
      </c>
      <c r="U1220" s="245">
        <f t="shared" si="173"/>
        <v>0</v>
      </c>
      <c r="V1220" s="247"/>
    </row>
    <row r="1221" spans="1:22" ht="15.75" x14ac:dyDescent="0.25">
      <c r="A1221" s="236"/>
      <c r="B1221" s="237"/>
      <c r="C1221" s="238"/>
      <c r="D1221" s="239"/>
      <c r="E1221" s="240"/>
      <c r="F1221" s="240"/>
      <c r="G1221" s="240"/>
      <c r="H1221" s="241">
        <f t="shared" si="168"/>
        <v>0</v>
      </c>
      <c r="I1221" s="242"/>
      <c r="J1221" s="243"/>
      <c r="K1221" s="243"/>
      <c r="L1221" s="244">
        <v>0.1</v>
      </c>
      <c r="M1221" s="244">
        <f t="shared" si="169"/>
        <v>0</v>
      </c>
      <c r="N1221" s="244"/>
      <c r="O1221" s="244"/>
      <c r="P1221" s="244"/>
      <c r="Q1221" s="245">
        <f t="shared" si="170"/>
        <v>0</v>
      </c>
      <c r="R1221" s="245">
        <f t="shared" si="171"/>
        <v>0</v>
      </c>
      <c r="S1221" s="246">
        <v>0.5</v>
      </c>
      <c r="T1221" s="245">
        <f t="shared" si="172"/>
        <v>0</v>
      </c>
      <c r="U1221" s="245">
        <f t="shared" si="173"/>
        <v>0</v>
      </c>
      <c r="V1221" s="247"/>
    </row>
    <row r="1222" spans="1:22" ht="15.75" x14ac:dyDescent="0.25">
      <c r="A1222" s="236"/>
      <c r="B1222" s="237"/>
      <c r="C1222" s="238"/>
      <c r="D1222" s="239"/>
      <c r="E1222" s="240"/>
      <c r="F1222" s="240"/>
      <c r="G1222" s="240"/>
      <c r="H1222" s="241">
        <f t="shared" si="168"/>
        <v>0</v>
      </c>
      <c r="I1222" s="242"/>
      <c r="J1222" s="243"/>
      <c r="K1222" s="243"/>
      <c r="L1222" s="244">
        <v>0.1</v>
      </c>
      <c r="M1222" s="244">
        <f t="shared" si="169"/>
        <v>0</v>
      </c>
      <c r="N1222" s="244"/>
      <c r="O1222" s="244"/>
      <c r="P1222" s="244"/>
      <c r="Q1222" s="245">
        <f t="shared" si="170"/>
        <v>0</v>
      </c>
      <c r="R1222" s="245">
        <f t="shared" si="171"/>
        <v>0</v>
      </c>
      <c r="S1222" s="246">
        <v>0.5</v>
      </c>
      <c r="T1222" s="245">
        <f t="shared" si="172"/>
        <v>0</v>
      </c>
      <c r="U1222" s="245">
        <f t="shared" si="173"/>
        <v>0</v>
      </c>
      <c r="V1222" s="247"/>
    </row>
    <row r="1223" spans="1:22" ht="15.75" x14ac:dyDescent="0.25">
      <c r="A1223" s="236"/>
      <c r="B1223" s="237"/>
      <c r="C1223" s="238"/>
      <c r="D1223" s="239"/>
      <c r="E1223" s="240"/>
      <c r="F1223" s="240"/>
      <c r="G1223" s="240"/>
      <c r="H1223" s="241">
        <f t="shared" si="168"/>
        <v>0</v>
      </c>
      <c r="I1223" s="242"/>
      <c r="J1223" s="243"/>
      <c r="K1223" s="243"/>
      <c r="L1223" s="244">
        <v>0.1</v>
      </c>
      <c r="M1223" s="244">
        <f t="shared" si="169"/>
        <v>0</v>
      </c>
      <c r="N1223" s="244"/>
      <c r="O1223" s="244"/>
      <c r="P1223" s="244"/>
      <c r="Q1223" s="245">
        <f t="shared" si="170"/>
        <v>0</v>
      </c>
      <c r="R1223" s="245">
        <f t="shared" si="171"/>
        <v>0</v>
      </c>
      <c r="S1223" s="246">
        <v>0.5</v>
      </c>
      <c r="T1223" s="245">
        <f t="shared" si="172"/>
        <v>0</v>
      </c>
      <c r="U1223" s="245">
        <f t="shared" si="173"/>
        <v>0</v>
      </c>
      <c r="V1223" s="247"/>
    </row>
    <row r="1224" spans="1:22" ht="15.75" x14ac:dyDescent="0.25">
      <c r="A1224" s="236"/>
      <c r="B1224" s="237"/>
      <c r="C1224" s="238"/>
      <c r="D1224" s="239"/>
      <c r="E1224" s="240"/>
      <c r="F1224" s="240"/>
      <c r="G1224" s="240"/>
      <c r="H1224" s="241">
        <f t="shared" si="168"/>
        <v>0</v>
      </c>
      <c r="I1224" s="242"/>
      <c r="J1224" s="243"/>
      <c r="K1224" s="243"/>
      <c r="L1224" s="244">
        <v>0.1</v>
      </c>
      <c r="M1224" s="244">
        <f t="shared" si="169"/>
        <v>0</v>
      </c>
      <c r="N1224" s="244"/>
      <c r="O1224" s="244"/>
      <c r="P1224" s="244"/>
      <c r="Q1224" s="245">
        <f t="shared" si="170"/>
        <v>0</v>
      </c>
      <c r="R1224" s="245">
        <f t="shared" si="171"/>
        <v>0</v>
      </c>
      <c r="S1224" s="246">
        <v>0.5</v>
      </c>
      <c r="T1224" s="245">
        <f t="shared" si="172"/>
        <v>0</v>
      </c>
      <c r="U1224" s="245">
        <f t="shared" si="173"/>
        <v>0</v>
      </c>
      <c r="V1224" s="247"/>
    </row>
    <row r="1225" spans="1:22" ht="15.75" x14ac:dyDescent="0.25">
      <c r="A1225" s="236"/>
      <c r="B1225" s="237"/>
      <c r="C1225" s="238"/>
      <c r="D1225" s="239"/>
      <c r="E1225" s="240"/>
      <c r="F1225" s="240"/>
      <c r="G1225" s="240"/>
      <c r="H1225" s="241">
        <f t="shared" si="168"/>
        <v>0</v>
      </c>
      <c r="I1225" s="242"/>
      <c r="J1225" s="243"/>
      <c r="K1225" s="243"/>
      <c r="L1225" s="244">
        <v>0.1</v>
      </c>
      <c r="M1225" s="244">
        <f t="shared" si="169"/>
        <v>0</v>
      </c>
      <c r="N1225" s="244"/>
      <c r="O1225" s="244"/>
      <c r="P1225" s="244"/>
      <c r="Q1225" s="245">
        <f t="shared" si="170"/>
        <v>0</v>
      </c>
      <c r="R1225" s="245">
        <f t="shared" si="171"/>
        <v>0</v>
      </c>
      <c r="S1225" s="246">
        <v>0.5</v>
      </c>
      <c r="T1225" s="245">
        <f t="shared" si="172"/>
        <v>0</v>
      </c>
      <c r="U1225" s="245">
        <f t="shared" si="173"/>
        <v>0</v>
      </c>
      <c r="V1225" s="247"/>
    </row>
    <row r="1226" spans="1:22" ht="15.75" x14ac:dyDescent="0.25">
      <c r="A1226" s="236"/>
      <c r="B1226" s="237"/>
      <c r="C1226" s="238"/>
      <c r="D1226" s="239"/>
      <c r="E1226" s="240"/>
      <c r="F1226" s="240"/>
      <c r="G1226" s="240"/>
      <c r="H1226" s="241">
        <f t="shared" si="168"/>
        <v>0</v>
      </c>
      <c r="I1226" s="242"/>
      <c r="J1226" s="243"/>
      <c r="K1226" s="243"/>
      <c r="L1226" s="244">
        <v>0.1</v>
      </c>
      <c r="M1226" s="244">
        <f t="shared" si="169"/>
        <v>0</v>
      </c>
      <c r="N1226" s="244"/>
      <c r="O1226" s="244"/>
      <c r="P1226" s="244"/>
      <c r="Q1226" s="245">
        <f t="shared" si="170"/>
        <v>0</v>
      </c>
      <c r="R1226" s="245">
        <f t="shared" si="171"/>
        <v>0</v>
      </c>
      <c r="S1226" s="246">
        <v>0.5</v>
      </c>
      <c r="T1226" s="245">
        <f t="shared" si="172"/>
        <v>0</v>
      </c>
      <c r="U1226" s="245">
        <f t="shared" si="173"/>
        <v>0</v>
      </c>
      <c r="V1226" s="247"/>
    </row>
    <row r="1227" spans="1:22" ht="15.75" x14ac:dyDescent="0.25">
      <c r="A1227" s="236"/>
      <c r="B1227" s="237"/>
      <c r="C1227" s="238"/>
      <c r="D1227" s="239"/>
      <c r="E1227" s="240"/>
      <c r="F1227" s="240"/>
      <c r="G1227" s="240"/>
      <c r="H1227" s="241">
        <f t="shared" si="168"/>
        <v>0</v>
      </c>
      <c r="I1227" s="242"/>
      <c r="J1227" s="243"/>
      <c r="K1227" s="243"/>
      <c r="L1227" s="244">
        <v>0.1</v>
      </c>
      <c r="M1227" s="244">
        <f t="shared" si="169"/>
        <v>0</v>
      </c>
      <c r="N1227" s="244"/>
      <c r="O1227" s="244"/>
      <c r="P1227" s="244"/>
      <c r="Q1227" s="245">
        <f t="shared" si="170"/>
        <v>0</v>
      </c>
      <c r="R1227" s="245">
        <f t="shared" si="171"/>
        <v>0</v>
      </c>
      <c r="S1227" s="246">
        <v>0.5</v>
      </c>
      <c r="T1227" s="245">
        <f t="shared" si="172"/>
        <v>0</v>
      </c>
      <c r="U1227" s="245">
        <f t="shared" si="173"/>
        <v>0</v>
      </c>
      <c r="V1227" s="247"/>
    </row>
    <row r="1228" spans="1:22" ht="15.75" x14ac:dyDescent="0.25">
      <c r="A1228" s="236"/>
      <c r="B1228" s="237"/>
      <c r="C1228" s="238"/>
      <c r="D1228" s="239"/>
      <c r="E1228" s="240"/>
      <c r="F1228" s="240"/>
      <c r="G1228" s="240"/>
      <c r="H1228" s="241">
        <f t="shared" si="168"/>
        <v>0</v>
      </c>
      <c r="I1228" s="242"/>
      <c r="J1228" s="243"/>
      <c r="K1228" s="243"/>
      <c r="L1228" s="244">
        <v>0.1</v>
      </c>
      <c r="M1228" s="244">
        <f t="shared" si="169"/>
        <v>0</v>
      </c>
      <c r="N1228" s="244"/>
      <c r="O1228" s="244"/>
      <c r="P1228" s="244"/>
      <c r="Q1228" s="245">
        <f t="shared" si="170"/>
        <v>0</v>
      </c>
      <c r="R1228" s="245">
        <f t="shared" si="171"/>
        <v>0</v>
      </c>
      <c r="S1228" s="246">
        <v>0.5</v>
      </c>
      <c r="T1228" s="245">
        <f t="shared" si="172"/>
        <v>0</v>
      </c>
      <c r="U1228" s="245">
        <f t="shared" si="173"/>
        <v>0</v>
      </c>
      <c r="V1228" s="247"/>
    </row>
    <row r="1229" spans="1:22" ht="15.75" x14ac:dyDescent="0.25">
      <c r="A1229" s="236"/>
      <c r="B1229" s="237"/>
      <c r="C1229" s="238"/>
      <c r="D1229" s="239"/>
      <c r="E1229" s="240"/>
      <c r="F1229" s="240"/>
      <c r="G1229" s="240"/>
      <c r="H1229" s="241">
        <f t="shared" si="168"/>
        <v>0</v>
      </c>
      <c r="I1229" s="242"/>
      <c r="J1229" s="243"/>
      <c r="K1229" s="243"/>
      <c r="L1229" s="244">
        <v>0.1</v>
      </c>
      <c r="M1229" s="244">
        <f t="shared" si="169"/>
        <v>0</v>
      </c>
      <c r="N1229" s="244"/>
      <c r="O1229" s="244"/>
      <c r="P1229" s="244"/>
      <c r="Q1229" s="245">
        <f t="shared" si="170"/>
        <v>0</v>
      </c>
      <c r="R1229" s="245">
        <f t="shared" si="171"/>
        <v>0</v>
      </c>
      <c r="S1229" s="246">
        <v>0.5</v>
      </c>
      <c r="T1229" s="245">
        <f t="shared" si="172"/>
        <v>0</v>
      </c>
      <c r="U1229" s="245">
        <f t="shared" si="173"/>
        <v>0</v>
      </c>
      <c r="V1229" s="247"/>
    </row>
    <row r="1230" spans="1:22" ht="15.75" x14ac:dyDescent="0.25">
      <c r="A1230" s="236"/>
      <c r="B1230" s="237"/>
      <c r="C1230" s="238"/>
      <c r="D1230" s="239"/>
      <c r="E1230" s="240"/>
      <c r="F1230" s="240"/>
      <c r="G1230" s="240"/>
      <c r="H1230" s="241">
        <f t="shared" si="168"/>
        <v>0</v>
      </c>
      <c r="I1230" s="242"/>
      <c r="J1230" s="243"/>
      <c r="K1230" s="243"/>
      <c r="L1230" s="244">
        <v>0.1</v>
      </c>
      <c r="M1230" s="244">
        <f t="shared" si="169"/>
        <v>0</v>
      </c>
      <c r="N1230" s="244"/>
      <c r="O1230" s="244"/>
      <c r="P1230" s="244"/>
      <c r="Q1230" s="245">
        <f t="shared" si="170"/>
        <v>0</v>
      </c>
      <c r="R1230" s="245">
        <f t="shared" si="171"/>
        <v>0</v>
      </c>
      <c r="S1230" s="246">
        <v>0.5</v>
      </c>
      <c r="T1230" s="245">
        <f t="shared" si="172"/>
        <v>0</v>
      </c>
      <c r="U1230" s="245">
        <f t="shared" si="173"/>
        <v>0</v>
      </c>
      <c r="V1230" s="247"/>
    </row>
    <row r="1231" spans="1:22" ht="15.75" x14ac:dyDescent="0.25">
      <c r="A1231" s="236"/>
      <c r="B1231" s="237"/>
      <c r="C1231" s="238"/>
      <c r="D1231" s="239"/>
      <c r="E1231" s="240"/>
      <c r="F1231" s="240"/>
      <c r="G1231" s="240"/>
      <c r="H1231" s="241">
        <f t="shared" si="168"/>
        <v>0</v>
      </c>
      <c r="I1231" s="242"/>
      <c r="J1231" s="243"/>
      <c r="K1231" s="243"/>
      <c r="L1231" s="244">
        <v>0.1</v>
      </c>
      <c r="M1231" s="244">
        <f t="shared" si="169"/>
        <v>0</v>
      </c>
      <c r="N1231" s="244"/>
      <c r="O1231" s="244"/>
      <c r="P1231" s="244"/>
      <c r="Q1231" s="245">
        <f t="shared" si="170"/>
        <v>0</v>
      </c>
      <c r="R1231" s="245">
        <f t="shared" si="171"/>
        <v>0</v>
      </c>
      <c r="S1231" s="246">
        <v>0.5</v>
      </c>
      <c r="T1231" s="245">
        <f t="shared" si="172"/>
        <v>0</v>
      </c>
      <c r="U1231" s="245">
        <f t="shared" si="173"/>
        <v>0</v>
      </c>
      <c r="V1231" s="247"/>
    </row>
    <row r="1232" spans="1:22" ht="15.75" x14ac:dyDescent="0.25">
      <c r="A1232" s="236"/>
      <c r="B1232" s="237"/>
      <c r="C1232" s="238"/>
      <c r="D1232" s="239"/>
      <c r="E1232" s="240"/>
      <c r="F1232" s="240"/>
      <c r="G1232" s="240"/>
      <c r="H1232" s="241">
        <f t="shared" si="168"/>
        <v>0</v>
      </c>
      <c r="I1232" s="242"/>
      <c r="J1232" s="243"/>
      <c r="K1232" s="243"/>
      <c r="L1232" s="244">
        <v>0.1</v>
      </c>
      <c r="M1232" s="244">
        <f t="shared" si="169"/>
        <v>0</v>
      </c>
      <c r="N1232" s="244"/>
      <c r="O1232" s="244"/>
      <c r="P1232" s="244"/>
      <c r="Q1232" s="245">
        <f t="shared" si="170"/>
        <v>0</v>
      </c>
      <c r="R1232" s="245">
        <f t="shared" si="171"/>
        <v>0</v>
      </c>
      <c r="S1232" s="246">
        <v>0.5</v>
      </c>
      <c r="T1232" s="245">
        <f t="shared" si="172"/>
        <v>0</v>
      </c>
      <c r="U1232" s="245">
        <f t="shared" si="173"/>
        <v>0</v>
      </c>
      <c r="V1232" s="247"/>
    </row>
    <row r="1233" spans="1:22" ht="15.75" x14ac:dyDescent="0.25">
      <c r="A1233" s="236"/>
      <c r="B1233" s="237"/>
      <c r="C1233" s="238"/>
      <c r="D1233" s="239"/>
      <c r="E1233" s="240"/>
      <c r="F1233" s="240"/>
      <c r="G1233" s="240"/>
      <c r="H1233" s="241">
        <f t="shared" si="168"/>
        <v>0</v>
      </c>
      <c r="I1233" s="242"/>
      <c r="J1233" s="243"/>
      <c r="K1233" s="243"/>
      <c r="L1233" s="244">
        <v>0.1</v>
      </c>
      <c r="M1233" s="244">
        <f t="shared" si="169"/>
        <v>0</v>
      </c>
      <c r="N1233" s="244"/>
      <c r="O1233" s="244"/>
      <c r="P1233" s="244"/>
      <c r="Q1233" s="245">
        <f t="shared" si="170"/>
        <v>0</v>
      </c>
      <c r="R1233" s="245">
        <f t="shared" si="171"/>
        <v>0</v>
      </c>
      <c r="S1233" s="246">
        <v>0.5</v>
      </c>
      <c r="T1233" s="245">
        <f t="shared" si="172"/>
        <v>0</v>
      </c>
      <c r="U1233" s="245">
        <f t="shared" si="173"/>
        <v>0</v>
      </c>
      <c r="V1233" s="247"/>
    </row>
    <row r="1234" spans="1:22" ht="15.75" x14ac:dyDescent="0.25">
      <c r="A1234" s="236"/>
      <c r="B1234" s="237"/>
      <c r="C1234" s="238"/>
      <c r="D1234" s="239"/>
      <c r="E1234" s="240"/>
      <c r="F1234" s="240"/>
      <c r="G1234" s="240"/>
      <c r="H1234" s="241">
        <f t="shared" si="168"/>
        <v>0</v>
      </c>
      <c r="I1234" s="242"/>
      <c r="J1234" s="243"/>
      <c r="K1234" s="243"/>
      <c r="L1234" s="244">
        <v>0.1</v>
      </c>
      <c r="M1234" s="244">
        <f t="shared" si="169"/>
        <v>0</v>
      </c>
      <c r="N1234" s="244"/>
      <c r="O1234" s="244"/>
      <c r="P1234" s="244"/>
      <c r="Q1234" s="245">
        <f t="shared" si="170"/>
        <v>0</v>
      </c>
      <c r="R1234" s="245">
        <f t="shared" si="171"/>
        <v>0</v>
      </c>
      <c r="S1234" s="246">
        <v>0.5</v>
      </c>
      <c r="T1234" s="245">
        <f t="shared" si="172"/>
        <v>0</v>
      </c>
      <c r="U1234" s="245">
        <f t="shared" si="173"/>
        <v>0</v>
      </c>
      <c r="V1234" s="247"/>
    </row>
    <row r="1235" spans="1:22" ht="15.75" x14ac:dyDescent="0.25">
      <c r="A1235" s="236"/>
      <c r="B1235" s="237"/>
      <c r="C1235" s="238"/>
      <c r="D1235" s="239"/>
      <c r="E1235" s="240"/>
      <c r="F1235" s="240"/>
      <c r="G1235" s="240"/>
      <c r="H1235" s="241">
        <f t="shared" si="168"/>
        <v>0</v>
      </c>
      <c r="I1235" s="242"/>
      <c r="J1235" s="243"/>
      <c r="K1235" s="243"/>
      <c r="L1235" s="244">
        <v>0.1</v>
      </c>
      <c r="M1235" s="244">
        <f t="shared" si="169"/>
        <v>0</v>
      </c>
      <c r="N1235" s="244"/>
      <c r="O1235" s="244"/>
      <c r="P1235" s="244"/>
      <c r="Q1235" s="245">
        <f t="shared" si="170"/>
        <v>0</v>
      </c>
      <c r="R1235" s="245">
        <f t="shared" si="171"/>
        <v>0</v>
      </c>
      <c r="S1235" s="246">
        <v>0.5</v>
      </c>
      <c r="T1235" s="245">
        <f t="shared" si="172"/>
        <v>0</v>
      </c>
      <c r="U1235" s="245">
        <f t="shared" si="173"/>
        <v>0</v>
      </c>
      <c r="V1235" s="247"/>
    </row>
    <row r="1236" spans="1:22" ht="15.75" x14ac:dyDescent="0.25">
      <c r="A1236" s="236"/>
      <c r="B1236" s="237"/>
      <c r="C1236" s="238"/>
      <c r="D1236" s="239"/>
      <c r="E1236" s="240"/>
      <c r="F1236" s="240"/>
      <c r="G1236" s="240"/>
      <c r="H1236" s="241">
        <f t="shared" si="168"/>
        <v>0</v>
      </c>
      <c r="I1236" s="242"/>
      <c r="J1236" s="243"/>
      <c r="K1236" s="243"/>
      <c r="L1236" s="244">
        <v>0.1</v>
      </c>
      <c r="M1236" s="244">
        <f t="shared" si="169"/>
        <v>0</v>
      </c>
      <c r="N1236" s="244"/>
      <c r="O1236" s="244"/>
      <c r="P1236" s="244"/>
      <c r="Q1236" s="245">
        <f t="shared" si="170"/>
        <v>0</v>
      </c>
      <c r="R1236" s="245">
        <f t="shared" si="171"/>
        <v>0</v>
      </c>
      <c r="S1236" s="246">
        <v>0.5</v>
      </c>
      <c r="T1236" s="245">
        <f t="shared" si="172"/>
        <v>0</v>
      </c>
      <c r="U1236" s="245">
        <f t="shared" si="173"/>
        <v>0</v>
      </c>
      <c r="V1236" s="247"/>
    </row>
    <row r="1237" spans="1:22" ht="15.75" x14ac:dyDescent="0.25">
      <c r="A1237" s="236"/>
      <c r="B1237" s="237"/>
      <c r="C1237" s="238"/>
      <c r="D1237" s="239"/>
      <c r="E1237" s="240"/>
      <c r="F1237" s="240"/>
      <c r="G1237" s="240"/>
      <c r="H1237" s="241">
        <f t="shared" si="168"/>
        <v>0</v>
      </c>
      <c r="I1237" s="242"/>
      <c r="J1237" s="243"/>
      <c r="K1237" s="243"/>
      <c r="L1237" s="244">
        <v>0.1</v>
      </c>
      <c r="M1237" s="244">
        <f t="shared" si="169"/>
        <v>0</v>
      </c>
      <c r="N1237" s="244"/>
      <c r="O1237" s="244"/>
      <c r="P1237" s="244"/>
      <c r="Q1237" s="245">
        <f t="shared" si="170"/>
        <v>0</v>
      </c>
      <c r="R1237" s="245">
        <f t="shared" si="171"/>
        <v>0</v>
      </c>
      <c r="S1237" s="246">
        <v>0.5</v>
      </c>
      <c r="T1237" s="245">
        <f t="shared" si="172"/>
        <v>0</v>
      </c>
      <c r="U1237" s="245">
        <f t="shared" si="173"/>
        <v>0</v>
      </c>
      <c r="V1237" s="247"/>
    </row>
    <row r="1238" spans="1:22" ht="15.75" x14ac:dyDescent="0.25">
      <c r="A1238" s="236"/>
      <c r="B1238" s="237"/>
      <c r="C1238" s="238"/>
      <c r="D1238" s="239"/>
      <c r="E1238" s="240"/>
      <c r="F1238" s="240"/>
      <c r="G1238" s="240"/>
      <c r="H1238" s="241">
        <f t="shared" si="168"/>
        <v>0</v>
      </c>
      <c r="I1238" s="242"/>
      <c r="J1238" s="243"/>
      <c r="K1238" s="243"/>
      <c r="L1238" s="244">
        <v>0.1</v>
      </c>
      <c r="M1238" s="244">
        <f t="shared" si="169"/>
        <v>0</v>
      </c>
      <c r="N1238" s="244"/>
      <c r="O1238" s="244"/>
      <c r="P1238" s="244"/>
      <c r="Q1238" s="245">
        <f t="shared" si="170"/>
        <v>0</v>
      </c>
      <c r="R1238" s="245">
        <f t="shared" si="171"/>
        <v>0</v>
      </c>
      <c r="S1238" s="246">
        <v>0.5</v>
      </c>
      <c r="T1238" s="245">
        <f t="shared" si="172"/>
        <v>0</v>
      </c>
      <c r="U1238" s="245">
        <f t="shared" si="173"/>
        <v>0</v>
      </c>
      <c r="V1238" s="247"/>
    </row>
    <row r="1239" spans="1:22" ht="15.75" x14ac:dyDescent="0.25">
      <c r="A1239" s="236"/>
      <c r="B1239" s="237"/>
      <c r="C1239" s="238"/>
      <c r="D1239" s="239"/>
      <c r="E1239" s="240"/>
      <c r="F1239" s="240"/>
      <c r="G1239" s="240"/>
      <c r="H1239" s="241">
        <f t="shared" si="168"/>
        <v>0</v>
      </c>
      <c r="I1239" s="242"/>
      <c r="J1239" s="243"/>
      <c r="K1239" s="243"/>
      <c r="L1239" s="244">
        <v>0.1</v>
      </c>
      <c r="M1239" s="244">
        <f t="shared" si="169"/>
        <v>0</v>
      </c>
      <c r="N1239" s="244"/>
      <c r="O1239" s="244"/>
      <c r="P1239" s="244"/>
      <c r="Q1239" s="245">
        <f t="shared" si="170"/>
        <v>0</v>
      </c>
      <c r="R1239" s="245">
        <f t="shared" si="171"/>
        <v>0</v>
      </c>
      <c r="S1239" s="246">
        <v>0.5</v>
      </c>
      <c r="T1239" s="245">
        <f t="shared" si="172"/>
        <v>0</v>
      </c>
      <c r="U1239" s="245">
        <f t="shared" si="173"/>
        <v>0</v>
      </c>
      <c r="V1239" s="247"/>
    </row>
    <row r="1240" spans="1:22" ht="15.75" x14ac:dyDescent="0.25">
      <c r="A1240" s="236"/>
      <c r="B1240" s="237"/>
      <c r="C1240" s="238"/>
      <c r="D1240" s="239"/>
      <c r="E1240" s="240"/>
      <c r="F1240" s="240"/>
      <c r="G1240" s="240"/>
      <c r="H1240" s="241">
        <f t="shared" si="168"/>
        <v>0</v>
      </c>
      <c r="I1240" s="242"/>
      <c r="J1240" s="243"/>
      <c r="K1240" s="243"/>
      <c r="L1240" s="244">
        <v>0.1</v>
      </c>
      <c r="M1240" s="244">
        <f t="shared" si="169"/>
        <v>0</v>
      </c>
      <c r="N1240" s="244"/>
      <c r="O1240" s="244"/>
      <c r="P1240" s="244"/>
      <c r="Q1240" s="245">
        <f t="shared" si="170"/>
        <v>0</v>
      </c>
      <c r="R1240" s="245">
        <f t="shared" si="171"/>
        <v>0</v>
      </c>
      <c r="S1240" s="246">
        <v>0.5</v>
      </c>
      <c r="T1240" s="245">
        <f t="shared" si="172"/>
        <v>0</v>
      </c>
      <c r="U1240" s="245">
        <f t="shared" si="173"/>
        <v>0</v>
      </c>
      <c r="V1240" s="247"/>
    </row>
    <row r="1241" spans="1:22" ht="15.75" x14ac:dyDescent="0.25">
      <c r="A1241" s="236"/>
      <c r="B1241" s="237"/>
      <c r="C1241" s="238"/>
      <c r="D1241" s="239"/>
      <c r="E1241" s="240"/>
      <c r="F1241" s="240"/>
      <c r="G1241" s="240"/>
      <c r="H1241" s="241">
        <f t="shared" si="168"/>
        <v>0</v>
      </c>
      <c r="I1241" s="242"/>
      <c r="J1241" s="243"/>
      <c r="K1241" s="243"/>
      <c r="L1241" s="244">
        <v>0.1</v>
      </c>
      <c r="M1241" s="244">
        <f t="shared" si="169"/>
        <v>0</v>
      </c>
      <c r="N1241" s="244"/>
      <c r="O1241" s="244"/>
      <c r="P1241" s="244"/>
      <c r="Q1241" s="245">
        <f t="shared" si="170"/>
        <v>0</v>
      </c>
      <c r="R1241" s="245">
        <f t="shared" si="171"/>
        <v>0</v>
      </c>
      <c r="S1241" s="246">
        <v>0.5</v>
      </c>
      <c r="T1241" s="245">
        <f t="shared" si="172"/>
        <v>0</v>
      </c>
      <c r="U1241" s="245">
        <f t="shared" si="173"/>
        <v>0</v>
      </c>
      <c r="V1241" s="247"/>
    </row>
    <row r="1242" spans="1:22" ht="15.75" x14ac:dyDescent="0.25">
      <c r="A1242" s="236"/>
      <c r="B1242" s="237"/>
      <c r="C1242" s="238"/>
      <c r="D1242" s="239"/>
      <c r="E1242" s="240"/>
      <c r="F1242" s="240"/>
      <c r="G1242" s="240"/>
      <c r="H1242" s="241">
        <f t="shared" si="168"/>
        <v>0</v>
      </c>
      <c r="I1242" s="242"/>
      <c r="J1242" s="243"/>
      <c r="K1242" s="243"/>
      <c r="L1242" s="244">
        <v>0.1</v>
      </c>
      <c r="M1242" s="244">
        <f t="shared" si="169"/>
        <v>0</v>
      </c>
      <c r="N1242" s="244"/>
      <c r="O1242" s="244"/>
      <c r="P1242" s="244"/>
      <c r="Q1242" s="245">
        <f t="shared" si="170"/>
        <v>0</v>
      </c>
      <c r="R1242" s="245">
        <f t="shared" si="171"/>
        <v>0</v>
      </c>
      <c r="S1242" s="246">
        <v>0.5</v>
      </c>
      <c r="T1242" s="245">
        <f t="shared" si="172"/>
        <v>0</v>
      </c>
      <c r="U1242" s="245">
        <f t="shared" si="173"/>
        <v>0</v>
      </c>
      <c r="V1242" s="247"/>
    </row>
    <row r="1243" spans="1:22" ht="15.75" x14ac:dyDescent="0.25">
      <c r="A1243" s="236"/>
      <c r="B1243" s="237"/>
      <c r="C1243" s="238"/>
      <c r="D1243" s="239"/>
      <c r="E1243" s="240"/>
      <c r="F1243" s="240"/>
      <c r="G1243" s="240"/>
      <c r="H1243" s="241">
        <f t="shared" si="168"/>
        <v>0</v>
      </c>
      <c r="I1243" s="242"/>
      <c r="J1243" s="243"/>
      <c r="K1243" s="243"/>
      <c r="L1243" s="244">
        <v>0.1</v>
      </c>
      <c r="M1243" s="244">
        <f t="shared" si="169"/>
        <v>0</v>
      </c>
      <c r="N1243" s="244"/>
      <c r="O1243" s="244"/>
      <c r="P1243" s="244"/>
      <c r="Q1243" s="245">
        <f t="shared" si="170"/>
        <v>0</v>
      </c>
      <c r="R1243" s="245">
        <f t="shared" si="171"/>
        <v>0</v>
      </c>
      <c r="S1243" s="246">
        <v>0.5</v>
      </c>
      <c r="T1243" s="245">
        <f t="shared" si="172"/>
        <v>0</v>
      </c>
      <c r="U1243" s="245">
        <f t="shared" si="173"/>
        <v>0</v>
      </c>
      <c r="V1243" s="247"/>
    </row>
    <row r="1244" spans="1:22" ht="15.75" x14ac:dyDescent="0.25">
      <c r="A1244" s="236"/>
      <c r="B1244" s="237"/>
      <c r="C1244" s="238"/>
      <c r="D1244" s="239"/>
      <c r="E1244" s="240"/>
      <c r="F1244" s="240"/>
      <c r="G1244" s="240"/>
      <c r="H1244" s="241">
        <f t="shared" si="168"/>
        <v>0</v>
      </c>
      <c r="I1244" s="242"/>
      <c r="J1244" s="243"/>
      <c r="K1244" s="243"/>
      <c r="L1244" s="244">
        <v>0.1</v>
      </c>
      <c r="M1244" s="244">
        <f t="shared" si="169"/>
        <v>0</v>
      </c>
      <c r="N1244" s="244"/>
      <c r="O1244" s="244"/>
      <c r="P1244" s="244"/>
      <c r="Q1244" s="245">
        <f t="shared" si="170"/>
        <v>0</v>
      </c>
      <c r="R1244" s="245">
        <f t="shared" si="171"/>
        <v>0</v>
      </c>
      <c r="S1244" s="246">
        <v>0.5</v>
      </c>
      <c r="T1244" s="245">
        <f t="shared" si="172"/>
        <v>0</v>
      </c>
      <c r="U1244" s="245">
        <f t="shared" si="173"/>
        <v>0</v>
      </c>
      <c r="V1244" s="247"/>
    </row>
    <row r="1245" spans="1:22" ht="15.75" x14ac:dyDescent="0.25">
      <c r="A1245" s="236"/>
      <c r="B1245" s="237"/>
      <c r="C1245" s="238"/>
      <c r="D1245" s="239"/>
      <c r="E1245" s="240"/>
      <c r="F1245" s="240"/>
      <c r="G1245" s="240"/>
      <c r="H1245" s="241">
        <f t="shared" si="168"/>
        <v>0</v>
      </c>
      <c r="I1245" s="242"/>
      <c r="J1245" s="243"/>
      <c r="K1245" s="243"/>
      <c r="L1245" s="244">
        <v>0.1</v>
      </c>
      <c r="M1245" s="244">
        <f t="shared" si="169"/>
        <v>0</v>
      </c>
      <c r="N1245" s="244"/>
      <c r="O1245" s="244"/>
      <c r="P1245" s="244"/>
      <c r="Q1245" s="245">
        <f t="shared" si="170"/>
        <v>0</v>
      </c>
      <c r="R1245" s="245">
        <f t="shared" si="171"/>
        <v>0</v>
      </c>
      <c r="S1245" s="246">
        <v>0.5</v>
      </c>
      <c r="T1245" s="245">
        <f t="shared" si="172"/>
        <v>0</v>
      </c>
      <c r="U1245" s="245">
        <f t="shared" si="173"/>
        <v>0</v>
      </c>
      <c r="V1245" s="247"/>
    </row>
    <row r="1246" spans="1:22" ht="15.75" x14ac:dyDescent="0.25">
      <c r="A1246" s="236"/>
      <c r="B1246" s="237"/>
      <c r="C1246" s="238"/>
      <c r="D1246" s="239"/>
      <c r="E1246" s="240"/>
      <c r="F1246" s="240"/>
      <c r="G1246" s="240"/>
      <c r="H1246" s="241">
        <f t="shared" si="168"/>
        <v>0</v>
      </c>
      <c r="I1246" s="242"/>
      <c r="J1246" s="243"/>
      <c r="K1246" s="243"/>
      <c r="L1246" s="244">
        <v>0.1</v>
      </c>
      <c r="M1246" s="244">
        <f t="shared" si="169"/>
        <v>0</v>
      </c>
      <c r="N1246" s="244"/>
      <c r="O1246" s="244"/>
      <c r="P1246" s="244"/>
      <c r="Q1246" s="245">
        <f t="shared" si="170"/>
        <v>0</v>
      </c>
      <c r="R1246" s="245">
        <f t="shared" si="171"/>
        <v>0</v>
      </c>
      <c r="S1246" s="246">
        <v>0.5</v>
      </c>
      <c r="T1246" s="245">
        <f t="shared" si="172"/>
        <v>0</v>
      </c>
      <c r="U1246" s="245">
        <f t="shared" si="173"/>
        <v>0</v>
      </c>
      <c r="V1246" s="247"/>
    </row>
    <row r="1247" spans="1:22" ht="15.75" x14ac:dyDescent="0.25">
      <c r="A1247" s="236"/>
      <c r="B1247" s="237"/>
      <c r="C1247" s="238"/>
      <c r="D1247" s="239"/>
      <c r="E1247" s="240"/>
      <c r="F1247" s="240"/>
      <c r="G1247" s="240"/>
      <c r="H1247" s="241">
        <f t="shared" si="168"/>
        <v>0</v>
      </c>
      <c r="I1247" s="242"/>
      <c r="J1247" s="243"/>
      <c r="K1247" s="243"/>
      <c r="L1247" s="244">
        <v>0.1</v>
      </c>
      <c r="M1247" s="244">
        <f t="shared" si="169"/>
        <v>0</v>
      </c>
      <c r="N1247" s="244"/>
      <c r="O1247" s="244"/>
      <c r="P1247" s="244"/>
      <c r="Q1247" s="245">
        <f t="shared" si="170"/>
        <v>0</v>
      </c>
      <c r="R1247" s="245">
        <f t="shared" si="171"/>
        <v>0</v>
      </c>
      <c r="S1247" s="246">
        <v>0.5</v>
      </c>
      <c r="T1247" s="245">
        <f t="shared" si="172"/>
        <v>0</v>
      </c>
      <c r="U1247" s="245">
        <f t="shared" si="173"/>
        <v>0</v>
      </c>
      <c r="V1247" s="247"/>
    </row>
    <row r="1248" spans="1:22" ht="15.75" x14ac:dyDescent="0.25">
      <c r="A1248" s="236"/>
      <c r="B1248" s="237"/>
      <c r="C1248" s="238"/>
      <c r="D1248" s="239"/>
      <c r="E1248" s="240"/>
      <c r="F1248" s="240"/>
      <c r="G1248" s="240"/>
      <c r="H1248" s="241">
        <f t="shared" si="168"/>
        <v>0</v>
      </c>
      <c r="I1248" s="242"/>
      <c r="J1248" s="243"/>
      <c r="K1248" s="243"/>
      <c r="L1248" s="244">
        <v>0.1</v>
      </c>
      <c r="M1248" s="244">
        <f t="shared" si="169"/>
        <v>0</v>
      </c>
      <c r="N1248" s="244"/>
      <c r="O1248" s="244"/>
      <c r="P1248" s="244"/>
      <c r="Q1248" s="245">
        <f t="shared" si="170"/>
        <v>0</v>
      </c>
      <c r="R1248" s="245">
        <f t="shared" si="171"/>
        <v>0</v>
      </c>
      <c r="S1248" s="246">
        <v>0.5</v>
      </c>
      <c r="T1248" s="245">
        <f t="shared" si="172"/>
        <v>0</v>
      </c>
      <c r="U1248" s="245">
        <f t="shared" si="173"/>
        <v>0</v>
      </c>
      <c r="V1248" s="247"/>
    </row>
    <row r="1249" spans="1:22" ht="15.75" x14ac:dyDescent="0.25">
      <c r="A1249" s="236"/>
      <c r="B1249" s="237"/>
      <c r="C1249" s="238"/>
      <c r="D1249" s="239"/>
      <c r="E1249" s="240"/>
      <c r="F1249" s="240"/>
      <c r="G1249" s="240"/>
      <c r="H1249" s="241">
        <f t="shared" si="168"/>
        <v>0</v>
      </c>
      <c r="I1249" s="242"/>
      <c r="J1249" s="243"/>
      <c r="K1249" s="243"/>
      <c r="L1249" s="244">
        <v>0.1</v>
      </c>
      <c r="M1249" s="244">
        <f t="shared" si="169"/>
        <v>0</v>
      </c>
      <c r="N1249" s="244"/>
      <c r="O1249" s="244"/>
      <c r="P1249" s="244"/>
      <c r="Q1249" s="245">
        <f t="shared" si="170"/>
        <v>0</v>
      </c>
      <c r="R1249" s="245">
        <f t="shared" si="171"/>
        <v>0</v>
      </c>
      <c r="S1249" s="246">
        <v>0.5</v>
      </c>
      <c r="T1249" s="245">
        <f t="shared" si="172"/>
        <v>0</v>
      </c>
      <c r="U1249" s="245">
        <f t="shared" si="173"/>
        <v>0</v>
      </c>
      <c r="V1249" s="247"/>
    </row>
    <row r="1250" spans="1:22" ht="15.75" x14ac:dyDescent="0.25">
      <c r="A1250" s="236"/>
      <c r="B1250" s="237"/>
      <c r="C1250" s="238"/>
      <c r="D1250" s="239"/>
      <c r="E1250" s="240"/>
      <c r="F1250" s="240"/>
      <c r="G1250" s="240"/>
      <c r="H1250" s="241">
        <f t="shared" ref="H1250:H1313" si="174">+E1250+F1250+G1250</f>
        <v>0</v>
      </c>
      <c r="I1250" s="242"/>
      <c r="J1250" s="243"/>
      <c r="K1250" s="243"/>
      <c r="L1250" s="244">
        <v>0.1</v>
      </c>
      <c r="M1250" s="244">
        <f t="shared" ref="M1250:M1313" si="175">+L1250*C1250</f>
        <v>0</v>
      </c>
      <c r="N1250" s="244"/>
      <c r="O1250" s="244"/>
      <c r="P1250" s="244"/>
      <c r="Q1250" s="245">
        <f t="shared" ref="Q1250:Q1313" si="176">+N1250+O1250+P1250</f>
        <v>0</v>
      </c>
      <c r="R1250" s="245">
        <f t="shared" ref="R1250:R1313" si="177">IF(+Q1250-H1250&lt;=0,0,Q1250-H1250)</f>
        <v>0</v>
      </c>
      <c r="S1250" s="246">
        <v>0.5</v>
      </c>
      <c r="T1250" s="245">
        <f t="shared" ref="T1250:T1313" si="178">+(R1250*C1250)*S1250</f>
        <v>0</v>
      </c>
      <c r="U1250" s="245">
        <f t="shared" ref="U1250:U1313" si="179">+J1250+M1250+T1250</f>
        <v>0</v>
      </c>
      <c r="V1250" s="247"/>
    </row>
    <row r="1251" spans="1:22" ht="15.75" x14ac:dyDescent="0.25">
      <c r="A1251" s="236"/>
      <c r="B1251" s="237"/>
      <c r="C1251" s="238"/>
      <c r="D1251" s="239"/>
      <c r="E1251" s="240"/>
      <c r="F1251" s="240"/>
      <c r="G1251" s="240"/>
      <c r="H1251" s="241">
        <f t="shared" si="174"/>
        <v>0</v>
      </c>
      <c r="I1251" s="242"/>
      <c r="J1251" s="243"/>
      <c r="K1251" s="243"/>
      <c r="L1251" s="244">
        <v>0.1</v>
      </c>
      <c r="M1251" s="244">
        <f t="shared" si="175"/>
        <v>0</v>
      </c>
      <c r="N1251" s="244"/>
      <c r="O1251" s="244"/>
      <c r="P1251" s="244"/>
      <c r="Q1251" s="245">
        <f t="shared" si="176"/>
        <v>0</v>
      </c>
      <c r="R1251" s="245">
        <f t="shared" si="177"/>
        <v>0</v>
      </c>
      <c r="S1251" s="246">
        <v>0.5</v>
      </c>
      <c r="T1251" s="245">
        <f t="shared" si="178"/>
        <v>0</v>
      </c>
      <c r="U1251" s="245">
        <f t="shared" si="179"/>
        <v>0</v>
      </c>
      <c r="V1251" s="247"/>
    </row>
    <row r="1252" spans="1:22" ht="15.75" x14ac:dyDescent="0.25">
      <c r="A1252" s="236"/>
      <c r="B1252" s="237"/>
      <c r="C1252" s="238"/>
      <c r="D1252" s="239"/>
      <c r="E1252" s="240"/>
      <c r="F1252" s="240"/>
      <c r="G1252" s="240"/>
      <c r="H1252" s="241">
        <f t="shared" si="174"/>
        <v>0</v>
      </c>
      <c r="I1252" s="242"/>
      <c r="J1252" s="243"/>
      <c r="K1252" s="243"/>
      <c r="L1252" s="244">
        <v>0.1</v>
      </c>
      <c r="M1252" s="244">
        <f t="shared" si="175"/>
        <v>0</v>
      </c>
      <c r="N1252" s="244"/>
      <c r="O1252" s="244"/>
      <c r="P1252" s="244"/>
      <c r="Q1252" s="245">
        <f t="shared" si="176"/>
        <v>0</v>
      </c>
      <c r="R1252" s="245">
        <f t="shared" si="177"/>
        <v>0</v>
      </c>
      <c r="S1252" s="246">
        <v>0.5</v>
      </c>
      <c r="T1252" s="245">
        <f t="shared" si="178"/>
        <v>0</v>
      </c>
      <c r="U1252" s="245">
        <f t="shared" si="179"/>
        <v>0</v>
      </c>
      <c r="V1252" s="247"/>
    </row>
    <row r="1253" spans="1:22" ht="15.75" x14ac:dyDescent="0.25">
      <c r="A1253" s="236"/>
      <c r="B1253" s="237"/>
      <c r="C1253" s="238"/>
      <c r="D1253" s="239"/>
      <c r="E1253" s="240"/>
      <c r="F1253" s="240"/>
      <c r="G1253" s="240"/>
      <c r="H1253" s="241">
        <f t="shared" si="174"/>
        <v>0</v>
      </c>
      <c r="I1253" s="242"/>
      <c r="J1253" s="243"/>
      <c r="K1253" s="243"/>
      <c r="L1253" s="244">
        <v>0.1</v>
      </c>
      <c r="M1253" s="244">
        <f t="shared" si="175"/>
        <v>0</v>
      </c>
      <c r="N1253" s="244"/>
      <c r="O1253" s="244"/>
      <c r="P1253" s="244"/>
      <c r="Q1253" s="245">
        <f t="shared" si="176"/>
        <v>0</v>
      </c>
      <c r="R1253" s="245">
        <f t="shared" si="177"/>
        <v>0</v>
      </c>
      <c r="S1253" s="246">
        <v>0.5</v>
      </c>
      <c r="T1253" s="245">
        <f t="shared" si="178"/>
        <v>0</v>
      </c>
      <c r="U1253" s="245">
        <f t="shared" si="179"/>
        <v>0</v>
      </c>
      <c r="V1253" s="247"/>
    </row>
    <row r="1254" spans="1:22" ht="15.75" x14ac:dyDescent="0.25">
      <c r="A1254" s="236"/>
      <c r="B1254" s="237"/>
      <c r="C1254" s="238"/>
      <c r="D1254" s="239"/>
      <c r="E1254" s="240"/>
      <c r="F1254" s="240"/>
      <c r="G1254" s="240"/>
      <c r="H1254" s="241">
        <f t="shared" si="174"/>
        <v>0</v>
      </c>
      <c r="I1254" s="242"/>
      <c r="J1254" s="243"/>
      <c r="K1254" s="243"/>
      <c r="L1254" s="244">
        <v>0.1</v>
      </c>
      <c r="M1254" s="244">
        <f t="shared" si="175"/>
        <v>0</v>
      </c>
      <c r="N1254" s="244"/>
      <c r="O1254" s="244"/>
      <c r="P1254" s="244"/>
      <c r="Q1254" s="245">
        <f t="shared" si="176"/>
        <v>0</v>
      </c>
      <c r="R1254" s="245">
        <f t="shared" si="177"/>
        <v>0</v>
      </c>
      <c r="S1254" s="246">
        <v>0.5</v>
      </c>
      <c r="T1254" s="245">
        <f t="shared" si="178"/>
        <v>0</v>
      </c>
      <c r="U1254" s="245">
        <f t="shared" si="179"/>
        <v>0</v>
      </c>
      <c r="V1254" s="247"/>
    </row>
    <row r="1255" spans="1:22" ht="15.75" x14ac:dyDescent="0.25">
      <c r="A1255" s="236"/>
      <c r="B1255" s="237"/>
      <c r="C1255" s="238"/>
      <c r="D1255" s="239"/>
      <c r="E1255" s="240"/>
      <c r="F1255" s="240"/>
      <c r="G1255" s="240"/>
      <c r="H1255" s="241">
        <f t="shared" si="174"/>
        <v>0</v>
      </c>
      <c r="I1255" s="242"/>
      <c r="J1255" s="243"/>
      <c r="K1255" s="243"/>
      <c r="L1255" s="244">
        <v>0.1</v>
      </c>
      <c r="M1255" s="244">
        <f t="shared" si="175"/>
        <v>0</v>
      </c>
      <c r="N1255" s="244"/>
      <c r="O1255" s="244"/>
      <c r="P1255" s="244"/>
      <c r="Q1255" s="245">
        <f t="shared" si="176"/>
        <v>0</v>
      </c>
      <c r="R1255" s="245">
        <f t="shared" si="177"/>
        <v>0</v>
      </c>
      <c r="S1255" s="246">
        <v>0.5</v>
      </c>
      <c r="T1255" s="245">
        <f t="shared" si="178"/>
        <v>0</v>
      </c>
      <c r="U1255" s="245">
        <f t="shared" si="179"/>
        <v>0</v>
      </c>
      <c r="V1255" s="247"/>
    </row>
    <row r="1256" spans="1:22" ht="15.75" x14ac:dyDescent="0.25">
      <c r="A1256" s="236"/>
      <c r="B1256" s="237"/>
      <c r="C1256" s="238"/>
      <c r="D1256" s="239"/>
      <c r="E1256" s="240"/>
      <c r="F1256" s="240"/>
      <c r="G1256" s="240"/>
      <c r="H1256" s="241">
        <f t="shared" si="174"/>
        <v>0</v>
      </c>
      <c r="I1256" s="242"/>
      <c r="J1256" s="243"/>
      <c r="K1256" s="243"/>
      <c r="L1256" s="244">
        <v>0.1</v>
      </c>
      <c r="M1256" s="244">
        <f t="shared" si="175"/>
        <v>0</v>
      </c>
      <c r="N1256" s="244"/>
      <c r="O1256" s="244"/>
      <c r="P1256" s="244"/>
      <c r="Q1256" s="245">
        <f t="shared" si="176"/>
        <v>0</v>
      </c>
      <c r="R1256" s="245">
        <f t="shared" si="177"/>
        <v>0</v>
      </c>
      <c r="S1256" s="246">
        <v>0.5</v>
      </c>
      <c r="T1256" s="245">
        <f t="shared" si="178"/>
        <v>0</v>
      </c>
      <c r="U1256" s="245">
        <f t="shared" si="179"/>
        <v>0</v>
      </c>
      <c r="V1256" s="247"/>
    </row>
    <row r="1257" spans="1:22" ht="15.75" x14ac:dyDescent="0.25">
      <c r="A1257" s="236"/>
      <c r="B1257" s="237"/>
      <c r="C1257" s="238"/>
      <c r="D1257" s="239"/>
      <c r="E1257" s="240"/>
      <c r="F1257" s="240"/>
      <c r="G1257" s="240"/>
      <c r="H1257" s="241">
        <f t="shared" si="174"/>
        <v>0</v>
      </c>
      <c r="I1257" s="242"/>
      <c r="J1257" s="243"/>
      <c r="K1257" s="243"/>
      <c r="L1257" s="244">
        <v>0.1</v>
      </c>
      <c r="M1257" s="244">
        <f t="shared" si="175"/>
        <v>0</v>
      </c>
      <c r="N1257" s="244"/>
      <c r="O1257" s="244"/>
      <c r="P1257" s="244"/>
      <c r="Q1257" s="245">
        <f t="shared" si="176"/>
        <v>0</v>
      </c>
      <c r="R1257" s="245">
        <f t="shared" si="177"/>
        <v>0</v>
      </c>
      <c r="S1257" s="246">
        <v>0.5</v>
      </c>
      <c r="T1257" s="245">
        <f t="shared" si="178"/>
        <v>0</v>
      </c>
      <c r="U1257" s="245">
        <f t="shared" si="179"/>
        <v>0</v>
      </c>
      <c r="V1257" s="247"/>
    </row>
    <row r="1258" spans="1:22" ht="15.75" x14ac:dyDescent="0.25">
      <c r="A1258" s="236"/>
      <c r="B1258" s="237"/>
      <c r="C1258" s="238"/>
      <c r="D1258" s="239"/>
      <c r="E1258" s="240"/>
      <c r="F1258" s="240"/>
      <c r="G1258" s="240"/>
      <c r="H1258" s="241">
        <f t="shared" si="174"/>
        <v>0</v>
      </c>
      <c r="I1258" s="242"/>
      <c r="J1258" s="243"/>
      <c r="K1258" s="243"/>
      <c r="L1258" s="244">
        <v>0.1</v>
      </c>
      <c r="M1258" s="244">
        <f t="shared" si="175"/>
        <v>0</v>
      </c>
      <c r="N1258" s="244"/>
      <c r="O1258" s="244"/>
      <c r="P1258" s="244"/>
      <c r="Q1258" s="245">
        <f t="shared" si="176"/>
        <v>0</v>
      </c>
      <c r="R1258" s="245">
        <f t="shared" si="177"/>
        <v>0</v>
      </c>
      <c r="S1258" s="246">
        <v>0.5</v>
      </c>
      <c r="T1258" s="245">
        <f t="shared" si="178"/>
        <v>0</v>
      </c>
      <c r="U1258" s="245">
        <f t="shared" si="179"/>
        <v>0</v>
      </c>
      <c r="V1258" s="247"/>
    </row>
    <row r="1259" spans="1:22" ht="15.75" x14ac:dyDescent="0.25">
      <c r="A1259" s="236"/>
      <c r="B1259" s="237"/>
      <c r="C1259" s="238"/>
      <c r="D1259" s="239"/>
      <c r="E1259" s="240"/>
      <c r="F1259" s="240"/>
      <c r="G1259" s="240"/>
      <c r="H1259" s="241">
        <f t="shared" si="174"/>
        <v>0</v>
      </c>
      <c r="I1259" s="242"/>
      <c r="J1259" s="243"/>
      <c r="K1259" s="243"/>
      <c r="L1259" s="244">
        <v>0.1</v>
      </c>
      <c r="M1259" s="244">
        <f t="shared" si="175"/>
        <v>0</v>
      </c>
      <c r="N1259" s="244"/>
      <c r="O1259" s="244"/>
      <c r="P1259" s="244"/>
      <c r="Q1259" s="245">
        <f t="shared" si="176"/>
        <v>0</v>
      </c>
      <c r="R1259" s="245">
        <f t="shared" si="177"/>
        <v>0</v>
      </c>
      <c r="S1259" s="246">
        <v>0.5</v>
      </c>
      <c r="T1259" s="245">
        <f t="shared" si="178"/>
        <v>0</v>
      </c>
      <c r="U1259" s="245">
        <f t="shared" si="179"/>
        <v>0</v>
      </c>
      <c r="V1259" s="247"/>
    </row>
    <row r="1260" spans="1:22" ht="15.75" x14ac:dyDescent="0.25">
      <c r="A1260" s="236"/>
      <c r="B1260" s="237"/>
      <c r="C1260" s="238"/>
      <c r="D1260" s="239"/>
      <c r="E1260" s="240"/>
      <c r="F1260" s="240"/>
      <c r="G1260" s="240"/>
      <c r="H1260" s="241">
        <f t="shared" si="174"/>
        <v>0</v>
      </c>
      <c r="I1260" s="242"/>
      <c r="J1260" s="243"/>
      <c r="K1260" s="243"/>
      <c r="L1260" s="244">
        <v>0.1</v>
      </c>
      <c r="M1260" s="244">
        <f t="shared" si="175"/>
        <v>0</v>
      </c>
      <c r="N1260" s="244"/>
      <c r="O1260" s="244"/>
      <c r="P1260" s="244"/>
      <c r="Q1260" s="245">
        <f t="shared" si="176"/>
        <v>0</v>
      </c>
      <c r="R1260" s="245">
        <f t="shared" si="177"/>
        <v>0</v>
      </c>
      <c r="S1260" s="246">
        <v>0.5</v>
      </c>
      <c r="T1260" s="245">
        <f t="shared" si="178"/>
        <v>0</v>
      </c>
      <c r="U1260" s="245">
        <f t="shared" si="179"/>
        <v>0</v>
      </c>
      <c r="V1260" s="247"/>
    </row>
    <row r="1261" spans="1:22" ht="15.75" x14ac:dyDescent="0.25">
      <c r="A1261" s="236"/>
      <c r="B1261" s="237"/>
      <c r="C1261" s="238"/>
      <c r="D1261" s="239"/>
      <c r="E1261" s="240"/>
      <c r="F1261" s="240"/>
      <c r="G1261" s="240"/>
      <c r="H1261" s="241">
        <f t="shared" si="174"/>
        <v>0</v>
      </c>
      <c r="I1261" s="242"/>
      <c r="J1261" s="243"/>
      <c r="K1261" s="243"/>
      <c r="L1261" s="244">
        <v>0.1</v>
      </c>
      <c r="M1261" s="244">
        <f t="shared" si="175"/>
        <v>0</v>
      </c>
      <c r="N1261" s="244"/>
      <c r="O1261" s="244"/>
      <c r="P1261" s="244"/>
      <c r="Q1261" s="245">
        <f t="shared" si="176"/>
        <v>0</v>
      </c>
      <c r="R1261" s="245">
        <f t="shared" si="177"/>
        <v>0</v>
      </c>
      <c r="S1261" s="246">
        <v>0.5</v>
      </c>
      <c r="T1261" s="245">
        <f t="shared" si="178"/>
        <v>0</v>
      </c>
      <c r="U1261" s="245">
        <f t="shared" si="179"/>
        <v>0</v>
      </c>
      <c r="V1261" s="247"/>
    </row>
    <row r="1262" spans="1:22" ht="15.75" x14ac:dyDescent="0.25">
      <c r="A1262" s="236"/>
      <c r="B1262" s="237"/>
      <c r="C1262" s="238"/>
      <c r="D1262" s="239"/>
      <c r="E1262" s="240"/>
      <c r="F1262" s="240"/>
      <c r="G1262" s="240"/>
      <c r="H1262" s="241">
        <f t="shared" si="174"/>
        <v>0</v>
      </c>
      <c r="I1262" s="242"/>
      <c r="J1262" s="243"/>
      <c r="K1262" s="243"/>
      <c r="L1262" s="244">
        <v>0.1</v>
      </c>
      <c r="M1262" s="244">
        <f t="shared" si="175"/>
        <v>0</v>
      </c>
      <c r="N1262" s="244"/>
      <c r="O1262" s="244"/>
      <c r="P1262" s="244"/>
      <c r="Q1262" s="245">
        <f t="shared" si="176"/>
        <v>0</v>
      </c>
      <c r="R1262" s="245">
        <f t="shared" si="177"/>
        <v>0</v>
      </c>
      <c r="S1262" s="246">
        <v>0.5</v>
      </c>
      <c r="T1262" s="245">
        <f t="shared" si="178"/>
        <v>0</v>
      </c>
      <c r="U1262" s="245">
        <f t="shared" si="179"/>
        <v>0</v>
      </c>
      <c r="V1262" s="247"/>
    </row>
    <row r="1263" spans="1:22" ht="15.75" x14ac:dyDescent="0.25">
      <c r="A1263" s="236"/>
      <c r="B1263" s="237"/>
      <c r="C1263" s="238"/>
      <c r="D1263" s="239"/>
      <c r="E1263" s="240"/>
      <c r="F1263" s="240"/>
      <c r="G1263" s="240"/>
      <c r="H1263" s="241">
        <f t="shared" si="174"/>
        <v>0</v>
      </c>
      <c r="I1263" s="242"/>
      <c r="J1263" s="243"/>
      <c r="K1263" s="243"/>
      <c r="L1263" s="244">
        <v>0.1</v>
      </c>
      <c r="M1263" s="244">
        <f t="shared" si="175"/>
        <v>0</v>
      </c>
      <c r="N1263" s="244"/>
      <c r="O1263" s="244"/>
      <c r="P1263" s="244"/>
      <c r="Q1263" s="245">
        <f t="shared" si="176"/>
        <v>0</v>
      </c>
      <c r="R1263" s="245">
        <f t="shared" si="177"/>
        <v>0</v>
      </c>
      <c r="S1263" s="246">
        <v>0.5</v>
      </c>
      <c r="T1263" s="245">
        <f t="shared" si="178"/>
        <v>0</v>
      </c>
      <c r="U1263" s="245">
        <f t="shared" si="179"/>
        <v>0</v>
      </c>
      <c r="V1263" s="247"/>
    </row>
    <row r="1264" spans="1:22" ht="15.75" x14ac:dyDescent="0.25">
      <c r="A1264" s="236"/>
      <c r="B1264" s="237"/>
      <c r="C1264" s="238"/>
      <c r="D1264" s="239"/>
      <c r="E1264" s="240"/>
      <c r="F1264" s="240"/>
      <c r="G1264" s="240"/>
      <c r="H1264" s="241">
        <f t="shared" si="174"/>
        <v>0</v>
      </c>
      <c r="I1264" s="242"/>
      <c r="J1264" s="243"/>
      <c r="K1264" s="243"/>
      <c r="L1264" s="244">
        <v>0.1</v>
      </c>
      <c r="M1264" s="244">
        <f t="shared" si="175"/>
        <v>0</v>
      </c>
      <c r="N1264" s="244"/>
      <c r="O1264" s="244"/>
      <c r="P1264" s="244"/>
      <c r="Q1264" s="245">
        <f t="shared" si="176"/>
        <v>0</v>
      </c>
      <c r="R1264" s="245">
        <f t="shared" si="177"/>
        <v>0</v>
      </c>
      <c r="S1264" s="246">
        <v>0.5</v>
      </c>
      <c r="T1264" s="245">
        <f t="shared" si="178"/>
        <v>0</v>
      </c>
      <c r="U1264" s="245">
        <f t="shared" si="179"/>
        <v>0</v>
      </c>
      <c r="V1264" s="247"/>
    </row>
    <row r="1265" spans="1:22" ht="15.75" x14ac:dyDescent="0.25">
      <c r="A1265" s="236"/>
      <c r="B1265" s="237"/>
      <c r="C1265" s="238"/>
      <c r="D1265" s="239"/>
      <c r="E1265" s="240"/>
      <c r="F1265" s="240"/>
      <c r="G1265" s="240"/>
      <c r="H1265" s="241">
        <f t="shared" si="174"/>
        <v>0</v>
      </c>
      <c r="I1265" s="242"/>
      <c r="J1265" s="243"/>
      <c r="K1265" s="243"/>
      <c r="L1265" s="244">
        <v>0.1</v>
      </c>
      <c r="M1265" s="244">
        <f t="shared" si="175"/>
        <v>0</v>
      </c>
      <c r="N1265" s="244"/>
      <c r="O1265" s="244"/>
      <c r="P1265" s="244"/>
      <c r="Q1265" s="245">
        <f t="shared" si="176"/>
        <v>0</v>
      </c>
      <c r="R1265" s="245">
        <f t="shared" si="177"/>
        <v>0</v>
      </c>
      <c r="S1265" s="246">
        <v>0.5</v>
      </c>
      <c r="T1265" s="245">
        <f t="shared" si="178"/>
        <v>0</v>
      </c>
      <c r="U1265" s="245">
        <f t="shared" si="179"/>
        <v>0</v>
      </c>
      <c r="V1265" s="247"/>
    </row>
    <row r="1266" spans="1:22" ht="15.75" x14ac:dyDescent="0.25">
      <c r="A1266" s="236"/>
      <c r="B1266" s="237"/>
      <c r="C1266" s="238"/>
      <c r="D1266" s="239"/>
      <c r="E1266" s="240"/>
      <c r="F1266" s="240"/>
      <c r="G1266" s="240"/>
      <c r="H1266" s="241">
        <f t="shared" si="174"/>
        <v>0</v>
      </c>
      <c r="I1266" s="242"/>
      <c r="J1266" s="243"/>
      <c r="K1266" s="243"/>
      <c r="L1266" s="244">
        <v>0.1</v>
      </c>
      <c r="M1266" s="244">
        <f t="shared" si="175"/>
        <v>0</v>
      </c>
      <c r="N1266" s="244"/>
      <c r="O1266" s="244"/>
      <c r="P1266" s="244"/>
      <c r="Q1266" s="245">
        <f t="shared" si="176"/>
        <v>0</v>
      </c>
      <c r="R1266" s="245">
        <f t="shared" si="177"/>
        <v>0</v>
      </c>
      <c r="S1266" s="246">
        <v>0.5</v>
      </c>
      <c r="T1266" s="245">
        <f t="shared" si="178"/>
        <v>0</v>
      </c>
      <c r="U1266" s="245">
        <f t="shared" si="179"/>
        <v>0</v>
      </c>
      <c r="V1266" s="247"/>
    </row>
    <row r="1267" spans="1:22" ht="15.75" x14ac:dyDescent="0.25">
      <c r="A1267" s="236"/>
      <c r="B1267" s="237"/>
      <c r="C1267" s="238"/>
      <c r="D1267" s="239"/>
      <c r="E1267" s="240"/>
      <c r="F1267" s="240"/>
      <c r="G1267" s="240"/>
      <c r="H1267" s="241">
        <f t="shared" si="174"/>
        <v>0</v>
      </c>
      <c r="I1267" s="242"/>
      <c r="J1267" s="243"/>
      <c r="K1267" s="243"/>
      <c r="L1267" s="244">
        <v>0.1</v>
      </c>
      <c r="M1267" s="244">
        <f t="shared" si="175"/>
        <v>0</v>
      </c>
      <c r="N1267" s="244"/>
      <c r="O1267" s="244"/>
      <c r="P1267" s="244"/>
      <c r="Q1267" s="245">
        <f t="shared" si="176"/>
        <v>0</v>
      </c>
      <c r="R1267" s="245">
        <f t="shared" si="177"/>
        <v>0</v>
      </c>
      <c r="S1267" s="246">
        <v>0.5</v>
      </c>
      <c r="T1267" s="245">
        <f t="shared" si="178"/>
        <v>0</v>
      </c>
      <c r="U1267" s="245">
        <f t="shared" si="179"/>
        <v>0</v>
      </c>
      <c r="V1267" s="247"/>
    </row>
    <row r="1268" spans="1:22" ht="15.75" x14ac:dyDescent="0.25">
      <c r="A1268" s="236"/>
      <c r="B1268" s="237"/>
      <c r="C1268" s="238"/>
      <c r="D1268" s="239"/>
      <c r="E1268" s="240"/>
      <c r="F1268" s="240"/>
      <c r="G1268" s="240"/>
      <c r="H1268" s="241">
        <f t="shared" si="174"/>
        <v>0</v>
      </c>
      <c r="I1268" s="242"/>
      <c r="J1268" s="243"/>
      <c r="K1268" s="243"/>
      <c r="L1268" s="244">
        <v>0.1</v>
      </c>
      <c r="M1268" s="244">
        <f t="shared" si="175"/>
        <v>0</v>
      </c>
      <c r="N1268" s="244"/>
      <c r="O1268" s="244"/>
      <c r="P1268" s="244"/>
      <c r="Q1268" s="245">
        <f t="shared" si="176"/>
        <v>0</v>
      </c>
      <c r="R1268" s="245">
        <f t="shared" si="177"/>
        <v>0</v>
      </c>
      <c r="S1268" s="246">
        <v>0.5</v>
      </c>
      <c r="T1268" s="245">
        <f t="shared" si="178"/>
        <v>0</v>
      </c>
      <c r="U1268" s="245">
        <f t="shared" si="179"/>
        <v>0</v>
      </c>
      <c r="V1268" s="247"/>
    </row>
    <row r="1269" spans="1:22" ht="15.75" x14ac:dyDescent="0.25">
      <c r="A1269" s="236"/>
      <c r="B1269" s="237"/>
      <c r="C1269" s="238"/>
      <c r="D1269" s="239"/>
      <c r="E1269" s="240"/>
      <c r="F1269" s="240"/>
      <c r="G1269" s="240"/>
      <c r="H1269" s="241">
        <f t="shared" si="174"/>
        <v>0</v>
      </c>
      <c r="I1269" s="242"/>
      <c r="J1269" s="243"/>
      <c r="K1269" s="243"/>
      <c r="L1269" s="244">
        <v>0.1</v>
      </c>
      <c r="M1269" s="244">
        <f t="shared" si="175"/>
        <v>0</v>
      </c>
      <c r="N1269" s="244"/>
      <c r="O1269" s="244"/>
      <c r="P1269" s="244"/>
      <c r="Q1269" s="245">
        <f t="shared" si="176"/>
        <v>0</v>
      </c>
      <c r="R1269" s="245">
        <f t="shared" si="177"/>
        <v>0</v>
      </c>
      <c r="S1269" s="246">
        <v>0.5</v>
      </c>
      <c r="T1269" s="245">
        <f t="shared" si="178"/>
        <v>0</v>
      </c>
      <c r="U1269" s="245">
        <f t="shared" si="179"/>
        <v>0</v>
      </c>
      <c r="V1269" s="247"/>
    </row>
    <row r="1270" spans="1:22" ht="15.75" x14ac:dyDescent="0.25">
      <c r="A1270" s="236"/>
      <c r="B1270" s="237"/>
      <c r="C1270" s="238"/>
      <c r="D1270" s="239"/>
      <c r="E1270" s="240"/>
      <c r="F1270" s="240"/>
      <c r="G1270" s="240"/>
      <c r="H1270" s="241">
        <f t="shared" si="174"/>
        <v>0</v>
      </c>
      <c r="I1270" s="242"/>
      <c r="J1270" s="243"/>
      <c r="K1270" s="243"/>
      <c r="L1270" s="244">
        <v>0.1</v>
      </c>
      <c r="M1270" s="244">
        <f t="shared" si="175"/>
        <v>0</v>
      </c>
      <c r="N1270" s="244"/>
      <c r="O1270" s="244"/>
      <c r="P1270" s="244"/>
      <c r="Q1270" s="245">
        <f t="shared" si="176"/>
        <v>0</v>
      </c>
      <c r="R1270" s="245">
        <f t="shared" si="177"/>
        <v>0</v>
      </c>
      <c r="S1270" s="246">
        <v>0.5</v>
      </c>
      <c r="T1270" s="245">
        <f t="shared" si="178"/>
        <v>0</v>
      </c>
      <c r="U1270" s="245">
        <f t="shared" si="179"/>
        <v>0</v>
      </c>
      <c r="V1270" s="247"/>
    </row>
    <row r="1271" spans="1:22" ht="15.75" x14ac:dyDescent="0.25">
      <c r="A1271" s="236"/>
      <c r="B1271" s="237"/>
      <c r="C1271" s="238"/>
      <c r="D1271" s="239"/>
      <c r="E1271" s="240"/>
      <c r="F1271" s="240"/>
      <c r="G1271" s="240"/>
      <c r="H1271" s="241">
        <f t="shared" si="174"/>
        <v>0</v>
      </c>
      <c r="I1271" s="242"/>
      <c r="J1271" s="243"/>
      <c r="K1271" s="243"/>
      <c r="L1271" s="244">
        <v>0.1</v>
      </c>
      <c r="M1271" s="244">
        <f t="shared" si="175"/>
        <v>0</v>
      </c>
      <c r="N1271" s="244"/>
      <c r="O1271" s="244"/>
      <c r="P1271" s="244"/>
      <c r="Q1271" s="245">
        <f t="shared" si="176"/>
        <v>0</v>
      </c>
      <c r="R1271" s="245">
        <f t="shared" si="177"/>
        <v>0</v>
      </c>
      <c r="S1271" s="246">
        <v>0.5</v>
      </c>
      <c r="T1271" s="245">
        <f t="shared" si="178"/>
        <v>0</v>
      </c>
      <c r="U1271" s="245">
        <f t="shared" si="179"/>
        <v>0</v>
      </c>
      <c r="V1271" s="247"/>
    </row>
    <row r="1272" spans="1:22" ht="15.75" x14ac:dyDescent="0.25">
      <c r="A1272" s="236"/>
      <c r="B1272" s="237"/>
      <c r="C1272" s="238"/>
      <c r="D1272" s="239"/>
      <c r="E1272" s="240"/>
      <c r="F1272" s="240"/>
      <c r="G1272" s="240"/>
      <c r="H1272" s="241">
        <f t="shared" si="174"/>
        <v>0</v>
      </c>
      <c r="I1272" s="242"/>
      <c r="J1272" s="243"/>
      <c r="K1272" s="243"/>
      <c r="L1272" s="244">
        <v>0.1</v>
      </c>
      <c r="M1272" s="244">
        <f t="shared" si="175"/>
        <v>0</v>
      </c>
      <c r="N1272" s="244"/>
      <c r="O1272" s="244"/>
      <c r="P1272" s="244"/>
      <c r="Q1272" s="245">
        <f t="shared" si="176"/>
        <v>0</v>
      </c>
      <c r="R1272" s="245">
        <f t="shared" si="177"/>
        <v>0</v>
      </c>
      <c r="S1272" s="246">
        <v>0.5</v>
      </c>
      <c r="T1272" s="245">
        <f t="shared" si="178"/>
        <v>0</v>
      </c>
      <c r="U1272" s="245">
        <f t="shared" si="179"/>
        <v>0</v>
      </c>
      <c r="V1272" s="247"/>
    </row>
    <row r="1273" spans="1:22" ht="15.75" x14ac:dyDescent="0.25">
      <c r="A1273" s="236"/>
      <c r="B1273" s="237"/>
      <c r="C1273" s="238"/>
      <c r="D1273" s="239"/>
      <c r="E1273" s="240"/>
      <c r="F1273" s="240"/>
      <c r="G1273" s="240"/>
      <c r="H1273" s="241">
        <f t="shared" si="174"/>
        <v>0</v>
      </c>
      <c r="I1273" s="242"/>
      <c r="J1273" s="243"/>
      <c r="K1273" s="243"/>
      <c r="L1273" s="244">
        <v>0.1</v>
      </c>
      <c r="M1273" s="244">
        <f t="shared" si="175"/>
        <v>0</v>
      </c>
      <c r="N1273" s="244"/>
      <c r="O1273" s="244"/>
      <c r="P1273" s="244"/>
      <c r="Q1273" s="245">
        <f t="shared" si="176"/>
        <v>0</v>
      </c>
      <c r="R1273" s="245">
        <f t="shared" si="177"/>
        <v>0</v>
      </c>
      <c r="S1273" s="246">
        <v>0.5</v>
      </c>
      <c r="T1273" s="245">
        <f t="shared" si="178"/>
        <v>0</v>
      </c>
      <c r="U1273" s="245">
        <f t="shared" si="179"/>
        <v>0</v>
      </c>
      <c r="V1273" s="247"/>
    </row>
    <row r="1274" spans="1:22" ht="15.75" x14ac:dyDescent="0.25">
      <c r="A1274" s="236"/>
      <c r="B1274" s="237"/>
      <c r="C1274" s="238"/>
      <c r="D1274" s="239"/>
      <c r="E1274" s="240"/>
      <c r="F1274" s="240"/>
      <c r="G1274" s="240"/>
      <c r="H1274" s="241">
        <f t="shared" si="174"/>
        <v>0</v>
      </c>
      <c r="I1274" s="242"/>
      <c r="J1274" s="243"/>
      <c r="K1274" s="243"/>
      <c r="L1274" s="244">
        <v>0.1</v>
      </c>
      <c r="M1274" s="244">
        <f t="shared" si="175"/>
        <v>0</v>
      </c>
      <c r="N1274" s="244"/>
      <c r="O1274" s="244"/>
      <c r="P1274" s="244"/>
      <c r="Q1274" s="245">
        <f t="shared" si="176"/>
        <v>0</v>
      </c>
      <c r="R1274" s="245">
        <f t="shared" si="177"/>
        <v>0</v>
      </c>
      <c r="S1274" s="246">
        <v>0.5</v>
      </c>
      <c r="T1274" s="245">
        <f t="shared" si="178"/>
        <v>0</v>
      </c>
      <c r="U1274" s="245">
        <f t="shared" si="179"/>
        <v>0</v>
      </c>
      <c r="V1274" s="247"/>
    </row>
    <row r="1275" spans="1:22" ht="15.75" x14ac:dyDescent="0.25">
      <c r="A1275" s="236"/>
      <c r="B1275" s="237"/>
      <c r="C1275" s="238"/>
      <c r="D1275" s="239"/>
      <c r="E1275" s="240"/>
      <c r="F1275" s="240"/>
      <c r="G1275" s="240"/>
      <c r="H1275" s="241">
        <f t="shared" si="174"/>
        <v>0</v>
      </c>
      <c r="I1275" s="242"/>
      <c r="J1275" s="243"/>
      <c r="K1275" s="243"/>
      <c r="L1275" s="244">
        <v>0.1</v>
      </c>
      <c r="M1275" s="244">
        <f t="shared" si="175"/>
        <v>0</v>
      </c>
      <c r="N1275" s="244"/>
      <c r="O1275" s="244"/>
      <c r="P1275" s="244"/>
      <c r="Q1275" s="245">
        <f t="shared" si="176"/>
        <v>0</v>
      </c>
      <c r="R1275" s="245">
        <f t="shared" si="177"/>
        <v>0</v>
      </c>
      <c r="S1275" s="246">
        <v>0.5</v>
      </c>
      <c r="T1275" s="245">
        <f t="shared" si="178"/>
        <v>0</v>
      </c>
      <c r="U1275" s="245">
        <f t="shared" si="179"/>
        <v>0</v>
      </c>
      <c r="V1275" s="247"/>
    </row>
    <row r="1276" spans="1:22" ht="15.75" x14ac:dyDescent="0.25">
      <c r="A1276" s="236"/>
      <c r="B1276" s="237"/>
      <c r="C1276" s="238"/>
      <c r="D1276" s="239"/>
      <c r="E1276" s="240"/>
      <c r="F1276" s="240"/>
      <c r="G1276" s="240"/>
      <c r="H1276" s="241">
        <f t="shared" si="174"/>
        <v>0</v>
      </c>
      <c r="I1276" s="242"/>
      <c r="J1276" s="243"/>
      <c r="K1276" s="243"/>
      <c r="L1276" s="244">
        <v>0.1</v>
      </c>
      <c r="M1276" s="244">
        <f t="shared" si="175"/>
        <v>0</v>
      </c>
      <c r="N1276" s="244"/>
      <c r="O1276" s="244"/>
      <c r="P1276" s="244"/>
      <c r="Q1276" s="245">
        <f t="shared" si="176"/>
        <v>0</v>
      </c>
      <c r="R1276" s="245">
        <f t="shared" si="177"/>
        <v>0</v>
      </c>
      <c r="S1276" s="246">
        <v>0.5</v>
      </c>
      <c r="T1276" s="245">
        <f t="shared" si="178"/>
        <v>0</v>
      </c>
      <c r="U1276" s="245">
        <f t="shared" si="179"/>
        <v>0</v>
      </c>
      <c r="V1276" s="247"/>
    </row>
    <row r="1277" spans="1:22" ht="15.75" x14ac:dyDescent="0.25">
      <c r="A1277" s="236"/>
      <c r="B1277" s="237"/>
      <c r="C1277" s="238"/>
      <c r="D1277" s="239"/>
      <c r="E1277" s="240"/>
      <c r="F1277" s="240"/>
      <c r="G1277" s="240"/>
      <c r="H1277" s="241">
        <f t="shared" si="174"/>
        <v>0</v>
      </c>
      <c r="I1277" s="242"/>
      <c r="J1277" s="243"/>
      <c r="K1277" s="243"/>
      <c r="L1277" s="244">
        <v>0.1</v>
      </c>
      <c r="M1277" s="244">
        <f t="shared" si="175"/>
        <v>0</v>
      </c>
      <c r="N1277" s="244"/>
      <c r="O1277" s="244"/>
      <c r="P1277" s="244"/>
      <c r="Q1277" s="245">
        <f t="shared" si="176"/>
        <v>0</v>
      </c>
      <c r="R1277" s="245">
        <f t="shared" si="177"/>
        <v>0</v>
      </c>
      <c r="S1277" s="246">
        <v>0.5</v>
      </c>
      <c r="T1277" s="245">
        <f t="shared" si="178"/>
        <v>0</v>
      </c>
      <c r="U1277" s="245">
        <f t="shared" si="179"/>
        <v>0</v>
      </c>
      <c r="V1277" s="247"/>
    </row>
    <row r="1278" spans="1:22" ht="15.75" x14ac:dyDescent="0.25">
      <c r="A1278" s="236"/>
      <c r="B1278" s="237"/>
      <c r="C1278" s="238"/>
      <c r="D1278" s="239"/>
      <c r="E1278" s="240"/>
      <c r="F1278" s="240"/>
      <c r="G1278" s="240"/>
      <c r="H1278" s="241">
        <f t="shared" si="174"/>
        <v>0</v>
      </c>
      <c r="I1278" s="242"/>
      <c r="J1278" s="243"/>
      <c r="K1278" s="243"/>
      <c r="L1278" s="244">
        <v>0.1</v>
      </c>
      <c r="M1278" s="244">
        <f t="shared" si="175"/>
        <v>0</v>
      </c>
      <c r="N1278" s="244"/>
      <c r="O1278" s="244"/>
      <c r="P1278" s="244"/>
      <c r="Q1278" s="245">
        <f t="shared" si="176"/>
        <v>0</v>
      </c>
      <c r="R1278" s="245">
        <f t="shared" si="177"/>
        <v>0</v>
      </c>
      <c r="S1278" s="246">
        <v>0.5</v>
      </c>
      <c r="T1278" s="245">
        <f t="shared" si="178"/>
        <v>0</v>
      </c>
      <c r="U1278" s="245">
        <f t="shared" si="179"/>
        <v>0</v>
      </c>
      <c r="V1278" s="247"/>
    </row>
    <row r="1279" spans="1:22" ht="15.75" x14ac:dyDescent="0.25">
      <c r="A1279" s="236"/>
      <c r="B1279" s="237"/>
      <c r="C1279" s="238"/>
      <c r="D1279" s="239"/>
      <c r="E1279" s="240"/>
      <c r="F1279" s="240"/>
      <c r="G1279" s="240"/>
      <c r="H1279" s="241">
        <f t="shared" si="174"/>
        <v>0</v>
      </c>
      <c r="I1279" s="242"/>
      <c r="J1279" s="243"/>
      <c r="K1279" s="243"/>
      <c r="L1279" s="244">
        <v>0.1</v>
      </c>
      <c r="M1279" s="244">
        <f t="shared" si="175"/>
        <v>0</v>
      </c>
      <c r="N1279" s="244"/>
      <c r="O1279" s="244"/>
      <c r="P1279" s="244"/>
      <c r="Q1279" s="245">
        <f t="shared" si="176"/>
        <v>0</v>
      </c>
      <c r="R1279" s="245">
        <f t="shared" si="177"/>
        <v>0</v>
      </c>
      <c r="S1279" s="246">
        <v>0.5</v>
      </c>
      <c r="T1279" s="245">
        <f t="shared" si="178"/>
        <v>0</v>
      </c>
      <c r="U1279" s="245">
        <f t="shared" si="179"/>
        <v>0</v>
      </c>
      <c r="V1279" s="247"/>
    </row>
    <row r="1280" spans="1:22" ht="15.75" x14ac:dyDescent="0.25">
      <c r="A1280" s="236"/>
      <c r="B1280" s="237"/>
      <c r="C1280" s="238"/>
      <c r="D1280" s="239"/>
      <c r="E1280" s="240"/>
      <c r="F1280" s="240"/>
      <c r="G1280" s="240"/>
      <c r="H1280" s="241">
        <f t="shared" si="174"/>
        <v>0</v>
      </c>
      <c r="I1280" s="242"/>
      <c r="J1280" s="243"/>
      <c r="K1280" s="243"/>
      <c r="L1280" s="244">
        <v>0.1</v>
      </c>
      <c r="M1280" s="244">
        <f t="shared" si="175"/>
        <v>0</v>
      </c>
      <c r="N1280" s="244"/>
      <c r="O1280" s="244"/>
      <c r="P1280" s="244"/>
      <c r="Q1280" s="245">
        <f t="shared" si="176"/>
        <v>0</v>
      </c>
      <c r="R1280" s="245">
        <f t="shared" si="177"/>
        <v>0</v>
      </c>
      <c r="S1280" s="246">
        <v>0.5</v>
      </c>
      <c r="T1280" s="245">
        <f t="shared" si="178"/>
        <v>0</v>
      </c>
      <c r="U1280" s="245">
        <f t="shared" si="179"/>
        <v>0</v>
      </c>
      <c r="V1280" s="247"/>
    </row>
    <row r="1281" spans="1:22" ht="15.75" x14ac:dyDescent="0.25">
      <c r="A1281" s="236"/>
      <c r="B1281" s="237"/>
      <c r="C1281" s="238"/>
      <c r="D1281" s="239"/>
      <c r="E1281" s="240"/>
      <c r="F1281" s="240"/>
      <c r="G1281" s="240"/>
      <c r="H1281" s="241">
        <f t="shared" si="174"/>
        <v>0</v>
      </c>
      <c r="I1281" s="242"/>
      <c r="J1281" s="243"/>
      <c r="K1281" s="243"/>
      <c r="L1281" s="244">
        <v>0.1</v>
      </c>
      <c r="M1281" s="244">
        <f t="shared" si="175"/>
        <v>0</v>
      </c>
      <c r="N1281" s="244"/>
      <c r="O1281" s="244"/>
      <c r="P1281" s="244"/>
      <c r="Q1281" s="245">
        <f t="shared" si="176"/>
        <v>0</v>
      </c>
      <c r="R1281" s="245">
        <f t="shared" si="177"/>
        <v>0</v>
      </c>
      <c r="S1281" s="246">
        <v>0.5</v>
      </c>
      <c r="T1281" s="245">
        <f t="shared" si="178"/>
        <v>0</v>
      </c>
      <c r="U1281" s="245">
        <f t="shared" si="179"/>
        <v>0</v>
      </c>
      <c r="V1281" s="247"/>
    </row>
    <row r="1282" spans="1:22" ht="15.75" x14ac:dyDescent="0.25">
      <c r="A1282" s="236"/>
      <c r="B1282" s="237"/>
      <c r="C1282" s="238"/>
      <c r="D1282" s="239"/>
      <c r="E1282" s="240"/>
      <c r="F1282" s="240"/>
      <c r="G1282" s="240"/>
      <c r="H1282" s="241">
        <f t="shared" si="174"/>
        <v>0</v>
      </c>
      <c r="I1282" s="242"/>
      <c r="J1282" s="243"/>
      <c r="K1282" s="243"/>
      <c r="L1282" s="244">
        <v>0.1</v>
      </c>
      <c r="M1282" s="244">
        <f t="shared" si="175"/>
        <v>0</v>
      </c>
      <c r="N1282" s="244"/>
      <c r="O1282" s="244"/>
      <c r="P1282" s="244"/>
      <c r="Q1282" s="245">
        <f t="shared" si="176"/>
        <v>0</v>
      </c>
      <c r="R1282" s="245">
        <f t="shared" si="177"/>
        <v>0</v>
      </c>
      <c r="S1282" s="246">
        <v>0.5</v>
      </c>
      <c r="T1282" s="245">
        <f t="shared" si="178"/>
        <v>0</v>
      </c>
      <c r="U1282" s="245">
        <f t="shared" si="179"/>
        <v>0</v>
      </c>
      <c r="V1282" s="247"/>
    </row>
    <row r="1283" spans="1:22" ht="15.75" x14ac:dyDescent="0.25">
      <c r="A1283" s="236"/>
      <c r="B1283" s="237"/>
      <c r="C1283" s="238"/>
      <c r="D1283" s="239"/>
      <c r="E1283" s="240"/>
      <c r="F1283" s="240"/>
      <c r="G1283" s="240"/>
      <c r="H1283" s="241">
        <f t="shared" si="174"/>
        <v>0</v>
      </c>
      <c r="I1283" s="242"/>
      <c r="J1283" s="243"/>
      <c r="K1283" s="243"/>
      <c r="L1283" s="244">
        <v>0.1</v>
      </c>
      <c r="M1283" s="244">
        <f t="shared" si="175"/>
        <v>0</v>
      </c>
      <c r="N1283" s="244"/>
      <c r="O1283" s="244"/>
      <c r="P1283" s="244"/>
      <c r="Q1283" s="245">
        <f t="shared" si="176"/>
        <v>0</v>
      </c>
      <c r="R1283" s="245">
        <f t="shared" si="177"/>
        <v>0</v>
      </c>
      <c r="S1283" s="246">
        <v>0.5</v>
      </c>
      <c r="T1283" s="245">
        <f t="shared" si="178"/>
        <v>0</v>
      </c>
      <c r="U1283" s="245">
        <f t="shared" si="179"/>
        <v>0</v>
      </c>
      <c r="V1283" s="247"/>
    </row>
    <row r="1284" spans="1:22" ht="15.75" x14ac:dyDescent="0.25">
      <c r="A1284" s="236"/>
      <c r="B1284" s="237"/>
      <c r="C1284" s="238"/>
      <c r="D1284" s="239"/>
      <c r="E1284" s="240"/>
      <c r="F1284" s="240"/>
      <c r="G1284" s="240"/>
      <c r="H1284" s="241">
        <f t="shared" si="174"/>
        <v>0</v>
      </c>
      <c r="I1284" s="242"/>
      <c r="J1284" s="243"/>
      <c r="K1284" s="243"/>
      <c r="L1284" s="244">
        <v>0.1</v>
      </c>
      <c r="M1284" s="244">
        <f t="shared" si="175"/>
        <v>0</v>
      </c>
      <c r="N1284" s="244"/>
      <c r="O1284" s="244"/>
      <c r="P1284" s="244"/>
      <c r="Q1284" s="245">
        <f t="shared" si="176"/>
        <v>0</v>
      </c>
      <c r="R1284" s="245">
        <f t="shared" si="177"/>
        <v>0</v>
      </c>
      <c r="S1284" s="246">
        <v>0.5</v>
      </c>
      <c r="T1284" s="245">
        <f t="shared" si="178"/>
        <v>0</v>
      </c>
      <c r="U1284" s="245">
        <f t="shared" si="179"/>
        <v>0</v>
      </c>
      <c r="V1284" s="247"/>
    </row>
    <row r="1285" spans="1:22" ht="15.75" x14ac:dyDescent="0.25">
      <c r="A1285" s="236"/>
      <c r="B1285" s="237"/>
      <c r="C1285" s="238"/>
      <c r="D1285" s="239"/>
      <c r="E1285" s="240"/>
      <c r="F1285" s="240"/>
      <c r="G1285" s="240"/>
      <c r="H1285" s="241">
        <f t="shared" si="174"/>
        <v>0</v>
      </c>
      <c r="I1285" s="242"/>
      <c r="J1285" s="243"/>
      <c r="K1285" s="243"/>
      <c r="L1285" s="244">
        <v>0.1</v>
      </c>
      <c r="M1285" s="244">
        <f t="shared" si="175"/>
        <v>0</v>
      </c>
      <c r="N1285" s="244"/>
      <c r="O1285" s="244"/>
      <c r="P1285" s="244"/>
      <c r="Q1285" s="245">
        <f t="shared" si="176"/>
        <v>0</v>
      </c>
      <c r="R1285" s="245">
        <f t="shared" si="177"/>
        <v>0</v>
      </c>
      <c r="S1285" s="246">
        <v>0.5</v>
      </c>
      <c r="T1285" s="245">
        <f t="shared" si="178"/>
        <v>0</v>
      </c>
      <c r="U1285" s="245">
        <f t="shared" si="179"/>
        <v>0</v>
      </c>
      <c r="V1285" s="247"/>
    </row>
    <row r="1286" spans="1:22" ht="15.75" x14ac:dyDescent="0.25">
      <c r="A1286" s="236"/>
      <c r="B1286" s="237"/>
      <c r="C1286" s="238"/>
      <c r="D1286" s="239"/>
      <c r="E1286" s="240"/>
      <c r="F1286" s="240"/>
      <c r="G1286" s="240"/>
      <c r="H1286" s="241">
        <f t="shared" si="174"/>
        <v>0</v>
      </c>
      <c r="I1286" s="242"/>
      <c r="J1286" s="243"/>
      <c r="K1286" s="243"/>
      <c r="L1286" s="244">
        <v>0.1</v>
      </c>
      <c r="M1286" s="244">
        <f t="shared" si="175"/>
        <v>0</v>
      </c>
      <c r="N1286" s="244"/>
      <c r="O1286" s="244"/>
      <c r="P1286" s="244"/>
      <c r="Q1286" s="245">
        <f t="shared" si="176"/>
        <v>0</v>
      </c>
      <c r="R1286" s="245">
        <f t="shared" si="177"/>
        <v>0</v>
      </c>
      <c r="S1286" s="246">
        <v>0.5</v>
      </c>
      <c r="T1286" s="245">
        <f t="shared" si="178"/>
        <v>0</v>
      </c>
      <c r="U1286" s="245">
        <f t="shared" si="179"/>
        <v>0</v>
      </c>
      <c r="V1286" s="247"/>
    </row>
    <row r="1287" spans="1:22" ht="15.75" x14ac:dyDescent="0.25">
      <c r="A1287" s="236"/>
      <c r="B1287" s="237"/>
      <c r="C1287" s="238"/>
      <c r="D1287" s="239"/>
      <c r="E1287" s="240"/>
      <c r="F1287" s="240"/>
      <c r="G1287" s="240"/>
      <c r="H1287" s="241">
        <f t="shared" si="174"/>
        <v>0</v>
      </c>
      <c r="I1287" s="242"/>
      <c r="J1287" s="243"/>
      <c r="K1287" s="243"/>
      <c r="L1287" s="244">
        <v>0.1</v>
      </c>
      <c r="M1287" s="244">
        <f t="shared" si="175"/>
        <v>0</v>
      </c>
      <c r="N1287" s="244"/>
      <c r="O1287" s="244"/>
      <c r="P1287" s="244"/>
      <c r="Q1287" s="245">
        <f t="shared" si="176"/>
        <v>0</v>
      </c>
      <c r="R1287" s="245">
        <f t="shared" si="177"/>
        <v>0</v>
      </c>
      <c r="S1287" s="246">
        <v>0.5</v>
      </c>
      <c r="T1287" s="245">
        <f t="shared" si="178"/>
        <v>0</v>
      </c>
      <c r="U1287" s="245">
        <f t="shared" si="179"/>
        <v>0</v>
      </c>
      <c r="V1287" s="247"/>
    </row>
    <row r="1288" spans="1:22" ht="15.75" x14ac:dyDescent="0.25">
      <c r="A1288" s="236"/>
      <c r="B1288" s="237"/>
      <c r="C1288" s="238"/>
      <c r="D1288" s="239"/>
      <c r="E1288" s="240"/>
      <c r="F1288" s="240"/>
      <c r="G1288" s="240"/>
      <c r="H1288" s="241">
        <f t="shared" si="174"/>
        <v>0</v>
      </c>
      <c r="I1288" s="242"/>
      <c r="J1288" s="243"/>
      <c r="K1288" s="243"/>
      <c r="L1288" s="244">
        <v>0.1</v>
      </c>
      <c r="M1288" s="244">
        <f t="shared" si="175"/>
        <v>0</v>
      </c>
      <c r="N1288" s="244"/>
      <c r="O1288" s="244"/>
      <c r="P1288" s="244"/>
      <c r="Q1288" s="245">
        <f t="shared" si="176"/>
        <v>0</v>
      </c>
      <c r="R1288" s="245">
        <f t="shared" si="177"/>
        <v>0</v>
      </c>
      <c r="S1288" s="246">
        <v>0.5</v>
      </c>
      <c r="T1288" s="245">
        <f t="shared" si="178"/>
        <v>0</v>
      </c>
      <c r="U1288" s="245">
        <f t="shared" si="179"/>
        <v>0</v>
      </c>
      <c r="V1288" s="247"/>
    </row>
    <row r="1289" spans="1:22" ht="15.75" x14ac:dyDescent="0.25">
      <c r="A1289" s="236"/>
      <c r="B1289" s="237"/>
      <c r="C1289" s="238"/>
      <c r="D1289" s="239"/>
      <c r="E1289" s="240"/>
      <c r="F1289" s="240"/>
      <c r="G1289" s="240"/>
      <c r="H1289" s="241">
        <f t="shared" si="174"/>
        <v>0</v>
      </c>
      <c r="I1289" s="242"/>
      <c r="J1289" s="243"/>
      <c r="K1289" s="243"/>
      <c r="L1289" s="244">
        <v>0.1</v>
      </c>
      <c r="M1289" s="244">
        <f t="shared" si="175"/>
        <v>0</v>
      </c>
      <c r="N1289" s="244"/>
      <c r="O1289" s="244"/>
      <c r="P1289" s="244"/>
      <c r="Q1289" s="245">
        <f t="shared" si="176"/>
        <v>0</v>
      </c>
      <c r="R1289" s="245">
        <f t="shared" si="177"/>
        <v>0</v>
      </c>
      <c r="S1289" s="246">
        <v>0.5</v>
      </c>
      <c r="T1289" s="245">
        <f t="shared" si="178"/>
        <v>0</v>
      </c>
      <c r="U1289" s="245">
        <f t="shared" si="179"/>
        <v>0</v>
      </c>
      <c r="V1289" s="247"/>
    </row>
    <row r="1290" spans="1:22" ht="15.75" x14ac:dyDescent="0.25">
      <c r="A1290" s="236"/>
      <c r="B1290" s="237"/>
      <c r="C1290" s="238"/>
      <c r="D1290" s="239"/>
      <c r="E1290" s="240"/>
      <c r="F1290" s="240"/>
      <c r="G1290" s="240"/>
      <c r="H1290" s="241">
        <f t="shared" si="174"/>
        <v>0</v>
      </c>
      <c r="I1290" s="242"/>
      <c r="J1290" s="243"/>
      <c r="K1290" s="243"/>
      <c r="L1290" s="244">
        <v>0.1</v>
      </c>
      <c r="M1290" s="244">
        <f t="shared" si="175"/>
        <v>0</v>
      </c>
      <c r="N1290" s="244"/>
      <c r="O1290" s="244"/>
      <c r="P1290" s="244"/>
      <c r="Q1290" s="245">
        <f t="shared" si="176"/>
        <v>0</v>
      </c>
      <c r="R1290" s="245">
        <f t="shared" si="177"/>
        <v>0</v>
      </c>
      <c r="S1290" s="246">
        <v>0.5</v>
      </c>
      <c r="T1290" s="245">
        <f t="shared" si="178"/>
        <v>0</v>
      </c>
      <c r="U1290" s="245">
        <f t="shared" si="179"/>
        <v>0</v>
      </c>
      <c r="V1290" s="247"/>
    </row>
    <row r="1291" spans="1:22" ht="15.75" x14ac:dyDescent="0.25">
      <c r="A1291" s="236"/>
      <c r="B1291" s="237"/>
      <c r="C1291" s="238"/>
      <c r="D1291" s="239"/>
      <c r="E1291" s="240"/>
      <c r="F1291" s="240"/>
      <c r="G1291" s="240"/>
      <c r="H1291" s="241">
        <f t="shared" si="174"/>
        <v>0</v>
      </c>
      <c r="I1291" s="242"/>
      <c r="J1291" s="243"/>
      <c r="K1291" s="243"/>
      <c r="L1291" s="244">
        <v>0.1</v>
      </c>
      <c r="M1291" s="244">
        <f t="shared" si="175"/>
        <v>0</v>
      </c>
      <c r="N1291" s="244"/>
      <c r="O1291" s="244"/>
      <c r="P1291" s="244"/>
      <c r="Q1291" s="245">
        <f t="shared" si="176"/>
        <v>0</v>
      </c>
      <c r="R1291" s="245">
        <f t="shared" si="177"/>
        <v>0</v>
      </c>
      <c r="S1291" s="246">
        <v>0.5</v>
      </c>
      <c r="T1291" s="245">
        <f t="shared" si="178"/>
        <v>0</v>
      </c>
      <c r="U1291" s="245">
        <f t="shared" si="179"/>
        <v>0</v>
      </c>
      <c r="V1291" s="247"/>
    </row>
    <row r="1292" spans="1:22" ht="15.75" x14ac:dyDescent="0.25">
      <c r="A1292" s="236"/>
      <c r="B1292" s="237"/>
      <c r="C1292" s="238"/>
      <c r="D1292" s="239"/>
      <c r="E1292" s="240"/>
      <c r="F1292" s="240"/>
      <c r="G1292" s="240"/>
      <c r="H1292" s="241">
        <f t="shared" si="174"/>
        <v>0</v>
      </c>
      <c r="I1292" s="242"/>
      <c r="J1292" s="243"/>
      <c r="K1292" s="243"/>
      <c r="L1292" s="244">
        <v>0.1</v>
      </c>
      <c r="M1292" s="244">
        <f t="shared" si="175"/>
        <v>0</v>
      </c>
      <c r="N1292" s="244"/>
      <c r="O1292" s="244"/>
      <c r="P1292" s="244"/>
      <c r="Q1292" s="245">
        <f t="shared" si="176"/>
        <v>0</v>
      </c>
      <c r="R1292" s="245">
        <f t="shared" si="177"/>
        <v>0</v>
      </c>
      <c r="S1292" s="246">
        <v>0.5</v>
      </c>
      <c r="T1292" s="245">
        <f t="shared" si="178"/>
        <v>0</v>
      </c>
      <c r="U1292" s="245">
        <f t="shared" si="179"/>
        <v>0</v>
      </c>
      <c r="V1292" s="247"/>
    </row>
    <row r="1293" spans="1:22" ht="15.75" x14ac:dyDescent="0.25">
      <c r="A1293" s="236"/>
      <c r="B1293" s="237"/>
      <c r="C1293" s="238"/>
      <c r="D1293" s="239"/>
      <c r="E1293" s="240"/>
      <c r="F1293" s="240"/>
      <c r="G1293" s="240"/>
      <c r="H1293" s="241">
        <f t="shared" si="174"/>
        <v>0</v>
      </c>
      <c r="I1293" s="242"/>
      <c r="J1293" s="243"/>
      <c r="K1293" s="243"/>
      <c r="L1293" s="244">
        <v>0.1</v>
      </c>
      <c r="M1293" s="244">
        <f t="shared" si="175"/>
        <v>0</v>
      </c>
      <c r="N1293" s="244"/>
      <c r="O1293" s="244"/>
      <c r="P1293" s="244"/>
      <c r="Q1293" s="245">
        <f t="shared" si="176"/>
        <v>0</v>
      </c>
      <c r="R1293" s="245">
        <f t="shared" si="177"/>
        <v>0</v>
      </c>
      <c r="S1293" s="246">
        <v>0.5</v>
      </c>
      <c r="T1293" s="245">
        <f t="shared" si="178"/>
        <v>0</v>
      </c>
      <c r="U1293" s="245">
        <f t="shared" si="179"/>
        <v>0</v>
      </c>
      <c r="V1293" s="247"/>
    </row>
    <row r="1294" spans="1:22" ht="15.75" x14ac:dyDescent="0.25">
      <c r="A1294" s="236"/>
      <c r="B1294" s="237"/>
      <c r="C1294" s="238"/>
      <c r="D1294" s="239"/>
      <c r="E1294" s="240"/>
      <c r="F1294" s="240"/>
      <c r="G1294" s="240"/>
      <c r="H1294" s="241">
        <f t="shared" si="174"/>
        <v>0</v>
      </c>
      <c r="I1294" s="242"/>
      <c r="J1294" s="243"/>
      <c r="K1294" s="243"/>
      <c r="L1294" s="244">
        <v>0.1</v>
      </c>
      <c r="M1294" s="244">
        <f t="shared" si="175"/>
        <v>0</v>
      </c>
      <c r="N1294" s="244"/>
      <c r="O1294" s="244"/>
      <c r="P1294" s="244"/>
      <c r="Q1294" s="245">
        <f t="shared" si="176"/>
        <v>0</v>
      </c>
      <c r="R1294" s="245">
        <f t="shared" si="177"/>
        <v>0</v>
      </c>
      <c r="S1294" s="246">
        <v>0.5</v>
      </c>
      <c r="T1294" s="245">
        <f t="shared" si="178"/>
        <v>0</v>
      </c>
      <c r="U1294" s="245">
        <f t="shared" si="179"/>
        <v>0</v>
      </c>
      <c r="V1294" s="247"/>
    </row>
    <row r="1295" spans="1:22" ht="15.75" x14ac:dyDescent="0.25">
      <c r="A1295" s="236"/>
      <c r="B1295" s="237"/>
      <c r="C1295" s="238"/>
      <c r="D1295" s="239"/>
      <c r="E1295" s="240"/>
      <c r="F1295" s="240"/>
      <c r="G1295" s="240"/>
      <c r="H1295" s="241">
        <f t="shared" si="174"/>
        <v>0</v>
      </c>
      <c r="I1295" s="242"/>
      <c r="J1295" s="243"/>
      <c r="K1295" s="243"/>
      <c r="L1295" s="244">
        <v>0.1</v>
      </c>
      <c r="M1295" s="244">
        <f t="shared" si="175"/>
        <v>0</v>
      </c>
      <c r="N1295" s="244"/>
      <c r="O1295" s="244"/>
      <c r="P1295" s="244"/>
      <c r="Q1295" s="245">
        <f t="shared" si="176"/>
        <v>0</v>
      </c>
      <c r="R1295" s="245">
        <f t="shared" si="177"/>
        <v>0</v>
      </c>
      <c r="S1295" s="246">
        <v>0.5</v>
      </c>
      <c r="T1295" s="245">
        <f t="shared" si="178"/>
        <v>0</v>
      </c>
      <c r="U1295" s="245">
        <f t="shared" si="179"/>
        <v>0</v>
      </c>
      <c r="V1295" s="247"/>
    </row>
    <row r="1296" spans="1:22" ht="15.75" x14ac:dyDescent="0.25">
      <c r="A1296" s="236"/>
      <c r="B1296" s="237"/>
      <c r="C1296" s="238"/>
      <c r="D1296" s="239"/>
      <c r="E1296" s="240"/>
      <c r="F1296" s="240"/>
      <c r="G1296" s="240"/>
      <c r="H1296" s="241">
        <f t="shared" si="174"/>
        <v>0</v>
      </c>
      <c r="I1296" s="242"/>
      <c r="J1296" s="243"/>
      <c r="K1296" s="243"/>
      <c r="L1296" s="244">
        <v>0.1</v>
      </c>
      <c r="M1296" s="244">
        <f t="shared" si="175"/>
        <v>0</v>
      </c>
      <c r="N1296" s="244"/>
      <c r="O1296" s="244"/>
      <c r="P1296" s="244"/>
      <c r="Q1296" s="245">
        <f t="shared" si="176"/>
        <v>0</v>
      </c>
      <c r="R1296" s="245">
        <f t="shared" si="177"/>
        <v>0</v>
      </c>
      <c r="S1296" s="246">
        <v>0.5</v>
      </c>
      <c r="T1296" s="245">
        <f t="shared" si="178"/>
        <v>0</v>
      </c>
      <c r="U1296" s="245">
        <f t="shared" si="179"/>
        <v>0</v>
      </c>
      <c r="V1296" s="247"/>
    </row>
    <row r="1297" spans="1:22" ht="15.75" x14ac:dyDescent="0.25">
      <c r="A1297" s="236"/>
      <c r="B1297" s="237"/>
      <c r="C1297" s="238"/>
      <c r="D1297" s="239"/>
      <c r="E1297" s="240"/>
      <c r="F1297" s="240"/>
      <c r="G1297" s="240"/>
      <c r="H1297" s="241">
        <f t="shared" si="174"/>
        <v>0</v>
      </c>
      <c r="I1297" s="242"/>
      <c r="J1297" s="243"/>
      <c r="K1297" s="243"/>
      <c r="L1297" s="244">
        <v>0.1</v>
      </c>
      <c r="M1297" s="244">
        <f t="shared" si="175"/>
        <v>0</v>
      </c>
      <c r="N1297" s="244"/>
      <c r="O1297" s="244"/>
      <c r="P1297" s="244"/>
      <c r="Q1297" s="245">
        <f t="shared" si="176"/>
        <v>0</v>
      </c>
      <c r="R1297" s="245">
        <f t="shared" si="177"/>
        <v>0</v>
      </c>
      <c r="S1297" s="246">
        <v>0.5</v>
      </c>
      <c r="T1297" s="245">
        <f t="shared" si="178"/>
        <v>0</v>
      </c>
      <c r="U1297" s="245">
        <f t="shared" si="179"/>
        <v>0</v>
      </c>
      <c r="V1297" s="247"/>
    </row>
    <row r="1298" spans="1:22" ht="15.75" x14ac:dyDescent="0.25">
      <c r="A1298" s="236"/>
      <c r="B1298" s="237"/>
      <c r="C1298" s="238"/>
      <c r="D1298" s="239"/>
      <c r="E1298" s="240"/>
      <c r="F1298" s="240"/>
      <c r="G1298" s="240"/>
      <c r="H1298" s="241">
        <f t="shared" si="174"/>
        <v>0</v>
      </c>
      <c r="I1298" s="242"/>
      <c r="J1298" s="243"/>
      <c r="K1298" s="243"/>
      <c r="L1298" s="244">
        <v>0.1</v>
      </c>
      <c r="M1298" s="244">
        <f t="shared" si="175"/>
        <v>0</v>
      </c>
      <c r="N1298" s="244"/>
      <c r="O1298" s="244"/>
      <c r="P1298" s="244"/>
      <c r="Q1298" s="245">
        <f t="shared" si="176"/>
        <v>0</v>
      </c>
      <c r="R1298" s="245">
        <f t="shared" si="177"/>
        <v>0</v>
      </c>
      <c r="S1298" s="246">
        <v>0.5</v>
      </c>
      <c r="T1298" s="245">
        <f t="shared" si="178"/>
        <v>0</v>
      </c>
      <c r="U1298" s="245">
        <f t="shared" si="179"/>
        <v>0</v>
      </c>
      <c r="V1298" s="247"/>
    </row>
    <row r="1299" spans="1:22" ht="15.75" x14ac:dyDescent="0.25">
      <c r="A1299" s="236"/>
      <c r="B1299" s="237"/>
      <c r="C1299" s="238"/>
      <c r="D1299" s="239"/>
      <c r="E1299" s="240"/>
      <c r="F1299" s="240"/>
      <c r="G1299" s="240"/>
      <c r="H1299" s="241">
        <f t="shared" si="174"/>
        <v>0</v>
      </c>
      <c r="I1299" s="242"/>
      <c r="J1299" s="243"/>
      <c r="K1299" s="243"/>
      <c r="L1299" s="244">
        <v>0.1</v>
      </c>
      <c r="M1299" s="244">
        <f t="shared" si="175"/>
        <v>0</v>
      </c>
      <c r="N1299" s="244"/>
      <c r="O1299" s="244"/>
      <c r="P1299" s="244"/>
      <c r="Q1299" s="245">
        <f t="shared" si="176"/>
        <v>0</v>
      </c>
      <c r="R1299" s="245">
        <f t="shared" si="177"/>
        <v>0</v>
      </c>
      <c r="S1299" s="246">
        <v>0.5</v>
      </c>
      <c r="T1299" s="245">
        <f t="shared" si="178"/>
        <v>0</v>
      </c>
      <c r="U1299" s="245">
        <f t="shared" si="179"/>
        <v>0</v>
      </c>
      <c r="V1299" s="247"/>
    </row>
    <row r="1300" spans="1:22" ht="15.75" x14ac:dyDescent="0.25">
      <c r="A1300" s="236"/>
      <c r="B1300" s="237"/>
      <c r="C1300" s="238"/>
      <c r="D1300" s="239"/>
      <c r="E1300" s="240"/>
      <c r="F1300" s="240"/>
      <c r="G1300" s="240"/>
      <c r="H1300" s="241">
        <f t="shared" si="174"/>
        <v>0</v>
      </c>
      <c r="I1300" s="242"/>
      <c r="J1300" s="243"/>
      <c r="K1300" s="243"/>
      <c r="L1300" s="244">
        <v>0.1</v>
      </c>
      <c r="M1300" s="244">
        <f t="shared" si="175"/>
        <v>0</v>
      </c>
      <c r="N1300" s="244"/>
      <c r="O1300" s="244"/>
      <c r="P1300" s="244"/>
      <c r="Q1300" s="245">
        <f t="shared" si="176"/>
        <v>0</v>
      </c>
      <c r="R1300" s="245">
        <f t="shared" si="177"/>
        <v>0</v>
      </c>
      <c r="S1300" s="246">
        <v>0.5</v>
      </c>
      <c r="T1300" s="245">
        <f t="shared" si="178"/>
        <v>0</v>
      </c>
      <c r="U1300" s="245">
        <f t="shared" si="179"/>
        <v>0</v>
      </c>
      <c r="V1300" s="247"/>
    </row>
    <row r="1301" spans="1:22" ht="15.75" x14ac:dyDescent="0.25">
      <c r="A1301" s="236"/>
      <c r="B1301" s="237"/>
      <c r="C1301" s="238"/>
      <c r="D1301" s="239"/>
      <c r="E1301" s="240"/>
      <c r="F1301" s="240"/>
      <c r="G1301" s="240"/>
      <c r="H1301" s="241">
        <f t="shared" si="174"/>
        <v>0</v>
      </c>
      <c r="I1301" s="242"/>
      <c r="J1301" s="243"/>
      <c r="K1301" s="243"/>
      <c r="L1301" s="244">
        <v>0.1</v>
      </c>
      <c r="M1301" s="244">
        <f t="shared" si="175"/>
        <v>0</v>
      </c>
      <c r="N1301" s="244"/>
      <c r="O1301" s="244"/>
      <c r="P1301" s="244"/>
      <c r="Q1301" s="245">
        <f t="shared" si="176"/>
        <v>0</v>
      </c>
      <c r="R1301" s="245">
        <f t="shared" si="177"/>
        <v>0</v>
      </c>
      <c r="S1301" s="246">
        <v>0.5</v>
      </c>
      <c r="T1301" s="245">
        <f t="shared" si="178"/>
        <v>0</v>
      </c>
      <c r="U1301" s="245">
        <f t="shared" si="179"/>
        <v>0</v>
      </c>
      <c r="V1301" s="247"/>
    </row>
    <row r="1302" spans="1:22" ht="15.75" x14ac:dyDescent="0.25">
      <c r="A1302" s="236"/>
      <c r="B1302" s="237"/>
      <c r="C1302" s="238"/>
      <c r="D1302" s="239"/>
      <c r="E1302" s="240"/>
      <c r="F1302" s="240"/>
      <c r="G1302" s="240"/>
      <c r="H1302" s="241">
        <f t="shared" si="174"/>
        <v>0</v>
      </c>
      <c r="I1302" s="242"/>
      <c r="J1302" s="243"/>
      <c r="K1302" s="243"/>
      <c r="L1302" s="244">
        <v>0.1</v>
      </c>
      <c r="M1302" s="244">
        <f t="shared" si="175"/>
        <v>0</v>
      </c>
      <c r="N1302" s="244"/>
      <c r="O1302" s="244"/>
      <c r="P1302" s="244"/>
      <c r="Q1302" s="245">
        <f t="shared" si="176"/>
        <v>0</v>
      </c>
      <c r="R1302" s="245">
        <f t="shared" si="177"/>
        <v>0</v>
      </c>
      <c r="S1302" s="246">
        <v>0.5</v>
      </c>
      <c r="T1302" s="245">
        <f t="shared" si="178"/>
        <v>0</v>
      </c>
      <c r="U1302" s="245">
        <f t="shared" si="179"/>
        <v>0</v>
      </c>
      <c r="V1302" s="247"/>
    </row>
    <row r="1303" spans="1:22" ht="15.75" x14ac:dyDescent="0.25">
      <c r="A1303" s="236"/>
      <c r="B1303" s="237"/>
      <c r="C1303" s="238"/>
      <c r="D1303" s="239"/>
      <c r="E1303" s="240"/>
      <c r="F1303" s="240"/>
      <c r="G1303" s="240"/>
      <c r="H1303" s="241">
        <f t="shared" si="174"/>
        <v>0</v>
      </c>
      <c r="I1303" s="242"/>
      <c r="J1303" s="243"/>
      <c r="K1303" s="243"/>
      <c r="L1303" s="244">
        <v>0.1</v>
      </c>
      <c r="M1303" s="244">
        <f t="shared" si="175"/>
        <v>0</v>
      </c>
      <c r="N1303" s="244"/>
      <c r="O1303" s="244"/>
      <c r="P1303" s="244"/>
      <c r="Q1303" s="245">
        <f t="shared" si="176"/>
        <v>0</v>
      </c>
      <c r="R1303" s="245">
        <f t="shared" si="177"/>
        <v>0</v>
      </c>
      <c r="S1303" s="246">
        <v>0.5</v>
      </c>
      <c r="T1303" s="245">
        <f t="shared" si="178"/>
        <v>0</v>
      </c>
      <c r="U1303" s="245">
        <f t="shared" si="179"/>
        <v>0</v>
      </c>
      <c r="V1303" s="247"/>
    </row>
    <row r="1304" spans="1:22" ht="15.75" x14ac:dyDescent="0.25">
      <c r="A1304" s="236"/>
      <c r="B1304" s="237"/>
      <c r="C1304" s="238"/>
      <c r="D1304" s="239"/>
      <c r="E1304" s="240"/>
      <c r="F1304" s="240"/>
      <c r="G1304" s="240"/>
      <c r="H1304" s="241">
        <f t="shared" si="174"/>
        <v>0</v>
      </c>
      <c r="I1304" s="242"/>
      <c r="J1304" s="243"/>
      <c r="K1304" s="243"/>
      <c r="L1304" s="244">
        <v>0.1</v>
      </c>
      <c r="M1304" s="244">
        <f t="shared" si="175"/>
        <v>0</v>
      </c>
      <c r="N1304" s="244"/>
      <c r="O1304" s="244"/>
      <c r="P1304" s="244"/>
      <c r="Q1304" s="245">
        <f t="shared" si="176"/>
        <v>0</v>
      </c>
      <c r="R1304" s="245">
        <f t="shared" si="177"/>
        <v>0</v>
      </c>
      <c r="S1304" s="246">
        <v>0.5</v>
      </c>
      <c r="T1304" s="245">
        <f t="shared" si="178"/>
        <v>0</v>
      </c>
      <c r="U1304" s="245">
        <f t="shared" si="179"/>
        <v>0</v>
      </c>
      <c r="V1304" s="247"/>
    </row>
    <row r="1305" spans="1:22" ht="15.75" x14ac:dyDescent="0.25">
      <c r="A1305" s="236"/>
      <c r="B1305" s="237"/>
      <c r="C1305" s="238"/>
      <c r="D1305" s="239"/>
      <c r="E1305" s="240"/>
      <c r="F1305" s="240"/>
      <c r="G1305" s="240"/>
      <c r="H1305" s="241">
        <f t="shared" si="174"/>
        <v>0</v>
      </c>
      <c r="I1305" s="242"/>
      <c r="J1305" s="243"/>
      <c r="K1305" s="243"/>
      <c r="L1305" s="244">
        <v>0.1</v>
      </c>
      <c r="M1305" s="244">
        <f t="shared" si="175"/>
        <v>0</v>
      </c>
      <c r="N1305" s="244"/>
      <c r="O1305" s="244"/>
      <c r="P1305" s="244"/>
      <c r="Q1305" s="245">
        <f t="shared" si="176"/>
        <v>0</v>
      </c>
      <c r="R1305" s="245">
        <f t="shared" si="177"/>
        <v>0</v>
      </c>
      <c r="S1305" s="246">
        <v>0.5</v>
      </c>
      <c r="T1305" s="245">
        <f t="shared" si="178"/>
        <v>0</v>
      </c>
      <c r="U1305" s="245">
        <f t="shared" si="179"/>
        <v>0</v>
      </c>
      <c r="V1305" s="247"/>
    </row>
    <row r="1306" spans="1:22" ht="15.75" x14ac:dyDescent="0.25">
      <c r="A1306" s="236"/>
      <c r="B1306" s="237"/>
      <c r="C1306" s="238"/>
      <c r="D1306" s="239"/>
      <c r="E1306" s="240"/>
      <c r="F1306" s="240"/>
      <c r="G1306" s="240"/>
      <c r="H1306" s="241">
        <f t="shared" si="174"/>
        <v>0</v>
      </c>
      <c r="I1306" s="242"/>
      <c r="J1306" s="243"/>
      <c r="K1306" s="243"/>
      <c r="L1306" s="244">
        <v>0.1</v>
      </c>
      <c r="M1306" s="244">
        <f t="shared" si="175"/>
        <v>0</v>
      </c>
      <c r="N1306" s="244"/>
      <c r="O1306" s="244"/>
      <c r="P1306" s="244"/>
      <c r="Q1306" s="245">
        <f t="shared" si="176"/>
        <v>0</v>
      </c>
      <c r="R1306" s="245">
        <f t="shared" si="177"/>
        <v>0</v>
      </c>
      <c r="S1306" s="246">
        <v>0.5</v>
      </c>
      <c r="T1306" s="245">
        <f t="shared" si="178"/>
        <v>0</v>
      </c>
      <c r="U1306" s="245">
        <f t="shared" si="179"/>
        <v>0</v>
      </c>
      <c r="V1306" s="247"/>
    </row>
    <row r="1307" spans="1:22" ht="15.75" x14ac:dyDescent="0.25">
      <c r="A1307" s="236"/>
      <c r="B1307" s="237"/>
      <c r="C1307" s="238"/>
      <c r="D1307" s="239"/>
      <c r="E1307" s="240"/>
      <c r="F1307" s="240"/>
      <c r="G1307" s="240"/>
      <c r="H1307" s="241">
        <f t="shared" si="174"/>
        <v>0</v>
      </c>
      <c r="I1307" s="242"/>
      <c r="J1307" s="243"/>
      <c r="K1307" s="243"/>
      <c r="L1307" s="244">
        <v>0.1</v>
      </c>
      <c r="M1307" s="244">
        <f t="shared" si="175"/>
        <v>0</v>
      </c>
      <c r="N1307" s="244"/>
      <c r="O1307" s="244"/>
      <c r="P1307" s="244"/>
      <c r="Q1307" s="245">
        <f t="shared" si="176"/>
        <v>0</v>
      </c>
      <c r="R1307" s="245">
        <f t="shared" si="177"/>
        <v>0</v>
      </c>
      <c r="S1307" s="246">
        <v>0.5</v>
      </c>
      <c r="T1307" s="245">
        <f t="shared" si="178"/>
        <v>0</v>
      </c>
      <c r="U1307" s="245">
        <f t="shared" si="179"/>
        <v>0</v>
      </c>
      <c r="V1307" s="247"/>
    </row>
    <row r="1308" spans="1:22" ht="15.75" x14ac:dyDescent="0.25">
      <c r="A1308" s="236"/>
      <c r="B1308" s="237"/>
      <c r="C1308" s="238"/>
      <c r="D1308" s="239"/>
      <c r="E1308" s="240"/>
      <c r="F1308" s="240"/>
      <c r="G1308" s="240"/>
      <c r="H1308" s="241">
        <f t="shared" si="174"/>
        <v>0</v>
      </c>
      <c r="I1308" s="242"/>
      <c r="J1308" s="243"/>
      <c r="K1308" s="243"/>
      <c r="L1308" s="244">
        <v>0.1</v>
      </c>
      <c r="M1308" s="244">
        <f t="shared" si="175"/>
        <v>0</v>
      </c>
      <c r="N1308" s="244"/>
      <c r="O1308" s="244"/>
      <c r="P1308" s="244"/>
      <c r="Q1308" s="245">
        <f t="shared" si="176"/>
        <v>0</v>
      </c>
      <c r="R1308" s="245">
        <f t="shared" si="177"/>
        <v>0</v>
      </c>
      <c r="S1308" s="246">
        <v>0.5</v>
      </c>
      <c r="T1308" s="245">
        <f t="shared" si="178"/>
        <v>0</v>
      </c>
      <c r="U1308" s="245">
        <f t="shared" si="179"/>
        <v>0</v>
      </c>
      <c r="V1308" s="247"/>
    </row>
    <row r="1309" spans="1:22" ht="15.75" x14ac:dyDescent="0.25">
      <c r="A1309" s="236"/>
      <c r="B1309" s="237"/>
      <c r="C1309" s="238"/>
      <c r="D1309" s="239"/>
      <c r="E1309" s="240"/>
      <c r="F1309" s="240"/>
      <c r="G1309" s="240"/>
      <c r="H1309" s="241">
        <f t="shared" si="174"/>
        <v>0</v>
      </c>
      <c r="I1309" s="242"/>
      <c r="J1309" s="243"/>
      <c r="K1309" s="243"/>
      <c r="L1309" s="244">
        <v>0.1</v>
      </c>
      <c r="M1309" s="244">
        <f t="shared" si="175"/>
        <v>0</v>
      </c>
      <c r="N1309" s="244"/>
      <c r="O1309" s="244"/>
      <c r="P1309" s="244"/>
      <c r="Q1309" s="245">
        <f t="shared" si="176"/>
        <v>0</v>
      </c>
      <c r="R1309" s="245">
        <f t="shared" si="177"/>
        <v>0</v>
      </c>
      <c r="S1309" s="246">
        <v>0.5</v>
      </c>
      <c r="T1309" s="245">
        <f t="shared" si="178"/>
        <v>0</v>
      </c>
      <c r="U1309" s="245">
        <f t="shared" si="179"/>
        <v>0</v>
      </c>
      <c r="V1309" s="247"/>
    </row>
    <row r="1310" spans="1:22" ht="15.75" x14ac:dyDescent="0.25">
      <c r="A1310" s="236"/>
      <c r="B1310" s="237"/>
      <c r="C1310" s="238"/>
      <c r="D1310" s="239"/>
      <c r="E1310" s="240"/>
      <c r="F1310" s="240"/>
      <c r="G1310" s="240"/>
      <c r="H1310" s="241">
        <f t="shared" si="174"/>
        <v>0</v>
      </c>
      <c r="I1310" s="242"/>
      <c r="J1310" s="243"/>
      <c r="K1310" s="243"/>
      <c r="L1310" s="244">
        <v>0.1</v>
      </c>
      <c r="M1310" s="244">
        <f t="shared" si="175"/>
        <v>0</v>
      </c>
      <c r="N1310" s="244"/>
      <c r="O1310" s="244"/>
      <c r="P1310" s="244"/>
      <c r="Q1310" s="245">
        <f t="shared" si="176"/>
        <v>0</v>
      </c>
      <c r="R1310" s="245">
        <f t="shared" si="177"/>
        <v>0</v>
      </c>
      <c r="S1310" s="246">
        <v>0.5</v>
      </c>
      <c r="T1310" s="245">
        <f t="shared" si="178"/>
        <v>0</v>
      </c>
      <c r="U1310" s="245">
        <f t="shared" si="179"/>
        <v>0</v>
      </c>
      <c r="V1310" s="247"/>
    </row>
    <row r="1311" spans="1:22" ht="15.75" x14ac:dyDescent="0.25">
      <c r="A1311" s="236"/>
      <c r="B1311" s="237"/>
      <c r="C1311" s="238"/>
      <c r="D1311" s="239"/>
      <c r="E1311" s="240"/>
      <c r="F1311" s="240"/>
      <c r="G1311" s="240"/>
      <c r="H1311" s="241">
        <f t="shared" si="174"/>
        <v>0</v>
      </c>
      <c r="I1311" s="242"/>
      <c r="J1311" s="243"/>
      <c r="K1311" s="243"/>
      <c r="L1311" s="244">
        <v>0.1</v>
      </c>
      <c r="M1311" s="244">
        <f t="shared" si="175"/>
        <v>0</v>
      </c>
      <c r="N1311" s="244"/>
      <c r="O1311" s="244"/>
      <c r="P1311" s="244"/>
      <c r="Q1311" s="245">
        <f t="shared" si="176"/>
        <v>0</v>
      </c>
      <c r="R1311" s="245">
        <f t="shared" si="177"/>
        <v>0</v>
      </c>
      <c r="S1311" s="246">
        <v>0.5</v>
      </c>
      <c r="T1311" s="245">
        <f t="shared" si="178"/>
        <v>0</v>
      </c>
      <c r="U1311" s="245">
        <f t="shared" si="179"/>
        <v>0</v>
      </c>
      <c r="V1311" s="247"/>
    </row>
    <row r="1312" spans="1:22" ht="15.75" x14ac:dyDescent="0.25">
      <c r="A1312" s="236"/>
      <c r="B1312" s="237"/>
      <c r="C1312" s="238"/>
      <c r="D1312" s="239"/>
      <c r="E1312" s="240"/>
      <c r="F1312" s="240"/>
      <c r="G1312" s="240"/>
      <c r="H1312" s="241">
        <f t="shared" si="174"/>
        <v>0</v>
      </c>
      <c r="I1312" s="242"/>
      <c r="J1312" s="243"/>
      <c r="K1312" s="243"/>
      <c r="L1312" s="244">
        <v>0.1</v>
      </c>
      <c r="M1312" s="244">
        <f t="shared" si="175"/>
        <v>0</v>
      </c>
      <c r="N1312" s="244"/>
      <c r="O1312" s="244"/>
      <c r="P1312" s="244"/>
      <c r="Q1312" s="245">
        <f t="shared" si="176"/>
        <v>0</v>
      </c>
      <c r="R1312" s="245">
        <f t="shared" si="177"/>
        <v>0</v>
      </c>
      <c r="S1312" s="246">
        <v>0.5</v>
      </c>
      <c r="T1312" s="245">
        <f t="shared" si="178"/>
        <v>0</v>
      </c>
      <c r="U1312" s="245">
        <f t="shared" si="179"/>
        <v>0</v>
      </c>
      <c r="V1312" s="247"/>
    </row>
    <row r="1313" spans="1:22" ht="15.75" x14ac:dyDescent="0.25">
      <c r="A1313" s="236"/>
      <c r="B1313" s="237"/>
      <c r="C1313" s="238"/>
      <c r="D1313" s="239"/>
      <c r="E1313" s="240"/>
      <c r="F1313" s="240"/>
      <c r="G1313" s="240"/>
      <c r="H1313" s="241">
        <f t="shared" si="174"/>
        <v>0</v>
      </c>
      <c r="I1313" s="242"/>
      <c r="J1313" s="243"/>
      <c r="K1313" s="243"/>
      <c r="L1313" s="244">
        <v>0.1</v>
      </c>
      <c r="M1313" s="244">
        <f t="shared" si="175"/>
        <v>0</v>
      </c>
      <c r="N1313" s="244"/>
      <c r="O1313" s="244"/>
      <c r="P1313" s="244"/>
      <c r="Q1313" s="245">
        <f t="shared" si="176"/>
        <v>0</v>
      </c>
      <c r="R1313" s="245">
        <f t="shared" si="177"/>
        <v>0</v>
      </c>
      <c r="S1313" s="246">
        <v>0.5</v>
      </c>
      <c r="T1313" s="245">
        <f t="shared" si="178"/>
        <v>0</v>
      </c>
      <c r="U1313" s="245">
        <f t="shared" si="179"/>
        <v>0</v>
      </c>
      <c r="V1313" s="247"/>
    </row>
    <row r="1314" spans="1:22" ht="15.75" x14ac:dyDescent="0.25">
      <c r="A1314" s="236"/>
      <c r="B1314" s="237"/>
      <c r="C1314" s="238"/>
      <c r="D1314" s="239"/>
      <c r="E1314" s="240"/>
      <c r="F1314" s="240"/>
      <c r="G1314" s="240"/>
      <c r="H1314" s="241">
        <f t="shared" ref="H1314:H1377" si="180">+E1314+F1314+G1314</f>
        <v>0</v>
      </c>
      <c r="I1314" s="242"/>
      <c r="J1314" s="243"/>
      <c r="K1314" s="243"/>
      <c r="L1314" s="244">
        <v>0.1</v>
      </c>
      <c r="M1314" s="244">
        <f t="shared" ref="M1314:M1377" si="181">+L1314*C1314</f>
        <v>0</v>
      </c>
      <c r="N1314" s="244"/>
      <c r="O1314" s="244"/>
      <c r="P1314" s="244"/>
      <c r="Q1314" s="245">
        <f t="shared" ref="Q1314:Q1377" si="182">+N1314+O1314+P1314</f>
        <v>0</v>
      </c>
      <c r="R1314" s="245">
        <f t="shared" ref="R1314:R1377" si="183">IF(+Q1314-H1314&lt;=0,0,Q1314-H1314)</f>
        <v>0</v>
      </c>
      <c r="S1314" s="246">
        <v>0.5</v>
      </c>
      <c r="T1314" s="245">
        <f t="shared" ref="T1314:T1377" si="184">+(R1314*C1314)*S1314</f>
        <v>0</v>
      </c>
      <c r="U1314" s="245">
        <f t="shared" ref="U1314:U1377" si="185">+J1314+M1314+T1314</f>
        <v>0</v>
      </c>
      <c r="V1314" s="247"/>
    </row>
    <row r="1315" spans="1:22" ht="15.75" x14ac:dyDescent="0.25">
      <c r="A1315" s="236"/>
      <c r="B1315" s="237"/>
      <c r="C1315" s="238"/>
      <c r="D1315" s="239"/>
      <c r="E1315" s="240"/>
      <c r="F1315" s="240"/>
      <c r="G1315" s="240"/>
      <c r="H1315" s="241">
        <f t="shared" si="180"/>
        <v>0</v>
      </c>
      <c r="I1315" s="242"/>
      <c r="J1315" s="243"/>
      <c r="K1315" s="243"/>
      <c r="L1315" s="244">
        <v>0.1</v>
      </c>
      <c r="M1315" s="244">
        <f t="shared" si="181"/>
        <v>0</v>
      </c>
      <c r="N1315" s="244"/>
      <c r="O1315" s="244"/>
      <c r="P1315" s="244"/>
      <c r="Q1315" s="245">
        <f t="shared" si="182"/>
        <v>0</v>
      </c>
      <c r="R1315" s="245">
        <f t="shared" si="183"/>
        <v>0</v>
      </c>
      <c r="S1315" s="246">
        <v>0.5</v>
      </c>
      <c r="T1315" s="245">
        <f t="shared" si="184"/>
        <v>0</v>
      </c>
      <c r="U1315" s="245">
        <f t="shared" si="185"/>
        <v>0</v>
      </c>
      <c r="V1315" s="247"/>
    </row>
    <row r="1316" spans="1:22" ht="15.75" x14ac:dyDescent="0.25">
      <c r="A1316" s="236"/>
      <c r="B1316" s="237"/>
      <c r="C1316" s="238"/>
      <c r="D1316" s="239"/>
      <c r="E1316" s="240"/>
      <c r="F1316" s="240"/>
      <c r="G1316" s="240"/>
      <c r="H1316" s="241">
        <f t="shared" si="180"/>
        <v>0</v>
      </c>
      <c r="I1316" s="242"/>
      <c r="J1316" s="243"/>
      <c r="K1316" s="243"/>
      <c r="L1316" s="244">
        <v>0.1</v>
      </c>
      <c r="M1316" s="244">
        <f t="shared" si="181"/>
        <v>0</v>
      </c>
      <c r="N1316" s="244"/>
      <c r="O1316" s="244"/>
      <c r="P1316" s="244"/>
      <c r="Q1316" s="245">
        <f t="shared" si="182"/>
        <v>0</v>
      </c>
      <c r="R1316" s="245">
        <f t="shared" si="183"/>
        <v>0</v>
      </c>
      <c r="S1316" s="246">
        <v>0.5</v>
      </c>
      <c r="T1316" s="245">
        <f t="shared" si="184"/>
        <v>0</v>
      </c>
      <c r="U1316" s="245">
        <f t="shared" si="185"/>
        <v>0</v>
      </c>
      <c r="V1316" s="247"/>
    </row>
    <row r="1317" spans="1:22" ht="15.75" x14ac:dyDescent="0.25">
      <c r="A1317" s="236"/>
      <c r="B1317" s="237"/>
      <c r="C1317" s="238"/>
      <c r="D1317" s="239"/>
      <c r="E1317" s="240"/>
      <c r="F1317" s="240"/>
      <c r="G1317" s="240"/>
      <c r="H1317" s="241">
        <f t="shared" si="180"/>
        <v>0</v>
      </c>
      <c r="I1317" s="242"/>
      <c r="J1317" s="243"/>
      <c r="K1317" s="243"/>
      <c r="L1317" s="244">
        <v>0.1</v>
      </c>
      <c r="M1317" s="244">
        <f t="shared" si="181"/>
        <v>0</v>
      </c>
      <c r="N1317" s="244"/>
      <c r="O1317" s="244"/>
      <c r="P1317" s="244"/>
      <c r="Q1317" s="245">
        <f t="shared" si="182"/>
        <v>0</v>
      </c>
      <c r="R1317" s="245">
        <f t="shared" si="183"/>
        <v>0</v>
      </c>
      <c r="S1317" s="246">
        <v>0.5</v>
      </c>
      <c r="T1317" s="245">
        <f t="shared" si="184"/>
        <v>0</v>
      </c>
      <c r="U1317" s="245">
        <f t="shared" si="185"/>
        <v>0</v>
      </c>
      <c r="V1317" s="247"/>
    </row>
    <row r="1318" spans="1:22" ht="15.75" x14ac:dyDescent="0.25">
      <c r="A1318" s="236"/>
      <c r="B1318" s="237"/>
      <c r="C1318" s="238"/>
      <c r="D1318" s="239"/>
      <c r="E1318" s="240"/>
      <c r="F1318" s="240"/>
      <c r="G1318" s="240"/>
      <c r="H1318" s="241">
        <f t="shared" si="180"/>
        <v>0</v>
      </c>
      <c r="I1318" s="242"/>
      <c r="J1318" s="243"/>
      <c r="K1318" s="243"/>
      <c r="L1318" s="244">
        <v>0.1</v>
      </c>
      <c r="M1318" s="244">
        <f t="shared" si="181"/>
        <v>0</v>
      </c>
      <c r="N1318" s="244"/>
      <c r="O1318" s="244"/>
      <c r="P1318" s="244"/>
      <c r="Q1318" s="245">
        <f t="shared" si="182"/>
        <v>0</v>
      </c>
      <c r="R1318" s="245">
        <f t="shared" si="183"/>
        <v>0</v>
      </c>
      <c r="S1318" s="246">
        <v>0.5</v>
      </c>
      <c r="T1318" s="245">
        <f t="shared" si="184"/>
        <v>0</v>
      </c>
      <c r="U1318" s="245">
        <f t="shared" si="185"/>
        <v>0</v>
      </c>
      <c r="V1318" s="247"/>
    </row>
    <row r="1319" spans="1:22" ht="15.75" x14ac:dyDescent="0.25">
      <c r="A1319" s="236"/>
      <c r="B1319" s="237"/>
      <c r="C1319" s="238"/>
      <c r="D1319" s="239"/>
      <c r="E1319" s="240"/>
      <c r="F1319" s="240"/>
      <c r="G1319" s="240"/>
      <c r="H1319" s="241">
        <f t="shared" si="180"/>
        <v>0</v>
      </c>
      <c r="I1319" s="242"/>
      <c r="J1319" s="243"/>
      <c r="K1319" s="243"/>
      <c r="L1319" s="244">
        <v>0.1</v>
      </c>
      <c r="M1319" s="244">
        <f t="shared" si="181"/>
        <v>0</v>
      </c>
      <c r="N1319" s="244"/>
      <c r="O1319" s="244"/>
      <c r="P1319" s="244"/>
      <c r="Q1319" s="245">
        <f t="shared" si="182"/>
        <v>0</v>
      </c>
      <c r="R1319" s="245">
        <f t="shared" si="183"/>
        <v>0</v>
      </c>
      <c r="S1319" s="246">
        <v>0.5</v>
      </c>
      <c r="T1319" s="245">
        <f t="shared" si="184"/>
        <v>0</v>
      </c>
      <c r="U1319" s="245">
        <f t="shared" si="185"/>
        <v>0</v>
      </c>
      <c r="V1319" s="247"/>
    </row>
    <row r="1320" spans="1:22" ht="15.75" x14ac:dyDescent="0.25">
      <c r="A1320" s="236"/>
      <c r="B1320" s="237"/>
      <c r="C1320" s="238"/>
      <c r="D1320" s="239"/>
      <c r="E1320" s="240"/>
      <c r="F1320" s="240"/>
      <c r="G1320" s="240"/>
      <c r="H1320" s="241">
        <f t="shared" si="180"/>
        <v>0</v>
      </c>
      <c r="I1320" s="242"/>
      <c r="J1320" s="243"/>
      <c r="K1320" s="243"/>
      <c r="L1320" s="244">
        <v>0.1</v>
      </c>
      <c r="M1320" s="244">
        <f t="shared" si="181"/>
        <v>0</v>
      </c>
      <c r="N1320" s="244"/>
      <c r="O1320" s="244"/>
      <c r="P1320" s="244"/>
      <c r="Q1320" s="245">
        <f t="shared" si="182"/>
        <v>0</v>
      </c>
      <c r="R1320" s="245">
        <f t="shared" si="183"/>
        <v>0</v>
      </c>
      <c r="S1320" s="246">
        <v>0.5</v>
      </c>
      <c r="T1320" s="245">
        <f t="shared" si="184"/>
        <v>0</v>
      </c>
      <c r="U1320" s="245">
        <f t="shared" si="185"/>
        <v>0</v>
      </c>
      <c r="V1320" s="247"/>
    </row>
    <row r="1321" spans="1:22" ht="15.75" x14ac:dyDescent="0.25">
      <c r="A1321" s="236"/>
      <c r="B1321" s="237"/>
      <c r="C1321" s="238"/>
      <c r="D1321" s="239"/>
      <c r="E1321" s="240"/>
      <c r="F1321" s="240"/>
      <c r="G1321" s="240"/>
      <c r="H1321" s="241">
        <f t="shared" si="180"/>
        <v>0</v>
      </c>
      <c r="I1321" s="242"/>
      <c r="J1321" s="243"/>
      <c r="K1321" s="243"/>
      <c r="L1321" s="244">
        <v>0.1</v>
      </c>
      <c r="M1321" s="244">
        <f t="shared" si="181"/>
        <v>0</v>
      </c>
      <c r="N1321" s="244"/>
      <c r="O1321" s="244"/>
      <c r="P1321" s="244"/>
      <c r="Q1321" s="245">
        <f t="shared" si="182"/>
        <v>0</v>
      </c>
      <c r="R1321" s="245">
        <f t="shared" si="183"/>
        <v>0</v>
      </c>
      <c r="S1321" s="246">
        <v>0.5</v>
      </c>
      <c r="T1321" s="245">
        <f t="shared" si="184"/>
        <v>0</v>
      </c>
      <c r="U1321" s="245">
        <f t="shared" si="185"/>
        <v>0</v>
      </c>
      <c r="V1321" s="247"/>
    </row>
    <row r="1322" spans="1:22" ht="15.75" x14ac:dyDescent="0.25">
      <c r="A1322" s="236"/>
      <c r="B1322" s="237"/>
      <c r="C1322" s="238"/>
      <c r="D1322" s="239"/>
      <c r="E1322" s="240"/>
      <c r="F1322" s="240"/>
      <c r="G1322" s="240"/>
      <c r="H1322" s="241">
        <f t="shared" si="180"/>
        <v>0</v>
      </c>
      <c r="I1322" s="242"/>
      <c r="J1322" s="243"/>
      <c r="K1322" s="243"/>
      <c r="L1322" s="244">
        <v>0.1</v>
      </c>
      <c r="M1322" s="244">
        <f t="shared" si="181"/>
        <v>0</v>
      </c>
      <c r="N1322" s="244"/>
      <c r="O1322" s="244"/>
      <c r="P1322" s="244"/>
      <c r="Q1322" s="245">
        <f t="shared" si="182"/>
        <v>0</v>
      </c>
      <c r="R1322" s="245">
        <f t="shared" si="183"/>
        <v>0</v>
      </c>
      <c r="S1322" s="246">
        <v>0.5</v>
      </c>
      <c r="T1322" s="245">
        <f t="shared" si="184"/>
        <v>0</v>
      </c>
      <c r="U1322" s="245">
        <f t="shared" si="185"/>
        <v>0</v>
      </c>
      <c r="V1322" s="247"/>
    </row>
    <row r="1323" spans="1:22" ht="15.75" x14ac:dyDescent="0.25">
      <c r="A1323" s="236"/>
      <c r="B1323" s="237"/>
      <c r="C1323" s="238"/>
      <c r="D1323" s="239"/>
      <c r="E1323" s="240"/>
      <c r="F1323" s="240"/>
      <c r="G1323" s="240"/>
      <c r="H1323" s="241">
        <f t="shared" si="180"/>
        <v>0</v>
      </c>
      <c r="I1323" s="242"/>
      <c r="J1323" s="243"/>
      <c r="K1323" s="243"/>
      <c r="L1323" s="244">
        <v>0.1</v>
      </c>
      <c r="M1323" s="244">
        <f t="shared" si="181"/>
        <v>0</v>
      </c>
      <c r="N1323" s="244"/>
      <c r="O1323" s="244"/>
      <c r="P1323" s="244"/>
      <c r="Q1323" s="245">
        <f t="shared" si="182"/>
        <v>0</v>
      </c>
      <c r="R1323" s="245">
        <f t="shared" si="183"/>
        <v>0</v>
      </c>
      <c r="S1323" s="246">
        <v>0.5</v>
      </c>
      <c r="T1323" s="245">
        <f t="shared" si="184"/>
        <v>0</v>
      </c>
      <c r="U1323" s="245">
        <f t="shared" si="185"/>
        <v>0</v>
      </c>
      <c r="V1323" s="247"/>
    </row>
    <row r="1324" spans="1:22" ht="15.75" x14ac:dyDescent="0.25">
      <c r="A1324" s="236"/>
      <c r="B1324" s="237"/>
      <c r="C1324" s="238"/>
      <c r="D1324" s="239"/>
      <c r="E1324" s="240"/>
      <c r="F1324" s="240"/>
      <c r="G1324" s="240"/>
      <c r="H1324" s="241">
        <f t="shared" si="180"/>
        <v>0</v>
      </c>
      <c r="I1324" s="242"/>
      <c r="J1324" s="243"/>
      <c r="K1324" s="243"/>
      <c r="L1324" s="244">
        <v>0.1</v>
      </c>
      <c r="M1324" s="244">
        <f t="shared" si="181"/>
        <v>0</v>
      </c>
      <c r="N1324" s="244"/>
      <c r="O1324" s="244"/>
      <c r="P1324" s="244"/>
      <c r="Q1324" s="245">
        <f t="shared" si="182"/>
        <v>0</v>
      </c>
      <c r="R1324" s="245">
        <f t="shared" si="183"/>
        <v>0</v>
      </c>
      <c r="S1324" s="246">
        <v>0.5</v>
      </c>
      <c r="T1324" s="245">
        <f t="shared" si="184"/>
        <v>0</v>
      </c>
      <c r="U1324" s="245">
        <f t="shared" si="185"/>
        <v>0</v>
      </c>
      <c r="V1324" s="247"/>
    </row>
    <row r="1325" spans="1:22" ht="15.75" x14ac:dyDescent="0.25">
      <c r="A1325" s="236"/>
      <c r="B1325" s="237"/>
      <c r="C1325" s="238"/>
      <c r="D1325" s="239"/>
      <c r="E1325" s="240"/>
      <c r="F1325" s="240"/>
      <c r="G1325" s="240"/>
      <c r="H1325" s="241">
        <f t="shared" si="180"/>
        <v>0</v>
      </c>
      <c r="I1325" s="242"/>
      <c r="J1325" s="243"/>
      <c r="K1325" s="243"/>
      <c r="L1325" s="244">
        <v>0.1</v>
      </c>
      <c r="M1325" s="244">
        <f t="shared" si="181"/>
        <v>0</v>
      </c>
      <c r="N1325" s="244"/>
      <c r="O1325" s="244"/>
      <c r="P1325" s="244"/>
      <c r="Q1325" s="245">
        <f t="shared" si="182"/>
        <v>0</v>
      </c>
      <c r="R1325" s="245">
        <f t="shared" si="183"/>
        <v>0</v>
      </c>
      <c r="S1325" s="246">
        <v>0.5</v>
      </c>
      <c r="T1325" s="245">
        <f t="shared" si="184"/>
        <v>0</v>
      </c>
      <c r="U1325" s="245">
        <f t="shared" si="185"/>
        <v>0</v>
      </c>
      <c r="V1325" s="247"/>
    </row>
    <row r="1326" spans="1:22" ht="15.75" x14ac:dyDescent="0.25">
      <c r="A1326" s="236"/>
      <c r="B1326" s="237"/>
      <c r="C1326" s="238"/>
      <c r="D1326" s="239"/>
      <c r="E1326" s="240"/>
      <c r="F1326" s="240"/>
      <c r="G1326" s="240"/>
      <c r="H1326" s="241">
        <f t="shared" si="180"/>
        <v>0</v>
      </c>
      <c r="I1326" s="242"/>
      <c r="J1326" s="243"/>
      <c r="K1326" s="243"/>
      <c r="L1326" s="244">
        <v>0.1</v>
      </c>
      <c r="M1326" s="244">
        <f t="shared" si="181"/>
        <v>0</v>
      </c>
      <c r="N1326" s="244"/>
      <c r="O1326" s="244"/>
      <c r="P1326" s="244"/>
      <c r="Q1326" s="245">
        <f t="shared" si="182"/>
        <v>0</v>
      </c>
      <c r="R1326" s="245">
        <f t="shared" si="183"/>
        <v>0</v>
      </c>
      <c r="S1326" s="246">
        <v>0.5</v>
      </c>
      <c r="T1326" s="245">
        <f t="shared" si="184"/>
        <v>0</v>
      </c>
      <c r="U1326" s="245">
        <f t="shared" si="185"/>
        <v>0</v>
      </c>
      <c r="V1326" s="247"/>
    </row>
    <row r="1327" spans="1:22" ht="15.75" x14ac:dyDescent="0.25">
      <c r="A1327" s="236"/>
      <c r="B1327" s="237"/>
      <c r="C1327" s="238"/>
      <c r="D1327" s="239"/>
      <c r="E1327" s="240"/>
      <c r="F1327" s="240"/>
      <c r="G1327" s="240"/>
      <c r="H1327" s="241">
        <f t="shared" si="180"/>
        <v>0</v>
      </c>
      <c r="I1327" s="242"/>
      <c r="J1327" s="243"/>
      <c r="K1327" s="243"/>
      <c r="L1327" s="244">
        <v>0.1</v>
      </c>
      <c r="M1327" s="244">
        <f t="shared" si="181"/>
        <v>0</v>
      </c>
      <c r="N1327" s="244"/>
      <c r="O1327" s="244"/>
      <c r="P1327" s="244"/>
      <c r="Q1327" s="245">
        <f t="shared" si="182"/>
        <v>0</v>
      </c>
      <c r="R1327" s="245">
        <f t="shared" si="183"/>
        <v>0</v>
      </c>
      <c r="S1327" s="246">
        <v>0.5</v>
      </c>
      <c r="T1327" s="245">
        <f t="shared" si="184"/>
        <v>0</v>
      </c>
      <c r="U1327" s="245">
        <f t="shared" si="185"/>
        <v>0</v>
      </c>
      <c r="V1327" s="247"/>
    </row>
    <row r="1328" spans="1:22" ht="15.75" x14ac:dyDescent="0.25">
      <c r="A1328" s="236"/>
      <c r="B1328" s="237"/>
      <c r="C1328" s="238"/>
      <c r="D1328" s="239"/>
      <c r="E1328" s="240"/>
      <c r="F1328" s="240"/>
      <c r="G1328" s="240"/>
      <c r="H1328" s="241">
        <f t="shared" si="180"/>
        <v>0</v>
      </c>
      <c r="I1328" s="242"/>
      <c r="J1328" s="243"/>
      <c r="K1328" s="243"/>
      <c r="L1328" s="244">
        <v>0.1</v>
      </c>
      <c r="M1328" s="244">
        <f t="shared" si="181"/>
        <v>0</v>
      </c>
      <c r="N1328" s="244"/>
      <c r="O1328" s="244"/>
      <c r="P1328" s="244"/>
      <c r="Q1328" s="245">
        <f t="shared" si="182"/>
        <v>0</v>
      </c>
      <c r="R1328" s="245">
        <f t="shared" si="183"/>
        <v>0</v>
      </c>
      <c r="S1328" s="246">
        <v>0.5</v>
      </c>
      <c r="T1328" s="245">
        <f t="shared" si="184"/>
        <v>0</v>
      </c>
      <c r="U1328" s="245">
        <f t="shared" si="185"/>
        <v>0</v>
      </c>
      <c r="V1328" s="247"/>
    </row>
    <row r="1329" spans="1:22" ht="15.75" x14ac:dyDescent="0.25">
      <c r="A1329" s="236"/>
      <c r="B1329" s="237"/>
      <c r="C1329" s="238"/>
      <c r="D1329" s="239"/>
      <c r="E1329" s="240"/>
      <c r="F1329" s="240"/>
      <c r="G1329" s="240"/>
      <c r="H1329" s="241">
        <f t="shared" si="180"/>
        <v>0</v>
      </c>
      <c r="I1329" s="242"/>
      <c r="J1329" s="243"/>
      <c r="K1329" s="243"/>
      <c r="L1329" s="244">
        <v>0.1</v>
      </c>
      <c r="M1329" s="244">
        <f t="shared" si="181"/>
        <v>0</v>
      </c>
      <c r="N1329" s="244"/>
      <c r="O1329" s="244"/>
      <c r="P1329" s="244"/>
      <c r="Q1329" s="245">
        <f t="shared" si="182"/>
        <v>0</v>
      </c>
      <c r="R1329" s="245">
        <f t="shared" si="183"/>
        <v>0</v>
      </c>
      <c r="S1329" s="246">
        <v>0.5</v>
      </c>
      <c r="T1329" s="245">
        <f t="shared" si="184"/>
        <v>0</v>
      </c>
      <c r="U1329" s="245">
        <f t="shared" si="185"/>
        <v>0</v>
      </c>
      <c r="V1329" s="247"/>
    </row>
    <row r="1330" spans="1:22" ht="15.75" x14ac:dyDescent="0.25">
      <c r="A1330" s="236"/>
      <c r="B1330" s="237"/>
      <c r="C1330" s="238"/>
      <c r="D1330" s="239"/>
      <c r="E1330" s="240"/>
      <c r="F1330" s="240"/>
      <c r="G1330" s="240"/>
      <c r="H1330" s="241">
        <f t="shared" si="180"/>
        <v>0</v>
      </c>
      <c r="I1330" s="242"/>
      <c r="J1330" s="243"/>
      <c r="K1330" s="243"/>
      <c r="L1330" s="244">
        <v>0.1</v>
      </c>
      <c r="M1330" s="244">
        <f t="shared" si="181"/>
        <v>0</v>
      </c>
      <c r="N1330" s="244"/>
      <c r="O1330" s="244"/>
      <c r="P1330" s="244"/>
      <c r="Q1330" s="245">
        <f t="shared" si="182"/>
        <v>0</v>
      </c>
      <c r="R1330" s="245">
        <f t="shared" si="183"/>
        <v>0</v>
      </c>
      <c r="S1330" s="246">
        <v>0.5</v>
      </c>
      <c r="T1330" s="245">
        <f t="shared" si="184"/>
        <v>0</v>
      </c>
      <c r="U1330" s="245">
        <f t="shared" si="185"/>
        <v>0</v>
      </c>
      <c r="V1330" s="247"/>
    </row>
    <row r="1331" spans="1:22" ht="15.75" x14ac:dyDescent="0.25">
      <c r="A1331" s="236"/>
      <c r="B1331" s="237"/>
      <c r="C1331" s="238"/>
      <c r="D1331" s="239"/>
      <c r="E1331" s="240"/>
      <c r="F1331" s="240"/>
      <c r="G1331" s="240"/>
      <c r="H1331" s="241">
        <f t="shared" si="180"/>
        <v>0</v>
      </c>
      <c r="I1331" s="242"/>
      <c r="J1331" s="243"/>
      <c r="K1331" s="243"/>
      <c r="L1331" s="244">
        <v>0.1</v>
      </c>
      <c r="M1331" s="244">
        <f t="shared" si="181"/>
        <v>0</v>
      </c>
      <c r="N1331" s="244"/>
      <c r="O1331" s="244"/>
      <c r="P1331" s="244"/>
      <c r="Q1331" s="245">
        <f t="shared" si="182"/>
        <v>0</v>
      </c>
      <c r="R1331" s="245">
        <f t="shared" si="183"/>
        <v>0</v>
      </c>
      <c r="S1331" s="246">
        <v>0.5</v>
      </c>
      <c r="T1331" s="245">
        <f t="shared" si="184"/>
        <v>0</v>
      </c>
      <c r="U1331" s="245">
        <f t="shared" si="185"/>
        <v>0</v>
      </c>
      <c r="V1331" s="247"/>
    </row>
    <row r="1332" spans="1:22" ht="15.75" x14ac:dyDescent="0.25">
      <c r="A1332" s="236"/>
      <c r="B1332" s="237"/>
      <c r="C1332" s="238"/>
      <c r="D1332" s="239"/>
      <c r="E1332" s="240"/>
      <c r="F1332" s="240"/>
      <c r="G1332" s="240"/>
      <c r="H1332" s="241">
        <f t="shared" si="180"/>
        <v>0</v>
      </c>
      <c r="I1332" s="242"/>
      <c r="J1332" s="243"/>
      <c r="K1332" s="243"/>
      <c r="L1332" s="244">
        <v>0.1</v>
      </c>
      <c r="M1332" s="244">
        <f t="shared" si="181"/>
        <v>0</v>
      </c>
      <c r="N1332" s="244"/>
      <c r="O1332" s="244"/>
      <c r="P1332" s="244"/>
      <c r="Q1332" s="245">
        <f t="shared" si="182"/>
        <v>0</v>
      </c>
      <c r="R1332" s="245">
        <f t="shared" si="183"/>
        <v>0</v>
      </c>
      <c r="S1332" s="246">
        <v>0.5</v>
      </c>
      <c r="T1332" s="245">
        <f t="shared" si="184"/>
        <v>0</v>
      </c>
      <c r="U1332" s="245">
        <f t="shared" si="185"/>
        <v>0</v>
      </c>
      <c r="V1332" s="247"/>
    </row>
    <row r="1333" spans="1:22" ht="15.75" x14ac:dyDescent="0.25">
      <c r="A1333" s="236"/>
      <c r="B1333" s="237"/>
      <c r="C1333" s="238"/>
      <c r="D1333" s="239"/>
      <c r="E1333" s="240"/>
      <c r="F1333" s="240"/>
      <c r="G1333" s="240"/>
      <c r="H1333" s="241">
        <f t="shared" si="180"/>
        <v>0</v>
      </c>
      <c r="I1333" s="242"/>
      <c r="J1333" s="243"/>
      <c r="K1333" s="243"/>
      <c r="L1333" s="244">
        <v>0.1</v>
      </c>
      <c r="M1333" s="244">
        <f t="shared" si="181"/>
        <v>0</v>
      </c>
      <c r="N1333" s="244"/>
      <c r="O1333" s="244"/>
      <c r="P1333" s="244"/>
      <c r="Q1333" s="245">
        <f t="shared" si="182"/>
        <v>0</v>
      </c>
      <c r="R1333" s="245">
        <f t="shared" si="183"/>
        <v>0</v>
      </c>
      <c r="S1333" s="246">
        <v>0.5</v>
      </c>
      <c r="T1333" s="245">
        <f t="shared" si="184"/>
        <v>0</v>
      </c>
      <c r="U1333" s="245">
        <f t="shared" si="185"/>
        <v>0</v>
      </c>
      <c r="V1333" s="247"/>
    </row>
    <row r="1334" spans="1:22" ht="15.75" x14ac:dyDescent="0.25">
      <c r="A1334" s="236"/>
      <c r="B1334" s="237"/>
      <c r="C1334" s="238"/>
      <c r="D1334" s="239"/>
      <c r="E1334" s="240"/>
      <c r="F1334" s="240"/>
      <c r="G1334" s="240"/>
      <c r="H1334" s="241">
        <f t="shared" si="180"/>
        <v>0</v>
      </c>
      <c r="I1334" s="242"/>
      <c r="J1334" s="243"/>
      <c r="K1334" s="243"/>
      <c r="L1334" s="244">
        <v>0.1</v>
      </c>
      <c r="M1334" s="244">
        <f t="shared" si="181"/>
        <v>0</v>
      </c>
      <c r="N1334" s="244"/>
      <c r="O1334" s="244"/>
      <c r="P1334" s="244"/>
      <c r="Q1334" s="245">
        <f t="shared" si="182"/>
        <v>0</v>
      </c>
      <c r="R1334" s="245">
        <f t="shared" si="183"/>
        <v>0</v>
      </c>
      <c r="S1334" s="246">
        <v>0.5</v>
      </c>
      <c r="T1334" s="245">
        <f t="shared" si="184"/>
        <v>0</v>
      </c>
      <c r="U1334" s="245">
        <f t="shared" si="185"/>
        <v>0</v>
      </c>
      <c r="V1334" s="247"/>
    </row>
    <row r="1335" spans="1:22" ht="15.75" x14ac:dyDescent="0.25">
      <c r="A1335" s="236"/>
      <c r="B1335" s="237"/>
      <c r="C1335" s="238"/>
      <c r="D1335" s="239"/>
      <c r="E1335" s="240"/>
      <c r="F1335" s="240"/>
      <c r="G1335" s="240"/>
      <c r="H1335" s="241">
        <f t="shared" si="180"/>
        <v>0</v>
      </c>
      <c r="I1335" s="242"/>
      <c r="J1335" s="243"/>
      <c r="K1335" s="243"/>
      <c r="L1335" s="244">
        <v>0.1</v>
      </c>
      <c r="M1335" s="244">
        <f t="shared" si="181"/>
        <v>0</v>
      </c>
      <c r="N1335" s="244"/>
      <c r="O1335" s="244"/>
      <c r="P1335" s="244"/>
      <c r="Q1335" s="245">
        <f t="shared" si="182"/>
        <v>0</v>
      </c>
      <c r="R1335" s="245">
        <f t="shared" si="183"/>
        <v>0</v>
      </c>
      <c r="S1335" s="246">
        <v>0.5</v>
      </c>
      <c r="T1335" s="245">
        <f t="shared" si="184"/>
        <v>0</v>
      </c>
      <c r="U1335" s="245">
        <f t="shared" si="185"/>
        <v>0</v>
      </c>
      <c r="V1335" s="247"/>
    </row>
    <row r="1336" spans="1:22" ht="15.75" x14ac:dyDescent="0.25">
      <c r="A1336" s="236"/>
      <c r="B1336" s="237"/>
      <c r="C1336" s="238"/>
      <c r="D1336" s="239"/>
      <c r="E1336" s="240"/>
      <c r="F1336" s="240"/>
      <c r="G1336" s="240"/>
      <c r="H1336" s="241">
        <f t="shared" si="180"/>
        <v>0</v>
      </c>
      <c r="I1336" s="242"/>
      <c r="J1336" s="243"/>
      <c r="K1336" s="243"/>
      <c r="L1336" s="244">
        <v>0.1</v>
      </c>
      <c r="M1336" s="244">
        <f t="shared" si="181"/>
        <v>0</v>
      </c>
      <c r="N1336" s="244"/>
      <c r="O1336" s="244"/>
      <c r="P1336" s="244"/>
      <c r="Q1336" s="245">
        <f t="shared" si="182"/>
        <v>0</v>
      </c>
      <c r="R1336" s="245">
        <f t="shared" si="183"/>
        <v>0</v>
      </c>
      <c r="S1336" s="246">
        <v>0.5</v>
      </c>
      <c r="T1336" s="245">
        <f t="shared" si="184"/>
        <v>0</v>
      </c>
      <c r="U1336" s="245">
        <f t="shared" si="185"/>
        <v>0</v>
      </c>
      <c r="V1336" s="247"/>
    </row>
    <row r="1337" spans="1:22" ht="15.75" x14ac:dyDescent="0.25">
      <c r="A1337" s="236"/>
      <c r="B1337" s="237"/>
      <c r="C1337" s="238"/>
      <c r="D1337" s="239"/>
      <c r="E1337" s="240"/>
      <c r="F1337" s="240"/>
      <c r="G1337" s="240"/>
      <c r="H1337" s="241">
        <f t="shared" si="180"/>
        <v>0</v>
      </c>
      <c r="I1337" s="242"/>
      <c r="J1337" s="243"/>
      <c r="K1337" s="243"/>
      <c r="L1337" s="244">
        <v>0.1</v>
      </c>
      <c r="M1337" s="244">
        <f t="shared" si="181"/>
        <v>0</v>
      </c>
      <c r="N1337" s="244"/>
      <c r="O1337" s="244"/>
      <c r="P1337" s="244"/>
      <c r="Q1337" s="245">
        <f t="shared" si="182"/>
        <v>0</v>
      </c>
      <c r="R1337" s="245">
        <f t="shared" si="183"/>
        <v>0</v>
      </c>
      <c r="S1337" s="246">
        <v>0.5</v>
      </c>
      <c r="T1337" s="245">
        <f t="shared" si="184"/>
        <v>0</v>
      </c>
      <c r="U1337" s="245">
        <f t="shared" si="185"/>
        <v>0</v>
      </c>
      <c r="V1337" s="247"/>
    </row>
    <row r="1338" spans="1:22" ht="15.75" x14ac:dyDescent="0.25">
      <c r="A1338" s="236"/>
      <c r="B1338" s="237"/>
      <c r="C1338" s="238"/>
      <c r="D1338" s="239"/>
      <c r="E1338" s="240"/>
      <c r="F1338" s="240"/>
      <c r="G1338" s="240"/>
      <c r="H1338" s="241">
        <f t="shared" si="180"/>
        <v>0</v>
      </c>
      <c r="I1338" s="242"/>
      <c r="J1338" s="243"/>
      <c r="K1338" s="243"/>
      <c r="L1338" s="244">
        <v>0.1</v>
      </c>
      <c r="M1338" s="244">
        <f t="shared" si="181"/>
        <v>0</v>
      </c>
      <c r="N1338" s="244"/>
      <c r="O1338" s="244"/>
      <c r="P1338" s="244"/>
      <c r="Q1338" s="245">
        <f t="shared" si="182"/>
        <v>0</v>
      </c>
      <c r="R1338" s="245">
        <f t="shared" si="183"/>
        <v>0</v>
      </c>
      <c r="S1338" s="246">
        <v>0.5</v>
      </c>
      <c r="T1338" s="245">
        <f t="shared" si="184"/>
        <v>0</v>
      </c>
      <c r="U1338" s="245">
        <f t="shared" si="185"/>
        <v>0</v>
      </c>
      <c r="V1338" s="247"/>
    </row>
    <row r="1339" spans="1:22" ht="15.75" x14ac:dyDescent="0.25">
      <c r="A1339" s="236"/>
      <c r="B1339" s="237"/>
      <c r="C1339" s="238"/>
      <c r="D1339" s="239"/>
      <c r="E1339" s="240"/>
      <c r="F1339" s="240"/>
      <c r="G1339" s="240"/>
      <c r="H1339" s="241">
        <f t="shared" si="180"/>
        <v>0</v>
      </c>
      <c r="I1339" s="242"/>
      <c r="J1339" s="243"/>
      <c r="K1339" s="243"/>
      <c r="L1339" s="244">
        <v>0.1</v>
      </c>
      <c r="M1339" s="244">
        <f t="shared" si="181"/>
        <v>0</v>
      </c>
      <c r="N1339" s="244"/>
      <c r="O1339" s="244"/>
      <c r="P1339" s="244"/>
      <c r="Q1339" s="245">
        <f t="shared" si="182"/>
        <v>0</v>
      </c>
      <c r="R1339" s="245">
        <f t="shared" si="183"/>
        <v>0</v>
      </c>
      <c r="S1339" s="246">
        <v>0.5</v>
      </c>
      <c r="T1339" s="245">
        <f t="shared" si="184"/>
        <v>0</v>
      </c>
      <c r="U1339" s="245">
        <f t="shared" si="185"/>
        <v>0</v>
      </c>
      <c r="V1339" s="247"/>
    </row>
    <row r="1340" spans="1:22" ht="15.75" x14ac:dyDescent="0.25">
      <c r="A1340" s="236"/>
      <c r="B1340" s="237"/>
      <c r="C1340" s="238"/>
      <c r="D1340" s="239"/>
      <c r="E1340" s="240"/>
      <c r="F1340" s="240"/>
      <c r="G1340" s="240"/>
      <c r="H1340" s="241">
        <f t="shared" si="180"/>
        <v>0</v>
      </c>
      <c r="I1340" s="242"/>
      <c r="J1340" s="243"/>
      <c r="K1340" s="243"/>
      <c r="L1340" s="244">
        <v>0.1</v>
      </c>
      <c r="M1340" s="244">
        <f t="shared" si="181"/>
        <v>0</v>
      </c>
      <c r="N1340" s="244"/>
      <c r="O1340" s="244"/>
      <c r="P1340" s="244"/>
      <c r="Q1340" s="245">
        <f t="shared" si="182"/>
        <v>0</v>
      </c>
      <c r="R1340" s="245">
        <f t="shared" si="183"/>
        <v>0</v>
      </c>
      <c r="S1340" s="246">
        <v>0.5</v>
      </c>
      <c r="T1340" s="245">
        <f t="shared" si="184"/>
        <v>0</v>
      </c>
      <c r="U1340" s="245">
        <f t="shared" si="185"/>
        <v>0</v>
      </c>
      <c r="V1340" s="247"/>
    </row>
    <row r="1341" spans="1:22" ht="15.75" x14ac:dyDescent="0.25">
      <c r="A1341" s="236"/>
      <c r="B1341" s="237"/>
      <c r="C1341" s="238"/>
      <c r="D1341" s="239"/>
      <c r="E1341" s="240"/>
      <c r="F1341" s="240"/>
      <c r="G1341" s="240"/>
      <c r="H1341" s="241">
        <f t="shared" si="180"/>
        <v>0</v>
      </c>
      <c r="I1341" s="242"/>
      <c r="J1341" s="243"/>
      <c r="K1341" s="243"/>
      <c r="L1341" s="244">
        <v>0.1</v>
      </c>
      <c r="M1341" s="244">
        <f t="shared" si="181"/>
        <v>0</v>
      </c>
      <c r="N1341" s="244"/>
      <c r="O1341" s="244"/>
      <c r="P1341" s="244"/>
      <c r="Q1341" s="245">
        <f t="shared" si="182"/>
        <v>0</v>
      </c>
      <c r="R1341" s="245">
        <f t="shared" si="183"/>
        <v>0</v>
      </c>
      <c r="S1341" s="246">
        <v>0.5</v>
      </c>
      <c r="T1341" s="245">
        <f t="shared" si="184"/>
        <v>0</v>
      </c>
      <c r="U1341" s="245">
        <f t="shared" si="185"/>
        <v>0</v>
      </c>
      <c r="V1341" s="247"/>
    </row>
    <row r="1342" spans="1:22" ht="15.75" x14ac:dyDescent="0.25">
      <c r="A1342" s="236"/>
      <c r="B1342" s="237"/>
      <c r="C1342" s="238"/>
      <c r="D1342" s="239"/>
      <c r="E1342" s="240"/>
      <c r="F1342" s="240"/>
      <c r="G1342" s="240"/>
      <c r="H1342" s="241">
        <f t="shared" si="180"/>
        <v>0</v>
      </c>
      <c r="I1342" s="242"/>
      <c r="J1342" s="243"/>
      <c r="K1342" s="243"/>
      <c r="L1342" s="244">
        <v>0.1</v>
      </c>
      <c r="M1342" s="244">
        <f t="shared" si="181"/>
        <v>0</v>
      </c>
      <c r="N1342" s="244"/>
      <c r="O1342" s="244"/>
      <c r="P1342" s="244"/>
      <c r="Q1342" s="245">
        <f t="shared" si="182"/>
        <v>0</v>
      </c>
      <c r="R1342" s="245">
        <f t="shared" si="183"/>
        <v>0</v>
      </c>
      <c r="S1342" s="246">
        <v>0.5</v>
      </c>
      <c r="T1342" s="245">
        <f t="shared" si="184"/>
        <v>0</v>
      </c>
      <c r="U1342" s="245">
        <f t="shared" si="185"/>
        <v>0</v>
      </c>
      <c r="V1342" s="247"/>
    </row>
    <row r="1343" spans="1:22" ht="15.75" x14ac:dyDescent="0.25">
      <c r="A1343" s="236"/>
      <c r="B1343" s="237"/>
      <c r="C1343" s="238"/>
      <c r="D1343" s="239"/>
      <c r="E1343" s="240"/>
      <c r="F1343" s="240"/>
      <c r="G1343" s="240"/>
      <c r="H1343" s="241">
        <f t="shared" si="180"/>
        <v>0</v>
      </c>
      <c r="I1343" s="242"/>
      <c r="J1343" s="243"/>
      <c r="K1343" s="243"/>
      <c r="L1343" s="244">
        <v>0.1</v>
      </c>
      <c r="M1343" s="244">
        <f t="shared" si="181"/>
        <v>0</v>
      </c>
      <c r="N1343" s="244"/>
      <c r="O1343" s="244"/>
      <c r="P1343" s="244"/>
      <c r="Q1343" s="245">
        <f t="shared" si="182"/>
        <v>0</v>
      </c>
      <c r="R1343" s="245">
        <f t="shared" si="183"/>
        <v>0</v>
      </c>
      <c r="S1343" s="246">
        <v>0.5</v>
      </c>
      <c r="T1343" s="245">
        <f t="shared" si="184"/>
        <v>0</v>
      </c>
      <c r="U1343" s="245">
        <f t="shared" si="185"/>
        <v>0</v>
      </c>
      <c r="V1343" s="247"/>
    </row>
    <row r="1344" spans="1:22" ht="15.75" x14ac:dyDescent="0.25">
      <c r="A1344" s="236"/>
      <c r="B1344" s="237"/>
      <c r="C1344" s="238"/>
      <c r="D1344" s="239"/>
      <c r="E1344" s="240"/>
      <c r="F1344" s="240"/>
      <c r="G1344" s="240"/>
      <c r="H1344" s="241">
        <f t="shared" si="180"/>
        <v>0</v>
      </c>
      <c r="I1344" s="242"/>
      <c r="J1344" s="243"/>
      <c r="K1344" s="243"/>
      <c r="L1344" s="244">
        <v>0.1</v>
      </c>
      <c r="M1344" s="244">
        <f t="shared" si="181"/>
        <v>0</v>
      </c>
      <c r="N1344" s="244"/>
      <c r="O1344" s="244"/>
      <c r="P1344" s="244"/>
      <c r="Q1344" s="245">
        <f t="shared" si="182"/>
        <v>0</v>
      </c>
      <c r="R1344" s="245">
        <f t="shared" si="183"/>
        <v>0</v>
      </c>
      <c r="S1344" s="246">
        <v>0.5</v>
      </c>
      <c r="T1344" s="245">
        <f t="shared" si="184"/>
        <v>0</v>
      </c>
      <c r="U1344" s="245">
        <f t="shared" si="185"/>
        <v>0</v>
      </c>
      <c r="V1344" s="247"/>
    </row>
    <row r="1345" spans="1:22" ht="15.75" x14ac:dyDescent="0.25">
      <c r="A1345" s="236"/>
      <c r="B1345" s="237"/>
      <c r="C1345" s="238"/>
      <c r="D1345" s="239"/>
      <c r="E1345" s="240"/>
      <c r="F1345" s="240"/>
      <c r="G1345" s="240"/>
      <c r="H1345" s="241">
        <f t="shared" si="180"/>
        <v>0</v>
      </c>
      <c r="I1345" s="242"/>
      <c r="J1345" s="243"/>
      <c r="K1345" s="243"/>
      <c r="L1345" s="244">
        <v>0.1</v>
      </c>
      <c r="M1345" s="244">
        <f t="shared" si="181"/>
        <v>0</v>
      </c>
      <c r="N1345" s="244"/>
      <c r="O1345" s="244"/>
      <c r="P1345" s="244"/>
      <c r="Q1345" s="245">
        <f t="shared" si="182"/>
        <v>0</v>
      </c>
      <c r="R1345" s="245">
        <f t="shared" si="183"/>
        <v>0</v>
      </c>
      <c r="S1345" s="246">
        <v>0.5</v>
      </c>
      <c r="T1345" s="245">
        <f t="shared" si="184"/>
        <v>0</v>
      </c>
      <c r="U1345" s="245">
        <f t="shared" si="185"/>
        <v>0</v>
      </c>
      <c r="V1345" s="247"/>
    </row>
    <row r="1346" spans="1:22" ht="15.75" x14ac:dyDescent="0.25">
      <c r="A1346" s="236"/>
      <c r="B1346" s="237"/>
      <c r="C1346" s="238"/>
      <c r="D1346" s="239"/>
      <c r="E1346" s="240"/>
      <c r="F1346" s="240"/>
      <c r="G1346" s="240"/>
      <c r="H1346" s="241">
        <f t="shared" si="180"/>
        <v>0</v>
      </c>
      <c r="I1346" s="242"/>
      <c r="J1346" s="243"/>
      <c r="K1346" s="243"/>
      <c r="L1346" s="244">
        <v>0.1</v>
      </c>
      <c r="M1346" s="244">
        <f t="shared" si="181"/>
        <v>0</v>
      </c>
      <c r="N1346" s="244"/>
      <c r="O1346" s="244"/>
      <c r="P1346" s="244"/>
      <c r="Q1346" s="245">
        <f t="shared" si="182"/>
        <v>0</v>
      </c>
      <c r="R1346" s="245">
        <f t="shared" si="183"/>
        <v>0</v>
      </c>
      <c r="S1346" s="246">
        <v>0.5</v>
      </c>
      <c r="T1346" s="245">
        <f t="shared" si="184"/>
        <v>0</v>
      </c>
      <c r="U1346" s="245">
        <f t="shared" si="185"/>
        <v>0</v>
      </c>
      <c r="V1346" s="247"/>
    </row>
    <row r="1347" spans="1:22" ht="15.75" x14ac:dyDescent="0.25">
      <c r="A1347" s="236"/>
      <c r="B1347" s="237"/>
      <c r="C1347" s="238"/>
      <c r="D1347" s="239"/>
      <c r="E1347" s="240"/>
      <c r="F1347" s="240"/>
      <c r="G1347" s="240"/>
      <c r="H1347" s="241">
        <f t="shared" si="180"/>
        <v>0</v>
      </c>
      <c r="I1347" s="242"/>
      <c r="J1347" s="243"/>
      <c r="K1347" s="243"/>
      <c r="L1347" s="244">
        <v>0.1</v>
      </c>
      <c r="M1347" s="244">
        <f t="shared" si="181"/>
        <v>0</v>
      </c>
      <c r="N1347" s="244"/>
      <c r="O1347" s="244"/>
      <c r="P1347" s="244"/>
      <c r="Q1347" s="245">
        <f t="shared" si="182"/>
        <v>0</v>
      </c>
      <c r="R1347" s="245">
        <f t="shared" si="183"/>
        <v>0</v>
      </c>
      <c r="S1347" s="246">
        <v>0.5</v>
      </c>
      <c r="T1347" s="245">
        <f t="shared" si="184"/>
        <v>0</v>
      </c>
      <c r="U1347" s="245">
        <f t="shared" si="185"/>
        <v>0</v>
      </c>
      <c r="V1347" s="247"/>
    </row>
    <row r="1348" spans="1:22" ht="15.75" x14ac:dyDescent="0.25">
      <c r="A1348" s="236"/>
      <c r="B1348" s="237"/>
      <c r="C1348" s="238"/>
      <c r="D1348" s="239"/>
      <c r="E1348" s="240"/>
      <c r="F1348" s="240"/>
      <c r="G1348" s="240"/>
      <c r="H1348" s="241">
        <f t="shared" si="180"/>
        <v>0</v>
      </c>
      <c r="I1348" s="242"/>
      <c r="J1348" s="243"/>
      <c r="K1348" s="243"/>
      <c r="L1348" s="244">
        <v>0.1</v>
      </c>
      <c r="M1348" s="244">
        <f t="shared" si="181"/>
        <v>0</v>
      </c>
      <c r="N1348" s="244"/>
      <c r="O1348" s="244"/>
      <c r="P1348" s="244"/>
      <c r="Q1348" s="245">
        <f t="shared" si="182"/>
        <v>0</v>
      </c>
      <c r="R1348" s="245">
        <f t="shared" si="183"/>
        <v>0</v>
      </c>
      <c r="S1348" s="246">
        <v>0.5</v>
      </c>
      <c r="T1348" s="245">
        <f t="shared" si="184"/>
        <v>0</v>
      </c>
      <c r="U1348" s="245">
        <f t="shared" si="185"/>
        <v>0</v>
      </c>
      <c r="V1348" s="247"/>
    </row>
    <row r="1349" spans="1:22" ht="15.75" x14ac:dyDescent="0.25">
      <c r="A1349" s="236"/>
      <c r="B1349" s="237"/>
      <c r="C1349" s="238"/>
      <c r="D1349" s="239"/>
      <c r="E1349" s="240"/>
      <c r="F1349" s="240"/>
      <c r="G1349" s="240"/>
      <c r="H1349" s="241">
        <f t="shared" si="180"/>
        <v>0</v>
      </c>
      <c r="I1349" s="242"/>
      <c r="J1349" s="243"/>
      <c r="K1349" s="243"/>
      <c r="L1349" s="244">
        <v>0.1</v>
      </c>
      <c r="M1349" s="244">
        <f t="shared" si="181"/>
        <v>0</v>
      </c>
      <c r="N1349" s="244"/>
      <c r="O1349" s="244"/>
      <c r="P1349" s="244"/>
      <c r="Q1349" s="245">
        <f t="shared" si="182"/>
        <v>0</v>
      </c>
      <c r="R1349" s="245">
        <f t="shared" si="183"/>
        <v>0</v>
      </c>
      <c r="S1349" s="246">
        <v>0.5</v>
      </c>
      <c r="T1349" s="245">
        <f t="shared" si="184"/>
        <v>0</v>
      </c>
      <c r="U1349" s="245">
        <f t="shared" si="185"/>
        <v>0</v>
      </c>
      <c r="V1349" s="247"/>
    </row>
    <row r="1350" spans="1:22" ht="15.75" x14ac:dyDescent="0.25">
      <c r="A1350" s="236"/>
      <c r="B1350" s="237"/>
      <c r="C1350" s="238"/>
      <c r="D1350" s="239"/>
      <c r="E1350" s="240"/>
      <c r="F1350" s="240"/>
      <c r="G1350" s="240"/>
      <c r="H1350" s="241">
        <f t="shared" si="180"/>
        <v>0</v>
      </c>
      <c r="I1350" s="242"/>
      <c r="J1350" s="243"/>
      <c r="K1350" s="243"/>
      <c r="L1350" s="244">
        <v>0.1</v>
      </c>
      <c r="M1350" s="244">
        <f t="shared" si="181"/>
        <v>0</v>
      </c>
      <c r="N1350" s="244"/>
      <c r="O1350" s="244"/>
      <c r="P1350" s="244"/>
      <c r="Q1350" s="245">
        <f t="shared" si="182"/>
        <v>0</v>
      </c>
      <c r="R1350" s="245">
        <f t="shared" si="183"/>
        <v>0</v>
      </c>
      <c r="S1350" s="246">
        <v>0.5</v>
      </c>
      <c r="T1350" s="245">
        <f t="shared" si="184"/>
        <v>0</v>
      </c>
      <c r="U1350" s="245">
        <f t="shared" si="185"/>
        <v>0</v>
      </c>
      <c r="V1350" s="247"/>
    </row>
    <row r="1351" spans="1:22" ht="15.75" x14ac:dyDescent="0.25">
      <c r="A1351" s="236"/>
      <c r="B1351" s="237"/>
      <c r="C1351" s="238"/>
      <c r="D1351" s="239"/>
      <c r="E1351" s="240"/>
      <c r="F1351" s="240"/>
      <c r="G1351" s="240"/>
      <c r="H1351" s="241">
        <f t="shared" si="180"/>
        <v>0</v>
      </c>
      <c r="I1351" s="242"/>
      <c r="J1351" s="243"/>
      <c r="K1351" s="243"/>
      <c r="L1351" s="244">
        <v>0.1</v>
      </c>
      <c r="M1351" s="244">
        <f t="shared" si="181"/>
        <v>0</v>
      </c>
      <c r="N1351" s="244"/>
      <c r="O1351" s="244"/>
      <c r="P1351" s="244"/>
      <c r="Q1351" s="245">
        <f t="shared" si="182"/>
        <v>0</v>
      </c>
      <c r="R1351" s="245">
        <f t="shared" si="183"/>
        <v>0</v>
      </c>
      <c r="S1351" s="246">
        <v>0.5</v>
      </c>
      <c r="T1351" s="245">
        <f t="shared" si="184"/>
        <v>0</v>
      </c>
      <c r="U1351" s="245">
        <f t="shared" si="185"/>
        <v>0</v>
      </c>
      <c r="V1351" s="247"/>
    </row>
    <row r="1352" spans="1:22" ht="15.75" x14ac:dyDescent="0.25">
      <c r="A1352" s="236"/>
      <c r="B1352" s="237"/>
      <c r="C1352" s="238"/>
      <c r="D1352" s="239"/>
      <c r="E1352" s="240"/>
      <c r="F1352" s="240"/>
      <c r="G1352" s="240"/>
      <c r="H1352" s="241">
        <f t="shared" si="180"/>
        <v>0</v>
      </c>
      <c r="I1352" s="242"/>
      <c r="J1352" s="243"/>
      <c r="K1352" s="243"/>
      <c r="L1352" s="244">
        <v>0.1</v>
      </c>
      <c r="M1352" s="244">
        <f t="shared" si="181"/>
        <v>0</v>
      </c>
      <c r="N1352" s="244"/>
      <c r="O1352" s="244"/>
      <c r="P1352" s="244"/>
      <c r="Q1352" s="245">
        <f t="shared" si="182"/>
        <v>0</v>
      </c>
      <c r="R1352" s="245">
        <f t="shared" si="183"/>
        <v>0</v>
      </c>
      <c r="S1352" s="246">
        <v>0.5</v>
      </c>
      <c r="T1352" s="245">
        <f t="shared" si="184"/>
        <v>0</v>
      </c>
      <c r="U1352" s="245">
        <f t="shared" si="185"/>
        <v>0</v>
      </c>
      <c r="V1352" s="247"/>
    </row>
    <row r="1353" spans="1:22" ht="15.75" x14ac:dyDescent="0.25">
      <c r="A1353" s="236"/>
      <c r="B1353" s="237"/>
      <c r="C1353" s="238"/>
      <c r="D1353" s="239"/>
      <c r="E1353" s="240"/>
      <c r="F1353" s="240"/>
      <c r="G1353" s="240"/>
      <c r="H1353" s="241">
        <f t="shared" si="180"/>
        <v>0</v>
      </c>
      <c r="I1353" s="242"/>
      <c r="J1353" s="243"/>
      <c r="K1353" s="243"/>
      <c r="L1353" s="244">
        <v>0.1</v>
      </c>
      <c r="M1353" s="244">
        <f t="shared" si="181"/>
        <v>0</v>
      </c>
      <c r="N1353" s="244"/>
      <c r="O1353" s="244"/>
      <c r="P1353" s="244"/>
      <c r="Q1353" s="245">
        <f t="shared" si="182"/>
        <v>0</v>
      </c>
      <c r="R1353" s="245">
        <f t="shared" si="183"/>
        <v>0</v>
      </c>
      <c r="S1353" s="246">
        <v>0.5</v>
      </c>
      <c r="T1353" s="245">
        <f t="shared" si="184"/>
        <v>0</v>
      </c>
      <c r="U1353" s="245">
        <f t="shared" si="185"/>
        <v>0</v>
      </c>
      <c r="V1353" s="247"/>
    </row>
    <row r="1354" spans="1:22" ht="15.75" x14ac:dyDescent="0.25">
      <c r="A1354" s="236"/>
      <c r="B1354" s="237"/>
      <c r="C1354" s="238"/>
      <c r="D1354" s="239"/>
      <c r="E1354" s="240"/>
      <c r="F1354" s="240"/>
      <c r="G1354" s="240"/>
      <c r="H1354" s="241">
        <f t="shared" si="180"/>
        <v>0</v>
      </c>
      <c r="I1354" s="242"/>
      <c r="J1354" s="243"/>
      <c r="K1354" s="243"/>
      <c r="L1354" s="244">
        <v>0.1</v>
      </c>
      <c r="M1354" s="244">
        <f t="shared" si="181"/>
        <v>0</v>
      </c>
      <c r="N1354" s="244"/>
      <c r="O1354" s="244"/>
      <c r="P1354" s="244"/>
      <c r="Q1354" s="245">
        <f t="shared" si="182"/>
        <v>0</v>
      </c>
      <c r="R1354" s="245">
        <f t="shared" si="183"/>
        <v>0</v>
      </c>
      <c r="S1354" s="246">
        <v>0.5</v>
      </c>
      <c r="T1354" s="245">
        <f t="shared" si="184"/>
        <v>0</v>
      </c>
      <c r="U1354" s="245">
        <f t="shared" si="185"/>
        <v>0</v>
      </c>
      <c r="V1354" s="247"/>
    </row>
    <row r="1355" spans="1:22" ht="15.75" x14ac:dyDescent="0.25">
      <c r="A1355" s="236"/>
      <c r="B1355" s="237"/>
      <c r="C1355" s="238"/>
      <c r="D1355" s="239"/>
      <c r="E1355" s="240"/>
      <c r="F1355" s="240"/>
      <c r="G1355" s="240"/>
      <c r="H1355" s="241">
        <f t="shared" si="180"/>
        <v>0</v>
      </c>
      <c r="I1355" s="242"/>
      <c r="J1355" s="243"/>
      <c r="K1355" s="243"/>
      <c r="L1355" s="244">
        <v>0.1</v>
      </c>
      <c r="M1355" s="244">
        <f t="shared" si="181"/>
        <v>0</v>
      </c>
      <c r="N1355" s="244"/>
      <c r="O1355" s="244"/>
      <c r="P1355" s="244"/>
      <c r="Q1355" s="245">
        <f t="shared" si="182"/>
        <v>0</v>
      </c>
      <c r="R1355" s="245">
        <f t="shared" si="183"/>
        <v>0</v>
      </c>
      <c r="S1355" s="246">
        <v>0.5</v>
      </c>
      <c r="T1355" s="245">
        <f t="shared" si="184"/>
        <v>0</v>
      </c>
      <c r="U1355" s="245">
        <f t="shared" si="185"/>
        <v>0</v>
      </c>
      <c r="V1355" s="247"/>
    </row>
    <row r="1356" spans="1:22" ht="15.75" x14ac:dyDescent="0.25">
      <c r="A1356" s="236"/>
      <c r="B1356" s="237"/>
      <c r="C1356" s="238"/>
      <c r="D1356" s="239"/>
      <c r="E1356" s="240"/>
      <c r="F1356" s="240"/>
      <c r="G1356" s="240"/>
      <c r="H1356" s="241">
        <f t="shared" si="180"/>
        <v>0</v>
      </c>
      <c r="I1356" s="242"/>
      <c r="J1356" s="243"/>
      <c r="K1356" s="243"/>
      <c r="L1356" s="244">
        <v>0.1</v>
      </c>
      <c r="M1356" s="244">
        <f t="shared" si="181"/>
        <v>0</v>
      </c>
      <c r="N1356" s="244"/>
      <c r="O1356" s="244"/>
      <c r="P1356" s="244"/>
      <c r="Q1356" s="245">
        <f t="shared" si="182"/>
        <v>0</v>
      </c>
      <c r="R1356" s="245">
        <f t="shared" si="183"/>
        <v>0</v>
      </c>
      <c r="S1356" s="246">
        <v>0.5</v>
      </c>
      <c r="T1356" s="245">
        <f t="shared" si="184"/>
        <v>0</v>
      </c>
      <c r="U1356" s="245">
        <f t="shared" si="185"/>
        <v>0</v>
      </c>
      <c r="V1356" s="247"/>
    </row>
    <row r="1357" spans="1:22" ht="15.75" x14ac:dyDescent="0.25">
      <c r="A1357" s="236"/>
      <c r="B1357" s="237"/>
      <c r="C1357" s="238"/>
      <c r="D1357" s="239"/>
      <c r="E1357" s="240"/>
      <c r="F1357" s="240"/>
      <c r="G1357" s="240"/>
      <c r="H1357" s="241">
        <f t="shared" si="180"/>
        <v>0</v>
      </c>
      <c r="I1357" s="242"/>
      <c r="J1357" s="243"/>
      <c r="K1357" s="243"/>
      <c r="L1357" s="244">
        <v>0.1</v>
      </c>
      <c r="M1357" s="244">
        <f t="shared" si="181"/>
        <v>0</v>
      </c>
      <c r="N1357" s="244"/>
      <c r="O1357" s="244"/>
      <c r="P1357" s="244"/>
      <c r="Q1357" s="245">
        <f t="shared" si="182"/>
        <v>0</v>
      </c>
      <c r="R1357" s="245">
        <f t="shared" si="183"/>
        <v>0</v>
      </c>
      <c r="S1357" s="246">
        <v>0.5</v>
      </c>
      <c r="T1357" s="245">
        <f t="shared" si="184"/>
        <v>0</v>
      </c>
      <c r="U1357" s="245">
        <f t="shared" si="185"/>
        <v>0</v>
      </c>
      <c r="V1357" s="247"/>
    </row>
    <row r="1358" spans="1:22" ht="15.75" x14ac:dyDescent="0.25">
      <c r="A1358" s="236"/>
      <c r="B1358" s="237"/>
      <c r="C1358" s="238"/>
      <c r="D1358" s="239"/>
      <c r="E1358" s="240"/>
      <c r="F1358" s="240"/>
      <c r="G1358" s="240"/>
      <c r="H1358" s="241">
        <f t="shared" si="180"/>
        <v>0</v>
      </c>
      <c r="I1358" s="242"/>
      <c r="J1358" s="243"/>
      <c r="K1358" s="243"/>
      <c r="L1358" s="244">
        <v>0.1</v>
      </c>
      <c r="M1358" s="244">
        <f t="shared" si="181"/>
        <v>0</v>
      </c>
      <c r="N1358" s="244"/>
      <c r="O1358" s="244"/>
      <c r="P1358" s="244"/>
      <c r="Q1358" s="245">
        <f t="shared" si="182"/>
        <v>0</v>
      </c>
      <c r="R1358" s="245">
        <f t="shared" si="183"/>
        <v>0</v>
      </c>
      <c r="S1358" s="246">
        <v>0.5</v>
      </c>
      <c r="T1358" s="245">
        <f t="shared" si="184"/>
        <v>0</v>
      </c>
      <c r="U1358" s="245">
        <f t="shared" si="185"/>
        <v>0</v>
      </c>
      <c r="V1358" s="247"/>
    </row>
    <row r="1359" spans="1:22" ht="15.75" x14ac:dyDescent="0.25">
      <c r="A1359" s="236"/>
      <c r="B1359" s="237"/>
      <c r="C1359" s="238"/>
      <c r="D1359" s="239"/>
      <c r="E1359" s="240"/>
      <c r="F1359" s="240"/>
      <c r="G1359" s="240"/>
      <c r="H1359" s="241">
        <f t="shared" si="180"/>
        <v>0</v>
      </c>
      <c r="I1359" s="242"/>
      <c r="J1359" s="243"/>
      <c r="K1359" s="243"/>
      <c r="L1359" s="244">
        <v>0.1</v>
      </c>
      <c r="M1359" s="244">
        <f t="shared" si="181"/>
        <v>0</v>
      </c>
      <c r="N1359" s="244"/>
      <c r="O1359" s="244"/>
      <c r="P1359" s="244"/>
      <c r="Q1359" s="245">
        <f t="shared" si="182"/>
        <v>0</v>
      </c>
      <c r="R1359" s="245">
        <f t="shared" si="183"/>
        <v>0</v>
      </c>
      <c r="S1359" s="246">
        <v>0.5</v>
      </c>
      <c r="T1359" s="245">
        <f t="shared" si="184"/>
        <v>0</v>
      </c>
      <c r="U1359" s="245">
        <f t="shared" si="185"/>
        <v>0</v>
      </c>
      <c r="V1359" s="247"/>
    </row>
    <row r="1360" spans="1:22" ht="15.75" x14ac:dyDescent="0.25">
      <c r="A1360" s="236"/>
      <c r="B1360" s="237"/>
      <c r="C1360" s="238"/>
      <c r="D1360" s="239"/>
      <c r="E1360" s="240"/>
      <c r="F1360" s="240"/>
      <c r="G1360" s="240"/>
      <c r="H1360" s="241">
        <f t="shared" si="180"/>
        <v>0</v>
      </c>
      <c r="I1360" s="242"/>
      <c r="J1360" s="243"/>
      <c r="K1360" s="243"/>
      <c r="L1360" s="244">
        <v>0.1</v>
      </c>
      <c r="M1360" s="244">
        <f t="shared" si="181"/>
        <v>0</v>
      </c>
      <c r="N1360" s="244"/>
      <c r="O1360" s="244"/>
      <c r="P1360" s="244"/>
      <c r="Q1360" s="245">
        <f t="shared" si="182"/>
        <v>0</v>
      </c>
      <c r="R1360" s="245">
        <f t="shared" si="183"/>
        <v>0</v>
      </c>
      <c r="S1360" s="246">
        <v>0.5</v>
      </c>
      <c r="T1360" s="245">
        <f t="shared" si="184"/>
        <v>0</v>
      </c>
      <c r="U1360" s="245">
        <f t="shared" si="185"/>
        <v>0</v>
      </c>
      <c r="V1360" s="247"/>
    </row>
    <row r="1361" spans="1:22" ht="15.75" x14ac:dyDescent="0.25">
      <c r="A1361" s="236"/>
      <c r="B1361" s="237"/>
      <c r="C1361" s="238"/>
      <c r="D1361" s="239"/>
      <c r="E1361" s="240"/>
      <c r="F1361" s="240"/>
      <c r="G1361" s="240"/>
      <c r="H1361" s="241">
        <f t="shared" si="180"/>
        <v>0</v>
      </c>
      <c r="I1361" s="242"/>
      <c r="J1361" s="243"/>
      <c r="K1361" s="243"/>
      <c r="L1361" s="244">
        <v>0.1</v>
      </c>
      <c r="M1361" s="244">
        <f t="shared" si="181"/>
        <v>0</v>
      </c>
      <c r="N1361" s="244"/>
      <c r="O1361" s="244"/>
      <c r="P1361" s="244"/>
      <c r="Q1361" s="245">
        <f t="shared" si="182"/>
        <v>0</v>
      </c>
      <c r="R1361" s="245">
        <f t="shared" si="183"/>
        <v>0</v>
      </c>
      <c r="S1361" s="246">
        <v>0.5</v>
      </c>
      <c r="T1361" s="245">
        <f t="shared" si="184"/>
        <v>0</v>
      </c>
      <c r="U1361" s="245">
        <f t="shared" si="185"/>
        <v>0</v>
      </c>
      <c r="V1361" s="247"/>
    </row>
    <row r="1362" spans="1:22" ht="15.75" x14ac:dyDescent="0.25">
      <c r="A1362" s="236"/>
      <c r="B1362" s="237"/>
      <c r="C1362" s="238"/>
      <c r="D1362" s="239"/>
      <c r="E1362" s="240"/>
      <c r="F1362" s="240"/>
      <c r="G1362" s="240"/>
      <c r="H1362" s="241">
        <f t="shared" si="180"/>
        <v>0</v>
      </c>
      <c r="I1362" s="242"/>
      <c r="J1362" s="243"/>
      <c r="K1362" s="243"/>
      <c r="L1362" s="244">
        <v>0.1</v>
      </c>
      <c r="M1362" s="244">
        <f t="shared" si="181"/>
        <v>0</v>
      </c>
      <c r="N1362" s="244"/>
      <c r="O1362" s="244"/>
      <c r="P1362" s="244"/>
      <c r="Q1362" s="245">
        <f t="shared" si="182"/>
        <v>0</v>
      </c>
      <c r="R1362" s="245">
        <f t="shared" si="183"/>
        <v>0</v>
      </c>
      <c r="S1362" s="246">
        <v>0.5</v>
      </c>
      <c r="T1362" s="245">
        <f t="shared" si="184"/>
        <v>0</v>
      </c>
      <c r="U1362" s="245">
        <f t="shared" si="185"/>
        <v>0</v>
      </c>
      <c r="V1362" s="247"/>
    </row>
    <row r="1363" spans="1:22" ht="15.75" x14ac:dyDescent="0.25">
      <c r="A1363" s="236"/>
      <c r="B1363" s="237"/>
      <c r="C1363" s="238"/>
      <c r="D1363" s="239"/>
      <c r="E1363" s="240"/>
      <c r="F1363" s="240"/>
      <c r="G1363" s="240"/>
      <c r="H1363" s="241">
        <f t="shared" si="180"/>
        <v>0</v>
      </c>
      <c r="I1363" s="242"/>
      <c r="J1363" s="243"/>
      <c r="K1363" s="243"/>
      <c r="L1363" s="244">
        <v>0.1</v>
      </c>
      <c r="M1363" s="244">
        <f t="shared" si="181"/>
        <v>0</v>
      </c>
      <c r="N1363" s="244"/>
      <c r="O1363" s="244"/>
      <c r="P1363" s="244"/>
      <c r="Q1363" s="245">
        <f t="shared" si="182"/>
        <v>0</v>
      </c>
      <c r="R1363" s="245">
        <f t="shared" si="183"/>
        <v>0</v>
      </c>
      <c r="S1363" s="246">
        <v>0.5</v>
      </c>
      <c r="T1363" s="245">
        <f t="shared" si="184"/>
        <v>0</v>
      </c>
      <c r="U1363" s="245">
        <f t="shared" si="185"/>
        <v>0</v>
      </c>
      <c r="V1363" s="247"/>
    </row>
    <row r="1364" spans="1:22" ht="15.75" x14ac:dyDescent="0.25">
      <c r="A1364" s="236"/>
      <c r="B1364" s="237"/>
      <c r="C1364" s="238"/>
      <c r="D1364" s="239"/>
      <c r="E1364" s="240"/>
      <c r="F1364" s="240"/>
      <c r="G1364" s="240"/>
      <c r="H1364" s="241">
        <f t="shared" si="180"/>
        <v>0</v>
      </c>
      <c r="I1364" s="242"/>
      <c r="J1364" s="243"/>
      <c r="K1364" s="243"/>
      <c r="L1364" s="244">
        <v>0.1</v>
      </c>
      <c r="M1364" s="244">
        <f t="shared" si="181"/>
        <v>0</v>
      </c>
      <c r="N1364" s="244"/>
      <c r="O1364" s="244"/>
      <c r="P1364" s="244"/>
      <c r="Q1364" s="245">
        <f t="shared" si="182"/>
        <v>0</v>
      </c>
      <c r="R1364" s="245">
        <f t="shared" si="183"/>
        <v>0</v>
      </c>
      <c r="S1364" s="246">
        <v>0.5</v>
      </c>
      <c r="T1364" s="245">
        <f t="shared" si="184"/>
        <v>0</v>
      </c>
      <c r="U1364" s="245">
        <f t="shared" si="185"/>
        <v>0</v>
      </c>
      <c r="V1364" s="247"/>
    </row>
    <row r="1365" spans="1:22" ht="15.75" x14ac:dyDescent="0.25">
      <c r="A1365" s="236"/>
      <c r="B1365" s="237"/>
      <c r="C1365" s="238"/>
      <c r="D1365" s="239"/>
      <c r="E1365" s="240"/>
      <c r="F1365" s="240"/>
      <c r="G1365" s="240"/>
      <c r="H1365" s="241">
        <f t="shared" si="180"/>
        <v>0</v>
      </c>
      <c r="I1365" s="242"/>
      <c r="J1365" s="243"/>
      <c r="K1365" s="243"/>
      <c r="L1365" s="244">
        <v>0.1</v>
      </c>
      <c r="M1365" s="244">
        <f t="shared" si="181"/>
        <v>0</v>
      </c>
      <c r="N1365" s="244"/>
      <c r="O1365" s="244"/>
      <c r="P1365" s="244"/>
      <c r="Q1365" s="245">
        <f t="shared" si="182"/>
        <v>0</v>
      </c>
      <c r="R1365" s="245">
        <f t="shared" si="183"/>
        <v>0</v>
      </c>
      <c r="S1365" s="246">
        <v>0.5</v>
      </c>
      <c r="T1365" s="245">
        <f t="shared" si="184"/>
        <v>0</v>
      </c>
      <c r="U1365" s="245">
        <f t="shared" si="185"/>
        <v>0</v>
      </c>
      <c r="V1365" s="247"/>
    </row>
    <row r="1366" spans="1:22" ht="15.75" x14ac:dyDescent="0.25">
      <c r="A1366" s="236"/>
      <c r="B1366" s="237"/>
      <c r="C1366" s="238"/>
      <c r="D1366" s="239"/>
      <c r="E1366" s="240"/>
      <c r="F1366" s="240"/>
      <c r="G1366" s="240"/>
      <c r="H1366" s="241">
        <f t="shared" si="180"/>
        <v>0</v>
      </c>
      <c r="I1366" s="242"/>
      <c r="J1366" s="243"/>
      <c r="K1366" s="243"/>
      <c r="L1366" s="244">
        <v>0.1</v>
      </c>
      <c r="M1366" s="244">
        <f t="shared" si="181"/>
        <v>0</v>
      </c>
      <c r="N1366" s="244"/>
      <c r="O1366" s="244"/>
      <c r="P1366" s="244"/>
      <c r="Q1366" s="245">
        <f t="shared" si="182"/>
        <v>0</v>
      </c>
      <c r="R1366" s="245">
        <f t="shared" si="183"/>
        <v>0</v>
      </c>
      <c r="S1366" s="246">
        <v>0.5</v>
      </c>
      <c r="T1366" s="245">
        <f t="shared" si="184"/>
        <v>0</v>
      </c>
      <c r="U1366" s="245">
        <f t="shared" si="185"/>
        <v>0</v>
      </c>
      <c r="V1366" s="247"/>
    </row>
    <row r="1367" spans="1:22" ht="15.75" x14ac:dyDescent="0.25">
      <c r="A1367" s="236"/>
      <c r="B1367" s="237"/>
      <c r="C1367" s="238"/>
      <c r="D1367" s="239"/>
      <c r="E1367" s="240"/>
      <c r="F1367" s="240"/>
      <c r="G1367" s="240"/>
      <c r="H1367" s="241">
        <f t="shared" si="180"/>
        <v>0</v>
      </c>
      <c r="I1367" s="242"/>
      <c r="J1367" s="243"/>
      <c r="K1367" s="243"/>
      <c r="L1367" s="244">
        <v>0.1</v>
      </c>
      <c r="M1367" s="244">
        <f t="shared" si="181"/>
        <v>0</v>
      </c>
      <c r="N1367" s="244"/>
      <c r="O1367" s="244"/>
      <c r="P1367" s="244"/>
      <c r="Q1367" s="245">
        <f t="shared" si="182"/>
        <v>0</v>
      </c>
      <c r="R1367" s="245">
        <f t="shared" si="183"/>
        <v>0</v>
      </c>
      <c r="S1367" s="246">
        <v>0.5</v>
      </c>
      <c r="T1367" s="245">
        <f t="shared" si="184"/>
        <v>0</v>
      </c>
      <c r="U1367" s="245">
        <f t="shared" si="185"/>
        <v>0</v>
      </c>
      <c r="V1367" s="247"/>
    </row>
    <row r="1368" spans="1:22" ht="15.75" x14ac:dyDescent="0.25">
      <c r="A1368" s="236"/>
      <c r="B1368" s="237"/>
      <c r="C1368" s="238"/>
      <c r="D1368" s="239"/>
      <c r="E1368" s="240"/>
      <c r="F1368" s="240"/>
      <c r="G1368" s="240"/>
      <c r="H1368" s="241">
        <f t="shared" si="180"/>
        <v>0</v>
      </c>
      <c r="I1368" s="242"/>
      <c r="J1368" s="243"/>
      <c r="K1368" s="243"/>
      <c r="L1368" s="244">
        <v>0.1</v>
      </c>
      <c r="M1368" s="244">
        <f t="shared" si="181"/>
        <v>0</v>
      </c>
      <c r="N1368" s="244"/>
      <c r="O1368" s="244"/>
      <c r="P1368" s="244"/>
      <c r="Q1368" s="245">
        <f t="shared" si="182"/>
        <v>0</v>
      </c>
      <c r="R1368" s="245">
        <f t="shared" si="183"/>
        <v>0</v>
      </c>
      <c r="S1368" s="246">
        <v>0.5</v>
      </c>
      <c r="T1368" s="245">
        <f t="shared" si="184"/>
        <v>0</v>
      </c>
      <c r="U1368" s="245">
        <f t="shared" si="185"/>
        <v>0</v>
      </c>
      <c r="V1368" s="247"/>
    </row>
    <row r="1369" spans="1:22" ht="15.75" x14ac:dyDescent="0.25">
      <c r="A1369" s="236"/>
      <c r="B1369" s="237"/>
      <c r="C1369" s="238"/>
      <c r="D1369" s="239"/>
      <c r="E1369" s="240"/>
      <c r="F1369" s="240"/>
      <c r="G1369" s="240"/>
      <c r="H1369" s="241">
        <f t="shared" si="180"/>
        <v>0</v>
      </c>
      <c r="I1369" s="242"/>
      <c r="J1369" s="243"/>
      <c r="K1369" s="243"/>
      <c r="L1369" s="244">
        <v>0.1</v>
      </c>
      <c r="M1369" s="244">
        <f t="shared" si="181"/>
        <v>0</v>
      </c>
      <c r="N1369" s="244"/>
      <c r="O1369" s="244"/>
      <c r="P1369" s="244"/>
      <c r="Q1369" s="245">
        <f t="shared" si="182"/>
        <v>0</v>
      </c>
      <c r="R1369" s="245">
        <f t="shared" si="183"/>
        <v>0</v>
      </c>
      <c r="S1369" s="246">
        <v>0.5</v>
      </c>
      <c r="T1369" s="245">
        <f t="shared" si="184"/>
        <v>0</v>
      </c>
      <c r="U1369" s="245">
        <f t="shared" si="185"/>
        <v>0</v>
      </c>
      <c r="V1369" s="247"/>
    </row>
    <row r="1370" spans="1:22" ht="15.75" x14ac:dyDescent="0.25">
      <c r="A1370" s="236"/>
      <c r="B1370" s="237"/>
      <c r="C1370" s="238"/>
      <c r="D1370" s="239"/>
      <c r="E1370" s="240"/>
      <c r="F1370" s="240"/>
      <c r="G1370" s="240"/>
      <c r="H1370" s="241">
        <f t="shared" si="180"/>
        <v>0</v>
      </c>
      <c r="I1370" s="242"/>
      <c r="J1370" s="243"/>
      <c r="K1370" s="243"/>
      <c r="L1370" s="244">
        <v>0.1</v>
      </c>
      <c r="M1370" s="244">
        <f t="shared" si="181"/>
        <v>0</v>
      </c>
      <c r="N1370" s="244"/>
      <c r="O1370" s="244"/>
      <c r="P1370" s="244"/>
      <c r="Q1370" s="245">
        <f t="shared" si="182"/>
        <v>0</v>
      </c>
      <c r="R1370" s="245">
        <f t="shared" si="183"/>
        <v>0</v>
      </c>
      <c r="S1370" s="246">
        <v>0.5</v>
      </c>
      <c r="T1370" s="245">
        <f t="shared" si="184"/>
        <v>0</v>
      </c>
      <c r="U1370" s="245">
        <f t="shared" si="185"/>
        <v>0</v>
      </c>
      <c r="V1370" s="247"/>
    </row>
    <row r="1371" spans="1:22" ht="15.75" x14ac:dyDescent="0.25">
      <c r="A1371" s="236"/>
      <c r="B1371" s="237"/>
      <c r="C1371" s="238"/>
      <c r="D1371" s="239"/>
      <c r="E1371" s="240"/>
      <c r="F1371" s="240"/>
      <c r="G1371" s="240"/>
      <c r="H1371" s="241">
        <f t="shared" si="180"/>
        <v>0</v>
      </c>
      <c r="I1371" s="242"/>
      <c r="J1371" s="243"/>
      <c r="K1371" s="243"/>
      <c r="L1371" s="244">
        <v>0.1</v>
      </c>
      <c r="M1371" s="244">
        <f t="shared" si="181"/>
        <v>0</v>
      </c>
      <c r="N1371" s="244"/>
      <c r="O1371" s="244"/>
      <c r="P1371" s="244"/>
      <c r="Q1371" s="245">
        <f t="shared" si="182"/>
        <v>0</v>
      </c>
      <c r="R1371" s="245">
        <f t="shared" si="183"/>
        <v>0</v>
      </c>
      <c r="S1371" s="246">
        <v>0.5</v>
      </c>
      <c r="T1371" s="245">
        <f t="shared" si="184"/>
        <v>0</v>
      </c>
      <c r="U1371" s="245">
        <f t="shared" si="185"/>
        <v>0</v>
      </c>
      <c r="V1371" s="247"/>
    </row>
    <row r="1372" spans="1:22" ht="15.75" x14ac:dyDescent="0.25">
      <c r="A1372" s="236"/>
      <c r="B1372" s="237"/>
      <c r="C1372" s="238"/>
      <c r="D1372" s="239"/>
      <c r="E1372" s="240"/>
      <c r="F1372" s="240"/>
      <c r="G1372" s="240"/>
      <c r="H1372" s="241">
        <f t="shared" si="180"/>
        <v>0</v>
      </c>
      <c r="I1372" s="242"/>
      <c r="J1372" s="243"/>
      <c r="K1372" s="243"/>
      <c r="L1372" s="244">
        <v>0.1</v>
      </c>
      <c r="M1372" s="244">
        <f t="shared" si="181"/>
        <v>0</v>
      </c>
      <c r="N1372" s="244"/>
      <c r="O1372" s="244"/>
      <c r="P1372" s="244"/>
      <c r="Q1372" s="245">
        <f t="shared" si="182"/>
        <v>0</v>
      </c>
      <c r="R1372" s="245">
        <f t="shared" si="183"/>
        <v>0</v>
      </c>
      <c r="S1372" s="246">
        <v>0.5</v>
      </c>
      <c r="T1372" s="245">
        <f t="shared" si="184"/>
        <v>0</v>
      </c>
      <c r="U1372" s="245">
        <f t="shared" si="185"/>
        <v>0</v>
      </c>
      <c r="V1372" s="247"/>
    </row>
    <row r="1373" spans="1:22" ht="15.75" x14ac:dyDescent="0.25">
      <c r="A1373" s="236"/>
      <c r="B1373" s="237"/>
      <c r="C1373" s="238"/>
      <c r="D1373" s="239"/>
      <c r="E1373" s="240"/>
      <c r="F1373" s="240"/>
      <c r="G1373" s="240"/>
      <c r="H1373" s="241">
        <f t="shared" si="180"/>
        <v>0</v>
      </c>
      <c r="I1373" s="242"/>
      <c r="J1373" s="243"/>
      <c r="K1373" s="243"/>
      <c r="L1373" s="244">
        <v>0.1</v>
      </c>
      <c r="M1373" s="244">
        <f t="shared" si="181"/>
        <v>0</v>
      </c>
      <c r="N1373" s="244"/>
      <c r="O1373" s="244"/>
      <c r="P1373" s="244"/>
      <c r="Q1373" s="245">
        <f t="shared" si="182"/>
        <v>0</v>
      </c>
      <c r="R1373" s="245">
        <f t="shared" si="183"/>
        <v>0</v>
      </c>
      <c r="S1373" s="246">
        <v>0.5</v>
      </c>
      <c r="T1373" s="245">
        <f t="shared" si="184"/>
        <v>0</v>
      </c>
      <c r="U1373" s="245">
        <f t="shared" si="185"/>
        <v>0</v>
      </c>
      <c r="V1373" s="247"/>
    </row>
    <row r="1374" spans="1:22" ht="15.75" x14ac:dyDescent="0.25">
      <c r="A1374" s="236"/>
      <c r="B1374" s="237"/>
      <c r="C1374" s="238"/>
      <c r="D1374" s="239"/>
      <c r="E1374" s="240"/>
      <c r="F1374" s="240"/>
      <c r="G1374" s="240"/>
      <c r="H1374" s="241">
        <f t="shared" si="180"/>
        <v>0</v>
      </c>
      <c r="I1374" s="242"/>
      <c r="J1374" s="243"/>
      <c r="K1374" s="243"/>
      <c r="L1374" s="244">
        <v>0.1</v>
      </c>
      <c r="M1374" s="244">
        <f t="shared" si="181"/>
        <v>0</v>
      </c>
      <c r="N1374" s="244"/>
      <c r="O1374" s="244"/>
      <c r="P1374" s="244"/>
      <c r="Q1374" s="245">
        <f t="shared" si="182"/>
        <v>0</v>
      </c>
      <c r="R1374" s="245">
        <f t="shared" si="183"/>
        <v>0</v>
      </c>
      <c r="S1374" s="246">
        <v>0.5</v>
      </c>
      <c r="T1374" s="245">
        <f t="shared" si="184"/>
        <v>0</v>
      </c>
      <c r="U1374" s="245">
        <f t="shared" si="185"/>
        <v>0</v>
      </c>
      <c r="V1374" s="247"/>
    </row>
    <row r="1375" spans="1:22" ht="15.75" x14ac:dyDescent="0.25">
      <c r="A1375" s="236"/>
      <c r="B1375" s="237"/>
      <c r="C1375" s="238"/>
      <c r="D1375" s="239"/>
      <c r="E1375" s="240"/>
      <c r="F1375" s="240"/>
      <c r="G1375" s="240"/>
      <c r="H1375" s="241">
        <f t="shared" si="180"/>
        <v>0</v>
      </c>
      <c r="I1375" s="242"/>
      <c r="J1375" s="243"/>
      <c r="K1375" s="243"/>
      <c r="L1375" s="244">
        <v>0.1</v>
      </c>
      <c r="M1375" s="244">
        <f t="shared" si="181"/>
        <v>0</v>
      </c>
      <c r="N1375" s="244"/>
      <c r="O1375" s="244"/>
      <c r="P1375" s="244"/>
      <c r="Q1375" s="245">
        <f t="shared" si="182"/>
        <v>0</v>
      </c>
      <c r="R1375" s="245">
        <f t="shared" si="183"/>
        <v>0</v>
      </c>
      <c r="S1375" s="246">
        <v>0.5</v>
      </c>
      <c r="T1375" s="245">
        <f t="shared" si="184"/>
        <v>0</v>
      </c>
      <c r="U1375" s="245">
        <f t="shared" si="185"/>
        <v>0</v>
      </c>
      <c r="V1375" s="247"/>
    </row>
    <row r="1376" spans="1:22" ht="15.75" x14ac:dyDescent="0.25">
      <c r="A1376" s="236"/>
      <c r="B1376" s="237"/>
      <c r="C1376" s="238"/>
      <c r="D1376" s="239"/>
      <c r="E1376" s="240"/>
      <c r="F1376" s="240"/>
      <c r="G1376" s="240"/>
      <c r="H1376" s="241">
        <f t="shared" si="180"/>
        <v>0</v>
      </c>
      <c r="I1376" s="242"/>
      <c r="J1376" s="243"/>
      <c r="K1376" s="243"/>
      <c r="L1376" s="244">
        <v>0.1</v>
      </c>
      <c r="M1376" s="244">
        <f t="shared" si="181"/>
        <v>0</v>
      </c>
      <c r="N1376" s="244"/>
      <c r="O1376" s="244"/>
      <c r="P1376" s="244"/>
      <c r="Q1376" s="245">
        <f t="shared" si="182"/>
        <v>0</v>
      </c>
      <c r="R1376" s="245">
        <f t="shared" si="183"/>
        <v>0</v>
      </c>
      <c r="S1376" s="246">
        <v>0.5</v>
      </c>
      <c r="T1376" s="245">
        <f t="shared" si="184"/>
        <v>0</v>
      </c>
      <c r="U1376" s="245">
        <f t="shared" si="185"/>
        <v>0</v>
      </c>
      <c r="V1376" s="247"/>
    </row>
    <row r="1377" spans="1:22" ht="15.75" x14ac:dyDescent="0.25">
      <c r="A1377" s="236"/>
      <c r="B1377" s="237"/>
      <c r="C1377" s="238"/>
      <c r="D1377" s="239"/>
      <c r="E1377" s="240"/>
      <c r="F1377" s="240"/>
      <c r="G1377" s="240"/>
      <c r="H1377" s="241">
        <f t="shared" si="180"/>
        <v>0</v>
      </c>
      <c r="I1377" s="242"/>
      <c r="J1377" s="243"/>
      <c r="K1377" s="243"/>
      <c r="L1377" s="244">
        <v>0.1</v>
      </c>
      <c r="M1377" s="244">
        <f t="shared" si="181"/>
        <v>0</v>
      </c>
      <c r="N1377" s="244"/>
      <c r="O1377" s="244"/>
      <c r="P1377" s="244"/>
      <c r="Q1377" s="245">
        <f t="shared" si="182"/>
        <v>0</v>
      </c>
      <c r="R1377" s="245">
        <f t="shared" si="183"/>
        <v>0</v>
      </c>
      <c r="S1377" s="246">
        <v>0.5</v>
      </c>
      <c r="T1377" s="245">
        <f t="shared" si="184"/>
        <v>0</v>
      </c>
      <c r="U1377" s="245">
        <f t="shared" si="185"/>
        <v>0</v>
      </c>
      <c r="V1377" s="247"/>
    </row>
    <row r="1378" spans="1:22" ht="15.75" x14ac:dyDescent="0.25">
      <c r="A1378" s="236"/>
      <c r="B1378" s="237"/>
      <c r="C1378" s="238"/>
      <c r="D1378" s="239"/>
      <c r="E1378" s="240"/>
      <c r="F1378" s="240"/>
      <c r="G1378" s="240"/>
      <c r="H1378" s="241">
        <f t="shared" si="32"/>
        <v>0</v>
      </c>
      <c r="I1378" s="242"/>
      <c r="J1378" s="243"/>
      <c r="K1378" s="243"/>
      <c r="L1378" s="244">
        <v>0.1</v>
      </c>
      <c r="M1378" s="244">
        <f t="shared" si="33"/>
        <v>0</v>
      </c>
      <c r="N1378" s="244"/>
      <c r="O1378" s="244"/>
      <c r="P1378" s="244"/>
      <c r="Q1378" s="245">
        <f t="shared" si="34"/>
        <v>0</v>
      </c>
      <c r="R1378" s="245">
        <f t="shared" si="35"/>
        <v>0</v>
      </c>
      <c r="S1378" s="246">
        <v>0.5</v>
      </c>
      <c r="T1378" s="245">
        <f t="shared" si="36"/>
        <v>0</v>
      </c>
      <c r="U1378" s="245">
        <f t="shared" si="37"/>
        <v>0</v>
      </c>
      <c r="V1378" s="247"/>
    </row>
    <row r="1379" spans="1:22" ht="15.75" x14ac:dyDescent="0.25">
      <c r="A1379" s="236"/>
      <c r="B1379" s="237"/>
      <c r="C1379" s="238"/>
      <c r="D1379" s="239"/>
      <c r="E1379" s="240"/>
      <c r="F1379" s="240"/>
      <c r="G1379" s="240"/>
      <c r="H1379" s="241">
        <f t="shared" si="32"/>
        <v>0</v>
      </c>
      <c r="I1379" s="242"/>
      <c r="J1379" s="243"/>
      <c r="K1379" s="243"/>
      <c r="L1379" s="244">
        <v>0.1</v>
      </c>
      <c r="M1379" s="244">
        <f t="shared" si="33"/>
        <v>0</v>
      </c>
      <c r="N1379" s="244"/>
      <c r="O1379" s="244"/>
      <c r="P1379" s="244"/>
      <c r="Q1379" s="245">
        <f t="shared" si="34"/>
        <v>0</v>
      </c>
      <c r="R1379" s="245">
        <f t="shared" si="35"/>
        <v>0</v>
      </c>
      <c r="S1379" s="246">
        <v>0.5</v>
      </c>
      <c r="T1379" s="245">
        <f t="shared" si="36"/>
        <v>0</v>
      </c>
      <c r="U1379" s="245">
        <f t="shared" si="37"/>
        <v>0</v>
      </c>
      <c r="V1379" s="247"/>
    </row>
    <row r="1380" spans="1:22" ht="15.75" x14ac:dyDescent="0.25">
      <c r="A1380" s="236"/>
      <c r="B1380" s="237"/>
      <c r="C1380" s="238"/>
      <c r="D1380" s="239"/>
      <c r="E1380" s="240"/>
      <c r="F1380" s="240"/>
      <c r="G1380" s="240"/>
      <c r="H1380" s="241">
        <f t="shared" si="32"/>
        <v>0</v>
      </c>
      <c r="I1380" s="242"/>
      <c r="J1380" s="243"/>
      <c r="K1380" s="243"/>
      <c r="L1380" s="244">
        <v>0.1</v>
      </c>
      <c r="M1380" s="244">
        <f t="shared" si="33"/>
        <v>0</v>
      </c>
      <c r="N1380" s="244"/>
      <c r="O1380" s="244"/>
      <c r="P1380" s="244"/>
      <c r="Q1380" s="245">
        <f t="shared" si="34"/>
        <v>0</v>
      </c>
      <c r="R1380" s="245">
        <f t="shared" si="35"/>
        <v>0</v>
      </c>
      <c r="S1380" s="246">
        <v>0.5</v>
      </c>
      <c r="T1380" s="245">
        <f t="shared" si="36"/>
        <v>0</v>
      </c>
      <c r="U1380" s="245">
        <f t="shared" si="37"/>
        <v>0</v>
      </c>
      <c r="V1380" s="247"/>
    </row>
    <row r="1381" spans="1:22" ht="15.75" x14ac:dyDescent="0.25">
      <c r="A1381" s="236"/>
      <c r="B1381" s="237"/>
      <c r="C1381" s="238"/>
      <c r="D1381" s="239"/>
      <c r="E1381" s="240"/>
      <c r="F1381" s="240"/>
      <c r="G1381" s="240"/>
      <c r="H1381" s="241">
        <f t="shared" si="32"/>
        <v>0</v>
      </c>
      <c r="I1381" s="242"/>
      <c r="J1381" s="243"/>
      <c r="K1381" s="243"/>
      <c r="L1381" s="244">
        <v>0.1</v>
      </c>
      <c r="M1381" s="244">
        <f t="shared" si="33"/>
        <v>0</v>
      </c>
      <c r="N1381" s="244"/>
      <c r="O1381" s="244"/>
      <c r="P1381" s="244"/>
      <c r="Q1381" s="245">
        <f t="shared" si="34"/>
        <v>0</v>
      </c>
      <c r="R1381" s="245">
        <f t="shared" si="35"/>
        <v>0</v>
      </c>
      <c r="S1381" s="246">
        <v>0.5</v>
      </c>
      <c r="T1381" s="245">
        <f t="shared" si="36"/>
        <v>0</v>
      </c>
      <c r="U1381" s="245">
        <f t="shared" si="37"/>
        <v>0</v>
      </c>
      <c r="V1381" s="247"/>
    </row>
    <row r="1382" spans="1:22" ht="15.75" x14ac:dyDescent="0.25">
      <c r="A1382" s="236"/>
      <c r="B1382" s="237"/>
      <c r="C1382" s="238"/>
      <c r="D1382" s="239"/>
      <c r="E1382" s="240"/>
      <c r="F1382" s="240"/>
      <c r="G1382" s="240"/>
      <c r="H1382" s="241">
        <f t="shared" si="32"/>
        <v>0</v>
      </c>
      <c r="I1382" s="242"/>
      <c r="J1382" s="243"/>
      <c r="K1382" s="243"/>
      <c r="L1382" s="244">
        <v>0.1</v>
      </c>
      <c r="M1382" s="244">
        <f t="shared" si="33"/>
        <v>0</v>
      </c>
      <c r="N1382" s="244"/>
      <c r="O1382" s="244"/>
      <c r="P1382" s="244"/>
      <c r="Q1382" s="245">
        <f t="shared" si="34"/>
        <v>0</v>
      </c>
      <c r="R1382" s="245">
        <f t="shared" si="35"/>
        <v>0</v>
      </c>
      <c r="S1382" s="246">
        <v>0.5</v>
      </c>
      <c r="T1382" s="245">
        <f t="shared" si="36"/>
        <v>0</v>
      </c>
      <c r="U1382" s="245">
        <f t="shared" si="37"/>
        <v>0</v>
      </c>
      <c r="V1382" s="247"/>
    </row>
    <row r="1383" spans="1:22" ht="15.75" x14ac:dyDescent="0.25">
      <c r="A1383" s="236"/>
      <c r="B1383" s="237"/>
      <c r="C1383" s="238"/>
      <c r="D1383" s="239"/>
      <c r="E1383" s="240"/>
      <c r="F1383" s="240"/>
      <c r="G1383" s="240"/>
      <c r="H1383" s="241">
        <f t="shared" si="32"/>
        <v>0</v>
      </c>
      <c r="I1383" s="242"/>
      <c r="J1383" s="243"/>
      <c r="K1383" s="243"/>
      <c r="L1383" s="244">
        <v>0.1</v>
      </c>
      <c r="M1383" s="244">
        <f t="shared" si="33"/>
        <v>0</v>
      </c>
      <c r="N1383" s="244"/>
      <c r="O1383" s="244"/>
      <c r="P1383" s="244"/>
      <c r="Q1383" s="245">
        <f t="shared" si="34"/>
        <v>0</v>
      </c>
      <c r="R1383" s="245">
        <f t="shared" si="35"/>
        <v>0</v>
      </c>
      <c r="S1383" s="246">
        <v>0.5</v>
      </c>
      <c r="T1383" s="245">
        <f t="shared" si="36"/>
        <v>0</v>
      </c>
      <c r="U1383" s="245">
        <f t="shared" si="37"/>
        <v>0</v>
      </c>
      <c r="V1383" s="247"/>
    </row>
    <row r="1384" spans="1:22" ht="15.75" x14ac:dyDescent="0.25">
      <c r="A1384" s="236"/>
      <c r="B1384" s="237"/>
      <c r="C1384" s="238"/>
      <c r="D1384" s="239"/>
      <c r="E1384" s="240"/>
      <c r="F1384" s="240"/>
      <c r="G1384" s="240"/>
      <c r="H1384" s="241">
        <f t="shared" si="32"/>
        <v>0</v>
      </c>
      <c r="I1384" s="242"/>
      <c r="J1384" s="243"/>
      <c r="K1384" s="243"/>
      <c r="L1384" s="244">
        <v>0.1</v>
      </c>
      <c r="M1384" s="244">
        <f t="shared" si="33"/>
        <v>0</v>
      </c>
      <c r="N1384" s="244"/>
      <c r="O1384" s="244"/>
      <c r="P1384" s="244"/>
      <c r="Q1384" s="245">
        <f t="shared" si="34"/>
        <v>0</v>
      </c>
      <c r="R1384" s="245">
        <f t="shared" si="35"/>
        <v>0</v>
      </c>
      <c r="S1384" s="246">
        <v>0.5</v>
      </c>
      <c r="T1384" s="245">
        <f t="shared" si="36"/>
        <v>0</v>
      </c>
      <c r="U1384" s="245">
        <f t="shared" si="37"/>
        <v>0</v>
      </c>
      <c r="V1384" s="247"/>
    </row>
    <row r="1385" spans="1:22" ht="15.75" x14ac:dyDescent="0.25">
      <c r="A1385" s="236"/>
      <c r="B1385" s="237"/>
      <c r="C1385" s="238"/>
      <c r="D1385" s="239"/>
      <c r="E1385" s="240"/>
      <c r="F1385" s="240"/>
      <c r="G1385" s="240"/>
      <c r="H1385" s="241">
        <f t="shared" si="32"/>
        <v>0</v>
      </c>
      <c r="I1385" s="242"/>
      <c r="J1385" s="243"/>
      <c r="K1385" s="243"/>
      <c r="L1385" s="244">
        <v>0.1</v>
      </c>
      <c r="M1385" s="244">
        <f t="shared" si="33"/>
        <v>0</v>
      </c>
      <c r="N1385" s="244"/>
      <c r="O1385" s="244"/>
      <c r="P1385" s="244"/>
      <c r="Q1385" s="245">
        <f t="shared" si="34"/>
        <v>0</v>
      </c>
      <c r="R1385" s="245">
        <f t="shared" si="35"/>
        <v>0</v>
      </c>
      <c r="S1385" s="246">
        <v>0.5</v>
      </c>
      <c r="T1385" s="245">
        <f t="shared" si="36"/>
        <v>0</v>
      </c>
      <c r="U1385" s="245">
        <f t="shared" si="37"/>
        <v>0</v>
      </c>
      <c r="V1385" s="247"/>
    </row>
    <row r="1386" spans="1:22" ht="15.75" x14ac:dyDescent="0.25">
      <c r="A1386" s="236"/>
      <c r="B1386" s="237"/>
      <c r="C1386" s="238"/>
      <c r="D1386" s="239"/>
      <c r="E1386" s="240"/>
      <c r="F1386" s="240"/>
      <c r="G1386" s="240"/>
      <c r="H1386" s="241">
        <f t="shared" si="32"/>
        <v>0</v>
      </c>
      <c r="I1386" s="242"/>
      <c r="J1386" s="243"/>
      <c r="K1386" s="243"/>
      <c r="L1386" s="244">
        <v>0.1</v>
      </c>
      <c r="M1386" s="244">
        <f t="shared" si="33"/>
        <v>0</v>
      </c>
      <c r="N1386" s="244"/>
      <c r="O1386" s="244"/>
      <c r="P1386" s="244"/>
      <c r="Q1386" s="245">
        <f t="shared" si="34"/>
        <v>0</v>
      </c>
      <c r="R1386" s="245">
        <f t="shared" si="35"/>
        <v>0</v>
      </c>
      <c r="S1386" s="246">
        <v>0.5</v>
      </c>
      <c r="T1386" s="245">
        <f t="shared" si="36"/>
        <v>0</v>
      </c>
      <c r="U1386" s="245">
        <f t="shared" si="37"/>
        <v>0</v>
      </c>
      <c r="V1386" s="247"/>
    </row>
    <row r="1387" spans="1:22" ht="15.75" x14ac:dyDescent="0.25">
      <c r="A1387" s="236"/>
      <c r="B1387" s="237"/>
      <c r="C1387" s="238"/>
      <c r="D1387" s="239"/>
      <c r="E1387" s="240"/>
      <c r="F1387" s="240"/>
      <c r="G1387" s="240"/>
      <c r="H1387" s="241">
        <f t="shared" si="32"/>
        <v>0</v>
      </c>
      <c r="I1387" s="242"/>
      <c r="J1387" s="243"/>
      <c r="K1387" s="243"/>
      <c r="L1387" s="244">
        <v>0.1</v>
      </c>
      <c r="M1387" s="244">
        <f t="shared" si="33"/>
        <v>0</v>
      </c>
      <c r="N1387" s="244"/>
      <c r="O1387" s="244"/>
      <c r="P1387" s="244"/>
      <c r="Q1387" s="245">
        <f t="shared" si="34"/>
        <v>0</v>
      </c>
      <c r="R1387" s="245">
        <f t="shared" si="35"/>
        <v>0</v>
      </c>
      <c r="S1387" s="246">
        <v>0.5</v>
      </c>
      <c r="T1387" s="245">
        <f t="shared" si="36"/>
        <v>0</v>
      </c>
      <c r="U1387" s="245">
        <f t="shared" si="37"/>
        <v>0</v>
      </c>
      <c r="V1387" s="247"/>
    </row>
    <row r="1388" spans="1:22" ht="15.75" x14ac:dyDescent="0.25">
      <c r="A1388" s="236"/>
      <c r="B1388" s="237"/>
      <c r="C1388" s="238"/>
      <c r="D1388" s="239"/>
      <c r="E1388" s="240"/>
      <c r="F1388" s="240"/>
      <c r="G1388" s="240"/>
      <c r="H1388" s="241">
        <f t="shared" si="32"/>
        <v>0</v>
      </c>
      <c r="I1388" s="242"/>
      <c r="J1388" s="243"/>
      <c r="K1388" s="243"/>
      <c r="L1388" s="244">
        <v>0.1</v>
      </c>
      <c r="M1388" s="244">
        <f t="shared" si="33"/>
        <v>0</v>
      </c>
      <c r="N1388" s="244"/>
      <c r="O1388" s="244"/>
      <c r="P1388" s="244"/>
      <c r="Q1388" s="245">
        <f t="shared" si="34"/>
        <v>0</v>
      </c>
      <c r="R1388" s="245">
        <f t="shared" si="35"/>
        <v>0</v>
      </c>
      <c r="S1388" s="246">
        <v>0.5</v>
      </c>
      <c r="T1388" s="245">
        <f t="shared" si="36"/>
        <v>0</v>
      </c>
      <c r="U1388" s="245">
        <f t="shared" si="37"/>
        <v>0</v>
      </c>
      <c r="V1388" s="247"/>
    </row>
    <row r="1389" spans="1:22" ht="15.75" x14ac:dyDescent="0.25">
      <c r="A1389" s="236"/>
      <c r="B1389" s="237"/>
      <c r="C1389" s="238"/>
      <c r="D1389" s="239"/>
      <c r="E1389" s="240"/>
      <c r="F1389" s="240"/>
      <c r="G1389" s="240"/>
      <c r="H1389" s="241">
        <f t="shared" si="32"/>
        <v>0</v>
      </c>
      <c r="I1389" s="242"/>
      <c r="J1389" s="243"/>
      <c r="K1389" s="243"/>
      <c r="L1389" s="244">
        <v>0.1</v>
      </c>
      <c r="M1389" s="244">
        <f t="shared" si="33"/>
        <v>0</v>
      </c>
      <c r="N1389" s="244"/>
      <c r="O1389" s="244"/>
      <c r="P1389" s="244"/>
      <c r="Q1389" s="245">
        <f t="shared" si="34"/>
        <v>0</v>
      </c>
      <c r="R1389" s="245">
        <f t="shared" si="35"/>
        <v>0</v>
      </c>
      <c r="S1389" s="246">
        <v>0.5</v>
      </c>
      <c r="T1389" s="245">
        <f t="shared" si="36"/>
        <v>0</v>
      </c>
      <c r="U1389" s="245">
        <f t="shared" si="37"/>
        <v>0</v>
      </c>
      <c r="V1389" s="247"/>
    </row>
    <row r="1390" spans="1:22" ht="15.75" x14ac:dyDescent="0.25">
      <c r="A1390" s="236"/>
      <c r="B1390" s="237"/>
      <c r="C1390" s="238"/>
      <c r="D1390" s="239"/>
      <c r="E1390" s="240"/>
      <c r="F1390" s="240"/>
      <c r="G1390" s="240"/>
      <c r="H1390" s="241">
        <f t="shared" si="32"/>
        <v>0</v>
      </c>
      <c r="I1390" s="242"/>
      <c r="J1390" s="243"/>
      <c r="K1390" s="243"/>
      <c r="L1390" s="244">
        <v>0.1</v>
      </c>
      <c r="M1390" s="244">
        <f t="shared" si="33"/>
        <v>0</v>
      </c>
      <c r="N1390" s="244"/>
      <c r="O1390" s="244"/>
      <c r="P1390" s="244"/>
      <c r="Q1390" s="245">
        <f t="shared" si="34"/>
        <v>0</v>
      </c>
      <c r="R1390" s="245">
        <f t="shared" si="35"/>
        <v>0</v>
      </c>
      <c r="S1390" s="246">
        <v>0.5</v>
      </c>
      <c r="T1390" s="245">
        <f t="shared" si="36"/>
        <v>0</v>
      </c>
      <c r="U1390" s="245">
        <f t="shared" si="37"/>
        <v>0</v>
      </c>
      <c r="V1390" s="247"/>
    </row>
    <row r="1391" spans="1:22" ht="15.75" x14ac:dyDescent="0.25">
      <c r="A1391" s="236"/>
      <c r="B1391" s="237"/>
      <c r="C1391" s="238"/>
      <c r="D1391" s="239"/>
      <c r="E1391" s="240"/>
      <c r="F1391" s="240"/>
      <c r="G1391" s="240"/>
      <c r="H1391" s="241">
        <f t="shared" si="32"/>
        <v>0</v>
      </c>
      <c r="I1391" s="242"/>
      <c r="J1391" s="243"/>
      <c r="K1391" s="243"/>
      <c r="L1391" s="244">
        <v>0.1</v>
      </c>
      <c r="M1391" s="244">
        <f t="shared" si="33"/>
        <v>0</v>
      </c>
      <c r="N1391" s="244"/>
      <c r="O1391" s="244"/>
      <c r="P1391" s="244"/>
      <c r="Q1391" s="245">
        <f t="shared" si="34"/>
        <v>0</v>
      </c>
      <c r="R1391" s="245">
        <f t="shared" si="35"/>
        <v>0</v>
      </c>
      <c r="S1391" s="246">
        <v>0.5</v>
      </c>
      <c r="T1391" s="245">
        <f t="shared" si="36"/>
        <v>0</v>
      </c>
      <c r="U1391" s="245">
        <f t="shared" si="37"/>
        <v>0</v>
      </c>
      <c r="V1391" s="247"/>
    </row>
    <row r="1392" spans="1:22" ht="15.75" x14ac:dyDescent="0.25">
      <c r="A1392" s="236"/>
      <c r="B1392" s="237"/>
      <c r="C1392" s="238"/>
      <c r="D1392" s="239"/>
      <c r="E1392" s="240"/>
      <c r="F1392" s="240"/>
      <c r="G1392" s="240"/>
      <c r="H1392" s="241">
        <f t="shared" si="32"/>
        <v>0</v>
      </c>
      <c r="I1392" s="242"/>
      <c r="J1392" s="243"/>
      <c r="K1392" s="243"/>
      <c r="L1392" s="244">
        <v>0.1</v>
      </c>
      <c r="M1392" s="244">
        <f t="shared" si="33"/>
        <v>0</v>
      </c>
      <c r="N1392" s="244"/>
      <c r="O1392" s="244"/>
      <c r="P1392" s="244"/>
      <c r="Q1392" s="245">
        <f t="shared" si="34"/>
        <v>0</v>
      </c>
      <c r="R1392" s="245">
        <f t="shared" si="35"/>
        <v>0</v>
      </c>
      <c r="S1392" s="246">
        <v>0.5</v>
      </c>
      <c r="T1392" s="245">
        <f t="shared" si="36"/>
        <v>0</v>
      </c>
      <c r="U1392" s="245">
        <f t="shared" si="37"/>
        <v>0</v>
      </c>
      <c r="V1392" s="247"/>
    </row>
    <row r="1393" spans="1:22" ht="15.75" x14ac:dyDescent="0.25">
      <c r="A1393" s="236"/>
      <c r="B1393" s="237"/>
      <c r="C1393" s="238"/>
      <c r="D1393" s="239"/>
      <c r="E1393" s="240"/>
      <c r="F1393" s="240"/>
      <c r="G1393" s="240"/>
      <c r="H1393" s="241">
        <f t="shared" si="32"/>
        <v>0</v>
      </c>
      <c r="I1393" s="242"/>
      <c r="J1393" s="243"/>
      <c r="K1393" s="243"/>
      <c r="L1393" s="244">
        <v>0.1</v>
      </c>
      <c r="M1393" s="244">
        <f t="shared" si="33"/>
        <v>0</v>
      </c>
      <c r="N1393" s="244"/>
      <c r="O1393" s="244"/>
      <c r="P1393" s="244"/>
      <c r="Q1393" s="245">
        <f t="shared" si="34"/>
        <v>0</v>
      </c>
      <c r="R1393" s="245">
        <f t="shared" si="35"/>
        <v>0</v>
      </c>
      <c r="S1393" s="246">
        <v>0.5</v>
      </c>
      <c r="T1393" s="245">
        <f t="shared" si="36"/>
        <v>0</v>
      </c>
      <c r="U1393" s="245">
        <f t="shared" si="37"/>
        <v>0</v>
      </c>
      <c r="V1393" s="247"/>
    </row>
    <row r="1394" spans="1:22" ht="15.75" x14ac:dyDescent="0.25">
      <c r="A1394" s="236"/>
      <c r="B1394" s="237"/>
      <c r="C1394" s="238"/>
      <c r="D1394" s="239"/>
      <c r="E1394" s="240"/>
      <c r="F1394" s="240"/>
      <c r="G1394" s="240"/>
      <c r="H1394" s="241">
        <f t="shared" si="32"/>
        <v>0</v>
      </c>
      <c r="I1394" s="242"/>
      <c r="J1394" s="243"/>
      <c r="K1394" s="243"/>
      <c r="L1394" s="244">
        <v>0.1</v>
      </c>
      <c r="M1394" s="244">
        <f t="shared" si="33"/>
        <v>0</v>
      </c>
      <c r="N1394" s="244"/>
      <c r="O1394" s="244"/>
      <c r="P1394" s="244"/>
      <c r="Q1394" s="245">
        <f t="shared" si="34"/>
        <v>0</v>
      </c>
      <c r="R1394" s="245">
        <f t="shared" si="35"/>
        <v>0</v>
      </c>
      <c r="S1394" s="246">
        <v>0.5</v>
      </c>
      <c r="T1394" s="245">
        <f t="shared" si="36"/>
        <v>0</v>
      </c>
      <c r="U1394" s="245">
        <f t="shared" si="37"/>
        <v>0</v>
      </c>
      <c r="V1394" s="247"/>
    </row>
    <row r="1395" spans="1:22" ht="15.75" x14ac:dyDescent="0.25">
      <c r="A1395" s="236"/>
      <c r="B1395" s="237"/>
      <c r="C1395" s="238"/>
      <c r="D1395" s="239"/>
      <c r="E1395" s="240"/>
      <c r="F1395" s="240"/>
      <c r="G1395" s="240"/>
      <c r="H1395" s="241">
        <f t="shared" si="32"/>
        <v>0</v>
      </c>
      <c r="I1395" s="242"/>
      <c r="J1395" s="243"/>
      <c r="K1395" s="243"/>
      <c r="L1395" s="244">
        <v>0.1</v>
      </c>
      <c r="M1395" s="244">
        <f t="shared" si="33"/>
        <v>0</v>
      </c>
      <c r="N1395" s="244"/>
      <c r="O1395" s="244"/>
      <c r="P1395" s="244"/>
      <c r="Q1395" s="245">
        <f t="shared" si="34"/>
        <v>0</v>
      </c>
      <c r="R1395" s="245">
        <f t="shared" si="35"/>
        <v>0</v>
      </c>
      <c r="S1395" s="246">
        <v>0.5</v>
      </c>
      <c r="T1395" s="245">
        <f t="shared" si="36"/>
        <v>0</v>
      </c>
      <c r="U1395" s="245">
        <f t="shared" si="37"/>
        <v>0</v>
      </c>
      <c r="V1395" s="247"/>
    </row>
    <row r="1396" spans="1:22" ht="15.75" x14ac:dyDescent="0.25">
      <c r="A1396" s="236"/>
      <c r="B1396" s="237"/>
      <c r="C1396" s="238"/>
      <c r="D1396" s="239"/>
      <c r="E1396" s="240"/>
      <c r="F1396" s="240"/>
      <c r="G1396" s="240"/>
      <c r="H1396" s="241">
        <f t="shared" si="32"/>
        <v>0</v>
      </c>
      <c r="I1396" s="242"/>
      <c r="J1396" s="243"/>
      <c r="K1396" s="243"/>
      <c r="L1396" s="244">
        <v>0.1</v>
      </c>
      <c r="M1396" s="244">
        <f t="shared" si="33"/>
        <v>0</v>
      </c>
      <c r="N1396" s="244"/>
      <c r="O1396" s="244"/>
      <c r="P1396" s="244"/>
      <c r="Q1396" s="245">
        <f t="shared" si="34"/>
        <v>0</v>
      </c>
      <c r="R1396" s="245">
        <f t="shared" si="35"/>
        <v>0</v>
      </c>
      <c r="S1396" s="246">
        <v>0.5</v>
      </c>
      <c r="T1396" s="245">
        <f t="shared" si="36"/>
        <v>0</v>
      </c>
      <c r="U1396" s="245">
        <f t="shared" si="37"/>
        <v>0</v>
      </c>
      <c r="V1396" s="247"/>
    </row>
    <row r="1397" spans="1:22" ht="15.75" x14ac:dyDescent="0.25">
      <c r="A1397" s="236"/>
      <c r="B1397" s="237"/>
      <c r="C1397" s="238"/>
      <c r="D1397" s="239"/>
      <c r="E1397" s="240"/>
      <c r="F1397" s="240"/>
      <c r="G1397" s="240"/>
      <c r="H1397" s="241">
        <f t="shared" si="32"/>
        <v>0</v>
      </c>
      <c r="I1397" s="242"/>
      <c r="J1397" s="243"/>
      <c r="K1397" s="243"/>
      <c r="L1397" s="244">
        <v>0.1</v>
      </c>
      <c r="M1397" s="244">
        <f t="shared" si="33"/>
        <v>0</v>
      </c>
      <c r="N1397" s="244"/>
      <c r="O1397" s="244"/>
      <c r="P1397" s="244"/>
      <c r="Q1397" s="245">
        <f t="shared" si="34"/>
        <v>0</v>
      </c>
      <c r="R1397" s="245">
        <f t="shared" si="35"/>
        <v>0</v>
      </c>
      <c r="S1397" s="246">
        <v>0.5</v>
      </c>
      <c r="T1397" s="245">
        <f t="shared" si="36"/>
        <v>0</v>
      </c>
      <c r="U1397" s="245">
        <f t="shared" si="37"/>
        <v>0</v>
      </c>
      <c r="V1397" s="247"/>
    </row>
    <row r="1398" spans="1:22" ht="15.75" x14ac:dyDescent="0.25">
      <c r="A1398" s="236"/>
      <c r="B1398" s="237"/>
      <c r="C1398" s="238"/>
      <c r="D1398" s="239"/>
      <c r="E1398" s="240"/>
      <c r="F1398" s="240"/>
      <c r="G1398" s="240"/>
      <c r="H1398" s="241">
        <f t="shared" si="32"/>
        <v>0</v>
      </c>
      <c r="I1398" s="242"/>
      <c r="J1398" s="243"/>
      <c r="K1398" s="243"/>
      <c r="L1398" s="244">
        <v>0.1</v>
      </c>
      <c r="M1398" s="244">
        <f t="shared" si="33"/>
        <v>0</v>
      </c>
      <c r="N1398" s="244"/>
      <c r="O1398" s="244"/>
      <c r="P1398" s="244"/>
      <c r="Q1398" s="245">
        <f t="shared" si="34"/>
        <v>0</v>
      </c>
      <c r="R1398" s="245">
        <f t="shared" si="35"/>
        <v>0</v>
      </c>
      <c r="S1398" s="246">
        <v>0.5</v>
      </c>
      <c r="T1398" s="245">
        <f t="shared" si="36"/>
        <v>0</v>
      </c>
      <c r="U1398" s="245">
        <f t="shared" si="37"/>
        <v>0</v>
      </c>
      <c r="V1398" s="247"/>
    </row>
    <row r="1399" spans="1:22" ht="15.75" x14ac:dyDescent="0.25">
      <c r="A1399" s="236"/>
      <c r="B1399" s="237"/>
      <c r="C1399" s="238"/>
      <c r="D1399" s="239"/>
      <c r="E1399" s="240"/>
      <c r="F1399" s="240"/>
      <c r="G1399" s="240"/>
      <c r="H1399" s="241">
        <f t="shared" si="32"/>
        <v>0</v>
      </c>
      <c r="I1399" s="242"/>
      <c r="J1399" s="243"/>
      <c r="K1399" s="243"/>
      <c r="L1399" s="244">
        <v>0.1</v>
      </c>
      <c r="M1399" s="244">
        <f t="shared" si="33"/>
        <v>0</v>
      </c>
      <c r="N1399" s="244"/>
      <c r="O1399" s="244"/>
      <c r="P1399" s="244"/>
      <c r="Q1399" s="245">
        <f t="shared" si="34"/>
        <v>0</v>
      </c>
      <c r="R1399" s="245">
        <f t="shared" si="35"/>
        <v>0</v>
      </c>
      <c r="S1399" s="246">
        <v>0.5</v>
      </c>
      <c r="T1399" s="245">
        <f t="shared" si="36"/>
        <v>0</v>
      </c>
      <c r="U1399" s="245">
        <f t="shared" si="37"/>
        <v>0</v>
      </c>
      <c r="V1399" s="247"/>
    </row>
    <row r="1400" spans="1:22" ht="15.75" x14ac:dyDescent="0.25">
      <c r="A1400" s="236"/>
      <c r="B1400" s="237"/>
      <c r="C1400" s="238"/>
      <c r="D1400" s="239"/>
      <c r="E1400" s="240"/>
      <c r="F1400" s="240"/>
      <c r="G1400" s="240"/>
      <c r="H1400" s="241">
        <f t="shared" si="32"/>
        <v>0</v>
      </c>
      <c r="I1400" s="242"/>
      <c r="J1400" s="243"/>
      <c r="K1400" s="243"/>
      <c r="L1400" s="244">
        <v>0.1</v>
      </c>
      <c r="M1400" s="244">
        <f t="shared" si="33"/>
        <v>0</v>
      </c>
      <c r="N1400" s="244"/>
      <c r="O1400" s="244"/>
      <c r="P1400" s="244"/>
      <c r="Q1400" s="245">
        <f t="shared" si="34"/>
        <v>0</v>
      </c>
      <c r="R1400" s="245">
        <f t="shared" si="35"/>
        <v>0</v>
      </c>
      <c r="S1400" s="246">
        <v>0.5</v>
      </c>
      <c r="T1400" s="245">
        <f t="shared" si="36"/>
        <v>0</v>
      </c>
      <c r="U1400" s="245">
        <f t="shared" si="37"/>
        <v>0</v>
      </c>
      <c r="V1400" s="247"/>
    </row>
    <row r="1401" spans="1:22" ht="15.75" x14ac:dyDescent="0.25">
      <c r="A1401" s="236"/>
      <c r="B1401" s="237"/>
      <c r="C1401" s="238"/>
      <c r="D1401" s="239"/>
      <c r="E1401" s="240"/>
      <c r="F1401" s="240"/>
      <c r="G1401" s="240"/>
      <c r="H1401" s="241">
        <f t="shared" si="32"/>
        <v>0</v>
      </c>
      <c r="I1401" s="242"/>
      <c r="J1401" s="243"/>
      <c r="K1401" s="243"/>
      <c r="L1401" s="244">
        <v>0.1</v>
      </c>
      <c r="M1401" s="244">
        <f t="shared" si="33"/>
        <v>0</v>
      </c>
      <c r="N1401" s="244"/>
      <c r="O1401" s="244"/>
      <c r="P1401" s="244"/>
      <c r="Q1401" s="245">
        <f t="shared" si="34"/>
        <v>0</v>
      </c>
      <c r="R1401" s="245">
        <f t="shared" si="35"/>
        <v>0</v>
      </c>
      <c r="S1401" s="246">
        <v>0.5</v>
      </c>
      <c r="T1401" s="245">
        <f t="shared" si="36"/>
        <v>0</v>
      </c>
      <c r="U1401" s="245">
        <f t="shared" si="37"/>
        <v>0</v>
      </c>
      <c r="V1401" s="247"/>
    </row>
    <row r="1402" spans="1:22" ht="15.75" x14ac:dyDescent="0.25">
      <c r="A1402" s="236"/>
      <c r="B1402" s="237"/>
      <c r="C1402" s="238"/>
      <c r="D1402" s="239"/>
      <c r="E1402" s="240"/>
      <c r="F1402" s="240"/>
      <c r="G1402" s="240"/>
      <c r="H1402" s="241">
        <f t="shared" si="32"/>
        <v>0</v>
      </c>
      <c r="I1402" s="242"/>
      <c r="J1402" s="243"/>
      <c r="K1402" s="243"/>
      <c r="L1402" s="244">
        <v>0.1</v>
      </c>
      <c r="M1402" s="244">
        <f t="shared" si="33"/>
        <v>0</v>
      </c>
      <c r="N1402" s="244"/>
      <c r="O1402" s="244"/>
      <c r="P1402" s="244"/>
      <c r="Q1402" s="245">
        <f t="shared" si="34"/>
        <v>0</v>
      </c>
      <c r="R1402" s="245">
        <f t="shared" si="35"/>
        <v>0</v>
      </c>
      <c r="S1402" s="246">
        <v>0.5</v>
      </c>
      <c r="T1402" s="245">
        <f t="shared" si="36"/>
        <v>0</v>
      </c>
      <c r="U1402" s="245">
        <f t="shared" si="37"/>
        <v>0</v>
      </c>
      <c r="V1402" s="247"/>
    </row>
    <row r="1403" spans="1:22" ht="15.75" x14ac:dyDescent="0.25">
      <c r="A1403" s="236"/>
      <c r="B1403" s="237"/>
      <c r="C1403" s="238"/>
      <c r="D1403" s="239"/>
      <c r="E1403" s="240"/>
      <c r="F1403" s="240"/>
      <c r="G1403" s="240"/>
      <c r="H1403" s="241">
        <f t="shared" si="32"/>
        <v>0</v>
      </c>
      <c r="I1403" s="242"/>
      <c r="J1403" s="243"/>
      <c r="K1403" s="243"/>
      <c r="L1403" s="244">
        <v>0.1</v>
      </c>
      <c r="M1403" s="244">
        <f t="shared" si="33"/>
        <v>0</v>
      </c>
      <c r="N1403" s="244"/>
      <c r="O1403" s="244"/>
      <c r="P1403" s="244"/>
      <c r="Q1403" s="245">
        <f t="shared" si="34"/>
        <v>0</v>
      </c>
      <c r="R1403" s="245">
        <f t="shared" si="35"/>
        <v>0</v>
      </c>
      <c r="S1403" s="246">
        <v>0.5</v>
      </c>
      <c r="T1403" s="245">
        <f t="shared" si="36"/>
        <v>0</v>
      </c>
      <c r="U1403" s="245">
        <f t="shared" si="37"/>
        <v>0</v>
      </c>
      <c r="V1403" s="247"/>
    </row>
    <row r="1404" spans="1:22" ht="15.75" x14ac:dyDescent="0.25">
      <c r="A1404" s="236"/>
      <c r="B1404" s="237"/>
      <c r="C1404" s="238"/>
      <c r="D1404" s="239"/>
      <c r="E1404" s="240"/>
      <c r="F1404" s="240"/>
      <c r="G1404" s="240"/>
      <c r="H1404" s="241">
        <f t="shared" si="32"/>
        <v>0</v>
      </c>
      <c r="I1404" s="242"/>
      <c r="J1404" s="243"/>
      <c r="K1404" s="243"/>
      <c r="L1404" s="244">
        <v>0.1</v>
      </c>
      <c r="M1404" s="244">
        <f t="shared" si="33"/>
        <v>0</v>
      </c>
      <c r="N1404" s="244"/>
      <c r="O1404" s="244"/>
      <c r="P1404" s="244"/>
      <c r="Q1404" s="245">
        <f t="shared" si="34"/>
        <v>0</v>
      </c>
      <c r="R1404" s="245">
        <f t="shared" si="35"/>
        <v>0</v>
      </c>
      <c r="S1404" s="246">
        <v>0.5</v>
      </c>
      <c r="T1404" s="245">
        <f t="shared" si="36"/>
        <v>0</v>
      </c>
      <c r="U1404" s="245">
        <f t="shared" si="37"/>
        <v>0</v>
      </c>
      <c r="V1404" s="247"/>
    </row>
    <row r="1405" spans="1:22" ht="15.75" x14ac:dyDescent="0.25">
      <c r="A1405" s="236"/>
      <c r="B1405" s="237"/>
      <c r="C1405" s="238"/>
      <c r="D1405" s="239"/>
      <c r="E1405" s="240"/>
      <c r="F1405" s="240"/>
      <c r="G1405" s="240"/>
      <c r="H1405" s="241">
        <f t="shared" ref="H1405:H1468" si="186">+E1405+F1405+G1405</f>
        <v>0</v>
      </c>
      <c r="I1405" s="242"/>
      <c r="J1405" s="243"/>
      <c r="K1405" s="243"/>
      <c r="L1405" s="244">
        <v>0.1</v>
      </c>
      <c r="M1405" s="244">
        <f t="shared" ref="M1405:M1468" si="187">+L1405*C1405</f>
        <v>0</v>
      </c>
      <c r="N1405" s="244"/>
      <c r="O1405" s="244"/>
      <c r="P1405" s="244"/>
      <c r="Q1405" s="245">
        <f t="shared" ref="Q1405:Q1468" si="188">+N1405+O1405+P1405</f>
        <v>0</v>
      </c>
      <c r="R1405" s="245">
        <f t="shared" ref="R1405:R1468" si="189">IF(+Q1405-H1405&lt;=0,0,Q1405-H1405)</f>
        <v>0</v>
      </c>
      <c r="S1405" s="246">
        <v>0.5</v>
      </c>
      <c r="T1405" s="245">
        <f t="shared" ref="T1405:T1468" si="190">+(R1405*C1405)*S1405</f>
        <v>0</v>
      </c>
      <c r="U1405" s="245">
        <f t="shared" ref="U1405:U1468" si="191">+J1405+M1405+T1405</f>
        <v>0</v>
      </c>
      <c r="V1405" s="247"/>
    </row>
    <row r="1406" spans="1:22" ht="15.75" x14ac:dyDescent="0.25">
      <c r="A1406" s="236"/>
      <c r="B1406" s="237"/>
      <c r="C1406" s="238"/>
      <c r="D1406" s="239"/>
      <c r="E1406" s="240"/>
      <c r="F1406" s="240"/>
      <c r="G1406" s="240"/>
      <c r="H1406" s="241">
        <f t="shared" si="186"/>
        <v>0</v>
      </c>
      <c r="I1406" s="242"/>
      <c r="J1406" s="243"/>
      <c r="K1406" s="243"/>
      <c r="L1406" s="244">
        <v>0.1</v>
      </c>
      <c r="M1406" s="244">
        <f t="shared" si="187"/>
        <v>0</v>
      </c>
      <c r="N1406" s="244"/>
      <c r="O1406" s="244"/>
      <c r="P1406" s="244"/>
      <c r="Q1406" s="245">
        <f t="shared" si="188"/>
        <v>0</v>
      </c>
      <c r="R1406" s="245">
        <f t="shared" si="189"/>
        <v>0</v>
      </c>
      <c r="S1406" s="246">
        <v>0.5</v>
      </c>
      <c r="T1406" s="245">
        <f t="shared" si="190"/>
        <v>0</v>
      </c>
      <c r="U1406" s="245">
        <f t="shared" si="191"/>
        <v>0</v>
      </c>
      <c r="V1406" s="247"/>
    </row>
    <row r="1407" spans="1:22" ht="15.75" x14ac:dyDescent="0.25">
      <c r="A1407" s="236"/>
      <c r="B1407" s="237"/>
      <c r="C1407" s="238"/>
      <c r="D1407" s="239"/>
      <c r="E1407" s="240"/>
      <c r="F1407" s="240"/>
      <c r="G1407" s="240"/>
      <c r="H1407" s="241">
        <f t="shared" si="186"/>
        <v>0</v>
      </c>
      <c r="I1407" s="242"/>
      <c r="J1407" s="243"/>
      <c r="K1407" s="243"/>
      <c r="L1407" s="244">
        <v>0.1</v>
      </c>
      <c r="M1407" s="244">
        <f t="shared" si="187"/>
        <v>0</v>
      </c>
      <c r="N1407" s="244"/>
      <c r="O1407" s="244"/>
      <c r="P1407" s="244"/>
      <c r="Q1407" s="245">
        <f t="shared" si="188"/>
        <v>0</v>
      </c>
      <c r="R1407" s="245">
        <f t="shared" si="189"/>
        <v>0</v>
      </c>
      <c r="S1407" s="246">
        <v>0.5</v>
      </c>
      <c r="T1407" s="245">
        <f t="shared" si="190"/>
        <v>0</v>
      </c>
      <c r="U1407" s="245">
        <f t="shared" si="191"/>
        <v>0</v>
      </c>
      <c r="V1407" s="247"/>
    </row>
    <row r="1408" spans="1:22" ht="15.75" x14ac:dyDescent="0.25">
      <c r="A1408" s="236"/>
      <c r="B1408" s="237"/>
      <c r="C1408" s="238"/>
      <c r="D1408" s="239"/>
      <c r="E1408" s="240"/>
      <c r="F1408" s="240"/>
      <c r="G1408" s="240"/>
      <c r="H1408" s="241">
        <f t="shared" si="186"/>
        <v>0</v>
      </c>
      <c r="I1408" s="242"/>
      <c r="J1408" s="243"/>
      <c r="K1408" s="243"/>
      <c r="L1408" s="244">
        <v>0.1</v>
      </c>
      <c r="M1408" s="244">
        <f t="shared" si="187"/>
        <v>0</v>
      </c>
      <c r="N1408" s="244"/>
      <c r="O1408" s="244"/>
      <c r="P1408" s="244"/>
      <c r="Q1408" s="245">
        <f t="shared" si="188"/>
        <v>0</v>
      </c>
      <c r="R1408" s="245">
        <f t="shared" si="189"/>
        <v>0</v>
      </c>
      <c r="S1408" s="246">
        <v>0.5</v>
      </c>
      <c r="T1408" s="245">
        <f t="shared" si="190"/>
        <v>0</v>
      </c>
      <c r="U1408" s="245">
        <f t="shared" si="191"/>
        <v>0</v>
      </c>
      <c r="V1408" s="247"/>
    </row>
    <row r="1409" spans="1:22" ht="15.75" x14ac:dyDescent="0.25">
      <c r="A1409" s="236"/>
      <c r="B1409" s="237"/>
      <c r="C1409" s="238"/>
      <c r="D1409" s="239"/>
      <c r="E1409" s="240"/>
      <c r="F1409" s="240"/>
      <c r="G1409" s="240"/>
      <c r="H1409" s="241">
        <f t="shared" si="186"/>
        <v>0</v>
      </c>
      <c r="I1409" s="242"/>
      <c r="J1409" s="243"/>
      <c r="K1409" s="243"/>
      <c r="L1409" s="244">
        <v>0.1</v>
      </c>
      <c r="M1409" s="244">
        <f t="shared" si="187"/>
        <v>0</v>
      </c>
      <c r="N1409" s="244"/>
      <c r="O1409" s="244"/>
      <c r="P1409" s="244"/>
      <c r="Q1409" s="245">
        <f t="shared" si="188"/>
        <v>0</v>
      </c>
      <c r="R1409" s="245">
        <f t="shared" si="189"/>
        <v>0</v>
      </c>
      <c r="S1409" s="246">
        <v>0.5</v>
      </c>
      <c r="T1409" s="245">
        <f t="shared" si="190"/>
        <v>0</v>
      </c>
      <c r="U1409" s="245">
        <f t="shared" si="191"/>
        <v>0</v>
      </c>
      <c r="V1409" s="247"/>
    </row>
    <row r="1410" spans="1:22" ht="15.75" x14ac:dyDescent="0.25">
      <c r="A1410" s="236"/>
      <c r="B1410" s="237"/>
      <c r="C1410" s="238"/>
      <c r="D1410" s="239"/>
      <c r="E1410" s="240"/>
      <c r="F1410" s="240"/>
      <c r="G1410" s="240"/>
      <c r="H1410" s="241">
        <f t="shared" si="186"/>
        <v>0</v>
      </c>
      <c r="I1410" s="242"/>
      <c r="J1410" s="243"/>
      <c r="K1410" s="243"/>
      <c r="L1410" s="244">
        <v>0.1</v>
      </c>
      <c r="M1410" s="244">
        <f t="shared" si="187"/>
        <v>0</v>
      </c>
      <c r="N1410" s="244"/>
      <c r="O1410" s="244"/>
      <c r="P1410" s="244"/>
      <c r="Q1410" s="245">
        <f t="shared" si="188"/>
        <v>0</v>
      </c>
      <c r="R1410" s="245">
        <f t="shared" si="189"/>
        <v>0</v>
      </c>
      <c r="S1410" s="246">
        <v>0.5</v>
      </c>
      <c r="T1410" s="245">
        <f t="shared" si="190"/>
        <v>0</v>
      </c>
      <c r="U1410" s="245">
        <f t="shared" si="191"/>
        <v>0</v>
      </c>
      <c r="V1410" s="247"/>
    </row>
    <row r="1411" spans="1:22" ht="15.75" x14ac:dyDescent="0.25">
      <c r="A1411" s="236"/>
      <c r="B1411" s="237"/>
      <c r="C1411" s="238"/>
      <c r="D1411" s="239"/>
      <c r="E1411" s="240"/>
      <c r="F1411" s="240"/>
      <c r="G1411" s="240"/>
      <c r="H1411" s="241">
        <f t="shared" si="186"/>
        <v>0</v>
      </c>
      <c r="I1411" s="242"/>
      <c r="J1411" s="243"/>
      <c r="K1411" s="243"/>
      <c r="L1411" s="244">
        <v>0.1</v>
      </c>
      <c r="M1411" s="244">
        <f t="shared" si="187"/>
        <v>0</v>
      </c>
      <c r="N1411" s="244"/>
      <c r="O1411" s="244"/>
      <c r="P1411" s="244"/>
      <c r="Q1411" s="245">
        <f t="shared" si="188"/>
        <v>0</v>
      </c>
      <c r="R1411" s="245">
        <f t="shared" si="189"/>
        <v>0</v>
      </c>
      <c r="S1411" s="246">
        <v>0.5</v>
      </c>
      <c r="T1411" s="245">
        <f t="shared" si="190"/>
        <v>0</v>
      </c>
      <c r="U1411" s="245">
        <f t="shared" si="191"/>
        <v>0</v>
      </c>
      <c r="V1411" s="247"/>
    </row>
    <row r="1412" spans="1:22" ht="15.75" x14ac:dyDescent="0.25">
      <c r="A1412" s="236"/>
      <c r="B1412" s="237"/>
      <c r="C1412" s="238"/>
      <c r="D1412" s="239"/>
      <c r="E1412" s="240"/>
      <c r="F1412" s="240"/>
      <c r="G1412" s="240"/>
      <c r="H1412" s="241">
        <f t="shared" si="186"/>
        <v>0</v>
      </c>
      <c r="I1412" s="242"/>
      <c r="J1412" s="243"/>
      <c r="K1412" s="243"/>
      <c r="L1412" s="244">
        <v>0.1</v>
      </c>
      <c r="M1412" s="244">
        <f t="shared" si="187"/>
        <v>0</v>
      </c>
      <c r="N1412" s="244"/>
      <c r="O1412" s="244"/>
      <c r="P1412" s="244"/>
      <c r="Q1412" s="245">
        <f t="shared" si="188"/>
        <v>0</v>
      </c>
      <c r="R1412" s="245">
        <f t="shared" si="189"/>
        <v>0</v>
      </c>
      <c r="S1412" s="246">
        <v>0.5</v>
      </c>
      <c r="T1412" s="245">
        <f t="shared" si="190"/>
        <v>0</v>
      </c>
      <c r="U1412" s="245">
        <f t="shared" si="191"/>
        <v>0</v>
      </c>
      <c r="V1412" s="247"/>
    </row>
    <row r="1413" spans="1:22" ht="15.75" x14ac:dyDescent="0.25">
      <c r="A1413" s="236"/>
      <c r="B1413" s="237"/>
      <c r="C1413" s="238"/>
      <c r="D1413" s="239"/>
      <c r="E1413" s="240"/>
      <c r="F1413" s="240"/>
      <c r="G1413" s="240"/>
      <c r="H1413" s="241">
        <f t="shared" si="186"/>
        <v>0</v>
      </c>
      <c r="I1413" s="242"/>
      <c r="J1413" s="243"/>
      <c r="K1413" s="243"/>
      <c r="L1413" s="244">
        <v>0.1</v>
      </c>
      <c r="M1413" s="244">
        <f t="shared" si="187"/>
        <v>0</v>
      </c>
      <c r="N1413" s="244"/>
      <c r="O1413" s="244"/>
      <c r="P1413" s="244"/>
      <c r="Q1413" s="245">
        <f t="shared" si="188"/>
        <v>0</v>
      </c>
      <c r="R1413" s="245">
        <f t="shared" si="189"/>
        <v>0</v>
      </c>
      <c r="S1413" s="246">
        <v>0.5</v>
      </c>
      <c r="T1413" s="245">
        <f t="shared" si="190"/>
        <v>0</v>
      </c>
      <c r="U1413" s="245">
        <f t="shared" si="191"/>
        <v>0</v>
      </c>
      <c r="V1413" s="247"/>
    </row>
    <row r="1414" spans="1:22" ht="15.75" x14ac:dyDescent="0.25">
      <c r="A1414" s="236"/>
      <c r="B1414" s="237"/>
      <c r="C1414" s="238"/>
      <c r="D1414" s="239"/>
      <c r="E1414" s="240"/>
      <c r="F1414" s="240"/>
      <c r="G1414" s="240"/>
      <c r="H1414" s="241">
        <f t="shared" si="186"/>
        <v>0</v>
      </c>
      <c r="I1414" s="242"/>
      <c r="J1414" s="243"/>
      <c r="K1414" s="243"/>
      <c r="L1414" s="244">
        <v>0.1</v>
      </c>
      <c r="M1414" s="244">
        <f t="shared" si="187"/>
        <v>0</v>
      </c>
      <c r="N1414" s="244"/>
      <c r="O1414" s="244"/>
      <c r="P1414" s="244"/>
      <c r="Q1414" s="245">
        <f t="shared" si="188"/>
        <v>0</v>
      </c>
      <c r="R1414" s="245">
        <f t="shared" si="189"/>
        <v>0</v>
      </c>
      <c r="S1414" s="246">
        <v>0.5</v>
      </c>
      <c r="T1414" s="245">
        <f t="shared" si="190"/>
        <v>0</v>
      </c>
      <c r="U1414" s="245">
        <f t="shared" si="191"/>
        <v>0</v>
      </c>
      <c r="V1414" s="247"/>
    </row>
    <row r="1415" spans="1:22" ht="15.75" x14ac:dyDescent="0.25">
      <c r="A1415" s="236"/>
      <c r="B1415" s="237"/>
      <c r="C1415" s="238"/>
      <c r="D1415" s="239"/>
      <c r="E1415" s="240"/>
      <c r="F1415" s="240"/>
      <c r="G1415" s="240"/>
      <c r="H1415" s="241">
        <f t="shared" si="186"/>
        <v>0</v>
      </c>
      <c r="I1415" s="242"/>
      <c r="J1415" s="243"/>
      <c r="K1415" s="243"/>
      <c r="L1415" s="244">
        <v>0.1</v>
      </c>
      <c r="M1415" s="244">
        <f t="shared" si="187"/>
        <v>0</v>
      </c>
      <c r="N1415" s="244"/>
      <c r="O1415" s="244"/>
      <c r="P1415" s="244"/>
      <c r="Q1415" s="245">
        <f t="shared" si="188"/>
        <v>0</v>
      </c>
      <c r="R1415" s="245">
        <f t="shared" si="189"/>
        <v>0</v>
      </c>
      <c r="S1415" s="246">
        <v>0.5</v>
      </c>
      <c r="T1415" s="245">
        <f t="shared" si="190"/>
        <v>0</v>
      </c>
      <c r="U1415" s="245">
        <f t="shared" si="191"/>
        <v>0</v>
      </c>
      <c r="V1415" s="247"/>
    </row>
    <row r="1416" spans="1:22" ht="15.75" x14ac:dyDescent="0.25">
      <c r="A1416" s="236"/>
      <c r="B1416" s="237"/>
      <c r="C1416" s="238"/>
      <c r="D1416" s="239"/>
      <c r="E1416" s="240"/>
      <c r="F1416" s="240"/>
      <c r="G1416" s="240"/>
      <c r="H1416" s="241">
        <f t="shared" si="186"/>
        <v>0</v>
      </c>
      <c r="I1416" s="242"/>
      <c r="J1416" s="243"/>
      <c r="K1416" s="243"/>
      <c r="L1416" s="244">
        <v>0.1</v>
      </c>
      <c r="M1416" s="244">
        <f t="shared" si="187"/>
        <v>0</v>
      </c>
      <c r="N1416" s="244"/>
      <c r="O1416" s="244"/>
      <c r="P1416" s="244"/>
      <c r="Q1416" s="245">
        <f t="shared" si="188"/>
        <v>0</v>
      </c>
      <c r="R1416" s="245">
        <f t="shared" si="189"/>
        <v>0</v>
      </c>
      <c r="S1416" s="246">
        <v>0.5</v>
      </c>
      <c r="T1416" s="245">
        <f t="shared" si="190"/>
        <v>0</v>
      </c>
      <c r="U1416" s="245">
        <f t="shared" si="191"/>
        <v>0</v>
      </c>
      <c r="V1416" s="247"/>
    </row>
    <row r="1417" spans="1:22" ht="15.75" x14ac:dyDescent="0.25">
      <c r="A1417" s="236"/>
      <c r="B1417" s="237"/>
      <c r="C1417" s="238"/>
      <c r="D1417" s="239"/>
      <c r="E1417" s="240"/>
      <c r="F1417" s="240"/>
      <c r="G1417" s="240"/>
      <c r="H1417" s="241">
        <f t="shared" si="186"/>
        <v>0</v>
      </c>
      <c r="I1417" s="242"/>
      <c r="J1417" s="243"/>
      <c r="K1417" s="243"/>
      <c r="L1417" s="244">
        <v>0.1</v>
      </c>
      <c r="M1417" s="244">
        <f t="shared" si="187"/>
        <v>0</v>
      </c>
      <c r="N1417" s="244"/>
      <c r="O1417" s="244"/>
      <c r="P1417" s="244"/>
      <c r="Q1417" s="245">
        <f t="shared" si="188"/>
        <v>0</v>
      </c>
      <c r="R1417" s="245">
        <f t="shared" si="189"/>
        <v>0</v>
      </c>
      <c r="S1417" s="246">
        <v>0.5</v>
      </c>
      <c r="T1417" s="245">
        <f t="shared" si="190"/>
        <v>0</v>
      </c>
      <c r="U1417" s="245">
        <f t="shared" si="191"/>
        <v>0</v>
      </c>
      <c r="V1417" s="247"/>
    </row>
    <row r="1418" spans="1:22" ht="15.75" x14ac:dyDescent="0.25">
      <c r="A1418" s="236"/>
      <c r="B1418" s="237"/>
      <c r="C1418" s="238"/>
      <c r="D1418" s="239"/>
      <c r="E1418" s="240"/>
      <c r="F1418" s="240"/>
      <c r="G1418" s="240"/>
      <c r="H1418" s="241">
        <f t="shared" si="186"/>
        <v>0</v>
      </c>
      <c r="I1418" s="242"/>
      <c r="J1418" s="243"/>
      <c r="K1418" s="243"/>
      <c r="L1418" s="244">
        <v>0.1</v>
      </c>
      <c r="M1418" s="244">
        <f t="shared" si="187"/>
        <v>0</v>
      </c>
      <c r="N1418" s="244"/>
      <c r="O1418" s="244"/>
      <c r="P1418" s="244"/>
      <c r="Q1418" s="245">
        <f t="shared" si="188"/>
        <v>0</v>
      </c>
      <c r="R1418" s="245">
        <f t="shared" si="189"/>
        <v>0</v>
      </c>
      <c r="S1418" s="246">
        <v>0.5</v>
      </c>
      <c r="T1418" s="245">
        <f t="shared" si="190"/>
        <v>0</v>
      </c>
      <c r="U1418" s="245">
        <f t="shared" si="191"/>
        <v>0</v>
      </c>
      <c r="V1418" s="247"/>
    </row>
    <row r="1419" spans="1:22" ht="15.75" x14ac:dyDescent="0.25">
      <c r="A1419" s="236"/>
      <c r="B1419" s="237"/>
      <c r="C1419" s="238"/>
      <c r="D1419" s="239"/>
      <c r="E1419" s="240"/>
      <c r="F1419" s="240"/>
      <c r="G1419" s="240"/>
      <c r="H1419" s="241">
        <f t="shared" si="186"/>
        <v>0</v>
      </c>
      <c r="I1419" s="242"/>
      <c r="J1419" s="243"/>
      <c r="K1419" s="243"/>
      <c r="L1419" s="244">
        <v>0.1</v>
      </c>
      <c r="M1419" s="244">
        <f t="shared" si="187"/>
        <v>0</v>
      </c>
      <c r="N1419" s="244"/>
      <c r="O1419" s="244"/>
      <c r="P1419" s="244"/>
      <c r="Q1419" s="245">
        <f t="shared" si="188"/>
        <v>0</v>
      </c>
      <c r="R1419" s="245">
        <f t="shared" si="189"/>
        <v>0</v>
      </c>
      <c r="S1419" s="246">
        <v>0.5</v>
      </c>
      <c r="T1419" s="245">
        <f t="shared" si="190"/>
        <v>0</v>
      </c>
      <c r="U1419" s="245">
        <f t="shared" si="191"/>
        <v>0</v>
      </c>
      <c r="V1419" s="247"/>
    </row>
    <row r="1420" spans="1:22" ht="15.75" x14ac:dyDescent="0.25">
      <c r="A1420" s="236"/>
      <c r="B1420" s="237"/>
      <c r="C1420" s="238"/>
      <c r="D1420" s="239"/>
      <c r="E1420" s="240"/>
      <c r="F1420" s="240"/>
      <c r="G1420" s="240"/>
      <c r="H1420" s="241">
        <f t="shared" si="186"/>
        <v>0</v>
      </c>
      <c r="I1420" s="242"/>
      <c r="J1420" s="243"/>
      <c r="K1420" s="243"/>
      <c r="L1420" s="244">
        <v>0.1</v>
      </c>
      <c r="M1420" s="244">
        <f t="shared" si="187"/>
        <v>0</v>
      </c>
      <c r="N1420" s="244"/>
      <c r="O1420" s="244"/>
      <c r="P1420" s="244"/>
      <c r="Q1420" s="245">
        <f t="shared" si="188"/>
        <v>0</v>
      </c>
      <c r="R1420" s="245">
        <f t="shared" si="189"/>
        <v>0</v>
      </c>
      <c r="S1420" s="246">
        <v>0.5</v>
      </c>
      <c r="T1420" s="245">
        <f t="shared" si="190"/>
        <v>0</v>
      </c>
      <c r="U1420" s="245">
        <f t="shared" si="191"/>
        <v>0</v>
      </c>
      <c r="V1420" s="247"/>
    </row>
    <row r="1421" spans="1:22" ht="15.75" x14ac:dyDescent="0.25">
      <c r="A1421" s="236"/>
      <c r="B1421" s="237"/>
      <c r="C1421" s="238"/>
      <c r="D1421" s="239"/>
      <c r="E1421" s="240"/>
      <c r="F1421" s="240"/>
      <c r="G1421" s="240"/>
      <c r="H1421" s="241">
        <f t="shared" si="186"/>
        <v>0</v>
      </c>
      <c r="I1421" s="242"/>
      <c r="J1421" s="243"/>
      <c r="K1421" s="243"/>
      <c r="L1421" s="244">
        <v>0.1</v>
      </c>
      <c r="M1421" s="244">
        <f t="shared" si="187"/>
        <v>0</v>
      </c>
      <c r="N1421" s="244"/>
      <c r="O1421" s="244"/>
      <c r="P1421" s="244"/>
      <c r="Q1421" s="245">
        <f t="shared" si="188"/>
        <v>0</v>
      </c>
      <c r="R1421" s="245">
        <f t="shared" si="189"/>
        <v>0</v>
      </c>
      <c r="S1421" s="246">
        <v>0.5</v>
      </c>
      <c r="T1421" s="245">
        <f t="shared" si="190"/>
        <v>0</v>
      </c>
      <c r="U1421" s="245">
        <f t="shared" si="191"/>
        <v>0</v>
      </c>
      <c r="V1421" s="247"/>
    </row>
    <row r="1422" spans="1:22" ht="15.75" x14ac:dyDescent="0.25">
      <c r="A1422" s="236"/>
      <c r="B1422" s="237"/>
      <c r="C1422" s="238"/>
      <c r="D1422" s="239"/>
      <c r="E1422" s="240"/>
      <c r="F1422" s="240"/>
      <c r="G1422" s="240"/>
      <c r="H1422" s="241">
        <f t="shared" si="186"/>
        <v>0</v>
      </c>
      <c r="I1422" s="242"/>
      <c r="J1422" s="243"/>
      <c r="K1422" s="243"/>
      <c r="L1422" s="244">
        <v>0.1</v>
      </c>
      <c r="M1422" s="244">
        <f t="shared" si="187"/>
        <v>0</v>
      </c>
      <c r="N1422" s="244"/>
      <c r="O1422" s="244"/>
      <c r="P1422" s="244"/>
      <c r="Q1422" s="245">
        <f t="shared" si="188"/>
        <v>0</v>
      </c>
      <c r="R1422" s="245">
        <f t="shared" si="189"/>
        <v>0</v>
      </c>
      <c r="S1422" s="246">
        <v>0.5</v>
      </c>
      <c r="T1422" s="245">
        <f t="shared" si="190"/>
        <v>0</v>
      </c>
      <c r="U1422" s="245">
        <f t="shared" si="191"/>
        <v>0</v>
      </c>
      <c r="V1422" s="247"/>
    </row>
    <row r="1423" spans="1:22" ht="15.75" x14ac:dyDescent="0.25">
      <c r="A1423" s="236"/>
      <c r="B1423" s="237"/>
      <c r="C1423" s="238"/>
      <c r="D1423" s="239"/>
      <c r="E1423" s="240"/>
      <c r="F1423" s="240"/>
      <c r="G1423" s="240"/>
      <c r="H1423" s="241">
        <f t="shared" si="186"/>
        <v>0</v>
      </c>
      <c r="I1423" s="242"/>
      <c r="J1423" s="243"/>
      <c r="K1423" s="243"/>
      <c r="L1423" s="244">
        <v>0.1</v>
      </c>
      <c r="M1423" s="244">
        <f t="shared" si="187"/>
        <v>0</v>
      </c>
      <c r="N1423" s="244"/>
      <c r="O1423" s="244"/>
      <c r="P1423" s="244"/>
      <c r="Q1423" s="245">
        <f t="shared" si="188"/>
        <v>0</v>
      </c>
      <c r="R1423" s="245">
        <f t="shared" si="189"/>
        <v>0</v>
      </c>
      <c r="S1423" s="246">
        <v>0.5</v>
      </c>
      <c r="T1423" s="245">
        <f t="shared" si="190"/>
        <v>0</v>
      </c>
      <c r="U1423" s="245">
        <f t="shared" si="191"/>
        <v>0</v>
      </c>
      <c r="V1423" s="247"/>
    </row>
    <row r="1424" spans="1:22" ht="15.75" x14ac:dyDescent="0.25">
      <c r="A1424" s="236"/>
      <c r="B1424" s="237"/>
      <c r="C1424" s="238"/>
      <c r="D1424" s="239"/>
      <c r="E1424" s="240"/>
      <c r="F1424" s="240"/>
      <c r="G1424" s="240"/>
      <c r="H1424" s="241">
        <f t="shared" si="186"/>
        <v>0</v>
      </c>
      <c r="I1424" s="242"/>
      <c r="J1424" s="243"/>
      <c r="K1424" s="243"/>
      <c r="L1424" s="244">
        <v>0.1</v>
      </c>
      <c r="M1424" s="244">
        <f t="shared" si="187"/>
        <v>0</v>
      </c>
      <c r="N1424" s="244"/>
      <c r="O1424" s="244"/>
      <c r="P1424" s="244"/>
      <c r="Q1424" s="245">
        <f t="shared" si="188"/>
        <v>0</v>
      </c>
      <c r="R1424" s="245">
        <f t="shared" si="189"/>
        <v>0</v>
      </c>
      <c r="S1424" s="246">
        <v>0.5</v>
      </c>
      <c r="T1424" s="245">
        <f t="shared" si="190"/>
        <v>0</v>
      </c>
      <c r="U1424" s="245">
        <f t="shared" si="191"/>
        <v>0</v>
      </c>
      <c r="V1424" s="247"/>
    </row>
    <row r="1425" spans="1:22" ht="15.75" x14ac:dyDescent="0.25">
      <c r="A1425" s="236"/>
      <c r="B1425" s="237"/>
      <c r="C1425" s="238"/>
      <c r="D1425" s="239"/>
      <c r="E1425" s="240"/>
      <c r="F1425" s="240"/>
      <c r="G1425" s="240"/>
      <c r="H1425" s="241">
        <f t="shared" si="186"/>
        <v>0</v>
      </c>
      <c r="I1425" s="242"/>
      <c r="J1425" s="243"/>
      <c r="K1425" s="243"/>
      <c r="L1425" s="244">
        <v>0.1</v>
      </c>
      <c r="M1425" s="244">
        <f t="shared" si="187"/>
        <v>0</v>
      </c>
      <c r="N1425" s="244"/>
      <c r="O1425" s="244"/>
      <c r="P1425" s="244"/>
      <c r="Q1425" s="245">
        <f t="shared" si="188"/>
        <v>0</v>
      </c>
      <c r="R1425" s="245">
        <f t="shared" si="189"/>
        <v>0</v>
      </c>
      <c r="S1425" s="246">
        <v>0.5</v>
      </c>
      <c r="T1425" s="245">
        <f t="shared" si="190"/>
        <v>0</v>
      </c>
      <c r="U1425" s="245">
        <f t="shared" si="191"/>
        <v>0</v>
      </c>
      <c r="V1425" s="247"/>
    </row>
    <row r="1426" spans="1:22" ht="15.75" x14ac:dyDescent="0.25">
      <c r="A1426" s="236"/>
      <c r="B1426" s="237"/>
      <c r="C1426" s="238"/>
      <c r="D1426" s="239"/>
      <c r="E1426" s="240"/>
      <c r="F1426" s="240"/>
      <c r="G1426" s="240"/>
      <c r="H1426" s="241">
        <f t="shared" si="186"/>
        <v>0</v>
      </c>
      <c r="I1426" s="242"/>
      <c r="J1426" s="243"/>
      <c r="K1426" s="243"/>
      <c r="L1426" s="244">
        <v>0.1</v>
      </c>
      <c r="M1426" s="244">
        <f t="shared" si="187"/>
        <v>0</v>
      </c>
      <c r="N1426" s="244"/>
      <c r="O1426" s="244"/>
      <c r="P1426" s="244"/>
      <c r="Q1426" s="245">
        <f t="shared" si="188"/>
        <v>0</v>
      </c>
      <c r="R1426" s="245">
        <f t="shared" si="189"/>
        <v>0</v>
      </c>
      <c r="S1426" s="246">
        <v>0.5</v>
      </c>
      <c r="T1426" s="245">
        <f t="shared" si="190"/>
        <v>0</v>
      </c>
      <c r="U1426" s="245">
        <f t="shared" si="191"/>
        <v>0</v>
      </c>
      <c r="V1426" s="247"/>
    </row>
    <row r="1427" spans="1:22" ht="15.75" x14ac:dyDescent="0.25">
      <c r="A1427" s="236"/>
      <c r="B1427" s="237"/>
      <c r="C1427" s="238"/>
      <c r="D1427" s="239"/>
      <c r="E1427" s="240"/>
      <c r="F1427" s="240"/>
      <c r="G1427" s="240"/>
      <c r="H1427" s="241">
        <f t="shared" si="186"/>
        <v>0</v>
      </c>
      <c r="I1427" s="242"/>
      <c r="J1427" s="243"/>
      <c r="K1427" s="243"/>
      <c r="L1427" s="244">
        <v>0.1</v>
      </c>
      <c r="M1427" s="244">
        <f t="shared" si="187"/>
        <v>0</v>
      </c>
      <c r="N1427" s="244"/>
      <c r="O1427" s="244"/>
      <c r="P1427" s="244"/>
      <c r="Q1427" s="245">
        <f t="shared" si="188"/>
        <v>0</v>
      </c>
      <c r="R1427" s="245">
        <f t="shared" si="189"/>
        <v>0</v>
      </c>
      <c r="S1427" s="246">
        <v>0.5</v>
      </c>
      <c r="T1427" s="245">
        <f t="shared" si="190"/>
        <v>0</v>
      </c>
      <c r="U1427" s="245">
        <f t="shared" si="191"/>
        <v>0</v>
      </c>
      <c r="V1427" s="247"/>
    </row>
    <row r="1428" spans="1:22" ht="15.75" x14ac:dyDescent="0.25">
      <c r="A1428" s="236"/>
      <c r="B1428" s="237"/>
      <c r="C1428" s="238"/>
      <c r="D1428" s="239"/>
      <c r="E1428" s="240"/>
      <c r="F1428" s="240"/>
      <c r="G1428" s="240"/>
      <c r="H1428" s="241">
        <f t="shared" si="186"/>
        <v>0</v>
      </c>
      <c r="I1428" s="242"/>
      <c r="J1428" s="243"/>
      <c r="K1428" s="243"/>
      <c r="L1428" s="244">
        <v>0.1</v>
      </c>
      <c r="M1428" s="244">
        <f t="shared" si="187"/>
        <v>0</v>
      </c>
      <c r="N1428" s="244"/>
      <c r="O1428" s="244"/>
      <c r="P1428" s="244"/>
      <c r="Q1428" s="245">
        <f t="shared" si="188"/>
        <v>0</v>
      </c>
      <c r="R1428" s="245">
        <f t="shared" si="189"/>
        <v>0</v>
      </c>
      <c r="S1428" s="246">
        <v>0.5</v>
      </c>
      <c r="T1428" s="245">
        <f t="shared" si="190"/>
        <v>0</v>
      </c>
      <c r="U1428" s="245">
        <f t="shared" si="191"/>
        <v>0</v>
      </c>
      <c r="V1428" s="247"/>
    </row>
    <row r="1429" spans="1:22" ht="15.75" x14ac:dyDescent="0.25">
      <c r="A1429" s="236"/>
      <c r="B1429" s="237"/>
      <c r="C1429" s="238"/>
      <c r="D1429" s="239"/>
      <c r="E1429" s="240"/>
      <c r="F1429" s="240"/>
      <c r="G1429" s="240"/>
      <c r="H1429" s="241">
        <f t="shared" si="186"/>
        <v>0</v>
      </c>
      <c r="I1429" s="242"/>
      <c r="J1429" s="243"/>
      <c r="K1429" s="243"/>
      <c r="L1429" s="244">
        <v>0.1</v>
      </c>
      <c r="M1429" s="244">
        <f t="shared" si="187"/>
        <v>0</v>
      </c>
      <c r="N1429" s="244"/>
      <c r="O1429" s="244"/>
      <c r="P1429" s="244"/>
      <c r="Q1429" s="245">
        <f t="shared" si="188"/>
        <v>0</v>
      </c>
      <c r="R1429" s="245">
        <f t="shared" si="189"/>
        <v>0</v>
      </c>
      <c r="S1429" s="246">
        <v>0.5</v>
      </c>
      <c r="T1429" s="245">
        <f t="shared" si="190"/>
        <v>0</v>
      </c>
      <c r="U1429" s="245">
        <f t="shared" si="191"/>
        <v>0</v>
      </c>
      <c r="V1429" s="247"/>
    </row>
    <row r="1430" spans="1:22" ht="15.75" x14ac:dyDescent="0.25">
      <c r="A1430" s="236"/>
      <c r="B1430" s="237"/>
      <c r="C1430" s="238"/>
      <c r="D1430" s="239"/>
      <c r="E1430" s="240"/>
      <c r="F1430" s="240"/>
      <c r="G1430" s="240"/>
      <c r="H1430" s="241">
        <f t="shared" si="186"/>
        <v>0</v>
      </c>
      <c r="I1430" s="242"/>
      <c r="J1430" s="243"/>
      <c r="K1430" s="243"/>
      <c r="L1430" s="244">
        <v>0.1</v>
      </c>
      <c r="M1430" s="244">
        <f t="shared" si="187"/>
        <v>0</v>
      </c>
      <c r="N1430" s="244"/>
      <c r="O1430" s="244"/>
      <c r="P1430" s="244"/>
      <c r="Q1430" s="245">
        <f t="shared" si="188"/>
        <v>0</v>
      </c>
      <c r="R1430" s="245">
        <f t="shared" si="189"/>
        <v>0</v>
      </c>
      <c r="S1430" s="246">
        <v>0.5</v>
      </c>
      <c r="T1430" s="245">
        <f t="shared" si="190"/>
        <v>0</v>
      </c>
      <c r="U1430" s="245">
        <f t="shared" si="191"/>
        <v>0</v>
      </c>
      <c r="V1430" s="247"/>
    </row>
    <row r="1431" spans="1:22" ht="15.75" x14ac:dyDescent="0.25">
      <c r="A1431" s="236"/>
      <c r="B1431" s="237"/>
      <c r="C1431" s="238"/>
      <c r="D1431" s="239"/>
      <c r="E1431" s="240"/>
      <c r="F1431" s="240"/>
      <c r="G1431" s="240"/>
      <c r="H1431" s="241">
        <f t="shared" si="186"/>
        <v>0</v>
      </c>
      <c r="I1431" s="242"/>
      <c r="J1431" s="243"/>
      <c r="K1431" s="243"/>
      <c r="L1431" s="244">
        <v>0.1</v>
      </c>
      <c r="M1431" s="244">
        <f t="shared" si="187"/>
        <v>0</v>
      </c>
      <c r="N1431" s="244"/>
      <c r="O1431" s="244"/>
      <c r="P1431" s="244"/>
      <c r="Q1431" s="245">
        <f t="shared" si="188"/>
        <v>0</v>
      </c>
      <c r="R1431" s="245">
        <f t="shared" si="189"/>
        <v>0</v>
      </c>
      <c r="S1431" s="246">
        <v>0.5</v>
      </c>
      <c r="T1431" s="245">
        <f t="shared" si="190"/>
        <v>0</v>
      </c>
      <c r="U1431" s="245">
        <f t="shared" si="191"/>
        <v>0</v>
      </c>
      <c r="V1431" s="247"/>
    </row>
    <row r="1432" spans="1:22" ht="15.75" x14ac:dyDescent="0.25">
      <c r="A1432" s="236"/>
      <c r="B1432" s="237"/>
      <c r="C1432" s="238"/>
      <c r="D1432" s="239"/>
      <c r="E1432" s="240"/>
      <c r="F1432" s="240"/>
      <c r="G1432" s="240"/>
      <c r="H1432" s="241">
        <f t="shared" si="186"/>
        <v>0</v>
      </c>
      <c r="I1432" s="242"/>
      <c r="J1432" s="243"/>
      <c r="K1432" s="243"/>
      <c r="L1432" s="244">
        <v>0.1</v>
      </c>
      <c r="M1432" s="244">
        <f t="shared" si="187"/>
        <v>0</v>
      </c>
      <c r="N1432" s="244"/>
      <c r="O1432" s="244"/>
      <c r="P1432" s="244"/>
      <c r="Q1432" s="245">
        <f t="shared" si="188"/>
        <v>0</v>
      </c>
      <c r="R1432" s="245">
        <f t="shared" si="189"/>
        <v>0</v>
      </c>
      <c r="S1432" s="246">
        <v>0.5</v>
      </c>
      <c r="T1432" s="245">
        <f t="shared" si="190"/>
        <v>0</v>
      </c>
      <c r="U1432" s="245">
        <f t="shared" si="191"/>
        <v>0</v>
      </c>
      <c r="V1432" s="247"/>
    </row>
    <row r="1433" spans="1:22" ht="15.75" x14ac:dyDescent="0.25">
      <c r="A1433" s="236"/>
      <c r="B1433" s="237"/>
      <c r="C1433" s="238"/>
      <c r="D1433" s="239"/>
      <c r="E1433" s="240"/>
      <c r="F1433" s="240"/>
      <c r="G1433" s="240"/>
      <c r="H1433" s="241">
        <f t="shared" si="186"/>
        <v>0</v>
      </c>
      <c r="I1433" s="242"/>
      <c r="J1433" s="243"/>
      <c r="K1433" s="243"/>
      <c r="L1433" s="244">
        <v>0.1</v>
      </c>
      <c r="M1433" s="244">
        <f t="shared" si="187"/>
        <v>0</v>
      </c>
      <c r="N1433" s="244"/>
      <c r="O1433" s="244"/>
      <c r="P1433" s="244"/>
      <c r="Q1433" s="245">
        <f t="shared" si="188"/>
        <v>0</v>
      </c>
      <c r="R1433" s="245">
        <f t="shared" si="189"/>
        <v>0</v>
      </c>
      <c r="S1433" s="246">
        <v>0.5</v>
      </c>
      <c r="T1433" s="245">
        <f t="shared" si="190"/>
        <v>0</v>
      </c>
      <c r="U1433" s="245">
        <f t="shared" si="191"/>
        <v>0</v>
      </c>
      <c r="V1433" s="247"/>
    </row>
    <row r="1434" spans="1:22" ht="15.75" x14ac:dyDescent="0.25">
      <c r="A1434" s="236"/>
      <c r="B1434" s="237"/>
      <c r="C1434" s="238"/>
      <c r="D1434" s="239"/>
      <c r="E1434" s="240"/>
      <c r="F1434" s="240"/>
      <c r="G1434" s="240"/>
      <c r="H1434" s="241">
        <f t="shared" si="186"/>
        <v>0</v>
      </c>
      <c r="I1434" s="242"/>
      <c r="J1434" s="243"/>
      <c r="K1434" s="243"/>
      <c r="L1434" s="244">
        <v>0.1</v>
      </c>
      <c r="M1434" s="244">
        <f t="shared" si="187"/>
        <v>0</v>
      </c>
      <c r="N1434" s="244"/>
      <c r="O1434" s="244"/>
      <c r="P1434" s="244"/>
      <c r="Q1434" s="245">
        <f t="shared" si="188"/>
        <v>0</v>
      </c>
      <c r="R1434" s="245">
        <f t="shared" si="189"/>
        <v>0</v>
      </c>
      <c r="S1434" s="246">
        <v>0.5</v>
      </c>
      <c r="T1434" s="245">
        <f t="shared" si="190"/>
        <v>0</v>
      </c>
      <c r="U1434" s="245">
        <f t="shared" si="191"/>
        <v>0</v>
      </c>
      <c r="V1434" s="247"/>
    </row>
    <row r="1435" spans="1:22" ht="15.75" x14ac:dyDescent="0.25">
      <c r="A1435" s="236"/>
      <c r="B1435" s="237"/>
      <c r="C1435" s="238"/>
      <c r="D1435" s="239"/>
      <c r="E1435" s="240"/>
      <c r="F1435" s="240"/>
      <c r="G1435" s="240"/>
      <c r="H1435" s="241">
        <f t="shared" si="186"/>
        <v>0</v>
      </c>
      <c r="I1435" s="242"/>
      <c r="J1435" s="243"/>
      <c r="K1435" s="243"/>
      <c r="L1435" s="244">
        <v>0.1</v>
      </c>
      <c r="M1435" s="244">
        <f t="shared" si="187"/>
        <v>0</v>
      </c>
      <c r="N1435" s="244"/>
      <c r="O1435" s="244"/>
      <c r="P1435" s="244"/>
      <c r="Q1435" s="245">
        <f t="shared" si="188"/>
        <v>0</v>
      </c>
      <c r="R1435" s="245">
        <f t="shared" si="189"/>
        <v>0</v>
      </c>
      <c r="S1435" s="246">
        <v>0.5</v>
      </c>
      <c r="T1435" s="245">
        <f t="shared" si="190"/>
        <v>0</v>
      </c>
      <c r="U1435" s="245">
        <f t="shared" si="191"/>
        <v>0</v>
      </c>
      <c r="V1435" s="247"/>
    </row>
    <row r="1436" spans="1:22" ht="15.75" x14ac:dyDescent="0.25">
      <c r="A1436" s="236"/>
      <c r="B1436" s="237"/>
      <c r="C1436" s="238"/>
      <c r="D1436" s="239"/>
      <c r="E1436" s="240"/>
      <c r="F1436" s="240"/>
      <c r="G1436" s="240"/>
      <c r="H1436" s="241">
        <f t="shared" si="186"/>
        <v>0</v>
      </c>
      <c r="I1436" s="242"/>
      <c r="J1436" s="243"/>
      <c r="K1436" s="243"/>
      <c r="L1436" s="244">
        <v>0.1</v>
      </c>
      <c r="M1436" s="244">
        <f t="shared" si="187"/>
        <v>0</v>
      </c>
      <c r="N1436" s="244"/>
      <c r="O1436" s="244"/>
      <c r="P1436" s="244"/>
      <c r="Q1436" s="245">
        <f t="shared" si="188"/>
        <v>0</v>
      </c>
      <c r="R1436" s="245">
        <f t="shared" si="189"/>
        <v>0</v>
      </c>
      <c r="S1436" s="246">
        <v>0.5</v>
      </c>
      <c r="T1436" s="245">
        <f t="shared" si="190"/>
        <v>0</v>
      </c>
      <c r="U1436" s="245">
        <f t="shared" si="191"/>
        <v>0</v>
      </c>
      <c r="V1436" s="247"/>
    </row>
    <row r="1437" spans="1:22" ht="15.75" x14ac:dyDescent="0.25">
      <c r="A1437" s="236"/>
      <c r="B1437" s="237"/>
      <c r="C1437" s="238"/>
      <c r="D1437" s="239"/>
      <c r="E1437" s="240"/>
      <c r="F1437" s="240"/>
      <c r="G1437" s="240"/>
      <c r="H1437" s="241">
        <f t="shared" si="186"/>
        <v>0</v>
      </c>
      <c r="I1437" s="242"/>
      <c r="J1437" s="243"/>
      <c r="K1437" s="243"/>
      <c r="L1437" s="244">
        <v>0.1</v>
      </c>
      <c r="M1437" s="244">
        <f t="shared" si="187"/>
        <v>0</v>
      </c>
      <c r="N1437" s="244"/>
      <c r="O1437" s="244"/>
      <c r="P1437" s="244"/>
      <c r="Q1437" s="245">
        <f t="shared" si="188"/>
        <v>0</v>
      </c>
      <c r="R1437" s="245">
        <f t="shared" si="189"/>
        <v>0</v>
      </c>
      <c r="S1437" s="246">
        <v>0.5</v>
      </c>
      <c r="T1437" s="245">
        <f t="shared" si="190"/>
        <v>0</v>
      </c>
      <c r="U1437" s="245">
        <f t="shared" si="191"/>
        <v>0</v>
      </c>
      <c r="V1437" s="247"/>
    </row>
    <row r="1438" spans="1:22" ht="15.75" x14ac:dyDescent="0.25">
      <c r="A1438" s="236"/>
      <c r="B1438" s="237"/>
      <c r="C1438" s="238"/>
      <c r="D1438" s="239"/>
      <c r="E1438" s="240"/>
      <c r="F1438" s="240"/>
      <c r="G1438" s="240"/>
      <c r="H1438" s="241">
        <f t="shared" si="186"/>
        <v>0</v>
      </c>
      <c r="I1438" s="242"/>
      <c r="J1438" s="243"/>
      <c r="K1438" s="243"/>
      <c r="L1438" s="244">
        <v>0.1</v>
      </c>
      <c r="M1438" s="244">
        <f t="shared" si="187"/>
        <v>0</v>
      </c>
      <c r="N1438" s="244"/>
      <c r="O1438" s="244"/>
      <c r="P1438" s="244"/>
      <c r="Q1438" s="245">
        <f t="shared" si="188"/>
        <v>0</v>
      </c>
      <c r="R1438" s="245">
        <f t="shared" si="189"/>
        <v>0</v>
      </c>
      <c r="S1438" s="246">
        <v>0.5</v>
      </c>
      <c r="T1438" s="245">
        <f t="shared" si="190"/>
        <v>0</v>
      </c>
      <c r="U1438" s="245">
        <f t="shared" si="191"/>
        <v>0</v>
      </c>
      <c r="V1438" s="247"/>
    </row>
    <row r="1439" spans="1:22" ht="15.75" x14ac:dyDescent="0.25">
      <c r="A1439" s="236"/>
      <c r="B1439" s="237"/>
      <c r="C1439" s="238"/>
      <c r="D1439" s="239"/>
      <c r="E1439" s="240"/>
      <c r="F1439" s="240"/>
      <c r="G1439" s="240"/>
      <c r="H1439" s="241">
        <f t="shared" si="186"/>
        <v>0</v>
      </c>
      <c r="I1439" s="242"/>
      <c r="J1439" s="243"/>
      <c r="K1439" s="243"/>
      <c r="L1439" s="244">
        <v>0.1</v>
      </c>
      <c r="M1439" s="244">
        <f t="shared" si="187"/>
        <v>0</v>
      </c>
      <c r="N1439" s="244"/>
      <c r="O1439" s="244"/>
      <c r="P1439" s="244"/>
      <c r="Q1439" s="245">
        <f t="shared" si="188"/>
        <v>0</v>
      </c>
      <c r="R1439" s="245">
        <f t="shared" si="189"/>
        <v>0</v>
      </c>
      <c r="S1439" s="246">
        <v>0.5</v>
      </c>
      <c r="T1439" s="245">
        <f t="shared" si="190"/>
        <v>0</v>
      </c>
      <c r="U1439" s="245">
        <f t="shared" si="191"/>
        <v>0</v>
      </c>
      <c r="V1439" s="247"/>
    </row>
    <row r="1440" spans="1:22" ht="15.75" x14ac:dyDescent="0.25">
      <c r="A1440" s="236"/>
      <c r="B1440" s="237"/>
      <c r="C1440" s="238"/>
      <c r="D1440" s="239"/>
      <c r="E1440" s="240"/>
      <c r="F1440" s="240"/>
      <c r="G1440" s="240"/>
      <c r="H1440" s="241">
        <f t="shared" si="186"/>
        <v>0</v>
      </c>
      <c r="I1440" s="242"/>
      <c r="J1440" s="243"/>
      <c r="K1440" s="243"/>
      <c r="L1440" s="244">
        <v>0.1</v>
      </c>
      <c r="M1440" s="244">
        <f t="shared" si="187"/>
        <v>0</v>
      </c>
      <c r="N1440" s="244"/>
      <c r="O1440" s="244"/>
      <c r="P1440" s="244"/>
      <c r="Q1440" s="245">
        <f t="shared" si="188"/>
        <v>0</v>
      </c>
      <c r="R1440" s="245">
        <f t="shared" si="189"/>
        <v>0</v>
      </c>
      <c r="S1440" s="246">
        <v>0.5</v>
      </c>
      <c r="T1440" s="245">
        <f t="shared" si="190"/>
        <v>0</v>
      </c>
      <c r="U1440" s="245">
        <f t="shared" si="191"/>
        <v>0</v>
      </c>
      <c r="V1440" s="247"/>
    </row>
    <row r="1441" spans="1:22" ht="15.75" x14ac:dyDescent="0.25">
      <c r="A1441" s="236"/>
      <c r="B1441" s="237"/>
      <c r="C1441" s="238"/>
      <c r="D1441" s="239"/>
      <c r="E1441" s="240"/>
      <c r="F1441" s="240"/>
      <c r="G1441" s="240"/>
      <c r="H1441" s="241">
        <f t="shared" si="186"/>
        <v>0</v>
      </c>
      <c r="I1441" s="242"/>
      <c r="J1441" s="243"/>
      <c r="K1441" s="243"/>
      <c r="L1441" s="244">
        <v>0.1</v>
      </c>
      <c r="M1441" s="244">
        <f t="shared" si="187"/>
        <v>0</v>
      </c>
      <c r="N1441" s="244"/>
      <c r="O1441" s="244"/>
      <c r="P1441" s="244"/>
      <c r="Q1441" s="245">
        <f t="shared" si="188"/>
        <v>0</v>
      </c>
      <c r="R1441" s="245">
        <f t="shared" si="189"/>
        <v>0</v>
      </c>
      <c r="S1441" s="246">
        <v>0.5</v>
      </c>
      <c r="T1441" s="245">
        <f t="shared" si="190"/>
        <v>0</v>
      </c>
      <c r="U1441" s="245">
        <f t="shared" si="191"/>
        <v>0</v>
      </c>
      <c r="V1441" s="247"/>
    </row>
    <row r="1442" spans="1:22" ht="15.75" x14ac:dyDescent="0.25">
      <c r="A1442" s="236"/>
      <c r="B1442" s="237"/>
      <c r="C1442" s="238"/>
      <c r="D1442" s="239"/>
      <c r="E1442" s="240"/>
      <c r="F1442" s="240"/>
      <c r="G1442" s="240"/>
      <c r="H1442" s="241">
        <f t="shared" si="186"/>
        <v>0</v>
      </c>
      <c r="I1442" s="242"/>
      <c r="J1442" s="243"/>
      <c r="K1442" s="243"/>
      <c r="L1442" s="244">
        <v>0.1</v>
      </c>
      <c r="M1442" s="244">
        <f t="shared" si="187"/>
        <v>0</v>
      </c>
      <c r="N1442" s="244"/>
      <c r="O1442" s="244"/>
      <c r="P1442" s="244"/>
      <c r="Q1442" s="245">
        <f t="shared" si="188"/>
        <v>0</v>
      </c>
      <c r="R1442" s="245">
        <f t="shared" si="189"/>
        <v>0</v>
      </c>
      <c r="S1442" s="246">
        <v>0.5</v>
      </c>
      <c r="T1442" s="245">
        <f t="shared" si="190"/>
        <v>0</v>
      </c>
      <c r="U1442" s="245">
        <f t="shared" si="191"/>
        <v>0</v>
      </c>
      <c r="V1442" s="247"/>
    </row>
    <row r="1443" spans="1:22" ht="15.75" x14ac:dyDescent="0.25">
      <c r="A1443" s="236"/>
      <c r="B1443" s="237"/>
      <c r="C1443" s="238"/>
      <c r="D1443" s="239"/>
      <c r="E1443" s="240"/>
      <c r="F1443" s="240"/>
      <c r="G1443" s="240"/>
      <c r="H1443" s="241">
        <f t="shared" si="186"/>
        <v>0</v>
      </c>
      <c r="I1443" s="242"/>
      <c r="J1443" s="243"/>
      <c r="K1443" s="243"/>
      <c r="L1443" s="244">
        <v>0.1</v>
      </c>
      <c r="M1443" s="244">
        <f t="shared" si="187"/>
        <v>0</v>
      </c>
      <c r="N1443" s="244"/>
      <c r="O1443" s="244"/>
      <c r="P1443" s="244"/>
      <c r="Q1443" s="245">
        <f t="shared" si="188"/>
        <v>0</v>
      </c>
      <c r="R1443" s="245">
        <f t="shared" si="189"/>
        <v>0</v>
      </c>
      <c r="S1443" s="246">
        <v>0.5</v>
      </c>
      <c r="T1443" s="245">
        <f t="shared" si="190"/>
        <v>0</v>
      </c>
      <c r="U1443" s="245">
        <f t="shared" si="191"/>
        <v>0</v>
      </c>
      <c r="V1443" s="247"/>
    </row>
    <row r="1444" spans="1:22" ht="15.75" x14ac:dyDescent="0.25">
      <c r="A1444" s="236"/>
      <c r="B1444" s="237"/>
      <c r="C1444" s="238"/>
      <c r="D1444" s="239"/>
      <c r="E1444" s="240"/>
      <c r="F1444" s="240"/>
      <c r="G1444" s="240"/>
      <c r="H1444" s="241">
        <f t="shared" si="186"/>
        <v>0</v>
      </c>
      <c r="I1444" s="242"/>
      <c r="J1444" s="243"/>
      <c r="K1444" s="243"/>
      <c r="L1444" s="244">
        <v>0.1</v>
      </c>
      <c r="M1444" s="244">
        <f t="shared" si="187"/>
        <v>0</v>
      </c>
      <c r="N1444" s="244"/>
      <c r="O1444" s="244"/>
      <c r="P1444" s="244"/>
      <c r="Q1444" s="245">
        <f t="shared" si="188"/>
        <v>0</v>
      </c>
      <c r="R1444" s="245">
        <f t="shared" si="189"/>
        <v>0</v>
      </c>
      <c r="S1444" s="246">
        <v>0.5</v>
      </c>
      <c r="T1444" s="245">
        <f t="shared" si="190"/>
        <v>0</v>
      </c>
      <c r="U1444" s="245">
        <f t="shared" si="191"/>
        <v>0</v>
      </c>
      <c r="V1444" s="247"/>
    </row>
    <row r="1445" spans="1:22" ht="15.75" x14ac:dyDescent="0.25">
      <c r="A1445" s="236"/>
      <c r="B1445" s="237"/>
      <c r="C1445" s="238"/>
      <c r="D1445" s="239"/>
      <c r="E1445" s="240"/>
      <c r="F1445" s="240"/>
      <c r="G1445" s="240"/>
      <c r="H1445" s="241">
        <f t="shared" si="186"/>
        <v>0</v>
      </c>
      <c r="I1445" s="242"/>
      <c r="J1445" s="243"/>
      <c r="K1445" s="243"/>
      <c r="L1445" s="244">
        <v>0.1</v>
      </c>
      <c r="M1445" s="244">
        <f t="shared" si="187"/>
        <v>0</v>
      </c>
      <c r="N1445" s="244"/>
      <c r="O1445" s="244"/>
      <c r="P1445" s="244"/>
      <c r="Q1445" s="245">
        <f t="shared" si="188"/>
        <v>0</v>
      </c>
      <c r="R1445" s="245">
        <f t="shared" si="189"/>
        <v>0</v>
      </c>
      <c r="S1445" s="246">
        <v>0.5</v>
      </c>
      <c r="T1445" s="245">
        <f t="shared" si="190"/>
        <v>0</v>
      </c>
      <c r="U1445" s="245">
        <f t="shared" si="191"/>
        <v>0</v>
      </c>
      <c r="V1445" s="247"/>
    </row>
    <row r="1446" spans="1:22" ht="15.75" x14ac:dyDescent="0.25">
      <c r="A1446" s="236"/>
      <c r="B1446" s="237"/>
      <c r="C1446" s="238"/>
      <c r="D1446" s="239"/>
      <c r="E1446" s="240"/>
      <c r="F1446" s="240"/>
      <c r="G1446" s="240"/>
      <c r="H1446" s="241">
        <f t="shared" si="186"/>
        <v>0</v>
      </c>
      <c r="I1446" s="242"/>
      <c r="J1446" s="243"/>
      <c r="K1446" s="243"/>
      <c r="L1446" s="244">
        <v>0.1</v>
      </c>
      <c r="M1446" s="244">
        <f t="shared" si="187"/>
        <v>0</v>
      </c>
      <c r="N1446" s="244"/>
      <c r="O1446" s="244"/>
      <c r="P1446" s="244"/>
      <c r="Q1446" s="245">
        <f t="shared" si="188"/>
        <v>0</v>
      </c>
      <c r="R1446" s="245">
        <f t="shared" si="189"/>
        <v>0</v>
      </c>
      <c r="S1446" s="246">
        <v>0.5</v>
      </c>
      <c r="T1446" s="245">
        <f t="shared" si="190"/>
        <v>0</v>
      </c>
      <c r="U1446" s="245">
        <f t="shared" si="191"/>
        <v>0</v>
      </c>
      <c r="V1446" s="247"/>
    </row>
    <row r="1447" spans="1:22" ht="15.75" x14ac:dyDescent="0.25">
      <c r="A1447" s="236"/>
      <c r="B1447" s="237"/>
      <c r="C1447" s="238"/>
      <c r="D1447" s="239"/>
      <c r="E1447" s="240"/>
      <c r="F1447" s="240"/>
      <c r="G1447" s="240"/>
      <c r="H1447" s="241">
        <f t="shared" si="186"/>
        <v>0</v>
      </c>
      <c r="I1447" s="242"/>
      <c r="J1447" s="243"/>
      <c r="K1447" s="243"/>
      <c r="L1447" s="244">
        <v>0.1</v>
      </c>
      <c r="M1447" s="244">
        <f t="shared" si="187"/>
        <v>0</v>
      </c>
      <c r="N1447" s="244"/>
      <c r="O1447" s="244"/>
      <c r="P1447" s="244"/>
      <c r="Q1447" s="245">
        <f t="shared" si="188"/>
        <v>0</v>
      </c>
      <c r="R1447" s="245">
        <f t="shared" si="189"/>
        <v>0</v>
      </c>
      <c r="S1447" s="246">
        <v>0.5</v>
      </c>
      <c r="T1447" s="245">
        <f t="shared" si="190"/>
        <v>0</v>
      </c>
      <c r="U1447" s="245">
        <f t="shared" si="191"/>
        <v>0</v>
      </c>
      <c r="V1447" s="247"/>
    </row>
    <row r="1448" spans="1:22" ht="15.75" x14ac:dyDescent="0.25">
      <c r="A1448" s="236"/>
      <c r="B1448" s="237"/>
      <c r="C1448" s="238"/>
      <c r="D1448" s="239"/>
      <c r="E1448" s="240"/>
      <c r="F1448" s="240"/>
      <c r="G1448" s="240"/>
      <c r="H1448" s="241">
        <f t="shared" si="186"/>
        <v>0</v>
      </c>
      <c r="I1448" s="242"/>
      <c r="J1448" s="243"/>
      <c r="K1448" s="243"/>
      <c r="L1448" s="244">
        <v>0.1</v>
      </c>
      <c r="M1448" s="244">
        <f t="shared" si="187"/>
        <v>0</v>
      </c>
      <c r="N1448" s="244"/>
      <c r="O1448" s="244"/>
      <c r="P1448" s="244"/>
      <c r="Q1448" s="245">
        <f t="shared" si="188"/>
        <v>0</v>
      </c>
      <c r="R1448" s="245">
        <f t="shared" si="189"/>
        <v>0</v>
      </c>
      <c r="S1448" s="246">
        <v>0.5</v>
      </c>
      <c r="T1448" s="245">
        <f t="shared" si="190"/>
        <v>0</v>
      </c>
      <c r="U1448" s="245">
        <f t="shared" si="191"/>
        <v>0</v>
      </c>
      <c r="V1448" s="247"/>
    </row>
    <row r="1449" spans="1:22" ht="15.75" x14ac:dyDescent="0.25">
      <c r="A1449" s="236"/>
      <c r="B1449" s="237"/>
      <c r="C1449" s="238"/>
      <c r="D1449" s="239"/>
      <c r="E1449" s="240"/>
      <c r="F1449" s="240"/>
      <c r="G1449" s="240"/>
      <c r="H1449" s="241">
        <f t="shared" si="186"/>
        <v>0</v>
      </c>
      <c r="I1449" s="242"/>
      <c r="J1449" s="243"/>
      <c r="K1449" s="243"/>
      <c r="L1449" s="244">
        <v>0.1</v>
      </c>
      <c r="M1449" s="244">
        <f t="shared" si="187"/>
        <v>0</v>
      </c>
      <c r="N1449" s="244"/>
      <c r="O1449" s="244"/>
      <c r="P1449" s="244"/>
      <c r="Q1449" s="245">
        <f t="shared" si="188"/>
        <v>0</v>
      </c>
      <c r="R1449" s="245">
        <f t="shared" si="189"/>
        <v>0</v>
      </c>
      <c r="S1449" s="246">
        <v>0.5</v>
      </c>
      <c r="T1449" s="245">
        <f t="shared" si="190"/>
        <v>0</v>
      </c>
      <c r="U1449" s="245">
        <f t="shared" si="191"/>
        <v>0</v>
      </c>
      <c r="V1449" s="247"/>
    </row>
    <row r="1450" spans="1:22" ht="15.75" x14ac:dyDescent="0.25">
      <c r="A1450" s="236"/>
      <c r="B1450" s="237"/>
      <c r="C1450" s="238"/>
      <c r="D1450" s="239"/>
      <c r="E1450" s="240"/>
      <c r="F1450" s="240"/>
      <c r="G1450" s="240"/>
      <c r="H1450" s="241">
        <f t="shared" si="186"/>
        <v>0</v>
      </c>
      <c r="I1450" s="242"/>
      <c r="J1450" s="243"/>
      <c r="K1450" s="243"/>
      <c r="L1450" s="244">
        <v>0.1</v>
      </c>
      <c r="M1450" s="244">
        <f t="shared" si="187"/>
        <v>0</v>
      </c>
      <c r="N1450" s="244"/>
      <c r="O1450" s="244"/>
      <c r="P1450" s="244"/>
      <c r="Q1450" s="245">
        <f t="shared" si="188"/>
        <v>0</v>
      </c>
      <c r="R1450" s="245">
        <f t="shared" si="189"/>
        <v>0</v>
      </c>
      <c r="S1450" s="246">
        <v>0.5</v>
      </c>
      <c r="T1450" s="245">
        <f t="shared" si="190"/>
        <v>0</v>
      </c>
      <c r="U1450" s="245">
        <f t="shared" si="191"/>
        <v>0</v>
      </c>
      <c r="V1450" s="247"/>
    </row>
    <row r="1451" spans="1:22" ht="15.75" x14ac:dyDescent="0.25">
      <c r="A1451" s="236"/>
      <c r="B1451" s="237"/>
      <c r="C1451" s="238"/>
      <c r="D1451" s="239"/>
      <c r="E1451" s="240"/>
      <c r="F1451" s="240"/>
      <c r="G1451" s="240"/>
      <c r="H1451" s="241">
        <f t="shared" si="186"/>
        <v>0</v>
      </c>
      <c r="I1451" s="242"/>
      <c r="J1451" s="243"/>
      <c r="K1451" s="243"/>
      <c r="L1451" s="244">
        <v>0.1</v>
      </c>
      <c r="M1451" s="244">
        <f t="shared" si="187"/>
        <v>0</v>
      </c>
      <c r="N1451" s="244"/>
      <c r="O1451" s="244"/>
      <c r="P1451" s="244"/>
      <c r="Q1451" s="245">
        <f t="shared" si="188"/>
        <v>0</v>
      </c>
      <c r="R1451" s="245">
        <f t="shared" si="189"/>
        <v>0</v>
      </c>
      <c r="S1451" s="246">
        <v>0.5</v>
      </c>
      <c r="T1451" s="245">
        <f t="shared" si="190"/>
        <v>0</v>
      </c>
      <c r="U1451" s="245">
        <f t="shared" si="191"/>
        <v>0</v>
      </c>
      <c r="V1451" s="247"/>
    </row>
    <row r="1452" spans="1:22" ht="15.75" x14ac:dyDescent="0.25">
      <c r="A1452" s="236"/>
      <c r="B1452" s="237"/>
      <c r="C1452" s="238"/>
      <c r="D1452" s="239"/>
      <c r="E1452" s="240"/>
      <c r="F1452" s="240"/>
      <c r="G1452" s="240"/>
      <c r="H1452" s="241">
        <f t="shared" si="186"/>
        <v>0</v>
      </c>
      <c r="I1452" s="242"/>
      <c r="J1452" s="243"/>
      <c r="K1452" s="243"/>
      <c r="L1452" s="244">
        <v>0.1</v>
      </c>
      <c r="M1452" s="244">
        <f t="shared" si="187"/>
        <v>0</v>
      </c>
      <c r="N1452" s="244"/>
      <c r="O1452" s="244"/>
      <c r="P1452" s="244"/>
      <c r="Q1452" s="245">
        <f t="shared" si="188"/>
        <v>0</v>
      </c>
      <c r="R1452" s="245">
        <f t="shared" si="189"/>
        <v>0</v>
      </c>
      <c r="S1452" s="246">
        <v>0.5</v>
      </c>
      <c r="T1452" s="245">
        <f t="shared" si="190"/>
        <v>0</v>
      </c>
      <c r="U1452" s="245">
        <f t="shared" si="191"/>
        <v>0</v>
      </c>
      <c r="V1452" s="247"/>
    </row>
    <row r="1453" spans="1:22" ht="15.75" x14ac:dyDescent="0.25">
      <c r="A1453" s="236"/>
      <c r="B1453" s="237"/>
      <c r="C1453" s="238"/>
      <c r="D1453" s="239"/>
      <c r="E1453" s="240"/>
      <c r="F1453" s="240"/>
      <c r="G1453" s="240"/>
      <c r="H1453" s="241">
        <f t="shared" si="186"/>
        <v>0</v>
      </c>
      <c r="I1453" s="242"/>
      <c r="J1453" s="243"/>
      <c r="K1453" s="243"/>
      <c r="L1453" s="244">
        <v>0.1</v>
      </c>
      <c r="M1453" s="244">
        <f t="shared" si="187"/>
        <v>0</v>
      </c>
      <c r="N1453" s="244"/>
      <c r="O1453" s="244"/>
      <c r="P1453" s="244"/>
      <c r="Q1453" s="245">
        <f t="shared" si="188"/>
        <v>0</v>
      </c>
      <c r="R1453" s="245">
        <f t="shared" si="189"/>
        <v>0</v>
      </c>
      <c r="S1453" s="246">
        <v>0.5</v>
      </c>
      <c r="T1453" s="245">
        <f t="shared" si="190"/>
        <v>0</v>
      </c>
      <c r="U1453" s="245">
        <f t="shared" si="191"/>
        <v>0</v>
      </c>
      <c r="V1453" s="247"/>
    </row>
    <row r="1454" spans="1:22" ht="15.75" x14ac:dyDescent="0.25">
      <c r="A1454" s="236"/>
      <c r="B1454" s="237"/>
      <c r="C1454" s="238"/>
      <c r="D1454" s="239"/>
      <c r="E1454" s="240"/>
      <c r="F1454" s="240"/>
      <c r="G1454" s="240"/>
      <c r="H1454" s="241">
        <f t="shared" si="186"/>
        <v>0</v>
      </c>
      <c r="I1454" s="242"/>
      <c r="J1454" s="243"/>
      <c r="K1454" s="243"/>
      <c r="L1454" s="244">
        <v>0.1</v>
      </c>
      <c r="M1454" s="244">
        <f t="shared" si="187"/>
        <v>0</v>
      </c>
      <c r="N1454" s="244"/>
      <c r="O1454" s="244"/>
      <c r="P1454" s="244"/>
      <c r="Q1454" s="245">
        <f t="shared" si="188"/>
        <v>0</v>
      </c>
      <c r="R1454" s="245">
        <f t="shared" si="189"/>
        <v>0</v>
      </c>
      <c r="S1454" s="246">
        <v>0.5</v>
      </c>
      <c r="T1454" s="245">
        <f t="shared" si="190"/>
        <v>0</v>
      </c>
      <c r="U1454" s="245">
        <f t="shared" si="191"/>
        <v>0</v>
      </c>
      <c r="V1454" s="247"/>
    </row>
    <row r="1455" spans="1:22" ht="15.75" x14ac:dyDescent="0.25">
      <c r="A1455" s="236"/>
      <c r="B1455" s="237"/>
      <c r="C1455" s="238"/>
      <c r="D1455" s="239"/>
      <c r="E1455" s="240"/>
      <c r="F1455" s="240"/>
      <c r="G1455" s="240"/>
      <c r="H1455" s="241">
        <f t="shared" si="186"/>
        <v>0</v>
      </c>
      <c r="I1455" s="242"/>
      <c r="J1455" s="243"/>
      <c r="K1455" s="243"/>
      <c r="L1455" s="244">
        <v>0.1</v>
      </c>
      <c r="M1455" s="244">
        <f t="shared" si="187"/>
        <v>0</v>
      </c>
      <c r="N1455" s="244"/>
      <c r="O1455" s="244"/>
      <c r="P1455" s="244"/>
      <c r="Q1455" s="245">
        <f t="shared" si="188"/>
        <v>0</v>
      </c>
      <c r="R1455" s="245">
        <f t="shared" si="189"/>
        <v>0</v>
      </c>
      <c r="S1455" s="246">
        <v>0.5</v>
      </c>
      <c r="T1455" s="245">
        <f t="shared" si="190"/>
        <v>0</v>
      </c>
      <c r="U1455" s="245">
        <f t="shared" si="191"/>
        <v>0</v>
      </c>
      <c r="V1455" s="247"/>
    </row>
    <row r="1456" spans="1:22" ht="15.75" x14ac:dyDescent="0.25">
      <c r="A1456" s="236"/>
      <c r="B1456" s="237"/>
      <c r="C1456" s="238"/>
      <c r="D1456" s="239"/>
      <c r="E1456" s="240"/>
      <c r="F1456" s="240"/>
      <c r="G1456" s="240"/>
      <c r="H1456" s="241">
        <f t="shared" si="186"/>
        <v>0</v>
      </c>
      <c r="I1456" s="242"/>
      <c r="J1456" s="243"/>
      <c r="K1456" s="243"/>
      <c r="L1456" s="244">
        <v>0.1</v>
      </c>
      <c r="M1456" s="244">
        <f t="shared" si="187"/>
        <v>0</v>
      </c>
      <c r="N1456" s="244"/>
      <c r="O1456" s="244"/>
      <c r="P1456" s="244"/>
      <c r="Q1456" s="245">
        <f t="shared" si="188"/>
        <v>0</v>
      </c>
      <c r="R1456" s="245">
        <f t="shared" si="189"/>
        <v>0</v>
      </c>
      <c r="S1456" s="246">
        <v>0.5</v>
      </c>
      <c r="T1456" s="245">
        <f t="shared" si="190"/>
        <v>0</v>
      </c>
      <c r="U1456" s="245">
        <f t="shared" si="191"/>
        <v>0</v>
      </c>
      <c r="V1456" s="247"/>
    </row>
    <row r="1457" spans="1:22" ht="15.75" x14ac:dyDescent="0.25">
      <c r="A1457" s="236"/>
      <c r="B1457" s="237"/>
      <c r="C1457" s="238"/>
      <c r="D1457" s="239"/>
      <c r="E1457" s="240"/>
      <c r="F1457" s="240"/>
      <c r="G1457" s="240"/>
      <c r="H1457" s="241">
        <f t="shared" si="186"/>
        <v>0</v>
      </c>
      <c r="I1457" s="242"/>
      <c r="J1457" s="243"/>
      <c r="K1457" s="243"/>
      <c r="L1457" s="244">
        <v>0.1</v>
      </c>
      <c r="M1457" s="244">
        <f t="shared" si="187"/>
        <v>0</v>
      </c>
      <c r="N1457" s="244"/>
      <c r="O1457" s="244"/>
      <c r="P1457" s="244"/>
      <c r="Q1457" s="245">
        <f t="shared" si="188"/>
        <v>0</v>
      </c>
      <c r="R1457" s="245">
        <f t="shared" si="189"/>
        <v>0</v>
      </c>
      <c r="S1457" s="246">
        <v>0.5</v>
      </c>
      <c r="T1457" s="245">
        <f t="shared" si="190"/>
        <v>0</v>
      </c>
      <c r="U1457" s="245">
        <f t="shared" si="191"/>
        <v>0</v>
      </c>
      <c r="V1457" s="247"/>
    </row>
    <row r="1458" spans="1:22" ht="15.75" x14ac:dyDescent="0.25">
      <c r="A1458" s="236"/>
      <c r="B1458" s="237"/>
      <c r="C1458" s="238"/>
      <c r="D1458" s="239"/>
      <c r="E1458" s="240"/>
      <c r="F1458" s="240"/>
      <c r="G1458" s="240"/>
      <c r="H1458" s="241">
        <f t="shared" si="186"/>
        <v>0</v>
      </c>
      <c r="I1458" s="242"/>
      <c r="J1458" s="243"/>
      <c r="K1458" s="243"/>
      <c r="L1458" s="244">
        <v>0.1</v>
      </c>
      <c r="M1458" s="244">
        <f t="shared" si="187"/>
        <v>0</v>
      </c>
      <c r="N1458" s="244"/>
      <c r="O1458" s="244"/>
      <c r="P1458" s="244"/>
      <c r="Q1458" s="245">
        <f t="shared" si="188"/>
        <v>0</v>
      </c>
      <c r="R1458" s="245">
        <f t="shared" si="189"/>
        <v>0</v>
      </c>
      <c r="S1458" s="246">
        <v>0.5</v>
      </c>
      <c r="T1458" s="245">
        <f t="shared" si="190"/>
        <v>0</v>
      </c>
      <c r="U1458" s="245">
        <f t="shared" si="191"/>
        <v>0</v>
      </c>
      <c r="V1458" s="247"/>
    </row>
    <row r="1459" spans="1:22" ht="15.75" x14ac:dyDescent="0.25">
      <c r="A1459" s="236"/>
      <c r="B1459" s="237"/>
      <c r="C1459" s="238"/>
      <c r="D1459" s="239"/>
      <c r="E1459" s="240"/>
      <c r="F1459" s="240"/>
      <c r="G1459" s="240"/>
      <c r="H1459" s="241">
        <f t="shared" si="186"/>
        <v>0</v>
      </c>
      <c r="I1459" s="242"/>
      <c r="J1459" s="243"/>
      <c r="K1459" s="243"/>
      <c r="L1459" s="244">
        <v>0.1</v>
      </c>
      <c r="M1459" s="244">
        <f t="shared" si="187"/>
        <v>0</v>
      </c>
      <c r="N1459" s="244"/>
      <c r="O1459" s="244"/>
      <c r="P1459" s="244"/>
      <c r="Q1459" s="245">
        <f t="shared" si="188"/>
        <v>0</v>
      </c>
      <c r="R1459" s="245">
        <f t="shared" si="189"/>
        <v>0</v>
      </c>
      <c r="S1459" s="246">
        <v>0.5</v>
      </c>
      <c r="T1459" s="245">
        <f t="shared" si="190"/>
        <v>0</v>
      </c>
      <c r="U1459" s="245">
        <f t="shared" si="191"/>
        <v>0</v>
      </c>
      <c r="V1459" s="247"/>
    </row>
    <row r="1460" spans="1:22" ht="15.75" x14ac:dyDescent="0.25">
      <c r="A1460" s="236"/>
      <c r="B1460" s="237"/>
      <c r="C1460" s="238"/>
      <c r="D1460" s="239"/>
      <c r="E1460" s="240"/>
      <c r="F1460" s="240"/>
      <c r="G1460" s="240"/>
      <c r="H1460" s="241">
        <f t="shared" si="186"/>
        <v>0</v>
      </c>
      <c r="I1460" s="242"/>
      <c r="J1460" s="243"/>
      <c r="K1460" s="243"/>
      <c r="L1460" s="244">
        <v>0.1</v>
      </c>
      <c r="M1460" s="244">
        <f t="shared" si="187"/>
        <v>0</v>
      </c>
      <c r="N1460" s="244"/>
      <c r="O1460" s="244"/>
      <c r="P1460" s="244"/>
      <c r="Q1460" s="245">
        <f t="shared" si="188"/>
        <v>0</v>
      </c>
      <c r="R1460" s="245">
        <f t="shared" si="189"/>
        <v>0</v>
      </c>
      <c r="S1460" s="246">
        <v>0.5</v>
      </c>
      <c r="T1460" s="245">
        <f t="shared" si="190"/>
        <v>0</v>
      </c>
      <c r="U1460" s="245">
        <f t="shared" si="191"/>
        <v>0</v>
      </c>
      <c r="V1460" s="247"/>
    </row>
    <row r="1461" spans="1:22" ht="15.75" x14ac:dyDescent="0.25">
      <c r="A1461" s="236"/>
      <c r="B1461" s="237"/>
      <c r="C1461" s="238"/>
      <c r="D1461" s="239"/>
      <c r="E1461" s="240"/>
      <c r="F1461" s="240"/>
      <c r="G1461" s="240"/>
      <c r="H1461" s="241">
        <f t="shared" si="186"/>
        <v>0</v>
      </c>
      <c r="I1461" s="242"/>
      <c r="J1461" s="243"/>
      <c r="K1461" s="243"/>
      <c r="L1461" s="244">
        <v>0.1</v>
      </c>
      <c r="M1461" s="244">
        <f t="shared" si="187"/>
        <v>0</v>
      </c>
      <c r="N1461" s="244"/>
      <c r="O1461" s="244"/>
      <c r="P1461" s="244"/>
      <c r="Q1461" s="245">
        <f t="shared" si="188"/>
        <v>0</v>
      </c>
      <c r="R1461" s="245">
        <f t="shared" si="189"/>
        <v>0</v>
      </c>
      <c r="S1461" s="246">
        <v>0.5</v>
      </c>
      <c r="T1461" s="245">
        <f t="shared" si="190"/>
        <v>0</v>
      </c>
      <c r="U1461" s="245">
        <f t="shared" si="191"/>
        <v>0</v>
      </c>
      <c r="V1461" s="247"/>
    </row>
    <row r="1462" spans="1:22" ht="15.75" x14ac:dyDescent="0.25">
      <c r="A1462" s="236"/>
      <c r="B1462" s="237"/>
      <c r="C1462" s="238"/>
      <c r="D1462" s="239"/>
      <c r="E1462" s="240"/>
      <c r="F1462" s="240"/>
      <c r="G1462" s="240"/>
      <c r="H1462" s="241">
        <f t="shared" si="186"/>
        <v>0</v>
      </c>
      <c r="I1462" s="242"/>
      <c r="J1462" s="243"/>
      <c r="K1462" s="243"/>
      <c r="L1462" s="244">
        <v>0.1</v>
      </c>
      <c r="M1462" s="244">
        <f t="shared" si="187"/>
        <v>0</v>
      </c>
      <c r="N1462" s="244"/>
      <c r="O1462" s="244"/>
      <c r="P1462" s="244"/>
      <c r="Q1462" s="245">
        <f t="shared" si="188"/>
        <v>0</v>
      </c>
      <c r="R1462" s="245">
        <f t="shared" si="189"/>
        <v>0</v>
      </c>
      <c r="S1462" s="246">
        <v>0.5</v>
      </c>
      <c r="T1462" s="245">
        <f t="shared" si="190"/>
        <v>0</v>
      </c>
      <c r="U1462" s="245">
        <f t="shared" si="191"/>
        <v>0</v>
      </c>
      <c r="V1462" s="247"/>
    </row>
    <row r="1463" spans="1:22" ht="15.75" x14ac:dyDescent="0.25">
      <c r="A1463" s="236"/>
      <c r="B1463" s="237"/>
      <c r="C1463" s="238"/>
      <c r="D1463" s="239"/>
      <c r="E1463" s="240"/>
      <c r="F1463" s="240"/>
      <c r="G1463" s="240"/>
      <c r="H1463" s="241">
        <f t="shared" si="186"/>
        <v>0</v>
      </c>
      <c r="I1463" s="242"/>
      <c r="J1463" s="243"/>
      <c r="K1463" s="243"/>
      <c r="L1463" s="244">
        <v>0.1</v>
      </c>
      <c r="M1463" s="244">
        <f t="shared" si="187"/>
        <v>0</v>
      </c>
      <c r="N1463" s="244"/>
      <c r="O1463" s="244"/>
      <c r="P1463" s="244"/>
      <c r="Q1463" s="245">
        <f t="shared" si="188"/>
        <v>0</v>
      </c>
      <c r="R1463" s="245">
        <f t="shared" si="189"/>
        <v>0</v>
      </c>
      <c r="S1463" s="246">
        <v>0.5</v>
      </c>
      <c r="T1463" s="245">
        <f t="shared" si="190"/>
        <v>0</v>
      </c>
      <c r="U1463" s="245">
        <f t="shared" si="191"/>
        <v>0</v>
      </c>
      <c r="V1463" s="247"/>
    </row>
    <row r="1464" spans="1:22" ht="15.75" x14ac:dyDescent="0.25">
      <c r="A1464" s="236"/>
      <c r="B1464" s="237"/>
      <c r="C1464" s="238"/>
      <c r="D1464" s="239"/>
      <c r="E1464" s="240"/>
      <c r="F1464" s="240"/>
      <c r="G1464" s="240"/>
      <c r="H1464" s="241">
        <f t="shared" si="186"/>
        <v>0</v>
      </c>
      <c r="I1464" s="242"/>
      <c r="J1464" s="243"/>
      <c r="K1464" s="243"/>
      <c r="L1464" s="244">
        <v>0.1</v>
      </c>
      <c r="M1464" s="244">
        <f t="shared" si="187"/>
        <v>0</v>
      </c>
      <c r="N1464" s="244"/>
      <c r="O1464" s="244"/>
      <c r="P1464" s="244"/>
      <c r="Q1464" s="245">
        <f t="shared" si="188"/>
        <v>0</v>
      </c>
      <c r="R1464" s="245">
        <f t="shared" si="189"/>
        <v>0</v>
      </c>
      <c r="S1464" s="246">
        <v>0.5</v>
      </c>
      <c r="T1464" s="245">
        <f t="shared" si="190"/>
        <v>0</v>
      </c>
      <c r="U1464" s="245">
        <f t="shared" si="191"/>
        <v>0</v>
      </c>
      <c r="V1464" s="247"/>
    </row>
    <row r="1465" spans="1:22" ht="15.75" x14ac:dyDescent="0.25">
      <c r="A1465" s="236"/>
      <c r="B1465" s="237"/>
      <c r="C1465" s="238"/>
      <c r="D1465" s="239"/>
      <c r="E1465" s="240"/>
      <c r="F1465" s="240"/>
      <c r="G1465" s="240"/>
      <c r="H1465" s="241">
        <f t="shared" si="186"/>
        <v>0</v>
      </c>
      <c r="I1465" s="242"/>
      <c r="J1465" s="243"/>
      <c r="K1465" s="243"/>
      <c r="L1465" s="244">
        <v>0.1</v>
      </c>
      <c r="M1465" s="244">
        <f t="shared" si="187"/>
        <v>0</v>
      </c>
      <c r="N1465" s="244"/>
      <c r="O1465" s="244"/>
      <c r="P1465" s="244"/>
      <c r="Q1465" s="245">
        <f t="shared" si="188"/>
        <v>0</v>
      </c>
      <c r="R1465" s="245">
        <f t="shared" si="189"/>
        <v>0</v>
      </c>
      <c r="S1465" s="246">
        <v>0.5</v>
      </c>
      <c r="T1465" s="245">
        <f t="shared" si="190"/>
        <v>0</v>
      </c>
      <c r="U1465" s="245">
        <f t="shared" si="191"/>
        <v>0</v>
      </c>
      <c r="V1465" s="247"/>
    </row>
    <row r="1466" spans="1:22" ht="15.75" x14ac:dyDescent="0.25">
      <c r="A1466" s="236"/>
      <c r="B1466" s="237"/>
      <c r="C1466" s="238"/>
      <c r="D1466" s="239"/>
      <c r="E1466" s="240"/>
      <c r="F1466" s="240"/>
      <c r="G1466" s="240"/>
      <c r="H1466" s="241">
        <f t="shared" si="186"/>
        <v>0</v>
      </c>
      <c r="I1466" s="242"/>
      <c r="J1466" s="243"/>
      <c r="K1466" s="243"/>
      <c r="L1466" s="244">
        <v>0.1</v>
      </c>
      <c r="M1466" s="244">
        <f t="shared" si="187"/>
        <v>0</v>
      </c>
      <c r="N1466" s="244"/>
      <c r="O1466" s="244"/>
      <c r="P1466" s="244"/>
      <c r="Q1466" s="245">
        <f t="shared" si="188"/>
        <v>0</v>
      </c>
      <c r="R1466" s="245">
        <f t="shared" si="189"/>
        <v>0</v>
      </c>
      <c r="S1466" s="246">
        <v>0.5</v>
      </c>
      <c r="T1466" s="245">
        <f t="shared" si="190"/>
        <v>0</v>
      </c>
      <c r="U1466" s="245">
        <f t="shared" si="191"/>
        <v>0</v>
      </c>
      <c r="V1466" s="247"/>
    </row>
    <row r="1467" spans="1:22" ht="15.75" x14ac:dyDescent="0.25">
      <c r="A1467" s="236"/>
      <c r="B1467" s="237"/>
      <c r="C1467" s="238"/>
      <c r="D1467" s="239"/>
      <c r="E1467" s="240"/>
      <c r="F1467" s="240"/>
      <c r="G1467" s="240"/>
      <c r="H1467" s="241">
        <f t="shared" si="186"/>
        <v>0</v>
      </c>
      <c r="I1467" s="242"/>
      <c r="J1467" s="243"/>
      <c r="K1467" s="243"/>
      <c r="L1467" s="244">
        <v>0.1</v>
      </c>
      <c r="M1467" s="244">
        <f t="shared" si="187"/>
        <v>0</v>
      </c>
      <c r="N1467" s="244"/>
      <c r="O1467" s="244"/>
      <c r="P1467" s="244"/>
      <c r="Q1467" s="245">
        <f t="shared" si="188"/>
        <v>0</v>
      </c>
      <c r="R1467" s="245">
        <f t="shared" si="189"/>
        <v>0</v>
      </c>
      <c r="S1467" s="246">
        <v>0.5</v>
      </c>
      <c r="T1467" s="245">
        <f t="shared" si="190"/>
        <v>0</v>
      </c>
      <c r="U1467" s="245">
        <f t="shared" si="191"/>
        <v>0</v>
      </c>
      <c r="V1467" s="247"/>
    </row>
    <row r="1468" spans="1:22" ht="15.75" x14ac:dyDescent="0.25">
      <c r="A1468" s="236"/>
      <c r="B1468" s="237"/>
      <c r="C1468" s="238"/>
      <c r="D1468" s="239"/>
      <c r="E1468" s="240"/>
      <c r="F1468" s="240"/>
      <c r="G1468" s="240"/>
      <c r="H1468" s="241">
        <f t="shared" si="186"/>
        <v>0</v>
      </c>
      <c r="I1468" s="242"/>
      <c r="J1468" s="243"/>
      <c r="K1468" s="243"/>
      <c r="L1468" s="244">
        <v>0.1</v>
      </c>
      <c r="M1468" s="244">
        <f t="shared" si="187"/>
        <v>0</v>
      </c>
      <c r="N1468" s="244"/>
      <c r="O1468" s="244"/>
      <c r="P1468" s="244"/>
      <c r="Q1468" s="245">
        <f t="shared" si="188"/>
        <v>0</v>
      </c>
      <c r="R1468" s="245">
        <f t="shared" si="189"/>
        <v>0</v>
      </c>
      <c r="S1468" s="246">
        <v>0.5</v>
      </c>
      <c r="T1468" s="245">
        <f t="shared" si="190"/>
        <v>0</v>
      </c>
      <c r="U1468" s="245">
        <f t="shared" si="191"/>
        <v>0</v>
      </c>
      <c r="V1468" s="247"/>
    </row>
    <row r="1469" spans="1:22" ht="15.75" x14ac:dyDescent="0.25">
      <c r="A1469" s="236"/>
      <c r="B1469" s="237"/>
      <c r="C1469" s="238"/>
      <c r="D1469" s="239"/>
      <c r="E1469" s="240"/>
      <c r="F1469" s="240"/>
      <c r="G1469" s="240"/>
      <c r="H1469" s="241">
        <f t="shared" ref="H1469:H1532" si="192">+E1469+F1469+G1469</f>
        <v>0</v>
      </c>
      <c r="I1469" s="242"/>
      <c r="J1469" s="243"/>
      <c r="K1469" s="243"/>
      <c r="L1469" s="244">
        <v>0.1</v>
      </c>
      <c r="M1469" s="244">
        <f t="shared" ref="M1469:M1532" si="193">+L1469*C1469</f>
        <v>0</v>
      </c>
      <c r="N1469" s="244"/>
      <c r="O1469" s="244"/>
      <c r="P1469" s="244"/>
      <c r="Q1469" s="245">
        <f t="shared" ref="Q1469:Q1532" si="194">+N1469+O1469+P1469</f>
        <v>0</v>
      </c>
      <c r="R1469" s="245">
        <f t="shared" ref="R1469:R1532" si="195">IF(+Q1469-H1469&lt;=0,0,Q1469-H1469)</f>
        <v>0</v>
      </c>
      <c r="S1469" s="246">
        <v>0.5</v>
      </c>
      <c r="T1469" s="245">
        <f t="shared" ref="T1469:T1532" si="196">+(R1469*C1469)*S1469</f>
        <v>0</v>
      </c>
      <c r="U1469" s="245">
        <f t="shared" ref="U1469:U1532" si="197">+J1469+M1469+T1469</f>
        <v>0</v>
      </c>
      <c r="V1469" s="247"/>
    </row>
    <row r="1470" spans="1:22" ht="15.75" x14ac:dyDescent="0.25">
      <c r="A1470" s="236"/>
      <c r="B1470" s="237"/>
      <c r="C1470" s="238"/>
      <c r="D1470" s="239"/>
      <c r="E1470" s="240"/>
      <c r="F1470" s="240"/>
      <c r="G1470" s="240"/>
      <c r="H1470" s="241">
        <f t="shared" si="192"/>
        <v>0</v>
      </c>
      <c r="I1470" s="242"/>
      <c r="J1470" s="243"/>
      <c r="K1470" s="243"/>
      <c r="L1470" s="244">
        <v>0.1</v>
      </c>
      <c r="M1470" s="244">
        <f t="shared" si="193"/>
        <v>0</v>
      </c>
      <c r="N1470" s="244"/>
      <c r="O1470" s="244"/>
      <c r="P1470" s="244"/>
      <c r="Q1470" s="245">
        <f t="shared" si="194"/>
        <v>0</v>
      </c>
      <c r="R1470" s="245">
        <f t="shared" si="195"/>
        <v>0</v>
      </c>
      <c r="S1470" s="246">
        <v>0.5</v>
      </c>
      <c r="T1470" s="245">
        <f t="shared" si="196"/>
        <v>0</v>
      </c>
      <c r="U1470" s="245">
        <f t="shared" si="197"/>
        <v>0</v>
      </c>
      <c r="V1470" s="247"/>
    </row>
    <row r="1471" spans="1:22" ht="15.75" x14ac:dyDescent="0.25">
      <c r="A1471" s="236"/>
      <c r="B1471" s="237"/>
      <c r="C1471" s="238"/>
      <c r="D1471" s="239"/>
      <c r="E1471" s="240"/>
      <c r="F1471" s="240"/>
      <c r="G1471" s="240"/>
      <c r="H1471" s="241">
        <f t="shared" si="192"/>
        <v>0</v>
      </c>
      <c r="I1471" s="242"/>
      <c r="J1471" s="243"/>
      <c r="K1471" s="243"/>
      <c r="L1471" s="244">
        <v>0.1</v>
      </c>
      <c r="M1471" s="244">
        <f t="shared" si="193"/>
        <v>0</v>
      </c>
      <c r="N1471" s="244"/>
      <c r="O1471" s="244"/>
      <c r="P1471" s="244"/>
      <c r="Q1471" s="245">
        <f t="shared" si="194"/>
        <v>0</v>
      </c>
      <c r="R1471" s="245">
        <f t="shared" si="195"/>
        <v>0</v>
      </c>
      <c r="S1471" s="246">
        <v>0.5</v>
      </c>
      <c r="T1471" s="245">
        <f t="shared" si="196"/>
        <v>0</v>
      </c>
      <c r="U1471" s="245">
        <f t="shared" si="197"/>
        <v>0</v>
      </c>
      <c r="V1471" s="247"/>
    </row>
    <row r="1472" spans="1:22" ht="15.75" x14ac:dyDescent="0.25">
      <c r="A1472" s="236"/>
      <c r="B1472" s="237"/>
      <c r="C1472" s="238"/>
      <c r="D1472" s="239"/>
      <c r="E1472" s="240"/>
      <c r="F1472" s="240"/>
      <c r="G1472" s="240"/>
      <c r="H1472" s="241">
        <f t="shared" si="192"/>
        <v>0</v>
      </c>
      <c r="I1472" s="242"/>
      <c r="J1472" s="243"/>
      <c r="K1472" s="243"/>
      <c r="L1472" s="244">
        <v>0.1</v>
      </c>
      <c r="M1472" s="244">
        <f t="shared" si="193"/>
        <v>0</v>
      </c>
      <c r="N1472" s="244"/>
      <c r="O1472" s="244"/>
      <c r="P1472" s="244"/>
      <c r="Q1472" s="245">
        <f t="shared" si="194"/>
        <v>0</v>
      </c>
      <c r="R1472" s="245">
        <f t="shared" si="195"/>
        <v>0</v>
      </c>
      <c r="S1472" s="246">
        <v>0.5</v>
      </c>
      <c r="T1472" s="245">
        <f t="shared" si="196"/>
        <v>0</v>
      </c>
      <c r="U1472" s="245">
        <f t="shared" si="197"/>
        <v>0</v>
      </c>
      <c r="V1472" s="247"/>
    </row>
    <row r="1473" spans="1:22" ht="15.75" x14ac:dyDescent="0.25">
      <c r="A1473" s="236"/>
      <c r="B1473" s="237"/>
      <c r="C1473" s="238"/>
      <c r="D1473" s="239"/>
      <c r="E1473" s="240"/>
      <c r="F1473" s="240"/>
      <c r="G1473" s="240"/>
      <c r="H1473" s="241">
        <f t="shared" si="192"/>
        <v>0</v>
      </c>
      <c r="I1473" s="242"/>
      <c r="J1473" s="243"/>
      <c r="K1473" s="243"/>
      <c r="L1473" s="244">
        <v>0.1</v>
      </c>
      <c r="M1473" s="244">
        <f t="shared" si="193"/>
        <v>0</v>
      </c>
      <c r="N1473" s="244"/>
      <c r="O1473" s="244"/>
      <c r="P1473" s="244"/>
      <c r="Q1473" s="245">
        <f t="shared" si="194"/>
        <v>0</v>
      </c>
      <c r="R1473" s="245">
        <f t="shared" si="195"/>
        <v>0</v>
      </c>
      <c r="S1473" s="246">
        <v>0.5</v>
      </c>
      <c r="T1473" s="245">
        <f t="shared" si="196"/>
        <v>0</v>
      </c>
      <c r="U1473" s="245">
        <f t="shared" si="197"/>
        <v>0</v>
      </c>
      <c r="V1473" s="247"/>
    </row>
    <row r="1474" spans="1:22" ht="15.75" x14ac:dyDescent="0.25">
      <c r="A1474" s="236"/>
      <c r="B1474" s="237"/>
      <c r="C1474" s="238"/>
      <c r="D1474" s="239"/>
      <c r="E1474" s="240"/>
      <c r="F1474" s="240"/>
      <c r="G1474" s="240"/>
      <c r="H1474" s="241">
        <f t="shared" si="192"/>
        <v>0</v>
      </c>
      <c r="I1474" s="242"/>
      <c r="J1474" s="243"/>
      <c r="K1474" s="243"/>
      <c r="L1474" s="244">
        <v>0.1</v>
      </c>
      <c r="M1474" s="244">
        <f t="shared" si="193"/>
        <v>0</v>
      </c>
      <c r="N1474" s="244"/>
      <c r="O1474" s="244"/>
      <c r="P1474" s="244"/>
      <c r="Q1474" s="245">
        <f t="shared" si="194"/>
        <v>0</v>
      </c>
      <c r="R1474" s="245">
        <f t="shared" si="195"/>
        <v>0</v>
      </c>
      <c r="S1474" s="246">
        <v>0.5</v>
      </c>
      <c r="T1474" s="245">
        <f t="shared" si="196"/>
        <v>0</v>
      </c>
      <c r="U1474" s="245">
        <f t="shared" si="197"/>
        <v>0</v>
      </c>
      <c r="V1474" s="247"/>
    </row>
    <row r="1475" spans="1:22" ht="15.75" x14ac:dyDescent="0.25">
      <c r="A1475" s="236"/>
      <c r="B1475" s="237"/>
      <c r="C1475" s="238"/>
      <c r="D1475" s="239"/>
      <c r="E1475" s="240"/>
      <c r="F1475" s="240"/>
      <c r="G1475" s="240"/>
      <c r="H1475" s="241">
        <f t="shared" si="192"/>
        <v>0</v>
      </c>
      <c r="I1475" s="242"/>
      <c r="J1475" s="243"/>
      <c r="K1475" s="243"/>
      <c r="L1475" s="244">
        <v>0.1</v>
      </c>
      <c r="M1475" s="244">
        <f t="shared" si="193"/>
        <v>0</v>
      </c>
      <c r="N1475" s="244"/>
      <c r="O1475" s="244"/>
      <c r="P1475" s="244"/>
      <c r="Q1475" s="245">
        <f t="shared" si="194"/>
        <v>0</v>
      </c>
      <c r="R1475" s="245">
        <f t="shared" si="195"/>
        <v>0</v>
      </c>
      <c r="S1475" s="246">
        <v>0.5</v>
      </c>
      <c r="T1475" s="245">
        <f t="shared" si="196"/>
        <v>0</v>
      </c>
      <c r="U1475" s="245">
        <f t="shared" si="197"/>
        <v>0</v>
      </c>
      <c r="V1475" s="247"/>
    </row>
    <row r="1476" spans="1:22" ht="15.75" x14ac:dyDescent="0.25">
      <c r="A1476" s="236"/>
      <c r="B1476" s="237"/>
      <c r="C1476" s="238"/>
      <c r="D1476" s="239"/>
      <c r="E1476" s="240"/>
      <c r="F1476" s="240"/>
      <c r="G1476" s="240"/>
      <c r="H1476" s="241">
        <f t="shared" si="192"/>
        <v>0</v>
      </c>
      <c r="I1476" s="242"/>
      <c r="J1476" s="243"/>
      <c r="K1476" s="243"/>
      <c r="L1476" s="244">
        <v>0.1</v>
      </c>
      <c r="M1476" s="244">
        <f t="shared" si="193"/>
        <v>0</v>
      </c>
      <c r="N1476" s="244"/>
      <c r="O1476" s="244"/>
      <c r="P1476" s="244"/>
      <c r="Q1476" s="245">
        <f t="shared" si="194"/>
        <v>0</v>
      </c>
      <c r="R1476" s="245">
        <f t="shared" si="195"/>
        <v>0</v>
      </c>
      <c r="S1476" s="246">
        <v>0.5</v>
      </c>
      <c r="T1476" s="245">
        <f t="shared" si="196"/>
        <v>0</v>
      </c>
      <c r="U1476" s="245">
        <f t="shared" si="197"/>
        <v>0</v>
      </c>
      <c r="V1476" s="247"/>
    </row>
    <row r="1477" spans="1:22" ht="15.75" x14ac:dyDescent="0.25">
      <c r="A1477" s="236"/>
      <c r="B1477" s="237"/>
      <c r="C1477" s="238"/>
      <c r="D1477" s="239"/>
      <c r="E1477" s="240"/>
      <c r="F1477" s="240"/>
      <c r="G1477" s="240"/>
      <c r="H1477" s="241">
        <f t="shared" si="192"/>
        <v>0</v>
      </c>
      <c r="I1477" s="242"/>
      <c r="J1477" s="243"/>
      <c r="K1477" s="243"/>
      <c r="L1477" s="244">
        <v>0.1</v>
      </c>
      <c r="M1477" s="244">
        <f t="shared" si="193"/>
        <v>0</v>
      </c>
      <c r="N1477" s="244"/>
      <c r="O1477" s="244"/>
      <c r="P1477" s="244"/>
      <c r="Q1477" s="245">
        <f t="shared" si="194"/>
        <v>0</v>
      </c>
      <c r="R1477" s="245">
        <f t="shared" si="195"/>
        <v>0</v>
      </c>
      <c r="S1477" s="246">
        <v>0.5</v>
      </c>
      <c r="T1477" s="245">
        <f t="shared" si="196"/>
        <v>0</v>
      </c>
      <c r="U1477" s="245">
        <f t="shared" si="197"/>
        <v>0</v>
      </c>
      <c r="V1477" s="247"/>
    </row>
    <row r="1478" spans="1:22" ht="15.75" x14ac:dyDescent="0.25">
      <c r="A1478" s="236"/>
      <c r="B1478" s="237"/>
      <c r="C1478" s="238"/>
      <c r="D1478" s="239"/>
      <c r="E1478" s="240"/>
      <c r="F1478" s="240"/>
      <c r="G1478" s="240"/>
      <c r="H1478" s="241">
        <f t="shared" si="192"/>
        <v>0</v>
      </c>
      <c r="I1478" s="242"/>
      <c r="J1478" s="243"/>
      <c r="K1478" s="243"/>
      <c r="L1478" s="244">
        <v>0.1</v>
      </c>
      <c r="M1478" s="244">
        <f t="shared" si="193"/>
        <v>0</v>
      </c>
      <c r="N1478" s="244"/>
      <c r="O1478" s="244"/>
      <c r="P1478" s="244"/>
      <c r="Q1478" s="245">
        <f t="shared" si="194"/>
        <v>0</v>
      </c>
      <c r="R1478" s="245">
        <f t="shared" si="195"/>
        <v>0</v>
      </c>
      <c r="S1478" s="246">
        <v>0.5</v>
      </c>
      <c r="T1478" s="245">
        <f t="shared" si="196"/>
        <v>0</v>
      </c>
      <c r="U1478" s="245">
        <f t="shared" si="197"/>
        <v>0</v>
      </c>
      <c r="V1478" s="247"/>
    </row>
    <row r="1479" spans="1:22" ht="15.75" x14ac:dyDescent="0.25">
      <c r="A1479" s="236"/>
      <c r="B1479" s="237"/>
      <c r="C1479" s="238"/>
      <c r="D1479" s="239"/>
      <c r="E1479" s="240"/>
      <c r="F1479" s="240"/>
      <c r="G1479" s="240"/>
      <c r="H1479" s="241">
        <f t="shared" si="192"/>
        <v>0</v>
      </c>
      <c r="I1479" s="242"/>
      <c r="J1479" s="243"/>
      <c r="K1479" s="243"/>
      <c r="L1479" s="244">
        <v>0.1</v>
      </c>
      <c r="M1479" s="244">
        <f t="shared" si="193"/>
        <v>0</v>
      </c>
      <c r="N1479" s="244"/>
      <c r="O1479" s="244"/>
      <c r="P1479" s="244"/>
      <c r="Q1479" s="245">
        <f t="shared" si="194"/>
        <v>0</v>
      </c>
      <c r="R1479" s="245">
        <f t="shared" si="195"/>
        <v>0</v>
      </c>
      <c r="S1479" s="246">
        <v>0.5</v>
      </c>
      <c r="T1479" s="245">
        <f t="shared" si="196"/>
        <v>0</v>
      </c>
      <c r="U1479" s="245">
        <f t="shared" si="197"/>
        <v>0</v>
      </c>
      <c r="V1479" s="247"/>
    </row>
    <row r="1480" spans="1:22" ht="15.75" x14ac:dyDescent="0.25">
      <c r="A1480" s="236"/>
      <c r="B1480" s="237"/>
      <c r="C1480" s="238"/>
      <c r="D1480" s="239"/>
      <c r="E1480" s="240"/>
      <c r="F1480" s="240"/>
      <c r="G1480" s="240"/>
      <c r="H1480" s="241">
        <f t="shared" si="192"/>
        <v>0</v>
      </c>
      <c r="I1480" s="242"/>
      <c r="J1480" s="243"/>
      <c r="K1480" s="243"/>
      <c r="L1480" s="244">
        <v>0.1</v>
      </c>
      <c r="M1480" s="244">
        <f t="shared" si="193"/>
        <v>0</v>
      </c>
      <c r="N1480" s="244"/>
      <c r="O1480" s="244"/>
      <c r="P1480" s="244"/>
      <c r="Q1480" s="245">
        <f t="shared" si="194"/>
        <v>0</v>
      </c>
      <c r="R1480" s="245">
        <f t="shared" si="195"/>
        <v>0</v>
      </c>
      <c r="S1480" s="246">
        <v>0.5</v>
      </c>
      <c r="T1480" s="245">
        <f t="shared" si="196"/>
        <v>0</v>
      </c>
      <c r="U1480" s="245">
        <f t="shared" si="197"/>
        <v>0</v>
      </c>
      <c r="V1480" s="247"/>
    </row>
    <row r="1481" spans="1:22" ht="15.75" x14ac:dyDescent="0.25">
      <c r="A1481" s="236"/>
      <c r="B1481" s="237"/>
      <c r="C1481" s="238"/>
      <c r="D1481" s="239"/>
      <c r="E1481" s="240"/>
      <c r="F1481" s="240"/>
      <c r="G1481" s="240"/>
      <c r="H1481" s="241">
        <f t="shared" si="192"/>
        <v>0</v>
      </c>
      <c r="I1481" s="242"/>
      <c r="J1481" s="243"/>
      <c r="K1481" s="243"/>
      <c r="L1481" s="244">
        <v>0.1</v>
      </c>
      <c r="M1481" s="244">
        <f t="shared" si="193"/>
        <v>0</v>
      </c>
      <c r="N1481" s="244"/>
      <c r="O1481" s="244"/>
      <c r="P1481" s="244"/>
      <c r="Q1481" s="245">
        <f t="shared" si="194"/>
        <v>0</v>
      </c>
      <c r="R1481" s="245">
        <f t="shared" si="195"/>
        <v>0</v>
      </c>
      <c r="S1481" s="246">
        <v>0.5</v>
      </c>
      <c r="T1481" s="245">
        <f t="shared" si="196"/>
        <v>0</v>
      </c>
      <c r="U1481" s="245">
        <f t="shared" si="197"/>
        <v>0</v>
      </c>
      <c r="V1481" s="247"/>
    </row>
    <row r="1482" spans="1:22" ht="15.75" x14ac:dyDescent="0.25">
      <c r="A1482" s="236"/>
      <c r="B1482" s="237"/>
      <c r="C1482" s="238"/>
      <c r="D1482" s="239"/>
      <c r="E1482" s="240"/>
      <c r="F1482" s="240"/>
      <c r="G1482" s="240"/>
      <c r="H1482" s="241">
        <f t="shared" si="192"/>
        <v>0</v>
      </c>
      <c r="I1482" s="242"/>
      <c r="J1482" s="243"/>
      <c r="K1482" s="243"/>
      <c r="L1482" s="244">
        <v>0.1</v>
      </c>
      <c r="M1482" s="244">
        <f t="shared" si="193"/>
        <v>0</v>
      </c>
      <c r="N1482" s="244"/>
      <c r="O1482" s="244"/>
      <c r="P1482" s="244"/>
      <c r="Q1482" s="245">
        <f t="shared" si="194"/>
        <v>0</v>
      </c>
      <c r="R1482" s="245">
        <f t="shared" si="195"/>
        <v>0</v>
      </c>
      <c r="S1482" s="246">
        <v>0.5</v>
      </c>
      <c r="T1482" s="245">
        <f t="shared" si="196"/>
        <v>0</v>
      </c>
      <c r="U1482" s="245">
        <f t="shared" si="197"/>
        <v>0</v>
      </c>
      <c r="V1482" s="247"/>
    </row>
    <row r="1483" spans="1:22" ht="15.75" x14ac:dyDescent="0.25">
      <c r="A1483" s="236"/>
      <c r="B1483" s="237"/>
      <c r="C1483" s="238"/>
      <c r="D1483" s="239"/>
      <c r="E1483" s="240"/>
      <c r="F1483" s="240"/>
      <c r="G1483" s="240"/>
      <c r="H1483" s="241">
        <f t="shared" si="192"/>
        <v>0</v>
      </c>
      <c r="I1483" s="242"/>
      <c r="J1483" s="243"/>
      <c r="K1483" s="243"/>
      <c r="L1483" s="244">
        <v>0.1</v>
      </c>
      <c r="M1483" s="244">
        <f t="shared" si="193"/>
        <v>0</v>
      </c>
      <c r="N1483" s="244"/>
      <c r="O1483" s="244"/>
      <c r="P1483" s="244"/>
      <c r="Q1483" s="245">
        <f t="shared" si="194"/>
        <v>0</v>
      </c>
      <c r="R1483" s="245">
        <f t="shared" si="195"/>
        <v>0</v>
      </c>
      <c r="S1483" s="246">
        <v>0.5</v>
      </c>
      <c r="T1483" s="245">
        <f t="shared" si="196"/>
        <v>0</v>
      </c>
      <c r="U1483" s="245">
        <f t="shared" si="197"/>
        <v>0</v>
      </c>
      <c r="V1483" s="247"/>
    </row>
    <row r="1484" spans="1:22" ht="15.75" x14ac:dyDescent="0.25">
      <c r="A1484" s="236"/>
      <c r="B1484" s="237"/>
      <c r="C1484" s="238"/>
      <c r="D1484" s="239"/>
      <c r="E1484" s="240"/>
      <c r="F1484" s="240"/>
      <c r="G1484" s="240"/>
      <c r="H1484" s="241">
        <f t="shared" si="192"/>
        <v>0</v>
      </c>
      <c r="I1484" s="242"/>
      <c r="J1484" s="243"/>
      <c r="K1484" s="243"/>
      <c r="L1484" s="244">
        <v>0.1</v>
      </c>
      <c r="M1484" s="244">
        <f t="shared" si="193"/>
        <v>0</v>
      </c>
      <c r="N1484" s="244"/>
      <c r="O1484" s="244"/>
      <c r="P1484" s="244"/>
      <c r="Q1484" s="245">
        <f t="shared" si="194"/>
        <v>0</v>
      </c>
      <c r="R1484" s="245">
        <f t="shared" si="195"/>
        <v>0</v>
      </c>
      <c r="S1484" s="246">
        <v>0.5</v>
      </c>
      <c r="T1484" s="245">
        <f t="shared" si="196"/>
        <v>0</v>
      </c>
      <c r="U1484" s="245">
        <f t="shared" si="197"/>
        <v>0</v>
      </c>
      <c r="V1484" s="247"/>
    </row>
    <row r="1485" spans="1:22" ht="15.75" x14ac:dyDescent="0.25">
      <c r="A1485" s="236"/>
      <c r="B1485" s="237"/>
      <c r="C1485" s="238"/>
      <c r="D1485" s="239"/>
      <c r="E1485" s="240"/>
      <c r="F1485" s="240"/>
      <c r="G1485" s="240"/>
      <c r="H1485" s="241">
        <f t="shared" si="192"/>
        <v>0</v>
      </c>
      <c r="I1485" s="242"/>
      <c r="J1485" s="243"/>
      <c r="K1485" s="243"/>
      <c r="L1485" s="244">
        <v>0.1</v>
      </c>
      <c r="M1485" s="244">
        <f t="shared" si="193"/>
        <v>0</v>
      </c>
      <c r="N1485" s="244"/>
      <c r="O1485" s="244"/>
      <c r="P1485" s="244"/>
      <c r="Q1485" s="245">
        <f t="shared" si="194"/>
        <v>0</v>
      </c>
      <c r="R1485" s="245">
        <f t="shared" si="195"/>
        <v>0</v>
      </c>
      <c r="S1485" s="246">
        <v>0.5</v>
      </c>
      <c r="T1485" s="245">
        <f t="shared" si="196"/>
        <v>0</v>
      </c>
      <c r="U1485" s="245">
        <f t="shared" si="197"/>
        <v>0</v>
      </c>
      <c r="V1485" s="247"/>
    </row>
    <row r="1486" spans="1:22" ht="15.75" x14ac:dyDescent="0.25">
      <c r="A1486" s="236"/>
      <c r="B1486" s="237"/>
      <c r="C1486" s="238"/>
      <c r="D1486" s="239"/>
      <c r="E1486" s="240"/>
      <c r="F1486" s="240"/>
      <c r="G1486" s="240"/>
      <c r="H1486" s="241">
        <f t="shared" si="192"/>
        <v>0</v>
      </c>
      <c r="I1486" s="242"/>
      <c r="J1486" s="243"/>
      <c r="K1486" s="243"/>
      <c r="L1486" s="244">
        <v>0.1</v>
      </c>
      <c r="M1486" s="244">
        <f t="shared" si="193"/>
        <v>0</v>
      </c>
      <c r="N1486" s="244"/>
      <c r="O1486" s="244"/>
      <c r="P1486" s="244"/>
      <c r="Q1486" s="245">
        <f t="shared" si="194"/>
        <v>0</v>
      </c>
      <c r="R1486" s="245">
        <f t="shared" si="195"/>
        <v>0</v>
      </c>
      <c r="S1486" s="246">
        <v>0.5</v>
      </c>
      <c r="T1486" s="245">
        <f t="shared" si="196"/>
        <v>0</v>
      </c>
      <c r="U1486" s="245">
        <f t="shared" si="197"/>
        <v>0</v>
      </c>
      <c r="V1486" s="247"/>
    </row>
    <row r="1487" spans="1:22" ht="15.75" x14ac:dyDescent="0.25">
      <c r="A1487" s="236"/>
      <c r="B1487" s="237"/>
      <c r="C1487" s="238"/>
      <c r="D1487" s="239"/>
      <c r="E1487" s="240"/>
      <c r="F1487" s="240"/>
      <c r="G1487" s="240"/>
      <c r="H1487" s="241">
        <f t="shared" si="192"/>
        <v>0</v>
      </c>
      <c r="I1487" s="242"/>
      <c r="J1487" s="243"/>
      <c r="K1487" s="243"/>
      <c r="L1487" s="244">
        <v>0.1</v>
      </c>
      <c r="M1487" s="244">
        <f t="shared" si="193"/>
        <v>0</v>
      </c>
      <c r="N1487" s="244"/>
      <c r="O1487" s="244"/>
      <c r="P1487" s="244"/>
      <c r="Q1487" s="245">
        <f t="shared" si="194"/>
        <v>0</v>
      </c>
      <c r="R1487" s="245">
        <f t="shared" si="195"/>
        <v>0</v>
      </c>
      <c r="S1487" s="246">
        <v>0.5</v>
      </c>
      <c r="T1487" s="245">
        <f t="shared" si="196"/>
        <v>0</v>
      </c>
      <c r="U1487" s="245">
        <f t="shared" si="197"/>
        <v>0</v>
      </c>
      <c r="V1487" s="247"/>
    </row>
    <row r="1488" spans="1:22" ht="15.75" x14ac:dyDescent="0.25">
      <c r="A1488" s="236"/>
      <c r="B1488" s="237"/>
      <c r="C1488" s="238"/>
      <c r="D1488" s="239"/>
      <c r="E1488" s="240"/>
      <c r="F1488" s="240"/>
      <c r="G1488" s="240"/>
      <c r="H1488" s="241">
        <f t="shared" si="192"/>
        <v>0</v>
      </c>
      <c r="I1488" s="242"/>
      <c r="J1488" s="243"/>
      <c r="K1488" s="243"/>
      <c r="L1488" s="244">
        <v>0.1</v>
      </c>
      <c r="M1488" s="244">
        <f t="shared" si="193"/>
        <v>0</v>
      </c>
      <c r="N1488" s="244"/>
      <c r="O1488" s="244"/>
      <c r="P1488" s="244"/>
      <c r="Q1488" s="245">
        <f t="shared" si="194"/>
        <v>0</v>
      </c>
      <c r="R1488" s="245">
        <f t="shared" si="195"/>
        <v>0</v>
      </c>
      <c r="S1488" s="246">
        <v>0.5</v>
      </c>
      <c r="T1488" s="245">
        <f t="shared" si="196"/>
        <v>0</v>
      </c>
      <c r="U1488" s="245">
        <f t="shared" si="197"/>
        <v>0</v>
      </c>
      <c r="V1488" s="247"/>
    </row>
    <row r="1489" spans="1:22" ht="15.75" x14ac:dyDescent="0.25">
      <c r="A1489" s="236"/>
      <c r="B1489" s="237"/>
      <c r="C1489" s="238"/>
      <c r="D1489" s="239"/>
      <c r="E1489" s="240"/>
      <c r="F1489" s="240"/>
      <c r="G1489" s="240"/>
      <c r="H1489" s="241">
        <f t="shared" si="192"/>
        <v>0</v>
      </c>
      <c r="I1489" s="242"/>
      <c r="J1489" s="243"/>
      <c r="K1489" s="243"/>
      <c r="L1489" s="244">
        <v>0.1</v>
      </c>
      <c r="M1489" s="244">
        <f t="shared" si="193"/>
        <v>0</v>
      </c>
      <c r="N1489" s="244"/>
      <c r="O1489" s="244"/>
      <c r="P1489" s="244"/>
      <c r="Q1489" s="245">
        <f t="shared" si="194"/>
        <v>0</v>
      </c>
      <c r="R1489" s="245">
        <f t="shared" si="195"/>
        <v>0</v>
      </c>
      <c r="S1489" s="246">
        <v>0.5</v>
      </c>
      <c r="T1489" s="245">
        <f t="shared" si="196"/>
        <v>0</v>
      </c>
      <c r="U1489" s="245">
        <f t="shared" si="197"/>
        <v>0</v>
      </c>
      <c r="V1489" s="247"/>
    </row>
    <row r="1490" spans="1:22" ht="15.75" x14ac:dyDescent="0.25">
      <c r="A1490" s="236"/>
      <c r="B1490" s="237"/>
      <c r="C1490" s="238"/>
      <c r="D1490" s="239"/>
      <c r="E1490" s="240"/>
      <c r="F1490" s="240"/>
      <c r="G1490" s="240"/>
      <c r="H1490" s="241">
        <f t="shared" si="192"/>
        <v>0</v>
      </c>
      <c r="I1490" s="242"/>
      <c r="J1490" s="243"/>
      <c r="K1490" s="243"/>
      <c r="L1490" s="244">
        <v>0.1</v>
      </c>
      <c r="M1490" s="244">
        <f t="shared" si="193"/>
        <v>0</v>
      </c>
      <c r="N1490" s="244"/>
      <c r="O1490" s="244"/>
      <c r="P1490" s="244"/>
      <c r="Q1490" s="245">
        <f t="shared" si="194"/>
        <v>0</v>
      </c>
      <c r="R1490" s="245">
        <f t="shared" si="195"/>
        <v>0</v>
      </c>
      <c r="S1490" s="246">
        <v>0.5</v>
      </c>
      <c r="T1490" s="245">
        <f t="shared" si="196"/>
        <v>0</v>
      </c>
      <c r="U1490" s="245">
        <f t="shared" si="197"/>
        <v>0</v>
      </c>
      <c r="V1490" s="247"/>
    </row>
    <row r="1491" spans="1:22" ht="15.75" x14ac:dyDescent="0.25">
      <c r="A1491" s="236"/>
      <c r="B1491" s="237"/>
      <c r="C1491" s="238"/>
      <c r="D1491" s="239"/>
      <c r="E1491" s="240"/>
      <c r="F1491" s="240"/>
      <c r="G1491" s="240"/>
      <c r="H1491" s="241">
        <f t="shared" si="192"/>
        <v>0</v>
      </c>
      <c r="I1491" s="242"/>
      <c r="J1491" s="243"/>
      <c r="K1491" s="243"/>
      <c r="L1491" s="244">
        <v>0.1</v>
      </c>
      <c r="M1491" s="244">
        <f t="shared" si="193"/>
        <v>0</v>
      </c>
      <c r="N1491" s="244"/>
      <c r="O1491" s="244"/>
      <c r="P1491" s="244"/>
      <c r="Q1491" s="245">
        <f t="shared" si="194"/>
        <v>0</v>
      </c>
      <c r="R1491" s="245">
        <f t="shared" si="195"/>
        <v>0</v>
      </c>
      <c r="S1491" s="246">
        <v>0.5</v>
      </c>
      <c r="T1491" s="245">
        <f t="shared" si="196"/>
        <v>0</v>
      </c>
      <c r="U1491" s="245">
        <f t="shared" si="197"/>
        <v>0</v>
      </c>
      <c r="V1491" s="247"/>
    </row>
    <row r="1492" spans="1:22" ht="15.75" x14ac:dyDescent="0.25">
      <c r="A1492" s="236"/>
      <c r="B1492" s="237"/>
      <c r="C1492" s="238"/>
      <c r="D1492" s="239"/>
      <c r="E1492" s="240"/>
      <c r="F1492" s="240"/>
      <c r="G1492" s="240"/>
      <c r="H1492" s="241">
        <f t="shared" si="192"/>
        <v>0</v>
      </c>
      <c r="I1492" s="242"/>
      <c r="J1492" s="243"/>
      <c r="K1492" s="243"/>
      <c r="L1492" s="244">
        <v>0.1</v>
      </c>
      <c r="M1492" s="244">
        <f t="shared" si="193"/>
        <v>0</v>
      </c>
      <c r="N1492" s="244"/>
      <c r="O1492" s="244"/>
      <c r="P1492" s="244"/>
      <c r="Q1492" s="245">
        <f t="shared" si="194"/>
        <v>0</v>
      </c>
      <c r="R1492" s="245">
        <f t="shared" si="195"/>
        <v>0</v>
      </c>
      <c r="S1492" s="246">
        <v>0.5</v>
      </c>
      <c r="T1492" s="245">
        <f t="shared" si="196"/>
        <v>0</v>
      </c>
      <c r="U1492" s="245">
        <f t="shared" si="197"/>
        <v>0</v>
      </c>
      <c r="V1492" s="247"/>
    </row>
    <row r="1493" spans="1:22" ht="15.75" x14ac:dyDescent="0.25">
      <c r="A1493" s="236"/>
      <c r="B1493" s="237"/>
      <c r="C1493" s="238"/>
      <c r="D1493" s="239"/>
      <c r="E1493" s="240"/>
      <c r="F1493" s="240"/>
      <c r="G1493" s="240"/>
      <c r="H1493" s="241">
        <f t="shared" si="192"/>
        <v>0</v>
      </c>
      <c r="I1493" s="242"/>
      <c r="J1493" s="243"/>
      <c r="K1493" s="243"/>
      <c r="L1493" s="244">
        <v>0.1</v>
      </c>
      <c r="M1493" s="244">
        <f t="shared" si="193"/>
        <v>0</v>
      </c>
      <c r="N1493" s="244"/>
      <c r="O1493" s="244"/>
      <c r="P1493" s="244"/>
      <c r="Q1493" s="245">
        <f t="shared" si="194"/>
        <v>0</v>
      </c>
      <c r="R1493" s="245">
        <f t="shared" si="195"/>
        <v>0</v>
      </c>
      <c r="S1493" s="246">
        <v>0.5</v>
      </c>
      <c r="T1493" s="245">
        <f t="shared" si="196"/>
        <v>0</v>
      </c>
      <c r="U1493" s="245">
        <f t="shared" si="197"/>
        <v>0</v>
      </c>
      <c r="V1493" s="247"/>
    </row>
    <row r="1494" spans="1:22" ht="15.75" x14ac:dyDescent="0.25">
      <c r="A1494" s="236"/>
      <c r="B1494" s="237"/>
      <c r="C1494" s="238"/>
      <c r="D1494" s="239"/>
      <c r="E1494" s="240"/>
      <c r="F1494" s="240"/>
      <c r="G1494" s="240"/>
      <c r="H1494" s="241">
        <f t="shared" si="192"/>
        <v>0</v>
      </c>
      <c r="I1494" s="242"/>
      <c r="J1494" s="243"/>
      <c r="K1494" s="243"/>
      <c r="L1494" s="244">
        <v>0.1</v>
      </c>
      <c r="M1494" s="244">
        <f t="shared" si="193"/>
        <v>0</v>
      </c>
      <c r="N1494" s="244"/>
      <c r="O1494" s="244"/>
      <c r="P1494" s="244"/>
      <c r="Q1494" s="245">
        <f t="shared" si="194"/>
        <v>0</v>
      </c>
      <c r="R1494" s="245">
        <f t="shared" si="195"/>
        <v>0</v>
      </c>
      <c r="S1494" s="246">
        <v>0.5</v>
      </c>
      <c r="T1494" s="245">
        <f t="shared" si="196"/>
        <v>0</v>
      </c>
      <c r="U1494" s="245">
        <f t="shared" si="197"/>
        <v>0</v>
      </c>
      <c r="V1494" s="247"/>
    </row>
    <row r="1495" spans="1:22" ht="15.75" x14ac:dyDescent="0.25">
      <c r="A1495" s="236"/>
      <c r="B1495" s="237"/>
      <c r="C1495" s="238"/>
      <c r="D1495" s="239"/>
      <c r="E1495" s="240"/>
      <c r="F1495" s="240"/>
      <c r="G1495" s="240"/>
      <c r="H1495" s="241">
        <f t="shared" si="192"/>
        <v>0</v>
      </c>
      <c r="I1495" s="242"/>
      <c r="J1495" s="243"/>
      <c r="K1495" s="243"/>
      <c r="L1495" s="244">
        <v>0.1</v>
      </c>
      <c r="M1495" s="244">
        <f t="shared" si="193"/>
        <v>0</v>
      </c>
      <c r="N1495" s="244"/>
      <c r="O1495" s="244"/>
      <c r="P1495" s="244"/>
      <c r="Q1495" s="245">
        <f t="shared" si="194"/>
        <v>0</v>
      </c>
      <c r="R1495" s="245">
        <f t="shared" si="195"/>
        <v>0</v>
      </c>
      <c r="S1495" s="246">
        <v>0.5</v>
      </c>
      <c r="T1495" s="245">
        <f t="shared" si="196"/>
        <v>0</v>
      </c>
      <c r="U1495" s="245">
        <f t="shared" si="197"/>
        <v>0</v>
      </c>
      <c r="V1495" s="247"/>
    </row>
    <row r="1496" spans="1:22" ht="15.75" x14ac:dyDescent="0.25">
      <c r="A1496" s="236"/>
      <c r="B1496" s="237"/>
      <c r="C1496" s="238"/>
      <c r="D1496" s="239"/>
      <c r="E1496" s="240"/>
      <c r="F1496" s="240"/>
      <c r="G1496" s="240"/>
      <c r="H1496" s="241">
        <f t="shared" si="192"/>
        <v>0</v>
      </c>
      <c r="I1496" s="242"/>
      <c r="J1496" s="243"/>
      <c r="K1496" s="243"/>
      <c r="L1496" s="244">
        <v>0.1</v>
      </c>
      <c r="M1496" s="244">
        <f t="shared" si="193"/>
        <v>0</v>
      </c>
      <c r="N1496" s="244"/>
      <c r="O1496" s="244"/>
      <c r="P1496" s="244"/>
      <c r="Q1496" s="245">
        <f t="shared" si="194"/>
        <v>0</v>
      </c>
      <c r="R1496" s="245">
        <f t="shared" si="195"/>
        <v>0</v>
      </c>
      <c r="S1496" s="246">
        <v>0.5</v>
      </c>
      <c r="T1496" s="245">
        <f t="shared" si="196"/>
        <v>0</v>
      </c>
      <c r="U1496" s="245">
        <f t="shared" si="197"/>
        <v>0</v>
      </c>
      <c r="V1496" s="247"/>
    </row>
    <row r="1497" spans="1:22" ht="15.75" x14ac:dyDescent="0.25">
      <c r="A1497" s="236"/>
      <c r="B1497" s="237"/>
      <c r="C1497" s="238"/>
      <c r="D1497" s="239"/>
      <c r="E1497" s="240"/>
      <c r="F1497" s="240"/>
      <c r="G1497" s="240"/>
      <c r="H1497" s="241">
        <f t="shared" si="192"/>
        <v>0</v>
      </c>
      <c r="I1497" s="242"/>
      <c r="J1497" s="243"/>
      <c r="K1497" s="243"/>
      <c r="L1497" s="244">
        <v>0.1</v>
      </c>
      <c r="M1497" s="244">
        <f t="shared" si="193"/>
        <v>0</v>
      </c>
      <c r="N1497" s="244"/>
      <c r="O1497" s="244"/>
      <c r="P1497" s="244"/>
      <c r="Q1497" s="245">
        <f t="shared" si="194"/>
        <v>0</v>
      </c>
      <c r="R1497" s="245">
        <f t="shared" si="195"/>
        <v>0</v>
      </c>
      <c r="S1497" s="246">
        <v>0.5</v>
      </c>
      <c r="T1497" s="245">
        <f t="shared" si="196"/>
        <v>0</v>
      </c>
      <c r="U1497" s="245">
        <f t="shared" si="197"/>
        <v>0</v>
      </c>
      <c r="V1497" s="247"/>
    </row>
    <row r="1498" spans="1:22" ht="15.75" x14ac:dyDescent="0.25">
      <c r="A1498" s="236"/>
      <c r="B1498" s="237"/>
      <c r="C1498" s="238"/>
      <c r="D1498" s="239"/>
      <c r="E1498" s="240"/>
      <c r="F1498" s="240"/>
      <c r="G1498" s="240"/>
      <c r="H1498" s="241">
        <f t="shared" si="192"/>
        <v>0</v>
      </c>
      <c r="I1498" s="242"/>
      <c r="J1498" s="243"/>
      <c r="K1498" s="243"/>
      <c r="L1498" s="244">
        <v>0.1</v>
      </c>
      <c r="M1498" s="244">
        <f t="shared" si="193"/>
        <v>0</v>
      </c>
      <c r="N1498" s="244"/>
      <c r="O1498" s="244"/>
      <c r="P1498" s="244"/>
      <c r="Q1498" s="245">
        <f t="shared" si="194"/>
        <v>0</v>
      </c>
      <c r="R1498" s="245">
        <f t="shared" si="195"/>
        <v>0</v>
      </c>
      <c r="S1498" s="246">
        <v>0.5</v>
      </c>
      <c r="T1498" s="245">
        <f t="shared" si="196"/>
        <v>0</v>
      </c>
      <c r="U1498" s="245">
        <f t="shared" si="197"/>
        <v>0</v>
      </c>
      <c r="V1498" s="247"/>
    </row>
    <row r="1499" spans="1:22" ht="15.75" x14ac:dyDescent="0.25">
      <c r="A1499" s="236"/>
      <c r="B1499" s="237"/>
      <c r="C1499" s="238"/>
      <c r="D1499" s="239"/>
      <c r="E1499" s="240"/>
      <c r="F1499" s="240"/>
      <c r="G1499" s="240"/>
      <c r="H1499" s="241">
        <f t="shared" si="192"/>
        <v>0</v>
      </c>
      <c r="I1499" s="242"/>
      <c r="J1499" s="243"/>
      <c r="K1499" s="243"/>
      <c r="L1499" s="244">
        <v>0.1</v>
      </c>
      <c r="M1499" s="244">
        <f t="shared" si="193"/>
        <v>0</v>
      </c>
      <c r="N1499" s="244"/>
      <c r="O1499" s="244"/>
      <c r="P1499" s="244"/>
      <c r="Q1499" s="245">
        <f t="shared" si="194"/>
        <v>0</v>
      </c>
      <c r="R1499" s="245">
        <f t="shared" si="195"/>
        <v>0</v>
      </c>
      <c r="S1499" s="246">
        <v>0.5</v>
      </c>
      <c r="T1499" s="245">
        <f t="shared" si="196"/>
        <v>0</v>
      </c>
      <c r="U1499" s="245">
        <f t="shared" si="197"/>
        <v>0</v>
      </c>
      <c r="V1499" s="247"/>
    </row>
    <row r="1500" spans="1:22" ht="15.75" x14ac:dyDescent="0.25">
      <c r="A1500" s="236"/>
      <c r="B1500" s="237"/>
      <c r="C1500" s="238"/>
      <c r="D1500" s="239"/>
      <c r="E1500" s="240"/>
      <c r="F1500" s="240"/>
      <c r="G1500" s="240"/>
      <c r="H1500" s="241">
        <f t="shared" si="192"/>
        <v>0</v>
      </c>
      <c r="I1500" s="242"/>
      <c r="J1500" s="243"/>
      <c r="K1500" s="243"/>
      <c r="L1500" s="244">
        <v>0.1</v>
      </c>
      <c r="M1500" s="244">
        <f t="shared" si="193"/>
        <v>0</v>
      </c>
      <c r="N1500" s="244"/>
      <c r="O1500" s="244"/>
      <c r="P1500" s="244"/>
      <c r="Q1500" s="245">
        <f t="shared" si="194"/>
        <v>0</v>
      </c>
      <c r="R1500" s="245">
        <f t="shared" si="195"/>
        <v>0</v>
      </c>
      <c r="S1500" s="246">
        <v>0.5</v>
      </c>
      <c r="T1500" s="245">
        <f t="shared" si="196"/>
        <v>0</v>
      </c>
      <c r="U1500" s="245">
        <f t="shared" si="197"/>
        <v>0</v>
      </c>
      <c r="V1500" s="247"/>
    </row>
    <row r="1501" spans="1:22" ht="15.75" x14ac:dyDescent="0.25">
      <c r="A1501" s="236"/>
      <c r="B1501" s="237"/>
      <c r="C1501" s="238"/>
      <c r="D1501" s="239"/>
      <c r="E1501" s="240"/>
      <c r="F1501" s="240"/>
      <c r="G1501" s="240"/>
      <c r="H1501" s="241">
        <f t="shared" si="192"/>
        <v>0</v>
      </c>
      <c r="I1501" s="242"/>
      <c r="J1501" s="243"/>
      <c r="K1501" s="243"/>
      <c r="L1501" s="244">
        <v>0.1</v>
      </c>
      <c r="M1501" s="244">
        <f t="shared" si="193"/>
        <v>0</v>
      </c>
      <c r="N1501" s="244"/>
      <c r="O1501" s="244"/>
      <c r="P1501" s="244"/>
      <c r="Q1501" s="245">
        <f t="shared" si="194"/>
        <v>0</v>
      </c>
      <c r="R1501" s="245">
        <f t="shared" si="195"/>
        <v>0</v>
      </c>
      <c r="S1501" s="246">
        <v>0.5</v>
      </c>
      <c r="T1501" s="245">
        <f t="shared" si="196"/>
        <v>0</v>
      </c>
      <c r="U1501" s="245">
        <f t="shared" si="197"/>
        <v>0</v>
      </c>
      <c r="V1501" s="247"/>
    </row>
    <row r="1502" spans="1:22" ht="15.75" x14ac:dyDescent="0.25">
      <c r="A1502" s="236"/>
      <c r="B1502" s="237"/>
      <c r="C1502" s="238"/>
      <c r="D1502" s="239"/>
      <c r="E1502" s="240"/>
      <c r="F1502" s="240"/>
      <c r="G1502" s="240"/>
      <c r="H1502" s="241">
        <f t="shared" si="192"/>
        <v>0</v>
      </c>
      <c r="I1502" s="242"/>
      <c r="J1502" s="243"/>
      <c r="K1502" s="243"/>
      <c r="L1502" s="244">
        <v>0.1</v>
      </c>
      <c r="M1502" s="244">
        <f t="shared" si="193"/>
        <v>0</v>
      </c>
      <c r="N1502" s="244"/>
      <c r="O1502" s="244"/>
      <c r="P1502" s="244"/>
      <c r="Q1502" s="245">
        <f t="shared" si="194"/>
        <v>0</v>
      </c>
      <c r="R1502" s="245">
        <f t="shared" si="195"/>
        <v>0</v>
      </c>
      <c r="S1502" s="246">
        <v>0.5</v>
      </c>
      <c r="T1502" s="245">
        <f t="shared" si="196"/>
        <v>0</v>
      </c>
      <c r="U1502" s="245">
        <f t="shared" si="197"/>
        <v>0</v>
      </c>
      <c r="V1502" s="247"/>
    </row>
    <row r="1503" spans="1:22" ht="15.75" x14ac:dyDescent="0.25">
      <c r="A1503" s="236"/>
      <c r="B1503" s="237"/>
      <c r="C1503" s="238"/>
      <c r="D1503" s="239"/>
      <c r="E1503" s="240"/>
      <c r="F1503" s="240"/>
      <c r="G1503" s="240"/>
      <c r="H1503" s="241">
        <f t="shared" si="192"/>
        <v>0</v>
      </c>
      <c r="I1503" s="242"/>
      <c r="J1503" s="243"/>
      <c r="K1503" s="243"/>
      <c r="L1503" s="244">
        <v>0.1</v>
      </c>
      <c r="M1503" s="244">
        <f t="shared" si="193"/>
        <v>0</v>
      </c>
      <c r="N1503" s="244"/>
      <c r="O1503" s="244"/>
      <c r="P1503" s="244"/>
      <c r="Q1503" s="245">
        <f t="shared" si="194"/>
        <v>0</v>
      </c>
      <c r="R1503" s="245">
        <f t="shared" si="195"/>
        <v>0</v>
      </c>
      <c r="S1503" s="246">
        <v>0.5</v>
      </c>
      <c r="T1503" s="245">
        <f t="shared" si="196"/>
        <v>0</v>
      </c>
      <c r="U1503" s="245">
        <f t="shared" si="197"/>
        <v>0</v>
      </c>
      <c r="V1503" s="247"/>
    </row>
    <row r="1504" spans="1:22" ht="15.75" x14ac:dyDescent="0.25">
      <c r="A1504" s="236"/>
      <c r="B1504" s="237"/>
      <c r="C1504" s="238"/>
      <c r="D1504" s="239"/>
      <c r="E1504" s="240"/>
      <c r="F1504" s="240"/>
      <c r="G1504" s="240"/>
      <c r="H1504" s="241">
        <f t="shared" si="192"/>
        <v>0</v>
      </c>
      <c r="I1504" s="242"/>
      <c r="J1504" s="243"/>
      <c r="K1504" s="243"/>
      <c r="L1504" s="244">
        <v>0.1</v>
      </c>
      <c r="M1504" s="244">
        <f t="shared" si="193"/>
        <v>0</v>
      </c>
      <c r="N1504" s="244"/>
      <c r="O1504" s="244"/>
      <c r="P1504" s="244"/>
      <c r="Q1504" s="245">
        <f t="shared" si="194"/>
        <v>0</v>
      </c>
      <c r="R1504" s="245">
        <f t="shared" si="195"/>
        <v>0</v>
      </c>
      <c r="S1504" s="246">
        <v>0.5</v>
      </c>
      <c r="T1504" s="245">
        <f t="shared" si="196"/>
        <v>0</v>
      </c>
      <c r="U1504" s="245">
        <f t="shared" si="197"/>
        <v>0</v>
      </c>
      <c r="V1504" s="247"/>
    </row>
    <row r="1505" spans="1:22" ht="15.75" x14ac:dyDescent="0.25">
      <c r="A1505" s="236"/>
      <c r="B1505" s="237"/>
      <c r="C1505" s="238"/>
      <c r="D1505" s="239"/>
      <c r="E1505" s="240"/>
      <c r="F1505" s="240"/>
      <c r="G1505" s="240"/>
      <c r="H1505" s="241">
        <f t="shared" si="192"/>
        <v>0</v>
      </c>
      <c r="I1505" s="242"/>
      <c r="J1505" s="243"/>
      <c r="K1505" s="243"/>
      <c r="L1505" s="244">
        <v>0.1</v>
      </c>
      <c r="M1505" s="244">
        <f t="shared" si="193"/>
        <v>0</v>
      </c>
      <c r="N1505" s="244"/>
      <c r="O1505" s="244"/>
      <c r="P1505" s="244"/>
      <c r="Q1505" s="245">
        <f t="shared" si="194"/>
        <v>0</v>
      </c>
      <c r="R1505" s="245">
        <f t="shared" si="195"/>
        <v>0</v>
      </c>
      <c r="S1505" s="246">
        <v>0.5</v>
      </c>
      <c r="T1505" s="245">
        <f t="shared" si="196"/>
        <v>0</v>
      </c>
      <c r="U1505" s="245">
        <f t="shared" si="197"/>
        <v>0</v>
      </c>
      <c r="V1505" s="247"/>
    </row>
    <row r="1506" spans="1:22" ht="15.75" x14ac:dyDescent="0.25">
      <c r="A1506" s="236"/>
      <c r="B1506" s="237"/>
      <c r="C1506" s="238"/>
      <c r="D1506" s="239"/>
      <c r="E1506" s="240"/>
      <c r="F1506" s="240"/>
      <c r="G1506" s="240"/>
      <c r="H1506" s="241">
        <f t="shared" si="192"/>
        <v>0</v>
      </c>
      <c r="I1506" s="242"/>
      <c r="J1506" s="243"/>
      <c r="K1506" s="243"/>
      <c r="L1506" s="244">
        <v>0.1</v>
      </c>
      <c r="M1506" s="244">
        <f t="shared" si="193"/>
        <v>0</v>
      </c>
      <c r="N1506" s="244"/>
      <c r="O1506" s="244"/>
      <c r="P1506" s="244"/>
      <c r="Q1506" s="245">
        <f t="shared" si="194"/>
        <v>0</v>
      </c>
      <c r="R1506" s="245">
        <f t="shared" si="195"/>
        <v>0</v>
      </c>
      <c r="S1506" s="246">
        <v>0.5</v>
      </c>
      <c r="T1506" s="245">
        <f t="shared" si="196"/>
        <v>0</v>
      </c>
      <c r="U1506" s="245">
        <f t="shared" si="197"/>
        <v>0</v>
      </c>
      <c r="V1506" s="247"/>
    </row>
    <row r="1507" spans="1:22" ht="15.75" x14ac:dyDescent="0.25">
      <c r="A1507" s="236"/>
      <c r="B1507" s="237"/>
      <c r="C1507" s="238"/>
      <c r="D1507" s="239"/>
      <c r="E1507" s="240"/>
      <c r="F1507" s="240"/>
      <c r="G1507" s="240"/>
      <c r="H1507" s="241">
        <f t="shared" si="192"/>
        <v>0</v>
      </c>
      <c r="I1507" s="242"/>
      <c r="J1507" s="243"/>
      <c r="K1507" s="243"/>
      <c r="L1507" s="244">
        <v>0.1</v>
      </c>
      <c r="M1507" s="244">
        <f t="shared" si="193"/>
        <v>0</v>
      </c>
      <c r="N1507" s="244"/>
      <c r="O1507" s="244"/>
      <c r="P1507" s="244"/>
      <c r="Q1507" s="245">
        <f t="shared" si="194"/>
        <v>0</v>
      </c>
      <c r="R1507" s="245">
        <f t="shared" si="195"/>
        <v>0</v>
      </c>
      <c r="S1507" s="246">
        <v>0.5</v>
      </c>
      <c r="T1507" s="245">
        <f t="shared" si="196"/>
        <v>0</v>
      </c>
      <c r="U1507" s="245">
        <f t="shared" si="197"/>
        <v>0</v>
      </c>
      <c r="V1507" s="247"/>
    </row>
    <row r="1508" spans="1:22" ht="15.75" x14ac:dyDescent="0.25">
      <c r="A1508" s="236"/>
      <c r="B1508" s="237"/>
      <c r="C1508" s="238"/>
      <c r="D1508" s="239"/>
      <c r="E1508" s="240"/>
      <c r="F1508" s="240"/>
      <c r="G1508" s="240"/>
      <c r="H1508" s="241">
        <f t="shared" si="192"/>
        <v>0</v>
      </c>
      <c r="I1508" s="242"/>
      <c r="J1508" s="243"/>
      <c r="K1508" s="243"/>
      <c r="L1508" s="244">
        <v>0.1</v>
      </c>
      <c r="M1508" s="244">
        <f t="shared" si="193"/>
        <v>0</v>
      </c>
      <c r="N1508" s="244"/>
      <c r="O1508" s="244"/>
      <c r="P1508" s="244"/>
      <c r="Q1508" s="245">
        <f t="shared" si="194"/>
        <v>0</v>
      </c>
      <c r="R1508" s="245">
        <f t="shared" si="195"/>
        <v>0</v>
      </c>
      <c r="S1508" s="246">
        <v>0.5</v>
      </c>
      <c r="T1508" s="245">
        <f t="shared" si="196"/>
        <v>0</v>
      </c>
      <c r="U1508" s="245">
        <f t="shared" si="197"/>
        <v>0</v>
      </c>
      <c r="V1508" s="247"/>
    </row>
    <row r="1509" spans="1:22" ht="15.75" x14ac:dyDescent="0.25">
      <c r="A1509" s="236"/>
      <c r="B1509" s="237"/>
      <c r="C1509" s="238"/>
      <c r="D1509" s="239"/>
      <c r="E1509" s="240"/>
      <c r="F1509" s="240"/>
      <c r="G1509" s="240"/>
      <c r="H1509" s="241">
        <f t="shared" si="192"/>
        <v>0</v>
      </c>
      <c r="I1509" s="242"/>
      <c r="J1509" s="243"/>
      <c r="K1509" s="243"/>
      <c r="L1509" s="244">
        <v>0.1</v>
      </c>
      <c r="M1509" s="244">
        <f t="shared" si="193"/>
        <v>0</v>
      </c>
      <c r="N1509" s="244"/>
      <c r="O1509" s="244"/>
      <c r="P1509" s="244"/>
      <c r="Q1509" s="245">
        <f t="shared" si="194"/>
        <v>0</v>
      </c>
      <c r="R1509" s="245">
        <f t="shared" si="195"/>
        <v>0</v>
      </c>
      <c r="S1509" s="246">
        <v>0.5</v>
      </c>
      <c r="T1509" s="245">
        <f t="shared" si="196"/>
        <v>0</v>
      </c>
      <c r="U1509" s="245">
        <f t="shared" si="197"/>
        <v>0</v>
      </c>
      <c r="V1509" s="247"/>
    </row>
    <row r="1510" spans="1:22" ht="15.75" x14ac:dyDescent="0.25">
      <c r="A1510" s="236"/>
      <c r="B1510" s="237"/>
      <c r="C1510" s="238"/>
      <c r="D1510" s="239"/>
      <c r="E1510" s="240"/>
      <c r="F1510" s="240"/>
      <c r="G1510" s="240"/>
      <c r="H1510" s="241">
        <f t="shared" si="192"/>
        <v>0</v>
      </c>
      <c r="I1510" s="242"/>
      <c r="J1510" s="243"/>
      <c r="K1510" s="243"/>
      <c r="L1510" s="244">
        <v>0.1</v>
      </c>
      <c r="M1510" s="244">
        <f t="shared" si="193"/>
        <v>0</v>
      </c>
      <c r="N1510" s="244"/>
      <c r="O1510" s="244"/>
      <c r="P1510" s="244"/>
      <c r="Q1510" s="245">
        <f t="shared" si="194"/>
        <v>0</v>
      </c>
      <c r="R1510" s="245">
        <f t="shared" si="195"/>
        <v>0</v>
      </c>
      <c r="S1510" s="246">
        <v>0.5</v>
      </c>
      <c r="T1510" s="245">
        <f t="shared" si="196"/>
        <v>0</v>
      </c>
      <c r="U1510" s="245">
        <f t="shared" si="197"/>
        <v>0</v>
      </c>
      <c r="V1510" s="247"/>
    </row>
    <row r="1511" spans="1:22" ht="15.75" x14ac:dyDescent="0.25">
      <c r="A1511" s="236"/>
      <c r="B1511" s="237"/>
      <c r="C1511" s="238"/>
      <c r="D1511" s="239"/>
      <c r="E1511" s="240"/>
      <c r="F1511" s="240"/>
      <c r="G1511" s="240"/>
      <c r="H1511" s="241">
        <f t="shared" si="192"/>
        <v>0</v>
      </c>
      <c r="I1511" s="242"/>
      <c r="J1511" s="243"/>
      <c r="K1511" s="243"/>
      <c r="L1511" s="244">
        <v>0.1</v>
      </c>
      <c r="M1511" s="244">
        <f t="shared" si="193"/>
        <v>0</v>
      </c>
      <c r="N1511" s="244"/>
      <c r="O1511" s="244"/>
      <c r="P1511" s="244"/>
      <c r="Q1511" s="245">
        <f t="shared" si="194"/>
        <v>0</v>
      </c>
      <c r="R1511" s="245">
        <f t="shared" si="195"/>
        <v>0</v>
      </c>
      <c r="S1511" s="246">
        <v>0.5</v>
      </c>
      <c r="T1511" s="245">
        <f t="shared" si="196"/>
        <v>0</v>
      </c>
      <c r="U1511" s="245">
        <f t="shared" si="197"/>
        <v>0</v>
      </c>
      <c r="V1511" s="247"/>
    </row>
    <row r="1512" spans="1:22" ht="15.75" x14ac:dyDescent="0.25">
      <c r="A1512" s="236"/>
      <c r="B1512" s="237"/>
      <c r="C1512" s="238"/>
      <c r="D1512" s="239"/>
      <c r="E1512" s="240"/>
      <c r="F1512" s="240"/>
      <c r="G1512" s="240"/>
      <c r="H1512" s="241">
        <f t="shared" si="192"/>
        <v>0</v>
      </c>
      <c r="I1512" s="242"/>
      <c r="J1512" s="243"/>
      <c r="K1512" s="243"/>
      <c r="L1512" s="244">
        <v>0.1</v>
      </c>
      <c r="M1512" s="244">
        <f t="shared" si="193"/>
        <v>0</v>
      </c>
      <c r="N1512" s="244"/>
      <c r="O1512" s="244"/>
      <c r="P1512" s="244"/>
      <c r="Q1512" s="245">
        <f t="shared" si="194"/>
        <v>0</v>
      </c>
      <c r="R1512" s="245">
        <f t="shared" si="195"/>
        <v>0</v>
      </c>
      <c r="S1512" s="246">
        <v>0.5</v>
      </c>
      <c r="T1512" s="245">
        <f t="shared" si="196"/>
        <v>0</v>
      </c>
      <c r="U1512" s="245">
        <f t="shared" si="197"/>
        <v>0</v>
      </c>
      <c r="V1512" s="247"/>
    </row>
    <row r="1513" spans="1:22" ht="15.75" x14ac:dyDescent="0.25">
      <c r="A1513" s="236"/>
      <c r="B1513" s="237"/>
      <c r="C1513" s="238"/>
      <c r="D1513" s="239"/>
      <c r="E1513" s="240"/>
      <c r="F1513" s="240"/>
      <c r="G1513" s="240"/>
      <c r="H1513" s="241">
        <f t="shared" si="192"/>
        <v>0</v>
      </c>
      <c r="I1513" s="242"/>
      <c r="J1513" s="243"/>
      <c r="K1513" s="243"/>
      <c r="L1513" s="244">
        <v>0.1</v>
      </c>
      <c r="M1513" s="244">
        <f t="shared" si="193"/>
        <v>0</v>
      </c>
      <c r="N1513" s="244"/>
      <c r="O1513" s="244"/>
      <c r="P1513" s="244"/>
      <c r="Q1513" s="245">
        <f t="shared" si="194"/>
        <v>0</v>
      </c>
      <c r="R1513" s="245">
        <f t="shared" si="195"/>
        <v>0</v>
      </c>
      <c r="S1513" s="246">
        <v>0.5</v>
      </c>
      <c r="T1513" s="245">
        <f t="shared" si="196"/>
        <v>0</v>
      </c>
      <c r="U1513" s="245">
        <f t="shared" si="197"/>
        <v>0</v>
      </c>
      <c r="V1513" s="247"/>
    </row>
    <row r="1514" spans="1:22" ht="15.75" x14ac:dyDescent="0.25">
      <c r="A1514" s="236"/>
      <c r="B1514" s="237"/>
      <c r="C1514" s="238"/>
      <c r="D1514" s="239"/>
      <c r="E1514" s="240"/>
      <c r="F1514" s="240"/>
      <c r="G1514" s="240"/>
      <c r="H1514" s="241">
        <f t="shared" si="192"/>
        <v>0</v>
      </c>
      <c r="I1514" s="242"/>
      <c r="J1514" s="243"/>
      <c r="K1514" s="243"/>
      <c r="L1514" s="244">
        <v>0.1</v>
      </c>
      <c r="M1514" s="244">
        <f t="shared" si="193"/>
        <v>0</v>
      </c>
      <c r="N1514" s="244"/>
      <c r="O1514" s="244"/>
      <c r="P1514" s="244"/>
      <c r="Q1514" s="245">
        <f t="shared" si="194"/>
        <v>0</v>
      </c>
      <c r="R1514" s="245">
        <f t="shared" si="195"/>
        <v>0</v>
      </c>
      <c r="S1514" s="246">
        <v>0.5</v>
      </c>
      <c r="T1514" s="245">
        <f t="shared" si="196"/>
        <v>0</v>
      </c>
      <c r="U1514" s="245">
        <f t="shared" si="197"/>
        <v>0</v>
      </c>
      <c r="V1514" s="247"/>
    </row>
    <row r="1515" spans="1:22" ht="15.75" x14ac:dyDescent="0.25">
      <c r="A1515" s="236"/>
      <c r="B1515" s="237"/>
      <c r="C1515" s="238"/>
      <c r="D1515" s="239"/>
      <c r="E1515" s="240"/>
      <c r="F1515" s="240"/>
      <c r="G1515" s="240"/>
      <c r="H1515" s="241">
        <f t="shared" si="192"/>
        <v>0</v>
      </c>
      <c r="I1515" s="242"/>
      <c r="J1515" s="243"/>
      <c r="K1515" s="243"/>
      <c r="L1515" s="244">
        <v>0.1</v>
      </c>
      <c r="M1515" s="244">
        <f t="shared" si="193"/>
        <v>0</v>
      </c>
      <c r="N1515" s="244"/>
      <c r="O1515" s="244"/>
      <c r="P1515" s="244"/>
      <c r="Q1515" s="245">
        <f t="shared" si="194"/>
        <v>0</v>
      </c>
      <c r="R1515" s="245">
        <f t="shared" si="195"/>
        <v>0</v>
      </c>
      <c r="S1515" s="246">
        <v>0.5</v>
      </c>
      <c r="T1515" s="245">
        <f t="shared" si="196"/>
        <v>0</v>
      </c>
      <c r="U1515" s="245">
        <f t="shared" si="197"/>
        <v>0</v>
      </c>
      <c r="V1515" s="247"/>
    </row>
    <row r="1516" spans="1:22" ht="15.75" x14ac:dyDescent="0.25">
      <c r="A1516" s="236"/>
      <c r="B1516" s="237"/>
      <c r="C1516" s="238"/>
      <c r="D1516" s="239"/>
      <c r="E1516" s="240"/>
      <c r="F1516" s="240"/>
      <c r="G1516" s="240"/>
      <c r="H1516" s="241">
        <f t="shared" si="192"/>
        <v>0</v>
      </c>
      <c r="I1516" s="242"/>
      <c r="J1516" s="243"/>
      <c r="K1516" s="243"/>
      <c r="L1516" s="244">
        <v>0.1</v>
      </c>
      <c r="M1516" s="244">
        <f t="shared" si="193"/>
        <v>0</v>
      </c>
      <c r="N1516" s="244"/>
      <c r="O1516" s="244"/>
      <c r="P1516" s="244"/>
      <c r="Q1516" s="245">
        <f t="shared" si="194"/>
        <v>0</v>
      </c>
      <c r="R1516" s="245">
        <f t="shared" si="195"/>
        <v>0</v>
      </c>
      <c r="S1516" s="246">
        <v>0.5</v>
      </c>
      <c r="T1516" s="245">
        <f t="shared" si="196"/>
        <v>0</v>
      </c>
      <c r="U1516" s="245">
        <f t="shared" si="197"/>
        <v>0</v>
      </c>
      <c r="V1516" s="247"/>
    </row>
    <row r="1517" spans="1:22" ht="15.75" x14ac:dyDescent="0.25">
      <c r="A1517" s="236"/>
      <c r="B1517" s="237"/>
      <c r="C1517" s="238"/>
      <c r="D1517" s="239"/>
      <c r="E1517" s="240"/>
      <c r="F1517" s="240"/>
      <c r="G1517" s="240"/>
      <c r="H1517" s="241">
        <f t="shared" si="192"/>
        <v>0</v>
      </c>
      <c r="I1517" s="242"/>
      <c r="J1517" s="243"/>
      <c r="K1517" s="243"/>
      <c r="L1517" s="244">
        <v>0.1</v>
      </c>
      <c r="M1517" s="244">
        <f t="shared" si="193"/>
        <v>0</v>
      </c>
      <c r="N1517" s="244"/>
      <c r="O1517" s="244"/>
      <c r="P1517" s="244"/>
      <c r="Q1517" s="245">
        <f t="shared" si="194"/>
        <v>0</v>
      </c>
      <c r="R1517" s="245">
        <f t="shared" si="195"/>
        <v>0</v>
      </c>
      <c r="S1517" s="246">
        <v>0.5</v>
      </c>
      <c r="T1517" s="245">
        <f t="shared" si="196"/>
        <v>0</v>
      </c>
      <c r="U1517" s="245">
        <f t="shared" si="197"/>
        <v>0</v>
      </c>
      <c r="V1517" s="247"/>
    </row>
    <row r="1518" spans="1:22" ht="15.75" x14ac:dyDescent="0.25">
      <c r="A1518" s="236"/>
      <c r="B1518" s="237"/>
      <c r="C1518" s="238"/>
      <c r="D1518" s="239"/>
      <c r="E1518" s="240"/>
      <c r="F1518" s="240"/>
      <c r="G1518" s="240"/>
      <c r="H1518" s="241">
        <f t="shared" si="192"/>
        <v>0</v>
      </c>
      <c r="I1518" s="242"/>
      <c r="J1518" s="243"/>
      <c r="K1518" s="243"/>
      <c r="L1518" s="244">
        <v>0.1</v>
      </c>
      <c r="M1518" s="244">
        <f t="shared" si="193"/>
        <v>0</v>
      </c>
      <c r="N1518" s="244"/>
      <c r="O1518" s="244"/>
      <c r="P1518" s="244"/>
      <c r="Q1518" s="245">
        <f t="shared" si="194"/>
        <v>0</v>
      </c>
      <c r="R1518" s="245">
        <f t="shared" si="195"/>
        <v>0</v>
      </c>
      <c r="S1518" s="246">
        <v>0.5</v>
      </c>
      <c r="T1518" s="245">
        <f t="shared" si="196"/>
        <v>0</v>
      </c>
      <c r="U1518" s="245">
        <f t="shared" si="197"/>
        <v>0</v>
      </c>
      <c r="V1518" s="247"/>
    </row>
    <row r="1519" spans="1:22" ht="15.75" x14ac:dyDescent="0.25">
      <c r="A1519" s="236"/>
      <c r="B1519" s="237"/>
      <c r="C1519" s="238"/>
      <c r="D1519" s="239"/>
      <c r="E1519" s="240"/>
      <c r="F1519" s="240"/>
      <c r="G1519" s="240"/>
      <c r="H1519" s="241">
        <f t="shared" si="192"/>
        <v>0</v>
      </c>
      <c r="I1519" s="242"/>
      <c r="J1519" s="243"/>
      <c r="K1519" s="243"/>
      <c r="L1519" s="244">
        <v>0.1</v>
      </c>
      <c r="M1519" s="244">
        <f t="shared" si="193"/>
        <v>0</v>
      </c>
      <c r="N1519" s="244"/>
      <c r="O1519" s="244"/>
      <c r="P1519" s="244"/>
      <c r="Q1519" s="245">
        <f t="shared" si="194"/>
        <v>0</v>
      </c>
      <c r="R1519" s="245">
        <f t="shared" si="195"/>
        <v>0</v>
      </c>
      <c r="S1519" s="246">
        <v>0.5</v>
      </c>
      <c r="T1519" s="245">
        <f t="shared" si="196"/>
        <v>0</v>
      </c>
      <c r="U1519" s="245">
        <f t="shared" si="197"/>
        <v>0</v>
      </c>
      <c r="V1519" s="247"/>
    </row>
    <row r="1520" spans="1:22" ht="15.75" x14ac:dyDescent="0.25">
      <c r="A1520" s="236"/>
      <c r="B1520" s="237"/>
      <c r="C1520" s="238"/>
      <c r="D1520" s="239"/>
      <c r="E1520" s="240"/>
      <c r="F1520" s="240"/>
      <c r="G1520" s="240"/>
      <c r="H1520" s="241">
        <f t="shared" si="192"/>
        <v>0</v>
      </c>
      <c r="I1520" s="242"/>
      <c r="J1520" s="243"/>
      <c r="K1520" s="243"/>
      <c r="L1520" s="244">
        <v>0.1</v>
      </c>
      <c r="M1520" s="244">
        <f t="shared" si="193"/>
        <v>0</v>
      </c>
      <c r="N1520" s="244"/>
      <c r="O1520" s="244"/>
      <c r="P1520" s="244"/>
      <c r="Q1520" s="245">
        <f t="shared" si="194"/>
        <v>0</v>
      </c>
      <c r="R1520" s="245">
        <f t="shared" si="195"/>
        <v>0</v>
      </c>
      <c r="S1520" s="246">
        <v>0.5</v>
      </c>
      <c r="T1520" s="245">
        <f t="shared" si="196"/>
        <v>0</v>
      </c>
      <c r="U1520" s="245">
        <f t="shared" si="197"/>
        <v>0</v>
      </c>
      <c r="V1520" s="247"/>
    </row>
    <row r="1521" spans="1:22" ht="15.75" x14ac:dyDescent="0.25">
      <c r="A1521" s="236"/>
      <c r="B1521" s="237"/>
      <c r="C1521" s="238"/>
      <c r="D1521" s="239"/>
      <c r="E1521" s="240"/>
      <c r="F1521" s="240"/>
      <c r="G1521" s="240"/>
      <c r="H1521" s="241">
        <f t="shared" si="192"/>
        <v>0</v>
      </c>
      <c r="I1521" s="242"/>
      <c r="J1521" s="243"/>
      <c r="K1521" s="243"/>
      <c r="L1521" s="244">
        <v>0.1</v>
      </c>
      <c r="M1521" s="244">
        <f t="shared" si="193"/>
        <v>0</v>
      </c>
      <c r="N1521" s="244"/>
      <c r="O1521" s="244"/>
      <c r="P1521" s="244"/>
      <c r="Q1521" s="245">
        <f t="shared" si="194"/>
        <v>0</v>
      </c>
      <c r="R1521" s="245">
        <f t="shared" si="195"/>
        <v>0</v>
      </c>
      <c r="S1521" s="246">
        <v>0.5</v>
      </c>
      <c r="T1521" s="245">
        <f t="shared" si="196"/>
        <v>0</v>
      </c>
      <c r="U1521" s="245">
        <f t="shared" si="197"/>
        <v>0</v>
      </c>
      <c r="V1521" s="247"/>
    </row>
    <row r="1522" spans="1:22" ht="15.75" x14ac:dyDescent="0.25">
      <c r="A1522" s="236"/>
      <c r="B1522" s="237"/>
      <c r="C1522" s="238"/>
      <c r="D1522" s="239"/>
      <c r="E1522" s="240"/>
      <c r="F1522" s="240"/>
      <c r="G1522" s="240"/>
      <c r="H1522" s="241">
        <f t="shared" si="192"/>
        <v>0</v>
      </c>
      <c r="I1522" s="242"/>
      <c r="J1522" s="243"/>
      <c r="K1522" s="243"/>
      <c r="L1522" s="244">
        <v>0.1</v>
      </c>
      <c r="M1522" s="244">
        <f t="shared" si="193"/>
        <v>0</v>
      </c>
      <c r="N1522" s="244"/>
      <c r="O1522" s="244"/>
      <c r="P1522" s="244"/>
      <c r="Q1522" s="245">
        <f t="shared" si="194"/>
        <v>0</v>
      </c>
      <c r="R1522" s="245">
        <f t="shared" si="195"/>
        <v>0</v>
      </c>
      <c r="S1522" s="246">
        <v>0.5</v>
      </c>
      <c r="T1522" s="245">
        <f t="shared" si="196"/>
        <v>0</v>
      </c>
      <c r="U1522" s="245">
        <f t="shared" si="197"/>
        <v>0</v>
      </c>
      <c r="V1522" s="247"/>
    </row>
    <row r="1523" spans="1:22" ht="15.75" x14ac:dyDescent="0.25">
      <c r="A1523" s="236"/>
      <c r="B1523" s="237"/>
      <c r="C1523" s="238"/>
      <c r="D1523" s="239"/>
      <c r="E1523" s="240"/>
      <c r="F1523" s="240"/>
      <c r="G1523" s="240"/>
      <c r="H1523" s="241">
        <f t="shared" si="192"/>
        <v>0</v>
      </c>
      <c r="I1523" s="242"/>
      <c r="J1523" s="243"/>
      <c r="K1523" s="243"/>
      <c r="L1523" s="244">
        <v>0.1</v>
      </c>
      <c r="M1523" s="244">
        <f t="shared" si="193"/>
        <v>0</v>
      </c>
      <c r="N1523" s="244"/>
      <c r="O1523" s="244"/>
      <c r="P1523" s="244"/>
      <c r="Q1523" s="245">
        <f t="shared" si="194"/>
        <v>0</v>
      </c>
      <c r="R1523" s="245">
        <f t="shared" si="195"/>
        <v>0</v>
      </c>
      <c r="S1523" s="246">
        <v>0.5</v>
      </c>
      <c r="T1523" s="245">
        <f t="shared" si="196"/>
        <v>0</v>
      </c>
      <c r="U1523" s="245">
        <f t="shared" si="197"/>
        <v>0</v>
      </c>
      <c r="V1523" s="247"/>
    </row>
    <row r="1524" spans="1:22" ht="15.75" x14ac:dyDescent="0.25">
      <c r="A1524" s="236"/>
      <c r="B1524" s="237"/>
      <c r="C1524" s="238"/>
      <c r="D1524" s="239"/>
      <c r="E1524" s="240"/>
      <c r="F1524" s="240"/>
      <c r="G1524" s="240"/>
      <c r="H1524" s="241">
        <f t="shared" si="192"/>
        <v>0</v>
      </c>
      <c r="I1524" s="242"/>
      <c r="J1524" s="243"/>
      <c r="K1524" s="243"/>
      <c r="L1524" s="244">
        <v>0.1</v>
      </c>
      <c r="M1524" s="244">
        <f t="shared" si="193"/>
        <v>0</v>
      </c>
      <c r="N1524" s="244"/>
      <c r="O1524" s="244"/>
      <c r="P1524" s="244"/>
      <c r="Q1524" s="245">
        <f t="shared" si="194"/>
        <v>0</v>
      </c>
      <c r="R1524" s="245">
        <f t="shared" si="195"/>
        <v>0</v>
      </c>
      <c r="S1524" s="246">
        <v>0.5</v>
      </c>
      <c r="T1524" s="245">
        <f t="shared" si="196"/>
        <v>0</v>
      </c>
      <c r="U1524" s="245">
        <f t="shared" si="197"/>
        <v>0</v>
      </c>
      <c r="V1524" s="247"/>
    </row>
    <row r="1525" spans="1:22" ht="15.75" x14ac:dyDescent="0.25">
      <c r="A1525" s="236"/>
      <c r="B1525" s="237"/>
      <c r="C1525" s="238"/>
      <c r="D1525" s="239"/>
      <c r="E1525" s="240"/>
      <c r="F1525" s="240"/>
      <c r="G1525" s="240"/>
      <c r="H1525" s="241">
        <f t="shared" si="192"/>
        <v>0</v>
      </c>
      <c r="I1525" s="242"/>
      <c r="J1525" s="243"/>
      <c r="K1525" s="243"/>
      <c r="L1525" s="244">
        <v>0.1</v>
      </c>
      <c r="M1525" s="244">
        <f t="shared" si="193"/>
        <v>0</v>
      </c>
      <c r="N1525" s="244"/>
      <c r="O1525" s="244"/>
      <c r="P1525" s="244"/>
      <c r="Q1525" s="245">
        <f t="shared" si="194"/>
        <v>0</v>
      </c>
      <c r="R1525" s="245">
        <f t="shared" si="195"/>
        <v>0</v>
      </c>
      <c r="S1525" s="246">
        <v>0.5</v>
      </c>
      <c r="T1525" s="245">
        <f t="shared" si="196"/>
        <v>0</v>
      </c>
      <c r="U1525" s="245">
        <f t="shared" si="197"/>
        <v>0</v>
      </c>
      <c r="V1525" s="247"/>
    </row>
    <row r="1526" spans="1:22" ht="15.75" x14ac:dyDescent="0.25">
      <c r="A1526" s="236"/>
      <c r="B1526" s="237"/>
      <c r="C1526" s="238"/>
      <c r="D1526" s="239"/>
      <c r="E1526" s="240"/>
      <c r="F1526" s="240"/>
      <c r="G1526" s="240"/>
      <c r="H1526" s="241">
        <f t="shared" si="192"/>
        <v>0</v>
      </c>
      <c r="I1526" s="242"/>
      <c r="J1526" s="243"/>
      <c r="K1526" s="243"/>
      <c r="L1526" s="244">
        <v>0.1</v>
      </c>
      <c r="M1526" s="244">
        <f t="shared" si="193"/>
        <v>0</v>
      </c>
      <c r="N1526" s="244"/>
      <c r="O1526" s="244"/>
      <c r="P1526" s="244"/>
      <c r="Q1526" s="245">
        <f t="shared" si="194"/>
        <v>0</v>
      </c>
      <c r="R1526" s="245">
        <f t="shared" si="195"/>
        <v>0</v>
      </c>
      <c r="S1526" s="246">
        <v>0.5</v>
      </c>
      <c r="T1526" s="245">
        <f t="shared" si="196"/>
        <v>0</v>
      </c>
      <c r="U1526" s="245">
        <f t="shared" si="197"/>
        <v>0</v>
      </c>
      <c r="V1526" s="247"/>
    </row>
    <row r="1527" spans="1:22" ht="15.75" x14ac:dyDescent="0.25">
      <c r="A1527" s="236"/>
      <c r="B1527" s="237"/>
      <c r="C1527" s="238"/>
      <c r="D1527" s="239"/>
      <c r="E1527" s="240"/>
      <c r="F1527" s="240"/>
      <c r="G1527" s="240"/>
      <c r="H1527" s="241">
        <f t="shared" si="192"/>
        <v>0</v>
      </c>
      <c r="I1527" s="242"/>
      <c r="J1527" s="243"/>
      <c r="K1527" s="243"/>
      <c r="L1527" s="244">
        <v>0.1</v>
      </c>
      <c r="M1527" s="244">
        <f t="shared" si="193"/>
        <v>0</v>
      </c>
      <c r="N1527" s="244"/>
      <c r="O1527" s="244"/>
      <c r="P1527" s="244"/>
      <c r="Q1527" s="245">
        <f t="shared" si="194"/>
        <v>0</v>
      </c>
      <c r="R1527" s="245">
        <f t="shared" si="195"/>
        <v>0</v>
      </c>
      <c r="S1527" s="246">
        <v>0.5</v>
      </c>
      <c r="T1527" s="245">
        <f t="shared" si="196"/>
        <v>0</v>
      </c>
      <c r="U1527" s="245">
        <f t="shared" si="197"/>
        <v>0</v>
      </c>
      <c r="V1527" s="247"/>
    </row>
    <row r="1528" spans="1:22" ht="15.75" x14ac:dyDescent="0.25">
      <c r="A1528" s="236"/>
      <c r="B1528" s="237"/>
      <c r="C1528" s="238"/>
      <c r="D1528" s="239"/>
      <c r="E1528" s="240"/>
      <c r="F1528" s="240"/>
      <c r="G1528" s="240"/>
      <c r="H1528" s="241">
        <f t="shared" si="192"/>
        <v>0</v>
      </c>
      <c r="I1528" s="242"/>
      <c r="J1528" s="243"/>
      <c r="K1528" s="243"/>
      <c r="L1528" s="244">
        <v>0.1</v>
      </c>
      <c r="M1528" s="244">
        <f t="shared" si="193"/>
        <v>0</v>
      </c>
      <c r="N1528" s="244"/>
      <c r="O1528" s="244"/>
      <c r="P1528" s="244"/>
      <c r="Q1528" s="245">
        <f t="shared" si="194"/>
        <v>0</v>
      </c>
      <c r="R1528" s="245">
        <f t="shared" si="195"/>
        <v>0</v>
      </c>
      <c r="S1528" s="246">
        <v>0.5</v>
      </c>
      <c r="T1528" s="245">
        <f t="shared" si="196"/>
        <v>0</v>
      </c>
      <c r="U1528" s="245">
        <f t="shared" si="197"/>
        <v>0</v>
      </c>
      <c r="V1528" s="247"/>
    </row>
    <row r="1529" spans="1:22" ht="15.75" x14ac:dyDescent="0.25">
      <c r="A1529" s="236"/>
      <c r="B1529" s="237"/>
      <c r="C1529" s="238"/>
      <c r="D1529" s="239"/>
      <c r="E1529" s="240"/>
      <c r="F1529" s="240"/>
      <c r="G1529" s="240"/>
      <c r="H1529" s="241">
        <f t="shared" si="192"/>
        <v>0</v>
      </c>
      <c r="I1529" s="242"/>
      <c r="J1529" s="243"/>
      <c r="K1529" s="243"/>
      <c r="L1529" s="244">
        <v>0.1</v>
      </c>
      <c r="M1529" s="244">
        <f t="shared" si="193"/>
        <v>0</v>
      </c>
      <c r="N1529" s="244"/>
      <c r="O1529" s="244"/>
      <c r="P1529" s="244"/>
      <c r="Q1529" s="245">
        <f t="shared" si="194"/>
        <v>0</v>
      </c>
      <c r="R1529" s="245">
        <f t="shared" si="195"/>
        <v>0</v>
      </c>
      <c r="S1529" s="246">
        <v>0.5</v>
      </c>
      <c r="T1529" s="245">
        <f t="shared" si="196"/>
        <v>0</v>
      </c>
      <c r="U1529" s="245">
        <f t="shared" si="197"/>
        <v>0</v>
      </c>
      <c r="V1529" s="247"/>
    </row>
    <row r="1530" spans="1:22" ht="15.75" x14ac:dyDescent="0.25">
      <c r="A1530" s="236"/>
      <c r="B1530" s="237"/>
      <c r="C1530" s="238"/>
      <c r="D1530" s="239"/>
      <c r="E1530" s="240"/>
      <c r="F1530" s="240"/>
      <c r="G1530" s="240"/>
      <c r="H1530" s="241">
        <f t="shared" si="192"/>
        <v>0</v>
      </c>
      <c r="I1530" s="242"/>
      <c r="J1530" s="243"/>
      <c r="K1530" s="243"/>
      <c r="L1530" s="244">
        <v>0.1</v>
      </c>
      <c r="M1530" s="244">
        <f t="shared" si="193"/>
        <v>0</v>
      </c>
      <c r="N1530" s="244"/>
      <c r="O1530" s="244"/>
      <c r="P1530" s="244"/>
      <c r="Q1530" s="245">
        <f t="shared" si="194"/>
        <v>0</v>
      </c>
      <c r="R1530" s="245">
        <f t="shared" si="195"/>
        <v>0</v>
      </c>
      <c r="S1530" s="246">
        <v>0.5</v>
      </c>
      <c r="T1530" s="245">
        <f t="shared" si="196"/>
        <v>0</v>
      </c>
      <c r="U1530" s="245">
        <f t="shared" si="197"/>
        <v>0</v>
      </c>
      <c r="V1530" s="247"/>
    </row>
    <row r="1531" spans="1:22" ht="15.75" x14ac:dyDescent="0.25">
      <c r="A1531" s="236"/>
      <c r="B1531" s="237"/>
      <c r="C1531" s="238"/>
      <c r="D1531" s="239"/>
      <c r="E1531" s="240"/>
      <c r="F1531" s="240"/>
      <c r="G1531" s="240"/>
      <c r="H1531" s="241">
        <f t="shared" si="192"/>
        <v>0</v>
      </c>
      <c r="I1531" s="242"/>
      <c r="J1531" s="243"/>
      <c r="K1531" s="243"/>
      <c r="L1531" s="244">
        <v>0.1</v>
      </c>
      <c r="M1531" s="244">
        <f t="shared" si="193"/>
        <v>0</v>
      </c>
      <c r="N1531" s="244"/>
      <c r="O1531" s="244"/>
      <c r="P1531" s="244"/>
      <c r="Q1531" s="245">
        <f t="shared" si="194"/>
        <v>0</v>
      </c>
      <c r="R1531" s="245">
        <f t="shared" si="195"/>
        <v>0</v>
      </c>
      <c r="S1531" s="246">
        <v>0.5</v>
      </c>
      <c r="T1531" s="245">
        <f t="shared" si="196"/>
        <v>0</v>
      </c>
      <c r="U1531" s="245">
        <f t="shared" si="197"/>
        <v>0</v>
      </c>
      <c r="V1531" s="247"/>
    </row>
    <row r="1532" spans="1:22" ht="15.75" x14ac:dyDescent="0.25">
      <c r="A1532" s="236"/>
      <c r="B1532" s="237"/>
      <c r="C1532" s="238"/>
      <c r="D1532" s="239"/>
      <c r="E1532" s="240"/>
      <c r="F1532" s="240"/>
      <c r="G1532" s="240"/>
      <c r="H1532" s="241">
        <f t="shared" si="192"/>
        <v>0</v>
      </c>
      <c r="I1532" s="242"/>
      <c r="J1532" s="243"/>
      <c r="K1532" s="243"/>
      <c r="L1532" s="244">
        <v>0.1</v>
      </c>
      <c r="M1532" s="244">
        <f t="shared" si="193"/>
        <v>0</v>
      </c>
      <c r="N1532" s="244"/>
      <c r="O1532" s="244"/>
      <c r="P1532" s="244"/>
      <c r="Q1532" s="245">
        <f t="shared" si="194"/>
        <v>0</v>
      </c>
      <c r="R1532" s="245">
        <f t="shared" si="195"/>
        <v>0</v>
      </c>
      <c r="S1532" s="246">
        <v>0.5</v>
      </c>
      <c r="T1532" s="245">
        <f t="shared" si="196"/>
        <v>0</v>
      </c>
      <c r="U1532" s="245">
        <f t="shared" si="197"/>
        <v>0</v>
      </c>
      <c r="V1532" s="247"/>
    </row>
    <row r="1533" spans="1:22" ht="15.75" x14ac:dyDescent="0.25">
      <c r="A1533" s="236"/>
      <c r="B1533" s="237"/>
      <c r="C1533" s="238"/>
      <c r="D1533" s="239"/>
      <c r="E1533" s="240"/>
      <c r="F1533" s="240"/>
      <c r="G1533" s="240"/>
      <c r="H1533" s="241">
        <f t="shared" ref="H1533:H1596" si="198">+E1533+F1533+G1533</f>
        <v>0</v>
      </c>
      <c r="I1533" s="242"/>
      <c r="J1533" s="243"/>
      <c r="K1533" s="243"/>
      <c r="L1533" s="244">
        <v>0.1</v>
      </c>
      <c r="M1533" s="244">
        <f t="shared" ref="M1533:M1596" si="199">+L1533*C1533</f>
        <v>0</v>
      </c>
      <c r="N1533" s="244"/>
      <c r="O1533" s="244"/>
      <c r="P1533" s="244"/>
      <c r="Q1533" s="245">
        <f t="shared" ref="Q1533:Q1596" si="200">+N1533+O1533+P1533</f>
        <v>0</v>
      </c>
      <c r="R1533" s="245">
        <f t="shared" ref="R1533:R1596" si="201">IF(+Q1533-H1533&lt;=0,0,Q1533-H1533)</f>
        <v>0</v>
      </c>
      <c r="S1533" s="246">
        <v>0.5</v>
      </c>
      <c r="T1533" s="245">
        <f t="shared" ref="T1533:T1596" si="202">+(R1533*C1533)*S1533</f>
        <v>0</v>
      </c>
      <c r="U1533" s="245">
        <f t="shared" ref="U1533:U1596" si="203">+J1533+M1533+T1533</f>
        <v>0</v>
      </c>
      <c r="V1533" s="247"/>
    </row>
    <row r="1534" spans="1:22" ht="15.75" x14ac:dyDescent="0.25">
      <c r="A1534" s="236"/>
      <c r="B1534" s="237"/>
      <c r="C1534" s="238"/>
      <c r="D1534" s="239"/>
      <c r="E1534" s="240"/>
      <c r="F1534" s="240"/>
      <c r="G1534" s="240"/>
      <c r="H1534" s="241">
        <f t="shared" si="198"/>
        <v>0</v>
      </c>
      <c r="I1534" s="242"/>
      <c r="J1534" s="243"/>
      <c r="K1534" s="243"/>
      <c r="L1534" s="244">
        <v>0.1</v>
      </c>
      <c r="M1534" s="244">
        <f t="shared" si="199"/>
        <v>0</v>
      </c>
      <c r="N1534" s="244"/>
      <c r="O1534" s="244"/>
      <c r="P1534" s="244"/>
      <c r="Q1534" s="245">
        <f t="shared" si="200"/>
        <v>0</v>
      </c>
      <c r="R1534" s="245">
        <f t="shared" si="201"/>
        <v>0</v>
      </c>
      <c r="S1534" s="246">
        <v>0.5</v>
      </c>
      <c r="T1534" s="245">
        <f t="shared" si="202"/>
        <v>0</v>
      </c>
      <c r="U1534" s="245">
        <f t="shared" si="203"/>
        <v>0</v>
      </c>
      <c r="V1534" s="247"/>
    </row>
    <row r="1535" spans="1:22" ht="15.75" x14ac:dyDescent="0.25">
      <c r="A1535" s="236"/>
      <c r="B1535" s="237"/>
      <c r="C1535" s="238"/>
      <c r="D1535" s="239"/>
      <c r="E1535" s="240"/>
      <c r="F1535" s="240"/>
      <c r="G1535" s="240"/>
      <c r="H1535" s="241">
        <f t="shared" si="198"/>
        <v>0</v>
      </c>
      <c r="I1535" s="242"/>
      <c r="J1535" s="243"/>
      <c r="K1535" s="243"/>
      <c r="L1535" s="244">
        <v>0.1</v>
      </c>
      <c r="M1535" s="244">
        <f t="shared" si="199"/>
        <v>0</v>
      </c>
      <c r="N1535" s="244"/>
      <c r="O1535" s="244"/>
      <c r="P1535" s="244"/>
      <c r="Q1535" s="245">
        <f t="shared" si="200"/>
        <v>0</v>
      </c>
      <c r="R1535" s="245">
        <f t="shared" si="201"/>
        <v>0</v>
      </c>
      <c r="S1535" s="246">
        <v>0.5</v>
      </c>
      <c r="T1535" s="245">
        <f t="shared" si="202"/>
        <v>0</v>
      </c>
      <c r="U1535" s="245">
        <f t="shared" si="203"/>
        <v>0</v>
      </c>
      <c r="V1535" s="247"/>
    </row>
    <row r="1536" spans="1:22" ht="15.75" x14ac:dyDescent="0.25">
      <c r="A1536" s="236"/>
      <c r="B1536" s="237"/>
      <c r="C1536" s="238"/>
      <c r="D1536" s="239"/>
      <c r="E1536" s="240"/>
      <c r="F1536" s="240"/>
      <c r="G1536" s="240"/>
      <c r="H1536" s="241">
        <f t="shared" si="198"/>
        <v>0</v>
      </c>
      <c r="I1536" s="242"/>
      <c r="J1536" s="243"/>
      <c r="K1536" s="243"/>
      <c r="L1536" s="244">
        <v>0.1</v>
      </c>
      <c r="M1536" s="244">
        <f t="shared" si="199"/>
        <v>0</v>
      </c>
      <c r="N1536" s="244"/>
      <c r="O1536" s="244"/>
      <c r="P1536" s="244"/>
      <c r="Q1536" s="245">
        <f t="shared" si="200"/>
        <v>0</v>
      </c>
      <c r="R1536" s="245">
        <f t="shared" si="201"/>
        <v>0</v>
      </c>
      <c r="S1536" s="246">
        <v>0.5</v>
      </c>
      <c r="T1536" s="245">
        <f t="shared" si="202"/>
        <v>0</v>
      </c>
      <c r="U1536" s="245">
        <f t="shared" si="203"/>
        <v>0</v>
      </c>
      <c r="V1536" s="247"/>
    </row>
    <row r="1537" spans="1:22" ht="15.75" x14ac:dyDescent="0.25">
      <c r="A1537" s="236"/>
      <c r="B1537" s="237"/>
      <c r="C1537" s="238"/>
      <c r="D1537" s="239"/>
      <c r="E1537" s="240"/>
      <c r="F1537" s="240"/>
      <c r="G1537" s="240"/>
      <c r="H1537" s="241">
        <f t="shared" si="198"/>
        <v>0</v>
      </c>
      <c r="I1537" s="242"/>
      <c r="J1537" s="243"/>
      <c r="K1537" s="243"/>
      <c r="L1537" s="244">
        <v>0.1</v>
      </c>
      <c r="M1537" s="244">
        <f t="shared" si="199"/>
        <v>0</v>
      </c>
      <c r="N1537" s="244"/>
      <c r="O1537" s="244"/>
      <c r="P1537" s="244"/>
      <c r="Q1537" s="245">
        <f t="shared" si="200"/>
        <v>0</v>
      </c>
      <c r="R1537" s="245">
        <f t="shared" si="201"/>
        <v>0</v>
      </c>
      <c r="S1537" s="246">
        <v>0.5</v>
      </c>
      <c r="T1537" s="245">
        <f t="shared" si="202"/>
        <v>0</v>
      </c>
      <c r="U1537" s="245">
        <f t="shared" si="203"/>
        <v>0</v>
      </c>
      <c r="V1537" s="247"/>
    </row>
    <row r="1538" spans="1:22" ht="15.75" x14ac:dyDescent="0.25">
      <c r="A1538" s="236"/>
      <c r="B1538" s="237"/>
      <c r="C1538" s="238"/>
      <c r="D1538" s="239"/>
      <c r="E1538" s="240"/>
      <c r="F1538" s="240"/>
      <c r="G1538" s="240"/>
      <c r="H1538" s="241">
        <f t="shared" si="198"/>
        <v>0</v>
      </c>
      <c r="I1538" s="242"/>
      <c r="J1538" s="243"/>
      <c r="K1538" s="243"/>
      <c r="L1538" s="244">
        <v>0.1</v>
      </c>
      <c r="M1538" s="244">
        <f t="shared" si="199"/>
        <v>0</v>
      </c>
      <c r="N1538" s="244"/>
      <c r="O1538" s="244"/>
      <c r="P1538" s="244"/>
      <c r="Q1538" s="245">
        <f t="shared" si="200"/>
        <v>0</v>
      </c>
      <c r="R1538" s="245">
        <f t="shared" si="201"/>
        <v>0</v>
      </c>
      <c r="S1538" s="246">
        <v>0.5</v>
      </c>
      <c r="T1538" s="245">
        <f t="shared" si="202"/>
        <v>0</v>
      </c>
      <c r="U1538" s="245">
        <f t="shared" si="203"/>
        <v>0</v>
      </c>
      <c r="V1538" s="247"/>
    </row>
    <row r="1539" spans="1:22" ht="15.75" x14ac:dyDescent="0.25">
      <c r="A1539" s="236"/>
      <c r="B1539" s="237"/>
      <c r="C1539" s="238"/>
      <c r="D1539" s="239"/>
      <c r="E1539" s="240"/>
      <c r="F1539" s="240"/>
      <c r="G1539" s="240"/>
      <c r="H1539" s="241">
        <f t="shared" si="198"/>
        <v>0</v>
      </c>
      <c r="I1539" s="242"/>
      <c r="J1539" s="243"/>
      <c r="K1539" s="243"/>
      <c r="L1539" s="244">
        <v>0.1</v>
      </c>
      <c r="M1539" s="244">
        <f t="shared" si="199"/>
        <v>0</v>
      </c>
      <c r="N1539" s="244"/>
      <c r="O1539" s="244"/>
      <c r="P1539" s="244"/>
      <c r="Q1539" s="245">
        <f t="shared" si="200"/>
        <v>0</v>
      </c>
      <c r="R1539" s="245">
        <f t="shared" si="201"/>
        <v>0</v>
      </c>
      <c r="S1539" s="246">
        <v>0.5</v>
      </c>
      <c r="T1539" s="245">
        <f t="shared" si="202"/>
        <v>0</v>
      </c>
      <c r="U1539" s="245">
        <f t="shared" si="203"/>
        <v>0</v>
      </c>
      <c r="V1539" s="247"/>
    </row>
    <row r="1540" spans="1:22" ht="15.75" x14ac:dyDescent="0.25">
      <c r="A1540" s="236"/>
      <c r="B1540" s="237"/>
      <c r="C1540" s="238"/>
      <c r="D1540" s="239"/>
      <c r="E1540" s="240"/>
      <c r="F1540" s="240"/>
      <c r="G1540" s="240"/>
      <c r="H1540" s="241">
        <f t="shared" si="198"/>
        <v>0</v>
      </c>
      <c r="I1540" s="242"/>
      <c r="J1540" s="243"/>
      <c r="K1540" s="243"/>
      <c r="L1540" s="244">
        <v>0.1</v>
      </c>
      <c r="M1540" s="244">
        <f t="shared" si="199"/>
        <v>0</v>
      </c>
      <c r="N1540" s="244"/>
      <c r="O1540" s="244"/>
      <c r="P1540" s="244"/>
      <c r="Q1540" s="245">
        <f t="shared" si="200"/>
        <v>0</v>
      </c>
      <c r="R1540" s="245">
        <f t="shared" si="201"/>
        <v>0</v>
      </c>
      <c r="S1540" s="246">
        <v>0.5</v>
      </c>
      <c r="T1540" s="245">
        <f t="shared" si="202"/>
        <v>0</v>
      </c>
      <c r="U1540" s="245">
        <f t="shared" si="203"/>
        <v>0</v>
      </c>
      <c r="V1540" s="247"/>
    </row>
    <row r="1541" spans="1:22" ht="15.75" x14ac:dyDescent="0.25">
      <c r="A1541" s="236"/>
      <c r="B1541" s="237"/>
      <c r="C1541" s="238"/>
      <c r="D1541" s="239"/>
      <c r="E1541" s="240"/>
      <c r="F1541" s="240"/>
      <c r="G1541" s="240"/>
      <c r="H1541" s="241">
        <f t="shared" si="198"/>
        <v>0</v>
      </c>
      <c r="I1541" s="242"/>
      <c r="J1541" s="243"/>
      <c r="K1541" s="243"/>
      <c r="L1541" s="244">
        <v>0.1</v>
      </c>
      <c r="M1541" s="244">
        <f t="shared" si="199"/>
        <v>0</v>
      </c>
      <c r="N1541" s="244"/>
      <c r="O1541" s="244"/>
      <c r="P1541" s="244"/>
      <c r="Q1541" s="245">
        <f t="shared" si="200"/>
        <v>0</v>
      </c>
      <c r="R1541" s="245">
        <f t="shared" si="201"/>
        <v>0</v>
      </c>
      <c r="S1541" s="246">
        <v>0.5</v>
      </c>
      <c r="T1541" s="245">
        <f t="shared" si="202"/>
        <v>0</v>
      </c>
      <c r="U1541" s="245">
        <f t="shared" si="203"/>
        <v>0</v>
      </c>
      <c r="V1541" s="247"/>
    </row>
    <row r="1542" spans="1:22" ht="15.75" x14ac:dyDescent="0.25">
      <c r="A1542" s="236"/>
      <c r="B1542" s="237"/>
      <c r="C1542" s="238"/>
      <c r="D1542" s="239"/>
      <c r="E1542" s="240"/>
      <c r="F1542" s="240"/>
      <c r="G1542" s="240"/>
      <c r="H1542" s="241">
        <f t="shared" si="198"/>
        <v>0</v>
      </c>
      <c r="I1542" s="242"/>
      <c r="J1542" s="243"/>
      <c r="K1542" s="243"/>
      <c r="L1542" s="244">
        <v>0.1</v>
      </c>
      <c r="M1542" s="244">
        <f t="shared" si="199"/>
        <v>0</v>
      </c>
      <c r="N1542" s="244"/>
      <c r="O1542" s="244"/>
      <c r="P1542" s="244"/>
      <c r="Q1542" s="245">
        <f t="shared" si="200"/>
        <v>0</v>
      </c>
      <c r="R1542" s="245">
        <f t="shared" si="201"/>
        <v>0</v>
      </c>
      <c r="S1542" s="246">
        <v>0.5</v>
      </c>
      <c r="T1542" s="245">
        <f t="shared" si="202"/>
        <v>0</v>
      </c>
      <c r="U1542" s="245">
        <f t="shared" si="203"/>
        <v>0</v>
      </c>
      <c r="V1542" s="247"/>
    </row>
    <row r="1543" spans="1:22" ht="15.75" x14ac:dyDescent="0.25">
      <c r="A1543" s="236"/>
      <c r="B1543" s="237"/>
      <c r="C1543" s="238"/>
      <c r="D1543" s="239"/>
      <c r="E1543" s="240"/>
      <c r="F1543" s="240"/>
      <c r="G1543" s="240"/>
      <c r="H1543" s="241">
        <f t="shared" si="198"/>
        <v>0</v>
      </c>
      <c r="I1543" s="242"/>
      <c r="J1543" s="243"/>
      <c r="K1543" s="243"/>
      <c r="L1543" s="244">
        <v>0.1</v>
      </c>
      <c r="M1543" s="244">
        <f t="shared" si="199"/>
        <v>0</v>
      </c>
      <c r="N1543" s="244"/>
      <c r="O1543" s="244"/>
      <c r="P1543" s="244"/>
      <c r="Q1543" s="245">
        <f t="shared" si="200"/>
        <v>0</v>
      </c>
      <c r="R1543" s="245">
        <f t="shared" si="201"/>
        <v>0</v>
      </c>
      <c r="S1543" s="246">
        <v>0.5</v>
      </c>
      <c r="T1543" s="245">
        <f t="shared" si="202"/>
        <v>0</v>
      </c>
      <c r="U1543" s="245">
        <f t="shared" si="203"/>
        <v>0</v>
      </c>
      <c r="V1543" s="247"/>
    </row>
    <row r="1544" spans="1:22" ht="15.75" x14ac:dyDescent="0.25">
      <c r="A1544" s="236"/>
      <c r="B1544" s="237"/>
      <c r="C1544" s="238"/>
      <c r="D1544" s="239"/>
      <c r="E1544" s="240"/>
      <c r="F1544" s="240"/>
      <c r="G1544" s="240"/>
      <c r="H1544" s="241">
        <f t="shared" si="198"/>
        <v>0</v>
      </c>
      <c r="I1544" s="242"/>
      <c r="J1544" s="243"/>
      <c r="K1544" s="243"/>
      <c r="L1544" s="244">
        <v>0.1</v>
      </c>
      <c r="M1544" s="244">
        <f t="shared" si="199"/>
        <v>0</v>
      </c>
      <c r="N1544" s="244"/>
      <c r="O1544" s="244"/>
      <c r="P1544" s="244"/>
      <c r="Q1544" s="245">
        <f t="shared" si="200"/>
        <v>0</v>
      </c>
      <c r="R1544" s="245">
        <f t="shared" si="201"/>
        <v>0</v>
      </c>
      <c r="S1544" s="246">
        <v>0.5</v>
      </c>
      <c r="T1544" s="245">
        <f t="shared" si="202"/>
        <v>0</v>
      </c>
      <c r="U1544" s="245">
        <f t="shared" si="203"/>
        <v>0</v>
      </c>
      <c r="V1544" s="247"/>
    </row>
    <row r="1545" spans="1:22" ht="15.75" x14ac:dyDescent="0.25">
      <c r="A1545" s="236"/>
      <c r="B1545" s="237"/>
      <c r="C1545" s="238"/>
      <c r="D1545" s="239"/>
      <c r="E1545" s="240"/>
      <c r="F1545" s="240"/>
      <c r="G1545" s="240"/>
      <c r="H1545" s="241">
        <f t="shared" si="198"/>
        <v>0</v>
      </c>
      <c r="I1545" s="242"/>
      <c r="J1545" s="243"/>
      <c r="K1545" s="243"/>
      <c r="L1545" s="244">
        <v>0.1</v>
      </c>
      <c r="M1545" s="244">
        <f t="shared" si="199"/>
        <v>0</v>
      </c>
      <c r="N1545" s="244"/>
      <c r="O1545" s="244"/>
      <c r="P1545" s="244"/>
      <c r="Q1545" s="245">
        <f t="shared" si="200"/>
        <v>0</v>
      </c>
      <c r="R1545" s="245">
        <f t="shared" si="201"/>
        <v>0</v>
      </c>
      <c r="S1545" s="246">
        <v>0.5</v>
      </c>
      <c r="T1545" s="245">
        <f t="shared" si="202"/>
        <v>0</v>
      </c>
      <c r="U1545" s="245">
        <f t="shared" si="203"/>
        <v>0</v>
      </c>
      <c r="V1545" s="247"/>
    </row>
    <row r="1546" spans="1:22" ht="15.75" x14ac:dyDescent="0.25">
      <c r="A1546" s="236"/>
      <c r="B1546" s="237"/>
      <c r="C1546" s="238"/>
      <c r="D1546" s="239"/>
      <c r="E1546" s="240"/>
      <c r="F1546" s="240"/>
      <c r="G1546" s="240"/>
      <c r="H1546" s="241">
        <f t="shared" si="198"/>
        <v>0</v>
      </c>
      <c r="I1546" s="242"/>
      <c r="J1546" s="243"/>
      <c r="K1546" s="243"/>
      <c r="L1546" s="244">
        <v>0.1</v>
      </c>
      <c r="M1546" s="244">
        <f t="shared" si="199"/>
        <v>0</v>
      </c>
      <c r="N1546" s="244"/>
      <c r="O1546" s="244"/>
      <c r="P1546" s="244"/>
      <c r="Q1546" s="245">
        <f t="shared" si="200"/>
        <v>0</v>
      </c>
      <c r="R1546" s="245">
        <f t="shared" si="201"/>
        <v>0</v>
      </c>
      <c r="S1546" s="246">
        <v>0.5</v>
      </c>
      <c r="T1546" s="245">
        <f t="shared" si="202"/>
        <v>0</v>
      </c>
      <c r="U1546" s="245">
        <f t="shared" si="203"/>
        <v>0</v>
      </c>
      <c r="V1546" s="247"/>
    </row>
    <row r="1547" spans="1:22" ht="15.75" x14ac:dyDescent="0.25">
      <c r="A1547" s="236"/>
      <c r="B1547" s="237"/>
      <c r="C1547" s="238"/>
      <c r="D1547" s="239"/>
      <c r="E1547" s="240"/>
      <c r="F1547" s="240"/>
      <c r="G1547" s="240"/>
      <c r="H1547" s="241">
        <f t="shared" si="198"/>
        <v>0</v>
      </c>
      <c r="I1547" s="242"/>
      <c r="J1547" s="243"/>
      <c r="K1547" s="243"/>
      <c r="L1547" s="244">
        <v>0.1</v>
      </c>
      <c r="M1547" s="244">
        <f t="shared" si="199"/>
        <v>0</v>
      </c>
      <c r="N1547" s="244"/>
      <c r="O1547" s="244"/>
      <c r="P1547" s="244"/>
      <c r="Q1547" s="245">
        <f t="shared" si="200"/>
        <v>0</v>
      </c>
      <c r="R1547" s="245">
        <f t="shared" si="201"/>
        <v>0</v>
      </c>
      <c r="S1547" s="246">
        <v>0.5</v>
      </c>
      <c r="T1547" s="245">
        <f t="shared" si="202"/>
        <v>0</v>
      </c>
      <c r="U1547" s="245">
        <f t="shared" si="203"/>
        <v>0</v>
      </c>
      <c r="V1547" s="247"/>
    </row>
    <row r="1548" spans="1:22" ht="15.75" x14ac:dyDescent="0.25">
      <c r="A1548" s="236"/>
      <c r="B1548" s="237"/>
      <c r="C1548" s="238"/>
      <c r="D1548" s="239"/>
      <c r="E1548" s="240"/>
      <c r="F1548" s="240"/>
      <c r="G1548" s="240"/>
      <c r="H1548" s="241">
        <f t="shared" si="198"/>
        <v>0</v>
      </c>
      <c r="I1548" s="242"/>
      <c r="J1548" s="243"/>
      <c r="K1548" s="243"/>
      <c r="L1548" s="244">
        <v>0.1</v>
      </c>
      <c r="M1548" s="244">
        <f t="shared" si="199"/>
        <v>0</v>
      </c>
      <c r="N1548" s="244"/>
      <c r="O1548" s="244"/>
      <c r="P1548" s="244"/>
      <c r="Q1548" s="245">
        <f t="shared" si="200"/>
        <v>0</v>
      </c>
      <c r="R1548" s="245">
        <f t="shared" si="201"/>
        <v>0</v>
      </c>
      <c r="S1548" s="246">
        <v>0.5</v>
      </c>
      <c r="T1548" s="245">
        <f t="shared" si="202"/>
        <v>0</v>
      </c>
      <c r="U1548" s="245">
        <f t="shared" si="203"/>
        <v>0</v>
      </c>
      <c r="V1548" s="247"/>
    </row>
    <row r="1549" spans="1:22" ht="15.75" x14ac:dyDescent="0.25">
      <c r="A1549" s="236"/>
      <c r="B1549" s="237"/>
      <c r="C1549" s="238"/>
      <c r="D1549" s="239"/>
      <c r="E1549" s="240"/>
      <c r="F1549" s="240"/>
      <c r="G1549" s="240"/>
      <c r="H1549" s="241">
        <f t="shared" si="198"/>
        <v>0</v>
      </c>
      <c r="I1549" s="242"/>
      <c r="J1549" s="243"/>
      <c r="K1549" s="243"/>
      <c r="L1549" s="244">
        <v>0.1</v>
      </c>
      <c r="M1549" s="244">
        <f t="shared" si="199"/>
        <v>0</v>
      </c>
      <c r="N1549" s="244"/>
      <c r="O1549" s="244"/>
      <c r="P1549" s="244"/>
      <c r="Q1549" s="245">
        <f t="shared" si="200"/>
        <v>0</v>
      </c>
      <c r="R1549" s="245">
        <f t="shared" si="201"/>
        <v>0</v>
      </c>
      <c r="S1549" s="246">
        <v>0.5</v>
      </c>
      <c r="T1549" s="245">
        <f t="shared" si="202"/>
        <v>0</v>
      </c>
      <c r="U1549" s="245">
        <f t="shared" si="203"/>
        <v>0</v>
      </c>
      <c r="V1549" s="247"/>
    </row>
    <row r="1550" spans="1:22" ht="15.75" x14ac:dyDescent="0.25">
      <c r="A1550" s="236"/>
      <c r="B1550" s="237"/>
      <c r="C1550" s="238"/>
      <c r="D1550" s="239"/>
      <c r="E1550" s="240"/>
      <c r="F1550" s="240"/>
      <c r="G1550" s="240"/>
      <c r="H1550" s="241">
        <f t="shared" si="198"/>
        <v>0</v>
      </c>
      <c r="I1550" s="242"/>
      <c r="J1550" s="243"/>
      <c r="K1550" s="243"/>
      <c r="L1550" s="244">
        <v>0.1</v>
      </c>
      <c r="M1550" s="244">
        <f t="shared" si="199"/>
        <v>0</v>
      </c>
      <c r="N1550" s="244"/>
      <c r="O1550" s="244"/>
      <c r="P1550" s="244"/>
      <c r="Q1550" s="245">
        <f t="shared" si="200"/>
        <v>0</v>
      </c>
      <c r="R1550" s="245">
        <f t="shared" si="201"/>
        <v>0</v>
      </c>
      <c r="S1550" s="246">
        <v>0.5</v>
      </c>
      <c r="T1550" s="245">
        <f t="shared" si="202"/>
        <v>0</v>
      </c>
      <c r="U1550" s="245">
        <f t="shared" si="203"/>
        <v>0</v>
      </c>
      <c r="V1550" s="247"/>
    </row>
    <row r="1551" spans="1:22" ht="15.75" x14ac:dyDescent="0.25">
      <c r="A1551" s="236"/>
      <c r="B1551" s="237"/>
      <c r="C1551" s="238"/>
      <c r="D1551" s="239"/>
      <c r="E1551" s="240"/>
      <c r="F1551" s="240"/>
      <c r="G1551" s="240"/>
      <c r="H1551" s="241">
        <f t="shared" si="198"/>
        <v>0</v>
      </c>
      <c r="I1551" s="242"/>
      <c r="J1551" s="243"/>
      <c r="K1551" s="243"/>
      <c r="L1551" s="244">
        <v>0.1</v>
      </c>
      <c r="M1551" s="244">
        <f t="shared" si="199"/>
        <v>0</v>
      </c>
      <c r="N1551" s="244"/>
      <c r="O1551" s="244"/>
      <c r="P1551" s="244"/>
      <c r="Q1551" s="245">
        <f t="shared" si="200"/>
        <v>0</v>
      </c>
      <c r="R1551" s="245">
        <f t="shared" si="201"/>
        <v>0</v>
      </c>
      <c r="S1551" s="246">
        <v>0.5</v>
      </c>
      <c r="T1551" s="245">
        <f t="shared" si="202"/>
        <v>0</v>
      </c>
      <c r="U1551" s="245">
        <f t="shared" si="203"/>
        <v>0</v>
      </c>
      <c r="V1551" s="247"/>
    </row>
    <row r="1552" spans="1:22" ht="15.75" x14ac:dyDescent="0.25">
      <c r="A1552" s="236"/>
      <c r="B1552" s="237"/>
      <c r="C1552" s="238"/>
      <c r="D1552" s="239"/>
      <c r="E1552" s="240"/>
      <c r="F1552" s="240"/>
      <c r="G1552" s="240"/>
      <c r="H1552" s="241">
        <f t="shared" si="198"/>
        <v>0</v>
      </c>
      <c r="I1552" s="242"/>
      <c r="J1552" s="243"/>
      <c r="K1552" s="243"/>
      <c r="L1552" s="244">
        <v>0.1</v>
      </c>
      <c r="M1552" s="244">
        <f t="shared" si="199"/>
        <v>0</v>
      </c>
      <c r="N1552" s="244"/>
      <c r="O1552" s="244"/>
      <c r="P1552" s="244"/>
      <c r="Q1552" s="245">
        <f t="shared" si="200"/>
        <v>0</v>
      </c>
      <c r="R1552" s="245">
        <f t="shared" si="201"/>
        <v>0</v>
      </c>
      <c r="S1552" s="246">
        <v>0.5</v>
      </c>
      <c r="T1552" s="245">
        <f t="shared" si="202"/>
        <v>0</v>
      </c>
      <c r="U1552" s="245">
        <f t="shared" si="203"/>
        <v>0</v>
      </c>
      <c r="V1552" s="247"/>
    </row>
    <row r="1553" spans="1:22" ht="15.75" x14ac:dyDescent="0.25">
      <c r="A1553" s="236"/>
      <c r="B1553" s="237"/>
      <c r="C1553" s="238"/>
      <c r="D1553" s="239"/>
      <c r="E1553" s="240"/>
      <c r="F1553" s="240"/>
      <c r="G1553" s="240"/>
      <c r="H1553" s="241">
        <f t="shared" si="198"/>
        <v>0</v>
      </c>
      <c r="I1553" s="242"/>
      <c r="J1553" s="243"/>
      <c r="K1553" s="243"/>
      <c r="L1553" s="244">
        <v>0.1</v>
      </c>
      <c r="M1553" s="244">
        <f t="shared" si="199"/>
        <v>0</v>
      </c>
      <c r="N1553" s="244"/>
      <c r="O1553" s="244"/>
      <c r="P1553" s="244"/>
      <c r="Q1553" s="245">
        <f t="shared" si="200"/>
        <v>0</v>
      </c>
      <c r="R1553" s="245">
        <f t="shared" si="201"/>
        <v>0</v>
      </c>
      <c r="S1553" s="246">
        <v>0.5</v>
      </c>
      <c r="T1553" s="245">
        <f t="shared" si="202"/>
        <v>0</v>
      </c>
      <c r="U1553" s="245">
        <f t="shared" si="203"/>
        <v>0</v>
      </c>
      <c r="V1553" s="247"/>
    </row>
    <row r="1554" spans="1:22" ht="15.75" x14ac:dyDescent="0.25">
      <c r="A1554" s="236"/>
      <c r="B1554" s="237"/>
      <c r="C1554" s="238"/>
      <c r="D1554" s="239"/>
      <c r="E1554" s="240"/>
      <c r="F1554" s="240"/>
      <c r="G1554" s="240"/>
      <c r="H1554" s="241">
        <f t="shared" si="198"/>
        <v>0</v>
      </c>
      <c r="I1554" s="242"/>
      <c r="J1554" s="243"/>
      <c r="K1554" s="243"/>
      <c r="L1554" s="244">
        <v>0.1</v>
      </c>
      <c r="M1554" s="244">
        <f t="shared" si="199"/>
        <v>0</v>
      </c>
      <c r="N1554" s="244"/>
      <c r="O1554" s="244"/>
      <c r="P1554" s="244"/>
      <c r="Q1554" s="245">
        <f t="shared" si="200"/>
        <v>0</v>
      </c>
      <c r="R1554" s="245">
        <f t="shared" si="201"/>
        <v>0</v>
      </c>
      <c r="S1554" s="246">
        <v>0.5</v>
      </c>
      <c r="T1554" s="245">
        <f t="shared" si="202"/>
        <v>0</v>
      </c>
      <c r="U1554" s="245">
        <f t="shared" si="203"/>
        <v>0</v>
      </c>
      <c r="V1554" s="247"/>
    </row>
    <row r="1555" spans="1:22" ht="15.75" x14ac:dyDescent="0.25">
      <c r="A1555" s="236"/>
      <c r="B1555" s="237"/>
      <c r="C1555" s="238"/>
      <c r="D1555" s="239"/>
      <c r="E1555" s="240"/>
      <c r="F1555" s="240"/>
      <c r="G1555" s="240"/>
      <c r="H1555" s="241">
        <f t="shared" si="198"/>
        <v>0</v>
      </c>
      <c r="I1555" s="242"/>
      <c r="J1555" s="243"/>
      <c r="K1555" s="243"/>
      <c r="L1555" s="244">
        <v>0.1</v>
      </c>
      <c r="M1555" s="244">
        <f t="shared" si="199"/>
        <v>0</v>
      </c>
      <c r="N1555" s="244"/>
      <c r="O1555" s="244"/>
      <c r="P1555" s="244"/>
      <c r="Q1555" s="245">
        <f t="shared" si="200"/>
        <v>0</v>
      </c>
      <c r="R1555" s="245">
        <f t="shared" si="201"/>
        <v>0</v>
      </c>
      <c r="S1555" s="246">
        <v>0.5</v>
      </c>
      <c r="T1555" s="245">
        <f t="shared" si="202"/>
        <v>0</v>
      </c>
      <c r="U1555" s="245">
        <f t="shared" si="203"/>
        <v>0</v>
      </c>
      <c r="V1555" s="247"/>
    </row>
    <row r="1556" spans="1:22" ht="15.75" x14ac:dyDescent="0.25">
      <c r="A1556" s="236"/>
      <c r="B1556" s="237"/>
      <c r="C1556" s="238"/>
      <c r="D1556" s="239"/>
      <c r="E1556" s="240"/>
      <c r="F1556" s="240"/>
      <c r="G1556" s="240"/>
      <c r="H1556" s="241">
        <f t="shared" si="198"/>
        <v>0</v>
      </c>
      <c r="I1556" s="242"/>
      <c r="J1556" s="243"/>
      <c r="K1556" s="243"/>
      <c r="L1556" s="244">
        <v>0.1</v>
      </c>
      <c r="M1556" s="244">
        <f t="shared" si="199"/>
        <v>0</v>
      </c>
      <c r="N1556" s="244"/>
      <c r="O1556" s="244"/>
      <c r="P1556" s="244"/>
      <c r="Q1556" s="245">
        <f t="shared" si="200"/>
        <v>0</v>
      </c>
      <c r="R1556" s="245">
        <f t="shared" si="201"/>
        <v>0</v>
      </c>
      <c r="S1556" s="246">
        <v>0.5</v>
      </c>
      <c r="T1556" s="245">
        <f t="shared" si="202"/>
        <v>0</v>
      </c>
      <c r="U1556" s="245">
        <f t="shared" si="203"/>
        <v>0</v>
      </c>
      <c r="V1556" s="247"/>
    </row>
    <row r="1557" spans="1:22" ht="15.75" x14ac:dyDescent="0.25">
      <c r="A1557" s="236"/>
      <c r="B1557" s="237"/>
      <c r="C1557" s="238"/>
      <c r="D1557" s="239"/>
      <c r="E1557" s="240"/>
      <c r="F1557" s="240"/>
      <c r="G1557" s="240"/>
      <c r="H1557" s="241">
        <f t="shared" si="198"/>
        <v>0</v>
      </c>
      <c r="I1557" s="242"/>
      <c r="J1557" s="243"/>
      <c r="K1557" s="243"/>
      <c r="L1557" s="244">
        <v>0.1</v>
      </c>
      <c r="M1557" s="244">
        <f t="shared" si="199"/>
        <v>0</v>
      </c>
      <c r="N1557" s="244"/>
      <c r="O1557" s="244"/>
      <c r="P1557" s="244"/>
      <c r="Q1557" s="245">
        <f t="shared" si="200"/>
        <v>0</v>
      </c>
      <c r="R1557" s="245">
        <f t="shared" si="201"/>
        <v>0</v>
      </c>
      <c r="S1557" s="246">
        <v>0.5</v>
      </c>
      <c r="T1557" s="245">
        <f t="shared" si="202"/>
        <v>0</v>
      </c>
      <c r="U1557" s="245">
        <f t="shared" si="203"/>
        <v>0</v>
      </c>
      <c r="V1557" s="247"/>
    </row>
    <row r="1558" spans="1:22" ht="15.75" x14ac:dyDescent="0.25">
      <c r="A1558" s="236"/>
      <c r="B1558" s="237"/>
      <c r="C1558" s="238"/>
      <c r="D1558" s="239"/>
      <c r="E1558" s="240"/>
      <c r="F1558" s="240"/>
      <c r="G1558" s="240"/>
      <c r="H1558" s="241">
        <f t="shared" si="198"/>
        <v>0</v>
      </c>
      <c r="I1558" s="242"/>
      <c r="J1558" s="243"/>
      <c r="K1558" s="243"/>
      <c r="L1558" s="244">
        <v>0.1</v>
      </c>
      <c r="M1558" s="244">
        <f t="shared" si="199"/>
        <v>0</v>
      </c>
      <c r="N1558" s="244"/>
      <c r="O1558" s="244"/>
      <c r="P1558" s="244"/>
      <c r="Q1558" s="245">
        <f t="shared" si="200"/>
        <v>0</v>
      </c>
      <c r="R1558" s="245">
        <f t="shared" si="201"/>
        <v>0</v>
      </c>
      <c r="S1558" s="246">
        <v>0.5</v>
      </c>
      <c r="T1558" s="245">
        <f t="shared" si="202"/>
        <v>0</v>
      </c>
      <c r="U1558" s="245">
        <f t="shared" si="203"/>
        <v>0</v>
      </c>
      <c r="V1558" s="247"/>
    </row>
    <row r="1559" spans="1:22" ht="15.75" x14ac:dyDescent="0.25">
      <c r="A1559" s="236"/>
      <c r="B1559" s="237"/>
      <c r="C1559" s="238"/>
      <c r="D1559" s="239"/>
      <c r="E1559" s="240"/>
      <c r="F1559" s="240"/>
      <c r="G1559" s="240"/>
      <c r="H1559" s="241">
        <f t="shared" si="198"/>
        <v>0</v>
      </c>
      <c r="I1559" s="242"/>
      <c r="J1559" s="243"/>
      <c r="K1559" s="243"/>
      <c r="L1559" s="244">
        <v>0.1</v>
      </c>
      <c r="M1559" s="244">
        <f t="shared" si="199"/>
        <v>0</v>
      </c>
      <c r="N1559" s="244"/>
      <c r="O1559" s="244"/>
      <c r="P1559" s="244"/>
      <c r="Q1559" s="245">
        <f t="shared" si="200"/>
        <v>0</v>
      </c>
      <c r="R1559" s="245">
        <f t="shared" si="201"/>
        <v>0</v>
      </c>
      <c r="S1559" s="246">
        <v>0.5</v>
      </c>
      <c r="T1559" s="245">
        <f t="shared" si="202"/>
        <v>0</v>
      </c>
      <c r="U1559" s="245">
        <f t="shared" si="203"/>
        <v>0</v>
      </c>
      <c r="V1559" s="247"/>
    </row>
    <row r="1560" spans="1:22" ht="15.75" x14ac:dyDescent="0.25">
      <c r="A1560" s="236"/>
      <c r="B1560" s="237"/>
      <c r="C1560" s="238"/>
      <c r="D1560" s="239"/>
      <c r="E1560" s="240"/>
      <c r="F1560" s="240"/>
      <c r="G1560" s="240"/>
      <c r="H1560" s="241">
        <f t="shared" si="198"/>
        <v>0</v>
      </c>
      <c r="I1560" s="242"/>
      <c r="J1560" s="243"/>
      <c r="K1560" s="243"/>
      <c r="L1560" s="244">
        <v>0.1</v>
      </c>
      <c r="M1560" s="244">
        <f t="shared" si="199"/>
        <v>0</v>
      </c>
      <c r="N1560" s="244"/>
      <c r="O1560" s="244"/>
      <c r="P1560" s="244"/>
      <c r="Q1560" s="245">
        <f t="shared" si="200"/>
        <v>0</v>
      </c>
      <c r="R1560" s="245">
        <f t="shared" si="201"/>
        <v>0</v>
      </c>
      <c r="S1560" s="246">
        <v>0.5</v>
      </c>
      <c r="T1560" s="245">
        <f t="shared" si="202"/>
        <v>0</v>
      </c>
      <c r="U1560" s="245">
        <f t="shared" si="203"/>
        <v>0</v>
      </c>
      <c r="V1560" s="247"/>
    </row>
    <row r="1561" spans="1:22" ht="15.75" x14ac:dyDescent="0.25">
      <c r="A1561" s="236"/>
      <c r="B1561" s="237"/>
      <c r="C1561" s="238"/>
      <c r="D1561" s="239"/>
      <c r="E1561" s="240"/>
      <c r="F1561" s="240"/>
      <c r="G1561" s="240"/>
      <c r="H1561" s="241">
        <f t="shared" si="198"/>
        <v>0</v>
      </c>
      <c r="I1561" s="242"/>
      <c r="J1561" s="243"/>
      <c r="K1561" s="243"/>
      <c r="L1561" s="244">
        <v>0.1</v>
      </c>
      <c r="M1561" s="244">
        <f t="shared" si="199"/>
        <v>0</v>
      </c>
      <c r="N1561" s="244"/>
      <c r="O1561" s="244"/>
      <c r="P1561" s="244"/>
      <c r="Q1561" s="245">
        <f t="shared" si="200"/>
        <v>0</v>
      </c>
      <c r="R1561" s="245">
        <f t="shared" si="201"/>
        <v>0</v>
      </c>
      <c r="S1561" s="246">
        <v>0.5</v>
      </c>
      <c r="T1561" s="245">
        <f t="shared" si="202"/>
        <v>0</v>
      </c>
      <c r="U1561" s="245">
        <f t="shared" si="203"/>
        <v>0</v>
      </c>
      <c r="V1561" s="247"/>
    </row>
    <row r="1562" spans="1:22" ht="15.75" x14ac:dyDescent="0.25">
      <c r="A1562" s="236"/>
      <c r="B1562" s="237"/>
      <c r="C1562" s="238"/>
      <c r="D1562" s="239"/>
      <c r="E1562" s="240"/>
      <c r="F1562" s="240"/>
      <c r="G1562" s="240"/>
      <c r="H1562" s="241">
        <f t="shared" si="198"/>
        <v>0</v>
      </c>
      <c r="I1562" s="242"/>
      <c r="J1562" s="243"/>
      <c r="K1562" s="243"/>
      <c r="L1562" s="244">
        <v>0.1</v>
      </c>
      <c r="M1562" s="244">
        <f t="shared" si="199"/>
        <v>0</v>
      </c>
      <c r="N1562" s="244"/>
      <c r="O1562" s="244"/>
      <c r="P1562" s="244"/>
      <c r="Q1562" s="245">
        <f t="shared" si="200"/>
        <v>0</v>
      </c>
      <c r="R1562" s="245">
        <f t="shared" si="201"/>
        <v>0</v>
      </c>
      <c r="S1562" s="246">
        <v>0.5</v>
      </c>
      <c r="T1562" s="245">
        <f t="shared" si="202"/>
        <v>0</v>
      </c>
      <c r="U1562" s="245">
        <f t="shared" si="203"/>
        <v>0</v>
      </c>
      <c r="V1562" s="247"/>
    </row>
    <row r="1563" spans="1:22" ht="15.75" x14ac:dyDescent="0.25">
      <c r="A1563" s="236"/>
      <c r="B1563" s="237"/>
      <c r="C1563" s="238"/>
      <c r="D1563" s="239"/>
      <c r="E1563" s="240"/>
      <c r="F1563" s="240"/>
      <c r="G1563" s="240"/>
      <c r="H1563" s="241">
        <f t="shared" si="198"/>
        <v>0</v>
      </c>
      <c r="I1563" s="242"/>
      <c r="J1563" s="243"/>
      <c r="K1563" s="243"/>
      <c r="L1563" s="244">
        <v>0.1</v>
      </c>
      <c r="M1563" s="244">
        <f t="shared" si="199"/>
        <v>0</v>
      </c>
      <c r="N1563" s="244"/>
      <c r="O1563" s="244"/>
      <c r="P1563" s="244"/>
      <c r="Q1563" s="245">
        <f t="shared" si="200"/>
        <v>0</v>
      </c>
      <c r="R1563" s="245">
        <f t="shared" si="201"/>
        <v>0</v>
      </c>
      <c r="S1563" s="246">
        <v>0.5</v>
      </c>
      <c r="T1563" s="245">
        <f t="shared" si="202"/>
        <v>0</v>
      </c>
      <c r="U1563" s="245">
        <f t="shared" si="203"/>
        <v>0</v>
      </c>
      <c r="V1563" s="247"/>
    </row>
    <row r="1564" spans="1:22" ht="15.75" x14ac:dyDescent="0.25">
      <c r="A1564" s="236"/>
      <c r="B1564" s="237"/>
      <c r="C1564" s="238"/>
      <c r="D1564" s="239"/>
      <c r="E1564" s="240"/>
      <c r="F1564" s="240"/>
      <c r="G1564" s="240"/>
      <c r="H1564" s="241">
        <f t="shared" si="198"/>
        <v>0</v>
      </c>
      <c r="I1564" s="242"/>
      <c r="J1564" s="243"/>
      <c r="K1564" s="243"/>
      <c r="L1564" s="244">
        <v>0.1</v>
      </c>
      <c r="M1564" s="244">
        <f t="shared" si="199"/>
        <v>0</v>
      </c>
      <c r="N1564" s="244"/>
      <c r="O1564" s="244"/>
      <c r="P1564" s="244"/>
      <c r="Q1564" s="245">
        <f t="shared" si="200"/>
        <v>0</v>
      </c>
      <c r="R1564" s="245">
        <f t="shared" si="201"/>
        <v>0</v>
      </c>
      <c r="S1564" s="246">
        <v>0.5</v>
      </c>
      <c r="T1564" s="245">
        <f t="shared" si="202"/>
        <v>0</v>
      </c>
      <c r="U1564" s="245">
        <f t="shared" si="203"/>
        <v>0</v>
      </c>
      <c r="V1564" s="247"/>
    </row>
    <row r="1565" spans="1:22" ht="15.75" x14ac:dyDescent="0.25">
      <c r="A1565" s="236"/>
      <c r="B1565" s="237"/>
      <c r="C1565" s="238"/>
      <c r="D1565" s="239"/>
      <c r="E1565" s="240"/>
      <c r="F1565" s="240"/>
      <c r="G1565" s="240"/>
      <c r="H1565" s="241">
        <f t="shared" si="198"/>
        <v>0</v>
      </c>
      <c r="I1565" s="242"/>
      <c r="J1565" s="243"/>
      <c r="K1565" s="243"/>
      <c r="L1565" s="244">
        <v>0.1</v>
      </c>
      <c r="M1565" s="244">
        <f t="shared" si="199"/>
        <v>0</v>
      </c>
      <c r="N1565" s="244"/>
      <c r="O1565" s="244"/>
      <c r="P1565" s="244"/>
      <c r="Q1565" s="245">
        <f t="shared" si="200"/>
        <v>0</v>
      </c>
      <c r="R1565" s="245">
        <f t="shared" si="201"/>
        <v>0</v>
      </c>
      <c r="S1565" s="246">
        <v>0.5</v>
      </c>
      <c r="T1565" s="245">
        <f t="shared" si="202"/>
        <v>0</v>
      </c>
      <c r="U1565" s="245">
        <f t="shared" si="203"/>
        <v>0</v>
      </c>
      <c r="V1565" s="247"/>
    </row>
    <row r="1566" spans="1:22" ht="15.75" x14ac:dyDescent="0.25">
      <c r="A1566" s="236"/>
      <c r="B1566" s="237"/>
      <c r="C1566" s="238"/>
      <c r="D1566" s="239"/>
      <c r="E1566" s="240"/>
      <c r="F1566" s="240"/>
      <c r="G1566" s="240"/>
      <c r="H1566" s="241">
        <f t="shared" si="198"/>
        <v>0</v>
      </c>
      <c r="I1566" s="242"/>
      <c r="J1566" s="243"/>
      <c r="K1566" s="243"/>
      <c r="L1566" s="244">
        <v>0.1</v>
      </c>
      <c r="M1566" s="244">
        <f t="shared" si="199"/>
        <v>0</v>
      </c>
      <c r="N1566" s="244"/>
      <c r="O1566" s="244"/>
      <c r="P1566" s="244"/>
      <c r="Q1566" s="245">
        <f t="shared" si="200"/>
        <v>0</v>
      </c>
      <c r="R1566" s="245">
        <f t="shared" si="201"/>
        <v>0</v>
      </c>
      <c r="S1566" s="246">
        <v>0.5</v>
      </c>
      <c r="T1566" s="245">
        <f t="shared" si="202"/>
        <v>0</v>
      </c>
      <c r="U1566" s="245">
        <f t="shared" si="203"/>
        <v>0</v>
      </c>
      <c r="V1566" s="247"/>
    </row>
    <row r="1567" spans="1:22" ht="15.75" x14ac:dyDescent="0.25">
      <c r="A1567" s="236"/>
      <c r="B1567" s="237"/>
      <c r="C1567" s="238"/>
      <c r="D1567" s="239"/>
      <c r="E1567" s="240"/>
      <c r="F1567" s="240"/>
      <c r="G1567" s="240"/>
      <c r="H1567" s="241">
        <f t="shared" si="198"/>
        <v>0</v>
      </c>
      <c r="I1567" s="242"/>
      <c r="J1567" s="243"/>
      <c r="K1567" s="243"/>
      <c r="L1567" s="244">
        <v>0.1</v>
      </c>
      <c r="M1567" s="244">
        <f t="shared" si="199"/>
        <v>0</v>
      </c>
      <c r="N1567" s="244"/>
      <c r="O1567" s="244"/>
      <c r="P1567" s="244"/>
      <c r="Q1567" s="245">
        <f t="shared" si="200"/>
        <v>0</v>
      </c>
      <c r="R1567" s="245">
        <f t="shared" si="201"/>
        <v>0</v>
      </c>
      <c r="S1567" s="246">
        <v>0.5</v>
      </c>
      <c r="T1567" s="245">
        <f t="shared" si="202"/>
        <v>0</v>
      </c>
      <c r="U1567" s="245">
        <f t="shared" si="203"/>
        <v>0</v>
      </c>
      <c r="V1567" s="247"/>
    </row>
    <row r="1568" spans="1:22" ht="15.75" x14ac:dyDescent="0.25">
      <c r="A1568" s="236"/>
      <c r="B1568" s="237"/>
      <c r="C1568" s="238"/>
      <c r="D1568" s="239"/>
      <c r="E1568" s="240"/>
      <c r="F1568" s="240"/>
      <c r="G1568" s="240"/>
      <c r="H1568" s="241">
        <f t="shared" si="198"/>
        <v>0</v>
      </c>
      <c r="I1568" s="242"/>
      <c r="J1568" s="243"/>
      <c r="K1568" s="243"/>
      <c r="L1568" s="244">
        <v>0.1</v>
      </c>
      <c r="M1568" s="244">
        <f t="shared" si="199"/>
        <v>0</v>
      </c>
      <c r="N1568" s="244"/>
      <c r="O1568" s="244"/>
      <c r="P1568" s="244"/>
      <c r="Q1568" s="245">
        <f t="shared" si="200"/>
        <v>0</v>
      </c>
      <c r="R1568" s="245">
        <f t="shared" si="201"/>
        <v>0</v>
      </c>
      <c r="S1568" s="246">
        <v>0.5</v>
      </c>
      <c r="T1568" s="245">
        <f t="shared" si="202"/>
        <v>0</v>
      </c>
      <c r="U1568" s="245">
        <f t="shared" si="203"/>
        <v>0</v>
      </c>
      <c r="V1568" s="247"/>
    </row>
    <row r="1569" spans="1:22" ht="15.75" x14ac:dyDescent="0.25">
      <c r="A1569" s="236"/>
      <c r="B1569" s="237"/>
      <c r="C1569" s="238"/>
      <c r="D1569" s="239"/>
      <c r="E1569" s="240"/>
      <c r="F1569" s="240"/>
      <c r="G1569" s="240"/>
      <c r="H1569" s="241">
        <f t="shared" si="198"/>
        <v>0</v>
      </c>
      <c r="I1569" s="242"/>
      <c r="J1569" s="243"/>
      <c r="K1569" s="243"/>
      <c r="L1569" s="244">
        <v>0.1</v>
      </c>
      <c r="M1569" s="244">
        <f t="shared" si="199"/>
        <v>0</v>
      </c>
      <c r="N1569" s="244"/>
      <c r="O1569" s="244"/>
      <c r="P1569" s="244"/>
      <c r="Q1569" s="245">
        <f t="shared" si="200"/>
        <v>0</v>
      </c>
      <c r="R1569" s="245">
        <f t="shared" si="201"/>
        <v>0</v>
      </c>
      <c r="S1569" s="246">
        <v>0.5</v>
      </c>
      <c r="T1569" s="245">
        <f t="shared" si="202"/>
        <v>0</v>
      </c>
      <c r="U1569" s="245">
        <f t="shared" si="203"/>
        <v>0</v>
      </c>
      <c r="V1569" s="247"/>
    </row>
    <row r="1570" spans="1:22" ht="15.75" x14ac:dyDescent="0.25">
      <c r="A1570" s="236"/>
      <c r="B1570" s="237"/>
      <c r="C1570" s="238"/>
      <c r="D1570" s="239"/>
      <c r="E1570" s="240"/>
      <c r="F1570" s="240"/>
      <c r="G1570" s="240"/>
      <c r="H1570" s="241">
        <f t="shared" si="198"/>
        <v>0</v>
      </c>
      <c r="I1570" s="242"/>
      <c r="J1570" s="243"/>
      <c r="K1570" s="243"/>
      <c r="L1570" s="244">
        <v>0.1</v>
      </c>
      <c r="M1570" s="244">
        <f t="shared" si="199"/>
        <v>0</v>
      </c>
      <c r="N1570" s="244"/>
      <c r="O1570" s="244"/>
      <c r="P1570" s="244"/>
      <c r="Q1570" s="245">
        <f t="shared" si="200"/>
        <v>0</v>
      </c>
      <c r="R1570" s="245">
        <f t="shared" si="201"/>
        <v>0</v>
      </c>
      <c r="S1570" s="246">
        <v>0.5</v>
      </c>
      <c r="T1570" s="245">
        <f t="shared" si="202"/>
        <v>0</v>
      </c>
      <c r="U1570" s="245">
        <f t="shared" si="203"/>
        <v>0</v>
      </c>
      <c r="V1570" s="247"/>
    </row>
    <row r="1571" spans="1:22" ht="15.75" x14ac:dyDescent="0.25">
      <c r="A1571" s="236"/>
      <c r="B1571" s="237"/>
      <c r="C1571" s="238"/>
      <c r="D1571" s="239"/>
      <c r="E1571" s="240"/>
      <c r="F1571" s="240"/>
      <c r="G1571" s="240"/>
      <c r="H1571" s="241">
        <f t="shared" si="198"/>
        <v>0</v>
      </c>
      <c r="I1571" s="242"/>
      <c r="J1571" s="243"/>
      <c r="K1571" s="243"/>
      <c r="L1571" s="244">
        <v>0.1</v>
      </c>
      <c r="M1571" s="244">
        <f t="shared" si="199"/>
        <v>0</v>
      </c>
      <c r="N1571" s="244"/>
      <c r="O1571" s="244"/>
      <c r="P1571" s="244"/>
      <c r="Q1571" s="245">
        <f t="shared" si="200"/>
        <v>0</v>
      </c>
      <c r="R1571" s="245">
        <f t="shared" si="201"/>
        <v>0</v>
      </c>
      <c r="S1571" s="246">
        <v>0.5</v>
      </c>
      <c r="T1571" s="245">
        <f t="shared" si="202"/>
        <v>0</v>
      </c>
      <c r="U1571" s="245">
        <f t="shared" si="203"/>
        <v>0</v>
      </c>
      <c r="V1571" s="247"/>
    </row>
    <row r="1572" spans="1:22" ht="15.75" x14ac:dyDescent="0.25">
      <c r="A1572" s="236"/>
      <c r="B1572" s="237"/>
      <c r="C1572" s="238"/>
      <c r="D1572" s="239"/>
      <c r="E1572" s="240"/>
      <c r="F1572" s="240"/>
      <c r="G1572" s="240"/>
      <c r="H1572" s="241">
        <f t="shared" si="198"/>
        <v>0</v>
      </c>
      <c r="I1572" s="242"/>
      <c r="J1572" s="243"/>
      <c r="K1572" s="243"/>
      <c r="L1572" s="244">
        <v>0.1</v>
      </c>
      <c r="M1572" s="244">
        <f t="shared" si="199"/>
        <v>0</v>
      </c>
      <c r="N1572" s="244"/>
      <c r="O1572" s="244"/>
      <c r="P1572" s="244"/>
      <c r="Q1572" s="245">
        <f t="shared" si="200"/>
        <v>0</v>
      </c>
      <c r="R1572" s="245">
        <f t="shared" si="201"/>
        <v>0</v>
      </c>
      <c r="S1572" s="246">
        <v>0.5</v>
      </c>
      <c r="T1572" s="245">
        <f t="shared" si="202"/>
        <v>0</v>
      </c>
      <c r="U1572" s="245">
        <f t="shared" si="203"/>
        <v>0</v>
      </c>
      <c r="V1572" s="247"/>
    </row>
    <row r="1573" spans="1:22" ht="15.75" x14ac:dyDescent="0.25">
      <c r="A1573" s="236"/>
      <c r="B1573" s="237"/>
      <c r="C1573" s="238"/>
      <c r="D1573" s="239"/>
      <c r="E1573" s="240"/>
      <c r="F1573" s="240"/>
      <c r="G1573" s="240"/>
      <c r="H1573" s="241">
        <f t="shared" si="198"/>
        <v>0</v>
      </c>
      <c r="I1573" s="242"/>
      <c r="J1573" s="243"/>
      <c r="K1573" s="243"/>
      <c r="L1573" s="244">
        <v>0.1</v>
      </c>
      <c r="M1573" s="244">
        <f t="shared" si="199"/>
        <v>0</v>
      </c>
      <c r="N1573" s="244"/>
      <c r="O1573" s="244"/>
      <c r="P1573" s="244"/>
      <c r="Q1573" s="245">
        <f t="shared" si="200"/>
        <v>0</v>
      </c>
      <c r="R1573" s="245">
        <f t="shared" si="201"/>
        <v>0</v>
      </c>
      <c r="S1573" s="246">
        <v>0.5</v>
      </c>
      <c r="T1573" s="245">
        <f t="shared" si="202"/>
        <v>0</v>
      </c>
      <c r="U1573" s="245">
        <f t="shared" si="203"/>
        <v>0</v>
      </c>
      <c r="V1573" s="247"/>
    </row>
    <row r="1574" spans="1:22" ht="15.75" x14ac:dyDescent="0.25">
      <c r="A1574" s="236"/>
      <c r="B1574" s="237"/>
      <c r="C1574" s="238"/>
      <c r="D1574" s="239"/>
      <c r="E1574" s="240"/>
      <c r="F1574" s="240"/>
      <c r="G1574" s="240"/>
      <c r="H1574" s="241">
        <f t="shared" si="198"/>
        <v>0</v>
      </c>
      <c r="I1574" s="242"/>
      <c r="J1574" s="243"/>
      <c r="K1574" s="243"/>
      <c r="L1574" s="244">
        <v>0.1</v>
      </c>
      <c r="M1574" s="244">
        <f t="shared" si="199"/>
        <v>0</v>
      </c>
      <c r="N1574" s="244"/>
      <c r="O1574" s="244"/>
      <c r="P1574" s="244"/>
      <c r="Q1574" s="245">
        <f t="shared" si="200"/>
        <v>0</v>
      </c>
      <c r="R1574" s="245">
        <f t="shared" si="201"/>
        <v>0</v>
      </c>
      <c r="S1574" s="246">
        <v>0.5</v>
      </c>
      <c r="T1574" s="245">
        <f t="shared" si="202"/>
        <v>0</v>
      </c>
      <c r="U1574" s="245">
        <f t="shared" si="203"/>
        <v>0</v>
      </c>
      <c r="V1574" s="247"/>
    </row>
    <row r="1575" spans="1:22" ht="15.75" x14ac:dyDescent="0.25">
      <c r="A1575" s="236"/>
      <c r="B1575" s="237"/>
      <c r="C1575" s="238"/>
      <c r="D1575" s="239"/>
      <c r="E1575" s="240"/>
      <c r="F1575" s="240"/>
      <c r="G1575" s="240"/>
      <c r="H1575" s="241">
        <f t="shared" si="198"/>
        <v>0</v>
      </c>
      <c r="I1575" s="242"/>
      <c r="J1575" s="243"/>
      <c r="K1575" s="243"/>
      <c r="L1575" s="244">
        <v>0.1</v>
      </c>
      <c r="M1575" s="244">
        <f t="shared" si="199"/>
        <v>0</v>
      </c>
      <c r="N1575" s="244"/>
      <c r="O1575" s="244"/>
      <c r="P1575" s="244"/>
      <c r="Q1575" s="245">
        <f t="shared" si="200"/>
        <v>0</v>
      </c>
      <c r="R1575" s="245">
        <f t="shared" si="201"/>
        <v>0</v>
      </c>
      <c r="S1575" s="246">
        <v>0.5</v>
      </c>
      <c r="T1575" s="245">
        <f t="shared" si="202"/>
        <v>0</v>
      </c>
      <c r="U1575" s="245">
        <f t="shared" si="203"/>
        <v>0</v>
      </c>
      <c r="V1575" s="247"/>
    </row>
    <row r="1576" spans="1:22" ht="15.75" x14ac:dyDescent="0.25">
      <c r="A1576" s="236"/>
      <c r="B1576" s="237"/>
      <c r="C1576" s="238"/>
      <c r="D1576" s="239"/>
      <c r="E1576" s="240"/>
      <c r="F1576" s="240"/>
      <c r="G1576" s="240"/>
      <c r="H1576" s="241">
        <f t="shared" si="198"/>
        <v>0</v>
      </c>
      <c r="I1576" s="242"/>
      <c r="J1576" s="243"/>
      <c r="K1576" s="243"/>
      <c r="L1576" s="244">
        <v>0.1</v>
      </c>
      <c r="M1576" s="244">
        <f t="shared" si="199"/>
        <v>0</v>
      </c>
      <c r="N1576" s="244"/>
      <c r="O1576" s="244"/>
      <c r="P1576" s="244"/>
      <c r="Q1576" s="245">
        <f t="shared" si="200"/>
        <v>0</v>
      </c>
      <c r="R1576" s="245">
        <f t="shared" si="201"/>
        <v>0</v>
      </c>
      <c r="S1576" s="246">
        <v>0.5</v>
      </c>
      <c r="T1576" s="245">
        <f t="shared" si="202"/>
        <v>0</v>
      </c>
      <c r="U1576" s="245">
        <f t="shared" si="203"/>
        <v>0</v>
      </c>
      <c r="V1576" s="247"/>
    </row>
    <row r="1577" spans="1:22" ht="15.75" x14ac:dyDescent="0.25">
      <c r="A1577" s="236"/>
      <c r="B1577" s="237"/>
      <c r="C1577" s="238"/>
      <c r="D1577" s="239"/>
      <c r="E1577" s="240"/>
      <c r="F1577" s="240"/>
      <c r="G1577" s="240"/>
      <c r="H1577" s="241">
        <f t="shared" si="198"/>
        <v>0</v>
      </c>
      <c r="I1577" s="242"/>
      <c r="J1577" s="243"/>
      <c r="K1577" s="243"/>
      <c r="L1577" s="244">
        <v>0.1</v>
      </c>
      <c r="M1577" s="244">
        <f t="shared" si="199"/>
        <v>0</v>
      </c>
      <c r="N1577" s="244"/>
      <c r="O1577" s="244"/>
      <c r="P1577" s="244"/>
      <c r="Q1577" s="245">
        <f t="shared" si="200"/>
        <v>0</v>
      </c>
      <c r="R1577" s="245">
        <f t="shared" si="201"/>
        <v>0</v>
      </c>
      <c r="S1577" s="246">
        <v>0.5</v>
      </c>
      <c r="T1577" s="245">
        <f t="shared" si="202"/>
        <v>0</v>
      </c>
      <c r="U1577" s="245">
        <f t="shared" si="203"/>
        <v>0</v>
      </c>
      <c r="V1577" s="247"/>
    </row>
    <row r="1578" spans="1:22" ht="15.75" x14ac:dyDescent="0.25">
      <c r="A1578" s="236"/>
      <c r="B1578" s="237"/>
      <c r="C1578" s="238"/>
      <c r="D1578" s="239"/>
      <c r="E1578" s="240"/>
      <c r="F1578" s="240"/>
      <c r="G1578" s="240"/>
      <c r="H1578" s="241">
        <f t="shared" si="198"/>
        <v>0</v>
      </c>
      <c r="I1578" s="242"/>
      <c r="J1578" s="243"/>
      <c r="K1578" s="243"/>
      <c r="L1578" s="244">
        <v>0.1</v>
      </c>
      <c r="M1578" s="244">
        <f t="shared" si="199"/>
        <v>0</v>
      </c>
      <c r="N1578" s="244"/>
      <c r="O1578" s="244"/>
      <c r="P1578" s="244"/>
      <c r="Q1578" s="245">
        <f t="shared" si="200"/>
        <v>0</v>
      </c>
      <c r="R1578" s="245">
        <f t="shared" si="201"/>
        <v>0</v>
      </c>
      <c r="S1578" s="246">
        <v>0.5</v>
      </c>
      <c r="T1578" s="245">
        <f t="shared" si="202"/>
        <v>0</v>
      </c>
      <c r="U1578" s="245">
        <f t="shared" si="203"/>
        <v>0</v>
      </c>
      <c r="V1578" s="247"/>
    </row>
    <row r="1579" spans="1:22" ht="15.75" x14ac:dyDescent="0.25">
      <c r="A1579" s="236"/>
      <c r="B1579" s="237"/>
      <c r="C1579" s="238"/>
      <c r="D1579" s="239"/>
      <c r="E1579" s="240"/>
      <c r="F1579" s="240"/>
      <c r="G1579" s="240"/>
      <c r="H1579" s="241">
        <f t="shared" si="198"/>
        <v>0</v>
      </c>
      <c r="I1579" s="242"/>
      <c r="J1579" s="243"/>
      <c r="K1579" s="243"/>
      <c r="L1579" s="244">
        <v>0.1</v>
      </c>
      <c r="M1579" s="244">
        <f t="shared" si="199"/>
        <v>0</v>
      </c>
      <c r="N1579" s="244"/>
      <c r="O1579" s="244"/>
      <c r="P1579" s="244"/>
      <c r="Q1579" s="245">
        <f t="shared" si="200"/>
        <v>0</v>
      </c>
      <c r="R1579" s="245">
        <f t="shared" si="201"/>
        <v>0</v>
      </c>
      <c r="S1579" s="246">
        <v>0.5</v>
      </c>
      <c r="T1579" s="245">
        <f t="shared" si="202"/>
        <v>0</v>
      </c>
      <c r="U1579" s="245">
        <f t="shared" si="203"/>
        <v>0</v>
      </c>
      <c r="V1579" s="247"/>
    </row>
    <row r="1580" spans="1:22" ht="15.75" x14ac:dyDescent="0.25">
      <c r="A1580" s="236"/>
      <c r="B1580" s="237"/>
      <c r="C1580" s="238"/>
      <c r="D1580" s="239"/>
      <c r="E1580" s="240"/>
      <c r="F1580" s="240"/>
      <c r="G1580" s="240"/>
      <c r="H1580" s="241">
        <f t="shared" si="198"/>
        <v>0</v>
      </c>
      <c r="I1580" s="242"/>
      <c r="J1580" s="243"/>
      <c r="K1580" s="243"/>
      <c r="L1580" s="244">
        <v>0.1</v>
      </c>
      <c r="M1580" s="244">
        <f t="shared" si="199"/>
        <v>0</v>
      </c>
      <c r="N1580" s="244"/>
      <c r="O1580" s="244"/>
      <c r="P1580" s="244"/>
      <c r="Q1580" s="245">
        <f t="shared" si="200"/>
        <v>0</v>
      </c>
      <c r="R1580" s="245">
        <f t="shared" si="201"/>
        <v>0</v>
      </c>
      <c r="S1580" s="246">
        <v>0.5</v>
      </c>
      <c r="T1580" s="245">
        <f t="shared" si="202"/>
        <v>0</v>
      </c>
      <c r="U1580" s="245">
        <f t="shared" si="203"/>
        <v>0</v>
      </c>
      <c r="V1580" s="247"/>
    </row>
    <row r="1581" spans="1:22" ht="15.75" x14ac:dyDescent="0.25">
      <c r="A1581" s="236"/>
      <c r="B1581" s="237"/>
      <c r="C1581" s="238"/>
      <c r="D1581" s="239"/>
      <c r="E1581" s="240"/>
      <c r="F1581" s="240"/>
      <c r="G1581" s="240"/>
      <c r="H1581" s="241">
        <f t="shared" si="198"/>
        <v>0</v>
      </c>
      <c r="I1581" s="242"/>
      <c r="J1581" s="243"/>
      <c r="K1581" s="243"/>
      <c r="L1581" s="244">
        <v>0.1</v>
      </c>
      <c r="M1581" s="244">
        <f t="shared" si="199"/>
        <v>0</v>
      </c>
      <c r="N1581" s="244"/>
      <c r="O1581" s="244"/>
      <c r="P1581" s="244"/>
      <c r="Q1581" s="245">
        <f t="shared" si="200"/>
        <v>0</v>
      </c>
      <c r="R1581" s="245">
        <f t="shared" si="201"/>
        <v>0</v>
      </c>
      <c r="S1581" s="246">
        <v>0.5</v>
      </c>
      <c r="T1581" s="245">
        <f t="shared" si="202"/>
        <v>0</v>
      </c>
      <c r="U1581" s="245">
        <f t="shared" si="203"/>
        <v>0</v>
      </c>
      <c r="V1581" s="247"/>
    </row>
    <row r="1582" spans="1:22" ht="15.75" x14ac:dyDescent="0.25">
      <c r="A1582" s="236"/>
      <c r="B1582" s="237"/>
      <c r="C1582" s="238"/>
      <c r="D1582" s="239"/>
      <c r="E1582" s="240"/>
      <c r="F1582" s="240"/>
      <c r="G1582" s="240"/>
      <c r="H1582" s="241">
        <f t="shared" si="198"/>
        <v>0</v>
      </c>
      <c r="I1582" s="242"/>
      <c r="J1582" s="243"/>
      <c r="K1582" s="243"/>
      <c r="L1582" s="244">
        <v>0.1</v>
      </c>
      <c r="M1582" s="244">
        <f t="shared" si="199"/>
        <v>0</v>
      </c>
      <c r="N1582" s="244"/>
      <c r="O1582" s="244"/>
      <c r="P1582" s="244"/>
      <c r="Q1582" s="245">
        <f t="shared" si="200"/>
        <v>0</v>
      </c>
      <c r="R1582" s="245">
        <f t="shared" si="201"/>
        <v>0</v>
      </c>
      <c r="S1582" s="246">
        <v>0.5</v>
      </c>
      <c r="T1582" s="245">
        <f t="shared" si="202"/>
        <v>0</v>
      </c>
      <c r="U1582" s="245">
        <f t="shared" si="203"/>
        <v>0</v>
      </c>
      <c r="V1582" s="247"/>
    </row>
    <row r="1583" spans="1:22" ht="15.75" x14ac:dyDescent="0.25">
      <c r="A1583" s="236"/>
      <c r="B1583" s="237"/>
      <c r="C1583" s="238"/>
      <c r="D1583" s="239"/>
      <c r="E1583" s="240"/>
      <c r="F1583" s="240"/>
      <c r="G1583" s="240"/>
      <c r="H1583" s="241">
        <f t="shared" si="198"/>
        <v>0</v>
      </c>
      <c r="I1583" s="242"/>
      <c r="J1583" s="243"/>
      <c r="K1583" s="243"/>
      <c r="L1583" s="244">
        <v>0.1</v>
      </c>
      <c r="M1583" s="244">
        <f t="shared" si="199"/>
        <v>0</v>
      </c>
      <c r="N1583" s="244"/>
      <c r="O1583" s="244"/>
      <c r="P1583" s="244"/>
      <c r="Q1583" s="245">
        <f t="shared" si="200"/>
        <v>0</v>
      </c>
      <c r="R1583" s="245">
        <f t="shared" si="201"/>
        <v>0</v>
      </c>
      <c r="S1583" s="246">
        <v>0.5</v>
      </c>
      <c r="T1583" s="245">
        <f t="shared" si="202"/>
        <v>0</v>
      </c>
      <c r="U1583" s="245">
        <f t="shared" si="203"/>
        <v>0</v>
      </c>
      <c r="V1583" s="247"/>
    </row>
    <row r="1584" spans="1:22" ht="15.75" x14ac:dyDescent="0.25">
      <c r="A1584" s="236"/>
      <c r="B1584" s="237"/>
      <c r="C1584" s="238"/>
      <c r="D1584" s="239"/>
      <c r="E1584" s="240"/>
      <c r="F1584" s="240"/>
      <c r="G1584" s="240"/>
      <c r="H1584" s="241">
        <f t="shared" si="198"/>
        <v>0</v>
      </c>
      <c r="I1584" s="242"/>
      <c r="J1584" s="243"/>
      <c r="K1584" s="243"/>
      <c r="L1584" s="244">
        <v>0.1</v>
      </c>
      <c r="M1584" s="244">
        <f t="shared" si="199"/>
        <v>0</v>
      </c>
      <c r="N1584" s="244"/>
      <c r="O1584" s="244"/>
      <c r="P1584" s="244"/>
      <c r="Q1584" s="245">
        <f t="shared" si="200"/>
        <v>0</v>
      </c>
      <c r="R1584" s="245">
        <f t="shared" si="201"/>
        <v>0</v>
      </c>
      <c r="S1584" s="246">
        <v>0.5</v>
      </c>
      <c r="T1584" s="245">
        <f t="shared" si="202"/>
        <v>0</v>
      </c>
      <c r="U1584" s="245">
        <f t="shared" si="203"/>
        <v>0</v>
      </c>
      <c r="V1584" s="247"/>
    </row>
    <row r="1585" spans="1:22" ht="15.75" x14ac:dyDescent="0.25">
      <c r="A1585" s="236"/>
      <c r="B1585" s="237"/>
      <c r="C1585" s="238"/>
      <c r="D1585" s="239"/>
      <c r="E1585" s="240"/>
      <c r="F1585" s="240"/>
      <c r="G1585" s="240"/>
      <c r="H1585" s="241">
        <f t="shared" si="198"/>
        <v>0</v>
      </c>
      <c r="I1585" s="242"/>
      <c r="J1585" s="243"/>
      <c r="K1585" s="243"/>
      <c r="L1585" s="244">
        <v>0.1</v>
      </c>
      <c r="M1585" s="244">
        <f t="shared" si="199"/>
        <v>0</v>
      </c>
      <c r="N1585" s="244"/>
      <c r="O1585" s="244"/>
      <c r="P1585" s="244"/>
      <c r="Q1585" s="245">
        <f t="shared" si="200"/>
        <v>0</v>
      </c>
      <c r="R1585" s="245">
        <f t="shared" si="201"/>
        <v>0</v>
      </c>
      <c r="S1585" s="246">
        <v>0.5</v>
      </c>
      <c r="T1585" s="245">
        <f t="shared" si="202"/>
        <v>0</v>
      </c>
      <c r="U1585" s="245">
        <f t="shared" si="203"/>
        <v>0</v>
      </c>
      <c r="V1585" s="247"/>
    </row>
    <row r="1586" spans="1:22" ht="15.75" x14ac:dyDescent="0.25">
      <c r="A1586" s="236"/>
      <c r="B1586" s="237"/>
      <c r="C1586" s="238"/>
      <c r="D1586" s="239"/>
      <c r="E1586" s="240"/>
      <c r="F1586" s="240"/>
      <c r="G1586" s="240"/>
      <c r="H1586" s="241">
        <f t="shared" si="198"/>
        <v>0</v>
      </c>
      <c r="I1586" s="242"/>
      <c r="J1586" s="243"/>
      <c r="K1586" s="243"/>
      <c r="L1586" s="244">
        <v>0.1</v>
      </c>
      <c r="M1586" s="244">
        <f t="shared" si="199"/>
        <v>0</v>
      </c>
      <c r="N1586" s="244"/>
      <c r="O1586" s="244"/>
      <c r="P1586" s="244"/>
      <c r="Q1586" s="245">
        <f t="shared" si="200"/>
        <v>0</v>
      </c>
      <c r="R1586" s="245">
        <f t="shared" si="201"/>
        <v>0</v>
      </c>
      <c r="S1586" s="246">
        <v>0.5</v>
      </c>
      <c r="T1586" s="245">
        <f t="shared" si="202"/>
        <v>0</v>
      </c>
      <c r="U1586" s="245">
        <f t="shared" si="203"/>
        <v>0</v>
      </c>
      <c r="V1586" s="247"/>
    </row>
    <row r="1587" spans="1:22" ht="15.75" x14ac:dyDescent="0.25">
      <c r="A1587" s="236"/>
      <c r="B1587" s="237"/>
      <c r="C1587" s="238"/>
      <c r="D1587" s="239"/>
      <c r="E1587" s="240"/>
      <c r="F1587" s="240"/>
      <c r="G1587" s="240"/>
      <c r="H1587" s="241">
        <f t="shared" si="198"/>
        <v>0</v>
      </c>
      <c r="I1587" s="242"/>
      <c r="J1587" s="243"/>
      <c r="K1587" s="243"/>
      <c r="L1587" s="244">
        <v>0.1</v>
      </c>
      <c r="M1587" s="244">
        <f t="shared" si="199"/>
        <v>0</v>
      </c>
      <c r="N1587" s="244"/>
      <c r="O1587" s="244"/>
      <c r="P1587" s="244"/>
      <c r="Q1587" s="245">
        <f t="shared" si="200"/>
        <v>0</v>
      </c>
      <c r="R1587" s="245">
        <f t="shared" si="201"/>
        <v>0</v>
      </c>
      <c r="S1587" s="246">
        <v>0.5</v>
      </c>
      <c r="T1587" s="245">
        <f t="shared" si="202"/>
        <v>0</v>
      </c>
      <c r="U1587" s="245">
        <f t="shared" si="203"/>
        <v>0</v>
      </c>
      <c r="V1587" s="247"/>
    </row>
    <row r="1588" spans="1:22" ht="15.75" x14ac:dyDescent="0.25">
      <c r="A1588" s="236"/>
      <c r="B1588" s="237"/>
      <c r="C1588" s="238"/>
      <c r="D1588" s="239"/>
      <c r="E1588" s="240"/>
      <c r="F1588" s="240"/>
      <c r="G1588" s="240"/>
      <c r="H1588" s="241">
        <f t="shared" si="198"/>
        <v>0</v>
      </c>
      <c r="I1588" s="242"/>
      <c r="J1588" s="243"/>
      <c r="K1588" s="243"/>
      <c r="L1588" s="244">
        <v>0.1</v>
      </c>
      <c r="M1588" s="244">
        <f t="shared" si="199"/>
        <v>0</v>
      </c>
      <c r="N1588" s="244"/>
      <c r="O1588" s="244"/>
      <c r="P1588" s="244"/>
      <c r="Q1588" s="245">
        <f t="shared" si="200"/>
        <v>0</v>
      </c>
      <c r="R1588" s="245">
        <f t="shared" si="201"/>
        <v>0</v>
      </c>
      <c r="S1588" s="246">
        <v>0.5</v>
      </c>
      <c r="T1588" s="245">
        <f t="shared" si="202"/>
        <v>0</v>
      </c>
      <c r="U1588" s="245">
        <f t="shared" si="203"/>
        <v>0</v>
      </c>
      <c r="V1588" s="247"/>
    </row>
    <row r="1589" spans="1:22" ht="15.75" x14ac:dyDescent="0.25">
      <c r="A1589" s="236"/>
      <c r="B1589" s="237"/>
      <c r="C1589" s="238"/>
      <c r="D1589" s="239"/>
      <c r="E1589" s="240"/>
      <c r="F1589" s="240"/>
      <c r="G1589" s="240"/>
      <c r="H1589" s="241">
        <f t="shared" si="198"/>
        <v>0</v>
      </c>
      <c r="I1589" s="242"/>
      <c r="J1589" s="243"/>
      <c r="K1589" s="243"/>
      <c r="L1589" s="244">
        <v>0.1</v>
      </c>
      <c r="M1589" s="244">
        <f t="shared" si="199"/>
        <v>0</v>
      </c>
      <c r="N1589" s="244"/>
      <c r="O1589" s="244"/>
      <c r="P1589" s="244"/>
      <c r="Q1589" s="245">
        <f t="shared" si="200"/>
        <v>0</v>
      </c>
      <c r="R1589" s="245">
        <f t="shared" si="201"/>
        <v>0</v>
      </c>
      <c r="S1589" s="246">
        <v>0.5</v>
      </c>
      <c r="T1589" s="245">
        <f t="shared" si="202"/>
        <v>0</v>
      </c>
      <c r="U1589" s="245">
        <f t="shared" si="203"/>
        <v>0</v>
      </c>
      <c r="V1589" s="247"/>
    </row>
    <row r="1590" spans="1:22" ht="15.75" x14ac:dyDescent="0.25">
      <c r="A1590" s="236"/>
      <c r="B1590" s="237"/>
      <c r="C1590" s="238"/>
      <c r="D1590" s="239"/>
      <c r="E1590" s="240"/>
      <c r="F1590" s="240"/>
      <c r="G1590" s="240"/>
      <c r="H1590" s="241">
        <f t="shared" si="198"/>
        <v>0</v>
      </c>
      <c r="I1590" s="242"/>
      <c r="J1590" s="243"/>
      <c r="K1590" s="243"/>
      <c r="L1590" s="244">
        <v>0.1</v>
      </c>
      <c r="M1590" s="244">
        <f t="shared" si="199"/>
        <v>0</v>
      </c>
      <c r="N1590" s="244"/>
      <c r="O1590" s="244"/>
      <c r="P1590" s="244"/>
      <c r="Q1590" s="245">
        <f t="shared" si="200"/>
        <v>0</v>
      </c>
      <c r="R1590" s="245">
        <f t="shared" si="201"/>
        <v>0</v>
      </c>
      <c r="S1590" s="246">
        <v>0.5</v>
      </c>
      <c r="T1590" s="245">
        <f t="shared" si="202"/>
        <v>0</v>
      </c>
      <c r="U1590" s="245">
        <f t="shared" si="203"/>
        <v>0</v>
      </c>
      <c r="V1590" s="247"/>
    </row>
    <row r="1591" spans="1:22" ht="15.75" x14ac:dyDescent="0.25">
      <c r="A1591" s="236"/>
      <c r="B1591" s="237"/>
      <c r="C1591" s="238"/>
      <c r="D1591" s="239"/>
      <c r="E1591" s="240"/>
      <c r="F1591" s="240"/>
      <c r="G1591" s="240"/>
      <c r="H1591" s="241">
        <f t="shared" si="198"/>
        <v>0</v>
      </c>
      <c r="I1591" s="242"/>
      <c r="J1591" s="243"/>
      <c r="K1591" s="243"/>
      <c r="L1591" s="244">
        <v>0.1</v>
      </c>
      <c r="M1591" s="244">
        <f t="shared" si="199"/>
        <v>0</v>
      </c>
      <c r="N1591" s="244"/>
      <c r="O1591" s="244"/>
      <c r="P1591" s="244"/>
      <c r="Q1591" s="245">
        <f t="shared" si="200"/>
        <v>0</v>
      </c>
      <c r="R1591" s="245">
        <f t="shared" si="201"/>
        <v>0</v>
      </c>
      <c r="S1591" s="246">
        <v>0.5</v>
      </c>
      <c r="T1591" s="245">
        <f t="shared" si="202"/>
        <v>0</v>
      </c>
      <c r="U1591" s="245">
        <f t="shared" si="203"/>
        <v>0</v>
      </c>
      <c r="V1591" s="247"/>
    </row>
    <row r="1592" spans="1:22" ht="15.75" x14ac:dyDescent="0.25">
      <c r="A1592" s="236"/>
      <c r="B1592" s="237"/>
      <c r="C1592" s="238"/>
      <c r="D1592" s="239"/>
      <c r="E1592" s="240"/>
      <c r="F1592" s="240"/>
      <c r="G1592" s="240"/>
      <c r="H1592" s="241">
        <f t="shared" si="198"/>
        <v>0</v>
      </c>
      <c r="I1592" s="242"/>
      <c r="J1592" s="243"/>
      <c r="K1592" s="243"/>
      <c r="L1592" s="244">
        <v>0.1</v>
      </c>
      <c r="M1592" s="244">
        <f t="shared" si="199"/>
        <v>0</v>
      </c>
      <c r="N1592" s="244"/>
      <c r="O1592" s="244"/>
      <c r="P1592" s="244"/>
      <c r="Q1592" s="245">
        <f t="shared" si="200"/>
        <v>0</v>
      </c>
      <c r="R1592" s="245">
        <f t="shared" si="201"/>
        <v>0</v>
      </c>
      <c r="S1592" s="246">
        <v>0.5</v>
      </c>
      <c r="T1592" s="245">
        <f t="shared" si="202"/>
        <v>0</v>
      </c>
      <c r="U1592" s="245">
        <f t="shared" si="203"/>
        <v>0</v>
      </c>
      <c r="V1592" s="247"/>
    </row>
    <row r="1593" spans="1:22" ht="15.75" x14ac:dyDescent="0.25">
      <c r="A1593" s="236"/>
      <c r="B1593" s="237"/>
      <c r="C1593" s="238"/>
      <c r="D1593" s="239"/>
      <c r="E1593" s="240"/>
      <c r="F1593" s="240"/>
      <c r="G1593" s="240"/>
      <c r="H1593" s="241">
        <f t="shared" si="198"/>
        <v>0</v>
      </c>
      <c r="I1593" s="242"/>
      <c r="J1593" s="243"/>
      <c r="K1593" s="243"/>
      <c r="L1593" s="244">
        <v>0.1</v>
      </c>
      <c r="M1593" s="244">
        <f t="shared" si="199"/>
        <v>0</v>
      </c>
      <c r="N1593" s="244"/>
      <c r="O1593" s="244"/>
      <c r="P1593" s="244"/>
      <c r="Q1593" s="245">
        <f t="shared" si="200"/>
        <v>0</v>
      </c>
      <c r="R1593" s="245">
        <f t="shared" si="201"/>
        <v>0</v>
      </c>
      <c r="S1593" s="246">
        <v>0.5</v>
      </c>
      <c r="T1593" s="245">
        <f t="shared" si="202"/>
        <v>0</v>
      </c>
      <c r="U1593" s="245">
        <f t="shared" si="203"/>
        <v>0</v>
      </c>
      <c r="V1593" s="247"/>
    </row>
    <row r="1594" spans="1:22" ht="15.75" x14ac:dyDescent="0.25">
      <c r="A1594" s="236"/>
      <c r="B1594" s="237"/>
      <c r="C1594" s="238"/>
      <c r="D1594" s="239"/>
      <c r="E1594" s="240"/>
      <c r="F1594" s="240"/>
      <c r="G1594" s="240"/>
      <c r="H1594" s="241">
        <f t="shared" si="198"/>
        <v>0</v>
      </c>
      <c r="I1594" s="242"/>
      <c r="J1594" s="243"/>
      <c r="K1594" s="243"/>
      <c r="L1594" s="244">
        <v>0.1</v>
      </c>
      <c r="M1594" s="244">
        <f t="shared" si="199"/>
        <v>0</v>
      </c>
      <c r="N1594" s="244"/>
      <c r="O1594" s="244"/>
      <c r="P1594" s="244"/>
      <c r="Q1594" s="245">
        <f t="shared" si="200"/>
        <v>0</v>
      </c>
      <c r="R1594" s="245">
        <f t="shared" si="201"/>
        <v>0</v>
      </c>
      <c r="S1594" s="246">
        <v>0.5</v>
      </c>
      <c r="T1594" s="245">
        <f t="shared" si="202"/>
        <v>0</v>
      </c>
      <c r="U1594" s="245">
        <f t="shared" si="203"/>
        <v>0</v>
      </c>
      <c r="V1594" s="247"/>
    </row>
    <row r="1595" spans="1:22" ht="15.75" x14ac:dyDescent="0.25">
      <c r="A1595" s="236"/>
      <c r="B1595" s="237"/>
      <c r="C1595" s="238"/>
      <c r="D1595" s="239"/>
      <c r="E1595" s="240"/>
      <c r="F1595" s="240"/>
      <c r="G1595" s="240"/>
      <c r="H1595" s="241">
        <f t="shared" si="198"/>
        <v>0</v>
      </c>
      <c r="I1595" s="242"/>
      <c r="J1595" s="243"/>
      <c r="K1595" s="243"/>
      <c r="L1595" s="244">
        <v>0.1</v>
      </c>
      <c r="M1595" s="244">
        <f t="shared" si="199"/>
        <v>0</v>
      </c>
      <c r="N1595" s="244"/>
      <c r="O1595" s="244"/>
      <c r="P1595" s="244"/>
      <c r="Q1595" s="245">
        <f t="shared" si="200"/>
        <v>0</v>
      </c>
      <c r="R1595" s="245">
        <f t="shared" si="201"/>
        <v>0</v>
      </c>
      <c r="S1595" s="246">
        <v>0.5</v>
      </c>
      <c r="T1595" s="245">
        <f t="shared" si="202"/>
        <v>0</v>
      </c>
      <c r="U1595" s="245">
        <f t="shared" si="203"/>
        <v>0</v>
      </c>
      <c r="V1595" s="247"/>
    </row>
    <row r="1596" spans="1:22" ht="15.75" x14ac:dyDescent="0.25">
      <c r="A1596" s="236"/>
      <c r="B1596" s="237"/>
      <c r="C1596" s="238"/>
      <c r="D1596" s="239"/>
      <c r="E1596" s="240"/>
      <c r="F1596" s="240"/>
      <c r="G1596" s="240"/>
      <c r="H1596" s="241">
        <f t="shared" si="198"/>
        <v>0</v>
      </c>
      <c r="I1596" s="242"/>
      <c r="J1596" s="243"/>
      <c r="K1596" s="243"/>
      <c r="L1596" s="244">
        <v>0.1</v>
      </c>
      <c r="M1596" s="244">
        <f t="shared" si="199"/>
        <v>0</v>
      </c>
      <c r="N1596" s="244"/>
      <c r="O1596" s="244"/>
      <c r="P1596" s="244"/>
      <c r="Q1596" s="245">
        <f t="shared" si="200"/>
        <v>0</v>
      </c>
      <c r="R1596" s="245">
        <f t="shared" si="201"/>
        <v>0</v>
      </c>
      <c r="S1596" s="246">
        <v>0.5</v>
      </c>
      <c r="T1596" s="245">
        <f t="shared" si="202"/>
        <v>0</v>
      </c>
      <c r="U1596" s="245">
        <f t="shared" si="203"/>
        <v>0</v>
      </c>
      <c r="V1596" s="247"/>
    </row>
    <row r="1597" spans="1:22" ht="15.75" x14ac:dyDescent="0.25">
      <c r="A1597" s="236"/>
      <c r="B1597" s="237"/>
      <c r="C1597" s="238"/>
      <c r="D1597" s="239"/>
      <c r="E1597" s="240"/>
      <c r="F1597" s="240"/>
      <c r="G1597" s="240"/>
      <c r="H1597" s="241">
        <f t="shared" ref="H1597:H1660" si="204">+E1597+F1597+G1597</f>
        <v>0</v>
      </c>
      <c r="I1597" s="242"/>
      <c r="J1597" s="243"/>
      <c r="K1597" s="243"/>
      <c r="L1597" s="244">
        <v>0.1</v>
      </c>
      <c r="M1597" s="244">
        <f t="shared" ref="M1597:M1660" si="205">+L1597*C1597</f>
        <v>0</v>
      </c>
      <c r="N1597" s="244"/>
      <c r="O1597" s="244"/>
      <c r="P1597" s="244"/>
      <c r="Q1597" s="245">
        <f t="shared" ref="Q1597:Q1660" si="206">+N1597+O1597+P1597</f>
        <v>0</v>
      </c>
      <c r="R1597" s="245">
        <f t="shared" ref="R1597:R1660" si="207">IF(+Q1597-H1597&lt;=0,0,Q1597-H1597)</f>
        <v>0</v>
      </c>
      <c r="S1597" s="246">
        <v>0.5</v>
      </c>
      <c r="T1597" s="245">
        <f t="shared" ref="T1597:T1660" si="208">+(R1597*C1597)*S1597</f>
        <v>0</v>
      </c>
      <c r="U1597" s="245">
        <f t="shared" ref="U1597:U1660" si="209">+J1597+M1597+T1597</f>
        <v>0</v>
      </c>
      <c r="V1597" s="247"/>
    </row>
    <row r="1598" spans="1:22" ht="15.75" x14ac:dyDescent="0.25">
      <c r="A1598" s="236"/>
      <c r="B1598" s="237"/>
      <c r="C1598" s="238"/>
      <c r="D1598" s="239"/>
      <c r="E1598" s="240"/>
      <c r="F1598" s="240"/>
      <c r="G1598" s="240"/>
      <c r="H1598" s="241">
        <f t="shared" si="204"/>
        <v>0</v>
      </c>
      <c r="I1598" s="242"/>
      <c r="J1598" s="243"/>
      <c r="K1598" s="243"/>
      <c r="L1598" s="244">
        <v>0.1</v>
      </c>
      <c r="M1598" s="244">
        <f t="shared" si="205"/>
        <v>0</v>
      </c>
      <c r="N1598" s="244"/>
      <c r="O1598" s="244"/>
      <c r="P1598" s="244"/>
      <c r="Q1598" s="245">
        <f t="shared" si="206"/>
        <v>0</v>
      </c>
      <c r="R1598" s="245">
        <f t="shared" si="207"/>
        <v>0</v>
      </c>
      <c r="S1598" s="246">
        <v>0.5</v>
      </c>
      <c r="T1598" s="245">
        <f t="shared" si="208"/>
        <v>0</v>
      </c>
      <c r="U1598" s="245">
        <f t="shared" si="209"/>
        <v>0</v>
      </c>
      <c r="V1598" s="247"/>
    </row>
    <row r="1599" spans="1:22" ht="15.75" x14ac:dyDescent="0.25">
      <c r="A1599" s="236"/>
      <c r="B1599" s="237"/>
      <c r="C1599" s="238"/>
      <c r="D1599" s="239"/>
      <c r="E1599" s="240"/>
      <c r="F1599" s="240"/>
      <c r="G1599" s="240"/>
      <c r="H1599" s="241">
        <f t="shared" si="204"/>
        <v>0</v>
      </c>
      <c r="I1599" s="242"/>
      <c r="J1599" s="243"/>
      <c r="K1599" s="243"/>
      <c r="L1599" s="244">
        <v>0.1</v>
      </c>
      <c r="M1599" s="244">
        <f t="shared" si="205"/>
        <v>0</v>
      </c>
      <c r="N1599" s="244"/>
      <c r="O1599" s="244"/>
      <c r="P1599" s="244"/>
      <c r="Q1599" s="245">
        <f t="shared" si="206"/>
        <v>0</v>
      </c>
      <c r="R1599" s="245">
        <f t="shared" si="207"/>
        <v>0</v>
      </c>
      <c r="S1599" s="246">
        <v>0.5</v>
      </c>
      <c r="T1599" s="245">
        <f t="shared" si="208"/>
        <v>0</v>
      </c>
      <c r="U1599" s="245">
        <f t="shared" si="209"/>
        <v>0</v>
      </c>
      <c r="V1599" s="247"/>
    </row>
    <row r="1600" spans="1:22" ht="15.75" x14ac:dyDescent="0.25">
      <c r="A1600" s="236"/>
      <c r="B1600" s="237"/>
      <c r="C1600" s="238"/>
      <c r="D1600" s="239"/>
      <c r="E1600" s="240"/>
      <c r="F1600" s="240"/>
      <c r="G1600" s="240"/>
      <c r="H1600" s="241">
        <f t="shared" si="204"/>
        <v>0</v>
      </c>
      <c r="I1600" s="242"/>
      <c r="J1600" s="243"/>
      <c r="K1600" s="243"/>
      <c r="L1600" s="244">
        <v>0.1</v>
      </c>
      <c r="M1600" s="244">
        <f t="shared" si="205"/>
        <v>0</v>
      </c>
      <c r="N1600" s="244"/>
      <c r="O1600" s="244"/>
      <c r="P1600" s="244"/>
      <c r="Q1600" s="245">
        <f t="shared" si="206"/>
        <v>0</v>
      </c>
      <c r="R1600" s="245">
        <f t="shared" si="207"/>
        <v>0</v>
      </c>
      <c r="S1600" s="246">
        <v>0.5</v>
      </c>
      <c r="T1600" s="245">
        <f t="shared" si="208"/>
        <v>0</v>
      </c>
      <c r="U1600" s="245">
        <f t="shared" si="209"/>
        <v>0</v>
      </c>
      <c r="V1600" s="247"/>
    </row>
    <row r="1601" spans="1:22" ht="15.75" x14ac:dyDescent="0.25">
      <c r="A1601" s="236"/>
      <c r="B1601" s="237"/>
      <c r="C1601" s="238"/>
      <c r="D1601" s="239"/>
      <c r="E1601" s="240"/>
      <c r="F1601" s="240"/>
      <c r="G1601" s="240"/>
      <c r="H1601" s="241">
        <f t="shared" si="204"/>
        <v>0</v>
      </c>
      <c r="I1601" s="242"/>
      <c r="J1601" s="243"/>
      <c r="K1601" s="243"/>
      <c r="L1601" s="244">
        <v>0.1</v>
      </c>
      <c r="M1601" s="244">
        <f t="shared" si="205"/>
        <v>0</v>
      </c>
      <c r="N1601" s="244"/>
      <c r="O1601" s="244"/>
      <c r="P1601" s="244"/>
      <c r="Q1601" s="245">
        <f t="shared" si="206"/>
        <v>0</v>
      </c>
      <c r="R1601" s="245">
        <f t="shared" si="207"/>
        <v>0</v>
      </c>
      <c r="S1601" s="246">
        <v>0.5</v>
      </c>
      <c r="T1601" s="245">
        <f t="shared" si="208"/>
        <v>0</v>
      </c>
      <c r="U1601" s="245">
        <f t="shared" si="209"/>
        <v>0</v>
      </c>
      <c r="V1601" s="247"/>
    </row>
    <row r="1602" spans="1:22" ht="15.75" x14ac:dyDescent="0.25">
      <c r="A1602" s="236"/>
      <c r="B1602" s="237"/>
      <c r="C1602" s="238"/>
      <c r="D1602" s="239"/>
      <c r="E1602" s="240"/>
      <c r="F1602" s="240"/>
      <c r="G1602" s="240"/>
      <c r="H1602" s="241">
        <f t="shared" si="204"/>
        <v>0</v>
      </c>
      <c r="I1602" s="242"/>
      <c r="J1602" s="243"/>
      <c r="K1602" s="243"/>
      <c r="L1602" s="244">
        <v>0.1</v>
      </c>
      <c r="M1602" s="244">
        <f t="shared" si="205"/>
        <v>0</v>
      </c>
      <c r="N1602" s="244"/>
      <c r="O1602" s="244"/>
      <c r="P1602" s="244"/>
      <c r="Q1602" s="245">
        <f t="shared" si="206"/>
        <v>0</v>
      </c>
      <c r="R1602" s="245">
        <f t="shared" si="207"/>
        <v>0</v>
      </c>
      <c r="S1602" s="246">
        <v>0.5</v>
      </c>
      <c r="T1602" s="245">
        <f t="shared" si="208"/>
        <v>0</v>
      </c>
      <c r="U1602" s="245">
        <f t="shared" si="209"/>
        <v>0</v>
      </c>
      <c r="V1602" s="247"/>
    </row>
    <row r="1603" spans="1:22" ht="15.75" x14ac:dyDescent="0.25">
      <c r="A1603" s="236"/>
      <c r="B1603" s="237"/>
      <c r="C1603" s="238"/>
      <c r="D1603" s="239"/>
      <c r="E1603" s="240"/>
      <c r="F1603" s="240"/>
      <c r="G1603" s="240"/>
      <c r="H1603" s="241">
        <f t="shared" si="204"/>
        <v>0</v>
      </c>
      <c r="I1603" s="242"/>
      <c r="J1603" s="243"/>
      <c r="K1603" s="243"/>
      <c r="L1603" s="244">
        <v>0.1</v>
      </c>
      <c r="M1603" s="244">
        <f t="shared" si="205"/>
        <v>0</v>
      </c>
      <c r="N1603" s="244"/>
      <c r="O1603" s="244"/>
      <c r="P1603" s="244"/>
      <c r="Q1603" s="245">
        <f t="shared" si="206"/>
        <v>0</v>
      </c>
      <c r="R1603" s="245">
        <f t="shared" si="207"/>
        <v>0</v>
      </c>
      <c r="S1603" s="246">
        <v>0.5</v>
      </c>
      <c r="T1603" s="245">
        <f t="shared" si="208"/>
        <v>0</v>
      </c>
      <c r="U1603" s="245">
        <f t="shared" si="209"/>
        <v>0</v>
      </c>
      <c r="V1603" s="247"/>
    </row>
    <row r="1604" spans="1:22" ht="15.75" x14ac:dyDescent="0.25">
      <c r="A1604" s="236"/>
      <c r="B1604" s="237"/>
      <c r="C1604" s="238"/>
      <c r="D1604" s="239"/>
      <c r="E1604" s="240"/>
      <c r="F1604" s="240"/>
      <c r="G1604" s="240"/>
      <c r="H1604" s="241">
        <f t="shared" si="204"/>
        <v>0</v>
      </c>
      <c r="I1604" s="242"/>
      <c r="J1604" s="243"/>
      <c r="K1604" s="243"/>
      <c r="L1604" s="244">
        <v>0.1</v>
      </c>
      <c r="M1604" s="244">
        <f t="shared" si="205"/>
        <v>0</v>
      </c>
      <c r="N1604" s="244"/>
      <c r="O1604" s="244"/>
      <c r="P1604" s="244"/>
      <c r="Q1604" s="245">
        <f t="shared" si="206"/>
        <v>0</v>
      </c>
      <c r="R1604" s="245">
        <f t="shared" si="207"/>
        <v>0</v>
      </c>
      <c r="S1604" s="246">
        <v>0.5</v>
      </c>
      <c r="T1604" s="245">
        <f t="shared" si="208"/>
        <v>0</v>
      </c>
      <c r="U1604" s="245">
        <f t="shared" si="209"/>
        <v>0</v>
      </c>
      <c r="V1604" s="247"/>
    </row>
    <row r="1605" spans="1:22" ht="15.75" x14ac:dyDescent="0.25">
      <c r="A1605" s="236"/>
      <c r="B1605" s="237"/>
      <c r="C1605" s="238"/>
      <c r="D1605" s="239"/>
      <c r="E1605" s="240"/>
      <c r="F1605" s="240"/>
      <c r="G1605" s="240"/>
      <c r="H1605" s="241">
        <f t="shared" si="204"/>
        <v>0</v>
      </c>
      <c r="I1605" s="242"/>
      <c r="J1605" s="243"/>
      <c r="K1605" s="243"/>
      <c r="L1605" s="244">
        <v>0.1</v>
      </c>
      <c r="M1605" s="244">
        <f t="shared" si="205"/>
        <v>0</v>
      </c>
      <c r="N1605" s="244"/>
      <c r="O1605" s="244"/>
      <c r="P1605" s="244"/>
      <c r="Q1605" s="245">
        <f t="shared" si="206"/>
        <v>0</v>
      </c>
      <c r="R1605" s="245">
        <f t="shared" si="207"/>
        <v>0</v>
      </c>
      <c r="S1605" s="246">
        <v>0.5</v>
      </c>
      <c r="T1605" s="245">
        <f t="shared" si="208"/>
        <v>0</v>
      </c>
      <c r="U1605" s="245">
        <f t="shared" si="209"/>
        <v>0</v>
      </c>
      <c r="V1605" s="247"/>
    </row>
    <row r="1606" spans="1:22" ht="15.75" x14ac:dyDescent="0.25">
      <c r="A1606" s="236"/>
      <c r="B1606" s="237"/>
      <c r="C1606" s="238"/>
      <c r="D1606" s="239"/>
      <c r="E1606" s="240"/>
      <c r="F1606" s="240"/>
      <c r="G1606" s="240"/>
      <c r="H1606" s="241">
        <f t="shared" si="204"/>
        <v>0</v>
      </c>
      <c r="I1606" s="242"/>
      <c r="J1606" s="243"/>
      <c r="K1606" s="243"/>
      <c r="L1606" s="244">
        <v>0.1</v>
      </c>
      <c r="M1606" s="244">
        <f t="shared" si="205"/>
        <v>0</v>
      </c>
      <c r="N1606" s="244"/>
      <c r="O1606" s="244"/>
      <c r="P1606" s="244"/>
      <c r="Q1606" s="245">
        <f t="shared" si="206"/>
        <v>0</v>
      </c>
      <c r="R1606" s="245">
        <f t="shared" si="207"/>
        <v>0</v>
      </c>
      <c r="S1606" s="246">
        <v>0.5</v>
      </c>
      <c r="T1606" s="245">
        <f t="shared" si="208"/>
        <v>0</v>
      </c>
      <c r="U1606" s="245">
        <f t="shared" si="209"/>
        <v>0</v>
      </c>
      <c r="V1606" s="247"/>
    </row>
    <row r="1607" spans="1:22" ht="15.75" x14ac:dyDescent="0.25">
      <c r="A1607" s="236"/>
      <c r="B1607" s="237"/>
      <c r="C1607" s="238"/>
      <c r="D1607" s="239"/>
      <c r="E1607" s="240"/>
      <c r="F1607" s="240"/>
      <c r="G1607" s="240"/>
      <c r="H1607" s="241">
        <f t="shared" si="204"/>
        <v>0</v>
      </c>
      <c r="I1607" s="242"/>
      <c r="J1607" s="243"/>
      <c r="K1607" s="243"/>
      <c r="L1607" s="244">
        <v>0.1</v>
      </c>
      <c r="M1607" s="244">
        <f t="shared" si="205"/>
        <v>0</v>
      </c>
      <c r="N1607" s="244"/>
      <c r="O1607" s="244"/>
      <c r="P1607" s="244"/>
      <c r="Q1607" s="245">
        <f t="shared" si="206"/>
        <v>0</v>
      </c>
      <c r="R1607" s="245">
        <f t="shared" si="207"/>
        <v>0</v>
      </c>
      <c r="S1607" s="246">
        <v>0.5</v>
      </c>
      <c r="T1607" s="245">
        <f t="shared" si="208"/>
        <v>0</v>
      </c>
      <c r="U1607" s="245">
        <f t="shared" si="209"/>
        <v>0</v>
      </c>
      <c r="V1607" s="247"/>
    </row>
    <row r="1608" spans="1:22" ht="15.75" x14ac:dyDescent="0.25">
      <c r="A1608" s="236"/>
      <c r="B1608" s="237"/>
      <c r="C1608" s="238"/>
      <c r="D1608" s="239"/>
      <c r="E1608" s="240"/>
      <c r="F1608" s="240"/>
      <c r="G1608" s="240"/>
      <c r="H1608" s="241">
        <f t="shared" si="204"/>
        <v>0</v>
      </c>
      <c r="I1608" s="242"/>
      <c r="J1608" s="243"/>
      <c r="K1608" s="243"/>
      <c r="L1608" s="244">
        <v>0.1</v>
      </c>
      <c r="M1608" s="244">
        <f t="shared" si="205"/>
        <v>0</v>
      </c>
      <c r="N1608" s="244"/>
      <c r="O1608" s="244"/>
      <c r="P1608" s="244"/>
      <c r="Q1608" s="245">
        <f t="shared" si="206"/>
        <v>0</v>
      </c>
      <c r="R1608" s="245">
        <f t="shared" si="207"/>
        <v>0</v>
      </c>
      <c r="S1608" s="246">
        <v>0.5</v>
      </c>
      <c r="T1608" s="245">
        <f t="shared" si="208"/>
        <v>0</v>
      </c>
      <c r="U1608" s="245">
        <f t="shared" si="209"/>
        <v>0</v>
      </c>
      <c r="V1608" s="247"/>
    </row>
    <row r="1609" spans="1:22" ht="15.75" x14ac:dyDescent="0.25">
      <c r="A1609" s="236"/>
      <c r="B1609" s="237"/>
      <c r="C1609" s="238"/>
      <c r="D1609" s="239"/>
      <c r="E1609" s="240"/>
      <c r="F1609" s="240"/>
      <c r="G1609" s="240"/>
      <c r="H1609" s="241">
        <f t="shared" si="204"/>
        <v>0</v>
      </c>
      <c r="I1609" s="242"/>
      <c r="J1609" s="243"/>
      <c r="K1609" s="243"/>
      <c r="L1609" s="244">
        <v>0.1</v>
      </c>
      <c r="M1609" s="244">
        <f t="shared" si="205"/>
        <v>0</v>
      </c>
      <c r="N1609" s="244"/>
      <c r="O1609" s="244"/>
      <c r="P1609" s="244"/>
      <c r="Q1609" s="245">
        <f t="shared" si="206"/>
        <v>0</v>
      </c>
      <c r="R1609" s="245">
        <f t="shared" si="207"/>
        <v>0</v>
      </c>
      <c r="S1609" s="246">
        <v>0.5</v>
      </c>
      <c r="T1609" s="245">
        <f t="shared" si="208"/>
        <v>0</v>
      </c>
      <c r="U1609" s="245">
        <f t="shared" si="209"/>
        <v>0</v>
      </c>
      <c r="V1609" s="247"/>
    </row>
    <row r="1610" spans="1:22" ht="15.75" x14ac:dyDescent="0.25">
      <c r="A1610" s="236"/>
      <c r="B1610" s="237"/>
      <c r="C1610" s="238"/>
      <c r="D1610" s="239"/>
      <c r="E1610" s="240"/>
      <c r="F1610" s="240"/>
      <c r="G1610" s="240"/>
      <c r="H1610" s="241">
        <f t="shared" si="204"/>
        <v>0</v>
      </c>
      <c r="I1610" s="242"/>
      <c r="J1610" s="243"/>
      <c r="K1610" s="243"/>
      <c r="L1610" s="244">
        <v>0.1</v>
      </c>
      <c r="M1610" s="244">
        <f t="shared" si="205"/>
        <v>0</v>
      </c>
      <c r="N1610" s="244"/>
      <c r="O1610" s="244"/>
      <c r="P1610" s="244"/>
      <c r="Q1610" s="245">
        <f t="shared" si="206"/>
        <v>0</v>
      </c>
      <c r="R1610" s="245">
        <f t="shared" si="207"/>
        <v>0</v>
      </c>
      <c r="S1610" s="246">
        <v>0.5</v>
      </c>
      <c r="T1610" s="245">
        <f t="shared" si="208"/>
        <v>0</v>
      </c>
      <c r="U1610" s="245">
        <f t="shared" si="209"/>
        <v>0</v>
      </c>
      <c r="V1610" s="247"/>
    </row>
    <row r="1611" spans="1:22" ht="15.75" x14ac:dyDescent="0.25">
      <c r="A1611" s="236"/>
      <c r="B1611" s="237"/>
      <c r="C1611" s="238"/>
      <c r="D1611" s="239"/>
      <c r="E1611" s="240"/>
      <c r="F1611" s="240"/>
      <c r="G1611" s="240"/>
      <c r="H1611" s="241">
        <f t="shared" si="204"/>
        <v>0</v>
      </c>
      <c r="I1611" s="242"/>
      <c r="J1611" s="243"/>
      <c r="K1611" s="243"/>
      <c r="L1611" s="244">
        <v>0.1</v>
      </c>
      <c r="M1611" s="244">
        <f t="shared" si="205"/>
        <v>0</v>
      </c>
      <c r="N1611" s="244"/>
      <c r="O1611" s="244"/>
      <c r="P1611" s="244"/>
      <c r="Q1611" s="245">
        <f t="shared" si="206"/>
        <v>0</v>
      </c>
      <c r="R1611" s="245">
        <f t="shared" si="207"/>
        <v>0</v>
      </c>
      <c r="S1611" s="246">
        <v>0.5</v>
      </c>
      <c r="T1611" s="245">
        <f t="shared" si="208"/>
        <v>0</v>
      </c>
      <c r="U1611" s="245">
        <f t="shared" si="209"/>
        <v>0</v>
      </c>
      <c r="V1611" s="247"/>
    </row>
    <row r="1612" spans="1:22" ht="15.75" x14ac:dyDescent="0.25">
      <c r="A1612" s="236"/>
      <c r="B1612" s="237"/>
      <c r="C1612" s="238"/>
      <c r="D1612" s="239"/>
      <c r="E1612" s="240"/>
      <c r="F1612" s="240"/>
      <c r="G1612" s="240"/>
      <c r="H1612" s="241">
        <f t="shared" si="204"/>
        <v>0</v>
      </c>
      <c r="I1612" s="242"/>
      <c r="J1612" s="243"/>
      <c r="K1612" s="243"/>
      <c r="L1612" s="244">
        <v>0.1</v>
      </c>
      <c r="M1612" s="244">
        <f t="shared" si="205"/>
        <v>0</v>
      </c>
      <c r="N1612" s="244"/>
      <c r="O1612" s="244"/>
      <c r="P1612" s="244"/>
      <c r="Q1612" s="245">
        <f t="shared" si="206"/>
        <v>0</v>
      </c>
      <c r="R1612" s="245">
        <f t="shared" si="207"/>
        <v>0</v>
      </c>
      <c r="S1612" s="246">
        <v>0.5</v>
      </c>
      <c r="T1612" s="245">
        <f t="shared" si="208"/>
        <v>0</v>
      </c>
      <c r="U1612" s="245">
        <f t="shared" si="209"/>
        <v>0</v>
      </c>
      <c r="V1612" s="247"/>
    </row>
    <row r="1613" spans="1:22" ht="15.75" x14ac:dyDescent="0.25">
      <c r="A1613" s="236"/>
      <c r="B1613" s="237"/>
      <c r="C1613" s="238"/>
      <c r="D1613" s="239"/>
      <c r="E1613" s="240"/>
      <c r="F1613" s="240"/>
      <c r="G1613" s="240"/>
      <c r="H1613" s="241">
        <f t="shared" si="204"/>
        <v>0</v>
      </c>
      <c r="I1613" s="242"/>
      <c r="J1613" s="243"/>
      <c r="K1613" s="243"/>
      <c r="L1613" s="244">
        <v>0.1</v>
      </c>
      <c r="M1613" s="244">
        <f t="shared" si="205"/>
        <v>0</v>
      </c>
      <c r="N1613" s="244"/>
      <c r="O1613" s="244"/>
      <c r="P1613" s="244"/>
      <c r="Q1613" s="245">
        <f t="shared" si="206"/>
        <v>0</v>
      </c>
      <c r="R1613" s="245">
        <f t="shared" si="207"/>
        <v>0</v>
      </c>
      <c r="S1613" s="246">
        <v>0.5</v>
      </c>
      <c r="T1613" s="245">
        <f t="shared" si="208"/>
        <v>0</v>
      </c>
      <c r="U1613" s="245">
        <f t="shared" si="209"/>
        <v>0</v>
      </c>
      <c r="V1613" s="247"/>
    </row>
    <row r="1614" spans="1:22" ht="15.75" x14ac:dyDescent="0.25">
      <c r="A1614" s="236"/>
      <c r="B1614" s="237"/>
      <c r="C1614" s="238"/>
      <c r="D1614" s="239"/>
      <c r="E1614" s="240"/>
      <c r="F1614" s="240"/>
      <c r="G1614" s="240"/>
      <c r="H1614" s="241">
        <f t="shared" si="204"/>
        <v>0</v>
      </c>
      <c r="I1614" s="242"/>
      <c r="J1614" s="243"/>
      <c r="K1614" s="243"/>
      <c r="L1614" s="244">
        <v>0.1</v>
      </c>
      <c r="M1614" s="244">
        <f t="shared" si="205"/>
        <v>0</v>
      </c>
      <c r="N1614" s="244"/>
      <c r="O1614" s="244"/>
      <c r="P1614" s="244"/>
      <c r="Q1614" s="245">
        <f t="shared" si="206"/>
        <v>0</v>
      </c>
      <c r="R1614" s="245">
        <f t="shared" si="207"/>
        <v>0</v>
      </c>
      <c r="S1614" s="246">
        <v>0.5</v>
      </c>
      <c r="T1614" s="245">
        <f t="shared" si="208"/>
        <v>0</v>
      </c>
      <c r="U1614" s="245">
        <f t="shared" si="209"/>
        <v>0</v>
      </c>
      <c r="V1614" s="247"/>
    </row>
    <row r="1615" spans="1:22" ht="15.75" x14ac:dyDescent="0.25">
      <c r="A1615" s="236"/>
      <c r="B1615" s="237"/>
      <c r="C1615" s="238"/>
      <c r="D1615" s="239"/>
      <c r="E1615" s="240"/>
      <c r="F1615" s="240"/>
      <c r="G1615" s="240"/>
      <c r="H1615" s="241">
        <f t="shared" si="204"/>
        <v>0</v>
      </c>
      <c r="I1615" s="242"/>
      <c r="J1615" s="243"/>
      <c r="K1615" s="243"/>
      <c r="L1615" s="244">
        <v>0.1</v>
      </c>
      <c r="M1615" s="244">
        <f t="shared" si="205"/>
        <v>0</v>
      </c>
      <c r="N1615" s="244"/>
      <c r="O1615" s="244"/>
      <c r="P1615" s="244"/>
      <c r="Q1615" s="245">
        <f t="shared" si="206"/>
        <v>0</v>
      </c>
      <c r="R1615" s="245">
        <f t="shared" si="207"/>
        <v>0</v>
      </c>
      <c r="S1615" s="246">
        <v>0.5</v>
      </c>
      <c r="T1615" s="245">
        <f t="shared" si="208"/>
        <v>0</v>
      </c>
      <c r="U1615" s="245">
        <f t="shared" si="209"/>
        <v>0</v>
      </c>
      <c r="V1615" s="247"/>
    </row>
    <row r="1616" spans="1:22" ht="15.75" x14ac:dyDescent="0.25">
      <c r="A1616" s="236"/>
      <c r="B1616" s="237"/>
      <c r="C1616" s="238"/>
      <c r="D1616" s="239"/>
      <c r="E1616" s="240"/>
      <c r="F1616" s="240"/>
      <c r="G1616" s="240"/>
      <c r="H1616" s="241">
        <f t="shared" si="204"/>
        <v>0</v>
      </c>
      <c r="I1616" s="242"/>
      <c r="J1616" s="243"/>
      <c r="K1616" s="243"/>
      <c r="L1616" s="244">
        <v>0.1</v>
      </c>
      <c r="M1616" s="244">
        <f t="shared" si="205"/>
        <v>0</v>
      </c>
      <c r="N1616" s="244"/>
      <c r="O1616" s="244"/>
      <c r="P1616" s="244"/>
      <c r="Q1616" s="245">
        <f t="shared" si="206"/>
        <v>0</v>
      </c>
      <c r="R1616" s="245">
        <f t="shared" si="207"/>
        <v>0</v>
      </c>
      <c r="S1616" s="246">
        <v>0.5</v>
      </c>
      <c r="T1616" s="245">
        <f t="shared" si="208"/>
        <v>0</v>
      </c>
      <c r="U1616" s="245">
        <f t="shared" si="209"/>
        <v>0</v>
      </c>
      <c r="V1616" s="247"/>
    </row>
    <row r="1617" spans="1:22" ht="15.75" x14ac:dyDescent="0.25">
      <c r="A1617" s="236"/>
      <c r="B1617" s="237"/>
      <c r="C1617" s="238"/>
      <c r="D1617" s="239"/>
      <c r="E1617" s="240"/>
      <c r="F1617" s="240"/>
      <c r="G1617" s="240"/>
      <c r="H1617" s="241">
        <f t="shared" si="204"/>
        <v>0</v>
      </c>
      <c r="I1617" s="242"/>
      <c r="J1617" s="243"/>
      <c r="K1617" s="243"/>
      <c r="L1617" s="244">
        <v>0.1</v>
      </c>
      <c r="M1617" s="244">
        <f t="shared" si="205"/>
        <v>0</v>
      </c>
      <c r="N1617" s="244"/>
      <c r="O1617" s="244"/>
      <c r="P1617" s="244"/>
      <c r="Q1617" s="245">
        <f t="shared" si="206"/>
        <v>0</v>
      </c>
      <c r="R1617" s="245">
        <f t="shared" si="207"/>
        <v>0</v>
      </c>
      <c r="S1617" s="246">
        <v>0.5</v>
      </c>
      <c r="T1617" s="245">
        <f t="shared" si="208"/>
        <v>0</v>
      </c>
      <c r="U1617" s="245">
        <f t="shared" si="209"/>
        <v>0</v>
      </c>
      <c r="V1617" s="247"/>
    </row>
    <row r="1618" spans="1:22" ht="15.75" x14ac:dyDescent="0.25">
      <c r="A1618" s="236"/>
      <c r="B1618" s="237"/>
      <c r="C1618" s="238"/>
      <c r="D1618" s="239"/>
      <c r="E1618" s="240"/>
      <c r="F1618" s="240"/>
      <c r="G1618" s="240"/>
      <c r="H1618" s="241">
        <f t="shared" si="204"/>
        <v>0</v>
      </c>
      <c r="I1618" s="242"/>
      <c r="J1618" s="243"/>
      <c r="K1618" s="243"/>
      <c r="L1618" s="244">
        <v>0.1</v>
      </c>
      <c r="M1618" s="244">
        <f t="shared" si="205"/>
        <v>0</v>
      </c>
      <c r="N1618" s="244"/>
      <c r="O1618" s="244"/>
      <c r="P1618" s="244"/>
      <c r="Q1618" s="245">
        <f t="shared" si="206"/>
        <v>0</v>
      </c>
      <c r="R1618" s="245">
        <f t="shared" si="207"/>
        <v>0</v>
      </c>
      <c r="S1618" s="246">
        <v>0.5</v>
      </c>
      <c r="T1618" s="245">
        <f t="shared" si="208"/>
        <v>0</v>
      </c>
      <c r="U1618" s="245">
        <f t="shared" si="209"/>
        <v>0</v>
      </c>
      <c r="V1618" s="247"/>
    </row>
    <row r="1619" spans="1:22" ht="15.75" x14ac:dyDescent="0.25">
      <c r="A1619" s="236"/>
      <c r="B1619" s="237"/>
      <c r="C1619" s="238"/>
      <c r="D1619" s="239"/>
      <c r="E1619" s="240"/>
      <c r="F1619" s="240"/>
      <c r="G1619" s="240"/>
      <c r="H1619" s="241">
        <f t="shared" si="204"/>
        <v>0</v>
      </c>
      <c r="I1619" s="242"/>
      <c r="J1619" s="243"/>
      <c r="K1619" s="243"/>
      <c r="L1619" s="244">
        <v>0.1</v>
      </c>
      <c r="M1619" s="244">
        <f t="shared" si="205"/>
        <v>0</v>
      </c>
      <c r="N1619" s="244"/>
      <c r="O1619" s="244"/>
      <c r="P1619" s="244"/>
      <c r="Q1619" s="245">
        <f t="shared" si="206"/>
        <v>0</v>
      </c>
      <c r="R1619" s="245">
        <f t="shared" si="207"/>
        <v>0</v>
      </c>
      <c r="S1619" s="246">
        <v>0.5</v>
      </c>
      <c r="T1619" s="245">
        <f t="shared" si="208"/>
        <v>0</v>
      </c>
      <c r="U1619" s="245">
        <f t="shared" si="209"/>
        <v>0</v>
      </c>
      <c r="V1619" s="247"/>
    </row>
    <row r="1620" spans="1:22" ht="15.75" x14ac:dyDescent="0.25">
      <c r="A1620" s="236"/>
      <c r="B1620" s="237"/>
      <c r="C1620" s="238"/>
      <c r="D1620" s="239"/>
      <c r="E1620" s="240"/>
      <c r="F1620" s="240"/>
      <c r="G1620" s="240"/>
      <c r="H1620" s="241">
        <f t="shared" si="204"/>
        <v>0</v>
      </c>
      <c r="I1620" s="242"/>
      <c r="J1620" s="243"/>
      <c r="K1620" s="243"/>
      <c r="L1620" s="244">
        <v>0.1</v>
      </c>
      <c r="M1620" s="244">
        <f t="shared" si="205"/>
        <v>0</v>
      </c>
      <c r="N1620" s="244"/>
      <c r="O1620" s="244"/>
      <c r="P1620" s="244"/>
      <c r="Q1620" s="245">
        <f t="shared" si="206"/>
        <v>0</v>
      </c>
      <c r="R1620" s="245">
        <f t="shared" si="207"/>
        <v>0</v>
      </c>
      <c r="S1620" s="246">
        <v>0.5</v>
      </c>
      <c r="T1620" s="245">
        <f t="shared" si="208"/>
        <v>0</v>
      </c>
      <c r="U1620" s="245">
        <f t="shared" si="209"/>
        <v>0</v>
      </c>
      <c r="V1620" s="247"/>
    </row>
    <row r="1621" spans="1:22" ht="15.75" x14ac:dyDescent="0.25">
      <c r="A1621" s="236"/>
      <c r="B1621" s="237"/>
      <c r="C1621" s="238"/>
      <c r="D1621" s="239"/>
      <c r="E1621" s="240"/>
      <c r="F1621" s="240"/>
      <c r="G1621" s="240"/>
      <c r="H1621" s="241">
        <f t="shared" si="204"/>
        <v>0</v>
      </c>
      <c r="I1621" s="242"/>
      <c r="J1621" s="243"/>
      <c r="K1621" s="243"/>
      <c r="L1621" s="244">
        <v>0.1</v>
      </c>
      <c r="M1621" s="244">
        <f t="shared" si="205"/>
        <v>0</v>
      </c>
      <c r="N1621" s="244"/>
      <c r="O1621" s="244"/>
      <c r="P1621" s="244"/>
      <c r="Q1621" s="245">
        <f t="shared" si="206"/>
        <v>0</v>
      </c>
      <c r="R1621" s="245">
        <f t="shared" si="207"/>
        <v>0</v>
      </c>
      <c r="S1621" s="246">
        <v>0.5</v>
      </c>
      <c r="T1621" s="245">
        <f t="shared" si="208"/>
        <v>0</v>
      </c>
      <c r="U1621" s="245">
        <f t="shared" si="209"/>
        <v>0</v>
      </c>
      <c r="V1621" s="247"/>
    </row>
    <row r="1622" spans="1:22" ht="15.75" x14ac:dyDescent="0.25">
      <c r="A1622" s="236"/>
      <c r="B1622" s="237"/>
      <c r="C1622" s="238"/>
      <c r="D1622" s="239"/>
      <c r="E1622" s="240"/>
      <c r="F1622" s="240"/>
      <c r="G1622" s="240"/>
      <c r="H1622" s="241">
        <f t="shared" si="204"/>
        <v>0</v>
      </c>
      <c r="I1622" s="242"/>
      <c r="J1622" s="243"/>
      <c r="K1622" s="243"/>
      <c r="L1622" s="244">
        <v>0.1</v>
      </c>
      <c r="M1622" s="244">
        <f t="shared" si="205"/>
        <v>0</v>
      </c>
      <c r="N1622" s="244"/>
      <c r="O1622" s="244"/>
      <c r="P1622" s="244"/>
      <c r="Q1622" s="245">
        <f t="shared" si="206"/>
        <v>0</v>
      </c>
      <c r="R1622" s="245">
        <f t="shared" si="207"/>
        <v>0</v>
      </c>
      <c r="S1622" s="246">
        <v>0.5</v>
      </c>
      <c r="T1622" s="245">
        <f t="shared" si="208"/>
        <v>0</v>
      </c>
      <c r="U1622" s="245">
        <f t="shared" si="209"/>
        <v>0</v>
      </c>
      <c r="V1622" s="247"/>
    </row>
    <row r="1623" spans="1:22" ht="15.75" x14ac:dyDescent="0.25">
      <c r="A1623" s="236"/>
      <c r="B1623" s="237"/>
      <c r="C1623" s="238"/>
      <c r="D1623" s="239"/>
      <c r="E1623" s="240"/>
      <c r="F1623" s="240"/>
      <c r="G1623" s="240"/>
      <c r="H1623" s="241">
        <f t="shared" si="204"/>
        <v>0</v>
      </c>
      <c r="I1623" s="242"/>
      <c r="J1623" s="243"/>
      <c r="K1623" s="243"/>
      <c r="L1623" s="244">
        <v>0.1</v>
      </c>
      <c r="M1623" s="244">
        <f t="shared" si="205"/>
        <v>0</v>
      </c>
      <c r="N1623" s="244"/>
      <c r="O1623" s="244"/>
      <c r="P1623" s="244"/>
      <c r="Q1623" s="245">
        <f t="shared" si="206"/>
        <v>0</v>
      </c>
      <c r="R1623" s="245">
        <f t="shared" si="207"/>
        <v>0</v>
      </c>
      <c r="S1623" s="246">
        <v>0.5</v>
      </c>
      <c r="T1623" s="245">
        <f t="shared" si="208"/>
        <v>0</v>
      </c>
      <c r="U1623" s="245">
        <f t="shared" si="209"/>
        <v>0</v>
      </c>
      <c r="V1623" s="247"/>
    </row>
    <row r="1624" spans="1:22" ht="15.75" x14ac:dyDescent="0.25">
      <c r="A1624" s="236"/>
      <c r="B1624" s="237"/>
      <c r="C1624" s="238"/>
      <c r="D1624" s="239"/>
      <c r="E1624" s="240"/>
      <c r="F1624" s="240"/>
      <c r="G1624" s="240"/>
      <c r="H1624" s="241">
        <f t="shared" si="204"/>
        <v>0</v>
      </c>
      <c r="I1624" s="242"/>
      <c r="J1624" s="243"/>
      <c r="K1624" s="243"/>
      <c r="L1624" s="244">
        <v>0.1</v>
      </c>
      <c r="M1624" s="244">
        <f t="shared" si="205"/>
        <v>0</v>
      </c>
      <c r="N1624" s="244"/>
      <c r="O1624" s="244"/>
      <c r="P1624" s="244"/>
      <c r="Q1624" s="245">
        <f t="shared" si="206"/>
        <v>0</v>
      </c>
      <c r="R1624" s="245">
        <f t="shared" si="207"/>
        <v>0</v>
      </c>
      <c r="S1624" s="246">
        <v>0.5</v>
      </c>
      <c r="T1624" s="245">
        <f t="shared" si="208"/>
        <v>0</v>
      </c>
      <c r="U1624" s="245">
        <f t="shared" si="209"/>
        <v>0</v>
      </c>
      <c r="V1624" s="247"/>
    </row>
    <row r="1625" spans="1:22" ht="15.75" x14ac:dyDescent="0.25">
      <c r="A1625" s="236"/>
      <c r="B1625" s="237"/>
      <c r="C1625" s="238"/>
      <c r="D1625" s="239"/>
      <c r="E1625" s="240"/>
      <c r="F1625" s="240"/>
      <c r="G1625" s="240"/>
      <c r="H1625" s="241">
        <f t="shared" si="204"/>
        <v>0</v>
      </c>
      <c r="I1625" s="242"/>
      <c r="J1625" s="243"/>
      <c r="K1625" s="243"/>
      <c r="L1625" s="244">
        <v>0.1</v>
      </c>
      <c r="M1625" s="244">
        <f t="shared" si="205"/>
        <v>0</v>
      </c>
      <c r="N1625" s="244"/>
      <c r="O1625" s="244"/>
      <c r="P1625" s="244"/>
      <c r="Q1625" s="245">
        <f t="shared" si="206"/>
        <v>0</v>
      </c>
      <c r="R1625" s="245">
        <f t="shared" si="207"/>
        <v>0</v>
      </c>
      <c r="S1625" s="246">
        <v>0.5</v>
      </c>
      <c r="T1625" s="245">
        <f t="shared" si="208"/>
        <v>0</v>
      </c>
      <c r="U1625" s="245">
        <f t="shared" si="209"/>
        <v>0</v>
      </c>
      <c r="V1625" s="247"/>
    </row>
    <row r="1626" spans="1:22" ht="15.75" x14ac:dyDescent="0.25">
      <c r="A1626" s="236"/>
      <c r="B1626" s="237"/>
      <c r="C1626" s="238"/>
      <c r="D1626" s="239"/>
      <c r="E1626" s="240"/>
      <c r="F1626" s="240"/>
      <c r="G1626" s="240"/>
      <c r="H1626" s="241">
        <f t="shared" si="204"/>
        <v>0</v>
      </c>
      <c r="I1626" s="242"/>
      <c r="J1626" s="243"/>
      <c r="K1626" s="243"/>
      <c r="L1626" s="244">
        <v>0.1</v>
      </c>
      <c r="M1626" s="244">
        <f t="shared" si="205"/>
        <v>0</v>
      </c>
      <c r="N1626" s="244"/>
      <c r="O1626" s="244"/>
      <c r="P1626" s="244"/>
      <c r="Q1626" s="245">
        <f t="shared" si="206"/>
        <v>0</v>
      </c>
      <c r="R1626" s="245">
        <f t="shared" si="207"/>
        <v>0</v>
      </c>
      <c r="S1626" s="246">
        <v>0.5</v>
      </c>
      <c r="T1626" s="245">
        <f t="shared" si="208"/>
        <v>0</v>
      </c>
      <c r="U1626" s="245">
        <f t="shared" si="209"/>
        <v>0</v>
      </c>
      <c r="V1626" s="247"/>
    </row>
    <row r="1627" spans="1:22" ht="15.75" x14ac:dyDescent="0.25">
      <c r="A1627" s="236"/>
      <c r="B1627" s="237"/>
      <c r="C1627" s="238"/>
      <c r="D1627" s="239"/>
      <c r="E1627" s="240"/>
      <c r="F1627" s="240"/>
      <c r="G1627" s="240"/>
      <c r="H1627" s="241">
        <f t="shared" si="204"/>
        <v>0</v>
      </c>
      <c r="I1627" s="242"/>
      <c r="J1627" s="243"/>
      <c r="K1627" s="243"/>
      <c r="L1627" s="244">
        <v>0.1</v>
      </c>
      <c r="M1627" s="244">
        <f t="shared" si="205"/>
        <v>0</v>
      </c>
      <c r="N1627" s="244"/>
      <c r="O1627" s="244"/>
      <c r="P1627" s="244"/>
      <c r="Q1627" s="245">
        <f t="shared" si="206"/>
        <v>0</v>
      </c>
      <c r="R1627" s="245">
        <f t="shared" si="207"/>
        <v>0</v>
      </c>
      <c r="S1627" s="246">
        <v>0.5</v>
      </c>
      <c r="T1627" s="245">
        <f t="shared" si="208"/>
        <v>0</v>
      </c>
      <c r="U1627" s="245">
        <f t="shared" si="209"/>
        <v>0</v>
      </c>
      <c r="V1627" s="247"/>
    </row>
    <row r="1628" spans="1:22" ht="15.75" x14ac:dyDescent="0.25">
      <c r="A1628" s="236"/>
      <c r="B1628" s="237"/>
      <c r="C1628" s="238"/>
      <c r="D1628" s="239"/>
      <c r="E1628" s="240"/>
      <c r="F1628" s="240"/>
      <c r="G1628" s="240"/>
      <c r="H1628" s="241">
        <f t="shared" si="204"/>
        <v>0</v>
      </c>
      <c r="I1628" s="242"/>
      <c r="J1628" s="243"/>
      <c r="K1628" s="243"/>
      <c r="L1628" s="244">
        <v>0.1</v>
      </c>
      <c r="M1628" s="244">
        <f t="shared" si="205"/>
        <v>0</v>
      </c>
      <c r="N1628" s="244"/>
      <c r="O1628" s="244"/>
      <c r="P1628" s="244"/>
      <c r="Q1628" s="245">
        <f t="shared" si="206"/>
        <v>0</v>
      </c>
      <c r="R1628" s="245">
        <f t="shared" si="207"/>
        <v>0</v>
      </c>
      <c r="S1628" s="246">
        <v>0.5</v>
      </c>
      <c r="T1628" s="245">
        <f t="shared" si="208"/>
        <v>0</v>
      </c>
      <c r="U1628" s="245">
        <f t="shared" si="209"/>
        <v>0</v>
      </c>
      <c r="V1628" s="247"/>
    </row>
    <row r="1629" spans="1:22" ht="15.75" x14ac:dyDescent="0.25">
      <c r="A1629" s="236"/>
      <c r="B1629" s="237"/>
      <c r="C1629" s="238"/>
      <c r="D1629" s="239"/>
      <c r="E1629" s="240"/>
      <c r="F1629" s="240"/>
      <c r="G1629" s="240"/>
      <c r="H1629" s="241">
        <f t="shared" si="204"/>
        <v>0</v>
      </c>
      <c r="I1629" s="242"/>
      <c r="J1629" s="243"/>
      <c r="K1629" s="243"/>
      <c r="L1629" s="244">
        <v>0.1</v>
      </c>
      <c r="M1629" s="244">
        <f t="shared" si="205"/>
        <v>0</v>
      </c>
      <c r="N1629" s="244"/>
      <c r="O1629" s="244"/>
      <c r="P1629" s="244"/>
      <c r="Q1629" s="245">
        <f t="shared" si="206"/>
        <v>0</v>
      </c>
      <c r="R1629" s="245">
        <f t="shared" si="207"/>
        <v>0</v>
      </c>
      <c r="S1629" s="246">
        <v>0.5</v>
      </c>
      <c r="T1629" s="245">
        <f t="shared" si="208"/>
        <v>0</v>
      </c>
      <c r="U1629" s="245">
        <f t="shared" si="209"/>
        <v>0</v>
      </c>
      <c r="V1629" s="247"/>
    </row>
    <row r="1630" spans="1:22" ht="15.75" x14ac:dyDescent="0.25">
      <c r="A1630" s="236"/>
      <c r="B1630" s="237"/>
      <c r="C1630" s="238"/>
      <c r="D1630" s="239"/>
      <c r="E1630" s="240"/>
      <c r="F1630" s="240"/>
      <c r="G1630" s="240"/>
      <c r="H1630" s="241">
        <f t="shared" si="204"/>
        <v>0</v>
      </c>
      <c r="I1630" s="242"/>
      <c r="J1630" s="243"/>
      <c r="K1630" s="243"/>
      <c r="L1630" s="244">
        <v>0.1</v>
      </c>
      <c r="M1630" s="244">
        <f t="shared" si="205"/>
        <v>0</v>
      </c>
      <c r="N1630" s="244"/>
      <c r="O1630" s="244"/>
      <c r="P1630" s="244"/>
      <c r="Q1630" s="245">
        <f t="shared" si="206"/>
        <v>0</v>
      </c>
      <c r="R1630" s="245">
        <f t="shared" si="207"/>
        <v>0</v>
      </c>
      <c r="S1630" s="246">
        <v>0.5</v>
      </c>
      <c r="T1630" s="245">
        <f t="shared" si="208"/>
        <v>0</v>
      </c>
      <c r="U1630" s="245">
        <f t="shared" si="209"/>
        <v>0</v>
      </c>
      <c r="V1630" s="247"/>
    </row>
    <row r="1631" spans="1:22" ht="15.75" x14ac:dyDescent="0.25">
      <c r="A1631" s="236"/>
      <c r="B1631" s="237"/>
      <c r="C1631" s="238"/>
      <c r="D1631" s="239"/>
      <c r="E1631" s="240"/>
      <c r="F1631" s="240"/>
      <c r="G1631" s="240"/>
      <c r="H1631" s="241">
        <f t="shared" si="204"/>
        <v>0</v>
      </c>
      <c r="I1631" s="242"/>
      <c r="J1631" s="243"/>
      <c r="K1631" s="243"/>
      <c r="L1631" s="244">
        <v>0.1</v>
      </c>
      <c r="M1631" s="244">
        <f t="shared" si="205"/>
        <v>0</v>
      </c>
      <c r="N1631" s="244"/>
      <c r="O1631" s="244"/>
      <c r="P1631" s="244"/>
      <c r="Q1631" s="245">
        <f t="shared" si="206"/>
        <v>0</v>
      </c>
      <c r="R1631" s="245">
        <f t="shared" si="207"/>
        <v>0</v>
      </c>
      <c r="S1631" s="246">
        <v>0.5</v>
      </c>
      <c r="T1631" s="245">
        <f t="shared" si="208"/>
        <v>0</v>
      </c>
      <c r="U1631" s="245">
        <f t="shared" si="209"/>
        <v>0</v>
      </c>
      <c r="V1631" s="247"/>
    </row>
    <row r="1632" spans="1:22" ht="15.75" x14ac:dyDescent="0.25">
      <c r="A1632" s="236"/>
      <c r="B1632" s="237"/>
      <c r="C1632" s="238"/>
      <c r="D1632" s="239"/>
      <c r="E1632" s="240"/>
      <c r="F1632" s="240"/>
      <c r="G1632" s="240"/>
      <c r="H1632" s="241">
        <f t="shared" si="204"/>
        <v>0</v>
      </c>
      <c r="I1632" s="242"/>
      <c r="J1632" s="243"/>
      <c r="K1632" s="243"/>
      <c r="L1632" s="244">
        <v>0.1</v>
      </c>
      <c r="M1632" s="244">
        <f t="shared" si="205"/>
        <v>0</v>
      </c>
      <c r="N1632" s="244"/>
      <c r="O1632" s="244"/>
      <c r="P1632" s="244"/>
      <c r="Q1632" s="245">
        <f t="shared" si="206"/>
        <v>0</v>
      </c>
      <c r="R1632" s="245">
        <f t="shared" si="207"/>
        <v>0</v>
      </c>
      <c r="S1632" s="246">
        <v>0.5</v>
      </c>
      <c r="T1632" s="245">
        <f t="shared" si="208"/>
        <v>0</v>
      </c>
      <c r="U1632" s="245">
        <f t="shared" si="209"/>
        <v>0</v>
      </c>
      <c r="V1632" s="247"/>
    </row>
    <row r="1633" spans="1:22" ht="15.75" x14ac:dyDescent="0.25">
      <c r="A1633" s="236"/>
      <c r="B1633" s="237"/>
      <c r="C1633" s="238"/>
      <c r="D1633" s="239"/>
      <c r="E1633" s="240"/>
      <c r="F1633" s="240"/>
      <c r="G1633" s="240"/>
      <c r="H1633" s="241">
        <f t="shared" si="204"/>
        <v>0</v>
      </c>
      <c r="I1633" s="242"/>
      <c r="J1633" s="243"/>
      <c r="K1633" s="243"/>
      <c r="L1633" s="244">
        <v>0.1</v>
      </c>
      <c r="M1633" s="244">
        <f t="shared" si="205"/>
        <v>0</v>
      </c>
      <c r="N1633" s="244"/>
      <c r="O1633" s="244"/>
      <c r="P1633" s="244"/>
      <c r="Q1633" s="245">
        <f t="shared" si="206"/>
        <v>0</v>
      </c>
      <c r="R1633" s="245">
        <f t="shared" si="207"/>
        <v>0</v>
      </c>
      <c r="S1633" s="246">
        <v>0.5</v>
      </c>
      <c r="T1633" s="245">
        <f t="shared" si="208"/>
        <v>0</v>
      </c>
      <c r="U1633" s="245">
        <f t="shared" si="209"/>
        <v>0</v>
      </c>
      <c r="V1633" s="247"/>
    </row>
    <row r="1634" spans="1:22" ht="15.75" x14ac:dyDescent="0.25">
      <c r="A1634" s="236"/>
      <c r="B1634" s="237"/>
      <c r="C1634" s="238"/>
      <c r="D1634" s="239"/>
      <c r="E1634" s="240"/>
      <c r="F1634" s="240"/>
      <c r="G1634" s="240"/>
      <c r="H1634" s="241">
        <f t="shared" si="204"/>
        <v>0</v>
      </c>
      <c r="I1634" s="242"/>
      <c r="J1634" s="243"/>
      <c r="K1634" s="243"/>
      <c r="L1634" s="244">
        <v>0.1</v>
      </c>
      <c r="M1634" s="244">
        <f t="shared" si="205"/>
        <v>0</v>
      </c>
      <c r="N1634" s="244"/>
      <c r="O1634" s="244"/>
      <c r="P1634" s="244"/>
      <c r="Q1634" s="245">
        <f t="shared" si="206"/>
        <v>0</v>
      </c>
      <c r="R1634" s="245">
        <f t="shared" si="207"/>
        <v>0</v>
      </c>
      <c r="S1634" s="246">
        <v>0.5</v>
      </c>
      <c r="T1634" s="245">
        <f t="shared" si="208"/>
        <v>0</v>
      </c>
      <c r="U1634" s="245">
        <f t="shared" si="209"/>
        <v>0</v>
      </c>
      <c r="V1634" s="247"/>
    </row>
    <row r="1635" spans="1:22" ht="15.75" x14ac:dyDescent="0.25">
      <c r="A1635" s="236"/>
      <c r="B1635" s="237"/>
      <c r="C1635" s="238"/>
      <c r="D1635" s="239"/>
      <c r="E1635" s="240"/>
      <c r="F1635" s="240"/>
      <c r="G1635" s="240"/>
      <c r="H1635" s="241">
        <f t="shared" si="204"/>
        <v>0</v>
      </c>
      <c r="I1635" s="242"/>
      <c r="J1635" s="243"/>
      <c r="K1635" s="243"/>
      <c r="L1635" s="244">
        <v>0.1</v>
      </c>
      <c r="M1635" s="244">
        <f t="shared" si="205"/>
        <v>0</v>
      </c>
      <c r="N1635" s="244"/>
      <c r="O1635" s="244"/>
      <c r="P1635" s="244"/>
      <c r="Q1635" s="245">
        <f t="shared" si="206"/>
        <v>0</v>
      </c>
      <c r="R1635" s="245">
        <f t="shared" si="207"/>
        <v>0</v>
      </c>
      <c r="S1635" s="246">
        <v>0.5</v>
      </c>
      <c r="T1635" s="245">
        <f t="shared" si="208"/>
        <v>0</v>
      </c>
      <c r="U1635" s="245">
        <f t="shared" si="209"/>
        <v>0</v>
      </c>
      <c r="V1635" s="247"/>
    </row>
    <row r="1636" spans="1:22" ht="15.75" x14ac:dyDescent="0.25">
      <c r="A1636" s="236"/>
      <c r="B1636" s="237"/>
      <c r="C1636" s="238"/>
      <c r="D1636" s="239"/>
      <c r="E1636" s="240"/>
      <c r="F1636" s="240"/>
      <c r="G1636" s="240"/>
      <c r="H1636" s="241">
        <f t="shared" si="204"/>
        <v>0</v>
      </c>
      <c r="I1636" s="242"/>
      <c r="J1636" s="243"/>
      <c r="K1636" s="243"/>
      <c r="L1636" s="244">
        <v>0.1</v>
      </c>
      <c r="M1636" s="244">
        <f t="shared" si="205"/>
        <v>0</v>
      </c>
      <c r="N1636" s="244"/>
      <c r="O1636" s="244"/>
      <c r="P1636" s="244"/>
      <c r="Q1636" s="245">
        <f t="shared" si="206"/>
        <v>0</v>
      </c>
      <c r="R1636" s="245">
        <f t="shared" si="207"/>
        <v>0</v>
      </c>
      <c r="S1636" s="246">
        <v>0.5</v>
      </c>
      <c r="T1636" s="245">
        <f t="shared" si="208"/>
        <v>0</v>
      </c>
      <c r="U1636" s="245">
        <f t="shared" si="209"/>
        <v>0</v>
      </c>
      <c r="V1636" s="247"/>
    </row>
    <row r="1637" spans="1:22" ht="15.75" x14ac:dyDescent="0.25">
      <c r="A1637" s="236"/>
      <c r="B1637" s="237"/>
      <c r="C1637" s="238"/>
      <c r="D1637" s="239"/>
      <c r="E1637" s="240"/>
      <c r="F1637" s="240"/>
      <c r="G1637" s="240"/>
      <c r="H1637" s="241">
        <f t="shared" si="204"/>
        <v>0</v>
      </c>
      <c r="I1637" s="242"/>
      <c r="J1637" s="243"/>
      <c r="K1637" s="243"/>
      <c r="L1637" s="244">
        <v>0.1</v>
      </c>
      <c r="M1637" s="244">
        <f t="shared" si="205"/>
        <v>0</v>
      </c>
      <c r="N1637" s="244"/>
      <c r="O1637" s="244"/>
      <c r="P1637" s="244"/>
      <c r="Q1637" s="245">
        <f t="shared" si="206"/>
        <v>0</v>
      </c>
      <c r="R1637" s="245">
        <f t="shared" si="207"/>
        <v>0</v>
      </c>
      <c r="S1637" s="246">
        <v>0.5</v>
      </c>
      <c r="T1637" s="245">
        <f t="shared" si="208"/>
        <v>0</v>
      </c>
      <c r="U1637" s="245">
        <f t="shared" si="209"/>
        <v>0</v>
      </c>
      <c r="V1637" s="247"/>
    </row>
    <row r="1638" spans="1:22" ht="15.75" x14ac:dyDescent="0.25">
      <c r="A1638" s="236"/>
      <c r="B1638" s="237"/>
      <c r="C1638" s="238"/>
      <c r="D1638" s="239"/>
      <c r="E1638" s="240"/>
      <c r="F1638" s="240"/>
      <c r="G1638" s="240"/>
      <c r="H1638" s="241">
        <f t="shared" si="204"/>
        <v>0</v>
      </c>
      <c r="I1638" s="242"/>
      <c r="J1638" s="243"/>
      <c r="K1638" s="243"/>
      <c r="L1638" s="244">
        <v>0.1</v>
      </c>
      <c r="M1638" s="244">
        <f t="shared" si="205"/>
        <v>0</v>
      </c>
      <c r="N1638" s="244"/>
      <c r="O1638" s="244"/>
      <c r="P1638" s="244"/>
      <c r="Q1638" s="245">
        <f t="shared" si="206"/>
        <v>0</v>
      </c>
      <c r="R1638" s="245">
        <f t="shared" si="207"/>
        <v>0</v>
      </c>
      <c r="S1638" s="246">
        <v>0.5</v>
      </c>
      <c r="T1638" s="245">
        <f t="shared" si="208"/>
        <v>0</v>
      </c>
      <c r="U1638" s="245">
        <f t="shared" si="209"/>
        <v>0</v>
      </c>
      <c r="V1638" s="247"/>
    </row>
    <row r="1639" spans="1:22" ht="15.75" x14ac:dyDescent="0.25">
      <c r="A1639" s="236"/>
      <c r="B1639" s="237"/>
      <c r="C1639" s="238"/>
      <c r="D1639" s="239"/>
      <c r="E1639" s="240"/>
      <c r="F1639" s="240"/>
      <c r="G1639" s="240"/>
      <c r="H1639" s="241">
        <f t="shared" si="204"/>
        <v>0</v>
      </c>
      <c r="I1639" s="242"/>
      <c r="J1639" s="243"/>
      <c r="K1639" s="243"/>
      <c r="L1639" s="244">
        <v>0.1</v>
      </c>
      <c r="M1639" s="244">
        <f t="shared" si="205"/>
        <v>0</v>
      </c>
      <c r="N1639" s="244"/>
      <c r="O1639" s="244"/>
      <c r="P1639" s="244"/>
      <c r="Q1639" s="245">
        <f t="shared" si="206"/>
        <v>0</v>
      </c>
      <c r="R1639" s="245">
        <f t="shared" si="207"/>
        <v>0</v>
      </c>
      <c r="S1639" s="246">
        <v>0.5</v>
      </c>
      <c r="T1639" s="245">
        <f t="shared" si="208"/>
        <v>0</v>
      </c>
      <c r="U1639" s="245">
        <f t="shared" si="209"/>
        <v>0</v>
      </c>
      <c r="V1639" s="247"/>
    </row>
    <row r="1640" spans="1:22" ht="15.75" x14ac:dyDescent="0.25">
      <c r="A1640" s="236"/>
      <c r="B1640" s="237"/>
      <c r="C1640" s="238"/>
      <c r="D1640" s="239"/>
      <c r="E1640" s="240"/>
      <c r="F1640" s="240"/>
      <c r="G1640" s="240"/>
      <c r="H1640" s="241">
        <f t="shared" si="204"/>
        <v>0</v>
      </c>
      <c r="I1640" s="242"/>
      <c r="J1640" s="243"/>
      <c r="K1640" s="243"/>
      <c r="L1640" s="244">
        <v>0.1</v>
      </c>
      <c r="M1640" s="244">
        <f t="shared" si="205"/>
        <v>0</v>
      </c>
      <c r="N1640" s="244"/>
      <c r="O1640" s="244"/>
      <c r="P1640" s="244"/>
      <c r="Q1640" s="245">
        <f t="shared" si="206"/>
        <v>0</v>
      </c>
      <c r="R1640" s="245">
        <f t="shared" si="207"/>
        <v>0</v>
      </c>
      <c r="S1640" s="246">
        <v>0.5</v>
      </c>
      <c r="T1640" s="245">
        <f t="shared" si="208"/>
        <v>0</v>
      </c>
      <c r="U1640" s="245">
        <f t="shared" si="209"/>
        <v>0</v>
      </c>
      <c r="V1640" s="247"/>
    </row>
    <row r="1641" spans="1:22" ht="15.75" x14ac:dyDescent="0.25">
      <c r="A1641" s="236"/>
      <c r="B1641" s="237"/>
      <c r="C1641" s="238"/>
      <c r="D1641" s="239"/>
      <c r="E1641" s="240"/>
      <c r="F1641" s="240"/>
      <c r="G1641" s="240"/>
      <c r="H1641" s="241">
        <f t="shared" si="204"/>
        <v>0</v>
      </c>
      <c r="I1641" s="242"/>
      <c r="J1641" s="243"/>
      <c r="K1641" s="243"/>
      <c r="L1641" s="244">
        <v>0.1</v>
      </c>
      <c r="M1641" s="244">
        <f t="shared" si="205"/>
        <v>0</v>
      </c>
      <c r="N1641" s="244"/>
      <c r="O1641" s="244"/>
      <c r="P1641" s="244"/>
      <c r="Q1641" s="245">
        <f t="shared" si="206"/>
        <v>0</v>
      </c>
      <c r="R1641" s="245">
        <f t="shared" si="207"/>
        <v>0</v>
      </c>
      <c r="S1641" s="246">
        <v>0.5</v>
      </c>
      <c r="T1641" s="245">
        <f t="shared" si="208"/>
        <v>0</v>
      </c>
      <c r="U1641" s="245">
        <f t="shared" si="209"/>
        <v>0</v>
      </c>
      <c r="V1641" s="247"/>
    </row>
    <row r="1642" spans="1:22" ht="15.75" x14ac:dyDescent="0.25">
      <c r="A1642" s="236"/>
      <c r="B1642" s="237"/>
      <c r="C1642" s="238"/>
      <c r="D1642" s="239"/>
      <c r="E1642" s="240"/>
      <c r="F1642" s="240"/>
      <c r="G1642" s="240"/>
      <c r="H1642" s="241">
        <f t="shared" si="204"/>
        <v>0</v>
      </c>
      <c r="I1642" s="242"/>
      <c r="J1642" s="243"/>
      <c r="K1642" s="243"/>
      <c r="L1642" s="244">
        <v>0.1</v>
      </c>
      <c r="M1642" s="244">
        <f t="shared" si="205"/>
        <v>0</v>
      </c>
      <c r="N1642" s="244"/>
      <c r="O1642" s="244"/>
      <c r="P1642" s="244"/>
      <c r="Q1642" s="245">
        <f t="shared" si="206"/>
        <v>0</v>
      </c>
      <c r="R1642" s="245">
        <f t="shared" si="207"/>
        <v>0</v>
      </c>
      <c r="S1642" s="246">
        <v>0.5</v>
      </c>
      <c r="T1642" s="245">
        <f t="shared" si="208"/>
        <v>0</v>
      </c>
      <c r="U1642" s="245">
        <f t="shared" si="209"/>
        <v>0</v>
      </c>
      <c r="V1642" s="247"/>
    </row>
    <row r="1643" spans="1:22" ht="15.75" x14ac:dyDescent="0.25">
      <c r="A1643" s="236"/>
      <c r="B1643" s="237"/>
      <c r="C1643" s="238"/>
      <c r="D1643" s="239"/>
      <c r="E1643" s="240"/>
      <c r="F1643" s="240"/>
      <c r="G1643" s="240"/>
      <c r="H1643" s="241">
        <f t="shared" si="204"/>
        <v>0</v>
      </c>
      <c r="I1643" s="242"/>
      <c r="J1643" s="243"/>
      <c r="K1643" s="243"/>
      <c r="L1643" s="244">
        <v>0.1</v>
      </c>
      <c r="M1643" s="244">
        <f t="shared" si="205"/>
        <v>0</v>
      </c>
      <c r="N1643" s="244"/>
      <c r="O1643" s="244"/>
      <c r="P1643" s="244"/>
      <c r="Q1643" s="245">
        <f t="shared" si="206"/>
        <v>0</v>
      </c>
      <c r="R1643" s="245">
        <f t="shared" si="207"/>
        <v>0</v>
      </c>
      <c r="S1643" s="246">
        <v>0.5</v>
      </c>
      <c r="T1643" s="245">
        <f t="shared" si="208"/>
        <v>0</v>
      </c>
      <c r="U1643" s="245">
        <f t="shared" si="209"/>
        <v>0</v>
      </c>
      <c r="V1643" s="247"/>
    </row>
    <row r="1644" spans="1:22" ht="15.75" x14ac:dyDescent="0.25">
      <c r="A1644" s="236"/>
      <c r="B1644" s="237"/>
      <c r="C1644" s="238"/>
      <c r="D1644" s="239"/>
      <c r="E1644" s="240"/>
      <c r="F1644" s="240"/>
      <c r="G1644" s="240"/>
      <c r="H1644" s="241">
        <f t="shared" si="204"/>
        <v>0</v>
      </c>
      <c r="I1644" s="242"/>
      <c r="J1644" s="243"/>
      <c r="K1644" s="243"/>
      <c r="L1644" s="244">
        <v>0.1</v>
      </c>
      <c r="M1644" s="244">
        <f t="shared" si="205"/>
        <v>0</v>
      </c>
      <c r="N1644" s="244"/>
      <c r="O1644" s="244"/>
      <c r="P1644" s="244"/>
      <c r="Q1644" s="245">
        <f t="shared" si="206"/>
        <v>0</v>
      </c>
      <c r="R1644" s="245">
        <f t="shared" si="207"/>
        <v>0</v>
      </c>
      <c r="S1644" s="246">
        <v>0.5</v>
      </c>
      <c r="T1644" s="245">
        <f t="shared" si="208"/>
        <v>0</v>
      </c>
      <c r="U1644" s="245">
        <f t="shared" si="209"/>
        <v>0</v>
      </c>
      <c r="V1644" s="247"/>
    </row>
    <row r="1645" spans="1:22" ht="15.75" x14ac:dyDescent="0.25">
      <c r="A1645" s="236"/>
      <c r="B1645" s="237"/>
      <c r="C1645" s="238"/>
      <c r="D1645" s="239"/>
      <c r="E1645" s="240"/>
      <c r="F1645" s="240"/>
      <c r="G1645" s="240"/>
      <c r="H1645" s="241">
        <f t="shared" si="204"/>
        <v>0</v>
      </c>
      <c r="I1645" s="242"/>
      <c r="J1645" s="243"/>
      <c r="K1645" s="243"/>
      <c r="L1645" s="244">
        <v>0.1</v>
      </c>
      <c r="M1645" s="244">
        <f t="shared" si="205"/>
        <v>0</v>
      </c>
      <c r="N1645" s="244"/>
      <c r="O1645" s="244"/>
      <c r="P1645" s="244"/>
      <c r="Q1645" s="245">
        <f t="shared" si="206"/>
        <v>0</v>
      </c>
      <c r="R1645" s="245">
        <f t="shared" si="207"/>
        <v>0</v>
      </c>
      <c r="S1645" s="246">
        <v>0.5</v>
      </c>
      <c r="T1645" s="245">
        <f t="shared" si="208"/>
        <v>0</v>
      </c>
      <c r="U1645" s="245">
        <f t="shared" si="209"/>
        <v>0</v>
      </c>
      <c r="V1645" s="247"/>
    </row>
    <row r="1646" spans="1:22" ht="15.75" x14ac:dyDescent="0.25">
      <c r="A1646" s="236"/>
      <c r="B1646" s="237"/>
      <c r="C1646" s="238"/>
      <c r="D1646" s="239"/>
      <c r="E1646" s="240"/>
      <c r="F1646" s="240"/>
      <c r="G1646" s="240"/>
      <c r="H1646" s="241">
        <f t="shared" si="204"/>
        <v>0</v>
      </c>
      <c r="I1646" s="242"/>
      <c r="J1646" s="243"/>
      <c r="K1646" s="243"/>
      <c r="L1646" s="244">
        <v>0.1</v>
      </c>
      <c r="M1646" s="244">
        <f t="shared" si="205"/>
        <v>0</v>
      </c>
      <c r="N1646" s="244"/>
      <c r="O1646" s="244"/>
      <c r="P1646" s="244"/>
      <c r="Q1646" s="245">
        <f t="shared" si="206"/>
        <v>0</v>
      </c>
      <c r="R1646" s="245">
        <f t="shared" si="207"/>
        <v>0</v>
      </c>
      <c r="S1646" s="246">
        <v>0.5</v>
      </c>
      <c r="T1646" s="245">
        <f t="shared" si="208"/>
        <v>0</v>
      </c>
      <c r="U1646" s="245">
        <f t="shared" si="209"/>
        <v>0</v>
      </c>
      <c r="V1646" s="247"/>
    </row>
    <row r="1647" spans="1:22" ht="15.75" x14ac:dyDescent="0.25">
      <c r="A1647" s="236"/>
      <c r="B1647" s="237"/>
      <c r="C1647" s="238"/>
      <c r="D1647" s="239"/>
      <c r="E1647" s="240"/>
      <c r="F1647" s="240"/>
      <c r="G1647" s="240"/>
      <c r="H1647" s="241">
        <f t="shared" si="204"/>
        <v>0</v>
      </c>
      <c r="I1647" s="242"/>
      <c r="J1647" s="243"/>
      <c r="K1647" s="243"/>
      <c r="L1647" s="244">
        <v>0.1</v>
      </c>
      <c r="M1647" s="244">
        <f t="shared" si="205"/>
        <v>0</v>
      </c>
      <c r="N1647" s="244"/>
      <c r="O1647" s="244"/>
      <c r="P1647" s="244"/>
      <c r="Q1647" s="245">
        <f t="shared" si="206"/>
        <v>0</v>
      </c>
      <c r="R1647" s="245">
        <f t="shared" si="207"/>
        <v>0</v>
      </c>
      <c r="S1647" s="246">
        <v>0.5</v>
      </c>
      <c r="T1647" s="245">
        <f t="shared" si="208"/>
        <v>0</v>
      </c>
      <c r="U1647" s="245">
        <f t="shared" si="209"/>
        <v>0</v>
      </c>
      <c r="V1647" s="247"/>
    </row>
    <row r="1648" spans="1:22" ht="15.75" x14ac:dyDescent="0.25">
      <c r="A1648" s="236"/>
      <c r="B1648" s="237"/>
      <c r="C1648" s="238"/>
      <c r="D1648" s="239"/>
      <c r="E1648" s="240"/>
      <c r="F1648" s="240"/>
      <c r="G1648" s="240"/>
      <c r="H1648" s="241">
        <f t="shared" si="204"/>
        <v>0</v>
      </c>
      <c r="I1648" s="242"/>
      <c r="J1648" s="243"/>
      <c r="K1648" s="243"/>
      <c r="L1648" s="244">
        <v>0.1</v>
      </c>
      <c r="M1648" s="244">
        <f t="shared" si="205"/>
        <v>0</v>
      </c>
      <c r="N1648" s="244"/>
      <c r="O1648" s="244"/>
      <c r="P1648" s="244"/>
      <c r="Q1648" s="245">
        <f t="shared" si="206"/>
        <v>0</v>
      </c>
      <c r="R1648" s="245">
        <f t="shared" si="207"/>
        <v>0</v>
      </c>
      <c r="S1648" s="246">
        <v>0.5</v>
      </c>
      <c r="T1648" s="245">
        <f t="shared" si="208"/>
        <v>0</v>
      </c>
      <c r="U1648" s="245">
        <f t="shared" si="209"/>
        <v>0</v>
      </c>
      <c r="V1648" s="247"/>
    </row>
    <row r="1649" spans="1:22" ht="15.75" x14ac:dyDescent="0.25">
      <c r="A1649" s="236"/>
      <c r="B1649" s="237"/>
      <c r="C1649" s="238"/>
      <c r="D1649" s="239"/>
      <c r="E1649" s="240"/>
      <c r="F1649" s="240"/>
      <c r="G1649" s="240"/>
      <c r="H1649" s="241">
        <f t="shared" si="204"/>
        <v>0</v>
      </c>
      <c r="I1649" s="242"/>
      <c r="J1649" s="243"/>
      <c r="K1649" s="243"/>
      <c r="L1649" s="244">
        <v>0.1</v>
      </c>
      <c r="M1649" s="244">
        <f t="shared" si="205"/>
        <v>0</v>
      </c>
      <c r="N1649" s="244"/>
      <c r="O1649" s="244"/>
      <c r="P1649" s="244"/>
      <c r="Q1649" s="245">
        <f t="shared" si="206"/>
        <v>0</v>
      </c>
      <c r="R1649" s="245">
        <f t="shared" si="207"/>
        <v>0</v>
      </c>
      <c r="S1649" s="246">
        <v>0.5</v>
      </c>
      <c r="T1649" s="245">
        <f t="shared" si="208"/>
        <v>0</v>
      </c>
      <c r="U1649" s="245">
        <f t="shared" si="209"/>
        <v>0</v>
      </c>
      <c r="V1649" s="247"/>
    </row>
    <row r="1650" spans="1:22" ht="15.75" x14ac:dyDescent="0.25">
      <c r="A1650" s="236"/>
      <c r="B1650" s="237"/>
      <c r="C1650" s="238"/>
      <c r="D1650" s="239"/>
      <c r="E1650" s="240"/>
      <c r="F1650" s="240"/>
      <c r="G1650" s="240"/>
      <c r="H1650" s="241">
        <f t="shared" si="204"/>
        <v>0</v>
      </c>
      <c r="I1650" s="242"/>
      <c r="J1650" s="243"/>
      <c r="K1650" s="243"/>
      <c r="L1650" s="244">
        <v>0.1</v>
      </c>
      <c r="M1650" s="244">
        <f t="shared" si="205"/>
        <v>0</v>
      </c>
      <c r="N1650" s="244"/>
      <c r="O1650" s="244"/>
      <c r="P1650" s="244"/>
      <c r="Q1650" s="245">
        <f t="shared" si="206"/>
        <v>0</v>
      </c>
      <c r="R1650" s="245">
        <f t="shared" si="207"/>
        <v>0</v>
      </c>
      <c r="S1650" s="246">
        <v>0.5</v>
      </c>
      <c r="T1650" s="245">
        <f t="shared" si="208"/>
        <v>0</v>
      </c>
      <c r="U1650" s="245">
        <f t="shared" si="209"/>
        <v>0</v>
      </c>
      <c r="V1650" s="247"/>
    </row>
    <row r="1651" spans="1:22" ht="15.75" x14ac:dyDescent="0.25">
      <c r="A1651" s="236"/>
      <c r="B1651" s="237"/>
      <c r="C1651" s="238"/>
      <c r="D1651" s="239"/>
      <c r="E1651" s="240"/>
      <c r="F1651" s="240"/>
      <c r="G1651" s="240"/>
      <c r="H1651" s="241">
        <f t="shared" si="204"/>
        <v>0</v>
      </c>
      <c r="I1651" s="242"/>
      <c r="J1651" s="243"/>
      <c r="K1651" s="243"/>
      <c r="L1651" s="244">
        <v>0.1</v>
      </c>
      <c r="M1651" s="244">
        <f t="shared" si="205"/>
        <v>0</v>
      </c>
      <c r="N1651" s="244"/>
      <c r="O1651" s="244"/>
      <c r="P1651" s="244"/>
      <c r="Q1651" s="245">
        <f t="shared" si="206"/>
        <v>0</v>
      </c>
      <c r="R1651" s="245">
        <f t="shared" si="207"/>
        <v>0</v>
      </c>
      <c r="S1651" s="246">
        <v>0.5</v>
      </c>
      <c r="T1651" s="245">
        <f t="shared" si="208"/>
        <v>0</v>
      </c>
      <c r="U1651" s="245">
        <f t="shared" si="209"/>
        <v>0</v>
      </c>
      <c r="V1651" s="247"/>
    </row>
    <row r="1652" spans="1:22" ht="15.75" x14ac:dyDescent="0.25">
      <c r="A1652" s="236"/>
      <c r="B1652" s="237"/>
      <c r="C1652" s="238"/>
      <c r="D1652" s="239"/>
      <c r="E1652" s="240"/>
      <c r="F1652" s="240"/>
      <c r="G1652" s="240"/>
      <c r="H1652" s="241">
        <f t="shared" si="204"/>
        <v>0</v>
      </c>
      <c r="I1652" s="242"/>
      <c r="J1652" s="243"/>
      <c r="K1652" s="243"/>
      <c r="L1652" s="244">
        <v>0.1</v>
      </c>
      <c r="M1652" s="244">
        <f t="shared" si="205"/>
        <v>0</v>
      </c>
      <c r="N1652" s="244"/>
      <c r="O1652" s="244"/>
      <c r="P1652" s="244"/>
      <c r="Q1652" s="245">
        <f t="shared" si="206"/>
        <v>0</v>
      </c>
      <c r="R1652" s="245">
        <f t="shared" si="207"/>
        <v>0</v>
      </c>
      <c r="S1652" s="246">
        <v>0.5</v>
      </c>
      <c r="T1652" s="245">
        <f t="shared" si="208"/>
        <v>0</v>
      </c>
      <c r="U1652" s="245">
        <f t="shared" si="209"/>
        <v>0</v>
      </c>
      <c r="V1652" s="247"/>
    </row>
    <row r="1653" spans="1:22" ht="15.75" x14ac:dyDescent="0.25">
      <c r="A1653" s="236"/>
      <c r="B1653" s="237"/>
      <c r="C1653" s="238"/>
      <c r="D1653" s="239"/>
      <c r="E1653" s="240"/>
      <c r="F1653" s="240"/>
      <c r="G1653" s="240"/>
      <c r="H1653" s="241">
        <f t="shared" si="204"/>
        <v>0</v>
      </c>
      <c r="I1653" s="242"/>
      <c r="J1653" s="243"/>
      <c r="K1653" s="243"/>
      <c r="L1653" s="244">
        <v>0.1</v>
      </c>
      <c r="M1653" s="244">
        <f t="shared" si="205"/>
        <v>0</v>
      </c>
      <c r="N1653" s="244"/>
      <c r="O1653" s="244"/>
      <c r="P1653" s="244"/>
      <c r="Q1653" s="245">
        <f t="shared" si="206"/>
        <v>0</v>
      </c>
      <c r="R1653" s="245">
        <f t="shared" si="207"/>
        <v>0</v>
      </c>
      <c r="S1653" s="246">
        <v>0.5</v>
      </c>
      <c r="T1653" s="245">
        <f t="shared" si="208"/>
        <v>0</v>
      </c>
      <c r="U1653" s="245">
        <f t="shared" si="209"/>
        <v>0</v>
      </c>
      <c r="V1653" s="247"/>
    </row>
    <row r="1654" spans="1:22" ht="15.75" x14ac:dyDescent="0.25">
      <c r="A1654" s="236"/>
      <c r="B1654" s="237"/>
      <c r="C1654" s="238"/>
      <c r="D1654" s="239"/>
      <c r="E1654" s="240"/>
      <c r="F1654" s="240"/>
      <c r="G1654" s="240"/>
      <c r="H1654" s="241">
        <f t="shared" si="204"/>
        <v>0</v>
      </c>
      <c r="I1654" s="242"/>
      <c r="J1654" s="243"/>
      <c r="K1654" s="243"/>
      <c r="L1654" s="244">
        <v>0.1</v>
      </c>
      <c r="M1654" s="244">
        <f t="shared" si="205"/>
        <v>0</v>
      </c>
      <c r="N1654" s="244"/>
      <c r="O1654" s="244"/>
      <c r="P1654" s="244"/>
      <c r="Q1654" s="245">
        <f t="shared" si="206"/>
        <v>0</v>
      </c>
      <c r="R1654" s="245">
        <f t="shared" si="207"/>
        <v>0</v>
      </c>
      <c r="S1654" s="246">
        <v>0.5</v>
      </c>
      <c r="T1654" s="245">
        <f t="shared" si="208"/>
        <v>0</v>
      </c>
      <c r="U1654" s="245">
        <f t="shared" si="209"/>
        <v>0</v>
      </c>
      <c r="V1654" s="247"/>
    </row>
    <row r="1655" spans="1:22" ht="15.75" x14ac:dyDescent="0.25">
      <c r="A1655" s="236"/>
      <c r="B1655" s="237"/>
      <c r="C1655" s="238"/>
      <c r="D1655" s="239"/>
      <c r="E1655" s="240"/>
      <c r="F1655" s="240"/>
      <c r="G1655" s="240"/>
      <c r="H1655" s="241">
        <f t="shared" si="204"/>
        <v>0</v>
      </c>
      <c r="I1655" s="242"/>
      <c r="J1655" s="243"/>
      <c r="K1655" s="243"/>
      <c r="L1655" s="244">
        <v>0.1</v>
      </c>
      <c r="M1655" s="244">
        <f t="shared" si="205"/>
        <v>0</v>
      </c>
      <c r="N1655" s="244"/>
      <c r="O1655" s="244"/>
      <c r="P1655" s="244"/>
      <c r="Q1655" s="245">
        <f t="shared" si="206"/>
        <v>0</v>
      </c>
      <c r="R1655" s="245">
        <f t="shared" si="207"/>
        <v>0</v>
      </c>
      <c r="S1655" s="246">
        <v>0.5</v>
      </c>
      <c r="T1655" s="245">
        <f t="shared" si="208"/>
        <v>0</v>
      </c>
      <c r="U1655" s="245">
        <f t="shared" si="209"/>
        <v>0</v>
      </c>
      <c r="V1655" s="247"/>
    </row>
    <row r="1656" spans="1:22" ht="15.75" x14ac:dyDescent="0.25">
      <c r="A1656" s="236"/>
      <c r="B1656" s="237"/>
      <c r="C1656" s="238"/>
      <c r="D1656" s="239"/>
      <c r="E1656" s="240"/>
      <c r="F1656" s="240"/>
      <c r="G1656" s="240"/>
      <c r="H1656" s="241">
        <f t="shared" si="204"/>
        <v>0</v>
      </c>
      <c r="I1656" s="242"/>
      <c r="J1656" s="243"/>
      <c r="K1656" s="243"/>
      <c r="L1656" s="244">
        <v>0.1</v>
      </c>
      <c r="M1656" s="244">
        <f t="shared" si="205"/>
        <v>0</v>
      </c>
      <c r="N1656" s="244"/>
      <c r="O1656" s="244"/>
      <c r="P1656" s="244"/>
      <c r="Q1656" s="245">
        <f t="shared" si="206"/>
        <v>0</v>
      </c>
      <c r="R1656" s="245">
        <f t="shared" si="207"/>
        <v>0</v>
      </c>
      <c r="S1656" s="246">
        <v>0.5</v>
      </c>
      <c r="T1656" s="245">
        <f t="shared" si="208"/>
        <v>0</v>
      </c>
      <c r="U1656" s="245">
        <f t="shared" si="209"/>
        <v>0</v>
      </c>
      <c r="V1656" s="247"/>
    </row>
    <row r="1657" spans="1:22" ht="15.75" x14ac:dyDescent="0.25">
      <c r="A1657" s="236"/>
      <c r="B1657" s="237"/>
      <c r="C1657" s="238"/>
      <c r="D1657" s="239"/>
      <c r="E1657" s="240"/>
      <c r="F1657" s="240"/>
      <c r="G1657" s="240"/>
      <c r="H1657" s="241">
        <f t="shared" si="204"/>
        <v>0</v>
      </c>
      <c r="I1657" s="242"/>
      <c r="J1657" s="243"/>
      <c r="K1657" s="243"/>
      <c r="L1657" s="244">
        <v>0.1</v>
      </c>
      <c r="M1657" s="244">
        <f t="shared" si="205"/>
        <v>0</v>
      </c>
      <c r="N1657" s="244"/>
      <c r="O1657" s="244"/>
      <c r="P1657" s="244"/>
      <c r="Q1657" s="245">
        <f t="shared" si="206"/>
        <v>0</v>
      </c>
      <c r="R1657" s="245">
        <f t="shared" si="207"/>
        <v>0</v>
      </c>
      <c r="S1657" s="246">
        <v>0.5</v>
      </c>
      <c r="T1657" s="245">
        <f t="shared" si="208"/>
        <v>0</v>
      </c>
      <c r="U1657" s="245">
        <f t="shared" si="209"/>
        <v>0</v>
      </c>
      <c r="V1657" s="247"/>
    </row>
    <row r="1658" spans="1:22" ht="15.75" x14ac:dyDescent="0.25">
      <c r="A1658" s="236"/>
      <c r="B1658" s="237"/>
      <c r="C1658" s="238"/>
      <c r="D1658" s="239"/>
      <c r="E1658" s="240"/>
      <c r="F1658" s="240"/>
      <c r="G1658" s="240"/>
      <c r="H1658" s="241">
        <f t="shared" si="204"/>
        <v>0</v>
      </c>
      <c r="I1658" s="242"/>
      <c r="J1658" s="243"/>
      <c r="K1658" s="243"/>
      <c r="L1658" s="244">
        <v>0.1</v>
      </c>
      <c r="M1658" s="244">
        <f t="shared" si="205"/>
        <v>0</v>
      </c>
      <c r="N1658" s="244"/>
      <c r="O1658" s="244"/>
      <c r="P1658" s="244"/>
      <c r="Q1658" s="245">
        <f t="shared" si="206"/>
        <v>0</v>
      </c>
      <c r="R1658" s="245">
        <f t="shared" si="207"/>
        <v>0</v>
      </c>
      <c r="S1658" s="246">
        <v>0.5</v>
      </c>
      <c r="T1658" s="245">
        <f t="shared" si="208"/>
        <v>0</v>
      </c>
      <c r="U1658" s="245">
        <f t="shared" si="209"/>
        <v>0</v>
      </c>
      <c r="V1658" s="247"/>
    </row>
    <row r="1659" spans="1:22" ht="15.75" x14ac:dyDescent="0.25">
      <c r="A1659" s="236"/>
      <c r="B1659" s="237"/>
      <c r="C1659" s="238"/>
      <c r="D1659" s="239"/>
      <c r="E1659" s="240"/>
      <c r="F1659" s="240"/>
      <c r="G1659" s="240"/>
      <c r="H1659" s="241">
        <f t="shared" si="204"/>
        <v>0</v>
      </c>
      <c r="I1659" s="242"/>
      <c r="J1659" s="243"/>
      <c r="K1659" s="243"/>
      <c r="L1659" s="244">
        <v>0.1</v>
      </c>
      <c r="M1659" s="244">
        <f t="shared" si="205"/>
        <v>0</v>
      </c>
      <c r="N1659" s="244"/>
      <c r="O1659" s="244"/>
      <c r="P1659" s="244"/>
      <c r="Q1659" s="245">
        <f t="shared" si="206"/>
        <v>0</v>
      </c>
      <c r="R1659" s="245">
        <f t="shared" si="207"/>
        <v>0</v>
      </c>
      <c r="S1659" s="246">
        <v>0.5</v>
      </c>
      <c r="T1659" s="245">
        <f t="shared" si="208"/>
        <v>0</v>
      </c>
      <c r="U1659" s="245">
        <f t="shared" si="209"/>
        <v>0</v>
      </c>
      <c r="V1659" s="247"/>
    </row>
    <row r="1660" spans="1:22" ht="15.75" x14ac:dyDescent="0.25">
      <c r="A1660" s="236"/>
      <c r="B1660" s="237"/>
      <c r="C1660" s="238"/>
      <c r="D1660" s="239"/>
      <c r="E1660" s="240"/>
      <c r="F1660" s="240"/>
      <c r="G1660" s="240"/>
      <c r="H1660" s="241">
        <f t="shared" si="204"/>
        <v>0</v>
      </c>
      <c r="I1660" s="242"/>
      <c r="J1660" s="243"/>
      <c r="K1660" s="243"/>
      <c r="L1660" s="244">
        <v>0.1</v>
      </c>
      <c r="M1660" s="244">
        <f t="shared" si="205"/>
        <v>0</v>
      </c>
      <c r="N1660" s="244"/>
      <c r="O1660" s="244"/>
      <c r="P1660" s="244"/>
      <c r="Q1660" s="245">
        <f t="shared" si="206"/>
        <v>0</v>
      </c>
      <c r="R1660" s="245">
        <f t="shared" si="207"/>
        <v>0</v>
      </c>
      <c r="S1660" s="246">
        <v>0.5</v>
      </c>
      <c r="T1660" s="245">
        <f t="shared" si="208"/>
        <v>0</v>
      </c>
      <c r="U1660" s="245">
        <f t="shared" si="209"/>
        <v>0</v>
      </c>
      <c r="V1660" s="247"/>
    </row>
    <row r="1661" spans="1:22" ht="15.75" x14ac:dyDescent="0.25">
      <c r="A1661" s="236"/>
      <c r="B1661" s="237"/>
      <c r="C1661" s="238"/>
      <c r="D1661" s="239"/>
      <c r="E1661" s="240"/>
      <c r="F1661" s="240"/>
      <c r="G1661" s="240"/>
      <c r="H1661" s="241">
        <f t="shared" ref="H1661:H1724" si="210">+E1661+F1661+G1661</f>
        <v>0</v>
      </c>
      <c r="I1661" s="242"/>
      <c r="J1661" s="243"/>
      <c r="K1661" s="243"/>
      <c r="L1661" s="244">
        <v>0.1</v>
      </c>
      <c r="M1661" s="244">
        <f t="shared" ref="M1661:M1724" si="211">+L1661*C1661</f>
        <v>0</v>
      </c>
      <c r="N1661" s="244"/>
      <c r="O1661" s="244"/>
      <c r="P1661" s="244"/>
      <c r="Q1661" s="245">
        <f t="shared" ref="Q1661:Q1724" si="212">+N1661+O1661+P1661</f>
        <v>0</v>
      </c>
      <c r="R1661" s="245">
        <f t="shared" ref="R1661:R1724" si="213">IF(+Q1661-H1661&lt;=0,0,Q1661-H1661)</f>
        <v>0</v>
      </c>
      <c r="S1661" s="246">
        <v>0.5</v>
      </c>
      <c r="T1661" s="245">
        <f t="shared" ref="T1661:T1724" si="214">+(R1661*C1661)*S1661</f>
        <v>0</v>
      </c>
      <c r="U1661" s="245">
        <f t="shared" ref="U1661:U1724" si="215">+J1661+M1661+T1661</f>
        <v>0</v>
      </c>
      <c r="V1661" s="247"/>
    </row>
    <row r="1662" spans="1:22" ht="15.75" x14ac:dyDescent="0.25">
      <c r="A1662" s="236"/>
      <c r="B1662" s="237"/>
      <c r="C1662" s="238"/>
      <c r="D1662" s="239"/>
      <c r="E1662" s="240"/>
      <c r="F1662" s="240"/>
      <c r="G1662" s="240"/>
      <c r="H1662" s="241">
        <f t="shared" si="210"/>
        <v>0</v>
      </c>
      <c r="I1662" s="242"/>
      <c r="J1662" s="243"/>
      <c r="K1662" s="243"/>
      <c r="L1662" s="244">
        <v>0.1</v>
      </c>
      <c r="M1662" s="244">
        <f t="shared" si="211"/>
        <v>0</v>
      </c>
      <c r="N1662" s="244"/>
      <c r="O1662" s="244"/>
      <c r="P1662" s="244"/>
      <c r="Q1662" s="245">
        <f t="shared" si="212"/>
        <v>0</v>
      </c>
      <c r="R1662" s="245">
        <f t="shared" si="213"/>
        <v>0</v>
      </c>
      <c r="S1662" s="246">
        <v>0.5</v>
      </c>
      <c r="T1662" s="245">
        <f t="shared" si="214"/>
        <v>0</v>
      </c>
      <c r="U1662" s="245">
        <f t="shared" si="215"/>
        <v>0</v>
      </c>
      <c r="V1662" s="247"/>
    </row>
    <row r="1663" spans="1:22" ht="15.75" x14ac:dyDescent="0.25">
      <c r="A1663" s="236"/>
      <c r="B1663" s="237"/>
      <c r="C1663" s="238"/>
      <c r="D1663" s="239"/>
      <c r="E1663" s="240"/>
      <c r="F1663" s="240"/>
      <c r="G1663" s="240"/>
      <c r="H1663" s="241">
        <f t="shared" si="210"/>
        <v>0</v>
      </c>
      <c r="I1663" s="242"/>
      <c r="J1663" s="243"/>
      <c r="K1663" s="243"/>
      <c r="L1663" s="244">
        <v>0.1</v>
      </c>
      <c r="M1663" s="244">
        <f t="shared" si="211"/>
        <v>0</v>
      </c>
      <c r="N1663" s="244"/>
      <c r="O1663" s="244"/>
      <c r="P1663" s="244"/>
      <c r="Q1663" s="245">
        <f t="shared" si="212"/>
        <v>0</v>
      </c>
      <c r="R1663" s="245">
        <f t="shared" si="213"/>
        <v>0</v>
      </c>
      <c r="S1663" s="246">
        <v>0.5</v>
      </c>
      <c r="T1663" s="245">
        <f t="shared" si="214"/>
        <v>0</v>
      </c>
      <c r="U1663" s="245">
        <f t="shared" si="215"/>
        <v>0</v>
      </c>
      <c r="V1663" s="247"/>
    </row>
    <row r="1664" spans="1:22" ht="15.75" x14ac:dyDescent="0.25">
      <c r="A1664" s="236"/>
      <c r="B1664" s="237"/>
      <c r="C1664" s="238"/>
      <c r="D1664" s="239"/>
      <c r="E1664" s="240"/>
      <c r="F1664" s="240"/>
      <c r="G1664" s="240"/>
      <c r="H1664" s="241">
        <f t="shared" si="210"/>
        <v>0</v>
      </c>
      <c r="I1664" s="242"/>
      <c r="J1664" s="243"/>
      <c r="K1664" s="243"/>
      <c r="L1664" s="244">
        <v>0.1</v>
      </c>
      <c r="M1664" s="244">
        <f t="shared" si="211"/>
        <v>0</v>
      </c>
      <c r="N1664" s="244"/>
      <c r="O1664" s="244"/>
      <c r="P1664" s="244"/>
      <c r="Q1664" s="245">
        <f t="shared" si="212"/>
        <v>0</v>
      </c>
      <c r="R1664" s="245">
        <f t="shared" si="213"/>
        <v>0</v>
      </c>
      <c r="S1664" s="246">
        <v>0.5</v>
      </c>
      <c r="T1664" s="245">
        <f t="shared" si="214"/>
        <v>0</v>
      </c>
      <c r="U1664" s="245">
        <f t="shared" si="215"/>
        <v>0</v>
      </c>
      <c r="V1664" s="247"/>
    </row>
    <row r="1665" spans="1:22" ht="15.75" x14ac:dyDescent="0.25">
      <c r="A1665" s="236"/>
      <c r="B1665" s="237"/>
      <c r="C1665" s="238"/>
      <c r="D1665" s="239"/>
      <c r="E1665" s="240"/>
      <c r="F1665" s="240"/>
      <c r="G1665" s="240"/>
      <c r="H1665" s="241">
        <f t="shared" si="210"/>
        <v>0</v>
      </c>
      <c r="I1665" s="242"/>
      <c r="J1665" s="243"/>
      <c r="K1665" s="243"/>
      <c r="L1665" s="244">
        <v>0.1</v>
      </c>
      <c r="M1665" s="244">
        <f t="shared" si="211"/>
        <v>0</v>
      </c>
      <c r="N1665" s="244"/>
      <c r="O1665" s="244"/>
      <c r="P1665" s="244"/>
      <c r="Q1665" s="245">
        <f t="shared" si="212"/>
        <v>0</v>
      </c>
      <c r="R1665" s="245">
        <f t="shared" si="213"/>
        <v>0</v>
      </c>
      <c r="S1665" s="246">
        <v>0.5</v>
      </c>
      <c r="T1665" s="245">
        <f t="shared" si="214"/>
        <v>0</v>
      </c>
      <c r="U1665" s="245">
        <f t="shared" si="215"/>
        <v>0</v>
      </c>
      <c r="V1665" s="247"/>
    </row>
    <row r="1666" spans="1:22" ht="15.75" x14ac:dyDescent="0.25">
      <c r="A1666" s="236"/>
      <c r="B1666" s="237"/>
      <c r="C1666" s="238"/>
      <c r="D1666" s="239"/>
      <c r="E1666" s="240"/>
      <c r="F1666" s="240"/>
      <c r="G1666" s="240"/>
      <c r="H1666" s="241">
        <f t="shared" si="210"/>
        <v>0</v>
      </c>
      <c r="I1666" s="242"/>
      <c r="J1666" s="243"/>
      <c r="K1666" s="243"/>
      <c r="L1666" s="244">
        <v>0.1</v>
      </c>
      <c r="M1666" s="244">
        <f t="shared" si="211"/>
        <v>0</v>
      </c>
      <c r="N1666" s="244"/>
      <c r="O1666" s="244"/>
      <c r="P1666" s="244"/>
      <c r="Q1666" s="245">
        <f t="shared" si="212"/>
        <v>0</v>
      </c>
      <c r="R1666" s="245">
        <f t="shared" si="213"/>
        <v>0</v>
      </c>
      <c r="S1666" s="246">
        <v>0.5</v>
      </c>
      <c r="T1666" s="245">
        <f t="shared" si="214"/>
        <v>0</v>
      </c>
      <c r="U1666" s="245">
        <f t="shared" si="215"/>
        <v>0</v>
      </c>
      <c r="V1666" s="247"/>
    </row>
    <row r="1667" spans="1:22" ht="15.75" x14ac:dyDescent="0.25">
      <c r="A1667" s="236"/>
      <c r="B1667" s="237"/>
      <c r="C1667" s="238"/>
      <c r="D1667" s="239"/>
      <c r="E1667" s="240"/>
      <c r="F1667" s="240"/>
      <c r="G1667" s="240"/>
      <c r="H1667" s="241">
        <f t="shared" si="210"/>
        <v>0</v>
      </c>
      <c r="I1667" s="242"/>
      <c r="J1667" s="243"/>
      <c r="K1667" s="243"/>
      <c r="L1667" s="244">
        <v>0.1</v>
      </c>
      <c r="M1667" s="244">
        <f t="shared" si="211"/>
        <v>0</v>
      </c>
      <c r="N1667" s="244"/>
      <c r="O1667" s="244"/>
      <c r="P1667" s="244"/>
      <c r="Q1667" s="245">
        <f t="shared" si="212"/>
        <v>0</v>
      </c>
      <c r="R1667" s="245">
        <f t="shared" si="213"/>
        <v>0</v>
      </c>
      <c r="S1667" s="246">
        <v>0.5</v>
      </c>
      <c r="T1667" s="245">
        <f t="shared" si="214"/>
        <v>0</v>
      </c>
      <c r="U1667" s="245">
        <f t="shared" si="215"/>
        <v>0</v>
      </c>
      <c r="V1667" s="247"/>
    </row>
    <row r="1668" spans="1:22" ht="15.75" x14ac:dyDescent="0.25">
      <c r="A1668" s="236"/>
      <c r="B1668" s="237"/>
      <c r="C1668" s="238"/>
      <c r="D1668" s="239"/>
      <c r="E1668" s="240"/>
      <c r="F1668" s="240"/>
      <c r="G1668" s="240"/>
      <c r="H1668" s="241">
        <f t="shared" si="210"/>
        <v>0</v>
      </c>
      <c r="I1668" s="242"/>
      <c r="J1668" s="243"/>
      <c r="K1668" s="243"/>
      <c r="L1668" s="244">
        <v>0.1</v>
      </c>
      <c r="M1668" s="244">
        <f t="shared" si="211"/>
        <v>0</v>
      </c>
      <c r="N1668" s="244"/>
      <c r="O1668" s="244"/>
      <c r="P1668" s="244"/>
      <c r="Q1668" s="245">
        <f t="shared" si="212"/>
        <v>0</v>
      </c>
      <c r="R1668" s="245">
        <f t="shared" si="213"/>
        <v>0</v>
      </c>
      <c r="S1668" s="246">
        <v>0.5</v>
      </c>
      <c r="T1668" s="245">
        <f t="shared" si="214"/>
        <v>0</v>
      </c>
      <c r="U1668" s="245">
        <f t="shared" si="215"/>
        <v>0</v>
      </c>
      <c r="V1668" s="247"/>
    </row>
    <row r="1669" spans="1:22" ht="15.75" x14ac:dyDescent="0.25">
      <c r="A1669" s="236"/>
      <c r="B1669" s="237"/>
      <c r="C1669" s="238"/>
      <c r="D1669" s="239"/>
      <c r="E1669" s="240"/>
      <c r="F1669" s="240"/>
      <c r="G1669" s="240"/>
      <c r="H1669" s="241">
        <f t="shared" si="210"/>
        <v>0</v>
      </c>
      <c r="I1669" s="242"/>
      <c r="J1669" s="243"/>
      <c r="K1669" s="243"/>
      <c r="L1669" s="244">
        <v>0.1</v>
      </c>
      <c r="M1669" s="244">
        <f t="shared" si="211"/>
        <v>0</v>
      </c>
      <c r="N1669" s="244"/>
      <c r="O1669" s="244"/>
      <c r="P1669" s="244"/>
      <c r="Q1669" s="245">
        <f t="shared" si="212"/>
        <v>0</v>
      </c>
      <c r="R1669" s="245">
        <f t="shared" si="213"/>
        <v>0</v>
      </c>
      <c r="S1669" s="246">
        <v>0.5</v>
      </c>
      <c r="T1669" s="245">
        <f t="shared" si="214"/>
        <v>0</v>
      </c>
      <c r="U1669" s="245">
        <f t="shared" si="215"/>
        <v>0</v>
      </c>
      <c r="V1669" s="247"/>
    </row>
    <row r="1670" spans="1:22" ht="15.75" x14ac:dyDescent="0.25">
      <c r="A1670" s="236"/>
      <c r="B1670" s="237"/>
      <c r="C1670" s="238"/>
      <c r="D1670" s="239"/>
      <c r="E1670" s="240"/>
      <c r="F1670" s="240"/>
      <c r="G1670" s="240"/>
      <c r="H1670" s="241">
        <f t="shared" si="210"/>
        <v>0</v>
      </c>
      <c r="I1670" s="242"/>
      <c r="J1670" s="243"/>
      <c r="K1670" s="243"/>
      <c r="L1670" s="244">
        <v>0.1</v>
      </c>
      <c r="M1670" s="244">
        <f t="shared" si="211"/>
        <v>0</v>
      </c>
      <c r="N1670" s="244"/>
      <c r="O1670" s="244"/>
      <c r="P1670" s="244"/>
      <c r="Q1670" s="245">
        <f t="shared" si="212"/>
        <v>0</v>
      </c>
      <c r="R1670" s="245">
        <f t="shared" si="213"/>
        <v>0</v>
      </c>
      <c r="S1670" s="246">
        <v>0.5</v>
      </c>
      <c r="T1670" s="245">
        <f t="shared" si="214"/>
        <v>0</v>
      </c>
      <c r="U1670" s="245">
        <f t="shared" si="215"/>
        <v>0</v>
      </c>
      <c r="V1670" s="247"/>
    </row>
    <row r="1671" spans="1:22" ht="15.75" x14ac:dyDescent="0.25">
      <c r="A1671" s="236"/>
      <c r="B1671" s="237"/>
      <c r="C1671" s="238"/>
      <c r="D1671" s="239"/>
      <c r="E1671" s="240"/>
      <c r="F1671" s="240"/>
      <c r="G1671" s="240"/>
      <c r="H1671" s="241">
        <f t="shared" si="210"/>
        <v>0</v>
      </c>
      <c r="I1671" s="242"/>
      <c r="J1671" s="243"/>
      <c r="K1671" s="243"/>
      <c r="L1671" s="244">
        <v>0.1</v>
      </c>
      <c r="M1671" s="244">
        <f t="shared" si="211"/>
        <v>0</v>
      </c>
      <c r="N1671" s="244"/>
      <c r="O1671" s="244"/>
      <c r="P1671" s="244"/>
      <c r="Q1671" s="245">
        <f t="shared" si="212"/>
        <v>0</v>
      </c>
      <c r="R1671" s="245">
        <f t="shared" si="213"/>
        <v>0</v>
      </c>
      <c r="S1671" s="246">
        <v>0.5</v>
      </c>
      <c r="T1671" s="245">
        <f t="shared" si="214"/>
        <v>0</v>
      </c>
      <c r="U1671" s="245">
        <f t="shared" si="215"/>
        <v>0</v>
      </c>
      <c r="V1671" s="247"/>
    </row>
    <row r="1672" spans="1:22" ht="15.75" x14ac:dyDescent="0.25">
      <c r="A1672" s="236"/>
      <c r="B1672" s="237"/>
      <c r="C1672" s="238"/>
      <c r="D1672" s="239"/>
      <c r="E1672" s="240"/>
      <c r="F1672" s="240"/>
      <c r="G1672" s="240"/>
      <c r="H1672" s="241">
        <f t="shared" si="210"/>
        <v>0</v>
      </c>
      <c r="I1672" s="242"/>
      <c r="J1672" s="243"/>
      <c r="K1672" s="243"/>
      <c r="L1672" s="244">
        <v>0.1</v>
      </c>
      <c r="M1672" s="244">
        <f t="shared" si="211"/>
        <v>0</v>
      </c>
      <c r="N1672" s="244"/>
      <c r="O1672" s="244"/>
      <c r="P1672" s="244"/>
      <c r="Q1672" s="245">
        <f t="shared" si="212"/>
        <v>0</v>
      </c>
      <c r="R1672" s="245">
        <f t="shared" si="213"/>
        <v>0</v>
      </c>
      <c r="S1672" s="246">
        <v>0.5</v>
      </c>
      <c r="T1672" s="245">
        <f t="shared" si="214"/>
        <v>0</v>
      </c>
      <c r="U1672" s="245">
        <f t="shared" si="215"/>
        <v>0</v>
      </c>
      <c r="V1672" s="247"/>
    </row>
    <row r="1673" spans="1:22" ht="15.75" x14ac:dyDescent="0.25">
      <c r="A1673" s="236"/>
      <c r="B1673" s="237"/>
      <c r="C1673" s="238"/>
      <c r="D1673" s="239"/>
      <c r="E1673" s="240"/>
      <c r="F1673" s="240"/>
      <c r="G1673" s="240"/>
      <c r="H1673" s="241">
        <f t="shared" si="210"/>
        <v>0</v>
      </c>
      <c r="I1673" s="242"/>
      <c r="J1673" s="243"/>
      <c r="K1673" s="243"/>
      <c r="L1673" s="244">
        <v>0.1</v>
      </c>
      <c r="M1673" s="244">
        <f t="shared" si="211"/>
        <v>0</v>
      </c>
      <c r="N1673" s="244"/>
      <c r="O1673" s="244"/>
      <c r="P1673" s="244"/>
      <c r="Q1673" s="245">
        <f t="shared" si="212"/>
        <v>0</v>
      </c>
      <c r="R1673" s="245">
        <f t="shared" si="213"/>
        <v>0</v>
      </c>
      <c r="S1673" s="246">
        <v>0.5</v>
      </c>
      <c r="T1673" s="245">
        <f t="shared" si="214"/>
        <v>0</v>
      </c>
      <c r="U1673" s="245">
        <f t="shared" si="215"/>
        <v>0</v>
      </c>
      <c r="V1673" s="247"/>
    </row>
    <row r="1674" spans="1:22" ht="15.75" x14ac:dyDescent="0.25">
      <c r="A1674" s="236"/>
      <c r="B1674" s="237"/>
      <c r="C1674" s="238"/>
      <c r="D1674" s="239"/>
      <c r="E1674" s="240"/>
      <c r="F1674" s="240"/>
      <c r="G1674" s="240"/>
      <c r="H1674" s="241">
        <f t="shared" si="210"/>
        <v>0</v>
      </c>
      <c r="I1674" s="242"/>
      <c r="J1674" s="243"/>
      <c r="K1674" s="243"/>
      <c r="L1674" s="244">
        <v>0.1</v>
      </c>
      <c r="M1674" s="244">
        <f t="shared" si="211"/>
        <v>0</v>
      </c>
      <c r="N1674" s="244"/>
      <c r="O1674" s="244"/>
      <c r="P1674" s="244"/>
      <c r="Q1674" s="245">
        <f t="shared" si="212"/>
        <v>0</v>
      </c>
      <c r="R1674" s="245">
        <f t="shared" si="213"/>
        <v>0</v>
      </c>
      <c r="S1674" s="246">
        <v>0.5</v>
      </c>
      <c r="T1674" s="245">
        <f t="shared" si="214"/>
        <v>0</v>
      </c>
      <c r="U1674" s="245">
        <f t="shared" si="215"/>
        <v>0</v>
      </c>
      <c r="V1674" s="247"/>
    </row>
    <row r="1675" spans="1:22" ht="15.75" x14ac:dyDescent="0.25">
      <c r="A1675" s="236"/>
      <c r="B1675" s="237"/>
      <c r="C1675" s="238"/>
      <c r="D1675" s="239"/>
      <c r="E1675" s="240"/>
      <c r="F1675" s="240"/>
      <c r="G1675" s="240"/>
      <c r="H1675" s="241">
        <f t="shared" si="210"/>
        <v>0</v>
      </c>
      <c r="I1675" s="242"/>
      <c r="J1675" s="243"/>
      <c r="K1675" s="243"/>
      <c r="L1675" s="244">
        <v>0.1</v>
      </c>
      <c r="M1675" s="244">
        <f t="shared" si="211"/>
        <v>0</v>
      </c>
      <c r="N1675" s="244"/>
      <c r="O1675" s="244"/>
      <c r="P1675" s="244"/>
      <c r="Q1675" s="245">
        <f t="shared" si="212"/>
        <v>0</v>
      </c>
      <c r="R1675" s="245">
        <f t="shared" si="213"/>
        <v>0</v>
      </c>
      <c r="S1675" s="246">
        <v>0.5</v>
      </c>
      <c r="T1675" s="245">
        <f t="shared" si="214"/>
        <v>0</v>
      </c>
      <c r="U1675" s="245">
        <f t="shared" si="215"/>
        <v>0</v>
      </c>
      <c r="V1675" s="247"/>
    </row>
    <row r="1676" spans="1:22" ht="15.75" x14ac:dyDescent="0.25">
      <c r="A1676" s="236"/>
      <c r="B1676" s="237"/>
      <c r="C1676" s="238"/>
      <c r="D1676" s="239"/>
      <c r="E1676" s="240"/>
      <c r="F1676" s="240"/>
      <c r="G1676" s="240"/>
      <c r="H1676" s="241">
        <f t="shared" si="210"/>
        <v>0</v>
      </c>
      <c r="I1676" s="242"/>
      <c r="J1676" s="243"/>
      <c r="K1676" s="243"/>
      <c r="L1676" s="244">
        <v>0.1</v>
      </c>
      <c r="M1676" s="244">
        <f t="shared" si="211"/>
        <v>0</v>
      </c>
      <c r="N1676" s="244"/>
      <c r="O1676" s="244"/>
      <c r="P1676" s="244"/>
      <c r="Q1676" s="245">
        <f t="shared" si="212"/>
        <v>0</v>
      </c>
      <c r="R1676" s="245">
        <f t="shared" si="213"/>
        <v>0</v>
      </c>
      <c r="S1676" s="246">
        <v>0.5</v>
      </c>
      <c r="T1676" s="245">
        <f t="shared" si="214"/>
        <v>0</v>
      </c>
      <c r="U1676" s="245">
        <f t="shared" si="215"/>
        <v>0</v>
      </c>
      <c r="V1676" s="247"/>
    </row>
    <row r="1677" spans="1:22" ht="15.75" x14ac:dyDescent="0.25">
      <c r="A1677" s="236"/>
      <c r="B1677" s="237"/>
      <c r="C1677" s="238"/>
      <c r="D1677" s="239"/>
      <c r="E1677" s="240"/>
      <c r="F1677" s="240"/>
      <c r="G1677" s="240"/>
      <c r="H1677" s="241">
        <f t="shared" si="210"/>
        <v>0</v>
      </c>
      <c r="I1677" s="242"/>
      <c r="J1677" s="243"/>
      <c r="K1677" s="243"/>
      <c r="L1677" s="244">
        <v>0.1</v>
      </c>
      <c r="M1677" s="244">
        <f t="shared" si="211"/>
        <v>0</v>
      </c>
      <c r="N1677" s="244"/>
      <c r="O1677" s="244"/>
      <c r="P1677" s="244"/>
      <c r="Q1677" s="245">
        <f t="shared" si="212"/>
        <v>0</v>
      </c>
      <c r="R1677" s="245">
        <f t="shared" si="213"/>
        <v>0</v>
      </c>
      <c r="S1677" s="246">
        <v>0.5</v>
      </c>
      <c r="T1677" s="245">
        <f t="shared" si="214"/>
        <v>0</v>
      </c>
      <c r="U1677" s="245">
        <f t="shared" si="215"/>
        <v>0</v>
      </c>
      <c r="V1677" s="247"/>
    </row>
    <row r="1678" spans="1:22" ht="15.75" x14ac:dyDescent="0.25">
      <c r="A1678" s="236"/>
      <c r="B1678" s="237"/>
      <c r="C1678" s="238"/>
      <c r="D1678" s="239"/>
      <c r="E1678" s="240"/>
      <c r="F1678" s="240"/>
      <c r="G1678" s="240"/>
      <c r="H1678" s="241">
        <f t="shared" si="210"/>
        <v>0</v>
      </c>
      <c r="I1678" s="242"/>
      <c r="J1678" s="243"/>
      <c r="K1678" s="243"/>
      <c r="L1678" s="244">
        <v>0.1</v>
      </c>
      <c r="M1678" s="244">
        <f t="shared" si="211"/>
        <v>0</v>
      </c>
      <c r="N1678" s="244"/>
      <c r="O1678" s="244"/>
      <c r="P1678" s="244"/>
      <c r="Q1678" s="245">
        <f t="shared" si="212"/>
        <v>0</v>
      </c>
      <c r="R1678" s="245">
        <f t="shared" si="213"/>
        <v>0</v>
      </c>
      <c r="S1678" s="246">
        <v>0.5</v>
      </c>
      <c r="T1678" s="245">
        <f t="shared" si="214"/>
        <v>0</v>
      </c>
      <c r="U1678" s="245">
        <f t="shared" si="215"/>
        <v>0</v>
      </c>
      <c r="V1678" s="247"/>
    </row>
    <row r="1679" spans="1:22" ht="15.75" x14ac:dyDescent="0.25">
      <c r="A1679" s="236"/>
      <c r="B1679" s="237"/>
      <c r="C1679" s="238"/>
      <c r="D1679" s="239"/>
      <c r="E1679" s="240"/>
      <c r="F1679" s="240"/>
      <c r="G1679" s="240"/>
      <c r="H1679" s="241">
        <f t="shared" si="210"/>
        <v>0</v>
      </c>
      <c r="I1679" s="242"/>
      <c r="J1679" s="243"/>
      <c r="K1679" s="243"/>
      <c r="L1679" s="244">
        <v>0.1</v>
      </c>
      <c r="M1679" s="244">
        <f t="shared" si="211"/>
        <v>0</v>
      </c>
      <c r="N1679" s="244"/>
      <c r="O1679" s="244"/>
      <c r="P1679" s="244"/>
      <c r="Q1679" s="245">
        <f t="shared" si="212"/>
        <v>0</v>
      </c>
      <c r="R1679" s="245">
        <f t="shared" si="213"/>
        <v>0</v>
      </c>
      <c r="S1679" s="246">
        <v>0.5</v>
      </c>
      <c r="T1679" s="245">
        <f t="shared" si="214"/>
        <v>0</v>
      </c>
      <c r="U1679" s="245">
        <f t="shared" si="215"/>
        <v>0</v>
      </c>
      <c r="V1679" s="247"/>
    </row>
    <row r="1680" spans="1:22" ht="15.75" x14ac:dyDescent="0.25">
      <c r="A1680" s="236"/>
      <c r="B1680" s="237"/>
      <c r="C1680" s="238"/>
      <c r="D1680" s="239"/>
      <c r="E1680" s="240"/>
      <c r="F1680" s="240"/>
      <c r="G1680" s="240"/>
      <c r="H1680" s="241">
        <f t="shared" si="210"/>
        <v>0</v>
      </c>
      <c r="I1680" s="242"/>
      <c r="J1680" s="243"/>
      <c r="K1680" s="243"/>
      <c r="L1680" s="244">
        <v>0.1</v>
      </c>
      <c r="M1680" s="244">
        <f t="shared" si="211"/>
        <v>0</v>
      </c>
      <c r="N1680" s="244"/>
      <c r="O1680" s="244"/>
      <c r="P1680" s="244"/>
      <c r="Q1680" s="245">
        <f t="shared" si="212"/>
        <v>0</v>
      </c>
      <c r="R1680" s="245">
        <f t="shared" si="213"/>
        <v>0</v>
      </c>
      <c r="S1680" s="246">
        <v>0.5</v>
      </c>
      <c r="T1680" s="245">
        <f t="shared" si="214"/>
        <v>0</v>
      </c>
      <c r="U1680" s="245">
        <f t="shared" si="215"/>
        <v>0</v>
      </c>
      <c r="V1680" s="247"/>
    </row>
    <row r="1681" spans="1:22" ht="15.75" x14ac:dyDescent="0.25">
      <c r="A1681" s="236"/>
      <c r="B1681" s="237"/>
      <c r="C1681" s="238"/>
      <c r="D1681" s="239"/>
      <c r="E1681" s="240"/>
      <c r="F1681" s="240"/>
      <c r="G1681" s="240"/>
      <c r="H1681" s="241">
        <f t="shared" si="210"/>
        <v>0</v>
      </c>
      <c r="I1681" s="242"/>
      <c r="J1681" s="243"/>
      <c r="K1681" s="243"/>
      <c r="L1681" s="244">
        <v>0.1</v>
      </c>
      <c r="M1681" s="244">
        <f t="shared" si="211"/>
        <v>0</v>
      </c>
      <c r="N1681" s="244"/>
      <c r="O1681" s="244"/>
      <c r="P1681" s="244"/>
      <c r="Q1681" s="245">
        <f t="shared" si="212"/>
        <v>0</v>
      </c>
      <c r="R1681" s="245">
        <f t="shared" si="213"/>
        <v>0</v>
      </c>
      <c r="S1681" s="246">
        <v>0.5</v>
      </c>
      <c r="T1681" s="245">
        <f t="shared" si="214"/>
        <v>0</v>
      </c>
      <c r="U1681" s="245">
        <f t="shared" si="215"/>
        <v>0</v>
      </c>
      <c r="V1681" s="247"/>
    </row>
    <row r="1682" spans="1:22" ht="15.75" x14ac:dyDescent="0.25">
      <c r="A1682" s="236"/>
      <c r="B1682" s="237"/>
      <c r="C1682" s="238"/>
      <c r="D1682" s="239"/>
      <c r="E1682" s="240"/>
      <c r="F1682" s="240"/>
      <c r="G1682" s="240"/>
      <c r="H1682" s="241">
        <f t="shared" si="210"/>
        <v>0</v>
      </c>
      <c r="I1682" s="242"/>
      <c r="J1682" s="243"/>
      <c r="K1682" s="243"/>
      <c r="L1682" s="244">
        <v>0.1</v>
      </c>
      <c r="M1682" s="244">
        <f t="shared" si="211"/>
        <v>0</v>
      </c>
      <c r="N1682" s="244"/>
      <c r="O1682" s="244"/>
      <c r="P1682" s="244"/>
      <c r="Q1682" s="245">
        <f t="shared" si="212"/>
        <v>0</v>
      </c>
      <c r="R1682" s="245">
        <f t="shared" si="213"/>
        <v>0</v>
      </c>
      <c r="S1682" s="246">
        <v>0.5</v>
      </c>
      <c r="T1682" s="245">
        <f t="shared" si="214"/>
        <v>0</v>
      </c>
      <c r="U1682" s="245">
        <f t="shared" si="215"/>
        <v>0</v>
      </c>
      <c r="V1682" s="247"/>
    </row>
    <row r="1683" spans="1:22" ht="15.75" x14ac:dyDescent="0.25">
      <c r="A1683" s="236"/>
      <c r="B1683" s="237"/>
      <c r="C1683" s="238"/>
      <c r="D1683" s="239"/>
      <c r="E1683" s="240"/>
      <c r="F1683" s="240"/>
      <c r="G1683" s="240"/>
      <c r="H1683" s="241">
        <f t="shared" si="210"/>
        <v>0</v>
      </c>
      <c r="I1683" s="242"/>
      <c r="J1683" s="243"/>
      <c r="K1683" s="243"/>
      <c r="L1683" s="244">
        <v>0.1</v>
      </c>
      <c r="M1683" s="244">
        <f t="shared" si="211"/>
        <v>0</v>
      </c>
      <c r="N1683" s="244"/>
      <c r="O1683" s="244"/>
      <c r="P1683" s="244"/>
      <c r="Q1683" s="245">
        <f t="shared" si="212"/>
        <v>0</v>
      </c>
      <c r="R1683" s="245">
        <f t="shared" si="213"/>
        <v>0</v>
      </c>
      <c r="S1683" s="246">
        <v>0.5</v>
      </c>
      <c r="T1683" s="245">
        <f t="shared" si="214"/>
        <v>0</v>
      </c>
      <c r="U1683" s="245">
        <f t="shared" si="215"/>
        <v>0</v>
      </c>
      <c r="V1683" s="247"/>
    </row>
    <row r="1684" spans="1:22" ht="15.75" x14ac:dyDescent="0.25">
      <c r="A1684" s="236"/>
      <c r="B1684" s="237"/>
      <c r="C1684" s="238"/>
      <c r="D1684" s="239"/>
      <c r="E1684" s="240"/>
      <c r="F1684" s="240"/>
      <c r="G1684" s="240"/>
      <c r="H1684" s="241">
        <f t="shared" si="210"/>
        <v>0</v>
      </c>
      <c r="I1684" s="242"/>
      <c r="J1684" s="243"/>
      <c r="K1684" s="243"/>
      <c r="L1684" s="244">
        <v>0.1</v>
      </c>
      <c r="M1684" s="244">
        <f t="shared" si="211"/>
        <v>0</v>
      </c>
      <c r="N1684" s="244"/>
      <c r="O1684" s="244"/>
      <c r="P1684" s="244"/>
      <c r="Q1684" s="245">
        <f t="shared" si="212"/>
        <v>0</v>
      </c>
      <c r="R1684" s="245">
        <f t="shared" si="213"/>
        <v>0</v>
      </c>
      <c r="S1684" s="246">
        <v>0.5</v>
      </c>
      <c r="T1684" s="245">
        <f t="shared" si="214"/>
        <v>0</v>
      </c>
      <c r="U1684" s="245">
        <f t="shared" si="215"/>
        <v>0</v>
      </c>
      <c r="V1684" s="247"/>
    </row>
    <row r="1685" spans="1:22" ht="15.75" x14ac:dyDescent="0.25">
      <c r="A1685" s="236"/>
      <c r="B1685" s="237"/>
      <c r="C1685" s="238"/>
      <c r="D1685" s="239"/>
      <c r="E1685" s="240"/>
      <c r="F1685" s="240"/>
      <c r="G1685" s="240"/>
      <c r="H1685" s="241">
        <f t="shared" si="210"/>
        <v>0</v>
      </c>
      <c r="I1685" s="242"/>
      <c r="J1685" s="243"/>
      <c r="K1685" s="243"/>
      <c r="L1685" s="244">
        <v>0.1</v>
      </c>
      <c r="M1685" s="244">
        <f t="shared" si="211"/>
        <v>0</v>
      </c>
      <c r="N1685" s="244"/>
      <c r="O1685" s="244"/>
      <c r="P1685" s="244"/>
      <c r="Q1685" s="245">
        <f t="shared" si="212"/>
        <v>0</v>
      </c>
      <c r="R1685" s="245">
        <f t="shared" si="213"/>
        <v>0</v>
      </c>
      <c r="S1685" s="246">
        <v>0.5</v>
      </c>
      <c r="T1685" s="245">
        <f t="shared" si="214"/>
        <v>0</v>
      </c>
      <c r="U1685" s="245">
        <f t="shared" si="215"/>
        <v>0</v>
      </c>
      <c r="V1685" s="247"/>
    </row>
    <row r="1686" spans="1:22" ht="15.75" x14ac:dyDescent="0.25">
      <c r="A1686" s="236"/>
      <c r="B1686" s="237"/>
      <c r="C1686" s="238"/>
      <c r="D1686" s="239"/>
      <c r="E1686" s="240"/>
      <c r="F1686" s="240"/>
      <c r="G1686" s="240"/>
      <c r="H1686" s="241">
        <f t="shared" si="210"/>
        <v>0</v>
      </c>
      <c r="I1686" s="242"/>
      <c r="J1686" s="243"/>
      <c r="K1686" s="243"/>
      <c r="L1686" s="244">
        <v>0.1</v>
      </c>
      <c r="M1686" s="244">
        <f t="shared" si="211"/>
        <v>0</v>
      </c>
      <c r="N1686" s="244"/>
      <c r="O1686" s="244"/>
      <c r="P1686" s="244"/>
      <c r="Q1686" s="245">
        <f t="shared" si="212"/>
        <v>0</v>
      </c>
      <c r="R1686" s="245">
        <f t="shared" si="213"/>
        <v>0</v>
      </c>
      <c r="S1686" s="246">
        <v>0.5</v>
      </c>
      <c r="T1686" s="245">
        <f t="shared" si="214"/>
        <v>0</v>
      </c>
      <c r="U1686" s="245">
        <f t="shared" si="215"/>
        <v>0</v>
      </c>
      <c r="V1686" s="247"/>
    </row>
    <row r="1687" spans="1:22" ht="15.75" x14ac:dyDescent="0.25">
      <c r="A1687" s="236"/>
      <c r="B1687" s="237"/>
      <c r="C1687" s="238"/>
      <c r="D1687" s="239"/>
      <c r="E1687" s="240"/>
      <c r="F1687" s="240"/>
      <c r="G1687" s="240"/>
      <c r="H1687" s="241">
        <f t="shared" si="210"/>
        <v>0</v>
      </c>
      <c r="I1687" s="242"/>
      <c r="J1687" s="243"/>
      <c r="K1687" s="243"/>
      <c r="L1687" s="244">
        <v>0.1</v>
      </c>
      <c r="M1687" s="244">
        <f t="shared" si="211"/>
        <v>0</v>
      </c>
      <c r="N1687" s="244"/>
      <c r="O1687" s="244"/>
      <c r="P1687" s="244"/>
      <c r="Q1687" s="245">
        <f t="shared" si="212"/>
        <v>0</v>
      </c>
      <c r="R1687" s="245">
        <f t="shared" si="213"/>
        <v>0</v>
      </c>
      <c r="S1687" s="246">
        <v>0.5</v>
      </c>
      <c r="T1687" s="245">
        <f t="shared" si="214"/>
        <v>0</v>
      </c>
      <c r="U1687" s="245">
        <f t="shared" si="215"/>
        <v>0</v>
      </c>
      <c r="V1687" s="247"/>
    </row>
    <row r="1688" spans="1:22" ht="15.75" x14ac:dyDescent="0.25">
      <c r="A1688" s="236"/>
      <c r="B1688" s="237"/>
      <c r="C1688" s="238"/>
      <c r="D1688" s="239"/>
      <c r="E1688" s="240"/>
      <c r="F1688" s="240"/>
      <c r="G1688" s="240"/>
      <c r="H1688" s="241">
        <f t="shared" si="210"/>
        <v>0</v>
      </c>
      <c r="I1688" s="242"/>
      <c r="J1688" s="243"/>
      <c r="K1688" s="243"/>
      <c r="L1688" s="244">
        <v>0.1</v>
      </c>
      <c r="M1688" s="244">
        <f t="shared" si="211"/>
        <v>0</v>
      </c>
      <c r="N1688" s="244"/>
      <c r="O1688" s="244"/>
      <c r="P1688" s="244"/>
      <c r="Q1688" s="245">
        <f t="shared" si="212"/>
        <v>0</v>
      </c>
      <c r="R1688" s="245">
        <f t="shared" si="213"/>
        <v>0</v>
      </c>
      <c r="S1688" s="246">
        <v>0.5</v>
      </c>
      <c r="T1688" s="245">
        <f t="shared" si="214"/>
        <v>0</v>
      </c>
      <c r="U1688" s="245">
        <f t="shared" si="215"/>
        <v>0</v>
      </c>
      <c r="V1688" s="247"/>
    </row>
    <row r="1689" spans="1:22" ht="15.75" x14ac:dyDescent="0.25">
      <c r="A1689" s="236"/>
      <c r="B1689" s="237"/>
      <c r="C1689" s="238"/>
      <c r="D1689" s="239"/>
      <c r="E1689" s="240"/>
      <c r="F1689" s="240"/>
      <c r="G1689" s="240"/>
      <c r="H1689" s="241">
        <f t="shared" si="210"/>
        <v>0</v>
      </c>
      <c r="I1689" s="242"/>
      <c r="J1689" s="243"/>
      <c r="K1689" s="243"/>
      <c r="L1689" s="244">
        <v>0.1</v>
      </c>
      <c r="M1689" s="244">
        <f t="shared" si="211"/>
        <v>0</v>
      </c>
      <c r="N1689" s="244"/>
      <c r="O1689" s="244"/>
      <c r="P1689" s="244"/>
      <c r="Q1689" s="245">
        <f t="shared" si="212"/>
        <v>0</v>
      </c>
      <c r="R1689" s="245">
        <f t="shared" si="213"/>
        <v>0</v>
      </c>
      <c r="S1689" s="246">
        <v>0.5</v>
      </c>
      <c r="T1689" s="245">
        <f t="shared" si="214"/>
        <v>0</v>
      </c>
      <c r="U1689" s="245">
        <f t="shared" si="215"/>
        <v>0</v>
      </c>
      <c r="V1689" s="247"/>
    </row>
    <row r="1690" spans="1:22" ht="15.75" x14ac:dyDescent="0.25">
      <c r="A1690" s="236"/>
      <c r="B1690" s="237"/>
      <c r="C1690" s="238"/>
      <c r="D1690" s="239"/>
      <c r="E1690" s="240"/>
      <c r="F1690" s="240"/>
      <c r="G1690" s="240"/>
      <c r="H1690" s="241">
        <f t="shared" si="210"/>
        <v>0</v>
      </c>
      <c r="I1690" s="242"/>
      <c r="J1690" s="243"/>
      <c r="K1690" s="243"/>
      <c r="L1690" s="244">
        <v>0.1</v>
      </c>
      <c r="M1690" s="244">
        <f t="shared" si="211"/>
        <v>0</v>
      </c>
      <c r="N1690" s="244"/>
      <c r="O1690" s="244"/>
      <c r="P1690" s="244"/>
      <c r="Q1690" s="245">
        <f t="shared" si="212"/>
        <v>0</v>
      </c>
      <c r="R1690" s="245">
        <f t="shared" si="213"/>
        <v>0</v>
      </c>
      <c r="S1690" s="246">
        <v>0.5</v>
      </c>
      <c r="T1690" s="245">
        <f t="shared" si="214"/>
        <v>0</v>
      </c>
      <c r="U1690" s="245">
        <f t="shared" si="215"/>
        <v>0</v>
      </c>
      <c r="V1690" s="247"/>
    </row>
    <row r="1691" spans="1:22" ht="15.75" x14ac:dyDescent="0.25">
      <c r="A1691" s="236"/>
      <c r="B1691" s="237"/>
      <c r="C1691" s="238"/>
      <c r="D1691" s="239"/>
      <c r="E1691" s="240"/>
      <c r="F1691" s="240"/>
      <c r="G1691" s="240"/>
      <c r="H1691" s="241">
        <f t="shared" si="210"/>
        <v>0</v>
      </c>
      <c r="I1691" s="242"/>
      <c r="J1691" s="243"/>
      <c r="K1691" s="243"/>
      <c r="L1691" s="244">
        <v>0.1</v>
      </c>
      <c r="M1691" s="244">
        <f t="shared" si="211"/>
        <v>0</v>
      </c>
      <c r="N1691" s="244"/>
      <c r="O1691" s="244"/>
      <c r="P1691" s="244"/>
      <c r="Q1691" s="245">
        <f t="shared" si="212"/>
        <v>0</v>
      </c>
      <c r="R1691" s="245">
        <f t="shared" si="213"/>
        <v>0</v>
      </c>
      <c r="S1691" s="246">
        <v>0.5</v>
      </c>
      <c r="T1691" s="245">
        <f t="shared" si="214"/>
        <v>0</v>
      </c>
      <c r="U1691" s="245">
        <f t="shared" si="215"/>
        <v>0</v>
      </c>
      <c r="V1691" s="247"/>
    </row>
    <row r="1692" spans="1:22" ht="15.75" x14ac:dyDescent="0.25">
      <c r="A1692" s="236"/>
      <c r="B1692" s="237"/>
      <c r="C1692" s="238"/>
      <c r="D1692" s="239"/>
      <c r="E1692" s="240"/>
      <c r="F1692" s="240"/>
      <c r="G1692" s="240"/>
      <c r="H1692" s="241">
        <f t="shared" si="210"/>
        <v>0</v>
      </c>
      <c r="I1692" s="242"/>
      <c r="J1692" s="243"/>
      <c r="K1692" s="243"/>
      <c r="L1692" s="244">
        <v>0.1</v>
      </c>
      <c r="M1692" s="244">
        <f t="shared" si="211"/>
        <v>0</v>
      </c>
      <c r="N1692" s="244"/>
      <c r="O1692" s="244"/>
      <c r="P1692" s="244"/>
      <c r="Q1692" s="245">
        <f t="shared" si="212"/>
        <v>0</v>
      </c>
      <c r="R1692" s="245">
        <f t="shared" si="213"/>
        <v>0</v>
      </c>
      <c r="S1692" s="246">
        <v>0.5</v>
      </c>
      <c r="T1692" s="245">
        <f t="shared" si="214"/>
        <v>0</v>
      </c>
      <c r="U1692" s="245">
        <f t="shared" si="215"/>
        <v>0</v>
      </c>
      <c r="V1692" s="247"/>
    </row>
    <row r="1693" spans="1:22" ht="15.75" x14ac:dyDescent="0.25">
      <c r="A1693" s="236"/>
      <c r="B1693" s="237"/>
      <c r="C1693" s="238"/>
      <c r="D1693" s="239"/>
      <c r="E1693" s="240"/>
      <c r="F1693" s="240"/>
      <c r="G1693" s="240"/>
      <c r="H1693" s="241">
        <f t="shared" si="210"/>
        <v>0</v>
      </c>
      <c r="I1693" s="242"/>
      <c r="J1693" s="243"/>
      <c r="K1693" s="243"/>
      <c r="L1693" s="244">
        <v>0.1</v>
      </c>
      <c r="M1693" s="244">
        <f t="shared" si="211"/>
        <v>0</v>
      </c>
      <c r="N1693" s="244"/>
      <c r="O1693" s="244"/>
      <c r="P1693" s="244"/>
      <c r="Q1693" s="245">
        <f t="shared" si="212"/>
        <v>0</v>
      </c>
      <c r="R1693" s="245">
        <f t="shared" si="213"/>
        <v>0</v>
      </c>
      <c r="S1693" s="246">
        <v>0.5</v>
      </c>
      <c r="T1693" s="245">
        <f t="shared" si="214"/>
        <v>0</v>
      </c>
      <c r="U1693" s="245">
        <f t="shared" si="215"/>
        <v>0</v>
      </c>
      <c r="V1693" s="247"/>
    </row>
    <row r="1694" spans="1:22" ht="15.75" x14ac:dyDescent="0.25">
      <c r="A1694" s="236"/>
      <c r="B1694" s="237"/>
      <c r="C1694" s="238"/>
      <c r="D1694" s="239"/>
      <c r="E1694" s="240"/>
      <c r="F1694" s="240"/>
      <c r="G1694" s="240"/>
      <c r="H1694" s="241">
        <f t="shared" si="210"/>
        <v>0</v>
      </c>
      <c r="I1694" s="242"/>
      <c r="J1694" s="243"/>
      <c r="K1694" s="243"/>
      <c r="L1694" s="244">
        <v>0.1</v>
      </c>
      <c r="M1694" s="244">
        <f t="shared" si="211"/>
        <v>0</v>
      </c>
      <c r="N1694" s="244"/>
      <c r="O1694" s="244"/>
      <c r="P1694" s="244"/>
      <c r="Q1694" s="245">
        <f t="shared" si="212"/>
        <v>0</v>
      </c>
      <c r="R1694" s="245">
        <f t="shared" si="213"/>
        <v>0</v>
      </c>
      <c r="S1694" s="246">
        <v>0.5</v>
      </c>
      <c r="T1694" s="245">
        <f t="shared" si="214"/>
        <v>0</v>
      </c>
      <c r="U1694" s="245">
        <f t="shared" si="215"/>
        <v>0</v>
      </c>
      <c r="V1694" s="247"/>
    </row>
    <row r="1695" spans="1:22" ht="15.75" x14ac:dyDescent="0.25">
      <c r="A1695" s="236"/>
      <c r="B1695" s="237"/>
      <c r="C1695" s="238"/>
      <c r="D1695" s="239"/>
      <c r="E1695" s="240"/>
      <c r="F1695" s="240"/>
      <c r="G1695" s="240"/>
      <c r="H1695" s="241">
        <f t="shared" si="210"/>
        <v>0</v>
      </c>
      <c r="I1695" s="242"/>
      <c r="J1695" s="243"/>
      <c r="K1695" s="243"/>
      <c r="L1695" s="244">
        <v>0.1</v>
      </c>
      <c r="M1695" s="244">
        <f t="shared" si="211"/>
        <v>0</v>
      </c>
      <c r="N1695" s="244"/>
      <c r="O1695" s="244"/>
      <c r="P1695" s="244"/>
      <c r="Q1695" s="245">
        <f t="shared" si="212"/>
        <v>0</v>
      </c>
      <c r="R1695" s="245">
        <f t="shared" si="213"/>
        <v>0</v>
      </c>
      <c r="S1695" s="246">
        <v>0.5</v>
      </c>
      <c r="T1695" s="245">
        <f t="shared" si="214"/>
        <v>0</v>
      </c>
      <c r="U1695" s="245">
        <f t="shared" si="215"/>
        <v>0</v>
      </c>
      <c r="V1695" s="247"/>
    </row>
    <row r="1696" spans="1:22" ht="15.75" x14ac:dyDescent="0.25">
      <c r="A1696" s="236"/>
      <c r="B1696" s="237"/>
      <c r="C1696" s="238"/>
      <c r="D1696" s="239"/>
      <c r="E1696" s="240"/>
      <c r="F1696" s="240"/>
      <c r="G1696" s="240"/>
      <c r="H1696" s="241">
        <f t="shared" si="210"/>
        <v>0</v>
      </c>
      <c r="I1696" s="242"/>
      <c r="J1696" s="243"/>
      <c r="K1696" s="243"/>
      <c r="L1696" s="244">
        <v>0.1</v>
      </c>
      <c r="M1696" s="244">
        <f t="shared" si="211"/>
        <v>0</v>
      </c>
      <c r="N1696" s="244"/>
      <c r="O1696" s="244"/>
      <c r="P1696" s="244"/>
      <c r="Q1696" s="245">
        <f t="shared" si="212"/>
        <v>0</v>
      </c>
      <c r="R1696" s="245">
        <f t="shared" si="213"/>
        <v>0</v>
      </c>
      <c r="S1696" s="246">
        <v>0.5</v>
      </c>
      <c r="T1696" s="245">
        <f t="shared" si="214"/>
        <v>0</v>
      </c>
      <c r="U1696" s="245">
        <f t="shared" si="215"/>
        <v>0</v>
      </c>
      <c r="V1696" s="247"/>
    </row>
    <row r="1697" spans="1:22" ht="15.75" x14ac:dyDescent="0.25">
      <c r="A1697" s="236"/>
      <c r="B1697" s="237"/>
      <c r="C1697" s="238"/>
      <c r="D1697" s="239"/>
      <c r="E1697" s="240"/>
      <c r="F1697" s="240"/>
      <c r="G1697" s="240"/>
      <c r="H1697" s="241">
        <f t="shared" si="210"/>
        <v>0</v>
      </c>
      <c r="I1697" s="242"/>
      <c r="J1697" s="243"/>
      <c r="K1697" s="243"/>
      <c r="L1697" s="244">
        <v>0.1</v>
      </c>
      <c r="M1697" s="244">
        <f t="shared" si="211"/>
        <v>0</v>
      </c>
      <c r="N1697" s="244"/>
      <c r="O1697" s="244"/>
      <c r="P1697" s="244"/>
      <c r="Q1697" s="245">
        <f t="shared" si="212"/>
        <v>0</v>
      </c>
      <c r="R1697" s="245">
        <f t="shared" si="213"/>
        <v>0</v>
      </c>
      <c r="S1697" s="246">
        <v>0.5</v>
      </c>
      <c r="T1697" s="245">
        <f t="shared" si="214"/>
        <v>0</v>
      </c>
      <c r="U1697" s="245">
        <f t="shared" si="215"/>
        <v>0</v>
      </c>
      <c r="V1697" s="247"/>
    </row>
    <row r="1698" spans="1:22" ht="15.75" x14ac:dyDescent="0.25">
      <c r="A1698" s="236"/>
      <c r="B1698" s="237"/>
      <c r="C1698" s="238"/>
      <c r="D1698" s="239"/>
      <c r="E1698" s="240"/>
      <c r="F1698" s="240"/>
      <c r="G1698" s="240"/>
      <c r="H1698" s="241">
        <f t="shared" si="210"/>
        <v>0</v>
      </c>
      <c r="I1698" s="242"/>
      <c r="J1698" s="243"/>
      <c r="K1698" s="243"/>
      <c r="L1698" s="244">
        <v>0.1</v>
      </c>
      <c r="M1698" s="244">
        <f t="shared" si="211"/>
        <v>0</v>
      </c>
      <c r="N1698" s="244"/>
      <c r="O1698" s="244"/>
      <c r="P1698" s="244"/>
      <c r="Q1698" s="245">
        <f t="shared" si="212"/>
        <v>0</v>
      </c>
      <c r="R1698" s="245">
        <f t="shared" si="213"/>
        <v>0</v>
      </c>
      <c r="S1698" s="246">
        <v>0.5</v>
      </c>
      <c r="T1698" s="245">
        <f t="shared" si="214"/>
        <v>0</v>
      </c>
      <c r="U1698" s="245">
        <f t="shared" si="215"/>
        <v>0</v>
      </c>
      <c r="V1698" s="247"/>
    </row>
    <row r="1699" spans="1:22" ht="15.75" x14ac:dyDescent="0.25">
      <c r="A1699" s="236"/>
      <c r="B1699" s="237"/>
      <c r="C1699" s="238"/>
      <c r="D1699" s="239"/>
      <c r="E1699" s="240"/>
      <c r="F1699" s="240"/>
      <c r="G1699" s="240"/>
      <c r="H1699" s="241">
        <f t="shared" si="210"/>
        <v>0</v>
      </c>
      <c r="I1699" s="242"/>
      <c r="J1699" s="243"/>
      <c r="K1699" s="243"/>
      <c r="L1699" s="244">
        <v>0.1</v>
      </c>
      <c r="M1699" s="244">
        <f t="shared" si="211"/>
        <v>0</v>
      </c>
      <c r="N1699" s="244"/>
      <c r="O1699" s="244"/>
      <c r="P1699" s="244"/>
      <c r="Q1699" s="245">
        <f t="shared" si="212"/>
        <v>0</v>
      </c>
      <c r="R1699" s="245">
        <f t="shared" si="213"/>
        <v>0</v>
      </c>
      <c r="S1699" s="246">
        <v>0.5</v>
      </c>
      <c r="T1699" s="245">
        <f t="shared" si="214"/>
        <v>0</v>
      </c>
      <c r="U1699" s="245">
        <f t="shared" si="215"/>
        <v>0</v>
      </c>
      <c r="V1699" s="247"/>
    </row>
    <row r="1700" spans="1:22" ht="15.75" x14ac:dyDescent="0.25">
      <c r="A1700" s="236"/>
      <c r="B1700" s="237"/>
      <c r="C1700" s="238"/>
      <c r="D1700" s="239"/>
      <c r="E1700" s="240"/>
      <c r="F1700" s="240"/>
      <c r="G1700" s="240"/>
      <c r="H1700" s="241">
        <f t="shared" si="210"/>
        <v>0</v>
      </c>
      <c r="I1700" s="242"/>
      <c r="J1700" s="243"/>
      <c r="K1700" s="243"/>
      <c r="L1700" s="244">
        <v>0.1</v>
      </c>
      <c r="M1700" s="244">
        <f t="shared" si="211"/>
        <v>0</v>
      </c>
      <c r="N1700" s="244"/>
      <c r="O1700" s="244"/>
      <c r="P1700" s="244"/>
      <c r="Q1700" s="245">
        <f t="shared" si="212"/>
        <v>0</v>
      </c>
      <c r="R1700" s="245">
        <f t="shared" si="213"/>
        <v>0</v>
      </c>
      <c r="S1700" s="246">
        <v>0.5</v>
      </c>
      <c r="T1700" s="245">
        <f t="shared" si="214"/>
        <v>0</v>
      </c>
      <c r="U1700" s="245">
        <f t="shared" si="215"/>
        <v>0</v>
      </c>
      <c r="V1700" s="247"/>
    </row>
    <row r="1701" spans="1:22" ht="15.75" x14ac:dyDescent="0.25">
      <c r="A1701" s="236"/>
      <c r="B1701" s="237"/>
      <c r="C1701" s="238"/>
      <c r="D1701" s="239"/>
      <c r="E1701" s="240"/>
      <c r="F1701" s="240"/>
      <c r="G1701" s="240"/>
      <c r="H1701" s="241">
        <f t="shared" si="210"/>
        <v>0</v>
      </c>
      <c r="I1701" s="242"/>
      <c r="J1701" s="243"/>
      <c r="K1701" s="243"/>
      <c r="L1701" s="244">
        <v>0.1</v>
      </c>
      <c r="M1701" s="244">
        <f t="shared" si="211"/>
        <v>0</v>
      </c>
      <c r="N1701" s="244"/>
      <c r="O1701" s="244"/>
      <c r="P1701" s="244"/>
      <c r="Q1701" s="245">
        <f t="shared" si="212"/>
        <v>0</v>
      </c>
      <c r="R1701" s="245">
        <f t="shared" si="213"/>
        <v>0</v>
      </c>
      <c r="S1701" s="246">
        <v>0.5</v>
      </c>
      <c r="T1701" s="245">
        <f t="shared" si="214"/>
        <v>0</v>
      </c>
      <c r="U1701" s="245">
        <f t="shared" si="215"/>
        <v>0</v>
      </c>
      <c r="V1701" s="247"/>
    </row>
    <row r="1702" spans="1:22" ht="15.75" x14ac:dyDescent="0.25">
      <c r="A1702" s="236"/>
      <c r="B1702" s="237"/>
      <c r="C1702" s="238"/>
      <c r="D1702" s="239"/>
      <c r="E1702" s="240"/>
      <c r="F1702" s="240"/>
      <c r="G1702" s="240"/>
      <c r="H1702" s="241">
        <f t="shared" si="210"/>
        <v>0</v>
      </c>
      <c r="I1702" s="242"/>
      <c r="J1702" s="243"/>
      <c r="K1702" s="243"/>
      <c r="L1702" s="244">
        <v>0.1</v>
      </c>
      <c r="M1702" s="244">
        <f t="shared" si="211"/>
        <v>0</v>
      </c>
      <c r="N1702" s="244"/>
      <c r="O1702" s="244"/>
      <c r="P1702" s="244"/>
      <c r="Q1702" s="245">
        <f t="shared" si="212"/>
        <v>0</v>
      </c>
      <c r="R1702" s="245">
        <f t="shared" si="213"/>
        <v>0</v>
      </c>
      <c r="S1702" s="246">
        <v>0.5</v>
      </c>
      <c r="T1702" s="245">
        <f t="shared" si="214"/>
        <v>0</v>
      </c>
      <c r="U1702" s="245">
        <f t="shared" si="215"/>
        <v>0</v>
      </c>
      <c r="V1702" s="247"/>
    </row>
    <row r="1703" spans="1:22" ht="15.75" x14ac:dyDescent="0.25">
      <c r="A1703" s="236"/>
      <c r="B1703" s="237"/>
      <c r="C1703" s="238"/>
      <c r="D1703" s="239"/>
      <c r="E1703" s="240"/>
      <c r="F1703" s="240"/>
      <c r="G1703" s="240"/>
      <c r="H1703" s="241">
        <f t="shared" si="210"/>
        <v>0</v>
      </c>
      <c r="I1703" s="242"/>
      <c r="J1703" s="243"/>
      <c r="K1703" s="243"/>
      <c r="L1703" s="244">
        <v>0.1</v>
      </c>
      <c r="M1703" s="244">
        <f t="shared" si="211"/>
        <v>0</v>
      </c>
      <c r="N1703" s="244"/>
      <c r="O1703" s="244"/>
      <c r="P1703" s="244"/>
      <c r="Q1703" s="245">
        <f t="shared" si="212"/>
        <v>0</v>
      </c>
      <c r="R1703" s="245">
        <f t="shared" si="213"/>
        <v>0</v>
      </c>
      <c r="S1703" s="246">
        <v>0.5</v>
      </c>
      <c r="T1703" s="245">
        <f t="shared" si="214"/>
        <v>0</v>
      </c>
      <c r="U1703" s="245">
        <f t="shared" si="215"/>
        <v>0</v>
      </c>
      <c r="V1703" s="247"/>
    </row>
    <row r="1704" spans="1:22" ht="15.75" x14ac:dyDescent="0.25">
      <c r="A1704" s="236"/>
      <c r="B1704" s="237"/>
      <c r="C1704" s="238"/>
      <c r="D1704" s="239"/>
      <c r="E1704" s="240"/>
      <c r="F1704" s="240"/>
      <c r="G1704" s="240"/>
      <c r="H1704" s="241">
        <f t="shared" si="210"/>
        <v>0</v>
      </c>
      <c r="I1704" s="242"/>
      <c r="J1704" s="243"/>
      <c r="K1704" s="243"/>
      <c r="L1704" s="244">
        <v>0.1</v>
      </c>
      <c r="M1704" s="244">
        <f t="shared" si="211"/>
        <v>0</v>
      </c>
      <c r="N1704" s="244"/>
      <c r="O1704" s="244"/>
      <c r="P1704" s="244"/>
      <c r="Q1704" s="245">
        <f t="shared" si="212"/>
        <v>0</v>
      </c>
      <c r="R1704" s="245">
        <f t="shared" si="213"/>
        <v>0</v>
      </c>
      <c r="S1704" s="246">
        <v>0.5</v>
      </c>
      <c r="T1704" s="245">
        <f t="shared" si="214"/>
        <v>0</v>
      </c>
      <c r="U1704" s="245">
        <f t="shared" si="215"/>
        <v>0</v>
      </c>
      <c r="V1704" s="247"/>
    </row>
    <row r="1705" spans="1:22" ht="15.75" x14ac:dyDescent="0.25">
      <c r="A1705" s="236"/>
      <c r="B1705" s="237"/>
      <c r="C1705" s="238"/>
      <c r="D1705" s="239"/>
      <c r="E1705" s="240"/>
      <c r="F1705" s="240"/>
      <c r="G1705" s="240"/>
      <c r="H1705" s="241">
        <f t="shared" si="210"/>
        <v>0</v>
      </c>
      <c r="I1705" s="242"/>
      <c r="J1705" s="243"/>
      <c r="K1705" s="243"/>
      <c r="L1705" s="244">
        <v>0.1</v>
      </c>
      <c r="M1705" s="244">
        <f t="shared" si="211"/>
        <v>0</v>
      </c>
      <c r="N1705" s="244"/>
      <c r="O1705" s="244"/>
      <c r="P1705" s="244"/>
      <c r="Q1705" s="245">
        <f t="shared" si="212"/>
        <v>0</v>
      </c>
      <c r="R1705" s="245">
        <f t="shared" si="213"/>
        <v>0</v>
      </c>
      <c r="S1705" s="246">
        <v>0.5</v>
      </c>
      <c r="T1705" s="245">
        <f t="shared" si="214"/>
        <v>0</v>
      </c>
      <c r="U1705" s="245">
        <f t="shared" si="215"/>
        <v>0</v>
      </c>
      <c r="V1705" s="247"/>
    </row>
    <row r="1706" spans="1:22" ht="15.75" x14ac:dyDescent="0.25">
      <c r="A1706" s="236"/>
      <c r="B1706" s="237"/>
      <c r="C1706" s="238"/>
      <c r="D1706" s="239"/>
      <c r="E1706" s="240"/>
      <c r="F1706" s="240"/>
      <c r="G1706" s="240"/>
      <c r="H1706" s="241">
        <f t="shared" si="210"/>
        <v>0</v>
      </c>
      <c r="I1706" s="242"/>
      <c r="J1706" s="243"/>
      <c r="K1706" s="243"/>
      <c r="L1706" s="244">
        <v>0.1</v>
      </c>
      <c r="M1706" s="244">
        <f t="shared" si="211"/>
        <v>0</v>
      </c>
      <c r="N1706" s="244"/>
      <c r="O1706" s="244"/>
      <c r="P1706" s="244"/>
      <c r="Q1706" s="245">
        <f t="shared" si="212"/>
        <v>0</v>
      </c>
      <c r="R1706" s="245">
        <f t="shared" si="213"/>
        <v>0</v>
      </c>
      <c r="S1706" s="246">
        <v>0.5</v>
      </c>
      <c r="T1706" s="245">
        <f t="shared" si="214"/>
        <v>0</v>
      </c>
      <c r="U1706" s="245">
        <f t="shared" si="215"/>
        <v>0</v>
      </c>
      <c r="V1706" s="247"/>
    </row>
    <row r="1707" spans="1:22" ht="15.75" x14ac:dyDescent="0.25">
      <c r="A1707" s="236"/>
      <c r="B1707" s="237"/>
      <c r="C1707" s="238"/>
      <c r="D1707" s="239"/>
      <c r="E1707" s="240"/>
      <c r="F1707" s="240"/>
      <c r="G1707" s="240"/>
      <c r="H1707" s="241">
        <f t="shared" si="210"/>
        <v>0</v>
      </c>
      <c r="I1707" s="242"/>
      <c r="J1707" s="243"/>
      <c r="K1707" s="243"/>
      <c r="L1707" s="244">
        <v>0.1</v>
      </c>
      <c r="M1707" s="244">
        <f t="shared" si="211"/>
        <v>0</v>
      </c>
      <c r="N1707" s="244"/>
      <c r="O1707" s="244"/>
      <c r="P1707" s="244"/>
      <c r="Q1707" s="245">
        <f t="shared" si="212"/>
        <v>0</v>
      </c>
      <c r="R1707" s="245">
        <f t="shared" si="213"/>
        <v>0</v>
      </c>
      <c r="S1707" s="246">
        <v>0.5</v>
      </c>
      <c r="T1707" s="245">
        <f t="shared" si="214"/>
        <v>0</v>
      </c>
      <c r="U1707" s="245">
        <f t="shared" si="215"/>
        <v>0</v>
      </c>
      <c r="V1707" s="247"/>
    </row>
    <row r="1708" spans="1:22" ht="15.75" x14ac:dyDescent="0.25">
      <c r="A1708" s="236"/>
      <c r="B1708" s="237"/>
      <c r="C1708" s="238"/>
      <c r="D1708" s="239"/>
      <c r="E1708" s="240"/>
      <c r="F1708" s="240"/>
      <c r="G1708" s="240"/>
      <c r="H1708" s="241">
        <f t="shared" si="210"/>
        <v>0</v>
      </c>
      <c r="I1708" s="242"/>
      <c r="J1708" s="243"/>
      <c r="K1708" s="243"/>
      <c r="L1708" s="244">
        <v>0.1</v>
      </c>
      <c r="M1708" s="244">
        <f t="shared" si="211"/>
        <v>0</v>
      </c>
      <c r="N1708" s="244"/>
      <c r="O1708" s="244"/>
      <c r="P1708" s="244"/>
      <c r="Q1708" s="245">
        <f t="shared" si="212"/>
        <v>0</v>
      </c>
      <c r="R1708" s="245">
        <f t="shared" si="213"/>
        <v>0</v>
      </c>
      <c r="S1708" s="246">
        <v>0.5</v>
      </c>
      <c r="T1708" s="245">
        <f t="shared" si="214"/>
        <v>0</v>
      </c>
      <c r="U1708" s="245">
        <f t="shared" si="215"/>
        <v>0</v>
      </c>
      <c r="V1708" s="247"/>
    </row>
    <row r="1709" spans="1:22" ht="15.75" x14ac:dyDescent="0.25">
      <c r="A1709" s="236"/>
      <c r="B1709" s="237"/>
      <c r="C1709" s="238"/>
      <c r="D1709" s="239"/>
      <c r="E1709" s="240"/>
      <c r="F1709" s="240"/>
      <c r="G1709" s="240"/>
      <c r="H1709" s="241">
        <f t="shared" si="210"/>
        <v>0</v>
      </c>
      <c r="I1709" s="242"/>
      <c r="J1709" s="243"/>
      <c r="K1709" s="243"/>
      <c r="L1709" s="244">
        <v>0.1</v>
      </c>
      <c r="M1709" s="244">
        <f t="shared" si="211"/>
        <v>0</v>
      </c>
      <c r="N1709" s="244"/>
      <c r="O1709" s="244"/>
      <c r="P1709" s="244"/>
      <c r="Q1709" s="245">
        <f t="shared" si="212"/>
        <v>0</v>
      </c>
      <c r="R1709" s="245">
        <f t="shared" si="213"/>
        <v>0</v>
      </c>
      <c r="S1709" s="246">
        <v>0.5</v>
      </c>
      <c r="T1709" s="245">
        <f t="shared" si="214"/>
        <v>0</v>
      </c>
      <c r="U1709" s="245">
        <f t="shared" si="215"/>
        <v>0</v>
      </c>
      <c r="V1709" s="247"/>
    </row>
    <row r="1710" spans="1:22" ht="15.75" x14ac:dyDescent="0.25">
      <c r="A1710" s="236"/>
      <c r="B1710" s="237"/>
      <c r="C1710" s="238"/>
      <c r="D1710" s="239"/>
      <c r="E1710" s="240"/>
      <c r="F1710" s="240"/>
      <c r="G1710" s="240"/>
      <c r="H1710" s="241">
        <f t="shared" si="210"/>
        <v>0</v>
      </c>
      <c r="I1710" s="242"/>
      <c r="J1710" s="243"/>
      <c r="K1710" s="243"/>
      <c r="L1710" s="244">
        <v>0.1</v>
      </c>
      <c r="M1710" s="244">
        <f t="shared" si="211"/>
        <v>0</v>
      </c>
      <c r="N1710" s="244"/>
      <c r="O1710" s="244"/>
      <c r="P1710" s="244"/>
      <c r="Q1710" s="245">
        <f t="shared" si="212"/>
        <v>0</v>
      </c>
      <c r="R1710" s="245">
        <f t="shared" si="213"/>
        <v>0</v>
      </c>
      <c r="S1710" s="246">
        <v>0.5</v>
      </c>
      <c r="T1710" s="245">
        <f t="shared" si="214"/>
        <v>0</v>
      </c>
      <c r="U1710" s="245">
        <f t="shared" si="215"/>
        <v>0</v>
      </c>
      <c r="V1710" s="247"/>
    </row>
    <row r="1711" spans="1:22" ht="15.75" x14ac:dyDescent="0.25">
      <c r="A1711" s="236"/>
      <c r="B1711" s="237"/>
      <c r="C1711" s="238"/>
      <c r="D1711" s="239"/>
      <c r="E1711" s="240"/>
      <c r="F1711" s="240"/>
      <c r="G1711" s="240"/>
      <c r="H1711" s="241">
        <f t="shared" si="210"/>
        <v>0</v>
      </c>
      <c r="I1711" s="242"/>
      <c r="J1711" s="243"/>
      <c r="K1711" s="243"/>
      <c r="L1711" s="244">
        <v>0.1</v>
      </c>
      <c r="M1711" s="244">
        <f t="shared" si="211"/>
        <v>0</v>
      </c>
      <c r="N1711" s="244"/>
      <c r="O1711" s="244"/>
      <c r="P1711" s="244"/>
      <c r="Q1711" s="245">
        <f t="shared" si="212"/>
        <v>0</v>
      </c>
      <c r="R1711" s="245">
        <f t="shared" si="213"/>
        <v>0</v>
      </c>
      <c r="S1711" s="246">
        <v>0.5</v>
      </c>
      <c r="T1711" s="245">
        <f t="shared" si="214"/>
        <v>0</v>
      </c>
      <c r="U1711" s="245">
        <f t="shared" si="215"/>
        <v>0</v>
      </c>
      <c r="V1711" s="247"/>
    </row>
    <row r="1712" spans="1:22" ht="15.75" x14ac:dyDescent="0.25">
      <c r="A1712" s="236"/>
      <c r="B1712" s="237"/>
      <c r="C1712" s="238"/>
      <c r="D1712" s="239"/>
      <c r="E1712" s="240"/>
      <c r="F1712" s="240"/>
      <c r="G1712" s="240"/>
      <c r="H1712" s="241">
        <f t="shared" si="210"/>
        <v>0</v>
      </c>
      <c r="I1712" s="242"/>
      <c r="J1712" s="243"/>
      <c r="K1712" s="243"/>
      <c r="L1712" s="244">
        <v>0.1</v>
      </c>
      <c r="M1712" s="244">
        <f t="shared" si="211"/>
        <v>0</v>
      </c>
      <c r="N1712" s="244"/>
      <c r="O1712" s="244"/>
      <c r="P1712" s="244"/>
      <c r="Q1712" s="245">
        <f t="shared" si="212"/>
        <v>0</v>
      </c>
      <c r="R1712" s="245">
        <f t="shared" si="213"/>
        <v>0</v>
      </c>
      <c r="S1712" s="246">
        <v>0.5</v>
      </c>
      <c r="T1712" s="245">
        <f t="shared" si="214"/>
        <v>0</v>
      </c>
      <c r="U1712" s="245">
        <f t="shared" si="215"/>
        <v>0</v>
      </c>
      <c r="V1712" s="247"/>
    </row>
    <row r="1713" spans="1:22" ht="15.75" x14ac:dyDescent="0.25">
      <c r="A1713" s="236"/>
      <c r="B1713" s="237"/>
      <c r="C1713" s="238"/>
      <c r="D1713" s="239"/>
      <c r="E1713" s="240"/>
      <c r="F1713" s="240"/>
      <c r="G1713" s="240"/>
      <c r="H1713" s="241">
        <f t="shared" si="210"/>
        <v>0</v>
      </c>
      <c r="I1713" s="242"/>
      <c r="J1713" s="243"/>
      <c r="K1713" s="243"/>
      <c r="L1713" s="244">
        <v>0.1</v>
      </c>
      <c r="M1713" s="244">
        <f t="shared" si="211"/>
        <v>0</v>
      </c>
      <c r="N1713" s="244"/>
      <c r="O1713" s="244"/>
      <c r="P1713" s="244"/>
      <c r="Q1713" s="245">
        <f t="shared" si="212"/>
        <v>0</v>
      </c>
      <c r="R1713" s="245">
        <f t="shared" si="213"/>
        <v>0</v>
      </c>
      <c r="S1713" s="246">
        <v>0.5</v>
      </c>
      <c r="T1713" s="245">
        <f t="shared" si="214"/>
        <v>0</v>
      </c>
      <c r="U1713" s="245">
        <f t="shared" si="215"/>
        <v>0</v>
      </c>
      <c r="V1713" s="247"/>
    </row>
    <row r="1714" spans="1:22" ht="15.75" x14ac:dyDescent="0.25">
      <c r="A1714" s="236"/>
      <c r="B1714" s="237"/>
      <c r="C1714" s="238"/>
      <c r="D1714" s="239"/>
      <c r="E1714" s="240"/>
      <c r="F1714" s="240"/>
      <c r="G1714" s="240"/>
      <c r="H1714" s="241">
        <f t="shared" si="210"/>
        <v>0</v>
      </c>
      <c r="I1714" s="242"/>
      <c r="J1714" s="243"/>
      <c r="K1714" s="243"/>
      <c r="L1714" s="244">
        <v>0.1</v>
      </c>
      <c r="M1714" s="244">
        <f t="shared" si="211"/>
        <v>0</v>
      </c>
      <c r="N1714" s="244"/>
      <c r="O1714" s="244"/>
      <c r="P1714" s="244"/>
      <c r="Q1714" s="245">
        <f t="shared" si="212"/>
        <v>0</v>
      </c>
      <c r="R1714" s="245">
        <f t="shared" si="213"/>
        <v>0</v>
      </c>
      <c r="S1714" s="246">
        <v>0.5</v>
      </c>
      <c r="T1714" s="245">
        <f t="shared" si="214"/>
        <v>0</v>
      </c>
      <c r="U1714" s="245">
        <f t="shared" si="215"/>
        <v>0</v>
      </c>
      <c r="V1714" s="247"/>
    </row>
    <row r="1715" spans="1:22" ht="15.75" x14ac:dyDescent="0.25">
      <c r="A1715" s="236"/>
      <c r="B1715" s="237"/>
      <c r="C1715" s="238"/>
      <c r="D1715" s="239"/>
      <c r="E1715" s="240"/>
      <c r="F1715" s="240"/>
      <c r="G1715" s="240"/>
      <c r="H1715" s="241">
        <f t="shared" si="210"/>
        <v>0</v>
      </c>
      <c r="I1715" s="242"/>
      <c r="J1715" s="243"/>
      <c r="K1715" s="243"/>
      <c r="L1715" s="244">
        <v>0.1</v>
      </c>
      <c r="M1715" s="244">
        <f t="shared" si="211"/>
        <v>0</v>
      </c>
      <c r="N1715" s="244"/>
      <c r="O1715" s="244"/>
      <c r="P1715" s="244"/>
      <c r="Q1715" s="245">
        <f t="shared" si="212"/>
        <v>0</v>
      </c>
      <c r="R1715" s="245">
        <f t="shared" si="213"/>
        <v>0</v>
      </c>
      <c r="S1715" s="246">
        <v>0.5</v>
      </c>
      <c r="T1715" s="245">
        <f t="shared" si="214"/>
        <v>0</v>
      </c>
      <c r="U1715" s="245">
        <f t="shared" si="215"/>
        <v>0</v>
      </c>
      <c r="V1715" s="247"/>
    </row>
    <row r="1716" spans="1:22" ht="15.75" x14ac:dyDescent="0.25">
      <c r="A1716" s="236"/>
      <c r="B1716" s="237"/>
      <c r="C1716" s="238"/>
      <c r="D1716" s="239"/>
      <c r="E1716" s="240"/>
      <c r="F1716" s="240"/>
      <c r="G1716" s="240"/>
      <c r="H1716" s="241">
        <f t="shared" si="210"/>
        <v>0</v>
      </c>
      <c r="I1716" s="242"/>
      <c r="J1716" s="243"/>
      <c r="K1716" s="243"/>
      <c r="L1716" s="244">
        <v>0.1</v>
      </c>
      <c r="M1716" s="244">
        <f t="shared" si="211"/>
        <v>0</v>
      </c>
      <c r="N1716" s="244"/>
      <c r="O1716" s="244"/>
      <c r="P1716" s="244"/>
      <c r="Q1716" s="245">
        <f t="shared" si="212"/>
        <v>0</v>
      </c>
      <c r="R1716" s="245">
        <f t="shared" si="213"/>
        <v>0</v>
      </c>
      <c r="S1716" s="246">
        <v>0.5</v>
      </c>
      <c r="T1716" s="245">
        <f t="shared" si="214"/>
        <v>0</v>
      </c>
      <c r="U1716" s="245">
        <f t="shared" si="215"/>
        <v>0</v>
      </c>
      <c r="V1716" s="247"/>
    </row>
    <row r="1717" spans="1:22" ht="15.75" x14ac:dyDescent="0.25">
      <c r="A1717" s="236"/>
      <c r="B1717" s="237"/>
      <c r="C1717" s="238"/>
      <c r="D1717" s="239"/>
      <c r="E1717" s="240"/>
      <c r="F1717" s="240"/>
      <c r="G1717" s="240"/>
      <c r="H1717" s="241">
        <f t="shared" si="210"/>
        <v>0</v>
      </c>
      <c r="I1717" s="242"/>
      <c r="J1717" s="243"/>
      <c r="K1717" s="243"/>
      <c r="L1717" s="244">
        <v>0.1</v>
      </c>
      <c r="M1717" s="244">
        <f t="shared" si="211"/>
        <v>0</v>
      </c>
      <c r="N1717" s="244"/>
      <c r="O1717" s="244"/>
      <c r="P1717" s="244"/>
      <c r="Q1717" s="245">
        <f t="shared" si="212"/>
        <v>0</v>
      </c>
      <c r="R1717" s="245">
        <f t="shared" si="213"/>
        <v>0</v>
      </c>
      <c r="S1717" s="246">
        <v>0.5</v>
      </c>
      <c r="T1717" s="245">
        <f t="shared" si="214"/>
        <v>0</v>
      </c>
      <c r="U1717" s="245">
        <f t="shared" si="215"/>
        <v>0</v>
      </c>
      <c r="V1717" s="247"/>
    </row>
    <row r="1718" spans="1:22" ht="15.75" x14ac:dyDescent="0.25">
      <c r="A1718" s="236"/>
      <c r="B1718" s="237"/>
      <c r="C1718" s="238"/>
      <c r="D1718" s="239"/>
      <c r="E1718" s="240"/>
      <c r="F1718" s="240"/>
      <c r="G1718" s="240"/>
      <c r="H1718" s="241">
        <f t="shared" si="210"/>
        <v>0</v>
      </c>
      <c r="I1718" s="242"/>
      <c r="J1718" s="243"/>
      <c r="K1718" s="243"/>
      <c r="L1718" s="244">
        <v>0.1</v>
      </c>
      <c r="M1718" s="244">
        <f t="shared" si="211"/>
        <v>0</v>
      </c>
      <c r="N1718" s="244"/>
      <c r="O1718" s="244"/>
      <c r="P1718" s="244"/>
      <c r="Q1718" s="245">
        <f t="shared" si="212"/>
        <v>0</v>
      </c>
      <c r="R1718" s="245">
        <f t="shared" si="213"/>
        <v>0</v>
      </c>
      <c r="S1718" s="246">
        <v>0.5</v>
      </c>
      <c r="T1718" s="245">
        <f t="shared" si="214"/>
        <v>0</v>
      </c>
      <c r="U1718" s="245">
        <f t="shared" si="215"/>
        <v>0</v>
      </c>
      <c r="V1718" s="247"/>
    </row>
    <row r="1719" spans="1:22" ht="15.75" x14ac:dyDescent="0.25">
      <c r="A1719" s="236"/>
      <c r="B1719" s="237"/>
      <c r="C1719" s="238"/>
      <c r="D1719" s="239"/>
      <c r="E1719" s="240"/>
      <c r="F1719" s="240"/>
      <c r="G1719" s="240"/>
      <c r="H1719" s="241">
        <f t="shared" si="210"/>
        <v>0</v>
      </c>
      <c r="I1719" s="242"/>
      <c r="J1719" s="243"/>
      <c r="K1719" s="243"/>
      <c r="L1719" s="244">
        <v>0.1</v>
      </c>
      <c r="M1719" s="244">
        <f t="shared" si="211"/>
        <v>0</v>
      </c>
      <c r="N1719" s="244"/>
      <c r="O1719" s="244"/>
      <c r="P1719" s="244"/>
      <c r="Q1719" s="245">
        <f t="shared" si="212"/>
        <v>0</v>
      </c>
      <c r="R1719" s="245">
        <f t="shared" si="213"/>
        <v>0</v>
      </c>
      <c r="S1719" s="246">
        <v>0.5</v>
      </c>
      <c r="T1719" s="245">
        <f t="shared" si="214"/>
        <v>0</v>
      </c>
      <c r="U1719" s="245">
        <f t="shared" si="215"/>
        <v>0</v>
      </c>
      <c r="V1719" s="247"/>
    </row>
    <row r="1720" spans="1:22" ht="15.75" x14ac:dyDescent="0.25">
      <c r="A1720" s="236"/>
      <c r="B1720" s="237"/>
      <c r="C1720" s="238"/>
      <c r="D1720" s="239"/>
      <c r="E1720" s="240"/>
      <c r="F1720" s="240"/>
      <c r="G1720" s="240"/>
      <c r="H1720" s="241">
        <f t="shared" si="210"/>
        <v>0</v>
      </c>
      <c r="I1720" s="242"/>
      <c r="J1720" s="243"/>
      <c r="K1720" s="243"/>
      <c r="L1720" s="244">
        <v>0.1</v>
      </c>
      <c r="M1720" s="244">
        <f t="shared" si="211"/>
        <v>0</v>
      </c>
      <c r="N1720" s="244"/>
      <c r="O1720" s="244"/>
      <c r="P1720" s="244"/>
      <c r="Q1720" s="245">
        <f t="shared" si="212"/>
        <v>0</v>
      </c>
      <c r="R1720" s="245">
        <f t="shared" si="213"/>
        <v>0</v>
      </c>
      <c r="S1720" s="246">
        <v>0.5</v>
      </c>
      <c r="T1720" s="245">
        <f t="shared" si="214"/>
        <v>0</v>
      </c>
      <c r="U1720" s="245">
        <f t="shared" si="215"/>
        <v>0</v>
      </c>
      <c r="V1720" s="247"/>
    </row>
    <row r="1721" spans="1:22" ht="15.75" x14ac:dyDescent="0.25">
      <c r="A1721" s="236"/>
      <c r="B1721" s="237"/>
      <c r="C1721" s="238"/>
      <c r="D1721" s="239"/>
      <c r="E1721" s="240"/>
      <c r="F1721" s="240"/>
      <c r="G1721" s="240"/>
      <c r="H1721" s="241">
        <f t="shared" si="210"/>
        <v>0</v>
      </c>
      <c r="I1721" s="242"/>
      <c r="J1721" s="243"/>
      <c r="K1721" s="243"/>
      <c r="L1721" s="244">
        <v>0.1</v>
      </c>
      <c r="M1721" s="244">
        <f t="shared" si="211"/>
        <v>0</v>
      </c>
      <c r="N1721" s="244"/>
      <c r="O1721" s="244"/>
      <c r="P1721" s="244"/>
      <c r="Q1721" s="245">
        <f t="shared" si="212"/>
        <v>0</v>
      </c>
      <c r="R1721" s="245">
        <f t="shared" si="213"/>
        <v>0</v>
      </c>
      <c r="S1721" s="246">
        <v>0.5</v>
      </c>
      <c r="T1721" s="245">
        <f t="shared" si="214"/>
        <v>0</v>
      </c>
      <c r="U1721" s="245">
        <f t="shared" si="215"/>
        <v>0</v>
      </c>
      <c r="V1721" s="247"/>
    </row>
    <row r="1722" spans="1:22" ht="15.75" x14ac:dyDescent="0.25">
      <c r="A1722" s="236"/>
      <c r="B1722" s="237"/>
      <c r="C1722" s="238"/>
      <c r="D1722" s="239"/>
      <c r="E1722" s="240"/>
      <c r="F1722" s="240"/>
      <c r="G1722" s="240"/>
      <c r="H1722" s="241">
        <f t="shared" si="210"/>
        <v>0</v>
      </c>
      <c r="I1722" s="242"/>
      <c r="J1722" s="243"/>
      <c r="K1722" s="243"/>
      <c r="L1722" s="244">
        <v>0.1</v>
      </c>
      <c r="M1722" s="244">
        <f t="shared" si="211"/>
        <v>0</v>
      </c>
      <c r="N1722" s="244"/>
      <c r="O1722" s="244"/>
      <c r="P1722" s="244"/>
      <c r="Q1722" s="245">
        <f t="shared" si="212"/>
        <v>0</v>
      </c>
      <c r="R1722" s="245">
        <f t="shared" si="213"/>
        <v>0</v>
      </c>
      <c r="S1722" s="246">
        <v>0.5</v>
      </c>
      <c r="T1722" s="245">
        <f t="shared" si="214"/>
        <v>0</v>
      </c>
      <c r="U1722" s="245">
        <f t="shared" si="215"/>
        <v>0</v>
      </c>
      <c r="V1722" s="247"/>
    </row>
    <row r="1723" spans="1:22" ht="15.75" x14ac:dyDescent="0.25">
      <c r="A1723" s="236"/>
      <c r="B1723" s="237"/>
      <c r="C1723" s="238"/>
      <c r="D1723" s="239"/>
      <c r="E1723" s="240"/>
      <c r="F1723" s="240"/>
      <c r="G1723" s="240"/>
      <c r="H1723" s="241">
        <f t="shared" si="210"/>
        <v>0</v>
      </c>
      <c r="I1723" s="242"/>
      <c r="J1723" s="243"/>
      <c r="K1723" s="243"/>
      <c r="L1723" s="244">
        <v>0.1</v>
      </c>
      <c r="M1723" s="244">
        <f t="shared" si="211"/>
        <v>0</v>
      </c>
      <c r="N1723" s="244"/>
      <c r="O1723" s="244"/>
      <c r="P1723" s="244"/>
      <c r="Q1723" s="245">
        <f t="shared" si="212"/>
        <v>0</v>
      </c>
      <c r="R1723" s="245">
        <f t="shared" si="213"/>
        <v>0</v>
      </c>
      <c r="S1723" s="246">
        <v>0.5</v>
      </c>
      <c r="T1723" s="245">
        <f t="shared" si="214"/>
        <v>0</v>
      </c>
      <c r="U1723" s="245">
        <f t="shared" si="215"/>
        <v>0</v>
      </c>
      <c r="V1723" s="247"/>
    </row>
    <row r="1724" spans="1:22" ht="15.75" x14ac:dyDescent="0.25">
      <c r="A1724" s="236"/>
      <c r="B1724" s="237"/>
      <c r="C1724" s="238"/>
      <c r="D1724" s="239"/>
      <c r="E1724" s="240"/>
      <c r="F1724" s="240"/>
      <c r="G1724" s="240"/>
      <c r="H1724" s="241">
        <f t="shared" si="210"/>
        <v>0</v>
      </c>
      <c r="I1724" s="242"/>
      <c r="J1724" s="243"/>
      <c r="K1724" s="243"/>
      <c r="L1724" s="244">
        <v>0.1</v>
      </c>
      <c r="M1724" s="244">
        <f t="shared" si="211"/>
        <v>0</v>
      </c>
      <c r="N1724" s="244"/>
      <c r="O1724" s="244"/>
      <c r="P1724" s="244"/>
      <c r="Q1724" s="245">
        <f t="shared" si="212"/>
        <v>0</v>
      </c>
      <c r="R1724" s="245">
        <f t="shared" si="213"/>
        <v>0</v>
      </c>
      <c r="S1724" s="246">
        <v>0.5</v>
      </c>
      <c r="T1724" s="245">
        <f t="shared" si="214"/>
        <v>0</v>
      </c>
      <c r="U1724" s="245">
        <f t="shared" si="215"/>
        <v>0</v>
      </c>
      <c r="V1724" s="247"/>
    </row>
    <row r="1725" spans="1:22" ht="15.75" x14ac:dyDescent="0.25">
      <c r="A1725" s="236"/>
      <c r="B1725" s="237"/>
      <c r="C1725" s="238"/>
      <c r="D1725" s="239"/>
      <c r="E1725" s="240"/>
      <c r="F1725" s="240"/>
      <c r="G1725" s="240"/>
      <c r="H1725" s="241">
        <f t="shared" ref="H1725:H1788" si="216">+E1725+F1725+G1725</f>
        <v>0</v>
      </c>
      <c r="I1725" s="242"/>
      <c r="J1725" s="243"/>
      <c r="K1725" s="243"/>
      <c r="L1725" s="244">
        <v>0.1</v>
      </c>
      <c r="M1725" s="244">
        <f t="shared" ref="M1725:M1788" si="217">+L1725*C1725</f>
        <v>0</v>
      </c>
      <c r="N1725" s="244"/>
      <c r="O1725" s="244"/>
      <c r="P1725" s="244"/>
      <c r="Q1725" s="245">
        <f t="shared" ref="Q1725:Q1788" si="218">+N1725+O1725+P1725</f>
        <v>0</v>
      </c>
      <c r="R1725" s="245">
        <f t="shared" ref="R1725:R1788" si="219">IF(+Q1725-H1725&lt;=0,0,Q1725-H1725)</f>
        <v>0</v>
      </c>
      <c r="S1725" s="246">
        <v>0.5</v>
      </c>
      <c r="T1725" s="245">
        <f t="shared" ref="T1725:T1788" si="220">+(R1725*C1725)*S1725</f>
        <v>0</v>
      </c>
      <c r="U1725" s="245">
        <f t="shared" ref="U1725:U1788" si="221">+J1725+M1725+T1725</f>
        <v>0</v>
      </c>
      <c r="V1725" s="247"/>
    </row>
    <row r="1726" spans="1:22" ht="15.75" x14ac:dyDescent="0.25">
      <c r="A1726" s="236"/>
      <c r="B1726" s="237"/>
      <c r="C1726" s="238"/>
      <c r="D1726" s="239"/>
      <c r="E1726" s="240"/>
      <c r="F1726" s="240"/>
      <c r="G1726" s="240"/>
      <c r="H1726" s="241">
        <f t="shared" si="216"/>
        <v>0</v>
      </c>
      <c r="I1726" s="242"/>
      <c r="J1726" s="243"/>
      <c r="K1726" s="243"/>
      <c r="L1726" s="244">
        <v>0.1</v>
      </c>
      <c r="M1726" s="244">
        <f t="shared" si="217"/>
        <v>0</v>
      </c>
      <c r="N1726" s="244"/>
      <c r="O1726" s="244"/>
      <c r="P1726" s="244"/>
      <c r="Q1726" s="245">
        <f t="shared" si="218"/>
        <v>0</v>
      </c>
      <c r="R1726" s="245">
        <f t="shared" si="219"/>
        <v>0</v>
      </c>
      <c r="S1726" s="246">
        <v>0.5</v>
      </c>
      <c r="T1726" s="245">
        <f t="shared" si="220"/>
        <v>0</v>
      </c>
      <c r="U1726" s="245">
        <f t="shared" si="221"/>
        <v>0</v>
      </c>
      <c r="V1726" s="247"/>
    </row>
    <row r="1727" spans="1:22" ht="15.75" x14ac:dyDescent="0.25">
      <c r="A1727" s="236"/>
      <c r="B1727" s="237"/>
      <c r="C1727" s="238"/>
      <c r="D1727" s="239"/>
      <c r="E1727" s="240"/>
      <c r="F1727" s="240"/>
      <c r="G1727" s="240"/>
      <c r="H1727" s="241">
        <f t="shared" si="216"/>
        <v>0</v>
      </c>
      <c r="I1727" s="242"/>
      <c r="J1727" s="243"/>
      <c r="K1727" s="243"/>
      <c r="L1727" s="244">
        <v>0.1</v>
      </c>
      <c r="M1727" s="244">
        <f t="shared" si="217"/>
        <v>0</v>
      </c>
      <c r="N1727" s="244"/>
      <c r="O1727" s="244"/>
      <c r="P1727" s="244"/>
      <c r="Q1727" s="245">
        <f t="shared" si="218"/>
        <v>0</v>
      </c>
      <c r="R1727" s="245">
        <f t="shared" si="219"/>
        <v>0</v>
      </c>
      <c r="S1727" s="246">
        <v>0.5</v>
      </c>
      <c r="T1727" s="245">
        <f t="shared" si="220"/>
        <v>0</v>
      </c>
      <c r="U1727" s="245">
        <f t="shared" si="221"/>
        <v>0</v>
      </c>
      <c r="V1727" s="247"/>
    </row>
    <row r="1728" spans="1:22" ht="15.75" x14ac:dyDescent="0.25">
      <c r="A1728" s="236"/>
      <c r="B1728" s="237"/>
      <c r="C1728" s="238"/>
      <c r="D1728" s="239"/>
      <c r="E1728" s="240"/>
      <c r="F1728" s="240"/>
      <c r="G1728" s="240"/>
      <c r="H1728" s="241">
        <f t="shared" si="216"/>
        <v>0</v>
      </c>
      <c r="I1728" s="242"/>
      <c r="J1728" s="243"/>
      <c r="K1728" s="243"/>
      <c r="L1728" s="244">
        <v>0.1</v>
      </c>
      <c r="M1728" s="244">
        <f t="shared" si="217"/>
        <v>0</v>
      </c>
      <c r="N1728" s="244"/>
      <c r="O1728" s="244"/>
      <c r="P1728" s="244"/>
      <c r="Q1728" s="245">
        <f t="shared" si="218"/>
        <v>0</v>
      </c>
      <c r="R1728" s="245">
        <f t="shared" si="219"/>
        <v>0</v>
      </c>
      <c r="S1728" s="246">
        <v>0.5</v>
      </c>
      <c r="T1728" s="245">
        <f t="shared" si="220"/>
        <v>0</v>
      </c>
      <c r="U1728" s="245">
        <f t="shared" si="221"/>
        <v>0</v>
      </c>
      <c r="V1728" s="247"/>
    </row>
    <row r="1729" spans="1:22" ht="15.75" x14ac:dyDescent="0.25">
      <c r="A1729" s="236"/>
      <c r="B1729" s="237"/>
      <c r="C1729" s="238"/>
      <c r="D1729" s="239"/>
      <c r="E1729" s="240"/>
      <c r="F1729" s="240"/>
      <c r="G1729" s="240"/>
      <c r="H1729" s="241">
        <f t="shared" si="216"/>
        <v>0</v>
      </c>
      <c r="I1729" s="242"/>
      <c r="J1729" s="243"/>
      <c r="K1729" s="243"/>
      <c r="L1729" s="244">
        <v>0.1</v>
      </c>
      <c r="M1729" s="244">
        <f t="shared" si="217"/>
        <v>0</v>
      </c>
      <c r="N1729" s="244"/>
      <c r="O1729" s="244"/>
      <c r="P1729" s="244"/>
      <c r="Q1729" s="245">
        <f t="shared" si="218"/>
        <v>0</v>
      </c>
      <c r="R1729" s="245">
        <f t="shared" si="219"/>
        <v>0</v>
      </c>
      <c r="S1729" s="246">
        <v>0.5</v>
      </c>
      <c r="T1729" s="245">
        <f t="shared" si="220"/>
        <v>0</v>
      </c>
      <c r="U1729" s="245">
        <f t="shared" si="221"/>
        <v>0</v>
      </c>
      <c r="V1729" s="247"/>
    </row>
    <row r="1730" spans="1:22" ht="15.75" x14ac:dyDescent="0.25">
      <c r="A1730" s="236"/>
      <c r="B1730" s="237"/>
      <c r="C1730" s="238"/>
      <c r="D1730" s="239"/>
      <c r="E1730" s="240"/>
      <c r="F1730" s="240"/>
      <c r="G1730" s="240"/>
      <c r="H1730" s="241">
        <f t="shared" si="216"/>
        <v>0</v>
      </c>
      <c r="I1730" s="242"/>
      <c r="J1730" s="243"/>
      <c r="K1730" s="243"/>
      <c r="L1730" s="244">
        <v>0.1</v>
      </c>
      <c r="M1730" s="244">
        <f t="shared" si="217"/>
        <v>0</v>
      </c>
      <c r="N1730" s="244"/>
      <c r="O1730" s="244"/>
      <c r="P1730" s="244"/>
      <c r="Q1730" s="245">
        <f t="shared" si="218"/>
        <v>0</v>
      </c>
      <c r="R1730" s="245">
        <f t="shared" si="219"/>
        <v>0</v>
      </c>
      <c r="S1730" s="246">
        <v>0.5</v>
      </c>
      <c r="T1730" s="245">
        <f t="shared" si="220"/>
        <v>0</v>
      </c>
      <c r="U1730" s="245">
        <f t="shared" si="221"/>
        <v>0</v>
      </c>
      <c r="V1730" s="247"/>
    </row>
    <row r="1731" spans="1:22" ht="15.75" x14ac:dyDescent="0.25">
      <c r="A1731" s="236"/>
      <c r="B1731" s="237"/>
      <c r="C1731" s="238"/>
      <c r="D1731" s="239"/>
      <c r="E1731" s="240"/>
      <c r="F1731" s="240"/>
      <c r="G1731" s="240"/>
      <c r="H1731" s="241">
        <f t="shared" si="216"/>
        <v>0</v>
      </c>
      <c r="I1731" s="242"/>
      <c r="J1731" s="243"/>
      <c r="K1731" s="243"/>
      <c r="L1731" s="244">
        <v>0.1</v>
      </c>
      <c r="M1731" s="244">
        <f t="shared" si="217"/>
        <v>0</v>
      </c>
      <c r="N1731" s="244"/>
      <c r="O1731" s="244"/>
      <c r="P1731" s="244"/>
      <c r="Q1731" s="245">
        <f t="shared" si="218"/>
        <v>0</v>
      </c>
      <c r="R1731" s="245">
        <f t="shared" si="219"/>
        <v>0</v>
      </c>
      <c r="S1731" s="246">
        <v>0.5</v>
      </c>
      <c r="T1731" s="245">
        <f t="shared" si="220"/>
        <v>0</v>
      </c>
      <c r="U1731" s="245">
        <f t="shared" si="221"/>
        <v>0</v>
      </c>
      <c r="V1731" s="247"/>
    </row>
    <row r="1732" spans="1:22" ht="15.75" x14ac:dyDescent="0.25">
      <c r="A1732" s="236"/>
      <c r="B1732" s="237"/>
      <c r="C1732" s="238"/>
      <c r="D1732" s="239"/>
      <c r="E1732" s="240"/>
      <c r="F1732" s="240"/>
      <c r="G1732" s="240"/>
      <c r="H1732" s="241">
        <f t="shared" si="216"/>
        <v>0</v>
      </c>
      <c r="I1732" s="242"/>
      <c r="J1732" s="243"/>
      <c r="K1732" s="243"/>
      <c r="L1732" s="244">
        <v>0.1</v>
      </c>
      <c r="M1732" s="244">
        <f t="shared" si="217"/>
        <v>0</v>
      </c>
      <c r="N1732" s="244"/>
      <c r="O1732" s="244"/>
      <c r="P1732" s="244"/>
      <c r="Q1732" s="245">
        <f t="shared" si="218"/>
        <v>0</v>
      </c>
      <c r="R1732" s="245">
        <f t="shared" si="219"/>
        <v>0</v>
      </c>
      <c r="S1732" s="246">
        <v>0.5</v>
      </c>
      <c r="T1732" s="245">
        <f t="shared" si="220"/>
        <v>0</v>
      </c>
      <c r="U1732" s="245">
        <f t="shared" si="221"/>
        <v>0</v>
      </c>
      <c r="V1732" s="247"/>
    </row>
    <row r="1733" spans="1:22" ht="15.75" x14ac:dyDescent="0.25">
      <c r="A1733" s="236"/>
      <c r="B1733" s="237"/>
      <c r="C1733" s="238"/>
      <c r="D1733" s="239"/>
      <c r="E1733" s="240"/>
      <c r="F1733" s="240"/>
      <c r="G1733" s="240"/>
      <c r="H1733" s="241">
        <f t="shared" si="216"/>
        <v>0</v>
      </c>
      <c r="I1733" s="242"/>
      <c r="J1733" s="243"/>
      <c r="K1733" s="243"/>
      <c r="L1733" s="244">
        <v>0.1</v>
      </c>
      <c r="M1733" s="244">
        <f t="shared" si="217"/>
        <v>0</v>
      </c>
      <c r="N1733" s="244"/>
      <c r="O1733" s="244"/>
      <c r="P1733" s="244"/>
      <c r="Q1733" s="245">
        <f t="shared" si="218"/>
        <v>0</v>
      </c>
      <c r="R1733" s="245">
        <f t="shared" si="219"/>
        <v>0</v>
      </c>
      <c r="S1733" s="246">
        <v>0.5</v>
      </c>
      <c r="T1733" s="245">
        <f t="shared" si="220"/>
        <v>0</v>
      </c>
      <c r="U1733" s="245">
        <f t="shared" si="221"/>
        <v>0</v>
      </c>
      <c r="V1733" s="247"/>
    </row>
    <row r="1734" spans="1:22" ht="15.75" x14ac:dyDescent="0.25">
      <c r="A1734" s="236"/>
      <c r="B1734" s="237"/>
      <c r="C1734" s="238"/>
      <c r="D1734" s="239"/>
      <c r="E1734" s="240"/>
      <c r="F1734" s="240"/>
      <c r="G1734" s="240"/>
      <c r="H1734" s="241">
        <f t="shared" si="216"/>
        <v>0</v>
      </c>
      <c r="I1734" s="242"/>
      <c r="J1734" s="243"/>
      <c r="K1734" s="243"/>
      <c r="L1734" s="244">
        <v>0.1</v>
      </c>
      <c r="M1734" s="244">
        <f t="shared" si="217"/>
        <v>0</v>
      </c>
      <c r="N1734" s="244"/>
      <c r="O1734" s="244"/>
      <c r="P1734" s="244"/>
      <c r="Q1734" s="245">
        <f t="shared" si="218"/>
        <v>0</v>
      </c>
      <c r="R1734" s="245">
        <f t="shared" si="219"/>
        <v>0</v>
      </c>
      <c r="S1734" s="246">
        <v>0.5</v>
      </c>
      <c r="T1734" s="245">
        <f t="shared" si="220"/>
        <v>0</v>
      </c>
      <c r="U1734" s="245">
        <f t="shared" si="221"/>
        <v>0</v>
      </c>
      <c r="V1734" s="247"/>
    </row>
    <row r="1735" spans="1:22" ht="15.75" x14ac:dyDescent="0.25">
      <c r="A1735" s="236"/>
      <c r="B1735" s="237"/>
      <c r="C1735" s="238"/>
      <c r="D1735" s="239"/>
      <c r="E1735" s="240"/>
      <c r="F1735" s="240"/>
      <c r="G1735" s="240"/>
      <c r="H1735" s="241">
        <f t="shared" si="216"/>
        <v>0</v>
      </c>
      <c r="I1735" s="242"/>
      <c r="J1735" s="243"/>
      <c r="K1735" s="243"/>
      <c r="L1735" s="244">
        <v>0.1</v>
      </c>
      <c r="M1735" s="244">
        <f t="shared" si="217"/>
        <v>0</v>
      </c>
      <c r="N1735" s="244"/>
      <c r="O1735" s="244"/>
      <c r="P1735" s="244"/>
      <c r="Q1735" s="245">
        <f t="shared" si="218"/>
        <v>0</v>
      </c>
      <c r="R1735" s="245">
        <f t="shared" si="219"/>
        <v>0</v>
      </c>
      <c r="S1735" s="246">
        <v>0.5</v>
      </c>
      <c r="T1735" s="245">
        <f t="shared" si="220"/>
        <v>0</v>
      </c>
      <c r="U1735" s="245">
        <f t="shared" si="221"/>
        <v>0</v>
      </c>
      <c r="V1735" s="247"/>
    </row>
    <row r="1736" spans="1:22" ht="15.75" x14ac:dyDescent="0.25">
      <c r="A1736" s="236"/>
      <c r="B1736" s="237"/>
      <c r="C1736" s="238"/>
      <c r="D1736" s="239"/>
      <c r="E1736" s="240"/>
      <c r="F1736" s="240"/>
      <c r="G1736" s="240"/>
      <c r="H1736" s="241">
        <f t="shared" si="216"/>
        <v>0</v>
      </c>
      <c r="I1736" s="242"/>
      <c r="J1736" s="243"/>
      <c r="K1736" s="243"/>
      <c r="L1736" s="244">
        <v>0.1</v>
      </c>
      <c r="M1736" s="244">
        <f t="shared" si="217"/>
        <v>0</v>
      </c>
      <c r="N1736" s="244"/>
      <c r="O1736" s="244"/>
      <c r="P1736" s="244"/>
      <c r="Q1736" s="245">
        <f t="shared" si="218"/>
        <v>0</v>
      </c>
      <c r="R1736" s="245">
        <f t="shared" si="219"/>
        <v>0</v>
      </c>
      <c r="S1736" s="246">
        <v>0.5</v>
      </c>
      <c r="T1736" s="245">
        <f t="shared" si="220"/>
        <v>0</v>
      </c>
      <c r="U1736" s="245">
        <f t="shared" si="221"/>
        <v>0</v>
      </c>
      <c r="V1736" s="247"/>
    </row>
    <row r="1737" spans="1:22" ht="15.75" x14ac:dyDescent="0.25">
      <c r="A1737" s="236"/>
      <c r="B1737" s="237"/>
      <c r="C1737" s="238"/>
      <c r="D1737" s="239"/>
      <c r="E1737" s="240"/>
      <c r="F1737" s="240"/>
      <c r="G1737" s="240"/>
      <c r="H1737" s="241">
        <f t="shared" si="216"/>
        <v>0</v>
      </c>
      <c r="I1737" s="242"/>
      <c r="J1737" s="243"/>
      <c r="K1737" s="243"/>
      <c r="L1737" s="244">
        <v>0.1</v>
      </c>
      <c r="M1737" s="244">
        <f t="shared" si="217"/>
        <v>0</v>
      </c>
      <c r="N1737" s="244"/>
      <c r="O1737" s="244"/>
      <c r="P1737" s="244"/>
      <c r="Q1737" s="245">
        <f t="shared" si="218"/>
        <v>0</v>
      </c>
      <c r="R1737" s="245">
        <f t="shared" si="219"/>
        <v>0</v>
      </c>
      <c r="S1737" s="246">
        <v>0.5</v>
      </c>
      <c r="T1737" s="245">
        <f t="shared" si="220"/>
        <v>0</v>
      </c>
      <c r="U1737" s="245">
        <f t="shared" si="221"/>
        <v>0</v>
      </c>
      <c r="V1737" s="247"/>
    </row>
    <row r="1738" spans="1:22" ht="15.75" x14ac:dyDescent="0.25">
      <c r="A1738" s="236"/>
      <c r="B1738" s="237"/>
      <c r="C1738" s="238"/>
      <c r="D1738" s="239"/>
      <c r="E1738" s="240"/>
      <c r="F1738" s="240"/>
      <c r="G1738" s="240"/>
      <c r="H1738" s="241">
        <f t="shared" si="216"/>
        <v>0</v>
      </c>
      <c r="I1738" s="242"/>
      <c r="J1738" s="243"/>
      <c r="K1738" s="243"/>
      <c r="L1738" s="244">
        <v>0.1</v>
      </c>
      <c r="M1738" s="244">
        <f t="shared" si="217"/>
        <v>0</v>
      </c>
      <c r="N1738" s="244"/>
      <c r="O1738" s="244"/>
      <c r="P1738" s="244"/>
      <c r="Q1738" s="245">
        <f t="shared" si="218"/>
        <v>0</v>
      </c>
      <c r="R1738" s="245">
        <f t="shared" si="219"/>
        <v>0</v>
      </c>
      <c r="S1738" s="246">
        <v>0.5</v>
      </c>
      <c r="T1738" s="245">
        <f t="shared" si="220"/>
        <v>0</v>
      </c>
      <c r="U1738" s="245">
        <f t="shared" si="221"/>
        <v>0</v>
      </c>
      <c r="V1738" s="247"/>
    </row>
    <row r="1739" spans="1:22" ht="15.75" x14ac:dyDescent="0.25">
      <c r="A1739" s="236"/>
      <c r="B1739" s="237"/>
      <c r="C1739" s="238"/>
      <c r="D1739" s="239"/>
      <c r="E1739" s="240"/>
      <c r="F1739" s="240"/>
      <c r="G1739" s="240"/>
      <c r="H1739" s="241">
        <f t="shared" si="216"/>
        <v>0</v>
      </c>
      <c r="I1739" s="242"/>
      <c r="J1739" s="243"/>
      <c r="K1739" s="243"/>
      <c r="L1739" s="244">
        <v>0.1</v>
      </c>
      <c r="M1739" s="244">
        <f t="shared" si="217"/>
        <v>0</v>
      </c>
      <c r="N1739" s="244"/>
      <c r="O1739" s="244"/>
      <c r="P1739" s="244"/>
      <c r="Q1739" s="245">
        <f t="shared" si="218"/>
        <v>0</v>
      </c>
      <c r="R1739" s="245">
        <f t="shared" si="219"/>
        <v>0</v>
      </c>
      <c r="S1739" s="246">
        <v>0.5</v>
      </c>
      <c r="T1739" s="245">
        <f t="shared" si="220"/>
        <v>0</v>
      </c>
      <c r="U1739" s="245">
        <f t="shared" si="221"/>
        <v>0</v>
      </c>
      <c r="V1739" s="247"/>
    </row>
    <row r="1740" spans="1:22" ht="15.75" x14ac:dyDescent="0.25">
      <c r="A1740" s="236"/>
      <c r="B1740" s="237"/>
      <c r="C1740" s="238"/>
      <c r="D1740" s="239"/>
      <c r="E1740" s="240"/>
      <c r="F1740" s="240"/>
      <c r="G1740" s="240"/>
      <c r="H1740" s="241">
        <f t="shared" si="216"/>
        <v>0</v>
      </c>
      <c r="I1740" s="242"/>
      <c r="J1740" s="243"/>
      <c r="K1740" s="243"/>
      <c r="L1740" s="244">
        <v>0.1</v>
      </c>
      <c r="M1740" s="244">
        <f t="shared" si="217"/>
        <v>0</v>
      </c>
      <c r="N1740" s="244"/>
      <c r="O1740" s="244"/>
      <c r="P1740" s="244"/>
      <c r="Q1740" s="245">
        <f t="shared" si="218"/>
        <v>0</v>
      </c>
      <c r="R1740" s="245">
        <f t="shared" si="219"/>
        <v>0</v>
      </c>
      <c r="S1740" s="246">
        <v>0.5</v>
      </c>
      <c r="T1740" s="245">
        <f t="shared" si="220"/>
        <v>0</v>
      </c>
      <c r="U1740" s="245">
        <f t="shared" si="221"/>
        <v>0</v>
      </c>
      <c r="V1740" s="247"/>
    </row>
    <row r="1741" spans="1:22" ht="15.75" x14ac:dyDescent="0.25">
      <c r="A1741" s="236"/>
      <c r="B1741" s="237"/>
      <c r="C1741" s="238"/>
      <c r="D1741" s="239"/>
      <c r="E1741" s="240"/>
      <c r="F1741" s="240"/>
      <c r="G1741" s="240"/>
      <c r="H1741" s="241">
        <f t="shared" si="216"/>
        <v>0</v>
      </c>
      <c r="I1741" s="242"/>
      <c r="J1741" s="243"/>
      <c r="K1741" s="243"/>
      <c r="L1741" s="244">
        <v>0.1</v>
      </c>
      <c r="M1741" s="244">
        <f t="shared" si="217"/>
        <v>0</v>
      </c>
      <c r="N1741" s="244"/>
      <c r="O1741" s="244"/>
      <c r="P1741" s="244"/>
      <c r="Q1741" s="245">
        <f t="shared" si="218"/>
        <v>0</v>
      </c>
      <c r="R1741" s="245">
        <f t="shared" si="219"/>
        <v>0</v>
      </c>
      <c r="S1741" s="246">
        <v>0.5</v>
      </c>
      <c r="T1741" s="245">
        <f t="shared" si="220"/>
        <v>0</v>
      </c>
      <c r="U1741" s="245">
        <f t="shared" si="221"/>
        <v>0</v>
      </c>
      <c r="V1741" s="247"/>
    </row>
    <row r="1742" spans="1:22" ht="15.75" x14ac:dyDescent="0.25">
      <c r="A1742" s="236"/>
      <c r="B1742" s="237"/>
      <c r="C1742" s="238"/>
      <c r="D1742" s="239"/>
      <c r="E1742" s="240"/>
      <c r="F1742" s="240"/>
      <c r="G1742" s="240"/>
      <c r="H1742" s="241">
        <f t="shared" si="216"/>
        <v>0</v>
      </c>
      <c r="I1742" s="242"/>
      <c r="J1742" s="243"/>
      <c r="K1742" s="243"/>
      <c r="L1742" s="244">
        <v>0.1</v>
      </c>
      <c r="M1742" s="244">
        <f t="shared" si="217"/>
        <v>0</v>
      </c>
      <c r="N1742" s="244"/>
      <c r="O1742" s="244"/>
      <c r="P1742" s="244"/>
      <c r="Q1742" s="245">
        <f t="shared" si="218"/>
        <v>0</v>
      </c>
      <c r="R1742" s="245">
        <f t="shared" si="219"/>
        <v>0</v>
      </c>
      <c r="S1742" s="246">
        <v>0.5</v>
      </c>
      <c r="T1742" s="245">
        <f t="shared" si="220"/>
        <v>0</v>
      </c>
      <c r="U1742" s="245">
        <f t="shared" si="221"/>
        <v>0</v>
      </c>
      <c r="V1742" s="247"/>
    </row>
    <row r="1743" spans="1:22" ht="15.75" x14ac:dyDescent="0.25">
      <c r="A1743" s="236"/>
      <c r="B1743" s="237"/>
      <c r="C1743" s="238"/>
      <c r="D1743" s="239"/>
      <c r="E1743" s="240"/>
      <c r="F1743" s="240"/>
      <c r="G1743" s="240"/>
      <c r="H1743" s="241">
        <f t="shared" si="216"/>
        <v>0</v>
      </c>
      <c r="I1743" s="242"/>
      <c r="J1743" s="243"/>
      <c r="K1743" s="243"/>
      <c r="L1743" s="244">
        <v>0.1</v>
      </c>
      <c r="M1743" s="244">
        <f t="shared" si="217"/>
        <v>0</v>
      </c>
      <c r="N1743" s="244"/>
      <c r="O1743" s="244"/>
      <c r="P1743" s="244"/>
      <c r="Q1743" s="245">
        <f t="shared" si="218"/>
        <v>0</v>
      </c>
      <c r="R1743" s="245">
        <f t="shared" si="219"/>
        <v>0</v>
      </c>
      <c r="S1743" s="246">
        <v>0.5</v>
      </c>
      <c r="T1743" s="245">
        <f t="shared" si="220"/>
        <v>0</v>
      </c>
      <c r="U1743" s="245">
        <f t="shared" si="221"/>
        <v>0</v>
      </c>
      <c r="V1743" s="247"/>
    </row>
    <row r="1744" spans="1:22" ht="15.75" x14ac:dyDescent="0.25">
      <c r="A1744" s="236"/>
      <c r="B1744" s="237"/>
      <c r="C1744" s="238"/>
      <c r="D1744" s="239"/>
      <c r="E1744" s="240"/>
      <c r="F1744" s="240"/>
      <c r="G1744" s="240"/>
      <c r="H1744" s="241">
        <f t="shared" si="216"/>
        <v>0</v>
      </c>
      <c r="I1744" s="242"/>
      <c r="J1744" s="243"/>
      <c r="K1744" s="243"/>
      <c r="L1744" s="244">
        <v>0.1</v>
      </c>
      <c r="M1744" s="244">
        <f t="shared" si="217"/>
        <v>0</v>
      </c>
      <c r="N1744" s="244"/>
      <c r="O1744" s="244"/>
      <c r="P1744" s="244"/>
      <c r="Q1744" s="245">
        <f t="shared" si="218"/>
        <v>0</v>
      </c>
      <c r="R1744" s="245">
        <f t="shared" si="219"/>
        <v>0</v>
      </c>
      <c r="S1744" s="246">
        <v>0.5</v>
      </c>
      <c r="T1744" s="245">
        <f t="shared" si="220"/>
        <v>0</v>
      </c>
      <c r="U1744" s="245">
        <f t="shared" si="221"/>
        <v>0</v>
      </c>
      <c r="V1744" s="247"/>
    </row>
    <row r="1745" spans="1:22" ht="15.75" x14ac:dyDescent="0.25">
      <c r="A1745" s="236"/>
      <c r="B1745" s="237"/>
      <c r="C1745" s="238"/>
      <c r="D1745" s="239"/>
      <c r="E1745" s="240"/>
      <c r="F1745" s="240"/>
      <c r="G1745" s="240"/>
      <c r="H1745" s="241">
        <f t="shared" si="216"/>
        <v>0</v>
      </c>
      <c r="I1745" s="242"/>
      <c r="J1745" s="243"/>
      <c r="K1745" s="243"/>
      <c r="L1745" s="244">
        <v>0.1</v>
      </c>
      <c r="M1745" s="244">
        <f t="shared" si="217"/>
        <v>0</v>
      </c>
      <c r="N1745" s="244"/>
      <c r="O1745" s="244"/>
      <c r="P1745" s="244"/>
      <c r="Q1745" s="245">
        <f t="shared" si="218"/>
        <v>0</v>
      </c>
      <c r="R1745" s="245">
        <f t="shared" si="219"/>
        <v>0</v>
      </c>
      <c r="S1745" s="246">
        <v>0.5</v>
      </c>
      <c r="T1745" s="245">
        <f t="shared" si="220"/>
        <v>0</v>
      </c>
      <c r="U1745" s="245">
        <f t="shared" si="221"/>
        <v>0</v>
      </c>
      <c r="V1745" s="247"/>
    </row>
    <row r="1746" spans="1:22" ht="15.75" x14ac:dyDescent="0.25">
      <c r="A1746" s="236"/>
      <c r="B1746" s="237"/>
      <c r="C1746" s="238"/>
      <c r="D1746" s="239"/>
      <c r="E1746" s="240"/>
      <c r="F1746" s="240"/>
      <c r="G1746" s="240"/>
      <c r="H1746" s="241">
        <f t="shared" si="216"/>
        <v>0</v>
      </c>
      <c r="I1746" s="242"/>
      <c r="J1746" s="243"/>
      <c r="K1746" s="243"/>
      <c r="L1746" s="244">
        <v>0.1</v>
      </c>
      <c r="M1746" s="244">
        <f t="shared" si="217"/>
        <v>0</v>
      </c>
      <c r="N1746" s="244"/>
      <c r="O1746" s="244"/>
      <c r="P1746" s="244"/>
      <c r="Q1746" s="245">
        <f t="shared" si="218"/>
        <v>0</v>
      </c>
      <c r="R1746" s="245">
        <f t="shared" si="219"/>
        <v>0</v>
      </c>
      <c r="S1746" s="246">
        <v>0.5</v>
      </c>
      <c r="T1746" s="245">
        <f t="shared" si="220"/>
        <v>0</v>
      </c>
      <c r="U1746" s="245">
        <f t="shared" si="221"/>
        <v>0</v>
      </c>
      <c r="V1746" s="247"/>
    </row>
    <row r="1747" spans="1:22" ht="15.75" x14ac:dyDescent="0.25">
      <c r="A1747" s="236"/>
      <c r="B1747" s="237"/>
      <c r="C1747" s="238"/>
      <c r="D1747" s="239"/>
      <c r="E1747" s="240"/>
      <c r="F1747" s="240"/>
      <c r="G1747" s="240"/>
      <c r="H1747" s="241">
        <f t="shared" si="216"/>
        <v>0</v>
      </c>
      <c r="I1747" s="242"/>
      <c r="J1747" s="243"/>
      <c r="K1747" s="243"/>
      <c r="L1747" s="244">
        <v>0.1</v>
      </c>
      <c r="M1747" s="244">
        <f t="shared" si="217"/>
        <v>0</v>
      </c>
      <c r="N1747" s="244"/>
      <c r="O1747" s="244"/>
      <c r="P1747" s="244"/>
      <c r="Q1747" s="245">
        <f t="shared" si="218"/>
        <v>0</v>
      </c>
      <c r="R1747" s="245">
        <f t="shared" si="219"/>
        <v>0</v>
      </c>
      <c r="S1747" s="246">
        <v>0.5</v>
      </c>
      <c r="T1747" s="245">
        <f t="shared" si="220"/>
        <v>0</v>
      </c>
      <c r="U1747" s="245">
        <f t="shared" si="221"/>
        <v>0</v>
      </c>
      <c r="V1747" s="247"/>
    </row>
    <row r="1748" spans="1:22" ht="15.75" x14ac:dyDescent="0.25">
      <c r="A1748" s="236"/>
      <c r="B1748" s="237"/>
      <c r="C1748" s="238"/>
      <c r="D1748" s="239"/>
      <c r="E1748" s="240"/>
      <c r="F1748" s="240"/>
      <c r="G1748" s="240"/>
      <c r="H1748" s="241">
        <f t="shared" si="216"/>
        <v>0</v>
      </c>
      <c r="I1748" s="242"/>
      <c r="J1748" s="243"/>
      <c r="K1748" s="243"/>
      <c r="L1748" s="244">
        <v>0.1</v>
      </c>
      <c r="M1748" s="244">
        <f t="shared" si="217"/>
        <v>0</v>
      </c>
      <c r="N1748" s="244"/>
      <c r="O1748" s="244"/>
      <c r="P1748" s="244"/>
      <c r="Q1748" s="245">
        <f t="shared" si="218"/>
        <v>0</v>
      </c>
      <c r="R1748" s="245">
        <f t="shared" si="219"/>
        <v>0</v>
      </c>
      <c r="S1748" s="246">
        <v>0.5</v>
      </c>
      <c r="T1748" s="245">
        <f t="shared" si="220"/>
        <v>0</v>
      </c>
      <c r="U1748" s="245">
        <f t="shared" si="221"/>
        <v>0</v>
      </c>
      <c r="V1748" s="247"/>
    </row>
    <row r="1749" spans="1:22" ht="15.75" x14ac:dyDescent="0.25">
      <c r="A1749" s="236"/>
      <c r="B1749" s="237"/>
      <c r="C1749" s="238"/>
      <c r="D1749" s="239"/>
      <c r="E1749" s="240"/>
      <c r="F1749" s="240"/>
      <c r="G1749" s="240"/>
      <c r="H1749" s="241">
        <f t="shared" si="216"/>
        <v>0</v>
      </c>
      <c r="I1749" s="242"/>
      <c r="J1749" s="243"/>
      <c r="K1749" s="243"/>
      <c r="L1749" s="244">
        <v>0.1</v>
      </c>
      <c r="M1749" s="244">
        <f t="shared" si="217"/>
        <v>0</v>
      </c>
      <c r="N1749" s="244"/>
      <c r="O1749" s="244"/>
      <c r="P1749" s="244"/>
      <c r="Q1749" s="245">
        <f t="shared" si="218"/>
        <v>0</v>
      </c>
      <c r="R1749" s="245">
        <f t="shared" si="219"/>
        <v>0</v>
      </c>
      <c r="S1749" s="246">
        <v>0.5</v>
      </c>
      <c r="T1749" s="245">
        <f t="shared" si="220"/>
        <v>0</v>
      </c>
      <c r="U1749" s="245">
        <f t="shared" si="221"/>
        <v>0</v>
      </c>
      <c r="V1749" s="247"/>
    </row>
    <row r="1750" spans="1:22" ht="15.75" x14ac:dyDescent="0.25">
      <c r="A1750" s="236"/>
      <c r="B1750" s="237"/>
      <c r="C1750" s="238"/>
      <c r="D1750" s="239"/>
      <c r="E1750" s="240"/>
      <c r="F1750" s="240"/>
      <c r="G1750" s="240"/>
      <c r="H1750" s="241">
        <f t="shared" si="216"/>
        <v>0</v>
      </c>
      <c r="I1750" s="242"/>
      <c r="J1750" s="243"/>
      <c r="K1750" s="243"/>
      <c r="L1750" s="244">
        <v>0.1</v>
      </c>
      <c r="M1750" s="244">
        <f t="shared" si="217"/>
        <v>0</v>
      </c>
      <c r="N1750" s="244"/>
      <c r="O1750" s="244"/>
      <c r="P1750" s="244"/>
      <c r="Q1750" s="245">
        <f t="shared" si="218"/>
        <v>0</v>
      </c>
      <c r="R1750" s="245">
        <f t="shared" si="219"/>
        <v>0</v>
      </c>
      <c r="S1750" s="246">
        <v>0.5</v>
      </c>
      <c r="T1750" s="245">
        <f t="shared" si="220"/>
        <v>0</v>
      </c>
      <c r="U1750" s="245">
        <f t="shared" si="221"/>
        <v>0</v>
      </c>
      <c r="V1750" s="247"/>
    </row>
    <row r="1751" spans="1:22" ht="15.75" x14ac:dyDescent="0.25">
      <c r="A1751" s="236"/>
      <c r="B1751" s="237"/>
      <c r="C1751" s="238"/>
      <c r="D1751" s="239"/>
      <c r="E1751" s="240"/>
      <c r="F1751" s="240"/>
      <c r="G1751" s="240"/>
      <c r="H1751" s="241">
        <f t="shared" si="216"/>
        <v>0</v>
      </c>
      <c r="I1751" s="242"/>
      <c r="J1751" s="243"/>
      <c r="K1751" s="243"/>
      <c r="L1751" s="244">
        <v>0.1</v>
      </c>
      <c r="M1751" s="244">
        <f t="shared" si="217"/>
        <v>0</v>
      </c>
      <c r="N1751" s="244"/>
      <c r="O1751" s="244"/>
      <c r="P1751" s="244"/>
      <c r="Q1751" s="245">
        <f t="shared" si="218"/>
        <v>0</v>
      </c>
      <c r="R1751" s="245">
        <f t="shared" si="219"/>
        <v>0</v>
      </c>
      <c r="S1751" s="246">
        <v>0.5</v>
      </c>
      <c r="T1751" s="245">
        <f t="shared" si="220"/>
        <v>0</v>
      </c>
      <c r="U1751" s="245">
        <f t="shared" si="221"/>
        <v>0</v>
      </c>
      <c r="V1751" s="247"/>
    </row>
    <row r="1752" spans="1:22" ht="15.75" x14ac:dyDescent="0.25">
      <c r="A1752" s="236"/>
      <c r="B1752" s="237"/>
      <c r="C1752" s="238"/>
      <c r="D1752" s="239"/>
      <c r="E1752" s="240"/>
      <c r="F1752" s="240"/>
      <c r="G1752" s="240"/>
      <c r="H1752" s="241">
        <f t="shared" si="216"/>
        <v>0</v>
      </c>
      <c r="I1752" s="242"/>
      <c r="J1752" s="243"/>
      <c r="K1752" s="243"/>
      <c r="L1752" s="244">
        <v>0.1</v>
      </c>
      <c r="M1752" s="244">
        <f t="shared" si="217"/>
        <v>0</v>
      </c>
      <c r="N1752" s="244"/>
      <c r="O1752" s="244"/>
      <c r="P1752" s="244"/>
      <c r="Q1752" s="245">
        <f t="shared" si="218"/>
        <v>0</v>
      </c>
      <c r="R1752" s="245">
        <f t="shared" si="219"/>
        <v>0</v>
      </c>
      <c r="S1752" s="246">
        <v>0.5</v>
      </c>
      <c r="T1752" s="245">
        <f t="shared" si="220"/>
        <v>0</v>
      </c>
      <c r="U1752" s="245">
        <f t="shared" si="221"/>
        <v>0</v>
      </c>
      <c r="V1752" s="247"/>
    </row>
    <row r="1753" spans="1:22" ht="15.75" x14ac:dyDescent="0.25">
      <c r="A1753" s="236"/>
      <c r="B1753" s="237"/>
      <c r="C1753" s="238"/>
      <c r="D1753" s="239"/>
      <c r="E1753" s="240"/>
      <c r="F1753" s="240"/>
      <c r="G1753" s="240"/>
      <c r="H1753" s="241">
        <f t="shared" si="216"/>
        <v>0</v>
      </c>
      <c r="I1753" s="242"/>
      <c r="J1753" s="243"/>
      <c r="K1753" s="243"/>
      <c r="L1753" s="244">
        <v>0.1</v>
      </c>
      <c r="M1753" s="244">
        <f t="shared" si="217"/>
        <v>0</v>
      </c>
      <c r="N1753" s="244"/>
      <c r="O1753" s="244"/>
      <c r="P1753" s="244"/>
      <c r="Q1753" s="245">
        <f t="shared" si="218"/>
        <v>0</v>
      </c>
      <c r="R1753" s="245">
        <f t="shared" si="219"/>
        <v>0</v>
      </c>
      <c r="S1753" s="246">
        <v>0.5</v>
      </c>
      <c r="T1753" s="245">
        <f t="shared" si="220"/>
        <v>0</v>
      </c>
      <c r="U1753" s="245">
        <f t="shared" si="221"/>
        <v>0</v>
      </c>
      <c r="V1753" s="247"/>
    </row>
    <row r="1754" spans="1:22" ht="15.75" x14ac:dyDescent="0.25">
      <c r="A1754" s="236"/>
      <c r="B1754" s="237"/>
      <c r="C1754" s="238"/>
      <c r="D1754" s="239"/>
      <c r="E1754" s="240"/>
      <c r="F1754" s="240"/>
      <c r="G1754" s="240"/>
      <c r="H1754" s="241">
        <f t="shared" si="216"/>
        <v>0</v>
      </c>
      <c r="I1754" s="242"/>
      <c r="J1754" s="243"/>
      <c r="K1754" s="243"/>
      <c r="L1754" s="244">
        <v>0.1</v>
      </c>
      <c r="M1754" s="244">
        <f t="shared" si="217"/>
        <v>0</v>
      </c>
      <c r="N1754" s="244"/>
      <c r="O1754" s="244"/>
      <c r="P1754" s="244"/>
      <c r="Q1754" s="245">
        <f t="shared" si="218"/>
        <v>0</v>
      </c>
      <c r="R1754" s="245">
        <f t="shared" si="219"/>
        <v>0</v>
      </c>
      <c r="S1754" s="246">
        <v>0.5</v>
      </c>
      <c r="T1754" s="245">
        <f t="shared" si="220"/>
        <v>0</v>
      </c>
      <c r="U1754" s="245">
        <f t="shared" si="221"/>
        <v>0</v>
      </c>
      <c r="V1754" s="247"/>
    </row>
    <row r="1755" spans="1:22" ht="15.75" x14ac:dyDescent="0.25">
      <c r="A1755" s="236"/>
      <c r="B1755" s="237"/>
      <c r="C1755" s="238"/>
      <c r="D1755" s="239"/>
      <c r="E1755" s="240"/>
      <c r="F1755" s="240"/>
      <c r="G1755" s="240"/>
      <c r="H1755" s="241">
        <f t="shared" si="216"/>
        <v>0</v>
      </c>
      <c r="I1755" s="242"/>
      <c r="J1755" s="243"/>
      <c r="K1755" s="243"/>
      <c r="L1755" s="244">
        <v>0.1</v>
      </c>
      <c r="M1755" s="244">
        <f t="shared" si="217"/>
        <v>0</v>
      </c>
      <c r="N1755" s="244"/>
      <c r="O1755" s="244"/>
      <c r="P1755" s="244"/>
      <c r="Q1755" s="245">
        <f t="shared" si="218"/>
        <v>0</v>
      </c>
      <c r="R1755" s="245">
        <f t="shared" si="219"/>
        <v>0</v>
      </c>
      <c r="S1755" s="246">
        <v>0.5</v>
      </c>
      <c r="T1755" s="245">
        <f t="shared" si="220"/>
        <v>0</v>
      </c>
      <c r="U1755" s="245">
        <f t="shared" si="221"/>
        <v>0</v>
      </c>
      <c r="V1755" s="247"/>
    </row>
    <row r="1756" spans="1:22" ht="15.75" x14ac:dyDescent="0.25">
      <c r="A1756" s="236"/>
      <c r="B1756" s="237"/>
      <c r="C1756" s="238"/>
      <c r="D1756" s="239"/>
      <c r="E1756" s="240"/>
      <c r="F1756" s="240"/>
      <c r="G1756" s="240"/>
      <c r="H1756" s="241">
        <f t="shared" si="216"/>
        <v>0</v>
      </c>
      <c r="I1756" s="242"/>
      <c r="J1756" s="243"/>
      <c r="K1756" s="243"/>
      <c r="L1756" s="244">
        <v>0.1</v>
      </c>
      <c r="M1756" s="244">
        <f t="shared" si="217"/>
        <v>0</v>
      </c>
      <c r="N1756" s="244"/>
      <c r="O1756" s="244"/>
      <c r="P1756" s="244"/>
      <c r="Q1756" s="245">
        <f t="shared" si="218"/>
        <v>0</v>
      </c>
      <c r="R1756" s="245">
        <f t="shared" si="219"/>
        <v>0</v>
      </c>
      <c r="S1756" s="246">
        <v>0.5</v>
      </c>
      <c r="T1756" s="245">
        <f t="shared" si="220"/>
        <v>0</v>
      </c>
      <c r="U1756" s="245">
        <f t="shared" si="221"/>
        <v>0</v>
      </c>
      <c r="V1756" s="247"/>
    </row>
    <row r="1757" spans="1:22" ht="15.75" x14ac:dyDescent="0.25">
      <c r="A1757" s="236"/>
      <c r="B1757" s="237"/>
      <c r="C1757" s="238"/>
      <c r="D1757" s="239"/>
      <c r="E1757" s="240"/>
      <c r="F1757" s="240"/>
      <c r="G1757" s="240"/>
      <c r="H1757" s="241">
        <f t="shared" si="216"/>
        <v>0</v>
      </c>
      <c r="I1757" s="242"/>
      <c r="J1757" s="243"/>
      <c r="K1757" s="243"/>
      <c r="L1757" s="244">
        <v>0.1</v>
      </c>
      <c r="M1757" s="244">
        <f t="shared" si="217"/>
        <v>0</v>
      </c>
      <c r="N1757" s="244"/>
      <c r="O1757" s="244"/>
      <c r="P1757" s="244"/>
      <c r="Q1757" s="245">
        <f t="shared" si="218"/>
        <v>0</v>
      </c>
      <c r="R1757" s="245">
        <f t="shared" si="219"/>
        <v>0</v>
      </c>
      <c r="S1757" s="246">
        <v>0.5</v>
      </c>
      <c r="T1757" s="245">
        <f t="shared" si="220"/>
        <v>0</v>
      </c>
      <c r="U1757" s="245">
        <f t="shared" si="221"/>
        <v>0</v>
      </c>
      <c r="V1757" s="247"/>
    </row>
    <row r="1758" spans="1:22" ht="15.75" x14ac:dyDescent="0.25">
      <c r="A1758" s="236"/>
      <c r="B1758" s="237"/>
      <c r="C1758" s="238"/>
      <c r="D1758" s="239"/>
      <c r="E1758" s="240"/>
      <c r="F1758" s="240"/>
      <c r="G1758" s="240"/>
      <c r="H1758" s="241">
        <f t="shared" si="216"/>
        <v>0</v>
      </c>
      <c r="I1758" s="242"/>
      <c r="J1758" s="243"/>
      <c r="K1758" s="243"/>
      <c r="L1758" s="244">
        <v>0.1</v>
      </c>
      <c r="M1758" s="244">
        <f t="shared" si="217"/>
        <v>0</v>
      </c>
      <c r="N1758" s="244"/>
      <c r="O1758" s="244"/>
      <c r="P1758" s="244"/>
      <c r="Q1758" s="245">
        <f t="shared" si="218"/>
        <v>0</v>
      </c>
      <c r="R1758" s="245">
        <f t="shared" si="219"/>
        <v>0</v>
      </c>
      <c r="S1758" s="246">
        <v>0.5</v>
      </c>
      <c r="T1758" s="245">
        <f t="shared" si="220"/>
        <v>0</v>
      </c>
      <c r="U1758" s="245">
        <f t="shared" si="221"/>
        <v>0</v>
      </c>
      <c r="V1758" s="247"/>
    </row>
    <row r="1759" spans="1:22" ht="15.75" x14ac:dyDescent="0.25">
      <c r="A1759" s="236"/>
      <c r="B1759" s="237"/>
      <c r="C1759" s="238"/>
      <c r="D1759" s="239"/>
      <c r="E1759" s="240"/>
      <c r="F1759" s="240"/>
      <c r="G1759" s="240"/>
      <c r="H1759" s="241">
        <f t="shared" si="216"/>
        <v>0</v>
      </c>
      <c r="I1759" s="242"/>
      <c r="J1759" s="243"/>
      <c r="K1759" s="243"/>
      <c r="L1759" s="244">
        <v>0.1</v>
      </c>
      <c r="M1759" s="244">
        <f t="shared" si="217"/>
        <v>0</v>
      </c>
      <c r="N1759" s="244"/>
      <c r="O1759" s="244"/>
      <c r="P1759" s="244"/>
      <c r="Q1759" s="245">
        <f t="shared" si="218"/>
        <v>0</v>
      </c>
      <c r="R1759" s="245">
        <f t="shared" si="219"/>
        <v>0</v>
      </c>
      <c r="S1759" s="246">
        <v>0.5</v>
      </c>
      <c r="T1759" s="245">
        <f t="shared" si="220"/>
        <v>0</v>
      </c>
      <c r="U1759" s="245">
        <f t="shared" si="221"/>
        <v>0</v>
      </c>
      <c r="V1759" s="247"/>
    </row>
    <row r="1760" spans="1:22" ht="15.75" x14ac:dyDescent="0.25">
      <c r="A1760" s="236"/>
      <c r="B1760" s="237"/>
      <c r="C1760" s="238"/>
      <c r="D1760" s="239"/>
      <c r="E1760" s="240"/>
      <c r="F1760" s="240"/>
      <c r="G1760" s="240"/>
      <c r="H1760" s="241">
        <f t="shared" si="216"/>
        <v>0</v>
      </c>
      <c r="I1760" s="242"/>
      <c r="J1760" s="243"/>
      <c r="K1760" s="243"/>
      <c r="L1760" s="244">
        <v>0.1</v>
      </c>
      <c r="M1760" s="244">
        <f t="shared" si="217"/>
        <v>0</v>
      </c>
      <c r="N1760" s="244"/>
      <c r="O1760" s="244"/>
      <c r="P1760" s="244"/>
      <c r="Q1760" s="245">
        <f t="shared" si="218"/>
        <v>0</v>
      </c>
      <c r="R1760" s="245">
        <f t="shared" si="219"/>
        <v>0</v>
      </c>
      <c r="S1760" s="246">
        <v>0.5</v>
      </c>
      <c r="T1760" s="245">
        <f t="shared" si="220"/>
        <v>0</v>
      </c>
      <c r="U1760" s="245">
        <f t="shared" si="221"/>
        <v>0</v>
      </c>
      <c r="V1760" s="247"/>
    </row>
    <row r="1761" spans="1:22" ht="15.75" x14ac:dyDescent="0.25">
      <c r="A1761" s="236"/>
      <c r="B1761" s="237"/>
      <c r="C1761" s="238"/>
      <c r="D1761" s="239"/>
      <c r="E1761" s="240"/>
      <c r="F1761" s="240"/>
      <c r="G1761" s="240"/>
      <c r="H1761" s="241">
        <f t="shared" si="216"/>
        <v>0</v>
      </c>
      <c r="I1761" s="242"/>
      <c r="J1761" s="243"/>
      <c r="K1761" s="243"/>
      <c r="L1761" s="244">
        <v>0.1</v>
      </c>
      <c r="M1761" s="244">
        <f t="shared" si="217"/>
        <v>0</v>
      </c>
      <c r="N1761" s="244"/>
      <c r="O1761" s="244"/>
      <c r="P1761" s="244"/>
      <c r="Q1761" s="245">
        <f t="shared" si="218"/>
        <v>0</v>
      </c>
      <c r="R1761" s="245">
        <f t="shared" si="219"/>
        <v>0</v>
      </c>
      <c r="S1761" s="246">
        <v>0.5</v>
      </c>
      <c r="T1761" s="245">
        <f t="shared" si="220"/>
        <v>0</v>
      </c>
      <c r="U1761" s="245">
        <f t="shared" si="221"/>
        <v>0</v>
      </c>
      <c r="V1761" s="247"/>
    </row>
    <row r="1762" spans="1:22" ht="15.75" x14ac:dyDescent="0.25">
      <c r="A1762" s="236"/>
      <c r="B1762" s="237"/>
      <c r="C1762" s="238"/>
      <c r="D1762" s="239"/>
      <c r="E1762" s="240"/>
      <c r="F1762" s="240"/>
      <c r="G1762" s="240"/>
      <c r="H1762" s="241">
        <f t="shared" si="216"/>
        <v>0</v>
      </c>
      <c r="I1762" s="242"/>
      <c r="J1762" s="243"/>
      <c r="K1762" s="243"/>
      <c r="L1762" s="244">
        <v>0.1</v>
      </c>
      <c r="M1762" s="244">
        <f t="shared" si="217"/>
        <v>0</v>
      </c>
      <c r="N1762" s="244"/>
      <c r="O1762" s="244"/>
      <c r="P1762" s="244"/>
      <c r="Q1762" s="245">
        <f t="shared" si="218"/>
        <v>0</v>
      </c>
      <c r="R1762" s="245">
        <f t="shared" si="219"/>
        <v>0</v>
      </c>
      <c r="S1762" s="246">
        <v>0.5</v>
      </c>
      <c r="T1762" s="245">
        <f t="shared" si="220"/>
        <v>0</v>
      </c>
      <c r="U1762" s="245">
        <f t="shared" si="221"/>
        <v>0</v>
      </c>
      <c r="V1762" s="247"/>
    </row>
    <row r="1763" spans="1:22" ht="15.75" x14ac:dyDescent="0.25">
      <c r="A1763" s="236"/>
      <c r="B1763" s="237"/>
      <c r="C1763" s="238"/>
      <c r="D1763" s="239"/>
      <c r="E1763" s="240"/>
      <c r="F1763" s="240"/>
      <c r="G1763" s="240"/>
      <c r="H1763" s="241">
        <f t="shared" si="216"/>
        <v>0</v>
      </c>
      <c r="I1763" s="242"/>
      <c r="J1763" s="243"/>
      <c r="K1763" s="243"/>
      <c r="L1763" s="244">
        <v>0.1</v>
      </c>
      <c r="M1763" s="244">
        <f t="shared" si="217"/>
        <v>0</v>
      </c>
      <c r="N1763" s="244"/>
      <c r="O1763" s="244"/>
      <c r="P1763" s="244"/>
      <c r="Q1763" s="245">
        <f t="shared" si="218"/>
        <v>0</v>
      </c>
      <c r="R1763" s="245">
        <f t="shared" si="219"/>
        <v>0</v>
      </c>
      <c r="S1763" s="246">
        <v>0.5</v>
      </c>
      <c r="T1763" s="245">
        <f t="shared" si="220"/>
        <v>0</v>
      </c>
      <c r="U1763" s="245">
        <f t="shared" si="221"/>
        <v>0</v>
      </c>
      <c r="V1763" s="247"/>
    </row>
    <row r="1764" spans="1:22" ht="15.75" x14ac:dyDescent="0.25">
      <c r="A1764" s="236"/>
      <c r="B1764" s="237"/>
      <c r="C1764" s="238"/>
      <c r="D1764" s="239"/>
      <c r="E1764" s="240"/>
      <c r="F1764" s="240"/>
      <c r="G1764" s="240"/>
      <c r="H1764" s="241">
        <f t="shared" si="216"/>
        <v>0</v>
      </c>
      <c r="I1764" s="242"/>
      <c r="J1764" s="243"/>
      <c r="K1764" s="243"/>
      <c r="L1764" s="244">
        <v>0.1</v>
      </c>
      <c r="M1764" s="244">
        <f t="shared" si="217"/>
        <v>0</v>
      </c>
      <c r="N1764" s="244"/>
      <c r="O1764" s="244"/>
      <c r="P1764" s="244"/>
      <c r="Q1764" s="245">
        <f t="shared" si="218"/>
        <v>0</v>
      </c>
      <c r="R1764" s="245">
        <f t="shared" si="219"/>
        <v>0</v>
      </c>
      <c r="S1764" s="246">
        <v>0.5</v>
      </c>
      <c r="T1764" s="245">
        <f t="shared" si="220"/>
        <v>0</v>
      </c>
      <c r="U1764" s="245">
        <f t="shared" si="221"/>
        <v>0</v>
      </c>
      <c r="V1764" s="247"/>
    </row>
    <row r="1765" spans="1:22" ht="15.75" x14ac:dyDescent="0.25">
      <c r="A1765" s="236"/>
      <c r="B1765" s="237"/>
      <c r="C1765" s="238"/>
      <c r="D1765" s="239"/>
      <c r="E1765" s="240"/>
      <c r="F1765" s="240"/>
      <c r="G1765" s="240"/>
      <c r="H1765" s="241">
        <f t="shared" si="216"/>
        <v>0</v>
      </c>
      <c r="I1765" s="242"/>
      <c r="J1765" s="243"/>
      <c r="K1765" s="243"/>
      <c r="L1765" s="244">
        <v>0.1</v>
      </c>
      <c r="M1765" s="244">
        <f t="shared" si="217"/>
        <v>0</v>
      </c>
      <c r="N1765" s="244"/>
      <c r="O1765" s="244"/>
      <c r="P1765" s="244"/>
      <c r="Q1765" s="245">
        <f t="shared" si="218"/>
        <v>0</v>
      </c>
      <c r="R1765" s="245">
        <f t="shared" si="219"/>
        <v>0</v>
      </c>
      <c r="S1765" s="246">
        <v>0.5</v>
      </c>
      <c r="T1765" s="245">
        <f t="shared" si="220"/>
        <v>0</v>
      </c>
      <c r="U1765" s="245">
        <f t="shared" si="221"/>
        <v>0</v>
      </c>
      <c r="V1765" s="247"/>
    </row>
    <row r="1766" spans="1:22" ht="15.75" x14ac:dyDescent="0.25">
      <c r="A1766" s="236"/>
      <c r="B1766" s="237"/>
      <c r="C1766" s="238"/>
      <c r="D1766" s="239"/>
      <c r="E1766" s="240"/>
      <c r="F1766" s="240"/>
      <c r="G1766" s="240"/>
      <c r="H1766" s="241">
        <f t="shared" si="216"/>
        <v>0</v>
      </c>
      <c r="I1766" s="242"/>
      <c r="J1766" s="243"/>
      <c r="K1766" s="243"/>
      <c r="L1766" s="244">
        <v>0.1</v>
      </c>
      <c r="M1766" s="244">
        <f t="shared" si="217"/>
        <v>0</v>
      </c>
      <c r="N1766" s="244"/>
      <c r="O1766" s="244"/>
      <c r="P1766" s="244"/>
      <c r="Q1766" s="245">
        <f t="shared" si="218"/>
        <v>0</v>
      </c>
      <c r="R1766" s="245">
        <f t="shared" si="219"/>
        <v>0</v>
      </c>
      <c r="S1766" s="246">
        <v>0.5</v>
      </c>
      <c r="T1766" s="245">
        <f t="shared" si="220"/>
        <v>0</v>
      </c>
      <c r="U1766" s="245">
        <f t="shared" si="221"/>
        <v>0</v>
      </c>
      <c r="V1766" s="247"/>
    </row>
    <row r="1767" spans="1:22" ht="15.75" x14ac:dyDescent="0.25">
      <c r="A1767" s="236"/>
      <c r="B1767" s="237"/>
      <c r="C1767" s="238"/>
      <c r="D1767" s="239"/>
      <c r="E1767" s="240"/>
      <c r="F1767" s="240"/>
      <c r="G1767" s="240"/>
      <c r="H1767" s="241">
        <f t="shared" si="216"/>
        <v>0</v>
      </c>
      <c r="I1767" s="242"/>
      <c r="J1767" s="243"/>
      <c r="K1767" s="243"/>
      <c r="L1767" s="244">
        <v>0.1</v>
      </c>
      <c r="M1767" s="244">
        <f t="shared" si="217"/>
        <v>0</v>
      </c>
      <c r="N1767" s="244"/>
      <c r="O1767" s="244"/>
      <c r="P1767" s="244"/>
      <c r="Q1767" s="245">
        <f t="shared" si="218"/>
        <v>0</v>
      </c>
      <c r="R1767" s="245">
        <f t="shared" si="219"/>
        <v>0</v>
      </c>
      <c r="S1767" s="246">
        <v>0.5</v>
      </c>
      <c r="T1767" s="245">
        <f t="shared" si="220"/>
        <v>0</v>
      </c>
      <c r="U1767" s="245">
        <f t="shared" si="221"/>
        <v>0</v>
      </c>
      <c r="V1767" s="247"/>
    </row>
    <row r="1768" spans="1:22" ht="15.75" x14ac:dyDescent="0.25">
      <c r="A1768" s="236"/>
      <c r="B1768" s="237"/>
      <c r="C1768" s="238"/>
      <c r="D1768" s="239"/>
      <c r="E1768" s="240"/>
      <c r="F1768" s="240"/>
      <c r="G1768" s="240"/>
      <c r="H1768" s="241">
        <f t="shared" si="216"/>
        <v>0</v>
      </c>
      <c r="I1768" s="242"/>
      <c r="J1768" s="243"/>
      <c r="K1768" s="243"/>
      <c r="L1768" s="244">
        <v>0.1</v>
      </c>
      <c r="M1768" s="244">
        <f t="shared" si="217"/>
        <v>0</v>
      </c>
      <c r="N1768" s="244"/>
      <c r="O1768" s="244"/>
      <c r="P1768" s="244"/>
      <c r="Q1768" s="245">
        <f t="shared" si="218"/>
        <v>0</v>
      </c>
      <c r="R1768" s="245">
        <f t="shared" si="219"/>
        <v>0</v>
      </c>
      <c r="S1768" s="246">
        <v>0.5</v>
      </c>
      <c r="T1768" s="245">
        <f t="shared" si="220"/>
        <v>0</v>
      </c>
      <c r="U1768" s="245">
        <f t="shared" si="221"/>
        <v>0</v>
      </c>
      <c r="V1768" s="247"/>
    </row>
    <row r="1769" spans="1:22" ht="15.75" x14ac:dyDescent="0.25">
      <c r="A1769" s="236"/>
      <c r="B1769" s="237"/>
      <c r="C1769" s="238"/>
      <c r="D1769" s="239"/>
      <c r="E1769" s="240"/>
      <c r="F1769" s="240"/>
      <c r="G1769" s="240"/>
      <c r="H1769" s="241">
        <f t="shared" si="216"/>
        <v>0</v>
      </c>
      <c r="I1769" s="242"/>
      <c r="J1769" s="243"/>
      <c r="K1769" s="243"/>
      <c r="L1769" s="244">
        <v>0.1</v>
      </c>
      <c r="M1769" s="244">
        <f t="shared" si="217"/>
        <v>0</v>
      </c>
      <c r="N1769" s="244"/>
      <c r="O1769" s="244"/>
      <c r="P1769" s="244"/>
      <c r="Q1769" s="245">
        <f t="shared" si="218"/>
        <v>0</v>
      </c>
      <c r="R1769" s="245">
        <f t="shared" si="219"/>
        <v>0</v>
      </c>
      <c r="S1769" s="246">
        <v>0.5</v>
      </c>
      <c r="T1769" s="245">
        <f t="shared" si="220"/>
        <v>0</v>
      </c>
      <c r="U1769" s="245">
        <f t="shared" si="221"/>
        <v>0</v>
      </c>
      <c r="V1769" s="247"/>
    </row>
    <row r="1770" spans="1:22" ht="15.75" x14ac:dyDescent="0.25">
      <c r="A1770" s="236"/>
      <c r="B1770" s="237"/>
      <c r="C1770" s="238"/>
      <c r="D1770" s="239"/>
      <c r="E1770" s="240"/>
      <c r="F1770" s="240"/>
      <c r="G1770" s="240"/>
      <c r="H1770" s="241">
        <f t="shared" si="216"/>
        <v>0</v>
      </c>
      <c r="I1770" s="242"/>
      <c r="J1770" s="243"/>
      <c r="K1770" s="243"/>
      <c r="L1770" s="244">
        <v>0.1</v>
      </c>
      <c r="M1770" s="244">
        <f t="shared" si="217"/>
        <v>0</v>
      </c>
      <c r="N1770" s="244"/>
      <c r="O1770" s="244"/>
      <c r="P1770" s="244"/>
      <c r="Q1770" s="245">
        <f t="shared" si="218"/>
        <v>0</v>
      </c>
      <c r="R1770" s="245">
        <f t="shared" si="219"/>
        <v>0</v>
      </c>
      <c r="S1770" s="246">
        <v>0.5</v>
      </c>
      <c r="T1770" s="245">
        <f t="shared" si="220"/>
        <v>0</v>
      </c>
      <c r="U1770" s="245">
        <f t="shared" si="221"/>
        <v>0</v>
      </c>
      <c r="V1770" s="247"/>
    </row>
    <row r="1771" spans="1:22" ht="15.75" x14ac:dyDescent="0.25">
      <c r="A1771" s="236"/>
      <c r="B1771" s="237"/>
      <c r="C1771" s="238"/>
      <c r="D1771" s="239"/>
      <c r="E1771" s="240"/>
      <c r="F1771" s="240"/>
      <c r="G1771" s="240"/>
      <c r="H1771" s="241">
        <f t="shared" si="216"/>
        <v>0</v>
      </c>
      <c r="I1771" s="242"/>
      <c r="J1771" s="243"/>
      <c r="K1771" s="243"/>
      <c r="L1771" s="244">
        <v>0.1</v>
      </c>
      <c r="M1771" s="244">
        <f t="shared" si="217"/>
        <v>0</v>
      </c>
      <c r="N1771" s="244"/>
      <c r="O1771" s="244"/>
      <c r="P1771" s="244"/>
      <c r="Q1771" s="245">
        <f t="shared" si="218"/>
        <v>0</v>
      </c>
      <c r="R1771" s="245">
        <f t="shared" si="219"/>
        <v>0</v>
      </c>
      <c r="S1771" s="246">
        <v>0.5</v>
      </c>
      <c r="T1771" s="245">
        <f t="shared" si="220"/>
        <v>0</v>
      </c>
      <c r="U1771" s="245">
        <f t="shared" si="221"/>
        <v>0</v>
      </c>
      <c r="V1771" s="247"/>
    </row>
    <row r="1772" spans="1:22" ht="15.75" x14ac:dyDescent="0.25">
      <c r="A1772" s="236"/>
      <c r="B1772" s="237"/>
      <c r="C1772" s="238"/>
      <c r="D1772" s="239"/>
      <c r="E1772" s="240"/>
      <c r="F1772" s="240"/>
      <c r="G1772" s="240"/>
      <c r="H1772" s="241">
        <f t="shared" si="216"/>
        <v>0</v>
      </c>
      <c r="I1772" s="242"/>
      <c r="J1772" s="243"/>
      <c r="K1772" s="243"/>
      <c r="L1772" s="244">
        <v>0.1</v>
      </c>
      <c r="M1772" s="244">
        <f t="shared" si="217"/>
        <v>0</v>
      </c>
      <c r="N1772" s="244"/>
      <c r="O1772" s="244"/>
      <c r="P1772" s="244"/>
      <c r="Q1772" s="245">
        <f t="shared" si="218"/>
        <v>0</v>
      </c>
      <c r="R1772" s="245">
        <f t="shared" si="219"/>
        <v>0</v>
      </c>
      <c r="S1772" s="246">
        <v>0.5</v>
      </c>
      <c r="T1772" s="245">
        <f t="shared" si="220"/>
        <v>0</v>
      </c>
      <c r="U1772" s="245">
        <f t="shared" si="221"/>
        <v>0</v>
      </c>
      <c r="V1772" s="247"/>
    </row>
    <row r="1773" spans="1:22" ht="15.75" x14ac:dyDescent="0.25">
      <c r="A1773" s="236"/>
      <c r="B1773" s="237"/>
      <c r="C1773" s="238"/>
      <c r="D1773" s="239"/>
      <c r="E1773" s="240"/>
      <c r="F1773" s="240"/>
      <c r="G1773" s="240"/>
      <c r="H1773" s="241">
        <f t="shared" si="216"/>
        <v>0</v>
      </c>
      <c r="I1773" s="242"/>
      <c r="J1773" s="243"/>
      <c r="K1773" s="243"/>
      <c r="L1773" s="244">
        <v>0.1</v>
      </c>
      <c r="M1773" s="244">
        <f t="shared" si="217"/>
        <v>0</v>
      </c>
      <c r="N1773" s="244"/>
      <c r="O1773" s="244"/>
      <c r="P1773" s="244"/>
      <c r="Q1773" s="245">
        <f t="shared" si="218"/>
        <v>0</v>
      </c>
      <c r="R1773" s="245">
        <f t="shared" si="219"/>
        <v>0</v>
      </c>
      <c r="S1773" s="246">
        <v>0.5</v>
      </c>
      <c r="T1773" s="245">
        <f t="shared" si="220"/>
        <v>0</v>
      </c>
      <c r="U1773" s="245">
        <f t="shared" si="221"/>
        <v>0</v>
      </c>
      <c r="V1773" s="247"/>
    </row>
    <row r="1774" spans="1:22" ht="15.75" x14ac:dyDescent="0.25">
      <c r="A1774" s="236"/>
      <c r="B1774" s="237"/>
      <c r="C1774" s="238"/>
      <c r="D1774" s="239"/>
      <c r="E1774" s="240"/>
      <c r="F1774" s="240"/>
      <c r="G1774" s="240"/>
      <c r="H1774" s="241">
        <f t="shared" si="216"/>
        <v>0</v>
      </c>
      <c r="I1774" s="242"/>
      <c r="J1774" s="243"/>
      <c r="K1774" s="243"/>
      <c r="L1774" s="244">
        <v>0.1</v>
      </c>
      <c r="M1774" s="244">
        <f t="shared" si="217"/>
        <v>0</v>
      </c>
      <c r="N1774" s="244"/>
      <c r="O1774" s="244"/>
      <c r="P1774" s="244"/>
      <c r="Q1774" s="245">
        <f t="shared" si="218"/>
        <v>0</v>
      </c>
      <c r="R1774" s="245">
        <f t="shared" si="219"/>
        <v>0</v>
      </c>
      <c r="S1774" s="246">
        <v>0.5</v>
      </c>
      <c r="T1774" s="245">
        <f t="shared" si="220"/>
        <v>0</v>
      </c>
      <c r="U1774" s="245">
        <f t="shared" si="221"/>
        <v>0</v>
      </c>
      <c r="V1774" s="247"/>
    </row>
    <row r="1775" spans="1:22" ht="15.75" x14ac:dyDescent="0.25">
      <c r="A1775" s="236"/>
      <c r="B1775" s="237"/>
      <c r="C1775" s="238"/>
      <c r="D1775" s="239"/>
      <c r="E1775" s="240"/>
      <c r="F1775" s="240"/>
      <c r="G1775" s="240"/>
      <c r="H1775" s="241">
        <f t="shared" si="216"/>
        <v>0</v>
      </c>
      <c r="I1775" s="242"/>
      <c r="J1775" s="243"/>
      <c r="K1775" s="243"/>
      <c r="L1775" s="244">
        <v>0.1</v>
      </c>
      <c r="M1775" s="244">
        <f t="shared" si="217"/>
        <v>0</v>
      </c>
      <c r="N1775" s="244"/>
      <c r="O1775" s="244"/>
      <c r="P1775" s="244"/>
      <c r="Q1775" s="245">
        <f t="shared" si="218"/>
        <v>0</v>
      </c>
      <c r="R1775" s="245">
        <f t="shared" si="219"/>
        <v>0</v>
      </c>
      <c r="S1775" s="246">
        <v>0.5</v>
      </c>
      <c r="T1775" s="245">
        <f t="shared" si="220"/>
        <v>0</v>
      </c>
      <c r="U1775" s="245">
        <f t="shared" si="221"/>
        <v>0</v>
      </c>
      <c r="V1775" s="247"/>
    </row>
    <row r="1776" spans="1:22" ht="15.75" x14ac:dyDescent="0.25">
      <c r="A1776" s="236"/>
      <c r="B1776" s="237"/>
      <c r="C1776" s="238"/>
      <c r="D1776" s="239"/>
      <c r="E1776" s="240"/>
      <c r="F1776" s="240"/>
      <c r="G1776" s="240"/>
      <c r="H1776" s="241">
        <f t="shared" si="216"/>
        <v>0</v>
      </c>
      <c r="I1776" s="242"/>
      <c r="J1776" s="243"/>
      <c r="K1776" s="243"/>
      <c r="L1776" s="244">
        <v>0.1</v>
      </c>
      <c r="M1776" s="244">
        <f t="shared" si="217"/>
        <v>0</v>
      </c>
      <c r="N1776" s="244"/>
      <c r="O1776" s="244"/>
      <c r="P1776" s="244"/>
      <c r="Q1776" s="245">
        <f t="shared" si="218"/>
        <v>0</v>
      </c>
      <c r="R1776" s="245">
        <f t="shared" si="219"/>
        <v>0</v>
      </c>
      <c r="S1776" s="246">
        <v>0.5</v>
      </c>
      <c r="T1776" s="245">
        <f t="shared" si="220"/>
        <v>0</v>
      </c>
      <c r="U1776" s="245">
        <f t="shared" si="221"/>
        <v>0</v>
      </c>
      <c r="V1776" s="247"/>
    </row>
    <row r="1777" spans="1:22" ht="15.75" x14ac:dyDescent="0.25">
      <c r="A1777" s="236"/>
      <c r="B1777" s="237"/>
      <c r="C1777" s="238"/>
      <c r="D1777" s="239"/>
      <c r="E1777" s="240"/>
      <c r="F1777" s="240"/>
      <c r="G1777" s="240"/>
      <c r="H1777" s="241">
        <f t="shared" si="216"/>
        <v>0</v>
      </c>
      <c r="I1777" s="242"/>
      <c r="J1777" s="243"/>
      <c r="K1777" s="243"/>
      <c r="L1777" s="244">
        <v>0.1</v>
      </c>
      <c r="M1777" s="244">
        <f t="shared" si="217"/>
        <v>0</v>
      </c>
      <c r="N1777" s="244"/>
      <c r="O1777" s="244"/>
      <c r="P1777" s="244"/>
      <c r="Q1777" s="245">
        <f t="shared" si="218"/>
        <v>0</v>
      </c>
      <c r="R1777" s="245">
        <f t="shared" si="219"/>
        <v>0</v>
      </c>
      <c r="S1777" s="246">
        <v>0.5</v>
      </c>
      <c r="T1777" s="245">
        <f t="shared" si="220"/>
        <v>0</v>
      </c>
      <c r="U1777" s="245">
        <f t="shared" si="221"/>
        <v>0</v>
      </c>
      <c r="V1777" s="247"/>
    </row>
    <row r="1778" spans="1:22" ht="15.75" x14ac:dyDescent="0.25">
      <c r="A1778" s="236"/>
      <c r="B1778" s="237"/>
      <c r="C1778" s="238"/>
      <c r="D1778" s="239"/>
      <c r="E1778" s="240"/>
      <c r="F1778" s="240"/>
      <c r="G1778" s="240"/>
      <c r="H1778" s="241">
        <f t="shared" si="216"/>
        <v>0</v>
      </c>
      <c r="I1778" s="242"/>
      <c r="J1778" s="243"/>
      <c r="K1778" s="243"/>
      <c r="L1778" s="244">
        <v>0.1</v>
      </c>
      <c r="M1778" s="244">
        <f t="shared" si="217"/>
        <v>0</v>
      </c>
      <c r="N1778" s="244"/>
      <c r="O1778" s="244"/>
      <c r="P1778" s="244"/>
      <c r="Q1778" s="245">
        <f t="shared" si="218"/>
        <v>0</v>
      </c>
      <c r="R1778" s="245">
        <f t="shared" si="219"/>
        <v>0</v>
      </c>
      <c r="S1778" s="246">
        <v>0.5</v>
      </c>
      <c r="T1778" s="245">
        <f t="shared" si="220"/>
        <v>0</v>
      </c>
      <c r="U1778" s="245">
        <f t="shared" si="221"/>
        <v>0</v>
      </c>
      <c r="V1778" s="247"/>
    </row>
    <row r="1779" spans="1:22" ht="15.75" x14ac:dyDescent="0.25">
      <c r="A1779" s="236"/>
      <c r="B1779" s="237"/>
      <c r="C1779" s="238"/>
      <c r="D1779" s="239"/>
      <c r="E1779" s="240"/>
      <c r="F1779" s="240"/>
      <c r="G1779" s="240"/>
      <c r="H1779" s="241">
        <f t="shared" si="216"/>
        <v>0</v>
      </c>
      <c r="I1779" s="242"/>
      <c r="J1779" s="243"/>
      <c r="K1779" s="243"/>
      <c r="L1779" s="244">
        <v>0.1</v>
      </c>
      <c r="M1779" s="244">
        <f t="shared" si="217"/>
        <v>0</v>
      </c>
      <c r="N1779" s="244"/>
      <c r="O1779" s="244"/>
      <c r="P1779" s="244"/>
      <c r="Q1779" s="245">
        <f t="shared" si="218"/>
        <v>0</v>
      </c>
      <c r="R1779" s="245">
        <f t="shared" si="219"/>
        <v>0</v>
      </c>
      <c r="S1779" s="246">
        <v>0.5</v>
      </c>
      <c r="T1779" s="245">
        <f t="shared" si="220"/>
        <v>0</v>
      </c>
      <c r="U1779" s="245">
        <f t="shared" si="221"/>
        <v>0</v>
      </c>
      <c r="V1779" s="247"/>
    </row>
    <row r="1780" spans="1:22" ht="15.75" x14ac:dyDescent="0.25">
      <c r="A1780" s="236"/>
      <c r="B1780" s="237"/>
      <c r="C1780" s="238"/>
      <c r="D1780" s="239"/>
      <c r="E1780" s="240"/>
      <c r="F1780" s="240"/>
      <c r="G1780" s="240"/>
      <c r="H1780" s="241">
        <f t="shared" si="216"/>
        <v>0</v>
      </c>
      <c r="I1780" s="242"/>
      <c r="J1780" s="243"/>
      <c r="K1780" s="243"/>
      <c r="L1780" s="244">
        <v>0.1</v>
      </c>
      <c r="M1780" s="244">
        <f t="shared" si="217"/>
        <v>0</v>
      </c>
      <c r="N1780" s="244"/>
      <c r="O1780" s="244"/>
      <c r="P1780" s="244"/>
      <c r="Q1780" s="245">
        <f t="shared" si="218"/>
        <v>0</v>
      </c>
      <c r="R1780" s="245">
        <f t="shared" si="219"/>
        <v>0</v>
      </c>
      <c r="S1780" s="246">
        <v>0.5</v>
      </c>
      <c r="T1780" s="245">
        <f t="shared" si="220"/>
        <v>0</v>
      </c>
      <c r="U1780" s="245">
        <f t="shared" si="221"/>
        <v>0</v>
      </c>
      <c r="V1780" s="247"/>
    </row>
    <row r="1781" spans="1:22" ht="15.75" x14ac:dyDescent="0.25">
      <c r="A1781" s="236"/>
      <c r="B1781" s="237"/>
      <c r="C1781" s="238"/>
      <c r="D1781" s="239"/>
      <c r="E1781" s="240"/>
      <c r="F1781" s="240"/>
      <c r="G1781" s="240"/>
      <c r="H1781" s="241">
        <f t="shared" si="216"/>
        <v>0</v>
      </c>
      <c r="I1781" s="242"/>
      <c r="J1781" s="243"/>
      <c r="K1781" s="243"/>
      <c r="L1781" s="244">
        <v>0.1</v>
      </c>
      <c r="M1781" s="244">
        <f t="shared" si="217"/>
        <v>0</v>
      </c>
      <c r="N1781" s="244"/>
      <c r="O1781" s="244"/>
      <c r="P1781" s="244"/>
      <c r="Q1781" s="245">
        <f t="shared" si="218"/>
        <v>0</v>
      </c>
      <c r="R1781" s="245">
        <f t="shared" si="219"/>
        <v>0</v>
      </c>
      <c r="S1781" s="246">
        <v>0.5</v>
      </c>
      <c r="T1781" s="245">
        <f t="shared" si="220"/>
        <v>0</v>
      </c>
      <c r="U1781" s="245">
        <f t="shared" si="221"/>
        <v>0</v>
      </c>
      <c r="V1781" s="247"/>
    </row>
    <row r="1782" spans="1:22" ht="15.75" x14ac:dyDescent="0.25">
      <c r="A1782" s="236"/>
      <c r="B1782" s="237"/>
      <c r="C1782" s="238"/>
      <c r="D1782" s="239"/>
      <c r="E1782" s="240"/>
      <c r="F1782" s="240"/>
      <c r="G1782" s="240"/>
      <c r="H1782" s="241">
        <f t="shared" si="216"/>
        <v>0</v>
      </c>
      <c r="I1782" s="242"/>
      <c r="J1782" s="243"/>
      <c r="K1782" s="243"/>
      <c r="L1782" s="244">
        <v>0.1</v>
      </c>
      <c r="M1782" s="244">
        <f t="shared" si="217"/>
        <v>0</v>
      </c>
      <c r="N1782" s="244"/>
      <c r="O1782" s="244"/>
      <c r="P1782" s="244"/>
      <c r="Q1782" s="245">
        <f t="shared" si="218"/>
        <v>0</v>
      </c>
      <c r="R1782" s="245">
        <f t="shared" si="219"/>
        <v>0</v>
      </c>
      <c r="S1782" s="246">
        <v>0.5</v>
      </c>
      <c r="T1782" s="245">
        <f t="shared" si="220"/>
        <v>0</v>
      </c>
      <c r="U1782" s="245">
        <f t="shared" si="221"/>
        <v>0</v>
      </c>
      <c r="V1782" s="247"/>
    </row>
    <row r="1783" spans="1:22" ht="15.75" x14ac:dyDescent="0.25">
      <c r="A1783" s="236"/>
      <c r="B1783" s="237"/>
      <c r="C1783" s="238"/>
      <c r="D1783" s="239"/>
      <c r="E1783" s="240"/>
      <c r="F1783" s="240"/>
      <c r="G1783" s="240"/>
      <c r="H1783" s="241">
        <f t="shared" si="216"/>
        <v>0</v>
      </c>
      <c r="I1783" s="242"/>
      <c r="J1783" s="243"/>
      <c r="K1783" s="243"/>
      <c r="L1783" s="244">
        <v>0.1</v>
      </c>
      <c r="M1783" s="244">
        <f t="shared" si="217"/>
        <v>0</v>
      </c>
      <c r="N1783" s="244"/>
      <c r="O1783" s="244"/>
      <c r="P1783" s="244"/>
      <c r="Q1783" s="245">
        <f t="shared" si="218"/>
        <v>0</v>
      </c>
      <c r="R1783" s="245">
        <f t="shared" si="219"/>
        <v>0</v>
      </c>
      <c r="S1783" s="246">
        <v>0.5</v>
      </c>
      <c r="T1783" s="245">
        <f t="shared" si="220"/>
        <v>0</v>
      </c>
      <c r="U1783" s="245">
        <f t="shared" si="221"/>
        <v>0</v>
      </c>
      <c r="V1783" s="247"/>
    </row>
    <row r="1784" spans="1:22" ht="15.75" x14ac:dyDescent="0.25">
      <c r="A1784" s="236"/>
      <c r="B1784" s="237"/>
      <c r="C1784" s="238"/>
      <c r="D1784" s="239"/>
      <c r="E1784" s="240"/>
      <c r="F1784" s="240"/>
      <c r="G1784" s="240"/>
      <c r="H1784" s="241">
        <f t="shared" si="216"/>
        <v>0</v>
      </c>
      <c r="I1784" s="242"/>
      <c r="J1784" s="243"/>
      <c r="K1784" s="243"/>
      <c r="L1784" s="244">
        <v>0.1</v>
      </c>
      <c r="M1784" s="244">
        <f t="shared" si="217"/>
        <v>0</v>
      </c>
      <c r="N1784" s="244"/>
      <c r="O1784" s="244"/>
      <c r="P1784" s="244"/>
      <c r="Q1784" s="245">
        <f t="shared" si="218"/>
        <v>0</v>
      </c>
      <c r="R1784" s="245">
        <f t="shared" si="219"/>
        <v>0</v>
      </c>
      <c r="S1784" s="246">
        <v>0.5</v>
      </c>
      <c r="T1784" s="245">
        <f t="shared" si="220"/>
        <v>0</v>
      </c>
      <c r="U1784" s="245">
        <f t="shared" si="221"/>
        <v>0</v>
      </c>
      <c r="V1784" s="247"/>
    </row>
    <row r="1785" spans="1:22" ht="15.75" x14ac:dyDescent="0.25">
      <c r="A1785" s="236"/>
      <c r="B1785" s="237"/>
      <c r="C1785" s="238"/>
      <c r="D1785" s="239"/>
      <c r="E1785" s="240"/>
      <c r="F1785" s="240"/>
      <c r="G1785" s="240"/>
      <c r="H1785" s="241">
        <f t="shared" si="216"/>
        <v>0</v>
      </c>
      <c r="I1785" s="242"/>
      <c r="J1785" s="243"/>
      <c r="K1785" s="243"/>
      <c r="L1785" s="244">
        <v>0.1</v>
      </c>
      <c r="M1785" s="244">
        <f t="shared" si="217"/>
        <v>0</v>
      </c>
      <c r="N1785" s="244"/>
      <c r="O1785" s="244"/>
      <c r="P1785" s="244"/>
      <c r="Q1785" s="245">
        <f t="shared" si="218"/>
        <v>0</v>
      </c>
      <c r="R1785" s="245">
        <f t="shared" si="219"/>
        <v>0</v>
      </c>
      <c r="S1785" s="246">
        <v>0.5</v>
      </c>
      <c r="T1785" s="245">
        <f t="shared" si="220"/>
        <v>0</v>
      </c>
      <c r="U1785" s="245">
        <f t="shared" si="221"/>
        <v>0</v>
      </c>
      <c r="V1785" s="247"/>
    </row>
    <row r="1786" spans="1:22" ht="15.75" x14ac:dyDescent="0.25">
      <c r="A1786" s="236"/>
      <c r="B1786" s="237"/>
      <c r="C1786" s="238"/>
      <c r="D1786" s="239"/>
      <c r="E1786" s="240"/>
      <c r="F1786" s="240"/>
      <c r="G1786" s="240"/>
      <c r="H1786" s="241">
        <f t="shared" si="216"/>
        <v>0</v>
      </c>
      <c r="I1786" s="242"/>
      <c r="J1786" s="243"/>
      <c r="K1786" s="243"/>
      <c r="L1786" s="244">
        <v>0.1</v>
      </c>
      <c r="M1786" s="244">
        <f t="shared" si="217"/>
        <v>0</v>
      </c>
      <c r="N1786" s="244"/>
      <c r="O1786" s="244"/>
      <c r="P1786" s="244"/>
      <c r="Q1786" s="245">
        <f t="shared" si="218"/>
        <v>0</v>
      </c>
      <c r="R1786" s="245">
        <f t="shared" si="219"/>
        <v>0</v>
      </c>
      <c r="S1786" s="246">
        <v>0.5</v>
      </c>
      <c r="T1786" s="245">
        <f t="shared" si="220"/>
        <v>0</v>
      </c>
      <c r="U1786" s="245">
        <f t="shared" si="221"/>
        <v>0</v>
      </c>
      <c r="V1786" s="247"/>
    </row>
    <row r="1787" spans="1:22" ht="15.75" x14ac:dyDescent="0.25">
      <c r="A1787" s="236"/>
      <c r="B1787" s="237"/>
      <c r="C1787" s="238"/>
      <c r="D1787" s="239"/>
      <c r="E1787" s="240"/>
      <c r="F1787" s="240"/>
      <c r="G1787" s="240"/>
      <c r="H1787" s="241">
        <f t="shared" si="216"/>
        <v>0</v>
      </c>
      <c r="I1787" s="242"/>
      <c r="J1787" s="243"/>
      <c r="K1787" s="243"/>
      <c r="L1787" s="244">
        <v>0.1</v>
      </c>
      <c r="M1787" s="244">
        <f t="shared" si="217"/>
        <v>0</v>
      </c>
      <c r="N1787" s="244"/>
      <c r="O1787" s="244"/>
      <c r="P1787" s="244"/>
      <c r="Q1787" s="245">
        <f t="shared" si="218"/>
        <v>0</v>
      </c>
      <c r="R1787" s="245">
        <f t="shared" si="219"/>
        <v>0</v>
      </c>
      <c r="S1787" s="246">
        <v>0.5</v>
      </c>
      <c r="T1787" s="245">
        <f t="shared" si="220"/>
        <v>0</v>
      </c>
      <c r="U1787" s="245">
        <f t="shared" si="221"/>
        <v>0</v>
      </c>
      <c r="V1787" s="247"/>
    </row>
    <row r="1788" spans="1:22" ht="15.75" x14ac:dyDescent="0.25">
      <c r="A1788" s="236"/>
      <c r="B1788" s="237"/>
      <c r="C1788" s="238"/>
      <c r="D1788" s="239"/>
      <c r="E1788" s="240"/>
      <c r="F1788" s="240"/>
      <c r="G1788" s="240"/>
      <c r="H1788" s="241">
        <f t="shared" si="216"/>
        <v>0</v>
      </c>
      <c r="I1788" s="242"/>
      <c r="J1788" s="243"/>
      <c r="K1788" s="243"/>
      <c r="L1788" s="244">
        <v>0.1</v>
      </c>
      <c r="M1788" s="244">
        <f t="shared" si="217"/>
        <v>0</v>
      </c>
      <c r="N1788" s="244"/>
      <c r="O1788" s="244"/>
      <c r="P1788" s="244"/>
      <c r="Q1788" s="245">
        <f t="shared" si="218"/>
        <v>0</v>
      </c>
      <c r="R1788" s="245">
        <f t="shared" si="219"/>
        <v>0</v>
      </c>
      <c r="S1788" s="246">
        <v>0.5</v>
      </c>
      <c r="T1788" s="245">
        <f t="shared" si="220"/>
        <v>0</v>
      </c>
      <c r="U1788" s="245">
        <f t="shared" si="221"/>
        <v>0</v>
      </c>
      <c r="V1788" s="247"/>
    </row>
    <row r="1789" spans="1:22" ht="15.75" x14ac:dyDescent="0.25">
      <c r="A1789" s="236"/>
      <c r="B1789" s="237"/>
      <c r="C1789" s="238"/>
      <c r="D1789" s="239"/>
      <c r="E1789" s="240"/>
      <c r="F1789" s="240"/>
      <c r="G1789" s="240"/>
      <c r="H1789" s="241">
        <f t="shared" ref="H1789:H1852" si="222">+E1789+F1789+G1789</f>
        <v>0</v>
      </c>
      <c r="I1789" s="242"/>
      <c r="J1789" s="243"/>
      <c r="K1789" s="243"/>
      <c r="L1789" s="244">
        <v>0.1</v>
      </c>
      <c r="M1789" s="244">
        <f t="shared" ref="M1789:M1852" si="223">+L1789*C1789</f>
        <v>0</v>
      </c>
      <c r="N1789" s="244"/>
      <c r="O1789" s="244"/>
      <c r="P1789" s="244"/>
      <c r="Q1789" s="245">
        <f t="shared" ref="Q1789:Q1852" si="224">+N1789+O1789+P1789</f>
        <v>0</v>
      </c>
      <c r="R1789" s="245">
        <f t="shared" ref="R1789:R1852" si="225">IF(+Q1789-H1789&lt;=0,0,Q1789-H1789)</f>
        <v>0</v>
      </c>
      <c r="S1789" s="246">
        <v>0.5</v>
      </c>
      <c r="T1789" s="245">
        <f t="shared" ref="T1789:T1852" si="226">+(R1789*C1789)*S1789</f>
        <v>0</v>
      </c>
      <c r="U1789" s="245">
        <f t="shared" ref="U1789:U1852" si="227">+J1789+M1789+T1789</f>
        <v>0</v>
      </c>
      <c r="V1789" s="247"/>
    </row>
    <row r="1790" spans="1:22" ht="15.75" x14ac:dyDescent="0.25">
      <c r="A1790" s="236"/>
      <c r="B1790" s="237"/>
      <c r="C1790" s="238"/>
      <c r="D1790" s="239"/>
      <c r="E1790" s="240"/>
      <c r="F1790" s="240"/>
      <c r="G1790" s="240"/>
      <c r="H1790" s="241">
        <f t="shared" si="222"/>
        <v>0</v>
      </c>
      <c r="I1790" s="242"/>
      <c r="J1790" s="243"/>
      <c r="K1790" s="243"/>
      <c r="L1790" s="244">
        <v>0.1</v>
      </c>
      <c r="M1790" s="244">
        <f t="shared" si="223"/>
        <v>0</v>
      </c>
      <c r="N1790" s="244"/>
      <c r="O1790" s="244"/>
      <c r="P1790" s="244"/>
      <c r="Q1790" s="245">
        <f t="shared" si="224"/>
        <v>0</v>
      </c>
      <c r="R1790" s="245">
        <f t="shared" si="225"/>
        <v>0</v>
      </c>
      <c r="S1790" s="246">
        <v>0.5</v>
      </c>
      <c r="T1790" s="245">
        <f t="shared" si="226"/>
        <v>0</v>
      </c>
      <c r="U1790" s="245">
        <f t="shared" si="227"/>
        <v>0</v>
      </c>
      <c r="V1790" s="247"/>
    </row>
    <row r="1791" spans="1:22" ht="15.75" x14ac:dyDescent="0.25">
      <c r="A1791" s="236"/>
      <c r="B1791" s="237"/>
      <c r="C1791" s="238"/>
      <c r="D1791" s="239"/>
      <c r="E1791" s="240"/>
      <c r="F1791" s="240"/>
      <c r="G1791" s="240"/>
      <c r="H1791" s="241">
        <f t="shared" si="222"/>
        <v>0</v>
      </c>
      <c r="I1791" s="242"/>
      <c r="J1791" s="243"/>
      <c r="K1791" s="243"/>
      <c r="L1791" s="244">
        <v>0.1</v>
      </c>
      <c r="M1791" s="244">
        <f t="shared" si="223"/>
        <v>0</v>
      </c>
      <c r="N1791" s="244"/>
      <c r="O1791" s="244"/>
      <c r="P1791" s="244"/>
      <c r="Q1791" s="245">
        <f t="shared" si="224"/>
        <v>0</v>
      </c>
      <c r="R1791" s="245">
        <f t="shared" si="225"/>
        <v>0</v>
      </c>
      <c r="S1791" s="246">
        <v>0.5</v>
      </c>
      <c r="T1791" s="245">
        <f t="shared" si="226"/>
        <v>0</v>
      </c>
      <c r="U1791" s="245">
        <f t="shared" si="227"/>
        <v>0</v>
      </c>
      <c r="V1791" s="247"/>
    </row>
    <row r="1792" spans="1:22" ht="15.75" x14ac:dyDescent="0.25">
      <c r="A1792" s="236"/>
      <c r="B1792" s="237"/>
      <c r="C1792" s="238"/>
      <c r="D1792" s="239"/>
      <c r="E1792" s="240"/>
      <c r="F1792" s="240"/>
      <c r="G1792" s="240"/>
      <c r="H1792" s="241">
        <f t="shared" si="222"/>
        <v>0</v>
      </c>
      <c r="I1792" s="242"/>
      <c r="J1792" s="243"/>
      <c r="K1792" s="243"/>
      <c r="L1792" s="244">
        <v>0.1</v>
      </c>
      <c r="M1792" s="244">
        <f t="shared" si="223"/>
        <v>0</v>
      </c>
      <c r="N1792" s="244"/>
      <c r="O1792" s="244"/>
      <c r="P1792" s="244"/>
      <c r="Q1792" s="245">
        <f t="shared" si="224"/>
        <v>0</v>
      </c>
      <c r="R1792" s="245">
        <f t="shared" si="225"/>
        <v>0</v>
      </c>
      <c r="S1792" s="246">
        <v>0.5</v>
      </c>
      <c r="T1792" s="245">
        <f t="shared" si="226"/>
        <v>0</v>
      </c>
      <c r="U1792" s="245">
        <f t="shared" si="227"/>
        <v>0</v>
      </c>
      <c r="V1792" s="247"/>
    </row>
    <row r="1793" spans="1:22" ht="15.75" x14ac:dyDescent="0.25">
      <c r="A1793" s="236"/>
      <c r="B1793" s="237"/>
      <c r="C1793" s="238"/>
      <c r="D1793" s="239"/>
      <c r="E1793" s="240"/>
      <c r="F1793" s="240"/>
      <c r="G1793" s="240"/>
      <c r="H1793" s="241">
        <f t="shared" si="222"/>
        <v>0</v>
      </c>
      <c r="I1793" s="242"/>
      <c r="J1793" s="243"/>
      <c r="K1793" s="243"/>
      <c r="L1793" s="244">
        <v>0.1</v>
      </c>
      <c r="M1793" s="244">
        <f t="shared" si="223"/>
        <v>0</v>
      </c>
      <c r="N1793" s="244"/>
      <c r="O1793" s="244"/>
      <c r="P1793" s="244"/>
      <c r="Q1793" s="245">
        <f t="shared" si="224"/>
        <v>0</v>
      </c>
      <c r="R1793" s="245">
        <f t="shared" si="225"/>
        <v>0</v>
      </c>
      <c r="S1793" s="246">
        <v>0.5</v>
      </c>
      <c r="T1793" s="245">
        <f t="shared" si="226"/>
        <v>0</v>
      </c>
      <c r="U1793" s="245">
        <f t="shared" si="227"/>
        <v>0</v>
      </c>
      <c r="V1793" s="247"/>
    </row>
    <row r="1794" spans="1:22" ht="15.75" x14ac:dyDescent="0.25">
      <c r="A1794" s="236"/>
      <c r="B1794" s="237"/>
      <c r="C1794" s="238"/>
      <c r="D1794" s="239"/>
      <c r="E1794" s="240"/>
      <c r="F1794" s="240"/>
      <c r="G1794" s="240"/>
      <c r="H1794" s="241">
        <f t="shared" si="222"/>
        <v>0</v>
      </c>
      <c r="I1794" s="242"/>
      <c r="J1794" s="243"/>
      <c r="K1794" s="243"/>
      <c r="L1794" s="244">
        <v>0.1</v>
      </c>
      <c r="M1794" s="244">
        <f t="shared" si="223"/>
        <v>0</v>
      </c>
      <c r="N1794" s="244"/>
      <c r="O1794" s="244"/>
      <c r="P1794" s="244"/>
      <c r="Q1794" s="245">
        <f t="shared" si="224"/>
        <v>0</v>
      </c>
      <c r="R1794" s="245">
        <f t="shared" si="225"/>
        <v>0</v>
      </c>
      <c r="S1794" s="246">
        <v>0.5</v>
      </c>
      <c r="T1794" s="245">
        <f t="shared" si="226"/>
        <v>0</v>
      </c>
      <c r="U1794" s="245">
        <f t="shared" si="227"/>
        <v>0</v>
      </c>
      <c r="V1794" s="247"/>
    </row>
    <row r="1795" spans="1:22" ht="15.75" x14ac:dyDescent="0.25">
      <c r="A1795" s="236"/>
      <c r="B1795" s="237"/>
      <c r="C1795" s="238"/>
      <c r="D1795" s="239"/>
      <c r="E1795" s="240"/>
      <c r="F1795" s="240"/>
      <c r="G1795" s="240"/>
      <c r="H1795" s="241">
        <f t="shared" si="222"/>
        <v>0</v>
      </c>
      <c r="I1795" s="242"/>
      <c r="J1795" s="243"/>
      <c r="K1795" s="243"/>
      <c r="L1795" s="244">
        <v>0.1</v>
      </c>
      <c r="M1795" s="244">
        <f t="shared" si="223"/>
        <v>0</v>
      </c>
      <c r="N1795" s="244"/>
      <c r="O1795" s="244"/>
      <c r="P1795" s="244"/>
      <c r="Q1795" s="245">
        <f t="shared" si="224"/>
        <v>0</v>
      </c>
      <c r="R1795" s="245">
        <f t="shared" si="225"/>
        <v>0</v>
      </c>
      <c r="S1795" s="246">
        <v>0.5</v>
      </c>
      <c r="T1795" s="245">
        <f t="shared" si="226"/>
        <v>0</v>
      </c>
      <c r="U1795" s="245">
        <f t="shared" si="227"/>
        <v>0</v>
      </c>
      <c r="V1795" s="247"/>
    </row>
    <row r="1796" spans="1:22" ht="15.75" x14ac:dyDescent="0.25">
      <c r="A1796" s="236"/>
      <c r="B1796" s="237"/>
      <c r="C1796" s="238"/>
      <c r="D1796" s="239"/>
      <c r="E1796" s="240"/>
      <c r="F1796" s="240"/>
      <c r="G1796" s="240"/>
      <c r="H1796" s="241">
        <f t="shared" si="222"/>
        <v>0</v>
      </c>
      <c r="I1796" s="242"/>
      <c r="J1796" s="243"/>
      <c r="K1796" s="243"/>
      <c r="L1796" s="244">
        <v>0.1</v>
      </c>
      <c r="M1796" s="244">
        <f t="shared" si="223"/>
        <v>0</v>
      </c>
      <c r="N1796" s="244"/>
      <c r="O1796" s="244"/>
      <c r="P1796" s="244"/>
      <c r="Q1796" s="245">
        <f t="shared" si="224"/>
        <v>0</v>
      </c>
      <c r="R1796" s="245">
        <f t="shared" si="225"/>
        <v>0</v>
      </c>
      <c r="S1796" s="246">
        <v>0.5</v>
      </c>
      <c r="T1796" s="245">
        <f t="shared" si="226"/>
        <v>0</v>
      </c>
      <c r="U1796" s="245">
        <f t="shared" si="227"/>
        <v>0</v>
      </c>
      <c r="V1796" s="247"/>
    </row>
    <row r="1797" spans="1:22" ht="15.75" x14ac:dyDescent="0.25">
      <c r="A1797" s="236"/>
      <c r="B1797" s="237"/>
      <c r="C1797" s="238"/>
      <c r="D1797" s="239"/>
      <c r="E1797" s="240"/>
      <c r="F1797" s="240"/>
      <c r="G1797" s="240"/>
      <c r="H1797" s="241">
        <f t="shared" si="222"/>
        <v>0</v>
      </c>
      <c r="I1797" s="242"/>
      <c r="J1797" s="243"/>
      <c r="K1797" s="243"/>
      <c r="L1797" s="244">
        <v>0.1</v>
      </c>
      <c r="M1797" s="244">
        <f t="shared" si="223"/>
        <v>0</v>
      </c>
      <c r="N1797" s="244"/>
      <c r="O1797" s="244"/>
      <c r="P1797" s="244"/>
      <c r="Q1797" s="245">
        <f t="shared" si="224"/>
        <v>0</v>
      </c>
      <c r="R1797" s="245">
        <f t="shared" si="225"/>
        <v>0</v>
      </c>
      <c r="S1797" s="246">
        <v>0.5</v>
      </c>
      <c r="T1797" s="245">
        <f t="shared" si="226"/>
        <v>0</v>
      </c>
      <c r="U1797" s="245">
        <f t="shared" si="227"/>
        <v>0</v>
      </c>
      <c r="V1797" s="247"/>
    </row>
    <row r="1798" spans="1:22" ht="15.75" x14ac:dyDescent="0.25">
      <c r="A1798" s="236"/>
      <c r="B1798" s="237"/>
      <c r="C1798" s="238"/>
      <c r="D1798" s="239"/>
      <c r="E1798" s="240"/>
      <c r="F1798" s="240"/>
      <c r="G1798" s="240"/>
      <c r="H1798" s="241">
        <f t="shared" si="222"/>
        <v>0</v>
      </c>
      <c r="I1798" s="242"/>
      <c r="J1798" s="243"/>
      <c r="K1798" s="243"/>
      <c r="L1798" s="244">
        <v>0.1</v>
      </c>
      <c r="M1798" s="244">
        <f t="shared" si="223"/>
        <v>0</v>
      </c>
      <c r="N1798" s="244"/>
      <c r="O1798" s="244"/>
      <c r="P1798" s="244"/>
      <c r="Q1798" s="245">
        <f t="shared" si="224"/>
        <v>0</v>
      </c>
      <c r="R1798" s="245">
        <f t="shared" si="225"/>
        <v>0</v>
      </c>
      <c r="S1798" s="246">
        <v>0.5</v>
      </c>
      <c r="T1798" s="245">
        <f t="shared" si="226"/>
        <v>0</v>
      </c>
      <c r="U1798" s="245">
        <f t="shared" si="227"/>
        <v>0</v>
      </c>
      <c r="V1798" s="247"/>
    </row>
    <row r="1799" spans="1:22" ht="15.75" x14ac:dyDescent="0.25">
      <c r="A1799" s="236"/>
      <c r="B1799" s="237"/>
      <c r="C1799" s="238"/>
      <c r="D1799" s="239"/>
      <c r="E1799" s="240"/>
      <c r="F1799" s="240"/>
      <c r="G1799" s="240"/>
      <c r="H1799" s="241">
        <f t="shared" si="222"/>
        <v>0</v>
      </c>
      <c r="I1799" s="242"/>
      <c r="J1799" s="243"/>
      <c r="K1799" s="243"/>
      <c r="L1799" s="244">
        <v>0.1</v>
      </c>
      <c r="M1799" s="244">
        <f t="shared" si="223"/>
        <v>0</v>
      </c>
      <c r="N1799" s="244"/>
      <c r="O1799" s="244"/>
      <c r="P1799" s="244"/>
      <c r="Q1799" s="245">
        <f t="shared" si="224"/>
        <v>0</v>
      </c>
      <c r="R1799" s="245">
        <f t="shared" si="225"/>
        <v>0</v>
      </c>
      <c r="S1799" s="246">
        <v>0.5</v>
      </c>
      <c r="T1799" s="245">
        <f t="shared" si="226"/>
        <v>0</v>
      </c>
      <c r="U1799" s="245">
        <f t="shared" si="227"/>
        <v>0</v>
      </c>
      <c r="V1799" s="247"/>
    </row>
    <row r="1800" spans="1:22" ht="15.75" x14ac:dyDescent="0.25">
      <c r="A1800" s="236"/>
      <c r="B1800" s="237"/>
      <c r="C1800" s="238"/>
      <c r="D1800" s="239"/>
      <c r="E1800" s="240"/>
      <c r="F1800" s="240"/>
      <c r="G1800" s="240"/>
      <c r="H1800" s="241">
        <f t="shared" si="222"/>
        <v>0</v>
      </c>
      <c r="I1800" s="242"/>
      <c r="J1800" s="243"/>
      <c r="K1800" s="243"/>
      <c r="L1800" s="244">
        <v>0.1</v>
      </c>
      <c r="M1800" s="244">
        <f t="shared" si="223"/>
        <v>0</v>
      </c>
      <c r="N1800" s="244"/>
      <c r="O1800" s="244"/>
      <c r="P1800" s="244"/>
      <c r="Q1800" s="245">
        <f t="shared" si="224"/>
        <v>0</v>
      </c>
      <c r="R1800" s="245">
        <f t="shared" si="225"/>
        <v>0</v>
      </c>
      <c r="S1800" s="246">
        <v>0.5</v>
      </c>
      <c r="T1800" s="245">
        <f t="shared" si="226"/>
        <v>0</v>
      </c>
      <c r="U1800" s="245">
        <f t="shared" si="227"/>
        <v>0</v>
      </c>
      <c r="V1800" s="247"/>
    </row>
    <row r="1801" spans="1:22" ht="15.75" x14ac:dyDescent="0.25">
      <c r="A1801" s="236"/>
      <c r="B1801" s="237"/>
      <c r="C1801" s="238"/>
      <c r="D1801" s="239"/>
      <c r="E1801" s="240"/>
      <c r="F1801" s="240"/>
      <c r="G1801" s="240"/>
      <c r="H1801" s="241">
        <f t="shared" si="222"/>
        <v>0</v>
      </c>
      <c r="I1801" s="242"/>
      <c r="J1801" s="243"/>
      <c r="K1801" s="243"/>
      <c r="L1801" s="244">
        <v>0.1</v>
      </c>
      <c r="M1801" s="244">
        <f t="shared" si="223"/>
        <v>0</v>
      </c>
      <c r="N1801" s="244"/>
      <c r="O1801" s="244"/>
      <c r="P1801" s="244"/>
      <c r="Q1801" s="245">
        <f t="shared" si="224"/>
        <v>0</v>
      </c>
      <c r="R1801" s="245">
        <f t="shared" si="225"/>
        <v>0</v>
      </c>
      <c r="S1801" s="246">
        <v>0.5</v>
      </c>
      <c r="T1801" s="245">
        <f t="shared" si="226"/>
        <v>0</v>
      </c>
      <c r="U1801" s="245">
        <f t="shared" si="227"/>
        <v>0</v>
      </c>
      <c r="V1801" s="247"/>
    </row>
    <row r="1802" spans="1:22" ht="15.75" x14ac:dyDescent="0.25">
      <c r="A1802" s="236"/>
      <c r="B1802" s="237"/>
      <c r="C1802" s="238"/>
      <c r="D1802" s="239"/>
      <c r="E1802" s="240"/>
      <c r="F1802" s="240"/>
      <c r="G1802" s="240"/>
      <c r="H1802" s="241">
        <f t="shared" si="222"/>
        <v>0</v>
      </c>
      <c r="I1802" s="242"/>
      <c r="J1802" s="243"/>
      <c r="K1802" s="243"/>
      <c r="L1802" s="244">
        <v>0.1</v>
      </c>
      <c r="M1802" s="244">
        <f t="shared" si="223"/>
        <v>0</v>
      </c>
      <c r="N1802" s="244"/>
      <c r="O1802" s="244"/>
      <c r="P1802" s="244"/>
      <c r="Q1802" s="245">
        <f t="shared" si="224"/>
        <v>0</v>
      </c>
      <c r="R1802" s="245">
        <f t="shared" si="225"/>
        <v>0</v>
      </c>
      <c r="S1802" s="246">
        <v>0.5</v>
      </c>
      <c r="T1802" s="245">
        <f t="shared" si="226"/>
        <v>0</v>
      </c>
      <c r="U1802" s="245">
        <f t="shared" si="227"/>
        <v>0</v>
      </c>
      <c r="V1802" s="247"/>
    </row>
    <row r="1803" spans="1:22" ht="15.75" x14ac:dyDescent="0.25">
      <c r="A1803" s="236"/>
      <c r="B1803" s="237"/>
      <c r="C1803" s="238"/>
      <c r="D1803" s="239"/>
      <c r="E1803" s="240"/>
      <c r="F1803" s="240"/>
      <c r="G1803" s="240"/>
      <c r="H1803" s="241">
        <f t="shared" si="222"/>
        <v>0</v>
      </c>
      <c r="I1803" s="242"/>
      <c r="J1803" s="243"/>
      <c r="K1803" s="243"/>
      <c r="L1803" s="244">
        <v>0.1</v>
      </c>
      <c r="M1803" s="244">
        <f t="shared" si="223"/>
        <v>0</v>
      </c>
      <c r="N1803" s="244"/>
      <c r="O1803" s="244"/>
      <c r="P1803" s="244"/>
      <c r="Q1803" s="245">
        <f t="shared" si="224"/>
        <v>0</v>
      </c>
      <c r="R1803" s="245">
        <f t="shared" si="225"/>
        <v>0</v>
      </c>
      <c r="S1803" s="246">
        <v>0.5</v>
      </c>
      <c r="T1803" s="245">
        <f t="shared" si="226"/>
        <v>0</v>
      </c>
      <c r="U1803" s="245">
        <f t="shared" si="227"/>
        <v>0</v>
      </c>
      <c r="V1803" s="247"/>
    </row>
    <row r="1804" spans="1:22" ht="15.75" x14ac:dyDescent="0.25">
      <c r="A1804" s="236"/>
      <c r="B1804" s="237"/>
      <c r="C1804" s="238"/>
      <c r="D1804" s="239"/>
      <c r="E1804" s="240"/>
      <c r="F1804" s="240"/>
      <c r="G1804" s="240"/>
      <c r="H1804" s="241">
        <f t="shared" si="222"/>
        <v>0</v>
      </c>
      <c r="I1804" s="242"/>
      <c r="J1804" s="243"/>
      <c r="K1804" s="243"/>
      <c r="L1804" s="244">
        <v>0.1</v>
      </c>
      <c r="M1804" s="244">
        <f t="shared" si="223"/>
        <v>0</v>
      </c>
      <c r="N1804" s="244"/>
      <c r="O1804" s="244"/>
      <c r="P1804" s="244"/>
      <c r="Q1804" s="245">
        <f t="shared" si="224"/>
        <v>0</v>
      </c>
      <c r="R1804" s="245">
        <f t="shared" si="225"/>
        <v>0</v>
      </c>
      <c r="S1804" s="246">
        <v>0.5</v>
      </c>
      <c r="T1804" s="245">
        <f t="shared" si="226"/>
        <v>0</v>
      </c>
      <c r="U1804" s="245">
        <f t="shared" si="227"/>
        <v>0</v>
      </c>
      <c r="V1804" s="247"/>
    </row>
    <row r="1805" spans="1:22" ht="15.75" x14ac:dyDescent="0.25">
      <c r="A1805" s="236"/>
      <c r="B1805" s="237"/>
      <c r="C1805" s="238"/>
      <c r="D1805" s="239"/>
      <c r="E1805" s="240"/>
      <c r="F1805" s="240"/>
      <c r="G1805" s="240"/>
      <c r="H1805" s="241">
        <f t="shared" si="222"/>
        <v>0</v>
      </c>
      <c r="I1805" s="242"/>
      <c r="J1805" s="243"/>
      <c r="K1805" s="243"/>
      <c r="L1805" s="244">
        <v>0.1</v>
      </c>
      <c r="M1805" s="244">
        <f t="shared" si="223"/>
        <v>0</v>
      </c>
      <c r="N1805" s="244"/>
      <c r="O1805" s="244"/>
      <c r="P1805" s="244"/>
      <c r="Q1805" s="245">
        <f t="shared" si="224"/>
        <v>0</v>
      </c>
      <c r="R1805" s="245">
        <f t="shared" si="225"/>
        <v>0</v>
      </c>
      <c r="S1805" s="246">
        <v>0.5</v>
      </c>
      <c r="T1805" s="245">
        <f t="shared" si="226"/>
        <v>0</v>
      </c>
      <c r="U1805" s="245">
        <f t="shared" si="227"/>
        <v>0</v>
      </c>
      <c r="V1805" s="247"/>
    </row>
    <row r="1806" spans="1:22" ht="15.75" x14ac:dyDescent="0.25">
      <c r="A1806" s="236"/>
      <c r="B1806" s="237"/>
      <c r="C1806" s="238"/>
      <c r="D1806" s="239"/>
      <c r="E1806" s="240"/>
      <c r="F1806" s="240"/>
      <c r="G1806" s="240"/>
      <c r="H1806" s="241">
        <f t="shared" si="222"/>
        <v>0</v>
      </c>
      <c r="I1806" s="242"/>
      <c r="J1806" s="243"/>
      <c r="K1806" s="243"/>
      <c r="L1806" s="244">
        <v>0.1</v>
      </c>
      <c r="M1806" s="244">
        <f t="shared" si="223"/>
        <v>0</v>
      </c>
      <c r="N1806" s="244"/>
      <c r="O1806" s="244"/>
      <c r="P1806" s="244"/>
      <c r="Q1806" s="245">
        <f t="shared" si="224"/>
        <v>0</v>
      </c>
      <c r="R1806" s="245">
        <f t="shared" si="225"/>
        <v>0</v>
      </c>
      <c r="S1806" s="246">
        <v>0.5</v>
      </c>
      <c r="T1806" s="245">
        <f t="shared" si="226"/>
        <v>0</v>
      </c>
      <c r="U1806" s="245">
        <f t="shared" si="227"/>
        <v>0</v>
      </c>
      <c r="V1806" s="247"/>
    </row>
    <row r="1807" spans="1:22" ht="15.75" x14ac:dyDescent="0.25">
      <c r="A1807" s="236"/>
      <c r="B1807" s="237"/>
      <c r="C1807" s="238"/>
      <c r="D1807" s="239"/>
      <c r="E1807" s="240"/>
      <c r="F1807" s="240"/>
      <c r="G1807" s="240"/>
      <c r="H1807" s="241">
        <f t="shared" si="222"/>
        <v>0</v>
      </c>
      <c r="I1807" s="242"/>
      <c r="J1807" s="243"/>
      <c r="K1807" s="243"/>
      <c r="L1807" s="244">
        <v>0.1</v>
      </c>
      <c r="M1807" s="244">
        <f t="shared" si="223"/>
        <v>0</v>
      </c>
      <c r="N1807" s="244"/>
      <c r="O1807" s="244"/>
      <c r="P1807" s="244"/>
      <c r="Q1807" s="245">
        <f t="shared" si="224"/>
        <v>0</v>
      </c>
      <c r="R1807" s="245">
        <f t="shared" si="225"/>
        <v>0</v>
      </c>
      <c r="S1807" s="246">
        <v>0.5</v>
      </c>
      <c r="T1807" s="245">
        <f t="shared" si="226"/>
        <v>0</v>
      </c>
      <c r="U1807" s="245">
        <f t="shared" si="227"/>
        <v>0</v>
      </c>
      <c r="V1807" s="247"/>
    </row>
    <row r="1808" spans="1:22" ht="15.75" x14ac:dyDescent="0.25">
      <c r="A1808" s="236"/>
      <c r="B1808" s="237"/>
      <c r="C1808" s="238"/>
      <c r="D1808" s="239"/>
      <c r="E1808" s="240"/>
      <c r="F1808" s="240"/>
      <c r="G1808" s="240"/>
      <c r="H1808" s="241">
        <f t="shared" si="222"/>
        <v>0</v>
      </c>
      <c r="I1808" s="242"/>
      <c r="J1808" s="243"/>
      <c r="K1808" s="243"/>
      <c r="L1808" s="244">
        <v>0.1</v>
      </c>
      <c r="M1808" s="244">
        <f t="shared" si="223"/>
        <v>0</v>
      </c>
      <c r="N1808" s="244"/>
      <c r="O1808" s="244"/>
      <c r="P1808" s="244"/>
      <c r="Q1808" s="245">
        <f t="shared" si="224"/>
        <v>0</v>
      </c>
      <c r="R1808" s="245">
        <f t="shared" si="225"/>
        <v>0</v>
      </c>
      <c r="S1808" s="246">
        <v>0.5</v>
      </c>
      <c r="T1808" s="245">
        <f t="shared" si="226"/>
        <v>0</v>
      </c>
      <c r="U1808" s="245">
        <f t="shared" si="227"/>
        <v>0</v>
      </c>
      <c r="V1808" s="247"/>
    </row>
    <row r="1809" spans="1:22" ht="15.75" x14ac:dyDescent="0.25">
      <c r="A1809" s="236"/>
      <c r="B1809" s="237"/>
      <c r="C1809" s="238"/>
      <c r="D1809" s="239"/>
      <c r="E1809" s="240"/>
      <c r="F1809" s="240"/>
      <c r="G1809" s="240"/>
      <c r="H1809" s="241">
        <f t="shared" si="222"/>
        <v>0</v>
      </c>
      <c r="I1809" s="242"/>
      <c r="J1809" s="243"/>
      <c r="K1809" s="243"/>
      <c r="L1809" s="244">
        <v>0.1</v>
      </c>
      <c r="M1809" s="244">
        <f t="shared" si="223"/>
        <v>0</v>
      </c>
      <c r="N1809" s="244"/>
      <c r="O1809" s="244"/>
      <c r="P1809" s="244"/>
      <c r="Q1809" s="245">
        <f t="shared" si="224"/>
        <v>0</v>
      </c>
      <c r="R1809" s="245">
        <f t="shared" si="225"/>
        <v>0</v>
      </c>
      <c r="S1809" s="246">
        <v>0.5</v>
      </c>
      <c r="T1809" s="245">
        <f t="shared" si="226"/>
        <v>0</v>
      </c>
      <c r="U1809" s="245">
        <f t="shared" si="227"/>
        <v>0</v>
      </c>
      <c r="V1809" s="247"/>
    </row>
    <row r="1810" spans="1:22" ht="15.75" x14ac:dyDescent="0.25">
      <c r="A1810" s="236"/>
      <c r="B1810" s="237"/>
      <c r="C1810" s="238"/>
      <c r="D1810" s="239"/>
      <c r="E1810" s="240"/>
      <c r="F1810" s="240"/>
      <c r="G1810" s="240"/>
      <c r="H1810" s="241">
        <f t="shared" si="222"/>
        <v>0</v>
      </c>
      <c r="I1810" s="242"/>
      <c r="J1810" s="243"/>
      <c r="K1810" s="243"/>
      <c r="L1810" s="244">
        <v>0.1</v>
      </c>
      <c r="M1810" s="244">
        <f t="shared" si="223"/>
        <v>0</v>
      </c>
      <c r="N1810" s="244"/>
      <c r="O1810" s="244"/>
      <c r="P1810" s="244"/>
      <c r="Q1810" s="245">
        <f t="shared" si="224"/>
        <v>0</v>
      </c>
      <c r="R1810" s="245">
        <f t="shared" si="225"/>
        <v>0</v>
      </c>
      <c r="S1810" s="246">
        <v>0.5</v>
      </c>
      <c r="T1810" s="245">
        <f t="shared" si="226"/>
        <v>0</v>
      </c>
      <c r="U1810" s="245">
        <f t="shared" si="227"/>
        <v>0</v>
      </c>
      <c r="V1810" s="247"/>
    </row>
    <row r="1811" spans="1:22" ht="15.75" x14ac:dyDescent="0.25">
      <c r="A1811" s="236"/>
      <c r="B1811" s="237"/>
      <c r="C1811" s="238"/>
      <c r="D1811" s="239"/>
      <c r="E1811" s="240"/>
      <c r="F1811" s="240"/>
      <c r="G1811" s="240"/>
      <c r="H1811" s="241">
        <f t="shared" si="222"/>
        <v>0</v>
      </c>
      <c r="I1811" s="242"/>
      <c r="J1811" s="243"/>
      <c r="K1811" s="243"/>
      <c r="L1811" s="244">
        <v>0.1</v>
      </c>
      <c r="M1811" s="244">
        <f t="shared" si="223"/>
        <v>0</v>
      </c>
      <c r="N1811" s="244"/>
      <c r="O1811" s="244"/>
      <c r="P1811" s="244"/>
      <c r="Q1811" s="245">
        <f t="shared" si="224"/>
        <v>0</v>
      </c>
      <c r="R1811" s="245">
        <f t="shared" si="225"/>
        <v>0</v>
      </c>
      <c r="S1811" s="246">
        <v>0.5</v>
      </c>
      <c r="T1811" s="245">
        <f t="shared" si="226"/>
        <v>0</v>
      </c>
      <c r="U1811" s="245">
        <f t="shared" si="227"/>
        <v>0</v>
      </c>
      <c r="V1811" s="247"/>
    </row>
    <row r="1812" spans="1:22" ht="15.75" x14ac:dyDescent="0.25">
      <c r="A1812" s="236"/>
      <c r="B1812" s="237"/>
      <c r="C1812" s="238"/>
      <c r="D1812" s="239"/>
      <c r="E1812" s="240"/>
      <c r="F1812" s="240"/>
      <c r="G1812" s="240"/>
      <c r="H1812" s="241">
        <f t="shared" si="222"/>
        <v>0</v>
      </c>
      <c r="I1812" s="242"/>
      <c r="J1812" s="243"/>
      <c r="K1812" s="243"/>
      <c r="L1812" s="244">
        <v>0.1</v>
      </c>
      <c r="M1812" s="244">
        <f t="shared" si="223"/>
        <v>0</v>
      </c>
      <c r="N1812" s="244"/>
      <c r="O1812" s="244"/>
      <c r="P1812" s="244"/>
      <c r="Q1812" s="245">
        <f t="shared" si="224"/>
        <v>0</v>
      </c>
      <c r="R1812" s="245">
        <f t="shared" si="225"/>
        <v>0</v>
      </c>
      <c r="S1812" s="246">
        <v>0.5</v>
      </c>
      <c r="T1812" s="245">
        <f t="shared" si="226"/>
        <v>0</v>
      </c>
      <c r="U1812" s="245">
        <f t="shared" si="227"/>
        <v>0</v>
      </c>
      <c r="V1812" s="247"/>
    </row>
    <row r="1813" spans="1:22" ht="15.75" x14ac:dyDescent="0.25">
      <c r="A1813" s="236"/>
      <c r="B1813" s="237"/>
      <c r="C1813" s="238"/>
      <c r="D1813" s="239"/>
      <c r="E1813" s="240"/>
      <c r="F1813" s="240"/>
      <c r="G1813" s="240"/>
      <c r="H1813" s="241">
        <f t="shared" si="222"/>
        <v>0</v>
      </c>
      <c r="I1813" s="242"/>
      <c r="J1813" s="243"/>
      <c r="K1813" s="243"/>
      <c r="L1813" s="244">
        <v>0.1</v>
      </c>
      <c r="M1813" s="244">
        <f t="shared" si="223"/>
        <v>0</v>
      </c>
      <c r="N1813" s="244"/>
      <c r="O1813" s="244"/>
      <c r="P1813" s="244"/>
      <c r="Q1813" s="245">
        <f t="shared" si="224"/>
        <v>0</v>
      </c>
      <c r="R1813" s="245">
        <f t="shared" si="225"/>
        <v>0</v>
      </c>
      <c r="S1813" s="246">
        <v>0.5</v>
      </c>
      <c r="T1813" s="245">
        <f t="shared" si="226"/>
        <v>0</v>
      </c>
      <c r="U1813" s="245">
        <f t="shared" si="227"/>
        <v>0</v>
      </c>
      <c r="V1813" s="247"/>
    </row>
    <row r="1814" spans="1:22" ht="15.75" x14ac:dyDescent="0.25">
      <c r="A1814" s="236"/>
      <c r="B1814" s="237"/>
      <c r="C1814" s="238"/>
      <c r="D1814" s="239"/>
      <c r="E1814" s="240"/>
      <c r="F1814" s="240"/>
      <c r="G1814" s="240"/>
      <c r="H1814" s="241">
        <f t="shared" si="222"/>
        <v>0</v>
      </c>
      <c r="I1814" s="242"/>
      <c r="J1814" s="243"/>
      <c r="K1814" s="243"/>
      <c r="L1814" s="244">
        <v>0.1</v>
      </c>
      <c r="M1814" s="244">
        <f t="shared" si="223"/>
        <v>0</v>
      </c>
      <c r="N1814" s="244"/>
      <c r="O1814" s="244"/>
      <c r="P1814" s="244"/>
      <c r="Q1814" s="245">
        <f t="shared" si="224"/>
        <v>0</v>
      </c>
      <c r="R1814" s="245">
        <f t="shared" si="225"/>
        <v>0</v>
      </c>
      <c r="S1814" s="246">
        <v>0.5</v>
      </c>
      <c r="T1814" s="245">
        <f t="shared" si="226"/>
        <v>0</v>
      </c>
      <c r="U1814" s="245">
        <f t="shared" si="227"/>
        <v>0</v>
      </c>
      <c r="V1814" s="247"/>
    </row>
    <row r="1815" spans="1:22" ht="15.75" x14ac:dyDescent="0.25">
      <c r="A1815" s="236"/>
      <c r="B1815" s="237"/>
      <c r="C1815" s="238"/>
      <c r="D1815" s="239"/>
      <c r="E1815" s="240"/>
      <c r="F1815" s="240"/>
      <c r="G1815" s="240"/>
      <c r="H1815" s="241">
        <f t="shared" si="222"/>
        <v>0</v>
      </c>
      <c r="I1815" s="242"/>
      <c r="J1815" s="243"/>
      <c r="K1815" s="243"/>
      <c r="L1815" s="244">
        <v>0.1</v>
      </c>
      <c r="M1815" s="244">
        <f t="shared" si="223"/>
        <v>0</v>
      </c>
      <c r="N1815" s="244"/>
      <c r="O1815" s="244"/>
      <c r="P1815" s="244"/>
      <c r="Q1815" s="245">
        <f t="shared" si="224"/>
        <v>0</v>
      </c>
      <c r="R1815" s="245">
        <f t="shared" si="225"/>
        <v>0</v>
      </c>
      <c r="S1815" s="246">
        <v>0.5</v>
      </c>
      <c r="T1815" s="245">
        <f t="shared" si="226"/>
        <v>0</v>
      </c>
      <c r="U1815" s="245">
        <f t="shared" si="227"/>
        <v>0</v>
      </c>
      <c r="V1815" s="247"/>
    </row>
    <row r="1816" spans="1:22" ht="15.75" x14ac:dyDescent="0.25">
      <c r="A1816" s="236"/>
      <c r="B1816" s="237"/>
      <c r="C1816" s="238"/>
      <c r="D1816" s="239"/>
      <c r="E1816" s="240"/>
      <c r="F1816" s="240"/>
      <c r="G1816" s="240"/>
      <c r="H1816" s="241">
        <f t="shared" si="222"/>
        <v>0</v>
      </c>
      <c r="I1816" s="242"/>
      <c r="J1816" s="243"/>
      <c r="K1816" s="243"/>
      <c r="L1816" s="244">
        <v>0.1</v>
      </c>
      <c r="M1816" s="244">
        <f t="shared" si="223"/>
        <v>0</v>
      </c>
      <c r="N1816" s="244"/>
      <c r="O1816" s="244"/>
      <c r="P1816" s="244"/>
      <c r="Q1816" s="245">
        <f t="shared" si="224"/>
        <v>0</v>
      </c>
      <c r="R1816" s="245">
        <f t="shared" si="225"/>
        <v>0</v>
      </c>
      <c r="S1816" s="246">
        <v>0.5</v>
      </c>
      <c r="T1816" s="245">
        <f t="shared" si="226"/>
        <v>0</v>
      </c>
      <c r="U1816" s="245">
        <f t="shared" si="227"/>
        <v>0</v>
      </c>
      <c r="V1816" s="247"/>
    </row>
    <row r="1817" spans="1:22" ht="15.75" x14ac:dyDescent="0.25">
      <c r="A1817" s="236"/>
      <c r="B1817" s="237"/>
      <c r="C1817" s="238"/>
      <c r="D1817" s="239"/>
      <c r="E1817" s="240"/>
      <c r="F1817" s="240"/>
      <c r="G1817" s="240"/>
      <c r="H1817" s="241">
        <f t="shared" si="222"/>
        <v>0</v>
      </c>
      <c r="I1817" s="242"/>
      <c r="J1817" s="243"/>
      <c r="K1817" s="243"/>
      <c r="L1817" s="244">
        <v>0.1</v>
      </c>
      <c r="M1817" s="244">
        <f t="shared" si="223"/>
        <v>0</v>
      </c>
      <c r="N1817" s="244"/>
      <c r="O1817" s="244"/>
      <c r="P1817" s="244"/>
      <c r="Q1817" s="245">
        <f t="shared" si="224"/>
        <v>0</v>
      </c>
      <c r="R1817" s="245">
        <f t="shared" si="225"/>
        <v>0</v>
      </c>
      <c r="S1817" s="246">
        <v>0.5</v>
      </c>
      <c r="T1817" s="245">
        <f t="shared" si="226"/>
        <v>0</v>
      </c>
      <c r="U1817" s="245">
        <f t="shared" si="227"/>
        <v>0</v>
      </c>
      <c r="V1817" s="247"/>
    </row>
    <row r="1818" spans="1:22" ht="15.75" x14ac:dyDescent="0.25">
      <c r="A1818" s="236"/>
      <c r="B1818" s="237"/>
      <c r="C1818" s="238"/>
      <c r="D1818" s="239"/>
      <c r="E1818" s="240"/>
      <c r="F1818" s="240"/>
      <c r="G1818" s="240"/>
      <c r="H1818" s="241">
        <f t="shared" si="222"/>
        <v>0</v>
      </c>
      <c r="I1818" s="242"/>
      <c r="J1818" s="243"/>
      <c r="K1818" s="243"/>
      <c r="L1818" s="244">
        <v>0.1</v>
      </c>
      <c r="M1818" s="244">
        <f t="shared" si="223"/>
        <v>0</v>
      </c>
      <c r="N1818" s="244"/>
      <c r="O1818" s="244"/>
      <c r="P1818" s="244"/>
      <c r="Q1818" s="245">
        <f t="shared" si="224"/>
        <v>0</v>
      </c>
      <c r="R1818" s="245">
        <f t="shared" si="225"/>
        <v>0</v>
      </c>
      <c r="S1818" s="246">
        <v>0.5</v>
      </c>
      <c r="T1818" s="245">
        <f t="shared" si="226"/>
        <v>0</v>
      </c>
      <c r="U1818" s="245">
        <f t="shared" si="227"/>
        <v>0</v>
      </c>
      <c r="V1818" s="247"/>
    </row>
    <row r="1819" spans="1:22" ht="15.75" x14ac:dyDescent="0.25">
      <c r="A1819" s="236"/>
      <c r="B1819" s="237"/>
      <c r="C1819" s="238"/>
      <c r="D1819" s="239"/>
      <c r="E1819" s="240"/>
      <c r="F1819" s="240"/>
      <c r="G1819" s="240"/>
      <c r="H1819" s="241">
        <f t="shared" si="222"/>
        <v>0</v>
      </c>
      <c r="I1819" s="242"/>
      <c r="J1819" s="243"/>
      <c r="K1819" s="243"/>
      <c r="L1819" s="244">
        <v>0.1</v>
      </c>
      <c r="M1819" s="244">
        <f t="shared" si="223"/>
        <v>0</v>
      </c>
      <c r="N1819" s="244"/>
      <c r="O1819" s="244"/>
      <c r="P1819" s="244"/>
      <c r="Q1819" s="245">
        <f t="shared" si="224"/>
        <v>0</v>
      </c>
      <c r="R1819" s="245">
        <f t="shared" si="225"/>
        <v>0</v>
      </c>
      <c r="S1819" s="246">
        <v>0.5</v>
      </c>
      <c r="T1819" s="245">
        <f t="shared" si="226"/>
        <v>0</v>
      </c>
      <c r="U1819" s="245">
        <f t="shared" si="227"/>
        <v>0</v>
      </c>
      <c r="V1819" s="247"/>
    </row>
    <row r="1820" spans="1:22" ht="15.75" x14ac:dyDescent="0.25">
      <c r="A1820" s="236"/>
      <c r="B1820" s="237"/>
      <c r="C1820" s="238"/>
      <c r="D1820" s="239"/>
      <c r="E1820" s="240"/>
      <c r="F1820" s="240"/>
      <c r="G1820" s="240"/>
      <c r="H1820" s="241">
        <f t="shared" si="222"/>
        <v>0</v>
      </c>
      <c r="I1820" s="242"/>
      <c r="J1820" s="243"/>
      <c r="K1820" s="243"/>
      <c r="L1820" s="244">
        <v>0.1</v>
      </c>
      <c r="M1820" s="244">
        <f t="shared" si="223"/>
        <v>0</v>
      </c>
      <c r="N1820" s="244"/>
      <c r="O1820" s="244"/>
      <c r="P1820" s="244"/>
      <c r="Q1820" s="245">
        <f t="shared" si="224"/>
        <v>0</v>
      </c>
      <c r="R1820" s="245">
        <f t="shared" si="225"/>
        <v>0</v>
      </c>
      <c r="S1820" s="246">
        <v>0.5</v>
      </c>
      <c r="T1820" s="245">
        <f t="shared" si="226"/>
        <v>0</v>
      </c>
      <c r="U1820" s="245">
        <f t="shared" si="227"/>
        <v>0</v>
      </c>
      <c r="V1820" s="247"/>
    </row>
    <row r="1821" spans="1:22" ht="15.75" x14ac:dyDescent="0.25">
      <c r="A1821" s="236"/>
      <c r="B1821" s="237"/>
      <c r="C1821" s="238"/>
      <c r="D1821" s="239"/>
      <c r="E1821" s="240"/>
      <c r="F1821" s="240"/>
      <c r="G1821" s="240"/>
      <c r="H1821" s="241">
        <f t="shared" si="222"/>
        <v>0</v>
      </c>
      <c r="I1821" s="242"/>
      <c r="J1821" s="243"/>
      <c r="K1821" s="243"/>
      <c r="L1821" s="244">
        <v>0.1</v>
      </c>
      <c r="M1821" s="244">
        <f t="shared" si="223"/>
        <v>0</v>
      </c>
      <c r="N1821" s="244"/>
      <c r="O1821" s="244"/>
      <c r="P1821" s="244"/>
      <c r="Q1821" s="245">
        <f t="shared" si="224"/>
        <v>0</v>
      </c>
      <c r="R1821" s="245">
        <f t="shared" si="225"/>
        <v>0</v>
      </c>
      <c r="S1821" s="246">
        <v>0.5</v>
      </c>
      <c r="T1821" s="245">
        <f t="shared" si="226"/>
        <v>0</v>
      </c>
      <c r="U1821" s="245">
        <f t="shared" si="227"/>
        <v>0</v>
      </c>
      <c r="V1821" s="247"/>
    </row>
    <row r="1822" spans="1:22" ht="15.75" x14ac:dyDescent="0.25">
      <c r="A1822" s="236"/>
      <c r="B1822" s="237"/>
      <c r="C1822" s="238"/>
      <c r="D1822" s="239"/>
      <c r="E1822" s="240"/>
      <c r="F1822" s="240"/>
      <c r="G1822" s="240"/>
      <c r="H1822" s="241">
        <f t="shared" si="222"/>
        <v>0</v>
      </c>
      <c r="I1822" s="242"/>
      <c r="J1822" s="243"/>
      <c r="K1822" s="243"/>
      <c r="L1822" s="244">
        <v>0.1</v>
      </c>
      <c r="M1822" s="244">
        <f t="shared" si="223"/>
        <v>0</v>
      </c>
      <c r="N1822" s="244"/>
      <c r="O1822" s="244"/>
      <c r="P1822" s="244"/>
      <c r="Q1822" s="245">
        <f t="shared" si="224"/>
        <v>0</v>
      </c>
      <c r="R1822" s="245">
        <f t="shared" si="225"/>
        <v>0</v>
      </c>
      <c r="S1822" s="246">
        <v>0.5</v>
      </c>
      <c r="T1822" s="245">
        <f t="shared" si="226"/>
        <v>0</v>
      </c>
      <c r="U1822" s="245">
        <f t="shared" si="227"/>
        <v>0</v>
      </c>
      <c r="V1822" s="247"/>
    </row>
    <row r="1823" spans="1:22" ht="15.75" x14ac:dyDescent="0.25">
      <c r="A1823" s="236"/>
      <c r="B1823" s="237"/>
      <c r="C1823" s="238"/>
      <c r="D1823" s="239"/>
      <c r="E1823" s="240"/>
      <c r="F1823" s="240"/>
      <c r="G1823" s="240"/>
      <c r="H1823" s="241">
        <f t="shared" si="222"/>
        <v>0</v>
      </c>
      <c r="I1823" s="242"/>
      <c r="J1823" s="243"/>
      <c r="K1823" s="243"/>
      <c r="L1823" s="244">
        <v>0.1</v>
      </c>
      <c r="M1823" s="244">
        <f t="shared" si="223"/>
        <v>0</v>
      </c>
      <c r="N1823" s="244"/>
      <c r="O1823" s="244"/>
      <c r="P1823" s="244"/>
      <c r="Q1823" s="245">
        <f t="shared" si="224"/>
        <v>0</v>
      </c>
      <c r="R1823" s="245">
        <f t="shared" si="225"/>
        <v>0</v>
      </c>
      <c r="S1823" s="246">
        <v>0.5</v>
      </c>
      <c r="T1823" s="245">
        <f t="shared" si="226"/>
        <v>0</v>
      </c>
      <c r="U1823" s="245">
        <f t="shared" si="227"/>
        <v>0</v>
      </c>
      <c r="V1823" s="247"/>
    </row>
    <row r="1824" spans="1:22" ht="15.75" x14ac:dyDescent="0.25">
      <c r="A1824" s="236"/>
      <c r="B1824" s="237"/>
      <c r="C1824" s="238"/>
      <c r="D1824" s="239"/>
      <c r="E1824" s="240"/>
      <c r="F1824" s="240"/>
      <c r="G1824" s="240"/>
      <c r="H1824" s="241">
        <f t="shared" si="222"/>
        <v>0</v>
      </c>
      <c r="I1824" s="242"/>
      <c r="J1824" s="243"/>
      <c r="K1824" s="243"/>
      <c r="L1824" s="244">
        <v>0.1</v>
      </c>
      <c r="M1824" s="244">
        <f t="shared" si="223"/>
        <v>0</v>
      </c>
      <c r="N1824" s="244"/>
      <c r="O1824" s="244"/>
      <c r="P1824" s="244"/>
      <c r="Q1824" s="245">
        <f t="shared" si="224"/>
        <v>0</v>
      </c>
      <c r="R1824" s="245">
        <f t="shared" si="225"/>
        <v>0</v>
      </c>
      <c r="S1824" s="246">
        <v>0.5</v>
      </c>
      <c r="T1824" s="245">
        <f t="shared" si="226"/>
        <v>0</v>
      </c>
      <c r="U1824" s="245">
        <f t="shared" si="227"/>
        <v>0</v>
      </c>
      <c r="V1824" s="247"/>
    </row>
    <row r="1825" spans="1:22" ht="15.75" x14ac:dyDescent="0.25">
      <c r="A1825" s="236"/>
      <c r="B1825" s="237"/>
      <c r="C1825" s="238"/>
      <c r="D1825" s="239"/>
      <c r="E1825" s="240"/>
      <c r="F1825" s="240"/>
      <c r="G1825" s="240"/>
      <c r="H1825" s="241">
        <f t="shared" si="222"/>
        <v>0</v>
      </c>
      <c r="I1825" s="242"/>
      <c r="J1825" s="243"/>
      <c r="K1825" s="243"/>
      <c r="L1825" s="244">
        <v>0.1</v>
      </c>
      <c r="M1825" s="244">
        <f t="shared" si="223"/>
        <v>0</v>
      </c>
      <c r="N1825" s="244"/>
      <c r="O1825" s="244"/>
      <c r="P1825" s="244"/>
      <c r="Q1825" s="245">
        <f t="shared" si="224"/>
        <v>0</v>
      </c>
      <c r="R1825" s="245">
        <f t="shared" si="225"/>
        <v>0</v>
      </c>
      <c r="S1825" s="246">
        <v>0.5</v>
      </c>
      <c r="T1825" s="245">
        <f t="shared" si="226"/>
        <v>0</v>
      </c>
      <c r="U1825" s="245">
        <f t="shared" si="227"/>
        <v>0</v>
      </c>
      <c r="V1825" s="247"/>
    </row>
    <row r="1826" spans="1:22" ht="15.75" x14ac:dyDescent="0.25">
      <c r="A1826" s="236"/>
      <c r="B1826" s="237"/>
      <c r="C1826" s="238"/>
      <c r="D1826" s="239"/>
      <c r="E1826" s="240"/>
      <c r="F1826" s="240"/>
      <c r="G1826" s="240"/>
      <c r="H1826" s="241">
        <f t="shared" si="222"/>
        <v>0</v>
      </c>
      <c r="I1826" s="242"/>
      <c r="J1826" s="243"/>
      <c r="K1826" s="243"/>
      <c r="L1826" s="244">
        <v>0.1</v>
      </c>
      <c r="M1826" s="244">
        <f t="shared" si="223"/>
        <v>0</v>
      </c>
      <c r="N1826" s="244"/>
      <c r="O1826" s="244"/>
      <c r="P1826" s="244"/>
      <c r="Q1826" s="245">
        <f t="shared" si="224"/>
        <v>0</v>
      </c>
      <c r="R1826" s="245">
        <f t="shared" si="225"/>
        <v>0</v>
      </c>
      <c r="S1826" s="246">
        <v>0.5</v>
      </c>
      <c r="T1826" s="245">
        <f t="shared" si="226"/>
        <v>0</v>
      </c>
      <c r="U1826" s="245">
        <f t="shared" si="227"/>
        <v>0</v>
      </c>
      <c r="V1826" s="247"/>
    </row>
    <row r="1827" spans="1:22" ht="15.75" x14ac:dyDescent="0.25">
      <c r="A1827" s="236"/>
      <c r="B1827" s="237"/>
      <c r="C1827" s="238"/>
      <c r="D1827" s="239"/>
      <c r="E1827" s="240"/>
      <c r="F1827" s="240"/>
      <c r="G1827" s="240"/>
      <c r="H1827" s="241">
        <f t="shared" si="222"/>
        <v>0</v>
      </c>
      <c r="I1827" s="242"/>
      <c r="J1827" s="243"/>
      <c r="K1827" s="243"/>
      <c r="L1827" s="244">
        <v>0.1</v>
      </c>
      <c r="M1827" s="244">
        <f t="shared" si="223"/>
        <v>0</v>
      </c>
      <c r="N1827" s="244"/>
      <c r="O1827" s="244"/>
      <c r="P1827" s="244"/>
      <c r="Q1827" s="245">
        <f t="shared" si="224"/>
        <v>0</v>
      </c>
      <c r="R1827" s="245">
        <f t="shared" si="225"/>
        <v>0</v>
      </c>
      <c r="S1827" s="246">
        <v>0.5</v>
      </c>
      <c r="T1827" s="245">
        <f t="shared" si="226"/>
        <v>0</v>
      </c>
      <c r="U1827" s="245">
        <f t="shared" si="227"/>
        <v>0</v>
      </c>
      <c r="V1827" s="247"/>
    </row>
    <row r="1828" spans="1:22" ht="15.75" x14ac:dyDescent="0.25">
      <c r="A1828" s="236"/>
      <c r="B1828" s="237"/>
      <c r="C1828" s="238"/>
      <c r="D1828" s="239"/>
      <c r="E1828" s="240"/>
      <c r="F1828" s="240"/>
      <c r="G1828" s="240"/>
      <c r="H1828" s="241">
        <f t="shared" si="222"/>
        <v>0</v>
      </c>
      <c r="I1828" s="242"/>
      <c r="J1828" s="243"/>
      <c r="K1828" s="243"/>
      <c r="L1828" s="244">
        <v>0.1</v>
      </c>
      <c r="M1828" s="244">
        <f t="shared" si="223"/>
        <v>0</v>
      </c>
      <c r="N1828" s="244"/>
      <c r="O1828" s="244"/>
      <c r="P1828" s="244"/>
      <c r="Q1828" s="245">
        <f t="shared" si="224"/>
        <v>0</v>
      </c>
      <c r="R1828" s="245">
        <f t="shared" si="225"/>
        <v>0</v>
      </c>
      <c r="S1828" s="246">
        <v>0.5</v>
      </c>
      <c r="T1828" s="245">
        <f t="shared" si="226"/>
        <v>0</v>
      </c>
      <c r="U1828" s="245">
        <f t="shared" si="227"/>
        <v>0</v>
      </c>
      <c r="V1828" s="247"/>
    </row>
    <row r="1829" spans="1:22" ht="15.75" x14ac:dyDescent="0.25">
      <c r="A1829" s="236"/>
      <c r="B1829" s="237"/>
      <c r="C1829" s="238"/>
      <c r="D1829" s="239"/>
      <c r="E1829" s="240"/>
      <c r="F1829" s="240"/>
      <c r="G1829" s="240"/>
      <c r="H1829" s="241">
        <f t="shared" si="222"/>
        <v>0</v>
      </c>
      <c r="I1829" s="242"/>
      <c r="J1829" s="243"/>
      <c r="K1829" s="243"/>
      <c r="L1829" s="244">
        <v>0.1</v>
      </c>
      <c r="M1829" s="244">
        <f t="shared" si="223"/>
        <v>0</v>
      </c>
      <c r="N1829" s="244"/>
      <c r="O1829" s="244"/>
      <c r="P1829" s="244"/>
      <c r="Q1829" s="245">
        <f t="shared" si="224"/>
        <v>0</v>
      </c>
      <c r="R1829" s="245">
        <f t="shared" si="225"/>
        <v>0</v>
      </c>
      <c r="S1829" s="246">
        <v>0.5</v>
      </c>
      <c r="T1829" s="245">
        <f t="shared" si="226"/>
        <v>0</v>
      </c>
      <c r="U1829" s="245">
        <f t="shared" si="227"/>
        <v>0</v>
      </c>
      <c r="V1829" s="247"/>
    </row>
    <row r="1830" spans="1:22" ht="15.75" x14ac:dyDescent="0.25">
      <c r="A1830" s="236"/>
      <c r="B1830" s="237"/>
      <c r="C1830" s="238"/>
      <c r="D1830" s="239"/>
      <c r="E1830" s="240"/>
      <c r="F1830" s="240"/>
      <c r="G1830" s="240"/>
      <c r="H1830" s="241">
        <f t="shared" si="222"/>
        <v>0</v>
      </c>
      <c r="I1830" s="242"/>
      <c r="J1830" s="243"/>
      <c r="K1830" s="243"/>
      <c r="L1830" s="244">
        <v>0.1</v>
      </c>
      <c r="M1830" s="244">
        <f t="shared" si="223"/>
        <v>0</v>
      </c>
      <c r="N1830" s="244"/>
      <c r="O1830" s="244"/>
      <c r="P1830" s="244"/>
      <c r="Q1830" s="245">
        <f t="shared" si="224"/>
        <v>0</v>
      </c>
      <c r="R1830" s="245">
        <f t="shared" si="225"/>
        <v>0</v>
      </c>
      <c r="S1830" s="246">
        <v>0.5</v>
      </c>
      <c r="T1830" s="245">
        <f t="shared" si="226"/>
        <v>0</v>
      </c>
      <c r="U1830" s="245">
        <f t="shared" si="227"/>
        <v>0</v>
      </c>
      <c r="V1830" s="247"/>
    </row>
    <row r="1831" spans="1:22" ht="15.75" x14ac:dyDescent="0.25">
      <c r="A1831" s="236"/>
      <c r="B1831" s="237"/>
      <c r="C1831" s="238"/>
      <c r="D1831" s="239"/>
      <c r="E1831" s="240"/>
      <c r="F1831" s="240"/>
      <c r="G1831" s="240"/>
      <c r="H1831" s="241">
        <f t="shared" si="222"/>
        <v>0</v>
      </c>
      <c r="I1831" s="242"/>
      <c r="J1831" s="243"/>
      <c r="K1831" s="243"/>
      <c r="L1831" s="244">
        <v>0.1</v>
      </c>
      <c r="M1831" s="244">
        <f t="shared" si="223"/>
        <v>0</v>
      </c>
      <c r="N1831" s="244"/>
      <c r="O1831" s="244"/>
      <c r="P1831" s="244"/>
      <c r="Q1831" s="245">
        <f t="shared" si="224"/>
        <v>0</v>
      </c>
      <c r="R1831" s="245">
        <f t="shared" si="225"/>
        <v>0</v>
      </c>
      <c r="S1831" s="246">
        <v>0.5</v>
      </c>
      <c r="T1831" s="245">
        <f t="shared" si="226"/>
        <v>0</v>
      </c>
      <c r="U1831" s="245">
        <f t="shared" si="227"/>
        <v>0</v>
      </c>
      <c r="V1831" s="247"/>
    </row>
    <row r="1832" spans="1:22" ht="15.75" x14ac:dyDescent="0.25">
      <c r="A1832" s="236"/>
      <c r="B1832" s="237"/>
      <c r="C1832" s="238"/>
      <c r="D1832" s="239"/>
      <c r="E1832" s="240"/>
      <c r="F1832" s="240"/>
      <c r="G1832" s="240"/>
      <c r="H1832" s="241">
        <f t="shared" si="222"/>
        <v>0</v>
      </c>
      <c r="I1832" s="242"/>
      <c r="J1832" s="243"/>
      <c r="K1832" s="243"/>
      <c r="L1832" s="244">
        <v>0.1</v>
      </c>
      <c r="M1832" s="244">
        <f t="shared" si="223"/>
        <v>0</v>
      </c>
      <c r="N1832" s="244"/>
      <c r="O1832" s="244"/>
      <c r="P1832" s="244"/>
      <c r="Q1832" s="245">
        <f t="shared" si="224"/>
        <v>0</v>
      </c>
      <c r="R1832" s="245">
        <f t="shared" si="225"/>
        <v>0</v>
      </c>
      <c r="S1832" s="246">
        <v>0.5</v>
      </c>
      <c r="T1832" s="245">
        <f t="shared" si="226"/>
        <v>0</v>
      </c>
      <c r="U1832" s="245">
        <f t="shared" si="227"/>
        <v>0</v>
      </c>
      <c r="V1832" s="247"/>
    </row>
    <row r="1833" spans="1:22" ht="15.75" x14ac:dyDescent="0.25">
      <c r="A1833" s="236"/>
      <c r="B1833" s="237"/>
      <c r="C1833" s="238"/>
      <c r="D1833" s="239"/>
      <c r="E1833" s="240"/>
      <c r="F1833" s="240"/>
      <c r="G1833" s="240"/>
      <c r="H1833" s="241">
        <f t="shared" si="222"/>
        <v>0</v>
      </c>
      <c r="I1833" s="242"/>
      <c r="J1833" s="243"/>
      <c r="K1833" s="243"/>
      <c r="L1833" s="244">
        <v>0.1</v>
      </c>
      <c r="M1833" s="244">
        <f t="shared" si="223"/>
        <v>0</v>
      </c>
      <c r="N1833" s="244"/>
      <c r="O1833" s="244"/>
      <c r="P1833" s="244"/>
      <c r="Q1833" s="245">
        <f t="shared" si="224"/>
        <v>0</v>
      </c>
      <c r="R1833" s="245">
        <f t="shared" si="225"/>
        <v>0</v>
      </c>
      <c r="S1833" s="246">
        <v>0.5</v>
      </c>
      <c r="T1833" s="245">
        <f t="shared" si="226"/>
        <v>0</v>
      </c>
      <c r="U1833" s="245">
        <f t="shared" si="227"/>
        <v>0</v>
      </c>
      <c r="V1833" s="247"/>
    </row>
    <row r="1834" spans="1:22" ht="15.75" x14ac:dyDescent="0.25">
      <c r="A1834" s="236"/>
      <c r="B1834" s="237"/>
      <c r="C1834" s="238"/>
      <c r="D1834" s="239"/>
      <c r="E1834" s="240"/>
      <c r="F1834" s="240"/>
      <c r="G1834" s="240"/>
      <c r="H1834" s="241">
        <f t="shared" si="222"/>
        <v>0</v>
      </c>
      <c r="I1834" s="242"/>
      <c r="J1834" s="243"/>
      <c r="K1834" s="243"/>
      <c r="L1834" s="244">
        <v>0.1</v>
      </c>
      <c r="M1834" s="244">
        <f t="shared" si="223"/>
        <v>0</v>
      </c>
      <c r="N1834" s="244"/>
      <c r="O1834" s="244"/>
      <c r="P1834" s="244"/>
      <c r="Q1834" s="245">
        <f t="shared" si="224"/>
        <v>0</v>
      </c>
      <c r="R1834" s="245">
        <f t="shared" si="225"/>
        <v>0</v>
      </c>
      <c r="S1834" s="246">
        <v>0.5</v>
      </c>
      <c r="T1834" s="245">
        <f t="shared" si="226"/>
        <v>0</v>
      </c>
      <c r="U1834" s="245">
        <f t="shared" si="227"/>
        <v>0</v>
      </c>
      <c r="V1834" s="247"/>
    </row>
    <row r="1835" spans="1:22" ht="15.75" x14ac:dyDescent="0.25">
      <c r="A1835" s="236"/>
      <c r="B1835" s="237"/>
      <c r="C1835" s="238"/>
      <c r="D1835" s="239"/>
      <c r="E1835" s="240"/>
      <c r="F1835" s="240"/>
      <c r="G1835" s="240"/>
      <c r="H1835" s="241">
        <f t="shared" si="222"/>
        <v>0</v>
      </c>
      <c r="I1835" s="242"/>
      <c r="J1835" s="243"/>
      <c r="K1835" s="243"/>
      <c r="L1835" s="244">
        <v>0.1</v>
      </c>
      <c r="M1835" s="244">
        <f t="shared" si="223"/>
        <v>0</v>
      </c>
      <c r="N1835" s="244"/>
      <c r="O1835" s="244"/>
      <c r="P1835" s="244"/>
      <c r="Q1835" s="245">
        <f t="shared" si="224"/>
        <v>0</v>
      </c>
      <c r="R1835" s="245">
        <f t="shared" si="225"/>
        <v>0</v>
      </c>
      <c r="S1835" s="246">
        <v>0.5</v>
      </c>
      <c r="T1835" s="245">
        <f t="shared" si="226"/>
        <v>0</v>
      </c>
      <c r="U1835" s="245">
        <f t="shared" si="227"/>
        <v>0</v>
      </c>
      <c r="V1835" s="247"/>
    </row>
    <row r="1836" spans="1:22" ht="15.75" x14ac:dyDescent="0.25">
      <c r="A1836" s="236"/>
      <c r="B1836" s="237"/>
      <c r="C1836" s="238"/>
      <c r="D1836" s="239"/>
      <c r="E1836" s="240"/>
      <c r="F1836" s="240"/>
      <c r="G1836" s="240"/>
      <c r="H1836" s="241">
        <f t="shared" si="222"/>
        <v>0</v>
      </c>
      <c r="I1836" s="242"/>
      <c r="J1836" s="243"/>
      <c r="K1836" s="243"/>
      <c r="L1836" s="244">
        <v>0.1</v>
      </c>
      <c r="M1836" s="244">
        <f t="shared" si="223"/>
        <v>0</v>
      </c>
      <c r="N1836" s="244"/>
      <c r="O1836" s="244"/>
      <c r="P1836" s="244"/>
      <c r="Q1836" s="245">
        <f t="shared" si="224"/>
        <v>0</v>
      </c>
      <c r="R1836" s="245">
        <f t="shared" si="225"/>
        <v>0</v>
      </c>
      <c r="S1836" s="246">
        <v>0.5</v>
      </c>
      <c r="T1836" s="245">
        <f t="shared" si="226"/>
        <v>0</v>
      </c>
      <c r="U1836" s="245">
        <f t="shared" si="227"/>
        <v>0</v>
      </c>
      <c r="V1836" s="247"/>
    </row>
    <row r="1837" spans="1:22" ht="15.75" x14ac:dyDescent="0.25">
      <c r="A1837" s="236"/>
      <c r="B1837" s="237"/>
      <c r="C1837" s="238"/>
      <c r="D1837" s="239"/>
      <c r="E1837" s="240"/>
      <c r="F1837" s="240"/>
      <c r="G1837" s="240"/>
      <c r="H1837" s="241">
        <f t="shared" si="222"/>
        <v>0</v>
      </c>
      <c r="I1837" s="242"/>
      <c r="J1837" s="243"/>
      <c r="K1837" s="243"/>
      <c r="L1837" s="244">
        <v>0.1</v>
      </c>
      <c r="M1837" s="244">
        <f t="shared" si="223"/>
        <v>0</v>
      </c>
      <c r="N1837" s="244"/>
      <c r="O1837" s="244"/>
      <c r="P1837" s="244"/>
      <c r="Q1837" s="245">
        <f t="shared" si="224"/>
        <v>0</v>
      </c>
      <c r="R1837" s="245">
        <f t="shared" si="225"/>
        <v>0</v>
      </c>
      <c r="S1837" s="246">
        <v>0.5</v>
      </c>
      <c r="T1837" s="245">
        <f t="shared" si="226"/>
        <v>0</v>
      </c>
      <c r="U1837" s="245">
        <f t="shared" si="227"/>
        <v>0</v>
      </c>
      <c r="V1837" s="247"/>
    </row>
    <row r="1838" spans="1:22" ht="15.75" x14ac:dyDescent="0.25">
      <c r="A1838" s="236"/>
      <c r="B1838" s="237"/>
      <c r="C1838" s="238"/>
      <c r="D1838" s="239"/>
      <c r="E1838" s="240"/>
      <c r="F1838" s="240"/>
      <c r="G1838" s="240"/>
      <c r="H1838" s="241">
        <f t="shared" si="222"/>
        <v>0</v>
      </c>
      <c r="I1838" s="242"/>
      <c r="J1838" s="243"/>
      <c r="K1838" s="243"/>
      <c r="L1838" s="244">
        <v>0.1</v>
      </c>
      <c r="M1838" s="244">
        <f t="shared" si="223"/>
        <v>0</v>
      </c>
      <c r="N1838" s="244"/>
      <c r="O1838" s="244"/>
      <c r="P1838" s="244"/>
      <c r="Q1838" s="245">
        <f t="shared" si="224"/>
        <v>0</v>
      </c>
      <c r="R1838" s="245">
        <f t="shared" si="225"/>
        <v>0</v>
      </c>
      <c r="S1838" s="246">
        <v>0.5</v>
      </c>
      <c r="T1838" s="245">
        <f t="shared" si="226"/>
        <v>0</v>
      </c>
      <c r="U1838" s="245">
        <f t="shared" si="227"/>
        <v>0</v>
      </c>
      <c r="V1838" s="247"/>
    </row>
    <row r="1839" spans="1:22" ht="15.75" x14ac:dyDescent="0.25">
      <c r="A1839" s="236"/>
      <c r="B1839" s="237"/>
      <c r="C1839" s="238"/>
      <c r="D1839" s="239"/>
      <c r="E1839" s="240"/>
      <c r="F1839" s="240"/>
      <c r="G1839" s="240"/>
      <c r="H1839" s="241">
        <f t="shared" si="222"/>
        <v>0</v>
      </c>
      <c r="I1839" s="242"/>
      <c r="J1839" s="243"/>
      <c r="K1839" s="243"/>
      <c r="L1839" s="244">
        <v>0.1</v>
      </c>
      <c r="M1839" s="244">
        <f t="shared" si="223"/>
        <v>0</v>
      </c>
      <c r="N1839" s="244"/>
      <c r="O1839" s="244"/>
      <c r="P1839" s="244"/>
      <c r="Q1839" s="245">
        <f t="shared" si="224"/>
        <v>0</v>
      </c>
      <c r="R1839" s="245">
        <f t="shared" si="225"/>
        <v>0</v>
      </c>
      <c r="S1839" s="246">
        <v>0.5</v>
      </c>
      <c r="T1839" s="245">
        <f t="shared" si="226"/>
        <v>0</v>
      </c>
      <c r="U1839" s="245">
        <f t="shared" si="227"/>
        <v>0</v>
      </c>
      <c r="V1839" s="247"/>
    </row>
    <row r="1840" spans="1:22" ht="15.75" x14ac:dyDescent="0.25">
      <c r="A1840" s="236"/>
      <c r="B1840" s="237"/>
      <c r="C1840" s="238"/>
      <c r="D1840" s="239"/>
      <c r="E1840" s="240"/>
      <c r="F1840" s="240"/>
      <c r="G1840" s="240"/>
      <c r="H1840" s="241">
        <f t="shared" si="222"/>
        <v>0</v>
      </c>
      <c r="I1840" s="242"/>
      <c r="J1840" s="243"/>
      <c r="K1840" s="243"/>
      <c r="L1840" s="244">
        <v>0.1</v>
      </c>
      <c r="M1840" s="244">
        <f t="shared" si="223"/>
        <v>0</v>
      </c>
      <c r="N1840" s="244"/>
      <c r="O1840" s="244"/>
      <c r="P1840" s="244"/>
      <c r="Q1840" s="245">
        <f t="shared" si="224"/>
        <v>0</v>
      </c>
      <c r="R1840" s="245">
        <f t="shared" si="225"/>
        <v>0</v>
      </c>
      <c r="S1840" s="246">
        <v>0.5</v>
      </c>
      <c r="T1840" s="245">
        <f t="shared" si="226"/>
        <v>0</v>
      </c>
      <c r="U1840" s="245">
        <f t="shared" si="227"/>
        <v>0</v>
      </c>
      <c r="V1840" s="247"/>
    </row>
    <row r="1841" spans="1:22" ht="15.75" x14ac:dyDescent="0.25">
      <c r="A1841" s="236"/>
      <c r="B1841" s="237"/>
      <c r="C1841" s="238"/>
      <c r="D1841" s="239"/>
      <c r="E1841" s="240"/>
      <c r="F1841" s="240"/>
      <c r="G1841" s="240"/>
      <c r="H1841" s="241">
        <f t="shared" si="222"/>
        <v>0</v>
      </c>
      <c r="I1841" s="242"/>
      <c r="J1841" s="243"/>
      <c r="K1841" s="243"/>
      <c r="L1841" s="244">
        <v>0.1</v>
      </c>
      <c r="M1841" s="244">
        <f t="shared" si="223"/>
        <v>0</v>
      </c>
      <c r="N1841" s="244"/>
      <c r="O1841" s="244"/>
      <c r="P1841" s="244"/>
      <c r="Q1841" s="245">
        <f t="shared" si="224"/>
        <v>0</v>
      </c>
      <c r="R1841" s="245">
        <f t="shared" si="225"/>
        <v>0</v>
      </c>
      <c r="S1841" s="246">
        <v>0.5</v>
      </c>
      <c r="T1841" s="245">
        <f t="shared" si="226"/>
        <v>0</v>
      </c>
      <c r="U1841" s="245">
        <f t="shared" si="227"/>
        <v>0</v>
      </c>
      <c r="V1841" s="247"/>
    </row>
    <row r="1842" spans="1:22" ht="15.75" x14ac:dyDescent="0.25">
      <c r="A1842" s="236"/>
      <c r="B1842" s="237"/>
      <c r="C1842" s="238"/>
      <c r="D1842" s="239"/>
      <c r="E1842" s="240"/>
      <c r="F1842" s="240"/>
      <c r="G1842" s="240"/>
      <c r="H1842" s="241">
        <f t="shared" si="222"/>
        <v>0</v>
      </c>
      <c r="I1842" s="242"/>
      <c r="J1842" s="243"/>
      <c r="K1842" s="243"/>
      <c r="L1842" s="244">
        <v>0.1</v>
      </c>
      <c r="M1842" s="244">
        <f t="shared" si="223"/>
        <v>0</v>
      </c>
      <c r="N1842" s="244"/>
      <c r="O1842" s="244"/>
      <c r="P1842" s="244"/>
      <c r="Q1842" s="245">
        <f t="shared" si="224"/>
        <v>0</v>
      </c>
      <c r="R1842" s="245">
        <f t="shared" si="225"/>
        <v>0</v>
      </c>
      <c r="S1842" s="246">
        <v>0.5</v>
      </c>
      <c r="T1842" s="245">
        <f t="shared" si="226"/>
        <v>0</v>
      </c>
      <c r="U1842" s="245">
        <f t="shared" si="227"/>
        <v>0</v>
      </c>
      <c r="V1842" s="247"/>
    </row>
    <row r="1843" spans="1:22" ht="15.75" x14ac:dyDescent="0.25">
      <c r="A1843" s="236"/>
      <c r="B1843" s="237"/>
      <c r="C1843" s="238"/>
      <c r="D1843" s="239"/>
      <c r="E1843" s="240"/>
      <c r="F1843" s="240"/>
      <c r="G1843" s="240"/>
      <c r="H1843" s="241">
        <f t="shared" si="222"/>
        <v>0</v>
      </c>
      <c r="I1843" s="242"/>
      <c r="J1843" s="243"/>
      <c r="K1843" s="243"/>
      <c r="L1843" s="244">
        <v>0.1</v>
      </c>
      <c r="M1843" s="244">
        <f t="shared" si="223"/>
        <v>0</v>
      </c>
      <c r="N1843" s="244"/>
      <c r="O1843" s="244"/>
      <c r="P1843" s="244"/>
      <c r="Q1843" s="245">
        <f t="shared" si="224"/>
        <v>0</v>
      </c>
      <c r="R1843" s="245">
        <f t="shared" si="225"/>
        <v>0</v>
      </c>
      <c r="S1843" s="246">
        <v>0.5</v>
      </c>
      <c r="T1843" s="245">
        <f t="shared" si="226"/>
        <v>0</v>
      </c>
      <c r="U1843" s="245">
        <f t="shared" si="227"/>
        <v>0</v>
      </c>
      <c r="V1843" s="247"/>
    </row>
    <row r="1844" spans="1:22" ht="15.75" x14ac:dyDescent="0.25">
      <c r="A1844" s="236"/>
      <c r="B1844" s="237"/>
      <c r="C1844" s="238"/>
      <c r="D1844" s="239"/>
      <c r="E1844" s="240"/>
      <c r="F1844" s="240"/>
      <c r="G1844" s="240"/>
      <c r="H1844" s="241">
        <f t="shared" si="222"/>
        <v>0</v>
      </c>
      <c r="I1844" s="242"/>
      <c r="J1844" s="243"/>
      <c r="K1844" s="243"/>
      <c r="L1844" s="244">
        <v>0.1</v>
      </c>
      <c r="M1844" s="244">
        <f t="shared" si="223"/>
        <v>0</v>
      </c>
      <c r="N1844" s="244"/>
      <c r="O1844" s="244"/>
      <c r="P1844" s="244"/>
      <c r="Q1844" s="245">
        <f t="shared" si="224"/>
        <v>0</v>
      </c>
      <c r="R1844" s="245">
        <f t="shared" si="225"/>
        <v>0</v>
      </c>
      <c r="S1844" s="246">
        <v>0.5</v>
      </c>
      <c r="T1844" s="245">
        <f t="shared" si="226"/>
        <v>0</v>
      </c>
      <c r="U1844" s="245">
        <f t="shared" si="227"/>
        <v>0</v>
      </c>
      <c r="V1844" s="247"/>
    </row>
    <row r="1845" spans="1:22" ht="15.75" x14ac:dyDescent="0.25">
      <c r="A1845" s="236"/>
      <c r="B1845" s="237"/>
      <c r="C1845" s="238"/>
      <c r="D1845" s="239"/>
      <c r="E1845" s="240"/>
      <c r="F1845" s="240"/>
      <c r="G1845" s="240"/>
      <c r="H1845" s="241">
        <f t="shared" si="222"/>
        <v>0</v>
      </c>
      <c r="I1845" s="242"/>
      <c r="J1845" s="243"/>
      <c r="K1845" s="243"/>
      <c r="L1845" s="244">
        <v>0.1</v>
      </c>
      <c r="M1845" s="244">
        <f t="shared" si="223"/>
        <v>0</v>
      </c>
      <c r="N1845" s="244"/>
      <c r="O1845" s="244"/>
      <c r="P1845" s="244"/>
      <c r="Q1845" s="245">
        <f t="shared" si="224"/>
        <v>0</v>
      </c>
      <c r="R1845" s="245">
        <f t="shared" si="225"/>
        <v>0</v>
      </c>
      <c r="S1845" s="246">
        <v>0.5</v>
      </c>
      <c r="T1845" s="245">
        <f t="shared" si="226"/>
        <v>0</v>
      </c>
      <c r="U1845" s="245">
        <f t="shared" si="227"/>
        <v>0</v>
      </c>
      <c r="V1845" s="247"/>
    </row>
    <row r="1846" spans="1:22" ht="15.75" x14ac:dyDescent="0.25">
      <c r="A1846" s="236"/>
      <c r="B1846" s="237"/>
      <c r="C1846" s="238"/>
      <c r="D1846" s="239"/>
      <c r="E1846" s="240"/>
      <c r="F1846" s="240"/>
      <c r="G1846" s="240"/>
      <c r="H1846" s="241">
        <f t="shared" si="222"/>
        <v>0</v>
      </c>
      <c r="I1846" s="242"/>
      <c r="J1846" s="243"/>
      <c r="K1846" s="243"/>
      <c r="L1846" s="244">
        <v>0.1</v>
      </c>
      <c r="M1846" s="244">
        <f t="shared" si="223"/>
        <v>0</v>
      </c>
      <c r="N1846" s="244"/>
      <c r="O1846" s="244"/>
      <c r="P1846" s="244"/>
      <c r="Q1846" s="245">
        <f t="shared" si="224"/>
        <v>0</v>
      </c>
      <c r="R1846" s="245">
        <f t="shared" si="225"/>
        <v>0</v>
      </c>
      <c r="S1846" s="246">
        <v>0.5</v>
      </c>
      <c r="T1846" s="245">
        <f t="shared" si="226"/>
        <v>0</v>
      </c>
      <c r="U1846" s="245">
        <f t="shared" si="227"/>
        <v>0</v>
      </c>
      <c r="V1846" s="247"/>
    </row>
    <row r="1847" spans="1:22" ht="15.75" x14ac:dyDescent="0.25">
      <c r="A1847" s="236"/>
      <c r="B1847" s="237"/>
      <c r="C1847" s="238"/>
      <c r="D1847" s="239"/>
      <c r="E1847" s="240"/>
      <c r="F1847" s="240"/>
      <c r="G1847" s="240"/>
      <c r="H1847" s="241">
        <f t="shared" si="222"/>
        <v>0</v>
      </c>
      <c r="I1847" s="242"/>
      <c r="J1847" s="243"/>
      <c r="K1847" s="243"/>
      <c r="L1847" s="244">
        <v>0.1</v>
      </c>
      <c r="M1847" s="244">
        <f t="shared" si="223"/>
        <v>0</v>
      </c>
      <c r="N1847" s="244"/>
      <c r="O1847" s="244"/>
      <c r="P1847" s="244"/>
      <c r="Q1847" s="245">
        <f t="shared" si="224"/>
        <v>0</v>
      </c>
      <c r="R1847" s="245">
        <f t="shared" si="225"/>
        <v>0</v>
      </c>
      <c r="S1847" s="246">
        <v>0.5</v>
      </c>
      <c r="T1847" s="245">
        <f t="shared" si="226"/>
        <v>0</v>
      </c>
      <c r="U1847" s="245">
        <f t="shared" si="227"/>
        <v>0</v>
      </c>
      <c r="V1847" s="247"/>
    </row>
    <row r="1848" spans="1:22" ht="15.75" x14ac:dyDescent="0.25">
      <c r="A1848" s="236"/>
      <c r="B1848" s="237"/>
      <c r="C1848" s="238"/>
      <c r="D1848" s="239"/>
      <c r="E1848" s="240"/>
      <c r="F1848" s="240"/>
      <c r="G1848" s="240"/>
      <c r="H1848" s="241">
        <f t="shared" si="222"/>
        <v>0</v>
      </c>
      <c r="I1848" s="242"/>
      <c r="J1848" s="243"/>
      <c r="K1848" s="243"/>
      <c r="L1848" s="244">
        <v>0.1</v>
      </c>
      <c r="M1848" s="244">
        <f t="shared" si="223"/>
        <v>0</v>
      </c>
      <c r="N1848" s="244"/>
      <c r="O1848" s="244"/>
      <c r="P1848" s="244"/>
      <c r="Q1848" s="245">
        <f t="shared" si="224"/>
        <v>0</v>
      </c>
      <c r="R1848" s="245">
        <f t="shared" si="225"/>
        <v>0</v>
      </c>
      <c r="S1848" s="246">
        <v>0.5</v>
      </c>
      <c r="T1848" s="245">
        <f t="shared" si="226"/>
        <v>0</v>
      </c>
      <c r="U1848" s="245">
        <f t="shared" si="227"/>
        <v>0</v>
      </c>
      <c r="V1848" s="247"/>
    </row>
    <row r="1849" spans="1:22" ht="15.75" x14ac:dyDescent="0.25">
      <c r="A1849" s="236"/>
      <c r="B1849" s="237"/>
      <c r="C1849" s="238"/>
      <c r="D1849" s="239"/>
      <c r="E1849" s="240"/>
      <c r="F1849" s="240"/>
      <c r="G1849" s="240"/>
      <c r="H1849" s="241">
        <f t="shared" si="222"/>
        <v>0</v>
      </c>
      <c r="I1849" s="242"/>
      <c r="J1849" s="243"/>
      <c r="K1849" s="243"/>
      <c r="L1849" s="244">
        <v>0.1</v>
      </c>
      <c r="M1849" s="244">
        <f t="shared" si="223"/>
        <v>0</v>
      </c>
      <c r="N1849" s="244"/>
      <c r="O1849" s="244"/>
      <c r="P1849" s="244"/>
      <c r="Q1849" s="245">
        <f t="shared" si="224"/>
        <v>0</v>
      </c>
      <c r="R1849" s="245">
        <f t="shared" si="225"/>
        <v>0</v>
      </c>
      <c r="S1849" s="246">
        <v>0.5</v>
      </c>
      <c r="T1849" s="245">
        <f t="shared" si="226"/>
        <v>0</v>
      </c>
      <c r="U1849" s="245">
        <f t="shared" si="227"/>
        <v>0</v>
      </c>
      <c r="V1849" s="247"/>
    </row>
    <row r="1850" spans="1:22" ht="15.75" x14ac:dyDescent="0.25">
      <c r="A1850" s="236"/>
      <c r="B1850" s="237"/>
      <c r="C1850" s="238"/>
      <c r="D1850" s="239"/>
      <c r="E1850" s="240"/>
      <c r="F1850" s="240"/>
      <c r="G1850" s="240"/>
      <c r="H1850" s="241">
        <f t="shared" si="222"/>
        <v>0</v>
      </c>
      <c r="I1850" s="242"/>
      <c r="J1850" s="243"/>
      <c r="K1850" s="243"/>
      <c r="L1850" s="244">
        <v>0.1</v>
      </c>
      <c r="M1850" s="244">
        <f t="shared" si="223"/>
        <v>0</v>
      </c>
      <c r="N1850" s="244"/>
      <c r="O1850" s="244"/>
      <c r="P1850" s="244"/>
      <c r="Q1850" s="245">
        <f t="shared" si="224"/>
        <v>0</v>
      </c>
      <c r="R1850" s="245">
        <f t="shared" si="225"/>
        <v>0</v>
      </c>
      <c r="S1850" s="246">
        <v>0.5</v>
      </c>
      <c r="T1850" s="245">
        <f t="shared" si="226"/>
        <v>0</v>
      </c>
      <c r="U1850" s="245">
        <f t="shared" si="227"/>
        <v>0</v>
      </c>
      <c r="V1850" s="247"/>
    </row>
    <row r="1851" spans="1:22" ht="15.75" x14ac:dyDescent="0.25">
      <c r="A1851" s="236"/>
      <c r="B1851" s="237"/>
      <c r="C1851" s="238"/>
      <c r="D1851" s="239"/>
      <c r="E1851" s="240"/>
      <c r="F1851" s="240"/>
      <c r="G1851" s="240"/>
      <c r="H1851" s="241">
        <f t="shared" si="222"/>
        <v>0</v>
      </c>
      <c r="I1851" s="242"/>
      <c r="J1851" s="243"/>
      <c r="K1851" s="243"/>
      <c r="L1851" s="244">
        <v>0.1</v>
      </c>
      <c r="M1851" s="244">
        <f t="shared" si="223"/>
        <v>0</v>
      </c>
      <c r="N1851" s="244"/>
      <c r="O1851" s="244"/>
      <c r="P1851" s="244"/>
      <c r="Q1851" s="245">
        <f t="shared" si="224"/>
        <v>0</v>
      </c>
      <c r="R1851" s="245">
        <f t="shared" si="225"/>
        <v>0</v>
      </c>
      <c r="S1851" s="246">
        <v>0.5</v>
      </c>
      <c r="T1851" s="245">
        <f t="shared" si="226"/>
        <v>0</v>
      </c>
      <c r="U1851" s="245">
        <f t="shared" si="227"/>
        <v>0</v>
      </c>
      <c r="V1851" s="247"/>
    </row>
    <row r="1852" spans="1:22" ht="15.75" x14ac:dyDescent="0.25">
      <c r="A1852" s="236"/>
      <c r="B1852" s="237"/>
      <c r="C1852" s="238"/>
      <c r="D1852" s="239"/>
      <c r="E1852" s="240"/>
      <c r="F1852" s="240"/>
      <c r="G1852" s="240"/>
      <c r="H1852" s="241">
        <f t="shared" si="222"/>
        <v>0</v>
      </c>
      <c r="I1852" s="242"/>
      <c r="J1852" s="243"/>
      <c r="K1852" s="243"/>
      <c r="L1852" s="244">
        <v>0.1</v>
      </c>
      <c r="M1852" s="244">
        <f t="shared" si="223"/>
        <v>0</v>
      </c>
      <c r="N1852" s="244"/>
      <c r="O1852" s="244"/>
      <c r="P1852" s="244"/>
      <c r="Q1852" s="245">
        <f t="shared" si="224"/>
        <v>0</v>
      </c>
      <c r="R1852" s="245">
        <f t="shared" si="225"/>
        <v>0</v>
      </c>
      <c r="S1852" s="246">
        <v>0.5</v>
      </c>
      <c r="T1852" s="245">
        <f t="shared" si="226"/>
        <v>0</v>
      </c>
      <c r="U1852" s="245">
        <f t="shared" si="227"/>
        <v>0</v>
      </c>
      <c r="V1852" s="247"/>
    </row>
    <row r="1853" spans="1:22" ht="15.75" x14ac:dyDescent="0.25">
      <c r="A1853" s="236"/>
      <c r="B1853" s="237"/>
      <c r="C1853" s="238"/>
      <c r="D1853" s="239"/>
      <c r="E1853" s="240"/>
      <c r="F1853" s="240"/>
      <c r="G1853" s="240"/>
      <c r="H1853" s="241">
        <f t="shared" ref="H1853:H1916" si="228">+E1853+F1853+G1853</f>
        <v>0</v>
      </c>
      <c r="I1853" s="242"/>
      <c r="J1853" s="243"/>
      <c r="K1853" s="243"/>
      <c r="L1853" s="244">
        <v>0.1</v>
      </c>
      <c r="M1853" s="244">
        <f t="shared" ref="M1853:M1916" si="229">+L1853*C1853</f>
        <v>0</v>
      </c>
      <c r="N1853" s="244"/>
      <c r="O1853" s="244"/>
      <c r="P1853" s="244"/>
      <c r="Q1853" s="245">
        <f t="shared" ref="Q1853:Q1916" si="230">+N1853+O1853+P1853</f>
        <v>0</v>
      </c>
      <c r="R1853" s="245">
        <f t="shared" ref="R1853:R1916" si="231">IF(+Q1853-H1853&lt;=0,0,Q1853-H1853)</f>
        <v>0</v>
      </c>
      <c r="S1853" s="246">
        <v>0.5</v>
      </c>
      <c r="T1853" s="245">
        <f t="shared" ref="T1853:T1916" si="232">+(R1853*C1853)*S1853</f>
        <v>0</v>
      </c>
      <c r="U1853" s="245">
        <f t="shared" ref="U1853:U1916" si="233">+J1853+M1853+T1853</f>
        <v>0</v>
      </c>
      <c r="V1853" s="247"/>
    </row>
    <row r="1854" spans="1:22" ht="15.75" x14ac:dyDescent="0.25">
      <c r="A1854" s="236"/>
      <c r="B1854" s="237"/>
      <c r="C1854" s="238"/>
      <c r="D1854" s="239"/>
      <c r="E1854" s="240"/>
      <c r="F1854" s="240"/>
      <c r="G1854" s="240"/>
      <c r="H1854" s="241">
        <f t="shared" si="228"/>
        <v>0</v>
      </c>
      <c r="I1854" s="242"/>
      <c r="J1854" s="243"/>
      <c r="K1854" s="243"/>
      <c r="L1854" s="244">
        <v>0.1</v>
      </c>
      <c r="M1854" s="244">
        <f t="shared" si="229"/>
        <v>0</v>
      </c>
      <c r="N1854" s="244"/>
      <c r="O1854" s="244"/>
      <c r="P1854" s="244"/>
      <c r="Q1854" s="245">
        <f t="shared" si="230"/>
        <v>0</v>
      </c>
      <c r="R1854" s="245">
        <f t="shared" si="231"/>
        <v>0</v>
      </c>
      <c r="S1854" s="246">
        <v>0.5</v>
      </c>
      <c r="T1854" s="245">
        <f t="shared" si="232"/>
        <v>0</v>
      </c>
      <c r="U1854" s="245">
        <f t="shared" si="233"/>
        <v>0</v>
      </c>
      <c r="V1854" s="247"/>
    </row>
    <row r="1855" spans="1:22" ht="15.75" x14ac:dyDescent="0.25">
      <c r="A1855" s="236"/>
      <c r="B1855" s="237"/>
      <c r="C1855" s="238"/>
      <c r="D1855" s="239"/>
      <c r="E1855" s="240"/>
      <c r="F1855" s="240"/>
      <c r="G1855" s="240"/>
      <c r="H1855" s="241">
        <f t="shared" si="228"/>
        <v>0</v>
      </c>
      <c r="I1855" s="242"/>
      <c r="J1855" s="243"/>
      <c r="K1855" s="243"/>
      <c r="L1855" s="244">
        <v>0.1</v>
      </c>
      <c r="M1855" s="244">
        <f t="shared" si="229"/>
        <v>0</v>
      </c>
      <c r="N1855" s="244"/>
      <c r="O1855" s="244"/>
      <c r="P1855" s="244"/>
      <c r="Q1855" s="245">
        <f t="shared" si="230"/>
        <v>0</v>
      </c>
      <c r="R1855" s="245">
        <f t="shared" si="231"/>
        <v>0</v>
      </c>
      <c r="S1855" s="246">
        <v>0.5</v>
      </c>
      <c r="T1855" s="245">
        <f t="shared" si="232"/>
        <v>0</v>
      </c>
      <c r="U1855" s="245">
        <f t="shared" si="233"/>
        <v>0</v>
      </c>
      <c r="V1855" s="247"/>
    </row>
    <row r="1856" spans="1:22" ht="15.75" x14ac:dyDescent="0.25">
      <c r="A1856" s="236"/>
      <c r="B1856" s="237"/>
      <c r="C1856" s="238"/>
      <c r="D1856" s="239"/>
      <c r="E1856" s="240"/>
      <c r="F1856" s="240"/>
      <c r="G1856" s="240"/>
      <c r="H1856" s="241">
        <f t="shared" si="228"/>
        <v>0</v>
      </c>
      <c r="I1856" s="242"/>
      <c r="J1856" s="243"/>
      <c r="K1856" s="243"/>
      <c r="L1856" s="244">
        <v>0.1</v>
      </c>
      <c r="M1856" s="244">
        <f t="shared" si="229"/>
        <v>0</v>
      </c>
      <c r="N1856" s="244"/>
      <c r="O1856" s="244"/>
      <c r="P1856" s="244"/>
      <c r="Q1856" s="245">
        <f t="shared" si="230"/>
        <v>0</v>
      </c>
      <c r="R1856" s="245">
        <f t="shared" si="231"/>
        <v>0</v>
      </c>
      <c r="S1856" s="246">
        <v>0.5</v>
      </c>
      <c r="T1856" s="245">
        <f t="shared" si="232"/>
        <v>0</v>
      </c>
      <c r="U1856" s="245">
        <f t="shared" si="233"/>
        <v>0</v>
      </c>
      <c r="V1856" s="247"/>
    </row>
    <row r="1857" spans="1:22" ht="15.75" x14ac:dyDescent="0.25">
      <c r="A1857" s="236"/>
      <c r="B1857" s="237"/>
      <c r="C1857" s="238"/>
      <c r="D1857" s="239"/>
      <c r="E1857" s="240"/>
      <c r="F1857" s="240"/>
      <c r="G1857" s="240"/>
      <c r="H1857" s="241">
        <f t="shared" si="228"/>
        <v>0</v>
      </c>
      <c r="I1857" s="242"/>
      <c r="J1857" s="243"/>
      <c r="K1857" s="243"/>
      <c r="L1857" s="244">
        <v>0.1</v>
      </c>
      <c r="M1857" s="244">
        <f t="shared" si="229"/>
        <v>0</v>
      </c>
      <c r="N1857" s="244"/>
      <c r="O1857" s="244"/>
      <c r="P1857" s="244"/>
      <c r="Q1857" s="245">
        <f t="shared" si="230"/>
        <v>0</v>
      </c>
      <c r="R1857" s="245">
        <f t="shared" si="231"/>
        <v>0</v>
      </c>
      <c r="S1857" s="246">
        <v>0.5</v>
      </c>
      <c r="T1857" s="245">
        <f t="shared" si="232"/>
        <v>0</v>
      </c>
      <c r="U1857" s="245">
        <f t="shared" si="233"/>
        <v>0</v>
      </c>
      <c r="V1857" s="247"/>
    </row>
    <row r="1858" spans="1:22" ht="15.75" x14ac:dyDescent="0.25">
      <c r="A1858" s="236"/>
      <c r="B1858" s="237"/>
      <c r="C1858" s="238"/>
      <c r="D1858" s="239"/>
      <c r="E1858" s="240"/>
      <c r="F1858" s="240"/>
      <c r="G1858" s="240"/>
      <c r="H1858" s="241">
        <f t="shared" si="228"/>
        <v>0</v>
      </c>
      <c r="I1858" s="242"/>
      <c r="J1858" s="243"/>
      <c r="K1858" s="243"/>
      <c r="L1858" s="244">
        <v>0.1</v>
      </c>
      <c r="M1858" s="244">
        <f t="shared" si="229"/>
        <v>0</v>
      </c>
      <c r="N1858" s="244"/>
      <c r="O1858" s="244"/>
      <c r="P1858" s="244"/>
      <c r="Q1858" s="245">
        <f t="shared" si="230"/>
        <v>0</v>
      </c>
      <c r="R1858" s="245">
        <f t="shared" si="231"/>
        <v>0</v>
      </c>
      <c r="S1858" s="246">
        <v>0.5</v>
      </c>
      <c r="T1858" s="245">
        <f t="shared" si="232"/>
        <v>0</v>
      </c>
      <c r="U1858" s="245">
        <f t="shared" si="233"/>
        <v>0</v>
      </c>
      <c r="V1858" s="247"/>
    </row>
    <row r="1859" spans="1:22" ht="15.75" x14ac:dyDescent="0.25">
      <c r="A1859" s="236"/>
      <c r="B1859" s="237"/>
      <c r="C1859" s="238"/>
      <c r="D1859" s="239"/>
      <c r="E1859" s="240"/>
      <c r="F1859" s="240"/>
      <c r="G1859" s="240"/>
      <c r="H1859" s="241">
        <f t="shared" si="228"/>
        <v>0</v>
      </c>
      <c r="I1859" s="242"/>
      <c r="J1859" s="243"/>
      <c r="K1859" s="243"/>
      <c r="L1859" s="244">
        <v>0.1</v>
      </c>
      <c r="M1859" s="244">
        <f t="shared" si="229"/>
        <v>0</v>
      </c>
      <c r="N1859" s="244"/>
      <c r="O1859" s="244"/>
      <c r="P1859" s="244"/>
      <c r="Q1859" s="245">
        <f t="shared" si="230"/>
        <v>0</v>
      </c>
      <c r="R1859" s="245">
        <f t="shared" si="231"/>
        <v>0</v>
      </c>
      <c r="S1859" s="246">
        <v>0.5</v>
      </c>
      <c r="T1859" s="245">
        <f t="shared" si="232"/>
        <v>0</v>
      </c>
      <c r="U1859" s="245">
        <f t="shared" si="233"/>
        <v>0</v>
      </c>
      <c r="V1859" s="247"/>
    </row>
    <row r="1860" spans="1:22" ht="15.75" x14ac:dyDescent="0.25">
      <c r="A1860" s="236"/>
      <c r="B1860" s="237"/>
      <c r="C1860" s="238"/>
      <c r="D1860" s="239"/>
      <c r="E1860" s="240"/>
      <c r="F1860" s="240"/>
      <c r="G1860" s="240"/>
      <c r="H1860" s="241">
        <f t="shared" si="228"/>
        <v>0</v>
      </c>
      <c r="I1860" s="242"/>
      <c r="J1860" s="243"/>
      <c r="K1860" s="243"/>
      <c r="L1860" s="244">
        <v>0.1</v>
      </c>
      <c r="M1860" s="244">
        <f t="shared" si="229"/>
        <v>0</v>
      </c>
      <c r="N1860" s="244"/>
      <c r="O1860" s="244"/>
      <c r="P1860" s="244"/>
      <c r="Q1860" s="245">
        <f t="shared" si="230"/>
        <v>0</v>
      </c>
      <c r="R1860" s="245">
        <f t="shared" si="231"/>
        <v>0</v>
      </c>
      <c r="S1860" s="246">
        <v>0.5</v>
      </c>
      <c r="T1860" s="245">
        <f t="shared" si="232"/>
        <v>0</v>
      </c>
      <c r="U1860" s="245">
        <f t="shared" si="233"/>
        <v>0</v>
      </c>
      <c r="V1860" s="247"/>
    </row>
    <row r="1861" spans="1:22" ht="15.75" x14ac:dyDescent="0.25">
      <c r="A1861" s="236"/>
      <c r="B1861" s="237"/>
      <c r="C1861" s="238"/>
      <c r="D1861" s="239"/>
      <c r="E1861" s="240"/>
      <c r="F1861" s="240"/>
      <c r="G1861" s="240"/>
      <c r="H1861" s="241">
        <f t="shared" si="228"/>
        <v>0</v>
      </c>
      <c r="I1861" s="242"/>
      <c r="J1861" s="243"/>
      <c r="K1861" s="243"/>
      <c r="L1861" s="244">
        <v>0.1</v>
      </c>
      <c r="M1861" s="244">
        <f t="shared" si="229"/>
        <v>0</v>
      </c>
      <c r="N1861" s="244"/>
      <c r="O1861" s="244"/>
      <c r="P1861" s="244"/>
      <c r="Q1861" s="245">
        <f t="shared" si="230"/>
        <v>0</v>
      </c>
      <c r="R1861" s="245">
        <f t="shared" si="231"/>
        <v>0</v>
      </c>
      <c r="S1861" s="246">
        <v>0.5</v>
      </c>
      <c r="T1861" s="245">
        <f t="shared" si="232"/>
        <v>0</v>
      </c>
      <c r="U1861" s="245">
        <f t="shared" si="233"/>
        <v>0</v>
      </c>
      <c r="V1861" s="247"/>
    </row>
    <row r="1862" spans="1:22" ht="15.75" x14ac:dyDescent="0.25">
      <c r="A1862" s="236"/>
      <c r="B1862" s="237"/>
      <c r="C1862" s="238"/>
      <c r="D1862" s="239"/>
      <c r="E1862" s="240"/>
      <c r="F1862" s="240"/>
      <c r="G1862" s="240"/>
      <c r="H1862" s="241">
        <f t="shared" si="228"/>
        <v>0</v>
      </c>
      <c r="I1862" s="242"/>
      <c r="J1862" s="243"/>
      <c r="K1862" s="243"/>
      <c r="L1862" s="244">
        <v>0.1</v>
      </c>
      <c r="M1862" s="244">
        <f t="shared" si="229"/>
        <v>0</v>
      </c>
      <c r="N1862" s="244"/>
      <c r="O1862" s="244"/>
      <c r="P1862" s="244"/>
      <c r="Q1862" s="245">
        <f t="shared" si="230"/>
        <v>0</v>
      </c>
      <c r="R1862" s="245">
        <f t="shared" si="231"/>
        <v>0</v>
      </c>
      <c r="S1862" s="246">
        <v>0.5</v>
      </c>
      <c r="T1862" s="245">
        <f t="shared" si="232"/>
        <v>0</v>
      </c>
      <c r="U1862" s="245">
        <f t="shared" si="233"/>
        <v>0</v>
      </c>
      <c r="V1862" s="247"/>
    </row>
    <row r="1863" spans="1:22" ht="15.75" x14ac:dyDescent="0.25">
      <c r="A1863" s="236"/>
      <c r="B1863" s="237"/>
      <c r="C1863" s="238"/>
      <c r="D1863" s="239"/>
      <c r="E1863" s="240"/>
      <c r="F1863" s="240"/>
      <c r="G1863" s="240"/>
      <c r="H1863" s="241">
        <f t="shared" si="228"/>
        <v>0</v>
      </c>
      <c r="I1863" s="242"/>
      <c r="J1863" s="243"/>
      <c r="K1863" s="243"/>
      <c r="L1863" s="244">
        <v>0.1</v>
      </c>
      <c r="M1863" s="244">
        <f t="shared" si="229"/>
        <v>0</v>
      </c>
      <c r="N1863" s="244"/>
      <c r="O1863" s="244"/>
      <c r="P1863" s="244"/>
      <c r="Q1863" s="245">
        <f t="shared" si="230"/>
        <v>0</v>
      </c>
      <c r="R1863" s="245">
        <f t="shared" si="231"/>
        <v>0</v>
      </c>
      <c r="S1863" s="246">
        <v>0.5</v>
      </c>
      <c r="T1863" s="245">
        <f t="shared" si="232"/>
        <v>0</v>
      </c>
      <c r="U1863" s="245">
        <f t="shared" si="233"/>
        <v>0</v>
      </c>
      <c r="V1863" s="247"/>
    </row>
    <row r="1864" spans="1:22" ht="15.75" x14ac:dyDescent="0.25">
      <c r="A1864" s="236"/>
      <c r="B1864" s="237"/>
      <c r="C1864" s="238"/>
      <c r="D1864" s="239"/>
      <c r="E1864" s="240"/>
      <c r="F1864" s="240"/>
      <c r="G1864" s="240"/>
      <c r="H1864" s="241">
        <f t="shared" si="228"/>
        <v>0</v>
      </c>
      <c r="I1864" s="242"/>
      <c r="J1864" s="243"/>
      <c r="K1864" s="243"/>
      <c r="L1864" s="244">
        <v>0.1</v>
      </c>
      <c r="M1864" s="244">
        <f t="shared" si="229"/>
        <v>0</v>
      </c>
      <c r="N1864" s="244"/>
      <c r="O1864" s="244"/>
      <c r="P1864" s="244"/>
      <c r="Q1864" s="245">
        <f t="shared" si="230"/>
        <v>0</v>
      </c>
      <c r="R1864" s="245">
        <f t="shared" si="231"/>
        <v>0</v>
      </c>
      <c r="S1864" s="246">
        <v>0.5</v>
      </c>
      <c r="T1864" s="245">
        <f t="shared" si="232"/>
        <v>0</v>
      </c>
      <c r="U1864" s="245">
        <f t="shared" si="233"/>
        <v>0</v>
      </c>
      <c r="V1864" s="247"/>
    </row>
    <row r="1865" spans="1:22" ht="15.75" x14ac:dyDescent="0.25">
      <c r="A1865" s="236"/>
      <c r="B1865" s="237"/>
      <c r="C1865" s="238"/>
      <c r="D1865" s="239"/>
      <c r="E1865" s="240"/>
      <c r="F1865" s="240"/>
      <c r="G1865" s="240"/>
      <c r="H1865" s="241">
        <f t="shared" si="228"/>
        <v>0</v>
      </c>
      <c r="I1865" s="242"/>
      <c r="J1865" s="243"/>
      <c r="K1865" s="243"/>
      <c r="L1865" s="244">
        <v>0.1</v>
      </c>
      <c r="M1865" s="244">
        <f t="shared" si="229"/>
        <v>0</v>
      </c>
      <c r="N1865" s="244"/>
      <c r="O1865" s="244"/>
      <c r="P1865" s="244"/>
      <c r="Q1865" s="245">
        <f t="shared" si="230"/>
        <v>0</v>
      </c>
      <c r="R1865" s="245">
        <f t="shared" si="231"/>
        <v>0</v>
      </c>
      <c r="S1865" s="246">
        <v>0.5</v>
      </c>
      <c r="T1865" s="245">
        <f t="shared" si="232"/>
        <v>0</v>
      </c>
      <c r="U1865" s="245">
        <f t="shared" si="233"/>
        <v>0</v>
      </c>
      <c r="V1865" s="247"/>
    </row>
    <row r="1866" spans="1:22" ht="15.75" x14ac:dyDescent="0.25">
      <c r="A1866" s="236"/>
      <c r="B1866" s="237"/>
      <c r="C1866" s="238"/>
      <c r="D1866" s="239"/>
      <c r="E1866" s="240"/>
      <c r="F1866" s="240"/>
      <c r="G1866" s="240"/>
      <c r="H1866" s="241">
        <f t="shared" si="228"/>
        <v>0</v>
      </c>
      <c r="I1866" s="242"/>
      <c r="J1866" s="243"/>
      <c r="K1866" s="243"/>
      <c r="L1866" s="244">
        <v>0.1</v>
      </c>
      <c r="M1866" s="244">
        <f t="shared" si="229"/>
        <v>0</v>
      </c>
      <c r="N1866" s="244"/>
      <c r="O1866" s="244"/>
      <c r="P1866" s="244"/>
      <c r="Q1866" s="245">
        <f t="shared" si="230"/>
        <v>0</v>
      </c>
      <c r="R1866" s="245">
        <f t="shared" si="231"/>
        <v>0</v>
      </c>
      <c r="S1866" s="246">
        <v>0.5</v>
      </c>
      <c r="T1866" s="245">
        <f t="shared" si="232"/>
        <v>0</v>
      </c>
      <c r="U1866" s="245">
        <f t="shared" si="233"/>
        <v>0</v>
      </c>
      <c r="V1866" s="247"/>
    </row>
    <row r="1867" spans="1:22" ht="15.75" x14ac:dyDescent="0.25">
      <c r="A1867" s="236"/>
      <c r="B1867" s="237"/>
      <c r="C1867" s="238"/>
      <c r="D1867" s="239"/>
      <c r="E1867" s="240"/>
      <c r="F1867" s="240"/>
      <c r="G1867" s="240"/>
      <c r="H1867" s="241">
        <f t="shared" si="228"/>
        <v>0</v>
      </c>
      <c r="I1867" s="242"/>
      <c r="J1867" s="243"/>
      <c r="K1867" s="243"/>
      <c r="L1867" s="244">
        <v>0.1</v>
      </c>
      <c r="M1867" s="244">
        <f t="shared" si="229"/>
        <v>0</v>
      </c>
      <c r="N1867" s="244"/>
      <c r="O1867" s="244"/>
      <c r="P1867" s="244"/>
      <c r="Q1867" s="245">
        <f t="shared" si="230"/>
        <v>0</v>
      </c>
      <c r="R1867" s="245">
        <f t="shared" si="231"/>
        <v>0</v>
      </c>
      <c r="S1867" s="246">
        <v>0.5</v>
      </c>
      <c r="T1867" s="245">
        <f t="shared" si="232"/>
        <v>0</v>
      </c>
      <c r="U1867" s="245">
        <f t="shared" si="233"/>
        <v>0</v>
      </c>
      <c r="V1867" s="247"/>
    </row>
    <row r="1868" spans="1:22" ht="15.75" x14ac:dyDescent="0.25">
      <c r="A1868" s="236"/>
      <c r="B1868" s="237"/>
      <c r="C1868" s="238"/>
      <c r="D1868" s="239"/>
      <c r="E1868" s="240"/>
      <c r="F1868" s="240"/>
      <c r="G1868" s="240"/>
      <c r="H1868" s="241">
        <f t="shared" si="228"/>
        <v>0</v>
      </c>
      <c r="I1868" s="242"/>
      <c r="J1868" s="243"/>
      <c r="K1868" s="243"/>
      <c r="L1868" s="244">
        <v>0.1</v>
      </c>
      <c r="M1868" s="244">
        <f t="shared" si="229"/>
        <v>0</v>
      </c>
      <c r="N1868" s="244"/>
      <c r="O1868" s="244"/>
      <c r="P1868" s="244"/>
      <c r="Q1868" s="245">
        <f t="shared" si="230"/>
        <v>0</v>
      </c>
      <c r="R1868" s="245">
        <f t="shared" si="231"/>
        <v>0</v>
      </c>
      <c r="S1868" s="246">
        <v>0.5</v>
      </c>
      <c r="T1868" s="245">
        <f t="shared" si="232"/>
        <v>0</v>
      </c>
      <c r="U1868" s="245">
        <f t="shared" si="233"/>
        <v>0</v>
      </c>
      <c r="V1868" s="247"/>
    </row>
    <row r="1869" spans="1:22" ht="15.75" x14ac:dyDescent="0.25">
      <c r="A1869" s="236"/>
      <c r="B1869" s="237"/>
      <c r="C1869" s="238"/>
      <c r="D1869" s="239"/>
      <c r="E1869" s="240"/>
      <c r="F1869" s="240"/>
      <c r="G1869" s="240"/>
      <c r="H1869" s="241">
        <f t="shared" si="228"/>
        <v>0</v>
      </c>
      <c r="I1869" s="242"/>
      <c r="J1869" s="243"/>
      <c r="K1869" s="243"/>
      <c r="L1869" s="244">
        <v>0.1</v>
      </c>
      <c r="M1869" s="244">
        <f t="shared" si="229"/>
        <v>0</v>
      </c>
      <c r="N1869" s="244"/>
      <c r="O1869" s="244"/>
      <c r="P1869" s="244"/>
      <c r="Q1869" s="245">
        <f t="shared" si="230"/>
        <v>0</v>
      </c>
      <c r="R1869" s="245">
        <f t="shared" si="231"/>
        <v>0</v>
      </c>
      <c r="S1869" s="246">
        <v>0.5</v>
      </c>
      <c r="T1869" s="245">
        <f t="shared" si="232"/>
        <v>0</v>
      </c>
      <c r="U1869" s="245">
        <f t="shared" si="233"/>
        <v>0</v>
      </c>
      <c r="V1869" s="247"/>
    </row>
    <row r="1870" spans="1:22" ht="15.75" x14ac:dyDescent="0.25">
      <c r="A1870" s="236"/>
      <c r="B1870" s="237"/>
      <c r="C1870" s="238"/>
      <c r="D1870" s="239"/>
      <c r="E1870" s="240"/>
      <c r="F1870" s="240"/>
      <c r="G1870" s="240"/>
      <c r="H1870" s="241">
        <f t="shared" si="228"/>
        <v>0</v>
      </c>
      <c r="I1870" s="242"/>
      <c r="J1870" s="243"/>
      <c r="K1870" s="243"/>
      <c r="L1870" s="244">
        <v>0.1</v>
      </c>
      <c r="M1870" s="244">
        <f t="shared" si="229"/>
        <v>0</v>
      </c>
      <c r="N1870" s="244"/>
      <c r="O1870" s="244"/>
      <c r="P1870" s="244"/>
      <c r="Q1870" s="245">
        <f t="shared" si="230"/>
        <v>0</v>
      </c>
      <c r="R1870" s="245">
        <f t="shared" si="231"/>
        <v>0</v>
      </c>
      <c r="S1870" s="246">
        <v>0.5</v>
      </c>
      <c r="T1870" s="245">
        <f t="shared" si="232"/>
        <v>0</v>
      </c>
      <c r="U1870" s="245">
        <f t="shared" si="233"/>
        <v>0</v>
      </c>
      <c r="V1870" s="247"/>
    </row>
    <row r="1871" spans="1:22" ht="15.75" x14ac:dyDescent="0.25">
      <c r="A1871" s="236"/>
      <c r="B1871" s="237"/>
      <c r="C1871" s="238"/>
      <c r="D1871" s="239"/>
      <c r="E1871" s="240"/>
      <c r="F1871" s="240"/>
      <c r="G1871" s="240"/>
      <c r="H1871" s="241">
        <f t="shared" si="228"/>
        <v>0</v>
      </c>
      <c r="I1871" s="242"/>
      <c r="J1871" s="243"/>
      <c r="K1871" s="243"/>
      <c r="L1871" s="244">
        <v>0.1</v>
      </c>
      <c r="M1871" s="244">
        <f t="shared" si="229"/>
        <v>0</v>
      </c>
      <c r="N1871" s="244"/>
      <c r="O1871" s="244"/>
      <c r="P1871" s="244"/>
      <c r="Q1871" s="245">
        <f t="shared" si="230"/>
        <v>0</v>
      </c>
      <c r="R1871" s="245">
        <f t="shared" si="231"/>
        <v>0</v>
      </c>
      <c r="S1871" s="246">
        <v>0.5</v>
      </c>
      <c r="T1871" s="245">
        <f t="shared" si="232"/>
        <v>0</v>
      </c>
      <c r="U1871" s="245">
        <f t="shared" si="233"/>
        <v>0</v>
      </c>
      <c r="V1871" s="247"/>
    </row>
    <row r="1872" spans="1:22" ht="15.75" x14ac:dyDescent="0.25">
      <c r="A1872" s="236"/>
      <c r="B1872" s="237"/>
      <c r="C1872" s="238"/>
      <c r="D1872" s="239"/>
      <c r="E1872" s="240"/>
      <c r="F1872" s="240"/>
      <c r="G1872" s="240"/>
      <c r="H1872" s="241">
        <f t="shared" si="228"/>
        <v>0</v>
      </c>
      <c r="I1872" s="242"/>
      <c r="J1872" s="243"/>
      <c r="K1872" s="243"/>
      <c r="L1872" s="244">
        <v>0.1</v>
      </c>
      <c r="M1872" s="244">
        <f t="shared" si="229"/>
        <v>0</v>
      </c>
      <c r="N1872" s="244"/>
      <c r="O1872" s="244"/>
      <c r="P1872" s="244"/>
      <c r="Q1872" s="245">
        <f t="shared" si="230"/>
        <v>0</v>
      </c>
      <c r="R1872" s="245">
        <f t="shared" si="231"/>
        <v>0</v>
      </c>
      <c r="S1872" s="246">
        <v>0.5</v>
      </c>
      <c r="T1872" s="245">
        <f t="shared" si="232"/>
        <v>0</v>
      </c>
      <c r="U1872" s="245">
        <f t="shared" si="233"/>
        <v>0</v>
      </c>
      <c r="V1872" s="247"/>
    </row>
    <row r="1873" spans="1:22" ht="15.75" x14ac:dyDescent="0.25">
      <c r="A1873" s="236"/>
      <c r="B1873" s="237"/>
      <c r="C1873" s="238"/>
      <c r="D1873" s="239"/>
      <c r="E1873" s="240"/>
      <c r="F1873" s="240"/>
      <c r="G1873" s="240"/>
      <c r="H1873" s="241">
        <f t="shared" si="228"/>
        <v>0</v>
      </c>
      <c r="I1873" s="242"/>
      <c r="J1873" s="243"/>
      <c r="K1873" s="243"/>
      <c r="L1873" s="244">
        <v>0.1</v>
      </c>
      <c r="M1873" s="244">
        <f t="shared" si="229"/>
        <v>0</v>
      </c>
      <c r="N1873" s="244"/>
      <c r="O1873" s="244"/>
      <c r="P1873" s="244"/>
      <c r="Q1873" s="245">
        <f t="shared" si="230"/>
        <v>0</v>
      </c>
      <c r="R1873" s="245">
        <f t="shared" si="231"/>
        <v>0</v>
      </c>
      <c r="S1873" s="246">
        <v>0.5</v>
      </c>
      <c r="T1873" s="245">
        <f t="shared" si="232"/>
        <v>0</v>
      </c>
      <c r="U1873" s="245">
        <f t="shared" si="233"/>
        <v>0</v>
      </c>
      <c r="V1873" s="247"/>
    </row>
    <row r="1874" spans="1:22" ht="15.75" x14ac:dyDescent="0.25">
      <c r="A1874" s="236"/>
      <c r="B1874" s="237"/>
      <c r="C1874" s="238"/>
      <c r="D1874" s="239"/>
      <c r="E1874" s="240"/>
      <c r="F1874" s="240"/>
      <c r="G1874" s="240"/>
      <c r="H1874" s="241">
        <f t="shared" si="228"/>
        <v>0</v>
      </c>
      <c r="I1874" s="242"/>
      <c r="J1874" s="243"/>
      <c r="K1874" s="243"/>
      <c r="L1874" s="244">
        <v>0.1</v>
      </c>
      <c r="M1874" s="244">
        <f t="shared" si="229"/>
        <v>0</v>
      </c>
      <c r="N1874" s="244"/>
      <c r="O1874" s="244"/>
      <c r="P1874" s="244"/>
      <c r="Q1874" s="245">
        <f t="shared" si="230"/>
        <v>0</v>
      </c>
      <c r="R1874" s="245">
        <f t="shared" si="231"/>
        <v>0</v>
      </c>
      <c r="S1874" s="246">
        <v>0.5</v>
      </c>
      <c r="T1874" s="245">
        <f t="shared" si="232"/>
        <v>0</v>
      </c>
      <c r="U1874" s="245">
        <f t="shared" si="233"/>
        <v>0</v>
      </c>
      <c r="V1874" s="247"/>
    </row>
    <row r="1875" spans="1:22" ht="15.75" x14ac:dyDescent="0.25">
      <c r="A1875" s="236"/>
      <c r="B1875" s="237"/>
      <c r="C1875" s="238"/>
      <c r="D1875" s="239"/>
      <c r="E1875" s="240"/>
      <c r="F1875" s="240"/>
      <c r="G1875" s="240"/>
      <c r="H1875" s="241">
        <f t="shared" si="228"/>
        <v>0</v>
      </c>
      <c r="I1875" s="242"/>
      <c r="J1875" s="243"/>
      <c r="K1875" s="243"/>
      <c r="L1875" s="244">
        <v>0.1</v>
      </c>
      <c r="M1875" s="244">
        <f t="shared" si="229"/>
        <v>0</v>
      </c>
      <c r="N1875" s="244"/>
      <c r="O1875" s="244"/>
      <c r="P1875" s="244"/>
      <c r="Q1875" s="245">
        <f t="shared" si="230"/>
        <v>0</v>
      </c>
      <c r="R1875" s="245">
        <f t="shared" si="231"/>
        <v>0</v>
      </c>
      <c r="S1875" s="246">
        <v>0.5</v>
      </c>
      <c r="T1875" s="245">
        <f t="shared" si="232"/>
        <v>0</v>
      </c>
      <c r="U1875" s="245">
        <f t="shared" si="233"/>
        <v>0</v>
      </c>
      <c r="V1875" s="247"/>
    </row>
    <row r="1876" spans="1:22" ht="15.75" x14ac:dyDescent="0.25">
      <c r="A1876" s="236"/>
      <c r="B1876" s="237"/>
      <c r="C1876" s="238"/>
      <c r="D1876" s="239"/>
      <c r="E1876" s="240"/>
      <c r="F1876" s="240"/>
      <c r="G1876" s="240"/>
      <c r="H1876" s="241">
        <f t="shared" si="228"/>
        <v>0</v>
      </c>
      <c r="I1876" s="242"/>
      <c r="J1876" s="243"/>
      <c r="K1876" s="243"/>
      <c r="L1876" s="244">
        <v>0.1</v>
      </c>
      <c r="M1876" s="244">
        <f t="shared" si="229"/>
        <v>0</v>
      </c>
      <c r="N1876" s="244"/>
      <c r="O1876" s="244"/>
      <c r="P1876" s="244"/>
      <c r="Q1876" s="245">
        <f t="shared" si="230"/>
        <v>0</v>
      </c>
      <c r="R1876" s="245">
        <f t="shared" si="231"/>
        <v>0</v>
      </c>
      <c r="S1876" s="246">
        <v>0.5</v>
      </c>
      <c r="T1876" s="245">
        <f t="shared" si="232"/>
        <v>0</v>
      </c>
      <c r="U1876" s="245">
        <f t="shared" si="233"/>
        <v>0</v>
      </c>
      <c r="V1876" s="247"/>
    </row>
    <row r="1877" spans="1:22" ht="15.75" x14ac:dyDescent="0.25">
      <c r="A1877" s="236"/>
      <c r="B1877" s="237"/>
      <c r="C1877" s="238"/>
      <c r="D1877" s="239"/>
      <c r="E1877" s="240"/>
      <c r="F1877" s="240"/>
      <c r="G1877" s="240"/>
      <c r="H1877" s="241">
        <f t="shared" si="228"/>
        <v>0</v>
      </c>
      <c r="I1877" s="242"/>
      <c r="J1877" s="243"/>
      <c r="K1877" s="243"/>
      <c r="L1877" s="244">
        <v>0.1</v>
      </c>
      <c r="M1877" s="244">
        <f t="shared" si="229"/>
        <v>0</v>
      </c>
      <c r="N1877" s="244"/>
      <c r="O1877" s="244"/>
      <c r="P1877" s="244"/>
      <c r="Q1877" s="245">
        <f t="shared" si="230"/>
        <v>0</v>
      </c>
      <c r="R1877" s="245">
        <f t="shared" si="231"/>
        <v>0</v>
      </c>
      <c r="S1877" s="246">
        <v>0.5</v>
      </c>
      <c r="T1877" s="245">
        <f t="shared" si="232"/>
        <v>0</v>
      </c>
      <c r="U1877" s="245">
        <f t="shared" si="233"/>
        <v>0</v>
      </c>
      <c r="V1877" s="247"/>
    </row>
    <row r="1878" spans="1:22" ht="15.75" x14ac:dyDescent="0.25">
      <c r="A1878" s="236"/>
      <c r="B1878" s="237"/>
      <c r="C1878" s="238"/>
      <c r="D1878" s="239"/>
      <c r="E1878" s="240"/>
      <c r="F1878" s="240"/>
      <c r="G1878" s="240"/>
      <c r="H1878" s="241">
        <f t="shared" si="228"/>
        <v>0</v>
      </c>
      <c r="I1878" s="242"/>
      <c r="J1878" s="243"/>
      <c r="K1878" s="243"/>
      <c r="L1878" s="244">
        <v>0.1</v>
      </c>
      <c r="M1878" s="244">
        <f t="shared" si="229"/>
        <v>0</v>
      </c>
      <c r="N1878" s="244"/>
      <c r="O1878" s="244"/>
      <c r="P1878" s="244"/>
      <c r="Q1878" s="245">
        <f t="shared" si="230"/>
        <v>0</v>
      </c>
      <c r="R1878" s="245">
        <f t="shared" si="231"/>
        <v>0</v>
      </c>
      <c r="S1878" s="246">
        <v>0.5</v>
      </c>
      <c r="T1878" s="245">
        <f t="shared" si="232"/>
        <v>0</v>
      </c>
      <c r="U1878" s="245">
        <f t="shared" si="233"/>
        <v>0</v>
      </c>
      <c r="V1878" s="247"/>
    </row>
    <row r="1879" spans="1:22" ht="15.75" x14ac:dyDescent="0.25">
      <c r="A1879" s="236"/>
      <c r="B1879" s="237"/>
      <c r="C1879" s="238"/>
      <c r="D1879" s="239"/>
      <c r="E1879" s="240"/>
      <c r="F1879" s="240"/>
      <c r="G1879" s="240"/>
      <c r="H1879" s="241">
        <f t="shared" si="228"/>
        <v>0</v>
      </c>
      <c r="I1879" s="242"/>
      <c r="J1879" s="243"/>
      <c r="K1879" s="243"/>
      <c r="L1879" s="244">
        <v>0.1</v>
      </c>
      <c r="M1879" s="244">
        <f t="shared" si="229"/>
        <v>0</v>
      </c>
      <c r="N1879" s="244"/>
      <c r="O1879" s="244"/>
      <c r="P1879" s="244"/>
      <c r="Q1879" s="245">
        <f t="shared" si="230"/>
        <v>0</v>
      </c>
      <c r="R1879" s="245">
        <f t="shared" si="231"/>
        <v>0</v>
      </c>
      <c r="S1879" s="246">
        <v>0.5</v>
      </c>
      <c r="T1879" s="245">
        <f t="shared" si="232"/>
        <v>0</v>
      </c>
      <c r="U1879" s="245">
        <f t="shared" si="233"/>
        <v>0</v>
      </c>
      <c r="V1879" s="247"/>
    </row>
    <row r="1880" spans="1:22" ht="15.75" x14ac:dyDescent="0.25">
      <c r="A1880" s="236"/>
      <c r="B1880" s="237"/>
      <c r="C1880" s="238"/>
      <c r="D1880" s="239"/>
      <c r="E1880" s="240"/>
      <c r="F1880" s="240"/>
      <c r="G1880" s="240"/>
      <c r="H1880" s="241">
        <f t="shared" si="228"/>
        <v>0</v>
      </c>
      <c r="I1880" s="242"/>
      <c r="J1880" s="243"/>
      <c r="K1880" s="243"/>
      <c r="L1880" s="244">
        <v>0.1</v>
      </c>
      <c r="M1880" s="244">
        <f t="shared" si="229"/>
        <v>0</v>
      </c>
      <c r="N1880" s="244"/>
      <c r="O1880" s="244"/>
      <c r="P1880" s="244"/>
      <c r="Q1880" s="245">
        <f t="shared" si="230"/>
        <v>0</v>
      </c>
      <c r="R1880" s="245">
        <f t="shared" si="231"/>
        <v>0</v>
      </c>
      <c r="S1880" s="246">
        <v>0.5</v>
      </c>
      <c r="T1880" s="245">
        <f t="shared" si="232"/>
        <v>0</v>
      </c>
      <c r="U1880" s="245">
        <f t="shared" si="233"/>
        <v>0</v>
      </c>
      <c r="V1880" s="247"/>
    </row>
    <row r="1881" spans="1:22" ht="15.75" x14ac:dyDescent="0.25">
      <c r="A1881" s="236"/>
      <c r="B1881" s="237"/>
      <c r="C1881" s="238"/>
      <c r="D1881" s="239"/>
      <c r="E1881" s="240"/>
      <c r="F1881" s="240"/>
      <c r="G1881" s="240"/>
      <c r="H1881" s="241">
        <f t="shared" si="228"/>
        <v>0</v>
      </c>
      <c r="I1881" s="242"/>
      <c r="J1881" s="243"/>
      <c r="K1881" s="243"/>
      <c r="L1881" s="244">
        <v>0.1</v>
      </c>
      <c r="M1881" s="244">
        <f t="shared" si="229"/>
        <v>0</v>
      </c>
      <c r="N1881" s="244"/>
      <c r="O1881" s="244"/>
      <c r="P1881" s="244"/>
      <c r="Q1881" s="245">
        <f t="shared" si="230"/>
        <v>0</v>
      </c>
      <c r="R1881" s="245">
        <f t="shared" si="231"/>
        <v>0</v>
      </c>
      <c r="S1881" s="246">
        <v>0.5</v>
      </c>
      <c r="T1881" s="245">
        <f t="shared" si="232"/>
        <v>0</v>
      </c>
      <c r="U1881" s="245">
        <f t="shared" si="233"/>
        <v>0</v>
      </c>
      <c r="V1881" s="247"/>
    </row>
    <row r="1882" spans="1:22" ht="15.75" x14ac:dyDescent="0.25">
      <c r="A1882" s="236"/>
      <c r="B1882" s="237"/>
      <c r="C1882" s="238"/>
      <c r="D1882" s="239"/>
      <c r="E1882" s="240"/>
      <c r="F1882" s="240"/>
      <c r="G1882" s="240"/>
      <c r="H1882" s="241">
        <f t="shared" si="228"/>
        <v>0</v>
      </c>
      <c r="I1882" s="242"/>
      <c r="J1882" s="243"/>
      <c r="K1882" s="243"/>
      <c r="L1882" s="244">
        <v>0.1</v>
      </c>
      <c r="M1882" s="244">
        <f t="shared" si="229"/>
        <v>0</v>
      </c>
      <c r="N1882" s="244"/>
      <c r="O1882" s="244"/>
      <c r="P1882" s="244"/>
      <c r="Q1882" s="245">
        <f t="shared" si="230"/>
        <v>0</v>
      </c>
      <c r="R1882" s="245">
        <f t="shared" si="231"/>
        <v>0</v>
      </c>
      <c r="S1882" s="246">
        <v>0.5</v>
      </c>
      <c r="T1882" s="245">
        <f t="shared" si="232"/>
        <v>0</v>
      </c>
      <c r="U1882" s="245">
        <f t="shared" si="233"/>
        <v>0</v>
      </c>
      <c r="V1882" s="247"/>
    </row>
    <row r="1883" spans="1:22" ht="15.75" x14ac:dyDescent="0.25">
      <c r="A1883" s="236"/>
      <c r="B1883" s="237"/>
      <c r="C1883" s="238"/>
      <c r="D1883" s="239"/>
      <c r="E1883" s="240"/>
      <c r="F1883" s="240"/>
      <c r="G1883" s="240"/>
      <c r="H1883" s="241">
        <f t="shared" si="228"/>
        <v>0</v>
      </c>
      <c r="I1883" s="242"/>
      <c r="J1883" s="243"/>
      <c r="K1883" s="243"/>
      <c r="L1883" s="244">
        <v>0.1</v>
      </c>
      <c r="M1883" s="244">
        <f t="shared" si="229"/>
        <v>0</v>
      </c>
      <c r="N1883" s="244"/>
      <c r="O1883" s="244"/>
      <c r="P1883" s="244"/>
      <c r="Q1883" s="245">
        <f t="shared" si="230"/>
        <v>0</v>
      </c>
      <c r="R1883" s="245">
        <f t="shared" si="231"/>
        <v>0</v>
      </c>
      <c r="S1883" s="246">
        <v>0.5</v>
      </c>
      <c r="T1883" s="245">
        <f t="shared" si="232"/>
        <v>0</v>
      </c>
      <c r="U1883" s="245">
        <f t="shared" si="233"/>
        <v>0</v>
      </c>
      <c r="V1883" s="247"/>
    </row>
    <row r="1884" spans="1:22" ht="15.75" x14ac:dyDescent="0.25">
      <c r="A1884" s="236"/>
      <c r="B1884" s="237"/>
      <c r="C1884" s="238"/>
      <c r="D1884" s="239"/>
      <c r="E1884" s="240"/>
      <c r="F1884" s="240"/>
      <c r="G1884" s="240"/>
      <c r="H1884" s="241">
        <f t="shared" si="228"/>
        <v>0</v>
      </c>
      <c r="I1884" s="242"/>
      <c r="J1884" s="243"/>
      <c r="K1884" s="243"/>
      <c r="L1884" s="244">
        <v>0.1</v>
      </c>
      <c r="M1884" s="244">
        <f t="shared" si="229"/>
        <v>0</v>
      </c>
      <c r="N1884" s="244"/>
      <c r="O1884" s="244"/>
      <c r="P1884" s="244"/>
      <c r="Q1884" s="245">
        <f t="shared" si="230"/>
        <v>0</v>
      </c>
      <c r="R1884" s="245">
        <f t="shared" si="231"/>
        <v>0</v>
      </c>
      <c r="S1884" s="246">
        <v>0.5</v>
      </c>
      <c r="T1884" s="245">
        <f t="shared" si="232"/>
        <v>0</v>
      </c>
      <c r="U1884" s="245">
        <f t="shared" si="233"/>
        <v>0</v>
      </c>
      <c r="V1884" s="247"/>
    </row>
    <row r="1885" spans="1:22" ht="15.75" x14ac:dyDescent="0.25">
      <c r="A1885" s="236"/>
      <c r="B1885" s="237"/>
      <c r="C1885" s="238"/>
      <c r="D1885" s="239"/>
      <c r="E1885" s="240"/>
      <c r="F1885" s="240"/>
      <c r="G1885" s="240"/>
      <c r="H1885" s="241">
        <f t="shared" si="228"/>
        <v>0</v>
      </c>
      <c r="I1885" s="242"/>
      <c r="J1885" s="243"/>
      <c r="K1885" s="243"/>
      <c r="L1885" s="244">
        <v>0.1</v>
      </c>
      <c r="M1885" s="244">
        <f t="shared" si="229"/>
        <v>0</v>
      </c>
      <c r="N1885" s="244"/>
      <c r="O1885" s="244"/>
      <c r="P1885" s="244"/>
      <c r="Q1885" s="245">
        <f t="shared" si="230"/>
        <v>0</v>
      </c>
      <c r="R1885" s="245">
        <f t="shared" si="231"/>
        <v>0</v>
      </c>
      <c r="S1885" s="246">
        <v>0.5</v>
      </c>
      <c r="T1885" s="245">
        <f t="shared" si="232"/>
        <v>0</v>
      </c>
      <c r="U1885" s="245">
        <f t="shared" si="233"/>
        <v>0</v>
      </c>
      <c r="V1885" s="247"/>
    </row>
    <row r="1886" spans="1:22" ht="15.75" x14ac:dyDescent="0.25">
      <c r="A1886" s="236"/>
      <c r="B1886" s="237"/>
      <c r="C1886" s="238"/>
      <c r="D1886" s="239"/>
      <c r="E1886" s="240"/>
      <c r="F1886" s="240"/>
      <c r="G1886" s="240"/>
      <c r="H1886" s="241">
        <f t="shared" si="228"/>
        <v>0</v>
      </c>
      <c r="I1886" s="242"/>
      <c r="J1886" s="243"/>
      <c r="K1886" s="243"/>
      <c r="L1886" s="244">
        <v>0.1</v>
      </c>
      <c r="M1886" s="244">
        <f t="shared" si="229"/>
        <v>0</v>
      </c>
      <c r="N1886" s="244"/>
      <c r="O1886" s="244"/>
      <c r="P1886" s="244"/>
      <c r="Q1886" s="245">
        <f t="shared" si="230"/>
        <v>0</v>
      </c>
      <c r="R1886" s="245">
        <f t="shared" si="231"/>
        <v>0</v>
      </c>
      <c r="S1886" s="246">
        <v>0.5</v>
      </c>
      <c r="T1886" s="245">
        <f t="shared" si="232"/>
        <v>0</v>
      </c>
      <c r="U1886" s="245">
        <f t="shared" si="233"/>
        <v>0</v>
      </c>
      <c r="V1886" s="247"/>
    </row>
    <row r="1887" spans="1:22" ht="15.75" x14ac:dyDescent="0.25">
      <c r="A1887" s="236"/>
      <c r="B1887" s="237"/>
      <c r="C1887" s="238"/>
      <c r="D1887" s="239"/>
      <c r="E1887" s="240"/>
      <c r="F1887" s="240"/>
      <c r="G1887" s="240"/>
      <c r="H1887" s="241">
        <f t="shared" si="228"/>
        <v>0</v>
      </c>
      <c r="I1887" s="242"/>
      <c r="J1887" s="243"/>
      <c r="K1887" s="243"/>
      <c r="L1887" s="244">
        <v>0.1</v>
      </c>
      <c r="M1887" s="244">
        <f t="shared" si="229"/>
        <v>0</v>
      </c>
      <c r="N1887" s="244"/>
      <c r="O1887" s="244"/>
      <c r="P1887" s="244"/>
      <c r="Q1887" s="245">
        <f t="shared" si="230"/>
        <v>0</v>
      </c>
      <c r="R1887" s="245">
        <f t="shared" si="231"/>
        <v>0</v>
      </c>
      <c r="S1887" s="246">
        <v>0.5</v>
      </c>
      <c r="T1887" s="245">
        <f t="shared" si="232"/>
        <v>0</v>
      </c>
      <c r="U1887" s="245">
        <f t="shared" si="233"/>
        <v>0</v>
      </c>
      <c r="V1887" s="247"/>
    </row>
    <row r="1888" spans="1:22" ht="15.75" x14ac:dyDescent="0.25">
      <c r="A1888" s="236"/>
      <c r="B1888" s="237"/>
      <c r="C1888" s="238"/>
      <c r="D1888" s="239"/>
      <c r="E1888" s="240"/>
      <c r="F1888" s="240"/>
      <c r="G1888" s="240"/>
      <c r="H1888" s="241">
        <f t="shared" si="228"/>
        <v>0</v>
      </c>
      <c r="I1888" s="242"/>
      <c r="J1888" s="243"/>
      <c r="K1888" s="243"/>
      <c r="L1888" s="244">
        <v>0.1</v>
      </c>
      <c r="M1888" s="244">
        <f t="shared" si="229"/>
        <v>0</v>
      </c>
      <c r="N1888" s="244"/>
      <c r="O1888" s="244"/>
      <c r="P1888" s="244"/>
      <c r="Q1888" s="245">
        <f t="shared" si="230"/>
        <v>0</v>
      </c>
      <c r="R1888" s="245">
        <f t="shared" si="231"/>
        <v>0</v>
      </c>
      <c r="S1888" s="246">
        <v>0.5</v>
      </c>
      <c r="T1888" s="245">
        <f t="shared" si="232"/>
        <v>0</v>
      </c>
      <c r="U1888" s="245">
        <f t="shared" si="233"/>
        <v>0</v>
      </c>
      <c r="V1888" s="247"/>
    </row>
    <row r="1889" spans="1:22" ht="15.75" x14ac:dyDescent="0.25">
      <c r="A1889" s="236"/>
      <c r="B1889" s="237"/>
      <c r="C1889" s="238"/>
      <c r="D1889" s="239"/>
      <c r="E1889" s="240"/>
      <c r="F1889" s="240"/>
      <c r="G1889" s="240"/>
      <c r="H1889" s="241">
        <f t="shared" si="228"/>
        <v>0</v>
      </c>
      <c r="I1889" s="242"/>
      <c r="J1889" s="243"/>
      <c r="K1889" s="243"/>
      <c r="L1889" s="244">
        <v>0.1</v>
      </c>
      <c r="M1889" s="244">
        <f t="shared" si="229"/>
        <v>0</v>
      </c>
      <c r="N1889" s="244"/>
      <c r="O1889" s="244"/>
      <c r="P1889" s="244"/>
      <c r="Q1889" s="245">
        <f t="shared" si="230"/>
        <v>0</v>
      </c>
      <c r="R1889" s="245">
        <f t="shared" si="231"/>
        <v>0</v>
      </c>
      <c r="S1889" s="246">
        <v>0.5</v>
      </c>
      <c r="T1889" s="245">
        <f t="shared" si="232"/>
        <v>0</v>
      </c>
      <c r="U1889" s="245">
        <f t="shared" si="233"/>
        <v>0</v>
      </c>
      <c r="V1889" s="247"/>
    </row>
    <row r="1890" spans="1:22" ht="15.75" x14ac:dyDescent="0.25">
      <c r="A1890" s="236"/>
      <c r="B1890" s="237"/>
      <c r="C1890" s="238"/>
      <c r="D1890" s="239"/>
      <c r="E1890" s="240"/>
      <c r="F1890" s="240"/>
      <c r="G1890" s="240"/>
      <c r="H1890" s="241">
        <f t="shared" si="228"/>
        <v>0</v>
      </c>
      <c r="I1890" s="242"/>
      <c r="J1890" s="243"/>
      <c r="K1890" s="243"/>
      <c r="L1890" s="244">
        <v>0.1</v>
      </c>
      <c r="M1890" s="244">
        <f t="shared" si="229"/>
        <v>0</v>
      </c>
      <c r="N1890" s="244"/>
      <c r="O1890" s="244"/>
      <c r="P1890" s="244"/>
      <c r="Q1890" s="245">
        <f t="shared" si="230"/>
        <v>0</v>
      </c>
      <c r="R1890" s="245">
        <f t="shared" si="231"/>
        <v>0</v>
      </c>
      <c r="S1890" s="246">
        <v>0.5</v>
      </c>
      <c r="T1890" s="245">
        <f t="shared" si="232"/>
        <v>0</v>
      </c>
      <c r="U1890" s="245">
        <f t="shared" si="233"/>
        <v>0</v>
      </c>
      <c r="V1890" s="247"/>
    </row>
    <row r="1891" spans="1:22" ht="15.75" x14ac:dyDescent="0.25">
      <c r="A1891" s="236"/>
      <c r="B1891" s="237"/>
      <c r="C1891" s="238"/>
      <c r="D1891" s="239"/>
      <c r="E1891" s="240"/>
      <c r="F1891" s="240"/>
      <c r="G1891" s="240"/>
      <c r="H1891" s="241">
        <f t="shared" si="228"/>
        <v>0</v>
      </c>
      <c r="I1891" s="242"/>
      <c r="J1891" s="243"/>
      <c r="K1891" s="243"/>
      <c r="L1891" s="244">
        <v>0.1</v>
      </c>
      <c r="M1891" s="244">
        <f t="shared" si="229"/>
        <v>0</v>
      </c>
      <c r="N1891" s="244"/>
      <c r="O1891" s="244"/>
      <c r="P1891" s="244"/>
      <c r="Q1891" s="245">
        <f t="shared" si="230"/>
        <v>0</v>
      </c>
      <c r="R1891" s="245">
        <f t="shared" si="231"/>
        <v>0</v>
      </c>
      <c r="S1891" s="246">
        <v>0.5</v>
      </c>
      <c r="T1891" s="245">
        <f t="shared" si="232"/>
        <v>0</v>
      </c>
      <c r="U1891" s="245">
        <f t="shared" si="233"/>
        <v>0</v>
      </c>
      <c r="V1891" s="247"/>
    </row>
    <row r="1892" spans="1:22" ht="15.75" x14ac:dyDescent="0.25">
      <c r="A1892" s="236"/>
      <c r="B1892" s="237"/>
      <c r="C1892" s="238"/>
      <c r="D1892" s="239"/>
      <c r="E1892" s="240"/>
      <c r="F1892" s="240"/>
      <c r="G1892" s="240"/>
      <c r="H1892" s="241">
        <f t="shared" si="228"/>
        <v>0</v>
      </c>
      <c r="I1892" s="242"/>
      <c r="J1892" s="243"/>
      <c r="K1892" s="243"/>
      <c r="L1892" s="244">
        <v>0.1</v>
      </c>
      <c r="M1892" s="244">
        <f t="shared" si="229"/>
        <v>0</v>
      </c>
      <c r="N1892" s="244"/>
      <c r="O1892" s="244"/>
      <c r="P1892" s="244"/>
      <c r="Q1892" s="245">
        <f t="shared" si="230"/>
        <v>0</v>
      </c>
      <c r="R1892" s="245">
        <f t="shared" si="231"/>
        <v>0</v>
      </c>
      <c r="S1892" s="246">
        <v>0.5</v>
      </c>
      <c r="T1892" s="245">
        <f t="shared" si="232"/>
        <v>0</v>
      </c>
      <c r="U1892" s="245">
        <f t="shared" si="233"/>
        <v>0</v>
      </c>
      <c r="V1892" s="247"/>
    </row>
    <row r="1893" spans="1:22" ht="15.75" x14ac:dyDescent="0.25">
      <c r="A1893" s="236"/>
      <c r="B1893" s="237"/>
      <c r="C1893" s="238"/>
      <c r="D1893" s="239"/>
      <c r="E1893" s="240"/>
      <c r="F1893" s="240"/>
      <c r="G1893" s="240"/>
      <c r="H1893" s="241">
        <f t="shared" si="228"/>
        <v>0</v>
      </c>
      <c r="I1893" s="242"/>
      <c r="J1893" s="243"/>
      <c r="K1893" s="243"/>
      <c r="L1893" s="244">
        <v>0.1</v>
      </c>
      <c r="M1893" s="244">
        <f t="shared" si="229"/>
        <v>0</v>
      </c>
      <c r="N1893" s="244"/>
      <c r="O1893" s="244"/>
      <c r="P1893" s="244"/>
      <c r="Q1893" s="245">
        <f t="shared" si="230"/>
        <v>0</v>
      </c>
      <c r="R1893" s="245">
        <f t="shared" si="231"/>
        <v>0</v>
      </c>
      <c r="S1893" s="246">
        <v>0.5</v>
      </c>
      <c r="T1893" s="245">
        <f t="shared" si="232"/>
        <v>0</v>
      </c>
      <c r="U1893" s="245">
        <f t="shared" si="233"/>
        <v>0</v>
      </c>
      <c r="V1893" s="247"/>
    </row>
    <row r="1894" spans="1:22" ht="15.75" x14ac:dyDescent="0.25">
      <c r="A1894" s="236"/>
      <c r="B1894" s="237"/>
      <c r="C1894" s="238"/>
      <c r="D1894" s="239"/>
      <c r="E1894" s="240"/>
      <c r="F1894" s="240"/>
      <c r="G1894" s="240"/>
      <c r="H1894" s="241">
        <f t="shared" si="228"/>
        <v>0</v>
      </c>
      <c r="I1894" s="242"/>
      <c r="J1894" s="243"/>
      <c r="K1894" s="243"/>
      <c r="L1894" s="244">
        <v>0.1</v>
      </c>
      <c r="M1894" s="244">
        <f t="shared" si="229"/>
        <v>0</v>
      </c>
      <c r="N1894" s="244"/>
      <c r="O1894" s="244"/>
      <c r="P1894" s="244"/>
      <c r="Q1894" s="245">
        <f t="shared" si="230"/>
        <v>0</v>
      </c>
      <c r="R1894" s="245">
        <f t="shared" si="231"/>
        <v>0</v>
      </c>
      <c r="S1894" s="246">
        <v>0.5</v>
      </c>
      <c r="T1894" s="245">
        <f t="shared" si="232"/>
        <v>0</v>
      </c>
      <c r="U1894" s="245">
        <f t="shared" si="233"/>
        <v>0</v>
      </c>
      <c r="V1894" s="247"/>
    </row>
    <row r="1895" spans="1:22" ht="15.75" x14ac:dyDescent="0.25">
      <c r="A1895" s="236"/>
      <c r="B1895" s="237"/>
      <c r="C1895" s="238"/>
      <c r="D1895" s="239"/>
      <c r="E1895" s="240"/>
      <c r="F1895" s="240"/>
      <c r="G1895" s="240"/>
      <c r="H1895" s="241">
        <f t="shared" si="228"/>
        <v>0</v>
      </c>
      <c r="I1895" s="242"/>
      <c r="J1895" s="243"/>
      <c r="K1895" s="243"/>
      <c r="L1895" s="244">
        <v>0.1</v>
      </c>
      <c r="M1895" s="244">
        <f t="shared" si="229"/>
        <v>0</v>
      </c>
      <c r="N1895" s="244"/>
      <c r="O1895" s="244"/>
      <c r="P1895" s="244"/>
      <c r="Q1895" s="245">
        <f t="shared" si="230"/>
        <v>0</v>
      </c>
      <c r="R1895" s="245">
        <f t="shared" si="231"/>
        <v>0</v>
      </c>
      <c r="S1895" s="246">
        <v>0.5</v>
      </c>
      <c r="T1895" s="245">
        <f t="shared" si="232"/>
        <v>0</v>
      </c>
      <c r="U1895" s="245">
        <f t="shared" si="233"/>
        <v>0</v>
      </c>
      <c r="V1895" s="247"/>
    </row>
    <row r="1896" spans="1:22" ht="15.75" x14ac:dyDescent="0.25">
      <c r="A1896" s="236"/>
      <c r="B1896" s="237"/>
      <c r="C1896" s="238"/>
      <c r="D1896" s="239"/>
      <c r="E1896" s="240"/>
      <c r="F1896" s="240"/>
      <c r="G1896" s="240"/>
      <c r="H1896" s="241">
        <f t="shared" si="228"/>
        <v>0</v>
      </c>
      <c r="I1896" s="242"/>
      <c r="J1896" s="243"/>
      <c r="K1896" s="243"/>
      <c r="L1896" s="244">
        <v>0.1</v>
      </c>
      <c r="M1896" s="244">
        <f t="shared" si="229"/>
        <v>0</v>
      </c>
      <c r="N1896" s="244"/>
      <c r="O1896" s="244"/>
      <c r="P1896" s="244"/>
      <c r="Q1896" s="245">
        <f t="shared" si="230"/>
        <v>0</v>
      </c>
      <c r="R1896" s="245">
        <f t="shared" si="231"/>
        <v>0</v>
      </c>
      <c r="S1896" s="246">
        <v>0.5</v>
      </c>
      <c r="T1896" s="245">
        <f t="shared" si="232"/>
        <v>0</v>
      </c>
      <c r="U1896" s="245">
        <f t="shared" si="233"/>
        <v>0</v>
      </c>
      <c r="V1896" s="247"/>
    </row>
    <row r="1897" spans="1:22" ht="15.75" x14ac:dyDescent="0.25">
      <c r="A1897" s="236"/>
      <c r="B1897" s="237"/>
      <c r="C1897" s="238"/>
      <c r="D1897" s="239"/>
      <c r="E1897" s="240"/>
      <c r="F1897" s="240"/>
      <c r="G1897" s="240"/>
      <c r="H1897" s="241">
        <f t="shared" si="228"/>
        <v>0</v>
      </c>
      <c r="I1897" s="242"/>
      <c r="J1897" s="243"/>
      <c r="K1897" s="243"/>
      <c r="L1897" s="244">
        <v>0.1</v>
      </c>
      <c r="M1897" s="244">
        <f t="shared" si="229"/>
        <v>0</v>
      </c>
      <c r="N1897" s="244"/>
      <c r="O1897" s="244"/>
      <c r="P1897" s="244"/>
      <c r="Q1897" s="245">
        <f t="shared" si="230"/>
        <v>0</v>
      </c>
      <c r="R1897" s="245">
        <f t="shared" si="231"/>
        <v>0</v>
      </c>
      <c r="S1897" s="246">
        <v>0.5</v>
      </c>
      <c r="T1897" s="245">
        <f t="shared" si="232"/>
        <v>0</v>
      </c>
      <c r="U1897" s="245">
        <f t="shared" si="233"/>
        <v>0</v>
      </c>
      <c r="V1897" s="247"/>
    </row>
    <row r="1898" spans="1:22" ht="15.75" x14ac:dyDescent="0.25">
      <c r="A1898" s="236"/>
      <c r="B1898" s="237"/>
      <c r="C1898" s="238"/>
      <c r="D1898" s="239"/>
      <c r="E1898" s="240"/>
      <c r="F1898" s="240"/>
      <c r="G1898" s="240"/>
      <c r="H1898" s="241">
        <f t="shared" si="228"/>
        <v>0</v>
      </c>
      <c r="I1898" s="242"/>
      <c r="J1898" s="243"/>
      <c r="K1898" s="243"/>
      <c r="L1898" s="244">
        <v>0.1</v>
      </c>
      <c r="M1898" s="244">
        <f t="shared" si="229"/>
        <v>0</v>
      </c>
      <c r="N1898" s="244"/>
      <c r="O1898" s="244"/>
      <c r="P1898" s="244"/>
      <c r="Q1898" s="245">
        <f t="shared" si="230"/>
        <v>0</v>
      </c>
      <c r="R1898" s="245">
        <f t="shared" si="231"/>
        <v>0</v>
      </c>
      <c r="S1898" s="246">
        <v>0.5</v>
      </c>
      <c r="T1898" s="245">
        <f t="shared" si="232"/>
        <v>0</v>
      </c>
      <c r="U1898" s="245">
        <f t="shared" si="233"/>
        <v>0</v>
      </c>
      <c r="V1898" s="247"/>
    </row>
    <row r="1899" spans="1:22" ht="15.75" x14ac:dyDescent="0.25">
      <c r="A1899" s="236"/>
      <c r="B1899" s="237"/>
      <c r="C1899" s="238"/>
      <c r="D1899" s="239"/>
      <c r="E1899" s="240"/>
      <c r="F1899" s="240"/>
      <c r="G1899" s="240"/>
      <c r="H1899" s="241">
        <f t="shared" si="228"/>
        <v>0</v>
      </c>
      <c r="I1899" s="242"/>
      <c r="J1899" s="243"/>
      <c r="K1899" s="243"/>
      <c r="L1899" s="244">
        <v>0.1</v>
      </c>
      <c r="M1899" s="244">
        <f t="shared" si="229"/>
        <v>0</v>
      </c>
      <c r="N1899" s="244"/>
      <c r="O1899" s="244"/>
      <c r="P1899" s="244"/>
      <c r="Q1899" s="245">
        <f t="shared" si="230"/>
        <v>0</v>
      </c>
      <c r="R1899" s="245">
        <f t="shared" si="231"/>
        <v>0</v>
      </c>
      <c r="S1899" s="246">
        <v>0.5</v>
      </c>
      <c r="T1899" s="245">
        <f t="shared" si="232"/>
        <v>0</v>
      </c>
      <c r="U1899" s="245">
        <f t="shared" si="233"/>
        <v>0</v>
      </c>
      <c r="V1899" s="247"/>
    </row>
    <row r="1900" spans="1:22" ht="15.75" x14ac:dyDescent="0.25">
      <c r="A1900" s="236"/>
      <c r="B1900" s="237"/>
      <c r="C1900" s="238"/>
      <c r="D1900" s="239"/>
      <c r="E1900" s="240"/>
      <c r="F1900" s="240"/>
      <c r="G1900" s="240"/>
      <c r="H1900" s="241">
        <f t="shared" si="228"/>
        <v>0</v>
      </c>
      <c r="I1900" s="242"/>
      <c r="J1900" s="243"/>
      <c r="K1900" s="243"/>
      <c r="L1900" s="244">
        <v>0.1</v>
      </c>
      <c r="M1900" s="244">
        <f t="shared" si="229"/>
        <v>0</v>
      </c>
      <c r="N1900" s="244"/>
      <c r="O1900" s="244"/>
      <c r="P1900" s="244"/>
      <c r="Q1900" s="245">
        <f t="shared" si="230"/>
        <v>0</v>
      </c>
      <c r="R1900" s="245">
        <f t="shared" si="231"/>
        <v>0</v>
      </c>
      <c r="S1900" s="246">
        <v>0.5</v>
      </c>
      <c r="T1900" s="245">
        <f t="shared" si="232"/>
        <v>0</v>
      </c>
      <c r="U1900" s="245">
        <f t="shared" si="233"/>
        <v>0</v>
      </c>
      <c r="V1900" s="247"/>
    </row>
    <row r="1901" spans="1:22" ht="15.75" x14ac:dyDescent="0.25">
      <c r="A1901" s="236"/>
      <c r="B1901" s="237"/>
      <c r="C1901" s="238"/>
      <c r="D1901" s="239"/>
      <c r="E1901" s="240"/>
      <c r="F1901" s="240"/>
      <c r="G1901" s="240"/>
      <c r="H1901" s="241">
        <f t="shared" si="228"/>
        <v>0</v>
      </c>
      <c r="I1901" s="242"/>
      <c r="J1901" s="243"/>
      <c r="K1901" s="243"/>
      <c r="L1901" s="244">
        <v>0.1</v>
      </c>
      <c r="M1901" s="244">
        <f t="shared" si="229"/>
        <v>0</v>
      </c>
      <c r="N1901" s="244"/>
      <c r="O1901" s="244"/>
      <c r="P1901" s="244"/>
      <c r="Q1901" s="245">
        <f t="shared" si="230"/>
        <v>0</v>
      </c>
      <c r="R1901" s="245">
        <f t="shared" si="231"/>
        <v>0</v>
      </c>
      <c r="S1901" s="246">
        <v>0.5</v>
      </c>
      <c r="T1901" s="245">
        <f t="shared" si="232"/>
        <v>0</v>
      </c>
      <c r="U1901" s="245">
        <f t="shared" si="233"/>
        <v>0</v>
      </c>
      <c r="V1901" s="247"/>
    </row>
    <row r="1902" spans="1:22" ht="15.75" x14ac:dyDescent="0.25">
      <c r="A1902" s="236"/>
      <c r="B1902" s="237"/>
      <c r="C1902" s="238"/>
      <c r="D1902" s="239"/>
      <c r="E1902" s="240"/>
      <c r="F1902" s="240"/>
      <c r="G1902" s="240"/>
      <c r="H1902" s="241">
        <f t="shared" si="228"/>
        <v>0</v>
      </c>
      <c r="I1902" s="242"/>
      <c r="J1902" s="243"/>
      <c r="K1902" s="243"/>
      <c r="L1902" s="244">
        <v>0.1</v>
      </c>
      <c r="M1902" s="244">
        <f t="shared" si="229"/>
        <v>0</v>
      </c>
      <c r="N1902" s="244"/>
      <c r="O1902" s="244"/>
      <c r="P1902" s="244"/>
      <c r="Q1902" s="245">
        <f t="shared" si="230"/>
        <v>0</v>
      </c>
      <c r="R1902" s="245">
        <f t="shared" si="231"/>
        <v>0</v>
      </c>
      <c r="S1902" s="246">
        <v>0.5</v>
      </c>
      <c r="T1902" s="245">
        <f t="shared" si="232"/>
        <v>0</v>
      </c>
      <c r="U1902" s="245">
        <f t="shared" si="233"/>
        <v>0</v>
      </c>
      <c r="V1902" s="247"/>
    </row>
    <row r="1903" spans="1:22" ht="15.75" x14ac:dyDescent="0.25">
      <c r="A1903" s="236"/>
      <c r="B1903" s="237"/>
      <c r="C1903" s="238"/>
      <c r="D1903" s="239"/>
      <c r="E1903" s="240"/>
      <c r="F1903" s="240"/>
      <c r="G1903" s="240"/>
      <c r="H1903" s="241">
        <f t="shared" si="228"/>
        <v>0</v>
      </c>
      <c r="I1903" s="242"/>
      <c r="J1903" s="243"/>
      <c r="K1903" s="243"/>
      <c r="L1903" s="244">
        <v>0.1</v>
      </c>
      <c r="M1903" s="244">
        <f t="shared" si="229"/>
        <v>0</v>
      </c>
      <c r="N1903" s="244"/>
      <c r="O1903" s="244"/>
      <c r="P1903" s="244"/>
      <c r="Q1903" s="245">
        <f t="shared" si="230"/>
        <v>0</v>
      </c>
      <c r="R1903" s="245">
        <f t="shared" si="231"/>
        <v>0</v>
      </c>
      <c r="S1903" s="246">
        <v>0.5</v>
      </c>
      <c r="T1903" s="245">
        <f t="shared" si="232"/>
        <v>0</v>
      </c>
      <c r="U1903" s="245">
        <f t="shared" si="233"/>
        <v>0</v>
      </c>
      <c r="V1903" s="247"/>
    </row>
    <row r="1904" spans="1:22" ht="15.75" x14ac:dyDescent="0.25">
      <c r="A1904" s="236"/>
      <c r="B1904" s="237"/>
      <c r="C1904" s="238"/>
      <c r="D1904" s="239"/>
      <c r="E1904" s="240"/>
      <c r="F1904" s="240"/>
      <c r="G1904" s="240"/>
      <c r="H1904" s="241">
        <f t="shared" si="228"/>
        <v>0</v>
      </c>
      <c r="I1904" s="242"/>
      <c r="J1904" s="243"/>
      <c r="K1904" s="243"/>
      <c r="L1904" s="244">
        <v>0.1</v>
      </c>
      <c r="M1904" s="244">
        <f t="shared" si="229"/>
        <v>0</v>
      </c>
      <c r="N1904" s="244"/>
      <c r="O1904" s="244"/>
      <c r="P1904" s="244"/>
      <c r="Q1904" s="245">
        <f t="shared" si="230"/>
        <v>0</v>
      </c>
      <c r="R1904" s="245">
        <f t="shared" si="231"/>
        <v>0</v>
      </c>
      <c r="S1904" s="246">
        <v>0.5</v>
      </c>
      <c r="T1904" s="245">
        <f t="shared" si="232"/>
        <v>0</v>
      </c>
      <c r="U1904" s="245">
        <f t="shared" si="233"/>
        <v>0</v>
      </c>
      <c r="V1904" s="247"/>
    </row>
    <row r="1905" spans="1:22" ht="15.75" x14ac:dyDescent="0.25">
      <c r="A1905" s="236"/>
      <c r="B1905" s="237"/>
      <c r="C1905" s="238"/>
      <c r="D1905" s="239"/>
      <c r="E1905" s="240"/>
      <c r="F1905" s="240"/>
      <c r="G1905" s="240"/>
      <c r="H1905" s="241">
        <f t="shared" si="228"/>
        <v>0</v>
      </c>
      <c r="I1905" s="242"/>
      <c r="J1905" s="243"/>
      <c r="K1905" s="243"/>
      <c r="L1905" s="244">
        <v>0.1</v>
      </c>
      <c r="M1905" s="244">
        <f t="shared" si="229"/>
        <v>0</v>
      </c>
      <c r="N1905" s="244"/>
      <c r="O1905" s="244"/>
      <c r="P1905" s="244"/>
      <c r="Q1905" s="245">
        <f t="shared" si="230"/>
        <v>0</v>
      </c>
      <c r="R1905" s="245">
        <f t="shared" si="231"/>
        <v>0</v>
      </c>
      <c r="S1905" s="246">
        <v>0.5</v>
      </c>
      <c r="T1905" s="245">
        <f t="shared" si="232"/>
        <v>0</v>
      </c>
      <c r="U1905" s="245">
        <f t="shared" si="233"/>
        <v>0</v>
      </c>
      <c r="V1905" s="247"/>
    </row>
    <row r="1906" spans="1:22" ht="15.75" x14ac:dyDescent="0.25">
      <c r="A1906" s="236"/>
      <c r="B1906" s="237"/>
      <c r="C1906" s="238"/>
      <c r="D1906" s="239"/>
      <c r="E1906" s="240"/>
      <c r="F1906" s="240"/>
      <c r="G1906" s="240"/>
      <c r="H1906" s="241">
        <f t="shared" si="228"/>
        <v>0</v>
      </c>
      <c r="I1906" s="242"/>
      <c r="J1906" s="243"/>
      <c r="K1906" s="243"/>
      <c r="L1906" s="244">
        <v>0.1</v>
      </c>
      <c r="M1906" s="244">
        <f t="shared" si="229"/>
        <v>0</v>
      </c>
      <c r="N1906" s="244"/>
      <c r="O1906" s="244"/>
      <c r="P1906" s="244"/>
      <c r="Q1906" s="245">
        <f t="shared" si="230"/>
        <v>0</v>
      </c>
      <c r="R1906" s="245">
        <f t="shared" si="231"/>
        <v>0</v>
      </c>
      <c r="S1906" s="246">
        <v>0.5</v>
      </c>
      <c r="T1906" s="245">
        <f t="shared" si="232"/>
        <v>0</v>
      </c>
      <c r="U1906" s="245">
        <f t="shared" si="233"/>
        <v>0</v>
      </c>
      <c r="V1906" s="247"/>
    </row>
    <row r="1907" spans="1:22" ht="15.75" x14ac:dyDescent="0.25">
      <c r="A1907" s="236"/>
      <c r="B1907" s="237"/>
      <c r="C1907" s="238"/>
      <c r="D1907" s="239"/>
      <c r="E1907" s="240"/>
      <c r="F1907" s="240"/>
      <c r="G1907" s="240"/>
      <c r="H1907" s="241">
        <f t="shared" si="228"/>
        <v>0</v>
      </c>
      <c r="I1907" s="242"/>
      <c r="J1907" s="243"/>
      <c r="K1907" s="243"/>
      <c r="L1907" s="244">
        <v>0.1</v>
      </c>
      <c r="M1907" s="244">
        <f t="shared" si="229"/>
        <v>0</v>
      </c>
      <c r="N1907" s="244"/>
      <c r="O1907" s="244"/>
      <c r="P1907" s="244"/>
      <c r="Q1907" s="245">
        <f t="shared" si="230"/>
        <v>0</v>
      </c>
      <c r="R1907" s="245">
        <f t="shared" si="231"/>
        <v>0</v>
      </c>
      <c r="S1907" s="246">
        <v>0.5</v>
      </c>
      <c r="T1907" s="245">
        <f t="shared" si="232"/>
        <v>0</v>
      </c>
      <c r="U1907" s="245">
        <f t="shared" si="233"/>
        <v>0</v>
      </c>
      <c r="V1907" s="247"/>
    </row>
    <row r="1908" spans="1:22" ht="15.75" x14ac:dyDescent="0.25">
      <c r="A1908" s="236"/>
      <c r="B1908" s="237"/>
      <c r="C1908" s="238"/>
      <c r="D1908" s="239"/>
      <c r="E1908" s="240"/>
      <c r="F1908" s="240"/>
      <c r="G1908" s="240"/>
      <c r="H1908" s="241">
        <f t="shared" si="228"/>
        <v>0</v>
      </c>
      <c r="I1908" s="242"/>
      <c r="J1908" s="243"/>
      <c r="K1908" s="243"/>
      <c r="L1908" s="244">
        <v>0.1</v>
      </c>
      <c r="M1908" s="244">
        <f t="shared" si="229"/>
        <v>0</v>
      </c>
      <c r="N1908" s="244"/>
      <c r="O1908" s="244"/>
      <c r="P1908" s="244"/>
      <c r="Q1908" s="245">
        <f t="shared" si="230"/>
        <v>0</v>
      </c>
      <c r="R1908" s="245">
        <f t="shared" si="231"/>
        <v>0</v>
      </c>
      <c r="S1908" s="246">
        <v>0.5</v>
      </c>
      <c r="T1908" s="245">
        <f t="shared" si="232"/>
        <v>0</v>
      </c>
      <c r="U1908" s="245">
        <f t="shared" si="233"/>
        <v>0</v>
      </c>
      <c r="V1908" s="247"/>
    </row>
    <row r="1909" spans="1:22" ht="15.75" x14ac:dyDescent="0.25">
      <c r="A1909" s="236"/>
      <c r="B1909" s="237"/>
      <c r="C1909" s="238"/>
      <c r="D1909" s="239"/>
      <c r="E1909" s="240"/>
      <c r="F1909" s="240"/>
      <c r="G1909" s="240"/>
      <c r="H1909" s="241">
        <f t="shared" si="228"/>
        <v>0</v>
      </c>
      <c r="I1909" s="242"/>
      <c r="J1909" s="243"/>
      <c r="K1909" s="243"/>
      <c r="L1909" s="244">
        <v>0.1</v>
      </c>
      <c r="M1909" s="244">
        <f t="shared" si="229"/>
        <v>0</v>
      </c>
      <c r="N1909" s="244"/>
      <c r="O1909" s="244"/>
      <c r="P1909" s="244"/>
      <c r="Q1909" s="245">
        <f t="shared" si="230"/>
        <v>0</v>
      </c>
      <c r="R1909" s="245">
        <f t="shared" si="231"/>
        <v>0</v>
      </c>
      <c r="S1909" s="246">
        <v>0.5</v>
      </c>
      <c r="T1909" s="245">
        <f t="shared" si="232"/>
        <v>0</v>
      </c>
      <c r="U1909" s="245">
        <f t="shared" si="233"/>
        <v>0</v>
      </c>
      <c r="V1909" s="247"/>
    </row>
    <row r="1910" spans="1:22" ht="15.75" x14ac:dyDescent="0.25">
      <c r="A1910" s="236"/>
      <c r="B1910" s="237"/>
      <c r="C1910" s="238"/>
      <c r="D1910" s="239"/>
      <c r="E1910" s="240"/>
      <c r="F1910" s="240"/>
      <c r="G1910" s="240"/>
      <c r="H1910" s="241">
        <f t="shared" si="228"/>
        <v>0</v>
      </c>
      <c r="I1910" s="242"/>
      <c r="J1910" s="243"/>
      <c r="K1910" s="243"/>
      <c r="L1910" s="244">
        <v>0.1</v>
      </c>
      <c r="M1910" s="244">
        <f t="shared" si="229"/>
        <v>0</v>
      </c>
      <c r="N1910" s="244"/>
      <c r="O1910" s="244"/>
      <c r="P1910" s="244"/>
      <c r="Q1910" s="245">
        <f t="shared" si="230"/>
        <v>0</v>
      </c>
      <c r="R1910" s="245">
        <f t="shared" si="231"/>
        <v>0</v>
      </c>
      <c r="S1910" s="246">
        <v>0.5</v>
      </c>
      <c r="T1910" s="245">
        <f t="shared" si="232"/>
        <v>0</v>
      </c>
      <c r="U1910" s="245">
        <f t="shared" si="233"/>
        <v>0</v>
      </c>
      <c r="V1910" s="247"/>
    </row>
    <row r="1911" spans="1:22" ht="15.75" x14ac:dyDescent="0.25">
      <c r="A1911" s="236"/>
      <c r="B1911" s="237"/>
      <c r="C1911" s="238"/>
      <c r="D1911" s="239"/>
      <c r="E1911" s="240"/>
      <c r="F1911" s="240"/>
      <c r="G1911" s="240"/>
      <c r="H1911" s="241">
        <f t="shared" si="228"/>
        <v>0</v>
      </c>
      <c r="I1911" s="242"/>
      <c r="J1911" s="243"/>
      <c r="K1911" s="243"/>
      <c r="L1911" s="244">
        <v>0.1</v>
      </c>
      <c r="M1911" s="244">
        <f t="shared" si="229"/>
        <v>0</v>
      </c>
      <c r="N1911" s="244"/>
      <c r="O1911" s="244"/>
      <c r="P1911" s="244"/>
      <c r="Q1911" s="245">
        <f t="shared" si="230"/>
        <v>0</v>
      </c>
      <c r="R1911" s="245">
        <f t="shared" si="231"/>
        <v>0</v>
      </c>
      <c r="S1911" s="246">
        <v>0.5</v>
      </c>
      <c r="T1911" s="245">
        <f t="shared" si="232"/>
        <v>0</v>
      </c>
      <c r="U1911" s="245">
        <f t="shared" si="233"/>
        <v>0</v>
      </c>
      <c r="V1911" s="247"/>
    </row>
    <row r="1912" spans="1:22" ht="15.75" x14ac:dyDescent="0.25">
      <c r="A1912" s="236"/>
      <c r="B1912" s="237"/>
      <c r="C1912" s="238"/>
      <c r="D1912" s="239"/>
      <c r="E1912" s="240"/>
      <c r="F1912" s="240"/>
      <c r="G1912" s="240"/>
      <c r="H1912" s="241">
        <f t="shared" si="228"/>
        <v>0</v>
      </c>
      <c r="I1912" s="242"/>
      <c r="J1912" s="243"/>
      <c r="K1912" s="243"/>
      <c r="L1912" s="244">
        <v>0.1</v>
      </c>
      <c r="M1912" s="244">
        <f t="shared" si="229"/>
        <v>0</v>
      </c>
      <c r="N1912" s="244"/>
      <c r="O1912" s="244"/>
      <c r="P1912" s="244"/>
      <c r="Q1912" s="245">
        <f t="shared" si="230"/>
        <v>0</v>
      </c>
      <c r="R1912" s="245">
        <f t="shared" si="231"/>
        <v>0</v>
      </c>
      <c r="S1912" s="246">
        <v>0.5</v>
      </c>
      <c r="T1912" s="245">
        <f t="shared" si="232"/>
        <v>0</v>
      </c>
      <c r="U1912" s="245">
        <f t="shared" si="233"/>
        <v>0</v>
      </c>
      <c r="V1912" s="247"/>
    </row>
    <row r="1913" spans="1:22" ht="15.75" x14ac:dyDescent="0.25">
      <c r="A1913" s="236"/>
      <c r="B1913" s="237"/>
      <c r="C1913" s="238"/>
      <c r="D1913" s="239"/>
      <c r="E1913" s="240"/>
      <c r="F1913" s="240"/>
      <c r="G1913" s="240"/>
      <c r="H1913" s="241">
        <f t="shared" si="228"/>
        <v>0</v>
      </c>
      <c r="I1913" s="242"/>
      <c r="J1913" s="243"/>
      <c r="K1913" s="243"/>
      <c r="L1913" s="244">
        <v>0.1</v>
      </c>
      <c r="M1913" s="244">
        <f t="shared" si="229"/>
        <v>0</v>
      </c>
      <c r="N1913" s="244"/>
      <c r="O1913" s="244"/>
      <c r="P1913" s="244"/>
      <c r="Q1913" s="245">
        <f t="shared" si="230"/>
        <v>0</v>
      </c>
      <c r="R1913" s="245">
        <f t="shared" si="231"/>
        <v>0</v>
      </c>
      <c r="S1913" s="246">
        <v>0.5</v>
      </c>
      <c r="T1913" s="245">
        <f t="shared" si="232"/>
        <v>0</v>
      </c>
      <c r="U1913" s="245">
        <f t="shared" si="233"/>
        <v>0</v>
      </c>
      <c r="V1913" s="247"/>
    </row>
    <row r="1914" spans="1:22" ht="15.75" x14ac:dyDescent="0.25">
      <c r="A1914" s="236"/>
      <c r="B1914" s="237"/>
      <c r="C1914" s="238"/>
      <c r="D1914" s="239"/>
      <c r="E1914" s="240"/>
      <c r="F1914" s="240"/>
      <c r="G1914" s="240"/>
      <c r="H1914" s="241">
        <f t="shared" si="228"/>
        <v>0</v>
      </c>
      <c r="I1914" s="242"/>
      <c r="J1914" s="243"/>
      <c r="K1914" s="243"/>
      <c r="L1914" s="244">
        <v>0.1</v>
      </c>
      <c r="M1914" s="244">
        <f t="shared" si="229"/>
        <v>0</v>
      </c>
      <c r="N1914" s="244"/>
      <c r="O1914" s="244"/>
      <c r="P1914" s="244"/>
      <c r="Q1914" s="245">
        <f t="shared" si="230"/>
        <v>0</v>
      </c>
      <c r="R1914" s="245">
        <f t="shared" si="231"/>
        <v>0</v>
      </c>
      <c r="S1914" s="246">
        <v>0.5</v>
      </c>
      <c r="T1914" s="245">
        <f t="shared" si="232"/>
        <v>0</v>
      </c>
      <c r="U1914" s="245">
        <f t="shared" si="233"/>
        <v>0</v>
      </c>
      <c r="V1914" s="247"/>
    </row>
    <row r="1915" spans="1:22" ht="15.75" x14ac:dyDescent="0.25">
      <c r="A1915" s="236"/>
      <c r="B1915" s="237"/>
      <c r="C1915" s="238"/>
      <c r="D1915" s="239"/>
      <c r="E1915" s="240"/>
      <c r="F1915" s="240"/>
      <c r="G1915" s="240"/>
      <c r="H1915" s="241">
        <f t="shared" si="228"/>
        <v>0</v>
      </c>
      <c r="I1915" s="242"/>
      <c r="J1915" s="243"/>
      <c r="K1915" s="243"/>
      <c r="L1915" s="244">
        <v>0.1</v>
      </c>
      <c r="M1915" s="244">
        <f t="shared" si="229"/>
        <v>0</v>
      </c>
      <c r="N1915" s="244"/>
      <c r="O1915" s="244"/>
      <c r="P1915" s="244"/>
      <c r="Q1915" s="245">
        <f t="shared" si="230"/>
        <v>0</v>
      </c>
      <c r="R1915" s="245">
        <f t="shared" si="231"/>
        <v>0</v>
      </c>
      <c r="S1915" s="246">
        <v>0.5</v>
      </c>
      <c r="T1915" s="245">
        <f t="shared" si="232"/>
        <v>0</v>
      </c>
      <c r="U1915" s="245">
        <f t="shared" si="233"/>
        <v>0</v>
      </c>
      <c r="V1915" s="247"/>
    </row>
    <row r="1916" spans="1:22" ht="15.75" x14ac:dyDescent="0.25">
      <c r="A1916" s="236"/>
      <c r="B1916" s="237"/>
      <c r="C1916" s="238"/>
      <c r="D1916" s="239"/>
      <c r="E1916" s="240"/>
      <c r="F1916" s="240"/>
      <c r="G1916" s="240"/>
      <c r="H1916" s="241">
        <f t="shared" si="228"/>
        <v>0</v>
      </c>
      <c r="I1916" s="242"/>
      <c r="J1916" s="243"/>
      <c r="K1916" s="243"/>
      <c r="L1916" s="244">
        <v>0.1</v>
      </c>
      <c r="M1916" s="244">
        <f t="shared" si="229"/>
        <v>0</v>
      </c>
      <c r="N1916" s="244"/>
      <c r="O1916" s="244"/>
      <c r="P1916" s="244"/>
      <c r="Q1916" s="245">
        <f t="shared" si="230"/>
        <v>0</v>
      </c>
      <c r="R1916" s="245">
        <f t="shared" si="231"/>
        <v>0</v>
      </c>
      <c r="S1916" s="246">
        <v>0.5</v>
      </c>
      <c r="T1916" s="245">
        <f t="shared" si="232"/>
        <v>0</v>
      </c>
      <c r="U1916" s="245">
        <f t="shared" si="233"/>
        <v>0</v>
      </c>
      <c r="V1916" s="247"/>
    </row>
    <row r="1917" spans="1:22" ht="15.75" x14ac:dyDescent="0.25">
      <c r="A1917" s="236"/>
      <c r="B1917" s="237"/>
      <c r="C1917" s="238"/>
      <c r="D1917" s="239"/>
      <c r="E1917" s="240"/>
      <c r="F1917" s="240"/>
      <c r="G1917" s="240"/>
      <c r="H1917" s="241">
        <f t="shared" ref="H1917:H1980" si="234">+E1917+F1917+G1917</f>
        <v>0</v>
      </c>
      <c r="I1917" s="242"/>
      <c r="J1917" s="243"/>
      <c r="K1917" s="243"/>
      <c r="L1917" s="244">
        <v>0.1</v>
      </c>
      <c r="M1917" s="244">
        <f t="shared" ref="M1917:M1980" si="235">+L1917*C1917</f>
        <v>0</v>
      </c>
      <c r="N1917" s="244"/>
      <c r="O1917" s="244"/>
      <c r="P1917" s="244"/>
      <c r="Q1917" s="245">
        <f t="shared" ref="Q1917:Q1980" si="236">+N1917+O1917+P1917</f>
        <v>0</v>
      </c>
      <c r="R1917" s="245">
        <f t="shared" ref="R1917:R1980" si="237">IF(+Q1917-H1917&lt;=0,0,Q1917-H1917)</f>
        <v>0</v>
      </c>
      <c r="S1917" s="246">
        <v>0.5</v>
      </c>
      <c r="T1917" s="245">
        <f t="shared" ref="T1917:T1980" si="238">+(R1917*C1917)*S1917</f>
        <v>0</v>
      </c>
      <c r="U1917" s="245">
        <f t="shared" ref="U1917:U1980" si="239">+J1917+M1917+T1917</f>
        <v>0</v>
      </c>
      <c r="V1917" s="247"/>
    </row>
    <row r="1918" spans="1:22" ht="15.75" x14ac:dyDescent="0.25">
      <c r="A1918" s="236"/>
      <c r="B1918" s="237"/>
      <c r="C1918" s="238"/>
      <c r="D1918" s="239"/>
      <c r="E1918" s="240"/>
      <c r="F1918" s="240"/>
      <c r="G1918" s="240"/>
      <c r="H1918" s="241">
        <f t="shared" si="234"/>
        <v>0</v>
      </c>
      <c r="I1918" s="242"/>
      <c r="J1918" s="243"/>
      <c r="K1918" s="243"/>
      <c r="L1918" s="244">
        <v>0.1</v>
      </c>
      <c r="M1918" s="244">
        <f t="shared" si="235"/>
        <v>0</v>
      </c>
      <c r="N1918" s="244"/>
      <c r="O1918" s="244"/>
      <c r="P1918" s="244"/>
      <c r="Q1918" s="245">
        <f t="shared" si="236"/>
        <v>0</v>
      </c>
      <c r="R1918" s="245">
        <f t="shared" si="237"/>
        <v>0</v>
      </c>
      <c r="S1918" s="246">
        <v>0.5</v>
      </c>
      <c r="T1918" s="245">
        <f t="shared" si="238"/>
        <v>0</v>
      </c>
      <c r="U1918" s="245">
        <f t="shared" si="239"/>
        <v>0</v>
      </c>
      <c r="V1918" s="247"/>
    </row>
    <row r="1919" spans="1:22" ht="15.75" x14ac:dyDescent="0.25">
      <c r="A1919" s="236"/>
      <c r="B1919" s="237"/>
      <c r="C1919" s="238"/>
      <c r="D1919" s="239"/>
      <c r="E1919" s="240"/>
      <c r="F1919" s="240"/>
      <c r="G1919" s="240"/>
      <c r="H1919" s="241">
        <f t="shared" si="234"/>
        <v>0</v>
      </c>
      <c r="I1919" s="242"/>
      <c r="J1919" s="243"/>
      <c r="K1919" s="243"/>
      <c r="L1919" s="244">
        <v>0.1</v>
      </c>
      <c r="M1919" s="244">
        <f t="shared" si="235"/>
        <v>0</v>
      </c>
      <c r="N1919" s="244"/>
      <c r="O1919" s="244"/>
      <c r="P1919" s="244"/>
      <c r="Q1919" s="245">
        <f t="shared" si="236"/>
        <v>0</v>
      </c>
      <c r="R1919" s="245">
        <f t="shared" si="237"/>
        <v>0</v>
      </c>
      <c r="S1919" s="246">
        <v>0.5</v>
      </c>
      <c r="T1919" s="245">
        <f t="shared" si="238"/>
        <v>0</v>
      </c>
      <c r="U1919" s="245">
        <f t="shared" si="239"/>
        <v>0</v>
      </c>
      <c r="V1919" s="247"/>
    </row>
    <row r="1920" spans="1:22" ht="15.75" x14ac:dyDescent="0.25">
      <c r="A1920" s="236"/>
      <c r="B1920" s="237"/>
      <c r="C1920" s="238"/>
      <c r="D1920" s="239"/>
      <c r="E1920" s="240"/>
      <c r="F1920" s="240"/>
      <c r="G1920" s="240"/>
      <c r="H1920" s="241">
        <f t="shared" si="234"/>
        <v>0</v>
      </c>
      <c r="I1920" s="242"/>
      <c r="J1920" s="243"/>
      <c r="K1920" s="243"/>
      <c r="L1920" s="244">
        <v>0.1</v>
      </c>
      <c r="M1920" s="244">
        <f t="shared" si="235"/>
        <v>0</v>
      </c>
      <c r="N1920" s="244"/>
      <c r="O1920" s="244"/>
      <c r="P1920" s="244"/>
      <c r="Q1920" s="245">
        <f t="shared" si="236"/>
        <v>0</v>
      </c>
      <c r="R1920" s="245">
        <f t="shared" si="237"/>
        <v>0</v>
      </c>
      <c r="S1920" s="246">
        <v>0.5</v>
      </c>
      <c r="T1920" s="245">
        <f t="shared" si="238"/>
        <v>0</v>
      </c>
      <c r="U1920" s="245">
        <f t="shared" si="239"/>
        <v>0</v>
      </c>
      <c r="V1920" s="247"/>
    </row>
    <row r="1921" spans="1:22" ht="15.75" x14ac:dyDescent="0.25">
      <c r="A1921" s="236"/>
      <c r="B1921" s="237"/>
      <c r="C1921" s="238"/>
      <c r="D1921" s="239"/>
      <c r="E1921" s="240"/>
      <c r="F1921" s="240"/>
      <c r="G1921" s="240"/>
      <c r="H1921" s="241">
        <f t="shared" si="234"/>
        <v>0</v>
      </c>
      <c r="I1921" s="242"/>
      <c r="J1921" s="243"/>
      <c r="K1921" s="243"/>
      <c r="L1921" s="244">
        <v>0.1</v>
      </c>
      <c r="M1921" s="244">
        <f t="shared" si="235"/>
        <v>0</v>
      </c>
      <c r="N1921" s="244"/>
      <c r="O1921" s="244"/>
      <c r="P1921" s="244"/>
      <c r="Q1921" s="245">
        <f t="shared" si="236"/>
        <v>0</v>
      </c>
      <c r="R1921" s="245">
        <f t="shared" si="237"/>
        <v>0</v>
      </c>
      <c r="S1921" s="246">
        <v>0.5</v>
      </c>
      <c r="T1921" s="245">
        <f t="shared" si="238"/>
        <v>0</v>
      </c>
      <c r="U1921" s="245">
        <f t="shared" si="239"/>
        <v>0</v>
      </c>
      <c r="V1921" s="247"/>
    </row>
    <row r="1922" spans="1:22" ht="15.75" x14ac:dyDescent="0.25">
      <c r="A1922" s="236"/>
      <c r="B1922" s="237"/>
      <c r="C1922" s="238"/>
      <c r="D1922" s="239"/>
      <c r="E1922" s="240"/>
      <c r="F1922" s="240"/>
      <c r="G1922" s="240"/>
      <c r="H1922" s="241">
        <f t="shared" si="234"/>
        <v>0</v>
      </c>
      <c r="I1922" s="242"/>
      <c r="J1922" s="243"/>
      <c r="K1922" s="243"/>
      <c r="L1922" s="244">
        <v>0.1</v>
      </c>
      <c r="M1922" s="244">
        <f t="shared" si="235"/>
        <v>0</v>
      </c>
      <c r="N1922" s="244"/>
      <c r="O1922" s="244"/>
      <c r="P1922" s="244"/>
      <c r="Q1922" s="245">
        <f t="shared" si="236"/>
        <v>0</v>
      </c>
      <c r="R1922" s="245">
        <f t="shared" si="237"/>
        <v>0</v>
      </c>
      <c r="S1922" s="246">
        <v>0.5</v>
      </c>
      <c r="T1922" s="245">
        <f t="shared" si="238"/>
        <v>0</v>
      </c>
      <c r="U1922" s="245">
        <f t="shared" si="239"/>
        <v>0</v>
      </c>
      <c r="V1922" s="247"/>
    </row>
    <row r="1923" spans="1:22" ht="15.75" x14ac:dyDescent="0.25">
      <c r="A1923" s="236"/>
      <c r="B1923" s="237"/>
      <c r="C1923" s="238"/>
      <c r="D1923" s="239"/>
      <c r="E1923" s="240"/>
      <c r="F1923" s="240"/>
      <c r="G1923" s="240"/>
      <c r="H1923" s="241">
        <f t="shared" si="234"/>
        <v>0</v>
      </c>
      <c r="I1923" s="242"/>
      <c r="J1923" s="243"/>
      <c r="K1923" s="243"/>
      <c r="L1923" s="244">
        <v>0.1</v>
      </c>
      <c r="M1923" s="244">
        <f t="shared" si="235"/>
        <v>0</v>
      </c>
      <c r="N1923" s="244"/>
      <c r="O1923" s="244"/>
      <c r="P1923" s="244"/>
      <c r="Q1923" s="245">
        <f t="shared" si="236"/>
        <v>0</v>
      </c>
      <c r="R1923" s="245">
        <f t="shared" si="237"/>
        <v>0</v>
      </c>
      <c r="S1923" s="246">
        <v>0.5</v>
      </c>
      <c r="T1923" s="245">
        <f t="shared" si="238"/>
        <v>0</v>
      </c>
      <c r="U1923" s="245">
        <f t="shared" si="239"/>
        <v>0</v>
      </c>
      <c r="V1923" s="247"/>
    </row>
    <row r="1924" spans="1:22" ht="15.75" x14ac:dyDescent="0.25">
      <c r="A1924" s="236"/>
      <c r="B1924" s="237"/>
      <c r="C1924" s="238"/>
      <c r="D1924" s="239"/>
      <c r="E1924" s="240"/>
      <c r="F1924" s="240"/>
      <c r="G1924" s="240"/>
      <c r="H1924" s="241">
        <f t="shared" si="234"/>
        <v>0</v>
      </c>
      <c r="I1924" s="242"/>
      <c r="J1924" s="243"/>
      <c r="K1924" s="243"/>
      <c r="L1924" s="244">
        <v>0.1</v>
      </c>
      <c r="M1924" s="244">
        <f t="shared" si="235"/>
        <v>0</v>
      </c>
      <c r="N1924" s="244"/>
      <c r="O1924" s="244"/>
      <c r="P1924" s="244"/>
      <c r="Q1924" s="245">
        <f t="shared" si="236"/>
        <v>0</v>
      </c>
      <c r="R1924" s="245">
        <f t="shared" si="237"/>
        <v>0</v>
      </c>
      <c r="S1924" s="246">
        <v>0.5</v>
      </c>
      <c r="T1924" s="245">
        <f t="shared" si="238"/>
        <v>0</v>
      </c>
      <c r="U1924" s="245">
        <f t="shared" si="239"/>
        <v>0</v>
      </c>
      <c r="V1924" s="247"/>
    </row>
    <row r="1925" spans="1:22" ht="15.75" x14ac:dyDescent="0.25">
      <c r="A1925" s="236"/>
      <c r="B1925" s="237"/>
      <c r="C1925" s="238"/>
      <c r="D1925" s="239"/>
      <c r="E1925" s="240"/>
      <c r="F1925" s="240"/>
      <c r="G1925" s="240"/>
      <c r="H1925" s="241">
        <f t="shared" si="234"/>
        <v>0</v>
      </c>
      <c r="I1925" s="242"/>
      <c r="J1925" s="243"/>
      <c r="K1925" s="243"/>
      <c r="L1925" s="244">
        <v>0.1</v>
      </c>
      <c r="M1925" s="244">
        <f t="shared" si="235"/>
        <v>0</v>
      </c>
      <c r="N1925" s="244"/>
      <c r="O1925" s="244"/>
      <c r="P1925" s="244"/>
      <c r="Q1925" s="245">
        <f t="shared" si="236"/>
        <v>0</v>
      </c>
      <c r="R1925" s="245">
        <f t="shared" si="237"/>
        <v>0</v>
      </c>
      <c r="S1925" s="246">
        <v>0.5</v>
      </c>
      <c r="T1925" s="245">
        <f t="shared" si="238"/>
        <v>0</v>
      </c>
      <c r="U1925" s="245">
        <f t="shared" si="239"/>
        <v>0</v>
      </c>
      <c r="V1925" s="247"/>
    </row>
    <row r="1926" spans="1:22" ht="15.75" x14ac:dyDescent="0.25">
      <c r="A1926" s="236"/>
      <c r="B1926" s="237"/>
      <c r="C1926" s="238"/>
      <c r="D1926" s="239"/>
      <c r="E1926" s="240"/>
      <c r="F1926" s="240"/>
      <c r="G1926" s="240"/>
      <c r="H1926" s="241">
        <f t="shared" si="234"/>
        <v>0</v>
      </c>
      <c r="I1926" s="242"/>
      <c r="J1926" s="243"/>
      <c r="K1926" s="243"/>
      <c r="L1926" s="244">
        <v>0.1</v>
      </c>
      <c r="M1926" s="244">
        <f t="shared" si="235"/>
        <v>0</v>
      </c>
      <c r="N1926" s="244"/>
      <c r="O1926" s="244"/>
      <c r="P1926" s="244"/>
      <c r="Q1926" s="245">
        <f t="shared" si="236"/>
        <v>0</v>
      </c>
      <c r="R1926" s="245">
        <f t="shared" si="237"/>
        <v>0</v>
      </c>
      <c r="S1926" s="246">
        <v>0.5</v>
      </c>
      <c r="T1926" s="245">
        <f t="shared" si="238"/>
        <v>0</v>
      </c>
      <c r="U1926" s="245">
        <f t="shared" si="239"/>
        <v>0</v>
      </c>
      <c r="V1926" s="247"/>
    </row>
    <row r="1927" spans="1:22" ht="15.75" x14ac:dyDescent="0.25">
      <c r="A1927" s="236"/>
      <c r="B1927" s="237"/>
      <c r="C1927" s="238"/>
      <c r="D1927" s="239"/>
      <c r="E1927" s="240"/>
      <c r="F1927" s="240"/>
      <c r="G1927" s="240"/>
      <c r="H1927" s="241">
        <f t="shared" si="234"/>
        <v>0</v>
      </c>
      <c r="I1927" s="242"/>
      <c r="J1927" s="243"/>
      <c r="K1927" s="243"/>
      <c r="L1927" s="244">
        <v>0.1</v>
      </c>
      <c r="M1927" s="244">
        <f t="shared" si="235"/>
        <v>0</v>
      </c>
      <c r="N1927" s="244"/>
      <c r="O1927" s="244"/>
      <c r="P1927" s="244"/>
      <c r="Q1927" s="245">
        <f t="shared" si="236"/>
        <v>0</v>
      </c>
      <c r="R1927" s="245">
        <f t="shared" si="237"/>
        <v>0</v>
      </c>
      <c r="S1927" s="246">
        <v>0.5</v>
      </c>
      <c r="T1927" s="245">
        <f t="shared" si="238"/>
        <v>0</v>
      </c>
      <c r="U1927" s="245">
        <f t="shared" si="239"/>
        <v>0</v>
      </c>
      <c r="V1927" s="247"/>
    </row>
    <row r="1928" spans="1:22" ht="15.75" x14ac:dyDescent="0.25">
      <c r="A1928" s="236"/>
      <c r="B1928" s="237"/>
      <c r="C1928" s="238"/>
      <c r="D1928" s="239"/>
      <c r="E1928" s="240"/>
      <c r="F1928" s="240"/>
      <c r="G1928" s="240"/>
      <c r="H1928" s="241">
        <f t="shared" si="234"/>
        <v>0</v>
      </c>
      <c r="I1928" s="242"/>
      <c r="J1928" s="243"/>
      <c r="K1928" s="243"/>
      <c r="L1928" s="244">
        <v>0.1</v>
      </c>
      <c r="M1928" s="244">
        <f t="shared" si="235"/>
        <v>0</v>
      </c>
      <c r="N1928" s="244"/>
      <c r="O1928" s="244"/>
      <c r="P1928" s="244"/>
      <c r="Q1928" s="245">
        <f t="shared" si="236"/>
        <v>0</v>
      </c>
      <c r="R1928" s="245">
        <f t="shared" si="237"/>
        <v>0</v>
      </c>
      <c r="S1928" s="246">
        <v>0.5</v>
      </c>
      <c r="T1928" s="245">
        <f t="shared" si="238"/>
        <v>0</v>
      </c>
      <c r="U1928" s="245">
        <f t="shared" si="239"/>
        <v>0</v>
      </c>
      <c r="V1928" s="247"/>
    </row>
    <row r="1929" spans="1:22" ht="15.75" x14ac:dyDescent="0.25">
      <c r="A1929" s="236"/>
      <c r="B1929" s="237"/>
      <c r="C1929" s="238"/>
      <c r="D1929" s="239"/>
      <c r="E1929" s="240"/>
      <c r="F1929" s="240"/>
      <c r="G1929" s="240"/>
      <c r="H1929" s="241">
        <f t="shared" si="234"/>
        <v>0</v>
      </c>
      <c r="I1929" s="242"/>
      <c r="J1929" s="243"/>
      <c r="K1929" s="243"/>
      <c r="L1929" s="244">
        <v>0.1</v>
      </c>
      <c r="M1929" s="244">
        <f t="shared" si="235"/>
        <v>0</v>
      </c>
      <c r="N1929" s="244"/>
      <c r="O1929" s="244"/>
      <c r="P1929" s="244"/>
      <c r="Q1929" s="245">
        <f t="shared" si="236"/>
        <v>0</v>
      </c>
      <c r="R1929" s="245">
        <f t="shared" si="237"/>
        <v>0</v>
      </c>
      <c r="S1929" s="246">
        <v>0.5</v>
      </c>
      <c r="T1929" s="245">
        <f t="shared" si="238"/>
        <v>0</v>
      </c>
      <c r="U1929" s="245">
        <f t="shared" si="239"/>
        <v>0</v>
      </c>
      <c r="V1929" s="247"/>
    </row>
    <row r="1930" spans="1:22" ht="15.75" x14ac:dyDescent="0.25">
      <c r="A1930" s="236"/>
      <c r="B1930" s="237"/>
      <c r="C1930" s="238"/>
      <c r="D1930" s="239"/>
      <c r="E1930" s="240"/>
      <c r="F1930" s="240"/>
      <c r="G1930" s="240"/>
      <c r="H1930" s="241">
        <f t="shared" si="234"/>
        <v>0</v>
      </c>
      <c r="I1930" s="242"/>
      <c r="J1930" s="243"/>
      <c r="K1930" s="243"/>
      <c r="L1930" s="244">
        <v>0.1</v>
      </c>
      <c r="M1930" s="244">
        <f t="shared" si="235"/>
        <v>0</v>
      </c>
      <c r="N1930" s="244"/>
      <c r="O1930" s="244"/>
      <c r="P1930" s="244"/>
      <c r="Q1930" s="245">
        <f t="shared" si="236"/>
        <v>0</v>
      </c>
      <c r="R1930" s="245">
        <f t="shared" si="237"/>
        <v>0</v>
      </c>
      <c r="S1930" s="246">
        <v>0.5</v>
      </c>
      <c r="T1930" s="245">
        <f t="shared" si="238"/>
        <v>0</v>
      </c>
      <c r="U1930" s="245">
        <f t="shared" si="239"/>
        <v>0</v>
      </c>
      <c r="V1930" s="247"/>
    </row>
    <row r="1931" spans="1:22" ht="15.75" x14ac:dyDescent="0.25">
      <c r="A1931" s="236"/>
      <c r="B1931" s="237"/>
      <c r="C1931" s="238"/>
      <c r="D1931" s="239"/>
      <c r="E1931" s="240"/>
      <c r="F1931" s="240"/>
      <c r="G1931" s="240"/>
      <c r="H1931" s="241">
        <f t="shared" si="234"/>
        <v>0</v>
      </c>
      <c r="I1931" s="242"/>
      <c r="J1931" s="243"/>
      <c r="K1931" s="243"/>
      <c r="L1931" s="244">
        <v>0.1</v>
      </c>
      <c r="M1931" s="244">
        <f t="shared" si="235"/>
        <v>0</v>
      </c>
      <c r="N1931" s="244"/>
      <c r="O1931" s="244"/>
      <c r="P1931" s="244"/>
      <c r="Q1931" s="245">
        <f t="shared" si="236"/>
        <v>0</v>
      </c>
      <c r="R1931" s="245">
        <f t="shared" si="237"/>
        <v>0</v>
      </c>
      <c r="S1931" s="246">
        <v>0.5</v>
      </c>
      <c r="T1931" s="245">
        <f t="shared" si="238"/>
        <v>0</v>
      </c>
      <c r="U1931" s="245">
        <f t="shared" si="239"/>
        <v>0</v>
      </c>
      <c r="V1931" s="247"/>
    </row>
    <row r="1932" spans="1:22" ht="15.75" x14ac:dyDescent="0.25">
      <c r="A1932" s="236"/>
      <c r="B1932" s="237"/>
      <c r="C1932" s="238"/>
      <c r="D1932" s="239"/>
      <c r="E1932" s="240"/>
      <c r="F1932" s="240"/>
      <c r="G1932" s="240"/>
      <c r="H1932" s="241">
        <f t="shared" si="234"/>
        <v>0</v>
      </c>
      <c r="I1932" s="242"/>
      <c r="J1932" s="243"/>
      <c r="K1932" s="243"/>
      <c r="L1932" s="244">
        <v>0.1</v>
      </c>
      <c r="M1932" s="244">
        <f t="shared" si="235"/>
        <v>0</v>
      </c>
      <c r="N1932" s="244"/>
      <c r="O1932" s="244"/>
      <c r="P1932" s="244"/>
      <c r="Q1932" s="245">
        <f t="shared" si="236"/>
        <v>0</v>
      </c>
      <c r="R1932" s="245">
        <f t="shared" si="237"/>
        <v>0</v>
      </c>
      <c r="S1932" s="246">
        <v>0.5</v>
      </c>
      <c r="T1932" s="245">
        <f t="shared" si="238"/>
        <v>0</v>
      </c>
      <c r="U1932" s="245">
        <f t="shared" si="239"/>
        <v>0</v>
      </c>
      <c r="V1932" s="247"/>
    </row>
    <row r="1933" spans="1:22" ht="15.75" x14ac:dyDescent="0.25">
      <c r="A1933" s="236"/>
      <c r="B1933" s="237"/>
      <c r="C1933" s="238"/>
      <c r="D1933" s="239"/>
      <c r="E1933" s="240"/>
      <c r="F1933" s="240"/>
      <c r="G1933" s="240"/>
      <c r="H1933" s="241">
        <f t="shared" si="234"/>
        <v>0</v>
      </c>
      <c r="I1933" s="242"/>
      <c r="J1933" s="243"/>
      <c r="K1933" s="243"/>
      <c r="L1933" s="244">
        <v>0.1</v>
      </c>
      <c r="M1933" s="244">
        <f t="shared" si="235"/>
        <v>0</v>
      </c>
      <c r="N1933" s="244"/>
      <c r="O1933" s="244"/>
      <c r="P1933" s="244"/>
      <c r="Q1933" s="245">
        <f t="shared" si="236"/>
        <v>0</v>
      </c>
      <c r="R1933" s="245">
        <f t="shared" si="237"/>
        <v>0</v>
      </c>
      <c r="S1933" s="246">
        <v>0.5</v>
      </c>
      <c r="T1933" s="245">
        <f t="shared" si="238"/>
        <v>0</v>
      </c>
      <c r="U1933" s="245">
        <f t="shared" si="239"/>
        <v>0</v>
      </c>
      <c r="V1933" s="247"/>
    </row>
    <row r="1934" spans="1:22" ht="15.75" x14ac:dyDescent="0.25">
      <c r="A1934" s="236"/>
      <c r="B1934" s="237"/>
      <c r="C1934" s="238"/>
      <c r="D1934" s="239"/>
      <c r="E1934" s="240"/>
      <c r="F1934" s="240"/>
      <c r="G1934" s="240"/>
      <c r="H1934" s="241">
        <f t="shared" si="234"/>
        <v>0</v>
      </c>
      <c r="I1934" s="242"/>
      <c r="J1934" s="243"/>
      <c r="K1934" s="243"/>
      <c r="L1934" s="244">
        <v>0.1</v>
      </c>
      <c r="M1934" s="244">
        <f t="shared" si="235"/>
        <v>0</v>
      </c>
      <c r="N1934" s="244"/>
      <c r="O1934" s="244"/>
      <c r="P1934" s="244"/>
      <c r="Q1934" s="245">
        <f t="shared" si="236"/>
        <v>0</v>
      </c>
      <c r="R1934" s="245">
        <f t="shared" si="237"/>
        <v>0</v>
      </c>
      <c r="S1934" s="246">
        <v>0.5</v>
      </c>
      <c r="T1934" s="245">
        <f t="shared" si="238"/>
        <v>0</v>
      </c>
      <c r="U1934" s="245">
        <f t="shared" si="239"/>
        <v>0</v>
      </c>
      <c r="V1934" s="247"/>
    </row>
    <row r="1935" spans="1:22" ht="15.75" x14ac:dyDescent="0.25">
      <c r="A1935" s="236"/>
      <c r="B1935" s="237"/>
      <c r="C1935" s="238"/>
      <c r="D1935" s="239"/>
      <c r="E1935" s="240"/>
      <c r="F1935" s="240"/>
      <c r="G1935" s="240"/>
      <c r="H1935" s="241">
        <f t="shared" si="234"/>
        <v>0</v>
      </c>
      <c r="I1935" s="242"/>
      <c r="J1935" s="243"/>
      <c r="K1935" s="243"/>
      <c r="L1935" s="244">
        <v>0.1</v>
      </c>
      <c r="M1935" s="244">
        <f t="shared" si="235"/>
        <v>0</v>
      </c>
      <c r="N1935" s="244"/>
      <c r="O1935" s="244"/>
      <c r="P1935" s="244"/>
      <c r="Q1935" s="245">
        <f t="shared" si="236"/>
        <v>0</v>
      </c>
      <c r="R1935" s="245">
        <f t="shared" si="237"/>
        <v>0</v>
      </c>
      <c r="S1935" s="246">
        <v>0.5</v>
      </c>
      <c r="T1935" s="245">
        <f t="shared" si="238"/>
        <v>0</v>
      </c>
      <c r="U1935" s="245">
        <f t="shared" si="239"/>
        <v>0</v>
      </c>
      <c r="V1935" s="247"/>
    </row>
    <row r="1936" spans="1:22" ht="15.75" x14ac:dyDescent="0.25">
      <c r="A1936" s="236"/>
      <c r="B1936" s="237"/>
      <c r="C1936" s="238"/>
      <c r="D1936" s="239"/>
      <c r="E1936" s="240"/>
      <c r="F1936" s="240"/>
      <c r="G1936" s="240"/>
      <c r="H1936" s="241">
        <f t="shared" si="234"/>
        <v>0</v>
      </c>
      <c r="I1936" s="242"/>
      <c r="J1936" s="243"/>
      <c r="K1936" s="243"/>
      <c r="L1936" s="244">
        <v>0.1</v>
      </c>
      <c r="M1936" s="244">
        <f t="shared" si="235"/>
        <v>0</v>
      </c>
      <c r="N1936" s="244"/>
      <c r="O1936" s="244"/>
      <c r="P1936" s="244"/>
      <c r="Q1936" s="245">
        <f t="shared" si="236"/>
        <v>0</v>
      </c>
      <c r="R1936" s="245">
        <f t="shared" si="237"/>
        <v>0</v>
      </c>
      <c r="S1936" s="246">
        <v>0.5</v>
      </c>
      <c r="T1936" s="245">
        <f t="shared" si="238"/>
        <v>0</v>
      </c>
      <c r="U1936" s="245">
        <f t="shared" si="239"/>
        <v>0</v>
      </c>
      <c r="V1936" s="247"/>
    </row>
    <row r="1937" spans="1:22" ht="15.75" x14ac:dyDescent="0.25">
      <c r="A1937" s="236"/>
      <c r="B1937" s="237"/>
      <c r="C1937" s="238"/>
      <c r="D1937" s="239"/>
      <c r="E1937" s="240"/>
      <c r="F1937" s="240"/>
      <c r="G1937" s="240"/>
      <c r="H1937" s="241">
        <f t="shared" si="234"/>
        <v>0</v>
      </c>
      <c r="I1937" s="242"/>
      <c r="J1937" s="243"/>
      <c r="K1937" s="243"/>
      <c r="L1937" s="244">
        <v>0.1</v>
      </c>
      <c r="M1937" s="244">
        <f t="shared" si="235"/>
        <v>0</v>
      </c>
      <c r="N1937" s="244"/>
      <c r="O1937" s="244"/>
      <c r="P1937" s="244"/>
      <c r="Q1937" s="245">
        <f t="shared" si="236"/>
        <v>0</v>
      </c>
      <c r="R1937" s="245">
        <f t="shared" si="237"/>
        <v>0</v>
      </c>
      <c r="S1937" s="246">
        <v>0.5</v>
      </c>
      <c r="T1937" s="245">
        <f t="shared" si="238"/>
        <v>0</v>
      </c>
      <c r="U1937" s="245">
        <f t="shared" si="239"/>
        <v>0</v>
      </c>
      <c r="V1937" s="247"/>
    </row>
    <row r="1938" spans="1:22" ht="15.75" x14ac:dyDescent="0.25">
      <c r="A1938" s="236"/>
      <c r="B1938" s="237"/>
      <c r="C1938" s="238"/>
      <c r="D1938" s="239"/>
      <c r="E1938" s="240"/>
      <c r="F1938" s="240"/>
      <c r="G1938" s="240"/>
      <c r="H1938" s="241">
        <f t="shared" si="234"/>
        <v>0</v>
      </c>
      <c r="I1938" s="242"/>
      <c r="J1938" s="243"/>
      <c r="K1938" s="243"/>
      <c r="L1938" s="244">
        <v>0.1</v>
      </c>
      <c r="M1938" s="244">
        <f t="shared" si="235"/>
        <v>0</v>
      </c>
      <c r="N1938" s="244"/>
      <c r="O1938" s="244"/>
      <c r="P1938" s="244"/>
      <c r="Q1938" s="245">
        <f t="shared" si="236"/>
        <v>0</v>
      </c>
      <c r="R1938" s="245">
        <f t="shared" si="237"/>
        <v>0</v>
      </c>
      <c r="S1938" s="246">
        <v>0.5</v>
      </c>
      <c r="T1938" s="245">
        <f t="shared" si="238"/>
        <v>0</v>
      </c>
      <c r="U1938" s="245">
        <f t="shared" si="239"/>
        <v>0</v>
      </c>
      <c r="V1938" s="247"/>
    </row>
    <row r="1939" spans="1:22" ht="15.75" x14ac:dyDescent="0.25">
      <c r="A1939" s="236"/>
      <c r="B1939" s="237"/>
      <c r="C1939" s="238"/>
      <c r="D1939" s="239"/>
      <c r="E1939" s="240"/>
      <c r="F1939" s="240"/>
      <c r="G1939" s="240"/>
      <c r="H1939" s="241">
        <f t="shared" si="234"/>
        <v>0</v>
      </c>
      <c r="I1939" s="242"/>
      <c r="J1939" s="243"/>
      <c r="K1939" s="243"/>
      <c r="L1939" s="244">
        <v>0.1</v>
      </c>
      <c r="M1939" s="244">
        <f t="shared" si="235"/>
        <v>0</v>
      </c>
      <c r="N1939" s="244"/>
      <c r="O1939" s="244"/>
      <c r="P1939" s="244"/>
      <c r="Q1939" s="245">
        <f t="shared" si="236"/>
        <v>0</v>
      </c>
      <c r="R1939" s="245">
        <f t="shared" si="237"/>
        <v>0</v>
      </c>
      <c r="S1939" s="246">
        <v>0.5</v>
      </c>
      <c r="T1939" s="245">
        <f t="shared" si="238"/>
        <v>0</v>
      </c>
      <c r="U1939" s="245">
        <f t="shared" si="239"/>
        <v>0</v>
      </c>
      <c r="V1939" s="247"/>
    </row>
    <row r="1940" spans="1:22" ht="15.75" x14ac:dyDescent="0.25">
      <c r="A1940" s="236"/>
      <c r="B1940" s="237"/>
      <c r="C1940" s="238"/>
      <c r="D1940" s="239"/>
      <c r="E1940" s="240"/>
      <c r="F1940" s="240"/>
      <c r="G1940" s="240"/>
      <c r="H1940" s="241">
        <f t="shared" si="234"/>
        <v>0</v>
      </c>
      <c r="I1940" s="242"/>
      <c r="J1940" s="243"/>
      <c r="K1940" s="243"/>
      <c r="L1940" s="244">
        <v>0.1</v>
      </c>
      <c r="M1940" s="244">
        <f t="shared" si="235"/>
        <v>0</v>
      </c>
      <c r="N1940" s="244"/>
      <c r="O1940" s="244"/>
      <c r="P1940" s="244"/>
      <c r="Q1940" s="245">
        <f t="shared" si="236"/>
        <v>0</v>
      </c>
      <c r="R1940" s="245">
        <f t="shared" si="237"/>
        <v>0</v>
      </c>
      <c r="S1940" s="246">
        <v>0.5</v>
      </c>
      <c r="T1940" s="245">
        <f t="shared" si="238"/>
        <v>0</v>
      </c>
      <c r="U1940" s="245">
        <f t="shared" si="239"/>
        <v>0</v>
      </c>
      <c r="V1940" s="247"/>
    </row>
    <row r="1941" spans="1:22" ht="15.75" x14ac:dyDescent="0.25">
      <c r="A1941" s="236"/>
      <c r="B1941" s="237"/>
      <c r="C1941" s="238"/>
      <c r="D1941" s="239"/>
      <c r="E1941" s="240"/>
      <c r="F1941" s="240"/>
      <c r="G1941" s="240"/>
      <c r="H1941" s="241">
        <f t="shared" si="234"/>
        <v>0</v>
      </c>
      <c r="I1941" s="242"/>
      <c r="J1941" s="243"/>
      <c r="K1941" s="243"/>
      <c r="L1941" s="244">
        <v>0.1</v>
      </c>
      <c r="M1941" s="244">
        <f t="shared" si="235"/>
        <v>0</v>
      </c>
      <c r="N1941" s="244"/>
      <c r="O1941" s="244"/>
      <c r="P1941" s="244"/>
      <c r="Q1941" s="245">
        <f t="shared" si="236"/>
        <v>0</v>
      </c>
      <c r="R1941" s="245">
        <f t="shared" si="237"/>
        <v>0</v>
      </c>
      <c r="S1941" s="246">
        <v>0.5</v>
      </c>
      <c r="T1941" s="245">
        <f t="shared" si="238"/>
        <v>0</v>
      </c>
      <c r="U1941" s="245">
        <f t="shared" si="239"/>
        <v>0</v>
      </c>
      <c r="V1941" s="247"/>
    </row>
    <row r="1942" spans="1:22" ht="15.75" x14ac:dyDescent="0.25">
      <c r="A1942" s="236"/>
      <c r="B1942" s="237"/>
      <c r="C1942" s="238"/>
      <c r="D1942" s="239"/>
      <c r="E1942" s="240"/>
      <c r="F1942" s="240"/>
      <c r="G1942" s="240"/>
      <c r="H1942" s="241">
        <f t="shared" si="234"/>
        <v>0</v>
      </c>
      <c r="I1942" s="242"/>
      <c r="J1942" s="243"/>
      <c r="K1942" s="243"/>
      <c r="L1942" s="244">
        <v>0.1</v>
      </c>
      <c r="M1942" s="244">
        <f t="shared" si="235"/>
        <v>0</v>
      </c>
      <c r="N1942" s="244"/>
      <c r="O1942" s="244"/>
      <c r="P1942" s="244"/>
      <c r="Q1942" s="245">
        <f t="shared" si="236"/>
        <v>0</v>
      </c>
      <c r="R1942" s="245">
        <f t="shared" si="237"/>
        <v>0</v>
      </c>
      <c r="S1942" s="246">
        <v>0.5</v>
      </c>
      <c r="T1942" s="245">
        <f t="shared" si="238"/>
        <v>0</v>
      </c>
      <c r="U1942" s="245">
        <f t="shared" si="239"/>
        <v>0</v>
      </c>
      <c r="V1942" s="247"/>
    </row>
    <row r="1943" spans="1:22" ht="15.75" x14ac:dyDescent="0.25">
      <c r="A1943" s="236"/>
      <c r="B1943" s="237"/>
      <c r="C1943" s="238"/>
      <c r="D1943" s="239"/>
      <c r="E1943" s="240"/>
      <c r="F1943" s="240"/>
      <c r="G1943" s="240"/>
      <c r="H1943" s="241">
        <f t="shared" si="234"/>
        <v>0</v>
      </c>
      <c r="I1943" s="242"/>
      <c r="J1943" s="243"/>
      <c r="K1943" s="243"/>
      <c r="L1943" s="244">
        <v>0.1</v>
      </c>
      <c r="M1943" s="244">
        <f t="shared" si="235"/>
        <v>0</v>
      </c>
      <c r="N1943" s="244"/>
      <c r="O1943" s="244"/>
      <c r="P1943" s="244"/>
      <c r="Q1943" s="245">
        <f t="shared" si="236"/>
        <v>0</v>
      </c>
      <c r="R1943" s="245">
        <f t="shared" si="237"/>
        <v>0</v>
      </c>
      <c r="S1943" s="246">
        <v>0.5</v>
      </c>
      <c r="T1943" s="245">
        <f t="shared" si="238"/>
        <v>0</v>
      </c>
      <c r="U1943" s="245">
        <f t="shared" si="239"/>
        <v>0</v>
      </c>
      <c r="V1943" s="247"/>
    </row>
    <row r="1944" spans="1:22" ht="15.75" x14ac:dyDescent="0.25">
      <c r="A1944" s="236"/>
      <c r="B1944" s="237"/>
      <c r="C1944" s="238"/>
      <c r="D1944" s="239"/>
      <c r="E1944" s="240"/>
      <c r="F1944" s="240"/>
      <c r="G1944" s="240"/>
      <c r="H1944" s="241">
        <f t="shared" si="234"/>
        <v>0</v>
      </c>
      <c r="I1944" s="242"/>
      <c r="J1944" s="243"/>
      <c r="K1944" s="243"/>
      <c r="L1944" s="244">
        <v>0.1</v>
      </c>
      <c r="M1944" s="244">
        <f t="shared" si="235"/>
        <v>0</v>
      </c>
      <c r="N1944" s="244"/>
      <c r="O1944" s="244"/>
      <c r="P1944" s="244"/>
      <c r="Q1944" s="245">
        <f t="shared" si="236"/>
        <v>0</v>
      </c>
      <c r="R1944" s="245">
        <f t="shared" si="237"/>
        <v>0</v>
      </c>
      <c r="S1944" s="246">
        <v>0.5</v>
      </c>
      <c r="T1944" s="245">
        <f t="shared" si="238"/>
        <v>0</v>
      </c>
      <c r="U1944" s="245">
        <f t="shared" si="239"/>
        <v>0</v>
      </c>
      <c r="V1944" s="247"/>
    </row>
    <row r="1945" spans="1:22" ht="15.75" x14ac:dyDescent="0.25">
      <c r="A1945" s="236"/>
      <c r="B1945" s="237"/>
      <c r="C1945" s="238"/>
      <c r="D1945" s="239"/>
      <c r="E1945" s="240"/>
      <c r="F1945" s="240"/>
      <c r="G1945" s="240"/>
      <c r="H1945" s="241">
        <f t="shared" si="234"/>
        <v>0</v>
      </c>
      <c r="I1945" s="242"/>
      <c r="J1945" s="243"/>
      <c r="K1945" s="243"/>
      <c r="L1945" s="244">
        <v>0.1</v>
      </c>
      <c r="M1945" s="244">
        <f t="shared" si="235"/>
        <v>0</v>
      </c>
      <c r="N1945" s="244"/>
      <c r="O1945" s="244"/>
      <c r="P1945" s="244"/>
      <c r="Q1945" s="245">
        <f t="shared" si="236"/>
        <v>0</v>
      </c>
      <c r="R1945" s="245">
        <f t="shared" si="237"/>
        <v>0</v>
      </c>
      <c r="S1945" s="246">
        <v>0.5</v>
      </c>
      <c r="T1945" s="245">
        <f t="shared" si="238"/>
        <v>0</v>
      </c>
      <c r="U1945" s="245">
        <f t="shared" si="239"/>
        <v>0</v>
      </c>
      <c r="V1945" s="247"/>
    </row>
    <row r="1946" spans="1:22" ht="15.75" x14ac:dyDescent="0.25">
      <c r="A1946" s="236"/>
      <c r="B1946" s="237"/>
      <c r="C1946" s="238"/>
      <c r="D1946" s="239"/>
      <c r="E1946" s="240"/>
      <c r="F1946" s="240"/>
      <c r="G1946" s="240"/>
      <c r="H1946" s="241">
        <f t="shared" si="234"/>
        <v>0</v>
      </c>
      <c r="I1946" s="242"/>
      <c r="J1946" s="243"/>
      <c r="K1946" s="243"/>
      <c r="L1946" s="244">
        <v>0.1</v>
      </c>
      <c r="M1946" s="244">
        <f t="shared" si="235"/>
        <v>0</v>
      </c>
      <c r="N1946" s="244"/>
      <c r="O1946" s="244"/>
      <c r="P1946" s="244"/>
      <c r="Q1946" s="245">
        <f t="shared" si="236"/>
        <v>0</v>
      </c>
      <c r="R1946" s="245">
        <f t="shared" si="237"/>
        <v>0</v>
      </c>
      <c r="S1946" s="246">
        <v>0.5</v>
      </c>
      <c r="T1946" s="245">
        <f t="shared" si="238"/>
        <v>0</v>
      </c>
      <c r="U1946" s="245">
        <f t="shared" si="239"/>
        <v>0</v>
      </c>
      <c r="V1946" s="247"/>
    </row>
    <row r="1947" spans="1:22" ht="15.75" x14ac:dyDescent="0.25">
      <c r="A1947" s="236"/>
      <c r="B1947" s="237"/>
      <c r="C1947" s="238"/>
      <c r="D1947" s="239"/>
      <c r="E1947" s="240"/>
      <c r="F1947" s="240"/>
      <c r="G1947" s="240"/>
      <c r="H1947" s="241">
        <f t="shared" si="234"/>
        <v>0</v>
      </c>
      <c r="I1947" s="242"/>
      <c r="J1947" s="243"/>
      <c r="K1947" s="243"/>
      <c r="L1947" s="244">
        <v>0.1</v>
      </c>
      <c r="M1947" s="244">
        <f t="shared" si="235"/>
        <v>0</v>
      </c>
      <c r="N1947" s="244"/>
      <c r="O1947" s="244"/>
      <c r="P1947" s="244"/>
      <c r="Q1947" s="245">
        <f t="shared" si="236"/>
        <v>0</v>
      </c>
      <c r="R1947" s="245">
        <f t="shared" si="237"/>
        <v>0</v>
      </c>
      <c r="S1947" s="246">
        <v>0.5</v>
      </c>
      <c r="T1947" s="245">
        <f t="shared" si="238"/>
        <v>0</v>
      </c>
      <c r="U1947" s="245">
        <f t="shared" si="239"/>
        <v>0</v>
      </c>
      <c r="V1947" s="247"/>
    </row>
    <row r="1948" spans="1:22" ht="15.75" x14ac:dyDescent="0.25">
      <c r="A1948" s="236"/>
      <c r="B1948" s="237"/>
      <c r="C1948" s="238"/>
      <c r="D1948" s="239"/>
      <c r="E1948" s="240"/>
      <c r="F1948" s="240"/>
      <c r="G1948" s="240"/>
      <c r="H1948" s="241">
        <f t="shared" si="234"/>
        <v>0</v>
      </c>
      <c r="I1948" s="242"/>
      <c r="J1948" s="243"/>
      <c r="K1948" s="243"/>
      <c r="L1948" s="244">
        <v>0.1</v>
      </c>
      <c r="M1948" s="244">
        <f t="shared" si="235"/>
        <v>0</v>
      </c>
      <c r="N1948" s="244"/>
      <c r="O1948" s="244"/>
      <c r="P1948" s="244"/>
      <c r="Q1948" s="245">
        <f t="shared" si="236"/>
        <v>0</v>
      </c>
      <c r="R1948" s="245">
        <f t="shared" si="237"/>
        <v>0</v>
      </c>
      <c r="S1948" s="246">
        <v>0.5</v>
      </c>
      <c r="T1948" s="245">
        <f t="shared" si="238"/>
        <v>0</v>
      </c>
      <c r="U1948" s="245">
        <f t="shared" si="239"/>
        <v>0</v>
      </c>
      <c r="V1948" s="247"/>
    </row>
    <row r="1949" spans="1:22" ht="15.75" x14ac:dyDescent="0.25">
      <c r="A1949" s="236"/>
      <c r="B1949" s="237"/>
      <c r="C1949" s="238"/>
      <c r="D1949" s="239"/>
      <c r="E1949" s="240"/>
      <c r="F1949" s="240"/>
      <c r="G1949" s="240"/>
      <c r="H1949" s="241">
        <f t="shared" si="234"/>
        <v>0</v>
      </c>
      <c r="I1949" s="242"/>
      <c r="J1949" s="243"/>
      <c r="K1949" s="243"/>
      <c r="L1949" s="244">
        <v>0.1</v>
      </c>
      <c r="M1949" s="244">
        <f t="shared" si="235"/>
        <v>0</v>
      </c>
      <c r="N1949" s="244"/>
      <c r="O1949" s="244"/>
      <c r="P1949" s="244"/>
      <c r="Q1949" s="245">
        <f t="shared" si="236"/>
        <v>0</v>
      </c>
      <c r="R1949" s="245">
        <f t="shared" si="237"/>
        <v>0</v>
      </c>
      <c r="S1949" s="246">
        <v>0.5</v>
      </c>
      <c r="T1949" s="245">
        <f t="shared" si="238"/>
        <v>0</v>
      </c>
      <c r="U1949" s="245">
        <f t="shared" si="239"/>
        <v>0</v>
      </c>
      <c r="V1949" s="247"/>
    </row>
    <row r="1950" spans="1:22" ht="15.75" x14ac:dyDescent="0.25">
      <c r="A1950" s="236"/>
      <c r="B1950" s="237"/>
      <c r="C1950" s="238"/>
      <c r="D1950" s="239"/>
      <c r="E1950" s="240"/>
      <c r="F1950" s="240"/>
      <c r="G1950" s="240"/>
      <c r="H1950" s="241">
        <f t="shared" si="234"/>
        <v>0</v>
      </c>
      <c r="I1950" s="242"/>
      <c r="J1950" s="243"/>
      <c r="K1950" s="243"/>
      <c r="L1950" s="244">
        <v>0.1</v>
      </c>
      <c r="M1950" s="244">
        <f t="shared" si="235"/>
        <v>0</v>
      </c>
      <c r="N1950" s="244"/>
      <c r="O1950" s="244"/>
      <c r="P1950" s="244"/>
      <c r="Q1950" s="245">
        <f t="shared" si="236"/>
        <v>0</v>
      </c>
      <c r="R1950" s="245">
        <f t="shared" si="237"/>
        <v>0</v>
      </c>
      <c r="S1950" s="246">
        <v>0.5</v>
      </c>
      <c r="T1950" s="245">
        <f t="shared" si="238"/>
        <v>0</v>
      </c>
      <c r="U1950" s="245">
        <f t="shared" si="239"/>
        <v>0</v>
      </c>
      <c r="V1950" s="247"/>
    </row>
    <row r="1951" spans="1:22" ht="15.75" x14ac:dyDescent="0.25">
      <c r="A1951" s="236"/>
      <c r="B1951" s="237"/>
      <c r="C1951" s="238"/>
      <c r="D1951" s="239"/>
      <c r="E1951" s="240"/>
      <c r="F1951" s="240"/>
      <c r="G1951" s="240"/>
      <c r="H1951" s="241">
        <f t="shared" si="234"/>
        <v>0</v>
      </c>
      <c r="I1951" s="242"/>
      <c r="J1951" s="243"/>
      <c r="K1951" s="243"/>
      <c r="L1951" s="244">
        <v>0.1</v>
      </c>
      <c r="M1951" s="244">
        <f t="shared" si="235"/>
        <v>0</v>
      </c>
      <c r="N1951" s="244"/>
      <c r="O1951" s="244"/>
      <c r="P1951" s="244"/>
      <c r="Q1951" s="245">
        <f t="shared" si="236"/>
        <v>0</v>
      </c>
      <c r="R1951" s="245">
        <f t="shared" si="237"/>
        <v>0</v>
      </c>
      <c r="S1951" s="246">
        <v>0.5</v>
      </c>
      <c r="T1951" s="245">
        <f t="shared" si="238"/>
        <v>0</v>
      </c>
      <c r="U1951" s="245">
        <f t="shared" si="239"/>
        <v>0</v>
      </c>
      <c r="V1951" s="247"/>
    </row>
    <row r="1952" spans="1:22" ht="15.75" x14ac:dyDescent="0.25">
      <c r="A1952" s="236"/>
      <c r="B1952" s="237"/>
      <c r="C1952" s="238"/>
      <c r="D1952" s="239"/>
      <c r="E1952" s="240"/>
      <c r="F1952" s="240"/>
      <c r="G1952" s="240"/>
      <c r="H1952" s="241">
        <f t="shared" si="234"/>
        <v>0</v>
      </c>
      <c r="I1952" s="242"/>
      <c r="J1952" s="243"/>
      <c r="K1952" s="243"/>
      <c r="L1952" s="244">
        <v>0.1</v>
      </c>
      <c r="M1952" s="244">
        <f t="shared" si="235"/>
        <v>0</v>
      </c>
      <c r="N1952" s="244"/>
      <c r="O1952" s="244"/>
      <c r="P1952" s="244"/>
      <c r="Q1952" s="245">
        <f t="shared" si="236"/>
        <v>0</v>
      </c>
      <c r="R1952" s="245">
        <f t="shared" si="237"/>
        <v>0</v>
      </c>
      <c r="S1952" s="246">
        <v>0.5</v>
      </c>
      <c r="T1952" s="245">
        <f t="shared" si="238"/>
        <v>0</v>
      </c>
      <c r="U1952" s="245">
        <f t="shared" si="239"/>
        <v>0</v>
      </c>
      <c r="V1952" s="247"/>
    </row>
    <row r="1953" spans="1:22" ht="15.75" x14ac:dyDescent="0.25">
      <c r="A1953" s="236"/>
      <c r="B1953" s="237"/>
      <c r="C1953" s="238"/>
      <c r="D1953" s="239"/>
      <c r="E1953" s="240"/>
      <c r="F1953" s="240"/>
      <c r="G1953" s="240"/>
      <c r="H1953" s="241">
        <f t="shared" si="234"/>
        <v>0</v>
      </c>
      <c r="I1953" s="242"/>
      <c r="J1953" s="243"/>
      <c r="K1953" s="243"/>
      <c r="L1953" s="244">
        <v>0.1</v>
      </c>
      <c r="M1953" s="244">
        <f t="shared" si="235"/>
        <v>0</v>
      </c>
      <c r="N1953" s="244"/>
      <c r="O1953" s="244"/>
      <c r="P1953" s="244"/>
      <c r="Q1953" s="245">
        <f t="shared" si="236"/>
        <v>0</v>
      </c>
      <c r="R1953" s="245">
        <f t="shared" si="237"/>
        <v>0</v>
      </c>
      <c r="S1953" s="246">
        <v>0.5</v>
      </c>
      <c r="T1953" s="245">
        <f t="shared" si="238"/>
        <v>0</v>
      </c>
      <c r="U1953" s="245">
        <f t="shared" si="239"/>
        <v>0</v>
      </c>
      <c r="V1953" s="247"/>
    </row>
    <row r="1954" spans="1:22" ht="15.75" x14ac:dyDescent="0.25">
      <c r="A1954" s="236"/>
      <c r="B1954" s="237"/>
      <c r="C1954" s="238"/>
      <c r="D1954" s="239"/>
      <c r="E1954" s="240"/>
      <c r="F1954" s="240"/>
      <c r="G1954" s="240"/>
      <c r="H1954" s="241">
        <f t="shared" si="234"/>
        <v>0</v>
      </c>
      <c r="I1954" s="242"/>
      <c r="J1954" s="243"/>
      <c r="K1954" s="243"/>
      <c r="L1954" s="244">
        <v>0.1</v>
      </c>
      <c r="M1954" s="244">
        <f t="shared" si="235"/>
        <v>0</v>
      </c>
      <c r="N1954" s="244"/>
      <c r="O1954" s="244"/>
      <c r="P1954" s="244"/>
      <c r="Q1954" s="245">
        <f t="shared" si="236"/>
        <v>0</v>
      </c>
      <c r="R1954" s="245">
        <f t="shared" si="237"/>
        <v>0</v>
      </c>
      <c r="S1954" s="246">
        <v>0.5</v>
      </c>
      <c r="T1954" s="245">
        <f t="shared" si="238"/>
        <v>0</v>
      </c>
      <c r="U1954" s="245">
        <f t="shared" si="239"/>
        <v>0</v>
      </c>
      <c r="V1954" s="247"/>
    </row>
    <row r="1955" spans="1:22" ht="15.75" x14ac:dyDescent="0.25">
      <c r="A1955" s="236"/>
      <c r="B1955" s="237"/>
      <c r="C1955" s="238"/>
      <c r="D1955" s="239"/>
      <c r="E1955" s="240"/>
      <c r="F1955" s="240"/>
      <c r="G1955" s="240"/>
      <c r="H1955" s="241">
        <f t="shared" si="234"/>
        <v>0</v>
      </c>
      <c r="I1955" s="242"/>
      <c r="J1955" s="243"/>
      <c r="K1955" s="243"/>
      <c r="L1955" s="244">
        <v>0.1</v>
      </c>
      <c r="M1955" s="244">
        <f t="shared" si="235"/>
        <v>0</v>
      </c>
      <c r="N1955" s="244"/>
      <c r="O1955" s="244"/>
      <c r="P1955" s="244"/>
      <c r="Q1955" s="245">
        <f t="shared" si="236"/>
        <v>0</v>
      </c>
      <c r="R1955" s="245">
        <f t="shared" si="237"/>
        <v>0</v>
      </c>
      <c r="S1955" s="246">
        <v>0.5</v>
      </c>
      <c r="T1955" s="245">
        <f t="shared" si="238"/>
        <v>0</v>
      </c>
      <c r="U1955" s="245">
        <f t="shared" si="239"/>
        <v>0</v>
      </c>
      <c r="V1955" s="247"/>
    </row>
    <row r="1956" spans="1:22" ht="15.75" x14ac:dyDescent="0.25">
      <c r="A1956" s="236"/>
      <c r="B1956" s="237"/>
      <c r="C1956" s="238"/>
      <c r="D1956" s="239"/>
      <c r="E1956" s="240"/>
      <c r="F1956" s="240"/>
      <c r="G1956" s="240"/>
      <c r="H1956" s="241">
        <f t="shared" si="234"/>
        <v>0</v>
      </c>
      <c r="I1956" s="242"/>
      <c r="J1956" s="243"/>
      <c r="K1956" s="243"/>
      <c r="L1956" s="244">
        <v>0.1</v>
      </c>
      <c r="M1956" s="244">
        <f t="shared" si="235"/>
        <v>0</v>
      </c>
      <c r="N1956" s="244"/>
      <c r="O1956" s="244"/>
      <c r="P1956" s="244"/>
      <c r="Q1956" s="245">
        <f t="shared" si="236"/>
        <v>0</v>
      </c>
      <c r="R1956" s="245">
        <f t="shared" si="237"/>
        <v>0</v>
      </c>
      <c r="S1956" s="246">
        <v>0.5</v>
      </c>
      <c r="T1956" s="245">
        <f t="shared" si="238"/>
        <v>0</v>
      </c>
      <c r="U1956" s="245">
        <f t="shared" si="239"/>
        <v>0</v>
      </c>
      <c r="V1956" s="247"/>
    </row>
    <row r="1957" spans="1:22" ht="15.75" x14ac:dyDescent="0.25">
      <c r="A1957" s="236"/>
      <c r="B1957" s="237"/>
      <c r="C1957" s="238"/>
      <c r="D1957" s="239"/>
      <c r="E1957" s="240"/>
      <c r="F1957" s="240"/>
      <c r="G1957" s="240"/>
      <c r="H1957" s="241">
        <f t="shared" si="234"/>
        <v>0</v>
      </c>
      <c r="I1957" s="242"/>
      <c r="J1957" s="243"/>
      <c r="K1957" s="243"/>
      <c r="L1957" s="244">
        <v>0.1</v>
      </c>
      <c r="M1957" s="244">
        <f t="shared" si="235"/>
        <v>0</v>
      </c>
      <c r="N1957" s="244"/>
      <c r="O1957" s="244"/>
      <c r="P1957" s="244"/>
      <c r="Q1957" s="245">
        <f t="shared" si="236"/>
        <v>0</v>
      </c>
      <c r="R1957" s="245">
        <f t="shared" si="237"/>
        <v>0</v>
      </c>
      <c r="S1957" s="246">
        <v>0.5</v>
      </c>
      <c r="T1957" s="245">
        <f t="shared" si="238"/>
        <v>0</v>
      </c>
      <c r="U1957" s="245">
        <f t="shared" si="239"/>
        <v>0</v>
      </c>
      <c r="V1957" s="247"/>
    </row>
    <row r="1958" spans="1:22" ht="15.75" x14ac:dyDescent="0.25">
      <c r="A1958" s="236"/>
      <c r="B1958" s="237"/>
      <c r="C1958" s="238"/>
      <c r="D1958" s="239"/>
      <c r="E1958" s="240"/>
      <c r="F1958" s="240"/>
      <c r="G1958" s="240"/>
      <c r="H1958" s="241">
        <f t="shared" si="234"/>
        <v>0</v>
      </c>
      <c r="I1958" s="242"/>
      <c r="J1958" s="243"/>
      <c r="K1958" s="243"/>
      <c r="L1958" s="244">
        <v>0.1</v>
      </c>
      <c r="M1958" s="244">
        <f t="shared" si="235"/>
        <v>0</v>
      </c>
      <c r="N1958" s="244"/>
      <c r="O1958" s="244"/>
      <c r="P1958" s="244"/>
      <c r="Q1958" s="245">
        <f t="shared" si="236"/>
        <v>0</v>
      </c>
      <c r="R1958" s="245">
        <f t="shared" si="237"/>
        <v>0</v>
      </c>
      <c r="S1958" s="246">
        <v>0.5</v>
      </c>
      <c r="T1958" s="245">
        <f t="shared" si="238"/>
        <v>0</v>
      </c>
      <c r="U1958" s="245">
        <f t="shared" si="239"/>
        <v>0</v>
      </c>
      <c r="V1958" s="247"/>
    </row>
    <row r="1959" spans="1:22" ht="15.75" x14ac:dyDescent="0.25">
      <c r="A1959" s="236"/>
      <c r="B1959" s="237"/>
      <c r="C1959" s="238"/>
      <c r="D1959" s="239"/>
      <c r="E1959" s="240"/>
      <c r="F1959" s="240"/>
      <c r="G1959" s="240"/>
      <c r="H1959" s="241">
        <f t="shared" si="234"/>
        <v>0</v>
      </c>
      <c r="I1959" s="242"/>
      <c r="J1959" s="243"/>
      <c r="K1959" s="243"/>
      <c r="L1959" s="244">
        <v>0.1</v>
      </c>
      <c r="M1959" s="244">
        <f t="shared" si="235"/>
        <v>0</v>
      </c>
      <c r="N1959" s="244"/>
      <c r="O1959" s="244"/>
      <c r="P1959" s="244"/>
      <c r="Q1959" s="245">
        <f t="shared" si="236"/>
        <v>0</v>
      </c>
      <c r="R1959" s="245">
        <f t="shared" si="237"/>
        <v>0</v>
      </c>
      <c r="S1959" s="246">
        <v>0.5</v>
      </c>
      <c r="T1959" s="245">
        <f t="shared" si="238"/>
        <v>0</v>
      </c>
      <c r="U1959" s="245">
        <f t="shared" si="239"/>
        <v>0</v>
      </c>
      <c r="V1959" s="247"/>
    </row>
    <row r="1960" spans="1:22" ht="15.75" x14ac:dyDescent="0.25">
      <c r="A1960" s="236"/>
      <c r="B1960" s="237"/>
      <c r="C1960" s="238"/>
      <c r="D1960" s="239"/>
      <c r="E1960" s="240"/>
      <c r="F1960" s="240"/>
      <c r="G1960" s="240"/>
      <c r="H1960" s="241">
        <f t="shared" si="234"/>
        <v>0</v>
      </c>
      <c r="I1960" s="242"/>
      <c r="J1960" s="243"/>
      <c r="K1960" s="243"/>
      <c r="L1960" s="244">
        <v>0.1</v>
      </c>
      <c r="M1960" s="244">
        <f t="shared" si="235"/>
        <v>0</v>
      </c>
      <c r="N1960" s="244"/>
      <c r="O1960" s="244"/>
      <c r="P1960" s="244"/>
      <c r="Q1960" s="245">
        <f t="shared" si="236"/>
        <v>0</v>
      </c>
      <c r="R1960" s="245">
        <f t="shared" si="237"/>
        <v>0</v>
      </c>
      <c r="S1960" s="246">
        <v>0.5</v>
      </c>
      <c r="T1960" s="245">
        <f t="shared" si="238"/>
        <v>0</v>
      </c>
      <c r="U1960" s="245">
        <f t="shared" si="239"/>
        <v>0</v>
      </c>
      <c r="V1960" s="247"/>
    </row>
    <row r="1961" spans="1:22" ht="15.75" x14ac:dyDescent="0.25">
      <c r="A1961" s="236"/>
      <c r="B1961" s="237"/>
      <c r="C1961" s="238"/>
      <c r="D1961" s="239"/>
      <c r="E1961" s="240"/>
      <c r="F1961" s="240"/>
      <c r="G1961" s="240"/>
      <c r="H1961" s="241">
        <f t="shared" si="234"/>
        <v>0</v>
      </c>
      <c r="I1961" s="242"/>
      <c r="J1961" s="243"/>
      <c r="K1961" s="243"/>
      <c r="L1961" s="244">
        <v>0.1</v>
      </c>
      <c r="M1961" s="244">
        <f t="shared" si="235"/>
        <v>0</v>
      </c>
      <c r="N1961" s="244"/>
      <c r="O1961" s="244"/>
      <c r="P1961" s="244"/>
      <c r="Q1961" s="245">
        <f t="shared" si="236"/>
        <v>0</v>
      </c>
      <c r="R1961" s="245">
        <f t="shared" si="237"/>
        <v>0</v>
      </c>
      <c r="S1961" s="246">
        <v>0.5</v>
      </c>
      <c r="T1961" s="245">
        <f t="shared" si="238"/>
        <v>0</v>
      </c>
      <c r="U1961" s="245">
        <f t="shared" si="239"/>
        <v>0</v>
      </c>
      <c r="V1961" s="247"/>
    </row>
    <row r="1962" spans="1:22" ht="15.75" x14ac:dyDescent="0.25">
      <c r="A1962" s="236"/>
      <c r="B1962" s="237"/>
      <c r="C1962" s="238"/>
      <c r="D1962" s="239"/>
      <c r="E1962" s="240"/>
      <c r="F1962" s="240"/>
      <c r="G1962" s="240"/>
      <c r="H1962" s="241">
        <f t="shared" si="234"/>
        <v>0</v>
      </c>
      <c r="I1962" s="242"/>
      <c r="J1962" s="243"/>
      <c r="K1962" s="243"/>
      <c r="L1962" s="244">
        <v>0.1</v>
      </c>
      <c r="M1962" s="244">
        <f t="shared" si="235"/>
        <v>0</v>
      </c>
      <c r="N1962" s="244"/>
      <c r="O1962" s="244"/>
      <c r="P1962" s="244"/>
      <c r="Q1962" s="245">
        <f t="shared" si="236"/>
        <v>0</v>
      </c>
      <c r="R1962" s="245">
        <f t="shared" si="237"/>
        <v>0</v>
      </c>
      <c r="S1962" s="246">
        <v>0.5</v>
      </c>
      <c r="T1962" s="245">
        <f t="shared" si="238"/>
        <v>0</v>
      </c>
      <c r="U1962" s="245">
        <f t="shared" si="239"/>
        <v>0</v>
      </c>
      <c r="V1962" s="247"/>
    </row>
    <row r="1963" spans="1:22" ht="15.75" x14ac:dyDescent="0.25">
      <c r="A1963" s="236"/>
      <c r="B1963" s="237"/>
      <c r="C1963" s="238"/>
      <c r="D1963" s="239"/>
      <c r="E1963" s="240"/>
      <c r="F1963" s="240"/>
      <c r="G1963" s="240"/>
      <c r="H1963" s="241">
        <f t="shared" si="234"/>
        <v>0</v>
      </c>
      <c r="I1963" s="242"/>
      <c r="J1963" s="243"/>
      <c r="K1963" s="243"/>
      <c r="L1963" s="244">
        <v>0.1</v>
      </c>
      <c r="M1963" s="244">
        <f t="shared" si="235"/>
        <v>0</v>
      </c>
      <c r="N1963" s="244"/>
      <c r="O1963" s="244"/>
      <c r="P1963" s="244"/>
      <c r="Q1963" s="245">
        <f t="shared" si="236"/>
        <v>0</v>
      </c>
      <c r="R1963" s="245">
        <f t="shared" si="237"/>
        <v>0</v>
      </c>
      <c r="S1963" s="246">
        <v>0.5</v>
      </c>
      <c r="T1963" s="245">
        <f t="shared" si="238"/>
        <v>0</v>
      </c>
      <c r="U1963" s="245">
        <f t="shared" si="239"/>
        <v>0</v>
      </c>
      <c r="V1963" s="247"/>
    </row>
    <row r="1964" spans="1:22" ht="15.75" x14ac:dyDescent="0.25">
      <c r="A1964" s="236"/>
      <c r="B1964" s="237"/>
      <c r="C1964" s="238"/>
      <c r="D1964" s="239"/>
      <c r="E1964" s="240"/>
      <c r="F1964" s="240"/>
      <c r="G1964" s="240"/>
      <c r="H1964" s="241">
        <f t="shared" si="234"/>
        <v>0</v>
      </c>
      <c r="I1964" s="242"/>
      <c r="J1964" s="243"/>
      <c r="K1964" s="243"/>
      <c r="L1964" s="244">
        <v>0.1</v>
      </c>
      <c r="M1964" s="244">
        <f t="shared" si="235"/>
        <v>0</v>
      </c>
      <c r="N1964" s="244"/>
      <c r="O1964" s="244"/>
      <c r="P1964" s="244"/>
      <c r="Q1964" s="245">
        <f t="shared" si="236"/>
        <v>0</v>
      </c>
      <c r="R1964" s="245">
        <f t="shared" si="237"/>
        <v>0</v>
      </c>
      <c r="S1964" s="246">
        <v>0.5</v>
      </c>
      <c r="T1964" s="245">
        <f t="shared" si="238"/>
        <v>0</v>
      </c>
      <c r="U1964" s="245">
        <f t="shared" si="239"/>
        <v>0</v>
      </c>
      <c r="V1964" s="247"/>
    </row>
    <row r="1965" spans="1:22" ht="15.75" x14ac:dyDescent="0.25">
      <c r="A1965" s="236"/>
      <c r="B1965" s="237"/>
      <c r="C1965" s="238"/>
      <c r="D1965" s="239"/>
      <c r="E1965" s="240"/>
      <c r="F1965" s="240"/>
      <c r="G1965" s="240"/>
      <c r="H1965" s="241">
        <f t="shared" si="234"/>
        <v>0</v>
      </c>
      <c r="I1965" s="242"/>
      <c r="J1965" s="243"/>
      <c r="K1965" s="243"/>
      <c r="L1965" s="244">
        <v>0.1</v>
      </c>
      <c r="M1965" s="244">
        <f t="shared" si="235"/>
        <v>0</v>
      </c>
      <c r="N1965" s="244"/>
      <c r="O1965" s="244"/>
      <c r="P1965" s="244"/>
      <c r="Q1965" s="245">
        <f t="shared" si="236"/>
        <v>0</v>
      </c>
      <c r="R1965" s="245">
        <f t="shared" si="237"/>
        <v>0</v>
      </c>
      <c r="S1965" s="246">
        <v>0.5</v>
      </c>
      <c r="T1965" s="245">
        <f t="shared" si="238"/>
        <v>0</v>
      </c>
      <c r="U1965" s="245">
        <f t="shared" si="239"/>
        <v>0</v>
      </c>
      <c r="V1965" s="247"/>
    </row>
    <row r="1966" spans="1:22" ht="15.75" x14ac:dyDescent="0.25">
      <c r="A1966" s="236"/>
      <c r="B1966" s="237"/>
      <c r="C1966" s="238"/>
      <c r="D1966" s="239"/>
      <c r="E1966" s="240"/>
      <c r="F1966" s="240"/>
      <c r="G1966" s="240"/>
      <c r="H1966" s="241">
        <f t="shared" si="234"/>
        <v>0</v>
      </c>
      <c r="I1966" s="242"/>
      <c r="J1966" s="243"/>
      <c r="K1966" s="243"/>
      <c r="L1966" s="244">
        <v>0.1</v>
      </c>
      <c r="M1966" s="244">
        <f t="shared" si="235"/>
        <v>0</v>
      </c>
      <c r="N1966" s="244"/>
      <c r="O1966" s="244"/>
      <c r="P1966" s="244"/>
      <c r="Q1966" s="245">
        <f t="shared" si="236"/>
        <v>0</v>
      </c>
      <c r="R1966" s="245">
        <f t="shared" si="237"/>
        <v>0</v>
      </c>
      <c r="S1966" s="246">
        <v>0.5</v>
      </c>
      <c r="T1966" s="245">
        <f t="shared" si="238"/>
        <v>0</v>
      </c>
      <c r="U1966" s="245">
        <f t="shared" si="239"/>
        <v>0</v>
      </c>
      <c r="V1966" s="247"/>
    </row>
    <row r="1967" spans="1:22" ht="15.75" x14ac:dyDescent="0.25">
      <c r="A1967" s="236"/>
      <c r="B1967" s="237"/>
      <c r="C1967" s="238"/>
      <c r="D1967" s="239"/>
      <c r="E1967" s="240"/>
      <c r="F1967" s="240"/>
      <c r="G1967" s="240"/>
      <c r="H1967" s="241">
        <f t="shared" si="234"/>
        <v>0</v>
      </c>
      <c r="I1967" s="242"/>
      <c r="J1967" s="243"/>
      <c r="K1967" s="243"/>
      <c r="L1967" s="244">
        <v>0.1</v>
      </c>
      <c r="M1967" s="244">
        <f t="shared" si="235"/>
        <v>0</v>
      </c>
      <c r="N1967" s="244"/>
      <c r="O1967" s="244"/>
      <c r="P1967" s="244"/>
      <c r="Q1967" s="245">
        <f t="shared" si="236"/>
        <v>0</v>
      </c>
      <c r="R1967" s="245">
        <f t="shared" si="237"/>
        <v>0</v>
      </c>
      <c r="S1967" s="246">
        <v>0.5</v>
      </c>
      <c r="T1967" s="245">
        <f t="shared" si="238"/>
        <v>0</v>
      </c>
      <c r="U1967" s="245">
        <f t="shared" si="239"/>
        <v>0</v>
      </c>
      <c r="V1967" s="247"/>
    </row>
    <row r="1968" spans="1:22" ht="15.75" x14ac:dyDescent="0.25">
      <c r="A1968" s="236"/>
      <c r="B1968" s="237"/>
      <c r="C1968" s="238"/>
      <c r="D1968" s="239"/>
      <c r="E1968" s="240"/>
      <c r="F1968" s="240"/>
      <c r="G1968" s="240"/>
      <c r="H1968" s="241">
        <f t="shared" si="234"/>
        <v>0</v>
      </c>
      <c r="I1968" s="242"/>
      <c r="J1968" s="243"/>
      <c r="K1968" s="243"/>
      <c r="L1968" s="244">
        <v>0.1</v>
      </c>
      <c r="M1968" s="244">
        <f t="shared" si="235"/>
        <v>0</v>
      </c>
      <c r="N1968" s="244"/>
      <c r="O1968" s="244"/>
      <c r="P1968" s="244"/>
      <c r="Q1968" s="245">
        <f t="shared" si="236"/>
        <v>0</v>
      </c>
      <c r="R1968" s="245">
        <f t="shared" si="237"/>
        <v>0</v>
      </c>
      <c r="S1968" s="246">
        <v>0.5</v>
      </c>
      <c r="T1968" s="245">
        <f t="shared" si="238"/>
        <v>0</v>
      </c>
      <c r="U1968" s="245">
        <f t="shared" si="239"/>
        <v>0</v>
      </c>
      <c r="V1968" s="247"/>
    </row>
    <row r="1969" spans="1:22" ht="15.75" x14ac:dyDescent="0.25">
      <c r="A1969" s="236"/>
      <c r="B1969" s="237"/>
      <c r="C1969" s="238"/>
      <c r="D1969" s="239"/>
      <c r="E1969" s="240"/>
      <c r="F1969" s="240"/>
      <c r="G1969" s="240"/>
      <c r="H1969" s="241">
        <f t="shared" si="234"/>
        <v>0</v>
      </c>
      <c r="I1969" s="242"/>
      <c r="J1969" s="243"/>
      <c r="K1969" s="243"/>
      <c r="L1969" s="244">
        <v>0.1</v>
      </c>
      <c r="M1969" s="244">
        <f t="shared" si="235"/>
        <v>0</v>
      </c>
      <c r="N1969" s="244"/>
      <c r="O1969" s="244"/>
      <c r="P1969" s="244"/>
      <c r="Q1969" s="245">
        <f t="shared" si="236"/>
        <v>0</v>
      </c>
      <c r="R1969" s="245">
        <f t="shared" si="237"/>
        <v>0</v>
      </c>
      <c r="S1969" s="246">
        <v>0.5</v>
      </c>
      <c r="T1969" s="245">
        <f t="shared" si="238"/>
        <v>0</v>
      </c>
      <c r="U1969" s="245">
        <f t="shared" si="239"/>
        <v>0</v>
      </c>
      <c r="V1969" s="247"/>
    </row>
    <row r="1970" spans="1:22" ht="15.75" x14ac:dyDescent="0.25">
      <c r="A1970" s="236"/>
      <c r="B1970" s="237"/>
      <c r="C1970" s="238"/>
      <c r="D1970" s="239"/>
      <c r="E1970" s="240"/>
      <c r="F1970" s="240"/>
      <c r="G1970" s="240"/>
      <c r="H1970" s="241">
        <f t="shared" si="234"/>
        <v>0</v>
      </c>
      <c r="I1970" s="242"/>
      <c r="J1970" s="243"/>
      <c r="K1970" s="243"/>
      <c r="L1970" s="244">
        <v>0.1</v>
      </c>
      <c r="M1970" s="244">
        <f t="shared" si="235"/>
        <v>0</v>
      </c>
      <c r="N1970" s="244"/>
      <c r="O1970" s="244"/>
      <c r="P1970" s="244"/>
      <c r="Q1970" s="245">
        <f t="shared" si="236"/>
        <v>0</v>
      </c>
      <c r="R1970" s="245">
        <f t="shared" si="237"/>
        <v>0</v>
      </c>
      <c r="S1970" s="246">
        <v>0.5</v>
      </c>
      <c r="T1970" s="245">
        <f t="shared" si="238"/>
        <v>0</v>
      </c>
      <c r="U1970" s="245">
        <f t="shared" si="239"/>
        <v>0</v>
      </c>
      <c r="V1970" s="247"/>
    </row>
    <row r="1971" spans="1:22" ht="15.75" x14ac:dyDescent="0.25">
      <c r="A1971" s="236"/>
      <c r="B1971" s="237"/>
      <c r="C1971" s="238"/>
      <c r="D1971" s="239"/>
      <c r="E1971" s="240"/>
      <c r="F1971" s="240"/>
      <c r="G1971" s="240"/>
      <c r="H1971" s="241">
        <f t="shared" si="234"/>
        <v>0</v>
      </c>
      <c r="I1971" s="242"/>
      <c r="J1971" s="243"/>
      <c r="K1971" s="243"/>
      <c r="L1971" s="244">
        <v>0.1</v>
      </c>
      <c r="M1971" s="244">
        <f t="shared" si="235"/>
        <v>0</v>
      </c>
      <c r="N1971" s="244"/>
      <c r="O1971" s="244"/>
      <c r="P1971" s="244"/>
      <c r="Q1971" s="245">
        <f t="shared" si="236"/>
        <v>0</v>
      </c>
      <c r="R1971" s="245">
        <f t="shared" si="237"/>
        <v>0</v>
      </c>
      <c r="S1971" s="246">
        <v>0.5</v>
      </c>
      <c r="T1971" s="245">
        <f t="shared" si="238"/>
        <v>0</v>
      </c>
      <c r="U1971" s="245">
        <f t="shared" si="239"/>
        <v>0</v>
      </c>
      <c r="V1971" s="247"/>
    </row>
    <row r="1972" spans="1:22" ht="15.75" x14ac:dyDescent="0.25">
      <c r="A1972" s="236"/>
      <c r="B1972" s="237"/>
      <c r="C1972" s="238"/>
      <c r="D1972" s="239"/>
      <c r="E1972" s="240"/>
      <c r="F1972" s="240"/>
      <c r="G1972" s="240"/>
      <c r="H1972" s="241">
        <f t="shared" si="234"/>
        <v>0</v>
      </c>
      <c r="I1972" s="242"/>
      <c r="J1972" s="243"/>
      <c r="K1972" s="243"/>
      <c r="L1972" s="244">
        <v>0.1</v>
      </c>
      <c r="M1972" s="244">
        <f t="shared" si="235"/>
        <v>0</v>
      </c>
      <c r="N1972" s="244"/>
      <c r="O1972" s="244"/>
      <c r="P1972" s="244"/>
      <c r="Q1972" s="245">
        <f t="shared" si="236"/>
        <v>0</v>
      </c>
      <c r="R1972" s="245">
        <f t="shared" si="237"/>
        <v>0</v>
      </c>
      <c r="S1972" s="246">
        <v>0.5</v>
      </c>
      <c r="T1972" s="245">
        <f t="shared" si="238"/>
        <v>0</v>
      </c>
      <c r="U1972" s="245">
        <f t="shared" si="239"/>
        <v>0</v>
      </c>
      <c r="V1972" s="247"/>
    </row>
    <row r="1973" spans="1:22" ht="15.75" x14ac:dyDescent="0.25">
      <c r="A1973" s="236"/>
      <c r="B1973" s="237"/>
      <c r="C1973" s="238"/>
      <c r="D1973" s="239"/>
      <c r="E1973" s="240"/>
      <c r="F1973" s="240"/>
      <c r="G1973" s="240"/>
      <c r="H1973" s="241">
        <f t="shared" si="234"/>
        <v>0</v>
      </c>
      <c r="I1973" s="242"/>
      <c r="J1973" s="243"/>
      <c r="K1973" s="243"/>
      <c r="L1973" s="244">
        <v>0.1</v>
      </c>
      <c r="M1973" s="244">
        <f t="shared" si="235"/>
        <v>0</v>
      </c>
      <c r="N1973" s="244"/>
      <c r="O1973" s="244"/>
      <c r="P1973" s="244"/>
      <c r="Q1973" s="245">
        <f t="shared" si="236"/>
        <v>0</v>
      </c>
      <c r="R1973" s="245">
        <f t="shared" si="237"/>
        <v>0</v>
      </c>
      <c r="S1973" s="246">
        <v>0.5</v>
      </c>
      <c r="T1973" s="245">
        <f t="shared" si="238"/>
        <v>0</v>
      </c>
      <c r="U1973" s="245">
        <f t="shared" si="239"/>
        <v>0</v>
      </c>
      <c r="V1973" s="247"/>
    </row>
    <row r="1974" spans="1:22" ht="15.75" x14ac:dyDescent="0.25">
      <c r="A1974" s="236"/>
      <c r="B1974" s="237"/>
      <c r="C1974" s="238"/>
      <c r="D1974" s="239"/>
      <c r="E1974" s="240"/>
      <c r="F1974" s="240"/>
      <c r="G1974" s="240"/>
      <c r="H1974" s="241">
        <f t="shared" si="234"/>
        <v>0</v>
      </c>
      <c r="I1974" s="242"/>
      <c r="J1974" s="243"/>
      <c r="K1974" s="243"/>
      <c r="L1974" s="244">
        <v>0.1</v>
      </c>
      <c r="M1974" s="244">
        <f t="shared" si="235"/>
        <v>0</v>
      </c>
      <c r="N1974" s="244"/>
      <c r="O1974" s="244"/>
      <c r="P1974" s="244"/>
      <c r="Q1974" s="245">
        <f t="shared" si="236"/>
        <v>0</v>
      </c>
      <c r="R1974" s="245">
        <f t="shared" si="237"/>
        <v>0</v>
      </c>
      <c r="S1974" s="246">
        <v>0.5</v>
      </c>
      <c r="T1974" s="245">
        <f t="shared" si="238"/>
        <v>0</v>
      </c>
      <c r="U1974" s="245">
        <f t="shared" si="239"/>
        <v>0</v>
      </c>
      <c r="V1974" s="247"/>
    </row>
    <row r="1975" spans="1:22" ht="15.75" x14ac:dyDescent="0.25">
      <c r="A1975" s="236"/>
      <c r="B1975" s="237"/>
      <c r="C1975" s="238"/>
      <c r="D1975" s="239"/>
      <c r="E1975" s="240"/>
      <c r="F1975" s="240"/>
      <c r="G1975" s="240"/>
      <c r="H1975" s="241">
        <f t="shared" si="234"/>
        <v>0</v>
      </c>
      <c r="I1975" s="242"/>
      <c r="J1975" s="243"/>
      <c r="K1975" s="243"/>
      <c r="L1975" s="244">
        <v>0.1</v>
      </c>
      <c r="M1975" s="244">
        <f t="shared" si="235"/>
        <v>0</v>
      </c>
      <c r="N1975" s="244"/>
      <c r="O1975" s="244"/>
      <c r="P1975" s="244"/>
      <c r="Q1975" s="245">
        <f t="shared" si="236"/>
        <v>0</v>
      </c>
      <c r="R1975" s="245">
        <f t="shared" si="237"/>
        <v>0</v>
      </c>
      <c r="S1975" s="246">
        <v>0.5</v>
      </c>
      <c r="T1975" s="245">
        <f t="shared" si="238"/>
        <v>0</v>
      </c>
      <c r="U1975" s="245">
        <f t="shared" si="239"/>
        <v>0</v>
      </c>
      <c r="V1975" s="247"/>
    </row>
    <row r="1976" spans="1:22" ht="15.75" x14ac:dyDescent="0.25">
      <c r="A1976" s="236"/>
      <c r="B1976" s="237"/>
      <c r="C1976" s="238"/>
      <c r="D1976" s="239"/>
      <c r="E1976" s="240"/>
      <c r="F1976" s="240"/>
      <c r="G1976" s="240"/>
      <c r="H1976" s="241">
        <f t="shared" si="234"/>
        <v>0</v>
      </c>
      <c r="I1976" s="242"/>
      <c r="J1976" s="243"/>
      <c r="K1976" s="243"/>
      <c r="L1976" s="244">
        <v>0.1</v>
      </c>
      <c r="M1976" s="244">
        <f t="shared" si="235"/>
        <v>0</v>
      </c>
      <c r="N1976" s="244"/>
      <c r="O1976" s="244"/>
      <c r="P1976" s="244"/>
      <c r="Q1976" s="245">
        <f t="shared" si="236"/>
        <v>0</v>
      </c>
      <c r="R1976" s="245">
        <f t="shared" si="237"/>
        <v>0</v>
      </c>
      <c r="S1976" s="246">
        <v>0.5</v>
      </c>
      <c r="T1976" s="245">
        <f t="shared" si="238"/>
        <v>0</v>
      </c>
      <c r="U1976" s="245">
        <f t="shared" si="239"/>
        <v>0</v>
      </c>
      <c r="V1976" s="247"/>
    </row>
    <row r="1977" spans="1:22" ht="15.75" x14ac:dyDescent="0.25">
      <c r="A1977" s="236"/>
      <c r="B1977" s="237"/>
      <c r="C1977" s="238"/>
      <c r="D1977" s="239"/>
      <c r="E1977" s="240"/>
      <c r="F1977" s="240"/>
      <c r="G1977" s="240"/>
      <c r="H1977" s="241">
        <f t="shared" si="234"/>
        <v>0</v>
      </c>
      <c r="I1977" s="242"/>
      <c r="J1977" s="243"/>
      <c r="K1977" s="243"/>
      <c r="L1977" s="244">
        <v>0.1</v>
      </c>
      <c r="M1977" s="244">
        <f t="shared" si="235"/>
        <v>0</v>
      </c>
      <c r="N1977" s="244"/>
      <c r="O1977" s="244"/>
      <c r="P1977" s="244"/>
      <c r="Q1977" s="245">
        <f t="shared" si="236"/>
        <v>0</v>
      </c>
      <c r="R1977" s="245">
        <f t="shared" si="237"/>
        <v>0</v>
      </c>
      <c r="S1977" s="246">
        <v>0.5</v>
      </c>
      <c r="T1977" s="245">
        <f t="shared" si="238"/>
        <v>0</v>
      </c>
      <c r="U1977" s="245">
        <f t="shared" si="239"/>
        <v>0</v>
      </c>
      <c r="V1977" s="247"/>
    </row>
    <row r="1978" spans="1:22" ht="15.75" x14ac:dyDescent="0.25">
      <c r="A1978" s="236"/>
      <c r="B1978" s="237"/>
      <c r="C1978" s="238"/>
      <c r="D1978" s="239"/>
      <c r="E1978" s="240"/>
      <c r="F1978" s="240"/>
      <c r="G1978" s="240"/>
      <c r="H1978" s="241">
        <f t="shared" si="234"/>
        <v>0</v>
      </c>
      <c r="I1978" s="242"/>
      <c r="J1978" s="243"/>
      <c r="K1978" s="243"/>
      <c r="L1978" s="244">
        <v>0.1</v>
      </c>
      <c r="M1978" s="244">
        <f t="shared" si="235"/>
        <v>0</v>
      </c>
      <c r="N1978" s="244"/>
      <c r="O1978" s="244"/>
      <c r="P1978" s="244"/>
      <c r="Q1978" s="245">
        <f t="shared" si="236"/>
        <v>0</v>
      </c>
      <c r="R1978" s="245">
        <f t="shared" si="237"/>
        <v>0</v>
      </c>
      <c r="S1978" s="246">
        <v>0.5</v>
      </c>
      <c r="T1978" s="245">
        <f t="shared" si="238"/>
        <v>0</v>
      </c>
      <c r="U1978" s="245">
        <f t="shared" si="239"/>
        <v>0</v>
      </c>
      <c r="V1978" s="247"/>
    </row>
    <row r="1979" spans="1:22" ht="15.75" x14ac:dyDescent="0.25">
      <c r="A1979" s="236"/>
      <c r="B1979" s="237"/>
      <c r="C1979" s="238"/>
      <c r="D1979" s="239"/>
      <c r="E1979" s="240"/>
      <c r="F1979" s="240"/>
      <c r="G1979" s="240"/>
      <c r="H1979" s="241">
        <f t="shared" si="234"/>
        <v>0</v>
      </c>
      <c r="I1979" s="242"/>
      <c r="J1979" s="243"/>
      <c r="K1979" s="243"/>
      <c r="L1979" s="244">
        <v>0.1</v>
      </c>
      <c r="M1979" s="244">
        <f t="shared" si="235"/>
        <v>0</v>
      </c>
      <c r="N1979" s="244"/>
      <c r="O1979" s="244"/>
      <c r="P1979" s="244"/>
      <c r="Q1979" s="245">
        <f t="shared" si="236"/>
        <v>0</v>
      </c>
      <c r="R1979" s="245">
        <f t="shared" si="237"/>
        <v>0</v>
      </c>
      <c r="S1979" s="246">
        <v>0.5</v>
      </c>
      <c r="T1979" s="245">
        <f t="shared" si="238"/>
        <v>0</v>
      </c>
      <c r="U1979" s="245">
        <f t="shared" si="239"/>
        <v>0</v>
      </c>
      <c r="V1979" s="247"/>
    </row>
    <row r="1980" spans="1:22" ht="15.75" x14ac:dyDescent="0.25">
      <c r="A1980" s="236"/>
      <c r="B1980" s="237"/>
      <c r="C1980" s="238"/>
      <c r="D1980" s="239"/>
      <c r="E1980" s="240"/>
      <c r="F1980" s="240"/>
      <c r="G1980" s="240"/>
      <c r="H1980" s="241">
        <f t="shared" si="234"/>
        <v>0</v>
      </c>
      <c r="I1980" s="242"/>
      <c r="J1980" s="243"/>
      <c r="K1980" s="243"/>
      <c r="L1980" s="244">
        <v>0.1</v>
      </c>
      <c r="M1980" s="244">
        <f t="shared" si="235"/>
        <v>0</v>
      </c>
      <c r="N1980" s="244"/>
      <c r="O1980" s="244"/>
      <c r="P1980" s="244"/>
      <c r="Q1980" s="245">
        <f t="shared" si="236"/>
        <v>0</v>
      </c>
      <c r="R1980" s="245">
        <f t="shared" si="237"/>
        <v>0</v>
      </c>
      <c r="S1980" s="246">
        <v>0.5</v>
      </c>
      <c r="T1980" s="245">
        <f t="shared" si="238"/>
        <v>0</v>
      </c>
      <c r="U1980" s="245">
        <f t="shared" si="239"/>
        <v>0</v>
      </c>
      <c r="V1980" s="247"/>
    </row>
    <row r="1981" spans="1:22" ht="15.75" x14ac:dyDescent="0.25">
      <c r="A1981" s="236"/>
      <c r="B1981" s="237"/>
      <c r="C1981" s="238"/>
      <c r="D1981" s="239"/>
      <c r="E1981" s="240"/>
      <c r="F1981" s="240"/>
      <c r="G1981" s="240"/>
      <c r="H1981" s="241">
        <f t="shared" ref="H1981:H2044" si="240">+E1981+F1981+G1981</f>
        <v>0</v>
      </c>
      <c r="I1981" s="242"/>
      <c r="J1981" s="243"/>
      <c r="K1981" s="243"/>
      <c r="L1981" s="244">
        <v>0.1</v>
      </c>
      <c r="M1981" s="244">
        <f t="shared" ref="M1981:M2044" si="241">+L1981*C1981</f>
        <v>0</v>
      </c>
      <c r="N1981" s="244"/>
      <c r="O1981" s="244"/>
      <c r="P1981" s="244"/>
      <c r="Q1981" s="245">
        <f t="shared" ref="Q1981:Q2044" si="242">+N1981+O1981+P1981</f>
        <v>0</v>
      </c>
      <c r="R1981" s="245">
        <f t="shared" ref="R1981:R2044" si="243">IF(+Q1981-H1981&lt;=0,0,Q1981-H1981)</f>
        <v>0</v>
      </c>
      <c r="S1981" s="246">
        <v>0.5</v>
      </c>
      <c r="T1981" s="245">
        <f t="shared" ref="T1981:T2044" si="244">+(R1981*C1981)*S1981</f>
        <v>0</v>
      </c>
      <c r="U1981" s="245">
        <f t="shared" ref="U1981:U2044" si="245">+J1981+M1981+T1981</f>
        <v>0</v>
      </c>
      <c r="V1981" s="247"/>
    </row>
    <row r="1982" spans="1:22" ht="15.75" x14ac:dyDescent="0.25">
      <c r="A1982" s="236"/>
      <c r="B1982" s="237"/>
      <c r="C1982" s="238"/>
      <c r="D1982" s="239"/>
      <c r="E1982" s="240"/>
      <c r="F1982" s="240"/>
      <c r="G1982" s="240"/>
      <c r="H1982" s="241">
        <f t="shared" si="240"/>
        <v>0</v>
      </c>
      <c r="I1982" s="242"/>
      <c r="J1982" s="243"/>
      <c r="K1982" s="243"/>
      <c r="L1982" s="244">
        <v>0.1</v>
      </c>
      <c r="M1982" s="244">
        <f t="shared" si="241"/>
        <v>0</v>
      </c>
      <c r="N1982" s="244"/>
      <c r="O1982" s="244"/>
      <c r="P1982" s="244"/>
      <c r="Q1982" s="245">
        <f t="shared" si="242"/>
        <v>0</v>
      </c>
      <c r="R1982" s="245">
        <f t="shared" si="243"/>
        <v>0</v>
      </c>
      <c r="S1982" s="246">
        <v>0.5</v>
      </c>
      <c r="T1982" s="245">
        <f t="shared" si="244"/>
        <v>0</v>
      </c>
      <c r="U1982" s="245">
        <f t="shared" si="245"/>
        <v>0</v>
      </c>
      <c r="V1982" s="247"/>
    </row>
    <row r="1983" spans="1:22" ht="15.75" x14ac:dyDescent="0.25">
      <c r="A1983" s="236"/>
      <c r="B1983" s="237"/>
      <c r="C1983" s="238"/>
      <c r="D1983" s="239"/>
      <c r="E1983" s="240"/>
      <c r="F1983" s="240"/>
      <c r="G1983" s="240"/>
      <c r="H1983" s="241">
        <f t="shared" si="240"/>
        <v>0</v>
      </c>
      <c r="I1983" s="242"/>
      <c r="J1983" s="243"/>
      <c r="K1983" s="243"/>
      <c r="L1983" s="244">
        <v>0.1</v>
      </c>
      <c r="M1983" s="244">
        <f t="shared" si="241"/>
        <v>0</v>
      </c>
      <c r="N1983" s="244"/>
      <c r="O1983" s="244"/>
      <c r="P1983" s="244"/>
      <c r="Q1983" s="245">
        <f t="shared" si="242"/>
        <v>0</v>
      </c>
      <c r="R1983" s="245">
        <f t="shared" si="243"/>
        <v>0</v>
      </c>
      <c r="S1983" s="246">
        <v>0.5</v>
      </c>
      <c r="T1983" s="245">
        <f t="shared" si="244"/>
        <v>0</v>
      </c>
      <c r="U1983" s="245">
        <f t="shared" si="245"/>
        <v>0</v>
      </c>
      <c r="V1983" s="247"/>
    </row>
    <row r="1984" spans="1:22" ht="15.75" x14ac:dyDescent="0.25">
      <c r="A1984" s="236"/>
      <c r="B1984" s="237"/>
      <c r="C1984" s="238"/>
      <c r="D1984" s="239"/>
      <c r="E1984" s="240"/>
      <c r="F1984" s="240"/>
      <c r="G1984" s="240"/>
      <c r="H1984" s="241">
        <f t="shared" si="240"/>
        <v>0</v>
      </c>
      <c r="I1984" s="242"/>
      <c r="J1984" s="243"/>
      <c r="K1984" s="243"/>
      <c r="L1984" s="244">
        <v>0.1</v>
      </c>
      <c r="M1984" s="244">
        <f t="shared" si="241"/>
        <v>0</v>
      </c>
      <c r="N1984" s="244"/>
      <c r="O1984" s="244"/>
      <c r="P1984" s="244"/>
      <c r="Q1984" s="245">
        <f t="shared" si="242"/>
        <v>0</v>
      </c>
      <c r="R1984" s="245">
        <f t="shared" si="243"/>
        <v>0</v>
      </c>
      <c r="S1984" s="246">
        <v>0.5</v>
      </c>
      <c r="T1984" s="245">
        <f t="shared" si="244"/>
        <v>0</v>
      </c>
      <c r="U1984" s="245">
        <f t="shared" si="245"/>
        <v>0</v>
      </c>
      <c r="V1984" s="247"/>
    </row>
    <row r="1985" spans="1:22" ht="15.75" x14ac:dyDescent="0.25">
      <c r="A1985" s="236"/>
      <c r="B1985" s="237"/>
      <c r="C1985" s="238"/>
      <c r="D1985" s="239"/>
      <c r="E1985" s="240"/>
      <c r="F1985" s="240"/>
      <c r="G1985" s="240"/>
      <c r="H1985" s="241">
        <f t="shared" si="240"/>
        <v>0</v>
      </c>
      <c r="I1985" s="242"/>
      <c r="J1985" s="243"/>
      <c r="K1985" s="243"/>
      <c r="L1985" s="244">
        <v>0.1</v>
      </c>
      <c r="M1985" s="244">
        <f t="shared" si="241"/>
        <v>0</v>
      </c>
      <c r="N1985" s="244"/>
      <c r="O1985" s="244"/>
      <c r="P1985" s="244"/>
      <c r="Q1985" s="245">
        <f t="shared" si="242"/>
        <v>0</v>
      </c>
      <c r="R1985" s="245">
        <f t="shared" si="243"/>
        <v>0</v>
      </c>
      <c r="S1985" s="246">
        <v>0.5</v>
      </c>
      <c r="T1985" s="245">
        <f t="shared" si="244"/>
        <v>0</v>
      </c>
      <c r="U1985" s="245">
        <f t="shared" si="245"/>
        <v>0</v>
      </c>
      <c r="V1985" s="247"/>
    </row>
    <row r="1986" spans="1:22" ht="15.75" x14ac:dyDescent="0.25">
      <c r="A1986" s="236"/>
      <c r="B1986" s="237"/>
      <c r="C1986" s="238"/>
      <c r="D1986" s="239"/>
      <c r="E1986" s="240"/>
      <c r="F1986" s="240"/>
      <c r="G1986" s="240"/>
      <c r="H1986" s="241">
        <f t="shared" si="240"/>
        <v>0</v>
      </c>
      <c r="I1986" s="242"/>
      <c r="J1986" s="243"/>
      <c r="K1986" s="243"/>
      <c r="L1986" s="244">
        <v>0.1</v>
      </c>
      <c r="M1986" s="244">
        <f t="shared" si="241"/>
        <v>0</v>
      </c>
      <c r="N1986" s="244"/>
      <c r="O1986" s="244"/>
      <c r="P1986" s="244"/>
      <c r="Q1986" s="245">
        <f t="shared" si="242"/>
        <v>0</v>
      </c>
      <c r="R1986" s="245">
        <f t="shared" si="243"/>
        <v>0</v>
      </c>
      <c r="S1986" s="246">
        <v>0.5</v>
      </c>
      <c r="T1986" s="245">
        <f t="shared" si="244"/>
        <v>0</v>
      </c>
      <c r="U1986" s="245">
        <f t="shared" si="245"/>
        <v>0</v>
      </c>
      <c r="V1986" s="247"/>
    </row>
    <row r="1987" spans="1:22" ht="15.75" x14ac:dyDescent="0.25">
      <c r="A1987" s="236"/>
      <c r="B1987" s="237"/>
      <c r="C1987" s="238"/>
      <c r="D1987" s="239"/>
      <c r="E1987" s="240"/>
      <c r="F1987" s="240"/>
      <c r="G1987" s="240"/>
      <c r="H1987" s="241">
        <f t="shared" si="240"/>
        <v>0</v>
      </c>
      <c r="I1987" s="242"/>
      <c r="J1987" s="243"/>
      <c r="K1987" s="243"/>
      <c r="L1987" s="244">
        <v>0.1</v>
      </c>
      <c r="M1987" s="244">
        <f t="shared" si="241"/>
        <v>0</v>
      </c>
      <c r="N1987" s="244"/>
      <c r="O1987" s="244"/>
      <c r="P1987" s="244"/>
      <c r="Q1987" s="245">
        <f t="shared" si="242"/>
        <v>0</v>
      </c>
      <c r="R1987" s="245">
        <f t="shared" si="243"/>
        <v>0</v>
      </c>
      <c r="S1987" s="246">
        <v>0.5</v>
      </c>
      <c r="T1987" s="245">
        <f t="shared" si="244"/>
        <v>0</v>
      </c>
      <c r="U1987" s="245">
        <f t="shared" si="245"/>
        <v>0</v>
      </c>
      <c r="V1987" s="247"/>
    </row>
    <row r="1988" spans="1:22" ht="15.75" x14ac:dyDescent="0.25">
      <c r="A1988" s="236"/>
      <c r="B1988" s="237"/>
      <c r="C1988" s="238"/>
      <c r="D1988" s="239"/>
      <c r="E1988" s="240"/>
      <c r="F1988" s="240"/>
      <c r="G1988" s="240"/>
      <c r="H1988" s="241">
        <f t="shared" si="240"/>
        <v>0</v>
      </c>
      <c r="I1988" s="242"/>
      <c r="J1988" s="243"/>
      <c r="K1988" s="243"/>
      <c r="L1988" s="244">
        <v>0.1</v>
      </c>
      <c r="M1988" s="244">
        <f t="shared" si="241"/>
        <v>0</v>
      </c>
      <c r="N1988" s="244"/>
      <c r="O1988" s="244"/>
      <c r="P1988" s="244"/>
      <c r="Q1988" s="245">
        <f t="shared" si="242"/>
        <v>0</v>
      </c>
      <c r="R1988" s="245">
        <f t="shared" si="243"/>
        <v>0</v>
      </c>
      <c r="S1988" s="246">
        <v>0.5</v>
      </c>
      <c r="T1988" s="245">
        <f t="shared" si="244"/>
        <v>0</v>
      </c>
      <c r="U1988" s="245">
        <f t="shared" si="245"/>
        <v>0</v>
      </c>
      <c r="V1988" s="247"/>
    </row>
    <row r="1989" spans="1:22" ht="15.75" x14ac:dyDescent="0.25">
      <c r="A1989" s="236"/>
      <c r="B1989" s="237"/>
      <c r="C1989" s="238"/>
      <c r="D1989" s="239"/>
      <c r="E1989" s="240"/>
      <c r="F1989" s="240"/>
      <c r="G1989" s="240"/>
      <c r="H1989" s="241">
        <f t="shared" si="240"/>
        <v>0</v>
      </c>
      <c r="I1989" s="242"/>
      <c r="J1989" s="243"/>
      <c r="K1989" s="243"/>
      <c r="L1989" s="244">
        <v>0.1</v>
      </c>
      <c r="M1989" s="244">
        <f t="shared" si="241"/>
        <v>0</v>
      </c>
      <c r="N1989" s="244"/>
      <c r="O1989" s="244"/>
      <c r="P1989" s="244"/>
      <c r="Q1989" s="245">
        <f t="shared" si="242"/>
        <v>0</v>
      </c>
      <c r="R1989" s="245">
        <f t="shared" si="243"/>
        <v>0</v>
      </c>
      <c r="S1989" s="246">
        <v>0.5</v>
      </c>
      <c r="T1989" s="245">
        <f t="shared" si="244"/>
        <v>0</v>
      </c>
      <c r="U1989" s="245">
        <f t="shared" si="245"/>
        <v>0</v>
      </c>
      <c r="V1989" s="247"/>
    </row>
    <row r="1990" spans="1:22" ht="15.75" x14ac:dyDescent="0.25">
      <c r="A1990" s="236"/>
      <c r="B1990" s="237"/>
      <c r="C1990" s="238"/>
      <c r="D1990" s="239"/>
      <c r="E1990" s="240"/>
      <c r="F1990" s="240"/>
      <c r="G1990" s="240"/>
      <c r="H1990" s="241">
        <f t="shared" si="240"/>
        <v>0</v>
      </c>
      <c r="I1990" s="242"/>
      <c r="J1990" s="243"/>
      <c r="K1990" s="243"/>
      <c r="L1990" s="244">
        <v>0.1</v>
      </c>
      <c r="M1990" s="244">
        <f t="shared" si="241"/>
        <v>0</v>
      </c>
      <c r="N1990" s="244"/>
      <c r="O1990" s="244"/>
      <c r="P1990" s="244"/>
      <c r="Q1990" s="245">
        <f t="shared" si="242"/>
        <v>0</v>
      </c>
      <c r="R1990" s="245">
        <f t="shared" si="243"/>
        <v>0</v>
      </c>
      <c r="S1990" s="246">
        <v>0.5</v>
      </c>
      <c r="T1990" s="245">
        <f t="shared" si="244"/>
        <v>0</v>
      </c>
      <c r="U1990" s="245">
        <f t="shared" si="245"/>
        <v>0</v>
      </c>
      <c r="V1990" s="247"/>
    </row>
    <row r="1991" spans="1:22" ht="15.75" x14ac:dyDescent="0.25">
      <c r="A1991" s="236"/>
      <c r="B1991" s="237"/>
      <c r="C1991" s="238"/>
      <c r="D1991" s="239"/>
      <c r="E1991" s="240"/>
      <c r="F1991" s="240"/>
      <c r="G1991" s="240"/>
      <c r="H1991" s="241">
        <f t="shared" si="240"/>
        <v>0</v>
      </c>
      <c r="I1991" s="242"/>
      <c r="J1991" s="243"/>
      <c r="K1991" s="243"/>
      <c r="L1991" s="244">
        <v>0.1</v>
      </c>
      <c r="M1991" s="244">
        <f t="shared" si="241"/>
        <v>0</v>
      </c>
      <c r="N1991" s="244"/>
      <c r="O1991" s="244"/>
      <c r="P1991" s="244"/>
      <c r="Q1991" s="245">
        <f t="shared" si="242"/>
        <v>0</v>
      </c>
      <c r="R1991" s="245">
        <f t="shared" si="243"/>
        <v>0</v>
      </c>
      <c r="S1991" s="246">
        <v>0.5</v>
      </c>
      <c r="T1991" s="245">
        <f t="shared" si="244"/>
        <v>0</v>
      </c>
      <c r="U1991" s="245">
        <f t="shared" si="245"/>
        <v>0</v>
      </c>
      <c r="V1991" s="247"/>
    </row>
    <row r="1992" spans="1:22" ht="15.75" x14ac:dyDescent="0.25">
      <c r="A1992" s="236"/>
      <c r="B1992" s="237"/>
      <c r="C1992" s="238"/>
      <c r="D1992" s="239"/>
      <c r="E1992" s="240"/>
      <c r="F1992" s="240"/>
      <c r="G1992" s="240"/>
      <c r="H1992" s="241">
        <f t="shared" si="240"/>
        <v>0</v>
      </c>
      <c r="I1992" s="242"/>
      <c r="J1992" s="243"/>
      <c r="K1992" s="243"/>
      <c r="L1992" s="244">
        <v>0.1</v>
      </c>
      <c r="M1992" s="244">
        <f t="shared" si="241"/>
        <v>0</v>
      </c>
      <c r="N1992" s="244"/>
      <c r="O1992" s="244"/>
      <c r="P1992" s="244"/>
      <c r="Q1992" s="245">
        <f t="shared" si="242"/>
        <v>0</v>
      </c>
      <c r="R1992" s="245">
        <f t="shared" si="243"/>
        <v>0</v>
      </c>
      <c r="S1992" s="246">
        <v>0.5</v>
      </c>
      <c r="T1992" s="245">
        <f t="shared" si="244"/>
        <v>0</v>
      </c>
      <c r="U1992" s="245">
        <f t="shared" si="245"/>
        <v>0</v>
      </c>
      <c r="V1992" s="247"/>
    </row>
    <row r="1993" spans="1:22" ht="15.75" x14ac:dyDescent="0.25">
      <c r="A1993" s="236"/>
      <c r="B1993" s="237"/>
      <c r="C1993" s="238"/>
      <c r="D1993" s="239"/>
      <c r="E1993" s="240"/>
      <c r="F1993" s="240"/>
      <c r="G1993" s="240"/>
      <c r="H1993" s="241">
        <f t="shared" si="240"/>
        <v>0</v>
      </c>
      <c r="I1993" s="242"/>
      <c r="J1993" s="243"/>
      <c r="K1993" s="243"/>
      <c r="L1993" s="244">
        <v>0.1</v>
      </c>
      <c r="M1993" s="244">
        <f t="shared" si="241"/>
        <v>0</v>
      </c>
      <c r="N1993" s="244"/>
      <c r="O1993" s="244"/>
      <c r="P1993" s="244"/>
      <c r="Q1993" s="245">
        <f t="shared" si="242"/>
        <v>0</v>
      </c>
      <c r="R1993" s="245">
        <f t="shared" si="243"/>
        <v>0</v>
      </c>
      <c r="S1993" s="246">
        <v>0.5</v>
      </c>
      <c r="T1993" s="245">
        <f t="shared" si="244"/>
        <v>0</v>
      </c>
      <c r="U1993" s="245">
        <f t="shared" si="245"/>
        <v>0</v>
      </c>
      <c r="V1993" s="247"/>
    </row>
    <row r="1994" spans="1:22" ht="15.75" x14ac:dyDescent="0.25">
      <c r="A1994" s="236"/>
      <c r="B1994" s="237"/>
      <c r="C1994" s="238"/>
      <c r="D1994" s="239"/>
      <c r="E1994" s="240"/>
      <c r="F1994" s="240"/>
      <c r="G1994" s="240"/>
      <c r="H1994" s="241">
        <f t="shared" si="240"/>
        <v>0</v>
      </c>
      <c r="I1994" s="242"/>
      <c r="J1994" s="243"/>
      <c r="K1994" s="243"/>
      <c r="L1994" s="244">
        <v>0.1</v>
      </c>
      <c r="M1994" s="244">
        <f t="shared" si="241"/>
        <v>0</v>
      </c>
      <c r="N1994" s="244"/>
      <c r="O1994" s="244"/>
      <c r="P1994" s="244"/>
      <c r="Q1994" s="245">
        <f t="shared" si="242"/>
        <v>0</v>
      </c>
      <c r="R1994" s="245">
        <f t="shared" si="243"/>
        <v>0</v>
      </c>
      <c r="S1994" s="246">
        <v>0.5</v>
      </c>
      <c r="T1994" s="245">
        <f t="shared" si="244"/>
        <v>0</v>
      </c>
      <c r="U1994" s="245">
        <f t="shared" si="245"/>
        <v>0</v>
      </c>
      <c r="V1994" s="247"/>
    </row>
    <row r="1995" spans="1:22" ht="15.75" x14ac:dyDescent="0.25">
      <c r="A1995" s="236"/>
      <c r="B1995" s="237"/>
      <c r="C1995" s="238"/>
      <c r="D1995" s="239"/>
      <c r="E1995" s="240"/>
      <c r="F1995" s="240"/>
      <c r="G1995" s="240"/>
      <c r="H1995" s="241">
        <f t="shared" si="240"/>
        <v>0</v>
      </c>
      <c r="I1995" s="242"/>
      <c r="J1995" s="243"/>
      <c r="K1995" s="243"/>
      <c r="L1995" s="244">
        <v>0.1</v>
      </c>
      <c r="M1995" s="244">
        <f t="shared" si="241"/>
        <v>0</v>
      </c>
      <c r="N1995" s="244"/>
      <c r="O1995" s="244"/>
      <c r="P1995" s="244"/>
      <c r="Q1995" s="245">
        <f t="shared" si="242"/>
        <v>0</v>
      </c>
      <c r="R1995" s="245">
        <f t="shared" si="243"/>
        <v>0</v>
      </c>
      <c r="S1995" s="246">
        <v>0.5</v>
      </c>
      <c r="T1995" s="245">
        <f t="shared" si="244"/>
        <v>0</v>
      </c>
      <c r="U1995" s="245">
        <f t="shared" si="245"/>
        <v>0</v>
      </c>
      <c r="V1995" s="247"/>
    </row>
    <row r="1996" spans="1:22" ht="15.75" x14ac:dyDescent="0.25">
      <c r="A1996" s="236"/>
      <c r="B1996" s="237"/>
      <c r="C1996" s="238"/>
      <c r="D1996" s="239"/>
      <c r="E1996" s="240"/>
      <c r="F1996" s="240"/>
      <c r="G1996" s="240"/>
      <c r="H1996" s="241">
        <f t="shared" si="240"/>
        <v>0</v>
      </c>
      <c r="I1996" s="242"/>
      <c r="J1996" s="243"/>
      <c r="K1996" s="243"/>
      <c r="L1996" s="244">
        <v>0.1</v>
      </c>
      <c r="M1996" s="244">
        <f t="shared" si="241"/>
        <v>0</v>
      </c>
      <c r="N1996" s="244"/>
      <c r="O1996" s="244"/>
      <c r="P1996" s="244"/>
      <c r="Q1996" s="245">
        <f t="shared" si="242"/>
        <v>0</v>
      </c>
      <c r="R1996" s="245">
        <f t="shared" si="243"/>
        <v>0</v>
      </c>
      <c r="S1996" s="246">
        <v>0.5</v>
      </c>
      <c r="T1996" s="245">
        <f t="shared" si="244"/>
        <v>0</v>
      </c>
      <c r="U1996" s="245">
        <f t="shared" si="245"/>
        <v>0</v>
      </c>
      <c r="V1996" s="247"/>
    </row>
    <row r="1997" spans="1:22" ht="15.75" x14ac:dyDescent="0.25">
      <c r="A1997" s="236"/>
      <c r="B1997" s="237"/>
      <c r="C1997" s="238"/>
      <c r="D1997" s="239"/>
      <c r="E1997" s="240"/>
      <c r="F1997" s="240"/>
      <c r="G1997" s="240"/>
      <c r="H1997" s="241">
        <f t="shared" si="240"/>
        <v>0</v>
      </c>
      <c r="I1997" s="242"/>
      <c r="J1997" s="243"/>
      <c r="K1997" s="243"/>
      <c r="L1997" s="244">
        <v>0.1</v>
      </c>
      <c r="M1997" s="244">
        <f t="shared" si="241"/>
        <v>0</v>
      </c>
      <c r="N1997" s="244"/>
      <c r="O1997" s="244"/>
      <c r="P1997" s="244"/>
      <c r="Q1997" s="245">
        <f t="shared" si="242"/>
        <v>0</v>
      </c>
      <c r="R1997" s="245">
        <f t="shared" si="243"/>
        <v>0</v>
      </c>
      <c r="S1997" s="246">
        <v>0.5</v>
      </c>
      <c r="T1997" s="245">
        <f t="shared" si="244"/>
        <v>0</v>
      </c>
      <c r="U1997" s="245">
        <f t="shared" si="245"/>
        <v>0</v>
      </c>
      <c r="V1997" s="247"/>
    </row>
    <row r="1998" spans="1:22" ht="15.75" x14ac:dyDescent="0.25">
      <c r="A1998" s="236"/>
      <c r="B1998" s="237"/>
      <c r="C1998" s="238"/>
      <c r="D1998" s="239"/>
      <c r="E1998" s="240"/>
      <c r="F1998" s="240"/>
      <c r="G1998" s="240"/>
      <c r="H1998" s="241">
        <f t="shared" si="240"/>
        <v>0</v>
      </c>
      <c r="I1998" s="242"/>
      <c r="J1998" s="243"/>
      <c r="K1998" s="243"/>
      <c r="L1998" s="244">
        <v>0.1</v>
      </c>
      <c r="M1998" s="244">
        <f t="shared" si="241"/>
        <v>0</v>
      </c>
      <c r="N1998" s="244"/>
      <c r="O1998" s="244"/>
      <c r="P1998" s="244"/>
      <c r="Q1998" s="245">
        <f t="shared" si="242"/>
        <v>0</v>
      </c>
      <c r="R1998" s="245">
        <f t="shared" si="243"/>
        <v>0</v>
      </c>
      <c r="S1998" s="246">
        <v>0.5</v>
      </c>
      <c r="T1998" s="245">
        <f t="shared" si="244"/>
        <v>0</v>
      </c>
      <c r="U1998" s="245">
        <f t="shared" si="245"/>
        <v>0</v>
      </c>
      <c r="V1998" s="247"/>
    </row>
    <row r="1999" spans="1:22" ht="15.75" x14ac:dyDescent="0.25">
      <c r="A1999" s="236"/>
      <c r="B1999" s="237"/>
      <c r="C1999" s="238"/>
      <c r="D1999" s="239"/>
      <c r="E1999" s="240"/>
      <c r="F1999" s="240"/>
      <c r="G1999" s="240"/>
      <c r="H1999" s="241">
        <f t="shared" si="240"/>
        <v>0</v>
      </c>
      <c r="I1999" s="242"/>
      <c r="J1999" s="243"/>
      <c r="K1999" s="243"/>
      <c r="L1999" s="244">
        <v>0.1</v>
      </c>
      <c r="M1999" s="244">
        <f t="shared" si="241"/>
        <v>0</v>
      </c>
      <c r="N1999" s="244"/>
      <c r="O1999" s="244"/>
      <c r="P1999" s="244"/>
      <c r="Q1999" s="245">
        <f t="shared" si="242"/>
        <v>0</v>
      </c>
      <c r="R1999" s="245">
        <f t="shared" si="243"/>
        <v>0</v>
      </c>
      <c r="S1999" s="246">
        <v>0.5</v>
      </c>
      <c r="T1999" s="245">
        <f t="shared" si="244"/>
        <v>0</v>
      </c>
      <c r="U1999" s="245">
        <f t="shared" si="245"/>
        <v>0</v>
      </c>
      <c r="V1999" s="247"/>
    </row>
    <row r="2000" spans="1:22" ht="15.75" x14ac:dyDescent="0.25">
      <c r="A2000" s="236"/>
      <c r="B2000" s="237"/>
      <c r="C2000" s="238"/>
      <c r="D2000" s="239"/>
      <c r="E2000" s="240"/>
      <c r="F2000" s="240"/>
      <c r="G2000" s="240"/>
      <c r="H2000" s="241">
        <f t="shared" si="240"/>
        <v>0</v>
      </c>
      <c r="I2000" s="242"/>
      <c r="J2000" s="243"/>
      <c r="K2000" s="243"/>
      <c r="L2000" s="244">
        <v>0.1</v>
      </c>
      <c r="M2000" s="244">
        <f t="shared" si="241"/>
        <v>0</v>
      </c>
      <c r="N2000" s="244"/>
      <c r="O2000" s="244"/>
      <c r="P2000" s="244"/>
      <c r="Q2000" s="245">
        <f t="shared" si="242"/>
        <v>0</v>
      </c>
      <c r="R2000" s="245">
        <f t="shared" si="243"/>
        <v>0</v>
      </c>
      <c r="S2000" s="246">
        <v>0.5</v>
      </c>
      <c r="T2000" s="245">
        <f t="shared" si="244"/>
        <v>0</v>
      </c>
      <c r="U2000" s="245">
        <f t="shared" si="245"/>
        <v>0</v>
      </c>
      <c r="V2000" s="247"/>
    </row>
    <row r="2001" spans="1:22" ht="15.75" x14ac:dyDescent="0.25">
      <c r="A2001" s="236"/>
      <c r="B2001" s="237"/>
      <c r="C2001" s="238"/>
      <c r="D2001" s="239"/>
      <c r="E2001" s="240"/>
      <c r="F2001" s="240"/>
      <c r="G2001" s="240"/>
      <c r="H2001" s="241">
        <f t="shared" si="240"/>
        <v>0</v>
      </c>
      <c r="I2001" s="242"/>
      <c r="J2001" s="243"/>
      <c r="K2001" s="243"/>
      <c r="L2001" s="244">
        <v>0.1</v>
      </c>
      <c r="M2001" s="244">
        <f t="shared" si="241"/>
        <v>0</v>
      </c>
      <c r="N2001" s="244"/>
      <c r="O2001" s="244"/>
      <c r="P2001" s="244"/>
      <c r="Q2001" s="245">
        <f t="shared" si="242"/>
        <v>0</v>
      </c>
      <c r="R2001" s="245">
        <f t="shared" si="243"/>
        <v>0</v>
      </c>
      <c r="S2001" s="246">
        <v>0.5</v>
      </c>
      <c r="T2001" s="245">
        <f t="shared" si="244"/>
        <v>0</v>
      </c>
      <c r="U2001" s="245">
        <f t="shared" si="245"/>
        <v>0</v>
      </c>
      <c r="V2001" s="247"/>
    </row>
    <row r="2002" spans="1:22" ht="15.75" x14ac:dyDescent="0.25">
      <c r="A2002" s="236"/>
      <c r="B2002" s="237"/>
      <c r="C2002" s="238"/>
      <c r="D2002" s="239"/>
      <c r="E2002" s="240"/>
      <c r="F2002" s="240"/>
      <c r="G2002" s="240"/>
      <c r="H2002" s="241">
        <f t="shared" si="240"/>
        <v>0</v>
      </c>
      <c r="I2002" s="242"/>
      <c r="J2002" s="243"/>
      <c r="K2002" s="243"/>
      <c r="L2002" s="244">
        <v>0.1</v>
      </c>
      <c r="M2002" s="244">
        <f t="shared" si="241"/>
        <v>0</v>
      </c>
      <c r="N2002" s="244"/>
      <c r="O2002" s="244"/>
      <c r="P2002" s="244"/>
      <c r="Q2002" s="245">
        <f t="shared" si="242"/>
        <v>0</v>
      </c>
      <c r="R2002" s="245">
        <f t="shared" si="243"/>
        <v>0</v>
      </c>
      <c r="S2002" s="246">
        <v>0.5</v>
      </c>
      <c r="T2002" s="245">
        <f t="shared" si="244"/>
        <v>0</v>
      </c>
      <c r="U2002" s="245">
        <f t="shared" si="245"/>
        <v>0</v>
      </c>
      <c r="V2002" s="247"/>
    </row>
    <row r="2003" spans="1:22" ht="15.75" x14ac:dyDescent="0.25">
      <c r="A2003" s="236"/>
      <c r="B2003" s="237"/>
      <c r="C2003" s="238"/>
      <c r="D2003" s="239"/>
      <c r="E2003" s="240"/>
      <c r="F2003" s="240"/>
      <c r="G2003" s="240"/>
      <c r="H2003" s="241">
        <f t="shared" si="240"/>
        <v>0</v>
      </c>
      <c r="I2003" s="242"/>
      <c r="J2003" s="243"/>
      <c r="K2003" s="243"/>
      <c r="L2003" s="244">
        <v>0.1</v>
      </c>
      <c r="M2003" s="244">
        <f t="shared" si="241"/>
        <v>0</v>
      </c>
      <c r="N2003" s="244"/>
      <c r="O2003" s="244"/>
      <c r="P2003" s="244"/>
      <c r="Q2003" s="245">
        <f t="shared" si="242"/>
        <v>0</v>
      </c>
      <c r="R2003" s="245">
        <f t="shared" si="243"/>
        <v>0</v>
      </c>
      <c r="S2003" s="246">
        <v>0.5</v>
      </c>
      <c r="T2003" s="245">
        <f t="shared" si="244"/>
        <v>0</v>
      </c>
      <c r="U2003" s="245">
        <f t="shared" si="245"/>
        <v>0</v>
      </c>
      <c r="V2003" s="247"/>
    </row>
    <row r="2004" spans="1:22" ht="15.75" x14ac:dyDescent="0.25">
      <c r="A2004" s="236"/>
      <c r="B2004" s="237"/>
      <c r="C2004" s="238"/>
      <c r="D2004" s="239"/>
      <c r="E2004" s="240"/>
      <c r="F2004" s="240"/>
      <c r="G2004" s="240"/>
      <c r="H2004" s="241">
        <f t="shared" si="240"/>
        <v>0</v>
      </c>
      <c r="I2004" s="242"/>
      <c r="J2004" s="243"/>
      <c r="K2004" s="243"/>
      <c r="L2004" s="244">
        <v>0.1</v>
      </c>
      <c r="M2004" s="244">
        <f t="shared" si="241"/>
        <v>0</v>
      </c>
      <c r="N2004" s="244"/>
      <c r="O2004" s="244"/>
      <c r="P2004" s="244"/>
      <c r="Q2004" s="245">
        <f t="shared" si="242"/>
        <v>0</v>
      </c>
      <c r="R2004" s="245">
        <f t="shared" si="243"/>
        <v>0</v>
      </c>
      <c r="S2004" s="246">
        <v>0.5</v>
      </c>
      <c r="T2004" s="245">
        <f t="shared" si="244"/>
        <v>0</v>
      </c>
      <c r="U2004" s="245">
        <f t="shared" si="245"/>
        <v>0</v>
      </c>
      <c r="V2004" s="247"/>
    </row>
    <row r="2005" spans="1:22" ht="15.75" x14ac:dyDescent="0.25">
      <c r="A2005" s="236"/>
      <c r="B2005" s="237"/>
      <c r="C2005" s="238"/>
      <c r="D2005" s="239"/>
      <c r="E2005" s="240"/>
      <c r="F2005" s="240"/>
      <c r="G2005" s="240"/>
      <c r="H2005" s="241">
        <f t="shared" si="240"/>
        <v>0</v>
      </c>
      <c r="I2005" s="242"/>
      <c r="J2005" s="243"/>
      <c r="K2005" s="243"/>
      <c r="L2005" s="244">
        <v>0.1</v>
      </c>
      <c r="M2005" s="244">
        <f t="shared" si="241"/>
        <v>0</v>
      </c>
      <c r="N2005" s="244"/>
      <c r="O2005" s="244"/>
      <c r="P2005" s="244"/>
      <c r="Q2005" s="245">
        <f t="shared" si="242"/>
        <v>0</v>
      </c>
      <c r="R2005" s="245">
        <f t="shared" si="243"/>
        <v>0</v>
      </c>
      <c r="S2005" s="246">
        <v>0.5</v>
      </c>
      <c r="T2005" s="245">
        <f t="shared" si="244"/>
        <v>0</v>
      </c>
      <c r="U2005" s="245">
        <f t="shared" si="245"/>
        <v>0</v>
      </c>
      <c r="V2005" s="247"/>
    </row>
    <row r="2006" spans="1:22" ht="15.75" x14ac:dyDescent="0.25">
      <c r="A2006" s="236"/>
      <c r="B2006" s="237"/>
      <c r="C2006" s="238"/>
      <c r="D2006" s="239"/>
      <c r="E2006" s="240"/>
      <c r="F2006" s="240"/>
      <c r="G2006" s="240"/>
      <c r="H2006" s="241">
        <f t="shared" si="240"/>
        <v>0</v>
      </c>
      <c r="I2006" s="242"/>
      <c r="J2006" s="243"/>
      <c r="K2006" s="243"/>
      <c r="L2006" s="244">
        <v>0.1</v>
      </c>
      <c r="M2006" s="244">
        <f t="shared" si="241"/>
        <v>0</v>
      </c>
      <c r="N2006" s="244"/>
      <c r="O2006" s="244"/>
      <c r="P2006" s="244"/>
      <c r="Q2006" s="245">
        <f t="shared" si="242"/>
        <v>0</v>
      </c>
      <c r="R2006" s="245">
        <f t="shared" si="243"/>
        <v>0</v>
      </c>
      <c r="S2006" s="246">
        <v>0.5</v>
      </c>
      <c r="T2006" s="245">
        <f t="shared" si="244"/>
        <v>0</v>
      </c>
      <c r="U2006" s="245">
        <f t="shared" si="245"/>
        <v>0</v>
      </c>
      <c r="V2006" s="247"/>
    </row>
    <row r="2007" spans="1:22" ht="15.75" x14ac:dyDescent="0.25">
      <c r="A2007" s="236"/>
      <c r="B2007" s="237"/>
      <c r="C2007" s="238"/>
      <c r="D2007" s="239"/>
      <c r="E2007" s="240"/>
      <c r="F2007" s="240"/>
      <c r="G2007" s="240"/>
      <c r="H2007" s="241">
        <f t="shared" si="240"/>
        <v>0</v>
      </c>
      <c r="I2007" s="242"/>
      <c r="J2007" s="243"/>
      <c r="K2007" s="243"/>
      <c r="L2007" s="244">
        <v>0.1</v>
      </c>
      <c r="M2007" s="244">
        <f t="shared" si="241"/>
        <v>0</v>
      </c>
      <c r="N2007" s="244"/>
      <c r="O2007" s="244"/>
      <c r="P2007" s="244"/>
      <c r="Q2007" s="245">
        <f t="shared" si="242"/>
        <v>0</v>
      </c>
      <c r="R2007" s="245">
        <f t="shared" si="243"/>
        <v>0</v>
      </c>
      <c r="S2007" s="246">
        <v>0.5</v>
      </c>
      <c r="T2007" s="245">
        <f t="shared" si="244"/>
        <v>0</v>
      </c>
      <c r="U2007" s="245">
        <f t="shared" si="245"/>
        <v>0</v>
      </c>
      <c r="V2007" s="247"/>
    </row>
    <row r="2008" spans="1:22" ht="15.75" x14ac:dyDescent="0.25">
      <c r="A2008" s="236"/>
      <c r="B2008" s="237"/>
      <c r="C2008" s="238"/>
      <c r="D2008" s="239"/>
      <c r="E2008" s="240"/>
      <c r="F2008" s="240"/>
      <c r="G2008" s="240"/>
      <c r="H2008" s="241">
        <f t="shared" si="240"/>
        <v>0</v>
      </c>
      <c r="I2008" s="242"/>
      <c r="J2008" s="243"/>
      <c r="K2008" s="243"/>
      <c r="L2008" s="244">
        <v>0.1</v>
      </c>
      <c r="M2008" s="244">
        <f t="shared" si="241"/>
        <v>0</v>
      </c>
      <c r="N2008" s="244"/>
      <c r="O2008" s="244"/>
      <c r="P2008" s="244"/>
      <c r="Q2008" s="245">
        <f t="shared" si="242"/>
        <v>0</v>
      </c>
      <c r="R2008" s="245">
        <f t="shared" si="243"/>
        <v>0</v>
      </c>
      <c r="S2008" s="246">
        <v>0.5</v>
      </c>
      <c r="T2008" s="245">
        <f t="shared" si="244"/>
        <v>0</v>
      </c>
      <c r="U2008" s="245">
        <f t="shared" si="245"/>
        <v>0</v>
      </c>
      <c r="V2008" s="247"/>
    </row>
    <row r="2009" spans="1:22" ht="15.75" x14ac:dyDescent="0.25">
      <c r="A2009" s="236"/>
      <c r="B2009" s="237"/>
      <c r="C2009" s="238"/>
      <c r="D2009" s="239"/>
      <c r="E2009" s="240"/>
      <c r="F2009" s="240"/>
      <c r="G2009" s="240"/>
      <c r="H2009" s="241">
        <f t="shared" si="240"/>
        <v>0</v>
      </c>
      <c r="I2009" s="242"/>
      <c r="J2009" s="243"/>
      <c r="K2009" s="243"/>
      <c r="L2009" s="244">
        <v>0.1</v>
      </c>
      <c r="M2009" s="244">
        <f t="shared" si="241"/>
        <v>0</v>
      </c>
      <c r="N2009" s="244"/>
      <c r="O2009" s="244"/>
      <c r="P2009" s="244"/>
      <c r="Q2009" s="245">
        <f t="shared" si="242"/>
        <v>0</v>
      </c>
      <c r="R2009" s="245">
        <f t="shared" si="243"/>
        <v>0</v>
      </c>
      <c r="S2009" s="246">
        <v>0.5</v>
      </c>
      <c r="T2009" s="245">
        <f t="shared" si="244"/>
        <v>0</v>
      </c>
      <c r="U2009" s="245">
        <f t="shared" si="245"/>
        <v>0</v>
      </c>
      <c r="V2009" s="247"/>
    </row>
    <row r="2010" spans="1:22" ht="15.75" x14ac:dyDescent="0.25">
      <c r="A2010" s="236"/>
      <c r="B2010" s="237"/>
      <c r="C2010" s="238"/>
      <c r="D2010" s="239"/>
      <c r="E2010" s="240"/>
      <c r="F2010" s="240"/>
      <c r="G2010" s="240"/>
      <c r="H2010" s="241">
        <f t="shared" si="240"/>
        <v>0</v>
      </c>
      <c r="I2010" s="242"/>
      <c r="J2010" s="243"/>
      <c r="K2010" s="243"/>
      <c r="L2010" s="244">
        <v>0.1</v>
      </c>
      <c r="M2010" s="244">
        <f t="shared" si="241"/>
        <v>0</v>
      </c>
      <c r="N2010" s="244"/>
      <c r="O2010" s="244"/>
      <c r="P2010" s="244"/>
      <c r="Q2010" s="245">
        <f t="shared" si="242"/>
        <v>0</v>
      </c>
      <c r="R2010" s="245">
        <f t="shared" si="243"/>
        <v>0</v>
      </c>
      <c r="S2010" s="246">
        <v>0.5</v>
      </c>
      <c r="T2010" s="245">
        <f t="shared" si="244"/>
        <v>0</v>
      </c>
      <c r="U2010" s="245">
        <f t="shared" si="245"/>
        <v>0</v>
      </c>
      <c r="V2010" s="247"/>
    </row>
    <row r="2011" spans="1:22" ht="15.75" x14ac:dyDescent="0.25">
      <c r="A2011" s="236"/>
      <c r="B2011" s="237"/>
      <c r="C2011" s="238"/>
      <c r="D2011" s="239"/>
      <c r="E2011" s="240"/>
      <c r="F2011" s="240"/>
      <c r="G2011" s="240"/>
      <c r="H2011" s="241">
        <f t="shared" si="240"/>
        <v>0</v>
      </c>
      <c r="I2011" s="242"/>
      <c r="J2011" s="243"/>
      <c r="K2011" s="243"/>
      <c r="L2011" s="244">
        <v>0.1</v>
      </c>
      <c r="M2011" s="244">
        <f t="shared" si="241"/>
        <v>0</v>
      </c>
      <c r="N2011" s="244"/>
      <c r="O2011" s="244"/>
      <c r="P2011" s="244"/>
      <c r="Q2011" s="245">
        <f t="shared" si="242"/>
        <v>0</v>
      </c>
      <c r="R2011" s="245">
        <f t="shared" si="243"/>
        <v>0</v>
      </c>
      <c r="S2011" s="246">
        <v>0.5</v>
      </c>
      <c r="T2011" s="245">
        <f t="shared" si="244"/>
        <v>0</v>
      </c>
      <c r="U2011" s="245">
        <f t="shared" si="245"/>
        <v>0</v>
      </c>
      <c r="V2011" s="247"/>
    </row>
    <row r="2012" spans="1:22" ht="15.75" x14ac:dyDescent="0.25">
      <c r="A2012" s="236"/>
      <c r="B2012" s="237"/>
      <c r="C2012" s="238"/>
      <c r="D2012" s="239"/>
      <c r="E2012" s="240"/>
      <c r="F2012" s="240"/>
      <c r="G2012" s="240"/>
      <c r="H2012" s="241">
        <f t="shared" si="240"/>
        <v>0</v>
      </c>
      <c r="I2012" s="242"/>
      <c r="J2012" s="243"/>
      <c r="K2012" s="243"/>
      <c r="L2012" s="244">
        <v>0.1</v>
      </c>
      <c r="M2012" s="244">
        <f t="shared" si="241"/>
        <v>0</v>
      </c>
      <c r="N2012" s="244"/>
      <c r="O2012" s="244"/>
      <c r="P2012" s="244"/>
      <c r="Q2012" s="245">
        <f t="shared" si="242"/>
        <v>0</v>
      </c>
      <c r="R2012" s="245">
        <f t="shared" si="243"/>
        <v>0</v>
      </c>
      <c r="S2012" s="246">
        <v>0.5</v>
      </c>
      <c r="T2012" s="245">
        <f t="shared" si="244"/>
        <v>0</v>
      </c>
      <c r="U2012" s="245">
        <f t="shared" si="245"/>
        <v>0</v>
      </c>
      <c r="V2012" s="247"/>
    </row>
    <row r="2013" spans="1:22" ht="15.75" x14ac:dyDescent="0.25">
      <c r="A2013" s="236"/>
      <c r="B2013" s="237"/>
      <c r="C2013" s="238"/>
      <c r="D2013" s="239"/>
      <c r="E2013" s="240"/>
      <c r="F2013" s="240"/>
      <c r="G2013" s="240"/>
      <c r="H2013" s="241">
        <f t="shared" si="240"/>
        <v>0</v>
      </c>
      <c r="I2013" s="242"/>
      <c r="J2013" s="243"/>
      <c r="K2013" s="243"/>
      <c r="L2013" s="244">
        <v>0.1</v>
      </c>
      <c r="M2013" s="244">
        <f t="shared" si="241"/>
        <v>0</v>
      </c>
      <c r="N2013" s="244"/>
      <c r="O2013" s="244"/>
      <c r="P2013" s="244"/>
      <c r="Q2013" s="245">
        <f t="shared" si="242"/>
        <v>0</v>
      </c>
      <c r="R2013" s="245">
        <f t="shared" si="243"/>
        <v>0</v>
      </c>
      <c r="S2013" s="246">
        <v>0.5</v>
      </c>
      <c r="T2013" s="245">
        <f t="shared" si="244"/>
        <v>0</v>
      </c>
      <c r="U2013" s="245">
        <f t="shared" si="245"/>
        <v>0</v>
      </c>
      <c r="V2013" s="247"/>
    </row>
    <row r="2014" spans="1:22" ht="15.75" x14ac:dyDescent="0.25">
      <c r="A2014" s="236"/>
      <c r="B2014" s="237"/>
      <c r="C2014" s="238"/>
      <c r="D2014" s="239"/>
      <c r="E2014" s="240"/>
      <c r="F2014" s="240"/>
      <c r="G2014" s="240"/>
      <c r="H2014" s="241">
        <f t="shared" si="240"/>
        <v>0</v>
      </c>
      <c r="I2014" s="242"/>
      <c r="J2014" s="243"/>
      <c r="K2014" s="243"/>
      <c r="L2014" s="244">
        <v>0.1</v>
      </c>
      <c r="M2014" s="244">
        <f t="shared" si="241"/>
        <v>0</v>
      </c>
      <c r="N2014" s="244"/>
      <c r="O2014" s="244"/>
      <c r="P2014" s="244"/>
      <c r="Q2014" s="245">
        <f t="shared" si="242"/>
        <v>0</v>
      </c>
      <c r="R2014" s="245">
        <f t="shared" si="243"/>
        <v>0</v>
      </c>
      <c r="S2014" s="246">
        <v>0.5</v>
      </c>
      <c r="T2014" s="245">
        <f t="shared" si="244"/>
        <v>0</v>
      </c>
      <c r="U2014" s="245">
        <f t="shared" si="245"/>
        <v>0</v>
      </c>
      <c r="V2014" s="247"/>
    </row>
    <row r="2015" spans="1:22" ht="15.75" x14ac:dyDescent="0.25">
      <c r="A2015" s="236"/>
      <c r="B2015" s="237"/>
      <c r="C2015" s="238"/>
      <c r="D2015" s="239"/>
      <c r="E2015" s="240"/>
      <c r="F2015" s="240"/>
      <c r="G2015" s="240"/>
      <c r="H2015" s="241">
        <f t="shared" si="240"/>
        <v>0</v>
      </c>
      <c r="I2015" s="242"/>
      <c r="J2015" s="243"/>
      <c r="K2015" s="243"/>
      <c r="L2015" s="244">
        <v>0.1</v>
      </c>
      <c r="M2015" s="244">
        <f t="shared" si="241"/>
        <v>0</v>
      </c>
      <c r="N2015" s="244"/>
      <c r="O2015" s="244"/>
      <c r="P2015" s="244"/>
      <c r="Q2015" s="245">
        <f t="shared" si="242"/>
        <v>0</v>
      </c>
      <c r="R2015" s="245">
        <f t="shared" si="243"/>
        <v>0</v>
      </c>
      <c r="S2015" s="246">
        <v>0.5</v>
      </c>
      <c r="T2015" s="245">
        <f t="shared" si="244"/>
        <v>0</v>
      </c>
      <c r="U2015" s="245">
        <f t="shared" si="245"/>
        <v>0</v>
      </c>
      <c r="V2015" s="247"/>
    </row>
    <row r="2016" spans="1:22" ht="15.75" x14ac:dyDescent="0.25">
      <c r="A2016" s="236"/>
      <c r="B2016" s="237"/>
      <c r="C2016" s="238"/>
      <c r="D2016" s="239"/>
      <c r="E2016" s="240"/>
      <c r="F2016" s="240"/>
      <c r="G2016" s="240"/>
      <c r="H2016" s="241">
        <f t="shared" si="240"/>
        <v>0</v>
      </c>
      <c r="I2016" s="242"/>
      <c r="J2016" s="243"/>
      <c r="K2016" s="243"/>
      <c r="L2016" s="244">
        <v>0.1</v>
      </c>
      <c r="M2016" s="244">
        <f t="shared" si="241"/>
        <v>0</v>
      </c>
      <c r="N2016" s="244"/>
      <c r="O2016" s="244"/>
      <c r="P2016" s="244"/>
      <c r="Q2016" s="245">
        <f t="shared" si="242"/>
        <v>0</v>
      </c>
      <c r="R2016" s="245">
        <f t="shared" si="243"/>
        <v>0</v>
      </c>
      <c r="S2016" s="246">
        <v>0.5</v>
      </c>
      <c r="T2016" s="245">
        <f t="shared" si="244"/>
        <v>0</v>
      </c>
      <c r="U2016" s="245">
        <f t="shared" si="245"/>
        <v>0</v>
      </c>
      <c r="V2016" s="247"/>
    </row>
    <row r="2017" spans="1:22" ht="15.75" x14ac:dyDescent="0.25">
      <c r="A2017" s="236"/>
      <c r="B2017" s="237"/>
      <c r="C2017" s="238"/>
      <c r="D2017" s="239"/>
      <c r="E2017" s="240"/>
      <c r="F2017" s="240"/>
      <c r="G2017" s="240"/>
      <c r="H2017" s="241">
        <f t="shared" si="240"/>
        <v>0</v>
      </c>
      <c r="I2017" s="242"/>
      <c r="J2017" s="243"/>
      <c r="K2017" s="243"/>
      <c r="L2017" s="244">
        <v>0.1</v>
      </c>
      <c r="M2017" s="244">
        <f t="shared" si="241"/>
        <v>0</v>
      </c>
      <c r="N2017" s="244"/>
      <c r="O2017" s="244"/>
      <c r="P2017" s="244"/>
      <c r="Q2017" s="245">
        <f t="shared" si="242"/>
        <v>0</v>
      </c>
      <c r="R2017" s="245">
        <f t="shared" si="243"/>
        <v>0</v>
      </c>
      <c r="S2017" s="246">
        <v>0.5</v>
      </c>
      <c r="T2017" s="245">
        <f t="shared" si="244"/>
        <v>0</v>
      </c>
      <c r="U2017" s="245">
        <f t="shared" si="245"/>
        <v>0</v>
      </c>
      <c r="V2017" s="247"/>
    </row>
    <row r="2018" spans="1:22" ht="15.75" x14ac:dyDescent="0.25">
      <c r="A2018" s="236"/>
      <c r="B2018" s="237"/>
      <c r="C2018" s="238"/>
      <c r="D2018" s="239"/>
      <c r="E2018" s="240"/>
      <c r="F2018" s="240"/>
      <c r="G2018" s="240"/>
      <c r="H2018" s="241">
        <f t="shared" si="240"/>
        <v>0</v>
      </c>
      <c r="I2018" s="242"/>
      <c r="J2018" s="243"/>
      <c r="K2018" s="243"/>
      <c r="L2018" s="244">
        <v>0.1</v>
      </c>
      <c r="M2018" s="244">
        <f t="shared" si="241"/>
        <v>0</v>
      </c>
      <c r="N2018" s="244"/>
      <c r="O2018" s="244"/>
      <c r="P2018" s="244"/>
      <c r="Q2018" s="245">
        <f t="shared" si="242"/>
        <v>0</v>
      </c>
      <c r="R2018" s="245">
        <f t="shared" si="243"/>
        <v>0</v>
      </c>
      <c r="S2018" s="246">
        <v>0.5</v>
      </c>
      <c r="T2018" s="245">
        <f t="shared" si="244"/>
        <v>0</v>
      </c>
      <c r="U2018" s="245">
        <f t="shared" si="245"/>
        <v>0</v>
      </c>
      <c r="V2018" s="247"/>
    </row>
    <row r="2019" spans="1:22" ht="15.75" x14ac:dyDescent="0.25">
      <c r="A2019" s="236"/>
      <c r="B2019" s="237"/>
      <c r="C2019" s="238"/>
      <c r="D2019" s="239"/>
      <c r="E2019" s="240"/>
      <c r="F2019" s="240"/>
      <c r="G2019" s="240"/>
      <c r="H2019" s="241">
        <f t="shared" si="240"/>
        <v>0</v>
      </c>
      <c r="I2019" s="242"/>
      <c r="J2019" s="243"/>
      <c r="K2019" s="243"/>
      <c r="L2019" s="244">
        <v>0.1</v>
      </c>
      <c r="M2019" s="244">
        <f t="shared" si="241"/>
        <v>0</v>
      </c>
      <c r="N2019" s="244"/>
      <c r="O2019" s="244"/>
      <c r="P2019" s="244"/>
      <c r="Q2019" s="245">
        <f t="shared" si="242"/>
        <v>0</v>
      </c>
      <c r="R2019" s="245">
        <f t="shared" si="243"/>
        <v>0</v>
      </c>
      <c r="S2019" s="246">
        <v>0.5</v>
      </c>
      <c r="T2019" s="245">
        <f t="shared" si="244"/>
        <v>0</v>
      </c>
      <c r="U2019" s="245">
        <f t="shared" si="245"/>
        <v>0</v>
      </c>
      <c r="V2019" s="247"/>
    </row>
    <row r="2020" spans="1:22" ht="15.75" x14ac:dyDescent="0.25">
      <c r="A2020" s="236"/>
      <c r="B2020" s="237"/>
      <c r="C2020" s="238"/>
      <c r="D2020" s="239"/>
      <c r="E2020" s="240"/>
      <c r="F2020" s="240"/>
      <c r="G2020" s="240"/>
      <c r="H2020" s="241">
        <f t="shared" si="240"/>
        <v>0</v>
      </c>
      <c r="I2020" s="242"/>
      <c r="J2020" s="243"/>
      <c r="K2020" s="243"/>
      <c r="L2020" s="244">
        <v>0.1</v>
      </c>
      <c r="M2020" s="244">
        <f t="shared" si="241"/>
        <v>0</v>
      </c>
      <c r="N2020" s="244"/>
      <c r="O2020" s="244"/>
      <c r="P2020" s="244"/>
      <c r="Q2020" s="245">
        <f t="shared" si="242"/>
        <v>0</v>
      </c>
      <c r="R2020" s="245">
        <f t="shared" si="243"/>
        <v>0</v>
      </c>
      <c r="S2020" s="246">
        <v>0.5</v>
      </c>
      <c r="T2020" s="245">
        <f t="shared" si="244"/>
        <v>0</v>
      </c>
      <c r="U2020" s="245">
        <f t="shared" si="245"/>
        <v>0</v>
      </c>
      <c r="V2020" s="247"/>
    </row>
    <row r="2021" spans="1:22" ht="15.75" x14ac:dyDescent="0.25">
      <c r="A2021" s="236"/>
      <c r="B2021" s="237"/>
      <c r="C2021" s="238"/>
      <c r="D2021" s="239"/>
      <c r="E2021" s="240"/>
      <c r="F2021" s="240"/>
      <c r="G2021" s="240"/>
      <c r="H2021" s="241">
        <f t="shared" si="240"/>
        <v>0</v>
      </c>
      <c r="I2021" s="242"/>
      <c r="J2021" s="243"/>
      <c r="K2021" s="243"/>
      <c r="L2021" s="244">
        <v>0.1</v>
      </c>
      <c r="M2021" s="244">
        <f t="shared" si="241"/>
        <v>0</v>
      </c>
      <c r="N2021" s="244"/>
      <c r="O2021" s="244"/>
      <c r="P2021" s="244"/>
      <c r="Q2021" s="245">
        <f t="shared" si="242"/>
        <v>0</v>
      </c>
      <c r="R2021" s="245">
        <f t="shared" si="243"/>
        <v>0</v>
      </c>
      <c r="S2021" s="246">
        <v>0.5</v>
      </c>
      <c r="T2021" s="245">
        <f t="shared" si="244"/>
        <v>0</v>
      </c>
      <c r="U2021" s="245">
        <f t="shared" si="245"/>
        <v>0</v>
      </c>
      <c r="V2021" s="247"/>
    </row>
    <row r="2022" spans="1:22" ht="15.75" x14ac:dyDescent="0.25">
      <c r="A2022" s="236"/>
      <c r="B2022" s="237"/>
      <c r="C2022" s="238"/>
      <c r="D2022" s="239"/>
      <c r="E2022" s="240"/>
      <c r="F2022" s="240"/>
      <c r="G2022" s="240"/>
      <c r="H2022" s="241">
        <f t="shared" si="240"/>
        <v>0</v>
      </c>
      <c r="I2022" s="242"/>
      <c r="J2022" s="243"/>
      <c r="K2022" s="243"/>
      <c r="L2022" s="244">
        <v>0.1</v>
      </c>
      <c r="M2022" s="244">
        <f t="shared" si="241"/>
        <v>0</v>
      </c>
      <c r="N2022" s="244"/>
      <c r="O2022" s="244"/>
      <c r="P2022" s="244"/>
      <c r="Q2022" s="245">
        <f t="shared" si="242"/>
        <v>0</v>
      </c>
      <c r="R2022" s="245">
        <f t="shared" si="243"/>
        <v>0</v>
      </c>
      <c r="S2022" s="246">
        <v>0.5</v>
      </c>
      <c r="T2022" s="245">
        <f t="shared" si="244"/>
        <v>0</v>
      </c>
      <c r="U2022" s="245">
        <f t="shared" si="245"/>
        <v>0</v>
      </c>
      <c r="V2022" s="247"/>
    </row>
    <row r="2023" spans="1:22" ht="15.75" x14ac:dyDescent="0.25">
      <c r="A2023" s="236"/>
      <c r="B2023" s="237"/>
      <c r="C2023" s="238"/>
      <c r="D2023" s="239"/>
      <c r="E2023" s="240"/>
      <c r="F2023" s="240"/>
      <c r="G2023" s="240"/>
      <c r="H2023" s="241">
        <f t="shared" si="240"/>
        <v>0</v>
      </c>
      <c r="I2023" s="242"/>
      <c r="J2023" s="243"/>
      <c r="K2023" s="243"/>
      <c r="L2023" s="244">
        <v>0.1</v>
      </c>
      <c r="M2023" s="244">
        <f t="shared" si="241"/>
        <v>0</v>
      </c>
      <c r="N2023" s="244"/>
      <c r="O2023" s="244"/>
      <c r="P2023" s="244"/>
      <c r="Q2023" s="245">
        <f t="shared" si="242"/>
        <v>0</v>
      </c>
      <c r="R2023" s="245">
        <f t="shared" si="243"/>
        <v>0</v>
      </c>
      <c r="S2023" s="246">
        <v>0.5</v>
      </c>
      <c r="T2023" s="245">
        <f t="shared" si="244"/>
        <v>0</v>
      </c>
      <c r="U2023" s="245">
        <f t="shared" si="245"/>
        <v>0</v>
      </c>
      <c r="V2023" s="247"/>
    </row>
    <row r="2024" spans="1:22" ht="15.75" x14ac:dyDescent="0.25">
      <c r="A2024" s="236"/>
      <c r="B2024" s="237"/>
      <c r="C2024" s="238"/>
      <c r="D2024" s="239"/>
      <c r="E2024" s="240"/>
      <c r="F2024" s="240"/>
      <c r="G2024" s="240"/>
      <c r="H2024" s="241">
        <f t="shared" si="240"/>
        <v>0</v>
      </c>
      <c r="I2024" s="242"/>
      <c r="J2024" s="243"/>
      <c r="K2024" s="243"/>
      <c r="L2024" s="244">
        <v>0.1</v>
      </c>
      <c r="M2024" s="244">
        <f t="shared" si="241"/>
        <v>0</v>
      </c>
      <c r="N2024" s="244"/>
      <c r="O2024" s="244"/>
      <c r="P2024" s="244"/>
      <c r="Q2024" s="245">
        <f t="shared" si="242"/>
        <v>0</v>
      </c>
      <c r="R2024" s="245">
        <f t="shared" si="243"/>
        <v>0</v>
      </c>
      <c r="S2024" s="246">
        <v>0.5</v>
      </c>
      <c r="T2024" s="245">
        <f t="shared" si="244"/>
        <v>0</v>
      </c>
      <c r="U2024" s="245">
        <f t="shared" si="245"/>
        <v>0</v>
      </c>
      <c r="V2024" s="247"/>
    </row>
    <row r="2025" spans="1:22" ht="15.75" x14ac:dyDescent="0.25">
      <c r="A2025" s="236"/>
      <c r="B2025" s="237"/>
      <c r="C2025" s="238"/>
      <c r="D2025" s="239"/>
      <c r="E2025" s="240"/>
      <c r="F2025" s="240"/>
      <c r="G2025" s="240"/>
      <c r="H2025" s="241">
        <f t="shared" si="240"/>
        <v>0</v>
      </c>
      <c r="I2025" s="242"/>
      <c r="J2025" s="243"/>
      <c r="K2025" s="243"/>
      <c r="L2025" s="244">
        <v>0.1</v>
      </c>
      <c r="M2025" s="244">
        <f t="shared" si="241"/>
        <v>0</v>
      </c>
      <c r="N2025" s="244"/>
      <c r="O2025" s="244"/>
      <c r="P2025" s="244"/>
      <c r="Q2025" s="245">
        <f t="shared" si="242"/>
        <v>0</v>
      </c>
      <c r="R2025" s="245">
        <f t="shared" si="243"/>
        <v>0</v>
      </c>
      <c r="S2025" s="246">
        <v>0.5</v>
      </c>
      <c r="T2025" s="245">
        <f t="shared" si="244"/>
        <v>0</v>
      </c>
      <c r="U2025" s="245">
        <f t="shared" si="245"/>
        <v>0</v>
      </c>
      <c r="V2025" s="247"/>
    </row>
    <row r="2026" spans="1:22" ht="15.75" x14ac:dyDescent="0.25">
      <c r="A2026" s="236"/>
      <c r="B2026" s="237"/>
      <c r="C2026" s="238"/>
      <c r="D2026" s="239"/>
      <c r="E2026" s="240"/>
      <c r="F2026" s="240"/>
      <c r="G2026" s="240"/>
      <c r="H2026" s="241">
        <f t="shared" si="240"/>
        <v>0</v>
      </c>
      <c r="I2026" s="242"/>
      <c r="J2026" s="243"/>
      <c r="K2026" s="243"/>
      <c r="L2026" s="244">
        <v>0.1</v>
      </c>
      <c r="M2026" s="244">
        <f t="shared" si="241"/>
        <v>0</v>
      </c>
      <c r="N2026" s="244"/>
      <c r="O2026" s="244"/>
      <c r="P2026" s="244"/>
      <c r="Q2026" s="245">
        <f t="shared" si="242"/>
        <v>0</v>
      </c>
      <c r="R2026" s="245">
        <f t="shared" si="243"/>
        <v>0</v>
      </c>
      <c r="S2026" s="246">
        <v>0.5</v>
      </c>
      <c r="T2026" s="245">
        <f t="shared" si="244"/>
        <v>0</v>
      </c>
      <c r="U2026" s="245">
        <f t="shared" si="245"/>
        <v>0</v>
      </c>
      <c r="V2026" s="247"/>
    </row>
    <row r="2027" spans="1:22" ht="15.75" x14ac:dyDescent="0.25">
      <c r="A2027" s="236"/>
      <c r="B2027" s="237"/>
      <c r="C2027" s="238"/>
      <c r="D2027" s="239"/>
      <c r="E2027" s="240"/>
      <c r="F2027" s="240"/>
      <c r="G2027" s="240"/>
      <c r="H2027" s="241">
        <f t="shared" si="240"/>
        <v>0</v>
      </c>
      <c r="I2027" s="242"/>
      <c r="J2027" s="243"/>
      <c r="K2027" s="243"/>
      <c r="L2027" s="244">
        <v>0.1</v>
      </c>
      <c r="M2027" s="244">
        <f t="shared" si="241"/>
        <v>0</v>
      </c>
      <c r="N2027" s="244"/>
      <c r="O2027" s="244"/>
      <c r="P2027" s="244"/>
      <c r="Q2027" s="245">
        <f t="shared" si="242"/>
        <v>0</v>
      </c>
      <c r="R2027" s="245">
        <f t="shared" si="243"/>
        <v>0</v>
      </c>
      <c r="S2027" s="246">
        <v>0.5</v>
      </c>
      <c r="T2027" s="245">
        <f t="shared" si="244"/>
        <v>0</v>
      </c>
      <c r="U2027" s="245">
        <f t="shared" si="245"/>
        <v>0</v>
      </c>
      <c r="V2027" s="247"/>
    </row>
    <row r="2028" spans="1:22" ht="15.75" x14ac:dyDescent="0.25">
      <c r="A2028" s="236"/>
      <c r="B2028" s="237"/>
      <c r="C2028" s="238"/>
      <c r="D2028" s="239"/>
      <c r="E2028" s="240"/>
      <c r="F2028" s="240"/>
      <c r="G2028" s="240"/>
      <c r="H2028" s="241">
        <f t="shared" si="240"/>
        <v>0</v>
      </c>
      <c r="I2028" s="242"/>
      <c r="J2028" s="243"/>
      <c r="K2028" s="243"/>
      <c r="L2028" s="244">
        <v>0.1</v>
      </c>
      <c r="M2028" s="244">
        <f t="shared" si="241"/>
        <v>0</v>
      </c>
      <c r="N2028" s="244"/>
      <c r="O2028" s="244"/>
      <c r="P2028" s="244"/>
      <c r="Q2028" s="245">
        <f t="shared" si="242"/>
        <v>0</v>
      </c>
      <c r="R2028" s="245">
        <f t="shared" si="243"/>
        <v>0</v>
      </c>
      <c r="S2028" s="246">
        <v>0.5</v>
      </c>
      <c r="T2028" s="245">
        <f t="shared" si="244"/>
        <v>0</v>
      </c>
      <c r="U2028" s="245">
        <f t="shared" si="245"/>
        <v>0</v>
      </c>
      <c r="V2028" s="247"/>
    </row>
    <row r="2029" spans="1:22" ht="15.75" x14ac:dyDescent="0.25">
      <c r="A2029" s="236"/>
      <c r="B2029" s="237"/>
      <c r="C2029" s="238"/>
      <c r="D2029" s="239"/>
      <c r="E2029" s="240"/>
      <c r="F2029" s="240"/>
      <c r="G2029" s="240"/>
      <c r="H2029" s="241">
        <f t="shared" si="240"/>
        <v>0</v>
      </c>
      <c r="I2029" s="242"/>
      <c r="J2029" s="243"/>
      <c r="K2029" s="243"/>
      <c r="L2029" s="244">
        <v>0.1</v>
      </c>
      <c r="M2029" s="244">
        <f t="shared" si="241"/>
        <v>0</v>
      </c>
      <c r="N2029" s="244"/>
      <c r="O2029" s="244"/>
      <c r="P2029" s="244"/>
      <c r="Q2029" s="245">
        <f t="shared" si="242"/>
        <v>0</v>
      </c>
      <c r="R2029" s="245">
        <f t="shared" si="243"/>
        <v>0</v>
      </c>
      <c r="S2029" s="246">
        <v>0.5</v>
      </c>
      <c r="T2029" s="245">
        <f t="shared" si="244"/>
        <v>0</v>
      </c>
      <c r="U2029" s="245">
        <f t="shared" si="245"/>
        <v>0</v>
      </c>
      <c r="V2029" s="247"/>
    </row>
    <row r="2030" spans="1:22" ht="15.75" x14ac:dyDescent="0.25">
      <c r="A2030" s="236"/>
      <c r="B2030" s="237"/>
      <c r="C2030" s="238"/>
      <c r="D2030" s="239"/>
      <c r="E2030" s="240"/>
      <c r="F2030" s="240"/>
      <c r="G2030" s="240"/>
      <c r="H2030" s="241">
        <f t="shared" si="240"/>
        <v>0</v>
      </c>
      <c r="I2030" s="242"/>
      <c r="J2030" s="243"/>
      <c r="K2030" s="243"/>
      <c r="L2030" s="244">
        <v>0.1</v>
      </c>
      <c r="M2030" s="244">
        <f t="shared" si="241"/>
        <v>0</v>
      </c>
      <c r="N2030" s="244"/>
      <c r="O2030" s="244"/>
      <c r="P2030" s="244"/>
      <c r="Q2030" s="245">
        <f t="shared" si="242"/>
        <v>0</v>
      </c>
      <c r="R2030" s="245">
        <f t="shared" si="243"/>
        <v>0</v>
      </c>
      <c r="S2030" s="246">
        <v>0.5</v>
      </c>
      <c r="T2030" s="245">
        <f t="shared" si="244"/>
        <v>0</v>
      </c>
      <c r="U2030" s="245">
        <f t="shared" si="245"/>
        <v>0</v>
      </c>
      <c r="V2030" s="247"/>
    </row>
    <row r="2031" spans="1:22" ht="15.75" x14ac:dyDescent="0.25">
      <c r="A2031" s="236"/>
      <c r="B2031" s="237"/>
      <c r="C2031" s="238"/>
      <c r="D2031" s="239"/>
      <c r="E2031" s="240"/>
      <c r="F2031" s="240"/>
      <c r="G2031" s="240"/>
      <c r="H2031" s="241">
        <f t="shared" si="240"/>
        <v>0</v>
      </c>
      <c r="I2031" s="242"/>
      <c r="J2031" s="243"/>
      <c r="K2031" s="243"/>
      <c r="L2031" s="244">
        <v>0.1</v>
      </c>
      <c r="M2031" s="244">
        <f t="shared" si="241"/>
        <v>0</v>
      </c>
      <c r="N2031" s="244"/>
      <c r="O2031" s="244"/>
      <c r="P2031" s="244"/>
      <c r="Q2031" s="245">
        <f t="shared" si="242"/>
        <v>0</v>
      </c>
      <c r="R2031" s="245">
        <f t="shared" si="243"/>
        <v>0</v>
      </c>
      <c r="S2031" s="246">
        <v>0.5</v>
      </c>
      <c r="T2031" s="245">
        <f t="shared" si="244"/>
        <v>0</v>
      </c>
      <c r="U2031" s="245">
        <f t="shared" si="245"/>
        <v>0</v>
      </c>
      <c r="V2031" s="247"/>
    </row>
    <row r="2032" spans="1:22" ht="15.75" x14ac:dyDescent="0.25">
      <c r="A2032" s="236"/>
      <c r="B2032" s="237"/>
      <c r="C2032" s="238"/>
      <c r="D2032" s="239"/>
      <c r="E2032" s="240"/>
      <c r="F2032" s="240"/>
      <c r="G2032" s="240"/>
      <c r="H2032" s="241">
        <f t="shared" si="240"/>
        <v>0</v>
      </c>
      <c r="I2032" s="242"/>
      <c r="J2032" s="243"/>
      <c r="K2032" s="243"/>
      <c r="L2032" s="244">
        <v>0.1</v>
      </c>
      <c r="M2032" s="244">
        <f t="shared" si="241"/>
        <v>0</v>
      </c>
      <c r="N2032" s="244"/>
      <c r="O2032" s="244"/>
      <c r="P2032" s="244"/>
      <c r="Q2032" s="245">
        <f t="shared" si="242"/>
        <v>0</v>
      </c>
      <c r="R2032" s="245">
        <f t="shared" si="243"/>
        <v>0</v>
      </c>
      <c r="S2032" s="246">
        <v>0.5</v>
      </c>
      <c r="T2032" s="245">
        <f t="shared" si="244"/>
        <v>0</v>
      </c>
      <c r="U2032" s="245">
        <f t="shared" si="245"/>
        <v>0</v>
      </c>
      <c r="V2032" s="247"/>
    </row>
    <row r="2033" spans="1:22" ht="15.75" x14ac:dyDescent="0.25">
      <c r="A2033" s="236"/>
      <c r="B2033" s="237"/>
      <c r="C2033" s="238"/>
      <c r="D2033" s="239"/>
      <c r="E2033" s="240"/>
      <c r="F2033" s="240"/>
      <c r="G2033" s="240"/>
      <c r="H2033" s="241">
        <f t="shared" si="240"/>
        <v>0</v>
      </c>
      <c r="I2033" s="242"/>
      <c r="J2033" s="243"/>
      <c r="K2033" s="243"/>
      <c r="L2033" s="244">
        <v>0.1</v>
      </c>
      <c r="M2033" s="244">
        <f t="shared" si="241"/>
        <v>0</v>
      </c>
      <c r="N2033" s="244"/>
      <c r="O2033" s="244"/>
      <c r="P2033" s="244"/>
      <c r="Q2033" s="245">
        <f t="shared" si="242"/>
        <v>0</v>
      </c>
      <c r="R2033" s="245">
        <f t="shared" si="243"/>
        <v>0</v>
      </c>
      <c r="S2033" s="246">
        <v>0.5</v>
      </c>
      <c r="T2033" s="245">
        <f t="shared" si="244"/>
        <v>0</v>
      </c>
      <c r="U2033" s="245">
        <f t="shared" si="245"/>
        <v>0</v>
      </c>
      <c r="V2033" s="247"/>
    </row>
    <row r="2034" spans="1:22" ht="15.75" x14ac:dyDescent="0.25">
      <c r="A2034" s="236"/>
      <c r="B2034" s="237"/>
      <c r="C2034" s="238"/>
      <c r="D2034" s="239"/>
      <c r="E2034" s="240"/>
      <c r="F2034" s="240"/>
      <c r="G2034" s="240"/>
      <c r="H2034" s="241">
        <f t="shared" si="240"/>
        <v>0</v>
      </c>
      <c r="I2034" s="242"/>
      <c r="J2034" s="243"/>
      <c r="K2034" s="243"/>
      <c r="L2034" s="244">
        <v>0.1</v>
      </c>
      <c r="M2034" s="244">
        <f t="shared" si="241"/>
        <v>0</v>
      </c>
      <c r="N2034" s="244"/>
      <c r="O2034" s="244"/>
      <c r="P2034" s="244"/>
      <c r="Q2034" s="245">
        <f t="shared" si="242"/>
        <v>0</v>
      </c>
      <c r="R2034" s="245">
        <f t="shared" si="243"/>
        <v>0</v>
      </c>
      <c r="S2034" s="246">
        <v>0.5</v>
      </c>
      <c r="T2034" s="245">
        <f t="shared" si="244"/>
        <v>0</v>
      </c>
      <c r="U2034" s="245">
        <f t="shared" si="245"/>
        <v>0</v>
      </c>
      <c r="V2034" s="247"/>
    </row>
    <row r="2035" spans="1:22" ht="15.75" x14ac:dyDescent="0.25">
      <c r="A2035" s="236"/>
      <c r="B2035" s="237"/>
      <c r="C2035" s="238"/>
      <c r="D2035" s="239"/>
      <c r="E2035" s="240"/>
      <c r="F2035" s="240"/>
      <c r="G2035" s="240"/>
      <c r="H2035" s="241">
        <f t="shared" si="240"/>
        <v>0</v>
      </c>
      <c r="I2035" s="242"/>
      <c r="J2035" s="243"/>
      <c r="K2035" s="243"/>
      <c r="L2035" s="244">
        <v>0.1</v>
      </c>
      <c r="M2035" s="244">
        <f t="shared" si="241"/>
        <v>0</v>
      </c>
      <c r="N2035" s="244"/>
      <c r="O2035" s="244"/>
      <c r="P2035" s="244"/>
      <c r="Q2035" s="245">
        <f t="shared" si="242"/>
        <v>0</v>
      </c>
      <c r="R2035" s="245">
        <f t="shared" si="243"/>
        <v>0</v>
      </c>
      <c r="S2035" s="246">
        <v>0.5</v>
      </c>
      <c r="T2035" s="245">
        <f t="shared" si="244"/>
        <v>0</v>
      </c>
      <c r="U2035" s="245">
        <f t="shared" si="245"/>
        <v>0</v>
      </c>
      <c r="V2035" s="247"/>
    </row>
    <row r="2036" spans="1:22" ht="15.75" x14ac:dyDescent="0.25">
      <c r="A2036" s="236"/>
      <c r="B2036" s="237"/>
      <c r="C2036" s="238"/>
      <c r="D2036" s="239"/>
      <c r="E2036" s="240"/>
      <c r="F2036" s="240"/>
      <c r="G2036" s="240"/>
      <c r="H2036" s="241">
        <f t="shared" si="240"/>
        <v>0</v>
      </c>
      <c r="I2036" s="242"/>
      <c r="J2036" s="243"/>
      <c r="K2036" s="243"/>
      <c r="L2036" s="244">
        <v>0.1</v>
      </c>
      <c r="M2036" s="244">
        <f t="shared" si="241"/>
        <v>0</v>
      </c>
      <c r="N2036" s="244"/>
      <c r="O2036" s="244"/>
      <c r="P2036" s="244"/>
      <c r="Q2036" s="245">
        <f t="shared" si="242"/>
        <v>0</v>
      </c>
      <c r="R2036" s="245">
        <f t="shared" si="243"/>
        <v>0</v>
      </c>
      <c r="S2036" s="246">
        <v>0.5</v>
      </c>
      <c r="T2036" s="245">
        <f t="shared" si="244"/>
        <v>0</v>
      </c>
      <c r="U2036" s="245">
        <f t="shared" si="245"/>
        <v>0</v>
      </c>
      <c r="V2036" s="247"/>
    </row>
    <row r="2037" spans="1:22" ht="15.75" x14ac:dyDescent="0.25">
      <c r="A2037" s="236"/>
      <c r="B2037" s="237"/>
      <c r="C2037" s="238"/>
      <c r="D2037" s="239"/>
      <c r="E2037" s="240"/>
      <c r="F2037" s="240"/>
      <c r="G2037" s="240"/>
      <c r="H2037" s="241">
        <f t="shared" si="240"/>
        <v>0</v>
      </c>
      <c r="I2037" s="242"/>
      <c r="J2037" s="243"/>
      <c r="K2037" s="243"/>
      <c r="L2037" s="244">
        <v>0.1</v>
      </c>
      <c r="M2037" s="244">
        <f t="shared" si="241"/>
        <v>0</v>
      </c>
      <c r="N2037" s="244"/>
      <c r="O2037" s="244"/>
      <c r="P2037" s="244"/>
      <c r="Q2037" s="245">
        <f t="shared" si="242"/>
        <v>0</v>
      </c>
      <c r="R2037" s="245">
        <f t="shared" si="243"/>
        <v>0</v>
      </c>
      <c r="S2037" s="246">
        <v>0.5</v>
      </c>
      <c r="T2037" s="245">
        <f t="shared" si="244"/>
        <v>0</v>
      </c>
      <c r="U2037" s="245">
        <f t="shared" si="245"/>
        <v>0</v>
      </c>
      <c r="V2037" s="247"/>
    </row>
    <row r="2038" spans="1:22" ht="15.75" x14ac:dyDescent="0.25">
      <c r="A2038" s="236"/>
      <c r="B2038" s="237"/>
      <c r="C2038" s="238"/>
      <c r="D2038" s="239"/>
      <c r="E2038" s="240"/>
      <c r="F2038" s="240"/>
      <c r="G2038" s="240"/>
      <c r="H2038" s="241">
        <f t="shared" si="240"/>
        <v>0</v>
      </c>
      <c r="I2038" s="242"/>
      <c r="J2038" s="243"/>
      <c r="K2038" s="243"/>
      <c r="L2038" s="244">
        <v>0.1</v>
      </c>
      <c r="M2038" s="244">
        <f t="shared" si="241"/>
        <v>0</v>
      </c>
      <c r="N2038" s="244"/>
      <c r="O2038" s="244"/>
      <c r="P2038" s="244"/>
      <c r="Q2038" s="245">
        <f t="shared" si="242"/>
        <v>0</v>
      </c>
      <c r="R2038" s="245">
        <f t="shared" si="243"/>
        <v>0</v>
      </c>
      <c r="S2038" s="246">
        <v>0.5</v>
      </c>
      <c r="T2038" s="245">
        <f t="shared" si="244"/>
        <v>0</v>
      </c>
      <c r="U2038" s="245">
        <f t="shared" si="245"/>
        <v>0</v>
      </c>
      <c r="V2038" s="247"/>
    </row>
    <row r="2039" spans="1:22" ht="15.75" x14ac:dyDescent="0.25">
      <c r="A2039" s="236"/>
      <c r="B2039" s="237"/>
      <c r="C2039" s="238"/>
      <c r="D2039" s="239"/>
      <c r="E2039" s="240"/>
      <c r="F2039" s="240"/>
      <c r="G2039" s="240"/>
      <c r="H2039" s="241">
        <f t="shared" si="240"/>
        <v>0</v>
      </c>
      <c r="I2039" s="242"/>
      <c r="J2039" s="243"/>
      <c r="K2039" s="243"/>
      <c r="L2039" s="244">
        <v>0.1</v>
      </c>
      <c r="M2039" s="244">
        <f t="shared" si="241"/>
        <v>0</v>
      </c>
      <c r="N2039" s="244"/>
      <c r="O2039" s="244"/>
      <c r="P2039" s="244"/>
      <c r="Q2039" s="245">
        <f t="shared" si="242"/>
        <v>0</v>
      </c>
      <c r="R2039" s="245">
        <f t="shared" si="243"/>
        <v>0</v>
      </c>
      <c r="S2039" s="246">
        <v>0.5</v>
      </c>
      <c r="T2039" s="245">
        <f t="shared" si="244"/>
        <v>0</v>
      </c>
      <c r="U2039" s="245">
        <f t="shared" si="245"/>
        <v>0</v>
      </c>
      <c r="V2039" s="247"/>
    </row>
    <row r="2040" spans="1:22" ht="15.75" x14ac:dyDescent="0.25">
      <c r="A2040" s="236"/>
      <c r="B2040" s="237"/>
      <c r="C2040" s="238"/>
      <c r="D2040" s="239"/>
      <c r="E2040" s="240"/>
      <c r="F2040" s="240"/>
      <c r="G2040" s="240"/>
      <c r="H2040" s="241">
        <f t="shared" si="240"/>
        <v>0</v>
      </c>
      <c r="I2040" s="242"/>
      <c r="J2040" s="243"/>
      <c r="K2040" s="243"/>
      <c r="L2040" s="244">
        <v>0.1</v>
      </c>
      <c r="M2040" s="244">
        <f t="shared" si="241"/>
        <v>0</v>
      </c>
      <c r="N2040" s="244"/>
      <c r="O2040" s="244"/>
      <c r="P2040" s="244"/>
      <c r="Q2040" s="245">
        <f t="shared" si="242"/>
        <v>0</v>
      </c>
      <c r="R2040" s="245">
        <f t="shared" si="243"/>
        <v>0</v>
      </c>
      <c r="S2040" s="246">
        <v>0.5</v>
      </c>
      <c r="T2040" s="245">
        <f t="shared" si="244"/>
        <v>0</v>
      </c>
      <c r="U2040" s="245">
        <f t="shared" si="245"/>
        <v>0</v>
      </c>
      <c r="V2040" s="247"/>
    </row>
    <row r="2041" spans="1:22" ht="15.75" x14ac:dyDescent="0.25">
      <c r="A2041" s="236"/>
      <c r="B2041" s="237"/>
      <c r="C2041" s="238"/>
      <c r="D2041" s="239"/>
      <c r="E2041" s="240"/>
      <c r="F2041" s="240"/>
      <c r="G2041" s="240"/>
      <c r="H2041" s="241">
        <f t="shared" si="240"/>
        <v>0</v>
      </c>
      <c r="I2041" s="242"/>
      <c r="J2041" s="243"/>
      <c r="K2041" s="243"/>
      <c r="L2041" s="244">
        <v>0.1</v>
      </c>
      <c r="M2041" s="244">
        <f t="shared" si="241"/>
        <v>0</v>
      </c>
      <c r="N2041" s="244"/>
      <c r="O2041" s="244"/>
      <c r="P2041" s="244"/>
      <c r="Q2041" s="245">
        <f t="shared" si="242"/>
        <v>0</v>
      </c>
      <c r="R2041" s="245">
        <f t="shared" si="243"/>
        <v>0</v>
      </c>
      <c r="S2041" s="246">
        <v>0.5</v>
      </c>
      <c r="T2041" s="245">
        <f t="shared" si="244"/>
        <v>0</v>
      </c>
      <c r="U2041" s="245">
        <f t="shared" si="245"/>
        <v>0</v>
      </c>
      <c r="V2041" s="247"/>
    </row>
    <row r="2042" spans="1:22" ht="15.75" x14ac:dyDescent="0.25">
      <c r="A2042" s="236"/>
      <c r="B2042" s="237"/>
      <c r="C2042" s="238"/>
      <c r="D2042" s="239"/>
      <c r="E2042" s="240"/>
      <c r="F2042" s="240"/>
      <c r="G2042" s="240"/>
      <c r="H2042" s="241">
        <f t="shared" si="240"/>
        <v>0</v>
      </c>
      <c r="I2042" s="242"/>
      <c r="J2042" s="243"/>
      <c r="K2042" s="243"/>
      <c r="L2042" s="244">
        <v>0.1</v>
      </c>
      <c r="M2042" s="244">
        <f t="shared" si="241"/>
        <v>0</v>
      </c>
      <c r="N2042" s="244"/>
      <c r="O2042" s="244"/>
      <c r="P2042" s="244"/>
      <c r="Q2042" s="245">
        <f t="shared" si="242"/>
        <v>0</v>
      </c>
      <c r="R2042" s="245">
        <f t="shared" si="243"/>
        <v>0</v>
      </c>
      <c r="S2042" s="246">
        <v>0.5</v>
      </c>
      <c r="T2042" s="245">
        <f t="shared" si="244"/>
        <v>0</v>
      </c>
      <c r="U2042" s="245">
        <f t="shared" si="245"/>
        <v>0</v>
      </c>
      <c r="V2042" s="247"/>
    </row>
    <row r="2043" spans="1:22" ht="15.75" x14ac:dyDescent="0.25">
      <c r="A2043" s="236"/>
      <c r="B2043" s="237"/>
      <c r="C2043" s="238"/>
      <c r="D2043" s="239"/>
      <c r="E2043" s="240"/>
      <c r="F2043" s="240"/>
      <c r="G2043" s="240"/>
      <c r="H2043" s="241">
        <f t="shared" si="240"/>
        <v>0</v>
      </c>
      <c r="I2043" s="242"/>
      <c r="J2043" s="243"/>
      <c r="K2043" s="243"/>
      <c r="L2043" s="244">
        <v>0.1</v>
      </c>
      <c r="M2043" s="244">
        <f t="shared" si="241"/>
        <v>0</v>
      </c>
      <c r="N2043" s="244"/>
      <c r="O2043" s="244"/>
      <c r="P2043" s="244"/>
      <c r="Q2043" s="245">
        <f t="shared" si="242"/>
        <v>0</v>
      </c>
      <c r="R2043" s="245">
        <f t="shared" si="243"/>
        <v>0</v>
      </c>
      <c r="S2043" s="246">
        <v>0.5</v>
      </c>
      <c r="T2043" s="245">
        <f t="shared" si="244"/>
        <v>0</v>
      </c>
      <c r="U2043" s="245">
        <f t="shared" si="245"/>
        <v>0</v>
      </c>
      <c r="V2043" s="247"/>
    </row>
    <row r="2044" spans="1:22" ht="15.75" x14ac:dyDescent="0.25">
      <c r="A2044" s="236"/>
      <c r="B2044" s="237"/>
      <c r="C2044" s="238"/>
      <c r="D2044" s="239"/>
      <c r="E2044" s="240"/>
      <c r="F2044" s="240"/>
      <c r="G2044" s="240"/>
      <c r="H2044" s="241">
        <f t="shared" si="240"/>
        <v>0</v>
      </c>
      <c r="I2044" s="242"/>
      <c r="J2044" s="243"/>
      <c r="K2044" s="243"/>
      <c r="L2044" s="244">
        <v>0.1</v>
      </c>
      <c r="M2044" s="244">
        <f t="shared" si="241"/>
        <v>0</v>
      </c>
      <c r="N2044" s="244"/>
      <c r="O2044" s="244"/>
      <c r="P2044" s="244"/>
      <c r="Q2044" s="245">
        <f t="shared" si="242"/>
        <v>0</v>
      </c>
      <c r="R2044" s="245">
        <f t="shared" si="243"/>
        <v>0</v>
      </c>
      <c r="S2044" s="246">
        <v>0.5</v>
      </c>
      <c r="T2044" s="245">
        <f t="shared" si="244"/>
        <v>0</v>
      </c>
      <c r="U2044" s="245">
        <f t="shared" si="245"/>
        <v>0</v>
      </c>
      <c r="V2044" s="247"/>
    </row>
    <row r="2045" spans="1:22" ht="15.75" x14ac:dyDescent="0.25">
      <c r="A2045" s="236"/>
      <c r="B2045" s="237"/>
      <c r="C2045" s="238"/>
      <c r="D2045" s="239"/>
      <c r="E2045" s="240"/>
      <c r="F2045" s="240"/>
      <c r="G2045" s="240"/>
      <c r="H2045" s="241">
        <f t="shared" ref="H2045:H2108" si="246">+E2045+F2045+G2045</f>
        <v>0</v>
      </c>
      <c r="I2045" s="242"/>
      <c r="J2045" s="243"/>
      <c r="K2045" s="243"/>
      <c r="L2045" s="244">
        <v>0.1</v>
      </c>
      <c r="M2045" s="244">
        <f t="shared" ref="M2045:M2108" si="247">+L2045*C2045</f>
        <v>0</v>
      </c>
      <c r="N2045" s="244"/>
      <c r="O2045" s="244"/>
      <c r="P2045" s="244"/>
      <c r="Q2045" s="245">
        <f t="shared" ref="Q2045:Q2108" si="248">+N2045+O2045+P2045</f>
        <v>0</v>
      </c>
      <c r="R2045" s="245">
        <f t="shared" ref="R2045:R2108" si="249">IF(+Q2045-H2045&lt;=0,0,Q2045-H2045)</f>
        <v>0</v>
      </c>
      <c r="S2045" s="246">
        <v>0.5</v>
      </c>
      <c r="T2045" s="245">
        <f t="shared" ref="T2045:T2108" si="250">+(R2045*C2045)*S2045</f>
        <v>0</v>
      </c>
      <c r="U2045" s="245">
        <f t="shared" ref="U2045:U2108" si="251">+J2045+M2045+T2045</f>
        <v>0</v>
      </c>
      <c r="V2045" s="247"/>
    </row>
    <row r="2046" spans="1:22" ht="15.75" x14ac:dyDescent="0.25">
      <c r="A2046" s="236"/>
      <c r="B2046" s="237"/>
      <c r="C2046" s="238"/>
      <c r="D2046" s="239"/>
      <c r="E2046" s="240"/>
      <c r="F2046" s="240"/>
      <c r="G2046" s="240"/>
      <c r="H2046" s="241">
        <f t="shared" si="246"/>
        <v>0</v>
      </c>
      <c r="I2046" s="242"/>
      <c r="J2046" s="243"/>
      <c r="K2046" s="243"/>
      <c r="L2046" s="244">
        <v>0.1</v>
      </c>
      <c r="M2046" s="244">
        <f t="shared" si="247"/>
        <v>0</v>
      </c>
      <c r="N2046" s="244"/>
      <c r="O2046" s="244"/>
      <c r="P2046" s="244"/>
      <c r="Q2046" s="245">
        <f t="shared" si="248"/>
        <v>0</v>
      </c>
      <c r="R2046" s="245">
        <f t="shared" si="249"/>
        <v>0</v>
      </c>
      <c r="S2046" s="246">
        <v>0.5</v>
      </c>
      <c r="T2046" s="245">
        <f t="shared" si="250"/>
        <v>0</v>
      </c>
      <c r="U2046" s="245">
        <f t="shared" si="251"/>
        <v>0</v>
      </c>
      <c r="V2046" s="247"/>
    </row>
    <row r="2047" spans="1:22" ht="15.75" x14ac:dyDescent="0.25">
      <c r="A2047" s="236"/>
      <c r="B2047" s="237"/>
      <c r="C2047" s="238"/>
      <c r="D2047" s="239"/>
      <c r="E2047" s="240"/>
      <c r="F2047" s="240"/>
      <c r="G2047" s="240"/>
      <c r="H2047" s="241">
        <f t="shared" si="246"/>
        <v>0</v>
      </c>
      <c r="I2047" s="242"/>
      <c r="J2047" s="243"/>
      <c r="K2047" s="243"/>
      <c r="L2047" s="244">
        <v>0.1</v>
      </c>
      <c r="M2047" s="244">
        <f t="shared" si="247"/>
        <v>0</v>
      </c>
      <c r="N2047" s="244"/>
      <c r="O2047" s="244"/>
      <c r="P2047" s="244"/>
      <c r="Q2047" s="245">
        <f t="shared" si="248"/>
        <v>0</v>
      </c>
      <c r="R2047" s="245">
        <f t="shared" si="249"/>
        <v>0</v>
      </c>
      <c r="S2047" s="246">
        <v>0.5</v>
      </c>
      <c r="T2047" s="245">
        <f t="shared" si="250"/>
        <v>0</v>
      </c>
      <c r="U2047" s="245">
        <f t="shared" si="251"/>
        <v>0</v>
      </c>
      <c r="V2047" s="247"/>
    </row>
    <row r="2048" spans="1:22" ht="15.75" x14ac:dyDescent="0.25">
      <c r="A2048" s="236"/>
      <c r="B2048" s="237"/>
      <c r="C2048" s="238"/>
      <c r="D2048" s="239"/>
      <c r="E2048" s="240"/>
      <c r="F2048" s="240"/>
      <c r="G2048" s="240"/>
      <c r="H2048" s="241">
        <f t="shared" si="246"/>
        <v>0</v>
      </c>
      <c r="I2048" s="242"/>
      <c r="J2048" s="243"/>
      <c r="K2048" s="243"/>
      <c r="L2048" s="244">
        <v>0.1</v>
      </c>
      <c r="M2048" s="244">
        <f t="shared" si="247"/>
        <v>0</v>
      </c>
      <c r="N2048" s="244"/>
      <c r="O2048" s="244"/>
      <c r="P2048" s="244"/>
      <c r="Q2048" s="245">
        <f t="shared" si="248"/>
        <v>0</v>
      </c>
      <c r="R2048" s="245">
        <f t="shared" si="249"/>
        <v>0</v>
      </c>
      <c r="S2048" s="246">
        <v>0.5</v>
      </c>
      <c r="T2048" s="245">
        <f t="shared" si="250"/>
        <v>0</v>
      </c>
      <c r="U2048" s="245">
        <f t="shared" si="251"/>
        <v>0</v>
      </c>
      <c r="V2048" s="247"/>
    </row>
    <row r="2049" spans="1:22" ht="15.75" x14ac:dyDescent="0.25">
      <c r="A2049" s="236"/>
      <c r="B2049" s="237"/>
      <c r="C2049" s="238"/>
      <c r="D2049" s="239"/>
      <c r="E2049" s="240"/>
      <c r="F2049" s="240"/>
      <c r="G2049" s="240"/>
      <c r="H2049" s="241">
        <f t="shared" si="246"/>
        <v>0</v>
      </c>
      <c r="I2049" s="242"/>
      <c r="J2049" s="243"/>
      <c r="K2049" s="243"/>
      <c r="L2049" s="244">
        <v>0.1</v>
      </c>
      <c r="M2049" s="244">
        <f t="shared" si="247"/>
        <v>0</v>
      </c>
      <c r="N2049" s="244"/>
      <c r="O2049" s="244"/>
      <c r="P2049" s="244"/>
      <c r="Q2049" s="245">
        <f t="shared" si="248"/>
        <v>0</v>
      </c>
      <c r="R2049" s="245">
        <f t="shared" si="249"/>
        <v>0</v>
      </c>
      <c r="S2049" s="246">
        <v>0.5</v>
      </c>
      <c r="T2049" s="245">
        <f t="shared" si="250"/>
        <v>0</v>
      </c>
      <c r="U2049" s="245">
        <f t="shared" si="251"/>
        <v>0</v>
      </c>
      <c r="V2049" s="247"/>
    </row>
    <row r="2050" spans="1:22" ht="15.75" x14ac:dyDescent="0.25">
      <c r="A2050" s="236"/>
      <c r="B2050" s="237"/>
      <c r="C2050" s="238"/>
      <c r="D2050" s="239"/>
      <c r="E2050" s="240"/>
      <c r="F2050" s="240"/>
      <c r="G2050" s="240"/>
      <c r="H2050" s="241">
        <f t="shared" si="246"/>
        <v>0</v>
      </c>
      <c r="I2050" s="242"/>
      <c r="J2050" s="243"/>
      <c r="K2050" s="243"/>
      <c r="L2050" s="244">
        <v>0.1</v>
      </c>
      <c r="M2050" s="244">
        <f t="shared" si="247"/>
        <v>0</v>
      </c>
      <c r="N2050" s="244"/>
      <c r="O2050" s="244"/>
      <c r="P2050" s="244"/>
      <c r="Q2050" s="245">
        <f t="shared" si="248"/>
        <v>0</v>
      </c>
      <c r="R2050" s="245">
        <f t="shared" si="249"/>
        <v>0</v>
      </c>
      <c r="S2050" s="246">
        <v>0.5</v>
      </c>
      <c r="T2050" s="245">
        <f t="shared" si="250"/>
        <v>0</v>
      </c>
      <c r="U2050" s="245">
        <f t="shared" si="251"/>
        <v>0</v>
      </c>
      <c r="V2050" s="247"/>
    </row>
    <row r="2051" spans="1:22" ht="15.75" x14ac:dyDescent="0.25">
      <c r="A2051" s="236"/>
      <c r="B2051" s="237"/>
      <c r="C2051" s="238"/>
      <c r="D2051" s="239"/>
      <c r="E2051" s="240"/>
      <c r="F2051" s="240"/>
      <c r="G2051" s="240"/>
      <c r="H2051" s="241">
        <f t="shared" si="246"/>
        <v>0</v>
      </c>
      <c r="I2051" s="242"/>
      <c r="J2051" s="243"/>
      <c r="K2051" s="243"/>
      <c r="L2051" s="244">
        <v>0.1</v>
      </c>
      <c r="M2051" s="244">
        <f t="shared" si="247"/>
        <v>0</v>
      </c>
      <c r="N2051" s="244"/>
      <c r="O2051" s="244"/>
      <c r="P2051" s="244"/>
      <c r="Q2051" s="245">
        <f t="shared" si="248"/>
        <v>0</v>
      </c>
      <c r="R2051" s="245">
        <f t="shared" si="249"/>
        <v>0</v>
      </c>
      <c r="S2051" s="246">
        <v>0.5</v>
      </c>
      <c r="T2051" s="245">
        <f t="shared" si="250"/>
        <v>0</v>
      </c>
      <c r="U2051" s="245">
        <f t="shared" si="251"/>
        <v>0</v>
      </c>
      <c r="V2051" s="247"/>
    </row>
    <row r="2052" spans="1:22" ht="15.75" x14ac:dyDescent="0.25">
      <c r="A2052" s="236"/>
      <c r="B2052" s="237"/>
      <c r="C2052" s="238"/>
      <c r="D2052" s="239"/>
      <c r="E2052" s="240"/>
      <c r="F2052" s="240"/>
      <c r="G2052" s="240"/>
      <c r="H2052" s="241">
        <f t="shared" si="246"/>
        <v>0</v>
      </c>
      <c r="I2052" s="242"/>
      <c r="J2052" s="243"/>
      <c r="K2052" s="243"/>
      <c r="L2052" s="244">
        <v>0.1</v>
      </c>
      <c r="M2052" s="244">
        <f t="shared" si="247"/>
        <v>0</v>
      </c>
      <c r="N2052" s="244"/>
      <c r="O2052" s="244"/>
      <c r="P2052" s="244"/>
      <c r="Q2052" s="245">
        <f t="shared" si="248"/>
        <v>0</v>
      </c>
      <c r="R2052" s="245">
        <f t="shared" si="249"/>
        <v>0</v>
      </c>
      <c r="S2052" s="246">
        <v>0.5</v>
      </c>
      <c r="T2052" s="245">
        <f t="shared" si="250"/>
        <v>0</v>
      </c>
      <c r="U2052" s="245">
        <f t="shared" si="251"/>
        <v>0</v>
      </c>
      <c r="V2052" s="247"/>
    </row>
    <row r="2053" spans="1:22" ht="15.75" x14ac:dyDescent="0.25">
      <c r="A2053" s="236"/>
      <c r="B2053" s="237"/>
      <c r="C2053" s="238"/>
      <c r="D2053" s="239"/>
      <c r="E2053" s="240"/>
      <c r="F2053" s="240"/>
      <c r="G2053" s="240"/>
      <c r="H2053" s="241">
        <f t="shared" si="246"/>
        <v>0</v>
      </c>
      <c r="I2053" s="242"/>
      <c r="J2053" s="243"/>
      <c r="K2053" s="243"/>
      <c r="L2053" s="244">
        <v>0.1</v>
      </c>
      <c r="M2053" s="244">
        <f t="shared" si="247"/>
        <v>0</v>
      </c>
      <c r="N2053" s="244"/>
      <c r="O2053" s="244"/>
      <c r="P2053" s="244"/>
      <c r="Q2053" s="245">
        <f t="shared" si="248"/>
        <v>0</v>
      </c>
      <c r="R2053" s="245">
        <f t="shared" si="249"/>
        <v>0</v>
      </c>
      <c r="S2053" s="246">
        <v>0.5</v>
      </c>
      <c r="T2053" s="245">
        <f t="shared" si="250"/>
        <v>0</v>
      </c>
      <c r="U2053" s="245">
        <f t="shared" si="251"/>
        <v>0</v>
      </c>
      <c r="V2053" s="247"/>
    </row>
    <row r="2054" spans="1:22" ht="15.75" x14ac:dyDescent="0.25">
      <c r="A2054" s="236"/>
      <c r="B2054" s="237"/>
      <c r="C2054" s="238"/>
      <c r="D2054" s="239"/>
      <c r="E2054" s="240"/>
      <c r="F2054" s="240"/>
      <c r="G2054" s="240"/>
      <c r="H2054" s="241">
        <f t="shared" si="246"/>
        <v>0</v>
      </c>
      <c r="I2054" s="242"/>
      <c r="J2054" s="243"/>
      <c r="K2054" s="243"/>
      <c r="L2054" s="244">
        <v>0.1</v>
      </c>
      <c r="M2054" s="244">
        <f t="shared" si="247"/>
        <v>0</v>
      </c>
      <c r="N2054" s="244"/>
      <c r="O2054" s="244"/>
      <c r="P2054" s="244"/>
      <c r="Q2054" s="245">
        <f t="shared" si="248"/>
        <v>0</v>
      </c>
      <c r="R2054" s="245">
        <f t="shared" si="249"/>
        <v>0</v>
      </c>
      <c r="S2054" s="246">
        <v>0.5</v>
      </c>
      <c r="T2054" s="245">
        <f t="shared" si="250"/>
        <v>0</v>
      </c>
      <c r="U2054" s="245">
        <f t="shared" si="251"/>
        <v>0</v>
      </c>
      <c r="V2054" s="247"/>
    </row>
    <row r="2055" spans="1:22" ht="15.75" x14ac:dyDescent="0.25">
      <c r="A2055" s="236"/>
      <c r="B2055" s="237"/>
      <c r="C2055" s="238"/>
      <c r="D2055" s="239"/>
      <c r="E2055" s="240"/>
      <c r="F2055" s="240"/>
      <c r="G2055" s="240"/>
      <c r="H2055" s="241">
        <f t="shared" si="246"/>
        <v>0</v>
      </c>
      <c r="I2055" s="242"/>
      <c r="J2055" s="243"/>
      <c r="K2055" s="243"/>
      <c r="L2055" s="244">
        <v>0.1</v>
      </c>
      <c r="M2055" s="244">
        <f t="shared" si="247"/>
        <v>0</v>
      </c>
      <c r="N2055" s="244"/>
      <c r="O2055" s="244"/>
      <c r="P2055" s="244"/>
      <c r="Q2055" s="245">
        <f t="shared" si="248"/>
        <v>0</v>
      </c>
      <c r="R2055" s="245">
        <f t="shared" si="249"/>
        <v>0</v>
      </c>
      <c r="S2055" s="246">
        <v>0.5</v>
      </c>
      <c r="T2055" s="245">
        <f t="shared" si="250"/>
        <v>0</v>
      </c>
      <c r="U2055" s="245">
        <f t="shared" si="251"/>
        <v>0</v>
      </c>
      <c r="V2055" s="247"/>
    </row>
    <row r="2056" spans="1:22" ht="15.75" x14ac:dyDescent="0.25">
      <c r="A2056" s="236"/>
      <c r="B2056" s="237"/>
      <c r="C2056" s="238"/>
      <c r="D2056" s="239"/>
      <c r="E2056" s="240"/>
      <c r="F2056" s="240"/>
      <c r="G2056" s="240"/>
      <c r="H2056" s="241">
        <f t="shared" si="246"/>
        <v>0</v>
      </c>
      <c r="I2056" s="242"/>
      <c r="J2056" s="243"/>
      <c r="K2056" s="243"/>
      <c r="L2056" s="244">
        <v>0.1</v>
      </c>
      <c r="M2056" s="244">
        <f t="shared" si="247"/>
        <v>0</v>
      </c>
      <c r="N2056" s="244"/>
      <c r="O2056" s="244"/>
      <c r="P2056" s="244"/>
      <c r="Q2056" s="245">
        <f t="shared" si="248"/>
        <v>0</v>
      </c>
      <c r="R2056" s="245">
        <f t="shared" si="249"/>
        <v>0</v>
      </c>
      <c r="S2056" s="246">
        <v>0.5</v>
      </c>
      <c r="T2056" s="245">
        <f t="shared" si="250"/>
        <v>0</v>
      </c>
      <c r="U2056" s="245">
        <f t="shared" si="251"/>
        <v>0</v>
      </c>
      <c r="V2056" s="247"/>
    </row>
    <row r="2057" spans="1:22" ht="15.75" x14ac:dyDescent="0.25">
      <c r="A2057" s="236"/>
      <c r="B2057" s="237"/>
      <c r="C2057" s="238"/>
      <c r="D2057" s="239"/>
      <c r="E2057" s="240"/>
      <c r="F2057" s="240"/>
      <c r="G2057" s="240"/>
      <c r="H2057" s="241">
        <f t="shared" si="246"/>
        <v>0</v>
      </c>
      <c r="I2057" s="242"/>
      <c r="J2057" s="243"/>
      <c r="K2057" s="243"/>
      <c r="L2057" s="244">
        <v>0.1</v>
      </c>
      <c r="M2057" s="244">
        <f t="shared" si="247"/>
        <v>0</v>
      </c>
      <c r="N2057" s="244"/>
      <c r="O2057" s="244"/>
      <c r="P2057" s="244"/>
      <c r="Q2057" s="245">
        <f t="shared" si="248"/>
        <v>0</v>
      </c>
      <c r="R2057" s="245">
        <f t="shared" si="249"/>
        <v>0</v>
      </c>
      <c r="S2057" s="246">
        <v>0.5</v>
      </c>
      <c r="T2057" s="245">
        <f t="shared" si="250"/>
        <v>0</v>
      </c>
      <c r="U2057" s="245">
        <f t="shared" si="251"/>
        <v>0</v>
      </c>
      <c r="V2057" s="247"/>
    </row>
    <row r="2058" spans="1:22" ht="15.75" x14ac:dyDescent="0.25">
      <c r="A2058" s="236"/>
      <c r="B2058" s="237"/>
      <c r="C2058" s="238"/>
      <c r="D2058" s="239"/>
      <c r="E2058" s="240"/>
      <c r="F2058" s="240"/>
      <c r="G2058" s="240"/>
      <c r="H2058" s="241">
        <f t="shared" si="246"/>
        <v>0</v>
      </c>
      <c r="I2058" s="242"/>
      <c r="J2058" s="243"/>
      <c r="K2058" s="243"/>
      <c r="L2058" s="244">
        <v>0.1</v>
      </c>
      <c r="M2058" s="244">
        <f t="shared" si="247"/>
        <v>0</v>
      </c>
      <c r="N2058" s="244"/>
      <c r="O2058" s="244"/>
      <c r="P2058" s="244"/>
      <c r="Q2058" s="245">
        <f t="shared" si="248"/>
        <v>0</v>
      </c>
      <c r="R2058" s="245">
        <f t="shared" si="249"/>
        <v>0</v>
      </c>
      <c r="S2058" s="246">
        <v>0.5</v>
      </c>
      <c r="T2058" s="245">
        <f t="shared" si="250"/>
        <v>0</v>
      </c>
      <c r="U2058" s="245">
        <f t="shared" si="251"/>
        <v>0</v>
      </c>
      <c r="V2058" s="247"/>
    </row>
    <row r="2059" spans="1:22" ht="15.75" x14ac:dyDescent="0.25">
      <c r="A2059" s="236"/>
      <c r="B2059" s="237"/>
      <c r="C2059" s="238"/>
      <c r="D2059" s="239"/>
      <c r="E2059" s="240"/>
      <c r="F2059" s="240"/>
      <c r="G2059" s="240"/>
      <c r="H2059" s="241">
        <f t="shared" si="246"/>
        <v>0</v>
      </c>
      <c r="I2059" s="242"/>
      <c r="J2059" s="243"/>
      <c r="K2059" s="243"/>
      <c r="L2059" s="244">
        <v>0.1</v>
      </c>
      <c r="M2059" s="244">
        <f t="shared" si="247"/>
        <v>0</v>
      </c>
      <c r="N2059" s="244"/>
      <c r="O2059" s="244"/>
      <c r="P2059" s="244"/>
      <c r="Q2059" s="245">
        <f t="shared" si="248"/>
        <v>0</v>
      </c>
      <c r="R2059" s="245">
        <f t="shared" si="249"/>
        <v>0</v>
      </c>
      <c r="S2059" s="246">
        <v>0.5</v>
      </c>
      <c r="T2059" s="245">
        <f t="shared" si="250"/>
        <v>0</v>
      </c>
      <c r="U2059" s="245">
        <f t="shared" si="251"/>
        <v>0</v>
      </c>
      <c r="V2059" s="247"/>
    </row>
    <row r="2060" spans="1:22" ht="15.75" x14ac:dyDescent="0.25">
      <c r="A2060" s="236"/>
      <c r="B2060" s="237"/>
      <c r="C2060" s="238"/>
      <c r="D2060" s="239"/>
      <c r="E2060" s="240"/>
      <c r="F2060" s="240"/>
      <c r="G2060" s="240"/>
      <c r="H2060" s="241">
        <f t="shared" si="246"/>
        <v>0</v>
      </c>
      <c r="I2060" s="242"/>
      <c r="J2060" s="243"/>
      <c r="K2060" s="243"/>
      <c r="L2060" s="244">
        <v>0.1</v>
      </c>
      <c r="M2060" s="244">
        <f t="shared" si="247"/>
        <v>0</v>
      </c>
      <c r="N2060" s="244"/>
      <c r="O2060" s="244"/>
      <c r="P2060" s="244"/>
      <c r="Q2060" s="245">
        <f t="shared" si="248"/>
        <v>0</v>
      </c>
      <c r="R2060" s="245">
        <f t="shared" si="249"/>
        <v>0</v>
      </c>
      <c r="S2060" s="246">
        <v>0.5</v>
      </c>
      <c r="T2060" s="245">
        <f t="shared" si="250"/>
        <v>0</v>
      </c>
      <c r="U2060" s="245">
        <f t="shared" si="251"/>
        <v>0</v>
      </c>
      <c r="V2060" s="247"/>
    </row>
    <row r="2061" spans="1:22" ht="15.75" x14ac:dyDescent="0.25">
      <c r="A2061" s="236"/>
      <c r="B2061" s="237"/>
      <c r="C2061" s="238"/>
      <c r="D2061" s="239"/>
      <c r="E2061" s="240"/>
      <c r="F2061" s="240"/>
      <c r="G2061" s="240"/>
      <c r="H2061" s="241">
        <f t="shared" si="246"/>
        <v>0</v>
      </c>
      <c r="I2061" s="242"/>
      <c r="J2061" s="243"/>
      <c r="K2061" s="243"/>
      <c r="L2061" s="244">
        <v>0.1</v>
      </c>
      <c r="M2061" s="244">
        <f t="shared" si="247"/>
        <v>0</v>
      </c>
      <c r="N2061" s="244"/>
      <c r="O2061" s="244"/>
      <c r="P2061" s="244"/>
      <c r="Q2061" s="245">
        <f t="shared" si="248"/>
        <v>0</v>
      </c>
      <c r="R2061" s="245">
        <f t="shared" si="249"/>
        <v>0</v>
      </c>
      <c r="S2061" s="246">
        <v>0.5</v>
      </c>
      <c r="T2061" s="245">
        <f t="shared" si="250"/>
        <v>0</v>
      </c>
      <c r="U2061" s="245">
        <f t="shared" si="251"/>
        <v>0</v>
      </c>
      <c r="V2061" s="247"/>
    </row>
    <row r="2062" spans="1:22" ht="15.75" x14ac:dyDescent="0.25">
      <c r="A2062" s="236"/>
      <c r="B2062" s="237"/>
      <c r="C2062" s="238"/>
      <c r="D2062" s="239"/>
      <c r="E2062" s="240"/>
      <c r="F2062" s="240"/>
      <c r="G2062" s="240"/>
      <c r="H2062" s="241">
        <f t="shared" si="246"/>
        <v>0</v>
      </c>
      <c r="I2062" s="242"/>
      <c r="J2062" s="243"/>
      <c r="K2062" s="243"/>
      <c r="L2062" s="244">
        <v>0.1</v>
      </c>
      <c r="M2062" s="244">
        <f t="shared" si="247"/>
        <v>0</v>
      </c>
      <c r="N2062" s="244"/>
      <c r="O2062" s="244"/>
      <c r="P2062" s="244"/>
      <c r="Q2062" s="245">
        <f t="shared" si="248"/>
        <v>0</v>
      </c>
      <c r="R2062" s="245">
        <f t="shared" si="249"/>
        <v>0</v>
      </c>
      <c r="S2062" s="246">
        <v>0.5</v>
      </c>
      <c r="T2062" s="245">
        <f t="shared" si="250"/>
        <v>0</v>
      </c>
      <c r="U2062" s="245">
        <f t="shared" si="251"/>
        <v>0</v>
      </c>
      <c r="V2062" s="247"/>
    </row>
    <row r="2063" spans="1:22" ht="15.75" x14ac:dyDescent="0.25">
      <c r="A2063" s="236"/>
      <c r="B2063" s="237"/>
      <c r="C2063" s="238"/>
      <c r="D2063" s="239"/>
      <c r="E2063" s="240"/>
      <c r="F2063" s="240"/>
      <c r="G2063" s="240"/>
      <c r="H2063" s="241">
        <f t="shared" si="246"/>
        <v>0</v>
      </c>
      <c r="I2063" s="242"/>
      <c r="J2063" s="243"/>
      <c r="K2063" s="243"/>
      <c r="L2063" s="244">
        <v>0.1</v>
      </c>
      <c r="M2063" s="244">
        <f t="shared" si="247"/>
        <v>0</v>
      </c>
      <c r="N2063" s="244"/>
      <c r="O2063" s="244"/>
      <c r="P2063" s="244"/>
      <c r="Q2063" s="245">
        <f t="shared" si="248"/>
        <v>0</v>
      </c>
      <c r="R2063" s="245">
        <f t="shared" si="249"/>
        <v>0</v>
      </c>
      <c r="S2063" s="246">
        <v>0.5</v>
      </c>
      <c r="T2063" s="245">
        <f t="shared" si="250"/>
        <v>0</v>
      </c>
      <c r="U2063" s="245">
        <f t="shared" si="251"/>
        <v>0</v>
      </c>
      <c r="V2063" s="247"/>
    </row>
    <row r="2064" spans="1:22" ht="15.75" x14ac:dyDescent="0.25">
      <c r="A2064" s="236"/>
      <c r="B2064" s="237"/>
      <c r="C2064" s="238"/>
      <c r="D2064" s="239"/>
      <c r="E2064" s="240"/>
      <c r="F2064" s="240"/>
      <c r="G2064" s="240"/>
      <c r="H2064" s="241">
        <f t="shared" si="246"/>
        <v>0</v>
      </c>
      <c r="I2064" s="242"/>
      <c r="J2064" s="243"/>
      <c r="K2064" s="243"/>
      <c r="L2064" s="244">
        <v>0.1</v>
      </c>
      <c r="M2064" s="244">
        <f t="shared" si="247"/>
        <v>0</v>
      </c>
      <c r="N2064" s="244"/>
      <c r="O2064" s="244"/>
      <c r="P2064" s="244"/>
      <c r="Q2064" s="245">
        <f t="shared" si="248"/>
        <v>0</v>
      </c>
      <c r="R2064" s="245">
        <f t="shared" si="249"/>
        <v>0</v>
      </c>
      <c r="S2064" s="246">
        <v>0.5</v>
      </c>
      <c r="T2064" s="245">
        <f t="shared" si="250"/>
        <v>0</v>
      </c>
      <c r="U2064" s="245">
        <f t="shared" si="251"/>
        <v>0</v>
      </c>
      <c r="V2064" s="247"/>
    </row>
    <row r="2065" spans="1:22" ht="15.75" x14ac:dyDescent="0.25">
      <c r="A2065" s="236"/>
      <c r="B2065" s="237"/>
      <c r="C2065" s="238"/>
      <c r="D2065" s="239"/>
      <c r="E2065" s="240"/>
      <c r="F2065" s="240"/>
      <c r="G2065" s="240"/>
      <c r="H2065" s="241">
        <f t="shared" si="246"/>
        <v>0</v>
      </c>
      <c r="I2065" s="242"/>
      <c r="J2065" s="243"/>
      <c r="K2065" s="243"/>
      <c r="L2065" s="244">
        <v>0.1</v>
      </c>
      <c r="M2065" s="244">
        <f t="shared" si="247"/>
        <v>0</v>
      </c>
      <c r="N2065" s="244"/>
      <c r="O2065" s="244"/>
      <c r="P2065" s="244"/>
      <c r="Q2065" s="245">
        <f t="shared" si="248"/>
        <v>0</v>
      </c>
      <c r="R2065" s="245">
        <f t="shared" si="249"/>
        <v>0</v>
      </c>
      <c r="S2065" s="246">
        <v>0.5</v>
      </c>
      <c r="T2065" s="245">
        <f t="shared" si="250"/>
        <v>0</v>
      </c>
      <c r="U2065" s="245">
        <f t="shared" si="251"/>
        <v>0</v>
      </c>
      <c r="V2065" s="247"/>
    </row>
    <row r="2066" spans="1:22" ht="15.75" x14ac:dyDescent="0.25">
      <c r="A2066" s="236"/>
      <c r="B2066" s="237"/>
      <c r="C2066" s="238"/>
      <c r="D2066" s="239"/>
      <c r="E2066" s="240"/>
      <c r="F2066" s="240"/>
      <c r="G2066" s="240"/>
      <c r="H2066" s="241">
        <f t="shared" si="246"/>
        <v>0</v>
      </c>
      <c r="I2066" s="242"/>
      <c r="J2066" s="243"/>
      <c r="K2066" s="243"/>
      <c r="L2066" s="244">
        <v>0.1</v>
      </c>
      <c r="M2066" s="244">
        <f t="shared" si="247"/>
        <v>0</v>
      </c>
      <c r="N2066" s="244"/>
      <c r="O2066" s="244"/>
      <c r="P2066" s="244"/>
      <c r="Q2066" s="245">
        <f t="shared" si="248"/>
        <v>0</v>
      </c>
      <c r="R2066" s="245">
        <f t="shared" si="249"/>
        <v>0</v>
      </c>
      <c r="S2066" s="246">
        <v>0.5</v>
      </c>
      <c r="T2066" s="245">
        <f t="shared" si="250"/>
        <v>0</v>
      </c>
      <c r="U2066" s="245">
        <f t="shared" si="251"/>
        <v>0</v>
      </c>
      <c r="V2066" s="247"/>
    </row>
    <row r="2067" spans="1:22" ht="15.75" x14ac:dyDescent="0.25">
      <c r="A2067" s="236"/>
      <c r="B2067" s="237"/>
      <c r="C2067" s="238"/>
      <c r="D2067" s="239"/>
      <c r="E2067" s="240"/>
      <c r="F2067" s="240"/>
      <c r="G2067" s="240"/>
      <c r="H2067" s="241">
        <f t="shared" si="246"/>
        <v>0</v>
      </c>
      <c r="I2067" s="242"/>
      <c r="J2067" s="243"/>
      <c r="K2067" s="243"/>
      <c r="L2067" s="244">
        <v>0.1</v>
      </c>
      <c r="M2067" s="244">
        <f t="shared" si="247"/>
        <v>0</v>
      </c>
      <c r="N2067" s="244"/>
      <c r="O2067" s="244"/>
      <c r="P2067" s="244"/>
      <c r="Q2067" s="245">
        <f t="shared" si="248"/>
        <v>0</v>
      </c>
      <c r="R2067" s="245">
        <f t="shared" si="249"/>
        <v>0</v>
      </c>
      <c r="S2067" s="246">
        <v>0.5</v>
      </c>
      <c r="T2067" s="245">
        <f t="shared" si="250"/>
        <v>0</v>
      </c>
      <c r="U2067" s="245">
        <f t="shared" si="251"/>
        <v>0</v>
      </c>
      <c r="V2067" s="247"/>
    </row>
    <row r="2068" spans="1:22" ht="15.75" x14ac:dyDescent="0.25">
      <c r="A2068" s="236"/>
      <c r="B2068" s="237"/>
      <c r="C2068" s="238"/>
      <c r="D2068" s="239"/>
      <c r="E2068" s="240"/>
      <c r="F2068" s="240"/>
      <c r="G2068" s="240"/>
      <c r="H2068" s="241">
        <f t="shared" si="246"/>
        <v>0</v>
      </c>
      <c r="I2068" s="242"/>
      <c r="J2068" s="243"/>
      <c r="K2068" s="243"/>
      <c r="L2068" s="244">
        <v>0.1</v>
      </c>
      <c r="M2068" s="244">
        <f t="shared" si="247"/>
        <v>0</v>
      </c>
      <c r="N2068" s="244"/>
      <c r="O2068" s="244"/>
      <c r="P2068" s="244"/>
      <c r="Q2068" s="245">
        <f t="shared" si="248"/>
        <v>0</v>
      </c>
      <c r="R2068" s="245">
        <f t="shared" si="249"/>
        <v>0</v>
      </c>
      <c r="S2068" s="246">
        <v>0.5</v>
      </c>
      <c r="T2068" s="245">
        <f t="shared" si="250"/>
        <v>0</v>
      </c>
      <c r="U2068" s="245">
        <f t="shared" si="251"/>
        <v>0</v>
      </c>
      <c r="V2068" s="247"/>
    </row>
    <row r="2069" spans="1:22" ht="15.75" x14ac:dyDescent="0.25">
      <c r="A2069" s="236"/>
      <c r="B2069" s="237"/>
      <c r="C2069" s="238"/>
      <c r="D2069" s="239"/>
      <c r="E2069" s="240"/>
      <c r="F2069" s="240"/>
      <c r="G2069" s="240"/>
      <c r="H2069" s="241">
        <f t="shared" si="246"/>
        <v>0</v>
      </c>
      <c r="I2069" s="242"/>
      <c r="J2069" s="243"/>
      <c r="K2069" s="243"/>
      <c r="L2069" s="244">
        <v>0.1</v>
      </c>
      <c r="M2069" s="244">
        <f t="shared" si="247"/>
        <v>0</v>
      </c>
      <c r="N2069" s="244"/>
      <c r="O2069" s="244"/>
      <c r="P2069" s="244"/>
      <c r="Q2069" s="245">
        <f t="shared" si="248"/>
        <v>0</v>
      </c>
      <c r="R2069" s="245">
        <f t="shared" si="249"/>
        <v>0</v>
      </c>
      <c r="S2069" s="246">
        <v>0.5</v>
      </c>
      <c r="T2069" s="245">
        <f t="shared" si="250"/>
        <v>0</v>
      </c>
      <c r="U2069" s="245">
        <f t="shared" si="251"/>
        <v>0</v>
      </c>
      <c r="V2069" s="247"/>
    </row>
    <row r="2070" spans="1:22" ht="15.75" x14ac:dyDescent="0.25">
      <c r="A2070" s="236"/>
      <c r="B2070" s="237"/>
      <c r="C2070" s="238"/>
      <c r="D2070" s="239"/>
      <c r="E2070" s="240"/>
      <c r="F2070" s="240"/>
      <c r="G2070" s="240"/>
      <c r="H2070" s="241">
        <f t="shared" si="246"/>
        <v>0</v>
      </c>
      <c r="I2070" s="242"/>
      <c r="J2070" s="243"/>
      <c r="K2070" s="243"/>
      <c r="L2070" s="244">
        <v>0.1</v>
      </c>
      <c r="M2070" s="244">
        <f t="shared" si="247"/>
        <v>0</v>
      </c>
      <c r="N2070" s="244"/>
      <c r="O2070" s="244"/>
      <c r="P2070" s="244"/>
      <c r="Q2070" s="245">
        <f t="shared" si="248"/>
        <v>0</v>
      </c>
      <c r="R2070" s="245">
        <f t="shared" si="249"/>
        <v>0</v>
      </c>
      <c r="S2070" s="246">
        <v>0.5</v>
      </c>
      <c r="T2070" s="245">
        <f t="shared" si="250"/>
        <v>0</v>
      </c>
      <c r="U2070" s="245">
        <f t="shared" si="251"/>
        <v>0</v>
      </c>
      <c r="V2070" s="247"/>
    </row>
    <row r="2071" spans="1:22" ht="15.75" x14ac:dyDescent="0.25">
      <c r="A2071" s="236"/>
      <c r="B2071" s="237"/>
      <c r="C2071" s="238"/>
      <c r="D2071" s="239"/>
      <c r="E2071" s="240"/>
      <c r="F2071" s="240"/>
      <c r="G2071" s="240"/>
      <c r="H2071" s="241">
        <f t="shared" si="246"/>
        <v>0</v>
      </c>
      <c r="I2071" s="242"/>
      <c r="J2071" s="243"/>
      <c r="K2071" s="243"/>
      <c r="L2071" s="244">
        <v>0.1</v>
      </c>
      <c r="M2071" s="244">
        <f t="shared" si="247"/>
        <v>0</v>
      </c>
      <c r="N2071" s="244"/>
      <c r="O2071" s="244"/>
      <c r="P2071" s="244"/>
      <c r="Q2071" s="245">
        <f t="shared" si="248"/>
        <v>0</v>
      </c>
      <c r="R2071" s="245">
        <f t="shared" si="249"/>
        <v>0</v>
      </c>
      <c r="S2071" s="246">
        <v>0.5</v>
      </c>
      <c r="T2071" s="245">
        <f t="shared" si="250"/>
        <v>0</v>
      </c>
      <c r="U2071" s="245">
        <f t="shared" si="251"/>
        <v>0</v>
      </c>
      <c r="V2071" s="247"/>
    </row>
    <row r="2072" spans="1:22" ht="15.75" x14ac:dyDescent="0.25">
      <c r="A2072" s="236"/>
      <c r="B2072" s="237"/>
      <c r="C2072" s="238"/>
      <c r="D2072" s="239"/>
      <c r="E2072" s="240"/>
      <c r="F2072" s="240"/>
      <c r="G2072" s="240"/>
      <c r="H2072" s="241">
        <f t="shared" si="246"/>
        <v>0</v>
      </c>
      <c r="I2072" s="242"/>
      <c r="J2072" s="243"/>
      <c r="K2072" s="243"/>
      <c r="L2072" s="244">
        <v>0.1</v>
      </c>
      <c r="M2072" s="244">
        <f t="shared" si="247"/>
        <v>0</v>
      </c>
      <c r="N2072" s="244"/>
      <c r="O2072" s="244"/>
      <c r="P2072" s="244"/>
      <c r="Q2072" s="245">
        <f t="shared" si="248"/>
        <v>0</v>
      </c>
      <c r="R2072" s="245">
        <f t="shared" si="249"/>
        <v>0</v>
      </c>
      <c r="S2072" s="246">
        <v>0.5</v>
      </c>
      <c r="T2072" s="245">
        <f t="shared" si="250"/>
        <v>0</v>
      </c>
      <c r="U2072" s="245">
        <f t="shared" si="251"/>
        <v>0</v>
      </c>
      <c r="V2072" s="247"/>
    </row>
    <row r="2073" spans="1:22" ht="15.75" x14ac:dyDescent="0.25">
      <c r="A2073" s="236"/>
      <c r="B2073" s="237"/>
      <c r="C2073" s="238"/>
      <c r="D2073" s="239"/>
      <c r="E2073" s="240"/>
      <c r="F2073" s="240"/>
      <c r="G2073" s="240"/>
      <c r="H2073" s="241">
        <f t="shared" si="246"/>
        <v>0</v>
      </c>
      <c r="I2073" s="242"/>
      <c r="J2073" s="243"/>
      <c r="K2073" s="243"/>
      <c r="L2073" s="244">
        <v>0.1</v>
      </c>
      <c r="M2073" s="244">
        <f t="shared" si="247"/>
        <v>0</v>
      </c>
      <c r="N2073" s="244"/>
      <c r="O2073" s="244"/>
      <c r="P2073" s="244"/>
      <c r="Q2073" s="245">
        <f t="shared" si="248"/>
        <v>0</v>
      </c>
      <c r="R2073" s="245">
        <f t="shared" si="249"/>
        <v>0</v>
      </c>
      <c r="S2073" s="246">
        <v>0.5</v>
      </c>
      <c r="T2073" s="245">
        <f t="shared" si="250"/>
        <v>0</v>
      </c>
      <c r="U2073" s="245">
        <f t="shared" si="251"/>
        <v>0</v>
      </c>
      <c r="V2073" s="247"/>
    </row>
    <row r="2074" spans="1:22" ht="15.75" x14ac:dyDescent="0.25">
      <c r="A2074" s="236"/>
      <c r="B2074" s="237"/>
      <c r="C2074" s="238"/>
      <c r="D2074" s="239"/>
      <c r="E2074" s="240"/>
      <c r="F2074" s="240"/>
      <c r="G2074" s="240"/>
      <c r="H2074" s="241">
        <f t="shared" si="246"/>
        <v>0</v>
      </c>
      <c r="I2074" s="242"/>
      <c r="J2074" s="243"/>
      <c r="K2074" s="243"/>
      <c r="L2074" s="244">
        <v>0.1</v>
      </c>
      <c r="M2074" s="244">
        <f t="shared" si="247"/>
        <v>0</v>
      </c>
      <c r="N2074" s="244"/>
      <c r="O2074" s="244"/>
      <c r="P2074" s="244"/>
      <c r="Q2074" s="245">
        <f t="shared" si="248"/>
        <v>0</v>
      </c>
      <c r="R2074" s="245">
        <f t="shared" si="249"/>
        <v>0</v>
      </c>
      <c r="S2074" s="246">
        <v>0.5</v>
      </c>
      <c r="T2074" s="245">
        <f t="shared" si="250"/>
        <v>0</v>
      </c>
      <c r="U2074" s="245">
        <f t="shared" si="251"/>
        <v>0</v>
      </c>
      <c r="V2074" s="247"/>
    </row>
    <row r="2075" spans="1:22" ht="15.75" x14ac:dyDescent="0.25">
      <c r="A2075" s="236"/>
      <c r="B2075" s="237"/>
      <c r="C2075" s="238"/>
      <c r="D2075" s="239"/>
      <c r="E2075" s="240"/>
      <c r="F2075" s="240"/>
      <c r="G2075" s="240"/>
      <c r="H2075" s="241">
        <f t="shared" si="246"/>
        <v>0</v>
      </c>
      <c r="I2075" s="242"/>
      <c r="J2075" s="243"/>
      <c r="K2075" s="243"/>
      <c r="L2075" s="244">
        <v>0.1</v>
      </c>
      <c r="M2075" s="244">
        <f t="shared" si="247"/>
        <v>0</v>
      </c>
      <c r="N2075" s="244"/>
      <c r="O2075" s="244"/>
      <c r="P2075" s="244"/>
      <c r="Q2075" s="245">
        <f t="shared" si="248"/>
        <v>0</v>
      </c>
      <c r="R2075" s="245">
        <f t="shared" si="249"/>
        <v>0</v>
      </c>
      <c r="S2075" s="246">
        <v>0.5</v>
      </c>
      <c r="T2075" s="245">
        <f t="shared" si="250"/>
        <v>0</v>
      </c>
      <c r="U2075" s="245">
        <f t="shared" si="251"/>
        <v>0</v>
      </c>
      <c r="V2075" s="247"/>
    </row>
    <row r="2076" spans="1:22" ht="15.75" x14ac:dyDescent="0.25">
      <c r="A2076" s="236"/>
      <c r="B2076" s="237"/>
      <c r="C2076" s="238"/>
      <c r="D2076" s="239"/>
      <c r="E2076" s="240"/>
      <c r="F2076" s="240"/>
      <c r="G2076" s="240"/>
      <c r="H2076" s="241">
        <f t="shared" si="246"/>
        <v>0</v>
      </c>
      <c r="I2076" s="242"/>
      <c r="J2076" s="243"/>
      <c r="K2076" s="243"/>
      <c r="L2076" s="244">
        <v>0.1</v>
      </c>
      <c r="M2076" s="244">
        <f t="shared" si="247"/>
        <v>0</v>
      </c>
      <c r="N2076" s="244"/>
      <c r="O2076" s="244"/>
      <c r="P2076" s="244"/>
      <c r="Q2076" s="245">
        <f t="shared" si="248"/>
        <v>0</v>
      </c>
      <c r="R2076" s="245">
        <f t="shared" si="249"/>
        <v>0</v>
      </c>
      <c r="S2076" s="246">
        <v>0.5</v>
      </c>
      <c r="T2076" s="245">
        <f t="shared" si="250"/>
        <v>0</v>
      </c>
      <c r="U2076" s="245">
        <f t="shared" si="251"/>
        <v>0</v>
      </c>
      <c r="V2076" s="247"/>
    </row>
    <row r="2077" spans="1:22" ht="15.75" x14ac:dyDescent="0.25">
      <c r="A2077" s="236"/>
      <c r="B2077" s="237"/>
      <c r="C2077" s="238"/>
      <c r="D2077" s="239"/>
      <c r="E2077" s="240"/>
      <c r="F2077" s="240"/>
      <c r="G2077" s="240"/>
      <c r="H2077" s="241">
        <f t="shared" si="246"/>
        <v>0</v>
      </c>
      <c r="I2077" s="242"/>
      <c r="J2077" s="243"/>
      <c r="K2077" s="243"/>
      <c r="L2077" s="244">
        <v>0.1</v>
      </c>
      <c r="M2077" s="244">
        <f t="shared" si="247"/>
        <v>0</v>
      </c>
      <c r="N2077" s="244"/>
      <c r="O2077" s="244"/>
      <c r="P2077" s="244"/>
      <c r="Q2077" s="245">
        <f t="shared" si="248"/>
        <v>0</v>
      </c>
      <c r="R2077" s="245">
        <f t="shared" si="249"/>
        <v>0</v>
      </c>
      <c r="S2077" s="246">
        <v>0.5</v>
      </c>
      <c r="T2077" s="245">
        <f t="shared" si="250"/>
        <v>0</v>
      </c>
      <c r="U2077" s="245">
        <f t="shared" si="251"/>
        <v>0</v>
      </c>
      <c r="V2077" s="247"/>
    </row>
    <row r="2078" spans="1:22" ht="15.75" x14ac:dyDescent="0.25">
      <c r="A2078" s="236"/>
      <c r="B2078" s="237"/>
      <c r="C2078" s="238"/>
      <c r="D2078" s="239"/>
      <c r="E2078" s="240"/>
      <c r="F2078" s="240"/>
      <c r="G2078" s="240"/>
      <c r="H2078" s="241">
        <f t="shared" si="246"/>
        <v>0</v>
      </c>
      <c r="I2078" s="242"/>
      <c r="J2078" s="243"/>
      <c r="K2078" s="243"/>
      <c r="L2078" s="244">
        <v>0.1</v>
      </c>
      <c r="M2078" s="244">
        <f t="shared" si="247"/>
        <v>0</v>
      </c>
      <c r="N2078" s="244"/>
      <c r="O2078" s="244"/>
      <c r="P2078" s="244"/>
      <c r="Q2078" s="245">
        <f t="shared" si="248"/>
        <v>0</v>
      </c>
      <c r="R2078" s="245">
        <f t="shared" si="249"/>
        <v>0</v>
      </c>
      <c r="S2078" s="246">
        <v>0.5</v>
      </c>
      <c r="T2078" s="245">
        <f t="shared" si="250"/>
        <v>0</v>
      </c>
      <c r="U2078" s="245">
        <f t="shared" si="251"/>
        <v>0</v>
      </c>
      <c r="V2078" s="247"/>
    </row>
    <row r="2079" spans="1:22" ht="15.75" x14ac:dyDescent="0.25">
      <c r="A2079" s="236"/>
      <c r="B2079" s="237"/>
      <c r="C2079" s="238"/>
      <c r="D2079" s="239"/>
      <c r="E2079" s="240"/>
      <c r="F2079" s="240"/>
      <c r="G2079" s="240"/>
      <c r="H2079" s="241">
        <f t="shared" si="246"/>
        <v>0</v>
      </c>
      <c r="I2079" s="242"/>
      <c r="J2079" s="243"/>
      <c r="K2079" s="243"/>
      <c r="L2079" s="244">
        <v>0.1</v>
      </c>
      <c r="M2079" s="244">
        <f t="shared" si="247"/>
        <v>0</v>
      </c>
      <c r="N2079" s="244"/>
      <c r="O2079" s="244"/>
      <c r="P2079" s="244"/>
      <c r="Q2079" s="245">
        <f t="shared" si="248"/>
        <v>0</v>
      </c>
      <c r="R2079" s="245">
        <f t="shared" si="249"/>
        <v>0</v>
      </c>
      <c r="S2079" s="246">
        <v>0.5</v>
      </c>
      <c r="T2079" s="245">
        <f t="shared" si="250"/>
        <v>0</v>
      </c>
      <c r="U2079" s="245">
        <f t="shared" si="251"/>
        <v>0</v>
      </c>
      <c r="V2079" s="247"/>
    </row>
    <row r="2080" spans="1:22" ht="15.75" x14ac:dyDescent="0.25">
      <c r="A2080" s="236"/>
      <c r="B2080" s="237"/>
      <c r="C2080" s="238"/>
      <c r="D2080" s="239"/>
      <c r="E2080" s="240"/>
      <c r="F2080" s="240"/>
      <c r="G2080" s="240"/>
      <c r="H2080" s="241">
        <f t="shared" si="246"/>
        <v>0</v>
      </c>
      <c r="I2080" s="242"/>
      <c r="J2080" s="243"/>
      <c r="K2080" s="243"/>
      <c r="L2080" s="244">
        <v>0.1</v>
      </c>
      <c r="M2080" s="244">
        <f t="shared" si="247"/>
        <v>0</v>
      </c>
      <c r="N2080" s="244"/>
      <c r="O2080" s="244"/>
      <c r="P2080" s="244"/>
      <c r="Q2080" s="245">
        <f t="shared" si="248"/>
        <v>0</v>
      </c>
      <c r="R2080" s="245">
        <f t="shared" si="249"/>
        <v>0</v>
      </c>
      <c r="S2080" s="246">
        <v>0.5</v>
      </c>
      <c r="T2080" s="245">
        <f t="shared" si="250"/>
        <v>0</v>
      </c>
      <c r="U2080" s="245">
        <f t="shared" si="251"/>
        <v>0</v>
      </c>
      <c r="V2080" s="247"/>
    </row>
    <row r="2081" spans="1:22" ht="15.75" x14ac:dyDescent="0.25">
      <c r="A2081" s="236"/>
      <c r="B2081" s="237"/>
      <c r="C2081" s="238"/>
      <c r="D2081" s="239"/>
      <c r="E2081" s="240"/>
      <c r="F2081" s="240"/>
      <c r="G2081" s="240"/>
      <c r="H2081" s="241">
        <f t="shared" si="246"/>
        <v>0</v>
      </c>
      <c r="I2081" s="242"/>
      <c r="J2081" s="243"/>
      <c r="K2081" s="243"/>
      <c r="L2081" s="244">
        <v>0.1</v>
      </c>
      <c r="M2081" s="244">
        <f t="shared" si="247"/>
        <v>0</v>
      </c>
      <c r="N2081" s="244"/>
      <c r="O2081" s="244"/>
      <c r="P2081" s="244"/>
      <c r="Q2081" s="245">
        <f t="shared" si="248"/>
        <v>0</v>
      </c>
      <c r="R2081" s="245">
        <f t="shared" si="249"/>
        <v>0</v>
      </c>
      <c r="S2081" s="246">
        <v>0.5</v>
      </c>
      <c r="T2081" s="245">
        <f t="shared" si="250"/>
        <v>0</v>
      </c>
      <c r="U2081" s="245">
        <f t="shared" si="251"/>
        <v>0</v>
      </c>
      <c r="V2081" s="247"/>
    </row>
    <row r="2082" spans="1:22" ht="15.75" x14ac:dyDescent="0.25">
      <c r="A2082" s="236"/>
      <c r="B2082" s="237"/>
      <c r="C2082" s="238"/>
      <c r="D2082" s="239"/>
      <c r="E2082" s="240"/>
      <c r="F2082" s="240"/>
      <c r="G2082" s="240"/>
      <c r="H2082" s="241">
        <f t="shared" si="246"/>
        <v>0</v>
      </c>
      <c r="I2082" s="242"/>
      <c r="J2082" s="243"/>
      <c r="K2082" s="243"/>
      <c r="L2082" s="244">
        <v>0.1</v>
      </c>
      <c r="M2082" s="244">
        <f t="shared" si="247"/>
        <v>0</v>
      </c>
      <c r="N2082" s="244"/>
      <c r="O2082" s="244"/>
      <c r="P2082" s="244"/>
      <c r="Q2082" s="245">
        <f t="shared" si="248"/>
        <v>0</v>
      </c>
      <c r="R2082" s="245">
        <f t="shared" si="249"/>
        <v>0</v>
      </c>
      <c r="S2082" s="246">
        <v>0.5</v>
      </c>
      <c r="T2082" s="245">
        <f t="shared" si="250"/>
        <v>0</v>
      </c>
      <c r="U2082" s="245">
        <f t="shared" si="251"/>
        <v>0</v>
      </c>
      <c r="V2082" s="247"/>
    </row>
    <row r="2083" spans="1:22" ht="15.75" x14ac:dyDescent="0.25">
      <c r="A2083" s="236"/>
      <c r="B2083" s="237"/>
      <c r="C2083" s="238"/>
      <c r="D2083" s="239"/>
      <c r="E2083" s="240"/>
      <c r="F2083" s="240"/>
      <c r="G2083" s="240"/>
      <c r="H2083" s="241">
        <f t="shared" si="246"/>
        <v>0</v>
      </c>
      <c r="I2083" s="242"/>
      <c r="J2083" s="243"/>
      <c r="K2083" s="243"/>
      <c r="L2083" s="244">
        <v>0.1</v>
      </c>
      <c r="M2083" s="244">
        <f t="shared" si="247"/>
        <v>0</v>
      </c>
      <c r="N2083" s="244"/>
      <c r="O2083" s="244"/>
      <c r="P2083" s="244"/>
      <c r="Q2083" s="245">
        <f t="shared" si="248"/>
        <v>0</v>
      </c>
      <c r="R2083" s="245">
        <f t="shared" si="249"/>
        <v>0</v>
      </c>
      <c r="S2083" s="246">
        <v>0.5</v>
      </c>
      <c r="T2083" s="245">
        <f t="shared" si="250"/>
        <v>0</v>
      </c>
      <c r="U2083" s="245">
        <f t="shared" si="251"/>
        <v>0</v>
      </c>
      <c r="V2083" s="247"/>
    </row>
    <row r="2084" spans="1:22" ht="15.75" x14ac:dyDescent="0.25">
      <c r="A2084" s="236"/>
      <c r="B2084" s="237"/>
      <c r="C2084" s="238"/>
      <c r="D2084" s="239"/>
      <c r="E2084" s="240"/>
      <c r="F2084" s="240"/>
      <c r="G2084" s="240"/>
      <c r="H2084" s="241">
        <f t="shared" si="246"/>
        <v>0</v>
      </c>
      <c r="I2084" s="242"/>
      <c r="J2084" s="243"/>
      <c r="K2084" s="243"/>
      <c r="L2084" s="244">
        <v>0.1</v>
      </c>
      <c r="M2084" s="244">
        <f t="shared" si="247"/>
        <v>0</v>
      </c>
      <c r="N2084" s="244"/>
      <c r="O2084" s="244"/>
      <c r="P2084" s="244"/>
      <c r="Q2084" s="245">
        <f t="shared" si="248"/>
        <v>0</v>
      </c>
      <c r="R2084" s="245">
        <f t="shared" si="249"/>
        <v>0</v>
      </c>
      <c r="S2084" s="246">
        <v>0.5</v>
      </c>
      <c r="T2084" s="245">
        <f t="shared" si="250"/>
        <v>0</v>
      </c>
      <c r="U2084" s="245">
        <f t="shared" si="251"/>
        <v>0</v>
      </c>
      <c r="V2084" s="247"/>
    </row>
    <row r="2085" spans="1:22" ht="15.75" x14ac:dyDescent="0.25">
      <c r="A2085" s="236"/>
      <c r="B2085" s="237"/>
      <c r="C2085" s="238"/>
      <c r="D2085" s="239"/>
      <c r="E2085" s="240"/>
      <c r="F2085" s="240"/>
      <c r="G2085" s="240"/>
      <c r="H2085" s="241">
        <f t="shared" si="246"/>
        <v>0</v>
      </c>
      <c r="I2085" s="242"/>
      <c r="J2085" s="243"/>
      <c r="K2085" s="243"/>
      <c r="L2085" s="244">
        <v>0.1</v>
      </c>
      <c r="M2085" s="244">
        <f t="shared" si="247"/>
        <v>0</v>
      </c>
      <c r="N2085" s="244"/>
      <c r="O2085" s="244"/>
      <c r="P2085" s="244"/>
      <c r="Q2085" s="245">
        <f t="shared" si="248"/>
        <v>0</v>
      </c>
      <c r="R2085" s="245">
        <f t="shared" si="249"/>
        <v>0</v>
      </c>
      <c r="S2085" s="246">
        <v>0.5</v>
      </c>
      <c r="T2085" s="245">
        <f t="shared" si="250"/>
        <v>0</v>
      </c>
      <c r="U2085" s="245">
        <f t="shared" si="251"/>
        <v>0</v>
      </c>
      <c r="V2085" s="247"/>
    </row>
    <row r="2086" spans="1:22" ht="15.75" x14ac:dyDescent="0.25">
      <c r="A2086" s="236"/>
      <c r="B2086" s="237"/>
      <c r="C2086" s="238"/>
      <c r="D2086" s="239"/>
      <c r="E2086" s="240"/>
      <c r="F2086" s="240"/>
      <c r="G2086" s="240"/>
      <c r="H2086" s="241">
        <f t="shared" si="246"/>
        <v>0</v>
      </c>
      <c r="I2086" s="242"/>
      <c r="J2086" s="243"/>
      <c r="K2086" s="243"/>
      <c r="L2086" s="244">
        <v>0.1</v>
      </c>
      <c r="M2086" s="244">
        <f t="shared" si="247"/>
        <v>0</v>
      </c>
      <c r="N2086" s="244"/>
      <c r="O2086" s="244"/>
      <c r="P2086" s="244"/>
      <c r="Q2086" s="245">
        <f t="shared" si="248"/>
        <v>0</v>
      </c>
      <c r="R2086" s="245">
        <f t="shared" si="249"/>
        <v>0</v>
      </c>
      <c r="S2086" s="246">
        <v>0.5</v>
      </c>
      <c r="T2086" s="245">
        <f t="shared" si="250"/>
        <v>0</v>
      </c>
      <c r="U2086" s="245">
        <f t="shared" si="251"/>
        <v>0</v>
      </c>
      <c r="V2086" s="247"/>
    </row>
    <row r="2087" spans="1:22" ht="15.75" x14ac:dyDescent="0.25">
      <c r="A2087" s="236"/>
      <c r="B2087" s="237"/>
      <c r="C2087" s="238"/>
      <c r="D2087" s="239"/>
      <c r="E2087" s="240"/>
      <c r="F2087" s="240"/>
      <c r="G2087" s="240"/>
      <c r="H2087" s="241">
        <f t="shared" si="246"/>
        <v>0</v>
      </c>
      <c r="I2087" s="242"/>
      <c r="J2087" s="243"/>
      <c r="K2087" s="243"/>
      <c r="L2087" s="244">
        <v>0.1</v>
      </c>
      <c r="M2087" s="244">
        <f t="shared" si="247"/>
        <v>0</v>
      </c>
      <c r="N2087" s="244"/>
      <c r="O2087" s="244"/>
      <c r="P2087" s="244"/>
      <c r="Q2087" s="245">
        <f t="shared" si="248"/>
        <v>0</v>
      </c>
      <c r="R2087" s="245">
        <f t="shared" si="249"/>
        <v>0</v>
      </c>
      <c r="S2087" s="246">
        <v>0.5</v>
      </c>
      <c r="T2087" s="245">
        <f t="shared" si="250"/>
        <v>0</v>
      </c>
      <c r="U2087" s="245">
        <f t="shared" si="251"/>
        <v>0</v>
      </c>
      <c r="V2087" s="247"/>
    </row>
    <row r="2088" spans="1:22" ht="15.75" x14ac:dyDescent="0.25">
      <c r="A2088" s="236"/>
      <c r="B2088" s="237"/>
      <c r="C2088" s="238"/>
      <c r="D2088" s="239"/>
      <c r="E2088" s="240"/>
      <c r="F2088" s="240"/>
      <c r="G2088" s="240"/>
      <c r="H2088" s="241">
        <f t="shared" si="246"/>
        <v>0</v>
      </c>
      <c r="I2088" s="242"/>
      <c r="J2088" s="243"/>
      <c r="K2088" s="243"/>
      <c r="L2088" s="244">
        <v>0.1</v>
      </c>
      <c r="M2088" s="244">
        <f t="shared" si="247"/>
        <v>0</v>
      </c>
      <c r="N2088" s="244"/>
      <c r="O2088" s="244"/>
      <c r="P2088" s="244"/>
      <c r="Q2088" s="245">
        <f t="shared" si="248"/>
        <v>0</v>
      </c>
      <c r="R2088" s="245">
        <f t="shared" si="249"/>
        <v>0</v>
      </c>
      <c r="S2088" s="246">
        <v>0.5</v>
      </c>
      <c r="T2088" s="245">
        <f t="shared" si="250"/>
        <v>0</v>
      </c>
      <c r="U2088" s="245">
        <f t="shared" si="251"/>
        <v>0</v>
      </c>
      <c r="V2088" s="247"/>
    </row>
    <row r="2089" spans="1:22" ht="15.75" x14ac:dyDescent="0.25">
      <c r="A2089" s="236"/>
      <c r="B2089" s="237"/>
      <c r="C2089" s="238"/>
      <c r="D2089" s="239"/>
      <c r="E2089" s="240"/>
      <c r="F2089" s="240"/>
      <c r="G2089" s="240"/>
      <c r="H2089" s="241">
        <f t="shared" si="246"/>
        <v>0</v>
      </c>
      <c r="I2089" s="242"/>
      <c r="J2089" s="243"/>
      <c r="K2089" s="243"/>
      <c r="L2089" s="244">
        <v>0.1</v>
      </c>
      <c r="M2089" s="244">
        <f t="shared" si="247"/>
        <v>0</v>
      </c>
      <c r="N2089" s="244"/>
      <c r="O2089" s="244"/>
      <c r="P2089" s="244"/>
      <c r="Q2089" s="245">
        <f t="shared" si="248"/>
        <v>0</v>
      </c>
      <c r="R2089" s="245">
        <f t="shared" si="249"/>
        <v>0</v>
      </c>
      <c r="S2089" s="246">
        <v>0.5</v>
      </c>
      <c r="T2089" s="245">
        <f t="shared" si="250"/>
        <v>0</v>
      </c>
      <c r="U2089" s="245">
        <f t="shared" si="251"/>
        <v>0</v>
      </c>
      <c r="V2089" s="247"/>
    </row>
    <row r="2090" spans="1:22" ht="15.75" x14ac:dyDescent="0.25">
      <c r="A2090" s="236"/>
      <c r="B2090" s="237"/>
      <c r="C2090" s="238"/>
      <c r="D2090" s="239"/>
      <c r="E2090" s="240"/>
      <c r="F2090" s="240"/>
      <c r="G2090" s="240"/>
      <c r="H2090" s="241">
        <f t="shared" si="246"/>
        <v>0</v>
      </c>
      <c r="I2090" s="242"/>
      <c r="J2090" s="243"/>
      <c r="K2090" s="243"/>
      <c r="L2090" s="244">
        <v>0.1</v>
      </c>
      <c r="M2090" s="244">
        <f t="shared" si="247"/>
        <v>0</v>
      </c>
      <c r="N2090" s="244"/>
      <c r="O2090" s="244"/>
      <c r="P2090" s="244"/>
      <c r="Q2090" s="245">
        <f t="shared" si="248"/>
        <v>0</v>
      </c>
      <c r="R2090" s="245">
        <f t="shared" si="249"/>
        <v>0</v>
      </c>
      <c r="S2090" s="246">
        <v>0.5</v>
      </c>
      <c r="T2090" s="245">
        <f t="shared" si="250"/>
        <v>0</v>
      </c>
      <c r="U2090" s="245">
        <f t="shared" si="251"/>
        <v>0</v>
      </c>
      <c r="V2090" s="247"/>
    </row>
    <row r="2091" spans="1:22" ht="15.75" x14ac:dyDescent="0.25">
      <c r="A2091" s="236"/>
      <c r="B2091" s="237"/>
      <c r="C2091" s="238"/>
      <c r="D2091" s="239"/>
      <c r="E2091" s="240"/>
      <c r="F2091" s="240"/>
      <c r="G2091" s="240"/>
      <c r="H2091" s="241">
        <f t="shared" si="246"/>
        <v>0</v>
      </c>
      <c r="I2091" s="242"/>
      <c r="J2091" s="243"/>
      <c r="K2091" s="243"/>
      <c r="L2091" s="244">
        <v>0.1</v>
      </c>
      <c r="M2091" s="244">
        <f t="shared" si="247"/>
        <v>0</v>
      </c>
      <c r="N2091" s="244"/>
      <c r="O2091" s="244"/>
      <c r="P2091" s="244"/>
      <c r="Q2091" s="245">
        <f t="shared" si="248"/>
        <v>0</v>
      </c>
      <c r="R2091" s="245">
        <f t="shared" si="249"/>
        <v>0</v>
      </c>
      <c r="S2091" s="246">
        <v>0.5</v>
      </c>
      <c r="T2091" s="245">
        <f t="shared" si="250"/>
        <v>0</v>
      </c>
      <c r="U2091" s="245">
        <f t="shared" si="251"/>
        <v>0</v>
      </c>
      <c r="V2091" s="247"/>
    </row>
    <row r="2092" spans="1:22" ht="15.75" x14ac:dyDescent="0.25">
      <c r="A2092" s="236"/>
      <c r="B2092" s="237"/>
      <c r="C2092" s="238"/>
      <c r="D2092" s="239"/>
      <c r="E2092" s="240"/>
      <c r="F2092" s="240"/>
      <c r="G2092" s="240"/>
      <c r="H2092" s="241">
        <f t="shared" si="246"/>
        <v>0</v>
      </c>
      <c r="I2092" s="242"/>
      <c r="J2092" s="243"/>
      <c r="K2092" s="243"/>
      <c r="L2092" s="244">
        <v>0.1</v>
      </c>
      <c r="M2092" s="244">
        <f t="shared" si="247"/>
        <v>0</v>
      </c>
      <c r="N2092" s="244"/>
      <c r="O2092" s="244"/>
      <c r="P2092" s="244"/>
      <c r="Q2092" s="245">
        <f t="shared" si="248"/>
        <v>0</v>
      </c>
      <c r="R2092" s="245">
        <f t="shared" si="249"/>
        <v>0</v>
      </c>
      <c r="S2092" s="246">
        <v>0.5</v>
      </c>
      <c r="T2092" s="245">
        <f t="shared" si="250"/>
        <v>0</v>
      </c>
      <c r="U2092" s="245">
        <f t="shared" si="251"/>
        <v>0</v>
      </c>
      <c r="V2092" s="247"/>
    </row>
    <row r="2093" spans="1:22" ht="15.75" x14ac:dyDescent="0.25">
      <c r="A2093" s="236"/>
      <c r="B2093" s="237"/>
      <c r="C2093" s="238"/>
      <c r="D2093" s="239"/>
      <c r="E2093" s="240"/>
      <c r="F2093" s="240"/>
      <c r="G2093" s="240"/>
      <c r="H2093" s="241">
        <f t="shared" si="246"/>
        <v>0</v>
      </c>
      <c r="I2093" s="242"/>
      <c r="J2093" s="243"/>
      <c r="K2093" s="243"/>
      <c r="L2093" s="244">
        <v>0.1</v>
      </c>
      <c r="M2093" s="244">
        <f t="shared" si="247"/>
        <v>0</v>
      </c>
      <c r="N2093" s="244"/>
      <c r="O2093" s="244"/>
      <c r="P2093" s="244"/>
      <c r="Q2093" s="245">
        <f t="shared" si="248"/>
        <v>0</v>
      </c>
      <c r="R2093" s="245">
        <f t="shared" si="249"/>
        <v>0</v>
      </c>
      <c r="S2093" s="246">
        <v>0.5</v>
      </c>
      <c r="T2093" s="245">
        <f t="shared" si="250"/>
        <v>0</v>
      </c>
      <c r="U2093" s="245">
        <f t="shared" si="251"/>
        <v>0</v>
      </c>
      <c r="V2093" s="247"/>
    </row>
    <row r="2094" spans="1:22" ht="15.75" x14ac:dyDescent="0.25">
      <c r="A2094" s="236"/>
      <c r="B2094" s="237"/>
      <c r="C2094" s="238"/>
      <c r="D2094" s="239"/>
      <c r="E2094" s="240"/>
      <c r="F2094" s="240"/>
      <c r="G2094" s="240"/>
      <c r="H2094" s="241">
        <f t="shared" si="246"/>
        <v>0</v>
      </c>
      <c r="I2094" s="242"/>
      <c r="J2094" s="243"/>
      <c r="K2094" s="243"/>
      <c r="L2094" s="244">
        <v>0.1</v>
      </c>
      <c r="M2094" s="244">
        <f t="shared" si="247"/>
        <v>0</v>
      </c>
      <c r="N2094" s="244"/>
      <c r="O2094" s="244"/>
      <c r="P2094" s="244"/>
      <c r="Q2094" s="245">
        <f t="shared" si="248"/>
        <v>0</v>
      </c>
      <c r="R2094" s="245">
        <f t="shared" si="249"/>
        <v>0</v>
      </c>
      <c r="S2094" s="246">
        <v>0.5</v>
      </c>
      <c r="T2094" s="245">
        <f t="shared" si="250"/>
        <v>0</v>
      </c>
      <c r="U2094" s="245">
        <f t="shared" si="251"/>
        <v>0</v>
      </c>
      <c r="V2094" s="247"/>
    </row>
    <row r="2095" spans="1:22" ht="15.75" x14ac:dyDescent="0.25">
      <c r="A2095" s="236"/>
      <c r="B2095" s="237"/>
      <c r="C2095" s="238"/>
      <c r="D2095" s="239"/>
      <c r="E2095" s="240"/>
      <c r="F2095" s="240"/>
      <c r="G2095" s="240"/>
      <c r="H2095" s="241">
        <f t="shared" si="246"/>
        <v>0</v>
      </c>
      <c r="I2095" s="242"/>
      <c r="J2095" s="243"/>
      <c r="K2095" s="243"/>
      <c r="L2095" s="244">
        <v>0.1</v>
      </c>
      <c r="M2095" s="244">
        <f t="shared" si="247"/>
        <v>0</v>
      </c>
      <c r="N2095" s="244"/>
      <c r="O2095" s="244"/>
      <c r="P2095" s="244"/>
      <c r="Q2095" s="245">
        <f t="shared" si="248"/>
        <v>0</v>
      </c>
      <c r="R2095" s="245">
        <f t="shared" si="249"/>
        <v>0</v>
      </c>
      <c r="S2095" s="246">
        <v>0.5</v>
      </c>
      <c r="T2095" s="245">
        <f t="shared" si="250"/>
        <v>0</v>
      </c>
      <c r="U2095" s="245">
        <f t="shared" si="251"/>
        <v>0</v>
      </c>
      <c r="V2095" s="247"/>
    </row>
    <row r="2096" spans="1:22" ht="15.75" x14ac:dyDescent="0.25">
      <c r="A2096" s="236"/>
      <c r="B2096" s="237"/>
      <c r="C2096" s="238"/>
      <c r="D2096" s="239"/>
      <c r="E2096" s="240"/>
      <c r="F2096" s="240"/>
      <c r="G2096" s="240"/>
      <c r="H2096" s="241">
        <f t="shared" si="246"/>
        <v>0</v>
      </c>
      <c r="I2096" s="242"/>
      <c r="J2096" s="243"/>
      <c r="K2096" s="243"/>
      <c r="L2096" s="244">
        <v>0.1</v>
      </c>
      <c r="M2096" s="244">
        <f t="shared" si="247"/>
        <v>0</v>
      </c>
      <c r="N2096" s="244"/>
      <c r="O2096" s="244"/>
      <c r="P2096" s="244"/>
      <c r="Q2096" s="245">
        <f t="shared" si="248"/>
        <v>0</v>
      </c>
      <c r="R2096" s="245">
        <f t="shared" si="249"/>
        <v>0</v>
      </c>
      <c r="S2096" s="246">
        <v>0.5</v>
      </c>
      <c r="T2096" s="245">
        <f t="shared" si="250"/>
        <v>0</v>
      </c>
      <c r="U2096" s="245">
        <f t="shared" si="251"/>
        <v>0</v>
      </c>
      <c r="V2096" s="247"/>
    </row>
    <row r="2097" spans="1:22" ht="15.75" x14ac:dyDescent="0.25">
      <c r="A2097" s="236"/>
      <c r="B2097" s="237"/>
      <c r="C2097" s="238"/>
      <c r="D2097" s="239"/>
      <c r="E2097" s="240"/>
      <c r="F2097" s="240"/>
      <c r="G2097" s="240"/>
      <c r="H2097" s="241">
        <f t="shared" si="246"/>
        <v>0</v>
      </c>
      <c r="I2097" s="242"/>
      <c r="J2097" s="243"/>
      <c r="K2097" s="243"/>
      <c r="L2097" s="244">
        <v>0.1</v>
      </c>
      <c r="M2097" s="244">
        <f t="shared" si="247"/>
        <v>0</v>
      </c>
      <c r="N2097" s="244"/>
      <c r="O2097" s="244"/>
      <c r="P2097" s="244"/>
      <c r="Q2097" s="245">
        <f t="shared" si="248"/>
        <v>0</v>
      </c>
      <c r="R2097" s="245">
        <f t="shared" si="249"/>
        <v>0</v>
      </c>
      <c r="S2097" s="246">
        <v>0.5</v>
      </c>
      <c r="T2097" s="245">
        <f t="shared" si="250"/>
        <v>0</v>
      </c>
      <c r="U2097" s="245">
        <f t="shared" si="251"/>
        <v>0</v>
      </c>
      <c r="V2097" s="247"/>
    </row>
    <row r="2098" spans="1:22" ht="15.75" x14ac:dyDescent="0.25">
      <c r="A2098" s="236"/>
      <c r="B2098" s="237"/>
      <c r="C2098" s="238"/>
      <c r="D2098" s="239"/>
      <c r="E2098" s="240"/>
      <c r="F2098" s="240"/>
      <c r="G2098" s="240"/>
      <c r="H2098" s="241">
        <f t="shared" si="246"/>
        <v>0</v>
      </c>
      <c r="I2098" s="242"/>
      <c r="J2098" s="243"/>
      <c r="K2098" s="243"/>
      <c r="L2098" s="244">
        <v>0.1</v>
      </c>
      <c r="M2098" s="244">
        <f t="shared" si="247"/>
        <v>0</v>
      </c>
      <c r="N2098" s="244"/>
      <c r="O2098" s="244"/>
      <c r="P2098" s="244"/>
      <c r="Q2098" s="245">
        <f t="shared" si="248"/>
        <v>0</v>
      </c>
      <c r="R2098" s="245">
        <f t="shared" si="249"/>
        <v>0</v>
      </c>
      <c r="S2098" s="246">
        <v>0.5</v>
      </c>
      <c r="T2098" s="245">
        <f t="shared" si="250"/>
        <v>0</v>
      </c>
      <c r="U2098" s="245">
        <f t="shared" si="251"/>
        <v>0</v>
      </c>
      <c r="V2098" s="247"/>
    </row>
    <row r="2099" spans="1:22" ht="15.75" x14ac:dyDescent="0.25">
      <c r="A2099" s="236"/>
      <c r="B2099" s="237"/>
      <c r="C2099" s="238"/>
      <c r="D2099" s="239"/>
      <c r="E2099" s="240"/>
      <c r="F2099" s="240"/>
      <c r="G2099" s="240"/>
      <c r="H2099" s="241">
        <f t="shared" si="246"/>
        <v>0</v>
      </c>
      <c r="I2099" s="242"/>
      <c r="J2099" s="243"/>
      <c r="K2099" s="243"/>
      <c r="L2099" s="244">
        <v>0.1</v>
      </c>
      <c r="M2099" s="244">
        <f t="shared" si="247"/>
        <v>0</v>
      </c>
      <c r="N2099" s="244"/>
      <c r="O2099" s="244"/>
      <c r="P2099" s="244"/>
      <c r="Q2099" s="245">
        <f t="shared" si="248"/>
        <v>0</v>
      </c>
      <c r="R2099" s="245">
        <f t="shared" si="249"/>
        <v>0</v>
      </c>
      <c r="S2099" s="246">
        <v>0.5</v>
      </c>
      <c r="T2099" s="245">
        <f t="shared" si="250"/>
        <v>0</v>
      </c>
      <c r="U2099" s="245">
        <f t="shared" si="251"/>
        <v>0</v>
      </c>
      <c r="V2099" s="247"/>
    </row>
    <row r="2100" spans="1:22" ht="15.75" x14ac:dyDescent="0.25">
      <c r="A2100" s="236"/>
      <c r="B2100" s="237"/>
      <c r="C2100" s="238"/>
      <c r="D2100" s="239"/>
      <c r="E2100" s="240"/>
      <c r="F2100" s="240"/>
      <c r="G2100" s="240"/>
      <c r="H2100" s="241">
        <f t="shared" si="246"/>
        <v>0</v>
      </c>
      <c r="I2100" s="242"/>
      <c r="J2100" s="243"/>
      <c r="K2100" s="243"/>
      <c r="L2100" s="244">
        <v>0.1</v>
      </c>
      <c r="M2100" s="244">
        <f t="shared" si="247"/>
        <v>0</v>
      </c>
      <c r="N2100" s="244"/>
      <c r="O2100" s="244"/>
      <c r="P2100" s="244"/>
      <c r="Q2100" s="245">
        <f t="shared" si="248"/>
        <v>0</v>
      </c>
      <c r="R2100" s="245">
        <f t="shared" si="249"/>
        <v>0</v>
      </c>
      <c r="S2100" s="246">
        <v>0.5</v>
      </c>
      <c r="T2100" s="245">
        <f t="shared" si="250"/>
        <v>0</v>
      </c>
      <c r="U2100" s="245">
        <f t="shared" si="251"/>
        <v>0</v>
      </c>
      <c r="V2100" s="247"/>
    </row>
    <row r="2101" spans="1:22" ht="15.75" x14ac:dyDescent="0.25">
      <c r="A2101" s="236"/>
      <c r="B2101" s="237"/>
      <c r="C2101" s="238"/>
      <c r="D2101" s="239"/>
      <c r="E2101" s="240"/>
      <c r="F2101" s="240"/>
      <c r="G2101" s="240"/>
      <c r="H2101" s="241">
        <f t="shared" si="246"/>
        <v>0</v>
      </c>
      <c r="I2101" s="242"/>
      <c r="J2101" s="243"/>
      <c r="K2101" s="243"/>
      <c r="L2101" s="244">
        <v>0.1</v>
      </c>
      <c r="M2101" s="244">
        <f t="shared" si="247"/>
        <v>0</v>
      </c>
      <c r="N2101" s="244"/>
      <c r="O2101" s="244"/>
      <c r="P2101" s="244"/>
      <c r="Q2101" s="245">
        <f t="shared" si="248"/>
        <v>0</v>
      </c>
      <c r="R2101" s="245">
        <f t="shared" si="249"/>
        <v>0</v>
      </c>
      <c r="S2101" s="246">
        <v>0.5</v>
      </c>
      <c r="T2101" s="245">
        <f t="shared" si="250"/>
        <v>0</v>
      </c>
      <c r="U2101" s="245">
        <f t="shared" si="251"/>
        <v>0</v>
      </c>
      <c r="V2101" s="247"/>
    </row>
    <row r="2102" spans="1:22" ht="15.75" x14ac:dyDescent="0.25">
      <c r="A2102" s="236"/>
      <c r="B2102" s="237"/>
      <c r="C2102" s="238"/>
      <c r="D2102" s="239"/>
      <c r="E2102" s="240"/>
      <c r="F2102" s="240"/>
      <c r="G2102" s="240"/>
      <c r="H2102" s="241">
        <f t="shared" si="246"/>
        <v>0</v>
      </c>
      <c r="I2102" s="242"/>
      <c r="J2102" s="243"/>
      <c r="K2102" s="243"/>
      <c r="L2102" s="244">
        <v>0.1</v>
      </c>
      <c r="M2102" s="244">
        <f t="shared" si="247"/>
        <v>0</v>
      </c>
      <c r="N2102" s="244"/>
      <c r="O2102" s="244"/>
      <c r="P2102" s="244"/>
      <c r="Q2102" s="245">
        <f t="shared" si="248"/>
        <v>0</v>
      </c>
      <c r="R2102" s="245">
        <f t="shared" si="249"/>
        <v>0</v>
      </c>
      <c r="S2102" s="246">
        <v>0.5</v>
      </c>
      <c r="T2102" s="245">
        <f t="shared" si="250"/>
        <v>0</v>
      </c>
      <c r="U2102" s="245">
        <f t="shared" si="251"/>
        <v>0</v>
      </c>
      <c r="V2102" s="247"/>
    </row>
    <row r="2103" spans="1:22" ht="15.75" x14ac:dyDescent="0.25">
      <c r="A2103" s="236"/>
      <c r="B2103" s="237"/>
      <c r="C2103" s="238"/>
      <c r="D2103" s="239"/>
      <c r="E2103" s="240"/>
      <c r="F2103" s="240"/>
      <c r="G2103" s="240"/>
      <c r="H2103" s="241">
        <f t="shared" si="246"/>
        <v>0</v>
      </c>
      <c r="I2103" s="242"/>
      <c r="J2103" s="243"/>
      <c r="K2103" s="243"/>
      <c r="L2103" s="244">
        <v>0.1</v>
      </c>
      <c r="M2103" s="244">
        <f t="shared" si="247"/>
        <v>0</v>
      </c>
      <c r="N2103" s="244"/>
      <c r="O2103" s="244"/>
      <c r="P2103" s="244"/>
      <c r="Q2103" s="245">
        <f t="shared" si="248"/>
        <v>0</v>
      </c>
      <c r="R2103" s="245">
        <f t="shared" si="249"/>
        <v>0</v>
      </c>
      <c r="S2103" s="246">
        <v>0.5</v>
      </c>
      <c r="T2103" s="245">
        <f t="shared" si="250"/>
        <v>0</v>
      </c>
      <c r="U2103" s="245">
        <f t="shared" si="251"/>
        <v>0</v>
      </c>
      <c r="V2103" s="247"/>
    </row>
    <row r="2104" spans="1:22" ht="15.75" x14ac:dyDescent="0.25">
      <c r="A2104" s="236"/>
      <c r="B2104" s="237"/>
      <c r="C2104" s="238"/>
      <c r="D2104" s="239"/>
      <c r="E2104" s="240"/>
      <c r="F2104" s="240"/>
      <c r="G2104" s="240"/>
      <c r="H2104" s="241">
        <f t="shared" si="246"/>
        <v>0</v>
      </c>
      <c r="I2104" s="242"/>
      <c r="J2104" s="243"/>
      <c r="K2104" s="243"/>
      <c r="L2104" s="244">
        <v>0.1</v>
      </c>
      <c r="M2104" s="244">
        <f t="shared" si="247"/>
        <v>0</v>
      </c>
      <c r="N2104" s="244"/>
      <c r="O2104" s="244"/>
      <c r="P2104" s="244"/>
      <c r="Q2104" s="245">
        <f t="shared" si="248"/>
        <v>0</v>
      </c>
      <c r="R2104" s="245">
        <f t="shared" si="249"/>
        <v>0</v>
      </c>
      <c r="S2104" s="246">
        <v>0.5</v>
      </c>
      <c r="T2104" s="245">
        <f t="shared" si="250"/>
        <v>0</v>
      </c>
      <c r="U2104" s="245">
        <f t="shared" si="251"/>
        <v>0</v>
      </c>
      <c r="V2104" s="247"/>
    </row>
    <row r="2105" spans="1:22" ht="15.75" x14ac:dyDescent="0.25">
      <c r="A2105" s="236"/>
      <c r="B2105" s="237"/>
      <c r="C2105" s="238"/>
      <c r="D2105" s="239"/>
      <c r="E2105" s="240"/>
      <c r="F2105" s="240"/>
      <c r="G2105" s="240"/>
      <c r="H2105" s="241">
        <f t="shared" si="246"/>
        <v>0</v>
      </c>
      <c r="I2105" s="242"/>
      <c r="J2105" s="243"/>
      <c r="K2105" s="243"/>
      <c r="L2105" s="244">
        <v>0.1</v>
      </c>
      <c r="M2105" s="244">
        <f t="shared" si="247"/>
        <v>0</v>
      </c>
      <c r="N2105" s="244"/>
      <c r="O2105" s="244"/>
      <c r="P2105" s="244"/>
      <c r="Q2105" s="245">
        <f t="shared" si="248"/>
        <v>0</v>
      </c>
      <c r="R2105" s="245">
        <f t="shared" si="249"/>
        <v>0</v>
      </c>
      <c r="S2105" s="246">
        <v>0.5</v>
      </c>
      <c r="T2105" s="245">
        <f t="shared" si="250"/>
        <v>0</v>
      </c>
      <c r="U2105" s="245">
        <f t="shared" si="251"/>
        <v>0</v>
      </c>
      <c r="V2105" s="247"/>
    </row>
    <row r="2106" spans="1:22" ht="15.75" x14ac:dyDescent="0.25">
      <c r="A2106" s="236"/>
      <c r="B2106" s="237"/>
      <c r="C2106" s="238"/>
      <c r="D2106" s="239"/>
      <c r="E2106" s="240"/>
      <c r="F2106" s="240"/>
      <c r="G2106" s="240"/>
      <c r="H2106" s="241">
        <f t="shared" si="246"/>
        <v>0</v>
      </c>
      <c r="I2106" s="242"/>
      <c r="J2106" s="243"/>
      <c r="K2106" s="243"/>
      <c r="L2106" s="244">
        <v>0.1</v>
      </c>
      <c r="M2106" s="244">
        <f t="shared" si="247"/>
        <v>0</v>
      </c>
      <c r="N2106" s="244"/>
      <c r="O2106" s="244"/>
      <c r="P2106" s="244"/>
      <c r="Q2106" s="245">
        <f t="shared" si="248"/>
        <v>0</v>
      </c>
      <c r="R2106" s="245">
        <f t="shared" si="249"/>
        <v>0</v>
      </c>
      <c r="S2106" s="246">
        <v>0.5</v>
      </c>
      <c r="T2106" s="245">
        <f t="shared" si="250"/>
        <v>0</v>
      </c>
      <c r="U2106" s="245">
        <f t="shared" si="251"/>
        <v>0</v>
      </c>
      <c r="V2106" s="247"/>
    </row>
    <row r="2107" spans="1:22" ht="15.75" x14ac:dyDescent="0.25">
      <c r="A2107" s="236"/>
      <c r="B2107" s="237"/>
      <c r="C2107" s="238"/>
      <c r="D2107" s="239"/>
      <c r="E2107" s="240"/>
      <c r="F2107" s="240"/>
      <c r="G2107" s="240"/>
      <c r="H2107" s="241">
        <f t="shared" si="246"/>
        <v>0</v>
      </c>
      <c r="I2107" s="242"/>
      <c r="J2107" s="243"/>
      <c r="K2107" s="243"/>
      <c r="L2107" s="244">
        <v>0.1</v>
      </c>
      <c r="M2107" s="244">
        <f t="shared" si="247"/>
        <v>0</v>
      </c>
      <c r="N2107" s="244"/>
      <c r="O2107" s="244"/>
      <c r="P2107" s="244"/>
      <c r="Q2107" s="245">
        <f t="shared" si="248"/>
        <v>0</v>
      </c>
      <c r="R2107" s="245">
        <f t="shared" si="249"/>
        <v>0</v>
      </c>
      <c r="S2107" s="246">
        <v>0.5</v>
      </c>
      <c r="T2107" s="245">
        <f t="shared" si="250"/>
        <v>0</v>
      </c>
      <c r="U2107" s="245">
        <f t="shared" si="251"/>
        <v>0</v>
      </c>
      <c r="V2107" s="247"/>
    </row>
    <row r="2108" spans="1:22" ht="15.75" x14ac:dyDescent="0.25">
      <c r="A2108" s="236"/>
      <c r="B2108" s="237"/>
      <c r="C2108" s="238"/>
      <c r="D2108" s="239"/>
      <c r="E2108" s="240"/>
      <c r="F2108" s="240"/>
      <c r="G2108" s="240"/>
      <c r="H2108" s="241">
        <f t="shared" si="246"/>
        <v>0</v>
      </c>
      <c r="I2108" s="242"/>
      <c r="J2108" s="243"/>
      <c r="K2108" s="243"/>
      <c r="L2108" s="244">
        <v>0.1</v>
      </c>
      <c r="M2108" s="244">
        <f t="shared" si="247"/>
        <v>0</v>
      </c>
      <c r="N2108" s="244"/>
      <c r="O2108" s="244"/>
      <c r="P2108" s="244"/>
      <c r="Q2108" s="245">
        <f t="shared" si="248"/>
        <v>0</v>
      </c>
      <c r="R2108" s="245">
        <f t="shared" si="249"/>
        <v>0</v>
      </c>
      <c r="S2108" s="246">
        <v>0.5</v>
      </c>
      <c r="T2108" s="245">
        <f t="shared" si="250"/>
        <v>0</v>
      </c>
      <c r="U2108" s="245">
        <f t="shared" si="251"/>
        <v>0</v>
      </c>
      <c r="V2108" s="247"/>
    </row>
    <row r="2109" spans="1:22" ht="15.75" x14ac:dyDescent="0.25">
      <c r="A2109" s="236"/>
      <c r="B2109" s="237"/>
      <c r="C2109" s="238"/>
      <c r="D2109" s="239"/>
      <c r="E2109" s="240"/>
      <c r="F2109" s="240"/>
      <c r="G2109" s="240"/>
      <c r="H2109" s="241">
        <f t="shared" ref="H2109:H2172" si="252">+E2109+F2109+G2109</f>
        <v>0</v>
      </c>
      <c r="I2109" s="242"/>
      <c r="J2109" s="243"/>
      <c r="K2109" s="243"/>
      <c r="L2109" s="244">
        <v>0.1</v>
      </c>
      <c r="M2109" s="244">
        <f t="shared" ref="M2109:M2172" si="253">+L2109*C2109</f>
        <v>0</v>
      </c>
      <c r="N2109" s="244"/>
      <c r="O2109" s="244"/>
      <c r="P2109" s="244"/>
      <c r="Q2109" s="245">
        <f t="shared" ref="Q2109:Q2172" si="254">+N2109+O2109+P2109</f>
        <v>0</v>
      </c>
      <c r="R2109" s="245">
        <f t="shared" ref="R2109:R2172" si="255">IF(+Q2109-H2109&lt;=0,0,Q2109-H2109)</f>
        <v>0</v>
      </c>
      <c r="S2109" s="246">
        <v>0.5</v>
      </c>
      <c r="T2109" s="245">
        <f t="shared" ref="T2109:T2172" si="256">+(R2109*C2109)*S2109</f>
        <v>0</v>
      </c>
      <c r="U2109" s="245">
        <f t="shared" ref="U2109:U2172" si="257">+J2109+M2109+T2109</f>
        <v>0</v>
      </c>
      <c r="V2109" s="247"/>
    </row>
    <row r="2110" spans="1:22" ht="15.75" x14ac:dyDescent="0.25">
      <c r="A2110" s="236"/>
      <c r="B2110" s="237"/>
      <c r="C2110" s="238"/>
      <c r="D2110" s="239"/>
      <c r="E2110" s="240"/>
      <c r="F2110" s="240"/>
      <c r="G2110" s="240"/>
      <c r="H2110" s="241">
        <f t="shared" si="252"/>
        <v>0</v>
      </c>
      <c r="I2110" s="242"/>
      <c r="J2110" s="243"/>
      <c r="K2110" s="243"/>
      <c r="L2110" s="244">
        <v>0.1</v>
      </c>
      <c r="M2110" s="244">
        <f t="shared" si="253"/>
        <v>0</v>
      </c>
      <c r="N2110" s="244"/>
      <c r="O2110" s="244"/>
      <c r="P2110" s="244"/>
      <c r="Q2110" s="245">
        <f t="shared" si="254"/>
        <v>0</v>
      </c>
      <c r="R2110" s="245">
        <f t="shared" si="255"/>
        <v>0</v>
      </c>
      <c r="S2110" s="246">
        <v>0.5</v>
      </c>
      <c r="T2110" s="245">
        <f t="shared" si="256"/>
        <v>0</v>
      </c>
      <c r="U2110" s="245">
        <f t="shared" si="257"/>
        <v>0</v>
      </c>
      <c r="V2110" s="247"/>
    </row>
    <row r="2111" spans="1:22" ht="15.75" x14ac:dyDescent="0.25">
      <c r="A2111" s="236"/>
      <c r="B2111" s="237"/>
      <c r="C2111" s="238"/>
      <c r="D2111" s="239"/>
      <c r="E2111" s="240"/>
      <c r="F2111" s="240"/>
      <c r="G2111" s="240"/>
      <c r="H2111" s="241">
        <f t="shared" si="252"/>
        <v>0</v>
      </c>
      <c r="I2111" s="242"/>
      <c r="J2111" s="243"/>
      <c r="K2111" s="243"/>
      <c r="L2111" s="244">
        <v>0.1</v>
      </c>
      <c r="M2111" s="244">
        <f t="shared" si="253"/>
        <v>0</v>
      </c>
      <c r="N2111" s="244"/>
      <c r="O2111" s="244"/>
      <c r="P2111" s="244"/>
      <c r="Q2111" s="245">
        <f t="shared" si="254"/>
        <v>0</v>
      </c>
      <c r="R2111" s="245">
        <f t="shared" si="255"/>
        <v>0</v>
      </c>
      <c r="S2111" s="246">
        <v>0.5</v>
      </c>
      <c r="T2111" s="245">
        <f t="shared" si="256"/>
        <v>0</v>
      </c>
      <c r="U2111" s="245">
        <f t="shared" si="257"/>
        <v>0</v>
      </c>
      <c r="V2111" s="247"/>
    </row>
    <row r="2112" spans="1:22" ht="15.75" x14ac:dyDescent="0.25">
      <c r="A2112" s="236"/>
      <c r="B2112" s="237"/>
      <c r="C2112" s="238"/>
      <c r="D2112" s="239"/>
      <c r="E2112" s="240"/>
      <c r="F2112" s="240"/>
      <c r="G2112" s="240"/>
      <c r="H2112" s="241">
        <f t="shared" si="252"/>
        <v>0</v>
      </c>
      <c r="I2112" s="242"/>
      <c r="J2112" s="243"/>
      <c r="K2112" s="243"/>
      <c r="L2112" s="244">
        <v>0.1</v>
      </c>
      <c r="M2112" s="244">
        <f t="shared" si="253"/>
        <v>0</v>
      </c>
      <c r="N2112" s="244"/>
      <c r="O2112" s="244"/>
      <c r="P2112" s="244"/>
      <c r="Q2112" s="245">
        <f t="shared" si="254"/>
        <v>0</v>
      </c>
      <c r="R2112" s="245">
        <f t="shared" si="255"/>
        <v>0</v>
      </c>
      <c r="S2112" s="246">
        <v>0.5</v>
      </c>
      <c r="T2112" s="245">
        <f t="shared" si="256"/>
        <v>0</v>
      </c>
      <c r="U2112" s="245">
        <f t="shared" si="257"/>
        <v>0</v>
      </c>
      <c r="V2112" s="247"/>
    </row>
    <row r="2113" spans="1:22" ht="15.75" x14ac:dyDescent="0.25">
      <c r="A2113" s="236"/>
      <c r="B2113" s="237"/>
      <c r="C2113" s="238"/>
      <c r="D2113" s="239"/>
      <c r="E2113" s="240"/>
      <c r="F2113" s="240"/>
      <c r="G2113" s="240"/>
      <c r="H2113" s="241">
        <f t="shared" si="252"/>
        <v>0</v>
      </c>
      <c r="I2113" s="242"/>
      <c r="J2113" s="243"/>
      <c r="K2113" s="243"/>
      <c r="L2113" s="244">
        <v>0.1</v>
      </c>
      <c r="M2113" s="244">
        <f t="shared" si="253"/>
        <v>0</v>
      </c>
      <c r="N2113" s="244"/>
      <c r="O2113" s="244"/>
      <c r="P2113" s="244"/>
      <c r="Q2113" s="245">
        <f t="shared" si="254"/>
        <v>0</v>
      </c>
      <c r="R2113" s="245">
        <f t="shared" si="255"/>
        <v>0</v>
      </c>
      <c r="S2113" s="246">
        <v>0.5</v>
      </c>
      <c r="T2113" s="245">
        <f t="shared" si="256"/>
        <v>0</v>
      </c>
      <c r="U2113" s="245">
        <f t="shared" si="257"/>
        <v>0</v>
      </c>
      <c r="V2113" s="247"/>
    </row>
    <row r="2114" spans="1:22" ht="15.75" x14ac:dyDescent="0.25">
      <c r="A2114" s="236"/>
      <c r="B2114" s="237"/>
      <c r="C2114" s="238"/>
      <c r="D2114" s="239"/>
      <c r="E2114" s="240"/>
      <c r="F2114" s="240"/>
      <c r="G2114" s="240"/>
      <c r="H2114" s="241">
        <f t="shared" si="252"/>
        <v>0</v>
      </c>
      <c r="I2114" s="242"/>
      <c r="J2114" s="243"/>
      <c r="K2114" s="243"/>
      <c r="L2114" s="244">
        <v>0.1</v>
      </c>
      <c r="M2114" s="244">
        <f t="shared" si="253"/>
        <v>0</v>
      </c>
      <c r="N2114" s="244"/>
      <c r="O2114" s="244"/>
      <c r="P2114" s="244"/>
      <c r="Q2114" s="245">
        <f t="shared" si="254"/>
        <v>0</v>
      </c>
      <c r="R2114" s="245">
        <f t="shared" si="255"/>
        <v>0</v>
      </c>
      <c r="S2114" s="246">
        <v>0.5</v>
      </c>
      <c r="T2114" s="245">
        <f t="shared" si="256"/>
        <v>0</v>
      </c>
      <c r="U2114" s="245">
        <f t="shared" si="257"/>
        <v>0</v>
      </c>
      <c r="V2114" s="247"/>
    </row>
    <row r="2115" spans="1:22" ht="15.75" x14ac:dyDescent="0.25">
      <c r="A2115" s="236"/>
      <c r="B2115" s="237"/>
      <c r="C2115" s="238"/>
      <c r="D2115" s="239"/>
      <c r="E2115" s="240"/>
      <c r="F2115" s="240"/>
      <c r="G2115" s="240"/>
      <c r="H2115" s="241">
        <f t="shared" si="252"/>
        <v>0</v>
      </c>
      <c r="I2115" s="242"/>
      <c r="J2115" s="243"/>
      <c r="K2115" s="243"/>
      <c r="L2115" s="244">
        <v>0.1</v>
      </c>
      <c r="M2115" s="244">
        <f t="shared" si="253"/>
        <v>0</v>
      </c>
      <c r="N2115" s="244"/>
      <c r="O2115" s="244"/>
      <c r="P2115" s="244"/>
      <c r="Q2115" s="245">
        <f t="shared" si="254"/>
        <v>0</v>
      </c>
      <c r="R2115" s="245">
        <f t="shared" si="255"/>
        <v>0</v>
      </c>
      <c r="S2115" s="246">
        <v>0.5</v>
      </c>
      <c r="T2115" s="245">
        <f t="shared" si="256"/>
        <v>0</v>
      </c>
      <c r="U2115" s="245">
        <f t="shared" si="257"/>
        <v>0</v>
      </c>
      <c r="V2115" s="247"/>
    </row>
    <row r="2116" spans="1:22" ht="15.75" x14ac:dyDescent="0.25">
      <c r="A2116" s="236"/>
      <c r="B2116" s="237"/>
      <c r="C2116" s="238"/>
      <c r="D2116" s="239"/>
      <c r="E2116" s="240"/>
      <c r="F2116" s="240"/>
      <c r="G2116" s="240"/>
      <c r="H2116" s="241">
        <f t="shared" si="252"/>
        <v>0</v>
      </c>
      <c r="I2116" s="242"/>
      <c r="J2116" s="243"/>
      <c r="K2116" s="243"/>
      <c r="L2116" s="244">
        <v>0.1</v>
      </c>
      <c r="M2116" s="244">
        <f t="shared" si="253"/>
        <v>0</v>
      </c>
      <c r="N2116" s="244"/>
      <c r="O2116" s="244"/>
      <c r="P2116" s="244"/>
      <c r="Q2116" s="245">
        <f t="shared" si="254"/>
        <v>0</v>
      </c>
      <c r="R2116" s="245">
        <f t="shared" si="255"/>
        <v>0</v>
      </c>
      <c r="S2116" s="246">
        <v>0.5</v>
      </c>
      <c r="T2116" s="245">
        <f t="shared" si="256"/>
        <v>0</v>
      </c>
      <c r="U2116" s="245">
        <f t="shared" si="257"/>
        <v>0</v>
      </c>
      <c r="V2116" s="247"/>
    </row>
    <row r="2117" spans="1:22" ht="15.75" x14ac:dyDescent="0.25">
      <c r="A2117" s="236"/>
      <c r="B2117" s="237"/>
      <c r="C2117" s="238"/>
      <c r="D2117" s="239"/>
      <c r="E2117" s="240"/>
      <c r="F2117" s="240"/>
      <c r="G2117" s="240"/>
      <c r="H2117" s="241">
        <f t="shared" si="252"/>
        <v>0</v>
      </c>
      <c r="I2117" s="242"/>
      <c r="J2117" s="243"/>
      <c r="K2117" s="243"/>
      <c r="L2117" s="244">
        <v>0.1</v>
      </c>
      <c r="M2117" s="244">
        <f t="shared" si="253"/>
        <v>0</v>
      </c>
      <c r="N2117" s="244"/>
      <c r="O2117" s="244"/>
      <c r="P2117" s="244"/>
      <c r="Q2117" s="245">
        <f t="shared" si="254"/>
        <v>0</v>
      </c>
      <c r="R2117" s="245">
        <f t="shared" si="255"/>
        <v>0</v>
      </c>
      <c r="S2117" s="246">
        <v>0.5</v>
      </c>
      <c r="T2117" s="245">
        <f t="shared" si="256"/>
        <v>0</v>
      </c>
      <c r="U2117" s="245">
        <f t="shared" si="257"/>
        <v>0</v>
      </c>
      <c r="V2117" s="247"/>
    </row>
    <row r="2118" spans="1:22" ht="15.75" x14ac:dyDescent="0.25">
      <c r="A2118" s="236"/>
      <c r="B2118" s="237"/>
      <c r="C2118" s="238"/>
      <c r="D2118" s="239"/>
      <c r="E2118" s="240"/>
      <c r="F2118" s="240"/>
      <c r="G2118" s="240"/>
      <c r="H2118" s="241">
        <f t="shared" si="252"/>
        <v>0</v>
      </c>
      <c r="I2118" s="242"/>
      <c r="J2118" s="243"/>
      <c r="K2118" s="243"/>
      <c r="L2118" s="244">
        <v>0.1</v>
      </c>
      <c r="M2118" s="244">
        <f t="shared" si="253"/>
        <v>0</v>
      </c>
      <c r="N2118" s="244"/>
      <c r="O2118" s="244"/>
      <c r="P2118" s="244"/>
      <c r="Q2118" s="245">
        <f t="shared" si="254"/>
        <v>0</v>
      </c>
      <c r="R2118" s="245">
        <f t="shared" si="255"/>
        <v>0</v>
      </c>
      <c r="S2118" s="246">
        <v>0.5</v>
      </c>
      <c r="T2118" s="245">
        <f t="shared" si="256"/>
        <v>0</v>
      </c>
      <c r="U2118" s="245">
        <f t="shared" si="257"/>
        <v>0</v>
      </c>
      <c r="V2118" s="247"/>
    </row>
    <row r="2119" spans="1:22" ht="15.75" x14ac:dyDescent="0.25">
      <c r="A2119" s="236"/>
      <c r="B2119" s="237"/>
      <c r="C2119" s="238"/>
      <c r="D2119" s="239"/>
      <c r="E2119" s="240"/>
      <c r="F2119" s="240"/>
      <c r="G2119" s="240"/>
      <c r="H2119" s="241">
        <f t="shared" si="252"/>
        <v>0</v>
      </c>
      <c r="I2119" s="242"/>
      <c r="J2119" s="243"/>
      <c r="K2119" s="243"/>
      <c r="L2119" s="244">
        <v>0.1</v>
      </c>
      <c r="M2119" s="244">
        <f t="shared" si="253"/>
        <v>0</v>
      </c>
      <c r="N2119" s="244"/>
      <c r="O2119" s="244"/>
      <c r="P2119" s="244"/>
      <c r="Q2119" s="245">
        <f t="shared" si="254"/>
        <v>0</v>
      </c>
      <c r="R2119" s="245">
        <f t="shared" si="255"/>
        <v>0</v>
      </c>
      <c r="S2119" s="246">
        <v>0.5</v>
      </c>
      <c r="T2119" s="245">
        <f t="shared" si="256"/>
        <v>0</v>
      </c>
      <c r="U2119" s="245">
        <f t="shared" si="257"/>
        <v>0</v>
      </c>
      <c r="V2119" s="247"/>
    </row>
    <row r="2120" spans="1:22" ht="15.75" x14ac:dyDescent="0.25">
      <c r="A2120" s="236"/>
      <c r="B2120" s="237"/>
      <c r="C2120" s="238"/>
      <c r="D2120" s="239"/>
      <c r="E2120" s="240"/>
      <c r="F2120" s="240"/>
      <c r="G2120" s="240"/>
      <c r="H2120" s="241">
        <f t="shared" si="252"/>
        <v>0</v>
      </c>
      <c r="I2120" s="242"/>
      <c r="J2120" s="243"/>
      <c r="K2120" s="243"/>
      <c r="L2120" s="244">
        <v>0.1</v>
      </c>
      <c r="M2120" s="244">
        <f t="shared" si="253"/>
        <v>0</v>
      </c>
      <c r="N2120" s="244"/>
      <c r="O2120" s="244"/>
      <c r="P2120" s="244"/>
      <c r="Q2120" s="245">
        <f t="shared" si="254"/>
        <v>0</v>
      </c>
      <c r="R2120" s="245">
        <f t="shared" si="255"/>
        <v>0</v>
      </c>
      <c r="S2120" s="246">
        <v>0.5</v>
      </c>
      <c r="T2120" s="245">
        <f t="shared" si="256"/>
        <v>0</v>
      </c>
      <c r="U2120" s="245">
        <f t="shared" si="257"/>
        <v>0</v>
      </c>
      <c r="V2120" s="247"/>
    </row>
    <row r="2121" spans="1:22" ht="15.75" x14ac:dyDescent="0.25">
      <c r="A2121" s="236"/>
      <c r="B2121" s="237"/>
      <c r="C2121" s="238"/>
      <c r="D2121" s="239"/>
      <c r="E2121" s="240"/>
      <c r="F2121" s="240"/>
      <c r="G2121" s="240"/>
      <c r="H2121" s="241">
        <f t="shared" si="252"/>
        <v>0</v>
      </c>
      <c r="I2121" s="242"/>
      <c r="J2121" s="243"/>
      <c r="K2121" s="243"/>
      <c r="L2121" s="244">
        <v>0.1</v>
      </c>
      <c r="M2121" s="244">
        <f t="shared" si="253"/>
        <v>0</v>
      </c>
      <c r="N2121" s="244"/>
      <c r="O2121" s="244"/>
      <c r="P2121" s="244"/>
      <c r="Q2121" s="245">
        <f t="shared" si="254"/>
        <v>0</v>
      </c>
      <c r="R2121" s="245">
        <f t="shared" si="255"/>
        <v>0</v>
      </c>
      <c r="S2121" s="246">
        <v>0.5</v>
      </c>
      <c r="T2121" s="245">
        <f t="shared" si="256"/>
        <v>0</v>
      </c>
      <c r="U2121" s="245">
        <f t="shared" si="257"/>
        <v>0</v>
      </c>
      <c r="V2121" s="247"/>
    </row>
    <row r="2122" spans="1:22" ht="15.75" x14ac:dyDescent="0.25">
      <c r="A2122" s="236"/>
      <c r="B2122" s="237"/>
      <c r="C2122" s="238"/>
      <c r="D2122" s="239"/>
      <c r="E2122" s="240"/>
      <c r="F2122" s="240"/>
      <c r="G2122" s="240"/>
      <c r="H2122" s="241">
        <f t="shared" si="252"/>
        <v>0</v>
      </c>
      <c r="I2122" s="242"/>
      <c r="J2122" s="243"/>
      <c r="K2122" s="243"/>
      <c r="L2122" s="244">
        <v>0.1</v>
      </c>
      <c r="M2122" s="244">
        <f t="shared" si="253"/>
        <v>0</v>
      </c>
      <c r="N2122" s="244"/>
      <c r="O2122" s="244"/>
      <c r="P2122" s="244"/>
      <c r="Q2122" s="245">
        <f t="shared" si="254"/>
        <v>0</v>
      </c>
      <c r="R2122" s="245">
        <f t="shared" si="255"/>
        <v>0</v>
      </c>
      <c r="S2122" s="246">
        <v>0.5</v>
      </c>
      <c r="T2122" s="245">
        <f t="shared" si="256"/>
        <v>0</v>
      </c>
      <c r="U2122" s="245">
        <f t="shared" si="257"/>
        <v>0</v>
      </c>
      <c r="V2122" s="247"/>
    </row>
    <row r="2123" spans="1:22" ht="15.75" x14ac:dyDescent="0.25">
      <c r="A2123" s="236"/>
      <c r="B2123" s="237"/>
      <c r="C2123" s="238"/>
      <c r="D2123" s="239"/>
      <c r="E2123" s="240"/>
      <c r="F2123" s="240"/>
      <c r="G2123" s="240"/>
      <c r="H2123" s="241">
        <f t="shared" si="252"/>
        <v>0</v>
      </c>
      <c r="I2123" s="242"/>
      <c r="J2123" s="243"/>
      <c r="K2123" s="243"/>
      <c r="L2123" s="244">
        <v>0.1</v>
      </c>
      <c r="M2123" s="244">
        <f t="shared" si="253"/>
        <v>0</v>
      </c>
      <c r="N2123" s="244"/>
      <c r="O2123" s="244"/>
      <c r="P2123" s="244"/>
      <c r="Q2123" s="245">
        <f t="shared" si="254"/>
        <v>0</v>
      </c>
      <c r="R2123" s="245">
        <f t="shared" si="255"/>
        <v>0</v>
      </c>
      <c r="S2123" s="246">
        <v>0.5</v>
      </c>
      <c r="T2123" s="245">
        <f t="shared" si="256"/>
        <v>0</v>
      </c>
      <c r="U2123" s="245">
        <f t="shared" si="257"/>
        <v>0</v>
      </c>
      <c r="V2123" s="247"/>
    </row>
    <row r="2124" spans="1:22" ht="15.75" x14ac:dyDescent="0.25">
      <c r="A2124" s="236"/>
      <c r="B2124" s="237"/>
      <c r="C2124" s="238"/>
      <c r="D2124" s="239"/>
      <c r="E2124" s="240"/>
      <c r="F2124" s="240"/>
      <c r="G2124" s="240"/>
      <c r="H2124" s="241">
        <f t="shared" si="252"/>
        <v>0</v>
      </c>
      <c r="I2124" s="242"/>
      <c r="J2124" s="243"/>
      <c r="K2124" s="243"/>
      <c r="L2124" s="244">
        <v>0.1</v>
      </c>
      <c r="M2124" s="244">
        <f t="shared" si="253"/>
        <v>0</v>
      </c>
      <c r="N2124" s="244"/>
      <c r="O2124" s="244"/>
      <c r="P2124" s="244"/>
      <c r="Q2124" s="245">
        <f t="shared" si="254"/>
        <v>0</v>
      </c>
      <c r="R2124" s="245">
        <f t="shared" si="255"/>
        <v>0</v>
      </c>
      <c r="S2124" s="246">
        <v>0.5</v>
      </c>
      <c r="T2124" s="245">
        <f t="shared" si="256"/>
        <v>0</v>
      </c>
      <c r="U2124" s="245">
        <f t="shared" si="257"/>
        <v>0</v>
      </c>
      <c r="V2124" s="247"/>
    </row>
    <row r="2125" spans="1:22" ht="15.75" x14ac:dyDescent="0.25">
      <c r="A2125" s="236"/>
      <c r="B2125" s="237"/>
      <c r="C2125" s="238"/>
      <c r="D2125" s="239"/>
      <c r="E2125" s="240"/>
      <c r="F2125" s="240"/>
      <c r="G2125" s="240"/>
      <c r="H2125" s="241">
        <f t="shared" si="252"/>
        <v>0</v>
      </c>
      <c r="I2125" s="242"/>
      <c r="J2125" s="243"/>
      <c r="K2125" s="243"/>
      <c r="L2125" s="244">
        <v>0.1</v>
      </c>
      <c r="M2125" s="244">
        <f t="shared" si="253"/>
        <v>0</v>
      </c>
      <c r="N2125" s="244"/>
      <c r="O2125" s="244"/>
      <c r="P2125" s="244"/>
      <c r="Q2125" s="245">
        <f t="shared" si="254"/>
        <v>0</v>
      </c>
      <c r="R2125" s="245">
        <f t="shared" si="255"/>
        <v>0</v>
      </c>
      <c r="S2125" s="246">
        <v>0.5</v>
      </c>
      <c r="T2125" s="245">
        <f t="shared" si="256"/>
        <v>0</v>
      </c>
      <c r="U2125" s="245">
        <f t="shared" si="257"/>
        <v>0</v>
      </c>
      <c r="V2125" s="247"/>
    </row>
    <row r="2126" spans="1:22" ht="15.75" x14ac:dyDescent="0.25">
      <c r="A2126" s="236"/>
      <c r="B2126" s="237"/>
      <c r="C2126" s="238"/>
      <c r="D2126" s="239"/>
      <c r="E2126" s="240"/>
      <c r="F2126" s="240"/>
      <c r="G2126" s="240"/>
      <c r="H2126" s="241">
        <f t="shared" si="252"/>
        <v>0</v>
      </c>
      <c r="I2126" s="242"/>
      <c r="J2126" s="243"/>
      <c r="K2126" s="243"/>
      <c r="L2126" s="244">
        <v>0.1</v>
      </c>
      <c r="M2126" s="244">
        <f t="shared" si="253"/>
        <v>0</v>
      </c>
      <c r="N2126" s="244"/>
      <c r="O2126" s="244"/>
      <c r="P2126" s="244"/>
      <c r="Q2126" s="245">
        <f t="shared" si="254"/>
        <v>0</v>
      </c>
      <c r="R2126" s="245">
        <f t="shared" si="255"/>
        <v>0</v>
      </c>
      <c r="S2126" s="246">
        <v>0.5</v>
      </c>
      <c r="T2126" s="245">
        <f t="shared" si="256"/>
        <v>0</v>
      </c>
      <c r="U2126" s="245">
        <f t="shared" si="257"/>
        <v>0</v>
      </c>
      <c r="V2126" s="247"/>
    </row>
    <row r="2127" spans="1:22" ht="15.75" x14ac:dyDescent="0.25">
      <c r="A2127" s="236"/>
      <c r="B2127" s="237"/>
      <c r="C2127" s="238"/>
      <c r="D2127" s="239"/>
      <c r="E2127" s="240"/>
      <c r="F2127" s="240"/>
      <c r="G2127" s="240"/>
      <c r="H2127" s="241">
        <f t="shared" si="252"/>
        <v>0</v>
      </c>
      <c r="I2127" s="242"/>
      <c r="J2127" s="243"/>
      <c r="K2127" s="243"/>
      <c r="L2127" s="244">
        <v>0.1</v>
      </c>
      <c r="M2127" s="244">
        <f t="shared" si="253"/>
        <v>0</v>
      </c>
      <c r="N2127" s="244"/>
      <c r="O2127" s="244"/>
      <c r="P2127" s="244"/>
      <c r="Q2127" s="245">
        <f t="shared" si="254"/>
        <v>0</v>
      </c>
      <c r="R2127" s="245">
        <f t="shared" si="255"/>
        <v>0</v>
      </c>
      <c r="S2127" s="246">
        <v>0.5</v>
      </c>
      <c r="T2127" s="245">
        <f t="shared" si="256"/>
        <v>0</v>
      </c>
      <c r="U2127" s="245">
        <f t="shared" si="257"/>
        <v>0</v>
      </c>
      <c r="V2127" s="247"/>
    </row>
    <row r="2128" spans="1:22" ht="15.75" x14ac:dyDescent="0.25">
      <c r="A2128" s="236"/>
      <c r="B2128" s="237"/>
      <c r="C2128" s="238"/>
      <c r="D2128" s="239"/>
      <c r="E2128" s="240"/>
      <c r="F2128" s="240"/>
      <c r="G2128" s="240"/>
      <c r="H2128" s="241">
        <f t="shared" si="252"/>
        <v>0</v>
      </c>
      <c r="I2128" s="242"/>
      <c r="J2128" s="243"/>
      <c r="K2128" s="243"/>
      <c r="L2128" s="244">
        <v>0.1</v>
      </c>
      <c r="M2128" s="244">
        <f t="shared" si="253"/>
        <v>0</v>
      </c>
      <c r="N2128" s="244"/>
      <c r="O2128" s="244"/>
      <c r="P2128" s="244"/>
      <c r="Q2128" s="245">
        <f t="shared" si="254"/>
        <v>0</v>
      </c>
      <c r="R2128" s="245">
        <f t="shared" si="255"/>
        <v>0</v>
      </c>
      <c r="S2128" s="246">
        <v>0.5</v>
      </c>
      <c r="T2128" s="245">
        <f t="shared" si="256"/>
        <v>0</v>
      </c>
      <c r="U2128" s="245">
        <f t="shared" si="257"/>
        <v>0</v>
      </c>
      <c r="V2128" s="247"/>
    </row>
    <row r="2129" spans="1:22" ht="15.75" x14ac:dyDescent="0.25">
      <c r="A2129" s="236"/>
      <c r="B2129" s="237"/>
      <c r="C2129" s="238"/>
      <c r="D2129" s="239"/>
      <c r="E2129" s="240"/>
      <c r="F2129" s="240"/>
      <c r="G2129" s="240"/>
      <c r="H2129" s="241">
        <f t="shared" si="252"/>
        <v>0</v>
      </c>
      <c r="I2129" s="242"/>
      <c r="J2129" s="243"/>
      <c r="K2129" s="243"/>
      <c r="L2129" s="244">
        <v>0.1</v>
      </c>
      <c r="M2129" s="244">
        <f t="shared" si="253"/>
        <v>0</v>
      </c>
      <c r="N2129" s="244"/>
      <c r="O2129" s="244"/>
      <c r="P2129" s="244"/>
      <c r="Q2129" s="245">
        <f t="shared" si="254"/>
        <v>0</v>
      </c>
      <c r="R2129" s="245">
        <f t="shared" si="255"/>
        <v>0</v>
      </c>
      <c r="S2129" s="246">
        <v>0.5</v>
      </c>
      <c r="T2129" s="245">
        <f t="shared" si="256"/>
        <v>0</v>
      </c>
      <c r="U2129" s="245">
        <f t="shared" si="257"/>
        <v>0</v>
      </c>
      <c r="V2129" s="247"/>
    </row>
    <row r="2130" spans="1:22" ht="15.75" x14ac:dyDescent="0.25">
      <c r="A2130" s="236"/>
      <c r="B2130" s="237"/>
      <c r="C2130" s="238"/>
      <c r="D2130" s="239"/>
      <c r="E2130" s="240"/>
      <c r="F2130" s="240"/>
      <c r="G2130" s="240"/>
      <c r="H2130" s="241">
        <f t="shared" si="252"/>
        <v>0</v>
      </c>
      <c r="I2130" s="242"/>
      <c r="J2130" s="243"/>
      <c r="K2130" s="243"/>
      <c r="L2130" s="244">
        <v>0.1</v>
      </c>
      <c r="M2130" s="244">
        <f t="shared" si="253"/>
        <v>0</v>
      </c>
      <c r="N2130" s="244"/>
      <c r="O2130" s="244"/>
      <c r="P2130" s="244"/>
      <c r="Q2130" s="245">
        <f t="shared" si="254"/>
        <v>0</v>
      </c>
      <c r="R2130" s="245">
        <f t="shared" si="255"/>
        <v>0</v>
      </c>
      <c r="S2130" s="246">
        <v>0.5</v>
      </c>
      <c r="T2130" s="245">
        <f t="shared" si="256"/>
        <v>0</v>
      </c>
      <c r="U2130" s="245">
        <f t="shared" si="257"/>
        <v>0</v>
      </c>
      <c r="V2130" s="247"/>
    </row>
    <row r="2131" spans="1:22" ht="15.75" x14ac:dyDescent="0.25">
      <c r="A2131" s="236"/>
      <c r="B2131" s="237"/>
      <c r="C2131" s="238"/>
      <c r="D2131" s="239"/>
      <c r="E2131" s="240"/>
      <c r="F2131" s="240"/>
      <c r="G2131" s="240"/>
      <c r="H2131" s="241">
        <f t="shared" si="252"/>
        <v>0</v>
      </c>
      <c r="I2131" s="242"/>
      <c r="J2131" s="243"/>
      <c r="K2131" s="243"/>
      <c r="L2131" s="244">
        <v>0.1</v>
      </c>
      <c r="M2131" s="244">
        <f t="shared" si="253"/>
        <v>0</v>
      </c>
      <c r="N2131" s="244"/>
      <c r="O2131" s="244"/>
      <c r="P2131" s="244"/>
      <c r="Q2131" s="245">
        <f t="shared" si="254"/>
        <v>0</v>
      </c>
      <c r="R2131" s="245">
        <f t="shared" si="255"/>
        <v>0</v>
      </c>
      <c r="S2131" s="246">
        <v>0.5</v>
      </c>
      <c r="T2131" s="245">
        <f t="shared" si="256"/>
        <v>0</v>
      </c>
      <c r="U2131" s="245">
        <f t="shared" si="257"/>
        <v>0</v>
      </c>
      <c r="V2131" s="247"/>
    </row>
    <row r="2132" spans="1:22" ht="15.75" x14ac:dyDescent="0.25">
      <c r="A2132" s="236"/>
      <c r="B2132" s="237"/>
      <c r="C2132" s="238"/>
      <c r="D2132" s="239"/>
      <c r="E2132" s="240"/>
      <c r="F2132" s="240"/>
      <c r="G2132" s="240"/>
      <c r="H2132" s="241">
        <f t="shared" si="252"/>
        <v>0</v>
      </c>
      <c r="I2132" s="242"/>
      <c r="J2132" s="243"/>
      <c r="K2132" s="243"/>
      <c r="L2132" s="244">
        <v>0.1</v>
      </c>
      <c r="M2132" s="244">
        <f t="shared" si="253"/>
        <v>0</v>
      </c>
      <c r="N2132" s="244"/>
      <c r="O2132" s="244"/>
      <c r="P2132" s="244"/>
      <c r="Q2132" s="245">
        <f t="shared" si="254"/>
        <v>0</v>
      </c>
      <c r="R2132" s="245">
        <f t="shared" si="255"/>
        <v>0</v>
      </c>
      <c r="S2132" s="246">
        <v>0.5</v>
      </c>
      <c r="T2132" s="245">
        <f t="shared" si="256"/>
        <v>0</v>
      </c>
      <c r="U2132" s="245">
        <f t="shared" si="257"/>
        <v>0</v>
      </c>
      <c r="V2132" s="247"/>
    </row>
    <row r="2133" spans="1:22" ht="15.75" x14ac:dyDescent="0.25">
      <c r="A2133" s="236"/>
      <c r="B2133" s="237"/>
      <c r="C2133" s="238"/>
      <c r="D2133" s="239"/>
      <c r="E2133" s="240"/>
      <c r="F2133" s="240"/>
      <c r="G2133" s="240"/>
      <c r="H2133" s="241">
        <f t="shared" si="252"/>
        <v>0</v>
      </c>
      <c r="I2133" s="242"/>
      <c r="J2133" s="243"/>
      <c r="K2133" s="243"/>
      <c r="L2133" s="244">
        <v>0.1</v>
      </c>
      <c r="M2133" s="244">
        <f t="shared" si="253"/>
        <v>0</v>
      </c>
      <c r="N2133" s="244"/>
      <c r="O2133" s="244"/>
      <c r="P2133" s="244"/>
      <c r="Q2133" s="245">
        <f t="shared" si="254"/>
        <v>0</v>
      </c>
      <c r="R2133" s="245">
        <f t="shared" si="255"/>
        <v>0</v>
      </c>
      <c r="S2133" s="246">
        <v>0.5</v>
      </c>
      <c r="T2133" s="245">
        <f t="shared" si="256"/>
        <v>0</v>
      </c>
      <c r="U2133" s="245">
        <f t="shared" si="257"/>
        <v>0</v>
      </c>
      <c r="V2133" s="247"/>
    </row>
    <row r="2134" spans="1:22" ht="15.75" x14ac:dyDescent="0.25">
      <c r="A2134" s="236"/>
      <c r="B2134" s="237"/>
      <c r="C2134" s="238"/>
      <c r="D2134" s="239"/>
      <c r="E2134" s="240"/>
      <c r="F2134" s="240"/>
      <c r="G2134" s="240"/>
      <c r="H2134" s="241">
        <f t="shared" si="252"/>
        <v>0</v>
      </c>
      <c r="I2134" s="242"/>
      <c r="J2134" s="243"/>
      <c r="K2134" s="243"/>
      <c r="L2134" s="244">
        <v>0.1</v>
      </c>
      <c r="M2134" s="244">
        <f t="shared" si="253"/>
        <v>0</v>
      </c>
      <c r="N2134" s="244"/>
      <c r="O2134" s="244"/>
      <c r="P2134" s="244"/>
      <c r="Q2134" s="245">
        <f t="shared" si="254"/>
        <v>0</v>
      </c>
      <c r="R2134" s="245">
        <f t="shared" si="255"/>
        <v>0</v>
      </c>
      <c r="S2134" s="246">
        <v>0.5</v>
      </c>
      <c r="T2134" s="245">
        <f t="shared" si="256"/>
        <v>0</v>
      </c>
      <c r="U2134" s="245">
        <f t="shared" si="257"/>
        <v>0</v>
      </c>
      <c r="V2134" s="247"/>
    </row>
    <row r="2135" spans="1:22" ht="15.75" x14ac:dyDescent="0.25">
      <c r="A2135" s="236"/>
      <c r="B2135" s="237"/>
      <c r="C2135" s="238"/>
      <c r="D2135" s="239"/>
      <c r="E2135" s="240"/>
      <c r="F2135" s="240"/>
      <c r="G2135" s="240"/>
      <c r="H2135" s="241">
        <f t="shared" si="252"/>
        <v>0</v>
      </c>
      <c r="I2135" s="242"/>
      <c r="J2135" s="243"/>
      <c r="K2135" s="243"/>
      <c r="L2135" s="244">
        <v>0.1</v>
      </c>
      <c r="M2135" s="244">
        <f t="shared" si="253"/>
        <v>0</v>
      </c>
      <c r="N2135" s="244"/>
      <c r="O2135" s="244"/>
      <c r="P2135" s="244"/>
      <c r="Q2135" s="245">
        <f t="shared" si="254"/>
        <v>0</v>
      </c>
      <c r="R2135" s="245">
        <f t="shared" si="255"/>
        <v>0</v>
      </c>
      <c r="S2135" s="246">
        <v>0.5</v>
      </c>
      <c r="T2135" s="245">
        <f t="shared" si="256"/>
        <v>0</v>
      </c>
      <c r="U2135" s="245">
        <f t="shared" si="257"/>
        <v>0</v>
      </c>
      <c r="V2135" s="247"/>
    </row>
    <row r="2136" spans="1:22" ht="15.75" x14ac:dyDescent="0.25">
      <c r="A2136" s="236"/>
      <c r="B2136" s="237"/>
      <c r="C2136" s="238"/>
      <c r="D2136" s="239"/>
      <c r="E2136" s="240"/>
      <c r="F2136" s="240"/>
      <c r="G2136" s="240"/>
      <c r="H2136" s="241">
        <f t="shared" si="252"/>
        <v>0</v>
      </c>
      <c r="I2136" s="242"/>
      <c r="J2136" s="243"/>
      <c r="K2136" s="243"/>
      <c r="L2136" s="244">
        <v>0.1</v>
      </c>
      <c r="M2136" s="244">
        <f t="shared" si="253"/>
        <v>0</v>
      </c>
      <c r="N2136" s="244"/>
      <c r="O2136" s="244"/>
      <c r="P2136" s="244"/>
      <c r="Q2136" s="245">
        <f t="shared" si="254"/>
        <v>0</v>
      </c>
      <c r="R2136" s="245">
        <f t="shared" si="255"/>
        <v>0</v>
      </c>
      <c r="S2136" s="246">
        <v>0.5</v>
      </c>
      <c r="T2136" s="245">
        <f t="shared" si="256"/>
        <v>0</v>
      </c>
      <c r="U2136" s="245">
        <f t="shared" si="257"/>
        <v>0</v>
      </c>
      <c r="V2136" s="247"/>
    </row>
    <row r="2137" spans="1:22" ht="15.75" x14ac:dyDescent="0.25">
      <c r="A2137" s="236"/>
      <c r="B2137" s="237"/>
      <c r="C2137" s="238"/>
      <c r="D2137" s="239"/>
      <c r="E2137" s="240"/>
      <c r="F2137" s="240"/>
      <c r="G2137" s="240"/>
      <c r="H2137" s="241">
        <f t="shared" si="252"/>
        <v>0</v>
      </c>
      <c r="I2137" s="242"/>
      <c r="J2137" s="243"/>
      <c r="K2137" s="243"/>
      <c r="L2137" s="244">
        <v>0.1</v>
      </c>
      <c r="M2137" s="244">
        <f t="shared" si="253"/>
        <v>0</v>
      </c>
      <c r="N2137" s="244"/>
      <c r="O2137" s="244"/>
      <c r="P2137" s="244"/>
      <c r="Q2137" s="245">
        <f t="shared" si="254"/>
        <v>0</v>
      </c>
      <c r="R2137" s="245">
        <f t="shared" si="255"/>
        <v>0</v>
      </c>
      <c r="S2137" s="246">
        <v>0.5</v>
      </c>
      <c r="T2137" s="245">
        <f t="shared" si="256"/>
        <v>0</v>
      </c>
      <c r="U2137" s="245">
        <f t="shared" si="257"/>
        <v>0</v>
      </c>
      <c r="V2137" s="247"/>
    </row>
    <row r="2138" spans="1:22" ht="15.75" x14ac:dyDescent="0.25">
      <c r="A2138" s="236"/>
      <c r="B2138" s="237"/>
      <c r="C2138" s="238"/>
      <c r="D2138" s="239"/>
      <c r="E2138" s="240"/>
      <c r="F2138" s="240"/>
      <c r="G2138" s="240"/>
      <c r="H2138" s="241">
        <f t="shared" si="252"/>
        <v>0</v>
      </c>
      <c r="I2138" s="242"/>
      <c r="J2138" s="243"/>
      <c r="K2138" s="243"/>
      <c r="L2138" s="244">
        <v>0.1</v>
      </c>
      <c r="M2138" s="244">
        <f t="shared" si="253"/>
        <v>0</v>
      </c>
      <c r="N2138" s="244"/>
      <c r="O2138" s="244"/>
      <c r="P2138" s="244"/>
      <c r="Q2138" s="245">
        <f t="shared" si="254"/>
        <v>0</v>
      </c>
      <c r="R2138" s="245">
        <f t="shared" si="255"/>
        <v>0</v>
      </c>
      <c r="S2138" s="246">
        <v>0.5</v>
      </c>
      <c r="T2138" s="245">
        <f t="shared" si="256"/>
        <v>0</v>
      </c>
      <c r="U2138" s="245">
        <f t="shared" si="257"/>
        <v>0</v>
      </c>
      <c r="V2138" s="247"/>
    </row>
    <row r="2139" spans="1:22" ht="15.75" x14ac:dyDescent="0.25">
      <c r="A2139" s="236"/>
      <c r="B2139" s="237"/>
      <c r="C2139" s="238"/>
      <c r="D2139" s="239"/>
      <c r="E2139" s="240"/>
      <c r="F2139" s="240"/>
      <c r="G2139" s="240"/>
      <c r="H2139" s="241">
        <f t="shared" si="252"/>
        <v>0</v>
      </c>
      <c r="I2139" s="242"/>
      <c r="J2139" s="243"/>
      <c r="K2139" s="243"/>
      <c r="L2139" s="244">
        <v>0.1</v>
      </c>
      <c r="M2139" s="244">
        <f t="shared" si="253"/>
        <v>0</v>
      </c>
      <c r="N2139" s="244"/>
      <c r="O2139" s="244"/>
      <c r="P2139" s="244"/>
      <c r="Q2139" s="245">
        <f t="shared" si="254"/>
        <v>0</v>
      </c>
      <c r="R2139" s="245">
        <f t="shared" si="255"/>
        <v>0</v>
      </c>
      <c r="S2139" s="246">
        <v>0.5</v>
      </c>
      <c r="T2139" s="245">
        <f t="shared" si="256"/>
        <v>0</v>
      </c>
      <c r="U2139" s="245">
        <f t="shared" si="257"/>
        <v>0</v>
      </c>
      <c r="V2139" s="247"/>
    </row>
    <row r="2140" spans="1:22" ht="15.75" x14ac:dyDescent="0.25">
      <c r="A2140" s="236"/>
      <c r="B2140" s="237"/>
      <c r="C2140" s="238"/>
      <c r="D2140" s="239"/>
      <c r="E2140" s="240"/>
      <c r="F2140" s="240"/>
      <c r="G2140" s="240"/>
      <c r="H2140" s="241">
        <f t="shared" si="252"/>
        <v>0</v>
      </c>
      <c r="I2140" s="242"/>
      <c r="J2140" s="243"/>
      <c r="K2140" s="243"/>
      <c r="L2140" s="244">
        <v>0.1</v>
      </c>
      <c r="M2140" s="244">
        <f t="shared" si="253"/>
        <v>0</v>
      </c>
      <c r="N2140" s="244"/>
      <c r="O2140" s="244"/>
      <c r="P2140" s="244"/>
      <c r="Q2140" s="245">
        <f t="shared" si="254"/>
        <v>0</v>
      </c>
      <c r="R2140" s="245">
        <f t="shared" si="255"/>
        <v>0</v>
      </c>
      <c r="S2140" s="246">
        <v>0.5</v>
      </c>
      <c r="T2140" s="245">
        <f t="shared" si="256"/>
        <v>0</v>
      </c>
      <c r="U2140" s="245">
        <f t="shared" si="257"/>
        <v>0</v>
      </c>
      <c r="V2140" s="247"/>
    </row>
    <row r="2141" spans="1:22" ht="15.75" x14ac:dyDescent="0.25">
      <c r="A2141" s="236"/>
      <c r="B2141" s="237"/>
      <c r="C2141" s="238"/>
      <c r="D2141" s="239"/>
      <c r="E2141" s="240"/>
      <c r="F2141" s="240"/>
      <c r="G2141" s="240"/>
      <c r="H2141" s="241">
        <f t="shared" si="252"/>
        <v>0</v>
      </c>
      <c r="I2141" s="242"/>
      <c r="J2141" s="243"/>
      <c r="K2141" s="243"/>
      <c r="L2141" s="244">
        <v>0.1</v>
      </c>
      <c r="M2141" s="244">
        <f t="shared" si="253"/>
        <v>0</v>
      </c>
      <c r="N2141" s="244"/>
      <c r="O2141" s="244"/>
      <c r="P2141" s="244"/>
      <c r="Q2141" s="245">
        <f t="shared" si="254"/>
        <v>0</v>
      </c>
      <c r="R2141" s="245">
        <f t="shared" si="255"/>
        <v>0</v>
      </c>
      <c r="S2141" s="246">
        <v>0.5</v>
      </c>
      <c r="T2141" s="245">
        <f t="shared" si="256"/>
        <v>0</v>
      </c>
      <c r="U2141" s="245">
        <f t="shared" si="257"/>
        <v>0</v>
      </c>
      <c r="V2141" s="247"/>
    </row>
    <row r="2142" spans="1:22" ht="15.75" x14ac:dyDescent="0.25">
      <c r="A2142" s="236"/>
      <c r="B2142" s="237"/>
      <c r="C2142" s="238"/>
      <c r="D2142" s="239"/>
      <c r="E2142" s="240"/>
      <c r="F2142" s="240"/>
      <c r="G2142" s="240"/>
      <c r="H2142" s="241">
        <f t="shared" si="252"/>
        <v>0</v>
      </c>
      <c r="I2142" s="242"/>
      <c r="J2142" s="243"/>
      <c r="K2142" s="243"/>
      <c r="L2142" s="244">
        <v>0.1</v>
      </c>
      <c r="M2142" s="244">
        <f t="shared" si="253"/>
        <v>0</v>
      </c>
      <c r="N2142" s="244"/>
      <c r="O2142" s="244"/>
      <c r="P2142" s="244"/>
      <c r="Q2142" s="245">
        <f t="shared" si="254"/>
        <v>0</v>
      </c>
      <c r="R2142" s="245">
        <f t="shared" si="255"/>
        <v>0</v>
      </c>
      <c r="S2142" s="246">
        <v>0.5</v>
      </c>
      <c r="T2142" s="245">
        <f t="shared" si="256"/>
        <v>0</v>
      </c>
      <c r="U2142" s="245">
        <f t="shared" si="257"/>
        <v>0</v>
      </c>
      <c r="V2142" s="247"/>
    </row>
    <row r="2143" spans="1:22" ht="15.75" x14ac:dyDescent="0.25">
      <c r="A2143" s="236"/>
      <c r="B2143" s="237"/>
      <c r="C2143" s="238"/>
      <c r="D2143" s="239"/>
      <c r="E2143" s="240"/>
      <c r="F2143" s="240"/>
      <c r="G2143" s="240"/>
      <c r="H2143" s="241">
        <f t="shared" si="252"/>
        <v>0</v>
      </c>
      <c r="I2143" s="242"/>
      <c r="J2143" s="243"/>
      <c r="K2143" s="243"/>
      <c r="L2143" s="244">
        <v>0.1</v>
      </c>
      <c r="M2143" s="244">
        <f t="shared" si="253"/>
        <v>0</v>
      </c>
      <c r="N2143" s="244"/>
      <c r="O2143" s="244"/>
      <c r="P2143" s="244"/>
      <c r="Q2143" s="245">
        <f t="shared" si="254"/>
        <v>0</v>
      </c>
      <c r="R2143" s="245">
        <f t="shared" si="255"/>
        <v>0</v>
      </c>
      <c r="S2143" s="246">
        <v>0.5</v>
      </c>
      <c r="T2143" s="245">
        <f t="shared" si="256"/>
        <v>0</v>
      </c>
      <c r="U2143" s="245">
        <f t="shared" si="257"/>
        <v>0</v>
      </c>
      <c r="V2143" s="247"/>
    </row>
    <row r="2144" spans="1:22" ht="15.75" x14ac:dyDescent="0.25">
      <c r="A2144" s="236"/>
      <c r="B2144" s="237"/>
      <c r="C2144" s="238"/>
      <c r="D2144" s="239"/>
      <c r="E2144" s="240"/>
      <c r="F2144" s="240"/>
      <c r="G2144" s="240"/>
      <c r="H2144" s="241">
        <f t="shared" si="252"/>
        <v>0</v>
      </c>
      <c r="I2144" s="242"/>
      <c r="J2144" s="243"/>
      <c r="K2144" s="243"/>
      <c r="L2144" s="244">
        <v>0.1</v>
      </c>
      <c r="M2144" s="244">
        <f t="shared" si="253"/>
        <v>0</v>
      </c>
      <c r="N2144" s="244"/>
      <c r="O2144" s="244"/>
      <c r="P2144" s="244"/>
      <c r="Q2144" s="245">
        <f t="shared" si="254"/>
        <v>0</v>
      </c>
      <c r="R2144" s="245">
        <f t="shared" si="255"/>
        <v>0</v>
      </c>
      <c r="S2144" s="246">
        <v>0.5</v>
      </c>
      <c r="T2144" s="245">
        <f t="shared" si="256"/>
        <v>0</v>
      </c>
      <c r="U2144" s="245">
        <f t="shared" si="257"/>
        <v>0</v>
      </c>
      <c r="V2144" s="247"/>
    </row>
    <row r="2145" spans="1:22" ht="15.75" x14ac:dyDescent="0.25">
      <c r="A2145" s="236"/>
      <c r="B2145" s="237"/>
      <c r="C2145" s="238"/>
      <c r="D2145" s="239"/>
      <c r="E2145" s="240"/>
      <c r="F2145" s="240"/>
      <c r="G2145" s="240"/>
      <c r="H2145" s="241">
        <f t="shared" si="252"/>
        <v>0</v>
      </c>
      <c r="I2145" s="242"/>
      <c r="J2145" s="243"/>
      <c r="K2145" s="243"/>
      <c r="L2145" s="244">
        <v>0.1</v>
      </c>
      <c r="M2145" s="244">
        <f t="shared" si="253"/>
        <v>0</v>
      </c>
      <c r="N2145" s="244"/>
      <c r="O2145" s="244"/>
      <c r="P2145" s="244"/>
      <c r="Q2145" s="245">
        <f t="shared" si="254"/>
        <v>0</v>
      </c>
      <c r="R2145" s="245">
        <f t="shared" si="255"/>
        <v>0</v>
      </c>
      <c r="S2145" s="246">
        <v>0.5</v>
      </c>
      <c r="T2145" s="245">
        <f t="shared" si="256"/>
        <v>0</v>
      </c>
      <c r="U2145" s="245">
        <f t="shared" si="257"/>
        <v>0</v>
      </c>
      <c r="V2145" s="247"/>
    </row>
    <row r="2146" spans="1:22" ht="15.75" x14ac:dyDescent="0.25">
      <c r="A2146" s="236"/>
      <c r="B2146" s="237"/>
      <c r="C2146" s="238"/>
      <c r="D2146" s="239"/>
      <c r="E2146" s="240"/>
      <c r="F2146" s="240"/>
      <c r="G2146" s="240"/>
      <c r="H2146" s="241">
        <f t="shared" si="252"/>
        <v>0</v>
      </c>
      <c r="I2146" s="242"/>
      <c r="J2146" s="243"/>
      <c r="K2146" s="243"/>
      <c r="L2146" s="244">
        <v>0.1</v>
      </c>
      <c r="M2146" s="244">
        <f t="shared" si="253"/>
        <v>0</v>
      </c>
      <c r="N2146" s="244"/>
      <c r="O2146" s="244"/>
      <c r="P2146" s="244"/>
      <c r="Q2146" s="245">
        <f t="shared" si="254"/>
        <v>0</v>
      </c>
      <c r="R2146" s="245">
        <f t="shared" si="255"/>
        <v>0</v>
      </c>
      <c r="S2146" s="246">
        <v>0.5</v>
      </c>
      <c r="T2146" s="245">
        <f t="shared" si="256"/>
        <v>0</v>
      </c>
      <c r="U2146" s="245">
        <f t="shared" si="257"/>
        <v>0</v>
      </c>
      <c r="V2146" s="247"/>
    </row>
    <row r="2147" spans="1:22" ht="15.75" x14ac:dyDescent="0.25">
      <c r="A2147" s="236"/>
      <c r="B2147" s="237"/>
      <c r="C2147" s="238"/>
      <c r="D2147" s="239"/>
      <c r="E2147" s="240"/>
      <c r="F2147" s="240"/>
      <c r="G2147" s="240"/>
      <c r="H2147" s="241">
        <f t="shared" si="252"/>
        <v>0</v>
      </c>
      <c r="I2147" s="242"/>
      <c r="J2147" s="243"/>
      <c r="K2147" s="243"/>
      <c r="L2147" s="244">
        <v>0.1</v>
      </c>
      <c r="M2147" s="244">
        <f t="shared" si="253"/>
        <v>0</v>
      </c>
      <c r="N2147" s="244"/>
      <c r="O2147" s="244"/>
      <c r="P2147" s="244"/>
      <c r="Q2147" s="245">
        <f t="shared" si="254"/>
        <v>0</v>
      </c>
      <c r="R2147" s="245">
        <f t="shared" si="255"/>
        <v>0</v>
      </c>
      <c r="S2147" s="246">
        <v>0.5</v>
      </c>
      <c r="T2147" s="245">
        <f t="shared" si="256"/>
        <v>0</v>
      </c>
      <c r="U2147" s="245">
        <f t="shared" si="257"/>
        <v>0</v>
      </c>
      <c r="V2147" s="247"/>
    </row>
    <row r="2148" spans="1:22" ht="15.75" x14ac:dyDescent="0.25">
      <c r="A2148" s="236"/>
      <c r="B2148" s="237"/>
      <c r="C2148" s="238"/>
      <c r="D2148" s="239"/>
      <c r="E2148" s="240"/>
      <c r="F2148" s="240"/>
      <c r="G2148" s="240"/>
      <c r="H2148" s="241">
        <f t="shared" si="252"/>
        <v>0</v>
      </c>
      <c r="I2148" s="242"/>
      <c r="J2148" s="243"/>
      <c r="K2148" s="243"/>
      <c r="L2148" s="244">
        <v>0.1</v>
      </c>
      <c r="M2148" s="244">
        <f t="shared" si="253"/>
        <v>0</v>
      </c>
      <c r="N2148" s="244"/>
      <c r="O2148" s="244"/>
      <c r="P2148" s="244"/>
      <c r="Q2148" s="245">
        <f t="shared" si="254"/>
        <v>0</v>
      </c>
      <c r="R2148" s="245">
        <f t="shared" si="255"/>
        <v>0</v>
      </c>
      <c r="S2148" s="246">
        <v>0.5</v>
      </c>
      <c r="T2148" s="245">
        <f t="shared" si="256"/>
        <v>0</v>
      </c>
      <c r="U2148" s="245">
        <f t="shared" si="257"/>
        <v>0</v>
      </c>
      <c r="V2148" s="247"/>
    </row>
    <row r="2149" spans="1:22" ht="15.75" x14ac:dyDescent="0.25">
      <c r="A2149" s="236"/>
      <c r="B2149" s="237"/>
      <c r="C2149" s="238"/>
      <c r="D2149" s="239"/>
      <c r="E2149" s="240"/>
      <c r="F2149" s="240"/>
      <c r="G2149" s="240"/>
      <c r="H2149" s="241">
        <f t="shared" si="252"/>
        <v>0</v>
      </c>
      <c r="I2149" s="242"/>
      <c r="J2149" s="243"/>
      <c r="K2149" s="243"/>
      <c r="L2149" s="244">
        <v>0.1</v>
      </c>
      <c r="M2149" s="244">
        <f t="shared" si="253"/>
        <v>0</v>
      </c>
      <c r="N2149" s="244"/>
      <c r="O2149" s="244"/>
      <c r="P2149" s="244"/>
      <c r="Q2149" s="245">
        <f t="shared" si="254"/>
        <v>0</v>
      </c>
      <c r="R2149" s="245">
        <f t="shared" si="255"/>
        <v>0</v>
      </c>
      <c r="S2149" s="246">
        <v>0.5</v>
      </c>
      <c r="T2149" s="245">
        <f t="shared" si="256"/>
        <v>0</v>
      </c>
      <c r="U2149" s="245">
        <f t="shared" si="257"/>
        <v>0</v>
      </c>
      <c r="V2149" s="247"/>
    </row>
    <row r="2150" spans="1:22" ht="15.75" x14ac:dyDescent="0.25">
      <c r="A2150" s="236"/>
      <c r="B2150" s="237"/>
      <c r="C2150" s="238"/>
      <c r="D2150" s="239"/>
      <c r="E2150" s="240"/>
      <c r="F2150" s="240"/>
      <c r="G2150" s="240"/>
      <c r="H2150" s="241">
        <f t="shared" si="252"/>
        <v>0</v>
      </c>
      <c r="I2150" s="242"/>
      <c r="J2150" s="243"/>
      <c r="K2150" s="243"/>
      <c r="L2150" s="244">
        <v>0.1</v>
      </c>
      <c r="M2150" s="244">
        <f t="shared" si="253"/>
        <v>0</v>
      </c>
      <c r="N2150" s="244"/>
      <c r="O2150" s="244"/>
      <c r="P2150" s="244"/>
      <c r="Q2150" s="245">
        <f t="shared" si="254"/>
        <v>0</v>
      </c>
      <c r="R2150" s="245">
        <f t="shared" si="255"/>
        <v>0</v>
      </c>
      <c r="S2150" s="246">
        <v>0.5</v>
      </c>
      <c r="T2150" s="245">
        <f t="shared" si="256"/>
        <v>0</v>
      </c>
      <c r="U2150" s="245">
        <f t="shared" si="257"/>
        <v>0</v>
      </c>
      <c r="V2150" s="247"/>
    </row>
    <row r="2151" spans="1:22" ht="15.75" x14ac:dyDescent="0.25">
      <c r="A2151" s="236"/>
      <c r="B2151" s="237"/>
      <c r="C2151" s="238"/>
      <c r="D2151" s="239"/>
      <c r="E2151" s="240"/>
      <c r="F2151" s="240"/>
      <c r="G2151" s="240"/>
      <c r="H2151" s="241">
        <f t="shared" si="252"/>
        <v>0</v>
      </c>
      <c r="I2151" s="242"/>
      <c r="J2151" s="243"/>
      <c r="K2151" s="243"/>
      <c r="L2151" s="244">
        <v>0.1</v>
      </c>
      <c r="M2151" s="244">
        <f t="shared" si="253"/>
        <v>0</v>
      </c>
      <c r="N2151" s="244"/>
      <c r="O2151" s="244"/>
      <c r="P2151" s="244"/>
      <c r="Q2151" s="245">
        <f t="shared" si="254"/>
        <v>0</v>
      </c>
      <c r="R2151" s="245">
        <f t="shared" si="255"/>
        <v>0</v>
      </c>
      <c r="S2151" s="246">
        <v>0.5</v>
      </c>
      <c r="T2151" s="245">
        <f t="shared" si="256"/>
        <v>0</v>
      </c>
      <c r="U2151" s="245">
        <f t="shared" si="257"/>
        <v>0</v>
      </c>
      <c r="V2151" s="247"/>
    </row>
    <row r="2152" spans="1:22" ht="15.75" x14ac:dyDescent="0.25">
      <c r="A2152" s="236"/>
      <c r="B2152" s="237"/>
      <c r="C2152" s="238"/>
      <c r="D2152" s="239"/>
      <c r="E2152" s="240"/>
      <c r="F2152" s="240"/>
      <c r="G2152" s="240"/>
      <c r="H2152" s="241">
        <f t="shared" si="252"/>
        <v>0</v>
      </c>
      <c r="I2152" s="242"/>
      <c r="J2152" s="243"/>
      <c r="K2152" s="243"/>
      <c r="L2152" s="244">
        <v>0.1</v>
      </c>
      <c r="M2152" s="244">
        <f t="shared" si="253"/>
        <v>0</v>
      </c>
      <c r="N2152" s="244"/>
      <c r="O2152" s="244"/>
      <c r="P2152" s="244"/>
      <c r="Q2152" s="245">
        <f t="shared" si="254"/>
        <v>0</v>
      </c>
      <c r="R2152" s="245">
        <f t="shared" si="255"/>
        <v>0</v>
      </c>
      <c r="S2152" s="246">
        <v>0.5</v>
      </c>
      <c r="T2152" s="245">
        <f t="shared" si="256"/>
        <v>0</v>
      </c>
      <c r="U2152" s="245">
        <f t="shared" si="257"/>
        <v>0</v>
      </c>
      <c r="V2152" s="247"/>
    </row>
    <row r="2153" spans="1:22" ht="15.75" x14ac:dyDescent="0.25">
      <c r="A2153" s="236"/>
      <c r="B2153" s="237"/>
      <c r="C2153" s="238"/>
      <c r="D2153" s="239"/>
      <c r="E2153" s="240"/>
      <c r="F2153" s="240"/>
      <c r="G2153" s="240"/>
      <c r="H2153" s="241">
        <f t="shared" si="252"/>
        <v>0</v>
      </c>
      <c r="I2153" s="242"/>
      <c r="J2153" s="243"/>
      <c r="K2153" s="243"/>
      <c r="L2153" s="244">
        <v>0.1</v>
      </c>
      <c r="M2153" s="244">
        <f t="shared" si="253"/>
        <v>0</v>
      </c>
      <c r="N2153" s="244"/>
      <c r="O2153" s="244"/>
      <c r="P2153" s="244"/>
      <c r="Q2153" s="245">
        <f t="shared" si="254"/>
        <v>0</v>
      </c>
      <c r="R2153" s="245">
        <f t="shared" si="255"/>
        <v>0</v>
      </c>
      <c r="S2153" s="246">
        <v>0.5</v>
      </c>
      <c r="T2153" s="245">
        <f t="shared" si="256"/>
        <v>0</v>
      </c>
      <c r="U2153" s="245">
        <f t="shared" si="257"/>
        <v>0</v>
      </c>
      <c r="V2153" s="247"/>
    </row>
    <row r="2154" spans="1:22" ht="15.75" x14ac:dyDescent="0.25">
      <c r="A2154" s="236"/>
      <c r="B2154" s="237"/>
      <c r="C2154" s="238"/>
      <c r="D2154" s="239"/>
      <c r="E2154" s="240"/>
      <c r="F2154" s="240"/>
      <c r="G2154" s="240"/>
      <c r="H2154" s="241">
        <f t="shared" si="252"/>
        <v>0</v>
      </c>
      <c r="I2154" s="242"/>
      <c r="J2154" s="243"/>
      <c r="K2154" s="243"/>
      <c r="L2154" s="244">
        <v>0.1</v>
      </c>
      <c r="M2154" s="244">
        <f t="shared" si="253"/>
        <v>0</v>
      </c>
      <c r="N2154" s="244"/>
      <c r="O2154" s="244"/>
      <c r="P2154" s="244"/>
      <c r="Q2154" s="245">
        <f t="shared" si="254"/>
        <v>0</v>
      </c>
      <c r="R2154" s="245">
        <f t="shared" si="255"/>
        <v>0</v>
      </c>
      <c r="S2154" s="246">
        <v>0.5</v>
      </c>
      <c r="T2154" s="245">
        <f t="shared" si="256"/>
        <v>0</v>
      </c>
      <c r="U2154" s="245">
        <f t="shared" si="257"/>
        <v>0</v>
      </c>
      <c r="V2154" s="247"/>
    </row>
    <row r="2155" spans="1:22" ht="15.75" x14ac:dyDescent="0.25">
      <c r="A2155" s="236"/>
      <c r="B2155" s="237"/>
      <c r="C2155" s="238"/>
      <c r="D2155" s="239"/>
      <c r="E2155" s="240"/>
      <c r="F2155" s="240"/>
      <c r="G2155" s="240"/>
      <c r="H2155" s="241">
        <f t="shared" si="252"/>
        <v>0</v>
      </c>
      <c r="I2155" s="242"/>
      <c r="J2155" s="243"/>
      <c r="K2155" s="243"/>
      <c r="L2155" s="244">
        <v>0.1</v>
      </c>
      <c r="M2155" s="244">
        <f t="shared" si="253"/>
        <v>0</v>
      </c>
      <c r="N2155" s="244"/>
      <c r="O2155" s="244"/>
      <c r="P2155" s="244"/>
      <c r="Q2155" s="245">
        <f t="shared" si="254"/>
        <v>0</v>
      </c>
      <c r="R2155" s="245">
        <f t="shared" si="255"/>
        <v>0</v>
      </c>
      <c r="S2155" s="246">
        <v>0.5</v>
      </c>
      <c r="T2155" s="245">
        <f t="shared" si="256"/>
        <v>0</v>
      </c>
      <c r="U2155" s="245">
        <f t="shared" si="257"/>
        <v>0</v>
      </c>
      <c r="V2155" s="247"/>
    </row>
    <row r="2156" spans="1:22" ht="15.75" x14ac:dyDescent="0.25">
      <c r="A2156" s="236"/>
      <c r="B2156" s="237"/>
      <c r="C2156" s="238"/>
      <c r="D2156" s="239"/>
      <c r="E2156" s="240"/>
      <c r="F2156" s="240"/>
      <c r="G2156" s="240"/>
      <c r="H2156" s="241">
        <f t="shared" si="252"/>
        <v>0</v>
      </c>
      <c r="I2156" s="242"/>
      <c r="J2156" s="243"/>
      <c r="K2156" s="243"/>
      <c r="L2156" s="244">
        <v>0.1</v>
      </c>
      <c r="M2156" s="244">
        <f t="shared" si="253"/>
        <v>0</v>
      </c>
      <c r="N2156" s="244"/>
      <c r="O2156" s="244"/>
      <c r="P2156" s="244"/>
      <c r="Q2156" s="245">
        <f t="shared" si="254"/>
        <v>0</v>
      </c>
      <c r="R2156" s="245">
        <f t="shared" si="255"/>
        <v>0</v>
      </c>
      <c r="S2156" s="246">
        <v>0.5</v>
      </c>
      <c r="T2156" s="245">
        <f t="shared" si="256"/>
        <v>0</v>
      </c>
      <c r="U2156" s="245">
        <f t="shared" si="257"/>
        <v>0</v>
      </c>
      <c r="V2156" s="247"/>
    </row>
    <row r="2157" spans="1:22" ht="15.75" x14ac:dyDescent="0.25">
      <c r="A2157" s="236"/>
      <c r="B2157" s="237"/>
      <c r="C2157" s="238"/>
      <c r="D2157" s="239"/>
      <c r="E2157" s="240"/>
      <c r="F2157" s="240"/>
      <c r="G2157" s="240"/>
      <c r="H2157" s="241">
        <f t="shared" si="252"/>
        <v>0</v>
      </c>
      <c r="I2157" s="242"/>
      <c r="J2157" s="243"/>
      <c r="K2157" s="243"/>
      <c r="L2157" s="244">
        <v>0.1</v>
      </c>
      <c r="M2157" s="244">
        <f t="shared" si="253"/>
        <v>0</v>
      </c>
      <c r="N2157" s="244"/>
      <c r="O2157" s="244"/>
      <c r="P2157" s="244"/>
      <c r="Q2157" s="245">
        <f t="shared" si="254"/>
        <v>0</v>
      </c>
      <c r="R2157" s="245">
        <f t="shared" si="255"/>
        <v>0</v>
      </c>
      <c r="S2157" s="246">
        <v>0.5</v>
      </c>
      <c r="T2157" s="245">
        <f t="shared" si="256"/>
        <v>0</v>
      </c>
      <c r="U2157" s="245">
        <f t="shared" si="257"/>
        <v>0</v>
      </c>
      <c r="V2157" s="247"/>
    </row>
    <row r="2158" spans="1:22" ht="15.75" x14ac:dyDescent="0.25">
      <c r="A2158" s="236"/>
      <c r="B2158" s="237"/>
      <c r="C2158" s="238"/>
      <c r="D2158" s="239"/>
      <c r="E2158" s="240"/>
      <c r="F2158" s="240"/>
      <c r="G2158" s="240"/>
      <c r="H2158" s="241">
        <f t="shared" si="252"/>
        <v>0</v>
      </c>
      <c r="I2158" s="242"/>
      <c r="J2158" s="243"/>
      <c r="K2158" s="243"/>
      <c r="L2158" s="244">
        <v>0.1</v>
      </c>
      <c r="M2158" s="244">
        <f t="shared" si="253"/>
        <v>0</v>
      </c>
      <c r="N2158" s="244"/>
      <c r="O2158" s="244"/>
      <c r="P2158" s="244"/>
      <c r="Q2158" s="245">
        <f t="shared" si="254"/>
        <v>0</v>
      </c>
      <c r="R2158" s="245">
        <f t="shared" si="255"/>
        <v>0</v>
      </c>
      <c r="S2158" s="246">
        <v>0.5</v>
      </c>
      <c r="T2158" s="245">
        <f t="shared" si="256"/>
        <v>0</v>
      </c>
      <c r="U2158" s="245">
        <f t="shared" si="257"/>
        <v>0</v>
      </c>
      <c r="V2158" s="247"/>
    </row>
    <row r="2159" spans="1:22" ht="15.75" x14ac:dyDescent="0.25">
      <c r="A2159" s="236"/>
      <c r="B2159" s="237"/>
      <c r="C2159" s="238"/>
      <c r="D2159" s="239"/>
      <c r="E2159" s="240"/>
      <c r="F2159" s="240"/>
      <c r="G2159" s="240"/>
      <c r="H2159" s="241">
        <f t="shared" si="252"/>
        <v>0</v>
      </c>
      <c r="I2159" s="242"/>
      <c r="J2159" s="243"/>
      <c r="K2159" s="243"/>
      <c r="L2159" s="244">
        <v>0.1</v>
      </c>
      <c r="M2159" s="244">
        <f t="shared" si="253"/>
        <v>0</v>
      </c>
      <c r="N2159" s="244"/>
      <c r="O2159" s="244"/>
      <c r="P2159" s="244"/>
      <c r="Q2159" s="245">
        <f t="shared" si="254"/>
        <v>0</v>
      </c>
      <c r="R2159" s="245">
        <f t="shared" si="255"/>
        <v>0</v>
      </c>
      <c r="S2159" s="246">
        <v>0.5</v>
      </c>
      <c r="T2159" s="245">
        <f t="shared" si="256"/>
        <v>0</v>
      </c>
      <c r="U2159" s="245">
        <f t="shared" si="257"/>
        <v>0</v>
      </c>
      <c r="V2159" s="247"/>
    </row>
    <row r="2160" spans="1:22" ht="15.75" x14ac:dyDescent="0.25">
      <c r="A2160" s="236"/>
      <c r="B2160" s="237"/>
      <c r="C2160" s="238"/>
      <c r="D2160" s="239"/>
      <c r="E2160" s="240"/>
      <c r="F2160" s="240"/>
      <c r="G2160" s="240"/>
      <c r="H2160" s="241">
        <f t="shared" si="252"/>
        <v>0</v>
      </c>
      <c r="I2160" s="242"/>
      <c r="J2160" s="243"/>
      <c r="K2160" s="243"/>
      <c r="L2160" s="244">
        <v>0.1</v>
      </c>
      <c r="M2160" s="244">
        <f t="shared" si="253"/>
        <v>0</v>
      </c>
      <c r="N2160" s="244"/>
      <c r="O2160" s="244"/>
      <c r="P2160" s="244"/>
      <c r="Q2160" s="245">
        <f t="shared" si="254"/>
        <v>0</v>
      </c>
      <c r="R2160" s="245">
        <f t="shared" si="255"/>
        <v>0</v>
      </c>
      <c r="S2160" s="246">
        <v>0.5</v>
      </c>
      <c r="T2160" s="245">
        <f t="shared" si="256"/>
        <v>0</v>
      </c>
      <c r="U2160" s="245">
        <f t="shared" si="257"/>
        <v>0</v>
      </c>
      <c r="V2160" s="247"/>
    </row>
    <row r="2161" spans="1:22" ht="15.75" x14ac:dyDescent="0.25">
      <c r="A2161" s="236"/>
      <c r="B2161" s="237"/>
      <c r="C2161" s="238"/>
      <c r="D2161" s="239"/>
      <c r="E2161" s="240"/>
      <c r="F2161" s="240"/>
      <c r="G2161" s="240"/>
      <c r="H2161" s="241">
        <f t="shared" si="252"/>
        <v>0</v>
      </c>
      <c r="I2161" s="242"/>
      <c r="J2161" s="243"/>
      <c r="K2161" s="243"/>
      <c r="L2161" s="244">
        <v>0.1</v>
      </c>
      <c r="M2161" s="244">
        <f t="shared" si="253"/>
        <v>0</v>
      </c>
      <c r="N2161" s="244"/>
      <c r="O2161" s="244"/>
      <c r="P2161" s="244"/>
      <c r="Q2161" s="245">
        <f t="shared" si="254"/>
        <v>0</v>
      </c>
      <c r="R2161" s="245">
        <f t="shared" si="255"/>
        <v>0</v>
      </c>
      <c r="S2161" s="246">
        <v>0.5</v>
      </c>
      <c r="T2161" s="245">
        <f t="shared" si="256"/>
        <v>0</v>
      </c>
      <c r="U2161" s="245">
        <f t="shared" si="257"/>
        <v>0</v>
      </c>
      <c r="V2161" s="247"/>
    </row>
    <row r="2162" spans="1:22" ht="15.75" x14ac:dyDescent="0.25">
      <c r="A2162" s="236"/>
      <c r="B2162" s="237"/>
      <c r="C2162" s="238"/>
      <c r="D2162" s="239"/>
      <c r="E2162" s="240"/>
      <c r="F2162" s="240"/>
      <c r="G2162" s="240"/>
      <c r="H2162" s="241">
        <f t="shared" si="252"/>
        <v>0</v>
      </c>
      <c r="I2162" s="242"/>
      <c r="J2162" s="243"/>
      <c r="K2162" s="243"/>
      <c r="L2162" s="244">
        <v>0.1</v>
      </c>
      <c r="M2162" s="244">
        <f t="shared" si="253"/>
        <v>0</v>
      </c>
      <c r="N2162" s="244"/>
      <c r="O2162" s="244"/>
      <c r="P2162" s="244"/>
      <c r="Q2162" s="245">
        <f t="shared" si="254"/>
        <v>0</v>
      </c>
      <c r="R2162" s="245">
        <f t="shared" si="255"/>
        <v>0</v>
      </c>
      <c r="S2162" s="246">
        <v>0.5</v>
      </c>
      <c r="T2162" s="245">
        <f t="shared" si="256"/>
        <v>0</v>
      </c>
      <c r="U2162" s="245">
        <f t="shared" si="257"/>
        <v>0</v>
      </c>
      <c r="V2162" s="247"/>
    </row>
    <row r="2163" spans="1:22" ht="15.75" x14ac:dyDescent="0.25">
      <c r="A2163" s="236"/>
      <c r="B2163" s="237"/>
      <c r="C2163" s="238"/>
      <c r="D2163" s="239"/>
      <c r="E2163" s="240"/>
      <c r="F2163" s="240"/>
      <c r="G2163" s="240"/>
      <c r="H2163" s="241">
        <f t="shared" si="252"/>
        <v>0</v>
      </c>
      <c r="I2163" s="242"/>
      <c r="J2163" s="243"/>
      <c r="K2163" s="243"/>
      <c r="L2163" s="244">
        <v>0.1</v>
      </c>
      <c r="M2163" s="244">
        <f t="shared" si="253"/>
        <v>0</v>
      </c>
      <c r="N2163" s="244"/>
      <c r="O2163" s="244"/>
      <c r="P2163" s="244"/>
      <c r="Q2163" s="245">
        <f t="shared" si="254"/>
        <v>0</v>
      </c>
      <c r="R2163" s="245">
        <f t="shared" si="255"/>
        <v>0</v>
      </c>
      <c r="S2163" s="246">
        <v>0.5</v>
      </c>
      <c r="T2163" s="245">
        <f t="shared" si="256"/>
        <v>0</v>
      </c>
      <c r="U2163" s="245">
        <f t="shared" si="257"/>
        <v>0</v>
      </c>
      <c r="V2163" s="247"/>
    </row>
    <row r="2164" spans="1:22" ht="15.75" x14ac:dyDescent="0.25">
      <c r="A2164" s="236"/>
      <c r="B2164" s="237"/>
      <c r="C2164" s="238"/>
      <c r="D2164" s="239"/>
      <c r="E2164" s="240"/>
      <c r="F2164" s="240"/>
      <c r="G2164" s="240"/>
      <c r="H2164" s="241">
        <f t="shared" si="252"/>
        <v>0</v>
      </c>
      <c r="I2164" s="242"/>
      <c r="J2164" s="243"/>
      <c r="K2164" s="243"/>
      <c r="L2164" s="244">
        <v>0.1</v>
      </c>
      <c r="M2164" s="244">
        <f t="shared" si="253"/>
        <v>0</v>
      </c>
      <c r="N2164" s="244"/>
      <c r="O2164" s="244"/>
      <c r="P2164" s="244"/>
      <c r="Q2164" s="245">
        <f t="shared" si="254"/>
        <v>0</v>
      </c>
      <c r="R2164" s="245">
        <f t="shared" si="255"/>
        <v>0</v>
      </c>
      <c r="S2164" s="246">
        <v>0.5</v>
      </c>
      <c r="T2164" s="245">
        <f t="shared" si="256"/>
        <v>0</v>
      </c>
      <c r="U2164" s="245">
        <f t="shared" si="257"/>
        <v>0</v>
      </c>
      <c r="V2164" s="247"/>
    </row>
    <row r="2165" spans="1:22" ht="15.75" x14ac:dyDescent="0.25">
      <c r="A2165" s="236"/>
      <c r="B2165" s="237"/>
      <c r="C2165" s="238"/>
      <c r="D2165" s="239"/>
      <c r="E2165" s="240"/>
      <c r="F2165" s="240"/>
      <c r="G2165" s="240"/>
      <c r="H2165" s="241">
        <f t="shared" si="252"/>
        <v>0</v>
      </c>
      <c r="I2165" s="242"/>
      <c r="J2165" s="243"/>
      <c r="K2165" s="243"/>
      <c r="L2165" s="244">
        <v>0.1</v>
      </c>
      <c r="M2165" s="244">
        <f t="shared" si="253"/>
        <v>0</v>
      </c>
      <c r="N2165" s="244"/>
      <c r="O2165" s="244"/>
      <c r="P2165" s="244"/>
      <c r="Q2165" s="245">
        <f t="shared" si="254"/>
        <v>0</v>
      </c>
      <c r="R2165" s="245">
        <f t="shared" si="255"/>
        <v>0</v>
      </c>
      <c r="S2165" s="246">
        <v>0.5</v>
      </c>
      <c r="T2165" s="245">
        <f t="shared" si="256"/>
        <v>0</v>
      </c>
      <c r="U2165" s="245">
        <f t="shared" si="257"/>
        <v>0</v>
      </c>
      <c r="V2165" s="247"/>
    </row>
    <row r="2166" spans="1:22" ht="15.75" x14ac:dyDescent="0.25">
      <c r="A2166" s="236"/>
      <c r="B2166" s="237"/>
      <c r="C2166" s="238"/>
      <c r="D2166" s="239"/>
      <c r="E2166" s="240"/>
      <c r="F2166" s="240"/>
      <c r="G2166" s="240"/>
      <c r="H2166" s="241">
        <f t="shared" si="252"/>
        <v>0</v>
      </c>
      <c r="I2166" s="242"/>
      <c r="J2166" s="243"/>
      <c r="K2166" s="243"/>
      <c r="L2166" s="244">
        <v>0.1</v>
      </c>
      <c r="M2166" s="244">
        <f t="shared" si="253"/>
        <v>0</v>
      </c>
      <c r="N2166" s="244"/>
      <c r="O2166" s="244"/>
      <c r="P2166" s="244"/>
      <c r="Q2166" s="245">
        <f t="shared" si="254"/>
        <v>0</v>
      </c>
      <c r="R2166" s="245">
        <f t="shared" si="255"/>
        <v>0</v>
      </c>
      <c r="S2166" s="246">
        <v>0.5</v>
      </c>
      <c r="T2166" s="245">
        <f t="shared" si="256"/>
        <v>0</v>
      </c>
      <c r="U2166" s="245">
        <f t="shared" si="257"/>
        <v>0</v>
      </c>
      <c r="V2166" s="247"/>
    </row>
    <row r="2167" spans="1:22" ht="15.75" x14ac:dyDescent="0.25">
      <c r="A2167" s="236"/>
      <c r="B2167" s="237"/>
      <c r="C2167" s="238"/>
      <c r="D2167" s="239"/>
      <c r="E2167" s="240"/>
      <c r="F2167" s="240"/>
      <c r="G2167" s="240"/>
      <c r="H2167" s="241">
        <f t="shared" si="252"/>
        <v>0</v>
      </c>
      <c r="I2167" s="242"/>
      <c r="J2167" s="243"/>
      <c r="K2167" s="243"/>
      <c r="L2167" s="244">
        <v>0.1</v>
      </c>
      <c r="M2167" s="244">
        <f t="shared" si="253"/>
        <v>0</v>
      </c>
      <c r="N2167" s="244"/>
      <c r="O2167" s="244"/>
      <c r="P2167" s="244"/>
      <c r="Q2167" s="245">
        <f t="shared" si="254"/>
        <v>0</v>
      </c>
      <c r="R2167" s="245">
        <f t="shared" si="255"/>
        <v>0</v>
      </c>
      <c r="S2167" s="246">
        <v>0.5</v>
      </c>
      <c r="T2167" s="245">
        <f t="shared" si="256"/>
        <v>0</v>
      </c>
      <c r="U2167" s="245">
        <f t="shared" si="257"/>
        <v>0</v>
      </c>
      <c r="V2167" s="247"/>
    </row>
    <row r="2168" spans="1:22" ht="15.75" x14ac:dyDescent="0.25">
      <c r="A2168" s="236"/>
      <c r="B2168" s="237"/>
      <c r="C2168" s="238"/>
      <c r="D2168" s="239"/>
      <c r="E2168" s="240"/>
      <c r="F2168" s="240"/>
      <c r="G2168" s="240"/>
      <c r="H2168" s="241">
        <f t="shared" si="252"/>
        <v>0</v>
      </c>
      <c r="I2168" s="242"/>
      <c r="J2168" s="243"/>
      <c r="K2168" s="243"/>
      <c r="L2168" s="244">
        <v>0.1</v>
      </c>
      <c r="M2168" s="244">
        <f t="shared" si="253"/>
        <v>0</v>
      </c>
      <c r="N2168" s="244"/>
      <c r="O2168" s="244"/>
      <c r="P2168" s="244"/>
      <c r="Q2168" s="245">
        <f t="shared" si="254"/>
        <v>0</v>
      </c>
      <c r="R2168" s="245">
        <f t="shared" si="255"/>
        <v>0</v>
      </c>
      <c r="S2168" s="246">
        <v>0.5</v>
      </c>
      <c r="T2168" s="245">
        <f t="shared" si="256"/>
        <v>0</v>
      </c>
      <c r="U2168" s="245">
        <f t="shared" si="257"/>
        <v>0</v>
      </c>
      <c r="V2168" s="247"/>
    </row>
    <row r="2169" spans="1:22" ht="15.75" x14ac:dyDescent="0.25">
      <c r="A2169" s="236"/>
      <c r="B2169" s="237"/>
      <c r="C2169" s="238"/>
      <c r="D2169" s="239"/>
      <c r="E2169" s="240"/>
      <c r="F2169" s="240"/>
      <c r="G2169" s="240"/>
      <c r="H2169" s="241">
        <f t="shared" si="252"/>
        <v>0</v>
      </c>
      <c r="I2169" s="242"/>
      <c r="J2169" s="243"/>
      <c r="K2169" s="243"/>
      <c r="L2169" s="244">
        <v>0.1</v>
      </c>
      <c r="M2169" s="244">
        <f t="shared" si="253"/>
        <v>0</v>
      </c>
      <c r="N2169" s="244"/>
      <c r="O2169" s="244"/>
      <c r="P2169" s="244"/>
      <c r="Q2169" s="245">
        <f t="shared" si="254"/>
        <v>0</v>
      </c>
      <c r="R2169" s="245">
        <f t="shared" si="255"/>
        <v>0</v>
      </c>
      <c r="S2169" s="246">
        <v>0.5</v>
      </c>
      <c r="T2169" s="245">
        <f t="shared" si="256"/>
        <v>0</v>
      </c>
      <c r="U2169" s="245">
        <f t="shared" si="257"/>
        <v>0</v>
      </c>
      <c r="V2169" s="247"/>
    </row>
    <row r="2170" spans="1:22" ht="15.75" x14ac:dyDescent="0.25">
      <c r="A2170" s="236"/>
      <c r="B2170" s="237"/>
      <c r="C2170" s="238"/>
      <c r="D2170" s="239"/>
      <c r="E2170" s="240"/>
      <c r="F2170" s="240"/>
      <c r="G2170" s="240"/>
      <c r="H2170" s="241">
        <f t="shared" si="252"/>
        <v>0</v>
      </c>
      <c r="I2170" s="242"/>
      <c r="J2170" s="243"/>
      <c r="K2170" s="243"/>
      <c r="L2170" s="244">
        <v>0.1</v>
      </c>
      <c r="M2170" s="244">
        <f t="shared" si="253"/>
        <v>0</v>
      </c>
      <c r="N2170" s="244"/>
      <c r="O2170" s="244"/>
      <c r="P2170" s="244"/>
      <c r="Q2170" s="245">
        <f t="shared" si="254"/>
        <v>0</v>
      </c>
      <c r="R2170" s="245">
        <f t="shared" si="255"/>
        <v>0</v>
      </c>
      <c r="S2170" s="246">
        <v>0.5</v>
      </c>
      <c r="T2170" s="245">
        <f t="shared" si="256"/>
        <v>0</v>
      </c>
      <c r="U2170" s="245">
        <f t="shared" si="257"/>
        <v>0</v>
      </c>
      <c r="V2170" s="247"/>
    </row>
    <row r="2171" spans="1:22" ht="15.75" x14ac:dyDescent="0.25">
      <c r="A2171" s="236"/>
      <c r="B2171" s="237"/>
      <c r="C2171" s="238"/>
      <c r="D2171" s="239"/>
      <c r="E2171" s="240"/>
      <c r="F2171" s="240"/>
      <c r="G2171" s="240"/>
      <c r="H2171" s="241">
        <f t="shared" si="252"/>
        <v>0</v>
      </c>
      <c r="I2171" s="242"/>
      <c r="J2171" s="243"/>
      <c r="K2171" s="243"/>
      <c r="L2171" s="244">
        <v>0.1</v>
      </c>
      <c r="M2171" s="244">
        <f t="shared" si="253"/>
        <v>0</v>
      </c>
      <c r="N2171" s="244"/>
      <c r="O2171" s="244"/>
      <c r="P2171" s="244"/>
      <c r="Q2171" s="245">
        <f t="shared" si="254"/>
        <v>0</v>
      </c>
      <c r="R2171" s="245">
        <f t="shared" si="255"/>
        <v>0</v>
      </c>
      <c r="S2171" s="246">
        <v>0.5</v>
      </c>
      <c r="T2171" s="245">
        <f t="shared" si="256"/>
        <v>0</v>
      </c>
      <c r="U2171" s="245">
        <f t="shared" si="257"/>
        <v>0</v>
      </c>
      <c r="V2171" s="247"/>
    </row>
    <row r="2172" spans="1:22" ht="15.75" x14ac:dyDescent="0.25">
      <c r="A2172" s="236"/>
      <c r="B2172" s="237"/>
      <c r="C2172" s="238"/>
      <c r="D2172" s="239"/>
      <c r="E2172" s="240"/>
      <c r="F2172" s="240"/>
      <c r="G2172" s="240"/>
      <c r="H2172" s="241">
        <f t="shared" si="252"/>
        <v>0</v>
      </c>
      <c r="I2172" s="242"/>
      <c r="J2172" s="243"/>
      <c r="K2172" s="243"/>
      <c r="L2172" s="244">
        <v>0.1</v>
      </c>
      <c r="M2172" s="244">
        <f t="shared" si="253"/>
        <v>0</v>
      </c>
      <c r="N2172" s="244"/>
      <c r="O2172" s="244"/>
      <c r="P2172" s="244"/>
      <c r="Q2172" s="245">
        <f t="shared" si="254"/>
        <v>0</v>
      </c>
      <c r="R2172" s="245">
        <f t="shared" si="255"/>
        <v>0</v>
      </c>
      <c r="S2172" s="246">
        <v>0.5</v>
      </c>
      <c r="T2172" s="245">
        <f t="shared" si="256"/>
        <v>0</v>
      </c>
      <c r="U2172" s="245">
        <f t="shared" si="257"/>
        <v>0</v>
      </c>
      <c r="V2172" s="247"/>
    </row>
    <row r="2173" spans="1:22" ht="15.75" x14ac:dyDescent="0.25">
      <c r="A2173" s="236"/>
      <c r="B2173" s="237"/>
      <c r="C2173" s="238"/>
      <c r="D2173" s="239"/>
      <c r="E2173" s="240"/>
      <c r="F2173" s="240"/>
      <c r="G2173" s="240"/>
      <c r="H2173" s="241">
        <f t="shared" ref="H2173:H2236" si="258">+E2173+F2173+G2173</f>
        <v>0</v>
      </c>
      <c r="I2173" s="242"/>
      <c r="J2173" s="243"/>
      <c r="K2173" s="243"/>
      <c r="L2173" s="244">
        <v>0.1</v>
      </c>
      <c r="M2173" s="244">
        <f t="shared" ref="M2173:M2236" si="259">+L2173*C2173</f>
        <v>0</v>
      </c>
      <c r="N2173" s="244"/>
      <c r="O2173" s="244"/>
      <c r="P2173" s="244"/>
      <c r="Q2173" s="245">
        <f t="shared" ref="Q2173:Q2236" si="260">+N2173+O2173+P2173</f>
        <v>0</v>
      </c>
      <c r="R2173" s="245">
        <f t="shared" ref="R2173:R2236" si="261">IF(+Q2173-H2173&lt;=0,0,Q2173-H2173)</f>
        <v>0</v>
      </c>
      <c r="S2173" s="246">
        <v>0.5</v>
      </c>
      <c r="T2173" s="245">
        <f t="shared" ref="T2173:T2236" si="262">+(R2173*C2173)*S2173</f>
        <v>0</v>
      </c>
      <c r="U2173" s="245">
        <f t="shared" ref="U2173:U2236" si="263">+J2173+M2173+T2173</f>
        <v>0</v>
      </c>
      <c r="V2173" s="247"/>
    </row>
    <row r="2174" spans="1:22" ht="15.75" x14ac:dyDescent="0.25">
      <c r="A2174" s="236"/>
      <c r="B2174" s="237"/>
      <c r="C2174" s="238"/>
      <c r="D2174" s="239"/>
      <c r="E2174" s="240"/>
      <c r="F2174" s="240"/>
      <c r="G2174" s="240"/>
      <c r="H2174" s="241">
        <f t="shared" si="258"/>
        <v>0</v>
      </c>
      <c r="I2174" s="242"/>
      <c r="J2174" s="243"/>
      <c r="K2174" s="243"/>
      <c r="L2174" s="244">
        <v>0.1</v>
      </c>
      <c r="M2174" s="244">
        <f t="shared" si="259"/>
        <v>0</v>
      </c>
      <c r="N2174" s="244"/>
      <c r="O2174" s="244"/>
      <c r="P2174" s="244"/>
      <c r="Q2174" s="245">
        <f t="shared" si="260"/>
        <v>0</v>
      </c>
      <c r="R2174" s="245">
        <f t="shared" si="261"/>
        <v>0</v>
      </c>
      <c r="S2174" s="246">
        <v>0.5</v>
      </c>
      <c r="T2174" s="245">
        <f t="shared" si="262"/>
        <v>0</v>
      </c>
      <c r="U2174" s="245">
        <f t="shared" si="263"/>
        <v>0</v>
      </c>
      <c r="V2174" s="247"/>
    </row>
    <row r="2175" spans="1:22" ht="15.75" x14ac:dyDescent="0.25">
      <c r="A2175" s="236"/>
      <c r="B2175" s="237"/>
      <c r="C2175" s="238"/>
      <c r="D2175" s="239"/>
      <c r="E2175" s="240"/>
      <c r="F2175" s="240"/>
      <c r="G2175" s="240"/>
      <c r="H2175" s="241">
        <f t="shared" si="258"/>
        <v>0</v>
      </c>
      <c r="I2175" s="242"/>
      <c r="J2175" s="243"/>
      <c r="K2175" s="243"/>
      <c r="L2175" s="244">
        <v>0.1</v>
      </c>
      <c r="M2175" s="244">
        <f t="shared" si="259"/>
        <v>0</v>
      </c>
      <c r="N2175" s="244"/>
      <c r="O2175" s="244"/>
      <c r="P2175" s="244"/>
      <c r="Q2175" s="245">
        <f t="shared" si="260"/>
        <v>0</v>
      </c>
      <c r="R2175" s="245">
        <f t="shared" si="261"/>
        <v>0</v>
      </c>
      <c r="S2175" s="246">
        <v>0.5</v>
      </c>
      <c r="T2175" s="245">
        <f t="shared" si="262"/>
        <v>0</v>
      </c>
      <c r="U2175" s="245">
        <f t="shared" si="263"/>
        <v>0</v>
      </c>
      <c r="V2175" s="247"/>
    </row>
    <row r="2176" spans="1:22" ht="15.75" x14ac:dyDescent="0.25">
      <c r="A2176" s="236"/>
      <c r="B2176" s="237"/>
      <c r="C2176" s="238"/>
      <c r="D2176" s="239"/>
      <c r="E2176" s="240"/>
      <c r="F2176" s="240"/>
      <c r="G2176" s="240"/>
      <c r="H2176" s="241">
        <f t="shared" si="258"/>
        <v>0</v>
      </c>
      <c r="I2176" s="242"/>
      <c r="J2176" s="243"/>
      <c r="K2176" s="243"/>
      <c r="L2176" s="244">
        <v>0.1</v>
      </c>
      <c r="M2176" s="244">
        <f t="shared" si="259"/>
        <v>0</v>
      </c>
      <c r="N2176" s="244"/>
      <c r="O2176" s="244"/>
      <c r="P2176" s="244"/>
      <c r="Q2176" s="245">
        <f t="shared" si="260"/>
        <v>0</v>
      </c>
      <c r="R2176" s="245">
        <f t="shared" si="261"/>
        <v>0</v>
      </c>
      <c r="S2176" s="246">
        <v>0.5</v>
      </c>
      <c r="T2176" s="245">
        <f t="shared" si="262"/>
        <v>0</v>
      </c>
      <c r="U2176" s="245">
        <f t="shared" si="263"/>
        <v>0</v>
      </c>
      <c r="V2176" s="247"/>
    </row>
    <row r="2177" spans="1:22" ht="15.75" x14ac:dyDescent="0.25">
      <c r="A2177" s="236"/>
      <c r="B2177" s="237"/>
      <c r="C2177" s="238"/>
      <c r="D2177" s="239"/>
      <c r="E2177" s="240"/>
      <c r="F2177" s="240"/>
      <c r="G2177" s="240"/>
      <c r="H2177" s="241">
        <f t="shared" si="258"/>
        <v>0</v>
      </c>
      <c r="I2177" s="242"/>
      <c r="J2177" s="243"/>
      <c r="K2177" s="243"/>
      <c r="L2177" s="244">
        <v>0.1</v>
      </c>
      <c r="M2177" s="244">
        <f t="shared" si="259"/>
        <v>0</v>
      </c>
      <c r="N2177" s="244"/>
      <c r="O2177" s="244"/>
      <c r="P2177" s="244"/>
      <c r="Q2177" s="245">
        <f t="shared" si="260"/>
        <v>0</v>
      </c>
      <c r="R2177" s="245">
        <f t="shared" si="261"/>
        <v>0</v>
      </c>
      <c r="S2177" s="246">
        <v>0.5</v>
      </c>
      <c r="T2177" s="245">
        <f t="shared" si="262"/>
        <v>0</v>
      </c>
      <c r="U2177" s="245">
        <f t="shared" si="263"/>
        <v>0</v>
      </c>
      <c r="V2177" s="247"/>
    </row>
    <row r="2178" spans="1:22" ht="15.75" x14ac:dyDescent="0.25">
      <c r="A2178" s="236"/>
      <c r="B2178" s="237"/>
      <c r="C2178" s="238"/>
      <c r="D2178" s="239"/>
      <c r="E2178" s="240"/>
      <c r="F2178" s="240"/>
      <c r="G2178" s="240"/>
      <c r="H2178" s="241">
        <f t="shared" si="258"/>
        <v>0</v>
      </c>
      <c r="I2178" s="242"/>
      <c r="J2178" s="243"/>
      <c r="K2178" s="243"/>
      <c r="L2178" s="244">
        <v>0.1</v>
      </c>
      <c r="M2178" s="244">
        <f t="shared" si="259"/>
        <v>0</v>
      </c>
      <c r="N2178" s="244"/>
      <c r="O2178" s="244"/>
      <c r="P2178" s="244"/>
      <c r="Q2178" s="245">
        <f t="shared" si="260"/>
        <v>0</v>
      </c>
      <c r="R2178" s="245">
        <f t="shared" si="261"/>
        <v>0</v>
      </c>
      <c r="S2178" s="246">
        <v>0.5</v>
      </c>
      <c r="T2178" s="245">
        <f t="shared" si="262"/>
        <v>0</v>
      </c>
      <c r="U2178" s="245">
        <f t="shared" si="263"/>
        <v>0</v>
      </c>
      <c r="V2178" s="247"/>
    </row>
    <row r="2179" spans="1:22" ht="15.75" x14ac:dyDescent="0.25">
      <c r="A2179" s="236"/>
      <c r="B2179" s="237"/>
      <c r="C2179" s="238"/>
      <c r="D2179" s="239"/>
      <c r="E2179" s="240"/>
      <c r="F2179" s="240"/>
      <c r="G2179" s="240"/>
      <c r="H2179" s="241">
        <f t="shared" si="258"/>
        <v>0</v>
      </c>
      <c r="I2179" s="242"/>
      <c r="J2179" s="243"/>
      <c r="K2179" s="243"/>
      <c r="L2179" s="244">
        <v>0.1</v>
      </c>
      <c r="M2179" s="244">
        <f t="shared" si="259"/>
        <v>0</v>
      </c>
      <c r="N2179" s="244"/>
      <c r="O2179" s="244"/>
      <c r="P2179" s="244"/>
      <c r="Q2179" s="245">
        <f t="shared" si="260"/>
        <v>0</v>
      </c>
      <c r="R2179" s="245">
        <f t="shared" si="261"/>
        <v>0</v>
      </c>
      <c r="S2179" s="246">
        <v>0.5</v>
      </c>
      <c r="T2179" s="245">
        <f t="shared" si="262"/>
        <v>0</v>
      </c>
      <c r="U2179" s="245">
        <f t="shared" si="263"/>
        <v>0</v>
      </c>
      <c r="V2179" s="247"/>
    </row>
    <row r="2180" spans="1:22" ht="15.75" x14ac:dyDescent="0.25">
      <c r="A2180" s="236"/>
      <c r="B2180" s="237"/>
      <c r="C2180" s="238"/>
      <c r="D2180" s="239"/>
      <c r="E2180" s="240"/>
      <c r="F2180" s="240"/>
      <c r="G2180" s="240"/>
      <c r="H2180" s="241">
        <f t="shared" si="258"/>
        <v>0</v>
      </c>
      <c r="I2180" s="242"/>
      <c r="J2180" s="243"/>
      <c r="K2180" s="243"/>
      <c r="L2180" s="244">
        <v>0.1</v>
      </c>
      <c r="M2180" s="244">
        <f t="shared" si="259"/>
        <v>0</v>
      </c>
      <c r="N2180" s="244"/>
      <c r="O2180" s="244"/>
      <c r="P2180" s="244"/>
      <c r="Q2180" s="245">
        <f t="shared" si="260"/>
        <v>0</v>
      </c>
      <c r="R2180" s="245">
        <f t="shared" si="261"/>
        <v>0</v>
      </c>
      <c r="S2180" s="246">
        <v>0.5</v>
      </c>
      <c r="T2180" s="245">
        <f t="shared" si="262"/>
        <v>0</v>
      </c>
      <c r="U2180" s="245">
        <f t="shared" si="263"/>
        <v>0</v>
      </c>
      <c r="V2180" s="247"/>
    </row>
    <row r="2181" spans="1:22" ht="15.75" x14ac:dyDescent="0.25">
      <c r="A2181" s="236"/>
      <c r="B2181" s="237"/>
      <c r="C2181" s="238"/>
      <c r="D2181" s="239"/>
      <c r="E2181" s="240"/>
      <c r="F2181" s="240"/>
      <c r="G2181" s="240"/>
      <c r="H2181" s="241">
        <f t="shared" si="258"/>
        <v>0</v>
      </c>
      <c r="I2181" s="242"/>
      <c r="J2181" s="243"/>
      <c r="K2181" s="243"/>
      <c r="L2181" s="244">
        <v>0.1</v>
      </c>
      <c r="M2181" s="244">
        <f t="shared" si="259"/>
        <v>0</v>
      </c>
      <c r="N2181" s="244"/>
      <c r="O2181" s="244"/>
      <c r="P2181" s="244"/>
      <c r="Q2181" s="245">
        <f t="shared" si="260"/>
        <v>0</v>
      </c>
      <c r="R2181" s="245">
        <f t="shared" si="261"/>
        <v>0</v>
      </c>
      <c r="S2181" s="246">
        <v>0.5</v>
      </c>
      <c r="T2181" s="245">
        <f t="shared" si="262"/>
        <v>0</v>
      </c>
      <c r="U2181" s="245">
        <f t="shared" si="263"/>
        <v>0</v>
      </c>
      <c r="V2181" s="247"/>
    </row>
    <row r="2182" spans="1:22" ht="15.75" x14ac:dyDescent="0.25">
      <c r="A2182" s="236"/>
      <c r="B2182" s="237"/>
      <c r="C2182" s="238"/>
      <c r="D2182" s="239"/>
      <c r="E2182" s="240"/>
      <c r="F2182" s="240"/>
      <c r="G2182" s="240"/>
      <c r="H2182" s="241">
        <f t="shared" si="258"/>
        <v>0</v>
      </c>
      <c r="I2182" s="242"/>
      <c r="J2182" s="243"/>
      <c r="K2182" s="243"/>
      <c r="L2182" s="244">
        <v>0.1</v>
      </c>
      <c r="M2182" s="244">
        <f t="shared" si="259"/>
        <v>0</v>
      </c>
      <c r="N2182" s="244"/>
      <c r="O2182" s="244"/>
      <c r="P2182" s="244"/>
      <c r="Q2182" s="245">
        <f t="shared" si="260"/>
        <v>0</v>
      </c>
      <c r="R2182" s="245">
        <f t="shared" si="261"/>
        <v>0</v>
      </c>
      <c r="S2182" s="246">
        <v>0.5</v>
      </c>
      <c r="T2182" s="245">
        <f t="shared" si="262"/>
        <v>0</v>
      </c>
      <c r="U2182" s="245">
        <f t="shared" si="263"/>
        <v>0</v>
      </c>
      <c r="V2182" s="247"/>
    </row>
    <row r="2183" spans="1:22" ht="15.75" x14ac:dyDescent="0.25">
      <c r="A2183" s="236"/>
      <c r="B2183" s="237"/>
      <c r="C2183" s="238"/>
      <c r="D2183" s="239"/>
      <c r="E2183" s="240"/>
      <c r="F2183" s="240"/>
      <c r="G2183" s="240"/>
      <c r="H2183" s="241">
        <f t="shared" si="258"/>
        <v>0</v>
      </c>
      <c r="I2183" s="242"/>
      <c r="J2183" s="243"/>
      <c r="K2183" s="243"/>
      <c r="L2183" s="244">
        <v>0.1</v>
      </c>
      <c r="M2183" s="244">
        <f t="shared" si="259"/>
        <v>0</v>
      </c>
      <c r="N2183" s="244"/>
      <c r="O2183" s="244"/>
      <c r="P2183" s="244"/>
      <c r="Q2183" s="245">
        <f t="shared" si="260"/>
        <v>0</v>
      </c>
      <c r="R2183" s="245">
        <f t="shared" si="261"/>
        <v>0</v>
      </c>
      <c r="S2183" s="246">
        <v>0.5</v>
      </c>
      <c r="T2183" s="245">
        <f t="shared" si="262"/>
        <v>0</v>
      </c>
      <c r="U2183" s="245">
        <f t="shared" si="263"/>
        <v>0</v>
      </c>
      <c r="V2183" s="247"/>
    </row>
    <row r="2184" spans="1:22" ht="15.75" x14ac:dyDescent="0.25">
      <c r="A2184" s="236"/>
      <c r="B2184" s="237"/>
      <c r="C2184" s="238"/>
      <c r="D2184" s="239"/>
      <c r="E2184" s="240"/>
      <c r="F2184" s="240"/>
      <c r="G2184" s="240"/>
      <c r="H2184" s="241">
        <f t="shared" si="258"/>
        <v>0</v>
      </c>
      <c r="I2184" s="242"/>
      <c r="J2184" s="243"/>
      <c r="K2184" s="243"/>
      <c r="L2184" s="244">
        <v>0.1</v>
      </c>
      <c r="M2184" s="244">
        <f t="shared" si="259"/>
        <v>0</v>
      </c>
      <c r="N2184" s="244"/>
      <c r="O2184" s="244"/>
      <c r="P2184" s="244"/>
      <c r="Q2184" s="245">
        <f t="shared" si="260"/>
        <v>0</v>
      </c>
      <c r="R2184" s="245">
        <f t="shared" si="261"/>
        <v>0</v>
      </c>
      <c r="S2184" s="246">
        <v>0.5</v>
      </c>
      <c r="T2184" s="245">
        <f t="shared" si="262"/>
        <v>0</v>
      </c>
      <c r="U2184" s="245">
        <f t="shared" si="263"/>
        <v>0</v>
      </c>
      <c r="V2184" s="247"/>
    </row>
    <row r="2185" spans="1:22" ht="15.75" x14ac:dyDescent="0.25">
      <c r="A2185" s="236"/>
      <c r="B2185" s="237"/>
      <c r="C2185" s="238"/>
      <c r="D2185" s="239"/>
      <c r="E2185" s="240"/>
      <c r="F2185" s="240"/>
      <c r="G2185" s="240"/>
      <c r="H2185" s="241">
        <f t="shared" si="258"/>
        <v>0</v>
      </c>
      <c r="I2185" s="242"/>
      <c r="J2185" s="243"/>
      <c r="K2185" s="243"/>
      <c r="L2185" s="244">
        <v>0.1</v>
      </c>
      <c r="M2185" s="244">
        <f t="shared" si="259"/>
        <v>0</v>
      </c>
      <c r="N2185" s="244"/>
      <c r="O2185" s="244"/>
      <c r="P2185" s="244"/>
      <c r="Q2185" s="245">
        <f t="shared" si="260"/>
        <v>0</v>
      </c>
      <c r="R2185" s="245">
        <f t="shared" si="261"/>
        <v>0</v>
      </c>
      <c r="S2185" s="246">
        <v>0.5</v>
      </c>
      <c r="T2185" s="245">
        <f t="shared" si="262"/>
        <v>0</v>
      </c>
      <c r="U2185" s="245">
        <f t="shared" si="263"/>
        <v>0</v>
      </c>
      <c r="V2185" s="247"/>
    </row>
    <row r="2186" spans="1:22" ht="15.75" x14ac:dyDescent="0.25">
      <c r="A2186" s="236"/>
      <c r="B2186" s="237"/>
      <c r="C2186" s="238"/>
      <c r="D2186" s="239"/>
      <c r="E2186" s="240"/>
      <c r="F2186" s="240"/>
      <c r="G2186" s="240"/>
      <c r="H2186" s="241">
        <f t="shared" si="258"/>
        <v>0</v>
      </c>
      <c r="I2186" s="242"/>
      <c r="J2186" s="243"/>
      <c r="K2186" s="243"/>
      <c r="L2186" s="244">
        <v>0.1</v>
      </c>
      <c r="M2186" s="244">
        <f t="shared" si="259"/>
        <v>0</v>
      </c>
      <c r="N2186" s="244"/>
      <c r="O2186" s="244"/>
      <c r="P2186" s="244"/>
      <c r="Q2186" s="245">
        <f t="shared" si="260"/>
        <v>0</v>
      </c>
      <c r="R2186" s="245">
        <f t="shared" si="261"/>
        <v>0</v>
      </c>
      <c r="S2186" s="246">
        <v>0.5</v>
      </c>
      <c r="T2186" s="245">
        <f t="shared" si="262"/>
        <v>0</v>
      </c>
      <c r="U2186" s="245">
        <f t="shared" si="263"/>
        <v>0</v>
      </c>
      <c r="V2186" s="247"/>
    </row>
    <row r="2187" spans="1:22" ht="15.75" x14ac:dyDescent="0.25">
      <c r="A2187" s="236"/>
      <c r="B2187" s="237"/>
      <c r="C2187" s="238"/>
      <c r="D2187" s="239"/>
      <c r="E2187" s="240"/>
      <c r="F2187" s="240"/>
      <c r="G2187" s="240"/>
      <c r="H2187" s="241">
        <f t="shared" si="258"/>
        <v>0</v>
      </c>
      <c r="I2187" s="242"/>
      <c r="J2187" s="243"/>
      <c r="K2187" s="243"/>
      <c r="L2187" s="244">
        <v>0.1</v>
      </c>
      <c r="M2187" s="244">
        <f t="shared" si="259"/>
        <v>0</v>
      </c>
      <c r="N2187" s="244"/>
      <c r="O2187" s="244"/>
      <c r="P2187" s="244"/>
      <c r="Q2187" s="245">
        <f t="shared" si="260"/>
        <v>0</v>
      </c>
      <c r="R2187" s="245">
        <f t="shared" si="261"/>
        <v>0</v>
      </c>
      <c r="S2187" s="246">
        <v>0.5</v>
      </c>
      <c r="T2187" s="245">
        <f t="shared" si="262"/>
        <v>0</v>
      </c>
      <c r="U2187" s="245">
        <f t="shared" si="263"/>
        <v>0</v>
      </c>
      <c r="V2187" s="247"/>
    </row>
    <row r="2188" spans="1:22" ht="15.75" x14ac:dyDescent="0.25">
      <c r="A2188" s="236"/>
      <c r="B2188" s="237"/>
      <c r="C2188" s="238"/>
      <c r="D2188" s="239"/>
      <c r="E2188" s="240"/>
      <c r="F2188" s="240"/>
      <c r="G2188" s="240"/>
      <c r="H2188" s="241">
        <f t="shared" si="258"/>
        <v>0</v>
      </c>
      <c r="I2188" s="242"/>
      <c r="J2188" s="243"/>
      <c r="K2188" s="243"/>
      <c r="L2188" s="244">
        <v>0.1</v>
      </c>
      <c r="M2188" s="244">
        <f t="shared" si="259"/>
        <v>0</v>
      </c>
      <c r="N2188" s="244"/>
      <c r="O2188" s="244"/>
      <c r="P2188" s="244"/>
      <c r="Q2188" s="245">
        <f t="shared" si="260"/>
        <v>0</v>
      </c>
      <c r="R2188" s="245">
        <f t="shared" si="261"/>
        <v>0</v>
      </c>
      <c r="S2188" s="246">
        <v>0.5</v>
      </c>
      <c r="T2188" s="245">
        <f t="shared" si="262"/>
        <v>0</v>
      </c>
      <c r="U2188" s="245">
        <f t="shared" si="263"/>
        <v>0</v>
      </c>
      <c r="V2188" s="247"/>
    </row>
    <row r="2189" spans="1:22" ht="15.75" x14ac:dyDescent="0.25">
      <c r="A2189" s="236"/>
      <c r="B2189" s="237"/>
      <c r="C2189" s="238"/>
      <c r="D2189" s="239"/>
      <c r="E2189" s="240"/>
      <c r="F2189" s="240"/>
      <c r="G2189" s="240"/>
      <c r="H2189" s="241">
        <f t="shared" si="258"/>
        <v>0</v>
      </c>
      <c r="I2189" s="242"/>
      <c r="J2189" s="243"/>
      <c r="K2189" s="243"/>
      <c r="L2189" s="244">
        <v>0.1</v>
      </c>
      <c r="M2189" s="244">
        <f t="shared" si="259"/>
        <v>0</v>
      </c>
      <c r="N2189" s="244"/>
      <c r="O2189" s="244"/>
      <c r="P2189" s="244"/>
      <c r="Q2189" s="245">
        <f t="shared" si="260"/>
        <v>0</v>
      </c>
      <c r="R2189" s="245">
        <f t="shared" si="261"/>
        <v>0</v>
      </c>
      <c r="S2189" s="246">
        <v>0.5</v>
      </c>
      <c r="T2189" s="245">
        <f t="shared" si="262"/>
        <v>0</v>
      </c>
      <c r="U2189" s="245">
        <f t="shared" si="263"/>
        <v>0</v>
      </c>
      <c r="V2189" s="247"/>
    </row>
    <row r="2190" spans="1:22" ht="15.75" x14ac:dyDescent="0.25">
      <c r="A2190" s="236"/>
      <c r="B2190" s="237"/>
      <c r="C2190" s="238"/>
      <c r="D2190" s="239"/>
      <c r="E2190" s="240"/>
      <c r="F2190" s="240"/>
      <c r="G2190" s="240"/>
      <c r="H2190" s="241">
        <f t="shared" si="258"/>
        <v>0</v>
      </c>
      <c r="I2190" s="242"/>
      <c r="J2190" s="243"/>
      <c r="K2190" s="243"/>
      <c r="L2190" s="244">
        <v>0.1</v>
      </c>
      <c r="M2190" s="244">
        <f t="shared" si="259"/>
        <v>0</v>
      </c>
      <c r="N2190" s="244"/>
      <c r="O2190" s="244"/>
      <c r="P2190" s="244"/>
      <c r="Q2190" s="245">
        <f t="shared" si="260"/>
        <v>0</v>
      </c>
      <c r="R2190" s="245">
        <f t="shared" si="261"/>
        <v>0</v>
      </c>
      <c r="S2190" s="246">
        <v>0.5</v>
      </c>
      <c r="T2190" s="245">
        <f t="shared" si="262"/>
        <v>0</v>
      </c>
      <c r="U2190" s="245">
        <f t="shared" si="263"/>
        <v>0</v>
      </c>
      <c r="V2190" s="247"/>
    </row>
    <row r="2191" spans="1:22" ht="15.75" x14ac:dyDescent="0.25">
      <c r="A2191" s="236"/>
      <c r="B2191" s="237"/>
      <c r="C2191" s="238"/>
      <c r="D2191" s="239"/>
      <c r="E2191" s="240"/>
      <c r="F2191" s="240"/>
      <c r="G2191" s="240"/>
      <c r="H2191" s="241">
        <f t="shared" si="258"/>
        <v>0</v>
      </c>
      <c r="I2191" s="242"/>
      <c r="J2191" s="243"/>
      <c r="K2191" s="243"/>
      <c r="L2191" s="244">
        <v>0.1</v>
      </c>
      <c r="M2191" s="244">
        <f t="shared" si="259"/>
        <v>0</v>
      </c>
      <c r="N2191" s="244"/>
      <c r="O2191" s="244"/>
      <c r="P2191" s="244"/>
      <c r="Q2191" s="245">
        <f t="shared" si="260"/>
        <v>0</v>
      </c>
      <c r="R2191" s="245">
        <f t="shared" si="261"/>
        <v>0</v>
      </c>
      <c r="S2191" s="246">
        <v>0.5</v>
      </c>
      <c r="T2191" s="245">
        <f t="shared" si="262"/>
        <v>0</v>
      </c>
      <c r="U2191" s="245">
        <f t="shared" si="263"/>
        <v>0</v>
      </c>
      <c r="V2191" s="247"/>
    </row>
    <row r="2192" spans="1:22" ht="15.75" x14ac:dyDescent="0.25">
      <c r="A2192" s="236"/>
      <c r="B2192" s="237"/>
      <c r="C2192" s="238"/>
      <c r="D2192" s="239"/>
      <c r="E2192" s="240"/>
      <c r="F2192" s="240"/>
      <c r="G2192" s="240"/>
      <c r="H2192" s="241">
        <f t="shared" si="258"/>
        <v>0</v>
      </c>
      <c r="I2192" s="242"/>
      <c r="J2192" s="243"/>
      <c r="K2192" s="243"/>
      <c r="L2192" s="244">
        <v>0.1</v>
      </c>
      <c r="M2192" s="244">
        <f t="shared" si="259"/>
        <v>0</v>
      </c>
      <c r="N2192" s="244"/>
      <c r="O2192" s="244"/>
      <c r="P2192" s="244"/>
      <c r="Q2192" s="245">
        <f t="shared" si="260"/>
        <v>0</v>
      </c>
      <c r="R2192" s="245">
        <f t="shared" si="261"/>
        <v>0</v>
      </c>
      <c r="S2192" s="246">
        <v>0.5</v>
      </c>
      <c r="T2192" s="245">
        <f t="shared" si="262"/>
        <v>0</v>
      </c>
      <c r="U2192" s="245">
        <f t="shared" si="263"/>
        <v>0</v>
      </c>
      <c r="V2192" s="247"/>
    </row>
    <row r="2193" spans="1:22" ht="15.75" x14ac:dyDescent="0.25">
      <c r="A2193" s="236"/>
      <c r="B2193" s="237"/>
      <c r="C2193" s="238"/>
      <c r="D2193" s="239"/>
      <c r="E2193" s="240"/>
      <c r="F2193" s="240"/>
      <c r="G2193" s="240"/>
      <c r="H2193" s="241">
        <f t="shared" si="258"/>
        <v>0</v>
      </c>
      <c r="I2193" s="242"/>
      <c r="J2193" s="243"/>
      <c r="K2193" s="243"/>
      <c r="L2193" s="244">
        <v>0.1</v>
      </c>
      <c r="M2193" s="244">
        <f t="shared" si="259"/>
        <v>0</v>
      </c>
      <c r="N2193" s="244"/>
      <c r="O2193" s="244"/>
      <c r="P2193" s="244"/>
      <c r="Q2193" s="245">
        <f t="shared" si="260"/>
        <v>0</v>
      </c>
      <c r="R2193" s="245">
        <f t="shared" si="261"/>
        <v>0</v>
      </c>
      <c r="S2193" s="246">
        <v>0.5</v>
      </c>
      <c r="T2193" s="245">
        <f t="shared" si="262"/>
        <v>0</v>
      </c>
      <c r="U2193" s="245">
        <f t="shared" si="263"/>
        <v>0</v>
      </c>
      <c r="V2193" s="247"/>
    </row>
    <row r="2194" spans="1:22" ht="15.75" x14ac:dyDescent="0.25">
      <c r="A2194" s="236"/>
      <c r="B2194" s="237"/>
      <c r="C2194" s="238"/>
      <c r="D2194" s="239"/>
      <c r="E2194" s="240"/>
      <c r="F2194" s="240"/>
      <c r="G2194" s="240"/>
      <c r="H2194" s="241">
        <f t="shared" si="258"/>
        <v>0</v>
      </c>
      <c r="I2194" s="242"/>
      <c r="J2194" s="243"/>
      <c r="K2194" s="243"/>
      <c r="L2194" s="244">
        <v>0.1</v>
      </c>
      <c r="M2194" s="244">
        <f t="shared" si="259"/>
        <v>0</v>
      </c>
      <c r="N2194" s="244"/>
      <c r="O2194" s="244"/>
      <c r="P2194" s="244"/>
      <c r="Q2194" s="245">
        <f t="shared" si="260"/>
        <v>0</v>
      </c>
      <c r="R2194" s="245">
        <f t="shared" si="261"/>
        <v>0</v>
      </c>
      <c r="S2194" s="246">
        <v>0.5</v>
      </c>
      <c r="T2194" s="245">
        <f t="shared" si="262"/>
        <v>0</v>
      </c>
      <c r="U2194" s="245">
        <f t="shared" si="263"/>
        <v>0</v>
      </c>
      <c r="V2194" s="247"/>
    </row>
    <row r="2195" spans="1:22" ht="15.75" x14ac:dyDescent="0.25">
      <c r="A2195" s="236"/>
      <c r="B2195" s="237"/>
      <c r="C2195" s="238"/>
      <c r="D2195" s="239"/>
      <c r="E2195" s="240"/>
      <c r="F2195" s="240"/>
      <c r="G2195" s="240"/>
      <c r="H2195" s="241">
        <f t="shared" si="258"/>
        <v>0</v>
      </c>
      <c r="I2195" s="242"/>
      <c r="J2195" s="243"/>
      <c r="K2195" s="243"/>
      <c r="L2195" s="244">
        <v>0.1</v>
      </c>
      <c r="M2195" s="244">
        <f t="shared" si="259"/>
        <v>0</v>
      </c>
      <c r="N2195" s="244"/>
      <c r="O2195" s="244"/>
      <c r="P2195" s="244"/>
      <c r="Q2195" s="245">
        <f t="shared" si="260"/>
        <v>0</v>
      </c>
      <c r="R2195" s="245">
        <f t="shared" si="261"/>
        <v>0</v>
      </c>
      <c r="S2195" s="246">
        <v>0.5</v>
      </c>
      <c r="T2195" s="245">
        <f t="shared" si="262"/>
        <v>0</v>
      </c>
      <c r="U2195" s="245">
        <f t="shared" si="263"/>
        <v>0</v>
      </c>
      <c r="V2195" s="247"/>
    </row>
    <row r="2196" spans="1:22" ht="15.75" x14ac:dyDescent="0.25">
      <c r="A2196" s="236"/>
      <c r="B2196" s="237"/>
      <c r="C2196" s="238"/>
      <c r="D2196" s="239"/>
      <c r="E2196" s="240"/>
      <c r="F2196" s="240"/>
      <c r="G2196" s="240"/>
      <c r="H2196" s="241">
        <f t="shared" si="258"/>
        <v>0</v>
      </c>
      <c r="I2196" s="242"/>
      <c r="J2196" s="243"/>
      <c r="K2196" s="243"/>
      <c r="L2196" s="244">
        <v>0.1</v>
      </c>
      <c r="M2196" s="244">
        <f t="shared" si="259"/>
        <v>0</v>
      </c>
      <c r="N2196" s="244"/>
      <c r="O2196" s="244"/>
      <c r="P2196" s="244"/>
      <c r="Q2196" s="245">
        <f t="shared" si="260"/>
        <v>0</v>
      </c>
      <c r="R2196" s="245">
        <f t="shared" si="261"/>
        <v>0</v>
      </c>
      <c r="S2196" s="246">
        <v>0.5</v>
      </c>
      <c r="T2196" s="245">
        <f t="shared" si="262"/>
        <v>0</v>
      </c>
      <c r="U2196" s="245">
        <f t="shared" si="263"/>
        <v>0</v>
      </c>
      <c r="V2196" s="247"/>
    </row>
    <row r="2197" spans="1:22" ht="15.75" x14ac:dyDescent="0.25">
      <c r="A2197" s="236"/>
      <c r="B2197" s="237"/>
      <c r="C2197" s="238"/>
      <c r="D2197" s="239"/>
      <c r="E2197" s="240"/>
      <c r="F2197" s="240"/>
      <c r="G2197" s="240"/>
      <c r="H2197" s="241">
        <f t="shared" si="258"/>
        <v>0</v>
      </c>
      <c r="I2197" s="242"/>
      <c r="J2197" s="243"/>
      <c r="K2197" s="243"/>
      <c r="L2197" s="244">
        <v>0.1</v>
      </c>
      <c r="M2197" s="244">
        <f t="shared" si="259"/>
        <v>0</v>
      </c>
      <c r="N2197" s="244"/>
      <c r="O2197" s="244"/>
      <c r="P2197" s="244"/>
      <c r="Q2197" s="245">
        <f t="shared" si="260"/>
        <v>0</v>
      </c>
      <c r="R2197" s="245">
        <f t="shared" si="261"/>
        <v>0</v>
      </c>
      <c r="S2197" s="246">
        <v>0.5</v>
      </c>
      <c r="T2197" s="245">
        <f t="shared" si="262"/>
        <v>0</v>
      </c>
      <c r="U2197" s="245">
        <f t="shared" si="263"/>
        <v>0</v>
      </c>
      <c r="V2197" s="247"/>
    </row>
    <row r="2198" spans="1:22" ht="15.75" x14ac:dyDescent="0.25">
      <c r="A2198" s="236"/>
      <c r="B2198" s="237"/>
      <c r="C2198" s="238"/>
      <c r="D2198" s="239"/>
      <c r="E2198" s="240"/>
      <c r="F2198" s="240"/>
      <c r="G2198" s="240"/>
      <c r="H2198" s="241">
        <f t="shared" si="258"/>
        <v>0</v>
      </c>
      <c r="I2198" s="242"/>
      <c r="J2198" s="243"/>
      <c r="K2198" s="243"/>
      <c r="L2198" s="244">
        <v>0.1</v>
      </c>
      <c r="M2198" s="244">
        <f t="shared" si="259"/>
        <v>0</v>
      </c>
      <c r="N2198" s="244"/>
      <c r="O2198" s="244"/>
      <c r="P2198" s="244"/>
      <c r="Q2198" s="245">
        <f t="shared" si="260"/>
        <v>0</v>
      </c>
      <c r="R2198" s="245">
        <f t="shared" si="261"/>
        <v>0</v>
      </c>
      <c r="S2198" s="246">
        <v>0.5</v>
      </c>
      <c r="T2198" s="245">
        <f t="shared" si="262"/>
        <v>0</v>
      </c>
      <c r="U2198" s="245">
        <f t="shared" si="263"/>
        <v>0</v>
      </c>
      <c r="V2198" s="247"/>
    </row>
    <row r="2199" spans="1:22" ht="15.75" x14ac:dyDescent="0.25">
      <c r="A2199" s="236"/>
      <c r="B2199" s="237"/>
      <c r="C2199" s="238"/>
      <c r="D2199" s="239"/>
      <c r="E2199" s="240"/>
      <c r="F2199" s="240"/>
      <c r="G2199" s="240"/>
      <c r="H2199" s="241">
        <f t="shared" si="258"/>
        <v>0</v>
      </c>
      <c r="I2199" s="242"/>
      <c r="J2199" s="243"/>
      <c r="K2199" s="243"/>
      <c r="L2199" s="244">
        <v>0.1</v>
      </c>
      <c r="M2199" s="244">
        <f t="shared" si="259"/>
        <v>0</v>
      </c>
      <c r="N2199" s="244"/>
      <c r="O2199" s="244"/>
      <c r="P2199" s="244"/>
      <c r="Q2199" s="245">
        <f t="shared" si="260"/>
        <v>0</v>
      </c>
      <c r="R2199" s="245">
        <f t="shared" si="261"/>
        <v>0</v>
      </c>
      <c r="S2199" s="246">
        <v>0.5</v>
      </c>
      <c r="T2199" s="245">
        <f t="shared" si="262"/>
        <v>0</v>
      </c>
      <c r="U2199" s="245">
        <f t="shared" si="263"/>
        <v>0</v>
      </c>
      <c r="V2199" s="247"/>
    </row>
    <row r="2200" spans="1:22" ht="15.75" x14ac:dyDescent="0.25">
      <c r="A2200" s="236"/>
      <c r="B2200" s="237"/>
      <c r="C2200" s="238"/>
      <c r="D2200" s="239"/>
      <c r="E2200" s="240"/>
      <c r="F2200" s="240"/>
      <c r="G2200" s="240"/>
      <c r="H2200" s="241">
        <f t="shared" si="258"/>
        <v>0</v>
      </c>
      <c r="I2200" s="242"/>
      <c r="J2200" s="243"/>
      <c r="K2200" s="243"/>
      <c r="L2200" s="244">
        <v>0.1</v>
      </c>
      <c r="M2200" s="244">
        <f t="shared" si="259"/>
        <v>0</v>
      </c>
      <c r="N2200" s="244"/>
      <c r="O2200" s="244"/>
      <c r="P2200" s="244"/>
      <c r="Q2200" s="245">
        <f t="shared" si="260"/>
        <v>0</v>
      </c>
      <c r="R2200" s="245">
        <f t="shared" si="261"/>
        <v>0</v>
      </c>
      <c r="S2200" s="246">
        <v>0.5</v>
      </c>
      <c r="T2200" s="245">
        <f t="shared" si="262"/>
        <v>0</v>
      </c>
      <c r="U2200" s="245">
        <f t="shared" si="263"/>
        <v>0</v>
      </c>
      <c r="V2200" s="247"/>
    </row>
    <row r="2201" spans="1:22" ht="15.75" x14ac:dyDescent="0.25">
      <c r="A2201" s="236"/>
      <c r="B2201" s="237"/>
      <c r="C2201" s="238"/>
      <c r="D2201" s="239"/>
      <c r="E2201" s="240"/>
      <c r="F2201" s="240"/>
      <c r="G2201" s="240"/>
      <c r="H2201" s="241">
        <f t="shared" si="258"/>
        <v>0</v>
      </c>
      <c r="I2201" s="242"/>
      <c r="J2201" s="243"/>
      <c r="K2201" s="243"/>
      <c r="L2201" s="244">
        <v>0.1</v>
      </c>
      <c r="M2201" s="244">
        <f t="shared" si="259"/>
        <v>0</v>
      </c>
      <c r="N2201" s="244"/>
      <c r="O2201" s="244"/>
      <c r="P2201" s="244"/>
      <c r="Q2201" s="245">
        <f t="shared" si="260"/>
        <v>0</v>
      </c>
      <c r="R2201" s="245">
        <f t="shared" si="261"/>
        <v>0</v>
      </c>
      <c r="S2201" s="246">
        <v>0.5</v>
      </c>
      <c r="T2201" s="245">
        <f t="shared" si="262"/>
        <v>0</v>
      </c>
      <c r="U2201" s="245">
        <f t="shared" si="263"/>
        <v>0</v>
      </c>
      <c r="V2201" s="247"/>
    </row>
    <row r="2202" spans="1:22" ht="15.75" x14ac:dyDescent="0.25">
      <c r="A2202" s="236"/>
      <c r="B2202" s="237"/>
      <c r="C2202" s="238"/>
      <c r="D2202" s="239"/>
      <c r="E2202" s="240"/>
      <c r="F2202" s="240"/>
      <c r="G2202" s="240"/>
      <c r="H2202" s="241">
        <f t="shared" si="258"/>
        <v>0</v>
      </c>
      <c r="I2202" s="242"/>
      <c r="J2202" s="243"/>
      <c r="K2202" s="243"/>
      <c r="L2202" s="244">
        <v>0.1</v>
      </c>
      <c r="M2202" s="244">
        <f t="shared" si="259"/>
        <v>0</v>
      </c>
      <c r="N2202" s="244"/>
      <c r="O2202" s="244"/>
      <c r="P2202" s="244"/>
      <c r="Q2202" s="245">
        <f t="shared" si="260"/>
        <v>0</v>
      </c>
      <c r="R2202" s="245">
        <f t="shared" si="261"/>
        <v>0</v>
      </c>
      <c r="S2202" s="246">
        <v>0.5</v>
      </c>
      <c r="T2202" s="245">
        <f t="shared" si="262"/>
        <v>0</v>
      </c>
      <c r="U2202" s="245">
        <f t="shared" si="263"/>
        <v>0</v>
      </c>
      <c r="V2202" s="247"/>
    </row>
    <row r="2203" spans="1:22" ht="15.75" x14ac:dyDescent="0.25">
      <c r="A2203" s="236"/>
      <c r="B2203" s="237"/>
      <c r="C2203" s="238"/>
      <c r="D2203" s="239"/>
      <c r="E2203" s="240"/>
      <c r="F2203" s="240"/>
      <c r="G2203" s="240"/>
      <c r="H2203" s="241">
        <f t="shared" si="258"/>
        <v>0</v>
      </c>
      <c r="I2203" s="242"/>
      <c r="J2203" s="243"/>
      <c r="K2203" s="243"/>
      <c r="L2203" s="244">
        <v>0.1</v>
      </c>
      <c r="M2203" s="244">
        <f t="shared" si="259"/>
        <v>0</v>
      </c>
      <c r="N2203" s="244"/>
      <c r="O2203" s="244"/>
      <c r="P2203" s="244"/>
      <c r="Q2203" s="245">
        <f t="shared" si="260"/>
        <v>0</v>
      </c>
      <c r="R2203" s="245">
        <f t="shared" si="261"/>
        <v>0</v>
      </c>
      <c r="S2203" s="246">
        <v>0.5</v>
      </c>
      <c r="T2203" s="245">
        <f t="shared" si="262"/>
        <v>0</v>
      </c>
      <c r="U2203" s="245">
        <f t="shared" si="263"/>
        <v>0</v>
      </c>
      <c r="V2203" s="247"/>
    </row>
    <row r="2204" spans="1:22" ht="15.75" x14ac:dyDescent="0.25">
      <c r="A2204" s="236"/>
      <c r="B2204" s="237"/>
      <c r="C2204" s="238"/>
      <c r="D2204" s="239"/>
      <c r="E2204" s="240"/>
      <c r="F2204" s="240"/>
      <c r="G2204" s="240"/>
      <c r="H2204" s="241">
        <f t="shared" si="258"/>
        <v>0</v>
      </c>
      <c r="I2204" s="242"/>
      <c r="J2204" s="243"/>
      <c r="K2204" s="243"/>
      <c r="L2204" s="244">
        <v>0.1</v>
      </c>
      <c r="M2204" s="244">
        <f t="shared" si="259"/>
        <v>0</v>
      </c>
      <c r="N2204" s="244"/>
      <c r="O2204" s="244"/>
      <c r="P2204" s="244"/>
      <c r="Q2204" s="245">
        <f t="shared" si="260"/>
        <v>0</v>
      </c>
      <c r="R2204" s="245">
        <f t="shared" si="261"/>
        <v>0</v>
      </c>
      <c r="S2204" s="246">
        <v>0.5</v>
      </c>
      <c r="T2204" s="245">
        <f t="shared" si="262"/>
        <v>0</v>
      </c>
      <c r="U2204" s="245">
        <f t="shared" si="263"/>
        <v>0</v>
      </c>
      <c r="V2204" s="247"/>
    </row>
    <row r="2205" spans="1:22" ht="15.75" x14ac:dyDescent="0.25">
      <c r="A2205" s="236"/>
      <c r="B2205" s="237"/>
      <c r="C2205" s="238"/>
      <c r="D2205" s="239"/>
      <c r="E2205" s="240"/>
      <c r="F2205" s="240"/>
      <c r="G2205" s="240"/>
      <c r="H2205" s="241">
        <f t="shared" si="258"/>
        <v>0</v>
      </c>
      <c r="I2205" s="242"/>
      <c r="J2205" s="243"/>
      <c r="K2205" s="243"/>
      <c r="L2205" s="244">
        <v>0.1</v>
      </c>
      <c r="M2205" s="244">
        <f t="shared" si="259"/>
        <v>0</v>
      </c>
      <c r="N2205" s="244"/>
      <c r="O2205" s="244"/>
      <c r="P2205" s="244"/>
      <c r="Q2205" s="245">
        <f t="shared" si="260"/>
        <v>0</v>
      </c>
      <c r="R2205" s="245">
        <f t="shared" si="261"/>
        <v>0</v>
      </c>
      <c r="S2205" s="246">
        <v>0.5</v>
      </c>
      <c r="T2205" s="245">
        <f t="shared" si="262"/>
        <v>0</v>
      </c>
      <c r="U2205" s="245">
        <f t="shared" si="263"/>
        <v>0</v>
      </c>
      <c r="V2205" s="247"/>
    </row>
    <row r="2206" spans="1:22" ht="15.75" x14ac:dyDescent="0.25">
      <c r="A2206" s="236"/>
      <c r="B2206" s="237"/>
      <c r="C2206" s="238"/>
      <c r="D2206" s="239"/>
      <c r="E2206" s="240"/>
      <c r="F2206" s="240"/>
      <c r="G2206" s="240"/>
      <c r="H2206" s="241">
        <f t="shared" si="258"/>
        <v>0</v>
      </c>
      <c r="I2206" s="242"/>
      <c r="J2206" s="243"/>
      <c r="K2206" s="243"/>
      <c r="L2206" s="244">
        <v>0.1</v>
      </c>
      <c r="M2206" s="244">
        <f t="shared" si="259"/>
        <v>0</v>
      </c>
      <c r="N2206" s="244"/>
      <c r="O2206" s="244"/>
      <c r="P2206" s="244"/>
      <c r="Q2206" s="245">
        <f t="shared" si="260"/>
        <v>0</v>
      </c>
      <c r="R2206" s="245">
        <f t="shared" si="261"/>
        <v>0</v>
      </c>
      <c r="S2206" s="246">
        <v>0.5</v>
      </c>
      <c r="T2206" s="245">
        <f t="shared" si="262"/>
        <v>0</v>
      </c>
      <c r="U2206" s="245">
        <f t="shared" si="263"/>
        <v>0</v>
      </c>
      <c r="V2206" s="247"/>
    </row>
    <row r="2207" spans="1:22" ht="15.75" x14ac:dyDescent="0.25">
      <c r="A2207" s="236"/>
      <c r="B2207" s="237"/>
      <c r="C2207" s="238"/>
      <c r="D2207" s="239"/>
      <c r="E2207" s="240"/>
      <c r="F2207" s="240"/>
      <c r="G2207" s="240"/>
      <c r="H2207" s="241">
        <f t="shared" si="258"/>
        <v>0</v>
      </c>
      <c r="I2207" s="242"/>
      <c r="J2207" s="243"/>
      <c r="K2207" s="243"/>
      <c r="L2207" s="244">
        <v>0.1</v>
      </c>
      <c r="M2207" s="244">
        <f t="shared" si="259"/>
        <v>0</v>
      </c>
      <c r="N2207" s="244"/>
      <c r="O2207" s="244"/>
      <c r="P2207" s="244"/>
      <c r="Q2207" s="245">
        <f t="shared" si="260"/>
        <v>0</v>
      </c>
      <c r="R2207" s="245">
        <f t="shared" si="261"/>
        <v>0</v>
      </c>
      <c r="S2207" s="246">
        <v>0.5</v>
      </c>
      <c r="T2207" s="245">
        <f t="shared" si="262"/>
        <v>0</v>
      </c>
      <c r="U2207" s="245">
        <f t="shared" si="263"/>
        <v>0</v>
      </c>
      <c r="V2207" s="247"/>
    </row>
    <row r="2208" spans="1:22" ht="15.75" x14ac:dyDescent="0.25">
      <c r="A2208" s="236"/>
      <c r="B2208" s="237"/>
      <c r="C2208" s="238"/>
      <c r="D2208" s="239"/>
      <c r="E2208" s="240"/>
      <c r="F2208" s="240"/>
      <c r="G2208" s="240"/>
      <c r="H2208" s="241">
        <f t="shared" si="258"/>
        <v>0</v>
      </c>
      <c r="I2208" s="242"/>
      <c r="J2208" s="243"/>
      <c r="K2208" s="243"/>
      <c r="L2208" s="244">
        <v>0.1</v>
      </c>
      <c r="M2208" s="244">
        <f t="shared" si="259"/>
        <v>0</v>
      </c>
      <c r="N2208" s="244"/>
      <c r="O2208" s="244"/>
      <c r="P2208" s="244"/>
      <c r="Q2208" s="245">
        <f t="shared" si="260"/>
        <v>0</v>
      </c>
      <c r="R2208" s="245">
        <f t="shared" si="261"/>
        <v>0</v>
      </c>
      <c r="S2208" s="246">
        <v>0.5</v>
      </c>
      <c r="T2208" s="245">
        <f t="shared" si="262"/>
        <v>0</v>
      </c>
      <c r="U2208" s="245">
        <f t="shared" si="263"/>
        <v>0</v>
      </c>
      <c r="V2208" s="247"/>
    </row>
    <row r="2209" spans="1:22" ht="15.75" x14ac:dyDescent="0.25">
      <c r="A2209" s="236"/>
      <c r="B2209" s="237"/>
      <c r="C2209" s="238"/>
      <c r="D2209" s="239"/>
      <c r="E2209" s="240"/>
      <c r="F2209" s="240"/>
      <c r="G2209" s="240"/>
      <c r="H2209" s="241">
        <f t="shared" si="258"/>
        <v>0</v>
      </c>
      <c r="I2209" s="242"/>
      <c r="J2209" s="243"/>
      <c r="K2209" s="243"/>
      <c r="L2209" s="244">
        <v>0.1</v>
      </c>
      <c r="M2209" s="244">
        <f t="shared" si="259"/>
        <v>0</v>
      </c>
      <c r="N2209" s="244"/>
      <c r="O2209" s="244"/>
      <c r="P2209" s="244"/>
      <c r="Q2209" s="245">
        <f t="shared" si="260"/>
        <v>0</v>
      </c>
      <c r="R2209" s="245">
        <f t="shared" si="261"/>
        <v>0</v>
      </c>
      <c r="S2209" s="246">
        <v>0.5</v>
      </c>
      <c r="T2209" s="245">
        <f t="shared" si="262"/>
        <v>0</v>
      </c>
      <c r="U2209" s="245">
        <f t="shared" si="263"/>
        <v>0</v>
      </c>
      <c r="V2209" s="247"/>
    </row>
    <row r="2210" spans="1:22" ht="15.75" x14ac:dyDescent="0.25">
      <c r="A2210" s="236"/>
      <c r="B2210" s="237"/>
      <c r="C2210" s="238"/>
      <c r="D2210" s="239"/>
      <c r="E2210" s="240"/>
      <c r="F2210" s="240"/>
      <c r="G2210" s="240"/>
      <c r="H2210" s="241">
        <f t="shared" si="258"/>
        <v>0</v>
      </c>
      <c r="I2210" s="242"/>
      <c r="J2210" s="243"/>
      <c r="K2210" s="243"/>
      <c r="L2210" s="244">
        <v>0.1</v>
      </c>
      <c r="M2210" s="244">
        <f t="shared" si="259"/>
        <v>0</v>
      </c>
      <c r="N2210" s="244"/>
      <c r="O2210" s="244"/>
      <c r="P2210" s="244"/>
      <c r="Q2210" s="245">
        <f t="shared" si="260"/>
        <v>0</v>
      </c>
      <c r="R2210" s="245">
        <f t="shared" si="261"/>
        <v>0</v>
      </c>
      <c r="S2210" s="246">
        <v>0.5</v>
      </c>
      <c r="T2210" s="245">
        <f t="shared" si="262"/>
        <v>0</v>
      </c>
      <c r="U2210" s="245">
        <f t="shared" si="263"/>
        <v>0</v>
      </c>
      <c r="V2210" s="247"/>
    </row>
    <row r="2211" spans="1:22" ht="15.75" x14ac:dyDescent="0.25">
      <c r="A2211" s="236"/>
      <c r="B2211" s="237"/>
      <c r="C2211" s="238"/>
      <c r="D2211" s="239"/>
      <c r="E2211" s="240"/>
      <c r="F2211" s="240"/>
      <c r="G2211" s="240"/>
      <c r="H2211" s="241">
        <f t="shared" si="258"/>
        <v>0</v>
      </c>
      <c r="I2211" s="242"/>
      <c r="J2211" s="243"/>
      <c r="K2211" s="243"/>
      <c r="L2211" s="244">
        <v>0.1</v>
      </c>
      <c r="M2211" s="244">
        <f t="shared" si="259"/>
        <v>0</v>
      </c>
      <c r="N2211" s="244"/>
      <c r="O2211" s="244"/>
      <c r="P2211" s="244"/>
      <c r="Q2211" s="245">
        <f t="shared" si="260"/>
        <v>0</v>
      </c>
      <c r="R2211" s="245">
        <f t="shared" si="261"/>
        <v>0</v>
      </c>
      <c r="S2211" s="246">
        <v>0.5</v>
      </c>
      <c r="T2211" s="245">
        <f t="shared" si="262"/>
        <v>0</v>
      </c>
      <c r="U2211" s="245">
        <f t="shared" si="263"/>
        <v>0</v>
      </c>
      <c r="V2211" s="247"/>
    </row>
    <row r="2212" spans="1:22" ht="15.75" x14ac:dyDescent="0.25">
      <c r="A2212" s="236"/>
      <c r="B2212" s="237"/>
      <c r="C2212" s="238"/>
      <c r="D2212" s="239"/>
      <c r="E2212" s="240"/>
      <c r="F2212" s="240"/>
      <c r="G2212" s="240"/>
      <c r="H2212" s="241">
        <f t="shared" si="258"/>
        <v>0</v>
      </c>
      <c r="I2212" s="242"/>
      <c r="J2212" s="243"/>
      <c r="K2212" s="243"/>
      <c r="L2212" s="244">
        <v>0.1</v>
      </c>
      <c r="M2212" s="244">
        <f t="shared" si="259"/>
        <v>0</v>
      </c>
      <c r="N2212" s="244"/>
      <c r="O2212" s="244"/>
      <c r="P2212" s="244"/>
      <c r="Q2212" s="245">
        <f t="shared" si="260"/>
        <v>0</v>
      </c>
      <c r="R2212" s="245">
        <f t="shared" si="261"/>
        <v>0</v>
      </c>
      <c r="S2212" s="246">
        <v>0.5</v>
      </c>
      <c r="T2212" s="245">
        <f t="shared" si="262"/>
        <v>0</v>
      </c>
      <c r="U2212" s="245">
        <f t="shared" si="263"/>
        <v>0</v>
      </c>
      <c r="V2212" s="247"/>
    </row>
    <row r="2213" spans="1:22" ht="15.75" x14ac:dyDescent="0.25">
      <c r="A2213" s="236"/>
      <c r="B2213" s="237"/>
      <c r="C2213" s="238"/>
      <c r="D2213" s="239"/>
      <c r="E2213" s="240"/>
      <c r="F2213" s="240"/>
      <c r="G2213" s="240"/>
      <c r="H2213" s="241">
        <f t="shared" si="258"/>
        <v>0</v>
      </c>
      <c r="I2213" s="242"/>
      <c r="J2213" s="243"/>
      <c r="K2213" s="243"/>
      <c r="L2213" s="244">
        <v>0.1</v>
      </c>
      <c r="M2213" s="244">
        <f t="shared" si="259"/>
        <v>0</v>
      </c>
      <c r="N2213" s="244"/>
      <c r="O2213" s="244"/>
      <c r="P2213" s="244"/>
      <c r="Q2213" s="245">
        <f t="shared" si="260"/>
        <v>0</v>
      </c>
      <c r="R2213" s="245">
        <f t="shared" si="261"/>
        <v>0</v>
      </c>
      <c r="S2213" s="246">
        <v>0.5</v>
      </c>
      <c r="T2213" s="245">
        <f t="shared" si="262"/>
        <v>0</v>
      </c>
      <c r="U2213" s="245">
        <f t="shared" si="263"/>
        <v>0</v>
      </c>
      <c r="V2213" s="247"/>
    </row>
    <row r="2214" spans="1:22" ht="15.75" x14ac:dyDescent="0.25">
      <c r="A2214" s="236"/>
      <c r="B2214" s="237"/>
      <c r="C2214" s="238"/>
      <c r="D2214" s="239"/>
      <c r="E2214" s="240"/>
      <c r="F2214" s="240"/>
      <c r="G2214" s="240"/>
      <c r="H2214" s="241">
        <f t="shared" si="258"/>
        <v>0</v>
      </c>
      <c r="I2214" s="242"/>
      <c r="J2214" s="243"/>
      <c r="K2214" s="243"/>
      <c r="L2214" s="244">
        <v>0.1</v>
      </c>
      <c r="M2214" s="244">
        <f t="shared" si="259"/>
        <v>0</v>
      </c>
      <c r="N2214" s="244"/>
      <c r="O2214" s="244"/>
      <c r="P2214" s="244"/>
      <c r="Q2214" s="245">
        <f t="shared" si="260"/>
        <v>0</v>
      </c>
      <c r="R2214" s="245">
        <f t="shared" si="261"/>
        <v>0</v>
      </c>
      <c r="S2214" s="246">
        <v>0.5</v>
      </c>
      <c r="T2214" s="245">
        <f t="shared" si="262"/>
        <v>0</v>
      </c>
      <c r="U2214" s="245">
        <f t="shared" si="263"/>
        <v>0</v>
      </c>
      <c r="V2214" s="247"/>
    </row>
    <row r="2215" spans="1:22" ht="15.75" x14ac:dyDescent="0.25">
      <c r="A2215" s="236"/>
      <c r="B2215" s="237"/>
      <c r="C2215" s="238"/>
      <c r="D2215" s="239"/>
      <c r="E2215" s="240"/>
      <c r="F2215" s="240"/>
      <c r="G2215" s="240"/>
      <c r="H2215" s="241">
        <f t="shared" si="258"/>
        <v>0</v>
      </c>
      <c r="I2215" s="242"/>
      <c r="J2215" s="243"/>
      <c r="K2215" s="243"/>
      <c r="L2215" s="244">
        <v>0.1</v>
      </c>
      <c r="M2215" s="244">
        <f t="shared" si="259"/>
        <v>0</v>
      </c>
      <c r="N2215" s="244"/>
      <c r="O2215" s="244"/>
      <c r="P2215" s="244"/>
      <c r="Q2215" s="245">
        <f t="shared" si="260"/>
        <v>0</v>
      </c>
      <c r="R2215" s="245">
        <f t="shared" si="261"/>
        <v>0</v>
      </c>
      <c r="S2215" s="246">
        <v>0.5</v>
      </c>
      <c r="T2215" s="245">
        <f t="shared" si="262"/>
        <v>0</v>
      </c>
      <c r="U2215" s="245">
        <f t="shared" si="263"/>
        <v>0</v>
      </c>
      <c r="V2215" s="247"/>
    </row>
    <row r="2216" spans="1:22" ht="15.75" x14ac:dyDescent="0.25">
      <c r="A2216" s="236"/>
      <c r="B2216" s="237"/>
      <c r="C2216" s="238"/>
      <c r="D2216" s="239"/>
      <c r="E2216" s="240"/>
      <c r="F2216" s="240"/>
      <c r="G2216" s="240"/>
      <c r="H2216" s="241">
        <f t="shared" si="258"/>
        <v>0</v>
      </c>
      <c r="I2216" s="242"/>
      <c r="J2216" s="243"/>
      <c r="K2216" s="243"/>
      <c r="L2216" s="244">
        <v>0.1</v>
      </c>
      <c r="M2216" s="244">
        <f t="shared" si="259"/>
        <v>0</v>
      </c>
      <c r="N2216" s="244"/>
      <c r="O2216" s="244"/>
      <c r="P2216" s="244"/>
      <c r="Q2216" s="245">
        <f t="shared" si="260"/>
        <v>0</v>
      </c>
      <c r="R2216" s="245">
        <f t="shared" si="261"/>
        <v>0</v>
      </c>
      <c r="S2216" s="246">
        <v>0.5</v>
      </c>
      <c r="T2216" s="245">
        <f t="shared" si="262"/>
        <v>0</v>
      </c>
      <c r="U2216" s="245">
        <f t="shared" si="263"/>
        <v>0</v>
      </c>
      <c r="V2216" s="247"/>
    </row>
    <row r="2217" spans="1:22" ht="15.75" x14ac:dyDescent="0.25">
      <c r="A2217" s="236"/>
      <c r="B2217" s="237"/>
      <c r="C2217" s="238"/>
      <c r="D2217" s="239"/>
      <c r="E2217" s="240"/>
      <c r="F2217" s="240"/>
      <c r="G2217" s="240"/>
      <c r="H2217" s="241">
        <f t="shared" si="258"/>
        <v>0</v>
      </c>
      <c r="I2217" s="242"/>
      <c r="J2217" s="243"/>
      <c r="K2217" s="243"/>
      <c r="L2217" s="244">
        <v>0.1</v>
      </c>
      <c r="M2217" s="244">
        <f t="shared" si="259"/>
        <v>0</v>
      </c>
      <c r="N2217" s="244"/>
      <c r="O2217" s="244"/>
      <c r="P2217" s="244"/>
      <c r="Q2217" s="245">
        <f t="shared" si="260"/>
        <v>0</v>
      </c>
      <c r="R2217" s="245">
        <f t="shared" si="261"/>
        <v>0</v>
      </c>
      <c r="S2217" s="246">
        <v>0.5</v>
      </c>
      <c r="T2217" s="245">
        <f t="shared" si="262"/>
        <v>0</v>
      </c>
      <c r="U2217" s="245">
        <f t="shared" si="263"/>
        <v>0</v>
      </c>
      <c r="V2217" s="247"/>
    </row>
    <row r="2218" spans="1:22" ht="15.75" x14ac:dyDescent="0.25">
      <c r="A2218" s="236"/>
      <c r="B2218" s="237"/>
      <c r="C2218" s="238"/>
      <c r="D2218" s="239"/>
      <c r="E2218" s="240"/>
      <c r="F2218" s="240"/>
      <c r="G2218" s="240"/>
      <c r="H2218" s="241">
        <f t="shared" si="258"/>
        <v>0</v>
      </c>
      <c r="I2218" s="242"/>
      <c r="J2218" s="243"/>
      <c r="K2218" s="243"/>
      <c r="L2218" s="244">
        <v>0.1</v>
      </c>
      <c r="M2218" s="244">
        <f t="shared" si="259"/>
        <v>0</v>
      </c>
      <c r="N2218" s="244"/>
      <c r="O2218" s="244"/>
      <c r="P2218" s="244"/>
      <c r="Q2218" s="245">
        <f t="shared" si="260"/>
        <v>0</v>
      </c>
      <c r="R2218" s="245">
        <f t="shared" si="261"/>
        <v>0</v>
      </c>
      <c r="S2218" s="246">
        <v>0.5</v>
      </c>
      <c r="T2218" s="245">
        <f t="shared" si="262"/>
        <v>0</v>
      </c>
      <c r="U2218" s="245">
        <f t="shared" si="263"/>
        <v>0</v>
      </c>
      <c r="V2218" s="247"/>
    </row>
    <row r="2219" spans="1:22" ht="15.75" x14ac:dyDescent="0.25">
      <c r="A2219" s="236"/>
      <c r="B2219" s="237"/>
      <c r="C2219" s="238"/>
      <c r="D2219" s="239"/>
      <c r="E2219" s="240"/>
      <c r="F2219" s="240"/>
      <c r="G2219" s="240"/>
      <c r="H2219" s="241">
        <f t="shared" si="258"/>
        <v>0</v>
      </c>
      <c r="I2219" s="242"/>
      <c r="J2219" s="243"/>
      <c r="K2219" s="243"/>
      <c r="L2219" s="244">
        <v>0.1</v>
      </c>
      <c r="M2219" s="244">
        <f t="shared" si="259"/>
        <v>0</v>
      </c>
      <c r="N2219" s="244"/>
      <c r="O2219" s="244"/>
      <c r="P2219" s="244"/>
      <c r="Q2219" s="245">
        <f t="shared" si="260"/>
        <v>0</v>
      </c>
      <c r="R2219" s="245">
        <f t="shared" si="261"/>
        <v>0</v>
      </c>
      <c r="S2219" s="246">
        <v>0.5</v>
      </c>
      <c r="T2219" s="245">
        <f t="shared" si="262"/>
        <v>0</v>
      </c>
      <c r="U2219" s="245">
        <f t="shared" si="263"/>
        <v>0</v>
      </c>
      <c r="V2219" s="247"/>
    </row>
    <row r="2220" spans="1:22" ht="15.75" x14ac:dyDescent="0.25">
      <c r="A2220" s="236"/>
      <c r="B2220" s="237"/>
      <c r="C2220" s="238"/>
      <c r="D2220" s="239"/>
      <c r="E2220" s="240"/>
      <c r="F2220" s="240"/>
      <c r="G2220" s="240"/>
      <c r="H2220" s="241">
        <f t="shared" si="258"/>
        <v>0</v>
      </c>
      <c r="I2220" s="242"/>
      <c r="J2220" s="243"/>
      <c r="K2220" s="243"/>
      <c r="L2220" s="244">
        <v>0.1</v>
      </c>
      <c r="M2220" s="244">
        <f t="shared" si="259"/>
        <v>0</v>
      </c>
      <c r="N2220" s="244"/>
      <c r="O2220" s="244"/>
      <c r="P2220" s="244"/>
      <c r="Q2220" s="245">
        <f t="shared" si="260"/>
        <v>0</v>
      </c>
      <c r="R2220" s="245">
        <f t="shared" si="261"/>
        <v>0</v>
      </c>
      <c r="S2220" s="246">
        <v>0.5</v>
      </c>
      <c r="T2220" s="245">
        <f t="shared" si="262"/>
        <v>0</v>
      </c>
      <c r="U2220" s="245">
        <f t="shared" si="263"/>
        <v>0</v>
      </c>
      <c r="V2220" s="247"/>
    </row>
    <row r="2221" spans="1:22" ht="15.75" x14ac:dyDescent="0.25">
      <c r="A2221" s="236"/>
      <c r="B2221" s="237"/>
      <c r="C2221" s="238"/>
      <c r="D2221" s="239"/>
      <c r="E2221" s="240"/>
      <c r="F2221" s="240"/>
      <c r="G2221" s="240"/>
      <c r="H2221" s="241">
        <f t="shared" si="258"/>
        <v>0</v>
      </c>
      <c r="I2221" s="242"/>
      <c r="J2221" s="243"/>
      <c r="K2221" s="243"/>
      <c r="L2221" s="244">
        <v>0.1</v>
      </c>
      <c r="M2221" s="244">
        <f t="shared" si="259"/>
        <v>0</v>
      </c>
      <c r="N2221" s="244"/>
      <c r="O2221" s="244"/>
      <c r="P2221" s="244"/>
      <c r="Q2221" s="245">
        <f t="shared" si="260"/>
        <v>0</v>
      </c>
      <c r="R2221" s="245">
        <f t="shared" si="261"/>
        <v>0</v>
      </c>
      <c r="S2221" s="246">
        <v>0.5</v>
      </c>
      <c r="T2221" s="245">
        <f t="shared" si="262"/>
        <v>0</v>
      </c>
      <c r="U2221" s="245">
        <f t="shared" si="263"/>
        <v>0</v>
      </c>
      <c r="V2221" s="247"/>
    </row>
    <row r="2222" spans="1:22" ht="15.75" x14ac:dyDescent="0.25">
      <c r="A2222" s="236"/>
      <c r="B2222" s="237"/>
      <c r="C2222" s="238"/>
      <c r="D2222" s="239"/>
      <c r="E2222" s="240"/>
      <c r="F2222" s="240"/>
      <c r="G2222" s="240"/>
      <c r="H2222" s="241">
        <f t="shared" si="258"/>
        <v>0</v>
      </c>
      <c r="I2222" s="242"/>
      <c r="J2222" s="243"/>
      <c r="K2222" s="243"/>
      <c r="L2222" s="244">
        <v>0.1</v>
      </c>
      <c r="M2222" s="244">
        <f t="shared" si="259"/>
        <v>0</v>
      </c>
      <c r="N2222" s="244"/>
      <c r="O2222" s="244"/>
      <c r="P2222" s="244"/>
      <c r="Q2222" s="245">
        <f t="shared" si="260"/>
        <v>0</v>
      </c>
      <c r="R2222" s="245">
        <f t="shared" si="261"/>
        <v>0</v>
      </c>
      <c r="S2222" s="246">
        <v>0.5</v>
      </c>
      <c r="T2222" s="245">
        <f t="shared" si="262"/>
        <v>0</v>
      </c>
      <c r="U2222" s="245">
        <f t="shared" si="263"/>
        <v>0</v>
      </c>
      <c r="V2222" s="247"/>
    </row>
    <row r="2223" spans="1:22" ht="15.75" x14ac:dyDescent="0.25">
      <c r="A2223" s="236"/>
      <c r="B2223" s="237"/>
      <c r="C2223" s="238"/>
      <c r="D2223" s="239"/>
      <c r="E2223" s="240"/>
      <c r="F2223" s="240"/>
      <c r="G2223" s="240"/>
      <c r="H2223" s="241">
        <f t="shared" si="258"/>
        <v>0</v>
      </c>
      <c r="I2223" s="242"/>
      <c r="J2223" s="243"/>
      <c r="K2223" s="243"/>
      <c r="L2223" s="244">
        <v>0.1</v>
      </c>
      <c r="M2223" s="244">
        <f t="shared" si="259"/>
        <v>0</v>
      </c>
      <c r="N2223" s="244"/>
      <c r="O2223" s="244"/>
      <c r="P2223" s="244"/>
      <c r="Q2223" s="245">
        <f t="shared" si="260"/>
        <v>0</v>
      </c>
      <c r="R2223" s="245">
        <f t="shared" si="261"/>
        <v>0</v>
      </c>
      <c r="S2223" s="246">
        <v>0.5</v>
      </c>
      <c r="T2223" s="245">
        <f t="shared" si="262"/>
        <v>0</v>
      </c>
      <c r="U2223" s="245">
        <f t="shared" si="263"/>
        <v>0</v>
      </c>
      <c r="V2223" s="247"/>
    </row>
    <row r="2224" spans="1:22" ht="15.75" x14ac:dyDescent="0.25">
      <c r="A2224" s="236"/>
      <c r="B2224" s="237"/>
      <c r="C2224" s="238"/>
      <c r="D2224" s="239"/>
      <c r="E2224" s="240"/>
      <c r="F2224" s="240"/>
      <c r="G2224" s="240"/>
      <c r="H2224" s="241">
        <f t="shared" si="258"/>
        <v>0</v>
      </c>
      <c r="I2224" s="242"/>
      <c r="J2224" s="243"/>
      <c r="K2224" s="243"/>
      <c r="L2224" s="244">
        <v>0.1</v>
      </c>
      <c r="M2224" s="244">
        <f t="shared" si="259"/>
        <v>0</v>
      </c>
      <c r="N2224" s="244"/>
      <c r="O2224" s="244"/>
      <c r="P2224" s="244"/>
      <c r="Q2224" s="245">
        <f t="shared" si="260"/>
        <v>0</v>
      </c>
      <c r="R2224" s="245">
        <f t="shared" si="261"/>
        <v>0</v>
      </c>
      <c r="S2224" s="246">
        <v>0.5</v>
      </c>
      <c r="T2224" s="245">
        <f t="shared" si="262"/>
        <v>0</v>
      </c>
      <c r="U2224" s="245">
        <f t="shared" si="263"/>
        <v>0</v>
      </c>
      <c r="V2224" s="247"/>
    </row>
    <row r="2225" spans="1:22" ht="15.75" x14ac:dyDescent="0.25">
      <c r="A2225" s="236"/>
      <c r="B2225" s="237"/>
      <c r="C2225" s="238"/>
      <c r="D2225" s="239"/>
      <c r="E2225" s="240"/>
      <c r="F2225" s="240"/>
      <c r="G2225" s="240"/>
      <c r="H2225" s="241">
        <f t="shared" si="258"/>
        <v>0</v>
      </c>
      <c r="I2225" s="242"/>
      <c r="J2225" s="243"/>
      <c r="K2225" s="243"/>
      <c r="L2225" s="244">
        <v>0.1</v>
      </c>
      <c r="M2225" s="244">
        <f t="shared" si="259"/>
        <v>0</v>
      </c>
      <c r="N2225" s="244"/>
      <c r="O2225" s="244"/>
      <c r="P2225" s="244"/>
      <c r="Q2225" s="245">
        <f t="shared" si="260"/>
        <v>0</v>
      </c>
      <c r="R2225" s="245">
        <f t="shared" si="261"/>
        <v>0</v>
      </c>
      <c r="S2225" s="246">
        <v>0.5</v>
      </c>
      <c r="T2225" s="245">
        <f t="shared" si="262"/>
        <v>0</v>
      </c>
      <c r="U2225" s="245">
        <f t="shared" si="263"/>
        <v>0</v>
      </c>
      <c r="V2225" s="247"/>
    </row>
    <row r="2226" spans="1:22" ht="15.75" x14ac:dyDescent="0.25">
      <c r="A2226" s="236"/>
      <c r="B2226" s="237"/>
      <c r="C2226" s="238"/>
      <c r="D2226" s="239"/>
      <c r="E2226" s="240"/>
      <c r="F2226" s="240"/>
      <c r="G2226" s="240"/>
      <c r="H2226" s="241">
        <f t="shared" si="258"/>
        <v>0</v>
      </c>
      <c r="I2226" s="242"/>
      <c r="J2226" s="243"/>
      <c r="K2226" s="243"/>
      <c r="L2226" s="244">
        <v>0.1</v>
      </c>
      <c r="M2226" s="244">
        <f t="shared" si="259"/>
        <v>0</v>
      </c>
      <c r="N2226" s="244"/>
      <c r="O2226" s="244"/>
      <c r="P2226" s="244"/>
      <c r="Q2226" s="245">
        <f t="shared" si="260"/>
        <v>0</v>
      </c>
      <c r="R2226" s="245">
        <f t="shared" si="261"/>
        <v>0</v>
      </c>
      <c r="S2226" s="246">
        <v>0.5</v>
      </c>
      <c r="T2226" s="245">
        <f t="shared" si="262"/>
        <v>0</v>
      </c>
      <c r="U2226" s="245">
        <f t="shared" si="263"/>
        <v>0</v>
      </c>
      <c r="V2226" s="247"/>
    </row>
    <row r="2227" spans="1:22" ht="15.75" x14ac:dyDescent="0.25">
      <c r="A2227" s="236"/>
      <c r="B2227" s="237"/>
      <c r="C2227" s="238"/>
      <c r="D2227" s="239"/>
      <c r="E2227" s="240"/>
      <c r="F2227" s="240"/>
      <c r="G2227" s="240"/>
      <c r="H2227" s="241">
        <f t="shared" si="258"/>
        <v>0</v>
      </c>
      <c r="I2227" s="242"/>
      <c r="J2227" s="243"/>
      <c r="K2227" s="243"/>
      <c r="L2227" s="244">
        <v>0.1</v>
      </c>
      <c r="M2227" s="244">
        <f t="shared" si="259"/>
        <v>0</v>
      </c>
      <c r="N2227" s="244"/>
      <c r="O2227" s="244"/>
      <c r="P2227" s="244"/>
      <c r="Q2227" s="245">
        <f t="shared" si="260"/>
        <v>0</v>
      </c>
      <c r="R2227" s="245">
        <f t="shared" si="261"/>
        <v>0</v>
      </c>
      <c r="S2227" s="246">
        <v>0.5</v>
      </c>
      <c r="T2227" s="245">
        <f t="shared" si="262"/>
        <v>0</v>
      </c>
      <c r="U2227" s="245">
        <f t="shared" si="263"/>
        <v>0</v>
      </c>
      <c r="V2227" s="247"/>
    </row>
    <row r="2228" spans="1:22" ht="15.75" x14ac:dyDescent="0.25">
      <c r="A2228" s="236"/>
      <c r="B2228" s="237"/>
      <c r="C2228" s="238"/>
      <c r="D2228" s="239"/>
      <c r="E2228" s="240"/>
      <c r="F2228" s="240"/>
      <c r="G2228" s="240"/>
      <c r="H2228" s="241">
        <f t="shared" si="258"/>
        <v>0</v>
      </c>
      <c r="I2228" s="242"/>
      <c r="J2228" s="243"/>
      <c r="K2228" s="243"/>
      <c r="L2228" s="244">
        <v>0.1</v>
      </c>
      <c r="M2228" s="244">
        <f t="shared" si="259"/>
        <v>0</v>
      </c>
      <c r="N2228" s="244"/>
      <c r="O2228" s="244"/>
      <c r="P2228" s="244"/>
      <c r="Q2228" s="245">
        <f t="shared" si="260"/>
        <v>0</v>
      </c>
      <c r="R2228" s="245">
        <f t="shared" si="261"/>
        <v>0</v>
      </c>
      <c r="S2228" s="246">
        <v>0.5</v>
      </c>
      <c r="T2228" s="245">
        <f t="shared" si="262"/>
        <v>0</v>
      </c>
      <c r="U2228" s="245">
        <f t="shared" si="263"/>
        <v>0</v>
      </c>
      <c r="V2228" s="247"/>
    </row>
    <row r="2229" spans="1:22" ht="15.75" x14ac:dyDescent="0.25">
      <c r="A2229" s="236"/>
      <c r="B2229" s="237"/>
      <c r="C2229" s="238"/>
      <c r="D2229" s="239"/>
      <c r="E2229" s="240"/>
      <c r="F2229" s="240"/>
      <c r="G2229" s="240"/>
      <c r="H2229" s="241">
        <f t="shared" si="258"/>
        <v>0</v>
      </c>
      <c r="I2229" s="242"/>
      <c r="J2229" s="243"/>
      <c r="K2229" s="243"/>
      <c r="L2229" s="244">
        <v>0.1</v>
      </c>
      <c r="M2229" s="244">
        <f t="shared" si="259"/>
        <v>0</v>
      </c>
      <c r="N2229" s="244"/>
      <c r="O2229" s="244"/>
      <c r="P2229" s="244"/>
      <c r="Q2229" s="245">
        <f t="shared" si="260"/>
        <v>0</v>
      </c>
      <c r="R2229" s="245">
        <f t="shared" si="261"/>
        <v>0</v>
      </c>
      <c r="S2229" s="246">
        <v>0.5</v>
      </c>
      <c r="T2229" s="245">
        <f t="shared" si="262"/>
        <v>0</v>
      </c>
      <c r="U2229" s="245">
        <f t="shared" si="263"/>
        <v>0</v>
      </c>
      <c r="V2229" s="247"/>
    </row>
    <row r="2230" spans="1:22" ht="15.75" x14ac:dyDescent="0.25">
      <c r="A2230" s="236"/>
      <c r="B2230" s="237"/>
      <c r="C2230" s="238"/>
      <c r="D2230" s="239"/>
      <c r="E2230" s="240"/>
      <c r="F2230" s="240"/>
      <c r="G2230" s="240"/>
      <c r="H2230" s="241">
        <f t="shared" si="258"/>
        <v>0</v>
      </c>
      <c r="I2230" s="242"/>
      <c r="J2230" s="243"/>
      <c r="K2230" s="243"/>
      <c r="L2230" s="244">
        <v>0.1</v>
      </c>
      <c r="M2230" s="244">
        <f t="shared" si="259"/>
        <v>0</v>
      </c>
      <c r="N2230" s="244"/>
      <c r="O2230" s="244"/>
      <c r="P2230" s="244"/>
      <c r="Q2230" s="245">
        <f t="shared" si="260"/>
        <v>0</v>
      </c>
      <c r="R2230" s="245">
        <f t="shared" si="261"/>
        <v>0</v>
      </c>
      <c r="S2230" s="246">
        <v>0.5</v>
      </c>
      <c r="T2230" s="245">
        <f t="shared" si="262"/>
        <v>0</v>
      </c>
      <c r="U2230" s="245">
        <f t="shared" si="263"/>
        <v>0</v>
      </c>
      <c r="V2230" s="247"/>
    </row>
    <row r="2231" spans="1:22" ht="15.75" x14ac:dyDescent="0.25">
      <c r="A2231" s="236"/>
      <c r="B2231" s="237"/>
      <c r="C2231" s="238"/>
      <c r="D2231" s="239"/>
      <c r="E2231" s="240"/>
      <c r="F2231" s="240"/>
      <c r="G2231" s="240"/>
      <c r="H2231" s="241">
        <f t="shared" si="258"/>
        <v>0</v>
      </c>
      <c r="I2231" s="242"/>
      <c r="J2231" s="243"/>
      <c r="K2231" s="243"/>
      <c r="L2231" s="244">
        <v>0.1</v>
      </c>
      <c r="M2231" s="244">
        <f t="shared" si="259"/>
        <v>0</v>
      </c>
      <c r="N2231" s="244"/>
      <c r="O2231" s="244"/>
      <c r="P2231" s="244"/>
      <c r="Q2231" s="245">
        <f t="shared" si="260"/>
        <v>0</v>
      </c>
      <c r="R2231" s="245">
        <f t="shared" si="261"/>
        <v>0</v>
      </c>
      <c r="S2231" s="246">
        <v>0.5</v>
      </c>
      <c r="T2231" s="245">
        <f t="shared" si="262"/>
        <v>0</v>
      </c>
      <c r="U2231" s="245">
        <f t="shared" si="263"/>
        <v>0</v>
      </c>
      <c r="V2231" s="247"/>
    </row>
    <row r="2232" spans="1:22" ht="15.75" x14ac:dyDescent="0.25">
      <c r="A2232" s="236"/>
      <c r="B2232" s="237"/>
      <c r="C2232" s="238"/>
      <c r="D2232" s="239"/>
      <c r="E2232" s="240"/>
      <c r="F2232" s="240"/>
      <c r="G2232" s="240"/>
      <c r="H2232" s="241">
        <f t="shared" si="258"/>
        <v>0</v>
      </c>
      <c r="I2232" s="242"/>
      <c r="J2232" s="243"/>
      <c r="K2232" s="243"/>
      <c r="L2232" s="244">
        <v>0.1</v>
      </c>
      <c r="M2232" s="244">
        <f t="shared" si="259"/>
        <v>0</v>
      </c>
      <c r="N2232" s="244"/>
      <c r="O2232" s="244"/>
      <c r="P2232" s="244"/>
      <c r="Q2232" s="245">
        <f t="shared" si="260"/>
        <v>0</v>
      </c>
      <c r="R2232" s="245">
        <f t="shared" si="261"/>
        <v>0</v>
      </c>
      <c r="S2232" s="246">
        <v>0.5</v>
      </c>
      <c r="T2232" s="245">
        <f t="shared" si="262"/>
        <v>0</v>
      </c>
      <c r="U2232" s="245">
        <f t="shared" si="263"/>
        <v>0</v>
      </c>
      <c r="V2232" s="247"/>
    </row>
    <row r="2233" spans="1:22" ht="15.75" x14ac:dyDescent="0.25">
      <c r="A2233" s="236"/>
      <c r="B2233" s="237"/>
      <c r="C2233" s="238"/>
      <c r="D2233" s="239"/>
      <c r="E2233" s="240"/>
      <c r="F2233" s="240"/>
      <c r="G2233" s="240"/>
      <c r="H2233" s="241">
        <f t="shared" si="258"/>
        <v>0</v>
      </c>
      <c r="I2233" s="242"/>
      <c r="J2233" s="243"/>
      <c r="K2233" s="243"/>
      <c r="L2233" s="244">
        <v>0.1</v>
      </c>
      <c r="M2233" s="244">
        <f t="shared" si="259"/>
        <v>0</v>
      </c>
      <c r="N2233" s="244"/>
      <c r="O2233" s="244"/>
      <c r="P2233" s="244"/>
      <c r="Q2233" s="245">
        <f t="shared" si="260"/>
        <v>0</v>
      </c>
      <c r="R2233" s="245">
        <f t="shared" si="261"/>
        <v>0</v>
      </c>
      <c r="S2233" s="246">
        <v>0.5</v>
      </c>
      <c r="T2233" s="245">
        <f t="shared" si="262"/>
        <v>0</v>
      </c>
      <c r="U2233" s="245">
        <f t="shared" si="263"/>
        <v>0</v>
      </c>
      <c r="V2233" s="247"/>
    </row>
    <row r="2234" spans="1:22" ht="15.75" x14ac:dyDescent="0.25">
      <c r="A2234" s="236"/>
      <c r="B2234" s="237"/>
      <c r="C2234" s="238"/>
      <c r="D2234" s="239"/>
      <c r="E2234" s="240"/>
      <c r="F2234" s="240"/>
      <c r="G2234" s="240"/>
      <c r="H2234" s="241">
        <f t="shared" si="258"/>
        <v>0</v>
      </c>
      <c r="I2234" s="242"/>
      <c r="J2234" s="243"/>
      <c r="K2234" s="243"/>
      <c r="L2234" s="244">
        <v>0.1</v>
      </c>
      <c r="M2234" s="244">
        <f t="shared" si="259"/>
        <v>0</v>
      </c>
      <c r="N2234" s="244"/>
      <c r="O2234" s="244"/>
      <c r="P2234" s="244"/>
      <c r="Q2234" s="245">
        <f t="shared" si="260"/>
        <v>0</v>
      </c>
      <c r="R2234" s="245">
        <f t="shared" si="261"/>
        <v>0</v>
      </c>
      <c r="S2234" s="246">
        <v>0.5</v>
      </c>
      <c r="T2234" s="245">
        <f t="shared" si="262"/>
        <v>0</v>
      </c>
      <c r="U2234" s="245">
        <f t="shared" si="263"/>
        <v>0</v>
      </c>
      <c r="V2234" s="247"/>
    </row>
    <row r="2235" spans="1:22" ht="15.75" x14ac:dyDescent="0.25">
      <c r="A2235" s="236"/>
      <c r="B2235" s="237"/>
      <c r="C2235" s="238"/>
      <c r="D2235" s="239"/>
      <c r="E2235" s="240"/>
      <c r="F2235" s="240"/>
      <c r="G2235" s="240"/>
      <c r="H2235" s="241">
        <f t="shared" si="258"/>
        <v>0</v>
      </c>
      <c r="I2235" s="242"/>
      <c r="J2235" s="243"/>
      <c r="K2235" s="243"/>
      <c r="L2235" s="244">
        <v>0.1</v>
      </c>
      <c r="M2235" s="244">
        <f t="shared" si="259"/>
        <v>0</v>
      </c>
      <c r="N2235" s="244"/>
      <c r="O2235" s="244"/>
      <c r="P2235" s="244"/>
      <c r="Q2235" s="245">
        <f t="shared" si="260"/>
        <v>0</v>
      </c>
      <c r="R2235" s="245">
        <f t="shared" si="261"/>
        <v>0</v>
      </c>
      <c r="S2235" s="246">
        <v>0.5</v>
      </c>
      <c r="T2235" s="245">
        <f t="shared" si="262"/>
        <v>0</v>
      </c>
      <c r="U2235" s="245">
        <f t="shared" si="263"/>
        <v>0</v>
      </c>
      <c r="V2235" s="247"/>
    </row>
    <row r="2236" spans="1:22" ht="15.75" x14ac:dyDescent="0.25">
      <c r="A2236" s="236"/>
      <c r="B2236" s="237"/>
      <c r="C2236" s="238"/>
      <c r="D2236" s="239"/>
      <c r="E2236" s="240"/>
      <c r="F2236" s="240"/>
      <c r="G2236" s="240"/>
      <c r="H2236" s="241">
        <f t="shared" si="258"/>
        <v>0</v>
      </c>
      <c r="I2236" s="242"/>
      <c r="J2236" s="243"/>
      <c r="K2236" s="243"/>
      <c r="L2236" s="244">
        <v>0.1</v>
      </c>
      <c r="M2236" s="244">
        <f t="shared" si="259"/>
        <v>0</v>
      </c>
      <c r="N2236" s="244"/>
      <c r="O2236" s="244"/>
      <c r="P2236" s="244"/>
      <c r="Q2236" s="245">
        <f t="shared" si="260"/>
        <v>0</v>
      </c>
      <c r="R2236" s="245">
        <f t="shared" si="261"/>
        <v>0</v>
      </c>
      <c r="S2236" s="246">
        <v>0.5</v>
      </c>
      <c r="T2236" s="245">
        <f t="shared" si="262"/>
        <v>0</v>
      </c>
      <c r="U2236" s="245">
        <f t="shared" si="263"/>
        <v>0</v>
      </c>
      <c r="V2236" s="247"/>
    </row>
    <row r="2237" spans="1:22" ht="15.75" x14ac:dyDescent="0.25">
      <c r="A2237" s="236"/>
      <c r="B2237" s="237"/>
      <c r="C2237" s="238"/>
      <c r="D2237" s="239"/>
      <c r="E2237" s="240"/>
      <c r="F2237" s="240"/>
      <c r="G2237" s="240"/>
      <c r="H2237" s="241">
        <f t="shared" ref="H2237:H2300" si="264">+E2237+F2237+G2237</f>
        <v>0</v>
      </c>
      <c r="I2237" s="242"/>
      <c r="J2237" s="243"/>
      <c r="K2237" s="243"/>
      <c r="L2237" s="244">
        <v>0.1</v>
      </c>
      <c r="M2237" s="244">
        <f t="shared" ref="M2237:M2300" si="265">+L2237*C2237</f>
        <v>0</v>
      </c>
      <c r="N2237" s="244"/>
      <c r="O2237" s="244"/>
      <c r="P2237" s="244"/>
      <c r="Q2237" s="245">
        <f t="shared" ref="Q2237:Q2300" si="266">+N2237+O2237+P2237</f>
        <v>0</v>
      </c>
      <c r="R2237" s="245">
        <f t="shared" ref="R2237:R2300" si="267">IF(+Q2237-H2237&lt;=0,0,Q2237-H2237)</f>
        <v>0</v>
      </c>
      <c r="S2237" s="246">
        <v>0.5</v>
      </c>
      <c r="T2237" s="245">
        <f t="shared" ref="T2237:T2300" si="268">+(R2237*C2237)*S2237</f>
        <v>0</v>
      </c>
      <c r="U2237" s="245">
        <f t="shared" ref="U2237:U2300" si="269">+J2237+M2237+T2237</f>
        <v>0</v>
      </c>
      <c r="V2237" s="247"/>
    </row>
    <row r="2238" spans="1:22" ht="15.75" x14ac:dyDescent="0.25">
      <c r="A2238" s="236"/>
      <c r="B2238" s="237"/>
      <c r="C2238" s="238"/>
      <c r="D2238" s="239"/>
      <c r="E2238" s="240"/>
      <c r="F2238" s="240"/>
      <c r="G2238" s="240"/>
      <c r="H2238" s="241">
        <f t="shared" si="264"/>
        <v>0</v>
      </c>
      <c r="I2238" s="242"/>
      <c r="J2238" s="243"/>
      <c r="K2238" s="243"/>
      <c r="L2238" s="244">
        <v>0.1</v>
      </c>
      <c r="M2238" s="244">
        <f t="shared" si="265"/>
        <v>0</v>
      </c>
      <c r="N2238" s="244"/>
      <c r="O2238" s="244"/>
      <c r="P2238" s="244"/>
      <c r="Q2238" s="245">
        <f t="shared" si="266"/>
        <v>0</v>
      </c>
      <c r="R2238" s="245">
        <f t="shared" si="267"/>
        <v>0</v>
      </c>
      <c r="S2238" s="246">
        <v>0.5</v>
      </c>
      <c r="T2238" s="245">
        <f t="shared" si="268"/>
        <v>0</v>
      </c>
      <c r="U2238" s="245">
        <f t="shared" si="269"/>
        <v>0</v>
      </c>
      <c r="V2238" s="247"/>
    </row>
    <row r="2239" spans="1:22" ht="15.75" x14ac:dyDescent="0.25">
      <c r="A2239" s="236"/>
      <c r="B2239" s="237"/>
      <c r="C2239" s="238"/>
      <c r="D2239" s="239"/>
      <c r="E2239" s="240"/>
      <c r="F2239" s="240"/>
      <c r="G2239" s="240"/>
      <c r="H2239" s="241">
        <f t="shared" si="264"/>
        <v>0</v>
      </c>
      <c r="I2239" s="242"/>
      <c r="J2239" s="243"/>
      <c r="K2239" s="243"/>
      <c r="L2239" s="244">
        <v>0.1</v>
      </c>
      <c r="M2239" s="244">
        <f t="shared" si="265"/>
        <v>0</v>
      </c>
      <c r="N2239" s="244"/>
      <c r="O2239" s="244"/>
      <c r="P2239" s="244"/>
      <c r="Q2239" s="245">
        <f t="shared" si="266"/>
        <v>0</v>
      </c>
      <c r="R2239" s="245">
        <f t="shared" si="267"/>
        <v>0</v>
      </c>
      <c r="S2239" s="246">
        <v>0.5</v>
      </c>
      <c r="T2239" s="245">
        <f t="shared" si="268"/>
        <v>0</v>
      </c>
      <c r="U2239" s="245">
        <f t="shared" si="269"/>
        <v>0</v>
      </c>
      <c r="V2239" s="247"/>
    </row>
    <row r="2240" spans="1:22" ht="15.75" x14ac:dyDescent="0.25">
      <c r="A2240" s="236"/>
      <c r="B2240" s="237"/>
      <c r="C2240" s="238"/>
      <c r="D2240" s="239"/>
      <c r="E2240" s="240"/>
      <c r="F2240" s="240"/>
      <c r="G2240" s="240"/>
      <c r="H2240" s="241">
        <f t="shared" si="264"/>
        <v>0</v>
      </c>
      <c r="I2240" s="242"/>
      <c r="J2240" s="243"/>
      <c r="K2240" s="243"/>
      <c r="L2240" s="244">
        <v>0.1</v>
      </c>
      <c r="M2240" s="244">
        <f t="shared" si="265"/>
        <v>0</v>
      </c>
      <c r="N2240" s="244"/>
      <c r="O2240" s="244"/>
      <c r="P2240" s="244"/>
      <c r="Q2240" s="245">
        <f t="shared" si="266"/>
        <v>0</v>
      </c>
      <c r="R2240" s="245">
        <f t="shared" si="267"/>
        <v>0</v>
      </c>
      <c r="S2240" s="246">
        <v>0.5</v>
      </c>
      <c r="T2240" s="245">
        <f t="shared" si="268"/>
        <v>0</v>
      </c>
      <c r="U2240" s="245">
        <f t="shared" si="269"/>
        <v>0</v>
      </c>
      <c r="V2240" s="247"/>
    </row>
    <row r="2241" spans="1:22" ht="15.75" x14ac:dyDescent="0.25">
      <c r="A2241" s="236"/>
      <c r="B2241" s="237"/>
      <c r="C2241" s="238"/>
      <c r="D2241" s="239"/>
      <c r="E2241" s="240"/>
      <c r="F2241" s="240"/>
      <c r="G2241" s="240"/>
      <c r="H2241" s="241">
        <f t="shared" si="264"/>
        <v>0</v>
      </c>
      <c r="I2241" s="242"/>
      <c r="J2241" s="243"/>
      <c r="K2241" s="243"/>
      <c r="L2241" s="244">
        <v>0.1</v>
      </c>
      <c r="M2241" s="244">
        <f t="shared" si="265"/>
        <v>0</v>
      </c>
      <c r="N2241" s="244"/>
      <c r="O2241" s="244"/>
      <c r="P2241" s="244"/>
      <c r="Q2241" s="245">
        <f t="shared" si="266"/>
        <v>0</v>
      </c>
      <c r="R2241" s="245">
        <f t="shared" si="267"/>
        <v>0</v>
      </c>
      <c r="S2241" s="246">
        <v>0.5</v>
      </c>
      <c r="T2241" s="245">
        <f t="shared" si="268"/>
        <v>0</v>
      </c>
      <c r="U2241" s="245">
        <f t="shared" si="269"/>
        <v>0</v>
      </c>
      <c r="V2241" s="247"/>
    </row>
    <row r="2242" spans="1:22" ht="15.75" x14ac:dyDescent="0.25">
      <c r="A2242" s="236"/>
      <c r="B2242" s="237"/>
      <c r="C2242" s="238"/>
      <c r="D2242" s="239"/>
      <c r="E2242" s="240"/>
      <c r="F2242" s="240"/>
      <c r="G2242" s="240"/>
      <c r="H2242" s="241">
        <f t="shared" si="264"/>
        <v>0</v>
      </c>
      <c r="I2242" s="242"/>
      <c r="J2242" s="243"/>
      <c r="K2242" s="243"/>
      <c r="L2242" s="244">
        <v>0.1</v>
      </c>
      <c r="M2242" s="244">
        <f t="shared" si="265"/>
        <v>0</v>
      </c>
      <c r="N2242" s="244"/>
      <c r="O2242" s="244"/>
      <c r="P2242" s="244"/>
      <c r="Q2242" s="245">
        <f t="shared" si="266"/>
        <v>0</v>
      </c>
      <c r="R2242" s="245">
        <f t="shared" si="267"/>
        <v>0</v>
      </c>
      <c r="S2242" s="246">
        <v>0.5</v>
      </c>
      <c r="T2242" s="245">
        <f t="shared" si="268"/>
        <v>0</v>
      </c>
      <c r="U2242" s="245">
        <f t="shared" si="269"/>
        <v>0</v>
      </c>
      <c r="V2242" s="247"/>
    </row>
    <row r="2243" spans="1:22" ht="15.75" x14ac:dyDescent="0.25">
      <c r="A2243" s="236"/>
      <c r="B2243" s="237"/>
      <c r="C2243" s="238"/>
      <c r="D2243" s="239"/>
      <c r="E2243" s="240"/>
      <c r="F2243" s="240"/>
      <c r="G2243" s="240"/>
      <c r="H2243" s="241">
        <f t="shared" si="264"/>
        <v>0</v>
      </c>
      <c r="I2243" s="242"/>
      <c r="J2243" s="243"/>
      <c r="K2243" s="243"/>
      <c r="L2243" s="244">
        <v>0.1</v>
      </c>
      <c r="M2243" s="244">
        <f t="shared" si="265"/>
        <v>0</v>
      </c>
      <c r="N2243" s="244"/>
      <c r="O2243" s="244"/>
      <c r="P2243" s="244"/>
      <c r="Q2243" s="245">
        <f t="shared" si="266"/>
        <v>0</v>
      </c>
      <c r="R2243" s="245">
        <f t="shared" si="267"/>
        <v>0</v>
      </c>
      <c r="S2243" s="246">
        <v>0.5</v>
      </c>
      <c r="T2243" s="245">
        <f t="shared" si="268"/>
        <v>0</v>
      </c>
      <c r="U2243" s="245">
        <f t="shared" si="269"/>
        <v>0</v>
      </c>
      <c r="V2243" s="247"/>
    </row>
    <row r="2244" spans="1:22" ht="15.75" x14ac:dyDescent="0.25">
      <c r="A2244" s="236"/>
      <c r="B2244" s="237"/>
      <c r="C2244" s="238"/>
      <c r="D2244" s="239"/>
      <c r="E2244" s="240"/>
      <c r="F2244" s="240"/>
      <c r="G2244" s="240"/>
      <c r="H2244" s="241">
        <f t="shared" si="264"/>
        <v>0</v>
      </c>
      <c r="I2244" s="242"/>
      <c r="J2244" s="243"/>
      <c r="K2244" s="243"/>
      <c r="L2244" s="244">
        <v>0.1</v>
      </c>
      <c r="M2244" s="244">
        <f t="shared" si="265"/>
        <v>0</v>
      </c>
      <c r="N2244" s="244"/>
      <c r="O2244" s="244"/>
      <c r="P2244" s="244"/>
      <c r="Q2244" s="245">
        <f t="shared" si="266"/>
        <v>0</v>
      </c>
      <c r="R2244" s="245">
        <f t="shared" si="267"/>
        <v>0</v>
      </c>
      <c r="S2244" s="246">
        <v>0.5</v>
      </c>
      <c r="T2244" s="245">
        <f t="shared" si="268"/>
        <v>0</v>
      </c>
      <c r="U2244" s="245">
        <f t="shared" si="269"/>
        <v>0</v>
      </c>
      <c r="V2244" s="247"/>
    </row>
    <row r="2245" spans="1:22" ht="15.75" x14ac:dyDescent="0.25">
      <c r="A2245" s="236"/>
      <c r="B2245" s="237"/>
      <c r="C2245" s="238"/>
      <c r="D2245" s="239"/>
      <c r="E2245" s="240"/>
      <c r="F2245" s="240"/>
      <c r="G2245" s="240"/>
      <c r="H2245" s="241">
        <f t="shared" si="264"/>
        <v>0</v>
      </c>
      <c r="I2245" s="242"/>
      <c r="J2245" s="243"/>
      <c r="K2245" s="243"/>
      <c r="L2245" s="244">
        <v>0.1</v>
      </c>
      <c r="M2245" s="244">
        <f t="shared" si="265"/>
        <v>0</v>
      </c>
      <c r="N2245" s="244"/>
      <c r="O2245" s="244"/>
      <c r="P2245" s="244"/>
      <c r="Q2245" s="245">
        <f t="shared" si="266"/>
        <v>0</v>
      </c>
      <c r="R2245" s="245">
        <f t="shared" si="267"/>
        <v>0</v>
      </c>
      <c r="S2245" s="246">
        <v>0.5</v>
      </c>
      <c r="T2245" s="245">
        <f t="shared" si="268"/>
        <v>0</v>
      </c>
      <c r="U2245" s="245">
        <f t="shared" si="269"/>
        <v>0</v>
      </c>
      <c r="V2245" s="247"/>
    </row>
    <row r="2246" spans="1:22" ht="15.75" x14ac:dyDescent="0.25">
      <c r="A2246" s="236"/>
      <c r="B2246" s="237"/>
      <c r="C2246" s="238"/>
      <c r="D2246" s="239"/>
      <c r="E2246" s="240"/>
      <c r="F2246" s="240"/>
      <c r="G2246" s="240"/>
      <c r="H2246" s="241">
        <f t="shared" si="264"/>
        <v>0</v>
      </c>
      <c r="I2246" s="242"/>
      <c r="J2246" s="243"/>
      <c r="K2246" s="243"/>
      <c r="L2246" s="244">
        <v>0.1</v>
      </c>
      <c r="M2246" s="244">
        <f t="shared" si="265"/>
        <v>0</v>
      </c>
      <c r="N2246" s="244"/>
      <c r="O2246" s="244"/>
      <c r="P2246" s="244"/>
      <c r="Q2246" s="245">
        <f t="shared" si="266"/>
        <v>0</v>
      </c>
      <c r="R2246" s="245">
        <f t="shared" si="267"/>
        <v>0</v>
      </c>
      <c r="S2246" s="246">
        <v>0.5</v>
      </c>
      <c r="T2246" s="245">
        <f t="shared" si="268"/>
        <v>0</v>
      </c>
      <c r="U2246" s="245">
        <f t="shared" si="269"/>
        <v>0</v>
      </c>
      <c r="V2246" s="247"/>
    </row>
    <row r="2247" spans="1:22" ht="15.75" x14ac:dyDescent="0.25">
      <c r="A2247" s="236"/>
      <c r="B2247" s="237"/>
      <c r="C2247" s="238"/>
      <c r="D2247" s="239"/>
      <c r="E2247" s="240"/>
      <c r="F2247" s="240"/>
      <c r="G2247" s="240"/>
      <c r="H2247" s="241">
        <f t="shared" si="264"/>
        <v>0</v>
      </c>
      <c r="I2247" s="242"/>
      <c r="J2247" s="243"/>
      <c r="K2247" s="243"/>
      <c r="L2247" s="244">
        <v>0.1</v>
      </c>
      <c r="M2247" s="244">
        <f t="shared" si="265"/>
        <v>0</v>
      </c>
      <c r="N2247" s="244"/>
      <c r="O2247" s="244"/>
      <c r="P2247" s="244"/>
      <c r="Q2247" s="245">
        <f t="shared" si="266"/>
        <v>0</v>
      </c>
      <c r="R2247" s="245">
        <f t="shared" si="267"/>
        <v>0</v>
      </c>
      <c r="S2247" s="246">
        <v>0.5</v>
      </c>
      <c r="T2247" s="245">
        <f t="shared" si="268"/>
        <v>0</v>
      </c>
      <c r="U2247" s="245">
        <f t="shared" si="269"/>
        <v>0</v>
      </c>
      <c r="V2247" s="247"/>
    </row>
    <row r="2248" spans="1:22" ht="15.75" x14ac:dyDescent="0.25">
      <c r="A2248" s="236"/>
      <c r="B2248" s="237"/>
      <c r="C2248" s="238"/>
      <c r="D2248" s="239"/>
      <c r="E2248" s="240"/>
      <c r="F2248" s="240"/>
      <c r="G2248" s="240"/>
      <c r="H2248" s="241">
        <f t="shared" si="264"/>
        <v>0</v>
      </c>
      <c r="I2248" s="242"/>
      <c r="J2248" s="243"/>
      <c r="K2248" s="243"/>
      <c r="L2248" s="244">
        <v>0.1</v>
      </c>
      <c r="M2248" s="244">
        <f t="shared" si="265"/>
        <v>0</v>
      </c>
      <c r="N2248" s="244"/>
      <c r="O2248" s="244"/>
      <c r="P2248" s="244"/>
      <c r="Q2248" s="245">
        <f t="shared" si="266"/>
        <v>0</v>
      </c>
      <c r="R2248" s="245">
        <f t="shared" si="267"/>
        <v>0</v>
      </c>
      <c r="S2248" s="246">
        <v>0.5</v>
      </c>
      <c r="T2248" s="245">
        <f t="shared" si="268"/>
        <v>0</v>
      </c>
      <c r="U2248" s="245">
        <f t="shared" si="269"/>
        <v>0</v>
      </c>
      <c r="V2248" s="247"/>
    </row>
    <row r="2249" spans="1:22" ht="15.75" x14ac:dyDescent="0.25">
      <c r="A2249" s="236"/>
      <c r="B2249" s="237"/>
      <c r="C2249" s="238"/>
      <c r="D2249" s="239"/>
      <c r="E2249" s="240"/>
      <c r="F2249" s="240"/>
      <c r="G2249" s="240"/>
      <c r="H2249" s="241">
        <f t="shared" si="264"/>
        <v>0</v>
      </c>
      <c r="I2249" s="242"/>
      <c r="J2249" s="243"/>
      <c r="K2249" s="243"/>
      <c r="L2249" s="244">
        <v>0.1</v>
      </c>
      <c r="M2249" s="244">
        <f t="shared" si="265"/>
        <v>0</v>
      </c>
      <c r="N2249" s="244"/>
      <c r="O2249" s="244"/>
      <c r="P2249" s="244"/>
      <c r="Q2249" s="245">
        <f t="shared" si="266"/>
        <v>0</v>
      </c>
      <c r="R2249" s="245">
        <f t="shared" si="267"/>
        <v>0</v>
      </c>
      <c r="S2249" s="246">
        <v>0.5</v>
      </c>
      <c r="T2249" s="245">
        <f t="shared" si="268"/>
        <v>0</v>
      </c>
      <c r="U2249" s="245">
        <f t="shared" si="269"/>
        <v>0</v>
      </c>
      <c r="V2249" s="247"/>
    </row>
    <row r="2250" spans="1:22" ht="15.75" x14ac:dyDescent="0.25">
      <c r="A2250" s="236"/>
      <c r="B2250" s="237"/>
      <c r="C2250" s="238"/>
      <c r="D2250" s="239"/>
      <c r="E2250" s="240"/>
      <c r="F2250" s="240"/>
      <c r="G2250" s="240"/>
      <c r="H2250" s="241">
        <f t="shared" si="264"/>
        <v>0</v>
      </c>
      <c r="I2250" s="242"/>
      <c r="J2250" s="243"/>
      <c r="K2250" s="243"/>
      <c r="L2250" s="244">
        <v>0.1</v>
      </c>
      <c r="M2250" s="244">
        <f t="shared" si="265"/>
        <v>0</v>
      </c>
      <c r="N2250" s="244"/>
      <c r="O2250" s="244"/>
      <c r="P2250" s="244"/>
      <c r="Q2250" s="245">
        <f t="shared" si="266"/>
        <v>0</v>
      </c>
      <c r="R2250" s="245">
        <f t="shared" si="267"/>
        <v>0</v>
      </c>
      <c r="S2250" s="246">
        <v>0.5</v>
      </c>
      <c r="T2250" s="245">
        <f t="shared" si="268"/>
        <v>0</v>
      </c>
      <c r="U2250" s="245">
        <f t="shared" si="269"/>
        <v>0</v>
      </c>
      <c r="V2250" s="247"/>
    </row>
    <row r="2251" spans="1:22" ht="15.75" x14ac:dyDescent="0.25">
      <c r="A2251" s="236"/>
      <c r="B2251" s="237"/>
      <c r="C2251" s="238"/>
      <c r="D2251" s="239"/>
      <c r="E2251" s="240"/>
      <c r="F2251" s="240"/>
      <c r="G2251" s="240"/>
      <c r="H2251" s="241">
        <f t="shared" si="264"/>
        <v>0</v>
      </c>
      <c r="I2251" s="242"/>
      <c r="J2251" s="243"/>
      <c r="K2251" s="243"/>
      <c r="L2251" s="244">
        <v>0.1</v>
      </c>
      <c r="M2251" s="244">
        <f t="shared" si="265"/>
        <v>0</v>
      </c>
      <c r="N2251" s="244"/>
      <c r="O2251" s="244"/>
      <c r="P2251" s="244"/>
      <c r="Q2251" s="245">
        <f t="shared" si="266"/>
        <v>0</v>
      </c>
      <c r="R2251" s="245">
        <f t="shared" si="267"/>
        <v>0</v>
      </c>
      <c r="S2251" s="246">
        <v>0.5</v>
      </c>
      <c r="T2251" s="245">
        <f t="shared" si="268"/>
        <v>0</v>
      </c>
      <c r="U2251" s="245">
        <f t="shared" si="269"/>
        <v>0</v>
      </c>
      <c r="V2251" s="247"/>
    </row>
    <row r="2252" spans="1:22" ht="15.75" x14ac:dyDescent="0.25">
      <c r="A2252" s="236"/>
      <c r="B2252" s="237"/>
      <c r="C2252" s="238"/>
      <c r="D2252" s="239"/>
      <c r="E2252" s="240"/>
      <c r="F2252" s="240"/>
      <c r="G2252" s="240"/>
      <c r="H2252" s="241">
        <f t="shared" si="264"/>
        <v>0</v>
      </c>
      <c r="I2252" s="242"/>
      <c r="J2252" s="243"/>
      <c r="K2252" s="243"/>
      <c r="L2252" s="244">
        <v>0.1</v>
      </c>
      <c r="M2252" s="244">
        <f t="shared" si="265"/>
        <v>0</v>
      </c>
      <c r="N2252" s="244"/>
      <c r="O2252" s="244"/>
      <c r="P2252" s="244"/>
      <c r="Q2252" s="245">
        <f t="shared" si="266"/>
        <v>0</v>
      </c>
      <c r="R2252" s="245">
        <f t="shared" si="267"/>
        <v>0</v>
      </c>
      <c r="S2252" s="246">
        <v>0.5</v>
      </c>
      <c r="T2252" s="245">
        <f t="shared" si="268"/>
        <v>0</v>
      </c>
      <c r="U2252" s="245">
        <f t="shared" si="269"/>
        <v>0</v>
      </c>
      <c r="V2252" s="247"/>
    </row>
    <row r="2253" spans="1:22" ht="15.75" x14ac:dyDescent="0.25">
      <c r="A2253" s="236"/>
      <c r="B2253" s="237"/>
      <c r="C2253" s="238"/>
      <c r="D2253" s="239"/>
      <c r="E2253" s="240"/>
      <c r="F2253" s="240"/>
      <c r="G2253" s="240"/>
      <c r="H2253" s="241">
        <f t="shared" si="264"/>
        <v>0</v>
      </c>
      <c r="I2253" s="242"/>
      <c r="J2253" s="243"/>
      <c r="K2253" s="243"/>
      <c r="L2253" s="244">
        <v>0.1</v>
      </c>
      <c r="M2253" s="244">
        <f t="shared" si="265"/>
        <v>0</v>
      </c>
      <c r="N2253" s="244"/>
      <c r="O2253" s="244"/>
      <c r="P2253" s="244"/>
      <c r="Q2253" s="245">
        <f t="shared" si="266"/>
        <v>0</v>
      </c>
      <c r="R2253" s="245">
        <f t="shared" si="267"/>
        <v>0</v>
      </c>
      <c r="S2253" s="246">
        <v>0.5</v>
      </c>
      <c r="T2253" s="245">
        <f t="shared" si="268"/>
        <v>0</v>
      </c>
      <c r="U2253" s="245">
        <f t="shared" si="269"/>
        <v>0</v>
      </c>
      <c r="V2253" s="247"/>
    </row>
    <row r="2254" spans="1:22" ht="15.75" x14ac:dyDescent="0.25">
      <c r="A2254" s="236"/>
      <c r="B2254" s="237"/>
      <c r="C2254" s="238"/>
      <c r="D2254" s="239"/>
      <c r="E2254" s="240"/>
      <c r="F2254" s="240"/>
      <c r="G2254" s="240"/>
      <c r="H2254" s="241">
        <f t="shared" si="264"/>
        <v>0</v>
      </c>
      <c r="I2254" s="242"/>
      <c r="J2254" s="243"/>
      <c r="K2254" s="243"/>
      <c r="L2254" s="244">
        <v>0.1</v>
      </c>
      <c r="M2254" s="244">
        <f t="shared" si="265"/>
        <v>0</v>
      </c>
      <c r="N2254" s="244"/>
      <c r="O2254" s="244"/>
      <c r="P2254" s="244"/>
      <c r="Q2254" s="245">
        <f t="shared" si="266"/>
        <v>0</v>
      </c>
      <c r="R2254" s="245">
        <f t="shared" si="267"/>
        <v>0</v>
      </c>
      <c r="S2254" s="246">
        <v>0.5</v>
      </c>
      <c r="T2254" s="245">
        <f t="shared" si="268"/>
        <v>0</v>
      </c>
      <c r="U2254" s="245">
        <f t="shared" si="269"/>
        <v>0</v>
      </c>
      <c r="V2254" s="247"/>
    </row>
    <row r="2255" spans="1:22" ht="15.75" x14ac:dyDescent="0.25">
      <c r="A2255" s="236"/>
      <c r="B2255" s="237"/>
      <c r="C2255" s="238"/>
      <c r="D2255" s="239"/>
      <c r="E2255" s="240"/>
      <c r="F2255" s="240"/>
      <c r="G2255" s="240"/>
      <c r="H2255" s="241">
        <f t="shared" si="264"/>
        <v>0</v>
      </c>
      <c r="I2255" s="242"/>
      <c r="J2255" s="243"/>
      <c r="K2255" s="243"/>
      <c r="L2255" s="244">
        <v>0.1</v>
      </c>
      <c r="M2255" s="244">
        <f t="shared" si="265"/>
        <v>0</v>
      </c>
      <c r="N2255" s="244"/>
      <c r="O2255" s="244"/>
      <c r="P2255" s="244"/>
      <c r="Q2255" s="245">
        <f t="shared" si="266"/>
        <v>0</v>
      </c>
      <c r="R2255" s="245">
        <f t="shared" si="267"/>
        <v>0</v>
      </c>
      <c r="S2255" s="246">
        <v>0.5</v>
      </c>
      <c r="T2255" s="245">
        <f t="shared" si="268"/>
        <v>0</v>
      </c>
      <c r="U2255" s="245">
        <f t="shared" si="269"/>
        <v>0</v>
      </c>
      <c r="V2255" s="247"/>
    </row>
    <row r="2256" spans="1:22" ht="15.75" x14ac:dyDescent="0.25">
      <c r="A2256" s="236"/>
      <c r="B2256" s="237"/>
      <c r="C2256" s="238"/>
      <c r="D2256" s="239"/>
      <c r="E2256" s="240"/>
      <c r="F2256" s="240"/>
      <c r="G2256" s="240"/>
      <c r="H2256" s="241">
        <f t="shared" si="264"/>
        <v>0</v>
      </c>
      <c r="I2256" s="242"/>
      <c r="J2256" s="243"/>
      <c r="K2256" s="243"/>
      <c r="L2256" s="244">
        <v>0.1</v>
      </c>
      <c r="M2256" s="244">
        <f t="shared" si="265"/>
        <v>0</v>
      </c>
      <c r="N2256" s="244"/>
      <c r="O2256" s="244"/>
      <c r="P2256" s="244"/>
      <c r="Q2256" s="245">
        <f t="shared" si="266"/>
        <v>0</v>
      </c>
      <c r="R2256" s="245">
        <f t="shared" si="267"/>
        <v>0</v>
      </c>
      <c r="S2256" s="246">
        <v>0.5</v>
      </c>
      <c r="T2256" s="245">
        <f t="shared" si="268"/>
        <v>0</v>
      </c>
      <c r="U2256" s="245">
        <f t="shared" si="269"/>
        <v>0</v>
      </c>
      <c r="V2256" s="247"/>
    </row>
    <row r="2257" spans="1:22" ht="15.75" x14ac:dyDescent="0.25">
      <c r="A2257" s="236"/>
      <c r="B2257" s="237"/>
      <c r="C2257" s="238"/>
      <c r="D2257" s="239"/>
      <c r="E2257" s="240"/>
      <c r="F2257" s="240"/>
      <c r="G2257" s="240"/>
      <c r="H2257" s="241">
        <f t="shared" si="264"/>
        <v>0</v>
      </c>
      <c r="I2257" s="242"/>
      <c r="J2257" s="243"/>
      <c r="K2257" s="243"/>
      <c r="L2257" s="244">
        <v>0.1</v>
      </c>
      <c r="M2257" s="244">
        <f t="shared" si="265"/>
        <v>0</v>
      </c>
      <c r="N2257" s="244"/>
      <c r="O2257" s="244"/>
      <c r="P2257" s="244"/>
      <c r="Q2257" s="245">
        <f t="shared" si="266"/>
        <v>0</v>
      </c>
      <c r="R2257" s="245">
        <f t="shared" si="267"/>
        <v>0</v>
      </c>
      <c r="S2257" s="246">
        <v>0.5</v>
      </c>
      <c r="T2257" s="245">
        <f t="shared" si="268"/>
        <v>0</v>
      </c>
      <c r="U2257" s="245">
        <f t="shared" si="269"/>
        <v>0</v>
      </c>
      <c r="V2257" s="247"/>
    </row>
    <row r="2258" spans="1:22" ht="15.75" x14ac:dyDescent="0.25">
      <c r="A2258" s="236"/>
      <c r="B2258" s="237"/>
      <c r="C2258" s="238"/>
      <c r="D2258" s="239"/>
      <c r="E2258" s="240"/>
      <c r="F2258" s="240"/>
      <c r="G2258" s="240"/>
      <c r="H2258" s="241">
        <f t="shared" si="264"/>
        <v>0</v>
      </c>
      <c r="I2258" s="242"/>
      <c r="J2258" s="243"/>
      <c r="K2258" s="243"/>
      <c r="L2258" s="244">
        <v>0.1</v>
      </c>
      <c r="M2258" s="244">
        <f t="shared" si="265"/>
        <v>0</v>
      </c>
      <c r="N2258" s="244"/>
      <c r="O2258" s="244"/>
      <c r="P2258" s="244"/>
      <c r="Q2258" s="245">
        <f t="shared" si="266"/>
        <v>0</v>
      </c>
      <c r="R2258" s="245">
        <f t="shared" si="267"/>
        <v>0</v>
      </c>
      <c r="S2258" s="246">
        <v>0.5</v>
      </c>
      <c r="T2258" s="245">
        <f t="shared" si="268"/>
        <v>0</v>
      </c>
      <c r="U2258" s="245">
        <f t="shared" si="269"/>
        <v>0</v>
      </c>
      <c r="V2258" s="247"/>
    </row>
    <row r="2259" spans="1:22" ht="15.75" x14ac:dyDescent="0.25">
      <c r="A2259" s="236"/>
      <c r="B2259" s="237"/>
      <c r="C2259" s="238"/>
      <c r="D2259" s="239"/>
      <c r="E2259" s="240"/>
      <c r="F2259" s="240"/>
      <c r="G2259" s="240"/>
      <c r="H2259" s="241">
        <f t="shared" si="264"/>
        <v>0</v>
      </c>
      <c r="I2259" s="242"/>
      <c r="J2259" s="243"/>
      <c r="K2259" s="243"/>
      <c r="L2259" s="244">
        <v>0.1</v>
      </c>
      <c r="M2259" s="244">
        <f t="shared" si="265"/>
        <v>0</v>
      </c>
      <c r="N2259" s="244"/>
      <c r="O2259" s="244"/>
      <c r="P2259" s="244"/>
      <c r="Q2259" s="245">
        <f t="shared" si="266"/>
        <v>0</v>
      </c>
      <c r="R2259" s="245">
        <f t="shared" si="267"/>
        <v>0</v>
      </c>
      <c r="S2259" s="246">
        <v>0.5</v>
      </c>
      <c r="T2259" s="245">
        <f t="shared" si="268"/>
        <v>0</v>
      </c>
      <c r="U2259" s="245">
        <f t="shared" si="269"/>
        <v>0</v>
      </c>
      <c r="V2259" s="247"/>
    </row>
    <row r="2260" spans="1:22" ht="15.75" x14ac:dyDescent="0.25">
      <c r="A2260" s="236"/>
      <c r="B2260" s="237"/>
      <c r="C2260" s="238"/>
      <c r="D2260" s="239"/>
      <c r="E2260" s="240"/>
      <c r="F2260" s="240"/>
      <c r="G2260" s="240"/>
      <c r="H2260" s="241">
        <f t="shared" si="264"/>
        <v>0</v>
      </c>
      <c r="I2260" s="242"/>
      <c r="J2260" s="243"/>
      <c r="K2260" s="243"/>
      <c r="L2260" s="244">
        <v>0.1</v>
      </c>
      <c r="M2260" s="244">
        <f t="shared" si="265"/>
        <v>0</v>
      </c>
      <c r="N2260" s="244"/>
      <c r="O2260" s="244"/>
      <c r="P2260" s="244"/>
      <c r="Q2260" s="245">
        <f t="shared" si="266"/>
        <v>0</v>
      </c>
      <c r="R2260" s="245">
        <f t="shared" si="267"/>
        <v>0</v>
      </c>
      <c r="S2260" s="246">
        <v>0.5</v>
      </c>
      <c r="T2260" s="245">
        <f t="shared" si="268"/>
        <v>0</v>
      </c>
      <c r="U2260" s="245">
        <f t="shared" si="269"/>
        <v>0</v>
      </c>
      <c r="V2260" s="247"/>
    </row>
    <row r="2261" spans="1:22" ht="15.75" x14ac:dyDescent="0.25">
      <c r="A2261" s="236"/>
      <c r="B2261" s="237"/>
      <c r="C2261" s="238"/>
      <c r="D2261" s="239"/>
      <c r="E2261" s="240"/>
      <c r="F2261" s="240"/>
      <c r="G2261" s="240"/>
      <c r="H2261" s="241">
        <f t="shared" si="264"/>
        <v>0</v>
      </c>
      <c r="I2261" s="242"/>
      <c r="J2261" s="243"/>
      <c r="K2261" s="243"/>
      <c r="L2261" s="244">
        <v>0.1</v>
      </c>
      <c r="M2261" s="244">
        <f t="shared" si="265"/>
        <v>0</v>
      </c>
      <c r="N2261" s="244"/>
      <c r="O2261" s="244"/>
      <c r="P2261" s="244"/>
      <c r="Q2261" s="245">
        <f t="shared" si="266"/>
        <v>0</v>
      </c>
      <c r="R2261" s="245">
        <f t="shared" si="267"/>
        <v>0</v>
      </c>
      <c r="S2261" s="246">
        <v>0.5</v>
      </c>
      <c r="T2261" s="245">
        <f t="shared" si="268"/>
        <v>0</v>
      </c>
      <c r="U2261" s="245">
        <f t="shared" si="269"/>
        <v>0</v>
      </c>
      <c r="V2261" s="247"/>
    </row>
    <row r="2262" spans="1:22" ht="15.75" x14ac:dyDescent="0.25">
      <c r="A2262" s="236"/>
      <c r="B2262" s="237"/>
      <c r="C2262" s="238"/>
      <c r="D2262" s="239"/>
      <c r="E2262" s="240"/>
      <c r="F2262" s="240"/>
      <c r="G2262" s="240"/>
      <c r="H2262" s="241">
        <f t="shared" si="264"/>
        <v>0</v>
      </c>
      <c r="I2262" s="242"/>
      <c r="J2262" s="243"/>
      <c r="K2262" s="243"/>
      <c r="L2262" s="244">
        <v>0.1</v>
      </c>
      <c r="M2262" s="244">
        <f t="shared" si="265"/>
        <v>0</v>
      </c>
      <c r="N2262" s="244"/>
      <c r="O2262" s="244"/>
      <c r="P2262" s="244"/>
      <c r="Q2262" s="245">
        <f t="shared" si="266"/>
        <v>0</v>
      </c>
      <c r="R2262" s="245">
        <f t="shared" si="267"/>
        <v>0</v>
      </c>
      <c r="S2262" s="246">
        <v>0.5</v>
      </c>
      <c r="T2262" s="245">
        <f t="shared" si="268"/>
        <v>0</v>
      </c>
      <c r="U2262" s="245">
        <f t="shared" si="269"/>
        <v>0</v>
      </c>
      <c r="V2262" s="247"/>
    </row>
    <row r="2263" spans="1:22" ht="15.75" x14ac:dyDescent="0.25">
      <c r="A2263" s="236"/>
      <c r="B2263" s="237"/>
      <c r="C2263" s="238"/>
      <c r="D2263" s="239"/>
      <c r="E2263" s="240"/>
      <c r="F2263" s="240"/>
      <c r="G2263" s="240"/>
      <c r="H2263" s="241">
        <f t="shared" si="264"/>
        <v>0</v>
      </c>
      <c r="I2263" s="242"/>
      <c r="J2263" s="243"/>
      <c r="K2263" s="243"/>
      <c r="L2263" s="244">
        <v>0.1</v>
      </c>
      <c r="M2263" s="244">
        <f t="shared" si="265"/>
        <v>0</v>
      </c>
      <c r="N2263" s="244"/>
      <c r="O2263" s="244"/>
      <c r="P2263" s="244"/>
      <c r="Q2263" s="245">
        <f t="shared" si="266"/>
        <v>0</v>
      </c>
      <c r="R2263" s="245">
        <f t="shared" si="267"/>
        <v>0</v>
      </c>
      <c r="S2263" s="246">
        <v>0.5</v>
      </c>
      <c r="T2263" s="245">
        <f t="shared" si="268"/>
        <v>0</v>
      </c>
      <c r="U2263" s="245">
        <f t="shared" si="269"/>
        <v>0</v>
      </c>
      <c r="V2263" s="247"/>
    </row>
    <row r="2264" spans="1:22" ht="15.75" x14ac:dyDescent="0.25">
      <c r="A2264" s="236"/>
      <c r="B2264" s="237"/>
      <c r="C2264" s="238"/>
      <c r="D2264" s="239"/>
      <c r="E2264" s="240"/>
      <c r="F2264" s="240"/>
      <c r="G2264" s="240"/>
      <c r="H2264" s="241">
        <f t="shared" si="264"/>
        <v>0</v>
      </c>
      <c r="I2264" s="242"/>
      <c r="J2264" s="243"/>
      <c r="K2264" s="243"/>
      <c r="L2264" s="244">
        <v>0.1</v>
      </c>
      <c r="M2264" s="244">
        <f t="shared" si="265"/>
        <v>0</v>
      </c>
      <c r="N2264" s="244"/>
      <c r="O2264" s="244"/>
      <c r="P2264" s="244"/>
      <c r="Q2264" s="245">
        <f t="shared" si="266"/>
        <v>0</v>
      </c>
      <c r="R2264" s="245">
        <f t="shared" si="267"/>
        <v>0</v>
      </c>
      <c r="S2264" s="246">
        <v>0.5</v>
      </c>
      <c r="T2264" s="245">
        <f t="shared" si="268"/>
        <v>0</v>
      </c>
      <c r="U2264" s="245">
        <f t="shared" si="269"/>
        <v>0</v>
      </c>
      <c r="V2264" s="247"/>
    </row>
    <row r="2265" spans="1:22" ht="15.75" x14ac:dyDescent="0.25">
      <c r="A2265" s="236"/>
      <c r="B2265" s="237"/>
      <c r="C2265" s="238"/>
      <c r="D2265" s="239"/>
      <c r="E2265" s="240"/>
      <c r="F2265" s="240"/>
      <c r="G2265" s="240"/>
      <c r="H2265" s="241">
        <f t="shared" si="264"/>
        <v>0</v>
      </c>
      <c r="I2265" s="242"/>
      <c r="J2265" s="243"/>
      <c r="K2265" s="243"/>
      <c r="L2265" s="244">
        <v>0.1</v>
      </c>
      <c r="M2265" s="244">
        <f t="shared" si="265"/>
        <v>0</v>
      </c>
      <c r="N2265" s="244"/>
      <c r="O2265" s="244"/>
      <c r="P2265" s="244"/>
      <c r="Q2265" s="245">
        <f t="shared" si="266"/>
        <v>0</v>
      </c>
      <c r="R2265" s="245">
        <f t="shared" si="267"/>
        <v>0</v>
      </c>
      <c r="S2265" s="246">
        <v>0.5</v>
      </c>
      <c r="T2265" s="245">
        <f t="shared" si="268"/>
        <v>0</v>
      </c>
      <c r="U2265" s="245">
        <f t="shared" si="269"/>
        <v>0</v>
      </c>
      <c r="V2265" s="247"/>
    </row>
    <row r="2266" spans="1:22" ht="15.75" x14ac:dyDescent="0.25">
      <c r="A2266" s="236"/>
      <c r="B2266" s="237"/>
      <c r="C2266" s="238"/>
      <c r="D2266" s="239"/>
      <c r="E2266" s="240"/>
      <c r="F2266" s="240"/>
      <c r="G2266" s="240"/>
      <c r="H2266" s="241">
        <f t="shared" si="264"/>
        <v>0</v>
      </c>
      <c r="I2266" s="242"/>
      <c r="J2266" s="243"/>
      <c r="K2266" s="243"/>
      <c r="L2266" s="244">
        <v>0.1</v>
      </c>
      <c r="M2266" s="244">
        <f t="shared" si="265"/>
        <v>0</v>
      </c>
      <c r="N2266" s="244"/>
      <c r="O2266" s="244"/>
      <c r="P2266" s="244"/>
      <c r="Q2266" s="245">
        <f t="shared" si="266"/>
        <v>0</v>
      </c>
      <c r="R2266" s="245">
        <f t="shared" si="267"/>
        <v>0</v>
      </c>
      <c r="S2266" s="246">
        <v>0.5</v>
      </c>
      <c r="T2266" s="245">
        <f t="shared" si="268"/>
        <v>0</v>
      </c>
      <c r="U2266" s="245">
        <f t="shared" si="269"/>
        <v>0</v>
      </c>
      <c r="V2266" s="247"/>
    </row>
    <row r="2267" spans="1:22" ht="15.75" x14ac:dyDescent="0.25">
      <c r="A2267" s="236"/>
      <c r="B2267" s="237"/>
      <c r="C2267" s="238"/>
      <c r="D2267" s="239"/>
      <c r="E2267" s="240"/>
      <c r="F2267" s="240"/>
      <c r="G2267" s="240"/>
      <c r="H2267" s="241">
        <f t="shared" si="264"/>
        <v>0</v>
      </c>
      <c r="I2267" s="242"/>
      <c r="J2267" s="243"/>
      <c r="K2267" s="243"/>
      <c r="L2267" s="244">
        <v>0.1</v>
      </c>
      <c r="M2267" s="244">
        <f t="shared" si="265"/>
        <v>0</v>
      </c>
      <c r="N2267" s="244"/>
      <c r="O2267" s="244"/>
      <c r="P2267" s="244"/>
      <c r="Q2267" s="245">
        <f t="shared" si="266"/>
        <v>0</v>
      </c>
      <c r="R2267" s="245">
        <f t="shared" si="267"/>
        <v>0</v>
      </c>
      <c r="S2267" s="246">
        <v>0.5</v>
      </c>
      <c r="T2267" s="245">
        <f t="shared" si="268"/>
        <v>0</v>
      </c>
      <c r="U2267" s="245">
        <f t="shared" si="269"/>
        <v>0</v>
      </c>
      <c r="V2267" s="247"/>
    </row>
    <row r="2268" spans="1:22" ht="15.75" x14ac:dyDescent="0.25">
      <c r="A2268" s="236"/>
      <c r="B2268" s="237"/>
      <c r="C2268" s="238"/>
      <c r="D2268" s="239"/>
      <c r="E2268" s="240"/>
      <c r="F2268" s="240"/>
      <c r="G2268" s="240"/>
      <c r="H2268" s="241">
        <f t="shared" si="264"/>
        <v>0</v>
      </c>
      <c r="I2268" s="242"/>
      <c r="J2268" s="243"/>
      <c r="K2268" s="243"/>
      <c r="L2268" s="244">
        <v>0.1</v>
      </c>
      <c r="M2268" s="244">
        <f t="shared" si="265"/>
        <v>0</v>
      </c>
      <c r="N2268" s="244"/>
      <c r="O2268" s="244"/>
      <c r="P2268" s="244"/>
      <c r="Q2268" s="245">
        <f t="shared" si="266"/>
        <v>0</v>
      </c>
      <c r="R2268" s="245">
        <f t="shared" si="267"/>
        <v>0</v>
      </c>
      <c r="S2268" s="246">
        <v>0.5</v>
      </c>
      <c r="T2268" s="245">
        <f t="shared" si="268"/>
        <v>0</v>
      </c>
      <c r="U2268" s="245">
        <f t="shared" si="269"/>
        <v>0</v>
      </c>
      <c r="V2268" s="247"/>
    </row>
    <row r="2269" spans="1:22" ht="15.75" x14ac:dyDescent="0.25">
      <c r="A2269" s="236"/>
      <c r="B2269" s="237"/>
      <c r="C2269" s="238"/>
      <c r="D2269" s="239"/>
      <c r="E2269" s="240"/>
      <c r="F2269" s="240"/>
      <c r="G2269" s="240"/>
      <c r="H2269" s="241">
        <f t="shared" si="264"/>
        <v>0</v>
      </c>
      <c r="I2269" s="242"/>
      <c r="J2269" s="243"/>
      <c r="K2269" s="243"/>
      <c r="L2269" s="244">
        <v>0.1</v>
      </c>
      <c r="M2269" s="244">
        <f t="shared" si="265"/>
        <v>0</v>
      </c>
      <c r="N2269" s="244"/>
      <c r="O2269" s="244"/>
      <c r="P2269" s="244"/>
      <c r="Q2269" s="245">
        <f t="shared" si="266"/>
        <v>0</v>
      </c>
      <c r="R2269" s="245">
        <f t="shared" si="267"/>
        <v>0</v>
      </c>
      <c r="S2269" s="246">
        <v>0.5</v>
      </c>
      <c r="T2269" s="245">
        <f t="shared" si="268"/>
        <v>0</v>
      </c>
      <c r="U2269" s="245">
        <f t="shared" si="269"/>
        <v>0</v>
      </c>
      <c r="V2269" s="247"/>
    </row>
    <row r="2270" spans="1:22" ht="15.75" x14ac:dyDescent="0.25">
      <c r="A2270" s="236"/>
      <c r="B2270" s="237"/>
      <c r="C2270" s="238"/>
      <c r="D2270" s="239"/>
      <c r="E2270" s="240"/>
      <c r="F2270" s="240"/>
      <c r="G2270" s="240"/>
      <c r="H2270" s="241">
        <f t="shared" si="264"/>
        <v>0</v>
      </c>
      <c r="I2270" s="242"/>
      <c r="J2270" s="243"/>
      <c r="K2270" s="243"/>
      <c r="L2270" s="244">
        <v>0.1</v>
      </c>
      <c r="M2270" s="244">
        <f t="shared" si="265"/>
        <v>0</v>
      </c>
      <c r="N2270" s="244"/>
      <c r="O2270" s="244"/>
      <c r="P2270" s="244"/>
      <c r="Q2270" s="245">
        <f t="shared" si="266"/>
        <v>0</v>
      </c>
      <c r="R2270" s="245">
        <f t="shared" si="267"/>
        <v>0</v>
      </c>
      <c r="S2270" s="246">
        <v>0.5</v>
      </c>
      <c r="T2270" s="245">
        <f t="shared" si="268"/>
        <v>0</v>
      </c>
      <c r="U2270" s="245">
        <f t="shared" si="269"/>
        <v>0</v>
      </c>
      <c r="V2270" s="247"/>
    </row>
    <row r="2271" spans="1:22" ht="15.75" x14ac:dyDescent="0.25">
      <c r="A2271" s="236"/>
      <c r="B2271" s="237"/>
      <c r="C2271" s="238"/>
      <c r="D2271" s="239"/>
      <c r="E2271" s="240"/>
      <c r="F2271" s="240"/>
      <c r="G2271" s="240"/>
      <c r="H2271" s="241">
        <f t="shared" si="264"/>
        <v>0</v>
      </c>
      <c r="I2271" s="242"/>
      <c r="J2271" s="243"/>
      <c r="K2271" s="243"/>
      <c r="L2271" s="244">
        <v>0.1</v>
      </c>
      <c r="M2271" s="244">
        <f t="shared" si="265"/>
        <v>0</v>
      </c>
      <c r="N2271" s="244"/>
      <c r="O2271" s="244"/>
      <c r="P2271" s="244"/>
      <c r="Q2271" s="245">
        <f t="shared" si="266"/>
        <v>0</v>
      </c>
      <c r="R2271" s="245">
        <f t="shared" si="267"/>
        <v>0</v>
      </c>
      <c r="S2271" s="246">
        <v>0.5</v>
      </c>
      <c r="T2271" s="245">
        <f t="shared" si="268"/>
        <v>0</v>
      </c>
      <c r="U2271" s="245">
        <f t="shared" si="269"/>
        <v>0</v>
      </c>
      <c r="V2271" s="247"/>
    </row>
    <row r="2272" spans="1:22" ht="15.75" x14ac:dyDescent="0.25">
      <c r="A2272" s="236"/>
      <c r="B2272" s="237"/>
      <c r="C2272" s="238"/>
      <c r="D2272" s="239"/>
      <c r="E2272" s="240"/>
      <c r="F2272" s="240"/>
      <c r="G2272" s="240"/>
      <c r="H2272" s="241">
        <f t="shared" si="264"/>
        <v>0</v>
      </c>
      <c r="I2272" s="242"/>
      <c r="J2272" s="243"/>
      <c r="K2272" s="243"/>
      <c r="L2272" s="244">
        <v>0.1</v>
      </c>
      <c r="M2272" s="244">
        <f t="shared" si="265"/>
        <v>0</v>
      </c>
      <c r="N2272" s="244"/>
      <c r="O2272" s="244"/>
      <c r="P2272" s="244"/>
      <c r="Q2272" s="245">
        <f t="shared" si="266"/>
        <v>0</v>
      </c>
      <c r="R2272" s="245">
        <f t="shared" si="267"/>
        <v>0</v>
      </c>
      <c r="S2272" s="246">
        <v>0.5</v>
      </c>
      <c r="T2272" s="245">
        <f t="shared" si="268"/>
        <v>0</v>
      </c>
      <c r="U2272" s="245">
        <f t="shared" si="269"/>
        <v>0</v>
      </c>
      <c r="V2272" s="247"/>
    </row>
    <row r="2273" spans="1:22" ht="15.75" x14ac:dyDescent="0.25">
      <c r="A2273" s="236"/>
      <c r="B2273" s="237"/>
      <c r="C2273" s="238"/>
      <c r="D2273" s="239"/>
      <c r="E2273" s="240"/>
      <c r="F2273" s="240"/>
      <c r="G2273" s="240"/>
      <c r="H2273" s="241">
        <f t="shared" si="264"/>
        <v>0</v>
      </c>
      <c r="I2273" s="242"/>
      <c r="J2273" s="243"/>
      <c r="K2273" s="243"/>
      <c r="L2273" s="244">
        <v>0.1</v>
      </c>
      <c r="M2273" s="244">
        <f t="shared" si="265"/>
        <v>0</v>
      </c>
      <c r="N2273" s="244"/>
      <c r="O2273" s="244"/>
      <c r="P2273" s="244"/>
      <c r="Q2273" s="245">
        <f t="shared" si="266"/>
        <v>0</v>
      </c>
      <c r="R2273" s="245">
        <f t="shared" si="267"/>
        <v>0</v>
      </c>
      <c r="S2273" s="246">
        <v>0.5</v>
      </c>
      <c r="T2273" s="245">
        <f t="shared" si="268"/>
        <v>0</v>
      </c>
      <c r="U2273" s="245">
        <f t="shared" si="269"/>
        <v>0</v>
      </c>
      <c r="V2273" s="247"/>
    </row>
    <row r="2274" spans="1:22" ht="15.75" x14ac:dyDescent="0.25">
      <c r="A2274" s="236"/>
      <c r="B2274" s="237"/>
      <c r="C2274" s="238"/>
      <c r="D2274" s="239"/>
      <c r="E2274" s="240"/>
      <c r="F2274" s="240"/>
      <c r="G2274" s="240"/>
      <c r="H2274" s="241">
        <f t="shared" si="264"/>
        <v>0</v>
      </c>
      <c r="I2274" s="242"/>
      <c r="J2274" s="243"/>
      <c r="K2274" s="243"/>
      <c r="L2274" s="244">
        <v>0.1</v>
      </c>
      <c r="M2274" s="244">
        <f t="shared" si="265"/>
        <v>0</v>
      </c>
      <c r="N2274" s="244"/>
      <c r="O2274" s="244"/>
      <c r="P2274" s="244"/>
      <c r="Q2274" s="245">
        <f t="shared" si="266"/>
        <v>0</v>
      </c>
      <c r="R2274" s="245">
        <f t="shared" si="267"/>
        <v>0</v>
      </c>
      <c r="S2274" s="246">
        <v>0.5</v>
      </c>
      <c r="T2274" s="245">
        <f t="shared" si="268"/>
        <v>0</v>
      </c>
      <c r="U2274" s="245">
        <f t="shared" si="269"/>
        <v>0</v>
      </c>
      <c r="V2274" s="247"/>
    </row>
    <row r="2275" spans="1:22" ht="15.75" x14ac:dyDescent="0.25">
      <c r="A2275" s="236"/>
      <c r="B2275" s="237"/>
      <c r="C2275" s="238"/>
      <c r="D2275" s="239"/>
      <c r="E2275" s="240"/>
      <c r="F2275" s="240"/>
      <c r="G2275" s="240"/>
      <c r="H2275" s="241">
        <f t="shared" si="264"/>
        <v>0</v>
      </c>
      <c r="I2275" s="242"/>
      <c r="J2275" s="243"/>
      <c r="K2275" s="243"/>
      <c r="L2275" s="244">
        <v>0.1</v>
      </c>
      <c r="M2275" s="244">
        <f t="shared" si="265"/>
        <v>0</v>
      </c>
      <c r="N2275" s="244"/>
      <c r="O2275" s="244"/>
      <c r="P2275" s="244"/>
      <c r="Q2275" s="245">
        <f t="shared" si="266"/>
        <v>0</v>
      </c>
      <c r="R2275" s="245">
        <f t="shared" si="267"/>
        <v>0</v>
      </c>
      <c r="S2275" s="246">
        <v>0.5</v>
      </c>
      <c r="T2275" s="245">
        <f t="shared" si="268"/>
        <v>0</v>
      </c>
      <c r="U2275" s="245">
        <f t="shared" si="269"/>
        <v>0</v>
      </c>
      <c r="V2275" s="247"/>
    </row>
    <row r="2276" spans="1:22" ht="15.75" x14ac:dyDescent="0.25">
      <c r="A2276" s="236"/>
      <c r="B2276" s="237"/>
      <c r="C2276" s="238"/>
      <c r="D2276" s="239"/>
      <c r="E2276" s="240"/>
      <c r="F2276" s="240"/>
      <c r="G2276" s="240"/>
      <c r="H2276" s="241">
        <f t="shared" si="264"/>
        <v>0</v>
      </c>
      <c r="I2276" s="242"/>
      <c r="J2276" s="243"/>
      <c r="K2276" s="243"/>
      <c r="L2276" s="244">
        <v>0.1</v>
      </c>
      <c r="M2276" s="244">
        <f t="shared" si="265"/>
        <v>0</v>
      </c>
      <c r="N2276" s="244"/>
      <c r="O2276" s="244"/>
      <c r="P2276" s="244"/>
      <c r="Q2276" s="245">
        <f t="shared" si="266"/>
        <v>0</v>
      </c>
      <c r="R2276" s="245">
        <f t="shared" si="267"/>
        <v>0</v>
      </c>
      <c r="S2276" s="246">
        <v>0.5</v>
      </c>
      <c r="T2276" s="245">
        <f t="shared" si="268"/>
        <v>0</v>
      </c>
      <c r="U2276" s="245">
        <f t="shared" si="269"/>
        <v>0</v>
      </c>
      <c r="V2276" s="247"/>
    </row>
    <row r="2277" spans="1:22" ht="15.75" x14ac:dyDescent="0.25">
      <c r="A2277" s="236"/>
      <c r="B2277" s="237"/>
      <c r="C2277" s="238"/>
      <c r="D2277" s="239"/>
      <c r="E2277" s="240"/>
      <c r="F2277" s="240"/>
      <c r="G2277" s="240"/>
      <c r="H2277" s="241">
        <f t="shared" si="264"/>
        <v>0</v>
      </c>
      <c r="I2277" s="242"/>
      <c r="J2277" s="243"/>
      <c r="K2277" s="243"/>
      <c r="L2277" s="244">
        <v>0.1</v>
      </c>
      <c r="M2277" s="244">
        <f t="shared" si="265"/>
        <v>0</v>
      </c>
      <c r="N2277" s="244"/>
      <c r="O2277" s="244"/>
      <c r="P2277" s="244"/>
      <c r="Q2277" s="245">
        <f t="shared" si="266"/>
        <v>0</v>
      </c>
      <c r="R2277" s="245">
        <f t="shared" si="267"/>
        <v>0</v>
      </c>
      <c r="S2277" s="246">
        <v>0.5</v>
      </c>
      <c r="T2277" s="245">
        <f t="shared" si="268"/>
        <v>0</v>
      </c>
      <c r="U2277" s="245">
        <f t="shared" si="269"/>
        <v>0</v>
      </c>
      <c r="V2277" s="247"/>
    </row>
    <row r="2278" spans="1:22" ht="15.75" x14ac:dyDescent="0.25">
      <c r="A2278" s="236"/>
      <c r="B2278" s="237"/>
      <c r="C2278" s="238"/>
      <c r="D2278" s="239"/>
      <c r="E2278" s="240"/>
      <c r="F2278" s="240"/>
      <c r="G2278" s="240"/>
      <c r="H2278" s="241">
        <f t="shared" si="264"/>
        <v>0</v>
      </c>
      <c r="I2278" s="242"/>
      <c r="J2278" s="243"/>
      <c r="K2278" s="243"/>
      <c r="L2278" s="244">
        <v>0.1</v>
      </c>
      <c r="M2278" s="244">
        <f t="shared" si="265"/>
        <v>0</v>
      </c>
      <c r="N2278" s="244"/>
      <c r="O2278" s="244"/>
      <c r="P2278" s="244"/>
      <c r="Q2278" s="245">
        <f t="shared" si="266"/>
        <v>0</v>
      </c>
      <c r="R2278" s="245">
        <f t="shared" si="267"/>
        <v>0</v>
      </c>
      <c r="S2278" s="246">
        <v>0.5</v>
      </c>
      <c r="T2278" s="245">
        <f t="shared" si="268"/>
        <v>0</v>
      </c>
      <c r="U2278" s="245">
        <f t="shared" si="269"/>
        <v>0</v>
      </c>
      <c r="V2278" s="247"/>
    </row>
    <row r="2279" spans="1:22" ht="15.75" x14ac:dyDescent="0.25">
      <c r="A2279" s="236"/>
      <c r="B2279" s="237"/>
      <c r="C2279" s="238"/>
      <c r="D2279" s="239"/>
      <c r="E2279" s="240"/>
      <c r="F2279" s="240"/>
      <c r="G2279" s="240"/>
      <c r="H2279" s="241">
        <f t="shared" si="264"/>
        <v>0</v>
      </c>
      <c r="I2279" s="242"/>
      <c r="J2279" s="243"/>
      <c r="K2279" s="243"/>
      <c r="L2279" s="244">
        <v>0.1</v>
      </c>
      <c r="M2279" s="244">
        <f t="shared" si="265"/>
        <v>0</v>
      </c>
      <c r="N2279" s="244"/>
      <c r="O2279" s="244"/>
      <c r="P2279" s="244"/>
      <c r="Q2279" s="245">
        <f t="shared" si="266"/>
        <v>0</v>
      </c>
      <c r="R2279" s="245">
        <f t="shared" si="267"/>
        <v>0</v>
      </c>
      <c r="S2279" s="246">
        <v>0.5</v>
      </c>
      <c r="T2279" s="245">
        <f t="shared" si="268"/>
        <v>0</v>
      </c>
      <c r="U2279" s="245">
        <f t="shared" si="269"/>
        <v>0</v>
      </c>
      <c r="V2279" s="247"/>
    </row>
    <row r="2280" spans="1:22" ht="15.75" x14ac:dyDescent="0.25">
      <c r="A2280" s="236"/>
      <c r="B2280" s="237"/>
      <c r="C2280" s="238"/>
      <c r="D2280" s="239"/>
      <c r="E2280" s="240"/>
      <c r="F2280" s="240"/>
      <c r="G2280" s="240"/>
      <c r="H2280" s="241">
        <f t="shared" si="264"/>
        <v>0</v>
      </c>
      <c r="I2280" s="242"/>
      <c r="J2280" s="243"/>
      <c r="K2280" s="243"/>
      <c r="L2280" s="244">
        <v>0.1</v>
      </c>
      <c r="M2280" s="244">
        <f t="shared" si="265"/>
        <v>0</v>
      </c>
      <c r="N2280" s="244"/>
      <c r="O2280" s="244"/>
      <c r="P2280" s="244"/>
      <c r="Q2280" s="245">
        <f t="shared" si="266"/>
        <v>0</v>
      </c>
      <c r="R2280" s="245">
        <f t="shared" si="267"/>
        <v>0</v>
      </c>
      <c r="S2280" s="246">
        <v>0.5</v>
      </c>
      <c r="T2280" s="245">
        <f t="shared" si="268"/>
        <v>0</v>
      </c>
      <c r="U2280" s="245">
        <f t="shared" si="269"/>
        <v>0</v>
      </c>
      <c r="V2280" s="247"/>
    </row>
    <row r="2281" spans="1:22" ht="15.75" x14ac:dyDescent="0.25">
      <c r="A2281" s="236"/>
      <c r="B2281" s="237"/>
      <c r="C2281" s="238"/>
      <c r="D2281" s="239"/>
      <c r="E2281" s="240"/>
      <c r="F2281" s="240"/>
      <c r="G2281" s="240"/>
      <c r="H2281" s="241">
        <f t="shared" si="264"/>
        <v>0</v>
      </c>
      <c r="I2281" s="242"/>
      <c r="J2281" s="243"/>
      <c r="K2281" s="243"/>
      <c r="L2281" s="244">
        <v>0.1</v>
      </c>
      <c r="M2281" s="244">
        <f t="shared" si="265"/>
        <v>0</v>
      </c>
      <c r="N2281" s="244"/>
      <c r="O2281" s="244"/>
      <c r="P2281" s="244"/>
      <c r="Q2281" s="245">
        <f t="shared" si="266"/>
        <v>0</v>
      </c>
      <c r="R2281" s="245">
        <f t="shared" si="267"/>
        <v>0</v>
      </c>
      <c r="S2281" s="246">
        <v>0.5</v>
      </c>
      <c r="T2281" s="245">
        <f t="shared" si="268"/>
        <v>0</v>
      </c>
      <c r="U2281" s="245">
        <f t="shared" si="269"/>
        <v>0</v>
      </c>
      <c r="V2281" s="247"/>
    </row>
    <row r="2282" spans="1:22" ht="15.75" x14ac:dyDescent="0.25">
      <c r="A2282" s="236"/>
      <c r="B2282" s="237"/>
      <c r="C2282" s="238"/>
      <c r="D2282" s="239"/>
      <c r="E2282" s="240"/>
      <c r="F2282" s="240"/>
      <c r="G2282" s="240"/>
      <c r="H2282" s="241">
        <f t="shared" si="264"/>
        <v>0</v>
      </c>
      <c r="I2282" s="242"/>
      <c r="J2282" s="243"/>
      <c r="K2282" s="243"/>
      <c r="L2282" s="244">
        <v>0.1</v>
      </c>
      <c r="M2282" s="244">
        <f t="shared" si="265"/>
        <v>0</v>
      </c>
      <c r="N2282" s="244"/>
      <c r="O2282" s="244"/>
      <c r="P2282" s="244"/>
      <c r="Q2282" s="245">
        <f t="shared" si="266"/>
        <v>0</v>
      </c>
      <c r="R2282" s="245">
        <f t="shared" si="267"/>
        <v>0</v>
      </c>
      <c r="S2282" s="246">
        <v>0.5</v>
      </c>
      <c r="T2282" s="245">
        <f t="shared" si="268"/>
        <v>0</v>
      </c>
      <c r="U2282" s="245">
        <f t="shared" si="269"/>
        <v>0</v>
      </c>
      <c r="V2282" s="247"/>
    </row>
    <row r="2283" spans="1:22" ht="15.75" x14ac:dyDescent="0.25">
      <c r="A2283" s="236"/>
      <c r="B2283" s="237"/>
      <c r="C2283" s="238"/>
      <c r="D2283" s="239"/>
      <c r="E2283" s="240"/>
      <c r="F2283" s="240"/>
      <c r="G2283" s="240"/>
      <c r="H2283" s="241">
        <f t="shared" si="264"/>
        <v>0</v>
      </c>
      <c r="I2283" s="242"/>
      <c r="J2283" s="243"/>
      <c r="K2283" s="243"/>
      <c r="L2283" s="244">
        <v>0.1</v>
      </c>
      <c r="M2283" s="244">
        <f t="shared" si="265"/>
        <v>0</v>
      </c>
      <c r="N2283" s="244"/>
      <c r="O2283" s="244"/>
      <c r="P2283" s="244"/>
      <c r="Q2283" s="245">
        <f t="shared" si="266"/>
        <v>0</v>
      </c>
      <c r="R2283" s="245">
        <f t="shared" si="267"/>
        <v>0</v>
      </c>
      <c r="S2283" s="246">
        <v>0.5</v>
      </c>
      <c r="T2283" s="245">
        <f t="shared" si="268"/>
        <v>0</v>
      </c>
      <c r="U2283" s="245">
        <f t="shared" si="269"/>
        <v>0</v>
      </c>
      <c r="V2283" s="247"/>
    </row>
    <row r="2284" spans="1:22" ht="15.75" x14ac:dyDescent="0.25">
      <c r="A2284" s="236"/>
      <c r="B2284" s="237"/>
      <c r="C2284" s="238"/>
      <c r="D2284" s="239"/>
      <c r="E2284" s="240"/>
      <c r="F2284" s="240"/>
      <c r="G2284" s="240"/>
      <c r="H2284" s="241">
        <f t="shared" si="264"/>
        <v>0</v>
      </c>
      <c r="I2284" s="242"/>
      <c r="J2284" s="243"/>
      <c r="K2284" s="243"/>
      <c r="L2284" s="244">
        <v>0.1</v>
      </c>
      <c r="M2284" s="244">
        <f t="shared" si="265"/>
        <v>0</v>
      </c>
      <c r="N2284" s="244"/>
      <c r="O2284" s="244"/>
      <c r="P2284" s="244"/>
      <c r="Q2284" s="245">
        <f t="shared" si="266"/>
        <v>0</v>
      </c>
      <c r="R2284" s="245">
        <f t="shared" si="267"/>
        <v>0</v>
      </c>
      <c r="S2284" s="246">
        <v>0.5</v>
      </c>
      <c r="T2284" s="245">
        <f t="shared" si="268"/>
        <v>0</v>
      </c>
      <c r="U2284" s="245">
        <f t="shared" si="269"/>
        <v>0</v>
      </c>
      <c r="V2284" s="247"/>
    </row>
    <row r="2285" spans="1:22" ht="15.75" x14ac:dyDescent="0.25">
      <c r="A2285" s="236"/>
      <c r="B2285" s="237"/>
      <c r="C2285" s="238"/>
      <c r="D2285" s="239"/>
      <c r="E2285" s="240"/>
      <c r="F2285" s="240"/>
      <c r="G2285" s="240"/>
      <c r="H2285" s="241">
        <f t="shared" si="264"/>
        <v>0</v>
      </c>
      <c r="I2285" s="242"/>
      <c r="J2285" s="243"/>
      <c r="K2285" s="243"/>
      <c r="L2285" s="244">
        <v>0.1</v>
      </c>
      <c r="M2285" s="244">
        <f t="shared" si="265"/>
        <v>0</v>
      </c>
      <c r="N2285" s="244"/>
      <c r="O2285" s="244"/>
      <c r="P2285" s="244"/>
      <c r="Q2285" s="245">
        <f t="shared" si="266"/>
        <v>0</v>
      </c>
      <c r="R2285" s="245">
        <f t="shared" si="267"/>
        <v>0</v>
      </c>
      <c r="S2285" s="246">
        <v>0.5</v>
      </c>
      <c r="T2285" s="245">
        <f t="shared" si="268"/>
        <v>0</v>
      </c>
      <c r="U2285" s="245">
        <f t="shared" si="269"/>
        <v>0</v>
      </c>
      <c r="V2285" s="247"/>
    </row>
    <row r="2286" spans="1:22" ht="15.75" x14ac:dyDescent="0.25">
      <c r="A2286" s="236"/>
      <c r="B2286" s="237"/>
      <c r="C2286" s="238"/>
      <c r="D2286" s="239"/>
      <c r="E2286" s="240"/>
      <c r="F2286" s="240"/>
      <c r="G2286" s="240"/>
      <c r="H2286" s="241">
        <f t="shared" si="264"/>
        <v>0</v>
      </c>
      <c r="I2286" s="242"/>
      <c r="J2286" s="243"/>
      <c r="K2286" s="243"/>
      <c r="L2286" s="244">
        <v>0.1</v>
      </c>
      <c r="M2286" s="244">
        <f t="shared" si="265"/>
        <v>0</v>
      </c>
      <c r="N2286" s="244"/>
      <c r="O2286" s="244"/>
      <c r="P2286" s="244"/>
      <c r="Q2286" s="245">
        <f t="shared" si="266"/>
        <v>0</v>
      </c>
      <c r="R2286" s="245">
        <f t="shared" si="267"/>
        <v>0</v>
      </c>
      <c r="S2286" s="246">
        <v>0.5</v>
      </c>
      <c r="T2286" s="245">
        <f t="shared" si="268"/>
        <v>0</v>
      </c>
      <c r="U2286" s="245">
        <f t="shared" si="269"/>
        <v>0</v>
      </c>
      <c r="V2286" s="247"/>
    </row>
    <row r="2287" spans="1:22" ht="15.75" x14ac:dyDescent="0.25">
      <c r="A2287" s="236"/>
      <c r="B2287" s="237"/>
      <c r="C2287" s="238"/>
      <c r="D2287" s="239"/>
      <c r="E2287" s="240"/>
      <c r="F2287" s="240"/>
      <c r="G2287" s="240"/>
      <c r="H2287" s="241">
        <f t="shared" si="264"/>
        <v>0</v>
      </c>
      <c r="I2287" s="242"/>
      <c r="J2287" s="243"/>
      <c r="K2287" s="243"/>
      <c r="L2287" s="244">
        <v>0.1</v>
      </c>
      <c r="M2287" s="244">
        <f t="shared" si="265"/>
        <v>0</v>
      </c>
      <c r="N2287" s="244"/>
      <c r="O2287" s="244"/>
      <c r="P2287" s="244"/>
      <c r="Q2287" s="245">
        <f t="shared" si="266"/>
        <v>0</v>
      </c>
      <c r="R2287" s="245">
        <f t="shared" si="267"/>
        <v>0</v>
      </c>
      <c r="S2287" s="246">
        <v>0.5</v>
      </c>
      <c r="T2287" s="245">
        <f t="shared" si="268"/>
        <v>0</v>
      </c>
      <c r="U2287" s="245">
        <f t="shared" si="269"/>
        <v>0</v>
      </c>
      <c r="V2287" s="247"/>
    </row>
    <row r="2288" spans="1:22" ht="15.75" x14ac:dyDescent="0.25">
      <c r="A2288" s="236"/>
      <c r="B2288" s="237"/>
      <c r="C2288" s="238"/>
      <c r="D2288" s="239"/>
      <c r="E2288" s="240"/>
      <c r="F2288" s="240"/>
      <c r="G2288" s="240"/>
      <c r="H2288" s="241">
        <f t="shared" si="264"/>
        <v>0</v>
      </c>
      <c r="I2288" s="242"/>
      <c r="J2288" s="243"/>
      <c r="K2288" s="243"/>
      <c r="L2288" s="244">
        <v>0.1</v>
      </c>
      <c r="M2288" s="244">
        <f t="shared" si="265"/>
        <v>0</v>
      </c>
      <c r="N2288" s="244"/>
      <c r="O2288" s="244"/>
      <c r="P2288" s="244"/>
      <c r="Q2288" s="245">
        <f t="shared" si="266"/>
        <v>0</v>
      </c>
      <c r="R2288" s="245">
        <f t="shared" si="267"/>
        <v>0</v>
      </c>
      <c r="S2288" s="246">
        <v>0.5</v>
      </c>
      <c r="T2288" s="245">
        <f t="shared" si="268"/>
        <v>0</v>
      </c>
      <c r="U2288" s="245">
        <f t="shared" si="269"/>
        <v>0</v>
      </c>
      <c r="V2288" s="247"/>
    </row>
    <row r="2289" spans="1:22" ht="15.75" x14ac:dyDescent="0.25">
      <c r="A2289" s="236"/>
      <c r="B2289" s="237"/>
      <c r="C2289" s="238"/>
      <c r="D2289" s="239"/>
      <c r="E2289" s="240"/>
      <c r="F2289" s="240"/>
      <c r="G2289" s="240"/>
      <c r="H2289" s="241">
        <f t="shared" si="264"/>
        <v>0</v>
      </c>
      <c r="I2289" s="242"/>
      <c r="J2289" s="243"/>
      <c r="K2289" s="243"/>
      <c r="L2289" s="244">
        <v>0.1</v>
      </c>
      <c r="M2289" s="244">
        <f t="shared" si="265"/>
        <v>0</v>
      </c>
      <c r="N2289" s="244"/>
      <c r="O2289" s="244"/>
      <c r="P2289" s="244"/>
      <c r="Q2289" s="245">
        <f t="shared" si="266"/>
        <v>0</v>
      </c>
      <c r="R2289" s="245">
        <f t="shared" si="267"/>
        <v>0</v>
      </c>
      <c r="S2289" s="246">
        <v>0.5</v>
      </c>
      <c r="T2289" s="245">
        <f t="shared" si="268"/>
        <v>0</v>
      </c>
      <c r="U2289" s="245">
        <f t="shared" si="269"/>
        <v>0</v>
      </c>
      <c r="V2289" s="247"/>
    </row>
    <row r="2290" spans="1:22" ht="15.75" x14ac:dyDescent="0.25">
      <c r="A2290" s="236"/>
      <c r="B2290" s="237"/>
      <c r="C2290" s="238"/>
      <c r="D2290" s="239"/>
      <c r="E2290" s="240"/>
      <c r="F2290" s="240"/>
      <c r="G2290" s="240"/>
      <c r="H2290" s="241">
        <f t="shared" si="264"/>
        <v>0</v>
      </c>
      <c r="I2290" s="242"/>
      <c r="J2290" s="243"/>
      <c r="K2290" s="243"/>
      <c r="L2290" s="244">
        <v>0.1</v>
      </c>
      <c r="M2290" s="244">
        <f t="shared" si="265"/>
        <v>0</v>
      </c>
      <c r="N2290" s="244"/>
      <c r="O2290" s="244"/>
      <c r="P2290" s="244"/>
      <c r="Q2290" s="245">
        <f t="shared" si="266"/>
        <v>0</v>
      </c>
      <c r="R2290" s="245">
        <f t="shared" si="267"/>
        <v>0</v>
      </c>
      <c r="S2290" s="246">
        <v>0.5</v>
      </c>
      <c r="T2290" s="245">
        <f t="shared" si="268"/>
        <v>0</v>
      </c>
      <c r="U2290" s="245">
        <f t="shared" si="269"/>
        <v>0</v>
      </c>
      <c r="V2290" s="247"/>
    </row>
    <row r="2291" spans="1:22" ht="15.75" x14ac:dyDescent="0.25">
      <c r="A2291" s="236"/>
      <c r="B2291" s="237"/>
      <c r="C2291" s="238"/>
      <c r="D2291" s="239"/>
      <c r="E2291" s="240"/>
      <c r="F2291" s="240"/>
      <c r="G2291" s="240"/>
      <c r="H2291" s="241">
        <f t="shared" si="264"/>
        <v>0</v>
      </c>
      <c r="I2291" s="242"/>
      <c r="J2291" s="243"/>
      <c r="K2291" s="243"/>
      <c r="L2291" s="244">
        <v>0.1</v>
      </c>
      <c r="M2291" s="244">
        <f t="shared" si="265"/>
        <v>0</v>
      </c>
      <c r="N2291" s="244"/>
      <c r="O2291" s="244"/>
      <c r="P2291" s="244"/>
      <c r="Q2291" s="245">
        <f t="shared" si="266"/>
        <v>0</v>
      </c>
      <c r="R2291" s="245">
        <f t="shared" si="267"/>
        <v>0</v>
      </c>
      <c r="S2291" s="246">
        <v>0.5</v>
      </c>
      <c r="T2291" s="245">
        <f t="shared" si="268"/>
        <v>0</v>
      </c>
      <c r="U2291" s="245">
        <f t="shared" si="269"/>
        <v>0</v>
      </c>
      <c r="V2291" s="247"/>
    </row>
    <row r="2292" spans="1:22" ht="15.75" x14ac:dyDescent="0.25">
      <c r="A2292" s="236"/>
      <c r="B2292" s="237"/>
      <c r="C2292" s="238"/>
      <c r="D2292" s="239"/>
      <c r="E2292" s="240"/>
      <c r="F2292" s="240"/>
      <c r="G2292" s="240"/>
      <c r="H2292" s="241">
        <f t="shared" si="264"/>
        <v>0</v>
      </c>
      <c r="I2292" s="242"/>
      <c r="J2292" s="243"/>
      <c r="K2292" s="243"/>
      <c r="L2292" s="244">
        <v>0.1</v>
      </c>
      <c r="M2292" s="244">
        <f t="shared" si="265"/>
        <v>0</v>
      </c>
      <c r="N2292" s="244"/>
      <c r="O2292" s="244"/>
      <c r="P2292" s="244"/>
      <c r="Q2292" s="245">
        <f t="shared" si="266"/>
        <v>0</v>
      </c>
      <c r="R2292" s="245">
        <f t="shared" si="267"/>
        <v>0</v>
      </c>
      <c r="S2292" s="246">
        <v>0.5</v>
      </c>
      <c r="T2292" s="245">
        <f t="shared" si="268"/>
        <v>0</v>
      </c>
      <c r="U2292" s="245">
        <f t="shared" si="269"/>
        <v>0</v>
      </c>
      <c r="V2292" s="247"/>
    </row>
    <row r="2293" spans="1:22" ht="15.75" x14ac:dyDescent="0.25">
      <c r="A2293" s="236"/>
      <c r="B2293" s="237"/>
      <c r="C2293" s="238"/>
      <c r="D2293" s="239"/>
      <c r="E2293" s="240"/>
      <c r="F2293" s="240"/>
      <c r="G2293" s="240"/>
      <c r="H2293" s="241">
        <f t="shared" si="264"/>
        <v>0</v>
      </c>
      <c r="I2293" s="242"/>
      <c r="J2293" s="243"/>
      <c r="K2293" s="243"/>
      <c r="L2293" s="244">
        <v>0.1</v>
      </c>
      <c r="M2293" s="244">
        <f t="shared" si="265"/>
        <v>0</v>
      </c>
      <c r="N2293" s="244"/>
      <c r="O2293" s="244"/>
      <c r="P2293" s="244"/>
      <c r="Q2293" s="245">
        <f t="shared" si="266"/>
        <v>0</v>
      </c>
      <c r="R2293" s="245">
        <f t="shared" si="267"/>
        <v>0</v>
      </c>
      <c r="S2293" s="246">
        <v>0.5</v>
      </c>
      <c r="T2293" s="245">
        <f t="shared" si="268"/>
        <v>0</v>
      </c>
      <c r="U2293" s="245">
        <f t="shared" si="269"/>
        <v>0</v>
      </c>
      <c r="V2293" s="247"/>
    </row>
    <row r="2294" spans="1:22" ht="15.75" x14ac:dyDescent="0.25">
      <c r="A2294" s="236"/>
      <c r="B2294" s="237"/>
      <c r="C2294" s="238"/>
      <c r="D2294" s="239"/>
      <c r="E2294" s="240"/>
      <c r="F2294" s="240"/>
      <c r="G2294" s="240"/>
      <c r="H2294" s="241">
        <f t="shared" si="264"/>
        <v>0</v>
      </c>
      <c r="I2294" s="242"/>
      <c r="J2294" s="243"/>
      <c r="K2294" s="243"/>
      <c r="L2294" s="244">
        <v>0.1</v>
      </c>
      <c r="M2294" s="244">
        <f t="shared" si="265"/>
        <v>0</v>
      </c>
      <c r="N2294" s="244"/>
      <c r="O2294" s="244"/>
      <c r="P2294" s="244"/>
      <c r="Q2294" s="245">
        <f t="shared" si="266"/>
        <v>0</v>
      </c>
      <c r="R2294" s="245">
        <f t="shared" si="267"/>
        <v>0</v>
      </c>
      <c r="S2294" s="246">
        <v>0.5</v>
      </c>
      <c r="T2294" s="245">
        <f t="shared" si="268"/>
        <v>0</v>
      </c>
      <c r="U2294" s="245">
        <f t="shared" si="269"/>
        <v>0</v>
      </c>
      <c r="V2294" s="247"/>
    </row>
    <row r="2295" spans="1:22" ht="15.75" x14ac:dyDescent="0.25">
      <c r="A2295" s="236"/>
      <c r="B2295" s="237"/>
      <c r="C2295" s="238"/>
      <c r="D2295" s="239"/>
      <c r="E2295" s="240"/>
      <c r="F2295" s="240"/>
      <c r="G2295" s="240"/>
      <c r="H2295" s="241">
        <f t="shared" si="264"/>
        <v>0</v>
      </c>
      <c r="I2295" s="242"/>
      <c r="J2295" s="243"/>
      <c r="K2295" s="243"/>
      <c r="L2295" s="244">
        <v>0.1</v>
      </c>
      <c r="M2295" s="244">
        <f t="shared" si="265"/>
        <v>0</v>
      </c>
      <c r="N2295" s="244"/>
      <c r="O2295" s="244"/>
      <c r="P2295" s="244"/>
      <c r="Q2295" s="245">
        <f t="shared" si="266"/>
        <v>0</v>
      </c>
      <c r="R2295" s="245">
        <f t="shared" si="267"/>
        <v>0</v>
      </c>
      <c r="S2295" s="246">
        <v>0.5</v>
      </c>
      <c r="T2295" s="245">
        <f t="shared" si="268"/>
        <v>0</v>
      </c>
      <c r="U2295" s="245">
        <f t="shared" si="269"/>
        <v>0</v>
      </c>
      <c r="V2295" s="247"/>
    </row>
    <row r="2296" spans="1:22" ht="15.75" x14ac:dyDescent="0.25">
      <c r="A2296" s="236"/>
      <c r="B2296" s="237"/>
      <c r="C2296" s="238"/>
      <c r="D2296" s="239"/>
      <c r="E2296" s="240"/>
      <c r="F2296" s="240"/>
      <c r="G2296" s="240"/>
      <c r="H2296" s="241">
        <f t="shared" si="264"/>
        <v>0</v>
      </c>
      <c r="I2296" s="242"/>
      <c r="J2296" s="243"/>
      <c r="K2296" s="243"/>
      <c r="L2296" s="244">
        <v>0.1</v>
      </c>
      <c r="M2296" s="244">
        <f t="shared" si="265"/>
        <v>0</v>
      </c>
      <c r="N2296" s="244"/>
      <c r="O2296" s="244"/>
      <c r="P2296" s="244"/>
      <c r="Q2296" s="245">
        <f t="shared" si="266"/>
        <v>0</v>
      </c>
      <c r="R2296" s="245">
        <f t="shared" si="267"/>
        <v>0</v>
      </c>
      <c r="S2296" s="246">
        <v>0.5</v>
      </c>
      <c r="T2296" s="245">
        <f t="shared" si="268"/>
        <v>0</v>
      </c>
      <c r="U2296" s="245">
        <f t="shared" si="269"/>
        <v>0</v>
      </c>
      <c r="V2296" s="247"/>
    </row>
    <row r="2297" spans="1:22" ht="15.75" x14ac:dyDescent="0.25">
      <c r="A2297" s="236"/>
      <c r="B2297" s="237"/>
      <c r="C2297" s="238"/>
      <c r="D2297" s="239"/>
      <c r="E2297" s="240"/>
      <c r="F2297" s="240"/>
      <c r="G2297" s="240"/>
      <c r="H2297" s="241">
        <f t="shared" si="264"/>
        <v>0</v>
      </c>
      <c r="I2297" s="242"/>
      <c r="J2297" s="243"/>
      <c r="K2297" s="243"/>
      <c r="L2297" s="244">
        <v>0.1</v>
      </c>
      <c r="M2297" s="244">
        <f t="shared" si="265"/>
        <v>0</v>
      </c>
      <c r="N2297" s="244"/>
      <c r="O2297" s="244"/>
      <c r="P2297" s="244"/>
      <c r="Q2297" s="245">
        <f t="shared" si="266"/>
        <v>0</v>
      </c>
      <c r="R2297" s="245">
        <f t="shared" si="267"/>
        <v>0</v>
      </c>
      <c r="S2297" s="246">
        <v>0.5</v>
      </c>
      <c r="T2297" s="245">
        <f t="shared" si="268"/>
        <v>0</v>
      </c>
      <c r="U2297" s="245">
        <f t="shared" si="269"/>
        <v>0</v>
      </c>
      <c r="V2297" s="247"/>
    </row>
    <row r="2298" spans="1:22" ht="15.75" x14ac:dyDescent="0.25">
      <c r="A2298" s="236"/>
      <c r="B2298" s="237"/>
      <c r="C2298" s="238"/>
      <c r="D2298" s="239"/>
      <c r="E2298" s="240"/>
      <c r="F2298" s="240"/>
      <c r="G2298" s="240"/>
      <c r="H2298" s="241">
        <f t="shared" si="264"/>
        <v>0</v>
      </c>
      <c r="I2298" s="242"/>
      <c r="J2298" s="243"/>
      <c r="K2298" s="243"/>
      <c r="L2298" s="244">
        <v>0.1</v>
      </c>
      <c r="M2298" s="244">
        <f t="shared" si="265"/>
        <v>0</v>
      </c>
      <c r="N2298" s="244"/>
      <c r="O2298" s="244"/>
      <c r="P2298" s="244"/>
      <c r="Q2298" s="245">
        <f t="shared" si="266"/>
        <v>0</v>
      </c>
      <c r="R2298" s="245">
        <f t="shared" si="267"/>
        <v>0</v>
      </c>
      <c r="S2298" s="246">
        <v>0.5</v>
      </c>
      <c r="T2298" s="245">
        <f t="shared" si="268"/>
        <v>0</v>
      </c>
      <c r="U2298" s="245">
        <f t="shared" si="269"/>
        <v>0</v>
      </c>
      <c r="V2298" s="247"/>
    </row>
    <row r="2299" spans="1:22" ht="15.75" x14ac:dyDescent="0.25">
      <c r="A2299" s="236"/>
      <c r="B2299" s="237"/>
      <c r="C2299" s="238"/>
      <c r="D2299" s="239"/>
      <c r="E2299" s="240"/>
      <c r="F2299" s="240"/>
      <c r="G2299" s="240"/>
      <c r="H2299" s="241">
        <f t="shared" si="264"/>
        <v>0</v>
      </c>
      <c r="I2299" s="242"/>
      <c r="J2299" s="243"/>
      <c r="K2299" s="243"/>
      <c r="L2299" s="244">
        <v>0.1</v>
      </c>
      <c r="M2299" s="244">
        <f t="shared" si="265"/>
        <v>0</v>
      </c>
      <c r="N2299" s="244"/>
      <c r="O2299" s="244"/>
      <c r="P2299" s="244"/>
      <c r="Q2299" s="245">
        <f t="shared" si="266"/>
        <v>0</v>
      </c>
      <c r="R2299" s="245">
        <f t="shared" si="267"/>
        <v>0</v>
      </c>
      <c r="S2299" s="246">
        <v>0.5</v>
      </c>
      <c r="T2299" s="245">
        <f t="shared" si="268"/>
        <v>0</v>
      </c>
      <c r="U2299" s="245">
        <f t="shared" si="269"/>
        <v>0</v>
      </c>
      <c r="V2299" s="247"/>
    </row>
    <row r="2300" spans="1:22" ht="15.75" x14ac:dyDescent="0.25">
      <c r="A2300" s="236"/>
      <c r="B2300" s="237"/>
      <c r="C2300" s="238"/>
      <c r="D2300" s="239"/>
      <c r="E2300" s="240"/>
      <c r="F2300" s="240"/>
      <c r="G2300" s="240"/>
      <c r="H2300" s="241">
        <f t="shared" si="264"/>
        <v>0</v>
      </c>
      <c r="I2300" s="242"/>
      <c r="J2300" s="243"/>
      <c r="K2300" s="243"/>
      <c r="L2300" s="244">
        <v>0.1</v>
      </c>
      <c r="M2300" s="244">
        <f t="shared" si="265"/>
        <v>0</v>
      </c>
      <c r="N2300" s="244"/>
      <c r="O2300" s="244"/>
      <c r="P2300" s="244"/>
      <c r="Q2300" s="245">
        <f t="shared" si="266"/>
        <v>0</v>
      </c>
      <c r="R2300" s="245">
        <f t="shared" si="267"/>
        <v>0</v>
      </c>
      <c r="S2300" s="246">
        <v>0.5</v>
      </c>
      <c r="T2300" s="245">
        <f t="shared" si="268"/>
        <v>0</v>
      </c>
      <c r="U2300" s="245">
        <f t="shared" si="269"/>
        <v>0</v>
      </c>
      <c r="V2300" s="247"/>
    </row>
    <row r="2301" spans="1:22" ht="15.75" x14ac:dyDescent="0.25">
      <c r="A2301" s="236"/>
      <c r="B2301" s="237"/>
      <c r="C2301" s="238"/>
      <c r="D2301" s="239"/>
      <c r="E2301" s="240"/>
      <c r="F2301" s="240"/>
      <c r="G2301" s="240"/>
      <c r="H2301" s="241">
        <f t="shared" ref="H2301:H2364" si="270">+E2301+F2301+G2301</f>
        <v>0</v>
      </c>
      <c r="I2301" s="242"/>
      <c r="J2301" s="243"/>
      <c r="K2301" s="243"/>
      <c r="L2301" s="244">
        <v>0.1</v>
      </c>
      <c r="M2301" s="244">
        <f t="shared" ref="M2301:M2364" si="271">+L2301*C2301</f>
        <v>0</v>
      </c>
      <c r="N2301" s="244"/>
      <c r="O2301" s="244"/>
      <c r="P2301" s="244"/>
      <c r="Q2301" s="245">
        <f t="shared" ref="Q2301:Q2364" si="272">+N2301+O2301+P2301</f>
        <v>0</v>
      </c>
      <c r="R2301" s="245">
        <f t="shared" ref="R2301:R2364" si="273">IF(+Q2301-H2301&lt;=0,0,Q2301-H2301)</f>
        <v>0</v>
      </c>
      <c r="S2301" s="246">
        <v>0.5</v>
      </c>
      <c r="T2301" s="245">
        <f t="shared" ref="T2301:T2364" si="274">+(R2301*C2301)*S2301</f>
        <v>0</v>
      </c>
      <c r="U2301" s="245">
        <f t="shared" ref="U2301:U2364" si="275">+J2301+M2301+T2301</f>
        <v>0</v>
      </c>
      <c r="V2301" s="247"/>
    </row>
    <row r="2302" spans="1:22" ht="15.75" x14ac:dyDescent="0.25">
      <c r="A2302" s="236"/>
      <c r="B2302" s="237"/>
      <c r="C2302" s="238"/>
      <c r="D2302" s="239"/>
      <c r="E2302" s="240"/>
      <c r="F2302" s="240"/>
      <c r="G2302" s="240"/>
      <c r="H2302" s="241">
        <f t="shared" si="270"/>
        <v>0</v>
      </c>
      <c r="I2302" s="242"/>
      <c r="J2302" s="243"/>
      <c r="K2302" s="243"/>
      <c r="L2302" s="244">
        <v>0.1</v>
      </c>
      <c r="M2302" s="244">
        <f t="shared" si="271"/>
        <v>0</v>
      </c>
      <c r="N2302" s="244"/>
      <c r="O2302" s="244"/>
      <c r="P2302" s="244"/>
      <c r="Q2302" s="245">
        <f t="shared" si="272"/>
        <v>0</v>
      </c>
      <c r="R2302" s="245">
        <f t="shared" si="273"/>
        <v>0</v>
      </c>
      <c r="S2302" s="246">
        <v>0.5</v>
      </c>
      <c r="T2302" s="245">
        <f t="shared" si="274"/>
        <v>0</v>
      </c>
      <c r="U2302" s="245">
        <f t="shared" si="275"/>
        <v>0</v>
      </c>
      <c r="V2302" s="247"/>
    </row>
    <row r="2303" spans="1:22" ht="15.75" x14ac:dyDescent="0.25">
      <c r="A2303" s="236"/>
      <c r="B2303" s="237"/>
      <c r="C2303" s="238"/>
      <c r="D2303" s="239"/>
      <c r="E2303" s="240"/>
      <c r="F2303" s="240"/>
      <c r="G2303" s="240"/>
      <c r="H2303" s="241">
        <f t="shared" si="270"/>
        <v>0</v>
      </c>
      <c r="I2303" s="242"/>
      <c r="J2303" s="243"/>
      <c r="K2303" s="243"/>
      <c r="L2303" s="244">
        <v>0.1</v>
      </c>
      <c r="M2303" s="244">
        <f t="shared" si="271"/>
        <v>0</v>
      </c>
      <c r="N2303" s="244"/>
      <c r="O2303" s="244"/>
      <c r="P2303" s="244"/>
      <c r="Q2303" s="245">
        <f t="shared" si="272"/>
        <v>0</v>
      </c>
      <c r="R2303" s="245">
        <f t="shared" si="273"/>
        <v>0</v>
      </c>
      <c r="S2303" s="246">
        <v>0.5</v>
      </c>
      <c r="T2303" s="245">
        <f t="shared" si="274"/>
        <v>0</v>
      </c>
      <c r="U2303" s="245">
        <f t="shared" si="275"/>
        <v>0</v>
      </c>
      <c r="V2303" s="247"/>
    </row>
    <row r="2304" spans="1:22" ht="15.75" x14ac:dyDescent="0.25">
      <c r="A2304" s="236"/>
      <c r="B2304" s="237"/>
      <c r="C2304" s="238"/>
      <c r="D2304" s="239"/>
      <c r="E2304" s="240"/>
      <c r="F2304" s="240"/>
      <c r="G2304" s="240"/>
      <c r="H2304" s="241">
        <f t="shared" si="270"/>
        <v>0</v>
      </c>
      <c r="I2304" s="242"/>
      <c r="J2304" s="243"/>
      <c r="K2304" s="243"/>
      <c r="L2304" s="244">
        <v>0.1</v>
      </c>
      <c r="M2304" s="244">
        <f t="shared" si="271"/>
        <v>0</v>
      </c>
      <c r="N2304" s="244"/>
      <c r="O2304" s="244"/>
      <c r="P2304" s="244"/>
      <c r="Q2304" s="245">
        <f t="shared" si="272"/>
        <v>0</v>
      </c>
      <c r="R2304" s="245">
        <f t="shared" si="273"/>
        <v>0</v>
      </c>
      <c r="S2304" s="246">
        <v>0.5</v>
      </c>
      <c r="T2304" s="245">
        <f t="shared" si="274"/>
        <v>0</v>
      </c>
      <c r="U2304" s="245">
        <f t="shared" si="275"/>
        <v>0</v>
      </c>
      <c r="V2304" s="247"/>
    </row>
    <row r="2305" spans="1:22" ht="15.75" x14ac:dyDescent="0.25">
      <c r="A2305" s="236"/>
      <c r="B2305" s="237"/>
      <c r="C2305" s="238"/>
      <c r="D2305" s="239"/>
      <c r="E2305" s="240"/>
      <c r="F2305" s="240"/>
      <c r="G2305" s="240"/>
      <c r="H2305" s="241">
        <f t="shared" si="270"/>
        <v>0</v>
      </c>
      <c r="I2305" s="242"/>
      <c r="J2305" s="243"/>
      <c r="K2305" s="243"/>
      <c r="L2305" s="244">
        <v>0.1</v>
      </c>
      <c r="M2305" s="244">
        <f t="shared" si="271"/>
        <v>0</v>
      </c>
      <c r="N2305" s="244"/>
      <c r="O2305" s="244"/>
      <c r="P2305" s="244"/>
      <c r="Q2305" s="245">
        <f t="shared" si="272"/>
        <v>0</v>
      </c>
      <c r="R2305" s="245">
        <f t="shared" si="273"/>
        <v>0</v>
      </c>
      <c r="S2305" s="246">
        <v>0.5</v>
      </c>
      <c r="T2305" s="245">
        <f t="shared" si="274"/>
        <v>0</v>
      </c>
      <c r="U2305" s="245">
        <f t="shared" si="275"/>
        <v>0</v>
      </c>
      <c r="V2305" s="247"/>
    </row>
    <row r="2306" spans="1:22" ht="15.75" x14ac:dyDescent="0.25">
      <c r="A2306" s="236"/>
      <c r="B2306" s="237"/>
      <c r="C2306" s="238"/>
      <c r="D2306" s="239"/>
      <c r="E2306" s="240"/>
      <c r="F2306" s="240"/>
      <c r="G2306" s="240"/>
      <c r="H2306" s="241">
        <f t="shared" si="270"/>
        <v>0</v>
      </c>
      <c r="I2306" s="242"/>
      <c r="J2306" s="243"/>
      <c r="K2306" s="243"/>
      <c r="L2306" s="244">
        <v>0.1</v>
      </c>
      <c r="M2306" s="244">
        <f t="shared" si="271"/>
        <v>0</v>
      </c>
      <c r="N2306" s="244"/>
      <c r="O2306" s="244"/>
      <c r="P2306" s="244"/>
      <c r="Q2306" s="245">
        <f t="shared" si="272"/>
        <v>0</v>
      </c>
      <c r="R2306" s="245">
        <f t="shared" si="273"/>
        <v>0</v>
      </c>
      <c r="S2306" s="246">
        <v>0.5</v>
      </c>
      <c r="T2306" s="245">
        <f t="shared" si="274"/>
        <v>0</v>
      </c>
      <c r="U2306" s="245">
        <f t="shared" si="275"/>
        <v>0</v>
      </c>
      <c r="V2306" s="247"/>
    </row>
    <row r="2307" spans="1:22" ht="15.75" x14ac:dyDescent="0.25">
      <c r="A2307" s="236"/>
      <c r="B2307" s="237"/>
      <c r="C2307" s="238"/>
      <c r="D2307" s="239"/>
      <c r="E2307" s="240"/>
      <c r="F2307" s="240"/>
      <c r="G2307" s="240"/>
      <c r="H2307" s="241">
        <f t="shared" si="270"/>
        <v>0</v>
      </c>
      <c r="I2307" s="242"/>
      <c r="J2307" s="243"/>
      <c r="K2307" s="243"/>
      <c r="L2307" s="244">
        <v>0.1</v>
      </c>
      <c r="M2307" s="244">
        <f t="shared" si="271"/>
        <v>0</v>
      </c>
      <c r="N2307" s="244"/>
      <c r="O2307" s="244"/>
      <c r="P2307" s="244"/>
      <c r="Q2307" s="245">
        <f t="shared" si="272"/>
        <v>0</v>
      </c>
      <c r="R2307" s="245">
        <f t="shared" si="273"/>
        <v>0</v>
      </c>
      <c r="S2307" s="246">
        <v>0.5</v>
      </c>
      <c r="T2307" s="245">
        <f t="shared" si="274"/>
        <v>0</v>
      </c>
      <c r="U2307" s="245">
        <f t="shared" si="275"/>
        <v>0</v>
      </c>
      <c r="V2307" s="247"/>
    </row>
    <row r="2308" spans="1:22" ht="15.75" x14ac:dyDescent="0.25">
      <c r="A2308" s="236"/>
      <c r="B2308" s="237"/>
      <c r="C2308" s="238"/>
      <c r="D2308" s="239"/>
      <c r="E2308" s="240"/>
      <c r="F2308" s="240"/>
      <c r="G2308" s="240"/>
      <c r="H2308" s="241">
        <f t="shared" si="270"/>
        <v>0</v>
      </c>
      <c r="I2308" s="242"/>
      <c r="J2308" s="243"/>
      <c r="K2308" s="243"/>
      <c r="L2308" s="244">
        <v>0.1</v>
      </c>
      <c r="M2308" s="244">
        <f t="shared" si="271"/>
        <v>0</v>
      </c>
      <c r="N2308" s="244"/>
      <c r="O2308" s="244"/>
      <c r="P2308" s="244"/>
      <c r="Q2308" s="245">
        <f t="shared" si="272"/>
        <v>0</v>
      </c>
      <c r="R2308" s="245">
        <f t="shared" si="273"/>
        <v>0</v>
      </c>
      <c r="S2308" s="246">
        <v>0.5</v>
      </c>
      <c r="T2308" s="245">
        <f t="shared" si="274"/>
        <v>0</v>
      </c>
      <c r="U2308" s="245">
        <f t="shared" si="275"/>
        <v>0</v>
      </c>
      <c r="V2308" s="247"/>
    </row>
    <row r="2309" spans="1:22" ht="15.75" x14ac:dyDescent="0.25">
      <c r="A2309" s="236"/>
      <c r="B2309" s="237"/>
      <c r="C2309" s="238"/>
      <c r="D2309" s="239"/>
      <c r="E2309" s="240"/>
      <c r="F2309" s="240"/>
      <c r="G2309" s="240"/>
      <c r="H2309" s="241">
        <f t="shared" si="270"/>
        <v>0</v>
      </c>
      <c r="I2309" s="242"/>
      <c r="J2309" s="243"/>
      <c r="K2309" s="243"/>
      <c r="L2309" s="244">
        <v>0.1</v>
      </c>
      <c r="M2309" s="244">
        <f t="shared" si="271"/>
        <v>0</v>
      </c>
      <c r="N2309" s="244"/>
      <c r="O2309" s="244"/>
      <c r="P2309" s="244"/>
      <c r="Q2309" s="245">
        <f t="shared" si="272"/>
        <v>0</v>
      </c>
      <c r="R2309" s="245">
        <f t="shared" si="273"/>
        <v>0</v>
      </c>
      <c r="S2309" s="246">
        <v>0.5</v>
      </c>
      <c r="T2309" s="245">
        <f t="shared" si="274"/>
        <v>0</v>
      </c>
      <c r="U2309" s="245">
        <f t="shared" si="275"/>
        <v>0</v>
      </c>
      <c r="V2309" s="247"/>
    </row>
    <row r="2310" spans="1:22" ht="15.75" x14ac:dyDescent="0.25">
      <c r="A2310" s="236"/>
      <c r="B2310" s="237"/>
      <c r="C2310" s="238"/>
      <c r="D2310" s="239"/>
      <c r="E2310" s="240"/>
      <c r="F2310" s="240"/>
      <c r="G2310" s="240"/>
      <c r="H2310" s="241">
        <f t="shared" si="270"/>
        <v>0</v>
      </c>
      <c r="I2310" s="242"/>
      <c r="J2310" s="243"/>
      <c r="K2310" s="243"/>
      <c r="L2310" s="244">
        <v>0.1</v>
      </c>
      <c r="M2310" s="244">
        <f t="shared" si="271"/>
        <v>0</v>
      </c>
      <c r="N2310" s="244"/>
      <c r="O2310" s="244"/>
      <c r="P2310" s="244"/>
      <c r="Q2310" s="245">
        <f t="shared" si="272"/>
        <v>0</v>
      </c>
      <c r="R2310" s="245">
        <f t="shared" si="273"/>
        <v>0</v>
      </c>
      <c r="S2310" s="246">
        <v>0.5</v>
      </c>
      <c r="T2310" s="245">
        <f t="shared" si="274"/>
        <v>0</v>
      </c>
      <c r="U2310" s="245">
        <f t="shared" si="275"/>
        <v>0</v>
      </c>
      <c r="V2310" s="247"/>
    </row>
    <row r="2311" spans="1:22" ht="15.75" x14ac:dyDescent="0.25">
      <c r="A2311" s="236"/>
      <c r="B2311" s="237"/>
      <c r="C2311" s="238"/>
      <c r="D2311" s="239"/>
      <c r="E2311" s="240"/>
      <c r="F2311" s="240"/>
      <c r="G2311" s="240"/>
      <c r="H2311" s="241">
        <f t="shared" si="270"/>
        <v>0</v>
      </c>
      <c r="I2311" s="242"/>
      <c r="J2311" s="243"/>
      <c r="K2311" s="243"/>
      <c r="L2311" s="244">
        <v>0.1</v>
      </c>
      <c r="M2311" s="244">
        <f t="shared" si="271"/>
        <v>0</v>
      </c>
      <c r="N2311" s="244"/>
      <c r="O2311" s="244"/>
      <c r="P2311" s="244"/>
      <c r="Q2311" s="245">
        <f t="shared" si="272"/>
        <v>0</v>
      </c>
      <c r="R2311" s="245">
        <f t="shared" si="273"/>
        <v>0</v>
      </c>
      <c r="S2311" s="246">
        <v>0.5</v>
      </c>
      <c r="T2311" s="245">
        <f t="shared" si="274"/>
        <v>0</v>
      </c>
      <c r="U2311" s="245">
        <f t="shared" si="275"/>
        <v>0</v>
      </c>
      <c r="V2311" s="247"/>
    </row>
    <row r="2312" spans="1:22" ht="15.75" x14ac:dyDescent="0.25">
      <c r="A2312" s="236"/>
      <c r="B2312" s="237"/>
      <c r="C2312" s="238"/>
      <c r="D2312" s="239"/>
      <c r="E2312" s="240"/>
      <c r="F2312" s="240"/>
      <c r="G2312" s="240"/>
      <c r="H2312" s="241">
        <f t="shared" si="270"/>
        <v>0</v>
      </c>
      <c r="I2312" s="242"/>
      <c r="J2312" s="243"/>
      <c r="K2312" s="243"/>
      <c r="L2312" s="244">
        <v>0.1</v>
      </c>
      <c r="M2312" s="244">
        <f t="shared" si="271"/>
        <v>0</v>
      </c>
      <c r="N2312" s="244"/>
      <c r="O2312" s="244"/>
      <c r="P2312" s="244"/>
      <c r="Q2312" s="245">
        <f t="shared" si="272"/>
        <v>0</v>
      </c>
      <c r="R2312" s="245">
        <f t="shared" si="273"/>
        <v>0</v>
      </c>
      <c r="S2312" s="246">
        <v>0.5</v>
      </c>
      <c r="T2312" s="245">
        <f t="shared" si="274"/>
        <v>0</v>
      </c>
      <c r="U2312" s="245">
        <f t="shared" si="275"/>
        <v>0</v>
      </c>
      <c r="V2312" s="247"/>
    </row>
    <row r="2313" spans="1:22" ht="15.75" x14ac:dyDescent="0.25">
      <c r="A2313" s="236"/>
      <c r="B2313" s="237"/>
      <c r="C2313" s="238"/>
      <c r="D2313" s="239"/>
      <c r="E2313" s="240"/>
      <c r="F2313" s="240"/>
      <c r="G2313" s="240"/>
      <c r="H2313" s="241">
        <f t="shared" si="270"/>
        <v>0</v>
      </c>
      <c r="I2313" s="242"/>
      <c r="J2313" s="243"/>
      <c r="K2313" s="243"/>
      <c r="L2313" s="244">
        <v>0.1</v>
      </c>
      <c r="M2313" s="244">
        <f t="shared" si="271"/>
        <v>0</v>
      </c>
      <c r="N2313" s="244"/>
      <c r="O2313" s="244"/>
      <c r="P2313" s="244"/>
      <c r="Q2313" s="245">
        <f t="shared" si="272"/>
        <v>0</v>
      </c>
      <c r="R2313" s="245">
        <f t="shared" si="273"/>
        <v>0</v>
      </c>
      <c r="S2313" s="246">
        <v>0.5</v>
      </c>
      <c r="T2313" s="245">
        <f t="shared" si="274"/>
        <v>0</v>
      </c>
      <c r="U2313" s="245">
        <f t="shared" si="275"/>
        <v>0</v>
      </c>
      <c r="V2313" s="247"/>
    </row>
    <row r="2314" spans="1:22" ht="15.75" x14ac:dyDescent="0.25">
      <c r="A2314" s="236"/>
      <c r="B2314" s="237"/>
      <c r="C2314" s="238"/>
      <c r="D2314" s="239"/>
      <c r="E2314" s="240"/>
      <c r="F2314" s="240"/>
      <c r="G2314" s="240"/>
      <c r="H2314" s="241">
        <f t="shared" si="270"/>
        <v>0</v>
      </c>
      <c r="I2314" s="242"/>
      <c r="J2314" s="243"/>
      <c r="K2314" s="243"/>
      <c r="L2314" s="244">
        <v>0.1</v>
      </c>
      <c r="M2314" s="244">
        <f t="shared" si="271"/>
        <v>0</v>
      </c>
      <c r="N2314" s="244"/>
      <c r="O2314" s="244"/>
      <c r="P2314" s="244"/>
      <c r="Q2314" s="245">
        <f t="shared" si="272"/>
        <v>0</v>
      </c>
      <c r="R2314" s="245">
        <f t="shared" si="273"/>
        <v>0</v>
      </c>
      <c r="S2314" s="246">
        <v>0.5</v>
      </c>
      <c r="T2314" s="245">
        <f t="shared" si="274"/>
        <v>0</v>
      </c>
      <c r="U2314" s="245">
        <f t="shared" si="275"/>
        <v>0</v>
      </c>
      <c r="V2314" s="247"/>
    </row>
    <row r="2315" spans="1:22" ht="15.75" x14ac:dyDescent="0.25">
      <c r="A2315" s="236"/>
      <c r="B2315" s="237"/>
      <c r="C2315" s="238"/>
      <c r="D2315" s="239"/>
      <c r="E2315" s="240"/>
      <c r="F2315" s="240"/>
      <c r="G2315" s="240"/>
      <c r="H2315" s="241">
        <f t="shared" si="270"/>
        <v>0</v>
      </c>
      <c r="I2315" s="242"/>
      <c r="J2315" s="243"/>
      <c r="K2315" s="243"/>
      <c r="L2315" s="244">
        <v>0.1</v>
      </c>
      <c r="M2315" s="244">
        <f t="shared" si="271"/>
        <v>0</v>
      </c>
      <c r="N2315" s="244"/>
      <c r="O2315" s="244"/>
      <c r="P2315" s="244"/>
      <c r="Q2315" s="245">
        <f t="shared" si="272"/>
        <v>0</v>
      </c>
      <c r="R2315" s="245">
        <f t="shared" si="273"/>
        <v>0</v>
      </c>
      <c r="S2315" s="246">
        <v>0.5</v>
      </c>
      <c r="T2315" s="245">
        <f t="shared" si="274"/>
        <v>0</v>
      </c>
      <c r="U2315" s="245">
        <f t="shared" si="275"/>
        <v>0</v>
      </c>
      <c r="V2315" s="247"/>
    </row>
    <row r="2316" spans="1:22" ht="15.75" x14ac:dyDescent="0.25">
      <c r="A2316" s="236"/>
      <c r="B2316" s="237"/>
      <c r="C2316" s="238"/>
      <c r="D2316" s="239"/>
      <c r="E2316" s="240"/>
      <c r="F2316" s="240"/>
      <c r="G2316" s="240"/>
      <c r="H2316" s="241">
        <f t="shared" si="270"/>
        <v>0</v>
      </c>
      <c r="I2316" s="242"/>
      <c r="J2316" s="243"/>
      <c r="K2316" s="243"/>
      <c r="L2316" s="244">
        <v>0.1</v>
      </c>
      <c r="M2316" s="244">
        <f t="shared" si="271"/>
        <v>0</v>
      </c>
      <c r="N2316" s="244"/>
      <c r="O2316" s="244"/>
      <c r="P2316" s="244"/>
      <c r="Q2316" s="245">
        <f t="shared" si="272"/>
        <v>0</v>
      </c>
      <c r="R2316" s="245">
        <f t="shared" si="273"/>
        <v>0</v>
      </c>
      <c r="S2316" s="246">
        <v>0.5</v>
      </c>
      <c r="T2316" s="245">
        <f t="shared" si="274"/>
        <v>0</v>
      </c>
      <c r="U2316" s="245">
        <f t="shared" si="275"/>
        <v>0</v>
      </c>
      <c r="V2316" s="247"/>
    </row>
    <row r="2317" spans="1:22" ht="15.75" x14ac:dyDescent="0.25">
      <c r="A2317" s="236"/>
      <c r="B2317" s="237"/>
      <c r="C2317" s="238"/>
      <c r="D2317" s="239"/>
      <c r="E2317" s="240"/>
      <c r="F2317" s="240"/>
      <c r="G2317" s="240"/>
      <c r="H2317" s="241">
        <f t="shared" si="270"/>
        <v>0</v>
      </c>
      <c r="I2317" s="242"/>
      <c r="J2317" s="243"/>
      <c r="K2317" s="243"/>
      <c r="L2317" s="244">
        <v>0.1</v>
      </c>
      <c r="M2317" s="244">
        <f t="shared" si="271"/>
        <v>0</v>
      </c>
      <c r="N2317" s="244"/>
      <c r="O2317" s="244"/>
      <c r="P2317" s="244"/>
      <c r="Q2317" s="245">
        <f t="shared" si="272"/>
        <v>0</v>
      </c>
      <c r="R2317" s="245">
        <f t="shared" si="273"/>
        <v>0</v>
      </c>
      <c r="S2317" s="246">
        <v>0.5</v>
      </c>
      <c r="T2317" s="245">
        <f t="shared" si="274"/>
        <v>0</v>
      </c>
      <c r="U2317" s="245">
        <f t="shared" si="275"/>
        <v>0</v>
      </c>
      <c r="V2317" s="247"/>
    </row>
    <row r="2318" spans="1:22" ht="15.75" x14ac:dyDescent="0.25">
      <c r="A2318" s="236"/>
      <c r="B2318" s="237"/>
      <c r="C2318" s="238"/>
      <c r="D2318" s="239"/>
      <c r="E2318" s="240"/>
      <c r="F2318" s="240"/>
      <c r="G2318" s="240"/>
      <c r="H2318" s="241">
        <f t="shared" si="270"/>
        <v>0</v>
      </c>
      <c r="I2318" s="242"/>
      <c r="J2318" s="243"/>
      <c r="K2318" s="243"/>
      <c r="L2318" s="244">
        <v>0.1</v>
      </c>
      <c r="M2318" s="244">
        <f t="shared" si="271"/>
        <v>0</v>
      </c>
      <c r="N2318" s="244"/>
      <c r="O2318" s="244"/>
      <c r="P2318" s="244"/>
      <c r="Q2318" s="245">
        <f t="shared" si="272"/>
        <v>0</v>
      </c>
      <c r="R2318" s="245">
        <f t="shared" si="273"/>
        <v>0</v>
      </c>
      <c r="S2318" s="246">
        <v>0.5</v>
      </c>
      <c r="T2318" s="245">
        <f t="shared" si="274"/>
        <v>0</v>
      </c>
      <c r="U2318" s="245">
        <f t="shared" si="275"/>
        <v>0</v>
      </c>
      <c r="V2318" s="247"/>
    </row>
    <row r="2319" spans="1:22" ht="15.75" x14ac:dyDescent="0.25">
      <c r="A2319" s="236"/>
      <c r="B2319" s="237"/>
      <c r="C2319" s="238"/>
      <c r="D2319" s="239"/>
      <c r="E2319" s="240"/>
      <c r="F2319" s="240"/>
      <c r="G2319" s="240"/>
      <c r="H2319" s="241">
        <f t="shared" si="270"/>
        <v>0</v>
      </c>
      <c r="I2319" s="242"/>
      <c r="J2319" s="243"/>
      <c r="K2319" s="243"/>
      <c r="L2319" s="244">
        <v>0.1</v>
      </c>
      <c r="M2319" s="244">
        <f t="shared" si="271"/>
        <v>0</v>
      </c>
      <c r="N2319" s="244"/>
      <c r="O2319" s="244"/>
      <c r="P2319" s="244"/>
      <c r="Q2319" s="245">
        <f t="shared" si="272"/>
        <v>0</v>
      </c>
      <c r="R2319" s="245">
        <f t="shared" si="273"/>
        <v>0</v>
      </c>
      <c r="S2319" s="246">
        <v>0.5</v>
      </c>
      <c r="T2319" s="245">
        <f t="shared" si="274"/>
        <v>0</v>
      </c>
      <c r="U2319" s="245">
        <f t="shared" si="275"/>
        <v>0</v>
      </c>
      <c r="V2319" s="247"/>
    </row>
    <row r="2320" spans="1:22" ht="15.75" x14ac:dyDescent="0.25">
      <c r="A2320" s="236"/>
      <c r="B2320" s="237"/>
      <c r="C2320" s="238"/>
      <c r="D2320" s="239"/>
      <c r="E2320" s="240"/>
      <c r="F2320" s="240"/>
      <c r="G2320" s="240"/>
      <c r="H2320" s="241">
        <f t="shared" si="270"/>
        <v>0</v>
      </c>
      <c r="I2320" s="242"/>
      <c r="J2320" s="243"/>
      <c r="K2320" s="243"/>
      <c r="L2320" s="244">
        <v>0.1</v>
      </c>
      <c r="M2320" s="244">
        <f t="shared" si="271"/>
        <v>0</v>
      </c>
      <c r="N2320" s="244"/>
      <c r="O2320" s="244"/>
      <c r="P2320" s="244"/>
      <c r="Q2320" s="245">
        <f t="shared" si="272"/>
        <v>0</v>
      </c>
      <c r="R2320" s="245">
        <f t="shared" si="273"/>
        <v>0</v>
      </c>
      <c r="S2320" s="246">
        <v>0.5</v>
      </c>
      <c r="T2320" s="245">
        <f t="shared" si="274"/>
        <v>0</v>
      </c>
      <c r="U2320" s="245">
        <f t="shared" si="275"/>
        <v>0</v>
      </c>
      <c r="V2320" s="247"/>
    </row>
    <row r="2321" spans="1:22" ht="15.75" x14ac:dyDescent="0.25">
      <c r="A2321" s="236"/>
      <c r="B2321" s="237"/>
      <c r="C2321" s="238"/>
      <c r="D2321" s="239"/>
      <c r="E2321" s="240"/>
      <c r="F2321" s="240"/>
      <c r="G2321" s="240"/>
      <c r="H2321" s="241">
        <f t="shared" si="270"/>
        <v>0</v>
      </c>
      <c r="I2321" s="242"/>
      <c r="J2321" s="243"/>
      <c r="K2321" s="243"/>
      <c r="L2321" s="244">
        <v>0.1</v>
      </c>
      <c r="M2321" s="244">
        <f t="shared" si="271"/>
        <v>0</v>
      </c>
      <c r="N2321" s="244"/>
      <c r="O2321" s="244"/>
      <c r="P2321" s="244"/>
      <c r="Q2321" s="245">
        <f t="shared" si="272"/>
        <v>0</v>
      </c>
      <c r="R2321" s="245">
        <f t="shared" si="273"/>
        <v>0</v>
      </c>
      <c r="S2321" s="246">
        <v>0.5</v>
      </c>
      <c r="T2321" s="245">
        <f t="shared" si="274"/>
        <v>0</v>
      </c>
      <c r="U2321" s="245">
        <f t="shared" si="275"/>
        <v>0</v>
      </c>
      <c r="V2321" s="247"/>
    </row>
    <row r="2322" spans="1:22" ht="15.75" x14ac:dyDescent="0.25">
      <c r="A2322" s="236"/>
      <c r="B2322" s="237"/>
      <c r="C2322" s="238"/>
      <c r="D2322" s="239"/>
      <c r="E2322" s="240"/>
      <c r="F2322" s="240"/>
      <c r="G2322" s="240"/>
      <c r="H2322" s="241">
        <f t="shared" si="270"/>
        <v>0</v>
      </c>
      <c r="I2322" s="242"/>
      <c r="J2322" s="243"/>
      <c r="K2322" s="243"/>
      <c r="L2322" s="244">
        <v>0.1</v>
      </c>
      <c r="M2322" s="244">
        <f t="shared" si="271"/>
        <v>0</v>
      </c>
      <c r="N2322" s="244"/>
      <c r="O2322" s="244"/>
      <c r="P2322" s="244"/>
      <c r="Q2322" s="245">
        <f t="shared" si="272"/>
        <v>0</v>
      </c>
      <c r="R2322" s="245">
        <f t="shared" si="273"/>
        <v>0</v>
      </c>
      <c r="S2322" s="246">
        <v>0.5</v>
      </c>
      <c r="T2322" s="245">
        <f t="shared" si="274"/>
        <v>0</v>
      </c>
      <c r="U2322" s="245">
        <f t="shared" si="275"/>
        <v>0</v>
      </c>
      <c r="V2322" s="247"/>
    </row>
    <row r="2323" spans="1:22" ht="15.75" x14ac:dyDescent="0.25">
      <c r="A2323" s="236"/>
      <c r="B2323" s="237"/>
      <c r="C2323" s="238"/>
      <c r="D2323" s="239"/>
      <c r="E2323" s="240"/>
      <c r="F2323" s="240"/>
      <c r="G2323" s="240"/>
      <c r="H2323" s="241">
        <f t="shared" si="270"/>
        <v>0</v>
      </c>
      <c r="I2323" s="242"/>
      <c r="J2323" s="243"/>
      <c r="K2323" s="243"/>
      <c r="L2323" s="244">
        <v>0.1</v>
      </c>
      <c r="M2323" s="244">
        <f t="shared" si="271"/>
        <v>0</v>
      </c>
      <c r="N2323" s="244"/>
      <c r="O2323" s="244"/>
      <c r="P2323" s="244"/>
      <c r="Q2323" s="245">
        <f t="shared" si="272"/>
        <v>0</v>
      </c>
      <c r="R2323" s="245">
        <f t="shared" si="273"/>
        <v>0</v>
      </c>
      <c r="S2323" s="246">
        <v>0.5</v>
      </c>
      <c r="T2323" s="245">
        <f t="shared" si="274"/>
        <v>0</v>
      </c>
      <c r="U2323" s="245">
        <f t="shared" si="275"/>
        <v>0</v>
      </c>
      <c r="V2323" s="247"/>
    </row>
    <row r="2324" spans="1:22" ht="15.75" x14ac:dyDescent="0.25">
      <c r="A2324" s="236"/>
      <c r="B2324" s="237"/>
      <c r="C2324" s="238"/>
      <c r="D2324" s="239"/>
      <c r="E2324" s="240"/>
      <c r="F2324" s="240"/>
      <c r="G2324" s="240"/>
      <c r="H2324" s="241">
        <f t="shared" si="270"/>
        <v>0</v>
      </c>
      <c r="I2324" s="242"/>
      <c r="J2324" s="243"/>
      <c r="K2324" s="243"/>
      <c r="L2324" s="244">
        <v>0.1</v>
      </c>
      <c r="M2324" s="244">
        <f t="shared" si="271"/>
        <v>0</v>
      </c>
      <c r="N2324" s="244"/>
      <c r="O2324" s="244"/>
      <c r="P2324" s="244"/>
      <c r="Q2324" s="245">
        <f t="shared" si="272"/>
        <v>0</v>
      </c>
      <c r="R2324" s="245">
        <f t="shared" si="273"/>
        <v>0</v>
      </c>
      <c r="S2324" s="246">
        <v>0.5</v>
      </c>
      <c r="T2324" s="245">
        <f t="shared" si="274"/>
        <v>0</v>
      </c>
      <c r="U2324" s="245">
        <f t="shared" si="275"/>
        <v>0</v>
      </c>
      <c r="V2324" s="247"/>
    </row>
    <row r="2325" spans="1:22" ht="15.75" x14ac:dyDescent="0.25">
      <c r="A2325" s="236"/>
      <c r="B2325" s="237"/>
      <c r="C2325" s="238"/>
      <c r="D2325" s="239"/>
      <c r="E2325" s="240"/>
      <c r="F2325" s="240"/>
      <c r="G2325" s="240"/>
      <c r="H2325" s="241">
        <f t="shared" si="270"/>
        <v>0</v>
      </c>
      <c r="I2325" s="242"/>
      <c r="J2325" s="243"/>
      <c r="K2325" s="243"/>
      <c r="L2325" s="244">
        <v>0.1</v>
      </c>
      <c r="M2325" s="244">
        <f t="shared" si="271"/>
        <v>0</v>
      </c>
      <c r="N2325" s="244"/>
      <c r="O2325" s="244"/>
      <c r="P2325" s="244"/>
      <c r="Q2325" s="245">
        <f t="shared" si="272"/>
        <v>0</v>
      </c>
      <c r="R2325" s="245">
        <f t="shared" si="273"/>
        <v>0</v>
      </c>
      <c r="S2325" s="246">
        <v>0.5</v>
      </c>
      <c r="T2325" s="245">
        <f t="shared" si="274"/>
        <v>0</v>
      </c>
      <c r="U2325" s="245">
        <f t="shared" si="275"/>
        <v>0</v>
      </c>
      <c r="V2325" s="247"/>
    </row>
    <row r="2326" spans="1:22" ht="15.75" x14ac:dyDescent="0.25">
      <c r="A2326" s="236"/>
      <c r="B2326" s="237"/>
      <c r="C2326" s="238"/>
      <c r="D2326" s="239"/>
      <c r="E2326" s="240"/>
      <c r="F2326" s="240"/>
      <c r="G2326" s="240"/>
      <c r="H2326" s="241">
        <f t="shared" si="270"/>
        <v>0</v>
      </c>
      <c r="I2326" s="242"/>
      <c r="J2326" s="243"/>
      <c r="K2326" s="243"/>
      <c r="L2326" s="244">
        <v>0.1</v>
      </c>
      <c r="M2326" s="244">
        <f t="shared" si="271"/>
        <v>0</v>
      </c>
      <c r="N2326" s="244"/>
      <c r="O2326" s="244"/>
      <c r="P2326" s="244"/>
      <c r="Q2326" s="245">
        <f t="shared" si="272"/>
        <v>0</v>
      </c>
      <c r="R2326" s="245">
        <f t="shared" si="273"/>
        <v>0</v>
      </c>
      <c r="S2326" s="246">
        <v>0.5</v>
      </c>
      <c r="T2326" s="245">
        <f t="shared" si="274"/>
        <v>0</v>
      </c>
      <c r="U2326" s="245">
        <f t="shared" si="275"/>
        <v>0</v>
      </c>
      <c r="V2326" s="247"/>
    </row>
    <row r="2327" spans="1:22" ht="15.75" x14ac:dyDescent="0.25">
      <c r="A2327" s="236"/>
      <c r="B2327" s="237"/>
      <c r="C2327" s="238"/>
      <c r="D2327" s="239"/>
      <c r="E2327" s="240"/>
      <c r="F2327" s="240"/>
      <c r="G2327" s="240"/>
      <c r="H2327" s="241">
        <f t="shared" si="270"/>
        <v>0</v>
      </c>
      <c r="I2327" s="242"/>
      <c r="J2327" s="243"/>
      <c r="K2327" s="243"/>
      <c r="L2327" s="244">
        <v>0.1</v>
      </c>
      <c r="M2327" s="244">
        <f t="shared" si="271"/>
        <v>0</v>
      </c>
      <c r="N2327" s="244"/>
      <c r="O2327" s="244"/>
      <c r="P2327" s="244"/>
      <c r="Q2327" s="245">
        <f t="shared" si="272"/>
        <v>0</v>
      </c>
      <c r="R2327" s="245">
        <f t="shared" si="273"/>
        <v>0</v>
      </c>
      <c r="S2327" s="246">
        <v>0.5</v>
      </c>
      <c r="T2327" s="245">
        <f t="shared" si="274"/>
        <v>0</v>
      </c>
      <c r="U2327" s="245">
        <f t="shared" si="275"/>
        <v>0</v>
      </c>
      <c r="V2327" s="247"/>
    </row>
    <row r="2328" spans="1:22" ht="15.75" x14ac:dyDescent="0.25">
      <c r="A2328" s="236"/>
      <c r="B2328" s="237"/>
      <c r="C2328" s="238"/>
      <c r="D2328" s="239"/>
      <c r="E2328" s="240"/>
      <c r="F2328" s="240"/>
      <c r="G2328" s="240"/>
      <c r="H2328" s="241">
        <f t="shared" si="270"/>
        <v>0</v>
      </c>
      <c r="I2328" s="242"/>
      <c r="J2328" s="243"/>
      <c r="K2328" s="243"/>
      <c r="L2328" s="244">
        <v>0.1</v>
      </c>
      <c r="M2328" s="244">
        <f t="shared" si="271"/>
        <v>0</v>
      </c>
      <c r="N2328" s="244"/>
      <c r="O2328" s="244"/>
      <c r="P2328" s="244"/>
      <c r="Q2328" s="245">
        <f t="shared" si="272"/>
        <v>0</v>
      </c>
      <c r="R2328" s="245">
        <f t="shared" si="273"/>
        <v>0</v>
      </c>
      <c r="S2328" s="246">
        <v>0.5</v>
      </c>
      <c r="T2328" s="245">
        <f t="shared" si="274"/>
        <v>0</v>
      </c>
      <c r="U2328" s="245">
        <f t="shared" si="275"/>
        <v>0</v>
      </c>
      <c r="V2328" s="247"/>
    </row>
    <row r="2329" spans="1:22" ht="15.75" x14ac:dyDescent="0.25">
      <c r="A2329" s="236"/>
      <c r="B2329" s="237"/>
      <c r="C2329" s="238"/>
      <c r="D2329" s="239"/>
      <c r="E2329" s="240"/>
      <c r="F2329" s="240"/>
      <c r="G2329" s="240"/>
      <c r="H2329" s="241">
        <f t="shared" si="270"/>
        <v>0</v>
      </c>
      <c r="I2329" s="242"/>
      <c r="J2329" s="243"/>
      <c r="K2329" s="243"/>
      <c r="L2329" s="244">
        <v>0.1</v>
      </c>
      <c r="M2329" s="244">
        <f t="shared" si="271"/>
        <v>0</v>
      </c>
      <c r="N2329" s="244"/>
      <c r="O2329" s="244"/>
      <c r="P2329" s="244"/>
      <c r="Q2329" s="245">
        <f t="shared" si="272"/>
        <v>0</v>
      </c>
      <c r="R2329" s="245">
        <f t="shared" si="273"/>
        <v>0</v>
      </c>
      <c r="S2329" s="246">
        <v>0.5</v>
      </c>
      <c r="T2329" s="245">
        <f t="shared" si="274"/>
        <v>0</v>
      </c>
      <c r="U2329" s="245">
        <f t="shared" si="275"/>
        <v>0</v>
      </c>
      <c r="V2329" s="247"/>
    </row>
    <row r="2330" spans="1:22" ht="15.75" x14ac:dyDescent="0.25">
      <c r="A2330" s="236"/>
      <c r="B2330" s="237"/>
      <c r="C2330" s="238"/>
      <c r="D2330" s="239"/>
      <c r="E2330" s="240"/>
      <c r="F2330" s="240"/>
      <c r="G2330" s="240"/>
      <c r="H2330" s="241">
        <f t="shared" si="270"/>
        <v>0</v>
      </c>
      <c r="I2330" s="242"/>
      <c r="J2330" s="243"/>
      <c r="K2330" s="243"/>
      <c r="L2330" s="244">
        <v>0.1</v>
      </c>
      <c r="M2330" s="244">
        <f t="shared" si="271"/>
        <v>0</v>
      </c>
      <c r="N2330" s="244"/>
      <c r="O2330" s="244"/>
      <c r="P2330" s="244"/>
      <c r="Q2330" s="245">
        <f t="shared" si="272"/>
        <v>0</v>
      </c>
      <c r="R2330" s="245">
        <f t="shared" si="273"/>
        <v>0</v>
      </c>
      <c r="S2330" s="246">
        <v>0.5</v>
      </c>
      <c r="T2330" s="245">
        <f t="shared" si="274"/>
        <v>0</v>
      </c>
      <c r="U2330" s="245">
        <f t="shared" si="275"/>
        <v>0</v>
      </c>
      <c r="V2330" s="247"/>
    </row>
    <row r="2331" spans="1:22" ht="15.75" x14ac:dyDescent="0.25">
      <c r="A2331" s="236"/>
      <c r="B2331" s="237"/>
      <c r="C2331" s="238"/>
      <c r="D2331" s="239"/>
      <c r="E2331" s="240"/>
      <c r="F2331" s="240"/>
      <c r="G2331" s="240"/>
      <c r="H2331" s="241">
        <f t="shared" si="270"/>
        <v>0</v>
      </c>
      <c r="I2331" s="242"/>
      <c r="J2331" s="243"/>
      <c r="K2331" s="243"/>
      <c r="L2331" s="244">
        <v>0.1</v>
      </c>
      <c r="M2331" s="244">
        <f t="shared" si="271"/>
        <v>0</v>
      </c>
      <c r="N2331" s="244"/>
      <c r="O2331" s="244"/>
      <c r="P2331" s="244"/>
      <c r="Q2331" s="245">
        <f t="shared" si="272"/>
        <v>0</v>
      </c>
      <c r="R2331" s="245">
        <f t="shared" si="273"/>
        <v>0</v>
      </c>
      <c r="S2331" s="246">
        <v>0.5</v>
      </c>
      <c r="T2331" s="245">
        <f t="shared" si="274"/>
        <v>0</v>
      </c>
      <c r="U2331" s="245">
        <f t="shared" si="275"/>
        <v>0</v>
      </c>
      <c r="V2331" s="247"/>
    </row>
    <row r="2332" spans="1:22" ht="15.75" x14ac:dyDescent="0.25">
      <c r="A2332" s="236"/>
      <c r="B2332" s="237"/>
      <c r="C2332" s="238"/>
      <c r="D2332" s="239"/>
      <c r="E2332" s="240"/>
      <c r="F2332" s="240"/>
      <c r="G2332" s="240"/>
      <c r="H2332" s="241">
        <f t="shared" si="270"/>
        <v>0</v>
      </c>
      <c r="I2332" s="242"/>
      <c r="J2332" s="243"/>
      <c r="K2332" s="243"/>
      <c r="L2332" s="244">
        <v>0.1</v>
      </c>
      <c r="M2332" s="244">
        <f t="shared" si="271"/>
        <v>0</v>
      </c>
      <c r="N2332" s="244"/>
      <c r="O2332" s="244"/>
      <c r="P2332" s="244"/>
      <c r="Q2332" s="245">
        <f t="shared" si="272"/>
        <v>0</v>
      </c>
      <c r="R2332" s="245">
        <f t="shared" si="273"/>
        <v>0</v>
      </c>
      <c r="S2332" s="246">
        <v>0.5</v>
      </c>
      <c r="T2332" s="245">
        <f t="shared" si="274"/>
        <v>0</v>
      </c>
      <c r="U2332" s="245">
        <f t="shared" si="275"/>
        <v>0</v>
      </c>
      <c r="V2332" s="247"/>
    </row>
    <row r="2333" spans="1:22" ht="15.75" x14ac:dyDescent="0.25">
      <c r="A2333" s="236"/>
      <c r="B2333" s="237"/>
      <c r="C2333" s="238"/>
      <c r="D2333" s="239"/>
      <c r="E2333" s="240"/>
      <c r="F2333" s="240"/>
      <c r="G2333" s="240"/>
      <c r="H2333" s="241">
        <f t="shared" si="270"/>
        <v>0</v>
      </c>
      <c r="I2333" s="242"/>
      <c r="J2333" s="243"/>
      <c r="K2333" s="243"/>
      <c r="L2333" s="244">
        <v>0.1</v>
      </c>
      <c r="M2333" s="244">
        <f t="shared" si="271"/>
        <v>0</v>
      </c>
      <c r="N2333" s="244"/>
      <c r="O2333" s="244"/>
      <c r="P2333" s="244"/>
      <c r="Q2333" s="245">
        <f t="shared" si="272"/>
        <v>0</v>
      </c>
      <c r="R2333" s="245">
        <f t="shared" si="273"/>
        <v>0</v>
      </c>
      <c r="S2333" s="246">
        <v>0.5</v>
      </c>
      <c r="T2333" s="245">
        <f t="shared" si="274"/>
        <v>0</v>
      </c>
      <c r="U2333" s="245">
        <f t="shared" si="275"/>
        <v>0</v>
      </c>
      <c r="V2333" s="247"/>
    </row>
    <row r="2334" spans="1:22" ht="15.75" x14ac:dyDescent="0.25">
      <c r="A2334" s="236"/>
      <c r="B2334" s="237"/>
      <c r="C2334" s="238"/>
      <c r="D2334" s="239"/>
      <c r="E2334" s="240"/>
      <c r="F2334" s="240"/>
      <c r="G2334" s="240"/>
      <c r="H2334" s="241">
        <f t="shared" si="270"/>
        <v>0</v>
      </c>
      <c r="I2334" s="242"/>
      <c r="J2334" s="243"/>
      <c r="K2334" s="243"/>
      <c r="L2334" s="244">
        <v>0.1</v>
      </c>
      <c r="M2334" s="244">
        <f t="shared" si="271"/>
        <v>0</v>
      </c>
      <c r="N2334" s="244"/>
      <c r="O2334" s="244"/>
      <c r="P2334" s="244"/>
      <c r="Q2334" s="245">
        <f t="shared" si="272"/>
        <v>0</v>
      </c>
      <c r="R2334" s="245">
        <f t="shared" si="273"/>
        <v>0</v>
      </c>
      <c r="S2334" s="246">
        <v>0.5</v>
      </c>
      <c r="T2334" s="245">
        <f t="shared" si="274"/>
        <v>0</v>
      </c>
      <c r="U2334" s="245">
        <f t="shared" si="275"/>
        <v>0</v>
      </c>
      <c r="V2334" s="247"/>
    </row>
    <row r="2335" spans="1:22" ht="15.75" x14ac:dyDescent="0.25">
      <c r="A2335" s="236"/>
      <c r="B2335" s="237"/>
      <c r="C2335" s="238"/>
      <c r="D2335" s="239"/>
      <c r="E2335" s="240"/>
      <c r="F2335" s="240"/>
      <c r="G2335" s="240"/>
      <c r="H2335" s="241">
        <f t="shared" si="270"/>
        <v>0</v>
      </c>
      <c r="I2335" s="242"/>
      <c r="J2335" s="243"/>
      <c r="K2335" s="243"/>
      <c r="L2335" s="244">
        <v>0.1</v>
      </c>
      <c r="M2335" s="244">
        <f t="shared" si="271"/>
        <v>0</v>
      </c>
      <c r="N2335" s="244"/>
      <c r="O2335" s="244"/>
      <c r="P2335" s="244"/>
      <c r="Q2335" s="245">
        <f t="shared" si="272"/>
        <v>0</v>
      </c>
      <c r="R2335" s="245">
        <f t="shared" si="273"/>
        <v>0</v>
      </c>
      <c r="S2335" s="246">
        <v>0.5</v>
      </c>
      <c r="T2335" s="245">
        <f t="shared" si="274"/>
        <v>0</v>
      </c>
      <c r="U2335" s="245">
        <f t="shared" si="275"/>
        <v>0</v>
      </c>
      <c r="V2335" s="247"/>
    </row>
    <row r="2336" spans="1:22" ht="15.75" x14ac:dyDescent="0.25">
      <c r="A2336" s="236"/>
      <c r="B2336" s="237"/>
      <c r="C2336" s="238"/>
      <c r="D2336" s="239"/>
      <c r="E2336" s="240"/>
      <c r="F2336" s="240"/>
      <c r="G2336" s="240"/>
      <c r="H2336" s="241">
        <f t="shared" si="270"/>
        <v>0</v>
      </c>
      <c r="I2336" s="242"/>
      <c r="J2336" s="243"/>
      <c r="K2336" s="243"/>
      <c r="L2336" s="244">
        <v>0.1</v>
      </c>
      <c r="M2336" s="244">
        <f t="shared" si="271"/>
        <v>0</v>
      </c>
      <c r="N2336" s="244"/>
      <c r="O2336" s="244"/>
      <c r="P2336" s="244"/>
      <c r="Q2336" s="245">
        <f t="shared" si="272"/>
        <v>0</v>
      </c>
      <c r="R2336" s="245">
        <f t="shared" si="273"/>
        <v>0</v>
      </c>
      <c r="S2336" s="246">
        <v>0.5</v>
      </c>
      <c r="T2336" s="245">
        <f t="shared" si="274"/>
        <v>0</v>
      </c>
      <c r="U2336" s="245">
        <f t="shared" si="275"/>
        <v>0</v>
      </c>
      <c r="V2336" s="247"/>
    </row>
    <row r="2337" spans="1:22" ht="15.75" x14ac:dyDescent="0.25">
      <c r="A2337" s="236"/>
      <c r="B2337" s="237"/>
      <c r="C2337" s="238"/>
      <c r="D2337" s="239"/>
      <c r="E2337" s="240"/>
      <c r="F2337" s="240"/>
      <c r="G2337" s="240"/>
      <c r="H2337" s="241">
        <f t="shared" si="270"/>
        <v>0</v>
      </c>
      <c r="I2337" s="242"/>
      <c r="J2337" s="243"/>
      <c r="K2337" s="243"/>
      <c r="L2337" s="244">
        <v>0.1</v>
      </c>
      <c r="M2337" s="244">
        <f t="shared" si="271"/>
        <v>0</v>
      </c>
      <c r="N2337" s="244"/>
      <c r="O2337" s="244"/>
      <c r="P2337" s="244"/>
      <c r="Q2337" s="245">
        <f t="shared" si="272"/>
        <v>0</v>
      </c>
      <c r="R2337" s="245">
        <f t="shared" si="273"/>
        <v>0</v>
      </c>
      <c r="S2337" s="246">
        <v>0.5</v>
      </c>
      <c r="T2337" s="245">
        <f t="shared" si="274"/>
        <v>0</v>
      </c>
      <c r="U2337" s="245">
        <f t="shared" si="275"/>
        <v>0</v>
      </c>
      <c r="V2337" s="247"/>
    </row>
    <row r="2338" spans="1:22" ht="15.75" x14ac:dyDescent="0.25">
      <c r="A2338" s="236"/>
      <c r="B2338" s="237"/>
      <c r="C2338" s="238"/>
      <c r="D2338" s="239"/>
      <c r="E2338" s="240"/>
      <c r="F2338" s="240"/>
      <c r="G2338" s="240"/>
      <c r="H2338" s="241">
        <f t="shared" si="270"/>
        <v>0</v>
      </c>
      <c r="I2338" s="242"/>
      <c r="J2338" s="243"/>
      <c r="K2338" s="243"/>
      <c r="L2338" s="244">
        <v>0.1</v>
      </c>
      <c r="M2338" s="244">
        <f t="shared" si="271"/>
        <v>0</v>
      </c>
      <c r="N2338" s="244"/>
      <c r="O2338" s="244"/>
      <c r="P2338" s="244"/>
      <c r="Q2338" s="245">
        <f t="shared" si="272"/>
        <v>0</v>
      </c>
      <c r="R2338" s="245">
        <f t="shared" si="273"/>
        <v>0</v>
      </c>
      <c r="S2338" s="246">
        <v>0.5</v>
      </c>
      <c r="T2338" s="245">
        <f t="shared" si="274"/>
        <v>0</v>
      </c>
      <c r="U2338" s="245">
        <f t="shared" si="275"/>
        <v>0</v>
      </c>
      <c r="V2338" s="247"/>
    </row>
    <row r="2339" spans="1:22" ht="15.75" x14ac:dyDescent="0.25">
      <c r="A2339" s="236"/>
      <c r="B2339" s="237"/>
      <c r="C2339" s="238"/>
      <c r="D2339" s="239"/>
      <c r="E2339" s="240"/>
      <c r="F2339" s="240"/>
      <c r="G2339" s="240"/>
      <c r="H2339" s="241">
        <f t="shared" si="270"/>
        <v>0</v>
      </c>
      <c r="I2339" s="242"/>
      <c r="J2339" s="243"/>
      <c r="K2339" s="243"/>
      <c r="L2339" s="244">
        <v>0.1</v>
      </c>
      <c r="M2339" s="244">
        <f t="shared" si="271"/>
        <v>0</v>
      </c>
      <c r="N2339" s="244"/>
      <c r="O2339" s="244"/>
      <c r="P2339" s="244"/>
      <c r="Q2339" s="245">
        <f t="shared" si="272"/>
        <v>0</v>
      </c>
      <c r="R2339" s="245">
        <f t="shared" si="273"/>
        <v>0</v>
      </c>
      <c r="S2339" s="246">
        <v>0.5</v>
      </c>
      <c r="T2339" s="245">
        <f t="shared" si="274"/>
        <v>0</v>
      </c>
      <c r="U2339" s="245">
        <f t="shared" si="275"/>
        <v>0</v>
      </c>
      <c r="V2339" s="247"/>
    </row>
    <row r="2340" spans="1:22" ht="15.75" x14ac:dyDescent="0.25">
      <c r="A2340" s="236"/>
      <c r="B2340" s="237"/>
      <c r="C2340" s="238"/>
      <c r="D2340" s="239"/>
      <c r="E2340" s="240"/>
      <c r="F2340" s="240"/>
      <c r="G2340" s="240"/>
      <c r="H2340" s="241">
        <f t="shared" si="270"/>
        <v>0</v>
      </c>
      <c r="I2340" s="242"/>
      <c r="J2340" s="243"/>
      <c r="K2340" s="243"/>
      <c r="L2340" s="244">
        <v>0.1</v>
      </c>
      <c r="M2340" s="244">
        <f t="shared" si="271"/>
        <v>0</v>
      </c>
      <c r="N2340" s="244"/>
      <c r="O2340" s="244"/>
      <c r="P2340" s="244"/>
      <c r="Q2340" s="245">
        <f t="shared" si="272"/>
        <v>0</v>
      </c>
      <c r="R2340" s="245">
        <f t="shared" si="273"/>
        <v>0</v>
      </c>
      <c r="S2340" s="246">
        <v>0.5</v>
      </c>
      <c r="T2340" s="245">
        <f t="shared" si="274"/>
        <v>0</v>
      </c>
      <c r="U2340" s="245">
        <f t="shared" si="275"/>
        <v>0</v>
      </c>
      <c r="V2340" s="247"/>
    </row>
    <row r="2341" spans="1:22" ht="15.75" x14ac:dyDescent="0.25">
      <c r="A2341" s="236"/>
      <c r="B2341" s="237"/>
      <c r="C2341" s="238"/>
      <c r="D2341" s="239"/>
      <c r="E2341" s="240"/>
      <c r="F2341" s="240"/>
      <c r="G2341" s="240"/>
      <c r="H2341" s="241">
        <f t="shared" si="270"/>
        <v>0</v>
      </c>
      <c r="I2341" s="242"/>
      <c r="J2341" s="243"/>
      <c r="K2341" s="243"/>
      <c r="L2341" s="244">
        <v>0.1</v>
      </c>
      <c r="M2341" s="244">
        <f t="shared" si="271"/>
        <v>0</v>
      </c>
      <c r="N2341" s="244"/>
      <c r="O2341" s="244"/>
      <c r="P2341" s="244"/>
      <c r="Q2341" s="245">
        <f t="shared" si="272"/>
        <v>0</v>
      </c>
      <c r="R2341" s="245">
        <f t="shared" si="273"/>
        <v>0</v>
      </c>
      <c r="S2341" s="246">
        <v>0.5</v>
      </c>
      <c r="T2341" s="245">
        <f t="shared" si="274"/>
        <v>0</v>
      </c>
      <c r="U2341" s="245">
        <f t="shared" si="275"/>
        <v>0</v>
      </c>
      <c r="V2341" s="247"/>
    </row>
    <row r="2342" spans="1:22" ht="15.75" x14ac:dyDescent="0.25">
      <c r="A2342" s="236"/>
      <c r="B2342" s="237"/>
      <c r="C2342" s="238"/>
      <c r="D2342" s="239"/>
      <c r="E2342" s="240"/>
      <c r="F2342" s="240"/>
      <c r="G2342" s="240"/>
      <c r="H2342" s="241">
        <f t="shared" si="270"/>
        <v>0</v>
      </c>
      <c r="I2342" s="242"/>
      <c r="J2342" s="243"/>
      <c r="K2342" s="243"/>
      <c r="L2342" s="244">
        <v>0.1</v>
      </c>
      <c r="M2342" s="244">
        <f t="shared" si="271"/>
        <v>0</v>
      </c>
      <c r="N2342" s="244"/>
      <c r="O2342" s="244"/>
      <c r="P2342" s="244"/>
      <c r="Q2342" s="245">
        <f t="shared" si="272"/>
        <v>0</v>
      </c>
      <c r="R2342" s="245">
        <f t="shared" si="273"/>
        <v>0</v>
      </c>
      <c r="S2342" s="246">
        <v>0.5</v>
      </c>
      <c r="T2342" s="245">
        <f t="shared" si="274"/>
        <v>0</v>
      </c>
      <c r="U2342" s="245">
        <f t="shared" si="275"/>
        <v>0</v>
      </c>
      <c r="V2342" s="247"/>
    </row>
    <row r="2343" spans="1:22" ht="15.75" x14ac:dyDescent="0.25">
      <c r="A2343" s="236"/>
      <c r="B2343" s="237"/>
      <c r="C2343" s="238"/>
      <c r="D2343" s="239"/>
      <c r="E2343" s="240"/>
      <c r="F2343" s="240"/>
      <c r="G2343" s="240"/>
      <c r="H2343" s="241">
        <f t="shared" si="270"/>
        <v>0</v>
      </c>
      <c r="I2343" s="242"/>
      <c r="J2343" s="243"/>
      <c r="K2343" s="243"/>
      <c r="L2343" s="244">
        <v>0.1</v>
      </c>
      <c r="M2343" s="244">
        <f t="shared" si="271"/>
        <v>0</v>
      </c>
      <c r="N2343" s="244"/>
      <c r="O2343" s="244"/>
      <c r="P2343" s="244"/>
      <c r="Q2343" s="245">
        <f t="shared" si="272"/>
        <v>0</v>
      </c>
      <c r="R2343" s="245">
        <f t="shared" si="273"/>
        <v>0</v>
      </c>
      <c r="S2343" s="246">
        <v>0.5</v>
      </c>
      <c r="T2343" s="245">
        <f t="shared" si="274"/>
        <v>0</v>
      </c>
      <c r="U2343" s="245">
        <f t="shared" si="275"/>
        <v>0</v>
      </c>
      <c r="V2343" s="247"/>
    </row>
    <row r="2344" spans="1:22" ht="15.75" x14ac:dyDescent="0.25">
      <c r="A2344" s="236"/>
      <c r="B2344" s="237"/>
      <c r="C2344" s="238"/>
      <c r="D2344" s="239"/>
      <c r="E2344" s="240"/>
      <c r="F2344" s="240"/>
      <c r="G2344" s="240"/>
      <c r="H2344" s="241">
        <f t="shared" si="270"/>
        <v>0</v>
      </c>
      <c r="I2344" s="242"/>
      <c r="J2344" s="243"/>
      <c r="K2344" s="243"/>
      <c r="L2344" s="244">
        <v>0.1</v>
      </c>
      <c r="M2344" s="244">
        <f t="shared" si="271"/>
        <v>0</v>
      </c>
      <c r="N2344" s="244"/>
      <c r="O2344" s="244"/>
      <c r="P2344" s="244"/>
      <c r="Q2344" s="245">
        <f t="shared" si="272"/>
        <v>0</v>
      </c>
      <c r="R2344" s="245">
        <f t="shared" si="273"/>
        <v>0</v>
      </c>
      <c r="S2344" s="246">
        <v>0.5</v>
      </c>
      <c r="T2344" s="245">
        <f t="shared" si="274"/>
        <v>0</v>
      </c>
      <c r="U2344" s="245">
        <f t="shared" si="275"/>
        <v>0</v>
      </c>
      <c r="V2344" s="247"/>
    </row>
    <row r="2345" spans="1:22" ht="15.75" x14ac:dyDescent="0.25">
      <c r="A2345" s="236"/>
      <c r="B2345" s="237"/>
      <c r="C2345" s="238"/>
      <c r="D2345" s="239"/>
      <c r="E2345" s="240"/>
      <c r="F2345" s="240"/>
      <c r="G2345" s="240"/>
      <c r="H2345" s="241">
        <f t="shared" si="270"/>
        <v>0</v>
      </c>
      <c r="I2345" s="242"/>
      <c r="J2345" s="243"/>
      <c r="K2345" s="243"/>
      <c r="L2345" s="244">
        <v>0.1</v>
      </c>
      <c r="M2345" s="244">
        <f t="shared" si="271"/>
        <v>0</v>
      </c>
      <c r="N2345" s="244"/>
      <c r="O2345" s="244"/>
      <c r="P2345" s="244"/>
      <c r="Q2345" s="245">
        <f t="shared" si="272"/>
        <v>0</v>
      </c>
      <c r="R2345" s="245">
        <f t="shared" si="273"/>
        <v>0</v>
      </c>
      <c r="S2345" s="246">
        <v>0.5</v>
      </c>
      <c r="T2345" s="245">
        <f t="shared" si="274"/>
        <v>0</v>
      </c>
      <c r="U2345" s="245">
        <f t="shared" si="275"/>
        <v>0</v>
      </c>
      <c r="V2345" s="247"/>
    </row>
    <row r="2346" spans="1:22" ht="15.75" x14ac:dyDescent="0.25">
      <c r="A2346" s="236"/>
      <c r="B2346" s="237"/>
      <c r="C2346" s="238"/>
      <c r="D2346" s="239"/>
      <c r="E2346" s="240"/>
      <c r="F2346" s="240"/>
      <c r="G2346" s="240"/>
      <c r="H2346" s="241">
        <f t="shared" si="270"/>
        <v>0</v>
      </c>
      <c r="I2346" s="242"/>
      <c r="J2346" s="243"/>
      <c r="K2346" s="243"/>
      <c r="L2346" s="244">
        <v>0.1</v>
      </c>
      <c r="M2346" s="244">
        <f t="shared" si="271"/>
        <v>0</v>
      </c>
      <c r="N2346" s="244"/>
      <c r="O2346" s="244"/>
      <c r="P2346" s="244"/>
      <c r="Q2346" s="245">
        <f t="shared" si="272"/>
        <v>0</v>
      </c>
      <c r="R2346" s="245">
        <f t="shared" si="273"/>
        <v>0</v>
      </c>
      <c r="S2346" s="246">
        <v>0.5</v>
      </c>
      <c r="T2346" s="245">
        <f t="shared" si="274"/>
        <v>0</v>
      </c>
      <c r="U2346" s="245">
        <f t="shared" si="275"/>
        <v>0</v>
      </c>
      <c r="V2346" s="247"/>
    </row>
    <row r="2347" spans="1:22" ht="15.75" x14ac:dyDescent="0.25">
      <c r="A2347" s="236"/>
      <c r="B2347" s="237"/>
      <c r="C2347" s="238"/>
      <c r="D2347" s="239"/>
      <c r="E2347" s="240"/>
      <c r="F2347" s="240"/>
      <c r="G2347" s="240"/>
      <c r="H2347" s="241">
        <f t="shared" si="270"/>
        <v>0</v>
      </c>
      <c r="I2347" s="242"/>
      <c r="J2347" s="243"/>
      <c r="K2347" s="243"/>
      <c r="L2347" s="244">
        <v>0.1</v>
      </c>
      <c r="M2347" s="244">
        <f t="shared" si="271"/>
        <v>0</v>
      </c>
      <c r="N2347" s="244"/>
      <c r="O2347" s="244"/>
      <c r="P2347" s="244"/>
      <c r="Q2347" s="245">
        <f t="shared" si="272"/>
        <v>0</v>
      </c>
      <c r="R2347" s="245">
        <f t="shared" si="273"/>
        <v>0</v>
      </c>
      <c r="S2347" s="246">
        <v>0.5</v>
      </c>
      <c r="T2347" s="245">
        <f t="shared" si="274"/>
        <v>0</v>
      </c>
      <c r="U2347" s="245">
        <f t="shared" si="275"/>
        <v>0</v>
      </c>
      <c r="V2347" s="247"/>
    </row>
    <row r="2348" spans="1:22" ht="15.75" x14ac:dyDescent="0.25">
      <c r="A2348" s="236"/>
      <c r="B2348" s="237"/>
      <c r="C2348" s="238"/>
      <c r="D2348" s="239"/>
      <c r="E2348" s="240"/>
      <c r="F2348" s="240"/>
      <c r="G2348" s="240"/>
      <c r="H2348" s="241">
        <f t="shared" si="270"/>
        <v>0</v>
      </c>
      <c r="I2348" s="242"/>
      <c r="J2348" s="243"/>
      <c r="K2348" s="243"/>
      <c r="L2348" s="244">
        <v>0.1</v>
      </c>
      <c r="M2348" s="244">
        <f t="shared" si="271"/>
        <v>0</v>
      </c>
      <c r="N2348" s="244"/>
      <c r="O2348" s="244"/>
      <c r="P2348" s="244"/>
      <c r="Q2348" s="245">
        <f t="shared" si="272"/>
        <v>0</v>
      </c>
      <c r="R2348" s="245">
        <f t="shared" si="273"/>
        <v>0</v>
      </c>
      <c r="S2348" s="246">
        <v>0.5</v>
      </c>
      <c r="T2348" s="245">
        <f t="shared" si="274"/>
        <v>0</v>
      </c>
      <c r="U2348" s="245">
        <f t="shared" si="275"/>
        <v>0</v>
      </c>
      <c r="V2348" s="247"/>
    </row>
    <row r="2349" spans="1:22" ht="15.75" x14ac:dyDescent="0.25">
      <c r="A2349" s="236"/>
      <c r="B2349" s="237"/>
      <c r="C2349" s="238"/>
      <c r="D2349" s="239"/>
      <c r="E2349" s="240"/>
      <c r="F2349" s="240"/>
      <c r="G2349" s="240"/>
      <c r="H2349" s="241">
        <f t="shared" si="270"/>
        <v>0</v>
      </c>
      <c r="I2349" s="242"/>
      <c r="J2349" s="243"/>
      <c r="K2349" s="243"/>
      <c r="L2349" s="244">
        <v>0.1</v>
      </c>
      <c r="M2349" s="244">
        <f t="shared" si="271"/>
        <v>0</v>
      </c>
      <c r="N2349" s="244"/>
      <c r="O2349" s="244"/>
      <c r="P2349" s="244"/>
      <c r="Q2349" s="245">
        <f t="shared" si="272"/>
        <v>0</v>
      </c>
      <c r="R2349" s="245">
        <f t="shared" si="273"/>
        <v>0</v>
      </c>
      <c r="S2349" s="246">
        <v>0.5</v>
      </c>
      <c r="T2349" s="245">
        <f t="shared" si="274"/>
        <v>0</v>
      </c>
      <c r="U2349" s="245">
        <f t="shared" si="275"/>
        <v>0</v>
      </c>
      <c r="V2349" s="247"/>
    </row>
    <row r="2350" spans="1:22" ht="15.75" x14ac:dyDescent="0.25">
      <c r="A2350" s="236"/>
      <c r="B2350" s="237"/>
      <c r="C2350" s="238"/>
      <c r="D2350" s="239"/>
      <c r="E2350" s="240"/>
      <c r="F2350" s="240"/>
      <c r="G2350" s="240"/>
      <c r="H2350" s="241">
        <f t="shared" si="270"/>
        <v>0</v>
      </c>
      <c r="I2350" s="242"/>
      <c r="J2350" s="243"/>
      <c r="K2350" s="243"/>
      <c r="L2350" s="244">
        <v>0.1</v>
      </c>
      <c r="M2350" s="244">
        <f t="shared" si="271"/>
        <v>0</v>
      </c>
      <c r="N2350" s="244"/>
      <c r="O2350" s="244"/>
      <c r="P2350" s="244"/>
      <c r="Q2350" s="245">
        <f t="shared" si="272"/>
        <v>0</v>
      </c>
      <c r="R2350" s="245">
        <f t="shared" si="273"/>
        <v>0</v>
      </c>
      <c r="S2350" s="246">
        <v>0.5</v>
      </c>
      <c r="T2350" s="245">
        <f t="shared" si="274"/>
        <v>0</v>
      </c>
      <c r="U2350" s="245">
        <f t="shared" si="275"/>
        <v>0</v>
      </c>
      <c r="V2350" s="247"/>
    </row>
    <row r="2351" spans="1:22" ht="15.75" x14ac:dyDescent="0.25">
      <c r="A2351" s="236"/>
      <c r="B2351" s="237"/>
      <c r="C2351" s="238"/>
      <c r="D2351" s="239"/>
      <c r="E2351" s="240"/>
      <c r="F2351" s="240"/>
      <c r="G2351" s="240"/>
      <c r="H2351" s="241">
        <f t="shared" si="270"/>
        <v>0</v>
      </c>
      <c r="I2351" s="242"/>
      <c r="J2351" s="243"/>
      <c r="K2351" s="243"/>
      <c r="L2351" s="244">
        <v>0.1</v>
      </c>
      <c r="M2351" s="244">
        <f t="shared" si="271"/>
        <v>0</v>
      </c>
      <c r="N2351" s="244"/>
      <c r="O2351" s="244"/>
      <c r="P2351" s="244"/>
      <c r="Q2351" s="245">
        <f t="shared" si="272"/>
        <v>0</v>
      </c>
      <c r="R2351" s="245">
        <f t="shared" si="273"/>
        <v>0</v>
      </c>
      <c r="S2351" s="246">
        <v>0.5</v>
      </c>
      <c r="T2351" s="245">
        <f t="shared" si="274"/>
        <v>0</v>
      </c>
      <c r="U2351" s="245">
        <f t="shared" si="275"/>
        <v>0</v>
      </c>
      <c r="V2351" s="247"/>
    </row>
    <row r="2352" spans="1:22" ht="15.75" x14ac:dyDescent="0.25">
      <c r="A2352" s="236"/>
      <c r="B2352" s="237"/>
      <c r="C2352" s="238"/>
      <c r="D2352" s="239"/>
      <c r="E2352" s="240"/>
      <c r="F2352" s="240"/>
      <c r="G2352" s="240"/>
      <c r="H2352" s="241">
        <f t="shared" si="270"/>
        <v>0</v>
      </c>
      <c r="I2352" s="242"/>
      <c r="J2352" s="243"/>
      <c r="K2352" s="243"/>
      <c r="L2352" s="244">
        <v>0.1</v>
      </c>
      <c r="M2352" s="244">
        <f t="shared" si="271"/>
        <v>0</v>
      </c>
      <c r="N2352" s="244"/>
      <c r="O2352" s="244"/>
      <c r="P2352" s="244"/>
      <c r="Q2352" s="245">
        <f t="shared" si="272"/>
        <v>0</v>
      </c>
      <c r="R2352" s="245">
        <f t="shared" si="273"/>
        <v>0</v>
      </c>
      <c r="S2352" s="246">
        <v>0.5</v>
      </c>
      <c r="T2352" s="245">
        <f t="shared" si="274"/>
        <v>0</v>
      </c>
      <c r="U2352" s="245">
        <f t="shared" si="275"/>
        <v>0</v>
      </c>
      <c r="V2352" s="247"/>
    </row>
    <row r="2353" spans="1:22" ht="15.75" x14ac:dyDescent="0.25">
      <c r="A2353" s="236"/>
      <c r="B2353" s="237"/>
      <c r="C2353" s="238"/>
      <c r="D2353" s="239"/>
      <c r="E2353" s="240"/>
      <c r="F2353" s="240"/>
      <c r="G2353" s="240"/>
      <c r="H2353" s="241">
        <f t="shared" si="270"/>
        <v>0</v>
      </c>
      <c r="I2353" s="242"/>
      <c r="J2353" s="243"/>
      <c r="K2353" s="243"/>
      <c r="L2353" s="244">
        <v>0.1</v>
      </c>
      <c r="M2353" s="244">
        <f t="shared" si="271"/>
        <v>0</v>
      </c>
      <c r="N2353" s="244"/>
      <c r="O2353" s="244"/>
      <c r="P2353" s="244"/>
      <c r="Q2353" s="245">
        <f t="shared" si="272"/>
        <v>0</v>
      </c>
      <c r="R2353" s="245">
        <f t="shared" si="273"/>
        <v>0</v>
      </c>
      <c r="S2353" s="246">
        <v>0.5</v>
      </c>
      <c r="T2353" s="245">
        <f t="shared" si="274"/>
        <v>0</v>
      </c>
      <c r="U2353" s="245">
        <f t="shared" si="275"/>
        <v>0</v>
      </c>
      <c r="V2353" s="247"/>
    </row>
    <row r="2354" spans="1:22" ht="15.75" x14ac:dyDescent="0.25">
      <c r="A2354" s="236"/>
      <c r="B2354" s="237"/>
      <c r="C2354" s="238"/>
      <c r="D2354" s="239"/>
      <c r="E2354" s="240"/>
      <c r="F2354" s="240"/>
      <c r="G2354" s="240"/>
      <c r="H2354" s="241">
        <f t="shared" si="270"/>
        <v>0</v>
      </c>
      <c r="I2354" s="242"/>
      <c r="J2354" s="243"/>
      <c r="K2354" s="243"/>
      <c r="L2354" s="244">
        <v>0.1</v>
      </c>
      <c r="M2354" s="244">
        <f t="shared" si="271"/>
        <v>0</v>
      </c>
      <c r="N2354" s="244"/>
      <c r="O2354" s="244"/>
      <c r="P2354" s="244"/>
      <c r="Q2354" s="245">
        <f t="shared" si="272"/>
        <v>0</v>
      </c>
      <c r="R2354" s="245">
        <f t="shared" si="273"/>
        <v>0</v>
      </c>
      <c r="S2354" s="246">
        <v>0.5</v>
      </c>
      <c r="T2354" s="245">
        <f t="shared" si="274"/>
        <v>0</v>
      </c>
      <c r="U2354" s="245">
        <f t="shared" si="275"/>
        <v>0</v>
      </c>
      <c r="V2354" s="247"/>
    </row>
    <row r="2355" spans="1:22" ht="15.75" x14ac:dyDescent="0.25">
      <c r="A2355" s="236"/>
      <c r="B2355" s="237"/>
      <c r="C2355" s="238"/>
      <c r="D2355" s="239"/>
      <c r="E2355" s="240"/>
      <c r="F2355" s="240"/>
      <c r="G2355" s="240"/>
      <c r="H2355" s="241">
        <f t="shared" si="270"/>
        <v>0</v>
      </c>
      <c r="I2355" s="242"/>
      <c r="J2355" s="243"/>
      <c r="K2355" s="243"/>
      <c r="L2355" s="244">
        <v>0.1</v>
      </c>
      <c r="M2355" s="244">
        <f t="shared" si="271"/>
        <v>0</v>
      </c>
      <c r="N2355" s="244"/>
      <c r="O2355" s="244"/>
      <c r="P2355" s="244"/>
      <c r="Q2355" s="245">
        <f t="shared" si="272"/>
        <v>0</v>
      </c>
      <c r="R2355" s="245">
        <f t="shared" si="273"/>
        <v>0</v>
      </c>
      <c r="S2355" s="246">
        <v>0.5</v>
      </c>
      <c r="T2355" s="245">
        <f t="shared" si="274"/>
        <v>0</v>
      </c>
      <c r="U2355" s="245">
        <f t="shared" si="275"/>
        <v>0</v>
      </c>
      <c r="V2355" s="247"/>
    </row>
    <row r="2356" spans="1:22" ht="15.75" x14ac:dyDescent="0.25">
      <c r="A2356" s="236"/>
      <c r="B2356" s="237"/>
      <c r="C2356" s="238"/>
      <c r="D2356" s="239"/>
      <c r="E2356" s="240"/>
      <c r="F2356" s="240"/>
      <c r="G2356" s="240"/>
      <c r="H2356" s="241">
        <f t="shared" si="270"/>
        <v>0</v>
      </c>
      <c r="I2356" s="242"/>
      <c r="J2356" s="243"/>
      <c r="K2356" s="243"/>
      <c r="L2356" s="244">
        <v>0.1</v>
      </c>
      <c r="M2356" s="244">
        <f t="shared" si="271"/>
        <v>0</v>
      </c>
      <c r="N2356" s="244"/>
      <c r="O2356" s="244"/>
      <c r="P2356" s="244"/>
      <c r="Q2356" s="245">
        <f t="shared" si="272"/>
        <v>0</v>
      </c>
      <c r="R2356" s="245">
        <f t="shared" si="273"/>
        <v>0</v>
      </c>
      <c r="S2356" s="246">
        <v>0.5</v>
      </c>
      <c r="T2356" s="245">
        <f t="shared" si="274"/>
        <v>0</v>
      </c>
      <c r="U2356" s="245">
        <f t="shared" si="275"/>
        <v>0</v>
      </c>
      <c r="V2356" s="247"/>
    </row>
    <row r="2357" spans="1:22" ht="15.75" x14ac:dyDescent="0.25">
      <c r="A2357" s="236"/>
      <c r="B2357" s="237"/>
      <c r="C2357" s="238"/>
      <c r="D2357" s="239"/>
      <c r="E2357" s="240"/>
      <c r="F2357" s="240"/>
      <c r="G2357" s="240"/>
      <c r="H2357" s="241">
        <f t="shared" si="270"/>
        <v>0</v>
      </c>
      <c r="I2357" s="242"/>
      <c r="J2357" s="243"/>
      <c r="K2357" s="243"/>
      <c r="L2357" s="244">
        <v>0.1</v>
      </c>
      <c r="M2357" s="244">
        <f t="shared" si="271"/>
        <v>0</v>
      </c>
      <c r="N2357" s="244"/>
      <c r="O2357" s="244"/>
      <c r="P2357" s="244"/>
      <c r="Q2357" s="245">
        <f t="shared" si="272"/>
        <v>0</v>
      </c>
      <c r="R2357" s="245">
        <f t="shared" si="273"/>
        <v>0</v>
      </c>
      <c r="S2357" s="246">
        <v>0.5</v>
      </c>
      <c r="T2357" s="245">
        <f t="shared" si="274"/>
        <v>0</v>
      </c>
      <c r="U2357" s="245">
        <f t="shared" si="275"/>
        <v>0</v>
      </c>
      <c r="V2357" s="247"/>
    </row>
    <row r="2358" spans="1:22" ht="15.75" x14ac:dyDescent="0.25">
      <c r="A2358" s="236"/>
      <c r="B2358" s="237"/>
      <c r="C2358" s="238"/>
      <c r="D2358" s="239"/>
      <c r="E2358" s="240"/>
      <c r="F2358" s="240"/>
      <c r="G2358" s="240"/>
      <c r="H2358" s="241">
        <f t="shared" si="270"/>
        <v>0</v>
      </c>
      <c r="I2358" s="242"/>
      <c r="J2358" s="243"/>
      <c r="K2358" s="243"/>
      <c r="L2358" s="244">
        <v>0.1</v>
      </c>
      <c r="M2358" s="244">
        <f t="shared" si="271"/>
        <v>0</v>
      </c>
      <c r="N2358" s="244"/>
      <c r="O2358" s="244"/>
      <c r="P2358" s="244"/>
      <c r="Q2358" s="245">
        <f t="shared" si="272"/>
        <v>0</v>
      </c>
      <c r="R2358" s="245">
        <f t="shared" si="273"/>
        <v>0</v>
      </c>
      <c r="S2358" s="246">
        <v>0.5</v>
      </c>
      <c r="T2358" s="245">
        <f t="shared" si="274"/>
        <v>0</v>
      </c>
      <c r="U2358" s="245">
        <f t="shared" si="275"/>
        <v>0</v>
      </c>
      <c r="V2358" s="247"/>
    </row>
    <row r="2359" spans="1:22" ht="15.75" x14ac:dyDescent="0.25">
      <c r="A2359" s="236"/>
      <c r="B2359" s="237"/>
      <c r="C2359" s="238"/>
      <c r="D2359" s="239"/>
      <c r="E2359" s="240"/>
      <c r="F2359" s="240"/>
      <c r="G2359" s="240"/>
      <c r="H2359" s="241">
        <f t="shared" si="270"/>
        <v>0</v>
      </c>
      <c r="I2359" s="242"/>
      <c r="J2359" s="243"/>
      <c r="K2359" s="243"/>
      <c r="L2359" s="244">
        <v>0.1</v>
      </c>
      <c r="M2359" s="244">
        <f t="shared" si="271"/>
        <v>0</v>
      </c>
      <c r="N2359" s="244"/>
      <c r="O2359" s="244"/>
      <c r="P2359" s="244"/>
      <c r="Q2359" s="245">
        <f t="shared" si="272"/>
        <v>0</v>
      </c>
      <c r="R2359" s="245">
        <f t="shared" si="273"/>
        <v>0</v>
      </c>
      <c r="S2359" s="246">
        <v>0.5</v>
      </c>
      <c r="T2359" s="245">
        <f t="shared" si="274"/>
        <v>0</v>
      </c>
      <c r="U2359" s="245">
        <f t="shared" si="275"/>
        <v>0</v>
      </c>
      <c r="V2359" s="247"/>
    </row>
    <row r="2360" spans="1:22" ht="15.75" x14ac:dyDescent="0.25">
      <c r="A2360" s="236"/>
      <c r="B2360" s="237"/>
      <c r="C2360" s="238"/>
      <c r="D2360" s="239"/>
      <c r="E2360" s="240"/>
      <c r="F2360" s="240"/>
      <c r="G2360" s="240"/>
      <c r="H2360" s="241">
        <f t="shared" si="270"/>
        <v>0</v>
      </c>
      <c r="I2360" s="242"/>
      <c r="J2360" s="243"/>
      <c r="K2360" s="243"/>
      <c r="L2360" s="244">
        <v>0.1</v>
      </c>
      <c r="M2360" s="244">
        <f t="shared" si="271"/>
        <v>0</v>
      </c>
      <c r="N2360" s="244"/>
      <c r="O2360" s="244"/>
      <c r="P2360" s="244"/>
      <c r="Q2360" s="245">
        <f t="shared" si="272"/>
        <v>0</v>
      </c>
      <c r="R2360" s="245">
        <f t="shared" si="273"/>
        <v>0</v>
      </c>
      <c r="S2360" s="246">
        <v>0.5</v>
      </c>
      <c r="T2360" s="245">
        <f t="shared" si="274"/>
        <v>0</v>
      </c>
      <c r="U2360" s="245">
        <f t="shared" si="275"/>
        <v>0</v>
      </c>
      <c r="V2360" s="247"/>
    </row>
    <row r="2361" spans="1:22" ht="15.75" x14ac:dyDescent="0.25">
      <c r="A2361" s="236"/>
      <c r="B2361" s="237"/>
      <c r="C2361" s="238"/>
      <c r="D2361" s="239"/>
      <c r="E2361" s="240"/>
      <c r="F2361" s="240"/>
      <c r="G2361" s="240"/>
      <c r="H2361" s="241">
        <f t="shared" si="270"/>
        <v>0</v>
      </c>
      <c r="I2361" s="242"/>
      <c r="J2361" s="243"/>
      <c r="K2361" s="243"/>
      <c r="L2361" s="244">
        <v>0.1</v>
      </c>
      <c r="M2361" s="244">
        <f t="shared" si="271"/>
        <v>0</v>
      </c>
      <c r="N2361" s="244"/>
      <c r="O2361" s="244"/>
      <c r="P2361" s="244"/>
      <c r="Q2361" s="245">
        <f t="shared" si="272"/>
        <v>0</v>
      </c>
      <c r="R2361" s="245">
        <f t="shared" si="273"/>
        <v>0</v>
      </c>
      <c r="S2361" s="246">
        <v>0.5</v>
      </c>
      <c r="T2361" s="245">
        <f t="shared" si="274"/>
        <v>0</v>
      </c>
      <c r="U2361" s="245">
        <f t="shared" si="275"/>
        <v>0</v>
      </c>
      <c r="V2361" s="247"/>
    </row>
    <row r="2362" spans="1:22" ht="15.75" x14ac:dyDescent="0.25">
      <c r="A2362" s="236"/>
      <c r="B2362" s="237"/>
      <c r="C2362" s="238"/>
      <c r="D2362" s="239"/>
      <c r="E2362" s="240"/>
      <c r="F2362" s="240"/>
      <c r="G2362" s="240"/>
      <c r="H2362" s="241">
        <f t="shared" si="270"/>
        <v>0</v>
      </c>
      <c r="I2362" s="242"/>
      <c r="J2362" s="243"/>
      <c r="K2362" s="243"/>
      <c r="L2362" s="244">
        <v>0.1</v>
      </c>
      <c r="M2362" s="244">
        <f t="shared" si="271"/>
        <v>0</v>
      </c>
      <c r="N2362" s="244"/>
      <c r="O2362" s="244"/>
      <c r="P2362" s="244"/>
      <c r="Q2362" s="245">
        <f t="shared" si="272"/>
        <v>0</v>
      </c>
      <c r="R2362" s="245">
        <f t="shared" si="273"/>
        <v>0</v>
      </c>
      <c r="S2362" s="246">
        <v>0.5</v>
      </c>
      <c r="T2362" s="245">
        <f t="shared" si="274"/>
        <v>0</v>
      </c>
      <c r="U2362" s="245">
        <f t="shared" si="275"/>
        <v>0</v>
      </c>
      <c r="V2362" s="247"/>
    </row>
    <row r="2363" spans="1:22" ht="15.75" x14ac:dyDescent="0.25">
      <c r="A2363" s="236"/>
      <c r="B2363" s="237"/>
      <c r="C2363" s="238"/>
      <c r="D2363" s="239"/>
      <c r="E2363" s="240"/>
      <c r="F2363" s="240"/>
      <c r="G2363" s="240"/>
      <c r="H2363" s="241">
        <f t="shared" si="270"/>
        <v>0</v>
      </c>
      <c r="I2363" s="242"/>
      <c r="J2363" s="243"/>
      <c r="K2363" s="243"/>
      <c r="L2363" s="244">
        <v>0.1</v>
      </c>
      <c r="M2363" s="244">
        <f t="shared" si="271"/>
        <v>0</v>
      </c>
      <c r="N2363" s="244"/>
      <c r="O2363" s="244"/>
      <c r="P2363" s="244"/>
      <c r="Q2363" s="245">
        <f t="shared" si="272"/>
        <v>0</v>
      </c>
      <c r="R2363" s="245">
        <f t="shared" si="273"/>
        <v>0</v>
      </c>
      <c r="S2363" s="246">
        <v>0.5</v>
      </c>
      <c r="T2363" s="245">
        <f t="shared" si="274"/>
        <v>0</v>
      </c>
      <c r="U2363" s="245">
        <f t="shared" si="275"/>
        <v>0</v>
      </c>
      <c r="V2363" s="247"/>
    </row>
    <row r="2364" spans="1:22" ht="15.75" x14ac:dyDescent="0.25">
      <c r="A2364" s="236"/>
      <c r="B2364" s="237"/>
      <c r="C2364" s="238"/>
      <c r="D2364" s="239"/>
      <c r="E2364" s="240"/>
      <c r="F2364" s="240"/>
      <c r="G2364" s="240"/>
      <c r="H2364" s="241">
        <f t="shared" si="270"/>
        <v>0</v>
      </c>
      <c r="I2364" s="242"/>
      <c r="J2364" s="243"/>
      <c r="K2364" s="243"/>
      <c r="L2364" s="244">
        <v>0.1</v>
      </c>
      <c r="M2364" s="244">
        <f t="shared" si="271"/>
        <v>0</v>
      </c>
      <c r="N2364" s="244"/>
      <c r="O2364" s="244"/>
      <c r="P2364" s="244"/>
      <c r="Q2364" s="245">
        <f t="shared" si="272"/>
        <v>0</v>
      </c>
      <c r="R2364" s="245">
        <f t="shared" si="273"/>
        <v>0</v>
      </c>
      <c r="S2364" s="246">
        <v>0.5</v>
      </c>
      <c r="T2364" s="245">
        <f t="shared" si="274"/>
        <v>0</v>
      </c>
      <c r="U2364" s="245">
        <f t="shared" si="275"/>
        <v>0</v>
      </c>
      <c r="V2364" s="247"/>
    </row>
    <row r="2365" spans="1:22" ht="15.75" x14ac:dyDescent="0.25">
      <c r="A2365" s="236"/>
      <c r="B2365" s="237"/>
      <c r="C2365" s="238"/>
      <c r="D2365" s="239"/>
      <c r="E2365" s="240"/>
      <c r="F2365" s="240"/>
      <c r="G2365" s="240"/>
      <c r="H2365" s="241">
        <f t="shared" ref="H2365:H2428" si="276">+E2365+F2365+G2365</f>
        <v>0</v>
      </c>
      <c r="I2365" s="242"/>
      <c r="J2365" s="243"/>
      <c r="K2365" s="243"/>
      <c r="L2365" s="244">
        <v>0.1</v>
      </c>
      <c r="M2365" s="244">
        <f t="shared" ref="M2365:M2428" si="277">+L2365*C2365</f>
        <v>0</v>
      </c>
      <c r="N2365" s="244"/>
      <c r="O2365" s="244"/>
      <c r="P2365" s="244"/>
      <c r="Q2365" s="245">
        <f t="shared" ref="Q2365:Q2428" si="278">+N2365+O2365+P2365</f>
        <v>0</v>
      </c>
      <c r="R2365" s="245">
        <f t="shared" ref="R2365:R2428" si="279">IF(+Q2365-H2365&lt;=0,0,Q2365-H2365)</f>
        <v>0</v>
      </c>
      <c r="S2365" s="246">
        <v>0.5</v>
      </c>
      <c r="T2365" s="245">
        <f t="shared" ref="T2365:T2428" si="280">+(R2365*C2365)*S2365</f>
        <v>0</v>
      </c>
      <c r="U2365" s="245">
        <f t="shared" ref="U2365:U2428" si="281">+J2365+M2365+T2365</f>
        <v>0</v>
      </c>
      <c r="V2365" s="247"/>
    </row>
    <row r="2366" spans="1:22" ht="15.75" x14ac:dyDescent="0.25">
      <c r="A2366" s="236"/>
      <c r="B2366" s="237"/>
      <c r="C2366" s="238"/>
      <c r="D2366" s="239"/>
      <c r="E2366" s="240"/>
      <c r="F2366" s="240"/>
      <c r="G2366" s="240"/>
      <c r="H2366" s="241">
        <f t="shared" si="276"/>
        <v>0</v>
      </c>
      <c r="I2366" s="242"/>
      <c r="J2366" s="243"/>
      <c r="K2366" s="243"/>
      <c r="L2366" s="244">
        <v>0.1</v>
      </c>
      <c r="M2366" s="244">
        <f t="shared" si="277"/>
        <v>0</v>
      </c>
      <c r="N2366" s="244"/>
      <c r="O2366" s="244"/>
      <c r="P2366" s="244"/>
      <c r="Q2366" s="245">
        <f t="shared" si="278"/>
        <v>0</v>
      </c>
      <c r="R2366" s="245">
        <f t="shared" si="279"/>
        <v>0</v>
      </c>
      <c r="S2366" s="246">
        <v>0.5</v>
      </c>
      <c r="T2366" s="245">
        <f t="shared" si="280"/>
        <v>0</v>
      </c>
      <c r="U2366" s="245">
        <f t="shared" si="281"/>
        <v>0</v>
      </c>
      <c r="V2366" s="247"/>
    </row>
    <row r="2367" spans="1:22" ht="15.75" x14ac:dyDescent="0.25">
      <c r="A2367" s="236"/>
      <c r="B2367" s="237"/>
      <c r="C2367" s="238"/>
      <c r="D2367" s="239"/>
      <c r="E2367" s="240"/>
      <c r="F2367" s="240"/>
      <c r="G2367" s="240"/>
      <c r="H2367" s="241">
        <f t="shared" si="276"/>
        <v>0</v>
      </c>
      <c r="I2367" s="242"/>
      <c r="J2367" s="243"/>
      <c r="K2367" s="243"/>
      <c r="L2367" s="244">
        <v>0.1</v>
      </c>
      <c r="M2367" s="244">
        <f t="shared" si="277"/>
        <v>0</v>
      </c>
      <c r="N2367" s="244"/>
      <c r="O2367" s="244"/>
      <c r="P2367" s="244"/>
      <c r="Q2367" s="245">
        <f t="shared" si="278"/>
        <v>0</v>
      </c>
      <c r="R2367" s="245">
        <f t="shared" si="279"/>
        <v>0</v>
      </c>
      <c r="S2367" s="246">
        <v>0.5</v>
      </c>
      <c r="T2367" s="245">
        <f t="shared" si="280"/>
        <v>0</v>
      </c>
      <c r="U2367" s="245">
        <f t="shared" si="281"/>
        <v>0</v>
      </c>
      <c r="V2367" s="247"/>
    </row>
    <row r="2368" spans="1:22" ht="15.75" x14ac:dyDescent="0.25">
      <c r="A2368" s="236"/>
      <c r="B2368" s="237"/>
      <c r="C2368" s="238"/>
      <c r="D2368" s="239"/>
      <c r="E2368" s="240"/>
      <c r="F2368" s="240"/>
      <c r="G2368" s="240"/>
      <c r="H2368" s="241">
        <f t="shared" si="276"/>
        <v>0</v>
      </c>
      <c r="I2368" s="242"/>
      <c r="J2368" s="243"/>
      <c r="K2368" s="243"/>
      <c r="L2368" s="244">
        <v>0.1</v>
      </c>
      <c r="M2368" s="244">
        <f t="shared" si="277"/>
        <v>0</v>
      </c>
      <c r="N2368" s="244"/>
      <c r="O2368" s="244"/>
      <c r="P2368" s="244"/>
      <c r="Q2368" s="245">
        <f t="shared" si="278"/>
        <v>0</v>
      </c>
      <c r="R2368" s="245">
        <f t="shared" si="279"/>
        <v>0</v>
      </c>
      <c r="S2368" s="246">
        <v>0.5</v>
      </c>
      <c r="T2368" s="245">
        <f t="shared" si="280"/>
        <v>0</v>
      </c>
      <c r="U2368" s="245">
        <f t="shared" si="281"/>
        <v>0</v>
      </c>
      <c r="V2368" s="247"/>
    </row>
    <row r="2369" spans="1:22" ht="15.75" x14ac:dyDescent="0.25">
      <c r="A2369" s="236"/>
      <c r="B2369" s="237"/>
      <c r="C2369" s="238"/>
      <c r="D2369" s="239"/>
      <c r="E2369" s="240"/>
      <c r="F2369" s="240"/>
      <c r="G2369" s="240"/>
      <c r="H2369" s="241">
        <f t="shared" si="276"/>
        <v>0</v>
      </c>
      <c r="I2369" s="242"/>
      <c r="J2369" s="243"/>
      <c r="K2369" s="243"/>
      <c r="L2369" s="244">
        <v>0.1</v>
      </c>
      <c r="M2369" s="244">
        <f t="shared" si="277"/>
        <v>0</v>
      </c>
      <c r="N2369" s="244"/>
      <c r="O2369" s="244"/>
      <c r="P2369" s="244"/>
      <c r="Q2369" s="245">
        <f t="shared" si="278"/>
        <v>0</v>
      </c>
      <c r="R2369" s="245">
        <f t="shared" si="279"/>
        <v>0</v>
      </c>
      <c r="S2369" s="246">
        <v>0.5</v>
      </c>
      <c r="T2369" s="245">
        <f t="shared" si="280"/>
        <v>0</v>
      </c>
      <c r="U2369" s="245">
        <f t="shared" si="281"/>
        <v>0</v>
      </c>
      <c r="V2369" s="247"/>
    </row>
    <row r="2370" spans="1:22" ht="15.75" x14ac:dyDescent="0.25">
      <c r="A2370" s="236"/>
      <c r="B2370" s="237"/>
      <c r="C2370" s="238"/>
      <c r="D2370" s="239"/>
      <c r="E2370" s="240"/>
      <c r="F2370" s="240"/>
      <c r="G2370" s="240"/>
      <c r="H2370" s="241">
        <f t="shared" si="276"/>
        <v>0</v>
      </c>
      <c r="I2370" s="242"/>
      <c r="J2370" s="243"/>
      <c r="K2370" s="243"/>
      <c r="L2370" s="244">
        <v>0.1</v>
      </c>
      <c r="M2370" s="244">
        <f t="shared" si="277"/>
        <v>0</v>
      </c>
      <c r="N2370" s="244"/>
      <c r="O2370" s="244"/>
      <c r="P2370" s="244"/>
      <c r="Q2370" s="245">
        <f t="shared" si="278"/>
        <v>0</v>
      </c>
      <c r="R2370" s="245">
        <f t="shared" si="279"/>
        <v>0</v>
      </c>
      <c r="S2370" s="246">
        <v>0.5</v>
      </c>
      <c r="T2370" s="245">
        <f t="shared" si="280"/>
        <v>0</v>
      </c>
      <c r="U2370" s="245">
        <f t="shared" si="281"/>
        <v>0</v>
      </c>
      <c r="V2370" s="247"/>
    </row>
    <row r="2371" spans="1:22" ht="15.75" x14ac:dyDescent="0.25">
      <c r="A2371" s="236"/>
      <c r="B2371" s="237"/>
      <c r="C2371" s="238"/>
      <c r="D2371" s="239"/>
      <c r="E2371" s="240"/>
      <c r="F2371" s="240"/>
      <c r="G2371" s="240"/>
      <c r="H2371" s="241">
        <f t="shared" si="276"/>
        <v>0</v>
      </c>
      <c r="I2371" s="242"/>
      <c r="J2371" s="243"/>
      <c r="K2371" s="243"/>
      <c r="L2371" s="244">
        <v>0.1</v>
      </c>
      <c r="M2371" s="244">
        <f t="shared" si="277"/>
        <v>0</v>
      </c>
      <c r="N2371" s="244"/>
      <c r="O2371" s="244"/>
      <c r="P2371" s="244"/>
      <c r="Q2371" s="245">
        <f t="shared" si="278"/>
        <v>0</v>
      </c>
      <c r="R2371" s="245">
        <f t="shared" si="279"/>
        <v>0</v>
      </c>
      <c r="S2371" s="246">
        <v>0.5</v>
      </c>
      <c r="T2371" s="245">
        <f t="shared" si="280"/>
        <v>0</v>
      </c>
      <c r="U2371" s="245">
        <f t="shared" si="281"/>
        <v>0</v>
      </c>
      <c r="V2371" s="247"/>
    </row>
    <row r="2372" spans="1:22" ht="15.75" x14ac:dyDescent="0.25">
      <c r="A2372" s="236"/>
      <c r="B2372" s="237"/>
      <c r="C2372" s="238"/>
      <c r="D2372" s="239"/>
      <c r="E2372" s="240"/>
      <c r="F2372" s="240"/>
      <c r="G2372" s="240"/>
      <c r="H2372" s="241">
        <f t="shared" si="276"/>
        <v>0</v>
      </c>
      <c r="I2372" s="242"/>
      <c r="J2372" s="243"/>
      <c r="K2372" s="243"/>
      <c r="L2372" s="244">
        <v>0.1</v>
      </c>
      <c r="M2372" s="244">
        <f t="shared" si="277"/>
        <v>0</v>
      </c>
      <c r="N2372" s="244"/>
      <c r="O2372" s="244"/>
      <c r="P2372" s="244"/>
      <c r="Q2372" s="245">
        <f t="shared" si="278"/>
        <v>0</v>
      </c>
      <c r="R2372" s="245">
        <f t="shared" si="279"/>
        <v>0</v>
      </c>
      <c r="S2372" s="246">
        <v>0.5</v>
      </c>
      <c r="T2372" s="245">
        <f t="shared" si="280"/>
        <v>0</v>
      </c>
      <c r="U2372" s="245">
        <f t="shared" si="281"/>
        <v>0</v>
      </c>
      <c r="V2372" s="247"/>
    </row>
    <row r="2373" spans="1:22" ht="15.75" x14ac:dyDescent="0.25">
      <c r="A2373" s="236"/>
      <c r="B2373" s="237"/>
      <c r="C2373" s="238"/>
      <c r="D2373" s="239"/>
      <c r="E2373" s="240"/>
      <c r="F2373" s="240"/>
      <c r="G2373" s="240"/>
      <c r="H2373" s="241">
        <f t="shared" si="276"/>
        <v>0</v>
      </c>
      <c r="I2373" s="242"/>
      <c r="J2373" s="243"/>
      <c r="K2373" s="243"/>
      <c r="L2373" s="244">
        <v>0.1</v>
      </c>
      <c r="M2373" s="244">
        <f t="shared" si="277"/>
        <v>0</v>
      </c>
      <c r="N2373" s="244"/>
      <c r="O2373" s="244"/>
      <c r="P2373" s="244"/>
      <c r="Q2373" s="245">
        <f t="shared" si="278"/>
        <v>0</v>
      </c>
      <c r="R2373" s="245">
        <f t="shared" si="279"/>
        <v>0</v>
      </c>
      <c r="S2373" s="246">
        <v>0.5</v>
      </c>
      <c r="T2373" s="245">
        <f t="shared" si="280"/>
        <v>0</v>
      </c>
      <c r="U2373" s="245">
        <f t="shared" si="281"/>
        <v>0</v>
      </c>
      <c r="V2373" s="247"/>
    </row>
    <row r="2374" spans="1:22" ht="15.75" x14ac:dyDescent="0.25">
      <c r="A2374" s="236"/>
      <c r="B2374" s="237"/>
      <c r="C2374" s="238"/>
      <c r="D2374" s="239"/>
      <c r="E2374" s="240"/>
      <c r="F2374" s="240"/>
      <c r="G2374" s="240"/>
      <c r="H2374" s="241">
        <f t="shared" si="276"/>
        <v>0</v>
      </c>
      <c r="I2374" s="242"/>
      <c r="J2374" s="243"/>
      <c r="K2374" s="243"/>
      <c r="L2374" s="244">
        <v>0.1</v>
      </c>
      <c r="M2374" s="244">
        <f t="shared" si="277"/>
        <v>0</v>
      </c>
      <c r="N2374" s="244"/>
      <c r="O2374" s="244"/>
      <c r="P2374" s="244"/>
      <c r="Q2374" s="245">
        <f t="shared" si="278"/>
        <v>0</v>
      </c>
      <c r="R2374" s="245">
        <f t="shared" si="279"/>
        <v>0</v>
      </c>
      <c r="S2374" s="246">
        <v>0.5</v>
      </c>
      <c r="T2374" s="245">
        <f t="shared" si="280"/>
        <v>0</v>
      </c>
      <c r="U2374" s="245">
        <f t="shared" si="281"/>
        <v>0</v>
      </c>
      <c r="V2374" s="247"/>
    </row>
    <row r="2375" spans="1:22" ht="15.75" x14ac:dyDescent="0.25">
      <c r="A2375" s="236"/>
      <c r="B2375" s="237"/>
      <c r="C2375" s="238"/>
      <c r="D2375" s="239"/>
      <c r="E2375" s="240"/>
      <c r="F2375" s="240"/>
      <c r="G2375" s="240"/>
      <c r="H2375" s="241">
        <f t="shared" si="276"/>
        <v>0</v>
      </c>
      <c r="I2375" s="242"/>
      <c r="J2375" s="243"/>
      <c r="K2375" s="243"/>
      <c r="L2375" s="244">
        <v>0.1</v>
      </c>
      <c r="M2375" s="244">
        <f t="shared" si="277"/>
        <v>0</v>
      </c>
      <c r="N2375" s="244"/>
      <c r="O2375" s="244"/>
      <c r="P2375" s="244"/>
      <c r="Q2375" s="245">
        <f t="shared" si="278"/>
        <v>0</v>
      </c>
      <c r="R2375" s="245">
        <f t="shared" si="279"/>
        <v>0</v>
      </c>
      <c r="S2375" s="246">
        <v>0.5</v>
      </c>
      <c r="T2375" s="245">
        <f t="shared" si="280"/>
        <v>0</v>
      </c>
      <c r="U2375" s="245">
        <f t="shared" si="281"/>
        <v>0</v>
      </c>
      <c r="V2375" s="247"/>
    </row>
    <row r="2376" spans="1:22" ht="15.75" x14ac:dyDescent="0.25">
      <c r="A2376" s="236"/>
      <c r="B2376" s="237"/>
      <c r="C2376" s="238"/>
      <c r="D2376" s="239"/>
      <c r="E2376" s="240"/>
      <c r="F2376" s="240"/>
      <c r="G2376" s="240"/>
      <c r="H2376" s="241">
        <f t="shared" si="276"/>
        <v>0</v>
      </c>
      <c r="I2376" s="242"/>
      <c r="J2376" s="243"/>
      <c r="K2376" s="243"/>
      <c r="L2376" s="244">
        <v>0.1</v>
      </c>
      <c r="M2376" s="244">
        <f t="shared" si="277"/>
        <v>0</v>
      </c>
      <c r="N2376" s="244"/>
      <c r="O2376" s="244"/>
      <c r="P2376" s="244"/>
      <c r="Q2376" s="245">
        <f t="shared" si="278"/>
        <v>0</v>
      </c>
      <c r="R2376" s="245">
        <f t="shared" si="279"/>
        <v>0</v>
      </c>
      <c r="S2376" s="246">
        <v>0.5</v>
      </c>
      <c r="T2376" s="245">
        <f t="shared" si="280"/>
        <v>0</v>
      </c>
      <c r="U2376" s="245">
        <f t="shared" si="281"/>
        <v>0</v>
      </c>
      <c r="V2376" s="247"/>
    </row>
    <row r="2377" spans="1:22" ht="15.75" x14ac:dyDescent="0.25">
      <c r="A2377" s="236"/>
      <c r="B2377" s="237"/>
      <c r="C2377" s="238"/>
      <c r="D2377" s="239"/>
      <c r="E2377" s="240"/>
      <c r="F2377" s="240"/>
      <c r="G2377" s="240"/>
      <c r="H2377" s="241">
        <f t="shared" si="276"/>
        <v>0</v>
      </c>
      <c r="I2377" s="242"/>
      <c r="J2377" s="243"/>
      <c r="K2377" s="243"/>
      <c r="L2377" s="244">
        <v>0.1</v>
      </c>
      <c r="M2377" s="244">
        <f t="shared" si="277"/>
        <v>0</v>
      </c>
      <c r="N2377" s="244"/>
      <c r="O2377" s="244"/>
      <c r="P2377" s="244"/>
      <c r="Q2377" s="245">
        <f t="shared" si="278"/>
        <v>0</v>
      </c>
      <c r="R2377" s="245">
        <f t="shared" si="279"/>
        <v>0</v>
      </c>
      <c r="S2377" s="246">
        <v>0.5</v>
      </c>
      <c r="T2377" s="245">
        <f t="shared" si="280"/>
        <v>0</v>
      </c>
      <c r="U2377" s="245">
        <f t="shared" si="281"/>
        <v>0</v>
      </c>
      <c r="V2377" s="247"/>
    </row>
    <row r="2378" spans="1:22" ht="15.75" x14ac:dyDescent="0.25">
      <c r="A2378" s="236"/>
      <c r="B2378" s="237"/>
      <c r="C2378" s="238"/>
      <c r="D2378" s="239"/>
      <c r="E2378" s="240"/>
      <c r="F2378" s="240"/>
      <c r="G2378" s="240"/>
      <c r="H2378" s="241">
        <f t="shared" si="276"/>
        <v>0</v>
      </c>
      <c r="I2378" s="242"/>
      <c r="J2378" s="243"/>
      <c r="K2378" s="243"/>
      <c r="L2378" s="244">
        <v>0.1</v>
      </c>
      <c r="M2378" s="244">
        <f t="shared" si="277"/>
        <v>0</v>
      </c>
      <c r="N2378" s="244"/>
      <c r="O2378" s="244"/>
      <c r="P2378" s="244"/>
      <c r="Q2378" s="245">
        <f t="shared" si="278"/>
        <v>0</v>
      </c>
      <c r="R2378" s="245">
        <f t="shared" si="279"/>
        <v>0</v>
      </c>
      <c r="S2378" s="246">
        <v>0.5</v>
      </c>
      <c r="T2378" s="245">
        <f t="shared" si="280"/>
        <v>0</v>
      </c>
      <c r="U2378" s="245">
        <f t="shared" si="281"/>
        <v>0</v>
      </c>
      <c r="V2378" s="247"/>
    </row>
    <row r="2379" spans="1:22" ht="15.75" x14ac:dyDescent="0.25">
      <c r="A2379" s="236"/>
      <c r="B2379" s="237"/>
      <c r="C2379" s="238"/>
      <c r="D2379" s="239"/>
      <c r="E2379" s="240"/>
      <c r="F2379" s="240"/>
      <c r="G2379" s="240"/>
      <c r="H2379" s="241">
        <f t="shared" si="276"/>
        <v>0</v>
      </c>
      <c r="I2379" s="242"/>
      <c r="J2379" s="243"/>
      <c r="K2379" s="243"/>
      <c r="L2379" s="244">
        <v>0.1</v>
      </c>
      <c r="M2379" s="244">
        <f t="shared" si="277"/>
        <v>0</v>
      </c>
      <c r="N2379" s="244"/>
      <c r="O2379" s="244"/>
      <c r="P2379" s="244"/>
      <c r="Q2379" s="245">
        <f t="shared" si="278"/>
        <v>0</v>
      </c>
      <c r="R2379" s="245">
        <f t="shared" si="279"/>
        <v>0</v>
      </c>
      <c r="S2379" s="246">
        <v>0.5</v>
      </c>
      <c r="T2379" s="245">
        <f t="shared" si="280"/>
        <v>0</v>
      </c>
      <c r="U2379" s="245">
        <f t="shared" si="281"/>
        <v>0</v>
      </c>
      <c r="V2379" s="247"/>
    </row>
    <row r="2380" spans="1:22" ht="15.75" x14ac:dyDescent="0.25">
      <c r="A2380" s="236"/>
      <c r="B2380" s="237"/>
      <c r="C2380" s="238"/>
      <c r="D2380" s="239"/>
      <c r="E2380" s="240"/>
      <c r="F2380" s="240"/>
      <c r="G2380" s="240"/>
      <c r="H2380" s="241">
        <f t="shared" si="276"/>
        <v>0</v>
      </c>
      <c r="I2380" s="242"/>
      <c r="J2380" s="243"/>
      <c r="K2380" s="243"/>
      <c r="L2380" s="244">
        <v>0.1</v>
      </c>
      <c r="M2380" s="244">
        <f t="shared" si="277"/>
        <v>0</v>
      </c>
      <c r="N2380" s="244"/>
      <c r="O2380" s="244"/>
      <c r="P2380" s="244"/>
      <c r="Q2380" s="245">
        <f t="shared" si="278"/>
        <v>0</v>
      </c>
      <c r="R2380" s="245">
        <f t="shared" si="279"/>
        <v>0</v>
      </c>
      <c r="S2380" s="246">
        <v>0.5</v>
      </c>
      <c r="T2380" s="245">
        <f t="shared" si="280"/>
        <v>0</v>
      </c>
      <c r="U2380" s="245">
        <f t="shared" si="281"/>
        <v>0</v>
      </c>
      <c r="V2380" s="247"/>
    </row>
    <row r="2381" spans="1:22" ht="15.75" x14ac:dyDescent="0.25">
      <c r="A2381" s="236"/>
      <c r="B2381" s="237"/>
      <c r="C2381" s="238"/>
      <c r="D2381" s="239"/>
      <c r="E2381" s="240"/>
      <c r="F2381" s="240"/>
      <c r="G2381" s="240"/>
      <c r="H2381" s="241">
        <f t="shared" si="276"/>
        <v>0</v>
      </c>
      <c r="I2381" s="242"/>
      <c r="J2381" s="243"/>
      <c r="K2381" s="243"/>
      <c r="L2381" s="244">
        <v>0.1</v>
      </c>
      <c r="M2381" s="244">
        <f t="shared" si="277"/>
        <v>0</v>
      </c>
      <c r="N2381" s="244"/>
      <c r="O2381" s="244"/>
      <c r="P2381" s="244"/>
      <c r="Q2381" s="245">
        <f t="shared" si="278"/>
        <v>0</v>
      </c>
      <c r="R2381" s="245">
        <f t="shared" si="279"/>
        <v>0</v>
      </c>
      <c r="S2381" s="246">
        <v>0.5</v>
      </c>
      <c r="T2381" s="245">
        <f t="shared" si="280"/>
        <v>0</v>
      </c>
      <c r="U2381" s="245">
        <f t="shared" si="281"/>
        <v>0</v>
      </c>
      <c r="V2381" s="247"/>
    </row>
    <row r="2382" spans="1:22" ht="15.75" x14ac:dyDescent="0.25">
      <c r="A2382" s="236"/>
      <c r="B2382" s="237"/>
      <c r="C2382" s="238"/>
      <c r="D2382" s="239"/>
      <c r="E2382" s="240"/>
      <c r="F2382" s="240"/>
      <c r="G2382" s="240"/>
      <c r="H2382" s="241">
        <f t="shared" si="276"/>
        <v>0</v>
      </c>
      <c r="I2382" s="242"/>
      <c r="J2382" s="243"/>
      <c r="K2382" s="243"/>
      <c r="L2382" s="244">
        <v>0.1</v>
      </c>
      <c r="M2382" s="244">
        <f t="shared" si="277"/>
        <v>0</v>
      </c>
      <c r="N2382" s="244"/>
      <c r="O2382" s="244"/>
      <c r="P2382" s="244"/>
      <c r="Q2382" s="245">
        <f t="shared" si="278"/>
        <v>0</v>
      </c>
      <c r="R2382" s="245">
        <f t="shared" si="279"/>
        <v>0</v>
      </c>
      <c r="S2382" s="246">
        <v>0.5</v>
      </c>
      <c r="T2382" s="245">
        <f t="shared" si="280"/>
        <v>0</v>
      </c>
      <c r="U2382" s="245">
        <f t="shared" si="281"/>
        <v>0</v>
      </c>
      <c r="V2382" s="247"/>
    </row>
    <row r="2383" spans="1:22" ht="15.75" x14ac:dyDescent="0.25">
      <c r="A2383" s="236"/>
      <c r="B2383" s="237"/>
      <c r="C2383" s="238"/>
      <c r="D2383" s="239"/>
      <c r="E2383" s="240"/>
      <c r="F2383" s="240"/>
      <c r="G2383" s="240"/>
      <c r="H2383" s="241">
        <f t="shared" si="276"/>
        <v>0</v>
      </c>
      <c r="I2383" s="242"/>
      <c r="J2383" s="243"/>
      <c r="K2383" s="243"/>
      <c r="L2383" s="244">
        <v>0.1</v>
      </c>
      <c r="M2383" s="244">
        <f t="shared" si="277"/>
        <v>0</v>
      </c>
      <c r="N2383" s="244"/>
      <c r="O2383" s="244"/>
      <c r="P2383" s="244"/>
      <c r="Q2383" s="245">
        <f t="shared" si="278"/>
        <v>0</v>
      </c>
      <c r="R2383" s="245">
        <f t="shared" si="279"/>
        <v>0</v>
      </c>
      <c r="S2383" s="246">
        <v>0.5</v>
      </c>
      <c r="T2383" s="245">
        <f t="shared" si="280"/>
        <v>0</v>
      </c>
      <c r="U2383" s="245">
        <f t="shared" si="281"/>
        <v>0</v>
      </c>
      <c r="V2383" s="247"/>
    </row>
    <row r="2384" spans="1:22" ht="15.75" x14ac:dyDescent="0.25">
      <c r="A2384" s="236"/>
      <c r="B2384" s="237"/>
      <c r="C2384" s="238"/>
      <c r="D2384" s="239"/>
      <c r="E2384" s="240"/>
      <c r="F2384" s="240"/>
      <c r="G2384" s="240"/>
      <c r="H2384" s="241">
        <f t="shared" si="276"/>
        <v>0</v>
      </c>
      <c r="I2384" s="242"/>
      <c r="J2384" s="243"/>
      <c r="K2384" s="243"/>
      <c r="L2384" s="244">
        <v>0.1</v>
      </c>
      <c r="M2384" s="244">
        <f t="shared" si="277"/>
        <v>0</v>
      </c>
      <c r="N2384" s="244"/>
      <c r="O2384" s="244"/>
      <c r="P2384" s="244"/>
      <c r="Q2384" s="245">
        <f t="shared" si="278"/>
        <v>0</v>
      </c>
      <c r="R2384" s="245">
        <f t="shared" si="279"/>
        <v>0</v>
      </c>
      <c r="S2384" s="246">
        <v>0.5</v>
      </c>
      <c r="T2384" s="245">
        <f t="shared" si="280"/>
        <v>0</v>
      </c>
      <c r="U2384" s="245">
        <f t="shared" si="281"/>
        <v>0</v>
      </c>
      <c r="V2384" s="247"/>
    </row>
    <row r="2385" spans="1:22" ht="15.75" x14ac:dyDescent="0.25">
      <c r="A2385" s="236"/>
      <c r="B2385" s="237"/>
      <c r="C2385" s="238"/>
      <c r="D2385" s="239"/>
      <c r="E2385" s="240"/>
      <c r="F2385" s="240"/>
      <c r="G2385" s="240"/>
      <c r="H2385" s="241">
        <f t="shared" si="276"/>
        <v>0</v>
      </c>
      <c r="I2385" s="242"/>
      <c r="J2385" s="243"/>
      <c r="K2385" s="243"/>
      <c r="L2385" s="244">
        <v>0.1</v>
      </c>
      <c r="M2385" s="244">
        <f t="shared" si="277"/>
        <v>0</v>
      </c>
      <c r="N2385" s="244"/>
      <c r="O2385" s="244"/>
      <c r="P2385" s="244"/>
      <c r="Q2385" s="245">
        <f t="shared" si="278"/>
        <v>0</v>
      </c>
      <c r="R2385" s="245">
        <f t="shared" si="279"/>
        <v>0</v>
      </c>
      <c r="S2385" s="246">
        <v>0.5</v>
      </c>
      <c r="T2385" s="245">
        <f t="shared" si="280"/>
        <v>0</v>
      </c>
      <c r="U2385" s="245">
        <f t="shared" si="281"/>
        <v>0</v>
      </c>
      <c r="V2385" s="247"/>
    </row>
    <row r="2386" spans="1:22" ht="15.75" x14ac:dyDescent="0.25">
      <c r="A2386" s="236"/>
      <c r="B2386" s="237"/>
      <c r="C2386" s="238"/>
      <c r="D2386" s="239"/>
      <c r="E2386" s="240"/>
      <c r="F2386" s="240"/>
      <c r="G2386" s="240"/>
      <c r="H2386" s="241">
        <f t="shared" si="276"/>
        <v>0</v>
      </c>
      <c r="I2386" s="242"/>
      <c r="J2386" s="243"/>
      <c r="K2386" s="243"/>
      <c r="L2386" s="244">
        <v>0.1</v>
      </c>
      <c r="M2386" s="244">
        <f t="shared" si="277"/>
        <v>0</v>
      </c>
      <c r="N2386" s="244"/>
      <c r="O2386" s="244"/>
      <c r="P2386" s="244"/>
      <c r="Q2386" s="245">
        <f t="shared" si="278"/>
        <v>0</v>
      </c>
      <c r="R2386" s="245">
        <f t="shared" si="279"/>
        <v>0</v>
      </c>
      <c r="S2386" s="246">
        <v>0.5</v>
      </c>
      <c r="T2386" s="245">
        <f t="shared" si="280"/>
        <v>0</v>
      </c>
      <c r="U2386" s="245">
        <f t="shared" si="281"/>
        <v>0</v>
      </c>
      <c r="V2386" s="247"/>
    </row>
    <row r="2387" spans="1:22" ht="15.75" x14ac:dyDescent="0.25">
      <c r="A2387" s="236"/>
      <c r="B2387" s="237"/>
      <c r="C2387" s="238"/>
      <c r="D2387" s="239"/>
      <c r="E2387" s="240"/>
      <c r="F2387" s="240"/>
      <c r="G2387" s="240"/>
      <c r="H2387" s="241">
        <f t="shared" si="276"/>
        <v>0</v>
      </c>
      <c r="I2387" s="242"/>
      <c r="J2387" s="243"/>
      <c r="K2387" s="243"/>
      <c r="L2387" s="244">
        <v>0.1</v>
      </c>
      <c r="M2387" s="244">
        <f t="shared" si="277"/>
        <v>0</v>
      </c>
      <c r="N2387" s="244"/>
      <c r="O2387" s="244"/>
      <c r="P2387" s="244"/>
      <c r="Q2387" s="245">
        <f t="shared" si="278"/>
        <v>0</v>
      </c>
      <c r="R2387" s="245">
        <f t="shared" si="279"/>
        <v>0</v>
      </c>
      <c r="S2387" s="246">
        <v>0.5</v>
      </c>
      <c r="T2387" s="245">
        <f t="shared" si="280"/>
        <v>0</v>
      </c>
      <c r="U2387" s="245">
        <f t="shared" si="281"/>
        <v>0</v>
      </c>
      <c r="V2387" s="247"/>
    </row>
    <row r="2388" spans="1:22" ht="15.75" x14ac:dyDescent="0.25">
      <c r="A2388" s="236"/>
      <c r="B2388" s="237"/>
      <c r="C2388" s="238"/>
      <c r="D2388" s="239"/>
      <c r="E2388" s="240"/>
      <c r="F2388" s="240"/>
      <c r="G2388" s="240"/>
      <c r="H2388" s="241">
        <f t="shared" si="276"/>
        <v>0</v>
      </c>
      <c r="I2388" s="242"/>
      <c r="J2388" s="243"/>
      <c r="K2388" s="243"/>
      <c r="L2388" s="244">
        <v>0.1</v>
      </c>
      <c r="M2388" s="244">
        <f t="shared" si="277"/>
        <v>0</v>
      </c>
      <c r="N2388" s="244"/>
      <c r="O2388" s="244"/>
      <c r="P2388" s="244"/>
      <c r="Q2388" s="245">
        <f t="shared" si="278"/>
        <v>0</v>
      </c>
      <c r="R2388" s="245">
        <f t="shared" si="279"/>
        <v>0</v>
      </c>
      <c r="S2388" s="246">
        <v>0.5</v>
      </c>
      <c r="T2388" s="245">
        <f t="shared" si="280"/>
        <v>0</v>
      </c>
      <c r="U2388" s="245">
        <f t="shared" si="281"/>
        <v>0</v>
      </c>
      <c r="V2388" s="247"/>
    </row>
    <row r="2389" spans="1:22" ht="15.75" x14ac:dyDescent="0.25">
      <c r="A2389" s="236"/>
      <c r="B2389" s="237"/>
      <c r="C2389" s="238"/>
      <c r="D2389" s="239"/>
      <c r="E2389" s="240"/>
      <c r="F2389" s="240"/>
      <c r="G2389" s="240"/>
      <c r="H2389" s="241">
        <f t="shared" si="276"/>
        <v>0</v>
      </c>
      <c r="I2389" s="242"/>
      <c r="J2389" s="243"/>
      <c r="K2389" s="243"/>
      <c r="L2389" s="244">
        <v>0.1</v>
      </c>
      <c r="M2389" s="244">
        <f t="shared" si="277"/>
        <v>0</v>
      </c>
      <c r="N2389" s="244"/>
      <c r="O2389" s="244"/>
      <c r="P2389" s="244"/>
      <c r="Q2389" s="245">
        <f t="shared" si="278"/>
        <v>0</v>
      </c>
      <c r="R2389" s="245">
        <f t="shared" si="279"/>
        <v>0</v>
      </c>
      <c r="S2389" s="246">
        <v>0.5</v>
      </c>
      <c r="T2389" s="245">
        <f t="shared" si="280"/>
        <v>0</v>
      </c>
      <c r="U2389" s="245">
        <f t="shared" si="281"/>
        <v>0</v>
      </c>
      <c r="V2389" s="247"/>
    </row>
    <row r="2390" spans="1:22" ht="15.75" x14ac:dyDescent="0.25">
      <c r="A2390" s="236"/>
      <c r="B2390" s="237"/>
      <c r="C2390" s="238"/>
      <c r="D2390" s="239"/>
      <c r="E2390" s="240"/>
      <c r="F2390" s="240"/>
      <c r="G2390" s="240"/>
      <c r="H2390" s="241">
        <f t="shared" si="276"/>
        <v>0</v>
      </c>
      <c r="I2390" s="242"/>
      <c r="J2390" s="243"/>
      <c r="K2390" s="243"/>
      <c r="L2390" s="244">
        <v>0.1</v>
      </c>
      <c r="M2390" s="244">
        <f t="shared" si="277"/>
        <v>0</v>
      </c>
      <c r="N2390" s="244"/>
      <c r="O2390" s="244"/>
      <c r="P2390" s="244"/>
      <c r="Q2390" s="245">
        <f t="shared" si="278"/>
        <v>0</v>
      </c>
      <c r="R2390" s="245">
        <f t="shared" si="279"/>
        <v>0</v>
      </c>
      <c r="S2390" s="246">
        <v>0.5</v>
      </c>
      <c r="T2390" s="245">
        <f t="shared" si="280"/>
        <v>0</v>
      </c>
      <c r="U2390" s="245">
        <f t="shared" si="281"/>
        <v>0</v>
      </c>
      <c r="V2390" s="247"/>
    </row>
    <row r="2391" spans="1:22" ht="15.75" x14ac:dyDescent="0.25">
      <c r="A2391" s="236"/>
      <c r="B2391" s="237"/>
      <c r="C2391" s="238"/>
      <c r="D2391" s="239"/>
      <c r="E2391" s="240"/>
      <c r="F2391" s="240"/>
      <c r="G2391" s="240"/>
      <c r="H2391" s="241">
        <f t="shared" si="276"/>
        <v>0</v>
      </c>
      <c r="I2391" s="242"/>
      <c r="J2391" s="243"/>
      <c r="K2391" s="243"/>
      <c r="L2391" s="244">
        <v>0.1</v>
      </c>
      <c r="M2391" s="244">
        <f t="shared" si="277"/>
        <v>0</v>
      </c>
      <c r="N2391" s="244"/>
      <c r="O2391" s="244"/>
      <c r="P2391" s="244"/>
      <c r="Q2391" s="245">
        <f t="shared" si="278"/>
        <v>0</v>
      </c>
      <c r="R2391" s="245">
        <f t="shared" si="279"/>
        <v>0</v>
      </c>
      <c r="S2391" s="246">
        <v>0.5</v>
      </c>
      <c r="T2391" s="245">
        <f t="shared" si="280"/>
        <v>0</v>
      </c>
      <c r="U2391" s="245">
        <f t="shared" si="281"/>
        <v>0</v>
      </c>
      <c r="V2391" s="247"/>
    </row>
    <row r="2392" spans="1:22" ht="15.75" x14ac:dyDescent="0.25">
      <c r="A2392" s="236"/>
      <c r="B2392" s="237"/>
      <c r="C2392" s="238"/>
      <c r="D2392" s="239"/>
      <c r="E2392" s="240"/>
      <c r="F2392" s="240"/>
      <c r="G2392" s="240"/>
      <c r="H2392" s="241">
        <f t="shared" si="276"/>
        <v>0</v>
      </c>
      <c r="I2392" s="242"/>
      <c r="J2392" s="243"/>
      <c r="K2392" s="243"/>
      <c r="L2392" s="244">
        <v>0.1</v>
      </c>
      <c r="M2392" s="244">
        <f t="shared" si="277"/>
        <v>0</v>
      </c>
      <c r="N2392" s="244"/>
      <c r="O2392" s="244"/>
      <c r="P2392" s="244"/>
      <c r="Q2392" s="245">
        <f t="shared" si="278"/>
        <v>0</v>
      </c>
      <c r="R2392" s="245">
        <f t="shared" si="279"/>
        <v>0</v>
      </c>
      <c r="S2392" s="246">
        <v>0.5</v>
      </c>
      <c r="T2392" s="245">
        <f t="shared" si="280"/>
        <v>0</v>
      </c>
      <c r="U2392" s="245">
        <f t="shared" si="281"/>
        <v>0</v>
      </c>
      <c r="V2392" s="247"/>
    </row>
    <row r="2393" spans="1:22" ht="15.75" x14ac:dyDescent="0.25">
      <c r="A2393" s="236"/>
      <c r="B2393" s="237"/>
      <c r="C2393" s="238"/>
      <c r="D2393" s="239"/>
      <c r="E2393" s="240"/>
      <c r="F2393" s="240"/>
      <c r="G2393" s="240"/>
      <c r="H2393" s="241">
        <f t="shared" si="276"/>
        <v>0</v>
      </c>
      <c r="I2393" s="242"/>
      <c r="J2393" s="243"/>
      <c r="K2393" s="243"/>
      <c r="L2393" s="244">
        <v>0.1</v>
      </c>
      <c r="M2393" s="244">
        <f t="shared" si="277"/>
        <v>0</v>
      </c>
      <c r="N2393" s="244"/>
      <c r="O2393" s="244"/>
      <c r="P2393" s="244"/>
      <c r="Q2393" s="245">
        <f t="shared" si="278"/>
        <v>0</v>
      </c>
      <c r="R2393" s="245">
        <f t="shared" si="279"/>
        <v>0</v>
      </c>
      <c r="S2393" s="246">
        <v>0.5</v>
      </c>
      <c r="T2393" s="245">
        <f t="shared" si="280"/>
        <v>0</v>
      </c>
      <c r="U2393" s="245">
        <f t="shared" si="281"/>
        <v>0</v>
      </c>
      <c r="V2393" s="247"/>
    </row>
    <row r="2394" spans="1:22" ht="15.75" x14ac:dyDescent="0.25">
      <c r="A2394" s="236"/>
      <c r="B2394" s="237"/>
      <c r="C2394" s="238"/>
      <c r="D2394" s="239"/>
      <c r="E2394" s="240"/>
      <c r="F2394" s="240"/>
      <c r="G2394" s="240"/>
      <c r="H2394" s="241">
        <f t="shared" si="276"/>
        <v>0</v>
      </c>
      <c r="I2394" s="242"/>
      <c r="J2394" s="243"/>
      <c r="K2394" s="243"/>
      <c r="L2394" s="244">
        <v>0.1</v>
      </c>
      <c r="M2394" s="244">
        <f t="shared" si="277"/>
        <v>0</v>
      </c>
      <c r="N2394" s="244"/>
      <c r="O2394" s="244"/>
      <c r="P2394" s="244"/>
      <c r="Q2394" s="245">
        <f t="shared" si="278"/>
        <v>0</v>
      </c>
      <c r="R2394" s="245">
        <f t="shared" si="279"/>
        <v>0</v>
      </c>
      <c r="S2394" s="246">
        <v>0.5</v>
      </c>
      <c r="T2394" s="245">
        <f t="shared" si="280"/>
        <v>0</v>
      </c>
      <c r="U2394" s="245">
        <f t="shared" si="281"/>
        <v>0</v>
      </c>
      <c r="V2394" s="247"/>
    </row>
    <row r="2395" spans="1:22" ht="15.75" x14ac:dyDescent="0.25">
      <c r="A2395" s="236"/>
      <c r="B2395" s="237"/>
      <c r="C2395" s="238"/>
      <c r="D2395" s="239"/>
      <c r="E2395" s="240"/>
      <c r="F2395" s="240"/>
      <c r="G2395" s="240"/>
      <c r="H2395" s="241">
        <f t="shared" si="276"/>
        <v>0</v>
      </c>
      <c r="I2395" s="242"/>
      <c r="J2395" s="243"/>
      <c r="K2395" s="243"/>
      <c r="L2395" s="244">
        <v>0.1</v>
      </c>
      <c r="M2395" s="244">
        <f t="shared" si="277"/>
        <v>0</v>
      </c>
      <c r="N2395" s="244"/>
      <c r="O2395" s="244"/>
      <c r="P2395" s="244"/>
      <c r="Q2395" s="245">
        <f t="shared" si="278"/>
        <v>0</v>
      </c>
      <c r="R2395" s="245">
        <f t="shared" si="279"/>
        <v>0</v>
      </c>
      <c r="S2395" s="246">
        <v>0.5</v>
      </c>
      <c r="T2395" s="245">
        <f t="shared" si="280"/>
        <v>0</v>
      </c>
      <c r="U2395" s="245">
        <f t="shared" si="281"/>
        <v>0</v>
      </c>
      <c r="V2395" s="247"/>
    </row>
    <row r="2396" spans="1:22" ht="15.75" x14ac:dyDescent="0.25">
      <c r="A2396" s="236"/>
      <c r="B2396" s="237"/>
      <c r="C2396" s="238"/>
      <c r="D2396" s="239"/>
      <c r="E2396" s="240"/>
      <c r="F2396" s="240"/>
      <c r="G2396" s="240"/>
      <c r="H2396" s="241">
        <f t="shared" si="276"/>
        <v>0</v>
      </c>
      <c r="I2396" s="242"/>
      <c r="J2396" s="243"/>
      <c r="K2396" s="243"/>
      <c r="L2396" s="244">
        <v>0.1</v>
      </c>
      <c r="M2396" s="244">
        <f t="shared" si="277"/>
        <v>0</v>
      </c>
      <c r="N2396" s="244"/>
      <c r="O2396" s="244"/>
      <c r="P2396" s="244"/>
      <c r="Q2396" s="245">
        <f t="shared" si="278"/>
        <v>0</v>
      </c>
      <c r="R2396" s="245">
        <f t="shared" si="279"/>
        <v>0</v>
      </c>
      <c r="S2396" s="246">
        <v>0.5</v>
      </c>
      <c r="T2396" s="245">
        <f t="shared" si="280"/>
        <v>0</v>
      </c>
      <c r="U2396" s="245">
        <f t="shared" si="281"/>
        <v>0</v>
      </c>
      <c r="V2396" s="247"/>
    </row>
    <row r="2397" spans="1:22" ht="15.75" x14ac:dyDescent="0.25">
      <c r="A2397" s="236"/>
      <c r="B2397" s="237"/>
      <c r="C2397" s="238"/>
      <c r="D2397" s="239"/>
      <c r="E2397" s="240"/>
      <c r="F2397" s="240"/>
      <c r="G2397" s="240"/>
      <c r="H2397" s="241">
        <f t="shared" si="276"/>
        <v>0</v>
      </c>
      <c r="I2397" s="242"/>
      <c r="J2397" s="243"/>
      <c r="K2397" s="243"/>
      <c r="L2397" s="244">
        <v>0.1</v>
      </c>
      <c r="M2397" s="244">
        <f t="shared" si="277"/>
        <v>0</v>
      </c>
      <c r="N2397" s="244"/>
      <c r="O2397" s="244"/>
      <c r="P2397" s="244"/>
      <c r="Q2397" s="245">
        <f t="shared" si="278"/>
        <v>0</v>
      </c>
      <c r="R2397" s="245">
        <f t="shared" si="279"/>
        <v>0</v>
      </c>
      <c r="S2397" s="246">
        <v>0.5</v>
      </c>
      <c r="T2397" s="245">
        <f t="shared" si="280"/>
        <v>0</v>
      </c>
      <c r="U2397" s="245">
        <f t="shared" si="281"/>
        <v>0</v>
      </c>
      <c r="V2397" s="247"/>
    </row>
    <row r="2398" spans="1:22" ht="15.75" x14ac:dyDescent="0.25">
      <c r="A2398" s="236"/>
      <c r="B2398" s="237"/>
      <c r="C2398" s="238"/>
      <c r="D2398" s="239"/>
      <c r="E2398" s="240"/>
      <c r="F2398" s="240"/>
      <c r="G2398" s="240"/>
      <c r="H2398" s="241">
        <f t="shared" si="276"/>
        <v>0</v>
      </c>
      <c r="I2398" s="242"/>
      <c r="J2398" s="243"/>
      <c r="K2398" s="243"/>
      <c r="L2398" s="244">
        <v>0.1</v>
      </c>
      <c r="M2398" s="244">
        <f t="shared" si="277"/>
        <v>0</v>
      </c>
      <c r="N2398" s="244"/>
      <c r="O2398" s="244"/>
      <c r="P2398" s="244"/>
      <c r="Q2398" s="245">
        <f t="shared" si="278"/>
        <v>0</v>
      </c>
      <c r="R2398" s="245">
        <f t="shared" si="279"/>
        <v>0</v>
      </c>
      <c r="S2398" s="246">
        <v>0.5</v>
      </c>
      <c r="T2398" s="245">
        <f t="shared" si="280"/>
        <v>0</v>
      </c>
      <c r="U2398" s="245">
        <f t="shared" si="281"/>
        <v>0</v>
      </c>
      <c r="V2398" s="247"/>
    </row>
    <row r="2399" spans="1:22" ht="15.75" x14ac:dyDescent="0.25">
      <c r="A2399" s="236"/>
      <c r="B2399" s="237"/>
      <c r="C2399" s="238"/>
      <c r="D2399" s="239"/>
      <c r="E2399" s="240"/>
      <c r="F2399" s="240"/>
      <c r="G2399" s="240"/>
      <c r="H2399" s="241">
        <f t="shared" si="276"/>
        <v>0</v>
      </c>
      <c r="I2399" s="242"/>
      <c r="J2399" s="243"/>
      <c r="K2399" s="243"/>
      <c r="L2399" s="244">
        <v>0.1</v>
      </c>
      <c r="M2399" s="244">
        <f t="shared" si="277"/>
        <v>0</v>
      </c>
      <c r="N2399" s="244"/>
      <c r="O2399" s="244"/>
      <c r="P2399" s="244"/>
      <c r="Q2399" s="245">
        <f t="shared" si="278"/>
        <v>0</v>
      </c>
      <c r="R2399" s="245">
        <f t="shared" si="279"/>
        <v>0</v>
      </c>
      <c r="S2399" s="246">
        <v>0.5</v>
      </c>
      <c r="T2399" s="245">
        <f t="shared" si="280"/>
        <v>0</v>
      </c>
      <c r="U2399" s="245">
        <f t="shared" si="281"/>
        <v>0</v>
      </c>
      <c r="V2399" s="247"/>
    </row>
    <row r="2400" spans="1:22" ht="15.75" x14ac:dyDescent="0.25">
      <c r="A2400" s="236"/>
      <c r="B2400" s="237"/>
      <c r="C2400" s="238"/>
      <c r="D2400" s="239"/>
      <c r="E2400" s="240"/>
      <c r="F2400" s="240"/>
      <c r="G2400" s="240"/>
      <c r="H2400" s="241">
        <f t="shared" si="276"/>
        <v>0</v>
      </c>
      <c r="I2400" s="242"/>
      <c r="J2400" s="243"/>
      <c r="K2400" s="243"/>
      <c r="L2400" s="244">
        <v>0.1</v>
      </c>
      <c r="M2400" s="244">
        <f t="shared" si="277"/>
        <v>0</v>
      </c>
      <c r="N2400" s="244"/>
      <c r="O2400" s="244"/>
      <c r="P2400" s="244"/>
      <c r="Q2400" s="245">
        <f t="shared" si="278"/>
        <v>0</v>
      </c>
      <c r="R2400" s="245">
        <f t="shared" si="279"/>
        <v>0</v>
      </c>
      <c r="S2400" s="246">
        <v>0.5</v>
      </c>
      <c r="T2400" s="245">
        <f t="shared" si="280"/>
        <v>0</v>
      </c>
      <c r="U2400" s="245">
        <f t="shared" si="281"/>
        <v>0</v>
      </c>
      <c r="V2400" s="247"/>
    </row>
    <row r="2401" spans="1:22" ht="15.75" x14ac:dyDescent="0.25">
      <c r="A2401" s="236"/>
      <c r="B2401" s="237"/>
      <c r="C2401" s="238"/>
      <c r="D2401" s="239"/>
      <c r="E2401" s="240"/>
      <c r="F2401" s="240"/>
      <c r="G2401" s="240"/>
      <c r="H2401" s="241">
        <f t="shared" si="276"/>
        <v>0</v>
      </c>
      <c r="I2401" s="242"/>
      <c r="J2401" s="243"/>
      <c r="K2401" s="243"/>
      <c r="L2401" s="244">
        <v>0.1</v>
      </c>
      <c r="M2401" s="244">
        <f t="shared" si="277"/>
        <v>0</v>
      </c>
      <c r="N2401" s="244"/>
      <c r="O2401" s="244"/>
      <c r="P2401" s="244"/>
      <c r="Q2401" s="245">
        <f t="shared" si="278"/>
        <v>0</v>
      </c>
      <c r="R2401" s="245">
        <f t="shared" si="279"/>
        <v>0</v>
      </c>
      <c r="S2401" s="246">
        <v>0.5</v>
      </c>
      <c r="T2401" s="245">
        <f t="shared" si="280"/>
        <v>0</v>
      </c>
      <c r="U2401" s="245">
        <f t="shared" si="281"/>
        <v>0</v>
      </c>
      <c r="V2401" s="247"/>
    </row>
    <row r="2402" spans="1:22" ht="15.75" x14ac:dyDescent="0.25">
      <c r="A2402" s="236"/>
      <c r="B2402" s="237"/>
      <c r="C2402" s="238"/>
      <c r="D2402" s="239"/>
      <c r="E2402" s="240"/>
      <c r="F2402" s="240"/>
      <c r="G2402" s="240"/>
      <c r="H2402" s="241">
        <f t="shared" si="276"/>
        <v>0</v>
      </c>
      <c r="I2402" s="242"/>
      <c r="J2402" s="243"/>
      <c r="K2402" s="243"/>
      <c r="L2402" s="244">
        <v>0.1</v>
      </c>
      <c r="M2402" s="244">
        <f t="shared" si="277"/>
        <v>0</v>
      </c>
      <c r="N2402" s="244"/>
      <c r="O2402" s="244"/>
      <c r="P2402" s="244"/>
      <c r="Q2402" s="245">
        <f t="shared" si="278"/>
        <v>0</v>
      </c>
      <c r="R2402" s="245">
        <f t="shared" si="279"/>
        <v>0</v>
      </c>
      <c r="S2402" s="246">
        <v>0.5</v>
      </c>
      <c r="T2402" s="245">
        <f t="shared" si="280"/>
        <v>0</v>
      </c>
      <c r="U2402" s="245">
        <f t="shared" si="281"/>
        <v>0</v>
      </c>
      <c r="V2402" s="247"/>
    </row>
    <row r="2403" spans="1:22" ht="15.75" x14ac:dyDescent="0.25">
      <c r="A2403" s="236"/>
      <c r="B2403" s="237"/>
      <c r="C2403" s="238"/>
      <c r="D2403" s="239"/>
      <c r="E2403" s="240"/>
      <c r="F2403" s="240"/>
      <c r="G2403" s="240"/>
      <c r="H2403" s="241">
        <f t="shared" si="276"/>
        <v>0</v>
      </c>
      <c r="I2403" s="242"/>
      <c r="J2403" s="243"/>
      <c r="K2403" s="243"/>
      <c r="L2403" s="244">
        <v>0.1</v>
      </c>
      <c r="M2403" s="244">
        <f t="shared" si="277"/>
        <v>0</v>
      </c>
      <c r="N2403" s="244"/>
      <c r="O2403" s="244"/>
      <c r="P2403" s="244"/>
      <c r="Q2403" s="245">
        <f t="shared" si="278"/>
        <v>0</v>
      </c>
      <c r="R2403" s="245">
        <f t="shared" si="279"/>
        <v>0</v>
      </c>
      <c r="S2403" s="246">
        <v>0.5</v>
      </c>
      <c r="T2403" s="245">
        <f t="shared" si="280"/>
        <v>0</v>
      </c>
      <c r="U2403" s="245">
        <f t="shared" si="281"/>
        <v>0</v>
      </c>
      <c r="V2403" s="247"/>
    </row>
    <row r="2404" spans="1:22" ht="15.75" x14ac:dyDescent="0.25">
      <c r="A2404" s="236"/>
      <c r="B2404" s="237"/>
      <c r="C2404" s="238"/>
      <c r="D2404" s="239"/>
      <c r="E2404" s="240"/>
      <c r="F2404" s="240"/>
      <c r="G2404" s="240"/>
      <c r="H2404" s="241">
        <f t="shared" si="276"/>
        <v>0</v>
      </c>
      <c r="I2404" s="242"/>
      <c r="J2404" s="243"/>
      <c r="K2404" s="243"/>
      <c r="L2404" s="244">
        <v>0.1</v>
      </c>
      <c r="M2404" s="244">
        <f t="shared" si="277"/>
        <v>0</v>
      </c>
      <c r="N2404" s="244"/>
      <c r="O2404" s="244"/>
      <c r="P2404" s="244"/>
      <c r="Q2404" s="245">
        <f t="shared" si="278"/>
        <v>0</v>
      </c>
      <c r="R2404" s="245">
        <f t="shared" si="279"/>
        <v>0</v>
      </c>
      <c r="S2404" s="246">
        <v>0.5</v>
      </c>
      <c r="T2404" s="245">
        <f t="shared" si="280"/>
        <v>0</v>
      </c>
      <c r="U2404" s="245">
        <f t="shared" si="281"/>
        <v>0</v>
      </c>
      <c r="V2404" s="247"/>
    </row>
    <row r="2405" spans="1:22" ht="15.75" x14ac:dyDescent="0.25">
      <c r="A2405" s="236"/>
      <c r="B2405" s="237"/>
      <c r="C2405" s="238"/>
      <c r="D2405" s="239"/>
      <c r="E2405" s="240"/>
      <c r="F2405" s="240"/>
      <c r="G2405" s="240"/>
      <c r="H2405" s="241">
        <f t="shared" si="276"/>
        <v>0</v>
      </c>
      <c r="I2405" s="242"/>
      <c r="J2405" s="243"/>
      <c r="K2405" s="243"/>
      <c r="L2405" s="244">
        <v>0.1</v>
      </c>
      <c r="M2405" s="244">
        <f t="shared" si="277"/>
        <v>0</v>
      </c>
      <c r="N2405" s="244"/>
      <c r="O2405" s="244"/>
      <c r="P2405" s="244"/>
      <c r="Q2405" s="245">
        <f t="shared" si="278"/>
        <v>0</v>
      </c>
      <c r="R2405" s="245">
        <f t="shared" si="279"/>
        <v>0</v>
      </c>
      <c r="S2405" s="246">
        <v>0.5</v>
      </c>
      <c r="T2405" s="245">
        <f t="shared" si="280"/>
        <v>0</v>
      </c>
      <c r="U2405" s="245">
        <f t="shared" si="281"/>
        <v>0</v>
      </c>
      <c r="V2405" s="247"/>
    </row>
    <row r="2406" spans="1:22" ht="15.75" x14ac:dyDescent="0.25">
      <c r="A2406" s="236"/>
      <c r="B2406" s="237"/>
      <c r="C2406" s="238"/>
      <c r="D2406" s="239"/>
      <c r="E2406" s="240"/>
      <c r="F2406" s="240"/>
      <c r="G2406" s="240"/>
      <c r="H2406" s="241">
        <f t="shared" si="276"/>
        <v>0</v>
      </c>
      <c r="I2406" s="242"/>
      <c r="J2406" s="243"/>
      <c r="K2406" s="243"/>
      <c r="L2406" s="244">
        <v>0.1</v>
      </c>
      <c r="M2406" s="244">
        <f t="shared" si="277"/>
        <v>0</v>
      </c>
      <c r="N2406" s="244"/>
      <c r="O2406" s="244"/>
      <c r="P2406" s="244"/>
      <c r="Q2406" s="245">
        <f t="shared" si="278"/>
        <v>0</v>
      </c>
      <c r="R2406" s="245">
        <f t="shared" si="279"/>
        <v>0</v>
      </c>
      <c r="S2406" s="246">
        <v>0.5</v>
      </c>
      <c r="T2406" s="245">
        <f t="shared" si="280"/>
        <v>0</v>
      </c>
      <c r="U2406" s="245">
        <f t="shared" si="281"/>
        <v>0</v>
      </c>
      <c r="V2406" s="247"/>
    </row>
    <row r="2407" spans="1:22" ht="15.75" x14ac:dyDescent="0.25">
      <c r="A2407" s="236"/>
      <c r="B2407" s="237"/>
      <c r="C2407" s="238"/>
      <c r="D2407" s="239"/>
      <c r="E2407" s="240"/>
      <c r="F2407" s="240"/>
      <c r="G2407" s="240"/>
      <c r="H2407" s="241">
        <f t="shared" si="276"/>
        <v>0</v>
      </c>
      <c r="I2407" s="242"/>
      <c r="J2407" s="243"/>
      <c r="K2407" s="243"/>
      <c r="L2407" s="244">
        <v>0.1</v>
      </c>
      <c r="M2407" s="244">
        <f t="shared" si="277"/>
        <v>0</v>
      </c>
      <c r="N2407" s="244"/>
      <c r="O2407" s="244"/>
      <c r="P2407" s="244"/>
      <c r="Q2407" s="245">
        <f t="shared" si="278"/>
        <v>0</v>
      </c>
      <c r="R2407" s="245">
        <f t="shared" si="279"/>
        <v>0</v>
      </c>
      <c r="S2407" s="246">
        <v>0.5</v>
      </c>
      <c r="T2407" s="245">
        <f t="shared" si="280"/>
        <v>0</v>
      </c>
      <c r="U2407" s="245">
        <f t="shared" si="281"/>
        <v>0</v>
      </c>
      <c r="V2407" s="247"/>
    </row>
    <row r="2408" spans="1:22" ht="15.75" x14ac:dyDescent="0.25">
      <c r="A2408" s="236"/>
      <c r="B2408" s="237"/>
      <c r="C2408" s="238"/>
      <c r="D2408" s="239"/>
      <c r="E2408" s="240"/>
      <c r="F2408" s="240"/>
      <c r="G2408" s="240"/>
      <c r="H2408" s="241">
        <f t="shared" si="276"/>
        <v>0</v>
      </c>
      <c r="I2408" s="242"/>
      <c r="J2408" s="243"/>
      <c r="K2408" s="243"/>
      <c r="L2408" s="244">
        <v>0.1</v>
      </c>
      <c r="M2408" s="244">
        <f t="shared" si="277"/>
        <v>0</v>
      </c>
      <c r="N2408" s="244"/>
      <c r="O2408" s="244"/>
      <c r="P2408" s="244"/>
      <c r="Q2408" s="245">
        <f t="shared" si="278"/>
        <v>0</v>
      </c>
      <c r="R2408" s="245">
        <f t="shared" si="279"/>
        <v>0</v>
      </c>
      <c r="S2408" s="246">
        <v>0.5</v>
      </c>
      <c r="T2408" s="245">
        <f t="shared" si="280"/>
        <v>0</v>
      </c>
      <c r="U2408" s="245">
        <f t="shared" si="281"/>
        <v>0</v>
      </c>
      <c r="V2408" s="247"/>
    </row>
    <row r="2409" spans="1:22" ht="15.75" x14ac:dyDescent="0.25">
      <c r="A2409" s="236"/>
      <c r="B2409" s="237"/>
      <c r="C2409" s="238"/>
      <c r="D2409" s="239"/>
      <c r="E2409" s="240"/>
      <c r="F2409" s="240"/>
      <c r="G2409" s="240"/>
      <c r="H2409" s="241">
        <f t="shared" si="276"/>
        <v>0</v>
      </c>
      <c r="I2409" s="242"/>
      <c r="J2409" s="243"/>
      <c r="K2409" s="243"/>
      <c r="L2409" s="244">
        <v>0.1</v>
      </c>
      <c r="M2409" s="244">
        <f t="shared" si="277"/>
        <v>0</v>
      </c>
      <c r="N2409" s="244"/>
      <c r="O2409" s="244"/>
      <c r="P2409" s="244"/>
      <c r="Q2409" s="245">
        <f t="shared" si="278"/>
        <v>0</v>
      </c>
      <c r="R2409" s="245">
        <f t="shared" si="279"/>
        <v>0</v>
      </c>
      <c r="S2409" s="246">
        <v>0.5</v>
      </c>
      <c r="T2409" s="245">
        <f t="shared" si="280"/>
        <v>0</v>
      </c>
      <c r="U2409" s="245">
        <f t="shared" si="281"/>
        <v>0</v>
      </c>
      <c r="V2409" s="247"/>
    </row>
    <row r="2410" spans="1:22" ht="15.75" x14ac:dyDescent="0.25">
      <c r="A2410" s="236"/>
      <c r="B2410" s="237"/>
      <c r="C2410" s="238"/>
      <c r="D2410" s="239"/>
      <c r="E2410" s="240"/>
      <c r="F2410" s="240"/>
      <c r="G2410" s="240"/>
      <c r="H2410" s="241">
        <f t="shared" si="276"/>
        <v>0</v>
      </c>
      <c r="I2410" s="242"/>
      <c r="J2410" s="243"/>
      <c r="K2410" s="243"/>
      <c r="L2410" s="244">
        <v>0.1</v>
      </c>
      <c r="M2410" s="244">
        <f t="shared" si="277"/>
        <v>0</v>
      </c>
      <c r="N2410" s="244"/>
      <c r="O2410" s="244"/>
      <c r="P2410" s="244"/>
      <c r="Q2410" s="245">
        <f t="shared" si="278"/>
        <v>0</v>
      </c>
      <c r="R2410" s="245">
        <f t="shared" si="279"/>
        <v>0</v>
      </c>
      <c r="S2410" s="246">
        <v>0.5</v>
      </c>
      <c r="T2410" s="245">
        <f t="shared" si="280"/>
        <v>0</v>
      </c>
      <c r="U2410" s="245">
        <f t="shared" si="281"/>
        <v>0</v>
      </c>
      <c r="V2410" s="247"/>
    </row>
    <row r="2411" spans="1:22" ht="15.75" x14ac:dyDescent="0.25">
      <c r="A2411" s="236"/>
      <c r="B2411" s="237"/>
      <c r="C2411" s="238"/>
      <c r="D2411" s="239"/>
      <c r="E2411" s="240"/>
      <c r="F2411" s="240"/>
      <c r="G2411" s="240"/>
      <c r="H2411" s="241">
        <f t="shared" si="276"/>
        <v>0</v>
      </c>
      <c r="I2411" s="242"/>
      <c r="J2411" s="243"/>
      <c r="K2411" s="243"/>
      <c r="L2411" s="244">
        <v>0.1</v>
      </c>
      <c r="M2411" s="244">
        <f t="shared" si="277"/>
        <v>0</v>
      </c>
      <c r="N2411" s="244"/>
      <c r="O2411" s="244"/>
      <c r="P2411" s="244"/>
      <c r="Q2411" s="245">
        <f t="shared" si="278"/>
        <v>0</v>
      </c>
      <c r="R2411" s="245">
        <f t="shared" si="279"/>
        <v>0</v>
      </c>
      <c r="S2411" s="246">
        <v>0.5</v>
      </c>
      <c r="T2411" s="245">
        <f t="shared" si="280"/>
        <v>0</v>
      </c>
      <c r="U2411" s="245">
        <f t="shared" si="281"/>
        <v>0</v>
      </c>
      <c r="V2411" s="247"/>
    </row>
    <row r="2412" spans="1:22" ht="15.75" x14ac:dyDescent="0.25">
      <c r="A2412" s="236"/>
      <c r="B2412" s="237"/>
      <c r="C2412" s="238"/>
      <c r="D2412" s="239"/>
      <c r="E2412" s="240"/>
      <c r="F2412" s="240"/>
      <c r="G2412" s="240"/>
      <c r="H2412" s="241">
        <f t="shared" si="276"/>
        <v>0</v>
      </c>
      <c r="I2412" s="242"/>
      <c r="J2412" s="243"/>
      <c r="K2412" s="243"/>
      <c r="L2412" s="244">
        <v>0.1</v>
      </c>
      <c r="M2412" s="244">
        <f t="shared" si="277"/>
        <v>0</v>
      </c>
      <c r="N2412" s="244"/>
      <c r="O2412" s="244"/>
      <c r="P2412" s="244"/>
      <c r="Q2412" s="245">
        <f t="shared" si="278"/>
        <v>0</v>
      </c>
      <c r="R2412" s="245">
        <f t="shared" si="279"/>
        <v>0</v>
      </c>
      <c r="S2412" s="246">
        <v>0.5</v>
      </c>
      <c r="T2412" s="245">
        <f t="shared" si="280"/>
        <v>0</v>
      </c>
      <c r="U2412" s="245">
        <f t="shared" si="281"/>
        <v>0</v>
      </c>
      <c r="V2412" s="247"/>
    </row>
    <row r="2413" spans="1:22" ht="15.75" x14ac:dyDescent="0.25">
      <c r="A2413" s="236"/>
      <c r="B2413" s="237"/>
      <c r="C2413" s="238"/>
      <c r="D2413" s="239"/>
      <c r="E2413" s="240"/>
      <c r="F2413" s="240"/>
      <c r="G2413" s="240"/>
      <c r="H2413" s="241">
        <f t="shared" si="276"/>
        <v>0</v>
      </c>
      <c r="I2413" s="242"/>
      <c r="J2413" s="243"/>
      <c r="K2413" s="243"/>
      <c r="L2413" s="244">
        <v>0.1</v>
      </c>
      <c r="M2413" s="244">
        <f t="shared" si="277"/>
        <v>0</v>
      </c>
      <c r="N2413" s="244"/>
      <c r="O2413" s="244"/>
      <c r="P2413" s="244"/>
      <c r="Q2413" s="245">
        <f t="shared" si="278"/>
        <v>0</v>
      </c>
      <c r="R2413" s="245">
        <f t="shared" si="279"/>
        <v>0</v>
      </c>
      <c r="S2413" s="246">
        <v>0.5</v>
      </c>
      <c r="T2413" s="245">
        <f t="shared" si="280"/>
        <v>0</v>
      </c>
      <c r="U2413" s="245">
        <f t="shared" si="281"/>
        <v>0</v>
      </c>
      <c r="V2413" s="247"/>
    </row>
    <row r="2414" spans="1:22" ht="15.75" x14ac:dyDescent="0.25">
      <c r="A2414" s="236"/>
      <c r="B2414" s="237"/>
      <c r="C2414" s="238"/>
      <c r="D2414" s="239"/>
      <c r="E2414" s="240"/>
      <c r="F2414" s="240"/>
      <c r="G2414" s="240"/>
      <c r="H2414" s="241">
        <f t="shared" si="276"/>
        <v>0</v>
      </c>
      <c r="I2414" s="242"/>
      <c r="J2414" s="243"/>
      <c r="K2414" s="243"/>
      <c r="L2414" s="244">
        <v>0.1</v>
      </c>
      <c r="M2414" s="244">
        <f t="shared" si="277"/>
        <v>0</v>
      </c>
      <c r="N2414" s="244"/>
      <c r="O2414" s="244"/>
      <c r="P2414" s="244"/>
      <c r="Q2414" s="245">
        <f t="shared" si="278"/>
        <v>0</v>
      </c>
      <c r="R2414" s="245">
        <f t="shared" si="279"/>
        <v>0</v>
      </c>
      <c r="S2414" s="246">
        <v>0.5</v>
      </c>
      <c r="T2414" s="245">
        <f t="shared" si="280"/>
        <v>0</v>
      </c>
      <c r="U2414" s="245">
        <f t="shared" si="281"/>
        <v>0</v>
      </c>
      <c r="V2414" s="247"/>
    </row>
    <row r="2415" spans="1:22" ht="15.75" x14ac:dyDescent="0.25">
      <c r="A2415" s="236"/>
      <c r="B2415" s="237"/>
      <c r="C2415" s="238"/>
      <c r="D2415" s="239"/>
      <c r="E2415" s="240"/>
      <c r="F2415" s="240"/>
      <c r="G2415" s="240"/>
      <c r="H2415" s="241">
        <f t="shared" si="276"/>
        <v>0</v>
      </c>
      <c r="I2415" s="242"/>
      <c r="J2415" s="243"/>
      <c r="K2415" s="243"/>
      <c r="L2415" s="244">
        <v>0.1</v>
      </c>
      <c r="M2415" s="244">
        <f t="shared" si="277"/>
        <v>0</v>
      </c>
      <c r="N2415" s="244"/>
      <c r="O2415" s="244"/>
      <c r="P2415" s="244"/>
      <c r="Q2415" s="245">
        <f t="shared" si="278"/>
        <v>0</v>
      </c>
      <c r="R2415" s="245">
        <f t="shared" si="279"/>
        <v>0</v>
      </c>
      <c r="S2415" s="246">
        <v>0.5</v>
      </c>
      <c r="T2415" s="245">
        <f t="shared" si="280"/>
        <v>0</v>
      </c>
      <c r="U2415" s="245">
        <f t="shared" si="281"/>
        <v>0</v>
      </c>
      <c r="V2415" s="247"/>
    </row>
    <row r="2416" spans="1:22" ht="15.75" x14ac:dyDescent="0.25">
      <c r="A2416" s="236"/>
      <c r="B2416" s="237"/>
      <c r="C2416" s="238"/>
      <c r="D2416" s="239"/>
      <c r="E2416" s="240"/>
      <c r="F2416" s="240"/>
      <c r="G2416" s="240"/>
      <c r="H2416" s="241">
        <f t="shared" si="276"/>
        <v>0</v>
      </c>
      <c r="I2416" s="242"/>
      <c r="J2416" s="243"/>
      <c r="K2416" s="243"/>
      <c r="L2416" s="244">
        <v>0.1</v>
      </c>
      <c r="M2416" s="244">
        <f t="shared" si="277"/>
        <v>0</v>
      </c>
      <c r="N2416" s="244"/>
      <c r="O2416" s="244"/>
      <c r="P2416" s="244"/>
      <c r="Q2416" s="245">
        <f t="shared" si="278"/>
        <v>0</v>
      </c>
      <c r="R2416" s="245">
        <f t="shared" si="279"/>
        <v>0</v>
      </c>
      <c r="S2416" s="246">
        <v>0.5</v>
      </c>
      <c r="T2416" s="245">
        <f t="shared" si="280"/>
        <v>0</v>
      </c>
      <c r="U2416" s="245">
        <f t="shared" si="281"/>
        <v>0</v>
      </c>
      <c r="V2416" s="247"/>
    </row>
    <row r="2417" spans="1:22" ht="15.75" x14ac:dyDescent="0.25">
      <c r="A2417" s="236"/>
      <c r="B2417" s="237"/>
      <c r="C2417" s="238"/>
      <c r="D2417" s="239"/>
      <c r="E2417" s="240"/>
      <c r="F2417" s="240"/>
      <c r="G2417" s="240"/>
      <c r="H2417" s="241">
        <f t="shared" si="276"/>
        <v>0</v>
      </c>
      <c r="I2417" s="242"/>
      <c r="J2417" s="243"/>
      <c r="K2417" s="243"/>
      <c r="L2417" s="244">
        <v>0.1</v>
      </c>
      <c r="M2417" s="244">
        <f t="shared" si="277"/>
        <v>0</v>
      </c>
      <c r="N2417" s="244"/>
      <c r="O2417" s="244"/>
      <c r="P2417" s="244"/>
      <c r="Q2417" s="245">
        <f t="shared" si="278"/>
        <v>0</v>
      </c>
      <c r="R2417" s="245">
        <f t="shared" si="279"/>
        <v>0</v>
      </c>
      <c r="S2417" s="246">
        <v>0.5</v>
      </c>
      <c r="T2417" s="245">
        <f t="shared" si="280"/>
        <v>0</v>
      </c>
      <c r="U2417" s="245">
        <f t="shared" si="281"/>
        <v>0</v>
      </c>
      <c r="V2417" s="247"/>
    </row>
    <row r="2418" spans="1:22" ht="15.75" x14ac:dyDescent="0.25">
      <c r="A2418" s="236"/>
      <c r="B2418" s="237"/>
      <c r="C2418" s="238"/>
      <c r="D2418" s="239"/>
      <c r="E2418" s="240"/>
      <c r="F2418" s="240"/>
      <c r="G2418" s="240"/>
      <c r="H2418" s="241">
        <f t="shared" si="276"/>
        <v>0</v>
      </c>
      <c r="I2418" s="242"/>
      <c r="J2418" s="243"/>
      <c r="K2418" s="243"/>
      <c r="L2418" s="244">
        <v>0.1</v>
      </c>
      <c r="M2418" s="244">
        <f t="shared" si="277"/>
        <v>0</v>
      </c>
      <c r="N2418" s="244"/>
      <c r="O2418" s="244"/>
      <c r="P2418" s="244"/>
      <c r="Q2418" s="245">
        <f t="shared" si="278"/>
        <v>0</v>
      </c>
      <c r="R2418" s="245">
        <f t="shared" si="279"/>
        <v>0</v>
      </c>
      <c r="S2418" s="246">
        <v>0.5</v>
      </c>
      <c r="T2418" s="245">
        <f t="shared" si="280"/>
        <v>0</v>
      </c>
      <c r="U2418" s="245">
        <f t="shared" si="281"/>
        <v>0</v>
      </c>
      <c r="V2418" s="247"/>
    </row>
    <row r="2419" spans="1:22" ht="15.75" x14ac:dyDescent="0.25">
      <c r="A2419" s="236"/>
      <c r="B2419" s="237"/>
      <c r="C2419" s="238"/>
      <c r="D2419" s="239"/>
      <c r="E2419" s="240"/>
      <c r="F2419" s="240"/>
      <c r="G2419" s="240"/>
      <c r="H2419" s="241">
        <f t="shared" si="276"/>
        <v>0</v>
      </c>
      <c r="I2419" s="242"/>
      <c r="J2419" s="243"/>
      <c r="K2419" s="243"/>
      <c r="L2419" s="244">
        <v>0.1</v>
      </c>
      <c r="M2419" s="244">
        <f t="shared" si="277"/>
        <v>0</v>
      </c>
      <c r="N2419" s="244"/>
      <c r="O2419" s="244"/>
      <c r="P2419" s="244"/>
      <c r="Q2419" s="245">
        <f t="shared" si="278"/>
        <v>0</v>
      </c>
      <c r="R2419" s="245">
        <f t="shared" si="279"/>
        <v>0</v>
      </c>
      <c r="S2419" s="246">
        <v>0.5</v>
      </c>
      <c r="T2419" s="245">
        <f t="shared" si="280"/>
        <v>0</v>
      </c>
      <c r="U2419" s="245">
        <f t="shared" si="281"/>
        <v>0</v>
      </c>
      <c r="V2419" s="247"/>
    </row>
    <row r="2420" spans="1:22" ht="15.75" x14ac:dyDescent="0.25">
      <c r="A2420" s="236"/>
      <c r="B2420" s="237"/>
      <c r="C2420" s="238"/>
      <c r="D2420" s="239"/>
      <c r="E2420" s="240"/>
      <c r="F2420" s="240"/>
      <c r="G2420" s="240"/>
      <c r="H2420" s="241">
        <f t="shared" si="276"/>
        <v>0</v>
      </c>
      <c r="I2420" s="242"/>
      <c r="J2420" s="243"/>
      <c r="K2420" s="243"/>
      <c r="L2420" s="244">
        <v>0.1</v>
      </c>
      <c r="M2420" s="244">
        <f t="shared" si="277"/>
        <v>0</v>
      </c>
      <c r="N2420" s="244"/>
      <c r="O2420" s="244"/>
      <c r="P2420" s="244"/>
      <c r="Q2420" s="245">
        <f t="shared" si="278"/>
        <v>0</v>
      </c>
      <c r="R2420" s="245">
        <f t="shared" si="279"/>
        <v>0</v>
      </c>
      <c r="S2420" s="246">
        <v>0.5</v>
      </c>
      <c r="T2420" s="245">
        <f t="shared" si="280"/>
        <v>0</v>
      </c>
      <c r="U2420" s="245">
        <f t="shared" si="281"/>
        <v>0</v>
      </c>
      <c r="V2420" s="247"/>
    </row>
    <row r="2421" spans="1:22" ht="15.75" x14ac:dyDescent="0.25">
      <c r="A2421" s="236"/>
      <c r="B2421" s="237"/>
      <c r="C2421" s="238"/>
      <c r="D2421" s="239"/>
      <c r="E2421" s="240"/>
      <c r="F2421" s="240"/>
      <c r="G2421" s="240"/>
      <c r="H2421" s="241">
        <f t="shared" si="276"/>
        <v>0</v>
      </c>
      <c r="I2421" s="242"/>
      <c r="J2421" s="243"/>
      <c r="K2421" s="243"/>
      <c r="L2421" s="244">
        <v>0.1</v>
      </c>
      <c r="M2421" s="244">
        <f t="shared" si="277"/>
        <v>0</v>
      </c>
      <c r="N2421" s="244"/>
      <c r="O2421" s="244"/>
      <c r="P2421" s="244"/>
      <c r="Q2421" s="245">
        <f t="shared" si="278"/>
        <v>0</v>
      </c>
      <c r="R2421" s="245">
        <f t="shared" si="279"/>
        <v>0</v>
      </c>
      <c r="S2421" s="246">
        <v>0.5</v>
      </c>
      <c r="T2421" s="245">
        <f t="shared" si="280"/>
        <v>0</v>
      </c>
      <c r="U2421" s="245">
        <f t="shared" si="281"/>
        <v>0</v>
      </c>
      <c r="V2421" s="247"/>
    </row>
    <row r="2422" spans="1:22" ht="15.75" x14ac:dyDescent="0.25">
      <c r="A2422" s="236"/>
      <c r="B2422" s="237"/>
      <c r="C2422" s="238"/>
      <c r="D2422" s="239"/>
      <c r="E2422" s="240"/>
      <c r="F2422" s="240"/>
      <c r="G2422" s="240"/>
      <c r="H2422" s="241">
        <f t="shared" si="276"/>
        <v>0</v>
      </c>
      <c r="I2422" s="242"/>
      <c r="J2422" s="243"/>
      <c r="K2422" s="243"/>
      <c r="L2422" s="244">
        <v>0.1</v>
      </c>
      <c r="M2422" s="244">
        <f t="shared" si="277"/>
        <v>0</v>
      </c>
      <c r="N2422" s="244"/>
      <c r="O2422" s="244"/>
      <c r="P2422" s="244"/>
      <c r="Q2422" s="245">
        <f t="shared" si="278"/>
        <v>0</v>
      </c>
      <c r="R2422" s="245">
        <f t="shared" si="279"/>
        <v>0</v>
      </c>
      <c r="S2422" s="246">
        <v>0.5</v>
      </c>
      <c r="T2422" s="245">
        <f t="shared" si="280"/>
        <v>0</v>
      </c>
      <c r="U2422" s="245">
        <f t="shared" si="281"/>
        <v>0</v>
      </c>
      <c r="V2422" s="247"/>
    </row>
    <row r="2423" spans="1:22" ht="15.75" x14ac:dyDescent="0.25">
      <c r="A2423" s="236"/>
      <c r="B2423" s="237"/>
      <c r="C2423" s="238"/>
      <c r="D2423" s="239"/>
      <c r="E2423" s="240"/>
      <c r="F2423" s="240"/>
      <c r="G2423" s="240"/>
      <c r="H2423" s="241">
        <f t="shared" si="276"/>
        <v>0</v>
      </c>
      <c r="I2423" s="242"/>
      <c r="J2423" s="243"/>
      <c r="K2423" s="243"/>
      <c r="L2423" s="244">
        <v>0.1</v>
      </c>
      <c r="M2423" s="244">
        <f t="shared" si="277"/>
        <v>0</v>
      </c>
      <c r="N2423" s="244"/>
      <c r="O2423" s="244"/>
      <c r="P2423" s="244"/>
      <c r="Q2423" s="245">
        <f t="shared" si="278"/>
        <v>0</v>
      </c>
      <c r="R2423" s="245">
        <f t="shared" si="279"/>
        <v>0</v>
      </c>
      <c r="S2423" s="246">
        <v>0.5</v>
      </c>
      <c r="T2423" s="245">
        <f t="shared" si="280"/>
        <v>0</v>
      </c>
      <c r="U2423" s="245">
        <f t="shared" si="281"/>
        <v>0</v>
      </c>
      <c r="V2423" s="247"/>
    </row>
    <row r="2424" spans="1:22" ht="15.75" x14ac:dyDescent="0.25">
      <c r="A2424" s="236"/>
      <c r="B2424" s="237"/>
      <c r="C2424" s="238"/>
      <c r="D2424" s="239"/>
      <c r="E2424" s="240"/>
      <c r="F2424" s="240"/>
      <c r="G2424" s="240"/>
      <c r="H2424" s="241">
        <f t="shared" si="276"/>
        <v>0</v>
      </c>
      <c r="I2424" s="242"/>
      <c r="J2424" s="243"/>
      <c r="K2424" s="243"/>
      <c r="L2424" s="244">
        <v>0.1</v>
      </c>
      <c r="M2424" s="244">
        <f t="shared" si="277"/>
        <v>0</v>
      </c>
      <c r="N2424" s="244"/>
      <c r="O2424" s="244"/>
      <c r="P2424" s="244"/>
      <c r="Q2424" s="245">
        <f t="shared" si="278"/>
        <v>0</v>
      </c>
      <c r="R2424" s="245">
        <f t="shared" si="279"/>
        <v>0</v>
      </c>
      <c r="S2424" s="246">
        <v>0.5</v>
      </c>
      <c r="T2424" s="245">
        <f t="shared" si="280"/>
        <v>0</v>
      </c>
      <c r="U2424" s="245">
        <f t="shared" si="281"/>
        <v>0</v>
      </c>
      <c r="V2424" s="247"/>
    </row>
    <row r="2425" spans="1:22" ht="15.75" x14ac:dyDescent="0.25">
      <c r="A2425" s="236"/>
      <c r="B2425" s="237"/>
      <c r="C2425" s="238"/>
      <c r="D2425" s="239"/>
      <c r="E2425" s="240"/>
      <c r="F2425" s="240"/>
      <c r="G2425" s="240"/>
      <c r="H2425" s="241">
        <f t="shared" si="276"/>
        <v>0</v>
      </c>
      <c r="I2425" s="242"/>
      <c r="J2425" s="243"/>
      <c r="K2425" s="243"/>
      <c r="L2425" s="244">
        <v>0.1</v>
      </c>
      <c r="M2425" s="244">
        <f t="shared" si="277"/>
        <v>0</v>
      </c>
      <c r="N2425" s="244"/>
      <c r="O2425" s="244"/>
      <c r="P2425" s="244"/>
      <c r="Q2425" s="245">
        <f t="shared" si="278"/>
        <v>0</v>
      </c>
      <c r="R2425" s="245">
        <f t="shared" si="279"/>
        <v>0</v>
      </c>
      <c r="S2425" s="246">
        <v>0.5</v>
      </c>
      <c r="T2425" s="245">
        <f t="shared" si="280"/>
        <v>0</v>
      </c>
      <c r="U2425" s="245">
        <f t="shared" si="281"/>
        <v>0</v>
      </c>
      <c r="V2425" s="247"/>
    </row>
    <row r="2426" spans="1:22" ht="15.75" x14ac:dyDescent="0.25">
      <c r="A2426" s="236"/>
      <c r="B2426" s="237"/>
      <c r="C2426" s="238"/>
      <c r="D2426" s="239"/>
      <c r="E2426" s="240"/>
      <c r="F2426" s="240"/>
      <c r="G2426" s="240"/>
      <c r="H2426" s="241">
        <f t="shared" si="276"/>
        <v>0</v>
      </c>
      <c r="I2426" s="242"/>
      <c r="J2426" s="243"/>
      <c r="K2426" s="243"/>
      <c r="L2426" s="244">
        <v>0.1</v>
      </c>
      <c r="M2426" s="244">
        <f t="shared" si="277"/>
        <v>0</v>
      </c>
      <c r="N2426" s="244"/>
      <c r="O2426" s="244"/>
      <c r="P2426" s="244"/>
      <c r="Q2426" s="245">
        <f t="shared" si="278"/>
        <v>0</v>
      </c>
      <c r="R2426" s="245">
        <f t="shared" si="279"/>
        <v>0</v>
      </c>
      <c r="S2426" s="246">
        <v>0.5</v>
      </c>
      <c r="T2426" s="245">
        <f t="shared" si="280"/>
        <v>0</v>
      </c>
      <c r="U2426" s="245">
        <f t="shared" si="281"/>
        <v>0</v>
      </c>
      <c r="V2426" s="247"/>
    </row>
    <row r="2427" spans="1:22" ht="15.75" x14ac:dyDescent="0.25">
      <c r="A2427" s="236"/>
      <c r="B2427" s="237"/>
      <c r="C2427" s="238"/>
      <c r="D2427" s="239"/>
      <c r="E2427" s="240"/>
      <c r="F2427" s="240"/>
      <c r="G2427" s="240"/>
      <c r="H2427" s="241">
        <f t="shared" si="276"/>
        <v>0</v>
      </c>
      <c r="I2427" s="242"/>
      <c r="J2427" s="243"/>
      <c r="K2427" s="243"/>
      <c r="L2427" s="244">
        <v>0.1</v>
      </c>
      <c r="M2427" s="244">
        <f t="shared" si="277"/>
        <v>0</v>
      </c>
      <c r="N2427" s="244"/>
      <c r="O2427" s="244"/>
      <c r="P2427" s="244"/>
      <c r="Q2427" s="245">
        <f t="shared" si="278"/>
        <v>0</v>
      </c>
      <c r="R2427" s="245">
        <f t="shared" si="279"/>
        <v>0</v>
      </c>
      <c r="S2427" s="246">
        <v>0.5</v>
      </c>
      <c r="T2427" s="245">
        <f t="shared" si="280"/>
        <v>0</v>
      </c>
      <c r="U2427" s="245">
        <f t="shared" si="281"/>
        <v>0</v>
      </c>
      <c r="V2427" s="247"/>
    </row>
    <row r="2428" spans="1:22" ht="15.75" x14ac:dyDescent="0.25">
      <c r="A2428" s="236"/>
      <c r="B2428" s="237"/>
      <c r="C2428" s="238"/>
      <c r="D2428" s="239"/>
      <c r="E2428" s="240"/>
      <c r="F2428" s="240"/>
      <c r="G2428" s="240"/>
      <c r="H2428" s="241">
        <f t="shared" si="276"/>
        <v>0</v>
      </c>
      <c r="I2428" s="242"/>
      <c r="J2428" s="243"/>
      <c r="K2428" s="243"/>
      <c r="L2428" s="244">
        <v>0.1</v>
      </c>
      <c r="M2428" s="244">
        <f t="shared" si="277"/>
        <v>0</v>
      </c>
      <c r="N2428" s="244"/>
      <c r="O2428" s="244"/>
      <c r="P2428" s="244"/>
      <c r="Q2428" s="245">
        <f t="shared" si="278"/>
        <v>0</v>
      </c>
      <c r="R2428" s="245">
        <f t="shared" si="279"/>
        <v>0</v>
      </c>
      <c r="S2428" s="246">
        <v>0.5</v>
      </c>
      <c r="T2428" s="245">
        <f t="shared" si="280"/>
        <v>0</v>
      </c>
      <c r="U2428" s="245">
        <f t="shared" si="281"/>
        <v>0</v>
      </c>
      <c r="V2428" s="247"/>
    </row>
    <row r="2429" spans="1:22" ht="15.75" x14ac:dyDescent="0.25">
      <c r="A2429" s="236"/>
      <c r="B2429" s="237"/>
      <c r="C2429" s="238"/>
      <c r="D2429" s="239"/>
      <c r="E2429" s="240"/>
      <c r="F2429" s="240"/>
      <c r="G2429" s="240"/>
      <c r="H2429" s="241">
        <f t="shared" ref="H2429:H2492" si="282">+E2429+F2429+G2429</f>
        <v>0</v>
      </c>
      <c r="I2429" s="242"/>
      <c r="J2429" s="243"/>
      <c r="K2429" s="243"/>
      <c r="L2429" s="244">
        <v>0.1</v>
      </c>
      <c r="M2429" s="244">
        <f t="shared" ref="M2429:M2492" si="283">+L2429*C2429</f>
        <v>0</v>
      </c>
      <c r="N2429" s="244"/>
      <c r="O2429" s="244"/>
      <c r="P2429" s="244"/>
      <c r="Q2429" s="245">
        <f t="shared" ref="Q2429:Q2492" si="284">+N2429+O2429+P2429</f>
        <v>0</v>
      </c>
      <c r="R2429" s="245">
        <f t="shared" ref="R2429:R2492" si="285">IF(+Q2429-H2429&lt;=0,0,Q2429-H2429)</f>
        <v>0</v>
      </c>
      <c r="S2429" s="246">
        <v>0.5</v>
      </c>
      <c r="T2429" s="245">
        <f t="shared" ref="T2429:T2492" si="286">+(R2429*C2429)*S2429</f>
        <v>0</v>
      </c>
      <c r="U2429" s="245">
        <f t="shared" ref="U2429:U2492" si="287">+J2429+M2429+T2429</f>
        <v>0</v>
      </c>
      <c r="V2429" s="247"/>
    </row>
    <row r="2430" spans="1:22" ht="15.75" x14ac:dyDescent="0.25">
      <c r="A2430" s="236"/>
      <c r="B2430" s="237"/>
      <c r="C2430" s="238"/>
      <c r="D2430" s="239"/>
      <c r="E2430" s="240"/>
      <c r="F2430" s="240"/>
      <c r="G2430" s="240"/>
      <c r="H2430" s="241">
        <f t="shared" si="282"/>
        <v>0</v>
      </c>
      <c r="I2430" s="242"/>
      <c r="J2430" s="243"/>
      <c r="K2430" s="243"/>
      <c r="L2430" s="244">
        <v>0.1</v>
      </c>
      <c r="M2430" s="244">
        <f t="shared" si="283"/>
        <v>0</v>
      </c>
      <c r="N2430" s="244"/>
      <c r="O2430" s="244"/>
      <c r="P2430" s="244"/>
      <c r="Q2430" s="245">
        <f t="shared" si="284"/>
        <v>0</v>
      </c>
      <c r="R2430" s="245">
        <f t="shared" si="285"/>
        <v>0</v>
      </c>
      <c r="S2430" s="246">
        <v>0.5</v>
      </c>
      <c r="T2430" s="245">
        <f t="shared" si="286"/>
        <v>0</v>
      </c>
      <c r="U2430" s="245">
        <f t="shared" si="287"/>
        <v>0</v>
      </c>
      <c r="V2430" s="247"/>
    </row>
    <row r="2431" spans="1:22" ht="15.75" x14ac:dyDescent="0.25">
      <c r="A2431" s="236"/>
      <c r="B2431" s="237"/>
      <c r="C2431" s="238"/>
      <c r="D2431" s="239"/>
      <c r="E2431" s="240"/>
      <c r="F2431" s="240"/>
      <c r="G2431" s="240"/>
      <c r="H2431" s="241">
        <f t="shared" si="282"/>
        <v>0</v>
      </c>
      <c r="I2431" s="242"/>
      <c r="J2431" s="243"/>
      <c r="K2431" s="243"/>
      <c r="L2431" s="244">
        <v>0.1</v>
      </c>
      <c r="M2431" s="244">
        <f t="shared" si="283"/>
        <v>0</v>
      </c>
      <c r="N2431" s="244"/>
      <c r="O2431" s="244"/>
      <c r="P2431" s="244"/>
      <c r="Q2431" s="245">
        <f t="shared" si="284"/>
        <v>0</v>
      </c>
      <c r="R2431" s="245">
        <f t="shared" si="285"/>
        <v>0</v>
      </c>
      <c r="S2431" s="246">
        <v>0.5</v>
      </c>
      <c r="T2431" s="245">
        <f t="shared" si="286"/>
        <v>0</v>
      </c>
      <c r="U2431" s="245">
        <f t="shared" si="287"/>
        <v>0</v>
      </c>
      <c r="V2431" s="247"/>
    </row>
    <row r="2432" spans="1:22" ht="15.75" x14ac:dyDescent="0.25">
      <c r="A2432" s="236"/>
      <c r="B2432" s="237"/>
      <c r="C2432" s="238"/>
      <c r="D2432" s="239"/>
      <c r="E2432" s="240"/>
      <c r="F2432" s="240"/>
      <c r="G2432" s="240"/>
      <c r="H2432" s="241">
        <f t="shared" si="282"/>
        <v>0</v>
      </c>
      <c r="I2432" s="242"/>
      <c r="J2432" s="243"/>
      <c r="K2432" s="243"/>
      <c r="L2432" s="244">
        <v>0.1</v>
      </c>
      <c r="M2432" s="244">
        <f t="shared" si="283"/>
        <v>0</v>
      </c>
      <c r="N2432" s="244"/>
      <c r="O2432" s="244"/>
      <c r="P2432" s="244"/>
      <c r="Q2432" s="245">
        <f t="shared" si="284"/>
        <v>0</v>
      </c>
      <c r="R2432" s="245">
        <f t="shared" si="285"/>
        <v>0</v>
      </c>
      <c r="S2432" s="246">
        <v>0.5</v>
      </c>
      <c r="T2432" s="245">
        <f t="shared" si="286"/>
        <v>0</v>
      </c>
      <c r="U2432" s="245">
        <f t="shared" si="287"/>
        <v>0</v>
      </c>
      <c r="V2432" s="247"/>
    </row>
    <row r="2433" spans="1:22" ht="15.75" x14ac:dyDescent="0.25">
      <c r="A2433" s="236"/>
      <c r="B2433" s="237"/>
      <c r="C2433" s="238"/>
      <c r="D2433" s="239"/>
      <c r="E2433" s="240"/>
      <c r="F2433" s="240"/>
      <c r="G2433" s="240"/>
      <c r="H2433" s="241">
        <f t="shared" si="282"/>
        <v>0</v>
      </c>
      <c r="I2433" s="242"/>
      <c r="J2433" s="243"/>
      <c r="K2433" s="243"/>
      <c r="L2433" s="244">
        <v>0.1</v>
      </c>
      <c r="M2433" s="244">
        <f t="shared" si="283"/>
        <v>0</v>
      </c>
      <c r="N2433" s="244"/>
      <c r="O2433" s="244"/>
      <c r="P2433" s="244"/>
      <c r="Q2433" s="245">
        <f t="shared" si="284"/>
        <v>0</v>
      </c>
      <c r="R2433" s="245">
        <f t="shared" si="285"/>
        <v>0</v>
      </c>
      <c r="S2433" s="246">
        <v>0.5</v>
      </c>
      <c r="T2433" s="245">
        <f t="shared" si="286"/>
        <v>0</v>
      </c>
      <c r="U2433" s="245">
        <f t="shared" si="287"/>
        <v>0</v>
      </c>
      <c r="V2433" s="247"/>
    </row>
    <row r="2434" spans="1:22" ht="15.75" x14ac:dyDescent="0.25">
      <c r="A2434" s="236"/>
      <c r="B2434" s="237"/>
      <c r="C2434" s="238"/>
      <c r="D2434" s="239"/>
      <c r="E2434" s="240"/>
      <c r="F2434" s="240"/>
      <c r="G2434" s="240"/>
      <c r="H2434" s="241">
        <f t="shared" si="282"/>
        <v>0</v>
      </c>
      <c r="I2434" s="242"/>
      <c r="J2434" s="243"/>
      <c r="K2434" s="243"/>
      <c r="L2434" s="244">
        <v>0.1</v>
      </c>
      <c r="M2434" s="244">
        <f t="shared" si="283"/>
        <v>0</v>
      </c>
      <c r="N2434" s="244"/>
      <c r="O2434" s="244"/>
      <c r="P2434" s="244"/>
      <c r="Q2434" s="245">
        <f t="shared" si="284"/>
        <v>0</v>
      </c>
      <c r="R2434" s="245">
        <f t="shared" si="285"/>
        <v>0</v>
      </c>
      <c r="S2434" s="246">
        <v>0.5</v>
      </c>
      <c r="T2434" s="245">
        <f t="shared" si="286"/>
        <v>0</v>
      </c>
      <c r="U2434" s="245">
        <f t="shared" si="287"/>
        <v>0</v>
      </c>
      <c r="V2434" s="247"/>
    </row>
    <row r="2435" spans="1:22" ht="15.75" x14ac:dyDescent="0.25">
      <c r="A2435" s="236"/>
      <c r="B2435" s="237"/>
      <c r="C2435" s="238"/>
      <c r="D2435" s="239"/>
      <c r="E2435" s="240"/>
      <c r="F2435" s="240"/>
      <c r="G2435" s="240"/>
      <c r="H2435" s="241">
        <f t="shared" si="282"/>
        <v>0</v>
      </c>
      <c r="I2435" s="242"/>
      <c r="J2435" s="243"/>
      <c r="K2435" s="243"/>
      <c r="L2435" s="244">
        <v>0.1</v>
      </c>
      <c r="M2435" s="244">
        <f t="shared" si="283"/>
        <v>0</v>
      </c>
      <c r="N2435" s="244"/>
      <c r="O2435" s="244"/>
      <c r="P2435" s="244"/>
      <c r="Q2435" s="245">
        <f t="shared" si="284"/>
        <v>0</v>
      </c>
      <c r="R2435" s="245">
        <f t="shared" si="285"/>
        <v>0</v>
      </c>
      <c r="S2435" s="246">
        <v>0.5</v>
      </c>
      <c r="T2435" s="245">
        <f t="shared" si="286"/>
        <v>0</v>
      </c>
      <c r="U2435" s="245">
        <f t="shared" si="287"/>
        <v>0</v>
      </c>
      <c r="V2435" s="247"/>
    </row>
    <row r="2436" spans="1:22" ht="15.75" x14ac:dyDescent="0.25">
      <c r="A2436" s="236"/>
      <c r="B2436" s="237"/>
      <c r="C2436" s="238"/>
      <c r="D2436" s="239"/>
      <c r="E2436" s="240"/>
      <c r="F2436" s="240"/>
      <c r="G2436" s="240"/>
      <c r="H2436" s="241">
        <f t="shared" si="282"/>
        <v>0</v>
      </c>
      <c r="I2436" s="242"/>
      <c r="J2436" s="243"/>
      <c r="K2436" s="243"/>
      <c r="L2436" s="244">
        <v>0.1</v>
      </c>
      <c r="M2436" s="244">
        <f t="shared" si="283"/>
        <v>0</v>
      </c>
      <c r="N2436" s="244"/>
      <c r="O2436" s="244"/>
      <c r="P2436" s="244"/>
      <c r="Q2436" s="245">
        <f t="shared" si="284"/>
        <v>0</v>
      </c>
      <c r="R2436" s="245">
        <f t="shared" si="285"/>
        <v>0</v>
      </c>
      <c r="S2436" s="246">
        <v>0.5</v>
      </c>
      <c r="T2436" s="245">
        <f t="shared" si="286"/>
        <v>0</v>
      </c>
      <c r="U2436" s="245">
        <f t="shared" si="287"/>
        <v>0</v>
      </c>
      <c r="V2436" s="247"/>
    </row>
    <row r="2437" spans="1:22" ht="15.75" x14ac:dyDescent="0.25">
      <c r="A2437" s="236"/>
      <c r="B2437" s="237"/>
      <c r="C2437" s="238"/>
      <c r="D2437" s="239"/>
      <c r="E2437" s="240"/>
      <c r="F2437" s="240"/>
      <c r="G2437" s="240"/>
      <c r="H2437" s="241">
        <f t="shared" si="282"/>
        <v>0</v>
      </c>
      <c r="I2437" s="242"/>
      <c r="J2437" s="243"/>
      <c r="K2437" s="243"/>
      <c r="L2437" s="244">
        <v>0.1</v>
      </c>
      <c r="M2437" s="244">
        <f t="shared" si="283"/>
        <v>0</v>
      </c>
      <c r="N2437" s="244"/>
      <c r="O2437" s="244"/>
      <c r="P2437" s="244"/>
      <c r="Q2437" s="245">
        <f t="shared" si="284"/>
        <v>0</v>
      </c>
      <c r="R2437" s="245">
        <f t="shared" si="285"/>
        <v>0</v>
      </c>
      <c r="S2437" s="246">
        <v>0.5</v>
      </c>
      <c r="T2437" s="245">
        <f t="shared" si="286"/>
        <v>0</v>
      </c>
      <c r="U2437" s="245">
        <f t="shared" si="287"/>
        <v>0</v>
      </c>
      <c r="V2437" s="247"/>
    </row>
    <row r="2438" spans="1:22" ht="15.75" x14ac:dyDescent="0.25">
      <c r="A2438" s="236"/>
      <c r="B2438" s="237"/>
      <c r="C2438" s="238"/>
      <c r="D2438" s="239"/>
      <c r="E2438" s="240"/>
      <c r="F2438" s="240"/>
      <c r="G2438" s="240"/>
      <c r="H2438" s="241">
        <f t="shared" si="282"/>
        <v>0</v>
      </c>
      <c r="I2438" s="242"/>
      <c r="J2438" s="243"/>
      <c r="K2438" s="243"/>
      <c r="L2438" s="244">
        <v>0.1</v>
      </c>
      <c r="M2438" s="244">
        <f t="shared" si="283"/>
        <v>0</v>
      </c>
      <c r="N2438" s="244"/>
      <c r="O2438" s="244"/>
      <c r="P2438" s="244"/>
      <c r="Q2438" s="245">
        <f t="shared" si="284"/>
        <v>0</v>
      </c>
      <c r="R2438" s="245">
        <f t="shared" si="285"/>
        <v>0</v>
      </c>
      <c r="S2438" s="246">
        <v>0.5</v>
      </c>
      <c r="T2438" s="245">
        <f t="shared" si="286"/>
        <v>0</v>
      </c>
      <c r="U2438" s="245">
        <f t="shared" si="287"/>
        <v>0</v>
      </c>
      <c r="V2438" s="247"/>
    </row>
    <row r="2439" spans="1:22" ht="15.75" x14ac:dyDescent="0.25">
      <c r="A2439" s="236"/>
      <c r="B2439" s="237"/>
      <c r="C2439" s="238"/>
      <c r="D2439" s="239"/>
      <c r="E2439" s="240"/>
      <c r="F2439" s="240"/>
      <c r="G2439" s="240"/>
      <c r="H2439" s="241">
        <f t="shared" si="282"/>
        <v>0</v>
      </c>
      <c r="I2439" s="242"/>
      <c r="J2439" s="243"/>
      <c r="K2439" s="243"/>
      <c r="L2439" s="244">
        <v>0.1</v>
      </c>
      <c r="M2439" s="244">
        <f t="shared" si="283"/>
        <v>0</v>
      </c>
      <c r="N2439" s="244"/>
      <c r="O2439" s="244"/>
      <c r="P2439" s="244"/>
      <c r="Q2439" s="245">
        <f t="shared" si="284"/>
        <v>0</v>
      </c>
      <c r="R2439" s="245">
        <f t="shared" si="285"/>
        <v>0</v>
      </c>
      <c r="S2439" s="246">
        <v>0.5</v>
      </c>
      <c r="T2439" s="245">
        <f t="shared" si="286"/>
        <v>0</v>
      </c>
      <c r="U2439" s="245">
        <f t="shared" si="287"/>
        <v>0</v>
      </c>
      <c r="V2439" s="247"/>
    </row>
    <row r="2440" spans="1:22" ht="15.75" x14ac:dyDescent="0.25">
      <c r="A2440" s="236"/>
      <c r="B2440" s="237"/>
      <c r="C2440" s="238"/>
      <c r="D2440" s="239"/>
      <c r="E2440" s="240"/>
      <c r="F2440" s="240"/>
      <c r="G2440" s="240"/>
      <c r="H2440" s="241">
        <f t="shared" si="282"/>
        <v>0</v>
      </c>
      <c r="I2440" s="242"/>
      <c r="J2440" s="243"/>
      <c r="K2440" s="243"/>
      <c r="L2440" s="244">
        <v>0.1</v>
      </c>
      <c r="M2440" s="244">
        <f t="shared" si="283"/>
        <v>0</v>
      </c>
      <c r="N2440" s="244"/>
      <c r="O2440" s="244"/>
      <c r="P2440" s="244"/>
      <c r="Q2440" s="245">
        <f t="shared" si="284"/>
        <v>0</v>
      </c>
      <c r="R2440" s="245">
        <f t="shared" si="285"/>
        <v>0</v>
      </c>
      <c r="S2440" s="246">
        <v>0.5</v>
      </c>
      <c r="T2440" s="245">
        <f t="shared" si="286"/>
        <v>0</v>
      </c>
      <c r="U2440" s="245">
        <f t="shared" si="287"/>
        <v>0</v>
      </c>
      <c r="V2440" s="247"/>
    </row>
    <row r="2441" spans="1:22" ht="15.75" x14ac:dyDescent="0.25">
      <c r="A2441" s="236"/>
      <c r="B2441" s="237"/>
      <c r="C2441" s="238"/>
      <c r="D2441" s="239"/>
      <c r="E2441" s="240"/>
      <c r="F2441" s="240"/>
      <c r="G2441" s="240"/>
      <c r="H2441" s="241">
        <f t="shared" si="282"/>
        <v>0</v>
      </c>
      <c r="I2441" s="242"/>
      <c r="J2441" s="243"/>
      <c r="K2441" s="243"/>
      <c r="L2441" s="244">
        <v>0.1</v>
      </c>
      <c r="M2441" s="244">
        <f t="shared" si="283"/>
        <v>0</v>
      </c>
      <c r="N2441" s="244"/>
      <c r="O2441" s="244"/>
      <c r="P2441" s="244"/>
      <c r="Q2441" s="245">
        <f t="shared" si="284"/>
        <v>0</v>
      </c>
      <c r="R2441" s="245">
        <f t="shared" si="285"/>
        <v>0</v>
      </c>
      <c r="S2441" s="246">
        <v>0.5</v>
      </c>
      <c r="T2441" s="245">
        <f t="shared" si="286"/>
        <v>0</v>
      </c>
      <c r="U2441" s="245">
        <f t="shared" si="287"/>
        <v>0</v>
      </c>
      <c r="V2441" s="247"/>
    </row>
    <row r="2442" spans="1:22" ht="15.75" x14ac:dyDescent="0.25">
      <c r="A2442" s="236"/>
      <c r="B2442" s="237"/>
      <c r="C2442" s="238"/>
      <c r="D2442" s="239"/>
      <c r="E2442" s="240"/>
      <c r="F2442" s="240"/>
      <c r="G2442" s="240"/>
      <c r="H2442" s="241">
        <f t="shared" si="282"/>
        <v>0</v>
      </c>
      <c r="I2442" s="242"/>
      <c r="J2442" s="243"/>
      <c r="K2442" s="243"/>
      <c r="L2442" s="244">
        <v>0.1</v>
      </c>
      <c r="M2442" s="244">
        <f t="shared" si="283"/>
        <v>0</v>
      </c>
      <c r="N2442" s="244"/>
      <c r="O2442" s="244"/>
      <c r="P2442" s="244"/>
      <c r="Q2442" s="245">
        <f t="shared" si="284"/>
        <v>0</v>
      </c>
      <c r="R2442" s="245">
        <f t="shared" si="285"/>
        <v>0</v>
      </c>
      <c r="S2442" s="246">
        <v>0.5</v>
      </c>
      <c r="T2442" s="245">
        <f t="shared" si="286"/>
        <v>0</v>
      </c>
      <c r="U2442" s="245">
        <f t="shared" si="287"/>
        <v>0</v>
      </c>
      <c r="V2442" s="247"/>
    </row>
    <row r="2443" spans="1:22" ht="15.75" x14ac:dyDescent="0.25">
      <c r="A2443" s="236"/>
      <c r="B2443" s="237"/>
      <c r="C2443" s="238"/>
      <c r="D2443" s="239"/>
      <c r="E2443" s="240"/>
      <c r="F2443" s="240"/>
      <c r="G2443" s="240"/>
      <c r="H2443" s="241">
        <f t="shared" si="282"/>
        <v>0</v>
      </c>
      <c r="I2443" s="242"/>
      <c r="J2443" s="243"/>
      <c r="K2443" s="243"/>
      <c r="L2443" s="244">
        <v>0.1</v>
      </c>
      <c r="M2443" s="244">
        <f t="shared" si="283"/>
        <v>0</v>
      </c>
      <c r="N2443" s="244"/>
      <c r="O2443" s="244"/>
      <c r="P2443" s="244"/>
      <c r="Q2443" s="245">
        <f t="shared" si="284"/>
        <v>0</v>
      </c>
      <c r="R2443" s="245">
        <f t="shared" si="285"/>
        <v>0</v>
      </c>
      <c r="S2443" s="246">
        <v>0.5</v>
      </c>
      <c r="T2443" s="245">
        <f t="shared" si="286"/>
        <v>0</v>
      </c>
      <c r="U2443" s="245">
        <f t="shared" si="287"/>
        <v>0</v>
      </c>
      <c r="V2443" s="247"/>
    </row>
    <row r="2444" spans="1:22" ht="15.75" x14ac:dyDescent="0.25">
      <c r="A2444" s="236"/>
      <c r="B2444" s="237"/>
      <c r="C2444" s="238"/>
      <c r="D2444" s="239"/>
      <c r="E2444" s="240"/>
      <c r="F2444" s="240"/>
      <c r="G2444" s="240"/>
      <c r="H2444" s="241">
        <f t="shared" si="282"/>
        <v>0</v>
      </c>
      <c r="I2444" s="242"/>
      <c r="J2444" s="243"/>
      <c r="K2444" s="243"/>
      <c r="L2444" s="244">
        <v>0.1</v>
      </c>
      <c r="M2444" s="244">
        <f t="shared" si="283"/>
        <v>0</v>
      </c>
      <c r="N2444" s="244"/>
      <c r="O2444" s="244"/>
      <c r="P2444" s="244"/>
      <c r="Q2444" s="245">
        <f t="shared" si="284"/>
        <v>0</v>
      </c>
      <c r="R2444" s="245">
        <f t="shared" si="285"/>
        <v>0</v>
      </c>
      <c r="S2444" s="246">
        <v>0.5</v>
      </c>
      <c r="T2444" s="245">
        <f t="shared" si="286"/>
        <v>0</v>
      </c>
      <c r="U2444" s="245">
        <f t="shared" si="287"/>
        <v>0</v>
      </c>
      <c r="V2444" s="247"/>
    </row>
    <row r="2445" spans="1:22" ht="15.75" x14ac:dyDescent="0.25">
      <c r="A2445" s="236"/>
      <c r="B2445" s="237"/>
      <c r="C2445" s="238"/>
      <c r="D2445" s="239"/>
      <c r="E2445" s="240"/>
      <c r="F2445" s="240"/>
      <c r="G2445" s="240"/>
      <c r="H2445" s="241">
        <f t="shared" si="282"/>
        <v>0</v>
      </c>
      <c r="I2445" s="242"/>
      <c r="J2445" s="243"/>
      <c r="K2445" s="243"/>
      <c r="L2445" s="244">
        <v>0.1</v>
      </c>
      <c r="M2445" s="244">
        <f t="shared" si="283"/>
        <v>0</v>
      </c>
      <c r="N2445" s="244"/>
      <c r="O2445" s="244"/>
      <c r="P2445" s="244"/>
      <c r="Q2445" s="245">
        <f t="shared" si="284"/>
        <v>0</v>
      </c>
      <c r="R2445" s="245">
        <f t="shared" si="285"/>
        <v>0</v>
      </c>
      <c r="S2445" s="246">
        <v>0.5</v>
      </c>
      <c r="T2445" s="245">
        <f t="shared" si="286"/>
        <v>0</v>
      </c>
      <c r="U2445" s="245">
        <f t="shared" si="287"/>
        <v>0</v>
      </c>
      <c r="V2445" s="247"/>
    </row>
    <row r="2446" spans="1:22" ht="15.75" x14ac:dyDescent="0.25">
      <c r="A2446" s="236"/>
      <c r="B2446" s="237"/>
      <c r="C2446" s="238"/>
      <c r="D2446" s="239"/>
      <c r="E2446" s="240"/>
      <c r="F2446" s="240"/>
      <c r="G2446" s="240"/>
      <c r="H2446" s="241">
        <f t="shared" si="282"/>
        <v>0</v>
      </c>
      <c r="I2446" s="242"/>
      <c r="J2446" s="243"/>
      <c r="K2446" s="243"/>
      <c r="L2446" s="244">
        <v>0.1</v>
      </c>
      <c r="M2446" s="244">
        <f t="shared" si="283"/>
        <v>0</v>
      </c>
      <c r="N2446" s="244"/>
      <c r="O2446" s="244"/>
      <c r="P2446" s="244"/>
      <c r="Q2446" s="245">
        <f t="shared" si="284"/>
        <v>0</v>
      </c>
      <c r="R2446" s="245">
        <f t="shared" si="285"/>
        <v>0</v>
      </c>
      <c r="S2446" s="246">
        <v>0.5</v>
      </c>
      <c r="T2446" s="245">
        <f t="shared" si="286"/>
        <v>0</v>
      </c>
      <c r="U2446" s="245">
        <f t="shared" si="287"/>
        <v>0</v>
      </c>
      <c r="V2446" s="247"/>
    </row>
    <row r="2447" spans="1:22" ht="15.75" x14ac:dyDescent="0.25">
      <c r="A2447" s="236"/>
      <c r="B2447" s="237"/>
      <c r="C2447" s="238"/>
      <c r="D2447" s="239"/>
      <c r="E2447" s="240"/>
      <c r="F2447" s="240"/>
      <c r="G2447" s="240"/>
      <c r="H2447" s="241">
        <f t="shared" si="282"/>
        <v>0</v>
      </c>
      <c r="I2447" s="242"/>
      <c r="J2447" s="243"/>
      <c r="K2447" s="243"/>
      <c r="L2447" s="244">
        <v>0.1</v>
      </c>
      <c r="M2447" s="244">
        <f t="shared" si="283"/>
        <v>0</v>
      </c>
      <c r="N2447" s="244"/>
      <c r="O2447" s="244"/>
      <c r="P2447" s="244"/>
      <c r="Q2447" s="245">
        <f t="shared" si="284"/>
        <v>0</v>
      </c>
      <c r="R2447" s="245">
        <f t="shared" si="285"/>
        <v>0</v>
      </c>
      <c r="S2447" s="246">
        <v>0.5</v>
      </c>
      <c r="T2447" s="245">
        <f t="shared" si="286"/>
        <v>0</v>
      </c>
      <c r="U2447" s="245">
        <f t="shared" si="287"/>
        <v>0</v>
      </c>
      <c r="V2447" s="247"/>
    </row>
    <row r="2448" spans="1:22" ht="15.75" x14ac:dyDescent="0.25">
      <c r="A2448" s="236"/>
      <c r="B2448" s="237"/>
      <c r="C2448" s="238"/>
      <c r="D2448" s="239"/>
      <c r="E2448" s="240"/>
      <c r="F2448" s="240"/>
      <c r="G2448" s="240"/>
      <c r="H2448" s="241">
        <f t="shared" si="282"/>
        <v>0</v>
      </c>
      <c r="I2448" s="242"/>
      <c r="J2448" s="243"/>
      <c r="K2448" s="243"/>
      <c r="L2448" s="244">
        <v>0.1</v>
      </c>
      <c r="M2448" s="244">
        <f t="shared" si="283"/>
        <v>0</v>
      </c>
      <c r="N2448" s="244"/>
      <c r="O2448" s="244"/>
      <c r="P2448" s="244"/>
      <c r="Q2448" s="245">
        <f t="shared" si="284"/>
        <v>0</v>
      </c>
      <c r="R2448" s="245">
        <f t="shared" si="285"/>
        <v>0</v>
      </c>
      <c r="S2448" s="246">
        <v>0.5</v>
      </c>
      <c r="T2448" s="245">
        <f t="shared" si="286"/>
        <v>0</v>
      </c>
      <c r="U2448" s="245">
        <f t="shared" si="287"/>
        <v>0</v>
      </c>
      <c r="V2448" s="247"/>
    </row>
    <row r="2449" spans="1:22" ht="15.75" x14ac:dyDescent="0.25">
      <c r="A2449" s="236"/>
      <c r="B2449" s="237"/>
      <c r="C2449" s="238"/>
      <c r="D2449" s="239"/>
      <c r="E2449" s="240"/>
      <c r="F2449" s="240"/>
      <c r="G2449" s="240"/>
      <c r="H2449" s="241">
        <f t="shared" si="282"/>
        <v>0</v>
      </c>
      <c r="I2449" s="242"/>
      <c r="J2449" s="243"/>
      <c r="K2449" s="243"/>
      <c r="L2449" s="244">
        <v>0.1</v>
      </c>
      <c r="M2449" s="244">
        <f t="shared" si="283"/>
        <v>0</v>
      </c>
      <c r="N2449" s="244"/>
      <c r="O2449" s="244"/>
      <c r="P2449" s="244"/>
      <c r="Q2449" s="245">
        <f t="shared" si="284"/>
        <v>0</v>
      </c>
      <c r="R2449" s="245">
        <f t="shared" si="285"/>
        <v>0</v>
      </c>
      <c r="S2449" s="246">
        <v>0.5</v>
      </c>
      <c r="T2449" s="245">
        <f t="shared" si="286"/>
        <v>0</v>
      </c>
      <c r="U2449" s="245">
        <f t="shared" si="287"/>
        <v>0</v>
      </c>
      <c r="V2449" s="247"/>
    </row>
    <row r="2450" spans="1:22" ht="15.75" x14ac:dyDescent="0.25">
      <c r="A2450" s="236"/>
      <c r="B2450" s="237"/>
      <c r="C2450" s="238"/>
      <c r="D2450" s="239"/>
      <c r="E2450" s="240"/>
      <c r="F2450" s="240"/>
      <c r="G2450" s="240"/>
      <c r="H2450" s="241">
        <f t="shared" si="282"/>
        <v>0</v>
      </c>
      <c r="I2450" s="242"/>
      <c r="J2450" s="243"/>
      <c r="K2450" s="243"/>
      <c r="L2450" s="244">
        <v>0.1</v>
      </c>
      <c r="M2450" s="244">
        <f t="shared" si="283"/>
        <v>0</v>
      </c>
      <c r="N2450" s="244"/>
      <c r="O2450" s="244"/>
      <c r="P2450" s="244"/>
      <c r="Q2450" s="245">
        <f t="shared" si="284"/>
        <v>0</v>
      </c>
      <c r="R2450" s="245">
        <f t="shared" si="285"/>
        <v>0</v>
      </c>
      <c r="S2450" s="246">
        <v>0.5</v>
      </c>
      <c r="T2450" s="245">
        <f t="shared" si="286"/>
        <v>0</v>
      </c>
      <c r="U2450" s="245">
        <f t="shared" si="287"/>
        <v>0</v>
      </c>
      <c r="V2450" s="247"/>
    </row>
    <row r="2451" spans="1:22" ht="15.75" x14ac:dyDescent="0.25">
      <c r="A2451" s="236"/>
      <c r="B2451" s="237"/>
      <c r="C2451" s="238"/>
      <c r="D2451" s="239"/>
      <c r="E2451" s="240"/>
      <c r="F2451" s="240"/>
      <c r="G2451" s="240"/>
      <c r="H2451" s="241">
        <f t="shared" si="282"/>
        <v>0</v>
      </c>
      <c r="I2451" s="242"/>
      <c r="J2451" s="243"/>
      <c r="K2451" s="243"/>
      <c r="L2451" s="244">
        <v>0.1</v>
      </c>
      <c r="M2451" s="244">
        <f t="shared" si="283"/>
        <v>0</v>
      </c>
      <c r="N2451" s="244"/>
      <c r="O2451" s="244"/>
      <c r="P2451" s="244"/>
      <c r="Q2451" s="245">
        <f t="shared" si="284"/>
        <v>0</v>
      </c>
      <c r="R2451" s="245">
        <f t="shared" si="285"/>
        <v>0</v>
      </c>
      <c r="S2451" s="246">
        <v>0.5</v>
      </c>
      <c r="T2451" s="245">
        <f t="shared" si="286"/>
        <v>0</v>
      </c>
      <c r="U2451" s="245">
        <f t="shared" si="287"/>
        <v>0</v>
      </c>
      <c r="V2451" s="247"/>
    </row>
    <row r="2452" spans="1:22" ht="15.75" x14ac:dyDescent="0.25">
      <c r="A2452" s="236"/>
      <c r="B2452" s="237"/>
      <c r="C2452" s="238"/>
      <c r="D2452" s="239"/>
      <c r="E2452" s="240"/>
      <c r="F2452" s="240"/>
      <c r="G2452" s="240"/>
      <c r="H2452" s="241">
        <f t="shared" si="282"/>
        <v>0</v>
      </c>
      <c r="I2452" s="242"/>
      <c r="J2452" s="243"/>
      <c r="K2452" s="243"/>
      <c r="L2452" s="244">
        <v>0.1</v>
      </c>
      <c r="M2452" s="244">
        <f t="shared" si="283"/>
        <v>0</v>
      </c>
      <c r="N2452" s="244"/>
      <c r="O2452" s="244"/>
      <c r="P2452" s="244"/>
      <c r="Q2452" s="245">
        <f t="shared" si="284"/>
        <v>0</v>
      </c>
      <c r="R2452" s="245">
        <f t="shared" si="285"/>
        <v>0</v>
      </c>
      <c r="S2452" s="246">
        <v>0.5</v>
      </c>
      <c r="T2452" s="245">
        <f t="shared" si="286"/>
        <v>0</v>
      </c>
      <c r="U2452" s="245">
        <f t="shared" si="287"/>
        <v>0</v>
      </c>
      <c r="V2452" s="247"/>
    </row>
    <row r="2453" spans="1:22" ht="15.75" x14ac:dyDescent="0.25">
      <c r="A2453" s="236"/>
      <c r="B2453" s="237"/>
      <c r="C2453" s="238"/>
      <c r="D2453" s="239"/>
      <c r="E2453" s="240"/>
      <c r="F2453" s="240"/>
      <c r="G2453" s="240"/>
      <c r="H2453" s="241">
        <f t="shared" si="282"/>
        <v>0</v>
      </c>
      <c r="I2453" s="242"/>
      <c r="J2453" s="243"/>
      <c r="K2453" s="243"/>
      <c r="L2453" s="244">
        <v>0.1</v>
      </c>
      <c r="M2453" s="244">
        <f t="shared" si="283"/>
        <v>0</v>
      </c>
      <c r="N2453" s="244"/>
      <c r="O2453" s="244"/>
      <c r="P2453" s="244"/>
      <c r="Q2453" s="245">
        <f t="shared" si="284"/>
        <v>0</v>
      </c>
      <c r="R2453" s="245">
        <f t="shared" si="285"/>
        <v>0</v>
      </c>
      <c r="S2453" s="246">
        <v>0.5</v>
      </c>
      <c r="T2453" s="245">
        <f t="shared" si="286"/>
        <v>0</v>
      </c>
      <c r="U2453" s="245">
        <f t="shared" si="287"/>
        <v>0</v>
      </c>
      <c r="V2453" s="247"/>
    </row>
    <row r="2454" spans="1:22" ht="15.75" x14ac:dyDescent="0.25">
      <c r="A2454" s="236"/>
      <c r="B2454" s="237"/>
      <c r="C2454" s="238"/>
      <c r="D2454" s="239"/>
      <c r="E2454" s="240"/>
      <c r="F2454" s="240"/>
      <c r="G2454" s="240"/>
      <c r="H2454" s="241">
        <f t="shared" si="282"/>
        <v>0</v>
      </c>
      <c r="I2454" s="242"/>
      <c r="J2454" s="243"/>
      <c r="K2454" s="243"/>
      <c r="L2454" s="244">
        <v>0.1</v>
      </c>
      <c r="M2454" s="244">
        <f t="shared" si="283"/>
        <v>0</v>
      </c>
      <c r="N2454" s="244"/>
      <c r="O2454" s="244"/>
      <c r="P2454" s="244"/>
      <c r="Q2454" s="245">
        <f t="shared" si="284"/>
        <v>0</v>
      </c>
      <c r="R2454" s="245">
        <f t="shared" si="285"/>
        <v>0</v>
      </c>
      <c r="S2454" s="246">
        <v>0.5</v>
      </c>
      <c r="T2454" s="245">
        <f t="shared" si="286"/>
        <v>0</v>
      </c>
      <c r="U2454" s="245">
        <f t="shared" si="287"/>
        <v>0</v>
      </c>
      <c r="V2454" s="247"/>
    </row>
    <row r="2455" spans="1:22" ht="15.75" x14ac:dyDescent="0.25">
      <c r="A2455" s="236"/>
      <c r="B2455" s="237"/>
      <c r="C2455" s="238"/>
      <c r="D2455" s="239"/>
      <c r="E2455" s="240"/>
      <c r="F2455" s="240"/>
      <c r="G2455" s="240"/>
      <c r="H2455" s="241">
        <f t="shared" si="282"/>
        <v>0</v>
      </c>
      <c r="I2455" s="242"/>
      <c r="J2455" s="243"/>
      <c r="K2455" s="243"/>
      <c r="L2455" s="244">
        <v>0.1</v>
      </c>
      <c r="M2455" s="244">
        <f t="shared" si="283"/>
        <v>0</v>
      </c>
      <c r="N2455" s="244"/>
      <c r="O2455" s="244"/>
      <c r="P2455" s="244"/>
      <c r="Q2455" s="245">
        <f t="shared" si="284"/>
        <v>0</v>
      </c>
      <c r="R2455" s="245">
        <f t="shared" si="285"/>
        <v>0</v>
      </c>
      <c r="S2455" s="246">
        <v>0.5</v>
      </c>
      <c r="T2455" s="245">
        <f t="shared" si="286"/>
        <v>0</v>
      </c>
      <c r="U2455" s="245">
        <f t="shared" si="287"/>
        <v>0</v>
      </c>
      <c r="V2455" s="247"/>
    </row>
    <row r="2456" spans="1:22" ht="15.75" x14ac:dyDescent="0.25">
      <c r="A2456" s="236"/>
      <c r="B2456" s="237"/>
      <c r="C2456" s="238"/>
      <c r="D2456" s="239"/>
      <c r="E2456" s="240"/>
      <c r="F2456" s="240"/>
      <c r="G2456" s="240"/>
      <c r="H2456" s="241">
        <f t="shared" si="282"/>
        <v>0</v>
      </c>
      <c r="I2456" s="242"/>
      <c r="J2456" s="243"/>
      <c r="K2456" s="243"/>
      <c r="L2456" s="244">
        <v>0.1</v>
      </c>
      <c r="M2456" s="244">
        <f t="shared" si="283"/>
        <v>0</v>
      </c>
      <c r="N2456" s="244"/>
      <c r="O2456" s="244"/>
      <c r="P2456" s="244"/>
      <c r="Q2456" s="245">
        <f t="shared" si="284"/>
        <v>0</v>
      </c>
      <c r="R2456" s="245">
        <f t="shared" si="285"/>
        <v>0</v>
      </c>
      <c r="S2456" s="246">
        <v>0.5</v>
      </c>
      <c r="T2456" s="245">
        <f t="shared" si="286"/>
        <v>0</v>
      </c>
      <c r="U2456" s="245">
        <f t="shared" si="287"/>
        <v>0</v>
      </c>
      <c r="V2456" s="247"/>
    </row>
    <row r="2457" spans="1:22" ht="15.75" x14ac:dyDescent="0.25">
      <c r="A2457" s="236"/>
      <c r="B2457" s="237"/>
      <c r="C2457" s="238"/>
      <c r="D2457" s="239"/>
      <c r="E2457" s="240"/>
      <c r="F2457" s="240"/>
      <c r="G2457" s="240"/>
      <c r="H2457" s="241">
        <f t="shared" si="282"/>
        <v>0</v>
      </c>
      <c r="I2457" s="242"/>
      <c r="J2457" s="243"/>
      <c r="K2457" s="243"/>
      <c r="L2457" s="244">
        <v>0.1</v>
      </c>
      <c r="M2457" s="244">
        <f t="shared" si="283"/>
        <v>0</v>
      </c>
      <c r="N2457" s="244"/>
      <c r="O2457" s="244"/>
      <c r="P2457" s="244"/>
      <c r="Q2457" s="245">
        <f t="shared" si="284"/>
        <v>0</v>
      </c>
      <c r="R2457" s="245">
        <f t="shared" si="285"/>
        <v>0</v>
      </c>
      <c r="S2457" s="246">
        <v>0.5</v>
      </c>
      <c r="T2457" s="245">
        <f t="shared" si="286"/>
        <v>0</v>
      </c>
      <c r="U2457" s="245">
        <f t="shared" si="287"/>
        <v>0</v>
      </c>
      <c r="V2457" s="247"/>
    </row>
    <row r="2458" spans="1:22" ht="15.75" x14ac:dyDescent="0.25">
      <c r="A2458" s="236"/>
      <c r="B2458" s="237"/>
      <c r="C2458" s="238"/>
      <c r="D2458" s="239"/>
      <c r="E2458" s="240"/>
      <c r="F2458" s="240"/>
      <c r="G2458" s="240"/>
      <c r="H2458" s="241">
        <f t="shared" si="282"/>
        <v>0</v>
      </c>
      <c r="I2458" s="242"/>
      <c r="J2458" s="243"/>
      <c r="K2458" s="243"/>
      <c r="L2458" s="244">
        <v>0.1</v>
      </c>
      <c r="M2458" s="244">
        <f t="shared" si="283"/>
        <v>0</v>
      </c>
      <c r="N2458" s="244"/>
      <c r="O2458" s="244"/>
      <c r="P2458" s="244"/>
      <c r="Q2458" s="245">
        <f t="shared" si="284"/>
        <v>0</v>
      </c>
      <c r="R2458" s="245">
        <f t="shared" si="285"/>
        <v>0</v>
      </c>
      <c r="S2458" s="246">
        <v>0.5</v>
      </c>
      <c r="T2458" s="245">
        <f t="shared" si="286"/>
        <v>0</v>
      </c>
      <c r="U2458" s="245">
        <f t="shared" si="287"/>
        <v>0</v>
      </c>
      <c r="V2458" s="247"/>
    </row>
    <row r="2459" spans="1:22" ht="15.75" x14ac:dyDescent="0.25">
      <c r="A2459" s="236"/>
      <c r="B2459" s="237"/>
      <c r="C2459" s="238"/>
      <c r="D2459" s="239"/>
      <c r="E2459" s="240"/>
      <c r="F2459" s="240"/>
      <c r="G2459" s="240"/>
      <c r="H2459" s="241">
        <f t="shared" si="282"/>
        <v>0</v>
      </c>
      <c r="I2459" s="242"/>
      <c r="J2459" s="243"/>
      <c r="K2459" s="243"/>
      <c r="L2459" s="244">
        <v>0.1</v>
      </c>
      <c r="M2459" s="244">
        <f t="shared" si="283"/>
        <v>0</v>
      </c>
      <c r="N2459" s="244"/>
      <c r="O2459" s="244"/>
      <c r="P2459" s="244"/>
      <c r="Q2459" s="245">
        <f t="shared" si="284"/>
        <v>0</v>
      </c>
      <c r="R2459" s="245">
        <f t="shared" si="285"/>
        <v>0</v>
      </c>
      <c r="S2459" s="246">
        <v>0.5</v>
      </c>
      <c r="T2459" s="245">
        <f t="shared" si="286"/>
        <v>0</v>
      </c>
      <c r="U2459" s="245">
        <f t="shared" si="287"/>
        <v>0</v>
      </c>
      <c r="V2459" s="247"/>
    </row>
    <row r="2460" spans="1:22" ht="15.75" x14ac:dyDescent="0.25">
      <c r="A2460" s="236"/>
      <c r="B2460" s="237"/>
      <c r="C2460" s="238"/>
      <c r="D2460" s="239"/>
      <c r="E2460" s="240"/>
      <c r="F2460" s="240"/>
      <c r="G2460" s="240"/>
      <c r="H2460" s="241">
        <f t="shared" si="282"/>
        <v>0</v>
      </c>
      <c r="I2460" s="242"/>
      <c r="J2460" s="243"/>
      <c r="K2460" s="243"/>
      <c r="L2460" s="244">
        <v>0.1</v>
      </c>
      <c r="M2460" s="244">
        <f t="shared" si="283"/>
        <v>0</v>
      </c>
      <c r="N2460" s="244"/>
      <c r="O2460" s="244"/>
      <c r="P2460" s="244"/>
      <c r="Q2460" s="245">
        <f t="shared" si="284"/>
        <v>0</v>
      </c>
      <c r="R2460" s="245">
        <f t="shared" si="285"/>
        <v>0</v>
      </c>
      <c r="S2460" s="246">
        <v>0.5</v>
      </c>
      <c r="T2460" s="245">
        <f t="shared" si="286"/>
        <v>0</v>
      </c>
      <c r="U2460" s="245">
        <f t="shared" si="287"/>
        <v>0</v>
      </c>
      <c r="V2460" s="247"/>
    </row>
    <row r="2461" spans="1:22" ht="15.75" x14ac:dyDescent="0.25">
      <c r="A2461" s="236"/>
      <c r="B2461" s="237"/>
      <c r="C2461" s="238"/>
      <c r="D2461" s="239"/>
      <c r="E2461" s="240"/>
      <c r="F2461" s="240"/>
      <c r="G2461" s="240"/>
      <c r="H2461" s="241">
        <f t="shared" si="282"/>
        <v>0</v>
      </c>
      <c r="I2461" s="242"/>
      <c r="J2461" s="243"/>
      <c r="K2461" s="243"/>
      <c r="L2461" s="244">
        <v>0.1</v>
      </c>
      <c r="M2461" s="244">
        <f t="shared" si="283"/>
        <v>0</v>
      </c>
      <c r="N2461" s="244"/>
      <c r="O2461" s="244"/>
      <c r="P2461" s="244"/>
      <c r="Q2461" s="245">
        <f t="shared" si="284"/>
        <v>0</v>
      </c>
      <c r="R2461" s="245">
        <f t="shared" si="285"/>
        <v>0</v>
      </c>
      <c r="S2461" s="246">
        <v>0.5</v>
      </c>
      <c r="T2461" s="245">
        <f t="shared" si="286"/>
        <v>0</v>
      </c>
      <c r="U2461" s="245">
        <f t="shared" si="287"/>
        <v>0</v>
      </c>
      <c r="V2461" s="247"/>
    </row>
    <row r="2462" spans="1:22" ht="15.75" x14ac:dyDescent="0.25">
      <c r="A2462" s="236"/>
      <c r="B2462" s="237"/>
      <c r="C2462" s="238"/>
      <c r="D2462" s="239"/>
      <c r="E2462" s="240"/>
      <c r="F2462" s="240"/>
      <c r="G2462" s="240"/>
      <c r="H2462" s="241">
        <f t="shared" si="282"/>
        <v>0</v>
      </c>
      <c r="I2462" s="242"/>
      <c r="J2462" s="243"/>
      <c r="K2462" s="243"/>
      <c r="L2462" s="244">
        <v>0.1</v>
      </c>
      <c r="M2462" s="244">
        <f t="shared" si="283"/>
        <v>0</v>
      </c>
      <c r="N2462" s="244"/>
      <c r="O2462" s="244"/>
      <c r="P2462" s="244"/>
      <c r="Q2462" s="245">
        <f t="shared" si="284"/>
        <v>0</v>
      </c>
      <c r="R2462" s="245">
        <f t="shared" si="285"/>
        <v>0</v>
      </c>
      <c r="S2462" s="246">
        <v>0.5</v>
      </c>
      <c r="T2462" s="245">
        <f t="shared" si="286"/>
        <v>0</v>
      </c>
      <c r="U2462" s="245">
        <f t="shared" si="287"/>
        <v>0</v>
      </c>
      <c r="V2462" s="247"/>
    </row>
    <row r="2463" spans="1:22" ht="15.75" x14ac:dyDescent="0.25">
      <c r="A2463" s="236"/>
      <c r="B2463" s="237"/>
      <c r="C2463" s="238"/>
      <c r="D2463" s="239"/>
      <c r="E2463" s="240"/>
      <c r="F2463" s="240"/>
      <c r="G2463" s="240"/>
      <c r="H2463" s="241">
        <f t="shared" si="282"/>
        <v>0</v>
      </c>
      <c r="I2463" s="242"/>
      <c r="J2463" s="243"/>
      <c r="K2463" s="243"/>
      <c r="L2463" s="244">
        <v>0.1</v>
      </c>
      <c r="M2463" s="244">
        <f t="shared" si="283"/>
        <v>0</v>
      </c>
      <c r="N2463" s="244"/>
      <c r="O2463" s="244"/>
      <c r="P2463" s="244"/>
      <c r="Q2463" s="245">
        <f t="shared" si="284"/>
        <v>0</v>
      </c>
      <c r="R2463" s="245">
        <f t="shared" si="285"/>
        <v>0</v>
      </c>
      <c r="S2463" s="246">
        <v>0.5</v>
      </c>
      <c r="T2463" s="245">
        <f t="shared" si="286"/>
        <v>0</v>
      </c>
      <c r="U2463" s="245">
        <f t="shared" si="287"/>
        <v>0</v>
      </c>
      <c r="V2463" s="247"/>
    </row>
    <row r="2464" spans="1:22" ht="15.75" x14ac:dyDescent="0.25">
      <c r="A2464" s="236"/>
      <c r="B2464" s="237"/>
      <c r="C2464" s="238"/>
      <c r="D2464" s="239"/>
      <c r="E2464" s="240"/>
      <c r="F2464" s="240"/>
      <c r="G2464" s="240"/>
      <c r="H2464" s="241">
        <f t="shared" si="282"/>
        <v>0</v>
      </c>
      <c r="I2464" s="242"/>
      <c r="J2464" s="243"/>
      <c r="K2464" s="243"/>
      <c r="L2464" s="244">
        <v>0.1</v>
      </c>
      <c r="M2464" s="244">
        <f t="shared" si="283"/>
        <v>0</v>
      </c>
      <c r="N2464" s="244"/>
      <c r="O2464" s="244"/>
      <c r="P2464" s="244"/>
      <c r="Q2464" s="245">
        <f t="shared" si="284"/>
        <v>0</v>
      </c>
      <c r="R2464" s="245">
        <f t="shared" si="285"/>
        <v>0</v>
      </c>
      <c r="S2464" s="246">
        <v>0.5</v>
      </c>
      <c r="T2464" s="245">
        <f t="shared" si="286"/>
        <v>0</v>
      </c>
      <c r="U2464" s="245">
        <f t="shared" si="287"/>
        <v>0</v>
      </c>
      <c r="V2464" s="247"/>
    </row>
    <row r="2465" spans="1:22" ht="15.75" x14ac:dyDescent="0.25">
      <c r="A2465" s="236"/>
      <c r="B2465" s="237"/>
      <c r="C2465" s="238"/>
      <c r="D2465" s="239"/>
      <c r="E2465" s="240"/>
      <c r="F2465" s="240"/>
      <c r="G2465" s="240"/>
      <c r="H2465" s="241">
        <f t="shared" si="282"/>
        <v>0</v>
      </c>
      <c r="I2465" s="242"/>
      <c r="J2465" s="243"/>
      <c r="K2465" s="243"/>
      <c r="L2465" s="244">
        <v>0.1</v>
      </c>
      <c r="M2465" s="244">
        <f t="shared" si="283"/>
        <v>0</v>
      </c>
      <c r="N2465" s="244"/>
      <c r="O2465" s="244"/>
      <c r="P2465" s="244"/>
      <c r="Q2465" s="245">
        <f t="shared" si="284"/>
        <v>0</v>
      </c>
      <c r="R2465" s="245">
        <f t="shared" si="285"/>
        <v>0</v>
      </c>
      <c r="S2465" s="246">
        <v>0.5</v>
      </c>
      <c r="T2465" s="245">
        <f t="shared" si="286"/>
        <v>0</v>
      </c>
      <c r="U2465" s="245">
        <f t="shared" si="287"/>
        <v>0</v>
      </c>
      <c r="V2465" s="247"/>
    </row>
    <row r="2466" spans="1:22" ht="15.75" x14ac:dyDescent="0.25">
      <c r="A2466" s="236"/>
      <c r="B2466" s="237"/>
      <c r="C2466" s="238"/>
      <c r="D2466" s="239"/>
      <c r="E2466" s="240"/>
      <c r="F2466" s="240"/>
      <c r="G2466" s="240"/>
      <c r="H2466" s="241">
        <f t="shared" si="282"/>
        <v>0</v>
      </c>
      <c r="I2466" s="242"/>
      <c r="J2466" s="243"/>
      <c r="K2466" s="243"/>
      <c r="L2466" s="244">
        <v>0.1</v>
      </c>
      <c r="M2466" s="244">
        <f t="shared" si="283"/>
        <v>0</v>
      </c>
      <c r="N2466" s="244"/>
      <c r="O2466" s="244"/>
      <c r="P2466" s="244"/>
      <c r="Q2466" s="245">
        <f t="shared" si="284"/>
        <v>0</v>
      </c>
      <c r="R2466" s="245">
        <f t="shared" si="285"/>
        <v>0</v>
      </c>
      <c r="S2466" s="246">
        <v>0.5</v>
      </c>
      <c r="T2466" s="245">
        <f t="shared" si="286"/>
        <v>0</v>
      </c>
      <c r="U2466" s="245">
        <f t="shared" si="287"/>
        <v>0</v>
      </c>
      <c r="V2466" s="247"/>
    </row>
    <row r="2467" spans="1:22" ht="15.75" x14ac:dyDescent="0.25">
      <c r="A2467" s="236"/>
      <c r="B2467" s="237"/>
      <c r="C2467" s="238"/>
      <c r="D2467" s="239"/>
      <c r="E2467" s="240"/>
      <c r="F2467" s="240"/>
      <c r="G2467" s="240"/>
      <c r="H2467" s="241">
        <f t="shared" si="282"/>
        <v>0</v>
      </c>
      <c r="I2467" s="242"/>
      <c r="J2467" s="243"/>
      <c r="K2467" s="243"/>
      <c r="L2467" s="244">
        <v>0.1</v>
      </c>
      <c r="M2467" s="244">
        <f t="shared" si="283"/>
        <v>0</v>
      </c>
      <c r="N2467" s="244"/>
      <c r="O2467" s="244"/>
      <c r="P2467" s="244"/>
      <c r="Q2467" s="245">
        <f t="shared" si="284"/>
        <v>0</v>
      </c>
      <c r="R2467" s="245">
        <f t="shared" si="285"/>
        <v>0</v>
      </c>
      <c r="S2467" s="246">
        <v>0.5</v>
      </c>
      <c r="T2467" s="245">
        <f t="shared" si="286"/>
        <v>0</v>
      </c>
      <c r="U2467" s="245">
        <f t="shared" si="287"/>
        <v>0</v>
      </c>
      <c r="V2467" s="247"/>
    </row>
    <row r="2468" spans="1:22" ht="15.75" x14ac:dyDescent="0.25">
      <c r="A2468" s="236"/>
      <c r="B2468" s="237"/>
      <c r="C2468" s="238"/>
      <c r="D2468" s="239"/>
      <c r="E2468" s="240"/>
      <c r="F2468" s="240"/>
      <c r="G2468" s="240"/>
      <c r="H2468" s="241">
        <f t="shared" si="282"/>
        <v>0</v>
      </c>
      <c r="I2468" s="242"/>
      <c r="J2468" s="243"/>
      <c r="K2468" s="243"/>
      <c r="L2468" s="244">
        <v>0.1</v>
      </c>
      <c r="M2468" s="244">
        <f t="shared" si="283"/>
        <v>0</v>
      </c>
      <c r="N2468" s="244"/>
      <c r="O2468" s="244"/>
      <c r="P2468" s="244"/>
      <c r="Q2468" s="245">
        <f t="shared" si="284"/>
        <v>0</v>
      </c>
      <c r="R2468" s="245">
        <f t="shared" si="285"/>
        <v>0</v>
      </c>
      <c r="S2468" s="246">
        <v>0.5</v>
      </c>
      <c r="T2468" s="245">
        <f t="shared" si="286"/>
        <v>0</v>
      </c>
      <c r="U2468" s="245">
        <f t="shared" si="287"/>
        <v>0</v>
      </c>
      <c r="V2468" s="247"/>
    </row>
    <row r="2469" spans="1:22" ht="15.75" x14ac:dyDescent="0.25">
      <c r="A2469" s="236"/>
      <c r="B2469" s="237"/>
      <c r="C2469" s="238"/>
      <c r="D2469" s="239"/>
      <c r="E2469" s="240"/>
      <c r="F2469" s="240"/>
      <c r="G2469" s="240"/>
      <c r="H2469" s="241">
        <f t="shared" si="282"/>
        <v>0</v>
      </c>
      <c r="I2469" s="242"/>
      <c r="J2469" s="243"/>
      <c r="K2469" s="243"/>
      <c r="L2469" s="244">
        <v>0.1</v>
      </c>
      <c r="M2469" s="244">
        <f t="shared" si="283"/>
        <v>0</v>
      </c>
      <c r="N2469" s="244"/>
      <c r="O2469" s="244"/>
      <c r="P2469" s="244"/>
      <c r="Q2469" s="245">
        <f t="shared" si="284"/>
        <v>0</v>
      </c>
      <c r="R2469" s="245">
        <f t="shared" si="285"/>
        <v>0</v>
      </c>
      <c r="S2469" s="246">
        <v>0.5</v>
      </c>
      <c r="T2469" s="245">
        <f t="shared" si="286"/>
        <v>0</v>
      </c>
      <c r="U2469" s="245">
        <f t="shared" si="287"/>
        <v>0</v>
      </c>
      <c r="V2469" s="247"/>
    </row>
    <row r="2470" spans="1:22" ht="15.75" x14ac:dyDescent="0.25">
      <c r="A2470" s="236"/>
      <c r="B2470" s="237"/>
      <c r="C2470" s="238"/>
      <c r="D2470" s="239"/>
      <c r="E2470" s="240"/>
      <c r="F2470" s="240"/>
      <c r="G2470" s="240"/>
      <c r="H2470" s="241">
        <f t="shared" si="282"/>
        <v>0</v>
      </c>
      <c r="I2470" s="242"/>
      <c r="J2470" s="243"/>
      <c r="K2470" s="243"/>
      <c r="L2470" s="244">
        <v>0.1</v>
      </c>
      <c r="M2470" s="244">
        <f t="shared" si="283"/>
        <v>0</v>
      </c>
      <c r="N2470" s="244"/>
      <c r="O2470" s="244"/>
      <c r="P2470" s="244"/>
      <c r="Q2470" s="245">
        <f t="shared" si="284"/>
        <v>0</v>
      </c>
      <c r="R2470" s="245">
        <f t="shared" si="285"/>
        <v>0</v>
      </c>
      <c r="S2470" s="246">
        <v>0.5</v>
      </c>
      <c r="T2470" s="245">
        <f t="shared" si="286"/>
        <v>0</v>
      </c>
      <c r="U2470" s="245">
        <f t="shared" si="287"/>
        <v>0</v>
      </c>
      <c r="V2470" s="247"/>
    </row>
    <row r="2471" spans="1:22" ht="15.75" x14ac:dyDescent="0.25">
      <c r="A2471" s="236"/>
      <c r="B2471" s="237"/>
      <c r="C2471" s="238"/>
      <c r="D2471" s="239"/>
      <c r="E2471" s="240"/>
      <c r="F2471" s="240"/>
      <c r="G2471" s="240"/>
      <c r="H2471" s="241">
        <f t="shared" si="282"/>
        <v>0</v>
      </c>
      <c r="I2471" s="242"/>
      <c r="J2471" s="243"/>
      <c r="K2471" s="243"/>
      <c r="L2471" s="244">
        <v>0.1</v>
      </c>
      <c r="M2471" s="244">
        <f t="shared" si="283"/>
        <v>0</v>
      </c>
      <c r="N2471" s="244"/>
      <c r="O2471" s="244"/>
      <c r="P2471" s="244"/>
      <c r="Q2471" s="245">
        <f t="shared" si="284"/>
        <v>0</v>
      </c>
      <c r="R2471" s="245">
        <f t="shared" si="285"/>
        <v>0</v>
      </c>
      <c r="S2471" s="246">
        <v>0.5</v>
      </c>
      <c r="T2471" s="245">
        <f t="shared" si="286"/>
        <v>0</v>
      </c>
      <c r="U2471" s="245">
        <f t="shared" si="287"/>
        <v>0</v>
      </c>
      <c r="V2471" s="247"/>
    </row>
    <row r="2472" spans="1:22" ht="15.75" x14ac:dyDescent="0.25">
      <c r="A2472" s="236"/>
      <c r="B2472" s="237"/>
      <c r="C2472" s="238"/>
      <c r="D2472" s="239"/>
      <c r="E2472" s="240"/>
      <c r="F2472" s="240"/>
      <c r="G2472" s="240"/>
      <c r="H2472" s="241">
        <f t="shared" si="282"/>
        <v>0</v>
      </c>
      <c r="I2472" s="242"/>
      <c r="J2472" s="243"/>
      <c r="K2472" s="243"/>
      <c r="L2472" s="244">
        <v>0.1</v>
      </c>
      <c r="M2472" s="244">
        <f t="shared" si="283"/>
        <v>0</v>
      </c>
      <c r="N2472" s="244"/>
      <c r="O2472" s="244"/>
      <c r="P2472" s="244"/>
      <c r="Q2472" s="245">
        <f t="shared" si="284"/>
        <v>0</v>
      </c>
      <c r="R2472" s="245">
        <f t="shared" si="285"/>
        <v>0</v>
      </c>
      <c r="S2472" s="246">
        <v>0.5</v>
      </c>
      <c r="T2472" s="245">
        <f t="shared" si="286"/>
        <v>0</v>
      </c>
      <c r="U2472" s="245">
        <f t="shared" si="287"/>
        <v>0</v>
      </c>
      <c r="V2472" s="247"/>
    </row>
    <row r="2473" spans="1:22" ht="15.75" x14ac:dyDescent="0.25">
      <c r="A2473" s="236"/>
      <c r="B2473" s="237"/>
      <c r="C2473" s="238"/>
      <c r="D2473" s="239"/>
      <c r="E2473" s="240"/>
      <c r="F2473" s="240"/>
      <c r="G2473" s="240"/>
      <c r="H2473" s="241">
        <f t="shared" si="282"/>
        <v>0</v>
      </c>
      <c r="I2473" s="242"/>
      <c r="J2473" s="243"/>
      <c r="K2473" s="243"/>
      <c r="L2473" s="244">
        <v>0.1</v>
      </c>
      <c r="M2473" s="244">
        <f t="shared" si="283"/>
        <v>0</v>
      </c>
      <c r="N2473" s="244"/>
      <c r="O2473" s="244"/>
      <c r="P2473" s="244"/>
      <c r="Q2473" s="245">
        <f t="shared" si="284"/>
        <v>0</v>
      </c>
      <c r="R2473" s="245">
        <f t="shared" si="285"/>
        <v>0</v>
      </c>
      <c r="S2473" s="246">
        <v>0.5</v>
      </c>
      <c r="T2473" s="245">
        <f t="shared" si="286"/>
        <v>0</v>
      </c>
      <c r="U2473" s="245">
        <f t="shared" si="287"/>
        <v>0</v>
      </c>
      <c r="V2473" s="247"/>
    </row>
    <row r="2474" spans="1:22" ht="15.75" x14ac:dyDescent="0.25">
      <c r="A2474" s="236"/>
      <c r="B2474" s="237"/>
      <c r="C2474" s="238"/>
      <c r="D2474" s="239"/>
      <c r="E2474" s="240"/>
      <c r="F2474" s="240"/>
      <c r="G2474" s="240"/>
      <c r="H2474" s="241">
        <f t="shared" si="282"/>
        <v>0</v>
      </c>
      <c r="I2474" s="242"/>
      <c r="J2474" s="243"/>
      <c r="K2474" s="243"/>
      <c r="L2474" s="244">
        <v>0.1</v>
      </c>
      <c r="M2474" s="244">
        <f t="shared" si="283"/>
        <v>0</v>
      </c>
      <c r="N2474" s="244"/>
      <c r="O2474" s="244"/>
      <c r="P2474" s="244"/>
      <c r="Q2474" s="245">
        <f t="shared" si="284"/>
        <v>0</v>
      </c>
      <c r="R2474" s="245">
        <f t="shared" si="285"/>
        <v>0</v>
      </c>
      <c r="S2474" s="246">
        <v>0.5</v>
      </c>
      <c r="T2474" s="245">
        <f t="shared" si="286"/>
        <v>0</v>
      </c>
      <c r="U2474" s="245">
        <f t="shared" si="287"/>
        <v>0</v>
      </c>
      <c r="V2474" s="247"/>
    </row>
    <row r="2475" spans="1:22" ht="15.75" x14ac:dyDescent="0.25">
      <c r="A2475" s="236"/>
      <c r="B2475" s="237"/>
      <c r="C2475" s="238"/>
      <c r="D2475" s="239"/>
      <c r="E2475" s="240"/>
      <c r="F2475" s="240"/>
      <c r="G2475" s="240"/>
      <c r="H2475" s="241">
        <f t="shared" si="282"/>
        <v>0</v>
      </c>
      <c r="I2475" s="242"/>
      <c r="J2475" s="243"/>
      <c r="K2475" s="243"/>
      <c r="L2475" s="244">
        <v>0.1</v>
      </c>
      <c r="M2475" s="244">
        <f t="shared" si="283"/>
        <v>0</v>
      </c>
      <c r="N2475" s="244"/>
      <c r="O2475" s="244"/>
      <c r="P2475" s="244"/>
      <c r="Q2475" s="245">
        <f t="shared" si="284"/>
        <v>0</v>
      </c>
      <c r="R2475" s="245">
        <f t="shared" si="285"/>
        <v>0</v>
      </c>
      <c r="S2475" s="246">
        <v>0.5</v>
      </c>
      <c r="T2475" s="245">
        <f t="shared" si="286"/>
        <v>0</v>
      </c>
      <c r="U2475" s="245">
        <f t="shared" si="287"/>
        <v>0</v>
      </c>
      <c r="V2475" s="247"/>
    </row>
    <row r="2476" spans="1:22" ht="15.75" x14ac:dyDescent="0.25">
      <c r="A2476" s="236"/>
      <c r="B2476" s="237"/>
      <c r="C2476" s="238"/>
      <c r="D2476" s="239"/>
      <c r="E2476" s="240"/>
      <c r="F2476" s="240"/>
      <c r="G2476" s="240"/>
      <c r="H2476" s="241">
        <f t="shared" si="282"/>
        <v>0</v>
      </c>
      <c r="I2476" s="242"/>
      <c r="J2476" s="243"/>
      <c r="K2476" s="243"/>
      <c r="L2476" s="244">
        <v>0.1</v>
      </c>
      <c r="M2476" s="244">
        <f t="shared" si="283"/>
        <v>0</v>
      </c>
      <c r="N2476" s="244"/>
      <c r="O2476" s="244"/>
      <c r="P2476" s="244"/>
      <c r="Q2476" s="245">
        <f t="shared" si="284"/>
        <v>0</v>
      </c>
      <c r="R2476" s="245">
        <f t="shared" si="285"/>
        <v>0</v>
      </c>
      <c r="S2476" s="246">
        <v>0.5</v>
      </c>
      <c r="T2476" s="245">
        <f t="shared" si="286"/>
        <v>0</v>
      </c>
      <c r="U2476" s="245">
        <f t="shared" si="287"/>
        <v>0</v>
      </c>
      <c r="V2476" s="247"/>
    </row>
    <row r="2477" spans="1:22" ht="15.75" x14ac:dyDescent="0.25">
      <c r="A2477" s="236"/>
      <c r="B2477" s="237"/>
      <c r="C2477" s="238"/>
      <c r="D2477" s="239"/>
      <c r="E2477" s="240"/>
      <c r="F2477" s="240"/>
      <c r="G2477" s="240"/>
      <c r="H2477" s="241">
        <f t="shared" si="282"/>
        <v>0</v>
      </c>
      <c r="I2477" s="242"/>
      <c r="J2477" s="243"/>
      <c r="K2477" s="243"/>
      <c r="L2477" s="244">
        <v>0.1</v>
      </c>
      <c r="M2477" s="244">
        <f t="shared" si="283"/>
        <v>0</v>
      </c>
      <c r="N2477" s="244"/>
      <c r="O2477" s="244"/>
      <c r="P2477" s="244"/>
      <c r="Q2477" s="245">
        <f t="shared" si="284"/>
        <v>0</v>
      </c>
      <c r="R2477" s="245">
        <f t="shared" si="285"/>
        <v>0</v>
      </c>
      <c r="S2477" s="246">
        <v>0.5</v>
      </c>
      <c r="T2477" s="245">
        <f t="shared" si="286"/>
        <v>0</v>
      </c>
      <c r="U2477" s="245">
        <f t="shared" si="287"/>
        <v>0</v>
      </c>
      <c r="V2477" s="247"/>
    </row>
    <row r="2478" spans="1:22" ht="15.75" x14ac:dyDescent="0.25">
      <c r="A2478" s="236"/>
      <c r="B2478" s="237"/>
      <c r="C2478" s="238"/>
      <c r="D2478" s="239"/>
      <c r="E2478" s="240"/>
      <c r="F2478" s="240"/>
      <c r="G2478" s="240"/>
      <c r="H2478" s="241">
        <f t="shared" si="282"/>
        <v>0</v>
      </c>
      <c r="I2478" s="242"/>
      <c r="J2478" s="243"/>
      <c r="K2478" s="243"/>
      <c r="L2478" s="244">
        <v>0.1</v>
      </c>
      <c r="M2478" s="244">
        <f t="shared" si="283"/>
        <v>0</v>
      </c>
      <c r="N2478" s="244"/>
      <c r="O2478" s="244"/>
      <c r="P2478" s="244"/>
      <c r="Q2478" s="245">
        <f t="shared" si="284"/>
        <v>0</v>
      </c>
      <c r="R2478" s="245">
        <f t="shared" si="285"/>
        <v>0</v>
      </c>
      <c r="S2478" s="246">
        <v>0.5</v>
      </c>
      <c r="T2478" s="245">
        <f t="shared" si="286"/>
        <v>0</v>
      </c>
      <c r="U2478" s="245">
        <f t="shared" si="287"/>
        <v>0</v>
      </c>
      <c r="V2478" s="247"/>
    </row>
    <row r="2479" spans="1:22" ht="15.75" x14ac:dyDescent="0.25">
      <c r="A2479" s="236"/>
      <c r="B2479" s="237"/>
      <c r="C2479" s="238"/>
      <c r="D2479" s="239"/>
      <c r="E2479" s="240"/>
      <c r="F2479" s="240"/>
      <c r="G2479" s="240"/>
      <c r="H2479" s="241">
        <f t="shared" si="282"/>
        <v>0</v>
      </c>
      <c r="I2479" s="242"/>
      <c r="J2479" s="243"/>
      <c r="K2479" s="243"/>
      <c r="L2479" s="244">
        <v>0.1</v>
      </c>
      <c r="M2479" s="244">
        <f t="shared" si="283"/>
        <v>0</v>
      </c>
      <c r="N2479" s="244"/>
      <c r="O2479" s="244"/>
      <c r="P2479" s="244"/>
      <c r="Q2479" s="245">
        <f t="shared" si="284"/>
        <v>0</v>
      </c>
      <c r="R2479" s="245">
        <f t="shared" si="285"/>
        <v>0</v>
      </c>
      <c r="S2479" s="246">
        <v>0.5</v>
      </c>
      <c r="T2479" s="245">
        <f t="shared" si="286"/>
        <v>0</v>
      </c>
      <c r="U2479" s="245">
        <f t="shared" si="287"/>
        <v>0</v>
      </c>
      <c r="V2479" s="247"/>
    </row>
    <row r="2480" spans="1:22" ht="15.75" x14ac:dyDescent="0.25">
      <c r="A2480" s="236"/>
      <c r="B2480" s="237"/>
      <c r="C2480" s="238"/>
      <c r="D2480" s="239"/>
      <c r="E2480" s="240"/>
      <c r="F2480" s="240"/>
      <c r="G2480" s="240"/>
      <c r="H2480" s="241">
        <f t="shared" si="282"/>
        <v>0</v>
      </c>
      <c r="I2480" s="242"/>
      <c r="J2480" s="243"/>
      <c r="K2480" s="243"/>
      <c r="L2480" s="244">
        <v>0.1</v>
      </c>
      <c r="M2480" s="244">
        <f t="shared" si="283"/>
        <v>0</v>
      </c>
      <c r="N2480" s="244"/>
      <c r="O2480" s="244"/>
      <c r="P2480" s="244"/>
      <c r="Q2480" s="245">
        <f t="shared" si="284"/>
        <v>0</v>
      </c>
      <c r="R2480" s="245">
        <f t="shared" si="285"/>
        <v>0</v>
      </c>
      <c r="S2480" s="246">
        <v>0.5</v>
      </c>
      <c r="T2480" s="245">
        <f t="shared" si="286"/>
        <v>0</v>
      </c>
      <c r="U2480" s="245">
        <f t="shared" si="287"/>
        <v>0</v>
      </c>
      <c r="V2480" s="247"/>
    </row>
    <row r="2481" spans="1:22" ht="15.75" x14ac:dyDescent="0.25">
      <c r="A2481" s="236"/>
      <c r="B2481" s="237"/>
      <c r="C2481" s="238"/>
      <c r="D2481" s="239"/>
      <c r="E2481" s="240"/>
      <c r="F2481" s="240"/>
      <c r="G2481" s="240"/>
      <c r="H2481" s="241">
        <f t="shared" si="282"/>
        <v>0</v>
      </c>
      <c r="I2481" s="242"/>
      <c r="J2481" s="243"/>
      <c r="K2481" s="243"/>
      <c r="L2481" s="244">
        <v>0.1</v>
      </c>
      <c r="M2481" s="244">
        <f t="shared" si="283"/>
        <v>0</v>
      </c>
      <c r="N2481" s="244"/>
      <c r="O2481" s="244"/>
      <c r="P2481" s="244"/>
      <c r="Q2481" s="245">
        <f t="shared" si="284"/>
        <v>0</v>
      </c>
      <c r="R2481" s="245">
        <f t="shared" si="285"/>
        <v>0</v>
      </c>
      <c r="S2481" s="246">
        <v>0.5</v>
      </c>
      <c r="T2481" s="245">
        <f t="shared" si="286"/>
        <v>0</v>
      </c>
      <c r="U2481" s="245">
        <f t="shared" si="287"/>
        <v>0</v>
      </c>
      <c r="V2481" s="247"/>
    </row>
    <row r="2482" spans="1:22" ht="15.75" x14ac:dyDescent="0.25">
      <c r="A2482" s="236"/>
      <c r="B2482" s="237"/>
      <c r="C2482" s="238"/>
      <c r="D2482" s="239"/>
      <c r="E2482" s="240"/>
      <c r="F2482" s="240"/>
      <c r="G2482" s="240"/>
      <c r="H2482" s="241">
        <f t="shared" si="282"/>
        <v>0</v>
      </c>
      <c r="I2482" s="242"/>
      <c r="J2482" s="243"/>
      <c r="K2482" s="243"/>
      <c r="L2482" s="244">
        <v>0.1</v>
      </c>
      <c r="M2482" s="244">
        <f t="shared" si="283"/>
        <v>0</v>
      </c>
      <c r="N2482" s="244"/>
      <c r="O2482" s="244"/>
      <c r="P2482" s="244"/>
      <c r="Q2482" s="245">
        <f t="shared" si="284"/>
        <v>0</v>
      </c>
      <c r="R2482" s="245">
        <f t="shared" si="285"/>
        <v>0</v>
      </c>
      <c r="S2482" s="246">
        <v>0.5</v>
      </c>
      <c r="T2482" s="245">
        <f t="shared" si="286"/>
        <v>0</v>
      </c>
      <c r="U2482" s="245">
        <f t="shared" si="287"/>
        <v>0</v>
      </c>
      <c r="V2482" s="247"/>
    </row>
    <row r="2483" spans="1:22" ht="15.75" x14ac:dyDescent="0.25">
      <c r="A2483" s="236"/>
      <c r="B2483" s="237"/>
      <c r="C2483" s="238"/>
      <c r="D2483" s="239"/>
      <c r="E2483" s="240"/>
      <c r="F2483" s="240"/>
      <c r="G2483" s="240"/>
      <c r="H2483" s="241">
        <f t="shared" si="282"/>
        <v>0</v>
      </c>
      <c r="I2483" s="242"/>
      <c r="J2483" s="243"/>
      <c r="K2483" s="243"/>
      <c r="L2483" s="244">
        <v>0.1</v>
      </c>
      <c r="M2483" s="244">
        <f t="shared" si="283"/>
        <v>0</v>
      </c>
      <c r="N2483" s="244"/>
      <c r="O2483" s="244"/>
      <c r="P2483" s="244"/>
      <c r="Q2483" s="245">
        <f t="shared" si="284"/>
        <v>0</v>
      </c>
      <c r="R2483" s="245">
        <f t="shared" si="285"/>
        <v>0</v>
      </c>
      <c r="S2483" s="246">
        <v>0.5</v>
      </c>
      <c r="T2483" s="245">
        <f t="shared" si="286"/>
        <v>0</v>
      </c>
      <c r="U2483" s="245">
        <f t="shared" si="287"/>
        <v>0</v>
      </c>
      <c r="V2483" s="247"/>
    </row>
    <row r="2484" spans="1:22" ht="15.75" x14ac:dyDescent="0.25">
      <c r="A2484" s="236"/>
      <c r="B2484" s="237"/>
      <c r="C2484" s="238"/>
      <c r="D2484" s="239"/>
      <c r="E2484" s="240"/>
      <c r="F2484" s="240"/>
      <c r="G2484" s="240"/>
      <c r="H2484" s="241">
        <f t="shared" si="282"/>
        <v>0</v>
      </c>
      <c r="I2484" s="242"/>
      <c r="J2484" s="243"/>
      <c r="K2484" s="243"/>
      <c r="L2484" s="244">
        <v>0.1</v>
      </c>
      <c r="M2484" s="244">
        <f t="shared" si="283"/>
        <v>0</v>
      </c>
      <c r="N2484" s="244"/>
      <c r="O2484" s="244"/>
      <c r="P2484" s="244"/>
      <c r="Q2484" s="245">
        <f t="shared" si="284"/>
        <v>0</v>
      </c>
      <c r="R2484" s="245">
        <f t="shared" si="285"/>
        <v>0</v>
      </c>
      <c r="S2484" s="246">
        <v>0.5</v>
      </c>
      <c r="T2484" s="245">
        <f t="shared" si="286"/>
        <v>0</v>
      </c>
      <c r="U2484" s="245">
        <f t="shared" si="287"/>
        <v>0</v>
      </c>
      <c r="V2484" s="247"/>
    </row>
    <row r="2485" spans="1:22" ht="15.75" x14ac:dyDescent="0.25">
      <c r="A2485" s="236"/>
      <c r="B2485" s="237"/>
      <c r="C2485" s="238"/>
      <c r="D2485" s="239"/>
      <c r="E2485" s="240"/>
      <c r="F2485" s="240"/>
      <c r="G2485" s="240"/>
      <c r="H2485" s="241">
        <f t="shared" si="282"/>
        <v>0</v>
      </c>
      <c r="I2485" s="242"/>
      <c r="J2485" s="243"/>
      <c r="K2485" s="243"/>
      <c r="L2485" s="244">
        <v>0.1</v>
      </c>
      <c r="M2485" s="244">
        <f t="shared" si="283"/>
        <v>0</v>
      </c>
      <c r="N2485" s="244"/>
      <c r="O2485" s="244"/>
      <c r="P2485" s="244"/>
      <c r="Q2485" s="245">
        <f t="shared" si="284"/>
        <v>0</v>
      </c>
      <c r="R2485" s="245">
        <f t="shared" si="285"/>
        <v>0</v>
      </c>
      <c r="S2485" s="246">
        <v>0.5</v>
      </c>
      <c r="T2485" s="245">
        <f t="shared" si="286"/>
        <v>0</v>
      </c>
      <c r="U2485" s="245">
        <f t="shared" si="287"/>
        <v>0</v>
      </c>
      <c r="V2485" s="247"/>
    </row>
    <row r="2486" spans="1:22" ht="15.75" x14ac:dyDescent="0.25">
      <c r="A2486" s="236"/>
      <c r="B2486" s="237"/>
      <c r="C2486" s="238"/>
      <c r="D2486" s="239"/>
      <c r="E2486" s="240"/>
      <c r="F2486" s="240"/>
      <c r="G2486" s="240"/>
      <c r="H2486" s="241">
        <f t="shared" si="282"/>
        <v>0</v>
      </c>
      <c r="I2486" s="242"/>
      <c r="J2486" s="243"/>
      <c r="K2486" s="243"/>
      <c r="L2486" s="244">
        <v>0.1</v>
      </c>
      <c r="M2486" s="244">
        <f t="shared" si="283"/>
        <v>0</v>
      </c>
      <c r="N2486" s="244"/>
      <c r="O2486" s="244"/>
      <c r="P2486" s="244"/>
      <c r="Q2486" s="245">
        <f t="shared" si="284"/>
        <v>0</v>
      </c>
      <c r="R2486" s="245">
        <f t="shared" si="285"/>
        <v>0</v>
      </c>
      <c r="S2486" s="246">
        <v>0.5</v>
      </c>
      <c r="T2486" s="245">
        <f t="shared" si="286"/>
        <v>0</v>
      </c>
      <c r="U2486" s="245">
        <f t="shared" si="287"/>
        <v>0</v>
      </c>
      <c r="V2486" s="247"/>
    </row>
    <row r="2487" spans="1:22" ht="15.75" x14ac:dyDescent="0.25">
      <c r="A2487" s="236"/>
      <c r="B2487" s="237"/>
      <c r="C2487" s="238"/>
      <c r="D2487" s="239"/>
      <c r="E2487" s="240"/>
      <c r="F2487" s="240"/>
      <c r="G2487" s="240"/>
      <c r="H2487" s="241">
        <f t="shared" si="282"/>
        <v>0</v>
      </c>
      <c r="I2487" s="242"/>
      <c r="J2487" s="243"/>
      <c r="K2487" s="243"/>
      <c r="L2487" s="244">
        <v>0.1</v>
      </c>
      <c r="M2487" s="244">
        <f t="shared" si="283"/>
        <v>0</v>
      </c>
      <c r="N2487" s="244"/>
      <c r="O2487" s="244"/>
      <c r="P2487" s="244"/>
      <c r="Q2487" s="245">
        <f t="shared" si="284"/>
        <v>0</v>
      </c>
      <c r="R2487" s="245">
        <f t="shared" si="285"/>
        <v>0</v>
      </c>
      <c r="S2487" s="246">
        <v>0.5</v>
      </c>
      <c r="T2487" s="245">
        <f t="shared" si="286"/>
        <v>0</v>
      </c>
      <c r="U2487" s="245">
        <f t="shared" si="287"/>
        <v>0</v>
      </c>
      <c r="V2487" s="247"/>
    </row>
    <row r="2488" spans="1:22" ht="15.75" x14ac:dyDescent="0.25">
      <c r="A2488" s="236"/>
      <c r="B2488" s="237"/>
      <c r="C2488" s="238"/>
      <c r="D2488" s="239"/>
      <c r="E2488" s="240"/>
      <c r="F2488" s="240"/>
      <c r="G2488" s="240"/>
      <c r="H2488" s="241">
        <f t="shared" si="282"/>
        <v>0</v>
      </c>
      <c r="I2488" s="242"/>
      <c r="J2488" s="243"/>
      <c r="K2488" s="243"/>
      <c r="L2488" s="244">
        <v>0.1</v>
      </c>
      <c r="M2488" s="244">
        <f t="shared" si="283"/>
        <v>0</v>
      </c>
      <c r="N2488" s="244"/>
      <c r="O2488" s="244"/>
      <c r="P2488" s="244"/>
      <c r="Q2488" s="245">
        <f t="shared" si="284"/>
        <v>0</v>
      </c>
      <c r="R2488" s="245">
        <f t="shared" si="285"/>
        <v>0</v>
      </c>
      <c r="S2488" s="246">
        <v>0.5</v>
      </c>
      <c r="T2488" s="245">
        <f t="shared" si="286"/>
        <v>0</v>
      </c>
      <c r="U2488" s="245">
        <f t="shared" si="287"/>
        <v>0</v>
      </c>
      <c r="V2488" s="247"/>
    </row>
    <row r="2489" spans="1:22" ht="15.75" x14ac:dyDescent="0.25">
      <c r="A2489" s="236"/>
      <c r="B2489" s="237"/>
      <c r="C2489" s="238"/>
      <c r="D2489" s="239"/>
      <c r="E2489" s="240"/>
      <c r="F2489" s="240"/>
      <c r="G2489" s="240"/>
      <c r="H2489" s="241">
        <f t="shared" si="282"/>
        <v>0</v>
      </c>
      <c r="I2489" s="242"/>
      <c r="J2489" s="243"/>
      <c r="K2489" s="243"/>
      <c r="L2489" s="244">
        <v>0.1</v>
      </c>
      <c r="M2489" s="244">
        <f t="shared" si="283"/>
        <v>0</v>
      </c>
      <c r="N2489" s="244"/>
      <c r="O2489" s="244"/>
      <c r="P2489" s="244"/>
      <c r="Q2489" s="245">
        <f t="shared" si="284"/>
        <v>0</v>
      </c>
      <c r="R2489" s="245">
        <f t="shared" si="285"/>
        <v>0</v>
      </c>
      <c r="S2489" s="246">
        <v>0.5</v>
      </c>
      <c r="T2489" s="245">
        <f t="shared" si="286"/>
        <v>0</v>
      </c>
      <c r="U2489" s="245">
        <f t="shared" si="287"/>
        <v>0</v>
      </c>
      <c r="V2489" s="247"/>
    </row>
    <row r="2490" spans="1:22" ht="15.75" x14ac:dyDescent="0.25">
      <c r="A2490" s="236"/>
      <c r="B2490" s="237"/>
      <c r="C2490" s="238"/>
      <c r="D2490" s="239"/>
      <c r="E2490" s="240"/>
      <c r="F2490" s="240"/>
      <c r="G2490" s="240"/>
      <c r="H2490" s="241">
        <f t="shared" si="282"/>
        <v>0</v>
      </c>
      <c r="I2490" s="242"/>
      <c r="J2490" s="243"/>
      <c r="K2490" s="243"/>
      <c r="L2490" s="244">
        <v>0.1</v>
      </c>
      <c r="M2490" s="244">
        <f t="shared" si="283"/>
        <v>0</v>
      </c>
      <c r="N2490" s="244"/>
      <c r="O2490" s="244"/>
      <c r="P2490" s="244"/>
      <c r="Q2490" s="245">
        <f t="shared" si="284"/>
        <v>0</v>
      </c>
      <c r="R2490" s="245">
        <f t="shared" si="285"/>
        <v>0</v>
      </c>
      <c r="S2490" s="246">
        <v>0.5</v>
      </c>
      <c r="T2490" s="245">
        <f t="shared" si="286"/>
        <v>0</v>
      </c>
      <c r="U2490" s="245">
        <f t="shared" si="287"/>
        <v>0</v>
      </c>
      <c r="V2490" s="247"/>
    </row>
    <row r="2491" spans="1:22" ht="15.75" x14ac:dyDescent="0.25">
      <c r="A2491" s="236"/>
      <c r="B2491" s="237"/>
      <c r="C2491" s="238"/>
      <c r="D2491" s="239"/>
      <c r="E2491" s="240"/>
      <c r="F2491" s="240"/>
      <c r="G2491" s="240"/>
      <c r="H2491" s="241">
        <f t="shared" si="282"/>
        <v>0</v>
      </c>
      <c r="I2491" s="242"/>
      <c r="J2491" s="243"/>
      <c r="K2491" s="243"/>
      <c r="L2491" s="244">
        <v>0.1</v>
      </c>
      <c r="M2491" s="244">
        <f t="shared" si="283"/>
        <v>0</v>
      </c>
      <c r="N2491" s="244"/>
      <c r="O2491" s="244"/>
      <c r="P2491" s="244"/>
      <c r="Q2491" s="245">
        <f t="shared" si="284"/>
        <v>0</v>
      </c>
      <c r="R2491" s="245">
        <f t="shared" si="285"/>
        <v>0</v>
      </c>
      <c r="S2491" s="246">
        <v>0.5</v>
      </c>
      <c r="T2491" s="245">
        <f t="shared" si="286"/>
        <v>0</v>
      </c>
      <c r="U2491" s="245">
        <f t="shared" si="287"/>
        <v>0</v>
      </c>
      <c r="V2491" s="247"/>
    </row>
    <row r="2492" spans="1:22" ht="15.75" x14ac:dyDescent="0.25">
      <c r="A2492" s="236"/>
      <c r="B2492" s="237"/>
      <c r="C2492" s="238"/>
      <c r="D2492" s="239"/>
      <c r="E2492" s="240"/>
      <c r="F2492" s="240"/>
      <c r="G2492" s="240"/>
      <c r="H2492" s="241">
        <f t="shared" si="282"/>
        <v>0</v>
      </c>
      <c r="I2492" s="242"/>
      <c r="J2492" s="243"/>
      <c r="K2492" s="243"/>
      <c r="L2492" s="244">
        <v>0.1</v>
      </c>
      <c r="M2492" s="244">
        <f t="shared" si="283"/>
        <v>0</v>
      </c>
      <c r="N2492" s="244"/>
      <c r="O2492" s="244"/>
      <c r="P2492" s="244"/>
      <c r="Q2492" s="245">
        <f t="shared" si="284"/>
        <v>0</v>
      </c>
      <c r="R2492" s="245">
        <f t="shared" si="285"/>
        <v>0</v>
      </c>
      <c r="S2492" s="246">
        <v>0.5</v>
      </c>
      <c r="T2492" s="245">
        <f t="shared" si="286"/>
        <v>0</v>
      </c>
      <c r="U2492" s="245">
        <f t="shared" si="287"/>
        <v>0</v>
      </c>
      <c r="V2492" s="247"/>
    </row>
    <row r="2493" spans="1:22" ht="15.75" x14ac:dyDescent="0.25">
      <c r="A2493" s="236"/>
      <c r="B2493" s="237"/>
      <c r="C2493" s="238"/>
      <c r="D2493" s="239"/>
      <c r="E2493" s="240"/>
      <c r="F2493" s="240"/>
      <c r="G2493" s="240"/>
      <c r="H2493" s="241">
        <f t="shared" ref="H2493:H2556" si="288">+E2493+F2493+G2493</f>
        <v>0</v>
      </c>
      <c r="I2493" s="242"/>
      <c r="J2493" s="243"/>
      <c r="K2493" s="243"/>
      <c r="L2493" s="244">
        <v>0.1</v>
      </c>
      <c r="M2493" s="244">
        <f t="shared" ref="M2493:M2556" si="289">+L2493*C2493</f>
        <v>0</v>
      </c>
      <c r="N2493" s="244"/>
      <c r="O2493" s="244"/>
      <c r="P2493" s="244"/>
      <c r="Q2493" s="245">
        <f t="shared" ref="Q2493:Q2556" si="290">+N2493+O2493+P2493</f>
        <v>0</v>
      </c>
      <c r="R2493" s="245">
        <f t="shared" ref="R2493:R2556" si="291">IF(+Q2493-H2493&lt;=0,0,Q2493-H2493)</f>
        <v>0</v>
      </c>
      <c r="S2493" s="246">
        <v>0.5</v>
      </c>
      <c r="T2493" s="245">
        <f t="shared" ref="T2493:T2556" si="292">+(R2493*C2493)*S2493</f>
        <v>0</v>
      </c>
      <c r="U2493" s="245">
        <f t="shared" ref="U2493:U2556" si="293">+J2493+M2493+T2493</f>
        <v>0</v>
      </c>
      <c r="V2493" s="247"/>
    </row>
    <row r="2494" spans="1:22" ht="15.75" x14ac:dyDescent="0.25">
      <c r="A2494" s="236"/>
      <c r="B2494" s="237"/>
      <c r="C2494" s="238"/>
      <c r="D2494" s="239"/>
      <c r="E2494" s="240"/>
      <c r="F2494" s="240"/>
      <c r="G2494" s="240"/>
      <c r="H2494" s="241">
        <f t="shared" si="288"/>
        <v>0</v>
      </c>
      <c r="I2494" s="242"/>
      <c r="J2494" s="243"/>
      <c r="K2494" s="243"/>
      <c r="L2494" s="244">
        <v>0.1</v>
      </c>
      <c r="M2494" s="244">
        <f t="shared" si="289"/>
        <v>0</v>
      </c>
      <c r="N2494" s="244"/>
      <c r="O2494" s="244"/>
      <c r="P2494" s="244"/>
      <c r="Q2494" s="245">
        <f t="shared" si="290"/>
        <v>0</v>
      </c>
      <c r="R2494" s="245">
        <f t="shared" si="291"/>
        <v>0</v>
      </c>
      <c r="S2494" s="246">
        <v>0.5</v>
      </c>
      <c r="T2494" s="245">
        <f t="shared" si="292"/>
        <v>0</v>
      </c>
      <c r="U2494" s="245">
        <f t="shared" si="293"/>
        <v>0</v>
      </c>
      <c r="V2494" s="247"/>
    </row>
    <row r="2495" spans="1:22" ht="15.75" x14ac:dyDescent="0.25">
      <c r="A2495" s="236"/>
      <c r="B2495" s="237"/>
      <c r="C2495" s="238"/>
      <c r="D2495" s="239"/>
      <c r="E2495" s="240"/>
      <c r="F2495" s="240"/>
      <c r="G2495" s="240"/>
      <c r="H2495" s="241">
        <f t="shared" si="288"/>
        <v>0</v>
      </c>
      <c r="I2495" s="242"/>
      <c r="J2495" s="243"/>
      <c r="K2495" s="243"/>
      <c r="L2495" s="244">
        <v>0.1</v>
      </c>
      <c r="M2495" s="244">
        <f t="shared" si="289"/>
        <v>0</v>
      </c>
      <c r="N2495" s="244"/>
      <c r="O2495" s="244"/>
      <c r="P2495" s="244"/>
      <c r="Q2495" s="245">
        <f t="shared" si="290"/>
        <v>0</v>
      </c>
      <c r="R2495" s="245">
        <f t="shared" si="291"/>
        <v>0</v>
      </c>
      <c r="S2495" s="246">
        <v>0.5</v>
      </c>
      <c r="T2495" s="245">
        <f t="shared" si="292"/>
        <v>0</v>
      </c>
      <c r="U2495" s="245">
        <f t="shared" si="293"/>
        <v>0</v>
      </c>
      <c r="V2495" s="247"/>
    </row>
    <row r="2496" spans="1:22" ht="15.75" x14ac:dyDescent="0.25">
      <c r="A2496" s="236"/>
      <c r="B2496" s="237"/>
      <c r="C2496" s="238"/>
      <c r="D2496" s="239"/>
      <c r="E2496" s="240"/>
      <c r="F2496" s="240"/>
      <c r="G2496" s="240"/>
      <c r="H2496" s="241">
        <f t="shared" si="288"/>
        <v>0</v>
      </c>
      <c r="I2496" s="242"/>
      <c r="J2496" s="243"/>
      <c r="K2496" s="243"/>
      <c r="L2496" s="244">
        <v>0.1</v>
      </c>
      <c r="M2496" s="244">
        <f t="shared" si="289"/>
        <v>0</v>
      </c>
      <c r="N2496" s="244"/>
      <c r="O2496" s="244"/>
      <c r="P2496" s="244"/>
      <c r="Q2496" s="245">
        <f t="shared" si="290"/>
        <v>0</v>
      </c>
      <c r="R2496" s="245">
        <f t="shared" si="291"/>
        <v>0</v>
      </c>
      <c r="S2496" s="246">
        <v>0.5</v>
      </c>
      <c r="T2496" s="245">
        <f t="shared" si="292"/>
        <v>0</v>
      </c>
      <c r="U2496" s="245">
        <f t="shared" si="293"/>
        <v>0</v>
      </c>
      <c r="V2496" s="247"/>
    </row>
    <row r="2497" spans="1:22" ht="15.75" x14ac:dyDescent="0.25">
      <c r="A2497" s="236"/>
      <c r="B2497" s="237"/>
      <c r="C2497" s="238"/>
      <c r="D2497" s="239"/>
      <c r="E2497" s="240"/>
      <c r="F2497" s="240"/>
      <c r="G2497" s="240"/>
      <c r="H2497" s="241">
        <f t="shared" si="288"/>
        <v>0</v>
      </c>
      <c r="I2497" s="242"/>
      <c r="J2497" s="243"/>
      <c r="K2497" s="243"/>
      <c r="L2497" s="244">
        <v>0.1</v>
      </c>
      <c r="M2497" s="244">
        <f t="shared" si="289"/>
        <v>0</v>
      </c>
      <c r="N2497" s="244"/>
      <c r="O2497" s="244"/>
      <c r="P2497" s="244"/>
      <c r="Q2497" s="245">
        <f t="shared" si="290"/>
        <v>0</v>
      </c>
      <c r="R2497" s="245">
        <f t="shared" si="291"/>
        <v>0</v>
      </c>
      <c r="S2497" s="246">
        <v>0.5</v>
      </c>
      <c r="T2497" s="245">
        <f t="shared" si="292"/>
        <v>0</v>
      </c>
      <c r="U2497" s="245">
        <f t="shared" si="293"/>
        <v>0</v>
      </c>
      <c r="V2497" s="247"/>
    </row>
    <row r="2498" spans="1:22" ht="15.75" x14ac:dyDescent="0.25">
      <c r="A2498" s="236"/>
      <c r="B2498" s="237"/>
      <c r="C2498" s="238"/>
      <c r="D2498" s="239"/>
      <c r="E2498" s="240"/>
      <c r="F2498" s="240"/>
      <c r="G2498" s="240"/>
      <c r="H2498" s="241">
        <f t="shared" si="288"/>
        <v>0</v>
      </c>
      <c r="I2498" s="242"/>
      <c r="J2498" s="243"/>
      <c r="K2498" s="243"/>
      <c r="L2498" s="244">
        <v>0.1</v>
      </c>
      <c r="M2498" s="244">
        <f t="shared" si="289"/>
        <v>0</v>
      </c>
      <c r="N2498" s="244"/>
      <c r="O2498" s="244"/>
      <c r="P2498" s="244"/>
      <c r="Q2498" s="245">
        <f t="shared" si="290"/>
        <v>0</v>
      </c>
      <c r="R2498" s="245">
        <f t="shared" si="291"/>
        <v>0</v>
      </c>
      <c r="S2498" s="246">
        <v>0.5</v>
      </c>
      <c r="T2498" s="245">
        <f t="shared" si="292"/>
        <v>0</v>
      </c>
      <c r="U2498" s="245">
        <f t="shared" si="293"/>
        <v>0</v>
      </c>
      <c r="V2498" s="247"/>
    </row>
    <row r="2499" spans="1:22" ht="15.75" x14ac:dyDescent="0.25">
      <c r="A2499" s="236"/>
      <c r="B2499" s="237"/>
      <c r="C2499" s="238"/>
      <c r="D2499" s="239"/>
      <c r="E2499" s="240"/>
      <c r="F2499" s="240"/>
      <c r="G2499" s="240"/>
      <c r="H2499" s="241">
        <f t="shared" si="288"/>
        <v>0</v>
      </c>
      <c r="I2499" s="242"/>
      <c r="J2499" s="243"/>
      <c r="K2499" s="243"/>
      <c r="L2499" s="244">
        <v>0.1</v>
      </c>
      <c r="M2499" s="244">
        <f t="shared" si="289"/>
        <v>0</v>
      </c>
      <c r="N2499" s="244"/>
      <c r="O2499" s="244"/>
      <c r="P2499" s="244"/>
      <c r="Q2499" s="245">
        <f t="shared" si="290"/>
        <v>0</v>
      </c>
      <c r="R2499" s="245">
        <f t="shared" si="291"/>
        <v>0</v>
      </c>
      <c r="S2499" s="246">
        <v>0.5</v>
      </c>
      <c r="T2499" s="245">
        <f t="shared" si="292"/>
        <v>0</v>
      </c>
      <c r="U2499" s="245">
        <f t="shared" si="293"/>
        <v>0</v>
      </c>
      <c r="V2499" s="247"/>
    </row>
    <row r="2500" spans="1:22" ht="15.75" x14ac:dyDescent="0.25">
      <c r="A2500" s="236"/>
      <c r="B2500" s="237"/>
      <c r="C2500" s="238"/>
      <c r="D2500" s="239"/>
      <c r="E2500" s="240"/>
      <c r="F2500" s="240"/>
      <c r="G2500" s="240"/>
      <c r="H2500" s="241">
        <f t="shared" si="288"/>
        <v>0</v>
      </c>
      <c r="I2500" s="242"/>
      <c r="J2500" s="243"/>
      <c r="K2500" s="243"/>
      <c r="L2500" s="244">
        <v>0.1</v>
      </c>
      <c r="M2500" s="244">
        <f t="shared" si="289"/>
        <v>0</v>
      </c>
      <c r="N2500" s="244"/>
      <c r="O2500" s="244"/>
      <c r="P2500" s="244"/>
      <c r="Q2500" s="245">
        <f t="shared" si="290"/>
        <v>0</v>
      </c>
      <c r="R2500" s="245">
        <f t="shared" si="291"/>
        <v>0</v>
      </c>
      <c r="S2500" s="246">
        <v>0.5</v>
      </c>
      <c r="T2500" s="245">
        <f t="shared" si="292"/>
        <v>0</v>
      </c>
      <c r="U2500" s="245">
        <f t="shared" si="293"/>
        <v>0</v>
      </c>
      <c r="V2500" s="247"/>
    </row>
    <row r="2501" spans="1:22" ht="15.75" x14ac:dyDescent="0.25">
      <c r="A2501" s="236"/>
      <c r="B2501" s="237"/>
      <c r="C2501" s="238"/>
      <c r="D2501" s="239"/>
      <c r="E2501" s="240"/>
      <c r="F2501" s="240"/>
      <c r="G2501" s="240"/>
      <c r="H2501" s="241">
        <f t="shared" si="288"/>
        <v>0</v>
      </c>
      <c r="I2501" s="242"/>
      <c r="J2501" s="243"/>
      <c r="K2501" s="243"/>
      <c r="L2501" s="244">
        <v>0.1</v>
      </c>
      <c r="M2501" s="244">
        <f t="shared" si="289"/>
        <v>0</v>
      </c>
      <c r="N2501" s="244"/>
      <c r="O2501" s="244"/>
      <c r="P2501" s="244"/>
      <c r="Q2501" s="245">
        <f t="shared" si="290"/>
        <v>0</v>
      </c>
      <c r="R2501" s="245">
        <f t="shared" si="291"/>
        <v>0</v>
      </c>
      <c r="S2501" s="246">
        <v>0.5</v>
      </c>
      <c r="T2501" s="245">
        <f t="shared" si="292"/>
        <v>0</v>
      </c>
      <c r="U2501" s="245">
        <f t="shared" si="293"/>
        <v>0</v>
      </c>
      <c r="V2501" s="247"/>
    </row>
    <row r="2502" spans="1:22" ht="15.75" x14ac:dyDescent="0.25">
      <c r="A2502" s="236"/>
      <c r="B2502" s="237"/>
      <c r="C2502" s="238"/>
      <c r="D2502" s="239"/>
      <c r="E2502" s="240"/>
      <c r="F2502" s="240"/>
      <c r="G2502" s="240"/>
      <c r="H2502" s="241">
        <f t="shared" si="288"/>
        <v>0</v>
      </c>
      <c r="I2502" s="242"/>
      <c r="J2502" s="243"/>
      <c r="K2502" s="243"/>
      <c r="L2502" s="244">
        <v>0.1</v>
      </c>
      <c r="M2502" s="244">
        <f t="shared" si="289"/>
        <v>0</v>
      </c>
      <c r="N2502" s="244"/>
      <c r="O2502" s="244"/>
      <c r="P2502" s="244"/>
      <c r="Q2502" s="245">
        <f t="shared" si="290"/>
        <v>0</v>
      </c>
      <c r="R2502" s="245">
        <f t="shared" si="291"/>
        <v>0</v>
      </c>
      <c r="S2502" s="246">
        <v>0.5</v>
      </c>
      <c r="T2502" s="245">
        <f t="shared" si="292"/>
        <v>0</v>
      </c>
      <c r="U2502" s="245">
        <f t="shared" si="293"/>
        <v>0</v>
      </c>
      <c r="V2502" s="247"/>
    </row>
    <row r="2503" spans="1:22" ht="15.75" x14ac:dyDescent="0.25">
      <c r="A2503" s="236"/>
      <c r="B2503" s="237"/>
      <c r="C2503" s="238"/>
      <c r="D2503" s="239"/>
      <c r="E2503" s="240"/>
      <c r="F2503" s="240"/>
      <c r="G2503" s="240"/>
      <c r="H2503" s="241">
        <f t="shared" si="288"/>
        <v>0</v>
      </c>
      <c r="I2503" s="242"/>
      <c r="J2503" s="243"/>
      <c r="K2503" s="243"/>
      <c r="L2503" s="244">
        <v>0.1</v>
      </c>
      <c r="M2503" s="244">
        <f t="shared" si="289"/>
        <v>0</v>
      </c>
      <c r="N2503" s="244"/>
      <c r="O2503" s="244"/>
      <c r="P2503" s="244"/>
      <c r="Q2503" s="245">
        <f t="shared" si="290"/>
        <v>0</v>
      </c>
      <c r="R2503" s="245">
        <f t="shared" si="291"/>
        <v>0</v>
      </c>
      <c r="S2503" s="246">
        <v>0.5</v>
      </c>
      <c r="T2503" s="245">
        <f t="shared" si="292"/>
        <v>0</v>
      </c>
      <c r="U2503" s="245">
        <f t="shared" si="293"/>
        <v>0</v>
      </c>
      <c r="V2503" s="247"/>
    </row>
    <row r="2504" spans="1:22" ht="15.75" x14ac:dyDescent="0.25">
      <c r="A2504" s="236"/>
      <c r="B2504" s="237"/>
      <c r="C2504" s="238"/>
      <c r="D2504" s="239"/>
      <c r="E2504" s="240"/>
      <c r="F2504" s="240"/>
      <c r="G2504" s="240"/>
      <c r="H2504" s="241">
        <f t="shared" si="288"/>
        <v>0</v>
      </c>
      <c r="I2504" s="242"/>
      <c r="J2504" s="243"/>
      <c r="K2504" s="243"/>
      <c r="L2504" s="244">
        <v>0.1</v>
      </c>
      <c r="M2504" s="244">
        <f t="shared" si="289"/>
        <v>0</v>
      </c>
      <c r="N2504" s="244"/>
      <c r="O2504" s="244"/>
      <c r="P2504" s="244"/>
      <c r="Q2504" s="245">
        <f t="shared" si="290"/>
        <v>0</v>
      </c>
      <c r="R2504" s="245">
        <f t="shared" si="291"/>
        <v>0</v>
      </c>
      <c r="S2504" s="246">
        <v>0.5</v>
      </c>
      <c r="T2504" s="245">
        <f t="shared" si="292"/>
        <v>0</v>
      </c>
      <c r="U2504" s="245">
        <f t="shared" si="293"/>
        <v>0</v>
      </c>
      <c r="V2504" s="247"/>
    </row>
    <row r="2505" spans="1:22" ht="15.75" x14ac:dyDescent="0.25">
      <c r="A2505" s="236"/>
      <c r="B2505" s="237"/>
      <c r="C2505" s="238"/>
      <c r="D2505" s="239"/>
      <c r="E2505" s="240"/>
      <c r="F2505" s="240"/>
      <c r="G2505" s="240"/>
      <c r="H2505" s="241">
        <f t="shared" si="288"/>
        <v>0</v>
      </c>
      <c r="I2505" s="242"/>
      <c r="J2505" s="243"/>
      <c r="K2505" s="243"/>
      <c r="L2505" s="244">
        <v>0.1</v>
      </c>
      <c r="M2505" s="244">
        <f t="shared" si="289"/>
        <v>0</v>
      </c>
      <c r="N2505" s="244"/>
      <c r="O2505" s="244"/>
      <c r="P2505" s="244"/>
      <c r="Q2505" s="245">
        <f t="shared" si="290"/>
        <v>0</v>
      </c>
      <c r="R2505" s="245">
        <f t="shared" si="291"/>
        <v>0</v>
      </c>
      <c r="S2505" s="246">
        <v>0.5</v>
      </c>
      <c r="T2505" s="245">
        <f t="shared" si="292"/>
        <v>0</v>
      </c>
      <c r="U2505" s="245">
        <f t="shared" si="293"/>
        <v>0</v>
      </c>
      <c r="V2505" s="247"/>
    </row>
    <row r="2506" spans="1:22" ht="15.75" x14ac:dyDescent="0.25">
      <c r="A2506" s="236"/>
      <c r="B2506" s="237"/>
      <c r="C2506" s="238"/>
      <c r="D2506" s="239"/>
      <c r="E2506" s="240"/>
      <c r="F2506" s="240"/>
      <c r="G2506" s="240"/>
      <c r="H2506" s="241">
        <f t="shared" si="288"/>
        <v>0</v>
      </c>
      <c r="I2506" s="242"/>
      <c r="J2506" s="243"/>
      <c r="K2506" s="243"/>
      <c r="L2506" s="244">
        <v>0.1</v>
      </c>
      <c r="M2506" s="244">
        <f t="shared" si="289"/>
        <v>0</v>
      </c>
      <c r="N2506" s="244"/>
      <c r="O2506" s="244"/>
      <c r="P2506" s="244"/>
      <c r="Q2506" s="245">
        <f t="shared" si="290"/>
        <v>0</v>
      </c>
      <c r="R2506" s="245">
        <f t="shared" si="291"/>
        <v>0</v>
      </c>
      <c r="S2506" s="246">
        <v>0.5</v>
      </c>
      <c r="T2506" s="245">
        <f t="shared" si="292"/>
        <v>0</v>
      </c>
      <c r="U2506" s="245">
        <f t="shared" si="293"/>
        <v>0</v>
      </c>
      <c r="V2506" s="247"/>
    </row>
    <row r="2507" spans="1:22" ht="15.75" x14ac:dyDescent="0.25">
      <c r="A2507" s="236"/>
      <c r="B2507" s="237"/>
      <c r="C2507" s="238"/>
      <c r="D2507" s="239"/>
      <c r="E2507" s="240"/>
      <c r="F2507" s="240"/>
      <c r="G2507" s="240"/>
      <c r="H2507" s="241">
        <f t="shared" si="288"/>
        <v>0</v>
      </c>
      <c r="I2507" s="242"/>
      <c r="J2507" s="243"/>
      <c r="K2507" s="243"/>
      <c r="L2507" s="244">
        <v>0.1</v>
      </c>
      <c r="M2507" s="244">
        <f t="shared" si="289"/>
        <v>0</v>
      </c>
      <c r="N2507" s="244"/>
      <c r="O2507" s="244"/>
      <c r="P2507" s="244"/>
      <c r="Q2507" s="245">
        <f t="shared" si="290"/>
        <v>0</v>
      </c>
      <c r="R2507" s="245">
        <f t="shared" si="291"/>
        <v>0</v>
      </c>
      <c r="S2507" s="246">
        <v>0.5</v>
      </c>
      <c r="T2507" s="245">
        <f t="shared" si="292"/>
        <v>0</v>
      </c>
      <c r="U2507" s="245">
        <f t="shared" si="293"/>
        <v>0</v>
      </c>
      <c r="V2507" s="247"/>
    </row>
    <row r="2508" spans="1:22" ht="15.75" x14ac:dyDescent="0.25">
      <c r="A2508" s="236"/>
      <c r="B2508" s="237"/>
      <c r="C2508" s="238"/>
      <c r="D2508" s="239"/>
      <c r="E2508" s="240"/>
      <c r="F2508" s="240"/>
      <c r="G2508" s="240"/>
      <c r="H2508" s="241">
        <f t="shared" si="288"/>
        <v>0</v>
      </c>
      <c r="I2508" s="242"/>
      <c r="J2508" s="243"/>
      <c r="K2508" s="243"/>
      <c r="L2508" s="244">
        <v>0.1</v>
      </c>
      <c r="M2508" s="244">
        <f t="shared" si="289"/>
        <v>0</v>
      </c>
      <c r="N2508" s="244"/>
      <c r="O2508" s="244"/>
      <c r="P2508" s="244"/>
      <c r="Q2508" s="245">
        <f t="shared" si="290"/>
        <v>0</v>
      </c>
      <c r="R2508" s="245">
        <f t="shared" si="291"/>
        <v>0</v>
      </c>
      <c r="S2508" s="246">
        <v>0.5</v>
      </c>
      <c r="T2508" s="245">
        <f t="shared" si="292"/>
        <v>0</v>
      </c>
      <c r="U2508" s="245">
        <f t="shared" si="293"/>
        <v>0</v>
      </c>
      <c r="V2508" s="247"/>
    </row>
    <row r="2509" spans="1:22" ht="15.75" x14ac:dyDescent="0.25">
      <c r="A2509" s="236"/>
      <c r="B2509" s="237"/>
      <c r="C2509" s="238"/>
      <c r="D2509" s="239"/>
      <c r="E2509" s="240"/>
      <c r="F2509" s="240"/>
      <c r="G2509" s="240"/>
      <c r="H2509" s="241">
        <f t="shared" si="288"/>
        <v>0</v>
      </c>
      <c r="I2509" s="242"/>
      <c r="J2509" s="243"/>
      <c r="K2509" s="243"/>
      <c r="L2509" s="244">
        <v>0.1</v>
      </c>
      <c r="M2509" s="244">
        <f t="shared" si="289"/>
        <v>0</v>
      </c>
      <c r="N2509" s="244"/>
      <c r="O2509" s="244"/>
      <c r="P2509" s="244"/>
      <c r="Q2509" s="245">
        <f t="shared" si="290"/>
        <v>0</v>
      </c>
      <c r="R2509" s="245">
        <f t="shared" si="291"/>
        <v>0</v>
      </c>
      <c r="S2509" s="246">
        <v>0.5</v>
      </c>
      <c r="T2509" s="245">
        <f t="shared" si="292"/>
        <v>0</v>
      </c>
      <c r="U2509" s="245">
        <f t="shared" si="293"/>
        <v>0</v>
      </c>
      <c r="V2509" s="247"/>
    </row>
    <row r="2510" spans="1:22" ht="15.75" x14ac:dyDescent="0.25">
      <c r="A2510" s="236"/>
      <c r="B2510" s="237"/>
      <c r="C2510" s="238"/>
      <c r="D2510" s="239"/>
      <c r="E2510" s="240"/>
      <c r="F2510" s="240"/>
      <c r="G2510" s="240"/>
      <c r="H2510" s="241">
        <f t="shared" si="288"/>
        <v>0</v>
      </c>
      <c r="I2510" s="242"/>
      <c r="J2510" s="243"/>
      <c r="K2510" s="243"/>
      <c r="L2510" s="244">
        <v>0.1</v>
      </c>
      <c r="M2510" s="244">
        <f t="shared" si="289"/>
        <v>0</v>
      </c>
      <c r="N2510" s="244"/>
      <c r="O2510" s="244"/>
      <c r="P2510" s="244"/>
      <c r="Q2510" s="245">
        <f t="shared" si="290"/>
        <v>0</v>
      </c>
      <c r="R2510" s="245">
        <f t="shared" si="291"/>
        <v>0</v>
      </c>
      <c r="S2510" s="246">
        <v>0.5</v>
      </c>
      <c r="T2510" s="245">
        <f t="shared" si="292"/>
        <v>0</v>
      </c>
      <c r="U2510" s="245">
        <f t="shared" si="293"/>
        <v>0</v>
      </c>
      <c r="V2510" s="247"/>
    </row>
    <row r="2511" spans="1:22" ht="15.75" x14ac:dyDescent="0.25">
      <c r="A2511" s="236"/>
      <c r="B2511" s="237"/>
      <c r="C2511" s="238"/>
      <c r="D2511" s="239"/>
      <c r="E2511" s="240"/>
      <c r="F2511" s="240"/>
      <c r="G2511" s="240"/>
      <c r="H2511" s="241">
        <f t="shared" si="288"/>
        <v>0</v>
      </c>
      <c r="I2511" s="242"/>
      <c r="J2511" s="243"/>
      <c r="K2511" s="243"/>
      <c r="L2511" s="244">
        <v>0.1</v>
      </c>
      <c r="M2511" s="244">
        <f t="shared" si="289"/>
        <v>0</v>
      </c>
      <c r="N2511" s="244"/>
      <c r="O2511" s="244"/>
      <c r="P2511" s="244"/>
      <c r="Q2511" s="245">
        <f t="shared" si="290"/>
        <v>0</v>
      </c>
      <c r="R2511" s="245">
        <f t="shared" si="291"/>
        <v>0</v>
      </c>
      <c r="S2511" s="246">
        <v>0.5</v>
      </c>
      <c r="T2511" s="245">
        <f t="shared" si="292"/>
        <v>0</v>
      </c>
      <c r="U2511" s="245">
        <f t="shared" si="293"/>
        <v>0</v>
      </c>
      <c r="V2511" s="247"/>
    </row>
    <row r="2512" spans="1:22" ht="15.75" x14ac:dyDescent="0.25">
      <c r="A2512" s="236"/>
      <c r="B2512" s="237"/>
      <c r="C2512" s="238"/>
      <c r="D2512" s="239"/>
      <c r="E2512" s="240"/>
      <c r="F2512" s="240"/>
      <c r="G2512" s="240"/>
      <c r="H2512" s="241">
        <f t="shared" si="288"/>
        <v>0</v>
      </c>
      <c r="I2512" s="242"/>
      <c r="J2512" s="243"/>
      <c r="K2512" s="243"/>
      <c r="L2512" s="244">
        <v>0.1</v>
      </c>
      <c r="M2512" s="244">
        <f t="shared" si="289"/>
        <v>0</v>
      </c>
      <c r="N2512" s="244"/>
      <c r="O2512" s="244"/>
      <c r="P2512" s="244"/>
      <c r="Q2512" s="245">
        <f t="shared" si="290"/>
        <v>0</v>
      </c>
      <c r="R2512" s="245">
        <f t="shared" si="291"/>
        <v>0</v>
      </c>
      <c r="S2512" s="246">
        <v>0.5</v>
      </c>
      <c r="T2512" s="245">
        <f t="shared" si="292"/>
        <v>0</v>
      </c>
      <c r="U2512" s="245">
        <f t="shared" si="293"/>
        <v>0</v>
      </c>
      <c r="V2512" s="247"/>
    </row>
    <row r="2513" spans="1:22" ht="15.75" x14ac:dyDescent="0.25">
      <c r="A2513" s="236"/>
      <c r="B2513" s="237"/>
      <c r="C2513" s="238"/>
      <c r="D2513" s="239"/>
      <c r="E2513" s="240"/>
      <c r="F2513" s="240"/>
      <c r="G2513" s="240"/>
      <c r="H2513" s="241">
        <f t="shared" si="288"/>
        <v>0</v>
      </c>
      <c r="I2513" s="242"/>
      <c r="J2513" s="243"/>
      <c r="K2513" s="243"/>
      <c r="L2513" s="244">
        <v>0.1</v>
      </c>
      <c r="M2513" s="244">
        <f t="shared" si="289"/>
        <v>0</v>
      </c>
      <c r="N2513" s="244"/>
      <c r="O2513" s="244"/>
      <c r="P2513" s="244"/>
      <c r="Q2513" s="245">
        <f t="shared" si="290"/>
        <v>0</v>
      </c>
      <c r="R2513" s="245">
        <f t="shared" si="291"/>
        <v>0</v>
      </c>
      <c r="S2513" s="246">
        <v>0.5</v>
      </c>
      <c r="T2513" s="245">
        <f t="shared" si="292"/>
        <v>0</v>
      </c>
      <c r="U2513" s="245">
        <f t="shared" si="293"/>
        <v>0</v>
      </c>
      <c r="V2513" s="247"/>
    </row>
    <row r="2514" spans="1:22" ht="15.75" x14ac:dyDescent="0.25">
      <c r="A2514" s="236"/>
      <c r="B2514" s="237"/>
      <c r="C2514" s="238"/>
      <c r="D2514" s="239"/>
      <c r="E2514" s="240"/>
      <c r="F2514" s="240"/>
      <c r="G2514" s="240"/>
      <c r="H2514" s="241">
        <f t="shared" si="288"/>
        <v>0</v>
      </c>
      <c r="I2514" s="242"/>
      <c r="J2514" s="243"/>
      <c r="K2514" s="243"/>
      <c r="L2514" s="244">
        <v>0.1</v>
      </c>
      <c r="M2514" s="244">
        <f t="shared" si="289"/>
        <v>0</v>
      </c>
      <c r="N2514" s="244"/>
      <c r="O2514" s="244"/>
      <c r="P2514" s="244"/>
      <c r="Q2514" s="245">
        <f t="shared" si="290"/>
        <v>0</v>
      </c>
      <c r="R2514" s="245">
        <f t="shared" si="291"/>
        <v>0</v>
      </c>
      <c r="S2514" s="246">
        <v>0.5</v>
      </c>
      <c r="T2514" s="245">
        <f t="shared" si="292"/>
        <v>0</v>
      </c>
      <c r="U2514" s="245">
        <f t="shared" si="293"/>
        <v>0</v>
      </c>
      <c r="V2514" s="247"/>
    </row>
    <row r="2515" spans="1:22" ht="15.75" x14ac:dyDescent="0.25">
      <c r="A2515" s="236"/>
      <c r="B2515" s="237"/>
      <c r="C2515" s="238"/>
      <c r="D2515" s="239"/>
      <c r="E2515" s="240"/>
      <c r="F2515" s="240"/>
      <c r="G2515" s="240"/>
      <c r="H2515" s="241">
        <f t="shared" si="288"/>
        <v>0</v>
      </c>
      <c r="I2515" s="242"/>
      <c r="J2515" s="243"/>
      <c r="K2515" s="243"/>
      <c r="L2515" s="244">
        <v>0.1</v>
      </c>
      <c r="M2515" s="244">
        <f t="shared" si="289"/>
        <v>0</v>
      </c>
      <c r="N2515" s="244"/>
      <c r="O2515" s="244"/>
      <c r="P2515" s="244"/>
      <c r="Q2515" s="245">
        <f t="shared" si="290"/>
        <v>0</v>
      </c>
      <c r="R2515" s="245">
        <f t="shared" si="291"/>
        <v>0</v>
      </c>
      <c r="S2515" s="246">
        <v>0.5</v>
      </c>
      <c r="T2515" s="245">
        <f t="shared" si="292"/>
        <v>0</v>
      </c>
      <c r="U2515" s="245">
        <f t="shared" si="293"/>
        <v>0</v>
      </c>
      <c r="V2515" s="247"/>
    </row>
    <row r="2516" spans="1:22" ht="15.75" x14ac:dyDescent="0.25">
      <c r="A2516" s="236"/>
      <c r="B2516" s="237"/>
      <c r="C2516" s="238"/>
      <c r="D2516" s="239"/>
      <c r="E2516" s="240"/>
      <c r="F2516" s="240"/>
      <c r="G2516" s="240"/>
      <c r="H2516" s="241">
        <f t="shared" si="288"/>
        <v>0</v>
      </c>
      <c r="I2516" s="242"/>
      <c r="J2516" s="243"/>
      <c r="K2516" s="243"/>
      <c r="L2516" s="244">
        <v>0.1</v>
      </c>
      <c r="M2516" s="244">
        <f t="shared" si="289"/>
        <v>0</v>
      </c>
      <c r="N2516" s="244"/>
      <c r="O2516" s="244"/>
      <c r="P2516" s="244"/>
      <c r="Q2516" s="245">
        <f t="shared" si="290"/>
        <v>0</v>
      </c>
      <c r="R2516" s="245">
        <f t="shared" si="291"/>
        <v>0</v>
      </c>
      <c r="S2516" s="246">
        <v>0.5</v>
      </c>
      <c r="T2516" s="245">
        <f t="shared" si="292"/>
        <v>0</v>
      </c>
      <c r="U2516" s="245">
        <f t="shared" si="293"/>
        <v>0</v>
      </c>
      <c r="V2516" s="247"/>
    </row>
    <row r="2517" spans="1:22" ht="15.75" x14ac:dyDescent="0.25">
      <c r="A2517" s="236"/>
      <c r="B2517" s="237"/>
      <c r="C2517" s="238"/>
      <c r="D2517" s="239"/>
      <c r="E2517" s="240"/>
      <c r="F2517" s="240"/>
      <c r="G2517" s="240"/>
      <c r="H2517" s="241">
        <f t="shared" si="288"/>
        <v>0</v>
      </c>
      <c r="I2517" s="242"/>
      <c r="J2517" s="243"/>
      <c r="K2517" s="243"/>
      <c r="L2517" s="244">
        <v>0.1</v>
      </c>
      <c r="M2517" s="244">
        <f t="shared" si="289"/>
        <v>0</v>
      </c>
      <c r="N2517" s="244"/>
      <c r="O2517" s="244"/>
      <c r="P2517" s="244"/>
      <c r="Q2517" s="245">
        <f t="shared" si="290"/>
        <v>0</v>
      </c>
      <c r="R2517" s="245">
        <f t="shared" si="291"/>
        <v>0</v>
      </c>
      <c r="S2517" s="246">
        <v>0.5</v>
      </c>
      <c r="T2517" s="245">
        <f t="shared" si="292"/>
        <v>0</v>
      </c>
      <c r="U2517" s="245">
        <f t="shared" si="293"/>
        <v>0</v>
      </c>
      <c r="V2517" s="247"/>
    </row>
    <row r="2518" spans="1:22" ht="15.75" x14ac:dyDescent="0.25">
      <c r="A2518" s="236"/>
      <c r="B2518" s="237"/>
      <c r="C2518" s="238"/>
      <c r="D2518" s="239"/>
      <c r="E2518" s="240"/>
      <c r="F2518" s="240"/>
      <c r="G2518" s="240"/>
      <c r="H2518" s="241">
        <f t="shared" si="288"/>
        <v>0</v>
      </c>
      <c r="I2518" s="242"/>
      <c r="J2518" s="243"/>
      <c r="K2518" s="243"/>
      <c r="L2518" s="244">
        <v>0.1</v>
      </c>
      <c r="M2518" s="244">
        <f t="shared" si="289"/>
        <v>0</v>
      </c>
      <c r="N2518" s="244"/>
      <c r="O2518" s="244"/>
      <c r="P2518" s="244"/>
      <c r="Q2518" s="245">
        <f t="shared" si="290"/>
        <v>0</v>
      </c>
      <c r="R2518" s="245">
        <f t="shared" si="291"/>
        <v>0</v>
      </c>
      <c r="S2518" s="246">
        <v>0.5</v>
      </c>
      <c r="T2518" s="245">
        <f t="shared" si="292"/>
        <v>0</v>
      </c>
      <c r="U2518" s="245">
        <f t="shared" si="293"/>
        <v>0</v>
      </c>
      <c r="V2518" s="247"/>
    </row>
    <row r="2519" spans="1:22" ht="15.75" x14ac:dyDescent="0.25">
      <c r="A2519" s="236"/>
      <c r="B2519" s="237"/>
      <c r="C2519" s="238"/>
      <c r="D2519" s="239"/>
      <c r="E2519" s="240"/>
      <c r="F2519" s="240"/>
      <c r="G2519" s="240"/>
      <c r="H2519" s="241">
        <f t="shared" si="288"/>
        <v>0</v>
      </c>
      <c r="I2519" s="242"/>
      <c r="J2519" s="243"/>
      <c r="K2519" s="243"/>
      <c r="L2519" s="244">
        <v>0.1</v>
      </c>
      <c r="M2519" s="244">
        <f t="shared" si="289"/>
        <v>0</v>
      </c>
      <c r="N2519" s="244"/>
      <c r="O2519" s="244"/>
      <c r="P2519" s="244"/>
      <c r="Q2519" s="245">
        <f t="shared" si="290"/>
        <v>0</v>
      </c>
      <c r="R2519" s="245">
        <f t="shared" si="291"/>
        <v>0</v>
      </c>
      <c r="S2519" s="246">
        <v>0.5</v>
      </c>
      <c r="T2519" s="245">
        <f t="shared" si="292"/>
        <v>0</v>
      </c>
      <c r="U2519" s="245">
        <f t="shared" si="293"/>
        <v>0</v>
      </c>
      <c r="V2519" s="247"/>
    </row>
    <row r="2520" spans="1:22" ht="15.75" x14ac:dyDescent="0.25">
      <c r="A2520" s="236"/>
      <c r="B2520" s="237"/>
      <c r="C2520" s="238"/>
      <c r="D2520" s="239"/>
      <c r="E2520" s="240"/>
      <c r="F2520" s="240"/>
      <c r="G2520" s="240"/>
      <c r="H2520" s="241">
        <f t="shared" si="288"/>
        <v>0</v>
      </c>
      <c r="I2520" s="242"/>
      <c r="J2520" s="243"/>
      <c r="K2520" s="243"/>
      <c r="L2520" s="244">
        <v>0.1</v>
      </c>
      <c r="M2520" s="244">
        <f t="shared" si="289"/>
        <v>0</v>
      </c>
      <c r="N2520" s="244"/>
      <c r="O2520" s="244"/>
      <c r="P2520" s="244"/>
      <c r="Q2520" s="245">
        <f t="shared" si="290"/>
        <v>0</v>
      </c>
      <c r="R2520" s="245">
        <f t="shared" si="291"/>
        <v>0</v>
      </c>
      <c r="S2520" s="246">
        <v>0.5</v>
      </c>
      <c r="T2520" s="245">
        <f t="shared" si="292"/>
        <v>0</v>
      </c>
      <c r="U2520" s="245">
        <f t="shared" si="293"/>
        <v>0</v>
      </c>
      <c r="V2520" s="247"/>
    </row>
    <row r="2521" spans="1:22" ht="15.75" x14ac:dyDescent="0.25">
      <c r="A2521" s="236"/>
      <c r="B2521" s="237"/>
      <c r="C2521" s="238"/>
      <c r="D2521" s="239"/>
      <c r="E2521" s="240"/>
      <c r="F2521" s="240"/>
      <c r="G2521" s="240"/>
      <c r="H2521" s="241">
        <f t="shared" si="288"/>
        <v>0</v>
      </c>
      <c r="I2521" s="242"/>
      <c r="J2521" s="243"/>
      <c r="K2521" s="243"/>
      <c r="L2521" s="244">
        <v>0.1</v>
      </c>
      <c r="M2521" s="244">
        <f t="shared" si="289"/>
        <v>0</v>
      </c>
      <c r="N2521" s="244"/>
      <c r="O2521" s="244"/>
      <c r="P2521" s="244"/>
      <c r="Q2521" s="245">
        <f t="shared" si="290"/>
        <v>0</v>
      </c>
      <c r="R2521" s="245">
        <f t="shared" si="291"/>
        <v>0</v>
      </c>
      <c r="S2521" s="246">
        <v>0.5</v>
      </c>
      <c r="T2521" s="245">
        <f t="shared" si="292"/>
        <v>0</v>
      </c>
      <c r="U2521" s="245">
        <f t="shared" si="293"/>
        <v>0</v>
      </c>
      <c r="V2521" s="247"/>
    </row>
    <row r="2522" spans="1:22" ht="15.75" x14ac:dyDescent="0.25">
      <c r="A2522" s="236"/>
      <c r="B2522" s="237"/>
      <c r="C2522" s="238"/>
      <c r="D2522" s="239"/>
      <c r="E2522" s="240"/>
      <c r="F2522" s="240"/>
      <c r="G2522" s="240"/>
      <c r="H2522" s="241">
        <f t="shared" si="288"/>
        <v>0</v>
      </c>
      <c r="I2522" s="242"/>
      <c r="J2522" s="243"/>
      <c r="K2522" s="243"/>
      <c r="L2522" s="244">
        <v>0.1</v>
      </c>
      <c r="M2522" s="244">
        <f t="shared" si="289"/>
        <v>0</v>
      </c>
      <c r="N2522" s="244"/>
      <c r="O2522" s="244"/>
      <c r="P2522" s="244"/>
      <c r="Q2522" s="245">
        <f t="shared" si="290"/>
        <v>0</v>
      </c>
      <c r="R2522" s="245">
        <f t="shared" si="291"/>
        <v>0</v>
      </c>
      <c r="S2522" s="246">
        <v>0.5</v>
      </c>
      <c r="T2522" s="245">
        <f t="shared" si="292"/>
        <v>0</v>
      </c>
      <c r="U2522" s="245">
        <f t="shared" si="293"/>
        <v>0</v>
      </c>
      <c r="V2522" s="247"/>
    </row>
    <row r="2523" spans="1:22" ht="15.75" x14ac:dyDescent="0.25">
      <c r="A2523" s="236"/>
      <c r="B2523" s="237"/>
      <c r="C2523" s="238"/>
      <c r="D2523" s="239"/>
      <c r="E2523" s="240"/>
      <c r="F2523" s="240"/>
      <c r="G2523" s="240"/>
      <c r="H2523" s="241">
        <f t="shared" si="288"/>
        <v>0</v>
      </c>
      <c r="I2523" s="242"/>
      <c r="J2523" s="243"/>
      <c r="K2523" s="243"/>
      <c r="L2523" s="244">
        <v>0.1</v>
      </c>
      <c r="M2523" s="244">
        <f t="shared" si="289"/>
        <v>0</v>
      </c>
      <c r="N2523" s="244"/>
      <c r="O2523" s="244"/>
      <c r="P2523" s="244"/>
      <c r="Q2523" s="245">
        <f t="shared" si="290"/>
        <v>0</v>
      </c>
      <c r="R2523" s="245">
        <f t="shared" si="291"/>
        <v>0</v>
      </c>
      <c r="S2523" s="246">
        <v>0.5</v>
      </c>
      <c r="T2523" s="245">
        <f t="shared" si="292"/>
        <v>0</v>
      </c>
      <c r="U2523" s="245">
        <f t="shared" si="293"/>
        <v>0</v>
      </c>
      <c r="V2523" s="247"/>
    </row>
    <row r="2524" spans="1:22" ht="15.75" x14ac:dyDescent="0.25">
      <c r="A2524" s="236"/>
      <c r="B2524" s="237"/>
      <c r="C2524" s="238"/>
      <c r="D2524" s="239"/>
      <c r="E2524" s="240"/>
      <c r="F2524" s="240"/>
      <c r="G2524" s="240"/>
      <c r="H2524" s="241">
        <f t="shared" si="288"/>
        <v>0</v>
      </c>
      <c r="I2524" s="242"/>
      <c r="J2524" s="243"/>
      <c r="K2524" s="243"/>
      <c r="L2524" s="244">
        <v>0.1</v>
      </c>
      <c r="M2524" s="244">
        <f t="shared" si="289"/>
        <v>0</v>
      </c>
      <c r="N2524" s="244"/>
      <c r="O2524" s="244"/>
      <c r="P2524" s="244"/>
      <c r="Q2524" s="245">
        <f t="shared" si="290"/>
        <v>0</v>
      </c>
      <c r="R2524" s="245">
        <f t="shared" si="291"/>
        <v>0</v>
      </c>
      <c r="S2524" s="246">
        <v>0.5</v>
      </c>
      <c r="T2524" s="245">
        <f t="shared" si="292"/>
        <v>0</v>
      </c>
      <c r="U2524" s="245">
        <f t="shared" si="293"/>
        <v>0</v>
      </c>
      <c r="V2524" s="247"/>
    </row>
    <row r="2525" spans="1:22" ht="15.75" x14ac:dyDescent="0.25">
      <c r="A2525" s="236"/>
      <c r="B2525" s="237"/>
      <c r="C2525" s="238"/>
      <c r="D2525" s="239"/>
      <c r="E2525" s="240"/>
      <c r="F2525" s="240"/>
      <c r="G2525" s="240"/>
      <c r="H2525" s="241">
        <f t="shared" si="288"/>
        <v>0</v>
      </c>
      <c r="I2525" s="242"/>
      <c r="J2525" s="243"/>
      <c r="K2525" s="243"/>
      <c r="L2525" s="244">
        <v>0.1</v>
      </c>
      <c r="M2525" s="244">
        <f t="shared" si="289"/>
        <v>0</v>
      </c>
      <c r="N2525" s="244"/>
      <c r="O2525" s="244"/>
      <c r="P2525" s="244"/>
      <c r="Q2525" s="245">
        <f t="shared" si="290"/>
        <v>0</v>
      </c>
      <c r="R2525" s="245">
        <f t="shared" si="291"/>
        <v>0</v>
      </c>
      <c r="S2525" s="246">
        <v>0.5</v>
      </c>
      <c r="T2525" s="245">
        <f t="shared" si="292"/>
        <v>0</v>
      </c>
      <c r="U2525" s="245">
        <f t="shared" si="293"/>
        <v>0</v>
      </c>
      <c r="V2525" s="247"/>
    </row>
    <row r="2526" spans="1:22" ht="15.75" x14ac:dyDescent="0.25">
      <c r="A2526" s="236"/>
      <c r="B2526" s="237"/>
      <c r="C2526" s="238"/>
      <c r="D2526" s="239"/>
      <c r="E2526" s="240"/>
      <c r="F2526" s="240"/>
      <c r="G2526" s="240"/>
      <c r="H2526" s="241">
        <f t="shared" si="288"/>
        <v>0</v>
      </c>
      <c r="I2526" s="242"/>
      <c r="J2526" s="243"/>
      <c r="K2526" s="243"/>
      <c r="L2526" s="244">
        <v>0.1</v>
      </c>
      <c r="M2526" s="244">
        <f t="shared" si="289"/>
        <v>0</v>
      </c>
      <c r="N2526" s="244"/>
      <c r="O2526" s="244"/>
      <c r="P2526" s="244"/>
      <c r="Q2526" s="245">
        <f t="shared" si="290"/>
        <v>0</v>
      </c>
      <c r="R2526" s="245">
        <f t="shared" si="291"/>
        <v>0</v>
      </c>
      <c r="S2526" s="246">
        <v>0.5</v>
      </c>
      <c r="T2526" s="245">
        <f t="shared" si="292"/>
        <v>0</v>
      </c>
      <c r="U2526" s="245">
        <f t="shared" si="293"/>
        <v>0</v>
      </c>
      <c r="V2526" s="247"/>
    </row>
    <row r="2527" spans="1:22" ht="15.75" x14ac:dyDescent="0.25">
      <c r="A2527" s="236"/>
      <c r="B2527" s="237"/>
      <c r="C2527" s="238"/>
      <c r="D2527" s="239"/>
      <c r="E2527" s="240"/>
      <c r="F2527" s="240"/>
      <c r="G2527" s="240"/>
      <c r="H2527" s="241">
        <f t="shared" si="288"/>
        <v>0</v>
      </c>
      <c r="I2527" s="242"/>
      <c r="J2527" s="243"/>
      <c r="K2527" s="243"/>
      <c r="L2527" s="244">
        <v>0.1</v>
      </c>
      <c r="M2527" s="244">
        <f t="shared" si="289"/>
        <v>0</v>
      </c>
      <c r="N2527" s="244"/>
      <c r="O2527" s="244"/>
      <c r="P2527" s="244"/>
      <c r="Q2527" s="245">
        <f t="shared" si="290"/>
        <v>0</v>
      </c>
      <c r="R2527" s="245">
        <f t="shared" si="291"/>
        <v>0</v>
      </c>
      <c r="S2527" s="246">
        <v>0.5</v>
      </c>
      <c r="T2527" s="245">
        <f t="shared" si="292"/>
        <v>0</v>
      </c>
      <c r="U2527" s="245">
        <f t="shared" si="293"/>
        <v>0</v>
      </c>
      <c r="V2527" s="247"/>
    </row>
    <row r="2528" spans="1:22" ht="15.75" x14ac:dyDescent="0.25">
      <c r="A2528" s="236"/>
      <c r="B2528" s="237"/>
      <c r="C2528" s="238"/>
      <c r="D2528" s="239"/>
      <c r="E2528" s="240"/>
      <c r="F2528" s="240"/>
      <c r="G2528" s="240"/>
      <c r="H2528" s="241">
        <f t="shared" si="288"/>
        <v>0</v>
      </c>
      <c r="I2528" s="242"/>
      <c r="J2528" s="243"/>
      <c r="K2528" s="243"/>
      <c r="L2528" s="244">
        <v>0.1</v>
      </c>
      <c r="M2528" s="244">
        <f t="shared" si="289"/>
        <v>0</v>
      </c>
      <c r="N2528" s="244"/>
      <c r="O2528" s="244"/>
      <c r="P2528" s="244"/>
      <c r="Q2528" s="245">
        <f t="shared" si="290"/>
        <v>0</v>
      </c>
      <c r="R2528" s="245">
        <f t="shared" si="291"/>
        <v>0</v>
      </c>
      <c r="S2528" s="246">
        <v>0.5</v>
      </c>
      <c r="T2528" s="245">
        <f t="shared" si="292"/>
        <v>0</v>
      </c>
      <c r="U2528" s="245">
        <f t="shared" si="293"/>
        <v>0</v>
      </c>
      <c r="V2528" s="247"/>
    </row>
    <row r="2529" spans="1:22" ht="15.75" x14ac:dyDescent="0.25">
      <c r="A2529" s="236"/>
      <c r="B2529" s="237"/>
      <c r="C2529" s="238"/>
      <c r="D2529" s="239"/>
      <c r="E2529" s="240"/>
      <c r="F2529" s="240"/>
      <c r="G2529" s="240"/>
      <c r="H2529" s="241">
        <f t="shared" si="288"/>
        <v>0</v>
      </c>
      <c r="I2529" s="242"/>
      <c r="J2529" s="243"/>
      <c r="K2529" s="243"/>
      <c r="L2529" s="244">
        <v>0.1</v>
      </c>
      <c r="M2529" s="244">
        <f t="shared" si="289"/>
        <v>0</v>
      </c>
      <c r="N2529" s="244"/>
      <c r="O2529" s="244"/>
      <c r="P2529" s="244"/>
      <c r="Q2529" s="245">
        <f t="shared" si="290"/>
        <v>0</v>
      </c>
      <c r="R2529" s="245">
        <f t="shared" si="291"/>
        <v>0</v>
      </c>
      <c r="S2529" s="246">
        <v>0.5</v>
      </c>
      <c r="T2529" s="245">
        <f t="shared" si="292"/>
        <v>0</v>
      </c>
      <c r="U2529" s="245">
        <f t="shared" si="293"/>
        <v>0</v>
      </c>
      <c r="V2529" s="247"/>
    </row>
    <row r="2530" spans="1:22" ht="15.75" x14ac:dyDescent="0.25">
      <c r="A2530" s="236"/>
      <c r="B2530" s="237"/>
      <c r="C2530" s="238"/>
      <c r="D2530" s="239"/>
      <c r="E2530" s="240"/>
      <c r="F2530" s="240"/>
      <c r="G2530" s="240"/>
      <c r="H2530" s="241">
        <f t="shared" si="288"/>
        <v>0</v>
      </c>
      <c r="I2530" s="242"/>
      <c r="J2530" s="243"/>
      <c r="K2530" s="243"/>
      <c r="L2530" s="244">
        <v>0.1</v>
      </c>
      <c r="M2530" s="244">
        <f t="shared" si="289"/>
        <v>0</v>
      </c>
      <c r="N2530" s="244"/>
      <c r="O2530" s="244"/>
      <c r="P2530" s="244"/>
      <c r="Q2530" s="245">
        <f t="shared" si="290"/>
        <v>0</v>
      </c>
      <c r="R2530" s="245">
        <f t="shared" si="291"/>
        <v>0</v>
      </c>
      <c r="S2530" s="246">
        <v>0.5</v>
      </c>
      <c r="T2530" s="245">
        <f t="shared" si="292"/>
        <v>0</v>
      </c>
      <c r="U2530" s="245">
        <f t="shared" si="293"/>
        <v>0</v>
      </c>
      <c r="V2530" s="247"/>
    </row>
    <row r="2531" spans="1:22" ht="15.75" x14ac:dyDescent="0.25">
      <c r="A2531" s="236"/>
      <c r="B2531" s="237"/>
      <c r="C2531" s="238"/>
      <c r="D2531" s="239"/>
      <c r="E2531" s="240"/>
      <c r="F2531" s="240"/>
      <c r="G2531" s="240"/>
      <c r="H2531" s="241">
        <f t="shared" si="288"/>
        <v>0</v>
      </c>
      <c r="I2531" s="242"/>
      <c r="J2531" s="243"/>
      <c r="K2531" s="243"/>
      <c r="L2531" s="244">
        <v>0.1</v>
      </c>
      <c r="M2531" s="244">
        <f t="shared" si="289"/>
        <v>0</v>
      </c>
      <c r="N2531" s="244"/>
      <c r="O2531" s="244"/>
      <c r="P2531" s="244"/>
      <c r="Q2531" s="245">
        <f t="shared" si="290"/>
        <v>0</v>
      </c>
      <c r="R2531" s="245">
        <f t="shared" si="291"/>
        <v>0</v>
      </c>
      <c r="S2531" s="246">
        <v>0.5</v>
      </c>
      <c r="T2531" s="245">
        <f t="shared" si="292"/>
        <v>0</v>
      </c>
      <c r="U2531" s="245">
        <f t="shared" si="293"/>
        <v>0</v>
      </c>
      <c r="V2531" s="247"/>
    </row>
    <row r="2532" spans="1:22" ht="15.75" x14ac:dyDescent="0.25">
      <c r="A2532" s="236"/>
      <c r="B2532" s="237"/>
      <c r="C2532" s="238"/>
      <c r="D2532" s="239"/>
      <c r="E2532" s="240"/>
      <c r="F2532" s="240"/>
      <c r="G2532" s="240"/>
      <c r="H2532" s="241">
        <f t="shared" si="288"/>
        <v>0</v>
      </c>
      <c r="I2532" s="242"/>
      <c r="J2532" s="243"/>
      <c r="K2532" s="243"/>
      <c r="L2532" s="244">
        <v>0.1</v>
      </c>
      <c r="M2532" s="244">
        <f t="shared" si="289"/>
        <v>0</v>
      </c>
      <c r="N2532" s="244"/>
      <c r="O2532" s="244"/>
      <c r="P2532" s="244"/>
      <c r="Q2532" s="245">
        <f t="shared" si="290"/>
        <v>0</v>
      </c>
      <c r="R2532" s="245">
        <f t="shared" si="291"/>
        <v>0</v>
      </c>
      <c r="S2532" s="246">
        <v>0.5</v>
      </c>
      <c r="T2532" s="245">
        <f t="shared" si="292"/>
        <v>0</v>
      </c>
      <c r="U2532" s="245">
        <f t="shared" si="293"/>
        <v>0</v>
      </c>
      <c r="V2532" s="247"/>
    </row>
    <row r="2533" spans="1:22" ht="15.75" x14ac:dyDescent="0.25">
      <c r="A2533" s="236"/>
      <c r="B2533" s="237"/>
      <c r="C2533" s="238"/>
      <c r="D2533" s="239"/>
      <c r="E2533" s="240"/>
      <c r="F2533" s="240"/>
      <c r="G2533" s="240"/>
      <c r="H2533" s="241">
        <f t="shared" si="288"/>
        <v>0</v>
      </c>
      <c r="I2533" s="242"/>
      <c r="J2533" s="243"/>
      <c r="K2533" s="243"/>
      <c r="L2533" s="244">
        <v>0.1</v>
      </c>
      <c r="M2533" s="244">
        <f t="shared" si="289"/>
        <v>0</v>
      </c>
      <c r="N2533" s="244"/>
      <c r="O2533" s="244"/>
      <c r="P2533" s="244"/>
      <c r="Q2533" s="245">
        <f t="shared" si="290"/>
        <v>0</v>
      </c>
      <c r="R2533" s="245">
        <f t="shared" si="291"/>
        <v>0</v>
      </c>
      <c r="S2533" s="246">
        <v>0.5</v>
      </c>
      <c r="T2533" s="245">
        <f t="shared" si="292"/>
        <v>0</v>
      </c>
      <c r="U2533" s="245">
        <f t="shared" si="293"/>
        <v>0</v>
      </c>
      <c r="V2533" s="247"/>
    </row>
    <row r="2534" spans="1:22" ht="15.75" x14ac:dyDescent="0.25">
      <c r="A2534" s="236"/>
      <c r="B2534" s="237"/>
      <c r="C2534" s="238"/>
      <c r="D2534" s="239"/>
      <c r="E2534" s="240"/>
      <c r="F2534" s="240"/>
      <c r="G2534" s="240"/>
      <c r="H2534" s="241">
        <f t="shared" si="288"/>
        <v>0</v>
      </c>
      <c r="I2534" s="242"/>
      <c r="J2534" s="243"/>
      <c r="K2534" s="243"/>
      <c r="L2534" s="244">
        <v>0.1</v>
      </c>
      <c r="M2534" s="244">
        <f t="shared" si="289"/>
        <v>0</v>
      </c>
      <c r="N2534" s="244"/>
      <c r="O2534" s="244"/>
      <c r="P2534" s="244"/>
      <c r="Q2534" s="245">
        <f t="shared" si="290"/>
        <v>0</v>
      </c>
      <c r="R2534" s="245">
        <f t="shared" si="291"/>
        <v>0</v>
      </c>
      <c r="S2534" s="246">
        <v>0.5</v>
      </c>
      <c r="T2534" s="245">
        <f t="shared" si="292"/>
        <v>0</v>
      </c>
      <c r="U2534" s="245">
        <f t="shared" si="293"/>
        <v>0</v>
      </c>
      <c r="V2534" s="247"/>
    </row>
    <row r="2535" spans="1:22" ht="15.75" x14ac:dyDescent="0.25">
      <c r="A2535" s="236"/>
      <c r="B2535" s="237"/>
      <c r="C2535" s="238"/>
      <c r="D2535" s="239"/>
      <c r="E2535" s="240"/>
      <c r="F2535" s="240"/>
      <c r="G2535" s="240"/>
      <c r="H2535" s="241">
        <f t="shared" si="288"/>
        <v>0</v>
      </c>
      <c r="I2535" s="242"/>
      <c r="J2535" s="243"/>
      <c r="K2535" s="243"/>
      <c r="L2535" s="244">
        <v>0.1</v>
      </c>
      <c r="M2535" s="244">
        <f t="shared" si="289"/>
        <v>0</v>
      </c>
      <c r="N2535" s="244"/>
      <c r="O2535" s="244"/>
      <c r="P2535" s="244"/>
      <c r="Q2535" s="245">
        <f t="shared" si="290"/>
        <v>0</v>
      </c>
      <c r="R2535" s="245">
        <f t="shared" si="291"/>
        <v>0</v>
      </c>
      <c r="S2535" s="246">
        <v>0.5</v>
      </c>
      <c r="T2535" s="245">
        <f t="shared" si="292"/>
        <v>0</v>
      </c>
      <c r="U2535" s="245">
        <f t="shared" si="293"/>
        <v>0</v>
      </c>
      <c r="V2535" s="247"/>
    </row>
    <row r="2536" spans="1:22" ht="15.75" x14ac:dyDescent="0.25">
      <c r="A2536" s="236"/>
      <c r="B2536" s="237"/>
      <c r="C2536" s="238"/>
      <c r="D2536" s="239"/>
      <c r="E2536" s="240"/>
      <c r="F2536" s="240"/>
      <c r="G2536" s="240"/>
      <c r="H2536" s="241">
        <f t="shared" si="288"/>
        <v>0</v>
      </c>
      <c r="I2536" s="242"/>
      <c r="J2536" s="243"/>
      <c r="K2536" s="243"/>
      <c r="L2536" s="244">
        <v>0.1</v>
      </c>
      <c r="M2536" s="244">
        <f t="shared" si="289"/>
        <v>0</v>
      </c>
      <c r="N2536" s="244"/>
      <c r="O2536" s="244"/>
      <c r="P2536" s="244"/>
      <c r="Q2536" s="245">
        <f t="shared" si="290"/>
        <v>0</v>
      </c>
      <c r="R2536" s="245">
        <f t="shared" si="291"/>
        <v>0</v>
      </c>
      <c r="S2536" s="246">
        <v>0.5</v>
      </c>
      <c r="T2536" s="245">
        <f t="shared" si="292"/>
        <v>0</v>
      </c>
      <c r="U2536" s="245">
        <f t="shared" si="293"/>
        <v>0</v>
      </c>
      <c r="V2536" s="247"/>
    </row>
    <row r="2537" spans="1:22" ht="15.75" x14ac:dyDescent="0.25">
      <c r="A2537" s="236"/>
      <c r="B2537" s="237"/>
      <c r="C2537" s="238"/>
      <c r="D2537" s="239"/>
      <c r="E2537" s="240"/>
      <c r="F2537" s="240"/>
      <c r="G2537" s="240"/>
      <c r="H2537" s="241">
        <f t="shared" si="288"/>
        <v>0</v>
      </c>
      <c r="I2537" s="242"/>
      <c r="J2537" s="243"/>
      <c r="K2537" s="243"/>
      <c r="L2537" s="244">
        <v>0.1</v>
      </c>
      <c r="M2537" s="244">
        <f t="shared" si="289"/>
        <v>0</v>
      </c>
      <c r="N2537" s="244"/>
      <c r="O2537" s="244"/>
      <c r="P2537" s="244"/>
      <c r="Q2537" s="245">
        <f t="shared" si="290"/>
        <v>0</v>
      </c>
      <c r="R2537" s="245">
        <f t="shared" si="291"/>
        <v>0</v>
      </c>
      <c r="S2537" s="246">
        <v>0.5</v>
      </c>
      <c r="T2537" s="245">
        <f t="shared" si="292"/>
        <v>0</v>
      </c>
      <c r="U2537" s="245">
        <f t="shared" si="293"/>
        <v>0</v>
      </c>
      <c r="V2537" s="247"/>
    </row>
    <row r="2538" spans="1:22" ht="15.75" x14ac:dyDescent="0.25">
      <c r="A2538" s="236"/>
      <c r="B2538" s="237"/>
      <c r="C2538" s="238"/>
      <c r="D2538" s="239"/>
      <c r="E2538" s="240"/>
      <c r="F2538" s="240"/>
      <c r="G2538" s="240"/>
      <c r="H2538" s="241">
        <f t="shared" si="288"/>
        <v>0</v>
      </c>
      <c r="I2538" s="242"/>
      <c r="J2538" s="243"/>
      <c r="K2538" s="243"/>
      <c r="L2538" s="244">
        <v>0.1</v>
      </c>
      <c r="M2538" s="244">
        <f t="shared" si="289"/>
        <v>0</v>
      </c>
      <c r="N2538" s="244"/>
      <c r="O2538" s="244"/>
      <c r="P2538" s="244"/>
      <c r="Q2538" s="245">
        <f t="shared" si="290"/>
        <v>0</v>
      </c>
      <c r="R2538" s="245">
        <f t="shared" si="291"/>
        <v>0</v>
      </c>
      <c r="S2538" s="246">
        <v>0.5</v>
      </c>
      <c r="T2538" s="245">
        <f t="shared" si="292"/>
        <v>0</v>
      </c>
      <c r="U2538" s="245">
        <f t="shared" si="293"/>
        <v>0</v>
      </c>
      <c r="V2538" s="247"/>
    </row>
    <row r="2539" spans="1:22" ht="15.75" x14ac:dyDescent="0.25">
      <c r="A2539" s="236"/>
      <c r="B2539" s="237"/>
      <c r="C2539" s="238"/>
      <c r="D2539" s="239"/>
      <c r="E2539" s="240"/>
      <c r="F2539" s="240"/>
      <c r="G2539" s="240"/>
      <c r="H2539" s="241">
        <f t="shared" si="288"/>
        <v>0</v>
      </c>
      <c r="I2539" s="242"/>
      <c r="J2539" s="243"/>
      <c r="K2539" s="243"/>
      <c r="L2539" s="244">
        <v>0.1</v>
      </c>
      <c r="M2539" s="244">
        <f t="shared" si="289"/>
        <v>0</v>
      </c>
      <c r="N2539" s="244"/>
      <c r="O2539" s="244"/>
      <c r="P2539" s="244"/>
      <c r="Q2539" s="245">
        <f t="shared" si="290"/>
        <v>0</v>
      </c>
      <c r="R2539" s="245">
        <f t="shared" si="291"/>
        <v>0</v>
      </c>
      <c r="S2539" s="246">
        <v>0.5</v>
      </c>
      <c r="T2539" s="245">
        <f t="shared" si="292"/>
        <v>0</v>
      </c>
      <c r="U2539" s="245">
        <f t="shared" si="293"/>
        <v>0</v>
      </c>
      <c r="V2539" s="247"/>
    </row>
    <row r="2540" spans="1:22" ht="15.75" x14ac:dyDescent="0.25">
      <c r="A2540" s="236"/>
      <c r="B2540" s="237"/>
      <c r="C2540" s="238"/>
      <c r="D2540" s="239"/>
      <c r="E2540" s="240"/>
      <c r="F2540" s="240"/>
      <c r="G2540" s="240"/>
      <c r="H2540" s="241">
        <f t="shared" si="288"/>
        <v>0</v>
      </c>
      <c r="I2540" s="242"/>
      <c r="J2540" s="243"/>
      <c r="K2540" s="243"/>
      <c r="L2540" s="244">
        <v>0.1</v>
      </c>
      <c r="M2540" s="244">
        <f t="shared" si="289"/>
        <v>0</v>
      </c>
      <c r="N2540" s="244"/>
      <c r="O2540" s="244"/>
      <c r="P2540" s="244"/>
      <c r="Q2540" s="245">
        <f t="shared" si="290"/>
        <v>0</v>
      </c>
      <c r="R2540" s="245">
        <f t="shared" si="291"/>
        <v>0</v>
      </c>
      <c r="S2540" s="246">
        <v>0.5</v>
      </c>
      <c r="T2540" s="245">
        <f t="shared" si="292"/>
        <v>0</v>
      </c>
      <c r="U2540" s="245">
        <f t="shared" si="293"/>
        <v>0</v>
      </c>
      <c r="V2540" s="247"/>
    </row>
    <row r="2541" spans="1:22" ht="15.75" x14ac:dyDescent="0.25">
      <c r="A2541" s="236"/>
      <c r="B2541" s="237"/>
      <c r="C2541" s="238"/>
      <c r="D2541" s="239"/>
      <c r="E2541" s="240"/>
      <c r="F2541" s="240"/>
      <c r="G2541" s="240"/>
      <c r="H2541" s="241">
        <f t="shared" si="288"/>
        <v>0</v>
      </c>
      <c r="I2541" s="242"/>
      <c r="J2541" s="243"/>
      <c r="K2541" s="243"/>
      <c r="L2541" s="244">
        <v>0.1</v>
      </c>
      <c r="M2541" s="244">
        <f t="shared" si="289"/>
        <v>0</v>
      </c>
      <c r="N2541" s="244"/>
      <c r="O2541" s="244"/>
      <c r="P2541" s="244"/>
      <c r="Q2541" s="245">
        <f t="shared" si="290"/>
        <v>0</v>
      </c>
      <c r="R2541" s="245">
        <f t="shared" si="291"/>
        <v>0</v>
      </c>
      <c r="S2541" s="246">
        <v>0.5</v>
      </c>
      <c r="T2541" s="245">
        <f t="shared" si="292"/>
        <v>0</v>
      </c>
      <c r="U2541" s="245">
        <f t="shared" si="293"/>
        <v>0</v>
      </c>
      <c r="V2541" s="247"/>
    </row>
    <row r="2542" spans="1:22" ht="15.75" x14ac:dyDescent="0.25">
      <c r="A2542" s="236"/>
      <c r="B2542" s="237"/>
      <c r="C2542" s="238"/>
      <c r="D2542" s="239"/>
      <c r="E2542" s="240"/>
      <c r="F2542" s="240"/>
      <c r="G2542" s="240"/>
      <c r="H2542" s="241">
        <f t="shared" si="288"/>
        <v>0</v>
      </c>
      <c r="I2542" s="242"/>
      <c r="J2542" s="243"/>
      <c r="K2542" s="243"/>
      <c r="L2542" s="244">
        <v>0.1</v>
      </c>
      <c r="M2542" s="244">
        <f t="shared" si="289"/>
        <v>0</v>
      </c>
      <c r="N2542" s="244"/>
      <c r="O2542" s="244"/>
      <c r="P2542" s="244"/>
      <c r="Q2542" s="245">
        <f t="shared" si="290"/>
        <v>0</v>
      </c>
      <c r="R2542" s="245">
        <f t="shared" si="291"/>
        <v>0</v>
      </c>
      <c r="S2542" s="246">
        <v>0.5</v>
      </c>
      <c r="T2542" s="245">
        <f t="shared" si="292"/>
        <v>0</v>
      </c>
      <c r="U2542" s="245">
        <f t="shared" si="293"/>
        <v>0</v>
      </c>
      <c r="V2542" s="247"/>
    </row>
    <row r="2543" spans="1:22" ht="15.75" x14ac:dyDescent="0.25">
      <c r="A2543" s="236"/>
      <c r="B2543" s="237"/>
      <c r="C2543" s="238"/>
      <c r="D2543" s="239"/>
      <c r="E2543" s="240"/>
      <c r="F2543" s="240"/>
      <c r="G2543" s="240"/>
      <c r="H2543" s="241">
        <f t="shared" si="288"/>
        <v>0</v>
      </c>
      <c r="I2543" s="242"/>
      <c r="J2543" s="243"/>
      <c r="K2543" s="243"/>
      <c r="L2543" s="244">
        <v>0.1</v>
      </c>
      <c r="M2543" s="244">
        <f t="shared" si="289"/>
        <v>0</v>
      </c>
      <c r="N2543" s="244"/>
      <c r="O2543" s="244"/>
      <c r="P2543" s="244"/>
      <c r="Q2543" s="245">
        <f t="shared" si="290"/>
        <v>0</v>
      </c>
      <c r="R2543" s="245">
        <f t="shared" si="291"/>
        <v>0</v>
      </c>
      <c r="S2543" s="246">
        <v>0.5</v>
      </c>
      <c r="T2543" s="245">
        <f t="shared" si="292"/>
        <v>0</v>
      </c>
      <c r="U2543" s="245">
        <f t="shared" si="293"/>
        <v>0</v>
      </c>
      <c r="V2543" s="247"/>
    </row>
    <row r="2544" spans="1:22" ht="15.75" x14ac:dyDescent="0.25">
      <c r="A2544" s="236"/>
      <c r="B2544" s="237"/>
      <c r="C2544" s="238"/>
      <c r="D2544" s="239"/>
      <c r="E2544" s="240"/>
      <c r="F2544" s="240"/>
      <c r="G2544" s="240"/>
      <c r="H2544" s="241">
        <f t="shared" si="288"/>
        <v>0</v>
      </c>
      <c r="I2544" s="242"/>
      <c r="J2544" s="243"/>
      <c r="K2544" s="243"/>
      <c r="L2544" s="244">
        <v>0.1</v>
      </c>
      <c r="M2544" s="244">
        <f t="shared" si="289"/>
        <v>0</v>
      </c>
      <c r="N2544" s="244"/>
      <c r="O2544" s="244"/>
      <c r="P2544" s="244"/>
      <c r="Q2544" s="245">
        <f t="shared" si="290"/>
        <v>0</v>
      </c>
      <c r="R2544" s="245">
        <f t="shared" si="291"/>
        <v>0</v>
      </c>
      <c r="S2544" s="246">
        <v>0.5</v>
      </c>
      <c r="T2544" s="245">
        <f t="shared" si="292"/>
        <v>0</v>
      </c>
      <c r="U2544" s="245">
        <f t="shared" si="293"/>
        <v>0</v>
      </c>
      <c r="V2544" s="247"/>
    </row>
    <row r="2545" spans="1:22" ht="15.75" x14ac:dyDescent="0.25">
      <c r="A2545" s="236"/>
      <c r="B2545" s="237"/>
      <c r="C2545" s="238"/>
      <c r="D2545" s="239"/>
      <c r="E2545" s="240"/>
      <c r="F2545" s="240"/>
      <c r="G2545" s="240"/>
      <c r="H2545" s="241">
        <f t="shared" si="288"/>
        <v>0</v>
      </c>
      <c r="I2545" s="242"/>
      <c r="J2545" s="243"/>
      <c r="K2545" s="243"/>
      <c r="L2545" s="244">
        <v>0.1</v>
      </c>
      <c r="M2545" s="244">
        <f t="shared" si="289"/>
        <v>0</v>
      </c>
      <c r="N2545" s="244"/>
      <c r="O2545" s="244"/>
      <c r="P2545" s="244"/>
      <c r="Q2545" s="245">
        <f t="shared" si="290"/>
        <v>0</v>
      </c>
      <c r="R2545" s="245">
        <f t="shared" si="291"/>
        <v>0</v>
      </c>
      <c r="S2545" s="246">
        <v>0.5</v>
      </c>
      <c r="T2545" s="245">
        <f t="shared" si="292"/>
        <v>0</v>
      </c>
      <c r="U2545" s="245">
        <f t="shared" si="293"/>
        <v>0</v>
      </c>
      <c r="V2545" s="247"/>
    </row>
    <row r="2546" spans="1:22" ht="15.75" x14ac:dyDescent="0.25">
      <c r="A2546" s="236"/>
      <c r="B2546" s="237"/>
      <c r="C2546" s="238"/>
      <c r="D2546" s="239"/>
      <c r="E2546" s="240"/>
      <c r="F2546" s="240"/>
      <c r="G2546" s="240"/>
      <c r="H2546" s="241">
        <f t="shared" si="288"/>
        <v>0</v>
      </c>
      <c r="I2546" s="242"/>
      <c r="J2546" s="243"/>
      <c r="K2546" s="243"/>
      <c r="L2546" s="244">
        <v>0.1</v>
      </c>
      <c r="M2546" s="244">
        <f t="shared" si="289"/>
        <v>0</v>
      </c>
      <c r="N2546" s="244"/>
      <c r="O2546" s="244"/>
      <c r="P2546" s="244"/>
      <c r="Q2546" s="245">
        <f t="shared" si="290"/>
        <v>0</v>
      </c>
      <c r="R2546" s="245">
        <f t="shared" si="291"/>
        <v>0</v>
      </c>
      <c r="S2546" s="246">
        <v>0.5</v>
      </c>
      <c r="T2546" s="245">
        <f t="shared" si="292"/>
        <v>0</v>
      </c>
      <c r="U2546" s="245">
        <f t="shared" si="293"/>
        <v>0</v>
      </c>
      <c r="V2546" s="247"/>
    </row>
    <row r="2547" spans="1:22" ht="15.75" x14ac:dyDescent="0.25">
      <c r="A2547" s="236"/>
      <c r="B2547" s="237"/>
      <c r="C2547" s="238"/>
      <c r="D2547" s="239"/>
      <c r="E2547" s="240"/>
      <c r="F2547" s="240"/>
      <c r="G2547" s="240"/>
      <c r="H2547" s="241">
        <f t="shared" si="288"/>
        <v>0</v>
      </c>
      <c r="I2547" s="242"/>
      <c r="J2547" s="243"/>
      <c r="K2547" s="243"/>
      <c r="L2547" s="244">
        <v>0.1</v>
      </c>
      <c r="M2547" s="244">
        <f t="shared" si="289"/>
        <v>0</v>
      </c>
      <c r="N2547" s="244"/>
      <c r="O2547" s="244"/>
      <c r="P2547" s="244"/>
      <c r="Q2547" s="245">
        <f t="shared" si="290"/>
        <v>0</v>
      </c>
      <c r="R2547" s="245">
        <f t="shared" si="291"/>
        <v>0</v>
      </c>
      <c r="S2547" s="246">
        <v>0.5</v>
      </c>
      <c r="T2547" s="245">
        <f t="shared" si="292"/>
        <v>0</v>
      </c>
      <c r="U2547" s="245">
        <f t="shared" si="293"/>
        <v>0</v>
      </c>
      <c r="V2547" s="247"/>
    </row>
    <row r="2548" spans="1:22" ht="15.75" x14ac:dyDescent="0.25">
      <c r="A2548" s="236"/>
      <c r="B2548" s="237"/>
      <c r="C2548" s="238"/>
      <c r="D2548" s="239"/>
      <c r="E2548" s="240"/>
      <c r="F2548" s="240"/>
      <c r="G2548" s="240"/>
      <c r="H2548" s="241">
        <f t="shared" si="288"/>
        <v>0</v>
      </c>
      <c r="I2548" s="242"/>
      <c r="J2548" s="243"/>
      <c r="K2548" s="243"/>
      <c r="L2548" s="244">
        <v>0.1</v>
      </c>
      <c r="M2548" s="244">
        <f t="shared" si="289"/>
        <v>0</v>
      </c>
      <c r="N2548" s="244"/>
      <c r="O2548" s="244"/>
      <c r="P2548" s="244"/>
      <c r="Q2548" s="245">
        <f t="shared" si="290"/>
        <v>0</v>
      </c>
      <c r="R2548" s="245">
        <f t="shared" si="291"/>
        <v>0</v>
      </c>
      <c r="S2548" s="246">
        <v>0.5</v>
      </c>
      <c r="T2548" s="245">
        <f t="shared" si="292"/>
        <v>0</v>
      </c>
      <c r="U2548" s="245">
        <f t="shared" si="293"/>
        <v>0</v>
      </c>
      <c r="V2548" s="247"/>
    </row>
    <row r="2549" spans="1:22" ht="15.75" x14ac:dyDescent="0.25">
      <c r="A2549" s="236"/>
      <c r="B2549" s="237"/>
      <c r="C2549" s="238"/>
      <c r="D2549" s="239"/>
      <c r="E2549" s="240"/>
      <c r="F2549" s="240"/>
      <c r="G2549" s="240"/>
      <c r="H2549" s="241">
        <f t="shared" si="288"/>
        <v>0</v>
      </c>
      <c r="I2549" s="242"/>
      <c r="J2549" s="243"/>
      <c r="K2549" s="243"/>
      <c r="L2549" s="244">
        <v>0.1</v>
      </c>
      <c r="M2549" s="244">
        <f t="shared" si="289"/>
        <v>0</v>
      </c>
      <c r="N2549" s="244"/>
      <c r="O2549" s="244"/>
      <c r="P2549" s="244"/>
      <c r="Q2549" s="245">
        <f t="shared" si="290"/>
        <v>0</v>
      </c>
      <c r="R2549" s="245">
        <f t="shared" si="291"/>
        <v>0</v>
      </c>
      <c r="S2549" s="246">
        <v>0.5</v>
      </c>
      <c r="T2549" s="245">
        <f t="shared" si="292"/>
        <v>0</v>
      </c>
      <c r="U2549" s="245">
        <f t="shared" si="293"/>
        <v>0</v>
      </c>
      <c r="V2549" s="247"/>
    </row>
    <row r="2550" spans="1:22" ht="15.75" x14ac:dyDescent="0.25">
      <c r="A2550" s="236"/>
      <c r="B2550" s="237"/>
      <c r="C2550" s="238"/>
      <c r="D2550" s="239"/>
      <c r="E2550" s="240"/>
      <c r="F2550" s="240"/>
      <c r="G2550" s="240"/>
      <c r="H2550" s="241">
        <f t="shared" si="288"/>
        <v>0</v>
      </c>
      <c r="I2550" s="242"/>
      <c r="J2550" s="243"/>
      <c r="K2550" s="243"/>
      <c r="L2550" s="244">
        <v>0.1</v>
      </c>
      <c r="M2550" s="244">
        <f t="shared" si="289"/>
        <v>0</v>
      </c>
      <c r="N2550" s="244"/>
      <c r="O2550" s="244"/>
      <c r="P2550" s="244"/>
      <c r="Q2550" s="245">
        <f t="shared" si="290"/>
        <v>0</v>
      </c>
      <c r="R2550" s="245">
        <f t="shared" si="291"/>
        <v>0</v>
      </c>
      <c r="S2550" s="246">
        <v>0.5</v>
      </c>
      <c r="T2550" s="245">
        <f t="shared" si="292"/>
        <v>0</v>
      </c>
      <c r="U2550" s="245">
        <f t="shared" si="293"/>
        <v>0</v>
      </c>
      <c r="V2550" s="247"/>
    </row>
    <row r="2551" spans="1:22" ht="15.75" x14ac:dyDescent="0.25">
      <c r="A2551" s="236"/>
      <c r="B2551" s="237"/>
      <c r="C2551" s="238"/>
      <c r="D2551" s="239"/>
      <c r="E2551" s="240"/>
      <c r="F2551" s="240"/>
      <c r="G2551" s="240"/>
      <c r="H2551" s="241">
        <f t="shared" si="288"/>
        <v>0</v>
      </c>
      <c r="I2551" s="242"/>
      <c r="J2551" s="243"/>
      <c r="K2551" s="243"/>
      <c r="L2551" s="244">
        <v>0.1</v>
      </c>
      <c r="M2551" s="244">
        <f t="shared" si="289"/>
        <v>0</v>
      </c>
      <c r="N2551" s="244"/>
      <c r="O2551" s="244"/>
      <c r="P2551" s="244"/>
      <c r="Q2551" s="245">
        <f t="shared" si="290"/>
        <v>0</v>
      </c>
      <c r="R2551" s="245">
        <f t="shared" si="291"/>
        <v>0</v>
      </c>
      <c r="S2551" s="246">
        <v>0.5</v>
      </c>
      <c r="T2551" s="245">
        <f t="shared" si="292"/>
        <v>0</v>
      </c>
      <c r="U2551" s="245">
        <f t="shared" si="293"/>
        <v>0</v>
      </c>
      <c r="V2551" s="247"/>
    </row>
    <row r="2552" spans="1:22" ht="15.75" x14ac:dyDescent="0.25">
      <c r="A2552" s="236"/>
      <c r="B2552" s="237"/>
      <c r="C2552" s="238"/>
      <c r="D2552" s="239"/>
      <c r="E2552" s="240"/>
      <c r="F2552" s="240"/>
      <c r="G2552" s="240"/>
      <c r="H2552" s="241">
        <f t="shared" si="288"/>
        <v>0</v>
      </c>
      <c r="I2552" s="242"/>
      <c r="J2552" s="243"/>
      <c r="K2552" s="243"/>
      <c r="L2552" s="244">
        <v>0.1</v>
      </c>
      <c r="M2552" s="244">
        <f t="shared" si="289"/>
        <v>0</v>
      </c>
      <c r="N2552" s="244"/>
      <c r="O2552" s="244"/>
      <c r="P2552" s="244"/>
      <c r="Q2552" s="245">
        <f t="shared" si="290"/>
        <v>0</v>
      </c>
      <c r="R2552" s="245">
        <f t="shared" si="291"/>
        <v>0</v>
      </c>
      <c r="S2552" s="246">
        <v>0.5</v>
      </c>
      <c r="T2552" s="245">
        <f t="shared" si="292"/>
        <v>0</v>
      </c>
      <c r="U2552" s="245">
        <f t="shared" si="293"/>
        <v>0</v>
      </c>
      <c r="V2552" s="247"/>
    </row>
    <row r="2553" spans="1:22" ht="15.75" x14ac:dyDescent="0.25">
      <c r="A2553" s="236"/>
      <c r="B2553" s="237"/>
      <c r="C2553" s="238"/>
      <c r="D2553" s="239"/>
      <c r="E2553" s="240"/>
      <c r="F2553" s="240"/>
      <c r="G2553" s="240"/>
      <c r="H2553" s="241">
        <f t="shared" si="288"/>
        <v>0</v>
      </c>
      <c r="I2553" s="242"/>
      <c r="J2553" s="243"/>
      <c r="K2553" s="243"/>
      <c r="L2553" s="244">
        <v>0.1</v>
      </c>
      <c r="M2553" s="244">
        <f t="shared" si="289"/>
        <v>0</v>
      </c>
      <c r="N2553" s="244"/>
      <c r="O2553" s="244"/>
      <c r="P2553" s="244"/>
      <c r="Q2553" s="245">
        <f t="shared" si="290"/>
        <v>0</v>
      </c>
      <c r="R2553" s="245">
        <f t="shared" si="291"/>
        <v>0</v>
      </c>
      <c r="S2553" s="246">
        <v>0.5</v>
      </c>
      <c r="T2553" s="245">
        <f t="shared" si="292"/>
        <v>0</v>
      </c>
      <c r="U2553" s="245">
        <f t="shared" si="293"/>
        <v>0</v>
      </c>
      <c r="V2553" s="247"/>
    </row>
    <row r="2554" spans="1:22" ht="15.75" x14ac:dyDescent="0.25">
      <c r="A2554" s="236"/>
      <c r="B2554" s="237"/>
      <c r="C2554" s="238"/>
      <c r="D2554" s="239"/>
      <c r="E2554" s="240"/>
      <c r="F2554" s="240"/>
      <c r="G2554" s="240"/>
      <c r="H2554" s="241">
        <f t="shared" si="288"/>
        <v>0</v>
      </c>
      <c r="I2554" s="242"/>
      <c r="J2554" s="243"/>
      <c r="K2554" s="243"/>
      <c r="L2554" s="244">
        <v>0.1</v>
      </c>
      <c r="M2554" s="244">
        <f t="shared" si="289"/>
        <v>0</v>
      </c>
      <c r="N2554" s="244"/>
      <c r="O2554" s="244"/>
      <c r="P2554" s="244"/>
      <c r="Q2554" s="245">
        <f t="shared" si="290"/>
        <v>0</v>
      </c>
      <c r="R2554" s="245">
        <f t="shared" si="291"/>
        <v>0</v>
      </c>
      <c r="S2554" s="246">
        <v>0.5</v>
      </c>
      <c r="T2554" s="245">
        <f t="shared" si="292"/>
        <v>0</v>
      </c>
      <c r="U2554" s="245">
        <f t="shared" si="293"/>
        <v>0</v>
      </c>
      <c r="V2554" s="247"/>
    </row>
    <row r="2555" spans="1:22" ht="15.75" x14ac:dyDescent="0.25">
      <c r="A2555" s="236"/>
      <c r="B2555" s="237"/>
      <c r="C2555" s="238"/>
      <c r="D2555" s="239"/>
      <c r="E2555" s="240"/>
      <c r="F2555" s="240"/>
      <c r="G2555" s="240"/>
      <c r="H2555" s="241">
        <f t="shared" si="288"/>
        <v>0</v>
      </c>
      <c r="I2555" s="242"/>
      <c r="J2555" s="243"/>
      <c r="K2555" s="243"/>
      <c r="L2555" s="244">
        <v>0.1</v>
      </c>
      <c r="M2555" s="244">
        <f t="shared" si="289"/>
        <v>0</v>
      </c>
      <c r="N2555" s="244"/>
      <c r="O2555" s="244"/>
      <c r="P2555" s="244"/>
      <c r="Q2555" s="245">
        <f t="shared" si="290"/>
        <v>0</v>
      </c>
      <c r="R2555" s="245">
        <f t="shared" si="291"/>
        <v>0</v>
      </c>
      <c r="S2555" s="246">
        <v>0.5</v>
      </c>
      <c r="T2555" s="245">
        <f t="shared" si="292"/>
        <v>0</v>
      </c>
      <c r="U2555" s="245">
        <f t="shared" si="293"/>
        <v>0</v>
      </c>
      <c r="V2555" s="247"/>
    </row>
    <row r="2556" spans="1:22" ht="15.75" x14ac:dyDescent="0.25">
      <c r="A2556" s="236"/>
      <c r="B2556" s="237"/>
      <c r="C2556" s="238"/>
      <c r="D2556" s="239"/>
      <c r="E2556" s="240"/>
      <c r="F2556" s="240"/>
      <c r="G2556" s="240"/>
      <c r="H2556" s="241">
        <f t="shared" si="288"/>
        <v>0</v>
      </c>
      <c r="I2556" s="242"/>
      <c r="J2556" s="243"/>
      <c r="K2556" s="243"/>
      <c r="L2556" s="244">
        <v>0.1</v>
      </c>
      <c r="M2556" s="244">
        <f t="shared" si="289"/>
        <v>0</v>
      </c>
      <c r="N2556" s="244"/>
      <c r="O2556" s="244"/>
      <c r="P2556" s="244"/>
      <c r="Q2556" s="245">
        <f t="shared" si="290"/>
        <v>0</v>
      </c>
      <c r="R2556" s="245">
        <f t="shared" si="291"/>
        <v>0</v>
      </c>
      <c r="S2556" s="246">
        <v>0.5</v>
      </c>
      <c r="T2556" s="245">
        <f t="shared" si="292"/>
        <v>0</v>
      </c>
      <c r="U2556" s="245">
        <f t="shared" si="293"/>
        <v>0</v>
      </c>
      <c r="V2556" s="247"/>
    </row>
    <row r="2557" spans="1:22" ht="15.75" x14ac:dyDescent="0.25">
      <c r="A2557" s="236"/>
      <c r="B2557" s="237"/>
      <c r="C2557" s="238"/>
      <c r="D2557" s="239"/>
      <c r="E2557" s="240"/>
      <c r="F2557" s="240"/>
      <c r="G2557" s="240"/>
      <c r="H2557" s="241">
        <f t="shared" ref="H2557:H2620" si="294">+E2557+F2557+G2557</f>
        <v>0</v>
      </c>
      <c r="I2557" s="242"/>
      <c r="J2557" s="243"/>
      <c r="K2557" s="243"/>
      <c r="L2557" s="244">
        <v>0.1</v>
      </c>
      <c r="M2557" s="244">
        <f t="shared" ref="M2557:M2620" si="295">+L2557*C2557</f>
        <v>0</v>
      </c>
      <c r="N2557" s="244"/>
      <c r="O2557" s="244"/>
      <c r="P2557" s="244"/>
      <c r="Q2557" s="245">
        <f t="shared" ref="Q2557:Q2620" si="296">+N2557+O2557+P2557</f>
        <v>0</v>
      </c>
      <c r="R2557" s="245">
        <f t="shared" ref="R2557:R2620" si="297">IF(+Q2557-H2557&lt;=0,0,Q2557-H2557)</f>
        <v>0</v>
      </c>
      <c r="S2557" s="246">
        <v>0.5</v>
      </c>
      <c r="T2557" s="245">
        <f t="shared" ref="T2557:T2620" si="298">+(R2557*C2557)*S2557</f>
        <v>0</v>
      </c>
      <c r="U2557" s="245">
        <f t="shared" ref="U2557:U2620" si="299">+J2557+M2557+T2557</f>
        <v>0</v>
      </c>
      <c r="V2557" s="247"/>
    </row>
    <row r="2558" spans="1:22" ht="15.75" x14ac:dyDescent="0.25">
      <c r="A2558" s="236"/>
      <c r="B2558" s="237"/>
      <c r="C2558" s="238"/>
      <c r="D2558" s="239"/>
      <c r="E2558" s="240"/>
      <c r="F2558" s="240"/>
      <c r="G2558" s="240"/>
      <c r="H2558" s="241">
        <f t="shared" si="294"/>
        <v>0</v>
      </c>
      <c r="I2558" s="242"/>
      <c r="J2558" s="243"/>
      <c r="K2558" s="243"/>
      <c r="L2558" s="244">
        <v>0.1</v>
      </c>
      <c r="M2558" s="244">
        <f t="shared" si="295"/>
        <v>0</v>
      </c>
      <c r="N2558" s="244"/>
      <c r="O2558" s="244"/>
      <c r="P2558" s="244"/>
      <c r="Q2558" s="245">
        <f t="shared" si="296"/>
        <v>0</v>
      </c>
      <c r="R2558" s="245">
        <f t="shared" si="297"/>
        <v>0</v>
      </c>
      <c r="S2558" s="246">
        <v>0.5</v>
      </c>
      <c r="T2558" s="245">
        <f t="shared" si="298"/>
        <v>0</v>
      </c>
      <c r="U2558" s="245">
        <f t="shared" si="299"/>
        <v>0</v>
      </c>
      <c r="V2558" s="247"/>
    </row>
    <row r="2559" spans="1:22" ht="15.75" x14ac:dyDescent="0.25">
      <c r="A2559" s="236"/>
      <c r="B2559" s="237"/>
      <c r="C2559" s="238"/>
      <c r="D2559" s="239"/>
      <c r="E2559" s="240"/>
      <c r="F2559" s="240"/>
      <c r="G2559" s="240"/>
      <c r="H2559" s="241">
        <f t="shared" si="294"/>
        <v>0</v>
      </c>
      <c r="I2559" s="242"/>
      <c r="J2559" s="243"/>
      <c r="K2559" s="243"/>
      <c r="L2559" s="244">
        <v>0.1</v>
      </c>
      <c r="M2559" s="244">
        <f t="shared" si="295"/>
        <v>0</v>
      </c>
      <c r="N2559" s="244"/>
      <c r="O2559" s="244"/>
      <c r="P2559" s="244"/>
      <c r="Q2559" s="245">
        <f t="shared" si="296"/>
        <v>0</v>
      </c>
      <c r="R2559" s="245">
        <f t="shared" si="297"/>
        <v>0</v>
      </c>
      <c r="S2559" s="246">
        <v>0.5</v>
      </c>
      <c r="T2559" s="245">
        <f t="shared" si="298"/>
        <v>0</v>
      </c>
      <c r="U2559" s="245">
        <f t="shared" si="299"/>
        <v>0</v>
      </c>
      <c r="V2559" s="247"/>
    </row>
    <row r="2560" spans="1:22" ht="15.75" x14ac:dyDescent="0.25">
      <c r="A2560" s="236"/>
      <c r="B2560" s="237"/>
      <c r="C2560" s="238"/>
      <c r="D2560" s="239"/>
      <c r="E2560" s="240"/>
      <c r="F2560" s="240"/>
      <c r="G2560" s="240"/>
      <c r="H2560" s="241">
        <f t="shared" si="294"/>
        <v>0</v>
      </c>
      <c r="I2560" s="242"/>
      <c r="J2560" s="243"/>
      <c r="K2560" s="243"/>
      <c r="L2560" s="244">
        <v>0.1</v>
      </c>
      <c r="M2560" s="244">
        <f t="shared" si="295"/>
        <v>0</v>
      </c>
      <c r="N2560" s="244"/>
      <c r="O2560" s="244"/>
      <c r="P2560" s="244"/>
      <c r="Q2560" s="245">
        <f t="shared" si="296"/>
        <v>0</v>
      </c>
      <c r="R2560" s="245">
        <f t="shared" si="297"/>
        <v>0</v>
      </c>
      <c r="S2560" s="246">
        <v>0.5</v>
      </c>
      <c r="T2560" s="245">
        <f t="shared" si="298"/>
        <v>0</v>
      </c>
      <c r="U2560" s="245">
        <f t="shared" si="299"/>
        <v>0</v>
      </c>
      <c r="V2560" s="247"/>
    </row>
    <row r="2561" spans="1:22" ht="15.75" x14ac:dyDescent="0.25">
      <c r="A2561" s="236"/>
      <c r="B2561" s="237"/>
      <c r="C2561" s="238"/>
      <c r="D2561" s="239"/>
      <c r="E2561" s="240"/>
      <c r="F2561" s="240"/>
      <c r="G2561" s="240"/>
      <c r="H2561" s="241">
        <f t="shared" si="294"/>
        <v>0</v>
      </c>
      <c r="I2561" s="242"/>
      <c r="J2561" s="243"/>
      <c r="K2561" s="243"/>
      <c r="L2561" s="244">
        <v>0.1</v>
      </c>
      <c r="M2561" s="244">
        <f t="shared" si="295"/>
        <v>0</v>
      </c>
      <c r="N2561" s="244"/>
      <c r="O2561" s="244"/>
      <c r="P2561" s="244"/>
      <c r="Q2561" s="245">
        <f t="shared" si="296"/>
        <v>0</v>
      </c>
      <c r="R2561" s="245">
        <f t="shared" si="297"/>
        <v>0</v>
      </c>
      <c r="S2561" s="246">
        <v>0.5</v>
      </c>
      <c r="T2561" s="245">
        <f t="shared" si="298"/>
        <v>0</v>
      </c>
      <c r="U2561" s="245">
        <f t="shared" si="299"/>
        <v>0</v>
      </c>
      <c r="V2561" s="247"/>
    </row>
    <row r="2562" spans="1:22" ht="15.75" x14ac:dyDescent="0.25">
      <c r="A2562" s="236"/>
      <c r="B2562" s="237"/>
      <c r="C2562" s="238"/>
      <c r="D2562" s="239"/>
      <c r="E2562" s="240"/>
      <c r="F2562" s="240"/>
      <c r="G2562" s="240"/>
      <c r="H2562" s="241">
        <f t="shared" si="294"/>
        <v>0</v>
      </c>
      <c r="I2562" s="242"/>
      <c r="J2562" s="243"/>
      <c r="K2562" s="243"/>
      <c r="L2562" s="244">
        <v>0.1</v>
      </c>
      <c r="M2562" s="244">
        <f t="shared" si="295"/>
        <v>0</v>
      </c>
      <c r="N2562" s="244"/>
      <c r="O2562" s="244"/>
      <c r="P2562" s="244"/>
      <c r="Q2562" s="245">
        <f t="shared" si="296"/>
        <v>0</v>
      </c>
      <c r="R2562" s="245">
        <f t="shared" si="297"/>
        <v>0</v>
      </c>
      <c r="S2562" s="246">
        <v>0.5</v>
      </c>
      <c r="T2562" s="245">
        <f t="shared" si="298"/>
        <v>0</v>
      </c>
      <c r="U2562" s="245">
        <f t="shared" si="299"/>
        <v>0</v>
      </c>
      <c r="V2562" s="247"/>
    </row>
    <row r="2563" spans="1:22" ht="15.75" x14ac:dyDescent="0.25">
      <c r="A2563" s="236"/>
      <c r="B2563" s="237"/>
      <c r="C2563" s="238"/>
      <c r="D2563" s="239"/>
      <c r="E2563" s="240"/>
      <c r="F2563" s="240"/>
      <c r="G2563" s="240"/>
      <c r="H2563" s="241">
        <f t="shared" si="294"/>
        <v>0</v>
      </c>
      <c r="I2563" s="242"/>
      <c r="J2563" s="243"/>
      <c r="K2563" s="243"/>
      <c r="L2563" s="244">
        <v>0.1</v>
      </c>
      <c r="M2563" s="244">
        <f t="shared" si="295"/>
        <v>0</v>
      </c>
      <c r="N2563" s="244"/>
      <c r="O2563" s="244"/>
      <c r="P2563" s="244"/>
      <c r="Q2563" s="245">
        <f t="shared" si="296"/>
        <v>0</v>
      </c>
      <c r="R2563" s="245">
        <f t="shared" si="297"/>
        <v>0</v>
      </c>
      <c r="S2563" s="246">
        <v>0.5</v>
      </c>
      <c r="T2563" s="245">
        <f t="shared" si="298"/>
        <v>0</v>
      </c>
      <c r="U2563" s="245">
        <f t="shared" si="299"/>
        <v>0</v>
      </c>
      <c r="V2563" s="247"/>
    </row>
    <row r="2564" spans="1:22" ht="15.75" x14ac:dyDescent="0.25">
      <c r="A2564" s="236"/>
      <c r="B2564" s="237"/>
      <c r="C2564" s="238"/>
      <c r="D2564" s="239"/>
      <c r="E2564" s="240"/>
      <c r="F2564" s="240"/>
      <c r="G2564" s="240"/>
      <c r="H2564" s="241">
        <f t="shared" si="294"/>
        <v>0</v>
      </c>
      <c r="I2564" s="242"/>
      <c r="J2564" s="243"/>
      <c r="K2564" s="243"/>
      <c r="L2564" s="244">
        <v>0.1</v>
      </c>
      <c r="M2564" s="244">
        <f t="shared" si="295"/>
        <v>0</v>
      </c>
      <c r="N2564" s="244"/>
      <c r="O2564" s="244"/>
      <c r="P2564" s="244"/>
      <c r="Q2564" s="245">
        <f t="shared" si="296"/>
        <v>0</v>
      </c>
      <c r="R2564" s="245">
        <f t="shared" si="297"/>
        <v>0</v>
      </c>
      <c r="S2564" s="246">
        <v>0.5</v>
      </c>
      <c r="T2564" s="245">
        <f t="shared" si="298"/>
        <v>0</v>
      </c>
      <c r="U2564" s="245">
        <f t="shared" si="299"/>
        <v>0</v>
      </c>
      <c r="V2564" s="247"/>
    </row>
    <row r="2565" spans="1:22" ht="15.75" x14ac:dyDescent="0.25">
      <c r="A2565" s="236"/>
      <c r="B2565" s="237"/>
      <c r="C2565" s="238"/>
      <c r="D2565" s="239"/>
      <c r="E2565" s="240"/>
      <c r="F2565" s="240"/>
      <c r="G2565" s="240"/>
      <c r="H2565" s="241">
        <f t="shared" si="294"/>
        <v>0</v>
      </c>
      <c r="I2565" s="242"/>
      <c r="J2565" s="243"/>
      <c r="K2565" s="243"/>
      <c r="L2565" s="244">
        <v>0.1</v>
      </c>
      <c r="M2565" s="244">
        <f t="shared" si="295"/>
        <v>0</v>
      </c>
      <c r="N2565" s="244"/>
      <c r="O2565" s="244"/>
      <c r="P2565" s="244"/>
      <c r="Q2565" s="245">
        <f t="shared" si="296"/>
        <v>0</v>
      </c>
      <c r="R2565" s="245">
        <f t="shared" si="297"/>
        <v>0</v>
      </c>
      <c r="S2565" s="246">
        <v>0.5</v>
      </c>
      <c r="T2565" s="245">
        <f t="shared" si="298"/>
        <v>0</v>
      </c>
      <c r="U2565" s="245">
        <f t="shared" si="299"/>
        <v>0</v>
      </c>
      <c r="V2565" s="247"/>
    </row>
    <row r="2566" spans="1:22" ht="15.75" x14ac:dyDescent="0.25">
      <c r="A2566" s="236"/>
      <c r="B2566" s="237"/>
      <c r="C2566" s="238"/>
      <c r="D2566" s="239"/>
      <c r="E2566" s="240"/>
      <c r="F2566" s="240"/>
      <c r="G2566" s="240"/>
      <c r="H2566" s="241">
        <f t="shared" si="294"/>
        <v>0</v>
      </c>
      <c r="I2566" s="242"/>
      <c r="J2566" s="243"/>
      <c r="K2566" s="243"/>
      <c r="L2566" s="244">
        <v>0.1</v>
      </c>
      <c r="M2566" s="244">
        <f t="shared" si="295"/>
        <v>0</v>
      </c>
      <c r="N2566" s="244"/>
      <c r="O2566" s="244"/>
      <c r="P2566" s="244"/>
      <c r="Q2566" s="245">
        <f t="shared" si="296"/>
        <v>0</v>
      </c>
      <c r="R2566" s="245">
        <f t="shared" si="297"/>
        <v>0</v>
      </c>
      <c r="S2566" s="246">
        <v>0.5</v>
      </c>
      <c r="T2566" s="245">
        <f t="shared" si="298"/>
        <v>0</v>
      </c>
      <c r="U2566" s="245">
        <f t="shared" si="299"/>
        <v>0</v>
      </c>
      <c r="V2566" s="247"/>
    </row>
    <row r="2567" spans="1:22" ht="15.75" x14ac:dyDescent="0.25">
      <c r="A2567" s="236"/>
      <c r="B2567" s="237"/>
      <c r="C2567" s="238"/>
      <c r="D2567" s="239"/>
      <c r="E2567" s="240"/>
      <c r="F2567" s="240"/>
      <c r="G2567" s="240"/>
      <c r="H2567" s="241">
        <f t="shared" si="294"/>
        <v>0</v>
      </c>
      <c r="I2567" s="242"/>
      <c r="J2567" s="243"/>
      <c r="K2567" s="243"/>
      <c r="L2567" s="244">
        <v>0.1</v>
      </c>
      <c r="M2567" s="244">
        <f t="shared" si="295"/>
        <v>0</v>
      </c>
      <c r="N2567" s="244"/>
      <c r="O2567" s="244"/>
      <c r="P2567" s="244"/>
      <c r="Q2567" s="245">
        <f t="shared" si="296"/>
        <v>0</v>
      </c>
      <c r="R2567" s="245">
        <f t="shared" si="297"/>
        <v>0</v>
      </c>
      <c r="S2567" s="246">
        <v>0.5</v>
      </c>
      <c r="T2567" s="245">
        <f t="shared" si="298"/>
        <v>0</v>
      </c>
      <c r="U2567" s="245">
        <f t="shared" si="299"/>
        <v>0</v>
      </c>
      <c r="V2567" s="247"/>
    </row>
    <row r="2568" spans="1:22" ht="15.75" x14ac:dyDescent="0.25">
      <c r="A2568" s="236"/>
      <c r="B2568" s="237"/>
      <c r="C2568" s="238"/>
      <c r="D2568" s="239"/>
      <c r="E2568" s="240"/>
      <c r="F2568" s="240"/>
      <c r="G2568" s="240"/>
      <c r="H2568" s="241">
        <f t="shared" si="294"/>
        <v>0</v>
      </c>
      <c r="I2568" s="242"/>
      <c r="J2568" s="243"/>
      <c r="K2568" s="243"/>
      <c r="L2568" s="244">
        <v>0.1</v>
      </c>
      <c r="M2568" s="244">
        <f t="shared" si="295"/>
        <v>0</v>
      </c>
      <c r="N2568" s="244"/>
      <c r="O2568" s="244"/>
      <c r="P2568" s="244"/>
      <c r="Q2568" s="245">
        <f t="shared" si="296"/>
        <v>0</v>
      </c>
      <c r="R2568" s="245">
        <f t="shared" si="297"/>
        <v>0</v>
      </c>
      <c r="S2568" s="246">
        <v>0.5</v>
      </c>
      <c r="T2568" s="245">
        <f t="shared" si="298"/>
        <v>0</v>
      </c>
      <c r="U2568" s="245">
        <f t="shared" si="299"/>
        <v>0</v>
      </c>
      <c r="V2568" s="247"/>
    </row>
    <row r="2569" spans="1:22" ht="15.75" x14ac:dyDescent="0.25">
      <c r="A2569" s="236"/>
      <c r="B2569" s="237"/>
      <c r="C2569" s="238"/>
      <c r="D2569" s="239"/>
      <c r="E2569" s="240"/>
      <c r="F2569" s="240"/>
      <c r="G2569" s="240"/>
      <c r="H2569" s="241">
        <f t="shared" si="294"/>
        <v>0</v>
      </c>
      <c r="I2569" s="242"/>
      <c r="J2569" s="243"/>
      <c r="K2569" s="243"/>
      <c r="L2569" s="244">
        <v>0.1</v>
      </c>
      <c r="M2569" s="244">
        <f t="shared" si="295"/>
        <v>0</v>
      </c>
      <c r="N2569" s="244"/>
      <c r="O2569" s="244"/>
      <c r="P2569" s="244"/>
      <c r="Q2569" s="245">
        <f t="shared" si="296"/>
        <v>0</v>
      </c>
      <c r="R2569" s="245">
        <f t="shared" si="297"/>
        <v>0</v>
      </c>
      <c r="S2569" s="246">
        <v>0.5</v>
      </c>
      <c r="T2569" s="245">
        <f t="shared" si="298"/>
        <v>0</v>
      </c>
      <c r="U2569" s="245">
        <f t="shared" si="299"/>
        <v>0</v>
      </c>
      <c r="V2569" s="247"/>
    </row>
    <row r="2570" spans="1:22" ht="15.75" x14ac:dyDescent="0.25">
      <c r="A2570" s="236"/>
      <c r="B2570" s="237"/>
      <c r="C2570" s="238"/>
      <c r="D2570" s="239"/>
      <c r="E2570" s="240"/>
      <c r="F2570" s="240"/>
      <c r="G2570" s="240"/>
      <c r="H2570" s="241">
        <f t="shared" si="294"/>
        <v>0</v>
      </c>
      <c r="I2570" s="242"/>
      <c r="J2570" s="243"/>
      <c r="K2570" s="243"/>
      <c r="L2570" s="244">
        <v>0.1</v>
      </c>
      <c r="M2570" s="244">
        <f t="shared" si="295"/>
        <v>0</v>
      </c>
      <c r="N2570" s="244"/>
      <c r="O2570" s="244"/>
      <c r="P2570" s="244"/>
      <c r="Q2570" s="245">
        <f t="shared" si="296"/>
        <v>0</v>
      </c>
      <c r="R2570" s="245">
        <f t="shared" si="297"/>
        <v>0</v>
      </c>
      <c r="S2570" s="246">
        <v>0.5</v>
      </c>
      <c r="T2570" s="245">
        <f t="shared" si="298"/>
        <v>0</v>
      </c>
      <c r="U2570" s="245">
        <f t="shared" si="299"/>
        <v>0</v>
      </c>
      <c r="V2570" s="247"/>
    </row>
    <row r="2571" spans="1:22" ht="15.75" x14ac:dyDescent="0.25">
      <c r="A2571" s="236"/>
      <c r="B2571" s="237"/>
      <c r="C2571" s="238"/>
      <c r="D2571" s="239"/>
      <c r="E2571" s="240"/>
      <c r="F2571" s="240"/>
      <c r="G2571" s="240"/>
      <c r="H2571" s="241">
        <f t="shared" si="294"/>
        <v>0</v>
      </c>
      <c r="I2571" s="242"/>
      <c r="J2571" s="243"/>
      <c r="K2571" s="243"/>
      <c r="L2571" s="244">
        <v>0.1</v>
      </c>
      <c r="M2571" s="244">
        <f t="shared" si="295"/>
        <v>0</v>
      </c>
      <c r="N2571" s="244"/>
      <c r="O2571" s="244"/>
      <c r="P2571" s="244"/>
      <c r="Q2571" s="245">
        <f t="shared" si="296"/>
        <v>0</v>
      </c>
      <c r="R2571" s="245">
        <f t="shared" si="297"/>
        <v>0</v>
      </c>
      <c r="S2571" s="246">
        <v>0.5</v>
      </c>
      <c r="T2571" s="245">
        <f t="shared" si="298"/>
        <v>0</v>
      </c>
      <c r="U2571" s="245">
        <f t="shared" si="299"/>
        <v>0</v>
      </c>
      <c r="V2571" s="247"/>
    </row>
    <row r="2572" spans="1:22" ht="15.75" x14ac:dyDescent="0.25">
      <c r="A2572" s="236"/>
      <c r="B2572" s="237"/>
      <c r="C2572" s="238"/>
      <c r="D2572" s="239"/>
      <c r="E2572" s="240"/>
      <c r="F2572" s="240"/>
      <c r="G2572" s="240"/>
      <c r="H2572" s="241">
        <f t="shared" si="294"/>
        <v>0</v>
      </c>
      <c r="I2572" s="242"/>
      <c r="J2572" s="243"/>
      <c r="K2572" s="243"/>
      <c r="L2572" s="244">
        <v>0.1</v>
      </c>
      <c r="M2572" s="244">
        <f t="shared" si="295"/>
        <v>0</v>
      </c>
      <c r="N2572" s="244"/>
      <c r="O2572" s="244"/>
      <c r="P2572" s="244"/>
      <c r="Q2572" s="245">
        <f t="shared" si="296"/>
        <v>0</v>
      </c>
      <c r="R2572" s="245">
        <f t="shared" si="297"/>
        <v>0</v>
      </c>
      <c r="S2572" s="246">
        <v>0.5</v>
      </c>
      <c r="T2572" s="245">
        <f t="shared" si="298"/>
        <v>0</v>
      </c>
      <c r="U2572" s="245">
        <f t="shared" si="299"/>
        <v>0</v>
      </c>
      <c r="V2572" s="247"/>
    </row>
    <row r="2573" spans="1:22" ht="15.75" x14ac:dyDescent="0.25">
      <c r="A2573" s="236"/>
      <c r="B2573" s="237"/>
      <c r="C2573" s="238"/>
      <c r="D2573" s="239"/>
      <c r="E2573" s="240"/>
      <c r="F2573" s="240"/>
      <c r="G2573" s="240"/>
      <c r="H2573" s="241">
        <f t="shared" si="294"/>
        <v>0</v>
      </c>
      <c r="I2573" s="242"/>
      <c r="J2573" s="243"/>
      <c r="K2573" s="243"/>
      <c r="L2573" s="244">
        <v>0.1</v>
      </c>
      <c r="M2573" s="244">
        <f t="shared" si="295"/>
        <v>0</v>
      </c>
      <c r="N2573" s="244"/>
      <c r="O2573" s="244"/>
      <c r="P2573" s="244"/>
      <c r="Q2573" s="245">
        <f t="shared" si="296"/>
        <v>0</v>
      </c>
      <c r="R2573" s="245">
        <f t="shared" si="297"/>
        <v>0</v>
      </c>
      <c r="S2573" s="246">
        <v>0.5</v>
      </c>
      <c r="T2573" s="245">
        <f t="shared" si="298"/>
        <v>0</v>
      </c>
      <c r="U2573" s="245">
        <f t="shared" si="299"/>
        <v>0</v>
      </c>
      <c r="V2573" s="247"/>
    </row>
    <row r="2574" spans="1:22" ht="15.75" x14ac:dyDescent="0.25">
      <c r="A2574" s="236"/>
      <c r="B2574" s="237"/>
      <c r="C2574" s="238"/>
      <c r="D2574" s="239"/>
      <c r="E2574" s="240"/>
      <c r="F2574" s="240"/>
      <c r="G2574" s="240"/>
      <c r="H2574" s="241">
        <f t="shared" si="294"/>
        <v>0</v>
      </c>
      <c r="I2574" s="242"/>
      <c r="J2574" s="243"/>
      <c r="K2574" s="243"/>
      <c r="L2574" s="244">
        <v>0.1</v>
      </c>
      <c r="M2574" s="244">
        <f t="shared" si="295"/>
        <v>0</v>
      </c>
      <c r="N2574" s="244"/>
      <c r="O2574" s="244"/>
      <c r="P2574" s="244"/>
      <c r="Q2574" s="245">
        <f t="shared" si="296"/>
        <v>0</v>
      </c>
      <c r="R2574" s="245">
        <f t="shared" si="297"/>
        <v>0</v>
      </c>
      <c r="S2574" s="246">
        <v>0.5</v>
      </c>
      <c r="T2574" s="245">
        <f t="shared" si="298"/>
        <v>0</v>
      </c>
      <c r="U2574" s="245">
        <f t="shared" si="299"/>
        <v>0</v>
      </c>
      <c r="V2574" s="247"/>
    </row>
    <row r="2575" spans="1:22" ht="15.75" x14ac:dyDescent="0.25">
      <c r="A2575" s="236"/>
      <c r="B2575" s="237"/>
      <c r="C2575" s="238"/>
      <c r="D2575" s="239"/>
      <c r="E2575" s="240"/>
      <c r="F2575" s="240"/>
      <c r="G2575" s="240"/>
      <c r="H2575" s="241">
        <f t="shared" si="294"/>
        <v>0</v>
      </c>
      <c r="I2575" s="242"/>
      <c r="J2575" s="243"/>
      <c r="K2575" s="243"/>
      <c r="L2575" s="244">
        <v>0.1</v>
      </c>
      <c r="M2575" s="244">
        <f t="shared" si="295"/>
        <v>0</v>
      </c>
      <c r="N2575" s="244"/>
      <c r="O2575" s="244"/>
      <c r="P2575" s="244"/>
      <c r="Q2575" s="245">
        <f t="shared" si="296"/>
        <v>0</v>
      </c>
      <c r="R2575" s="245">
        <f t="shared" si="297"/>
        <v>0</v>
      </c>
      <c r="S2575" s="246">
        <v>0.5</v>
      </c>
      <c r="T2575" s="245">
        <f t="shared" si="298"/>
        <v>0</v>
      </c>
      <c r="U2575" s="245">
        <f t="shared" si="299"/>
        <v>0</v>
      </c>
      <c r="V2575" s="247"/>
    </row>
    <row r="2576" spans="1:22" ht="15.75" x14ac:dyDescent="0.25">
      <c r="A2576" s="236"/>
      <c r="B2576" s="237"/>
      <c r="C2576" s="238"/>
      <c r="D2576" s="239"/>
      <c r="E2576" s="240"/>
      <c r="F2576" s="240"/>
      <c r="G2576" s="240"/>
      <c r="H2576" s="241">
        <f t="shared" si="294"/>
        <v>0</v>
      </c>
      <c r="I2576" s="242"/>
      <c r="J2576" s="243"/>
      <c r="K2576" s="243"/>
      <c r="L2576" s="244">
        <v>0.1</v>
      </c>
      <c r="M2576" s="244">
        <f t="shared" si="295"/>
        <v>0</v>
      </c>
      <c r="N2576" s="244"/>
      <c r="O2576" s="244"/>
      <c r="P2576" s="244"/>
      <c r="Q2576" s="245">
        <f t="shared" si="296"/>
        <v>0</v>
      </c>
      <c r="R2576" s="245">
        <f t="shared" si="297"/>
        <v>0</v>
      </c>
      <c r="S2576" s="246">
        <v>0.5</v>
      </c>
      <c r="T2576" s="245">
        <f t="shared" si="298"/>
        <v>0</v>
      </c>
      <c r="U2576" s="245">
        <f t="shared" si="299"/>
        <v>0</v>
      </c>
      <c r="V2576" s="247"/>
    </row>
    <row r="2577" spans="1:22" ht="15.75" x14ac:dyDescent="0.25">
      <c r="A2577" s="236"/>
      <c r="B2577" s="237"/>
      <c r="C2577" s="238"/>
      <c r="D2577" s="239"/>
      <c r="E2577" s="240"/>
      <c r="F2577" s="240"/>
      <c r="G2577" s="240"/>
      <c r="H2577" s="241">
        <f t="shared" si="294"/>
        <v>0</v>
      </c>
      <c r="I2577" s="242"/>
      <c r="J2577" s="243"/>
      <c r="K2577" s="243"/>
      <c r="L2577" s="244">
        <v>0.1</v>
      </c>
      <c r="M2577" s="244">
        <f t="shared" si="295"/>
        <v>0</v>
      </c>
      <c r="N2577" s="244"/>
      <c r="O2577" s="244"/>
      <c r="P2577" s="244"/>
      <c r="Q2577" s="245">
        <f t="shared" si="296"/>
        <v>0</v>
      </c>
      <c r="R2577" s="245">
        <f t="shared" si="297"/>
        <v>0</v>
      </c>
      <c r="S2577" s="246">
        <v>0.5</v>
      </c>
      <c r="T2577" s="245">
        <f t="shared" si="298"/>
        <v>0</v>
      </c>
      <c r="U2577" s="245">
        <f t="shared" si="299"/>
        <v>0</v>
      </c>
      <c r="V2577" s="247"/>
    </row>
    <row r="2578" spans="1:22" ht="15.75" x14ac:dyDescent="0.25">
      <c r="A2578" s="236"/>
      <c r="B2578" s="237"/>
      <c r="C2578" s="238"/>
      <c r="D2578" s="239"/>
      <c r="E2578" s="240"/>
      <c r="F2578" s="240"/>
      <c r="G2578" s="240"/>
      <c r="H2578" s="241">
        <f t="shared" si="294"/>
        <v>0</v>
      </c>
      <c r="I2578" s="242"/>
      <c r="J2578" s="243"/>
      <c r="K2578" s="243"/>
      <c r="L2578" s="244">
        <v>0.1</v>
      </c>
      <c r="M2578" s="244">
        <f t="shared" si="295"/>
        <v>0</v>
      </c>
      <c r="N2578" s="244"/>
      <c r="O2578" s="244"/>
      <c r="P2578" s="244"/>
      <c r="Q2578" s="245">
        <f t="shared" si="296"/>
        <v>0</v>
      </c>
      <c r="R2578" s="245">
        <f t="shared" si="297"/>
        <v>0</v>
      </c>
      <c r="S2578" s="246">
        <v>0.5</v>
      </c>
      <c r="T2578" s="245">
        <f t="shared" si="298"/>
        <v>0</v>
      </c>
      <c r="U2578" s="245">
        <f t="shared" si="299"/>
        <v>0</v>
      </c>
      <c r="V2578" s="247"/>
    </row>
    <row r="2579" spans="1:22" ht="15.75" x14ac:dyDescent="0.25">
      <c r="A2579" s="236"/>
      <c r="B2579" s="237"/>
      <c r="C2579" s="238"/>
      <c r="D2579" s="239"/>
      <c r="E2579" s="240"/>
      <c r="F2579" s="240"/>
      <c r="G2579" s="240"/>
      <c r="H2579" s="241">
        <f t="shared" si="294"/>
        <v>0</v>
      </c>
      <c r="I2579" s="242"/>
      <c r="J2579" s="243"/>
      <c r="K2579" s="243"/>
      <c r="L2579" s="244">
        <v>0.1</v>
      </c>
      <c r="M2579" s="244">
        <f t="shared" si="295"/>
        <v>0</v>
      </c>
      <c r="N2579" s="244"/>
      <c r="O2579" s="244"/>
      <c r="P2579" s="244"/>
      <c r="Q2579" s="245">
        <f t="shared" si="296"/>
        <v>0</v>
      </c>
      <c r="R2579" s="245">
        <f t="shared" si="297"/>
        <v>0</v>
      </c>
      <c r="S2579" s="246">
        <v>0.5</v>
      </c>
      <c r="T2579" s="245">
        <f t="shared" si="298"/>
        <v>0</v>
      </c>
      <c r="U2579" s="245">
        <f t="shared" si="299"/>
        <v>0</v>
      </c>
      <c r="V2579" s="247"/>
    </row>
    <row r="2580" spans="1:22" ht="15.75" x14ac:dyDescent="0.25">
      <c r="A2580" s="236"/>
      <c r="B2580" s="237"/>
      <c r="C2580" s="238"/>
      <c r="D2580" s="239"/>
      <c r="E2580" s="240"/>
      <c r="F2580" s="240"/>
      <c r="G2580" s="240"/>
      <c r="H2580" s="241">
        <f t="shared" si="294"/>
        <v>0</v>
      </c>
      <c r="I2580" s="242"/>
      <c r="J2580" s="243"/>
      <c r="K2580" s="243"/>
      <c r="L2580" s="244">
        <v>0.1</v>
      </c>
      <c r="M2580" s="244">
        <f t="shared" si="295"/>
        <v>0</v>
      </c>
      <c r="N2580" s="244"/>
      <c r="O2580" s="244"/>
      <c r="P2580" s="244"/>
      <c r="Q2580" s="245">
        <f t="shared" si="296"/>
        <v>0</v>
      </c>
      <c r="R2580" s="245">
        <f t="shared" si="297"/>
        <v>0</v>
      </c>
      <c r="S2580" s="246">
        <v>0.5</v>
      </c>
      <c r="T2580" s="245">
        <f t="shared" si="298"/>
        <v>0</v>
      </c>
      <c r="U2580" s="245">
        <f t="shared" si="299"/>
        <v>0</v>
      </c>
      <c r="V2580" s="247"/>
    </row>
    <row r="2581" spans="1:22" ht="15.75" x14ac:dyDescent="0.25">
      <c r="A2581" s="236"/>
      <c r="B2581" s="237"/>
      <c r="C2581" s="238"/>
      <c r="D2581" s="239"/>
      <c r="E2581" s="240"/>
      <c r="F2581" s="240"/>
      <c r="G2581" s="240"/>
      <c r="H2581" s="241">
        <f t="shared" si="294"/>
        <v>0</v>
      </c>
      <c r="I2581" s="242"/>
      <c r="J2581" s="243"/>
      <c r="K2581" s="243"/>
      <c r="L2581" s="244">
        <v>0.1</v>
      </c>
      <c r="M2581" s="244">
        <f t="shared" si="295"/>
        <v>0</v>
      </c>
      <c r="N2581" s="244"/>
      <c r="O2581" s="244"/>
      <c r="P2581" s="244"/>
      <c r="Q2581" s="245">
        <f t="shared" si="296"/>
        <v>0</v>
      </c>
      <c r="R2581" s="245">
        <f t="shared" si="297"/>
        <v>0</v>
      </c>
      <c r="S2581" s="246">
        <v>0.5</v>
      </c>
      <c r="T2581" s="245">
        <f t="shared" si="298"/>
        <v>0</v>
      </c>
      <c r="U2581" s="245">
        <f t="shared" si="299"/>
        <v>0</v>
      </c>
      <c r="V2581" s="247"/>
    </row>
    <row r="2582" spans="1:22" ht="15.75" x14ac:dyDescent="0.25">
      <c r="A2582" s="236"/>
      <c r="B2582" s="237"/>
      <c r="C2582" s="238"/>
      <c r="D2582" s="239"/>
      <c r="E2582" s="240"/>
      <c r="F2582" s="240"/>
      <c r="G2582" s="240"/>
      <c r="H2582" s="241">
        <f t="shared" si="294"/>
        <v>0</v>
      </c>
      <c r="I2582" s="242"/>
      <c r="J2582" s="243"/>
      <c r="K2582" s="243"/>
      <c r="L2582" s="244">
        <v>0.1</v>
      </c>
      <c r="M2582" s="244">
        <f t="shared" si="295"/>
        <v>0</v>
      </c>
      <c r="N2582" s="244"/>
      <c r="O2582" s="244"/>
      <c r="P2582" s="244"/>
      <c r="Q2582" s="245">
        <f t="shared" si="296"/>
        <v>0</v>
      </c>
      <c r="R2582" s="245">
        <f t="shared" si="297"/>
        <v>0</v>
      </c>
      <c r="S2582" s="246">
        <v>0.5</v>
      </c>
      <c r="T2582" s="245">
        <f t="shared" si="298"/>
        <v>0</v>
      </c>
      <c r="U2582" s="245">
        <f t="shared" si="299"/>
        <v>0</v>
      </c>
      <c r="V2582" s="247"/>
    </row>
    <row r="2583" spans="1:22" ht="15.75" x14ac:dyDescent="0.25">
      <c r="A2583" s="236"/>
      <c r="B2583" s="237"/>
      <c r="C2583" s="238"/>
      <c r="D2583" s="239"/>
      <c r="E2583" s="240"/>
      <c r="F2583" s="240"/>
      <c r="G2583" s="240"/>
      <c r="H2583" s="241">
        <f t="shared" si="294"/>
        <v>0</v>
      </c>
      <c r="I2583" s="242"/>
      <c r="J2583" s="243"/>
      <c r="K2583" s="243"/>
      <c r="L2583" s="244">
        <v>0.1</v>
      </c>
      <c r="M2583" s="244">
        <f t="shared" si="295"/>
        <v>0</v>
      </c>
      <c r="N2583" s="244"/>
      <c r="O2583" s="244"/>
      <c r="P2583" s="244"/>
      <c r="Q2583" s="245">
        <f t="shared" si="296"/>
        <v>0</v>
      </c>
      <c r="R2583" s="245">
        <f t="shared" si="297"/>
        <v>0</v>
      </c>
      <c r="S2583" s="246">
        <v>0.5</v>
      </c>
      <c r="T2583" s="245">
        <f t="shared" si="298"/>
        <v>0</v>
      </c>
      <c r="U2583" s="245">
        <f t="shared" si="299"/>
        <v>0</v>
      </c>
      <c r="V2583" s="247"/>
    </row>
    <row r="2584" spans="1:22" ht="15.75" x14ac:dyDescent="0.25">
      <c r="A2584" s="236"/>
      <c r="B2584" s="237"/>
      <c r="C2584" s="238"/>
      <c r="D2584" s="239"/>
      <c r="E2584" s="240"/>
      <c r="F2584" s="240"/>
      <c r="G2584" s="240"/>
      <c r="H2584" s="241">
        <f t="shared" si="294"/>
        <v>0</v>
      </c>
      <c r="I2584" s="242"/>
      <c r="J2584" s="243"/>
      <c r="K2584" s="243"/>
      <c r="L2584" s="244">
        <v>0.1</v>
      </c>
      <c r="M2584" s="244">
        <f t="shared" si="295"/>
        <v>0</v>
      </c>
      <c r="N2584" s="244"/>
      <c r="O2584" s="244"/>
      <c r="P2584" s="244"/>
      <c r="Q2584" s="245">
        <f t="shared" si="296"/>
        <v>0</v>
      </c>
      <c r="R2584" s="245">
        <f t="shared" si="297"/>
        <v>0</v>
      </c>
      <c r="S2584" s="246">
        <v>0.5</v>
      </c>
      <c r="T2584" s="245">
        <f t="shared" si="298"/>
        <v>0</v>
      </c>
      <c r="U2584" s="245">
        <f t="shared" si="299"/>
        <v>0</v>
      </c>
      <c r="V2584" s="247"/>
    </row>
    <row r="2585" spans="1:22" ht="15.75" x14ac:dyDescent="0.25">
      <c r="A2585" s="236"/>
      <c r="B2585" s="237"/>
      <c r="C2585" s="238"/>
      <c r="D2585" s="239"/>
      <c r="E2585" s="240"/>
      <c r="F2585" s="240"/>
      <c r="G2585" s="240"/>
      <c r="H2585" s="241">
        <f t="shared" si="294"/>
        <v>0</v>
      </c>
      <c r="I2585" s="242"/>
      <c r="J2585" s="243"/>
      <c r="K2585" s="243"/>
      <c r="L2585" s="244">
        <v>0.1</v>
      </c>
      <c r="M2585" s="244">
        <f t="shared" si="295"/>
        <v>0</v>
      </c>
      <c r="N2585" s="244"/>
      <c r="O2585" s="244"/>
      <c r="P2585" s="244"/>
      <c r="Q2585" s="245">
        <f t="shared" si="296"/>
        <v>0</v>
      </c>
      <c r="R2585" s="245">
        <f t="shared" si="297"/>
        <v>0</v>
      </c>
      <c r="S2585" s="246">
        <v>0.5</v>
      </c>
      <c r="T2585" s="245">
        <f t="shared" si="298"/>
        <v>0</v>
      </c>
      <c r="U2585" s="245">
        <f t="shared" si="299"/>
        <v>0</v>
      </c>
      <c r="V2585" s="247"/>
    </row>
    <row r="2586" spans="1:22" ht="15.75" x14ac:dyDescent="0.25">
      <c r="A2586" s="236"/>
      <c r="B2586" s="237"/>
      <c r="C2586" s="238"/>
      <c r="D2586" s="239"/>
      <c r="E2586" s="240"/>
      <c r="F2586" s="240"/>
      <c r="G2586" s="240"/>
      <c r="H2586" s="241">
        <f t="shared" si="294"/>
        <v>0</v>
      </c>
      <c r="I2586" s="242"/>
      <c r="J2586" s="243"/>
      <c r="K2586" s="243"/>
      <c r="L2586" s="244">
        <v>0.1</v>
      </c>
      <c r="M2586" s="244">
        <f t="shared" si="295"/>
        <v>0</v>
      </c>
      <c r="N2586" s="244"/>
      <c r="O2586" s="244"/>
      <c r="P2586" s="244"/>
      <c r="Q2586" s="245">
        <f t="shared" si="296"/>
        <v>0</v>
      </c>
      <c r="R2586" s="245">
        <f t="shared" si="297"/>
        <v>0</v>
      </c>
      <c r="S2586" s="246">
        <v>0.5</v>
      </c>
      <c r="T2586" s="245">
        <f t="shared" si="298"/>
        <v>0</v>
      </c>
      <c r="U2586" s="245">
        <f t="shared" si="299"/>
        <v>0</v>
      </c>
      <c r="V2586" s="247"/>
    </row>
    <row r="2587" spans="1:22" ht="15.75" x14ac:dyDescent="0.25">
      <c r="A2587" s="236"/>
      <c r="B2587" s="237"/>
      <c r="C2587" s="238"/>
      <c r="D2587" s="239"/>
      <c r="E2587" s="240"/>
      <c r="F2587" s="240"/>
      <c r="G2587" s="240"/>
      <c r="H2587" s="241">
        <f t="shared" si="294"/>
        <v>0</v>
      </c>
      <c r="I2587" s="242"/>
      <c r="J2587" s="243"/>
      <c r="K2587" s="243"/>
      <c r="L2587" s="244">
        <v>0.1</v>
      </c>
      <c r="M2587" s="244">
        <f t="shared" si="295"/>
        <v>0</v>
      </c>
      <c r="N2587" s="244"/>
      <c r="O2587" s="244"/>
      <c r="P2587" s="244"/>
      <c r="Q2587" s="245">
        <f t="shared" si="296"/>
        <v>0</v>
      </c>
      <c r="R2587" s="245">
        <f t="shared" si="297"/>
        <v>0</v>
      </c>
      <c r="S2587" s="246">
        <v>0.5</v>
      </c>
      <c r="T2587" s="245">
        <f t="shared" si="298"/>
        <v>0</v>
      </c>
      <c r="U2587" s="245">
        <f t="shared" si="299"/>
        <v>0</v>
      </c>
      <c r="V2587" s="247"/>
    </row>
    <row r="2588" spans="1:22" ht="15.75" x14ac:dyDescent="0.25">
      <c r="A2588" s="236"/>
      <c r="B2588" s="237"/>
      <c r="C2588" s="238"/>
      <c r="D2588" s="239"/>
      <c r="E2588" s="240"/>
      <c r="F2588" s="240"/>
      <c r="G2588" s="240"/>
      <c r="H2588" s="241">
        <f t="shared" si="294"/>
        <v>0</v>
      </c>
      <c r="I2588" s="242"/>
      <c r="J2588" s="243"/>
      <c r="K2588" s="243"/>
      <c r="L2588" s="244">
        <v>0.1</v>
      </c>
      <c r="M2588" s="244">
        <f t="shared" si="295"/>
        <v>0</v>
      </c>
      <c r="N2588" s="244"/>
      <c r="O2588" s="244"/>
      <c r="P2588" s="244"/>
      <c r="Q2588" s="245">
        <f t="shared" si="296"/>
        <v>0</v>
      </c>
      <c r="R2588" s="245">
        <f t="shared" si="297"/>
        <v>0</v>
      </c>
      <c r="S2588" s="246">
        <v>0.5</v>
      </c>
      <c r="T2588" s="245">
        <f t="shared" si="298"/>
        <v>0</v>
      </c>
      <c r="U2588" s="245">
        <f t="shared" si="299"/>
        <v>0</v>
      </c>
      <c r="V2588" s="247"/>
    </row>
    <row r="2589" spans="1:22" ht="15.75" x14ac:dyDescent="0.25">
      <c r="A2589" s="236"/>
      <c r="B2589" s="237"/>
      <c r="C2589" s="238"/>
      <c r="D2589" s="239"/>
      <c r="E2589" s="240"/>
      <c r="F2589" s="240"/>
      <c r="G2589" s="240"/>
      <c r="H2589" s="241">
        <f t="shared" si="294"/>
        <v>0</v>
      </c>
      <c r="I2589" s="242"/>
      <c r="J2589" s="243"/>
      <c r="K2589" s="243"/>
      <c r="L2589" s="244">
        <v>0.1</v>
      </c>
      <c r="M2589" s="244">
        <f t="shared" si="295"/>
        <v>0</v>
      </c>
      <c r="N2589" s="244"/>
      <c r="O2589" s="244"/>
      <c r="P2589" s="244"/>
      <c r="Q2589" s="245">
        <f t="shared" si="296"/>
        <v>0</v>
      </c>
      <c r="R2589" s="245">
        <f t="shared" si="297"/>
        <v>0</v>
      </c>
      <c r="S2589" s="246">
        <v>0.5</v>
      </c>
      <c r="T2589" s="245">
        <f t="shared" si="298"/>
        <v>0</v>
      </c>
      <c r="U2589" s="245">
        <f t="shared" si="299"/>
        <v>0</v>
      </c>
      <c r="V2589" s="247"/>
    </row>
    <row r="2590" spans="1:22" ht="15.75" x14ac:dyDescent="0.25">
      <c r="A2590" s="236"/>
      <c r="B2590" s="237"/>
      <c r="C2590" s="238"/>
      <c r="D2590" s="239"/>
      <c r="E2590" s="240"/>
      <c r="F2590" s="240"/>
      <c r="G2590" s="240"/>
      <c r="H2590" s="241">
        <f t="shared" si="294"/>
        <v>0</v>
      </c>
      <c r="I2590" s="242"/>
      <c r="J2590" s="243"/>
      <c r="K2590" s="243"/>
      <c r="L2590" s="244">
        <v>0.1</v>
      </c>
      <c r="M2590" s="244">
        <f t="shared" si="295"/>
        <v>0</v>
      </c>
      <c r="N2590" s="244"/>
      <c r="O2590" s="244"/>
      <c r="P2590" s="244"/>
      <c r="Q2590" s="245">
        <f t="shared" si="296"/>
        <v>0</v>
      </c>
      <c r="R2590" s="245">
        <f t="shared" si="297"/>
        <v>0</v>
      </c>
      <c r="S2590" s="246">
        <v>0.5</v>
      </c>
      <c r="T2590" s="245">
        <f t="shared" si="298"/>
        <v>0</v>
      </c>
      <c r="U2590" s="245">
        <f t="shared" si="299"/>
        <v>0</v>
      </c>
      <c r="V2590" s="247"/>
    </row>
    <row r="2591" spans="1:22" ht="15.75" x14ac:dyDescent="0.25">
      <c r="A2591" s="236"/>
      <c r="B2591" s="237"/>
      <c r="C2591" s="238"/>
      <c r="D2591" s="239"/>
      <c r="E2591" s="240"/>
      <c r="F2591" s="240"/>
      <c r="G2591" s="240"/>
      <c r="H2591" s="241">
        <f t="shared" si="294"/>
        <v>0</v>
      </c>
      <c r="I2591" s="242"/>
      <c r="J2591" s="243"/>
      <c r="K2591" s="243"/>
      <c r="L2591" s="244">
        <v>0.1</v>
      </c>
      <c r="M2591" s="244">
        <f t="shared" si="295"/>
        <v>0</v>
      </c>
      <c r="N2591" s="244"/>
      <c r="O2591" s="244"/>
      <c r="P2591" s="244"/>
      <c r="Q2591" s="245">
        <f t="shared" si="296"/>
        <v>0</v>
      </c>
      <c r="R2591" s="245">
        <f t="shared" si="297"/>
        <v>0</v>
      </c>
      <c r="S2591" s="246">
        <v>0.5</v>
      </c>
      <c r="T2591" s="245">
        <f t="shared" si="298"/>
        <v>0</v>
      </c>
      <c r="U2591" s="245">
        <f t="shared" si="299"/>
        <v>0</v>
      </c>
      <c r="V2591" s="247"/>
    </row>
    <row r="2592" spans="1:22" ht="15.75" x14ac:dyDescent="0.25">
      <c r="A2592" s="236"/>
      <c r="B2592" s="237"/>
      <c r="C2592" s="238"/>
      <c r="D2592" s="239"/>
      <c r="E2592" s="240"/>
      <c r="F2592" s="240"/>
      <c r="G2592" s="240"/>
      <c r="H2592" s="241">
        <f t="shared" si="294"/>
        <v>0</v>
      </c>
      <c r="I2592" s="242"/>
      <c r="J2592" s="243"/>
      <c r="K2592" s="243"/>
      <c r="L2592" s="244">
        <v>0.1</v>
      </c>
      <c r="M2592" s="244">
        <f t="shared" si="295"/>
        <v>0</v>
      </c>
      <c r="N2592" s="244"/>
      <c r="O2592" s="244"/>
      <c r="P2592" s="244"/>
      <c r="Q2592" s="245">
        <f t="shared" si="296"/>
        <v>0</v>
      </c>
      <c r="R2592" s="245">
        <f t="shared" si="297"/>
        <v>0</v>
      </c>
      <c r="S2592" s="246">
        <v>0.5</v>
      </c>
      <c r="T2592" s="245">
        <f t="shared" si="298"/>
        <v>0</v>
      </c>
      <c r="U2592" s="245">
        <f t="shared" si="299"/>
        <v>0</v>
      </c>
      <c r="V2592" s="247"/>
    </row>
    <row r="2593" spans="1:22" ht="15.75" x14ac:dyDescent="0.25">
      <c r="A2593" s="236"/>
      <c r="B2593" s="237"/>
      <c r="C2593" s="238"/>
      <c r="D2593" s="239"/>
      <c r="E2593" s="240"/>
      <c r="F2593" s="240"/>
      <c r="G2593" s="240"/>
      <c r="H2593" s="241">
        <f t="shared" si="294"/>
        <v>0</v>
      </c>
      <c r="I2593" s="242"/>
      <c r="J2593" s="243"/>
      <c r="K2593" s="243"/>
      <c r="L2593" s="244">
        <v>0.1</v>
      </c>
      <c r="M2593" s="244">
        <f t="shared" si="295"/>
        <v>0</v>
      </c>
      <c r="N2593" s="244"/>
      <c r="O2593" s="244"/>
      <c r="P2593" s="244"/>
      <c r="Q2593" s="245">
        <f t="shared" si="296"/>
        <v>0</v>
      </c>
      <c r="R2593" s="245">
        <f t="shared" si="297"/>
        <v>0</v>
      </c>
      <c r="S2593" s="246">
        <v>0.5</v>
      </c>
      <c r="T2593" s="245">
        <f t="shared" si="298"/>
        <v>0</v>
      </c>
      <c r="U2593" s="245">
        <f t="shared" si="299"/>
        <v>0</v>
      </c>
      <c r="V2593" s="247"/>
    </row>
    <row r="2594" spans="1:22" ht="15.75" x14ac:dyDescent="0.25">
      <c r="A2594" s="236"/>
      <c r="B2594" s="237"/>
      <c r="C2594" s="238"/>
      <c r="D2594" s="239"/>
      <c r="E2594" s="240"/>
      <c r="F2594" s="240"/>
      <c r="G2594" s="240"/>
      <c r="H2594" s="241">
        <f t="shared" si="294"/>
        <v>0</v>
      </c>
      <c r="I2594" s="242"/>
      <c r="J2594" s="243"/>
      <c r="K2594" s="243"/>
      <c r="L2594" s="244">
        <v>0.1</v>
      </c>
      <c r="M2594" s="244">
        <f t="shared" si="295"/>
        <v>0</v>
      </c>
      <c r="N2594" s="244"/>
      <c r="O2594" s="244"/>
      <c r="P2594" s="244"/>
      <c r="Q2594" s="245">
        <f t="shared" si="296"/>
        <v>0</v>
      </c>
      <c r="R2594" s="245">
        <f t="shared" si="297"/>
        <v>0</v>
      </c>
      <c r="S2594" s="246">
        <v>0.5</v>
      </c>
      <c r="T2594" s="245">
        <f t="shared" si="298"/>
        <v>0</v>
      </c>
      <c r="U2594" s="245">
        <f t="shared" si="299"/>
        <v>0</v>
      </c>
      <c r="V2594" s="247"/>
    </row>
    <row r="2595" spans="1:22" ht="15.75" x14ac:dyDescent="0.25">
      <c r="A2595" s="236"/>
      <c r="B2595" s="237"/>
      <c r="C2595" s="238"/>
      <c r="D2595" s="239"/>
      <c r="E2595" s="240"/>
      <c r="F2595" s="240"/>
      <c r="G2595" s="240"/>
      <c r="H2595" s="241">
        <f t="shared" si="294"/>
        <v>0</v>
      </c>
      <c r="I2595" s="242"/>
      <c r="J2595" s="243"/>
      <c r="K2595" s="243"/>
      <c r="L2595" s="244">
        <v>0.1</v>
      </c>
      <c r="M2595" s="244">
        <f t="shared" si="295"/>
        <v>0</v>
      </c>
      <c r="N2595" s="244"/>
      <c r="O2595" s="244"/>
      <c r="P2595" s="244"/>
      <c r="Q2595" s="245">
        <f t="shared" si="296"/>
        <v>0</v>
      </c>
      <c r="R2595" s="245">
        <f t="shared" si="297"/>
        <v>0</v>
      </c>
      <c r="S2595" s="246">
        <v>0.5</v>
      </c>
      <c r="T2595" s="245">
        <f t="shared" si="298"/>
        <v>0</v>
      </c>
      <c r="U2595" s="245">
        <f t="shared" si="299"/>
        <v>0</v>
      </c>
      <c r="V2595" s="247"/>
    </row>
    <row r="2596" spans="1:22" ht="15.75" x14ac:dyDescent="0.25">
      <c r="A2596" s="236"/>
      <c r="B2596" s="237"/>
      <c r="C2596" s="238"/>
      <c r="D2596" s="239"/>
      <c r="E2596" s="240"/>
      <c r="F2596" s="240"/>
      <c r="G2596" s="240"/>
      <c r="H2596" s="241">
        <f t="shared" si="294"/>
        <v>0</v>
      </c>
      <c r="I2596" s="242"/>
      <c r="J2596" s="243"/>
      <c r="K2596" s="243"/>
      <c r="L2596" s="244">
        <v>0.1</v>
      </c>
      <c r="M2596" s="244">
        <f t="shared" si="295"/>
        <v>0</v>
      </c>
      <c r="N2596" s="244"/>
      <c r="O2596" s="244"/>
      <c r="P2596" s="244"/>
      <c r="Q2596" s="245">
        <f t="shared" si="296"/>
        <v>0</v>
      </c>
      <c r="R2596" s="245">
        <f t="shared" si="297"/>
        <v>0</v>
      </c>
      <c r="S2596" s="246">
        <v>0.5</v>
      </c>
      <c r="T2596" s="245">
        <f t="shared" si="298"/>
        <v>0</v>
      </c>
      <c r="U2596" s="245">
        <f t="shared" si="299"/>
        <v>0</v>
      </c>
      <c r="V2596" s="247"/>
    </row>
    <row r="2597" spans="1:22" ht="15.75" x14ac:dyDescent="0.25">
      <c r="A2597" s="236"/>
      <c r="B2597" s="237"/>
      <c r="C2597" s="238"/>
      <c r="D2597" s="239"/>
      <c r="E2597" s="240"/>
      <c r="F2597" s="240"/>
      <c r="G2597" s="240"/>
      <c r="H2597" s="241">
        <f t="shared" si="294"/>
        <v>0</v>
      </c>
      <c r="I2597" s="242"/>
      <c r="J2597" s="243"/>
      <c r="K2597" s="243"/>
      <c r="L2597" s="244">
        <v>0.1</v>
      </c>
      <c r="M2597" s="244">
        <f t="shared" si="295"/>
        <v>0</v>
      </c>
      <c r="N2597" s="244"/>
      <c r="O2597" s="244"/>
      <c r="P2597" s="244"/>
      <c r="Q2597" s="245">
        <f t="shared" si="296"/>
        <v>0</v>
      </c>
      <c r="R2597" s="245">
        <f t="shared" si="297"/>
        <v>0</v>
      </c>
      <c r="S2597" s="246">
        <v>0.5</v>
      </c>
      <c r="T2597" s="245">
        <f t="shared" si="298"/>
        <v>0</v>
      </c>
      <c r="U2597" s="245">
        <f t="shared" si="299"/>
        <v>0</v>
      </c>
      <c r="V2597" s="247"/>
    </row>
    <row r="2598" spans="1:22" ht="15.75" x14ac:dyDescent="0.25">
      <c r="A2598" s="236"/>
      <c r="B2598" s="237"/>
      <c r="C2598" s="238"/>
      <c r="D2598" s="239"/>
      <c r="E2598" s="240"/>
      <c r="F2598" s="240"/>
      <c r="G2598" s="240"/>
      <c r="H2598" s="241">
        <f t="shared" si="294"/>
        <v>0</v>
      </c>
      <c r="I2598" s="242"/>
      <c r="J2598" s="243"/>
      <c r="K2598" s="243"/>
      <c r="L2598" s="244">
        <v>0.1</v>
      </c>
      <c r="M2598" s="244">
        <f t="shared" si="295"/>
        <v>0</v>
      </c>
      <c r="N2598" s="244"/>
      <c r="O2598" s="244"/>
      <c r="P2598" s="244"/>
      <c r="Q2598" s="245">
        <f t="shared" si="296"/>
        <v>0</v>
      </c>
      <c r="R2598" s="245">
        <f t="shared" si="297"/>
        <v>0</v>
      </c>
      <c r="S2598" s="246">
        <v>0.5</v>
      </c>
      <c r="T2598" s="245">
        <f t="shared" si="298"/>
        <v>0</v>
      </c>
      <c r="U2598" s="245">
        <f t="shared" si="299"/>
        <v>0</v>
      </c>
      <c r="V2598" s="247"/>
    </row>
    <row r="2599" spans="1:22" ht="15.75" x14ac:dyDescent="0.25">
      <c r="A2599" s="236"/>
      <c r="B2599" s="237"/>
      <c r="C2599" s="238"/>
      <c r="D2599" s="239"/>
      <c r="E2599" s="240"/>
      <c r="F2599" s="240"/>
      <c r="G2599" s="240"/>
      <c r="H2599" s="241">
        <f t="shared" si="294"/>
        <v>0</v>
      </c>
      <c r="I2599" s="242"/>
      <c r="J2599" s="243"/>
      <c r="K2599" s="243"/>
      <c r="L2599" s="244">
        <v>0.1</v>
      </c>
      <c r="M2599" s="244">
        <f t="shared" si="295"/>
        <v>0</v>
      </c>
      <c r="N2599" s="244"/>
      <c r="O2599" s="244"/>
      <c r="P2599" s="244"/>
      <c r="Q2599" s="245">
        <f t="shared" si="296"/>
        <v>0</v>
      </c>
      <c r="R2599" s="245">
        <f t="shared" si="297"/>
        <v>0</v>
      </c>
      <c r="S2599" s="246">
        <v>0.5</v>
      </c>
      <c r="T2599" s="245">
        <f t="shared" si="298"/>
        <v>0</v>
      </c>
      <c r="U2599" s="245">
        <f t="shared" si="299"/>
        <v>0</v>
      </c>
      <c r="V2599" s="247"/>
    </row>
    <row r="2600" spans="1:22" ht="15.75" x14ac:dyDescent="0.25">
      <c r="A2600" s="236"/>
      <c r="B2600" s="237"/>
      <c r="C2600" s="238"/>
      <c r="D2600" s="239"/>
      <c r="E2600" s="240"/>
      <c r="F2600" s="240"/>
      <c r="G2600" s="240"/>
      <c r="H2600" s="241">
        <f t="shared" si="294"/>
        <v>0</v>
      </c>
      <c r="I2600" s="242"/>
      <c r="J2600" s="243"/>
      <c r="K2600" s="243"/>
      <c r="L2600" s="244">
        <v>0.1</v>
      </c>
      <c r="M2600" s="244">
        <f t="shared" si="295"/>
        <v>0</v>
      </c>
      <c r="N2600" s="244"/>
      <c r="O2600" s="244"/>
      <c r="P2600" s="244"/>
      <c r="Q2600" s="245">
        <f t="shared" si="296"/>
        <v>0</v>
      </c>
      <c r="R2600" s="245">
        <f t="shared" si="297"/>
        <v>0</v>
      </c>
      <c r="S2600" s="246">
        <v>0.5</v>
      </c>
      <c r="T2600" s="245">
        <f t="shared" si="298"/>
        <v>0</v>
      </c>
      <c r="U2600" s="245">
        <f t="shared" si="299"/>
        <v>0</v>
      </c>
      <c r="V2600" s="247"/>
    </row>
    <row r="2601" spans="1:22" ht="15.75" x14ac:dyDescent="0.25">
      <c r="A2601" s="236"/>
      <c r="B2601" s="237"/>
      <c r="C2601" s="238"/>
      <c r="D2601" s="239"/>
      <c r="E2601" s="240"/>
      <c r="F2601" s="240"/>
      <c r="G2601" s="240"/>
      <c r="H2601" s="241">
        <f t="shared" si="294"/>
        <v>0</v>
      </c>
      <c r="I2601" s="242"/>
      <c r="J2601" s="243"/>
      <c r="K2601" s="243"/>
      <c r="L2601" s="244">
        <v>0.1</v>
      </c>
      <c r="M2601" s="244">
        <f t="shared" si="295"/>
        <v>0</v>
      </c>
      <c r="N2601" s="244"/>
      <c r="O2601" s="244"/>
      <c r="P2601" s="244"/>
      <c r="Q2601" s="245">
        <f t="shared" si="296"/>
        <v>0</v>
      </c>
      <c r="R2601" s="245">
        <f t="shared" si="297"/>
        <v>0</v>
      </c>
      <c r="S2601" s="246">
        <v>0.5</v>
      </c>
      <c r="T2601" s="245">
        <f t="shared" si="298"/>
        <v>0</v>
      </c>
      <c r="U2601" s="245">
        <f t="shared" si="299"/>
        <v>0</v>
      </c>
      <c r="V2601" s="247"/>
    </row>
    <row r="2602" spans="1:22" ht="15.75" x14ac:dyDescent="0.25">
      <c r="A2602" s="236"/>
      <c r="B2602" s="237"/>
      <c r="C2602" s="238"/>
      <c r="D2602" s="239"/>
      <c r="E2602" s="240"/>
      <c r="F2602" s="240"/>
      <c r="G2602" s="240"/>
      <c r="H2602" s="241">
        <f t="shared" si="294"/>
        <v>0</v>
      </c>
      <c r="I2602" s="242"/>
      <c r="J2602" s="243"/>
      <c r="K2602" s="243"/>
      <c r="L2602" s="244">
        <v>0.1</v>
      </c>
      <c r="M2602" s="244">
        <f t="shared" si="295"/>
        <v>0</v>
      </c>
      <c r="N2602" s="244"/>
      <c r="O2602" s="244"/>
      <c r="P2602" s="244"/>
      <c r="Q2602" s="245">
        <f t="shared" si="296"/>
        <v>0</v>
      </c>
      <c r="R2602" s="245">
        <f t="shared" si="297"/>
        <v>0</v>
      </c>
      <c r="S2602" s="246">
        <v>0.5</v>
      </c>
      <c r="T2602" s="245">
        <f t="shared" si="298"/>
        <v>0</v>
      </c>
      <c r="U2602" s="245">
        <f t="shared" si="299"/>
        <v>0</v>
      </c>
      <c r="V2602" s="247"/>
    </row>
    <row r="2603" spans="1:22" ht="15.75" x14ac:dyDescent="0.25">
      <c r="A2603" s="236"/>
      <c r="B2603" s="237"/>
      <c r="C2603" s="238"/>
      <c r="D2603" s="239"/>
      <c r="E2603" s="240"/>
      <c r="F2603" s="240"/>
      <c r="G2603" s="240"/>
      <c r="H2603" s="241">
        <f t="shared" si="294"/>
        <v>0</v>
      </c>
      <c r="I2603" s="242"/>
      <c r="J2603" s="243"/>
      <c r="K2603" s="243"/>
      <c r="L2603" s="244">
        <v>0.1</v>
      </c>
      <c r="M2603" s="244">
        <f t="shared" si="295"/>
        <v>0</v>
      </c>
      <c r="N2603" s="244"/>
      <c r="O2603" s="244"/>
      <c r="P2603" s="244"/>
      <c r="Q2603" s="245">
        <f t="shared" si="296"/>
        <v>0</v>
      </c>
      <c r="R2603" s="245">
        <f t="shared" si="297"/>
        <v>0</v>
      </c>
      <c r="S2603" s="246">
        <v>0.5</v>
      </c>
      <c r="T2603" s="245">
        <f t="shared" si="298"/>
        <v>0</v>
      </c>
      <c r="U2603" s="245">
        <f t="shared" si="299"/>
        <v>0</v>
      </c>
      <c r="V2603" s="247"/>
    </row>
    <row r="2604" spans="1:22" ht="15.75" x14ac:dyDescent="0.25">
      <c r="A2604" s="236"/>
      <c r="B2604" s="237"/>
      <c r="C2604" s="238"/>
      <c r="D2604" s="239"/>
      <c r="E2604" s="240"/>
      <c r="F2604" s="240"/>
      <c r="G2604" s="240"/>
      <c r="H2604" s="241">
        <f t="shared" si="294"/>
        <v>0</v>
      </c>
      <c r="I2604" s="242"/>
      <c r="J2604" s="243"/>
      <c r="K2604" s="243"/>
      <c r="L2604" s="244">
        <v>0.1</v>
      </c>
      <c r="M2604" s="244">
        <f t="shared" si="295"/>
        <v>0</v>
      </c>
      <c r="N2604" s="244"/>
      <c r="O2604" s="244"/>
      <c r="P2604" s="244"/>
      <c r="Q2604" s="245">
        <f t="shared" si="296"/>
        <v>0</v>
      </c>
      <c r="R2604" s="245">
        <f t="shared" si="297"/>
        <v>0</v>
      </c>
      <c r="S2604" s="246">
        <v>0.5</v>
      </c>
      <c r="T2604" s="245">
        <f t="shared" si="298"/>
        <v>0</v>
      </c>
      <c r="U2604" s="245">
        <f t="shared" si="299"/>
        <v>0</v>
      </c>
      <c r="V2604" s="247"/>
    </row>
    <row r="2605" spans="1:22" ht="15.75" x14ac:dyDescent="0.25">
      <c r="A2605" s="236"/>
      <c r="B2605" s="237"/>
      <c r="C2605" s="238"/>
      <c r="D2605" s="239"/>
      <c r="E2605" s="240"/>
      <c r="F2605" s="240"/>
      <c r="G2605" s="240"/>
      <c r="H2605" s="241">
        <f t="shared" si="294"/>
        <v>0</v>
      </c>
      <c r="I2605" s="242"/>
      <c r="J2605" s="243"/>
      <c r="K2605" s="243"/>
      <c r="L2605" s="244">
        <v>0.1</v>
      </c>
      <c r="M2605" s="244">
        <f t="shared" si="295"/>
        <v>0</v>
      </c>
      <c r="N2605" s="244"/>
      <c r="O2605" s="244"/>
      <c r="P2605" s="244"/>
      <c r="Q2605" s="245">
        <f t="shared" si="296"/>
        <v>0</v>
      </c>
      <c r="R2605" s="245">
        <f t="shared" si="297"/>
        <v>0</v>
      </c>
      <c r="S2605" s="246">
        <v>0.5</v>
      </c>
      <c r="T2605" s="245">
        <f t="shared" si="298"/>
        <v>0</v>
      </c>
      <c r="U2605" s="245">
        <f t="shared" si="299"/>
        <v>0</v>
      </c>
      <c r="V2605" s="247"/>
    </row>
    <row r="2606" spans="1:22" ht="15.75" x14ac:dyDescent="0.25">
      <c r="A2606" s="236"/>
      <c r="B2606" s="237"/>
      <c r="C2606" s="238"/>
      <c r="D2606" s="239"/>
      <c r="E2606" s="240"/>
      <c r="F2606" s="240"/>
      <c r="G2606" s="240"/>
      <c r="H2606" s="241">
        <f t="shared" si="294"/>
        <v>0</v>
      </c>
      <c r="I2606" s="242"/>
      <c r="J2606" s="243"/>
      <c r="K2606" s="243"/>
      <c r="L2606" s="244">
        <v>0.1</v>
      </c>
      <c r="M2606" s="244">
        <f t="shared" si="295"/>
        <v>0</v>
      </c>
      <c r="N2606" s="244"/>
      <c r="O2606" s="244"/>
      <c r="P2606" s="244"/>
      <c r="Q2606" s="245">
        <f t="shared" si="296"/>
        <v>0</v>
      </c>
      <c r="R2606" s="245">
        <f t="shared" si="297"/>
        <v>0</v>
      </c>
      <c r="S2606" s="246">
        <v>0.5</v>
      </c>
      <c r="T2606" s="245">
        <f t="shared" si="298"/>
        <v>0</v>
      </c>
      <c r="U2606" s="245">
        <f t="shared" si="299"/>
        <v>0</v>
      </c>
      <c r="V2606" s="247"/>
    </row>
    <row r="2607" spans="1:22" ht="15.75" x14ac:dyDescent="0.25">
      <c r="A2607" s="236"/>
      <c r="B2607" s="237"/>
      <c r="C2607" s="238"/>
      <c r="D2607" s="239"/>
      <c r="E2607" s="240"/>
      <c r="F2607" s="240"/>
      <c r="G2607" s="240"/>
      <c r="H2607" s="241">
        <f t="shared" si="294"/>
        <v>0</v>
      </c>
      <c r="I2607" s="242"/>
      <c r="J2607" s="243"/>
      <c r="K2607" s="243"/>
      <c r="L2607" s="244">
        <v>0.1</v>
      </c>
      <c r="M2607" s="244">
        <f t="shared" si="295"/>
        <v>0</v>
      </c>
      <c r="N2607" s="244"/>
      <c r="O2607" s="244"/>
      <c r="P2607" s="244"/>
      <c r="Q2607" s="245">
        <f t="shared" si="296"/>
        <v>0</v>
      </c>
      <c r="R2607" s="245">
        <f t="shared" si="297"/>
        <v>0</v>
      </c>
      <c r="S2607" s="246">
        <v>0.5</v>
      </c>
      <c r="T2607" s="245">
        <f t="shared" si="298"/>
        <v>0</v>
      </c>
      <c r="U2607" s="245">
        <f t="shared" si="299"/>
        <v>0</v>
      </c>
      <c r="V2607" s="247"/>
    </row>
    <row r="2608" spans="1:22" ht="15.75" x14ac:dyDescent="0.25">
      <c r="A2608" s="236"/>
      <c r="B2608" s="237"/>
      <c r="C2608" s="238"/>
      <c r="D2608" s="239"/>
      <c r="E2608" s="240"/>
      <c r="F2608" s="240"/>
      <c r="G2608" s="240"/>
      <c r="H2608" s="241">
        <f t="shared" si="294"/>
        <v>0</v>
      </c>
      <c r="I2608" s="242"/>
      <c r="J2608" s="243"/>
      <c r="K2608" s="243"/>
      <c r="L2608" s="244">
        <v>0.1</v>
      </c>
      <c r="M2608" s="244">
        <f t="shared" si="295"/>
        <v>0</v>
      </c>
      <c r="N2608" s="244"/>
      <c r="O2608" s="244"/>
      <c r="P2608" s="244"/>
      <c r="Q2608" s="245">
        <f t="shared" si="296"/>
        <v>0</v>
      </c>
      <c r="R2608" s="245">
        <f t="shared" si="297"/>
        <v>0</v>
      </c>
      <c r="S2608" s="246">
        <v>0.5</v>
      </c>
      <c r="T2608" s="245">
        <f t="shared" si="298"/>
        <v>0</v>
      </c>
      <c r="U2608" s="245">
        <f t="shared" si="299"/>
        <v>0</v>
      </c>
      <c r="V2608" s="247"/>
    </row>
    <row r="2609" spans="1:22" ht="15.75" x14ac:dyDescent="0.25">
      <c r="A2609" s="236"/>
      <c r="B2609" s="237"/>
      <c r="C2609" s="238"/>
      <c r="D2609" s="239"/>
      <c r="E2609" s="240"/>
      <c r="F2609" s="240"/>
      <c r="G2609" s="240"/>
      <c r="H2609" s="241">
        <f t="shared" si="294"/>
        <v>0</v>
      </c>
      <c r="I2609" s="242"/>
      <c r="J2609" s="243"/>
      <c r="K2609" s="243"/>
      <c r="L2609" s="244">
        <v>0.1</v>
      </c>
      <c r="M2609" s="244">
        <f t="shared" si="295"/>
        <v>0</v>
      </c>
      <c r="N2609" s="244"/>
      <c r="O2609" s="244"/>
      <c r="P2609" s="244"/>
      <c r="Q2609" s="245">
        <f t="shared" si="296"/>
        <v>0</v>
      </c>
      <c r="R2609" s="245">
        <f t="shared" si="297"/>
        <v>0</v>
      </c>
      <c r="S2609" s="246">
        <v>0.5</v>
      </c>
      <c r="T2609" s="245">
        <f t="shared" si="298"/>
        <v>0</v>
      </c>
      <c r="U2609" s="245">
        <f t="shared" si="299"/>
        <v>0</v>
      </c>
      <c r="V2609" s="247"/>
    </row>
    <row r="2610" spans="1:22" ht="15.75" x14ac:dyDescent="0.25">
      <c r="A2610" s="236"/>
      <c r="B2610" s="237"/>
      <c r="C2610" s="238"/>
      <c r="D2610" s="239"/>
      <c r="E2610" s="240"/>
      <c r="F2610" s="240"/>
      <c r="G2610" s="240"/>
      <c r="H2610" s="241">
        <f t="shared" si="294"/>
        <v>0</v>
      </c>
      <c r="I2610" s="242"/>
      <c r="J2610" s="243"/>
      <c r="K2610" s="243"/>
      <c r="L2610" s="244">
        <v>0.1</v>
      </c>
      <c r="M2610" s="244">
        <f t="shared" si="295"/>
        <v>0</v>
      </c>
      <c r="N2610" s="244"/>
      <c r="O2610" s="244"/>
      <c r="P2610" s="244"/>
      <c r="Q2610" s="245">
        <f t="shared" si="296"/>
        <v>0</v>
      </c>
      <c r="R2610" s="245">
        <f t="shared" si="297"/>
        <v>0</v>
      </c>
      <c r="S2610" s="246">
        <v>0.5</v>
      </c>
      <c r="T2610" s="245">
        <f t="shared" si="298"/>
        <v>0</v>
      </c>
      <c r="U2610" s="245">
        <f t="shared" si="299"/>
        <v>0</v>
      </c>
      <c r="V2610" s="247"/>
    </row>
    <row r="2611" spans="1:22" ht="15.75" x14ac:dyDescent="0.25">
      <c r="A2611" s="236"/>
      <c r="B2611" s="237"/>
      <c r="C2611" s="238"/>
      <c r="D2611" s="239"/>
      <c r="E2611" s="240"/>
      <c r="F2611" s="240"/>
      <c r="G2611" s="240"/>
      <c r="H2611" s="241">
        <f t="shared" si="294"/>
        <v>0</v>
      </c>
      <c r="I2611" s="242"/>
      <c r="J2611" s="243"/>
      <c r="K2611" s="243"/>
      <c r="L2611" s="244">
        <v>0.1</v>
      </c>
      <c r="M2611" s="244">
        <f t="shared" si="295"/>
        <v>0</v>
      </c>
      <c r="N2611" s="244"/>
      <c r="O2611" s="244"/>
      <c r="P2611" s="244"/>
      <c r="Q2611" s="245">
        <f t="shared" si="296"/>
        <v>0</v>
      </c>
      <c r="R2611" s="245">
        <f t="shared" si="297"/>
        <v>0</v>
      </c>
      <c r="S2611" s="246">
        <v>0.5</v>
      </c>
      <c r="T2611" s="245">
        <f t="shared" si="298"/>
        <v>0</v>
      </c>
      <c r="U2611" s="245">
        <f t="shared" si="299"/>
        <v>0</v>
      </c>
      <c r="V2611" s="247"/>
    </row>
    <row r="2612" spans="1:22" ht="15.75" x14ac:dyDescent="0.25">
      <c r="A2612" s="236"/>
      <c r="B2612" s="237"/>
      <c r="C2612" s="238"/>
      <c r="D2612" s="239"/>
      <c r="E2612" s="240"/>
      <c r="F2612" s="240"/>
      <c r="G2612" s="240"/>
      <c r="H2612" s="241">
        <f t="shared" si="294"/>
        <v>0</v>
      </c>
      <c r="I2612" s="242"/>
      <c r="J2612" s="243"/>
      <c r="K2612" s="243"/>
      <c r="L2612" s="244">
        <v>0.1</v>
      </c>
      <c r="M2612" s="244">
        <f t="shared" si="295"/>
        <v>0</v>
      </c>
      <c r="N2612" s="244"/>
      <c r="O2612" s="244"/>
      <c r="P2612" s="244"/>
      <c r="Q2612" s="245">
        <f t="shared" si="296"/>
        <v>0</v>
      </c>
      <c r="R2612" s="245">
        <f t="shared" si="297"/>
        <v>0</v>
      </c>
      <c r="S2612" s="246">
        <v>0.5</v>
      </c>
      <c r="T2612" s="245">
        <f t="shared" si="298"/>
        <v>0</v>
      </c>
      <c r="U2612" s="245">
        <f t="shared" si="299"/>
        <v>0</v>
      </c>
      <c r="V2612" s="247"/>
    </row>
    <row r="2613" spans="1:22" ht="15.75" x14ac:dyDescent="0.25">
      <c r="A2613" s="236"/>
      <c r="B2613" s="237"/>
      <c r="C2613" s="238"/>
      <c r="D2613" s="239"/>
      <c r="E2613" s="240"/>
      <c r="F2613" s="240"/>
      <c r="G2613" s="240"/>
      <c r="H2613" s="241">
        <f t="shared" si="294"/>
        <v>0</v>
      </c>
      <c r="I2613" s="242"/>
      <c r="J2613" s="243"/>
      <c r="K2613" s="243"/>
      <c r="L2613" s="244">
        <v>0.1</v>
      </c>
      <c r="M2613" s="244">
        <f t="shared" si="295"/>
        <v>0</v>
      </c>
      <c r="N2613" s="244"/>
      <c r="O2613" s="244"/>
      <c r="P2613" s="244"/>
      <c r="Q2613" s="245">
        <f t="shared" si="296"/>
        <v>0</v>
      </c>
      <c r="R2613" s="245">
        <f t="shared" si="297"/>
        <v>0</v>
      </c>
      <c r="S2613" s="246">
        <v>0.5</v>
      </c>
      <c r="T2613" s="245">
        <f t="shared" si="298"/>
        <v>0</v>
      </c>
      <c r="U2613" s="245">
        <f t="shared" si="299"/>
        <v>0</v>
      </c>
      <c r="V2613" s="247"/>
    </row>
    <row r="2614" spans="1:22" ht="15.75" x14ac:dyDescent="0.25">
      <c r="A2614" s="236"/>
      <c r="B2614" s="237"/>
      <c r="C2614" s="238"/>
      <c r="D2614" s="239"/>
      <c r="E2614" s="240"/>
      <c r="F2614" s="240"/>
      <c r="G2614" s="240"/>
      <c r="H2614" s="241">
        <f t="shared" si="294"/>
        <v>0</v>
      </c>
      <c r="I2614" s="242"/>
      <c r="J2614" s="243"/>
      <c r="K2614" s="243"/>
      <c r="L2614" s="244">
        <v>0.1</v>
      </c>
      <c r="M2614" s="244">
        <f t="shared" si="295"/>
        <v>0</v>
      </c>
      <c r="N2614" s="244"/>
      <c r="O2614" s="244"/>
      <c r="P2614" s="244"/>
      <c r="Q2614" s="245">
        <f t="shared" si="296"/>
        <v>0</v>
      </c>
      <c r="R2614" s="245">
        <f t="shared" si="297"/>
        <v>0</v>
      </c>
      <c r="S2614" s="246">
        <v>0.5</v>
      </c>
      <c r="T2614" s="245">
        <f t="shared" si="298"/>
        <v>0</v>
      </c>
      <c r="U2614" s="245">
        <f t="shared" si="299"/>
        <v>0</v>
      </c>
      <c r="V2614" s="247"/>
    </row>
    <row r="2615" spans="1:22" ht="15.75" x14ac:dyDescent="0.25">
      <c r="A2615" s="236"/>
      <c r="B2615" s="237"/>
      <c r="C2615" s="238"/>
      <c r="D2615" s="239"/>
      <c r="E2615" s="240"/>
      <c r="F2615" s="240"/>
      <c r="G2615" s="240"/>
      <c r="H2615" s="241">
        <f t="shared" si="294"/>
        <v>0</v>
      </c>
      <c r="I2615" s="242"/>
      <c r="J2615" s="243"/>
      <c r="K2615" s="243"/>
      <c r="L2615" s="244">
        <v>0.1</v>
      </c>
      <c r="M2615" s="244">
        <f t="shared" si="295"/>
        <v>0</v>
      </c>
      <c r="N2615" s="244"/>
      <c r="O2615" s="244"/>
      <c r="P2615" s="244"/>
      <c r="Q2615" s="245">
        <f t="shared" si="296"/>
        <v>0</v>
      </c>
      <c r="R2615" s="245">
        <f t="shared" si="297"/>
        <v>0</v>
      </c>
      <c r="S2615" s="246">
        <v>0.5</v>
      </c>
      <c r="T2615" s="245">
        <f t="shared" si="298"/>
        <v>0</v>
      </c>
      <c r="U2615" s="245">
        <f t="shared" si="299"/>
        <v>0</v>
      </c>
      <c r="V2615" s="247"/>
    </row>
    <row r="2616" spans="1:22" ht="15.75" x14ac:dyDescent="0.25">
      <c r="A2616" s="236"/>
      <c r="B2616" s="237"/>
      <c r="C2616" s="238"/>
      <c r="D2616" s="239"/>
      <c r="E2616" s="240"/>
      <c r="F2616" s="240"/>
      <c r="G2616" s="240"/>
      <c r="H2616" s="241">
        <f t="shared" si="294"/>
        <v>0</v>
      </c>
      <c r="I2616" s="242"/>
      <c r="J2616" s="243"/>
      <c r="K2616" s="243"/>
      <c r="L2616" s="244">
        <v>0.1</v>
      </c>
      <c r="M2616" s="244">
        <f t="shared" si="295"/>
        <v>0</v>
      </c>
      <c r="N2616" s="244"/>
      <c r="O2616" s="244"/>
      <c r="P2616" s="244"/>
      <c r="Q2616" s="245">
        <f t="shared" si="296"/>
        <v>0</v>
      </c>
      <c r="R2616" s="245">
        <f t="shared" si="297"/>
        <v>0</v>
      </c>
      <c r="S2616" s="246">
        <v>0.5</v>
      </c>
      <c r="T2616" s="245">
        <f t="shared" si="298"/>
        <v>0</v>
      </c>
      <c r="U2616" s="245">
        <f t="shared" si="299"/>
        <v>0</v>
      </c>
      <c r="V2616" s="247"/>
    </row>
    <row r="2617" spans="1:22" ht="15.75" x14ac:dyDescent="0.25">
      <c r="A2617" s="236"/>
      <c r="B2617" s="237"/>
      <c r="C2617" s="238"/>
      <c r="D2617" s="239"/>
      <c r="E2617" s="240"/>
      <c r="F2617" s="240"/>
      <c r="G2617" s="240"/>
      <c r="H2617" s="241">
        <f t="shared" si="294"/>
        <v>0</v>
      </c>
      <c r="I2617" s="242"/>
      <c r="J2617" s="243"/>
      <c r="K2617" s="243"/>
      <c r="L2617" s="244">
        <v>0.1</v>
      </c>
      <c r="M2617" s="244">
        <f t="shared" si="295"/>
        <v>0</v>
      </c>
      <c r="N2617" s="244"/>
      <c r="O2617" s="244"/>
      <c r="P2617" s="244"/>
      <c r="Q2617" s="245">
        <f t="shared" si="296"/>
        <v>0</v>
      </c>
      <c r="R2617" s="245">
        <f t="shared" si="297"/>
        <v>0</v>
      </c>
      <c r="S2617" s="246">
        <v>0.5</v>
      </c>
      <c r="T2617" s="245">
        <f t="shared" si="298"/>
        <v>0</v>
      </c>
      <c r="U2617" s="245">
        <f t="shared" si="299"/>
        <v>0</v>
      </c>
      <c r="V2617" s="247"/>
    </row>
    <row r="2618" spans="1:22" ht="15.75" x14ac:dyDescent="0.25">
      <c r="A2618" s="236"/>
      <c r="B2618" s="237"/>
      <c r="C2618" s="238"/>
      <c r="D2618" s="239"/>
      <c r="E2618" s="240"/>
      <c r="F2618" s="240"/>
      <c r="G2618" s="240"/>
      <c r="H2618" s="241">
        <f t="shared" si="294"/>
        <v>0</v>
      </c>
      <c r="I2618" s="242"/>
      <c r="J2618" s="243"/>
      <c r="K2618" s="243"/>
      <c r="L2618" s="244">
        <v>0.1</v>
      </c>
      <c r="M2618" s="244">
        <f t="shared" si="295"/>
        <v>0</v>
      </c>
      <c r="N2618" s="244"/>
      <c r="O2618" s="244"/>
      <c r="P2618" s="244"/>
      <c r="Q2618" s="245">
        <f t="shared" si="296"/>
        <v>0</v>
      </c>
      <c r="R2618" s="245">
        <f t="shared" si="297"/>
        <v>0</v>
      </c>
      <c r="S2618" s="246">
        <v>0.5</v>
      </c>
      <c r="T2618" s="245">
        <f t="shared" si="298"/>
        <v>0</v>
      </c>
      <c r="U2618" s="245">
        <f t="shared" si="299"/>
        <v>0</v>
      </c>
      <c r="V2618" s="247"/>
    </row>
    <row r="2619" spans="1:22" ht="15.75" x14ac:dyDescent="0.25">
      <c r="A2619" s="236"/>
      <c r="B2619" s="237"/>
      <c r="C2619" s="238"/>
      <c r="D2619" s="239"/>
      <c r="E2619" s="240"/>
      <c r="F2619" s="240"/>
      <c r="G2619" s="240"/>
      <c r="H2619" s="241">
        <f t="shared" si="294"/>
        <v>0</v>
      </c>
      <c r="I2619" s="242"/>
      <c r="J2619" s="243"/>
      <c r="K2619" s="243"/>
      <c r="L2619" s="244">
        <v>0.1</v>
      </c>
      <c r="M2619" s="244">
        <f t="shared" si="295"/>
        <v>0</v>
      </c>
      <c r="N2619" s="244"/>
      <c r="O2619" s="244"/>
      <c r="P2619" s="244"/>
      <c r="Q2619" s="245">
        <f t="shared" si="296"/>
        <v>0</v>
      </c>
      <c r="R2619" s="245">
        <f t="shared" si="297"/>
        <v>0</v>
      </c>
      <c r="S2619" s="246">
        <v>0.5</v>
      </c>
      <c r="T2619" s="245">
        <f t="shared" si="298"/>
        <v>0</v>
      </c>
      <c r="U2619" s="245">
        <f t="shared" si="299"/>
        <v>0</v>
      </c>
      <c r="V2619" s="247"/>
    </row>
    <row r="2620" spans="1:22" ht="15.75" x14ac:dyDescent="0.25">
      <c r="A2620" s="236"/>
      <c r="B2620" s="237"/>
      <c r="C2620" s="238"/>
      <c r="D2620" s="239"/>
      <c r="E2620" s="240"/>
      <c r="F2620" s="240"/>
      <c r="G2620" s="240"/>
      <c r="H2620" s="241">
        <f t="shared" si="294"/>
        <v>0</v>
      </c>
      <c r="I2620" s="242"/>
      <c r="J2620" s="243"/>
      <c r="K2620" s="243"/>
      <c r="L2620" s="244">
        <v>0.1</v>
      </c>
      <c r="M2620" s="244">
        <f t="shared" si="295"/>
        <v>0</v>
      </c>
      <c r="N2620" s="244"/>
      <c r="O2620" s="244"/>
      <c r="P2620" s="244"/>
      <c r="Q2620" s="245">
        <f t="shared" si="296"/>
        <v>0</v>
      </c>
      <c r="R2620" s="245">
        <f t="shared" si="297"/>
        <v>0</v>
      </c>
      <c r="S2620" s="246">
        <v>0.5</v>
      </c>
      <c r="T2620" s="245">
        <f t="shared" si="298"/>
        <v>0</v>
      </c>
      <c r="U2620" s="245">
        <f t="shared" si="299"/>
        <v>0</v>
      </c>
      <c r="V2620" s="247"/>
    </row>
    <row r="2621" spans="1:22" ht="15.75" x14ac:dyDescent="0.25">
      <c r="A2621" s="236"/>
      <c r="B2621" s="237"/>
      <c r="C2621" s="238"/>
      <c r="D2621" s="239"/>
      <c r="E2621" s="240"/>
      <c r="F2621" s="240"/>
      <c r="G2621" s="240"/>
      <c r="H2621" s="241">
        <f t="shared" ref="H2621:H2684" si="300">+E2621+F2621+G2621</f>
        <v>0</v>
      </c>
      <c r="I2621" s="242"/>
      <c r="J2621" s="243"/>
      <c r="K2621" s="243"/>
      <c r="L2621" s="244">
        <v>0.1</v>
      </c>
      <c r="M2621" s="244">
        <f t="shared" ref="M2621:M2684" si="301">+L2621*C2621</f>
        <v>0</v>
      </c>
      <c r="N2621" s="244"/>
      <c r="O2621" s="244"/>
      <c r="P2621" s="244"/>
      <c r="Q2621" s="245">
        <f t="shared" ref="Q2621:Q2684" si="302">+N2621+O2621+P2621</f>
        <v>0</v>
      </c>
      <c r="R2621" s="245">
        <f t="shared" ref="R2621:R2684" si="303">IF(+Q2621-H2621&lt;=0,0,Q2621-H2621)</f>
        <v>0</v>
      </c>
      <c r="S2621" s="246">
        <v>0.5</v>
      </c>
      <c r="T2621" s="245">
        <f t="shared" ref="T2621:T2684" si="304">+(R2621*C2621)*S2621</f>
        <v>0</v>
      </c>
      <c r="U2621" s="245">
        <f t="shared" ref="U2621:U2684" si="305">+J2621+M2621+T2621</f>
        <v>0</v>
      </c>
      <c r="V2621" s="247"/>
    </row>
    <row r="2622" spans="1:22" ht="15.75" x14ac:dyDescent="0.25">
      <c r="A2622" s="236"/>
      <c r="B2622" s="237"/>
      <c r="C2622" s="238"/>
      <c r="D2622" s="239"/>
      <c r="E2622" s="240"/>
      <c r="F2622" s="240"/>
      <c r="G2622" s="240"/>
      <c r="H2622" s="241">
        <f t="shared" si="300"/>
        <v>0</v>
      </c>
      <c r="I2622" s="242"/>
      <c r="J2622" s="243"/>
      <c r="K2622" s="243"/>
      <c r="L2622" s="244">
        <v>0.1</v>
      </c>
      <c r="M2622" s="244">
        <f t="shared" si="301"/>
        <v>0</v>
      </c>
      <c r="N2622" s="244"/>
      <c r="O2622" s="244"/>
      <c r="P2622" s="244"/>
      <c r="Q2622" s="245">
        <f t="shared" si="302"/>
        <v>0</v>
      </c>
      <c r="R2622" s="245">
        <f t="shared" si="303"/>
        <v>0</v>
      </c>
      <c r="S2622" s="246">
        <v>0.5</v>
      </c>
      <c r="T2622" s="245">
        <f t="shared" si="304"/>
        <v>0</v>
      </c>
      <c r="U2622" s="245">
        <f t="shared" si="305"/>
        <v>0</v>
      </c>
      <c r="V2622" s="247"/>
    </row>
    <row r="2623" spans="1:22" ht="15.75" x14ac:dyDescent="0.25">
      <c r="A2623" s="236"/>
      <c r="B2623" s="237"/>
      <c r="C2623" s="238"/>
      <c r="D2623" s="239"/>
      <c r="E2623" s="240"/>
      <c r="F2623" s="240"/>
      <c r="G2623" s="240"/>
      <c r="H2623" s="241">
        <f t="shared" si="300"/>
        <v>0</v>
      </c>
      <c r="I2623" s="242"/>
      <c r="J2623" s="243"/>
      <c r="K2623" s="243"/>
      <c r="L2623" s="244">
        <v>0.1</v>
      </c>
      <c r="M2623" s="244">
        <f t="shared" si="301"/>
        <v>0</v>
      </c>
      <c r="N2623" s="244"/>
      <c r="O2623" s="244"/>
      <c r="P2623" s="244"/>
      <c r="Q2623" s="245">
        <f t="shared" si="302"/>
        <v>0</v>
      </c>
      <c r="R2623" s="245">
        <f t="shared" si="303"/>
        <v>0</v>
      </c>
      <c r="S2623" s="246">
        <v>0.5</v>
      </c>
      <c r="T2623" s="245">
        <f t="shared" si="304"/>
        <v>0</v>
      </c>
      <c r="U2623" s="245">
        <f t="shared" si="305"/>
        <v>0</v>
      </c>
      <c r="V2623" s="247"/>
    </row>
    <row r="2624" spans="1:22" ht="15.75" x14ac:dyDescent="0.25">
      <c r="A2624" s="236"/>
      <c r="B2624" s="237"/>
      <c r="C2624" s="238"/>
      <c r="D2624" s="239"/>
      <c r="E2624" s="240"/>
      <c r="F2624" s="240"/>
      <c r="G2624" s="240"/>
      <c r="H2624" s="241">
        <f t="shared" si="300"/>
        <v>0</v>
      </c>
      <c r="I2624" s="242"/>
      <c r="J2624" s="243"/>
      <c r="K2624" s="243"/>
      <c r="L2624" s="244">
        <v>0.1</v>
      </c>
      <c r="M2624" s="244">
        <f t="shared" si="301"/>
        <v>0</v>
      </c>
      <c r="N2624" s="244"/>
      <c r="O2624" s="244"/>
      <c r="P2624" s="244"/>
      <c r="Q2624" s="245">
        <f t="shared" si="302"/>
        <v>0</v>
      </c>
      <c r="R2624" s="245">
        <f t="shared" si="303"/>
        <v>0</v>
      </c>
      <c r="S2624" s="246">
        <v>0.5</v>
      </c>
      <c r="T2624" s="245">
        <f t="shared" si="304"/>
        <v>0</v>
      </c>
      <c r="U2624" s="245">
        <f t="shared" si="305"/>
        <v>0</v>
      </c>
      <c r="V2624" s="247"/>
    </row>
    <row r="2625" spans="1:22" ht="15.75" x14ac:dyDescent="0.25">
      <c r="A2625" s="236"/>
      <c r="B2625" s="237"/>
      <c r="C2625" s="238"/>
      <c r="D2625" s="239"/>
      <c r="E2625" s="240"/>
      <c r="F2625" s="240"/>
      <c r="G2625" s="240"/>
      <c r="H2625" s="241">
        <f t="shared" si="300"/>
        <v>0</v>
      </c>
      <c r="I2625" s="242"/>
      <c r="J2625" s="243"/>
      <c r="K2625" s="243"/>
      <c r="L2625" s="244">
        <v>0.1</v>
      </c>
      <c r="M2625" s="244">
        <f t="shared" si="301"/>
        <v>0</v>
      </c>
      <c r="N2625" s="244"/>
      <c r="O2625" s="244"/>
      <c r="P2625" s="244"/>
      <c r="Q2625" s="245">
        <f t="shared" si="302"/>
        <v>0</v>
      </c>
      <c r="R2625" s="245">
        <f t="shared" si="303"/>
        <v>0</v>
      </c>
      <c r="S2625" s="246">
        <v>0.5</v>
      </c>
      <c r="T2625" s="245">
        <f t="shared" si="304"/>
        <v>0</v>
      </c>
      <c r="U2625" s="245">
        <f t="shared" si="305"/>
        <v>0</v>
      </c>
      <c r="V2625" s="247"/>
    </row>
    <row r="2626" spans="1:22" ht="15.75" x14ac:dyDescent="0.25">
      <c r="A2626" s="236"/>
      <c r="B2626" s="237"/>
      <c r="C2626" s="238"/>
      <c r="D2626" s="239"/>
      <c r="E2626" s="240"/>
      <c r="F2626" s="240"/>
      <c r="G2626" s="240"/>
      <c r="H2626" s="241">
        <f t="shared" si="300"/>
        <v>0</v>
      </c>
      <c r="I2626" s="242"/>
      <c r="J2626" s="243"/>
      <c r="K2626" s="243"/>
      <c r="L2626" s="244">
        <v>0.1</v>
      </c>
      <c r="M2626" s="244">
        <f t="shared" si="301"/>
        <v>0</v>
      </c>
      <c r="N2626" s="244"/>
      <c r="O2626" s="244"/>
      <c r="P2626" s="244"/>
      <c r="Q2626" s="245">
        <f t="shared" si="302"/>
        <v>0</v>
      </c>
      <c r="R2626" s="245">
        <f t="shared" si="303"/>
        <v>0</v>
      </c>
      <c r="S2626" s="246">
        <v>0.5</v>
      </c>
      <c r="T2626" s="245">
        <f t="shared" si="304"/>
        <v>0</v>
      </c>
      <c r="U2626" s="245">
        <f t="shared" si="305"/>
        <v>0</v>
      </c>
      <c r="V2626" s="247"/>
    </row>
    <row r="2627" spans="1:22" ht="15.75" x14ac:dyDescent="0.25">
      <c r="A2627" s="236"/>
      <c r="B2627" s="237"/>
      <c r="C2627" s="238"/>
      <c r="D2627" s="239"/>
      <c r="E2627" s="240"/>
      <c r="F2627" s="240"/>
      <c r="G2627" s="240"/>
      <c r="H2627" s="241">
        <f t="shared" si="300"/>
        <v>0</v>
      </c>
      <c r="I2627" s="242"/>
      <c r="J2627" s="243"/>
      <c r="K2627" s="243"/>
      <c r="L2627" s="244">
        <v>0.1</v>
      </c>
      <c r="M2627" s="244">
        <f t="shared" si="301"/>
        <v>0</v>
      </c>
      <c r="N2627" s="244"/>
      <c r="O2627" s="244"/>
      <c r="P2627" s="244"/>
      <c r="Q2627" s="245">
        <f t="shared" si="302"/>
        <v>0</v>
      </c>
      <c r="R2627" s="245">
        <f t="shared" si="303"/>
        <v>0</v>
      </c>
      <c r="S2627" s="246">
        <v>0.5</v>
      </c>
      <c r="T2627" s="245">
        <f t="shared" si="304"/>
        <v>0</v>
      </c>
      <c r="U2627" s="245">
        <f t="shared" si="305"/>
        <v>0</v>
      </c>
      <c r="V2627" s="247"/>
    </row>
    <row r="2628" spans="1:22" ht="15.75" x14ac:dyDescent="0.25">
      <c r="A2628" s="236"/>
      <c r="B2628" s="237"/>
      <c r="C2628" s="238"/>
      <c r="D2628" s="239"/>
      <c r="E2628" s="240"/>
      <c r="F2628" s="240"/>
      <c r="G2628" s="240"/>
      <c r="H2628" s="241">
        <f t="shared" si="300"/>
        <v>0</v>
      </c>
      <c r="I2628" s="242"/>
      <c r="J2628" s="243"/>
      <c r="K2628" s="243"/>
      <c r="L2628" s="244">
        <v>0.1</v>
      </c>
      <c r="M2628" s="244">
        <f t="shared" si="301"/>
        <v>0</v>
      </c>
      <c r="N2628" s="244"/>
      <c r="O2628" s="244"/>
      <c r="P2628" s="244"/>
      <c r="Q2628" s="245">
        <f t="shared" si="302"/>
        <v>0</v>
      </c>
      <c r="R2628" s="245">
        <f t="shared" si="303"/>
        <v>0</v>
      </c>
      <c r="S2628" s="246">
        <v>0.5</v>
      </c>
      <c r="T2628" s="245">
        <f t="shared" si="304"/>
        <v>0</v>
      </c>
      <c r="U2628" s="245">
        <f t="shared" si="305"/>
        <v>0</v>
      </c>
      <c r="V2628" s="247"/>
    </row>
    <row r="2629" spans="1:22" ht="15.75" x14ac:dyDescent="0.25">
      <c r="A2629" s="236"/>
      <c r="B2629" s="237"/>
      <c r="C2629" s="238"/>
      <c r="D2629" s="239"/>
      <c r="E2629" s="240"/>
      <c r="F2629" s="240"/>
      <c r="G2629" s="240"/>
      <c r="H2629" s="241">
        <f t="shared" si="300"/>
        <v>0</v>
      </c>
      <c r="I2629" s="242"/>
      <c r="J2629" s="243"/>
      <c r="K2629" s="243"/>
      <c r="L2629" s="244">
        <v>0.1</v>
      </c>
      <c r="M2629" s="244">
        <f t="shared" si="301"/>
        <v>0</v>
      </c>
      <c r="N2629" s="244"/>
      <c r="O2629" s="244"/>
      <c r="P2629" s="244"/>
      <c r="Q2629" s="245">
        <f t="shared" si="302"/>
        <v>0</v>
      </c>
      <c r="R2629" s="245">
        <f t="shared" si="303"/>
        <v>0</v>
      </c>
      <c r="S2629" s="246">
        <v>0.5</v>
      </c>
      <c r="T2629" s="245">
        <f t="shared" si="304"/>
        <v>0</v>
      </c>
      <c r="U2629" s="245">
        <f t="shared" si="305"/>
        <v>0</v>
      </c>
      <c r="V2629" s="247"/>
    </row>
    <row r="2630" spans="1:22" ht="15.75" x14ac:dyDescent="0.25">
      <c r="A2630" s="236"/>
      <c r="B2630" s="237"/>
      <c r="C2630" s="238"/>
      <c r="D2630" s="239"/>
      <c r="E2630" s="240"/>
      <c r="F2630" s="240"/>
      <c r="G2630" s="240"/>
      <c r="H2630" s="241">
        <f t="shared" si="300"/>
        <v>0</v>
      </c>
      <c r="I2630" s="242"/>
      <c r="J2630" s="243"/>
      <c r="K2630" s="243"/>
      <c r="L2630" s="244">
        <v>0.1</v>
      </c>
      <c r="M2630" s="244">
        <f t="shared" si="301"/>
        <v>0</v>
      </c>
      <c r="N2630" s="244"/>
      <c r="O2630" s="244"/>
      <c r="P2630" s="244"/>
      <c r="Q2630" s="245">
        <f t="shared" si="302"/>
        <v>0</v>
      </c>
      <c r="R2630" s="245">
        <f t="shared" si="303"/>
        <v>0</v>
      </c>
      <c r="S2630" s="246">
        <v>0.5</v>
      </c>
      <c r="T2630" s="245">
        <f t="shared" si="304"/>
        <v>0</v>
      </c>
      <c r="U2630" s="245">
        <f t="shared" si="305"/>
        <v>0</v>
      </c>
      <c r="V2630" s="247"/>
    </row>
    <row r="2631" spans="1:22" ht="15.75" x14ac:dyDescent="0.25">
      <c r="A2631" s="236"/>
      <c r="B2631" s="237"/>
      <c r="C2631" s="238"/>
      <c r="D2631" s="239"/>
      <c r="E2631" s="240"/>
      <c r="F2631" s="240"/>
      <c r="G2631" s="240"/>
      <c r="H2631" s="241">
        <f t="shared" si="300"/>
        <v>0</v>
      </c>
      <c r="I2631" s="242"/>
      <c r="J2631" s="243"/>
      <c r="K2631" s="243"/>
      <c r="L2631" s="244">
        <v>0.1</v>
      </c>
      <c r="M2631" s="244">
        <f t="shared" si="301"/>
        <v>0</v>
      </c>
      <c r="N2631" s="244"/>
      <c r="O2631" s="244"/>
      <c r="P2631" s="244"/>
      <c r="Q2631" s="245">
        <f t="shared" si="302"/>
        <v>0</v>
      </c>
      <c r="R2631" s="245">
        <f t="shared" si="303"/>
        <v>0</v>
      </c>
      <c r="S2631" s="246">
        <v>0.5</v>
      </c>
      <c r="T2631" s="245">
        <f t="shared" si="304"/>
        <v>0</v>
      </c>
      <c r="U2631" s="245">
        <f t="shared" si="305"/>
        <v>0</v>
      </c>
      <c r="V2631" s="247"/>
    </row>
    <row r="2632" spans="1:22" ht="15.75" x14ac:dyDescent="0.25">
      <c r="A2632" s="236"/>
      <c r="B2632" s="237"/>
      <c r="C2632" s="238"/>
      <c r="D2632" s="239"/>
      <c r="E2632" s="240"/>
      <c r="F2632" s="240"/>
      <c r="G2632" s="240"/>
      <c r="H2632" s="241">
        <f t="shared" si="300"/>
        <v>0</v>
      </c>
      <c r="I2632" s="242"/>
      <c r="J2632" s="243"/>
      <c r="K2632" s="243"/>
      <c r="L2632" s="244">
        <v>0.1</v>
      </c>
      <c r="M2632" s="244">
        <f t="shared" si="301"/>
        <v>0</v>
      </c>
      <c r="N2632" s="244"/>
      <c r="O2632" s="244"/>
      <c r="P2632" s="244"/>
      <c r="Q2632" s="245">
        <f t="shared" si="302"/>
        <v>0</v>
      </c>
      <c r="R2632" s="245">
        <f t="shared" si="303"/>
        <v>0</v>
      </c>
      <c r="S2632" s="246">
        <v>0.5</v>
      </c>
      <c r="T2632" s="245">
        <f t="shared" si="304"/>
        <v>0</v>
      </c>
      <c r="U2632" s="245">
        <f t="shared" si="305"/>
        <v>0</v>
      </c>
      <c r="V2632" s="247"/>
    </row>
    <row r="2633" spans="1:22" ht="15.75" x14ac:dyDescent="0.25">
      <c r="A2633" s="236"/>
      <c r="B2633" s="237"/>
      <c r="C2633" s="238"/>
      <c r="D2633" s="239"/>
      <c r="E2633" s="240"/>
      <c r="F2633" s="240"/>
      <c r="G2633" s="240"/>
      <c r="H2633" s="241">
        <f t="shared" si="300"/>
        <v>0</v>
      </c>
      <c r="I2633" s="242"/>
      <c r="J2633" s="243"/>
      <c r="K2633" s="243"/>
      <c r="L2633" s="244">
        <v>0.1</v>
      </c>
      <c r="M2633" s="244">
        <f t="shared" si="301"/>
        <v>0</v>
      </c>
      <c r="N2633" s="244"/>
      <c r="O2633" s="244"/>
      <c r="P2633" s="244"/>
      <c r="Q2633" s="245">
        <f t="shared" si="302"/>
        <v>0</v>
      </c>
      <c r="R2633" s="245">
        <f t="shared" si="303"/>
        <v>0</v>
      </c>
      <c r="S2633" s="246">
        <v>0.5</v>
      </c>
      <c r="T2633" s="245">
        <f t="shared" si="304"/>
        <v>0</v>
      </c>
      <c r="U2633" s="245">
        <f t="shared" si="305"/>
        <v>0</v>
      </c>
      <c r="V2633" s="247"/>
    </row>
    <row r="2634" spans="1:22" ht="15.75" x14ac:dyDescent="0.25">
      <c r="A2634" s="236"/>
      <c r="B2634" s="237"/>
      <c r="C2634" s="238"/>
      <c r="D2634" s="239"/>
      <c r="E2634" s="240"/>
      <c r="F2634" s="240"/>
      <c r="G2634" s="240"/>
      <c r="H2634" s="241">
        <f t="shared" si="300"/>
        <v>0</v>
      </c>
      <c r="I2634" s="242"/>
      <c r="J2634" s="243"/>
      <c r="K2634" s="243"/>
      <c r="L2634" s="244">
        <v>0.1</v>
      </c>
      <c r="M2634" s="244">
        <f t="shared" si="301"/>
        <v>0</v>
      </c>
      <c r="N2634" s="244"/>
      <c r="O2634" s="244"/>
      <c r="P2634" s="244"/>
      <c r="Q2634" s="245">
        <f t="shared" si="302"/>
        <v>0</v>
      </c>
      <c r="R2634" s="245">
        <f t="shared" si="303"/>
        <v>0</v>
      </c>
      <c r="S2634" s="246">
        <v>0.5</v>
      </c>
      <c r="T2634" s="245">
        <f t="shared" si="304"/>
        <v>0</v>
      </c>
      <c r="U2634" s="245">
        <f t="shared" si="305"/>
        <v>0</v>
      </c>
      <c r="V2634" s="247"/>
    </row>
    <row r="2635" spans="1:22" ht="15.75" x14ac:dyDescent="0.25">
      <c r="A2635" s="236"/>
      <c r="B2635" s="237"/>
      <c r="C2635" s="238"/>
      <c r="D2635" s="239"/>
      <c r="E2635" s="240"/>
      <c r="F2635" s="240"/>
      <c r="G2635" s="240"/>
      <c r="H2635" s="241">
        <f t="shared" si="300"/>
        <v>0</v>
      </c>
      <c r="I2635" s="242"/>
      <c r="J2635" s="243"/>
      <c r="K2635" s="243"/>
      <c r="L2635" s="244">
        <v>0.1</v>
      </c>
      <c r="M2635" s="244">
        <f t="shared" si="301"/>
        <v>0</v>
      </c>
      <c r="N2635" s="244"/>
      <c r="O2635" s="244"/>
      <c r="P2635" s="244"/>
      <c r="Q2635" s="245">
        <f t="shared" si="302"/>
        <v>0</v>
      </c>
      <c r="R2635" s="245">
        <f t="shared" si="303"/>
        <v>0</v>
      </c>
      <c r="S2635" s="246">
        <v>0.5</v>
      </c>
      <c r="T2635" s="245">
        <f t="shared" si="304"/>
        <v>0</v>
      </c>
      <c r="U2635" s="245">
        <f t="shared" si="305"/>
        <v>0</v>
      </c>
      <c r="V2635" s="247"/>
    </row>
    <row r="2636" spans="1:22" ht="15.75" x14ac:dyDescent="0.25">
      <c r="A2636" s="236"/>
      <c r="B2636" s="237"/>
      <c r="C2636" s="238"/>
      <c r="D2636" s="239"/>
      <c r="E2636" s="240"/>
      <c r="F2636" s="240"/>
      <c r="G2636" s="240"/>
      <c r="H2636" s="241">
        <f t="shared" si="300"/>
        <v>0</v>
      </c>
      <c r="I2636" s="242"/>
      <c r="J2636" s="243"/>
      <c r="K2636" s="243"/>
      <c r="L2636" s="244">
        <v>0.1</v>
      </c>
      <c r="M2636" s="244">
        <f t="shared" si="301"/>
        <v>0</v>
      </c>
      <c r="N2636" s="244"/>
      <c r="O2636" s="244"/>
      <c r="P2636" s="244"/>
      <c r="Q2636" s="245">
        <f t="shared" si="302"/>
        <v>0</v>
      </c>
      <c r="R2636" s="245">
        <f t="shared" si="303"/>
        <v>0</v>
      </c>
      <c r="S2636" s="246">
        <v>0.5</v>
      </c>
      <c r="T2636" s="245">
        <f t="shared" si="304"/>
        <v>0</v>
      </c>
      <c r="U2636" s="245">
        <f t="shared" si="305"/>
        <v>0</v>
      </c>
      <c r="V2636" s="247"/>
    </row>
    <row r="2637" spans="1:22" ht="15.75" x14ac:dyDescent="0.25">
      <c r="A2637" s="236"/>
      <c r="B2637" s="237"/>
      <c r="C2637" s="238"/>
      <c r="D2637" s="239"/>
      <c r="E2637" s="240"/>
      <c r="F2637" s="240"/>
      <c r="G2637" s="240"/>
      <c r="H2637" s="241">
        <f t="shared" si="300"/>
        <v>0</v>
      </c>
      <c r="I2637" s="242"/>
      <c r="J2637" s="243"/>
      <c r="K2637" s="243"/>
      <c r="L2637" s="244">
        <v>0.1</v>
      </c>
      <c r="M2637" s="244">
        <f t="shared" si="301"/>
        <v>0</v>
      </c>
      <c r="N2637" s="244"/>
      <c r="O2637" s="244"/>
      <c r="P2637" s="244"/>
      <c r="Q2637" s="245">
        <f t="shared" si="302"/>
        <v>0</v>
      </c>
      <c r="R2637" s="245">
        <f t="shared" si="303"/>
        <v>0</v>
      </c>
      <c r="S2637" s="246">
        <v>0.5</v>
      </c>
      <c r="T2637" s="245">
        <f t="shared" si="304"/>
        <v>0</v>
      </c>
      <c r="U2637" s="245">
        <f t="shared" si="305"/>
        <v>0</v>
      </c>
      <c r="V2637" s="247"/>
    </row>
    <row r="2638" spans="1:22" ht="15.75" x14ac:dyDescent="0.25">
      <c r="A2638" s="236"/>
      <c r="B2638" s="237"/>
      <c r="C2638" s="238"/>
      <c r="D2638" s="239"/>
      <c r="E2638" s="240"/>
      <c r="F2638" s="240"/>
      <c r="G2638" s="240"/>
      <c r="H2638" s="241">
        <f t="shared" si="300"/>
        <v>0</v>
      </c>
      <c r="I2638" s="242"/>
      <c r="J2638" s="243"/>
      <c r="K2638" s="243"/>
      <c r="L2638" s="244">
        <v>0.1</v>
      </c>
      <c r="M2638" s="244">
        <f t="shared" si="301"/>
        <v>0</v>
      </c>
      <c r="N2638" s="244"/>
      <c r="O2638" s="244"/>
      <c r="P2638" s="244"/>
      <c r="Q2638" s="245">
        <f t="shared" si="302"/>
        <v>0</v>
      </c>
      <c r="R2638" s="245">
        <f t="shared" si="303"/>
        <v>0</v>
      </c>
      <c r="S2638" s="246">
        <v>0.5</v>
      </c>
      <c r="T2638" s="245">
        <f t="shared" si="304"/>
        <v>0</v>
      </c>
      <c r="U2638" s="245">
        <f t="shared" si="305"/>
        <v>0</v>
      </c>
      <c r="V2638" s="247"/>
    </row>
    <row r="2639" spans="1:22" ht="15.75" x14ac:dyDescent="0.25">
      <c r="A2639" s="236"/>
      <c r="B2639" s="237"/>
      <c r="C2639" s="238"/>
      <c r="D2639" s="239"/>
      <c r="E2639" s="240"/>
      <c r="F2639" s="240"/>
      <c r="G2639" s="240"/>
      <c r="H2639" s="241">
        <f t="shared" si="300"/>
        <v>0</v>
      </c>
      <c r="I2639" s="242"/>
      <c r="J2639" s="243"/>
      <c r="K2639" s="243"/>
      <c r="L2639" s="244">
        <v>0.1</v>
      </c>
      <c r="M2639" s="244">
        <f t="shared" si="301"/>
        <v>0</v>
      </c>
      <c r="N2639" s="244"/>
      <c r="O2639" s="244"/>
      <c r="P2639" s="244"/>
      <c r="Q2639" s="245">
        <f t="shared" si="302"/>
        <v>0</v>
      </c>
      <c r="R2639" s="245">
        <f t="shared" si="303"/>
        <v>0</v>
      </c>
      <c r="S2639" s="246">
        <v>0.5</v>
      </c>
      <c r="T2639" s="245">
        <f t="shared" si="304"/>
        <v>0</v>
      </c>
      <c r="U2639" s="245">
        <f t="shared" si="305"/>
        <v>0</v>
      </c>
      <c r="V2639" s="247"/>
    </row>
    <row r="2640" spans="1:22" ht="15.75" x14ac:dyDescent="0.25">
      <c r="A2640" s="236"/>
      <c r="B2640" s="237"/>
      <c r="C2640" s="238"/>
      <c r="D2640" s="239"/>
      <c r="E2640" s="240"/>
      <c r="F2640" s="240"/>
      <c r="G2640" s="240"/>
      <c r="H2640" s="241">
        <f t="shared" si="300"/>
        <v>0</v>
      </c>
      <c r="I2640" s="242"/>
      <c r="J2640" s="243"/>
      <c r="K2640" s="243"/>
      <c r="L2640" s="244">
        <v>0.1</v>
      </c>
      <c r="M2640" s="244">
        <f t="shared" si="301"/>
        <v>0</v>
      </c>
      <c r="N2640" s="244"/>
      <c r="O2640" s="244"/>
      <c r="P2640" s="244"/>
      <c r="Q2640" s="245">
        <f t="shared" si="302"/>
        <v>0</v>
      </c>
      <c r="R2640" s="245">
        <f t="shared" si="303"/>
        <v>0</v>
      </c>
      <c r="S2640" s="246">
        <v>0.5</v>
      </c>
      <c r="T2640" s="245">
        <f t="shared" si="304"/>
        <v>0</v>
      </c>
      <c r="U2640" s="245">
        <f t="shared" si="305"/>
        <v>0</v>
      </c>
      <c r="V2640" s="247"/>
    </row>
    <row r="2641" spans="1:22" ht="15.75" x14ac:dyDescent="0.25">
      <c r="A2641" s="236"/>
      <c r="B2641" s="237"/>
      <c r="C2641" s="238"/>
      <c r="D2641" s="239"/>
      <c r="E2641" s="240"/>
      <c r="F2641" s="240"/>
      <c r="G2641" s="240"/>
      <c r="H2641" s="241">
        <f t="shared" si="300"/>
        <v>0</v>
      </c>
      <c r="I2641" s="242"/>
      <c r="J2641" s="243"/>
      <c r="K2641" s="243"/>
      <c r="L2641" s="244">
        <v>0.1</v>
      </c>
      <c r="M2641" s="244">
        <f t="shared" si="301"/>
        <v>0</v>
      </c>
      <c r="N2641" s="244"/>
      <c r="O2641" s="244"/>
      <c r="P2641" s="244"/>
      <c r="Q2641" s="245">
        <f t="shared" si="302"/>
        <v>0</v>
      </c>
      <c r="R2641" s="245">
        <f t="shared" si="303"/>
        <v>0</v>
      </c>
      <c r="S2641" s="246">
        <v>0.5</v>
      </c>
      <c r="T2641" s="245">
        <f t="shared" si="304"/>
        <v>0</v>
      </c>
      <c r="U2641" s="245">
        <f t="shared" si="305"/>
        <v>0</v>
      </c>
      <c r="V2641" s="247"/>
    </row>
    <row r="2642" spans="1:22" ht="15.75" x14ac:dyDescent="0.25">
      <c r="A2642" s="236"/>
      <c r="B2642" s="237"/>
      <c r="C2642" s="238"/>
      <c r="D2642" s="239"/>
      <c r="E2642" s="240"/>
      <c r="F2642" s="240"/>
      <c r="G2642" s="240"/>
      <c r="H2642" s="241">
        <f t="shared" si="300"/>
        <v>0</v>
      </c>
      <c r="I2642" s="242"/>
      <c r="J2642" s="243"/>
      <c r="K2642" s="243"/>
      <c r="L2642" s="244">
        <v>0.1</v>
      </c>
      <c r="M2642" s="244">
        <f t="shared" si="301"/>
        <v>0</v>
      </c>
      <c r="N2642" s="244"/>
      <c r="O2642" s="244"/>
      <c r="P2642" s="244"/>
      <c r="Q2642" s="245">
        <f t="shared" si="302"/>
        <v>0</v>
      </c>
      <c r="R2642" s="245">
        <f t="shared" si="303"/>
        <v>0</v>
      </c>
      <c r="S2642" s="246">
        <v>0.5</v>
      </c>
      <c r="T2642" s="245">
        <f t="shared" si="304"/>
        <v>0</v>
      </c>
      <c r="U2642" s="245">
        <f t="shared" si="305"/>
        <v>0</v>
      </c>
      <c r="V2642" s="247"/>
    </row>
    <row r="2643" spans="1:22" ht="15.75" x14ac:dyDescent="0.25">
      <c r="A2643" s="236"/>
      <c r="B2643" s="237"/>
      <c r="C2643" s="238"/>
      <c r="D2643" s="239"/>
      <c r="E2643" s="240"/>
      <c r="F2643" s="240"/>
      <c r="G2643" s="240"/>
      <c r="H2643" s="241">
        <f t="shared" si="300"/>
        <v>0</v>
      </c>
      <c r="I2643" s="242"/>
      <c r="J2643" s="243"/>
      <c r="K2643" s="243"/>
      <c r="L2643" s="244">
        <v>0.1</v>
      </c>
      <c r="M2643" s="244">
        <f t="shared" si="301"/>
        <v>0</v>
      </c>
      <c r="N2643" s="244"/>
      <c r="O2643" s="244"/>
      <c r="P2643" s="244"/>
      <c r="Q2643" s="245">
        <f t="shared" si="302"/>
        <v>0</v>
      </c>
      <c r="R2643" s="245">
        <f t="shared" si="303"/>
        <v>0</v>
      </c>
      <c r="S2643" s="246">
        <v>0.5</v>
      </c>
      <c r="T2643" s="245">
        <f t="shared" si="304"/>
        <v>0</v>
      </c>
      <c r="U2643" s="245">
        <f t="shared" si="305"/>
        <v>0</v>
      </c>
      <c r="V2643" s="247"/>
    </row>
    <row r="2644" spans="1:22" ht="15.75" x14ac:dyDescent="0.25">
      <c r="A2644" s="236"/>
      <c r="B2644" s="237"/>
      <c r="C2644" s="238"/>
      <c r="D2644" s="239"/>
      <c r="E2644" s="240"/>
      <c r="F2644" s="240"/>
      <c r="G2644" s="240"/>
      <c r="H2644" s="241">
        <f t="shared" si="300"/>
        <v>0</v>
      </c>
      <c r="I2644" s="242"/>
      <c r="J2644" s="243"/>
      <c r="K2644" s="243"/>
      <c r="L2644" s="244">
        <v>0.1</v>
      </c>
      <c r="M2644" s="244">
        <f t="shared" si="301"/>
        <v>0</v>
      </c>
      <c r="N2644" s="244"/>
      <c r="O2644" s="244"/>
      <c r="P2644" s="244"/>
      <c r="Q2644" s="245">
        <f t="shared" si="302"/>
        <v>0</v>
      </c>
      <c r="R2644" s="245">
        <f t="shared" si="303"/>
        <v>0</v>
      </c>
      <c r="S2644" s="246">
        <v>0.5</v>
      </c>
      <c r="T2644" s="245">
        <f t="shared" si="304"/>
        <v>0</v>
      </c>
      <c r="U2644" s="245">
        <f t="shared" si="305"/>
        <v>0</v>
      </c>
      <c r="V2644" s="247"/>
    </row>
    <row r="2645" spans="1:22" ht="15.75" x14ac:dyDescent="0.25">
      <c r="A2645" s="236"/>
      <c r="B2645" s="237"/>
      <c r="C2645" s="238"/>
      <c r="D2645" s="239"/>
      <c r="E2645" s="240"/>
      <c r="F2645" s="240"/>
      <c r="G2645" s="240"/>
      <c r="H2645" s="241">
        <f t="shared" si="300"/>
        <v>0</v>
      </c>
      <c r="I2645" s="242"/>
      <c r="J2645" s="243"/>
      <c r="K2645" s="243"/>
      <c r="L2645" s="244">
        <v>0.1</v>
      </c>
      <c r="M2645" s="244">
        <f t="shared" si="301"/>
        <v>0</v>
      </c>
      <c r="N2645" s="244"/>
      <c r="O2645" s="244"/>
      <c r="P2645" s="244"/>
      <c r="Q2645" s="245">
        <f t="shared" si="302"/>
        <v>0</v>
      </c>
      <c r="R2645" s="245">
        <f t="shared" si="303"/>
        <v>0</v>
      </c>
      <c r="S2645" s="246">
        <v>0.5</v>
      </c>
      <c r="T2645" s="245">
        <f t="shared" si="304"/>
        <v>0</v>
      </c>
      <c r="U2645" s="245">
        <f t="shared" si="305"/>
        <v>0</v>
      </c>
      <c r="V2645" s="247"/>
    </row>
    <row r="2646" spans="1:22" ht="15.75" x14ac:dyDescent="0.25">
      <c r="A2646" s="236"/>
      <c r="B2646" s="237"/>
      <c r="C2646" s="238"/>
      <c r="D2646" s="239"/>
      <c r="E2646" s="240"/>
      <c r="F2646" s="240"/>
      <c r="G2646" s="240"/>
      <c r="H2646" s="241">
        <f t="shared" si="300"/>
        <v>0</v>
      </c>
      <c r="I2646" s="242"/>
      <c r="J2646" s="243"/>
      <c r="K2646" s="243"/>
      <c r="L2646" s="244">
        <v>0.1</v>
      </c>
      <c r="M2646" s="244">
        <f t="shared" si="301"/>
        <v>0</v>
      </c>
      <c r="N2646" s="244"/>
      <c r="O2646" s="244"/>
      <c r="P2646" s="244"/>
      <c r="Q2646" s="245">
        <f t="shared" si="302"/>
        <v>0</v>
      </c>
      <c r="R2646" s="245">
        <f t="shared" si="303"/>
        <v>0</v>
      </c>
      <c r="S2646" s="246">
        <v>0.5</v>
      </c>
      <c r="T2646" s="245">
        <f t="shared" si="304"/>
        <v>0</v>
      </c>
      <c r="U2646" s="245">
        <f t="shared" si="305"/>
        <v>0</v>
      </c>
      <c r="V2646" s="247"/>
    </row>
    <row r="2647" spans="1:22" ht="15.75" x14ac:dyDescent="0.25">
      <c r="A2647" s="236"/>
      <c r="B2647" s="237"/>
      <c r="C2647" s="238"/>
      <c r="D2647" s="239"/>
      <c r="E2647" s="240"/>
      <c r="F2647" s="240"/>
      <c r="G2647" s="240"/>
      <c r="H2647" s="241">
        <f t="shared" si="300"/>
        <v>0</v>
      </c>
      <c r="I2647" s="242"/>
      <c r="J2647" s="243"/>
      <c r="K2647" s="243"/>
      <c r="L2647" s="244">
        <v>0.1</v>
      </c>
      <c r="M2647" s="244">
        <f t="shared" si="301"/>
        <v>0</v>
      </c>
      <c r="N2647" s="244"/>
      <c r="O2647" s="244"/>
      <c r="P2647" s="244"/>
      <c r="Q2647" s="245">
        <f t="shared" si="302"/>
        <v>0</v>
      </c>
      <c r="R2647" s="245">
        <f t="shared" si="303"/>
        <v>0</v>
      </c>
      <c r="S2647" s="246">
        <v>0.5</v>
      </c>
      <c r="T2647" s="245">
        <f t="shared" si="304"/>
        <v>0</v>
      </c>
      <c r="U2647" s="245">
        <f t="shared" si="305"/>
        <v>0</v>
      </c>
      <c r="V2647" s="247"/>
    </row>
    <row r="2648" spans="1:22" ht="15.75" x14ac:dyDescent="0.25">
      <c r="A2648" s="236"/>
      <c r="B2648" s="237"/>
      <c r="C2648" s="238"/>
      <c r="D2648" s="239"/>
      <c r="E2648" s="240"/>
      <c r="F2648" s="240"/>
      <c r="G2648" s="240"/>
      <c r="H2648" s="241">
        <f t="shared" si="300"/>
        <v>0</v>
      </c>
      <c r="I2648" s="242"/>
      <c r="J2648" s="243"/>
      <c r="K2648" s="243"/>
      <c r="L2648" s="244">
        <v>0.1</v>
      </c>
      <c r="M2648" s="244">
        <f t="shared" si="301"/>
        <v>0</v>
      </c>
      <c r="N2648" s="244"/>
      <c r="O2648" s="244"/>
      <c r="P2648" s="244"/>
      <c r="Q2648" s="245">
        <f t="shared" si="302"/>
        <v>0</v>
      </c>
      <c r="R2648" s="245">
        <f t="shared" si="303"/>
        <v>0</v>
      </c>
      <c r="S2648" s="246">
        <v>0.5</v>
      </c>
      <c r="T2648" s="245">
        <f t="shared" si="304"/>
        <v>0</v>
      </c>
      <c r="U2648" s="245">
        <f t="shared" si="305"/>
        <v>0</v>
      </c>
      <c r="V2648" s="247"/>
    </row>
    <row r="2649" spans="1:22" ht="15.75" x14ac:dyDescent="0.25">
      <c r="A2649" s="236"/>
      <c r="B2649" s="237"/>
      <c r="C2649" s="238"/>
      <c r="D2649" s="239"/>
      <c r="E2649" s="240"/>
      <c r="F2649" s="240"/>
      <c r="G2649" s="240"/>
      <c r="H2649" s="241">
        <f t="shared" si="300"/>
        <v>0</v>
      </c>
      <c r="I2649" s="242"/>
      <c r="J2649" s="243"/>
      <c r="K2649" s="243"/>
      <c r="L2649" s="244">
        <v>0.1</v>
      </c>
      <c r="M2649" s="244">
        <f t="shared" si="301"/>
        <v>0</v>
      </c>
      <c r="N2649" s="244"/>
      <c r="O2649" s="244"/>
      <c r="P2649" s="244"/>
      <c r="Q2649" s="245">
        <f t="shared" si="302"/>
        <v>0</v>
      </c>
      <c r="R2649" s="245">
        <f t="shared" si="303"/>
        <v>0</v>
      </c>
      <c r="S2649" s="246">
        <v>0.5</v>
      </c>
      <c r="T2649" s="245">
        <f t="shared" si="304"/>
        <v>0</v>
      </c>
      <c r="U2649" s="245">
        <f t="shared" si="305"/>
        <v>0</v>
      </c>
      <c r="V2649" s="247"/>
    </row>
    <row r="2650" spans="1:22" ht="15.75" x14ac:dyDescent="0.25">
      <c r="A2650" s="236"/>
      <c r="B2650" s="237"/>
      <c r="C2650" s="238"/>
      <c r="D2650" s="239"/>
      <c r="E2650" s="240"/>
      <c r="F2650" s="240"/>
      <c r="G2650" s="240"/>
      <c r="H2650" s="241">
        <f t="shared" si="300"/>
        <v>0</v>
      </c>
      <c r="I2650" s="242"/>
      <c r="J2650" s="243"/>
      <c r="K2650" s="243"/>
      <c r="L2650" s="244">
        <v>0.1</v>
      </c>
      <c r="M2650" s="244">
        <f t="shared" si="301"/>
        <v>0</v>
      </c>
      <c r="N2650" s="244"/>
      <c r="O2650" s="244"/>
      <c r="P2650" s="244"/>
      <c r="Q2650" s="245">
        <f t="shared" si="302"/>
        <v>0</v>
      </c>
      <c r="R2650" s="245">
        <f t="shared" si="303"/>
        <v>0</v>
      </c>
      <c r="S2650" s="246">
        <v>0.5</v>
      </c>
      <c r="T2650" s="245">
        <f t="shared" si="304"/>
        <v>0</v>
      </c>
      <c r="U2650" s="245">
        <f t="shared" si="305"/>
        <v>0</v>
      </c>
      <c r="V2650" s="247"/>
    </row>
    <row r="2651" spans="1:22" ht="15.75" x14ac:dyDescent="0.25">
      <c r="A2651" s="236"/>
      <c r="B2651" s="237"/>
      <c r="C2651" s="238"/>
      <c r="D2651" s="239"/>
      <c r="E2651" s="240"/>
      <c r="F2651" s="240"/>
      <c r="G2651" s="240"/>
      <c r="H2651" s="241">
        <f t="shared" si="300"/>
        <v>0</v>
      </c>
      <c r="I2651" s="242"/>
      <c r="J2651" s="243"/>
      <c r="K2651" s="243"/>
      <c r="L2651" s="244">
        <v>0.1</v>
      </c>
      <c r="M2651" s="244">
        <f t="shared" si="301"/>
        <v>0</v>
      </c>
      <c r="N2651" s="244"/>
      <c r="O2651" s="244"/>
      <c r="P2651" s="244"/>
      <c r="Q2651" s="245">
        <f t="shared" si="302"/>
        <v>0</v>
      </c>
      <c r="R2651" s="245">
        <f t="shared" si="303"/>
        <v>0</v>
      </c>
      <c r="S2651" s="246">
        <v>0.5</v>
      </c>
      <c r="T2651" s="245">
        <f t="shared" si="304"/>
        <v>0</v>
      </c>
      <c r="U2651" s="245">
        <f t="shared" si="305"/>
        <v>0</v>
      </c>
      <c r="V2651" s="247"/>
    </row>
    <row r="2652" spans="1:22" ht="15.75" x14ac:dyDescent="0.25">
      <c r="A2652" s="236"/>
      <c r="B2652" s="237"/>
      <c r="C2652" s="238"/>
      <c r="D2652" s="239"/>
      <c r="E2652" s="240"/>
      <c r="F2652" s="240"/>
      <c r="G2652" s="240"/>
      <c r="H2652" s="241">
        <f t="shared" si="300"/>
        <v>0</v>
      </c>
      <c r="I2652" s="242"/>
      <c r="J2652" s="243"/>
      <c r="K2652" s="243"/>
      <c r="L2652" s="244">
        <v>0.1</v>
      </c>
      <c r="M2652" s="244">
        <f t="shared" si="301"/>
        <v>0</v>
      </c>
      <c r="N2652" s="244"/>
      <c r="O2652" s="244"/>
      <c r="P2652" s="244"/>
      <c r="Q2652" s="245">
        <f t="shared" si="302"/>
        <v>0</v>
      </c>
      <c r="R2652" s="245">
        <f t="shared" si="303"/>
        <v>0</v>
      </c>
      <c r="S2652" s="246">
        <v>0.5</v>
      </c>
      <c r="T2652" s="245">
        <f t="shared" si="304"/>
        <v>0</v>
      </c>
      <c r="U2652" s="245">
        <f t="shared" si="305"/>
        <v>0</v>
      </c>
      <c r="V2652" s="247"/>
    </row>
    <row r="2653" spans="1:22" ht="15.75" x14ac:dyDescent="0.25">
      <c r="A2653" s="236"/>
      <c r="B2653" s="237"/>
      <c r="C2653" s="238"/>
      <c r="D2653" s="239"/>
      <c r="E2653" s="240"/>
      <c r="F2653" s="240"/>
      <c r="G2653" s="240"/>
      <c r="H2653" s="241">
        <f t="shared" si="300"/>
        <v>0</v>
      </c>
      <c r="I2653" s="242"/>
      <c r="J2653" s="243"/>
      <c r="K2653" s="243"/>
      <c r="L2653" s="244">
        <v>0.1</v>
      </c>
      <c r="M2653" s="244">
        <f t="shared" si="301"/>
        <v>0</v>
      </c>
      <c r="N2653" s="244"/>
      <c r="O2653" s="244"/>
      <c r="P2653" s="244"/>
      <c r="Q2653" s="245">
        <f t="shared" si="302"/>
        <v>0</v>
      </c>
      <c r="R2653" s="245">
        <f t="shared" si="303"/>
        <v>0</v>
      </c>
      <c r="S2653" s="246">
        <v>0.5</v>
      </c>
      <c r="T2653" s="245">
        <f t="shared" si="304"/>
        <v>0</v>
      </c>
      <c r="U2653" s="245">
        <f t="shared" si="305"/>
        <v>0</v>
      </c>
      <c r="V2653" s="247"/>
    </row>
    <row r="2654" spans="1:22" ht="15.75" x14ac:dyDescent="0.25">
      <c r="A2654" s="236"/>
      <c r="B2654" s="237"/>
      <c r="C2654" s="238"/>
      <c r="D2654" s="239"/>
      <c r="E2654" s="240"/>
      <c r="F2654" s="240"/>
      <c r="G2654" s="240"/>
      <c r="H2654" s="241">
        <f t="shared" si="300"/>
        <v>0</v>
      </c>
      <c r="I2654" s="242"/>
      <c r="J2654" s="243"/>
      <c r="K2654" s="243"/>
      <c r="L2654" s="244">
        <v>0.1</v>
      </c>
      <c r="M2654" s="244">
        <f t="shared" si="301"/>
        <v>0</v>
      </c>
      <c r="N2654" s="244"/>
      <c r="O2654" s="244"/>
      <c r="P2654" s="244"/>
      <c r="Q2654" s="245">
        <f t="shared" si="302"/>
        <v>0</v>
      </c>
      <c r="R2654" s="245">
        <f t="shared" si="303"/>
        <v>0</v>
      </c>
      <c r="S2654" s="246">
        <v>0.5</v>
      </c>
      <c r="T2654" s="245">
        <f t="shared" si="304"/>
        <v>0</v>
      </c>
      <c r="U2654" s="245">
        <f t="shared" si="305"/>
        <v>0</v>
      </c>
      <c r="V2654" s="247"/>
    </row>
    <row r="2655" spans="1:22" ht="15.75" x14ac:dyDescent="0.25">
      <c r="A2655" s="236"/>
      <c r="B2655" s="237"/>
      <c r="C2655" s="238"/>
      <c r="D2655" s="239"/>
      <c r="E2655" s="240"/>
      <c r="F2655" s="240"/>
      <c r="G2655" s="240"/>
      <c r="H2655" s="241">
        <f t="shared" si="300"/>
        <v>0</v>
      </c>
      <c r="I2655" s="242"/>
      <c r="J2655" s="243"/>
      <c r="K2655" s="243"/>
      <c r="L2655" s="244">
        <v>0.1</v>
      </c>
      <c r="M2655" s="244">
        <f t="shared" si="301"/>
        <v>0</v>
      </c>
      <c r="N2655" s="244"/>
      <c r="O2655" s="244"/>
      <c r="P2655" s="244"/>
      <c r="Q2655" s="245">
        <f t="shared" si="302"/>
        <v>0</v>
      </c>
      <c r="R2655" s="245">
        <f t="shared" si="303"/>
        <v>0</v>
      </c>
      <c r="S2655" s="246">
        <v>0.5</v>
      </c>
      <c r="T2655" s="245">
        <f t="shared" si="304"/>
        <v>0</v>
      </c>
      <c r="U2655" s="245">
        <f t="shared" si="305"/>
        <v>0</v>
      </c>
      <c r="V2655" s="247"/>
    </row>
    <row r="2656" spans="1:22" ht="15.75" x14ac:dyDescent="0.25">
      <c r="A2656" s="236"/>
      <c r="B2656" s="237"/>
      <c r="C2656" s="238"/>
      <c r="D2656" s="239"/>
      <c r="E2656" s="240"/>
      <c r="F2656" s="240"/>
      <c r="G2656" s="240"/>
      <c r="H2656" s="241">
        <f t="shared" si="300"/>
        <v>0</v>
      </c>
      <c r="I2656" s="242"/>
      <c r="J2656" s="243"/>
      <c r="K2656" s="243"/>
      <c r="L2656" s="244">
        <v>0.1</v>
      </c>
      <c r="M2656" s="244">
        <f t="shared" si="301"/>
        <v>0</v>
      </c>
      <c r="N2656" s="244"/>
      <c r="O2656" s="244"/>
      <c r="P2656" s="244"/>
      <c r="Q2656" s="245">
        <f t="shared" si="302"/>
        <v>0</v>
      </c>
      <c r="R2656" s="245">
        <f t="shared" si="303"/>
        <v>0</v>
      </c>
      <c r="S2656" s="246">
        <v>0.5</v>
      </c>
      <c r="T2656" s="245">
        <f t="shared" si="304"/>
        <v>0</v>
      </c>
      <c r="U2656" s="245">
        <f t="shared" si="305"/>
        <v>0</v>
      </c>
      <c r="V2656" s="247"/>
    </row>
    <row r="2657" spans="1:22" ht="15.75" x14ac:dyDescent="0.25">
      <c r="A2657" s="236"/>
      <c r="B2657" s="237"/>
      <c r="C2657" s="238"/>
      <c r="D2657" s="239"/>
      <c r="E2657" s="240"/>
      <c r="F2657" s="240"/>
      <c r="G2657" s="240"/>
      <c r="H2657" s="241">
        <f t="shared" si="300"/>
        <v>0</v>
      </c>
      <c r="I2657" s="242"/>
      <c r="J2657" s="243"/>
      <c r="K2657" s="243"/>
      <c r="L2657" s="244">
        <v>0.1</v>
      </c>
      <c r="M2657" s="244">
        <f t="shared" si="301"/>
        <v>0</v>
      </c>
      <c r="N2657" s="244"/>
      <c r="O2657" s="244"/>
      <c r="P2657" s="244"/>
      <c r="Q2657" s="245">
        <f t="shared" si="302"/>
        <v>0</v>
      </c>
      <c r="R2657" s="245">
        <f t="shared" si="303"/>
        <v>0</v>
      </c>
      <c r="S2657" s="246">
        <v>0.5</v>
      </c>
      <c r="T2657" s="245">
        <f t="shared" si="304"/>
        <v>0</v>
      </c>
      <c r="U2657" s="245">
        <f t="shared" si="305"/>
        <v>0</v>
      </c>
      <c r="V2657" s="247"/>
    </row>
    <row r="2658" spans="1:22" ht="15.75" x14ac:dyDescent="0.25">
      <c r="A2658" s="236"/>
      <c r="B2658" s="237"/>
      <c r="C2658" s="238"/>
      <c r="D2658" s="239"/>
      <c r="E2658" s="240"/>
      <c r="F2658" s="240"/>
      <c r="G2658" s="240"/>
      <c r="H2658" s="241">
        <f t="shared" si="300"/>
        <v>0</v>
      </c>
      <c r="I2658" s="242"/>
      <c r="J2658" s="243"/>
      <c r="K2658" s="243"/>
      <c r="L2658" s="244">
        <v>0.1</v>
      </c>
      <c r="M2658" s="244">
        <f t="shared" si="301"/>
        <v>0</v>
      </c>
      <c r="N2658" s="244"/>
      <c r="O2658" s="244"/>
      <c r="P2658" s="244"/>
      <c r="Q2658" s="245">
        <f t="shared" si="302"/>
        <v>0</v>
      </c>
      <c r="R2658" s="245">
        <f t="shared" si="303"/>
        <v>0</v>
      </c>
      <c r="S2658" s="246">
        <v>0.5</v>
      </c>
      <c r="T2658" s="245">
        <f t="shared" si="304"/>
        <v>0</v>
      </c>
      <c r="U2658" s="245">
        <f t="shared" si="305"/>
        <v>0</v>
      </c>
      <c r="V2658" s="247"/>
    </row>
    <row r="2659" spans="1:22" ht="15.75" x14ac:dyDescent="0.25">
      <c r="A2659" s="236"/>
      <c r="B2659" s="237"/>
      <c r="C2659" s="238"/>
      <c r="D2659" s="239"/>
      <c r="E2659" s="240"/>
      <c r="F2659" s="240"/>
      <c r="G2659" s="240"/>
      <c r="H2659" s="241">
        <f t="shared" si="300"/>
        <v>0</v>
      </c>
      <c r="I2659" s="242"/>
      <c r="J2659" s="243"/>
      <c r="K2659" s="243"/>
      <c r="L2659" s="244">
        <v>0.1</v>
      </c>
      <c r="M2659" s="244">
        <f t="shared" si="301"/>
        <v>0</v>
      </c>
      <c r="N2659" s="244"/>
      <c r="O2659" s="244"/>
      <c r="P2659" s="244"/>
      <c r="Q2659" s="245">
        <f t="shared" si="302"/>
        <v>0</v>
      </c>
      <c r="R2659" s="245">
        <f t="shared" si="303"/>
        <v>0</v>
      </c>
      <c r="S2659" s="246">
        <v>0.5</v>
      </c>
      <c r="T2659" s="245">
        <f t="shared" si="304"/>
        <v>0</v>
      </c>
      <c r="U2659" s="245">
        <f t="shared" si="305"/>
        <v>0</v>
      </c>
      <c r="V2659" s="247"/>
    </row>
    <row r="2660" spans="1:22" ht="15.75" x14ac:dyDescent="0.25">
      <c r="A2660" s="236"/>
      <c r="B2660" s="237"/>
      <c r="C2660" s="238"/>
      <c r="D2660" s="239"/>
      <c r="E2660" s="240"/>
      <c r="F2660" s="240"/>
      <c r="G2660" s="240"/>
      <c r="H2660" s="241">
        <f t="shared" si="300"/>
        <v>0</v>
      </c>
      <c r="I2660" s="242"/>
      <c r="J2660" s="243"/>
      <c r="K2660" s="243"/>
      <c r="L2660" s="244">
        <v>0.1</v>
      </c>
      <c r="M2660" s="244">
        <f t="shared" si="301"/>
        <v>0</v>
      </c>
      <c r="N2660" s="244"/>
      <c r="O2660" s="244"/>
      <c r="P2660" s="244"/>
      <c r="Q2660" s="245">
        <f t="shared" si="302"/>
        <v>0</v>
      </c>
      <c r="R2660" s="245">
        <f t="shared" si="303"/>
        <v>0</v>
      </c>
      <c r="S2660" s="246">
        <v>0.5</v>
      </c>
      <c r="T2660" s="245">
        <f t="shared" si="304"/>
        <v>0</v>
      </c>
      <c r="U2660" s="245">
        <f t="shared" si="305"/>
        <v>0</v>
      </c>
      <c r="V2660" s="247"/>
    </row>
    <row r="2661" spans="1:22" ht="15.75" x14ac:dyDescent="0.25">
      <c r="A2661" s="236"/>
      <c r="B2661" s="237"/>
      <c r="C2661" s="238"/>
      <c r="D2661" s="239"/>
      <c r="E2661" s="240"/>
      <c r="F2661" s="240"/>
      <c r="G2661" s="240"/>
      <c r="H2661" s="241">
        <f t="shared" si="300"/>
        <v>0</v>
      </c>
      <c r="I2661" s="242"/>
      <c r="J2661" s="243"/>
      <c r="K2661" s="243"/>
      <c r="L2661" s="244">
        <v>0.1</v>
      </c>
      <c r="M2661" s="244">
        <f t="shared" si="301"/>
        <v>0</v>
      </c>
      <c r="N2661" s="244"/>
      <c r="O2661" s="244"/>
      <c r="P2661" s="244"/>
      <c r="Q2661" s="245">
        <f t="shared" si="302"/>
        <v>0</v>
      </c>
      <c r="R2661" s="245">
        <f t="shared" si="303"/>
        <v>0</v>
      </c>
      <c r="S2661" s="246">
        <v>0.5</v>
      </c>
      <c r="T2661" s="245">
        <f t="shared" si="304"/>
        <v>0</v>
      </c>
      <c r="U2661" s="245">
        <f t="shared" si="305"/>
        <v>0</v>
      </c>
      <c r="V2661" s="247"/>
    </row>
    <row r="2662" spans="1:22" ht="15.75" x14ac:dyDescent="0.25">
      <c r="A2662" s="236"/>
      <c r="B2662" s="237"/>
      <c r="C2662" s="238"/>
      <c r="D2662" s="239"/>
      <c r="E2662" s="240"/>
      <c r="F2662" s="240"/>
      <c r="G2662" s="240"/>
      <c r="H2662" s="241">
        <f t="shared" si="300"/>
        <v>0</v>
      </c>
      <c r="I2662" s="242"/>
      <c r="J2662" s="243"/>
      <c r="K2662" s="243"/>
      <c r="L2662" s="244">
        <v>0.1</v>
      </c>
      <c r="M2662" s="244">
        <f t="shared" si="301"/>
        <v>0</v>
      </c>
      <c r="N2662" s="244"/>
      <c r="O2662" s="244"/>
      <c r="P2662" s="244"/>
      <c r="Q2662" s="245">
        <f t="shared" si="302"/>
        <v>0</v>
      </c>
      <c r="R2662" s="245">
        <f t="shared" si="303"/>
        <v>0</v>
      </c>
      <c r="S2662" s="246">
        <v>0.5</v>
      </c>
      <c r="T2662" s="245">
        <f t="shared" si="304"/>
        <v>0</v>
      </c>
      <c r="U2662" s="245">
        <f t="shared" si="305"/>
        <v>0</v>
      </c>
      <c r="V2662" s="247"/>
    </row>
    <row r="2663" spans="1:22" ht="15.75" x14ac:dyDescent="0.25">
      <c r="A2663" s="236"/>
      <c r="B2663" s="237"/>
      <c r="C2663" s="238"/>
      <c r="D2663" s="239"/>
      <c r="E2663" s="240"/>
      <c r="F2663" s="240"/>
      <c r="G2663" s="240"/>
      <c r="H2663" s="241">
        <f t="shared" si="300"/>
        <v>0</v>
      </c>
      <c r="I2663" s="242"/>
      <c r="J2663" s="243"/>
      <c r="K2663" s="243"/>
      <c r="L2663" s="244">
        <v>0.1</v>
      </c>
      <c r="M2663" s="244">
        <f t="shared" si="301"/>
        <v>0</v>
      </c>
      <c r="N2663" s="244"/>
      <c r="O2663" s="244"/>
      <c r="P2663" s="244"/>
      <c r="Q2663" s="245">
        <f t="shared" si="302"/>
        <v>0</v>
      </c>
      <c r="R2663" s="245">
        <f t="shared" si="303"/>
        <v>0</v>
      </c>
      <c r="S2663" s="246">
        <v>0.5</v>
      </c>
      <c r="T2663" s="245">
        <f t="shared" si="304"/>
        <v>0</v>
      </c>
      <c r="U2663" s="245">
        <f t="shared" si="305"/>
        <v>0</v>
      </c>
      <c r="V2663" s="247"/>
    </row>
    <row r="2664" spans="1:22" ht="15.75" x14ac:dyDescent="0.25">
      <c r="A2664" s="236"/>
      <c r="B2664" s="237"/>
      <c r="C2664" s="238"/>
      <c r="D2664" s="239"/>
      <c r="E2664" s="240"/>
      <c r="F2664" s="240"/>
      <c r="G2664" s="240"/>
      <c r="H2664" s="241">
        <f t="shared" si="300"/>
        <v>0</v>
      </c>
      <c r="I2664" s="242"/>
      <c r="J2664" s="243"/>
      <c r="K2664" s="243"/>
      <c r="L2664" s="244">
        <v>0.1</v>
      </c>
      <c r="M2664" s="244">
        <f t="shared" si="301"/>
        <v>0</v>
      </c>
      <c r="N2664" s="244"/>
      <c r="O2664" s="244"/>
      <c r="P2664" s="244"/>
      <c r="Q2664" s="245">
        <f t="shared" si="302"/>
        <v>0</v>
      </c>
      <c r="R2664" s="245">
        <f t="shared" si="303"/>
        <v>0</v>
      </c>
      <c r="S2664" s="246">
        <v>0.5</v>
      </c>
      <c r="T2664" s="245">
        <f t="shared" si="304"/>
        <v>0</v>
      </c>
      <c r="U2664" s="245">
        <f t="shared" si="305"/>
        <v>0</v>
      </c>
      <c r="V2664" s="247"/>
    </row>
    <row r="2665" spans="1:22" ht="15.75" x14ac:dyDescent="0.25">
      <c r="A2665" s="236"/>
      <c r="B2665" s="237"/>
      <c r="C2665" s="238"/>
      <c r="D2665" s="239"/>
      <c r="E2665" s="240"/>
      <c r="F2665" s="240"/>
      <c r="G2665" s="240"/>
      <c r="H2665" s="241">
        <f t="shared" si="300"/>
        <v>0</v>
      </c>
      <c r="I2665" s="242"/>
      <c r="J2665" s="243"/>
      <c r="K2665" s="243"/>
      <c r="L2665" s="244">
        <v>0.1</v>
      </c>
      <c r="M2665" s="244">
        <f t="shared" si="301"/>
        <v>0</v>
      </c>
      <c r="N2665" s="244"/>
      <c r="O2665" s="244"/>
      <c r="P2665" s="244"/>
      <c r="Q2665" s="245">
        <f t="shared" si="302"/>
        <v>0</v>
      </c>
      <c r="R2665" s="245">
        <f t="shared" si="303"/>
        <v>0</v>
      </c>
      <c r="S2665" s="246">
        <v>0.5</v>
      </c>
      <c r="T2665" s="245">
        <f t="shared" si="304"/>
        <v>0</v>
      </c>
      <c r="U2665" s="245">
        <f t="shared" si="305"/>
        <v>0</v>
      </c>
      <c r="V2665" s="247"/>
    </row>
    <row r="2666" spans="1:22" ht="15.75" x14ac:dyDescent="0.25">
      <c r="A2666" s="236"/>
      <c r="B2666" s="237"/>
      <c r="C2666" s="238"/>
      <c r="D2666" s="239"/>
      <c r="E2666" s="240"/>
      <c r="F2666" s="240"/>
      <c r="G2666" s="240"/>
      <c r="H2666" s="241">
        <f t="shared" si="300"/>
        <v>0</v>
      </c>
      <c r="I2666" s="242"/>
      <c r="J2666" s="243"/>
      <c r="K2666" s="243"/>
      <c r="L2666" s="244">
        <v>0.1</v>
      </c>
      <c r="M2666" s="244">
        <f t="shared" si="301"/>
        <v>0</v>
      </c>
      <c r="N2666" s="244"/>
      <c r="O2666" s="244"/>
      <c r="P2666" s="244"/>
      <c r="Q2666" s="245">
        <f t="shared" si="302"/>
        <v>0</v>
      </c>
      <c r="R2666" s="245">
        <f t="shared" si="303"/>
        <v>0</v>
      </c>
      <c r="S2666" s="246">
        <v>0.5</v>
      </c>
      <c r="T2666" s="245">
        <f t="shared" si="304"/>
        <v>0</v>
      </c>
      <c r="U2666" s="245">
        <f t="shared" si="305"/>
        <v>0</v>
      </c>
      <c r="V2666" s="247"/>
    </row>
    <row r="2667" spans="1:22" ht="15.75" x14ac:dyDescent="0.25">
      <c r="A2667" s="236"/>
      <c r="B2667" s="237"/>
      <c r="C2667" s="238"/>
      <c r="D2667" s="239"/>
      <c r="E2667" s="240"/>
      <c r="F2667" s="240"/>
      <c r="G2667" s="240"/>
      <c r="H2667" s="241">
        <f t="shared" si="300"/>
        <v>0</v>
      </c>
      <c r="I2667" s="242"/>
      <c r="J2667" s="243"/>
      <c r="K2667" s="243"/>
      <c r="L2667" s="244">
        <v>0.1</v>
      </c>
      <c r="M2667" s="244">
        <f t="shared" si="301"/>
        <v>0</v>
      </c>
      <c r="N2667" s="244"/>
      <c r="O2667" s="244"/>
      <c r="P2667" s="244"/>
      <c r="Q2667" s="245">
        <f t="shared" si="302"/>
        <v>0</v>
      </c>
      <c r="R2667" s="245">
        <f t="shared" si="303"/>
        <v>0</v>
      </c>
      <c r="S2667" s="246">
        <v>0.5</v>
      </c>
      <c r="T2667" s="245">
        <f t="shared" si="304"/>
        <v>0</v>
      </c>
      <c r="U2667" s="245">
        <f t="shared" si="305"/>
        <v>0</v>
      </c>
      <c r="V2667" s="247"/>
    </row>
    <row r="2668" spans="1:22" ht="15.75" x14ac:dyDescent="0.25">
      <c r="A2668" s="236"/>
      <c r="B2668" s="237"/>
      <c r="C2668" s="238"/>
      <c r="D2668" s="239"/>
      <c r="E2668" s="240"/>
      <c r="F2668" s="240"/>
      <c r="G2668" s="240"/>
      <c r="H2668" s="241">
        <f t="shared" si="300"/>
        <v>0</v>
      </c>
      <c r="I2668" s="242"/>
      <c r="J2668" s="243"/>
      <c r="K2668" s="243"/>
      <c r="L2668" s="244">
        <v>0.1</v>
      </c>
      <c r="M2668" s="244">
        <f t="shared" si="301"/>
        <v>0</v>
      </c>
      <c r="N2668" s="244"/>
      <c r="O2668" s="244"/>
      <c r="P2668" s="244"/>
      <c r="Q2668" s="245">
        <f t="shared" si="302"/>
        <v>0</v>
      </c>
      <c r="R2668" s="245">
        <f t="shared" si="303"/>
        <v>0</v>
      </c>
      <c r="S2668" s="246">
        <v>0.5</v>
      </c>
      <c r="T2668" s="245">
        <f t="shared" si="304"/>
        <v>0</v>
      </c>
      <c r="U2668" s="245">
        <f t="shared" si="305"/>
        <v>0</v>
      </c>
      <c r="V2668" s="247"/>
    </row>
    <row r="2669" spans="1:22" ht="15.75" x14ac:dyDescent="0.25">
      <c r="A2669" s="236"/>
      <c r="B2669" s="237"/>
      <c r="C2669" s="238"/>
      <c r="D2669" s="239"/>
      <c r="E2669" s="240"/>
      <c r="F2669" s="240"/>
      <c r="G2669" s="240"/>
      <c r="H2669" s="241">
        <f t="shared" si="300"/>
        <v>0</v>
      </c>
      <c r="I2669" s="242"/>
      <c r="J2669" s="243"/>
      <c r="K2669" s="243"/>
      <c r="L2669" s="244">
        <v>0.1</v>
      </c>
      <c r="M2669" s="244">
        <f t="shared" si="301"/>
        <v>0</v>
      </c>
      <c r="N2669" s="244"/>
      <c r="O2669" s="244"/>
      <c r="P2669" s="244"/>
      <c r="Q2669" s="245">
        <f t="shared" si="302"/>
        <v>0</v>
      </c>
      <c r="R2669" s="245">
        <f t="shared" si="303"/>
        <v>0</v>
      </c>
      <c r="S2669" s="246">
        <v>0.5</v>
      </c>
      <c r="T2669" s="245">
        <f t="shared" si="304"/>
        <v>0</v>
      </c>
      <c r="U2669" s="245">
        <f t="shared" si="305"/>
        <v>0</v>
      </c>
      <c r="V2669" s="247"/>
    </row>
    <row r="2670" spans="1:22" ht="15.75" x14ac:dyDescent="0.25">
      <c r="A2670" s="236"/>
      <c r="B2670" s="237"/>
      <c r="C2670" s="238"/>
      <c r="D2670" s="239"/>
      <c r="E2670" s="240"/>
      <c r="F2670" s="240"/>
      <c r="G2670" s="240"/>
      <c r="H2670" s="241">
        <f t="shared" si="300"/>
        <v>0</v>
      </c>
      <c r="I2670" s="242"/>
      <c r="J2670" s="243"/>
      <c r="K2670" s="243"/>
      <c r="L2670" s="244">
        <v>0.1</v>
      </c>
      <c r="M2670" s="244">
        <f t="shared" si="301"/>
        <v>0</v>
      </c>
      <c r="N2670" s="244"/>
      <c r="O2670" s="244"/>
      <c r="P2670" s="244"/>
      <c r="Q2670" s="245">
        <f t="shared" si="302"/>
        <v>0</v>
      </c>
      <c r="R2670" s="245">
        <f t="shared" si="303"/>
        <v>0</v>
      </c>
      <c r="S2670" s="246">
        <v>0.5</v>
      </c>
      <c r="T2670" s="245">
        <f t="shared" si="304"/>
        <v>0</v>
      </c>
      <c r="U2670" s="245">
        <f t="shared" si="305"/>
        <v>0</v>
      </c>
      <c r="V2670" s="247"/>
    </row>
    <row r="2671" spans="1:22" ht="15.75" x14ac:dyDescent="0.25">
      <c r="A2671" s="236"/>
      <c r="B2671" s="237"/>
      <c r="C2671" s="238"/>
      <c r="D2671" s="239"/>
      <c r="E2671" s="240"/>
      <c r="F2671" s="240"/>
      <c r="G2671" s="240"/>
      <c r="H2671" s="241">
        <f t="shared" si="300"/>
        <v>0</v>
      </c>
      <c r="I2671" s="242"/>
      <c r="J2671" s="243"/>
      <c r="K2671" s="243"/>
      <c r="L2671" s="244">
        <v>0.1</v>
      </c>
      <c r="M2671" s="244">
        <f t="shared" si="301"/>
        <v>0</v>
      </c>
      <c r="N2671" s="244"/>
      <c r="O2671" s="244"/>
      <c r="P2671" s="244"/>
      <c r="Q2671" s="245">
        <f t="shared" si="302"/>
        <v>0</v>
      </c>
      <c r="R2671" s="245">
        <f t="shared" si="303"/>
        <v>0</v>
      </c>
      <c r="S2671" s="246">
        <v>0.5</v>
      </c>
      <c r="T2671" s="245">
        <f t="shared" si="304"/>
        <v>0</v>
      </c>
      <c r="U2671" s="245">
        <f t="shared" si="305"/>
        <v>0</v>
      </c>
      <c r="V2671" s="247"/>
    </row>
    <row r="2672" spans="1:22" ht="15.75" x14ac:dyDescent="0.25">
      <c r="A2672" s="236"/>
      <c r="B2672" s="237"/>
      <c r="C2672" s="238"/>
      <c r="D2672" s="239"/>
      <c r="E2672" s="240"/>
      <c r="F2672" s="240"/>
      <c r="G2672" s="240"/>
      <c r="H2672" s="241">
        <f t="shared" si="300"/>
        <v>0</v>
      </c>
      <c r="I2672" s="242"/>
      <c r="J2672" s="243"/>
      <c r="K2672" s="243"/>
      <c r="L2672" s="244">
        <v>0.1</v>
      </c>
      <c r="M2672" s="244">
        <f t="shared" si="301"/>
        <v>0</v>
      </c>
      <c r="N2672" s="244"/>
      <c r="O2672" s="244"/>
      <c r="P2672" s="244"/>
      <c r="Q2672" s="245">
        <f t="shared" si="302"/>
        <v>0</v>
      </c>
      <c r="R2672" s="245">
        <f t="shared" si="303"/>
        <v>0</v>
      </c>
      <c r="S2672" s="246">
        <v>0.5</v>
      </c>
      <c r="T2672" s="245">
        <f t="shared" si="304"/>
        <v>0</v>
      </c>
      <c r="U2672" s="245">
        <f t="shared" si="305"/>
        <v>0</v>
      </c>
      <c r="V2672" s="247"/>
    </row>
    <row r="2673" spans="1:22" ht="15.75" x14ac:dyDescent="0.25">
      <c r="A2673" s="236"/>
      <c r="B2673" s="237"/>
      <c r="C2673" s="238"/>
      <c r="D2673" s="239"/>
      <c r="E2673" s="240"/>
      <c r="F2673" s="240"/>
      <c r="G2673" s="240"/>
      <c r="H2673" s="241">
        <f t="shared" si="300"/>
        <v>0</v>
      </c>
      <c r="I2673" s="242"/>
      <c r="J2673" s="243"/>
      <c r="K2673" s="243"/>
      <c r="L2673" s="244">
        <v>0.1</v>
      </c>
      <c r="M2673" s="244">
        <f t="shared" si="301"/>
        <v>0</v>
      </c>
      <c r="N2673" s="244"/>
      <c r="O2673" s="244"/>
      <c r="P2673" s="244"/>
      <c r="Q2673" s="245">
        <f t="shared" si="302"/>
        <v>0</v>
      </c>
      <c r="R2673" s="245">
        <f t="shared" si="303"/>
        <v>0</v>
      </c>
      <c r="S2673" s="246">
        <v>0.5</v>
      </c>
      <c r="T2673" s="245">
        <f t="shared" si="304"/>
        <v>0</v>
      </c>
      <c r="U2673" s="245">
        <f t="shared" si="305"/>
        <v>0</v>
      </c>
      <c r="V2673" s="247"/>
    </row>
    <row r="2674" spans="1:22" ht="15.75" x14ac:dyDescent="0.25">
      <c r="A2674" s="236"/>
      <c r="B2674" s="237"/>
      <c r="C2674" s="238"/>
      <c r="D2674" s="239"/>
      <c r="E2674" s="240"/>
      <c r="F2674" s="240"/>
      <c r="G2674" s="240"/>
      <c r="H2674" s="241">
        <f t="shared" si="300"/>
        <v>0</v>
      </c>
      <c r="I2674" s="242"/>
      <c r="J2674" s="243"/>
      <c r="K2674" s="243"/>
      <c r="L2674" s="244">
        <v>0.1</v>
      </c>
      <c r="M2674" s="244">
        <f t="shared" si="301"/>
        <v>0</v>
      </c>
      <c r="N2674" s="244"/>
      <c r="O2674" s="244"/>
      <c r="P2674" s="244"/>
      <c r="Q2674" s="245">
        <f t="shared" si="302"/>
        <v>0</v>
      </c>
      <c r="R2674" s="245">
        <f t="shared" si="303"/>
        <v>0</v>
      </c>
      <c r="S2674" s="246">
        <v>0.5</v>
      </c>
      <c r="T2674" s="245">
        <f t="shared" si="304"/>
        <v>0</v>
      </c>
      <c r="U2674" s="245">
        <f t="shared" si="305"/>
        <v>0</v>
      </c>
      <c r="V2674" s="247"/>
    </row>
    <row r="2675" spans="1:22" ht="15.75" x14ac:dyDescent="0.25">
      <c r="A2675" s="236"/>
      <c r="B2675" s="237"/>
      <c r="C2675" s="238"/>
      <c r="D2675" s="239"/>
      <c r="E2675" s="240"/>
      <c r="F2675" s="240"/>
      <c r="G2675" s="240"/>
      <c r="H2675" s="241">
        <f t="shared" si="300"/>
        <v>0</v>
      </c>
      <c r="I2675" s="242"/>
      <c r="J2675" s="243"/>
      <c r="K2675" s="243"/>
      <c r="L2675" s="244">
        <v>0.1</v>
      </c>
      <c r="M2675" s="244">
        <f t="shared" si="301"/>
        <v>0</v>
      </c>
      <c r="N2675" s="244"/>
      <c r="O2675" s="244"/>
      <c r="P2675" s="244"/>
      <c r="Q2675" s="245">
        <f t="shared" si="302"/>
        <v>0</v>
      </c>
      <c r="R2675" s="245">
        <f t="shared" si="303"/>
        <v>0</v>
      </c>
      <c r="S2675" s="246">
        <v>0.5</v>
      </c>
      <c r="T2675" s="245">
        <f t="shared" si="304"/>
        <v>0</v>
      </c>
      <c r="U2675" s="245">
        <f t="shared" si="305"/>
        <v>0</v>
      </c>
      <c r="V2675" s="247"/>
    </row>
    <row r="2676" spans="1:22" ht="15.75" x14ac:dyDescent="0.25">
      <c r="A2676" s="236"/>
      <c r="B2676" s="237"/>
      <c r="C2676" s="238"/>
      <c r="D2676" s="239"/>
      <c r="E2676" s="240"/>
      <c r="F2676" s="240"/>
      <c r="G2676" s="240"/>
      <c r="H2676" s="241">
        <f t="shared" si="300"/>
        <v>0</v>
      </c>
      <c r="I2676" s="242"/>
      <c r="J2676" s="243"/>
      <c r="K2676" s="243"/>
      <c r="L2676" s="244">
        <v>0.1</v>
      </c>
      <c r="M2676" s="244">
        <f t="shared" si="301"/>
        <v>0</v>
      </c>
      <c r="N2676" s="244"/>
      <c r="O2676" s="244"/>
      <c r="P2676" s="244"/>
      <c r="Q2676" s="245">
        <f t="shared" si="302"/>
        <v>0</v>
      </c>
      <c r="R2676" s="245">
        <f t="shared" si="303"/>
        <v>0</v>
      </c>
      <c r="S2676" s="246">
        <v>0.5</v>
      </c>
      <c r="T2676" s="245">
        <f t="shared" si="304"/>
        <v>0</v>
      </c>
      <c r="U2676" s="245">
        <f t="shared" si="305"/>
        <v>0</v>
      </c>
      <c r="V2676" s="247"/>
    </row>
    <row r="2677" spans="1:22" ht="15.75" x14ac:dyDescent="0.25">
      <c r="A2677" s="236"/>
      <c r="B2677" s="237"/>
      <c r="C2677" s="238"/>
      <c r="D2677" s="239"/>
      <c r="E2677" s="240"/>
      <c r="F2677" s="240"/>
      <c r="G2677" s="240"/>
      <c r="H2677" s="241">
        <f t="shared" si="300"/>
        <v>0</v>
      </c>
      <c r="I2677" s="242"/>
      <c r="J2677" s="243"/>
      <c r="K2677" s="243"/>
      <c r="L2677" s="244">
        <v>0.1</v>
      </c>
      <c r="M2677" s="244">
        <f t="shared" si="301"/>
        <v>0</v>
      </c>
      <c r="N2677" s="244"/>
      <c r="O2677" s="244"/>
      <c r="P2677" s="244"/>
      <c r="Q2677" s="245">
        <f t="shared" si="302"/>
        <v>0</v>
      </c>
      <c r="R2677" s="245">
        <f t="shared" si="303"/>
        <v>0</v>
      </c>
      <c r="S2677" s="246">
        <v>0.5</v>
      </c>
      <c r="T2677" s="245">
        <f t="shared" si="304"/>
        <v>0</v>
      </c>
      <c r="U2677" s="245">
        <f t="shared" si="305"/>
        <v>0</v>
      </c>
      <c r="V2677" s="247"/>
    </row>
    <row r="2678" spans="1:22" ht="15.75" x14ac:dyDescent="0.25">
      <c r="A2678" s="236"/>
      <c r="B2678" s="237"/>
      <c r="C2678" s="238"/>
      <c r="D2678" s="239"/>
      <c r="E2678" s="240"/>
      <c r="F2678" s="240"/>
      <c r="G2678" s="240"/>
      <c r="H2678" s="241">
        <f t="shared" si="300"/>
        <v>0</v>
      </c>
      <c r="I2678" s="242"/>
      <c r="J2678" s="243"/>
      <c r="K2678" s="243"/>
      <c r="L2678" s="244">
        <v>0.1</v>
      </c>
      <c r="M2678" s="244">
        <f t="shared" si="301"/>
        <v>0</v>
      </c>
      <c r="N2678" s="244"/>
      <c r="O2678" s="244"/>
      <c r="P2678" s="244"/>
      <c r="Q2678" s="245">
        <f t="shared" si="302"/>
        <v>0</v>
      </c>
      <c r="R2678" s="245">
        <f t="shared" si="303"/>
        <v>0</v>
      </c>
      <c r="S2678" s="246">
        <v>0.5</v>
      </c>
      <c r="T2678" s="245">
        <f t="shared" si="304"/>
        <v>0</v>
      </c>
      <c r="U2678" s="245">
        <f t="shared" si="305"/>
        <v>0</v>
      </c>
      <c r="V2678" s="247"/>
    </row>
    <row r="2679" spans="1:22" ht="15.75" x14ac:dyDescent="0.25">
      <c r="A2679" s="236"/>
      <c r="B2679" s="237"/>
      <c r="C2679" s="238"/>
      <c r="D2679" s="239"/>
      <c r="E2679" s="240"/>
      <c r="F2679" s="240"/>
      <c r="G2679" s="240"/>
      <c r="H2679" s="241">
        <f t="shared" si="300"/>
        <v>0</v>
      </c>
      <c r="I2679" s="242"/>
      <c r="J2679" s="243"/>
      <c r="K2679" s="243"/>
      <c r="L2679" s="244">
        <v>0.1</v>
      </c>
      <c r="M2679" s="244">
        <f t="shared" si="301"/>
        <v>0</v>
      </c>
      <c r="N2679" s="244"/>
      <c r="O2679" s="244"/>
      <c r="P2679" s="244"/>
      <c r="Q2679" s="245">
        <f t="shared" si="302"/>
        <v>0</v>
      </c>
      <c r="R2679" s="245">
        <f t="shared" si="303"/>
        <v>0</v>
      </c>
      <c r="S2679" s="246">
        <v>0.5</v>
      </c>
      <c r="T2679" s="245">
        <f t="shared" si="304"/>
        <v>0</v>
      </c>
      <c r="U2679" s="245">
        <f t="shared" si="305"/>
        <v>0</v>
      </c>
      <c r="V2679" s="247"/>
    </row>
    <row r="2680" spans="1:22" ht="15.75" x14ac:dyDescent="0.25">
      <c r="A2680" s="236"/>
      <c r="B2680" s="237"/>
      <c r="C2680" s="238"/>
      <c r="D2680" s="239"/>
      <c r="E2680" s="240"/>
      <c r="F2680" s="240"/>
      <c r="G2680" s="240"/>
      <c r="H2680" s="241">
        <f t="shared" si="300"/>
        <v>0</v>
      </c>
      <c r="I2680" s="242"/>
      <c r="J2680" s="243"/>
      <c r="K2680" s="243"/>
      <c r="L2680" s="244">
        <v>0.1</v>
      </c>
      <c r="M2680" s="244">
        <f t="shared" si="301"/>
        <v>0</v>
      </c>
      <c r="N2680" s="244"/>
      <c r="O2680" s="244"/>
      <c r="P2680" s="244"/>
      <c r="Q2680" s="245">
        <f t="shared" si="302"/>
        <v>0</v>
      </c>
      <c r="R2680" s="245">
        <f t="shared" si="303"/>
        <v>0</v>
      </c>
      <c r="S2680" s="246">
        <v>0.5</v>
      </c>
      <c r="T2680" s="245">
        <f t="shared" si="304"/>
        <v>0</v>
      </c>
      <c r="U2680" s="245">
        <f t="shared" si="305"/>
        <v>0</v>
      </c>
      <c r="V2680" s="247"/>
    </row>
    <row r="2681" spans="1:22" ht="15.75" x14ac:dyDescent="0.25">
      <c r="A2681" s="236"/>
      <c r="B2681" s="237"/>
      <c r="C2681" s="238"/>
      <c r="D2681" s="239"/>
      <c r="E2681" s="240"/>
      <c r="F2681" s="240"/>
      <c r="G2681" s="240"/>
      <c r="H2681" s="241">
        <f t="shared" si="300"/>
        <v>0</v>
      </c>
      <c r="I2681" s="242"/>
      <c r="J2681" s="243"/>
      <c r="K2681" s="243"/>
      <c r="L2681" s="244">
        <v>0.1</v>
      </c>
      <c r="M2681" s="244">
        <f t="shared" si="301"/>
        <v>0</v>
      </c>
      <c r="N2681" s="244"/>
      <c r="O2681" s="244"/>
      <c r="P2681" s="244"/>
      <c r="Q2681" s="245">
        <f t="shared" si="302"/>
        <v>0</v>
      </c>
      <c r="R2681" s="245">
        <f t="shared" si="303"/>
        <v>0</v>
      </c>
      <c r="S2681" s="246">
        <v>0.5</v>
      </c>
      <c r="T2681" s="245">
        <f t="shared" si="304"/>
        <v>0</v>
      </c>
      <c r="U2681" s="245">
        <f t="shared" si="305"/>
        <v>0</v>
      </c>
      <c r="V2681" s="247"/>
    </row>
    <row r="2682" spans="1:22" ht="15.75" x14ac:dyDescent="0.25">
      <c r="A2682" s="236"/>
      <c r="B2682" s="237"/>
      <c r="C2682" s="238"/>
      <c r="D2682" s="239"/>
      <c r="E2682" s="240"/>
      <c r="F2682" s="240"/>
      <c r="G2682" s="240"/>
      <c r="H2682" s="241">
        <f t="shared" si="300"/>
        <v>0</v>
      </c>
      <c r="I2682" s="242"/>
      <c r="J2682" s="243"/>
      <c r="K2682" s="243"/>
      <c r="L2682" s="244">
        <v>0.1</v>
      </c>
      <c r="M2682" s="244">
        <f t="shared" si="301"/>
        <v>0</v>
      </c>
      <c r="N2682" s="244"/>
      <c r="O2682" s="244"/>
      <c r="P2682" s="244"/>
      <c r="Q2682" s="245">
        <f t="shared" si="302"/>
        <v>0</v>
      </c>
      <c r="R2682" s="245">
        <f t="shared" si="303"/>
        <v>0</v>
      </c>
      <c r="S2682" s="246">
        <v>0.5</v>
      </c>
      <c r="T2682" s="245">
        <f t="shared" si="304"/>
        <v>0</v>
      </c>
      <c r="U2682" s="245">
        <f t="shared" si="305"/>
        <v>0</v>
      </c>
      <c r="V2682" s="247"/>
    </row>
    <row r="2683" spans="1:22" ht="15.75" x14ac:dyDescent="0.25">
      <c r="A2683" s="236"/>
      <c r="B2683" s="237"/>
      <c r="C2683" s="238"/>
      <c r="D2683" s="239"/>
      <c r="E2683" s="240"/>
      <c r="F2683" s="240"/>
      <c r="G2683" s="240"/>
      <c r="H2683" s="241">
        <f t="shared" si="300"/>
        <v>0</v>
      </c>
      <c r="I2683" s="242"/>
      <c r="J2683" s="243"/>
      <c r="K2683" s="243"/>
      <c r="L2683" s="244">
        <v>0.1</v>
      </c>
      <c r="M2683" s="244">
        <f t="shared" si="301"/>
        <v>0</v>
      </c>
      <c r="N2683" s="244"/>
      <c r="O2683" s="244"/>
      <c r="P2683" s="244"/>
      <c r="Q2683" s="245">
        <f t="shared" si="302"/>
        <v>0</v>
      </c>
      <c r="R2683" s="245">
        <f t="shared" si="303"/>
        <v>0</v>
      </c>
      <c r="S2683" s="246">
        <v>0.5</v>
      </c>
      <c r="T2683" s="245">
        <f t="shared" si="304"/>
        <v>0</v>
      </c>
      <c r="U2683" s="245">
        <f t="shared" si="305"/>
        <v>0</v>
      </c>
      <c r="V2683" s="247"/>
    </row>
    <row r="2684" spans="1:22" ht="15.75" x14ac:dyDescent="0.25">
      <c r="A2684" s="236"/>
      <c r="B2684" s="237"/>
      <c r="C2684" s="238"/>
      <c r="D2684" s="239"/>
      <c r="E2684" s="240"/>
      <c r="F2684" s="240"/>
      <c r="G2684" s="240"/>
      <c r="H2684" s="241">
        <f t="shared" si="300"/>
        <v>0</v>
      </c>
      <c r="I2684" s="242"/>
      <c r="J2684" s="243"/>
      <c r="K2684" s="243"/>
      <c r="L2684" s="244">
        <v>0.1</v>
      </c>
      <c r="M2684" s="244">
        <f t="shared" si="301"/>
        <v>0</v>
      </c>
      <c r="N2684" s="244"/>
      <c r="O2684" s="244"/>
      <c r="P2684" s="244"/>
      <c r="Q2684" s="245">
        <f t="shared" si="302"/>
        <v>0</v>
      </c>
      <c r="R2684" s="245">
        <f t="shared" si="303"/>
        <v>0</v>
      </c>
      <c r="S2684" s="246">
        <v>0.5</v>
      </c>
      <c r="T2684" s="245">
        <f t="shared" si="304"/>
        <v>0</v>
      </c>
      <c r="U2684" s="245">
        <f t="shared" si="305"/>
        <v>0</v>
      </c>
      <c r="V2684" s="247"/>
    </row>
    <row r="2685" spans="1:22" ht="15.75" x14ac:dyDescent="0.25">
      <c r="A2685" s="236"/>
      <c r="B2685" s="237"/>
      <c r="C2685" s="238"/>
      <c r="D2685" s="239"/>
      <c r="E2685" s="240"/>
      <c r="F2685" s="240"/>
      <c r="G2685" s="240"/>
      <c r="H2685" s="241">
        <f t="shared" ref="H2685:H2748" si="306">+E2685+F2685+G2685</f>
        <v>0</v>
      </c>
      <c r="I2685" s="242"/>
      <c r="J2685" s="243"/>
      <c r="K2685" s="243"/>
      <c r="L2685" s="244">
        <v>0.1</v>
      </c>
      <c r="M2685" s="244">
        <f t="shared" ref="M2685:M2748" si="307">+L2685*C2685</f>
        <v>0</v>
      </c>
      <c r="N2685" s="244"/>
      <c r="O2685" s="244"/>
      <c r="P2685" s="244"/>
      <c r="Q2685" s="245">
        <f t="shared" ref="Q2685:Q2748" si="308">+N2685+O2685+P2685</f>
        <v>0</v>
      </c>
      <c r="R2685" s="245">
        <f t="shared" ref="R2685:R2748" si="309">IF(+Q2685-H2685&lt;=0,0,Q2685-H2685)</f>
        <v>0</v>
      </c>
      <c r="S2685" s="246">
        <v>0.5</v>
      </c>
      <c r="T2685" s="245">
        <f t="shared" ref="T2685:T2748" si="310">+(R2685*C2685)*S2685</f>
        <v>0</v>
      </c>
      <c r="U2685" s="245">
        <f t="shared" ref="U2685:U2748" si="311">+J2685+M2685+T2685</f>
        <v>0</v>
      </c>
      <c r="V2685" s="247"/>
    </row>
    <row r="2686" spans="1:22" ht="15.75" x14ac:dyDescent="0.25">
      <c r="A2686" s="236"/>
      <c r="B2686" s="237"/>
      <c r="C2686" s="238"/>
      <c r="D2686" s="239"/>
      <c r="E2686" s="240"/>
      <c r="F2686" s="240"/>
      <c r="G2686" s="240"/>
      <c r="H2686" s="241">
        <f t="shared" si="306"/>
        <v>0</v>
      </c>
      <c r="I2686" s="242"/>
      <c r="J2686" s="243"/>
      <c r="K2686" s="243"/>
      <c r="L2686" s="244">
        <v>0.1</v>
      </c>
      <c r="M2686" s="244">
        <f t="shared" si="307"/>
        <v>0</v>
      </c>
      <c r="N2686" s="244"/>
      <c r="O2686" s="244"/>
      <c r="P2686" s="244"/>
      <c r="Q2686" s="245">
        <f t="shared" si="308"/>
        <v>0</v>
      </c>
      <c r="R2686" s="245">
        <f t="shared" si="309"/>
        <v>0</v>
      </c>
      <c r="S2686" s="246">
        <v>0.5</v>
      </c>
      <c r="T2686" s="245">
        <f t="shared" si="310"/>
        <v>0</v>
      </c>
      <c r="U2686" s="245">
        <f t="shared" si="311"/>
        <v>0</v>
      </c>
      <c r="V2686" s="247"/>
    </row>
    <row r="2687" spans="1:22" ht="15.75" x14ac:dyDescent="0.25">
      <c r="A2687" s="236"/>
      <c r="B2687" s="237"/>
      <c r="C2687" s="238"/>
      <c r="D2687" s="239"/>
      <c r="E2687" s="240"/>
      <c r="F2687" s="240"/>
      <c r="G2687" s="240"/>
      <c r="H2687" s="241">
        <f t="shared" si="306"/>
        <v>0</v>
      </c>
      <c r="I2687" s="242"/>
      <c r="J2687" s="243"/>
      <c r="K2687" s="243"/>
      <c r="L2687" s="244">
        <v>0.1</v>
      </c>
      <c r="M2687" s="244">
        <f t="shared" si="307"/>
        <v>0</v>
      </c>
      <c r="N2687" s="244"/>
      <c r="O2687" s="244"/>
      <c r="P2687" s="244"/>
      <c r="Q2687" s="245">
        <f t="shared" si="308"/>
        <v>0</v>
      </c>
      <c r="R2687" s="245">
        <f t="shared" si="309"/>
        <v>0</v>
      </c>
      <c r="S2687" s="246">
        <v>0.5</v>
      </c>
      <c r="T2687" s="245">
        <f t="shared" si="310"/>
        <v>0</v>
      </c>
      <c r="U2687" s="245">
        <f t="shared" si="311"/>
        <v>0</v>
      </c>
      <c r="V2687" s="247"/>
    </row>
    <row r="2688" spans="1:22" ht="15.75" x14ac:dyDescent="0.25">
      <c r="A2688" s="236"/>
      <c r="B2688" s="237"/>
      <c r="C2688" s="238"/>
      <c r="D2688" s="239"/>
      <c r="E2688" s="240"/>
      <c r="F2688" s="240"/>
      <c r="G2688" s="240"/>
      <c r="H2688" s="241">
        <f t="shared" si="306"/>
        <v>0</v>
      </c>
      <c r="I2688" s="242"/>
      <c r="J2688" s="243"/>
      <c r="K2688" s="243"/>
      <c r="L2688" s="244">
        <v>0.1</v>
      </c>
      <c r="M2688" s="244">
        <f t="shared" si="307"/>
        <v>0</v>
      </c>
      <c r="N2688" s="244"/>
      <c r="O2688" s="244"/>
      <c r="P2688" s="244"/>
      <c r="Q2688" s="245">
        <f t="shared" si="308"/>
        <v>0</v>
      </c>
      <c r="R2688" s="245">
        <f t="shared" si="309"/>
        <v>0</v>
      </c>
      <c r="S2688" s="246">
        <v>0.5</v>
      </c>
      <c r="T2688" s="245">
        <f t="shared" si="310"/>
        <v>0</v>
      </c>
      <c r="U2688" s="245">
        <f t="shared" si="311"/>
        <v>0</v>
      </c>
      <c r="V2688" s="247"/>
    </row>
    <row r="2689" spans="1:22" ht="15.75" x14ac:dyDescent="0.25">
      <c r="A2689" s="236"/>
      <c r="B2689" s="237"/>
      <c r="C2689" s="238"/>
      <c r="D2689" s="239"/>
      <c r="E2689" s="240"/>
      <c r="F2689" s="240"/>
      <c r="G2689" s="240"/>
      <c r="H2689" s="241">
        <f t="shared" si="306"/>
        <v>0</v>
      </c>
      <c r="I2689" s="242"/>
      <c r="J2689" s="243"/>
      <c r="K2689" s="243"/>
      <c r="L2689" s="244">
        <v>0.1</v>
      </c>
      <c r="M2689" s="244">
        <f t="shared" si="307"/>
        <v>0</v>
      </c>
      <c r="N2689" s="244"/>
      <c r="O2689" s="244"/>
      <c r="P2689" s="244"/>
      <c r="Q2689" s="245">
        <f t="shared" si="308"/>
        <v>0</v>
      </c>
      <c r="R2689" s="245">
        <f t="shared" si="309"/>
        <v>0</v>
      </c>
      <c r="S2689" s="246">
        <v>0.5</v>
      </c>
      <c r="T2689" s="245">
        <f t="shared" si="310"/>
        <v>0</v>
      </c>
      <c r="U2689" s="245">
        <f t="shared" si="311"/>
        <v>0</v>
      </c>
      <c r="V2689" s="247"/>
    </row>
    <row r="2690" spans="1:22" ht="15.75" x14ac:dyDescent="0.25">
      <c r="A2690" s="236"/>
      <c r="B2690" s="237"/>
      <c r="C2690" s="238"/>
      <c r="D2690" s="239"/>
      <c r="E2690" s="240"/>
      <c r="F2690" s="240"/>
      <c r="G2690" s="240"/>
      <c r="H2690" s="241">
        <f t="shared" si="306"/>
        <v>0</v>
      </c>
      <c r="I2690" s="242"/>
      <c r="J2690" s="243"/>
      <c r="K2690" s="243"/>
      <c r="L2690" s="244">
        <v>0.1</v>
      </c>
      <c r="M2690" s="244">
        <f t="shared" si="307"/>
        <v>0</v>
      </c>
      <c r="N2690" s="244"/>
      <c r="O2690" s="244"/>
      <c r="P2690" s="244"/>
      <c r="Q2690" s="245">
        <f t="shared" si="308"/>
        <v>0</v>
      </c>
      <c r="R2690" s="245">
        <f t="shared" si="309"/>
        <v>0</v>
      </c>
      <c r="S2690" s="246">
        <v>0.5</v>
      </c>
      <c r="T2690" s="245">
        <f t="shared" si="310"/>
        <v>0</v>
      </c>
      <c r="U2690" s="245">
        <f t="shared" si="311"/>
        <v>0</v>
      </c>
      <c r="V2690" s="247"/>
    </row>
    <row r="2691" spans="1:22" ht="15.75" x14ac:dyDescent="0.25">
      <c r="A2691" s="236"/>
      <c r="B2691" s="237"/>
      <c r="C2691" s="238"/>
      <c r="D2691" s="239"/>
      <c r="E2691" s="240"/>
      <c r="F2691" s="240"/>
      <c r="G2691" s="240"/>
      <c r="H2691" s="241">
        <f t="shared" si="306"/>
        <v>0</v>
      </c>
      <c r="I2691" s="242"/>
      <c r="J2691" s="243"/>
      <c r="K2691" s="243"/>
      <c r="L2691" s="244">
        <v>0.1</v>
      </c>
      <c r="M2691" s="244">
        <f t="shared" si="307"/>
        <v>0</v>
      </c>
      <c r="N2691" s="244"/>
      <c r="O2691" s="244"/>
      <c r="P2691" s="244"/>
      <c r="Q2691" s="245">
        <f t="shared" si="308"/>
        <v>0</v>
      </c>
      <c r="R2691" s="245">
        <f t="shared" si="309"/>
        <v>0</v>
      </c>
      <c r="S2691" s="246">
        <v>0.5</v>
      </c>
      <c r="T2691" s="245">
        <f t="shared" si="310"/>
        <v>0</v>
      </c>
      <c r="U2691" s="245">
        <f t="shared" si="311"/>
        <v>0</v>
      </c>
      <c r="V2691" s="247"/>
    </row>
    <row r="2692" spans="1:22" ht="15.75" x14ac:dyDescent="0.25">
      <c r="A2692" s="236"/>
      <c r="B2692" s="237"/>
      <c r="C2692" s="238"/>
      <c r="D2692" s="239"/>
      <c r="E2692" s="240"/>
      <c r="F2692" s="240"/>
      <c r="G2692" s="240"/>
      <c r="H2692" s="241">
        <f t="shared" si="306"/>
        <v>0</v>
      </c>
      <c r="I2692" s="242"/>
      <c r="J2692" s="243"/>
      <c r="K2692" s="243"/>
      <c r="L2692" s="244">
        <v>0.1</v>
      </c>
      <c r="M2692" s="244">
        <f t="shared" si="307"/>
        <v>0</v>
      </c>
      <c r="N2692" s="244"/>
      <c r="O2692" s="244"/>
      <c r="P2692" s="244"/>
      <c r="Q2692" s="245">
        <f t="shared" si="308"/>
        <v>0</v>
      </c>
      <c r="R2692" s="245">
        <f t="shared" si="309"/>
        <v>0</v>
      </c>
      <c r="S2692" s="246">
        <v>0.5</v>
      </c>
      <c r="T2692" s="245">
        <f t="shared" si="310"/>
        <v>0</v>
      </c>
      <c r="U2692" s="245">
        <f t="shared" si="311"/>
        <v>0</v>
      </c>
      <c r="V2692" s="247"/>
    </row>
    <row r="2693" spans="1:22" ht="15.75" x14ac:dyDescent="0.25">
      <c r="A2693" s="236"/>
      <c r="B2693" s="237"/>
      <c r="C2693" s="238"/>
      <c r="D2693" s="239"/>
      <c r="E2693" s="240"/>
      <c r="F2693" s="240"/>
      <c r="G2693" s="240"/>
      <c r="H2693" s="241">
        <f t="shared" si="306"/>
        <v>0</v>
      </c>
      <c r="I2693" s="242"/>
      <c r="J2693" s="243"/>
      <c r="K2693" s="243"/>
      <c r="L2693" s="244">
        <v>0.1</v>
      </c>
      <c r="M2693" s="244">
        <f t="shared" si="307"/>
        <v>0</v>
      </c>
      <c r="N2693" s="244"/>
      <c r="O2693" s="244"/>
      <c r="P2693" s="244"/>
      <c r="Q2693" s="245">
        <f t="shared" si="308"/>
        <v>0</v>
      </c>
      <c r="R2693" s="245">
        <f t="shared" si="309"/>
        <v>0</v>
      </c>
      <c r="S2693" s="246">
        <v>0.5</v>
      </c>
      <c r="T2693" s="245">
        <f t="shared" si="310"/>
        <v>0</v>
      </c>
      <c r="U2693" s="245">
        <f t="shared" si="311"/>
        <v>0</v>
      </c>
      <c r="V2693" s="247"/>
    </row>
    <row r="2694" spans="1:22" ht="15.75" x14ac:dyDescent="0.25">
      <c r="A2694" s="236"/>
      <c r="B2694" s="237"/>
      <c r="C2694" s="238"/>
      <c r="D2694" s="239"/>
      <c r="E2694" s="240"/>
      <c r="F2694" s="240"/>
      <c r="G2694" s="240"/>
      <c r="H2694" s="241">
        <f t="shared" si="306"/>
        <v>0</v>
      </c>
      <c r="I2694" s="242"/>
      <c r="J2694" s="243"/>
      <c r="K2694" s="243"/>
      <c r="L2694" s="244">
        <v>0.1</v>
      </c>
      <c r="M2694" s="244">
        <f t="shared" si="307"/>
        <v>0</v>
      </c>
      <c r="N2694" s="244"/>
      <c r="O2694" s="244"/>
      <c r="P2694" s="244"/>
      <c r="Q2694" s="245">
        <f t="shared" si="308"/>
        <v>0</v>
      </c>
      <c r="R2694" s="245">
        <f t="shared" si="309"/>
        <v>0</v>
      </c>
      <c r="S2694" s="246">
        <v>0.5</v>
      </c>
      <c r="T2694" s="245">
        <f t="shared" si="310"/>
        <v>0</v>
      </c>
      <c r="U2694" s="245">
        <f t="shared" si="311"/>
        <v>0</v>
      </c>
      <c r="V2694" s="247"/>
    </row>
    <row r="2695" spans="1:22" ht="15.75" x14ac:dyDescent="0.25">
      <c r="A2695" s="236"/>
      <c r="B2695" s="237"/>
      <c r="C2695" s="238"/>
      <c r="D2695" s="239"/>
      <c r="E2695" s="240"/>
      <c r="F2695" s="240"/>
      <c r="G2695" s="240"/>
      <c r="H2695" s="241">
        <f t="shared" si="306"/>
        <v>0</v>
      </c>
      <c r="I2695" s="242"/>
      <c r="J2695" s="243"/>
      <c r="K2695" s="243"/>
      <c r="L2695" s="244">
        <v>0.1</v>
      </c>
      <c r="M2695" s="244">
        <f t="shared" si="307"/>
        <v>0</v>
      </c>
      <c r="N2695" s="244"/>
      <c r="O2695" s="244"/>
      <c r="P2695" s="244"/>
      <c r="Q2695" s="245">
        <f t="shared" si="308"/>
        <v>0</v>
      </c>
      <c r="R2695" s="245">
        <f t="shared" si="309"/>
        <v>0</v>
      </c>
      <c r="S2695" s="246">
        <v>0.5</v>
      </c>
      <c r="T2695" s="245">
        <f t="shared" si="310"/>
        <v>0</v>
      </c>
      <c r="U2695" s="245">
        <f t="shared" si="311"/>
        <v>0</v>
      </c>
      <c r="V2695" s="247"/>
    </row>
    <row r="2696" spans="1:22" ht="15.75" x14ac:dyDescent="0.25">
      <c r="A2696" s="236"/>
      <c r="B2696" s="237"/>
      <c r="C2696" s="238"/>
      <c r="D2696" s="239"/>
      <c r="E2696" s="240"/>
      <c r="F2696" s="240"/>
      <c r="G2696" s="240"/>
      <c r="H2696" s="241">
        <f t="shared" si="306"/>
        <v>0</v>
      </c>
      <c r="I2696" s="242"/>
      <c r="J2696" s="243"/>
      <c r="K2696" s="243"/>
      <c r="L2696" s="244">
        <v>0.1</v>
      </c>
      <c r="M2696" s="244">
        <f t="shared" si="307"/>
        <v>0</v>
      </c>
      <c r="N2696" s="244"/>
      <c r="O2696" s="244"/>
      <c r="P2696" s="244"/>
      <c r="Q2696" s="245">
        <f t="shared" si="308"/>
        <v>0</v>
      </c>
      <c r="R2696" s="245">
        <f t="shared" si="309"/>
        <v>0</v>
      </c>
      <c r="S2696" s="246">
        <v>0.5</v>
      </c>
      <c r="T2696" s="245">
        <f t="shared" si="310"/>
        <v>0</v>
      </c>
      <c r="U2696" s="245">
        <f t="shared" si="311"/>
        <v>0</v>
      </c>
      <c r="V2696" s="247"/>
    </row>
    <row r="2697" spans="1:22" ht="15.75" x14ac:dyDescent="0.25">
      <c r="A2697" s="236"/>
      <c r="B2697" s="237"/>
      <c r="C2697" s="238"/>
      <c r="D2697" s="239"/>
      <c r="E2697" s="240"/>
      <c r="F2697" s="240"/>
      <c r="G2697" s="240"/>
      <c r="H2697" s="241">
        <f t="shared" si="306"/>
        <v>0</v>
      </c>
      <c r="I2697" s="242"/>
      <c r="J2697" s="243"/>
      <c r="K2697" s="243"/>
      <c r="L2697" s="244">
        <v>0.1</v>
      </c>
      <c r="M2697" s="244">
        <f t="shared" si="307"/>
        <v>0</v>
      </c>
      <c r="N2697" s="244"/>
      <c r="O2697" s="244"/>
      <c r="P2697" s="244"/>
      <c r="Q2697" s="245">
        <f t="shared" si="308"/>
        <v>0</v>
      </c>
      <c r="R2697" s="245">
        <f t="shared" si="309"/>
        <v>0</v>
      </c>
      <c r="S2697" s="246">
        <v>0.5</v>
      </c>
      <c r="T2697" s="245">
        <f t="shared" si="310"/>
        <v>0</v>
      </c>
      <c r="U2697" s="245">
        <f t="shared" si="311"/>
        <v>0</v>
      </c>
      <c r="V2697" s="247"/>
    </row>
    <row r="2698" spans="1:22" ht="15.75" x14ac:dyDescent="0.25">
      <c r="A2698" s="236"/>
      <c r="B2698" s="237"/>
      <c r="C2698" s="238"/>
      <c r="D2698" s="239"/>
      <c r="E2698" s="240"/>
      <c r="F2698" s="240"/>
      <c r="G2698" s="240"/>
      <c r="H2698" s="241">
        <f t="shared" si="306"/>
        <v>0</v>
      </c>
      <c r="I2698" s="242"/>
      <c r="J2698" s="243"/>
      <c r="K2698" s="243"/>
      <c r="L2698" s="244">
        <v>0.1</v>
      </c>
      <c r="M2698" s="244">
        <f t="shared" si="307"/>
        <v>0</v>
      </c>
      <c r="N2698" s="244"/>
      <c r="O2698" s="244"/>
      <c r="P2698" s="244"/>
      <c r="Q2698" s="245">
        <f t="shared" si="308"/>
        <v>0</v>
      </c>
      <c r="R2698" s="245">
        <f t="shared" si="309"/>
        <v>0</v>
      </c>
      <c r="S2698" s="246">
        <v>0.5</v>
      </c>
      <c r="T2698" s="245">
        <f t="shared" si="310"/>
        <v>0</v>
      </c>
      <c r="U2698" s="245">
        <f t="shared" si="311"/>
        <v>0</v>
      </c>
      <c r="V2698" s="247"/>
    </row>
    <row r="2699" spans="1:22" ht="15.75" x14ac:dyDescent="0.25">
      <c r="A2699" s="236"/>
      <c r="B2699" s="237"/>
      <c r="C2699" s="238"/>
      <c r="D2699" s="239"/>
      <c r="E2699" s="240"/>
      <c r="F2699" s="240"/>
      <c r="G2699" s="240"/>
      <c r="H2699" s="241">
        <f t="shared" si="306"/>
        <v>0</v>
      </c>
      <c r="I2699" s="242"/>
      <c r="J2699" s="243"/>
      <c r="K2699" s="243"/>
      <c r="L2699" s="244">
        <v>0.1</v>
      </c>
      <c r="M2699" s="244">
        <f t="shared" si="307"/>
        <v>0</v>
      </c>
      <c r="N2699" s="244"/>
      <c r="O2699" s="244"/>
      <c r="P2699" s="244"/>
      <c r="Q2699" s="245">
        <f t="shared" si="308"/>
        <v>0</v>
      </c>
      <c r="R2699" s="245">
        <f t="shared" si="309"/>
        <v>0</v>
      </c>
      <c r="S2699" s="246">
        <v>0.5</v>
      </c>
      <c r="T2699" s="245">
        <f t="shared" si="310"/>
        <v>0</v>
      </c>
      <c r="U2699" s="245">
        <f t="shared" si="311"/>
        <v>0</v>
      </c>
      <c r="V2699" s="247"/>
    </row>
    <row r="2700" spans="1:22" ht="15.75" x14ac:dyDescent="0.25">
      <c r="A2700" s="236"/>
      <c r="B2700" s="237"/>
      <c r="C2700" s="238"/>
      <c r="D2700" s="239"/>
      <c r="E2700" s="240"/>
      <c r="F2700" s="240"/>
      <c r="G2700" s="240"/>
      <c r="H2700" s="241">
        <f t="shared" si="306"/>
        <v>0</v>
      </c>
      <c r="I2700" s="242"/>
      <c r="J2700" s="243"/>
      <c r="K2700" s="243"/>
      <c r="L2700" s="244">
        <v>0.1</v>
      </c>
      <c r="M2700" s="244">
        <f t="shared" si="307"/>
        <v>0</v>
      </c>
      <c r="N2700" s="244"/>
      <c r="O2700" s="244"/>
      <c r="P2700" s="244"/>
      <c r="Q2700" s="245">
        <f t="shared" si="308"/>
        <v>0</v>
      </c>
      <c r="R2700" s="245">
        <f t="shared" si="309"/>
        <v>0</v>
      </c>
      <c r="S2700" s="246">
        <v>0.5</v>
      </c>
      <c r="T2700" s="245">
        <f t="shared" si="310"/>
        <v>0</v>
      </c>
      <c r="U2700" s="245">
        <f t="shared" si="311"/>
        <v>0</v>
      </c>
      <c r="V2700" s="247"/>
    </row>
    <row r="2701" spans="1:22" ht="15.75" x14ac:dyDescent="0.25">
      <c r="A2701" s="236"/>
      <c r="B2701" s="237"/>
      <c r="C2701" s="238"/>
      <c r="D2701" s="239"/>
      <c r="E2701" s="240"/>
      <c r="F2701" s="240"/>
      <c r="G2701" s="240"/>
      <c r="H2701" s="241">
        <f t="shared" si="306"/>
        <v>0</v>
      </c>
      <c r="I2701" s="242"/>
      <c r="J2701" s="243"/>
      <c r="K2701" s="243"/>
      <c r="L2701" s="244">
        <v>0.1</v>
      </c>
      <c r="M2701" s="244">
        <f t="shared" si="307"/>
        <v>0</v>
      </c>
      <c r="N2701" s="244"/>
      <c r="O2701" s="244"/>
      <c r="P2701" s="244"/>
      <c r="Q2701" s="245">
        <f t="shared" si="308"/>
        <v>0</v>
      </c>
      <c r="R2701" s="245">
        <f t="shared" si="309"/>
        <v>0</v>
      </c>
      <c r="S2701" s="246">
        <v>0.5</v>
      </c>
      <c r="T2701" s="245">
        <f t="shared" si="310"/>
        <v>0</v>
      </c>
      <c r="U2701" s="245">
        <f t="shared" si="311"/>
        <v>0</v>
      </c>
      <c r="V2701" s="247"/>
    </row>
    <row r="2702" spans="1:22" ht="15.75" x14ac:dyDescent="0.25">
      <c r="A2702" s="236"/>
      <c r="B2702" s="237"/>
      <c r="C2702" s="238"/>
      <c r="D2702" s="239"/>
      <c r="E2702" s="240"/>
      <c r="F2702" s="240"/>
      <c r="G2702" s="240"/>
      <c r="H2702" s="241">
        <f t="shared" si="306"/>
        <v>0</v>
      </c>
      <c r="I2702" s="242"/>
      <c r="J2702" s="243"/>
      <c r="K2702" s="243"/>
      <c r="L2702" s="244">
        <v>0.1</v>
      </c>
      <c r="M2702" s="244">
        <f t="shared" si="307"/>
        <v>0</v>
      </c>
      <c r="N2702" s="244"/>
      <c r="O2702" s="244"/>
      <c r="P2702" s="244"/>
      <c r="Q2702" s="245">
        <f t="shared" si="308"/>
        <v>0</v>
      </c>
      <c r="R2702" s="245">
        <f t="shared" si="309"/>
        <v>0</v>
      </c>
      <c r="S2702" s="246">
        <v>0.5</v>
      </c>
      <c r="T2702" s="245">
        <f t="shared" si="310"/>
        <v>0</v>
      </c>
      <c r="U2702" s="245">
        <f t="shared" si="311"/>
        <v>0</v>
      </c>
      <c r="V2702" s="247"/>
    </row>
    <row r="2703" spans="1:22" ht="15.75" x14ac:dyDescent="0.25">
      <c r="A2703" s="236"/>
      <c r="B2703" s="237"/>
      <c r="C2703" s="238"/>
      <c r="D2703" s="239"/>
      <c r="E2703" s="240"/>
      <c r="F2703" s="240"/>
      <c r="G2703" s="240"/>
      <c r="H2703" s="241">
        <f t="shared" si="306"/>
        <v>0</v>
      </c>
      <c r="I2703" s="242"/>
      <c r="J2703" s="243"/>
      <c r="K2703" s="243"/>
      <c r="L2703" s="244">
        <v>0.1</v>
      </c>
      <c r="M2703" s="244">
        <f t="shared" si="307"/>
        <v>0</v>
      </c>
      <c r="N2703" s="244"/>
      <c r="O2703" s="244"/>
      <c r="P2703" s="244"/>
      <c r="Q2703" s="245">
        <f t="shared" si="308"/>
        <v>0</v>
      </c>
      <c r="R2703" s="245">
        <f t="shared" si="309"/>
        <v>0</v>
      </c>
      <c r="S2703" s="246">
        <v>0.5</v>
      </c>
      <c r="T2703" s="245">
        <f t="shared" si="310"/>
        <v>0</v>
      </c>
      <c r="U2703" s="245">
        <f t="shared" si="311"/>
        <v>0</v>
      </c>
      <c r="V2703" s="247"/>
    </row>
    <row r="2704" spans="1:22" ht="15.75" x14ac:dyDescent="0.25">
      <c r="A2704" s="236"/>
      <c r="B2704" s="237"/>
      <c r="C2704" s="238"/>
      <c r="D2704" s="239"/>
      <c r="E2704" s="240"/>
      <c r="F2704" s="240"/>
      <c r="G2704" s="240"/>
      <c r="H2704" s="241">
        <f t="shared" si="306"/>
        <v>0</v>
      </c>
      <c r="I2704" s="242"/>
      <c r="J2704" s="243"/>
      <c r="K2704" s="243"/>
      <c r="L2704" s="244">
        <v>0.1</v>
      </c>
      <c r="M2704" s="244">
        <f t="shared" si="307"/>
        <v>0</v>
      </c>
      <c r="N2704" s="244"/>
      <c r="O2704" s="244"/>
      <c r="P2704" s="244"/>
      <c r="Q2704" s="245">
        <f t="shared" si="308"/>
        <v>0</v>
      </c>
      <c r="R2704" s="245">
        <f t="shared" si="309"/>
        <v>0</v>
      </c>
      <c r="S2704" s="246">
        <v>0.5</v>
      </c>
      <c r="T2704" s="245">
        <f t="shared" si="310"/>
        <v>0</v>
      </c>
      <c r="U2704" s="245">
        <f t="shared" si="311"/>
        <v>0</v>
      </c>
      <c r="V2704" s="247"/>
    </row>
    <row r="2705" spans="1:22" ht="15.75" x14ac:dyDescent="0.25">
      <c r="A2705" s="236"/>
      <c r="B2705" s="237"/>
      <c r="C2705" s="238"/>
      <c r="D2705" s="239"/>
      <c r="E2705" s="240"/>
      <c r="F2705" s="240"/>
      <c r="G2705" s="240"/>
      <c r="H2705" s="241">
        <f t="shared" si="306"/>
        <v>0</v>
      </c>
      <c r="I2705" s="242"/>
      <c r="J2705" s="243"/>
      <c r="K2705" s="243"/>
      <c r="L2705" s="244">
        <v>0.1</v>
      </c>
      <c r="M2705" s="244">
        <f t="shared" si="307"/>
        <v>0</v>
      </c>
      <c r="N2705" s="244"/>
      <c r="O2705" s="244"/>
      <c r="P2705" s="244"/>
      <c r="Q2705" s="245">
        <f t="shared" si="308"/>
        <v>0</v>
      </c>
      <c r="R2705" s="245">
        <f t="shared" si="309"/>
        <v>0</v>
      </c>
      <c r="S2705" s="246">
        <v>0.5</v>
      </c>
      <c r="T2705" s="245">
        <f t="shared" si="310"/>
        <v>0</v>
      </c>
      <c r="U2705" s="245">
        <f t="shared" si="311"/>
        <v>0</v>
      </c>
      <c r="V2705" s="247"/>
    </row>
    <row r="2706" spans="1:22" ht="15.75" x14ac:dyDescent="0.25">
      <c r="A2706" s="236"/>
      <c r="B2706" s="237"/>
      <c r="C2706" s="238"/>
      <c r="D2706" s="239"/>
      <c r="E2706" s="240"/>
      <c r="F2706" s="240"/>
      <c r="G2706" s="240"/>
      <c r="H2706" s="241">
        <f t="shared" si="306"/>
        <v>0</v>
      </c>
      <c r="I2706" s="242"/>
      <c r="J2706" s="243"/>
      <c r="K2706" s="243"/>
      <c r="L2706" s="244">
        <v>0.1</v>
      </c>
      <c r="M2706" s="244">
        <f t="shared" si="307"/>
        <v>0</v>
      </c>
      <c r="N2706" s="244"/>
      <c r="O2706" s="244"/>
      <c r="P2706" s="244"/>
      <c r="Q2706" s="245">
        <f t="shared" si="308"/>
        <v>0</v>
      </c>
      <c r="R2706" s="245">
        <f t="shared" si="309"/>
        <v>0</v>
      </c>
      <c r="S2706" s="246">
        <v>0.5</v>
      </c>
      <c r="T2706" s="245">
        <f t="shared" si="310"/>
        <v>0</v>
      </c>
      <c r="U2706" s="245">
        <f t="shared" si="311"/>
        <v>0</v>
      </c>
      <c r="V2706" s="247"/>
    </row>
    <row r="2707" spans="1:22" ht="15.75" x14ac:dyDescent="0.25">
      <c r="A2707" s="236"/>
      <c r="B2707" s="237"/>
      <c r="C2707" s="238"/>
      <c r="D2707" s="239"/>
      <c r="E2707" s="240"/>
      <c r="F2707" s="240"/>
      <c r="G2707" s="240"/>
      <c r="H2707" s="241">
        <f t="shared" si="306"/>
        <v>0</v>
      </c>
      <c r="I2707" s="242"/>
      <c r="J2707" s="243"/>
      <c r="K2707" s="243"/>
      <c r="L2707" s="244">
        <v>0.1</v>
      </c>
      <c r="M2707" s="244">
        <f t="shared" si="307"/>
        <v>0</v>
      </c>
      <c r="N2707" s="244"/>
      <c r="O2707" s="244"/>
      <c r="P2707" s="244"/>
      <c r="Q2707" s="245">
        <f t="shared" si="308"/>
        <v>0</v>
      </c>
      <c r="R2707" s="245">
        <f t="shared" si="309"/>
        <v>0</v>
      </c>
      <c r="S2707" s="246">
        <v>0.5</v>
      </c>
      <c r="T2707" s="245">
        <f t="shared" si="310"/>
        <v>0</v>
      </c>
      <c r="U2707" s="245">
        <f t="shared" si="311"/>
        <v>0</v>
      </c>
      <c r="V2707" s="247"/>
    </row>
    <row r="2708" spans="1:22" ht="15.75" x14ac:dyDescent="0.25">
      <c r="A2708" s="236"/>
      <c r="B2708" s="237"/>
      <c r="C2708" s="238"/>
      <c r="D2708" s="239"/>
      <c r="E2708" s="240"/>
      <c r="F2708" s="240"/>
      <c r="G2708" s="240"/>
      <c r="H2708" s="241">
        <f t="shared" si="306"/>
        <v>0</v>
      </c>
      <c r="I2708" s="242"/>
      <c r="J2708" s="243"/>
      <c r="K2708" s="243"/>
      <c r="L2708" s="244">
        <v>0.1</v>
      </c>
      <c r="M2708" s="244">
        <f t="shared" si="307"/>
        <v>0</v>
      </c>
      <c r="N2708" s="244"/>
      <c r="O2708" s="244"/>
      <c r="P2708" s="244"/>
      <c r="Q2708" s="245">
        <f t="shared" si="308"/>
        <v>0</v>
      </c>
      <c r="R2708" s="245">
        <f t="shared" si="309"/>
        <v>0</v>
      </c>
      <c r="S2708" s="246">
        <v>0.5</v>
      </c>
      <c r="T2708" s="245">
        <f t="shared" si="310"/>
        <v>0</v>
      </c>
      <c r="U2708" s="245">
        <f t="shared" si="311"/>
        <v>0</v>
      </c>
      <c r="V2708" s="247"/>
    </row>
    <row r="2709" spans="1:22" ht="15.75" x14ac:dyDescent="0.25">
      <c r="A2709" s="236"/>
      <c r="B2709" s="237"/>
      <c r="C2709" s="238"/>
      <c r="D2709" s="239"/>
      <c r="E2709" s="240"/>
      <c r="F2709" s="240"/>
      <c r="G2709" s="240"/>
      <c r="H2709" s="241">
        <f t="shared" si="306"/>
        <v>0</v>
      </c>
      <c r="I2709" s="242"/>
      <c r="J2709" s="243"/>
      <c r="K2709" s="243"/>
      <c r="L2709" s="244">
        <v>0.1</v>
      </c>
      <c r="M2709" s="244">
        <f t="shared" si="307"/>
        <v>0</v>
      </c>
      <c r="N2709" s="244"/>
      <c r="O2709" s="244"/>
      <c r="P2709" s="244"/>
      <c r="Q2709" s="245">
        <f t="shared" si="308"/>
        <v>0</v>
      </c>
      <c r="R2709" s="245">
        <f t="shared" si="309"/>
        <v>0</v>
      </c>
      <c r="S2709" s="246">
        <v>0.5</v>
      </c>
      <c r="T2709" s="245">
        <f t="shared" si="310"/>
        <v>0</v>
      </c>
      <c r="U2709" s="245">
        <f t="shared" si="311"/>
        <v>0</v>
      </c>
      <c r="V2709" s="247"/>
    </row>
    <row r="2710" spans="1:22" ht="15.75" x14ac:dyDescent="0.25">
      <c r="A2710" s="236"/>
      <c r="B2710" s="237"/>
      <c r="C2710" s="238"/>
      <c r="D2710" s="239"/>
      <c r="E2710" s="240"/>
      <c r="F2710" s="240"/>
      <c r="G2710" s="240"/>
      <c r="H2710" s="241">
        <f t="shared" si="306"/>
        <v>0</v>
      </c>
      <c r="I2710" s="242"/>
      <c r="J2710" s="243"/>
      <c r="K2710" s="243"/>
      <c r="L2710" s="244">
        <v>0.1</v>
      </c>
      <c r="M2710" s="244">
        <f t="shared" si="307"/>
        <v>0</v>
      </c>
      <c r="N2710" s="244"/>
      <c r="O2710" s="244"/>
      <c r="P2710" s="244"/>
      <c r="Q2710" s="245">
        <f t="shared" si="308"/>
        <v>0</v>
      </c>
      <c r="R2710" s="245">
        <f t="shared" si="309"/>
        <v>0</v>
      </c>
      <c r="S2710" s="246">
        <v>0.5</v>
      </c>
      <c r="T2710" s="245">
        <f t="shared" si="310"/>
        <v>0</v>
      </c>
      <c r="U2710" s="245">
        <f t="shared" si="311"/>
        <v>0</v>
      </c>
      <c r="V2710" s="247"/>
    </row>
    <row r="2711" spans="1:22" ht="15.75" x14ac:dyDescent="0.25">
      <c r="A2711" s="236"/>
      <c r="B2711" s="237"/>
      <c r="C2711" s="238"/>
      <c r="D2711" s="239"/>
      <c r="E2711" s="240"/>
      <c r="F2711" s="240"/>
      <c r="G2711" s="240"/>
      <c r="H2711" s="241">
        <f t="shared" si="306"/>
        <v>0</v>
      </c>
      <c r="I2711" s="242"/>
      <c r="J2711" s="243"/>
      <c r="K2711" s="243"/>
      <c r="L2711" s="244">
        <v>0.1</v>
      </c>
      <c r="M2711" s="244">
        <f t="shared" si="307"/>
        <v>0</v>
      </c>
      <c r="N2711" s="244"/>
      <c r="O2711" s="244"/>
      <c r="P2711" s="244"/>
      <c r="Q2711" s="245">
        <f t="shared" si="308"/>
        <v>0</v>
      </c>
      <c r="R2711" s="245">
        <f t="shared" si="309"/>
        <v>0</v>
      </c>
      <c r="S2711" s="246">
        <v>0.5</v>
      </c>
      <c r="T2711" s="245">
        <f t="shared" si="310"/>
        <v>0</v>
      </c>
      <c r="U2711" s="245">
        <f t="shared" si="311"/>
        <v>0</v>
      </c>
      <c r="V2711" s="247"/>
    </row>
    <row r="2712" spans="1:22" ht="15.75" x14ac:dyDescent="0.25">
      <c r="A2712" s="236"/>
      <c r="B2712" s="237"/>
      <c r="C2712" s="238"/>
      <c r="D2712" s="239"/>
      <c r="E2712" s="240"/>
      <c r="F2712" s="240"/>
      <c r="G2712" s="240"/>
      <c r="H2712" s="241">
        <f t="shared" si="306"/>
        <v>0</v>
      </c>
      <c r="I2712" s="242"/>
      <c r="J2712" s="243"/>
      <c r="K2712" s="243"/>
      <c r="L2712" s="244">
        <v>0.1</v>
      </c>
      <c r="M2712" s="244">
        <f t="shared" si="307"/>
        <v>0</v>
      </c>
      <c r="N2712" s="244"/>
      <c r="O2712" s="244"/>
      <c r="P2712" s="244"/>
      <c r="Q2712" s="245">
        <f t="shared" si="308"/>
        <v>0</v>
      </c>
      <c r="R2712" s="245">
        <f t="shared" si="309"/>
        <v>0</v>
      </c>
      <c r="S2712" s="246">
        <v>0.5</v>
      </c>
      <c r="T2712" s="245">
        <f t="shared" si="310"/>
        <v>0</v>
      </c>
      <c r="U2712" s="245">
        <f t="shared" si="311"/>
        <v>0</v>
      </c>
      <c r="V2712" s="247"/>
    </row>
    <row r="2713" spans="1:22" ht="15.75" x14ac:dyDescent="0.25">
      <c r="A2713" s="236"/>
      <c r="B2713" s="237"/>
      <c r="C2713" s="238"/>
      <c r="D2713" s="239"/>
      <c r="E2713" s="240"/>
      <c r="F2713" s="240"/>
      <c r="G2713" s="240"/>
      <c r="H2713" s="241">
        <f t="shared" si="306"/>
        <v>0</v>
      </c>
      <c r="I2713" s="242"/>
      <c r="J2713" s="243"/>
      <c r="K2713" s="243"/>
      <c r="L2713" s="244">
        <v>0.1</v>
      </c>
      <c r="M2713" s="244">
        <f t="shared" si="307"/>
        <v>0</v>
      </c>
      <c r="N2713" s="244"/>
      <c r="O2713" s="244"/>
      <c r="P2713" s="244"/>
      <c r="Q2713" s="245">
        <f t="shared" si="308"/>
        <v>0</v>
      </c>
      <c r="R2713" s="245">
        <f t="shared" si="309"/>
        <v>0</v>
      </c>
      <c r="S2713" s="246">
        <v>0.5</v>
      </c>
      <c r="T2713" s="245">
        <f t="shared" si="310"/>
        <v>0</v>
      </c>
      <c r="U2713" s="245">
        <f t="shared" si="311"/>
        <v>0</v>
      </c>
      <c r="V2713" s="247"/>
    </row>
    <row r="2714" spans="1:22" ht="15.75" x14ac:dyDescent="0.25">
      <c r="A2714" s="236"/>
      <c r="B2714" s="237"/>
      <c r="C2714" s="238"/>
      <c r="D2714" s="239"/>
      <c r="E2714" s="240"/>
      <c r="F2714" s="240"/>
      <c r="G2714" s="240"/>
      <c r="H2714" s="241">
        <f t="shared" si="306"/>
        <v>0</v>
      </c>
      <c r="I2714" s="242"/>
      <c r="J2714" s="243"/>
      <c r="K2714" s="243"/>
      <c r="L2714" s="244">
        <v>0.1</v>
      </c>
      <c r="M2714" s="244">
        <f t="shared" si="307"/>
        <v>0</v>
      </c>
      <c r="N2714" s="244"/>
      <c r="O2714" s="244"/>
      <c r="P2714" s="244"/>
      <c r="Q2714" s="245">
        <f t="shared" si="308"/>
        <v>0</v>
      </c>
      <c r="R2714" s="245">
        <f t="shared" si="309"/>
        <v>0</v>
      </c>
      <c r="S2714" s="246">
        <v>0.5</v>
      </c>
      <c r="T2714" s="245">
        <f t="shared" si="310"/>
        <v>0</v>
      </c>
      <c r="U2714" s="245">
        <f t="shared" si="311"/>
        <v>0</v>
      </c>
      <c r="V2714" s="247"/>
    </row>
    <row r="2715" spans="1:22" ht="15.75" x14ac:dyDescent="0.25">
      <c r="A2715" s="236"/>
      <c r="B2715" s="237"/>
      <c r="C2715" s="238"/>
      <c r="D2715" s="239"/>
      <c r="E2715" s="240"/>
      <c r="F2715" s="240"/>
      <c r="G2715" s="240"/>
      <c r="H2715" s="241">
        <f t="shared" si="306"/>
        <v>0</v>
      </c>
      <c r="I2715" s="242"/>
      <c r="J2715" s="243"/>
      <c r="K2715" s="243"/>
      <c r="L2715" s="244">
        <v>0.1</v>
      </c>
      <c r="M2715" s="244">
        <f t="shared" si="307"/>
        <v>0</v>
      </c>
      <c r="N2715" s="244"/>
      <c r="O2715" s="244"/>
      <c r="P2715" s="244"/>
      <c r="Q2715" s="245">
        <f t="shared" si="308"/>
        <v>0</v>
      </c>
      <c r="R2715" s="245">
        <f t="shared" si="309"/>
        <v>0</v>
      </c>
      <c r="S2715" s="246">
        <v>0.5</v>
      </c>
      <c r="T2715" s="245">
        <f t="shared" si="310"/>
        <v>0</v>
      </c>
      <c r="U2715" s="245">
        <f t="shared" si="311"/>
        <v>0</v>
      </c>
      <c r="V2715" s="247"/>
    </row>
    <row r="2716" spans="1:22" ht="15.75" x14ac:dyDescent="0.25">
      <c r="A2716" s="236"/>
      <c r="B2716" s="237"/>
      <c r="C2716" s="238"/>
      <c r="D2716" s="239"/>
      <c r="E2716" s="240"/>
      <c r="F2716" s="240"/>
      <c r="G2716" s="240"/>
      <c r="H2716" s="241">
        <f t="shared" si="306"/>
        <v>0</v>
      </c>
      <c r="I2716" s="242"/>
      <c r="J2716" s="243"/>
      <c r="K2716" s="243"/>
      <c r="L2716" s="244">
        <v>0.1</v>
      </c>
      <c r="M2716" s="244">
        <f t="shared" si="307"/>
        <v>0</v>
      </c>
      <c r="N2716" s="244"/>
      <c r="O2716" s="244"/>
      <c r="P2716" s="244"/>
      <c r="Q2716" s="245">
        <f t="shared" si="308"/>
        <v>0</v>
      </c>
      <c r="R2716" s="245">
        <f t="shared" si="309"/>
        <v>0</v>
      </c>
      <c r="S2716" s="246">
        <v>0.5</v>
      </c>
      <c r="T2716" s="245">
        <f t="shared" si="310"/>
        <v>0</v>
      </c>
      <c r="U2716" s="245">
        <f t="shared" si="311"/>
        <v>0</v>
      </c>
      <c r="V2716" s="247"/>
    </row>
    <row r="2717" spans="1:22" ht="15.75" x14ac:dyDescent="0.25">
      <c r="A2717" s="236"/>
      <c r="B2717" s="237"/>
      <c r="C2717" s="238"/>
      <c r="D2717" s="239"/>
      <c r="E2717" s="240"/>
      <c r="F2717" s="240"/>
      <c r="G2717" s="240"/>
      <c r="H2717" s="241">
        <f t="shared" si="306"/>
        <v>0</v>
      </c>
      <c r="I2717" s="242"/>
      <c r="J2717" s="243"/>
      <c r="K2717" s="243"/>
      <c r="L2717" s="244">
        <v>0.1</v>
      </c>
      <c r="M2717" s="244">
        <f t="shared" si="307"/>
        <v>0</v>
      </c>
      <c r="N2717" s="244"/>
      <c r="O2717" s="244"/>
      <c r="P2717" s="244"/>
      <c r="Q2717" s="245">
        <f t="shared" si="308"/>
        <v>0</v>
      </c>
      <c r="R2717" s="245">
        <f t="shared" si="309"/>
        <v>0</v>
      </c>
      <c r="S2717" s="246">
        <v>0.5</v>
      </c>
      <c r="T2717" s="245">
        <f t="shared" si="310"/>
        <v>0</v>
      </c>
      <c r="U2717" s="245">
        <f t="shared" si="311"/>
        <v>0</v>
      </c>
      <c r="V2717" s="247"/>
    </row>
    <row r="2718" spans="1:22" ht="15.75" x14ac:dyDescent="0.25">
      <c r="A2718" s="236"/>
      <c r="B2718" s="237"/>
      <c r="C2718" s="238"/>
      <c r="D2718" s="239"/>
      <c r="E2718" s="240"/>
      <c r="F2718" s="240"/>
      <c r="G2718" s="240"/>
      <c r="H2718" s="241">
        <f t="shared" si="306"/>
        <v>0</v>
      </c>
      <c r="I2718" s="242"/>
      <c r="J2718" s="243"/>
      <c r="K2718" s="243"/>
      <c r="L2718" s="244">
        <v>0.1</v>
      </c>
      <c r="M2718" s="244">
        <f t="shared" si="307"/>
        <v>0</v>
      </c>
      <c r="N2718" s="244"/>
      <c r="O2718" s="244"/>
      <c r="P2718" s="244"/>
      <c r="Q2718" s="245">
        <f t="shared" si="308"/>
        <v>0</v>
      </c>
      <c r="R2718" s="245">
        <f t="shared" si="309"/>
        <v>0</v>
      </c>
      <c r="S2718" s="246">
        <v>0.5</v>
      </c>
      <c r="T2718" s="245">
        <f t="shared" si="310"/>
        <v>0</v>
      </c>
      <c r="U2718" s="245">
        <f t="shared" si="311"/>
        <v>0</v>
      </c>
      <c r="V2718" s="247"/>
    </row>
    <row r="2719" spans="1:22" ht="15.75" x14ac:dyDescent="0.25">
      <c r="A2719" s="236"/>
      <c r="B2719" s="237"/>
      <c r="C2719" s="238"/>
      <c r="D2719" s="239"/>
      <c r="E2719" s="240"/>
      <c r="F2719" s="240"/>
      <c r="G2719" s="240"/>
      <c r="H2719" s="241">
        <f t="shared" si="306"/>
        <v>0</v>
      </c>
      <c r="I2719" s="242"/>
      <c r="J2719" s="243"/>
      <c r="K2719" s="243"/>
      <c r="L2719" s="244">
        <v>0.1</v>
      </c>
      <c r="M2719" s="244">
        <f t="shared" si="307"/>
        <v>0</v>
      </c>
      <c r="N2719" s="244"/>
      <c r="O2719" s="244"/>
      <c r="P2719" s="244"/>
      <c r="Q2719" s="245">
        <f t="shared" si="308"/>
        <v>0</v>
      </c>
      <c r="R2719" s="245">
        <f t="shared" si="309"/>
        <v>0</v>
      </c>
      <c r="S2719" s="246">
        <v>0.5</v>
      </c>
      <c r="T2719" s="245">
        <f t="shared" si="310"/>
        <v>0</v>
      </c>
      <c r="U2719" s="245">
        <f t="shared" si="311"/>
        <v>0</v>
      </c>
      <c r="V2719" s="247"/>
    </row>
    <row r="2720" spans="1:22" ht="15.75" x14ac:dyDescent="0.25">
      <c r="A2720" s="236"/>
      <c r="B2720" s="237"/>
      <c r="C2720" s="238"/>
      <c r="D2720" s="239"/>
      <c r="E2720" s="240"/>
      <c r="F2720" s="240"/>
      <c r="G2720" s="240"/>
      <c r="H2720" s="241">
        <f t="shared" si="306"/>
        <v>0</v>
      </c>
      <c r="I2720" s="242"/>
      <c r="J2720" s="243"/>
      <c r="K2720" s="243"/>
      <c r="L2720" s="244">
        <v>0.1</v>
      </c>
      <c r="M2720" s="244">
        <f t="shared" si="307"/>
        <v>0</v>
      </c>
      <c r="N2720" s="244"/>
      <c r="O2720" s="244"/>
      <c r="P2720" s="244"/>
      <c r="Q2720" s="245">
        <f t="shared" si="308"/>
        <v>0</v>
      </c>
      <c r="R2720" s="245">
        <f t="shared" si="309"/>
        <v>0</v>
      </c>
      <c r="S2720" s="246">
        <v>0.5</v>
      </c>
      <c r="T2720" s="245">
        <f t="shared" si="310"/>
        <v>0</v>
      </c>
      <c r="U2720" s="245">
        <f t="shared" si="311"/>
        <v>0</v>
      </c>
      <c r="V2720" s="247"/>
    </row>
    <row r="2721" spans="1:22" ht="15.75" x14ac:dyDescent="0.25">
      <c r="A2721" s="236"/>
      <c r="B2721" s="237"/>
      <c r="C2721" s="238"/>
      <c r="D2721" s="239"/>
      <c r="E2721" s="240"/>
      <c r="F2721" s="240"/>
      <c r="G2721" s="240"/>
      <c r="H2721" s="241">
        <f t="shared" si="306"/>
        <v>0</v>
      </c>
      <c r="I2721" s="242"/>
      <c r="J2721" s="243"/>
      <c r="K2721" s="243"/>
      <c r="L2721" s="244">
        <v>0.1</v>
      </c>
      <c r="M2721" s="244">
        <f t="shared" si="307"/>
        <v>0</v>
      </c>
      <c r="N2721" s="244"/>
      <c r="O2721" s="244"/>
      <c r="P2721" s="244"/>
      <c r="Q2721" s="245">
        <f t="shared" si="308"/>
        <v>0</v>
      </c>
      <c r="R2721" s="245">
        <f t="shared" si="309"/>
        <v>0</v>
      </c>
      <c r="S2721" s="246">
        <v>0.5</v>
      </c>
      <c r="T2721" s="245">
        <f t="shared" si="310"/>
        <v>0</v>
      </c>
      <c r="U2721" s="245">
        <f t="shared" si="311"/>
        <v>0</v>
      </c>
      <c r="V2721" s="247"/>
    </row>
    <row r="2722" spans="1:22" ht="15.75" x14ac:dyDescent="0.25">
      <c r="A2722" s="236"/>
      <c r="B2722" s="237"/>
      <c r="C2722" s="238"/>
      <c r="D2722" s="239"/>
      <c r="E2722" s="240"/>
      <c r="F2722" s="240"/>
      <c r="G2722" s="240"/>
      <c r="H2722" s="241">
        <f t="shared" si="306"/>
        <v>0</v>
      </c>
      <c r="I2722" s="242"/>
      <c r="J2722" s="243"/>
      <c r="K2722" s="243"/>
      <c r="L2722" s="244">
        <v>0.1</v>
      </c>
      <c r="M2722" s="244">
        <f t="shared" si="307"/>
        <v>0</v>
      </c>
      <c r="N2722" s="244"/>
      <c r="O2722" s="244"/>
      <c r="P2722" s="244"/>
      <c r="Q2722" s="245">
        <f t="shared" si="308"/>
        <v>0</v>
      </c>
      <c r="R2722" s="245">
        <f t="shared" si="309"/>
        <v>0</v>
      </c>
      <c r="S2722" s="246">
        <v>0.5</v>
      </c>
      <c r="T2722" s="245">
        <f t="shared" si="310"/>
        <v>0</v>
      </c>
      <c r="U2722" s="245">
        <f t="shared" si="311"/>
        <v>0</v>
      </c>
      <c r="V2722" s="247"/>
    </row>
    <row r="2723" spans="1:22" ht="15.75" x14ac:dyDescent="0.25">
      <c r="A2723" s="236"/>
      <c r="B2723" s="237"/>
      <c r="C2723" s="238"/>
      <c r="D2723" s="239"/>
      <c r="E2723" s="240"/>
      <c r="F2723" s="240"/>
      <c r="G2723" s="240"/>
      <c r="H2723" s="241">
        <f t="shared" si="306"/>
        <v>0</v>
      </c>
      <c r="I2723" s="242"/>
      <c r="J2723" s="243"/>
      <c r="K2723" s="243"/>
      <c r="L2723" s="244">
        <v>0.1</v>
      </c>
      <c r="M2723" s="244">
        <f t="shared" si="307"/>
        <v>0</v>
      </c>
      <c r="N2723" s="244"/>
      <c r="O2723" s="244"/>
      <c r="P2723" s="244"/>
      <c r="Q2723" s="245">
        <f t="shared" si="308"/>
        <v>0</v>
      </c>
      <c r="R2723" s="245">
        <f t="shared" si="309"/>
        <v>0</v>
      </c>
      <c r="S2723" s="246">
        <v>0.5</v>
      </c>
      <c r="T2723" s="245">
        <f t="shared" si="310"/>
        <v>0</v>
      </c>
      <c r="U2723" s="245">
        <f t="shared" si="311"/>
        <v>0</v>
      </c>
      <c r="V2723" s="247"/>
    </row>
    <row r="2724" spans="1:22" ht="15.75" x14ac:dyDescent="0.25">
      <c r="A2724" s="236"/>
      <c r="B2724" s="237"/>
      <c r="C2724" s="238"/>
      <c r="D2724" s="239"/>
      <c r="E2724" s="240"/>
      <c r="F2724" s="240"/>
      <c r="G2724" s="240"/>
      <c r="H2724" s="241">
        <f t="shared" si="306"/>
        <v>0</v>
      </c>
      <c r="I2724" s="242"/>
      <c r="J2724" s="243"/>
      <c r="K2724" s="243"/>
      <c r="L2724" s="244">
        <v>0.1</v>
      </c>
      <c r="M2724" s="244">
        <f t="shared" si="307"/>
        <v>0</v>
      </c>
      <c r="N2724" s="244"/>
      <c r="O2724" s="244"/>
      <c r="P2724" s="244"/>
      <c r="Q2724" s="245">
        <f t="shared" si="308"/>
        <v>0</v>
      </c>
      <c r="R2724" s="245">
        <f t="shared" si="309"/>
        <v>0</v>
      </c>
      <c r="S2724" s="246">
        <v>0.5</v>
      </c>
      <c r="T2724" s="245">
        <f t="shared" si="310"/>
        <v>0</v>
      </c>
      <c r="U2724" s="245">
        <f t="shared" si="311"/>
        <v>0</v>
      </c>
      <c r="V2724" s="247"/>
    </row>
    <row r="2725" spans="1:22" ht="15.75" x14ac:dyDescent="0.25">
      <c r="A2725" s="236"/>
      <c r="B2725" s="237"/>
      <c r="C2725" s="238"/>
      <c r="D2725" s="239"/>
      <c r="E2725" s="240"/>
      <c r="F2725" s="240"/>
      <c r="G2725" s="240"/>
      <c r="H2725" s="241">
        <f t="shared" si="306"/>
        <v>0</v>
      </c>
      <c r="I2725" s="242"/>
      <c r="J2725" s="243"/>
      <c r="K2725" s="243"/>
      <c r="L2725" s="244">
        <v>0.1</v>
      </c>
      <c r="M2725" s="244">
        <f t="shared" si="307"/>
        <v>0</v>
      </c>
      <c r="N2725" s="244"/>
      <c r="O2725" s="244"/>
      <c r="P2725" s="244"/>
      <c r="Q2725" s="245">
        <f t="shared" si="308"/>
        <v>0</v>
      </c>
      <c r="R2725" s="245">
        <f t="shared" si="309"/>
        <v>0</v>
      </c>
      <c r="S2725" s="246">
        <v>0.5</v>
      </c>
      <c r="T2725" s="245">
        <f t="shared" si="310"/>
        <v>0</v>
      </c>
      <c r="U2725" s="245">
        <f t="shared" si="311"/>
        <v>0</v>
      </c>
      <c r="V2725" s="247"/>
    </row>
    <row r="2726" spans="1:22" ht="15.75" x14ac:dyDescent="0.25">
      <c r="A2726" s="236"/>
      <c r="B2726" s="237"/>
      <c r="C2726" s="238"/>
      <c r="D2726" s="239"/>
      <c r="E2726" s="240"/>
      <c r="F2726" s="240"/>
      <c r="G2726" s="240"/>
      <c r="H2726" s="241">
        <f t="shared" si="306"/>
        <v>0</v>
      </c>
      <c r="I2726" s="242"/>
      <c r="J2726" s="243"/>
      <c r="K2726" s="243"/>
      <c r="L2726" s="244">
        <v>0.1</v>
      </c>
      <c r="M2726" s="244">
        <f t="shared" si="307"/>
        <v>0</v>
      </c>
      <c r="N2726" s="244"/>
      <c r="O2726" s="244"/>
      <c r="P2726" s="244"/>
      <c r="Q2726" s="245">
        <f t="shared" si="308"/>
        <v>0</v>
      </c>
      <c r="R2726" s="245">
        <f t="shared" si="309"/>
        <v>0</v>
      </c>
      <c r="S2726" s="246">
        <v>0.5</v>
      </c>
      <c r="T2726" s="245">
        <f t="shared" si="310"/>
        <v>0</v>
      </c>
      <c r="U2726" s="245">
        <f t="shared" si="311"/>
        <v>0</v>
      </c>
      <c r="V2726" s="247"/>
    </row>
    <row r="2727" spans="1:22" ht="15.75" x14ac:dyDescent="0.25">
      <c r="A2727" s="236"/>
      <c r="B2727" s="237"/>
      <c r="C2727" s="238"/>
      <c r="D2727" s="239"/>
      <c r="E2727" s="240"/>
      <c r="F2727" s="240"/>
      <c r="G2727" s="240"/>
      <c r="H2727" s="241">
        <f t="shared" si="306"/>
        <v>0</v>
      </c>
      <c r="I2727" s="242"/>
      <c r="J2727" s="243"/>
      <c r="K2727" s="243"/>
      <c r="L2727" s="244">
        <v>0.1</v>
      </c>
      <c r="M2727" s="244">
        <f t="shared" si="307"/>
        <v>0</v>
      </c>
      <c r="N2727" s="244"/>
      <c r="O2727" s="244"/>
      <c r="P2727" s="244"/>
      <c r="Q2727" s="245">
        <f t="shared" si="308"/>
        <v>0</v>
      </c>
      <c r="R2727" s="245">
        <f t="shared" si="309"/>
        <v>0</v>
      </c>
      <c r="S2727" s="246">
        <v>0.5</v>
      </c>
      <c r="T2727" s="245">
        <f t="shared" si="310"/>
        <v>0</v>
      </c>
      <c r="U2727" s="245">
        <f t="shared" si="311"/>
        <v>0</v>
      </c>
      <c r="V2727" s="247"/>
    </row>
    <row r="2728" spans="1:22" ht="15.75" x14ac:dyDescent="0.25">
      <c r="A2728" s="236"/>
      <c r="B2728" s="237"/>
      <c r="C2728" s="238"/>
      <c r="D2728" s="239"/>
      <c r="E2728" s="240"/>
      <c r="F2728" s="240"/>
      <c r="G2728" s="240"/>
      <c r="H2728" s="241">
        <f t="shared" si="306"/>
        <v>0</v>
      </c>
      <c r="I2728" s="242"/>
      <c r="J2728" s="243"/>
      <c r="K2728" s="243"/>
      <c r="L2728" s="244">
        <v>0.1</v>
      </c>
      <c r="M2728" s="244">
        <f t="shared" si="307"/>
        <v>0</v>
      </c>
      <c r="N2728" s="244"/>
      <c r="O2728" s="244"/>
      <c r="P2728" s="244"/>
      <c r="Q2728" s="245">
        <f t="shared" si="308"/>
        <v>0</v>
      </c>
      <c r="R2728" s="245">
        <f t="shared" si="309"/>
        <v>0</v>
      </c>
      <c r="S2728" s="246">
        <v>0.5</v>
      </c>
      <c r="T2728" s="245">
        <f t="shared" si="310"/>
        <v>0</v>
      </c>
      <c r="U2728" s="245">
        <f t="shared" si="311"/>
        <v>0</v>
      </c>
      <c r="V2728" s="247"/>
    </row>
    <row r="2729" spans="1:22" ht="15.75" x14ac:dyDescent="0.25">
      <c r="A2729" s="236"/>
      <c r="B2729" s="237"/>
      <c r="C2729" s="238"/>
      <c r="D2729" s="239"/>
      <c r="E2729" s="240"/>
      <c r="F2729" s="240"/>
      <c r="G2729" s="240"/>
      <c r="H2729" s="241">
        <f t="shared" si="306"/>
        <v>0</v>
      </c>
      <c r="I2729" s="242"/>
      <c r="J2729" s="243"/>
      <c r="K2729" s="243"/>
      <c r="L2729" s="244">
        <v>0.1</v>
      </c>
      <c r="M2729" s="244">
        <f t="shared" si="307"/>
        <v>0</v>
      </c>
      <c r="N2729" s="244"/>
      <c r="O2729" s="244"/>
      <c r="P2729" s="244"/>
      <c r="Q2729" s="245">
        <f t="shared" si="308"/>
        <v>0</v>
      </c>
      <c r="R2729" s="245">
        <f t="shared" si="309"/>
        <v>0</v>
      </c>
      <c r="S2729" s="246">
        <v>0.5</v>
      </c>
      <c r="T2729" s="245">
        <f t="shared" si="310"/>
        <v>0</v>
      </c>
      <c r="U2729" s="245">
        <f t="shared" si="311"/>
        <v>0</v>
      </c>
      <c r="V2729" s="247"/>
    </row>
    <row r="2730" spans="1:22" ht="15.75" x14ac:dyDescent="0.25">
      <c r="A2730" s="236"/>
      <c r="B2730" s="237"/>
      <c r="C2730" s="238"/>
      <c r="D2730" s="239"/>
      <c r="E2730" s="240"/>
      <c r="F2730" s="240"/>
      <c r="G2730" s="240"/>
      <c r="H2730" s="241">
        <f t="shared" si="306"/>
        <v>0</v>
      </c>
      <c r="I2730" s="242"/>
      <c r="J2730" s="243"/>
      <c r="K2730" s="243"/>
      <c r="L2730" s="244">
        <v>0.1</v>
      </c>
      <c r="M2730" s="244">
        <f t="shared" si="307"/>
        <v>0</v>
      </c>
      <c r="N2730" s="244"/>
      <c r="O2730" s="244"/>
      <c r="P2730" s="244"/>
      <c r="Q2730" s="245">
        <f t="shared" si="308"/>
        <v>0</v>
      </c>
      <c r="R2730" s="245">
        <f t="shared" si="309"/>
        <v>0</v>
      </c>
      <c r="S2730" s="246">
        <v>0.5</v>
      </c>
      <c r="T2730" s="245">
        <f t="shared" si="310"/>
        <v>0</v>
      </c>
      <c r="U2730" s="245">
        <f t="shared" si="311"/>
        <v>0</v>
      </c>
      <c r="V2730" s="247"/>
    </row>
    <row r="2731" spans="1:22" ht="15.75" x14ac:dyDescent="0.25">
      <c r="A2731" s="236"/>
      <c r="B2731" s="237"/>
      <c r="C2731" s="238"/>
      <c r="D2731" s="239"/>
      <c r="E2731" s="240"/>
      <c r="F2731" s="240"/>
      <c r="G2731" s="240"/>
      <c r="H2731" s="241">
        <f t="shared" si="306"/>
        <v>0</v>
      </c>
      <c r="I2731" s="242"/>
      <c r="J2731" s="243"/>
      <c r="K2731" s="243"/>
      <c r="L2731" s="244">
        <v>0.1</v>
      </c>
      <c r="M2731" s="244">
        <f t="shared" si="307"/>
        <v>0</v>
      </c>
      <c r="N2731" s="244"/>
      <c r="O2731" s="244"/>
      <c r="P2731" s="244"/>
      <c r="Q2731" s="245">
        <f t="shared" si="308"/>
        <v>0</v>
      </c>
      <c r="R2731" s="245">
        <f t="shared" si="309"/>
        <v>0</v>
      </c>
      <c r="S2731" s="246">
        <v>0.5</v>
      </c>
      <c r="T2731" s="245">
        <f t="shared" si="310"/>
        <v>0</v>
      </c>
      <c r="U2731" s="245">
        <f t="shared" si="311"/>
        <v>0</v>
      </c>
      <c r="V2731" s="247"/>
    </row>
    <row r="2732" spans="1:22" ht="15.75" x14ac:dyDescent="0.25">
      <c r="A2732" s="236"/>
      <c r="B2732" s="237"/>
      <c r="C2732" s="238"/>
      <c r="D2732" s="239"/>
      <c r="E2732" s="240"/>
      <c r="F2732" s="240"/>
      <c r="G2732" s="240"/>
      <c r="H2732" s="241">
        <f t="shared" si="306"/>
        <v>0</v>
      </c>
      <c r="I2732" s="242"/>
      <c r="J2732" s="243"/>
      <c r="K2732" s="243"/>
      <c r="L2732" s="244">
        <v>0.1</v>
      </c>
      <c r="M2732" s="244">
        <f t="shared" si="307"/>
        <v>0</v>
      </c>
      <c r="N2732" s="244"/>
      <c r="O2732" s="244"/>
      <c r="P2732" s="244"/>
      <c r="Q2732" s="245">
        <f t="shared" si="308"/>
        <v>0</v>
      </c>
      <c r="R2732" s="245">
        <f t="shared" si="309"/>
        <v>0</v>
      </c>
      <c r="S2732" s="246">
        <v>0.5</v>
      </c>
      <c r="T2732" s="245">
        <f t="shared" si="310"/>
        <v>0</v>
      </c>
      <c r="U2732" s="245">
        <f t="shared" si="311"/>
        <v>0</v>
      </c>
      <c r="V2732" s="247"/>
    </row>
    <row r="2733" spans="1:22" ht="15.75" x14ac:dyDescent="0.25">
      <c r="A2733" s="236"/>
      <c r="B2733" s="237"/>
      <c r="C2733" s="238"/>
      <c r="D2733" s="239"/>
      <c r="E2733" s="240"/>
      <c r="F2733" s="240"/>
      <c r="G2733" s="240"/>
      <c r="H2733" s="241">
        <f t="shared" si="306"/>
        <v>0</v>
      </c>
      <c r="I2733" s="242"/>
      <c r="J2733" s="243"/>
      <c r="K2733" s="243"/>
      <c r="L2733" s="244">
        <v>0.1</v>
      </c>
      <c r="M2733" s="244">
        <f t="shared" si="307"/>
        <v>0</v>
      </c>
      <c r="N2733" s="244"/>
      <c r="O2733" s="244"/>
      <c r="P2733" s="244"/>
      <c r="Q2733" s="245">
        <f t="shared" si="308"/>
        <v>0</v>
      </c>
      <c r="R2733" s="245">
        <f t="shared" si="309"/>
        <v>0</v>
      </c>
      <c r="S2733" s="246">
        <v>0.5</v>
      </c>
      <c r="T2733" s="245">
        <f t="shared" si="310"/>
        <v>0</v>
      </c>
      <c r="U2733" s="245">
        <f t="shared" si="311"/>
        <v>0</v>
      </c>
      <c r="V2733" s="247"/>
    </row>
    <row r="2734" spans="1:22" ht="15.75" x14ac:dyDescent="0.25">
      <c r="A2734" s="236"/>
      <c r="B2734" s="237"/>
      <c r="C2734" s="238"/>
      <c r="D2734" s="239"/>
      <c r="E2734" s="240"/>
      <c r="F2734" s="240"/>
      <c r="G2734" s="240"/>
      <c r="H2734" s="241">
        <f t="shared" si="306"/>
        <v>0</v>
      </c>
      <c r="I2734" s="242"/>
      <c r="J2734" s="243"/>
      <c r="K2734" s="243"/>
      <c r="L2734" s="244">
        <v>0.1</v>
      </c>
      <c r="M2734" s="244">
        <f t="shared" si="307"/>
        <v>0</v>
      </c>
      <c r="N2734" s="244"/>
      <c r="O2734" s="244"/>
      <c r="P2734" s="244"/>
      <c r="Q2734" s="245">
        <f t="shared" si="308"/>
        <v>0</v>
      </c>
      <c r="R2734" s="245">
        <f t="shared" si="309"/>
        <v>0</v>
      </c>
      <c r="S2734" s="246">
        <v>0.5</v>
      </c>
      <c r="T2734" s="245">
        <f t="shared" si="310"/>
        <v>0</v>
      </c>
      <c r="U2734" s="245">
        <f t="shared" si="311"/>
        <v>0</v>
      </c>
      <c r="V2734" s="247"/>
    </row>
    <row r="2735" spans="1:22" ht="15.75" x14ac:dyDescent="0.25">
      <c r="A2735" s="236"/>
      <c r="B2735" s="237"/>
      <c r="C2735" s="238"/>
      <c r="D2735" s="239"/>
      <c r="E2735" s="240"/>
      <c r="F2735" s="240"/>
      <c r="G2735" s="240"/>
      <c r="H2735" s="241">
        <f t="shared" si="306"/>
        <v>0</v>
      </c>
      <c r="I2735" s="242"/>
      <c r="J2735" s="243"/>
      <c r="K2735" s="243"/>
      <c r="L2735" s="244">
        <v>0.1</v>
      </c>
      <c r="M2735" s="244">
        <f t="shared" si="307"/>
        <v>0</v>
      </c>
      <c r="N2735" s="244"/>
      <c r="O2735" s="244"/>
      <c r="P2735" s="244"/>
      <c r="Q2735" s="245">
        <f t="shared" si="308"/>
        <v>0</v>
      </c>
      <c r="R2735" s="245">
        <f t="shared" si="309"/>
        <v>0</v>
      </c>
      <c r="S2735" s="246">
        <v>0.5</v>
      </c>
      <c r="T2735" s="245">
        <f t="shared" si="310"/>
        <v>0</v>
      </c>
      <c r="U2735" s="245">
        <f t="shared" si="311"/>
        <v>0</v>
      </c>
      <c r="V2735" s="247"/>
    </row>
    <row r="2736" spans="1:22" ht="15.75" x14ac:dyDescent="0.25">
      <c r="A2736" s="236"/>
      <c r="B2736" s="237"/>
      <c r="C2736" s="238"/>
      <c r="D2736" s="239"/>
      <c r="E2736" s="240"/>
      <c r="F2736" s="240"/>
      <c r="G2736" s="240"/>
      <c r="H2736" s="241">
        <f t="shared" si="306"/>
        <v>0</v>
      </c>
      <c r="I2736" s="242"/>
      <c r="J2736" s="243"/>
      <c r="K2736" s="243"/>
      <c r="L2736" s="244">
        <v>0.1</v>
      </c>
      <c r="M2736" s="244">
        <f t="shared" si="307"/>
        <v>0</v>
      </c>
      <c r="N2736" s="244"/>
      <c r="O2736" s="244"/>
      <c r="P2736" s="244"/>
      <c r="Q2736" s="245">
        <f t="shared" si="308"/>
        <v>0</v>
      </c>
      <c r="R2736" s="245">
        <f t="shared" si="309"/>
        <v>0</v>
      </c>
      <c r="S2736" s="246">
        <v>0.5</v>
      </c>
      <c r="T2736" s="245">
        <f t="shared" si="310"/>
        <v>0</v>
      </c>
      <c r="U2736" s="245">
        <f t="shared" si="311"/>
        <v>0</v>
      </c>
      <c r="V2736" s="247"/>
    </row>
    <row r="2737" spans="1:22" ht="15.75" x14ac:dyDescent="0.25">
      <c r="A2737" s="236"/>
      <c r="B2737" s="237"/>
      <c r="C2737" s="238"/>
      <c r="D2737" s="239"/>
      <c r="E2737" s="240"/>
      <c r="F2737" s="240"/>
      <c r="G2737" s="240"/>
      <c r="H2737" s="241">
        <f t="shared" si="306"/>
        <v>0</v>
      </c>
      <c r="I2737" s="242"/>
      <c r="J2737" s="243"/>
      <c r="K2737" s="243"/>
      <c r="L2737" s="244">
        <v>0.1</v>
      </c>
      <c r="M2737" s="244">
        <f t="shared" si="307"/>
        <v>0</v>
      </c>
      <c r="N2737" s="244"/>
      <c r="O2737" s="244"/>
      <c r="P2737" s="244"/>
      <c r="Q2737" s="245">
        <f t="shared" si="308"/>
        <v>0</v>
      </c>
      <c r="R2737" s="245">
        <f t="shared" si="309"/>
        <v>0</v>
      </c>
      <c r="S2737" s="246">
        <v>0.5</v>
      </c>
      <c r="T2737" s="245">
        <f t="shared" si="310"/>
        <v>0</v>
      </c>
      <c r="U2737" s="245">
        <f t="shared" si="311"/>
        <v>0</v>
      </c>
      <c r="V2737" s="247"/>
    </row>
    <row r="2738" spans="1:22" ht="15.75" x14ac:dyDescent="0.25">
      <c r="A2738" s="236"/>
      <c r="B2738" s="237"/>
      <c r="C2738" s="238"/>
      <c r="D2738" s="239"/>
      <c r="E2738" s="240"/>
      <c r="F2738" s="240"/>
      <c r="G2738" s="240"/>
      <c r="H2738" s="241">
        <f t="shared" si="306"/>
        <v>0</v>
      </c>
      <c r="I2738" s="242"/>
      <c r="J2738" s="243"/>
      <c r="K2738" s="243"/>
      <c r="L2738" s="244">
        <v>0.1</v>
      </c>
      <c r="M2738" s="244">
        <f t="shared" si="307"/>
        <v>0</v>
      </c>
      <c r="N2738" s="244"/>
      <c r="O2738" s="244"/>
      <c r="P2738" s="244"/>
      <c r="Q2738" s="245">
        <f t="shared" si="308"/>
        <v>0</v>
      </c>
      <c r="R2738" s="245">
        <f t="shared" si="309"/>
        <v>0</v>
      </c>
      <c r="S2738" s="246">
        <v>0.5</v>
      </c>
      <c r="T2738" s="245">
        <f t="shared" si="310"/>
        <v>0</v>
      </c>
      <c r="U2738" s="245">
        <f t="shared" si="311"/>
        <v>0</v>
      </c>
      <c r="V2738" s="247"/>
    </row>
    <row r="2739" spans="1:22" ht="15.75" x14ac:dyDescent="0.25">
      <c r="A2739" s="236"/>
      <c r="B2739" s="237"/>
      <c r="C2739" s="238"/>
      <c r="D2739" s="239"/>
      <c r="E2739" s="240"/>
      <c r="F2739" s="240"/>
      <c r="G2739" s="240"/>
      <c r="H2739" s="241">
        <f t="shared" si="306"/>
        <v>0</v>
      </c>
      <c r="I2739" s="242"/>
      <c r="J2739" s="243"/>
      <c r="K2739" s="243"/>
      <c r="L2739" s="244">
        <v>0.1</v>
      </c>
      <c r="M2739" s="244">
        <f t="shared" si="307"/>
        <v>0</v>
      </c>
      <c r="N2739" s="244"/>
      <c r="O2739" s="244"/>
      <c r="P2739" s="244"/>
      <c r="Q2739" s="245">
        <f t="shared" si="308"/>
        <v>0</v>
      </c>
      <c r="R2739" s="245">
        <f t="shared" si="309"/>
        <v>0</v>
      </c>
      <c r="S2739" s="246">
        <v>0.5</v>
      </c>
      <c r="T2739" s="245">
        <f t="shared" si="310"/>
        <v>0</v>
      </c>
      <c r="U2739" s="245">
        <f t="shared" si="311"/>
        <v>0</v>
      </c>
      <c r="V2739" s="247"/>
    </row>
    <row r="2740" spans="1:22" ht="15.75" x14ac:dyDescent="0.25">
      <c r="A2740" s="236"/>
      <c r="B2740" s="237"/>
      <c r="C2740" s="238"/>
      <c r="D2740" s="239"/>
      <c r="E2740" s="240"/>
      <c r="F2740" s="240"/>
      <c r="G2740" s="240"/>
      <c r="H2740" s="241">
        <f t="shared" si="306"/>
        <v>0</v>
      </c>
      <c r="I2740" s="242"/>
      <c r="J2740" s="243"/>
      <c r="K2740" s="243"/>
      <c r="L2740" s="244">
        <v>0.1</v>
      </c>
      <c r="M2740" s="244">
        <f t="shared" si="307"/>
        <v>0</v>
      </c>
      <c r="N2740" s="244"/>
      <c r="O2740" s="244"/>
      <c r="P2740" s="244"/>
      <c r="Q2740" s="245">
        <f t="shared" si="308"/>
        <v>0</v>
      </c>
      <c r="R2740" s="245">
        <f t="shared" si="309"/>
        <v>0</v>
      </c>
      <c r="S2740" s="246">
        <v>0.5</v>
      </c>
      <c r="T2740" s="245">
        <f t="shared" si="310"/>
        <v>0</v>
      </c>
      <c r="U2740" s="245">
        <f t="shared" si="311"/>
        <v>0</v>
      </c>
      <c r="V2740" s="247"/>
    </row>
    <row r="2741" spans="1:22" ht="15.75" x14ac:dyDescent="0.25">
      <c r="A2741" s="236"/>
      <c r="B2741" s="237"/>
      <c r="C2741" s="238"/>
      <c r="D2741" s="239"/>
      <c r="E2741" s="240"/>
      <c r="F2741" s="240"/>
      <c r="G2741" s="240"/>
      <c r="H2741" s="241">
        <f t="shared" si="306"/>
        <v>0</v>
      </c>
      <c r="I2741" s="242"/>
      <c r="J2741" s="243"/>
      <c r="K2741" s="243"/>
      <c r="L2741" s="244">
        <v>0.1</v>
      </c>
      <c r="M2741" s="244">
        <f t="shared" si="307"/>
        <v>0</v>
      </c>
      <c r="N2741" s="244"/>
      <c r="O2741" s="244"/>
      <c r="P2741" s="244"/>
      <c r="Q2741" s="245">
        <f t="shared" si="308"/>
        <v>0</v>
      </c>
      <c r="R2741" s="245">
        <f t="shared" si="309"/>
        <v>0</v>
      </c>
      <c r="S2741" s="246">
        <v>0.5</v>
      </c>
      <c r="T2741" s="245">
        <f t="shared" si="310"/>
        <v>0</v>
      </c>
      <c r="U2741" s="245">
        <f t="shared" si="311"/>
        <v>0</v>
      </c>
      <c r="V2741" s="247"/>
    </row>
    <row r="2742" spans="1:22" ht="15.75" x14ac:dyDescent="0.25">
      <c r="A2742" s="236"/>
      <c r="B2742" s="237"/>
      <c r="C2742" s="238"/>
      <c r="D2742" s="239"/>
      <c r="E2742" s="240"/>
      <c r="F2742" s="240"/>
      <c r="G2742" s="240"/>
      <c r="H2742" s="241">
        <f t="shared" si="306"/>
        <v>0</v>
      </c>
      <c r="I2742" s="242"/>
      <c r="J2742" s="243"/>
      <c r="K2742" s="243"/>
      <c r="L2742" s="244">
        <v>0.1</v>
      </c>
      <c r="M2742" s="244">
        <f t="shared" si="307"/>
        <v>0</v>
      </c>
      <c r="N2742" s="244"/>
      <c r="O2742" s="244"/>
      <c r="P2742" s="244"/>
      <c r="Q2742" s="245">
        <f t="shared" si="308"/>
        <v>0</v>
      </c>
      <c r="R2742" s="245">
        <f t="shared" si="309"/>
        <v>0</v>
      </c>
      <c r="S2742" s="246">
        <v>0.5</v>
      </c>
      <c r="T2742" s="245">
        <f t="shared" si="310"/>
        <v>0</v>
      </c>
      <c r="U2742" s="245">
        <f t="shared" si="311"/>
        <v>0</v>
      </c>
      <c r="V2742" s="247"/>
    </row>
    <row r="2743" spans="1:22" ht="15.75" x14ac:dyDescent="0.25">
      <c r="A2743" s="236"/>
      <c r="B2743" s="237"/>
      <c r="C2743" s="238"/>
      <c r="D2743" s="239"/>
      <c r="E2743" s="240"/>
      <c r="F2743" s="240"/>
      <c r="G2743" s="240"/>
      <c r="H2743" s="241">
        <f t="shared" si="306"/>
        <v>0</v>
      </c>
      <c r="I2743" s="242"/>
      <c r="J2743" s="243"/>
      <c r="K2743" s="243"/>
      <c r="L2743" s="244">
        <v>0.1</v>
      </c>
      <c r="M2743" s="244">
        <f t="shared" si="307"/>
        <v>0</v>
      </c>
      <c r="N2743" s="244"/>
      <c r="O2743" s="244"/>
      <c r="P2743" s="244"/>
      <c r="Q2743" s="245">
        <f t="shared" si="308"/>
        <v>0</v>
      </c>
      <c r="R2743" s="245">
        <f t="shared" si="309"/>
        <v>0</v>
      </c>
      <c r="S2743" s="246">
        <v>0.5</v>
      </c>
      <c r="T2743" s="245">
        <f t="shared" si="310"/>
        <v>0</v>
      </c>
      <c r="U2743" s="245">
        <f t="shared" si="311"/>
        <v>0</v>
      </c>
      <c r="V2743" s="247"/>
    </row>
    <row r="2744" spans="1:22" ht="15.75" x14ac:dyDescent="0.25">
      <c r="A2744" s="236"/>
      <c r="B2744" s="237"/>
      <c r="C2744" s="238"/>
      <c r="D2744" s="239"/>
      <c r="E2744" s="240"/>
      <c r="F2744" s="240"/>
      <c r="G2744" s="240"/>
      <c r="H2744" s="241">
        <f t="shared" si="306"/>
        <v>0</v>
      </c>
      <c r="I2744" s="242"/>
      <c r="J2744" s="243"/>
      <c r="K2744" s="243"/>
      <c r="L2744" s="244">
        <v>0.1</v>
      </c>
      <c r="M2744" s="244">
        <f t="shared" si="307"/>
        <v>0</v>
      </c>
      <c r="N2744" s="244"/>
      <c r="O2744" s="244"/>
      <c r="P2744" s="244"/>
      <c r="Q2744" s="245">
        <f t="shared" si="308"/>
        <v>0</v>
      </c>
      <c r="R2744" s="245">
        <f t="shared" si="309"/>
        <v>0</v>
      </c>
      <c r="S2744" s="246">
        <v>0.5</v>
      </c>
      <c r="T2744" s="245">
        <f t="shared" si="310"/>
        <v>0</v>
      </c>
      <c r="U2744" s="245">
        <f t="shared" si="311"/>
        <v>0</v>
      </c>
      <c r="V2744" s="247"/>
    </row>
    <row r="2745" spans="1:22" ht="15.75" x14ac:dyDescent="0.25">
      <c r="A2745" s="236"/>
      <c r="B2745" s="237"/>
      <c r="C2745" s="238"/>
      <c r="D2745" s="239"/>
      <c r="E2745" s="240"/>
      <c r="F2745" s="240"/>
      <c r="G2745" s="240"/>
      <c r="H2745" s="241">
        <f t="shared" si="306"/>
        <v>0</v>
      </c>
      <c r="I2745" s="242"/>
      <c r="J2745" s="243"/>
      <c r="K2745" s="243"/>
      <c r="L2745" s="244">
        <v>0.1</v>
      </c>
      <c r="M2745" s="244">
        <f t="shared" si="307"/>
        <v>0</v>
      </c>
      <c r="N2745" s="244"/>
      <c r="O2745" s="244"/>
      <c r="P2745" s="244"/>
      <c r="Q2745" s="245">
        <f t="shared" si="308"/>
        <v>0</v>
      </c>
      <c r="R2745" s="245">
        <f t="shared" si="309"/>
        <v>0</v>
      </c>
      <c r="S2745" s="246">
        <v>0.5</v>
      </c>
      <c r="T2745" s="245">
        <f t="shared" si="310"/>
        <v>0</v>
      </c>
      <c r="U2745" s="245">
        <f t="shared" si="311"/>
        <v>0</v>
      </c>
      <c r="V2745" s="247"/>
    </row>
    <row r="2746" spans="1:22" ht="15.75" x14ac:dyDescent="0.25">
      <c r="A2746" s="236"/>
      <c r="B2746" s="237"/>
      <c r="C2746" s="238"/>
      <c r="D2746" s="239"/>
      <c r="E2746" s="240"/>
      <c r="F2746" s="240"/>
      <c r="G2746" s="240"/>
      <c r="H2746" s="241">
        <f t="shared" si="306"/>
        <v>0</v>
      </c>
      <c r="I2746" s="242"/>
      <c r="J2746" s="243"/>
      <c r="K2746" s="243"/>
      <c r="L2746" s="244">
        <v>0.1</v>
      </c>
      <c r="M2746" s="244">
        <f t="shared" si="307"/>
        <v>0</v>
      </c>
      <c r="N2746" s="244"/>
      <c r="O2746" s="244"/>
      <c r="P2746" s="244"/>
      <c r="Q2746" s="245">
        <f t="shared" si="308"/>
        <v>0</v>
      </c>
      <c r="R2746" s="245">
        <f t="shared" si="309"/>
        <v>0</v>
      </c>
      <c r="S2746" s="246">
        <v>0.5</v>
      </c>
      <c r="T2746" s="245">
        <f t="shared" si="310"/>
        <v>0</v>
      </c>
      <c r="U2746" s="245">
        <f t="shared" si="311"/>
        <v>0</v>
      </c>
      <c r="V2746" s="247"/>
    </row>
    <row r="2747" spans="1:22" ht="15.75" x14ac:dyDescent="0.25">
      <c r="A2747" s="236"/>
      <c r="B2747" s="237"/>
      <c r="C2747" s="238"/>
      <c r="D2747" s="239"/>
      <c r="E2747" s="240"/>
      <c r="F2747" s="240"/>
      <c r="G2747" s="240"/>
      <c r="H2747" s="241">
        <f t="shared" si="306"/>
        <v>0</v>
      </c>
      <c r="I2747" s="242"/>
      <c r="J2747" s="243"/>
      <c r="K2747" s="243"/>
      <c r="L2747" s="244">
        <v>0.1</v>
      </c>
      <c r="M2747" s="244">
        <f t="shared" si="307"/>
        <v>0</v>
      </c>
      <c r="N2747" s="244"/>
      <c r="O2747" s="244"/>
      <c r="P2747" s="244"/>
      <c r="Q2747" s="245">
        <f t="shared" si="308"/>
        <v>0</v>
      </c>
      <c r="R2747" s="245">
        <f t="shared" si="309"/>
        <v>0</v>
      </c>
      <c r="S2747" s="246">
        <v>0.5</v>
      </c>
      <c r="T2747" s="245">
        <f t="shared" si="310"/>
        <v>0</v>
      </c>
      <c r="U2747" s="245">
        <f t="shared" si="311"/>
        <v>0</v>
      </c>
      <c r="V2747" s="247"/>
    </row>
    <row r="2748" spans="1:22" ht="15.75" x14ac:dyDescent="0.25">
      <c r="A2748" s="236"/>
      <c r="B2748" s="237"/>
      <c r="C2748" s="238"/>
      <c r="D2748" s="239"/>
      <c r="E2748" s="240"/>
      <c r="F2748" s="240"/>
      <c r="G2748" s="240"/>
      <c r="H2748" s="241">
        <f t="shared" si="306"/>
        <v>0</v>
      </c>
      <c r="I2748" s="242"/>
      <c r="J2748" s="243"/>
      <c r="K2748" s="243"/>
      <c r="L2748" s="244">
        <v>0.1</v>
      </c>
      <c r="M2748" s="244">
        <f t="shared" si="307"/>
        <v>0</v>
      </c>
      <c r="N2748" s="244"/>
      <c r="O2748" s="244"/>
      <c r="P2748" s="244"/>
      <c r="Q2748" s="245">
        <f t="shared" si="308"/>
        <v>0</v>
      </c>
      <c r="R2748" s="245">
        <f t="shared" si="309"/>
        <v>0</v>
      </c>
      <c r="S2748" s="246">
        <v>0.5</v>
      </c>
      <c r="T2748" s="245">
        <f t="shared" si="310"/>
        <v>0</v>
      </c>
      <c r="U2748" s="245">
        <f t="shared" si="311"/>
        <v>0</v>
      </c>
      <c r="V2748" s="247"/>
    </row>
    <row r="2749" spans="1:22" ht="15.75" x14ac:dyDescent="0.25">
      <c r="A2749" s="236"/>
      <c r="B2749" s="237"/>
      <c r="C2749" s="238"/>
      <c r="D2749" s="239"/>
      <c r="E2749" s="240"/>
      <c r="F2749" s="240"/>
      <c r="G2749" s="240"/>
      <c r="H2749" s="241">
        <f t="shared" ref="H2749:H2795" si="312">+E2749+F2749+G2749</f>
        <v>0</v>
      </c>
      <c r="I2749" s="242"/>
      <c r="J2749" s="243"/>
      <c r="K2749" s="243"/>
      <c r="L2749" s="244">
        <v>0.1</v>
      </c>
      <c r="M2749" s="244">
        <f t="shared" ref="M2749:M2795" si="313">+L2749*C2749</f>
        <v>0</v>
      </c>
      <c r="N2749" s="244"/>
      <c r="O2749" s="244"/>
      <c r="P2749" s="244"/>
      <c r="Q2749" s="245">
        <f t="shared" ref="Q2749:Q2795" si="314">+N2749+O2749+P2749</f>
        <v>0</v>
      </c>
      <c r="R2749" s="245">
        <f t="shared" ref="R2749:R2795" si="315">IF(+Q2749-H2749&lt;=0,0,Q2749-H2749)</f>
        <v>0</v>
      </c>
      <c r="S2749" s="246">
        <v>0.5</v>
      </c>
      <c r="T2749" s="245">
        <f t="shared" ref="T2749:T2795" si="316">+(R2749*C2749)*S2749</f>
        <v>0</v>
      </c>
      <c r="U2749" s="245">
        <f t="shared" ref="U2749:U2795" si="317">+J2749+M2749+T2749</f>
        <v>0</v>
      </c>
      <c r="V2749" s="247"/>
    </row>
    <row r="2750" spans="1:22" ht="15.75" x14ac:dyDescent="0.25">
      <c r="A2750" s="236"/>
      <c r="B2750" s="237"/>
      <c r="C2750" s="238"/>
      <c r="D2750" s="239"/>
      <c r="E2750" s="240"/>
      <c r="F2750" s="240"/>
      <c r="G2750" s="240"/>
      <c r="H2750" s="241">
        <f t="shared" si="312"/>
        <v>0</v>
      </c>
      <c r="I2750" s="242"/>
      <c r="J2750" s="243"/>
      <c r="K2750" s="243"/>
      <c r="L2750" s="244">
        <v>0.1</v>
      </c>
      <c r="M2750" s="244">
        <f t="shared" si="313"/>
        <v>0</v>
      </c>
      <c r="N2750" s="244"/>
      <c r="O2750" s="244"/>
      <c r="P2750" s="244"/>
      <c r="Q2750" s="245">
        <f t="shared" si="314"/>
        <v>0</v>
      </c>
      <c r="R2750" s="245">
        <f t="shared" si="315"/>
        <v>0</v>
      </c>
      <c r="S2750" s="246">
        <v>0.5</v>
      </c>
      <c r="T2750" s="245">
        <f t="shared" si="316"/>
        <v>0</v>
      </c>
      <c r="U2750" s="245">
        <f t="shared" si="317"/>
        <v>0</v>
      </c>
      <c r="V2750" s="247"/>
    </row>
    <row r="2751" spans="1:22" ht="15.75" x14ac:dyDescent="0.25">
      <c r="A2751" s="236"/>
      <c r="B2751" s="237"/>
      <c r="C2751" s="238"/>
      <c r="D2751" s="239"/>
      <c r="E2751" s="240"/>
      <c r="F2751" s="240"/>
      <c r="G2751" s="240"/>
      <c r="H2751" s="241">
        <f t="shared" si="312"/>
        <v>0</v>
      </c>
      <c r="I2751" s="242"/>
      <c r="J2751" s="243"/>
      <c r="K2751" s="243"/>
      <c r="L2751" s="244">
        <v>0.1</v>
      </c>
      <c r="M2751" s="244">
        <f t="shared" si="313"/>
        <v>0</v>
      </c>
      <c r="N2751" s="244"/>
      <c r="O2751" s="244"/>
      <c r="P2751" s="244"/>
      <c r="Q2751" s="245">
        <f t="shared" si="314"/>
        <v>0</v>
      </c>
      <c r="R2751" s="245">
        <f t="shared" si="315"/>
        <v>0</v>
      </c>
      <c r="S2751" s="246">
        <v>0.5</v>
      </c>
      <c r="T2751" s="245">
        <f t="shared" si="316"/>
        <v>0</v>
      </c>
      <c r="U2751" s="245">
        <f t="shared" si="317"/>
        <v>0</v>
      </c>
      <c r="V2751" s="247"/>
    </row>
    <row r="2752" spans="1:22" ht="15.75" x14ac:dyDescent="0.25">
      <c r="A2752" s="236"/>
      <c r="B2752" s="237"/>
      <c r="C2752" s="238"/>
      <c r="D2752" s="239"/>
      <c r="E2752" s="240"/>
      <c r="F2752" s="240"/>
      <c r="G2752" s="240"/>
      <c r="H2752" s="241">
        <f t="shared" si="312"/>
        <v>0</v>
      </c>
      <c r="I2752" s="242"/>
      <c r="J2752" s="243"/>
      <c r="K2752" s="243"/>
      <c r="L2752" s="244">
        <v>0.1</v>
      </c>
      <c r="M2752" s="244">
        <f t="shared" si="313"/>
        <v>0</v>
      </c>
      <c r="N2752" s="244"/>
      <c r="O2752" s="244"/>
      <c r="P2752" s="244"/>
      <c r="Q2752" s="245">
        <f t="shared" si="314"/>
        <v>0</v>
      </c>
      <c r="R2752" s="245">
        <f t="shared" si="315"/>
        <v>0</v>
      </c>
      <c r="S2752" s="246">
        <v>0.5</v>
      </c>
      <c r="T2752" s="245">
        <f t="shared" si="316"/>
        <v>0</v>
      </c>
      <c r="U2752" s="245">
        <f t="shared" si="317"/>
        <v>0</v>
      </c>
      <c r="V2752" s="247"/>
    </row>
    <row r="2753" spans="1:22" ht="15.75" x14ac:dyDescent="0.25">
      <c r="A2753" s="236"/>
      <c r="B2753" s="237"/>
      <c r="C2753" s="238"/>
      <c r="D2753" s="239"/>
      <c r="E2753" s="240"/>
      <c r="F2753" s="240"/>
      <c r="G2753" s="240"/>
      <c r="H2753" s="241">
        <f t="shared" si="312"/>
        <v>0</v>
      </c>
      <c r="I2753" s="242"/>
      <c r="J2753" s="243"/>
      <c r="K2753" s="243"/>
      <c r="L2753" s="244">
        <v>0.1</v>
      </c>
      <c r="M2753" s="244">
        <f t="shared" si="313"/>
        <v>0</v>
      </c>
      <c r="N2753" s="244"/>
      <c r="O2753" s="244"/>
      <c r="P2753" s="244"/>
      <c r="Q2753" s="245">
        <f t="shared" si="314"/>
        <v>0</v>
      </c>
      <c r="R2753" s="245">
        <f t="shared" si="315"/>
        <v>0</v>
      </c>
      <c r="S2753" s="246">
        <v>0.5</v>
      </c>
      <c r="T2753" s="245">
        <f t="shared" si="316"/>
        <v>0</v>
      </c>
      <c r="U2753" s="245">
        <f t="shared" si="317"/>
        <v>0</v>
      </c>
      <c r="V2753" s="247"/>
    </row>
    <row r="2754" spans="1:22" ht="15.75" x14ac:dyDescent="0.25">
      <c r="A2754" s="236"/>
      <c r="B2754" s="237"/>
      <c r="C2754" s="238"/>
      <c r="D2754" s="239"/>
      <c r="E2754" s="240"/>
      <c r="F2754" s="240"/>
      <c r="G2754" s="240"/>
      <c r="H2754" s="241">
        <f t="shared" si="312"/>
        <v>0</v>
      </c>
      <c r="I2754" s="242"/>
      <c r="J2754" s="243"/>
      <c r="K2754" s="243"/>
      <c r="L2754" s="244">
        <v>0.1</v>
      </c>
      <c r="M2754" s="244">
        <f t="shared" si="313"/>
        <v>0</v>
      </c>
      <c r="N2754" s="244"/>
      <c r="O2754" s="244"/>
      <c r="P2754" s="244"/>
      <c r="Q2754" s="245">
        <f t="shared" si="314"/>
        <v>0</v>
      </c>
      <c r="R2754" s="245">
        <f t="shared" si="315"/>
        <v>0</v>
      </c>
      <c r="S2754" s="246">
        <v>0.5</v>
      </c>
      <c r="T2754" s="245">
        <f t="shared" si="316"/>
        <v>0</v>
      </c>
      <c r="U2754" s="245">
        <f t="shared" si="317"/>
        <v>0</v>
      </c>
      <c r="V2754" s="247"/>
    </row>
    <row r="2755" spans="1:22" ht="15.75" x14ac:dyDescent="0.25">
      <c r="A2755" s="236"/>
      <c r="B2755" s="237"/>
      <c r="C2755" s="238"/>
      <c r="D2755" s="239"/>
      <c r="E2755" s="240"/>
      <c r="F2755" s="240"/>
      <c r="G2755" s="240"/>
      <c r="H2755" s="241">
        <f t="shared" si="312"/>
        <v>0</v>
      </c>
      <c r="I2755" s="242"/>
      <c r="J2755" s="243"/>
      <c r="K2755" s="243"/>
      <c r="L2755" s="244">
        <v>0.1</v>
      </c>
      <c r="M2755" s="244">
        <f t="shared" si="313"/>
        <v>0</v>
      </c>
      <c r="N2755" s="244"/>
      <c r="O2755" s="244"/>
      <c r="P2755" s="244"/>
      <c r="Q2755" s="245">
        <f t="shared" si="314"/>
        <v>0</v>
      </c>
      <c r="R2755" s="245">
        <f t="shared" si="315"/>
        <v>0</v>
      </c>
      <c r="S2755" s="246">
        <v>0.5</v>
      </c>
      <c r="T2755" s="245">
        <f t="shared" si="316"/>
        <v>0</v>
      </c>
      <c r="U2755" s="245">
        <f t="shared" si="317"/>
        <v>0</v>
      </c>
      <c r="V2755" s="247"/>
    </row>
    <row r="2756" spans="1:22" ht="15.75" x14ac:dyDescent="0.25">
      <c r="A2756" s="236"/>
      <c r="B2756" s="237"/>
      <c r="C2756" s="238"/>
      <c r="D2756" s="239"/>
      <c r="E2756" s="240"/>
      <c r="F2756" s="240"/>
      <c r="G2756" s="240"/>
      <c r="H2756" s="241">
        <f t="shared" si="312"/>
        <v>0</v>
      </c>
      <c r="I2756" s="242"/>
      <c r="J2756" s="243"/>
      <c r="K2756" s="243"/>
      <c r="L2756" s="244">
        <v>0.1</v>
      </c>
      <c r="M2756" s="244">
        <f t="shared" si="313"/>
        <v>0</v>
      </c>
      <c r="N2756" s="244"/>
      <c r="O2756" s="244"/>
      <c r="P2756" s="244"/>
      <c r="Q2756" s="245">
        <f t="shared" si="314"/>
        <v>0</v>
      </c>
      <c r="R2756" s="245">
        <f t="shared" si="315"/>
        <v>0</v>
      </c>
      <c r="S2756" s="246">
        <v>0.5</v>
      </c>
      <c r="T2756" s="245">
        <f t="shared" si="316"/>
        <v>0</v>
      </c>
      <c r="U2756" s="245">
        <f t="shared" si="317"/>
        <v>0</v>
      </c>
      <c r="V2756" s="247"/>
    </row>
    <row r="2757" spans="1:22" ht="15.75" x14ac:dyDescent="0.25">
      <c r="A2757" s="236"/>
      <c r="B2757" s="237"/>
      <c r="C2757" s="238"/>
      <c r="D2757" s="239"/>
      <c r="E2757" s="240"/>
      <c r="F2757" s="240"/>
      <c r="G2757" s="240"/>
      <c r="H2757" s="241">
        <f t="shared" si="312"/>
        <v>0</v>
      </c>
      <c r="I2757" s="242"/>
      <c r="J2757" s="243"/>
      <c r="K2757" s="243"/>
      <c r="L2757" s="244">
        <v>0.1</v>
      </c>
      <c r="M2757" s="244">
        <f t="shared" si="313"/>
        <v>0</v>
      </c>
      <c r="N2757" s="244"/>
      <c r="O2757" s="244"/>
      <c r="P2757" s="244"/>
      <c r="Q2757" s="245">
        <f t="shared" si="314"/>
        <v>0</v>
      </c>
      <c r="R2757" s="245">
        <f t="shared" si="315"/>
        <v>0</v>
      </c>
      <c r="S2757" s="246">
        <v>0.5</v>
      </c>
      <c r="T2757" s="245">
        <f t="shared" si="316"/>
        <v>0</v>
      </c>
      <c r="U2757" s="245">
        <f t="shared" si="317"/>
        <v>0</v>
      </c>
      <c r="V2757" s="247"/>
    </row>
    <row r="2758" spans="1:22" ht="15.75" x14ac:dyDescent="0.25">
      <c r="A2758" s="236"/>
      <c r="B2758" s="237"/>
      <c r="C2758" s="238"/>
      <c r="D2758" s="239"/>
      <c r="E2758" s="240"/>
      <c r="F2758" s="240"/>
      <c r="G2758" s="240"/>
      <c r="H2758" s="241">
        <f t="shared" si="312"/>
        <v>0</v>
      </c>
      <c r="I2758" s="242"/>
      <c r="J2758" s="243"/>
      <c r="K2758" s="243"/>
      <c r="L2758" s="244">
        <v>0.1</v>
      </c>
      <c r="M2758" s="244">
        <f t="shared" si="313"/>
        <v>0</v>
      </c>
      <c r="N2758" s="244"/>
      <c r="O2758" s="244"/>
      <c r="P2758" s="244"/>
      <c r="Q2758" s="245">
        <f t="shared" si="314"/>
        <v>0</v>
      </c>
      <c r="R2758" s="245">
        <f t="shared" si="315"/>
        <v>0</v>
      </c>
      <c r="S2758" s="246">
        <v>0.5</v>
      </c>
      <c r="T2758" s="245">
        <f t="shared" si="316"/>
        <v>0</v>
      </c>
      <c r="U2758" s="245">
        <f t="shared" si="317"/>
        <v>0</v>
      </c>
      <c r="V2758" s="247"/>
    </row>
    <row r="2759" spans="1:22" ht="15.75" x14ac:dyDescent="0.25">
      <c r="A2759" s="236"/>
      <c r="B2759" s="237"/>
      <c r="C2759" s="238"/>
      <c r="D2759" s="239"/>
      <c r="E2759" s="240"/>
      <c r="F2759" s="240"/>
      <c r="G2759" s="240"/>
      <c r="H2759" s="241">
        <f t="shared" si="312"/>
        <v>0</v>
      </c>
      <c r="I2759" s="242"/>
      <c r="J2759" s="243"/>
      <c r="K2759" s="243"/>
      <c r="L2759" s="244">
        <v>0.1</v>
      </c>
      <c r="M2759" s="244">
        <f t="shared" si="313"/>
        <v>0</v>
      </c>
      <c r="N2759" s="244"/>
      <c r="O2759" s="244"/>
      <c r="P2759" s="244"/>
      <c r="Q2759" s="245">
        <f t="shared" si="314"/>
        <v>0</v>
      </c>
      <c r="R2759" s="245">
        <f t="shared" si="315"/>
        <v>0</v>
      </c>
      <c r="S2759" s="246">
        <v>0.5</v>
      </c>
      <c r="T2759" s="245">
        <f t="shared" si="316"/>
        <v>0</v>
      </c>
      <c r="U2759" s="245">
        <f t="shared" si="317"/>
        <v>0</v>
      </c>
      <c r="V2759" s="247"/>
    </row>
    <row r="2760" spans="1:22" ht="15.75" x14ac:dyDescent="0.25">
      <c r="A2760" s="236"/>
      <c r="B2760" s="237"/>
      <c r="C2760" s="238"/>
      <c r="D2760" s="239"/>
      <c r="E2760" s="240"/>
      <c r="F2760" s="240"/>
      <c r="G2760" s="240"/>
      <c r="H2760" s="241">
        <f t="shared" si="312"/>
        <v>0</v>
      </c>
      <c r="I2760" s="242"/>
      <c r="J2760" s="243"/>
      <c r="K2760" s="243"/>
      <c r="L2760" s="244">
        <v>0.1</v>
      </c>
      <c r="M2760" s="244">
        <f t="shared" si="313"/>
        <v>0</v>
      </c>
      <c r="N2760" s="244"/>
      <c r="O2760" s="244"/>
      <c r="P2760" s="244"/>
      <c r="Q2760" s="245">
        <f t="shared" si="314"/>
        <v>0</v>
      </c>
      <c r="R2760" s="245">
        <f t="shared" si="315"/>
        <v>0</v>
      </c>
      <c r="S2760" s="246">
        <v>0.5</v>
      </c>
      <c r="T2760" s="245">
        <f t="shared" si="316"/>
        <v>0</v>
      </c>
      <c r="U2760" s="245">
        <f t="shared" si="317"/>
        <v>0</v>
      </c>
      <c r="V2760" s="247"/>
    </row>
    <row r="2761" spans="1:22" ht="15.75" x14ac:dyDescent="0.25">
      <c r="A2761" s="236"/>
      <c r="B2761" s="237"/>
      <c r="C2761" s="238"/>
      <c r="D2761" s="239"/>
      <c r="E2761" s="240"/>
      <c r="F2761" s="240"/>
      <c r="G2761" s="240"/>
      <c r="H2761" s="241">
        <f t="shared" si="312"/>
        <v>0</v>
      </c>
      <c r="I2761" s="242"/>
      <c r="J2761" s="243"/>
      <c r="K2761" s="243"/>
      <c r="L2761" s="244">
        <v>0.1</v>
      </c>
      <c r="M2761" s="244">
        <f t="shared" si="313"/>
        <v>0</v>
      </c>
      <c r="N2761" s="244"/>
      <c r="O2761" s="244"/>
      <c r="P2761" s="244"/>
      <c r="Q2761" s="245">
        <f t="shared" si="314"/>
        <v>0</v>
      </c>
      <c r="R2761" s="245">
        <f t="shared" si="315"/>
        <v>0</v>
      </c>
      <c r="S2761" s="246">
        <v>0.5</v>
      </c>
      <c r="T2761" s="245">
        <f t="shared" si="316"/>
        <v>0</v>
      </c>
      <c r="U2761" s="245">
        <f t="shared" si="317"/>
        <v>0</v>
      </c>
      <c r="V2761" s="247"/>
    </row>
    <row r="2762" spans="1:22" ht="15.75" x14ac:dyDescent="0.25">
      <c r="A2762" s="236"/>
      <c r="B2762" s="237"/>
      <c r="C2762" s="238"/>
      <c r="D2762" s="239"/>
      <c r="E2762" s="240"/>
      <c r="F2762" s="240"/>
      <c r="G2762" s="240"/>
      <c r="H2762" s="241">
        <f t="shared" si="312"/>
        <v>0</v>
      </c>
      <c r="I2762" s="242"/>
      <c r="J2762" s="243"/>
      <c r="K2762" s="243"/>
      <c r="L2762" s="244">
        <v>0.1</v>
      </c>
      <c r="M2762" s="244">
        <f t="shared" si="313"/>
        <v>0</v>
      </c>
      <c r="N2762" s="244"/>
      <c r="O2762" s="244"/>
      <c r="P2762" s="244"/>
      <c r="Q2762" s="245">
        <f t="shared" si="314"/>
        <v>0</v>
      </c>
      <c r="R2762" s="245">
        <f t="shared" si="315"/>
        <v>0</v>
      </c>
      <c r="S2762" s="246">
        <v>0.5</v>
      </c>
      <c r="T2762" s="245">
        <f t="shared" si="316"/>
        <v>0</v>
      </c>
      <c r="U2762" s="245">
        <f t="shared" si="317"/>
        <v>0</v>
      </c>
      <c r="V2762" s="247"/>
    </row>
    <row r="2763" spans="1:22" ht="15.75" x14ac:dyDescent="0.25">
      <c r="A2763" s="236"/>
      <c r="B2763" s="237"/>
      <c r="C2763" s="238"/>
      <c r="D2763" s="239"/>
      <c r="E2763" s="240"/>
      <c r="F2763" s="240"/>
      <c r="G2763" s="240"/>
      <c r="H2763" s="241">
        <f t="shared" si="312"/>
        <v>0</v>
      </c>
      <c r="I2763" s="242"/>
      <c r="J2763" s="243"/>
      <c r="K2763" s="243"/>
      <c r="L2763" s="244">
        <v>0.1</v>
      </c>
      <c r="M2763" s="244">
        <f t="shared" si="313"/>
        <v>0</v>
      </c>
      <c r="N2763" s="244"/>
      <c r="O2763" s="244"/>
      <c r="P2763" s="244"/>
      <c r="Q2763" s="245">
        <f t="shared" si="314"/>
        <v>0</v>
      </c>
      <c r="R2763" s="245">
        <f t="shared" si="315"/>
        <v>0</v>
      </c>
      <c r="S2763" s="246">
        <v>0.5</v>
      </c>
      <c r="T2763" s="245">
        <f t="shared" si="316"/>
        <v>0</v>
      </c>
      <c r="U2763" s="245">
        <f t="shared" si="317"/>
        <v>0</v>
      </c>
      <c r="V2763" s="247"/>
    </row>
    <row r="2764" spans="1:22" ht="15.75" x14ac:dyDescent="0.25">
      <c r="A2764" s="236"/>
      <c r="B2764" s="237"/>
      <c r="C2764" s="238"/>
      <c r="D2764" s="239"/>
      <c r="E2764" s="240"/>
      <c r="F2764" s="240"/>
      <c r="G2764" s="240"/>
      <c r="H2764" s="241">
        <f t="shared" si="312"/>
        <v>0</v>
      </c>
      <c r="I2764" s="242"/>
      <c r="J2764" s="243"/>
      <c r="K2764" s="243"/>
      <c r="L2764" s="244">
        <v>0.1</v>
      </c>
      <c r="M2764" s="244">
        <f t="shared" si="313"/>
        <v>0</v>
      </c>
      <c r="N2764" s="244"/>
      <c r="O2764" s="244"/>
      <c r="P2764" s="244"/>
      <c r="Q2764" s="245">
        <f t="shared" si="314"/>
        <v>0</v>
      </c>
      <c r="R2764" s="245">
        <f t="shared" si="315"/>
        <v>0</v>
      </c>
      <c r="S2764" s="246">
        <v>0.5</v>
      </c>
      <c r="T2764" s="245">
        <f t="shared" si="316"/>
        <v>0</v>
      </c>
      <c r="U2764" s="245">
        <f t="shared" si="317"/>
        <v>0</v>
      </c>
      <c r="V2764" s="247"/>
    </row>
    <row r="2765" spans="1:22" ht="15.75" x14ac:dyDescent="0.25">
      <c r="A2765" s="236"/>
      <c r="B2765" s="237"/>
      <c r="C2765" s="238"/>
      <c r="D2765" s="239"/>
      <c r="E2765" s="240"/>
      <c r="F2765" s="240"/>
      <c r="G2765" s="240"/>
      <c r="H2765" s="241">
        <f t="shared" si="312"/>
        <v>0</v>
      </c>
      <c r="I2765" s="242"/>
      <c r="J2765" s="243"/>
      <c r="K2765" s="243"/>
      <c r="L2765" s="244">
        <v>0.1</v>
      </c>
      <c r="M2765" s="244">
        <f t="shared" si="313"/>
        <v>0</v>
      </c>
      <c r="N2765" s="244"/>
      <c r="O2765" s="244"/>
      <c r="P2765" s="244"/>
      <c r="Q2765" s="245">
        <f t="shared" si="314"/>
        <v>0</v>
      </c>
      <c r="R2765" s="245">
        <f t="shared" si="315"/>
        <v>0</v>
      </c>
      <c r="S2765" s="246">
        <v>0.5</v>
      </c>
      <c r="T2765" s="245">
        <f t="shared" si="316"/>
        <v>0</v>
      </c>
      <c r="U2765" s="245">
        <f t="shared" si="317"/>
        <v>0</v>
      </c>
      <c r="V2765" s="247"/>
    </row>
    <row r="2766" spans="1:22" ht="15.75" x14ac:dyDescent="0.25">
      <c r="A2766" s="236"/>
      <c r="B2766" s="237"/>
      <c r="C2766" s="238"/>
      <c r="D2766" s="239"/>
      <c r="E2766" s="240"/>
      <c r="F2766" s="240"/>
      <c r="G2766" s="240"/>
      <c r="H2766" s="241">
        <f t="shared" si="312"/>
        <v>0</v>
      </c>
      <c r="I2766" s="242"/>
      <c r="J2766" s="243"/>
      <c r="K2766" s="243"/>
      <c r="L2766" s="244">
        <v>0.1</v>
      </c>
      <c r="M2766" s="244">
        <f t="shared" si="313"/>
        <v>0</v>
      </c>
      <c r="N2766" s="244"/>
      <c r="O2766" s="244"/>
      <c r="P2766" s="244"/>
      <c r="Q2766" s="245">
        <f t="shared" si="314"/>
        <v>0</v>
      </c>
      <c r="R2766" s="245">
        <f t="shared" si="315"/>
        <v>0</v>
      </c>
      <c r="S2766" s="246">
        <v>0.5</v>
      </c>
      <c r="T2766" s="245">
        <f t="shared" si="316"/>
        <v>0</v>
      </c>
      <c r="U2766" s="245">
        <f t="shared" si="317"/>
        <v>0</v>
      </c>
      <c r="V2766" s="247"/>
    </row>
    <row r="2767" spans="1:22" ht="15.75" x14ac:dyDescent="0.25">
      <c r="A2767" s="236"/>
      <c r="B2767" s="237"/>
      <c r="C2767" s="238"/>
      <c r="D2767" s="239"/>
      <c r="E2767" s="240"/>
      <c r="F2767" s="240"/>
      <c r="G2767" s="240"/>
      <c r="H2767" s="241">
        <f t="shared" si="312"/>
        <v>0</v>
      </c>
      <c r="I2767" s="242"/>
      <c r="J2767" s="243"/>
      <c r="K2767" s="243"/>
      <c r="L2767" s="244">
        <v>0.1</v>
      </c>
      <c r="M2767" s="244">
        <f t="shared" si="313"/>
        <v>0</v>
      </c>
      <c r="N2767" s="244"/>
      <c r="O2767" s="244"/>
      <c r="P2767" s="244"/>
      <c r="Q2767" s="245">
        <f t="shared" si="314"/>
        <v>0</v>
      </c>
      <c r="R2767" s="245">
        <f t="shared" si="315"/>
        <v>0</v>
      </c>
      <c r="S2767" s="246">
        <v>0.5</v>
      </c>
      <c r="T2767" s="245">
        <f t="shared" si="316"/>
        <v>0</v>
      </c>
      <c r="U2767" s="245">
        <f t="shared" si="317"/>
        <v>0</v>
      </c>
      <c r="V2767" s="247"/>
    </row>
    <row r="2768" spans="1:22" ht="15.75" x14ac:dyDescent="0.25">
      <c r="A2768" s="236"/>
      <c r="B2768" s="237"/>
      <c r="C2768" s="238"/>
      <c r="D2768" s="239"/>
      <c r="E2768" s="240"/>
      <c r="F2768" s="240"/>
      <c r="G2768" s="240"/>
      <c r="H2768" s="241">
        <f t="shared" si="312"/>
        <v>0</v>
      </c>
      <c r="I2768" s="242"/>
      <c r="J2768" s="243"/>
      <c r="K2768" s="243"/>
      <c r="L2768" s="244">
        <v>0.1</v>
      </c>
      <c r="M2768" s="244">
        <f t="shared" si="313"/>
        <v>0</v>
      </c>
      <c r="N2768" s="244"/>
      <c r="O2768" s="244"/>
      <c r="P2768" s="244"/>
      <c r="Q2768" s="245">
        <f t="shared" si="314"/>
        <v>0</v>
      </c>
      <c r="R2768" s="245">
        <f t="shared" si="315"/>
        <v>0</v>
      </c>
      <c r="S2768" s="246">
        <v>0.5</v>
      </c>
      <c r="T2768" s="245">
        <f t="shared" si="316"/>
        <v>0</v>
      </c>
      <c r="U2768" s="245">
        <f t="shared" si="317"/>
        <v>0</v>
      </c>
      <c r="V2768" s="247"/>
    </row>
    <row r="2769" spans="1:22" ht="15.75" x14ac:dyDescent="0.25">
      <c r="A2769" s="236"/>
      <c r="B2769" s="237"/>
      <c r="C2769" s="238"/>
      <c r="D2769" s="239"/>
      <c r="E2769" s="240"/>
      <c r="F2769" s="240"/>
      <c r="G2769" s="240"/>
      <c r="H2769" s="241">
        <f t="shared" si="312"/>
        <v>0</v>
      </c>
      <c r="I2769" s="242"/>
      <c r="J2769" s="243"/>
      <c r="K2769" s="243"/>
      <c r="L2769" s="244">
        <v>0.1</v>
      </c>
      <c r="M2769" s="244">
        <f t="shared" si="313"/>
        <v>0</v>
      </c>
      <c r="N2769" s="244"/>
      <c r="O2769" s="244"/>
      <c r="P2769" s="244"/>
      <c r="Q2769" s="245">
        <f t="shared" si="314"/>
        <v>0</v>
      </c>
      <c r="R2769" s="245">
        <f t="shared" si="315"/>
        <v>0</v>
      </c>
      <c r="S2769" s="246">
        <v>0.5</v>
      </c>
      <c r="T2769" s="245">
        <f t="shared" si="316"/>
        <v>0</v>
      </c>
      <c r="U2769" s="245">
        <f t="shared" si="317"/>
        <v>0</v>
      </c>
      <c r="V2769" s="247"/>
    </row>
    <row r="2770" spans="1:22" ht="15.75" x14ac:dyDescent="0.25">
      <c r="A2770" s="236"/>
      <c r="B2770" s="237"/>
      <c r="C2770" s="238"/>
      <c r="D2770" s="239"/>
      <c r="E2770" s="240"/>
      <c r="F2770" s="240"/>
      <c r="G2770" s="240"/>
      <c r="H2770" s="241">
        <f t="shared" si="312"/>
        <v>0</v>
      </c>
      <c r="I2770" s="242"/>
      <c r="J2770" s="243"/>
      <c r="K2770" s="243"/>
      <c r="L2770" s="244">
        <v>0.1</v>
      </c>
      <c r="M2770" s="244">
        <f t="shared" si="313"/>
        <v>0</v>
      </c>
      <c r="N2770" s="244"/>
      <c r="O2770" s="244"/>
      <c r="P2770" s="244"/>
      <c r="Q2770" s="245">
        <f t="shared" si="314"/>
        <v>0</v>
      </c>
      <c r="R2770" s="245">
        <f t="shared" si="315"/>
        <v>0</v>
      </c>
      <c r="S2770" s="246">
        <v>0.5</v>
      </c>
      <c r="T2770" s="245">
        <f t="shared" si="316"/>
        <v>0</v>
      </c>
      <c r="U2770" s="245">
        <f t="shared" si="317"/>
        <v>0</v>
      </c>
      <c r="V2770" s="247"/>
    </row>
    <row r="2771" spans="1:22" ht="15.75" x14ac:dyDescent="0.25">
      <c r="A2771" s="236"/>
      <c r="B2771" s="237"/>
      <c r="C2771" s="238"/>
      <c r="D2771" s="239"/>
      <c r="E2771" s="240"/>
      <c r="F2771" s="240"/>
      <c r="G2771" s="240"/>
      <c r="H2771" s="241">
        <f t="shared" si="312"/>
        <v>0</v>
      </c>
      <c r="I2771" s="242"/>
      <c r="J2771" s="243"/>
      <c r="K2771" s="243"/>
      <c r="L2771" s="244">
        <v>0.1</v>
      </c>
      <c r="M2771" s="244">
        <f t="shared" si="313"/>
        <v>0</v>
      </c>
      <c r="N2771" s="244"/>
      <c r="O2771" s="244"/>
      <c r="P2771" s="244"/>
      <c r="Q2771" s="245">
        <f t="shared" si="314"/>
        <v>0</v>
      </c>
      <c r="R2771" s="245">
        <f t="shared" si="315"/>
        <v>0</v>
      </c>
      <c r="S2771" s="246">
        <v>0.5</v>
      </c>
      <c r="T2771" s="245">
        <f t="shared" si="316"/>
        <v>0</v>
      </c>
      <c r="U2771" s="245">
        <f t="shared" si="317"/>
        <v>0</v>
      </c>
      <c r="V2771" s="247"/>
    </row>
    <row r="2772" spans="1:22" ht="15.75" x14ac:dyDescent="0.25">
      <c r="A2772" s="236"/>
      <c r="B2772" s="237"/>
      <c r="C2772" s="238"/>
      <c r="D2772" s="239"/>
      <c r="E2772" s="240"/>
      <c r="F2772" s="240"/>
      <c r="G2772" s="240"/>
      <c r="H2772" s="241">
        <f t="shared" si="312"/>
        <v>0</v>
      </c>
      <c r="I2772" s="242"/>
      <c r="J2772" s="243"/>
      <c r="K2772" s="243"/>
      <c r="L2772" s="244">
        <v>0.1</v>
      </c>
      <c r="M2772" s="244">
        <f t="shared" si="313"/>
        <v>0</v>
      </c>
      <c r="N2772" s="244"/>
      <c r="O2772" s="244"/>
      <c r="P2772" s="244"/>
      <c r="Q2772" s="245">
        <f t="shared" si="314"/>
        <v>0</v>
      </c>
      <c r="R2772" s="245">
        <f t="shared" si="315"/>
        <v>0</v>
      </c>
      <c r="S2772" s="246">
        <v>0.5</v>
      </c>
      <c r="T2772" s="245">
        <f t="shared" si="316"/>
        <v>0</v>
      </c>
      <c r="U2772" s="245">
        <f t="shared" si="317"/>
        <v>0</v>
      </c>
      <c r="V2772" s="247"/>
    </row>
    <row r="2773" spans="1:22" ht="15.75" x14ac:dyDescent="0.25">
      <c r="A2773" s="236"/>
      <c r="B2773" s="237"/>
      <c r="C2773" s="238"/>
      <c r="D2773" s="239"/>
      <c r="E2773" s="240"/>
      <c r="F2773" s="240"/>
      <c r="G2773" s="240"/>
      <c r="H2773" s="241">
        <f t="shared" si="312"/>
        <v>0</v>
      </c>
      <c r="I2773" s="242"/>
      <c r="J2773" s="243"/>
      <c r="K2773" s="243"/>
      <c r="L2773" s="244">
        <v>0.1</v>
      </c>
      <c r="M2773" s="244">
        <f t="shared" si="313"/>
        <v>0</v>
      </c>
      <c r="N2773" s="244"/>
      <c r="O2773" s="244"/>
      <c r="P2773" s="244"/>
      <c r="Q2773" s="245">
        <f t="shared" si="314"/>
        <v>0</v>
      </c>
      <c r="R2773" s="245">
        <f t="shared" si="315"/>
        <v>0</v>
      </c>
      <c r="S2773" s="246">
        <v>0.5</v>
      </c>
      <c r="T2773" s="245">
        <f t="shared" si="316"/>
        <v>0</v>
      </c>
      <c r="U2773" s="245">
        <f t="shared" si="317"/>
        <v>0</v>
      </c>
      <c r="V2773" s="247"/>
    </row>
    <row r="2774" spans="1:22" ht="15.75" x14ac:dyDescent="0.25">
      <c r="A2774" s="236"/>
      <c r="B2774" s="237"/>
      <c r="C2774" s="238"/>
      <c r="D2774" s="239"/>
      <c r="E2774" s="240"/>
      <c r="F2774" s="240"/>
      <c r="G2774" s="240"/>
      <c r="H2774" s="241">
        <f t="shared" si="312"/>
        <v>0</v>
      </c>
      <c r="I2774" s="242"/>
      <c r="J2774" s="243"/>
      <c r="K2774" s="243"/>
      <c r="L2774" s="244">
        <v>0.1</v>
      </c>
      <c r="M2774" s="244">
        <f t="shared" si="313"/>
        <v>0</v>
      </c>
      <c r="N2774" s="244"/>
      <c r="O2774" s="244"/>
      <c r="P2774" s="244"/>
      <c r="Q2774" s="245">
        <f t="shared" si="314"/>
        <v>0</v>
      </c>
      <c r="R2774" s="245">
        <f t="shared" si="315"/>
        <v>0</v>
      </c>
      <c r="S2774" s="246">
        <v>0.5</v>
      </c>
      <c r="T2774" s="245">
        <f t="shared" si="316"/>
        <v>0</v>
      </c>
      <c r="U2774" s="245">
        <f t="shared" si="317"/>
        <v>0</v>
      </c>
      <c r="V2774" s="247"/>
    </row>
    <row r="2775" spans="1:22" ht="15.75" x14ac:dyDescent="0.25">
      <c r="A2775" s="236"/>
      <c r="B2775" s="237"/>
      <c r="C2775" s="238"/>
      <c r="D2775" s="239"/>
      <c r="E2775" s="240"/>
      <c r="F2775" s="240"/>
      <c r="G2775" s="240"/>
      <c r="H2775" s="241">
        <f t="shared" si="312"/>
        <v>0</v>
      </c>
      <c r="I2775" s="242"/>
      <c r="J2775" s="243"/>
      <c r="K2775" s="243"/>
      <c r="L2775" s="244">
        <v>0.1</v>
      </c>
      <c r="M2775" s="244">
        <f t="shared" si="313"/>
        <v>0</v>
      </c>
      <c r="N2775" s="244"/>
      <c r="O2775" s="244"/>
      <c r="P2775" s="244"/>
      <c r="Q2775" s="245">
        <f t="shared" si="314"/>
        <v>0</v>
      </c>
      <c r="R2775" s="245">
        <f t="shared" si="315"/>
        <v>0</v>
      </c>
      <c r="S2775" s="246">
        <v>0.5</v>
      </c>
      <c r="T2775" s="245">
        <f t="shared" si="316"/>
        <v>0</v>
      </c>
      <c r="U2775" s="245">
        <f t="shared" si="317"/>
        <v>0</v>
      </c>
      <c r="V2775" s="247"/>
    </row>
    <row r="2776" spans="1:22" ht="15.75" x14ac:dyDescent="0.25">
      <c r="A2776" s="236"/>
      <c r="B2776" s="237"/>
      <c r="C2776" s="238"/>
      <c r="D2776" s="239"/>
      <c r="E2776" s="240"/>
      <c r="F2776" s="240"/>
      <c r="G2776" s="240"/>
      <c r="H2776" s="241">
        <f t="shared" si="312"/>
        <v>0</v>
      </c>
      <c r="I2776" s="242"/>
      <c r="J2776" s="243"/>
      <c r="K2776" s="243"/>
      <c r="L2776" s="244">
        <v>0.1</v>
      </c>
      <c r="M2776" s="244">
        <f t="shared" si="313"/>
        <v>0</v>
      </c>
      <c r="N2776" s="244"/>
      <c r="O2776" s="244"/>
      <c r="P2776" s="244"/>
      <c r="Q2776" s="245">
        <f t="shared" si="314"/>
        <v>0</v>
      </c>
      <c r="R2776" s="245">
        <f t="shared" si="315"/>
        <v>0</v>
      </c>
      <c r="S2776" s="246">
        <v>0.5</v>
      </c>
      <c r="T2776" s="245">
        <f t="shared" si="316"/>
        <v>0</v>
      </c>
      <c r="U2776" s="245">
        <f t="shared" si="317"/>
        <v>0</v>
      </c>
      <c r="V2776" s="247"/>
    </row>
    <row r="2777" spans="1:22" ht="15.75" x14ac:dyDescent="0.25">
      <c r="A2777" s="236"/>
      <c r="B2777" s="237"/>
      <c r="C2777" s="238"/>
      <c r="D2777" s="239"/>
      <c r="E2777" s="240"/>
      <c r="F2777" s="240"/>
      <c r="G2777" s="240"/>
      <c r="H2777" s="241">
        <f t="shared" si="312"/>
        <v>0</v>
      </c>
      <c r="I2777" s="242"/>
      <c r="J2777" s="243"/>
      <c r="K2777" s="243"/>
      <c r="L2777" s="244">
        <v>0.1</v>
      </c>
      <c r="M2777" s="244">
        <f t="shared" si="313"/>
        <v>0</v>
      </c>
      <c r="N2777" s="244"/>
      <c r="O2777" s="244"/>
      <c r="P2777" s="244"/>
      <c r="Q2777" s="245">
        <f t="shared" si="314"/>
        <v>0</v>
      </c>
      <c r="R2777" s="245">
        <f t="shared" si="315"/>
        <v>0</v>
      </c>
      <c r="S2777" s="246">
        <v>0.5</v>
      </c>
      <c r="T2777" s="245">
        <f t="shared" si="316"/>
        <v>0</v>
      </c>
      <c r="U2777" s="245">
        <f t="shared" si="317"/>
        <v>0</v>
      </c>
      <c r="V2777" s="247"/>
    </row>
    <row r="2778" spans="1:22" ht="15.75" x14ac:dyDescent="0.25">
      <c r="A2778" s="236"/>
      <c r="B2778" s="237"/>
      <c r="C2778" s="238"/>
      <c r="D2778" s="239"/>
      <c r="E2778" s="240"/>
      <c r="F2778" s="240"/>
      <c r="G2778" s="240"/>
      <c r="H2778" s="241">
        <f t="shared" si="312"/>
        <v>0</v>
      </c>
      <c r="I2778" s="242"/>
      <c r="J2778" s="243"/>
      <c r="K2778" s="243"/>
      <c r="L2778" s="244">
        <v>0.1</v>
      </c>
      <c r="M2778" s="244">
        <f t="shared" si="313"/>
        <v>0</v>
      </c>
      <c r="N2778" s="244"/>
      <c r="O2778" s="244"/>
      <c r="P2778" s="244"/>
      <c r="Q2778" s="245">
        <f t="shared" si="314"/>
        <v>0</v>
      </c>
      <c r="R2778" s="245">
        <f t="shared" si="315"/>
        <v>0</v>
      </c>
      <c r="S2778" s="246">
        <v>0.5</v>
      </c>
      <c r="T2778" s="245">
        <f t="shared" si="316"/>
        <v>0</v>
      </c>
      <c r="U2778" s="245">
        <f t="shared" si="317"/>
        <v>0</v>
      </c>
      <c r="V2778" s="247"/>
    </row>
    <row r="2779" spans="1:22" ht="15.75" x14ac:dyDescent="0.25">
      <c r="A2779" s="236"/>
      <c r="B2779" s="237"/>
      <c r="C2779" s="238"/>
      <c r="D2779" s="239"/>
      <c r="E2779" s="240"/>
      <c r="F2779" s="240"/>
      <c r="G2779" s="240"/>
      <c r="H2779" s="241">
        <f t="shared" si="312"/>
        <v>0</v>
      </c>
      <c r="I2779" s="242"/>
      <c r="J2779" s="243"/>
      <c r="K2779" s="243"/>
      <c r="L2779" s="244">
        <v>0.1</v>
      </c>
      <c r="M2779" s="244">
        <f t="shared" si="313"/>
        <v>0</v>
      </c>
      <c r="N2779" s="244"/>
      <c r="O2779" s="244"/>
      <c r="P2779" s="244"/>
      <c r="Q2779" s="245">
        <f t="shared" si="314"/>
        <v>0</v>
      </c>
      <c r="R2779" s="245">
        <f t="shared" si="315"/>
        <v>0</v>
      </c>
      <c r="S2779" s="246">
        <v>0.5</v>
      </c>
      <c r="T2779" s="245">
        <f t="shared" si="316"/>
        <v>0</v>
      </c>
      <c r="U2779" s="245">
        <f t="shared" si="317"/>
        <v>0</v>
      </c>
      <c r="V2779" s="247"/>
    </row>
    <row r="2780" spans="1:22" ht="15.75" x14ac:dyDescent="0.25">
      <c r="A2780" s="236"/>
      <c r="B2780" s="237"/>
      <c r="C2780" s="238"/>
      <c r="D2780" s="239"/>
      <c r="E2780" s="240"/>
      <c r="F2780" s="240"/>
      <c r="G2780" s="240"/>
      <c r="H2780" s="241">
        <f t="shared" si="312"/>
        <v>0</v>
      </c>
      <c r="I2780" s="242"/>
      <c r="J2780" s="243"/>
      <c r="K2780" s="243"/>
      <c r="L2780" s="244">
        <v>0.1</v>
      </c>
      <c r="M2780" s="244">
        <f t="shared" si="313"/>
        <v>0</v>
      </c>
      <c r="N2780" s="244"/>
      <c r="O2780" s="244"/>
      <c r="P2780" s="244"/>
      <c r="Q2780" s="245">
        <f t="shared" si="314"/>
        <v>0</v>
      </c>
      <c r="R2780" s="245">
        <f t="shared" si="315"/>
        <v>0</v>
      </c>
      <c r="S2780" s="246">
        <v>0.5</v>
      </c>
      <c r="T2780" s="245">
        <f t="shared" si="316"/>
        <v>0</v>
      </c>
      <c r="U2780" s="245">
        <f t="shared" si="317"/>
        <v>0</v>
      </c>
      <c r="V2780" s="247"/>
    </row>
    <row r="2781" spans="1:22" ht="15.75" x14ac:dyDescent="0.25">
      <c r="A2781" s="236"/>
      <c r="B2781" s="237"/>
      <c r="C2781" s="238"/>
      <c r="D2781" s="239"/>
      <c r="E2781" s="240"/>
      <c r="F2781" s="240"/>
      <c r="G2781" s="240"/>
      <c r="H2781" s="241">
        <f t="shared" si="312"/>
        <v>0</v>
      </c>
      <c r="I2781" s="242"/>
      <c r="J2781" s="243"/>
      <c r="K2781" s="243"/>
      <c r="L2781" s="244">
        <v>0.1</v>
      </c>
      <c r="M2781" s="244">
        <f t="shared" si="313"/>
        <v>0</v>
      </c>
      <c r="N2781" s="244"/>
      <c r="O2781" s="244"/>
      <c r="P2781" s="244"/>
      <c r="Q2781" s="245">
        <f t="shared" si="314"/>
        <v>0</v>
      </c>
      <c r="R2781" s="245">
        <f t="shared" si="315"/>
        <v>0</v>
      </c>
      <c r="S2781" s="246">
        <v>0.5</v>
      </c>
      <c r="T2781" s="245">
        <f t="shared" si="316"/>
        <v>0</v>
      </c>
      <c r="U2781" s="245">
        <f t="shared" si="317"/>
        <v>0</v>
      </c>
      <c r="V2781" s="247"/>
    </row>
    <row r="2782" spans="1:22" ht="15.75" x14ac:dyDescent="0.25">
      <c r="A2782" s="236"/>
      <c r="B2782" s="237"/>
      <c r="C2782" s="238"/>
      <c r="D2782" s="239"/>
      <c r="E2782" s="240"/>
      <c r="F2782" s="240"/>
      <c r="G2782" s="240"/>
      <c r="H2782" s="241">
        <f t="shared" si="312"/>
        <v>0</v>
      </c>
      <c r="I2782" s="242"/>
      <c r="J2782" s="243"/>
      <c r="K2782" s="243"/>
      <c r="L2782" s="244">
        <v>0.1</v>
      </c>
      <c r="M2782" s="244">
        <f t="shared" si="313"/>
        <v>0</v>
      </c>
      <c r="N2782" s="244"/>
      <c r="O2782" s="244"/>
      <c r="P2782" s="244"/>
      <c r="Q2782" s="245">
        <f t="shared" si="314"/>
        <v>0</v>
      </c>
      <c r="R2782" s="245">
        <f t="shared" si="315"/>
        <v>0</v>
      </c>
      <c r="S2782" s="246">
        <v>0.5</v>
      </c>
      <c r="T2782" s="245">
        <f t="shared" si="316"/>
        <v>0</v>
      </c>
      <c r="U2782" s="245">
        <f t="shared" si="317"/>
        <v>0</v>
      </c>
      <c r="V2782" s="247"/>
    </row>
    <row r="2783" spans="1:22" ht="15.75" x14ac:dyDescent="0.25">
      <c r="A2783" s="236"/>
      <c r="B2783" s="237"/>
      <c r="C2783" s="238"/>
      <c r="D2783" s="239"/>
      <c r="E2783" s="240"/>
      <c r="F2783" s="240"/>
      <c r="G2783" s="240"/>
      <c r="H2783" s="241">
        <f t="shared" si="312"/>
        <v>0</v>
      </c>
      <c r="I2783" s="242"/>
      <c r="J2783" s="243"/>
      <c r="K2783" s="243"/>
      <c r="L2783" s="244">
        <v>0.1</v>
      </c>
      <c r="M2783" s="244">
        <f t="shared" si="313"/>
        <v>0</v>
      </c>
      <c r="N2783" s="244"/>
      <c r="O2783" s="244"/>
      <c r="P2783" s="244"/>
      <c r="Q2783" s="245">
        <f t="shared" si="314"/>
        <v>0</v>
      </c>
      <c r="R2783" s="245">
        <f t="shared" si="315"/>
        <v>0</v>
      </c>
      <c r="S2783" s="246">
        <v>0.5</v>
      </c>
      <c r="T2783" s="245">
        <f t="shared" si="316"/>
        <v>0</v>
      </c>
      <c r="U2783" s="245">
        <f t="shared" si="317"/>
        <v>0</v>
      </c>
      <c r="V2783" s="247"/>
    </row>
    <row r="2784" spans="1:22" ht="15.75" x14ac:dyDescent="0.25">
      <c r="A2784" s="236"/>
      <c r="B2784" s="237"/>
      <c r="C2784" s="238"/>
      <c r="D2784" s="239"/>
      <c r="E2784" s="240"/>
      <c r="F2784" s="240"/>
      <c r="G2784" s="240"/>
      <c r="H2784" s="241">
        <f t="shared" si="312"/>
        <v>0</v>
      </c>
      <c r="I2784" s="242"/>
      <c r="J2784" s="243"/>
      <c r="K2784" s="243"/>
      <c r="L2784" s="244">
        <v>0.1</v>
      </c>
      <c r="M2784" s="244">
        <f t="shared" si="313"/>
        <v>0</v>
      </c>
      <c r="N2784" s="244"/>
      <c r="O2784" s="244"/>
      <c r="P2784" s="244"/>
      <c r="Q2784" s="245">
        <f t="shared" si="314"/>
        <v>0</v>
      </c>
      <c r="R2784" s="245">
        <f t="shared" si="315"/>
        <v>0</v>
      </c>
      <c r="S2784" s="246">
        <v>0.5</v>
      </c>
      <c r="T2784" s="245">
        <f t="shared" si="316"/>
        <v>0</v>
      </c>
      <c r="U2784" s="245">
        <f t="shared" si="317"/>
        <v>0</v>
      </c>
      <c r="V2784" s="247"/>
    </row>
    <row r="2785" spans="1:41" ht="15.75" x14ac:dyDescent="0.25">
      <c r="A2785" s="236"/>
      <c r="B2785" s="237"/>
      <c r="C2785" s="238"/>
      <c r="D2785" s="239"/>
      <c r="E2785" s="240"/>
      <c r="F2785" s="240"/>
      <c r="G2785" s="240"/>
      <c r="H2785" s="241">
        <f t="shared" si="312"/>
        <v>0</v>
      </c>
      <c r="I2785" s="242"/>
      <c r="J2785" s="243"/>
      <c r="K2785" s="243"/>
      <c r="L2785" s="244">
        <v>0.1</v>
      </c>
      <c r="M2785" s="244">
        <f t="shared" si="313"/>
        <v>0</v>
      </c>
      <c r="N2785" s="244"/>
      <c r="O2785" s="244"/>
      <c r="P2785" s="244"/>
      <c r="Q2785" s="245">
        <f t="shared" si="314"/>
        <v>0</v>
      </c>
      <c r="R2785" s="245">
        <f t="shared" si="315"/>
        <v>0</v>
      </c>
      <c r="S2785" s="246">
        <v>0.5</v>
      </c>
      <c r="T2785" s="245">
        <f t="shared" si="316"/>
        <v>0</v>
      </c>
      <c r="U2785" s="245">
        <f t="shared" si="317"/>
        <v>0</v>
      </c>
      <c r="V2785" s="247"/>
    </row>
    <row r="2786" spans="1:41" ht="15.75" x14ac:dyDescent="0.25">
      <c r="A2786" s="236"/>
      <c r="B2786" s="237"/>
      <c r="C2786" s="238"/>
      <c r="D2786" s="239"/>
      <c r="E2786" s="240"/>
      <c r="F2786" s="240"/>
      <c r="G2786" s="240"/>
      <c r="H2786" s="241">
        <f t="shared" si="312"/>
        <v>0</v>
      </c>
      <c r="I2786" s="242"/>
      <c r="J2786" s="243"/>
      <c r="K2786" s="243"/>
      <c r="L2786" s="244">
        <v>0.1</v>
      </c>
      <c r="M2786" s="244">
        <f t="shared" si="313"/>
        <v>0</v>
      </c>
      <c r="N2786" s="244"/>
      <c r="O2786" s="244"/>
      <c r="P2786" s="244"/>
      <c r="Q2786" s="245">
        <f t="shared" si="314"/>
        <v>0</v>
      </c>
      <c r="R2786" s="245">
        <f t="shared" si="315"/>
        <v>0</v>
      </c>
      <c r="S2786" s="246">
        <v>0.5</v>
      </c>
      <c r="T2786" s="245">
        <f t="shared" si="316"/>
        <v>0</v>
      </c>
      <c r="U2786" s="245">
        <f t="shared" si="317"/>
        <v>0</v>
      </c>
      <c r="V2786" s="247"/>
    </row>
    <row r="2787" spans="1:41" ht="15.75" x14ac:dyDescent="0.25">
      <c r="A2787" s="236"/>
      <c r="B2787" s="237"/>
      <c r="C2787" s="238"/>
      <c r="D2787" s="239"/>
      <c r="E2787" s="240"/>
      <c r="F2787" s="240"/>
      <c r="G2787" s="240"/>
      <c r="H2787" s="241">
        <f t="shared" si="312"/>
        <v>0</v>
      </c>
      <c r="I2787" s="242"/>
      <c r="J2787" s="243"/>
      <c r="K2787" s="243"/>
      <c r="L2787" s="244">
        <v>0.1</v>
      </c>
      <c r="M2787" s="244">
        <f t="shared" si="313"/>
        <v>0</v>
      </c>
      <c r="N2787" s="244"/>
      <c r="O2787" s="244"/>
      <c r="P2787" s="244"/>
      <c r="Q2787" s="245">
        <f t="shared" si="314"/>
        <v>0</v>
      </c>
      <c r="R2787" s="245">
        <f t="shared" si="315"/>
        <v>0</v>
      </c>
      <c r="S2787" s="246">
        <v>0.5</v>
      </c>
      <c r="T2787" s="245">
        <f t="shared" si="316"/>
        <v>0</v>
      </c>
      <c r="U2787" s="245">
        <f t="shared" si="317"/>
        <v>0</v>
      </c>
      <c r="V2787" s="247"/>
    </row>
    <row r="2788" spans="1:41" ht="15.75" x14ac:dyDescent="0.25">
      <c r="A2788" s="236"/>
      <c r="B2788" s="237"/>
      <c r="C2788" s="238"/>
      <c r="D2788" s="239"/>
      <c r="E2788" s="240"/>
      <c r="F2788" s="240"/>
      <c r="G2788" s="240"/>
      <c r="H2788" s="241">
        <f t="shared" si="312"/>
        <v>0</v>
      </c>
      <c r="I2788" s="242"/>
      <c r="J2788" s="243"/>
      <c r="K2788" s="243"/>
      <c r="L2788" s="244">
        <v>0.1</v>
      </c>
      <c r="M2788" s="244">
        <f t="shared" si="313"/>
        <v>0</v>
      </c>
      <c r="N2788" s="244"/>
      <c r="O2788" s="244"/>
      <c r="P2788" s="244"/>
      <c r="Q2788" s="245">
        <f t="shared" si="314"/>
        <v>0</v>
      </c>
      <c r="R2788" s="245">
        <f t="shared" si="315"/>
        <v>0</v>
      </c>
      <c r="S2788" s="246">
        <v>0.5</v>
      </c>
      <c r="T2788" s="245">
        <f t="shared" si="316"/>
        <v>0</v>
      </c>
      <c r="U2788" s="245">
        <f t="shared" si="317"/>
        <v>0</v>
      </c>
      <c r="V2788" s="247"/>
    </row>
    <row r="2789" spans="1:41" ht="15.75" x14ac:dyDescent="0.25">
      <c r="A2789" s="236"/>
      <c r="B2789" s="237"/>
      <c r="C2789" s="238"/>
      <c r="D2789" s="239"/>
      <c r="E2789" s="240"/>
      <c r="F2789" s="240"/>
      <c r="G2789" s="240"/>
      <c r="H2789" s="241">
        <f t="shared" si="312"/>
        <v>0</v>
      </c>
      <c r="I2789" s="242"/>
      <c r="J2789" s="243"/>
      <c r="K2789" s="243"/>
      <c r="L2789" s="244">
        <v>0.1</v>
      </c>
      <c r="M2789" s="244">
        <f t="shared" si="313"/>
        <v>0</v>
      </c>
      <c r="N2789" s="244"/>
      <c r="O2789" s="244"/>
      <c r="P2789" s="244"/>
      <c r="Q2789" s="245">
        <f t="shared" si="314"/>
        <v>0</v>
      </c>
      <c r="R2789" s="245">
        <f t="shared" si="315"/>
        <v>0</v>
      </c>
      <c r="S2789" s="246">
        <v>0.5</v>
      </c>
      <c r="T2789" s="245">
        <f t="shared" si="316"/>
        <v>0</v>
      </c>
      <c r="U2789" s="245">
        <f t="shared" si="317"/>
        <v>0</v>
      </c>
      <c r="V2789" s="247"/>
    </row>
    <row r="2790" spans="1:41" ht="15.75" x14ac:dyDescent="0.25">
      <c r="A2790" s="236"/>
      <c r="B2790" s="237"/>
      <c r="C2790" s="238"/>
      <c r="D2790" s="239"/>
      <c r="E2790" s="240"/>
      <c r="F2790" s="240"/>
      <c r="G2790" s="240"/>
      <c r="H2790" s="241">
        <f t="shared" si="312"/>
        <v>0</v>
      </c>
      <c r="I2790" s="242"/>
      <c r="J2790" s="243"/>
      <c r="K2790" s="243"/>
      <c r="L2790" s="244">
        <v>0.1</v>
      </c>
      <c r="M2790" s="244">
        <f t="shared" si="313"/>
        <v>0</v>
      </c>
      <c r="N2790" s="244"/>
      <c r="O2790" s="244"/>
      <c r="P2790" s="244"/>
      <c r="Q2790" s="245">
        <f t="shared" si="314"/>
        <v>0</v>
      </c>
      <c r="R2790" s="245">
        <f t="shared" si="315"/>
        <v>0</v>
      </c>
      <c r="S2790" s="246">
        <v>0.5</v>
      </c>
      <c r="T2790" s="245">
        <f t="shared" si="316"/>
        <v>0</v>
      </c>
      <c r="U2790" s="245">
        <f t="shared" si="317"/>
        <v>0</v>
      </c>
      <c r="V2790" s="247"/>
    </row>
    <row r="2791" spans="1:41" ht="15.75" x14ac:dyDescent="0.25">
      <c r="A2791" s="236"/>
      <c r="B2791" s="237"/>
      <c r="C2791" s="238"/>
      <c r="D2791" s="239"/>
      <c r="E2791" s="240"/>
      <c r="F2791" s="240"/>
      <c r="G2791" s="240"/>
      <c r="H2791" s="241">
        <f t="shared" si="312"/>
        <v>0</v>
      </c>
      <c r="I2791" s="242"/>
      <c r="J2791" s="243"/>
      <c r="K2791" s="243"/>
      <c r="L2791" s="244">
        <v>0.1</v>
      </c>
      <c r="M2791" s="244">
        <f t="shared" si="313"/>
        <v>0</v>
      </c>
      <c r="N2791" s="244"/>
      <c r="O2791" s="244"/>
      <c r="P2791" s="244"/>
      <c r="Q2791" s="245">
        <f t="shared" si="314"/>
        <v>0</v>
      </c>
      <c r="R2791" s="245">
        <f t="shared" si="315"/>
        <v>0</v>
      </c>
      <c r="S2791" s="246">
        <v>0.5</v>
      </c>
      <c r="T2791" s="245">
        <f t="shared" si="316"/>
        <v>0</v>
      </c>
      <c r="U2791" s="245">
        <f t="shared" si="317"/>
        <v>0</v>
      </c>
      <c r="V2791" s="247"/>
    </row>
    <row r="2792" spans="1:41" ht="15.75" x14ac:dyDescent="0.25">
      <c r="A2792" s="236"/>
      <c r="B2792" s="237"/>
      <c r="C2792" s="238"/>
      <c r="D2792" s="239"/>
      <c r="E2792" s="240"/>
      <c r="F2792" s="240"/>
      <c r="G2792" s="240"/>
      <c r="H2792" s="241">
        <f t="shared" si="312"/>
        <v>0</v>
      </c>
      <c r="I2792" s="242"/>
      <c r="J2792" s="243"/>
      <c r="K2792" s="243"/>
      <c r="L2792" s="244">
        <v>0.1</v>
      </c>
      <c r="M2792" s="244">
        <f t="shared" si="313"/>
        <v>0</v>
      </c>
      <c r="N2792" s="244"/>
      <c r="O2792" s="244"/>
      <c r="P2792" s="244"/>
      <c r="Q2792" s="245">
        <f t="shared" si="314"/>
        <v>0</v>
      </c>
      <c r="R2792" s="245">
        <f t="shared" si="315"/>
        <v>0</v>
      </c>
      <c r="S2792" s="246">
        <v>0.5</v>
      </c>
      <c r="T2792" s="245">
        <f t="shared" si="316"/>
        <v>0</v>
      </c>
      <c r="U2792" s="245">
        <f t="shared" si="317"/>
        <v>0</v>
      </c>
      <c r="V2792" s="247"/>
    </row>
    <row r="2793" spans="1:41" ht="15.75" x14ac:dyDescent="0.25">
      <c r="A2793" s="236"/>
      <c r="B2793" s="237"/>
      <c r="C2793" s="238"/>
      <c r="D2793" s="239"/>
      <c r="E2793" s="240"/>
      <c r="F2793" s="240"/>
      <c r="G2793" s="240"/>
      <c r="H2793" s="241">
        <f t="shared" si="312"/>
        <v>0</v>
      </c>
      <c r="I2793" s="242"/>
      <c r="J2793" s="243"/>
      <c r="K2793" s="243"/>
      <c r="L2793" s="244">
        <v>0.1</v>
      </c>
      <c r="M2793" s="244">
        <f t="shared" si="313"/>
        <v>0</v>
      </c>
      <c r="N2793" s="244"/>
      <c r="O2793" s="244"/>
      <c r="P2793" s="244"/>
      <c r="Q2793" s="245">
        <f t="shared" si="314"/>
        <v>0</v>
      </c>
      <c r="R2793" s="245">
        <f t="shared" si="315"/>
        <v>0</v>
      </c>
      <c r="S2793" s="246">
        <v>0.5</v>
      </c>
      <c r="T2793" s="245">
        <f t="shared" si="316"/>
        <v>0</v>
      </c>
      <c r="U2793" s="245">
        <f t="shared" si="317"/>
        <v>0</v>
      </c>
      <c r="V2793" s="247"/>
    </row>
    <row r="2794" spans="1:41" ht="15.75" x14ac:dyDescent="0.25">
      <c r="A2794" s="236"/>
      <c r="B2794" s="237"/>
      <c r="C2794" s="238"/>
      <c r="D2794" s="239"/>
      <c r="E2794" s="240"/>
      <c r="F2794" s="240"/>
      <c r="G2794" s="240"/>
      <c r="H2794" s="241">
        <f t="shared" si="312"/>
        <v>0</v>
      </c>
      <c r="I2794" s="242"/>
      <c r="J2794" s="243"/>
      <c r="K2794" s="243"/>
      <c r="L2794" s="244">
        <v>0.1</v>
      </c>
      <c r="M2794" s="244">
        <f t="shared" si="313"/>
        <v>0</v>
      </c>
      <c r="N2794" s="244"/>
      <c r="O2794" s="244"/>
      <c r="P2794" s="244"/>
      <c r="Q2794" s="245">
        <f t="shared" si="314"/>
        <v>0</v>
      </c>
      <c r="R2794" s="245">
        <f t="shared" si="315"/>
        <v>0</v>
      </c>
      <c r="S2794" s="246">
        <v>0.5</v>
      </c>
      <c r="T2794" s="245">
        <f t="shared" si="316"/>
        <v>0</v>
      </c>
      <c r="U2794" s="245">
        <f t="shared" si="317"/>
        <v>0</v>
      </c>
      <c r="V2794" s="247"/>
      <c r="AA2794" s="248">
        <f t="shared" ref="AA2794:AA2853" ca="1" si="318">TODAY()</f>
        <v>46150</v>
      </c>
      <c r="AB2794" s="248" t="b">
        <f t="shared" ref="AB2794:AB2798" si="319">ISBLANK(V2794)</f>
        <v>1</v>
      </c>
      <c r="AF2794" s="235">
        <f t="shared" ref="AF2794:AF2798" si="320">WEEKNUM(V2794)</f>
        <v>0</v>
      </c>
      <c r="AG2794" s="235">
        <f t="shared" ref="AG2794:AG2798" si="321">YEAR(V2794)</f>
        <v>1900</v>
      </c>
      <c r="AN2794" s="235">
        <f t="shared" ref="AN2794:AN2798" si="322">IF(V2794="",0,MONTH(V2794))</f>
        <v>0</v>
      </c>
      <c r="AO2794" s="235">
        <f t="shared" si="7"/>
        <v>0</v>
      </c>
    </row>
    <row r="2795" spans="1:41" ht="15.75" x14ac:dyDescent="0.25">
      <c r="A2795" s="236"/>
      <c r="B2795" s="237"/>
      <c r="C2795" s="238"/>
      <c r="D2795" s="239"/>
      <c r="E2795" s="240"/>
      <c r="F2795" s="240"/>
      <c r="G2795" s="240"/>
      <c r="H2795" s="241">
        <f t="shared" si="312"/>
        <v>0</v>
      </c>
      <c r="I2795" s="242"/>
      <c r="J2795" s="243"/>
      <c r="K2795" s="243"/>
      <c r="L2795" s="244">
        <v>0.1</v>
      </c>
      <c r="M2795" s="244">
        <f t="shared" si="313"/>
        <v>0</v>
      </c>
      <c r="N2795" s="244"/>
      <c r="O2795" s="244"/>
      <c r="P2795" s="244"/>
      <c r="Q2795" s="245">
        <f t="shared" si="314"/>
        <v>0</v>
      </c>
      <c r="R2795" s="245">
        <f t="shared" si="315"/>
        <v>0</v>
      </c>
      <c r="S2795" s="246">
        <v>0.5</v>
      </c>
      <c r="T2795" s="245">
        <f t="shared" si="316"/>
        <v>0</v>
      </c>
      <c r="U2795" s="245">
        <f t="shared" si="317"/>
        <v>0</v>
      </c>
      <c r="V2795" s="247"/>
    </row>
    <row r="2796" spans="1:41" ht="15.75" x14ac:dyDescent="0.25">
      <c r="A2796" s="236"/>
      <c r="B2796" s="237"/>
      <c r="C2796" s="238"/>
      <c r="D2796" s="239"/>
      <c r="E2796" s="240"/>
      <c r="F2796" s="240"/>
      <c r="G2796" s="240"/>
      <c r="H2796" s="241">
        <f>+E2796+F2796+G2796</f>
        <v>0</v>
      </c>
      <c r="I2796" s="242"/>
      <c r="J2796" s="243"/>
      <c r="K2796" s="243"/>
      <c r="L2796" s="244"/>
      <c r="M2796" s="244">
        <f>+L2796*C2796</f>
        <v>0</v>
      </c>
      <c r="N2796" s="244"/>
      <c r="O2796" s="244"/>
      <c r="P2796" s="244"/>
      <c r="Q2796" s="245">
        <f>+N2796+O2796+P2796</f>
        <v>0</v>
      </c>
      <c r="R2796" s="245">
        <f>IF(+Q2796-H2796&lt;=0,0,Q2796-H2796)</f>
        <v>0</v>
      </c>
      <c r="S2796" s="246"/>
      <c r="T2796" s="245">
        <f>+(R2796*C2796)*S2796</f>
        <v>0</v>
      </c>
      <c r="U2796" s="245">
        <f>+J2796+M2796+T2796</f>
        <v>0</v>
      </c>
      <c r="V2796" s="247"/>
      <c r="AN2796" s="235">
        <f>IF(V2796="",0,MONTH(V2796))</f>
        <v>0</v>
      </c>
      <c r="AO2796" s="235">
        <f>IF(V2796="",0,YEAR(V2796))</f>
        <v>0</v>
      </c>
    </row>
    <row r="2797" spans="1:41" ht="15.75" x14ac:dyDescent="0.25">
      <c r="A2797" s="236"/>
      <c r="B2797" s="237"/>
      <c r="C2797" s="238"/>
      <c r="D2797" s="239"/>
      <c r="E2797" s="240"/>
      <c r="F2797" s="240"/>
      <c r="G2797" s="240"/>
      <c r="H2797" s="241">
        <f>+E2797+F2797+G2797</f>
        <v>0</v>
      </c>
      <c r="I2797" s="242"/>
      <c r="J2797" s="243"/>
      <c r="K2797" s="243"/>
      <c r="L2797" s="244"/>
      <c r="M2797" s="244">
        <f>+L2797*C2797</f>
        <v>0</v>
      </c>
      <c r="N2797" s="244"/>
      <c r="O2797" s="244"/>
      <c r="P2797" s="244"/>
      <c r="Q2797" s="245">
        <f>+N2797+O2797+P2797</f>
        <v>0</v>
      </c>
      <c r="R2797" s="245">
        <f>IF(+Q2797-H2797&lt;=0,0,Q2797-H2797)</f>
        <v>0</v>
      </c>
      <c r="S2797" s="246"/>
      <c r="T2797" s="245">
        <f>+(R2797*C2797)*S2797</f>
        <v>0</v>
      </c>
      <c r="U2797" s="245">
        <f>+J2797+M2797+T2797</f>
        <v>0</v>
      </c>
      <c r="V2797" s="247"/>
      <c r="AN2797" s="235">
        <f>IF(V2797="",0,MONTH(V2797))</f>
        <v>0</v>
      </c>
      <c r="AO2797" s="235">
        <f>IF(V2797="",0,YEAR(V2797))</f>
        <v>0</v>
      </c>
    </row>
    <row r="2798" spans="1:41" ht="15.75" x14ac:dyDescent="0.25">
      <c r="A2798" s="236"/>
      <c r="B2798" s="237"/>
      <c r="C2798" s="238"/>
      <c r="D2798" s="239"/>
      <c r="E2798" s="240"/>
      <c r="F2798" s="240"/>
      <c r="G2798" s="240"/>
      <c r="H2798" s="241">
        <f t="shared" ref="H2798" si="323">+E2798+F2798+G2798</f>
        <v>0</v>
      </c>
      <c r="I2798" s="242"/>
      <c r="J2798" s="243"/>
      <c r="K2798" s="243"/>
      <c r="L2798" s="244">
        <v>0.1</v>
      </c>
      <c r="M2798" s="244">
        <f t="shared" ref="M2798" si="324">+L2798*C2798</f>
        <v>0</v>
      </c>
      <c r="N2798" s="244"/>
      <c r="O2798" s="244"/>
      <c r="P2798" s="244"/>
      <c r="Q2798" s="245">
        <f t="shared" ref="Q2798" si="325">+N2798+O2798+P2798</f>
        <v>0</v>
      </c>
      <c r="R2798" s="245">
        <f t="shared" ref="R2798" si="326">IF(+Q2798-H2798&lt;=0,0,Q2798-H2798)</f>
        <v>0</v>
      </c>
      <c r="S2798" s="246">
        <v>0.5</v>
      </c>
      <c r="T2798" s="245">
        <f t="shared" ref="T2798" si="327">+(R2798*C2798)*S2798</f>
        <v>0</v>
      </c>
      <c r="U2798" s="245">
        <f t="shared" ref="U2798" si="328">+J2798+M2798+T2798</f>
        <v>0</v>
      </c>
      <c r="V2798" s="247"/>
      <c r="AA2798" s="248">
        <f t="shared" ca="1" si="318"/>
        <v>46150</v>
      </c>
      <c r="AB2798" s="248" t="b">
        <f t="shared" si="319"/>
        <v>1</v>
      </c>
      <c r="AF2798" s="235">
        <f t="shared" si="320"/>
        <v>0</v>
      </c>
      <c r="AG2798" s="235">
        <f t="shared" si="321"/>
        <v>1900</v>
      </c>
      <c r="AN2798" s="235">
        <f t="shared" si="322"/>
        <v>0</v>
      </c>
      <c r="AO2798" s="235">
        <f t="shared" si="7"/>
        <v>0</v>
      </c>
    </row>
    <row r="2799" spans="1:41" customFormat="1" ht="15.75" x14ac:dyDescent="0.25">
      <c r="A2799" s="224"/>
      <c r="B2799" s="225"/>
      <c r="C2799" s="226"/>
      <c r="D2799" s="227"/>
      <c r="E2799" s="392"/>
      <c r="F2799" s="392"/>
      <c r="G2799" s="392"/>
      <c r="H2799" s="393">
        <f t="shared" ref="H2799:H2830" si="329">+E2799+F2799+G2799</f>
        <v>0</v>
      </c>
      <c r="I2799" s="228"/>
      <c r="J2799" s="229"/>
      <c r="K2799" s="229"/>
      <c r="L2799" s="230"/>
      <c r="M2799" s="230">
        <f t="shared" ref="M2799:M2830" si="330">+L2799*C2799</f>
        <v>0</v>
      </c>
      <c r="N2799" s="381"/>
      <c r="O2799" s="381"/>
      <c r="P2799" s="381"/>
      <c r="Q2799" s="382">
        <f t="shared" ref="Q2799:Q2830" si="331">+N2799+O2799+P2799</f>
        <v>0</v>
      </c>
      <c r="R2799" s="231">
        <f t="shared" ref="R2799:R2830" si="332">IF(+Q2799-H2799&lt;=0,0,Q2799-H2799)</f>
        <v>0</v>
      </c>
      <c r="S2799" s="232"/>
      <c r="T2799" s="231">
        <f t="shared" ref="T2799:T2830" si="333">+(R2799*C2799)*S2799</f>
        <v>0</v>
      </c>
      <c r="U2799" s="231">
        <f t="shared" ref="U2799:U2830" si="334">+J2799+M2799+T2799</f>
        <v>0</v>
      </c>
      <c r="V2799" s="233"/>
      <c r="AA2799" s="234"/>
      <c r="AB2799" s="234"/>
      <c r="AN2799">
        <f t="shared" ref="AN2799:AN2830" si="335">IF(V2799="",0,MONTH(V2799))</f>
        <v>0</v>
      </c>
      <c r="AO2799">
        <f t="shared" ref="AO2799:AO2830" si="336">IF(V2799="",0,YEAR(V2799))</f>
        <v>0</v>
      </c>
    </row>
    <row r="2800" spans="1:41" customFormat="1" ht="15.75" x14ac:dyDescent="0.25">
      <c r="A2800" s="224"/>
      <c r="B2800" s="225"/>
      <c r="C2800" s="226"/>
      <c r="D2800" s="227"/>
      <c r="E2800" s="392"/>
      <c r="F2800" s="392"/>
      <c r="G2800" s="392"/>
      <c r="H2800" s="393">
        <f t="shared" si="329"/>
        <v>0</v>
      </c>
      <c r="I2800" s="228"/>
      <c r="J2800" s="229"/>
      <c r="K2800" s="229"/>
      <c r="L2800" s="230"/>
      <c r="M2800" s="230">
        <f t="shared" si="330"/>
        <v>0</v>
      </c>
      <c r="N2800" s="381"/>
      <c r="O2800" s="381"/>
      <c r="P2800" s="381"/>
      <c r="Q2800" s="382">
        <f t="shared" si="331"/>
        <v>0</v>
      </c>
      <c r="R2800" s="231">
        <f t="shared" si="332"/>
        <v>0</v>
      </c>
      <c r="S2800" s="232"/>
      <c r="T2800" s="231">
        <f t="shared" si="333"/>
        <v>0</v>
      </c>
      <c r="U2800" s="231">
        <f t="shared" si="334"/>
        <v>0</v>
      </c>
      <c r="V2800" s="233"/>
      <c r="AA2800" s="234"/>
      <c r="AB2800" s="234"/>
      <c r="AN2800">
        <f t="shared" si="335"/>
        <v>0</v>
      </c>
      <c r="AO2800">
        <f t="shared" si="336"/>
        <v>0</v>
      </c>
    </row>
    <row r="2801" spans="1:41" customFormat="1" ht="15.75" x14ac:dyDescent="0.25">
      <c r="A2801" s="224"/>
      <c r="B2801" s="225"/>
      <c r="C2801" s="226"/>
      <c r="D2801" s="227"/>
      <c r="E2801" s="392"/>
      <c r="F2801" s="392"/>
      <c r="G2801" s="392"/>
      <c r="H2801" s="393">
        <f t="shared" si="329"/>
        <v>0</v>
      </c>
      <c r="I2801" s="228"/>
      <c r="J2801" s="229"/>
      <c r="K2801" s="229"/>
      <c r="L2801" s="230"/>
      <c r="M2801" s="230">
        <f t="shared" si="330"/>
        <v>0</v>
      </c>
      <c r="N2801" s="381"/>
      <c r="O2801" s="381"/>
      <c r="P2801" s="381"/>
      <c r="Q2801" s="382">
        <f t="shared" si="331"/>
        <v>0</v>
      </c>
      <c r="R2801" s="231">
        <f t="shared" si="332"/>
        <v>0</v>
      </c>
      <c r="S2801" s="232"/>
      <c r="T2801" s="231">
        <f t="shared" si="333"/>
        <v>0</v>
      </c>
      <c r="U2801" s="231">
        <f t="shared" si="334"/>
        <v>0</v>
      </c>
      <c r="V2801" s="233"/>
      <c r="AA2801" s="234"/>
      <c r="AB2801" s="234"/>
      <c r="AN2801">
        <f t="shared" si="335"/>
        <v>0</v>
      </c>
      <c r="AO2801">
        <f t="shared" si="336"/>
        <v>0</v>
      </c>
    </row>
    <row r="2802" spans="1:41" customFormat="1" ht="15.75" x14ac:dyDescent="0.25">
      <c r="A2802" s="224"/>
      <c r="B2802" s="225"/>
      <c r="C2802" s="226"/>
      <c r="D2802" s="227"/>
      <c r="E2802" s="392"/>
      <c r="F2802" s="392"/>
      <c r="G2802" s="392"/>
      <c r="H2802" s="393">
        <f t="shared" si="329"/>
        <v>0</v>
      </c>
      <c r="I2802" s="228"/>
      <c r="J2802" s="229"/>
      <c r="K2802" s="229"/>
      <c r="L2802" s="230"/>
      <c r="M2802" s="230">
        <f t="shared" si="330"/>
        <v>0</v>
      </c>
      <c r="N2802" s="381"/>
      <c r="O2802" s="381"/>
      <c r="P2802" s="381"/>
      <c r="Q2802" s="382">
        <f t="shared" si="331"/>
        <v>0</v>
      </c>
      <c r="R2802" s="231">
        <f t="shared" si="332"/>
        <v>0</v>
      </c>
      <c r="S2802" s="232"/>
      <c r="T2802" s="231">
        <f t="shared" si="333"/>
        <v>0</v>
      </c>
      <c r="U2802" s="231">
        <f t="shared" si="334"/>
        <v>0</v>
      </c>
      <c r="V2802" s="233"/>
      <c r="AA2802" s="234"/>
      <c r="AB2802" s="234"/>
      <c r="AN2802">
        <f t="shared" si="335"/>
        <v>0</v>
      </c>
      <c r="AO2802">
        <f t="shared" si="336"/>
        <v>0</v>
      </c>
    </row>
    <row r="2803" spans="1:41" customFormat="1" ht="15.75" x14ac:dyDescent="0.25">
      <c r="A2803" s="224"/>
      <c r="B2803" s="225"/>
      <c r="C2803" s="226"/>
      <c r="D2803" s="227"/>
      <c r="E2803" s="392"/>
      <c r="F2803" s="392"/>
      <c r="G2803" s="392"/>
      <c r="H2803" s="393">
        <f t="shared" si="329"/>
        <v>0</v>
      </c>
      <c r="I2803" s="228"/>
      <c r="J2803" s="229"/>
      <c r="K2803" s="229"/>
      <c r="L2803" s="230"/>
      <c r="M2803" s="230">
        <f t="shared" si="330"/>
        <v>0</v>
      </c>
      <c r="N2803" s="381"/>
      <c r="O2803" s="381"/>
      <c r="P2803" s="381"/>
      <c r="Q2803" s="382">
        <f t="shared" si="331"/>
        <v>0</v>
      </c>
      <c r="R2803" s="231">
        <f t="shared" si="332"/>
        <v>0</v>
      </c>
      <c r="S2803" s="232"/>
      <c r="T2803" s="231">
        <f t="shared" si="333"/>
        <v>0</v>
      </c>
      <c r="U2803" s="231">
        <f t="shared" si="334"/>
        <v>0</v>
      </c>
      <c r="V2803" s="233"/>
      <c r="AA2803" s="234"/>
      <c r="AB2803" s="234"/>
      <c r="AN2803">
        <f t="shared" si="335"/>
        <v>0</v>
      </c>
      <c r="AO2803">
        <f t="shared" si="336"/>
        <v>0</v>
      </c>
    </row>
    <row r="2804" spans="1:41" customFormat="1" ht="15.75" x14ac:dyDescent="0.25">
      <c r="A2804" s="224"/>
      <c r="B2804" s="225"/>
      <c r="C2804" s="226"/>
      <c r="D2804" s="227"/>
      <c r="E2804" s="392"/>
      <c r="F2804" s="392"/>
      <c r="G2804" s="392"/>
      <c r="H2804" s="393">
        <f t="shared" si="329"/>
        <v>0</v>
      </c>
      <c r="I2804" s="228"/>
      <c r="J2804" s="229"/>
      <c r="K2804" s="229"/>
      <c r="L2804" s="230"/>
      <c r="M2804" s="230">
        <f t="shared" si="330"/>
        <v>0</v>
      </c>
      <c r="N2804" s="381"/>
      <c r="O2804" s="381"/>
      <c r="P2804" s="381"/>
      <c r="Q2804" s="382">
        <f t="shared" si="331"/>
        <v>0</v>
      </c>
      <c r="R2804" s="231">
        <f t="shared" si="332"/>
        <v>0</v>
      </c>
      <c r="S2804" s="232"/>
      <c r="T2804" s="231">
        <f t="shared" si="333"/>
        <v>0</v>
      </c>
      <c r="U2804" s="231">
        <f t="shared" si="334"/>
        <v>0</v>
      </c>
      <c r="V2804" s="233"/>
      <c r="AA2804" s="234"/>
      <c r="AB2804" s="234"/>
      <c r="AN2804">
        <f t="shared" si="335"/>
        <v>0</v>
      </c>
      <c r="AO2804">
        <f t="shared" si="336"/>
        <v>0</v>
      </c>
    </row>
    <row r="2805" spans="1:41" customFormat="1" ht="15.75" x14ac:dyDescent="0.25">
      <c r="A2805" s="224"/>
      <c r="B2805" s="225"/>
      <c r="C2805" s="226"/>
      <c r="D2805" s="227"/>
      <c r="E2805" s="392"/>
      <c r="F2805" s="392"/>
      <c r="G2805" s="392"/>
      <c r="H2805" s="393">
        <f t="shared" si="329"/>
        <v>0</v>
      </c>
      <c r="I2805" s="228"/>
      <c r="J2805" s="229"/>
      <c r="K2805" s="229"/>
      <c r="L2805" s="230"/>
      <c r="M2805" s="230">
        <f t="shared" si="330"/>
        <v>0</v>
      </c>
      <c r="N2805" s="381"/>
      <c r="O2805" s="381"/>
      <c r="P2805" s="381"/>
      <c r="Q2805" s="382">
        <f t="shared" si="331"/>
        <v>0</v>
      </c>
      <c r="R2805" s="231">
        <f t="shared" si="332"/>
        <v>0</v>
      </c>
      <c r="S2805" s="232"/>
      <c r="T2805" s="231">
        <f t="shared" si="333"/>
        <v>0</v>
      </c>
      <c r="U2805" s="231">
        <f t="shared" si="334"/>
        <v>0</v>
      </c>
      <c r="V2805" s="233"/>
      <c r="AA2805" s="234"/>
      <c r="AB2805" s="234"/>
      <c r="AN2805">
        <f t="shared" si="335"/>
        <v>0</v>
      </c>
      <c r="AO2805">
        <f t="shared" si="336"/>
        <v>0</v>
      </c>
    </row>
    <row r="2806" spans="1:41" customFormat="1" ht="15.75" x14ac:dyDescent="0.25">
      <c r="A2806" s="224"/>
      <c r="B2806" s="225"/>
      <c r="C2806" s="226"/>
      <c r="D2806" s="227"/>
      <c r="E2806" s="392"/>
      <c r="F2806" s="392"/>
      <c r="G2806" s="392"/>
      <c r="H2806" s="393">
        <f t="shared" si="329"/>
        <v>0</v>
      </c>
      <c r="I2806" s="228"/>
      <c r="J2806" s="229"/>
      <c r="K2806" s="229"/>
      <c r="L2806" s="230"/>
      <c r="M2806" s="230">
        <f t="shared" si="330"/>
        <v>0</v>
      </c>
      <c r="N2806" s="381"/>
      <c r="O2806" s="381"/>
      <c r="P2806" s="381"/>
      <c r="Q2806" s="382">
        <f t="shared" si="331"/>
        <v>0</v>
      </c>
      <c r="R2806" s="231">
        <f t="shared" si="332"/>
        <v>0</v>
      </c>
      <c r="S2806" s="232"/>
      <c r="T2806" s="231">
        <f t="shared" si="333"/>
        <v>0</v>
      </c>
      <c r="U2806" s="231">
        <f t="shared" si="334"/>
        <v>0</v>
      </c>
      <c r="V2806" s="233"/>
      <c r="AA2806" s="234"/>
      <c r="AB2806" s="234"/>
      <c r="AN2806">
        <f t="shared" si="335"/>
        <v>0</v>
      </c>
      <c r="AO2806">
        <f t="shared" si="336"/>
        <v>0</v>
      </c>
    </row>
    <row r="2807" spans="1:41" customFormat="1" ht="15.75" x14ac:dyDescent="0.25">
      <c r="A2807" s="224"/>
      <c r="B2807" s="225"/>
      <c r="C2807" s="226"/>
      <c r="D2807" s="227"/>
      <c r="E2807" s="392"/>
      <c r="F2807" s="392"/>
      <c r="G2807" s="392"/>
      <c r="H2807" s="393">
        <f t="shared" si="329"/>
        <v>0</v>
      </c>
      <c r="I2807" s="228"/>
      <c r="J2807" s="229"/>
      <c r="K2807" s="229"/>
      <c r="L2807" s="230"/>
      <c r="M2807" s="230">
        <f t="shared" si="330"/>
        <v>0</v>
      </c>
      <c r="N2807" s="381"/>
      <c r="O2807" s="381"/>
      <c r="P2807" s="381"/>
      <c r="Q2807" s="382">
        <f t="shared" si="331"/>
        <v>0</v>
      </c>
      <c r="R2807" s="231">
        <f t="shared" si="332"/>
        <v>0</v>
      </c>
      <c r="S2807" s="232"/>
      <c r="T2807" s="231">
        <f t="shared" si="333"/>
        <v>0</v>
      </c>
      <c r="U2807" s="231">
        <f t="shared" si="334"/>
        <v>0</v>
      </c>
      <c r="V2807" s="233"/>
      <c r="AA2807" s="234"/>
      <c r="AB2807" s="234"/>
      <c r="AN2807">
        <f t="shared" si="335"/>
        <v>0</v>
      </c>
      <c r="AO2807">
        <f t="shared" si="336"/>
        <v>0</v>
      </c>
    </row>
    <row r="2808" spans="1:41" customFormat="1" ht="15.75" x14ac:dyDescent="0.25">
      <c r="A2808" s="224"/>
      <c r="B2808" s="225"/>
      <c r="C2808" s="226"/>
      <c r="D2808" s="227"/>
      <c r="E2808" s="392"/>
      <c r="F2808" s="392"/>
      <c r="G2808" s="392"/>
      <c r="H2808" s="393">
        <f t="shared" si="329"/>
        <v>0</v>
      </c>
      <c r="I2808" s="228"/>
      <c r="J2808" s="229"/>
      <c r="K2808" s="229"/>
      <c r="L2808" s="230"/>
      <c r="M2808" s="230">
        <f t="shared" si="330"/>
        <v>0</v>
      </c>
      <c r="N2808" s="381"/>
      <c r="O2808" s="381"/>
      <c r="P2808" s="381"/>
      <c r="Q2808" s="382">
        <f t="shared" si="331"/>
        <v>0</v>
      </c>
      <c r="R2808" s="231">
        <f t="shared" si="332"/>
        <v>0</v>
      </c>
      <c r="S2808" s="232"/>
      <c r="T2808" s="231">
        <f t="shared" si="333"/>
        <v>0</v>
      </c>
      <c r="U2808" s="231">
        <f t="shared" si="334"/>
        <v>0</v>
      </c>
      <c r="V2808" s="233"/>
      <c r="AA2808" s="234"/>
      <c r="AB2808" s="234"/>
      <c r="AN2808">
        <f t="shared" si="335"/>
        <v>0</v>
      </c>
      <c r="AO2808">
        <f t="shared" si="336"/>
        <v>0</v>
      </c>
    </row>
    <row r="2809" spans="1:41" customFormat="1" ht="15.75" x14ac:dyDescent="0.25">
      <c r="A2809" s="224"/>
      <c r="B2809" s="225"/>
      <c r="C2809" s="226"/>
      <c r="D2809" s="227"/>
      <c r="E2809" s="392"/>
      <c r="F2809" s="392"/>
      <c r="G2809" s="392"/>
      <c r="H2809" s="393">
        <f t="shared" si="329"/>
        <v>0</v>
      </c>
      <c r="I2809" s="228"/>
      <c r="J2809" s="229"/>
      <c r="K2809" s="229"/>
      <c r="L2809" s="230"/>
      <c r="M2809" s="230">
        <f t="shared" si="330"/>
        <v>0</v>
      </c>
      <c r="N2809" s="381"/>
      <c r="O2809" s="381"/>
      <c r="P2809" s="381"/>
      <c r="Q2809" s="382">
        <f t="shared" si="331"/>
        <v>0</v>
      </c>
      <c r="R2809" s="231">
        <f t="shared" si="332"/>
        <v>0</v>
      </c>
      <c r="S2809" s="232"/>
      <c r="T2809" s="231">
        <f t="shared" si="333"/>
        <v>0</v>
      </c>
      <c r="U2809" s="231">
        <f t="shared" si="334"/>
        <v>0</v>
      </c>
      <c r="V2809" s="233"/>
      <c r="AA2809" s="234"/>
      <c r="AB2809" s="234"/>
      <c r="AN2809">
        <f t="shared" si="335"/>
        <v>0</v>
      </c>
      <c r="AO2809">
        <f t="shared" si="336"/>
        <v>0</v>
      </c>
    </row>
    <row r="2810" spans="1:41" customFormat="1" ht="15.75" x14ac:dyDescent="0.25">
      <c r="A2810" s="224"/>
      <c r="B2810" s="225"/>
      <c r="C2810" s="226"/>
      <c r="D2810" s="227"/>
      <c r="E2810" s="392"/>
      <c r="F2810" s="392"/>
      <c r="G2810" s="392"/>
      <c r="H2810" s="393">
        <f t="shared" si="329"/>
        <v>0</v>
      </c>
      <c r="I2810" s="228"/>
      <c r="J2810" s="229"/>
      <c r="K2810" s="229"/>
      <c r="L2810" s="230"/>
      <c r="M2810" s="230">
        <f t="shared" si="330"/>
        <v>0</v>
      </c>
      <c r="N2810" s="381"/>
      <c r="O2810" s="381"/>
      <c r="P2810" s="381"/>
      <c r="Q2810" s="382">
        <f t="shared" si="331"/>
        <v>0</v>
      </c>
      <c r="R2810" s="231">
        <f t="shared" si="332"/>
        <v>0</v>
      </c>
      <c r="S2810" s="232"/>
      <c r="T2810" s="231">
        <f t="shared" si="333"/>
        <v>0</v>
      </c>
      <c r="U2810" s="231">
        <f t="shared" si="334"/>
        <v>0</v>
      </c>
      <c r="V2810" s="233"/>
      <c r="AA2810" s="234"/>
      <c r="AB2810" s="234"/>
      <c r="AN2810">
        <f t="shared" si="335"/>
        <v>0</v>
      </c>
      <c r="AO2810">
        <f t="shared" si="336"/>
        <v>0</v>
      </c>
    </row>
    <row r="2811" spans="1:41" customFormat="1" ht="15.75" x14ac:dyDescent="0.25">
      <c r="A2811" s="224"/>
      <c r="B2811" s="225"/>
      <c r="C2811" s="226"/>
      <c r="D2811" s="227"/>
      <c r="E2811" s="392"/>
      <c r="F2811" s="392"/>
      <c r="G2811" s="392"/>
      <c r="H2811" s="393">
        <f t="shared" si="329"/>
        <v>0</v>
      </c>
      <c r="I2811" s="228"/>
      <c r="J2811" s="229"/>
      <c r="K2811" s="229"/>
      <c r="L2811" s="230"/>
      <c r="M2811" s="230">
        <f t="shared" si="330"/>
        <v>0</v>
      </c>
      <c r="N2811" s="381"/>
      <c r="O2811" s="381"/>
      <c r="P2811" s="381"/>
      <c r="Q2811" s="382">
        <f t="shared" si="331"/>
        <v>0</v>
      </c>
      <c r="R2811" s="231">
        <f t="shared" si="332"/>
        <v>0</v>
      </c>
      <c r="S2811" s="232"/>
      <c r="T2811" s="231">
        <f t="shared" si="333"/>
        <v>0</v>
      </c>
      <c r="U2811" s="231">
        <f t="shared" si="334"/>
        <v>0</v>
      </c>
      <c r="V2811" s="233"/>
      <c r="AA2811" s="234"/>
      <c r="AB2811" s="234"/>
      <c r="AN2811">
        <f t="shared" si="335"/>
        <v>0</v>
      </c>
      <c r="AO2811">
        <f t="shared" si="336"/>
        <v>0</v>
      </c>
    </row>
    <row r="2812" spans="1:41" customFormat="1" ht="15.75" x14ac:dyDescent="0.25">
      <c r="A2812" s="224"/>
      <c r="B2812" s="225"/>
      <c r="C2812" s="226"/>
      <c r="D2812" s="227"/>
      <c r="E2812" s="392"/>
      <c r="F2812" s="392"/>
      <c r="G2812" s="392"/>
      <c r="H2812" s="393">
        <f t="shared" si="329"/>
        <v>0</v>
      </c>
      <c r="I2812" s="228"/>
      <c r="J2812" s="229"/>
      <c r="K2812" s="229"/>
      <c r="L2812" s="230"/>
      <c r="M2812" s="230">
        <f t="shared" si="330"/>
        <v>0</v>
      </c>
      <c r="N2812" s="381"/>
      <c r="O2812" s="381"/>
      <c r="P2812" s="381"/>
      <c r="Q2812" s="382">
        <f t="shared" si="331"/>
        <v>0</v>
      </c>
      <c r="R2812" s="231">
        <f t="shared" si="332"/>
        <v>0</v>
      </c>
      <c r="S2812" s="232"/>
      <c r="T2812" s="231">
        <f t="shared" si="333"/>
        <v>0</v>
      </c>
      <c r="U2812" s="231">
        <f t="shared" si="334"/>
        <v>0</v>
      </c>
      <c r="V2812" s="233"/>
      <c r="AA2812" s="234"/>
      <c r="AB2812" s="234"/>
      <c r="AN2812">
        <f t="shared" si="335"/>
        <v>0</v>
      </c>
      <c r="AO2812">
        <f t="shared" si="336"/>
        <v>0</v>
      </c>
    </row>
    <row r="2813" spans="1:41" customFormat="1" ht="15.75" x14ac:dyDescent="0.25">
      <c r="A2813" s="224"/>
      <c r="B2813" s="225"/>
      <c r="C2813" s="226"/>
      <c r="D2813" s="227"/>
      <c r="E2813" s="392"/>
      <c r="F2813" s="392"/>
      <c r="G2813" s="392"/>
      <c r="H2813" s="393">
        <f t="shared" si="329"/>
        <v>0</v>
      </c>
      <c r="I2813" s="228"/>
      <c r="J2813" s="229"/>
      <c r="K2813" s="229"/>
      <c r="L2813" s="230"/>
      <c r="M2813" s="230">
        <f t="shared" si="330"/>
        <v>0</v>
      </c>
      <c r="N2813" s="381"/>
      <c r="O2813" s="381"/>
      <c r="P2813" s="381"/>
      <c r="Q2813" s="382">
        <f t="shared" si="331"/>
        <v>0</v>
      </c>
      <c r="R2813" s="231">
        <f t="shared" si="332"/>
        <v>0</v>
      </c>
      <c r="S2813" s="232"/>
      <c r="T2813" s="231">
        <f t="shared" si="333"/>
        <v>0</v>
      </c>
      <c r="U2813" s="231">
        <f t="shared" si="334"/>
        <v>0</v>
      </c>
      <c r="V2813" s="233"/>
      <c r="AA2813" s="234"/>
      <c r="AB2813" s="234"/>
      <c r="AN2813">
        <f t="shared" si="335"/>
        <v>0</v>
      </c>
      <c r="AO2813">
        <f t="shared" si="336"/>
        <v>0</v>
      </c>
    </row>
    <row r="2814" spans="1:41" customFormat="1" ht="15.75" x14ac:dyDescent="0.25">
      <c r="A2814" s="224"/>
      <c r="B2814" s="225"/>
      <c r="C2814" s="226"/>
      <c r="D2814" s="227"/>
      <c r="E2814" s="392"/>
      <c r="F2814" s="392"/>
      <c r="G2814" s="392"/>
      <c r="H2814" s="393">
        <f t="shared" si="329"/>
        <v>0</v>
      </c>
      <c r="I2814" s="228"/>
      <c r="J2814" s="229"/>
      <c r="K2814" s="229"/>
      <c r="L2814" s="230"/>
      <c r="M2814" s="230">
        <f t="shared" si="330"/>
        <v>0</v>
      </c>
      <c r="N2814" s="381"/>
      <c r="O2814" s="381"/>
      <c r="P2814" s="381"/>
      <c r="Q2814" s="382">
        <f t="shared" si="331"/>
        <v>0</v>
      </c>
      <c r="R2814" s="231">
        <f t="shared" si="332"/>
        <v>0</v>
      </c>
      <c r="S2814" s="232"/>
      <c r="T2814" s="231">
        <f t="shared" si="333"/>
        <v>0</v>
      </c>
      <c r="U2814" s="231">
        <f t="shared" si="334"/>
        <v>0</v>
      </c>
      <c r="V2814" s="233"/>
      <c r="AA2814" s="234"/>
      <c r="AB2814" s="234"/>
      <c r="AN2814">
        <f t="shared" si="335"/>
        <v>0</v>
      </c>
      <c r="AO2814">
        <f t="shared" si="336"/>
        <v>0</v>
      </c>
    </row>
    <row r="2815" spans="1:41" customFormat="1" ht="15.75" x14ac:dyDescent="0.25">
      <c r="A2815" s="224"/>
      <c r="B2815" s="225"/>
      <c r="C2815" s="226"/>
      <c r="D2815" s="227"/>
      <c r="E2815" s="392"/>
      <c r="F2815" s="392"/>
      <c r="G2815" s="392"/>
      <c r="H2815" s="393">
        <f t="shared" si="329"/>
        <v>0</v>
      </c>
      <c r="I2815" s="228"/>
      <c r="J2815" s="229"/>
      <c r="K2815" s="229"/>
      <c r="L2815" s="230"/>
      <c r="M2815" s="230">
        <f t="shared" si="330"/>
        <v>0</v>
      </c>
      <c r="N2815" s="381"/>
      <c r="O2815" s="381"/>
      <c r="P2815" s="381"/>
      <c r="Q2815" s="382">
        <f t="shared" si="331"/>
        <v>0</v>
      </c>
      <c r="R2815" s="231">
        <f t="shared" si="332"/>
        <v>0</v>
      </c>
      <c r="S2815" s="232"/>
      <c r="T2815" s="231">
        <f t="shared" si="333"/>
        <v>0</v>
      </c>
      <c r="U2815" s="231">
        <f t="shared" si="334"/>
        <v>0</v>
      </c>
      <c r="V2815" s="233"/>
      <c r="AA2815" s="234"/>
      <c r="AB2815" s="234"/>
      <c r="AN2815">
        <f t="shared" si="335"/>
        <v>0</v>
      </c>
      <c r="AO2815">
        <f t="shared" si="336"/>
        <v>0</v>
      </c>
    </row>
    <row r="2816" spans="1:41" customFormat="1" ht="15.75" x14ac:dyDescent="0.25">
      <c r="A2816" s="224"/>
      <c r="B2816" s="225"/>
      <c r="C2816" s="226"/>
      <c r="D2816" s="227"/>
      <c r="E2816" s="392"/>
      <c r="F2816" s="392"/>
      <c r="G2816" s="392"/>
      <c r="H2816" s="393">
        <f t="shared" si="329"/>
        <v>0</v>
      </c>
      <c r="I2816" s="228"/>
      <c r="J2816" s="229"/>
      <c r="K2816" s="229"/>
      <c r="L2816" s="230"/>
      <c r="M2816" s="230">
        <f t="shared" si="330"/>
        <v>0</v>
      </c>
      <c r="N2816" s="381"/>
      <c r="O2816" s="381"/>
      <c r="P2816" s="381"/>
      <c r="Q2816" s="382">
        <f t="shared" si="331"/>
        <v>0</v>
      </c>
      <c r="R2816" s="231">
        <f t="shared" si="332"/>
        <v>0</v>
      </c>
      <c r="S2816" s="232"/>
      <c r="T2816" s="231">
        <f t="shared" si="333"/>
        <v>0</v>
      </c>
      <c r="U2816" s="231">
        <f t="shared" si="334"/>
        <v>0</v>
      </c>
      <c r="V2816" s="233"/>
      <c r="AA2816" s="234"/>
      <c r="AB2816" s="234"/>
      <c r="AN2816">
        <f t="shared" si="335"/>
        <v>0</v>
      </c>
      <c r="AO2816">
        <f t="shared" si="336"/>
        <v>0</v>
      </c>
    </row>
    <row r="2817" spans="1:41" customFormat="1" ht="15.75" x14ac:dyDescent="0.25">
      <c r="A2817" s="224"/>
      <c r="B2817" s="225"/>
      <c r="C2817" s="226"/>
      <c r="D2817" s="227"/>
      <c r="E2817" s="392"/>
      <c r="F2817" s="392"/>
      <c r="G2817" s="392"/>
      <c r="H2817" s="393">
        <f t="shared" si="329"/>
        <v>0</v>
      </c>
      <c r="I2817" s="228"/>
      <c r="J2817" s="229"/>
      <c r="K2817" s="229"/>
      <c r="L2817" s="230"/>
      <c r="M2817" s="230">
        <f t="shared" si="330"/>
        <v>0</v>
      </c>
      <c r="N2817" s="381"/>
      <c r="O2817" s="381"/>
      <c r="P2817" s="381"/>
      <c r="Q2817" s="382">
        <f t="shared" si="331"/>
        <v>0</v>
      </c>
      <c r="R2817" s="231">
        <f t="shared" si="332"/>
        <v>0</v>
      </c>
      <c r="S2817" s="232"/>
      <c r="T2817" s="231">
        <f t="shared" si="333"/>
        <v>0</v>
      </c>
      <c r="U2817" s="231">
        <f t="shared" si="334"/>
        <v>0</v>
      </c>
      <c r="V2817" s="233"/>
      <c r="AA2817" s="234"/>
      <c r="AB2817" s="234"/>
      <c r="AN2817">
        <f t="shared" si="335"/>
        <v>0</v>
      </c>
      <c r="AO2817">
        <f t="shared" si="336"/>
        <v>0</v>
      </c>
    </row>
    <row r="2818" spans="1:41" customFormat="1" ht="15.75" x14ac:dyDescent="0.25">
      <c r="A2818" s="224"/>
      <c r="B2818" s="225"/>
      <c r="C2818" s="226"/>
      <c r="D2818" s="227"/>
      <c r="E2818" s="392"/>
      <c r="F2818" s="392"/>
      <c r="G2818" s="392"/>
      <c r="H2818" s="393">
        <f t="shared" si="329"/>
        <v>0</v>
      </c>
      <c r="I2818" s="228"/>
      <c r="J2818" s="229"/>
      <c r="K2818" s="229"/>
      <c r="L2818" s="230"/>
      <c r="M2818" s="230">
        <f t="shared" si="330"/>
        <v>0</v>
      </c>
      <c r="N2818" s="381"/>
      <c r="O2818" s="381"/>
      <c r="P2818" s="381"/>
      <c r="Q2818" s="382">
        <f t="shared" si="331"/>
        <v>0</v>
      </c>
      <c r="R2818" s="231">
        <f t="shared" si="332"/>
        <v>0</v>
      </c>
      <c r="S2818" s="232"/>
      <c r="T2818" s="231">
        <f t="shared" si="333"/>
        <v>0</v>
      </c>
      <c r="U2818" s="231">
        <f t="shared" si="334"/>
        <v>0</v>
      </c>
      <c r="V2818" s="233"/>
      <c r="AA2818" s="234"/>
      <c r="AB2818" s="234"/>
      <c r="AN2818">
        <f t="shared" si="335"/>
        <v>0</v>
      </c>
      <c r="AO2818">
        <f t="shared" si="336"/>
        <v>0</v>
      </c>
    </row>
    <row r="2819" spans="1:41" customFormat="1" ht="15.75" x14ac:dyDescent="0.25">
      <c r="A2819" s="224"/>
      <c r="B2819" s="225"/>
      <c r="C2819" s="226"/>
      <c r="D2819" s="227"/>
      <c r="E2819" s="392"/>
      <c r="F2819" s="392"/>
      <c r="G2819" s="392"/>
      <c r="H2819" s="393">
        <f t="shared" si="329"/>
        <v>0</v>
      </c>
      <c r="I2819" s="228"/>
      <c r="J2819" s="229"/>
      <c r="K2819" s="229"/>
      <c r="L2819" s="230"/>
      <c r="M2819" s="230">
        <f t="shared" si="330"/>
        <v>0</v>
      </c>
      <c r="N2819" s="381"/>
      <c r="O2819" s="381"/>
      <c r="P2819" s="381"/>
      <c r="Q2819" s="382">
        <f t="shared" si="331"/>
        <v>0</v>
      </c>
      <c r="R2819" s="231">
        <f t="shared" si="332"/>
        <v>0</v>
      </c>
      <c r="S2819" s="232"/>
      <c r="T2819" s="231">
        <f t="shared" si="333"/>
        <v>0</v>
      </c>
      <c r="U2819" s="231">
        <f t="shared" si="334"/>
        <v>0</v>
      </c>
      <c r="V2819" s="233"/>
      <c r="AA2819" s="234"/>
      <c r="AB2819" s="234"/>
      <c r="AN2819">
        <f t="shared" si="335"/>
        <v>0</v>
      </c>
      <c r="AO2819">
        <f t="shared" si="336"/>
        <v>0</v>
      </c>
    </row>
    <row r="2820" spans="1:41" customFormat="1" ht="15.75" x14ac:dyDescent="0.25">
      <c r="A2820" s="224"/>
      <c r="B2820" s="225"/>
      <c r="C2820" s="226"/>
      <c r="D2820" s="227"/>
      <c r="E2820" s="392"/>
      <c r="F2820" s="392"/>
      <c r="G2820" s="392"/>
      <c r="H2820" s="393">
        <f t="shared" si="329"/>
        <v>0</v>
      </c>
      <c r="I2820" s="228"/>
      <c r="J2820" s="229"/>
      <c r="K2820" s="229"/>
      <c r="L2820" s="230"/>
      <c r="M2820" s="230">
        <f t="shared" si="330"/>
        <v>0</v>
      </c>
      <c r="N2820" s="381"/>
      <c r="O2820" s="381"/>
      <c r="P2820" s="381"/>
      <c r="Q2820" s="382">
        <f t="shared" si="331"/>
        <v>0</v>
      </c>
      <c r="R2820" s="231">
        <f t="shared" si="332"/>
        <v>0</v>
      </c>
      <c r="S2820" s="232"/>
      <c r="T2820" s="231">
        <f t="shared" si="333"/>
        <v>0</v>
      </c>
      <c r="U2820" s="231">
        <f t="shared" si="334"/>
        <v>0</v>
      </c>
      <c r="V2820" s="233"/>
      <c r="AA2820" s="234"/>
      <c r="AB2820" s="234"/>
      <c r="AN2820">
        <f t="shared" si="335"/>
        <v>0</v>
      </c>
      <c r="AO2820">
        <f t="shared" si="336"/>
        <v>0</v>
      </c>
    </row>
    <row r="2821" spans="1:41" customFormat="1" ht="15.75" x14ac:dyDescent="0.25">
      <c r="A2821" s="224"/>
      <c r="B2821" s="225"/>
      <c r="C2821" s="226"/>
      <c r="D2821" s="227"/>
      <c r="E2821" s="392"/>
      <c r="F2821" s="392"/>
      <c r="G2821" s="392"/>
      <c r="H2821" s="393">
        <f t="shared" si="329"/>
        <v>0</v>
      </c>
      <c r="I2821" s="228"/>
      <c r="J2821" s="229"/>
      <c r="K2821" s="229"/>
      <c r="L2821" s="230"/>
      <c r="M2821" s="230">
        <f t="shared" si="330"/>
        <v>0</v>
      </c>
      <c r="N2821" s="381"/>
      <c r="O2821" s="381"/>
      <c r="P2821" s="381"/>
      <c r="Q2821" s="382">
        <f t="shared" si="331"/>
        <v>0</v>
      </c>
      <c r="R2821" s="231">
        <f t="shared" si="332"/>
        <v>0</v>
      </c>
      <c r="S2821" s="232"/>
      <c r="T2821" s="231">
        <f t="shared" si="333"/>
        <v>0</v>
      </c>
      <c r="U2821" s="231">
        <f t="shared" si="334"/>
        <v>0</v>
      </c>
      <c r="V2821" s="233"/>
      <c r="AA2821" s="234"/>
      <c r="AB2821" s="234"/>
      <c r="AN2821">
        <f t="shared" si="335"/>
        <v>0</v>
      </c>
      <c r="AO2821">
        <f t="shared" si="336"/>
        <v>0</v>
      </c>
    </row>
    <row r="2822" spans="1:41" customFormat="1" ht="15.75" x14ac:dyDescent="0.25">
      <c r="A2822" s="224"/>
      <c r="B2822" s="225"/>
      <c r="C2822" s="226"/>
      <c r="D2822" s="227"/>
      <c r="E2822" s="392"/>
      <c r="F2822" s="392"/>
      <c r="G2822" s="392"/>
      <c r="H2822" s="393">
        <f t="shared" si="329"/>
        <v>0</v>
      </c>
      <c r="I2822" s="228"/>
      <c r="J2822" s="229"/>
      <c r="K2822" s="229"/>
      <c r="L2822" s="230"/>
      <c r="M2822" s="230">
        <f t="shared" si="330"/>
        <v>0</v>
      </c>
      <c r="N2822" s="381"/>
      <c r="O2822" s="381"/>
      <c r="P2822" s="381"/>
      <c r="Q2822" s="382">
        <f t="shared" si="331"/>
        <v>0</v>
      </c>
      <c r="R2822" s="231">
        <f t="shared" si="332"/>
        <v>0</v>
      </c>
      <c r="S2822" s="232"/>
      <c r="T2822" s="231">
        <f t="shared" si="333"/>
        <v>0</v>
      </c>
      <c r="U2822" s="231">
        <f t="shared" si="334"/>
        <v>0</v>
      </c>
      <c r="V2822" s="233"/>
      <c r="AA2822" s="234"/>
      <c r="AB2822" s="234"/>
      <c r="AN2822">
        <f t="shared" si="335"/>
        <v>0</v>
      </c>
      <c r="AO2822">
        <f t="shared" si="336"/>
        <v>0</v>
      </c>
    </row>
    <row r="2823" spans="1:41" customFormat="1" ht="15.75" x14ac:dyDescent="0.25">
      <c r="A2823" s="224"/>
      <c r="B2823" s="225"/>
      <c r="C2823" s="226"/>
      <c r="D2823" s="227"/>
      <c r="E2823" s="392"/>
      <c r="F2823" s="392"/>
      <c r="G2823" s="392"/>
      <c r="H2823" s="393">
        <f t="shared" si="329"/>
        <v>0</v>
      </c>
      <c r="I2823" s="228"/>
      <c r="J2823" s="229"/>
      <c r="K2823" s="229"/>
      <c r="L2823" s="230"/>
      <c r="M2823" s="230">
        <f t="shared" si="330"/>
        <v>0</v>
      </c>
      <c r="N2823" s="381"/>
      <c r="O2823" s="381"/>
      <c r="P2823" s="381"/>
      <c r="Q2823" s="382">
        <f t="shared" si="331"/>
        <v>0</v>
      </c>
      <c r="R2823" s="231">
        <f t="shared" si="332"/>
        <v>0</v>
      </c>
      <c r="S2823" s="232"/>
      <c r="T2823" s="231">
        <f t="shared" si="333"/>
        <v>0</v>
      </c>
      <c r="U2823" s="231">
        <f t="shared" si="334"/>
        <v>0</v>
      </c>
      <c r="V2823" s="233"/>
      <c r="AA2823" s="234"/>
      <c r="AB2823" s="234"/>
      <c r="AN2823">
        <f t="shared" si="335"/>
        <v>0</v>
      </c>
      <c r="AO2823">
        <f t="shared" si="336"/>
        <v>0</v>
      </c>
    </row>
    <row r="2824" spans="1:41" customFormat="1" ht="15.75" x14ac:dyDescent="0.25">
      <c r="A2824" s="224"/>
      <c r="B2824" s="225"/>
      <c r="C2824" s="226"/>
      <c r="D2824" s="227"/>
      <c r="E2824" s="392"/>
      <c r="F2824" s="392"/>
      <c r="G2824" s="392"/>
      <c r="H2824" s="393">
        <f t="shared" si="329"/>
        <v>0</v>
      </c>
      <c r="I2824" s="228"/>
      <c r="J2824" s="229"/>
      <c r="K2824" s="229"/>
      <c r="L2824" s="230"/>
      <c r="M2824" s="230">
        <f t="shared" si="330"/>
        <v>0</v>
      </c>
      <c r="N2824" s="381"/>
      <c r="O2824" s="381"/>
      <c r="P2824" s="381"/>
      <c r="Q2824" s="382">
        <f t="shared" si="331"/>
        <v>0</v>
      </c>
      <c r="R2824" s="231">
        <f t="shared" si="332"/>
        <v>0</v>
      </c>
      <c r="S2824" s="232"/>
      <c r="T2824" s="231">
        <f t="shared" si="333"/>
        <v>0</v>
      </c>
      <c r="U2824" s="231">
        <f t="shared" si="334"/>
        <v>0</v>
      </c>
      <c r="V2824" s="233"/>
      <c r="AA2824" s="234"/>
      <c r="AB2824" s="234"/>
      <c r="AN2824">
        <f t="shared" si="335"/>
        <v>0</v>
      </c>
      <c r="AO2824">
        <f t="shared" si="336"/>
        <v>0</v>
      </c>
    </row>
    <row r="2825" spans="1:41" customFormat="1" ht="15.75" x14ac:dyDescent="0.25">
      <c r="A2825" s="224"/>
      <c r="B2825" s="225"/>
      <c r="C2825" s="226"/>
      <c r="D2825" s="227"/>
      <c r="E2825" s="392"/>
      <c r="F2825" s="392"/>
      <c r="G2825" s="392"/>
      <c r="H2825" s="393">
        <f t="shared" si="329"/>
        <v>0</v>
      </c>
      <c r="I2825" s="228"/>
      <c r="J2825" s="229"/>
      <c r="K2825" s="229"/>
      <c r="L2825" s="230"/>
      <c r="M2825" s="230">
        <f t="shared" si="330"/>
        <v>0</v>
      </c>
      <c r="N2825" s="381"/>
      <c r="O2825" s="381"/>
      <c r="P2825" s="381"/>
      <c r="Q2825" s="382">
        <f t="shared" si="331"/>
        <v>0</v>
      </c>
      <c r="R2825" s="231">
        <f t="shared" si="332"/>
        <v>0</v>
      </c>
      <c r="S2825" s="232"/>
      <c r="T2825" s="231">
        <f t="shared" si="333"/>
        <v>0</v>
      </c>
      <c r="U2825" s="231">
        <f t="shared" si="334"/>
        <v>0</v>
      </c>
      <c r="V2825" s="233"/>
      <c r="AA2825" s="234"/>
      <c r="AB2825" s="234"/>
      <c r="AN2825">
        <f t="shared" si="335"/>
        <v>0</v>
      </c>
      <c r="AO2825">
        <f t="shared" si="336"/>
        <v>0</v>
      </c>
    </row>
    <row r="2826" spans="1:41" customFormat="1" ht="15.75" x14ac:dyDescent="0.25">
      <c r="A2826" s="224"/>
      <c r="B2826" s="225"/>
      <c r="C2826" s="226"/>
      <c r="D2826" s="227"/>
      <c r="E2826" s="392"/>
      <c r="F2826" s="392"/>
      <c r="G2826" s="392"/>
      <c r="H2826" s="393">
        <f t="shared" si="329"/>
        <v>0</v>
      </c>
      <c r="I2826" s="228"/>
      <c r="J2826" s="229"/>
      <c r="K2826" s="229"/>
      <c r="L2826" s="230"/>
      <c r="M2826" s="230">
        <f t="shared" si="330"/>
        <v>0</v>
      </c>
      <c r="N2826" s="381"/>
      <c r="O2826" s="381"/>
      <c r="P2826" s="381"/>
      <c r="Q2826" s="382">
        <f t="shared" si="331"/>
        <v>0</v>
      </c>
      <c r="R2826" s="231">
        <f t="shared" si="332"/>
        <v>0</v>
      </c>
      <c r="S2826" s="232"/>
      <c r="T2826" s="231">
        <f t="shared" si="333"/>
        <v>0</v>
      </c>
      <c r="U2826" s="231">
        <f t="shared" si="334"/>
        <v>0</v>
      </c>
      <c r="V2826" s="233"/>
      <c r="AA2826" s="234"/>
      <c r="AB2826" s="234"/>
      <c r="AN2826">
        <f t="shared" si="335"/>
        <v>0</v>
      </c>
      <c r="AO2826">
        <f t="shared" si="336"/>
        <v>0</v>
      </c>
    </row>
    <row r="2827" spans="1:41" customFormat="1" ht="15.75" x14ac:dyDescent="0.25">
      <c r="A2827" s="224"/>
      <c r="B2827" s="225"/>
      <c r="C2827" s="226"/>
      <c r="D2827" s="227"/>
      <c r="E2827" s="392"/>
      <c r="F2827" s="392"/>
      <c r="G2827" s="392"/>
      <c r="H2827" s="393">
        <f t="shared" si="329"/>
        <v>0</v>
      </c>
      <c r="I2827" s="228"/>
      <c r="J2827" s="229"/>
      <c r="K2827" s="229"/>
      <c r="L2827" s="230"/>
      <c r="M2827" s="230">
        <f t="shared" si="330"/>
        <v>0</v>
      </c>
      <c r="N2827" s="381"/>
      <c r="O2827" s="381"/>
      <c r="P2827" s="381"/>
      <c r="Q2827" s="382">
        <f t="shared" si="331"/>
        <v>0</v>
      </c>
      <c r="R2827" s="231">
        <f t="shared" si="332"/>
        <v>0</v>
      </c>
      <c r="S2827" s="232"/>
      <c r="T2827" s="231">
        <f t="shared" si="333"/>
        <v>0</v>
      </c>
      <c r="U2827" s="231">
        <f t="shared" si="334"/>
        <v>0</v>
      </c>
      <c r="V2827" s="233"/>
      <c r="AA2827" s="234"/>
      <c r="AB2827" s="234"/>
      <c r="AN2827">
        <f t="shared" si="335"/>
        <v>0</v>
      </c>
      <c r="AO2827">
        <f t="shared" si="336"/>
        <v>0</v>
      </c>
    </row>
    <row r="2828" spans="1:41" customFormat="1" ht="15.75" x14ac:dyDescent="0.25">
      <c r="A2828" s="224"/>
      <c r="B2828" s="225"/>
      <c r="C2828" s="226"/>
      <c r="D2828" s="227"/>
      <c r="E2828" s="392"/>
      <c r="F2828" s="392"/>
      <c r="G2828" s="392"/>
      <c r="H2828" s="393">
        <f t="shared" si="329"/>
        <v>0</v>
      </c>
      <c r="I2828" s="228"/>
      <c r="J2828" s="229"/>
      <c r="K2828" s="229"/>
      <c r="L2828" s="230"/>
      <c r="M2828" s="230">
        <f t="shared" si="330"/>
        <v>0</v>
      </c>
      <c r="N2828" s="381"/>
      <c r="O2828" s="381"/>
      <c r="P2828" s="381"/>
      <c r="Q2828" s="382">
        <f t="shared" si="331"/>
        <v>0</v>
      </c>
      <c r="R2828" s="231">
        <f t="shared" si="332"/>
        <v>0</v>
      </c>
      <c r="S2828" s="232"/>
      <c r="T2828" s="231">
        <f t="shared" si="333"/>
        <v>0</v>
      </c>
      <c r="U2828" s="231">
        <f t="shared" si="334"/>
        <v>0</v>
      </c>
      <c r="V2828" s="233"/>
      <c r="AA2828" s="234"/>
      <c r="AB2828" s="234"/>
      <c r="AN2828">
        <f t="shared" si="335"/>
        <v>0</v>
      </c>
      <c r="AO2828">
        <f t="shared" si="336"/>
        <v>0</v>
      </c>
    </row>
    <row r="2829" spans="1:41" customFormat="1" ht="15.75" x14ac:dyDescent="0.25">
      <c r="A2829" s="224"/>
      <c r="B2829" s="225"/>
      <c r="C2829" s="226"/>
      <c r="D2829" s="227"/>
      <c r="E2829" s="392"/>
      <c r="F2829" s="392"/>
      <c r="G2829" s="392"/>
      <c r="H2829" s="393">
        <f t="shared" si="329"/>
        <v>0</v>
      </c>
      <c r="I2829" s="228"/>
      <c r="J2829" s="229"/>
      <c r="K2829" s="229"/>
      <c r="L2829" s="230"/>
      <c r="M2829" s="230">
        <f t="shared" si="330"/>
        <v>0</v>
      </c>
      <c r="N2829" s="381"/>
      <c r="O2829" s="381"/>
      <c r="P2829" s="381"/>
      <c r="Q2829" s="382">
        <f t="shared" si="331"/>
        <v>0</v>
      </c>
      <c r="R2829" s="231">
        <f t="shared" si="332"/>
        <v>0</v>
      </c>
      <c r="S2829" s="232"/>
      <c r="T2829" s="231">
        <f t="shared" si="333"/>
        <v>0</v>
      </c>
      <c r="U2829" s="231">
        <f t="shared" si="334"/>
        <v>0</v>
      </c>
      <c r="V2829" s="233"/>
      <c r="AA2829" s="234"/>
      <c r="AB2829" s="234"/>
      <c r="AN2829">
        <f t="shared" si="335"/>
        <v>0</v>
      </c>
      <c r="AO2829">
        <f t="shared" si="336"/>
        <v>0</v>
      </c>
    </row>
    <row r="2830" spans="1:41" customFormat="1" ht="15.75" x14ac:dyDescent="0.25">
      <c r="A2830" s="224"/>
      <c r="B2830" s="225"/>
      <c r="C2830" s="226"/>
      <c r="D2830" s="227"/>
      <c r="E2830" s="392"/>
      <c r="F2830" s="392"/>
      <c r="G2830" s="392"/>
      <c r="H2830" s="393">
        <f t="shared" si="329"/>
        <v>0</v>
      </c>
      <c r="I2830" s="228"/>
      <c r="J2830" s="229"/>
      <c r="K2830" s="229"/>
      <c r="L2830" s="230"/>
      <c r="M2830" s="230">
        <f t="shared" si="330"/>
        <v>0</v>
      </c>
      <c r="N2830" s="381"/>
      <c r="O2830" s="381"/>
      <c r="P2830" s="381"/>
      <c r="Q2830" s="382">
        <f t="shared" si="331"/>
        <v>0</v>
      </c>
      <c r="R2830" s="231">
        <f t="shared" si="332"/>
        <v>0</v>
      </c>
      <c r="S2830" s="232"/>
      <c r="T2830" s="231">
        <f t="shared" si="333"/>
        <v>0</v>
      </c>
      <c r="U2830" s="231">
        <f t="shared" si="334"/>
        <v>0</v>
      </c>
      <c r="V2830" s="233"/>
      <c r="AA2830" s="234"/>
      <c r="AB2830" s="234"/>
      <c r="AN2830">
        <f t="shared" si="335"/>
        <v>0</v>
      </c>
      <c r="AO2830">
        <f t="shared" si="336"/>
        <v>0</v>
      </c>
    </row>
    <row r="2831" spans="1:41" customFormat="1" ht="15.75" x14ac:dyDescent="0.25">
      <c r="A2831" s="224"/>
      <c r="B2831" s="225"/>
      <c r="C2831" s="226"/>
      <c r="D2831" s="227"/>
      <c r="E2831" s="392"/>
      <c r="F2831" s="392"/>
      <c r="G2831" s="392"/>
      <c r="H2831" s="393">
        <f t="shared" ref="H2831:H2852" si="337">+E2831+F2831+G2831</f>
        <v>0</v>
      </c>
      <c r="I2831" s="228"/>
      <c r="J2831" s="229"/>
      <c r="K2831" s="229"/>
      <c r="L2831" s="230"/>
      <c r="M2831" s="230">
        <f t="shared" ref="M2831:M2852" si="338">+L2831*C2831</f>
        <v>0</v>
      </c>
      <c r="N2831" s="381"/>
      <c r="O2831" s="381"/>
      <c r="P2831" s="381"/>
      <c r="Q2831" s="382">
        <f t="shared" ref="Q2831:Q2852" si="339">+N2831+O2831+P2831</f>
        <v>0</v>
      </c>
      <c r="R2831" s="231">
        <f t="shared" ref="R2831:R2852" si="340">IF(+Q2831-H2831&lt;=0,0,Q2831-H2831)</f>
        <v>0</v>
      </c>
      <c r="S2831" s="232"/>
      <c r="T2831" s="231">
        <f t="shared" ref="T2831:T2852" si="341">+(R2831*C2831)*S2831</f>
        <v>0</v>
      </c>
      <c r="U2831" s="231">
        <f t="shared" ref="U2831:U2852" si="342">+J2831+M2831+T2831</f>
        <v>0</v>
      </c>
      <c r="V2831" s="233"/>
      <c r="AA2831" s="234"/>
      <c r="AB2831" s="234"/>
      <c r="AN2831">
        <f t="shared" ref="AN2831:AN2852" si="343">IF(V2831="",0,MONTH(V2831))</f>
        <v>0</v>
      </c>
      <c r="AO2831">
        <f t="shared" ref="AO2831:AO2852" si="344">IF(V2831="",0,YEAR(V2831))</f>
        <v>0</v>
      </c>
    </row>
    <row r="2832" spans="1:41" customFormat="1" ht="15.75" x14ac:dyDescent="0.25">
      <c r="A2832" s="224"/>
      <c r="B2832" s="225"/>
      <c r="C2832" s="226"/>
      <c r="D2832" s="227"/>
      <c r="E2832" s="392"/>
      <c r="F2832" s="392"/>
      <c r="G2832" s="392"/>
      <c r="H2832" s="393">
        <f t="shared" si="337"/>
        <v>0</v>
      </c>
      <c r="I2832" s="228"/>
      <c r="J2832" s="229"/>
      <c r="K2832" s="229"/>
      <c r="L2832" s="230"/>
      <c r="M2832" s="230">
        <f t="shared" si="338"/>
        <v>0</v>
      </c>
      <c r="N2832" s="381"/>
      <c r="O2832" s="381"/>
      <c r="P2832" s="381"/>
      <c r="Q2832" s="382">
        <f t="shared" si="339"/>
        <v>0</v>
      </c>
      <c r="R2832" s="231">
        <f t="shared" si="340"/>
        <v>0</v>
      </c>
      <c r="S2832" s="232"/>
      <c r="T2832" s="231">
        <f t="shared" si="341"/>
        <v>0</v>
      </c>
      <c r="U2832" s="231">
        <f t="shared" si="342"/>
        <v>0</v>
      </c>
      <c r="V2832" s="233"/>
      <c r="AA2832" s="234"/>
      <c r="AB2832" s="234"/>
      <c r="AN2832">
        <f t="shared" si="343"/>
        <v>0</v>
      </c>
      <c r="AO2832">
        <f t="shared" si="344"/>
        <v>0</v>
      </c>
    </row>
    <row r="2833" spans="1:41" customFormat="1" ht="15.75" x14ac:dyDescent="0.25">
      <c r="A2833" s="224"/>
      <c r="B2833" s="225"/>
      <c r="C2833" s="226"/>
      <c r="D2833" s="227"/>
      <c r="E2833" s="392"/>
      <c r="F2833" s="392"/>
      <c r="G2833" s="392"/>
      <c r="H2833" s="393">
        <f t="shared" si="337"/>
        <v>0</v>
      </c>
      <c r="I2833" s="228"/>
      <c r="J2833" s="229"/>
      <c r="K2833" s="229"/>
      <c r="L2833" s="230"/>
      <c r="M2833" s="230">
        <f t="shared" si="338"/>
        <v>0</v>
      </c>
      <c r="N2833" s="381"/>
      <c r="O2833" s="381"/>
      <c r="P2833" s="381"/>
      <c r="Q2833" s="382">
        <f t="shared" si="339"/>
        <v>0</v>
      </c>
      <c r="R2833" s="231">
        <f t="shared" si="340"/>
        <v>0</v>
      </c>
      <c r="S2833" s="232"/>
      <c r="T2833" s="231">
        <f t="shared" si="341"/>
        <v>0</v>
      </c>
      <c r="U2833" s="231">
        <f t="shared" si="342"/>
        <v>0</v>
      </c>
      <c r="V2833" s="233"/>
      <c r="AA2833" s="234"/>
      <c r="AB2833" s="234"/>
      <c r="AN2833">
        <f t="shared" si="343"/>
        <v>0</v>
      </c>
      <c r="AO2833">
        <f t="shared" si="344"/>
        <v>0</v>
      </c>
    </row>
    <row r="2834" spans="1:41" customFormat="1" ht="15.75" x14ac:dyDescent="0.25">
      <c r="A2834" s="224"/>
      <c r="B2834" s="225"/>
      <c r="C2834" s="226"/>
      <c r="D2834" s="227"/>
      <c r="E2834" s="392"/>
      <c r="F2834" s="392"/>
      <c r="G2834" s="392"/>
      <c r="H2834" s="393">
        <f t="shared" si="337"/>
        <v>0</v>
      </c>
      <c r="I2834" s="228"/>
      <c r="J2834" s="229"/>
      <c r="K2834" s="229"/>
      <c r="L2834" s="230"/>
      <c r="M2834" s="230">
        <f t="shared" si="338"/>
        <v>0</v>
      </c>
      <c r="N2834" s="381"/>
      <c r="O2834" s="381"/>
      <c r="P2834" s="381"/>
      <c r="Q2834" s="382">
        <f t="shared" si="339"/>
        <v>0</v>
      </c>
      <c r="R2834" s="231">
        <f t="shared" si="340"/>
        <v>0</v>
      </c>
      <c r="S2834" s="232"/>
      <c r="T2834" s="231">
        <f t="shared" si="341"/>
        <v>0</v>
      </c>
      <c r="U2834" s="231">
        <f t="shared" si="342"/>
        <v>0</v>
      </c>
      <c r="V2834" s="233"/>
      <c r="AA2834" s="234"/>
      <c r="AB2834" s="234"/>
      <c r="AN2834">
        <f t="shared" si="343"/>
        <v>0</v>
      </c>
      <c r="AO2834">
        <f t="shared" si="344"/>
        <v>0</v>
      </c>
    </row>
    <row r="2835" spans="1:41" customFormat="1" ht="15.75" x14ac:dyDescent="0.25">
      <c r="A2835" s="224"/>
      <c r="B2835" s="225"/>
      <c r="C2835" s="226"/>
      <c r="D2835" s="227"/>
      <c r="E2835" s="392"/>
      <c r="F2835" s="392"/>
      <c r="G2835" s="392"/>
      <c r="H2835" s="393">
        <f t="shared" si="337"/>
        <v>0</v>
      </c>
      <c r="I2835" s="228"/>
      <c r="J2835" s="229"/>
      <c r="K2835" s="229"/>
      <c r="L2835" s="230"/>
      <c r="M2835" s="230">
        <f t="shared" si="338"/>
        <v>0</v>
      </c>
      <c r="N2835" s="381"/>
      <c r="O2835" s="381"/>
      <c r="P2835" s="381"/>
      <c r="Q2835" s="382">
        <f t="shared" si="339"/>
        <v>0</v>
      </c>
      <c r="R2835" s="231">
        <f t="shared" si="340"/>
        <v>0</v>
      </c>
      <c r="S2835" s="232"/>
      <c r="T2835" s="231">
        <f t="shared" si="341"/>
        <v>0</v>
      </c>
      <c r="U2835" s="231">
        <f t="shared" si="342"/>
        <v>0</v>
      </c>
      <c r="V2835" s="233"/>
      <c r="AA2835" s="234"/>
      <c r="AB2835" s="234"/>
      <c r="AN2835">
        <f t="shared" si="343"/>
        <v>0</v>
      </c>
      <c r="AO2835">
        <f t="shared" si="344"/>
        <v>0</v>
      </c>
    </row>
    <row r="2836" spans="1:41" customFormat="1" ht="15.75" x14ac:dyDescent="0.25">
      <c r="A2836" s="224"/>
      <c r="B2836" s="225"/>
      <c r="C2836" s="226"/>
      <c r="D2836" s="227"/>
      <c r="E2836" s="392"/>
      <c r="F2836" s="392"/>
      <c r="G2836" s="392"/>
      <c r="H2836" s="393">
        <f t="shared" si="337"/>
        <v>0</v>
      </c>
      <c r="I2836" s="228"/>
      <c r="J2836" s="229"/>
      <c r="K2836" s="229"/>
      <c r="L2836" s="230"/>
      <c r="M2836" s="230">
        <f t="shared" si="338"/>
        <v>0</v>
      </c>
      <c r="N2836" s="381"/>
      <c r="O2836" s="381"/>
      <c r="P2836" s="381"/>
      <c r="Q2836" s="382">
        <f t="shared" si="339"/>
        <v>0</v>
      </c>
      <c r="R2836" s="231">
        <f t="shared" si="340"/>
        <v>0</v>
      </c>
      <c r="S2836" s="232"/>
      <c r="T2836" s="231">
        <f t="shared" si="341"/>
        <v>0</v>
      </c>
      <c r="U2836" s="231">
        <f t="shared" si="342"/>
        <v>0</v>
      </c>
      <c r="V2836" s="233"/>
      <c r="AA2836" s="234"/>
      <c r="AB2836" s="234"/>
      <c r="AN2836">
        <f t="shared" si="343"/>
        <v>0</v>
      </c>
      <c r="AO2836">
        <f t="shared" si="344"/>
        <v>0</v>
      </c>
    </row>
    <row r="2837" spans="1:41" customFormat="1" ht="15.75" x14ac:dyDescent="0.25">
      <c r="A2837" s="224"/>
      <c r="B2837" s="225"/>
      <c r="C2837" s="226"/>
      <c r="D2837" s="227"/>
      <c r="E2837" s="392"/>
      <c r="F2837" s="392"/>
      <c r="G2837" s="392"/>
      <c r="H2837" s="393">
        <f t="shared" si="337"/>
        <v>0</v>
      </c>
      <c r="I2837" s="228"/>
      <c r="J2837" s="229"/>
      <c r="K2837" s="229"/>
      <c r="L2837" s="230"/>
      <c r="M2837" s="230">
        <f t="shared" si="338"/>
        <v>0</v>
      </c>
      <c r="N2837" s="381"/>
      <c r="O2837" s="381"/>
      <c r="P2837" s="381"/>
      <c r="Q2837" s="382">
        <f t="shared" si="339"/>
        <v>0</v>
      </c>
      <c r="R2837" s="231">
        <f t="shared" si="340"/>
        <v>0</v>
      </c>
      <c r="S2837" s="232"/>
      <c r="T2837" s="231">
        <f t="shared" si="341"/>
        <v>0</v>
      </c>
      <c r="U2837" s="231">
        <f t="shared" si="342"/>
        <v>0</v>
      </c>
      <c r="V2837" s="233"/>
      <c r="AA2837" s="234"/>
      <c r="AB2837" s="234"/>
      <c r="AN2837">
        <f t="shared" si="343"/>
        <v>0</v>
      </c>
      <c r="AO2837">
        <f t="shared" si="344"/>
        <v>0</v>
      </c>
    </row>
    <row r="2838" spans="1:41" customFormat="1" ht="15.75" x14ac:dyDescent="0.25">
      <c r="A2838" s="224"/>
      <c r="B2838" s="225"/>
      <c r="C2838" s="226"/>
      <c r="D2838" s="227"/>
      <c r="E2838" s="392"/>
      <c r="F2838" s="392"/>
      <c r="G2838" s="392"/>
      <c r="H2838" s="393">
        <f t="shared" si="337"/>
        <v>0</v>
      </c>
      <c r="I2838" s="228"/>
      <c r="J2838" s="229"/>
      <c r="K2838" s="229"/>
      <c r="L2838" s="230"/>
      <c r="M2838" s="230">
        <f t="shared" si="338"/>
        <v>0</v>
      </c>
      <c r="N2838" s="381"/>
      <c r="O2838" s="381"/>
      <c r="P2838" s="381"/>
      <c r="Q2838" s="382">
        <f t="shared" si="339"/>
        <v>0</v>
      </c>
      <c r="R2838" s="231">
        <f t="shared" si="340"/>
        <v>0</v>
      </c>
      <c r="S2838" s="232"/>
      <c r="T2838" s="231">
        <f t="shared" si="341"/>
        <v>0</v>
      </c>
      <c r="U2838" s="231">
        <f t="shared" si="342"/>
        <v>0</v>
      </c>
      <c r="V2838" s="233"/>
      <c r="AA2838" s="234"/>
      <c r="AB2838" s="234"/>
      <c r="AN2838">
        <f t="shared" si="343"/>
        <v>0</v>
      </c>
      <c r="AO2838">
        <f t="shared" si="344"/>
        <v>0</v>
      </c>
    </row>
    <row r="2839" spans="1:41" customFormat="1" ht="15.75" x14ac:dyDescent="0.25">
      <c r="A2839" s="224"/>
      <c r="B2839" s="225"/>
      <c r="C2839" s="226"/>
      <c r="D2839" s="227"/>
      <c r="E2839" s="392"/>
      <c r="F2839" s="392"/>
      <c r="G2839" s="392"/>
      <c r="H2839" s="393">
        <f t="shared" si="337"/>
        <v>0</v>
      </c>
      <c r="I2839" s="228"/>
      <c r="J2839" s="229"/>
      <c r="K2839" s="229"/>
      <c r="L2839" s="230"/>
      <c r="M2839" s="230">
        <f t="shared" si="338"/>
        <v>0</v>
      </c>
      <c r="N2839" s="381"/>
      <c r="O2839" s="381"/>
      <c r="P2839" s="381"/>
      <c r="Q2839" s="382">
        <f t="shared" si="339"/>
        <v>0</v>
      </c>
      <c r="R2839" s="231">
        <f t="shared" si="340"/>
        <v>0</v>
      </c>
      <c r="S2839" s="232"/>
      <c r="T2839" s="231">
        <f t="shared" si="341"/>
        <v>0</v>
      </c>
      <c r="U2839" s="231">
        <f t="shared" si="342"/>
        <v>0</v>
      </c>
      <c r="V2839" s="233"/>
      <c r="AA2839" s="234"/>
      <c r="AB2839" s="234"/>
      <c r="AN2839">
        <f t="shared" si="343"/>
        <v>0</v>
      </c>
      <c r="AO2839">
        <f t="shared" si="344"/>
        <v>0</v>
      </c>
    </row>
    <row r="2840" spans="1:41" customFormat="1" ht="15.75" x14ac:dyDescent="0.25">
      <c r="A2840" s="224"/>
      <c r="B2840" s="225"/>
      <c r="C2840" s="226"/>
      <c r="D2840" s="227"/>
      <c r="E2840" s="392"/>
      <c r="F2840" s="392"/>
      <c r="G2840" s="392"/>
      <c r="H2840" s="393">
        <f t="shared" si="337"/>
        <v>0</v>
      </c>
      <c r="I2840" s="228"/>
      <c r="J2840" s="229"/>
      <c r="K2840" s="229"/>
      <c r="L2840" s="230"/>
      <c r="M2840" s="230">
        <f t="shared" si="338"/>
        <v>0</v>
      </c>
      <c r="N2840" s="381"/>
      <c r="O2840" s="381"/>
      <c r="P2840" s="381"/>
      <c r="Q2840" s="382">
        <f t="shared" si="339"/>
        <v>0</v>
      </c>
      <c r="R2840" s="231">
        <f t="shared" si="340"/>
        <v>0</v>
      </c>
      <c r="S2840" s="232"/>
      <c r="T2840" s="231">
        <f t="shared" si="341"/>
        <v>0</v>
      </c>
      <c r="U2840" s="231">
        <f t="shared" si="342"/>
        <v>0</v>
      </c>
      <c r="V2840" s="233"/>
      <c r="AA2840" s="234"/>
      <c r="AB2840" s="234"/>
      <c r="AN2840">
        <f t="shared" si="343"/>
        <v>0</v>
      </c>
      <c r="AO2840">
        <f t="shared" si="344"/>
        <v>0</v>
      </c>
    </row>
    <row r="2841" spans="1:41" customFormat="1" ht="15.75" x14ac:dyDescent="0.25">
      <c r="A2841" s="224"/>
      <c r="B2841" s="225"/>
      <c r="C2841" s="226"/>
      <c r="D2841" s="227"/>
      <c r="E2841" s="392"/>
      <c r="F2841" s="392"/>
      <c r="G2841" s="392"/>
      <c r="H2841" s="393">
        <f t="shared" si="337"/>
        <v>0</v>
      </c>
      <c r="I2841" s="228"/>
      <c r="J2841" s="229"/>
      <c r="K2841" s="229"/>
      <c r="L2841" s="230"/>
      <c r="M2841" s="230">
        <f t="shared" si="338"/>
        <v>0</v>
      </c>
      <c r="N2841" s="381"/>
      <c r="O2841" s="381"/>
      <c r="P2841" s="381"/>
      <c r="Q2841" s="382">
        <f t="shared" si="339"/>
        <v>0</v>
      </c>
      <c r="R2841" s="231">
        <f t="shared" si="340"/>
        <v>0</v>
      </c>
      <c r="S2841" s="232"/>
      <c r="T2841" s="231">
        <f t="shared" si="341"/>
        <v>0</v>
      </c>
      <c r="U2841" s="231">
        <f t="shared" si="342"/>
        <v>0</v>
      </c>
      <c r="V2841" s="233"/>
      <c r="AA2841" s="234"/>
      <c r="AB2841" s="234"/>
      <c r="AN2841">
        <f t="shared" si="343"/>
        <v>0</v>
      </c>
      <c r="AO2841">
        <f t="shared" si="344"/>
        <v>0</v>
      </c>
    </row>
    <row r="2842" spans="1:41" customFormat="1" ht="15.75" x14ac:dyDescent="0.25">
      <c r="A2842" s="224"/>
      <c r="B2842" s="225"/>
      <c r="C2842" s="226"/>
      <c r="D2842" s="227"/>
      <c r="E2842" s="392"/>
      <c r="F2842" s="392"/>
      <c r="G2842" s="392"/>
      <c r="H2842" s="393">
        <f t="shared" si="337"/>
        <v>0</v>
      </c>
      <c r="I2842" s="228"/>
      <c r="J2842" s="229"/>
      <c r="K2842" s="229"/>
      <c r="L2842" s="230"/>
      <c r="M2842" s="230">
        <f t="shared" si="338"/>
        <v>0</v>
      </c>
      <c r="N2842" s="381"/>
      <c r="O2842" s="381"/>
      <c r="P2842" s="381"/>
      <c r="Q2842" s="382">
        <f t="shared" si="339"/>
        <v>0</v>
      </c>
      <c r="R2842" s="231">
        <f t="shared" si="340"/>
        <v>0</v>
      </c>
      <c r="S2842" s="232"/>
      <c r="T2842" s="231">
        <f t="shared" si="341"/>
        <v>0</v>
      </c>
      <c r="U2842" s="231">
        <f t="shared" si="342"/>
        <v>0</v>
      </c>
      <c r="V2842" s="233"/>
      <c r="AA2842" s="234"/>
      <c r="AB2842" s="234"/>
      <c r="AN2842">
        <f t="shared" si="343"/>
        <v>0</v>
      </c>
      <c r="AO2842">
        <f t="shared" si="344"/>
        <v>0</v>
      </c>
    </row>
    <row r="2843" spans="1:41" customFormat="1" ht="15.75" x14ac:dyDescent="0.25">
      <c r="A2843" s="224"/>
      <c r="B2843" s="225"/>
      <c r="C2843" s="226"/>
      <c r="D2843" s="227"/>
      <c r="E2843" s="392"/>
      <c r="F2843" s="392"/>
      <c r="G2843" s="392"/>
      <c r="H2843" s="393">
        <f t="shared" si="337"/>
        <v>0</v>
      </c>
      <c r="I2843" s="228"/>
      <c r="J2843" s="229"/>
      <c r="K2843" s="229"/>
      <c r="L2843" s="230"/>
      <c r="M2843" s="230">
        <f t="shared" si="338"/>
        <v>0</v>
      </c>
      <c r="N2843" s="381"/>
      <c r="O2843" s="381"/>
      <c r="P2843" s="381"/>
      <c r="Q2843" s="382">
        <f t="shared" si="339"/>
        <v>0</v>
      </c>
      <c r="R2843" s="231">
        <f t="shared" si="340"/>
        <v>0</v>
      </c>
      <c r="S2843" s="232"/>
      <c r="T2843" s="231">
        <f t="shared" si="341"/>
        <v>0</v>
      </c>
      <c r="U2843" s="231">
        <f t="shared" si="342"/>
        <v>0</v>
      </c>
      <c r="V2843" s="233"/>
      <c r="AA2843" s="234"/>
      <c r="AB2843" s="234"/>
      <c r="AN2843">
        <f t="shared" si="343"/>
        <v>0</v>
      </c>
      <c r="AO2843">
        <f t="shared" si="344"/>
        <v>0</v>
      </c>
    </row>
    <row r="2844" spans="1:41" customFormat="1" ht="15.75" x14ac:dyDescent="0.25">
      <c r="A2844" s="224"/>
      <c r="B2844" s="225"/>
      <c r="C2844" s="226"/>
      <c r="D2844" s="227"/>
      <c r="E2844" s="392"/>
      <c r="F2844" s="392"/>
      <c r="G2844" s="392"/>
      <c r="H2844" s="393">
        <f t="shared" si="337"/>
        <v>0</v>
      </c>
      <c r="I2844" s="228"/>
      <c r="J2844" s="229"/>
      <c r="K2844" s="229"/>
      <c r="L2844" s="230"/>
      <c r="M2844" s="230">
        <f t="shared" si="338"/>
        <v>0</v>
      </c>
      <c r="N2844" s="381"/>
      <c r="O2844" s="381"/>
      <c r="P2844" s="381"/>
      <c r="Q2844" s="382">
        <f t="shared" si="339"/>
        <v>0</v>
      </c>
      <c r="R2844" s="231">
        <f t="shared" si="340"/>
        <v>0</v>
      </c>
      <c r="S2844" s="232"/>
      <c r="T2844" s="231">
        <f t="shared" si="341"/>
        <v>0</v>
      </c>
      <c r="U2844" s="231">
        <f t="shared" si="342"/>
        <v>0</v>
      </c>
      <c r="V2844" s="233"/>
      <c r="AA2844" s="234"/>
      <c r="AB2844" s="234"/>
      <c r="AN2844">
        <f t="shared" si="343"/>
        <v>0</v>
      </c>
      <c r="AO2844">
        <f t="shared" si="344"/>
        <v>0</v>
      </c>
    </row>
    <row r="2845" spans="1:41" customFormat="1" ht="15.75" x14ac:dyDescent="0.25">
      <c r="A2845" s="224"/>
      <c r="B2845" s="225"/>
      <c r="C2845" s="226"/>
      <c r="D2845" s="227"/>
      <c r="E2845" s="392"/>
      <c r="F2845" s="392"/>
      <c r="G2845" s="392"/>
      <c r="H2845" s="393">
        <f t="shared" si="337"/>
        <v>0</v>
      </c>
      <c r="I2845" s="228"/>
      <c r="J2845" s="229"/>
      <c r="K2845" s="229"/>
      <c r="L2845" s="230"/>
      <c r="M2845" s="230">
        <f t="shared" si="338"/>
        <v>0</v>
      </c>
      <c r="N2845" s="381"/>
      <c r="O2845" s="381"/>
      <c r="P2845" s="381"/>
      <c r="Q2845" s="382">
        <f t="shared" si="339"/>
        <v>0</v>
      </c>
      <c r="R2845" s="231">
        <f t="shared" si="340"/>
        <v>0</v>
      </c>
      <c r="S2845" s="232"/>
      <c r="T2845" s="231">
        <f t="shared" si="341"/>
        <v>0</v>
      </c>
      <c r="U2845" s="231">
        <f t="shared" si="342"/>
        <v>0</v>
      </c>
      <c r="V2845" s="233"/>
      <c r="AA2845" s="234"/>
      <c r="AB2845" s="234"/>
      <c r="AN2845">
        <f t="shared" si="343"/>
        <v>0</v>
      </c>
      <c r="AO2845">
        <f t="shared" si="344"/>
        <v>0</v>
      </c>
    </row>
    <row r="2846" spans="1:41" customFormat="1" ht="15.75" x14ac:dyDescent="0.25">
      <c r="A2846" s="224"/>
      <c r="B2846" s="225"/>
      <c r="C2846" s="226"/>
      <c r="D2846" s="227"/>
      <c r="E2846" s="392"/>
      <c r="F2846" s="392"/>
      <c r="G2846" s="392"/>
      <c r="H2846" s="393">
        <f t="shared" si="337"/>
        <v>0</v>
      </c>
      <c r="I2846" s="228"/>
      <c r="J2846" s="229"/>
      <c r="K2846" s="229"/>
      <c r="L2846" s="230"/>
      <c r="M2846" s="230">
        <f t="shared" si="338"/>
        <v>0</v>
      </c>
      <c r="N2846" s="381"/>
      <c r="O2846" s="381"/>
      <c r="P2846" s="381"/>
      <c r="Q2846" s="382">
        <f t="shared" si="339"/>
        <v>0</v>
      </c>
      <c r="R2846" s="231">
        <f t="shared" si="340"/>
        <v>0</v>
      </c>
      <c r="S2846" s="232"/>
      <c r="T2846" s="231">
        <f t="shared" si="341"/>
        <v>0</v>
      </c>
      <c r="U2846" s="231">
        <f t="shared" si="342"/>
        <v>0</v>
      </c>
      <c r="V2846" s="233"/>
      <c r="AA2846" s="234"/>
      <c r="AB2846" s="234"/>
      <c r="AN2846">
        <f t="shared" si="343"/>
        <v>0</v>
      </c>
      <c r="AO2846">
        <f t="shared" si="344"/>
        <v>0</v>
      </c>
    </row>
    <row r="2847" spans="1:41" customFormat="1" ht="15.75" x14ac:dyDescent="0.25">
      <c r="A2847" s="224"/>
      <c r="B2847" s="225"/>
      <c r="C2847" s="226"/>
      <c r="D2847" s="227"/>
      <c r="E2847" s="392"/>
      <c r="F2847" s="392"/>
      <c r="G2847" s="392"/>
      <c r="H2847" s="393">
        <f t="shared" si="337"/>
        <v>0</v>
      </c>
      <c r="I2847" s="228"/>
      <c r="J2847" s="229"/>
      <c r="K2847" s="229"/>
      <c r="L2847" s="230"/>
      <c r="M2847" s="230">
        <f t="shared" si="338"/>
        <v>0</v>
      </c>
      <c r="N2847" s="381"/>
      <c r="O2847" s="381"/>
      <c r="P2847" s="381"/>
      <c r="Q2847" s="382">
        <f t="shared" si="339"/>
        <v>0</v>
      </c>
      <c r="R2847" s="231">
        <f t="shared" si="340"/>
        <v>0</v>
      </c>
      <c r="S2847" s="232"/>
      <c r="T2847" s="231">
        <f t="shared" si="341"/>
        <v>0</v>
      </c>
      <c r="U2847" s="231">
        <f t="shared" si="342"/>
        <v>0</v>
      </c>
      <c r="V2847" s="233"/>
      <c r="AA2847" s="234"/>
      <c r="AB2847" s="234"/>
      <c r="AN2847">
        <f t="shared" si="343"/>
        <v>0</v>
      </c>
      <c r="AO2847">
        <f t="shared" si="344"/>
        <v>0</v>
      </c>
    </row>
    <row r="2848" spans="1:41" customFormat="1" ht="15.75" x14ac:dyDescent="0.25">
      <c r="A2848" s="224"/>
      <c r="B2848" s="225"/>
      <c r="C2848" s="226"/>
      <c r="D2848" s="227"/>
      <c r="E2848" s="392"/>
      <c r="F2848" s="392"/>
      <c r="G2848" s="392"/>
      <c r="H2848" s="393">
        <f t="shared" si="337"/>
        <v>0</v>
      </c>
      <c r="I2848" s="228"/>
      <c r="J2848" s="229"/>
      <c r="K2848" s="229"/>
      <c r="L2848" s="230"/>
      <c r="M2848" s="230">
        <f t="shared" si="338"/>
        <v>0</v>
      </c>
      <c r="N2848" s="381"/>
      <c r="O2848" s="381"/>
      <c r="P2848" s="381"/>
      <c r="Q2848" s="382">
        <f t="shared" si="339"/>
        <v>0</v>
      </c>
      <c r="R2848" s="231">
        <f t="shared" si="340"/>
        <v>0</v>
      </c>
      <c r="S2848" s="232"/>
      <c r="T2848" s="231">
        <f t="shared" si="341"/>
        <v>0</v>
      </c>
      <c r="U2848" s="231">
        <f t="shared" si="342"/>
        <v>0</v>
      </c>
      <c r="V2848" s="233"/>
      <c r="AA2848" s="234"/>
      <c r="AB2848" s="234"/>
      <c r="AN2848">
        <f t="shared" si="343"/>
        <v>0</v>
      </c>
      <c r="AO2848">
        <f t="shared" si="344"/>
        <v>0</v>
      </c>
    </row>
    <row r="2849" spans="1:41" customFormat="1" ht="15.75" x14ac:dyDescent="0.25">
      <c r="A2849" s="224"/>
      <c r="B2849" s="225"/>
      <c r="C2849" s="226"/>
      <c r="D2849" s="227"/>
      <c r="E2849" s="392"/>
      <c r="F2849" s="392"/>
      <c r="G2849" s="392"/>
      <c r="H2849" s="393">
        <f t="shared" si="337"/>
        <v>0</v>
      </c>
      <c r="I2849" s="228"/>
      <c r="J2849" s="229"/>
      <c r="K2849" s="229"/>
      <c r="L2849" s="230"/>
      <c r="M2849" s="230">
        <f t="shared" si="338"/>
        <v>0</v>
      </c>
      <c r="N2849" s="381"/>
      <c r="O2849" s="381"/>
      <c r="P2849" s="381"/>
      <c r="Q2849" s="382">
        <f t="shared" si="339"/>
        <v>0</v>
      </c>
      <c r="R2849" s="231">
        <f t="shared" si="340"/>
        <v>0</v>
      </c>
      <c r="S2849" s="232"/>
      <c r="T2849" s="231">
        <f t="shared" si="341"/>
        <v>0</v>
      </c>
      <c r="U2849" s="231">
        <f t="shared" si="342"/>
        <v>0</v>
      </c>
      <c r="V2849" s="233"/>
      <c r="AA2849" s="234"/>
      <c r="AB2849" s="234"/>
      <c r="AN2849">
        <f t="shared" si="343"/>
        <v>0</v>
      </c>
      <c r="AO2849">
        <f t="shared" si="344"/>
        <v>0</v>
      </c>
    </row>
    <row r="2850" spans="1:41" customFormat="1" ht="15.75" x14ac:dyDescent="0.25">
      <c r="A2850" s="224"/>
      <c r="B2850" s="225"/>
      <c r="C2850" s="226"/>
      <c r="D2850" s="227"/>
      <c r="E2850" s="392"/>
      <c r="F2850" s="392"/>
      <c r="G2850" s="392"/>
      <c r="H2850" s="393">
        <f t="shared" si="337"/>
        <v>0</v>
      </c>
      <c r="I2850" s="228"/>
      <c r="J2850" s="229"/>
      <c r="K2850" s="229"/>
      <c r="L2850" s="230"/>
      <c r="M2850" s="230">
        <f t="shared" si="338"/>
        <v>0</v>
      </c>
      <c r="N2850" s="381"/>
      <c r="O2850" s="381"/>
      <c r="P2850" s="381"/>
      <c r="Q2850" s="382">
        <f t="shared" si="339"/>
        <v>0</v>
      </c>
      <c r="R2850" s="231">
        <f t="shared" si="340"/>
        <v>0</v>
      </c>
      <c r="S2850" s="232"/>
      <c r="T2850" s="231">
        <f t="shared" si="341"/>
        <v>0</v>
      </c>
      <c r="U2850" s="231">
        <f t="shared" si="342"/>
        <v>0</v>
      </c>
      <c r="V2850" s="233"/>
      <c r="AA2850" s="234"/>
      <c r="AB2850" s="234"/>
      <c r="AN2850">
        <f t="shared" si="343"/>
        <v>0</v>
      </c>
      <c r="AO2850">
        <f t="shared" si="344"/>
        <v>0</v>
      </c>
    </row>
    <row r="2851" spans="1:41" customFormat="1" ht="15.75" x14ac:dyDescent="0.25">
      <c r="A2851" s="224"/>
      <c r="B2851" s="225"/>
      <c r="C2851" s="226"/>
      <c r="D2851" s="227"/>
      <c r="E2851" s="392"/>
      <c r="F2851" s="392"/>
      <c r="G2851" s="392"/>
      <c r="H2851" s="393">
        <f t="shared" si="337"/>
        <v>0</v>
      </c>
      <c r="I2851" s="228"/>
      <c r="J2851" s="229"/>
      <c r="K2851" s="229"/>
      <c r="L2851" s="230"/>
      <c r="M2851" s="230">
        <f t="shared" si="338"/>
        <v>0</v>
      </c>
      <c r="N2851" s="381"/>
      <c r="O2851" s="381"/>
      <c r="P2851" s="381"/>
      <c r="Q2851" s="382">
        <f t="shared" si="339"/>
        <v>0</v>
      </c>
      <c r="R2851" s="231">
        <f t="shared" si="340"/>
        <v>0</v>
      </c>
      <c r="S2851" s="232"/>
      <c r="T2851" s="231">
        <f t="shared" si="341"/>
        <v>0</v>
      </c>
      <c r="U2851" s="231">
        <f t="shared" si="342"/>
        <v>0</v>
      </c>
      <c r="V2851" s="233"/>
      <c r="AA2851" s="234"/>
      <c r="AB2851" s="234"/>
      <c r="AN2851">
        <f t="shared" si="343"/>
        <v>0</v>
      </c>
      <c r="AO2851">
        <f t="shared" si="344"/>
        <v>0</v>
      </c>
    </row>
    <row r="2852" spans="1:41" customFormat="1" ht="15.75" x14ac:dyDescent="0.25">
      <c r="A2852" s="224"/>
      <c r="B2852" s="225"/>
      <c r="C2852" s="226"/>
      <c r="D2852" s="227"/>
      <c r="E2852" s="392"/>
      <c r="F2852" s="392"/>
      <c r="G2852" s="392"/>
      <c r="H2852" s="393">
        <f t="shared" si="337"/>
        <v>0</v>
      </c>
      <c r="I2852" s="228"/>
      <c r="J2852" s="229"/>
      <c r="K2852" s="229"/>
      <c r="L2852" s="230"/>
      <c r="M2852" s="230">
        <f t="shared" si="338"/>
        <v>0</v>
      </c>
      <c r="N2852" s="381"/>
      <c r="O2852" s="381"/>
      <c r="P2852" s="381"/>
      <c r="Q2852" s="382">
        <f t="shared" si="339"/>
        <v>0</v>
      </c>
      <c r="R2852" s="231">
        <f t="shared" si="340"/>
        <v>0</v>
      </c>
      <c r="S2852" s="232"/>
      <c r="T2852" s="231">
        <f t="shared" si="341"/>
        <v>0</v>
      </c>
      <c r="U2852" s="231">
        <f t="shared" si="342"/>
        <v>0</v>
      </c>
      <c r="V2852" s="233"/>
      <c r="AA2852" s="234"/>
      <c r="AB2852" s="234"/>
      <c r="AN2852">
        <f t="shared" si="343"/>
        <v>0</v>
      </c>
      <c r="AO2852">
        <f t="shared" si="344"/>
        <v>0</v>
      </c>
    </row>
    <row r="2853" spans="1:41" ht="16.5" thickBot="1" x14ac:dyDescent="0.3">
      <c r="A2853" s="253"/>
      <c r="B2853" s="254"/>
      <c r="C2853" s="255"/>
      <c r="D2853" s="256"/>
      <c r="E2853" s="257"/>
      <c r="F2853" s="257"/>
      <c r="G2853" s="257"/>
      <c r="H2853" s="258">
        <f t="shared" ref="H2853" si="345">+E2853+F2853+G2853</f>
        <v>0</v>
      </c>
      <c r="I2853" s="259"/>
      <c r="J2853" s="260"/>
      <c r="K2853" s="260"/>
      <c r="L2853" s="261">
        <v>0.1</v>
      </c>
      <c r="M2853" s="262">
        <f t="shared" ref="M2853" si="346">+L2853*C2853</f>
        <v>0</v>
      </c>
      <c r="N2853" s="261"/>
      <c r="O2853" s="261"/>
      <c r="P2853" s="261"/>
      <c r="Q2853" s="263">
        <f t="shared" ref="Q2853" si="347">+N2853+O2853+P2853</f>
        <v>0</v>
      </c>
      <c r="R2853" s="263">
        <f t="shared" ref="R2853" si="348">IF(+Q2853-H2853&lt;=0,0,Q2853-H2853)</f>
        <v>0</v>
      </c>
      <c r="S2853" s="264">
        <v>0.5</v>
      </c>
      <c r="T2853" s="263">
        <f t="shared" ref="T2853" si="349">+(R2853*C2853)*S2853</f>
        <v>0</v>
      </c>
      <c r="U2853" s="245">
        <f t="shared" ref="U2853" si="350">+J2853+M2853+T2853</f>
        <v>0</v>
      </c>
      <c r="V2853" s="265"/>
      <c r="AA2853" s="248">
        <f t="shared" ca="1" si="318"/>
        <v>46150</v>
      </c>
      <c r="AB2853" s="248" t="b">
        <f t="shared" ref="AB2853" si="351">ISBLANK(V2853)</f>
        <v>1</v>
      </c>
      <c r="AF2853" s="235">
        <f t="shared" ref="AF2853" si="352">WEEKNUM(V2853)</f>
        <v>0</v>
      </c>
      <c r="AG2853" s="235">
        <f t="shared" ref="AG2853" si="353">YEAR(V2853)</f>
        <v>1900</v>
      </c>
      <c r="AN2853" s="235">
        <f t="shared" ref="AN2853" si="354">IF(V2853="",0,MONTH(V2853))</f>
        <v>0</v>
      </c>
      <c r="AO2853" s="235">
        <f t="shared" ref="AO2853" si="355">IF(V2853="",0,YEAR(V2853))</f>
        <v>0</v>
      </c>
    </row>
    <row r="2854" spans="1:41" ht="16.5" thickBot="1" x14ac:dyDescent="0.3">
      <c r="A2854" s="266"/>
      <c r="B2854" s="397" t="s">
        <v>339</v>
      </c>
      <c r="C2854" s="267">
        <f>SUM(C7:C2853)</f>
        <v>45637.380000000012</v>
      </c>
      <c r="D2854" s="266"/>
      <c r="E2854" s="266"/>
      <c r="F2854" s="266"/>
      <c r="G2854" s="266"/>
      <c r="H2854" s="268"/>
      <c r="I2854" s="269"/>
      <c r="J2854" s="269"/>
      <c r="K2854" s="269"/>
      <c r="L2854" s="270"/>
      <c r="M2854" s="271">
        <f>SUM(M7:M2853)</f>
        <v>4563.7379999999994</v>
      </c>
      <c r="N2854" s="272"/>
      <c r="O2854" s="272"/>
      <c r="P2854" s="272"/>
      <c r="Q2854" s="270"/>
      <c r="R2854" s="270"/>
      <c r="S2854" s="270"/>
      <c r="T2854" s="270"/>
      <c r="U2854" s="273">
        <f>SUM(U7:U2853)</f>
        <v>14784.394800000009</v>
      </c>
    </row>
    <row r="2855" spans="1:41" ht="15.75" x14ac:dyDescent="0.25">
      <c r="A2855" s="266"/>
      <c r="B2855" s="266"/>
      <c r="C2855" s="274"/>
      <c r="D2855" s="266"/>
      <c r="E2855" s="266"/>
      <c r="F2855" s="266"/>
      <c r="G2855" s="266"/>
      <c r="H2855" s="275"/>
      <c r="I2855" s="269"/>
      <c r="J2855" s="269"/>
      <c r="K2855" s="269"/>
      <c r="L2855" s="270"/>
      <c r="M2855" s="270"/>
      <c r="N2855" s="270"/>
      <c r="O2855" s="270"/>
      <c r="P2855" s="270"/>
      <c r="Q2855" s="270"/>
      <c r="R2855" s="270"/>
      <c r="S2855" s="270"/>
      <c r="T2855" s="270"/>
      <c r="U2855" s="270"/>
    </row>
    <row r="2856" spans="1:41" ht="15.75" x14ac:dyDescent="0.25">
      <c r="A2856" s="266"/>
      <c r="B2856" s="266"/>
      <c r="C2856" s="274"/>
      <c r="D2856" s="266"/>
      <c r="E2856" s="266"/>
      <c r="F2856" s="266"/>
      <c r="G2856" s="266"/>
      <c r="H2856" s="275"/>
      <c r="I2856" s="269"/>
      <c r="J2856" s="269"/>
      <c r="K2856" s="269"/>
      <c r="L2856" s="270"/>
      <c r="M2856" s="270"/>
      <c r="N2856" s="270"/>
      <c r="O2856" s="270"/>
      <c r="P2856" s="270"/>
      <c r="Q2856" s="270"/>
      <c r="R2856" s="270"/>
      <c r="S2856" s="270"/>
      <c r="T2856" s="270"/>
      <c r="U2856" s="270"/>
      <c r="Z2856" s="276"/>
    </row>
    <row r="2857" spans="1:41" ht="16.5" thickBot="1" x14ac:dyDescent="0.3">
      <c r="A2857" s="266"/>
      <c r="B2857" s="266"/>
      <c r="C2857" s="274"/>
      <c r="D2857" s="266"/>
      <c r="E2857" s="266"/>
      <c r="F2857" s="266"/>
      <c r="G2857" s="266"/>
      <c r="H2857" s="275"/>
      <c r="I2857" s="269"/>
      <c r="J2857" s="269"/>
      <c r="K2857" s="269"/>
      <c r="L2857" s="270"/>
      <c r="M2857" s="270"/>
      <c r="N2857" s="270"/>
      <c r="O2857" s="270"/>
      <c r="P2857" s="270"/>
      <c r="Q2857" s="270"/>
      <c r="R2857" s="270"/>
      <c r="S2857" s="270"/>
      <c r="T2857" s="270"/>
      <c r="U2857" s="270"/>
    </row>
    <row r="2858" spans="1:41" ht="15.75" x14ac:dyDescent="0.25">
      <c r="A2858" s="266"/>
      <c r="B2858" s="277" t="s">
        <v>60</v>
      </c>
      <c r="C2858" s="278" t="s">
        <v>38</v>
      </c>
      <c r="D2858" s="279" t="s">
        <v>48</v>
      </c>
      <c r="E2858" s="279"/>
      <c r="F2858" s="279"/>
      <c r="G2858" s="279"/>
      <c r="H2858" s="280" t="s">
        <v>214</v>
      </c>
      <c r="I2858" s="281" t="s">
        <v>216</v>
      </c>
      <c r="J2858" s="269"/>
      <c r="K2858" s="269"/>
      <c r="L2858" s="270"/>
      <c r="M2858" s="270"/>
      <c r="N2858" s="270"/>
      <c r="O2858" s="270"/>
      <c r="P2858" s="270"/>
      <c r="Q2858" s="270"/>
      <c r="R2858" s="270"/>
      <c r="S2858" s="270"/>
      <c r="T2858" s="270"/>
      <c r="U2858" s="270"/>
    </row>
    <row r="2859" spans="1:41" ht="15.75" x14ac:dyDescent="0.25">
      <c r="A2859" s="266"/>
      <c r="B2859" s="282"/>
      <c r="C2859" s="283"/>
      <c r="D2859" s="284"/>
      <c r="E2859" s="284"/>
      <c r="F2859" s="284"/>
      <c r="G2859" s="284"/>
      <c r="H2859" s="285"/>
      <c r="I2859" s="286"/>
      <c r="J2859" s="287"/>
      <c r="K2859" s="287"/>
      <c r="L2859" s="270"/>
      <c r="M2859" s="270"/>
      <c r="N2859" s="270"/>
      <c r="O2859" s="270"/>
      <c r="P2859" s="270"/>
      <c r="Q2859" s="270"/>
      <c r="R2859" s="270"/>
      <c r="S2859" s="270"/>
      <c r="T2859" s="270"/>
      <c r="U2859" s="270"/>
    </row>
    <row r="2860" spans="1:41" ht="15.75" x14ac:dyDescent="0.25">
      <c r="A2860" s="266">
        <v>1</v>
      </c>
      <c r="B2860" s="288" t="s">
        <v>295</v>
      </c>
      <c r="C2860" s="289">
        <f>SUMIF($B$7:$B$2853,"Altrafo",$C$7:$C$2853)</f>
        <v>0</v>
      </c>
      <c r="D2860" s="290">
        <f>SUMIF($B$7:$B$2853,"Altrafo",$U$7:$U$2853)</f>
        <v>0</v>
      </c>
      <c r="E2860" s="290"/>
      <c r="F2860" s="290"/>
      <c r="G2860" s="290"/>
      <c r="H2860" s="291">
        <f>SUMIFS(U$7:U$2853,B$7:B$2853,"Altrafo",Y$7:Y$2853,"OK")</f>
        <v>0</v>
      </c>
      <c r="I2860" s="286"/>
      <c r="J2860" s="287"/>
      <c r="K2860" s="287"/>
      <c r="L2860" s="270"/>
      <c r="M2860" s="270"/>
      <c r="N2860" s="270"/>
      <c r="O2860" s="270"/>
      <c r="P2860" s="270"/>
      <c r="Q2860" s="270"/>
      <c r="R2860" s="270"/>
      <c r="S2860" s="270"/>
      <c r="T2860" s="270"/>
      <c r="U2860" s="270"/>
    </row>
    <row r="2861" spans="1:41" ht="15.75" x14ac:dyDescent="0.25">
      <c r="A2861" s="266">
        <f>+A2860+1</f>
        <v>2</v>
      </c>
      <c r="B2861" s="288" t="s">
        <v>276</v>
      </c>
      <c r="C2861" s="289">
        <f>SUMIF($B$7:$B$2853,"Avelto",$C$7:$C$2853)</f>
        <v>0</v>
      </c>
      <c r="D2861" s="290">
        <f>SUMIF($B$7:$B$2853,"Avelto",$U$7:$U$2853)</f>
        <v>0</v>
      </c>
      <c r="E2861" s="290"/>
      <c r="F2861" s="290"/>
      <c r="G2861" s="290"/>
      <c r="H2861" s="291">
        <f>SUMIFS(U$7:U$2853,B$7:B$2853,"Avelto",Y$7:Y$2853,"OK")</f>
        <v>0</v>
      </c>
      <c r="I2861" s="286"/>
      <c r="J2861" s="287"/>
      <c r="K2861" s="287"/>
      <c r="L2861" s="270"/>
      <c r="M2861" s="270"/>
      <c r="N2861" s="270"/>
      <c r="O2861" s="270"/>
      <c r="P2861" s="270"/>
      <c r="Q2861" s="270"/>
      <c r="R2861" s="270"/>
      <c r="S2861" s="270"/>
      <c r="T2861" s="270"/>
      <c r="U2861" s="270"/>
    </row>
    <row r="2862" spans="1:41" ht="15.75" x14ac:dyDescent="0.25">
      <c r="A2862" s="266"/>
      <c r="B2862" s="288" t="s">
        <v>324</v>
      </c>
      <c r="C2862" s="289">
        <f>SUMIF($B$7:$B$2853,"acm",$C$7:$C$2853)</f>
        <v>0</v>
      </c>
      <c r="D2862" s="290">
        <f>SUMIF($B$7:$B$2853,"Acm",$U$7:$U$2853)</f>
        <v>0</v>
      </c>
      <c r="E2862" s="290"/>
      <c r="F2862" s="290"/>
      <c r="G2862" s="290"/>
      <c r="H2862" s="291">
        <f>SUMIFS(U$7:U$2853,B$7:B$2853,"Acm",Y$7:Y$2853,"OK")</f>
        <v>0</v>
      </c>
      <c r="I2862" s="286"/>
      <c r="J2862" s="287"/>
      <c r="K2862" s="287"/>
      <c r="L2862" s="270"/>
      <c r="M2862" s="270"/>
      <c r="N2862" s="270"/>
      <c r="O2862" s="270"/>
      <c r="P2862" s="270"/>
      <c r="Q2862" s="270"/>
      <c r="R2862" s="270"/>
      <c r="S2862" s="270"/>
      <c r="T2862" s="270"/>
      <c r="U2862" s="270"/>
    </row>
    <row r="2863" spans="1:41" ht="15.75" x14ac:dyDescent="0.25">
      <c r="A2863" s="266"/>
      <c r="B2863" s="288" t="s">
        <v>322</v>
      </c>
      <c r="C2863" s="289">
        <f>SUMIF($B$7:$B$2853,"Banchi",$C$7:$C$2853)</f>
        <v>0</v>
      </c>
      <c r="D2863" s="290">
        <f>SUMIF($B$7:$B$2853,"Banchi",$U$7:$U$2853)</f>
        <v>0</v>
      </c>
      <c r="E2863" s="290"/>
      <c r="F2863" s="290"/>
      <c r="G2863" s="290"/>
      <c r="H2863" s="291">
        <f>SUMIFS(U$7:U$2853,B$7:B$2853,"Banchi",Y$7:Y$2853,"OK")</f>
        <v>0</v>
      </c>
      <c r="I2863" s="286"/>
      <c r="J2863" s="287"/>
      <c r="K2863" s="287"/>
      <c r="L2863" s="270"/>
      <c r="M2863" s="270"/>
      <c r="N2863" s="270"/>
      <c r="O2863" s="270"/>
      <c r="P2863" s="270"/>
      <c r="Q2863" s="270"/>
      <c r="R2863" s="270"/>
      <c r="S2863" s="270"/>
      <c r="T2863" s="270"/>
      <c r="U2863" s="270"/>
    </row>
    <row r="2864" spans="1:41" ht="15.75" x14ac:dyDescent="0.25">
      <c r="A2864" s="266"/>
      <c r="B2864" s="288" t="s">
        <v>321</v>
      </c>
      <c r="C2864" s="289">
        <f>SUMIF($B$7:$B$2853,"belelli",$C$7:$C$2853)</f>
        <v>0</v>
      </c>
      <c r="D2864" s="290">
        <f>SUMIF($B$7:$B$2853,"Belelli",$U$7:$U$2853)</f>
        <v>0</v>
      </c>
      <c r="E2864" s="290"/>
      <c r="F2864" s="290"/>
      <c r="G2864" s="290"/>
      <c r="H2864" s="291">
        <f>SUMIFS(U$7:U$2853,B$7:B$2853,"Belelli",Y$7:Y$2853,"OK")</f>
        <v>0</v>
      </c>
      <c r="I2864" s="286"/>
      <c r="J2864" s="287"/>
      <c r="K2864" s="287"/>
      <c r="L2864" s="270"/>
      <c r="M2864" s="270"/>
      <c r="N2864" s="270"/>
      <c r="O2864" s="270"/>
      <c r="P2864" s="270"/>
      <c r="Q2864" s="270"/>
      <c r="R2864" s="270"/>
      <c r="S2864" s="270"/>
      <c r="T2864" s="270"/>
      <c r="U2864" s="270"/>
    </row>
    <row r="2865" spans="1:21" ht="15.75" x14ac:dyDescent="0.25">
      <c r="A2865" s="266"/>
      <c r="B2865" s="288" t="s">
        <v>304</v>
      </c>
      <c r="C2865" s="289">
        <f>SUMIF($B$7:$B$2853,"bermar",$C$7:$C$2853)</f>
        <v>0</v>
      </c>
      <c r="D2865" s="290">
        <f>SUMIF($B$7:$B$2853,"bermar",$U$7:$U$2853)</f>
        <v>0</v>
      </c>
      <c r="E2865" s="290"/>
      <c r="F2865" s="290"/>
      <c r="G2865" s="290"/>
      <c r="H2865" s="291">
        <f>SUMIFS(U$7:U$2853,B$7:B$2853,"bermar",Y$7:Y$2853,"OK")</f>
        <v>0</v>
      </c>
      <c r="I2865" s="286"/>
      <c r="J2865" s="287"/>
      <c r="K2865" s="287"/>
      <c r="L2865" s="270"/>
      <c r="M2865" s="270"/>
      <c r="N2865" s="270"/>
      <c r="O2865" s="270"/>
      <c r="P2865" s="270"/>
      <c r="Q2865" s="270"/>
      <c r="R2865" s="270"/>
      <c r="S2865" s="270"/>
      <c r="T2865" s="270"/>
      <c r="U2865" s="270"/>
    </row>
    <row r="2866" spans="1:21" ht="15.75" x14ac:dyDescent="0.25">
      <c r="A2866" s="266">
        <f>+A2861+1</f>
        <v>3</v>
      </c>
      <c r="B2866" s="288" t="s">
        <v>280</v>
      </c>
      <c r="C2866" s="289">
        <f>SUMIF($B$7:$B$2853,"Brioschi",$C$7:$C$2853)</f>
        <v>0</v>
      </c>
      <c r="D2866" s="290">
        <f>SUMIF($B$7:$B$2853,"Brioschi",$U$7:$U$2853)</f>
        <v>0</v>
      </c>
      <c r="E2866" s="290"/>
      <c r="F2866" s="290"/>
      <c r="G2866" s="290"/>
      <c r="H2866" s="291">
        <f>SUMIFS(U$7:U$2853,B$7:B$2853,"Brioschi",Y$7:Y$2853,"OK")</f>
        <v>0</v>
      </c>
      <c r="I2866" s="286"/>
      <c r="J2866" s="287"/>
      <c r="K2866" s="287"/>
      <c r="L2866" s="270"/>
      <c r="M2866" s="270"/>
      <c r="N2866" s="270"/>
      <c r="O2866" s="270"/>
      <c r="P2866" s="270"/>
      <c r="Q2866" s="270"/>
      <c r="R2866" s="270"/>
      <c r="S2866" s="270"/>
      <c r="T2866" s="270"/>
      <c r="U2866" s="270"/>
    </row>
    <row r="2867" spans="1:21" ht="15.75" x14ac:dyDescent="0.25">
      <c r="A2867" s="266"/>
      <c r="B2867" s="288" t="s">
        <v>306</v>
      </c>
      <c r="C2867" s="289">
        <f>SUMIF($B$7:$B$2853,"cem",$C$7:$C$2853)</f>
        <v>0</v>
      </c>
      <c r="D2867" s="290">
        <f>SUMIF($B$7:$B$2853,"cem",$U$7:$U$2853)</f>
        <v>0</v>
      </c>
      <c r="E2867" s="290"/>
      <c r="F2867" s="290"/>
      <c r="G2867" s="290"/>
      <c r="H2867" s="291">
        <f>SUMIFS(U$7:U$2853,B$7:B$2853,"cem",Y$7:Y$2853,"OK")</f>
        <v>0</v>
      </c>
      <c r="I2867" s="286"/>
      <c r="J2867" s="287"/>
      <c r="K2867" s="287"/>
      <c r="L2867" s="270"/>
      <c r="M2867" s="270"/>
      <c r="N2867" s="270"/>
      <c r="O2867" s="270"/>
      <c r="P2867" s="270"/>
      <c r="Q2867" s="270"/>
      <c r="R2867" s="270"/>
      <c r="S2867" s="270"/>
      <c r="T2867" s="270"/>
      <c r="U2867" s="270"/>
    </row>
    <row r="2868" spans="1:21" ht="15.75" x14ac:dyDescent="0.25">
      <c r="A2868" s="266">
        <f>+A2866+1</f>
        <v>4</v>
      </c>
      <c r="B2868" s="288" t="s">
        <v>264</v>
      </c>
      <c r="C2868" s="292">
        <f>SUMIF($B$7:$B$2853,"Cemel",$C$7:$C$2853)</f>
        <v>0</v>
      </c>
      <c r="D2868" s="293">
        <f>SUMIF($B$7:$B$2853,"cemel",$U$7:$U$2853)</f>
        <v>0</v>
      </c>
      <c r="E2868" s="293"/>
      <c r="F2868" s="293"/>
      <c r="G2868" s="293"/>
      <c r="H2868" s="285">
        <f>SUMIFS(U$7:U$2853,B$7:B$2853,"cemel",Y$7:Y$2853,"OK")</f>
        <v>0</v>
      </c>
      <c r="I2868" s="286"/>
      <c r="J2868" s="287"/>
      <c r="K2868" s="287"/>
      <c r="L2868" s="270"/>
      <c r="M2868" s="270"/>
      <c r="N2868" s="270"/>
      <c r="O2868" s="270"/>
      <c r="P2868" s="270"/>
      <c r="Q2868" s="270"/>
      <c r="R2868" s="270"/>
      <c r="S2868" s="270"/>
      <c r="T2868" s="270"/>
      <c r="U2868" s="270"/>
    </row>
    <row r="2869" spans="1:21" ht="15.75" x14ac:dyDescent="0.25">
      <c r="A2869" s="266">
        <f t="shared" ref="A2869:A2906" si="356">+A2868+1</f>
        <v>5</v>
      </c>
      <c r="B2869" s="288" t="s">
        <v>269</v>
      </c>
      <c r="C2869" s="292">
        <f>SUMIF($B$7:$B$2853,"CTS",$C$7:$C$2853)</f>
        <v>0</v>
      </c>
      <c r="D2869" s="293">
        <f>SUMIF($B$7:$B$2853,"CTS",$U$7:$U$2853)</f>
        <v>0</v>
      </c>
      <c r="E2869" s="293"/>
      <c r="F2869" s="293"/>
      <c r="G2869" s="293"/>
      <c r="H2869" s="285">
        <f>SUMIFS(U$7:U$2853,B$7:B$2853,"CTS",Y$7:Y$2853,"OK")</f>
        <v>0</v>
      </c>
      <c r="I2869" s="286">
        <f>SUMIFS(C$7:C$2853,B$7:B$2853,"CTS",Y$7:Y$2853,"OK")</f>
        <v>0</v>
      </c>
      <c r="J2869" s="287"/>
      <c r="K2869" s="287"/>
      <c r="L2869" s="270"/>
      <c r="M2869" s="270"/>
      <c r="N2869" s="270"/>
      <c r="O2869" s="270"/>
      <c r="P2869" s="270"/>
      <c r="Q2869" s="270"/>
      <c r="R2869" s="270"/>
      <c r="S2869" s="270"/>
      <c r="T2869" s="270"/>
      <c r="U2869" s="270"/>
    </row>
    <row r="2870" spans="1:21" ht="15.75" x14ac:dyDescent="0.25">
      <c r="A2870" s="266">
        <f t="shared" si="356"/>
        <v>6</v>
      </c>
      <c r="B2870" s="288" t="s">
        <v>278</v>
      </c>
      <c r="C2870" s="292">
        <f>SUMIF($B$7:$B$2853,"DSR",$C$7:$C$2853)</f>
        <v>0</v>
      </c>
      <c r="D2870" s="293">
        <f>SUMIF($B$7:$B$2853,"DSR",$U$7:$U$2853)</f>
        <v>0</v>
      </c>
      <c r="E2870" s="293"/>
      <c r="F2870" s="293"/>
      <c r="G2870" s="293"/>
      <c r="H2870" s="285">
        <f>SUMIFS(U$7:U$2853,B$7:B$2853,"DSR",Y$7:Y$2853,"OK")</f>
        <v>0</v>
      </c>
      <c r="I2870" s="286"/>
      <c r="J2870" s="287"/>
      <c r="K2870" s="287"/>
      <c r="L2870" s="270"/>
      <c r="M2870" s="270"/>
      <c r="N2870" s="270"/>
      <c r="O2870" s="270"/>
      <c r="P2870" s="270"/>
      <c r="Q2870" s="270"/>
      <c r="R2870" s="270"/>
      <c r="S2870" s="270"/>
      <c r="T2870" s="270"/>
      <c r="U2870" s="270"/>
    </row>
    <row r="2871" spans="1:21" ht="15.75" x14ac:dyDescent="0.25">
      <c r="A2871" s="266">
        <f t="shared" si="356"/>
        <v>7</v>
      </c>
      <c r="B2871" s="288" t="s">
        <v>266</v>
      </c>
      <c r="C2871" s="292">
        <f>SUMIF($B$7:$B$2853,"ebg",$C$7:$C$2853)</f>
        <v>300</v>
      </c>
      <c r="D2871" s="293">
        <f>SUMIF($B$7:$B$2853,"ebg",$U$7:$U$2853)</f>
        <v>89.999999999999915</v>
      </c>
      <c r="E2871" s="293"/>
      <c r="F2871" s="293"/>
      <c r="G2871" s="293"/>
      <c r="H2871" s="285">
        <f>SUMIFS(U$7:U$2853,B$7:B$2853,"Ebg",Y$7:Y$2853,"OK")</f>
        <v>0</v>
      </c>
      <c r="I2871" s="286">
        <f>SUMIFS(C$7:C$2853,B$7:B$2853,"EBG",Y$7:Y$2853,"OK")</f>
        <v>0</v>
      </c>
      <c r="J2871" s="287"/>
      <c r="K2871" s="287"/>
      <c r="L2871" s="270"/>
      <c r="M2871" s="270"/>
      <c r="N2871" s="270"/>
      <c r="O2871" s="270"/>
      <c r="P2871" s="270"/>
      <c r="Q2871" s="270"/>
      <c r="R2871" s="270"/>
      <c r="S2871" s="270"/>
      <c r="T2871" s="270"/>
      <c r="U2871" s="270"/>
    </row>
    <row r="2872" spans="1:21" ht="15.75" x14ac:dyDescent="0.25">
      <c r="A2872" s="266"/>
      <c r="B2872" s="288" t="s">
        <v>307</v>
      </c>
      <c r="C2872" s="292">
        <f>SUMIF($B$7:$B$2853,"efc",$C$7:$C$2853)</f>
        <v>514.5</v>
      </c>
      <c r="D2872" s="293">
        <f>SUMIF($B$7:$B$2853,"efc",$U$7:$U$2853)</f>
        <v>126.94799999999998</v>
      </c>
      <c r="E2872" s="293"/>
      <c r="F2872" s="293"/>
      <c r="G2872" s="293"/>
      <c r="H2872" s="285">
        <f>SUMIFS(U$7:U$2853,B$7:B$2853,"Efc",Y$7:Y$2853,"OK")</f>
        <v>78.797999999999973</v>
      </c>
      <c r="I2872" s="286"/>
      <c r="J2872" s="287"/>
      <c r="K2872" s="287"/>
      <c r="L2872" s="270"/>
      <c r="M2872" s="270"/>
      <c r="N2872" s="270"/>
      <c r="O2872" s="270"/>
      <c r="P2872" s="270"/>
      <c r="Q2872" s="270"/>
      <c r="R2872" s="270"/>
      <c r="S2872" s="270"/>
      <c r="T2872" s="270"/>
      <c r="U2872" s="270"/>
    </row>
    <row r="2873" spans="1:21" ht="15.75" x14ac:dyDescent="0.25">
      <c r="A2873" s="266"/>
      <c r="B2873" s="288" t="s">
        <v>338</v>
      </c>
      <c r="C2873" s="292">
        <f>SUMIF($B$7:$B$2853,"elettromagneti",$C$7:$C$2853)</f>
        <v>0</v>
      </c>
      <c r="D2873" s="293">
        <f>SUMIF($B$7:$B$2853,"elettromagneti",$U$7:$U$2853)</f>
        <v>0</v>
      </c>
      <c r="E2873" s="293"/>
      <c r="F2873" s="293"/>
      <c r="G2873" s="293"/>
      <c r="H2873" s="285">
        <f>SUMIFS(U$7:U$2853,B$7:B$2853,"Elettromagneti",Y$7:Y$2853,"OK")</f>
        <v>0</v>
      </c>
      <c r="I2873" s="286"/>
      <c r="J2873" s="287"/>
      <c r="K2873" s="287"/>
      <c r="L2873" s="270"/>
      <c r="M2873" s="270"/>
      <c r="N2873" s="270"/>
      <c r="O2873" s="270"/>
      <c r="P2873" s="270"/>
      <c r="Q2873" s="270"/>
      <c r="R2873" s="270"/>
      <c r="S2873" s="270"/>
      <c r="T2873" s="270"/>
      <c r="U2873" s="270"/>
    </row>
    <row r="2874" spans="1:21" ht="15.75" x14ac:dyDescent="0.25">
      <c r="A2874" s="266">
        <f>+A2871+1</f>
        <v>8</v>
      </c>
      <c r="B2874" s="294" t="s">
        <v>262</v>
      </c>
      <c r="C2874" s="292">
        <f>SUMIF($B$7:$B$2853,"elettromil",$C$7:$C$2853)</f>
        <v>4090</v>
      </c>
      <c r="D2874" s="295">
        <f>SUMIF($B$7:$B$2853,"elettromil",$U$7:$U$2853)</f>
        <v>577.49999999999943</v>
      </c>
      <c r="E2874" s="295"/>
      <c r="F2874" s="295"/>
      <c r="G2874" s="295"/>
      <c r="H2874" s="285">
        <f>SUMIFS(U$7:U$2853,B$7:B$2853,"Elettromil",Y$7:Y$2853,"OK")</f>
        <v>0</v>
      </c>
      <c r="I2874" s="286">
        <f>SUMIFS(C$7:C$2853,B$7:B$2853,"ELETTROMIL",Y$7:Y$2853,"OK")</f>
        <v>0</v>
      </c>
      <c r="J2874" s="287"/>
      <c r="K2874" s="287"/>
      <c r="L2874" s="270"/>
      <c r="M2874" s="270"/>
      <c r="N2874" s="270"/>
      <c r="O2874" s="270"/>
      <c r="P2874" s="270"/>
      <c r="Q2874" s="270"/>
      <c r="R2874" s="270"/>
      <c r="S2874" s="270"/>
      <c r="T2874" s="270"/>
      <c r="U2874" s="270"/>
    </row>
    <row r="2875" spans="1:21" ht="15.75" x14ac:dyDescent="0.25">
      <c r="A2875" s="266">
        <f t="shared" si="356"/>
        <v>9</v>
      </c>
      <c r="B2875" s="294" t="s">
        <v>275</v>
      </c>
      <c r="C2875" s="296">
        <f>SUMIF($B$7:$B$2853,"elettromil sk",$C$7:$C$2853)</f>
        <v>0</v>
      </c>
      <c r="D2875" s="295">
        <f>SUMIF($B$7:$B$2853,"elettromil sk",$U$7:$U$2853)</f>
        <v>0</v>
      </c>
      <c r="E2875" s="295"/>
      <c r="F2875" s="295"/>
      <c r="G2875" s="295"/>
      <c r="H2875" s="285">
        <f>SUMIFS(U$7:U$2853,B$7:B$2853,"Elettromil sk",Y$7:Y$2853,"OK")</f>
        <v>0</v>
      </c>
      <c r="I2875" s="286"/>
      <c r="J2875" s="287"/>
      <c r="K2875" s="287"/>
      <c r="L2875" s="270"/>
      <c r="M2875" s="270"/>
      <c r="N2875" s="270"/>
      <c r="O2875" s="270"/>
      <c r="P2875" s="270"/>
      <c r="Q2875" s="270"/>
      <c r="R2875" s="270"/>
      <c r="S2875" s="270"/>
      <c r="T2875" s="270"/>
      <c r="U2875" s="270"/>
    </row>
    <row r="2876" spans="1:21" ht="15.75" x14ac:dyDescent="0.25">
      <c r="A2876" s="266">
        <f t="shared" si="356"/>
        <v>10</v>
      </c>
      <c r="B2876" s="294" t="s">
        <v>279</v>
      </c>
      <c r="C2876" s="296">
        <f>SUMIF($B$7:$B$2853,"elpicast",$C$7:$C$2853)</f>
        <v>0</v>
      </c>
      <c r="D2876" s="295">
        <f>SUMIF($B$7:$B$2853,"elpicast",$U$7:$U$2853)</f>
        <v>0</v>
      </c>
      <c r="E2876" s="295"/>
      <c r="F2876" s="295"/>
      <c r="G2876" s="295"/>
      <c r="H2876" s="285">
        <f>SUMIFS(U$7:U$2853,B$7:B$2853,"Elpicast",Y$7:Y$2853,"OK")</f>
        <v>0</v>
      </c>
      <c r="I2876" s="286"/>
      <c r="J2876" s="287"/>
      <c r="K2876" s="287"/>
      <c r="L2876" s="270"/>
      <c r="M2876" s="270"/>
      <c r="N2876" s="270"/>
      <c r="O2876" s="270"/>
      <c r="P2876" s="270"/>
      <c r="Q2876" s="270"/>
      <c r="R2876" s="270"/>
      <c r="S2876" s="270"/>
      <c r="T2876" s="270"/>
      <c r="U2876" s="270"/>
    </row>
    <row r="2877" spans="1:21" ht="15.75" x14ac:dyDescent="0.25">
      <c r="A2877" s="266">
        <f t="shared" si="356"/>
        <v>11</v>
      </c>
      <c r="B2877" s="294" t="s">
        <v>300</v>
      </c>
      <c r="C2877" s="296">
        <f>SUMIF($B$7:$B$2853,"espa",$C$7:$C$2853)</f>
        <v>0</v>
      </c>
      <c r="D2877" s="295">
        <f>SUMIF($B$7:$B$2853,"espa",$U$7:$U$2853)</f>
        <v>0</v>
      </c>
      <c r="E2877" s="295"/>
      <c r="F2877" s="295"/>
      <c r="G2877" s="295"/>
      <c r="H2877" s="285">
        <f>SUMIFS(U$7:U$2853,B$7:B$2853,"Espa",Y$7:Y$2853,"OK")</f>
        <v>0</v>
      </c>
      <c r="I2877" s="286"/>
      <c r="J2877" s="287"/>
      <c r="K2877" s="287"/>
      <c r="L2877" s="270"/>
      <c r="M2877" s="270"/>
      <c r="N2877" s="270"/>
      <c r="O2877" s="270"/>
      <c r="P2877" s="270"/>
      <c r="Q2877" s="270"/>
      <c r="R2877" s="270"/>
      <c r="S2877" s="270"/>
      <c r="T2877" s="270"/>
      <c r="U2877" s="270"/>
    </row>
    <row r="2878" spans="1:21" ht="15.75" x14ac:dyDescent="0.25">
      <c r="A2878" s="266">
        <f t="shared" si="356"/>
        <v>12</v>
      </c>
      <c r="B2878" s="294" t="s">
        <v>265</v>
      </c>
      <c r="C2878" s="296">
        <f>SUMIF($B$7:$B$2853,"ftm",$C$7:$C$2853)</f>
        <v>0</v>
      </c>
      <c r="D2878" s="295">
        <f>SUMIF($B$7:$B$2853,"ftm",$U$7:$U$2853)</f>
        <v>0</v>
      </c>
      <c r="E2878" s="295"/>
      <c r="F2878" s="295"/>
      <c r="G2878" s="295"/>
      <c r="H2878" s="285">
        <f>SUMIFS(U$7:U$2853,B$7:B$2853,"ftm",Y$7:Y$2853,"OK")</f>
        <v>0</v>
      </c>
      <c r="I2878" s="286">
        <f>SUMIFS(C$7:C$2853,B$7:B$2853,"ftm",Y$7:Y$2853,"OK")</f>
        <v>0</v>
      </c>
      <c r="J2878" s="287"/>
      <c r="K2878" s="287"/>
      <c r="L2878" s="270"/>
      <c r="M2878" s="270"/>
      <c r="N2878" s="270"/>
      <c r="O2878" s="270"/>
      <c r="P2878" s="270"/>
      <c r="Q2878" s="270"/>
      <c r="R2878" s="270"/>
      <c r="S2878" s="270"/>
      <c r="T2878" s="270"/>
      <c r="U2878" s="270"/>
    </row>
    <row r="2879" spans="1:21" ht="15.75" x14ac:dyDescent="0.25">
      <c r="A2879" s="266">
        <f t="shared" si="356"/>
        <v>13</v>
      </c>
      <c r="B2879" s="288" t="s">
        <v>255</v>
      </c>
      <c r="C2879" s="296">
        <f>SUMIF($B$7:$B$2853,"gauss",$C$7:$C$2853)</f>
        <v>3007.5200000000004</v>
      </c>
      <c r="D2879" s="295">
        <f>SUMIF($B$7:$B$2853,"gauss",$U$7:$U$2853)</f>
        <v>825.42199999999957</v>
      </c>
      <c r="E2879" s="295"/>
      <c r="F2879" s="295"/>
      <c r="G2879" s="295"/>
      <c r="H2879" s="285">
        <f>SUMIFS(U$7:U$2853,B$7:B$2853,"gauss",Y$7:Y$2853,"OK")</f>
        <v>587.13199999999995</v>
      </c>
      <c r="I2879" s="286">
        <f>SUMIFS(C$7:C$2853,B$7:B$2853,"gauss",Y$7:Y$2853,"OK")</f>
        <v>1785.52</v>
      </c>
      <c r="J2879" s="287"/>
      <c r="K2879" s="287"/>
      <c r="L2879" s="270"/>
      <c r="M2879" s="270"/>
      <c r="N2879" s="270"/>
      <c r="O2879" s="270"/>
      <c r="P2879" s="270"/>
      <c r="Q2879" s="270"/>
      <c r="R2879" s="270"/>
      <c r="S2879" s="270"/>
      <c r="T2879" s="270"/>
      <c r="U2879" s="270"/>
    </row>
    <row r="2880" spans="1:21" ht="15.75" x14ac:dyDescent="0.25">
      <c r="A2880" s="266">
        <f t="shared" si="356"/>
        <v>14</v>
      </c>
      <c r="B2880" s="288" t="s">
        <v>268</v>
      </c>
      <c r="C2880" s="296">
        <f>SUMIF($B$7:$B$2853,"gbe",$C$7:$C$2853)</f>
        <v>1900</v>
      </c>
      <c r="D2880" s="295">
        <f>SUMIF($B$7:$B$2853,"gbe",$U$7:$U$2853)</f>
        <v>724.99999999999977</v>
      </c>
      <c r="E2880" s="295"/>
      <c r="F2880" s="295"/>
      <c r="G2880" s="295"/>
      <c r="H2880" s="285">
        <f>SUMIFS(U$7:U$2853,B$7:B$2853,"gbe",Y$7:Y$2853,"OK")</f>
        <v>0</v>
      </c>
      <c r="I2880" s="286">
        <f>SUMIFS(C$7:C$2853,B$7:B$2853,"gbe",Y$7:Y$2853,"OK")</f>
        <v>0</v>
      </c>
      <c r="J2880" s="287"/>
      <c r="K2880" s="287"/>
      <c r="L2880" s="270"/>
      <c r="M2880" s="270"/>
      <c r="N2880" s="270"/>
      <c r="O2880" s="270"/>
      <c r="P2880" s="270"/>
      <c r="Q2880" s="270"/>
      <c r="R2880" s="270"/>
      <c r="S2880" s="270"/>
      <c r="T2880" s="270"/>
      <c r="U2880" s="270"/>
    </row>
    <row r="2881" spans="1:22" ht="15.75" x14ac:dyDescent="0.25">
      <c r="A2881" s="266"/>
      <c r="B2881" s="288" t="s">
        <v>346</v>
      </c>
      <c r="C2881" s="296">
        <f>SUMIF($B$7:$B$2853,"gen set",$C$7:$C$2853)</f>
        <v>164.96</v>
      </c>
      <c r="D2881" s="295">
        <f>SUMIF($B$7:$B$2853,"gen set",$U$7:$U$2853)</f>
        <v>81.230299999999943</v>
      </c>
      <c r="E2881" s="295"/>
      <c r="F2881" s="295"/>
      <c r="G2881" s="295"/>
      <c r="H2881" s="285">
        <f>SUMIFS(U$7:U$2853,B$7:B$2853,"gen set",Y$7:Y$2853,"OK")</f>
        <v>81.230299999999943</v>
      </c>
      <c r="I2881" s="286"/>
      <c r="J2881" s="287"/>
      <c r="K2881" s="287"/>
      <c r="L2881" s="270"/>
      <c r="M2881" s="270"/>
      <c r="N2881" s="270"/>
      <c r="O2881" s="270"/>
      <c r="P2881" s="270"/>
      <c r="Q2881" s="270"/>
      <c r="R2881" s="270"/>
      <c r="S2881" s="270"/>
      <c r="T2881" s="270"/>
      <c r="U2881" s="270"/>
    </row>
    <row r="2882" spans="1:22" ht="15.75" x14ac:dyDescent="0.25">
      <c r="A2882" s="266">
        <f>+A2880+1</f>
        <v>15</v>
      </c>
      <c r="B2882" s="288" t="s">
        <v>277</v>
      </c>
      <c r="C2882" s="296">
        <f>SUMIF($B$7:$B$2853,"gritti",$C$7:$C$2853)</f>
        <v>0</v>
      </c>
      <c r="D2882" s="295">
        <f>SUMIF($B$7:$B$2853,"gritti",$U$7:$U$2853)</f>
        <v>0</v>
      </c>
      <c r="E2882" s="295"/>
      <c r="F2882" s="295"/>
      <c r="G2882" s="295"/>
      <c r="H2882" s="285">
        <f>SUMIFS(U$7:U$2853,B$7:B$2853,"gritti",Y$7:Y$2853,"OK")</f>
        <v>0</v>
      </c>
      <c r="I2882" s="286">
        <f>SUMIFS(C$7:C$2853,B$7:B$2853,"gritti",Y$7:Y$2853,"OK")</f>
        <v>0</v>
      </c>
      <c r="J2882" s="287"/>
      <c r="K2882" s="287"/>
      <c r="L2882" s="270"/>
      <c r="M2882" s="270"/>
      <c r="N2882" s="270"/>
      <c r="O2882" s="270"/>
      <c r="P2882" s="270"/>
      <c r="Q2882" s="270"/>
      <c r="R2882" s="270"/>
      <c r="S2882" s="270"/>
      <c r="T2882" s="270"/>
      <c r="U2882" s="270"/>
    </row>
    <row r="2883" spans="1:22" ht="15.75" x14ac:dyDescent="0.25">
      <c r="A2883" s="266"/>
      <c r="B2883" s="288" t="s">
        <v>323</v>
      </c>
      <c r="C2883" s="296">
        <f>SUMIF($B$7:$B$2853,"Ice",$C$7:$C$2853)</f>
        <v>680</v>
      </c>
      <c r="D2883" s="295">
        <f>SUMIF($B$7:$B$2853,"Ice",$U$7:$U$2853)</f>
        <v>302.7000000000001</v>
      </c>
      <c r="E2883" s="295"/>
      <c r="F2883" s="295"/>
      <c r="G2883" s="295"/>
      <c r="H2883" s="285">
        <f>SUMIFS(U$7:U$2853,B$7:B$2853,"Ice",Y$7:Y$2853,"OK")</f>
        <v>0</v>
      </c>
      <c r="I2883" s="286"/>
      <c r="J2883" s="287"/>
      <c r="K2883" s="287"/>
      <c r="L2883" s="270"/>
      <c r="M2883" s="270"/>
      <c r="N2883" s="270"/>
      <c r="O2883" s="270"/>
      <c r="P2883" s="270"/>
      <c r="Q2883" s="270"/>
      <c r="R2883" s="270"/>
      <c r="S2883" s="270"/>
      <c r="T2883" s="270"/>
      <c r="U2883" s="270"/>
    </row>
    <row r="2884" spans="1:22" ht="15.75" x14ac:dyDescent="0.25">
      <c r="A2884" s="266"/>
      <c r="B2884" s="288" t="s">
        <v>325</v>
      </c>
      <c r="C2884" s="296">
        <f>SUMIF($B$7:$B$2853,"Intercoil",$C$7:$C$2853)</f>
        <v>0</v>
      </c>
      <c r="D2884" s="295">
        <f>SUMIF($B$7:$B$2853,"Intercoil",$U$7:$U$2853)</f>
        <v>0</v>
      </c>
      <c r="E2884" s="295"/>
      <c r="F2884" s="295"/>
      <c r="G2884" s="295"/>
      <c r="H2884" s="285">
        <f>SUMIFS(U$7:U$2853,B$7:B$2853,"Intercoil",Y$7:Y$2853,"OK")</f>
        <v>0</v>
      </c>
      <c r="I2884" s="286"/>
      <c r="J2884" s="287"/>
      <c r="K2884" s="287"/>
      <c r="L2884" s="270"/>
      <c r="M2884" s="270"/>
      <c r="N2884" s="270"/>
      <c r="O2884" s="270"/>
      <c r="P2884" s="270"/>
      <c r="Q2884" s="270"/>
      <c r="R2884" s="270"/>
      <c r="S2884" s="270"/>
      <c r="T2884" s="270"/>
      <c r="U2884" s="270"/>
    </row>
    <row r="2885" spans="1:22" ht="15.75" x14ac:dyDescent="0.25">
      <c r="A2885" s="266">
        <f>+A2882+1</f>
        <v>16</v>
      </c>
      <c r="B2885" s="294" t="s">
        <v>281</v>
      </c>
      <c r="C2885" s="296">
        <f>SUMIF($B$7:$B$2853,"intermagnetics",$C$7:$C$2853)</f>
        <v>1320</v>
      </c>
      <c r="D2885" s="295">
        <f>SUMIF($B$7:$B$2853,"intermagnetics",$U$7:$U$2853)</f>
        <v>870.09999999999957</v>
      </c>
      <c r="E2885" s="295"/>
      <c r="F2885" s="295"/>
      <c r="G2885" s="295"/>
      <c r="H2885" s="285">
        <f>SUMIFS(U$7:U$2853,B$7:B$2853,"Intermagnetics",Y$7:Y$2853,"OK")</f>
        <v>0</v>
      </c>
      <c r="I2885" s="286">
        <f>SUMIFS(C$7:C$2853,B$7:B$2853,"intermagnetics",Y$7:Y$2853,"OK")</f>
        <v>0</v>
      </c>
      <c r="J2885" s="287"/>
      <c r="K2885" s="287"/>
      <c r="L2885" s="270"/>
      <c r="M2885" s="270"/>
      <c r="N2885" s="270"/>
      <c r="O2885" s="270"/>
      <c r="P2885" s="270"/>
      <c r="Q2885" s="270"/>
      <c r="R2885" s="270"/>
      <c r="S2885" s="270"/>
      <c r="T2885" s="270"/>
      <c r="U2885" s="270"/>
      <c r="V2885" s="235">
        <f>SUMIF(V7:V2853,"",C7:C2853)</f>
        <v>15107.380000000001</v>
      </c>
    </row>
    <row r="2886" spans="1:22" ht="15.75" x14ac:dyDescent="0.25">
      <c r="A2886" s="266">
        <f t="shared" si="356"/>
        <v>17</v>
      </c>
      <c r="B2886" s="294" t="s">
        <v>272</v>
      </c>
      <c r="C2886" s="296">
        <f>SUMIF($B$7:$B$2853,"jara",$C$7:$C$2853)</f>
        <v>0</v>
      </c>
      <c r="D2886" s="295">
        <f>SUMIF($B$7:$B$2853,"jara",$U$7:$U$2853)</f>
        <v>0</v>
      </c>
      <c r="E2886" s="295"/>
      <c r="F2886" s="295"/>
      <c r="G2886" s="295"/>
      <c r="H2886" s="285">
        <f>SUMIFS(U$7:U$2853,B$7:B$2853,"jara",Y$7:Y$2853,"OK")</f>
        <v>0</v>
      </c>
      <c r="I2886" s="286">
        <f>SUMIFS(C$7:C$2853,B$7:B$2853,"jara",Y$7:Y$2853,"OK")</f>
        <v>0</v>
      </c>
      <c r="J2886" s="287"/>
      <c r="K2886" s="287"/>
      <c r="L2886" s="270"/>
      <c r="M2886" s="270"/>
      <c r="N2886" s="270"/>
      <c r="O2886" s="270"/>
      <c r="P2886" s="270"/>
      <c r="Q2886" s="270"/>
      <c r="R2886" s="270"/>
      <c r="S2886" s="270"/>
      <c r="T2886" s="270"/>
      <c r="U2886" s="270"/>
    </row>
    <row r="2887" spans="1:22" ht="15.75" x14ac:dyDescent="0.25">
      <c r="A2887" s="266">
        <f t="shared" si="356"/>
        <v>18</v>
      </c>
      <c r="B2887" s="294" t="s">
        <v>270</v>
      </c>
      <c r="C2887" s="296">
        <f>SUMIF($B$7:$B$2853,"lef",$C$7:$C$2853)</f>
        <v>9790</v>
      </c>
      <c r="D2887" s="295">
        <f>SUMIF($B$7:$B$2853,"lef",$U$7:$U$2853)</f>
        <v>3406.5</v>
      </c>
      <c r="E2887" s="295"/>
      <c r="F2887" s="295"/>
      <c r="G2887" s="295"/>
      <c r="H2887" s="285">
        <f>SUMIFS(U$7:U$2853,B$7:B$2853,"lef",Y$7:Y$2853,"OK")</f>
        <v>0</v>
      </c>
      <c r="I2887" s="286">
        <f>SUMIFS(C$7:C$2853,B$7:B$2853,"lef",Y$7:Y$2853,"OK")</f>
        <v>0</v>
      </c>
      <c r="J2887" s="287"/>
      <c r="K2887" s="287"/>
      <c r="L2887" s="270"/>
      <c r="M2887" s="270"/>
      <c r="N2887" s="270"/>
      <c r="O2887" s="270"/>
      <c r="P2887" s="270"/>
      <c r="Q2887" s="270"/>
      <c r="R2887" s="270"/>
      <c r="S2887" s="270"/>
      <c r="T2887" s="270"/>
      <c r="U2887" s="270"/>
    </row>
    <row r="2888" spans="1:22" ht="15.75" x14ac:dyDescent="0.25">
      <c r="A2888" s="266">
        <f t="shared" si="356"/>
        <v>19</v>
      </c>
      <c r="B2888" s="294" t="s">
        <v>299</v>
      </c>
      <c r="C2888" s="296">
        <f>SUMIF($B$7:$B$2853,"lo spaccio",$C$7:$C$2853)</f>
        <v>0</v>
      </c>
      <c r="D2888" s="295">
        <f>SUMIF($B$7:$B$2853,"lo spaccio",$U$7:$U$2853)</f>
        <v>0</v>
      </c>
      <c r="E2888" s="295"/>
      <c r="F2888" s="295"/>
      <c r="G2888" s="295"/>
      <c r="H2888" s="285">
        <f>SUMIFS(U$7:U$2853,B$7:B$2853,"lo spaccio",Y$7:Y$2853,"OK")</f>
        <v>0</v>
      </c>
      <c r="I2888" s="286"/>
      <c r="J2888" s="287"/>
      <c r="K2888" s="287"/>
      <c r="L2888" s="270"/>
      <c r="M2888" s="270"/>
      <c r="N2888" s="270"/>
      <c r="O2888" s="270"/>
      <c r="P2888" s="270"/>
      <c r="Q2888" s="270"/>
      <c r="R2888" s="270"/>
      <c r="S2888" s="270"/>
      <c r="T2888" s="270"/>
      <c r="U2888" s="270"/>
    </row>
    <row r="2889" spans="1:22" ht="15.75" x14ac:dyDescent="0.25">
      <c r="A2889" s="266"/>
      <c r="B2889" s="294" t="s">
        <v>320</v>
      </c>
      <c r="C2889" s="296">
        <f>SUMIF($B$7:$B$2853,"madim",$C$7:$C$2853)</f>
        <v>0</v>
      </c>
      <c r="D2889" s="295">
        <f>SUMIF($B$7:$B$2853,"madim",$U$7:$U$2853)</f>
        <v>0</v>
      </c>
      <c r="E2889" s="295"/>
      <c r="F2889" s="295"/>
      <c r="G2889" s="295"/>
      <c r="H2889" s="285">
        <f>SUMIFS(U$7:U$2853,B$7:B$2853,"madim",Y$7:Y$2853,"OK")</f>
        <v>0</v>
      </c>
      <c r="I2889" s="286"/>
      <c r="J2889" s="287"/>
      <c r="K2889" s="287"/>
      <c r="L2889" s="270"/>
      <c r="M2889" s="270"/>
      <c r="N2889" s="270"/>
      <c r="O2889" s="270"/>
      <c r="P2889" s="270"/>
      <c r="Q2889" s="270"/>
      <c r="R2889" s="270"/>
      <c r="S2889" s="270"/>
      <c r="T2889" s="270"/>
      <c r="U2889" s="270"/>
    </row>
    <row r="2890" spans="1:22" ht="15.75" x14ac:dyDescent="0.25">
      <c r="A2890" s="266">
        <f>+A2888+1</f>
        <v>20</v>
      </c>
      <c r="B2890" s="294" t="s">
        <v>260</v>
      </c>
      <c r="C2890" s="292">
        <f>SUMIF($B$7:$B$2853,"Mec",$C$7:$C$2853)</f>
        <v>195</v>
      </c>
      <c r="D2890" s="297">
        <f>SUMIF($B$7:$B$2853,"Mec",$U$7:$U$2853)</f>
        <v>70.225000000000051</v>
      </c>
      <c r="E2890" s="297"/>
      <c r="F2890" s="297"/>
      <c r="G2890" s="297"/>
      <c r="H2890" s="285">
        <f>SUMIFS(U$7:U$2853,B$7:B$2853,"Mec",Y$7:Y$2853,"OK")</f>
        <v>0</v>
      </c>
      <c r="I2890" s="298">
        <f>SUMIFS(C$7:C$2853,B$7:B$2853,"mec",Y$7:Y$2853,"OK")</f>
        <v>0</v>
      </c>
      <c r="J2890" s="287"/>
      <c r="K2890" s="287"/>
      <c r="L2890" s="270"/>
      <c r="M2890" s="270"/>
      <c r="N2890" s="270"/>
      <c r="O2890" s="270"/>
      <c r="P2890" s="270"/>
      <c r="Q2890" s="270"/>
      <c r="R2890" s="270"/>
      <c r="S2890" s="270"/>
      <c r="T2890" s="270"/>
      <c r="U2890" s="270"/>
      <c r="V2890" s="276">
        <f>+C2854-V2885</f>
        <v>30530.000000000011</v>
      </c>
    </row>
    <row r="2891" spans="1:22" ht="15.75" x14ac:dyDescent="0.25">
      <c r="A2891" s="266">
        <f t="shared" si="356"/>
        <v>21</v>
      </c>
      <c r="B2891" s="294" t="s">
        <v>298</v>
      </c>
      <c r="C2891" s="292">
        <f>SUMIF($B$7:$B$2853,"Merx",$C$7:$C$2853)</f>
        <v>0</v>
      </c>
      <c r="D2891" s="297">
        <f>SUMIF($B$7:$B$2853,"Merx",$U$7:$U$2853)</f>
        <v>0</v>
      </c>
      <c r="E2891" s="297"/>
      <c r="F2891" s="297"/>
      <c r="G2891" s="297"/>
      <c r="H2891" s="285">
        <f>SUMIFS(U$7:U$2853,B$7:B$2853,"Merx",Y$7:Y$2853,"OK")</f>
        <v>0</v>
      </c>
      <c r="I2891" s="298"/>
      <c r="J2891" s="287"/>
      <c r="K2891" s="287"/>
      <c r="L2891" s="270"/>
      <c r="M2891" s="270"/>
      <c r="N2891" s="270"/>
      <c r="O2891" s="270"/>
      <c r="P2891" s="270"/>
      <c r="Q2891" s="270"/>
      <c r="R2891" s="270"/>
      <c r="S2891" s="270"/>
      <c r="T2891" s="270"/>
      <c r="U2891" s="270"/>
      <c r="V2891" s="276"/>
    </row>
    <row r="2892" spans="1:22" ht="15.75" x14ac:dyDescent="0.25">
      <c r="A2892" s="266">
        <f t="shared" si="356"/>
        <v>22</v>
      </c>
      <c r="B2892" s="294" t="s">
        <v>297</v>
      </c>
      <c r="C2892" s="292">
        <f>SUMIF($B$7:$B$2853,"Mgs",$C$7:$C$2853)</f>
        <v>0</v>
      </c>
      <c r="D2892" s="297">
        <f>SUMIF($B$7:$B$2853,"Mgs",$U$7:$U$2853)</f>
        <v>0</v>
      </c>
      <c r="E2892" s="297"/>
      <c r="F2892" s="297"/>
      <c r="G2892" s="297"/>
      <c r="H2892" s="285">
        <f>SUMIFS(U$7:U$2853,B$7:B$2853,"Mgs",Y$7:Y$2853,"OK")</f>
        <v>0</v>
      </c>
      <c r="I2892" s="298"/>
      <c r="J2892" s="287"/>
      <c r="K2892" s="287"/>
      <c r="L2892" s="270"/>
      <c r="M2892" s="270"/>
      <c r="N2892" s="270"/>
      <c r="O2892" s="270"/>
      <c r="P2892" s="270"/>
      <c r="Q2892" s="270"/>
      <c r="R2892" s="270"/>
      <c r="S2892" s="270"/>
      <c r="T2892" s="270"/>
      <c r="U2892" s="270"/>
      <c r="V2892" s="276"/>
    </row>
    <row r="2893" spans="1:22" ht="15.75" x14ac:dyDescent="0.25">
      <c r="A2893" s="266"/>
      <c r="B2893" s="294" t="s">
        <v>340</v>
      </c>
      <c r="C2893" s="292">
        <f>SUMIF($B$7:$B$2853,"Minimotor",$C$7:$C$2853)</f>
        <v>125.25</v>
      </c>
      <c r="D2893" s="297">
        <f>SUMIF($B$7:$B$2853,"Minimotor",$U$7:$U$2853)</f>
        <v>43.567000000000121</v>
      </c>
      <c r="E2893" s="297"/>
      <c r="F2893" s="297"/>
      <c r="G2893" s="297"/>
      <c r="H2893" s="285">
        <f>SUMIFS(U$7:U$2853,B$7:B$2853,"Minimotor",Y$7:Y$2853,"OK")</f>
        <v>43.567000000000121</v>
      </c>
      <c r="I2893" s="298"/>
      <c r="J2893" s="287"/>
      <c r="K2893" s="287"/>
      <c r="L2893" s="270"/>
      <c r="M2893" s="270"/>
      <c r="N2893" s="270"/>
      <c r="O2893" s="270"/>
      <c r="P2893" s="270"/>
      <c r="Q2893" s="270"/>
      <c r="R2893" s="270"/>
      <c r="S2893" s="270"/>
      <c r="T2893" s="270"/>
      <c r="U2893" s="270"/>
      <c r="V2893" s="276"/>
    </row>
    <row r="2894" spans="1:22" ht="15" customHeight="1" x14ac:dyDescent="0.25">
      <c r="A2894" s="266">
        <f>+A2892+1</f>
        <v>23</v>
      </c>
      <c r="B2894" s="294" t="s">
        <v>102</v>
      </c>
      <c r="C2894" s="292">
        <f>SUMIF($B$7:$B$2853,"Newton",$C$7:$C$2853)</f>
        <v>12420.150000000001</v>
      </c>
      <c r="D2894" s="297">
        <f>SUMIF($B$7:$B$2853,"NewTon",$U$7:$U$2853)</f>
        <v>4102.0525000000007</v>
      </c>
      <c r="E2894" s="297"/>
      <c r="F2894" s="297"/>
      <c r="G2894" s="297"/>
      <c r="H2894" s="285">
        <f>SUMIFS(U$7:U$2853,B$7:B$2853,"Newton",Y$7:Y$2853,"OK")</f>
        <v>917.05250000000001</v>
      </c>
      <c r="I2894" s="298">
        <f>SUMIFS(C$7:C$2853,B$7:B$2853,"Newton",Y$7:Y$2853,"OK")</f>
        <v>2620.15</v>
      </c>
      <c r="J2894" s="287"/>
      <c r="K2894" s="287"/>
      <c r="L2894" s="270"/>
      <c r="M2894" s="270"/>
      <c r="N2894" s="270"/>
      <c r="O2894" s="270"/>
      <c r="P2894" s="270"/>
      <c r="Q2894" s="270"/>
      <c r="R2894" s="270"/>
      <c r="S2894" s="270"/>
      <c r="T2894" s="270"/>
      <c r="U2894" s="270"/>
      <c r="V2894" s="276"/>
    </row>
    <row r="2895" spans="1:22" ht="15" customHeight="1" x14ac:dyDescent="0.25">
      <c r="A2895" s="266"/>
      <c r="B2895" s="294" t="s">
        <v>305</v>
      </c>
      <c r="C2895" s="292">
        <f>SUMIF($B$7:$B$2853,"NUOVA",$C$7:$C$2853)</f>
        <v>0</v>
      </c>
      <c r="D2895" s="297">
        <f>SUMIF($B$7:$B$2853,"NUOVA",$U$7:$U$2853)</f>
        <v>0</v>
      </c>
      <c r="E2895" s="297"/>
      <c r="F2895" s="297"/>
      <c r="G2895" s="297"/>
      <c r="H2895" s="285">
        <f>SUMIFS(U$7:U$2853,B$7:B$2853,"NUOVA",Y$7:Y$2853,"OK")</f>
        <v>0</v>
      </c>
      <c r="I2895" s="298"/>
      <c r="J2895" s="287"/>
      <c r="K2895" s="287"/>
      <c r="L2895" s="270"/>
      <c r="M2895" s="270"/>
      <c r="N2895" s="270"/>
      <c r="O2895" s="270"/>
      <c r="P2895" s="270"/>
      <c r="Q2895" s="270"/>
      <c r="R2895" s="270"/>
      <c r="S2895" s="270"/>
      <c r="T2895" s="270"/>
      <c r="U2895" s="270"/>
      <c r="V2895" s="276"/>
    </row>
    <row r="2896" spans="1:22" ht="15.75" x14ac:dyDescent="0.25">
      <c r="A2896" s="266">
        <f>+A2894+1</f>
        <v>24</v>
      </c>
      <c r="B2896" s="294" t="s">
        <v>271</v>
      </c>
      <c r="C2896" s="292">
        <f>SUMIF($B$7:$B$2853,"Power",$C$7:$C$2853)</f>
        <v>0</v>
      </c>
      <c r="D2896" s="297">
        <f>SUMIF($B$7:$B$2853,"Power",$U$7:$U$2853)</f>
        <v>0</v>
      </c>
      <c r="E2896" s="297"/>
      <c r="F2896" s="297"/>
      <c r="G2896" s="297"/>
      <c r="H2896" s="285">
        <f>SUMIFS(U$7:U$2853,B$7:B$2853,"power",Y$7:Y$2853,"OK")</f>
        <v>0</v>
      </c>
      <c r="I2896" s="298">
        <f>SUMIFS(C$7:C$2853,B$7:B$2853,"power",Y$7:Y$2853,"OK")</f>
        <v>0</v>
      </c>
      <c r="J2896" s="287"/>
      <c r="K2896" s="287"/>
      <c r="L2896" s="270"/>
      <c r="M2896" s="270"/>
      <c r="N2896" s="270"/>
      <c r="O2896" s="270"/>
      <c r="P2896" s="270"/>
      <c r="Q2896" s="270"/>
      <c r="R2896" s="270"/>
      <c r="S2896" s="270"/>
      <c r="T2896" s="270"/>
      <c r="U2896" s="270"/>
      <c r="V2896" s="276"/>
    </row>
    <row r="2897" spans="1:22" ht="15.75" x14ac:dyDescent="0.25">
      <c r="A2897" s="266"/>
      <c r="B2897" s="294" t="s">
        <v>327</v>
      </c>
      <c r="C2897" s="292">
        <f>SUMIF($B$7:$B$2853,"re italo",$C$7:$C$2853)</f>
        <v>0</v>
      </c>
      <c r="D2897" s="297">
        <f>SUMIF($B$7:$B$2853,"re italo",$U$7:$U$2853)</f>
        <v>0</v>
      </c>
      <c r="E2897" s="297"/>
      <c r="F2897" s="297"/>
      <c r="G2897" s="297"/>
      <c r="H2897" s="285">
        <f>SUMIFS(U$7:U$2853,B$7:B$2853,"re italo",Y$7:Y$2853,"OK")</f>
        <v>0</v>
      </c>
      <c r="I2897" s="298"/>
      <c r="J2897" s="287"/>
      <c r="K2897" s="287"/>
      <c r="L2897" s="270"/>
      <c r="M2897" s="270"/>
      <c r="N2897" s="270"/>
      <c r="O2897" s="270"/>
      <c r="P2897" s="270"/>
      <c r="Q2897" s="270"/>
      <c r="R2897" s="270"/>
      <c r="S2897" s="270"/>
      <c r="T2897" s="270"/>
      <c r="U2897" s="270"/>
      <c r="V2897" s="276"/>
    </row>
    <row r="2898" spans="1:22" ht="15.75" x14ac:dyDescent="0.25">
      <c r="A2898" s="266"/>
      <c r="B2898" s="294" t="s">
        <v>303</v>
      </c>
      <c r="C2898" s="292">
        <f>SUMIF($B$7:$B$2853,"Robotti",$C$7:$C$2853)</f>
        <v>0</v>
      </c>
      <c r="D2898" s="297">
        <f>SUMIF($B$7:$B$2853,"robotti",$U$7:$U$2853)</f>
        <v>0</v>
      </c>
      <c r="E2898" s="297"/>
      <c r="F2898" s="297"/>
      <c r="G2898" s="297"/>
      <c r="H2898" s="285">
        <f>SUMIFS(U$7:U$2853,B$7:B$2853,"robotti",Y$7:Y$2853,"OK")</f>
        <v>0</v>
      </c>
      <c r="I2898" s="298"/>
      <c r="J2898" s="287"/>
      <c r="K2898" s="287"/>
      <c r="L2898" s="270"/>
      <c r="M2898" s="270"/>
      <c r="N2898" s="270"/>
      <c r="O2898" s="270"/>
      <c r="P2898" s="270"/>
      <c r="Q2898" s="270"/>
      <c r="R2898" s="270"/>
      <c r="S2898" s="270"/>
      <c r="T2898" s="270"/>
      <c r="U2898" s="270"/>
      <c r="V2898" s="276"/>
    </row>
    <row r="2899" spans="1:22" ht="15.75" x14ac:dyDescent="0.25">
      <c r="A2899" s="266"/>
      <c r="B2899" s="294" t="s">
        <v>302</v>
      </c>
      <c r="C2899" s="292">
        <f>SUMIF($B$7:$B$2853,"sea",$C$7:$C$2853)</f>
        <v>7650</v>
      </c>
      <c r="D2899" s="297">
        <f>SUMIF($B$7:$B$2853,"sea",$U$7:$U$2853)</f>
        <v>2598.7500000000005</v>
      </c>
      <c r="E2899" s="297"/>
      <c r="F2899" s="297"/>
      <c r="G2899" s="297"/>
      <c r="H2899" s="285">
        <f>SUMIFS(U$7:U$2853,B$7:B$2853,"sea",Y$7:Y$2853,"OK")</f>
        <v>0</v>
      </c>
      <c r="I2899" s="298"/>
      <c r="J2899" s="287"/>
      <c r="K2899" s="287"/>
      <c r="L2899" s="270"/>
      <c r="M2899" s="270"/>
      <c r="N2899" s="270"/>
      <c r="O2899" s="270"/>
      <c r="P2899" s="270"/>
      <c r="Q2899" s="270"/>
      <c r="R2899" s="270"/>
      <c r="S2899" s="270"/>
      <c r="T2899" s="270"/>
      <c r="U2899" s="270"/>
      <c r="V2899" s="276"/>
    </row>
    <row r="2900" spans="1:22" ht="15.75" x14ac:dyDescent="0.25">
      <c r="A2900" s="266">
        <f>+A2896+1</f>
        <v>25</v>
      </c>
      <c r="B2900" s="294" t="s">
        <v>263</v>
      </c>
      <c r="C2900" s="292">
        <f>SUMIF($B$7:$B$2853,"sgm",$C$7:$C$2853)</f>
        <v>2800</v>
      </c>
      <c r="D2900" s="297">
        <f>SUMIF($B$7:$B$2853,"sgm",$U$7:$U$2853)</f>
        <v>774.00000000000045</v>
      </c>
      <c r="E2900" s="297"/>
      <c r="F2900" s="297"/>
      <c r="G2900" s="297"/>
      <c r="H2900" s="285">
        <f>SUMIFS(U$7:U$2853,B$7:B$2853,"SGM",Y$7:Y$2853,"OK")</f>
        <v>0</v>
      </c>
      <c r="I2900" s="298">
        <f>SUMIFS(C$7:C$2853,B$7:B$2853,"sgm",Y$7:Y$2853,"OK")</f>
        <v>0</v>
      </c>
      <c r="J2900" s="287"/>
      <c r="K2900" s="287"/>
      <c r="L2900" s="270"/>
      <c r="M2900" s="270"/>
      <c r="N2900" s="270"/>
      <c r="O2900" s="270"/>
      <c r="P2900" s="270"/>
      <c r="Q2900" s="270"/>
      <c r="R2900" s="270"/>
      <c r="S2900" s="270"/>
      <c r="T2900" s="270"/>
      <c r="U2900" s="270"/>
    </row>
    <row r="2901" spans="1:22" ht="15.75" x14ac:dyDescent="0.25">
      <c r="A2901" s="266">
        <f t="shared" si="356"/>
        <v>26</v>
      </c>
      <c r="B2901" s="299" t="s">
        <v>274</v>
      </c>
      <c r="C2901" s="292">
        <f>SUMIF($B$7:$B$2853,"tesar",$C$7:$C$2853)</f>
        <v>0</v>
      </c>
      <c r="D2901" s="297">
        <f>SUMIF($B$7:$B$2853,"tesar",$U$7:$U$2853)</f>
        <v>0</v>
      </c>
      <c r="E2901" s="297"/>
      <c r="F2901" s="297"/>
      <c r="G2901" s="297"/>
      <c r="H2901" s="285">
        <f>SUMIFS(U$7:U$2853,B$7:B$2853,"tesar",Y$7:Y$2853,"OK")</f>
        <v>0</v>
      </c>
      <c r="I2901" s="298"/>
      <c r="J2901" s="287"/>
      <c r="K2901" s="287"/>
      <c r="L2901" s="270"/>
      <c r="M2901" s="270"/>
      <c r="N2901" s="270"/>
      <c r="O2901" s="270"/>
      <c r="P2901" s="270"/>
      <c r="Q2901" s="270"/>
      <c r="R2901" s="270"/>
      <c r="S2901" s="270"/>
      <c r="T2901" s="270"/>
      <c r="U2901" s="270"/>
    </row>
    <row r="2902" spans="1:22" ht="15.75" x14ac:dyDescent="0.25">
      <c r="A2902" s="266">
        <f t="shared" si="356"/>
        <v>27</v>
      </c>
      <c r="B2902" s="299" t="s">
        <v>261</v>
      </c>
      <c r="C2902" s="292">
        <f>SUMIF($B$7:$B$2853,"Tmc",$C$7:$C$2853)</f>
        <v>0</v>
      </c>
      <c r="D2902" s="297">
        <f>SUMIF($B$7:$B$2853,"Tmc",$U$7:$U$2853)</f>
        <v>0</v>
      </c>
      <c r="E2902" s="297"/>
      <c r="F2902" s="297"/>
      <c r="G2902" s="297"/>
      <c r="H2902" s="285">
        <f>SUMIFS(U$7:U$2853,B$7:B$2853,"Tmc",Y$7:Y$2853,"OK")</f>
        <v>0</v>
      </c>
      <c r="I2902" s="298">
        <f>SUMIFS(C$7:C$2853,B$7:B$2853,"tmc",Y$7:Y$2853,"OK")</f>
        <v>0</v>
      </c>
      <c r="J2902" s="287"/>
      <c r="K2902" s="287"/>
      <c r="L2902" s="270"/>
      <c r="M2902" s="270"/>
      <c r="N2902" s="270"/>
      <c r="O2902" s="270"/>
      <c r="P2902" s="270"/>
      <c r="Q2902" s="270"/>
      <c r="R2902" s="270"/>
      <c r="S2902" s="270"/>
      <c r="T2902" s="270"/>
      <c r="U2902" s="270"/>
    </row>
    <row r="2903" spans="1:22" ht="15.75" x14ac:dyDescent="0.25">
      <c r="A2903" s="266">
        <f t="shared" si="356"/>
        <v>28</v>
      </c>
      <c r="B2903" s="299" t="s">
        <v>301</v>
      </c>
      <c r="C2903" s="292">
        <f>SUMIF($B$7:$B$2853,"Trafocoop",$C$7:$C$2853)</f>
        <v>0</v>
      </c>
      <c r="D2903" s="297">
        <f>SUMIF($B$7:$B$2853,"Trafocoop",$U$7:$U$2853)</f>
        <v>0</v>
      </c>
      <c r="E2903" s="297"/>
      <c r="F2903" s="297"/>
      <c r="G2903" s="297"/>
      <c r="H2903" s="285">
        <f>SUMIFS(U$7:U$2853,B$7:B$2853,"Trafocoop",Y$7:Y$2853,"OK")</f>
        <v>0</v>
      </c>
      <c r="I2903" s="298"/>
      <c r="J2903" s="287"/>
      <c r="K2903" s="287"/>
      <c r="L2903" s="270"/>
      <c r="M2903" s="270"/>
      <c r="N2903" s="270"/>
      <c r="O2903" s="270"/>
      <c r="P2903" s="270"/>
      <c r="Q2903" s="270"/>
      <c r="R2903" s="270"/>
      <c r="S2903" s="270"/>
      <c r="T2903" s="270"/>
      <c r="U2903" s="270"/>
    </row>
    <row r="2904" spans="1:22" ht="15.75" x14ac:dyDescent="0.25">
      <c r="A2904" s="266">
        <f t="shared" si="356"/>
        <v>29</v>
      </c>
      <c r="B2904" s="299" t="s">
        <v>294</v>
      </c>
      <c r="C2904" s="292">
        <f>SUMIF($B$7:$B$2853,"Trasfem",$C$7:$C$2853)</f>
        <v>0</v>
      </c>
      <c r="D2904" s="297">
        <f>SUMIF($B$7:$B$2853,"Trasafem",$U$7:$U$2853)</f>
        <v>0</v>
      </c>
      <c r="E2904" s="297"/>
      <c r="F2904" s="297"/>
      <c r="G2904" s="297"/>
      <c r="H2904" s="285">
        <f>SUMIFS(U$7:U$2853,B$7:B$2853,"Trasfem",Y$7:Y$2853,"OK")</f>
        <v>0</v>
      </c>
      <c r="I2904" s="298"/>
      <c r="J2904" s="287"/>
      <c r="K2904" s="287"/>
      <c r="L2904" s="270"/>
      <c r="M2904" s="270"/>
      <c r="N2904" s="270"/>
      <c r="O2904" s="270"/>
      <c r="P2904" s="270"/>
      <c r="Q2904" s="270"/>
      <c r="R2904" s="270"/>
      <c r="S2904" s="270"/>
      <c r="T2904" s="270"/>
      <c r="U2904" s="270"/>
    </row>
    <row r="2905" spans="1:22" ht="15.75" x14ac:dyDescent="0.25">
      <c r="A2905" s="266">
        <f t="shared" si="356"/>
        <v>30</v>
      </c>
      <c r="B2905" s="299" t="s">
        <v>328</v>
      </c>
      <c r="C2905" s="292">
        <f>SUMIF($B$7:$B$2853,"Vallee",$C$7:$C$2853)</f>
        <v>0</v>
      </c>
      <c r="D2905" s="297">
        <f>SUMIF($B$7:$B$2853,"vallee",$U$7:$U$2853)</f>
        <v>0</v>
      </c>
      <c r="E2905" s="297"/>
      <c r="F2905" s="297"/>
      <c r="G2905" s="297"/>
      <c r="H2905" s="285">
        <f>SUMIFS(U$7:U$2853,B$7:B$2853,"vallee",Y$7:Y$2853,"OK")</f>
        <v>0</v>
      </c>
      <c r="I2905" s="298">
        <f>SUMIFS(C$7:C$2853,B$7:B$2853,"valle",Y$7:Y$2853,"OK")</f>
        <v>0</v>
      </c>
      <c r="J2905" s="287"/>
      <c r="K2905" s="287"/>
      <c r="L2905" s="270"/>
      <c r="M2905" s="270"/>
      <c r="N2905" s="270"/>
      <c r="O2905" s="270"/>
      <c r="P2905" s="270"/>
      <c r="Q2905" s="270"/>
      <c r="R2905" s="270"/>
      <c r="S2905" s="270"/>
      <c r="T2905" s="270"/>
      <c r="U2905" s="270"/>
    </row>
    <row r="2906" spans="1:22" ht="15.75" x14ac:dyDescent="0.25">
      <c r="A2906" s="266">
        <f t="shared" si="356"/>
        <v>31</v>
      </c>
      <c r="B2906" s="299" t="s">
        <v>99</v>
      </c>
      <c r="C2906" s="292">
        <f>SUMIF($B$7:$B$2853,"Zucchiatti",$C$7:$C$2853)</f>
        <v>0</v>
      </c>
      <c r="D2906" s="297">
        <f>SUMIF($B$7:$B$2853,"Zucchiatti",$U$7:$U$2853)</f>
        <v>0</v>
      </c>
      <c r="E2906" s="297"/>
      <c r="F2906" s="297"/>
      <c r="G2906" s="297"/>
      <c r="H2906" s="285">
        <f>SUMIFS(U$7:U$2853,B$7:B$2853,"Zucchiatti",Y$7:Y$2853,"OK")</f>
        <v>0</v>
      </c>
      <c r="I2906" s="298">
        <f>SUMIFS(C$7:C$2853,B$7:B$2853,"Zucchiatti",Y$7:Y$2853,"OK")</f>
        <v>0</v>
      </c>
      <c r="J2906" s="287"/>
      <c r="K2906" s="287"/>
      <c r="L2906" s="270"/>
      <c r="M2906" s="270"/>
      <c r="N2906" s="270"/>
      <c r="O2906" s="270"/>
      <c r="P2906" s="270"/>
      <c r="Q2906" s="270"/>
      <c r="R2906" s="270"/>
      <c r="S2906" s="270"/>
      <c r="T2906" s="270"/>
      <c r="U2906" s="270"/>
    </row>
    <row r="2907" spans="1:22" ht="15.75" thickBot="1" x14ac:dyDescent="0.3">
      <c r="B2907" s="300"/>
      <c r="C2907" s="301"/>
      <c r="D2907" s="302"/>
      <c r="E2907" s="302"/>
      <c r="F2907" s="302"/>
      <c r="G2907" s="302"/>
      <c r="H2907" s="303"/>
      <c r="I2907" s="304"/>
      <c r="J2907" s="305"/>
      <c r="K2907" s="305"/>
    </row>
    <row r="2908" spans="1:22" ht="15.75" thickBot="1" x14ac:dyDescent="0.3">
      <c r="B2908" s="306" t="s">
        <v>183</v>
      </c>
      <c r="C2908" s="307">
        <f>SUM(C2859:C2907)</f>
        <v>44957.380000000005</v>
      </c>
      <c r="D2908" s="308">
        <f>SUM(D2859:D2907)</f>
        <v>14593.9948</v>
      </c>
      <c r="E2908" s="308"/>
      <c r="F2908" s="308"/>
      <c r="G2908" s="308"/>
      <c r="H2908" s="309">
        <f>SUM(H2859:H2907)</f>
        <v>1707.7798</v>
      </c>
      <c r="I2908" s="310">
        <f>SUM(I2859:I2907)</f>
        <v>4405.67</v>
      </c>
      <c r="J2908" s="311"/>
      <c r="K2908" s="311"/>
      <c r="L2908" s="276"/>
    </row>
    <row r="2909" spans="1:22" x14ac:dyDescent="0.25">
      <c r="C2909" s="276">
        <f>+C2908-C2854</f>
        <v>-680.00000000000728</v>
      </c>
      <c r="D2909" s="251"/>
      <c r="E2909" s="251"/>
      <c r="F2909" s="251"/>
      <c r="G2909" s="251"/>
      <c r="H2909" s="276"/>
      <c r="I2909" s="276"/>
      <c r="J2909" s="276"/>
      <c r="K2909" s="276"/>
    </row>
    <row r="2910" spans="1:22" ht="15.75" thickBot="1" x14ac:dyDescent="0.3">
      <c r="C2910" s="276"/>
      <c r="D2910" s="276"/>
      <c r="E2910" s="276"/>
      <c r="F2910" s="276"/>
      <c r="G2910" s="276"/>
      <c r="H2910" s="276"/>
      <c r="I2910" s="276"/>
      <c r="J2910" s="276"/>
      <c r="K2910" s="276"/>
    </row>
    <row r="2911" spans="1:22" x14ac:dyDescent="0.25">
      <c r="B2911" s="312" t="s">
        <v>192</v>
      </c>
      <c r="C2911" s="313">
        <f>COUNTA(B2859:B2907)</f>
        <v>47</v>
      </c>
    </row>
    <row r="2912" spans="1:22" x14ac:dyDescent="0.25">
      <c r="B2912" s="314" t="s">
        <v>193</v>
      </c>
      <c r="C2912" s="315">
        <f>COUNTIF(C2859:C2907,"&gt;0")</f>
        <v>14</v>
      </c>
      <c r="H2912" s="251"/>
    </row>
    <row r="2913" spans="2:16" x14ac:dyDescent="0.25">
      <c r="B2913" s="314" t="s">
        <v>194</v>
      </c>
      <c r="C2913" s="315" t="e">
        <f>COUNTIF(#REF!,"p")</f>
        <v>#REF!</v>
      </c>
      <c r="I2913" s="276"/>
      <c r="J2913" s="276"/>
      <c r="K2913" s="276"/>
    </row>
    <row r="2914" spans="2:16" ht="15.75" thickBot="1" x14ac:dyDescent="0.3">
      <c r="B2914" s="316" t="s">
        <v>195</v>
      </c>
      <c r="C2914" s="317" t="e">
        <f>+C2911-C2913</f>
        <v>#REF!</v>
      </c>
    </row>
    <row r="2915" spans="2:16" x14ac:dyDescent="0.25">
      <c r="C2915" s="276"/>
    </row>
    <row r="2916" spans="2:16" x14ac:dyDescent="0.25">
      <c r="C2916" s="276"/>
    </row>
    <row r="2917" spans="2:16" ht="15" hidden="1" customHeight="1" x14ac:dyDescent="0.25">
      <c r="C2917" s="374" t="s">
        <v>4</v>
      </c>
      <c r="D2917" s="375"/>
      <c r="E2917" s="375"/>
      <c r="F2917" s="375"/>
      <c r="G2917" s="375"/>
      <c r="H2917" s="376"/>
      <c r="I2917" s="374" t="s">
        <v>6</v>
      </c>
      <c r="J2917" s="374"/>
      <c r="K2917" s="374"/>
      <c r="L2917" s="374" t="s">
        <v>5</v>
      </c>
      <c r="M2917" s="376"/>
      <c r="N2917" s="250"/>
      <c r="O2917" s="250"/>
      <c r="P2917" s="250"/>
    </row>
    <row r="2918" spans="2:16" ht="15.75" hidden="1" customHeight="1" thickBot="1" x14ac:dyDescent="0.3">
      <c r="B2918" s="318" t="s">
        <v>184</v>
      </c>
      <c r="C2918" s="319" t="e">
        <f>IF(C2931+I2931+L2931+#REF!=C2854,"Kg","Errore")</f>
        <v>#REF!</v>
      </c>
      <c r="D2918" s="319" t="e">
        <f>IF(D2931+#REF!+#REF!+#REF!=M2854,"Commissioni","Errore")</f>
        <v>#REF!</v>
      </c>
      <c r="E2918" s="320"/>
      <c r="F2918" s="320"/>
      <c r="G2918" s="320"/>
      <c r="H2918" s="321" t="s">
        <v>186</v>
      </c>
      <c r="I2918" s="319" t="s">
        <v>185</v>
      </c>
      <c r="J2918" s="319"/>
      <c r="K2918" s="319"/>
      <c r="L2918" s="319" t="s">
        <v>185</v>
      </c>
      <c r="M2918" s="321" t="s">
        <v>186</v>
      </c>
      <c r="N2918" s="322"/>
      <c r="O2918" s="322"/>
      <c r="P2918" s="322"/>
    </row>
    <row r="2919" spans="2:16" ht="15" hidden="1" customHeight="1" x14ac:dyDescent="0.25">
      <c r="B2919" s="323"/>
      <c r="C2919" s="324">
        <f>SUMIFS($C$7:$C$2853,$D$7:$D$2853,"alluminio",$L$7:$L$2853,"")</f>
        <v>0</v>
      </c>
      <c r="D2919" s="325">
        <f>SUMIFS($M$7:$M$2853,$D$7:$D$2853,"alluminio",$L$7:$L$2853,"")</f>
        <v>0</v>
      </c>
      <c r="E2919" s="326"/>
      <c r="F2919" s="326"/>
      <c r="G2919" s="326"/>
      <c r="H2919" s="327">
        <f>+C2919*B2919</f>
        <v>0</v>
      </c>
      <c r="I2919" s="324">
        <f>SUMIFS($C$7:$C$2853,$D$7:$D$2853,"rame",$L$7:$L$2853,"")</f>
        <v>0</v>
      </c>
      <c r="J2919" s="328"/>
      <c r="K2919" s="328"/>
      <c r="L2919" s="328">
        <f>SUMIFS($C$7:$C$2853,$D$7:$D$2853,"ottone",$L$7:$L$2853,"")</f>
        <v>0</v>
      </c>
      <c r="M2919" s="327" t="e">
        <f>+#REF!*B2919</f>
        <v>#REF!</v>
      </c>
      <c r="N2919" s="329"/>
      <c r="O2919" s="329"/>
      <c r="P2919" s="329"/>
    </row>
    <row r="2920" spans="2:16" ht="15" hidden="1" customHeight="1" x14ac:dyDescent="0.25">
      <c r="B2920" s="330">
        <v>0.04</v>
      </c>
      <c r="C2920" s="331">
        <f>SUMIFS($C$7:$C$2853,$D$7:$D$2853,"alluminio",$L$7:$L$2853,0.04)</f>
        <v>0</v>
      </c>
      <c r="D2920" s="332">
        <f>SUMIFS($M$7:$M$2853,$D$7:$D$2853,"alluminio",$L$7:$L$2853,0.04)</f>
        <v>0</v>
      </c>
      <c r="E2920" s="333"/>
      <c r="F2920" s="333"/>
      <c r="G2920" s="333"/>
      <c r="H2920" s="334">
        <f>+C2920*B2920</f>
        <v>0</v>
      </c>
      <c r="I2920" s="331">
        <f>SUMIFS($C$7:$C$2853,$D$7:$D$2853,"rame",$L$7:$L$2853,0.04)</f>
        <v>0</v>
      </c>
      <c r="J2920" s="335"/>
      <c r="K2920" s="335"/>
      <c r="L2920" s="336">
        <f>SUMIFS($C$7:$C$2853,$D$7:$D$2853,"ottone",$L$7:$L$2853,0.04)</f>
        <v>0</v>
      </c>
      <c r="M2920" s="334" t="e">
        <f>+#REF!*B2920</f>
        <v>#REF!</v>
      </c>
      <c r="N2920" s="337"/>
      <c r="O2920" s="337"/>
      <c r="P2920" s="337"/>
    </row>
    <row r="2921" spans="2:16" ht="15" hidden="1" customHeight="1" x14ac:dyDescent="0.25">
      <c r="B2921" s="330">
        <v>0.05</v>
      </c>
      <c r="C2921" s="331">
        <f>SUMIFS($C$7:$C$2853,$D$7:$D$2853,"alluminio",$L$7:$L$2853,0.05)</f>
        <v>0</v>
      </c>
      <c r="D2921" s="332">
        <f>SUMIFS($M$7:$M$2853,$D$7:$D$2853,"alluminio",$L$7:$L$2853,0.05)</f>
        <v>0</v>
      </c>
      <c r="E2921" s="333"/>
      <c r="F2921" s="333"/>
      <c r="G2921" s="333"/>
      <c r="H2921" s="334">
        <f>+C2921*B2921</f>
        <v>0</v>
      </c>
      <c r="I2921" s="331">
        <f>SUMIFS($C$7:$C$2853,$D$7:$D$2853,"rame",$L$7:$L$2853,0.05)</f>
        <v>0</v>
      </c>
      <c r="J2921" s="331"/>
      <c r="K2921" s="331"/>
      <c r="L2921" s="331">
        <f>SUMIFS($C$7:$C$2853,$D$7:$D$2853,"ottone",$L$7:$L$2853,0.05)</f>
        <v>0</v>
      </c>
      <c r="M2921" s="334" t="e">
        <f>+#REF!*B2921</f>
        <v>#REF!</v>
      </c>
      <c r="N2921" s="337"/>
      <c r="O2921" s="337"/>
      <c r="P2921" s="337"/>
    </row>
    <row r="2922" spans="2:16" ht="15" hidden="1" customHeight="1" x14ac:dyDescent="0.25">
      <c r="B2922" s="330">
        <v>0.06</v>
      </c>
      <c r="C2922" s="331">
        <f>SUMIFS($C$7:$C$2853,$D$7:$D$2853,"alluminio",$L$7:$L$2853,0.06)</f>
        <v>0</v>
      </c>
      <c r="D2922" s="332">
        <f>SUMIFS($M$7:$M$2853,$D$7:$D$2853,"alluminio",$L$7:$L$2853,0.06)</f>
        <v>0</v>
      </c>
      <c r="E2922" s="333"/>
      <c r="F2922" s="333"/>
      <c r="G2922" s="333"/>
      <c r="H2922" s="334">
        <f>+C2922*B2922</f>
        <v>0</v>
      </c>
      <c r="I2922" s="331">
        <f>SUMIFS($C$7:$C$2853,$D$7:$D$2853,"rame",$L$7:$L$2853,0.06)</f>
        <v>0</v>
      </c>
      <c r="J2922" s="331"/>
      <c r="K2922" s="331"/>
      <c r="L2922" s="331">
        <f>SUMIFS($C$7:$C$2853,$D$7:$D$2853,"ottone",$L$7:$L$2853,0.06)</f>
        <v>0</v>
      </c>
      <c r="M2922" s="334" t="e">
        <f>+#REF!*B2922</f>
        <v>#REF!</v>
      </c>
      <c r="N2922" s="337"/>
      <c r="O2922" s="337"/>
      <c r="P2922" s="337"/>
    </row>
    <row r="2923" spans="2:16" ht="15" hidden="1" customHeight="1" x14ac:dyDescent="0.25">
      <c r="B2923" s="330">
        <v>7.0000000000000007E-2</v>
      </c>
      <c r="C2923" s="331">
        <f>SUMIFS($C$7:$C$2853,$D$7:$D$2853,"alluminio",$L$7:$L$2853,0.07)</f>
        <v>0</v>
      </c>
      <c r="D2923" s="332">
        <f>SUMIFS($M$7:$M$2853,$D$7:$D$2853,"alluminio",$L$7:$L$2853,0.07)</f>
        <v>0</v>
      </c>
      <c r="E2923" s="333"/>
      <c r="F2923" s="333"/>
      <c r="G2923" s="333"/>
      <c r="H2923" s="334">
        <f t="shared" ref="H2923:H2930" si="357">+C2923*B2923</f>
        <v>0</v>
      </c>
      <c r="I2923" s="331">
        <f>SUMIFS($C$7:$C$2853,$D$7:$D$2853,"rame",$L$7:$L$2853,0.07)</f>
        <v>0</v>
      </c>
      <c r="J2923" s="331"/>
      <c r="K2923" s="331"/>
      <c r="L2923" s="331">
        <f>SUMIFS($C$7:$C$2853,$D$7:$D$2853,"ottone",$L$7:$L$2853,0.07)</f>
        <v>0</v>
      </c>
      <c r="M2923" s="334" t="e">
        <f>+#REF!*B2923</f>
        <v>#REF!</v>
      </c>
      <c r="N2923" s="337"/>
      <c r="O2923" s="337"/>
      <c r="P2923" s="337"/>
    </row>
    <row r="2924" spans="2:16" ht="15" hidden="1" customHeight="1" x14ac:dyDescent="0.25">
      <c r="B2924" s="338">
        <v>0.1</v>
      </c>
      <c r="C2924" s="339">
        <f>SUMIFS($C$7:$C$2853,$D$7:$D$2853,"alluminio",$L$7:$L$2853,0.1)</f>
        <v>33688.020000000004</v>
      </c>
      <c r="D2924" s="340">
        <f>SUMIFS($M$7:$M$2853,$D$7:$D$2853,"alluminio",$L$7:$L$2853,0.1)</f>
        <v>3368.8020000000001</v>
      </c>
      <c r="E2924" s="341"/>
      <c r="F2924" s="341"/>
      <c r="G2924" s="341"/>
      <c r="H2924" s="342">
        <f t="shared" si="357"/>
        <v>3368.8020000000006</v>
      </c>
      <c r="I2924" s="339">
        <f>SUMIFS($C$7:$C$2853,$D$7:$D$2853,"RAME",$L$7:$L$2853,0.1)</f>
        <v>11949.359999999997</v>
      </c>
      <c r="J2924" s="339"/>
      <c r="K2924" s="339"/>
      <c r="L2924" s="339">
        <f>SUMIFS($C$7:$C$2853,$D$7:$D$2853,"ottone",$L$7:$L$2853,0.1)</f>
        <v>0</v>
      </c>
      <c r="M2924" s="342" t="e">
        <f>+#REF!*B2924</f>
        <v>#REF!</v>
      </c>
      <c r="N2924" s="337"/>
      <c r="O2924" s="337"/>
      <c r="P2924" s="337"/>
    </row>
    <row r="2925" spans="2:16" ht="15" hidden="1" customHeight="1" x14ac:dyDescent="0.25">
      <c r="B2925" s="343">
        <v>0.15</v>
      </c>
      <c r="C2925" s="344">
        <f>SUMIFS($C$7:$C$2853,$D$7:$D$2853,"alluminio",$L$7:$L$2853,0.15)</f>
        <v>0</v>
      </c>
      <c r="D2925" s="345">
        <f>SUMIFS($M$7:$M$2853,$D$7:$D$2853,"alluminio",$L$7:$L$2853,0.15)</f>
        <v>0</v>
      </c>
      <c r="E2925" s="346"/>
      <c r="F2925" s="346"/>
      <c r="G2925" s="346"/>
      <c r="H2925" s="347">
        <f t="shared" si="357"/>
        <v>0</v>
      </c>
      <c r="I2925" s="344">
        <f>SUMIFS($C$7:$C$2853,$D$7:$D$2853,"RAME",$L$7:$L$2853,0.15)</f>
        <v>0</v>
      </c>
      <c r="J2925" s="344"/>
      <c r="K2925" s="344"/>
      <c r="L2925" s="344">
        <f>SUMIFS($C$7:$C$2853,$D$7:$D$2853,"ottone",$L$7:$L$2853,0.15)</f>
        <v>0</v>
      </c>
      <c r="M2925" s="347" t="e">
        <f>+#REF!*B2925</f>
        <v>#REF!</v>
      </c>
      <c r="N2925" s="337"/>
      <c r="O2925" s="337"/>
      <c r="P2925" s="337"/>
    </row>
    <row r="2926" spans="2:16" ht="15" hidden="1" customHeight="1" x14ac:dyDescent="0.25">
      <c r="B2926" s="343">
        <v>0.2</v>
      </c>
      <c r="C2926" s="344">
        <f>SUMIFS($C$7:$C$2853,$D$7:$D$2853,"alluminio",$L$7:$L$2853,0.2)</f>
        <v>0</v>
      </c>
      <c r="D2926" s="345">
        <f>SUMIFS($M$7:$M$2853,$D$7:$D$2853,"alluminio",$L$7:$L$2853,0.2)</f>
        <v>0</v>
      </c>
      <c r="E2926" s="346"/>
      <c r="F2926" s="346"/>
      <c r="G2926" s="346"/>
      <c r="H2926" s="347">
        <f t="shared" si="357"/>
        <v>0</v>
      </c>
      <c r="I2926" s="344">
        <f>SUMIFS($C$7:$C$2853,$D$7:$D$2853,"RAME",$L$7:$L$2853,0.2)</f>
        <v>0</v>
      </c>
      <c r="J2926" s="344"/>
      <c r="K2926" s="344"/>
      <c r="L2926" s="344">
        <f>SUMIFS($C$7:$C$2853,$D$7:$D$2853,"ottone",$L$7:$L$2853,0.2)</f>
        <v>0</v>
      </c>
      <c r="M2926" s="347" t="e">
        <f>+#REF!*B2926</f>
        <v>#REF!</v>
      </c>
      <c r="N2926" s="337"/>
      <c r="O2926" s="337"/>
      <c r="P2926" s="337"/>
    </row>
    <row r="2927" spans="2:16" ht="15" hidden="1" customHeight="1" x14ac:dyDescent="0.25">
      <c r="B2927" s="343">
        <v>0.25</v>
      </c>
      <c r="C2927" s="344">
        <f>SUMIFS($C$7:$C$2853,$D$7:$D$2853,"alluminio",$L$7:$L$2853,0.25)</f>
        <v>0</v>
      </c>
      <c r="D2927" s="345">
        <f>SUMIFS($M$7:$M$2853,$D$7:$D$2853,"alluminio",$L$7:$L$2853,0.25)</f>
        <v>0</v>
      </c>
      <c r="E2927" s="346"/>
      <c r="F2927" s="346"/>
      <c r="G2927" s="346"/>
      <c r="H2927" s="347">
        <f t="shared" si="357"/>
        <v>0</v>
      </c>
      <c r="I2927" s="344">
        <f>SUMIFS($C$7:$C$2853,$D$7:$D$2853,"RAME",$L$7:$L$2853,0.25)</f>
        <v>0</v>
      </c>
      <c r="J2927" s="344"/>
      <c r="K2927" s="344"/>
      <c r="L2927" s="344">
        <f>SUMIFS($C$7:$C$2853,$D$7:$D$2853,"ottone",$L$7:$L$2853,0.25)</f>
        <v>0</v>
      </c>
      <c r="M2927" s="347" t="e">
        <f>+#REF!*B2927</f>
        <v>#REF!</v>
      </c>
      <c r="N2927" s="337"/>
      <c r="O2927" s="337"/>
      <c r="P2927" s="337"/>
    </row>
    <row r="2928" spans="2:16" ht="15" hidden="1" customHeight="1" x14ac:dyDescent="0.25">
      <c r="B2928" s="343">
        <v>0.3</v>
      </c>
      <c r="C2928" s="344">
        <f>SUMIFS($C$7:$C$2853,$D$7:$D$2853,"alluminio",$L$7:$L$2853,0.3)</f>
        <v>0</v>
      </c>
      <c r="D2928" s="345">
        <f>SUMIFS($M$7:$M$2853,$D$7:$D$2853,"alluminio",$L$7:$L$2853,0.3)</f>
        <v>0</v>
      </c>
      <c r="E2928" s="346"/>
      <c r="F2928" s="346"/>
      <c r="G2928" s="346"/>
      <c r="H2928" s="347">
        <f>+C2928*B2928</f>
        <v>0</v>
      </c>
      <c r="I2928" s="344">
        <f>SUMIFS($C$7:$C$2853,$D$7:$D$2853,"RAME",$L$7:$L$2853,0.3)</f>
        <v>0</v>
      </c>
      <c r="J2928" s="344"/>
      <c r="K2928" s="344"/>
      <c r="L2928" s="344">
        <f>SUMIFS($C$7:$C$2853,$D$7:$D$2853,"ottone",$L$7:$L$2853,0.3)</f>
        <v>0</v>
      </c>
      <c r="M2928" s="347" t="e">
        <f>+#REF!*B2928</f>
        <v>#REF!</v>
      </c>
      <c r="N2928" s="337"/>
      <c r="O2928" s="337"/>
      <c r="P2928" s="337"/>
    </row>
    <row r="2929" spans="2:16" ht="15" hidden="1" customHeight="1" x14ac:dyDescent="0.25">
      <c r="B2929" s="343">
        <v>0.35</v>
      </c>
      <c r="C2929" s="344">
        <f>SUMIFS($C$7:$C$2853,$D$7:$D$2853,"alluminio",$L$7:$L$2853,0.35)</f>
        <v>0</v>
      </c>
      <c r="D2929" s="345">
        <f>SUMIFS($M$7:$M$2853,$D$7:$D$2853,"alluminio",$L$7:$L$2853,0.35)</f>
        <v>0</v>
      </c>
      <c r="E2929" s="346"/>
      <c r="F2929" s="346"/>
      <c r="G2929" s="346"/>
      <c r="H2929" s="347">
        <f t="shared" si="357"/>
        <v>0</v>
      </c>
      <c r="I2929" s="344">
        <f>SUMIFS($C$7:$C$2853,$D$7:$D$2853,"RAME",$L$7:$L$2853,0.35)</f>
        <v>0</v>
      </c>
      <c r="J2929" s="344"/>
      <c r="K2929" s="344"/>
      <c r="L2929" s="344">
        <f>SUMIFS($C$7:$C$2853,$D$7:$D$2853,"ottone",$L$7:$L$2853,0.35)</f>
        <v>0</v>
      </c>
      <c r="M2929" s="347" t="e">
        <f>+#REF!*B2929</f>
        <v>#REF!</v>
      </c>
      <c r="N2929" s="337"/>
      <c r="O2929" s="337"/>
      <c r="P2929" s="337"/>
    </row>
    <row r="2930" spans="2:16" ht="15.75" hidden="1" customHeight="1" thickBot="1" x14ac:dyDescent="0.3">
      <c r="B2930" s="343">
        <v>0.55000000000000004</v>
      </c>
      <c r="C2930" s="348">
        <f>SUMIFS($C$7:$C$2853,$D$7:$D$2853,"alluminio",$L$7:$L$2853,0.55)</f>
        <v>0</v>
      </c>
      <c r="D2930" s="349">
        <f>SUMIFS($M$7:$M$2853,$D$7:$D$2853,"alluminio",$L$7:$L$2853,0.55)</f>
        <v>0</v>
      </c>
      <c r="E2930" s="350"/>
      <c r="F2930" s="350"/>
      <c r="G2930" s="350"/>
      <c r="H2930" s="351">
        <f t="shared" si="357"/>
        <v>0</v>
      </c>
      <c r="I2930" s="348">
        <f>SUMIFS($C$7:$C$2853,$D$7:$D$2853,"RAME",$L$7:$L$2853,0.55)</f>
        <v>0</v>
      </c>
      <c r="J2930" s="348"/>
      <c r="K2930" s="348"/>
      <c r="L2930" s="348">
        <f>SUMIFS($C$7:$C$2853,$D$7:$D$2853,"ottone",$L$7:$L$2853,0.55)</f>
        <v>0</v>
      </c>
      <c r="M2930" s="351" t="e">
        <f>+#REF!*B2930</f>
        <v>#REF!</v>
      </c>
      <c r="N2930" s="337"/>
      <c r="O2930" s="337"/>
      <c r="P2930" s="337"/>
    </row>
    <row r="2931" spans="2:16" ht="15.75" hidden="1" customHeight="1" thickBot="1" x14ac:dyDescent="0.3">
      <c r="B2931" s="352"/>
      <c r="C2931" s="353">
        <f>SUM(C2919:C2930)</f>
        <v>33688.020000000004</v>
      </c>
      <c r="D2931" s="354">
        <f>SUM(D2920:D2930)</f>
        <v>3368.8020000000001</v>
      </c>
      <c r="E2931" s="355"/>
      <c r="F2931" s="355"/>
      <c r="G2931" s="355"/>
      <c r="H2931" s="356">
        <f>SUM(H2920:H2930)</f>
        <v>3368.8020000000006</v>
      </c>
      <c r="I2931" s="353">
        <f>SUM(I2919:I2930)</f>
        <v>11949.359999999997</v>
      </c>
      <c r="J2931" s="353"/>
      <c r="K2931" s="353"/>
      <c r="L2931" s="353">
        <f>SUM(L2919:L2930)</f>
        <v>0</v>
      </c>
      <c r="M2931" s="356" t="e">
        <f>SUM(M2919:M2930)</f>
        <v>#REF!</v>
      </c>
      <c r="N2931" s="357"/>
      <c r="O2931" s="357"/>
      <c r="P2931" s="357"/>
    </row>
    <row r="2932" spans="2:16" ht="15" hidden="1" customHeight="1" x14ac:dyDescent="0.25"/>
    <row r="2933" spans="2:16" ht="15" hidden="1" customHeight="1" x14ac:dyDescent="0.25">
      <c r="C2933" s="358"/>
      <c r="I2933" s="359"/>
      <c r="J2933" s="359"/>
      <c r="K2933" s="359"/>
      <c r="L2933" s="359"/>
    </row>
    <row r="2934" spans="2:16" ht="15" hidden="1" customHeight="1" x14ac:dyDescent="0.25">
      <c r="C2934" s="360" t="e">
        <f>+C2931+I2931+L2931+#REF!</f>
        <v>#REF!</v>
      </c>
    </row>
    <row r="2935" spans="2:16" ht="15" hidden="1" customHeight="1" x14ac:dyDescent="0.25">
      <c r="C2935" s="276" t="e">
        <f>+C2934-C2908</f>
        <v>#REF!</v>
      </c>
    </row>
    <row r="2937" spans="2:16" x14ac:dyDescent="0.25">
      <c r="C2937" s="360"/>
    </row>
    <row r="2938" spans="2:16" x14ac:dyDescent="0.25">
      <c r="C2938" s="276"/>
    </row>
    <row r="2941" spans="2:16" x14ac:dyDescent="0.25">
      <c r="C2941" s="360"/>
    </row>
  </sheetData>
  <sheetProtection formatCells="0" insertRows="0" deleteRows="0" sort="0" autoFilter="0"/>
  <autoFilter ref="A5:AH2854"/>
  <dataConsolidate/>
  <phoneticPr fontId="19" type="noConversion"/>
  <conditionalFormatting sqref="C5">
    <cfRule type="containsText" dxfId="66" priority="156" stopIfTrue="1" operator="containsText" text="ERRORE KG">
      <formula>NOT(ISERROR(SEARCH("ERRORE KG",C5)))</formula>
    </cfRule>
    <cfRule type="colorScale" priority="157">
      <colorScale>
        <cfvo type="num" val="&quot;0+$C$52&quot;"/>
        <cfvo type="num" val="&quot;0+$C$88&quot;"/>
        <color rgb="FFFF7128"/>
        <color rgb="FFFFEF9C"/>
      </colorScale>
    </cfRule>
  </conditionalFormatting>
  <conditionalFormatting sqref="M5:P5">
    <cfRule type="containsText" dxfId="65" priority="155" stopIfTrue="1" operator="containsText" text="ERRORE COMMISSIONI">
      <formula>NOT(ISERROR(SEARCH("ERRORE COMMISSIONI",M5)))</formula>
    </cfRule>
  </conditionalFormatting>
  <conditionalFormatting sqref="V2798 V2853 V7:V2795">
    <cfRule type="expression" priority="150" stopIfTrue="1">
      <formula>V7=0</formula>
    </cfRule>
    <cfRule type="expression" dxfId="64" priority="151" stopIfTrue="1">
      <formula>V7&lt;TODAY()</formula>
    </cfRule>
  </conditionalFormatting>
  <conditionalFormatting sqref="C2918:C2919">
    <cfRule type="containsText" dxfId="63" priority="145" stopIfTrue="1" operator="containsText" text="errore">
      <formula>NOT(ISERROR(SEARCH("errore",C2918)))</formula>
    </cfRule>
  </conditionalFormatting>
  <conditionalFormatting sqref="D2918:G2919">
    <cfRule type="containsText" dxfId="62" priority="144" stopIfTrue="1" operator="containsText" text="errore">
      <formula>NOT(ISERROR(SEARCH("errore",D2918)))</formula>
    </cfRule>
  </conditionalFormatting>
  <conditionalFormatting sqref="B2798:B2853 B6:B2795">
    <cfRule type="expression" dxfId="61" priority="131">
      <formula>AND($B6&lt;&gt;"", COUNTIF($B$2859:$B$3162, $B6)=0)</formula>
    </cfRule>
  </conditionalFormatting>
  <conditionalFormatting sqref="V6">
    <cfRule type="expression" priority="129" stopIfTrue="1">
      <formula>V6=0</formula>
    </cfRule>
    <cfRule type="expression" dxfId="60" priority="130" stopIfTrue="1">
      <formula>V6&lt;TODAY()</formula>
    </cfRule>
  </conditionalFormatting>
  <conditionalFormatting sqref="B2796">
    <cfRule type="expression" dxfId="59" priority="118">
      <formula>AND($B2796&lt;&gt;"", COUNTIF($B$2859:$B$3162, $B2796)=0)</formula>
    </cfRule>
  </conditionalFormatting>
  <conditionalFormatting sqref="V2796">
    <cfRule type="expression" priority="116" stopIfTrue="1">
      <formula>V2796=0</formula>
    </cfRule>
    <cfRule type="expression" dxfId="58" priority="117" stopIfTrue="1">
      <formula>V2796&lt;TODAY()</formula>
    </cfRule>
  </conditionalFormatting>
  <conditionalFormatting sqref="B2797">
    <cfRule type="expression" dxfId="57" priority="114">
      <formula>AND($B2797&lt;&gt;"", COUNTIF($B$2859:$B$3162, $B2797)=0)</formula>
    </cfRule>
  </conditionalFormatting>
  <conditionalFormatting sqref="V2797">
    <cfRule type="expression" priority="112" stopIfTrue="1">
      <formula>V2797=0</formula>
    </cfRule>
    <cfRule type="expression" dxfId="56" priority="113" stopIfTrue="1">
      <formula>V2797&lt;TODAY()</formula>
    </cfRule>
  </conditionalFormatting>
  <conditionalFormatting sqref="V2799">
    <cfRule type="expression" priority="107" stopIfTrue="1">
      <formula>V2799=0</formula>
    </cfRule>
    <cfRule type="expression" dxfId="55" priority="108" stopIfTrue="1">
      <formula>V2799&lt;TODAY()</formula>
    </cfRule>
  </conditionalFormatting>
  <conditionalFormatting sqref="V2800">
    <cfRule type="expression" priority="105" stopIfTrue="1">
      <formula>V2800=0</formula>
    </cfRule>
    <cfRule type="expression" dxfId="54" priority="106" stopIfTrue="1">
      <formula>V2800&lt;TODAY()</formula>
    </cfRule>
  </conditionalFormatting>
  <conditionalFormatting sqref="V2801">
    <cfRule type="expression" priority="103" stopIfTrue="1">
      <formula>V2801=0</formula>
    </cfRule>
    <cfRule type="expression" dxfId="53" priority="104" stopIfTrue="1">
      <formula>V2801&lt;TODAY()</formula>
    </cfRule>
  </conditionalFormatting>
  <conditionalFormatting sqref="V2802">
    <cfRule type="expression" priority="101" stopIfTrue="1">
      <formula>V2802=0</formula>
    </cfRule>
    <cfRule type="expression" dxfId="52" priority="102" stopIfTrue="1">
      <formula>V2802&lt;TODAY()</formula>
    </cfRule>
  </conditionalFormatting>
  <conditionalFormatting sqref="V2803">
    <cfRule type="expression" priority="99" stopIfTrue="1">
      <formula>V2803=0</formula>
    </cfRule>
    <cfRule type="expression" dxfId="51" priority="100" stopIfTrue="1">
      <formula>V2803&lt;TODAY()</formula>
    </cfRule>
  </conditionalFormatting>
  <conditionalFormatting sqref="V2804">
    <cfRule type="expression" priority="97" stopIfTrue="1">
      <formula>V2804=0</formula>
    </cfRule>
    <cfRule type="expression" dxfId="50" priority="98" stopIfTrue="1">
      <formula>V2804&lt;TODAY()</formula>
    </cfRule>
  </conditionalFormatting>
  <conditionalFormatting sqref="V2805">
    <cfRule type="expression" priority="95" stopIfTrue="1">
      <formula>V2805=0</formula>
    </cfRule>
    <cfRule type="expression" dxfId="49" priority="96" stopIfTrue="1">
      <formula>V2805&lt;TODAY()</formula>
    </cfRule>
  </conditionalFormatting>
  <conditionalFormatting sqref="V2806">
    <cfRule type="expression" priority="93" stopIfTrue="1">
      <formula>V2806=0</formula>
    </cfRule>
    <cfRule type="expression" dxfId="48" priority="94" stopIfTrue="1">
      <formula>V2806&lt;TODAY()</formula>
    </cfRule>
  </conditionalFormatting>
  <conditionalFormatting sqref="V2807">
    <cfRule type="expression" priority="91" stopIfTrue="1">
      <formula>V2807=0</formula>
    </cfRule>
    <cfRule type="expression" dxfId="47" priority="92" stopIfTrue="1">
      <formula>V2807&lt;TODAY()</formula>
    </cfRule>
  </conditionalFormatting>
  <conditionalFormatting sqref="V2808">
    <cfRule type="expression" priority="89" stopIfTrue="1">
      <formula>V2808=0</formula>
    </cfRule>
    <cfRule type="expression" dxfId="46" priority="90" stopIfTrue="1">
      <formula>V2808&lt;TODAY()</formula>
    </cfRule>
  </conditionalFormatting>
  <conditionalFormatting sqref="V2809">
    <cfRule type="expression" priority="87" stopIfTrue="1">
      <formula>V2809=0</formula>
    </cfRule>
    <cfRule type="expression" dxfId="45" priority="88" stopIfTrue="1">
      <formula>V2809&lt;TODAY()</formula>
    </cfRule>
  </conditionalFormatting>
  <conditionalFormatting sqref="V2810">
    <cfRule type="expression" priority="85" stopIfTrue="1">
      <formula>V2810=0</formula>
    </cfRule>
    <cfRule type="expression" dxfId="44" priority="86" stopIfTrue="1">
      <formula>V2810&lt;TODAY()</formula>
    </cfRule>
  </conditionalFormatting>
  <conditionalFormatting sqref="V2811">
    <cfRule type="expression" priority="83" stopIfTrue="1">
      <formula>V2811=0</formula>
    </cfRule>
    <cfRule type="expression" dxfId="43" priority="84" stopIfTrue="1">
      <formula>V2811&lt;TODAY()</formula>
    </cfRule>
  </conditionalFormatting>
  <conditionalFormatting sqref="V2812">
    <cfRule type="expression" priority="81" stopIfTrue="1">
      <formula>V2812=0</formula>
    </cfRule>
    <cfRule type="expression" dxfId="42" priority="82" stopIfTrue="1">
      <formula>V2812&lt;TODAY()</formula>
    </cfRule>
  </conditionalFormatting>
  <conditionalFormatting sqref="V2813">
    <cfRule type="expression" priority="79" stopIfTrue="1">
      <formula>V2813=0</formula>
    </cfRule>
    <cfRule type="expression" dxfId="41" priority="80" stopIfTrue="1">
      <formula>V2813&lt;TODAY()</formula>
    </cfRule>
  </conditionalFormatting>
  <conditionalFormatting sqref="V2814">
    <cfRule type="expression" priority="77" stopIfTrue="1">
      <formula>V2814=0</formula>
    </cfRule>
    <cfRule type="expression" dxfId="40" priority="78" stopIfTrue="1">
      <formula>V2814&lt;TODAY()</formula>
    </cfRule>
  </conditionalFormatting>
  <conditionalFormatting sqref="V2815">
    <cfRule type="expression" priority="75" stopIfTrue="1">
      <formula>V2815=0</formula>
    </cfRule>
    <cfRule type="expression" dxfId="39" priority="76" stopIfTrue="1">
      <formula>V2815&lt;TODAY()</formula>
    </cfRule>
  </conditionalFormatting>
  <conditionalFormatting sqref="V2816">
    <cfRule type="expression" priority="73" stopIfTrue="1">
      <formula>V2816=0</formula>
    </cfRule>
    <cfRule type="expression" dxfId="38" priority="74" stopIfTrue="1">
      <formula>V2816&lt;TODAY()</formula>
    </cfRule>
  </conditionalFormatting>
  <conditionalFormatting sqref="V2817">
    <cfRule type="expression" priority="71" stopIfTrue="1">
      <formula>V2817=0</formula>
    </cfRule>
    <cfRule type="expression" dxfId="37" priority="72" stopIfTrue="1">
      <formula>V2817&lt;TODAY()</formula>
    </cfRule>
  </conditionalFormatting>
  <conditionalFormatting sqref="V2818">
    <cfRule type="expression" priority="69" stopIfTrue="1">
      <formula>V2818=0</formula>
    </cfRule>
    <cfRule type="expression" dxfId="36" priority="70" stopIfTrue="1">
      <formula>V2818&lt;TODAY()</formula>
    </cfRule>
  </conditionalFormatting>
  <conditionalFormatting sqref="V2819">
    <cfRule type="expression" priority="67" stopIfTrue="1">
      <formula>V2819=0</formula>
    </cfRule>
    <cfRule type="expression" dxfId="35" priority="68" stopIfTrue="1">
      <formula>V2819&lt;TODAY()</formula>
    </cfRule>
  </conditionalFormatting>
  <conditionalFormatting sqref="V2820">
    <cfRule type="expression" priority="65" stopIfTrue="1">
      <formula>V2820=0</formula>
    </cfRule>
    <cfRule type="expression" dxfId="34" priority="66" stopIfTrue="1">
      <formula>V2820&lt;TODAY()</formula>
    </cfRule>
  </conditionalFormatting>
  <conditionalFormatting sqref="V2821">
    <cfRule type="expression" priority="63" stopIfTrue="1">
      <formula>V2821=0</formula>
    </cfRule>
    <cfRule type="expression" dxfId="33" priority="64" stopIfTrue="1">
      <formula>V2821&lt;TODAY()</formula>
    </cfRule>
  </conditionalFormatting>
  <conditionalFormatting sqref="V2822">
    <cfRule type="expression" priority="61" stopIfTrue="1">
      <formula>V2822=0</formula>
    </cfRule>
    <cfRule type="expression" dxfId="32" priority="62" stopIfTrue="1">
      <formula>V2822&lt;TODAY()</formula>
    </cfRule>
  </conditionalFormatting>
  <conditionalFormatting sqref="V2823">
    <cfRule type="expression" priority="59" stopIfTrue="1">
      <formula>V2823=0</formula>
    </cfRule>
    <cfRule type="expression" dxfId="31" priority="60" stopIfTrue="1">
      <formula>V2823&lt;TODAY()</formula>
    </cfRule>
  </conditionalFormatting>
  <conditionalFormatting sqref="V2824">
    <cfRule type="expression" priority="57" stopIfTrue="1">
      <formula>V2824=0</formula>
    </cfRule>
    <cfRule type="expression" dxfId="30" priority="58" stopIfTrue="1">
      <formula>V2824&lt;TODAY()</formula>
    </cfRule>
  </conditionalFormatting>
  <conditionalFormatting sqref="V2825">
    <cfRule type="expression" priority="55" stopIfTrue="1">
      <formula>V2825=0</formula>
    </cfRule>
    <cfRule type="expression" dxfId="29" priority="56" stopIfTrue="1">
      <formula>V2825&lt;TODAY()</formula>
    </cfRule>
  </conditionalFormatting>
  <conditionalFormatting sqref="V2826">
    <cfRule type="expression" priority="53" stopIfTrue="1">
      <formula>V2826=0</formula>
    </cfRule>
    <cfRule type="expression" dxfId="28" priority="54" stopIfTrue="1">
      <formula>V2826&lt;TODAY()</formula>
    </cfRule>
  </conditionalFormatting>
  <conditionalFormatting sqref="V2827">
    <cfRule type="expression" priority="51" stopIfTrue="1">
      <formula>V2827=0</formula>
    </cfRule>
    <cfRule type="expression" dxfId="27" priority="52" stopIfTrue="1">
      <formula>V2827&lt;TODAY()</formula>
    </cfRule>
  </conditionalFormatting>
  <conditionalFormatting sqref="V2828">
    <cfRule type="expression" priority="49" stopIfTrue="1">
      <formula>V2828=0</formula>
    </cfRule>
    <cfRule type="expression" dxfId="26" priority="50" stopIfTrue="1">
      <formula>V2828&lt;TODAY()</formula>
    </cfRule>
  </conditionalFormatting>
  <conditionalFormatting sqref="V2829">
    <cfRule type="expression" priority="47" stopIfTrue="1">
      <formula>V2829=0</formula>
    </cfRule>
    <cfRule type="expression" dxfId="25" priority="48" stopIfTrue="1">
      <formula>V2829&lt;TODAY()</formula>
    </cfRule>
  </conditionalFormatting>
  <conditionalFormatting sqref="V2830">
    <cfRule type="expression" priority="45" stopIfTrue="1">
      <formula>V2830=0</formula>
    </cfRule>
    <cfRule type="expression" dxfId="24" priority="46" stopIfTrue="1">
      <formula>V2830&lt;TODAY()</formula>
    </cfRule>
  </conditionalFormatting>
  <conditionalFormatting sqref="V2831">
    <cfRule type="expression" priority="43" stopIfTrue="1">
      <formula>V2831=0</formula>
    </cfRule>
    <cfRule type="expression" dxfId="23" priority="44" stopIfTrue="1">
      <formula>V2831&lt;TODAY()</formula>
    </cfRule>
  </conditionalFormatting>
  <conditionalFormatting sqref="V2832">
    <cfRule type="expression" priority="41" stopIfTrue="1">
      <formula>V2832=0</formula>
    </cfRule>
    <cfRule type="expression" dxfId="22" priority="42" stopIfTrue="1">
      <formula>V2832&lt;TODAY()</formula>
    </cfRule>
  </conditionalFormatting>
  <conditionalFormatting sqref="V2833">
    <cfRule type="expression" priority="39" stopIfTrue="1">
      <formula>V2833=0</formula>
    </cfRule>
    <cfRule type="expression" dxfId="21" priority="40" stopIfTrue="1">
      <formula>V2833&lt;TODAY()</formula>
    </cfRule>
  </conditionalFormatting>
  <conditionalFormatting sqref="V2834">
    <cfRule type="expression" priority="37" stopIfTrue="1">
      <formula>V2834=0</formula>
    </cfRule>
    <cfRule type="expression" dxfId="20" priority="38" stopIfTrue="1">
      <formula>V2834&lt;TODAY()</formula>
    </cfRule>
  </conditionalFormatting>
  <conditionalFormatting sqref="V2835">
    <cfRule type="expression" priority="35" stopIfTrue="1">
      <formula>V2835=0</formula>
    </cfRule>
    <cfRule type="expression" dxfId="19" priority="36" stopIfTrue="1">
      <formula>V2835&lt;TODAY()</formula>
    </cfRule>
  </conditionalFormatting>
  <conditionalFormatting sqref="V2836">
    <cfRule type="expression" priority="33" stopIfTrue="1">
      <formula>V2836=0</formula>
    </cfRule>
    <cfRule type="expression" dxfId="18" priority="34" stopIfTrue="1">
      <formula>V2836&lt;TODAY()</formula>
    </cfRule>
  </conditionalFormatting>
  <conditionalFormatting sqref="V2837">
    <cfRule type="expression" priority="31" stopIfTrue="1">
      <formula>V2837=0</formula>
    </cfRule>
    <cfRule type="expression" dxfId="17" priority="32" stopIfTrue="1">
      <formula>V2837&lt;TODAY()</formula>
    </cfRule>
  </conditionalFormatting>
  <conditionalFormatting sqref="V2838">
    <cfRule type="expression" priority="29" stopIfTrue="1">
      <formula>V2838=0</formula>
    </cfRule>
    <cfRule type="expression" dxfId="16" priority="30" stopIfTrue="1">
      <formula>V2838&lt;TODAY()</formula>
    </cfRule>
  </conditionalFormatting>
  <conditionalFormatting sqref="V2839">
    <cfRule type="expression" priority="27" stopIfTrue="1">
      <formula>V2839=0</formula>
    </cfRule>
    <cfRule type="expression" dxfId="15" priority="28" stopIfTrue="1">
      <formula>V2839&lt;TODAY()</formula>
    </cfRule>
  </conditionalFormatting>
  <conditionalFormatting sqref="V2840">
    <cfRule type="expression" priority="25" stopIfTrue="1">
      <formula>V2840=0</formula>
    </cfRule>
    <cfRule type="expression" dxfId="14" priority="26" stopIfTrue="1">
      <formula>V2840&lt;TODAY()</formula>
    </cfRule>
  </conditionalFormatting>
  <conditionalFormatting sqref="V2841">
    <cfRule type="expression" priority="23" stopIfTrue="1">
      <formula>V2841=0</formula>
    </cfRule>
    <cfRule type="expression" dxfId="13" priority="24" stopIfTrue="1">
      <formula>V2841&lt;TODAY()</formula>
    </cfRule>
  </conditionalFormatting>
  <conditionalFormatting sqref="V2842">
    <cfRule type="expression" priority="21" stopIfTrue="1">
      <formula>V2842=0</formula>
    </cfRule>
    <cfRule type="expression" dxfId="12" priority="22" stopIfTrue="1">
      <formula>V2842&lt;TODAY()</formula>
    </cfRule>
  </conditionalFormatting>
  <conditionalFormatting sqref="V2843">
    <cfRule type="expression" priority="19" stopIfTrue="1">
      <formula>V2843=0</formula>
    </cfRule>
    <cfRule type="expression" dxfId="11" priority="20" stopIfTrue="1">
      <formula>V2843&lt;TODAY()</formula>
    </cfRule>
  </conditionalFormatting>
  <conditionalFormatting sqref="V2844">
    <cfRule type="expression" priority="17" stopIfTrue="1">
      <formula>V2844=0</formula>
    </cfRule>
    <cfRule type="expression" dxfId="10" priority="18" stopIfTrue="1">
      <formula>V2844&lt;TODAY()</formula>
    </cfRule>
  </conditionalFormatting>
  <conditionalFormatting sqref="V2845">
    <cfRule type="expression" priority="15" stopIfTrue="1">
      <formula>V2845=0</formula>
    </cfRule>
    <cfRule type="expression" dxfId="9" priority="16" stopIfTrue="1">
      <formula>V2845&lt;TODAY()</formula>
    </cfRule>
  </conditionalFormatting>
  <conditionalFormatting sqref="V2846">
    <cfRule type="expression" priority="13" stopIfTrue="1">
      <formula>V2846=0</formula>
    </cfRule>
    <cfRule type="expression" dxfId="8" priority="14" stopIfTrue="1">
      <formula>V2846&lt;TODAY()</formula>
    </cfRule>
  </conditionalFormatting>
  <conditionalFormatting sqref="V2847">
    <cfRule type="expression" priority="11" stopIfTrue="1">
      <formula>V2847=0</formula>
    </cfRule>
    <cfRule type="expression" dxfId="7" priority="12" stopIfTrue="1">
      <formula>V2847&lt;TODAY()</formula>
    </cfRule>
  </conditionalFormatting>
  <conditionalFormatting sqref="V2848">
    <cfRule type="expression" priority="9" stopIfTrue="1">
      <formula>V2848=0</formula>
    </cfRule>
    <cfRule type="expression" dxfId="6" priority="10" stopIfTrue="1">
      <formula>V2848&lt;TODAY()</formula>
    </cfRule>
  </conditionalFormatting>
  <conditionalFormatting sqref="V2849">
    <cfRule type="expression" priority="7" stopIfTrue="1">
      <formula>V2849=0</formula>
    </cfRule>
    <cfRule type="expression" dxfId="5" priority="8" stopIfTrue="1">
      <formula>V2849&lt;TODAY()</formula>
    </cfRule>
  </conditionalFormatting>
  <conditionalFormatting sqref="V2850">
    <cfRule type="expression" priority="5" stopIfTrue="1">
      <formula>V2850=0</formula>
    </cfRule>
    <cfRule type="expression" dxfId="4" priority="6" stopIfTrue="1">
      <formula>V2850&lt;TODAY()</formula>
    </cfRule>
  </conditionalFormatting>
  <conditionalFormatting sqref="V2851">
    <cfRule type="expression" priority="3" stopIfTrue="1">
      <formula>V2851=0</formula>
    </cfRule>
    <cfRule type="expression" dxfId="3" priority="4" stopIfTrue="1">
      <formula>V2851&lt;TODAY()</formula>
    </cfRule>
  </conditionalFormatting>
  <conditionalFormatting sqref="V2852">
    <cfRule type="expression" priority="1" stopIfTrue="1">
      <formula>V2852=0</formula>
    </cfRule>
    <cfRule type="expression" dxfId="2" priority="2" stopIfTrue="1">
      <formula>V2852&lt;TODAY()</formula>
    </cfRule>
  </conditionalFormatting>
  <dataValidations xWindow="132" yWindow="413" count="5">
    <dataValidation type="list" allowBlank="1" showInputMessage="1" showErrorMessage="1" sqref="E2854:G2857 D7:D2857">
      <formula1>Materiale2</formula1>
    </dataValidation>
    <dataValidation type="list" allowBlank="1" showInputMessage="1" showErrorMessage="1" sqref="L2854:L2906">
      <formula1>IF(D2854="Alluminio",ProvvAl2,IF(D2854="Bronzo",ProvvBr,ProvvCu2))</formula1>
    </dataValidation>
    <dataValidation type="list" allowBlank="1" showInputMessage="1" showErrorMessage="1" sqref="L7:L2853">
      <formula1>Provvigioni</formula1>
    </dataValidation>
    <dataValidation type="list" allowBlank="1" showInputMessage="1" showErrorMessage="1" sqref="S7:S2853">
      <formula1>Delta</formula1>
    </dataValidation>
    <dataValidation type="list" allowBlank="1" showInputMessage="1" showErrorMessage="1" sqref="Y7:Y2853">
      <formula1>"OK"</formula1>
    </dataValidation>
  </dataValidations>
  <pageMargins left="0.70866141732283472" right="0.70866141732283472" top="0.74803149606299213" bottom="0.74803149606299213" header="0.31496062992125984" footer="0.31496062992125984"/>
  <pageSetup paperSize="9" scale="80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mdSelezionaTabella">
          <controlPr defaultSize="0" autoLine="0" r:id="rId5">
            <anchor moveWithCells="1">
              <from>
                <xdr:col>13</xdr:col>
                <xdr:colOff>561975</xdr:colOff>
                <xdr:row>0</xdr:row>
                <xdr:rowOff>133350</xdr:rowOff>
              </from>
              <to>
                <xdr:col>16</xdr:col>
                <xdr:colOff>409575</xdr:colOff>
                <xdr:row>2</xdr:row>
                <xdr:rowOff>9525</xdr:rowOff>
              </to>
            </anchor>
          </controlPr>
        </control>
      </mc:Choice>
      <mc:Fallback>
        <control shapeId="1032" r:id="rId4" name="CmdSelezionaTabella"/>
      </mc:Fallback>
    </mc:AlternateContent>
    <mc:AlternateContent xmlns:mc="http://schemas.openxmlformats.org/markup-compatibility/2006">
      <mc:Choice Requires="x14">
        <control shapeId="1029" r:id="rId6" name="CmdNuovaRiga">
          <controlPr defaultSize="0" autoLine="0" r:id="rId7">
            <anchor moveWithCells="1">
              <from>
                <xdr:col>0</xdr:col>
                <xdr:colOff>95250</xdr:colOff>
                <xdr:row>0</xdr:row>
                <xdr:rowOff>152400</xdr:rowOff>
              </from>
              <to>
                <xdr:col>1</xdr:col>
                <xdr:colOff>257175</xdr:colOff>
                <xdr:row>2</xdr:row>
                <xdr:rowOff>28575</xdr:rowOff>
              </to>
            </anchor>
          </controlPr>
        </control>
      </mc:Choice>
      <mc:Fallback>
        <control shapeId="1029" r:id="rId6" name="CmdNuovaRiga"/>
      </mc:Fallback>
    </mc:AlternateContent>
    <mc:AlternateContent xmlns:mc="http://schemas.openxmlformats.org/markup-compatibility/2006">
      <mc:Choice Requires="x14">
        <control shapeId="1030" r:id="rId8" name="cmdDuplicaRigaSelezionata">
          <controlPr defaultSize="0" autoLine="0" r:id="rId9">
            <anchor moveWithCells="1">
              <from>
                <xdr:col>1</xdr:col>
                <xdr:colOff>333375</xdr:colOff>
                <xdr:row>0</xdr:row>
                <xdr:rowOff>171450</xdr:rowOff>
              </from>
              <to>
                <xdr:col>2</xdr:col>
                <xdr:colOff>600075</xdr:colOff>
                <xdr:row>2</xdr:row>
                <xdr:rowOff>38100</xdr:rowOff>
              </to>
            </anchor>
          </controlPr>
        </control>
      </mc:Choice>
      <mc:Fallback>
        <control shapeId="1030" r:id="rId8" name="cmdDuplicaRigaSelezionata"/>
      </mc:Fallback>
    </mc:AlternateContent>
    <mc:AlternateContent xmlns:mc="http://schemas.openxmlformats.org/markup-compatibility/2006">
      <mc:Choice Requires="x14">
        <control shapeId="1031" r:id="rId10" name="CmdEliminaERipristinaRiga">
          <controlPr defaultSize="0" autoLine="0" r:id="rId11">
            <anchor moveWithCells="1">
              <from>
                <xdr:col>2</xdr:col>
                <xdr:colOff>752475</xdr:colOff>
                <xdr:row>0</xdr:row>
                <xdr:rowOff>152400</xdr:rowOff>
              </from>
              <to>
                <xdr:col>4</xdr:col>
                <xdr:colOff>466725</xdr:colOff>
                <xdr:row>2</xdr:row>
                <xdr:rowOff>28575</xdr:rowOff>
              </to>
            </anchor>
          </controlPr>
        </control>
      </mc:Choice>
      <mc:Fallback>
        <control shapeId="1031" r:id="rId10" name="CmdEliminaERipristinaRiga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/>
  <dimension ref="D3:F6"/>
  <sheetViews>
    <sheetView workbookViewId="0">
      <selection activeCell="F4" sqref="F4:F6"/>
    </sheetView>
  </sheetViews>
  <sheetFormatPr defaultRowHeight="15" x14ac:dyDescent="0.25"/>
  <cols>
    <col min="4" max="4" width="12.140625" customWidth="1"/>
    <col min="6" max="6" width="11" customWidth="1"/>
  </cols>
  <sheetData>
    <row r="3" spans="4:6" x14ac:dyDescent="0.25">
      <c r="D3" t="s">
        <v>42</v>
      </c>
      <c r="F3" t="s">
        <v>250</v>
      </c>
    </row>
    <row r="4" spans="4:6" x14ac:dyDescent="0.25">
      <c r="D4" s="221">
        <v>0</v>
      </c>
      <c r="F4" s="222">
        <v>0</v>
      </c>
    </row>
    <row r="5" spans="4:6" x14ac:dyDescent="0.25">
      <c r="D5" s="221">
        <v>0.1</v>
      </c>
      <c r="F5" s="222">
        <v>0.5</v>
      </c>
    </row>
    <row r="6" spans="4:6" x14ac:dyDescent="0.25">
      <c r="D6" s="221">
        <v>0.2</v>
      </c>
      <c r="F6" s="222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/>
  <dimension ref="A1:O65"/>
  <sheetViews>
    <sheetView topLeftCell="A7" workbookViewId="0">
      <selection activeCell="B15" sqref="B15"/>
    </sheetView>
  </sheetViews>
  <sheetFormatPr defaultRowHeight="15" x14ac:dyDescent="0.25"/>
  <cols>
    <col min="1" max="2" width="14.7109375" customWidth="1"/>
    <col min="3" max="3" width="14.5703125" customWidth="1"/>
    <col min="4" max="4" width="12.140625" customWidth="1"/>
    <col min="5" max="7" width="14.7109375" customWidth="1"/>
    <col min="9" max="11" width="14.85546875" customWidth="1"/>
    <col min="13" max="15" width="10.7109375" customWidth="1"/>
  </cols>
  <sheetData>
    <row r="1" spans="1:15" ht="23.25" x14ac:dyDescent="0.35">
      <c r="A1" s="421"/>
      <c r="B1" s="421"/>
      <c r="C1" s="421"/>
    </row>
    <row r="3" spans="1:15" ht="16.5" thickBot="1" x14ac:dyDescent="0.3">
      <c r="A3" s="420" t="s">
        <v>243</v>
      </c>
      <c r="B3" s="420"/>
      <c r="C3" s="420"/>
      <c r="D3" t="str">
        <f>IF(($B58+$F$58)=$C$63,"OK","ERRORE")</f>
        <v>ERRORE</v>
      </c>
      <c r="E3" s="420" t="s">
        <v>249</v>
      </c>
      <c r="F3" s="420"/>
      <c r="G3" s="420"/>
      <c r="I3" s="420" t="s">
        <v>273</v>
      </c>
      <c r="J3" s="420"/>
      <c r="K3" s="420"/>
      <c r="M3" s="420" t="s">
        <v>296</v>
      </c>
      <c r="N3" s="420"/>
      <c r="O3" s="420"/>
    </row>
    <row r="4" spans="1:15" ht="39.75" thickBot="1" x14ac:dyDescent="0.3">
      <c r="A4" s="213" t="s">
        <v>242</v>
      </c>
      <c r="B4" s="214" t="s">
        <v>38</v>
      </c>
      <c r="C4" s="220" t="s">
        <v>244</v>
      </c>
      <c r="E4" s="213" t="s">
        <v>242</v>
      </c>
      <c r="F4" s="214" t="s">
        <v>38</v>
      </c>
      <c r="G4" s="220" t="s">
        <v>244</v>
      </c>
      <c r="I4" s="213" t="s">
        <v>242</v>
      </c>
      <c r="J4" s="214" t="s">
        <v>38</v>
      </c>
      <c r="K4" s="220" t="s">
        <v>244</v>
      </c>
      <c r="M4" s="213" t="s">
        <v>242</v>
      </c>
      <c r="N4" s="214" t="s">
        <v>38</v>
      </c>
      <c r="O4" s="220" t="s">
        <v>244</v>
      </c>
    </row>
    <row r="5" spans="1:15" x14ac:dyDescent="0.25">
      <c r="A5" s="210">
        <v>1</v>
      </c>
      <c r="B5" s="215">
        <f>SUMIFS(Calkos!$C$7:$C$2853,Calkos!$AF$7:$AF$2853,1,Calkos!$AG$7:$AG$2853,2022)</f>
        <v>0</v>
      </c>
      <c r="C5" s="219"/>
      <c r="E5" s="210">
        <v>1</v>
      </c>
      <c r="F5" s="215">
        <f>SUMIFS(Calkos!$C$7:$C$2853,Calkos!$AF$7:$AF$2853,1,Calkos!$AG$7:$AG$2853,2023)</f>
        <v>0</v>
      </c>
      <c r="G5" s="219"/>
      <c r="I5" s="210">
        <v>1</v>
      </c>
      <c r="J5" s="215">
        <f>SUMIFS(Calkos!$C$7:$C$2853,Calkos!$AF$7:$AF$2853,1,Calkos!$AG$7:$AG$2853,2024)</f>
        <v>0</v>
      </c>
      <c r="K5" s="219"/>
      <c r="M5" s="210">
        <v>1</v>
      </c>
      <c r="N5" s="215">
        <f>SUMIFS(Calkos!$C$7:$C$2853,Calkos!$AF$7:$AF$2853,1,Calkos!$AG$7:$AG$2853,2025)</f>
        <v>0</v>
      </c>
      <c r="O5" s="219"/>
    </row>
    <row r="6" spans="1:15" x14ac:dyDescent="0.25">
      <c r="A6" s="211">
        <f>+A5+1</f>
        <v>2</v>
      </c>
      <c r="B6" s="216">
        <f>SUMIFS(Calkos!$C$7:$C$2853,Calkos!$AF$7:$AF$2853,2,Calkos!$AG$7:$AG$2853,2022)</f>
        <v>0</v>
      </c>
      <c r="C6" s="202"/>
      <c r="E6" s="211">
        <f>+E5+1</f>
        <v>2</v>
      </c>
      <c r="F6" s="216">
        <f>SUMIFS(Calkos!$C$7:$C$2853,Calkos!$AF$7:$AF$2853,2,Calkos!$AG$7:$AG$2853,2023)</f>
        <v>0</v>
      </c>
      <c r="G6" s="202"/>
      <c r="I6" s="211">
        <f>+I5+1</f>
        <v>2</v>
      </c>
      <c r="J6" s="216">
        <f>SUMIFS(Calkos!$C$7:$C$2853,Calkos!$AF$7:$AF$2853,2,Calkos!$AG$7:$AG$2853,2024)</f>
        <v>0</v>
      </c>
      <c r="K6" s="202"/>
      <c r="M6" s="211">
        <f>+M5+1</f>
        <v>2</v>
      </c>
      <c r="N6" s="216">
        <f>SUMIFS(Calkos!$C$7:$C$2853,Calkos!$AF$7:$AF$2853,2,Calkos!$AG$7:$AG$2853,2025)</f>
        <v>0</v>
      </c>
      <c r="O6" s="202"/>
    </row>
    <row r="7" spans="1:15" x14ac:dyDescent="0.25">
      <c r="A7" s="211">
        <f t="shared" ref="A7:A57" si="0">+A6+1</f>
        <v>3</v>
      </c>
      <c r="B7" s="216">
        <f>SUMIFS(Calkos!$C$7:$C$2853,Calkos!$AF$7:$AF$2853,3,Calkos!$AG$7:$AG$2853,2022)</f>
        <v>0</v>
      </c>
      <c r="C7" s="202"/>
      <c r="E7" s="211">
        <f t="shared" ref="E7:E57" si="1">+E6+1</f>
        <v>3</v>
      </c>
      <c r="F7" s="216">
        <f>SUMIFS(Calkos!$C$7:$C$2853,Calkos!$AF$7:$AF$2853,3,Calkos!$AG$7:$AG$2853,2023)</f>
        <v>0</v>
      </c>
      <c r="G7" s="202"/>
      <c r="I7" s="211">
        <f t="shared" ref="I7:I57" si="2">+I6+1</f>
        <v>3</v>
      </c>
      <c r="J7" s="216">
        <f>SUMIFS(Calkos!$C$7:$C$2853,Calkos!$AF$7:$AF$2853,3,Calkos!$AG$7:$AG$2853,2024)</f>
        <v>0</v>
      </c>
      <c r="K7" s="202"/>
      <c r="M7" s="211">
        <f t="shared" ref="M7:M57" si="3">+M6+1</f>
        <v>3</v>
      </c>
      <c r="N7" s="216">
        <f>SUMIFS(Calkos!$C$7:$C$2853,Calkos!$AF$7:$AF$2853,3,Calkos!$AG$7:$AG$2853,2025)</f>
        <v>0</v>
      </c>
      <c r="O7" s="202"/>
    </row>
    <row r="8" spans="1:15" x14ac:dyDescent="0.25">
      <c r="A8" s="211">
        <f t="shared" si="0"/>
        <v>4</v>
      </c>
      <c r="B8" s="216">
        <f>SUMIFS(Calkos!$C$7:$C$2853,Calkos!$AF$7:$AF$2853,4,Calkos!$AG$7:$AG$2853,2022)</f>
        <v>0</v>
      </c>
      <c r="C8" s="202"/>
      <c r="E8" s="211">
        <f t="shared" si="1"/>
        <v>4</v>
      </c>
      <c r="F8" s="216">
        <f>SUMIFS(Calkos!$C$7:$C$2853,Calkos!$AF$7:$AF$2853,4,Calkos!$AG$7:$AG$2853,2023)</f>
        <v>0</v>
      </c>
      <c r="G8" s="202"/>
      <c r="I8" s="211">
        <f t="shared" si="2"/>
        <v>4</v>
      </c>
      <c r="J8" s="216">
        <f>SUMIFS(Calkos!$C$7:$C$2853,Calkos!$AF$7:$AF$2853,4,Calkos!$AG$7:$AG$2853,2024)</f>
        <v>0</v>
      </c>
      <c r="K8" s="202"/>
      <c r="M8" s="211">
        <f t="shared" si="3"/>
        <v>4</v>
      </c>
      <c r="N8" s="216">
        <f>SUMIFS(Calkos!$C$7:$C$2853,Calkos!$AF$7:$AF$2853,4,Calkos!$AG$7:$AG$2853,2025)</f>
        <v>0</v>
      </c>
      <c r="O8" s="202"/>
    </row>
    <row r="9" spans="1:15" x14ac:dyDescent="0.25">
      <c r="A9" s="211">
        <f t="shared" si="0"/>
        <v>5</v>
      </c>
      <c r="B9" s="216">
        <f>SUMIFS(Calkos!$C$7:$C$2853,Calkos!$AF$7:$AF$2853,5,Calkos!$AG$7:$AG$2853,2022)</f>
        <v>0</v>
      </c>
      <c r="C9" s="202"/>
      <c r="E9" s="211">
        <f t="shared" si="1"/>
        <v>5</v>
      </c>
      <c r="F9" s="216">
        <f>SUMIFS(Calkos!$C$7:$C$2853,Calkos!$AF$7:$AF$2853,5,Calkos!$AG$7:$AG$2853,2023)</f>
        <v>0</v>
      </c>
      <c r="G9" s="202"/>
      <c r="I9" s="211">
        <f t="shared" si="2"/>
        <v>5</v>
      </c>
      <c r="J9" s="216">
        <f>SUMIFS(Calkos!$C$7:$C$2853,Calkos!$AF$7:$AF$2853,5,Calkos!$AG$7:$AG$2853,2024)</f>
        <v>0</v>
      </c>
      <c r="K9" s="202"/>
      <c r="M9" s="211">
        <f t="shared" si="3"/>
        <v>5</v>
      </c>
      <c r="N9" s="216">
        <f>SUMIFS(Calkos!$C$7:$C$2853,Calkos!$AF$7:$AF$2853,5,Calkos!$AG$7:$AG$2853,2025)</f>
        <v>0</v>
      </c>
      <c r="O9" s="202"/>
    </row>
    <row r="10" spans="1:15" x14ac:dyDescent="0.25">
      <c r="A10" s="211">
        <f t="shared" si="0"/>
        <v>6</v>
      </c>
      <c r="B10" s="216">
        <f>SUMIFS(Calkos!$C$7:$C$2853,Calkos!$AF$7:$AF$2853,6,Calkos!$AG$7:$AG$2853,2022)</f>
        <v>0</v>
      </c>
      <c r="C10" s="202"/>
      <c r="E10" s="211">
        <f t="shared" si="1"/>
        <v>6</v>
      </c>
      <c r="F10" s="216">
        <f>SUMIFS(Calkos!$C$7:$C$2853,Calkos!$AF$7:$AF$2853,6,Calkos!$AG$7:$AG$2853,2023)</f>
        <v>0</v>
      </c>
      <c r="G10" s="202"/>
      <c r="I10" s="211">
        <f t="shared" si="2"/>
        <v>6</v>
      </c>
      <c r="J10" s="216">
        <f>SUMIFS(Calkos!$C$7:$C$2853,Calkos!$AF$7:$AF$2853,6,Calkos!$AG$7:$AG$2853,2024)</f>
        <v>0</v>
      </c>
      <c r="K10" s="202"/>
      <c r="M10" s="211">
        <f t="shared" si="3"/>
        <v>6</v>
      </c>
      <c r="N10" s="216">
        <f>SUMIFS(Calkos!$C$7:$C$2853,Calkos!$AF$7:$AF$2853,6,Calkos!$AG$7:$AG$2853,2025)</f>
        <v>0</v>
      </c>
      <c r="O10" s="202"/>
    </row>
    <row r="11" spans="1:15" x14ac:dyDescent="0.25">
      <c r="A11" s="211">
        <f t="shared" si="0"/>
        <v>7</v>
      </c>
      <c r="B11" s="216">
        <f>SUMIFS(Calkos!$C$7:$C$2853,Calkos!$AF$7:$AF$2853,7,Calkos!$AG$7:$AG$2853,2022)</f>
        <v>0</v>
      </c>
      <c r="C11" s="202"/>
      <c r="E11" s="211">
        <f t="shared" si="1"/>
        <v>7</v>
      </c>
      <c r="F11" s="216">
        <f>SUMIFS(Calkos!$C$7:$C$2853,Calkos!$AF$7:$AF$2853,7,Calkos!$AG$7:$AG$2853,2023)</f>
        <v>0</v>
      </c>
      <c r="G11" s="202"/>
      <c r="I11" s="211">
        <f t="shared" si="2"/>
        <v>7</v>
      </c>
      <c r="J11" s="216">
        <f>SUMIFS(Calkos!$C$7:$C$2853,Calkos!$AF$7:$AF$2853,7,Calkos!$AG$7:$AG$2853,2024)</f>
        <v>0</v>
      </c>
      <c r="K11" s="202"/>
      <c r="M11" s="211">
        <f t="shared" si="3"/>
        <v>7</v>
      </c>
      <c r="N11" s="216">
        <f>SUMIFS(Calkos!$C$7:$C$2853,Calkos!$AF$7:$AF$2853,7,Calkos!$AG$7:$AG$2853,2025)</f>
        <v>0</v>
      </c>
      <c r="O11" s="202"/>
    </row>
    <row r="12" spans="1:15" x14ac:dyDescent="0.25">
      <c r="A12" s="211">
        <f t="shared" si="0"/>
        <v>8</v>
      </c>
      <c r="B12" s="216">
        <f>SUMIFS(Calkos!$C$7:$C$2853,Calkos!$AF$7:$AF$2853,8,Calkos!$AG$7:$AG$2853,2022)</f>
        <v>0</v>
      </c>
      <c r="C12" s="202"/>
      <c r="E12" s="211">
        <f t="shared" si="1"/>
        <v>8</v>
      </c>
      <c r="F12" s="216">
        <f>SUMIFS(Calkos!$C$7:$C$2853,Calkos!$AF$7:$AF$2853,8,Calkos!$AG$7:$AG$2853,2023)</f>
        <v>0</v>
      </c>
      <c r="G12" s="202"/>
      <c r="I12" s="211">
        <f t="shared" si="2"/>
        <v>8</v>
      </c>
      <c r="J12" s="216">
        <f>SUMIFS(Calkos!$C$7:$C$2853,Calkos!$AF$7:$AF$2853,8,Calkos!$AG$7:$AG$2853,2024)</f>
        <v>0</v>
      </c>
      <c r="K12" s="202"/>
      <c r="M12" s="211">
        <f t="shared" si="3"/>
        <v>8</v>
      </c>
      <c r="N12" s="216">
        <f>SUMIFS(Calkos!$C$7:$C$2853,Calkos!$AF$7:$AF$2853,8,Calkos!$AG$7:$AG$2853,2025)</f>
        <v>0</v>
      </c>
      <c r="O12" s="202"/>
    </row>
    <row r="13" spans="1:15" x14ac:dyDescent="0.25">
      <c r="A13" s="211">
        <f t="shared" si="0"/>
        <v>9</v>
      </c>
      <c r="B13" s="216">
        <f>SUMIFS(Calkos!$C$7:$C$2853,Calkos!$AF$7:$AF$2853,9,Calkos!$AG$7:$AG$2853,2022)</f>
        <v>0</v>
      </c>
      <c r="C13" s="202"/>
      <c r="E13" s="211">
        <f t="shared" si="1"/>
        <v>9</v>
      </c>
      <c r="F13" s="216">
        <f>SUMIFS(Calkos!$C$7:$C$2853,Calkos!$AF$7:$AF$2853,9,Calkos!$AG$7:$AG$2853,2023)</f>
        <v>0</v>
      </c>
      <c r="G13" s="202"/>
      <c r="I13" s="211">
        <f t="shared" si="2"/>
        <v>9</v>
      </c>
      <c r="J13" s="216">
        <f>SUMIFS(Calkos!$C$7:$C$2853,Calkos!$AF$7:$AF$2853,9,Calkos!$AG$7:$AG$2853,2024)</f>
        <v>0</v>
      </c>
      <c r="K13" s="202"/>
      <c r="M13" s="211">
        <f t="shared" si="3"/>
        <v>9</v>
      </c>
      <c r="N13" s="216">
        <f>SUMIFS(Calkos!$C$7:$C$2853,Calkos!$AF$7:$AF$2853,9,Calkos!$AG$7:$AG$2853,2025)</f>
        <v>0</v>
      </c>
      <c r="O13" s="202"/>
    </row>
    <row r="14" spans="1:15" x14ac:dyDescent="0.25">
      <c r="A14" s="211">
        <f t="shared" si="0"/>
        <v>10</v>
      </c>
      <c r="B14" s="216">
        <f>SUMIFS(Calkos!$C$7:$C$2853,Calkos!$AF$7:$AF$2853,10,Calkos!$AG$7:$AG$2853,2022)</f>
        <v>0</v>
      </c>
      <c r="C14" s="202"/>
      <c r="E14" s="211">
        <f t="shared" si="1"/>
        <v>10</v>
      </c>
      <c r="F14" s="216">
        <f>SUMIFS(Calkos!$C$7:$C$2853,Calkos!$AF$7:$AF$2853,10,Calkos!$AG$7:$AG$2853,2023)</f>
        <v>0</v>
      </c>
      <c r="G14" s="202"/>
      <c r="I14" s="211">
        <f t="shared" si="2"/>
        <v>10</v>
      </c>
      <c r="J14" s="216">
        <f>SUMIFS(Calkos!$C$7:$C$2853,Calkos!$AF$7:$AF$2853,10,Calkos!$AG$7:$AG$2853,2024)</f>
        <v>0</v>
      </c>
      <c r="K14" s="202"/>
      <c r="M14" s="211">
        <f t="shared" si="3"/>
        <v>10</v>
      </c>
      <c r="N14" s="216">
        <f>SUMIFS(Calkos!$C$7:$C$2853,Calkos!$AF$7:$AF$2853,10,Calkos!$AG$7:$AG$2853,2025)</f>
        <v>0</v>
      </c>
      <c r="O14" s="202"/>
    </row>
    <row r="15" spans="1:15" x14ac:dyDescent="0.25">
      <c r="A15" s="211">
        <f t="shared" si="0"/>
        <v>11</v>
      </c>
      <c r="B15" s="216">
        <f>SUMIFS(Calkos!$C$7:$C$2853,Calkos!$AF$7:$AF$2853,11,Calkos!$AG$7:$AG$2853,2022)</f>
        <v>0</v>
      </c>
      <c r="C15" s="202"/>
      <c r="E15" s="211">
        <f t="shared" si="1"/>
        <v>11</v>
      </c>
      <c r="F15" s="216">
        <f>SUMIFS(Calkos!$C$7:$C$2853,Calkos!$AF$7:$AF$2853,11,Calkos!$AG$7:$AG$2853,2023)</f>
        <v>0</v>
      </c>
      <c r="G15" s="202"/>
      <c r="I15" s="211">
        <f t="shared" si="2"/>
        <v>11</v>
      </c>
      <c r="J15" s="216">
        <f>SUMIFS(Calkos!$C$7:$C$2853,Calkos!$AF$7:$AF$2853,11,Calkos!$AG$7:$AG$2853,2024)</f>
        <v>0</v>
      </c>
      <c r="K15" s="202"/>
      <c r="M15" s="211">
        <f t="shared" si="3"/>
        <v>11</v>
      </c>
      <c r="N15" s="216">
        <f>SUMIFS(Calkos!$C$7:$C$2853,Calkos!$AF$7:$AF$2853,11,Calkos!$AG$7:$AG$2853,2025)</f>
        <v>0</v>
      </c>
      <c r="O15" s="202"/>
    </row>
    <row r="16" spans="1:15" x14ac:dyDescent="0.25">
      <c r="A16" s="211">
        <f t="shared" si="0"/>
        <v>12</v>
      </c>
      <c r="B16" s="216">
        <f>SUMIFS(Calkos!$C$7:$C$2853,Calkos!$AF$7:$AF$2853,12,Calkos!$AG$7:$AG$2853,2022)</f>
        <v>0</v>
      </c>
      <c r="C16" s="202"/>
      <c r="E16" s="211">
        <f t="shared" si="1"/>
        <v>12</v>
      </c>
      <c r="F16" s="216">
        <f>SUMIFS(Calkos!$C$7:$C$2853,Calkos!$AF$7:$AF$2853,12,Calkos!$AG$7:$AG$2853,2023)</f>
        <v>0</v>
      </c>
      <c r="G16" s="202"/>
      <c r="I16" s="211">
        <f t="shared" si="2"/>
        <v>12</v>
      </c>
      <c r="J16" s="216">
        <f>SUMIFS(Calkos!$C$7:$C$2853,Calkos!$AF$7:$AF$2853,12,Calkos!$AG$7:$AG$2853,2024)</f>
        <v>0</v>
      </c>
      <c r="K16" s="202"/>
      <c r="M16" s="211">
        <f t="shared" si="3"/>
        <v>12</v>
      </c>
      <c r="N16" s="216">
        <f>SUMIFS(Calkos!$C$7:$C$2853,Calkos!$AF$7:$AF$2853,12,Calkos!$AG$7:$AG$2853,2025)</f>
        <v>0</v>
      </c>
      <c r="O16" s="202"/>
    </row>
    <row r="17" spans="1:15" x14ac:dyDescent="0.25">
      <c r="A17" s="211">
        <f t="shared" si="0"/>
        <v>13</v>
      </c>
      <c r="B17" s="216">
        <f>SUMIFS(Calkos!$C$7:$C$2853,Calkos!$AF$7:$AF$2853,13,Calkos!$AG$7:$AG$2853,2022)</f>
        <v>0</v>
      </c>
      <c r="C17" s="202"/>
      <c r="E17" s="211">
        <f t="shared" si="1"/>
        <v>13</v>
      </c>
      <c r="F17" s="216">
        <f>SUMIFS(Calkos!$C$7:$C$2853,Calkos!$AF$7:$AF$2853,13,Calkos!$AG$7:$AG$2853,2023)</f>
        <v>0</v>
      </c>
      <c r="G17" s="202"/>
      <c r="I17" s="211">
        <f t="shared" si="2"/>
        <v>13</v>
      </c>
      <c r="J17" s="216">
        <f>SUMIFS(Calkos!$C$7:$C$2853,Calkos!$AF$7:$AF$2853,13,Calkos!$AG$7:$AG$2853,2024)</f>
        <v>0</v>
      </c>
      <c r="K17" s="202"/>
      <c r="M17" s="211">
        <f t="shared" si="3"/>
        <v>13</v>
      </c>
      <c r="N17" s="216">
        <f>SUMIFS(Calkos!$C$7:$C$2853,Calkos!$AF$7:$AF$2853,13,Calkos!$AG$7:$AG$2853,2025)</f>
        <v>0</v>
      </c>
      <c r="O17" s="202"/>
    </row>
    <row r="18" spans="1:15" x14ac:dyDescent="0.25">
      <c r="A18" s="211">
        <f t="shared" si="0"/>
        <v>14</v>
      </c>
      <c r="B18" s="216">
        <f>SUMIFS(Calkos!$C$7:$C$2853,Calkos!$AF$7:$AF$2853,14,Calkos!$AG$7:$AG$2853,2022)</f>
        <v>0</v>
      </c>
      <c r="C18" s="202"/>
      <c r="E18" s="211">
        <f t="shared" si="1"/>
        <v>14</v>
      </c>
      <c r="F18" s="216">
        <f>SUMIFS(Calkos!$C$7:$C$2853,Calkos!$AF$7:$AF$2853,14,Calkos!$AG$7:$AG$2853,2023)</f>
        <v>0</v>
      </c>
      <c r="G18" s="202"/>
      <c r="I18" s="211">
        <f t="shared" si="2"/>
        <v>14</v>
      </c>
      <c r="J18" s="216">
        <f>SUMIFS(Calkos!$C$7:$C$2853,Calkos!$AF$7:$AF$2853,14,Calkos!$AG$7:$AG$2853,2024)</f>
        <v>0</v>
      </c>
      <c r="K18" s="202"/>
      <c r="M18" s="211">
        <f t="shared" si="3"/>
        <v>14</v>
      </c>
      <c r="N18" s="216">
        <f>SUMIFS(Calkos!$C$7:$C$2853,Calkos!$AF$7:$AF$2853,14,Calkos!$AG$7:$AG$2853,2025)</f>
        <v>0</v>
      </c>
      <c r="O18" s="202"/>
    </row>
    <row r="19" spans="1:15" x14ac:dyDescent="0.25">
      <c r="A19" s="211">
        <f t="shared" si="0"/>
        <v>15</v>
      </c>
      <c r="B19" s="216">
        <f>SUMIFS(Calkos!$C$7:$C$2853,Calkos!$AF$7:$AF$2853,15,Calkos!$AG$7:$AG$2853,2022)</f>
        <v>0</v>
      </c>
      <c r="C19" s="202"/>
      <c r="E19" s="211">
        <f t="shared" si="1"/>
        <v>15</v>
      </c>
      <c r="F19" s="216">
        <f>SUMIFS(Calkos!$C$7:$C$2853,Calkos!$AF$7:$AF$2853,15,Calkos!$AG$7:$AG$2853,2023)</f>
        <v>0</v>
      </c>
      <c r="G19" s="202"/>
      <c r="I19" s="211">
        <f t="shared" si="2"/>
        <v>15</v>
      </c>
      <c r="J19" s="216">
        <f>SUMIFS(Calkos!$C$7:$C$2853,Calkos!$AF$7:$AF$2853,15,Calkos!$AG$7:$AG$2853,2024)</f>
        <v>0</v>
      </c>
      <c r="K19" s="202"/>
      <c r="M19" s="211">
        <f t="shared" si="3"/>
        <v>15</v>
      </c>
      <c r="N19" s="216">
        <f>SUMIFS(Calkos!$C$7:$C$2853,Calkos!$AF$7:$AF$2853,15,Calkos!$AG$7:$AG$2853,2025)</f>
        <v>0</v>
      </c>
      <c r="O19" s="202"/>
    </row>
    <row r="20" spans="1:15" x14ac:dyDescent="0.25">
      <c r="A20" s="211">
        <f t="shared" si="0"/>
        <v>16</v>
      </c>
      <c r="B20" s="216">
        <f>SUMIFS(Calkos!$C$7:$C$2853,Calkos!$AF$7:$AF$2853,16,Calkos!$AG$7:$AG$2853,2022)</f>
        <v>0</v>
      </c>
      <c r="C20" s="202"/>
      <c r="E20" s="211">
        <f t="shared" si="1"/>
        <v>16</v>
      </c>
      <c r="F20" s="216">
        <f>SUMIFS(Calkos!$C$7:$C$2853,Calkos!$AF$7:$AF$2853,16,Calkos!$AG$7:$AG$2853,2023)</f>
        <v>0</v>
      </c>
      <c r="G20" s="202"/>
      <c r="I20" s="211">
        <f t="shared" si="2"/>
        <v>16</v>
      </c>
      <c r="J20" s="216">
        <f>SUMIFS(Calkos!$C$7:$C$2853,Calkos!$AF$7:$AF$2853,16,Calkos!$AG$7:$AG$2853,2024)</f>
        <v>0</v>
      </c>
      <c r="K20" s="202"/>
      <c r="M20" s="211">
        <f t="shared" si="3"/>
        <v>16</v>
      </c>
      <c r="N20" s="216">
        <f>SUMIFS(Calkos!$C$7:$C$2853,Calkos!$AF$7:$AF$2853,16,Calkos!$AG$7:$AG$2853,2025)</f>
        <v>0</v>
      </c>
      <c r="O20" s="202"/>
    </row>
    <row r="21" spans="1:15" x14ac:dyDescent="0.25">
      <c r="A21" s="211">
        <f t="shared" si="0"/>
        <v>17</v>
      </c>
      <c r="B21" s="216">
        <f>SUMIFS(Calkos!$C$7:$C$2853,Calkos!$AF$7:$AF$2853,17,Calkos!$AG$7:$AG$2853,2022)</f>
        <v>0</v>
      </c>
      <c r="C21" s="202"/>
      <c r="E21" s="211">
        <f t="shared" si="1"/>
        <v>17</v>
      </c>
      <c r="F21" s="216">
        <f>SUMIFS(Calkos!$C$7:$C$2853,Calkos!$AF$7:$AF$2853,17,Calkos!$AG$7:$AG$2853,2023)</f>
        <v>0</v>
      </c>
      <c r="G21" s="202"/>
      <c r="I21" s="211">
        <f t="shared" si="2"/>
        <v>17</v>
      </c>
      <c r="J21" s="216">
        <f>SUMIFS(Calkos!$C$7:$C$2853,Calkos!$AF$7:$AF$2853,17,Calkos!$AG$7:$AG$2853,2024)</f>
        <v>0</v>
      </c>
      <c r="K21" s="202"/>
      <c r="M21" s="211">
        <f t="shared" si="3"/>
        <v>17</v>
      </c>
      <c r="N21" s="216">
        <f>SUMIFS(Calkos!$C$7:$C$2853,Calkos!$AF$7:$AF$2853,17,Calkos!$AG$7:$AG$2853,2025)</f>
        <v>0</v>
      </c>
      <c r="O21" s="202"/>
    </row>
    <row r="22" spans="1:15" x14ac:dyDescent="0.25">
      <c r="A22" s="211">
        <f t="shared" si="0"/>
        <v>18</v>
      </c>
      <c r="B22" s="216">
        <f>SUMIFS(Calkos!$C$7:$C$2853,Calkos!$AF$7:$AF$2853,18,Calkos!$AG$7:$AG$2853,2022)</f>
        <v>0</v>
      </c>
      <c r="C22" s="202"/>
      <c r="E22" s="211">
        <f t="shared" si="1"/>
        <v>18</v>
      </c>
      <c r="F22" s="216">
        <f>SUMIFS(Calkos!$C$7:$C$2853,Calkos!$AF$7:$AF$2853,18,Calkos!$AG$7:$AG$2853,2023)</f>
        <v>0</v>
      </c>
      <c r="G22" s="202"/>
      <c r="I22" s="211">
        <f t="shared" si="2"/>
        <v>18</v>
      </c>
      <c r="J22" s="216">
        <f>SUMIFS(Calkos!$C$7:$C$2853,Calkos!$AF$7:$AF$2853,18,Calkos!$AG$7:$AG$2853,2024)</f>
        <v>0</v>
      </c>
      <c r="K22" s="202"/>
      <c r="M22" s="211">
        <f t="shared" si="3"/>
        <v>18</v>
      </c>
      <c r="N22" s="216">
        <f>SUMIFS(Calkos!$C$7:$C$2853,Calkos!$AF$7:$AF$2853,18,Calkos!$AG$7:$AG$2853,2025)</f>
        <v>0</v>
      </c>
      <c r="O22" s="202"/>
    </row>
    <row r="23" spans="1:15" x14ac:dyDescent="0.25">
      <c r="A23" s="211">
        <f t="shared" si="0"/>
        <v>19</v>
      </c>
      <c r="B23" s="216">
        <f>SUMIFS(Calkos!$C$7:$C$2853,Calkos!$AF$7:$AF$2853,19,Calkos!$AG$7:$AG$2853,2022)</f>
        <v>0</v>
      </c>
      <c r="C23" s="202"/>
      <c r="E23" s="211">
        <f t="shared" si="1"/>
        <v>19</v>
      </c>
      <c r="F23" s="216">
        <f>SUMIFS(Calkos!$C$7:$C$2853,Calkos!$AF$7:$AF$2853,19,Calkos!$AG$7:$AG$2853,2023)</f>
        <v>0</v>
      </c>
      <c r="G23" s="202"/>
      <c r="I23" s="211">
        <f t="shared" si="2"/>
        <v>19</v>
      </c>
      <c r="J23" s="216">
        <f>SUMIFS(Calkos!$C$7:$C$2853,Calkos!$AF$7:$AF$2853,19,Calkos!$AG$7:$AG$2853,2024)</f>
        <v>0</v>
      </c>
      <c r="K23" s="202"/>
      <c r="M23" s="211">
        <f t="shared" si="3"/>
        <v>19</v>
      </c>
      <c r="N23" s="216">
        <f>SUMIFS(Calkos!$C$7:$C$2853,Calkos!$AF$7:$AF$2853,19,Calkos!$AG$7:$AG$2853,2025)</f>
        <v>0</v>
      </c>
      <c r="O23" s="202"/>
    </row>
    <row r="24" spans="1:15" x14ac:dyDescent="0.25">
      <c r="A24" s="211">
        <f t="shared" si="0"/>
        <v>20</v>
      </c>
      <c r="B24" s="216">
        <f>SUMIFS(Calkos!$C$7:$C$2853,Calkos!$AF$7:$AF$2853,20,Calkos!$AG$7:$AG$2853,2022)</f>
        <v>0</v>
      </c>
      <c r="C24" s="202"/>
      <c r="E24" s="211">
        <f t="shared" si="1"/>
        <v>20</v>
      </c>
      <c r="F24" s="216">
        <f>SUMIFS(Calkos!$C$7:$C$2853,Calkos!$AF$7:$AF$2853,20,Calkos!$AG$7:$AG$2853,2023)</f>
        <v>0</v>
      </c>
      <c r="G24" s="202"/>
      <c r="I24" s="211">
        <f t="shared" si="2"/>
        <v>20</v>
      </c>
      <c r="J24" s="216">
        <f>SUMIFS(Calkos!$C$7:$C$2853,Calkos!$AF$7:$AF$2853,20,Calkos!$AG$7:$AG$2853,2024)</f>
        <v>0</v>
      </c>
      <c r="K24" s="202"/>
      <c r="M24" s="211">
        <f t="shared" si="3"/>
        <v>20</v>
      </c>
      <c r="N24" s="216">
        <f>SUMIFS(Calkos!$C$7:$C$2853,Calkos!$AF$7:$AF$2853,20,Calkos!$AG$7:$AG$2853,2025)</f>
        <v>0</v>
      </c>
      <c r="O24" s="202"/>
    </row>
    <row r="25" spans="1:15" x14ac:dyDescent="0.25">
      <c r="A25" s="211">
        <f t="shared" si="0"/>
        <v>21</v>
      </c>
      <c r="B25" s="216">
        <f>SUMIFS(Calkos!$C$7:$C$2853,Calkos!$AF$7:$AF$2853,21,Calkos!$AG$7:$AG$2853,2022)</f>
        <v>0</v>
      </c>
      <c r="C25" s="202"/>
      <c r="E25" s="211">
        <f t="shared" si="1"/>
        <v>21</v>
      </c>
      <c r="F25" s="216">
        <f>SUMIFS(Calkos!$C$7:$C$2853,Calkos!$AF$7:$AF$2853,21,Calkos!$AG$7:$AG$2853,2023)</f>
        <v>0</v>
      </c>
      <c r="G25" s="202"/>
      <c r="I25" s="211">
        <f t="shared" si="2"/>
        <v>21</v>
      </c>
      <c r="J25" s="216">
        <f>SUMIFS(Calkos!$C$7:$C$2853,Calkos!$AF$7:$AF$2853,21,Calkos!$AG$7:$AG$2853,2024)</f>
        <v>0</v>
      </c>
      <c r="K25" s="202"/>
      <c r="M25" s="211">
        <f t="shared" si="3"/>
        <v>21</v>
      </c>
      <c r="N25" s="216">
        <f>SUMIFS(Calkos!$C$7:$C$2853,Calkos!$AF$7:$AF$2853,21,Calkos!$AG$7:$AG$2853,2025)</f>
        <v>0</v>
      </c>
      <c r="O25" s="202"/>
    </row>
    <row r="26" spans="1:15" x14ac:dyDescent="0.25">
      <c r="A26" s="211">
        <f t="shared" si="0"/>
        <v>22</v>
      </c>
      <c r="B26" s="216">
        <f>SUMIFS(Calkos!$C$7:$C$2853,Calkos!$AF$7:$AF$2853,22,Calkos!$AG$7:$AG$2853,2022)</f>
        <v>0</v>
      </c>
      <c r="C26" s="202"/>
      <c r="E26" s="211">
        <f t="shared" si="1"/>
        <v>22</v>
      </c>
      <c r="F26" s="216">
        <f>SUMIFS(Calkos!$C$7:$C$2853,Calkos!$AF$7:$AF$2853,22,Calkos!$AG$7:$AG$2853,2023)</f>
        <v>0</v>
      </c>
      <c r="G26" s="202"/>
      <c r="I26" s="211">
        <f t="shared" si="2"/>
        <v>22</v>
      </c>
      <c r="J26" s="216">
        <f>SUMIFS(Calkos!$C$7:$C$2853,Calkos!$AF$7:$AF$2853,22,Calkos!$AG$7:$AG$2853,2024)</f>
        <v>0</v>
      </c>
      <c r="K26" s="202"/>
      <c r="M26" s="211">
        <f t="shared" si="3"/>
        <v>22</v>
      </c>
      <c r="N26" s="216">
        <f>SUMIFS(Calkos!$C$7:$C$2853,Calkos!$AF$7:$AF$2853,22,Calkos!$AG$7:$AG$2853,2025)</f>
        <v>0</v>
      </c>
      <c r="O26" s="202"/>
    </row>
    <row r="27" spans="1:15" x14ac:dyDescent="0.25">
      <c r="A27" s="211">
        <f t="shared" si="0"/>
        <v>23</v>
      </c>
      <c r="B27" s="216">
        <f>SUMIFS(Calkos!$C$7:$C$2853,Calkos!$AF$7:$AF$2853,23,Calkos!$AG$7:$AG$2853,2022)</f>
        <v>0</v>
      </c>
      <c r="C27" s="202"/>
      <c r="E27" s="211">
        <f t="shared" si="1"/>
        <v>23</v>
      </c>
      <c r="F27" s="216">
        <f>SUMIFS(Calkos!$C$7:$C$2853,Calkos!$AF$7:$AF$2853,23,Calkos!$AG$7:$AG$2853,2023)</f>
        <v>0</v>
      </c>
      <c r="G27" s="202"/>
      <c r="I27" s="211">
        <f t="shared" si="2"/>
        <v>23</v>
      </c>
      <c r="J27" s="216">
        <f>SUMIFS(Calkos!$C$7:$C$2853,Calkos!$AF$7:$AF$2853,23,Calkos!$AG$7:$AG$2853,2024)</f>
        <v>0</v>
      </c>
      <c r="K27" s="202"/>
      <c r="M27" s="211">
        <f t="shared" si="3"/>
        <v>23</v>
      </c>
      <c r="N27" s="216">
        <f>SUMIFS(Calkos!$C$7:$C$2853,Calkos!$AF$7:$AF$2853,23,Calkos!$AG$7:$AG$2853,2025)</f>
        <v>0</v>
      </c>
      <c r="O27" s="202"/>
    </row>
    <row r="28" spans="1:15" x14ac:dyDescent="0.25">
      <c r="A28" s="211">
        <f t="shared" si="0"/>
        <v>24</v>
      </c>
      <c r="B28" s="216">
        <f>SUMIFS(Calkos!$C$7:$C$2853,Calkos!$AF$7:$AF$2853,24,Calkos!$AG$7:$AG$2853,2022)</f>
        <v>0</v>
      </c>
      <c r="C28" s="202"/>
      <c r="E28" s="211">
        <f t="shared" si="1"/>
        <v>24</v>
      </c>
      <c r="F28" s="216">
        <f>SUMIFS(Calkos!$C$7:$C$2853,Calkos!$AF$7:$AF$2853,24,Calkos!$AG$7:$AG$2853,2023)</f>
        <v>0</v>
      </c>
      <c r="G28" s="202"/>
      <c r="I28" s="211">
        <f t="shared" si="2"/>
        <v>24</v>
      </c>
      <c r="J28" s="216">
        <f>SUMIFS(Calkos!$C$7:$C$2853,Calkos!$AF$7:$AF$2853,24,Calkos!$AG$7:$AG$2853,2024)</f>
        <v>0</v>
      </c>
      <c r="K28" s="202"/>
      <c r="M28" s="211">
        <f t="shared" si="3"/>
        <v>24</v>
      </c>
      <c r="N28" s="216">
        <f>SUMIFS(Calkos!$C$7:$C$2853,Calkos!$AF$7:$AF$2853,24,Calkos!$AG$7:$AG$2853,2025)</f>
        <v>0</v>
      </c>
      <c r="O28" s="202"/>
    </row>
    <row r="29" spans="1:15" x14ac:dyDescent="0.25">
      <c r="A29" s="211">
        <f t="shared" si="0"/>
        <v>25</v>
      </c>
      <c r="B29" s="216">
        <f>SUMIFS(Calkos!$C$7:$C$2853,Calkos!$AF$7:$AF$2853,25,Calkos!$AG$7:$AG$2853,2022)</f>
        <v>0</v>
      </c>
      <c r="C29" s="202"/>
      <c r="E29" s="211">
        <f t="shared" si="1"/>
        <v>25</v>
      </c>
      <c r="F29" s="216">
        <f>SUMIFS(Calkos!$C$7:$C$2853,Calkos!$AF$7:$AF$2853,25,Calkos!$AG$7:$AG$2853,2023)</f>
        <v>0</v>
      </c>
      <c r="G29" s="202"/>
      <c r="I29" s="211">
        <f t="shared" si="2"/>
        <v>25</v>
      </c>
      <c r="J29" s="216">
        <f>SUMIFS(Calkos!$C$7:$C$2853,Calkos!$AF$7:$AF$2853,25,Calkos!$AG$7:$AG$2853,2024)</f>
        <v>0</v>
      </c>
      <c r="K29" s="202"/>
      <c r="M29" s="211">
        <f t="shared" si="3"/>
        <v>25</v>
      </c>
      <c r="N29" s="216">
        <f>SUMIFS(Calkos!$C$7:$C$2853,Calkos!$AF$7:$AF$2853,25,Calkos!$AG$7:$AG$2853,2025)</f>
        <v>0</v>
      </c>
      <c r="O29" s="202"/>
    </row>
    <row r="30" spans="1:15" x14ac:dyDescent="0.25">
      <c r="A30" s="211">
        <f t="shared" si="0"/>
        <v>26</v>
      </c>
      <c r="B30" s="216">
        <f>SUMIFS(Calkos!$C$7:$C$2853,Calkos!$AF$7:$AF$2853,26,Calkos!$AG$7:$AG$2853,2022)</f>
        <v>0</v>
      </c>
      <c r="C30" s="202"/>
      <c r="E30" s="211">
        <f t="shared" si="1"/>
        <v>26</v>
      </c>
      <c r="F30" s="216">
        <f>SUMIFS(Calkos!$C$7:$C$2853,Calkos!$AF$7:$AF$2853,26,Calkos!$AG$7:$AG$2853,2023)</f>
        <v>0</v>
      </c>
      <c r="G30" s="202"/>
      <c r="I30" s="211">
        <f t="shared" si="2"/>
        <v>26</v>
      </c>
      <c r="J30" s="216">
        <f>SUMIFS(Calkos!$C$7:$C$2853,Calkos!$AF$7:$AF$2853,26,Calkos!$AG$7:$AG$2853,2024)</f>
        <v>0</v>
      </c>
      <c r="K30" s="202"/>
      <c r="M30" s="211">
        <f t="shared" si="3"/>
        <v>26</v>
      </c>
      <c r="N30" s="216">
        <f>SUMIFS(Calkos!$C$7:$C$2853,Calkos!$AF$7:$AF$2853,26,Calkos!$AG$7:$AG$2853,2025)</f>
        <v>0</v>
      </c>
      <c r="O30" s="202"/>
    </row>
    <row r="31" spans="1:15" x14ac:dyDescent="0.25">
      <c r="A31" s="211">
        <f t="shared" si="0"/>
        <v>27</v>
      </c>
      <c r="B31" s="216">
        <f>SUMIFS(Calkos!$C$7:$C$2853,Calkos!$AF$7:$AF$2853,27,Calkos!$AG$7:$AG$2853,2022)</f>
        <v>0</v>
      </c>
      <c r="C31" s="202"/>
      <c r="E31" s="211">
        <f t="shared" si="1"/>
        <v>27</v>
      </c>
      <c r="F31" s="216">
        <f>SUMIFS(Calkos!$C$7:$C$2853,Calkos!$AF$7:$AF$2853,27,Calkos!$AG$7:$AG$2853,2023)</f>
        <v>0</v>
      </c>
      <c r="G31" s="202"/>
      <c r="I31" s="211">
        <f t="shared" si="2"/>
        <v>27</v>
      </c>
      <c r="J31" s="216">
        <f>SUMIFS(Calkos!$C$7:$C$2853,Calkos!$AF$7:$AF$2853,27,Calkos!$AG$7:$AG$2853,2024)</f>
        <v>0</v>
      </c>
      <c r="K31" s="202"/>
      <c r="M31" s="211">
        <f t="shared" si="3"/>
        <v>27</v>
      </c>
      <c r="N31" s="216">
        <f>SUMIFS(Calkos!$C$7:$C$2853,Calkos!$AF$7:$AF$2853,27,Calkos!$AG$7:$AG$2853,2025)</f>
        <v>0</v>
      </c>
      <c r="O31" s="202"/>
    </row>
    <row r="32" spans="1:15" x14ac:dyDescent="0.25">
      <c r="A32" s="211">
        <f t="shared" si="0"/>
        <v>28</v>
      </c>
      <c r="B32" s="216">
        <f>SUMIFS(Calkos!$C$7:$C$2853,Calkos!$AF$7:$AF$2853,28,Calkos!$AG$7:$AG$2853,2022)</f>
        <v>0</v>
      </c>
      <c r="C32" s="202"/>
      <c r="E32" s="211">
        <f t="shared" si="1"/>
        <v>28</v>
      </c>
      <c r="F32" s="216">
        <f>SUMIFS(Calkos!$C$7:$C$2853,Calkos!$AF$7:$AF$2853,28,Calkos!$AG$7:$AG$2853,2023)</f>
        <v>0</v>
      </c>
      <c r="G32" s="202"/>
      <c r="I32" s="211">
        <f t="shared" si="2"/>
        <v>28</v>
      </c>
      <c r="J32" s="216">
        <f>SUMIFS(Calkos!$C$7:$C$2853,Calkos!$AF$7:$AF$2853,28,Calkos!$AG$7:$AG$2853,2024)</f>
        <v>0</v>
      </c>
      <c r="K32" s="202"/>
      <c r="M32" s="211">
        <f t="shared" si="3"/>
        <v>28</v>
      </c>
      <c r="N32" s="216">
        <f>SUMIFS(Calkos!$C$7:$C$2853,Calkos!$AF$7:$AF$2853,28,Calkos!$AG$7:$AG$2853,2025)</f>
        <v>0</v>
      </c>
      <c r="O32" s="202"/>
    </row>
    <row r="33" spans="1:15" x14ac:dyDescent="0.25">
      <c r="A33" s="211">
        <f t="shared" si="0"/>
        <v>29</v>
      </c>
      <c r="B33" s="216">
        <f>SUMIFS(Calkos!$C$7:$C$2853,Calkos!$AF$7:$AF$2853,29,Calkos!$AG$7:$AG$2853,2022)</f>
        <v>0</v>
      </c>
      <c r="C33" s="202"/>
      <c r="E33" s="211">
        <f t="shared" si="1"/>
        <v>29</v>
      </c>
      <c r="F33" s="216">
        <f>SUMIFS(Calkos!$C$7:$C$2853,Calkos!$AF$7:$AF$2853,29,Calkos!$AG$7:$AG$2853,2023)</f>
        <v>0</v>
      </c>
      <c r="G33" s="202"/>
      <c r="I33" s="211">
        <f t="shared" si="2"/>
        <v>29</v>
      </c>
      <c r="J33" s="216">
        <f>SUMIFS(Calkos!$C$7:$C$2853,Calkos!$AF$7:$AF$2853,29,Calkos!$AG$7:$AG$2853,2024)</f>
        <v>0</v>
      </c>
      <c r="K33" s="202"/>
      <c r="M33" s="211">
        <f t="shared" si="3"/>
        <v>29</v>
      </c>
      <c r="N33" s="216">
        <f>SUMIFS(Calkos!$C$7:$C$2853,Calkos!$AF$7:$AF$2853,29,Calkos!$AG$7:$AG$2853,2025)</f>
        <v>0</v>
      </c>
      <c r="O33" s="202"/>
    </row>
    <row r="34" spans="1:15" x14ac:dyDescent="0.25">
      <c r="A34" s="211">
        <f t="shared" si="0"/>
        <v>30</v>
      </c>
      <c r="B34" s="216">
        <f>SUMIFS(Calkos!$C$7:$C$2853,Calkos!$AF$7:$AF$2853,30,Calkos!$AG$7:$AG$2853,2022)</f>
        <v>0</v>
      </c>
      <c r="C34" s="202"/>
      <c r="E34" s="211">
        <f t="shared" si="1"/>
        <v>30</v>
      </c>
      <c r="F34" s="216">
        <f>SUMIFS(Calkos!$C$7:$C$2853,Calkos!$AF$7:$AF$2853,30,Calkos!$AG$7:$AG$2853,2023)</f>
        <v>0</v>
      </c>
      <c r="G34" s="202"/>
      <c r="I34" s="211">
        <f t="shared" si="2"/>
        <v>30</v>
      </c>
      <c r="J34" s="216">
        <f>SUMIFS(Calkos!$C$7:$C$2853,Calkos!$AF$7:$AF$2853,30,Calkos!$AG$7:$AG$2853,2024)</f>
        <v>0</v>
      </c>
      <c r="K34" s="202"/>
      <c r="M34" s="211">
        <f t="shared" si="3"/>
        <v>30</v>
      </c>
      <c r="N34" s="216">
        <f>SUMIFS(Calkos!$C$7:$C$2853,Calkos!$AF$7:$AF$2853,30,Calkos!$AG$7:$AG$2853,2025)</f>
        <v>0</v>
      </c>
      <c r="O34" s="202"/>
    </row>
    <row r="35" spans="1:15" x14ac:dyDescent="0.25">
      <c r="A35" s="211">
        <f t="shared" si="0"/>
        <v>31</v>
      </c>
      <c r="B35" s="216">
        <f>SUMIFS(Calkos!$C$7:$C$2853,Calkos!$AF$7:$AF$2853,31,Calkos!$AG$7:$AG$2853,2022)</f>
        <v>0</v>
      </c>
      <c r="C35" s="202"/>
      <c r="E35" s="211">
        <f t="shared" si="1"/>
        <v>31</v>
      </c>
      <c r="F35" s="216">
        <f>SUMIFS(Calkos!$C$7:$C$2853,Calkos!$AF$7:$AF$2853,31,Calkos!$AG$7:$AG$2853,2023)</f>
        <v>0</v>
      </c>
      <c r="G35" s="202"/>
      <c r="I35" s="211">
        <f t="shared" si="2"/>
        <v>31</v>
      </c>
      <c r="J35" s="216">
        <f>SUMIFS(Calkos!$C$7:$C$2853,Calkos!$AF$7:$AF$2853,31,Calkos!$AG$7:$AG$2853,2024)</f>
        <v>0</v>
      </c>
      <c r="K35" s="202"/>
      <c r="M35" s="211">
        <f t="shared" si="3"/>
        <v>31</v>
      </c>
      <c r="N35" s="216">
        <f>SUMIFS(Calkos!$C$7:$C$2853,Calkos!$AF$7:$AF$2853,31,Calkos!$AG$7:$AG$2853,2025)</f>
        <v>0</v>
      </c>
      <c r="O35" s="202"/>
    </row>
    <row r="36" spans="1:15" x14ac:dyDescent="0.25">
      <c r="A36" s="211">
        <f t="shared" si="0"/>
        <v>32</v>
      </c>
      <c r="B36" s="216">
        <f>SUMIFS(Calkos!$C$7:$C$2853,Calkos!$AF$7:$AF$2853,32,Calkos!$AG$7:$AG$2853,2022)</f>
        <v>0</v>
      </c>
      <c r="C36" s="202"/>
      <c r="E36" s="211">
        <f t="shared" si="1"/>
        <v>32</v>
      </c>
      <c r="F36" s="216">
        <f>SUMIFS(Calkos!$C$7:$C$2853,Calkos!$AF$7:$AF$2853,32,Calkos!$AG$7:$AG$2853,2023)</f>
        <v>0</v>
      </c>
      <c r="G36" s="202"/>
      <c r="I36" s="211">
        <f t="shared" si="2"/>
        <v>32</v>
      </c>
      <c r="J36" s="216">
        <f>SUMIFS(Calkos!$C$7:$C$2853,Calkos!$AF$7:$AF$2853,32,Calkos!$AG$7:$AG$2853,2024)</f>
        <v>0</v>
      </c>
      <c r="K36" s="202"/>
      <c r="M36" s="211">
        <f t="shared" si="3"/>
        <v>32</v>
      </c>
      <c r="N36" s="216">
        <f>SUMIFS(Calkos!$C$7:$C$2853,Calkos!$AF$7:$AF$2853,32,Calkos!$AG$7:$AG$2853,2025)</f>
        <v>0</v>
      </c>
      <c r="O36" s="202"/>
    </row>
    <row r="37" spans="1:15" x14ac:dyDescent="0.25">
      <c r="A37" s="211">
        <f t="shared" si="0"/>
        <v>33</v>
      </c>
      <c r="B37" s="216">
        <f>SUMIFS(Calkos!$C$7:$C$2853,Calkos!$AF$7:$AF$2853,33,Calkos!$AG$7:$AG$2853,2022)</f>
        <v>0</v>
      </c>
      <c r="C37" s="202"/>
      <c r="E37" s="211">
        <f t="shared" si="1"/>
        <v>33</v>
      </c>
      <c r="F37" s="216">
        <f>SUMIFS(Calkos!$C$7:$C$2853,Calkos!$AF$7:$AF$2853,33,Calkos!$AG$7:$AG$2853,2023)</f>
        <v>0</v>
      </c>
      <c r="G37" s="202"/>
      <c r="I37" s="211">
        <f t="shared" si="2"/>
        <v>33</v>
      </c>
      <c r="J37" s="216">
        <f>SUMIFS(Calkos!$C$7:$C$2853,Calkos!$AF$7:$AF$2853,33,Calkos!$AG$7:$AG$2853,2024)</f>
        <v>0</v>
      </c>
      <c r="K37" s="202"/>
      <c r="M37" s="211">
        <f t="shared" si="3"/>
        <v>33</v>
      </c>
      <c r="N37" s="216">
        <f>SUMIFS(Calkos!$C$7:$C$2853,Calkos!$AF$7:$AF$2853,33,Calkos!$AG$7:$AG$2853,2025)</f>
        <v>0</v>
      </c>
      <c r="O37" s="202"/>
    </row>
    <row r="38" spans="1:15" x14ac:dyDescent="0.25">
      <c r="A38" s="211">
        <f t="shared" si="0"/>
        <v>34</v>
      </c>
      <c r="B38" s="216">
        <f>SUMIFS(Calkos!$C$7:$C$2853,Calkos!$AF$7:$AF$2853,34,Calkos!$AG$7:$AG$2853,2022)</f>
        <v>0</v>
      </c>
      <c r="C38" s="202"/>
      <c r="E38" s="211">
        <f t="shared" si="1"/>
        <v>34</v>
      </c>
      <c r="F38" s="216">
        <f>SUMIFS(Calkos!$C$7:$C$2853,Calkos!$AF$7:$AF$2853,34,Calkos!$AG$7:$AG$2853,2023)</f>
        <v>0</v>
      </c>
      <c r="G38" s="202"/>
      <c r="I38" s="211">
        <f t="shared" si="2"/>
        <v>34</v>
      </c>
      <c r="J38" s="216">
        <f>SUMIFS(Calkos!$C$7:$C$2853,Calkos!$AF$7:$AF$2853,34,Calkos!$AG$7:$AG$2853,2024)</f>
        <v>0</v>
      </c>
      <c r="K38" s="202"/>
      <c r="M38" s="211">
        <f t="shared" si="3"/>
        <v>34</v>
      </c>
      <c r="N38" s="216">
        <f>SUMIFS(Calkos!$C$7:$C$2853,Calkos!$AF$7:$AF$2853,34,Calkos!$AG$7:$AG$2853,2025)</f>
        <v>0</v>
      </c>
      <c r="O38" s="202"/>
    </row>
    <row r="39" spans="1:15" x14ac:dyDescent="0.25">
      <c r="A39" s="211">
        <f t="shared" si="0"/>
        <v>35</v>
      </c>
      <c r="B39" s="216">
        <f>SUMIFS(Calkos!$C$7:$C$2853,Calkos!$AF$7:$AF$2853,35,Calkos!$AG$7:$AG$2853,2022)</f>
        <v>0</v>
      </c>
      <c r="C39" s="202"/>
      <c r="E39" s="211">
        <f t="shared" si="1"/>
        <v>35</v>
      </c>
      <c r="F39" s="216">
        <f>SUMIFS(Calkos!$C$7:$C$2853,Calkos!$AF$7:$AF$2853,35,Calkos!$AG$7:$AG$2853,2023)</f>
        <v>0</v>
      </c>
      <c r="G39" s="202"/>
      <c r="I39" s="211">
        <f t="shared" si="2"/>
        <v>35</v>
      </c>
      <c r="J39" s="216">
        <f>SUMIFS(Calkos!$C$7:$C$2853,Calkos!$AF$7:$AF$2853,35,Calkos!$AG$7:$AG$2853,2024)</f>
        <v>0</v>
      </c>
      <c r="K39" s="202"/>
      <c r="M39" s="211">
        <f t="shared" si="3"/>
        <v>35</v>
      </c>
      <c r="N39" s="216">
        <f>SUMIFS(Calkos!$C$7:$C$2853,Calkos!$AF$7:$AF$2853,35,Calkos!$AG$7:$AG$2853,2025)</f>
        <v>0</v>
      </c>
      <c r="O39" s="202"/>
    </row>
    <row r="40" spans="1:15" x14ac:dyDescent="0.25">
      <c r="A40" s="211">
        <f t="shared" si="0"/>
        <v>36</v>
      </c>
      <c r="B40" s="216">
        <f>SUMIFS(Calkos!$C$7:$C$2853,Calkos!$AF$7:$AF$2853,36,Calkos!$AG$7:$AG$2853,2022)</f>
        <v>0</v>
      </c>
      <c r="C40" s="202"/>
      <c r="E40" s="211">
        <f t="shared" si="1"/>
        <v>36</v>
      </c>
      <c r="F40" s="216">
        <f>SUMIFS(Calkos!$C$7:$C$2853,Calkos!$AF$7:$AF$2853,36,Calkos!$AG$7:$AG$2853,2023)</f>
        <v>0</v>
      </c>
      <c r="G40" s="202"/>
      <c r="I40" s="211">
        <f t="shared" si="2"/>
        <v>36</v>
      </c>
      <c r="J40" s="216">
        <f>SUMIFS(Calkos!$C$7:$C$2853,Calkos!$AF$7:$AF$2853,36,Calkos!$AG$7:$AG$2853,2024)</f>
        <v>0</v>
      </c>
      <c r="K40" s="202"/>
      <c r="M40" s="211">
        <f t="shared" si="3"/>
        <v>36</v>
      </c>
      <c r="N40" s="216">
        <f>SUMIFS(Calkos!$C$7:$C$2853,Calkos!$AF$7:$AF$2853,36,Calkos!$AG$7:$AG$2853,2025)</f>
        <v>0</v>
      </c>
      <c r="O40" s="202"/>
    </row>
    <row r="41" spans="1:15" x14ac:dyDescent="0.25">
      <c r="A41" s="211">
        <f t="shared" si="0"/>
        <v>37</v>
      </c>
      <c r="B41" s="216">
        <f>SUMIFS(Calkos!$C$7:$C$2853,Calkos!$AF$7:$AF$2853,37,Calkos!$AG$7:$AG$2853,2022)</f>
        <v>0</v>
      </c>
      <c r="C41" s="202"/>
      <c r="E41" s="211">
        <f t="shared" si="1"/>
        <v>37</v>
      </c>
      <c r="F41" s="216">
        <f>SUMIFS(Calkos!$C$7:$C$2853,Calkos!$AF$7:$AF$2853,37,Calkos!$AG$7:$AG$2853,2023)</f>
        <v>0</v>
      </c>
      <c r="G41" s="202"/>
      <c r="I41" s="211">
        <f t="shared" si="2"/>
        <v>37</v>
      </c>
      <c r="J41" s="216">
        <f>SUMIFS(Calkos!$C$7:$C$2853,Calkos!$AF$7:$AF$2853,37,Calkos!$AG$7:$AG$2853,2024)</f>
        <v>0</v>
      </c>
      <c r="K41" s="202"/>
      <c r="M41" s="211">
        <f t="shared" si="3"/>
        <v>37</v>
      </c>
      <c r="N41" s="216">
        <f>SUMIFS(Calkos!$C$7:$C$2853,Calkos!$AF$7:$AF$2853,37,Calkos!$AG$7:$AG$2853,2025)</f>
        <v>0</v>
      </c>
      <c r="O41" s="202"/>
    </row>
    <row r="42" spans="1:15" x14ac:dyDescent="0.25">
      <c r="A42" s="211">
        <f t="shared" si="0"/>
        <v>38</v>
      </c>
      <c r="B42" s="216">
        <f>SUMIFS(Calkos!$C$7:$C$2853,Calkos!$AF$7:$AF$2853,38,Calkos!$AG$7:$AG$2853,2022)</f>
        <v>0</v>
      </c>
      <c r="C42" s="202"/>
      <c r="E42" s="211">
        <f t="shared" si="1"/>
        <v>38</v>
      </c>
      <c r="F42" s="216">
        <f>SUMIFS(Calkos!$C$7:$C$2853,Calkos!$AF$7:$AF$2853,38,Calkos!$AG$7:$AG$2853,2023)</f>
        <v>0</v>
      </c>
      <c r="G42" s="202"/>
      <c r="I42" s="211">
        <f t="shared" si="2"/>
        <v>38</v>
      </c>
      <c r="J42" s="216">
        <f>SUMIFS(Calkos!$C$7:$C$2853,Calkos!$AF$7:$AF$2853,38,Calkos!$AG$7:$AG$2853,2024)</f>
        <v>0</v>
      </c>
      <c r="K42" s="202"/>
      <c r="M42" s="211">
        <f t="shared" si="3"/>
        <v>38</v>
      </c>
      <c r="N42" s="216">
        <f>SUMIFS(Calkos!$C$7:$C$2853,Calkos!$AF$7:$AF$2853,38,Calkos!$AG$7:$AG$2853,2025)</f>
        <v>0</v>
      </c>
      <c r="O42" s="202"/>
    </row>
    <row r="43" spans="1:15" x14ac:dyDescent="0.25">
      <c r="A43" s="211">
        <f t="shared" si="0"/>
        <v>39</v>
      </c>
      <c r="B43" s="216">
        <f>SUMIFS(Calkos!$C$7:$C$2853,Calkos!$AF$7:$AF$2853,39,Calkos!$AG$7:$AG$2853,2022)</f>
        <v>0</v>
      </c>
      <c r="C43" s="202"/>
      <c r="E43" s="211">
        <f t="shared" si="1"/>
        <v>39</v>
      </c>
      <c r="F43" s="216">
        <f>SUMIFS(Calkos!$C$7:$C$2853,Calkos!$AF$7:$AF$2853,39,Calkos!$AG$7:$AG$2853,2023)</f>
        <v>0</v>
      </c>
      <c r="G43" s="202"/>
      <c r="I43" s="211">
        <f t="shared" si="2"/>
        <v>39</v>
      </c>
      <c r="J43" s="216">
        <f>SUMIFS(Calkos!$C$7:$C$2853,Calkos!$AF$7:$AF$2853,39,Calkos!$AG$7:$AG$2853,2024)</f>
        <v>0</v>
      </c>
      <c r="K43" s="202"/>
      <c r="M43" s="211">
        <f t="shared" si="3"/>
        <v>39</v>
      </c>
      <c r="N43" s="216">
        <f>SUMIFS(Calkos!$C$7:$C$2853,Calkos!$AF$7:$AF$2853,39,Calkos!$AG$7:$AG$2853,2025)</f>
        <v>0</v>
      </c>
      <c r="O43" s="202"/>
    </row>
    <row r="44" spans="1:15" x14ac:dyDescent="0.25">
      <c r="A44" s="211">
        <f t="shared" si="0"/>
        <v>40</v>
      </c>
      <c r="B44" s="216">
        <f>SUMIFS(Calkos!$C$7:$C$2853,Calkos!$AF$7:$AF$2853,40,Calkos!$AG$7:$AG$2853,2022)</f>
        <v>0</v>
      </c>
      <c r="C44" s="202"/>
      <c r="E44" s="211">
        <f t="shared" si="1"/>
        <v>40</v>
      </c>
      <c r="F44" s="216">
        <f>SUMIFS(Calkos!$C$7:$C$2853,Calkos!$AF$7:$AF$2853,40,Calkos!$AG$7:$AG$2853,2023)</f>
        <v>0</v>
      </c>
      <c r="G44" s="202"/>
      <c r="I44" s="211">
        <f t="shared" si="2"/>
        <v>40</v>
      </c>
      <c r="J44" s="216">
        <f>SUMIFS(Calkos!$C$7:$C$2853,Calkos!$AF$7:$AF$2853,40,Calkos!$AG$7:$AG$2853,2024)</f>
        <v>0</v>
      </c>
      <c r="K44" s="202"/>
      <c r="M44" s="211">
        <f t="shared" si="3"/>
        <v>40</v>
      </c>
      <c r="N44" s="216">
        <f>SUMIFS(Calkos!$C$7:$C$2853,Calkos!$AF$7:$AF$2853,40,Calkos!$AG$7:$AG$2853,2025)</f>
        <v>0</v>
      </c>
      <c r="O44" s="202"/>
    </row>
    <row r="45" spans="1:15" x14ac:dyDescent="0.25">
      <c r="A45" s="211">
        <f t="shared" si="0"/>
        <v>41</v>
      </c>
      <c r="B45" s="216">
        <f>SUMIFS(Calkos!$C$7:$C$2853,Calkos!$AF$7:$AF$2853,41,Calkos!$AG$7:$AG$2853,2022)</f>
        <v>0</v>
      </c>
      <c r="C45" s="202"/>
      <c r="E45" s="211">
        <f t="shared" si="1"/>
        <v>41</v>
      </c>
      <c r="F45" s="216">
        <f>SUMIFS(Calkos!$C$7:$C$2853,Calkos!$AF$7:$AF$2853,41,Calkos!$AG$7:$AG$2853,2023)</f>
        <v>0</v>
      </c>
      <c r="G45" s="202"/>
      <c r="I45" s="211">
        <f t="shared" si="2"/>
        <v>41</v>
      </c>
      <c r="J45" s="216">
        <f>SUMIFS(Calkos!$C$7:$C$2853,Calkos!$AF$7:$AF$2853,41,Calkos!$AG$7:$AG$2853,2024)</f>
        <v>0</v>
      </c>
      <c r="K45" s="202"/>
      <c r="M45" s="211">
        <f t="shared" si="3"/>
        <v>41</v>
      </c>
      <c r="N45" s="216">
        <f>SUMIFS(Calkos!$C$7:$C$2853,Calkos!$AF$7:$AF$2853,41,Calkos!$AG$7:$AG$2853,2025)</f>
        <v>0</v>
      </c>
      <c r="O45" s="202"/>
    </row>
    <row r="46" spans="1:15" x14ac:dyDescent="0.25">
      <c r="A46" s="211">
        <f t="shared" si="0"/>
        <v>42</v>
      </c>
      <c r="B46" s="216">
        <f>SUMIFS(Calkos!$C$7:$C$2853,Calkos!$AF$7:$AF$2853,42,Calkos!$AG$7:$AG$2853,2022)</f>
        <v>0</v>
      </c>
      <c r="C46" s="202"/>
      <c r="E46" s="211">
        <f t="shared" si="1"/>
        <v>42</v>
      </c>
      <c r="F46" s="216">
        <f>SUMIFS(Calkos!$C$7:$C$2853,Calkos!$AF$7:$AF$2853,42,Calkos!$AG$7:$AG$2853,2023)</f>
        <v>0</v>
      </c>
      <c r="G46" s="202"/>
      <c r="I46" s="211">
        <f t="shared" si="2"/>
        <v>42</v>
      </c>
      <c r="J46" s="216">
        <f>SUMIFS(Calkos!$C$7:$C$2853,Calkos!$AF$7:$AF$2853,42,Calkos!$AG$7:$AG$2853,2024)</f>
        <v>0</v>
      </c>
      <c r="K46" s="202"/>
      <c r="M46" s="211">
        <f t="shared" si="3"/>
        <v>42</v>
      </c>
      <c r="N46" s="216">
        <f>SUMIFS(Calkos!$C$7:$C$2853,Calkos!$AF$7:$AF$2853,42,Calkos!$AG$7:$AG$2853,2025)</f>
        <v>0</v>
      </c>
      <c r="O46" s="202"/>
    </row>
    <row r="47" spans="1:15" x14ac:dyDescent="0.25">
      <c r="A47" s="211">
        <f t="shared" si="0"/>
        <v>43</v>
      </c>
      <c r="B47" s="216">
        <f>SUMIFS(Calkos!$C$7:$C$2853,Calkos!$AF$7:$AF$2853,43,Calkos!$AG$7:$AG$2853,2022)</f>
        <v>0</v>
      </c>
      <c r="C47" s="202"/>
      <c r="E47" s="211">
        <f t="shared" si="1"/>
        <v>43</v>
      </c>
      <c r="F47" s="216">
        <f>SUMIFS(Calkos!$C$7:$C$2853,Calkos!$AF$7:$AF$2853,43,Calkos!$AG$7:$AG$2853,2023)</f>
        <v>0</v>
      </c>
      <c r="G47" s="202"/>
      <c r="I47" s="211">
        <f t="shared" si="2"/>
        <v>43</v>
      </c>
      <c r="J47" s="216">
        <f>SUMIFS(Calkos!$C$7:$C$2853,Calkos!$AF$7:$AF$2853,43,Calkos!$AG$7:$AG$2853,2024)</f>
        <v>0</v>
      </c>
      <c r="K47" s="202"/>
      <c r="M47" s="211">
        <f t="shared" si="3"/>
        <v>43</v>
      </c>
      <c r="N47" s="216">
        <f>SUMIFS(Calkos!$C$7:$C$2853,Calkos!$AF$7:$AF$2853,43,Calkos!$AG$7:$AG$2853,2025)</f>
        <v>0</v>
      </c>
      <c r="O47" s="202"/>
    </row>
    <row r="48" spans="1:15" x14ac:dyDescent="0.25">
      <c r="A48" s="211">
        <f t="shared" si="0"/>
        <v>44</v>
      </c>
      <c r="B48" s="216">
        <f>SUMIFS(Calkos!$C$7:$C$2853,Calkos!$AF$7:$AF$2853,44,Calkos!$AG$7:$AG$2853,2022)</f>
        <v>0</v>
      </c>
      <c r="C48" s="202"/>
      <c r="E48" s="211">
        <f t="shared" si="1"/>
        <v>44</v>
      </c>
      <c r="F48" s="216">
        <f>SUMIFS(Calkos!$C$7:$C$2853,Calkos!$AF$7:$AF$2853,44,Calkos!$AG$7:$AG$2853,2023)</f>
        <v>0</v>
      </c>
      <c r="G48" s="202"/>
      <c r="I48" s="211">
        <f t="shared" si="2"/>
        <v>44</v>
      </c>
      <c r="J48" s="216">
        <f>SUMIFS(Calkos!$C$7:$C$2853,Calkos!$AF$7:$AF$2853,44,Calkos!$AG$7:$AG$2853,2024)</f>
        <v>0</v>
      </c>
      <c r="K48" s="202"/>
      <c r="M48" s="211">
        <f t="shared" si="3"/>
        <v>44</v>
      </c>
      <c r="N48" s="216">
        <f>SUMIFS(Calkos!$C$7:$C$2853,Calkos!$AF$7:$AF$2853,44,Calkos!$AG$7:$AG$2853,2025)</f>
        <v>0</v>
      </c>
      <c r="O48" s="202"/>
    </row>
    <row r="49" spans="1:15" x14ac:dyDescent="0.25">
      <c r="A49" s="211">
        <f t="shared" si="0"/>
        <v>45</v>
      </c>
      <c r="B49" s="216">
        <f>SUMIFS(Calkos!$C$7:$C$2853,Calkos!$AF$7:$AF$2853,45,Calkos!$AG$7:$AG$2853,2022)</f>
        <v>0</v>
      </c>
      <c r="C49" s="202"/>
      <c r="E49" s="211">
        <f t="shared" si="1"/>
        <v>45</v>
      </c>
      <c r="F49" s="216">
        <f>SUMIFS(Calkos!$C$7:$C$2853,Calkos!$AF$7:$AF$2853,45,Calkos!$AG$7:$AG$2853,2023)</f>
        <v>0</v>
      </c>
      <c r="G49" s="202"/>
      <c r="I49" s="211">
        <f t="shared" si="2"/>
        <v>45</v>
      </c>
      <c r="J49" s="216">
        <f>SUMIFS(Calkos!$C$7:$C$2853,Calkos!$AF$7:$AF$2853,45,Calkos!$AG$7:$AG$2853,2024)</f>
        <v>0</v>
      </c>
      <c r="K49" s="202"/>
      <c r="M49" s="211">
        <f t="shared" si="3"/>
        <v>45</v>
      </c>
      <c r="N49" s="216">
        <f>SUMIFS(Calkos!$C$7:$C$2853,Calkos!$AF$7:$AF$2853,45,Calkos!$AG$7:$AG$2853,2025)</f>
        <v>0</v>
      </c>
      <c r="O49" s="202"/>
    </row>
    <row r="50" spans="1:15" x14ac:dyDescent="0.25">
      <c r="A50" s="211">
        <f t="shared" si="0"/>
        <v>46</v>
      </c>
      <c r="B50" s="216">
        <f>SUMIFS(Calkos!$C$7:$C$2853,Calkos!$AF$7:$AF$2853,46,Calkos!$AG$7:$AG$2853,2022)</f>
        <v>0</v>
      </c>
      <c r="C50" s="202"/>
      <c r="E50" s="211">
        <f t="shared" si="1"/>
        <v>46</v>
      </c>
      <c r="F50" s="216">
        <f>SUMIFS(Calkos!$C$7:$C$2853,Calkos!$AF$7:$AF$2853,46,Calkos!$AG$7:$AG$2853,2023)</f>
        <v>0</v>
      </c>
      <c r="G50" s="202"/>
      <c r="I50" s="211">
        <f t="shared" si="2"/>
        <v>46</v>
      </c>
      <c r="J50" s="216">
        <f>SUMIFS(Calkos!$C$7:$C$2853,Calkos!$AF$7:$AF$2853,46,Calkos!$AG$7:$AG$2853,2024)</f>
        <v>0</v>
      </c>
      <c r="K50" s="202"/>
      <c r="M50" s="211">
        <f t="shared" si="3"/>
        <v>46</v>
      </c>
      <c r="N50" s="216">
        <f>SUMIFS(Calkos!$C$7:$C$2853,Calkos!$AF$7:$AF$2853,46,Calkos!$AG$7:$AG$2853,2025)</f>
        <v>0</v>
      </c>
      <c r="O50" s="202"/>
    </row>
    <row r="51" spans="1:15" x14ac:dyDescent="0.25">
      <c r="A51" s="211">
        <f t="shared" si="0"/>
        <v>47</v>
      </c>
      <c r="B51" s="216">
        <f>SUMIFS(Calkos!$C$7:$C$2853,Calkos!$AF$7:$AF$2853,47,Calkos!$AG$7:$AG$2853,2022)</f>
        <v>0</v>
      </c>
      <c r="C51" s="202"/>
      <c r="E51" s="211">
        <f t="shared" si="1"/>
        <v>47</v>
      </c>
      <c r="F51" s="216">
        <f>SUMIFS(Calkos!$C$7:$C$2853,Calkos!$AF$7:$AF$2853,47,Calkos!$AG$7:$AG$2853,2023)</f>
        <v>0</v>
      </c>
      <c r="G51" s="202"/>
      <c r="I51" s="211">
        <f t="shared" si="2"/>
        <v>47</v>
      </c>
      <c r="J51" s="216">
        <f>SUMIFS(Calkos!$C$7:$C$2853,Calkos!$AF$7:$AF$2853,47,Calkos!$AG$7:$AG$2853,2024)</f>
        <v>0</v>
      </c>
      <c r="K51" s="202"/>
      <c r="M51" s="211">
        <f t="shared" si="3"/>
        <v>47</v>
      </c>
      <c r="N51" s="216">
        <f>SUMIFS(Calkos!$C$7:$C$2853,Calkos!$AF$7:$AF$2853,47,Calkos!$AG$7:$AG$2853,2025)</f>
        <v>0</v>
      </c>
      <c r="O51" s="202"/>
    </row>
    <row r="52" spans="1:15" x14ac:dyDescent="0.25">
      <c r="A52" s="211">
        <f t="shared" si="0"/>
        <v>48</v>
      </c>
      <c r="B52" s="216">
        <f>SUMIFS(Calkos!$C$7:$C$2853,Calkos!$AF$7:$AF$2853,48,Calkos!$AG$7:$AG$2853,2022)</f>
        <v>0</v>
      </c>
      <c r="C52" s="202"/>
      <c r="E52" s="211">
        <f t="shared" si="1"/>
        <v>48</v>
      </c>
      <c r="F52" s="216">
        <f>SUMIFS(Calkos!$C$7:$C$2853,Calkos!$AF$7:$AF$2853,48,Calkos!$AG$7:$AG$2853,2023)</f>
        <v>0</v>
      </c>
      <c r="G52" s="202"/>
      <c r="I52" s="211">
        <f t="shared" si="2"/>
        <v>48</v>
      </c>
      <c r="J52" s="216">
        <f>SUMIFS(Calkos!$C$7:$C$2853,Calkos!$AF$7:$AF$2853,48,Calkos!$AG$7:$AG$2853,2024)</f>
        <v>0</v>
      </c>
      <c r="K52" s="202"/>
      <c r="M52" s="211">
        <f t="shared" si="3"/>
        <v>48</v>
      </c>
      <c r="N52" s="216">
        <f>SUMIFS(Calkos!$C$7:$C$2853,Calkos!$AF$7:$AF$2853,48,Calkos!$AG$7:$AG$2853,2025)</f>
        <v>0</v>
      </c>
      <c r="O52" s="202"/>
    </row>
    <row r="53" spans="1:15" x14ac:dyDescent="0.25">
      <c r="A53" s="211">
        <f t="shared" si="0"/>
        <v>49</v>
      </c>
      <c r="B53" s="216">
        <f>SUMIFS(Calkos!$C$7:$C$2853,Calkos!$AF$7:$AF$2853,49,Calkos!$AG$7:$AG$2853,2022)</f>
        <v>0</v>
      </c>
      <c r="C53" s="202"/>
      <c r="E53" s="211">
        <f t="shared" si="1"/>
        <v>49</v>
      </c>
      <c r="F53" s="216">
        <f>SUMIFS(Calkos!$C$7:$C$2853,Calkos!$AF$7:$AF$2853,49,Calkos!$AG$7:$AG$2853,2023)</f>
        <v>0</v>
      </c>
      <c r="G53" s="202"/>
      <c r="I53" s="211">
        <f t="shared" si="2"/>
        <v>49</v>
      </c>
      <c r="J53" s="216">
        <f>SUMIFS(Calkos!$C$7:$C$2853,Calkos!$AF$7:$AF$2853,49,Calkos!$AG$7:$AG$2853,2024)</f>
        <v>0</v>
      </c>
      <c r="K53" s="202"/>
      <c r="M53" s="211">
        <f t="shared" si="3"/>
        <v>49</v>
      </c>
      <c r="N53" s="216">
        <f>SUMIFS(Calkos!$C$7:$C$2853,Calkos!$AF$7:$AF$2853,49,Calkos!$AG$7:$AG$2853,2025)</f>
        <v>0</v>
      </c>
      <c r="O53" s="202"/>
    </row>
    <row r="54" spans="1:15" x14ac:dyDescent="0.25">
      <c r="A54" s="211">
        <f t="shared" si="0"/>
        <v>50</v>
      </c>
      <c r="B54" s="216">
        <f>SUMIFS(Calkos!$C$7:$C$2853,Calkos!$AF$7:$AF$2853,50,Calkos!$AG$7:$AG$2853,2022)</f>
        <v>0</v>
      </c>
      <c r="C54" s="202"/>
      <c r="E54" s="211">
        <f t="shared" si="1"/>
        <v>50</v>
      </c>
      <c r="F54" s="216">
        <f>SUMIFS(Calkos!$C$7:$C$2853,Calkos!$AF$7:$AF$2853,50,Calkos!$AG$7:$AG$2853,2023)</f>
        <v>0</v>
      </c>
      <c r="G54" s="202"/>
      <c r="I54" s="211">
        <f t="shared" si="2"/>
        <v>50</v>
      </c>
      <c r="J54" s="216">
        <f>SUMIFS(Calkos!$C$7:$C$2853,Calkos!$AF$7:$AF$2853,50,Calkos!$AG$7:$AG$2853,2024)</f>
        <v>0</v>
      </c>
      <c r="K54" s="202"/>
      <c r="M54" s="211">
        <f t="shared" si="3"/>
        <v>50</v>
      </c>
      <c r="N54" s="216">
        <f>SUMIFS(Calkos!$C$7:$C$2853,Calkos!$AF$7:$AF$2853,50,Calkos!$AG$7:$AG$2853,2025)</f>
        <v>0</v>
      </c>
      <c r="O54" s="202"/>
    </row>
    <row r="55" spans="1:15" x14ac:dyDescent="0.25">
      <c r="A55" s="211">
        <f t="shared" si="0"/>
        <v>51</v>
      </c>
      <c r="B55" s="216">
        <f>SUMIFS(Calkos!$C$7:$C$2853,Calkos!$AF$7:$AF$2853,51,Calkos!$AG$7:$AG$2853,2022)</f>
        <v>0</v>
      </c>
      <c r="C55" s="202"/>
      <c r="E55" s="211">
        <f t="shared" si="1"/>
        <v>51</v>
      </c>
      <c r="F55" s="216">
        <f>SUMIFS(Calkos!$C$7:$C$2853,Calkos!$AF$7:$AF$2853,51,Calkos!$AG$7:$AG$2853,2023)</f>
        <v>0</v>
      </c>
      <c r="G55" s="202"/>
      <c r="I55" s="211">
        <f t="shared" si="2"/>
        <v>51</v>
      </c>
      <c r="J55" s="216">
        <f>SUMIFS(Calkos!$C$7:$C$2853,Calkos!$AF$7:$AF$2853,51,Calkos!$AG$7:$AG$2853,2024)</f>
        <v>0</v>
      </c>
      <c r="K55" s="202"/>
      <c r="M55" s="211">
        <f t="shared" si="3"/>
        <v>51</v>
      </c>
      <c r="N55" s="216">
        <f>SUMIFS(Calkos!$C$7:$C$2853,Calkos!$AF$7:$AF$2853,51,Calkos!$AG$7:$AG$2853,2025)</f>
        <v>0</v>
      </c>
      <c r="O55" s="202"/>
    </row>
    <row r="56" spans="1:15" x14ac:dyDescent="0.25">
      <c r="A56" s="211">
        <f t="shared" si="0"/>
        <v>52</v>
      </c>
      <c r="B56" s="216">
        <f>SUMIFS(Calkos!$C$7:$C$2853,Calkos!$AF$7:$AF$2853,52,Calkos!$AG$7:$AG$2853,2022)</f>
        <v>0</v>
      </c>
      <c r="C56" s="202"/>
      <c r="E56" s="211">
        <f t="shared" si="1"/>
        <v>52</v>
      </c>
      <c r="F56" s="216">
        <f>SUMIFS(Calkos!$C$7:$C$2853,Calkos!$AF$7:$AF$2853,52,Calkos!$AG$7:$AG$2853,2023)</f>
        <v>0</v>
      </c>
      <c r="G56" s="202"/>
      <c r="I56" s="211">
        <f t="shared" si="2"/>
        <v>52</v>
      </c>
      <c r="J56" s="216">
        <f>SUMIFS(Calkos!$C$7:$C$2853,Calkos!$AF$7:$AF$2853,52,Calkos!$AG$7:$AG$2853,2024)</f>
        <v>0</v>
      </c>
      <c r="K56" s="202"/>
      <c r="M56" s="211">
        <f t="shared" si="3"/>
        <v>52</v>
      </c>
      <c r="N56" s="216">
        <f>SUMIFS(Calkos!$C$7:$C$2853,Calkos!$AF$7:$AF$2853,52,Calkos!$AG$7:$AG$2853,2025)</f>
        <v>0</v>
      </c>
      <c r="O56" s="202"/>
    </row>
    <row r="57" spans="1:15" ht="15.75" thickBot="1" x14ac:dyDescent="0.3">
      <c r="A57" s="212">
        <f t="shared" si="0"/>
        <v>53</v>
      </c>
      <c r="B57" s="217">
        <f>SUMIFS(Calkos!$C$7:$C$2853,Calkos!$AF$7:$AF$2853,53,Calkos!$AG$7:$AG$2853,2022)</f>
        <v>0</v>
      </c>
      <c r="C57" s="218"/>
      <c r="E57" s="212">
        <f t="shared" si="1"/>
        <v>53</v>
      </c>
      <c r="F57" s="217">
        <f>SUMIFS(Calkos!$C$7:$C$2853,Calkos!$AF$7:$AF$2853,53,Calkos!$AG$7:$AG$2853,2023)</f>
        <v>0</v>
      </c>
      <c r="G57" s="218"/>
      <c r="I57" s="212">
        <f t="shared" si="2"/>
        <v>53</v>
      </c>
      <c r="J57" s="217">
        <f>SUMIFS(Calkos!$C$7:$C$2853,Calkos!$AF$7:$AF$2853,53,Calkos!$AG$7:$AG$2853,2024)</f>
        <v>0</v>
      </c>
      <c r="K57" s="218"/>
      <c r="M57" s="212">
        <f t="shared" si="3"/>
        <v>53</v>
      </c>
      <c r="N57" s="217">
        <f>SUMIFS(Calkos!$C$7:$C$2853,Calkos!$AF$7:$AF$2853,53,Calkos!$AG$7:$AG$2853,2025)</f>
        <v>0</v>
      </c>
      <c r="O57" s="218"/>
    </row>
    <row r="58" spans="1:15" ht="15.75" thickBot="1" x14ac:dyDescent="0.3">
      <c r="B58" s="209">
        <f>SUM(B5:B57)</f>
        <v>0</v>
      </c>
      <c r="F58" s="209">
        <f>SUM(F5:F57)</f>
        <v>0</v>
      </c>
      <c r="J58" s="209">
        <f>SUM(J5:J57)</f>
        <v>0</v>
      </c>
      <c r="N58" s="209">
        <f>SUM(N5:N57)</f>
        <v>0</v>
      </c>
    </row>
    <row r="62" spans="1:15" hidden="1" x14ac:dyDescent="0.25">
      <c r="A62" t="s">
        <v>245</v>
      </c>
      <c r="B62" t="s">
        <v>246</v>
      </c>
      <c r="C62" t="s">
        <v>247</v>
      </c>
    </row>
    <row r="63" spans="1:15" hidden="1" x14ac:dyDescent="0.25">
      <c r="A63">
        <f>SUMIF(Calkos!V7:V2853,"",Calkos!C7:C2853)</f>
        <v>15107.380000000001</v>
      </c>
      <c r="B63" s="153">
        <f>+Calkos!C2854</f>
        <v>45637.380000000012</v>
      </c>
      <c r="C63" s="153">
        <f>+B63-A63</f>
        <v>30530.000000000011</v>
      </c>
      <c r="E63" s="153">
        <f>+B58+F58</f>
        <v>0</v>
      </c>
    </row>
    <row r="65" spans="1:1" x14ac:dyDescent="0.25">
      <c r="A65" s="153"/>
    </row>
  </sheetData>
  <mergeCells count="5">
    <mergeCell ref="A3:C3"/>
    <mergeCell ref="A1:C1"/>
    <mergeCell ref="E3:G3"/>
    <mergeCell ref="I3:K3"/>
    <mergeCell ref="M3:O3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/>
  <dimension ref="A5:C52"/>
  <sheetViews>
    <sheetView topLeftCell="A4" workbookViewId="0">
      <selection activeCell="C12" sqref="C12"/>
    </sheetView>
  </sheetViews>
  <sheetFormatPr defaultRowHeight="15" x14ac:dyDescent="0.25"/>
  <cols>
    <col min="1" max="3" width="15.85546875" customWidth="1"/>
    <col min="4" max="4" width="11.42578125" customWidth="1"/>
    <col min="7" max="7" width="9.42578125" bestFit="1" customWidth="1"/>
  </cols>
  <sheetData>
    <row r="5" spans="1:3" ht="19.5" thickBot="1" x14ac:dyDescent="0.35">
      <c r="A5" s="190"/>
      <c r="B5" s="422">
        <v>2026</v>
      </c>
      <c r="C5" s="422"/>
    </row>
    <row r="6" spans="1:3" ht="16.5" thickBot="1" x14ac:dyDescent="0.3">
      <c r="A6" s="191"/>
      <c r="B6" s="423" t="s">
        <v>239</v>
      </c>
      <c r="C6" s="424"/>
    </row>
    <row r="7" spans="1:3" ht="16.5" thickBot="1" x14ac:dyDescent="0.3">
      <c r="A7" s="192" t="s">
        <v>198</v>
      </c>
      <c r="B7" s="193" t="s">
        <v>240</v>
      </c>
      <c r="C7" s="194" t="s">
        <v>38</v>
      </c>
    </row>
    <row r="8" spans="1:3" x14ac:dyDescent="0.25">
      <c r="A8" s="197" t="s">
        <v>308</v>
      </c>
      <c r="B8" s="198">
        <f>SUMIFS(Calkos!U$7:U$2853,Calkos!$AN$7:$AN$2853,1,Calkos!$AO$7:$AO$2853,2026)</f>
        <v>0</v>
      </c>
      <c r="C8" s="199">
        <f>SUMIFS(Calkos!C$7:C$2853,Calkos!$AN$7:$AN$2853,1,Calkos!$AO$7:$AO$2853,2026)</f>
        <v>0</v>
      </c>
    </row>
    <row r="9" spans="1:3" x14ac:dyDescent="0.25">
      <c r="A9" s="200" t="s">
        <v>309</v>
      </c>
      <c r="B9" s="201">
        <f>SUMIFS(Calkos!U$7:U$2853,Calkos!$AN$7:$AN$2853,2,Calkos!$AO$7:$AO$2853,2026)</f>
        <v>0</v>
      </c>
      <c r="C9" s="202">
        <f>SUMIFS(Calkos!C$7:C$2853,Calkos!$AN$7:$AN$2853,2,Calkos!$AO$7:$AO$2853,2026)</f>
        <v>0</v>
      </c>
    </row>
    <row r="10" spans="1:3" x14ac:dyDescent="0.25">
      <c r="A10" s="200" t="s">
        <v>310</v>
      </c>
      <c r="B10" s="201">
        <f>SUMIFS(Calkos!U$7:U$2853,Calkos!$AN$7:$AN$2853,3,Calkos!$AO$7:$AO$2853,2026)</f>
        <v>0</v>
      </c>
      <c r="C10" s="202">
        <f>SUMIFS(Calkos!C$7:C$2853,Calkos!$AN$7:$AN$2853,3,Calkos!$AO$7:$AO$2853,2026)</f>
        <v>0</v>
      </c>
    </row>
    <row r="11" spans="1:3" x14ac:dyDescent="0.25">
      <c r="A11" s="200" t="s">
        <v>311</v>
      </c>
      <c r="B11" s="201">
        <f>SUMIFS(Calkos!U$7:U$2853,Calkos!$AN$7:$AN$2853,4,Calkos!$AO$7:$AO$2853,2026)</f>
        <v>192.49999999999986</v>
      </c>
      <c r="C11" s="202">
        <f>SUMIFS(Calkos!C$7:C$2853,Calkos!$AN$7:$AN$2853,4,Calkos!$AO$7:$AO$2853,2026)</f>
        <v>500</v>
      </c>
    </row>
    <row r="12" spans="1:3" x14ac:dyDescent="0.25">
      <c r="A12" s="200" t="s">
        <v>312</v>
      </c>
      <c r="B12" s="201">
        <f>SUMIFS(Calkos!U$7:U$2853,Calkos!$AN$7:$AN$2853,5,Calkos!$AO$7:$AO$2853,2026)</f>
        <v>4119.3000000000011</v>
      </c>
      <c r="C12" s="202">
        <f>SUMIFS(Calkos!C$7:C$2853,Calkos!$AN$7:$AN$2853,5,Calkos!$AO$7:$AO$2853,2026)</f>
        <v>13910</v>
      </c>
    </row>
    <row r="13" spans="1:3" x14ac:dyDescent="0.25">
      <c r="A13" s="200" t="s">
        <v>313</v>
      </c>
      <c r="B13" s="201">
        <f>SUMIFS(Calkos!U$7:U$2853,Calkos!$AN$7:$AN$2853,6,Calkos!$AO$7:$AO$2853,2026)</f>
        <v>4120.8499999999995</v>
      </c>
      <c r="C13" s="202">
        <f>SUMIFS(Calkos!C$7:C$2853,Calkos!$AN$7:$AN$2853,6,Calkos!$AO$7:$AO$2853,2026)</f>
        <v>11960</v>
      </c>
    </row>
    <row r="14" spans="1:3" x14ac:dyDescent="0.25">
      <c r="A14" s="200" t="s">
        <v>314</v>
      </c>
      <c r="B14" s="201">
        <f>SUMIFS(Calkos!U$7:U$2853,Calkos!$AN$7:$AN$2853,7,Calkos!$AO$7:$AO$2853,2026)</f>
        <v>487.50000000000011</v>
      </c>
      <c r="C14" s="202">
        <f>SUMIFS(Calkos!C$7:C$2853,Calkos!$AN$7:$AN$2853,7,Calkos!$AO$7:$AO$2853,2026)</f>
        <v>1500</v>
      </c>
    </row>
    <row r="15" spans="1:3" x14ac:dyDescent="0.25">
      <c r="A15" s="200" t="s">
        <v>315</v>
      </c>
      <c r="B15" s="201">
        <f>SUMIFS(Calkos!U$7:U$2853,Calkos!$AN$7:$AN$2853,8,Calkos!$AO$7:$AO$2853,2026)</f>
        <v>764.4</v>
      </c>
      <c r="C15" s="202">
        <f>SUMIFS(Calkos!C$7:C$2853,Calkos!$AN$7:$AN$2853,8,Calkos!$AO$7:$AO$2853,2026)</f>
        <v>2160</v>
      </c>
    </row>
    <row r="16" spans="1:3" x14ac:dyDescent="0.25">
      <c r="A16" s="200" t="s">
        <v>316</v>
      </c>
      <c r="B16" s="201">
        <f>SUMIFS(Calkos!U$7:U$2853,Calkos!$AN$7:$AN$2853,9,Calkos!$AO$7:$AO$2853,2026)</f>
        <v>0</v>
      </c>
      <c r="C16" s="202">
        <f>SUMIFS(Calkos!C$7:C$2853,Calkos!$AN$7:$AN$2853,9,Calkos!$AO$7:$AO$2853,2026)</f>
        <v>0</v>
      </c>
    </row>
    <row r="17" spans="1:3" x14ac:dyDescent="0.25">
      <c r="A17" s="200" t="s">
        <v>317</v>
      </c>
      <c r="B17" s="201">
        <f>SUMIFS(Calkos!U$7:U$2853,Calkos!$AN$7:$AN$2853,10,Calkos!$AO$7:$AO$2853,2026)</f>
        <v>192.49999999999986</v>
      </c>
      <c r="C17" s="202">
        <f>SUMIFS(Calkos!C$7:C$2853,Calkos!$AN$7:$AN$2853,10,Calkos!$AO$7:$AO$2853,2026)</f>
        <v>500</v>
      </c>
    </row>
    <row r="18" spans="1:3" x14ac:dyDescent="0.25">
      <c r="A18" s="200" t="s">
        <v>318</v>
      </c>
      <c r="B18" s="201">
        <f>SUMIFS(Calkos!U$7:U$2853,Calkos!$AN$7:$AN$2853,11,Calkos!$AO$7:$AO$2853,2026)</f>
        <v>0</v>
      </c>
      <c r="C18" s="202">
        <f>SUMIFS(Calkos!C$7:C$2853,Calkos!$AN$7:$AN$2853,11,Calkos!$AO$7:$AO$2853,2026)</f>
        <v>0</v>
      </c>
    </row>
    <row r="19" spans="1:3" ht="15.75" thickBot="1" x14ac:dyDescent="0.3">
      <c r="A19" s="223" t="s">
        <v>319</v>
      </c>
      <c r="B19" s="204">
        <f>SUMIFS(Calkos!U$7:U$2853,Calkos!$AN$7:$AN$2853,12,Calkos!$AO$7:$AO$2853,2026)</f>
        <v>0</v>
      </c>
      <c r="C19" s="205">
        <f>SUMIFS(Calkos!C$7:C$2853,Calkos!$AN$7:$AN$2853,12,Calkos!$AO$7:$AO$2853,2026)</f>
        <v>0</v>
      </c>
    </row>
    <row r="20" spans="1:3" ht="16.5" thickBot="1" x14ac:dyDescent="0.3">
      <c r="B20" s="196">
        <f>SUM(B8:B19)</f>
        <v>9877.0500000000011</v>
      </c>
      <c r="C20" s="195">
        <f>SUM(C8:C19)</f>
        <v>30530</v>
      </c>
    </row>
    <row r="24" spans="1:3" ht="19.5" thickBot="1" x14ac:dyDescent="0.35">
      <c r="A24" s="190"/>
      <c r="B24" s="422">
        <v>2025</v>
      </c>
      <c r="C24" s="422"/>
    </row>
    <row r="25" spans="1:3" ht="16.5" thickBot="1" x14ac:dyDescent="0.3">
      <c r="A25" s="191"/>
      <c r="B25" s="423" t="s">
        <v>239</v>
      </c>
      <c r="C25" s="424"/>
    </row>
    <row r="26" spans="1:3" ht="16.5" thickBot="1" x14ac:dyDescent="0.3">
      <c r="A26" s="192" t="s">
        <v>198</v>
      </c>
      <c r="B26" s="193" t="s">
        <v>240</v>
      </c>
      <c r="C26" s="194" t="s">
        <v>38</v>
      </c>
    </row>
    <row r="27" spans="1:3" x14ac:dyDescent="0.25">
      <c r="A27" s="197" t="s">
        <v>282</v>
      </c>
      <c r="B27" s="198">
        <f>SUMIFS(Calkos!U$7:U$2853,Calkos!$AN$7:$AN$2853,1,Calkos!$AO$7:$AO$2853,2025)</f>
        <v>0</v>
      </c>
      <c r="C27" s="199">
        <f>SUMIFS(Calkos!C$7:C$2853,Calkos!$AN$7:$AN$2853,1,Calkos!$AO$7:$AO$2853,2025)</f>
        <v>0</v>
      </c>
    </row>
    <row r="28" spans="1:3" x14ac:dyDescent="0.25">
      <c r="A28" s="200" t="s">
        <v>283</v>
      </c>
      <c r="B28" s="201">
        <f>SUMIFS(Calkos!U$7:U$2853,Calkos!$AN$7:$AN$2853,2,Calkos!$AO$7:$AO$2853,2025)</f>
        <v>0</v>
      </c>
      <c r="C28" s="202">
        <f>SUMIFS(Calkos!C$7:C$2853,Calkos!$AN$7:$AN$2853,2,Calkos!$AO$7:$AO$2853,2025)</f>
        <v>0</v>
      </c>
    </row>
    <row r="29" spans="1:3" x14ac:dyDescent="0.25">
      <c r="A29" s="200" t="s">
        <v>284</v>
      </c>
      <c r="B29" s="201">
        <f>SUMIFS(Calkos!U$7:U$2853,Calkos!$AN$7:$AN$2853,3,Calkos!$AO$7:$AO$2853,2025)</f>
        <v>0</v>
      </c>
      <c r="C29" s="202">
        <f>SUMIFS(Calkos!C$7:C$2853,Calkos!$AN$7:$AN$2853,3,Calkos!$AO$7:$AO$2853,2025)</f>
        <v>0</v>
      </c>
    </row>
    <row r="30" spans="1:3" x14ac:dyDescent="0.25">
      <c r="A30" s="200" t="s">
        <v>285</v>
      </c>
      <c r="B30" s="201">
        <f>SUMIFS(Calkos!U$7:U$2853,Calkos!$AN$7:$AN$2853,4,Calkos!$AO$7:$AO$2853,2025)</f>
        <v>0</v>
      </c>
      <c r="C30" s="202">
        <f>SUMIFS(Calkos!C$7:C$2853,Calkos!$AN$7:$AN$2853,4,Calkos!$AO$7:$AO$2853,2025)</f>
        <v>0</v>
      </c>
    </row>
    <row r="31" spans="1:3" x14ac:dyDescent="0.25">
      <c r="A31" s="200" t="s">
        <v>286</v>
      </c>
      <c r="B31" s="201">
        <f>SUMIFS(Calkos!U$7:U$2853,Calkos!$AN$7:$AN$2853,5,Calkos!$AO$7:$AO$2853,2025)</f>
        <v>0</v>
      </c>
      <c r="C31" s="202">
        <f>SUMIFS(Calkos!C$7:C$2853,Calkos!$AN$7:$AN$2853,5,Calkos!$AO$7:$AO$2853,2025)</f>
        <v>0</v>
      </c>
    </row>
    <row r="32" spans="1:3" x14ac:dyDescent="0.25">
      <c r="A32" s="200" t="s">
        <v>287</v>
      </c>
      <c r="B32" s="201">
        <f>SUMIFS(Calkos!U$7:U$2853,Calkos!$AN$7:$AN$2853,6,Calkos!$AO$7:$AO$2853,2025)</f>
        <v>0</v>
      </c>
      <c r="C32" s="202">
        <f>SUMIFS(Calkos!C$7:C$2798,Calkos!$AN$7:$AN$2798,6,Calkos!$AO$7:$AO$2798,2025)</f>
        <v>0</v>
      </c>
    </row>
    <row r="33" spans="1:3" x14ac:dyDescent="0.25">
      <c r="A33" s="200" t="s">
        <v>288</v>
      </c>
      <c r="B33" s="201">
        <f>SUMIFS(Calkos!U$7:U$2853,Calkos!$AN$7:$AN$2853,7,Calkos!$AO$7:$AO$2853,2025)</f>
        <v>0</v>
      </c>
      <c r="C33" s="202">
        <f>SUMIFS(Calkos!C$7:C$2798,Calkos!$AN$7:$AN$2798,7,Calkos!$AO$7:$AO$2798,2025)</f>
        <v>0</v>
      </c>
    </row>
    <row r="34" spans="1:3" x14ac:dyDescent="0.25">
      <c r="A34" s="200" t="s">
        <v>289</v>
      </c>
      <c r="B34" s="201">
        <f>SUMIFS(Calkos!U$7:U$2853,Calkos!$AN$7:$AN$2853,8,Calkos!$AO$7:$AO$2853,2024)</f>
        <v>0</v>
      </c>
      <c r="C34" s="202">
        <f>SUMIFS(Calkos!C$7:C$2798,Calkos!$AN$7:$AN$2798,8,Calkos!$AO$7:$AO$2798,2024)</f>
        <v>0</v>
      </c>
    </row>
    <row r="35" spans="1:3" x14ac:dyDescent="0.25">
      <c r="A35" s="200" t="s">
        <v>290</v>
      </c>
      <c r="B35" s="201">
        <f>SUMIFS(Calkos!U$7:U$2853,Calkos!$AN$7:$AN$2853,9,Calkos!$AO$7:$AO$2853,2025)</f>
        <v>0</v>
      </c>
      <c r="C35" s="202">
        <f>SUMIFS(Calkos!C$7:C$2798,Calkos!$AN$7:$AN$2798,9,Calkos!$AO$7:$AO$2798,2025)</f>
        <v>0</v>
      </c>
    </row>
    <row r="36" spans="1:3" x14ac:dyDescent="0.25">
      <c r="A36" s="200" t="s">
        <v>291</v>
      </c>
      <c r="B36" s="201">
        <f>SUMIFS(Calkos!U$7:U$2853,Calkos!$AN$7:$AN$2853,10,Calkos!$AO$7:$AO$2853,2025)</f>
        <v>0</v>
      </c>
      <c r="C36" s="202">
        <f>SUMIFS(Calkos!C$7:C$2853,Calkos!$AN$7:$AN$2853,10,Calkos!$AO$7:$AO$2853,2025)</f>
        <v>0</v>
      </c>
    </row>
    <row r="37" spans="1:3" x14ac:dyDescent="0.25">
      <c r="A37" s="200" t="s">
        <v>292</v>
      </c>
      <c r="B37" s="201">
        <f>SUMIFS(Calkos!U$7:U$2853,Calkos!$AN$7:$AN$2853,11,Calkos!$AO$7:$AO$2853,2025)</f>
        <v>0</v>
      </c>
      <c r="C37" s="202">
        <f>SUMIFS(Calkos!C$7:C$2853,Calkos!$AN$7:$AN$2853,11,Calkos!$AO$7:$AO$2853,2025)</f>
        <v>0</v>
      </c>
    </row>
    <row r="38" spans="1:3" ht="15.75" thickBot="1" x14ac:dyDescent="0.3">
      <c r="A38" s="203" t="s">
        <v>293</v>
      </c>
      <c r="B38" s="204">
        <f>SUMIFS(Calkos!U$7:U$2853,Calkos!$AN$7:$AN$2853,12,Calkos!$AO$7:$AO$2853,2025)</f>
        <v>0</v>
      </c>
      <c r="C38" s="205">
        <f>SUMIFS(Calkos!C$7:C$2853,Calkos!$AN$7:$AN$2853,12,Calkos!$AO$7:$AO$2853,2025)</f>
        <v>0</v>
      </c>
    </row>
    <row r="39" spans="1:3" ht="16.5" thickBot="1" x14ac:dyDescent="0.3">
      <c r="B39" s="196">
        <f>SUM(B27:B38)</f>
        <v>0</v>
      </c>
      <c r="C39" s="195">
        <f>SUM(C27:C38)</f>
        <v>0</v>
      </c>
    </row>
    <row r="44" spans="1:3" ht="19.5" thickBot="1" x14ac:dyDescent="0.35">
      <c r="B44" s="422" t="s">
        <v>241</v>
      </c>
      <c r="C44" s="422"/>
    </row>
    <row r="45" spans="1:3" ht="15.75" x14ac:dyDescent="0.25">
      <c r="B45" s="423" t="s">
        <v>239</v>
      </c>
      <c r="C45" s="424"/>
    </row>
    <row r="46" spans="1:3" ht="16.5" thickBot="1" x14ac:dyDescent="0.3">
      <c r="B46" s="206" t="str">
        <f>IF(B52=0,"Euro","Errore")</f>
        <v>Euro</v>
      </c>
      <c r="C46" s="194" t="str">
        <f>IF(C52=0,"Kg","Errore")</f>
        <v>Kg</v>
      </c>
    </row>
    <row r="47" spans="1:3" ht="16.5" thickBot="1" x14ac:dyDescent="0.3">
      <c r="B47" s="207">
        <f>+B20+B39</f>
        <v>9877.0500000000011</v>
      </c>
      <c r="C47" s="208">
        <f>+C20+C39</f>
        <v>30530</v>
      </c>
    </row>
    <row r="50" spans="2:3" x14ac:dyDescent="0.25">
      <c r="B50" s="198">
        <f>SUMIFS(Calkos!U$7:U$2853,Calkos!$AN$7:$AN$2853,0,Calkos!$AO$7:$AO$2853,0)</f>
        <v>4907.3447999999989</v>
      </c>
      <c r="C50" s="199">
        <f>SUMIFS(Calkos!C$7:C$2853,Calkos!$AN$7:$AN$2853,0,Calkos!$AO$7:$AO$2853,0)</f>
        <v>15107.380000000001</v>
      </c>
    </row>
    <row r="52" spans="2:3" x14ac:dyDescent="0.25">
      <c r="B52" s="78">
        <f>+B47+B50-Calkos!U2854</f>
        <v>0</v>
      </c>
      <c r="C52" s="153">
        <f>+C47+C50-Calkos!C2854</f>
        <v>0</v>
      </c>
    </row>
  </sheetData>
  <mergeCells count="6">
    <mergeCell ref="B44:C44"/>
    <mergeCell ref="B45:C45"/>
    <mergeCell ref="B5:C5"/>
    <mergeCell ref="B6:C6"/>
    <mergeCell ref="B24:C24"/>
    <mergeCell ref="B25:C25"/>
  </mergeCells>
  <conditionalFormatting sqref="B46">
    <cfRule type="containsText" dxfId="1" priority="3" stopIfTrue="1" operator="containsText" text="Errore">
      <formula>NOT(ISERROR(SEARCH("Errore",B46)))</formula>
    </cfRule>
  </conditionalFormatting>
  <conditionalFormatting sqref="C46">
    <cfRule type="containsText" dxfId="0" priority="1" stopIfTrue="1" operator="containsText" text="Errore">
      <formula>NOT(ISERROR(SEARCH("Errore",C46)))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1:W71"/>
  <sheetViews>
    <sheetView topLeftCell="A22" workbookViewId="0">
      <selection activeCell="R5" sqref="R5"/>
    </sheetView>
  </sheetViews>
  <sheetFormatPr defaultRowHeight="15" x14ac:dyDescent="0.25"/>
  <cols>
    <col min="2" max="2" width="9.85546875" hidden="1" customWidth="1"/>
    <col min="3" max="4" width="9.140625" hidden="1" customWidth="1"/>
    <col min="5" max="5" width="9.85546875" hidden="1" customWidth="1"/>
    <col min="6" max="14" width="9.140625" hidden="1" customWidth="1"/>
    <col min="15" max="15" width="9.85546875" hidden="1" customWidth="1"/>
    <col min="16" max="16" width="13.5703125" customWidth="1"/>
    <col min="17" max="17" width="15" customWidth="1"/>
    <col min="18" max="18" width="14.140625" customWidth="1"/>
    <col min="23" max="23" width="9.42578125" bestFit="1" customWidth="1"/>
  </cols>
  <sheetData>
    <row r="1" spans="2:19" ht="21" x14ac:dyDescent="0.35">
      <c r="P1" s="51" t="s">
        <v>67</v>
      </c>
    </row>
    <row r="2" spans="2:19" ht="21" x14ac:dyDescent="0.35">
      <c r="P2" s="51"/>
    </row>
    <row r="3" spans="2:19" ht="21" x14ac:dyDescent="0.35">
      <c r="P3" s="51"/>
    </row>
    <row r="4" spans="2:19" ht="15.75" thickBot="1" x14ac:dyDescent="0.3">
      <c r="P4" s="26" t="s">
        <v>57</v>
      </c>
    </row>
    <row r="5" spans="2:19" ht="15.75" thickBot="1" x14ac:dyDescent="0.3">
      <c r="B5" s="59"/>
      <c r="C5" s="60"/>
      <c r="D5" s="60"/>
      <c r="E5" s="61" t="s">
        <v>78</v>
      </c>
      <c r="F5" s="61"/>
      <c r="G5" s="60"/>
      <c r="H5" s="71"/>
      <c r="I5" s="68"/>
      <c r="J5" s="60"/>
      <c r="K5" s="60"/>
      <c r="L5" s="61" t="s">
        <v>79</v>
      </c>
      <c r="M5" s="61"/>
      <c r="N5" s="60"/>
      <c r="O5" s="62"/>
    </row>
    <row r="6" spans="2:19" ht="24" x14ac:dyDescent="0.25">
      <c r="B6" s="64" t="s">
        <v>80</v>
      </c>
      <c r="C6" s="58" t="s">
        <v>81</v>
      </c>
      <c r="D6" s="58" t="s">
        <v>82</v>
      </c>
      <c r="E6" s="58" t="s">
        <v>83</v>
      </c>
      <c r="F6" s="58" t="s">
        <v>84</v>
      </c>
      <c r="G6" s="58" t="s">
        <v>85</v>
      </c>
      <c r="H6" s="72" t="s">
        <v>86</v>
      </c>
      <c r="I6" s="69" t="s">
        <v>80</v>
      </c>
      <c r="J6" s="58" t="s">
        <v>81</v>
      </c>
      <c r="K6" s="58" t="s">
        <v>82</v>
      </c>
      <c r="L6" s="58" t="s">
        <v>83</v>
      </c>
      <c r="M6" s="58" t="s">
        <v>84</v>
      </c>
      <c r="N6" s="58" t="s">
        <v>85</v>
      </c>
      <c r="O6" s="156" t="s">
        <v>86</v>
      </c>
      <c r="P6" s="158" t="s">
        <v>55</v>
      </c>
      <c r="Q6" s="75" t="s">
        <v>54</v>
      </c>
      <c r="R6" s="76" t="s">
        <v>56</v>
      </c>
    </row>
    <row r="7" spans="2:19" ht="15.75" thickBot="1" x14ac:dyDescent="0.3">
      <c r="B7" s="65" t="e">
        <f>SUMIFS(Calkos!#REF!,Calkos!#REF!,"Alluminio",Calkos!#REF!,0.07,Calkos!#REF!,"Giussani")</f>
        <v>#REF!</v>
      </c>
      <c r="C7" s="66" t="e">
        <f>SUMIFS(Calkos!#REF!,Calkos!#REF!,"Alluminio",Calkos!#REF!,0.1,Calkos!#REF!,"Giussani")</f>
        <v>#REF!</v>
      </c>
      <c r="D7" s="66" t="e">
        <f>SUMIFS(Calkos!#REF!,Calkos!#REF!,"Alluminio",Calkos!#REF!,0.18,Calkos!#REF!,"Giussani")</f>
        <v>#REF!</v>
      </c>
      <c r="E7" s="66" t="e">
        <f>SUMIFS(Calkos!#REF!,Calkos!#REF!,"Rame",Calkos!#REF!,0.1,Calkos!#REF!,"Giussani")</f>
        <v>#REF!</v>
      </c>
      <c r="F7" s="66" t="e">
        <f>SUMIFS(Calkos!#REF!,Calkos!#REF!,"Rame",Calkos!#REF!,0.18,Calkos!#REF!,"Giussani")</f>
        <v>#REF!</v>
      </c>
      <c r="G7" s="66" t="e">
        <f>SUMIFS(Calkos!#REF!,Calkos!#REF!,"Ottone",Calkos!#REF!,0.1,Calkos!#REF!,"Giussani")</f>
        <v>#REF!</v>
      </c>
      <c r="H7" s="73" t="e">
        <f>SUMIFS(Calkos!#REF!,Calkos!#REF!,"Ottone",Calkos!#REF!,0.18,Calkos!#REF!,"Giussani")</f>
        <v>#REF!</v>
      </c>
      <c r="I7" s="70" t="e">
        <f>SUMIFS(Calkos!#REF!,Calkos!#REF!,"Alluminio",Calkos!#REF!,0.07,Calkos!#REF!,"Giussani")</f>
        <v>#REF!</v>
      </c>
      <c r="J7" s="67" t="e">
        <f>SUMIFS(Calkos!#REF!,Calkos!#REF!,"Alluminio",Calkos!#REF!,0.1,Calkos!#REF!,"Giussani")</f>
        <v>#REF!</v>
      </c>
      <c r="K7" s="67" t="e">
        <f>SUMIFS(Calkos!#REF!,Calkos!#REF!,"Alluminio",Calkos!#REF!,0.18,Calkos!#REF!,"Giussani")</f>
        <v>#REF!</v>
      </c>
      <c r="L7" s="67" t="e">
        <f>SUMIFS(Calkos!#REF!,Calkos!#REF!,"Rame",Calkos!#REF!,0.1,Calkos!#REF!,"Giussani")</f>
        <v>#REF!</v>
      </c>
      <c r="M7" s="67" t="e">
        <f>SUMIFS(Calkos!#REF!,Calkos!#REF!,"Rame",Calkos!#REF!,0.18,Calkos!#REF!,"Giussani")</f>
        <v>#REF!</v>
      </c>
      <c r="N7" s="67" t="e">
        <f>SUMIFS(Calkos!#REF!,Calkos!#REF!,"Ottone",Calkos!#REF!,0.1,Calkos!#REF!,"Giussani")</f>
        <v>#REF!</v>
      </c>
      <c r="O7" s="157" t="e">
        <f>SUMIFS(Calkos!#REF!,Calkos!#REF!,"Ottone",Calkos!#REF!,0.18,Calkos!#REF!,"Giussani")</f>
        <v>#REF!</v>
      </c>
      <c r="P7" s="12" t="e">
        <f>SUMIF(Calkos!#REF!,"Giussani",Calkos!#REF!)</f>
        <v>#REF!</v>
      </c>
      <c r="Q7" s="155" t="e">
        <f>SUMIF(Calkos!#REF!,"Giussani",Calkos!#REF!)</f>
        <v>#REF!</v>
      </c>
      <c r="R7" s="13" t="e">
        <f>+Q7*40%</f>
        <v>#REF!</v>
      </c>
    </row>
    <row r="9" spans="2:19" x14ac:dyDescent="0.25">
      <c r="O9" s="27"/>
      <c r="P9" s="28"/>
      <c r="Q9" s="28"/>
      <c r="R9" s="28"/>
      <c r="S9" s="29"/>
    </row>
    <row r="11" spans="2:19" ht="15.75" thickBot="1" x14ac:dyDescent="0.3">
      <c r="P11" s="26" t="s">
        <v>58</v>
      </c>
    </row>
    <row r="12" spans="2:19" ht="15.75" thickBot="1" x14ac:dyDescent="0.3">
      <c r="B12" s="59"/>
      <c r="C12" s="60"/>
      <c r="D12" s="60"/>
      <c r="E12" s="61" t="s">
        <v>78</v>
      </c>
      <c r="F12" s="61"/>
      <c r="G12" s="60"/>
      <c r="H12" s="71"/>
      <c r="I12" s="68"/>
      <c r="J12" s="60"/>
      <c r="K12" s="60"/>
      <c r="L12" s="61" t="s">
        <v>79</v>
      </c>
      <c r="M12" s="61"/>
      <c r="N12" s="60"/>
      <c r="O12" s="62"/>
    </row>
    <row r="13" spans="2:19" ht="24" x14ac:dyDescent="0.25">
      <c r="B13" s="64" t="s">
        <v>80</v>
      </c>
      <c r="C13" s="58" t="s">
        <v>81</v>
      </c>
      <c r="D13" s="58" t="s">
        <v>82</v>
      </c>
      <c r="E13" s="58" t="s">
        <v>83</v>
      </c>
      <c r="F13" s="58" t="s">
        <v>84</v>
      </c>
      <c r="G13" s="58" t="s">
        <v>85</v>
      </c>
      <c r="H13" s="72" t="s">
        <v>86</v>
      </c>
      <c r="I13" s="69" t="s">
        <v>80</v>
      </c>
      <c r="J13" s="58" t="s">
        <v>81</v>
      </c>
      <c r="K13" s="58" t="s">
        <v>82</v>
      </c>
      <c r="L13" s="58" t="s">
        <v>83</v>
      </c>
      <c r="M13" s="58" t="s">
        <v>84</v>
      </c>
      <c r="N13" s="58" t="s">
        <v>85</v>
      </c>
      <c r="O13" s="156" t="s">
        <v>86</v>
      </c>
      <c r="P13" s="158" t="s">
        <v>55</v>
      </c>
      <c r="Q13" s="75" t="s">
        <v>54</v>
      </c>
      <c r="R13" s="76" t="s">
        <v>56</v>
      </c>
    </row>
    <row r="14" spans="2:19" ht="15.75" thickBot="1" x14ac:dyDescent="0.3">
      <c r="B14" s="65" t="e">
        <f>SUMIFS(Calkos!#REF!,Calkos!#REF!,"Alluminio",Calkos!#REF!,0.07,Calkos!#REF!,"Wetter")</f>
        <v>#REF!</v>
      </c>
      <c r="C14" s="66" t="e">
        <f>SUMIFS(Calkos!#REF!,Calkos!#REF!,"Alluminio",Calkos!#REF!,0.1,Calkos!#REF!,"Wetter")</f>
        <v>#REF!</v>
      </c>
      <c r="D14" s="66" t="e">
        <f>SUMIFS(Calkos!#REF!,Calkos!#REF!,"Alluminio",Calkos!#REF!,0.18,Calkos!#REF!,"Wetter")</f>
        <v>#REF!</v>
      </c>
      <c r="E14" s="66" t="e">
        <f>SUMIFS(Calkos!#REF!,Calkos!#REF!,"Rame",Calkos!#REF!,0.1,Calkos!#REF!,"Wetter")</f>
        <v>#REF!</v>
      </c>
      <c r="F14" s="66" t="e">
        <f>SUMIFS(Calkos!#REF!,Calkos!#REF!,"Rame",Calkos!#REF!,0.18,Calkos!#REF!,"Wetter")</f>
        <v>#REF!</v>
      </c>
      <c r="G14" s="66" t="e">
        <f>SUMIFS(Calkos!#REF!,Calkos!#REF!,"Ottone",Calkos!#REF!,0.1,Calkos!#REF!,"wetter")</f>
        <v>#REF!</v>
      </c>
      <c r="H14" s="73" t="e">
        <f>SUMIFS(Calkos!#REF!,Calkos!#REF!,"Ottone",Calkos!#REF!,0.18,Calkos!#REF!,"wetter")</f>
        <v>#REF!</v>
      </c>
      <c r="I14" s="70" t="e">
        <f>SUMIFS(Calkos!#REF!,Calkos!#REF!,"Alluminio",Calkos!#REF!,0.07,Calkos!#REF!,"Wetter")</f>
        <v>#REF!</v>
      </c>
      <c r="J14" s="67" t="e">
        <f>SUMIFS(Calkos!#REF!,Calkos!#REF!,"Alluminio",Calkos!#REF!,0.1,Calkos!#REF!,"Wetter")</f>
        <v>#REF!</v>
      </c>
      <c r="K14" s="67" t="e">
        <f>SUMIFS(Calkos!#REF!,Calkos!#REF!,"Alluminio",Calkos!#REF!,0.18,Calkos!#REF!,"Wetter")</f>
        <v>#REF!</v>
      </c>
      <c r="L14" s="67" t="e">
        <f>SUMIFS(Calkos!#REF!,Calkos!#REF!,"Rame",Calkos!#REF!,0.1,Calkos!#REF!,"Wetter")</f>
        <v>#REF!</v>
      </c>
      <c r="M14" s="67" t="e">
        <f>SUMIFS(Calkos!#REF!,Calkos!#REF!,"Rame",Calkos!#REF!,0.18,Calkos!#REF!,"wetter")</f>
        <v>#REF!</v>
      </c>
      <c r="N14" s="67" t="e">
        <f>SUMIFS(Calkos!#REF!,Calkos!#REF!,"Ottone",Calkos!#REF!,0.1,Calkos!#REF!,"Wetter")</f>
        <v>#REF!</v>
      </c>
      <c r="O14" s="157" t="e">
        <f>SUMIFS(Calkos!#REF!,Calkos!#REF!,"Ottone",Calkos!#REF!,0.18,Calkos!#REF!,"Wetter")</f>
        <v>#REF!</v>
      </c>
      <c r="P14" s="12" t="e">
        <f>SUMIF(Calkos!#REF!,"Wetter",Calkos!C5:C5)</f>
        <v>#REF!</v>
      </c>
      <c r="Q14" s="155" t="e">
        <f>SUMIF(Calkos!#REF!,"Wetter",Calkos!#REF!)</f>
        <v>#REF!</v>
      </c>
      <c r="R14" s="13" t="e">
        <f>+Q14*40%</f>
        <v>#REF!</v>
      </c>
    </row>
    <row r="17" spans="2:23" ht="15.75" thickBot="1" x14ac:dyDescent="0.3">
      <c r="P17" s="26" t="s">
        <v>161</v>
      </c>
    </row>
    <row r="18" spans="2:23" ht="15.75" thickBot="1" x14ac:dyDescent="0.3">
      <c r="B18" s="59"/>
      <c r="C18" s="60"/>
      <c r="D18" s="60"/>
      <c r="E18" s="61" t="s">
        <v>78</v>
      </c>
      <c r="F18" s="61"/>
      <c r="G18" s="60"/>
      <c r="H18" s="71"/>
      <c r="I18" s="68"/>
      <c r="J18" s="60"/>
      <c r="K18" s="60"/>
      <c r="L18" s="61" t="s">
        <v>79</v>
      </c>
      <c r="M18" s="61"/>
      <c r="N18" s="60"/>
      <c r="O18" s="62"/>
    </row>
    <row r="19" spans="2:23" ht="24" x14ac:dyDescent="0.25">
      <c r="B19" s="64" t="s">
        <v>80</v>
      </c>
      <c r="C19" s="58" t="s">
        <v>81</v>
      </c>
      <c r="D19" s="58" t="s">
        <v>82</v>
      </c>
      <c r="E19" s="58" t="s">
        <v>83</v>
      </c>
      <c r="F19" s="58" t="s">
        <v>84</v>
      </c>
      <c r="G19" s="58" t="s">
        <v>85</v>
      </c>
      <c r="H19" s="72" t="s">
        <v>86</v>
      </c>
      <c r="I19" s="69" t="s">
        <v>80</v>
      </c>
      <c r="J19" s="58" t="s">
        <v>81</v>
      </c>
      <c r="K19" s="58" t="s">
        <v>82</v>
      </c>
      <c r="L19" s="58" t="s">
        <v>83</v>
      </c>
      <c r="M19" s="58" t="s">
        <v>84</v>
      </c>
      <c r="N19" s="58" t="s">
        <v>85</v>
      </c>
      <c r="O19" s="156" t="s">
        <v>86</v>
      </c>
      <c r="P19" s="158" t="s">
        <v>55</v>
      </c>
      <c r="Q19" s="75" t="s">
        <v>54</v>
      </c>
      <c r="R19" s="76" t="s">
        <v>56</v>
      </c>
    </row>
    <row r="20" spans="2:23" ht="15.75" thickBot="1" x14ac:dyDescent="0.3">
      <c r="B20" s="65" t="e">
        <f>SUMIFS(Calkos!#REF!,Calkos!#REF!,"Alluminio",Calkos!#REF!,0.07,Calkos!#REF!,"elast")</f>
        <v>#REF!</v>
      </c>
      <c r="C20" s="66" t="e">
        <f>SUMIFS(Calkos!#REF!,Calkos!#REF!,"Alluminio",Calkos!#REF!,0.1,Calkos!#REF!,"elast")</f>
        <v>#REF!</v>
      </c>
      <c r="D20" s="66" t="e">
        <f>SUMIFS(Calkos!#REF!,Calkos!#REF!,"Alluminio",Calkos!#REF!,0.18,Calkos!#REF!,"elast")</f>
        <v>#REF!</v>
      </c>
      <c r="E20" s="66" t="e">
        <f>SUMIFS(Calkos!#REF!,Calkos!#REF!,"Rame",Calkos!#REF!,0.1,Calkos!#REF!,"elast")</f>
        <v>#REF!</v>
      </c>
      <c r="F20" s="66" t="e">
        <f>SUMIFS(Calkos!#REF!,Calkos!#REF!,"Rame",Calkos!#REF!,0.18,Calkos!#REF!,"elast")</f>
        <v>#REF!</v>
      </c>
      <c r="G20" s="66" t="e">
        <f>SUMIFS(Calkos!#REF!,Calkos!#REF!,"Ottone",Calkos!#REF!,0.1,Calkos!#REF!,"elast")</f>
        <v>#REF!</v>
      </c>
      <c r="H20" s="73" t="e">
        <f>SUMIFS(Calkos!#REF!,Calkos!#REF!,"Ottone",Calkos!#REF!,0.18,Calkos!#REF!,"elast")</f>
        <v>#REF!</v>
      </c>
      <c r="I20" s="70" t="e">
        <f>SUMIFS(Calkos!#REF!,Calkos!#REF!,"Alluminio",Calkos!#REF!,0.07,Calkos!#REF!,"elast")</f>
        <v>#REF!</v>
      </c>
      <c r="J20" s="67" t="e">
        <f>SUMIFS(Calkos!#REF!,Calkos!#REF!,"Alluminio",Calkos!#REF!,0.1,Calkos!#REF!,"elast")</f>
        <v>#REF!</v>
      </c>
      <c r="K20" s="67" t="e">
        <f>SUMIFS(Calkos!#REF!,Calkos!#REF!,"Alluminio",Calkos!#REF!,0.18,Calkos!#REF!,"elast")</f>
        <v>#REF!</v>
      </c>
      <c r="L20" s="67" t="e">
        <f>SUMIFS(Calkos!#REF!,Calkos!#REF!,"Rame",Calkos!#REF!,0.1,Calkos!#REF!,"elast")</f>
        <v>#REF!</v>
      </c>
      <c r="M20" s="67" t="e">
        <f>SUMIFS(Calkos!#REF!,Calkos!#REF!,"Rame",Calkos!#REF!,0.18,Calkos!#REF!,"elast")</f>
        <v>#REF!</v>
      </c>
      <c r="N20" s="67" t="e">
        <f>SUMIFS(Calkos!#REF!,Calkos!#REF!,"Ottone",Calkos!#REF!,0.1,Calkos!#REF!,"elast")</f>
        <v>#REF!</v>
      </c>
      <c r="O20" s="157" t="e">
        <f>SUMIFS(Calkos!#REF!,Calkos!#REF!,"Ottone",Calkos!#REF!,0.18,Calkos!#REF!,"elast")</f>
        <v>#REF!</v>
      </c>
      <c r="P20" s="12" t="e">
        <f>SUMIF(Calkos!#REF!,"Wetter",Calkos!#REF!)</f>
        <v>#REF!</v>
      </c>
      <c r="Q20" s="155" t="e">
        <f>SUMIF(Calkos!#REF!,"Wetter",Calkos!#REF!)</f>
        <v>#REF!</v>
      </c>
      <c r="R20" s="13" t="e">
        <f>+Q20*40%</f>
        <v>#REF!</v>
      </c>
    </row>
    <row r="23" spans="2:23" ht="15.75" thickBot="1" x14ac:dyDescent="0.3">
      <c r="P23" s="26" t="s">
        <v>162</v>
      </c>
    </row>
    <row r="24" spans="2:23" ht="15.75" thickBot="1" x14ac:dyDescent="0.3">
      <c r="B24" s="59"/>
      <c r="C24" s="60"/>
      <c r="D24" s="60"/>
      <c r="E24" s="61" t="s">
        <v>78</v>
      </c>
      <c r="F24" s="61"/>
      <c r="G24" s="60"/>
      <c r="H24" s="71"/>
      <c r="I24" s="68"/>
      <c r="J24" s="60"/>
      <c r="K24" s="60"/>
      <c r="L24" s="61" t="s">
        <v>79</v>
      </c>
      <c r="M24" s="61"/>
      <c r="N24" s="60"/>
      <c r="O24" s="62"/>
    </row>
    <row r="25" spans="2:23" ht="24" x14ac:dyDescent="0.25">
      <c r="B25" s="64" t="s">
        <v>80</v>
      </c>
      <c r="C25" s="58" t="s">
        <v>81</v>
      </c>
      <c r="D25" s="58" t="s">
        <v>82</v>
      </c>
      <c r="E25" s="58" t="s">
        <v>83</v>
      </c>
      <c r="F25" s="58" t="s">
        <v>84</v>
      </c>
      <c r="G25" s="58" t="s">
        <v>85</v>
      </c>
      <c r="H25" s="72" t="s">
        <v>86</v>
      </c>
      <c r="I25" s="69" t="s">
        <v>80</v>
      </c>
      <c r="J25" s="58" t="s">
        <v>81</v>
      </c>
      <c r="K25" s="58" t="s">
        <v>82</v>
      </c>
      <c r="L25" s="58" t="s">
        <v>83</v>
      </c>
      <c r="M25" s="58" t="s">
        <v>84</v>
      </c>
      <c r="N25" s="58" t="s">
        <v>85</v>
      </c>
      <c r="O25" s="156" t="s">
        <v>86</v>
      </c>
      <c r="P25" s="158" t="s">
        <v>55</v>
      </c>
      <c r="Q25" s="75" t="s">
        <v>54</v>
      </c>
      <c r="R25" s="76" t="s">
        <v>56</v>
      </c>
    </row>
    <row r="26" spans="2:23" ht="15.75" thickBot="1" x14ac:dyDescent="0.3">
      <c r="B26" s="65" t="e">
        <f>SUMIFS(Calkos!#REF!,Calkos!#REF!,"Alluminio",Calkos!#REF!,0.07,Calkos!#REF!,"km")</f>
        <v>#REF!</v>
      </c>
      <c r="C26" s="66" t="e">
        <f>SUMIFS(Calkos!#REF!,Calkos!#REF!,"Alluminio",Calkos!#REF!,0.1,Calkos!#REF!,"km")</f>
        <v>#REF!</v>
      </c>
      <c r="D26" s="66" t="e">
        <f>SUMIFS(Calkos!#REF!,Calkos!#REF!,"Alluminio",Calkos!#REF!,0.18,Calkos!#REF!,"km")</f>
        <v>#REF!</v>
      </c>
      <c r="E26" s="66" t="e">
        <f>SUMIFS(Calkos!#REF!,Calkos!#REF!,"Rame",Calkos!#REF!,0.1,Calkos!#REF!,"km")</f>
        <v>#REF!</v>
      </c>
      <c r="F26" s="66" t="e">
        <f>SUMIFS(Calkos!#REF!,Calkos!#REF!,"Rame",Calkos!#REF!,0.18,Calkos!#REF!,"km")</f>
        <v>#REF!</v>
      </c>
      <c r="G26" s="66" t="e">
        <f>SUMIFS(Calkos!#REF!,Calkos!#REF!,"Ottone",Calkos!#REF!,0.1,Calkos!#REF!,"km")</f>
        <v>#REF!</v>
      </c>
      <c r="H26" s="73" t="e">
        <f>SUMIFS(Calkos!#REF!,Calkos!#REF!,"Ottone",Calkos!#REF!,0.18,Calkos!#REF!,"km")</f>
        <v>#REF!</v>
      </c>
      <c r="I26" s="70" t="e">
        <f>SUMIFS(Calkos!#REF!,Calkos!#REF!,"Alluminio",Calkos!#REF!,0.07,Calkos!#REF!,"km")</f>
        <v>#REF!</v>
      </c>
      <c r="J26" s="67" t="e">
        <f>SUMIFS(Calkos!#REF!,Calkos!#REF!,"Alluminio",Calkos!#REF!,0.1,Calkos!#REF!,"km")</f>
        <v>#REF!</v>
      </c>
      <c r="K26" s="67" t="e">
        <f>SUMIFS(Calkos!#REF!,Calkos!#REF!,"Alluminio",Calkos!#REF!,0.18,Calkos!#REF!,"km")</f>
        <v>#REF!</v>
      </c>
      <c r="L26" s="67" t="e">
        <f>SUMIFS(Calkos!#REF!,Calkos!#REF!,"Rame",Calkos!#REF!,0.1,Calkos!#REF!,"km")</f>
        <v>#REF!</v>
      </c>
      <c r="M26" s="67" t="e">
        <f>SUMIFS(Calkos!#REF!,Calkos!#REF!,"Rame",Calkos!#REF!,0.18,Calkos!#REF!,"km")</f>
        <v>#REF!</v>
      </c>
      <c r="N26" s="67" t="e">
        <f>SUMIFS(Calkos!#REF!,Calkos!#REF!,"Ottone",Calkos!#REF!,0.1,Calkos!#REF!,"km")</f>
        <v>#REF!</v>
      </c>
      <c r="O26" s="157" t="e">
        <f>SUMIFS(Calkos!#REF!,Calkos!#REF!,"Ottone",Calkos!#REF!,0.18,Calkos!#REF!,"km")</f>
        <v>#REF!</v>
      </c>
      <c r="P26" s="12" t="e">
        <f>SUMIF(Calkos!#REF!,"KM",Calkos!#REF!)</f>
        <v>#REF!</v>
      </c>
      <c r="Q26" s="155" t="e">
        <f>SUMIF(Calkos!#REF!,"KM",Calkos!#REF!)</f>
        <v>#REF!</v>
      </c>
      <c r="R26" s="13" t="e">
        <f>+Q26*40%</f>
        <v>#REF!</v>
      </c>
    </row>
    <row r="29" spans="2:23" ht="15.75" thickBot="1" x14ac:dyDescent="0.3">
      <c r="P29" s="26" t="s">
        <v>163</v>
      </c>
    </row>
    <row r="30" spans="2:23" ht="15.75" thickBot="1" x14ac:dyDescent="0.3">
      <c r="B30" s="59"/>
      <c r="C30" s="60"/>
      <c r="D30" s="60"/>
      <c r="E30" s="61" t="s">
        <v>78</v>
      </c>
      <c r="F30" s="61"/>
      <c r="G30" s="60"/>
      <c r="H30" s="71"/>
      <c r="I30" s="68"/>
      <c r="J30" s="60"/>
      <c r="K30" s="60"/>
      <c r="L30" s="61" t="s">
        <v>79</v>
      </c>
      <c r="M30" s="61"/>
      <c r="N30" s="60"/>
      <c r="O30" s="62"/>
    </row>
    <row r="31" spans="2:23" ht="24" x14ac:dyDescent="0.25">
      <c r="B31" s="64" t="s">
        <v>80</v>
      </c>
      <c r="C31" s="58" t="s">
        <v>81</v>
      </c>
      <c r="D31" s="58" t="s">
        <v>82</v>
      </c>
      <c r="E31" s="58" t="s">
        <v>83</v>
      </c>
      <c r="F31" s="58" t="s">
        <v>84</v>
      </c>
      <c r="G31" s="58" t="s">
        <v>85</v>
      </c>
      <c r="H31" s="72" t="s">
        <v>86</v>
      </c>
      <c r="I31" s="69" t="s">
        <v>80</v>
      </c>
      <c r="J31" s="58" t="s">
        <v>81</v>
      </c>
      <c r="K31" s="58" t="s">
        <v>82</v>
      </c>
      <c r="L31" s="58" t="s">
        <v>83</v>
      </c>
      <c r="M31" s="58" t="s">
        <v>84</v>
      </c>
      <c r="N31" s="58" t="s">
        <v>85</v>
      </c>
      <c r="O31" s="156" t="s">
        <v>86</v>
      </c>
      <c r="P31" s="158" t="s">
        <v>55</v>
      </c>
      <c r="Q31" s="75" t="s">
        <v>54</v>
      </c>
      <c r="R31" s="76" t="s">
        <v>56</v>
      </c>
      <c r="W31" s="78" t="e">
        <f>+R14+R20+R26+R44</f>
        <v>#REF!</v>
      </c>
    </row>
    <row r="32" spans="2:23" ht="15.75" thickBot="1" x14ac:dyDescent="0.3">
      <c r="B32" s="65" t="e">
        <f>SUMIFS(Calkos!#REF!,Calkos!#REF!,"Alluminio",Calkos!#REF!,0.07,Calkos!#REF!,"masolini")</f>
        <v>#REF!</v>
      </c>
      <c r="C32" s="66" t="e">
        <f>SUMIFS(Calkos!#REF!,Calkos!#REF!,"Alluminio",Calkos!#REF!,0.1,Calkos!#REF!,"masolini")</f>
        <v>#REF!</v>
      </c>
      <c r="D32" s="66" t="e">
        <f>SUMIFS(Calkos!#REF!,Calkos!#REF!,"Alluminio",Calkos!#REF!,0.18,Calkos!#REF!,"masolini")</f>
        <v>#REF!</v>
      </c>
      <c r="E32" s="66" t="e">
        <f>SUMIFS(Calkos!#REF!,Calkos!#REF!,"Rame",Calkos!#REF!,0.1,Calkos!#REF!,"masolini")</f>
        <v>#REF!</v>
      </c>
      <c r="F32" s="66" t="e">
        <f>SUMIFS(Calkos!#REF!,Calkos!#REF!,"Rame",Calkos!#REF!,0.18,Calkos!#REF!,"masolini")</f>
        <v>#REF!</v>
      </c>
      <c r="G32" s="66" t="e">
        <f>SUMIFS(Calkos!#REF!,Calkos!#REF!,"Ottone",Calkos!#REF!,0.1,Calkos!#REF!,"masolini")</f>
        <v>#REF!</v>
      </c>
      <c r="H32" s="73" t="e">
        <f>SUMIFS(Calkos!#REF!,Calkos!#REF!,"Ottone",Calkos!#REF!,0.18,Calkos!#REF!,"masolini")</f>
        <v>#REF!</v>
      </c>
      <c r="I32" s="70" t="e">
        <f>SUMIFS(Calkos!#REF!,Calkos!#REF!,"Alluminio",Calkos!#REF!,0.07,Calkos!#REF!,"masolini")</f>
        <v>#REF!</v>
      </c>
      <c r="J32" s="67" t="e">
        <f>SUMIFS(Calkos!#REF!,Calkos!#REF!,"Alluminio",Calkos!#REF!,0.1,Calkos!#REF!,"masolini")</f>
        <v>#REF!</v>
      </c>
      <c r="K32" s="67" t="e">
        <f>SUMIFS(Calkos!#REF!,Calkos!#REF!,"Alluminio",Calkos!#REF!,0.18,Calkos!#REF!,"masolini")</f>
        <v>#REF!</v>
      </c>
      <c r="L32" s="67" t="e">
        <f>SUMIFS(Calkos!#REF!,Calkos!#REF!,"Rame",Calkos!#REF!,0.1,Calkos!#REF!,"masolini")</f>
        <v>#REF!</v>
      </c>
      <c r="M32" s="67" t="e">
        <f>SUMIFS(Calkos!#REF!,Calkos!#REF!,"Rame",Calkos!#REF!,0.18,Calkos!#REF!,"masolini")</f>
        <v>#REF!</v>
      </c>
      <c r="N32" s="67" t="e">
        <f>SUMIFS(Calkos!#REF!,Calkos!#REF!,"Ottone",Calkos!#REF!,0.1,Calkos!#REF!,"masolini")</f>
        <v>#REF!</v>
      </c>
      <c r="O32" s="157" t="e">
        <f>SUMIFS(Calkos!#REF!,Calkos!#REF!,"Ottone",Calkos!#REF!,0.18,Calkos!#REF!,"masolini")</f>
        <v>#REF!</v>
      </c>
      <c r="P32" s="12" t="e">
        <f>SUMIF(Calkos!#REF!,"Masolini",Calkos!#REF!)</f>
        <v>#REF!</v>
      </c>
      <c r="Q32" s="155" t="e">
        <f>SUMIF(Calkos!#REF!,"Masolini",Calkos!#REF!)</f>
        <v>#REF!</v>
      </c>
      <c r="R32" s="13" t="e">
        <f>+Q32*40%</f>
        <v>#REF!</v>
      </c>
    </row>
    <row r="35" spans="2:18" ht="15.75" thickBot="1" x14ac:dyDescent="0.3">
      <c r="P35" s="26" t="s">
        <v>164</v>
      </c>
    </row>
    <row r="36" spans="2:18" ht="15.75" thickBot="1" x14ac:dyDescent="0.3">
      <c r="B36" s="59"/>
      <c r="C36" s="60"/>
      <c r="D36" s="60"/>
      <c r="E36" s="61" t="s">
        <v>78</v>
      </c>
      <c r="F36" s="61"/>
      <c r="G36" s="60"/>
      <c r="H36" s="71"/>
      <c r="I36" s="68"/>
      <c r="J36" s="60"/>
      <c r="K36" s="60"/>
      <c r="L36" s="61" t="s">
        <v>79</v>
      </c>
      <c r="M36" s="61"/>
      <c r="N36" s="60"/>
      <c r="O36" s="62"/>
    </row>
    <row r="37" spans="2:18" ht="24" x14ac:dyDescent="0.25">
      <c r="B37" s="64" t="s">
        <v>80</v>
      </c>
      <c r="C37" s="58" t="s">
        <v>81</v>
      </c>
      <c r="D37" s="58" t="s">
        <v>82</v>
      </c>
      <c r="E37" s="58" t="s">
        <v>83</v>
      </c>
      <c r="F37" s="58" t="s">
        <v>84</v>
      </c>
      <c r="G37" s="58" t="s">
        <v>85</v>
      </c>
      <c r="H37" s="72" t="s">
        <v>86</v>
      </c>
      <c r="I37" s="69" t="s">
        <v>80</v>
      </c>
      <c r="J37" s="58" t="s">
        <v>81</v>
      </c>
      <c r="K37" s="58" t="s">
        <v>82</v>
      </c>
      <c r="L37" s="58" t="s">
        <v>83</v>
      </c>
      <c r="M37" s="58" t="s">
        <v>84</v>
      </c>
      <c r="N37" s="58" t="s">
        <v>85</v>
      </c>
      <c r="O37" s="156" t="s">
        <v>86</v>
      </c>
      <c r="P37" s="158" t="s">
        <v>55</v>
      </c>
      <c r="Q37" s="75" t="s">
        <v>54</v>
      </c>
      <c r="R37" s="76" t="s">
        <v>56</v>
      </c>
    </row>
    <row r="38" spans="2:18" ht="15.75" thickBot="1" x14ac:dyDescent="0.3">
      <c r="B38" s="65" t="e">
        <f>SUMIFS(Calkos!#REF!,Calkos!#REF!,"Alluminio",Calkos!#REF!,0.07,Calkos!#REF!,"mg")</f>
        <v>#REF!</v>
      </c>
      <c r="C38" s="66" t="e">
        <f>SUMIFS(Calkos!#REF!,Calkos!#REF!,"Alluminio",Calkos!#REF!,0.1,Calkos!#REF!,"mg")</f>
        <v>#REF!</v>
      </c>
      <c r="D38" s="66" t="e">
        <f>SUMIFS(Calkos!#REF!,Calkos!#REF!,"Alluminio",Calkos!#REF!,0.18,Calkos!#REF!,"mg")</f>
        <v>#REF!</v>
      </c>
      <c r="E38" s="66" t="e">
        <f>SUMIFS(Calkos!#REF!,Calkos!#REF!,"Rame",Calkos!#REF!,0.1,Calkos!#REF!,"mg")</f>
        <v>#REF!</v>
      </c>
      <c r="F38" s="66" t="e">
        <f>SUMIFS(Calkos!#REF!,Calkos!#REF!,"Rame",Calkos!#REF!,0.18,Calkos!#REF!,"mg")</f>
        <v>#REF!</v>
      </c>
      <c r="G38" s="66" t="e">
        <f>SUMIFS(Calkos!#REF!,Calkos!#REF!,"Ottone",Calkos!#REF!,0.1,Calkos!#REF!,"mg")</f>
        <v>#REF!</v>
      </c>
      <c r="H38" s="73" t="e">
        <f>SUMIFS(Calkos!#REF!,Calkos!#REF!,"Ottone",Calkos!#REF!,0.18,Calkos!#REF!,"mg")</f>
        <v>#REF!</v>
      </c>
      <c r="I38" s="70" t="e">
        <f>SUMIFS(Calkos!#REF!,Calkos!#REF!,"Alluminio",Calkos!#REF!,0.07,Calkos!#REF!,"mg")</f>
        <v>#REF!</v>
      </c>
      <c r="J38" s="67" t="e">
        <f>SUMIFS(Calkos!#REF!,Calkos!#REF!,"Alluminio",Calkos!#REF!,0.1,Calkos!#REF!,"mg")</f>
        <v>#REF!</v>
      </c>
      <c r="K38" s="67" t="e">
        <f>SUMIFS(Calkos!#REF!,Calkos!#REF!,"Alluminio",Calkos!#REF!,0.18,Calkos!#REF!,"mg")</f>
        <v>#REF!</v>
      </c>
      <c r="L38" s="67" t="e">
        <f>SUMIFS(Calkos!#REF!,Calkos!#REF!,"Rame",Calkos!#REF!,0.1,Calkos!#REF!,"mg")</f>
        <v>#REF!</v>
      </c>
      <c r="M38" s="67" t="e">
        <f>SUMIFS(Calkos!#REF!,Calkos!#REF!,"Rame",Calkos!#REF!,0.18,Calkos!#REF!,"mg")</f>
        <v>#REF!</v>
      </c>
      <c r="N38" s="67" t="e">
        <f>SUMIFS(Calkos!#REF!,Calkos!#REF!,"Ottone",Calkos!#REF!,0.1,Calkos!#REF!,"mg")</f>
        <v>#REF!</v>
      </c>
      <c r="O38" s="157" t="e">
        <f>SUMIFS(Calkos!#REF!,Calkos!#REF!,"Ottone",Calkos!#REF!,0.18,Calkos!#REF!,"mg")</f>
        <v>#REF!</v>
      </c>
      <c r="P38" s="12" t="e">
        <f>SUMIF(Calkos!#REF!,"MG",Calkos!#REF!)</f>
        <v>#REF!</v>
      </c>
      <c r="Q38" s="155" t="e">
        <f>SUMIF(Calkos!#REF!,"MG",Calkos!#REF!)</f>
        <v>#REF!</v>
      </c>
      <c r="R38" s="13" t="e">
        <f>+Q38*40%</f>
        <v>#REF!</v>
      </c>
    </row>
    <row r="39" spans="2:18" x14ac:dyDescent="0.25">
      <c r="I39" s="154"/>
      <c r="J39" s="154"/>
      <c r="K39" s="154"/>
      <c r="L39" s="154"/>
      <c r="M39" s="154"/>
      <c r="N39" s="154"/>
      <c r="O39" s="154"/>
      <c r="P39" s="11"/>
      <c r="Q39" s="41"/>
      <c r="R39" s="41"/>
    </row>
    <row r="40" spans="2:18" x14ac:dyDescent="0.25">
      <c r="I40" s="154"/>
      <c r="J40" s="154"/>
      <c r="K40" s="154"/>
      <c r="L40" s="154"/>
      <c r="M40" s="154"/>
      <c r="N40" s="154"/>
      <c r="O40" s="154"/>
      <c r="P40" s="11"/>
      <c r="Q40" s="41"/>
      <c r="R40" s="41"/>
    </row>
    <row r="41" spans="2:18" ht="15.75" thickBot="1" x14ac:dyDescent="0.3">
      <c r="P41" s="26" t="s">
        <v>165</v>
      </c>
    </row>
    <row r="42" spans="2:18" ht="15.75" thickBot="1" x14ac:dyDescent="0.3">
      <c r="B42" s="59"/>
      <c r="C42" s="60"/>
      <c r="D42" s="60"/>
      <c r="E42" s="61" t="s">
        <v>78</v>
      </c>
      <c r="F42" s="61"/>
      <c r="G42" s="60"/>
      <c r="H42" s="71"/>
      <c r="I42" s="68"/>
      <c r="J42" s="60"/>
      <c r="K42" s="60"/>
      <c r="L42" s="61" t="s">
        <v>79</v>
      </c>
      <c r="M42" s="61"/>
      <c r="N42" s="60"/>
      <c r="O42" s="62"/>
    </row>
    <row r="43" spans="2:18" ht="24" x14ac:dyDescent="0.25">
      <c r="B43" s="64" t="s">
        <v>80</v>
      </c>
      <c r="C43" s="58" t="s">
        <v>81</v>
      </c>
      <c r="D43" s="58" t="s">
        <v>82</v>
      </c>
      <c r="E43" s="58" t="s">
        <v>83</v>
      </c>
      <c r="F43" s="58" t="s">
        <v>84</v>
      </c>
      <c r="G43" s="58" t="s">
        <v>85</v>
      </c>
      <c r="H43" s="72" t="s">
        <v>86</v>
      </c>
      <c r="I43" s="69" t="s">
        <v>80</v>
      </c>
      <c r="J43" s="58" t="s">
        <v>81</v>
      </c>
      <c r="K43" s="58" t="s">
        <v>82</v>
      </c>
      <c r="L43" s="58" t="s">
        <v>83</v>
      </c>
      <c r="M43" s="58" t="s">
        <v>84</v>
      </c>
      <c r="N43" s="58" t="s">
        <v>85</v>
      </c>
      <c r="O43" s="156" t="s">
        <v>86</v>
      </c>
      <c r="P43" s="158" t="s">
        <v>55</v>
      </c>
      <c r="Q43" s="75" t="s">
        <v>54</v>
      </c>
      <c r="R43" s="76" t="s">
        <v>56</v>
      </c>
    </row>
    <row r="44" spans="2:18" ht="15.75" thickBot="1" x14ac:dyDescent="0.3">
      <c r="B44" s="65" t="e">
        <f>SUMIFS(Calkos!#REF!,Calkos!#REF!,"Alluminio",Calkos!#REF!,0.07,Calkos!#REF!,"fenaroli")</f>
        <v>#REF!</v>
      </c>
      <c r="C44" s="66" t="e">
        <f>SUMIFS(Calkos!#REF!,Calkos!#REF!,"Alluminio",Calkos!#REF!,0.1,Calkos!#REF!,"fenaroli")</f>
        <v>#REF!</v>
      </c>
      <c r="D44" s="66" t="e">
        <f>SUMIFS(Calkos!#REF!,Calkos!#REF!,"Alluminio",Calkos!#REF!,0.18,Calkos!#REF!,"fenaroli")</f>
        <v>#REF!</v>
      </c>
      <c r="E44" s="66" t="e">
        <f>SUMIFS(Calkos!#REF!,Calkos!#REF!,"Rame",Calkos!#REF!,0.1,Calkos!#REF!,"fenaroli")</f>
        <v>#REF!</v>
      </c>
      <c r="F44" s="66" t="e">
        <f>SUMIFS(Calkos!#REF!,Calkos!#REF!,"Rame",Calkos!#REF!,0.18,Calkos!#REF!,"fenaroli")</f>
        <v>#REF!</v>
      </c>
      <c r="G44" s="66" t="e">
        <f>SUMIFS(Calkos!#REF!,Calkos!#REF!,"Ottone",Calkos!#REF!,0.1,Calkos!#REF!,"fenaroli")</f>
        <v>#REF!</v>
      </c>
      <c r="H44" s="73" t="e">
        <f>SUMIFS(Calkos!#REF!,Calkos!#REF!,"Ottone",Calkos!#REF!,0.18,Calkos!#REF!,"fenaroli")</f>
        <v>#REF!</v>
      </c>
      <c r="I44" s="70" t="e">
        <f>SUMIFS(Calkos!#REF!,Calkos!#REF!,"Alluminio",Calkos!#REF!,0.07,Calkos!#REF!,"fenaroli")</f>
        <v>#REF!</v>
      </c>
      <c r="J44" s="67" t="e">
        <f>SUMIFS(Calkos!#REF!,Calkos!#REF!,"Alluminio",Calkos!#REF!,0.1,Calkos!#REF!,"fenaroli")</f>
        <v>#REF!</v>
      </c>
      <c r="K44" s="67" t="e">
        <f>SUMIFS(Calkos!#REF!,Calkos!#REF!,"Alluminio",Calkos!#REF!,0.18,Calkos!#REF!,"fenaroli")</f>
        <v>#REF!</v>
      </c>
      <c r="L44" s="67" t="e">
        <f>SUMIFS(Calkos!#REF!,Calkos!#REF!,"Rame",Calkos!#REF!,0.1,Calkos!#REF!,"fenaroli")</f>
        <v>#REF!</v>
      </c>
      <c r="M44" s="67" t="e">
        <f>SUMIFS(Calkos!#REF!,Calkos!#REF!,"Rame",Calkos!#REF!,0.18,Calkos!#REF!,"fenaroli")</f>
        <v>#REF!</v>
      </c>
      <c r="N44" s="67" t="e">
        <f>SUMIFS(Calkos!#REF!,Calkos!#REF!,"Ottone",Calkos!#REF!,0.1,Calkos!#REF!,"fenaroli")</f>
        <v>#REF!</v>
      </c>
      <c r="O44" s="157" t="e">
        <f>SUMIFS(Calkos!#REF!,Calkos!#REF!,"Ottone",Calkos!#REF!,0.18,Calkos!#REF!,"fenaroli")</f>
        <v>#REF!</v>
      </c>
      <c r="P44" s="12" t="e">
        <f>SUMIF(Calkos!#REF!,"Fenaroli",Calkos!#REF!)</f>
        <v>#REF!</v>
      </c>
      <c r="Q44" s="155" t="e">
        <f>SUMIF(Calkos!#REF!,"Fenaroli",Calkos!#REF!)</f>
        <v>#REF!</v>
      </c>
      <c r="R44" s="13" t="e">
        <f>+Q44*0.4</f>
        <v>#REF!</v>
      </c>
    </row>
    <row r="45" spans="2:18" x14ac:dyDescent="0.25">
      <c r="I45" s="154"/>
      <c r="J45" s="154"/>
      <c r="K45" s="154"/>
      <c r="L45" s="154"/>
      <c r="M45" s="154"/>
      <c r="N45" s="154"/>
      <c r="O45" s="154"/>
      <c r="P45" s="11"/>
      <c r="Q45" s="41"/>
      <c r="R45" s="41"/>
    </row>
    <row r="46" spans="2:18" x14ac:dyDescent="0.25">
      <c r="I46" s="154"/>
      <c r="J46" s="154"/>
      <c r="K46" s="154"/>
      <c r="L46" s="154"/>
      <c r="M46" s="154"/>
      <c r="N46" s="154"/>
      <c r="O46" s="154"/>
      <c r="P46" s="11"/>
      <c r="Q46" s="41"/>
      <c r="R46" s="41"/>
    </row>
    <row r="47" spans="2:18" x14ac:dyDescent="0.25">
      <c r="I47" s="154"/>
      <c r="J47" s="154"/>
      <c r="K47" s="154"/>
      <c r="L47" s="154"/>
      <c r="M47" s="154"/>
      <c r="N47" s="154"/>
      <c r="O47" s="154"/>
      <c r="P47" s="11"/>
      <c r="Q47" s="41"/>
      <c r="R47" s="41"/>
    </row>
    <row r="48" spans="2:18" x14ac:dyDescent="0.25">
      <c r="I48" s="154"/>
      <c r="J48" s="154"/>
      <c r="K48" s="154"/>
      <c r="L48" s="154"/>
      <c r="M48" s="154"/>
      <c r="N48" s="154"/>
      <c r="O48" s="154"/>
      <c r="P48" s="11"/>
      <c r="Q48" s="41"/>
      <c r="R48" s="41"/>
    </row>
    <row r="49" spans="2:19" x14ac:dyDescent="0.25">
      <c r="I49" s="154"/>
      <c r="J49" s="154"/>
      <c r="K49" s="154"/>
      <c r="L49" s="154"/>
      <c r="M49" s="154"/>
      <c r="N49" s="154"/>
      <c r="O49" s="154"/>
      <c r="P49" s="11"/>
      <c r="Q49" s="41"/>
      <c r="R49" s="41"/>
    </row>
    <row r="51" spans="2:19" x14ac:dyDescent="0.25">
      <c r="O51" s="27"/>
      <c r="P51" s="28"/>
      <c r="Q51" s="28"/>
      <c r="R51" s="28"/>
      <c r="S51" s="29"/>
    </row>
    <row r="53" spans="2:19" ht="15.75" thickBot="1" x14ac:dyDescent="0.3"/>
    <row r="54" spans="2:19" ht="15.75" thickBot="1" x14ac:dyDescent="0.3">
      <c r="B54" s="59"/>
      <c r="C54" s="60"/>
      <c r="D54" s="60"/>
      <c r="E54" s="61" t="s">
        <v>78</v>
      </c>
      <c r="F54" s="61"/>
      <c r="G54" s="60"/>
      <c r="H54" s="71"/>
      <c r="I54" s="68"/>
      <c r="J54" s="60"/>
      <c r="K54" s="60"/>
      <c r="L54" s="61" t="s">
        <v>79</v>
      </c>
      <c r="M54" s="61"/>
      <c r="N54" s="60"/>
      <c r="O54" s="62"/>
      <c r="P54" s="26" t="s">
        <v>56</v>
      </c>
    </row>
    <row r="55" spans="2:19" ht="24" x14ac:dyDescent="0.25">
      <c r="B55" s="64" t="s">
        <v>80</v>
      </c>
      <c r="C55" s="58" t="s">
        <v>81</v>
      </c>
      <c r="D55" s="58" t="s">
        <v>82</v>
      </c>
      <c r="E55" s="58" t="s">
        <v>83</v>
      </c>
      <c r="F55" s="58" t="s">
        <v>84</v>
      </c>
      <c r="G55" s="58" t="s">
        <v>85</v>
      </c>
      <c r="H55" s="72" t="s">
        <v>86</v>
      </c>
      <c r="I55" s="69" t="s">
        <v>80</v>
      </c>
      <c r="J55" s="58" t="s">
        <v>81</v>
      </c>
      <c r="K55" s="58" t="s">
        <v>82</v>
      </c>
      <c r="L55" s="58" t="s">
        <v>83</v>
      </c>
      <c r="M55" s="58" t="s">
        <v>84</v>
      </c>
      <c r="N55" s="58" t="s">
        <v>85</v>
      </c>
      <c r="O55" s="58" t="s">
        <v>86</v>
      </c>
      <c r="P55" s="22" t="s">
        <v>55</v>
      </c>
      <c r="Q55" s="23" t="s">
        <v>54</v>
      </c>
      <c r="R55" s="24" t="s">
        <v>56</v>
      </c>
    </row>
    <row r="56" spans="2:19" ht="15.75" thickBot="1" x14ac:dyDescent="0.3">
      <c r="B56" s="65" t="e">
        <f>SUMIFS(Calkos!#REF!,Calkos!#REF!,"Alluminio",Calkos!#REF!,0.07,Calkos!#REF!,"Luca")</f>
        <v>#REF!</v>
      </c>
      <c r="C56" s="66" t="e">
        <f>SUMIFS(Calkos!#REF!,Calkos!#REF!,"Alluminio",Calkos!#REF!,0.1,Calkos!#REF!,"luca")</f>
        <v>#REF!</v>
      </c>
      <c r="D56" s="66" t="e">
        <f>SUMIFS(Calkos!#REF!,Calkos!#REF!,"Alluminio",Calkos!#REF!,0.18,Calkos!#REF!,"luca")</f>
        <v>#REF!</v>
      </c>
      <c r="E56" s="66" t="e">
        <f>SUMIFS(Calkos!#REF!,Calkos!#REF!,"Rame",Calkos!#REF!,0.1,Calkos!#REF!,"Luca")</f>
        <v>#REF!</v>
      </c>
      <c r="F56" s="66" t="e">
        <f>SUMIFS(Calkos!#REF!,Calkos!#REF!,"Rame",Calkos!#REF!,0.18,Calkos!#REF!,"Luca")</f>
        <v>#REF!</v>
      </c>
      <c r="G56" s="66" t="e">
        <f>SUMIFS(Calkos!#REF!,Calkos!#REF!,"Ottone",Calkos!#REF!,0.1,Calkos!#REF!,"luca")</f>
        <v>#REF!</v>
      </c>
      <c r="H56" s="73" t="e">
        <f>SUMIFS(Calkos!#REF!,Calkos!#REF!,"Ottone",Calkos!#REF!,0.18,Calkos!#REF!,"Luca")</f>
        <v>#REF!</v>
      </c>
      <c r="I56" s="70" t="e">
        <f>SUMIFS(Calkos!#REF!,Calkos!#REF!,"Alluminio",Calkos!#REF!,0.07,Calkos!#REF!,"Luca")</f>
        <v>#REF!</v>
      </c>
      <c r="J56" s="67" t="e">
        <f>SUMIFS(Calkos!#REF!,Calkos!#REF!,"Alluminio",Calkos!#REF!,0.1,Calkos!#REF!,"luca")</f>
        <v>#REF!</v>
      </c>
      <c r="K56" s="67" t="e">
        <f>SUMIFS(Calkos!#REF!,Calkos!#REF!,"Alluminio",Calkos!#REF!,0.18,Calkos!#REF!,"luca")</f>
        <v>#REF!</v>
      </c>
      <c r="L56" s="67" t="e">
        <f>SUMIFS(Calkos!#REF!,Calkos!#REF!,"Rame",Calkos!#REF!,0.1,Calkos!#REF!,"Luca")</f>
        <v>#REF!</v>
      </c>
      <c r="M56" s="67" t="e">
        <f>SUMIFS(Calkos!#REF!,Calkos!#REF!,"Rame",Calkos!#REF!,0.18,Calkos!#REF!,"luca")</f>
        <v>#REF!</v>
      </c>
      <c r="N56" s="67" t="e">
        <f>SUMIFS(Calkos!#REF!,Calkos!#REF!,"Ottone",Calkos!#REF!,0.1,Calkos!#REF!,"luca")</f>
        <v>#REF!</v>
      </c>
      <c r="O56" s="67" t="e">
        <f>SUMIFS(Calkos!#REF!,Calkos!#REF!,"Ottone",Calkos!#REF!,0.18,Calkos!#REF!,"luca")</f>
        <v>#REF!</v>
      </c>
      <c r="P56" s="12" t="e">
        <f>SUMIF(Calkos!#REF!,"luca",Calkos!#REF!)</f>
        <v>#REF!</v>
      </c>
      <c r="Q56" s="155" t="e">
        <f>SUMIF(Calkos!#REF!,"Luca",Calkos!#REF!)</f>
        <v>#REF!</v>
      </c>
      <c r="R56" s="13" t="e">
        <f>+Q56*40%</f>
        <v>#REF!</v>
      </c>
    </row>
    <row r="57" spans="2:19" x14ac:dyDescent="0.25">
      <c r="P57" s="11"/>
      <c r="Q57" s="41"/>
      <c r="R57" s="41"/>
    </row>
    <row r="58" spans="2:19" x14ac:dyDescent="0.25">
      <c r="O58" s="27"/>
      <c r="P58" s="28"/>
      <c r="Q58" s="28"/>
      <c r="R58" s="28"/>
      <c r="S58" s="29"/>
    </row>
    <row r="59" spans="2:19" x14ac:dyDescent="0.25">
      <c r="P59" s="11"/>
      <c r="Q59" s="41"/>
      <c r="R59" s="41"/>
    </row>
    <row r="60" spans="2:19" ht="19.5" thickBot="1" x14ac:dyDescent="0.35">
      <c r="P60" s="49" t="s">
        <v>66</v>
      </c>
      <c r="Q60" s="50"/>
    </row>
    <row r="61" spans="2:19" ht="18.75" x14ac:dyDescent="0.3">
      <c r="P61" s="42" t="s">
        <v>63</v>
      </c>
      <c r="Q61" s="43" t="e">
        <f>+P56</f>
        <v>#REF!</v>
      </c>
    </row>
    <row r="62" spans="2:19" ht="18.75" x14ac:dyDescent="0.3">
      <c r="P62" s="44" t="s">
        <v>62</v>
      </c>
      <c r="Q62" s="45" t="e">
        <f>+R56</f>
        <v>#REF!</v>
      </c>
    </row>
    <row r="63" spans="2:19" ht="19.5" thickBot="1" x14ac:dyDescent="0.35">
      <c r="P63" s="44" t="s">
        <v>64</v>
      </c>
      <c r="Q63" s="46" t="e">
        <f>+(Q62/2)*23%</f>
        <v>#REF!</v>
      </c>
    </row>
    <row r="64" spans="2:19" ht="19.5" thickBot="1" x14ac:dyDescent="0.35">
      <c r="P64" s="47" t="s">
        <v>65</v>
      </c>
      <c r="Q64" s="48" t="e">
        <f>+Q62-Q63</f>
        <v>#REF!</v>
      </c>
    </row>
    <row r="65" spans="15:19" x14ac:dyDescent="0.25">
      <c r="P65" s="11"/>
      <c r="Q65" s="41"/>
      <c r="R65" s="41"/>
    </row>
    <row r="66" spans="15:19" x14ac:dyDescent="0.25">
      <c r="O66" s="27"/>
      <c r="P66" s="28"/>
      <c r="Q66" s="28"/>
      <c r="R66" s="28"/>
      <c r="S66" s="29"/>
    </row>
    <row r="67" spans="15:19" ht="15.75" thickBot="1" x14ac:dyDescent="0.3">
      <c r="P67" s="26" t="s">
        <v>59</v>
      </c>
    </row>
    <row r="68" spans="15:19" ht="24.75" thickBot="1" x14ac:dyDescent="0.3">
      <c r="P68" s="22" t="s">
        <v>55</v>
      </c>
      <c r="Q68" s="23" t="s">
        <v>54</v>
      </c>
      <c r="R68" s="24" t="s">
        <v>56</v>
      </c>
    </row>
    <row r="69" spans="15:19" x14ac:dyDescent="0.25">
      <c r="O69" s="38" t="s">
        <v>60</v>
      </c>
      <c r="P69" s="10" t="e">
        <f>+P7+P14+P20+P26+P32+P38+P44</f>
        <v>#REF!</v>
      </c>
      <c r="Q69" s="30" t="e">
        <f>+Q7+Q14+Q20+Q26+Q32+Q38+Q44</f>
        <v>#REF!</v>
      </c>
      <c r="R69" s="31" t="e">
        <f>+R7+R14+R20+R26+R32+R38+R44</f>
        <v>#REF!</v>
      </c>
    </row>
    <row r="70" spans="15:19" ht="15.75" thickBot="1" x14ac:dyDescent="0.3">
      <c r="O70" s="39" t="s">
        <v>61</v>
      </c>
      <c r="P70" s="32" t="e">
        <f>+P56</f>
        <v>#REF!</v>
      </c>
      <c r="Q70" s="33" t="e">
        <f>+Q56</f>
        <v>#REF!</v>
      </c>
      <c r="R70" s="34" t="e">
        <f>+R56</f>
        <v>#REF!</v>
      </c>
    </row>
    <row r="71" spans="15:19" ht="15.75" thickBot="1" x14ac:dyDescent="0.3">
      <c r="O71" s="40" t="s">
        <v>50</v>
      </c>
      <c r="P71" s="35" t="e">
        <f>+P69-P70</f>
        <v>#REF!</v>
      </c>
      <c r="Q71" s="36" t="e">
        <f>+Q69-Q70</f>
        <v>#REF!</v>
      </c>
      <c r="R71" s="37" t="e">
        <f>+R69-R70</f>
        <v>#REF!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B1:E36"/>
  <sheetViews>
    <sheetView topLeftCell="A10" workbookViewId="0">
      <selection activeCell="H41" sqref="H4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</cols>
  <sheetData>
    <row r="1" spans="2:5" ht="21" x14ac:dyDescent="0.35">
      <c r="B1" s="51" t="s">
        <v>67</v>
      </c>
    </row>
    <row r="2" spans="2:5" ht="21" x14ac:dyDescent="0.35">
      <c r="B2" s="51"/>
    </row>
    <row r="3" spans="2:5" ht="21" x14ac:dyDescent="0.35">
      <c r="B3" s="51"/>
    </row>
    <row r="4" spans="2:5" x14ac:dyDescent="0.25">
      <c r="B4" s="26" t="s">
        <v>57</v>
      </c>
    </row>
    <row r="5" spans="2:5" ht="15.75" thickBot="1" x14ac:dyDescent="0.3"/>
    <row r="6" spans="2:5" ht="24" x14ac:dyDescent="0.25">
      <c r="B6" s="74" t="s">
        <v>55</v>
      </c>
      <c r="C6" s="75" t="s">
        <v>54</v>
      </c>
      <c r="D6" s="76" t="s">
        <v>56</v>
      </c>
    </row>
    <row r="7" spans="2:5" ht="15.75" thickBot="1" x14ac:dyDescent="0.3">
      <c r="B7" s="63" t="e">
        <f>+'Luke SkyWalker'!P7</f>
        <v>#REF!</v>
      </c>
      <c r="C7" s="78" t="e">
        <f>+'Luke SkyWalker'!Q7</f>
        <v>#REF!</v>
      </c>
      <c r="D7" s="13" t="e">
        <f>+'Luke SkyWalker'!R7</f>
        <v>#REF!</v>
      </c>
    </row>
    <row r="9" spans="2:5" x14ac:dyDescent="0.25">
      <c r="B9" s="28"/>
      <c r="C9" s="28"/>
      <c r="D9" s="28"/>
      <c r="E9" s="29"/>
    </row>
    <row r="11" spans="2:5" x14ac:dyDescent="0.25">
      <c r="B11" s="26" t="s">
        <v>58</v>
      </c>
    </row>
    <row r="12" spans="2:5" ht="15.75" thickBot="1" x14ac:dyDescent="0.3"/>
    <row r="13" spans="2:5" ht="24" x14ac:dyDescent="0.25">
      <c r="B13" s="74" t="s">
        <v>55</v>
      </c>
      <c r="C13" s="75" t="s">
        <v>54</v>
      </c>
      <c r="D13" s="76" t="s">
        <v>56</v>
      </c>
    </row>
    <row r="14" spans="2:5" ht="15.75" thickBot="1" x14ac:dyDescent="0.3">
      <c r="B14" s="63" t="e">
        <f>SUM(#REF!)</f>
        <v>#REF!</v>
      </c>
      <c r="C14" s="13" t="e">
        <f>SUM(#REF!)</f>
        <v>#REF!</v>
      </c>
      <c r="D14" s="13" t="e">
        <f>IF(#REF!&gt;0,#REF!*0.025,0)+IF(#REF!&gt;0,#REF!*0.04,0)+IF(#REF!&gt;0,#REF!*0.07,0)+IF(#REF!&gt;0,#REF!*0.04,0)+IF(#REF!&gt;0,#REF!*0.07,0)+IF(#REF!&gt;0,#REF!*0.04,0)+IF(#REF!&gt;0,B14*0.07,0)</f>
        <v>#REF!</v>
      </c>
    </row>
    <row r="16" spans="2:5" x14ac:dyDescent="0.25">
      <c r="B16" s="28"/>
      <c r="C16" s="28"/>
      <c r="D16" s="28"/>
      <c r="E16" s="29"/>
    </row>
    <row r="19" spans="2:5" ht="15.75" thickBot="1" x14ac:dyDescent="0.3">
      <c r="B19" s="26" t="s">
        <v>56</v>
      </c>
    </row>
    <row r="20" spans="2:5" ht="24" x14ac:dyDescent="0.25">
      <c r="B20" s="22" t="s">
        <v>55</v>
      </c>
      <c r="C20" s="23" t="s">
        <v>54</v>
      </c>
      <c r="D20" s="24" t="s">
        <v>56</v>
      </c>
    </row>
    <row r="21" spans="2:5" ht="15.75" thickBot="1" x14ac:dyDescent="0.3">
      <c r="B21" s="12" t="e">
        <f>SUM(#REF!)</f>
        <v>#REF!</v>
      </c>
      <c r="C21" s="13" t="e">
        <f>SUM(#REF!)</f>
        <v>#REF!</v>
      </c>
      <c r="D21" s="13" t="e">
        <f>IF(#REF!&gt;0,#REF!*0.025,0)+IF(#REF!&gt;0,#REF!*0.04,0)+IF(#REF!&gt;0,#REF!*0.07,0)+IF(#REF!&gt;0,#REF!*0.04,0)+IF(#REF!&gt;0,#REF!*0.07,0)+IF(#REF!&gt;0,#REF!*0.04,0)+IF(#REF!&gt;0,B21*0.07,0)</f>
        <v>#REF!</v>
      </c>
    </row>
    <row r="22" spans="2:5" x14ac:dyDescent="0.25">
      <c r="B22" s="11"/>
      <c r="C22" s="41"/>
      <c r="D22" s="41"/>
    </row>
    <row r="23" spans="2:5" x14ac:dyDescent="0.25">
      <c r="B23" s="28"/>
      <c r="C23" s="28"/>
      <c r="D23" s="28"/>
      <c r="E23" s="29"/>
    </row>
    <row r="24" spans="2:5" x14ac:dyDescent="0.25">
      <c r="B24" s="11"/>
      <c r="C24" s="41"/>
      <c r="D24" s="41"/>
    </row>
    <row r="25" spans="2:5" ht="19.5" thickBot="1" x14ac:dyDescent="0.35">
      <c r="B25" s="49" t="s">
        <v>66</v>
      </c>
      <c r="C25" s="50"/>
    </row>
    <row r="26" spans="2:5" ht="18.75" x14ac:dyDescent="0.3">
      <c r="B26" s="42" t="s">
        <v>63</v>
      </c>
      <c r="C26" s="43" t="e">
        <f>+B21</f>
        <v>#REF!</v>
      </c>
    </row>
    <row r="27" spans="2:5" ht="18.75" x14ac:dyDescent="0.3">
      <c r="B27" s="44" t="s">
        <v>62</v>
      </c>
      <c r="C27" s="45" t="e">
        <f>+D21</f>
        <v>#REF!</v>
      </c>
    </row>
    <row r="28" spans="2:5" ht="19.5" thickBot="1" x14ac:dyDescent="0.35">
      <c r="B28" s="44" t="s">
        <v>64</v>
      </c>
      <c r="C28" s="46" t="e">
        <f>+(C27/2)*23%</f>
        <v>#REF!</v>
      </c>
    </row>
    <row r="29" spans="2:5" ht="19.5" thickBot="1" x14ac:dyDescent="0.35">
      <c r="B29" s="47" t="s">
        <v>65</v>
      </c>
      <c r="C29" s="48" t="e">
        <f>+C27-C28</f>
        <v>#REF!</v>
      </c>
    </row>
    <row r="30" spans="2:5" x14ac:dyDescent="0.25">
      <c r="B30" s="11"/>
      <c r="C30" s="41"/>
      <c r="D30" s="41"/>
    </row>
    <row r="31" spans="2:5" x14ac:dyDescent="0.25">
      <c r="B31" s="28"/>
      <c r="C31" s="28"/>
      <c r="D31" s="28"/>
      <c r="E31" s="29"/>
    </row>
    <row r="32" spans="2:5" ht="15.75" thickBot="1" x14ac:dyDescent="0.3">
      <c r="B32" s="26" t="s">
        <v>59</v>
      </c>
    </row>
    <row r="33" spans="2:4" ht="24" x14ac:dyDescent="0.25">
      <c r="B33" s="22" t="s">
        <v>55</v>
      </c>
      <c r="C33" s="23" t="s">
        <v>54</v>
      </c>
      <c r="D33" s="24" t="s">
        <v>56</v>
      </c>
    </row>
    <row r="34" spans="2:4" x14ac:dyDescent="0.25">
      <c r="B34" s="10" t="e">
        <f>+B7+B14</f>
        <v>#REF!</v>
      </c>
      <c r="C34" s="30" t="e">
        <f>+C7+C14</f>
        <v>#REF!</v>
      </c>
      <c r="D34" s="31" t="e">
        <f>+D7+D14</f>
        <v>#REF!</v>
      </c>
    </row>
    <row r="35" spans="2:4" ht="15.75" thickBot="1" x14ac:dyDescent="0.3">
      <c r="B35" s="32" t="e">
        <f>+B21</f>
        <v>#REF!</v>
      </c>
      <c r="C35" s="33" t="e">
        <f>+C21</f>
        <v>#REF!</v>
      </c>
      <c r="D35" s="34" t="e">
        <f>+D21</f>
        <v>#REF!</v>
      </c>
    </row>
    <row r="36" spans="2:4" ht="15.75" thickBot="1" x14ac:dyDescent="0.3">
      <c r="B36" s="35" t="e">
        <f>+B34-B35</f>
        <v>#REF!</v>
      </c>
      <c r="C36" s="36" t="e">
        <f>+C34-C35</f>
        <v>#REF!</v>
      </c>
      <c r="D36" s="37" t="e">
        <f>+D34-D35</f>
        <v>#REF!</v>
      </c>
    </row>
  </sheetData>
  <phoneticPr fontId="19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J49"/>
  <sheetViews>
    <sheetView topLeftCell="A7" workbookViewId="0">
      <selection activeCell="C1" sqref="C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  <col min="8" max="8" width="13.5703125" customWidth="1"/>
    <col min="9" max="9" width="15" customWidth="1"/>
    <col min="10" max="10" width="14.140625" customWidth="1"/>
  </cols>
  <sheetData>
    <row r="1" spans="1:10" ht="21" x14ac:dyDescent="0.35">
      <c r="B1" s="51" t="s">
        <v>68</v>
      </c>
    </row>
    <row r="3" spans="1:10" ht="15.75" thickBot="1" x14ac:dyDescent="0.3">
      <c r="B3" s="172" t="s">
        <v>187</v>
      </c>
      <c r="H3" s="26" t="s">
        <v>70</v>
      </c>
    </row>
    <row r="4" spans="1:10" ht="24" x14ac:dyDescent="0.25">
      <c r="B4" s="22" t="s">
        <v>55</v>
      </c>
      <c r="C4" s="23" t="s">
        <v>54</v>
      </c>
      <c r="D4" s="24" t="s">
        <v>69</v>
      </c>
      <c r="F4" s="55"/>
      <c r="H4" s="22" t="s">
        <v>55</v>
      </c>
      <c r="I4" s="23" t="s">
        <v>54</v>
      </c>
      <c r="J4" s="24" t="s">
        <v>69</v>
      </c>
    </row>
    <row r="5" spans="1:10" ht="15.75" thickBot="1" x14ac:dyDescent="0.3">
      <c r="B5" s="12"/>
      <c r="C5" s="13"/>
      <c r="D5" s="25"/>
      <c r="F5" s="55"/>
      <c r="H5" s="12"/>
      <c r="I5" s="13"/>
      <c r="J5" s="25"/>
    </row>
    <row r="6" spans="1:10" x14ac:dyDescent="0.25">
      <c r="F6" s="55"/>
    </row>
    <row r="7" spans="1:10" x14ac:dyDescent="0.25">
      <c r="A7" s="27"/>
      <c r="B7" s="28"/>
      <c r="C7" s="28"/>
      <c r="D7" s="28"/>
      <c r="E7" s="29"/>
      <c r="F7" s="55"/>
      <c r="G7" s="27"/>
      <c r="H7" s="28"/>
      <c r="I7" s="28"/>
      <c r="J7" s="28"/>
    </row>
    <row r="8" spans="1:10" x14ac:dyDescent="0.25">
      <c r="F8" s="55"/>
    </row>
    <row r="9" spans="1:10" ht="15.75" thickBot="1" x14ac:dyDescent="0.3">
      <c r="B9" s="172" t="s">
        <v>188</v>
      </c>
      <c r="F9" s="55"/>
      <c r="H9" s="26" t="s">
        <v>71</v>
      </c>
    </row>
    <row r="10" spans="1:10" ht="24" x14ac:dyDescent="0.25">
      <c r="B10" s="22" t="s">
        <v>55</v>
      </c>
      <c r="C10" s="23" t="s">
        <v>54</v>
      </c>
      <c r="D10" s="24" t="s">
        <v>69</v>
      </c>
      <c r="F10" s="55"/>
      <c r="H10" s="22" t="s">
        <v>55</v>
      </c>
      <c r="I10" s="23" t="s">
        <v>54</v>
      </c>
      <c r="J10" s="24" t="s">
        <v>69</v>
      </c>
    </row>
    <row r="11" spans="1:10" ht="15.75" thickBot="1" x14ac:dyDescent="0.3">
      <c r="B11" s="12"/>
      <c r="C11" s="13"/>
      <c r="D11" s="25"/>
      <c r="F11" s="55"/>
      <c r="H11" s="12"/>
      <c r="I11" s="13"/>
      <c r="J11" s="25"/>
    </row>
    <row r="12" spans="1:10" x14ac:dyDescent="0.25">
      <c r="F12" s="55"/>
    </row>
    <row r="13" spans="1:10" x14ac:dyDescent="0.25">
      <c r="A13" s="27"/>
      <c r="B13" s="28"/>
      <c r="C13" s="28"/>
      <c r="D13" s="28"/>
      <c r="E13" s="29"/>
      <c r="F13" s="55"/>
      <c r="H13" s="28"/>
      <c r="I13" s="28"/>
      <c r="J13" s="28"/>
    </row>
    <row r="14" spans="1:10" x14ac:dyDescent="0.25">
      <c r="F14" s="55"/>
    </row>
    <row r="15" spans="1:10" ht="15.75" thickBot="1" x14ac:dyDescent="0.3">
      <c r="B15" s="172" t="s">
        <v>189</v>
      </c>
      <c r="F15" s="55"/>
      <c r="H15" s="26" t="s">
        <v>72</v>
      </c>
    </row>
    <row r="16" spans="1:10" ht="24" x14ac:dyDescent="0.25">
      <c r="B16" s="22" t="s">
        <v>55</v>
      </c>
      <c r="C16" s="23" t="s">
        <v>54</v>
      </c>
      <c r="D16" s="24" t="s">
        <v>69</v>
      </c>
      <c r="F16" s="55"/>
      <c r="H16" s="22" t="s">
        <v>55</v>
      </c>
      <c r="I16" s="23" t="s">
        <v>54</v>
      </c>
      <c r="J16" s="24" t="s">
        <v>69</v>
      </c>
    </row>
    <row r="17" spans="1:10" ht="15.75" thickBot="1" x14ac:dyDescent="0.3">
      <c r="B17" s="12"/>
      <c r="C17" s="13"/>
      <c r="D17" s="25"/>
      <c r="F17" s="55"/>
      <c r="H17" s="12"/>
      <c r="I17" s="13"/>
      <c r="J17" s="25"/>
    </row>
    <row r="18" spans="1:10" x14ac:dyDescent="0.25">
      <c r="B18" s="53"/>
      <c r="C18" s="54"/>
      <c r="D18" s="54"/>
      <c r="F18" s="55"/>
    </row>
    <row r="19" spans="1:10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</row>
    <row r="21" spans="1:10" ht="15.75" thickBot="1" x14ac:dyDescent="0.3">
      <c r="B21" s="26" t="s">
        <v>73</v>
      </c>
      <c r="F21" s="55"/>
      <c r="H21" s="26" t="s">
        <v>74</v>
      </c>
    </row>
    <row r="22" spans="1:10" ht="24" x14ac:dyDescent="0.25">
      <c r="B22" s="22" t="s">
        <v>55</v>
      </c>
      <c r="C22" s="23" t="s">
        <v>54</v>
      </c>
      <c r="D22" s="24" t="s">
        <v>69</v>
      </c>
      <c r="F22" s="55"/>
      <c r="H22" s="22" t="s">
        <v>55</v>
      </c>
      <c r="I22" s="23" t="s">
        <v>54</v>
      </c>
      <c r="J22" s="24" t="s">
        <v>69</v>
      </c>
    </row>
    <row r="23" spans="1:10" ht="15.75" thickBot="1" x14ac:dyDescent="0.3">
      <c r="B23" s="12"/>
      <c r="C23" s="13"/>
      <c r="D23" s="25"/>
      <c r="F23" s="55"/>
      <c r="H23" s="12"/>
      <c r="I23" s="13"/>
      <c r="J23" s="25"/>
    </row>
    <row r="24" spans="1:10" ht="12.75" customHeight="1" x14ac:dyDescent="0.25"/>
    <row r="27" spans="1:10" x14ac:dyDescent="0.25">
      <c r="A27" s="27"/>
      <c r="B27" s="28"/>
      <c r="C27" s="28"/>
      <c r="D27" s="28"/>
      <c r="E27" s="29"/>
      <c r="F27" s="55"/>
    </row>
    <row r="29" spans="1:10" ht="15.75" thickBot="1" x14ac:dyDescent="0.3">
      <c r="B29" s="26" t="s">
        <v>69</v>
      </c>
    </row>
    <row r="30" spans="1:10" ht="24" x14ac:dyDescent="0.25">
      <c r="B30" s="22" t="s">
        <v>55</v>
      </c>
      <c r="C30" s="23" t="s">
        <v>54</v>
      </c>
      <c r="D30" s="24" t="s">
        <v>69</v>
      </c>
    </row>
    <row r="31" spans="1:10" ht="15.75" thickBot="1" x14ac:dyDescent="0.3">
      <c r="B31" s="12"/>
      <c r="C31" s="13"/>
      <c r="D31" s="25"/>
    </row>
    <row r="32" spans="1:10" x14ac:dyDescent="0.25">
      <c r="B32" s="11"/>
      <c r="C32" s="41"/>
      <c r="D32" s="41"/>
    </row>
    <row r="33" spans="1:5" x14ac:dyDescent="0.25">
      <c r="B33" s="11"/>
      <c r="C33" s="41"/>
      <c r="D33" s="41"/>
    </row>
    <row r="34" spans="1:5" x14ac:dyDescent="0.25">
      <c r="A34" s="27"/>
      <c r="B34" s="28"/>
      <c r="C34" s="28"/>
      <c r="D34" s="28"/>
      <c r="E34" s="29"/>
    </row>
    <row r="35" spans="1:5" x14ac:dyDescent="0.25">
      <c r="B35" s="11"/>
      <c r="C35" s="41"/>
      <c r="D35" s="41"/>
    </row>
    <row r="36" spans="1:5" ht="19.5" thickBot="1" x14ac:dyDescent="0.35">
      <c r="B36" s="49" t="s">
        <v>66</v>
      </c>
      <c r="C36" s="50"/>
    </row>
    <row r="37" spans="1:5" ht="18.75" x14ac:dyDescent="0.3">
      <c r="B37" s="42" t="s">
        <v>63</v>
      </c>
      <c r="C37" s="43">
        <f>+B31</f>
        <v>0</v>
      </c>
    </row>
    <row r="38" spans="1:5" ht="18.75" x14ac:dyDescent="0.3">
      <c r="B38" s="44" t="s">
        <v>62</v>
      </c>
      <c r="C38" s="45">
        <f>+D31</f>
        <v>0</v>
      </c>
    </row>
    <row r="39" spans="1:5" ht="18.75" x14ac:dyDescent="0.3">
      <c r="B39" s="44" t="s">
        <v>75</v>
      </c>
      <c r="C39" s="56">
        <f>+C38*22%</f>
        <v>0</v>
      </c>
    </row>
    <row r="40" spans="1:5" ht="18.75" x14ac:dyDescent="0.3">
      <c r="B40" s="44" t="s">
        <v>65</v>
      </c>
      <c r="C40" s="56">
        <f>+C38+C39</f>
        <v>0</v>
      </c>
    </row>
    <row r="41" spans="1:5" ht="19.5" thickBot="1" x14ac:dyDescent="0.35">
      <c r="B41" s="44" t="s">
        <v>64</v>
      </c>
      <c r="C41" s="46">
        <f>+(C38/2)*23%</f>
        <v>0</v>
      </c>
    </row>
    <row r="42" spans="1:5" ht="38.25" thickBot="1" x14ac:dyDescent="0.35">
      <c r="B42" s="57" t="s">
        <v>76</v>
      </c>
      <c r="C42" s="48">
        <f>+C38-C41</f>
        <v>0</v>
      </c>
    </row>
    <row r="43" spans="1:5" x14ac:dyDescent="0.25">
      <c r="B43" s="11"/>
      <c r="C43" s="41"/>
      <c r="D43" s="41"/>
    </row>
    <row r="44" spans="1:5" x14ac:dyDescent="0.25">
      <c r="A44" s="27"/>
      <c r="B44" s="28"/>
      <c r="C44" s="28"/>
      <c r="D44" s="28"/>
      <c r="E44" s="29"/>
    </row>
    <row r="45" spans="1:5" ht="15.75" thickBot="1" x14ac:dyDescent="0.3">
      <c r="B45" s="26" t="s">
        <v>59</v>
      </c>
    </row>
    <row r="46" spans="1:5" ht="24.75" thickBot="1" x14ac:dyDescent="0.3">
      <c r="B46" s="22" t="s">
        <v>55</v>
      </c>
      <c r="C46" s="23" t="s">
        <v>54</v>
      </c>
      <c r="D46" s="24" t="s">
        <v>69</v>
      </c>
    </row>
    <row r="47" spans="1:5" x14ac:dyDescent="0.25">
      <c r="A47" s="38" t="s">
        <v>60</v>
      </c>
      <c r="B47" s="10">
        <f>+B5+B11+B17+B23+H5+H11+H17+H23</f>
        <v>0</v>
      </c>
      <c r="C47" s="30">
        <f>+C5+C11+C17+C23+I5+I11+I17+I23</f>
        <v>0</v>
      </c>
      <c r="D47" s="31">
        <f>+D5+D11+D17+D23+J5+J11+J17+J23</f>
        <v>0</v>
      </c>
    </row>
    <row r="48" spans="1:5" ht="15.75" thickBot="1" x14ac:dyDescent="0.3">
      <c r="A48" s="39" t="s">
        <v>77</v>
      </c>
      <c r="B48" s="32">
        <f>+B47-B31</f>
        <v>0</v>
      </c>
      <c r="C48" s="33">
        <f>+C31</f>
        <v>0</v>
      </c>
      <c r="D48" s="34">
        <f>+D31</f>
        <v>0</v>
      </c>
    </row>
    <row r="49" spans="1:4" ht="15.75" thickBot="1" x14ac:dyDescent="0.3">
      <c r="A49" s="40" t="s">
        <v>50</v>
      </c>
      <c r="B49" s="35">
        <f>+B47-B48</f>
        <v>0</v>
      </c>
      <c r="C49" s="36">
        <f>+C47-C48</f>
        <v>0</v>
      </c>
      <c r="D49" s="37">
        <f>+D47-D48</f>
        <v>0</v>
      </c>
    </row>
  </sheetData>
  <phoneticPr fontId="19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/>
  <dimension ref="A2:C37"/>
  <sheetViews>
    <sheetView workbookViewId="0">
      <selection activeCell="D30" sqref="D30"/>
    </sheetView>
  </sheetViews>
  <sheetFormatPr defaultRowHeight="15" x14ac:dyDescent="0.25"/>
  <cols>
    <col min="1" max="1" width="14.5703125" customWidth="1"/>
    <col min="2" max="2" width="12.85546875" customWidth="1"/>
    <col min="3" max="3" width="11.42578125" customWidth="1"/>
  </cols>
  <sheetData>
    <row r="2" spans="1:3" ht="18.75" x14ac:dyDescent="0.3">
      <c r="A2" s="425" t="s">
        <v>196</v>
      </c>
      <c r="B2" s="425"/>
    </row>
    <row r="4" spans="1:3" ht="15.75" thickBot="1" x14ac:dyDescent="0.3">
      <c r="A4" s="426" t="s">
        <v>197</v>
      </c>
      <c r="B4" s="426"/>
      <c r="C4" s="426"/>
    </row>
    <row r="5" spans="1:3" ht="15.75" thickBot="1" x14ac:dyDescent="0.3">
      <c r="A5" s="174" t="s">
        <v>198</v>
      </c>
      <c r="B5" s="175" t="s">
        <v>199</v>
      </c>
      <c r="C5" s="176" t="s">
        <v>94</v>
      </c>
    </row>
    <row r="6" spans="1:3" x14ac:dyDescent="0.25">
      <c r="A6" s="177" t="s">
        <v>200</v>
      </c>
      <c r="B6" s="178" t="e">
        <f>SUMIFS(Calkos!$C$7:$C$2853,Calkos!#REF!,1,Calkos!$AG$7:$AG$2853,2018)</f>
        <v>#REF!</v>
      </c>
      <c r="C6" s="179" t="e">
        <f>SUMIFS(Calkos!$M$7:$M$2853,Calkos!#REF!,1,Calkos!$AG$7:$AG$2853,2018)</f>
        <v>#REF!</v>
      </c>
    </row>
    <row r="7" spans="1:3" x14ac:dyDescent="0.25">
      <c r="A7" s="180" t="s">
        <v>201</v>
      </c>
      <c r="B7" s="181" t="e">
        <f>SUMIFS(Calkos!$C$7:$C$2853,Calkos!#REF!,2,Calkos!$AG$7:$AG$2853,2018)</f>
        <v>#REF!</v>
      </c>
      <c r="C7" s="182" t="e">
        <f>SUMIFS(Calkos!$M$7:$M$2853,Calkos!#REF!,2,Calkos!$AG$7:$AG$2853,2018)</f>
        <v>#REF!</v>
      </c>
    </row>
    <row r="8" spans="1:3" x14ac:dyDescent="0.25">
      <c r="A8" s="180" t="s">
        <v>202</v>
      </c>
      <c r="B8" s="181" t="e">
        <f>SUMIFS(Calkos!$C$7:$C$2853,Calkos!#REF!,3,Calkos!$AG$7:$AG$2853,2018)</f>
        <v>#REF!</v>
      </c>
      <c r="C8" s="182" t="e">
        <f>SUMIFS(Calkos!$M$7:$M$2853,Calkos!#REF!,3,Calkos!$AG$7:$AG$2853,2018)</f>
        <v>#REF!</v>
      </c>
    </row>
    <row r="9" spans="1:3" x14ac:dyDescent="0.25">
      <c r="A9" s="180" t="s">
        <v>203</v>
      </c>
      <c r="B9" s="181" t="e">
        <f>SUMIFS(Calkos!$C$7:$C$2853,Calkos!#REF!,4,Calkos!$AG$7:$AG$2853,2018)</f>
        <v>#REF!</v>
      </c>
      <c r="C9" s="182" t="e">
        <f>SUMIFS(Calkos!$M$7:$M$2853,Calkos!#REF!,4,Calkos!$AG$7:$AG$2853,2018)</f>
        <v>#REF!</v>
      </c>
    </row>
    <row r="10" spans="1:3" x14ac:dyDescent="0.25">
      <c r="A10" s="180" t="s">
        <v>204</v>
      </c>
      <c r="B10" s="181" t="e">
        <f>SUMIFS(Calkos!$C$7:$C$2853,Calkos!#REF!,5,Calkos!$AG$7:$AG$2853,2018)</f>
        <v>#REF!</v>
      </c>
      <c r="C10" s="182" t="e">
        <f>SUMIFS(Calkos!$M$7:$M$2853,Calkos!#REF!,5,Calkos!$AG$7:$AG$2853,2018)</f>
        <v>#REF!</v>
      </c>
    </row>
    <row r="11" spans="1:3" x14ac:dyDescent="0.25">
      <c r="A11" s="180" t="s">
        <v>205</v>
      </c>
      <c r="B11" s="181" t="e">
        <f>SUMIFS(Calkos!$C$7:$C$2853,Calkos!#REF!,6,Calkos!$AG$7:$AG$2853,2018)</f>
        <v>#REF!</v>
      </c>
      <c r="C11" s="182" t="e">
        <f>SUMIFS(Calkos!$M$7:$M$2853,Calkos!#REF!,6,Calkos!$AG$7:$AG$2853,2018)</f>
        <v>#REF!</v>
      </c>
    </row>
    <row r="12" spans="1:3" x14ac:dyDescent="0.25">
      <c r="A12" s="180" t="s">
        <v>206</v>
      </c>
      <c r="B12" s="181" t="e">
        <f>SUMIFS(Calkos!$C$7:$C$2853,Calkos!#REF!,7,Calkos!$AG$7:$AG$2853,2018)</f>
        <v>#REF!</v>
      </c>
      <c r="C12" s="182" t="e">
        <f>SUMIFS(Calkos!$M$7:$M$2853,Calkos!#REF!,7,Calkos!$AG$7:$AG$2853,2018)</f>
        <v>#REF!</v>
      </c>
    </row>
    <row r="13" spans="1:3" x14ac:dyDescent="0.25">
      <c r="A13" s="180" t="s">
        <v>207</v>
      </c>
      <c r="B13" s="181" t="e">
        <f>SUMIFS(Calkos!$C$7:$C$2853,Calkos!#REF!,8,Calkos!$AG$7:$AG$2853,2018)</f>
        <v>#REF!</v>
      </c>
      <c r="C13" s="182" t="e">
        <f>SUMIFS(Calkos!$M$7:$M$2853,Calkos!#REF!,8,Calkos!$AG$7:$AG$2853,2018)</f>
        <v>#REF!</v>
      </c>
    </row>
    <row r="14" spans="1:3" x14ac:dyDescent="0.25">
      <c r="A14" s="183" t="s">
        <v>208</v>
      </c>
      <c r="B14" s="181" t="e">
        <f>SUMIFS(Calkos!$C$7:$C$2853,Calkos!#REF!,9,Calkos!$AG$7:$AG$2853,2018)</f>
        <v>#REF!</v>
      </c>
      <c r="C14" s="182" t="e">
        <f>SUMIFS(Calkos!$M$7:$M$2853,Calkos!#REF!,9,Calkos!$AG$7:$AG$2853,2018)</f>
        <v>#REF!</v>
      </c>
    </row>
    <row r="15" spans="1:3" x14ac:dyDescent="0.25">
      <c r="A15" s="180" t="s">
        <v>209</v>
      </c>
      <c r="B15" s="181" t="e">
        <f>SUMIFS(Calkos!$C$7:$C$2853,Calkos!#REF!,10,Calkos!$AG$7:$AG$2853,2018)</f>
        <v>#REF!</v>
      </c>
      <c r="C15" s="182" t="e">
        <f>SUMIFS(Calkos!$M$7:$M$2853,Calkos!#REF!,10,Calkos!$AG$7:$AG$2853,2018)</f>
        <v>#REF!</v>
      </c>
    </row>
    <row r="16" spans="1:3" x14ac:dyDescent="0.25">
      <c r="A16" s="180" t="s">
        <v>210</v>
      </c>
      <c r="B16" s="181" t="e">
        <f>SUMIFS(Calkos!$C$7:$C$2853,Calkos!#REF!,11,Calkos!$AG$7:$AG$2853,2018)</f>
        <v>#REF!</v>
      </c>
      <c r="C16" s="182" t="e">
        <f>SUMIFS(Calkos!$M$7:$M$2853,Calkos!#REF!,11,Calkos!$AG$7:$AG$2853,2018)</f>
        <v>#REF!</v>
      </c>
    </row>
    <row r="17" spans="1:3" ht="15.75" thickBot="1" x14ac:dyDescent="0.3">
      <c r="A17" s="184" t="s">
        <v>211</v>
      </c>
      <c r="B17" s="185" t="e">
        <f>SUMIFS(Calkos!$C$7:$C$2853,Calkos!#REF!,12,Calkos!$AG$7:$AG$2853,2018)</f>
        <v>#REF!</v>
      </c>
      <c r="C17" s="186" t="e">
        <f>SUMIFS(Calkos!$M$7:$M$2853,Calkos!#REF!,12,Calkos!$AG$7:$AG$2853,2018)</f>
        <v>#REF!</v>
      </c>
    </row>
    <row r="18" spans="1:3" ht="15.75" thickBot="1" x14ac:dyDescent="0.3">
      <c r="A18" s="173"/>
      <c r="B18" s="187" t="e">
        <f>SUM(B6:B17)</f>
        <v>#REF!</v>
      </c>
      <c r="C18" s="188" t="e">
        <f>SUM(C6:C17)</f>
        <v>#REF!</v>
      </c>
    </row>
    <row r="20" spans="1:3" ht="15.75" thickBot="1" x14ac:dyDescent="0.3">
      <c r="A20" s="426" t="s">
        <v>212</v>
      </c>
      <c r="B20" s="426"/>
      <c r="C20" s="426"/>
    </row>
    <row r="21" spans="1:3" ht="15.75" thickBot="1" x14ac:dyDescent="0.3">
      <c r="A21" s="174" t="s">
        <v>198</v>
      </c>
      <c r="B21" s="175" t="s">
        <v>199</v>
      </c>
      <c r="C21" s="176" t="s">
        <v>94</v>
      </c>
    </row>
    <row r="22" spans="1:3" x14ac:dyDescent="0.25">
      <c r="A22" s="177" t="s">
        <v>200</v>
      </c>
      <c r="B22" s="178" t="e">
        <f>SUMIFS(Calkos!$C$7:$C$2853,Calkos!#REF!,1,Calkos!$AG$7:$AG$2853,2019)</f>
        <v>#REF!</v>
      </c>
      <c r="C22" s="179" t="e">
        <f>SUMIFS(Calkos!$M$7:$M$2853,Calkos!#REF!,1,Calkos!$AG$7:$AG$2853,2019)</f>
        <v>#REF!</v>
      </c>
    </row>
    <row r="23" spans="1:3" x14ac:dyDescent="0.25">
      <c r="A23" s="180" t="s">
        <v>201</v>
      </c>
      <c r="B23" s="181" t="e">
        <f>SUMIFS(Calkos!$C$7:$C$2853,Calkos!#REF!,2,Calkos!$AG$7:$AG$2853,2019)</f>
        <v>#REF!</v>
      </c>
      <c r="C23" s="182" t="e">
        <f>SUMIFS(Calkos!$M$7:$M$2853,Calkos!#REF!,2,Calkos!$AG$7:$AG$2853,2019)</f>
        <v>#REF!</v>
      </c>
    </row>
    <row r="24" spans="1:3" x14ac:dyDescent="0.25">
      <c r="A24" s="180" t="s">
        <v>202</v>
      </c>
      <c r="B24" s="181" t="e">
        <f>SUMIFS(Calkos!$C$7:$C$2853,Calkos!#REF!,3,Calkos!$AG$7:$AG$2853,2019)</f>
        <v>#REF!</v>
      </c>
      <c r="C24" s="182" t="e">
        <f>SUMIFS(Calkos!$M$7:$M$2853,Calkos!#REF!,3,Calkos!$AG$7:$AG$2853,2019)</f>
        <v>#REF!</v>
      </c>
    </row>
    <row r="25" spans="1:3" x14ac:dyDescent="0.25">
      <c r="A25" s="180" t="s">
        <v>203</v>
      </c>
      <c r="B25" s="181" t="e">
        <f>SUMIFS(Calkos!$C$7:$C$2853,Calkos!#REF!,4,Calkos!$AG$7:$AG$2853,2019)</f>
        <v>#REF!</v>
      </c>
      <c r="C25" s="182" t="e">
        <f>SUMIFS(Calkos!$M$7:$M$2853,Calkos!#REF!,4,Calkos!$AG$7:$AG$2853,2019)</f>
        <v>#REF!</v>
      </c>
    </row>
    <row r="26" spans="1:3" x14ac:dyDescent="0.25">
      <c r="A26" s="180" t="s">
        <v>204</v>
      </c>
      <c r="B26" s="181" t="e">
        <f>SUMIFS(Calkos!$C$7:$C$2853,Calkos!#REF!,5,Calkos!$AG$7:$AG$2853,2019)</f>
        <v>#REF!</v>
      </c>
      <c r="C26" s="182" t="e">
        <f>SUMIFS(Calkos!$M$7:$M$2853,Calkos!#REF!,5,Calkos!$AG$7:$AG$2853,2019)</f>
        <v>#REF!</v>
      </c>
    </row>
    <row r="27" spans="1:3" x14ac:dyDescent="0.25">
      <c r="A27" s="180" t="s">
        <v>205</v>
      </c>
      <c r="B27" s="181" t="e">
        <f>SUMIFS(Calkos!$C$7:$C$2853,Calkos!#REF!,6,Calkos!$AG$7:$AG$2853,2019)</f>
        <v>#REF!</v>
      </c>
      <c r="C27" s="182" t="e">
        <f>SUMIFS(Calkos!$M$7:$M$2853,Calkos!#REF!,6,Calkos!$AG$7:$AG$2853,2019)</f>
        <v>#REF!</v>
      </c>
    </row>
    <row r="28" spans="1:3" x14ac:dyDescent="0.25">
      <c r="A28" s="180" t="s">
        <v>206</v>
      </c>
      <c r="B28" s="181" t="e">
        <f>SUMIFS(Calkos!$C$7:$C$2853,Calkos!#REF!,7,Calkos!$AG$7:$AG$2853,2019)</f>
        <v>#REF!</v>
      </c>
      <c r="C28" s="182" t="e">
        <f>SUMIFS(Calkos!$M$7:$M$2853,Calkos!#REF!,7,Calkos!$AG$7:$AG$2853,2019)</f>
        <v>#REF!</v>
      </c>
    </row>
    <row r="29" spans="1:3" x14ac:dyDescent="0.25">
      <c r="A29" s="180" t="s">
        <v>207</v>
      </c>
      <c r="B29" s="181" t="e">
        <f>SUMIFS(Calkos!$C$7:$C$2853,Calkos!#REF!,8,Calkos!$AG$7:$AG$2853,2019)</f>
        <v>#REF!</v>
      </c>
      <c r="C29" s="182" t="e">
        <f>SUMIFS(Calkos!$M$7:$M$2853,Calkos!#REF!,8,Calkos!$AG$7:$AG$2853,2019)</f>
        <v>#REF!</v>
      </c>
    </row>
    <row r="30" spans="1:3" x14ac:dyDescent="0.25">
      <c r="A30" s="183" t="s">
        <v>208</v>
      </c>
      <c r="B30" s="181" t="e">
        <f>SUMIFS(Calkos!$C$7:$C$2853,Calkos!#REF!,9,Calkos!$AG$7:$AG$2853,2019)</f>
        <v>#REF!</v>
      </c>
      <c r="C30" s="182" t="e">
        <f>SUMIFS(Calkos!$M$7:$M$2853,Calkos!#REF!,9,Calkos!$AG$7:$AG$2853,2019)</f>
        <v>#REF!</v>
      </c>
    </row>
    <row r="31" spans="1:3" x14ac:dyDescent="0.25">
      <c r="A31" s="180" t="s">
        <v>209</v>
      </c>
      <c r="B31" s="181" t="e">
        <f>SUMIFS(Calkos!$C$7:$C$2853,Calkos!#REF!,10,Calkos!$AG$7:$AG$2853,2019)</f>
        <v>#REF!</v>
      </c>
      <c r="C31" s="182" t="e">
        <f>SUMIFS(Calkos!$M$7:$M$2853,Calkos!#REF!,10,Calkos!$AG$7:$AG$2853,2019)</f>
        <v>#REF!</v>
      </c>
    </row>
    <row r="32" spans="1:3" x14ac:dyDescent="0.25">
      <c r="A32" s="180" t="s">
        <v>210</v>
      </c>
      <c r="B32" s="181" t="e">
        <f>SUMIFS(Calkos!$C$7:$C$2853,Calkos!#REF!,11,Calkos!$AG$7:$AG$2853,2019)</f>
        <v>#REF!</v>
      </c>
      <c r="C32" s="182" t="e">
        <f>SUMIFS(Calkos!$M$7:$M$2853,Calkos!#REF!,11,Calkos!$AG$7:$AG$2853,2019)</f>
        <v>#REF!</v>
      </c>
    </row>
    <row r="33" spans="1:3" ht="15.75" thickBot="1" x14ac:dyDescent="0.3">
      <c r="A33" s="184" t="s">
        <v>211</v>
      </c>
      <c r="B33" s="185" t="e">
        <f>SUMIFS(Calkos!$C$7:$C$2853,Calkos!#REF!,12,Calkos!$AG$7:$AG$2853,2019)</f>
        <v>#REF!</v>
      </c>
      <c r="C33" s="186" t="e">
        <f>SUMIFS(Calkos!$M$7:$M$2853,Calkos!#REF!,12,Calkos!$AG$7:$AG$2853,2019)</f>
        <v>#REF!</v>
      </c>
    </row>
    <row r="34" spans="1:3" ht="15.75" thickBot="1" x14ac:dyDescent="0.3">
      <c r="A34" s="173"/>
      <c r="B34" s="187" t="e">
        <f>SUM(B22:B33)</f>
        <v>#REF!</v>
      </c>
      <c r="C34" s="188" t="e">
        <f>SUM(C22:C33)</f>
        <v>#REF!</v>
      </c>
    </row>
    <row r="37" spans="1:3" x14ac:dyDescent="0.25">
      <c r="A37">
        <f>COUNTIF(Calkos!V7:V2853,"&gt;0")</f>
        <v>51</v>
      </c>
      <c r="B37" t="e">
        <f>COUNTIF(Calkos!#REF!,"&gt;0")</f>
        <v>#REF!</v>
      </c>
      <c r="C37">
        <f>COUNTIF(Calkos!AG7:AG2853,"&gt;0")</f>
        <v>3</v>
      </c>
    </row>
  </sheetData>
  <mergeCells count="3">
    <mergeCell ref="A2:B2"/>
    <mergeCell ref="A4:C4"/>
    <mergeCell ref="A20:C2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18</vt:i4>
      </vt:variant>
      <vt:variant>
        <vt:lpstr>Intervalli denominati</vt:lpstr>
      </vt:variant>
      <vt:variant>
        <vt:i4>27</vt:i4>
      </vt:variant>
    </vt:vector>
  </HeadingPairs>
  <TitlesOfParts>
    <vt:vector size="45" baseType="lpstr">
      <vt:lpstr>120 gg</vt:lpstr>
      <vt:lpstr>90 gg</vt:lpstr>
      <vt:lpstr>60 gg</vt:lpstr>
      <vt:lpstr>30 gg</vt:lpstr>
      <vt:lpstr>Rimessa diretta</vt:lpstr>
      <vt:lpstr>Bronzo</vt:lpstr>
      <vt:lpstr>Rame</vt:lpstr>
      <vt:lpstr>Ottone</vt:lpstr>
      <vt:lpstr>Tabella</vt:lpstr>
      <vt:lpstr>Tabelle</vt:lpstr>
      <vt:lpstr>Calkos</vt:lpstr>
      <vt:lpstr>Foglio1</vt:lpstr>
      <vt:lpstr>Settimana</vt:lpstr>
      <vt:lpstr>Consegna</vt:lpstr>
      <vt:lpstr>Luke SkyWalker</vt:lpstr>
      <vt:lpstr>Luca</vt:lpstr>
      <vt:lpstr>Ivan</vt:lpstr>
      <vt:lpstr>Riepilogo consegne</vt:lpstr>
      <vt:lpstr>_Alu2</vt:lpstr>
      <vt:lpstr>Al</vt:lpstr>
      <vt:lpstr>Alu</vt:lpstr>
      <vt:lpstr>'120 gg'!Area_stampa</vt:lpstr>
      <vt:lpstr>'30 gg'!Area_stampa</vt:lpstr>
      <vt:lpstr>'60 gg'!Area_stampa</vt:lpstr>
      <vt:lpstr>'90 gg'!Area_stampa</vt:lpstr>
      <vt:lpstr>Calkos!Area_stampa</vt:lpstr>
      <vt:lpstr>'Rimessa diretta'!Area_stampa</vt:lpstr>
      <vt:lpstr>Br</vt:lpstr>
      <vt:lpstr>Cu</vt:lpstr>
      <vt:lpstr>Delta</vt:lpstr>
      <vt:lpstr>LarCu</vt:lpstr>
      <vt:lpstr>LargAl</vt:lpstr>
      <vt:lpstr>LargBr</vt:lpstr>
      <vt:lpstr>Materiale</vt:lpstr>
      <vt:lpstr>Materiale2</vt:lpstr>
      <vt:lpstr>Ot</vt:lpstr>
      <vt:lpstr>ProvvAl</vt:lpstr>
      <vt:lpstr>ProvvAl2</vt:lpstr>
      <vt:lpstr>ProvvAl3</vt:lpstr>
      <vt:lpstr>ProvvBr</vt:lpstr>
      <vt:lpstr>ProvvCu</vt:lpstr>
      <vt:lpstr>ProvvCu2</vt:lpstr>
      <vt:lpstr>ProvvCu3</vt:lpstr>
      <vt:lpstr>Provvigioni</vt:lpstr>
      <vt:lpstr>Scadenza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Lenovo</cp:lastModifiedBy>
  <cp:lastPrinted>2023-12-20T15:34:03Z</cp:lastPrinted>
  <dcterms:created xsi:type="dcterms:W3CDTF">2013-12-07T16:05:07Z</dcterms:created>
  <dcterms:modified xsi:type="dcterms:W3CDTF">2026-05-08T12:15:38Z</dcterms:modified>
</cp:coreProperties>
</file>