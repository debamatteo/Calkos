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/>
  </bookViews>
  <sheets>
    <sheet name="Calkos" sheetId="1" r:id="rId1"/>
    <sheet name="Consegna" sheetId="2" r:id="rId2"/>
    <sheet name="Settimana" sheetId="3" r:id="rId3"/>
  </sheets>
  <functionGroups builtInGroupCount="18"/>
  <definedNames>
    <definedName name="_xlnm._FilterDatabase" localSheetId="0" hidden="1">Calkos!$B$4:$P$728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28" i="1" l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P5" i="1" l="1"/>
  <c r="O5" i="1"/>
  <c r="M5" i="1"/>
  <c r="L5" i="1"/>
  <c r="F5" i="1"/>
  <c r="G5" i="1" s="1"/>
  <c r="P6" i="1" l="1"/>
  <c r="O6" i="1"/>
  <c r="M6" i="1"/>
  <c r="L6" i="1"/>
  <c r="L7" i="1" l="1"/>
  <c r="M7" i="1"/>
  <c r="O7" i="1"/>
  <c r="P7" i="1"/>
  <c r="P726" i="1"/>
  <c r="O726" i="1"/>
  <c r="M726" i="1"/>
  <c r="L726" i="1"/>
  <c r="P725" i="1"/>
  <c r="O725" i="1"/>
  <c r="M725" i="1"/>
  <c r="L725" i="1"/>
  <c r="P724" i="1"/>
  <c r="O724" i="1"/>
  <c r="M724" i="1"/>
  <c r="L724" i="1"/>
  <c r="P723" i="1"/>
  <c r="O723" i="1"/>
  <c r="M723" i="1"/>
  <c r="L723" i="1"/>
  <c r="P727" i="1"/>
  <c r="O727" i="1"/>
  <c r="M727" i="1"/>
  <c r="L727" i="1"/>
  <c r="F6" i="3" l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D729" i="1"/>
  <c r="E3" i="3" l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P728" i="1"/>
  <c r="O728" i="1"/>
  <c r="M728" i="1"/>
  <c r="L728" i="1"/>
  <c r="C38" i="2" l="1"/>
  <c r="B35" i="2"/>
  <c r="C32" i="2"/>
  <c r="B29" i="2"/>
  <c r="B27" i="2"/>
  <c r="B38" i="2"/>
  <c r="C27" i="2"/>
  <c r="C30" i="2"/>
  <c r="B32" i="2"/>
  <c r="C34" i="2"/>
  <c r="B30" i="2"/>
  <c r="C37" i="2"/>
  <c r="C28" i="2"/>
  <c r="B34" i="2"/>
  <c r="C31" i="2"/>
  <c r="C29" i="2"/>
  <c r="C35" i="2"/>
  <c r="B37" i="2"/>
  <c r="B28" i="2"/>
  <c r="B31" i="2"/>
  <c r="C33" i="2"/>
  <c r="B36" i="2"/>
  <c r="C36" i="2"/>
  <c r="B33" i="2"/>
  <c r="G57" i="3"/>
  <c r="G45" i="3"/>
  <c r="G33" i="3"/>
  <c r="G21" i="3"/>
  <c r="G9" i="3"/>
  <c r="G56" i="3"/>
  <c r="G44" i="3"/>
  <c r="G32" i="3"/>
  <c r="G20" i="3"/>
  <c r="G8" i="3"/>
  <c r="G55" i="3"/>
  <c r="G43" i="3"/>
  <c r="G31" i="3"/>
  <c r="G19" i="3"/>
  <c r="G7" i="3"/>
  <c r="G54" i="3"/>
  <c r="G42" i="3"/>
  <c r="G30" i="3"/>
  <c r="G18" i="3"/>
  <c r="G6" i="3"/>
  <c r="G53" i="3"/>
  <c r="G41" i="3"/>
  <c r="G29" i="3"/>
  <c r="G17" i="3"/>
  <c r="G5" i="3"/>
  <c r="G52" i="3"/>
  <c r="G40" i="3"/>
  <c r="G28" i="3"/>
  <c r="G16" i="3"/>
  <c r="G13" i="3"/>
  <c r="G51" i="3"/>
  <c r="G39" i="3"/>
  <c r="G27" i="3"/>
  <c r="G15" i="3"/>
  <c r="G25" i="3"/>
  <c r="G50" i="3"/>
  <c r="G38" i="3"/>
  <c r="G26" i="3"/>
  <c r="G14" i="3"/>
  <c r="G37" i="3"/>
  <c r="G49" i="3"/>
  <c r="G48" i="3"/>
  <c r="G36" i="3"/>
  <c r="G24" i="3"/>
  <c r="G12" i="3"/>
  <c r="G34" i="3"/>
  <c r="G10" i="3"/>
  <c r="G47" i="3"/>
  <c r="G35" i="3"/>
  <c r="G23" i="3"/>
  <c r="G11" i="3"/>
  <c r="G22" i="3"/>
  <c r="G46" i="3"/>
  <c r="B19" i="2"/>
  <c r="B13" i="2"/>
  <c r="B18" i="2"/>
  <c r="C18" i="2"/>
  <c r="C12" i="2"/>
  <c r="B12" i="2"/>
  <c r="C17" i="2"/>
  <c r="C11" i="2"/>
  <c r="B11" i="2"/>
  <c r="B17" i="2"/>
  <c r="C16" i="2"/>
  <c r="C10" i="2"/>
  <c r="B9" i="2"/>
  <c r="B16" i="2"/>
  <c r="B10" i="2"/>
  <c r="C15" i="2"/>
  <c r="C9" i="2"/>
  <c r="B15" i="2"/>
  <c r="C20" i="2"/>
  <c r="C14" i="2"/>
  <c r="C13" i="2"/>
  <c r="B20" i="2"/>
  <c r="B14" i="2"/>
  <c r="C19" i="2"/>
  <c r="C50" i="2"/>
  <c r="C34" i="3"/>
  <c r="C20" i="3"/>
  <c r="C10" i="3"/>
  <c r="C22" i="3"/>
  <c r="C46" i="3"/>
  <c r="C11" i="3"/>
  <c r="C23" i="3"/>
  <c r="C35" i="3"/>
  <c r="C47" i="3"/>
  <c r="C18" i="3"/>
  <c r="C48" i="3"/>
  <c r="C7" i="3"/>
  <c r="C13" i="3"/>
  <c r="C12" i="3"/>
  <c r="C49" i="3"/>
  <c r="C17" i="3"/>
  <c r="C19" i="3"/>
  <c r="C24" i="3"/>
  <c r="C36" i="3"/>
  <c r="C25" i="3"/>
  <c r="C37" i="3"/>
  <c r="C14" i="3"/>
  <c r="C26" i="3"/>
  <c r="C38" i="3"/>
  <c r="C50" i="3"/>
  <c r="C15" i="3"/>
  <c r="C27" i="3"/>
  <c r="C39" i="3"/>
  <c r="C51" i="3"/>
  <c r="C16" i="3"/>
  <c r="C28" i="3"/>
  <c r="C40" i="3"/>
  <c r="C52" i="3"/>
  <c r="C29" i="3"/>
  <c r="C41" i="3"/>
  <c r="C53" i="3"/>
  <c r="C6" i="3"/>
  <c r="C42" i="3"/>
  <c r="C54" i="3"/>
  <c r="C5" i="3"/>
  <c r="C31" i="3"/>
  <c r="C43" i="3"/>
  <c r="C55" i="3"/>
  <c r="C8" i="3"/>
  <c r="C32" i="3"/>
  <c r="C44" i="3"/>
  <c r="C56" i="3"/>
  <c r="C33" i="3"/>
  <c r="C30" i="3"/>
  <c r="C9" i="3"/>
  <c r="C21" i="3"/>
  <c r="C45" i="3"/>
  <c r="C57" i="3"/>
  <c r="C39" i="2" l="1"/>
  <c r="B39" i="2"/>
  <c r="C21" i="2"/>
  <c r="B21" i="2"/>
  <c r="G58" i="3"/>
  <c r="C58" i="3"/>
  <c r="I4" i="1"/>
  <c r="B47" i="2" l="1"/>
  <c r="C47" i="2"/>
  <c r="C52" i="2" s="1"/>
  <c r="C46" i="2" s="1"/>
  <c r="B50" i="2"/>
  <c r="G729" i="1"/>
  <c r="F729" i="1"/>
  <c r="B52" i="2" l="1"/>
  <c r="B46" i="2" s="1"/>
  <c r="B55" i="2" l="1"/>
</calcChain>
</file>

<file path=xl/sharedStrings.xml><?xml version="1.0" encoding="utf-8"?>
<sst xmlns="http://schemas.openxmlformats.org/spreadsheetml/2006/main" count="221" uniqueCount="95">
  <si>
    <t>N. Ordine / Conferma d'ordine</t>
  </si>
  <si>
    <t>Cliente</t>
  </si>
  <si>
    <t>Quantità</t>
  </si>
  <si>
    <t>Prezzo Unitario</t>
  </si>
  <si>
    <t>Imponibile</t>
  </si>
  <si>
    <t>PROSPETTO COMMISSIONI GUERZONI INSULATION MATERIALS</t>
  </si>
  <si>
    <t>Data consegna</t>
  </si>
  <si>
    <t>Consegna</t>
  </si>
  <si>
    <t>Mese</t>
  </si>
  <si>
    <t>Euro</t>
  </si>
  <si>
    <t>Kg</t>
  </si>
  <si>
    <t>TOTALE</t>
  </si>
  <si>
    <t>ANNO 2023</t>
  </si>
  <si>
    <t>Settimana</t>
  </si>
  <si>
    <t xml:space="preserve">Kg Rimanenti (max Kg </t>
  </si>
  <si>
    <t>Mec Delachaux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</si>
  <si>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</si>
  <si>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</si>
  <si>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</si>
  <si>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</si>
  <si>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</si>
  <si>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</si>
  <si>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</si>
  <si>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</si>
  <si>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</si>
  <si>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</si>
  <si>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</si>
  <si>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</si>
  <si>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Totale</t>
  </si>
  <si>
    <t>BSTRANSFO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</si>
  <si>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</si>
  <si>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</si>
  <si>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</si>
  <si>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</si>
  <si>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</si>
  <si>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</si>
  <si>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</si>
  <si>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</si>
  <si>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</si>
  <si>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</si>
  <si>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</si>
  <si>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</si>
  <si>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SEMAR</t>
  </si>
  <si>
    <t>Cem</t>
  </si>
  <si>
    <t>25/06025</t>
  </si>
  <si>
    <t>25/06026</t>
  </si>
  <si>
    <t>25/06442</t>
  </si>
  <si>
    <t>25/06561</t>
  </si>
  <si>
    <t>25/06570</t>
  </si>
  <si>
    <t>26/00246</t>
  </si>
  <si>
    <t>Zucchiatti</t>
  </si>
  <si>
    <t>25/06573</t>
  </si>
  <si>
    <t>25/06610</t>
  </si>
  <si>
    <t>25/06616</t>
  </si>
  <si>
    <t>OK</t>
  </si>
  <si>
    <t>26/00509</t>
  </si>
  <si>
    <t>26/00547</t>
  </si>
  <si>
    <t>Semar</t>
  </si>
  <si>
    <t>26/00556</t>
  </si>
  <si>
    <t>26/00572</t>
  </si>
  <si>
    <t>26/00601</t>
  </si>
  <si>
    <t>26/00178</t>
  </si>
  <si>
    <t>26/00449</t>
  </si>
  <si>
    <t>26/00450</t>
  </si>
  <si>
    <t>26/00451</t>
  </si>
  <si>
    <t>26/00447</t>
  </si>
  <si>
    <t>26/00448</t>
  </si>
  <si>
    <t>26/00742</t>
  </si>
  <si>
    <t>26/00878</t>
  </si>
  <si>
    <t>26/00978</t>
  </si>
  <si>
    <t>26/00977</t>
  </si>
  <si>
    <t>26/01078</t>
  </si>
  <si>
    <t>26/01354</t>
  </si>
  <si>
    <t>26/01383</t>
  </si>
  <si>
    <t>26/01778</t>
  </si>
  <si>
    <t>26/01782</t>
  </si>
  <si>
    <t>26/01842</t>
  </si>
  <si>
    <t>26/01843</t>
  </si>
  <si>
    <t>26/01983</t>
  </si>
  <si>
    <t>FATTURARE</t>
  </si>
  <si>
    <t>FINE_TABELLA</t>
  </si>
  <si>
    <t>26/02234</t>
  </si>
  <si>
    <t>26/02254</t>
  </si>
  <si>
    <t>Mangoldt</t>
  </si>
  <si>
    <t>26/02398</t>
  </si>
  <si>
    <t>26/02399</t>
  </si>
  <si>
    <t>26/02400</t>
  </si>
  <si>
    <t>26/02401</t>
  </si>
  <si>
    <t>26/02403</t>
  </si>
  <si>
    <t>26/02080</t>
  </si>
  <si>
    <t>26/02081</t>
  </si>
  <si>
    <t>26/02414</t>
  </si>
  <si>
    <t>26/02465</t>
  </si>
  <si>
    <t>26/02536</t>
  </si>
  <si>
    <t>26/02655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</si>
</sst>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-* #,##0.0000\ &quot;€&quot;_-;\-* #,##0.0000\ &quot;€&quot;_-;_-* &quot;-&quot;????\ &quot;€&quot;_-;_-@_-"/>
    <numFmt numFmtId="166" formatCode="#,##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slantDashDot">
        <color auto="1"/>
      </bottom>
      <diagonal/>
    </border>
    <border>
      <left style="thin">
        <color auto="1"/>
      </left>
      <right/>
      <top style="slantDashDot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2">
    <xf numFmtId="0" fontId="0" fillId="0" borderId="0" xfId="0"/>
    <xf numFmtId="44" fontId="0" fillId="0" borderId="0" xfId="0" applyNumberFormat="1"/>
    <xf numFmtId="44" fontId="3" fillId="0" borderId="5" xfId="1" applyFont="1" applyBorder="1"/>
    <xf numFmtId="44" fontId="3" fillId="0" borderId="8" xfId="1" applyFont="1" applyBorder="1"/>
    <xf numFmtId="44" fontId="3" fillId="0" borderId="10" xfId="1" applyFont="1" applyBorder="1"/>
    <xf numFmtId="0" fontId="0" fillId="0" borderId="0" xfId="0" quotePrefix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4" xfId="0" quotePrefix="1" applyFont="1" applyBorder="1" applyAlignment="1">
      <alignment horizontal="center"/>
    </xf>
    <xf numFmtId="4" fontId="3" fillId="0" borderId="6" xfId="0" applyNumberFormat="1" applyFont="1" applyBorder="1"/>
    <xf numFmtId="0" fontId="3" fillId="0" borderId="7" xfId="0" quotePrefix="1" applyFont="1" applyBorder="1" applyAlignment="1">
      <alignment horizontal="center"/>
    </xf>
    <xf numFmtId="4" fontId="3" fillId="0" borderId="9" xfId="0" applyNumberFormat="1" applyFont="1" applyBorder="1"/>
    <xf numFmtId="0" fontId="3" fillId="0" borderId="12" xfId="0" quotePrefix="1" applyFont="1" applyBorder="1" applyAlignment="1">
      <alignment horizontal="center"/>
    </xf>
    <xf numFmtId="4" fontId="3" fillId="0" borderId="11" xfId="0" applyNumberFormat="1" applyFont="1" applyBorder="1"/>
    <xf numFmtId="164" fontId="4" fillId="0" borderId="15" xfId="0" applyNumberFormat="1" applyFont="1" applyBorder="1"/>
    <xf numFmtId="4" fontId="4" fillId="0" borderId="16" xfId="0" applyNumberFormat="1" applyFont="1" applyBorder="1"/>
    <xf numFmtId="0" fontId="4" fillId="0" borderId="28" xfId="0" applyFont="1" applyBorder="1" applyAlignment="1">
      <alignment horizontal="center"/>
    </xf>
    <xf numFmtId="164" fontId="4" fillId="0" borderId="29" xfId="0" applyNumberFormat="1" applyFont="1" applyBorder="1"/>
    <xf numFmtId="4" fontId="4" fillId="0" borderId="30" xfId="0" applyNumberFormat="1" applyFont="1" applyBorder="1"/>
    <xf numFmtId="164" fontId="0" fillId="0" borderId="0" xfId="0" applyNumberFormat="1"/>
    <xf numFmtId="4" fontId="0" fillId="0" borderId="0" xfId="0" applyNumberFormat="1"/>
    <xf numFmtId="4" fontId="2" fillId="0" borderId="14" xfId="0" applyNumberFormat="1" applyFont="1" applyBorder="1"/>
    <xf numFmtId="0" fontId="7" fillId="0" borderId="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3" fillId="0" borderId="31" xfId="0" applyFont="1" applyBorder="1" applyAlignment="1">
      <alignment horizontal="center"/>
    </xf>
    <xf numFmtId="4" fontId="3" fillId="0" borderId="18" xfId="0" applyNumberFormat="1" applyFont="1" applyBorder="1"/>
    <xf numFmtId="4" fontId="3" fillId="0" borderId="22" xfId="0" applyNumberFormat="1" applyFont="1" applyBorder="1"/>
    <xf numFmtId="0" fontId="3" fillId="0" borderId="7" xfId="0" applyFont="1" applyBorder="1" applyAlignment="1">
      <alignment horizontal="center"/>
    </xf>
    <xf numFmtId="4" fontId="3" fillId="0" borderId="19" xfId="0" applyNumberFormat="1" applyFont="1" applyBorder="1"/>
    <xf numFmtId="0" fontId="3" fillId="0" borderId="12" xfId="0" applyFont="1" applyBorder="1" applyAlignment="1">
      <alignment horizontal="center"/>
    </xf>
    <xf numFmtId="4" fontId="3" fillId="0" borderId="32" xfId="0" applyNumberFormat="1" applyFont="1" applyBorder="1"/>
    <xf numFmtId="4" fontId="3" fillId="0" borderId="21" xfId="0" applyNumberFormat="1" applyFont="1" applyBorder="1"/>
    <xf numFmtId="0" fontId="3" fillId="0" borderId="33" xfId="0" applyFont="1" applyBorder="1" applyAlignment="1">
      <alignment horizontal="left"/>
    </xf>
    <xf numFmtId="0" fontId="3" fillId="3" borderId="10" xfId="0" applyFont="1" applyFill="1" applyBorder="1"/>
    <xf numFmtId="4" fontId="3" fillId="3" borderId="10" xfId="0" applyNumberFormat="1" applyFont="1" applyFill="1" applyBorder="1"/>
    <xf numFmtId="165" fontId="3" fillId="0" borderId="10" xfId="1" applyNumberFormat="1" applyFont="1" applyBorder="1" applyProtection="1"/>
    <xf numFmtId="44" fontId="3" fillId="3" borderId="20" xfId="1" applyFont="1" applyFill="1" applyBorder="1" applyProtection="1"/>
    <xf numFmtId="14" fontId="3" fillId="0" borderId="11" xfId="0" applyNumberFormat="1" applyFont="1" applyBorder="1"/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3" fillId="0" borderId="33" xfId="0" applyFont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14" fontId="3" fillId="0" borderId="11" xfId="0" applyNumberFormat="1" applyFont="1" applyBorder="1" applyProtection="1">
      <protection locked="0"/>
    </xf>
    <xf numFmtId="0" fontId="3" fillId="0" borderId="10" xfId="0" applyFont="1" applyBorder="1" applyProtection="1">
      <protection locked="0"/>
    </xf>
    <xf numFmtId="0" fontId="3" fillId="0" borderId="33" xfId="0" applyFont="1" applyBorder="1" applyAlignment="1" applyProtection="1">
      <alignment horizontal="right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3" fillId="0" borderId="13" xfId="0" applyFont="1" applyBorder="1" applyProtection="1">
      <protection locked="0"/>
    </xf>
    <xf numFmtId="14" fontId="3" fillId="0" borderId="21" xfId="0" applyNumberFormat="1" applyFont="1" applyBorder="1" applyProtection="1">
      <protection locked="0"/>
    </xf>
    <xf numFmtId="4" fontId="2" fillId="0" borderId="14" xfId="0" applyNumberFormat="1" applyFont="1" applyBorder="1" applyProtection="1">
      <protection locked="0"/>
    </xf>
    <xf numFmtId="44" fontId="2" fillId="0" borderId="15" xfId="1" applyFont="1" applyBorder="1" applyProtection="1">
      <protection locked="0"/>
    </xf>
    <xf numFmtId="44" fontId="2" fillId="0" borderId="16" xfId="1" applyFont="1" applyBorder="1" applyProtection="1">
      <protection locked="0"/>
    </xf>
    <xf numFmtId="0" fontId="2" fillId="2" borderId="34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44" fontId="2" fillId="0" borderId="0" xfId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6" fillId="2" borderId="23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166" fontId="3" fillId="3" borderId="10" xfId="0" applyNumberFormat="1" applyFont="1" applyFill="1" applyBorder="1" applyProtection="1">
      <protection locked="0"/>
    </xf>
    <xf numFmtId="166" fontId="3" fillId="0" borderId="10" xfId="0" applyNumberFormat="1" applyFont="1" applyBorder="1" applyProtection="1">
      <protection locked="0"/>
    </xf>
    <xf numFmtId="166" fontId="3" fillId="0" borderId="10" xfId="1" applyNumberFormat="1" applyFont="1" applyBorder="1" applyProtection="1">
      <protection locked="0"/>
    </xf>
    <xf numFmtId="166" fontId="3" fillId="0" borderId="13" xfId="1" applyNumberFormat="1" applyFont="1" applyBorder="1" applyProtection="1">
      <protection locked="0"/>
    </xf>
    <xf numFmtId="166" fontId="3" fillId="3" borderId="20" xfId="1" applyNumberFormat="1" applyFont="1" applyFill="1" applyBorder="1" applyProtection="1">
      <protection locked="0"/>
    </xf>
    <xf numFmtId="166" fontId="3" fillId="0" borderId="20" xfId="1" applyNumberFormat="1" applyFont="1" applyBorder="1" applyProtection="1">
      <protection locked="0"/>
    </xf>
  </cellXfs>
  <cellStyles count="2">
    <cellStyle name="Normale" xfId="0" builtinId="0"/>
    <cellStyle name="Valuta" xfId="1" builtinId="4"/>
  </cellStyles>
  <dxfs count="2">
    <dxf>
      <font>
        <strike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76200</xdr:rowOff>
        </xdr:from>
        <xdr:to>
          <xdr:col>1</xdr:col>
          <xdr:colOff>723900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2</xdr:col>
          <xdr:colOff>1295400</xdr:colOff>
          <xdr:row>2</xdr:row>
          <xdr:rowOff>66675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</xdr:row>
          <xdr:rowOff>47625</xdr:rowOff>
        </xdr:from>
        <xdr:to>
          <xdr:col>5</xdr:col>
          <xdr:colOff>57150</xdr:colOff>
          <xdr:row>2</xdr:row>
          <xdr:rowOff>38100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2914650</xdr:colOff>
          <xdr:row>1</xdr:row>
          <xdr:rowOff>19050</xdr:rowOff>
        </xdr:from>
        <xdr:to>
          <xdr:col>6</xdr:col>
          <xdr:colOff>142875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B1:P729"/>
  <sheetViews>
    <sheetView tabSelected="1" workbookViewId="0">
      <selection activeCell="B72" sqref="B72:B73"/>
    </sheetView>
  </sheetViews>
  <sheetFormatPr defaultRowHeight="15" x14ac:dyDescent="0.25"/>
  <cols>
    <col min="1" max="1" width="9.140625" style="41"/>
    <col min="2" max="2" width="15.42578125" style="41" bestFit="1" customWidth="1"/>
    <col min="3" max="3" width="25.7109375" style="41" customWidth="1"/>
    <col min="4" max="4" width="15.7109375" style="41" customWidth="1"/>
    <col min="5" max="6" width="12.7109375" style="41" customWidth="1"/>
    <col min="7" max="7" width="15.7109375" style="41" customWidth="1"/>
    <col min="8" max="8" width="13.85546875" style="41" bestFit="1" customWidth="1"/>
    <col min="9" max="9" width="11.28515625" style="41" bestFit="1" customWidth="1"/>
    <col min="10" max="10" width="11.5703125" style="41" customWidth="1"/>
    <col min="11" max="11" width="9.140625" style="41"/>
    <col min="12" max="12" width="2" style="41" bestFit="1" customWidth="1"/>
    <col min="13" max="13" width="5" style="41" bestFit="1" customWidth="1"/>
    <col min="14" max="14" width="0.85546875" style="41" customWidth="1"/>
    <col min="15" max="16" width="2" style="41" bestFit="1" customWidth="1"/>
    <col min="17" max="16384" width="9.140625" style="41"/>
  </cols>
  <sheetData>
    <row r="1" spans="2:16" ht="23.25" x14ac:dyDescent="0.35">
      <c r="D1" s="42" t="s">
        <v>5</v>
      </c>
    </row>
    <row r="2" spans="2:16" ht="27" thickBot="1" x14ac:dyDescent="0.45">
      <c r="E2" s="42"/>
      <c r="F2" s="42"/>
      <c r="G2" s="42"/>
      <c r="J2" s="60"/>
      <c r="K2" s="60"/>
      <c r="L2" s="60"/>
      <c r="M2" s="60"/>
      <c r="N2" s="60"/>
      <c r="O2" s="60"/>
      <c r="P2" s="60"/>
    </row>
    <row r="3" spans="2:16" customFormat="1" ht="15.75" thickBot="1" x14ac:dyDescent="0.3">
      <c r="I3" s="54" t="s">
        <v>79</v>
      </c>
    </row>
    <row r="4" spans="2:16" customFormat="1" ht="45.75" thickBot="1" x14ac:dyDescent="0.3">
      <c r="B4" s="55" t="s">
        <v>0</v>
      </c>
      <c r="C4" s="56" t="s">
        <v>1</v>
      </c>
      <c r="D4" s="56" t="s">
        <v>2</v>
      </c>
      <c r="E4" s="56" t="s">
        <v>3</v>
      </c>
      <c r="F4" s="56" t="s">
        <v>4</v>
      </c>
      <c r="G4" s="57" t="s">
        <v>28</v>
      </c>
      <c r="H4" s="58" t="s">
        <v>6</v>
      </c>
      <c r="I4" s="59">
        <f>SUMIF(I6:I728,"OK",G6:G728)</f>
        <v>719.21249999999998</v>
      </c>
    </row>
    <row r="5" spans="2:16" customFormat="1" x14ac:dyDescent="0.25">
      <c r="B5" s="35"/>
      <c r="C5" s="36"/>
      <c r="D5" s="37"/>
      <c r="E5" s="38"/>
      <c r="F5" s="38">
        <f>+D5*E5</f>
        <v>0</v>
      </c>
      <c r="G5" s="39">
        <f>+F5*0.03</f>
        <v>0</v>
      </c>
      <c r="H5" s="40"/>
      <c r="L5">
        <f>WEEKNUM(H5)</f>
        <v>0</v>
      </c>
      <c r="M5">
        <f>YEAR(H5)</f>
        <v>1900</v>
      </c>
      <c r="O5">
        <f>IF(H5="",0,MONTH(H5))</f>
        <v>0</v>
      </c>
      <c r="P5">
        <f>IF(H5="",0,YEAR(H5))</f>
        <v>0</v>
      </c>
    </row>
    <row r="6" spans="2:16" x14ac:dyDescent="0.25">
      <c r="B6" s="43" t="s">
        <v>44</v>
      </c>
      <c r="C6" s="44" t="s">
        <v>15</v>
      </c>
      <c r="D6" s="66">
        <v>4500</v>
      </c>
      <c r="E6" s="68">
        <v>0.22</v>
      </c>
      <c r="F6" s="68">
        <f>ROUND(+D6*E6,4)</f>
        <v>990</v>
      </c>
      <c r="G6" s="70">
        <f>ROUND(+F6*0.03,4)</f>
        <v>29.7</v>
      </c>
      <c r="H6" s="45"/>
      <c r="I6" s="41" t="s">
        <v>54</v>
      </c>
      <c r="L6" s="41">
        <f>WEEKNUM(H6)</f>
        <v>0</v>
      </c>
      <c r="M6" s="41">
        <f>YEAR(H6)</f>
        <v>1900</v>
      </c>
      <c r="O6" s="41">
        <f>IF(H6="",0,MONTH(H6))</f>
        <v>0</v>
      </c>
      <c r="P6" s="41">
        <f>IF(H6="",0,YEAR(H6))</f>
        <v>0</v>
      </c>
    </row>
    <row r="7" spans="2:16" x14ac:dyDescent="0.25">
      <c r="B7" s="43" t="s">
        <v>45</v>
      </c>
      <c r="C7" s="44" t="s">
        <v>15</v>
      </c>
      <c r="D7" s="66">
        <v>4000</v>
      </c>
      <c r="E7" s="68">
        <v>0.17019999999999999</v>
      </c>
      <c r="F7" s="68">
        <f>ROUND(+D7*E7,4)</f>
        <v>680.8</v>
      </c>
      <c r="G7" s="70">
        <f>ROUND(+F7*0.03,4)</f>
        <v>20.423999999999999</v>
      </c>
      <c r="H7" s="45"/>
      <c r="I7" s="41" t="s">
        <v>54</v>
      </c>
      <c r="L7" s="41">
        <f t="shared" ref="L7:L726" si="0">WEEKNUM(H7)</f>
        <v>0</v>
      </c>
      <c r="M7" s="41">
        <f t="shared" ref="M7:M726" si="1">YEAR(H7)</f>
        <v>1900</v>
      </c>
      <c r="O7" s="41">
        <f t="shared" ref="O7:O726" si="2">IF(H7="",0,MONTH(H7))</f>
        <v>0</v>
      </c>
      <c r="P7" s="41">
        <f t="shared" ref="P7:P726" si="3">IF(H7="",0,YEAR(H7))</f>
        <v>0</v>
      </c>
    </row>
    <row r="8" spans="2:16" x14ac:dyDescent="0.25">
      <c r="B8" s="43" t="s">
        <v>46</v>
      </c>
      <c r="C8" s="44" t="s">
        <v>29</v>
      </c>
      <c r="D8" s="66">
        <v>32</v>
      </c>
      <c r="E8" s="68">
        <v>8</v>
      </c>
      <c r="F8" s="68">
        <f>ROUND(+D8*E8,4)</f>
        <v>256</v>
      </c>
      <c r="G8" s="70">
        <f>ROUND(+F8*0.03,4)</f>
        <v>7.68</v>
      </c>
      <c r="H8" s="45"/>
      <c r="I8" s="41" t="s">
        <v>54</v>
      </c>
    </row>
    <row r="9" spans="2:16" x14ac:dyDescent="0.25">
      <c r="B9" s="43" t="s">
        <v>46</v>
      </c>
      <c r="C9" s="44" t="s">
        <v>29</v>
      </c>
      <c r="D9" s="66">
        <v>32</v>
      </c>
      <c r="E9" s="68">
        <v>8</v>
      </c>
      <c r="F9" s="68">
        <f>ROUND(+D9*E9,4)</f>
        <v>256</v>
      </c>
      <c r="G9" s="70">
        <f>ROUND(+F9*0.03,4)</f>
        <v>7.68</v>
      </c>
      <c r="H9" s="45"/>
      <c r="I9" s="41" t="s">
        <v>54</v>
      </c>
    </row>
    <row r="10" spans="2:16" x14ac:dyDescent="0.25">
      <c r="B10" s="43" t="s">
        <v>47</v>
      </c>
      <c r="C10" s="44" t="s">
        <v>42</v>
      </c>
      <c r="D10" s="66">
        <v>22</v>
      </c>
      <c r="E10" s="68">
        <v>21.7</v>
      </c>
      <c r="F10" s="68">
        <f>ROUND(+D10*E10,4)</f>
        <v>477.4</v>
      </c>
      <c r="G10" s="70">
        <f>ROUND(+F10*0.03,4)</f>
        <v>14.321999999999999</v>
      </c>
      <c r="H10" s="45"/>
      <c r="I10" s="41" t="s">
        <v>54</v>
      </c>
    </row>
    <row r="11" spans="2:16" x14ac:dyDescent="0.25">
      <c r="B11" s="43" t="s">
        <v>48</v>
      </c>
      <c r="C11" s="44" t="s">
        <v>43</v>
      </c>
      <c r="D11" s="66">
        <v>48</v>
      </c>
      <c r="E11" s="68">
        <v>6.5</v>
      </c>
      <c r="F11" s="68">
        <f>ROUND(+D11*E11,4)</f>
        <v>312</v>
      </c>
      <c r="G11" s="70">
        <f>ROUND(+F11*0.03,4)</f>
        <v>9.36</v>
      </c>
      <c r="H11" s="45"/>
      <c r="I11" s="41" t="s">
        <v>54</v>
      </c>
    </row>
    <row r="12" spans="2:16" x14ac:dyDescent="0.25">
      <c r="B12" s="43" t="s">
        <v>48</v>
      </c>
      <c r="C12" s="44" t="s">
        <v>43</v>
      </c>
      <c r="D12" s="66">
        <v>59</v>
      </c>
      <c r="E12" s="68">
        <v>6.5</v>
      </c>
      <c r="F12" s="68">
        <f>ROUND(+D12*E12,4)</f>
        <v>383.5</v>
      </c>
      <c r="G12" s="70">
        <f>ROUND(+F12*0.03,4)</f>
        <v>11.505000000000001</v>
      </c>
      <c r="H12" s="45"/>
      <c r="I12" s="41" t="s">
        <v>54</v>
      </c>
    </row>
    <row r="13" spans="2:16" x14ac:dyDescent="0.25">
      <c r="B13" s="43" t="s">
        <v>48</v>
      </c>
      <c r="C13" s="44" t="s">
        <v>43</v>
      </c>
      <c r="D13" s="66">
        <v>60</v>
      </c>
      <c r="E13" s="68">
        <v>4.0999999999999996</v>
      </c>
      <c r="F13" s="68">
        <f>ROUND(+D13*E13,4)</f>
        <v>246</v>
      </c>
      <c r="G13" s="70">
        <f>ROUND(+F13*0.03,4)</f>
        <v>7.38</v>
      </c>
      <c r="H13" s="45"/>
      <c r="I13" s="41" t="s">
        <v>54</v>
      </c>
    </row>
    <row r="14" spans="2:16" x14ac:dyDescent="0.25">
      <c r="B14" s="43" t="s">
        <v>49</v>
      </c>
      <c r="C14" s="44" t="s">
        <v>50</v>
      </c>
      <c r="D14" s="66">
        <v>500</v>
      </c>
      <c r="E14" s="68">
        <v>0.27</v>
      </c>
      <c r="F14" s="68">
        <f>ROUND(+D14*E14,4)</f>
        <v>135</v>
      </c>
      <c r="G14" s="70">
        <f>ROUND(+F14*0.03,4)</f>
        <v>4.05</v>
      </c>
      <c r="H14" s="45"/>
      <c r="I14" s="41" t="s">
        <v>54</v>
      </c>
    </row>
    <row r="15" spans="2:16" x14ac:dyDescent="0.25">
      <c r="B15" s="43" t="s">
        <v>49</v>
      </c>
      <c r="C15" s="44" t="s">
        <v>50</v>
      </c>
      <c r="D15" s="66">
        <v>500</v>
      </c>
      <c r="E15" s="68">
        <v>0.19800000000000001</v>
      </c>
      <c r="F15" s="68">
        <f>ROUND(+D15*E15,4)</f>
        <v>99</v>
      </c>
      <c r="G15" s="70">
        <f>ROUND(+F15*0.03,4)</f>
        <v>2.97</v>
      </c>
      <c r="H15" s="45"/>
      <c r="I15" s="41" t="s">
        <v>54</v>
      </c>
    </row>
    <row r="16" spans="2:16" x14ac:dyDescent="0.25">
      <c r="B16" s="43" t="s">
        <v>49</v>
      </c>
      <c r="C16" s="44" t="s">
        <v>50</v>
      </c>
      <c r="D16" s="66">
        <v>500</v>
      </c>
      <c r="E16" s="68">
        <v>0.33800000000000002</v>
      </c>
      <c r="F16" s="68">
        <f>ROUND(+D16*E16,4)</f>
        <v>169</v>
      </c>
      <c r="G16" s="70">
        <f>ROUND(+F16*0.03,4)</f>
        <v>5.07</v>
      </c>
      <c r="H16" s="45"/>
      <c r="I16" s="41" t="s">
        <v>54</v>
      </c>
    </row>
    <row r="17" spans="2:9" x14ac:dyDescent="0.25">
      <c r="B17" s="43" t="s">
        <v>51</v>
      </c>
      <c r="C17" s="44" t="s">
        <v>15</v>
      </c>
      <c r="D17" s="66">
        <v>4500</v>
      </c>
      <c r="E17" s="68">
        <v>0.22</v>
      </c>
      <c r="F17" s="68">
        <f>ROUND(+D17*E17,4)</f>
        <v>990</v>
      </c>
      <c r="G17" s="70">
        <f>ROUND(+F17*0.03,4)</f>
        <v>29.7</v>
      </c>
      <c r="H17" s="45"/>
      <c r="I17" s="41" t="s">
        <v>54</v>
      </c>
    </row>
    <row r="18" spans="2:9" x14ac:dyDescent="0.25">
      <c r="B18" s="43" t="s">
        <v>52</v>
      </c>
      <c r="C18" s="44" t="s">
        <v>15</v>
      </c>
      <c r="D18" s="66">
        <v>8000</v>
      </c>
      <c r="E18" s="68">
        <v>0.21709999999999999</v>
      </c>
      <c r="F18" s="68">
        <f>ROUND(+D18*E18,4)</f>
        <v>1736.8</v>
      </c>
      <c r="G18" s="70">
        <f>ROUND(+F18*0.03,4)</f>
        <v>52.103999999999999</v>
      </c>
      <c r="H18" s="45"/>
      <c r="I18" s="41" t="s">
        <v>54</v>
      </c>
    </row>
    <row r="19" spans="2:9" x14ac:dyDescent="0.25">
      <c r="B19" s="43" t="s">
        <v>53</v>
      </c>
      <c r="C19" s="44" t="s">
        <v>15</v>
      </c>
      <c r="D19" s="66">
        <v>9000</v>
      </c>
      <c r="E19" s="68">
        <v>0.24399999999999999</v>
      </c>
      <c r="F19" s="68">
        <f>ROUND(+D19*E19,4)</f>
        <v>2196</v>
      </c>
      <c r="G19" s="70">
        <f>ROUND(+F19*0.03,4)</f>
        <v>65.88</v>
      </c>
      <c r="H19" s="45"/>
      <c r="I19" s="41" t="s">
        <v>54</v>
      </c>
    </row>
    <row r="20" spans="2:9" x14ac:dyDescent="0.25">
      <c r="B20" s="43" t="s">
        <v>61</v>
      </c>
      <c r="C20" s="44" t="s">
        <v>15</v>
      </c>
      <c r="D20" s="66">
        <v>8500</v>
      </c>
      <c r="E20" s="68">
        <v>0.223</v>
      </c>
      <c r="F20" s="68">
        <f>ROUND(+D20*E20,4)</f>
        <v>1895.5</v>
      </c>
      <c r="G20" s="70">
        <f>ROUND(+F20*0.03,4)</f>
        <v>56.865000000000002</v>
      </c>
      <c r="H20" s="45"/>
      <c r="I20" s="41" t="s">
        <v>54</v>
      </c>
    </row>
    <row r="21" spans="2:9" x14ac:dyDescent="0.25">
      <c r="B21" s="43" t="s">
        <v>62</v>
      </c>
      <c r="C21" s="44" t="s">
        <v>15</v>
      </c>
      <c r="D21" s="66">
        <v>4000</v>
      </c>
      <c r="E21" s="68">
        <v>0.17019999999999999</v>
      </c>
      <c r="F21" s="68">
        <f>ROUND(+D21*E21,4)</f>
        <v>680.8</v>
      </c>
      <c r="G21" s="70">
        <f>ROUND(+F21*0.03,4)</f>
        <v>20.423999999999999</v>
      </c>
      <c r="H21" s="45"/>
      <c r="I21" s="41" t="s">
        <v>54</v>
      </c>
    </row>
    <row r="22" spans="2:9" x14ac:dyDescent="0.25">
      <c r="B22" s="43" t="s">
        <v>63</v>
      </c>
      <c r="C22" s="44" t="s">
        <v>15</v>
      </c>
      <c r="D22" s="66">
        <v>3950</v>
      </c>
      <c r="E22" s="68">
        <v>0.17019999999999999</v>
      </c>
      <c r="F22" s="68">
        <f>ROUND(+D22*E22,4)</f>
        <v>672.29</v>
      </c>
      <c r="G22" s="70">
        <f>ROUND(+F22*0.03,4)</f>
        <v>20.168700000000001</v>
      </c>
      <c r="H22" s="45"/>
      <c r="I22" s="41" t="s">
        <v>54</v>
      </c>
    </row>
    <row r="23" spans="2:9" x14ac:dyDescent="0.25">
      <c r="B23" s="43" t="s">
        <v>64</v>
      </c>
      <c r="C23" s="44" t="s">
        <v>15</v>
      </c>
      <c r="D23" s="66">
        <v>4400</v>
      </c>
      <c r="E23" s="68">
        <v>0.21709999999999999</v>
      </c>
      <c r="F23" s="68">
        <f>ROUND(+D23*E23,4)</f>
        <v>955.24</v>
      </c>
      <c r="G23" s="70">
        <f>ROUND(+F23*0.03,4)</f>
        <v>28.6572</v>
      </c>
      <c r="H23" s="45"/>
      <c r="I23" s="41" t="s">
        <v>54</v>
      </c>
    </row>
    <row r="24" spans="2:9" x14ac:dyDescent="0.25">
      <c r="B24" s="43" t="s">
        <v>65</v>
      </c>
      <c r="C24" s="46" t="s">
        <v>15</v>
      </c>
      <c r="D24" s="67">
        <v>4200</v>
      </c>
      <c r="E24" s="68">
        <v>0.22</v>
      </c>
      <c r="F24" s="68">
        <f>ROUND(+D24*E24,4)</f>
        <v>924</v>
      </c>
      <c r="G24" s="71">
        <f>ROUND(+F24*0.03,4)</f>
        <v>27.72</v>
      </c>
      <c r="H24" s="45">
        <v>46148</v>
      </c>
    </row>
    <row r="25" spans="2:9" x14ac:dyDescent="0.25">
      <c r="B25" s="43" t="s">
        <v>66</v>
      </c>
      <c r="C25" s="46" t="s">
        <v>15</v>
      </c>
      <c r="D25" s="67">
        <v>3600</v>
      </c>
      <c r="E25" s="68">
        <v>0.17019999999999999</v>
      </c>
      <c r="F25" s="68">
        <f>ROUND(+D25*E25,4)</f>
        <v>612.72</v>
      </c>
      <c r="G25" s="71">
        <f>ROUND(+F25*0.03,4)</f>
        <v>18.381599999999999</v>
      </c>
      <c r="H25" s="45">
        <v>46148</v>
      </c>
    </row>
    <row r="26" spans="2:9" x14ac:dyDescent="0.25">
      <c r="B26" s="43" t="s">
        <v>55</v>
      </c>
      <c r="C26" s="44" t="s">
        <v>15</v>
      </c>
      <c r="D26" s="66">
        <v>5500</v>
      </c>
      <c r="E26" s="68">
        <v>0.17419999999999999</v>
      </c>
      <c r="F26" s="68">
        <f>ROUND(+D26*E26,4)</f>
        <v>958.1</v>
      </c>
      <c r="G26" s="70">
        <f>ROUND(+F26*0.03,4)</f>
        <v>28.742999999999999</v>
      </c>
      <c r="H26" s="45"/>
      <c r="I26" s="41" t="s">
        <v>54</v>
      </c>
    </row>
    <row r="27" spans="2:9" x14ac:dyDescent="0.25">
      <c r="B27" s="43" t="s">
        <v>56</v>
      </c>
      <c r="C27" s="44" t="s">
        <v>15</v>
      </c>
      <c r="D27" s="66">
        <v>5500</v>
      </c>
      <c r="E27" s="68">
        <v>0.15809999999999999</v>
      </c>
      <c r="F27" s="68">
        <f>ROUND(+D27*E27,4)</f>
        <v>869.55</v>
      </c>
      <c r="G27" s="70">
        <f>ROUND(+F27*0.03,4)</f>
        <v>26.086500000000001</v>
      </c>
      <c r="H27" s="45"/>
      <c r="I27" s="41" t="s">
        <v>54</v>
      </c>
    </row>
    <row r="28" spans="2:9" x14ac:dyDescent="0.25">
      <c r="B28" s="43" t="s">
        <v>58</v>
      </c>
      <c r="C28" s="46" t="s">
        <v>57</v>
      </c>
      <c r="D28" s="67">
        <v>20</v>
      </c>
      <c r="E28" s="68">
        <v>21.7</v>
      </c>
      <c r="F28" s="68">
        <f>ROUND(+D28*E28,4)</f>
        <v>434</v>
      </c>
      <c r="G28" s="71">
        <f>ROUND(+F28*0.03,4)</f>
        <v>13.02</v>
      </c>
      <c r="H28" s="45">
        <v>46073</v>
      </c>
    </row>
    <row r="29" spans="2:9" x14ac:dyDescent="0.25">
      <c r="B29" s="43" t="s">
        <v>59</v>
      </c>
      <c r="C29" s="44" t="s">
        <v>15</v>
      </c>
      <c r="D29" s="66">
        <v>4500</v>
      </c>
      <c r="E29" s="68">
        <v>0.17150000000000001</v>
      </c>
      <c r="F29" s="68">
        <f>ROUND(+D29*E29,4)</f>
        <v>771.75</v>
      </c>
      <c r="G29" s="70">
        <f>ROUND(+F29*0.03,4)</f>
        <v>23.1525</v>
      </c>
      <c r="H29" s="45"/>
      <c r="I29" s="41" t="s">
        <v>54</v>
      </c>
    </row>
    <row r="30" spans="2:9" x14ac:dyDescent="0.25">
      <c r="B30" s="43" t="s">
        <v>60</v>
      </c>
      <c r="C30" s="44" t="s">
        <v>57</v>
      </c>
      <c r="D30" s="66">
        <v>18.5</v>
      </c>
      <c r="E30" s="68">
        <v>21.7</v>
      </c>
      <c r="F30" s="68">
        <f>ROUND(+D30*E30,4)</f>
        <v>401.45</v>
      </c>
      <c r="G30" s="70">
        <f>ROUND(+F30*0.03,4)</f>
        <v>12.0435</v>
      </c>
      <c r="H30" s="45"/>
      <c r="I30" s="41" t="s">
        <v>54</v>
      </c>
    </row>
    <row r="31" spans="2:9" x14ac:dyDescent="0.25">
      <c r="B31" s="43" t="s">
        <v>60</v>
      </c>
      <c r="C31" s="44" t="s">
        <v>57</v>
      </c>
      <c r="D31" s="66">
        <v>9</v>
      </c>
      <c r="E31" s="68">
        <v>21.7</v>
      </c>
      <c r="F31" s="68">
        <f>ROUND(+D31*E31,4)</f>
        <v>195.3</v>
      </c>
      <c r="G31" s="70">
        <f>ROUND(+F31*0.03,4)</f>
        <v>5.859</v>
      </c>
      <c r="H31" s="45"/>
      <c r="I31" s="41" t="s">
        <v>54</v>
      </c>
    </row>
    <row r="32" spans="2:9" x14ac:dyDescent="0.25">
      <c r="B32" s="43" t="s">
        <v>67</v>
      </c>
      <c r="C32" s="44" t="s">
        <v>50</v>
      </c>
      <c r="D32" s="66">
        <v>63</v>
      </c>
      <c r="E32" s="68">
        <v>3.84</v>
      </c>
      <c r="F32" s="68">
        <f>ROUND(+D32*E32,4)</f>
        <v>241.92</v>
      </c>
      <c r="G32" s="70">
        <f>ROUND(+F32*0.03,4)</f>
        <v>7.2576000000000001</v>
      </c>
      <c r="H32" s="45"/>
      <c r="I32" s="41" t="s">
        <v>54</v>
      </c>
    </row>
    <row r="33" spans="2:9" x14ac:dyDescent="0.25">
      <c r="B33" s="43" t="s">
        <v>68</v>
      </c>
      <c r="C33" s="44" t="s">
        <v>57</v>
      </c>
      <c r="D33" s="66">
        <v>18</v>
      </c>
      <c r="E33" s="68">
        <v>21.7</v>
      </c>
      <c r="F33" s="68">
        <f>ROUND(+D33*E33,4)</f>
        <v>390.6</v>
      </c>
      <c r="G33" s="70">
        <f>ROUND(+F33*0.03,4)</f>
        <v>11.718</v>
      </c>
      <c r="H33" s="45"/>
      <c r="I33" s="41" t="s">
        <v>54</v>
      </c>
    </row>
    <row r="34" spans="2:9" x14ac:dyDescent="0.25">
      <c r="B34" s="43" t="s">
        <v>70</v>
      </c>
      <c r="C34" s="46" t="s">
        <v>15</v>
      </c>
      <c r="D34" s="67">
        <v>4500</v>
      </c>
      <c r="E34" s="68">
        <v>0.22</v>
      </c>
      <c r="F34" s="68">
        <f>ROUND(+D34*E34,4)</f>
        <v>990</v>
      </c>
      <c r="G34" s="71">
        <f>ROUND(+F34*0.03,4)</f>
        <v>29.7</v>
      </c>
      <c r="H34" s="45">
        <v>46081</v>
      </c>
    </row>
    <row r="35" spans="2:9" x14ac:dyDescent="0.25">
      <c r="B35" s="43" t="s">
        <v>69</v>
      </c>
      <c r="C35" s="44" t="s">
        <v>15</v>
      </c>
      <c r="D35" s="66">
        <v>3000</v>
      </c>
      <c r="E35" s="68">
        <v>0.1474</v>
      </c>
      <c r="F35" s="68">
        <f>ROUND(+D35*E35,4)</f>
        <v>442.2</v>
      </c>
      <c r="G35" s="70">
        <f>ROUND(+F35*0.03,4)</f>
        <v>13.266</v>
      </c>
      <c r="H35" s="45"/>
      <c r="I35" s="41" t="s">
        <v>54</v>
      </c>
    </row>
    <row r="36" spans="2:9" x14ac:dyDescent="0.25">
      <c r="B36" s="43">
        <v>344</v>
      </c>
      <c r="C36" s="46" t="s">
        <v>15</v>
      </c>
      <c r="D36" s="67">
        <v>4164</v>
      </c>
      <c r="E36" s="68">
        <v>0.22</v>
      </c>
      <c r="F36" s="68">
        <f>ROUND(+D36*E36,4)</f>
        <v>916.08</v>
      </c>
      <c r="G36" s="71">
        <f>ROUND(+F36*0.03,4)</f>
        <v>27.482399999999998</v>
      </c>
      <c r="H36" s="45">
        <v>46080</v>
      </c>
    </row>
    <row r="37" spans="2:9" x14ac:dyDescent="0.25">
      <c r="B37" s="43" t="s">
        <v>71</v>
      </c>
      <c r="C37" s="46" t="s">
        <v>57</v>
      </c>
      <c r="D37" s="67">
        <v>20</v>
      </c>
      <c r="E37" s="68">
        <v>21.7</v>
      </c>
      <c r="F37" s="68">
        <f>ROUND(+D37*E37,4)</f>
        <v>434</v>
      </c>
      <c r="G37" s="71">
        <f>ROUND(+F37*0.03,4)</f>
        <v>13.02</v>
      </c>
      <c r="H37" s="45">
        <v>46091</v>
      </c>
    </row>
    <row r="38" spans="2:9" x14ac:dyDescent="0.25">
      <c r="B38" s="43" t="s">
        <v>71</v>
      </c>
      <c r="C38" s="46" t="s">
        <v>57</v>
      </c>
      <c r="D38" s="67">
        <v>9</v>
      </c>
      <c r="E38" s="68">
        <v>21.7</v>
      </c>
      <c r="F38" s="68">
        <f>ROUND(+D38*E38,4)</f>
        <v>195.3</v>
      </c>
      <c r="G38" s="71">
        <f>ROUND(+F38*0.03,4)</f>
        <v>5.859</v>
      </c>
      <c r="H38" s="45">
        <v>46091</v>
      </c>
    </row>
    <row r="39" spans="2:9" x14ac:dyDescent="0.25">
      <c r="B39" s="43" t="s">
        <v>72</v>
      </c>
      <c r="C39" s="46" t="s">
        <v>57</v>
      </c>
      <c r="D39" s="67">
        <v>10</v>
      </c>
      <c r="E39" s="68">
        <v>21.7</v>
      </c>
      <c r="F39" s="68">
        <f>ROUND(+D39*E39,4)</f>
        <v>217</v>
      </c>
      <c r="G39" s="71">
        <f>ROUND(+F39*0.03,4)</f>
        <v>6.51</v>
      </c>
      <c r="H39" s="45">
        <v>46104</v>
      </c>
    </row>
    <row r="40" spans="2:9" x14ac:dyDescent="0.25">
      <c r="B40" s="43" t="s">
        <v>72</v>
      </c>
      <c r="C40" s="46" t="s">
        <v>57</v>
      </c>
      <c r="D40" s="67">
        <v>20</v>
      </c>
      <c r="E40" s="68">
        <v>21.7</v>
      </c>
      <c r="F40" s="68">
        <f>ROUND(+D40*E40,4)</f>
        <v>434</v>
      </c>
      <c r="G40" s="71">
        <f>ROUND(+F40*0.03,4)</f>
        <v>13.02</v>
      </c>
      <c r="H40" s="45">
        <v>46104</v>
      </c>
    </row>
    <row r="41" spans="2:9" x14ac:dyDescent="0.25">
      <c r="B41" s="43" t="s">
        <v>73</v>
      </c>
      <c r="C41" s="44" t="s">
        <v>50</v>
      </c>
      <c r="D41" s="66">
        <v>200</v>
      </c>
      <c r="E41" s="68">
        <v>0.84</v>
      </c>
      <c r="F41" s="68">
        <f>ROUND(+D41*E41,4)</f>
        <v>168</v>
      </c>
      <c r="G41" s="70">
        <f>ROUND(+F41*0.03,4)</f>
        <v>5.04</v>
      </c>
      <c r="H41" s="45"/>
      <c r="I41" s="41" t="s">
        <v>54</v>
      </c>
    </row>
    <row r="42" spans="2:9" x14ac:dyDescent="0.25">
      <c r="B42" s="43" t="s">
        <v>73</v>
      </c>
      <c r="C42" s="44" t="s">
        <v>50</v>
      </c>
      <c r="D42" s="66">
        <v>200</v>
      </c>
      <c r="E42" s="68">
        <v>1.62</v>
      </c>
      <c r="F42" s="68">
        <f>ROUND(+D42*E42,4)</f>
        <v>324</v>
      </c>
      <c r="G42" s="70">
        <f>ROUND(+F42*0.03,4)</f>
        <v>9.7200000000000006</v>
      </c>
      <c r="H42" s="45"/>
      <c r="I42" s="41" t="s">
        <v>54</v>
      </c>
    </row>
    <row r="43" spans="2:9" x14ac:dyDescent="0.25">
      <c r="B43" s="43" t="s">
        <v>74</v>
      </c>
      <c r="C43" s="44" t="s">
        <v>57</v>
      </c>
      <c r="D43" s="66">
        <v>20</v>
      </c>
      <c r="E43" s="68">
        <v>21.7</v>
      </c>
      <c r="F43" s="68">
        <f>ROUND(+D43*E43,4)</f>
        <v>434</v>
      </c>
      <c r="G43" s="70">
        <f>ROUND(+F43*0.03,4)</f>
        <v>13.02</v>
      </c>
      <c r="H43" s="45"/>
      <c r="I43" s="41" t="s">
        <v>54</v>
      </c>
    </row>
    <row r="44" spans="2:9" x14ac:dyDescent="0.25">
      <c r="B44" s="43" t="s">
        <v>74</v>
      </c>
      <c r="C44" s="44" t="s">
        <v>57</v>
      </c>
      <c r="D44" s="66">
        <v>9.4</v>
      </c>
      <c r="E44" s="68">
        <v>21.7</v>
      </c>
      <c r="F44" s="68">
        <f>ROUND(+D44*E44,4)</f>
        <v>203.98</v>
      </c>
      <c r="G44" s="70">
        <f>ROUND(+F44*0.03,4)</f>
        <v>6.1193999999999997</v>
      </c>
      <c r="H44" s="45"/>
      <c r="I44" s="41" t="s">
        <v>54</v>
      </c>
    </row>
    <row r="45" spans="2:9" x14ac:dyDescent="0.25">
      <c r="B45" s="43" t="s">
        <v>75</v>
      </c>
      <c r="C45" s="44" t="s">
        <v>15</v>
      </c>
      <c r="D45" s="66">
        <v>4500</v>
      </c>
      <c r="E45" s="68">
        <v>0.17019999999999999</v>
      </c>
      <c r="F45" s="68">
        <f>ROUND(+D45*E45,4)</f>
        <v>765.9</v>
      </c>
      <c r="G45" s="70">
        <f>ROUND(+F45*0.03,4)</f>
        <v>22.977</v>
      </c>
      <c r="H45" s="45"/>
      <c r="I45" s="41" t="s">
        <v>54</v>
      </c>
    </row>
    <row r="46" spans="2:9" x14ac:dyDescent="0.25">
      <c r="B46" s="43" t="s">
        <v>77</v>
      </c>
      <c r="C46" s="44" t="s">
        <v>15</v>
      </c>
      <c r="D46" s="66">
        <v>4000</v>
      </c>
      <c r="E46" s="68">
        <v>0.17019999999999999</v>
      </c>
      <c r="F46" s="68">
        <f>ROUND(+D46*E46,4)</f>
        <v>680.8</v>
      </c>
      <c r="G46" s="70">
        <f>ROUND(+F46*0.03,4)</f>
        <v>20.423999999999999</v>
      </c>
      <c r="H46" s="45"/>
      <c r="I46" s="41" t="s">
        <v>54</v>
      </c>
    </row>
    <row r="47" spans="2:9" x14ac:dyDescent="0.25">
      <c r="B47" s="43" t="s">
        <v>76</v>
      </c>
      <c r="C47" s="44" t="s">
        <v>15</v>
      </c>
      <c r="D47" s="66">
        <v>4500</v>
      </c>
      <c r="E47" s="68">
        <v>0.21709999999999999</v>
      </c>
      <c r="F47" s="68">
        <f>ROUND(+D47*E47,4)</f>
        <v>976.95</v>
      </c>
      <c r="G47" s="70">
        <f>ROUND(+F47*0.03,4)</f>
        <v>29.308499999999999</v>
      </c>
      <c r="H47" s="45"/>
      <c r="I47" s="41" t="s">
        <v>54</v>
      </c>
    </row>
    <row r="48" spans="2:9" x14ac:dyDescent="0.25">
      <c r="B48" s="43" t="s">
        <v>78</v>
      </c>
      <c r="C48" s="44" t="s">
        <v>15</v>
      </c>
      <c r="D48" s="66">
        <v>10000</v>
      </c>
      <c r="E48" s="68">
        <v>0.25700000000000001</v>
      </c>
      <c r="F48" s="68">
        <f>ROUND(+D48*E48,4)</f>
        <v>2570</v>
      </c>
      <c r="G48" s="70">
        <f>ROUND(+F48*0.03,4)</f>
        <v>77.099999999999994</v>
      </c>
      <c r="H48" s="45"/>
      <c r="I48" s="41" t="s">
        <v>54</v>
      </c>
    </row>
    <row r="49" spans="2:9" x14ac:dyDescent="0.25">
      <c r="B49" s="43" t="s">
        <v>81</v>
      </c>
      <c r="C49" s="44" t="s">
        <v>50</v>
      </c>
      <c r="D49" s="66">
        <v>200</v>
      </c>
      <c r="E49" s="68">
        <v>1.0170999999999999</v>
      </c>
      <c r="F49" s="68">
        <f>ROUND(+D49*E49,4)</f>
        <v>203.42</v>
      </c>
      <c r="G49" s="70">
        <f>ROUND(+F49*0.03,4)</f>
        <v>6.1025999999999998</v>
      </c>
      <c r="H49" s="45"/>
      <c r="I49" s="41" t="s">
        <v>54</v>
      </c>
    </row>
    <row r="50" spans="2:9" x14ac:dyDescent="0.25">
      <c r="B50" s="43" t="s">
        <v>81</v>
      </c>
      <c r="C50" s="44" t="s">
        <v>50</v>
      </c>
      <c r="D50" s="66">
        <v>200</v>
      </c>
      <c r="E50" s="68">
        <v>1.2224999999999999</v>
      </c>
      <c r="F50" s="68">
        <f>ROUND(+D50*E50,4)</f>
        <v>244.5</v>
      </c>
      <c r="G50" s="70">
        <f>ROUND(+F50*0.03,4)</f>
        <v>7.335</v>
      </c>
      <c r="H50" s="45"/>
      <c r="I50" s="41" t="s">
        <v>54</v>
      </c>
    </row>
    <row r="51" spans="2:9" x14ac:dyDescent="0.25">
      <c r="B51" s="43" t="s">
        <v>82</v>
      </c>
      <c r="C51" s="46" t="s">
        <v>57</v>
      </c>
      <c r="D51" s="67">
        <v>20</v>
      </c>
      <c r="E51" s="68">
        <v>21.7</v>
      </c>
      <c r="F51" s="68">
        <f>ROUND(+D51*E51,4)</f>
        <v>434</v>
      </c>
      <c r="G51" s="71">
        <f>ROUND(+F51*0.03,4)</f>
        <v>13.02</v>
      </c>
      <c r="H51" s="45">
        <v>46152</v>
      </c>
    </row>
    <row r="52" spans="2:9" x14ac:dyDescent="0.25">
      <c r="B52" s="43" t="s">
        <v>82</v>
      </c>
      <c r="C52" s="46" t="s">
        <v>57</v>
      </c>
      <c r="D52" s="67">
        <v>9</v>
      </c>
      <c r="E52" s="68">
        <v>21.7</v>
      </c>
      <c r="F52" s="68">
        <f>ROUND(+D52*E52,4)</f>
        <v>195.3</v>
      </c>
      <c r="G52" s="71">
        <f>ROUND(+F52*0.03,4)</f>
        <v>5.859</v>
      </c>
      <c r="H52" s="45">
        <v>46152</v>
      </c>
    </row>
    <row r="53" spans="2:9" x14ac:dyDescent="0.25">
      <c r="B53" s="43">
        <v>827</v>
      </c>
      <c r="C53" s="46" t="s">
        <v>15</v>
      </c>
      <c r="D53" s="67">
        <v>7915</v>
      </c>
      <c r="E53" s="68">
        <v>0.21709999999999999</v>
      </c>
      <c r="F53" s="68">
        <f>ROUND(+D53*E53,4)</f>
        <v>1718.3465000000001</v>
      </c>
      <c r="G53" s="71">
        <f>ROUND(+F53*0.03,4)</f>
        <v>51.550400000000003</v>
      </c>
      <c r="H53" s="45">
        <v>46147</v>
      </c>
    </row>
    <row r="54" spans="2:9" x14ac:dyDescent="0.25">
      <c r="B54" s="43">
        <v>828</v>
      </c>
      <c r="C54" s="46" t="s">
        <v>15</v>
      </c>
      <c r="D54" s="67">
        <v>3918</v>
      </c>
      <c r="E54" s="68">
        <v>0.17019999999999999</v>
      </c>
      <c r="F54" s="68">
        <f>ROUND(+D54*E54,4)</f>
        <v>666.84360000000004</v>
      </c>
      <c r="G54" s="71">
        <f>ROUND(+F54*0.03,4)</f>
        <v>20.005299999999998</v>
      </c>
      <c r="H54" s="45">
        <v>46147</v>
      </c>
    </row>
    <row r="55" spans="2:9" x14ac:dyDescent="0.25">
      <c r="B55" s="43" t="s">
        <v>84</v>
      </c>
      <c r="C55" s="46" t="s">
        <v>83</v>
      </c>
      <c r="D55" s="67">
        <v>100</v>
      </c>
      <c r="E55" s="68">
        <v>50.5</v>
      </c>
      <c r="F55" s="68">
        <f>ROUND(+D55*E55,4)</f>
        <v>5050</v>
      </c>
      <c r="G55" s="71">
        <f>ROUND(+F55*0.03,4)</f>
        <v>151.5</v>
      </c>
      <c r="H55" s="45">
        <v>46193</v>
      </c>
    </row>
    <row r="56" spans="2:9" x14ac:dyDescent="0.25">
      <c r="B56" s="43" t="s">
        <v>84</v>
      </c>
      <c r="C56" s="46" t="s">
        <v>83</v>
      </c>
      <c r="D56" s="67">
        <v>50</v>
      </c>
      <c r="E56" s="68">
        <v>50.5</v>
      </c>
      <c r="F56" s="68">
        <f>ROUND(+D56*E56,4)</f>
        <v>2525</v>
      </c>
      <c r="G56" s="71">
        <f>ROUND(+F56*0.03,4)</f>
        <v>75.75</v>
      </c>
      <c r="H56" s="45">
        <v>46193</v>
      </c>
    </row>
    <row r="57" spans="2:9" x14ac:dyDescent="0.25">
      <c r="B57" s="43" t="s">
        <v>84</v>
      </c>
      <c r="C57" s="46" t="s">
        <v>83</v>
      </c>
      <c r="D57" s="67">
        <v>50</v>
      </c>
      <c r="E57" s="68">
        <v>50.5</v>
      </c>
      <c r="F57" s="68">
        <f>ROUND(+D57*E57,4)</f>
        <v>2525</v>
      </c>
      <c r="G57" s="71">
        <f>ROUND(+F57*0.03,4)</f>
        <v>75.75</v>
      </c>
      <c r="H57" s="45">
        <v>46193</v>
      </c>
    </row>
    <row r="58" spans="2:9" x14ac:dyDescent="0.25">
      <c r="B58" s="43" t="s">
        <v>84</v>
      </c>
      <c r="C58" s="46" t="s">
        <v>83</v>
      </c>
      <c r="D58" s="67">
        <v>50</v>
      </c>
      <c r="E58" s="68">
        <v>50.5</v>
      </c>
      <c r="F58" s="68">
        <f>ROUND(+D58*E58,4)</f>
        <v>2525</v>
      </c>
      <c r="G58" s="71">
        <f>ROUND(+F58*0.03,4)</f>
        <v>75.75</v>
      </c>
      <c r="H58" s="45">
        <v>46193</v>
      </c>
    </row>
    <row r="59" spans="2:9" x14ac:dyDescent="0.25">
      <c r="B59" s="43" t="s">
        <v>85</v>
      </c>
      <c r="C59" s="46" t="s">
        <v>83</v>
      </c>
      <c r="D59" s="67">
        <v>100</v>
      </c>
      <c r="E59" s="68">
        <v>50.5</v>
      </c>
      <c r="F59" s="68">
        <f>ROUND(+D59*E59,4)</f>
        <v>5050</v>
      </c>
      <c r="G59" s="71">
        <f>ROUND(+F59*0.03,4)</f>
        <v>151.5</v>
      </c>
      <c r="H59" s="45">
        <v>46356</v>
      </c>
    </row>
    <row r="60" spans="2:9" x14ac:dyDescent="0.25">
      <c r="B60" s="43" t="s">
        <v>85</v>
      </c>
      <c r="C60" s="46" t="s">
        <v>83</v>
      </c>
      <c r="D60" s="67">
        <v>50</v>
      </c>
      <c r="E60" s="68">
        <v>50.5</v>
      </c>
      <c r="F60" s="68">
        <f>ROUND(+D60*E60,4)</f>
        <v>2525</v>
      </c>
      <c r="G60" s="71">
        <f>ROUND(+F60*0.03,4)</f>
        <v>75.75</v>
      </c>
      <c r="H60" s="45">
        <v>46356</v>
      </c>
    </row>
    <row r="61" spans="2:9" x14ac:dyDescent="0.25">
      <c r="B61" s="43" t="s">
        <v>86</v>
      </c>
      <c r="C61" s="46" t="s">
        <v>83</v>
      </c>
      <c r="D61" s="67">
        <v>100</v>
      </c>
      <c r="E61" s="68">
        <v>50.5</v>
      </c>
      <c r="F61" s="68">
        <f>ROUND(+D61*E61,4)</f>
        <v>5050</v>
      </c>
      <c r="G61" s="71">
        <f>ROUND(+F61*0.03,4)</f>
        <v>151.5</v>
      </c>
      <c r="H61" s="45">
        <v>46285</v>
      </c>
    </row>
    <row r="62" spans="2:9" x14ac:dyDescent="0.25">
      <c r="B62" s="43" t="s">
        <v>86</v>
      </c>
      <c r="C62" s="46" t="s">
        <v>83</v>
      </c>
      <c r="D62" s="67">
        <v>50</v>
      </c>
      <c r="E62" s="68">
        <v>50.5</v>
      </c>
      <c r="F62" s="68">
        <f>ROUND(+D62*E62,4)</f>
        <v>2525</v>
      </c>
      <c r="G62" s="71">
        <f>ROUND(+F62*0.03,4)</f>
        <v>75.75</v>
      </c>
      <c r="H62" s="45">
        <v>46285</v>
      </c>
    </row>
    <row r="63" spans="2:9" x14ac:dyDescent="0.25">
      <c r="B63" s="43" t="s">
        <v>87</v>
      </c>
      <c r="C63" s="46" t="s">
        <v>83</v>
      </c>
      <c r="D63" s="67">
        <v>100</v>
      </c>
      <c r="E63" s="68">
        <v>50.5</v>
      </c>
      <c r="F63" s="68">
        <f>ROUND(+D63*E63,4)</f>
        <v>5050</v>
      </c>
      <c r="G63" s="71">
        <f>ROUND(+F63*0.03,4)</f>
        <v>151.5</v>
      </c>
      <c r="H63" s="45">
        <v>46223</v>
      </c>
    </row>
    <row r="64" spans="2:9" x14ac:dyDescent="0.25">
      <c r="B64" s="43" t="s">
        <v>87</v>
      </c>
      <c r="C64" s="46" t="s">
        <v>83</v>
      </c>
      <c r="D64" s="67">
        <v>50</v>
      </c>
      <c r="E64" s="68">
        <v>50.5</v>
      </c>
      <c r="F64" s="68">
        <f>ROUND(+D64*E64,4)</f>
        <v>2525</v>
      </c>
      <c r="G64" s="71">
        <f>ROUND(+F64*0.03,4)</f>
        <v>75.75</v>
      </c>
      <c r="H64" s="45">
        <v>46223</v>
      </c>
    </row>
    <row r="65" spans="2:8" x14ac:dyDescent="0.25">
      <c r="B65" s="43" t="s">
        <v>88</v>
      </c>
      <c r="C65" s="46" t="s">
        <v>83</v>
      </c>
      <c r="D65" s="67">
        <v>100</v>
      </c>
      <c r="E65" s="68">
        <v>50.5</v>
      </c>
      <c r="F65" s="68">
        <f>ROUND(+D65*E65,4)</f>
        <v>5050</v>
      </c>
      <c r="G65" s="71">
        <f>ROUND(+F65*0.03,4)</f>
        <v>151.5</v>
      </c>
      <c r="H65" s="45">
        <v>46183</v>
      </c>
    </row>
    <row r="66" spans="2:8" x14ac:dyDescent="0.25">
      <c r="B66" s="43" t="s">
        <v>88</v>
      </c>
      <c r="C66" s="46" t="s">
        <v>83</v>
      </c>
      <c r="D66" s="67">
        <v>50</v>
      </c>
      <c r="E66" s="68">
        <v>50.5</v>
      </c>
      <c r="F66" s="68">
        <f>ROUND(+D66*E66,4)</f>
        <v>2525</v>
      </c>
      <c r="G66" s="71">
        <f>ROUND(+F66*0.03,4)</f>
        <v>75.75</v>
      </c>
      <c r="H66" s="45">
        <v>46183</v>
      </c>
    </row>
    <row r="67" spans="2:8" x14ac:dyDescent="0.25">
      <c r="B67" s="43" t="s">
        <v>89</v>
      </c>
      <c r="C67" s="46" t="s">
        <v>83</v>
      </c>
      <c r="D67" s="67">
        <v>500</v>
      </c>
      <c r="E67" s="68">
        <v>8.5</v>
      </c>
      <c r="F67" s="68">
        <f>ROUND(+D67*E67,4)</f>
        <v>4250</v>
      </c>
      <c r="G67" s="71">
        <f>ROUND(+F67*0.05,4)</f>
        <v>212.5</v>
      </c>
      <c r="H67" s="45">
        <v>46254</v>
      </c>
    </row>
    <row r="68" spans="2:8" x14ac:dyDescent="0.25">
      <c r="B68" s="43" t="s">
        <v>90</v>
      </c>
      <c r="C68" s="46" t="s">
        <v>83</v>
      </c>
      <c r="D68" s="67">
        <v>500</v>
      </c>
      <c r="E68" s="68">
        <v>8.5</v>
      </c>
      <c r="F68" s="68">
        <f>ROUND(+D68*E68,4)</f>
        <v>4250</v>
      </c>
      <c r="G68" s="71">
        <f>ROUND(+F68*0.05,4)</f>
        <v>212.5</v>
      </c>
      <c r="H68" s="45">
        <v>46285</v>
      </c>
    </row>
    <row r="69" spans="2:8" x14ac:dyDescent="0.25">
      <c r="B69" s="43" t="s">
        <v>91</v>
      </c>
      <c r="C69" s="46" t="s">
        <v>83</v>
      </c>
      <c r="D69" s="67">
        <v>500</v>
      </c>
      <c r="E69" s="68">
        <v>8.5</v>
      </c>
      <c r="F69" s="68">
        <f>ROUND(+D69*E69,4)</f>
        <v>4250</v>
      </c>
      <c r="G69" s="71">
        <f>ROUND(+F69*0.05,4)</f>
        <v>212.5</v>
      </c>
      <c r="H69" s="45">
        <v>46254</v>
      </c>
    </row>
    <row r="70" spans="2:8" x14ac:dyDescent="0.25">
      <c r="B70" s="43" t="s">
        <v>92</v>
      </c>
      <c r="C70" s="46" t="s">
        <v>15</v>
      </c>
      <c r="D70" s="67">
        <v>8500</v>
      </c>
      <c r="E70" s="68">
        <v>0.24399999999999999</v>
      </c>
      <c r="F70" s="68">
        <f>ROUND(+D70*E70,4)</f>
        <v>2074</v>
      </c>
      <c r="G70" s="71">
        <f>ROUND(+F70*0.03,4)</f>
        <v>62.22</v>
      </c>
      <c r="H70" s="45">
        <v>46162</v>
      </c>
    </row>
    <row r="71" spans="2:8" x14ac:dyDescent="0.25">
      <c r="B71" s="43" t="s">
        <v>93</v>
      </c>
      <c r="C71" s="46" t="s">
        <v>57</v>
      </c>
      <c r="D71" s="67">
        <v>4</v>
      </c>
      <c r="E71" s="68">
        <v>21.7</v>
      </c>
      <c r="F71" s="68">
        <f>ROUND(+D71*E71,4)</f>
        <v>86.8</v>
      </c>
      <c r="G71" s="71">
        <f>ROUND(+F71*0.03,4)</f>
        <v>2.6040000000000001</v>
      </c>
      <c r="H71" s="45">
        <v>46183</v>
      </c>
    </row>
    <row r="72" spans="2:8" x14ac:dyDescent="0.25">
      <c r="B72" s="43" t="s">
        <v>94</v>
      </c>
      <c r="C72" s="46" t="s">
        <v>57</v>
      </c>
      <c r="D72" s="67">
        <v>20</v>
      </c>
      <c r="E72" s="68">
        <v>21.7</v>
      </c>
      <c r="F72" s="68">
        <f>ROUND(+D72*E72,4)</f>
        <v>434</v>
      </c>
      <c r="G72" s="71">
        <f>ROUND(+F72*0.03,4)</f>
        <v>13.02</v>
      </c>
      <c r="H72" s="45">
        <v>46167</v>
      </c>
    </row>
    <row r="73" spans="2:8" x14ac:dyDescent="0.25">
      <c r="B73" s="43" t="s">
        <v>94</v>
      </c>
      <c r="C73" s="46" t="s">
        <v>57</v>
      </c>
      <c r="D73" s="67">
        <v>9</v>
      </c>
      <c r="E73" s="68">
        <v>21.7</v>
      </c>
      <c r="F73" s="68">
        <f>ROUND(+D73*E73,4)</f>
        <v>195.3</v>
      </c>
      <c r="G73" s="71">
        <f>ROUND(+F73*0.03,4)</f>
        <v>5.859</v>
      </c>
      <c r="H73" s="45">
        <v>46167</v>
      </c>
    </row>
    <row r="74" spans="2:8" x14ac:dyDescent="0.25">
      <c r="B74" s="47"/>
      <c r="C74" s="46"/>
      <c r="D74" s="67"/>
      <c r="E74" s="68"/>
      <c r="F74" s="68">
        <f>ROUND(+D74*E74,4)</f>
        <v>0</v>
      </c>
      <c r="G74" s="71">
        <f>ROUND(+F74*0.03,4)</f>
        <v>0</v>
      </c>
      <c r="H74" s="45"/>
    </row>
    <row r="75" spans="2:8" x14ac:dyDescent="0.25">
      <c r="B75" s="47"/>
      <c r="C75" s="46"/>
      <c r="D75" s="67"/>
      <c r="E75" s="68"/>
      <c r="F75" s="68">
        <f>ROUND(+D75*E75,4)</f>
        <v>0</v>
      </c>
      <c r="G75" s="71">
        <f>ROUND(+F75*0.03,4)</f>
        <v>0</v>
      </c>
      <c r="H75" s="45"/>
    </row>
    <row r="76" spans="2:8" x14ac:dyDescent="0.25">
      <c r="B76" s="47"/>
      <c r="C76" s="46"/>
      <c r="D76" s="67"/>
      <c r="E76" s="68"/>
      <c r="F76" s="68">
        <f>ROUND(+D76*E76,4)</f>
        <v>0</v>
      </c>
      <c r="G76" s="71">
        <f>ROUND(+F76*0.03,4)</f>
        <v>0</v>
      </c>
      <c r="H76" s="45"/>
    </row>
    <row r="77" spans="2:8" x14ac:dyDescent="0.25">
      <c r="B77" s="47"/>
      <c r="C77" s="46"/>
      <c r="D77" s="67"/>
      <c r="E77" s="68"/>
      <c r="F77" s="68">
        <f>ROUND(+D77*E77,4)</f>
        <v>0</v>
      </c>
      <c r="G77" s="71">
        <f>ROUND(+F77*0.03,4)</f>
        <v>0</v>
      </c>
      <c r="H77" s="45"/>
    </row>
    <row r="78" spans="2:8" x14ac:dyDescent="0.25">
      <c r="B78" s="47"/>
      <c r="C78" s="46"/>
      <c r="D78" s="67"/>
      <c r="E78" s="68"/>
      <c r="F78" s="68">
        <f>ROUND(+D78*E78,4)</f>
        <v>0</v>
      </c>
      <c r="G78" s="71">
        <f>ROUND(+F78*0.03,4)</f>
        <v>0</v>
      </c>
      <c r="H78" s="45"/>
    </row>
    <row r="79" spans="2:8" x14ac:dyDescent="0.25">
      <c r="B79" s="47"/>
      <c r="C79" s="46"/>
      <c r="D79" s="67"/>
      <c r="E79" s="68"/>
      <c r="F79" s="68">
        <f>ROUND(+D79*E79,4)</f>
        <v>0</v>
      </c>
      <c r="G79" s="71">
        <f>ROUND(+F79*0.03,4)</f>
        <v>0</v>
      </c>
      <c r="H79" s="45"/>
    </row>
    <row r="80" spans="2:8" x14ac:dyDescent="0.25">
      <c r="B80" s="47"/>
      <c r="C80" s="46"/>
      <c r="D80" s="67"/>
      <c r="E80" s="68"/>
      <c r="F80" s="68">
        <f>ROUND(+D80*E80,4)</f>
        <v>0</v>
      </c>
      <c r="G80" s="71">
        <f>ROUND(+F80*0.03,4)</f>
        <v>0</v>
      </c>
      <c r="H80" s="45"/>
    </row>
    <row r="81" spans="2:8" x14ac:dyDescent="0.25">
      <c r="B81" s="47"/>
      <c r="C81" s="46"/>
      <c r="D81" s="67"/>
      <c r="E81" s="68"/>
      <c r="F81" s="68">
        <f>ROUND(+D81*E81,4)</f>
        <v>0</v>
      </c>
      <c r="G81" s="71">
        <f>ROUND(+F81*0.03,4)</f>
        <v>0</v>
      </c>
      <c r="H81" s="45"/>
    </row>
    <row r="82" spans="2:8" x14ac:dyDescent="0.25">
      <c r="B82" s="47"/>
      <c r="C82" s="46"/>
      <c r="D82" s="67"/>
      <c r="E82" s="68"/>
      <c r="F82" s="68">
        <f>ROUND(+D82*E82,4)</f>
        <v>0</v>
      </c>
      <c r="G82" s="71">
        <f>ROUND(+F82*0.03,4)</f>
        <v>0</v>
      </c>
      <c r="H82" s="45"/>
    </row>
    <row r="83" spans="2:8" x14ac:dyDescent="0.25">
      <c r="B83" s="47"/>
      <c r="C83" s="46"/>
      <c r="D83" s="67"/>
      <c r="E83" s="68"/>
      <c r="F83" s="68">
        <f>ROUND(+D83*E83,4)</f>
        <v>0</v>
      </c>
      <c r="G83" s="71">
        <f>ROUND(+F83*0.03,4)</f>
        <v>0</v>
      </c>
      <c r="H83" s="45"/>
    </row>
    <row r="84" spans="2:8" x14ac:dyDescent="0.25">
      <c r="B84" s="47"/>
      <c r="C84" s="46"/>
      <c r="D84" s="67"/>
      <c r="E84" s="68"/>
      <c r="F84" s="68">
        <f>ROUND(+D84*E84,4)</f>
        <v>0</v>
      </c>
      <c r="G84" s="71">
        <f>ROUND(+F84*0.03,4)</f>
        <v>0</v>
      </c>
      <c r="H84" s="45"/>
    </row>
    <row r="85" spans="2:8" x14ac:dyDescent="0.25">
      <c r="B85" s="47"/>
      <c r="C85" s="46"/>
      <c r="D85" s="67"/>
      <c r="E85" s="68"/>
      <c r="F85" s="68">
        <f>ROUND(+D85*E85,4)</f>
        <v>0</v>
      </c>
      <c r="G85" s="71">
        <f>ROUND(+F85*0.03,4)</f>
        <v>0</v>
      </c>
      <c r="H85" s="45"/>
    </row>
    <row r="86" spans="2:8" x14ac:dyDescent="0.25">
      <c r="B86" s="47"/>
      <c r="C86" s="46"/>
      <c r="D86" s="67"/>
      <c r="E86" s="68"/>
      <c r="F86" s="68">
        <f>ROUND(+D86*E86,4)</f>
        <v>0</v>
      </c>
      <c r="G86" s="71">
        <f>ROUND(+F86*0.03,4)</f>
        <v>0</v>
      </c>
      <c r="H86" s="45"/>
    </row>
    <row r="87" spans="2:8" x14ac:dyDescent="0.25">
      <c r="B87" s="47"/>
      <c r="C87" s="46"/>
      <c r="D87" s="67"/>
      <c r="E87" s="68"/>
      <c r="F87" s="68">
        <f>ROUND(+D87*E87,4)</f>
        <v>0</v>
      </c>
      <c r="G87" s="71">
        <f>ROUND(+F87*0.03,4)</f>
        <v>0</v>
      </c>
      <c r="H87" s="45"/>
    </row>
    <row r="88" spans="2:8" x14ac:dyDescent="0.25">
      <c r="B88" s="47"/>
      <c r="C88" s="46"/>
      <c r="D88" s="67"/>
      <c r="E88" s="68"/>
      <c r="F88" s="68">
        <f>ROUND(+D88*E88,4)</f>
        <v>0</v>
      </c>
      <c r="G88" s="71">
        <f>ROUND(+F88*0.03,4)</f>
        <v>0</v>
      </c>
      <c r="H88" s="45"/>
    </row>
    <row r="89" spans="2:8" x14ac:dyDescent="0.25">
      <c r="B89" s="47"/>
      <c r="C89" s="46"/>
      <c r="D89" s="67"/>
      <c r="E89" s="68"/>
      <c r="F89" s="68">
        <f>ROUND(+D89*E89,4)</f>
        <v>0</v>
      </c>
      <c r="G89" s="71">
        <f>ROUND(+F89*0.03,4)</f>
        <v>0</v>
      </c>
      <c r="H89" s="45"/>
    </row>
    <row r="90" spans="2:8" x14ac:dyDescent="0.25">
      <c r="B90" s="47"/>
      <c r="C90" s="46"/>
      <c r="D90" s="67"/>
      <c r="E90" s="68"/>
      <c r="F90" s="68">
        <f>ROUND(+D90*E90,4)</f>
        <v>0</v>
      </c>
      <c r="G90" s="71">
        <f>ROUND(+F90*0.03,4)</f>
        <v>0</v>
      </c>
      <c r="H90" s="45"/>
    </row>
    <row r="91" spans="2:8" x14ac:dyDescent="0.25">
      <c r="B91" s="47"/>
      <c r="C91" s="46"/>
      <c r="D91" s="67"/>
      <c r="E91" s="68"/>
      <c r="F91" s="68">
        <f>ROUND(+D91*E91,4)</f>
        <v>0</v>
      </c>
      <c r="G91" s="71">
        <f>ROUND(+F91*0.03,4)</f>
        <v>0</v>
      </c>
      <c r="H91" s="45"/>
    </row>
    <row r="92" spans="2:8" x14ac:dyDescent="0.25">
      <c r="B92" s="47"/>
      <c r="C92" s="46"/>
      <c r="D92" s="67"/>
      <c r="E92" s="68"/>
      <c r="F92" s="68">
        <f>ROUND(+D92*E92,4)</f>
        <v>0</v>
      </c>
      <c r="G92" s="71">
        <f>ROUND(+F92*0.03,4)</f>
        <v>0</v>
      </c>
      <c r="H92" s="45"/>
    </row>
    <row r="93" spans="2:8" x14ac:dyDescent="0.25">
      <c r="B93" s="47"/>
      <c r="C93" s="46"/>
      <c r="D93" s="67"/>
      <c r="E93" s="68"/>
      <c r="F93" s="68">
        <f>ROUND(+D93*E93,4)</f>
        <v>0</v>
      </c>
      <c r="G93" s="71">
        <f>ROUND(+F93*0.03,4)</f>
        <v>0</v>
      </c>
      <c r="H93" s="45"/>
    </row>
    <row r="94" spans="2:8" x14ac:dyDescent="0.25">
      <c r="B94" s="47"/>
      <c r="C94" s="46"/>
      <c r="D94" s="67"/>
      <c r="E94" s="68"/>
      <c r="F94" s="68">
        <f>ROUND(+D94*E94,4)</f>
        <v>0</v>
      </c>
      <c r="G94" s="71">
        <f>ROUND(+F94*0.03,4)</f>
        <v>0</v>
      </c>
      <c r="H94" s="45"/>
    </row>
    <row r="95" spans="2:8" x14ac:dyDescent="0.25">
      <c r="B95" s="47"/>
      <c r="C95" s="46"/>
      <c r="D95" s="67"/>
      <c r="E95" s="68"/>
      <c r="F95" s="68">
        <f>ROUND(+D95*E95,4)</f>
        <v>0</v>
      </c>
      <c r="G95" s="71">
        <f>ROUND(+F95*0.03,4)</f>
        <v>0</v>
      </c>
      <c r="H95" s="45"/>
    </row>
    <row r="96" spans="2:8" x14ac:dyDescent="0.25">
      <c r="B96" s="47"/>
      <c r="C96" s="46"/>
      <c r="D96" s="67"/>
      <c r="E96" s="68"/>
      <c r="F96" s="68">
        <f>ROUND(+D96*E96,4)</f>
        <v>0</v>
      </c>
      <c r="G96" s="71">
        <f>ROUND(+F96*0.03,4)</f>
        <v>0</v>
      </c>
      <c r="H96" s="45"/>
    </row>
    <row r="97" spans="2:8" x14ac:dyDescent="0.25">
      <c r="B97" s="47"/>
      <c r="C97" s="46"/>
      <c r="D97" s="67"/>
      <c r="E97" s="68"/>
      <c r="F97" s="68">
        <f>ROUND(+D97*E97,4)</f>
        <v>0</v>
      </c>
      <c r="G97" s="71">
        <f>ROUND(+F97*0.03,4)</f>
        <v>0</v>
      </c>
      <c r="H97" s="45"/>
    </row>
    <row r="98" spans="2:8" x14ac:dyDescent="0.25">
      <c r="B98" s="47"/>
      <c r="C98" s="46"/>
      <c r="D98" s="67"/>
      <c r="E98" s="68"/>
      <c r="F98" s="68">
        <f>ROUND(+D98*E98,4)</f>
        <v>0</v>
      </c>
      <c r="G98" s="71">
        <f>ROUND(+F98*0.03,4)</f>
        <v>0</v>
      </c>
      <c r="H98" s="45"/>
    </row>
    <row r="99" spans="2:8" x14ac:dyDescent="0.25">
      <c r="B99" s="47"/>
      <c r="C99" s="46"/>
      <c r="D99" s="67"/>
      <c r="E99" s="68"/>
      <c r="F99" s="68">
        <f>ROUND(+D99*E99,4)</f>
        <v>0</v>
      </c>
      <c r="G99" s="71">
        <f>ROUND(+F99*0.03,4)</f>
        <v>0</v>
      </c>
      <c r="H99" s="45"/>
    </row>
    <row r="100" spans="2:8" x14ac:dyDescent="0.25">
      <c r="B100" s="47"/>
      <c r="C100" s="46"/>
      <c r="D100" s="67"/>
      <c r="E100" s="68"/>
      <c r="F100" s="68">
        <f>ROUND(+D100*E100,4)</f>
        <v>0</v>
      </c>
      <c r="G100" s="71">
        <f>ROUND(+F100*0.03,4)</f>
        <v>0</v>
      </c>
      <c r="H100" s="45"/>
    </row>
    <row r="101" spans="2:8" x14ac:dyDescent="0.25">
      <c r="B101" s="47"/>
      <c r="C101" s="46"/>
      <c r="D101" s="67"/>
      <c r="E101" s="68"/>
      <c r="F101" s="68">
        <f>ROUND(+D101*E101,4)</f>
        <v>0</v>
      </c>
      <c r="G101" s="71">
        <f>ROUND(+F101*0.03,4)</f>
        <v>0</v>
      </c>
      <c r="H101" s="45"/>
    </row>
    <row r="102" spans="2:8" x14ac:dyDescent="0.25">
      <c r="B102" s="47"/>
      <c r="C102" s="46"/>
      <c r="D102" s="67"/>
      <c r="E102" s="68"/>
      <c r="F102" s="68">
        <f>ROUND(+D102*E102,4)</f>
        <v>0</v>
      </c>
      <c r="G102" s="71">
        <f>ROUND(+F102*0.03,4)</f>
        <v>0</v>
      </c>
      <c r="H102" s="45"/>
    </row>
    <row r="103" spans="2:8" x14ac:dyDescent="0.25">
      <c r="B103" s="47"/>
      <c r="C103" s="46"/>
      <c r="D103" s="67"/>
      <c r="E103" s="68"/>
      <c r="F103" s="68">
        <f>ROUND(+D103*E103,4)</f>
        <v>0</v>
      </c>
      <c r="G103" s="71">
        <f>ROUND(+F103*0.03,4)</f>
        <v>0</v>
      </c>
      <c r="H103" s="45"/>
    </row>
    <row r="104" spans="2:8" x14ac:dyDescent="0.25">
      <c r="B104" s="47"/>
      <c r="C104" s="46"/>
      <c r="D104" s="67"/>
      <c r="E104" s="68"/>
      <c r="F104" s="68">
        <f>ROUND(+D104*E104,4)</f>
        <v>0</v>
      </c>
      <c r="G104" s="71">
        <f>ROUND(+F104*0.03,4)</f>
        <v>0</v>
      </c>
      <c r="H104" s="45"/>
    </row>
    <row r="105" spans="2:8" x14ac:dyDescent="0.25">
      <c r="B105" s="47"/>
      <c r="C105" s="46"/>
      <c r="D105" s="67"/>
      <c r="E105" s="68"/>
      <c r="F105" s="68">
        <f>ROUND(+D105*E105,4)</f>
        <v>0</v>
      </c>
      <c r="G105" s="71">
        <f>ROUND(+F105*0.03,4)</f>
        <v>0</v>
      </c>
      <c r="H105" s="45"/>
    </row>
    <row r="106" spans="2:8" x14ac:dyDescent="0.25">
      <c r="B106" s="47"/>
      <c r="C106" s="46"/>
      <c r="D106" s="67"/>
      <c r="E106" s="68"/>
      <c r="F106" s="68">
        <f>ROUND(+D106*E106,4)</f>
        <v>0</v>
      </c>
      <c r="G106" s="71">
        <f>ROUND(+F106*0.03,4)</f>
        <v>0</v>
      </c>
      <c r="H106" s="45"/>
    </row>
    <row r="107" spans="2:8" x14ac:dyDescent="0.25">
      <c r="B107" s="47"/>
      <c r="C107" s="46"/>
      <c r="D107" s="67"/>
      <c r="E107" s="68"/>
      <c r="F107" s="68">
        <f>ROUND(+D107*E107,4)</f>
        <v>0</v>
      </c>
      <c r="G107" s="71">
        <f>ROUND(+F107*0.03,4)</f>
        <v>0</v>
      </c>
      <c r="H107" s="45"/>
    </row>
    <row r="108" spans="2:8" x14ac:dyDescent="0.25">
      <c r="B108" s="47"/>
      <c r="C108" s="46"/>
      <c r="D108" s="67"/>
      <c r="E108" s="68"/>
      <c r="F108" s="68">
        <f>ROUND(+D108*E108,4)</f>
        <v>0</v>
      </c>
      <c r="G108" s="71">
        <f>ROUND(+F108*0.03,4)</f>
        <v>0</v>
      </c>
      <c r="H108" s="45"/>
    </row>
    <row r="109" spans="2:8" x14ac:dyDescent="0.25">
      <c r="B109" s="47"/>
      <c r="C109" s="46"/>
      <c r="D109" s="67"/>
      <c r="E109" s="68"/>
      <c r="F109" s="68">
        <f>ROUND(+D109*E109,4)</f>
        <v>0</v>
      </c>
      <c r="G109" s="71">
        <f>ROUND(+F109*0.03,4)</f>
        <v>0</v>
      </c>
      <c r="H109" s="45"/>
    </row>
    <row r="110" spans="2:8" x14ac:dyDescent="0.25">
      <c r="B110" s="47"/>
      <c r="C110" s="46"/>
      <c r="D110" s="67"/>
      <c r="E110" s="68"/>
      <c r="F110" s="68">
        <f>ROUND(+D110*E110,4)</f>
        <v>0</v>
      </c>
      <c r="G110" s="71">
        <f>ROUND(+F110*0.03,4)</f>
        <v>0</v>
      </c>
      <c r="H110" s="45"/>
    </row>
    <row r="111" spans="2:8" x14ac:dyDescent="0.25">
      <c r="B111" s="47"/>
      <c r="C111" s="46"/>
      <c r="D111" s="67"/>
      <c r="E111" s="68"/>
      <c r="F111" s="68">
        <f>ROUND(+D111*E111,4)</f>
        <v>0</v>
      </c>
      <c r="G111" s="71">
        <f>ROUND(+F111*0.03,4)</f>
        <v>0</v>
      </c>
      <c r="H111" s="45"/>
    </row>
    <row r="112" spans="2:8" x14ac:dyDescent="0.25">
      <c r="B112" s="47"/>
      <c r="C112" s="46"/>
      <c r="D112" s="67"/>
      <c r="E112" s="68"/>
      <c r="F112" s="68">
        <f>ROUND(+D112*E112,4)</f>
        <v>0</v>
      </c>
      <c r="G112" s="71">
        <f>ROUND(+F112*0.03,4)</f>
        <v>0</v>
      </c>
      <c r="H112" s="45"/>
    </row>
    <row r="113" spans="2:8" x14ac:dyDescent="0.25">
      <c r="B113" s="47"/>
      <c r="C113" s="46"/>
      <c r="D113" s="67"/>
      <c r="E113" s="68"/>
      <c r="F113" s="68">
        <f>ROUND(+D113*E113,4)</f>
        <v>0</v>
      </c>
      <c r="G113" s="71">
        <f>ROUND(+F113*0.03,4)</f>
        <v>0</v>
      </c>
      <c r="H113" s="45"/>
    </row>
    <row r="114" spans="2:8" x14ac:dyDescent="0.25">
      <c r="B114" s="47"/>
      <c r="C114" s="46"/>
      <c r="D114" s="67"/>
      <c r="E114" s="68"/>
      <c r="F114" s="68">
        <f>ROUND(+D114*E114,4)</f>
        <v>0</v>
      </c>
      <c r="G114" s="71">
        <f>ROUND(+F114*0.03,4)</f>
        <v>0</v>
      </c>
      <c r="H114" s="45"/>
    </row>
    <row r="115" spans="2:8" x14ac:dyDescent="0.25">
      <c r="B115" s="47"/>
      <c r="C115" s="46"/>
      <c r="D115" s="67"/>
      <c r="E115" s="68"/>
      <c r="F115" s="68">
        <f>ROUND(+D115*E115,4)</f>
        <v>0</v>
      </c>
      <c r="G115" s="71">
        <f>ROUND(+F115*0.03,4)</f>
        <v>0</v>
      </c>
      <c r="H115" s="45"/>
    </row>
    <row r="116" spans="2:8" x14ac:dyDescent="0.25">
      <c r="B116" s="47"/>
      <c r="C116" s="46"/>
      <c r="D116" s="67"/>
      <c r="E116" s="68"/>
      <c r="F116" s="68">
        <f>ROUND(+D116*E116,4)</f>
        <v>0</v>
      </c>
      <c r="G116" s="71">
        <f>ROUND(+F116*0.03,4)</f>
        <v>0</v>
      </c>
      <c r="H116" s="45"/>
    </row>
    <row r="117" spans="2:8" x14ac:dyDescent="0.25">
      <c r="B117" s="47"/>
      <c r="C117" s="46"/>
      <c r="D117" s="67"/>
      <c r="E117" s="68"/>
      <c r="F117" s="68">
        <f>ROUND(+D117*E117,4)</f>
        <v>0</v>
      </c>
      <c r="G117" s="71">
        <f>ROUND(+F117*0.03,4)</f>
        <v>0</v>
      </c>
      <c r="H117" s="45"/>
    </row>
    <row r="118" spans="2:8" x14ac:dyDescent="0.25">
      <c r="B118" s="47"/>
      <c r="C118" s="46"/>
      <c r="D118" s="67"/>
      <c r="E118" s="68"/>
      <c r="F118" s="68">
        <f>ROUND(+D118*E118,4)</f>
        <v>0</v>
      </c>
      <c r="G118" s="71">
        <f>ROUND(+F118*0.03,4)</f>
        <v>0</v>
      </c>
      <c r="H118" s="45"/>
    </row>
    <row r="119" spans="2:8" x14ac:dyDescent="0.25">
      <c r="B119" s="47"/>
      <c r="C119" s="46"/>
      <c r="D119" s="67"/>
      <c r="E119" s="68"/>
      <c r="F119" s="68">
        <f>ROUND(+D119*E119,4)</f>
        <v>0</v>
      </c>
      <c r="G119" s="71">
        <f>ROUND(+F119*0.03,4)</f>
        <v>0</v>
      </c>
      <c r="H119" s="45"/>
    </row>
    <row r="120" spans="2:8" x14ac:dyDescent="0.25">
      <c r="B120" s="47"/>
      <c r="C120" s="46"/>
      <c r="D120" s="67"/>
      <c r="E120" s="68"/>
      <c r="F120" s="68">
        <f>ROUND(+D120*E120,4)</f>
        <v>0</v>
      </c>
      <c r="G120" s="71">
        <f>ROUND(+F120*0.03,4)</f>
        <v>0</v>
      </c>
      <c r="H120" s="45"/>
    </row>
    <row r="121" spans="2:8" x14ac:dyDescent="0.25">
      <c r="B121" s="47"/>
      <c r="C121" s="46"/>
      <c r="D121" s="67"/>
      <c r="E121" s="68"/>
      <c r="F121" s="68">
        <f>ROUND(+D121*E121,4)</f>
        <v>0</v>
      </c>
      <c r="G121" s="71">
        <f>ROUND(+F121*0.03,4)</f>
        <v>0</v>
      </c>
      <c r="H121" s="45"/>
    </row>
    <row r="122" spans="2:8" x14ac:dyDescent="0.25">
      <c r="B122" s="47"/>
      <c r="C122" s="46"/>
      <c r="D122" s="67"/>
      <c r="E122" s="68"/>
      <c r="F122" s="68">
        <f>ROUND(+D122*E122,4)</f>
        <v>0</v>
      </c>
      <c r="G122" s="71">
        <f>ROUND(+F122*0.03,4)</f>
        <v>0</v>
      </c>
      <c r="H122" s="45"/>
    </row>
    <row r="123" spans="2:8" x14ac:dyDescent="0.25">
      <c r="B123" s="47"/>
      <c r="C123" s="46"/>
      <c r="D123" s="67"/>
      <c r="E123" s="68"/>
      <c r="F123" s="68">
        <f>ROUND(+D123*E123,4)</f>
        <v>0</v>
      </c>
      <c r="G123" s="71">
        <f>ROUND(+F123*0.03,4)</f>
        <v>0</v>
      </c>
      <c r="H123" s="45"/>
    </row>
    <row r="124" spans="2:8" x14ac:dyDescent="0.25">
      <c r="B124" s="47"/>
      <c r="C124" s="46"/>
      <c r="D124" s="67"/>
      <c r="E124" s="68"/>
      <c r="F124" s="68">
        <f>ROUND(+D124*E124,4)</f>
        <v>0</v>
      </c>
      <c r="G124" s="71">
        <f>ROUND(+F124*0.03,4)</f>
        <v>0</v>
      </c>
      <c r="H124" s="45"/>
    </row>
    <row r="125" spans="2:8" x14ac:dyDescent="0.25">
      <c r="B125" s="47"/>
      <c r="C125" s="46"/>
      <c r="D125" s="67"/>
      <c r="E125" s="68"/>
      <c r="F125" s="68">
        <f>ROUND(+D125*E125,4)</f>
        <v>0</v>
      </c>
      <c r="G125" s="71">
        <f>ROUND(+F125*0.03,4)</f>
        <v>0</v>
      </c>
      <c r="H125" s="45"/>
    </row>
    <row r="126" spans="2:8" x14ac:dyDescent="0.25">
      <c r="B126" s="47"/>
      <c r="C126" s="46"/>
      <c r="D126" s="67"/>
      <c r="E126" s="68"/>
      <c r="F126" s="68">
        <f>ROUND(+D126*E126,4)</f>
        <v>0</v>
      </c>
      <c r="G126" s="71">
        <f>ROUND(+F126*0.03,4)</f>
        <v>0</v>
      </c>
      <c r="H126" s="45"/>
    </row>
    <row r="127" spans="2:8" x14ac:dyDescent="0.25">
      <c r="B127" s="47"/>
      <c r="C127" s="46"/>
      <c r="D127" s="67"/>
      <c r="E127" s="68"/>
      <c r="F127" s="68">
        <f>ROUND(+D127*E127,4)</f>
        <v>0</v>
      </c>
      <c r="G127" s="71">
        <f>ROUND(+F127*0.03,4)</f>
        <v>0</v>
      </c>
      <c r="H127" s="45"/>
    </row>
    <row r="128" spans="2:8" x14ac:dyDescent="0.25">
      <c r="B128" s="47"/>
      <c r="C128" s="46"/>
      <c r="D128" s="67"/>
      <c r="E128" s="68"/>
      <c r="F128" s="68">
        <f>ROUND(+D128*E128,4)</f>
        <v>0</v>
      </c>
      <c r="G128" s="71">
        <f>ROUND(+F128*0.03,4)</f>
        <v>0</v>
      </c>
      <c r="H128" s="45"/>
    </row>
    <row r="129" spans="2:8" x14ac:dyDescent="0.25">
      <c r="B129" s="47"/>
      <c r="C129" s="46"/>
      <c r="D129" s="67"/>
      <c r="E129" s="68"/>
      <c r="F129" s="68">
        <f>ROUND(+D129*E129,4)</f>
        <v>0</v>
      </c>
      <c r="G129" s="71">
        <f>ROUND(+F129*0.03,4)</f>
        <v>0</v>
      </c>
      <c r="H129" s="45"/>
    </row>
    <row r="130" spans="2:8" x14ac:dyDescent="0.25">
      <c r="B130" s="47"/>
      <c r="C130" s="46"/>
      <c r="D130" s="67"/>
      <c r="E130" s="68"/>
      <c r="F130" s="68">
        <f>ROUND(+D130*E130,4)</f>
        <v>0</v>
      </c>
      <c r="G130" s="71">
        <f>ROUND(+F130*0.03,4)</f>
        <v>0</v>
      </c>
      <c r="H130" s="45"/>
    </row>
    <row r="131" spans="2:8" x14ac:dyDescent="0.25">
      <c r="B131" s="47"/>
      <c r="C131" s="46"/>
      <c r="D131" s="67"/>
      <c r="E131" s="68"/>
      <c r="F131" s="68">
        <f>ROUND(+D131*E131,4)</f>
        <v>0</v>
      </c>
      <c r="G131" s="71">
        <f>ROUND(+F131*0.03,4)</f>
        <v>0</v>
      </c>
      <c r="H131" s="45"/>
    </row>
    <row r="132" spans="2:8" x14ac:dyDescent="0.25">
      <c r="B132" s="47"/>
      <c r="C132" s="46"/>
      <c r="D132" s="67"/>
      <c r="E132" s="68"/>
      <c r="F132" s="68">
        <f>ROUND(+D132*E132,4)</f>
        <v>0</v>
      </c>
      <c r="G132" s="71">
        <f>ROUND(+F132*0.03,4)</f>
        <v>0</v>
      </c>
      <c r="H132" s="45"/>
    </row>
    <row r="133" spans="2:8" x14ac:dyDescent="0.25">
      <c r="B133" s="47"/>
      <c r="C133" s="46"/>
      <c r="D133" s="67"/>
      <c r="E133" s="68"/>
      <c r="F133" s="68">
        <f>ROUND(+D133*E133,4)</f>
        <v>0</v>
      </c>
      <c r="G133" s="71">
        <f>ROUND(+F133*0.03,4)</f>
        <v>0</v>
      </c>
      <c r="H133" s="45"/>
    </row>
    <row r="134" spans="2:8" x14ac:dyDescent="0.25">
      <c r="B134" s="47"/>
      <c r="C134" s="46"/>
      <c r="D134" s="67"/>
      <c r="E134" s="68"/>
      <c r="F134" s="68">
        <f>ROUND(+D134*E134,4)</f>
        <v>0</v>
      </c>
      <c r="G134" s="71">
        <f>ROUND(+F134*0.03,4)</f>
        <v>0</v>
      </c>
      <c r="H134" s="45"/>
    </row>
    <row r="135" spans="2:8" x14ac:dyDescent="0.25">
      <c r="B135" s="47"/>
      <c r="C135" s="46"/>
      <c r="D135" s="67"/>
      <c r="E135" s="68"/>
      <c r="F135" s="68">
        <f>ROUND(+D135*E135,4)</f>
        <v>0</v>
      </c>
      <c r="G135" s="71">
        <f>ROUND(+F135*0.03,4)</f>
        <v>0</v>
      </c>
      <c r="H135" s="45"/>
    </row>
    <row r="136" spans="2:8" x14ac:dyDescent="0.25">
      <c r="B136" s="47"/>
      <c r="C136" s="46"/>
      <c r="D136" s="67"/>
      <c r="E136" s="68"/>
      <c r="F136" s="68">
        <f>ROUND(+D136*E136,4)</f>
        <v>0</v>
      </c>
      <c r="G136" s="71">
        <f>ROUND(+F136*0.03,4)</f>
        <v>0</v>
      </c>
      <c r="H136" s="45"/>
    </row>
    <row r="137" spans="2:8" x14ac:dyDescent="0.25">
      <c r="B137" s="47"/>
      <c r="C137" s="46"/>
      <c r="D137" s="67"/>
      <c r="E137" s="68"/>
      <c r="F137" s="68">
        <f>ROUND(+D137*E137,4)</f>
        <v>0</v>
      </c>
      <c r="G137" s="71">
        <f>ROUND(+F137*0.03,4)</f>
        <v>0</v>
      </c>
      <c r="H137" s="45"/>
    </row>
    <row r="138" spans="2:8" x14ac:dyDescent="0.25">
      <c r="B138" s="47"/>
      <c r="C138" s="46"/>
      <c r="D138" s="67"/>
      <c r="E138" s="68"/>
      <c r="F138" s="68">
        <f>ROUND(+D138*E138,4)</f>
        <v>0</v>
      </c>
      <c r="G138" s="71">
        <f>ROUND(+F138*0.03,4)</f>
        <v>0</v>
      </c>
      <c r="H138" s="45"/>
    </row>
    <row r="139" spans="2:8" x14ac:dyDescent="0.25">
      <c r="B139" s="47"/>
      <c r="C139" s="46"/>
      <c r="D139" s="67"/>
      <c r="E139" s="68"/>
      <c r="F139" s="68">
        <f>ROUND(+D139*E139,4)</f>
        <v>0</v>
      </c>
      <c r="G139" s="71">
        <f>ROUND(+F139*0.03,4)</f>
        <v>0</v>
      </c>
      <c r="H139" s="45"/>
    </row>
    <row r="140" spans="2:8" x14ac:dyDescent="0.25">
      <c r="B140" s="47"/>
      <c r="C140" s="46"/>
      <c r="D140" s="67"/>
      <c r="E140" s="68"/>
      <c r="F140" s="68">
        <f>ROUND(+D140*E140,4)</f>
        <v>0</v>
      </c>
      <c r="G140" s="71">
        <f>ROUND(+F140*0.03,4)</f>
        <v>0</v>
      </c>
      <c r="H140" s="45"/>
    </row>
    <row r="141" spans="2:8" x14ac:dyDescent="0.25">
      <c r="B141" s="47"/>
      <c r="C141" s="46"/>
      <c r="D141" s="67"/>
      <c r="E141" s="68"/>
      <c r="F141" s="68">
        <f>ROUND(+D141*E141,4)</f>
        <v>0</v>
      </c>
      <c r="G141" s="71">
        <f>ROUND(+F141*0.03,4)</f>
        <v>0</v>
      </c>
      <c r="H141" s="45"/>
    </row>
    <row r="142" spans="2:8" x14ac:dyDescent="0.25">
      <c r="B142" s="47"/>
      <c r="C142" s="46"/>
      <c r="D142" s="67"/>
      <c r="E142" s="68"/>
      <c r="F142" s="68">
        <f>ROUND(+D142*E142,4)</f>
        <v>0</v>
      </c>
      <c r="G142" s="71">
        <f>ROUND(+F142*0.03,4)</f>
        <v>0</v>
      </c>
      <c r="H142" s="45"/>
    </row>
    <row r="143" spans="2:8" x14ac:dyDescent="0.25">
      <c r="B143" s="47"/>
      <c r="C143" s="46"/>
      <c r="D143" s="67"/>
      <c r="E143" s="68"/>
      <c r="F143" s="68">
        <f>ROUND(+D143*E143,4)</f>
        <v>0</v>
      </c>
      <c r="G143" s="71">
        <f>ROUND(+F143*0.03,4)</f>
        <v>0</v>
      </c>
      <c r="H143" s="45"/>
    </row>
    <row r="144" spans="2:8" x14ac:dyDescent="0.25">
      <c r="B144" s="47"/>
      <c r="C144" s="46"/>
      <c r="D144" s="67"/>
      <c r="E144" s="68"/>
      <c r="F144" s="68">
        <f>ROUND(+D144*E144,4)</f>
        <v>0</v>
      </c>
      <c r="G144" s="71">
        <f>ROUND(+F144*0.03,4)</f>
        <v>0</v>
      </c>
      <c r="H144" s="45"/>
    </row>
    <row r="145" spans="2:8" x14ac:dyDescent="0.25">
      <c r="B145" s="47"/>
      <c r="C145" s="46"/>
      <c r="D145" s="67"/>
      <c r="E145" s="68"/>
      <c r="F145" s="68">
        <f>ROUND(+D145*E145,4)</f>
        <v>0</v>
      </c>
      <c r="G145" s="71">
        <f>ROUND(+F145*0.03,4)</f>
        <v>0</v>
      </c>
      <c r="H145" s="45"/>
    </row>
    <row r="146" spans="2:8" x14ac:dyDescent="0.25">
      <c r="B146" s="47"/>
      <c r="C146" s="46"/>
      <c r="D146" s="67"/>
      <c r="E146" s="68"/>
      <c r="F146" s="68">
        <f>ROUND(+D146*E146,4)</f>
        <v>0</v>
      </c>
      <c r="G146" s="71">
        <f>ROUND(+F146*0.03,4)</f>
        <v>0</v>
      </c>
      <c r="H146" s="45"/>
    </row>
    <row r="147" spans="2:8" x14ac:dyDescent="0.25">
      <c r="B147" s="47"/>
      <c r="C147" s="46"/>
      <c r="D147" s="67"/>
      <c r="E147" s="68"/>
      <c r="F147" s="68">
        <f>ROUND(+D147*E147,4)</f>
        <v>0</v>
      </c>
      <c r="G147" s="71">
        <f>ROUND(+F147*0.03,4)</f>
        <v>0</v>
      </c>
      <c r="H147" s="45"/>
    </row>
    <row r="148" spans="2:8" x14ac:dyDescent="0.25">
      <c r="B148" s="47"/>
      <c r="C148" s="46"/>
      <c r="D148" s="67"/>
      <c r="E148" s="68"/>
      <c r="F148" s="68">
        <f>ROUND(+D148*E148,4)</f>
        <v>0</v>
      </c>
      <c r="G148" s="71">
        <f>ROUND(+F148*0.03,4)</f>
        <v>0</v>
      </c>
      <c r="H148" s="45"/>
    </row>
    <row r="149" spans="2:8" x14ac:dyDescent="0.25">
      <c r="B149" s="47"/>
      <c r="C149" s="46"/>
      <c r="D149" s="67"/>
      <c r="E149" s="68"/>
      <c r="F149" s="68">
        <f>ROUND(+D149*E149,4)</f>
        <v>0</v>
      </c>
      <c r="G149" s="71">
        <f>ROUND(+F149*0.03,4)</f>
        <v>0</v>
      </c>
      <c r="H149" s="45"/>
    </row>
    <row r="150" spans="2:8" x14ac:dyDescent="0.25">
      <c r="B150" s="47"/>
      <c r="C150" s="46"/>
      <c r="D150" s="67"/>
      <c r="E150" s="68"/>
      <c r="F150" s="68">
        <f>ROUND(+D150*E150,4)</f>
        <v>0</v>
      </c>
      <c r="G150" s="71">
        <f>ROUND(+F150*0.03,4)</f>
        <v>0</v>
      </c>
      <c r="H150" s="45"/>
    </row>
    <row r="151" spans="2:8" x14ac:dyDescent="0.25">
      <c r="B151" s="47"/>
      <c r="C151" s="46"/>
      <c r="D151" s="67"/>
      <c r="E151" s="68"/>
      <c r="F151" s="68">
        <f>ROUND(+D151*E151,4)</f>
        <v>0</v>
      </c>
      <c r="G151" s="71">
        <f>ROUND(+F151*0.03,4)</f>
        <v>0</v>
      </c>
      <c r="H151" s="45"/>
    </row>
    <row r="152" spans="2:8" x14ac:dyDescent="0.25">
      <c r="B152" s="47"/>
      <c r="C152" s="46"/>
      <c r="D152" s="67"/>
      <c r="E152" s="68"/>
      <c r="F152" s="68">
        <f>ROUND(+D152*E152,4)</f>
        <v>0</v>
      </c>
      <c r="G152" s="71">
        <f>ROUND(+F152*0.03,4)</f>
        <v>0</v>
      </c>
      <c r="H152" s="45"/>
    </row>
    <row r="153" spans="2:8" x14ac:dyDescent="0.25">
      <c r="B153" s="47"/>
      <c r="C153" s="46"/>
      <c r="D153" s="67"/>
      <c r="E153" s="68"/>
      <c r="F153" s="68">
        <f>ROUND(+D153*E153,4)</f>
        <v>0</v>
      </c>
      <c r="G153" s="71">
        <f>ROUND(+F153*0.03,4)</f>
        <v>0</v>
      </c>
      <c r="H153" s="45"/>
    </row>
    <row r="154" spans="2:8" x14ac:dyDescent="0.25">
      <c r="B154" s="47"/>
      <c r="C154" s="46"/>
      <c r="D154" s="67"/>
      <c r="E154" s="68"/>
      <c r="F154" s="68">
        <f>ROUND(+D154*E154,4)</f>
        <v>0</v>
      </c>
      <c r="G154" s="71">
        <f>ROUND(+F154*0.03,4)</f>
        <v>0</v>
      </c>
      <c r="H154" s="45"/>
    </row>
    <row r="155" spans="2:8" x14ac:dyDescent="0.25">
      <c r="B155" s="47"/>
      <c r="C155" s="46"/>
      <c r="D155" s="67"/>
      <c r="E155" s="68"/>
      <c r="F155" s="68">
        <f>ROUND(+D155*E155,4)</f>
        <v>0</v>
      </c>
      <c r="G155" s="71">
        <f>ROUND(+F155*0.03,4)</f>
        <v>0</v>
      </c>
      <c r="H155" s="45"/>
    </row>
    <row r="156" spans="2:8" x14ac:dyDescent="0.25">
      <c r="B156" s="47"/>
      <c r="C156" s="46"/>
      <c r="D156" s="67"/>
      <c r="E156" s="68"/>
      <c r="F156" s="68">
        <f>ROUND(+D156*E156,4)</f>
        <v>0</v>
      </c>
      <c r="G156" s="71">
        <f>ROUND(+F156*0.03,4)</f>
        <v>0</v>
      </c>
      <c r="H156" s="45"/>
    </row>
    <row r="157" spans="2:8" x14ac:dyDescent="0.25">
      <c r="B157" s="47"/>
      <c r="C157" s="46"/>
      <c r="D157" s="67"/>
      <c r="E157" s="68"/>
      <c r="F157" s="68">
        <f>ROUND(+D157*E157,4)</f>
        <v>0</v>
      </c>
      <c r="G157" s="71">
        <f>ROUND(+F157*0.03,4)</f>
        <v>0</v>
      </c>
      <c r="H157" s="45"/>
    </row>
    <row r="158" spans="2:8" x14ac:dyDescent="0.25">
      <c r="B158" s="47"/>
      <c r="C158" s="46"/>
      <c r="D158" s="67"/>
      <c r="E158" s="68"/>
      <c r="F158" s="68">
        <f>ROUND(+D158*E158,4)</f>
        <v>0</v>
      </c>
      <c r="G158" s="71">
        <f>ROUND(+F158*0.03,4)</f>
        <v>0</v>
      </c>
      <c r="H158" s="45"/>
    </row>
    <row r="159" spans="2:8" x14ac:dyDescent="0.25">
      <c r="B159" s="47"/>
      <c r="C159" s="46"/>
      <c r="D159" s="67"/>
      <c r="E159" s="68"/>
      <c r="F159" s="68">
        <f>ROUND(+D159*E159,4)</f>
        <v>0</v>
      </c>
      <c r="G159" s="71">
        <f>ROUND(+F159*0.03,4)</f>
        <v>0</v>
      </c>
      <c r="H159" s="45"/>
    </row>
    <row r="160" spans="2:8" x14ac:dyDescent="0.25">
      <c r="B160" s="47"/>
      <c r="C160" s="46"/>
      <c r="D160" s="67"/>
      <c r="E160" s="68"/>
      <c r="F160" s="68">
        <f>ROUND(+D160*E160,4)</f>
        <v>0</v>
      </c>
      <c r="G160" s="71">
        <f>ROUND(+F160*0.03,4)</f>
        <v>0</v>
      </c>
      <c r="H160" s="45"/>
    </row>
    <row r="161" spans="2:8" x14ac:dyDescent="0.25">
      <c r="B161" s="47"/>
      <c r="C161" s="46"/>
      <c r="D161" s="67"/>
      <c r="E161" s="68"/>
      <c r="F161" s="68">
        <f>ROUND(+D161*E161,4)</f>
        <v>0</v>
      </c>
      <c r="G161" s="71">
        <f>ROUND(+F161*0.03,4)</f>
        <v>0</v>
      </c>
      <c r="H161" s="45"/>
    </row>
    <row r="162" spans="2:8" x14ac:dyDescent="0.25">
      <c r="B162" s="47"/>
      <c r="C162" s="46"/>
      <c r="D162" s="67"/>
      <c r="E162" s="68"/>
      <c r="F162" s="68">
        <f>ROUND(+D162*E162,4)</f>
        <v>0</v>
      </c>
      <c r="G162" s="71">
        <f>ROUND(+F162*0.03,4)</f>
        <v>0</v>
      </c>
      <c r="H162" s="45"/>
    </row>
    <row r="163" spans="2:8" x14ac:dyDescent="0.25">
      <c r="B163" s="47"/>
      <c r="C163" s="46"/>
      <c r="D163" s="67"/>
      <c r="E163" s="68"/>
      <c r="F163" s="68">
        <f>ROUND(+D163*E163,4)</f>
        <v>0</v>
      </c>
      <c r="G163" s="71">
        <f>ROUND(+F163*0.03,4)</f>
        <v>0</v>
      </c>
      <c r="H163" s="45"/>
    </row>
    <row r="164" spans="2:8" x14ac:dyDescent="0.25">
      <c r="B164" s="47"/>
      <c r="C164" s="46"/>
      <c r="D164" s="67"/>
      <c r="E164" s="68"/>
      <c r="F164" s="68">
        <f>ROUND(+D164*E164,4)</f>
        <v>0</v>
      </c>
      <c r="G164" s="71">
        <f>ROUND(+F164*0.03,4)</f>
        <v>0</v>
      </c>
      <c r="H164" s="45"/>
    </row>
    <row r="165" spans="2:8" x14ac:dyDescent="0.25">
      <c r="B165" s="47"/>
      <c r="C165" s="46"/>
      <c r="D165" s="67"/>
      <c r="E165" s="68"/>
      <c r="F165" s="68">
        <f>ROUND(+D165*E165,4)</f>
        <v>0</v>
      </c>
      <c r="G165" s="71">
        <f>ROUND(+F165*0.03,4)</f>
        <v>0</v>
      </c>
      <c r="H165" s="45"/>
    </row>
    <row r="166" spans="2:8" x14ac:dyDescent="0.25">
      <c r="B166" s="47"/>
      <c r="C166" s="46"/>
      <c r="D166" s="67"/>
      <c r="E166" s="68"/>
      <c r="F166" s="68">
        <f>ROUND(+D166*E166,4)</f>
        <v>0</v>
      </c>
      <c r="G166" s="71">
        <f>ROUND(+F166*0.03,4)</f>
        <v>0</v>
      </c>
      <c r="H166" s="45"/>
    </row>
    <row r="167" spans="2:8" x14ac:dyDescent="0.25">
      <c r="B167" s="47"/>
      <c r="C167" s="46"/>
      <c r="D167" s="67"/>
      <c r="E167" s="68"/>
      <c r="F167" s="68">
        <f>ROUND(+D167*E167,4)</f>
        <v>0</v>
      </c>
      <c r="G167" s="71">
        <f>ROUND(+F167*0.03,4)</f>
        <v>0</v>
      </c>
      <c r="H167" s="45"/>
    </row>
    <row r="168" spans="2:8" x14ac:dyDescent="0.25">
      <c r="B168" s="47"/>
      <c r="C168" s="46"/>
      <c r="D168" s="67"/>
      <c r="E168" s="68"/>
      <c r="F168" s="68">
        <f>ROUND(+D168*E168,4)</f>
        <v>0</v>
      </c>
      <c r="G168" s="71">
        <f>ROUND(+F168*0.03,4)</f>
        <v>0</v>
      </c>
      <c r="H168" s="45"/>
    </row>
    <row r="169" spans="2:8" x14ac:dyDescent="0.25">
      <c r="B169" s="47"/>
      <c r="C169" s="46"/>
      <c r="D169" s="67"/>
      <c r="E169" s="68"/>
      <c r="F169" s="68">
        <f>ROUND(+D169*E169,4)</f>
        <v>0</v>
      </c>
      <c r="G169" s="71">
        <f>ROUND(+F169*0.03,4)</f>
        <v>0</v>
      </c>
      <c r="H169" s="45"/>
    </row>
    <row r="170" spans="2:8" x14ac:dyDescent="0.25">
      <c r="B170" s="47"/>
      <c r="C170" s="46"/>
      <c r="D170" s="67"/>
      <c r="E170" s="68"/>
      <c r="F170" s="68">
        <f>ROUND(+D170*E170,4)</f>
        <v>0</v>
      </c>
      <c r="G170" s="71">
        <f>ROUND(+F170*0.03,4)</f>
        <v>0</v>
      </c>
      <c r="H170" s="45"/>
    </row>
    <row r="171" spans="2:8" x14ac:dyDescent="0.25">
      <c r="B171" s="47"/>
      <c r="C171" s="46"/>
      <c r="D171" s="67"/>
      <c r="E171" s="68"/>
      <c r="F171" s="68">
        <f>ROUND(+D171*E171,4)</f>
        <v>0</v>
      </c>
      <c r="G171" s="71">
        <f>ROUND(+F171*0.03,4)</f>
        <v>0</v>
      </c>
      <c r="H171" s="45"/>
    </row>
    <row r="172" spans="2:8" x14ac:dyDescent="0.25">
      <c r="B172" s="47"/>
      <c r="C172" s="46"/>
      <c r="D172" s="67"/>
      <c r="E172" s="68"/>
      <c r="F172" s="68">
        <f>ROUND(+D172*E172,4)</f>
        <v>0</v>
      </c>
      <c r="G172" s="71">
        <f>ROUND(+F172*0.03,4)</f>
        <v>0</v>
      </c>
      <c r="H172" s="45"/>
    </row>
    <row r="173" spans="2:8" x14ac:dyDescent="0.25">
      <c r="B173" s="47"/>
      <c r="C173" s="46"/>
      <c r="D173" s="67"/>
      <c r="E173" s="68"/>
      <c r="F173" s="68">
        <f>ROUND(+D173*E173,4)</f>
        <v>0</v>
      </c>
      <c r="G173" s="71">
        <f>ROUND(+F173*0.03,4)</f>
        <v>0</v>
      </c>
      <c r="H173" s="45"/>
    </row>
    <row r="174" spans="2:8" x14ac:dyDescent="0.25">
      <c r="B174" s="47"/>
      <c r="C174" s="46"/>
      <c r="D174" s="67"/>
      <c r="E174" s="68"/>
      <c r="F174" s="68">
        <f>ROUND(+D174*E174,4)</f>
        <v>0</v>
      </c>
      <c r="G174" s="71">
        <f>ROUND(+F174*0.03,4)</f>
        <v>0</v>
      </c>
      <c r="H174" s="45"/>
    </row>
    <row r="175" spans="2:8" x14ac:dyDescent="0.25">
      <c r="B175" s="47"/>
      <c r="C175" s="46"/>
      <c r="D175" s="67"/>
      <c r="E175" s="68"/>
      <c r="F175" s="68">
        <f>ROUND(+D175*E175,4)</f>
        <v>0</v>
      </c>
      <c r="G175" s="71">
        <f>ROUND(+F175*0.03,4)</f>
        <v>0</v>
      </c>
      <c r="H175" s="45"/>
    </row>
    <row r="176" spans="2:8" x14ac:dyDescent="0.25">
      <c r="B176" s="47"/>
      <c r="C176" s="46"/>
      <c r="D176" s="67"/>
      <c r="E176" s="68"/>
      <c r="F176" s="68">
        <f>ROUND(+D176*E176,4)</f>
        <v>0</v>
      </c>
      <c r="G176" s="71">
        <f>ROUND(+F176*0.03,4)</f>
        <v>0</v>
      </c>
      <c r="H176" s="45"/>
    </row>
    <row r="177" spans="2:8" x14ac:dyDescent="0.25">
      <c r="B177" s="47"/>
      <c r="C177" s="46"/>
      <c r="D177" s="67"/>
      <c r="E177" s="68"/>
      <c r="F177" s="68">
        <f>ROUND(+D177*E177,4)</f>
        <v>0</v>
      </c>
      <c r="G177" s="71">
        <f>ROUND(+F177*0.03,4)</f>
        <v>0</v>
      </c>
      <c r="H177" s="45"/>
    </row>
    <row r="178" spans="2:8" x14ac:dyDescent="0.25">
      <c r="B178" s="47"/>
      <c r="C178" s="46"/>
      <c r="D178" s="67"/>
      <c r="E178" s="68"/>
      <c r="F178" s="68">
        <f>ROUND(+D178*E178,4)</f>
        <v>0</v>
      </c>
      <c r="G178" s="71">
        <f>ROUND(+F178*0.03,4)</f>
        <v>0</v>
      </c>
      <c r="H178" s="45"/>
    </row>
    <row r="179" spans="2:8" x14ac:dyDescent="0.25">
      <c r="B179" s="47"/>
      <c r="C179" s="46"/>
      <c r="D179" s="67"/>
      <c r="E179" s="68"/>
      <c r="F179" s="68">
        <f>ROUND(+D179*E179,4)</f>
        <v>0</v>
      </c>
      <c r="G179" s="71">
        <f>ROUND(+F179*0.03,4)</f>
        <v>0</v>
      </c>
      <c r="H179" s="45"/>
    </row>
    <row r="180" spans="2:8" x14ac:dyDescent="0.25">
      <c r="B180" s="47"/>
      <c r="C180" s="46"/>
      <c r="D180" s="67"/>
      <c r="E180" s="68"/>
      <c r="F180" s="68">
        <f>ROUND(+D180*E180,4)</f>
        <v>0</v>
      </c>
      <c r="G180" s="71">
        <f>ROUND(+F180*0.03,4)</f>
        <v>0</v>
      </c>
      <c r="H180" s="45"/>
    </row>
    <row r="181" spans="2:8" x14ac:dyDescent="0.25">
      <c r="B181" s="47"/>
      <c r="C181" s="46"/>
      <c r="D181" s="67"/>
      <c r="E181" s="68"/>
      <c r="F181" s="68">
        <f>ROUND(+D181*E181,4)</f>
        <v>0</v>
      </c>
      <c r="G181" s="71">
        <f>ROUND(+F181*0.03,4)</f>
        <v>0</v>
      </c>
      <c r="H181" s="45"/>
    </row>
    <row r="182" spans="2:8" x14ac:dyDescent="0.25">
      <c r="B182" s="47"/>
      <c r="C182" s="46"/>
      <c r="D182" s="67"/>
      <c r="E182" s="68"/>
      <c r="F182" s="68">
        <f>ROUND(+D182*E182,4)</f>
        <v>0</v>
      </c>
      <c r="G182" s="71">
        <f>ROUND(+F182*0.03,4)</f>
        <v>0</v>
      </c>
      <c r="H182" s="45"/>
    </row>
    <row r="183" spans="2:8" x14ac:dyDescent="0.25">
      <c r="B183" s="47"/>
      <c r="C183" s="46"/>
      <c r="D183" s="67"/>
      <c r="E183" s="68"/>
      <c r="F183" s="68">
        <f>ROUND(+D183*E183,4)</f>
        <v>0</v>
      </c>
      <c r="G183" s="71">
        <f>ROUND(+F183*0.03,4)</f>
        <v>0</v>
      </c>
      <c r="H183" s="45"/>
    </row>
    <row r="184" spans="2:8" x14ac:dyDescent="0.25">
      <c r="B184" s="47"/>
      <c r="C184" s="46"/>
      <c r="D184" s="67"/>
      <c r="E184" s="68"/>
      <c r="F184" s="68">
        <f>ROUND(+D184*E184,4)</f>
        <v>0</v>
      </c>
      <c r="G184" s="71">
        <f>ROUND(+F184*0.03,4)</f>
        <v>0</v>
      </c>
      <c r="H184" s="45"/>
    </row>
    <row r="185" spans="2:8" x14ac:dyDescent="0.25">
      <c r="B185" s="47"/>
      <c r="C185" s="46"/>
      <c r="D185" s="67"/>
      <c r="E185" s="68"/>
      <c r="F185" s="68">
        <f>ROUND(+D185*E185,4)</f>
        <v>0</v>
      </c>
      <c r="G185" s="71">
        <f>ROUND(+F185*0.03,4)</f>
        <v>0</v>
      </c>
      <c r="H185" s="45"/>
    </row>
    <row r="186" spans="2:8" x14ac:dyDescent="0.25">
      <c r="B186" s="47"/>
      <c r="C186" s="46"/>
      <c r="D186" s="67"/>
      <c r="E186" s="68"/>
      <c r="F186" s="68">
        <f>ROUND(+D186*E186,4)</f>
        <v>0</v>
      </c>
      <c r="G186" s="71">
        <f>ROUND(+F186*0.03,4)</f>
        <v>0</v>
      </c>
      <c r="H186" s="45"/>
    </row>
    <row r="187" spans="2:8" x14ac:dyDescent="0.25">
      <c r="B187" s="47"/>
      <c r="C187" s="46"/>
      <c r="D187" s="67"/>
      <c r="E187" s="68"/>
      <c r="F187" s="68">
        <f>ROUND(+D187*E187,4)</f>
        <v>0</v>
      </c>
      <c r="G187" s="71">
        <f>ROUND(+F187*0.03,4)</f>
        <v>0</v>
      </c>
      <c r="H187" s="45"/>
    </row>
    <row r="188" spans="2:8" x14ac:dyDescent="0.25">
      <c r="B188" s="47"/>
      <c r="C188" s="46"/>
      <c r="D188" s="67"/>
      <c r="E188" s="68"/>
      <c r="F188" s="68">
        <f>ROUND(+D188*E188,4)</f>
        <v>0</v>
      </c>
      <c r="G188" s="71">
        <f>ROUND(+F188*0.03,4)</f>
        <v>0</v>
      </c>
      <c r="H188" s="45"/>
    </row>
    <row r="189" spans="2:8" x14ac:dyDescent="0.25">
      <c r="B189" s="47"/>
      <c r="C189" s="46"/>
      <c r="D189" s="67"/>
      <c r="E189" s="68"/>
      <c r="F189" s="68">
        <f>ROUND(+D189*E189,4)</f>
        <v>0</v>
      </c>
      <c r="G189" s="71">
        <f>ROUND(+F189*0.03,4)</f>
        <v>0</v>
      </c>
      <c r="H189" s="45"/>
    </row>
    <row r="190" spans="2:8" x14ac:dyDescent="0.25">
      <c r="B190" s="47"/>
      <c r="C190" s="46"/>
      <c r="D190" s="67"/>
      <c r="E190" s="68"/>
      <c r="F190" s="68">
        <f>ROUND(+D190*E190,4)</f>
        <v>0</v>
      </c>
      <c r="G190" s="71">
        <f>ROUND(+F190*0.03,4)</f>
        <v>0</v>
      </c>
      <c r="H190" s="45"/>
    </row>
    <row r="191" spans="2:8" x14ac:dyDescent="0.25">
      <c r="B191" s="47"/>
      <c r="C191" s="46"/>
      <c r="D191" s="67"/>
      <c r="E191" s="68"/>
      <c r="F191" s="68">
        <f>ROUND(+D191*E191,4)</f>
        <v>0</v>
      </c>
      <c r="G191" s="71">
        <f>ROUND(+F191*0.03,4)</f>
        <v>0</v>
      </c>
      <c r="H191" s="45"/>
    </row>
    <row r="192" spans="2:8" x14ac:dyDescent="0.25">
      <c r="B192" s="47"/>
      <c r="C192" s="46"/>
      <c r="D192" s="67"/>
      <c r="E192" s="68"/>
      <c r="F192" s="68">
        <f>ROUND(+D192*E192,4)</f>
        <v>0</v>
      </c>
      <c r="G192" s="71">
        <f>ROUND(+F192*0.03,4)</f>
        <v>0</v>
      </c>
      <c r="H192" s="45"/>
    </row>
    <row r="193" spans="2:8" x14ac:dyDescent="0.25">
      <c r="B193" s="47"/>
      <c r="C193" s="46"/>
      <c r="D193" s="67"/>
      <c r="E193" s="68"/>
      <c r="F193" s="68">
        <f>ROUND(+D193*E193,4)</f>
        <v>0</v>
      </c>
      <c r="G193" s="71">
        <f>ROUND(+F193*0.03,4)</f>
        <v>0</v>
      </c>
      <c r="H193" s="45"/>
    </row>
    <row r="194" spans="2:8" x14ac:dyDescent="0.25">
      <c r="B194" s="47"/>
      <c r="C194" s="46"/>
      <c r="D194" s="67"/>
      <c r="E194" s="68"/>
      <c r="F194" s="68">
        <f>ROUND(+D194*E194,4)</f>
        <v>0</v>
      </c>
      <c r="G194" s="71">
        <f>ROUND(+F194*0.03,4)</f>
        <v>0</v>
      </c>
      <c r="H194" s="45"/>
    </row>
    <row r="195" spans="2:8" x14ac:dyDescent="0.25">
      <c r="B195" s="47"/>
      <c r="C195" s="46"/>
      <c r="D195" s="67"/>
      <c r="E195" s="68"/>
      <c r="F195" s="68">
        <f>ROUND(+D195*E195,4)</f>
        <v>0</v>
      </c>
      <c r="G195" s="71">
        <f>ROUND(+F195*0.03,4)</f>
        <v>0</v>
      </c>
      <c r="H195" s="45"/>
    </row>
    <row r="196" spans="2:8" x14ac:dyDescent="0.25">
      <c r="B196" s="47"/>
      <c r="C196" s="46"/>
      <c r="D196" s="67"/>
      <c r="E196" s="68"/>
      <c r="F196" s="68">
        <f>ROUND(+D196*E196,4)</f>
        <v>0</v>
      </c>
      <c r="G196" s="71">
        <f>ROUND(+F196*0.03,4)</f>
        <v>0</v>
      </c>
      <c r="H196" s="45"/>
    </row>
    <row r="197" spans="2:8" x14ac:dyDescent="0.25">
      <c r="B197" s="47"/>
      <c r="C197" s="46"/>
      <c r="D197" s="67"/>
      <c r="E197" s="68"/>
      <c r="F197" s="68">
        <f>ROUND(+D197*E197,4)</f>
        <v>0</v>
      </c>
      <c r="G197" s="71">
        <f>ROUND(+F197*0.03,4)</f>
        <v>0</v>
      </c>
      <c r="H197" s="45"/>
    </row>
    <row r="198" spans="2:8" x14ac:dyDescent="0.25">
      <c r="B198" s="47"/>
      <c r="C198" s="46"/>
      <c r="D198" s="67"/>
      <c r="E198" s="68"/>
      <c r="F198" s="68">
        <f>ROUND(+D198*E198,4)</f>
        <v>0</v>
      </c>
      <c r="G198" s="71">
        <f>ROUND(+F198*0.03,4)</f>
        <v>0</v>
      </c>
      <c r="H198" s="45"/>
    </row>
    <row r="199" spans="2:8" x14ac:dyDescent="0.25">
      <c r="B199" s="47"/>
      <c r="C199" s="46"/>
      <c r="D199" s="67"/>
      <c r="E199" s="68"/>
      <c r="F199" s="68">
        <f>ROUND(+D199*E199,4)</f>
        <v>0</v>
      </c>
      <c r="G199" s="71">
        <f>ROUND(+F199*0.03,4)</f>
        <v>0</v>
      </c>
      <c r="H199" s="45"/>
    </row>
    <row r="200" spans="2:8" x14ac:dyDescent="0.25">
      <c r="B200" s="47"/>
      <c r="C200" s="46"/>
      <c r="D200" s="67"/>
      <c r="E200" s="68"/>
      <c r="F200" s="68">
        <f>ROUND(+D200*E200,4)</f>
        <v>0</v>
      </c>
      <c r="G200" s="71">
        <f>ROUND(+F200*0.03,4)</f>
        <v>0</v>
      </c>
      <c r="H200" s="45"/>
    </row>
    <row r="201" spans="2:8" x14ac:dyDescent="0.25">
      <c r="B201" s="47"/>
      <c r="C201" s="46"/>
      <c r="D201" s="67"/>
      <c r="E201" s="68"/>
      <c r="F201" s="68">
        <f>ROUND(+D201*E201,4)</f>
        <v>0</v>
      </c>
      <c r="G201" s="71">
        <f>ROUND(+F201*0.03,4)</f>
        <v>0</v>
      </c>
      <c r="H201" s="45"/>
    </row>
    <row r="202" spans="2:8" x14ac:dyDescent="0.25">
      <c r="B202" s="47"/>
      <c r="C202" s="46"/>
      <c r="D202" s="67"/>
      <c r="E202" s="68"/>
      <c r="F202" s="68">
        <f>ROUND(+D202*E202,4)</f>
        <v>0</v>
      </c>
      <c r="G202" s="71">
        <f>ROUND(+F202*0.03,4)</f>
        <v>0</v>
      </c>
      <c r="H202" s="45"/>
    </row>
    <row r="203" spans="2:8" x14ac:dyDescent="0.25">
      <c r="B203" s="47"/>
      <c r="C203" s="46"/>
      <c r="D203" s="67"/>
      <c r="E203" s="68"/>
      <c r="F203" s="68">
        <f>ROUND(+D203*E203,4)</f>
        <v>0</v>
      </c>
      <c r="G203" s="71">
        <f>ROUND(+F203*0.03,4)</f>
        <v>0</v>
      </c>
      <c r="H203" s="45"/>
    </row>
    <row r="204" spans="2:8" x14ac:dyDescent="0.25">
      <c r="B204" s="47"/>
      <c r="C204" s="46"/>
      <c r="D204" s="67"/>
      <c r="E204" s="68"/>
      <c r="F204" s="68">
        <f>ROUND(+D204*E204,4)</f>
        <v>0</v>
      </c>
      <c r="G204" s="71">
        <f>ROUND(+F204*0.03,4)</f>
        <v>0</v>
      </c>
      <c r="H204" s="45"/>
    </row>
    <row r="205" spans="2:8" x14ac:dyDescent="0.25">
      <c r="B205" s="47"/>
      <c r="C205" s="46"/>
      <c r="D205" s="67"/>
      <c r="E205" s="68"/>
      <c r="F205" s="68">
        <f>ROUND(+D205*E205,4)</f>
        <v>0</v>
      </c>
      <c r="G205" s="71">
        <f>ROUND(+F205*0.03,4)</f>
        <v>0</v>
      </c>
      <c r="H205" s="45"/>
    </row>
    <row r="206" spans="2:8" x14ac:dyDescent="0.25">
      <c r="B206" s="47"/>
      <c r="C206" s="46"/>
      <c r="D206" s="67"/>
      <c r="E206" s="68"/>
      <c r="F206" s="68">
        <f>ROUND(+D206*E206,4)</f>
        <v>0</v>
      </c>
      <c r="G206" s="71">
        <f>ROUND(+F206*0.03,4)</f>
        <v>0</v>
      </c>
      <c r="H206" s="45"/>
    </row>
    <row r="207" spans="2:8" x14ac:dyDescent="0.25">
      <c r="B207" s="47"/>
      <c r="C207" s="46"/>
      <c r="D207" s="67"/>
      <c r="E207" s="68"/>
      <c r="F207" s="68">
        <f>ROUND(+D207*E207,4)</f>
        <v>0</v>
      </c>
      <c r="G207" s="71">
        <f>ROUND(+F207*0.03,4)</f>
        <v>0</v>
      </c>
      <c r="H207" s="45"/>
    </row>
    <row r="208" spans="2:8" x14ac:dyDescent="0.25">
      <c r="B208" s="47"/>
      <c r="C208" s="46"/>
      <c r="D208" s="67"/>
      <c r="E208" s="68"/>
      <c r="F208" s="68">
        <f>ROUND(+D208*E208,4)</f>
        <v>0</v>
      </c>
      <c r="G208" s="71">
        <f>ROUND(+F208*0.03,4)</f>
        <v>0</v>
      </c>
      <c r="H208" s="45"/>
    </row>
    <row r="209" spans="2:8" x14ac:dyDescent="0.25">
      <c r="B209" s="47"/>
      <c r="C209" s="46"/>
      <c r="D209" s="67"/>
      <c r="E209" s="68"/>
      <c r="F209" s="68">
        <f>ROUND(+D209*E209,4)</f>
        <v>0</v>
      </c>
      <c r="G209" s="71">
        <f>ROUND(+F209*0.03,4)</f>
        <v>0</v>
      </c>
      <c r="H209" s="45"/>
    </row>
    <row r="210" spans="2:8" x14ac:dyDescent="0.25">
      <c r="B210" s="47"/>
      <c r="C210" s="46"/>
      <c r="D210" s="67"/>
      <c r="E210" s="68"/>
      <c r="F210" s="68">
        <f>ROUND(+D210*E210,4)</f>
        <v>0</v>
      </c>
      <c r="G210" s="71">
        <f>ROUND(+F210*0.03,4)</f>
        <v>0</v>
      </c>
      <c r="H210" s="45"/>
    </row>
    <row r="211" spans="2:8" x14ac:dyDescent="0.25">
      <c r="B211" s="47"/>
      <c r="C211" s="46"/>
      <c r="D211" s="67"/>
      <c r="E211" s="68"/>
      <c r="F211" s="68">
        <f>ROUND(+D211*E211,4)</f>
        <v>0</v>
      </c>
      <c r="G211" s="71">
        <f>ROUND(+F211*0.03,4)</f>
        <v>0</v>
      </c>
      <c r="H211" s="45"/>
    </row>
    <row r="212" spans="2:8" x14ac:dyDescent="0.25">
      <c r="B212" s="47"/>
      <c r="C212" s="46"/>
      <c r="D212" s="67"/>
      <c r="E212" s="68"/>
      <c r="F212" s="68">
        <f>ROUND(+D212*E212,4)</f>
        <v>0</v>
      </c>
      <c r="G212" s="71">
        <f>ROUND(+F212*0.03,4)</f>
        <v>0</v>
      </c>
      <c r="H212" s="45"/>
    </row>
    <row r="213" spans="2:8" x14ac:dyDescent="0.25">
      <c r="B213" s="47"/>
      <c r="C213" s="46"/>
      <c r="D213" s="67"/>
      <c r="E213" s="68"/>
      <c r="F213" s="68">
        <f>ROUND(+D213*E213,4)</f>
        <v>0</v>
      </c>
      <c r="G213" s="71">
        <f>ROUND(+F213*0.03,4)</f>
        <v>0</v>
      </c>
      <c r="H213" s="45"/>
    </row>
    <row r="214" spans="2:8" x14ac:dyDescent="0.25">
      <c r="B214" s="47"/>
      <c r="C214" s="46"/>
      <c r="D214" s="67"/>
      <c r="E214" s="68"/>
      <c r="F214" s="68">
        <f>ROUND(+D214*E214,4)</f>
        <v>0</v>
      </c>
      <c r="G214" s="71">
        <f>ROUND(+F214*0.03,4)</f>
        <v>0</v>
      </c>
      <c r="H214" s="45"/>
    </row>
    <row r="215" spans="2:8" x14ac:dyDescent="0.25">
      <c r="B215" s="47"/>
      <c r="C215" s="46"/>
      <c r="D215" s="67"/>
      <c r="E215" s="68"/>
      <c r="F215" s="68">
        <f>ROUND(+D215*E215,4)</f>
        <v>0</v>
      </c>
      <c r="G215" s="71">
        <f>ROUND(+F215*0.03,4)</f>
        <v>0</v>
      </c>
      <c r="H215" s="45"/>
    </row>
    <row r="216" spans="2:8" x14ac:dyDescent="0.25">
      <c r="B216" s="47"/>
      <c r="C216" s="46"/>
      <c r="D216" s="67"/>
      <c r="E216" s="68"/>
      <c r="F216" s="68">
        <f>ROUND(+D216*E216,4)</f>
        <v>0</v>
      </c>
      <c r="G216" s="71">
        <f>ROUND(+F216*0.03,4)</f>
        <v>0</v>
      </c>
      <c r="H216" s="45"/>
    </row>
    <row r="217" spans="2:8" x14ac:dyDescent="0.25">
      <c r="B217" s="47"/>
      <c r="C217" s="46"/>
      <c r="D217" s="67"/>
      <c r="E217" s="68"/>
      <c r="F217" s="68">
        <f>ROUND(+D217*E217,4)</f>
        <v>0</v>
      </c>
      <c r="G217" s="71">
        <f>ROUND(+F217*0.03,4)</f>
        <v>0</v>
      </c>
      <c r="H217" s="45"/>
    </row>
    <row r="218" spans="2:8" x14ac:dyDescent="0.25">
      <c r="B218" s="47"/>
      <c r="C218" s="46"/>
      <c r="D218" s="67"/>
      <c r="E218" s="68"/>
      <c r="F218" s="68">
        <f>ROUND(+D218*E218,4)</f>
        <v>0</v>
      </c>
      <c r="G218" s="71">
        <f>ROUND(+F218*0.03,4)</f>
        <v>0</v>
      </c>
      <c r="H218" s="45"/>
    </row>
    <row r="219" spans="2:8" x14ac:dyDescent="0.25">
      <c r="B219" s="47"/>
      <c r="C219" s="46"/>
      <c r="D219" s="67"/>
      <c r="E219" s="68"/>
      <c r="F219" s="68">
        <f>ROUND(+D219*E219,4)</f>
        <v>0</v>
      </c>
      <c r="G219" s="71">
        <f>ROUND(+F219*0.03,4)</f>
        <v>0</v>
      </c>
      <c r="H219" s="45"/>
    </row>
    <row r="220" spans="2:8" x14ac:dyDescent="0.25">
      <c r="B220" s="47"/>
      <c r="C220" s="46"/>
      <c r="D220" s="67"/>
      <c r="E220" s="68"/>
      <c r="F220" s="68">
        <f>ROUND(+D220*E220,4)</f>
        <v>0</v>
      </c>
      <c r="G220" s="71">
        <f>ROUND(+F220*0.03,4)</f>
        <v>0</v>
      </c>
      <c r="H220" s="45"/>
    </row>
    <row r="221" spans="2:8" x14ac:dyDescent="0.25">
      <c r="B221" s="47"/>
      <c r="C221" s="46"/>
      <c r="D221" s="67"/>
      <c r="E221" s="68"/>
      <c r="F221" s="68">
        <f>ROUND(+D221*E221,4)</f>
        <v>0</v>
      </c>
      <c r="G221" s="71">
        <f>ROUND(+F221*0.03,4)</f>
        <v>0</v>
      </c>
      <c r="H221" s="45"/>
    </row>
    <row r="222" spans="2:8" x14ac:dyDescent="0.25">
      <c r="B222" s="47"/>
      <c r="C222" s="46"/>
      <c r="D222" s="67"/>
      <c r="E222" s="68"/>
      <c r="F222" s="68">
        <f>ROUND(+D222*E222,4)</f>
        <v>0</v>
      </c>
      <c r="G222" s="71">
        <f>ROUND(+F222*0.03,4)</f>
        <v>0</v>
      </c>
      <c r="H222" s="45"/>
    </row>
    <row r="223" spans="2:8" x14ac:dyDescent="0.25">
      <c r="B223" s="47"/>
      <c r="C223" s="46"/>
      <c r="D223" s="67"/>
      <c r="E223" s="68"/>
      <c r="F223" s="68">
        <f>ROUND(+D223*E223,4)</f>
        <v>0</v>
      </c>
      <c r="G223" s="71">
        <f>ROUND(+F223*0.03,4)</f>
        <v>0</v>
      </c>
      <c r="H223" s="45"/>
    </row>
    <row r="224" spans="2:8" x14ac:dyDescent="0.25">
      <c r="B224" s="47"/>
      <c r="C224" s="46"/>
      <c r="D224" s="67"/>
      <c r="E224" s="68"/>
      <c r="F224" s="68">
        <f>ROUND(+D224*E224,4)</f>
        <v>0</v>
      </c>
      <c r="G224" s="71">
        <f>ROUND(+F224*0.03,4)</f>
        <v>0</v>
      </c>
      <c r="H224" s="45"/>
    </row>
    <row r="225" spans="2:8" x14ac:dyDescent="0.25">
      <c r="B225" s="47"/>
      <c r="C225" s="46"/>
      <c r="D225" s="67"/>
      <c r="E225" s="68"/>
      <c r="F225" s="68">
        <f>ROUND(+D225*E225,4)</f>
        <v>0</v>
      </c>
      <c r="G225" s="71">
        <f>ROUND(+F225*0.03,4)</f>
        <v>0</v>
      </c>
      <c r="H225" s="45"/>
    </row>
    <row r="226" spans="2:8" x14ac:dyDescent="0.25">
      <c r="B226" s="47"/>
      <c r="C226" s="46"/>
      <c r="D226" s="67"/>
      <c r="E226" s="68"/>
      <c r="F226" s="68">
        <f>ROUND(+D226*E226,4)</f>
        <v>0</v>
      </c>
      <c r="G226" s="71">
        <f>ROUND(+F226*0.03,4)</f>
        <v>0</v>
      </c>
      <c r="H226" s="45"/>
    </row>
    <row r="227" spans="2:8" x14ac:dyDescent="0.25">
      <c r="B227" s="47"/>
      <c r="C227" s="46"/>
      <c r="D227" s="67"/>
      <c r="E227" s="68"/>
      <c r="F227" s="68">
        <f>ROUND(+D227*E227,4)</f>
        <v>0</v>
      </c>
      <c r="G227" s="71">
        <f>ROUND(+F227*0.03,4)</f>
        <v>0</v>
      </c>
      <c r="H227" s="45"/>
    </row>
    <row r="228" spans="2:8" x14ac:dyDescent="0.25">
      <c r="B228" s="47"/>
      <c r="C228" s="46"/>
      <c r="D228" s="67"/>
      <c r="E228" s="68"/>
      <c r="F228" s="68">
        <f>ROUND(+D228*E228,4)</f>
        <v>0</v>
      </c>
      <c r="G228" s="71">
        <f>ROUND(+F228*0.03,4)</f>
        <v>0</v>
      </c>
      <c r="H228" s="45"/>
    </row>
    <row r="229" spans="2:8" x14ac:dyDescent="0.25">
      <c r="B229" s="47"/>
      <c r="C229" s="46"/>
      <c r="D229" s="67"/>
      <c r="E229" s="68"/>
      <c r="F229" s="68">
        <f>ROUND(+D229*E229,4)</f>
        <v>0</v>
      </c>
      <c r="G229" s="71">
        <f>ROUND(+F229*0.03,4)</f>
        <v>0</v>
      </c>
      <c r="H229" s="45"/>
    </row>
    <row r="230" spans="2:8" x14ac:dyDescent="0.25">
      <c r="B230" s="47"/>
      <c r="C230" s="46"/>
      <c r="D230" s="67"/>
      <c r="E230" s="68"/>
      <c r="F230" s="68">
        <f>ROUND(+D230*E230,4)</f>
        <v>0</v>
      </c>
      <c r="G230" s="71">
        <f>ROUND(+F230*0.03,4)</f>
        <v>0</v>
      </c>
      <c r="H230" s="45"/>
    </row>
    <row r="231" spans="2:8" x14ac:dyDescent="0.25">
      <c r="B231" s="47"/>
      <c r="C231" s="46"/>
      <c r="D231" s="67"/>
      <c r="E231" s="68"/>
      <c r="F231" s="68">
        <f>ROUND(+D231*E231,4)</f>
        <v>0</v>
      </c>
      <c r="G231" s="71">
        <f>ROUND(+F231*0.03,4)</f>
        <v>0</v>
      </c>
      <c r="H231" s="45"/>
    </row>
    <row r="232" spans="2:8" x14ac:dyDescent="0.25">
      <c r="B232" s="47"/>
      <c r="C232" s="46"/>
      <c r="D232" s="67"/>
      <c r="E232" s="68"/>
      <c r="F232" s="68">
        <f>ROUND(+D232*E232,4)</f>
        <v>0</v>
      </c>
      <c r="G232" s="71">
        <f>ROUND(+F232*0.03,4)</f>
        <v>0</v>
      </c>
      <c r="H232" s="45"/>
    </row>
    <row r="233" spans="2:8" x14ac:dyDescent="0.25">
      <c r="B233" s="47"/>
      <c r="C233" s="46"/>
      <c r="D233" s="67"/>
      <c r="E233" s="68"/>
      <c r="F233" s="68">
        <f>ROUND(+D233*E233,4)</f>
        <v>0</v>
      </c>
      <c r="G233" s="71">
        <f>ROUND(+F233*0.03,4)</f>
        <v>0</v>
      </c>
      <c r="H233" s="45"/>
    </row>
    <row r="234" spans="2:8" x14ac:dyDescent="0.25">
      <c r="B234" s="47"/>
      <c r="C234" s="46"/>
      <c r="D234" s="67"/>
      <c r="E234" s="68"/>
      <c r="F234" s="68">
        <f>ROUND(+D234*E234,4)</f>
        <v>0</v>
      </c>
      <c r="G234" s="71">
        <f>ROUND(+F234*0.03,4)</f>
        <v>0</v>
      </c>
      <c r="H234" s="45"/>
    </row>
    <row r="235" spans="2:8" x14ac:dyDescent="0.25">
      <c r="B235" s="47"/>
      <c r="C235" s="46"/>
      <c r="D235" s="67"/>
      <c r="E235" s="68"/>
      <c r="F235" s="68">
        <f>ROUND(+D235*E235,4)</f>
        <v>0</v>
      </c>
      <c r="G235" s="71">
        <f>ROUND(+F235*0.03,4)</f>
        <v>0</v>
      </c>
      <c r="H235" s="45"/>
    </row>
    <row r="236" spans="2:8" x14ac:dyDescent="0.25">
      <c r="B236" s="47"/>
      <c r="C236" s="46"/>
      <c r="D236" s="67"/>
      <c r="E236" s="68"/>
      <c r="F236" s="68">
        <f>ROUND(+D236*E236,4)</f>
        <v>0</v>
      </c>
      <c r="G236" s="71">
        <f>ROUND(+F236*0.03,4)</f>
        <v>0</v>
      </c>
      <c r="H236" s="45"/>
    </row>
    <row r="237" spans="2:8" x14ac:dyDescent="0.25">
      <c r="B237" s="47"/>
      <c r="C237" s="46"/>
      <c r="D237" s="67"/>
      <c r="E237" s="68"/>
      <c r="F237" s="68">
        <f>ROUND(+D237*E237,4)</f>
        <v>0</v>
      </c>
      <c r="G237" s="71">
        <f>ROUND(+F237*0.03,4)</f>
        <v>0</v>
      </c>
      <c r="H237" s="45"/>
    </row>
    <row r="238" spans="2:8" x14ac:dyDescent="0.25">
      <c r="B238" s="47"/>
      <c r="C238" s="46"/>
      <c r="D238" s="67"/>
      <c r="E238" s="68"/>
      <c r="F238" s="68">
        <f>ROUND(+D238*E238,4)</f>
        <v>0</v>
      </c>
      <c r="G238" s="71">
        <f>ROUND(+F238*0.03,4)</f>
        <v>0</v>
      </c>
      <c r="H238" s="45"/>
    </row>
    <row r="239" spans="2:8" x14ac:dyDescent="0.25">
      <c r="B239" s="47"/>
      <c r="C239" s="46"/>
      <c r="D239" s="67"/>
      <c r="E239" s="68"/>
      <c r="F239" s="68">
        <f>ROUND(+D239*E239,4)</f>
        <v>0</v>
      </c>
      <c r="G239" s="71">
        <f>ROUND(+F239*0.03,4)</f>
        <v>0</v>
      </c>
      <c r="H239" s="45"/>
    </row>
    <row r="240" spans="2:8" x14ac:dyDescent="0.25">
      <c r="B240" s="47"/>
      <c r="C240" s="46"/>
      <c r="D240" s="67"/>
      <c r="E240" s="68"/>
      <c r="F240" s="68">
        <f>ROUND(+D240*E240,4)</f>
        <v>0</v>
      </c>
      <c r="G240" s="71">
        <f>ROUND(+F240*0.03,4)</f>
        <v>0</v>
      </c>
      <c r="H240" s="45"/>
    </row>
    <row r="241" spans="2:8" x14ac:dyDescent="0.25">
      <c r="B241" s="47"/>
      <c r="C241" s="46"/>
      <c r="D241" s="67"/>
      <c r="E241" s="68"/>
      <c r="F241" s="68">
        <f>ROUND(+D241*E241,4)</f>
        <v>0</v>
      </c>
      <c r="G241" s="71">
        <f>ROUND(+F241*0.03,4)</f>
        <v>0</v>
      </c>
      <c r="H241" s="45"/>
    </row>
    <row r="242" spans="2:8" x14ac:dyDescent="0.25">
      <c r="B242" s="47"/>
      <c r="C242" s="46"/>
      <c r="D242" s="67"/>
      <c r="E242" s="68"/>
      <c r="F242" s="68">
        <f>ROUND(+D242*E242,4)</f>
        <v>0</v>
      </c>
      <c r="G242" s="71">
        <f>ROUND(+F242*0.03,4)</f>
        <v>0</v>
      </c>
      <c r="H242" s="45"/>
    </row>
    <row r="243" spans="2:8" x14ac:dyDescent="0.25">
      <c r="B243" s="47"/>
      <c r="C243" s="46"/>
      <c r="D243" s="67"/>
      <c r="E243" s="68"/>
      <c r="F243" s="68">
        <f>ROUND(+D243*E243,4)</f>
        <v>0</v>
      </c>
      <c r="G243" s="71">
        <f>ROUND(+F243*0.03,4)</f>
        <v>0</v>
      </c>
      <c r="H243" s="45"/>
    </row>
    <row r="244" spans="2:8" x14ac:dyDescent="0.25">
      <c r="B244" s="47"/>
      <c r="C244" s="46"/>
      <c r="D244" s="67"/>
      <c r="E244" s="68"/>
      <c r="F244" s="68">
        <f>ROUND(+D244*E244,4)</f>
        <v>0</v>
      </c>
      <c r="G244" s="71">
        <f>ROUND(+F244*0.03,4)</f>
        <v>0</v>
      </c>
      <c r="H244" s="45"/>
    </row>
    <row r="245" spans="2:8" x14ac:dyDescent="0.25">
      <c r="B245" s="47"/>
      <c r="C245" s="46"/>
      <c r="D245" s="67"/>
      <c r="E245" s="68"/>
      <c r="F245" s="68">
        <f>ROUND(+D245*E245,4)</f>
        <v>0</v>
      </c>
      <c r="G245" s="71">
        <f>ROUND(+F245*0.03,4)</f>
        <v>0</v>
      </c>
      <c r="H245" s="45"/>
    </row>
    <row r="246" spans="2:8" x14ac:dyDescent="0.25">
      <c r="B246" s="47"/>
      <c r="C246" s="46"/>
      <c r="D246" s="67"/>
      <c r="E246" s="68"/>
      <c r="F246" s="68">
        <f>ROUND(+D246*E246,4)</f>
        <v>0</v>
      </c>
      <c r="G246" s="71">
        <f>ROUND(+F246*0.03,4)</f>
        <v>0</v>
      </c>
      <c r="H246" s="45"/>
    </row>
    <row r="247" spans="2:8" x14ac:dyDescent="0.25">
      <c r="B247" s="47"/>
      <c r="C247" s="46"/>
      <c r="D247" s="67"/>
      <c r="E247" s="68"/>
      <c r="F247" s="68">
        <f>ROUND(+D247*E247,4)</f>
        <v>0</v>
      </c>
      <c r="G247" s="71">
        <f>ROUND(+F247*0.03,4)</f>
        <v>0</v>
      </c>
      <c r="H247" s="45"/>
    </row>
    <row r="248" spans="2:8" x14ac:dyDescent="0.25">
      <c r="B248" s="47"/>
      <c r="C248" s="46"/>
      <c r="D248" s="67"/>
      <c r="E248" s="68"/>
      <c r="F248" s="68">
        <f>ROUND(+D248*E248,4)</f>
        <v>0</v>
      </c>
      <c r="G248" s="71">
        <f>ROUND(+F248*0.03,4)</f>
        <v>0</v>
      </c>
      <c r="H248" s="45"/>
    </row>
    <row r="249" spans="2:8" x14ac:dyDescent="0.25">
      <c r="B249" s="47"/>
      <c r="C249" s="46"/>
      <c r="D249" s="67"/>
      <c r="E249" s="68"/>
      <c r="F249" s="68">
        <f>ROUND(+D249*E249,4)</f>
        <v>0</v>
      </c>
      <c r="G249" s="71">
        <f>ROUND(+F249*0.03,4)</f>
        <v>0</v>
      </c>
      <c r="H249" s="45"/>
    </row>
    <row r="250" spans="2:8" x14ac:dyDescent="0.25">
      <c r="B250" s="47"/>
      <c r="C250" s="46"/>
      <c r="D250" s="67"/>
      <c r="E250" s="68"/>
      <c r="F250" s="68">
        <f>ROUND(+D250*E250,4)</f>
        <v>0</v>
      </c>
      <c r="G250" s="71">
        <f>ROUND(+F250*0.03,4)</f>
        <v>0</v>
      </c>
      <c r="H250" s="45"/>
    </row>
    <row r="251" spans="2:8" x14ac:dyDescent="0.25">
      <c r="B251" s="47"/>
      <c r="C251" s="46"/>
      <c r="D251" s="67"/>
      <c r="E251" s="68"/>
      <c r="F251" s="68">
        <f>ROUND(+D251*E251,4)</f>
        <v>0</v>
      </c>
      <c r="G251" s="71">
        <f>ROUND(+F251*0.03,4)</f>
        <v>0</v>
      </c>
      <c r="H251" s="45"/>
    </row>
    <row r="252" spans="2:8" x14ac:dyDescent="0.25">
      <c r="B252" s="47"/>
      <c r="C252" s="46"/>
      <c r="D252" s="67"/>
      <c r="E252" s="68"/>
      <c r="F252" s="68">
        <f>ROUND(+D252*E252,4)</f>
        <v>0</v>
      </c>
      <c r="G252" s="71">
        <f>ROUND(+F252*0.03,4)</f>
        <v>0</v>
      </c>
      <c r="H252" s="45"/>
    </row>
    <row r="253" spans="2:8" x14ac:dyDescent="0.25">
      <c r="B253" s="47"/>
      <c r="C253" s="46"/>
      <c r="D253" s="67"/>
      <c r="E253" s="68"/>
      <c r="F253" s="68">
        <f>ROUND(+D253*E253,4)</f>
        <v>0</v>
      </c>
      <c r="G253" s="71">
        <f>ROUND(+F253*0.03,4)</f>
        <v>0</v>
      </c>
      <c r="H253" s="45"/>
    </row>
    <row r="254" spans="2:8" x14ac:dyDescent="0.25">
      <c r="B254" s="47"/>
      <c r="C254" s="46"/>
      <c r="D254" s="67"/>
      <c r="E254" s="68"/>
      <c r="F254" s="68">
        <f>ROUND(+D254*E254,4)</f>
        <v>0</v>
      </c>
      <c r="G254" s="71">
        <f>ROUND(+F254*0.03,4)</f>
        <v>0</v>
      </c>
      <c r="H254" s="45"/>
    </row>
    <row r="255" spans="2:8" x14ac:dyDescent="0.25">
      <c r="B255" s="47"/>
      <c r="C255" s="46"/>
      <c r="D255" s="67"/>
      <c r="E255" s="68"/>
      <c r="F255" s="68">
        <f>ROUND(+D255*E255,4)</f>
        <v>0</v>
      </c>
      <c r="G255" s="71">
        <f>ROUND(+F255*0.03,4)</f>
        <v>0</v>
      </c>
      <c r="H255" s="45"/>
    </row>
    <row r="256" spans="2:8" x14ac:dyDescent="0.25">
      <c r="B256" s="47"/>
      <c r="C256" s="46"/>
      <c r="D256" s="67"/>
      <c r="E256" s="68"/>
      <c r="F256" s="68">
        <f>ROUND(+D256*E256,4)</f>
        <v>0</v>
      </c>
      <c r="G256" s="71">
        <f>ROUND(+F256*0.03,4)</f>
        <v>0</v>
      </c>
      <c r="H256" s="45"/>
    </row>
    <row r="257" spans="2:8" x14ac:dyDescent="0.25">
      <c r="B257" s="47"/>
      <c r="C257" s="46"/>
      <c r="D257" s="67"/>
      <c r="E257" s="68"/>
      <c r="F257" s="68">
        <f>ROUND(+D257*E257,4)</f>
        <v>0</v>
      </c>
      <c r="G257" s="71">
        <f>ROUND(+F257*0.03,4)</f>
        <v>0</v>
      </c>
      <c r="H257" s="45"/>
    </row>
    <row r="258" spans="2:8" x14ac:dyDescent="0.25">
      <c r="B258" s="47"/>
      <c r="C258" s="46"/>
      <c r="D258" s="67"/>
      <c r="E258" s="68"/>
      <c r="F258" s="68">
        <f>ROUND(+D258*E258,4)</f>
        <v>0</v>
      </c>
      <c r="G258" s="71">
        <f>ROUND(+F258*0.03,4)</f>
        <v>0</v>
      </c>
      <c r="H258" s="45"/>
    </row>
    <row r="259" spans="2:8" x14ac:dyDescent="0.25">
      <c r="B259" s="47"/>
      <c r="C259" s="46"/>
      <c r="D259" s="67"/>
      <c r="E259" s="68"/>
      <c r="F259" s="68">
        <f>ROUND(+D259*E259,4)</f>
        <v>0</v>
      </c>
      <c r="G259" s="71">
        <f>ROUND(+F259*0.03,4)</f>
        <v>0</v>
      </c>
      <c r="H259" s="45"/>
    </row>
    <row r="260" spans="2:8" x14ac:dyDescent="0.25">
      <c r="B260" s="47"/>
      <c r="C260" s="46"/>
      <c r="D260" s="67"/>
      <c r="E260" s="68"/>
      <c r="F260" s="68">
        <f>ROUND(+D260*E260,4)</f>
        <v>0</v>
      </c>
      <c r="G260" s="71">
        <f>ROUND(+F260*0.03,4)</f>
        <v>0</v>
      </c>
      <c r="H260" s="45"/>
    </row>
    <row r="261" spans="2:8" x14ac:dyDescent="0.25">
      <c r="B261" s="47"/>
      <c r="C261" s="46"/>
      <c r="D261" s="67"/>
      <c r="E261" s="68"/>
      <c r="F261" s="68">
        <f>ROUND(+D261*E261,4)</f>
        <v>0</v>
      </c>
      <c r="G261" s="71">
        <f>ROUND(+F261*0.03,4)</f>
        <v>0</v>
      </c>
      <c r="H261" s="45"/>
    </row>
    <row r="262" spans="2:8" x14ac:dyDescent="0.25">
      <c r="B262" s="47"/>
      <c r="C262" s="46"/>
      <c r="D262" s="67"/>
      <c r="E262" s="68"/>
      <c r="F262" s="68">
        <f>ROUND(+D262*E262,4)</f>
        <v>0</v>
      </c>
      <c r="G262" s="71">
        <f>ROUND(+F262*0.03,4)</f>
        <v>0</v>
      </c>
      <c r="H262" s="45"/>
    </row>
    <row r="263" spans="2:8" x14ac:dyDescent="0.25">
      <c r="B263" s="47"/>
      <c r="C263" s="46"/>
      <c r="D263" s="67"/>
      <c r="E263" s="68"/>
      <c r="F263" s="68">
        <f>ROUND(+D263*E263,4)</f>
        <v>0</v>
      </c>
      <c r="G263" s="71">
        <f>ROUND(+F263*0.03,4)</f>
        <v>0</v>
      </c>
      <c r="H263" s="45"/>
    </row>
    <row r="264" spans="2:8" x14ac:dyDescent="0.25">
      <c r="B264" s="47"/>
      <c r="C264" s="46"/>
      <c r="D264" s="67"/>
      <c r="E264" s="68"/>
      <c r="F264" s="68">
        <f>ROUND(+D264*E264,4)</f>
        <v>0</v>
      </c>
      <c r="G264" s="71">
        <f>ROUND(+F264*0.03,4)</f>
        <v>0</v>
      </c>
      <c r="H264" s="45"/>
    </row>
    <row r="265" spans="2:8" x14ac:dyDescent="0.25">
      <c r="B265" s="47"/>
      <c r="C265" s="46"/>
      <c r="D265" s="67"/>
      <c r="E265" s="68"/>
      <c r="F265" s="68">
        <f>ROUND(+D265*E265,4)</f>
        <v>0</v>
      </c>
      <c r="G265" s="71">
        <f>ROUND(+F265*0.03,4)</f>
        <v>0</v>
      </c>
      <c r="H265" s="45"/>
    </row>
    <row r="266" spans="2:8" x14ac:dyDescent="0.25">
      <c r="B266" s="47"/>
      <c r="C266" s="46"/>
      <c r="D266" s="67"/>
      <c r="E266" s="68"/>
      <c r="F266" s="68">
        <f>ROUND(+D266*E266,4)</f>
        <v>0</v>
      </c>
      <c r="G266" s="71">
        <f>ROUND(+F266*0.03,4)</f>
        <v>0</v>
      </c>
      <c r="H266" s="45"/>
    </row>
    <row r="267" spans="2:8" x14ac:dyDescent="0.25">
      <c r="B267" s="47"/>
      <c r="C267" s="46"/>
      <c r="D267" s="67"/>
      <c r="E267" s="68"/>
      <c r="F267" s="68">
        <f>ROUND(+D267*E267,4)</f>
        <v>0</v>
      </c>
      <c r="G267" s="71">
        <f>ROUND(+F267*0.03,4)</f>
        <v>0</v>
      </c>
      <c r="H267" s="45"/>
    </row>
    <row r="268" spans="2:8" x14ac:dyDescent="0.25">
      <c r="B268" s="47"/>
      <c r="C268" s="46"/>
      <c r="D268" s="67"/>
      <c r="E268" s="68"/>
      <c r="F268" s="68">
        <f>ROUND(+D268*E268,4)</f>
        <v>0</v>
      </c>
      <c r="G268" s="71">
        <f>ROUND(+F268*0.03,4)</f>
        <v>0</v>
      </c>
      <c r="H268" s="45"/>
    </row>
    <row r="269" spans="2:8" x14ac:dyDescent="0.25">
      <c r="B269" s="47"/>
      <c r="C269" s="46"/>
      <c r="D269" s="67"/>
      <c r="E269" s="68"/>
      <c r="F269" s="68">
        <f>ROUND(+D269*E269,4)</f>
        <v>0</v>
      </c>
      <c r="G269" s="71">
        <f>ROUND(+F269*0.03,4)</f>
        <v>0</v>
      </c>
      <c r="H269" s="45"/>
    </row>
    <row r="270" spans="2:8" x14ac:dyDescent="0.25">
      <c r="B270" s="47"/>
      <c r="C270" s="46"/>
      <c r="D270" s="67"/>
      <c r="E270" s="68"/>
      <c r="F270" s="68">
        <f>ROUND(+D270*E270,4)</f>
        <v>0</v>
      </c>
      <c r="G270" s="71">
        <f>ROUND(+F270*0.03,4)</f>
        <v>0</v>
      </c>
      <c r="H270" s="45"/>
    </row>
    <row r="271" spans="2:8" x14ac:dyDescent="0.25">
      <c r="B271" s="47"/>
      <c r="C271" s="46"/>
      <c r="D271" s="67"/>
      <c r="E271" s="68"/>
      <c r="F271" s="68">
        <f>ROUND(+D271*E271,4)</f>
        <v>0</v>
      </c>
      <c r="G271" s="71">
        <f>ROUND(+F271*0.03,4)</f>
        <v>0</v>
      </c>
      <c r="H271" s="45"/>
    </row>
    <row r="272" spans="2:8" x14ac:dyDescent="0.25">
      <c r="B272" s="47"/>
      <c r="C272" s="46"/>
      <c r="D272" s="67"/>
      <c r="E272" s="68"/>
      <c r="F272" s="68">
        <f>ROUND(+D272*E272,4)</f>
        <v>0</v>
      </c>
      <c r="G272" s="71">
        <f>ROUND(+F272*0.03,4)</f>
        <v>0</v>
      </c>
      <c r="H272" s="45"/>
    </row>
    <row r="273" spans="2:8" x14ac:dyDescent="0.25">
      <c r="B273" s="47"/>
      <c r="C273" s="46"/>
      <c r="D273" s="67"/>
      <c r="E273" s="68"/>
      <c r="F273" s="68">
        <f>ROUND(+D273*E273,4)</f>
        <v>0</v>
      </c>
      <c r="G273" s="71">
        <f>ROUND(+F273*0.03,4)</f>
        <v>0</v>
      </c>
      <c r="H273" s="45"/>
    </row>
    <row r="274" spans="2:8" x14ac:dyDescent="0.25">
      <c r="B274" s="47"/>
      <c r="C274" s="46"/>
      <c r="D274" s="67"/>
      <c r="E274" s="68"/>
      <c r="F274" s="68">
        <f>ROUND(+D274*E274,4)</f>
        <v>0</v>
      </c>
      <c r="G274" s="71">
        <f>ROUND(+F274*0.03,4)</f>
        <v>0</v>
      </c>
      <c r="H274" s="45"/>
    </row>
    <row r="275" spans="2:8" x14ac:dyDescent="0.25">
      <c r="B275" s="47"/>
      <c r="C275" s="46"/>
      <c r="D275" s="67"/>
      <c r="E275" s="68"/>
      <c r="F275" s="68">
        <f>ROUND(+D275*E275,4)</f>
        <v>0</v>
      </c>
      <c r="G275" s="71">
        <f>ROUND(+F275*0.03,4)</f>
        <v>0</v>
      </c>
      <c r="H275" s="45"/>
    </row>
    <row r="276" spans="2:8" x14ac:dyDescent="0.25">
      <c r="B276" s="47"/>
      <c r="C276" s="46"/>
      <c r="D276" s="67"/>
      <c r="E276" s="68"/>
      <c r="F276" s="68">
        <f>ROUND(+D276*E276,4)</f>
        <v>0</v>
      </c>
      <c r="G276" s="71">
        <f>ROUND(+F276*0.03,4)</f>
        <v>0</v>
      </c>
      <c r="H276" s="45"/>
    </row>
    <row r="277" spans="2:8" x14ac:dyDescent="0.25">
      <c r="B277" s="47"/>
      <c r="C277" s="46"/>
      <c r="D277" s="67"/>
      <c r="E277" s="68"/>
      <c r="F277" s="68">
        <f>ROUND(+D277*E277,4)</f>
        <v>0</v>
      </c>
      <c r="G277" s="71">
        <f>ROUND(+F277*0.03,4)</f>
        <v>0</v>
      </c>
      <c r="H277" s="45"/>
    </row>
    <row r="278" spans="2:8" x14ac:dyDescent="0.25">
      <c r="B278" s="47"/>
      <c r="C278" s="46"/>
      <c r="D278" s="67"/>
      <c r="E278" s="68"/>
      <c r="F278" s="68">
        <f>ROUND(+D278*E278,4)</f>
        <v>0</v>
      </c>
      <c r="G278" s="71">
        <f>ROUND(+F278*0.03,4)</f>
        <v>0</v>
      </c>
      <c r="H278" s="45"/>
    </row>
    <row r="279" spans="2:8" x14ac:dyDescent="0.25">
      <c r="B279" s="47"/>
      <c r="C279" s="46"/>
      <c r="D279" s="67"/>
      <c r="E279" s="68"/>
      <c r="F279" s="68">
        <f>ROUND(+D279*E279,4)</f>
        <v>0</v>
      </c>
      <c r="G279" s="71">
        <f>ROUND(+F279*0.03,4)</f>
        <v>0</v>
      </c>
      <c r="H279" s="45"/>
    </row>
    <row r="280" spans="2:8" x14ac:dyDescent="0.25">
      <c r="B280" s="47"/>
      <c r="C280" s="46"/>
      <c r="D280" s="67"/>
      <c r="E280" s="68"/>
      <c r="F280" s="68">
        <f>ROUND(+D280*E280,4)</f>
        <v>0</v>
      </c>
      <c r="G280" s="71">
        <f>ROUND(+F280*0.03,4)</f>
        <v>0</v>
      </c>
      <c r="H280" s="45"/>
    </row>
    <row r="281" spans="2:8" x14ac:dyDescent="0.25">
      <c r="B281" s="47"/>
      <c r="C281" s="46"/>
      <c r="D281" s="67"/>
      <c r="E281" s="68"/>
      <c r="F281" s="68">
        <f>ROUND(+D281*E281,4)</f>
        <v>0</v>
      </c>
      <c r="G281" s="71">
        <f>ROUND(+F281*0.03,4)</f>
        <v>0</v>
      </c>
      <c r="H281" s="45"/>
    </row>
    <row r="282" spans="2:8" x14ac:dyDescent="0.25">
      <c r="B282" s="47"/>
      <c r="C282" s="46"/>
      <c r="D282" s="67"/>
      <c r="E282" s="68"/>
      <c r="F282" s="68">
        <f>ROUND(+D282*E282,4)</f>
        <v>0</v>
      </c>
      <c r="G282" s="71">
        <f>ROUND(+F282*0.03,4)</f>
        <v>0</v>
      </c>
      <c r="H282" s="45"/>
    </row>
    <row r="283" spans="2:8" x14ac:dyDescent="0.25">
      <c r="B283" s="47"/>
      <c r="C283" s="46"/>
      <c r="D283" s="67"/>
      <c r="E283" s="68"/>
      <c r="F283" s="68">
        <f>ROUND(+D283*E283,4)</f>
        <v>0</v>
      </c>
      <c r="G283" s="71">
        <f>ROUND(+F283*0.03,4)</f>
        <v>0</v>
      </c>
      <c r="H283" s="45"/>
    </row>
    <row r="284" spans="2:8" x14ac:dyDescent="0.25">
      <c r="B284" s="47"/>
      <c r="C284" s="46"/>
      <c r="D284" s="67"/>
      <c r="E284" s="68"/>
      <c r="F284" s="68">
        <f>ROUND(+D284*E284,4)</f>
        <v>0</v>
      </c>
      <c r="G284" s="71">
        <f>ROUND(+F284*0.03,4)</f>
        <v>0</v>
      </c>
      <c r="H284" s="45"/>
    </row>
    <row r="285" spans="2:8" x14ac:dyDescent="0.25">
      <c r="B285" s="47"/>
      <c r="C285" s="46"/>
      <c r="D285" s="67"/>
      <c r="E285" s="68"/>
      <c r="F285" s="68">
        <f>ROUND(+D285*E285,4)</f>
        <v>0</v>
      </c>
      <c r="G285" s="71">
        <f>ROUND(+F285*0.03,4)</f>
        <v>0</v>
      </c>
      <c r="H285" s="45"/>
    </row>
    <row r="286" spans="2:8" x14ac:dyDescent="0.25">
      <c r="B286" s="47"/>
      <c r="C286" s="46"/>
      <c r="D286" s="67"/>
      <c r="E286" s="68"/>
      <c r="F286" s="68">
        <f>ROUND(+D286*E286,4)</f>
        <v>0</v>
      </c>
      <c r="G286" s="71">
        <f>ROUND(+F286*0.03,4)</f>
        <v>0</v>
      </c>
      <c r="H286" s="45"/>
    </row>
    <row r="287" spans="2:8" x14ac:dyDescent="0.25">
      <c r="B287" s="47"/>
      <c r="C287" s="46"/>
      <c r="D287" s="67"/>
      <c r="E287" s="68"/>
      <c r="F287" s="68">
        <f>ROUND(+D287*E287,4)</f>
        <v>0</v>
      </c>
      <c r="G287" s="71">
        <f>ROUND(+F287*0.03,4)</f>
        <v>0</v>
      </c>
      <c r="H287" s="45"/>
    </row>
    <row r="288" spans="2:8" x14ac:dyDescent="0.25">
      <c r="B288" s="47"/>
      <c r="C288" s="46"/>
      <c r="D288" s="67"/>
      <c r="E288" s="68"/>
      <c r="F288" s="68">
        <f>ROUND(+D288*E288,4)</f>
        <v>0</v>
      </c>
      <c r="G288" s="71">
        <f>ROUND(+F288*0.03,4)</f>
        <v>0</v>
      </c>
      <c r="H288" s="45"/>
    </row>
    <row r="289" spans="2:8" x14ac:dyDescent="0.25">
      <c r="B289" s="47"/>
      <c r="C289" s="46"/>
      <c r="D289" s="67"/>
      <c r="E289" s="68"/>
      <c r="F289" s="68">
        <f>ROUND(+D289*E289,4)</f>
        <v>0</v>
      </c>
      <c r="G289" s="71">
        <f>ROUND(+F289*0.03,4)</f>
        <v>0</v>
      </c>
      <c r="H289" s="45"/>
    </row>
    <row r="290" spans="2:8" x14ac:dyDescent="0.25">
      <c r="B290" s="47"/>
      <c r="C290" s="46"/>
      <c r="D290" s="67"/>
      <c r="E290" s="68"/>
      <c r="F290" s="68">
        <f>ROUND(+D290*E290,4)</f>
        <v>0</v>
      </c>
      <c r="G290" s="71">
        <f>ROUND(+F290*0.03,4)</f>
        <v>0</v>
      </c>
      <c r="H290" s="45"/>
    </row>
    <row r="291" spans="2:8" x14ac:dyDescent="0.25">
      <c r="B291" s="47"/>
      <c r="C291" s="46"/>
      <c r="D291" s="67"/>
      <c r="E291" s="68"/>
      <c r="F291" s="68">
        <f>ROUND(+D291*E291,4)</f>
        <v>0</v>
      </c>
      <c r="G291" s="71">
        <f>ROUND(+F291*0.03,4)</f>
        <v>0</v>
      </c>
      <c r="H291" s="45"/>
    </row>
    <row r="292" spans="2:8" x14ac:dyDescent="0.25">
      <c r="B292" s="47"/>
      <c r="C292" s="46"/>
      <c r="D292" s="67"/>
      <c r="E292" s="68"/>
      <c r="F292" s="68">
        <f>ROUND(+D292*E292,4)</f>
        <v>0</v>
      </c>
      <c r="G292" s="71">
        <f>ROUND(+F292*0.03,4)</f>
        <v>0</v>
      </c>
      <c r="H292" s="45"/>
    </row>
    <row r="293" spans="2:8" x14ac:dyDescent="0.25">
      <c r="B293" s="47"/>
      <c r="C293" s="46"/>
      <c r="D293" s="67"/>
      <c r="E293" s="68"/>
      <c r="F293" s="68">
        <f>ROUND(+D293*E293,4)</f>
        <v>0</v>
      </c>
      <c r="G293" s="71">
        <f>ROUND(+F293*0.03,4)</f>
        <v>0</v>
      </c>
      <c r="H293" s="45"/>
    </row>
    <row r="294" spans="2:8" x14ac:dyDescent="0.25">
      <c r="B294" s="47"/>
      <c r="C294" s="46"/>
      <c r="D294" s="67"/>
      <c r="E294" s="68"/>
      <c r="F294" s="68">
        <f>ROUND(+D294*E294,4)</f>
        <v>0</v>
      </c>
      <c r="G294" s="71">
        <f>ROUND(+F294*0.03,4)</f>
        <v>0</v>
      </c>
      <c r="H294" s="45"/>
    </row>
    <row r="295" spans="2:8" x14ac:dyDescent="0.25">
      <c r="B295" s="47"/>
      <c r="C295" s="46"/>
      <c r="D295" s="67"/>
      <c r="E295" s="68"/>
      <c r="F295" s="68">
        <f>ROUND(+D295*E295,4)</f>
        <v>0</v>
      </c>
      <c r="G295" s="71">
        <f>ROUND(+F295*0.03,4)</f>
        <v>0</v>
      </c>
      <c r="H295" s="45"/>
    </row>
    <row r="296" spans="2:8" x14ac:dyDescent="0.25">
      <c r="B296" s="47"/>
      <c r="C296" s="46"/>
      <c r="D296" s="67"/>
      <c r="E296" s="68"/>
      <c r="F296" s="68">
        <f>ROUND(+D296*E296,4)</f>
        <v>0</v>
      </c>
      <c r="G296" s="71">
        <f>ROUND(+F296*0.03,4)</f>
        <v>0</v>
      </c>
      <c r="H296" s="45"/>
    </row>
    <row r="297" spans="2:8" x14ac:dyDescent="0.25">
      <c r="B297" s="47"/>
      <c r="C297" s="46"/>
      <c r="D297" s="67"/>
      <c r="E297" s="68"/>
      <c r="F297" s="68">
        <f>ROUND(+D297*E297,4)</f>
        <v>0</v>
      </c>
      <c r="G297" s="71">
        <f>ROUND(+F297*0.03,4)</f>
        <v>0</v>
      </c>
      <c r="H297" s="45"/>
    </row>
    <row r="298" spans="2:8" x14ac:dyDescent="0.25">
      <c r="B298" s="47"/>
      <c r="C298" s="46"/>
      <c r="D298" s="67"/>
      <c r="E298" s="68"/>
      <c r="F298" s="68">
        <f>ROUND(+D298*E298,4)</f>
        <v>0</v>
      </c>
      <c r="G298" s="71">
        <f>ROUND(+F298*0.03,4)</f>
        <v>0</v>
      </c>
      <c r="H298" s="45"/>
    </row>
    <row r="299" spans="2:8" x14ac:dyDescent="0.25">
      <c r="B299" s="47"/>
      <c r="C299" s="46"/>
      <c r="D299" s="67"/>
      <c r="E299" s="68"/>
      <c r="F299" s="68">
        <f>ROUND(+D299*E299,4)</f>
        <v>0</v>
      </c>
      <c r="G299" s="71">
        <f>ROUND(+F299*0.03,4)</f>
        <v>0</v>
      </c>
      <c r="H299" s="45"/>
    </row>
    <row r="300" spans="2:8" x14ac:dyDescent="0.25">
      <c r="B300" s="47"/>
      <c r="C300" s="46"/>
      <c r="D300" s="67"/>
      <c r="E300" s="68"/>
      <c r="F300" s="68">
        <f>ROUND(+D300*E300,4)</f>
        <v>0</v>
      </c>
      <c r="G300" s="71">
        <f>ROUND(+F300*0.03,4)</f>
        <v>0</v>
      </c>
      <c r="H300" s="45"/>
    </row>
    <row r="301" spans="2:8" x14ac:dyDescent="0.25">
      <c r="B301" s="47"/>
      <c r="C301" s="46"/>
      <c r="D301" s="67"/>
      <c r="E301" s="68"/>
      <c r="F301" s="68">
        <f>ROUND(+D301*E301,4)</f>
        <v>0</v>
      </c>
      <c r="G301" s="71">
        <f>ROUND(+F301*0.03,4)</f>
        <v>0</v>
      </c>
      <c r="H301" s="45"/>
    </row>
    <row r="302" spans="2:8" x14ac:dyDescent="0.25">
      <c r="B302" s="47"/>
      <c r="C302" s="46"/>
      <c r="D302" s="67"/>
      <c r="E302" s="68"/>
      <c r="F302" s="68">
        <f>ROUND(+D302*E302,4)</f>
        <v>0</v>
      </c>
      <c r="G302" s="71">
        <f>ROUND(+F302*0.03,4)</f>
        <v>0</v>
      </c>
      <c r="H302" s="45"/>
    </row>
    <row r="303" spans="2:8" x14ac:dyDescent="0.25">
      <c r="B303" s="47"/>
      <c r="C303" s="46"/>
      <c r="D303" s="67"/>
      <c r="E303" s="68"/>
      <c r="F303" s="68">
        <f>ROUND(+D303*E303,4)</f>
        <v>0</v>
      </c>
      <c r="G303" s="71">
        <f>ROUND(+F303*0.03,4)</f>
        <v>0</v>
      </c>
      <c r="H303" s="45"/>
    </row>
    <row r="304" spans="2:8" x14ac:dyDescent="0.25">
      <c r="B304" s="47"/>
      <c r="C304" s="46"/>
      <c r="D304" s="67"/>
      <c r="E304" s="68"/>
      <c r="F304" s="68">
        <f>ROUND(+D304*E304,4)</f>
        <v>0</v>
      </c>
      <c r="G304" s="71">
        <f>ROUND(+F304*0.03,4)</f>
        <v>0</v>
      </c>
      <c r="H304" s="45"/>
    </row>
    <row r="305" spans="2:8" x14ac:dyDescent="0.25">
      <c r="B305" s="47"/>
      <c r="C305" s="46"/>
      <c r="D305" s="67"/>
      <c r="E305" s="68"/>
      <c r="F305" s="68">
        <f>ROUND(+D305*E305,4)</f>
        <v>0</v>
      </c>
      <c r="G305" s="71">
        <f>ROUND(+F305*0.03,4)</f>
        <v>0</v>
      </c>
      <c r="H305" s="45"/>
    </row>
    <row r="306" spans="2:8" x14ac:dyDescent="0.25">
      <c r="B306" s="47"/>
      <c r="C306" s="46"/>
      <c r="D306" s="67"/>
      <c r="E306" s="68"/>
      <c r="F306" s="68">
        <f>ROUND(+D306*E306,4)</f>
        <v>0</v>
      </c>
      <c r="G306" s="71">
        <f>ROUND(+F306*0.03,4)</f>
        <v>0</v>
      </c>
      <c r="H306" s="45"/>
    </row>
    <row r="307" spans="2:8" x14ac:dyDescent="0.25">
      <c r="B307" s="47"/>
      <c r="C307" s="46"/>
      <c r="D307" s="67"/>
      <c r="E307" s="68"/>
      <c r="F307" s="68">
        <f>ROUND(+D307*E307,4)</f>
        <v>0</v>
      </c>
      <c r="G307" s="71">
        <f>ROUND(+F307*0.03,4)</f>
        <v>0</v>
      </c>
      <c r="H307" s="45"/>
    </row>
    <row r="308" spans="2:8" x14ac:dyDescent="0.25">
      <c r="B308" s="47"/>
      <c r="C308" s="46"/>
      <c r="D308" s="67"/>
      <c r="E308" s="68"/>
      <c r="F308" s="68">
        <f>ROUND(+D308*E308,4)</f>
        <v>0</v>
      </c>
      <c r="G308" s="71">
        <f>ROUND(+F308*0.03,4)</f>
        <v>0</v>
      </c>
      <c r="H308" s="45"/>
    </row>
    <row r="309" spans="2:8" x14ac:dyDescent="0.25">
      <c r="B309" s="47"/>
      <c r="C309" s="46"/>
      <c r="D309" s="67"/>
      <c r="E309" s="68"/>
      <c r="F309" s="68">
        <f>ROUND(+D309*E309,4)</f>
        <v>0</v>
      </c>
      <c r="G309" s="71">
        <f>ROUND(+F309*0.03,4)</f>
        <v>0</v>
      </c>
      <c r="H309" s="45"/>
    </row>
    <row r="310" spans="2:8" x14ac:dyDescent="0.25">
      <c r="B310" s="47"/>
      <c r="C310" s="46"/>
      <c r="D310" s="67"/>
      <c r="E310" s="68"/>
      <c r="F310" s="68">
        <f>ROUND(+D310*E310,4)</f>
        <v>0</v>
      </c>
      <c r="G310" s="71">
        <f>ROUND(+F310*0.03,4)</f>
        <v>0</v>
      </c>
      <c r="H310" s="45"/>
    </row>
    <row r="311" spans="2:8" x14ac:dyDescent="0.25">
      <c r="B311" s="47"/>
      <c r="C311" s="46"/>
      <c r="D311" s="67"/>
      <c r="E311" s="68"/>
      <c r="F311" s="68">
        <f>ROUND(+D311*E311,4)</f>
        <v>0</v>
      </c>
      <c r="G311" s="71">
        <f>ROUND(+F311*0.03,4)</f>
        <v>0</v>
      </c>
      <c r="H311" s="45"/>
    </row>
    <row r="312" spans="2:8" x14ac:dyDescent="0.25">
      <c r="B312" s="47"/>
      <c r="C312" s="46"/>
      <c r="D312" s="67"/>
      <c r="E312" s="68"/>
      <c r="F312" s="68">
        <f>ROUND(+D312*E312,4)</f>
        <v>0</v>
      </c>
      <c r="G312" s="71">
        <f>ROUND(+F312*0.03,4)</f>
        <v>0</v>
      </c>
      <c r="H312" s="45"/>
    </row>
    <row r="313" spans="2:8" x14ac:dyDescent="0.25">
      <c r="B313" s="47"/>
      <c r="C313" s="46"/>
      <c r="D313" s="67"/>
      <c r="E313" s="68"/>
      <c r="F313" s="68">
        <f>ROUND(+D313*E313,4)</f>
        <v>0</v>
      </c>
      <c r="G313" s="71">
        <f>ROUND(+F313*0.03,4)</f>
        <v>0</v>
      </c>
      <c r="H313" s="45"/>
    </row>
    <row r="314" spans="2:8" x14ac:dyDescent="0.25">
      <c r="B314" s="47"/>
      <c r="C314" s="46"/>
      <c r="D314" s="67"/>
      <c r="E314" s="68"/>
      <c r="F314" s="68">
        <f>ROUND(+D314*E314,4)</f>
        <v>0</v>
      </c>
      <c r="G314" s="71">
        <f>ROUND(+F314*0.03,4)</f>
        <v>0</v>
      </c>
      <c r="H314" s="45"/>
    </row>
    <row r="315" spans="2:8" x14ac:dyDescent="0.25">
      <c r="B315" s="47"/>
      <c r="C315" s="46"/>
      <c r="D315" s="67"/>
      <c r="E315" s="68"/>
      <c r="F315" s="68">
        <f>ROUND(+D315*E315,4)</f>
        <v>0</v>
      </c>
      <c r="G315" s="71">
        <f>ROUND(+F315*0.03,4)</f>
        <v>0</v>
      </c>
      <c r="H315" s="45"/>
    </row>
    <row r="316" spans="2:8" x14ac:dyDescent="0.25">
      <c r="B316" s="47"/>
      <c r="C316" s="46"/>
      <c r="D316" s="67"/>
      <c r="E316" s="68"/>
      <c r="F316" s="68">
        <f>ROUND(+D316*E316,4)</f>
        <v>0</v>
      </c>
      <c r="G316" s="71">
        <f>ROUND(+F316*0.03,4)</f>
        <v>0</v>
      </c>
      <c r="H316" s="45"/>
    </row>
    <row r="317" spans="2:8" x14ac:dyDescent="0.25">
      <c r="B317" s="47"/>
      <c r="C317" s="46"/>
      <c r="D317" s="67"/>
      <c r="E317" s="68"/>
      <c r="F317" s="68">
        <f>ROUND(+D317*E317,4)</f>
        <v>0</v>
      </c>
      <c r="G317" s="71">
        <f>ROUND(+F317*0.03,4)</f>
        <v>0</v>
      </c>
      <c r="H317" s="45"/>
    </row>
    <row r="318" spans="2:8" x14ac:dyDescent="0.25">
      <c r="B318" s="47"/>
      <c r="C318" s="46"/>
      <c r="D318" s="67"/>
      <c r="E318" s="68"/>
      <c r="F318" s="68">
        <f>ROUND(+D318*E318,4)</f>
        <v>0</v>
      </c>
      <c r="G318" s="71">
        <f>ROUND(+F318*0.03,4)</f>
        <v>0</v>
      </c>
      <c r="H318" s="45"/>
    </row>
    <row r="319" spans="2:8" x14ac:dyDescent="0.25">
      <c r="B319" s="47"/>
      <c r="C319" s="46"/>
      <c r="D319" s="67"/>
      <c r="E319" s="68"/>
      <c r="F319" s="68">
        <f>ROUND(+D319*E319,4)</f>
        <v>0</v>
      </c>
      <c r="G319" s="71">
        <f>ROUND(+F319*0.03,4)</f>
        <v>0</v>
      </c>
      <c r="H319" s="45"/>
    </row>
    <row r="320" spans="2:8" x14ac:dyDescent="0.25">
      <c r="B320" s="47"/>
      <c r="C320" s="46"/>
      <c r="D320" s="67"/>
      <c r="E320" s="68"/>
      <c r="F320" s="68">
        <f>ROUND(+D320*E320,4)</f>
        <v>0</v>
      </c>
      <c r="G320" s="71">
        <f>ROUND(+F320*0.03,4)</f>
        <v>0</v>
      </c>
      <c r="H320" s="45"/>
    </row>
    <row r="321" spans="2:8" x14ac:dyDescent="0.25">
      <c r="B321" s="47"/>
      <c r="C321" s="46"/>
      <c r="D321" s="67"/>
      <c r="E321" s="68"/>
      <c r="F321" s="68">
        <f>ROUND(+D321*E321,4)</f>
        <v>0</v>
      </c>
      <c r="G321" s="71">
        <f>ROUND(+F321*0.03,4)</f>
        <v>0</v>
      </c>
      <c r="H321" s="45"/>
    </row>
    <row r="322" spans="2:8" x14ac:dyDescent="0.25">
      <c r="B322" s="47"/>
      <c r="C322" s="46"/>
      <c r="D322" s="67"/>
      <c r="E322" s="68"/>
      <c r="F322" s="68">
        <f>ROUND(+D322*E322,4)</f>
        <v>0</v>
      </c>
      <c r="G322" s="71">
        <f>ROUND(+F322*0.03,4)</f>
        <v>0</v>
      </c>
      <c r="H322" s="45"/>
    </row>
    <row r="323" spans="2:8" x14ac:dyDescent="0.25">
      <c r="B323" s="47"/>
      <c r="C323" s="46"/>
      <c r="D323" s="67"/>
      <c r="E323" s="68"/>
      <c r="F323" s="68">
        <f>ROUND(+D323*E323,4)</f>
        <v>0</v>
      </c>
      <c r="G323" s="71">
        <f>ROUND(+F323*0.03,4)</f>
        <v>0</v>
      </c>
      <c r="H323" s="45"/>
    </row>
    <row r="324" spans="2:8" x14ac:dyDescent="0.25">
      <c r="B324" s="47"/>
      <c r="C324" s="46"/>
      <c r="D324" s="67"/>
      <c r="E324" s="68"/>
      <c r="F324" s="68">
        <f>ROUND(+D324*E324,4)</f>
        <v>0</v>
      </c>
      <c r="G324" s="71">
        <f>ROUND(+F324*0.03,4)</f>
        <v>0</v>
      </c>
      <c r="H324" s="45"/>
    </row>
    <row r="325" spans="2:8" x14ac:dyDescent="0.25">
      <c r="B325" s="47"/>
      <c r="C325" s="46"/>
      <c r="D325" s="67"/>
      <c r="E325" s="68"/>
      <c r="F325" s="68">
        <f>ROUND(+D325*E325,4)</f>
        <v>0</v>
      </c>
      <c r="G325" s="71">
        <f>ROUND(+F325*0.03,4)</f>
        <v>0</v>
      </c>
      <c r="H325" s="45"/>
    </row>
    <row r="326" spans="2:8" x14ac:dyDescent="0.25">
      <c r="B326" s="47"/>
      <c r="C326" s="46"/>
      <c r="D326" s="67"/>
      <c r="E326" s="68"/>
      <c r="F326" s="68">
        <f>ROUND(+D326*E326,4)</f>
        <v>0</v>
      </c>
      <c r="G326" s="71">
        <f>ROUND(+F326*0.03,4)</f>
        <v>0</v>
      </c>
      <c r="H326" s="45"/>
    </row>
    <row r="327" spans="2:8" x14ac:dyDescent="0.25">
      <c r="B327" s="47"/>
      <c r="C327" s="46"/>
      <c r="D327" s="67"/>
      <c r="E327" s="68"/>
      <c r="F327" s="68">
        <f>ROUND(+D327*E327,4)</f>
        <v>0</v>
      </c>
      <c r="G327" s="71">
        <f>ROUND(+F327*0.03,4)</f>
        <v>0</v>
      </c>
      <c r="H327" s="45"/>
    </row>
    <row r="328" spans="2:8" x14ac:dyDescent="0.25">
      <c r="B328" s="47"/>
      <c r="C328" s="46"/>
      <c r="D328" s="67"/>
      <c r="E328" s="68"/>
      <c r="F328" s="68">
        <f>ROUND(+D328*E328,4)</f>
        <v>0</v>
      </c>
      <c r="G328" s="71">
        <f>ROUND(+F328*0.03,4)</f>
        <v>0</v>
      </c>
      <c r="H328" s="45"/>
    </row>
    <row r="329" spans="2:8" x14ac:dyDescent="0.25">
      <c r="B329" s="47"/>
      <c r="C329" s="46"/>
      <c r="D329" s="67"/>
      <c r="E329" s="68"/>
      <c r="F329" s="68">
        <f>ROUND(+D329*E329,4)</f>
        <v>0</v>
      </c>
      <c r="G329" s="71">
        <f>ROUND(+F329*0.03,4)</f>
        <v>0</v>
      </c>
      <c r="H329" s="45"/>
    </row>
    <row r="330" spans="2:8" x14ac:dyDescent="0.25">
      <c r="B330" s="47"/>
      <c r="C330" s="46"/>
      <c r="D330" s="67"/>
      <c r="E330" s="68"/>
      <c r="F330" s="68">
        <f>ROUND(+D330*E330,4)</f>
        <v>0</v>
      </c>
      <c r="G330" s="71">
        <f>ROUND(+F330*0.03,4)</f>
        <v>0</v>
      </c>
      <c r="H330" s="45"/>
    </row>
    <row r="331" spans="2:8" x14ac:dyDescent="0.25">
      <c r="B331" s="47"/>
      <c r="C331" s="46"/>
      <c r="D331" s="67"/>
      <c r="E331" s="68"/>
      <c r="F331" s="68">
        <f>ROUND(+D331*E331,4)</f>
        <v>0</v>
      </c>
      <c r="G331" s="71">
        <f>ROUND(+F331*0.03,4)</f>
        <v>0</v>
      </c>
      <c r="H331" s="45"/>
    </row>
    <row r="332" spans="2:8" x14ac:dyDescent="0.25">
      <c r="B332" s="47"/>
      <c r="C332" s="46"/>
      <c r="D332" s="67"/>
      <c r="E332" s="68"/>
      <c r="F332" s="68">
        <f>ROUND(+D332*E332,4)</f>
        <v>0</v>
      </c>
      <c r="G332" s="71">
        <f>ROUND(+F332*0.03,4)</f>
        <v>0</v>
      </c>
      <c r="H332" s="45"/>
    </row>
    <row r="333" spans="2:8" x14ac:dyDescent="0.25">
      <c r="B333" s="47"/>
      <c r="C333" s="46"/>
      <c r="D333" s="67"/>
      <c r="E333" s="68"/>
      <c r="F333" s="68">
        <f>ROUND(+D333*E333,4)</f>
        <v>0</v>
      </c>
      <c r="G333" s="71">
        <f>ROUND(+F333*0.03,4)</f>
        <v>0</v>
      </c>
      <c r="H333" s="45"/>
    </row>
    <row r="334" spans="2:8" x14ac:dyDescent="0.25">
      <c r="B334" s="47"/>
      <c r="C334" s="46"/>
      <c r="D334" s="67"/>
      <c r="E334" s="68"/>
      <c r="F334" s="68">
        <f>ROUND(+D334*E334,4)</f>
        <v>0</v>
      </c>
      <c r="G334" s="71">
        <f>ROUND(+F334*0.03,4)</f>
        <v>0</v>
      </c>
      <c r="H334" s="45"/>
    </row>
    <row r="335" spans="2:8" x14ac:dyDescent="0.25">
      <c r="B335" s="47"/>
      <c r="C335" s="46"/>
      <c r="D335" s="67"/>
      <c r="E335" s="68"/>
      <c r="F335" s="68">
        <f>ROUND(+D335*E335,4)</f>
        <v>0</v>
      </c>
      <c r="G335" s="71">
        <f>ROUND(+F335*0.03,4)</f>
        <v>0</v>
      </c>
      <c r="H335" s="45"/>
    </row>
    <row r="336" spans="2:8" x14ac:dyDescent="0.25">
      <c r="B336" s="47"/>
      <c r="C336" s="46"/>
      <c r="D336" s="67"/>
      <c r="E336" s="68"/>
      <c r="F336" s="68">
        <f>ROUND(+D336*E336,4)</f>
        <v>0</v>
      </c>
      <c r="G336" s="71">
        <f>ROUND(+F336*0.03,4)</f>
        <v>0</v>
      </c>
      <c r="H336" s="45"/>
    </row>
    <row r="337" spans="2:8" x14ac:dyDescent="0.25">
      <c r="B337" s="47"/>
      <c r="C337" s="46"/>
      <c r="D337" s="67"/>
      <c r="E337" s="68"/>
      <c r="F337" s="68">
        <f>ROUND(+D337*E337,4)</f>
        <v>0</v>
      </c>
      <c r="G337" s="71">
        <f>ROUND(+F337*0.03,4)</f>
        <v>0</v>
      </c>
      <c r="H337" s="45"/>
    </row>
    <row r="338" spans="2:8" x14ac:dyDescent="0.25">
      <c r="B338" s="47"/>
      <c r="C338" s="46"/>
      <c r="D338" s="67"/>
      <c r="E338" s="68"/>
      <c r="F338" s="68">
        <f>ROUND(+D338*E338,4)</f>
        <v>0</v>
      </c>
      <c r="G338" s="71">
        <f>ROUND(+F338*0.03,4)</f>
        <v>0</v>
      </c>
      <c r="H338" s="45"/>
    </row>
    <row r="339" spans="2:8" x14ac:dyDescent="0.25">
      <c r="B339" s="47"/>
      <c r="C339" s="46"/>
      <c r="D339" s="67"/>
      <c r="E339" s="68"/>
      <c r="F339" s="68">
        <f>ROUND(+D339*E339,4)</f>
        <v>0</v>
      </c>
      <c r="G339" s="71">
        <f>ROUND(+F339*0.03,4)</f>
        <v>0</v>
      </c>
      <c r="H339" s="45"/>
    </row>
    <row r="340" spans="2:8" x14ac:dyDescent="0.25">
      <c r="B340" s="47"/>
      <c r="C340" s="46"/>
      <c r="D340" s="67"/>
      <c r="E340" s="68"/>
      <c r="F340" s="68">
        <f>ROUND(+D340*E340,4)</f>
        <v>0</v>
      </c>
      <c r="G340" s="71">
        <f>ROUND(+F340*0.03,4)</f>
        <v>0</v>
      </c>
      <c r="H340" s="45"/>
    </row>
    <row r="341" spans="2:8" x14ac:dyDescent="0.25">
      <c r="B341" s="47"/>
      <c r="C341" s="46"/>
      <c r="D341" s="67"/>
      <c r="E341" s="68"/>
      <c r="F341" s="68">
        <f>ROUND(+D341*E341,4)</f>
        <v>0</v>
      </c>
      <c r="G341" s="71">
        <f>ROUND(+F341*0.03,4)</f>
        <v>0</v>
      </c>
      <c r="H341" s="45"/>
    </row>
    <row r="342" spans="2:8" x14ac:dyDescent="0.25">
      <c r="B342" s="47"/>
      <c r="C342" s="46"/>
      <c r="D342" s="67"/>
      <c r="E342" s="68"/>
      <c r="F342" s="68">
        <f>ROUND(+D342*E342,4)</f>
        <v>0</v>
      </c>
      <c r="G342" s="71">
        <f>ROUND(+F342*0.03,4)</f>
        <v>0</v>
      </c>
      <c r="H342" s="45"/>
    </row>
    <row r="343" spans="2:8" x14ac:dyDescent="0.25">
      <c r="B343" s="47"/>
      <c r="C343" s="46"/>
      <c r="D343" s="67"/>
      <c r="E343" s="68"/>
      <c r="F343" s="68">
        <f>ROUND(+D343*E343,4)</f>
        <v>0</v>
      </c>
      <c r="G343" s="71">
        <f>ROUND(+F343*0.03,4)</f>
        <v>0</v>
      </c>
      <c r="H343" s="45"/>
    </row>
    <row r="344" spans="2:8" x14ac:dyDescent="0.25">
      <c r="B344" s="47"/>
      <c r="C344" s="46"/>
      <c r="D344" s="67"/>
      <c r="E344" s="68"/>
      <c r="F344" s="68">
        <f>ROUND(+D344*E344,4)</f>
        <v>0</v>
      </c>
      <c r="G344" s="71">
        <f>ROUND(+F344*0.03,4)</f>
        <v>0</v>
      </c>
      <c r="H344" s="45"/>
    </row>
    <row r="345" spans="2:8" x14ac:dyDescent="0.25">
      <c r="B345" s="47"/>
      <c r="C345" s="46"/>
      <c r="D345" s="67"/>
      <c r="E345" s="68"/>
      <c r="F345" s="68">
        <f>ROUND(+D345*E345,4)</f>
        <v>0</v>
      </c>
      <c r="G345" s="71">
        <f>ROUND(+F345*0.03,4)</f>
        <v>0</v>
      </c>
      <c r="H345" s="45"/>
    </row>
    <row r="346" spans="2:8" x14ac:dyDescent="0.25">
      <c r="B346" s="47"/>
      <c r="C346" s="46"/>
      <c r="D346" s="67"/>
      <c r="E346" s="68"/>
      <c r="F346" s="68">
        <f>ROUND(+D346*E346,4)</f>
        <v>0</v>
      </c>
      <c r="G346" s="71">
        <f>ROUND(+F346*0.03,4)</f>
        <v>0</v>
      </c>
      <c r="H346" s="45"/>
    </row>
    <row r="347" spans="2:8" x14ac:dyDescent="0.25">
      <c r="B347" s="47"/>
      <c r="C347" s="46"/>
      <c r="D347" s="67"/>
      <c r="E347" s="68"/>
      <c r="F347" s="68">
        <f>ROUND(+D347*E347,4)</f>
        <v>0</v>
      </c>
      <c r="G347" s="71">
        <f>ROUND(+F347*0.03,4)</f>
        <v>0</v>
      </c>
      <c r="H347" s="45"/>
    </row>
    <row r="348" spans="2:8" x14ac:dyDescent="0.25">
      <c r="B348" s="47"/>
      <c r="C348" s="46"/>
      <c r="D348" s="67"/>
      <c r="E348" s="68"/>
      <c r="F348" s="68">
        <f>ROUND(+D348*E348,4)</f>
        <v>0</v>
      </c>
      <c r="G348" s="71">
        <f>ROUND(+F348*0.03,4)</f>
        <v>0</v>
      </c>
      <c r="H348" s="45"/>
    </row>
    <row r="349" spans="2:8" x14ac:dyDescent="0.25">
      <c r="B349" s="47"/>
      <c r="C349" s="46"/>
      <c r="D349" s="67"/>
      <c r="E349" s="68"/>
      <c r="F349" s="68">
        <f>ROUND(+D349*E349,4)</f>
        <v>0</v>
      </c>
      <c r="G349" s="71">
        <f>ROUND(+F349*0.03,4)</f>
        <v>0</v>
      </c>
      <c r="H349" s="45"/>
    </row>
    <row r="350" spans="2:8" x14ac:dyDescent="0.25">
      <c r="B350" s="47"/>
      <c r="C350" s="46"/>
      <c r="D350" s="67"/>
      <c r="E350" s="68"/>
      <c r="F350" s="68">
        <f>ROUND(+D350*E350,4)</f>
        <v>0</v>
      </c>
      <c r="G350" s="71">
        <f>ROUND(+F350*0.03,4)</f>
        <v>0</v>
      </c>
      <c r="H350" s="45"/>
    </row>
    <row r="351" spans="2:8" x14ac:dyDescent="0.25">
      <c r="B351" s="47"/>
      <c r="C351" s="46"/>
      <c r="D351" s="67"/>
      <c r="E351" s="68"/>
      <c r="F351" s="68">
        <f>ROUND(+D351*E351,4)</f>
        <v>0</v>
      </c>
      <c r="G351" s="71">
        <f>ROUND(+F351*0.03,4)</f>
        <v>0</v>
      </c>
      <c r="H351" s="45"/>
    </row>
    <row r="352" spans="2:8" x14ac:dyDescent="0.25">
      <c r="B352" s="47"/>
      <c r="C352" s="46"/>
      <c r="D352" s="67"/>
      <c r="E352" s="68"/>
      <c r="F352" s="68">
        <f>ROUND(+D352*E352,4)</f>
        <v>0</v>
      </c>
      <c r="G352" s="71">
        <f>ROUND(+F352*0.03,4)</f>
        <v>0</v>
      </c>
      <c r="H352" s="45"/>
    </row>
    <row r="353" spans="2:8" x14ac:dyDescent="0.25">
      <c r="B353" s="47"/>
      <c r="C353" s="46"/>
      <c r="D353" s="67"/>
      <c r="E353" s="68"/>
      <c r="F353" s="68">
        <f>ROUND(+D353*E353,4)</f>
        <v>0</v>
      </c>
      <c r="G353" s="71">
        <f>ROUND(+F353*0.03,4)</f>
        <v>0</v>
      </c>
      <c r="H353" s="45"/>
    </row>
    <row r="354" spans="2:8" x14ac:dyDescent="0.25">
      <c r="B354" s="47"/>
      <c r="C354" s="46"/>
      <c r="D354" s="67"/>
      <c r="E354" s="68"/>
      <c r="F354" s="68">
        <f>ROUND(+D354*E354,4)</f>
        <v>0</v>
      </c>
      <c r="G354" s="71">
        <f>ROUND(+F354*0.03,4)</f>
        <v>0</v>
      </c>
      <c r="H354" s="45"/>
    </row>
    <row r="355" spans="2:8" x14ac:dyDescent="0.25">
      <c r="B355" s="47"/>
      <c r="C355" s="46"/>
      <c r="D355" s="67"/>
      <c r="E355" s="68"/>
      <c r="F355" s="68">
        <f>ROUND(+D355*E355,4)</f>
        <v>0</v>
      </c>
      <c r="G355" s="71">
        <f>ROUND(+F355*0.03,4)</f>
        <v>0</v>
      </c>
      <c r="H355" s="45"/>
    </row>
    <row r="356" spans="2:8" x14ac:dyDescent="0.25">
      <c r="B356" s="47"/>
      <c r="C356" s="46"/>
      <c r="D356" s="67"/>
      <c r="E356" s="68"/>
      <c r="F356" s="68">
        <f>ROUND(+D356*E356,4)</f>
        <v>0</v>
      </c>
      <c r="G356" s="71">
        <f>ROUND(+F356*0.03,4)</f>
        <v>0</v>
      </c>
      <c r="H356" s="45"/>
    </row>
    <row r="357" spans="2:8" x14ac:dyDescent="0.25">
      <c r="B357" s="47"/>
      <c r="C357" s="46"/>
      <c r="D357" s="67"/>
      <c r="E357" s="68"/>
      <c r="F357" s="68">
        <f>ROUND(+D357*E357,4)</f>
        <v>0</v>
      </c>
      <c r="G357" s="71">
        <f>ROUND(+F357*0.03,4)</f>
        <v>0</v>
      </c>
      <c r="H357" s="45"/>
    </row>
    <row r="358" spans="2:8" x14ac:dyDescent="0.25">
      <c r="B358" s="47"/>
      <c r="C358" s="46"/>
      <c r="D358" s="67"/>
      <c r="E358" s="68"/>
      <c r="F358" s="68">
        <f>ROUND(+D358*E358,4)</f>
        <v>0</v>
      </c>
      <c r="G358" s="71">
        <f>ROUND(+F358*0.03,4)</f>
        <v>0</v>
      </c>
      <c r="H358" s="45"/>
    </row>
    <row r="359" spans="2:8" x14ac:dyDescent="0.25">
      <c r="B359" s="47"/>
      <c r="C359" s="46"/>
      <c r="D359" s="67"/>
      <c r="E359" s="68"/>
      <c r="F359" s="68">
        <f>ROUND(+D359*E359,4)</f>
        <v>0</v>
      </c>
      <c r="G359" s="71">
        <f>ROUND(+F359*0.03,4)</f>
        <v>0</v>
      </c>
      <c r="H359" s="45"/>
    </row>
    <row r="360" spans="2:8" x14ac:dyDescent="0.25">
      <c r="B360" s="47"/>
      <c r="C360" s="46"/>
      <c r="D360" s="67"/>
      <c r="E360" s="68"/>
      <c r="F360" s="68">
        <f>ROUND(+D360*E360,4)</f>
        <v>0</v>
      </c>
      <c r="G360" s="71">
        <f>ROUND(+F360*0.03,4)</f>
        <v>0</v>
      </c>
      <c r="H360" s="45"/>
    </row>
    <row r="361" spans="2:8" x14ac:dyDescent="0.25">
      <c r="B361" s="47"/>
      <c r="C361" s="46"/>
      <c r="D361" s="67"/>
      <c r="E361" s="68"/>
      <c r="F361" s="68">
        <f>ROUND(+D361*E361,4)</f>
        <v>0</v>
      </c>
      <c r="G361" s="71">
        <f>ROUND(+F361*0.03,4)</f>
        <v>0</v>
      </c>
      <c r="H361" s="45"/>
    </row>
    <row r="362" spans="2:8" x14ac:dyDescent="0.25">
      <c r="B362" s="47"/>
      <c r="C362" s="46"/>
      <c r="D362" s="67"/>
      <c r="E362" s="68"/>
      <c r="F362" s="68">
        <f>ROUND(+D362*E362,4)</f>
        <v>0</v>
      </c>
      <c r="G362" s="71">
        <f>ROUND(+F362*0.03,4)</f>
        <v>0</v>
      </c>
      <c r="H362" s="45"/>
    </row>
    <row r="363" spans="2:8" x14ac:dyDescent="0.25">
      <c r="B363" s="47"/>
      <c r="C363" s="46"/>
      <c r="D363" s="67"/>
      <c r="E363" s="68"/>
      <c r="F363" s="68">
        <f>ROUND(+D363*E363,4)</f>
        <v>0</v>
      </c>
      <c r="G363" s="71">
        <f>ROUND(+F363*0.03,4)</f>
        <v>0</v>
      </c>
      <c r="H363" s="45"/>
    </row>
    <row r="364" spans="2:8" x14ac:dyDescent="0.25">
      <c r="B364" s="47"/>
      <c r="C364" s="46"/>
      <c r="D364" s="67"/>
      <c r="E364" s="68"/>
      <c r="F364" s="68">
        <f>ROUND(+D364*E364,4)</f>
        <v>0</v>
      </c>
      <c r="G364" s="71">
        <f>ROUND(+F364*0.03,4)</f>
        <v>0</v>
      </c>
      <c r="H364" s="45"/>
    </row>
    <row r="365" spans="2:8" x14ac:dyDescent="0.25">
      <c r="B365" s="47"/>
      <c r="C365" s="46"/>
      <c r="D365" s="67"/>
      <c r="E365" s="68"/>
      <c r="F365" s="68">
        <f>ROUND(+D365*E365,4)</f>
        <v>0</v>
      </c>
      <c r="G365" s="71">
        <f>ROUND(+F365*0.03,4)</f>
        <v>0</v>
      </c>
      <c r="H365" s="45"/>
    </row>
    <row r="366" spans="2:8" x14ac:dyDescent="0.25">
      <c r="B366" s="47"/>
      <c r="C366" s="46"/>
      <c r="D366" s="67"/>
      <c r="E366" s="68"/>
      <c r="F366" s="68">
        <f>ROUND(+D366*E366,4)</f>
        <v>0</v>
      </c>
      <c r="G366" s="71">
        <f>ROUND(+F366*0.03,4)</f>
        <v>0</v>
      </c>
      <c r="H366" s="45"/>
    </row>
    <row r="367" spans="2:8" x14ac:dyDescent="0.25">
      <c r="B367" s="47"/>
      <c r="C367" s="46"/>
      <c r="D367" s="67"/>
      <c r="E367" s="68"/>
      <c r="F367" s="68">
        <f>ROUND(+D367*E367,4)</f>
        <v>0</v>
      </c>
      <c r="G367" s="71">
        <f>ROUND(+F367*0.03,4)</f>
        <v>0</v>
      </c>
      <c r="H367" s="45"/>
    </row>
    <row r="368" spans="2:8" x14ac:dyDescent="0.25">
      <c r="B368" s="47"/>
      <c r="C368" s="46"/>
      <c r="D368" s="67"/>
      <c r="E368" s="68"/>
      <c r="F368" s="68">
        <f>ROUND(+D368*E368,4)</f>
        <v>0</v>
      </c>
      <c r="G368" s="71">
        <f>ROUND(+F368*0.03,4)</f>
        <v>0</v>
      </c>
      <c r="H368" s="45"/>
    </row>
    <row r="369" spans="2:8" x14ac:dyDescent="0.25">
      <c r="B369" s="47"/>
      <c r="C369" s="46"/>
      <c r="D369" s="67"/>
      <c r="E369" s="68"/>
      <c r="F369" s="68">
        <f>ROUND(+D369*E369,4)</f>
        <v>0</v>
      </c>
      <c r="G369" s="71">
        <f>ROUND(+F369*0.03,4)</f>
        <v>0</v>
      </c>
      <c r="H369" s="45"/>
    </row>
    <row r="370" spans="2:8" x14ac:dyDescent="0.25">
      <c r="B370" s="47"/>
      <c r="C370" s="46"/>
      <c r="D370" s="67"/>
      <c r="E370" s="68"/>
      <c r="F370" s="68">
        <f>ROUND(+D370*E370,4)</f>
        <v>0</v>
      </c>
      <c r="G370" s="71">
        <f>ROUND(+F370*0.03,4)</f>
        <v>0</v>
      </c>
      <c r="H370" s="45"/>
    </row>
    <row r="371" spans="2:8" x14ac:dyDescent="0.25">
      <c r="B371" s="47"/>
      <c r="C371" s="46"/>
      <c r="D371" s="67"/>
      <c r="E371" s="68"/>
      <c r="F371" s="68">
        <f>ROUND(+D371*E371,4)</f>
        <v>0</v>
      </c>
      <c r="G371" s="71">
        <f>ROUND(+F371*0.03,4)</f>
        <v>0</v>
      </c>
      <c r="H371" s="45"/>
    </row>
    <row r="372" spans="2:8" x14ac:dyDescent="0.25">
      <c r="B372" s="47"/>
      <c r="C372" s="46"/>
      <c r="D372" s="67"/>
      <c r="E372" s="68"/>
      <c r="F372" s="68">
        <f>ROUND(+D372*E372,4)</f>
        <v>0</v>
      </c>
      <c r="G372" s="71">
        <f>ROUND(+F372*0.03,4)</f>
        <v>0</v>
      </c>
      <c r="H372" s="45"/>
    </row>
    <row r="373" spans="2:8" x14ac:dyDescent="0.25">
      <c r="B373" s="47"/>
      <c r="C373" s="46"/>
      <c r="D373" s="67"/>
      <c r="E373" s="68"/>
      <c r="F373" s="68">
        <f>ROUND(+D373*E373,4)</f>
        <v>0</v>
      </c>
      <c r="G373" s="71">
        <f>ROUND(+F373*0.03,4)</f>
        <v>0</v>
      </c>
      <c r="H373" s="45"/>
    </row>
    <row r="374" spans="2:8" x14ac:dyDescent="0.25">
      <c r="B374" s="47"/>
      <c r="C374" s="46"/>
      <c r="D374" s="67"/>
      <c r="E374" s="68"/>
      <c r="F374" s="68">
        <f>ROUND(+D374*E374,4)</f>
        <v>0</v>
      </c>
      <c r="G374" s="71">
        <f>ROUND(+F374*0.03,4)</f>
        <v>0</v>
      </c>
      <c r="H374" s="45"/>
    </row>
    <row r="375" spans="2:8" x14ac:dyDescent="0.25">
      <c r="B375" s="47"/>
      <c r="C375" s="46"/>
      <c r="D375" s="67"/>
      <c r="E375" s="68"/>
      <c r="F375" s="68">
        <f>ROUND(+D375*E375,4)</f>
        <v>0</v>
      </c>
      <c r="G375" s="71">
        <f>ROUND(+F375*0.03,4)</f>
        <v>0</v>
      </c>
      <c r="H375" s="45"/>
    </row>
    <row r="376" spans="2:8" x14ac:dyDescent="0.25">
      <c r="B376" s="47"/>
      <c r="C376" s="46"/>
      <c r="D376" s="67"/>
      <c r="E376" s="68"/>
      <c r="F376" s="68">
        <f>ROUND(+D376*E376,4)</f>
        <v>0</v>
      </c>
      <c r="G376" s="71">
        <f>ROUND(+F376*0.03,4)</f>
        <v>0</v>
      </c>
      <c r="H376" s="45"/>
    </row>
    <row r="377" spans="2:8" x14ac:dyDescent="0.25">
      <c r="B377" s="47"/>
      <c r="C377" s="46"/>
      <c r="D377" s="67"/>
      <c r="E377" s="68"/>
      <c r="F377" s="68">
        <f>ROUND(+D377*E377,4)</f>
        <v>0</v>
      </c>
      <c r="G377" s="71">
        <f>ROUND(+F377*0.03,4)</f>
        <v>0</v>
      </c>
      <c r="H377" s="45"/>
    </row>
    <row r="378" spans="2:8" x14ac:dyDescent="0.25">
      <c r="B378" s="47"/>
      <c r="C378" s="46"/>
      <c r="D378" s="67"/>
      <c r="E378" s="68"/>
      <c r="F378" s="68">
        <f>ROUND(+D378*E378,4)</f>
        <v>0</v>
      </c>
      <c r="G378" s="71">
        <f>ROUND(+F378*0.03,4)</f>
        <v>0</v>
      </c>
      <c r="H378" s="45"/>
    </row>
    <row r="379" spans="2:8" x14ac:dyDescent="0.25">
      <c r="B379" s="47"/>
      <c r="C379" s="46"/>
      <c r="D379" s="67"/>
      <c r="E379" s="68"/>
      <c r="F379" s="68">
        <f>ROUND(+D379*E379,4)</f>
        <v>0</v>
      </c>
      <c r="G379" s="71">
        <f>ROUND(+F379*0.03,4)</f>
        <v>0</v>
      </c>
      <c r="H379" s="45"/>
    </row>
    <row r="380" spans="2:8" x14ac:dyDescent="0.25">
      <c r="B380" s="47"/>
      <c r="C380" s="46"/>
      <c r="D380" s="67"/>
      <c r="E380" s="68"/>
      <c r="F380" s="68">
        <f>ROUND(+D380*E380,4)</f>
        <v>0</v>
      </c>
      <c r="G380" s="71">
        <f>ROUND(+F380*0.03,4)</f>
        <v>0</v>
      </c>
      <c r="H380" s="45"/>
    </row>
    <row r="381" spans="2:8" x14ac:dyDescent="0.25">
      <c r="B381" s="47"/>
      <c r="C381" s="46"/>
      <c r="D381" s="67"/>
      <c r="E381" s="68"/>
      <c r="F381" s="68">
        <f>ROUND(+D381*E381,4)</f>
        <v>0</v>
      </c>
      <c r="G381" s="71">
        <f>ROUND(+F381*0.03,4)</f>
        <v>0</v>
      </c>
      <c r="H381" s="45"/>
    </row>
    <row r="382" spans="2:8" x14ac:dyDescent="0.25">
      <c r="B382" s="47"/>
      <c r="C382" s="46"/>
      <c r="D382" s="67"/>
      <c r="E382" s="68"/>
      <c r="F382" s="68">
        <f>ROUND(+D382*E382,4)</f>
        <v>0</v>
      </c>
      <c r="G382" s="71">
        <f>ROUND(+F382*0.03,4)</f>
        <v>0</v>
      </c>
      <c r="H382" s="45"/>
    </row>
    <row r="383" spans="2:8" x14ac:dyDescent="0.25">
      <c r="B383" s="47"/>
      <c r="C383" s="46"/>
      <c r="D383" s="67"/>
      <c r="E383" s="68"/>
      <c r="F383" s="68">
        <f>ROUND(+D383*E383,4)</f>
        <v>0</v>
      </c>
      <c r="G383" s="71">
        <f>ROUND(+F383*0.03,4)</f>
        <v>0</v>
      </c>
      <c r="H383" s="45"/>
    </row>
    <row r="384" spans="2:8" x14ac:dyDescent="0.25">
      <c r="B384" s="47"/>
      <c r="C384" s="46"/>
      <c r="D384" s="67"/>
      <c r="E384" s="68"/>
      <c r="F384" s="68">
        <f>ROUND(+D384*E384,4)</f>
        <v>0</v>
      </c>
      <c r="G384" s="71">
        <f>ROUND(+F384*0.03,4)</f>
        <v>0</v>
      </c>
      <c r="H384" s="45"/>
    </row>
    <row r="385" spans="2:8" x14ac:dyDescent="0.25">
      <c r="B385" s="47"/>
      <c r="C385" s="46"/>
      <c r="D385" s="67"/>
      <c r="E385" s="68"/>
      <c r="F385" s="68">
        <f>ROUND(+D385*E385,4)</f>
        <v>0</v>
      </c>
      <c r="G385" s="71">
        <f>ROUND(+F385*0.03,4)</f>
        <v>0</v>
      </c>
      <c r="H385" s="45"/>
    </row>
    <row r="386" spans="2:8" x14ac:dyDescent="0.25">
      <c r="B386" s="47"/>
      <c r="C386" s="46"/>
      <c r="D386" s="67"/>
      <c r="E386" s="68"/>
      <c r="F386" s="68">
        <f>ROUND(+D386*E386,4)</f>
        <v>0</v>
      </c>
      <c r="G386" s="71">
        <f>ROUND(+F386*0.03,4)</f>
        <v>0</v>
      </c>
      <c r="H386" s="45"/>
    </row>
    <row r="387" spans="2:8" x14ac:dyDescent="0.25">
      <c r="B387" s="47"/>
      <c r="C387" s="46"/>
      <c r="D387" s="67"/>
      <c r="E387" s="68"/>
      <c r="F387" s="68">
        <f>ROUND(+D387*E387,4)</f>
        <v>0</v>
      </c>
      <c r="G387" s="71">
        <f>ROUND(+F387*0.03,4)</f>
        <v>0</v>
      </c>
      <c r="H387" s="45"/>
    </row>
    <row r="388" spans="2:8" x14ac:dyDescent="0.25">
      <c r="B388" s="47"/>
      <c r="C388" s="46"/>
      <c r="D388" s="67"/>
      <c r="E388" s="68"/>
      <c r="F388" s="68">
        <f>ROUND(+D388*E388,4)</f>
        <v>0</v>
      </c>
      <c r="G388" s="71">
        <f>ROUND(+F388*0.03,4)</f>
        <v>0</v>
      </c>
      <c r="H388" s="45"/>
    </row>
    <row r="389" spans="2:8" x14ac:dyDescent="0.25">
      <c r="B389" s="47"/>
      <c r="C389" s="46"/>
      <c r="D389" s="67"/>
      <c r="E389" s="68"/>
      <c r="F389" s="68">
        <f>ROUND(+D389*E389,4)</f>
        <v>0</v>
      </c>
      <c r="G389" s="71">
        <f>ROUND(+F389*0.03,4)</f>
        <v>0</v>
      </c>
      <c r="H389" s="45"/>
    </row>
    <row r="390" spans="2:8" x14ac:dyDescent="0.25">
      <c r="B390" s="47"/>
      <c r="C390" s="46"/>
      <c r="D390" s="67"/>
      <c r="E390" s="68"/>
      <c r="F390" s="68">
        <f>ROUND(+D390*E390,4)</f>
        <v>0</v>
      </c>
      <c r="G390" s="71">
        <f>ROUND(+F390*0.03,4)</f>
        <v>0</v>
      </c>
      <c r="H390" s="45"/>
    </row>
    <row r="391" spans="2:8" x14ac:dyDescent="0.25">
      <c r="B391" s="47"/>
      <c r="C391" s="46"/>
      <c r="D391" s="67"/>
      <c r="E391" s="68"/>
      <c r="F391" s="68">
        <f>ROUND(+D391*E391,4)</f>
        <v>0</v>
      </c>
      <c r="G391" s="71">
        <f>ROUND(+F391*0.03,4)</f>
        <v>0</v>
      </c>
      <c r="H391" s="45"/>
    </row>
    <row r="392" spans="2:8" x14ac:dyDescent="0.25">
      <c r="B392" s="47"/>
      <c r="C392" s="46"/>
      <c r="D392" s="67"/>
      <c r="E392" s="68"/>
      <c r="F392" s="68">
        <f>ROUND(+D392*E392,4)</f>
        <v>0</v>
      </c>
      <c r="G392" s="71">
        <f>ROUND(+F392*0.03,4)</f>
        <v>0</v>
      </c>
      <c r="H392" s="45"/>
    </row>
    <row r="393" spans="2:8" x14ac:dyDescent="0.25">
      <c r="B393" s="47"/>
      <c r="C393" s="46"/>
      <c r="D393" s="67"/>
      <c r="E393" s="68"/>
      <c r="F393" s="68">
        <f>ROUND(+D393*E393,4)</f>
        <v>0</v>
      </c>
      <c r="G393" s="71">
        <f>ROUND(+F393*0.03,4)</f>
        <v>0</v>
      </c>
      <c r="H393" s="45"/>
    </row>
    <row r="394" spans="2:8" x14ac:dyDescent="0.25">
      <c r="B394" s="47"/>
      <c r="C394" s="46"/>
      <c r="D394" s="67"/>
      <c r="E394" s="68"/>
      <c r="F394" s="68">
        <f>ROUND(+D394*E394,4)</f>
        <v>0</v>
      </c>
      <c r="G394" s="71">
        <f>ROUND(+F394*0.03,4)</f>
        <v>0</v>
      </c>
      <c r="H394" s="45"/>
    </row>
    <row r="395" spans="2:8" x14ac:dyDescent="0.25">
      <c r="B395" s="47"/>
      <c r="C395" s="46"/>
      <c r="D395" s="67"/>
      <c r="E395" s="68"/>
      <c r="F395" s="68">
        <f>ROUND(+D395*E395,4)</f>
        <v>0</v>
      </c>
      <c r="G395" s="71">
        <f>ROUND(+F395*0.03,4)</f>
        <v>0</v>
      </c>
      <c r="H395" s="45"/>
    </row>
    <row r="396" spans="2:8" x14ac:dyDescent="0.25">
      <c r="B396" s="47"/>
      <c r="C396" s="46"/>
      <c r="D396" s="67"/>
      <c r="E396" s="68"/>
      <c r="F396" s="68">
        <f>ROUND(+D396*E396,4)</f>
        <v>0</v>
      </c>
      <c r="G396" s="71">
        <f>ROUND(+F396*0.03,4)</f>
        <v>0</v>
      </c>
      <c r="H396" s="45"/>
    </row>
    <row r="397" spans="2:8" x14ac:dyDescent="0.25">
      <c r="B397" s="47"/>
      <c r="C397" s="46"/>
      <c r="D397" s="67"/>
      <c r="E397" s="68"/>
      <c r="F397" s="68">
        <f>ROUND(+D397*E397,4)</f>
        <v>0</v>
      </c>
      <c r="G397" s="71">
        <f>ROUND(+F397*0.03,4)</f>
        <v>0</v>
      </c>
      <c r="H397" s="45"/>
    </row>
    <row r="398" spans="2:8" x14ac:dyDescent="0.25">
      <c r="B398" s="47"/>
      <c r="C398" s="46"/>
      <c r="D398" s="67"/>
      <c r="E398" s="68"/>
      <c r="F398" s="68">
        <f>ROUND(+D398*E398,4)</f>
        <v>0</v>
      </c>
      <c r="G398" s="71">
        <f>ROUND(+F398*0.03,4)</f>
        <v>0</v>
      </c>
      <c r="H398" s="45"/>
    </row>
    <row r="399" spans="2:8" x14ac:dyDescent="0.25">
      <c r="B399" s="47"/>
      <c r="C399" s="46"/>
      <c r="D399" s="67"/>
      <c r="E399" s="68"/>
      <c r="F399" s="68">
        <f>ROUND(+D399*E399,4)</f>
        <v>0</v>
      </c>
      <c r="G399" s="71">
        <f>ROUND(+F399*0.03,4)</f>
        <v>0</v>
      </c>
      <c r="H399" s="45"/>
    </row>
    <row r="400" spans="2:8" x14ac:dyDescent="0.25">
      <c r="B400" s="47"/>
      <c r="C400" s="46"/>
      <c r="D400" s="67"/>
      <c r="E400" s="68"/>
      <c r="F400" s="68">
        <f>ROUND(+D400*E400,4)</f>
        <v>0</v>
      </c>
      <c r="G400" s="71">
        <f>ROUND(+F400*0.03,4)</f>
        <v>0</v>
      </c>
      <c r="H400" s="45"/>
    </row>
    <row r="401" spans="2:8" x14ac:dyDescent="0.25">
      <c r="B401" s="47"/>
      <c r="C401" s="46"/>
      <c r="D401" s="67"/>
      <c r="E401" s="68"/>
      <c r="F401" s="68">
        <f>ROUND(+D401*E401,4)</f>
        <v>0</v>
      </c>
      <c r="G401" s="71">
        <f>ROUND(+F401*0.03,4)</f>
        <v>0</v>
      </c>
      <c r="H401" s="45"/>
    </row>
    <row r="402" spans="2:8" x14ac:dyDescent="0.25">
      <c r="B402" s="47"/>
      <c r="C402" s="46"/>
      <c r="D402" s="67"/>
      <c r="E402" s="68"/>
      <c r="F402" s="68">
        <f>ROUND(+D402*E402,4)</f>
        <v>0</v>
      </c>
      <c r="G402" s="71">
        <f>ROUND(+F402*0.03,4)</f>
        <v>0</v>
      </c>
      <c r="H402" s="45"/>
    </row>
    <row r="403" spans="2:8" x14ac:dyDescent="0.25">
      <c r="B403" s="47"/>
      <c r="C403" s="46"/>
      <c r="D403" s="67"/>
      <c r="E403" s="68"/>
      <c r="F403" s="68">
        <f>ROUND(+D403*E403,4)</f>
        <v>0</v>
      </c>
      <c r="G403" s="71">
        <f>ROUND(+F403*0.03,4)</f>
        <v>0</v>
      </c>
      <c r="H403" s="45"/>
    </row>
    <row r="404" spans="2:8" x14ac:dyDescent="0.25">
      <c r="B404" s="47"/>
      <c r="C404" s="46"/>
      <c r="D404" s="67"/>
      <c r="E404" s="68"/>
      <c r="F404" s="68">
        <f>ROUND(+D404*E404,4)</f>
        <v>0</v>
      </c>
      <c r="G404" s="71">
        <f>ROUND(+F404*0.03,4)</f>
        <v>0</v>
      </c>
      <c r="H404" s="45"/>
    </row>
    <row r="405" spans="2:8" x14ac:dyDescent="0.25">
      <c r="B405" s="47"/>
      <c r="C405" s="46"/>
      <c r="D405" s="67"/>
      <c r="E405" s="68"/>
      <c r="F405" s="68">
        <f>ROUND(+D405*E405,4)</f>
        <v>0</v>
      </c>
      <c r="G405" s="71">
        <f>ROUND(+F405*0.03,4)</f>
        <v>0</v>
      </c>
      <c r="H405" s="45"/>
    </row>
    <row r="406" spans="2:8" x14ac:dyDescent="0.25">
      <c r="B406" s="47"/>
      <c r="C406" s="46"/>
      <c r="D406" s="67"/>
      <c r="E406" s="68"/>
      <c r="F406" s="68">
        <f>ROUND(+D406*E406,4)</f>
        <v>0</v>
      </c>
      <c r="G406" s="71">
        <f>ROUND(+F406*0.03,4)</f>
        <v>0</v>
      </c>
      <c r="H406" s="45"/>
    </row>
    <row r="407" spans="2:8" x14ac:dyDescent="0.25">
      <c r="B407" s="47"/>
      <c r="C407" s="46"/>
      <c r="D407" s="67"/>
      <c r="E407" s="68"/>
      <c r="F407" s="68">
        <f>ROUND(+D407*E407,4)</f>
        <v>0</v>
      </c>
      <c r="G407" s="71">
        <f>ROUND(+F407*0.03,4)</f>
        <v>0</v>
      </c>
      <c r="H407" s="45"/>
    </row>
    <row r="408" spans="2:8" x14ac:dyDescent="0.25">
      <c r="B408" s="47"/>
      <c r="C408" s="46"/>
      <c r="D408" s="67"/>
      <c r="E408" s="68"/>
      <c r="F408" s="68">
        <f>ROUND(+D408*E408,4)</f>
        <v>0</v>
      </c>
      <c r="G408" s="71">
        <f>ROUND(+F408*0.03,4)</f>
        <v>0</v>
      </c>
      <c r="H408" s="45"/>
    </row>
    <row r="409" spans="2:8" x14ac:dyDescent="0.25">
      <c r="B409" s="47"/>
      <c r="C409" s="46"/>
      <c r="D409" s="67"/>
      <c r="E409" s="68"/>
      <c r="F409" s="68">
        <f>ROUND(+D409*E409,4)</f>
        <v>0</v>
      </c>
      <c r="G409" s="71">
        <f>ROUND(+F409*0.03,4)</f>
        <v>0</v>
      </c>
      <c r="H409" s="45"/>
    </row>
    <row r="410" spans="2:8" x14ac:dyDescent="0.25">
      <c r="B410" s="47"/>
      <c r="C410" s="46"/>
      <c r="D410" s="67"/>
      <c r="E410" s="68"/>
      <c r="F410" s="68">
        <f>ROUND(+D410*E410,4)</f>
        <v>0</v>
      </c>
      <c r="G410" s="71">
        <f>ROUND(+F410*0.03,4)</f>
        <v>0</v>
      </c>
      <c r="H410" s="45"/>
    </row>
    <row r="411" spans="2:8" x14ac:dyDescent="0.25">
      <c r="B411" s="47"/>
      <c r="C411" s="46"/>
      <c r="D411" s="67"/>
      <c r="E411" s="68"/>
      <c r="F411" s="68">
        <f>ROUND(+D411*E411,4)</f>
        <v>0</v>
      </c>
      <c r="G411" s="71">
        <f>ROUND(+F411*0.03,4)</f>
        <v>0</v>
      </c>
      <c r="H411" s="45"/>
    </row>
    <row r="412" spans="2:8" x14ac:dyDescent="0.25">
      <c r="B412" s="47"/>
      <c r="C412" s="46"/>
      <c r="D412" s="67"/>
      <c r="E412" s="68"/>
      <c r="F412" s="68">
        <f>ROUND(+D412*E412,4)</f>
        <v>0</v>
      </c>
      <c r="G412" s="71">
        <f>ROUND(+F412*0.03,4)</f>
        <v>0</v>
      </c>
      <c r="H412" s="45"/>
    </row>
    <row r="413" spans="2:8" x14ac:dyDescent="0.25">
      <c r="B413" s="47"/>
      <c r="C413" s="46"/>
      <c r="D413" s="67"/>
      <c r="E413" s="68"/>
      <c r="F413" s="68">
        <f>ROUND(+D413*E413,4)</f>
        <v>0</v>
      </c>
      <c r="G413" s="71">
        <f>ROUND(+F413*0.03,4)</f>
        <v>0</v>
      </c>
      <c r="H413" s="45"/>
    </row>
    <row r="414" spans="2:8" x14ac:dyDescent="0.25">
      <c r="B414" s="47"/>
      <c r="C414" s="46"/>
      <c r="D414" s="67"/>
      <c r="E414" s="68"/>
      <c r="F414" s="68">
        <f>ROUND(+D414*E414,4)</f>
        <v>0</v>
      </c>
      <c r="G414" s="71">
        <f>ROUND(+F414*0.03,4)</f>
        <v>0</v>
      </c>
      <c r="H414" s="45"/>
    </row>
    <row r="415" spans="2:8" x14ac:dyDescent="0.25">
      <c r="B415" s="47"/>
      <c r="C415" s="46"/>
      <c r="D415" s="67"/>
      <c r="E415" s="68"/>
      <c r="F415" s="68">
        <f>ROUND(+D415*E415,4)</f>
        <v>0</v>
      </c>
      <c r="G415" s="71">
        <f>ROUND(+F415*0.03,4)</f>
        <v>0</v>
      </c>
      <c r="H415" s="45"/>
    </row>
    <row r="416" spans="2:8" x14ac:dyDescent="0.25">
      <c r="B416" s="47"/>
      <c r="C416" s="46"/>
      <c r="D416" s="67"/>
      <c r="E416" s="68"/>
      <c r="F416" s="68">
        <f>ROUND(+D416*E416,4)</f>
        <v>0</v>
      </c>
      <c r="G416" s="71">
        <f>ROUND(+F416*0.03,4)</f>
        <v>0</v>
      </c>
      <c r="H416" s="45"/>
    </row>
    <row r="417" spans="2:8" x14ac:dyDescent="0.25">
      <c r="B417" s="47"/>
      <c r="C417" s="46"/>
      <c r="D417" s="67"/>
      <c r="E417" s="68"/>
      <c r="F417" s="68">
        <f>ROUND(+D417*E417,4)</f>
        <v>0</v>
      </c>
      <c r="G417" s="71">
        <f>ROUND(+F417*0.03,4)</f>
        <v>0</v>
      </c>
      <c r="H417" s="45"/>
    </row>
    <row r="418" spans="2:8" x14ac:dyDescent="0.25">
      <c r="B418" s="47"/>
      <c r="C418" s="46"/>
      <c r="D418" s="67"/>
      <c r="E418" s="68"/>
      <c r="F418" s="68">
        <f>ROUND(+D418*E418,4)</f>
        <v>0</v>
      </c>
      <c r="G418" s="71">
        <f>ROUND(+F418*0.03,4)</f>
        <v>0</v>
      </c>
      <c r="H418" s="45"/>
    </row>
    <row r="419" spans="2:8" x14ac:dyDescent="0.25">
      <c r="B419" s="47"/>
      <c r="C419" s="46"/>
      <c r="D419" s="67"/>
      <c r="E419" s="68"/>
      <c r="F419" s="68">
        <f>ROUND(+D419*E419,4)</f>
        <v>0</v>
      </c>
      <c r="G419" s="71">
        <f>ROUND(+F419*0.03,4)</f>
        <v>0</v>
      </c>
      <c r="H419" s="45"/>
    </row>
    <row r="420" spans="2:8" x14ac:dyDescent="0.25">
      <c r="B420" s="47"/>
      <c r="C420" s="46"/>
      <c r="D420" s="67"/>
      <c r="E420" s="68"/>
      <c r="F420" s="68">
        <f>ROUND(+D420*E420,4)</f>
        <v>0</v>
      </c>
      <c r="G420" s="71">
        <f>ROUND(+F420*0.03,4)</f>
        <v>0</v>
      </c>
      <c r="H420" s="45"/>
    </row>
    <row r="421" spans="2:8" x14ac:dyDescent="0.25">
      <c r="B421" s="47"/>
      <c r="C421" s="46"/>
      <c r="D421" s="67"/>
      <c r="E421" s="68"/>
      <c r="F421" s="68">
        <f>ROUND(+D421*E421,4)</f>
        <v>0</v>
      </c>
      <c r="G421" s="71">
        <f>ROUND(+F421*0.03,4)</f>
        <v>0</v>
      </c>
      <c r="H421" s="45"/>
    </row>
    <row r="422" spans="2:8" x14ac:dyDescent="0.25">
      <c r="B422" s="47"/>
      <c r="C422" s="46"/>
      <c r="D422" s="67"/>
      <c r="E422" s="68"/>
      <c r="F422" s="68">
        <f>ROUND(+D422*E422,4)</f>
        <v>0</v>
      </c>
      <c r="G422" s="71">
        <f>ROUND(+F422*0.03,4)</f>
        <v>0</v>
      </c>
      <c r="H422" s="45"/>
    </row>
    <row r="423" spans="2:8" x14ac:dyDescent="0.25">
      <c r="B423" s="47"/>
      <c r="C423" s="46"/>
      <c r="D423" s="67"/>
      <c r="E423" s="68"/>
      <c r="F423" s="68">
        <f>ROUND(+D423*E423,4)</f>
        <v>0</v>
      </c>
      <c r="G423" s="71">
        <f>ROUND(+F423*0.03,4)</f>
        <v>0</v>
      </c>
      <c r="H423" s="45"/>
    </row>
    <row r="424" spans="2:8" x14ac:dyDescent="0.25">
      <c r="B424" s="47"/>
      <c r="C424" s="46"/>
      <c r="D424" s="67"/>
      <c r="E424" s="68"/>
      <c r="F424" s="68">
        <f>ROUND(+D424*E424,4)</f>
        <v>0</v>
      </c>
      <c r="G424" s="71">
        <f>ROUND(+F424*0.03,4)</f>
        <v>0</v>
      </c>
      <c r="H424" s="45"/>
    </row>
    <row r="425" spans="2:8" x14ac:dyDescent="0.25">
      <c r="B425" s="47"/>
      <c r="C425" s="46"/>
      <c r="D425" s="67"/>
      <c r="E425" s="68"/>
      <c r="F425" s="68">
        <f>ROUND(+D425*E425,4)</f>
        <v>0</v>
      </c>
      <c r="G425" s="71">
        <f>ROUND(+F425*0.03,4)</f>
        <v>0</v>
      </c>
      <c r="H425" s="45"/>
    </row>
    <row r="426" spans="2:8" x14ac:dyDescent="0.25">
      <c r="B426" s="47"/>
      <c r="C426" s="46"/>
      <c r="D426" s="67"/>
      <c r="E426" s="68"/>
      <c r="F426" s="68">
        <f>ROUND(+D426*E426,4)</f>
        <v>0</v>
      </c>
      <c r="G426" s="71">
        <f>ROUND(+F426*0.03,4)</f>
        <v>0</v>
      </c>
      <c r="H426" s="45"/>
    </row>
    <row r="427" spans="2:8" x14ac:dyDescent="0.25">
      <c r="B427" s="47"/>
      <c r="C427" s="46"/>
      <c r="D427" s="67"/>
      <c r="E427" s="68"/>
      <c r="F427" s="68">
        <f>ROUND(+D427*E427,4)</f>
        <v>0</v>
      </c>
      <c r="G427" s="71">
        <f>ROUND(+F427*0.03,4)</f>
        <v>0</v>
      </c>
      <c r="H427" s="45"/>
    </row>
    <row r="428" spans="2:8" x14ac:dyDescent="0.25">
      <c r="B428" s="47"/>
      <c r="C428" s="46"/>
      <c r="D428" s="67"/>
      <c r="E428" s="68"/>
      <c r="F428" s="68">
        <f>ROUND(+D428*E428,4)</f>
        <v>0</v>
      </c>
      <c r="G428" s="71">
        <f>ROUND(+F428*0.03,4)</f>
        <v>0</v>
      </c>
      <c r="H428" s="45"/>
    </row>
    <row r="429" spans="2:8" x14ac:dyDescent="0.25">
      <c r="B429" s="47"/>
      <c r="C429" s="46"/>
      <c r="D429" s="67"/>
      <c r="E429" s="68"/>
      <c r="F429" s="68">
        <f>ROUND(+D429*E429,4)</f>
        <v>0</v>
      </c>
      <c r="G429" s="71">
        <f>ROUND(+F429*0.03,4)</f>
        <v>0</v>
      </c>
      <c r="H429" s="45"/>
    </row>
    <row r="430" spans="2:8" x14ac:dyDescent="0.25">
      <c r="B430" s="47"/>
      <c r="C430" s="46"/>
      <c r="D430" s="67"/>
      <c r="E430" s="68"/>
      <c r="F430" s="68">
        <f>ROUND(+D430*E430,4)</f>
        <v>0</v>
      </c>
      <c r="G430" s="71">
        <f>ROUND(+F430*0.03,4)</f>
        <v>0</v>
      </c>
      <c r="H430" s="45"/>
    </row>
    <row r="431" spans="2:8" x14ac:dyDescent="0.25">
      <c r="B431" s="47"/>
      <c r="C431" s="46"/>
      <c r="D431" s="67"/>
      <c r="E431" s="68"/>
      <c r="F431" s="68">
        <f>ROUND(+D431*E431,4)</f>
        <v>0</v>
      </c>
      <c r="G431" s="71">
        <f>ROUND(+F431*0.03,4)</f>
        <v>0</v>
      </c>
      <c r="H431" s="45"/>
    </row>
    <row r="432" spans="2:8" x14ac:dyDescent="0.25">
      <c r="B432" s="47"/>
      <c r="C432" s="46"/>
      <c r="D432" s="67"/>
      <c r="E432" s="68"/>
      <c r="F432" s="68">
        <f>ROUND(+D432*E432,4)</f>
        <v>0</v>
      </c>
      <c r="G432" s="71">
        <f>ROUND(+F432*0.03,4)</f>
        <v>0</v>
      </c>
      <c r="H432" s="45"/>
    </row>
    <row r="433" spans="2:8" x14ac:dyDescent="0.25">
      <c r="B433" s="47"/>
      <c r="C433" s="46"/>
      <c r="D433" s="67"/>
      <c r="E433" s="68"/>
      <c r="F433" s="68">
        <f>ROUND(+D433*E433,4)</f>
        <v>0</v>
      </c>
      <c r="G433" s="71">
        <f>ROUND(+F433*0.03,4)</f>
        <v>0</v>
      </c>
      <c r="H433" s="45"/>
    </row>
    <row r="434" spans="2:8" x14ac:dyDescent="0.25">
      <c r="B434" s="47"/>
      <c r="C434" s="46"/>
      <c r="D434" s="67"/>
      <c r="E434" s="68"/>
      <c r="F434" s="68">
        <f>ROUND(+D434*E434,4)</f>
        <v>0</v>
      </c>
      <c r="G434" s="71">
        <f>ROUND(+F434*0.03,4)</f>
        <v>0</v>
      </c>
      <c r="H434" s="45"/>
    </row>
    <row r="435" spans="2:8" x14ac:dyDescent="0.25">
      <c r="B435" s="47"/>
      <c r="C435" s="46"/>
      <c r="D435" s="67"/>
      <c r="E435" s="68"/>
      <c r="F435" s="68">
        <f>ROUND(+D435*E435,4)</f>
        <v>0</v>
      </c>
      <c r="G435" s="71">
        <f>ROUND(+F435*0.03,4)</f>
        <v>0</v>
      </c>
      <c r="H435" s="45"/>
    </row>
    <row r="436" spans="2:8" x14ac:dyDescent="0.25">
      <c r="B436" s="47"/>
      <c r="C436" s="46"/>
      <c r="D436" s="67"/>
      <c r="E436" s="68"/>
      <c r="F436" s="68">
        <f>ROUND(+D436*E436,4)</f>
        <v>0</v>
      </c>
      <c r="G436" s="71">
        <f>ROUND(+F436*0.03,4)</f>
        <v>0</v>
      </c>
      <c r="H436" s="45"/>
    </row>
    <row r="437" spans="2:8" x14ac:dyDescent="0.25">
      <c r="B437" s="47"/>
      <c r="C437" s="46"/>
      <c r="D437" s="67"/>
      <c r="E437" s="68"/>
      <c r="F437" s="68">
        <f>ROUND(+D437*E437,4)</f>
        <v>0</v>
      </c>
      <c r="G437" s="71">
        <f>ROUND(+F437*0.03,4)</f>
        <v>0</v>
      </c>
      <c r="H437" s="45"/>
    </row>
    <row r="438" spans="2:8" x14ac:dyDescent="0.25">
      <c r="B438" s="47"/>
      <c r="C438" s="46"/>
      <c r="D438" s="67"/>
      <c r="E438" s="68"/>
      <c r="F438" s="68">
        <f>ROUND(+D438*E438,4)</f>
        <v>0</v>
      </c>
      <c r="G438" s="71">
        <f>ROUND(+F438*0.03,4)</f>
        <v>0</v>
      </c>
      <c r="H438" s="45"/>
    </row>
    <row r="439" spans="2:8" x14ac:dyDescent="0.25">
      <c r="B439" s="47"/>
      <c r="C439" s="46"/>
      <c r="D439" s="67"/>
      <c r="E439" s="68"/>
      <c r="F439" s="68">
        <f>ROUND(+D439*E439,4)</f>
        <v>0</v>
      </c>
      <c r="G439" s="71">
        <f>ROUND(+F439*0.03,4)</f>
        <v>0</v>
      </c>
      <c r="H439" s="45"/>
    </row>
    <row r="440" spans="2:8" x14ac:dyDescent="0.25">
      <c r="B440" s="47"/>
      <c r="C440" s="46"/>
      <c r="D440" s="67"/>
      <c r="E440" s="68"/>
      <c r="F440" s="68">
        <f>ROUND(+D440*E440,4)</f>
        <v>0</v>
      </c>
      <c r="G440" s="71">
        <f>ROUND(+F440*0.03,4)</f>
        <v>0</v>
      </c>
      <c r="H440" s="45"/>
    </row>
    <row r="441" spans="2:8" x14ac:dyDescent="0.25">
      <c r="B441" s="47"/>
      <c r="C441" s="46"/>
      <c r="D441" s="67"/>
      <c r="E441" s="68"/>
      <c r="F441" s="68">
        <f>ROUND(+D441*E441,4)</f>
        <v>0</v>
      </c>
      <c r="G441" s="71">
        <f>ROUND(+F441*0.03,4)</f>
        <v>0</v>
      </c>
      <c r="H441" s="45"/>
    </row>
    <row r="442" spans="2:8" x14ac:dyDescent="0.25">
      <c r="B442" s="47"/>
      <c r="C442" s="46"/>
      <c r="D442" s="67"/>
      <c r="E442" s="68"/>
      <c r="F442" s="68">
        <f>ROUND(+D442*E442,4)</f>
        <v>0</v>
      </c>
      <c r="G442" s="71">
        <f>ROUND(+F442*0.03,4)</f>
        <v>0</v>
      </c>
      <c r="H442" s="45"/>
    </row>
    <row r="443" spans="2:8" x14ac:dyDescent="0.25">
      <c r="B443" s="47"/>
      <c r="C443" s="46"/>
      <c r="D443" s="67"/>
      <c r="E443" s="68"/>
      <c r="F443" s="68">
        <f>ROUND(+D443*E443,4)</f>
        <v>0</v>
      </c>
      <c r="G443" s="71">
        <f>ROUND(+F443*0.03,4)</f>
        <v>0</v>
      </c>
      <c r="H443" s="45"/>
    </row>
    <row r="444" spans="2:8" x14ac:dyDescent="0.25">
      <c r="B444" s="47"/>
      <c r="C444" s="46"/>
      <c r="D444" s="67"/>
      <c r="E444" s="68"/>
      <c r="F444" s="68">
        <f>ROUND(+D444*E444,4)</f>
        <v>0</v>
      </c>
      <c r="G444" s="71">
        <f>ROUND(+F444*0.03,4)</f>
        <v>0</v>
      </c>
      <c r="H444" s="45"/>
    </row>
    <row r="445" spans="2:8" x14ac:dyDescent="0.25">
      <c r="B445" s="47"/>
      <c r="C445" s="46"/>
      <c r="D445" s="67"/>
      <c r="E445" s="68"/>
      <c r="F445" s="68">
        <f>ROUND(+D445*E445,4)</f>
        <v>0</v>
      </c>
      <c r="G445" s="71">
        <f>ROUND(+F445*0.03,4)</f>
        <v>0</v>
      </c>
      <c r="H445" s="45"/>
    </row>
    <row r="446" spans="2:8" x14ac:dyDescent="0.25">
      <c r="B446" s="47"/>
      <c r="C446" s="46"/>
      <c r="D446" s="67"/>
      <c r="E446" s="68"/>
      <c r="F446" s="68">
        <f>ROUND(+D446*E446,4)</f>
        <v>0</v>
      </c>
      <c r="G446" s="71">
        <f>ROUND(+F446*0.03,4)</f>
        <v>0</v>
      </c>
      <c r="H446" s="45"/>
    </row>
    <row r="447" spans="2:8" x14ac:dyDescent="0.25">
      <c r="B447" s="47"/>
      <c r="C447" s="46"/>
      <c r="D447" s="67"/>
      <c r="E447" s="68"/>
      <c r="F447" s="68">
        <f>ROUND(+D447*E447,4)</f>
        <v>0</v>
      </c>
      <c r="G447" s="71">
        <f>ROUND(+F447*0.03,4)</f>
        <v>0</v>
      </c>
      <c r="H447" s="45"/>
    </row>
    <row r="448" spans="2:8" x14ac:dyDescent="0.25">
      <c r="B448" s="47"/>
      <c r="C448" s="46"/>
      <c r="D448" s="67"/>
      <c r="E448" s="68"/>
      <c r="F448" s="68">
        <f>ROUND(+D448*E448,4)</f>
        <v>0</v>
      </c>
      <c r="G448" s="71">
        <f>ROUND(+F448*0.03,4)</f>
        <v>0</v>
      </c>
      <c r="H448" s="45"/>
    </row>
    <row r="449" spans="2:8" x14ac:dyDescent="0.25">
      <c r="B449" s="47"/>
      <c r="C449" s="46"/>
      <c r="D449" s="67"/>
      <c r="E449" s="68"/>
      <c r="F449" s="68">
        <f>ROUND(+D449*E449,4)</f>
        <v>0</v>
      </c>
      <c r="G449" s="71">
        <f>ROUND(+F449*0.03,4)</f>
        <v>0</v>
      </c>
      <c r="H449" s="45"/>
    </row>
    <row r="450" spans="2:8" x14ac:dyDescent="0.25">
      <c r="B450" s="47"/>
      <c r="C450" s="46"/>
      <c r="D450" s="67"/>
      <c r="E450" s="68"/>
      <c r="F450" s="68">
        <f>ROUND(+D450*E450,4)</f>
        <v>0</v>
      </c>
      <c r="G450" s="71">
        <f>ROUND(+F450*0.03,4)</f>
        <v>0</v>
      </c>
      <c r="H450" s="45"/>
    </row>
    <row r="451" spans="2:8" x14ac:dyDescent="0.25">
      <c r="B451" s="47"/>
      <c r="C451" s="46"/>
      <c r="D451" s="67"/>
      <c r="E451" s="68"/>
      <c r="F451" s="68">
        <f>ROUND(+D451*E451,4)</f>
        <v>0</v>
      </c>
      <c r="G451" s="71">
        <f>ROUND(+F451*0.03,4)</f>
        <v>0</v>
      </c>
      <c r="H451" s="45"/>
    </row>
    <row r="452" spans="2:8" x14ac:dyDescent="0.25">
      <c r="B452" s="47"/>
      <c r="C452" s="46"/>
      <c r="D452" s="67"/>
      <c r="E452" s="68"/>
      <c r="F452" s="68">
        <f>ROUND(+D452*E452,4)</f>
        <v>0</v>
      </c>
      <c r="G452" s="71">
        <f>ROUND(+F452*0.03,4)</f>
        <v>0</v>
      </c>
      <c r="H452" s="45"/>
    </row>
    <row r="453" spans="2:8" x14ac:dyDescent="0.25">
      <c r="B453" s="47"/>
      <c r="C453" s="46"/>
      <c r="D453" s="67"/>
      <c r="E453" s="68"/>
      <c r="F453" s="68">
        <f>ROUND(+D453*E453,4)</f>
        <v>0</v>
      </c>
      <c r="G453" s="71">
        <f>ROUND(+F453*0.03,4)</f>
        <v>0</v>
      </c>
      <c r="H453" s="45"/>
    </row>
    <row r="454" spans="2:8" x14ac:dyDescent="0.25">
      <c r="B454" s="47"/>
      <c r="C454" s="46"/>
      <c r="D454" s="67"/>
      <c r="E454" s="68"/>
      <c r="F454" s="68">
        <f>ROUND(+D454*E454,4)</f>
        <v>0</v>
      </c>
      <c r="G454" s="71">
        <f>ROUND(+F454*0.03,4)</f>
        <v>0</v>
      </c>
      <c r="H454" s="45"/>
    </row>
    <row r="455" spans="2:8" x14ac:dyDescent="0.25">
      <c r="B455" s="47"/>
      <c r="C455" s="46"/>
      <c r="D455" s="67"/>
      <c r="E455" s="68"/>
      <c r="F455" s="68">
        <f>ROUND(+D455*E455,4)</f>
        <v>0</v>
      </c>
      <c r="G455" s="71">
        <f>ROUND(+F455*0.03,4)</f>
        <v>0</v>
      </c>
      <c r="H455" s="45"/>
    </row>
    <row r="456" spans="2:8" x14ac:dyDescent="0.25">
      <c r="B456" s="47"/>
      <c r="C456" s="46"/>
      <c r="D456" s="67"/>
      <c r="E456" s="68"/>
      <c r="F456" s="68">
        <f>ROUND(+D456*E456,4)</f>
        <v>0</v>
      </c>
      <c r="G456" s="71">
        <f>ROUND(+F456*0.03,4)</f>
        <v>0</v>
      </c>
      <c r="H456" s="45"/>
    </row>
    <row r="457" spans="2:8" x14ac:dyDescent="0.25">
      <c r="B457" s="47"/>
      <c r="C457" s="46"/>
      <c r="D457" s="67"/>
      <c r="E457" s="68"/>
      <c r="F457" s="68">
        <f>ROUND(+D457*E457,4)</f>
        <v>0</v>
      </c>
      <c r="G457" s="71">
        <f>ROUND(+F457*0.03,4)</f>
        <v>0</v>
      </c>
      <c r="H457" s="45"/>
    </row>
    <row r="458" spans="2:8" x14ac:dyDescent="0.25">
      <c r="B458" s="47"/>
      <c r="C458" s="46"/>
      <c r="D458" s="67"/>
      <c r="E458" s="68"/>
      <c r="F458" s="68">
        <f>ROUND(+D458*E458,4)</f>
        <v>0</v>
      </c>
      <c r="G458" s="71">
        <f>ROUND(+F458*0.03,4)</f>
        <v>0</v>
      </c>
      <c r="H458" s="45"/>
    </row>
    <row r="459" spans="2:8" x14ac:dyDescent="0.25">
      <c r="B459" s="47"/>
      <c r="C459" s="46"/>
      <c r="D459" s="67"/>
      <c r="E459" s="68"/>
      <c r="F459" s="68">
        <f>ROUND(+D459*E459,4)</f>
        <v>0</v>
      </c>
      <c r="G459" s="71">
        <f>ROUND(+F459*0.03,4)</f>
        <v>0</v>
      </c>
      <c r="H459" s="45"/>
    </row>
    <row r="460" spans="2:8" x14ac:dyDescent="0.25">
      <c r="B460" s="47"/>
      <c r="C460" s="46"/>
      <c r="D460" s="67"/>
      <c r="E460" s="68"/>
      <c r="F460" s="68">
        <f>ROUND(+D460*E460,4)</f>
        <v>0</v>
      </c>
      <c r="G460" s="71">
        <f>ROUND(+F460*0.03,4)</f>
        <v>0</v>
      </c>
      <c r="H460" s="45"/>
    </row>
    <row r="461" spans="2:8" x14ac:dyDescent="0.25">
      <c r="B461" s="47"/>
      <c r="C461" s="46"/>
      <c r="D461" s="67"/>
      <c r="E461" s="68"/>
      <c r="F461" s="68">
        <f>ROUND(+D461*E461,4)</f>
        <v>0</v>
      </c>
      <c r="G461" s="71">
        <f>ROUND(+F461*0.03,4)</f>
        <v>0</v>
      </c>
      <c r="H461" s="45"/>
    </row>
    <row r="462" spans="2:8" x14ac:dyDescent="0.25">
      <c r="B462" s="47"/>
      <c r="C462" s="46"/>
      <c r="D462" s="67"/>
      <c r="E462" s="68"/>
      <c r="F462" s="68">
        <f>ROUND(+D462*E462,4)</f>
        <v>0</v>
      </c>
      <c r="G462" s="71">
        <f>ROUND(+F462*0.03,4)</f>
        <v>0</v>
      </c>
      <c r="H462" s="45"/>
    </row>
    <row r="463" spans="2:8" x14ac:dyDescent="0.25">
      <c r="B463" s="47"/>
      <c r="C463" s="46"/>
      <c r="D463" s="67"/>
      <c r="E463" s="68"/>
      <c r="F463" s="68">
        <f>ROUND(+D463*E463,4)</f>
        <v>0</v>
      </c>
      <c r="G463" s="71">
        <f>ROUND(+F463*0.03,4)</f>
        <v>0</v>
      </c>
      <c r="H463" s="45"/>
    </row>
    <row r="464" spans="2:8" x14ac:dyDescent="0.25">
      <c r="B464" s="47"/>
      <c r="C464" s="46"/>
      <c r="D464" s="67"/>
      <c r="E464" s="68"/>
      <c r="F464" s="68">
        <f>ROUND(+D464*E464,4)</f>
        <v>0</v>
      </c>
      <c r="G464" s="71">
        <f>ROUND(+F464*0.03,4)</f>
        <v>0</v>
      </c>
      <c r="H464" s="45"/>
    </row>
    <row r="465" spans="2:8" x14ac:dyDescent="0.25">
      <c r="B465" s="47"/>
      <c r="C465" s="46"/>
      <c r="D465" s="67"/>
      <c r="E465" s="68"/>
      <c r="F465" s="68">
        <f>ROUND(+D465*E465,4)</f>
        <v>0</v>
      </c>
      <c r="G465" s="71">
        <f>ROUND(+F465*0.03,4)</f>
        <v>0</v>
      </c>
      <c r="H465" s="45"/>
    </row>
    <row r="466" spans="2:8" x14ac:dyDescent="0.25">
      <c r="B466" s="47"/>
      <c r="C466" s="46"/>
      <c r="D466" s="67"/>
      <c r="E466" s="68"/>
      <c r="F466" s="68">
        <f>ROUND(+D466*E466,4)</f>
        <v>0</v>
      </c>
      <c r="G466" s="71">
        <f>ROUND(+F466*0.03,4)</f>
        <v>0</v>
      </c>
      <c r="H466" s="45"/>
    </row>
    <row r="467" spans="2:8" x14ac:dyDescent="0.25">
      <c r="B467" s="47"/>
      <c r="C467" s="46"/>
      <c r="D467" s="67"/>
      <c r="E467" s="68"/>
      <c r="F467" s="68">
        <f>ROUND(+D467*E467,4)</f>
        <v>0</v>
      </c>
      <c r="G467" s="71">
        <f>ROUND(+F467*0.03,4)</f>
        <v>0</v>
      </c>
      <c r="H467" s="45"/>
    </row>
    <row r="468" spans="2:8" x14ac:dyDescent="0.25">
      <c r="B468" s="47"/>
      <c r="C468" s="46"/>
      <c r="D468" s="67"/>
      <c r="E468" s="68"/>
      <c r="F468" s="68">
        <f>ROUND(+D468*E468,4)</f>
        <v>0</v>
      </c>
      <c r="G468" s="71">
        <f>ROUND(+F468*0.03,4)</f>
        <v>0</v>
      </c>
      <c r="H468" s="45"/>
    </row>
    <row r="469" spans="2:8" x14ac:dyDescent="0.25">
      <c r="B469" s="47"/>
      <c r="C469" s="46"/>
      <c r="D469" s="67"/>
      <c r="E469" s="68"/>
      <c r="F469" s="68">
        <f>ROUND(+D469*E469,4)</f>
        <v>0</v>
      </c>
      <c r="G469" s="71">
        <f>ROUND(+F469*0.03,4)</f>
        <v>0</v>
      </c>
      <c r="H469" s="45"/>
    </row>
    <row r="470" spans="2:8" x14ac:dyDescent="0.25">
      <c r="B470" s="47"/>
      <c r="C470" s="46"/>
      <c r="D470" s="67"/>
      <c r="E470" s="68"/>
      <c r="F470" s="68">
        <f>ROUND(+D470*E470,4)</f>
        <v>0</v>
      </c>
      <c r="G470" s="71">
        <f>ROUND(+F470*0.03,4)</f>
        <v>0</v>
      </c>
      <c r="H470" s="45"/>
    </row>
    <row r="471" spans="2:8" x14ac:dyDescent="0.25">
      <c r="B471" s="47"/>
      <c r="C471" s="46"/>
      <c r="D471" s="67"/>
      <c r="E471" s="68"/>
      <c r="F471" s="68">
        <f>ROUND(+D471*E471,4)</f>
        <v>0</v>
      </c>
      <c r="G471" s="71">
        <f>ROUND(+F471*0.03,4)</f>
        <v>0</v>
      </c>
      <c r="H471" s="45"/>
    </row>
    <row r="472" spans="2:8" x14ac:dyDescent="0.25">
      <c r="B472" s="47"/>
      <c r="C472" s="46"/>
      <c r="D472" s="67"/>
      <c r="E472" s="68"/>
      <c r="F472" s="68">
        <f>ROUND(+D472*E472,4)</f>
        <v>0</v>
      </c>
      <c r="G472" s="71">
        <f>ROUND(+F472*0.03,4)</f>
        <v>0</v>
      </c>
      <c r="H472" s="45"/>
    </row>
    <row r="473" spans="2:8" x14ac:dyDescent="0.25">
      <c r="B473" s="47"/>
      <c r="C473" s="46"/>
      <c r="D473" s="67"/>
      <c r="E473" s="68"/>
      <c r="F473" s="68">
        <f>ROUND(+D473*E473,4)</f>
        <v>0</v>
      </c>
      <c r="G473" s="71">
        <f>ROUND(+F473*0.03,4)</f>
        <v>0</v>
      </c>
      <c r="H473" s="45"/>
    </row>
    <row r="474" spans="2:8" x14ac:dyDescent="0.25">
      <c r="B474" s="47"/>
      <c r="C474" s="46"/>
      <c r="D474" s="67"/>
      <c r="E474" s="68"/>
      <c r="F474" s="68">
        <f>ROUND(+D474*E474,4)</f>
        <v>0</v>
      </c>
      <c r="G474" s="71">
        <f>ROUND(+F474*0.03,4)</f>
        <v>0</v>
      </c>
      <c r="H474" s="45"/>
    </row>
    <row r="475" spans="2:8" x14ac:dyDescent="0.25">
      <c r="B475" s="47"/>
      <c r="C475" s="46"/>
      <c r="D475" s="67"/>
      <c r="E475" s="68"/>
      <c r="F475" s="68">
        <f>ROUND(+D475*E475,4)</f>
        <v>0</v>
      </c>
      <c r="G475" s="71">
        <f>ROUND(+F475*0.03,4)</f>
        <v>0</v>
      </c>
      <c r="H475" s="45"/>
    </row>
    <row r="476" spans="2:8" x14ac:dyDescent="0.25">
      <c r="B476" s="47"/>
      <c r="C476" s="46"/>
      <c r="D476" s="67"/>
      <c r="E476" s="68"/>
      <c r="F476" s="68">
        <f>ROUND(+D476*E476,4)</f>
        <v>0</v>
      </c>
      <c r="G476" s="71">
        <f>ROUND(+F476*0.03,4)</f>
        <v>0</v>
      </c>
      <c r="H476" s="45"/>
    </row>
    <row r="477" spans="2:8" x14ac:dyDescent="0.25">
      <c r="B477" s="47"/>
      <c r="C477" s="46"/>
      <c r="D477" s="67"/>
      <c r="E477" s="68"/>
      <c r="F477" s="68">
        <f>ROUND(+D477*E477,4)</f>
        <v>0</v>
      </c>
      <c r="G477" s="71">
        <f>ROUND(+F477*0.03,4)</f>
        <v>0</v>
      </c>
      <c r="H477" s="45"/>
    </row>
    <row r="478" spans="2:8" x14ac:dyDescent="0.25">
      <c r="B478" s="47"/>
      <c r="C478" s="46"/>
      <c r="D478" s="67"/>
      <c r="E478" s="68"/>
      <c r="F478" s="68">
        <f>ROUND(+D478*E478,4)</f>
        <v>0</v>
      </c>
      <c r="G478" s="71">
        <f>ROUND(+F478*0.03,4)</f>
        <v>0</v>
      </c>
      <c r="H478" s="45"/>
    </row>
    <row r="479" spans="2:8" x14ac:dyDescent="0.25">
      <c r="B479" s="47"/>
      <c r="C479" s="46"/>
      <c r="D479" s="67"/>
      <c r="E479" s="68"/>
      <c r="F479" s="68">
        <f>ROUND(+D479*E479,4)</f>
        <v>0</v>
      </c>
      <c r="G479" s="71">
        <f>ROUND(+F479*0.03,4)</f>
        <v>0</v>
      </c>
      <c r="H479" s="45"/>
    </row>
    <row r="480" spans="2:8" x14ac:dyDescent="0.25">
      <c r="B480" s="47"/>
      <c r="C480" s="46"/>
      <c r="D480" s="67"/>
      <c r="E480" s="68"/>
      <c r="F480" s="68">
        <f>ROUND(+D480*E480,4)</f>
        <v>0</v>
      </c>
      <c r="G480" s="71">
        <f>ROUND(+F480*0.03,4)</f>
        <v>0</v>
      </c>
      <c r="H480" s="45"/>
    </row>
    <row r="481" spans="2:8" x14ac:dyDescent="0.25">
      <c r="B481" s="47"/>
      <c r="C481" s="46"/>
      <c r="D481" s="67"/>
      <c r="E481" s="68"/>
      <c r="F481" s="68">
        <f>ROUND(+D481*E481,4)</f>
        <v>0</v>
      </c>
      <c r="G481" s="71">
        <f>ROUND(+F481*0.03,4)</f>
        <v>0</v>
      </c>
      <c r="H481" s="45"/>
    </row>
    <row r="482" spans="2:8" x14ac:dyDescent="0.25">
      <c r="B482" s="47"/>
      <c r="C482" s="46"/>
      <c r="D482" s="67"/>
      <c r="E482" s="68"/>
      <c r="F482" s="68">
        <f>ROUND(+D482*E482,4)</f>
        <v>0</v>
      </c>
      <c r="G482" s="71">
        <f>ROUND(+F482*0.03,4)</f>
        <v>0</v>
      </c>
      <c r="H482" s="45"/>
    </row>
    <row r="483" spans="2:8" x14ac:dyDescent="0.25">
      <c r="B483" s="47"/>
      <c r="C483" s="46"/>
      <c r="D483" s="67"/>
      <c r="E483" s="68"/>
      <c r="F483" s="68">
        <f>ROUND(+D483*E483,4)</f>
        <v>0</v>
      </c>
      <c r="G483" s="71">
        <f>ROUND(+F483*0.03,4)</f>
        <v>0</v>
      </c>
      <c r="H483" s="45"/>
    </row>
    <row r="484" spans="2:8" x14ac:dyDescent="0.25">
      <c r="B484" s="47"/>
      <c r="C484" s="46"/>
      <c r="D484" s="67"/>
      <c r="E484" s="68"/>
      <c r="F484" s="68">
        <f>ROUND(+D484*E484,4)</f>
        <v>0</v>
      </c>
      <c r="G484" s="71">
        <f>ROUND(+F484*0.03,4)</f>
        <v>0</v>
      </c>
      <c r="H484" s="45"/>
    </row>
    <row r="485" spans="2:8" x14ac:dyDescent="0.25">
      <c r="B485" s="47"/>
      <c r="C485" s="46"/>
      <c r="D485" s="67"/>
      <c r="E485" s="68"/>
      <c r="F485" s="68">
        <f>ROUND(+D485*E485,4)</f>
        <v>0</v>
      </c>
      <c r="G485" s="71">
        <f>ROUND(+F485*0.03,4)</f>
        <v>0</v>
      </c>
      <c r="H485" s="45"/>
    </row>
    <row r="486" spans="2:8" x14ac:dyDescent="0.25">
      <c r="B486" s="47"/>
      <c r="C486" s="46"/>
      <c r="D486" s="67"/>
      <c r="E486" s="68"/>
      <c r="F486" s="68">
        <f>ROUND(+D486*E486,4)</f>
        <v>0</v>
      </c>
      <c r="G486" s="71">
        <f>ROUND(+F486*0.03,4)</f>
        <v>0</v>
      </c>
      <c r="H486" s="45"/>
    </row>
    <row r="487" spans="2:8" x14ac:dyDescent="0.25">
      <c r="B487" s="47"/>
      <c r="C487" s="46"/>
      <c r="D487" s="67"/>
      <c r="E487" s="68"/>
      <c r="F487" s="68">
        <f>ROUND(+D487*E487,4)</f>
        <v>0</v>
      </c>
      <c r="G487" s="71">
        <f>ROUND(+F487*0.03,4)</f>
        <v>0</v>
      </c>
      <c r="H487" s="45"/>
    </row>
    <row r="488" spans="2:8" x14ac:dyDescent="0.25">
      <c r="B488" s="47"/>
      <c r="C488" s="46"/>
      <c r="D488" s="67"/>
      <c r="E488" s="68"/>
      <c r="F488" s="68">
        <f>ROUND(+D488*E488,4)</f>
        <v>0</v>
      </c>
      <c r="G488" s="71">
        <f>ROUND(+F488*0.03,4)</f>
        <v>0</v>
      </c>
      <c r="H488" s="45"/>
    </row>
    <row r="489" spans="2:8" x14ac:dyDescent="0.25">
      <c r="B489" s="47"/>
      <c r="C489" s="46"/>
      <c r="D489" s="67"/>
      <c r="E489" s="68"/>
      <c r="F489" s="68">
        <f>ROUND(+D489*E489,4)</f>
        <v>0</v>
      </c>
      <c r="G489" s="71">
        <f>ROUND(+F489*0.03,4)</f>
        <v>0</v>
      </c>
      <c r="H489" s="45"/>
    </row>
    <row r="490" spans="2:8" x14ac:dyDescent="0.25">
      <c r="B490" s="47"/>
      <c r="C490" s="46"/>
      <c r="D490" s="67"/>
      <c r="E490" s="68"/>
      <c r="F490" s="68">
        <f>ROUND(+D490*E490,4)</f>
        <v>0</v>
      </c>
      <c r="G490" s="71">
        <f>ROUND(+F490*0.03,4)</f>
        <v>0</v>
      </c>
      <c r="H490" s="45"/>
    </row>
    <row r="491" spans="2:8" x14ac:dyDescent="0.25">
      <c r="B491" s="47"/>
      <c r="C491" s="46"/>
      <c r="D491" s="67"/>
      <c r="E491" s="68"/>
      <c r="F491" s="68">
        <f>ROUND(+D491*E491,4)</f>
        <v>0</v>
      </c>
      <c r="G491" s="71">
        <f>ROUND(+F491*0.03,4)</f>
        <v>0</v>
      </c>
      <c r="H491" s="45"/>
    </row>
    <row r="492" spans="2:8" x14ac:dyDescent="0.25">
      <c r="B492" s="47"/>
      <c r="C492" s="46"/>
      <c r="D492" s="67"/>
      <c r="E492" s="68"/>
      <c r="F492" s="68">
        <f>ROUND(+D492*E492,4)</f>
        <v>0</v>
      </c>
      <c r="G492" s="71">
        <f>ROUND(+F492*0.03,4)</f>
        <v>0</v>
      </c>
      <c r="H492" s="45"/>
    </row>
    <row r="493" spans="2:8" x14ac:dyDescent="0.25">
      <c r="B493" s="47"/>
      <c r="C493" s="46"/>
      <c r="D493" s="67"/>
      <c r="E493" s="68"/>
      <c r="F493" s="68">
        <f>ROUND(+D493*E493,4)</f>
        <v>0</v>
      </c>
      <c r="G493" s="71">
        <f>ROUND(+F493*0.03,4)</f>
        <v>0</v>
      </c>
      <c r="H493" s="45"/>
    </row>
    <row r="494" spans="2:8" x14ac:dyDescent="0.25">
      <c r="B494" s="47"/>
      <c r="C494" s="46"/>
      <c r="D494" s="67"/>
      <c r="E494" s="68"/>
      <c r="F494" s="68">
        <f>ROUND(+D494*E494,4)</f>
        <v>0</v>
      </c>
      <c r="G494" s="71">
        <f>ROUND(+F494*0.03,4)</f>
        <v>0</v>
      </c>
      <c r="H494" s="45"/>
    </row>
    <row r="495" spans="2:8" x14ac:dyDescent="0.25">
      <c r="B495" s="47"/>
      <c r="C495" s="46"/>
      <c r="D495" s="67"/>
      <c r="E495" s="68"/>
      <c r="F495" s="68">
        <f>ROUND(+D495*E495,4)</f>
        <v>0</v>
      </c>
      <c r="G495" s="71">
        <f>ROUND(+F495*0.03,4)</f>
        <v>0</v>
      </c>
      <c r="H495" s="45"/>
    </row>
    <row r="496" spans="2:8" x14ac:dyDescent="0.25">
      <c r="B496" s="47"/>
      <c r="C496" s="46"/>
      <c r="D496" s="67"/>
      <c r="E496" s="68"/>
      <c r="F496" s="68">
        <f>ROUND(+D496*E496,4)</f>
        <v>0</v>
      </c>
      <c r="G496" s="71">
        <f>ROUND(+F496*0.03,4)</f>
        <v>0</v>
      </c>
      <c r="H496" s="45"/>
    </row>
    <row r="497" spans="2:8" x14ac:dyDescent="0.25">
      <c r="B497" s="47"/>
      <c r="C497" s="46"/>
      <c r="D497" s="67"/>
      <c r="E497" s="68"/>
      <c r="F497" s="68">
        <f>ROUND(+D497*E497,4)</f>
        <v>0</v>
      </c>
      <c r="G497" s="71">
        <f>ROUND(+F497*0.03,4)</f>
        <v>0</v>
      </c>
      <c r="H497" s="45"/>
    </row>
    <row r="498" spans="2:8" x14ac:dyDescent="0.25">
      <c r="B498" s="47"/>
      <c r="C498" s="46"/>
      <c r="D498" s="67"/>
      <c r="E498" s="68"/>
      <c r="F498" s="68">
        <f>ROUND(+D498*E498,4)</f>
        <v>0</v>
      </c>
      <c r="G498" s="71">
        <f>ROUND(+F498*0.03,4)</f>
        <v>0</v>
      </c>
      <c r="H498" s="45"/>
    </row>
    <row r="499" spans="2:8" x14ac:dyDescent="0.25">
      <c r="B499" s="47"/>
      <c r="C499" s="46"/>
      <c r="D499" s="67"/>
      <c r="E499" s="68"/>
      <c r="F499" s="68">
        <f>ROUND(+D499*E499,4)</f>
        <v>0</v>
      </c>
      <c r="G499" s="71">
        <f>ROUND(+F499*0.03,4)</f>
        <v>0</v>
      </c>
      <c r="H499" s="45"/>
    </row>
    <row r="500" spans="2:8" x14ac:dyDescent="0.25">
      <c r="B500" s="47"/>
      <c r="C500" s="46"/>
      <c r="D500" s="67"/>
      <c r="E500" s="68"/>
      <c r="F500" s="68">
        <f>ROUND(+D500*E500,4)</f>
        <v>0</v>
      </c>
      <c r="G500" s="71">
        <f>ROUND(+F500*0.03,4)</f>
        <v>0</v>
      </c>
      <c r="H500" s="45"/>
    </row>
    <row r="501" spans="2:8" x14ac:dyDescent="0.25">
      <c r="B501" s="47"/>
      <c r="C501" s="46"/>
      <c r="D501" s="67"/>
      <c r="E501" s="68"/>
      <c r="F501" s="68">
        <f>ROUND(+D501*E501,4)</f>
        <v>0</v>
      </c>
      <c r="G501" s="71">
        <f>ROUND(+F501*0.03,4)</f>
        <v>0</v>
      </c>
      <c r="H501" s="45"/>
    </row>
    <row r="502" spans="2:8" x14ac:dyDescent="0.25">
      <c r="B502" s="47"/>
      <c r="C502" s="46"/>
      <c r="D502" s="67"/>
      <c r="E502" s="68"/>
      <c r="F502" s="68">
        <f>ROUND(+D502*E502,4)</f>
        <v>0</v>
      </c>
      <c r="G502" s="71">
        <f>ROUND(+F502*0.03,4)</f>
        <v>0</v>
      </c>
      <c r="H502" s="45"/>
    </row>
    <row r="503" spans="2:8" x14ac:dyDescent="0.25">
      <c r="B503" s="47"/>
      <c r="C503" s="46"/>
      <c r="D503" s="67"/>
      <c r="E503" s="68"/>
      <c r="F503" s="68">
        <f>ROUND(+D503*E503,4)</f>
        <v>0</v>
      </c>
      <c r="G503" s="71">
        <f>ROUND(+F503*0.03,4)</f>
        <v>0</v>
      </c>
      <c r="H503" s="45"/>
    </row>
    <row r="504" spans="2:8" x14ac:dyDescent="0.25">
      <c r="B504" s="47"/>
      <c r="C504" s="46"/>
      <c r="D504" s="67"/>
      <c r="E504" s="68"/>
      <c r="F504" s="68">
        <f>ROUND(+D504*E504,4)</f>
        <v>0</v>
      </c>
      <c r="G504" s="71">
        <f>ROUND(+F504*0.03,4)</f>
        <v>0</v>
      </c>
      <c r="H504" s="45"/>
    </row>
    <row r="505" spans="2:8" x14ac:dyDescent="0.25">
      <c r="B505" s="47"/>
      <c r="C505" s="46"/>
      <c r="D505" s="67"/>
      <c r="E505" s="68"/>
      <c r="F505" s="68">
        <f>ROUND(+D505*E505,4)</f>
        <v>0</v>
      </c>
      <c r="G505" s="71">
        <f>ROUND(+F505*0.03,4)</f>
        <v>0</v>
      </c>
      <c r="H505" s="45"/>
    </row>
    <row r="506" spans="2:8" x14ac:dyDescent="0.25">
      <c r="B506" s="47"/>
      <c r="C506" s="46"/>
      <c r="D506" s="67"/>
      <c r="E506" s="68"/>
      <c r="F506" s="68">
        <f>ROUND(+D506*E506,4)</f>
        <v>0</v>
      </c>
      <c r="G506" s="71">
        <f>ROUND(+F506*0.03,4)</f>
        <v>0</v>
      </c>
      <c r="H506" s="45"/>
    </row>
    <row r="507" spans="2:8" x14ac:dyDescent="0.25">
      <c r="B507" s="47"/>
      <c r="C507" s="46"/>
      <c r="D507" s="67"/>
      <c r="E507" s="68"/>
      <c r="F507" s="68">
        <f>ROUND(+D507*E507,4)</f>
        <v>0</v>
      </c>
      <c r="G507" s="71">
        <f>ROUND(+F507*0.03,4)</f>
        <v>0</v>
      </c>
      <c r="H507" s="45"/>
    </row>
    <row r="508" spans="2:8" x14ac:dyDescent="0.25">
      <c r="B508" s="47"/>
      <c r="C508" s="46"/>
      <c r="D508" s="67"/>
      <c r="E508" s="68"/>
      <c r="F508" s="68">
        <f>ROUND(+D508*E508,4)</f>
        <v>0</v>
      </c>
      <c r="G508" s="71">
        <f>ROUND(+F508*0.03,4)</f>
        <v>0</v>
      </c>
      <c r="H508" s="45"/>
    </row>
    <row r="509" spans="2:8" x14ac:dyDescent="0.25">
      <c r="B509" s="47"/>
      <c r="C509" s="46"/>
      <c r="D509" s="67"/>
      <c r="E509" s="68"/>
      <c r="F509" s="68">
        <f>ROUND(+D509*E509,4)</f>
        <v>0</v>
      </c>
      <c r="G509" s="71">
        <f>ROUND(+F509*0.03,4)</f>
        <v>0</v>
      </c>
      <c r="H509" s="45"/>
    </row>
    <row r="510" spans="2:8" x14ac:dyDescent="0.25">
      <c r="B510" s="47"/>
      <c r="C510" s="46"/>
      <c r="D510" s="67"/>
      <c r="E510" s="68"/>
      <c r="F510" s="68">
        <f>ROUND(+D510*E510,4)</f>
        <v>0</v>
      </c>
      <c r="G510" s="71">
        <f>ROUND(+F510*0.03,4)</f>
        <v>0</v>
      </c>
      <c r="H510" s="45"/>
    </row>
    <row r="511" spans="2:8" x14ac:dyDescent="0.25">
      <c r="B511" s="47"/>
      <c r="C511" s="46"/>
      <c r="D511" s="67"/>
      <c r="E511" s="68"/>
      <c r="F511" s="68">
        <f>ROUND(+D511*E511,4)</f>
        <v>0</v>
      </c>
      <c r="G511" s="71">
        <f>ROUND(+F511*0.03,4)</f>
        <v>0</v>
      </c>
      <c r="H511" s="45"/>
    </row>
    <row r="512" spans="2:8" x14ac:dyDescent="0.25">
      <c r="B512" s="47"/>
      <c r="C512" s="46"/>
      <c r="D512" s="67"/>
      <c r="E512" s="68"/>
      <c r="F512" s="68">
        <f>ROUND(+D512*E512,4)</f>
        <v>0</v>
      </c>
      <c r="G512" s="71">
        <f>ROUND(+F512*0.03,4)</f>
        <v>0</v>
      </c>
      <c r="H512" s="45"/>
    </row>
    <row r="513" spans="2:8" x14ac:dyDescent="0.25">
      <c r="B513" s="47"/>
      <c r="C513" s="46"/>
      <c r="D513" s="67"/>
      <c r="E513" s="68"/>
      <c r="F513" s="68">
        <f>ROUND(+D513*E513,4)</f>
        <v>0</v>
      </c>
      <c r="G513" s="71">
        <f>ROUND(+F513*0.03,4)</f>
        <v>0</v>
      </c>
      <c r="H513" s="45"/>
    </row>
    <row r="514" spans="2:8" x14ac:dyDescent="0.25">
      <c r="B514" s="47"/>
      <c r="C514" s="46"/>
      <c r="D514" s="67"/>
      <c r="E514" s="68"/>
      <c r="F514" s="68">
        <f>ROUND(+D514*E514,4)</f>
        <v>0</v>
      </c>
      <c r="G514" s="71">
        <f>ROUND(+F514*0.03,4)</f>
        <v>0</v>
      </c>
      <c r="H514" s="45"/>
    </row>
    <row r="515" spans="2:8" x14ac:dyDescent="0.25">
      <c r="B515" s="47"/>
      <c r="C515" s="46"/>
      <c r="D515" s="67"/>
      <c r="E515" s="68"/>
      <c r="F515" s="68">
        <f>ROUND(+D515*E515,4)</f>
        <v>0</v>
      </c>
      <c r="G515" s="71">
        <f>ROUND(+F515*0.03,4)</f>
        <v>0</v>
      </c>
      <c r="H515" s="45"/>
    </row>
    <row r="516" spans="2:8" x14ac:dyDescent="0.25">
      <c r="B516" s="47"/>
      <c r="C516" s="46"/>
      <c r="D516" s="67"/>
      <c r="E516" s="68"/>
      <c r="F516" s="68">
        <f>ROUND(+D516*E516,4)</f>
        <v>0</v>
      </c>
      <c r="G516" s="71">
        <f>ROUND(+F516*0.03,4)</f>
        <v>0</v>
      </c>
      <c r="H516" s="45"/>
    </row>
    <row r="517" spans="2:8" x14ac:dyDescent="0.25">
      <c r="B517" s="47"/>
      <c r="C517" s="46"/>
      <c r="D517" s="67"/>
      <c r="E517" s="68"/>
      <c r="F517" s="68">
        <f>ROUND(+D517*E517,4)</f>
        <v>0</v>
      </c>
      <c r="G517" s="71">
        <f>ROUND(+F517*0.03,4)</f>
        <v>0</v>
      </c>
      <c r="H517" s="45"/>
    </row>
    <row r="518" spans="2:8" x14ac:dyDescent="0.25">
      <c r="B518" s="47"/>
      <c r="C518" s="46"/>
      <c r="D518" s="67"/>
      <c r="E518" s="68"/>
      <c r="F518" s="68">
        <f>ROUND(+D518*E518,4)</f>
        <v>0</v>
      </c>
      <c r="G518" s="71">
        <f>ROUND(+F518*0.03,4)</f>
        <v>0</v>
      </c>
      <c r="H518" s="45"/>
    </row>
    <row r="519" spans="2:8" x14ac:dyDescent="0.25">
      <c r="B519" s="47"/>
      <c r="C519" s="46"/>
      <c r="D519" s="67"/>
      <c r="E519" s="68"/>
      <c r="F519" s="68">
        <f>ROUND(+D519*E519,4)</f>
        <v>0</v>
      </c>
      <c r="G519" s="71">
        <f>ROUND(+F519*0.03,4)</f>
        <v>0</v>
      </c>
      <c r="H519" s="45"/>
    </row>
    <row r="520" spans="2:8" x14ac:dyDescent="0.25">
      <c r="B520" s="47"/>
      <c r="C520" s="46"/>
      <c r="D520" s="67"/>
      <c r="E520" s="68"/>
      <c r="F520" s="68">
        <f>ROUND(+D520*E520,4)</f>
        <v>0</v>
      </c>
      <c r="G520" s="71">
        <f>ROUND(+F520*0.03,4)</f>
        <v>0</v>
      </c>
      <c r="H520" s="45"/>
    </row>
    <row r="521" spans="2:8" x14ac:dyDescent="0.25">
      <c r="B521" s="47"/>
      <c r="C521" s="46"/>
      <c r="D521" s="67"/>
      <c r="E521" s="68"/>
      <c r="F521" s="68">
        <f>ROUND(+D521*E521,4)</f>
        <v>0</v>
      </c>
      <c r="G521" s="71">
        <f>ROUND(+F521*0.03,4)</f>
        <v>0</v>
      </c>
      <c r="H521" s="45"/>
    </row>
    <row r="522" spans="2:8" x14ac:dyDescent="0.25">
      <c r="B522" s="47"/>
      <c r="C522" s="46"/>
      <c r="D522" s="67"/>
      <c r="E522" s="68"/>
      <c r="F522" s="68">
        <f>ROUND(+D522*E522,4)</f>
        <v>0</v>
      </c>
      <c r="G522" s="71">
        <f>ROUND(+F522*0.03,4)</f>
        <v>0</v>
      </c>
      <c r="H522" s="45"/>
    </row>
    <row r="523" spans="2:8" x14ac:dyDescent="0.25">
      <c r="B523" s="47"/>
      <c r="C523" s="46"/>
      <c r="D523" s="67"/>
      <c r="E523" s="68"/>
      <c r="F523" s="68">
        <f>ROUND(+D523*E523,4)</f>
        <v>0</v>
      </c>
      <c r="G523" s="71">
        <f>ROUND(+F523*0.03,4)</f>
        <v>0</v>
      </c>
      <c r="H523" s="45"/>
    </row>
    <row r="524" spans="2:8" x14ac:dyDescent="0.25">
      <c r="B524" s="47"/>
      <c r="C524" s="46"/>
      <c r="D524" s="67"/>
      <c r="E524" s="68"/>
      <c r="F524" s="68">
        <f>ROUND(+D524*E524,4)</f>
        <v>0</v>
      </c>
      <c r="G524" s="71">
        <f>ROUND(+F524*0.03,4)</f>
        <v>0</v>
      </c>
      <c r="H524" s="45"/>
    </row>
    <row r="525" spans="2:8" x14ac:dyDescent="0.25">
      <c r="B525" s="47"/>
      <c r="C525" s="46"/>
      <c r="D525" s="67"/>
      <c r="E525" s="68"/>
      <c r="F525" s="68">
        <f>ROUND(+D525*E525,4)</f>
        <v>0</v>
      </c>
      <c r="G525" s="71">
        <f>ROUND(+F525*0.03,4)</f>
        <v>0</v>
      </c>
      <c r="H525" s="45"/>
    </row>
    <row r="526" spans="2:8" x14ac:dyDescent="0.25">
      <c r="B526" s="47"/>
      <c r="C526" s="46"/>
      <c r="D526" s="67"/>
      <c r="E526" s="68"/>
      <c r="F526" s="68">
        <f>ROUND(+D526*E526,4)</f>
        <v>0</v>
      </c>
      <c r="G526" s="71">
        <f>ROUND(+F526*0.03,4)</f>
        <v>0</v>
      </c>
      <c r="H526" s="45"/>
    </row>
    <row r="527" spans="2:8" x14ac:dyDescent="0.25">
      <c r="B527" s="47"/>
      <c r="C527" s="46"/>
      <c r="D527" s="67"/>
      <c r="E527" s="68"/>
      <c r="F527" s="68">
        <f>ROUND(+D527*E527,4)</f>
        <v>0</v>
      </c>
      <c r="G527" s="71">
        <f>ROUND(+F527*0.03,4)</f>
        <v>0</v>
      </c>
      <c r="H527" s="45"/>
    </row>
    <row r="528" spans="2:8" x14ac:dyDescent="0.25">
      <c r="B528" s="47"/>
      <c r="C528" s="46"/>
      <c r="D528" s="67"/>
      <c r="E528" s="68"/>
      <c r="F528" s="68">
        <f>ROUND(+D528*E528,4)</f>
        <v>0</v>
      </c>
      <c r="G528" s="71">
        <f>ROUND(+F528*0.03,4)</f>
        <v>0</v>
      </c>
      <c r="H528" s="45"/>
    </row>
    <row r="529" spans="2:8" x14ac:dyDescent="0.25">
      <c r="B529" s="47"/>
      <c r="C529" s="46"/>
      <c r="D529" s="67"/>
      <c r="E529" s="68"/>
      <c r="F529" s="68">
        <f>ROUND(+D529*E529,4)</f>
        <v>0</v>
      </c>
      <c r="G529" s="71">
        <f>ROUND(+F529*0.03,4)</f>
        <v>0</v>
      </c>
      <c r="H529" s="45"/>
    </row>
    <row r="530" spans="2:8" x14ac:dyDescent="0.25">
      <c r="B530" s="47"/>
      <c r="C530" s="46"/>
      <c r="D530" s="67"/>
      <c r="E530" s="68"/>
      <c r="F530" s="68">
        <f>ROUND(+D530*E530,4)</f>
        <v>0</v>
      </c>
      <c r="G530" s="71">
        <f>ROUND(+F530*0.03,4)</f>
        <v>0</v>
      </c>
      <c r="H530" s="45"/>
    </row>
    <row r="531" spans="2:8" x14ac:dyDescent="0.25">
      <c r="B531" s="47"/>
      <c r="C531" s="46"/>
      <c r="D531" s="67"/>
      <c r="E531" s="68"/>
      <c r="F531" s="68">
        <f>ROUND(+D531*E531,4)</f>
        <v>0</v>
      </c>
      <c r="G531" s="71">
        <f>ROUND(+F531*0.03,4)</f>
        <v>0</v>
      </c>
      <c r="H531" s="45"/>
    </row>
    <row r="532" spans="2:8" x14ac:dyDescent="0.25">
      <c r="B532" s="47"/>
      <c r="C532" s="46"/>
      <c r="D532" s="67"/>
      <c r="E532" s="68"/>
      <c r="F532" s="68">
        <f>ROUND(+D532*E532,4)</f>
        <v>0</v>
      </c>
      <c r="G532" s="71">
        <f>ROUND(+F532*0.03,4)</f>
        <v>0</v>
      </c>
      <c r="H532" s="45"/>
    </row>
    <row r="533" spans="2:8" x14ac:dyDescent="0.25">
      <c r="B533" s="47"/>
      <c r="C533" s="46"/>
      <c r="D533" s="67"/>
      <c r="E533" s="68"/>
      <c r="F533" s="68">
        <f>ROUND(+D533*E533,4)</f>
        <v>0</v>
      </c>
      <c r="G533" s="71">
        <f>ROUND(+F533*0.03,4)</f>
        <v>0</v>
      </c>
      <c r="H533" s="45"/>
    </row>
    <row r="534" spans="2:8" x14ac:dyDescent="0.25">
      <c r="B534" s="47"/>
      <c r="C534" s="46"/>
      <c r="D534" s="67"/>
      <c r="E534" s="68"/>
      <c r="F534" s="68">
        <f>ROUND(+D534*E534,4)</f>
        <v>0</v>
      </c>
      <c r="G534" s="71">
        <f>ROUND(+F534*0.03,4)</f>
        <v>0</v>
      </c>
      <c r="H534" s="45"/>
    </row>
    <row r="535" spans="2:8" x14ac:dyDescent="0.25">
      <c r="B535" s="47"/>
      <c r="C535" s="46"/>
      <c r="D535" s="67"/>
      <c r="E535" s="68"/>
      <c r="F535" s="68">
        <f>ROUND(+D535*E535,4)</f>
        <v>0</v>
      </c>
      <c r="G535" s="71">
        <f>ROUND(+F535*0.03,4)</f>
        <v>0</v>
      </c>
      <c r="H535" s="45"/>
    </row>
    <row r="536" spans="2:8" x14ac:dyDescent="0.25">
      <c r="B536" s="47"/>
      <c r="C536" s="46"/>
      <c r="D536" s="67"/>
      <c r="E536" s="68"/>
      <c r="F536" s="68">
        <f>ROUND(+D536*E536,4)</f>
        <v>0</v>
      </c>
      <c r="G536" s="71">
        <f>ROUND(+F536*0.03,4)</f>
        <v>0</v>
      </c>
      <c r="H536" s="45"/>
    </row>
    <row r="537" spans="2:8" x14ac:dyDescent="0.25">
      <c r="B537" s="47"/>
      <c r="C537" s="46"/>
      <c r="D537" s="67"/>
      <c r="E537" s="68"/>
      <c r="F537" s="68">
        <f>ROUND(+D537*E537,4)</f>
        <v>0</v>
      </c>
      <c r="G537" s="71">
        <f>ROUND(+F537*0.03,4)</f>
        <v>0</v>
      </c>
      <c r="H537" s="45"/>
    </row>
    <row r="538" spans="2:8" x14ac:dyDescent="0.25">
      <c r="B538" s="47"/>
      <c r="C538" s="46"/>
      <c r="D538" s="67"/>
      <c r="E538" s="68"/>
      <c r="F538" s="68">
        <f>ROUND(+D538*E538,4)</f>
        <v>0</v>
      </c>
      <c r="G538" s="71">
        <f>ROUND(+F538*0.03,4)</f>
        <v>0</v>
      </c>
      <c r="H538" s="45"/>
    </row>
    <row r="539" spans="2:8" x14ac:dyDescent="0.25">
      <c r="B539" s="47"/>
      <c r="C539" s="46"/>
      <c r="D539" s="67"/>
      <c r="E539" s="68"/>
      <c r="F539" s="68">
        <f>ROUND(+D539*E539,4)</f>
        <v>0</v>
      </c>
      <c r="G539" s="71">
        <f>ROUND(+F539*0.03,4)</f>
        <v>0</v>
      </c>
      <c r="H539" s="45"/>
    </row>
    <row r="540" spans="2:8" x14ac:dyDescent="0.25">
      <c r="B540" s="47"/>
      <c r="C540" s="46"/>
      <c r="D540" s="67"/>
      <c r="E540" s="68"/>
      <c r="F540" s="68">
        <f>ROUND(+D540*E540,4)</f>
        <v>0</v>
      </c>
      <c r="G540" s="71">
        <f>ROUND(+F540*0.03,4)</f>
        <v>0</v>
      </c>
      <c r="H540" s="45"/>
    </row>
    <row r="541" spans="2:8" x14ac:dyDescent="0.25">
      <c r="B541" s="47"/>
      <c r="C541" s="46"/>
      <c r="D541" s="67"/>
      <c r="E541" s="68"/>
      <c r="F541" s="68">
        <f>ROUND(+D541*E541,4)</f>
        <v>0</v>
      </c>
      <c r="G541" s="71">
        <f>ROUND(+F541*0.03,4)</f>
        <v>0</v>
      </c>
      <c r="H541" s="45"/>
    </row>
    <row r="542" spans="2:8" x14ac:dyDescent="0.25">
      <c r="B542" s="47"/>
      <c r="C542" s="46"/>
      <c r="D542" s="67"/>
      <c r="E542" s="68"/>
      <c r="F542" s="68">
        <f>ROUND(+D542*E542,4)</f>
        <v>0</v>
      </c>
      <c r="G542" s="71">
        <f>ROUND(+F542*0.03,4)</f>
        <v>0</v>
      </c>
      <c r="H542" s="45"/>
    </row>
    <row r="543" spans="2:8" x14ac:dyDescent="0.25">
      <c r="B543" s="47"/>
      <c r="C543" s="46"/>
      <c r="D543" s="67"/>
      <c r="E543" s="68"/>
      <c r="F543" s="68">
        <f>ROUND(+D543*E543,4)</f>
        <v>0</v>
      </c>
      <c r="G543" s="71">
        <f>ROUND(+F543*0.03,4)</f>
        <v>0</v>
      </c>
      <c r="H543" s="45"/>
    </row>
    <row r="544" spans="2:8" x14ac:dyDescent="0.25">
      <c r="B544" s="47"/>
      <c r="C544" s="46"/>
      <c r="D544" s="67"/>
      <c r="E544" s="68"/>
      <c r="F544" s="68">
        <f>ROUND(+D544*E544,4)</f>
        <v>0</v>
      </c>
      <c r="G544" s="71">
        <f>ROUND(+F544*0.03,4)</f>
        <v>0</v>
      </c>
      <c r="H544" s="45"/>
    </row>
    <row r="545" spans="2:8" x14ac:dyDescent="0.25">
      <c r="B545" s="47"/>
      <c r="C545" s="46"/>
      <c r="D545" s="67"/>
      <c r="E545" s="68"/>
      <c r="F545" s="68">
        <f>ROUND(+D545*E545,4)</f>
        <v>0</v>
      </c>
      <c r="G545" s="71">
        <f>ROUND(+F545*0.03,4)</f>
        <v>0</v>
      </c>
      <c r="H545" s="45"/>
    </row>
    <row r="546" spans="2:8" x14ac:dyDescent="0.25">
      <c r="B546" s="47"/>
      <c r="C546" s="46"/>
      <c r="D546" s="67"/>
      <c r="E546" s="68"/>
      <c r="F546" s="68">
        <f>ROUND(+D546*E546,4)</f>
        <v>0</v>
      </c>
      <c r="G546" s="71">
        <f>ROUND(+F546*0.03,4)</f>
        <v>0</v>
      </c>
      <c r="H546" s="45"/>
    </row>
    <row r="547" spans="2:8" x14ac:dyDescent="0.25">
      <c r="B547" s="47"/>
      <c r="C547" s="46"/>
      <c r="D547" s="67"/>
      <c r="E547" s="68"/>
      <c r="F547" s="68">
        <f>ROUND(+D547*E547,4)</f>
        <v>0</v>
      </c>
      <c r="G547" s="71">
        <f>ROUND(+F547*0.03,4)</f>
        <v>0</v>
      </c>
      <c r="H547" s="45"/>
    </row>
    <row r="548" spans="2:8" x14ac:dyDescent="0.25">
      <c r="B548" s="47"/>
      <c r="C548" s="46"/>
      <c r="D548" s="67"/>
      <c r="E548" s="68"/>
      <c r="F548" s="68">
        <f>ROUND(+D548*E548,4)</f>
        <v>0</v>
      </c>
      <c r="G548" s="71">
        <f>ROUND(+F548*0.03,4)</f>
        <v>0</v>
      </c>
      <c r="H548" s="45"/>
    </row>
    <row r="549" spans="2:8" x14ac:dyDescent="0.25">
      <c r="B549" s="47"/>
      <c r="C549" s="46"/>
      <c r="D549" s="67"/>
      <c r="E549" s="68"/>
      <c r="F549" s="68">
        <f>ROUND(+D549*E549,4)</f>
        <v>0</v>
      </c>
      <c r="G549" s="71">
        <f>ROUND(+F549*0.03,4)</f>
        <v>0</v>
      </c>
      <c r="H549" s="45"/>
    </row>
    <row r="550" spans="2:8" x14ac:dyDescent="0.25">
      <c r="B550" s="47"/>
      <c r="C550" s="46"/>
      <c r="D550" s="67"/>
      <c r="E550" s="68"/>
      <c r="F550" s="68">
        <f>ROUND(+D550*E550,4)</f>
        <v>0</v>
      </c>
      <c r="G550" s="71">
        <f>ROUND(+F550*0.03,4)</f>
        <v>0</v>
      </c>
      <c r="H550" s="45"/>
    </row>
    <row r="551" spans="2:8" x14ac:dyDescent="0.25">
      <c r="B551" s="47"/>
      <c r="C551" s="46"/>
      <c r="D551" s="67"/>
      <c r="E551" s="68"/>
      <c r="F551" s="68">
        <f>ROUND(+D551*E551,4)</f>
        <v>0</v>
      </c>
      <c r="G551" s="71">
        <f>ROUND(+F551*0.03,4)</f>
        <v>0</v>
      </c>
      <c r="H551" s="45"/>
    </row>
    <row r="552" spans="2:8" x14ac:dyDescent="0.25">
      <c r="B552" s="47"/>
      <c r="C552" s="46"/>
      <c r="D552" s="67"/>
      <c r="E552" s="68"/>
      <c r="F552" s="68">
        <f>ROUND(+D552*E552,4)</f>
        <v>0</v>
      </c>
      <c r="G552" s="71">
        <f>ROUND(+F552*0.03,4)</f>
        <v>0</v>
      </c>
      <c r="H552" s="45"/>
    </row>
    <row r="553" spans="2:8" x14ac:dyDescent="0.25">
      <c r="B553" s="47"/>
      <c r="C553" s="46"/>
      <c r="D553" s="67"/>
      <c r="E553" s="68"/>
      <c r="F553" s="68">
        <f>ROUND(+D553*E553,4)</f>
        <v>0</v>
      </c>
      <c r="G553" s="71">
        <f>ROUND(+F553*0.03,4)</f>
        <v>0</v>
      </c>
      <c r="H553" s="45"/>
    </row>
    <row r="554" spans="2:8" x14ac:dyDescent="0.25">
      <c r="B554" s="47"/>
      <c r="C554" s="46"/>
      <c r="D554" s="67"/>
      <c r="E554" s="68"/>
      <c r="F554" s="68">
        <f>ROUND(+D554*E554,4)</f>
        <v>0</v>
      </c>
      <c r="G554" s="71">
        <f>ROUND(+F554*0.03,4)</f>
        <v>0</v>
      </c>
      <c r="H554" s="45"/>
    </row>
    <row r="555" spans="2:8" x14ac:dyDescent="0.25">
      <c r="B555" s="47"/>
      <c r="C555" s="46"/>
      <c r="D555" s="67"/>
      <c r="E555" s="68"/>
      <c r="F555" s="68">
        <f>ROUND(+D555*E555,4)</f>
        <v>0</v>
      </c>
      <c r="G555" s="71">
        <f>ROUND(+F555*0.03,4)</f>
        <v>0</v>
      </c>
      <c r="H555" s="45"/>
    </row>
    <row r="556" spans="2:8" x14ac:dyDescent="0.25">
      <c r="B556" s="47"/>
      <c r="C556" s="46"/>
      <c r="D556" s="67"/>
      <c r="E556" s="68"/>
      <c r="F556" s="68">
        <f>ROUND(+D556*E556,4)</f>
        <v>0</v>
      </c>
      <c r="G556" s="71">
        <f>ROUND(+F556*0.03,4)</f>
        <v>0</v>
      </c>
      <c r="H556" s="45"/>
    </row>
    <row r="557" spans="2:8" x14ac:dyDescent="0.25">
      <c r="B557" s="47"/>
      <c r="C557" s="46"/>
      <c r="D557" s="67"/>
      <c r="E557" s="68"/>
      <c r="F557" s="68">
        <f>ROUND(+D557*E557,4)</f>
        <v>0</v>
      </c>
      <c r="G557" s="71">
        <f>ROUND(+F557*0.03,4)</f>
        <v>0</v>
      </c>
      <c r="H557" s="45"/>
    </row>
    <row r="558" spans="2:8" x14ac:dyDescent="0.25">
      <c r="B558" s="47"/>
      <c r="C558" s="46"/>
      <c r="D558" s="67"/>
      <c r="E558" s="68"/>
      <c r="F558" s="68">
        <f>ROUND(+D558*E558,4)</f>
        <v>0</v>
      </c>
      <c r="G558" s="71">
        <f>ROUND(+F558*0.03,4)</f>
        <v>0</v>
      </c>
      <c r="H558" s="45"/>
    </row>
    <row r="559" spans="2:8" x14ac:dyDescent="0.25">
      <c r="B559" s="47"/>
      <c r="C559" s="46"/>
      <c r="D559" s="67"/>
      <c r="E559" s="68"/>
      <c r="F559" s="68">
        <f>ROUND(+D559*E559,4)</f>
        <v>0</v>
      </c>
      <c r="G559" s="71">
        <f>ROUND(+F559*0.03,4)</f>
        <v>0</v>
      </c>
      <c r="H559" s="45"/>
    </row>
    <row r="560" spans="2:8" x14ac:dyDescent="0.25">
      <c r="B560" s="47"/>
      <c r="C560" s="46"/>
      <c r="D560" s="67"/>
      <c r="E560" s="68"/>
      <c r="F560" s="68">
        <f>ROUND(+D560*E560,4)</f>
        <v>0</v>
      </c>
      <c r="G560" s="71">
        <f>ROUND(+F560*0.03,4)</f>
        <v>0</v>
      </c>
      <c r="H560" s="45"/>
    </row>
    <row r="561" spans="2:8" x14ac:dyDescent="0.25">
      <c r="B561" s="47"/>
      <c r="C561" s="46"/>
      <c r="D561" s="67"/>
      <c r="E561" s="68"/>
      <c r="F561" s="68">
        <f>ROUND(+D561*E561,4)</f>
        <v>0</v>
      </c>
      <c r="G561" s="71">
        <f>ROUND(+F561*0.03,4)</f>
        <v>0</v>
      </c>
      <c r="H561" s="45"/>
    </row>
    <row r="562" spans="2:8" x14ac:dyDescent="0.25">
      <c r="B562" s="47"/>
      <c r="C562" s="46"/>
      <c r="D562" s="67"/>
      <c r="E562" s="68"/>
      <c r="F562" s="68">
        <f>ROUND(+D562*E562,4)</f>
        <v>0</v>
      </c>
      <c r="G562" s="71">
        <f>ROUND(+F562*0.03,4)</f>
        <v>0</v>
      </c>
      <c r="H562" s="45"/>
    </row>
    <row r="563" spans="2:8" x14ac:dyDescent="0.25">
      <c r="B563" s="47"/>
      <c r="C563" s="46"/>
      <c r="D563" s="67"/>
      <c r="E563" s="68"/>
      <c r="F563" s="68">
        <f>ROUND(+D563*E563,4)</f>
        <v>0</v>
      </c>
      <c r="G563" s="71">
        <f>ROUND(+F563*0.03,4)</f>
        <v>0</v>
      </c>
      <c r="H563" s="45"/>
    </row>
    <row r="564" spans="2:8" x14ac:dyDescent="0.25">
      <c r="B564" s="47"/>
      <c r="C564" s="46"/>
      <c r="D564" s="67"/>
      <c r="E564" s="68"/>
      <c r="F564" s="68">
        <f>ROUND(+D564*E564,4)</f>
        <v>0</v>
      </c>
      <c r="G564" s="71">
        <f>ROUND(+F564*0.03,4)</f>
        <v>0</v>
      </c>
      <c r="H564" s="45"/>
    </row>
    <row r="565" spans="2:8" x14ac:dyDescent="0.25">
      <c r="B565" s="47"/>
      <c r="C565" s="46"/>
      <c r="D565" s="67"/>
      <c r="E565" s="68"/>
      <c r="F565" s="68">
        <f>ROUND(+D565*E565,4)</f>
        <v>0</v>
      </c>
      <c r="G565" s="71">
        <f>ROUND(+F565*0.03,4)</f>
        <v>0</v>
      </c>
      <c r="H565" s="45"/>
    </row>
    <row r="566" spans="2:8" x14ac:dyDescent="0.25">
      <c r="B566" s="47"/>
      <c r="C566" s="46"/>
      <c r="D566" s="67"/>
      <c r="E566" s="68"/>
      <c r="F566" s="68">
        <f>ROUND(+D566*E566,4)</f>
        <v>0</v>
      </c>
      <c r="G566" s="71">
        <f>ROUND(+F566*0.03,4)</f>
        <v>0</v>
      </c>
      <c r="H566" s="45"/>
    </row>
    <row r="567" spans="2:8" x14ac:dyDescent="0.25">
      <c r="B567" s="47"/>
      <c r="C567" s="46"/>
      <c r="D567" s="67"/>
      <c r="E567" s="68"/>
      <c r="F567" s="68">
        <f>ROUND(+D567*E567,4)</f>
        <v>0</v>
      </c>
      <c r="G567" s="71">
        <f>ROUND(+F567*0.03,4)</f>
        <v>0</v>
      </c>
      <c r="H567" s="45"/>
    </row>
    <row r="568" spans="2:8" x14ac:dyDescent="0.25">
      <c r="B568" s="47"/>
      <c r="C568" s="46"/>
      <c r="D568" s="67"/>
      <c r="E568" s="68"/>
      <c r="F568" s="68">
        <f>ROUND(+D568*E568,4)</f>
        <v>0</v>
      </c>
      <c r="G568" s="71">
        <f>ROUND(+F568*0.03,4)</f>
        <v>0</v>
      </c>
      <c r="H568" s="45"/>
    </row>
    <row r="569" spans="2:8" x14ac:dyDescent="0.25">
      <c r="B569" s="47"/>
      <c r="C569" s="46"/>
      <c r="D569" s="67"/>
      <c r="E569" s="68"/>
      <c r="F569" s="68">
        <f>ROUND(+D569*E569,4)</f>
        <v>0</v>
      </c>
      <c r="G569" s="71">
        <f>ROUND(+F569*0.03,4)</f>
        <v>0</v>
      </c>
      <c r="H569" s="45"/>
    </row>
    <row r="570" spans="2:8" x14ac:dyDescent="0.25">
      <c r="B570" s="47"/>
      <c r="C570" s="46"/>
      <c r="D570" s="67"/>
      <c r="E570" s="68"/>
      <c r="F570" s="68">
        <f>ROUND(+D570*E570,4)</f>
        <v>0</v>
      </c>
      <c r="G570" s="71">
        <f>ROUND(+F570*0.03,4)</f>
        <v>0</v>
      </c>
      <c r="H570" s="45"/>
    </row>
    <row r="571" spans="2:8" x14ac:dyDescent="0.25">
      <c r="B571" s="47"/>
      <c r="C571" s="46"/>
      <c r="D571" s="67"/>
      <c r="E571" s="68"/>
      <c r="F571" s="68">
        <f>ROUND(+D571*E571,4)</f>
        <v>0</v>
      </c>
      <c r="G571" s="71">
        <f>ROUND(+F571*0.03,4)</f>
        <v>0</v>
      </c>
      <c r="H571" s="45"/>
    </row>
    <row r="572" spans="2:8" x14ac:dyDescent="0.25">
      <c r="B572" s="47"/>
      <c r="C572" s="46"/>
      <c r="D572" s="67"/>
      <c r="E572" s="68"/>
      <c r="F572" s="68">
        <f>ROUND(+D572*E572,4)</f>
        <v>0</v>
      </c>
      <c r="G572" s="71">
        <f>ROUND(+F572*0.03,4)</f>
        <v>0</v>
      </c>
      <c r="H572" s="45"/>
    </row>
    <row r="573" spans="2:8" x14ac:dyDescent="0.25">
      <c r="B573" s="47"/>
      <c r="C573" s="46"/>
      <c r="D573" s="67"/>
      <c r="E573" s="68"/>
      <c r="F573" s="68">
        <f>ROUND(+D573*E573,4)</f>
        <v>0</v>
      </c>
      <c r="G573" s="71">
        <f>ROUND(+F573*0.03,4)</f>
        <v>0</v>
      </c>
      <c r="H573" s="45"/>
    </row>
    <row r="574" spans="2:8" x14ac:dyDescent="0.25">
      <c r="B574" s="47"/>
      <c r="C574" s="46"/>
      <c r="D574" s="67"/>
      <c r="E574" s="68"/>
      <c r="F574" s="68">
        <f>ROUND(+D574*E574,4)</f>
        <v>0</v>
      </c>
      <c r="G574" s="71">
        <f>ROUND(+F574*0.03,4)</f>
        <v>0</v>
      </c>
      <c r="H574" s="45"/>
    </row>
    <row r="575" spans="2:8" x14ac:dyDescent="0.25">
      <c r="B575" s="47"/>
      <c r="C575" s="46"/>
      <c r="D575" s="67"/>
      <c r="E575" s="68"/>
      <c r="F575" s="68">
        <f>ROUND(+D575*E575,4)</f>
        <v>0</v>
      </c>
      <c r="G575" s="71">
        <f>ROUND(+F575*0.03,4)</f>
        <v>0</v>
      </c>
      <c r="H575" s="45"/>
    </row>
    <row r="576" spans="2:8" x14ac:dyDescent="0.25">
      <c r="B576" s="47"/>
      <c r="C576" s="46"/>
      <c r="D576" s="67"/>
      <c r="E576" s="68"/>
      <c r="F576" s="68">
        <f>ROUND(+D576*E576,4)</f>
        <v>0</v>
      </c>
      <c r="G576" s="71">
        <f>ROUND(+F576*0.03,4)</f>
        <v>0</v>
      </c>
      <c r="H576" s="45"/>
    </row>
    <row r="577" spans="2:8" x14ac:dyDescent="0.25">
      <c r="B577" s="47"/>
      <c r="C577" s="46"/>
      <c r="D577" s="67"/>
      <c r="E577" s="68"/>
      <c r="F577" s="68">
        <f>ROUND(+D577*E577,4)</f>
        <v>0</v>
      </c>
      <c r="G577" s="71">
        <f>ROUND(+F577*0.03,4)</f>
        <v>0</v>
      </c>
      <c r="H577" s="45"/>
    </row>
    <row r="578" spans="2:8" x14ac:dyDescent="0.25">
      <c r="B578" s="47"/>
      <c r="C578" s="46"/>
      <c r="D578" s="67"/>
      <c r="E578" s="68"/>
      <c r="F578" s="68">
        <f>ROUND(+D578*E578,4)</f>
        <v>0</v>
      </c>
      <c r="G578" s="71">
        <f>ROUND(+F578*0.03,4)</f>
        <v>0</v>
      </c>
      <c r="H578" s="45"/>
    </row>
    <row r="579" spans="2:8" x14ac:dyDescent="0.25">
      <c r="B579" s="47"/>
      <c r="C579" s="46"/>
      <c r="D579" s="67"/>
      <c r="E579" s="68"/>
      <c r="F579" s="68">
        <f>ROUND(+D579*E579,4)</f>
        <v>0</v>
      </c>
      <c r="G579" s="71">
        <f>ROUND(+F579*0.03,4)</f>
        <v>0</v>
      </c>
      <c r="H579" s="45"/>
    </row>
    <row r="580" spans="2:8" x14ac:dyDescent="0.25">
      <c r="B580" s="47"/>
      <c r="C580" s="46"/>
      <c r="D580" s="67"/>
      <c r="E580" s="68"/>
      <c r="F580" s="68">
        <f>ROUND(+D580*E580,4)</f>
        <v>0</v>
      </c>
      <c r="G580" s="71">
        <f>ROUND(+F580*0.03,4)</f>
        <v>0</v>
      </c>
      <c r="H580" s="45"/>
    </row>
    <row r="581" spans="2:8" x14ac:dyDescent="0.25">
      <c r="B581" s="47"/>
      <c r="C581" s="46"/>
      <c r="D581" s="67"/>
      <c r="E581" s="68"/>
      <c r="F581" s="68">
        <f>ROUND(+D581*E581,4)</f>
        <v>0</v>
      </c>
      <c r="G581" s="71">
        <f>ROUND(+F581*0.03,4)</f>
        <v>0</v>
      </c>
      <c r="H581" s="45"/>
    </row>
    <row r="582" spans="2:8" x14ac:dyDescent="0.25">
      <c r="B582" s="47"/>
      <c r="C582" s="46"/>
      <c r="D582" s="67"/>
      <c r="E582" s="68"/>
      <c r="F582" s="68">
        <f>ROUND(+D582*E582,4)</f>
        <v>0</v>
      </c>
      <c r="G582" s="71">
        <f>ROUND(+F582*0.03,4)</f>
        <v>0</v>
      </c>
      <c r="H582" s="45"/>
    </row>
    <row r="583" spans="2:8" x14ac:dyDescent="0.25">
      <c r="B583" s="47"/>
      <c r="C583" s="46"/>
      <c r="D583" s="67"/>
      <c r="E583" s="68"/>
      <c r="F583" s="68">
        <f>ROUND(+D583*E583,4)</f>
        <v>0</v>
      </c>
      <c r="G583" s="71">
        <f>ROUND(+F583*0.03,4)</f>
        <v>0</v>
      </c>
      <c r="H583" s="45"/>
    </row>
    <row r="584" spans="2:8" x14ac:dyDescent="0.25">
      <c r="B584" s="47"/>
      <c r="C584" s="46"/>
      <c r="D584" s="67"/>
      <c r="E584" s="68"/>
      <c r="F584" s="68">
        <f>ROUND(+D584*E584,4)</f>
        <v>0</v>
      </c>
      <c r="G584" s="71">
        <f>ROUND(+F584*0.03,4)</f>
        <v>0</v>
      </c>
      <c r="H584" s="45"/>
    </row>
    <row r="585" spans="2:8" x14ac:dyDescent="0.25">
      <c r="B585" s="47"/>
      <c r="C585" s="46"/>
      <c r="D585" s="67"/>
      <c r="E585" s="68"/>
      <c r="F585" s="68">
        <f>ROUND(+D585*E585,4)</f>
        <v>0</v>
      </c>
      <c r="G585" s="71">
        <f>ROUND(+F585*0.03,4)</f>
        <v>0</v>
      </c>
      <c r="H585" s="45"/>
    </row>
    <row r="586" spans="2:8" x14ac:dyDescent="0.25">
      <c r="B586" s="47"/>
      <c r="C586" s="46"/>
      <c r="D586" s="67"/>
      <c r="E586" s="68"/>
      <c r="F586" s="68">
        <f>ROUND(+D586*E586,4)</f>
        <v>0</v>
      </c>
      <c r="G586" s="71">
        <f>ROUND(+F586*0.03,4)</f>
        <v>0</v>
      </c>
      <c r="H586" s="45"/>
    </row>
    <row r="587" spans="2:8" x14ac:dyDescent="0.25">
      <c r="B587" s="47"/>
      <c r="C587" s="46"/>
      <c r="D587" s="67"/>
      <c r="E587" s="68"/>
      <c r="F587" s="68">
        <f>ROUND(+D587*E587,4)</f>
        <v>0</v>
      </c>
      <c r="G587" s="71">
        <f>ROUND(+F587*0.03,4)</f>
        <v>0</v>
      </c>
      <c r="H587" s="45"/>
    </row>
    <row r="588" spans="2:8" x14ac:dyDescent="0.25">
      <c r="B588" s="47"/>
      <c r="C588" s="46"/>
      <c r="D588" s="67"/>
      <c r="E588" s="68"/>
      <c r="F588" s="68">
        <f>ROUND(+D588*E588,4)</f>
        <v>0</v>
      </c>
      <c r="G588" s="71">
        <f>ROUND(+F588*0.03,4)</f>
        <v>0</v>
      </c>
      <c r="H588" s="45"/>
    </row>
    <row r="589" spans="2:8" x14ac:dyDescent="0.25">
      <c r="B589" s="47"/>
      <c r="C589" s="46"/>
      <c r="D589" s="67"/>
      <c r="E589" s="68"/>
      <c r="F589" s="68">
        <f>ROUND(+D589*E589,4)</f>
        <v>0</v>
      </c>
      <c r="G589" s="71">
        <f>ROUND(+F589*0.03,4)</f>
        <v>0</v>
      </c>
      <c r="H589" s="45"/>
    </row>
    <row r="590" spans="2:8" x14ac:dyDescent="0.25">
      <c r="B590" s="47"/>
      <c r="C590" s="46"/>
      <c r="D590" s="67"/>
      <c r="E590" s="68"/>
      <c r="F590" s="68">
        <f>ROUND(+D590*E590,4)</f>
        <v>0</v>
      </c>
      <c r="G590" s="71">
        <f>ROUND(+F590*0.03,4)</f>
        <v>0</v>
      </c>
      <c r="H590" s="45"/>
    </row>
    <row r="591" spans="2:8" x14ac:dyDescent="0.25">
      <c r="B591" s="47"/>
      <c r="C591" s="46"/>
      <c r="D591" s="67"/>
      <c r="E591" s="68"/>
      <c r="F591" s="68">
        <f>ROUND(+D591*E591,4)</f>
        <v>0</v>
      </c>
      <c r="G591" s="71">
        <f>ROUND(+F591*0.03,4)</f>
        <v>0</v>
      </c>
      <c r="H591" s="45"/>
    </row>
    <row r="592" spans="2:8" x14ac:dyDescent="0.25">
      <c r="B592" s="47"/>
      <c r="C592" s="46"/>
      <c r="D592" s="67"/>
      <c r="E592" s="68"/>
      <c r="F592" s="68">
        <f>ROUND(+D592*E592,4)</f>
        <v>0</v>
      </c>
      <c r="G592" s="71">
        <f>ROUND(+F592*0.03,4)</f>
        <v>0</v>
      </c>
      <c r="H592" s="45"/>
    </row>
    <row r="593" spans="2:8" x14ac:dyDescent="0.25">
      <c r="B593" s="47"/>
      <c r="C593" s="46"/>
      <c r="D593" s="67"/>
      <c r="E593" s="68"/>
      <c r="F593" s="68">
        <f>ROUND(+D593*E593,4)</f>
        <v>0</v>
      </c>
      <c r="G593" s="71">
        <f>ROUND(+F593*0.03,4)</f>
        <v>0</v>
      </c>
      <c r="H593" s="45"/>
    </row>
    <row r="594" spans="2:8" x14ac:dyDescent="0.25">
      <c r="B594" s="47"/>
      <c r="C594" s="46"/>
      <c r="D594" s="67"/>
      <c r="E594" s="68"/>
      <c r="F594" s="68">
        <f>ROUND(+D594*E594,4)</f>
        <v>0</v>
      </c>
      <c r="G594" s="71">
        <f>ROUND(+F594*0.03,4)</f>
        <v>0</v>
      </c>
      <c r="H594" s="45"/>
    </row>
    <row r="595" spans="2:8" x14ac:dyDescent="0.25">
      <c r="B595" s="47"/>
      <c r="C595" s="46"/>
      <c r="D595" s="67"/>
      <c r="E595" s="68"/>
      <c r="F595" s="68">
        <f>ROUND(+D595*E595,4)</f>
        <v>0</v>
      </c>
      <c r="G595" s="71">
        <f>ROUND(+F595*0.03,4)</f>
        <v>0</v>
      </c>
      <c r="H595" s="45"/>
    </row>
    <row r="596" spans="2:8" x14ac:dyDescent="0.25">
      <c r="B596" s="47"/>
      <c r="C596" s="46"/>
      <c r="D596" s="67"/>
      <c r="E596" s="68"/>
      <c r="F596" s="68">
        <f>ROUND(+D596*E596,4)</f>
        <v>0</v>
      </c>
      <c r="G596" s="71">
        <f>ROUND(+F596*0.03,4)</f>
        <v>0</v>
      </c>
      <c r="H596" s="45"/>
    </row>
    <row r="597" spans="2:8" x14ac:dyDescent="0.25">
      <c r="B597" s="47"/>
      <c r="C597" s="46"/>
      <c r="D597" s="67"/>
      <c r="E597" s="68"/>
      <c r="F597" s="68">
        <f>ROUND(+D597*E597,4)</f>
        <v>0</v>
      </c>
      <c r="G597" s="71">
        <f>ROUND(+F597*0.03,4)</f>
        <v>0</v>
      </c>
      <c r="H597" s="45"/>
    </row>
    <row r="598" spans="2:8" x14ac:dyDescent="0.25">
      <c r="B598" s="47"/>
      <c r="C598" s="46"/>
      <c r="D598" s="67"/>
      <c r="E598" s="68"/>
      <c r="F598" s="68">
        <f>ROUND(+D598*E598,4)</f>
        <v>0</v>
      </c>
      <c r="G598" s="71">
        <f>ROUND(+F598*0.03,4)</f>
        <v>0</v>
      </c>
      <c r="H598" s="45"/>
    </row>
    <row r="599" spans="2:8" x14ac:dyDescent="0.25">
      <c r="B599" s="47"/>
      <c r="C599" s="46"/>
      <c r="D599" s="67"/>
      <c r="E599" s="68"/>
      <c r="F599" s="68">
        <f>ROUND(+D599*E599,4)</f>
        <v>0</v>
      </c>
      <c r="G599" s="71">
        <f>ROUND(+F599*0.03,4)</f>
        <v>0</v>
      </c>
      <c r="H599" s="45"/>
    </row>
    <row r="600" spans="2:8" x14ac:dyDescent="0.25">
      <c r="B600" s="47"/>
      <c r="C600" s="46"/>
      <c r="D600" s="67"/>
      <c r="E600" s="68"/>
      <c r="F600" s="68">
        <f>ROUND(+D600*E600,4)</f>
        <v>0</v>
      </c>
      <c r="G600" s="71">
        <f>ROUND(+F600*0.03,4)</f>
        <v>0</v>
      </c>
      <c r="H600" s="45"/>
    </row>
    <row r="601" spans="2:8" x14ac:dyDescent="0.25">
      <c r="B601" s="47"/>
      <c r="C601" s="46"/>
      <c r="D601" s="67"/>
      <c r="E601" s="68"/>
      <c r="F601" s="68">
        <f>ROUND(+D601*E601,4)</f>
        <v>0</v>
      </c>
      <c r="G601" s="71">
        <f>ROUND(+F601*0.03,4)</f>
        <v>0</v>
      </c>
      <c r="H601" s="45"/>
    </row>
    <row r="602" spans="2:8" x14ac:dyDescent="0.25">
      <c r="B602" s="47"/>
      <c r="C602" s="46"/>
      <c r="D602" s="67"/>
      <c r="E602" s="68"/>
      <c r="F602" s="68">
        <f>ROUND(+D602*E602,4)</f>
        <v>0</v>
      </c>
      <c r="G602" s="71">
        <f>ROUND(+F602*0.03,4)</f>
        <v>0</v>
      </c>
      <c r="H602" s="45"/>
    </row>
    <row r="603" spans="2:8" x14ac:dyDescent="0.25">
      <c r="B603" s="47"/>
      <c r="C603" s="46"/>
      <c r="D603" s="67"/>
      <c r="E603" s="68"/>
      <c r="F603" s="68">
        <f>ROUND(+D603*E603,4)</f>
        <v>0</v>
      </c>
      <c r="G603" s="71">
        <f>ROUND(+F603*0.03,4)</f>
        <v>0</v>
      </c>
      <c r="H603" s="45"/>
    </row>
    <row r="604" spans="2:8" x14ac:dyDescent="0.25">
      <c r="B604" s="47"/>
      <c r="C604" s="46"/>
      <c r="D604" s="67"/>
      <c r="E604" s="68"/>
      <c r="F604" s="68">
        <f>ROUND(+D604*E604,4)</f>
        <v>0</v>
      </c>
      <c r="G604" s="71">
        <f>ROUND(+F604*0.03,4)</f>
        <v>0</v>
      </c>
      <c r="H604" s="45"/>
    </row>
    <row r="605" spans="2:8" x14ac:dyDescent="0.25">
      <c r="B605" s="47"/>
      <c r="C605" s="46"/>
      <c r="D605" s="67"/>
      <c r="E605" s="68"/>
      <c r="F605" s="68">
        <f>ROUND(+D605*E605,4)</f>
        <v>0</v>
      </c>
      <c r="G605" s="71">
        <f>ROUND(+F605*0.03,4)</f>
        <v>0</v>
      </c>
      <c r="H605" s="45"/>
    </row>
    <row r="606" spans="2:8" x14ac:dyDescent="0.25">
      <c r="B606" s="47"/>
      <c r="C606" s="46"/>
      <c r="D606" s="67"/>
      <c r="E606" s="68"/>
      <c r="F606" s="68">
        <f>ROUND(+D606*E606,4)</f>
        <v>0</v>
      </c>
      <c r="G606" s="71">
        <f>ROUND(+F606*0.03,4)</f>
        <v>0</v>
      </c>
      <c r="H606" s="45"/>
    </row>
    <row r="607" spans="2:8" x14ac:dyDescent="0.25">
      <c r="B607" s="47"/>
      <c r="C607" s="46"/>
      <c r="D607" s="67"/>
      <c r="E607" s="68"/>
      <c r="F607" s="68">
        <f>ROUND(+D607*E607,4)</f>
        <v>0</v>
      </c>
      <c r="G607" s="71">
        <f>ROUND(+F607*0.03,4)</f>
        <v>0</v>
      </c>
      <c r="H607" s="45"/>
    </row>
    <row r="608" spans="2:8" x14ac:dyDescent="0.25">
      <c r="B608" s="47"/>
      <c r="C608" s="46"/>
      <c r="D608" s="67"/>
      <c r="E608" s="68"/>
      <c r="F608" s="68">
        <f>ROUND(+D608*E608,4)</f>
        <v>0</v>
      </c>
      <c r="G608" s="71">
        <f>ROUND(+F608*0.03,4)</f>
        <v>0</v>
      </c>
      <c r="H608" s="45"/>
    </row>
    <row r="609" spans="2:8" x14ac:dyDescent="0.25">
      <c r="B609" s="47"/>
      <c r="C609" s="46"/>
      <c r="D609" s="67"/>
      <c r="E609" s="68"/>
      <c r="F609" s="68">
        <f>ROUND(+D609*E609,4)</f>
        <v>0</v>
      </c>
      <c r="G609" s="71">
        <f>ROUND(+F609*0.03,4)</f>
        <v>0</v>
      </c>
      <c r="H609" s="45"/>
    </row>
    <row r="610" spans="2:8" x14ac:dyDescent="0.25">
      <c r="B610" s="47"/>
      <c r="C610" s="46"/>
      <c r="D610" s="67"/>
      <c r="E610" s="68"/>
      <c r="F610" s="68">
        <f>ROUND(+D610*E610,4)</f>
        <v>0</v>
      </c>
      <c r="G610" s="71">
        <f>ROUND(+F610*0.03,4)</f>
        <v>0</v>
      </c>
      <c r="H610" s="45"/>
    </row>
    <row r="611" spans="2:8" x14ac:dyDescent="0.25">
      <c r="B611" s="47"/>
      <c r="C611" s="46"/>
      <c r="D611" s="67"/>
      <c r="E611" s="68"/>
      <c r="F611" s="68">
        <f>ROUND(+D611*E611,4)</f>
        <v>0</v>
      </c>
      <c r="G611" s="71">
        <f>ROUND(+F611*0.03,4)</f>
        <v>0</v>
      </c>
      <c r="H611" s="45"/>
    </row>
    <row r="612" spans="2:8" x14ac:dyDescent="0.25">
      <c r="B612" s="47"/>
      <c r="C612" s="46"/>
      <c r="D612" s="67"/>
      <c r="E612" s="68"/>
      <c r="F612" s="68">
        <f>ROUND(+D612*E612,4)</f>
        <v>0</v>
      </c>
      <c r="G612" s="71">
        <f>ROUND(+F612*0.03,4)</f>
        <v>0</v>
      </c>
      <c r="H612" s="45"/>
    </row>
    <row r="613" spans="2:8" x14ac:dyDescent="0.25">
      <c r="B613" s="47"/>
      <c r="C613" s="46"/>
      <c r="D613" s="67"/>
      <c r="E613" s="68"/>
      <c r="F613" s="68">
        <f>ROUND(+D613*E613,4)</f>
        <v>0</v>
      </c>
      <c r="G613" s="71">
        <f>ROUND(+F613*0.03,4)</f>
        <v>0</v>
      </c>
      <c r="H613" s="45"/>
    </row>
    <row r="614" spans="2:8" x14ac:dyDescent="0.25">
      <c r="B614" s="47"/>
      <c r="C614" s="46"/>
      <c r="D614" s="67"/>
      <c r="E614" s="68"/>
      <c r="F614" s="68">
        <f>ROUND(+D614*E614,4)</f>
        <v>0</v>
      </c>
      <c r="G614" s="71">
        <f>ROUND(+F614*0.03,4)</f>
        <v>0</v>
      </c>
      <c r="H614" s="45"/>
    </row>
    <row r="615" spans="2:8" x14ac:dyDescent="0.25">
      <c r="B615" s="47"/>
      <c r="C615" s="46"/>
      <c r="D615" s="67"/>
      <c r="E615" s="68"/>
      <c r="F615" s="68">
        <f>ROUND(+D615*E615,4)</f>
        <v>0</v>
      </c>
      <c r="G615" s="71">
        <f>ROUND(+F615*0.03,4)</f>
        <v>0</v>
      </c>
      <c r="H615" s="45"/>
    </row>
    <row r="616" spans="2:8" x14ac:dyDescent="0.25">
      <c r="B616" s="47"/>
      <c r="C616" s="46"/>
      <c r="D616" s="67"/>
      <c r="E616" s="68"/>
      <c r="F616" s="68">
        <f>ROUND(+D616*E616,4)</f>
        <v>0</v>
      </c>
      <c r="G616" s="71">
        <f>ROUND(+F616*0.03,4)</f>
        <v>0</v>
      </c>
      <c r="H616" s="45"/>
    </row>
    <row r="617" spans="2:8" x14ac:dyDescent="0.25">
      <c r="B617" s="47"/>
      <c r="C617" s="46"/>
      <c r="D617" s="67"/>
      <c r="E617" s="68"/>
      <c r="F617" s="68">
        <f>ROUND(+D617*E617,4)</f>
        <v>0</v>
      </c>
      <c r="G617" s="71">
        <f>ROUND(+F617*0.03,4)</f>
        <v>0</v>
      </c>
      <c r="H617" s="45"/>
    </row>
    <row r="618" spans="2:8" x14ac:dyDescent="0.25">
      <c r="B618" s="47"/>
      <c r="C618" s="46"/>
      <c r="D618" s="67"/>
      <c r="E618" s="68"/>
      <c r="F618" s="68">
        <f>ROUND(+D618*E618,4)</f>
        <v>0</v>
      </c>
      <c r="G618" s="71">
        <f>ROUND(+F618*0.03,4)</f>
        <v>0</v>
      </c>
      <c r="H618" s="45"/>
    </row>
    <row r="619" spans="2:8" x14ac:dyDescent="0.25">
      <c r="B619" s="47"/>
      <c r="C619" s="46"/>
      <c r="D619" s="67"/>
      <c r="E619" s="68"/>
      <c r="F619" s="68">
        <f>ROUND(+D619*E619,4)</f>
        <v>0</v>
      </c>
      <c r="G619" s="71">
        <f>ROUND(+F619*0.03,4)</f>
        <v>0</v>
      </c>
      <c r="H619" s="45"/>
    </row>
    <row r="620" spans="2:8" x14ac:dyDescent="0.25">
      <c r="B620" s="47"/>
      <c r="C620" s="46"/>
      <c r="D620" s="67"/>
      <c r="E620" s="68"/>
      <c r="F620" s="68">
        <f>ROUND(+D620*E620,4)</f>
        <v>0</v>
      </c>
      <c r="G620" s="71">
        <f>ROUND(+F620*0.03,4)</f>
        <v>0</v>
      </c>
      <c r="H620" s="45"/>
    </row>
    <row r="621" spans="2:8" x14ac:dyDescent="0.25">
      <c r="B621" s="47"/>
      <c r="C621" s="46"/>
      <c r="D621" s="67"/>
      <c r="E621" s="68"/>
      <c r="F621" s="68">
        <f>ROUND(+D621*E621,4)</f>
        <v>0</v>
      </c>
      <c r="G621" s="71">
        <f>ROUND(+F621*0.03,4)</f>
        <v>0</v>
      </c>
      <c r="H621" s="45"/>
    </row>
    <row r="622" spans="2:8" x14ac:dyDescent="0.25">
      <c r="B622" s="47"/>
      <c r="C622" s="46"/>
      <c r="D622" s="67"/>
      <c r="E622" s="68"/>
      <c r="F622" s="68">
        <f>ROUND(+D622*E622,4)</f>
        <v>0</v>
      </c>
      <c r="G622" s="71">
        <f>ROUND(+F622*0.03,4)</f>
        <v>0</v>
      </c>
      <c r="H622" s="45"/>
    </row>
    <row r="623" spans="2:8" x14ac:dyDescent="0.25">
      <c r="B623" s="47"/>
      <c r="C623" s="46"/>
      <c r="D623" s="67"/>
      <c r="E623" s="68"/>
      <c r="F623" s="68">
        <f>ROUND(+D623*E623,4)</f>
        <v>0</v>
      </c>
      <c r="G623" s="71">
        <f>ROUND(+F623*0.03,4)</f>
        <v>0</v>
      </c>
      <c r="H623" s="45"/>
    </row>
    <row r="624" spans="2:8" x14ac:dyDescent="0.25">
      <c r="B624" s="47"/>
      <c r="C624" s="46"/>
      <c r="D624" s="67"/>
      <c r="E624" s="68"/>
      <c r="F624" s="68">
        <f>ROUND(+D624*E624,4)</f>
        <v>0</v>
      </c>
      <c r="G624" s="71">
        <f>ROUND(+F624*0.03,4)</f>
        <v>0</v>
      </c>
      <c r="H624" s="45"/>
    </row>
    <row r="625" spans="2:8" x14ac:dyDescent="0.25">
      <c r="B625" s="47"/>
      <c r="C625" s="46"/>
      <c r="D625" s="67"/>
      <c r="E625" s="68"/>
      <c r="F625" s="68">
        <f>ROUND(+D625*E625,4)</f>
        <v>0</v>
      </c>
      <c r="G625" s="71">
        <f>ROUND(+F625*0.03,4)</f>
        <v>0</v>
      </c>
      <c r="H625" s="45"/>
    </row>
    <row r="626" spans="2:8" x14ac:dyDescent="0.25">
      <c r="B626" s="47"/>
      <c r="C626" s="46"/>
      <c r="D626" s="67"/>
      <c r="E626" s="68"/>
      <c r="F626" s="68">
        <f>ROUND(+D626*E626,4)</f>
        <v>0</v>
      </c>
      <c r="G626" s="71">
        <f>ROUND(+F626*0.03,4)</f>
        <v>0</v>
      </c>
      <c r="H626" s="45"/>
    </row>
    <row r="627" spans="2:8" x14ac:dyDescent="0.25">
      <c r="B627" s="47"/>
      <c r="C627" s="46"/>
      <c r="D627" s="67"/>
      <c r="E627" s="68"/>
      <c r="F627" s="68">
        <f>ROUND(+D627*E627,4)</f>
        <v>0</v>
      </c>
      <c r="G627" s="71">
        <f>ROUND(+F627*0.03,4)</f>
        <v>0</v>
      </c>
      <c r="H627" s="45"/>
    </row>
    <row r="628" spans="2:8" x14ac:dyDescent="0.25">
      <c r="B628" s="47"/>
      <c r="C628" s="46"/>
      <c r="D628" s="67"/>
      <c r="E628" s="68"/>
      <c r="F628" s="68">
        <f>ROUND(+D628*E628,4)</f>
        <v>0</v>
      </c>
      <c r="G628" s="71">
        <f>ROUND(+F628*0.03,4)</f>
        <v>0</v>
      </c>
      <c r="H628" s="45"/>
    </row>
    <row r="629" spans="2:8" x14ac:dyDescent="0.25">
      <c r="B629" s="47"/>
      <c r="C629" s="46"/>
      <c r="D629" s="67"/>
      <c r="E629" s="68"/>
      <c r="F629" s="68">
        <f>ROUND(+D629*E629,4)</f>
        <v>0</v>
      </c>
      <c r="G629" s="71">
        <f>ROUND(+F629*0.03,4)</f>
        <v>0</v>
      </c>
      <c r="H629" s="45"/>
    </row>
    <row r="630" spans="2:8" x14ac:dyDescent="0.25">
      <c r="B630" s="47"/>
      <c r="C630" s="46"/>
      <c r="D630" s="67"/>
      <c r="E630" s="68"/>
      <c r="F630" s="68">
        <f>ROUND(+D630*E630,4)</f>
        <v>0</v>
      </c>
      <c r="G630" s="71">
        <f>ROUND(+F630*0.03,4)</f>
        <v>0</v>
      </c>
      <c r="H630" s="45"/>
    </row>
    <row r="631" spans="2:8" x14ac:dyDescent="0.25">
      <c r="B631" s="47"/>
      <c r="C631" s="46"/>
      <c r="D631" s="67"/>
      <c r="E631" s="68"/>
      <c r="F631" s="68">
        <f>ROUND(+D631*E631,4)</f>
        <v>0</v>
      </c>
      <c r="G631" s="71">
        <f>ROUND(+F631*0.03,4)</f>
        <v>0</v>
      </c>
      <c r="H631" s="45"/>
    </row>
    <row r="632" spans="2:8" x14ac:dyDescent="0.25">
      <c r="B632" s="47"/>
      <c r="C632" s="46"/>
      <c r="D632" s="67"/>
      <c r="E632" s="68"/>
      <c r="F632" s="68">
        <f>ROUND(+D632*E632,4)</f>
        <v>0</v>
      </c>
      <c r="G632" s="71">
        <f>ROUND(+F632*0.03,4)</f>
        <v>0</v>
      </c>
      <c r="H632" s="45"/>
    </row>
    <row r="633" spans="2:8" x14ac:dyDescent="0.25">
      <c r="B633" s="47"/>
      <c r="C633" s="46"/>
      <c r="D633" s="67"/>
      <c r="E633" s="68"/>
      <c r="F633" s="68">
        <f>ROUND(+D633*E633,4)</f>
        <v>0</v>
      </c>
      <c r="G633" s="71">
        <f>ROUND(+F633*0.03,4)</f>
        <v>0</v>
      </c>
      <c r="H633" s="45"/>
    </row>
    <row r="634" spans="2:8" x14ac:dyDescent="0.25">
      <c r="B634" s="47"/>
      <c r="C634" s="46"/>
      <c r="D634" s="67"/>
      <c r="E634" s="68"/>
      <c r="F634" s="68">
        <f>ROUND(+D634*E634,4)</f>
        <v>0</v>
      </c>
      <c r="G634" s="71">
        <f>ROUND(+F634*0.03,4)</f>
        <v>0</v>
      </c>
      <c r="H634" s="45"/>
    </row>
    <row r="635" spans="2:8" x14ac:dyDescent="0.25">
      <c r="B635" s="47"/>
      <c r="C635" s="46"/>
      <c r="D635" s="67"/>
      <c r="E635" s="68"/>
      <c r="F635" s="68">
        <f>ROUND(+D635*E635,4)</f>
        <v>0</v>
      </c>
      <c r="G635" s="71">
        <f>ROUND(+F635*0.03,4)</f>
        <v>0</v>
      </c>
      <c r="H635" s="45"/>
    </row>
    <row r="636" spans="2:8" x14ac:dyDescent="0.25">
      <c r="B636" s="47"/>
      <c r="C636" s="46"/>
      <c r="D636" s="67"/>
      <c r="E636" s="68"/>
      <c r="F636" s="68">
        <f>ROUND(+D636*E636,4)</f>
        <v>0</v>
      </c>
      <c r="G636" s="71">
        <f>ROUND(+F636*0.03,4)</f>
        <v>0</v>
      </c>
      <c r="H636" s="45"/>
    </row>
    <row r="637" spans="2:8" x14ac:dyDescent="0.25">
      <c r="B637" s="47"/>
      <c r="C637" s="46"/>
      <c r="D637" s="67"/>
      <c r="E637" s="68"/>
      <c r="F637" s="68">
        <f>ROUND(+D637*E637,4)</f>
        <v>0</v>
      </c>
      <c r="G637" s="71">
        <f>ROUND(+F637*0.03,4)</f>
        <v>0</v>
      </c>
      <c r="H637" s="45"/>
    </row>
    <row r="638" spans="2:8" x14ac:dyDescent="0.25">
      <c r="B638" s="47"/>
      <c r="C638" s="46"/>
      <c r="D638" s="67"/>
      <c r="E638" s="68"/>
      <c r="F638" s="68">
        <f>ROUND(+D638*E638,4)</f>
        <v>0</v>
      </c>
      <c r="G638" s="71">
        <f>ROUND(+F638*0.03,4)</f>
        <v>0</v>
      </c>
      <c r="H638" s="45"/>
    </row>
    <row r="639" spans="2:8" x14ac:dyDescent="0.25">
      <c r="B639" s="47"/>
      <c r="C639" s="46"/>
      <c r="D639" s="67"/>
      <c r="E639" s="68"/>
      <c r="F639" s="68">
        <f>ROUND(+D639*E639,4)</f>
        <v>0</v>
      </c>
      <c r="G639" s="71">
        <f>ROUND(+F639*0.03,4)</f>
        <v>0</v>
      </c>
      <c r="H639" s="45"/>
    </row>
    <row r="640" spans="2:8" x14ac:dyDescent="0.25">
      <c r="B640" s="47"/>
      <c r="C640" s="46"/>
      <c r="D640" s="67"/>
      <c r="E640" s="68"/>
      <c r="F640" s="68">
        <f>ROUND(+D640*E640,4)</f>
        <v>0</v>
      </c>
      <c r="G640" s="71">
        <f>ROUND(+F640*0.03,4)</f>
        <v>0</v>
      </c>
      <c r="H640" s="45"/>
    </row>
    <row r="641" spans="2:8" x14ac:dyDescent="0.25">
      <c r="B641" s="47"/>
      <c r="C641" s="46"/>
      <c r="D641" s="67"/>
      <c r="E641" s="68"/>
      <c r="F641" s="68">
        <f>ROUND(+D641*E641,4)</f>
        <v>0</v>
      </c>
      <c r="G641" s="71">
        <f>ROUND(+F641*0.03,4)</f>
        <v>0</v>
      </c>
      <c r="H641" s="45"/>
    </row>
    <row r="642" spans="2:8" x14ac:dyDescent="0.25">
      <c r="B642" s="47"/>
      <c r="C642" s="46"/>
      <c r="D642" s="67"/>
      <c r="E642" s="68"/>
      <c r="F642" s="68">
        <f>ROUND(+D642*E642,4)</f>
        <v>0</v>
      </c>
      <c r="G642" s="71">
        <f>ROUND(+F642*0.03,4)</f>
        <v>0</v>
      </c>
      <c r="H642" s="45"/>
    </row>
    <row r="643" spans="2:8" x14ac:dyDescent="0.25">
      <c r="B643" s="47"/>
      <c r="C643" s="46"/>
      <c r="D643" s="67"/>
      <c r="E643" s="68"/>
      <c r="F643" s="68">
        <f>ROUND(+D643*E643,4)</f>
        <v>0</v>
      </c>
      <c r="G643" s="71">
        <f>ROUND(+F643*0.03,4)</f>
        <v>0</v>
      </c>
      <c r="H643" s="45"/>
    </row>
    <row r="644" spans="2:8" x14ac:dyDescent="0.25">
      <c r="B644" s="47"/>
      <c r="C644" s="46"/>
      <c r="D644" s="67"/>
      <c r="E644" s="68"/>
      <c r="F644" s="68">
        <f>ROUND(+D644*E644,4)</f>
        <v>0</v>
      </c>
      <c r="G644" s="71">
        <f>ROUND(+F644*0.03,4)</f>
        <v>0</v>
      </c>
      <c r="H644" s="45"/>
    </row>
    <row r="645" spans="2:8" x14ac:dyDescent="0.25">
      <c r="B645" s="47"/>
      <c r="C645" s="46"/>
      <c r="D645" s="67"/>
      <c r="E645" s="68"/>
      <c r="F645" s="68">
        <f>ROUND(+D645*E645,4)</f>
        <v>0</v>
      </c>
      <c r="G645" s="71">
        <f>ROUND(+F645*0.03,4)</f>
        <v>0</v>
      </c>
      <c r="H645" s="45"/>
    </row>
    <row r="646" spans="2:8" x14ac:dyDescent="0.25">
      <c r="B646" s="47"/>
      <c r="C646" s="46"/>
      <c r="D646" s="67"/>
      <c r="E646" s="68"/>
      <c r="F646" s="68">
        <f>ROUND(+D646*E646,4)</f>
        <v>0</v>
      </c>
      <c r="G646" s="71">
        <f>ROUND(+F646*0.03,4)</f>
        <v>0</v>
      </c>
      <c r="H646" s="45"/>
    </row>
    <row r="647" spans="2:8" x14ac:dyDescent="0.25">
      <c r="B647" s="47"/>
      <c r="C647" s="46"/>
      <c r="D647" s="67"/>
      <c r="E647" s="68"/>
      <c r="F647" s="68">
        <f>ROUND(+D647*E647,4)</f>
        <v>0</v>
      </c>
      <c r="G647" s="71">
        <f>ROUND(+F647*0.03,4)</f>
        <v>0</v>
      </c>
      <c r="H647" s="45"/>
    </row>
    <row r="648" spans="2:8" x14ac:dyDescent="0.25">
      <c r="B648" s="47"/>
      <c r="C648" s="46"/>
      <c r="D648" s="67"/>
      <c r="E648" s="68"/>
      <c r="F648" s="68">
        <f>ROUND(+D648*E648,4)</f>
        <v>0</v>
      </c>
      <c r="G648" s="71">
        <f>ROUND(+F648*0.03,4)</f>
        <v>0</v>
      </c>
      <c r="H648" s="45"/>
    </row>
    <row r="649" spans="2:8" x14ac:dyDescent="0.25">
      <c r="B649" s="47"/>
      <c r="C649" s="46"/>
      <c r="D649" s="67"/>
      <c r="E649" s="68"/>
      <c r="F649" s="68">
        <f>ROUND(+D649*E649,4)</f>
        <v>0</v>
      </c>
      <c r="G649" s="71">
        <f>ROUND(+F649*0.03,4)</f>
        <v>0</v>
      </c>
      <c r="H649" s="45"/>
    </row>
    <row r="650" spans="2:8" x14ac:dyDescent="0.25">
      <c r="B650" s="47"/>
      <c r="C650" s="46"/>
      <c r="D650" s="67"/>
      <c r="E650" s="68"/>
      <c r="F650" s="68">
        <f>ROUND(+D650*E650,4)</f>
        <v>0</v>
      </c>
      <c r="G650" s="71">
        <f>ROUND(+F650*0.03,4)</f>
        <v>0</v>
      </c>
      <c r="H650" s="45"/>
    </row>
    <row r="651" spans="2:8" x14ac:dyDescent="0.25">
      <c r="B651" s="47"/>
      <c r="C651" s="46"/>
      <c r="D651" s="67"/>
      <c r="E651" s="68"/>
      <c r="F651" s="68">
        <f>ROUND(+D651*E651,4)</f>
        <v>0</v>
      </c>
      <c r="G651" s="71">
        <f>ROUND(+F651*0.03,4)</f>
        <v>0</v>
      </c>
      <c r="H651" s="45"/>
    </row>
    <row r="652" spans="2:8" x14ac:dyDescent="0.25">
      <c r="B652" s="47"/>
      <c r="C652" s="46"/>
      <c r="D652" s="67"/>
      <c r="E652" s="68"/>
      <c r="F652" s="68">
        <f>ROUND(+D652*E652,4)</f>
        <v>0</v>
      </c>
      <c r="G652" s="71">
        <f>ROUND(+F652*0.03,4)</f>
        <v>0</v>
      </c>
      <c r="H652" s="45"/>
    </row>
    <row r="653" spans="2:8" x14ac:dyDescent="0.25">
      <c r="B653" s="47"/>
      <c r="C653" s="46"/>
      <c r="D653" s="67"/>
      <c r="E653" s="68"/>
      <c r="F653" s="68">
        <f>ROUND(+D653*E653,4)</f>
        <v>0</v>
      </c>
      <c r="G653" s="71">
        <f>ROUND(+F653*0.03,4)</f>
        <v>0</v>
      </c>
      <c r="H653" s="45"/>
    </row>
    <row r="654" spans="2:8" x14ac:dyDescent="0.25">
      <c r="B654" s="47"/>
      <c r="C654" s="46"/>
      <c r="D654" s="67"/>
      <c r="E654" s="68"/>
      <c r="F654" s="68">
        <f>ROUND(+D654*E654,4)</f>
        <v>0</v>
      </c>
      <c r="G654" s="71">
        <f>ROUND(+F654*0.03,4)</f>
        <v>0</v>
      </c>
      <c r="H654" s="45"/>
    </row>
    <row r="655" spans="2:8" x14ac:dyDescent="0.25">
      <c r="B655" s="47"/>
      <c r="C655" s="46"/>
      <c r="D655" s="67"/>
      <c r="E655" s="68"/>
      <c r="F655" s="68">
        <f>ROUND(+D655*E655,4)</f>
        <v>0</v>
      </c>
      <c r="G655" s="71">
        <f>ROUND(+F655*0.03,4)</f>
        <v>0</v>
      </c>
      <c r="H655" s="45"/>
    </row>
    <row r="656" spans="2:8" x14ac:dyDescent="0.25">
      <c r="B656" s="47"/>
      <c r="C656" s="46"/>
      <c r="D656" s="67"/>
      <c r="E656" s="68"/>
      <c r="F656" s="68">
        <f>ROUND(+D656*E656,4)</f>
        <v>0</v>
      </c>
      <c r="G656" s="71">
        <f>ROUND(+F656*0.03,4)</f>
        <v>0</v>
      </c>
      <c r="H656" s="45"/>
    </row>
    <row r="657" spans="2:8" x14ac:dyDescent="0.25">
      <c r="B657" s="47"/>
      <c r="C657" s="46"/>
      <c r="D657" s="67"/>
      <c r="E657" s="68"/>
      <c r="F657" s="68">
        <f>ROUND(+D657*E657,4)</f>
        <v>0</v>
      </c>
      <c r="G657" s="71">
        <f>ROUND(+F657*0.03,4)</f>
        <v>0</v>
      </c>
      <c r="H657" s="45"/>
    </row>
    <row r="658" spans="2:8" x14ac:dyDescent="0.25">
      <c r="B658" s="47"/>
      <c r="C658" s="46"/>
      <c r="D658" s="67"/>
      <c r="E658" s="68"/>
      <c r="F658" s="68">
        <f>ROUND(+D658*E658,4)</f>
        <v>0</v>
      </c>
      <c r="G658" s="71">
        <f>ROUND(+F658*0.03,4)</f>
        <v>0</v>
      </c>
      <c r="H658" s="45"/>
    </row>
    <row r="659" spans="2:8" x14ac:dyDescent="0.25">
      <c r="B659" s="47"/>
      <c r="C659" s="46"/>
      <c r="D659" s="67"/>
      <c r="E659" s="68"/>
      <c r="F659" s="68">
        <f>ROUND(+D659*E659,4)</f>
        <v>0</v>
      </c>
      <c r="G659" s="71">
        <f>ROUND(+F659*0.03,4)</f>
        <v>0</v>
      </c>
      <c r="H659" s="45"/>
    </row>
    <row r="660" spans="2:8" x14ac:dyDescent="0.25">
      <c r="B660" s="47"/>
      <c r="C660" s="46"/>
      <c r="D660" s="67"/>
      <c r="E660" s="68"/>
      <c r="F660" s="68">
        <f>ROUND(+D660*E660,4)</f>
        <v>0</v>
      </c>
      <c r="G660" s="71">
        <f>ROUND(+F660*0.03,4)</f>
        <v>0</v>
      </c>
      <c r="H660" s="45"/>
    </row>
    <row r="661" spans="2:8" x14ac:dyDescent="0.25">
      <c r="B661" s="47"/>
      <c r="C661" s="46"/>
      <c r="D661" s="67"/>
      <c r="E661" s="68"/>
      <c r="F661" s="68">
        <f>ROUND(+D661*E661,4)</f>
        <v>0</v>
      </c>
      <c r="G661" s="71">
        <f>ROUND(+F661*0.03,4)</f>
        <v>0</v>
      </c>
      <c r="H661" s="45"/>
    </row>
    <row r="662" spans="2:8" x14ac:dyDescent="0.25">
      <c r="B662" s="47"/>
      <c r="C662" s="46"/>
      <c r="D662" s="67"/>
      <c r="E662" s="68"/>
      <c r="F662" s="68">
        <f>ROUND(+D662*E662,4)</f>
        <v>0</v>
      </c>
      <c r="G662" s="71">
        <f>ROUND(+F662*0.03,4)</f>
        <v>0</v>
      </c>
      <c r="H662" s="45"/>
    </row>
    <row r="663" spans="2:8" x14ac:dyDescent="0.25">
      <c r="B663" s="47"/>
      <c r="C663" s="46"/>
      <c r="D663" s="67"/>
      <c r="E663" s="68"/>
      <c r="F663" s="68">
        <f>ROUND(+D663*E663,4)</f>
        <v>0</v>
      </c>
      <c r="G663" s="71">
        <f>ROUND(+F663*0.03,4)</f>
        <v>0</v>
      </c>
      <c r="H663" s="45"/>
    </row>
    <row r="664" spans="2:8" x14ac:dyDescent="0.25">
      <c r="B664" s="47"/>
      <c r="C664" s="46"/>
      <c r="D664" s="67"/>
      <c r="E664" s="68"/>
      <c r="F664" s="68">
        <f>ROUND(+D664*E664,4)</f>
        <v>0</v>
      </c>
      <c r="G664" s="71">
        <f>ROUND(+F664*0.03,4)</f>
        <v>0</v>
      </c>
      <c r="H664" s="45"/>
    </row>
    <row r="665" spans="2:8" x14ac:dyDescent="0.25">
      <c r="B665" s="47"/>
      <c r="C665" s="46"/>
      <c r="D665" s="67"/>
      <c r="E665" s="68"/>
      <c r="F665" s="68">
        <f>ROUND(+D665*E665,4)</f>
        <v>0</v>
      </c>
      <c r="G665" s="71">
        <f>ROUND(+F665*0.03,4)</f>
        <v>0</v>
      </c>
      <c r="H665" s="45"/>
    </row>
    <row r="666" spans="2:8" x14ac:dyDescent="0.25">
      <c r="B666" s="47"/>
      <c r="C666" s="46"/>
      <c r="D666" s="67"/>
      <c r="E666" s="68"/>
      <c r="F666" s="68">
        <f>ROUND(+D666*E666,4)</f>
        <v>0</v>
      </c>
      <c r="G666" s="71">
        <f>ROUND(+F666*0.03,4)</f>
        <v>0</v>
      </c>
      <c r="H666" s="45"/>
    </row>
    <row r="667" spans="2:8" x14ac:dyDescent="0.25">
      <c r="B667" s="47"/>
      <c r="C667" s="46"/>
      <c r="D667" s="67"/>
      <c r="E667" s="68"/>
      <c r="F667" s="68">
        <f>ROUND(+D667*E667,4)</f>
        <v>0</v>
      </c>
      <c r="G667" s="71">
        <f>ROUND(+F667*0.03,4)</f>
        <v>0</v>
      </c>
      <c r="H667" s="45"/>
    </row>
    <row r="668" spans="2:8" x14ac:dyDescent="0.25">
      <c r="B668" s="47"/>
      <c r="C668" s="46"/>
      <c r="D668" s="67"/>
      <c r="E668" s="68"/>
      <c r="F668" s="68">
        <f>ROUND(+D668*E668,4)</f>
        <v>0</v>
      </c>
      <c r="G668" s="71">
        <f>ROUND(+F668*0.03,4)</f>
        <v>0</v>
      </c>
      <c r="H668" s="45"/>
    </row>
    <row r="669" spans="2:8" x14ac:dyDescent="0.25">
      <c r="B669" s="47"/>
      <c r="C669" s="46"/>
      <c r="D669" s="67"/>
      <c r="E669" s="68"/>
      <c r="F669" s="68">
        <f>ROUND(+D669*E669,4)</f>
        <v>0</v>
      </c>
      <c r="G669" s="71">
        <f>ROUND(+F669*0.03,4)</f>
        <v>0</v>
      </c>
      <c r="H669" s="45"/>
    </row>
    <row r="670" spans="2:8" x14ac:dyDescent="0.25">
      <c r="B670" s="47"/>
      <c r="C670" s="46"/>
      <c r="D670" s="67"/>
      <c r="E670" s="68"/>
      <c r="F670" s="68">
        <f>ROUND(+D670*E670,4)</f>
        <v>0</v>
      </c>
      <c r="G670" s="71">
        <f>ROUND(+F670*0.03,4)</f>
        <v>0</v>
      </c>
      <c r="H670" s="45"/>
    </row>
    <row r="671" spans="2:8" x14ac:dyDescent="0.25">
      <c r="B671" s="47"/>
      <c r="C671" s="46"/>
      <c r="D671" s="67"/>
      <c r="E671" s="68"/>
      <c r="F671" s="68">
        <f>ROUND(+D671*E671,4)</f>
        <v>0</v>
      </c>
      <c r="G671" s="71">
        <f>ROUND(+F671*0.03,4)</f>
        <v>0</v>
      </c>
      <c r="H671" s="45"/>
    </row>
    <row r="672" spans="2:8" x14ac:dyDescent="0.25">
      <c r="B672" s="47"/>
      <c r="C672" s="46"/>
      <c r="D672" s="67"/>
      <c r="E672" s="68"/>
      <c r="F672" s="68">
        <f>ROUND(+D672*E672,4)</f>
        <v>0</v>
      </c>
      <c r="G672" s="71">
        <f>ROUND(+F672*0.03,4)</f>
        <v>0</v>
      </c>
      <c r="H672" s="45"/>
    </row>
    <row r="673" spans="2:8" x14ac:dyDescent="0.25">
      <c r="B673" s="47"/>
      <c r="C673" s="46"/>
      <c r="D673" s="67"/>
      <c r="E673" s="68"/>
      <c r="F673" s="68">
        <f>ROUND(+D673*E673,4)</f>
        <v>0</v>
      </c>
      <c r="G673" s="71">
        <f>ROUND(+F673*0.03,4)</f>
        <v>0</v>
      </c>
      <c r="H673" s="45"/>
    </row>
    <row r="674" spans="2:8" x14ac:dyDescent="0.25">
      <c r="B674" s="47"/>
      <c r="C674" s="46"/>
      <c r="D674" s="67"/>
      <c r="E674" s="68"/>
      <c r="F674" s="68">
        <f>ROUND(+D674*E674,4)</f>
        <v>0</v>
      </c>
      <c r="G674" s="71">
        <f>ROUND(+F674*0.03,4)</f>
        <v>0</v>
      </c>
      <c r="H674" s="45"/>
    </row>
    <row r="675" spans="2:8" x14ac:dyDescent="0.25">
      <c r="B675" s="47"/>
      <c r="C675" s="46"/>
      <c r="D675" s="67"/>
      <c r="E675" s="68"/>
      <c r="F675" s="68">
        <f>ROUND(+D675*E675,4)</f>
        <v>0</v>
      </c>
      <c r="G675" s="71">
        <f>ROUND(+F675*0.03,4)</f>
        <v>0</v>
      </c>
      <c r="H675" s="45"/>
    </row>
    <row r="676" spans="2:8" x14ac:dyDescent="0.25">
      <c r="B676" s="47"/>
      <c r="C676" s="46"/>
      <c r="D676" s="67"/>
      <c r="E676" s="68"/>
      <c r="F676" s="68">
        <f>ROUND(+D676*E676,4)</f>
        <v>0</v>
      </c>
      <c r="G676" s="71">
        <f>ROUND(+F676*0.03,4)</f>
        <v>0</v>
      </c>
      <c r="H676" s="45"/>
    </row>
    <row r="677" spans="2:8" x14ac:dyDescent="0.25">
      <c r="B677" s="47"/>
      <c r="C677" s="46"/>
      <c r="D677" s="67"/>
      <c r="E677" s="68"/>
      <c r="F677" s="68">
        <f>ROUND(+D677*E677,4)</f>
        <v>0</v>
      </c>
      <c r="G677" s="71">
        <f>ROUND(+F677*0.03,4)</f>
        <v>0</v>
      </c>
      <c r="H677" s="45"/>
    </row>
    <row r="678" spans="2:8" x14ac:dyDescent="0.25">
      <c r="B678" s="47"/>
      <c r="C678" s="46"/>
      <c r="D678" s="67"/>
      <c r="E678" s="68"/>
      <c r="F678" s="68">
        <f>ROUND(+D678*E678,4)</f>
        <v>0</v>
      </c>
      <c r="G678" s="71">
        <f>ROUND(+F678*0.03,4)</f>
        <v>0</v>
      </c>
      <c r="H678" s="45"/>
    </row>
    <row r="679" spans="2:8" x14ac:dyDescent="0.25">
      <c r="B679" s="47"/>
      <c r="C679" s="46"/>
      <c r="D679" s="67"/>
      <c r="E679" s="68"/>
      <c r="F679" s="68">
        <f>ROUND(+D679*E679,4)</f>
        <v>0</v>
      </c>
      <c r="G679" s="71">
        <f>ROUND(+F679*0.03,4)</f>
        <v>0</v>
      </c>
      <c r="H679" s="45"/>
    </row>
    <row r="680" spans="2:8" x14ac:dyDescent="0.25">
      <c r="B680" s="47"/>
      <c r="C680" s="46"/>
      <c r="D680" s="67"/>
      <c r="E680" s="68"/>
      <c r="F680" s="68">
        <f>ROUND(+D680*E680,4)</f>
        <v>0</v>
      </c>
      <c r="G680" s="71">
        <f>ROUND(+F680*0.03,4)</f>
        <v>0</v>
      </c>
      <c r="H680" s="45"/>
    </row>
    <row r="681" spans="2:8" x14ac:dyDescent="0.25">
      <c r="B681" s="47"/>
      <c r="C681" s="46"/>
      <c r="D681" s="67"/>
      <c r="E681" s="68"/>
      <c r="F681" s="68">
        <f>ROUND(+D681*E681,4)</f>
        <v>0</v>
      </c>
      <c r="G681" s="71">
        <f>ROUND(+F681*0.03,4)</f>
        <v>0</v>
      </c>
      <c r="H681" s="45"/>
    </row>
    <row r="682" spans="2:8" x14ac:dyDescent="0.25">
      <c r="B682" s="47"/>
      <c r="C682" s="46"/>
      <c r="D682" s="67"/>
      <c r="E682" s="68"/>
      <c r="F682" s="68">
        <f>ROUND(+D682*E682,4)</f>
        <v>0</v>
      </c>
      <c r="G682" s="71">
        <f>ROUND(+F682*0.03,4)</f>
        <v>0</v>
      </c>
      <c r="H682" s="45"/>
    </row>
    <row r="683" spans="2:8" x14ac:dyDescent="0.25">
      <c r="B683" s="47"/>
      <c r="C683" s="46"/>
      <c r="D683" s="67"/>
      <c r="E683" s="68"/>
      <c r="F683" s="68">
        <f>ROUND(+D683*E683,4)</f>
        <v>0</v>
      </c>
      <c r="G683" s="71">
        <f>ROUND(+F683*0.03,4)</f>
        <v>0</v>
      </c>
      <c r="H683" s="45"/>
    </row>
    <row r="684" spans="2:8" x14ac:dyDescent="0.25">
      <c r="B684" s="47"/>
      <c r="C684" s="46"/>
      <c r="D684" s="67"/>
      <c r="E684" s="68"/>
      <c r="F684" s="68">
        <f>ROUND(+D684*E684,4)</f>
        <v>0</v>
      </c>
      <c r="G684" s="71">
        <f>ROUND(+F684*0.03,4)</f>
        <v>0</v>
      </c>
      <c r="H684" s="45"/>
    </row>
    <row r="685" spans="2:8" x14ac:dyDescent="0.25">
      <c r="B685" s="47"/>
      <c r="C685" s="46"/>
      <c r="D685" s="67"/>
      <c r="E685" s="68"/>
      <c r="F685" s="68">
        <f>ROUND(+D685*E685,4)</f>
        <v>0</v>
      </c>
      <c r="G685" s="71">
        <f>ROUND(+F685*0.03,4)</f>
        <v>0</v>
      </c>
      <c r="H685" s="45"/>
    </row>
    <row r="686" spans="2:8" x14ac:dyDescent="0.25">
      <c r="B686" s="47"/>
      <c r="C686" s="46"/>
      <c r="D686" s="67"/>
      <c r="E686" s="68"/>
      <c r="F686" s="68">
        <f>ROUND(+D686*E686,4)</f>
        <v>0</v>
      </c>
      <c r="G686" s="71">
        <f>ROUND(+F686*0.03,4)</f>
        <v>0</v>
      </c>
      <c r="H686" s="45"/>
    </row>
    <row r="687" spans="2:8" x14ac:dyDescent="0.25">
      <c r="B687" s="47"/>
      <c r="C687" s="46"/>
      <c r="D687" s="67"/>
      <c r="E687" s="68"/>
      <c r="F687" s="68">
        <f>ROUND(+D687*E687,4)</f>
        <v>0</v>
      </c>
      <c r="G687" s="71">
        <f>ROUND(+F687*0.03,4)</f>
        <v>0</v>
      </c>
      <c r="H687" s="45"/>
    </row>
    <row r="688" spans="2:8" x14ac:dyDescent="0.25">
      <c r="B688" s="47"/>
      <c r="C688" s="46"/>
      <c r="D688" s="67"/>
      <c r="E688" s="68"/>
      <c r="F688" s="68">
        <f>ROUND(+D688*E688,4)</f>
        <v>0</v>
      </c>
      <c r="G688" s="71">
        <f>ROUND(+F688*0.03,4)</f>
        <v>0</v>
      </c>
      <c r="H688" s="45"/>
    </row>
    <row r="689" spans="2:8" x14ac:dyDescent="0.25">
      <c r="B689" s="47"/>
      <c r="C689" s="46"/>
      <c r="D689" s="67"/>
      <c r="E689" s="68"/>
      <c r="F689" s="68">
        <f>ROUND(+D689*E689,4)</f>
        <v>0</v>
      </c>
      <c r="G689" s="71">
        <f>ROUND(+F689*0.03,4)</f>
        <v>0</v>
      </c>
      <c r="H689" s="45"/>
    </row>
    <row r="690" spans="2:8" x14ac:dyDescent="0.25">
      <c r="B690" s="47"/>
      <c r="C690" s="46"/>
      <c r="D690" s="67"/>
      <c r="E690" s="68"/>
      <c r="F690" s="68">
        <f>ROUND(+D690*E690,4)</f>
        <v>0</v>
      </c>
      <c r="G690" s="71">
        <f>ROUND(+F690*0.03,4)</f>
        <v>0</v>
      </c>
      <c r="H690" s="45"/>
    </row>
    <row r="691" spans="2:8" x14ac:dyDescent="0.25">
      <c r="B691" s="47"/>
      <c r="C691" s="46"/>
      <c r="D691" s="67"/>
      <c r="E691" s="68"/>
      <c r="F691" s="68">
        <f>ROUND(+D691*E691,4)</f>
        <v>0</v>
      </c>
      <c r="G691" s="71">
        <f>ROUND(+F691*0.03,4)</f>
        <v>0</v>
      </c>
      <c r="H691" s="45"/>
    </row>
    <row r="692" spans="2:8" x14ac:dyDescent="0.25">
      <c r="B692" s="47"/>
      <c r="C692" s="46"/>
      <c r="D692" s="67"/>
      <c r="E692" s="68"/>
      <c r="F692" s="68">
        <f>ROUND(+D692*E692,4)</f>
        <v>0</v>
      </c>
      <c r="G692" s="71">
        <f>ROUND(+F692*0.03,4)</f>
        <v>0</v>
      </c>
      <c r="H692" s="45"/>
    </row>
    <row r="693" spans="2:8" x14ac:dyDescent="0.25">
      <c r="B693" s="47"/>
      <c r="C693" s="46"/>
      <c r="D693" s="67"/>
      <c r="E693" s="68"/>
      <c r="F693" s="68">
        <f>ROUND(+D693*E693,4)</f>
        <v>0</v>
      </c>
      <c r="G693" s="71">
        <f>ROUND(+F693*0.03,4)</f>
        <v>0</v>
      </c>
      <c r="H693" s="45"/>
    </row>
    <row r="694" spans="2:8" x14ac:dyDescent="0.25">
      <c r="B694" s="47"/>
      <c r="C694" s="46"/>
      <c r="D694" s="67"/>
      <c r="E694" s="68"/>
      <c r="F694" s="68">
        <f>ROUND(+D694*E694,4)</f>
        <v>0</v>
      </c>
      <c r="G694" s="71">
        <f>ROUND(+F694*0.03,4)</f>
        <v>0</v>
      </c>
      <c r="H694" s="45"/>
    </row>
    <row r="695" spans="2:8" x14ac:dyDescent="0.25">
      <c r="B695" s="47"/>
      <c r="C695" s="46"/>
      <c r="D695" s="67"/>
      <c r="E695" s="68"/>
      <c r="F695" s="68">
        <f>ROUND(+D695*E695,4)</f>
        <v>0</v>
      </c>
      <c r="G695" s="71">
        <f>ROUND(+F695*0.03,4)</f>
        <v>0</v>
      </c>
      <c r="H695" s="45"/>
    </row>
    <row r="696" spans="2:8" x14ac:dyDescent="0.25">
      <c r="B696" s="47"/>
      <c r="C696" s="46"/>
      <c r="D696" s="67"/>
      <c r="E696" s="68"/>
      <c r="F696" s="68">
        <f>ROUND(+D696*E696,4)</f>
        <v>0</v>
      </c>
      <c r="G696" s="71">
        <f>ROUND(+F696*0.03,4)</f>
        <v>0</v>
      </c>
      <c r="H696" s="45"/>
    </row>
    <row r="697" spans="2:8" x14ac:dyDescent="0.25">
      <c r="B697" s="47"/>
      <c r="C697" s="46"/>
      <c r="D697" s="67"/>
      <c r="E697" s="68"/>
      <c r="F697" s="68">
        <f>ROUND(+D697*E697,4)</f>
        <v>0</v>
      </c>
      <c r="G697" s="71">
        <f>ROUND(+F697*0.03,4)</f>
        <v>0</v>
      </c>
      <c r="H697" s="45"/>
    </row>
    <row r="698" spans="2:8" x14ac:dyDescent="0.25">
      <c r="B698" s="47"/>
      <c r="C698" s="46"/>
      <c r="D698" s="67"/>
      <c r="E698" s="68"/>
      <c r="F698" s="68">
        <f>ROUND(+D698*E698,4)</f>
        <v>0</v>
      </c>
      <c r="G698" s="71">
        <f>ROUND(+F698*0.03,4)</f>
        <v>0</v>
      </c>
      <c r="H698" s="45"/>
    </row>
    <row r="699" spans="2:8" x14ac:dyDescent="0.25">
      <c r="B699" s="47"/>
      <c r="C699" s="46"/>
      <c r="D699" s="67"/>
      <c r="E699" s="68"/>
      <c r="F699" s="68">
        <f>ROUND(+D699*E699,4)</f>
        <v>0</v>
      </c>
      <c r="G699" s="71">
        <f>ROUND(+F699*0.03,4)</f>
        <v>0</v>
      </c>
      <c r="H699" s="45"/>
    </row>
    <row r="700" spans="2:8" x14ac:dyDescent="0.25">
      <c r="B700" s="47"/>
      <c r="C700" s="46"/>
      <c r="D700" s="67"/>
      <c r="E700" s="68"/>
      <c r="F700" s="68">
        <f>ROUND(+D700*E700,4)</f>
        <v>0</v>
      </c>
      <c r="G700" s="71">
        <f>ROUND(+F700*0.03,4)</f>
        <v>0</v>
      </c>
      <c r="H700" s="45"/>
    </row>
    <row r="701" spans="2:8" x14ac:dyDescent="0.25">
      <c r="B701" s="47"/>
      <c r="C701" s="46"/>
      <c r="D701" s="67"/>
      <c r="E701" s="68"/>
      <c r="F701" s="68">
        <f>ROUND(+D701*E701,4)</f>
        <v>0</v>
      </c>
      <c r="G701" s="71">
        <f>ROUND(+F701*0.03,4)</f>
        <v>0</v>
      </c>
      <c r="H701" s="45"/>
    </row>
    <row r="702" spans="2:8" x14ac:dyDescent="0.25">
      <c r="B702" s="47"/>
      <c r="C702" s="46"/>
      <c r="D702" s="67"/>
      <c r="E702" s="68"/>
      <c r="F702" s="68">
        <f>ROUND(+D702*E702,4)</f>
        <v>0</v>
      </c>
      <c r="G702" s="71">
        <f>ROUND(+F702*0.03,4)</f>
        <v>0</v>
      </c>
      <c r="H702" s="45"/>
    </row>
    <row r="703" spans="2:8" x14ac:dyDescent="0.25">
      <c r="B703" s="47"/>
      <c r="C703" s="46"/>
      <c r="D703" s="67"/>
      <c r="E703" s="68"/>
      <c r="F703" s="68">
        <f>ROUND(+D703*E703,4)</f>
        <v>0</v>
      </c>
      <c r="G703" s="71">
        <f>ROUND(+F703*0.03,4)</f>
        <v>0</v>
      </c>
      <c r="H703" s="45"/>
    </row>
    <row r="704" spans="2:8" x14ac:dyDescent="0.25">
      <c r="B704" s="47"/>
      <c r="C704" s="46"/>
      <c r="D704" s="67"/>
      <c r="E704" s="68"/>
      <c r="F704" s="68">
        <f>ROUND(+D704*E704,4)</f>
        <v>0</v>
      </c>
      <c r="G704" s="71">
        <f>ROUND(+F704*0.03,4)</f>
        <v>0</v>
      </c>
      <c r="H704" s="45"/>
    </row>
    <row r="705" spans="2:8" x14ac:dyDescent="0.25">
      <c r="B705" s="47"/>
      <c r="C705" s="46"/>
      <c r="D705" s="67"/>
      <c r="E705" s="68"/>
      <c r="F705" s="68">
        <f>ROUND(+D705*E705,4)</f>
        <v>0</v>
      </c>
      <c r="G705" s="71">
        <f>ROUND(+F705*0.03,4)</f>
        <v>0</v>
      </c>
      <c r="H705" s="45"/>
    </row>
    <row r="706" spans="2:8" x14ac:dyDescent="0.25">
      <c r="B706" s="47"/>
      <c r="C706" s="46"/>
      <c r="D706" s="67"/>
      <c r="E706" s="68"/>
      <c r="F706" s="68">
        <f>ROUND(+D706*E706,4)</f>
        <v>0</v>
      </c>
      <c r="G706" s="71">
        <f>ROUND(+F706*0.03,4)</f>
        <v>0</v>
      </c>
      <c r="H706" s="45"/>
    </row>
    <row r="707" spans="2:8" x14ac:dyDescent="0.25">
      <c r="B707" s="47"/>
      <c r="C707" s="46"/>
      <c r="D707" s="67"/>
      <c r="E707" s="68"/>
      <c r="F707" s="68">
        <f>ROUND(+D707*E707,4)</f>
        <v>0</v>
      </c>
      <c r="G707" s="71">
        <f>ROUND(+F707*0.03,4)</f>
        <v>0</v>
      </c>
      <c r="H707" s="45"/>
    </row>
    <row r="708" spans="2:8" x14ac:dyDescent="0.25">
      <c r="B708" s="47"/>
      <c r="C708" s="46"/>
      <c r="D708" s="67"/>
      <c r="E708" s="68"/>
      <c r="F708" s="68">
        <f>ROUND(+D708*E708,4)</f>
        <v>0</v>
      </c>
      <c r="G708" s="71">
        <f>ROUND(+F708*0.03,4)</f>
        <v>0</v>
      </c>
      <c r="H708" s="45"/>
    </row>
    <row r="709" spans="2:8" x14ac:dyDescent="0.25">
      <c r="B709" s="47"/>
      <c r="C709" s="46"/>
      <c r="D709" s="67"/>
      <c r="E709" s="68"/>
      <c r="F709" s="68">
        <f>ROUND(+D709*E709,4)</f>
        <v>0</v>
      </c>
      <c r="G709" s="71">
        <f>ROUND(+F709*0.03,4)</f>
        <v>0</v>
      </c>
      <c r="H709" s="45"/>
    </row>
    <row r="710" spans="2:8" x14ac:dyDescent="0.25">
      <c r="B710" s="47"/>
      <c r="C710" s="46"/>
      <c r="D710" s="67"/>
      <c r="E710" s="68"/>
      <c r="F710" s="68">
        <f>ROUND(+D710*E710,4)</f>
        <v>0</v>
      </c>
      <c r="G710" s="71">
        <f>ROUND(+F710*0.03,4)</f>
        <v>0</v>
      </c>
      <c r="H710" s="45"/>
    </row>
    <row r="711" spans="2:8" x14ac:dyDescent="0.25">
      <c r="B711" s="47"/>
      <c r="C711" s="46"/>
      <c r="D711" s="67"/>
      <c r="E711" s="68"/>
      <c r="F711" s="68">
        <f>ROUND(+D711*E711,4)</f>
        <v>0</v>
      </c>
      <c r="G711" s="71">
        <f>ROUND(+F711*0.03,4)</f>
        <v>0</v>
      </c>
      <c r="H711" s="45"/>
    </row>
    <row r="712" spans="2:8" x14ac:dyDescent="0.25">
      <c r="B712" s="47"/>
      <c r="C712" s="46"/>
      <c r="D712" s="67"/>
      <c r="E712" s="68"/>
      <c r="F712" s="68">
        <f>ROUND(+D712*E712,4)</f>
        <v>0</v>
      </c>
      <c r="G712" s="71">
        <f>ROUND(+F712*0.03,4)</f>
        <v>0</v>
      </c>
      <c r="H712" s="45"/>
    </row>
    <row r="713" spans="2:8" x14ac:dyDescent="0.25">
      <c r="B713" s="47"/>
      <c r="C713" s="46"/>
      <c r="D713" s="67"/>
      <c r="E713" s="68"/>
      <c r="F713" s="68">
        <f>ROUND(+D713*E713,4)</f>
        <v>0</v>
      </c>
      <c r="G713" s="71">
        <f>ROUND(+F713*0.03,4)</f>
        <v>0</v>
      </c>
      <c r="H713" s="45"/>
    </row>
    <row r="714" spans="2:8" x14ac:dyDescent="0.25">
      <c r="B714" s="47"/>
      <c r="C714" s="46"/>
      <c r="D714" s="67"/>
      <c r="E714" s="68"/>
      <c r="F714" s="68">
        <f>ROUND(+D714*E714,4)</f>
        <v>0</v>
      </c>
      <c r="G714" s="71">
        <f>ROUND(+F714*0.03,4)</f>
        <v>0</v>
      </c>
      <c r="H714" s="45"/>
    </row>
    <row r="715" spans="2:8" x14ac:dyDescent="0.25">
      <c r="B715" s="47"/>
      <c r="C715" s="46"/>
      <c r="D715" s="67"/>
      <c r="E715" s="68"/>
      <c r="F715" s="68">
        <f>ROUND(+D715*E715,4)</f>
        <v>0</v>
      </c>
      <c r="G715" s="71">
        <f>ROUND(+F715*0.03,4)</f>
        <v>0</v>
      </c>
      <c r="H715" s="45"/>
    </row>
    <row r="716" spans="2:8" x14ac:dyDescent="0.25">
      <c r="B716" s="47"/>
      <c r="C716" s="46"/>
      <c r="D716" s="67"/>
      <c r="E716" s="68"/>
      <c r="F716" s="68">
        <f>ROUND(+D716*E716,4)</f>
        <v>0</v>
      </c>
      <c r="G716" s="71">
        <f>ROUND(+F716*0.03,4)</f>
        <v>0</v>
      </c>
      <c r="H716" s="45"/>
    </row>
    <row r="717" spans="2:8" x14ac:dyDescent="0.25">
      <c r="B717" s="47"/>
      <c r="C717" s="46"/>
      <c r="D717" s="67"/>
      <c r="E717" s="68"/>
      <c r="F717" s="68">
        <f>ROUND(+D717*E717,4)</f>
        <v>0</v>
      </c>
      <c r="G717" s="71">
        <f>ROUND(+F717*0.03,4)</f>
        <v>0</v>
      </c>
      <c r="H717" s="45"/>
    </row>
    <row r="718" spans="2:8" x14ac:dyDescent="0.25">
      <c r="B718" s="47"/>
      <c r="C718" s="46"/>
      <c r="D718" s="67"/>
      <c r="E718" s="68"/>
      <c r="F718" s="68">
        <f>ROUND(+D718*E718,4)</f>
        <v>0</v>
      </c>
      <c r="G718" s="71">
        <f>ROUND(+F718*0.03,4)</f>
        <v>0</v>
      </c>
      <c r="H718" s="45"/>
    </row>
    <row r="719" spans="2:8" x14ac:dyDescent="0.25">
      <c r="B719" s="47"/>
      <c r="C719" s="46"/>
      <c r="D719" s="67"/>
      <c r="E719" s="68"/>
      <c r="F719" s="68">
        <f>ROUND(+D719*E719,4)</f>
        <v>0</v>
      </c>
      <c r="G719" s="71">
        <f>ROUND(+F719*0.03,4)</f>
        <v>0</v>
      </c>
      <c r="H719" s="45"/>
    </row>
    <row r="720" spans="2:8" x14ac:dyDescent="0.25">
      <c r="B720" s="47"/>
      <c r="C720" s="46"/>
      <c r="D720" s="67"/>
      <c r="E720" s="68"/>
      <c r="F720" s="68">
        <f>ROUND(+D720*E720,4)</f>
        <v>0</v>
      </c>
      <c r="G720" s="71">
        <f>ROUND(+F720*0.03,4)</f>
        <v>0</v>
      </c>
      <c r="H720" s="45"/>
    </row>
    <row r="721" spans="2:16" x14ac:dyDescent="0.25">
      <c r="B721" s="47"/>
      <c r="C721" s="46"/>
      <c r="D721" s="67"/>
      <c r="E721" s="68"/>
      <c r="F721" s="68">
        <f>ROUND(+D721*E721,4)</f>
        <v>0</v>
      </c>
      <c r="G721" s="71">
        <f>ROUND(+F721*0.03,4)</f>
        <v>0</v>
      </c>
      <c r="H721" s="45"/>
    </row>
    <row r="722" spans="2:16" x14ac:dyDescent="0.25">
      <c r="B722" s="47"/>
      <c r="C722" s="46"/>
      <c r="D722" s="67"/>
      <c r="E722" s="68"/>
      <c r="F722" s="68">
        <f>ROUND(+D722*E722,4)</f>
        <v>0</v>
      </c>
      <c r="G722" s="71">
        <f>ROUND(+F722*0.03,4)</f>
        <v>0</v>
      </c>
      <c r="H722" s="45"/>
    </row>
    <row r="723" spans="2:16" x14ac:dyDescent="0.25">
      <c r="B723" s="47"/>
      <c r="C723" s="46"/>
      <c r="D723" s="67"/>
      <c r="E723" s="68"/>
      <c r="F723" s="68">
        <f>ROUND(+D723*E723,4)</f>
        <v>0</v>
      </c>
      <c r="G723" s="71">
        <f>ROUND(+F723*0.03,4)</f>
        <v>0</v>
      </c>
      <c r="H723" s="45"/>
      <c r="L723" s="41">
        <f t="shared" si="0"/>
        <v>0</v>
      </c>
      <c r="M723" s="41">
        <f t="shared" si="1"/>
        <v>1900</v>
      </c>
      <c r="O723" s="41">
        <f t="shared" si="2"/>
        <v>0</v>
      </c>
      <c r="P723" s="41">
        <f t="shared" si="3"/>
        <v>0</v>
      </c>
    </row>
    <row r="724" spans="2:16" x14ac:dyDescent="0.25">
      <c r="B724" s="47"/>
      <c r="C724" s="46"/>
      <c r="D724" s="67"/>
      <c r="E724" s="68"/>
      <c r="F724" s="68">
        <f>ROUND(+D724*E724,4)</f>
        <v>0</v>
      </c>
      <c r="G724" s="71">
        <f>ROUND(+F724*0.03,4)</f>
        <v>0</v>
      </c>
      <c r="H724" s="45"/>
      <c r="L724" s="41">
        <f t="shared" si="0"/>
        <v>0</v>
      </c>
      <c r="M724" s="41">
        <f t="shared" si="1"/>
        <v>1900</v>
      </c>
      <c r="O724" s="41">
        <f t="shared" si="2"/>
        <v>0</v>
      </c>
      <c r="P724" s="41">
        <f t="shared" si="3"/>
        <v>0</v>
      </c>
    </row>
    <row r="725" spans="2:16" x14ac:dyDescent="0.25">
      <c r="B725" s="47"/>
      <c r="C725" s="46"/>
      <c r="D725" s="67"/>
      <c r="E725" s="68"/>
      <c r="F725" s="68">
        <f>ROUND(+D725*E725,4)</f>
        <v>0</v>
      </c>
      <c r="G725" s="71">
        <f>ROUND(+F725*0.03,4)</f>
        <v>0</v>
      </c>
      <c r="H725" s="45"/>
      <c r="L725" s="41">
        <f t="shared" si="0"/>
        <v>0</v>
      </c>
      <c r="M725" s="41">
        <f t="shared" si="1"/>
        <v>1900</v>
      </c>
      <c r="O725" s="41">
        <f t="shared" si="2"/>
        <v>0</v>
      </c>
      <c r="P725" s="41">
        <f t="shared" si="3"/>
        <v>0</v>
      </c>
    </row>
    <row r="726" spans="2:16" x14ac:dyDescent="0.25">
      <c r="B726" s="47"/>
      <c r="C726" s="46"/>
      <c r="D726" s="67"/>
      <c r="E726" s="68"/>
      <c r="F726" s="68">
        <f>ROUND(+D726*E726,4)</f>
        <v>0</v>
      </c>
      <c r="G726" s="71">
        <f>ROUND(+F726*0.03,4)</f>
        <v>0</v>
      </c>
      <c r="H726" s="45"/>
      <c r="L726" s="41">
        <f t="shared" si="0"/>
        <v>0</v>
      </c>
      <c r="M726" s="41">
        <f t="shared" si="1"/>
        <v>1900</v>
      </c>
      <c r="O726" s="41">
        <f t="shared" si="2"/>
        <v>0</v>
      </c>
      <c r="P726" s="41">
        <f t="shared" si="3"/>
        <v>0</v>
      </c>
    </row>
    <row r="727" spans="2:16" x14ac:dyDescent="0.25">
      <c r="B727" s="47"/>
      <c r="C727" s="46"/>
      <c r="D727" s="67"/>
      <c r="E727" s="68"/>
      <c r="F727" s="68">
        <f>ROUND(+D727*E727,4)</f>
        <v>0</v>
      </c>
      <c r="G727" s="71">
        <f>ROUND(+F727*0.03,4)</f>
        <v>0</v>
      </c>
      <c r="H727" s="45"/>
      <c r="L727" s="41">
        <f t="shared" ref="L727" si="4">WEEKNUM(H727)</f>
        <v>0</v>
      </c>
      <c r="M727" s="41">
        <f t="shared" ref="M727" si="5">YEAR(H727)</f>
        <v>1900</v>
      </c>
      <c r="O727" s="41">
        <f t="shared" ref="O727" si="6">IF(H727="",0,MONTH(H727))</f>
        <v>0</v>
      </c>
      <c r="P727" s="41">
        <f t="shared" ref="P727" si="7">IF(H727="",0,YEAR(H727))</f>
        <v>0</v>
      </c>
    </row>
    <row r="728" spans="2:16" ht="15.75" thickBot="1" x14ac:dyDescent="0.3">
      <c r="B728" s="48"/>
      <c r="C728" s="49"/>
      <c r="D728" s="67"/>
      <c r="E728" s="69"/>
      <c r="F728" s="68">
        <f>ROUND(+D728*E728,4)</f>
        <v>0</v>
      </c>
      <c r="G728" s="71">
        <f>ROUND(+F728*0.03,4)</f>
        <v>0</v>
      </c>
      <c r="H728" s="50"/>
      <c r="L728" s="41">
        <f t="shared" ref="L728" si="8">WEEKNUM(H728)</f>
        <v>0</v>
      </c>
      <c r="M728" s="41">
        <f t="shared" ref="M728" si="9">YEAR(H728)</f>
        <v>1900</v>
      </c>
      <c r="O728" s="41">
        <f t="shared" ref="O728" si="10">IF(H728="",0,MONTH(H728))</f>
        <v>0</v>
      </c>
      <c r="P728" s="41">
        <f t="shared" ref="P728" si="11">IF(H728="",0,YEAR(H728))</f>
        <v>0</v>
      </c>
    </row>
    <row r="729" spans="2:16" ht="15.75" thickBot="1" x14ac:dyDescent="0.3">
      <c r="B729" s="61" t="s">
        <v>80</v>
      </c>
      <c r="D729" s="51">
        <f>SUM(D6:D728)</f>
        <v>134328.9</v>
      </c>
      <c r="F729" s="52">
        <f>SUM(F6:F728)</f>
        <v>90610.440100000007</v>
      </c>
      <c r="G729" s="53">
        <f>SUM(G6:G728)</f>
        <v>2973.3131999999996</v>
      </c>
    </row>
  </sheetData>
  <sheetProtection formatCells="0" insertRows="0" deleteRows="0" sort="0" autoFilter="0"/>
  <autoFilter ref="B4:P728"/>
  <conditionalFormatting sqref="G4:H4">
    <cfRule type="containsText" dxfId="1" priority="1" operator="containsText" text="ERRORE">
      <formula>NOT(ISERROR(SEARCH("ERRORE",G4)))</formula>
    </cfRule>
  </conditionalFormatting>
  <dataValidations count="1">
    <dataValidation type="list" allowBlank="1" showInputMessage="1" showErrorMessage="1" sqref="I6:I728">
      <formula1>"OK"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autoPict="0" r:id="rId5">
            <anchor moveWithCells="1">
              <from>
                <xdr:col>3</xdr:col>
                <xdr:colOff>2914650</xdr:colOff>
                <xdr:row>1</xdr:row>
                <xdr:rowOff>19050</xdr:rowOff>
              </from>
              <to>
                <xdr:col>6</xdr:col>
                <xdr:colOff>142875</xdr:colOff>
                <xdr:row>2</xdr:row>
                <xdr:rowOff>9525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85725</xdr:colOff>
                <xdr:row>1</xdr:row>
                <xdr:rowOff>76200</xdr:rowOff>
              </from>
              <to>
                <xdr:col>1</xdr:col>
                <xdr:colOff>723900</xdr:colOff>
                <xdr:row>2</xdr:row>
                <xdr:rowOff>57150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1295400</xdr:colOff>
                <xdr:row>2</xdr:row>
                <xdr:rowOff>66675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3</xdr:col>
                <xdr:colOff>485775</xdr:colOff>
                <xdr:row>1</xdr:row>
                <xdr:rowOff>47625</xdr:rowOff>
              </from>
              <to>
                <xdr:col>5</xdr:col>
                <xdr:colOff>57150</xdr:colOff>
                <xdr:row>2</xdr:row>
                <xdr:rowOff>38100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6:C55"/>
  <sheetViews>
    <sheetView workbookViewId="0">
      <selection activeCell="C28" sqref="C28"/>
    </sheetView>
  </sheetViews>
  <sheetFormatPr defaultRowHeight="15" x14ac:dyDescent="0.25"/>
  <cols>
    <col min="1" max="1" width="12.85546875" customWidth="1"/>
    <col min="2" max="2" width="15.7109375" customWidth="1"/>
    <col min="3" max="3" width="12.85546875" customWidth="1"/>
  </cols>
  <sheetData>
    <row r="6" spans="1:3" ht="19.5" thickBot="1" x14ac:dyDescent="0.35">
      <c r="A6" s="5"/>
      <c r="B6" s="62">
        <v>2024</v>
      </c>
      <c r="C6" s="62"/>
    </row>
    <row r="7" spans="1:3" ht="16.5" thickBot="1" x14ac:dyDescent="0.3">
      <c r="A7" s="6"/>
      <c r="B7" s="63" t="s">
        <v>7</v>
      </c>
      <c r="C7" s="64"/>
    </row>
    <row r="8" spans="1:3" ht="16.5" thickBot="1" x14ac:dyDescent="0.3">
      <c r="A8" s="7" t="s">
        <v>8</v>
      </c>
      <c r="B8" s="8" t="s">
        <v>9</v>
      </c>
      <c r="C8" s="9" t="s">
        <v>10</v>
      </c>
    </row>
    <row r="9" spans="1:3" x14ac:dyDescent="0.25">
      <c r="A9" s="10" t="s">
        <v>16</v>
      </c>
      <c r="B9" s="2">
        <f>SUMIFS(Calkos!G$6:G$728,Calkos!$O$6:$O$728,1,Calkos!$P$6:$P$728,2024)</f>
        <v>0</v>
      </c>
      <c r="C9" s="11">
        <f>SUMIFS(Calkos!D$6:D$728,Calkos!$O$6:$O$728,1,Calkos!$P$6:$P$728,2043)</f>
        <v>0</v>
      </c>
    </row>
    <row r="10" spans="1:3" x14ac:dyDescent="0.25">
      <c r="A10" s="12" t="s">
        <v>17</v>
      </c>
      <c r="B10" s="3">
        <f>SUMIFS(Calkos!G$6:G$728,Calkos!$O$6:$O$728,2,Calkos!$P$6:$P$728,2024)</f>
        <v>0</v>
      </c>
      <c r="C10" s="13">
        <f>SUMIFS(Calkos!D$6:D$728,Calkos!$O$6:$O$728,2,Calkos!$P$6:$P$728,2024)</f>
        <v>0</v>
      </c>
    </row>
    <row r="11" spans="1:3" x14ac:dyDescent="0.25">
      <c r="A11" s="12" t="s">
        <v>18</v>
      </c>
      <c r="B11" s="3">
        <f>SUMIFS(Calkos!G$6:G$728,Calkos!$O$6:$O$728,3,Calkos!$P$6:$P$728,2024)</f>
        <v>0</v>
      </c>
      <c r="C11" s="13">
        <f>SUMIFS(Calkos!D$6:D$728,Calkos!$O$6:$O$728,3,Calkos!$P$6:$P$728,2024)</f>
        <v>0</v>
      </c>
    </row>
    <row r="12" spans="1:3" x14ac:dyDescent="0.25">
      <c r="A12" s="12" t="s">
        <v>19</v>
      </c>
      <c r="B12" s="3">
        <f>SUMIFS(Calkos!G$6:G$728,Calkos!$O$6:$O$728,4,Calkos!$P$6:$P$728,2024)</f>
        <v>0</v>
      </c>
      <c r="C12" s="13">
        <f>SUMIFS(Calkos!D$6:D$728,Calkos!$O$6:$O$728,4,Calkos!$P$6:$P$728,2024)</f>
        <v>0</v>
      </c>
    </row>
    <row r="13" spans="1:3" x14ac:dyDescent="0.25">
      <c r="A13" s="12" t="s">
        <v>20</v>
      </c>
      <c r="B13" s="3">
        <f>SUMIFS(Calkos!G$6:G$728,Calkos!$O$6:$O$728,5,Calkos!$P$6:$P$728,2024)</f>
        <v>0</v>
      </c>
      <c r="C13" s="13">
        <f>SUMIFS(Calkos!D$6:D$728,Calkos!$O$6:$O$728,5,Calkos!$P$6:$P$728,2024)</f>
        <v>0</v>
      </c>
    </row>
    <row r="14" spans="1:3" x14ac:dyDescent="0.25">
      <c r="A14" s="12" t="s">
        <v>21</v>
      </c>
      <c r="B14" s="3">
        <f>SUMIFS(Calkos!G$6:G$728,Calkos!$O$6:$O$728,6,Calkos!$P$6:$P$728,2024)</f>
        <v>0</v>
      </c>
      <c r="C14" s="13">
        <f>SUMIFS(Calkos!D$6:D$728,Calkos!$O$6:$O$728,6,Calkos!$P$6:$P$728,2024)</f>
        <v>0</v>
      </c>
    </row>
    <row r="15" spans="1:3" x14ac:dyDescent="0.25">
      <c r="A15" s="12" t="s">
        <v>22</v>
      </c>
      <c r="B15" s="3">
        <f>SUMIFS(Calkos!G$6:G$728,Calkos!$O$6:$O$728,7,Calkos!$P$6:$P$728,2024)</f>
        <v>0</v>
      </c>
      <c r="C15" s="13">
        <f>SUMIFS(Calkos!D$6:D$728,Calkos!$O$6:$O$728,7,Calkos!$P$6:$P$728,2024)</f>
        <v>0</v>
      </c>
    </row>
    <row r="16" spans="1:3" x14ac:dyDescent="0.25">
      <c r="A16" s="12" t="s">
        <v>23</v>
      </c>
      <c r="B16" s="3">
        <f>SUMIFS(Calkos!G$6:G$728,Calkos!$O$6:$O$728,8,Calkos!$P$6:$P$728,2024)</f>
        <v>0</v>
      </c>
      <c r="C16" s="13">
        <f>SUMIFS(Calkos!D$6:D$728,Calkos!$O$6:$O$728,8,Calkos!$P$6:$P$728,2024)</f>
        <v>0</v>
      </c>
    </row>
    <row r="17" spans="1:3" x14ac:dyDescent="0.25">
      <c r="A17" s="12" t="s">
        <v>24</v>
      </c>
      <c r="B17" s="3">
        <f>SUMIFS(Calkos!G$6:G$728,Calkos!$O$6:$O$728,9,Calkos!$P$6:$P$728,2024)</f>
        <v>0</v>
      </c>
      <c r="C17" s="13">
        <f>SUMIFS(Calkos!D$6:D$728,Calkos!$O$6:$O$728,9,Calkos!$P$6:$P$728,2024)</f>
        <v>0</v>
      </c>
    </row>
    <row r="18" spans="1:3" x14ac:dyDescent="0.25">
      <c r="A18" s="12" t="s">
        <v>25</v>
      </c>
      <c r="B18" s="3">
        <f>SUMIFS(Calkos!G$6:G$728,Calkos!$O$6:$O$728,10,Calkos!$P$6:$P$728,2024)</f>
        <v>0</v>
      </c>
      <c r="C18" s="13">
        <f>SUMIFS(Calkos!D$6:D$728,Calkos!$O$6:$O$728,10,Calkos!$P$6:$P$728,2024)</f>
        <v>0</v>
      </c>
    </row>
    <row r="19" spans="1:3" x14ac:dyDescent="0.25">
      <c r="A19" s="12" t="s">
        <v>26</v>
      </c>
      <c r="B19" s="3">
        <f>SUMIFS(Calkos!G$6:G$728,Calkos!$O$6:$O$728,11,Calkos!$P$6:$P$728,2024)</f>
        <v>0</v>
      </c>
      <c r="C19" s="13">
        <f>SUMIFS(Calkos!D$6:D$728,Calkos!$O$6:$O$728,11,Calkos!$P$6:$P$728,2024)</f>
        <v>0</v>
      </c>
    </row>
    <row r="20" spans="1:3" ht="15.75" thickBot="1" x14ac:dyDescent="0.3">
      <c r="A20" s="14" t="s">
        <v>27</v>
      </c>
      <c r="B20" s="4">
        <f>SUMIFS(Calkos!G$6:G$728,Calkos!$O$6:$O$728,12,Calkos!$P$6:$P$728,2024)</f>
        <v>0</v>
      </c>
      <c r="C20" s="15">
        <f>SUMIFS(Calkos!D$6:D$728,Calkos!$O$6:$O$728,12,Calkos!$P$6:$P$728,2024)</f>
        <v>0</v>
      </c>
    </row>
    <row r="21" spans="1:3" ht="16.5" thickBot="1" x14ac:dyDescent="0.3">
      <c r="B21" s="16">
        <f>SUM(B9:B20)</f>
        <v>0</v>
      </c>
      <c r="C21" s="17">
        <f>SUM(C9:C20)</f>
        <v>0</v>
      </c>
    </row>
    <row r="24" spans="1:3" ht="19.5" thickBot="1" x14ac:dyDescent="0.35">
      <c r="A24" s="5"/>
      <c r="B24" s="62">
        <v>2025</v>
      </c>
      <c r="C24" s="62"/>
    </row>
    <row r="25" spans="1:3" ht="16.5" thickBot="1" x14ac:dyDescent="0.3">
      <c r="A25" s="6"/>
      <c r="B25" s="63" t="s">
        <v>7</v>
      </c>
      <c r="C25" s="64"/>
    </row>
    <row r="26" spans="1:3" ht="16.5" thickBot="1" x14ac:dyDescent="0.3">
      <c r="A26" s="7" t="s">
        <v>8</v>
      </c>
      <c r="B26" s="8" t="s">
        <v>9</v>
      </c>
      <c r="C26" s="9" t="s">
        <v>10</v>
      </c>
    </row>
    <row r="27" spans="1:3" x14ac:dyDescent="0.25">
      <c r="A27" s="10" t="s">
        <v>30</v>
      </c>
      <c r="B27" s="2">
        <f>SUMIFS(Calkos!G$6:G$728,Calkos!$O$6:$O$728,1,Calkos!$P$6:$P$728,2025)</f>
        <v>0</v>
      </c>
      <c r="C27" s="11">
        <f>SUMIFS(Calkos!D$6:D$728,Calkos!$O$6:$O$728,1,Calkos!$P$6:$P$728,2025)</f>
        <v>0</v>
      </c>
    </row>
    <row r="28" spans="1:3" x14ac:dyDescent="0.25">
      <c r="A28" s="12" t="s">
        <v>31</v>
      </c>
      <c r="B28" s="3">
        <f>SUMIFS(Calkos!G$6:G$728,Calkos!$O$6:$O$728,2,Calkos!$P$6:$P$728,2025)</f>
        <v>0</v>
      </c>
      <c r="C28" s="13">
        <f>SUMIFS(Calkos!D$6:D$728,Calkos!$O$6:$O$728,2,Calkos!$P$6:$P$728,2025)</f>
        <v>0</v>
      </c>
    </row>
    <row r="29" spans="1:3" x14ac:dyDescent="0.25">
      <c r="A29" s="12" t="s">
        <v>32</v>
      </c>
      <c r="B29" s="3">
        <f>SUMIFS(Calkos!G$6:G$728,Calkos!$O$6:$O$728,3,Calkos!$P$6:$P$728,2025)</f>
        <v>0</v>
      </c>
      <c r="C29" s="13">
        <f>SUMIFS(Calkos!D$6:D$728,Calkos!$O$6:$O$728,3,Calkos!$P$6:$P$728,2025)</f>
        <v>0</v>
      </c>
    </row>
    <row r="30" spans="1:3" x14ac:dyDescent="0.25">
      <c r="A30" s="12" t="s">
        <v>33</v>
      </c>
      <c r="B30" s="3">
        <f>SUMIFS(Calkos!G$6:G$728,Calkos!$O$6:$O$728,4,Calkos!$P$6:$P$728,2025)</f>
        <v>0</v>
      </c>
      <c r="C30" s="13">
        <f>SUMIFS(Calkos!D$6:D$728,Calkos!$O$6:$O$728,4,Calkos!$P$6:$P$728,2025)</f>
        <v>0</v>
      </c>
    </row>
    <row r="31" spans="1:3" x14ac:dyDescent="0.25">
      <c r="A31" s="12" t="s">
        <v>34</v>
      </c>
      <c r="B31" s="3">
        <f>SUMIFS(Calkos!G$6:G$728,Calkos!$O$6:$O$728,5,Calkos!$P$6:$P$728,2025)</f>
        <v>0</v>
      </c>
      <c r="C31" s="13">
        <f>SUMIFS(Calkos!D$6:D$728,Calkos!$O$6:$O$728,5,Calkos!$P$6:$P$728,2025)</f>
        <v>0</v>
      </c>
    </row>
    <row r="32" spans="1:3" x14ac:dyDescent="0.25">
      <c r="A32" s="12" t="s">
        <v>35</v>
      </c>
      <c r="B32" s="3">
        <f>SUMIFS(Calkos!G$6:G$728,Calkos!$O$6:$O$728,6,Calkos!$P$6:$P$728,2025)</f>
        <v>0</v>
      </c>
      <c r="C32" s="13">
        <f>SUMIFS(Calkos!D$6:D$728,Calkos!$O$6:$O$728,6,Calkos!$P$6:$P$728,2025)</f>
        <v>0</v>
      </c>
    </row>
    <row r="33" spans="1:3" x14ac:dyDescent="0.25">
      <c r="A33" s="12" t="s">
        <v>36</v>
      </c>
      <c r="B33" s="3">
        <f>SUMIFS(Calkos!G$6:G$728,Calkos!$O$6:$O$728,7,Calkos!$P$6:$P$728,2025)</f>
        <v>0</v>
      </c>
      <c r="C33" s="13">
        <f>SUMIFS(Calkos!D$6:D$728,Calkos!$O$6:$O$728,7,Calkos!$P$6:$P$728,2025)</f>
        <v>0</v>
      </c>
    </row>
    <row r="34" spans="1:3" x14ac:dyDescent="0.25">
      <c r="A34" s="12" t="s">
        <v>37</v>
      </c>
      <c r="B34" s="3">
        <f>SUMIFS(Calkos!G$6:G$728,Calkos!$O$6:$O$728,8,Calkos!$P$6:$P$728,2025)</f>
        <v>0</v>
      </c>
      <c r="C34" s="13">
        <f>SUMIFS(Calkos!D$6:D$728,Calkos!$O$6:$O$728,8,Calkos!$P$6:$P$728,2025)</f>
        <v>0</v>
      </c>
    </row>
    <row r="35" spans="1:3" x14ac:dyDescent="0.25">
      <c r="A35" s="12" t="s">
        <v>38</v>
      </c>
      <c r="B35" s="3">
        <f>SUMIFS(Calkos!G$6:G$728,Calkos!$O$6:$O$728,9,Calkos!$P$6:$P$728,2025)</f>
        <v>0</v>
      </c>
      <c r="C35" s="13">
        <f>SUMIFS(Calkos!D$6:D$728,Calkos!$O$6:$O$728,9,Calkos!$P$6:$P$728,2025)</f>
        <v>0</v>
      </c>
    </row>
    <row r="36" spans="1:3" x14ac:dyDescent="0.25">
      <c r="A36" s="12" t="s">
        <v>39</v>
      </c>
      <c r="B36" s="3">
        <f>SUMIFS(Calkos!G$6:G$728,Calkos!$O$6:$O$728,10,Calkos!$P$6:$P$728,2025)</f>
        <v>0</v>
      </c>
      <c r="C36" s="13">
        <f>SUMIFS(Calkos!D$6:D$728,Calkos!$O$6:$O$728,10,Calkos!$P$6:$P$728,2025)</f>
        <v>0</v>
      </c>
    </row>
    <row r="37" spans="1:3" x14ac:dyDescent="0.25">
      <c r="A37" s="12" t="s">
        <v>40</v>
      </c>
      <c r="B37" s="3">
        <f>SUMIFS(Calkos!G$6:G$728,Calkos!$O$6:$O$728,11,Calkos!$P$6:$P$728,2025)</f>
        <v>0</v>
      </c>
      <c r="C37" s="13">
        <f>SUMIFS(Calkos!D$6:D$728,Calkos!$O$6:$O$728,11,Calkos!$P$6:$P$728,2025)</f>
        <v>0</v>
      </c>
    </row>
    <row r="38" spans="1:3" ht="15.75" thickBot="1" x14ac:dyDescent="0.3">
      <c r="A38" s="14" t="s">
        <v>41</v>
      </c>
      <c r="B38" s="4">
        <f>SUMIFS(Calkos!G$6:G$728,Calkos!$O$6:$O$728,12,Calkos!$P$6:$P$728,2025)</f>
        <v>0</v>
      </c>
      <c r="C38" s="15">
        <f>SUMIFS(Calkos!D$6:D$728,Calkos!$O$6:$O$728,12,Calkos!$P$6:$P$728,2025)</f>
        <v>0</v>
      </c>
    </row>
    <row r="39" spans="1:3" ht="16.5" thickBot="1" x14ac:dyDescent="0.3">
      <c r="B39" s="16">
        <f>SUM(B27:B38)</f>
        <v>0</v>
      </c>
      <c r="C39" s="17">
        <f>SUM(C27:C38)</f>
        <v>0</v>
      </c>
    </row>
    <row r="44" spans="1:3" ht="19.5" thickBot="1" x14ac:dyDescent="0.35">
      <c r="B44" s="62" t="s">
        <v>11</v>
      </c>
      <c r="C44" s="62"/>
    </row>
    <row r="45" spans="1:3" ht="15.75" x14ac:dyDescent="0.25">
      <c r="B45" s="63" t="s">
        <v>7</v>
      </c>
      <c r="C45" s="64"/>
    </row>
    <row r="46" spans="1:3" ht="16.5" thickBot="1" x14ac:dyDescent="0.3">
      <c r="B46" s="18" t="str">
        <f>IF(B52=0,"Euro","Errore")</f>
        <v>Errore</v>
      </c>
      <c r="C46" s="9" t="str">
        <f>IF(C52=0,"Kg","Errore")</f>
        <v>Errore</v>
      </c>
    </row>
    <row r="47" spans="1:3" ht="16.5" thickBot="1" x14ac:dyDescent="0.3">
      <c r="B47" s="19">
        <f>+B21+B39</f>
        <v>0</v>
      </c>
      <c r="C47" s="20">
        <f>+C21+C39</f>
        <v>0</v>
      </c>
    </row>
    <row r="49" spans="2:3" ht="15.75" thickBot="1" x14ac:dyDescent="0.3"/>
    <row r="50" spans="2:3" x14ac:dyDescent="0.25">
      <c r="B50" s="2">
        <f>SUMIFS(Calkos!G$6:G$728,Calkos!$O$6:$O$728,0,Calkos!$P$6:$P$728,0)</f>
        <v>50.123999999999995</v>
      </c>
      <c r="C50" s="11">
        <f>SUMIFS(Calkos!D$6:D$728,Calkos!$O$6:$O$728,0,Calkos!$P$6:$P$728,0)</f>
        <v>8500</v>
      </c>
    </row>
    <row r="52" spans="2:3" x14ac:dyDescent="0.25">
      <c r="B52" s="21">
        <f>+B47+B50-Calkos!G729</f>
        <v>-2923.1891999999998</v>
      </c>
      <c r="C52" s="22">
        <f>+C47+C50-Calkos!D729</f>
        <v>-125828.9</v>
      </c>
    </row>
    <row r="55" spans="2:3" x14ac:dyDescent="0.25">
      <c r="B55" s="1">
        <f>+B47+B52</f>
        <v>-2923.1891999999998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:C46">
    <cfRule type="containsText" dxfId="0" priority="1" stopIfTrue="1" operator="containsText" text="Errore">
      <formula>NOT(ISERROR(SEARCH("Errore",B46)))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H58"/>
  <sheetViews>
    <sheetView topLeftCell="A10" workbookViewId="0">
      <selection activeCell="G58" sqref="G58"/>
    </sheetView>
  </sheetViews>
  <sheetFormatPr defaultRowHeight="15" x14ac:dyDescent="0.25"/>
  <sheetData>
    <row r="3" spans="2:8" ht="16.5" thickBot="1" x14ac:dyDescent="0.3">
      <c r="B3" s="65" t="s">
        <v>12</v>
      </c>
      <c r="C3" s="65"/>
      <c r="D3" s="65"/>
      <c r="E3" t="str">
        <f>IF($B58=$C$63,"OK","ERRORE")</f>
        <v>OK</v>
      </c>
      <c r="F3" s="65" t="s">
        <v>12</v>
      </c>
      <c r="G3" s="65"/>
      <c r="H3" s="65"/>
    </row>
    <row r="4" spans="2:8" ht="39.75" thickBot="1" x14ac:dyDescent="0.3">
      <c r="B4" s="24" t="s">
        <v>13</v>
      </c>
      <c r="C4" s="25" t="s">
        <v>10</v>
      </c>
      <c r="D4" s="26" t="s">
        <v>14</v>
      </c>
      <c r="F4" s="24" t="s">
        <v>13</v>
      </c>
      <c r="G4" s="25" t="s">
        <v>10</v>
      </c>
      <c r="H4" s="26" t="s">
        <v>14</v>
      </c>
    </row>
    <row r="5" spans="2:8" x14ac:dyDescent="0.25">
      <c r="B5" s="27">
        <v>1</v>
      </c>
      <c r="C5" s="28">
        <f>SUMIFS(Calkos!$D$6:$D$728,Calkos!$L$6:$L$728,1,Calkos!$M$6:$M$728,2023)</f>
        <v>0</v>
      </c>
      <c r="D5" s="29"/>
      <c r="F5" s="27">
        <v>1</v>
      </c>
      <c r="G5" s="28">
        <f>SUMIFS(Calkos!$D$6:$D$728,Calkos!$L$6:$L$728,1,Calkos!$M$6:$M$728,2024)</f>
        <v>0</v>
      </c>
      <c r="H5" s="29"/>
    </row>
    <row r="6" spans="2:8" x14ac:dyDescent="0.25">
      <c r="B6" s="30">
        <f>+B5+1</f>
        <v>2</v>
      </c>
      <c r="C6" s="31">
        <f>SUMIFS(Calkos!$D$6:$D$728,Calkos!$L$6:$L$728,2,Calkos!$M$6:$M$728,2023)</f>
        <v>0</v>
      </c>
      <c r="D6" s="13"/>
      <c r="F6" s="30">
        <f>+F5+1</f>
        <v>2</v>
      </c>
      <c r="G6" s="31">
        <f>SUMIFS(Calkos!$D$6:$D$728,Calkos!$L$6:$L$728,2,Calkos!$M$6:$M$728,2024)</f>
        <v>0</v>
      </c>
      <c r="H6" s="13"/>
    </row>
    <row r="7" spans="2:8" x14ac:dyDescent="0.25">
      <c r="B7" s="30">
        <f t="shared" ref="B7:B57" si="0">+B6+1</f>
        <v>3</v>
      </c>
      <c r="C7" s="31">
        <f>SUMIFS(Calkos!$D$6:$D$728,Calkos!$L$6:$L$728,3,Calkos!$M$6:$M$728,2023)</f>
        <v>0</v>
      </c>
      <c r="D7" s="13"/>
      <c r="F7" s="30">
        <f t="shared" ref="F7:F57" si="1">+F6+1</f>
        <v>3</v>
      </c>
      <c r="G7" s="31">
        <f>SUMIFS(Calkos!$D$6:$D$728,Calkos!$L$6:$L$728,3,Calkos!$M$6:$M$728,2024)</f>
        <v>0</v>
      </c>
      <c r="H7" s="13"/>
    </row>
    <row r="8" spans="2:8" x14ac:dyDescent="0.25">
      <c r="B8" s="30">
        <f t="shared" si="0"/>
        <v>4</v>
      </c>
      <c r="C8" s="31">
        <f>SUMIFS(Calkos!$D$6:$D$728,Calkos!$L$6:$L$728,4,Calkos!$M$6:$M$728,2023)</f>
        <v>0</v>
      </c>
      <c r="D8" s="13"/>
      <c r="F8" s="30">
        <f t="shared" si="1"/>
        <v>4</v>
      </c>
      <c r="G8" s="31">
        <f>SUMIFS(Calkos!$D$6:$D$728,Calkos!$L$6:$L$728,4,Calkos!$M$6:$M$728,2024)</f>
        <v>0</v>
      </c>
      <c r="H8" s="13"/>
    </row>
    <row r="9" spans="2:8" x14ac:dyDescent="0.25">
      <c r="B9" s="30">
        <f t="shared" si="0"/>
        <v>5</v>
      </c>
      <c r="C9" s="31">
        <f>SUMIFS(Calkos!$D$6:$D$728,Calkos!$L$6:$L$728,5,Calkos!$M$6:$M$728,2023)</f>
        <v>0</v>
      </c>
      <c r="D9" s="13"/>
      <c r="F9" s="30">
        <f t="shared" si="1"/>
        <v>5</v>
      </c>
      <c r="G9" s="31">
        <f>SUMIFS(Calkos!$D$6:$D$728,Calkos!$L$6:$L$728,5,Calkos!$M$6:$M$728,2024)</f>
        <v>0</v>
      </c>
      <c r="H9" s="13"/>
    </row>
    <row r="10" spans="2:8" x14ac:dyDescent="0.25">
      <c r="B10" s="30">
        <f t="shared" si="0"/>
        <v>6</v>
      </c>
      <c r="C10" s="31">
        <f>SUMIFS(Calkos!$D$6:$D$728,Calkos!$L$6:$L$728,6,Calkos!$M$6:$M$728,2023)</f>
        <v>0</v>
      </c>
      <c r="D10" s="13"/>
      <c r="F10" s="30">
        <f t="shared" si="1"/>
        <v>6</v>
      </c>
      <c r="G10" s="31">
        <f>SUMIFS(Calkos!$D$6:$D$728,Calkos!$L$6:$L$728,6,Calkos!$M$6:$M$728,2024)</f>
        <v>0</v>
      </c>
      <c r="H10" s="13"/>
    </row>
    <row r="11" spans="2:8" x14ac:dyDescent="0.25">
      <c r="B11" s="30">
        <f t="shared" si="0"/>
        <v>7</v>
      </c>
      <c r="C11" s="31">
        <f>SUMIFS(Calkos!$D$6:$D$728,Calkos!$L$6:$L$728,7,Calkos!$M$6:$M$728,2023)</f>
        <v>0</v>
      </c>
      <c r="D11" s="13"/>
      <c r="F11" s="30">
        <f t="shared" si="1"/>
        <v>7</v>
      </c>
      <c r="G11" s="31">
        <f>SUMIFS(Calkos!$D$6:$D$728,Calkos!$L$6:$L$728,7,Calkos!$M$6:$M$728,2024)</f>
        <v>0</v>
      </c>
      <c r="H11" s="13"/>
    </row>
    <row r="12" spans="2:8" x14ac:dyDescent="0.25">
      <c r="B12" s="30">
        <f t="shared" si="0"/>
        <v>8</v>
      </c>
      <c r="C12" s="31">
        <f>SUMIFS(Calkos!$D$6:$D$728,Calkos!$L$6:$L$728,8,Calkos!$M$6:$M$728,2023)</f>
        <v>0</v>
      </c>
      <c r="D12" s="13"/>
      <c r="F12" s="30">
        <f t="shared" si="1"/>
        <v>8</v>
      </c>
      <c r="G12" s="31">
        <f>SUMIFS(Calkos!$D$6:$D$728,Calkos!$L$6:$L$728,8,Calkos!$M$6:$M$728,2024)</f>
        <v>0</v>
      </c>
      <c r="H12" s="13"/>
    </row>
    <row r="13" spans="2:8" x14ac:dyDescent="0.25">
      <c r="B13" s="30">
        <f t="shared" si="0"/>
        <v>9</v>
      </c>
      <c r="C13" s="31">
        <f>SUMIFS(Calkos!$D$6:$D$728,Calkos!$L$6:$L$728,9,Calkos!$M$6:$M$728,2023)</f>
        <v>0</v>
      </c>
      <c r="D13" s="13"/>
      <c r="F13" s="30">
        <f t="shared" si="1"/>
        <v>9</v>
      </c>
      <c r="G13" s="31">
        <f>SUMIFS(Calkos!$D$6:$D$728,Calkos!$L$6:$L$728,9,Calkos!$M$6:$M$728,2024)</f>
        <v>0</v>
      </c>
      <c r="H13" s="13"/>
    </row>
    <row r="14" spans="2:8" x14ac:dyDescent="0.25">
      <c r="B14" s="30">
        <f t="shared" si="0"/>
        <v>10</v>
      </c>
      <c r="C14" s="31">
        <f>SUMIFS(Calkos!$D$6:$D$728,Calkos!$L$6:$L$728,10,Calkos!$M$6:$M$728,2023)</f>
        <v>0</v>
      </c>
      <c r="D14" s="13"/>
      <c r="F14" s="30">
        <f t="shared" si="1"/>
        <v>10</v>
      </c>
      <c r="G14" s="31">
        <f>SUMIFS(Calkos!$D$6:$D$728,Calkos!$L$6:$L$728,10,Calkos!$M$6:$M$728,2024)</f>
        <v>0</v>
      </c>
      <c r="H14" s="13"/>
    </row>
    <row r="15" spans="2:8" x14ac:dyDescent="0.25">
      <c r="B15" s="30">
        <f t="shared" si="0"/>
        <v>11</v>
      </c>
      <c r="C15" s="31">
        <f>SUMIFS(Calkos!$D$6:$D$728,Calkos!$L$6:$L$728,11,Calkos!$M$6:$M$728,2023)</f>
        <v>0</v>
      </c>
      <c r="D15" s="13"/>
      <c r="F15" s="30">
        <f t="shared" si="1"/>
        <v>11</v>
      </c>
      <c r="G15" s="31">
        <f>SUMIFS(Calkos!$D$6:$D$728,Calkos!$L$6:$L$728,11,Calkos!$M$6:$M$728,2024)</f>
        <v>0</v>
      </c>
      <c r="H15" s="13"/>
    </row>
    <row r="16" spans="2:8" x14ac:dyDescent="0.25">
      <c r="B16" s="30">
        <f t="shared" si="0"/>
        <v>12</v>
      </c>
      <c r="C16" s="31">
        <f>SUMIFS(Calkos!$D$6:$D$728,Calkos!$L$6:$L$728,12,Calkos!$M$6:$M$728,2023)</f>
        <v>0</v>
      </c>
      <c r="D16" s="13"/>
      <c r="F16" s="30">
        <f t="shared" si="1"/>
        <v>12</v>
      </c>
      <c r="G16" s="31">
        <f>SUMIFS(Calkos!$D$6:$D$728,Calkos!$L$6:$L$728,12,Calkos!$M$6:$M$728,2024)</f>
        <v>0</v>
      </c>
      <c r="H16" s="13"/>
    </row>
    <row r="17" spans="2:8" x14ac:dyDescent="0.25">
      <c r="B17" s="30">
        <f t="shared" si="0"/>
        <v>13</v>
      </c>
      <c r="C17" s="31">
        <f>SUMIFS(Calkos!$D$6:$D$728,Calkos!$L$6:$L$728,13,Calkos!$M$6:$M$728,2023)</f>
        <v>0</v>
      </c>
      <c r="D17" s="13"/>
      <c r="F17" s="30">
        <f t="shared" si="1"/>
        <v>13</v>
      </c>
      <c r="G17" s="31">
        <f>SUMIFS(Calkos!$D$6:$D$728,Calkos!$L$6:$L$728,13,Calkos!$M$6:$M$728,2024)</f>
        <v>0</v>
      </c>
      <c r="H17" s="13"/>
    </row>
    <row r="18" spans="2:8" x14ac:dyDescent="0.25">
      <c r="B18" s="30">
        <f t="shared" si="0"/>
        <v>14</v>
      </c>
      <c r="C18" s="31">
        <f>SUMIFS(Calkos!$D$6:$D$728,Calkos!$L$6:$L$728,14,Calkos!$M$6:$M$728,2023)</f>
        <v>0</v>
      </c>
      <c r="D18" s="13"/>
      <c r="F18" s="30">
        <f t="shared" si="1"/>
        <v>14</v>
      </c>
      <c r="G18" s="31">
        <f>SUMIFS(Calkos!$D$6:$D$728,Calkos!$L$6:$L$728,14,Calkos!$M$6:$M$728,2024)</f>
        <v>0</v>
      </c>
      <c r="H18" s="13"/>
    </row>
    <row r="19" spans="2:8" x14ac:dyDescent="0.25">
      <c r="B19" s="30">
        <f t="shared" si="0"/>
        <v>15</v>
      </c>
      <c r="C19" s="31">
        <f>SUMIFS(Calkos!$D$6:$D$728,Calkos!$L$6:$L$728,15,Calkos!$M$6:$M$728,2023)</f>
        <v>0</v>
      </c>
      <c r="D19" s="13"/>
      <c r="F19" s="30">
        <f t="shared" si="1"/>
        <v>15</v>
      </c>
      <c r="G19" s="31">
        <f>SUMIFS(Calkos!$D$6:$D$728,Calkos!$L$6:$L$728,15,Calkos!$M$6:$M$728,2024)</f>
        <v>0</v>
      </c>
      <c r="H19" s="13"/>
    </row>
    <row r="20" spans="2:8" x14ac:dyDescent="0.25">
      <c r="B20" s="30">
        <f t="shared" si="0"/>
        <v>16</v>
      </c>
      <c r="C20" s="31">
        <f>SUMIFS(Calkos!$D$6:$D$728,Calkos!$L$6:$L$728,16,Calkos!$M$6:$M$728,2023)</f>
        <v>0</v>
      </c>
      <c r="D20" s="13"/>
      <c r="F20" s="30">
        <f t="shared" si="1"/>
        <v>16</v>
      </c>
      <c r="G20" s="31">
        <f>SUMIFS(Calkos!$D$6:$D$728,Calkos!$L$6:$L$728,16,Calkos!$M$6:$M$728,2024)</f>
        <v>0</v>
      </c>
      <c r="H20" s="13"/>
    </row>
    <row r="21" spans="2:8" x14ac:dyDescent="0.25">
      <c r="B21" s="30">
        <f t="shared" si="0"/>
        <v>17</v>
      </c>
      <c r="C21" s="31">
        <f>SUMIFS(Calkos!$D$6:$D$728,Calkos!$L$6:$L$728,17,Calkos!$M$6:$M$728,2023)</f>
        <v>0</v>
      </c>
      <c r="D21" s="13"/>
      <c r="F21" s="30">
        <f t="shared" si="1"/>
        <v>17</v>
      </c>
      <c r="G21" s="31">
        <f>SUMIFS(Calkos!$D$6:$D$728,Calkos!$L$6:$L$728,17,Calkos!$M$6:$M$728,2024)</f>
        <v>0</v>
      </c>
      <c r="H21" s="13"/>
    </row>
    <row r="22" spans="2:8" x14ac:dyDescent="0.25">
      <c r="B22" s="30">
        <f t="shared" si="0"/>
        <v>18</v>
      </c>
      <c r="C22" s="31">
        <f>SUMIFS(Calkos!$D$6:$D$728,Calkos!$L$6:$L$728,18,Calkos!$M$6:$M$728,2023)</f>
        <v>0</v>
      </c>
      <c r="D22" s="13"/>
      <c r="F22" s="30">
        <f t="shared" si="1"/>
        <v>18</v>
      </c>
      <c r="G22" s="31">
        <f>SUMIFS(Calkos!$D$6:$D$728,Calkos!$L$6:$L$728,18,Calkos!$M$6:$M$728,2024)</f>
        <v>0</v>
      </c>
      <c r="H22" s="13"/>
    </row>
    <row r="23" spans="2:8" x14ac:dyDescent="0.25">
      <c r="B23" s="30">
        <f t="shared" si="0"/>
        <v>19</v>
      </c>
      <c r="C23" s="31">
        <f>SUMIFS(Calkos!$D$6:$D$728,Calkos!$L$6:$L$728,19,Calkos!$M$6:$M$728,2023)</f>
        <v>0</v>
      </c>
      <c r="D23" s="13"/>
      <c r="F23" s="30">
        <f t="shared" si="1"/>
        <v>19</v>
      </c>
      <c r="G23" s="31">
        <f>SUMIFS(Calkos!$D$6:$D$728,Calkos!$L$6:$L$728,19,Calkos!$M$6:$M$728,2024)</f>
        <v>0</v>
      </c>
      <c r="H23" s="13"/>
    </row>
    <row r="24" spans="2:8" x14ac:dyDescent="0.25">
      <c r="B24" s="30">
        <f t="shared" si="0"/>
        <v>20</v>
      </c>
      <c r="C24" s="31">
        <f>SUMIFS(Calkos!$D$6:$D$728,Calkos!$L$6:$L$728,20,Calkos!$M$6:$M$728,2023)</f>
        <v>0</v>
      </c>
      <c r="D24" s="13"/>
      <c r="F24" s="30">
        <f t="shared" si="1"/>
        <v>20</v>
      </c>
      <c r="G24" s="31">
        <f>SUMIFS(Calkos!$D$6:$D$728,Calkos!$L$6:$L$728,20,Calkos!$M$6:$M$728,2024)</f>
        <v>0</v>
      </c>
      <c r="H24" s="13"/>
    </row>
    <row r="25" spans="2:8" x14ac:dyDescent="0.25">
      <c r="B25" s="30">
        <f t="shared" si="0"/>
        <v>21</v>
      </c>
      <c r="C25" s="31">
        <f>SUMIFS(Calkos!$D$6:$D$728,Calkos!$L$6:$L$728,21,Calkos!$M$6:$M$728,2023)</f>
        <v>0</v>
      </c>
      <c r="D25" s="13"/>
      <c r="F25" s="30">
        <f t="shared" si="1"/>
        <v>21</v>
      </c>
      <c r="G25" s="31">
        <f>SUMIFS(Calkos!$D$6:$D$728,Calkos!$L$6:$L$728,21,Calkos!$M$6:$M$728,2024)</f>
        <v>0</v>
      </c>
      <c r="H25" s="13"/>
    </row>
    <row r="26" spans="2:8" x14ac:dyDescent="0.25">
      <c r="B26" s="30">
        <f t="shared" si="0"/>
        <v>22</v>
      </c>
      <c r="C26" s="31">
        <f>SUMIFS(Calkos!$D$6:$D$728,Calkos!$L$6:$L$728,22,Calkos!$M$6:$M$728,2023)</f>
        <v>0</v>
      </c>
      <c r="D26" s="13"/>
      <c r="F26" s="30">
        <f t="shared" si="1"/>
        <v>22</v>
      </c>
      <c r="G26" s="31">
        <f>SUMIFS(Calkos!$D$6:$D$728,Calkos!$L$6:$L$728,22,Calkos!$M$6:$M$728,2024)</f>
        <v>0</v>
      </c>
      <c r="H26" s="13"/>
    </row>
    <row r="27" spans="2:8" x14ac:dyDescent="0.25">
      <c r="B27" s="30">
        <f t="shared" si="0"/>
        <v>23</v>
      </c>
      <c r="C27" s="31">
        <f>SUMIFS(Calkos!$D$6:$D$728,Calkos!$L$6:$L$728,23,Calkos!$M$6:$M$728,2023)</f>
        <v>0</v>
      </c>
      <c r="D27" s="13"/>
      <c r="F27" s="30">
        <f t="shared" si="1"/>
        <v>23</v>
      </c>
      <c r="G27" s="31">
        <f>SUMIFS(Calkos!$D$6:$D$728,Calkos!$L$6:$L$728,23,Calkos!$M$6:$M$728,2024)</f>
        <v>0</v>
      </c>
      <c r="H27" s="13"/>
    </row>
    <row r="28" spans="2:8" x14ac:dyDescent="0.25">
      <c r="B28" s="30">
        <f t="shared" si="0"/>
        <v>24</v>
      </c>
      <c r="C28" s="31">
        <f>SUMIFS(Calkos!$D$6:$D$728,Calkos!$L$6:$L$728,24,Calkos!$M$6:$M$728,2023)</f>
        <v>0</v>
      </c>
      <c r="D28" s="13"/>
      <c r="F28" s="30">
        <f t="shared" si="1"/>
        <v>24</v>
      </c>
      <c r="G28" s="31">
        <f>SUMIFS(Calkos!$D$6:$D$728,Calkos!$L$6:$L$728,24,Calkos!$M$6:$M$728,2024)</f>
        <v>0</v>
      </c>
      <c r="H28" s="13"/>
    </row>
    <row r="29" spans="2:8" x14ac:dyDescent="0.25">
      <c r="B29" s="30">
        <f t="shared" si="0"/>
        <v>25</v>
      </c>
      <c r="C29" s="31">
        <f>SUMIFS(Calkos!$D$6:$D$728,Calkos!$L$6:$L$728,25,Calkos!$M$6:$M$728,2023)</f>
        <v>0</v>
      </c>
      <c r="D29" s="13"/>
      <c r="F29" s="30">
        <f t="shared" si="1"/>
        <v>25</v>
      </c>
      <c r="G29" s="31">
        <f>SUMIFS(Calkos!$D$6:$D$728,Calkos!$L$6:$L$728,25,Calkos!$M$6:$M$728,2024)</f>
        <v>0</v>
      </c>
      <c r="H29" s="13"/>
    </row>
    <row r="30" spans="2:8" x14ac:dyDescent="0.25">
      <c r="B30" s="30">
        <f t="shared" si="0"/>
        <v>26</v>
      </c>
      <c r="C30" s="31">
        <f>SUMIFS(Calkos!$D$6:$D$728,Calkos!$L$6:$L$728,26,Calkos!$M$6:$M$728,2023)</f>
        <v>0</v>
      </c>
      <c r="D30" s="13"/>
      <c r="F30" s="30">
        <f t="shared" si="1"/>
        <v>26</v>
      </c>
      <c r="G30" s="31">
        <f>SUMIFS(Calkos!$D$6:$D$728,Calkos!$L$6:$L$728,26,Calkos!$M$6:$M$728,2024)</f>
        <v>0</v>
      </c>
      <c r="H30" s="13"/>
    </row>
    <row r="31" spans="2:8" x14ac:dyDescent="0.25">
      <c r="B31" s="30">
        <f t="shared" si="0"/>
        <v>27</v>
      </c>
      <c r="C31" s="31">
        <f>SUMIFS(Calkos!$D$6:$D$728,Calkos!$L$6:$L$728,27,Calkos!$M$6:$M$728,2023)</f>
        <v>0</v>
      </c>
      <c r="D31" s="13"/>
      <c r="F31" s="30">
        <f t="shared" si="1"/>
        <v>27</v>
      </c>
      <c r="G31" s="31">
        <f>SUMIFS(Calkos!$D$6:$D$728,Calkos!$L$6:$L$728,27,Calkos!$M$6:$M$728,2024)</f>
        <v>0</v>
      </c>
      <c r="H31" s="13"/>
    </row>
    <row r="32" spans="2:8" x14ac:dyDescent="0.25">
      <c r="B32" s="30">
        <f t="shared" si="0"/>
        <v>28</v>
      </c>
      <c r="C32" s="31">
        <f>SUMIFS(Calkos!$D$6:$D$728,Calkos!$L$6:$L$728,28,Calkos!$M$6:$M$728,2023)</f>
        <v>0</v>
      </c>
      <c r="D32" s="13"/>
      <c r="F32" s="30">
        <f t="shared" si="1"/>
        <v>28</v>
      </c>
      <c r="G32" s="31">
        <f>SUMIFS(Calkos!$D$6:$D$728,Calkos!$L$6:$L$728,28,Calkos!$M$6:$M$728,2024)</f>
        <v>0</v>
      </c>
      <c r="H32" s="13"/>
    </row>
    <row r="33" spans="2:8" x14ac:dyDescent="0.25">
      <c r="B33" s="30">
        <f t="shared" si="0"/>
        <v>29</v>
      </c>
      <c r="C33" s="31">
        <f>SUMIFS(Calkos!$D$6:$D$728,Calkos!$L$6:$L$728,29,Calkos!$M$6:$M$728,2023)</f>
        <v>0</v>
      </c>
      <c r="D33" s="13"/>
      <c r="F33" s="30">
        <f t="shared" si="1"/>
        <v>29</v>
      </c>
      <c r="G33" s="31">
        <f>SUMIFS(Calkos!$D$6:$D$728,Calkos!$L$6:$L$728,29,Calkos!$M$6:$M$728,2024)</f>
        <v>0</v>
      </c>
      <c r="H33" s="13"/>
    </row>
    <row r="34" spans="2:8" x14ac:dyDescent="0.25">
      <c r="B34" s="30">
        <f t="shared" si="0"/>
        <v>30</v>
      </c>
      <c r="C34" s="31">
        <f>SUMIFS(Calkos!$D$6:$D$728,Calkos!$L$6:$L$728,30,Calkos!$M$6:$M$728,2023)</f>
        <v>0</v>
      </c>
      <c r="D34" s="13"/>
      <c r="F34" s="30">
        <f t="shared" si="1"/>
        <v>30</v>
      </c>
      <c r="G34" s="31">
        <f>SUMIFS(Calkos!$D$6:$D$728,Calkos!$L$6:$L$728,30,Calkos!$M$6:$M$728,2024)</f>
        <v>0</v>
      </c>
      <c r="H34" s="13"/>
    </row>
    <row r="35" spans="2:8" x14ac:dyDescent="0.25">
      <c r="B35" s="30">
        <f t="shared" si="0"/>
        <v>31</v>
      </c>
      <c r="C35" s="31">
        <f>SUMIFS(Calkos!$D$6:$D$728,Calkos!$L$6:$L$728,31,Calkos!$M$6:$M$728,2023)</f>
        <v>0</v>
      </c>
      <c r="D35" s="13"/>
      <c r="F35" s="30">
        <f t="shared" si="1"/>
        <v>31</v>
      </c>
      <c r="G35" s="31">
        <f>SUMIFS(Calkos!$D$6:$D$728,Calkos!$L$6:$L$728,31,Calkos!$M$6:$M$728,2024)</f>
        <v>0</v>
      </c>
      <c r="H35" s="13"/>
    </row>
    <row r="36" spans="2:8" x14ac:dyDescent="0.25">
      <c r="B36" s="30">
        <f t="shared" si="0"/>
        <v>32</v>
      </c>
      <c r="C36" s="31">
        <f>SUMIFS(Calkos!$D$6:$D$728,Calkos!$L$6:$L$728,32,Calkos!$M$6:$M$728,2023)</f>
        <v>0</v>
      </c>
      <c r="D36" s="13"/>
      <c r="F36" s="30">
        <f t="shared" si="1"/>
        <v>32</v>
      </c>
      <c r="G36" s="31">
        <f>SUMIFS(Calkos!$D$6:$D$728,Calkos!$L$6:$L$728,32,Calkos!$M$6:$M$728,2024)</f>
        <v>0</v>
      </c>
      <c r="H36" s="13"/>
    </row>
    <row r="37" spans="2:8" x14ac:dyDescent="0.25">
      <c r="B37" s="30">
        <f t="shared" si="0"/>
        <v>33</v>
      </c>
      <c r="C37" s="31">
        <f>SUMIFS(Calkos!$D$6:$D$728,Calkos!$L$6:$L$728,33,Calkos!$M$6:$M$728,2023)</f>
        <v>0</v>
      </c>
      <c r="D37" s="13"/>
      <c r="F37" s="30">
        <f t="shared" si="1"/>
        <v>33</v>
      </c>
      <c r="G37" s="31">
        <f>SUMIFS(Calkos!$D$6:$D$728,Calkos!$L$6:$L$728,33,Calkos!$M$6:$M$728,2024)</f>
        <v>0</v>
      </c>
      <c r="H37" s="13"/>
    </row>
    <row r="38" spans="2:8" x14ac:dyDescent="0.25">
      <c r="B38" s="30">
        <f t="shared" si="0"/>
        <v>34</v>
      </c>
      <c r="C38" s="31">
        <f>SUMIFS(Calkos!$D$6:$D$728,Calkos!$L$6:$L$728,34,Calkos!$M$6:$M$728,2023)</f>
        <v>0</v>
      </c>
      <c r="D38" s="13"/>
      <c r="F38" s="30">
        <f t="shared" si="1"/>
        <v>34</v>
      </c>
      <c r="G38" s="31">
        <f>SUMIFS(Calkos!$D$6:$D$728,Calkos!$L$6:$L$728,34,Calkos!$M$6:$M$728,2024)</f>
        <v>0</v>
      </c>
      <c r="H38" s="13"/>
    </row>
    <row r="39" spans="2:8" x14ac:dyDescent="0.25">
      <c r="B39" s="30">
        <f t="shared" si="0"/>
        <v>35</v>
      </c>
      <c r="C39" s="31">
        <f>SUMIFS(Calkos!$D$6:$D$728,Calkos!$L$6:$L$728,35,Calkos!$M$6:$M$728,2023)</f>
        <v>0</v>
      </c>
      <c r="D39" s="13"/>
      <c r="F39" s="30">
        <f t="shared" si="1"/>
        <v>35</v>
      </c>
      <c r="G39" s="31">
        <f>SUMIFS(Calkos!$D$6:$D$728,Calkos!$L$6:$L$728,35,Calkos!$M$6:$M$728,2024)</f>
        <v>0</v>
      </c>
      <c r="H39" s="13"/>
    </row>
    <row r="40" spans="2:8" x14ac:dyDescent="0.25">
      <c r="B40" s="30">
        <f t="shared" si="0"/>
        <v>36</v>
      </c>
      <c r="C40" s="31">
        <f>SUMIFS(Calkos!$D$6:$D$728,Calkos!$L$6:$L$728,36,Calkos!$M$6:$M$728,2023)</f>
        <v>0</v>
      </c>
      <c r="D40" s="13"/>
      <c r="F40" s="30">
        <f t="shared" si="1"/>
        <v>36</v>
      </c>
      <c r="G40" s="31">
        <f>SUMIFS(Calkos!$D$6:$D$728,Calkos!$L$6:$L$728,36,Calkos!$M$6:$M$728,2024)</f>
        <v>0</v>
      </c>
      <c r="H40" s="13"/>
    </row>
    <row r="41" spans="2:8" x14ac:dyDescent="0.25">
      <c r="B41" s="30">
        <f t="shared" si="0"/>
        <v>37</v>
      </c>
      <c r="C41" s="31">
        <f>SUMIFS(Calkos!$D$6:$D$728,Calkos!$L$6:$L$728,37,Calkos!$M$6:$M$728,2023)</f>
        <v>0</v>
      </c>
      <c r="D41" s="13"/>
      <c r="F41" s="30">
        <f t="shared" si="1"/>
        <v>37</v>
      </c>
      <c r="G41" s="31">
        <f>SUMIFS(Calkos!$D$6:$D$728,Calkos!$L$6:$L$728,37,Calkos!$M$6:$M$728,2024)</f>
        <v>0</v>
      </c>
      <c r="H41" s="13"/>
    </row>
    <row r="42" spans="2:8" x14ac:dyDescent="0.25">
      <c r="B42" s="30">
        <f t="shared" si="0"/>
        <v>38</v>
      </c>
      <c r="C42" s="31">
        <f>SUMIFS(Calkos!$D$6:$D$728,Calkos!$L$6:$L$728,38,Calkos!$M$6:$M$728,2023)</f>
        <v>0</v>
      </c>
      <c r="D42" s="13"/>
      <c r="F42" s="30">
        <f t="shared" si="1"/>
        <v>38</v>
      </c>
      <c r="G42" s="31">
        <f>SUMIFS(Calkos!$D$6:$D$728,Calkos!$L$6:$L$728,38,Calkos!$M$6:$M$728,2024)</f>
        <v>0</v>
      </c>
      <c r="H42" s="13"/>
    </row>
    <row r="43" spans="2:8" x14ac:dyDescent="0.25">
      <c r="B43" s="30">
        <f t="shared" si="0"/>
        <v>39</v>
      </c>
      <c r="C43" s="31">
        <f>SUMIFS(Calkos!$D$6:$D$728,Calkos!$L$6:$L$728,39,Calkos!$M$6:$M$728,2023)</f>
        <v>0</v>
      </c>
      <c r="D43" s="13"/>
      <c r="F43" s="30">
        <f t="shared" si="1"/>
        <v>39</v>
      </c>
      <c r="G43" s="31">
        <f>SUMIFS(Calkos!$D$6:$D$728,Calkos!$L$6:$L$728,39,Calkos!$M$6:$M$728,2024)</f>
        <v>0</v>
      </c>
      <c r="H43" s="13"/>
    </row>
    <row r="44" spans="2:8" x14ac:dyDescent="0.25">
      <c r="B44" s="30">
        <f t="shared" si="0"/>
        <v>40</v>
      </c>
      <c r="C44" s="31">
        <f>SUMIFS(Calkos!$D$6:$D$728,Calkos!$L$6:$L$728,40,Calkos!$M$6:$M$728,2023)</f>
        <v>0</v>
      </c>
      <c r="D44" s="13"/>
      <c r="F44" s="30">
        <f t="shared" si="1"/>
        <v>40</v>
      </c>
      <c r="G44" s="31">
        <f>SUMIFS(Calkos!$D$6:$D$728,Calkos!$L$6:$L$728,40,Calkos!$M$6:$M$728,2024)</f>
        <v>0</v>
      </c>
      <c r="H44" s="13"/>
    </row>
    <row r="45" spans="2:8" x14ac:dyDescent="0.25">
      <c r="B45" s="30">
        <f t="shared" si="0"/>
        <v>41</v>
      </c>
      <c r="C45" s="31">
        <f>SUMIFS(Calkos!$D$6:$D$728,Calkos!$L$6:$L$728,41,Calkos!$M$6:$M$728,2023)</f>
        <v>0</v>
      </c>
      <c r="D45" s="13"/>
      <c r="F45" s="30">
        <f t="shared" si="1"/>
        <v>41</v>
      </c>
      <c r="G45" s="31">
        <f>SUMIFS(Calkos!$D$6:$D$728,Calkos!$L$6:$L$728,41,Calkos!$M$6:$M$728,2024)</f>
        <v>0</v>
      </c>
      <c r="H45" s="13"/>
    </row>
    <row r="46" spans="2:8" x14ac:dyDescent="0.25">
      <c r="B46" s="30">
        <f t="shared" si="0"/>
        <v>42</v>
      </c>
      <c r="C46" s="31">
        <f>SUMIFS(Calkos!$D$6:$D$728,Calkos!$L$6:$L$728,42,Calkos!$M$6:$M$728,2023)</f>
        <v>0</v>
      </c>
      <c r="D46" s="13"/>
      <c r="F46" s="30">
        <f t="shared" si="1"/>
        <v>42</v>
      </c>
      <c r="G46" s="31">
        <f>SUMIFS(Calkos!$D$6:$D$728,Calkos!$L$6:$L$728,42,Calkos!$M$6:$M$728,2024)</f>
        <v>0</v>
      </c>
      <c r="H46" s="13"/>
    </row>
    <row r="47" spans="2:8" x14ac:dyDescent="0.25">
      <c r="B47" s="30">
        <f t="shared" si="0"/>
        <v>43</v>
      </c>
      <c r="C47" s="31">
        <f>SUMIFS(Calkos!$D$6:$D$728,Calkos!$L$6:$L$728,43,Calkos!$M$6:$M$728,2023)</f>
        <v>0</v>
      </c>
      <c r="D47" s="13"/>
      <c r="F47" s="30">
        <f t="shared" si="1"/>
        <v>43</v>
      </c>
      <c r="G47" s="31">
        <f>SUMIFS(Calkos!$D$6:$D$728,Calkos!$L$6:$L$728,43,Calkos!$M$6:$M$728,2024)</f>
        <v>0</v>
      </c>
      <c r="H47" s="13"/>
    </row>
    <row r="48" spans="2:8" x14ac:dyDescent="0.25">
      <c r="B48" s="30">
        <f t="shared" si="0"/>
        <v>44</v>
      </c>
      <c r="C48" s="31">
        <f>SUMIFS(Calkos!$D$6:$D$728,Calkos!$L$6:$L$728,44,Calkos!$M$6:$M$728,2023)</f>
        <v>0</v>
      </c>
      <c r="D48" s="13"/>
      <c r="F48" s="30">
        <f t="shared" si="1"/>
        <v>44</v>
      </c>
      <c r="G48" s="31">
        <f>SUMIFS(Calkos!$D$6:$D$728,Calkos!$L$6:$L$728,44,Calkos!$M$6:$M$728,2024)</f>
        <v>0</v>
      </c>
      <c r="H48" s="13"/>
    </row>
    <row r="49" spans="2:8" x14ac:dyDescent="0.25">
      <c r="B49" s="30">
        <f t="shared" si="0"/>
        <v>45</v>
      </c>
      <c r="C49" s="31">
        <f>SUMIFS(Calkos!$D$6:$D$728,Calkos!$L$6:$L$728,45,Calkos!$M$6:$M$728,2023)</f>
        <v>0</v>
      </c>
      <c r="D49" s="13"/>
      <c r="F49" s="30">
        <f t="shared" si="1"/>
        <v>45</v>
      </c>
      <c r="G49" s="31">
        <f>SUMIFS(Calkos!$D$6:$D$728,Calkos!$L$6:$L$728,45,Calkos!$M$6:$M$728,2024)</f>
        <v>0</v>
      </c>
      <c r="H49" s="13"/>
    </row>
    <row r="50" spans="2:8" x14ac:dyDescent="0.25">
      <c r="B50" s="30">
        <f t="shared" si="0"/>
        <v>46</v>
      </c>
      <c r="C50" s="31">
        <f>SUMIFS(Calkos!$D$6:$D$728,Calkos!$L$6:$L$728,46,Calkos!$M$6:$M$728,2023)</f>
        <v>0</v>
      </c>
      <c r="D50" s="13"/>
      <c r="F50" s="30">
        <f t="shared" si="1"/>
        <v>46</v>
      </c>
      <c r="G50" s="31">
        <f>SUMIFS(Calkos!$D$6:$D$728,Calkos!$L$6:$L$728,46,Calkos!$M$6:$M$728,2024)</f>
        <v>0</v>
      </c>
      <c r="H50" s="13"/>
    </row>
    <row r="51" spans="2:8" x14ac:dyDescent="0.25">
      <c r="B51" s="30">
        <f t="shared" si="0"/>
        <v>47</v>
      </c>
      <c r="C51" s="31">
        <f>SUMIFS(Calkos!$D$6:$D$728,Calkos!$L$6:$L$728,47,Calkos!$M$6:$M$728,2023)</f>
        <v>0</v>
      </c>
      <c r="D51" s="13"/>
      <c r="F51" s="30">
        <f t="shared" si="1"/>
        <v>47</v>
      </c>
      <c r="G51" s="31">
        <f>SUMIFS(Calkos!$D$6:$D$728,Calkos!$L$6:$L$728,47,Calkos!$M$6:$M$728,2024)</f>
        <v>0</v>
      </c>
      <c r="H51" s="13"/>
    </row>
    <row r="52" spans="2:8" x14ac:dyDescent="0.25">
      <c r="B52" s="30">
        <f t="shared" si="0"/>
        <v>48</v>
      </c>
      <c r="C52" s="31">
        <f>SUMIFS(Calkos!$D$6:$D$728,Calkos!$L$6:$L$728,48,Calkos!$M$6:$M$728,2023)</f>
        <v>0</v>
      </c>
      <c r="D52" s="13"/>
      <c r="F52" s="30">
        <f t="shared" si="1"/>
        <v>48</v>
      </c>
      <c r="G52" s="31">
        <f>SUMIFS(Calkos!$D$6:$D$728,Calkos!$L$6:$L$728,48,Calkos!$M$6:$M$728,2024)</f>
        <v>0</v>
      </c>
      <c r="H52" s="13"/>
    </row>
    <row r="53" spans="2:8" x14ac:dyDescent="0.25">
      <c r="B53" s="30">
        <f t="shared" si="0"/>
        <v>49</v>
      </c>
      <c r="C53" s="31">
        <f>SUMIFS(Calkos!$D$6:$D$728,Calkos!$L$6:$L$728,49,Calkos!$M$6:$M$728,2023)</f>
        <v>0</v>
      </c>
      <c r="D53" s="13"/>
      <c r="F53" s="30">
        <f t="shared" si="1"/>
        <v>49</v>
      </c>
      <c r="G53" s="31">
        <f>SUMIFS(Calkos!$D$6:$D$728,Calkos!$L$6:$L$728,49,Calkos!$M$6:$M$728,2024)</f>
        <v>0</v>
      </c>
      <c r="H53" s="13"/>
    </row>
    <row r="54" spans="2:8" x14ac:dyDescent="0.25">
      <c r="B54" s="30">
        <f t="shared" si="0"/>
        <v>50</v>
      </c>
      <c r="C54" s="31">
        <f>SUMIFS(Calkos!$D$6:$D$728,Calkos!$L$6:$L$728,50,Calkos!$M$6:$M$728,2023)</f>
        <v>0</v>
      </c>
      <c r="D54" s="13"/>
      <c r="F54" s="30">
        <f t="shared" si="1"/>
        <v>50</v>
      </c>
      <c r="G54" s="31">
        <f>SUMIFS(Calkos!$D$6:$D$728,Calkos!$L$6:$L$728,50,Calkos!$M$6:$M$728,2024)</f>
        <v>0</v>
      </c>
      <c r="H54" s="13"/>
    </row>
    <row r="55" spans="2:8" x14ac:dyDescent="0.25">
      <c r="B55" s="30">
        <f t="shared" si="0"/>
        <v>51</v>
      </c>
      <c r="C55" s="31">
        <f>SUMIFS(Calkos!$D$6:$D$728,Calkos!$L$6:$L$728,51,Calkos!$M$6:$M$728,2023)</f>
        <v>0</v>
      </c>
      <c r="D55" s="13"/>
      <c r="F55" s="30">
        <f t="shared" si="1"/>
        <v>51</v>
      </c>
      <c r="G55" s="31">
        <f>SUMIFS(Calkos!$D$6:$D$728,Calkos!$L$6:$L$728,51,Calkos!$M$6:$M$728,2024)</f>
        <v>0</v>
      </c>
      <c r="H55" s="13"/>
    </row>
    <row r="56" spans="2:8" x14ac:dyDescent="0.25">
      <c r="B56" s="30">
        <f t="shared" si="0"/>
        <v>52</v>
      </c>
      <c r="C56" s="31">
        <f>SUMIFS(Calkos!$D$6:$D$728,Calkos!$L$6:$L$728,52,Calkos!$M$6:$M$728,2023)</f>
        <v>0</v>
      </c>
      <c r="D56" s="13"/>
      <c r="F56" s="30">
        <f t="shared" si="1"/>
        <v>52</v>
      </c>
      <c r="G56" s="31">
        <f>SUMIFS(Calkos!$D$6:$D$728,Calkos!$L$6:$L$728,52,Calkos!$M$6:$M$728,2024)</f>
        <v>0</v>
      </c>
      <c r="H56" s="13"/>
    </row>
    <row r="57" spans="2:8" ht="15.75" thickBot="1" x14ac:dyDescent="0.3">
      <c r="B57" s="32">
        <f t="shared" si="0"/>
        <v>53</v>
      </c>
      <c r="C57" s="33">
        <f>SUMIFS(Calkos!$D$6:$D$728,Calkos!$L$6:$L$728,53,Calkos!$M$6:$M$728,2023)</f>
        <v>0</v>
      </c>
      <c r="D57" s="34"/>
      <c r="F57" s="32">
        <f t="shared" si="1"/>
        <v>53</v>
      </c>
      <c r="G57" s="33">
        <f>SUMIFS(Calkos!$D$6:$D$728,Calkos!$L$6:$L$728,53,Calkos!$M$6:$M$728,2024)</f>
        <v>0</v>
      </c>
      <c r="H57" s="34"/>
    </row>
    <row r="58" spans="2:8" ht="15.75" thickBot="1" x14ac:dyDescent="0.3">
      <c r="C58" s="23">
        <f>SUM(C5:C57)</f>
        <v>0</v>
      </c>
      <c r="G58" s="23">
        <f>SUM(G5:G57)</f>
        <v>0</v>
      </c>
    </row>
  </sheetData>
  <mergeCells count="2">
    <mergeCell ref="B3:D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Calkos</vt:lpstr>
      <vt:lpstr>Consegna</vt:lpstr>
      <vt:lpstr>Settimana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</dc:creator>
  <cp:lastModifiedBy>Lenovo</cp:lastModifiedBy>
  <dcterms:created xsi:type="dcterms:W3CDTF">2023-04-26T09:03:17Z</dcterms:created>
  <dcterms:modified xsi:type="dcterms:W3CDTF">2026-05-08T12:11:39Z</dcterms:modified>
</cp:coreProperties>
</file>