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/>
  </bookViews>
  <sheets>
    <sheet name="Commissioni Metal Invest" sheetId="6" r:id="rId1"/>
    <sheet name="Fatturazione Metal Invest" sheetId="7" r:id="rId2"/>
    <sheet name="Consegne" sheetId="21" r:id="rId3"/>
    <sheet name="Foglio1" sheetId="20" state="hidden" r:id="rId4"/>
  </sheets>
  <functionGroups builtInGroupCount="18"/>
  <definedNames>
    <definedName name="_xlnm._FilterDatabase" localSheetId="0" hidden="1">'Commissioni Metal Invest'!$A$5:$W$844</definedName>
    <definedName name="_xlnm.Print_Area" localSheetId="0">'Commissioni Metal Invest'!$A$1:$P$845</definedName>
    <definedName name="materiale">Foglio1!$A$2:$A$5</definedName>
  </definedNames>
  <calcPr calcId="162913"/>
</workbook>
</file>

<file path=xl/calcChain.xml><?xml version="1.0" encoding="utf-8"?>
<calcChain xmlns="http://schemas.openxmlformats.org/spreadsheetml/2006/main">
  <c r="P844" i="6" l="1"/>
  <c r="P843" i="6"/>
  <c r="P842" i="6"/>
  <c r="P841" i="6"/>
  <c r="P840" i="6"/>
  <c r="P839" i="6"/>
  <c r="P838" i="6"/>
  <c r="P837" i="6"/>
  <c r="P836" i="6"/>
  <c r="P835" i="6"/>
  <c r="P834" i="6"/>
  <c r="P833" i="6"/>
  <c r="P832" i="6"/>
  <c r="P831" i="6"/>
  <c r="P830" i="6"/>
  <c r="P829" i="6"/>
  <c r="P828" i="6"/>
  <c r="P827" i="6"/>
  <c r="P826" i="6"/>
  <c r="P825" i="6"/>
  <c r="P824" i="6"/>
  <c r="P823" i="6"/>
  <c r="P822" i="6"/>
  <c r="P821" i="6"/>
  <c r="P820" i="6"/>
  <c r="P819" i="6"/>
  <c r="P818" i="6"/>
  <c r="P817" i="6"/>
  <c r="P816" i="6"/>
  <c r="P815" i="6"/>
  <c r="P814" i="6"/>
  <c r="P813" i="6"/>
  <c r="P812" i="6"/>
  <c r="P811" i="6"/>
  <c r="P810" i="6"/>
  <c r="P809" i="6"/>
  <c r="P808" i="6"/>
  <c r="P807" i="6"/>
  <c r="P806" i="6"/>
  <c r="P805" i="6"/>
  <c r="P804" i="6"/>
  <c r="P803" i="6"/>
  <c r="P802" i="6"/>
  <c r="P801" i="6"/>
  <c r="P800" i="6"/>
  <c r="P799" i="6"/>
  <c r="P798" i="6"/>
  <c r="P797" i="6"/>
  <c r="P796" i="6"/>
  <c r="P795" i="6"/>
  <c r="P794" i="6"/>
  <c r="P793" i="6"/>
  <c r="P792" i="6"/>
  <c r="P791" i="6"/>
  <c r="P790" i="6"/>
  <c r="P789" i="6"/>
  <c r="P788" i="6"/>
  <c r="P787" i="6"/>
  <c r="P786" i="6"/>
  <c r="P785" i="6"/>
  <c r="P784" i="6"/>
  <c r="P783" i="6"/>
  <c r="P782" i="6"/>
  <c r="P781" i="6"/>
  <c r="P780" i="6"/>
  <c r="P779" i="6"/>
  <c r="P778" i="6"/>
  <c r="P777" i="6"/>
  <c r="P776" i="6"/>
  <c r="P775" i="6"/>
  <c r="P774" i="6"/>
  <c r="P773" i="6"/>
  <c r="P772" i="6"/>
  <c r="P771" i="6"/>
  <c r="P770" i="6"/>
  <c r="P769" i="6"/>
  <c r="P768" i="6"/>
  <c r="P767" i="6"/>
  <c r="P766" i="6"/>
  <c r="P765" i="6"/>
  <c r="P764" i="6"/>
  <c r="P763" i="6"/>
  <c r="P762" i="6"/>
  <c r="P761" i="6"/>
  <c r="P760" i="6"/>
  <c r="P759" i="6"/>
  <c r="P758" i="6"/>
  <c r="P757" i="6"/>
  <c r="P756" i="6"/>
  <c r="P755" i="6"/>
  <c r="P754" i="6"/>
  <c r="P753" i="6"/>
  <c r="P752" i="6"/>
  <c r="P751" i="6"/>
  <c r="P750" i="6"/>
  <c r="P749" i="6"/>
  <c r="P748" i="6"/>
  <c r="P747" i="6"/>
  <c r="P746" i="6"/>
  <c r="P745" i="6"/>
  <c r="P744" i="6"/>
  <c r="P743" i="6"/>
  <c r="P742" i="6"/>
  <c r="P741" i="6"/>
  <c r="P740" i="6"/>
  <c r="P739" i="6"/>
  <c r="P738" i="6"/>
  <c r="P737" i="6"/>
  <c r="P736" i="6"/>
  <c r="P735" i="6"/>
  <c r="P734" i="6"/>
  <c r="P733" i="6"/>
  <c r="P732" i="6"/>
  <c r="P731" i="6"/>
  <c r="P730" i="6"/>
  <c r="P729" i="6"/>
  <c r="P728" i="6"/>
  <c r="P727" i="6"/>
  <c r="P726" i="6"/>
  <c r="P725" i="6"/>
  <c r="P724" i="6"/>
  <c r="P723" i="6"/>
  <c r="P722" i="6"/>
  <c r="P721" i="6"/>
  <c r="P720" i="6"/>
  <c r="P719" i="6"/>
  <c r="P718" i="6"/>
  <c r="P717" i="6"/>
  <c r="P716" i="6"/>
  <c r="P715" i="6"/>
  <c r="P714" i="6"/>
  <c r="P713" i="6"/>
  <c r="P712" i="6"/>
  <c r="P711" i="6"/>
  <c r="P710" i="6"/>
  <c r="P709" i="6"/>
  <c r="P708" i="6"/>
  <c r="P707" i="6"/>
  <c r="P706" i="6"/>
  <c r="P705" i="6"/>
  <c r="P704" i="6"/>
  <c r="P703" i="6"/>
  <c r="P702" i="6"/>
  <c r="P701" i="6"/>
  <c r="P700" i="6"/>
  <c r="P699" i="6"/>
  <c r="P698" i="6"/>
  <c r="P697" i="6"/>
  <c r="P696" i="6"/>
  <c r="P695" i="6"/>
  <c r="P694" i="6"/>
  <c r="P693" i="6"/>
  <c r="P692" i="6"/>
  <c r="P691" i="6"/>
  <c r="P690" i="6"/>
  <c r="P689" i="6"/>
  <c r="P688" i="6"/>
  <c r="P687" i="6"/>
  <c r="P686" i="6"/>
  <c r="P685" i="6"/>
  <c r="P684" i="6"/>
  <c r="P683" i="6"/>
  <c r="P682" i="6"/>
  <c r="P681" i="6"/>
  <c r="P680" i="6"/>
  <c r="P679" i="6"/>
  <c r="P678" i="6"/>
  <c r="P677" i="6"/>
  <c r="P676" i="6"/>
  <c r="P675" i="6"/>
  <c r="P674" i="6"/>
  <c r="P673" i="6"/>
  <c r="P672" i="6"/>
  <c r="P671" i="6"/>
  <c r="P670" i="6"/>
  <c r="P669" i="6"/>
  <c r="P668" i="6"/>
  <c r="P667" i="6"/>
  <c r="P666" i="6"/>
  <c r="P665" i="6"/>
  <c r="P664" i="6"/>
  <c r="P663" i="6"/>
  <c r="P662" i="6"/>
  <c r="P661" i="6"/>
  <c r="P660" i="6"/>
  <c r="P659" i="6"/>
  <c r="P658" i="6"/>
  <c r="P657" i="6"/>
  <c r="P656" i="6"/>
  <c r="P655" i="6"/>
  <c r="P654" i="6"/>
  <c r="P653" i="6"/>
  <c r="P652" i="6"/>
  <c r="P651" i="6"/>
  <c r="P650" i="6"/>
  <c r="P649" i="6"/>
  <c r="P648" i="6"/>
  <c r="P647" i="6"/>
  <c r="P646" i="6"/>
  <c r="P645" i="6"/>
  <c r="P644" i="6"/>
  <c r="P643" i="6"/>
  <c r="P642" i="6"/>
  <c r="P641" i="6"/>
  <c r="P640" i="6"/>
  <c r="P639" i="6"/>
  <c r="P638" i="6"/>
  <c r="P637" i="6"/>
  <c r="P636" i="6"/>
  <c r="P635" i="6"/>
  <c r="P634" i="6"/>
  <c r="P633" i="6"/>
  <c r="P632" i="6"/>
  <c r="P631" i="6"/>
  <c r="P630" i="6"/>
  <c r="P629" i="6"/>
  <c r="P628" i="6"/>
  <c r="P627" i="6"/>
  <c r="P626" i="6"/>
  <c r="P625" i="6"/>
  <c r="P624" i="6"/>
  <c r="P623" i="6"/>
  <c r="P622" i="6"/>
  <c r="P621" i="6"/>
  <c r="P620" i="6"/>
  <c r="P619" i="6"/>
  <c r="P618" i="6"/>
  <c r="P617" i="6"/>
  <c r="P616" i="6"/>
  <c r="P615" i="6"/>
  <c r="P614" i="6"/>
  <c r="P613" i="6"/>
  <c r="P612" i="6"/>
  <c r="P611" i="6"/>
  <c r="P610" i="6"/>
  <c r="P609" i="6"/>
  <c r="P608" i="6"/>
  <c r="P607" i="6"/>
  <c r="P606" i="6"/>
  <c r="P605" i="6"/>
  <c r="P604" i="6"/>
  <c r="P603" i="6"/>
  <c r="P602" i="6"/>
  <c r="P601" i="6"/>
  <c r="P600" i="6"/>
  <c r="P599" i="6"/>
  <c r="P598" i="6"/>
  <c r="P597" i="6"/>
  <c r="P596" i="6"/>
  <c r="P595" i="6"/>
  <c r="P594" i="6"/>
  <c r="P593" i="6"/>
  <c r="P592" i="6"/>
  <c r="P591" i="6"/>
  <c r="P590" i="6"/>
  <c r="P589" i="6"/>
  <c r="P588" i="6"/>
  <c r="P587" i="6"/>
  <c r="P586" i="6"/>
  <c r="P585" i="6"/>
  <c r="P584" i="6"/>
  <c r="P583" i="6"/>
  <c r="P582" i="6"/>
  <c r="P581" i="6"/>
  <c r="P580" i="6"/>
  <c r="P579" i="6"/>
  <c r="P578" i="6"/>
  <c r="P577" i="6"/>
  <c r="P576" i="6"/>
  <c r="P575" i="6"/>
  <c r="P574" i="6"/>
  <c r="P573" i="6"/>
  <c r="P572" i="6"/>
  <c r="P571" i="6"/>
  <c r="P570" i="6"/>
  <c r="P569" i="6"/>
  <c r="P568" i="6"/>
  <c r="P567" i="6"/>
  <c r="P566" i="6"/>
  <c r="P565" i="6"/>
  <c r="P564" i="6"/>
  <c r="P563" i="6"/>
  <c r="P562" i="6"/>
  <c r="P561" i="6"/>
  <c r="P560" i="6"/>
  <c r="P559" i="6"/>
  <c r="P558" i="6"/>
  <c r="P557" i="6"/>
  <c r="P556" i="6"/>
  <c r="P555" i="6"/>
  <c r="P554" i="6"/>
  <c r="P553" i="6"/>
  <c r="P552" i="6"/>
  <c r="P551" i="6"/>
  <c r="P550" i="6"/>
  <c r="P549" i="6"/>
  <c r="P548" i="6"/>
  <c r="P547" i="6"/>
  <c r="P546" i="6"/>
  <c r="P545" i="6"/>
  <c r="P544" i="6"/>
  <c r="P543" i="6"/>
  <c r="P542" i="6"/>
  <c r="P541" i="6"/>
  <c r="P540" i="6"/>
  <c r="P539" i="6"/>
  <c r="P538" i="6"/>
  <c r="P537" i="6"/>
  <c r="P536" i="6"/>
  <c r="P535" i="6"/>
  <c r="P534" i="6"/>
  <c r="P533" i="6"/>
  <c r="P532" i="6"/>
  <c r="P531" i="6"/>
  <c r="P530" i="6"/>
  <c r="P529" i="6"/>
  <c r="P528" i="6"/>
  <c r="P527" i="6"/>
  <c r="P526" i="6"/>
  <c r="P525" i="6"/>
  <c r="P524" i="6"/>
  <c r="P523" i="6"/>
  <c r="P522" i="6"/>
  <c r="P521" i="6"/>
  <c r="P520" i="6"/>
  <c r="P519" i="6"/>
  <c r="P518" i="6"/>
  <c r="P517" i="6"/>
  <c r="P516" i="6"/>
  <c r="P515" i="6"/>
  <c r="P514" i="6"/>
  <c r="P513" i="6"/>
  <c r="P512" i="6"/>
  <c r="P511" i="6"/>
  <c r="P510" i="6"/>
  <c r="P509" i="6"/>
  <c r="P508" i="6"/>
  <c r="P507" i="6"/>
  <c r="P506" i="6"/>
  <c r="P505" i="6"/>
  <c r="P504" i="6"/>
  <c r="P503" i="6"/>
  <c r="P502" i="6"/>
  <c r="P501" i="6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O844" i="6"/>
  <c r="O843" i="6"/>
  <c r="O842" i="6"/>
  <c r="O841" i="6"/>
  <c r="O840" i="6"/>
  <c r="O839" i="6"/>
  <c r="O838" i="6"/>
  <c r="O837" i="6"/>
  <c r="O836" i="6"/>
  <c r="O835" i="6"/>
  <c r="O834" i="6"/>
  <c r="O833" i="6"/>
  <c r="O832" i="6"/>
  <c r="O831" i="6"/>
  <c r="O830" i="6"/>
  <c r="O829" i="6"/>
  <c r="O828" i="6"/>
  <c r="O827" i="6"/>
  <c r="O826" i="6"/>
  <c r="O825" i="6"/>
  <c r="O824" i="6"/>
  <c r="O823" i="6"/>
  <c r="O822" i="6"/>
  <c r="O821" i="6"/>
  <c r="O820" i="6"/>
  <c r="O819" i="6"/>
  <c r="O818" i="6"/>
  <c r="O817" i="6"/>
  <c r="O816" i="6"/>
  <c r="O815" i="6"/>
  <c r="O814" i="6"/>
  <c r="O813" i="6"/>
  <c r="O812" i="6"/>
  <c r="O811" i="6"/>
  <c r="O810" i="6"/>
  <c r="O809" i="6"/>
  <c r="O808" i="6"/>
  <c r="O807" i="6"/>
  <c r="O806" i="6"/>
  <c r="O805" i="6"/>
  <c r="O804" i="6"/>
  <c r="O803" i="6"/>
  <c r="O802" i="6"/>
  <c r="O801" i="6"/>
  <c r="O800" i="6"/>
  <c r="O799" i="6"/>
  <c r="O798" i="6"/>
  <c r="O797" i="6"/>
  <c r="O796" i="6"/>
  <c r="O795" i="6"/>
  <c r="O794" i="6"/>
  <c r="O793" i="6"/>
  <c r="O792" i="6"/>
  <c r="O791" i="6"/>
  <c r="O790" i="6"/>
  <c r="O789" i="6"/>
  <c r="O788" i="6"/>
  <c r="O787" i="6"/>
  <c r="O786" i="6"/>
  <c r="O785" i="6"/>
  <c r="O784" i="6"/>
  <c r="O783" i="6"/>
  <c r="O782" i="6"/>
  <c r="O781" i="6"/>
  <c r="O780" i="6"/>
  <c r="O779" i="6"/>
  <c r="O778" i="6"/>
  <c r="O777" i="6"/>
  <c r="O776" i="6"/>
  <c r="O775" i="6"/>
  <c r="O774" i="6"/>
  <c r="O773" i="6"/>
  <c r="O772" i="6"/>
  <c r="O771" i="6"/>
  <c r="O770" i="6"/>
  <c r="O769" i="6"/>
  <c r="O768" i="6"/>
  <c r="O767" i="6"/>
  <c r="O766" i="6"/>
  <c r="O765" i="6"/>
  <c r="O764" i="6"/>
  <c r="O763" i="6"/>
  <c r="O762" i="6"/>
  <c r="O761" i="6"/>
  <c r="O760" i="6"/>
  <c r="O759" i="6"/>
  <c r="O758" i="6"/>
  <c r="O757" i="6"/>
  <c r="O756" i="6"/>
  <c r="O755" i="6"/>
  <c r="O754" i="6"/>
  <c r="O753" i="6"/>
  <c r="O752" i="6"/>
  <c r="O751" i="6"/>
  <c r="O750" i="6"/>
  <c r="O749" i="6"/>
  <c r="O748" i="6"/>
  <c r="O747" i="6"/>
  <c r="O746" i="6"/>
  <c r="O745" i="6"/>
  <c r="O744" i="6"/>
  <c r="O743" i="6"/>
  <c r="O742" i="6"/>
  <c r="O741" i="6"/>
  <c r="O740" i="6"/>
  <c r="O739" i="6"/>
  <c r="O738" i="6"/>
  <c r="O737" i="6"/>
  <c r="O736" i="6"/>
  <c r="O735" i="6"/>
  <c r="O734" i="6"/>
  <c r="O733" i="6"/>
  <c r="O732" i="6"/>
  <c r="O731" i="6"/>
  <c r="O730" i="6"/>
  <c r="O729" i="6"/>
  <c r="O728" i="6"/>
  <c r="O727" i="6"/>
  <c r="O726" i="6"/>
  <c r="O725" i="6"/>
  <c r="O724" i="6"/>
  <c r="O723" i="6"/>
  <c r="O722" i="6"/>
  <c r="O721" i="6"/>
  <c r="O720" i="6"/>
  <c r="O719" i="6"/>
  <c r="O718" i="6"/>
  <c r="O717" i="6"/>
  <c r="O716" i="6"/>
  <c r="O715" i="6"/>
  <c r="O714" i="6"/>
  <c r="O713" i="6"/>
  <c r="O712" i="6"/>
  <c r="O711" i="6"/>
  <c r="O710" i="6"/>
  <c r="O709" i="6"/>
  <c r="O708" i="6"/>
  <c r="O707" i="6"/>
  <c r="O706" i="6"/>
  <c r="O705" i="6"/>
  <c r="O704" i="6"/>
  <c r="O703" i="6"/>
  <c r="O702" i="6"/>
  <c r="O701" i="6"/>
  <c r="O700" i="6"/>
  <c r="O699" i="6"/>
  <c r="O698" i="6"/>
  <c r="O697" i="6"/>
  <c r="O696" i="6"/>
  <c r="O695" i="6"/>
  <c r="O694" i="6"/>
  <c r="O693" i="6"/>
  <c r="O692" i="6"/>
  <c r="O691" i="6"/>
  <c r="O690" i="6"/>
  <c r="O689" i="6"/>
  <c r="O688" i="6"/>
  <c r="O687" i="6"/>
  <c r="O686" i="6"/>
  <c r="O685" i="6"/>
  <c r="O684" i="6"/>
  <c r="O683" i="6"/>
  <c r="O682" i="6"/>
  <c r="O681" i="6"/>
  <c r="O680" i="6"/>
  <c r="O679" i="6"/>
  <c r="O678" i="6"/>
  <c r="O677" i="6"/>
  <c r="O676" i="6"/>
  <c r="O675" i="6"/>
  <c r="O674" i="6"/>
  <c r="O673" i="6"/>
  <c r="O672" i="6"/>
  <c r="O671" i="6"/>
  <c r="O670" i="6"/>
  <c r="O669" i="6"/>
  <c r="O668" i="6"/>
  <c r="O667" i="6"/>
  <c r="O666" i="6"/>
  <c r="O665" i="6"/>
  <c r="O664" i="6"/>
  <c r="O663" i="6"/>
  <c r="O662" i="6"/>
  <c r="O661" i="6"/>
  <c r="O660" i="6"/>
  <c r="O659" i="6"/>
  <c r="O658" i="6"/>
  <c r="O657" i="6"/>
  <c r="O656" i="6"/>
  <c r="O655" i="6"/>
  <c r="O654" i="6"/>
  <c r="O653" i="6"/>
  <c r="O652" i="6"/>
  <c r="O651" i="6"/>
  <c r="O650" i="6"/>
  <c r="O649" i="6"/>
  <c r="O648" i="6"/>
  <c r="O647" i="6"/>
  <c r="O646" i="6"/>
  <c r="O645" i="6"/>
  <c r="O644" i="6"/>
  <c r="O643" i="6"/>
  <c r="O642" i="6"/>
  <c r="O641" i="6"/>
  <c r="O640" i="6"/>
  <c r="O639" i="6"/>
  <c r="O638" i="6"/>
  <c r="O637" i="6"/>
  <c r="O636" i="6"/>
  <c r="O635" i="6"/>
  <c r="O634" i="6"/>
  <c r="O633" i="6"/>
  <c r="O632" i="6"/>
  <c r="O631" i="6"/>
  <c r="O630" i="6"/>
  <c r="O629" i="6"/>
  <c r="O628" i="6"/>
  <c r="O627" i="6"/>
  <c r="O626" i="6"/>
  <c r="O625" i="6"/>
  <c r="O624" i="6"/>
  <c r="O623" i="6"/>
  <c r="O622" i="6"/>
  <c r="O621" i="6"/>
  <c r="O620" i="6"/>
  <c r="O619" i="6"/>
  <c r="O618" i="6"/>
  <c r="O617" i="6"/>
  <c r="O616" i="6"/>
  <c r="O615" i="6"/>
  <c r="O614" i="6"/>
  <c r="O613" i="6"/>
  <c r="O612" i="6"/>
  <c r="O611" i="6"/>
  <c r="O610" i="6"/>
  <c r="O609" i="6"/>
  <c r="O608" i="6"/>
  <c r="O607" i="6"/>
  <c r="O606" i="6"/>
  <c r="O605" i="6"/>
  <c r="O604" i="6"/>
  <c r="O603" i="6"/>
  <c r="O602" i="6"/>
  <c r="O601" i="6"/>
  <c r="O600" i="6"/>
  <c r="O599" i="6"/>
  <c r="O598" i="6"/>
  <c r="O597" i="6"/>
  <c r="O596" i="6"/>
  <c r="O595" i="6"/>
  <c r="O594" i="6"/>
  <c r="O593" i="6"/>
  <c r="O592" i="6"/>
  <c r="O591" i="6"/>
  <c r="O590" i="6"/>
  <c r="O589" i="6"/>
  <c r="O588" i="6"/>
  <c r="O587" i="6"/>
  <c r="O586" i="6"/>
  <c r="O585" i="6"/>
  <c r="O584" i="6"/>
  <c r="O583" i="6"/>
  <c r="O582" i="6"/>
  <c r="O581" i="6"/>
  <c r="O580" i="6"/>
  <c r="O579" i="6"/>
  <c r="O578" i="6"/>
  <c r="O577" i="6"/>
  <c r="O576" i="6"/>
  <c r="O575" i="6"/>
  <c r="O574" i="6"/>
  <c r="O573" i="6"/>
  <c r="O572" i="6"/>
  <c r="O571" i="6"/>
  <c r="O570" i="6"/>
  <c r="O569" i="6"/>
  <c r="O568" i="6"/>
  <c r="O567" i="6"/>
  <c r="O566" i="6"/>
  <c r="O565" i="6"/>
  <c r="O564" i="6"/>
  <c r="O563" i="6"/>
  <c r="O562" i="6"/>
  <c r="O561" i="6"/>
  <c r="O560" i="6"/>
  <c r="O559" i="6"/>
  <c r="O558" i="6"/>
  <c r="O557" i="6"/>
  <c r="O556" i="6"/>
  <c r="O555" i="6"/>
  <c r="O554" i="6"/>
  <c r="O553" i="6"/>
  <c r="O552" i="6"/>
  <c r="O551" i="6"/>
  <c r="O550" i="6"/>
  <c r="O549" i="6"/>
  <c r="O548" i="6"/>
  <c r="O547" i="6"/>
  <c r="O546" i="6"/>
  <c r="O545" i="6"/>
  <c r="O544" i="6"/>
  <c r="O543" i="6"/>
  <c r="O542" i="6"/>
  <c r="O541" i="6"/>
  <c r="O540" i="6"/>
  <c r="O539" i="6"/>
  <c r="O538" i="6"/>
  <c r="O537" i="6"/>
  <c r="O536" i="6"/>
  <c r="O535" i="6"/>
  <c r="O534" i="6"/>
  <c r="O533" i="6"/>
  <c r="O532" i="6"/>
  <c r="O531" i="6"/>
  <c r="O530" i="6"/>
  <c r="O529" i="6"/>
  <c r="O528" i="6"/>
  <c r="O527" i="6"/>
  <c r="O526" i="6"/>
  <c r="O525" i="6"/>
  <c r="O524" i="6"/>
  <c r="O523" i="6"/>
  <c r="O522" i="6"/>
  <c r="O521" i="6"/>
  <c r="O520" i="6"/>
  <c r="O519" i="6"/>
  <c r="O518" i="6"/>
  <c r="O517" i="6"/>
  <c r="O516" i="6"/>
  <c r="O515" i="6"/>
  <c r="O514" i="6"/>
  <c r="O513" i="6"/>
  <c r="O512" i="6"/>
  <c r="O511" i="6"/>
  <c r="O510" i="6"/>
  <c r="O509" i="6"/>
  <c r="O508" i="6"/>
  <c r="O507" i="6"/>
  <c r="O506" i="6"/>
  <c r="O505" i="6"/>
  <c r="O504" i="6"/>
  <c r="O503" i="6"/>
  <c r="O502" i="6"/>
  <c r="O501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N844" i="6"/>
  <c r="N843" i="6"/>
  <c r="N842" i="6"/>
  <c r="N841" i="6"/>
  <c r="N840" i="6"/>
  <c r="N839" i="6"/>
  <c r="N838" i="6"/>
  <c r="N837" i="6"/>
  <c r="N836" i="6"/>
  <c r="N835" i="6"/>
  <c r="N834" i="6"/>
  <c r="N833" i="6"/>
  <c r="N832" i="6"/>
  <c r="N831" i="6"/>
  <c r="N830" i="6"/>
  <c r="N829" i="6"/>
  <c r="N828" i="6"/>
  <c r="N827" i="6"/>
  <c r="N826" i="6"/>
  <c r="N825" i="6"/>
  <c r="N824" i="6"/>
  <c r="N823" i="6"/>
  <c r="N822" i="6"/>
  <c r="N821" i="6"/>
  <c r="N820" i="6"/>
  <c r="N819" i="6"/>
  <c r="N818" i="6"/>
  <c r="N817" i="6"/>
  <c r="N816" i="6"/>
  <c r="N815" i="6"/>
  <c r="N814" i="6"/>
  <c r="N813" i="6"/>
  <c r="N812" i="6"/>
  <c r="N811" i="6"/>
  <c r="N810" i="6"/>
  <c r="N809" i="6"/>
  <c r="N808" i="6"/>
  <c r="N807" i="6"/>
  <c r="N806" i="6"/>
  <c r="N805" i="6"/>
  <c r="N804" i="6"/>
  <c r="N803" i="6"/>
  <c r="N802" i="6"/>
  <c r="N801" i="6"/>
  <c r="N800" i="6"/>
  <c r="N799" i="6"/>
  <c r="N798" i="6"/>
  <c r="N797" i="6"/>
  <c r="N796" i="6"/>
  <c r="N795" i="6"/>
  <c r="N794" i="6"/>
  <c r="N793" i="6"/>
  <c r="N792" i="6"/>
  <c r="N791" i="6"/>
  <c r="N790" i="6"/>
  <c r="N789" i="6"/>
  <c r="N788" i="6"/>
  <c r="N787" i="6"/>
  <c r="N786" i="6"/>
  <c r="N785" i="6"/>
  <c r="N784" i="6"/>
  <c r="N783" i="6"/>
  <c r="N782" i="6"/>
  <c r="N781" i="6"/>
  <c r="N780" i="6"/>
  <c r="N779" i="6"/>
  <c r="N778" i="6"/>
  <c r="N777" i="6"/>
  <c r="N776" i="6"/>
  <c r="N775" i="6"/>
  <c r="N774" i="6"/>
  <c r="N773" i="6"/>
  <c r="N772" i="6"/>
  <c r="N771" i="6"/>
  <c r="N770" i="6"/>
  <c r="N769" i="6"/>
  <c r="N768" i="6"/>
  <c r="N767" i="6"/>
  <c r="N766" i="6"/>
  <c r="N765" i="6"/>
  <c r="N764" i="6"/>
  <c r="N763" i="6"/>
  <c r="N762" i="6"/>
  <c r="N761" i="6"/>
  <c r="N760" i="6"/>
  <c r="N759" i="6"/>
  <c r="N758" i="6"/>
  <c r="N757" i="6"/>
  <c r="N756" i="6"/>
  <c r="N755" i="6"/>
  <c r="N754" i="6"/>
  <c r="N753" i="6"/>
  <c r="N752" i="6"/>
  <c r="N751" i="6"/>
  <c r="N750" i="6"/>
  <c r="N749" i="6"/>
  <c r="N748" i="6"/>
  <c r="N747" i="6"/>
  <c r="N746" i="6"/>
  <c r="N745" i="6"/>
  <c r="N744" i="6"/>
  <c r="N743" i="6"/>
  <c r="N742" i="6"/>
  <c r="N741" i="6"/>
  <c r="N740" i="6"/>
  <c r="N739" i="6"/>
  <c r="N738" i="6"/>
  <c r="N737" i="6"/>
  <c r="N736" i="6"/>
  <c r="N735" i="6"/>
  <c r="N734" i="6"/>
  <c r="N733" i="6"/>
  <c r="N732" i="6"/>
  <c r="N731" i="6"/>
  <c r="N730" i="6"/>
  <c r="N729" i="6"/>
  <c r="N728" i="6"/>
  <c r="N727" i="6"/>
  <c r="N726" i="6"/>
  <c r="N725" i="6"/>
  <c r="N724" i="6"/>
  <c r="N723" i="6"/>
  <c r="N722" i="6"/>
  <c r="N721" i="6"/>
  <c r="N720" i="6"/>
  <c r="N719" i="6"/>
  <c r="N718" i="6"/>
  <c r="N717" i="6"/>
  <c r="N716" i="6"/>
  <c r="N715" i="6"/>
  <c r="N714" i="6"/>
  <c r="N713" i="6"/>
  <c r="N712" i="6"/>
  <c r="N711" i="6"/>
  <c r="N710" i="6"/>
  <c r="N709" i="6"/>
  <c r="N708" i="6"/>
  <c r="N707" i="6"/>
  <c r="N706" i="6"/>
  <c r="N705" i="6"/>
  <c r="N704" i="6"/>
  <c r="N703" i="6"/>
  <c r="N702" i="6"/>
  <c r="N701" i="6"/>
  <c r="N700" i="6"/>
  <c r="N699" i="6"/>
  <c r="N698" i="6"/>
  <c r="N697" i="6"/>
  <c r="N696" i="6"/>
  <c r="N695" i="6"/>
  <c r="N694" i="6"/>
  <c r="N693" i="6"/>
  <c r="N692" i="6"/>
  <c r="N691" i="6"/>
  <c r="N690" i="6"/>
  <c r="N689" i="6"/>
  <c r="N688" i="6"/>
  <c r="N687" i="6"/>
  <c r="N686" i="6"/>
  <c r="N685" i="6"/>
  <c r="N684" i="6"/>
  <c r="N683" i="6"/>
  <c r="N682" i="6"/>
  <c r="N681" i="6"/>
  <c r="N680" i="6"/>
  <c r="N679" i="6"/>
  <c r="N678" i="6"/>
  <c r="N677" i="6"/>
  <c r="N676" i="6"/>
  <c r="N675" i="6"/>
  <c r="N674" i="6"/>
  <c r="N673" i="6"/>
  <c r="N672" i="6"/>
  <c r="N671" i="6"/>
  <c r="N670" i="6"/>
  <c r="N669" i="6"/>
  <c r="N668" i="6"/>
  <c r="N667" i="6"/>
  <c r="N666" i="6"/>
  <c r="N665" i="6"/>
  <c r="N664" i="6"/>
  <c r="N663" i="6"/>
  <c r="N662" i="6"/>
  <c r="N661" i="6"/>
  <c r="N660" i="6"/>
  <c r="N659" i="6"/>
  <c r="N658" i="6"/>
  <c r="N657" i="6"/>
  <c r="N656" i="6"/>
  <c r="N655" i="6"/>
  <c r="N654" i="6"/>
  <c r="N653" i="6"/>
  <c r="N652" i="6"/>
  <c r="N651" i="6"/>
  <c r="N650" i="6"/>
  <c r="N649" i="6"/>
  <c r="N648" i="6"/>
  <c r="N647" i="6"/>
  <c r="N646" i="6"/>
  <c r="N645" i="6"/>
  <c r="N644" i="6"/>
  <c r="N643" i="6"/>
  <c r="N642" i="6"/>
  <c r="N641" i="6"/>
  <c r="N640" i="6"/>
  <c r="N639" i="6"/>
  <c r="N638" i="6"/>
  <c r="N637" i="6"/>
  <c r="N636" i="6"/>
  <c r="N635" i="6"/>
  <c r="N634" i="6"/>
  <c r="N633" i="6"/>
  <c r="N632" i="6"/>
  <c r="N631" i="6"/>
  <c r="N630" i="6"/>
  <c r="N629" i="6"/>
  <c r="N628" i="6"/>
  <c r="N627" i="6"/>
  <c r="N626" i="6"/>
  <c r="N625" i="6"/>
  <c r="N624" i="6"/>
  <c r="N623" i="6"/>
  <c r="N622" i="6"/>
  <c r="N621" i="6"/>
  <c r="N620" i="6"/>
  <c r="N619" i="6"/>
  <c r="N618" i="6"/>
  <c r="N617" i="6"/>
  <c r="N616" i="6"/>
  <c r="N615" i="6"/>
  <c r="N614" i="6"/>
  <c r="N613" i="6"/>
  <c r="N612" i="6"/>
  <c r="N611" i="6"/>
  <c r="N610" i="6"/>
  <c r="N609" i="6"/>
  <c r="N608" i="6"/>
  <c r="N607" i="6"/>
  <c r="N606" i="6"/>
  <c r="N605" i="6"/>
  <c r="N604" i="6"/>
  <c r="N603" i="6"/>
  <c r="N602" i="6"/>
  <c r="N601" i="6"/>
  <c r="N600" i="6"/>
  <c r="N599" i="6"/>
  <c r="N598" i="6"/>
  <c r="N597" i="6"/>
  <c r="N596" i="6"/>
  <c r="N595" i="6"/>
  <c r="N594" i="6"/>
  <c r="N593" i="6"/>
  <c r="N592" i="6"/>
  <c r="N591" i="6"/>
  <c r="N590" i="6"/>
  <c r="N589" i="6"/>
  <c r="N588" i="6"/>
  <c r="N587" i="6"/>
  <c r="N586" i="6"/>
  <c r="N585" i="6"/>
  <c r="N584" i="6"/>
  <c r="N583" i="6"/>
  <c r="N582" i="6"/>
  <c r="N581" i="6"/>
  <c r="N580" i="6"/>
  <c r="N579" i="6"/>
  <c r="N578" i="6"/>
  <c r="N577" i="6"/>
  <c r="N576" i="6"/>
  <c r="N575" i="6"/>
  <c r="N574" i="6"/>
  <c r="N573" i="6"/>
  <c r="N572" i="6"/>
  <c r="N571" i="6"/>
  <c r="N570" i="6"/>
  <c r="N569" i="6"/>
  <c r="N568" i="6"/>
  <c r="N567" i="6"/>
  <c r="N566" i="6"/>
  <c r="N565" i="6"/>
  <c r="N564" i="6"/>
  <c r="N563" i="6"/>
  <c r="N562" i="6"/>
  <c r="N561" i="6"/>
  <c r="N560" i="6"/>
  <c r="N559" i="6"/>
  <c r="N558" i="6"/>
  <c r="N557" i="6"/>
  <c r="N556" i="6"/>
  <c r="N555" i="6"/>
  <c r="N554" i="6"/>
  <c r="N553" i="6"/>
  <c r="N552" i="6"/>
  <c r="N551" i="6"/>
  <c r="N550" i="6"/>
  <c r="N549" i="6"/>
  <c r="N548" i="6"/>
  <c r="N547" i="6"/>
  <c r="N546" i="6"/>
  <c r="N545" i="6"/>
  <c r="N544" i="6"/>
  <c r="N543" i="6"/>
  <c r="N542" i="6"/>
  <c r="N541" i="6"/>
  <c r="N540" i="6"/>
  <c r="N539" i="6"/>
  <c r="N538" i="6"/>
  <c r="N537" i="6"/>
  <c r="N536" i="6"/>
  <c r="N535" i="6"/>
  <c r="N534" i="6"/>
  <c r="N533" i="6"/>
  <c r="N532" i="6"/>
  <c r="N531" i="6"/>
  <c r="N530" i="6"/>
  <c r="N529" i="6"/>
  <c r="N528" i="6"/>
  <c r="N527" i="6"/>
  <c r="N526" i="6"/>
  <c r="N525" i="6"/>
  <c r="N524" i="6"/>
  <c r="N523" i="6"/>
  <c r="N522" i="6"/>
  <c r="N521" i="6"/>
  <c r="N520" i="6"/>
  <c r="N519" i="6"/>
  <c r="N518" i="6"/>
  <c r="N517" i="6"/>
  <c r="N516" i="6"/>
  <c r="N515" i="6"/>
  <c r="N514" i="6"/>
  <c r="N513" i="6"/>
  <c r="N512" i="6"/>
  <c r="N511" i="6"/>
  <c r="N510" i="6"/>
  <c r="N509" i="6"/>
  <c r="N508" i="6"/>
  <c r="N507" i="6"/>
  <c r="N506" i="6"/>
  <c r="N505" i="6"/>
  <c r="N504" i="6"/>
  <c r="N503" i="6"/>
  <c r="N502" i="6"/>
  <c r="N501" i="6"/>
  <c r="N500" i="6"/>
  <c r="N499" i="6"/>
  <c r="N498" i="6"/>
  <c r="N497" i="6"/>
  <c r="N496" i="6"/>
  <c r="N495" i="6"/>
  <c r="N494" i="6"/>
  <c r="N493" i="6"/>
  <c r="N492" i="6"/>
  <c r="N491" i="6"/>
  <c r="N490" i="6"/>
  <c r="N489" i="6"/>
  <c r="N488" i="6"/>
  <c r="N487" i="6"/>
  <c r="N486" i="6"/>
  <c r="N485" i="6"/>
  <c r="N484" i="6"/>
  <c r="N483" i="6"/>
  <c r="N482" i="6"/>
  <c r="N481" i="6"/>
  <c r="N480" i="6"/>
  <c r="N479" i="6"/>
  <c r="N478" i="6"/>
  <c r="N477" i="6"/>
  <c r="N476" i="6"/>
  <c r="N475" i="6"/>
  <c r="N474" i="6"/>
  <c r="N473" i="6"/>
  <c r="N472" i="6"/>
  <c r="N471" i="6"/>
  <c r="N470" i="6"/>
  <c r="N469" i="6"/>
  <c r="N468" i="6"/>
  <c r="N467" i="6"/>
  <c r="N466" i="6"/>
  <c r="N465" i="6"/>
  <c r="N464" i="6"/>
  <c r="N463" i="6"/>
  <c r="N462" i="6"/>
  <c r="N461" i="6"/>
  <c r="N460" i="6"/>
  <c r="N459" i="6"/>
  <c r="N458" i="6"/>
  <c r="N457" i="6"/>
  <c r="N456" i="6"/>
  <c r="N455" i="6"/>
  <c r="N454" i="6"/>
  <c r="N453" i="6"/>
  <c r="N452" i="6"/>
  <c r="N451" i="6"/>
  <c r="N450" i="6"/>
  <c r="N449" i="6"/>
  <c r="N448" i="6"/>
  <c r="N447" i="6"/>
  <c r="N446" i="6"/>
  <c r="N445" i="6"/>
  <c r="N444" i="6"/>
  <c r="N443" i="6"/>
  <c r="N442" i="6"/>
  <c r="N441" i="6"/>
  <c r="N440" i="6"/>
  <c r="N439" i="6"/>
  <c r="N438" i="6"/>
  <c r="N437" i="6"/>
  <c r="N436" i="6"/>
  <c r="N435" i="6"/>
  <c r="N434" i="6"/>
  <c r="N433" i="6"/>
  <c r="N432" i="6"/>
  <c r="N431" i="6"/>
  <c r="N430" i="6"/>
  <c r="N429" i="6"/>
  <c r="N428" i="6"/>
  <c r="N427" i="6"/>
  <c r="N426" i="6"/>
  <c r="N425" i="6"/>
  <c r="N424" i="6"/>
  <c r="N423" i="6"/>
  <c r="N422" i="6"/>
  <c r="N421" i="6"/>
  <c r="N420" i="6"/>
  <c r="N419" i="6"/>
  <c r="N418" i="6"/>
  <c r="N417" i="6"/>
  <c r="N416" i="6"/>
  <c r="N415" i="6"/>
  <c r="N414" i="6"/>
  <c r="N413" i="6"/>
  <c r="N412" i="6"/>
  <c r="N411" i="6"/>
  <c r="N410" i="6"/>
  <c r="N409" i="6"/>
  <c r="N408" i="6"/>
  <c r="N407" i="6"/>
  <c r="N406" i="6"/>
  <c r="N405" i="6"/>
  <c r="N404" i="6"/>
  <c r="N403" i="6"/>
  <c r="N402" i="6"/>
  <c r="N401" i="6"/>
  <c r="N400" i="6"/>
  <c r="N399" i="6"/>
  <c r="N398" i="6"/>
  <c r="N397" i="6"/>
  <c r="N396" i="6"/>
  <c r="N395" i="6"/>
  <c r="N394" i="6"/>
  <c r="N393" i="6"/>
  <c r="N392" i="6"/>
  <c r="N391" i="6"/>
  <c r="N390" i="6"/>
  <c r="N389" i="6"/>
  <c r="N388" i="6"/>
  <c r="N387" i="6"/>
  <c r="N386" i="6"/>
  <c r="N385" i="6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71" i="6"/>
  <c r="N370" i="6"/>
  <c r="N369" i="6"/>
  <c r="N368" i="6"/>
  <c r="N367" i="6"/>
  <c r="N366" i="6"/>
  <c r="N365" i="6"/>
  <c r="N364" i="6"/>
  <c r="N363" i="6"/>
  <c r="N362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73" i="6"/>
  <c r="N272" i="6"/>
  <c r="N271" i="6"/>
  <c r="N270" i="6"/>
  <c r="N269" i="6"/>
  <c r="N268" i="6"/>
  <c r="N267" i="6"/>
  <c r="N266" i="6"/>
  <c r="N265" i="6"/>
  <c r="N264" i="6"/>
  <c r="N263" i="6"/>
  <c r="N262" i="6"/>
  <c r="N261" i="6"/>
  <c r="N260" i="6"/>
  <c r="N259" i="6"/>
  <c r="N258" i="6"/>
  <c r="N257" i="6"/>
  <c r="N256" i="6"/>
  <c r="N255" i="6"/>
  <c r="N254" i="6"/>
  <c r="N253" i="6"/>
  <c r="N252" i="6"/>
  <c r="N251" i="6"/>
  <c r="N250" i="6"/>
  <c r="N249" i="6"/>
  <c r="N248" i="6"/>
  <c r="N247" i="6"/>
  <c r="N246" i="6"/>
  <c r="N245" i="6"/>
  <c r="N244" i="6"/>
  <c r="N243" i="6"/>
  <c r="N242" i="6"/>
  <c r="N241" i="6"/>
  <c r="N240" i="6"/>
  <c r="N239" i="6"/>
  <c r="N238" i="6"/>
  <c r="N237" i="6"/>
  <c r="N236" i="6"/>
  <c r="N235" i="6"/>
  <c r="N234" i="6"/>
  <c r="N233" i="6"/>
  <c r="N232" i="6"/>
  <c r="N231" i="6"/>
  <c r="N230" i="6"/>
  <c r="N229" i="6"/>
  <c r="N228" i="6"/>
  <c r="N227" i="6"/>
  <c r="N226" i="6"/>
  <c r="N225" i="6"/>
  <c r="N224" i="6"/>
  <c r="N223" i="6"/>
  <c r="N222" i="6"/>
  <c r="N221" i="6"/>
  <c r="N220" i="6"/>
  <c r="N219" i="6"/>
  <c r="N218" i="6"/>
  <c r="N217" i="6"/>
  <c r="N216" i="6"/>
  <c r="N215" i="6"/>
  <c r="N214" i="6"/>
  <c r="N213" i="6"/>
  <c r="N212" i="6"/>
  <c r="N211" i="6"/>
  <c r="N210" i="6"/>
  <c r="N209" i="6"/>
  <c r="N208" i="6"/>
  <c r="N207" i="6"/>
  <c r="N206" i="6"/>
  <c r="N205" i="6"/>
  <c r="N204" i="6"/>
  <c r="N203" i="6"/>
  <c r="N202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7" i="6"/>
  <c r="N156" i="6"/>
  <c r="N155" i="6"/>
  <c r="N154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K844" i="6"/>
  <c r="K843" i="6"/>
  <c r="K842" i="6"/>
  <c r="K841" i="6"/>
  <c r="K840" i="6"/>
  <c r="K839" i="6"/>
  <c r="K838" i="6"/>
  <c r="K837" i="6"/>
  <c r="K836" i="6"/>
  <c r="K835" i="6"/>
  <c r="K834" i="6"/>
  <c r="K833" i="6"/>
  <c r="K832" i="6"/>
  <c r="K831" i="6"/>
  <c r="K830" i="6"/>
  <c r="K829" i="6"/>
  <c r="K828" i="6"/>
  <c r="K827" i="6"/>
  <c r="K826" i="6"/>
  <c r="K825" i="6"/>
  <c r="K824" i="6"/>
  <c r="K823" i="6"/>
  <c r="K822" i="6"/>
  <c r="K821" i="6"/>
  <c r="K820" i="6"/>
  <c r="K819" i="6"/>
  <c r="K818" i="6"/>
  <c r="K817" i="6"/>
  <c r="K816" i="6"/>
  <c r="K815" i="6"/>
  <c r="K814" i="6"/>
  <c r="K813" i="6"/>
  <c r="K812" i="6"/>
  <c r="K811" i="6"/>
  <c r="K810" i="6"/>
  <c r="K809" i="6"/>
  <c r="K808" i="6"/>
  <c r="K807" i="6"/>
  <c r="K806" i="6"/>
  <c r="K805" i="6"/>
  <c r="K804" i="6"/>
  <c r="K803" i="6"/>
  <c r="K802" i="6"/>
  <c r="K801" i="6"/>
  <c r="K800" i="6"/>
  <c r="K799" i="6"/>
  <c r="K798" i="6"/>
  <c r="K797" i="6"/>
  <c r="K796" i="6"/>
  <c r="K795" i="6"/>
  <c r="K794" i="6"/>
  <c r="K793" i="6"/>
  <c r="K792" i="6"/>
  <c r="K791" i="6"/>
  <c r="K790" i="6"/>
  <c r="K789" i="6"/>
  <c r="K788" i="6"/>
  <c r="K787" i="6"/>
  <c r="K786" i="6"/>
  <c r="K785" i="6"/>
  <c r="K784" i="6"/>
  <c r="K783" i="6"/>
  <c r="K782" i="6"/>
  <c r="K781" i="6"/>
  <c r="K780" i="6"/>
  <c r="K779" i="6"/>
  <c r="K778" i="6"/>
  <c r="K777" i="6"/>
  <c r="K776" i="6"/>
  <c r="K775" i="6"/>
  <c r="K774" i="6"/>
  <c r="K773" i="6"/>
  <c r="K772" i="6"/>
  <c r="K771" i="6"/>
  <c r="K770" i="6"/>
  <c r="K769" i="6"/>
  <c r="K768" i="6"/>
  <c r="K767" i="6"/>
  <c r="K766" i="6"/>
  <c r="K765" i="6"/>
  <c r="K764" i="6"/>
  <c r="K763" i="6"/>
  <c r="K762" i="6"/>
  <c r="K761" i="6"/>
  <c r="K760" i="6"/>
  <c r="K759" i="6"/>
  <c r="K758" i="6"/>
  <c r="K757" i="6"/>
  <c r="K756" i="6"/>
  <c r="K755" i="6"/>
  <c r="K754" i="6"/>
  <c r="K753" i="6"/>
  <c r="K752" i="6"/>
  <c r="K751" i="6"/>
  <c r="K750" i="6"/>
  <c r="K749" i="6"/>
  <c r="K748" i="6"/>
  <c r="K747" i="6"/>
  <c r="K746" i="6"/>
  <c r="K745" i="6"/>
  <c r="K744" i="6"/>
  <c r="K743" i="6"/>
  <c r="K742" i="6"/>
  <c r="K741" i="6"/>
  <c r="K740" i="6"/>
  <c r="K739" i="6"/>
  <c r="K738" i="6"/>
  <c r="K737" i="6"/>
  <c r="K736" i="6"/>
  <c r="K735" i="6"/>
  <c r="K734" i="6"/>
  <c r="K733" i="6"/>
  <c r="K732" i="6"/>
  <c r="K731" i="6"/>
  <c r="K730" i="6"/>
  <c r="K729" i="6"/>
  <c r="K728" i="6"/>
  <c r="K727" i="6"/>
  <c r="K726" i="6"/>
  <c r="K725" i="6"/>
  <c r="K724" i="6"/>
  <c r="K723" i="6"/>
  <c r="K722" i="6"/>
  <c r="K721" i="6"/>
  <c r="K720" i="6"/>
  <c r="K719" i="6"/>
  <c r="K718" i="6"/>
  <c r="K717" i="6"/>
  <c r="K716" i="6"/>
  <c r="K715" i="6"/>
  <c r="K714" i="6"/>
  <c r="K713" i="6"/>
  <c r="K712" i="6"/>
  <c r="K711" i="6"/>
  <c r="K710" i="6"/>
  <c r="K709" i="6"/>
  <c r="K708" i="6"/>
  <c r="K707" i="6"/>
  <c r="K706" i="6"/>
  <c r="K705" i="6"/>
  <c r="K704" i="6"/>
  <c r="K703" i="6"/>
  <c r="K702" i="6"/>
  <c r="K701" i="6"/>
  <c r="K700" i="6"/>
  <c r="K699" i="6"/>
  <c r="K698" i="6"/>
  <c r="K697" i="6"/>
  <c r="K696" i="6"/>
  <c r="K695" i="6"/>
  <c r="K694" i="6"/>
  <c r="K693" i="6"/>
  <c r="K692" i="6"/>
  <c r="K691" i="6"/>
  <c r="K690" i="6"/>
  <c r="K689" i="6"/>
  <c r="K688" i="6"/>
  <c r="K687" i="6"/>
  <c r="K686" i="6"/>
  <c r="K685" i="6"/>
  <c r="K684" i="6"/>
  <c r="K683" i="6"/>
  <c r="K682" i="6"/>
  <c r="K681" i="6"/>
  <c r="K680" i="6"/>
  <c r="K679" i="6"/>
  <c r="K678" i="6"/>
  <c r="K677" i="6"/>
  <c r="K676" i="6"/>
  <c r="K675" i="6"/>
  <c r="K674" i="6"/>
  <c r="K673" i="6"/>
  <c r="K672" i="6"/>
  <c r="K671" i="6"/>
  <c r="K670" i="6"/>
  <c r="K669" i="6"/>
  <c r="K668" i="6"/>
  <c r="K667" i="6"/>
  <c r="K666" i="6"/>
  <c r="K665" i="6"/>
  <c r="K664" i="6"/>
  <c r="K663" i="6"/>
  <c r="K662" i="6"/>
  <c r="K661" i="6"/>
  <c r="K660" i="6"/>
  <c r="K659" i="6"/>
  <c r="K658" i="6"/>
  <c r="K657" i="6"/>
  <c r="K656" i="6"/>
  <c r="K655" i="6"/>
  <c r="K654" i="6"/>
  <c r="K653" i="6"/>
  <c r="K652" i="6"/>
  <c r="K651" i="6"/>
  <c r="K650" i="6"/>
  <c r="K649" i="6"/>
  <c r="K648" i="6"/>
  <c r="K647" i="6"/>
  <c r="K646" i="6"/>
  <c r="K645" i="6"/>
  <c r="K644" i="6"/>
  <c r="K643" i="6"/>
  <c r="K642" i="6"/>
  <c r="K641" i="6"/>
  <c r="K640" i="6"/>
  <c r="K639" i="6"/>
  <c r="K638" i="6"/>
  <c r="K637" i="6"/>
  <c r="K636" i="6"/>
  <c r="K635" i="6"/>
  <c r="K634" i="6"/>
  <c r="K633" i="6"/>
  <c r="K632" i="6"/>
  <c r="K631" i="6"/>
  <c r="K630" i="6"/>
  <c r="K629" i="6"/>
  <c r="K628" i="6"/>
  <c r="K627" i="6"/>
  <c r="K626" i="6"/>
  <c r="K625" i="6"/>
  <c r="K624" i="6"/>
  <c r="K623" i="6"/>
  <c r="K622" i="6"/>
  <c r="K621" i="6"/>
  <c r="K620" i="6"/>
  <c r="K619" i="6"/>
  <c r="K618" i="6"/>
  <c r="K617" i="6"/>
  <c r="K616" i="6"/>
  <c r="K615" i="6"/>
  <c r="K614" i="6"/>
  <c r="K613" i="6"/>
  <c r="K612" i="6"/>
  <c r="K611" i="6"/>
  <c r="K610" i="6"/>
  <c r="K609" i="6"/>
  <c r="K608" i="6"/>
  <c r="K607" i="6"/>
  <c r="K606" i="6"/>
  <c r="K605" i="6"/>
  <c r="K604" i="6"/>
  <c r="K603" i="6"/>
  <c r="K602" i="6"/>
  <c r="K601" i="6"/>
  <c r="K600" i="6"/>
  <c r="K599" i="6"/>
  <c r="K598" i="6"/>
  <c r="K597" i="6"/>
  <c r="K596" i="6"/>
  <c r="K595" i="6"/>
  <c r="K594" i="6"/>
  <c r="K593" i="6"/>
  <c r="K592" i="6"/>
  <c r="K591" i="6"/>
  <c r="K590" i="6"/>
  <c r="K589" i="6"/>
  <c r="K588" i="6"/>
  <c r="K587" i="6"/>
  <c r="K586" i="6"/>
  <c r="K585" i="6"/>
  <c r="K584" i="6"/>
  <c r="K583" i="6"/>
  <c r="K582" i="6"/>
  <c r="K581" i="6"/>
  <c r="K580" i="6"/>
  <c r="K579" i="6"/>
  <c r="K578" i="6"/>
  <c r="K577" i="6"/>
  <c r="K576" i="6"/>
  <c r="K575" i="6"/>
  <c r="K574" i="6"/>
  <c r="K573" i="6"/>
  <c r="K572" i="6"/>
  <c r="K571" i="6"/>
  <c r="K570" i="6"/>
  <c r="K569" i="6"/>
  <c r="K568" i="6"/>
  <c r="K567" i="6"/>
  <c r="K566" i="6"/>
  <c r="K565" i="6"/>
  <c r="K564" i="6"/>
  <c r="K563" i="6"/>
  <c r="K562" i="6"/>
  <c r="K561" i="6"/>
  <c r="K560" i="6"/>
  <c r="K559" i="6"/>
  <c r="K558" i="6"/>
  <c r="K557" i="6"/>
  <c r="K556" i="6"/>
  <c r="K555" i="6"/>
  <c r="K554" i="6"/>
  <c r="K553" i="6"/>
  <c r="K552" i="6"/>
  <c r="K551" i="6"/>
  <c r="K550" i="6"/>
  <c r="K549" i="6"/>
  <c r="K548" i="6"/>
  <c r="K547" i="6"/>
  <c r="K546" i="6"/>
  <c r="K545" i="6"/>
  <c r="K544" i="6"/>
  <c r="K543" i="6"/>
  <c r="K542" i="6"/>
  <c r="K541" i="6"/>
  <c r="K540" i="6"/>
  <c r="K539" i="6"/>
  <c r="K538" i="6"/>
  <c r="K537" i="6"/>
  <c r="K536" i="6"/>
  <c r="K535" i="6"/>
  <c r="K534" i="6"/>
  <c r="K533" i="6"/>
  <c r="K532" i="6"/>
  <c r="K531" i="6"/>
  <c r="K530" i="6"/>
  <c r="K529" i="6"/>
  <c r="K528" i="6"/>
  <c r="K527" i="6"/>
  <c r="K526" i="6"/>
  <c r="K525" i="6"/>
  <c r="K524" i="6"/>
  <c r="K523" i="6"/>
  <c r="K522" i="6"/>
  <c r="K521" i="6"/>
  <c r="K520" i="6"/>
  <c r="K519" i="6"/>
  <c r="K518" i="6"/>
  <c r="K517" i="6"/>
  <c r="K516" i="6"/>
  <c r="K515" i="6"/>
  <c r="K514" i="6"/>
  <c r="K513" i="6"/>
  <c r="K512" i="6"/>
  <c r="K511" i="6"/>
  <c r="K510" i="6"/>
  <c r="K509" i="6"/>
  <c r="K508" i="6"/>
  <c r="K507" i="6"/>
  <c r="K506" i="6"/>
  <c r="K505" i="6"/>
  <c r="K504" i="6"/>
  <c r="K503" i="6"/>
  <c r="K502" i="6"/>
  <c r="K501" i="6"/>
  <c r="K500" i="6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H844" i="6"/>
  <c r="H843" i="6"/>
  <c r="H842" i="6"/>
  <c r="H841" i="6"/>
  <c r="H840" i="6"/>
  <c r="H839" i="6"/>
  <c r="H838" i="6"/>
  <c r="H837" i="6"/>
  <c r="H836" i="6"/>
  <c r="H835" i="6"/>
  <c r="H834" i="6"/>
  <c r="H833" i="6"/>
  <c r="H832" i="6"/>
  <c r="H831" i="6"/>
  <c r="H830" i="6"/>
  <c r="H829" i="6"/>
  <c r="H828" i="6"/>
  <c r="H827" i="6"/>
  <c r="H826" i="6"/>
  <c r="H825" i="6"/>
  <c r="H824" i="6"/>
  <c r="H823" i="6"/>
  <c r="H822" i="6"/>
  <c r="H821" i="6"/>
  <c r="H820" i="6"/>
  <c r="H819" i="6"/>
  <c r="H818" i="6"/>
  <c r="H817" i="6"/>
  <c r="H816" i="6"/>
  <c r="H815" i="6"/>
  <c r="H814" i="6"/>
  <c r="H813" i="6"/>
  <c r="H812" i="6"/>
  <c r="H811" i="6"/>
  <c r="H810" i="6"/>
  <c r="H809" i="6"/>
  <c r="H808" i="6"/>
  <c r="H807" i="6"/>
  <c r="H806" i="6"/>
  <c r="H805" i="6"/>
  <c r="H804" i="6"/>
  <c r="H803" i="6"/>
  <c r="H802" i="6"/>
  <c r="H801" i="6"/>
  <c r="H800" i="6"/>
  <c r="H799" i="6"/>
  <c r="H798" i="6"/>
  <c r="H797" i="6"/>
  <c r="H796" i="6"/>
  <c r="H795" i="6"/>
  <c r="H794" i="6"/>
  <c r="H793" i="6"/>
  <c r="H792" i="6"/>
  <c r="H791" i="6"/>
  <c r="H790" i="6"/>
  <c r="H789" i="6"/>
  <c r="H788" i="6"/>
  <c r="H787" i="6"/>
  <c r="H786" i="6"/>
  <c r="H785" i="6"/>
  <c r="H784" i="6"/>
  <c r="H783" i="6"/>
  <c r="H782" i="6"/>
  <c r="H781" i="6"/>
  <c r="H780" i="6"/>
  <c r="H779" i="6"/>
  <c r="H778" i="6"/>
  <c r="H777" i="6"/>
  <c r="H776" i="6"/>
  <c r="H775" i="6"/>
  <c r="H774" i="6"/>
  <c r="H773" i="6"/>
  <c r="H772" i="6"/>
  <c r="H771" i="6"/>
  <c r="H770" i="6"/>
  <c r="H769" i="6"/>
  <c r="H768" i="6"/>
  <c r="H767" i="6"/>
  <c r="H766" i="6"/>
  <c r="H765" i="6"/>
  <c r="H764" i="6"/>
  <c r="H763" i="6"/>
  <c r="H762" i="6"/>
  <c r="H761" i="6"/>
  <c r="H760" i="6"/>
  <c r="H759" i="6"/>
  <c r="H758" i="6"/>
  <c r="H757" i="6"/>
  <c r="H756" i="6"/>
  <c r="H755" i="6"/>
  <c r="H754" i="6"/>
  <c r="H753" i="6"/>
  <c r="H752" i="6"/>
  <c r="H751" i="6"/>
  <c r="H750" i="6"/>
  <c r="H749" i="6"/>
  <c r="H748" i="6"/>
  <c r="H747" i="6"/>
  <c r="H746" i="6"/>
  <c r="H745" i="6"/>
  <c r="H744" i="6"/>
  <c r="H743" i="6"/>
  <c r="H742" i="6"/>
  <c r="H741" i="6"/>
  <c r="H740" i="6"/>
  <c r="H739" i="6"/>
  <c r="H738" i="6"/>
  <c r="H737" i="6"/>
  <c r="H736" i="6"/>
  <c r="H735" i="6"/>
  <c r="H734" i="6"/>
  <c r="H733" i="6"/>
  <c r="H732" i="6"/>
  <c r="H731" i="6"/>
  <c r="H730" i="6"/>
  <c r="H729" i="6"/>
  <c r="H728" i="6"/>
  <c r="H727" i="6"/>
  <c r="H726" i="6"/>
  <c r="H725" i="6"/>
  <c r="H724" i="6"/>
  <c r="H723" i="6"/>
  <c r="H722" i="6"/>
  <c r="H721" i="6"/>
  <c r="H720" i="6"/>
  <c r="H719" i="6"/>
  <c r="H718" i="6"/>
  <c r="H717" i="6"/>
  <c r="H716" i="6"/>
  <c r="H715" i="6"/>
  <c r="H714" i="6"/>
  <c r="H713" i="6"/>
  <c r="H712" i="6"/>
  <c r="H711" i="6"/>
  <c r="H710" i="6"/>
  <c r="H709" i="6"/>
  <c r="H708" i="6"/>
  <c r="H707" i="6"/>
  <c r="H706" i="6"/>
  <c r="H705" i="6"/>
  <c r="H704" i="6"/>
  <c r="H703" i="6"/>
  <c r="H702" i="6"/>
  <c r="H701" i="6"/>
  <c r="H700" i="6"/>
  <c r="H699" i="6"/>
  <c r="H698" i="6"/>
  <c r="H697" i="6"/>
  <c r="H696" i="6"/>
  <c r="H695" i="6"/>
  <c r="H694" i="6"/>
  <c r="H693" i="6"/>
  <c r="H692" i="6"/>
  <c r="H691" i="6"/>
  <c r="H690" i="6"/>
  <c r="H689" i="6"/>
  <c r="H688" i="6"/>
  <c r="H687" i="6"/>
  <c r="H686" i="6"/>
  <c r="H685" i="6"/>
  <c r="H684" i="6"/>
  <c r="H683" i="6"/>
  <c r="H682" i="6"/>
  <c r="H681" i="6"/>
  <c r="H680" i="6"/>
  <c r="H679" i="6"/>
  <c r="H678" i="6"/>
  <c r="H677" i="6"/>
  <c r="H676" i="6"/>
  <c r="H675" i="6"/>
  <c r="H674" i="6"/>
  <c r="H673" i="6"/>
  <c r="H672" i="6"/>
  <c r="H671" i="6"/>
  <c r="H670" i="6"/>
  <c r="H669" i="6"/>
  <c r="H668" i="6"/>
  <c r="H667" i="6"/>
  <c r="H666" i="6"/>
  <c r="H665" i="6"/>
  <c r="H664" i="6"/>
  <c r="H663" i="6"/>
  <c r="H662" i="6"/>
  <c r="H661" i="6"/>
  <c r="H660" i="6"/>
  <c r="H659" i="6"/>
  <c r="H658" i="6"/>
  <c r="H657" i="6"/>
  <c r="H656" i="6"/>
  <c r="H655" i="6"/>
  <c r="H654" i="6"/>
  <c r="H653" i="6"/>
  <c r="H652" i="6"/>
  <c r="H651" i="6"/>
  <c r="H650" i="6"/>
  <c r="H649" i="6"/>
  <c r="H648" i="6"/>
  <c r="H647" i="6"/>
  <c r="H646" i="6"/>
  <c r="H645" i="6"/>
  <c r="H644" i="6"/>
  <c r="H643" i="6"/>
  <c r="H642" i="6"/>
  <c r="H641" i="6"/>
  <c r="H640" i="6"/>
  <c r="H639" i="6"/>
  <c r="H638" i="6"/>
  <c r="H637" i="6"/>
  <c r="H636" i="6"/>
  <c r="H635" i="6"/>
  <c r="H634" i="6"/>
  <c r="H633" i="6"/>
  <c r="H632" i="6"/>
  <c r="H631" i="6"/>
  <c r="H630" i="6"/>
  <c r="H629" i="6"/>
  <c r="H628" i="6"/>
  <c r="H627" i="6"/>
  <c r="H626" i="6"/>
  <c r="H625" i="6"/>
  <c r="H624" i="6"/>
  <c r="H623" i="6"/>
  <c r="H622" i="6"/>
  <c r="H621" i="6"/>
  <c r="H620" i="6"/>
  <c r="H619" i="6"/>
  <c r="H618" i="6"/>
  <c r="H617" i="6"/>
  <c r="H616" i="6"/>
  <c r="H615" i="6"/>
  <c r="H614" i="6"/>
  <c r="H613" i="6"/>
  <c r="H612" i="6"/>
  <c r="H611" i="6"/>
  <c r="H610" i="6"/>
  <c r="H609" i="6"/>
  <c r="H608" i="6"/>
  <c r="H607" i="6"/>
  <c r="H606" i="6"/>
  <c r="H605" i="6"/>
  <c r="H604" i="6"/>
  <c r="H603" i="6"/>
  <c r="H602" i="6"/>
  <c r="H601" i="6"/>
  <c r="H600" i="6"/>
  <c r="H599" i="6"/>
  <c r="H598" i="6"/>
  <c r="H597" i="6"/>
  <c r="H596" i="6"/>
  <c r="H595" i="6"/>
  <c r="H594" i="6"/>
  <c r="H593" i="6"/>
  <c r="H592" i="6"/>
  <c r="H591" i="6"/>
  <c r="H590" i="6"/>
  <c r="H589" i="6"/>
  <c r="H588" i="6"/>
  <c r="H587" i="6"/>
  <c r="H586" i="6"/>
  <c r="H585" i="6"/>
  <c r="H584" i="6"/>
  <c r="H583" i="6"/>
  <c r="H582" i="6"/>
  <c r="H581" i="6"/>
  <c r="H580" i="6"/>
  <c r="H579" i="6"/>
  <c r="H578" i="6"/>
  <c r="H577" i="6"/>
  <c r="H576" i="6"/>
  <c r="H575" i="6"/>
  <c r="H574" i="6"/>
  <c r="H573" i="6"/>
  <c r="H572" i="6"/>
  <c r="H571" i="6"/>
  <c r="H570" i="6"/>
  <c r="H569" i="6"/>
  <c r="H568" i="6"/>
  <c r="H567" i="6"/>
  <c r="H566" i="6"/>
  <c r="H565" i="6"/>
  <c r="H564" i="6"/>
  <c r="H563" i="6"/>
  <c r="H562" i="6"/>
  <c r="H561" i="6"/>
  <c r="H560" i="6"/>
  <c r="H559" i="6"/>
  <c r="H558" i="6"/>
  <c r="H557" i="6"/>
  <c r="H556" i="6"/>
  <c r="H555" i="6"/>
  <c r="H554" i="6"/>
  <c r="H553" i="6"/>
  <c r="H552" i="6"/>
  <c r="H551" i="6"/>
  <c r="H550" i="6"/>
  <c r="H549" i="6"/>
  <c r="H548" i="6"/>
  <c r="H547" i="6"/>
  <c r="H546" i="6"/>
  <c r="H545" i="6"/>
  <c r="H544" i="6"/>
  <c r="H543" i="6"/>
  <c r="H542" i="6"/>
  <c r="H541" i="6"/>
  <c r="H540" i="6"/>
  <c r="H539" i="6"/>
  <c r="H538" i="6"/>
  <c r="H537" i="6"/>
  <c r="H536" i="6"/>
  <c r="H535" i="6"/>
  <c r="H534" i="6"/>
  <c r="H533" i="6"/>
  <c r="H532" i="6"/>
  <c r="H531" i="6"/>
  <c r="H530" i="6"/>
  <c r="H529" i="6"/>
  <c r="H528" i="6"/>
  <c r="H527" i="6"/>
  <c r="H526" i="6"/>
  <c r="H525" i="6"/>
  <c r="H524" i="6"/>
  <c r="H523" i="6"/>
  <c r="H522" i="6"/>
  <c r="H521" i="6"/>
  <c r="H520" i="6"/>
  <c r="H519" i="6"/>
  <c r="H518" i="6"/>
  <c r="H517" i="6"/>
  <c r="H516" i="6"/>
  <c r="H515" i="6"/>
  <c r="H514" i="6"/>
  <c r="H513" i="6"/>
  <c r="H512" i="6"/>
  <c r="H511" i="6"/>
  <c r="H510" i="6"/>
  <c r="H509" i="6"/>
  <c r="H508" i="6"/>
  <c r="H507" i="6"/>
  <c r="H506" i="6"/>
  <c r="H505" i="6"/>
  <c r="H504" i="6"/>
  <c r="H503" i="6"/>
  <c r="H502" i="6"/>
  <c r="H501" i="6"/>
  <c r="H500" i="6"/>
  <c r="H499" i="6"/>
  <c r="H498" i="6"/>
  <c r="H497" i="6"/>
  <c r="H496" i="6"/>
  <c r="H495" i="6"/>
  <c r="H494" i="6"/>
  <c r="H493" i="6"/>
  <c r="H492" i="6"/>
  <c r="H491" i="6"/>
  <c r="H490" i="6"/>
  <c r="H489" i="6"/>
  <c r="H488" i="6"/>
  <c r="H487" i="6"/>
  <c r="H486" i="6"/>
  <c r="H485" i="6"/>
  <c r="H484" i="6"/>
  <c r="H483" i="6"/>
  <c r="H482" i="6"/>
  <c r="H481" i="6"/>
  <c r="H480" i="6"/>
  <c r="H479" i="6"/>
  <c r="H478" i="6"/>
  <c r="H477" i="6"/>
  <c r="H476" i="6"/>
  <c r="H475" i="6"/>
  <c r="H474" i="6"/>
  <c r="H473" i="6"/>
  <c r="H472" i="6"/>
  <c r="H471" i="6"/>
  <c r="H470" i="6"/>
  <c r="H469" i="6"/>
  <c r="H468" i="6"/>
  <c r="H467" i="6"/>
  <c r="H466" i="6"/>
  <c r="H465" i="6"/>
  <c r="H464" i="6"/>
  <c r="H463" i="6"/>
  <c r="H462" i="6"/>
  <c r="H461" i="6"/>
  <c r="H460" i="6"/>
  <c r="H459" i="6"/>
  <c r="H458" i="6"/>
  <c r="H457" i="6"/>
  <c r="H456" i="6"/>
  <c r="H455" i="6"/>
  <c r="H454" i="6"/>
  <c r="H453" i="6"/>
  <c r="H452" i="6"/>
  <c r="H451" i="6"/>
  <c r="H450" i="6"/>
  <c r="H449" i="6"/>
  <c r="H448" i="6"/>
  <c r="H447" i="6"/>
  <c r="H446" i="6"/>
  <c r="H445" i="6"/>
  <c r="H444" i="6"/>
  <c r="H443" i="6"/>
  <c r="H442" i="6"/>
  <c r="H441" i="6"/>
  <c r="H440" i="6"/>
  <c r="H439" i="6"/>
  <c r="H438" i="6"/>
  <c r="H437" i="6"/>
  <c r="H436" i="6"/>
  <c r="H435" i="6"/>
  <c r="H434" i="6"/>
  <c r="H433" i="6"/>
  <c r="H432" i="6"/>
  <c r="H431" i="6"/>
  <c r="H430" i="6"/>
  <c r="H429" i="6"/>
  <c r="H428" i="6"/>
  <c r="H427" i="6"/>
  <c r="H426" i="6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1" i="6"/>
  <c r="H9" i="6"/>
  <c r="H8" i="6"/>
  <c r="H7" i="6"/>
  <c r="H6" i="6"/>
  <c r="E920" i="6" l="1"/>
  <c r="D920" i="6"/>
  <c r="C920" i="6"/>
  <c r="E919" i="6"/>
  <c r="D919" i="6"/>
  <c r="C919" i="6"/>
  <c r="E918" i="6"/>
  <c r="D918" i="6"/>
  <c r="C918" i="6"/>
  <c r="E917" i="6"/>
  <c r="D917" i="6"/>
  <c r="C917" i="6"/>
  <c r="E916" i="6"/>
  <c r="D916" i="6"/>
  <c r="C916" i="6"/>
  <c r="E915" i="6"/>
  <c r="D915" i="6"/>
  <c r="C915" i="6"/>
  <c r="E914" i="6"/>
  <c r="D914" i="6"/>
  <c r="C914" i="6"/>
  <c r="E913" i="6"/>
  <c r="D913" i="6"/>
  <c r="C913" i="6"/>
  <c r="E912" i="6"/>
  <c r="D912" i="6"/>
  <c r="C912" i="6"/>
  <c r="E911" i="6"/>
  <c r="D911" i="6"/>
  <c r="C911" i="6"/>
  <c r="E910" i="6"/>
  <c r="D910" i="6"/>
  <c r="C910" i="6"/>
  <c r="E909" i="6"/>
  <c r="D909" i="6"/>
  <c r="C909" i="6"/>
  <c r="E908" i="6"/>
  <c r="D908" i="6"/>
  <c r="C908" i="6"/>
  <c r="E907" i="6"/>
  <c r="D907" i="6"/>
  <c r="C907" i="6"/>
  <c r="E906" i="6"/>
  <c r="D906" i="6"/>
  <c r="C906" i="6"/>
  <c r="E905" i="6"/>
  <c r="D905" i="6"/>
  <c r="C905" i="6"/>
  <c r="E904" i="6"/>
  <c r="D904" i="6"/>
  <c r="C904" i="6"/>
  <c r="E903" i="6"/>
  <c r="D903" i="6"/>
  <c r="C903" i="6"/>
  <c r="E902" i="6"/>
  <c r="D902" i="6"/>
  <c r="C902" i="6"/>
  <c r="E901" i="6"/>
  <c r="D901" i="6"/>
  <c r="C901" i="6"/>
  <c r="E900" i="6"/>
  <c r="D900" i="6"/>
  <c r="C900" i="6"/>
  <c r="E899" i="6"/>
  <c r="D899" i="6"/>
  <c r="C899" i="6"/>
  <c r="E898" i="6"/>
  <c r="D898" i="6"/>
  <c r="C898" i="6"/>
  <c r="E897" i="6"/>
  <c r="D897" i="6"/>
  <c r="C897" i="6"/>
  <c r="E944" i="6"/>
  <c r="D944" i="6"/>
  <c r="C944" i="6"/>
  <c r="E943" i="6"/>
  <c r="D943" i="6"/>
  <c r="C943" i="6"/>
  <c r="E942" i="6"/>
  <c r="D942" i="6"/>
  <c r="C942" i="6"/>
  <c r="E941" i="6"/>
  <c r="D941" i="6"/>
  <c r="C941" i="6"/>
  <c r="E940" i="6"/>
  <c r="D940" i="6"/>
  <c r="C940" i="6"/>
  <c r="E939" i="6"/>
  <c r="D939" i="6"/>
  <c r="C939" i="6"/>
  <c r="E938" i="6"/>
  <c r="D938" i="6"/>
  <c r="C938" i="6"/>
  <c r="E937" i="6"/>
  <c r="D937" i="6"/>
  <c r="C937" i="6"/>
  <c r="E936" i="6"/>
  <c r="D936" i="6"/>
  <c r="C936" i="6"/>
  <c r="E935" i="6"/>
  <c r="D935" i="6"/>
  <c r="C935" i="6"/>
  <c r="E934" i="6"/>
  <c r="D934" i="6"/>
  <c r="C934" i="6"/>
  <c r="E933" i="6"/>
  <c r="D933" i="6"/>
  <c r="C933" i="6"/>
  <c r="E932" i="6"/>
  <c r="D932" i="6"/>
  <c r="C932" i="6"/>
  <c r="E931" i="6"/>
  <c r="D931" i="6"/>
  <c r="C931" i="6"/>
  <c r="E930" i="6"/>
  <c r="D930" i="6"/>
  <c r="C930" i="6"/>
  <c r="E929" i="6"/>
  <c r="D929" i="6"/>
  <c r="C929" i="6"/>
  <c r="E928" i="6"/>
  <c r="D928" i="6"/>
  <c r="C928" i="6"/>
  <c r="E927" i="6"/>
  <c r="D927" i="6"/>
  <c r="C927" i="6"/>
  <c r="E926" i="6"/>
  <c r="D926" i="6"/>
  <c r="C926" i="6"/>
  <c r="E925" i="6"/>
  <c r="D925" i="6"/>
  <c r="C925" i="6"/>
  <c r="E924" i="6"/>
  <c r="D924" i="6"/>
  <c r="C924" i="6"/>
  <c r="E923" i="6"/>
  <c r="D923" i="6"/>
  <c r="C923" i="6"/>
  <c r="E922" i="6"/>
  <c r="D922" i="6"/>
  <c r="C922" i="6"/>
  <c r="E921" i="6"/>
  <c r="D921" i="6"/>
  <c r="C921" i="6"/>
  <c r="D853" i="6"/>
  <c r="D854" i="6"/>
  <c r="D855" i="6"/>
  <c r="D856" i="6"/>
  <c r="C10" i="7" s="1"/>
  <c r="D857" i="6"/>
  <c r="C11" i="7" s="1"/>
  <c r="D858" i="6"/>
  <c r="D859" i="6"/>
  <c r="C12" i="7" s="1"/>
  <c r="D860" i="6"/>
  <c r="D861" i="6"/>
  <c r="D862" i="6"/>
  <c r="C13" i="7" s="1"/>
  <c r="D863" i="6"/>
  <c r="C14" i="7" s="1"/>
  <c r="D865" i="6"/>
  <c r="D866" i="6"/>
  <c r="C15" i="7" s="1"/>
  <c r="D867" i="6"/>
  <c r="D868" i="6"/>
  <c r="D869" i="6"/>
  <c r="D870" i="6"/>
  <c r="D872" i="6"/>
  <c r="C17" i="7" s="1"/>
  <c r="D873" i="6"/>
  <c r="C18" i="7" s="1"/>
  <c r="D874" i="6"/>
  <c r="C19" i="7" s="1"/>
  <c r="D876" i="6"/>
  <c r="C20" i="7" s="1"/>
  <c r="D877" i="6"/>
  <c r="D878" i="6"/>
  <c r="D880" i="6"/>
  <c r="D881" i="6"/>
  <c r="D882" i="6"/>
  <c r="D883" i="6"/>
  <c r="D884" i="6"/>
  <c r="C21" i="7" s="1"/>
  <c r="D885" i="6"/>
  <c r="C22" i="7" s="1"/>
  <c r="D886" i="6"/>
  <c r="D887" i="6"/>
  <c r="D888" i="6"/>
  <c r="D889" i="6"/>
  <c r="D890" i="6"/>
  <c r="D891" i="6"/>
  <c r="D892" i="6"/>
  <c r="D893" i="6"/>
  <c r="C23" i="7" s="1"/>
  <c r="D894" i="6"/>
  <c r="D895" i="6"/>
  <c r="C24" i="7" s="1"/>
  <c r="D896" i="6"/>
  <c r="C25" i="7" s="1"/>
  <c r="D945" i="6"/>
  <c r="C26" i="7" s="1"/>
  <c r="D946" i="6"/>
  <c r="C27" i="7" s="1"/>
  <c r="D947" i="6"/>
  <c r="C28" i="7" s="1"/>
  <c r="D948" i="6"/>
  <c r="C29" i="7" s="1"/>
  <c r="D949" i="6"/>
  <c r="C30" i="7" s="1"/>
  <c r="D950" i="6"/>
  <c r="C31" i="7" s="1"/>
  <c r="D951" i="6"/>
  <c r="C32" i="7" s="1"/>
  <c r="D952" i="6"/>
  <c r="C33" i="7" s="1"/>
  <c r="D953" i="6"/>
  <c r="C34" i="7" s="1"/>
  <c r="D954" i="6"/>
  <c r="C35" i="7" s="1"/>
  <c r="D955" i="6"/>
  <c r="C36" i="7" s="1"/>
  <c r="D956" i="6"/>
  <c r="C37" i="7" s="1"/>
  <c r="D957" i="6"/>
  <c r="C38" i="7" s="1"/>
  <c r="D958" i="6"/>
  <c r="C39" i="7" s="1"/>
  <c r="D959" i="6"/>
  <c r="C40" i="7" s="1"/>
  <c r="D960" i="6"/>
  <c r="C41" i="7" s="1"/>
  <c r="D961" i="6"/>
  <c r="C42" i="7" s="1"/>
  <c r="D962" i="6"/>
  <c r="C43" i="7" s="1"/>
  <c r="D963" i="6"/>
  <c r="C44" i="7" s="1"/>
  <c r="D964" i="6"/>
  <c r="C45" i="7" s="1"/>
  <c r="D965" i="6"/>
  <c r="C46" i="7" s="1"/>
  <c r="D966" i="6"/>
  <c r="C47" i="7" s="1"/>
  <c r="D967" i="6"/>
  <c r="C48" i="7" s="1"/>
  <c r="D968" i="6"/>
  <c r="C49" i="7" s="1"/>
  <c r="D969" i="6"/>
  <c r="C50" i="7" s="1"/>
  <c r="D970" i="6"/>
  <c r="C51" i="7" s="1"/>
  <c r="D852" i="6"/>
  <c r="E969" i="6"/>
  <c r="D50" i="7" s="1"/>
  <c r="E970" i="6"/>
  <c r="D51" i="7" s="1"/>
  <c r="C853" i="6"/>
  <c r="C854" i="6"/>
  <c r="C855" i="6"/>
  <c r="C856" i="6"/>
  <c r="B10" i="7" s="1"/>
  <c r="C857" i="6"/>
  <c r="B11" i="7" s="1"/>
  <c r="C858" i="6"/>
  <c r="C859" i="6"/>
  <c r="C860" i="6"/>
  <c r="C861" i="6"/>
  <c r="C862" i="6"/>
  <c r="B13" i="7" s="1"/>
  <c r="C863" i="6"/>
  <c r="C864" i="6"/>
  <c r="C865" i="6"/>
  <c r="C866" i="6"/>
  <c r="B15" i="7" s="1"/>
  <c r="C867" i="6"/>
  <c r="C868" i="6"/>
  <c r="C869" i="6"/>
  <c r="C870" i="6"/>
  <c r="C871" i="6"/>
  <c r="C872" i="6"/>
  <c r="B17" i="7" s="1"/>
  <c r="C873" i="6"/>
  <c r="B18" i="7" s="1"/>
  <c r="C874" i="6"/>
  <c r="B19" i="7" s="1"/>
  <c r="C875" i="6"/>
  <c r="C876" i="6"/>
  <c r="B20" i="7" s="1"/>
  <c r="C877" i="6"/>
  <c r="C878" i="6"/>
  <c r="C879" i="6"/>
  <c r="C880" i="6"/>
  <c r="C881" i="6"/>
  <c r="C882" i="6"/>
  <c r="C883" i="6"/>
  <c r="C884" i="6"/>
  <c r="B21" i="7" s="1"/>
  <c r="C885" i="6"/>
  <c r="B22" i="7" s="1"/>
  <c r="C886" i="6"/>
  <c r="C887" i="6"/>
  <c r="C888" i="6"/>
  <c r="C889" i="6"/>
  <c r="C890" i="6"/>
  <c r="C891" i="6"/>
  <c r="C892" i="6"/>
  <c r="C893" i="6"/>
  <c r="B23" i="7" s="1"/>
  <c r="C894" i="6"/>
  <c r="C895" i="6"/>
  <c r="B24" i="7" s="1"/>
  <c r="C896" i="6"/>
  <c r="B25" i="7" s="1"/>
  <c r="C945" i="6"/>
  <c r="B26" i="7" s="1"/>
  <c r="C946" i="6"/>
  <c r="B27" i="7" s="1"/>
  <c r="C947" i="6"/>
  <c r="B28" i="7" s="1"/>
  <c r="C948" i="6"/>
  <c r="B29" i="7" s="1"/>
  <c r="C949" i="6"/>
  <c r="B30" i="7" s="1"/>
  <c r="C950" i="6"/>
  <c r="B31" i="7" s="1"/>
  <c r="C951" i="6"/>
  <c r="B32" i="7" s="1"/>
  <c r="C952" i="6"/>
  <c r="B33" i="7" s="1"/>
  <c r="C953" i="6"/>
  <c r="B34" i="7" s="1"/>
  <c r="C954" i="6"/>
  <c r="B35" i="7" s="1"/>
  <c r="C955" i="6"/>
  <c r="B36" i="7" s="1"/>
  <c r="C956" i="6"/>
  <c r="B37" i="7" s="1"/>
  <c r="C957" i="6"/>
  <c r="B38" i="7" s="1"/>
  <c r="C958" i="6"/>
  <c r="B39" i="7" s="1"/>
  <c r="C959" i="6"/>
  <c r="B40" i="7" s="1"/>
  <c r="C960" i="6"/>
  <c r="B41" i="7" s="1"/>
  <c r="C961" i="6"/>
  <c r="B42" i="7" s="1"/>
  <c r="C962" i="6"/>
  <c r="B43" i="7" s="1"/>
  <c r="C963" i="6"/>
  <c r="B44" i="7" s="1"/>
  <c r="C964" i="6"/>
  <c r="B45" i="7" s="1"/>
  <c r="C965" i="6"/>
  <c r="B46" i="7" s="1"/>
  <c r="C966" i="6"/>
  <c r="B47" i="7" s="1"/>
  <c r="C967" i="6"/>
  <c r="B48" i="7" s="1"/>
  <c r="C968" i="6"/>
  <c r="B49" i="7" s="1"/>
  <c r="C969" i="6"/>
  <c r="B50" i="7" s="1"/>
  <c r="C970" i="6"/>
  <c r="B51" i="7" s="1"/>
  <c r="C852" i="6"/>
  <c r="E853" i="6"/>
  <c r="E854" i="6"/>
  <c r="E855" i="6"/>
  <c r="E856" i="6"/>
  <c r="D10" i="7" s="1"/>
  <c r="E857" i="6"/>
  <c r="D11" i="7" s="1"/>
  <c r="E858" i="6"/>
  <c r="E859" i="6"/>
  <c r="D12" i="7" s="1"/>
  <c r="E860" i="6"/>
  <c r="E861" i="6"/>
  <c r="E862" i="6"/>
  <c r="D13" i="7" s="1"/>
  <c r="E863" i="6"/>
  <c r="D14" i="7" s="1"/>
  <c r="E865" i="6"/>
  <c r="E866" i="6"/>
  <c r="D15" i="7" s="1"/>
  <c r="E867" i="6"/>
  <c r="E868" i="6"/>
  <c r="E869" i="6"/>
  <c r="E870" i="6"/>
  <c r="E872" i="6"/>
  <c r="D17" i="7" s="1"/>
  <c r="E873" i="6"/>
  <c r="D18" i="7" s="1"/>
  <c r="E874" i="6"/>
  <c r="D19" i="7" s="1"/>
  <c r="E876" i="6"/>
  <c r="D20" i="7" s="1"/>
  <c r="E877" i="6"/>
  <c r="E878" i="6"/>
  <c r="E879" i="6"/>
  <c r="E880" i="6"/>
  <c r="E881" i="6"/>
  <c r="E882" i="6"/>
  <c r="E883" i="6"/>
  <c r="E884" i="6"/>
  <c r="D21" i="7" s="1"/>
  <c r="E885" i="6"/>
  <c r="D22" i="7" s="1"/>
  <c r="E886" i="6"/>
  <c r="E887" i="6"/>
  <c r="E888" i="6"/>
  <c r="E889" i="6"/>
  <c r="E890" i="6"/>
  <c r="E891" i="6"/>
  <c r="E892" i="6"/>
  <c r="E893" i="6"/>
  <c r="D23" i="7" s="1"/>
  <c r="E894" i="6"/>
  <c r="E895" i="6"/>
  <c r="D24" i="7" s="1"/>
  <c r="E896" i="6"/>
  <c r="D25" i="7" s="1"/>
  <c r="E945" i="6"/>
  <c r="D26" i="7" s="1"/>
  <c r="E946" i="6"/>
  <c r="D27" i="7" s="1"/>
  <c r="E947" i="6"/>
  <c r="D28" i="7" s="1"/>
  <c r="E948" i="6"/>
  <c r="D29" i="7" s="1"/>
  <c r="E949" i="6"/>
  <c r="D30" i="7" s="1"/>
  <c r="E950" i="6"/>
  <c r="D31" i="7" s="1"/>
  <c r="E951" i="6"/>
  <c r="D32" i="7" s="1"/>
  <c r="E952" i="6"/>
  <c r="D33" i="7" s="1"/>
  <c r="E953" i="6"/>
  <c r="D34" i="7" s="1"/>
  <c r="E954" i="6"/>
  <c r="D35" i="7" s="1"/>
  <c r="E955" i="6"/>
  <c r="D36" i="7" s="1"/>
  <c r="E956" i="6"/>
  <c r="D37" i="7" s="1"/>
  <c r="E957" i="6"/>
  <c r="D38" i="7" s="1"/>
  <c r="E958" i="6"/>
  <c r="D39" i="7" s="1"/>
  <c r="E959" i="6"/>
  <c r="D40" i="7" s="1"/>
  <c r="E960" i="6"/>
  <c r="D41" i="7" s="1"/>
  <c r="E961" i="6"/>
  <c r="D42" i="7" s="1"/>
  <c r="E962" i="6"/>
  <c r="D43" i="7" s="1"/>
  <c r="E963" i="6"/>
  <c r="D44" i="7" s="1"/>
  <c r="E964" i="6"/>
  <c r="D45" i="7" s="1"/>
  <c r="E965" i="6"/>
  <c r="D46" i="7" s="1"/>
  <c r="E966" i="6"/>
  <c r="D47" i="7" s="1"/>
  <c r="E967" i="6"/>
  <c r="D48" i="7" s="1"/>
  <c r="E968" i="6"/>
  <c r="D49" i="7" s="1"/>
  <c r="E852" i="6"/>
  <c r="C845" i="6"/>
  <c r="C974" i="6" s="1"/>
  <c r="W32" i="6"/>
  <c r="V32" i="6"/>
  <c r="W31" i="6"/>
  <c r="V31" i="6"/>
  <c r="W30" i="6"/>
  <c r="V30" i="6"/>
  <c r="B16" i="7"/>
  <c r="B14" i="7"/>
  <c r="B12" i="7"/>
  <c r="C14" i="21"/>
  <c r="C53" i="21"/>
  <c r="W29" i="6"/>
  <c r="V29" i="6"/>
  <c r="W28" i="6"/>
  <c r="V28" i="6"/>
  <c r="W27" i="6"/>
  <c r="V27" i="6"/>
  <c r="W26" i="6"/>
  <c r="V26" i="6"/>
  <c r="W25" i="6"/>
  <c r="V25" i="6"/>
  <c r="W24" i="6"/>
  <c r="V24" i="6"/>
  <c r="W23" i="6"/>
  <c r="V23" i="6"/>
  <c r="W22" i="6"/>
  <c r="V22" i="6"/>
  <c r="W21" i="6"/>
  <c r="V21" i="6"/>
  <c r="W20" i="6"/>
  <c r="V20" i="6"/>
  <c r="W19" i="6"/>
  <c r="V19" i="6"/>
  <c r="W18" i="6"/>
  <c r="V18" i="6"/>
  <c r="W17" i="6"/>
  <c r="V17" i="6"/>
  <c r="W16" i="6"/>
  <c r="V16" i="6"/>
  <c r="W15" i="6"/>
  <c r="V15" i="6"/>
  <c r="W14" i="6"/>
  <c r="V14" i="6"/>
  <c r="W13" i="6"/>
  <c r="V13" i="6"/>
  <c r="W12" i="6"/>
  <c r="V12" i="6"/>
  <c r="W11" i="6"/>
  <c r="V11" i="6"/>
  <c r="W10" i="6"/>
  <c r="V10" i="6"/>
  <c r="W9" i="6"/>
  <c r="V9" i="6"/>
  <c r="W8" i="6"/>
  <c r="V8" i="6"/>
  <c r="W7" i="6"/>
  <c r="V7" i="6"/>
  <c r="E52" i="7"/>
  <c r="T5" i="6"/>
  <c r="C19" i="21"/>
  <c r="C34" i="21"/>
  <c r="C16" i="21"/>
  <c r="C11" i="21"/>
  <c r="B10" i="21"/>
  <c r="C36" i="21"/>
  <c r="C20" i="21"/>
  <c r="B32" i="21"/>
  <c r="C32" i="21"/>
  <c r="B29" i="21"/>
  <c r="C37" i="21"/>
  <c r="B9" i="21"/>
  <c r="B21" i="21" s="1"/>
  <c r="C9" i="21"/>
  <c r="C21" i="21" s="1"/>
  <c r="C29" i="21"/>
  <c r="B37" i="21"/>
  <c r="B15" i="21"/>
  <c r="B30" i="21"/>
  <c r="B20" i="21"/>
  <c r="B16" i="21"/>
  <c r="B36" i="21"/>
  <c r="B28" i="21"/>
  <c r="B14" i="21"/>
  <c r="C13" i="21"/>
  <c r="C15" i="21"/>
  <c r="B31" i="21"/>
  <c r="C27" i="21"/>
  <c r="C39" i="21" s="1"/>
  <c r="C10" i="21"/>
  <c r="B33" i="21"/>
  <c r="C17" i="21"/>
  <c r="C35" i="21"/>
  <c r="B17" i="21"/>
  <c r="C18" i="21"/>
  <c r="C12" i="21"/>
  <c r="B19" i="21"/>
  <c r="C31" i="21"/>
  <c r="B13" i="21"/>
  <c r="B34" i="21"/>
  <c r="C38" i="21"/>
  <c r="C28" i="21"/>
  <c r="B11" i="21"/>
  <c r="C30" i="21"/>
  <c r="B38" i="21"/>
  <c r="B18" i="21"/>
  <c r="B27" i="21"/>
  <c r="B39" i="21" s="1"/>
  <c r="B35" i="21"/>
  <c r="C33" i="21"/>
  <c r="B12" i="21"/>
  <c r="B53" i="21"/>
  <c r="D879" i="6" l="1"/>
  <c r="E875" i="6"/>
  <c r="B51" i="21"/>
  <c r="C51" i="21"/>
  <c r="C55" i="21" s="1"/>
  <c r="C50" i="21" s="1"/>
  <c r="C971" i="6"/>
  <c r="C5" i="6" s="1"/>
  <c r="B52" i="7"/>
  <c r="L845" i="6"/>
  <c r="O845" i="6"/>
  <c r="D875" i="6" l="1"/>
  <c r="D864" i="6"/>
  <c r="E864" i="6"/>
  <c r="C975" i="6"/>
  <c r="E871" i="6"/>
  <c r="S5" i="6"/>
  <c r="P845" i="6"/>
  <c r="D871" i="6"/>
  <c r="C16" i="7" s="1"/>
  <c r="C52" i="7" s="1"/>
  <c r="A4" i="7" s="1"/>
  <c r="D971" i="6" l="1"/>
  <c r="P5" i="6" s="1"/>
  <c r="B55" i="21"/>
  <c r="B50" i="21" s="1"/>
  <c r="D16" i="7"/>
  <c r="D52" i="7" s="1"/>
  <c r="B4" i="7" s="1"/>
  <c r="C4" i="7" s="1"/>
  <c r="E971" i="6"/>
  <c r="S4" i="6" s="1"/>
  <c r="C3" i="7" l="1"/>
  <c r="M4" i="7"/>
  <c r="D4" i="7"/>
  <c r="E4" i="7" s="1"/>
  <c r="N4" i="7" l="1"/>
</calcChain>
</file>

<file path=xl/sharedStrings.xml><?xml version="1.0" encoding="utf-8"?>
<sst xmlns="http://schemas.openxmlformats.org/spreadsheetml/2006/main" count="177" uniqueCount="120">
  <si>
    <t>Lav</t>
  </si>
  <si>
    <t>1,5% fissa</t>
  </si>
  <si>
    <t>Vendita</t>
  </si>
  <si>
    <t>delta</t>
  </si>
  <si>
    <t>Kg</t>
  </si>
  <si>
    <t>Totale provv variabile</t>
  </si>
  <si>
    <t>Fatt. n°/Vs. Orc</t>
  </si>
  <si>
    <t>Agente</t>
  </si>
  <si>
    <t>CLIENTE</t>
  </si>
  <si>
    <t>KG</t>
  </si>
  <si>
    <t>EURO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</si>
  <si>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</si>
  <si>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</si>
  <si>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</si>
  <si>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</si>
  <si>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</si>
  <si>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</si>
  <si>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</si>
  <si>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</si>
  <si>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</si>
  <si>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</si>
  <si>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</si>
  <si>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</si>
  <si>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</si>
  <si>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</si>
  <si>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</si>
  <si>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</si>
  <si>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</si>
  <si>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</si>
  <si>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</si>
  <si>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</si>
  <si>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3,0% fissa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</si>
  <si>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</si>
  <si>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</si>
  <si>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</si>
  <si>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</si>
  <si>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</si>
  <si>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</si>
  <si>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</si>
  <si>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Dedotte Spese di trasporto (CIT)</t>
  </si>
  <si>
    <t>Elca</t>
  </si>
  <si>
    <t>Col Giovanni</t>
  </si>
  <si>
    <t>Totale Fisso</t>
  </si>
  <si>
    <t>Materiale Euro di riferimento</t>
  </si>
  <si>
    <t>Materiale € di vendita</t>
  </si>
  <si>
    <t>Trasfem</t>
  </si>
  <si>
    <t>Intermagnetics</t>
  </si>
  <si>
    <t>Colombo</t>
  </si>
  <si>
    <t>Omm2</t>
  </si>
  <si>
    <t>Eservice</t>
  </si>
  <si>
    <t>Imefy</t>
  </si>
  <si>
    <t>Zucchiatti</t>
  </si>
  <si>
    <t>Ocrem</t>
  </si>
  <si>
    <t>Rema</t>
  </si>
  <si>
    <t>Italtrasfo</t>
  </si>
  <si>
    <t>Semilavorati</t>
  </si>
  <si>
    <t>Sea</t>
  </si>
  <si>
    <t>Getra</t>
  </si>
  <si>
    <t>Cobral</t>
  </si>
  <si>
    <t>GBE</t>
  </si>
  <si>
    <t>Sider</t>
  </si>
  <si>
    <t>Giovenzana</t>
  </si>
  <si>
    <t>Mitoli</t>
  </si>
  <si>
    <t>Data consegna</t>
  </si>
  <si>
    <t>Icar</t>
  </si>
  <si>
    <t>Newton</t>
  </si>
  <si>
    <t>Mime</t>
  </si>
  <si>
    <t>Espa</t>
  </si>
  <si>
    <t>Alpewa</t>
  </si>
  <si>
    <t>EBG</t>
  </si>
  <si>
    <t>OK</t>
  </si>
  <si>
    <t>Tmc</t>
  </si>
  <si>
    <t>Electromotor</t>
  </si>
  <si>
    <t>Meth</t>
  </si>
  <si>
    <t>Carbognin</t>
  </si>
  <si>
    <t>Elettromil</t>
  </si>
  <si>
    <t>Minifaber</t>
  </si>
  <si>
    <t>Pembro</t>
  </si>
  <si>
    <t>Mese</t>
  </si>
  <si>
    <t>Consegna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</si>
  <si>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</si>
  <si>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</si>
  <si>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</si>
  <si>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</si>
  <si>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</si>
  <si>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</si>
  <si>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</si>
  <si>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</si>
  <si>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</si>
  <si>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</si>
  <si>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</si>
  <si>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</si>
  <si>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Ntc</t>
  </si>
  <si>
    <t>MDG</t>
  </si>
  <si>
    <t>Meca</t>
  </si>
  <si>
    <t>Ortea</t>
  </si>
  <si>
    <t>Cavalli</t>
  </si>
  <si>
    <t>Tecnoelectric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</si>
  <si>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</si>
  <si>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</si>
  <si>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</si>
  <si>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</si>
  <si>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</si>
  <si>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</si>
  <si>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</si>
  <si>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</si>
  <si>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</si>
  <si>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</si>
  <si>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</si>
  <si>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</si>
  <si>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COMMISSIONI CALKOS - GREEN METAL ANNO 2025</t>
  </si>
  <si>
    <t>Trading</t>
  </si>
  <si>
    <t>Leam</t>
  </si>
  <si>
    <t>98/25</t>
  </si>
  <si>
    <t>25OVM000130</t>
  </si>
  <si>
    <t>26OVM00066</t>
  </si>
  <si>
    <t>26OVM00072</t>
  </si>
  <si>
    <t>FdueG</t>
  </si>
  <si>
    <t>FATTURARE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</si>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</sst>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#,##0.00_ ;\-#,##0.00\ "/>
    <numFmt numFmtId="168" formatCode="#,##0.0000"/>
  </numFmts>
  <fonts count="1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9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7" fillId="0" borderId="6" xfId="0" applyFont="1" applyBorder="1"/>
    <xf numFmtId="4" fontId="6" fillId="0" borderId="7" xfId="0" applyNumberFormat="1" applyFont="1" applyBorder="1"/>
    <xf numFmtId="0" fontId="12" fillId="0" borderId="0" xfId="0" applyFont="1"/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165" fontId="10" fillId="0" borderId="11" xfId="2" applyFont="1" applyBorder="1"/>
    <xf numFmtId="165" fontId="0" fillId="0" borderId="12" xfId="0" applyNumberFormat="1" applyBorder="1"/>
    <xf numFmtId="165" fontId="10" fillId="0" borderId="13" xfId="2" applyFont="1" applyBorder="1"/>
    <xf numFmtId="165" fontId="10" fillId="0" borderId="14" xfId="2" applyFont="1" applyBorder="1"/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165" fontId="5" fillId="0" borderId="22" xfId="2" applyFont="1" applyBorder="1"/>
    <xf numFmtId="165" fontId="5" fillId="0" borderId="23" xfId="2" applyFont="1" applyBorder="1"/>
    <xf numFmtId="165" fontId="6" fillId="0" borderId="24" xfId="0" applyNumberFormat="1" applyFont="1" applyBorder="1"/>
    <xf numFmtId="165" fontId="0" fillId="0" borderId="25" xfId="2" applyFont="1" applyBorder="1"/>
    <xf numFmtId="165" fontId="2" fillId="0" borderId="26" xfId="0" applyNumberFormat="1" applyFont="1" applyBorder="1"/>
    <xf numFmtId="165" fontId="0" fillId="0" borderId="22" xfId="2" applyFont="1" applyBorder="1"/>
    <xf numFmtId="165" fontId="0" fillId="0" borderId="23" xfId="2" applyFont="1" applyBorder="1"/>
    <xf numFmtId="165" fontId="2" fillId="0" borderId="24" xfId="0" applyNumberFormat="1" applyFont="1" applyBorder="1"/>
    <xf numFmtId="0" fontId="8" fillId="0" borderId="27" xfId="0" applyFont="1" applyBorder="1" applyAlignment="1">
      <alignment horizontal="center" vertical="center" wrapText="1"/>
    </xf>
    <xf numFmtId="0" fontId="0" fillId="0" borderId="11" xfId="0" applyBorder="1" applyProtection="1">
      <protection locked="0"/>
    </xf>
    <xf numFmtId="164" fontId="0" fillId="0" borderId="13" xfId="2" applyNumberFormat="1" applyFont="1" applyBorder="1" applyProtection="1">
      <protection locked="0"/>
    </xf>
    <xf numFmtId="0" fontId="0" fillId="0" borderId="28" xfId="0" applyBorder="1" applyProtection="1">
      <protection locked="0"/>
    </xf>
    <xf numFmtId="4" fontId="5" fillId="0" borderId="29" xfId="0" applyNumberFormat="1" applyFont="1" applyBorder="1"/>
    <xf numFmtId="0" fontId="13" fillId="0" borderId="30" xfId="0" applyFont="1" applyBorder="1" applyAlignment="1">
      <alignment horizontal="left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1" xfId="2" applyFont="1" applyBorder="1"/>
    <xf numFmtId="165" fontId="0" fillId="0" borderId="31" xfId="2" applyFont="1" applyBorder="1"/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0" fillId="0" borderId="36" xfId="0" applyBorder="1" applyProtection="1">
      <protection locked="0"/>
    </xf>
    <xf numFmtId="164" fontId="0" fillId="0" borderId="28" xfId="2" applyNumberFormat="1" applyFont="1" applyBorder="1" applyProtection="1">
      <protection locked="0"/>
    </xf>
    <xf numFmtId="0" fontId="14" fillId="0" borderId="37" xfId="0" quotePrefix="1" applyFont="1" applyBorder="1"/>
    <xf numFmtId="165" fontId="14" fillId="0" borderId="38" xfId="2" applyFont="1" applyBorder="1"/>
    <xf numFmtId="4" fontId="14" fillId="0" borderId="39" xfId="0" applyNumberFormat="1" applyFont="1" applyBorder="1"/>
    <xf numFmtId="0" fontId="14" fillId="0" borderId="40" xfId="0" quotePrefix="1" applyFont="1" applyBorder="1"/>
    <xf numFmtId="165" fontId="14" fillId="0" borderId="41" xfId="2" applyFont="1" applyBorder="1"/>
    <xf numFmtId="4" fontId="14" fillId="0" borderId="42" xfId="0" applyNumberFormat="1" applyFont="1" applyBorder="1"/>
    <xf numFmtId="0" fontId="14" fillId="0" borderId="11" xfId="0" quotePrefix="1" applyFont="1" applyBorder="1"/>
    <xf numFmtId="165" fontId="14" fillId="0" borderId="28" xfId="2" applyFont="1" applyBorder="1"/>
    <xf numFmtId="4" fontId="14" fillId="0" borderId="43" xfId="0" applyNumberFormat="1" applyFont="1" applyBorder="1"/>
    <xf numFmtId="0" fontId="15" fillId="0" borderId="0" xfId="0" applyFont="1"/>
    <xf numFmtId="0" fontId="15" fillId="0" borderId="15" xfId="0" applyFont="1" applyBorder="1" applyAlignment="1">
      <alignment horizontal="center"/>
    </xf>
    <xf numFmtId="0" fontId="15" fillId="0" borderId="44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165" fontId="15" fillId="0" borderId="7" xfId="2" applyFont="1" applyBorder="1"/>
    <xf numFmtId="4" fontId="15" fillId="0" borderId="26" xfId="0" applyNumberFormat="1" applyFont="1" applyBorder="1"/>
    <xf numFmtId="0" fontId="15" fillId="0" borderId="46" xfId="0" applyFont="1" applyBorder="1" applyAlignment="1">
      <alignment horizontal="center"/>
    </xf>
    <xf numFmtId="165" fontId="15" fillId="2" borderId="47" xfId="2" applyFont="1" applyFill="1" applyBorder="1"/>
    <xf numFmtId="4" fontId="15" fillId="2" borderId="48" xfId="0" applyNumberFormat="1" applyFont="1" applyFill="1" applyBorder="1"/>
    <xf numFmtId="164" fontId="3" fillId="0" borderId="28" xfId="2" applyNumberFormat="1" applyFont="1" applyBorder="1" applyProtection="1">
      <protection locked="0"/>
    </xf>
    <xf numFmtId="0" fontId="3" fillId="0" borderId="28" xfId="0" applyFont="1" applyBorder="1" applyProtection="1">
      <protection locked="0"/>
    </xf>
    <xf numFmtId="0" fontId="3" fillId="0" borderId="36" xfId="0" applyFont="1" applyBorder="1" applyProtection="1">
      <protection locked="0"/>
    </xf>
    <xf numFmtId="0" fontId="3" fillId="3" borderId="28" xfId="0" applyFont="1" applyFill="1" applyBorder="1" applyProtection="1">
      <protection locked="0"/>
    </xf>
    <xf numFmtId="0" fontId="0" fillId="3" borderId="28" xfId="0" applyFill="1" applyBorder="1" applyProtection="1">
      <protection locked="0"/>
    </xf>
    <xf numFmtId="0" fontId="3" fillId="0" borderId="36" xfId="0" applyFont="1" applyBorder="1"/>
    <xf numFmtId="164" fontId="3" fillId="0" borderId="28" xfId="2" applyNumberFormat="1" applyFont="1" applyBorder="1" applyProtection="1"/>
    <xf numFmtId="14" fontId="1" fillId="0" borderId="28" xfId="2" applyNumberFormat="1" applyBorder="1" applyProtection="1"/>
    <xf numFmtId="0" fontId="0" fillId="0" borderId="49" xfId="0" applyBorder="1"/>
    <xf numFmtId="0" fontId="3" fillId="0" borderId="41" xfId="0" applyFont="1" applyBorder="1"/>
    <xf numFmtId="0" fontId="3" fillId="0" borderId="28" xfId="0" applyFont="1" applyBorder="1"/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14" fontId="1" fillId="0" borderId="28" xfId="2" applyNumberFormat="1" applyBorder="1" applyProtection="1">
      <protection locked="0"/>
    </xf>
    <xf numFmtId="0" fontId="0" fillId="0" borderId="49" xfId="0" applyBorder="1" applyProtection="1">
      <protection locked="0"/>
    </xf>
    <xf numFmtId="0" fontId="3" fillId="0" borderId="41" xfId="0" applyFont="1" applyBorder="1" applyProtection="1">
      <protection locked="0"/>
    </xf>
    <xf numFmtId="0" fontId="3" fillId="0" borderId="0" xfId="0" applyFont="1" applyProtection="1">
      <protection locked="0"/>
    </xf>
    <xf numFmtId="0" fontId="0" fillId="0" borderId="41" xfId="0" applyBorder="1" applyProtection="1">
      <protection locked="0"/>
    </xf>
    <xf numFmtId="14" fontId="1" fillId="0" borderId="13" xfId="2" applyNumberFormat="1" applyBorder="1" applyProtection="1">
      <protection locked="0"/>
    </xf>
    <xf numFmtId="0" fontId="0" fillId="0" borderId="51" xfId="0" applyBorder="1" applyProtection="1">
      <protection locked="0"/>
    </xf>
    <xf numFmtId="4" fontId="2" fillId="0" borderId="53" xfId="0" applyNumberFormat="1" applyFont="1" applyBorder="1" applyProtection="1">
      <protection locked="0"/>
    </xf>
    <xf numFmtId="166" fontId="0" fillId="0" borderId="0" xfId="0" applyNumberFormat="1" applyProtection="1">
      <protection locked="0"/>
    </xf>
    <xf numFmtId="166" fontId="3" fillId="0" borderId="52" xfId="2" applyNumberFormat="1" applyFont="1" applyBorder="1" applyProtection="1">
      <protection locked="0"/>
    </xf>
    <xf numFmtId="165" fontId="2" fillId="0" borderId="53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0" fontId="2" fillId="0" borderId="0" xfId="0" applyFont="1" applyProtection="1">
      <protection locked="0"/>
    </xf>
    <xf numFmtId="4" fontId="2" fillId="0" borderId="0" xfId="0" applyNumberFormat="1" applyFont="1" applyProtection="1">
      <protection locked="0"/>
    </xf>
    <xf numFmtId="166" fontId="3" fillId="0" borderId="0" xfId="2" applyNumberFormat="1" applyFont="1" applyBorder="1" applyProtection="1">
      <protection locked="0"/>
    </xf>
    <xf numFmtId="0" fontId="6" fillId="0" borderId="54" xfId="0" applyFont="1" applyBorder="1" applyAlignment="1" applyProtection="1">
      <alignment horizontal="center" vertical="center" wrapText="1"/>
      <protection locked="0"/>
    </xf>
    <xf numFmtId="0" fontId="6" fillId="0" borderId="55" xfId="0" applyFont="1" applyBorder="1" applyAlignment="1" applyProtection="1">
      <alignment horizontal="center" vertical="center" wrapText="1"/>
      <protection locked="0"/>
    </xf>
    <xf numFmtId="0" fontId="6" fillId="0" borderId="56" xfId="0" applyFont="1" applyBorder="1" applyAlignment="1" applyProtection="1">
      <alignment horizontal="center" vertical="center" wrapText="1"/>
      <protection locked="0"/>
    </xf>
    <xf numFmtId="0" fontId="6" fillId="0" borderId="57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34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58" xfId="0" applyFont="1" applyBorder="1" applyAlignment="1" applyProtection="1">
      <alignment horizontal="center" vertical="center" wrapText="1"/>
      <protection locked="0"/>
    </xf>
    <xf numFmtId="165" fontId="5" fillId="0" borderId="59" xfId="2" applyFont="1" applyFill="1" applyBorder="1" applyAlignment="1" applyProtection="1">
      <alignment horizontal="center" vertical="center" wrapText="1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vertical="center" wrapText="1"/>
      <protection locked="0"/>
    </xf>
    <xf numFmtId="4" fontId="5" fillId="0" borderId="29" xfId="2" applyNumberFormat="1" applyFont="1" applyBorder="1" applyAlignment="1" applyProtection="1">
      <alignment wrapText="1"/>
      <protection locked="0"/>
    </xf>
    <xf numFmtId="165" fontId="5" fillId="0" borderId="60" xfId="2" applyFont="1" applyBorder="1" applyAlignment="1" applyProtection="1">
      <alignment wrapText="1"/>
      <protection locked="0"/>
    </xf>
    <xf numFmtId="167" fontId="5" fillId="0" borderId="61" xfId="2" applyNumberFormat="1" applyFont="1" applyFill="1" applyBorder="1" applyAlignment="1" applyProtection="1">
      <alignment horizontal="center" vertical="center" wrapText="1"/>
      <protection locked="0"/>
    </xf>
    <xf numFmtId="0" fontId="6" fillId="0" borderId="62" xfId="0" applyFont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wrapText="1"/>
      <protection locked="0"/>
    </xf>
    <xf numFmtId="0" fontId="13" fillId="0" borderId="62" xfId="0" applyFont="1" applyBorder="1" applyAlignment="1" applyProtection="1">
      <alignment horizontal="left" wrapText="1"/>
      <protection locked="0"/>
    </xf>
    <xf numFmtId="0" fontId="13" fillId="0" borderId="0" xfId="0" applyFont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7" fillId="0" borderId="1" xfId="0" applyFont="1" applyBorder="1" applyProtection="1">
      <protection locked="0"/>
    </xf>
    <xf numFmtId="165" fontId="0" fillId="0" borderId="62" xfId="2" applyFont="1" applyBorder="1" applyProtection="1">
      <protection locked="0"/>
    </xf>
    <xf numFmtId="165" fontId="0" fillId="0" borderId="0" xfId="2" applyFont="1" applyBorder="1" applyProtection="1">
      <protection locked="0"/>
    </xf>
    <xf numFmtId="165" fontId="0" fillId="0" borderId="63" xfId="2" applyFont="1" applyBorder="1" applyProtection="1">
      <protection locked="0"/>
    </xf>
    <xf numFmtId="0" fontId="7" fillId="0" borderId="2" xfId="0" applyFont="1" applyBorder="1" applyProtection="1">
      <protection locked="0"/>
    </xf>
    <xf numFmtId="165" fontId="0" fillId="0" borderId="64" xfId="2" applyFont="1" applyBorder="1" applyProtection="1">
      <protection locked="0"/>
    </xf>
    <xf numFmtId="165" fontId="0" fillId="0" borderId="6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7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5" fontId="6" fillId="0" borderId="26" xfId="0" applyNumberFormat="1" applyFont="1" applyBorder="1" applyProtection="1">
      <protection locked="0"/>
    </xf>
    <xf numFmtId="165" fontId="6" fillId="0" borderId="7" xfId="0" applyNumberFormat="1" applyFont="1" applyBorder="1" applyProtection="1">
      <protection locked="0"/>
    </xf>
    <xf numFmtId="0" fontId="2" fillId="4" borderId="0" xfId="0" applyFont="1" applyFill="1"/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165" fontId="0" fillId="0" borderId="41" xfId="2" applyFont="1" applyBorder="1" applyAlignment="1" applyProtection="1">
      <alignment vertical="center"/>
    </xf>
    <xf numFmtId="4" fontId="0" fillId="0" borderId="0" xfId="0" applyNumberFormat="1" applyAlignment="1">
      <alignment vertical="center"/>
    </xf>
    <xf numFmtId="0" fontId="17" fillId="5" borderId="52" xfId="0" applyFont="1" applyFill="1" applyBorder="1" applyProtection="1">
      <protection locked="0"/>
    </xf>
    <xf numFmtId="0" fontId="16" fillId="4" borderId="66" xfId="0" applyFont="1" applyFill="1" applyBorder="1" applyAlignment="1">
      <alignment horizontal="center"/>
    </xf>
    <xf numFmtId="0" fontId="15" fillId="0" borderId="54" xfId="0" applyFont="1" applyBorder="1" applyAlignment="1">
      <alignment horizontal="center"/>
    </xf>
    <xf numFmtId="0" fontId="15" fillId="0" borderId="67" xfId="0" applyFont="1" applyBorder="1" applyAlignment="1">
      <alignment horizontal="center"/>
    </xf>
    <xf numFmtId="168" fontId="0" fillId="0" borderId="28" xfId="0" applyNumberFormat="1" applyBorder="1"/>
    <xf numFmtId="168" fontId="0" fillId="3" borderId="28" xfId="0" applyNumberFormat="1" applyFill="1" applyBorder="1" applyProtection="1">
      <protection locked="0"/>
    </xf>
    <xf numFmtId="168" fontId="0" fillId="0" borderId="28" xfId="0" applyNumberFormat="1" applyBorder="1" applyProtection="1">
      <protection locked="0"/>
    </xf>
    <xf numFmtId="168" fontId="0" fillId="0" borderId="28" xfId="2" applyNumberFormat="1" applyFont="1" applyBorder="1" applyProtection="1"/>
    <xf numFmtId="168" fontId="0" fillId="0" borderId="28" xfId="2" applyNumberFormat="1" applyFont="1" applyBorder="1" applyProtection="1">
      <protection locked="0"/>
    </xf>
    <xf numFmtId="168" fontId="0" fillId="0" borderId="13" xfId="2" applyNumberFormat="1" applyFont="1" applyBorder="1" applyProtection="1">
      <protection locked="0"/>
    </xf>
    <xf numFmtId="168" fontId="3" fillId="0" borderId="28" xfId="2" applyNumberFormat="1" applyFont="1" applyBorder="1" applyProtection="1"/>
    <xf numFmtId="168" fontId="3" fillId="0" borderId="28" xfId="2" applyNumberFormat="1" applyFont="1" applyBorder="1" applyProtection="1">
      <protection locked="0"/>
    </xf>
    <xf numFmtId="168" fontId="3" fillId="0" borderId="13" xfId="2" applyNumberFormat="1" applyFont="1" applyBorder="1" applyProtection="1">
      <protection locked="0"/>
    </xf>
    <xf numFmtId="168" fontId="1" fillId="0" borderId="28" xfId="2" applyNumberFormat="1" applyFill="1" applyBorder="1" applyProtection="1"/>
    <xf numFmtId="168" fontId="1" fillId="3" borderId="28" xfId="2" applyNumberFormat="1" applyFill="1" applyBorder="1" applyProtection="1">
      <protection locked="0"/>
    </xf>
    <xf numFmtId="168" fontId="1" fillId="0" borderId="28" xfId="2" applyNumberFormat="1" applyBorder="1" applyProtection="1">
      <protection locked="0"/>
    </xf>
    <xf numFmtId="168" fontId="1" fillId="0" borderId="50" xfId="2" applyNumberFormat="1" applyBorder="1" applyProtection="1">
      <protection locked="0"/>
    </xf>
  </cellXfs>
  <cellStyles count="3">
    <cellStyle name="Euro" xfId="1"/>
    <cellStyle name="Normale" xfId="0" builtinId="0"/>
    <cellStyle name="Valuta" xfId="2" builtinId="4"/>
  </cellStyles>
  <dxfs count="12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1</xdr:col>
          <xdr:colOff>190500</xdr:colOff>
          <xdr:row>3</xdr:row>
          <xdr:rowOff>0</xdr:rowOff>
        </xdr:to>
        <xdr:sp macro="" textlink="">
          <xdr:nvSpPr>
            <xdr:cNvPr id="1660" name="CmdNuovaRiga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</xdr:row>
          <xdr:rowOff>9525</xdr:rowOff>
        </xdr:from>
        <xdr:to>
          <xdr:col>2</xdr:col>
          <xdr:colOff>542925</xdr:colOff>
          <xdr:row>2</xdr:row>
          <xdr:rowOff>133350</xdr:rowOff>
        </xdr:to>
        <xdr:sp macro="" textlink="">
          <xdr:nvSpPr>
            <xdr:cNvPr id="1661" name="cmdDuplicaRigaSelezionata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19050</xdr:rowOff>
        </xdr:from>
        <xdr:to>
          <xdr:col>4</xdr:col>
          <xdr:colOff>419100</xdr:colOff>
          <xdr:row>2</xdr:row>
          <xdr:rowOff>152400</xdr:rowOff>
        </xdr:to>
        <xdr:sp macro="" textlink="">
          <xdr:nvSpPr>
            <xdr:cNvPr id="1662" name="CmdEliminaERipristinaRiga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628650</xdr:colOff>
          <xdr:row>1</xdr:row>
          <xdr:rowOff>19050</xdr:rowOff>
        </xdr:from>
        <xdr:to>
          <xdr:col>14</xdr:col>
          <xdr:colOff>933450</xdr:colOff>
          <xdr:row>2</xdr:row>
          <xdr:rowOff>152400</xdr:rowOff>
        </xdr:to>
        <xdr:sp macro="" textlink="">
          <xdr:nvSpPr>
            <xdr:cNvPr id="1664" name="CmdSelezionaTabella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W975"/>
  <sheetViews>
    <sheetView tabSelected="1" zoomScaleNormal="100" workbookViewId="0">
      <selection activeCell="S15" sqref="S15"/>
    </sheetView>
  </sheetViews>
  <sheetFormatPr defaultRowHeight="12.75" x14ac:dyDescent="0.2"/>
  <cols>
    <col min="1" max="1" width="16.5703125" style="78" customWidth="1"/>
    <col min="2" max="2" width="17.28515625" style="78" customWidth="1"/>
    <col min="3" max="3" width="10.85546875" style="78" bestFit="1" customWidth="1"/>
    <col min="4" max="4" width="11.140625" style="78" customWidth="1"/>
    <col min="5" max="5" width="19" style="78" bestFit="1" customWidth="1"/>
    <col min="6" max="6" width="12.85546875" style="78" bestFit="1" customWidth="1"/>
    <col min="7" max="7" width="10.85546875" style="78" customWidth="1"/>
    <col min="8" max="8" width="16.42578125" style="78" bestFit="1" customWidth="1"/>
    <col min="9" max="9" width="11.85546875" style="78" bestFit="1" customWidth="1"/>
    <col min="10" max="13" width="11.85546875" style="78" customWidth="1"/>
    <col min="14" max="14" width="10.28515625" style="78" customWidth="1"/>
    <col min="15" max="15" width="14.42578125" style="78" customWidth="1"/>
    <col min="16" max="16" width="10.7109375" style="78" customWidth="1"/>
    <col min="17" max="17" width="12.5703125" style="78" customWidth="1"/>
    <col min="18" max="18" width="11.7109375" style="78" customWidth="1"/>
    <col min="19" max="19" width="12" style="78" bestFit="1" customWidth="1"/>
    <col min="20" max="21" width="9.140625" style="78"/>
    <col min="22" max="23" width="0.85546875" style="78" customWidth="1"/>
    <col min="24" max="16384" width="9.140625" style="78"/>
  </cols>
  <sheetData>
    <row r="2" spans="1:23" ht="23.25" x14ac:dyDescent="0.35">
      <c r="F2" s="79" t="s">
        <v>110</v>
      </c>
    </row>
    <row r="3" spans="1:23" customFormat="1" x14ac:dyDescent="0.2">
      <c r="S3" s="126" t="s">
        <v>118</v>
      </c>
    </row>
    <row r="4" spans="1:23" customFormat="1" ht="13.5" thickBot="1" x14ac:dyDescent="0.25">
      <c r="S4">
        <f>IF(S5=E971,,"ERRORE")</f>
        <v>0</v>
      </c>
    </row>
    <row r="5" spans="1:23" customFormat="1" ht="51.75" customHeight="1" thickBot="1" x14ac:dyDescent="0.25">
      <c r="A5" s="127" t="s">
        <v>6</v>
      </c>
      <c r="B5" s="128" t="s">
        <v>17</v>
      </c>
      <c r="C5" s="128" t="str">
        <f>IF(C845=C971,"Kg","ERRORE KG")</f>
        <v>ERRORE KG</v>
      </c>
      <c r="D5" s="128" t="s">
        <v>0</v>
      </c>
      <c r="E5" s="128" t="s">
        <v>33</v>
      </c>
      <c r="F5" s="128" t="s">
        <v>43</v>
      </c>
      <c r="G5" s="128" t="s">
        <v>44</v>
      </c>
      <c r="H5" s="128" t="s">
        <v>32</v>
      </c>
      <c r="I5" s="128" t="s">
        <v>2</v>
      </c>
      <c r="J5" s="128" t="s">
        <v>1</v>
      </c>
      <c r="K5" s="128" t="s">
        <v>31</v>
      </c>
      <c r="L5" s="128" t="s">
        <v>42</v>
      </c>
      <c r="M5" s="128" t="s">
        <v>39</v>
      </c>
      <c r="N5" s="128" t="s">
        <v>3</v>
      </c>
      <c r="O5" s="128" t="s">
        <v>5</v>
      </c>
      <c r="P5" s="128" t="str">
        <f>IF(P845=D971,"Totale fattura","ERRORE TOTALE FATTURA")</f>
        <v>ERRORE TOTALE FATTURA</v>
      </c>
      <c r="Q5" s="129" t="s">
        <v>63</v>
      </c>
      <c r="R5" s="129" t="s">
        <v>7</v>
      </c>
      <c r="S5" s="130">
        <f>SUMIF(S7:S32,"OK",P7:P844)</f>
        <v>1679.8235</v>
      </c>
      <c r="T5" s="131">
        <f>SUMIF(S7:S32,"OK",C7:C844)</f>
        <v>3277</v>
      </c>
    </row>
    <row r="6" spans="1:23" customFormat="1" x14ac:dyDescent="0.2">
      <c r="A6" s="72"/>
      <c r="B6" s="77"/>
      <c r="C6" s="136"/>
      <c r="D6" s="139"/>
      <c r="E6" s="73"/>
      <c r="F6" s="139"/>
      <c r="G6" s="139"/>
      <c r="H6" s="139">
        <f>ROUND(+D6+F6,4)</f>
        <v>0</v>
      </c>
      <c r="I6" s="139"/>
      <c r="J6" s="139"/>
      <c r="K6" s="139">
        <f>ROUND(IF(E6="alluminio",(I6)*3%,0)+IF(E6="alluminio smaltato",(I6)*3%,0),4)</f>
        <v>0</v>
      </c>
      <c r="L6" s="142">
        <f>ROUND((J6*C6)+(K6*C6),4)</f>
        <v>0</v>
      </c>
      <c r="M6" s="139"/>
      <c r="N6" s="139">
        <f>ROUND(+I6-H6,4)</f>
        <v>0</v>
      </c>
      <c r="O6" s="142">
        <f>ROUND(+(N6)*C6*50%,4)</f>
        <v>0</v>
      </c>
      <c r="P6" s="145">
        <f>ROUND(O6+L6,4)</f>
        <v>0</v>
      </c>
      <c r="Q6" s="74"/>
      <c r="R6" s="75"/>
      <c r="S6" s="76"/>
    </row>
    <row r="7" spans="1:23" x14ac:dyDescent="0.2">
      <c r="A7" s="69" t="s">
        <v>114</v>
      </c>
      <c r="B7" s="70" t="s">
        <v>50</v>
      </c>
      <c r="C7" s="137">
        <v>865</v>
      </c>
      <c r="D7" s="140">
        <v>2.71</v>
      </c>
      <c r="E7" s="67" t="s">
        <v>27</v>
      </c>
      <c r="F7" s="140">
        <v>10.48</v>
      </c>
      <c r="G7" s="140"/>
      <c r="H7" s="140">
        <f>ROUND(+D7+F7,4)</f>
        <v>13.19</v>
      </c>
      <c r="I7" s="140">
        <v>14.343</v>
      </c>
      <c r="J7" s="140">
        <v>0.03</v>
      </c>
      <c r="K7" s="140">
        <f>ROUND(IF(E7="alluminio",(I7)*3%,0)+IF(E7="alluminio smaltato",(I7)*3%,0),4)</f>
        <v>0</v>
      </c>
      <c r="L7" s="143">
        <f>ROUND((J7*C7)+(K7*C7),4)</f>
        <v>25.95</v>
      </c>
      <c r="M7" s="140"/>
      <c r="N7" s="140">
        <f>ROUND(+I7-H7,4)</f>
        <v>1.153</v>
      </c>
      <c r="O7" s="143">
        <f>ROUND(+(N7)*C7*50%,4)</f>
        <v>498.67250000000001</v>
      </c>
      <c r="P7" s="146">
        <f>ROUND(O7+L7,4)</f>
        <v>524.62249999999995</v>
      </c>
      <c r="Q7" s="80"/>
      <c r="R7" s="81"/>
      <c r="S7" s="82" t="s">
        <v>70</v>
      </c>
      <c r="V7" s="78">
        <f t="shared" ref="V7:V18" si="0">IF(Q7="",0,MONTH(Q7))</f>
        <v>0</v>
      </c>
      <c r="W7" s="78">
        <f t="shared" ref="W7:W18" si="1">IF(Q7="",0,YEAR(Q7))</f>
        <v>0</v>
      </c>
    </row>
    <row r="8" spans="1:23" x14ac:dyDescent="0.2">
      <c r="A8" s="69" t="s">
        <v>114</v>
      </c>
      <c r="B8" s="70" t="s">
        <v>50</v>
      </c>
      <c r="C8" s="137">
        <v>303</v>
      </c>
      <c r="D8" s="140">
        <v>3.08</v>
      </c>
      <c r="E8" s="67" t="s">
        <v>27</v>
      </c>
      <c r="F8" s="140">
        <v>10.48</v>
      </c>
      <c r="G8" s="140"/>
      <c r="H8" s="140">
        <f>ROUND(+D8+F8,4)</f>
        <v>13.56</v>
      </c>
      <c r="I8" s="140">
        <v>14.712999999999999</v>
      </c>
      <c r="J8" s="140">
        <v>0.03</v>
      </c>
      <c r="K8" s="140">
        <f>ROUND(IF(E8="alluminio",(I8)*3%,0)+IF(E8="alluminio smaltato",(I8)*3%,0),4)</f>
        <v>0</v>
      </c>
      <c r="L8" s="143">
        <f>ROUND((J8*C8)+(K8*C8),4)</f>
        <v>9.09</v>
      </c>
      <c r="M8" s="140"/>
      <c r="N8" s="140">
        <f>ROUND(+I8-H8,4)</f>
        <v>1.153</v>
      </c>
      <c r="O8" s="143">
        <f>ROUND(+(N8)*C8*50%,4)</f>
        <v>174.67949999999999</v>
      </c>
      <c r="P8" s="146">
        <f>ROUND(O8+L8,4)</f>
        <v>183.76949999999999</v>
      </c>
      <c r="Q8" s="80"/>
      <c r="R8" s="81"/>
      <c r="S8" s="82" t="s">
        <v>70</v>
      </c>
      <c r="V8" s="78">
        <f t="shared" si="0"/>
        <v>0</v>
      </c>
      <c r="W8" s="78">
        <f t="shared" si="1"/>
        <v>0</v>
      </c>
    </row>
    <row r="9" spans="1:23" x14ac:dyDescent="0.2">
      <c r="A9" s="69" t="s">
        <v>113</v>
      </c>
      <c r="B9" s="70" t="s">
        <v>112</v>
      </c>
      <c r="C9" s="137">
        <v>234</v>
      </c>
      <c r="D9" s="140"/>
      <c r="E9" s="48" t="s">
        <v>27</v>
      </c>
      <c r="F9" s="140">
        <v>16.45</v>
      </c>
      <c r="G9" s="140"/>
      <c r="H9" s="140">
        <f>ROUND(+D9+F9,4)</f>
        <v>16.45</v>
      </c>
      <c r="I9" s="140">
        <v>17.850000000000001</v>
      </c>
      <c r="J9" s="140">
        <v>0.03</v>
      </c>
      <c r="K9" s="140">
        <f>ROUND(IF(E9="alluminio",(I9)*3%,0)+IF(E9="alluminio smaltato",(I9)*3%,0),4)</f>
        <v>0</v>
      </c>
      <c r="L9" s="143">
        <f>ROUND((J9*C9)+(K9*C9),4)</f>
        <v>7.02</v>
      </c>
      <c r="M9" s="140"/>
      <c r="N9" s="140">
        <f>ROUND(+I9-H9,4)</f>
        <v>1.4</v>
      </c>
      <c r="O9" s="143">
        <f>ROUND(+(N9)*C9*50%,4)</f>
        <v>163.80000000000001</v>
      </c>
      <c r="P9" s="146">
        <f>ROUND(O9+L9,4)</f>
        <v>170.82</v>
      </c>
      <c r="Q9" s="80"/>
      <c r="R9" s="81"/>
      <c r="S9" s="82" t="s">
        <v>70</v>
      </c>
      <c r="U9" s="83" t="s">
        <v>111</v>
      </c>
      <c r="V9" s="78">
        <f t="shared" si="0"/>
        <v>0</v>
      </c>
      <c r="W9" s="78">
        <f t="shared" si="1"/>
        <v>0</v>
      </c>
    </row>
    <row r="10" spans="1:23" x14ac:dyDescent="0.2">
      <c r="A10" s="47"/>
      <c r="B10" s="68" t="s">
        <v>49</v>
      </c>
      <c r="C10" s="138">
        <v>194.4</v>
      </c>
      <c r="D10" s="140"/>
      <c r="E10" s="48" t="s">
        <v>27</v>
      </c>
      <c r="F10" s="140"/>
      <c r="G10" s="140"/>
      <c r="H10" s="140">
        <v>7.25</v>
      </c>
      <c r="I10" s="140">
        <v>7.71</v>
      </c>
      <c r="J10" s="140">
        <v>0.03</v>
      </c>
      <c r="K10" s="140">
        <f>ROUND(IF(E10="alluminio",(I10)*3%,0)+IF(E10="alluminio smaltato",(I10)*3%,0),4)</f>
        <v>0</v>
      </c>
      <c r="L10" s="143">
        <f>ROUND((J10*C10)+(K10*C10),4)</f>
        <v>5.8319999999999999</v>
      </c>
      <c r="M10" s="140"/>
      <c r="N10" s="140">
        <f>ROUND(+I10-H10,4)</f>
        <v>0.46</v>
      </c>
      <c r="O10" s="143">
        <f>ROUND(+(N10)*C10*50%,4)</f>
        <v>44.712000000000003</v>
      </c>
      <c r="P10" s="147">
        <f>ROUND(O10+L10,4)</f>
        <v>50.543999999999997</v>
      </c>
      <c r="Q10" s="80"/>
      <c r="R10" s="81"/>
      <c r="S10" s="84"/>
      <c r="V10" s="78">
        <f t="shared" si="0"/>
        <v>0</v>
      </c>
      <c r="W10" s="78">
        <f t="shared" si="1"/>
        <v>0</v>
      </c>
    </row>
    <row r="11" spans="1:23" x14ac:dyDescent="0.2">
      <c r="A11" s="47"/>
      <c r="B11" s="68" t="s">
        <v>66</v>
      </c>
      <c r="C11" s="138">
        <v>2000</v>
      </c>
      <c r="D11" s="140"/>
      <c r="E11" s="48" t="s">
        <v>27</v>
      </c>
      <c r="F11" s="140">
        <v>13.22</v>
      </c>
      <c r="G11" s="140"/>
      <c r="H11" s="140">
        <f>ROUND(+D11+F11,4)</f>
        <v>13.22</v>
      </c>
      <c r="I11" s="140">
        <v>13.74</v>
      </c>
      <c r="J11" s="140">
        <v>0.03</v>
      </c>
      <c r="K11" s="140">
        <f>ROUND(IF(E11="alluminio",(I11)*3%,0)+IF(E11="alluminio smaltato",(I11)*3%,0),4)</f>
        <v>0</v>
      </c>
      <c r="L11" s="143">
        <f>ROUND((J11*C11)+(K11*C11),4)</f>
        <v>60</v>
      </c>
      <c r="M11" s="140"/>
      <c r="N11" s="140">
        <f>ROUND(+I11-H11,4)</f>
        <v>0.52</v>
      </c>
      <c r="O11" s="143">
        <f>ROUND(+(N11)*C11*50%,4)</f>
        <v>520</v>
      </c>
      <c r="P11" s="147">
        <f>ROUND(O11+L11,4)</f>
        <v>580</v>
      </c>
      <c r="Q11" s="80"/>
      <c r="R11" s="81"/>
      <c r="S11" s="84"/>
      <c r="U11" s="83" t="s">
        <v>111</v>
      </c>
      <c r="V11" s="78">
        <f t="shared" si="0"/>
        <v>0</v>
      </c>
      <c r="W11" s="78">
        <f t="shared" si="1"/>
        <v>0</v>
      </c>
    </row>
    <row r="12" spans="1:23" x14ac:dyDescent="0.2">
      <c r="A12" s="69" t="s">
        <v>115</v>
      </c>
      <c r="B12" s="70" t="s">
        <v>49</v>
      </c>
      <c r="C12" s="137">
        <v>789.5</v>
      </c>
      <c r="D12" s="140"/>
      <c r="E12" s="67" t="s">
        <v>27</v>
      </c>
      <c r="F12" s="140"/>
      <c r="G12" s="140"/>
      <c r="H12" s="140">
        <v>13.6</v>
      </c>
      <c r="I12" s="140">
        <v>13.8</v>
      </c>
      <c r="J12" s="140">
        <v>0.03</v>
      </c>
      <c r="K12" s="140">
        <f>ROUND(IF(E12="alluminio",(I12)*3%,0)+IF(E12="alluminio smaltato",(I12)*3%,0),4)</f>
        <v>0</v>
      </c>
      <c r="L12" s="143">
        <f>ROUND((J12*C12)+(K12*C12),4)</f>
        <v>23.684999999999999</v>
      </c>
      <c r="M12" s="140"/>
      <c r="N12" s="140">
        <f>ROUND(+I12-H12,4)</f>
        <v>0.2</v>
      </c>
      <c r="O12" s="143">
        <f>ROUND(+(N12)*C12*50%,4)</f>
        <v>78.95</v>
      </c>
      <c r="P12" s="146">
        <f>ROUND(O12+L12,4)</f>
        <v>102.63500000000001</v>
      </c>
      <c r="Q12" s="80"/>
      <c r="R12" s="81"/>
      <c r="S12" s="84" t="s">
        <v>70</v>
      </c>
      <c r="V12" s="78">
        <f t="shared" si="0"/>
        <v>0</v>
      </c>
      <c r="W12" s="78">
        <f t="shared" si="1"/>
        <v>0</v>
      </c>
    </row>
    <row r="13" spans="1:23" x14ac:dyDescent="0.2">
      <c r="A13" s="69" t="s">
        <v>116</v>
      </c>
      <c r="B13" s="71" t="s">
        <v>50</v>
      </c>
      <c r="C13" s="137">
        <v>514.5</v>
      </c>
      <c r="D13" s="140">
        <v>2.79</v>
      </c>
      <c r="E13" s="48" t="s">
        <v>27</v>
      </c>
      <c r="F13" s="140">
        <v>11.5</v>
      </c>
      <c r="G13" s="140"/>
      <c r="H13" s="140">
        <f>ROUND(+D13+F13,4)</f>
        <v>14.29</v>
      </c>
      <c r="I13" s="140">
        <v>15.516</v>
      </c>
      <c r="J13" s="140">
        <v>0.03</v>
      </c>
      <c r="K13" s="140">
        <f>ROUND(IF(E13="alluminio",(I13)*3%,0)+IF(E13="alluminio smaltato",(I13)*3%,0),4)</f>
        <v>0</v>
      </c>
      <c r="L13" s="143">
        <f>ROUND((J13*C13)+(K13*C13),4)</f>
        <v>15.435</v>
      </c>
      <c r="M13" s="140"/>
      <c r="N13" s="140">
        <f>ROUND(+I13-H13,4)</f>
        <v>1.226</v>
      </c>
      <c r="O13" s="143">
        <f>ROUND(+(N13)*C13*50%,4)</f>
        <v>315.38850000000002</v>
      </c>
      <c r="P13" s="146">
        <f>ROUND(O13+L13,4)</f>
        <v>330.82350000000002</v>
      </c>
      <c r="Q13" s="80"/>
      <c r="R13" s="81"/>
      <c r="S13" s="84" t="s">
        <v>70</v>
      </c>
      <c r="V13" s="78">
        <f t="shared" si="0"/>
        <v>0</v>
      </c>
      <c r="W13" s="78">
        <f t="shared" si="1"/>
        <v>0</v>
      </c>
    </row>
    <row r="14" spans="1:23" x14ac:dyDescent="0.2">
      <c r="A14" s="69" t="s">
        <v>116</v>
      </c>
      <c r="B14" s="71" t="s">
        <v>50</v>
      </c>
      <c r="C14" s="137">
        <v>571</v>
      </c>
      <c r="D14" s="140">
        <v>2.64</v>
      </c>
      <c r="E14" s="48" t="s">
        <v>27</v>
      </c>
      <c r="F14" s="140">
        <v>11.5</v>
      </c>
      <c r="G14" s="140"/>
      <c r="H14" s="140">
        <f>ROUND(+D14+F14,4)</f>
        <v>14.14</v>
      </c>
      <c r="I14" s="140">
        <v>15.366</v>
      </c>
      <c r="J14" s="140">
        <v>0.03</v>
      </c>
      <c r="K14" s="140">
        <f>ROUND(IF(E14="alluminio",(I14)*3%,0)+IF(E14="alluminio smaltato",(I14)*3%,0),4)</f>
        <v>0</v>
      </c>
      <c r="L14" s="143">
        <f>ROUND((J14*C14)+(K14*C14),4)</f>
        <v>17.13</v>
      </c>
      <c r="M14" s="140"/>
      <c r="N14" s="140">
        <f>ROUND(+I14-H14,4)</f>
        <v>1.226</v>
      </c>
      <c r="O14" s="143">
        <f>ROUND(+(N14)*C14*50%,4)</f>
        <v>350.02300000000002</v>
      </c>
      <c r="P14" s="146">
        <f>ROUND(O14+L14,4)</f>
        <v>367.15300000000002</v>
      </c>
      <c r="Q14" s="80"/>
      <c r="R14" s="81"/>
      <c r="S14" s="84" t="s">
        <v>70</v>
      </c>
      <c r="V14" s="78">
        <f t="shared" si="0"/>
        <v>0</v>
      </c>
      <c r="W14" s="78">
        <f t="shared" si="1"/>
        <v>0</v>
      </c>
    </row>
    <row r="15" spans="1:23" x14ac:dyDescent="0.2">
      <c r="A15" s="47"/>
      <c r="B15" s="36" t="s">
        <v>50</v>
      </c>
      <c r="C15" s="138">
        <v>300</v>
      </c>
      <c r="D15" s="140">
        <v>2.79</v>
      </c>
      <c r="E15" s="48" t="s">
        <v>27</v>
      </c>
      <c r="F15" s="140">
        <v>11.3</v>
      </c>
      <c r="G15" s="140"/>
      <c r="H15" s="140">
        <f>ROUND(+D15+F15,4)</f>
        <v>14.09</v>
      </c>
      <c r="I15" s="140">
        <v>15.214</v>
      </c>
      <c r="J15" s="140">
        <v>0.03</v>
      </c>
      <c r="K15" s="140">
        <f>ROUND(IF(E15="alluminio",(I15)*3%,0)+IF(E15="alluminio smaltato",(I15)*3%,0),4)</f>
        <v>0</v>
      </c>
      <c r="L15" s="143">
        <f>ROUND((J15*C15)+(K15*C15),4)</f>
        <v>9</v>
      </c>
      <c r="M15" s="140"/>
      <c r="N15" s="140">
        <f>ROUND(+I15-H15,4)</f>
        <v>1.1240000000000001</v>
      </c>
      <c r="O15" s="143">
        <f>ROUND(+(N15)*C15*50%,4)</f>
        <v>168.6</v>
      </c>
      <c r="P15" s="147">
        <f>ROUND(O15+L15,4)</f>
        <v>177.6</v>
      </c>
      <c r="Q15" s="80">
        <v>46160</v>
      </c>
      <c r="R15" s="81"/>
      <c r="S15" s="84"/>
      <c r="V15" s="78">
        <f t="shared" si="0"/>
        <v>5</v>
      </c>
      <c r="W15" s="78">
        <f t="shared" si="1"/>
        <v>2026</v>
      </c>
    </row>
    <row r="16" spans="1:23" x14ac:dyDescent="0.2">
      <c r="A16" s="47"/>
      <c r="B16" s="36" t="s">
        <v>117</v>
      </c>
      <c r="C16" s="138">
        <v>150</v>
      </c>
      <c r="D16" s="140">
        <v>3.2</v>
      </c>
      <c r="E16" s="48" t="s">
        <v>27</v>
      </c>
      <c r="F16" s="140">
        <v>11.27</v>
      </c>
      <c r="G16" s="140"/>
      <c r="H16" s="140">
        <f>ROUND(+D16+F16,4)</f>
        <v>14.47</v>
      </c>
      <c r="I16" s="140">
        <v>16</v>
      </c>
      <c r="J16" s="140">
        <v>0.03</v>
      </c>
      <c r="K16" s="140">
        <f>ROUND(IF(E16="alluminio",(I16)*3%,0)+IF(E16="alluminio smaltato",(I16)*3%,0),4)</f>
        <v>0</v>
      </c>
      <c r="L16" s="143">
        <f>ROUND((J16*C16)+(K16*C16),4)</f>
        <v>4.5</v>
      </c>
      <c r="M16" s="140"/>
      <c r="N16" s="140">
        <f>ROUND(+I16-H16,4)</f>
        <v>1.53</v>
      </c>
      <c r="O16" s="143">
        <f>ROUND(+(N16)*C16*50%,4)</f>
        <v>114.75</v>
      </c>
      <c r="P16" s="147">
        <f>ROUND(O16+L16,4)</f>
        <v>119.25</v>
      </c>
      <c r="Q16" s="80">
        <v>46129</v>
      </c>
      <c r="R16" s="81"/>
      <c r="S16" s="84"/>
      <c r="V16" s="78">
        <f t="shared" si="0"/>
        <v>4</v>
      </c>
      <c r="W16" s="78">
        <f t="shared" si="1"/>
        <v>2026</v>
      </c>
    </row>
    <row r="17" spans="1:23" x14ac:dyDescent="0.2">
      <c r="A17" s="47"/>
      <c r="B17" s="36" t="s">
        <v>117</v>
      </c>
      <c r="C17" s="138">
        <v>150</v>
      </c>
      <c r="D17" s="140">
        <v>4.25</v>
      </c>
      <c r="E17" s="48" t="s">
        <v>27</v>
      </c>
      <c r="F17" s="140">
        <v>11.27</v>
      </c>
      <c r="G17" s="140"/>
      <c r="H17" s="140">
        <f>ROUND(+D17+F17,4)</f>
        <v>15.52</v>
      </c>
      <c r="I17" s="140">
        <v>16.95</v>
      </c>
      <c r="J17" s="140">
        <v>0.03</v>
      </c>
      <c r="K17" s="140">
        <f>ROUND(IF(E17="alluminio",(I17)*3%,0)+IF(E17="alluminio smaltato",(I17)*3%,0),4)</f>
        <v>0</v>
      </c>
      <c r="L17" s="143">
        <f>ROUND((J17*C17)+(K17*C17),4)</f>
        <v>4.5</v>
      </c>
      <c r="M17" s="140"/>
      <c r="N17" s="140">
        <f>ROUND(+I17-H17,4)</f>
        <v>1.43</v>
      </c>
      <c r="O17" s="143">
        <f>ROUND(+(N17)*C17*50%,4)</f>
        <v>107.25</v>
      </c>
      <c r="P17" s="147">
        <f>ROUND(O17+L17,4)</f>
        <v>111.75</v>
      </c>
      <c r="Q17" s="80">
        <v>46149</v>
      </c>
      <c r="R17" s="81"/>
      <c r="S17" s="84"/>
      <c r="V17" s="78">
        <f t="shared" si="0"/>
        <v>5</v>
      </c>
      <c r="W17" s="78">
        <f t="shared" si="1"/>
        <v>2026</v>
      </c>
    </row>
    <row r="18" spans="1:23" x14ac:dyDescent="0.2">
      <c r="A18" s="47"/>
      <c r="B18" s="36" t="s">
        <v>117</v>
      </c>
      <c r="C18" s="138">
        <v>150</v>
      </c>
      <c r="D18" s="140">
        <v>2.72</v>
      </c>
      <c r="E18" s="48" t="s">
        <v>27</v>
      </c>
      <c r="F18" s="140">
        <v>11.27</v>
      </c>
      <c r="G18" s="140"/>
      <c r="H18" s="140">
        <f>ROUND(+D18+F18,4)</f>
        <v>13.99</v>
      </c>
      <c r="I18" s="140">
        <v>15.6</v>
      </c>
      <c r="J18" s="140">
        <v>0.03</v>
      </c>
      <c r="K18" s="140">
        <f>ROUND(IF(E18="alluminio",(I18)*3%,0)+IF(E18="alluminio smaltato",(I18)*3%,0),4)</f>
        <v>0</v>
      </c>
      <c r="L18" s="143">
        <f>ROUND((J18*C18)+(K18*C18),4)</f>
        <v>4.5</v>
      </c>
      <c r="M18" s="140"/>
      <c r="N18" s="140">
        <f>ROUND(+I18-H18,4)</f>
        <v>1.61</v>
      </c>
      <c r="O18" s="143">
        <f>ROUND(+(N18)*C18*50%,4)</f>
        <v>120.75</v>
      </c>
      <c r="P18" s="147">
        <f>ROUND(O18+L18,4)</f>
        <v>125.25</v>
      </c>
      <c r="Q18" s="80">
        <v>46177</v>
      </c>
      <c r="R18" s="81"/>
      <c r="S18" s="84"/>
      <c r="V18" s="78">
        <f t="shared" si="0"/>
        <v>6</v>
      </c>
      <c r="W18" s="78">
        <f t="shared" si="1"/>
        <v>2026</v>
      </c>
    </row>
    <row r="19" spans="1:23" x14ac:dyDescent="0.2">
      <c r="A19" s="47"/>
      <c r="B19" s="36" t="s">
        <v>49</v>
      </c>
      <c r="C19" s="138">
        <v>465</v>
      </c>
      <c r="D19" s="140"/>
      <c r="E19" s="48" t="s">
        <v>27</v>
      </c>
      <c r="F19" s="140">
        <v>14.12</v>
      </c>
      <c r="G19" s="140"/>
      <c r="H19" s="140">
        <f>ROUND(+D19+F19,4)</f>
        <v>14.12</v>
      </c>
      <c r="I19" s="140">
        <v>14.31</v>
      </c>
      <c r="J19" s="140">
        <v>0.03</v>
      </c>
      <c r="K19" s="140">
        <f>ROUND(IF(E19="alluminio",(I19)*3%,0)+IF(E19="alluminio smaltato",(I19)*3%,0),4)</f>
        <v>0</v>
      </c>
      <c r="L19" s="143">
        <f>ROUND((J19*C19)+(K19*C19),4)</f>
        <v>13.95</v>
      </c>
      <c r="M19" s="140"/>
      <c r="N19" s="140">
        <f>ROUND(+I19-H19,4)</f>
        <v>0.19</v>
      </c>
      <c r="O19" s="143">
        <f>ROUND(+(N19)*C19*50%,4)</f>
        <v>44.174999999999997</v>
      </c>
      <c r="P19" s="147">
        <f>ROUND(O19+L19,4)</f>
        <v>58.125</v>
      </c>
      <c r="Q19" s="80">
        <v>46146</v>
      </c>
      <c r="R19" s="81"/>
      <c r="S19" s="84"/>
      <c r="V19" s="78">
        <f t="shared" ref="V19:V31" si="2">IF(Q171="",0,MONTH(Q171))</f>
        <v>0</v>
      </c>
      <c r="W19" s="78">
        <f t="shared" ref="W19:W31" si="3">IF(Q171="",0,YEAR(Q171))</f>
        <v>0</v>
      </c>
    </row>
    <row r="20" spans="1:23" x14ac:dyDescent="0.2">
      <c r="A20" s="47"/>
      <c r="B20" s="36"/>
      <c r="C20" s="138"/>
      <c r="D20" s="140"/>
      <c r="E20" s="48"/>
      <c r="F20" s="140"/>
      <c r="G20" s="140"/>
      <c r="H20" s="140">
        <f>ROUND(+D20+F20,4)</f>
        <v>0</v>
      </c>
      <c r="I20" s="140">
        <v>0</v>
      </c>
      <c r="J20" s="140">
        <v>0.03</v>
      </c>
      <c r="K20" s="140">
        <f>ROUND(IF(E20="alluminio",(I20)*3%,0)+IF(E20="alluminio smaltato",(I20)*3%,0),4)</f>
        <v>0</v>
      </c>
      <c r="L20" s="143">
        <f>ROUND((J20*C20)+(K20*C20),4)</f>
        <v>0</v>
      </c>
      <c r="M20" s="140"/>
      <c r="N20" s="140">
        <f>ROUND(+I20-H20,4)</f>
        <v>0</v>
      </c>
      <c r="O20" s="143">
        <f>ROUND(+(N20)*C20*50%,4)</f>
        <v>0</v>
      </c>
      <c r="P20" s="147">
        <f>ROUND(O20+L20,4)</f>
        <v>0</v>
      </c>
      <c r="Q20" s="80"/>
      <c r="R20" s="81"/>
      <c r="S20" s="84"/>
      <c r="V20" s="78">
        <f t="shared" si="2"/>
        <v>0</v>
      </c>
      <c r="W20" s="78">
        <f t="shared" si="3"/>
        <v>0</v>
      </c>
    </row>
    <row r="21" spans="1:23" x14ac:dyDescent="0.2">
      <c r="A21" s="47"/>
      <c r="B21" s="36"/>
      <c r="C21" s="138"/>
      <c r="D21" s="140"/>
      <c r="E21" s="48"/>
      <c r="F21" s="140"/>
      <c r="G21" s="140"/>
      <c r="H21" s="140">
        <f>ROUND(+D21+F21,4)</f>
        <v>0</v>
      </c>
      <c r="I21" s="140">
        <v>0</v>
      </c>
      <c r="J21" s="140">
        <v>0.03</v>
      </c>
      <c r="K21" s="140">
        <f>ROUND(IF(E21="alluminio",(I21)*3%,0)+IF(E21="alluminio smaltato",(I21)*3%,0),4)</f>
        <v>0</v>
      </c>
      <c r="L21" s="143">
        <f>ROUND((J21*C21)+(K21*C21),4)</f>
        <v>0</v>
      </c>
      <c r="M21" s="140"/>
      <c r="N21" s="140">
        <f>ROUND(+I21-H21,4)</f>
        <v>0</v>
      </c>
      <c r="O21" s="143">
        <f>ROUND(+(N21)*C21*50%,4)</f>
        <v>0</v>
      </c>
      <c r="P21" s="147">
        <f>ROUND(O21+L21,4)</f>
        <v>0</v>
      </c>
      <c r="Q21" s="80"/>
      <c r="R21" s="81"/>
      <c r="S21" s="84"/>
      <c r="V21" s="78">
        <f t="shared" si="2"/>
        <v>0</v>
      </c>
      <c r="W21" s="78">
        <f t="shared" si="3"/>
        <v>0</v>
      </c>
    </row>
    <row r="22" spans="1:23" x14ac:dyDescent="0.2">
      <c r="A22" s="47"/>
      <c r="B22" s="36"/>
      <c r="C22" s="138"/>
      <c r="D22" s="140"/>
      <c r="E22" s="48"/>
      <c r="F22" s="140"/>
      <c r="G22" s="140"/>
      <c r="H22" s="140">
        <f>ROUND(+D22+F22,4)</f>
        <v>0</v>
      </c>
      <c r="I22" s="140">
        <v>0</v>
      </c>
      <c r="J22" s="140">
        <v>0.03</v>
      </c>
      <c r="K22" s="140">
        <f>ROUND(IF(E22="alluminio",(I22)*3%,0)+IF(E22="alluminio smaltato",(I22)*3%,0),4)</f>
        <v>0</v>
      </c>
      <c r="L22" s="143">
        <f>ROUND((J22*C22)+(K22*C22),4)</f>
        <v>0</v>
      </c>
      <c r="M22" s="140"/>
      <c r="N22" s="140">
        <f>ROUND(+I22-H22,4)</f>
        <v>0</v>
      </c>
      <c r="O22" s="143">
        <f>ROUND(+(N22)*C22*50%,4)</f>
        <v>0</v>
      </c>
      <c r="P22" s="147">
        <f>ROUND(O22+L22,4)</f>
        <v>0</v>
      </c>
      <c r="Q22" s="80"/>
      <c r="R22" s="81"/>
      <c r="S22" s="84"/>
      <c r="V22" s="78">
        <f t="shared" si="2"/>
        <v>0</v>
      </c>
      <c r="W22" s="78">
        <f t="shared" si="3"/>
        <v>0</v>
      </c>
    </row>
    <row r="23" spans="1:23" x14ac:dyDescent="0.2">
      <c r="A23" s="47"/>
      <c r="B23" s="36"/>
      <c r="C23" s="138"/>
      <c r="D23" s="140"/>
      <c r="E23" s="48"/>
      <c r="F23" s="140"/>
      <c r="G23" s="140"/>
      <c r="H23" s="140">
        <f>ROUND(+D23+F23,4)</f>
        <v>0</v>
      </c>
      <c r="I23" s="140">
        <v>0</v>
      </c>
      <c r="J23" s="140">
        <v>0.03</v>
      </c>
      <c r="K23" s="140">
        <f>ROUND(IF(E23="alluminio",(I23)*3%,0)+IF(E23="alluminio smaltato",(I23)*3%,0),4)</f>
        <v>0</v>
      </c>
      <c r="L23" s="143">
        <f>ROUND((J23*C23)+(K23*C23),4)</f>
        <v>0</v>
      </c>
      <c r="M23" s="140"/>
      <c r="N23" s="140">
        <f>ROUND(+I23-H23,4)</f>
        <v>0</v>
      </c>
      <c r="O23" s="143">
        <f>ROUND(+(N23)*C23*50%,4)</f>
        <v>0</v>
      </c>
      <c r="P23" s="147">
        <f>ROUND(O23+L23,4)</f>
        <v>0</v>
      </c>
      <c r="Q23" s="80"/>
      <c r="R23" s="81"/>
      <c r="S23" s="84"/>
      <c r="V23" s="78">
        <f t="shared" si="2"/>
        <v>0</v>
      </c>
      <c r="W23" s="78">
        <f t="shared" si="3"/>
        <v>0</v>
      </c>
    </row>
    <row r="24" spans="1:23" x14ac:dyDescent="0.2">
      <c r="A24" s="47"/>
      <c r="B24" s="36"/>
      <c r="C24" s="138"/>
      <c r="D24" s="140"/>
      <c r="E24" s="48"/>
      <c r="F24" s="140"/>
      <c r="G24" s="140"/>
      <c r="H24" s="140">
        <f>ROUND(+D24+F24,4)</f>
        <v>0</v>
      </c>
      <c r="I24" s="140">
        <v>0</v>
      </c>
      <c r="J24" s="140">
        <v>0.03</v>
      </c>
      <c r="K24" s="140">
        <f>ROUND(IF(E24="alluminio",(I24)*3%,0)+IF(E24="alluminio smaltato",(I24)*3%,0),4)</f>
        <v>0</v>
      </c>
      <c r="L24" s="143">
        <f>ROUND((J24*C24)+(K24*C24),4)</f>
        <v>0</v>
      </c>
      <c r="M24" s="140"/>
      <c r="N24" s="140">
        <f>ROUND(+I24-H24,4)</f>
        <v>0</v>
      </c>
      <c r="O24" s="143">
        <f>ROUND(+(N24)*C24*50%,4)</f>
        <v>0</v>
      </c>
      <c r="P24" s="147">
        <f>ROUND(O24+L24,4)</f>
        <v>0</v>
      </c>
      <c r="Q24" s="80"/>
      <c r="R24" s="81"/>
      <c r="S24" s="84"/>
      <c r="V24" s="78">
        <f t="shared" si="2"/>
        <v>0</v>
      </c>
      <c r="W24" s="78">
        <f t="shared" si="3"/>
        <v>0</v>
      </c>
    </row>
    <row r="25" spans="1:23" x14ac:dyDescent="0.2">
      <c r="A25" s="47"/>
      <c r="B25" s="36"/>
      <c r="C25" s="138"/>
      <c r="D25" s="140"/>
      <c r="E25" s="48"/>
      <c r="F25" s="140"/>
      <c r="G25" s="140"/>
      <c r="H25" s="140">
        <f>ROUND(+D25+F25,4)</f>
        <v>0</v>
      </c>
      <c r="I25" s="140">
        <v>0</v>
      </c>
      <c r="J25" s="140">
        <v>0.03</v>
      </c>
      <c r="K25" s="140">
        <f>ROUND(IF(E25="alluminio",(I25)*3%,0)+IF(E25="alluminio smaltato",(I25)*3%,0),4)</f>
        <v>0</v>
      </c>
      <c r="L25" s="143">
        <f>ROUND((J25*C25)+(K25*C25),4)</f>
        <v>0</v>
      </c>
      <c r="M25" s="140"/>
      <c r="N25" s="140">
        <f>ROUND(+I25-H25,4)</f>
        <v>0</v>
      </c>
      <c r="O25" s="143">
        <f>ROUND(+(N25)*C25*50%,4)</f>
        <v>0</v>
      </c>
      <c r="P25" s="147">
        <f>ROUND(O25+L25,4)</f>
        <v>0</v>
      </c>
      <c r="Q25" s="80"/>
      <c r="R25" s="81"/>
      <c r="S25" s="84"/>
      <c r="V25" s="78">
        <f t="shared" si="2"/>
        <v>0</v>
      </c>
      <c r="W25" s="78">
        <f t="shared" si="3"/>
        <v>0</v>
      </c>
    </row>
    <row r="26" spans="1:23" x14ac:dyDescent="0.2">
      <c r="A26" s="47"/>
      <c r="B26" s="36"/>
      <c r="C26" s="138"/>
      <c r="D26" s="140"/>
      <c r="E26" s="48"/>
      <c r="F26" s="140"/>
      <c r="G26" s="140"/>
      <c r="H26" s="140">
        <f>ROUND(+D26+F26,4)</f>
        <v>0</v>
      </c>
      <c r="I26" s="140">
        <v>0</v>
      </c>
      <c r="J26" s="140">
        <v>0.03</v>
      </c>
      <c r="K26" s="140">
        <f>ROUND(IF(E26="alluminio",(I26)*3%,0)+IF(E26="alluminio smaltato",(I26)*3%,0),4)</f>
        <v>0</v>
      </c>
      <c r="L26" s="143">
        <f>ROUND((J26*C26)+(K26*C26),4)</f>
        <v>0</v>
      </c>
      <c r="M26" s="140"/>
      <c r="N26" s="140">
        <f>ROUND(+I26-H26,4)</f>
        <v>0</v>
      </c>
      <c r="O26" s="143">
        <f>ROUND(+(N26)*C26*50%,4)</f>
        <v>0</v>
      </c>
      <c r="P26" s="147">
        <f>ROUND(O26+L26,4)</f>
        <v>0</v>
      </c>
      <c r="Q26" s="80"/>
      <c r="R26" s="81"/>
      <c r="S26" s="84"/>
      <c r="V26" s="78">
        <f t="shared" si="2"/>
        <v>0</v>
      </c>
      <c r="W26" s="78">
        <f t="shared" si="3"/>
        <v>0</v>
      </c>
    </row>
    <row r="27" spans="1:23" x14ac:dyDescent="0.2">
      <c r="A27" s="47"/>
      <c r="B27" s="36"/>
      <c r="C27" s="138"/>
      <c r="D27" s="140"/>
      <c r="E27" s="48"/>
      <c r="F27" s="140"/>
      <c r="G27" s="140"/>
      <c r="H27" s="140">
        <f>ROUND(+D27+F27,4)</f>
        <v>0</v>
      </c>
      <c r="I27" s="140">
        <v>0</v>
      </c>
      <c r="J27" s="140">
        <v>0.03</v>
      </c>
      <c r="K27" s="140">
        <f>ROUND(IF(E27="alluminio",(I27)*3%,0)+IF(E27="alluminio smaltato",(I27)*3%,0),4)</f>
        <v>0</v>
      </c>
      <c r="L27" s="143">
        <f>ROUND((J27*C27)+(K27*C27),4)</f>
        <v>0</v>
      </c>
      <c r="M27" s="140"/>
      <c r="N27" s="140">
        <f>ROUND(+I27-H27,4)</f>
        <v>0</v>
      </c>
      <c r="O27" s="143">
        <f>ROUND(+(N27)*C27*50%,4)</f>
        <v>0</v>
      </c>
      <c r="P27" s="147">
        <f>ROUND(O27+L27,4)</f>
        <v>0</v>
      </c>
      <c r="Q27" s="80"/>
      <c r="R27" s="81"/>
      <c r="S27" s="84"/>
      <c r="V27" s="78">
        <f t="shared" si="2"/>
        <v>0</v>
      </c>
      <c r="W27" s="78">
        <f t="shared" si="3"/>
        <v>0</v>
      </c>
    </row>
    <row r="28" spans="1:23" x14ac:dyDescent="0.2">
      <c r="A28" s="47"/>
      <c r="B28" s="36"/>
      <c r="C28" s="138"/>
      <c r="D28" s="140"/>
      <c r="E28" s="48"/>
      <c r="F28" s="140"/>
      <c r="G28" s="140"/>
      <c r="H28" s="140">
        <f>ROUND(+D28+F28,4)</f>
        <v>0</v>
      </c>
      <c r="I28" s="140">
        <v>0</v>
      </c>
      <c r="J28" s="140">
        <v>0.03</v>
      </c>
      <c r="K28" s="140">
        <f>ROUND(IF(E28="alluminio",(I28)*3%,0)+IF(E28="alluminio smaltato",(I28)*3%,0),4)</f>
        <v>0</v>
      </c>
      <c r="L28" s="143">
        <f>ROUND((J28*C28)+(K28*C28),4)</f>
        <v>0</v>
      </c>
      <c r="M28" s="140"/>
      <c r="N28" s="140">
        <f>ROUND(+I28-H28,4)</f>
        <v>0</v>
      </c>
      <c r="O28" s="143">
        <f>ROUND(+(N28)*C28*50%,4)</f>
        <v>0</v>
      </c>
      <c r="P28" s="147">
        <f>ROUND(O28+L28,4)</f>
        <v>0</v>
      </c>
      <c r="Q28" s="80"/>
      <c r="R28" s="81"/>
      <c r="S28" s="84"/>
      <c r="V28" s="78">
        <f t="shared" si="2"/>
        <v>0</v>
      </c>
      <c r="W28" s="78">
        <f t="shared" si="3"/>
        <v>0</v>
      </c>
    </row>
    <row r="29" spans="1:23" x14ac:dyDescent="0.2">
      <c r="A29" s="47"/>
      <c r="B29" s="36"/>
      <c r="C29" s="138"/>
      <c r="D29" s="140"/>
      <c r="E29" s="48"/>
      <c r="F29" s="140"/>
      <c r="G29" s="140"/>
      <c r="H29" s="140">
        <f>ROUND(+D29+F29,4)</f>
        <v>0</v>
      </c>
      <c r="I29" s="140">
        <v>0</v>
      </c>
      <c r="J29" s="140">
        <v>0.03</v>
      </c>
      <c r="K29" s="140">
        <f>ROUND(IF(E29="alluminio",(I29)*3%,0)+IF(E29="alluminio smaltato",(I29)*3%,0),4)</f>
        <v>0</v>
      </c>
      <c r="L29" s="143">
        <f>ROUND((J29*C29)+(K29*C29),4)</f>
        <v>0</v>
      </c>
      <c r="M29" s="140"/>
      <c r="N29" s="140">
        <f>ROUND(+I29-H29,4)</f>
        <v>0</v>
      </c>
      <c r="O29" s="143">
        <f>ROUND(+(N29)*C29*50%,4)</f>
        <v>0</v>
      </c>
      <c r="P29" s="147">
        <f>ROUND(O29+L29,4)</f>
        <v>0</v>
      </c>
      <c r="Q29" s="80"/>
      <c r="R29" s="81"/>
      <c r="S29" s="84"/>
      <c r="V29" s="78">
        <f t="shared" si="2"/>
        <v>0</v>
      </c>
      <c r="W29" s="78">
        <f t="shared" si="3"/>
        <v>0</v>
      </c>
    </row>
    <row r="30" spans="1:23" x14ac:dyDescent="0.2">
      <c r="A30" s="47"/>
      <c r="B30" s="36"/>
      <c r="C30" s="138"/>
      <c r="D30" s="140"/>
      <c r="E30" s="48"/>
      <c r="F30" s="140"/>
      <c r="G30" s="140"/>
      <c r="H30" s="140">
        <f>ROUND(+D30+F30,4)</f>
        <v>0</v>
      </c>
      <c r="I30" s="140">
        <v>0</v>
      </c>
      <c r="J30" s="140">
        <v>0.03</v>
      </c>
      <c r="K30" s="140">
        <f>ROUND(IF(E30="alluminio",(I30)*3%,0)+IF(E30="alluminio smaltato",(I30)*3%,0),4)</f>
        <v>0</v>
      </c>
      <c r="L30" s="143">
        <f>ROUND((J30*C30)+(K30*C30),4)</f>
        <v>0</v>
      </c>
      <c r="M30" s="140"/>
      <c r="N30" s="140">
        <f>ROUND(+I30-H30,4)</f>
        <v>0</v>
      </c>
      <c r="O30" s="143">
        <f>ROUND(+(N30)*C30*50%,4)</f>
        <v>0</v>
      </c>
      <c r="P30" s="147">
        <f>ROUND(O30+L30,4)</f>
        <v>0</v>
      </c>
      <c r="Q30" s="80"/>
      <c r="R30" s="81"/>
      <c r="S30" s="84"/>
      <c r="V30" s="78">
        <f t="shared" si="2"/>
        <v>0</v>
      </c>
      <c r="W30" s="78">
        <f t="shared" si="3"/>
        <v>0</v>
      </c>
    </row>
    <row r="31" spans="1:23" x14ac:dyDescent="0.2">
      <c r="A31" s="47"/>
      <c r="B31" s="36"/>
      <c r="C31" s="138"/>
      <c r="D31" s="140"/>
      <c r="E31" s="48"/>
      <c r="F31" s="140"/>
      <c r="G31" s="140"/>
      <c r="H31" s="140">
        <f>ROUND(+D31+F31,4)</f>
        <v>0</v>
      </c>
      <c r="I31" s="140">
        <v>0</v>
      </c>
      <c r="J31" s="140">
        <v>0.03</v>
      </c>
      <c r="K31" s="140">
        <f>ROUND(IF(E31="alluminio",(I31)*3%,0)+IF(E31="alluminio smaltato",(I31)*3%,0),4)</f>
        <v>0</v>
      </c>
      <c r="L31" s="143">
        <f>ROUND((J31*C31)+(K31*C31),4)</f>
        <v>0</v>
      </c>
      <c r="M31" s="140"/>
      <c r="N31" s="140">
        <f>ROUND(+I31-H31,4)</f>
        <v>0</v>
      </c>
      <c r="O31" s="143">
        <f>ROUND(+(N31)*C31*50%,4)</f>
        <v>0</v>
      </c>
      <c r="P31" s="147">
        <f>ROUND(O31+L31,4)</f>
        <v>0</v>
      </c>
      <c r="Q31" s="80"/>
      <c r="R31" s="81"/>
      <c r="S31" s="84"/>
      <c r="V31" s="78">
        <f t="shared" si="2"/>
        <v>0</v>
      </c>
      <c r="W31" s="78">
        <f t="shared" si="3"/>
        <v>0</v>
      </c>
    </row>
    <row r="32" spans="1:23" x14ac:dyDescent="0.2">
      <c r="A32" s="47"/>
      <c r="B32" s="36"/>
      <c r="C32" s="138"/>
      <c r="D32" s="140"/>
      <c r="E32" s="48"/>
      <c r="F32" s="140"/>
      <c r="G32" s="140"/>
      <c r="H32" s="140">
        <f>ROUND(+D32+F32,4)</f>
        <v>0</v>
      </c>
      <c r="I32" s="140">
        <v>0</v>
      </c>
      <c r="J32" s="140">
        <v>0.03</v>
      </c>
      <c r="K32" s="140">
        <f>ROUND(IF(E32="alluminio",(I32)*3%,0)+IF(E32="alluminio smaltato",(I32)*3%,0),4)</f>
        <v>0</v>
      </c>
      <c r="L32" s="143">
        <f>ROUND((J32*C32)+(K32*C32),4)</f>
        <v>0</v>
      </c>
      <c r="M32" s="140"/>
      <c r="N32" s="140">
        <f>ROUND(+I32-H32,4)</f>
        <v>0</v>
      </c>
      <c r="O32" s="143">
        <f>ROUND(+(N32)*C32*50%,4)</f>
        <v>0</v>
      </c>
      <c r="P32" s="147">
        <f>ROUND(O32+L32,4)</f>
        <v>0</v>
      </c>
      <c r="Q32" s="80"/>
      <c r="R32" s="81"/>
      <c r="S32" s="84"/>
      <c r="V32" s="78">
        <f>IF(Q844="",0,MONTH(Q844))</f>
        <v>0</v>
      </c>
      <c r="W32" s="78">
        <f>IF(Q844="",0,YEAR(Q844))</f>
        <v>0</v>
      </c>
    </row>
    <row r="33" spans="1:19" x14ac:dyDescent="0.2">
      <c r="A33" s="47"/>
      <c r="B33" s="36"/>
      <c r="C33" s="138"/>
      <c r="D33" s="140"/>
      <c r="E33" s="48"/>
      <c r="F33" s="140"/>
      <c r="G33" s="140"/>
      <c r="H33" s="140">
        <f>ROUND(+D33+F33,4)</f>
        <v>0</v>
      </c>
      <c r="I33" s="140">
        <v>0</v>
      </c>
      <c r="J33" s="140">
        <v>0.03</v>
      </c>
      <c r="K33" s="140">
        <f>ROUND(IF(E33="alluminio",(I33)*3%,0)+IF(E33="alluminio smaltato",(I33)*3%,0),4)</f>
        <v>0</v>
      </c>
      <c r="L33" s="143">
        <f>ROUND((J33*C33)+(K33*C33),4)</f>
        <v>0</v>
      </c>
      <c r="M33" s="140"/>
      <c r="N33" s="140">
        <f>ROUND(+I33-H33,4)</f>
        <v>0</v>
      </c>
      <c r="O33" s="143">
        <f>ROUND(+(N33)*C33*50%,4)</f>
        <v>0</v>
      </c>
      <c r="P33" s="147">
        <f>ROUND(O33+L33,4)</f>
        <v>0</v>
      </c>
      <c r="Q33" s="80"/>
      <c r="R33" s="81"/>
      <c r="S33" s="84"/>
    </row>
    <row r="34" spans="1:19" x14ac:dyDescent="0.2">
      <c r="A34" s="47"/>
      <c r="B34" s="36"/>
      <c r="C34" s="138"/>
      <c r="D34" s="140"/>
      <c r="E34" s="48"/>
      <c r="F34" s="140"/>
      <c r="G34" s="140"/>
      <c r="H34" s="140">
        <f>ROUND(+D34+F34,4)</f>
        <v>0</v>
      </c>
      <c r="I34" s="140">
        <v>0</v>
      </c>
      <c r="J34" s="140">
        <v>0.03</v>
      </c>
      <c r="K34" s="140">
        <f>ROUND(IF(E34="alluminio",(I34)*3%,0)+IF(E34="alluminio smaltato",(I34)*3%,0),4)</f>
        <v>0</v>
      </c>
      <c r="L34" s="143">
        <f>ROUND((J34*C34)+(K34*C34),4)</f>
        <v>0</v>
      </c>
      <c r="M34" s="140"/>
      <c r="N34" s="140">
        <f>ROUND(+I34-H34,4)</f>
        <v>0</v>
      </c>
      <c r="O34" s="143">
        <f>ROUND(+(N34)*C34*50%,4)</f>
        <v>0</v>
      </c>
      <c r="P34" s="147">
        <f>ROUND(O34+L34,4)</f>
        <v>0</v>
      </c>
      <c r="Q34" s="80"/>
      <c r="R34" s="81"/>
      <c r="S34" s="84"/>
    </row>
    <row r="35" spans="1:19" x14ac:dyDescent="0.2">
      <c r="A35" s="47"/>
      <c r="B35" s="36"/>
      <c r="C35" s="138"/>
      <c r="D35" s="140"/>
      <c r="E35" s="48"/>
      <c r="F35" s="140"/>
      <c r="G35" s="140"/>
      <c r="H35" s="140">
        <f>ROUND(+D35+F35,4)</f>
        <v>0</v>
      </c>
      <c r="I35" s="140">
        <v>0</v>
      </c>
      <c r="J35" s="140">
        <v>0.03</v>
      </c>
      <c r="K35" s="140">
        <f>ROUND(IF(E35="alluminio",(I35)*3%,0)+IF(E35="alluminio smaltato",(I35)*3%,0),4)</f>
        <v>0</v>
      </c>
      <c r="L35" s="143">
        <f>ROUND((J35*C35)+(K35*C35),4)</f>
        <v>0</v>
      </c>
      <c r="M35" s="140"/>
      <c r="N35" s="140">
        <f>ROUND(+I35-H35,4)</f>
        <v>0</v>
      </c>
      <c r="O35" s="143">
        <f>ROUND(+(N35)*C35*50%,4)</f>
        <v>0</v>
      </c>
      <c r="P35" s="147">
        <f>ROUND(O35+L35,4)</f>
        <v>0</v>
      </c>
      <c r="Q35" s="80"/>
      <c r="R35" s="81"/>
      <c r="S35" s="84"/>
    </row>
    <row r="36" spans="1:19" x14ac:dyDescent="0.2">
      <c r="A36" s="47"/>
      <c r="B36" s="36"/>
      <c r="C36" s="138"/>
      <c r="D36" s="140"/>
      <c r="E36" s="48"/>
      <c r="F36" s="140"/>
      <c r="G36" s="140"/>
      <c r="H36" s="140">
        <f>ROUND(+D36+F36,4)</f>
        <v>0</v>
      </c>
      <c r="I36" s="140">
        <v>0</v>
      </c>
      <c r="J36" s="140">
        <v>0.03</v>
      </c>
      <c r="K36" s="140">
        <f>ROUND(IF(E36="alluminio",(I36)*3%,0)+IF(E36="alluminio smaltato",(I36)*3%,0),4)</f>
        <v>0</v>
      </c>
      <c r="L36" s="143">
        <f>ROUND((J36*C36)+(K36*C36),4)</f>
        <v>0</v>
      </c>
      <c r="M36" s="140"/>
      <c r="N36" s="140">
        <f>ROUND(+I36-H36,4)</f>
        <v>0</v>
      </c>
      <c r="O36" s="143">
        <f>ROUND(+(N36)*C36*50%,4)</f>
        <v>0</v>
      </c>
      <c r="P36" s="147">
        <f>ROUND(O36+L36,4)</f>
        <v>0</v>
      </c>
      <c r="Q36" s="80"/>
      <c r="R36" s="81"/>
      <c r="S36" s="84"/>
    </row>
    <row r="37" spans="1:19" x14ac:dyDescent="0.2">
      <c r="A37" s="47"/>
      <c r="B37" s="36"/>
      <c r="C37" s="138"/>
      <c r="D37" s="140"/>
      <c r="E37" s="48"/>
      <c r="F37" s="140"/>
      <c r="G37" s="140"/>
      <c r="H37" s="140">
        <f>ROUND(+D37+F37,4)</f>
        <v>0</v>
      </c>
      <c r="I37" s="140">
        <v>0</v>
      </c>
      <c r="J37" s="140">
        <v>0.03</v>
      </c>
      <c r="K37" s="140">
        <f>ROUND(IF(E37="alluminio",(I37)*3%,0)+IF(E37="alluminio smaltato",(I37)*3%,0),4)</f>
        <v>0</v>
      </c>
      <c r="L37" s="143">
        <f>ROUND((J37*C37)+(K37*C37),4)</f>
        <v>0</v>
      </c>
      <c r="M37" s="140"/>
      <c r="N37" s="140">
        <f>ROUND(+I37-H37,4)</f>
        <v>0</v>
      </c>
      <c r="O37" s="143">
        <f>ROUND(+(N37)*C37*50%,4)</f>
        <v>0</v>
      </c>
      <c r="P37" s="147">
        <f>ROUND(O37+L37,4)</f>
        <v>0</v>
      </c>
      <c r="Q37" s="80"/>
      <c r="R37" s="81"/>
      <c r="S37" s="84"/>
    </row>
    <row r="38" spans="1:19" x14ac:dyDescent="0.2">
      <c r="A38" s="47"/>
      <c r="B38" s="36"/>
      <c r="C38" s="138"/>
      <c r="D38" s="140"/>
      <c r="E38" s="48"/>
      <c r="F38" s="140"/>
      <c r="G38" s="140"/>
      <c r="H38" s="140">
        <f>ROUND(+D38+F38,4)</f>
        <v>0</v>
      </c>
      <c r="I38" s="140">
        <v>0</v>
      </c>
      <c r="J38" s="140">
        <v>0.03</v>
      </c>
      <c r="K38" s="140">
        <f>ROUND(IF(E38="alluminio",(I38)*3%,0)+IF(E38="alluminio smaltato",(I38)*3%,0),4)</f>
        <v>0</v>
      </c>
      <c r="L38" s="143">
        <f>ROUND((J38*C38)+(K38*C38),4)</f>
        <v>0</v>
      </c>
      <c r="M38" s="140"/>
      <c r="N38" s="140">
        <f>ROUND(+I38-H38,4)</f>
        <v>0</v>
      </c>
      <c r="O38" s="143">
        <f>ROUND(+(N38)*C38*50%,4)</f>
        <v>0</v>
      </c>
      <c r="P38" s="147">
        <f>ROUND(O38+L38,4)</f>
        <v>0</v>
      </c>
      <c r="Q38" s="80"/>
      <c r="R38" s="81"/>
      <c r="S38" s="84"/>
    </row>
    <row r="39" spans="1:19" x14ac:dyDescent="0.2">
      <c r="A39" s="47"/>
      <c r="B39" s="36"/>
      <c r="C39" s="138"/>
      <c r="D39" s="140"/>
      <c r="E39" s="48"/>
      <c r="F39" s="140"/>
      <c r="G39" s="140"/>
      <c r="H39" s="140">
        <f>ROUND(+D39+F39,4)</f>
        <v>0</v>
      </c>
      <c r="I39" s="140">
        <v>0</v>
      </c>
      <c r="J39" s="140">
        <v>0.03</v>
      </c>
      <c r="K39" s="140">
        <f>ROUND(IF(E39="alluminio",(I39)*3%,0)+IF(E39="alluminio smaltato",(I39)*3%,0),4)</f>
        <v>0</v>
      </c>
      <c r="L39" s="143">
        <f>ROUND((J39*C39)+(K39*C39),4)</f>
        <v>0</v>
      </c>
      <c r="M39" s="140"/>
      <c r="N39" s="140">
        <f>ROUND(+I39-H39,4)</f>
        <v>0</v>
      </c>
      <c r="O39" s="143">
        <f>ROUND(+(N39)*C39*50%,4)</f>
        <v>0</v>
      </c>
      <c r="P39" s="147">
        <f>ROUND(O39+L39,4)</f>
        <v>0</v>
      </c>
      <c r="Q39" s="80"/>
      <c r="R39" s="81"/>
      <c r="S39" s="84"/>
    </row>
    <row r="40" spans="1:19" x14ac:dyDescent="0.2">
      <c r="A40" s="47"/>
      <c r="B40" s="36"/>
      <c r="C40" s="138"/>
      <c r="D40" s="140"/>
      <c r="E40" s="48"/>
      <c r="F40" s="140"/>
      <c r="G40" s="140"/>
      <c r="H40" s="140">
        <f>ROUND(+D40+F40,4)</f>
        <v>0</v>
      </c>
      <c r="I40" s="140">
        <v>0</v>
      </c>
      <c r="J40" s="140">
        <v>0.03</v>
      </c>
      <c r="K40" s="140">
        <f>ROUND(IF(E40="alluminio",(I40)*3%,0)+IF(E40="alluminio smaltato",(I40)*3%,0),4)</f>
        <v>0</v>
      </c>
      <c r="L40" s="143">
        <f>ROUND((J40*C40)+(K40*C40),4)</f>
        <v>0</v>
      </c>
      <c r="M40" s="140"/>
      <c r="N40" s="140">
        <f>ROUND(+I40-H40,4)</f>
        <v>0</v>
      </c>
      <c r="O40" s="143">
        <f>ROUND(+(N40)*C40*50%,4)</f>
        <v>0</v>
      </c>
      <c r="P40" s="147">
        <f>ROUND(O40+L40,4)</f>
        <v>0</v>
      </c>
      <c r="Q40" s="80"/>
      <c r="R40" s="81"/>
      <c r="S40" s="84"/>
    </row>
    <row r="41" spans="1:19" x14ac:dyDescent="0.2">
      <c r="A41" s="47"/>
      <c r="B41" s="36"/>
      <c r="C41" s="138"/>
      <c r="D41" s="140"/>
      <c r="E41" s="48"/>
      <c r="F41" s="140"/>
      <c r="G41" s="140"/>
      <c r="H41" s="140">
        <f>ROUND(+D41+F41,4)</f>
        <v>0</v>
      </c>
      <c r="I41" s="140">
        <v>0</v>
      </c>
      <c r="J41" s="140">
        <v>0.03</v>
      </c>
      <c r="K41" s="140">
        <f>ROUND(IF(E41="alluminio",(I41)*3%,0)+IF(E41="alluminio smaltato",(I41)*3%,0),4)</f>
        <v>0</v>
      </c>
      <c r="L41" s="143">
        <f>ROUND((J41*C41)+(K41*C41),4)</f>
        <v>0</v>
      </c>
      <c r="M41" s="140"/>
      <c r="N41" s="140">
        <f>ROUND(+I41-H41,4)</f>
        <v>0</v>
      </c>
      <c r="O41" s="143">
        <f>ROUND(+(N41)*C41*50%,4)</f>
        <v>0</v>
      </c>
      <c r="P41" s="147">
        <f>ROUND(O41+L41,4)</f>
        <v>0</v>
      </c>
      <c r="Q41" s="80"/>
      <c r="R41" s="81"/>
      <c r="S41" s="84"/>
    </row>
    <row r="42" spans="1:19" x14ac:dyDescent="0.2">
      <c r="A42" s="47"/>
      <c r="B42" s="36"/>
      <c r="C42" s="138"/>
      <c r="D42" s="140"/>
      <c r="E42" s="48"/>
      <c r="F42" s="140"/>
      <c r="G42" s="140"/>
      <c r="H42" s="140">
        <f>ROUND(+D42+F42,4)</f>
        <v>0</v>
      </c>
      <c r="I42" s="140">
        <v>0</v>
      </c>
      <c r="J42" s="140">
        <v>0.03</v>
      </c>
      <c r="K42" s="140">
        <f>ROUND(IF(E42="alluminio",(I42)*3%,0)+IF(E42="alluminio smaltato",(I42)*3%,0),4)</f>
        <v>0</v>
      </c>
      <c r="L42" s="143">
        <f>ROUND((J42*C42)+(K42*C42),4)</f>
        <v>0</v>
      </c>
      <c r="M42" s="140"/>
      <c r="N42" s="140">
        <f>ROUND(+I42-H42,4)</f>
        <v>0</v>
      </c>
      <c r="O42" s="143">
        <f>ROUND(+(N42)*C42*50%,4)</f>
        <v>0</v>
      </c>
      <c r="P42" s="147">
        <f>ROUND(O42+L42,4)</f>
        <v>0</v>
      </c>
      <c r="Q42" s="80"/>
      <c r="R42" s="81"/>
      <c r="S42" s="84"/>
    </row>
    <row r="43" spans="1:19" x14ac:dyDescent="0.2">
      <c r="A43" s="47"/>
      <c r="B43" s="36"/>
      <c r="C43" s="138"/>
      <c r="D43" s="140"/>
      <c r="E43" s="48"/>
      <c r="F43" s="140"/>
      <c r="G43" s="140"/>
      <c r="H43" s="140">
        <f>ROUND(+D43+F43,4)</f>
        <v>0</v>
      </c>
      <c r="I43" s="140">
        <v>0</v>
      </c>
      <c r="J43" s="140">
        <v>0.03</v>
      </c>
      <c r="K43" s="140">
        <f>ROUND(IF(E43="alluminio",(I43)*3%,0)+IF(E43="alluminio smaltato",(I43)*3%,0),4)</f>
        <v>0</v>
      </c>
      <c r="L43" s="143">
        <f>ROUND((J43*C43)+(K43*C43),4)</f>
        <v>0</v>
      </c>
      <c r="M43" s="140"/>
      <c r="N43" s="140">
        <f>ROUND(+I43-H43,4)</f>
        <v>0</v>
      </c>
      <c r="O43" s="143">
        <f>ROUND(+(N43)*C43*50%,4)</f>
        <v>0</v>
      </c>
      <c r="P43" s="147">
        <f>ROUND(O43+L43,4)</f>
        <v>0</v>
      </c>
      <c r="Q43" s="80"/>
      <c r="R43" s="81"/>
      <c r="S43" s="84"/>
    </row>
    <row r="44" spans="1:19" x14ac:dyDescent="0.2">
      <c r="A44" s="47"/>
      <c r="B44" s="36"/>
      <c r="C44" s="138"/>
      <c r="D44" s="140"/>
      <c r="E44" s="48"/>
      <c r="F44" s="140"/>
      <c r="G44" s="140"/>
      <c r="H44" s="140">
        <f>ROUND(+D44+F44,4)</f>
        <v>0</v>
      </c>
      <c r="I44" s="140">
        <v>0</v>
      </c>
      <c r="J44" s="140">
        <v>0.03</v>
      </c>
      <c r="K44" s="140">
        <f>ROUND(IF(E44="alluminio",(I44)*3%,0)+IF(E44="alluminio smaltato",(I44)*3%,0),4)</f>
        <v>0</v>
      </c>
      <c r="L44" s="143">
        <f>ROUND((J44*C44)+(K44*C44),4)</f>
        <v>0</v>
      </c>
      <c r="M44" s="140"/>
      <c r="N44" s="140">
        <f>ROUND(+I44-H44,4)</f>
        <v>0</v>
      </c>
      <c r="O44" s="143">
        <f>ROUND(+(N44)*C44*50%,4)</f>
        <v>0</v>
      </c>
      <c r="P44" s="147">
        <f>ROUND(O44+L44,4)</f>
        <v>0</v>
      </c>
      <c r="Q44" s="80"/>
      <c r="R44" s="81"/>
      <c r="S44" s="84"/>
    </row>
    <row r="45" spans="1:19" x14ac:dyDescent="0.2">
      <c r="A45" s="47"/>
      <c r="B45" s="36"/>
      <c r="C45" s="138"/>
      <c r="D45" s="140"/>
      <c r="E45" s="48"/>
      <c r="F45" s="140"/>
      <c r="G45" s="140"/>
      <c r="H45" s="140">
        <f>ROUND(+D45+F45,4)</f>
        <v>0</v>
      </c>
      <c r="I45" s="140">
        <v>0</v>
      </c>
      <c r="J45" s="140">
        <v>0.03</v>
      </c>
      <c r="K45" s="140">
        <f>ROUND(IF(E45="alluminio",(I45)*3%,0)+IF(E45="alluminio smaltato",(I45)*3%,0),4)</f>
        <v>0</v>
      </c>
      <c r="L45" s="143">
        <f>ROUND((J45*C45)+(K45*C45),4)</f>
        <v>0</v>
      </c>
      <c r="M45" s="140"/>
      <c r="N45" s="140">
        <f>ROUND(+I45-H45,4)</f>
        <v>0</v>
      </c>
      <c r="O45" s="143">
        <f>ROUND(+(N45)*C45*50%,4)</f>
        <v>0</v>
      </c>
      <c r="P45" s="147">
        <f>ROUND(O45+L45,4)</f>
        <v>0</v>
      </c>
      <c r="Q45" s="80"/>
      <c r="R45" s="81"/>
      <c r="S45" s="84"/>
    </row>
    <row r="46" spans="1:19" x14ac:dyDescent="0.2">
      <c r="A46" s="47"/>
      <c r="B46" s="36"/>
      <c r="C46" s="138"/>
      <c r="D46" s="140"/>
      <c r="E46" s="48"/>
      <c r="F46" s="140"/>
      <c r="G46" s="140"/>
      <c r="H46" s="140">
        <f>ROUND(+D46+F46,4)</f>
        <v>0</v>
      </c>
      <c r="I46" s="140">
        <v>0</v>
      </c>
      <c r="J46" s="140">
        <v>0.03</v>
      </c>
      <c r="K46" s="140">
        <f>ROUND(IF(E46="alluminio",(I46)*3%,0)+IF(E46="alluminio smaltato",(I46)*3%,0),4)</f>
        <v>0</v>
      </c>
      <c r="L46" s="143">
        <f>ROUND((J46*C46)+(K46*C46),4)</f>
        <v>0</v>
      </c>
      <c r="M46" s="140"/>
      <c r="N46" s="140">
        <f>ROUND(+I46-H46,4)</f>
        <v>0</v>
      </c>
      <c r="O46" s="143">
        <f>ROUND(+(N46)*C46*50%,4)</f>
        <v>0</v>
      </c>
      <c r="P46" s="147">
        <f>ROUND(O46+L46,4)</f>
        <v>0</v>
      </c>
      <c r="Q46" s="80"/>
      <c r="R46" s="81"/>
      <c r="S46" s="84"/>
    </row>
    <row r="47" spans="1:19" x14ac:dyDescent="0.2">
      <c r="A47" s="47"/>
      <c r="B47" s="36"/>
      <c r="C47" s="138"/>
      <c r="D47" s="140"/>
      <c r="E47" s="48"/>
      <c r="F47" s="140"/>
      <c r="G47" s="140"/>
      <c r="H47" s="140">
        <f>ROUND(+D47+F47,4)</f>
        <v>0</v>
      </c>
      <c r="I47" s="140">
        <v>0</v>
      </c>
      <c r="J47" s="140">
        <v>0.03</v>
      </c>
      <c r="K47" s="140">
        <f>ROUND(IF(E47="alluminio",(I47)*3%,0)+IF(E47="alluminio smaltato",(I47)*3%,0),4)</f>
        <v>0</v>
      </c>
      <c r="L47" s="143">
        <f>ROUND((J47*C47)+(K47*C47),4)</f>
        <v>0</v>
      </c>
      <c r="M47" s="140"/>
      <c r="N47" s="140">
        <f>ROUND(+I47-H47,4)</f>
        <v>0</v>
      </c>
      <c r="O47" s="143">
        <f>ROUND(+(N47)*C47*50%,4)</f>
        <v>0</v>
      </c>
      <c r="P47" s="147">
        <f>ROUND(O47+L47,4)</f>
        <v>0</v>
      </c>
      <c r="Q47" s="80"/>
      <c r="R47" s="81"/>
      <c r="S47" s="84"/>
    </row>
    <row r="48" spans="1:19" x14ac:dyDescent="0.2">
      <c r="A48" s="47"/>
      <c r="B48" s="36"/>
      <c r="C48" s="138"/>
      <c r="D48" s="140"/>
      <c r="E48" s="48"/>
      <c r="F48" s="140"/>
      <c r="G48" s="140"/>
      <c r="H48" s="140">
        <f>ROUND(+D48+F48,4)</f>
        <v>0</v>
      </c>
      <c r="I48" s="140">
        <v>0</v>
      </c>
      <c r="J48" s="140">
        <v>0.03</v>
      </c>
      <c r="K48" s="140">
        <f>ROUND(IF(E48="alluminio",(I48)*3%,0)+IF(E48="alluminio smaltato",(I48)*3%,0),4)</f>
        <v>0</v>
      </c>
      <c r="L48" s="143">
        <f>ROUND((J48*C48)+(K48*C48),4)</f>
        <v>0</v>
      </c>
      <c r="M48" s="140"/>
      <c r="N48" s="140">
        <f>ROUND(+I48-H48,4)</f>
        <v>0</v>
      </c>
      <c r="O48" s="143">
        <f>ROUND(+(N48)*C48*50%,4)</f>
        <v>0</v>
      </c>
      <c r="P48" s="147">
        <f>ROUND(O48+L48,4)</f>
        <v>0</v>
      </c>
      <c r="Q48" s="80"/>
      <c r="R48" s="81"/>
      <c r="S48" s="84"/>
    </row>
    <row r="49" spans="1:19" x14ac:dyDescent="0.2">
      <c r="A49" s="47"/>
      <c r="B49" s="36"/>
      <c r="C49" s="138"/>
      <c r="D49" s="140"/>
      <c r="E49" s="48"/>
      <c r="F49" s="140"/>
      <c r="G49" s="140"/>
      <c r="H49" s="140">
        <f>ROUND(+D49+F49,4)</f>
        <v>0</v>
      </c>
      <c r="I49" s="140">
        <v>0</v>
      </c>
      <c r="J49" s="140">
        <v>0.03</v>
      </c>
      <c r="K49" s="140">
        <f>ROUND(IF(E49="alluminio",(I49)*3%,0)+IF(E49="alluminio smaltato",(I49)*3%,0),4)</f>
        <v>0</v>
      </c>
      <c r="L49" s="143">
        <f>ROUND((J49*C49)+(K49*C49),4)</f>
        <v>0</v>
      </c>
      <c r="M49" s="140"/>
      <c r="N49" s="140">
        <f>ROUND(+I49-H49,4)</f>
        <v>0</v>
      </c>
      <c r="O49" s="143">
        <f>ROUND(+(N49)*C49*50%,4)</f>
        <v>0</v>
      </c>
      <c r="P49" s="147">
        <f>ROUND(O49+L49,4)</f>
        <v>0</v>
      </c>
      <c r="Q49" s="80"/>
      <c r="R49" s="81"/>
      <c r="S49" s="84"/>
    </row>
    <row r="50" spans="1:19" x14ac:dyDescent="0.2">
      <c r="A50" s="47"/>
      <c r="B50" s="36"/>
      <c r="C50" s="138"/>
      <c r="D50" s="140"/>
      <c r="E50" s="48"/>
      <c r="F50" s="140"/>
      <c r="G50" s="140"/>
      <c r="H50" s="140">
        <f>ROUND(+D50+F50,4)</f>
        <v>0</v>
      </c>
      <c r="I50" s="140">
        <v>0</v>
      </c>
      <c r="J50" s="140">
        <v>0.03</v>
      </c>
      <c r="K50" s="140">
        <f>ROUND(IF(E50="alluminio",(I50)*3%,0)+IF(E50="alluminio smaltato",(I50)*3%,0),4)</f>
        <v>0</v>
      </c>
      <c r="L50" s="143">
        <f>ROUND((J50*C50)+(K50*C50),4)</f>
        <v>0</v>
      </c>
      <c r="M50" s="140"/>
      <c r="N50" s="140">
        <f>ROUND(+I50-H50,4)</f>
        <v>0</v>
      </c>
      <c r="O50" s="143">
        <f>ROUND(+(N50)*C50*50%,4)</f>
        <v>0</v>
      </c>
      <c r="P50" s="147">
        <f>ROUND(O50+L50,4)</f>
        <v>0</v>
      </c>
      <c r="Q50" s="80"/>
      <c r="R50" s="81"/>
      <c r="S50" s="84"/>
    </row>
    <row r="51" spans="1:19" x14ac:dyDescent="0.2">
      <c r="A51" s="47"/>
      <c r="B51" s="36"/>
      <c r="C51" s="138"/>
      <c r="D51" s="140"/>
      <c r="E51" s="48"/>
      <c r="F51" s="140"/>
      <c r="G51" s="140"/>
      <c r="H51" s="140">
        <f>ROUND(+D51+F51,4)</f>
        <v>0</v>
      </c>
      <c r="I51" s="140">
        <v>0</v>
      </c>
      <c r="J51" s="140">
        <v>0.03</v>
      </c>
      <c r="K51" s="140">
        <f>ROUND(IF(E51="alluminio",(I51)*3%,0)+IF(E51="alluminio smaltato",(I51)*3%,0),4)</f>
        <v>0</v>
      </c>
      <c r="L51" s="143">
        <f>ROUND((J51*C51)+(K51*C51),4)</f>
        <v>0</v>
      </c>
      <c r="M51" s="140"/>
      <c r="N51" s="140">
        <f>ROUND(+I51-H51,4)</f>
        <v>0</v>
      </c>
      <c r="O51" s="143">
        <f>ROUND(+(N51)*C51*50%,4)</f>
        <v>0</v>
      </c>
      <c r="P51" s="147">
        <f>ROUND(O51+L51,4)</f>
        <v>0</v>
      </c>
      <c r="Q51" s="80"/>
      <c r="R51" s="81"/>
      <c r="S51" s="84"/>
    </row>
    <row r="52" spans="1:19" x14ac:dyDescent="0.2">
      <c r="A52" s="47"/>
      <c r="B52" s="36"/>
      <c r="C52" s="138"/>
      <c r="D52" s="140"/>
      <c r="E52" s="48"/>
      <c r="F52" s="140"/>
      <c r="G52" s="140"/>
      <c r="H52" s="140">
        <f>ROUND(+D52+F52,4)</f>
        <v>0</v>
      </c>
      <c r="I52" s="140">
        <v>0</v>
      </c>
      <c r="J52" s="140">
        <v>0.03</v>
      </c>
      <c r="K52" s="140">
        <f>ROUND(IF(E52="alluminio",(I52)*3%,0)+IF(E52="alluminio smaltato",(I52)*3%,0),4)</f>
        <v>0</v>
      </c>
      <c r="L52" s="143">
        <f>ROUND((J52*C52)+(K52*C52),4)</f>
        <v>0</v>
      </c>
      <c r="M52" s="140"/>
      <c r="N52" s="140">
        <f>ROUND(+I52-H52,4)</f>
        <v>0</v>
      </c>
      <c r="O52" s="143">
        <f>ROUND(+(N52)*C52*50%,4)</f>
        <v>0</v>
      </c>
      <c r="P52" s="147">
        <f>ROUND(O52+L52,4)</f>
        <v>0</v>
      </c>
      <c r="Q52" s="80"/>
      <c r="R52" s="81"/>
      <c r="S52" s="84"/>
    </row>
    <row r="53" spans="1:19" x14ac:dyDescent="0.2">
      <c r="A53" s="47"/>
      <c r="B53" s="36"/>
      <c r="C53" s="138"/>
      <c r="D53" s="140"/>
      <c r="E53" s="48"/>
      <c r="F53" s="140"/>
      <c r="G53" s="140"/>
      <c r="H53" s="140">
        <f>ROUND(+D53+F53,4)</f>
        <v>0</v>
      </c>
      <c r="I53" s="140">
        <v>0</v>
      </c>
      <c r="J53" s="140">
        <v>0.03</v>
      </c>
      <c r="K53" s="140">
        <f>ROUND(IF(E53="alluminio",(I53)*3%,0)+IF(E53="alluminio smaltato",(I53)*3%,0),4)</f>
        <v>0</v>
      </c>
      <c r="L53" s="143">
        <f>ROUND((J53*C53)+(K53*C53),4)</f>
        <v>0</v>
      </c>
      <c r="M53" s="140"/>
      <c r="N53" s="140">
        <f>ROUND(+I53-H53,4)</f>
        <v>0</v>
      </c>
      <c r="O53" s="143">
        <f>ROUND(+(N53)*C53*50%,4)</f>
        <v>0</v>
      </c>
      <c r="P53" s="147">
        <f>ROUND(O53+L53,4)</f>
        <v>0</v>
      </c>
      <c r="Q53" s="80"/>
      <c r="R53" s="81"/>
      <c r="S53" s="84"/>
    </row>
    <row r="54" spans="1:19" x14ac:dyDescent="0.2">
      <c r="A54" s="47"/>
      <c r="B54" s="36"/>
      <c r="C54" s="138"/>
      <c r="D54" s="140"/>
      <c r="E54" s="48"/>
      <c r="F54" s="140"/>
      <c r="G54" s="140"/>
      <c r="H54" s="140">
        <f>ROUND(+D54+F54,4)</f>
        <v>0</v>
      </c>
      <c r="I54" s="140">
        <v>0</v>
      </c>
      <c r="J54" s="140">
        <v>0.03</v>
      </c>
      <c r="K54" s="140">
        <f>ROUND(IF(E54="alluminio",(I54)*3%,0)+IF(E54="alluminio smaltato",(I54)*3%,0),4)</f>
        <v>0</v>
      </c>
      <c r="L54" s="143">
        <f>ROUND((J54*C54)+(K54*C54),4)</f>
        <v>0</v>
      </c>
      <c r="M54" s="140"/>
      <c r="N54" s="140">
        <f>ROUND(+I54-H54,4)</f>
        <v>0</v>
      </c>
      <c r="O54" s="143">
        <f>ROUND(+(N54)*C54*50%,4)</f>
        <v>0</v>
      </c>
      <c r="P54" s="147">
        <f>ROUND(O54+L54,4)</f>
        <v>0</v>
      </c>
      <c r="Q54" s="80"/>
      <c r="R54" s="81"/>
      <c r="S54" s="84"/>
    </row>
    <row r="55" spans="1:19" x14ac:dyDescent="0.2">
      <c r="A55" s="47"/>
      <c r="B55" s="36"/>
      <c r="C55" s="138"/>
      <c r="D55" s="140"/>
      <c r="E55" s="48"/>
      <c r="F55" s="140"/>
      <c r="G55" s="140"/>
      <c r="H55" s="140">
        <f>ROUND(+D55+F55,4)</f>
        <v>0</v>
      </c>
      <c r="I55" s="140">
        <v>0</v>
      </c>
      <c r="J55" s="140">
        <v>0.03</v>
      </c>
      <c r="K55" s="140">
        <f>ROUND(IF(E55="alluminio",(I55)*3%,0)+IF(E55="alluminio smaltato",(I55)*3%,0),4)</f>
        <v>0</v>
      </c>
      <c r="L55" s="143">
        <f>ROUND((J55*C55)+(K55*C55),4)</f>
        <v>0</v>
      </c>
      <c r="M55" s="140"/>
      <c r="N55" s="140">
        <f>ROUND(+I55-H55,4)</f>
        <v>0</v>
      </c>
      <c r="O55" s="143">
        <f>ROUND(+(N55)*C55*50%,4)</f>
        <v>0</v>
      </c>
      <c r="P55" s="147">
        <f>ROUND(O55+L55,4)</f>
        <v>0</v>
      </c>
      <c r="Q55" s="80"/>
      <c r="R55" s="81"/>
      <c r="S55" s="84"/>
    </row>
    <row r="56" spans="1:19" x14ac:dyDescent="0.2">
      <c r="A56" s="47"/>
      <c r="B56" s="36"/>
      <c r="C56" s="138"/>
      <c r="D56" s="140"/>
      <c r="E56" s="48"/>
      <c r="F56" s="140"/>
      <c r="G56" s="140"/>
      <c r="H56" s="140">
        <f>ROUND(+D56+F56,4)</f>
        <v>0</v>
      </c>
      <c r="I56" s="140">
        <v>0</v>
      </c>
      <c r="J56" s="140">
        <v>0.03</v>
      </c>
      <c r="K56" s="140">
        <f>ROUND(IF(E56="alluminio",(I56)*3%,0)+IF(E56="alluminio smaltato",(I56)*3%,0),4)</f>
        <v>0</v>
      </c>
      <c r="L56" s="143">
        <f>ROUND((J56*C56)+(K56*C56),4)</f>
        <v>0</v>
      </c>
      <c r="M56" s="140"/>
      <c r="N56" s="140">
        <f>ROUND(+I56-H56,4)</f>
        <v>0</v>
      </c>
      <c r="O56" s="143">
        <f>ROUND(+(N56)*C56*50%,4)</f>
        <v>0</v>
      </c>
      <c r="P56" s="147">
        <f>ROUND(O56+L56,4)</f>
        <v>0</v>
      </c>
      <c r="Q56" s="80"/>
      <c r="R56" s="81"/>
      <c r="S56" s="84"/>
    </row>
    <row r="57" spans="1:19" x14ac:dyDescent="0.2">
      <c r="A57" s="47"/>
      <c r="B57" s="36"/>
      <c r="C57" s="138"/>
      <c r="D57" s="140"/>
      <c r="E57" s="48"/>
      <c r="F57" s="140"/>
      <c r="G57" s="140"/>
      <c r="H57" s="140">
        <f>ROUND(+D57+F57,4)</f>
        <v>0</v>
      </c>
      <c r="I57" s="140">
        <v>0</v>
      </c>
      <c r="J57" s="140">
        <v>0.03</v>
      </c>
      <c r="K57" s="140">
        <f>ROUND(IF(E57="alluminio",(I57)*3%,0)+IF(E57="alluminio smaltato",(I57)*3%,0),4)</f>
        <v>0</v>
      </c>
      <c r="L57" s="143">
        <f>ROUND((J57*C57)+(K57*C57),4)</f>
        <v>0</v>
      </c>
      <c r="M57" s="140"/>
      <c r="N57" s="140">
        <f>ROUND(+I57-H57,4)</f>
        <v>0</v>
      </c>
      <c r="O57" s="143">
        <f>ROUND(+(N57)*C57*50%,4)</f>
        <v>0</v>
      </c>
      <c r="P57" s="147">
        <f>ROUND(O57+L57,4)</f>
        <v>0</v>
      </c>
      <c r="Q57" s="80"/>
      <c r="R57" s="81"/>
      <c r="S57" s="84"/>
    </row>
    <row r="58" spans="1:19" x14ac:dyDescent="0.2">
      <c r="A58" s="47"/>
      <c r="B58" s="36"/>
      <c r="C58" s="138"/>
      <c r="D58" s="140"/>
      <c r="E58" s="48"/>
      <c r="F58" s="140"/>
      <c r="G58" s="140"/>
      <c r="H58" s="140">
        <f>ROUND(+D58+F58,4)</f>
        <v>0</v>
      </c>
      <c r="I58" s="140">
        <v>0</v>
      </c>
      <c r="J58" s="140">
        <v>0.03</v>
      </c>
      <c r="K58" s="140">
        <f>ROUND(IF(E58="alluminio",(I58)*3%,0)+IF(E58="alluminio smaltato",(I58)*3%,0),4)</f>
        <v>0</v>
      </c>
      <c r="L58" s="143">
        <f>ROUND((J58*C58)+(K58*C58),4)</f>
        <v>0</v>
      </c>
      <c r="M58" s="140"/>
      <c r="N58" s="140">
        <f>ROUND(+I58-H58,4)</f>
        <v>0</v>
      </c>
      <c r="O58" s="143">
        <f>ROUND(+(N58)*C58*50%,4)</f>
        <v>0</v>
      </c>
      <c r="P58" s="147">
        <f>ROUND(O58+L58,4)</f>
        <v>0</v>
      </c>
      <c r="Q58" s="80"/>
      <c r="R58" s="81"/>
      <c r="S58" s="84"/>
    </row>
    <row r="59" spans="1:19" x14ac:dyDescent="0.2">
      <c r="A59" s="47"/>
      <c r="B59" s="36"/>
      <c r="C59" s="138"/>
      <c r="D59" s="140"/>
      <c r="E59" s="48"/>
      <c r="F59" s="140"/>
      <c r="G59" s="140"/>
      <c r="H59" s="140">
        <f>ROUND(+D59+F59,4)</f>
        <v>0</v>
      </c>
      <c r="I59" s="140">
        <v>0</v>
      </c>
      <c r="J59" s="140">
        <v>0.03</v>
      </c>
      <c r="K59" s="140">
        <f>ROUND(IF(E59="alluminio",(I59)*3%,0)+IF(E59="alluminio smaltato",(I59)*3%,0),4)</f>
        <v>0</v>
      </c>
      <c r="L59" s="143">
        <f>ROUND((J59*C59)+(K59*C59),4)</f>
        <v>0</v>
      </c>
      <c r="M59" s="140"/>
      <c r="N59" s="140">
        <f>ROUND(+I59-H59,4)</f>
        <v>0</v>
      </c>
      <c r="O59" s="143">
        <f>ROUND(+(N59)*C59*50%,4)</f>
        <v>0</v>
      </c>
      <c r="P59" s="147">
        <f>ROUND(O59+L59,4)</f>
        <v>0</v>
      </c>
      <c r="Q59" s="80"/>
      <c r="R59" s="81"/>
      <c r="S59" s="84"/>
    </row>
    <row r="60" spans="1:19" x14ac:dyDescent="0.2">
      <c r="A60" s="47"/>
      <c r="B60" s="36"/>
      <c r="C60" s="138"/>
      <c r="D60" s="140"/>
      <c r="E60" s="48"/>
      <c r="F60" s="140"/>
      <c r="G60" s="140"/>
      <c r="H60" s="140">
        <f>ROUND(+D60+F60,4)</f>
        <v>0</v>
      </c>
      <c r="I60" s="140">
        <v>0</v>
      </c>
      <c r="J60" s="140">
        <v>0.03</v>
      </c>
      <c r="K60" s="140">
        <f>ROUND(IF(E60="alluminio",(I60)*3%,0)+IF(E60="alluminio smaltato",(I60)*3%,0),4)</f>
        <v>0</v>
      </c>
      <c r="L60" s="143">
        <f>ROUND((J60*C60)+(K60*C60),4)</f>
        <v>0</v>
      </c>
      <c r="M60" s="140"/>
      <c r="N60" s="140">
        <f>ROUND(+I60-H60,4)</f>
        <v>0</v>
      </c>
      <c r="O60" s="143">
        <f>ROUND(+(N60)*C60*50%,4)</f>
        <v>0</v>
      </c>
      <c r="P60" s="147">
        <f>ROUND(O60+L60,4)</f>
        <v>0</v>
      </c>
      <c r="Q60" s="80"/>
      <c r="R60" s="81"/>
      <c r="S60" s="84"/>
    </row>
    <row r="61" spans="1:19" x14ac:dyDescent="0.2">
      <c r="A61" s="47"/>
      <c r="B61" s="36"/>
      <c r="C61" s="138"/>
      <c r="D61" s="140"/>
      <c r="E61" s="48"/>
      <c r="F61" s="140"/>
      <c r="G61" s="140"/>
      <c r="H61" s="140">
        <f>ROUND(+D61+F61,4)</f>
        <v>0</v>
      </c>
      <c r="I61" s="140">
        <v>0</v>
      </c>
      <c r="J61" s="140">
        <v>0.03</v>
      </c>
      <c r="K61" s="140">
        <f>ROUND(IF(E61="alluminio",(I61)*3%,0)+IF(E61="alluminio smaltato",(I61)*3%,0),4)</f>
        <v>0</v>
      </c>
      <c r="L61" s="143">
        <f>ROUND((J61*C61)+(K61*C61),4)</f>
        <v>0</v>
      </c>
      <c r="M61" s="140"/>
      <c r="N61" s="140">
        <f>ROUND(+I61-H61,4)</f>
        <v>0</v>
      </c>
      <c r="O61" s="143">
        <f>ROUND(+(N61)*C61*50%,4)</f>
        <v>0</v>
      </c>
      <c r="P61" s="147">
        <f>ROUND(O61+L61,4)</f>
        <v>0</v>
      </c>
      <c r="Q61" s="80"/>
      <c r="R61" s="81"/>
      <c r="S61" s="84"/>
    </row>
    <row r="62" spans="1:19" x14ac:dyDescent="0.2">
      <c r="A62" s="47"/>
      <c r="B62" s="36"/>
      <c r="C62" s="138"/>
      <c r="D62" s="140"/>
      <c r="E62" s="48"/>
      <c r="F62" s="140"/>
      <c r="G62" s="140"/>
      <c r="H62" s="140">
        <f>ROUND(+D62+F62,4)</f>
        <v>0</v>
      </c>
      <c r="I62" s="140">
        <v>0</v>
      </c>
      <c r="J62" s="140">
        <v>0.03</v>
      </c>
      <c r="K62" s="140">
        <f>ROUND(IF(E62="alluminio",(I62)*3%,0)+IF(E62="alluminio smaltato",(I62)*3%,0),4)</f>
        <v>0</v>
      </c>
      <c r="L62" s="143">
        <f>ROUND((J62*C62)+(K62*C62),4)</f>
        <v>0</v>
      </c>
      <c r="M62" s="140"/>
      <c r="N62" s="140">
        <f>ROUND(+I62-H62,4)</f>
        <v>0</v>
      </c>
      <c r="O62" s="143">
        <f>ROUND(+(N62)*C62*50%,4)</f>
        <v>0</v>
      </c>
      <c r="P62" s="147">
        <f>ROUND(O62+L62,4)</f>
        <v>0</v>
      </c>
      <c r="Q62" s="80"/>
      <c r="R62" s="81"/>
      <c r="S62" s="84"/>
    </row>
    <row r="63" spans="1:19" x14ac:dyDescent="0.2">
      <c r="A63" s="47"/>
      <c r="B63" s="36"/>
      <c r="C63" s="138"/>
      <c r="D63" s="140"/>
      <c r="E63" s="48"/>
      <c r="F63" s="140"/>
      <c r="G63" s="140"/>
      <c r="H63" s="140">
        <f>ROUND(+D63+F63,4)</f>
        <v>0</v>
      </c>
      <c r="I63" s="140">
        <v>0</v>
      </c>
      <c r="J63" s="140">
        <v>0.03</v>
      </c>
      <c r="K63" s="140">
        <f>ROUND(IF(E63="alluminio",(I63)*3%,0)+IF(E63="alluminio smaltato",(I63)*3%,0),4)</f>
        <v>0</v>
      </c>
      <c r="L63" s="143">
        <f>ROUND((J63*C63)+(K63*C63),4)</f>
        <v>0</v>
      </c>
      <c r="M63" s="140"/>
      <c r="N63" s="140">
        <f>ROUND(+I63-H63,4)</f>
        <v>0</v>
      </c>
      <c r="O63" s="143">
        <f>ROUND(+(N63)*C63*50%,4)</f>
        <v>0</v>
      </c>
      <c r="P63" s="147">
        <f>ROUND(O63+L63,4)</f>
        <v>0</v>
      </c>
      <c r="Q63" s="80"/>
      <c r="R63" s="81"/>
      <c r="S63" s="84"/>
    </row>
    <row r="64" spans="1:19" x14ac:dyDescent="0.2">
      <c r="A64" s="47"/>
      <c r="B64" s="36"/>
      <c r="C64" s="138"/>
      <c r="D64" s="140"/>
      <c r="E64" s="48"/>
      <c r="F64" s="140"/>
      <c r="G64" s="140"/>
      <c r="H64" s="140">
        <f>ROUND(+D64+F64,4)</f>
        <v>0</v>
      </c>
      <c r="I64" s="140">
        <v>0</v>
      </c>
      <c r="J64" s="140">
        <v>0.03</v>
      </c>
      <c r="K64" s="140">
        <f>ROUND(IF(E64="alluminio",(I64)*3%,0)+IF(E64="alluminio smaltato",(I64)*3%,0),4)</f>
        <v>0</v>
      </c>
      <c r="L64" s="143">
        <f>ROUND((J64*C64)+(K64*C64),4)</f>
        <v>0</v>
      </c>
      <c r="M64" s="140"/>
      <c r="N64" s="140">
        <f>ROUND(+I64-H64,4)</f>
        <v>0</v>
      </c>
      <c r="O64" s="143">
        <f>ROUND(+(N64)*C64*50%,4)</f>
        <v>0</v>
      </c>
      <c r="P64" s="147">
        <f>ROUND(O64+L64,4)</f>
        <v>0</v>
      </c>
      <c r="Q64" s="80"/>
      <c r="R64" s="81"/>
      <c r="S64" s="84"/>
    </row>
    <row r="65" spans="1:19" x14ac:dyDescent="0.2">
      <c r="A65" s="47"/>
      <c r="B65" s="36"/>
      <c r="C65" s="138"/>
      <c r="D65" s="140"/>
      <c r="E65" s="48"/>
      <c r="F65" s="140"/>
      <c r="G65" s="140"/>
      <c r="H65" s="140">
        <f>ROUND(+D65+F65,4)</f>
        <v>0</v>
      </c>
      <c r="I65" s="140">
        <v>0</v>
      </c>
      <c r="J65" s="140">
        <v>0.03</v>
      </c>
      <c r="K65" s="140">
        <f>ROUND(IF(E65="alluminio",(I65)*3%,0)+IF(E65="alluminio smaltato",(I65)*3%,0),4)</f>
        <v>0</v>
      </c>
      <c r="L65" s="143">
        <f>ROUND((J65*C65)+(K65*C65),4)</f>
        <v>0</v>
      </c>
      <c r="M65" s="140"/>
      <c r="N65" s="140">
        <f>ROUND(+I65-H65,4)</f>
        <v>0</v>
      </c>
      <c r="O65" s="143">
        <f>ROUND(+(N65)*C65*50%,4)</f>
        <v>0</v>
      </c>
      <c r="P65" s="147">
        <f>ROUND(O65+L65,4)</f>
        <v>0</v>
      </c>
      <c r="Q65" s="80"/>
      <c r="R65" s="81"/>
      <c r="S65" s="84"/>
    </row>
    <row r="66" spans="1:19" x14ac:dyDescent="0.2">
      <c r="A66" s="47"/>
      <c r="B66" s="36"/>
      <c r="C66" s="138"/>
      <c r="D66" s="140"/>
      <c r="E66" s="48"/>
      <c r="F66" s="140"/>
      <c r="G66" s="140"/>
      <c r="H66" s="140">
        <f>ROUND(+D66+F66,4)</f>
        <v>0</v>
      </c>
      <c r="I66" s="140">
        <v>0</v>
      </c>
      <c r="J66" s="140">
        <v>0.03</v>
      </c>
      <c r="K66" s="140">
        <f>ROUND(IF(E66="alluminio",(I66)*3%,0)+IF(E66="alluminio smaltato",(I66)*3%,0),4)</f>
        <v>0</v>
      </c>
      <c r="L66" s="143">
        <f>ROUND((J66*C66)+(K66*C66),4)</f>
        <v>0</v>
      </c>
      <c r="M66" s="140"/>
      <c r="N66" s="140">
        <f>ROUND(+I66-H66,4)</f>
        <v>0</v>
      </c>
      <c r="O66" s="143">
        <f>ROUND(+(N66)*C66*50%,4)</f>
        <v>0</v>
      </c>
      <c r="P66" s="147">
        <f>ROUND(O66+L66,4)</f>
        <v>0</v>
      </c>
      <c r="Q66" s="80"/>
      <c r="R66" s="81"/>
      <c r="S66" s="84"/>
    </row>
    <row r="67" spans="1:19" x14ac:dyDescent="0.2">
      <c r="A67" s="47"/>
      <c r="B67" s="36"/>
      <c r="C67" s="138"/>
      <c r="D67" s="140"/>
      <c r="E67" s="48"/>
      <c r="F67" s="140"/>
      <c r="G67" s="140"/>
      <c r="H67" s="140">
        <f>ROUND(+D67+F67,4)</f>
        <v>0</v>
      </c>
      <c r="I67" s="140">
        <v>0</v>
      </c>
      <c r="J67" s="140">
        <v>0.03</v>
      </c>
      <c r="K67" s="140">
        <f>ROUND(IF(E67="alluminio",(I67)*3%,0)+IF(E67="alluminio smaltato",(I67)*3%,0),4)</f>
        <v>0</v>
      </c>
      <c r="L67" s="143">
        <f>ROUND((J67*C67)+(K67*C67),4)</f>
        <v>0</v>
      </c>
      <c r="M67" s="140"/>
      <c r="N67" s="140">
        <f>ROUND(+I67-H67,4)</f>
        <v>0</v>
      </c>
      <c r="O67" s="143">
        <f>ROUND(+(N67)*C67*50%,4)</f>
        <v>0</v>
      </c>
      <c r="P67" s="147">
        <f>ROUND(O67+L67,4)</f>
        <v>0</v>
      </c>
      <c r="Q67" s="80"/>
      <c r="R67" s="81"/>
      <c r="S67" s="84"/>
    </row>
    <row r="68" spans="1:19" x14ac:dyDescent="0.2">
      <c r="A68" s="47"/>
      <c r="B68" s="36"/>
      <c r="C68" s="138"/>
      <c r="D68" s="140"/>
      <c r="E68" s="48"/>
      <c r="F68" s="140"/>
      <c r="G68" s="140"/>
      <c r="H68" s="140">
        <f>ROUND(+D68+F68,4)</f>
        <v>0</v>
      </c>
      <c r="I68" s="140">
        <v>0</v>
      </c>
      <c r="J68" s="140">
        <v>0.03</v>
      </c>
      <c r="K68" s="140">
        <f>ROUND(IF(E68="alluminio",(I68)*3%,0)+IF(E68="alluminio smaltato",(I68)*3%,0),4)</f>
        <v>0</v>
      </c>
      <c r="L68" s="143">
        <f>ROUND((J68*C68)+(K68*C68),4)</f>
        <v>0</v>
      </c>
      <c r="M68" s="140"/>
      <c r="N68" s="140">
        <f>ROUND(+I68-H68,4)</f>
        <v>0</v>
      </c>
      <c r="O68" s="143">
        <f>ROUND(+(N68)*C68*50%,4)</f>
        <v>0</v>
      </c>
      <c r="P68" s="147">
        <f>ROUND(O68+L68,4)</f>
        <v>0</v>
      </c>
      <c r="Q68" s="80"/>
      <c r="R68" s="81"/>
      <c r="S68" s="84"/>
    </row>
    <row r="69" spans="1:19" x14ac:dyDescent="0.2">
      <c r="A69" s="47"/>
      <c r="B69" s="36"/>
      <c r="C69" s="138"/>
      <c r="D69" s="140"/>
      <c r="E69" s="48"/>
      <c r="F69" s="140"/>
      <c r="G69" s="140"/>
      <c r="H69" s="140">
        <f>ROUND(+D69+F69,4)</f>
        <v>0</v>
      </c>
      <c r="I69" s="140">
        <v>0</v>
      </c>
      <c r="J69" s="140">
        <v>0.03</v>
      </c>
      <c r="K69" s="140">
        <f>ROUND(IF(E69="alluminio",(I69)*3%,0)+IF(E69="alluminio smaltato",(I69)*3%,0),4)</f>
        <v>0</v>
      </c>
      <c r="L69" s="143">
        <f>ROUND((J69*C69)+(K69*C69),4)</f>
        <v>0</v>
      </c>
      <c r="M69" s="140"/>
      <c r="N69" s="140">
        <f>ROUND(+I69-H69,4)</f>
        <v>0</v>
      </c>
      <c r="O69" s="143">
        <f>ROUND(+(N69)*C69*50%,4)</f>
        <v>0</v>
      </c>
      <c r="P69" s="147">
        <f>ROUND(O69+L69,4)</f>
        <v>0</v>
      </c>
      <c r="Q69" s="80"/>
      <c r="R69" s="81"/>
      <c r="S69" s="84"/>
    </row>
    <row r="70" spans="1:19" x14ac:dyDescent="0.2">
      <c r="A70" s="47"/>
      <c r="B70" s="36"/>
      <c r="C70" s="138"/>
      <c r="D70" s="140"/>
      <c r="E70" s="48"/>
      <c r="F70" s="140"/>
      <c r="G70" s="140"/>
      <c r="H70" s="140">
        <f>ROUND(+D70+F70,4)</f>
        <v>0</v>
      </c>
      <c r="I70" s="140">
        <v>0</v>
      </c>
      <c r="J70" s="140">
        <v>0.03</v>
      </c>
      <c r="K70" s="140">
        <f>ROUND(IF(E70="alluminio",(I70)*3%,0)+IF(E70="alluminio smaltato",(I70)*3%,0),4)</f>
        <v>0</v>
      </c>
      <c r="L70" s="143">
        <f>ROUND((J70*C70)+(K70*C70),4)</f>
        <v>0</v>
      </c>
      <c r="M70" s="140"/>
      <c r="N70" s="140">
        <f>ROUND(+I70-H70,4)</f>
        <v>0</v>
      </c>
      <c r="O70" s="143">
        <f>ROUND(+(N70)*C70*50%,4)</f>
        <v>0</v>
      </c>
      <c r="P70" s="147">
        <f>ROUND(O70+L70,4)</f>
        <v>0</v>
      </c>
      <c r="Q70" s="80"/>
      <c r="R70" s="81"/>
      <c r="S70" s="84"/>
    </row>
    <row r="71" spans="1:19" x14ac:dyDescent="0.2">
      <c r="A71" s="47"/>
      <c r="B71" s="36"/>
      <c r="C71" s="138"/>
      <c r="D71" s="140"/>
      <c r="E71" s="48"/>
      <c r="F71" s="140"/>
      <c r="G71" s="140"/>
      <c r="H71" s="140">
        <f>ROUND(+D71+F71,4)</f>
        <v>0</v>
      </c>
      <c r="I71" s="140">
        <v>0</v>
      </c>
      <c r="J71" s="140">
        <v>0.03</v>
      </c>
      <c r="K71" s="140">
        <f>ROUND(IF(E71="alluminio",(I71)*3%,0)+IF(E71="alluminio smaltato",(I71)*3%,0),4)</f>
        <v>0</v>
      </c>
      <c r="L71" s="143">
        <f>ROUND((J71*C71)+(K71*C71),4)</f>
        <v>0</v>
      </c>
      <c r="M71" s="140"/>
      <c r="N71" s="140">
        <f>ROUND(+I71-H71,4)</f>
        <v>0</v>
      </c>
      <c r="O71" s="143">
        <f>ROUND(+(N71)*C71*50%,4)</f>
        <v>0</v>
      </c>
      <c r="P71" s="147">
        <f>ROUND(O71+L71,4)</f>
        <v>0</v>
      </c>
      <c r="Q71" s="80"/>
      <c r="R71" s="81"/>
      <c r="S71" s="84"/>
    </row>
    <row r="72" spans="1:19" x14ac:dyDescent="0.2">
      <c r="A72" s="47"/>
      <c r="B72" s="36"/>
      <c r="C72" s="138"/>
      <c r="D72" s="140"/>
      <c r="E72" s="48"/>
      <c r="F72" s="140"/>
      <c r="G72" s="140"/>
      <c r="H72" s="140">
        <f>ROUND(+D72+F72,4)</f>
        <v>0</v>
      </c>
      <c r="I72" s="140">
        <v>0</v>
      </c>
      <c r="J72" s="140">
        <v>0.03</v>
      </c>
      <c r="K72" s="140">
        <f>ROUND(IF(E72="alluminio",(I72)*3%,0)+IF(E72="alluminio smaltato",(I72)*3%,0),4)</f>
        <v>0</v>
      </c>
      <c r="L72" s="143">
        <f>ROUND((J72*C72)+(K72*C72),4)</f>
        <v>0</v>
      </c>
      <c r="M72" s="140"/>
      <c r="N72" s="140">
        <f>ROUND(+I72-H72,4)</f>
        <v>0</v>
      </c>
      <c r="O72" s="143">
        <f>ROUND(+(N72)*C72*50%,4)</f>
        <v>0</v>
      </c>
      <c r="P72" s="147">
        <f>ROUND(O72+L72,4)</f>
        <v>0</v>
      </c>
      <c r="Q72" s="80"/>
      <c r="R72" s="81"/>
      <c r="S72" s="84"/>
    </row>
    <row r="73" spans="1:19" x14ac:dyDescent="0.2">
      <c r="A73" s="47"/>
      <c r="B73" s="36"/>
      <c r="C73" s="138"/>
      <c r="D73" s="140"/>
      <c r="E73" s="48"/>
      <c r="F73" s="140"/>
      <c r="G73" s="140"/>
      <c r="H73" s="140">
        <f>ROUND(+D73+F73,4)</f>
        <v>0</v>
      </c>
      <c r="I73" s="140">
        <v>0</v>
      </c>
      <c r="J73" s="140">
        <v>0.03</v>
      </c>
      <c r="K73" s="140">
        <f>ROUND(IF(E73="alluminio",(I73)*3%,0)+IF(E73="alluminio smaltato",(I73)*3%,0),4)</f>
        <v>0</v>
      </c>
      <c r="L73" s="143">
        <f>ROUND((J73*C73)+(K73*C73),4)</f>
        <v>0</v>
      </c>
      <c r="M73" s="140"/>
      <c r="N73" s="140">
        <f>ROUND(+I73-H73,4)</f>
        <v>0</v>
      </c>
      <c r="O73" s="143">
        <f>ROUND(+(N73)*C73*50%,4)</f>
        <v>0</v>
      </c>
      <c r="P73" s="147">
        <f>ROUND(O73+L73,4)</f>
        <v>0</v>
      </c>
      <c r="Q73" s="80"/>
      <c r="R73" s="81"/>
      <c r="S73" s="84"/>
    </row>
    <row r="74" spans="1:19" x14ac:dyDescent="0.2">
      <c r="A74" s="47"/>
      <c r="B74" s="36"/>
      <c r="C74" s="138"/>
      <c r="D74" s="140"/>
      <c r="E74" s="48"/>
      <c r="F74" s="140"/>
      <c r="G74" s="140"/>
      <c r="H74" s="140">
        <f>ROUND(+D74+F74,4)</f>
        <v>0</v>
      </c>
      <c r="I74" s="140">
        <v>0</v>
      </c>
      <c r="J74" s="140">
        <v>0.03</v>
      </c>
      <c r="K74" s="140">
        <f>ROUND(IF(E74="alluminio",(I74)*3%,0)+IF(E74="alluminio smaltato",(I74)*3%,0),4)</f>
        <v>0</v>
      </c>
      <c r="L74" s="143">
        <f>ROUND((J74*C74)+(K74*C74),4)</f>
        <v>0</v>
      </c>
      <c r="M74" s="140"/>
      <c r="N74" s="140">
        <f>ROUND(+I74-H74,4)</f>
        <v>0</v>
      </c>
      <c r="O74" s="143">
        <f>ROUND(+(N74)*C74*50%,4)</f>
        <v>0</v>
      </c>
      <c r="P74" s="147">
        <f>ROUND(O74+L74,4)</f>
        <v>0</v>
      </c>
      <c r="Q74" s="80"/>
      <c r="R74" s="81"/>
      <c r="S74" s="84"/>
    </row>
    <row r="75" spans="1:19" x14ac:dyDescent="0.2">
      <c r="A75" s="47"/>
      <c r="B75" s="36"/>
      <c r="C75" s="138"/>
      <c r="D75" s="140"/>
      <c r="E75" s="48"/>
      <c r="F75" s="140"/>
      <c r="G75" s="140"/>
      <c r="H75" s="140">
        <f>ROUND(+D75+F75,4)</f>
        <v>0</v>
      </c>
      <c r="I75" s="140">
        <v>0</v>
      </c>
      <c r="J75" s="140">
        <v>0.03</v>
      </c>
      <c r="K75" s="140">
        <f>ROUND(IF(E75="alluminio",(I75)*3%,0)+IF(E75="alluminio smaltato",(I75)*3%,0),4)</f>
        <v>0</v>
      </c>
      <c r="L75" s="143">
        <f>ROUND((J75*C75)+(K75*C75),4)</f>
        <v>0</v>
      </c>
      <c r="M75" s="140"/>
      <c r="N75" s="140">
        <f>ROUND(+I75-H75,4)</f>
        <v>0</v>
      </c>
      <c r="O75" s="143">
        <f>ROUND(+(N75)*C75*50%,4)</f>
        <v>0</v>
      </c>
      <c r="P75" s="147">
        <f>ROUND(O75+L75,4)</f>
        <v>0</v>
      </c>
      <c r="Q75" s="80"/>
      <c r="R75" s="81"/>
      <c r="S75" s="84"/>
    </row>
    <row r="76" spans="1:19" x14ac:dyDescent="0.2">
      <c r="A76" s="47"/>
      <c r="B76" s="36"/>
      <c r="C76" s="138"/>
      <c r="D76" s="140"/>
      <c r="E76" s="48"/>
      <c r="F76" s="140"/>
      <c r="G76" s="140"/>
      <c r="H76" s="140">
        <f>ROUND(+D76+F76,4)</f>
        <v>0</v>
      </c>
      <c r="I76" s="140">
        <v>0</v>
      </c>
      <c r="J76" s="140">
        <v>0.03</v>
      </c>
      <c r="K76" s="140">
        <f>ROUND(IF(E76="alluminio",(I76)*3%,0)+IF(E76="alluminio smaltato",(I76)*3%,0),4)</f>
        <v>0</v>
      </c>
      <c r="L76" s="143">
        <f>ROUND((J76*C76)+(K76*C76),4)</f>
        <v>0</v>
      </c>
      <c r="M76" s="140"/>
      <c r="N76" s="140">
        <f>ROUND(+I76-H76,4)</f>
        <v>0</v>
      </c>
      <c r="O76" s="143">
        <f>ROUND(+(N76)*C76*50%,4)</f>
        <v>0</v>
      </c>
      <c r="P76" s="147">
        <f>ROUND(O76+L76,4)</f>
        <v>0</v>
      </c>
      <c r="Q76" s="80"/>
      <c r="R76" s="81"/>
      <c r="S76" s="84"/>
    </row>
    <row r="77" spans="1:19" x14ac:dyDescent="0.2">
      <c r="A77" s="47"/>
      <c r="B77" s="36"/>
      <c r="C77" s="138"/>
      <c r="D77" s="140"/>
      <c r="E77" s="48"/>
      <c r="F77" s="140"/>
      <c r="G77" s="140"/>
      <c r="H77" s="140">
        <f>ROUND(+D77+F77,4)</f>
        <v>0</v>
      </c>
      <c r="I77" s="140">
        <v>0</v>
      </c>
      <c r="J77" s="140">
        <v>0.03</v>
      </c>
      <c r="K77" s="140">
        <f>ROUND(IF(E77="alluminio",(I77)*3%,0)+IF(E77="alluminio smaltato",(I77)*3%,0),4)</f>
        <v>0</v>
      </c>
      <c r="L77" s="143">
        <f>ROUND((J77*C77)+(K77*C77),4)</f>
        <v>0</v>
      </c>
      <c r="M77" s="140"/>
      <c r="N77" s="140">
        <f>ROUND(+I77-H77,4)</f>
        <v>0</v>
      </c>
      <c r="O77" s="143">
        <f>ROUND(+(N77)*C77*50%,4)</f>
        <v>0</v>
      </c>
      <c r="P77" s="147">
        <f>ROUND(O77+L77,4)</f>
        <v>0</v>
      </c>
      <c r="Q77" s="80"/>
      <c r="R77" s="81"/>
      <c r="S77" s="84"/>
    </row>
    <row r="78" spans="1:19" x14ac:dyDescent="0.2">
      <c r="A78" s="47"/>
      <c r="B78" s="36"/>
      <c r="C78" s="138"/>
      <c r="D78" s="140"/>
      <c r="E78" s="48"/>
      <c r="F78" s="140"/>
      <c r="G78" s="140"/>
      <c r="H78" s="140">
        <f>ROUND(+D78+F78,4)</f>
        <v>0</v>
      </c>
      <c r="I78" s="140">
        <v>0</v>
      </c>
      <c r="J78" s="140">
        <v>0.03</v>
      </c>
      <c r="K78" s="140">
        <f>ROUND(IF(E78="alluminio",(I78)*3%,0)+IF(E78="alluminio smaltato",(I78)*3%,0),4)</f>
        <v>0</v>
      </c>
      <c r="L78" s="143">
        <f>ROUND((J78*C78)+(K78*C78),4)</f>
        <v>0</v>
      </c>
      <c r="M78" s="140"/>
      <c r="N78" s="140">
        <f>ROUND(+I78-H78,4)</f>
        <v>0</v>
      </c>
      <c r="O78" s="143">
        <f>ROUND(+(N78)*C78*50%,4)</f>
        <v>0</v>
      </c>
      <c r="P78" s="147">
        <f>ROUND(O78+L78,4)</f>
        <v>0</v>
      </c>
      <c r="Q78" s="80"/>
      <c r="R78" s="81"/>
      <c r="S78" s="84"/>
    </row>
    <row r="79" spans="1:19" x14ac:dyDescent="0.2">
      <c r="A79" s="47"/>
      <c r="B79" s="36"/>
      <c r="C79" s="138"/>
      <c r="D79" s="140"/>
      <c r="E79" s="48"/>
      <c r="F79" s="140"/>
      <c r="G79" s="140"/>
      <c r="H79" s="140">
        <f>ROUND(+D79+F79,4)</f>
        <v>0</v>
      </c>
      <c r="I79" s="140">
        <v>0</v>
      </c>
      <c r="J79" s="140">
        <v>0.03</v>
      </c>
      <c r="K79" s="140">
        <f>ROUND(IF(E79="alluminio",(I79)*3%,0)+IF(E79="alluminio smaltato",(I79)*3%,0),4)</f>
        <v>0</v>
      </c>
      <c r="L79" s="143">
        <f>ROUND((J79*C79)+(K79*C79),4)</f>
        <v>0</v>
      </c>
      <c r="M79" s="140"/>
      <c r="N79" s="140">
        <f>ROUND(+I79-H79,4)</f>
        <v>0</v>
      </c>
      <c r="O79" s="143">
        <f>ROUND(+(N79)*C79*50%,4)</f>
        <v>0</v>
      </c>
      <c r="P79" s="147">
        <f>ROUND(O79+L79,4)</f>
        <v>0</v>
      </c>
      <c r="Q79" s="80"/>
      <c r="R79" s="81"/>
      <c r="S79" s="84"/>
    </row>
    <row r="80" spans="1:19" x14ac:dyDescent="0.2">
      <c r="A80" s="47"/>
      <c r="B80" s="36"/>
      <c r="C80" s="138"/>
      <c r="D80" s="140"/>
      <c r="E80" s="48"/>
      <c r="F80" s="140"/>
      <c r="G80" s="140"/>
      <c r="H80" s="140">
        <f>ROUND(+D80+F80,4)</f>
        <v>0</v>
      </c>
      <c r="I80" s="140">
        <v>0</v>
      </c>
      <c r="J80" s="140">
        <v>0.03</v>
      </c>
      <c r="K80" s="140">
        <f>ROUND(IF(E80="alluminio",(I80)*3%,0)+IF(E80="alluminio smaltato",(I80)*3%,0),4)</f>
        <v>0</v>
      </c>
      <c r="L80" s="143">
        <f>ROUND((J80*C80)+(K80*C80),4)</f>
        <v>0</v>
      </c>
      <c r="M80" s="140"/>
      <c r="N80" s="140">
        <f>ROUND(+I80-H80,4)</f>
        <v>0</v>
      </c>
      <c r="O80" s="143">
        <f>ROUND(+(N80)*C80*50%,4)</f>
        <v>0</v>
      </c>
      <c r="P80" s="147">
        <f>ROUND(O80+L80,4)</f>
        <v>0</v>
      </c>
      <c r="Q80" s="80"/>
      <c r="R80" s="81"/>
      <c r="S80" s="84"/>
    </row>
    <row r="81" spans="1:19" x14ac:dyDescent="0.2">
      <c r="A81" s="47"/>
      <c r="B81" s="36"/>
      <c r="C81" s="138"/>
      <c r="D81" s="140"/>
      <c r="E81" s="48"/>
      <c r="F81" s="140"/>
      <c r="G81" s="140"/>
      <c r="H81" s="140">
        <f>ROUND(+D81+F81,4)</f>
        <v>0</v>
      </c>
      <c r="I81" s="140">
        <v>0</v>
      </c>
      <c r="J81" s="140">
        <v>0.03</v>
      </c>
      <c r="K81" s="140">
        <f>ROUND(IF(E81="alluminio",(I81)*3%,0)+IF(E81="alluminio smaltato",(I81)*3%,0),4)</f>
        <v>0</v>
      </c>
      <c r="L81" s="143">
        <f>ROUND((J81*C81)+(K81*C81),4)</f>
        <v>0</v>
      </c>
      <c r="M81" s="140"/>
      <c r="N81" s="140">
        <f>ROUND(+I81-H81,4)</f>
        <v>0</v>
      </c>
      <c r="O81" s="143">
        <f>ROUND(+(N81)*C81*50%,4)</f>
        <v>0</v>
      </c>
      <c r="P81" s="147">
        <f>ROUND(O81+L81,4)</f>
        <v>0</v>
      </c>
      <c r="Q81" s="80"/>
      <c r="R81" s="81"/>
      <c r="S81" s="84"/>
    </row>
    <row r="82" spans="1:19" x14ac:dyDescent="0.2">
      <c r="A82" s="47"/>
      <c r="B82" s="36"/>
      <c r="C82" s="138"/>
      <c r="D82" s="140"/>
      <c r="E82" s="48"/>
      <c r="F82" s="140"/>
      <c r="G82" s="140"/>
      <c r="H82" s="140">
        <f>ROUND(+D82+F82,4)</f>
        <v>0</v>
      </c>
      <c r="I82" s="140">
        <v>0</v>
      </c>
      <c r="J82" s="140">
        <v>0.03</v>
      </c>
      <c r="K82" s="140">
        <f>ROUND(IF(E82="alluminio",(I82)*3%,0)+IF(E82="alluminio smaltato",(I82)*3%,0),4)</f>
        <v>0</v>
      </c>
      <c r="L82" s="143">
        <f>ROUND((J82*C82)+(K82*C82),4)</f>
        <v>0</v>
      </c>
      <c r="M82" s="140"/>
      <c r="N82" s="140">
        <f>ROUND(+I82-H82,4)</f>
        <v>0</v>
      </c>
      <c r="O82" s="143">
        <f>ROUND(+(N82)*C82*50%,4)</f>
        <v>0</v>
      </c>
      <c r="P82" s="147">
        <f>ROUND(O82+L82,4)</f>
        <v>0</v>
      </c>
      <c r="Q82" s="80"/>
      <c r="R82" s="81"/>
      <c r="S82" s="84"/>
    </row>
    <row r="83" spans="1:19" x14ac:dyDescent="0.2">
      <c r="A83" s="47"/>
      <c r="B83" s="36"/>
      <c r="C83" s="138"/>
      <c r="D83" s="140"/>
      <c r="E83" s="48"/>
      <c r="F83" s="140"/>
      <c r="G83" s="140"/>
      <c r="H83" s="140">
        <f>ROUND(+D83+F83,4)</f>
        <v>0</v>
      </c>
      <c r="I83" s="140">
        <v>0</v>
      </c>
      <c r="J83" s="140">
        <v>0.03</v>
      </c>
      <c r="K83" s="140">
        <f>ROUND(IF(E83="alluminio",(I83)*3%,0)+IF(E83="alluminio smaltato",(I83)*3%,0),4)</f>
        <v>0</v>
      </c>
      <c r="L83" s="143">
        <f>ROUND((J83*C83)+(K83*C83),4)</f>
        <v>0</v>
      </c>
      <c r="M83" s="140"/>
      <c r="N83" s="140">
        <f>ROUND(+I83-H83,4)</f>
        <v>0</v>
      </c>
      <c r="O83" s="143">
        <f>ROUND(+(N83)*C83*50%,4)</f>
        <v>0</v>
      </c>
      <c r="P83" s="147">
        <f>ROUND(O83+L83,4)</f>
        <v>0</v>
      </c>
      <c r="Q83" s="80"/>
      <c r="R83" s="81"/>
      <c r="S83" s="84"/>
    </row>
    <row r="84" spans="1:19" x14ac:dyDescent="0.2">
      <c r="A84" s="47"/>
      <c r="B84" s="36"/>
      <c r="C84" s="138"/>
      <c r="D84" s="140"/>
      <c r="E84" s="48"/>
      <c r="F84" s="140"/>
      <c r="G84" s="140"/>
      <c r="H84" s="140">
        <f>ROUND(+D84+F84,4)</f>
        <v>0</v>
      </c>
      <c r="I84" s="140">
        <v>0</v>
      </c>
      <c r="J84" s="140">
        <v>0.03</v>
      </c>
      <c r="K84" s="140">
        <f>ROUND(IF(E84="alluminio",(I84)*3%,0)+IF(E84="alluminio smaltato",(I84)*3%,0),4)</f>
        <v>0</v>
      </c>
      <c r="L84" s="143">
        <f>ROUND((J84*C84)+(K84*C84),4)</f>
        <v>0</v>
      </c>
      <c r="M84" s="140"/>
      <c r="N84" s="140">
        <f>ROUND(+I84-H84,4)</f>
        <v>0</v>
      </c>
      <c r="O84" s="143">
        <f>ROUND(+(N84)*C84*50%,4)</f>
        <v>0</v>
      </c>
      <c r="P84" s="147">
        <f>ROUND(O84+L84,4)</f>
        <v>0</v>
      </c>
      <c r="Q84" s="80"/>
      <c r="R84" s="81"/>
      <c r="S84" s="84"/>
    </row>
    <row r="85" spans="1:19" x14ac:dyDescent="0.2">
      <c r="A85" s="47"/>
      <c r="B85" s="36"/>
      <c r="C85" s="138"/>
      <c r="D85" s="140"/>
      <c r="E85" s="48"/>
      <c r="F85" s="140"/>
      <c r="G85" s="140"/>
      <c r="H85" s="140">
        <f>ROUND(+D85+F85,4)</f>
        <v>0</v>
      </c>
      <c r="I85" s="140">
        <v>0</v>
      </c>
      <c r="J85" s="140">
        <v>0.03</v>
      </c>
      <c r="K85" s="140">
        <f>ROUND(IF(E85="alluminio",(I85)*3%,0)+IF(E85="alluminio smaltato",(I85)*3%,0),4)</f>
        <v>0</v>
      </c>
      <c r="L85" s="143">
        <f>ROUND((J85*C85)+(K85*C85),4)</f>
        <v>0</v>
      </c>
      <c r="M85" s="140"/>
      <c r="N85" s="140">
        <f>ROUND(+I85-H85,4)</f>
        <v>0</v>
      </c>
      <c r="O85" s="143">
        <f>ROUND(+(N85)*C85*50%,4)</f>
        <v>0</v>
      </c>
      <c r="P85" s="147">
        <f>ROUND(O85+L85,4)</f>
        <v>0</v>
      </c>
      <c r="Q85" s="80"/>
      <c r="R85" s="81"/>
      <c r="S85" s="84"/>
    </row>
    <row r="86" spans="1:19" x14ac:dyDescent="0.2">
      <c r="A86" s="47"/>
      <c r="B86" s="36"/>
      <c r="C86" s="138"/>
      <c r="D86" s="140"/>
      <c r="E86" s="48"/>
      <c r="F86" s="140"/>
      <c r="G86" s="140"/>
      <c r="H86" s="140">
        <f>ROUND(+D86+F86,4)</f>
        <v>0</v>
      </c>
      <c r="I86" s="140">
        <v>0</v>
      </c>
      <c r="J86" s="140">
        <v>0.03</v>
      </c>
      <c r="K86" s="140">
        <f>ROUND(IF(E86="alluminio",(I86)*3%,0)+IF(E86="alluminio smaltato",(I86)*3%,0),4)</f>
        <v>0</v>
      </c>
      <c r="L86" s="143">
        <f>ROUND((J86*C86)+(K86*C86),4)</f>
        <v>0</v>
      </c>
      <c r="M86" s="140"/>
      <c r="N86" s="140">
        <f>ROUND(+I86-H86,4)</f>
        <v>0</v>
      </c>
      <c r="O86" s="143">
        <f>ROUND(+(N86)*C86*50%,4)</f>
        <v>0</v>
      </c>
      <c r="P86" s="147">
        <f>ROUND(O86+L86,4)</f>
        <v>0</v>
      </c>
      <c r="Q86" s="80"/>
      <c r="R86" s="81"/>
      <c r="S86" s="84"/>
    </row>
    <row r="87" spans="1:19" x14ac:dyDescent="0.2">
      <c r="A87" s="47"/>
      <c r="B87" s="36"/>
      <c r="C87" s="138"/>
      <c r="D87" s="140"/>
      <c r="E87" s="48"/>
      <c r="F87" s="140"/>
      <c r="G87" s="140"/>
      <c r="H87" s="140">
        <f>ROUND(+D87+F87,4)</f>
        <v>0</v>
      </c>
      <c r="I87" s="140">
        <v>0</v>
      </c>
      <c r="J87" s="140">
        <v>0.03</v>
      </c>
      <c r="K87" s="140">
        <f>ROUND(IF(E87="alluminio",(I87)*3%,0)+IF(E87="alluminio smaltato",(I87)*3%,0),4)</f>
        <v>0</v>
      </c>
      <c r="L87" s="143">
        <f>ROUND((J87*C87)+(K87*C87),4)</f>
        <v>0</v>
      </c>
      <c r="M87" s="140"/>
      <c r="N87" s="140">
        <f>ROUND(+I87-H87,4)</f>
        <v>0</v>
      </c>
      <c r="O87" s="143">
        <f>ROUND(+(N87)*C87*50%,4)</f>
        <v>0</v>
      </c>
      <c r="P87" s="147">
        <f>ROUND(O87+L87,4)</f>
        <v>0</v>
      </c>
      <c r="Q87" s="80"/>
      <c r="R87" s="81"/>
      <c r="S87" s="84"/>
    </row>
    <row r="88" spans="1:19" x14ac:dyDescent="0.2">
      <c r="A88" s="47"/>
      <c r="B88" s="36"/>
      <c r="C88" s="138"/>
      <c r="D88" s="140"/>
      <c r="E88" s="48"/>
      <c r="F88" s="140"/>
      <c r="G88" s="140"/>
      <c r="H88" s="140">
        <f>ROUND(+D88+F88,4)</f>
        <v>0</v>
      </c>
      <c r="I88" s="140">
        <v>0</v>
      </c>
      <c r="J88" s="140">
        <v>0.03</v>
      </c>
      <c r="K88" s="140">
        <f>ROUND(IF(E88="alluminio",(I88)*3%,0)+IF(E88="alluminio smaltato",(I88)*3%,0),4)</f>
        <v>0</v>
      </c>
      <c r="L88" s="143">
        <f>ROUND((J88*C88)+(K88*C88),4)</f>
        <v>0</v>
      </c>
      <c r="M88" s="140"/>
      <c r="N88" s="140">
        <f>ROUND(+I88-H88,4)</f>
        <v>0</v>
      </c>
      <c r="O88" s="143">
        <f>ROUND(+(N88)*C88*50%,4)</f>
        <v>0</v>
      </c>
      <c r="P88" s="147">
        <f>ROUND(O88+L88,4)</f>
        <v>0</v>
      </c>
      <c r="Q88" s="80"/>
      <c r="R88" s="81"/>
      <c r="S88" s="84"/>
    </row>
    <row r="89" spans="1:19" x14ac:dyDescent="0.2">
      <c r="A89" s="47"/>
      <c r="B89" s="36"/>
      <c r="C89" s="138"/>
      <c r="D89" s="140"/>
      <c r="E89" s="48"/>
      <c r="F89" s="140"/>
      <c r="G89" s="140"/>
      <c r="H89" s="140">
        <f>ROUND(+D89+F89,4)</f>
        <v>0</v>
      </c>
      <c r="I89" s="140">
        <v>0</v>
      </c>
      <c r="J89" s="140">
        <v>0.03</v>
      </c>
      <c r="K89" s="140">
        <f>ROUND(IF(E89="alluminio",(I89)*3%,0)+IF(E89="alluminio smaltato",(I89)*3%,0),4)</f>
        <v>0</v>
      </c>
      <c r="L89" s="143">
        <f>ROUND((J89*C89)+(K89*C89),4)</f>
        <v>0</v>
      </c>
      <c r="M89" s="140"/>
      <c r="N89" s="140">
        <f>ROUND(+I89-H89,4)</f>
        <v>0</v>
      </c>
      <c r="O89" s="143">
        <f>ROUND(+(N89)*C89*50%,4)</f>
        <v>0</v>
      </c>
      <c r="P89" s="147">
        <f>ROUND(O89+L89,4)</f>
        <v>0</v>
      </c>
      <c r="Q89" s="80"/>
      <c r="R89" s="81"/>
      <c r="S89" s="84"/>
    </row>
    <row r="90" spans="1:19" x14ac:dyDescent="0.2">
      <c r="A90" s="47"/>
      <c r="B90" s="36"/>
      <c r="C90" s="138"/>
      <c r="D90" s="140"/>
      <c r="E90" s="48"/>
      <c r="F90" s="140"/>
      <c r="G90" s="140"/>
      <c r="H90" s="140">
        <f>ROUND(+D90+F90,4)</f>
        <v>0</v>
      </c>
      <c r="I90" s="140">
        <v>0</v>
      </c>
      <c r="J90" s="140">
        <v>0.03</v>
      </c>
      <c r="K90" s="140">
        <f>ROUND(IF(E90="alluminio",(I90)*3%,0)+IF(E90="alluminio smaltato",(I90)*3%,0),4)</f>
        <v>0</v>
      </c>
      <c r="L90" s="143">
        <f>ROUND((J90*C90)+(K90*C90),4)</f>
        <v>0</v>
      </c>
      <c r="M90" s="140"/>
      <c r="N90" s="140">
        <f>ROUND(+I90-H90,4)</f>
        <v>0</v>
      </c>
      <c r="O90" s="143">
        <f>ROUND(+(N90)*C90*50%,4)</f>
        <v>0</v>
      </c>
      <c r="P90" s="147">
        <f>ROUND(O90+L90,4)</f>
        <v>0</v>
      </c>
      <c r="Q90" s="80"/>
      <c r="R90" s="81"/>
      <c r="S90" s="84"/>
    </row>
    <row r="91" spans="1:19" x14ac:dyDescent="0.2">
      <c r="A91" s="47"/>
      <c r="B91" s="36"/>
      <c r="C91" s="138"/>
      <c r="D91" s="140"/>
      <c r="E91" s="48"/>
      <c r="F91" s="140"/>
      <c r="G91" s="140"/>
      <c r="H91" s="140">
        <f>ROUND(+D91+F91,4)</f>
        <v>0</v>
      </c>
      <c r="I91" s="140">
        <v>0</v>
      </c>
      <c r="J91" s="140">
        <v>0.03</v>
      </c>
      <c r="K91" s="140">
        <f>ROUND(IF(E91="alluminio",(I91)*3%,0)+IF(E91="alluminio smaltato",(I91)*3%,0),4)</f>
        <v>0</v>
      </c>
      <c r="L91" s="143">
        <f>ROUND((J91*C91)+(K91*C91),4)</f>
        <v>0</v>
      </c>
      <c r="M91" s="140"/>
      <c r="N91" s="140">
        <f>ROUND(+I91-H91,4)</f>
        <v>0</v>
      </c>
      <c r="O91" s="143">
        <f>ROUND(+(N91)*C91*50%,4)</f>
        <v>0</v>
      </c>
      <c r="P91" s="147">
        <f>ROUND(O91+L91,4)</f>
        <v>0</v>
      </c>
      <c r="Q91" s="80"/>
      <c r="R91" s="81"/>
      <c r="S91" s="84"/>
    </row>
    <row r="92" spans="1:19" x14ac:dyDescent="0.2">
      <c r="A92" s="47"/>
      <c r="B92" s="36"/>
      <c r="C92" s="138"/>
      <c r="D92" s="140"/>
      <c r="E92" s="48"/>
      <c r="F92" s="140"/>
      <c r="G92" s="140"/>
      <c r="H92" s="140">
        <f>ROUND(+D92+F92,4)</f>
        <v>0</v>
      </c>
      <c r="I92" s="140">
        <v>0</v>
      </c>
      <c r="J92" s="140">
        <v>0.03</v>
      </c>
      <c r="K92" s="140">
        <f>ROUND(IF(E92="alluminio",(I92)*3%,0)+IF(E92="alluminio smaltato",(I92)*3%,0),4)</f>
        <v>0</v>
      </c>
      <c r="L92" s="143">
        <f>ROUND((J92*C92)+(K92*C92),4)</f>
        <v>0</v>
      </c>
      <c r="M92" s="140"/>
      <c r="N92" s="140">
        <f>ROUND(+I92-H92,4)</f>
        <v>0</v>
      </c>
      <c r="O92" s="143">
        <f>ROUND(+(N92)*C92*50%,4)</f>
        <v>0</v>
      </c>
      <c r="P92" s="147">
        <f>ROUND(O92+L92,4)</f>
        <v>0</v>
      </c>
      <c r="Q92" s="80"/>
      <c r="R92" s="81"/>
      <c r="S92" s="84"/>
    </row>
    <row r="93" spans="1:19" x14ac:dyDescent="0.2">
      <c r="A93" s="47"/>
      <c r="B93" s="36"/>
      <c r="C93" s="138"/>
      <c r="D93" s="140"/>
      <c r="E93" s="48"/>
      <c r="F93" s="140"/>
      <c r="G93" s="140"/>
      <c r="H93" s="140">
        <f>ROUND(+D93+F93,4)</f>
        <v>0</v>
      </c>
      <c r="I93" s="140">
        <v>0</v>
      </c>
      <c r="J93" s="140">
        <v>0.03</v>
      </c>
      <c r="K93" s="140">
        <f>ROUND(IF(E93="alluminio",(I93)*3%,0)+IF(E93="alluminio smaltato",(I93)*3%,0),4)</f>
        <v>0</v>
      </c>
      <c r="L93" s="143">
        <f>ROUND((J93*C93)+(K93*C93),4)</f>
        <v>0</v>
      </c>
      <c r="M93" s="140"/>
      <c r="N93" s="140">
        <f>ROUND(+I93-H93,4)</f>
        <v>0</v>
      </c>
      <c r="O93" s="143">
        <f>ROUND(+(N93)*C93*50%,4)</f>
        <v>0</v>
      </c>
      <c r="P93" s="147">
        <f>ROUND(O93+L93,4)</f>
        <v>0</v>
      </c>
      <c r="Q93" s="80"/>
      <c r="R93" s="81"/>
      <c r="S93" s="84"/>
    </row>
    <row r="94" spans="1:19" x14ac:dyDescent="0.2">
      <c r="A94" s="47"/>
      <c r="B94" s="36"/>
      <c r="C94" s="138"/>
      <c r="D94" s="140"/>
      <c r="E94" s="48"/>
      <c r="F94" s="140"/>
      <c r="G94" s="140"/>
      <c r="H94" s="140">
        <f>ROUND(+D94+F94,4)</f>
        <v>0</v>
      </c>
      <c r="I94" s="140">
        <v>0</v>
      </c>
      <c r="J94" s="140">
        <v>0.03</v>
      </c>
      <c r="K94" s="140">
        <f>ROUND(IF(E94="alluminio",(I94)*3%,0)+IF(E94="alluminio smaltato",(I94)*3%,0),4)</f>
        <v>0</v>
      </c>
      <c r="L94" s="143">
        <f>ROUND((J94*C94)+(K94*C94),4)</f>
        <v>0</v>
      </c>
      <c r="M94" s="140"/>
      <c r="N94" s="140">
        <f>ROUND(+I94-H94,4)</f>
        <v>0</v>
      </c>
      <c r="O94" s="143">
        <f>ROUND(+(N94)*C94*50%,4)</f>
        <v>0</v>
      </c>
      <c r="P94" s="147">
        <f>ROUND(O94+L94,4)</f>
        <v>0</v>
      </c>
      <c r="Q94" s="80"/>
      <c r="R94" s="81"/>
      <c r="S94" s="84"/>
    </row>
    <row r="95" spans="1:19" x14ac:dyDescent="0.2">
      <c r="A95" s="47"/>
      <c r="B95" s="36"/>
      <c r="C95" s="138"/>
      <c r="D95" s="140"/>
      <c r="E95" s="48"/>
      <c r="F95" s="140"/>
      <c r="G95" s="140"/>
      <c r="H95" s="140">
        <f>ROUND(+D95+F95,4)</f>
        <v>0</v>
      </c>
      <c r="I95" s="140">
        <v>0</v>
      </c>
      <c r="J95" s="140">
        <v>0.03</v>
      </c>
      <c r="K95" s="140">
        <f>ROUND(IF(E95="alluminio",(I95)*3%,0)+IF(E95="alluminio smaltato",(I95)*3%,0),4)</f>
        <v>0</v>
      </c>
      <c r="L95" s="143">
        <f>ROUND((J95*C95)+(K95*C95),4)</f>
        <v>0</v>
      </c>
      <c r="M95" s="140"/>
      <c r="N95" s="140">
        <f>ROUND(+I95-H95,4)</f>
        <v>0</v>
      </c>
      <c r="O95" s="143">
        <f>ROUND(+(N95)*C95*50%,4)</f>
        <v>0</v>
      </c>
      <c r="P95" s="147">
        <f>ROUND(O95+L95,4)</f>
        <v>0</v>
      </c>
      <c r="Q95" s="80"/>
      <c r="R95" s="81"/>
      <c r="S95" s="84"/>
    </row>
    <row r="96" spans="1:19" x14ac:dyDescent="0.2">
      <c r="A96" s="47"/>
      <c r="B96" s="36"/>
      <c r="C96" s="138"/>
      <c r="D96" s="140"/>
      <c r="E96" s="48"/>
      <c r="F96" s="140"/>
      <c r="G96" s="140"/>
      <c r="H96" s="140">
        <f>ROUND(+D96+F96,4)</f>
        <v>0</v>
      </c>
      <c r="I96" s="140">
        <v>0</v>
      </c>
      <c r="J96" s="140">
        <v>0.03</v>
      </c>
      <c r="K96" s="140">
        <f>ROUND(IF(E96="alluminio",(I96)*3%,0)+IF(E96="alluminio smaltato",(I96)*3%,0),4)</f>
        <v>0</v>
      </c>
      <c r="L96" s="143">
        <f>ROUND((J96*C96)+(K96*C96),4)</f>
        <v>0</v>
      </c>
      <c r="M96" s="140"/>
      <c r="N96" s="140">
        <f>ROUND(+I96-H96,4)</f>
        <v>0</v>
      </c>
      <c r="O96" s="143">
        <f>ROUND(+(N96)*C96*50%,4)</f>
        <v>0</v>
      </c>
      <c r="P96" s="147">
        <f>ROUND(O96+L96,4)</f>
        <v>0</v>
      </c>
      <c r="Q96" s="80"/>
      <c r="R96" s="81"/>
      <c r="S96" s="84"/>
    </row>
    <row r="97" spans="1:19" x14ac:dyDescent="0.2">
      <c r="A97" s="47"/>
      <c r="B97" s="36"/>
      <c r="C97" s="138"/>
      <c r="D97" s="140"/>
      <c r="E97" s="48"/>
      <c r="F97" s="140"/>
      <c r="G97" s="140"/>
      <c r="H97" s="140">
        <f>ROUND(+D97+F97,4)</f>
        <v>0</v>
      </c>
      <c r="I97" s="140">
        <v>0</v>
      </c>
      <c r="J97" s="140">
        <v>0.03</v>
      </c>
      <c r="K97" s="140">
        <f>ROUND(IF(E97="alluminio",(I97)*3%,0)+IF(E97="alluminio smaltato",(I97)*3%,0),4)</f>
        <v>0</v>
      </c>
      <c r="L97" s="143">
        <f>ROUND((J97*C97)+(K97*C97),4)</f>
        <v>0</v>
      </c>
      <c r="M97" s="140"/>
      <c r="N97" s="140">
        <f>ROUND(+I97-H97,4)</f>
        <v>0</v>
      </c>
      <c r="O97" s="143">
        <f>ROUND(+(N97)*C97*50%,4)</f>
        <v>0</v>
      </c>
      <c r="P97" s="147">
        <f>ROUND(O97+L97,4)</f>
        <v>0</v>
      </c>
      <c r="Q97" s="80"/>
      <c r="R97" s="81"/>
      <c r="S97" s="84"/>
    </row>
    <row r="98" spans="1:19" x14ac:dyDescent="0.2">
      <c r="A98" s="47"/>
      <c r="B98" s="36"/>
      <c r="C98" s="138"/>
      <c r="D98" s="140"/>
      <c r="E98" s="48"/>
      <c r="F98" s="140"/>
      <c r="G98" s="140"/>
      <c r="H98" s="140">
        <f>ROUND(+D98+F98,4)</f>
        <v>0</v>
      </c>
      <c r="I98" s="140">
        <v>0</v>
      </c>
      <c r="J98" s="140">
        <v>0.03</v>
      </c>
      <c r="K98" s="140">
        <f>ROUND(IF(E98="alluminio",(I98)*3%,0)+IF(E98="alluminio smaltato",(I98)*3%,0),4)</f>
        <v>0</v>
      </c>
      <c r="L98" s="143">
        <f>ROUND((J98*C98)+(K98*C98),4)</f>
        <v>0</v>
      </c>
      <c r="M98" s="140"/>
      <c r="N98" s="140">
        <f>ROUND(+I98-H98,4)</f>
        <v>0</v>
      </c>
      <c r="O98" s="143">
        <f>ROUND(+(N98)*C98*50%,4)</f>
        <v>0</v>
      </c>
      <c r="P98" s="147">
        <f>ROUND(O98+L98,4)</f>
        <v>0</v>
      </c>
      <c r="Q98" s="80"/>
      <c r="R98" s="81"/>
      <c r="S98" s="84"/>
    </row>
    <row r="99" spans="1:19" x14ac:dyDescent="0.2">
      <c r="A99" s="47"/>
      <c r="B99" s="36"/>
      <c r="C99" s="138"/>
      <c r="D99" s="140"/>
      <c r="E99" s="48"/>
      <c r="F99" s="140"/>
      <c r="G99" s="140"/>
      <c r="H99" s="140">
        <f>ROUND(+D99+F99,4)</f>
        <v>0</v>
      </c>
      <c r="I99" s="140">
        <v>0</v>
      </c>
      <c r="J99" s="140">
        <v>0.03</v>
      </c>
      <c r="K99" s="140">
        <f>ROUND(IF(E99="alluminio",(I99)*3%,0)+IF(E99="alluminio smaltato",(I99)*3%,0),4)</f>
        <v>0</v>
      </c>
      <c r="L99" s="143">
        <f>ROUND((J99*C99)+(K99*C99),4)</f>
        <v>0</v>
      </c>
      <c r="M99" s="140"/>
      <c r="N99" s="140">
        <f>ROUND(+I99-H99,4)</f>
        <v>0</v>
      </c>
      <c r="O99" s="143">
        <f>ROUND(+(N99)*C99*50%,4)</f>
        <v>0</v>
      </c>
      <c r="P99" s="147">
        <f>ROUND(O99+L99,4)</f>
        <v>0</v>
      </c>
      <c r="Q99" s="80"/>
      <c r="R99" s="81"/>
      <c r="S99" s="84"/>
    </row>
    <row r="100" spans="1:19" x14ac:dyDescent="0.2">
      <c r="A100" s="47"/>
      <c r="B100" s="36"/>
      <c r="C100" s="138"/>
      <c r="D100" s="140"/>
      <c r="E100" s="48"/>
      <c r="F100" s="140"/>
      <c r="G100" s="140"/>
      <c r="H100" s="140">
        <f>ROUND(+D100+F100,4)</f>
        <v>0</v>
      </c>
      <c r="I100" s="140">
        <v>0</v>
      </c>
      <c r="J100" s="140">
        <v>0.03</v>
      </c>
      <c r="K100" s="140">
        <f>ROUND(IF(E100="alluminio",(I100)*3%,0)+IF(E100="alluminio smaltato",(I100)*3%,0),4)</f>
        <v>0</v>
      </c>
      <c r="L100" s="143">
        <f>ROUND((J100*C100)+(K100*C100),4)</f>
        <v>0</v>
      </c>
      <c r="M100" s="140"/>
      <c r="N100" s="140">
        <f>ROUND(+I100-H100,4)</f>
        <v>0</v>
      </c>
      <c r="O100" s="143">
        <f>ROUND(+(N100)*C100*50%,4)</f>
        <v>0</v>
      </c>
      <c r="P100" s="147">
        <f>ROUND(O100+L100,4)</f>
        <v>0</v>
      </c>
      <c r="Q100" s="80"/>
      <c r="R100" s="81"/>
      <c r="S100" s="84"/>
    </row>
    <row r="101" spans="1:19" x14ac:dyDescent="0.2">
      <c r="A101" s="47"/>
      <c r="B101" s="36"/>
      <c r="C101" s="138"/>
      <c r="D101" s="140"/>
      <c r="E101" s="48"/>
      <c r="F101" s="140"/>
      <c r="G101" s="140"/>
      <c r="H101" s="140">
        <f>ROUND(+D101+F101,4)</f>
        <v>0</v>
      </c>
      <c r="I101" s="140">
        <v>0</v>
      </c>
      <c r="J101" s="140">
        <v>0.03</v>
      </c>
      <c r="K101" s="140">
        <f>ROUND(IF(E101="alluminio",(I101)*3%,0)+IF(E101="alluminio smaltato",(I101)*3%,0),4)</f>
        <v>0</v>
      </c>
      <c r="L101" s="143">
        <f>ROUND((J101*C101)+(K101*C101),4)</f>
        <v>0</v>
      </c>
      <c r="M101" s="140"/>
      <c r="N101" s="140">
        <f>ROUND(+I101-H101,4)</f>
        <v>0</v>
      </c>
      <c r="O101" s="143">
        <f>ROUND(+(N101)*C101*50%,4)</f>
        <v>0</v>
      </c>
      <c r="P101" s="147">
        <f>ROUND(O101+L101,4)</f>
        <v>0</v>
      </c>
      <c r="Q101" s="80"/>
      <c r="R101" s="81"/>
      <c r="S101" s="84"/>
    </row>
    <row r="102" spans="1:19" x14ac:dyDescent="0.2">
      <c r="A102" s="47"/>
      <c r="B102" s="36"/>
      <c r="C102" s="138"/>
      <c r="D102" s="140"/>
      <c r="E102" s="48"/>
      <c r="F102" s="140"/>
      <c r="G102" s="140"/>
      <c r="H102" s="140">
        <f>ROUND(+D102+F102,4)</f>
        <v>0</v>
      </c>
      <c r="I102" s="140">
        <v>0</v>
      </c>
      <c r="J102" s="140">
        <v>0.03</v>
      </c>
      <c r="K102" s="140">
        <f>ROUND(IF(E102="alluminio",(I102)*3%,0)+IF(E102="alluminio smaltato",(I102)*3%,0),4)</f>
        <v>0</v>
      </c>
      <c r="L102" s="143">
        <f>ROUND((J102*C102)+(K102*C102),4)</f>
        <v>0</v>
      </c>
      <c r="M102" s="140"/>
      <c r="N102" s="140">
        <f>ROUND(+I102-H102,4)</f>
        <v>0</v>
      </c>
      <c r="O102" s="143">
        <f>ROUND(+(N102)*C102*50%,4)</f>
        <v>0</v>
      </c>
      <c r="P102" s="147">
        <f>ROUND(O102+L102,4)</f>
        <v>0</v>
      </c>
      <c r="Q102" s="80"/>
      <c r="R102" s="81"/>
      <c r="S102" s="84"/>
    </row>
    <row r="103" spans="1:19" x14ac:dyDescent="0.2">
      <c r="A103" s="47"/>
      <c r="B103" s="36"/>
      <c r="C103" s="138"/>
      <c r="D103" s="140"/>
      <c r="E103" s="48"/>
      <c r="F103" s="140"/>
      <c r="G103" s="140"/>
      <c r="H103" s="140">
        <f>ROUND(+D103+F103,4)</f>
        <v>0</v>
      </c>
      <c r="I103" s="140">
        <v>0</v>
      </c>
      <c r="J103" s="140">
        <v>0.03</v>
      </c>
      <c r="K103" s="140">
        <f>ROUND(IF(E103="alluminio",(I103)*3%,0)+IF(E103="alluminio smaltato",(I103)*3%,0),4)</f>
        <v>0</v>
      </c>
      <c r="L103" s="143">
        <f>ROUND((J103*C103)+(K103*C103),4)</f>
        <v>0</v>
      </c>
      <c r="M103" s="140"/>
      <c r="N103" s="140">
        <f>ROUND(+I103-H103,4)</f>
        <v>0</v>
      </c>
      <c r="O103" s="143">
        <f>ROUND(+(N103)*C103*50%,4)</f>
        <v>0</v>
      </c>
      <c r="P103" s="147">
        <f>ROUND(O103+L103,4)</f>
        <v>0</v>
      </c>
      <c r="Q103" s="80"/>
      <c r="R103" s="81"/>
      <c r="S103" s="84"/>
    </row>
    <row r="104" spans="1:19" x14ac:dyDescent="0.2">
      <c r="A104" s="47"/>
      <c r="B104" s="36"/>
      <c r="C104" s="138"/>
      <c r="D104" s="140"/>
      <c r="E104" s="48"/>
      <c r="F104" s="140"/>
      <c r="G104" s="140"/>
      <c r="H104" s="140">
        <f>ROUND(+D104+F104,4)</f>
        <v>0</v>
      </c>
      <c r="I104" s="140">
        <v>0</v>
      </c>
      <c r="J104" s="140">
        <v>0.03</v>
      </c>
      <c r="K104" s="140">
        <f>ROUND(IF(E104="alluminio",(I104)*3%,0)+IF(E104="alluminio smaltato",(I104)*3%,0),4)</f>
        <v>0</v>
      </c>
      <c r="L104" s="143">
        <f>ROUND((J104*C104)+(K104*C104),4)</f>
        <v>0</v>
      </c>
      <c r="M104" s="140"/>
      <c r="N104" s="140">
        <f>ROUND(+I104-H104,4)</f>
        <v>0</v>
      </c>
      <c r="O104" s="143">
        <f>ROUND(+(N104)*C104*50%,4)</f>
        <v>0</v>
      </c>
      <c r="P104" s="147">
        <f>ROUND(O104+L104,4)</f>
        <v>0</v>
      </c>
      <c r="Q104" s="80"/>
      <c r="R104" s="81"/>
      <c r="S104" s="84"/>
    </row>
    <row r="105" spans="1:19" x14ac:dyDescent="0.2">
      <c r="A105" s="47"/>
      <c r="B105" s="36"/>
      <c r="C105" s="138"/>
      <c r="D105" s="140"/>
      <c r="E105" s="48"/>
      <c r="F105" s="140"/>
      <c r="G105" s="140"/>
      <c r="H105" s="140">
        <f>ROUND(+D105+F105,4)</f>
        <v>0</v>
      </c>
      <c r="I105" s="140">
        <v>0</v>
      </c>
      <c r="J105" s="140">
        <v>0.03</v>
      </c>
      <c r="K105" s="140">
        <f>ROUND(IF(E105="alluminio",(I105)*3%,0)+IF(E105="alluminio smaltato",(I105)*3%,0),4)</f>
        <v>0</v>
      </c>
      <c r="L105" s="143">
        <f>ROUND((J105*C105)+(K105*C105),4)</f>
        <v>0</v>
      </c>
      <c r="M105" s="140"/>
      <c r="N105" s="140">
        <f>ROUND(+I105-H105,4)</f>
        <v>0</v>
      </c>
      <c r="O105" s="143">
        <f>ROUND(+(N105)*C105*50%,4)</f>
        <v>0</v>
      </c>
      <c r="P105" s="147">
        <f>ROUND(O105+L105,4)</f>
        <v>0</v>
      </c>
      <c r="Q105" s="80"/>
      <c r="R105" s="81"/>
      <c r="S105" s="84"/>
    </row>
    <row r="106" spans="1:19" x14ac:dyDescent="0.2">
      <c r="A106" s="47"/>
      <c r="B106" s="36"/>
      <c r="C106" s="138"/>
      <c r="D106" s="140"/>
      <c r="E106" s="48"/>
      <c r="F106" s="140"/>
      <c r="G106" s="140"/>
      <c r="H106" s="140">
        <f>ROUND(+D106+F106,4)</f>
        <v>0</v>
      </c>
      <c r="I106" s="140">
        <v>0</v>
      </c>
      <c r="J106" s="140">
        <v>0.03</v>
      </c>
      <c r="K106" s="140">
        <f>ROUND(IF(E106="alluminio",(I106)*3%,0)+IF(E106="alluminio smaltato",(I106)*3%,0),4)</f>
        <v>0</v>
      </c>
      <c r="L106" s="143">
        <f>ROUND((J106*C106)+(K106*C106),4)</f>
        <v>0</v>
      </c>
      <c r="M106" s="140"/>
      <c r="N106" s="140">
        <f>ROUND(+I106-H106,4)</f>
        <v>0</v>
      </c>
      <c r="O106" s="143">
        <f>ROUND(+(N106)*C106*50%,4)</f>
        <v>0</v>
      </c>
      <c r="P106" s="147">
        <f>ROUND(O106+L106,4)</f>
        <v>0</v>
      </c>
      <c r="Q106" s="80"/>
      <c r="R106" s="81"/>
      <c r="S106" s="84"/>
    </row>
    <row r="107" spans="1:19" x14ac:dyDescent="0.2">
      <c r="A107" s="47"/>
      <c r="B107" s="36"/>
      <c r="C107" s="138"/>
      <c r="D107" s="140"/>
      <c r="E107" s="48"/>
      <c r="F107" s="140"/>
      <c r="G107" s="140"/>
      <c r="H107" s="140">
        <f>ROUND(+D107+F107,4)</f>
        <v>0</v>
      </c>
      <c r="I107" s="140">
        <v>0</v>
      </c>
      <c r="J107" s="140">
        <v>0.03</v>
      </c>
      <c r="K107" s="140">
        <f>ROUND(IF(E107="alluminio",(I107)*3%,0)+IF(E107="alluminio smaltato",(I107)*3%,0),4)</f>
        <v>0</v>
      </c>
      <c r="L107" s="143">
        <f>ROUND((J107*C107)+(K107*C107),4)</f>
        <v>0</v>
      </c>
      <c r="M107" s="140"/>
      <c r="N107" s="140">
        <f>ROUND(+I107-H107,4)</f>
        <v>0</v>
      </c>
      <c r="O107" s="143">
        <f>ROUND(+(N107)*C107*50%,4)</f>
        <v>0</v>
      </c>
      <c r="P107" s="147">
        <f>ROUND(O107+L107,4)</f>
        <v>0</v>
      </c>
      <c r="Q107" s="80"/>
      <c r="R107" s="81"/>
      <c r="S107" s="84"/>
    </row>
    <row r="108" spans="1:19" x14ac:dyDescent="0.2">
      <c r="A108" s="47"/>
      <c r="B108" s="36"/>
      <c r="C108" s="138"/>
      <c r="D108" s="140"/>
      <c r="E108" s="48"/>
      <c r="F108" s="140"/>
      <c r="G108" s="140"/>
      <c r="H108" s="140">
        <f>ROUND(+D108+F108,4)</f>
        <v>0</v>
      </c>
      <c r="I108" s="140">
        <v>0</v>
      </c>
      <c r="J108" s="140">
        <v>0.03</v>
      </c>
      <c r="K108" s="140">
        <f>ROUND(IF(E108="alluminio",(I108)*3%,0)+IF(E108="alluminio smaltato",(I108)*3%,0),4)</f>
        <v>0</v>
      </c>
      <c r="L108" s="143">
        <f>ROUND((J108*C108)+(K108*C108),4)</f>
        <v>0</v>
      </c>
      <c r="M108" s="140"/>
      <c r="N108" s="140">
        <f>ROUND(+I108-H108,4)</f>
        <v>0</v>
      </c>
      <c r="O108" s="143">
        <f>ROUND(+(N108)*C108*50%,4)</f>
        <v>0</v>
      </c>
      <c r="P108" s="147">
        <f>ROUND(O108+L108,4)</f>
        <v>0</v>
      </c>
      <c r="Q108" s="80"/>
      <c r="R108" s="81"/>
      <c r="S108" s="84"/>
    </row>
    <row r="109" spans="1:19" x14ac:dyDescent="0.2">
      <c r="A109" s="47"/>
      <c r="B109" s="36"/>
      <c r="C109" s="138"/>
      <c r="D109" s="140"/>
      <c r="E109" s="48"/>
      <c r="F109" s="140"/>
      <c r="G109" s="140"/>
      <c r="H109" s="140">
        <f>ROUND(+D109+F109,4)</f>
        <v>0</v>
      </c>
      <c r="I109" s="140">
        <v>0</v>
      </c>
      <c r="J109" s="140">
        <v>0.03</v>
      </c>
      <c r="K109" s="140">
        <f>ROUND(IF(E109="alluminio",(I109)*3%,0)+IF(E109="alluminio smaltato",(I109)*3%,0),4)</f>
        <v>0</v>
      </c>
      <c r="L109" s="143">
        <f>ROUND((J109*C109)+(K109*C109),4)</f>
        <v>0</v>
      </c>
      <c r="M109" s="140"/>
      <c r="N109" s="140">
        <f>ROUND(+I109-H109,4)</f>
        <v>0</v>
      </c>
      <c r="O109" s="143">
        <f>ROUND(+(N109)*C109*50%,4)</f>
        <v>0</v>
      </c>
      <c r="P109" s="147">
        <f>ROUND(O109+L109,4)</f>
        <v>0</v>
      </c>
      <c r="Q109" s="80"/>
      <c r="R109" s="81"/>
      <c r="S109" s="84"/>
    </row>
    <row r="110" spans="1:19" x14ac:dyDescent="0.2">
      <c r="A110" s="47"/>
      <c r="B110" s="36"/>
      <c r="C110" s="138"/>
      <c r="D110" s="140"/>
      <c r="E110" s="48"/>
      <c r="F110" s="140"/>
      <c r="G110" s="140"/>
      <c r="H110" s="140">
        <f>ROUND(+D110+F110,4)</f>
        <v>0</v>
      </c>
      <c r="I110" s="140">
        <v>0</v>
      </c>
      <c r="J110" s="140">
        <v>0.03</v>
      </c>
      <c r="K110" s="140">
        <f>ROUND(IF(E110="alluminio",(I110)*3%,0)+IF(E110="alluminio smaltato",(I110)*3%,0),4)</f>
        <v>0</v>
      </c>
      <c r="L110" s="143">
        <f>ROUND((J110*C110)+(K110*C110),4)</f>
        <v>0</v>
      </c>
      <c r="M110" s="140"/>
      <c r="N110" s="140">
        <f>ROUND(+I110-H110,4)</f>
        <v>0</v>
      </c>
      <c r="O110" s="143">
        <f>ROUND(+(N110)*C110*50%,4)</f>
        <v>0</v>
      </c>
      <c r="P110" s="147">
        <f>ROUND(O110+L110,4)</f>
        <v>0</v>
      </c>
      <c r="Q110" s="80"/>
      <c r="R110" s="81"/>
      <c r="S110" s="84"/>
    </row>
    <row r="111" spans="1:19" x14ac:dyDescent="0.2">
      <c r="A111" s="47"/>
      <c r="B111" s="36"/>
      <c r="C111" s="138"/>
      <c r="D111" s="140"/>
      <c r="E111" s="48"/>
      <c r="F111" s="140"/>
      <c r="G111" s="140"/>
      <c r="H111" s="140">
        <f>ROUND(+D111+F111,4)</f>
        <v>0</v>
      </c>
      <c r="I111" s="140">
        <v>0</v>
      </c>
      <c r="J111" s="140">
        <v>0.03</v>
      </c>
      <c r="K111" s="140">
        <f>ROUND(IF(E111="alluminio",(I111)*3%,0)+IF(E111="alluminio smaltato",(I111)*3%,0),4)</f>
        <v>0</v>
      </c>
      <c r="L111" s="143">
        <f>ROUND((J111*C111)+(K111*C111),4)</f>
        <v>0</v>
      </c>
      <c r="M111" s="140"/>
      <c r="N111" s="140">
        <f>ROUND(+I111-H111,4)</f>
        <v>0</v>
      </c>
      <c r="O111" s="143">
        <f>ROUND(+(N111)*C111*50%,4)</f>
        <v>0</v>
      </c>
      <c r="P111" s="147">
        <f>ROUND(O111+L111,4)</f>
        <v>0</v>
      </c>
      <c r="Q111" s="80"/>
      <c r="R111" s="81"/>
      <c r="S111" s="84"/>
    </row>
    <row r="112" spans="1:19" x14ac:dyDescent="0.2">
      <c r="A112" s="47"/>
      <c r="B112" s="36"/>
      <c r="C112" s="138"/>
      <c r="D112" s="140"/>
      <c r="E112" s="48"/>
      <c r="F112" s="140"/>
      <c r="G112" s="140"/>
      <c r="H112" s="140">
        <f>ROUND(+D112+F112,4)</f>
        <v>0</v>
      </c>
      <c r="I112" s="140">
        <v>0</v>
      </c>
      <c r="J112" s="140">
        <v>0.03</v>
      </c>
      <c r="K112" s="140">
        <f>ROUND(IF(E112="alluminio",(I112)*3%,0)+IF(E112="alluminio smaltato",(I112)*3%,0),4)</f>
        <v>0</v>
      </c>
      <c r="L112" s="143">
        <f>ROUND((J112*C112)+(K112*C112),4)</f>
        <v>0</v>
      </c>
      <c r="M112" s="140"/>
      <c r="N112" s="140">
        <f>ROUND(+I112-H112,4)</f>
        <v>0</v>
      </c>
      <c r="O112" s="143">
        <f>ROUND(+(N112)*C112*50%,4)</f>
        <v>0</v>
      </c>
      <c r="P112" s="147">
        <f>ROUND(O112+L112,4)</f>
        <v>0</v>
      </c>
      <c r="Q112" s="80"/>
      <c r="R112" s="81"/>
      <c r="S112" s="84"/>
    </row>
    <row r="113" spans="1:19" x14ac:dyDescent="0.2">
      <c r="A113" s="47"/>
      <c r="B113" s="36"/>
      <c r="C113" s="138"/>
      <c r="D113" s="140"/>
      <c r="E113" s="48"/>
      <c r="F113" s="140"/>
      <c r="G113" s="140"/>
      <c r="H113" s="140">
        <f>ROUND(+D113+F113,4)</f>
        <v>0</v>
      </c>
      <c r="I113" s="140">
        <v>0</v>
      </c>
      <c r="J113" s="140">
        <v>0.03</v>
      </c>
      <c r="K113" s="140">
        <f>ROUND(IF(E113="alluminio",(I113)*3%,0)+IF(E113="alluminio smaltato",(I113)*3%,0),4)</f>
        <v>0</v>
      </c>
      <c r="L113" s="143">
        <f>ROUND((J113*C113)+(K113*C113),4)</f>
        <v>0</v>
      </c>
      <c r="M113" s="140"/>
      <c r="N113" s="140">
        <f>ROUND(+I113-H113,4)</f>
        <v>0</v>
      </c>
      <c r="O113" s="143">
        <f>ROUND(+(N113)*C113*50%,4)</f>
        <v>0</v>
      </c>
      <c r="P113" s="147">
        <f>ROUND(O113+L113,4)</f>
        <v>0</v>
      </c>
      <c r="Q113" s="80"/>
      <c r="R113" s="81"/>
      <c r="S113" s="84"/>
    </row>
    <row r="114" spans="1:19" x14ac:dyDescent="0.2">
      <c r="A114" s="47"/>
      <c r="B114" s="36"/>
      <c r="C114" s="138"/>
      <c r="D114" s="140"/>
      <c r="E114" s="48"/>
      <c r="F114" s="140"/>
      <c r="G114" s="140"/>
      <c r="H114" s="140">
        <f>ROUND(+D114+F114,4)</f>
        <v>0</v>
      </c>
      <c r="I114" s="140">
        <v>0</v>
      </c>
      <c r="J114" s="140">
        <v>0.03</v>
      </c>
      <c r="K114" s="140">
        <f>ROUND(IF(E114="alluminio",(I114)*3%,0)+IF(E114="alluminio smaltato",(I114)*3%,0),4)</f>
        <v>0</v>
      </c>
      <c r="L114" s="143">
        <f>ROUND((J114*C114)+(K114*C114),4)</f>
        <v>0</v>
      </c>
      <c r="M114" s="140"/>
      <c r="N114" s="140">
        <f>ROUND(+I114-H114,4)</f>
        <v>0</v>
      </c>
      <c r="O114" s="143">
        <f>ROUND(+(N114)*C114*50%,4)</f>
        <v>0</v>
      </c>
      <c r="P114" s="147">
        <f>ROUND(O114+L114,4)</f>
        <v>0</v>
      </c>
      <c r="Q114" s="80"/>
      <c r="R114" s="81"/>
      <c r="S114" s="84"/>
    </row>
    <row r="115" spans="1:19" x14ac:dyDescent="0.2">
      <c r="A115" s="47"/>
      <c r="B115" s="36"/>
      <c r="C115" s="138"/>
      <c r="D115" s="140"/>
      <c r="E115" s="48"/>
      <c r="F115" s="140"/>
      <c r="G115" s="140"/>
      <c r="H115" s="140">
        <f>ROUND(+D115+F115,4)</f>
        <v>0</v>
      </c>
      <c r="I115" s="140">
        <v>0</v>
      </c>
      <c r="J115" s="140">
        <v>0.03</v>
      </c>
      <c r="K115" s="140">
        <f>ROUND(IF(E115="alluminio",(I115)*3%,0)+IF(E115="alluminio smaltato",(I115)*3%,0),4)</f>
        <v>0</v>
      </c>
      <c r="L115" s="143">
        <f>ROUND((J115*C115)+(K115*C115),4)</f>
        <v>0</v>
      </c>
      <c r="M115" s="140"/>
      <c r="N115" s="140">
        <f>ROUND(+I115-H115,4)</f>
        <v>0</v>
      </c>
      <c r="O115" s="143">
        <f>ROUND(+(N115)*C115*50%,4)</f>
        <v>0</v>
      </c>
      <c r="P115" s="147">
        <f>ROUND(O115+L115,4)</f>
        <v>0</v>
      </c>
      <c r="Q115" s="80"/>
      <c r="R115" s="81"/>
      <c r="S115" s="84"/>
    </row>
    <row r="116" spans="1:19" x14ac:dyDescent="0.2">
      <c r="A116" s="47"/>
      <c r="B116" s="36"/>
      <c r="C116" s="138"/>
      <c r="D116" s="140"/>
      <c r="E116" s="48"/>
      <c r="F116" s="140"/>
      <c r="G116" s="140"/>
      <c r="H116" s="140">
        <f>ROUND(+D116+F116,4)</f>
        <v>0</v>
      </c>
      <c r="I116" s="140">
        <v>0</v>
      </c>
      <c r="J116" s="140">
        <v>0.03</v>
      </c>
      <c r="K116" s="140">
        <f>ROUND(IF(E116="alluminio",(I116)*3%,0)+IF(E116="alluminio smaltato",(I116)*3%,0),4)</f>
        <v>0</v>
      </c>
      <c r="L116" s="143">
        <f>ROUND((J116*C116)+(K116*C116),4)</f>
        <v>0</v>
      </c>
      <c r="M116" s="140"/>
      <c r="N116" s="140">
        <f>ROUND(+I116-H116,4)</f>
        <v>0</v>
      </c>
      <c r="O116" s="143">
        <f>ROUND(+(N116)*C116*50%,4)</f>
        <v>0</v>
      </c>
      <c r="P116" s="147">
        <f>ROUND(O116+L116,4)</f>
        <v>0</v>
      </c>
      <c r="Q116" s="80"/>
      <c r="R116" s="81"/>
      <c r="S116" s="84"/>
    </row>
    <row r="117" spans="1:19" x14ac:dyDescent="0.2">
      <c r="A117" s="47"/>
      <c r="B117" s="36"/>
      <c r="C117" s="138"/>
      <c r="D117" s="140"/>
      <c r="E117" s="48"/>
      <c r="F117" s="140"/>
      <c r="G117" s="140"/>
      <c r="H117" s="140">
        <f>ROUND(+D117+F117,4)</f>
        <v>0</v>
      </c>
      <c r="I117" s="140">
        <v>0</v>
      </c>
      <c r="J117" s="140">
        <v>0.03</v>
      </c>
      <c r="K117" s="140">
        <f>ROUND(IF(E117="alluminio",(I117)*3%,0)+IF(E117="alluminio smaltato",(I117)*3%,0),4)</f>
        <v>0</v>
      </c>
      <c r="L117" s="143">
        <f>ROUND((J117*C117)+(K117*C117),4)</f>
        <v>0</v>
      </c>
      <c r="M117" s="140"/>
      <c r="N117" s="140">
        <f>ROUND(+I117-H117,4)</f>
        <v>0</v>
      </c>
      <c r="O117" s="143">
        <f>ROUND(+(N117)*C117*50%,4)</f>
        <v>0</v>
      </c>
      <c r="P117" s="147">
        <f>ROUND(O117+L117,4)</f>
        <v>0</v>
      </c>
      <c r="Q117" s="80"/>
      <c r="R117" s="81"/>
      <c r="S117" s="84"/>
    </row>
    <row r="118" spans="1:19" x14ac:dyDescent="0.2">
      <c r="A118" s="47"/>
      <c r="B118" s="36"/>
      <c r="C118" s="138"/>
      <c r="D118" s="140"/>
      <c r="E118" s="48"/>
      <c r="F118" s="140"/>
      <c r="G118" s="140"/>
      <c r="H118" s="140">
        <f>ROUND(+D118+F118,4)</f>
        <v>0</v>
      </c>
      <c r="I118" s="140">
        <v>0</v>
      </c>
      <c r="J118" s="140">
        <v>0.03</v>
      </c>
      <c r="K118" s="140">
        <f>ROUND(IF(E118="alluminio",(I118)*3%,0)+IF(E118="alluminio smaltato",(I118)*3%,0),4)</f>
        <v>0</v>
      </c>
      <c r="L118" s="143">
        <f>ROUND((J118*C118)+(K118*C118),4)</f>
        <v>0</v>
      </c>
      <c r="M118" s="140"/>
      <c r="N118" s="140">
        <f>ROUND(+I118-H118,4)</f>
        <v>0</v>
      </c>
      <c r="O118" s="143">
        <f>ROUND(+(N118)*C118*50%,4)</f>
        <v>0</v>
      </c>
      <c r="P118" s="147">
        <f>ROUND(O118+L118,4)</f>
        <v>0</v>
      </c>
      <c r="Q118" s="80"/>
      <c r="R118" s="81"/>
      <c r="S118" s="84"/>
    </row>
    <row r="119" spans="1:19" x14ac:dyDescent="0.2">
      <c r="A119" s="47"/>
      <c r="B119" s="36"/>
      <c r="C119" s="138"/>
      <c r="D119" s="140"/>
      <c r="E119" s="48"/>
      <c r="F119" s="140"/>
      <c r="G119" s="140"/>
      <c r="H119" s="140">
        <f>ROUND(+D119+F119,4)</f>
        <v>0</v>
      </c>
      <c r="I119" s="140">
        <v>0</v>
      </c>
      <c r="J119" s="140">
        <v>0.03</v>
      </c>
      <c r="K119" s="140">
        <f>ROUND(IF(E119="alluminio",(I119)*3%,0)+IF(E119="alluminio smaltato",(I119)*3%,0),4)</f>
        <v>0</v>
      </c>
      <c r="L119" s="143">
        <f>ROUND((J119*C119)+(K119*C119),4)</f>
        <v>0</v>
      </c>
      <c r="M119" s="140"/>
      <c r="N119" s="140">
        <f>ROUND(+I119-H119,4)</f>
        <v>0</v>
      </c>
      <c r="O119" s="143">
        <f>ROUND(+(N119)*C119*50%,4)</f>
        <v>0</v>
      </c>
      <c r="P119" s="147">
        <f>ROUND(O119+L119,4)</f>
        <v>0</v>
      </c>
      <c r="Q119" s="80"/>
      <c r="R119" s="81"/>
      <c r="S119" s="84"/>
    </row>
    <row r="120" spans="1:19" x14ac:dyDescent="0.2">
      <c r="A120" s="47"/>
      <c r="B120" s="36"/>
      <c r="C120" s="138"/>
      <c r="D120" s="140"/>
      <c r="E120" s="48"/>
      <c r="F120" s="140"/>
      <c r="G120" s="140"/>
      <c r="H120" s="140">
        <f>ROUND(+D120+F120,4)</f>
        <v>0</v>
      </c>
      <c r="I120" s="140">
        <v>0</v>
      </c>
      <c r="J120" s="140">
        <v>0.03</v>
      </c>
      <c r="K120" s="140">
        <f>ROUND(IF(E120="alluminio",(I120)*3%,0)+IF(E120="alluminio smaltato",(I120)*3%,0),4)</f>
        <v>0</v>
      </c>
      <c r="L120" s="143">
        <f>ROUND((J120*C120)+(K120*C120),4)</f>
        <v>0</v>
      </c>
      <c r="M120" s="140"/>
      <c r="N120" s="140">
        <f>ROUND(+I120-H120,4)</f>
        <v>0</v>
      </c>
      <c r="O120" s="143">
        <f>ROUND(+(N120)*C120*50%,4)</f>
        <v>0</v>
      </c>
      <c r="P120" s="147">
        <f>ROUND(O120+L120,4)</f>
        <v>0</v>
      </c>
      <c r="Q120" s="80"/>
      <c r="R120" s="81"/>
      <c r="S120" s="84"/>
    </row>
    <row r="121" spans="1:19" x14ac:dyDescent="0.2">
      <c r="A121" s="47"/>
      <c r="B121" s="36"/>
      <c r="C121" s="138"/>
      <c r="D121" s="140"/>
      <c r="E121" s="48"/>
      <c r="F121" s="140"/>
      <c r="G121" s="140"/>
      <c r="H121" s="140">
        <f>ROUND(+D121+F121,4)</f>
        <v>0</v>
      </c>
      <c r="I121" s="140">
        <v>0</v>
      </c>
      <c r="J121" s="140">
        <v>0.03</v>
      </c>
      <c r="K121" s="140">
        <f>ROUND(IF(E121="alluminio",(I121)*3%,0)+IF(E121="alluminio smaltato",(I121)*3%,0),4)</f>
        <v>0</v>
      </c>
      <c r="L121" s="143">
        <f>ROUND((J121*C121)+(K121*C121),4)</f>
        <v>0</v>
      </c>
      <c r="M121" s="140"/>
      <c r="N121" s="140">
        <f>ROUND(+I121-H121,4)</f>
        <v>0</v>
      </c>
      <c r="O121" s="143">
        <f>ROUND(+(N121)*C121*50%,4)</f>
        <v>0</v>
      </c>
      <c r="P121" s="147">
        <f>ROUND(O121+L121,4)</f>
        <v>0</v>
      </c>
      <c r="Q121" s="80"/>
      <c r="R121" s="81"/>
      <c r="S121" s="84"/>
    </row>
    <row r="122" spans="1:19" x14ac:dyDescent="0.2">
      <c r="A122" s="47"/>
      <c r="B122" s="36"/>
      <c r="C122" s="138"/>
      <c r="D122" s="140"/>
      <c r="E122" s="48"/>
      <c r="F122" s="140"/>
      <c r="G122" s="140"/>
      <c r="H122" s="140">
        <f>ROUND(+D122+F122,4)</f>
        <v>0</v>
      </c>
      <c r="I122" s="140">
        <v>0</v>
      </c>
      <c r="J122" s="140">
        <v>0.03</v>
      </c>
      <c r="K122" s="140">
        <f>ROUND(IF(E122="alluminio",(I122)*3%,0)+IF(E122="alluminio smaltato",(I122)*3%,0),4)</f>
        <v>0</v>
      </c>
      <c r="L122" s="143">
        <f>ROUND((J122*C122)+(K122*C122),4)</f>
        <v>0</v>
      </c>
      <c r="M122" s="140"/>
      <c r="N122" s="140">
        <f>ROUND(+I122-H122,4)</f>
        <v>0</v>
      </c>
      <c r="O122" s="143">
        <f>ROUND(+(N122)*C122*50%,4)</f>
        <v>0</v>
      </c>
      <c r="P122" s="147">
        <f>ROUND(O122+L122,4)</f>
        <v>0</v>
      </c>
      <c r="Q122" s="80"/>
      <c r="R122" s="81"/>
      <c r="S122" s="84"/>
    </row>
    <row r="123" spans="1:19" x14ac:dyDescent="0.2">
      <c r="A123" s="47"/>
      <c r="B123" s="36"/>
      <c r="C123" s="138"/>
      <c r="D123" s="140"/>
      <c r="E123" s="48"/>
      <c r="F123" s="140"/>
      <c r="G123" s="140"/>
      <c r="H123" s="140">
        <f>ROUND(+D123+F123,4)</f>
        <v>0</v>
      </c>
      <c r="I123" s="140">
        <v>0</v>
      </c>
      <c r="J123" s="140">
        <v>0.03</v>
      </c>
      <c r="K123" s="140">
        <f>ROUND(IF(E123="alluminio",(I123)*3%,0)+IF(E123="alluminio smaltato",(I123)*3%,0),4)</f>
        <v>0</v>
      </c>
      <c r="L123" s="143">
        <f>ROUND((J123*C123)+(K123*C123),4)</f>
        <v>0</v>
      </c>
      <c r="M123" s="140"/>
      <c r="N123" s="140">
        <f>ROUND(+I123-H123,4)</f>
        <v>0</v>
      </c>
      <c r="O123" s="143">
        <f>ROUND(+(N123)*C123*50%,4)</f>
        <v>0</v>
      </c>
      <c r="P123" s="147">
        <f>ROUND(O123+L123,4)</f>
        <v>0</v>
      </c>
      <c r="Q123" s="80"/>
      <c r="R123" s="81"/>
      <c r="S123" s="84"/>
    </row>
    <row r="124" spans="1:19" x14ac:dyDescent="0.2">
      <c r="A124" s="47"/>
      <c r="B124" s="36"/>
      <c r="C124" s="138"/>
      <c r="D124" s="140"/>
      <c r="E124" s="48"/>
      <c r="F124" s="140"/>
      <c r="G124" s="140"/>
      <c r="H124" s="140">
        <f>ROUND(+D124+F124,4)</f>
        <v>0</v>
      </c>
      <c r="I124" s="140">
        <v>0</v>
      </c>
      <c r="J124" s="140">
        <v>0.03</v>
      </c>
      <c r="K124" s="140">
        <f>ROUND(IF(E124="alluminio",(I124)*3%,0)+IF(E124="alluminio smaltato",(I124)*3%,0),4)</f>
        <v>0</v>
      </c>
      <c r="L124" s="143">
        <f>ROUND((J124*C124)+(K124*C124),4)</f>
        <v>0</v>
      </c>
      <c r="M124" s="140"/>
      <c r="N124" s="140">
        <f>ROUND(+I124-H124,4)</f>
        <v>0</v>
      </c>
      <c r="O124" s="143">
        <f>ROUND(+(N124)*C124*50%,4)</f>
        <v>0</v>
      </c>
      <c r="P124" s="147">
        <f>ROUND(O124+L124,4)</f>
        <v>0</v>
      </c>
      <c r="Q124" s="80"/>
      <c r="R124" s="81"/>
      <c r="S124" s="84"/>
    </row>
    <row r="125" spans="1:19" x14ac:dyDescent="0.2">
      <c r="A125" s="47"/>
      <c r="B125" s="36"/>
      <c r="C125" s="138"/>
      <c r="D125" s="140"/>
      <c r="E125" s="48"/>
      <c r="F125" s="140"/>
      <c r="G125" s="140"/>
      <c r="H125" s="140">
        <f>ROUND(+D125+F125,4)</f>
        <v>0</v>
      </c>
      <c r="I125" s="140">
        <v>0</v>
      </c>
      <c r="J125" s="140">
        <v>0.03</v>
      </c>
      <c r="K125" s="140">
        <f>ROUND(IF(E125="alluminio",(I125)*3%,0)+IF(E125="alluminio smaltato",(I125)*3%,0),4)</f>
        <v>0</v>
      </c>
      <c r="L125" s="143">
        <f>ROUND((J125*C125)+(K125*C125),4)</f>
        <v>0</v>
      </c>
      <c r="M125" s="140"/>
      <c r="N125" s="140">
        <f>ROUND(+I125-H125,4)</f>
        <v>0</v>
      </c>
      <c r="O125" s="143">
        <f>ROUND(+(N125)*C125*50%,4)</f>
        <v>0</v>
      </c>
      <c r="P125" s="147">
        <f>ROUND(O125+L125,4)</f>
        <v>0</v>
      </c>
      <c r="Q125" s="80"/>
      <c r="R125" s="81"/>
      <c r="S125" s="84"/>
    </row>
    <row r="126" spans="1:19" x14ac:dyDescent="0.2">
      <c r="A126" s="47"/>
      <c r="B126" s="36"/>
      <c r="C126" s="138"/>
      <c r="D126" s="140"/>
      <c r="E126" s="48"/>
      <c r="F126" s="140"/>
      <c r="G126" s="140"/>
      <c r="H126" s="140">
        <f>ROUND(+D126+F126,4)</f>
        <v>0</v>
      </c>
      <c r="I126" s="140">
        <v>0</v>
      </c>
      <c r="J126" s="140">
        <v>0.03</v>
      </c>
      <c r="K126" s="140">
        <f>ROUND(IF(E126="alluminio",(I126)*3%,0)+IF(E126="alluminio smaltato",(I126)*3%,0),4)</f>
        <v>0</v>
      </c>
      <c r="L126" s="143">
        <f>ROUND((J126*C126)+(K126*C126),4)</f>
        <v>0</v>
      </c>
      <c r="M126" s="140"/>
      <c r="N126" s="140">
        <f>ROUND(+I126-H126,4)</f>
        <v>0</v>
      </c>
      <c r="O126" s="143">
        <f>ROUND(+(N126)*C126*50%,4)</f>
        <v>0</v>
      </c>
      <c r="P126" s="147">
        <f>ROUND(O126+L126,4)</f>
        <v>0</v>
      </c>
      <c r="Q126" s="80"/>
      <c r="R126" s="81"/>
      <c r="S126" s="84"/>
    </row>
    <row r="127" spans="1:19" x14ac:dyDescent="0.2">
      <c r="A127" s="47"/>
      <c r="B127" s="36"/>
      <c r="C127" s="138"/>
      <c r="D127" s="140"/>
      <c r="E127" s="48"/>
      <c r="F127" s="140"/>
      <c r="G127" s="140"/>
      <c r="H127" s="140">
        <f>ROUND(+D127+F127,4)</f>
        <v>0</v>
      </c>
      <c r="I127" s="140">
        <v>0</v>
      </c>
      <c r="J127" s="140">
        <v>0.03</v>
      </c>
      <c r="K127" s="140">
        <f>ROUND(IF(E127="alluminio",(I127)*3%,0)+IF(E127="alluminio smaltato",(I127)*3%,0),4)</f>
        <v>0</v>
      </c>
      <c r="L127" s="143">
        <f>ROUND((J127*C127)+(K127*C127),4)</f>
        <v>0</v>
      </c>
      <c r="M127" s="140"/>
      <c r="N127" s="140">
        <f>ROUND(+I127-H127,4)</f>
        <v>0</v>
      </c>
      <c r="O127" s="143">
        <f>ROUND(+(N127)*C127*50%,4)</f>
        <v>0</v>
      </c>
      <c r="P127" s="147">
        <f>ROUND(O127+L127,4)</f>
        <v>0</v>
      </c>
      <c r="Q127" s="80"/>
      <c r="R127" s="81"/>
      <c r="S127" s="84"/>
    </row>
    <row r="128" spans="1:19" x14ac:dyDescent="0.2">
      <c r="A128" s="47"/>
      <c r="B128" s="36"/>
      <c r="C128" s="138"/>
      <c r="D128" s="140"/>
      <c r="E128" s="48"/>
      <c r="F128" s="140"/>
      <c r="G128" s="140"/>
      <c r="H128" s="140">
        <f>ROUND(+D128+F128,4)</f>
        <v>0</v>
      </c>
      <c r="I128" s="140">
        <v>0</v>
      </c>
      <c r="J128" s="140">
        <v>0.03</v>
      </c>
      <c r="K128" s="140">
        <f>ROUND(IF(E128="alluminio",(I128)*3%,0)+IF(E128="alluminio smaltato",(I128)*3%,0),4)</f>
        <v>0</v>
      </c>
      <c r="L128" s="143">
        <f>ROUND((J128*C128)+(K128*C128),4)</f>
        <v>0</v>
      </c>
      <c r="M128" s="140"/>
      <c r="N128" s="140">
        <f>ROUND(+I128-H128,4)</f>
        <v>0</v>
      </c>
      <c r="O128" s="143">
        <f>ROUND(+(N128)*C128*50%,4)</f>
        <v>0</v>
      </c>
      <c r="P128" s="147">
        <f>ROUND(O128+L128,4)</f>
        <v>0</v>
      </c>
      <c r="Q128" s="80"/>
      <c r="R128" s="81"/>
      <c r="S128" s="84"/>
    </row>
    <row r="129" spans="1:19" x14ac:dyDescent="0.2">
      <c r="A129" s="47"/>
      <c r="B129" s="36"/>
      <c r="C129" s="138"/>
      <c r="D129" s="140"/>
      <c r="E129" s="48"/>
      <c r="F129" s="140"/>
      <c r="G129" s="140"/>
      <c r="H129" s="140">
        <f>ROUND(+D129+F129,4)</f>
        <v>0</v>
      </c>
      <c r="I129" s="140">
        <v>0</v>
      </c>
      <c r="J129" s="140">
        <v>0.03</v>
      </c>
      <c r="K129" s="140">
        <f>ROUND(IF(E129="alluminio",(I129)*3%,0)+IF(E129="alluminio smaltato",(I129)*3%,0),4)</f>
        <v>0</v>
      </c>
      <c r="L129" s="143">
        <f>ROUND((J129*C129)+(K129*C129),4)</f>
        <v>0</v>
      </c>
      <c r="M129" s="140"/>
      <c r="N129" s="140">
        <f>ROUND(+I129-H129,4)</f>
        <v>0</v>
      </c>
      <c r="O129" s="143">
        <f>ROUND(+(N129)*C129*50%,4)</f>
        <v>0</v>
      </c>
      <c r="P129" s="147">
        <f>ROUND(O129+L129,4)</f>
        <v>0</v>
      </c>
      <c r="Q129" s="80"/>
      <c r="R129" s="81"/>
      <c r="S129" s="84"/>
    </row>
    <row r="130" spans="1:19" x14ac:dyDescent="0.2">
      <c r="A130" s="47"/>
      <c r="B130" s="36"/>
      <c r="C130" s="138"/>
      <c r="D130" s="140"/>
      <c r="E130" s="48"/>
      <c r="F130" s="140"/>
      <c r="G130" s="140"/>
      <c r="H130" s="140">
        <f>ROUND(+D130+F130,4)</f>
        <v>0</v>
      </c>
      <c r="I130" s="140">
        <v>0</v>
      </c>
      <c r="J130" s="140">
        <v>0.03</v>
      </c>
      <c r="K130" s="140">
        <f>ROUND(IF(E130="alluminio",(I130)*3%,0)+IF(E130="alluminio smaltato",(I130)*3%,0),4)</f>
        <v>0</v>
      </c>
      <c r="L130" s="143">
        <f>ROUND((J130*C130)+(K130*C130),4)</f>
        <v>0</v>
      </c>
      <c r="M130" s="140"/>
      <c r="N130" s="140">
        <f>ROUND(+I130-H130,4)</f>
        <v>0</v>
      </c>
      <c r="O130" s="143">
        <f>ROUND(+(N130)*C130*50%,4)</f>
        <v>0</v>
      </c>
      <c r="P130" s="147">
        <f>ROUND(O130+L130,4)</f>
        <v>0</v>
      </c>
      <c r="Q130" s="80"/>
      <c r="R130" s="81"/>
      <c r="S130" s="84"/>
    </row>
    <row r="131" spans="1:19" x14ac:dyDescent="0.2">
      <c r="A131" s="47"/>
      <c r="B131" s="36"/>
      <c r="C131" s="138"/>
      <c r="D131" s="140"/>
      <c r="E131" s="48"/>
      <c r="F131" s="140"/>
      <c r="G131" s="140"/>
      <c r="H131" s="140">
        <f>ROUND(+D131+F131,4)</f>
        <v>0</v>
      </c>
      <c r="I131" s="140">
        <v>0</v>
      </c>
      <c r="J131" s="140">
        <v>0.03</v>
      </c>
      <c r="K131" s="140">
        <f>ROUND(IF(E131="alluminio",(I131)*3%,0)+IF(E131="alluminio smaltato",(I131)*3%,0),4)</f>
        <v>0</v>
      </c>
      <c r="L131" s="143">
        <f>ROUND((J131*C131)+(K131*C131),4)</f>
        <v>0</v>
      </c>
      <c r="M131" s="140"/>
      <c r="N131" s="140">
        <f>ROUND(+I131-H131,4)</f>
        <v>0</v>
      </c>
      <c r="O131" s="143">
        <f>ROUND(+(N131)*C131*50%,4)</f>
        <v>0</v>
      </c>
      <c r="P131" s="147">
        <f>ROUND(O131+L131,4)</f>
        <v>0</v>
      </c>
      <c r="Q131" s="80"/>
      <c r="R131" s="81"/>
      <c r="S131" s="84"/>
    </row>
    <row r="132" spans="1:19" x14ac:dyDescent="0.2">
      <c r="A132" s="47"/>
      <c r="B132" s="36"/>
      <c r="C132" s="138"/>
      <c r="D132" s="140"/>
      <c r="E132" s="48"/>
      <c r="F132" s="140"/>
      <c r="G132" s="140"/>
      <c r="H132" s="140">
        <f>ROUND(+D132+F132,4)</f>
        <v>0</v>
      </c>
      <c r="I132" s="140">
        <v>0</v>
      </c>
      <c r="J132" s="140">
        <v>0.03</v>
      </c>
      <c r="K132" s="140">
        <f>ROUND(IF(E132="alluminio",(I132)*3%,0)+IF(E132="alluminio smaltato",(I132)*3%,0),4)</f>
        <v>0</v>
      </c>
      <c r="L132" s="143">
        <f>ROUND((J132*C132)+(K132*C132),4)</f>
        <v>0</v>
      </c>
      <c r="M132" s="140"/>
      <c r="N132" s="140">
        <f>ROUND(+I132-H132,4)</f>
        <v>0</v>
      </c>
      <c r="O132" s="143">
        <f>ROUND(+(N132)*C132*50%,4)</f>
        <v>0</v>
      </c>
      <c r="P132" s="147">
        <f>ROUND(O132+L132,4)</f>
        <v>0</v>
      </c>
      <c r="Q132" s="80"/>
      <c r="R132" s="81"/>
      <c r="S132" s="84"/>
    </row>
    <row r="133" spans="1:19" x14ac:dyDescent="0.2">
      <c r="A133" s="47"/>
      <c r="B133" s="36"/>
      <c r="C133" s="138"/>
      <c r="D133" s="140"/>
      <c r="E133" s="48"/>
      <c r="F133" s="140"/>
      <c r="G133" s="140"/>
      <c r="H133" s="140">
        <f>ROUND(+D133+F133,4)</f>
        <v>0</v>
      </c>
      <c r="I133" s="140">
        <v>0</v>
      </c>
      <c r="J133" s="140">
        <v>0.03</v>
      </c>
      <c r="K133" s="140">
        <f>ROUND(IF(E133="alluminio",(I133)*3%,0)+IF(E133="alluminio smaltato",(I133)*3%,0),4)</f>
        <v>0</v>
      </c>
      <c r="L133" s="143">
        <f>ROUND((J133*C133)+(K133*C133),4)</f>
        <v>0</v>
      </c>
      <c r="M133" s="140"/>
      <c r="N133" s="140">
        <f>ROUND(+I133-H133,4)</f>
        <v>0</v>
      </c>
      <c r="O133" s="143">
        <f>ROUND(+(N133)*C133*50%,4)</f>
        <v>0</v>
      </c>
      <c r="P133" s="147">
        <f>ROUND(O133+L133,4)</f>
        <v>0</v>
      </c>
      <c r="Q133" s="80"/>
      <c r="R133" s="81"/>
      <c r="S133" s="84"/>
    </row>
    <row r="134" spans="1:19" x14ac:dyDescent="0.2">
      <c r="A134" s="47"/>
      <c r="B134" s="36"/>
      <c r="C134" s="138"/>
      <c r="D134" s="140"/>
      <c r="E134" s="48"/>
      <c r="F134" s="140"/>
      <c r="G134" s="140"/>
      <c r="H134" s="140">
        <f>ROUND(+D134+F134,4)</f>
        <v>0</v>
      </c>
      <c r="I134" s="140">
        <v>0</v>
      </c>
      <c r="J134" s="140">
        <v>0.03</v>
      </c>
      <c r="K134" s="140">
        <f>ROUND(IF(E134="alluminio",(I134)*3%,0)+IF(E134="alluminio smaltato",(I134)*3%,0),4)</f>
        <v>0</v>
      </c>
      <c r="L134" s="143">
        <f>ROUND((J134*C134)+(K134*C134),4)</f>
        <v>0</v>
      </c>
      <c r="M134" s="140"/>
      <c r="N134" s="140">
        <f>ROUND(+I134-H134,4)</f>
        <v>0</v>
      </c>
      <c r="O134" s="143">
        <f>ROUND(+(N134)*C134*50%,4)</f>
        <v>0</v>
      </c>
      <c r="P134" s="147">
        <f>ROUND(O134+L134,4)</f>
        <v>0</v>
      </c>
      <c r="Q134" s="80"/>
      <c r="R134" s="81"/>
      <c r="S134" s="84"/>
    </row>
    <row r="135" spans="1:19" x14ac:dyDescent="0.2">
      <c r="A135" s="47"/>
      <c r="B135" s="36"/>
      <c r="C135" s="138"/>
      <c r="D135" s="140"/>
      <c r="E135" s="48"/>
      <c r="F135" s="140"/>
      <c r="G135" s="140"/>
      <c r="H135" s="140">
        <f>ROUND(+D135+F135,4)</f>
        <v>0</v>
      </c>
      <c r="I135" s="140">
        <v>0</v>
      </c>
      <c r="J135" s="140">
        <v>0.03</v>
      </c>
      <c r="K135" s="140">
        <f>ROUND(IF(E135="alluminio",(I135)*3%,0)+IF(E135="alluminio smaltato",(I135)*3%,0),4)</f>
        <v>0</v>
      </c>
      <c r="L135" s="143">
        <f>ROUND((J135*C135)+(K135*C135),4)</f>
        <v>0</v>
      </c>
      <c r="M135" s="140"/>
      <c r="N135" s="140">
        <f>ROUND(+I135-H135,4)</f>
        <v>0</v>
      </c>
      <c r="O135" s="143">
        <f>ROUND(+(N135)*C135*50%,4)</f>
        <v>0</v>
      </c>
      <c r="P135" s="147">
        <f>ROUND(O135+L135,4)</f>
        <v>0</v>
      </c>
      <c r="Q135" s="80"/>
      <c r="R135" s="81"/>
      <c r="S135" s="84"/>
    </row>
    <row r="136" spans="1:19" x14ac:dyDescent="0.2">
      <c r="A136" s="47"/>
      <c r="B136" s="36"/>
      <c r="C136" s="138"/>
      <c r="D136" s="140"/>
      <c r="E136" s="48"/>
      <c r="F136" s="140"/>
      <c r="G136" s="140"/>
      <c r="H136" s="140">
        <f>ROUND(+D136+F136,4)</f>
        <v>0</v>
      </c>
      <c r="I136" s="140">
        <v>0</v>
      </c>
      <c r="J136" s="140">
        <v>0.03</v>
      </c>
      <c r="K136" s="140">
        <f>ROUND(IF(E136="alluminio",(I136)*3%,0)+IF(E136="alluminio smaltato",(I136)*3%,0),4)</f>
        <v>0</v>
      </c>
      <c r="L136" s="143">
        <f>ROUND((J136*C136)+(K136*C136),4)</f>
        <v>0</v>
      </c>
      <c r="M136" s="140"/>
      <c r="N136" s="140">
        <f>ROUND(+I136-H136,4)</f>
        <v>0</v>
      </c>
      <c r="O136" s="143">
        <f>ROUND(+(N136)*C136*50%,4)</f>
        <v>0</v>
      </c>
      <c r="P136" s="147">
        <f>ROUND(O136+L136,4)</f>
        <v>0</v>
      </c>
      <c r="Q136" s="80"/>
      <c r="R136" s="81"/>
      <c r="S136" s="84"/>
    </row>
    <row r="137" spans="1:19" x14ac:dyDescent="0.2">
      <c r="A137" s="47"/>
      <c r="B137" s="36"/>
      <c r="C137" s="138"/>
      <c r="D137" s="140"/>
      <c r="E137" s="48"/>
      <c r="F137" s="140"/>
      <c r="G137" s="140"/>
      <c r="H137" s="140">
        <f>ROUND(+D137+F137,4)</f>
        <v>0</v>
      </c>
      <c r="I137" s="140">
        <v>0</v>
      </c>
      <c r="J137" s="140">
        <v>0.03</v>
      </c>
      <c r="K137" s="140">
        <f>ROUND(IF(E137="alluminio",(I137)*3%,0)+IF(E137="alluminio smaltato",(I137)*3%,0),4)</f>
        <v>0</v>
      </c>
      <c r="L137" s="143">
        <f>ROUND((J137*C137)+(K137*C137),4)</f>
        <v>0</v>
      </c>
      <c r="M137" s="140"/>
      <c r="N137" s="140">
        <f>ROUND(+I137-H137,4)</f>
        <v>0</v>
      </c>
      <c r="O137" s="143">
        <f>ROUND(+(N137)*C137*50%,4)</f>
        <v>0</v>
      </c>
      <c r="P137" s="147">
        <f>ROUND(O137+L137,4)</f>
        <v>0</v>
      </c>
      <c r="Q137" s="80"/>
      <c r="R137" s="81"/>
      <c r="S137" s="84"/>
    </row>
    <row r="138" spans="1:19" x14ac:dyDescent="0.2">
      <c r="A138" s="47"/>
      <c r="B138" s="36"/>
      <c r="C138" s="138"/>
      <c r="D138" s="140"/>
      <c r="E138" s="48"/>
      <c r="F138" s="140"/>
      <c r="G138" s="140"/>
      <c r="H138" s="140">
        <f>ROUND(+D138+F138,4)</f>
        <v>0</v>
      </c>
      <c r="I138" s="140">
        <v>0</v>
      </c>
      <c r="J138" s="140">
        <v>0.03</v>
      </c>
      <c r="K138" s="140">
        <f>ROUND(IF(E138="alluminio",(I138)*3%,0)+IF(E138="alluminio smaltato",(I138)*3%,0),4)</f>
        <v>0</v>
      </c>
      <c r="L138" s="143">
        <f>ROUND((J138*C138)+(K138*C138),4)</f>
        <v>0</v>
      </c>
      <c r="M138" s="140"/>
      <c r="N138" s="140">
        <f>ROUND(+I138-H138,4)</f>
        <v>0</v>
      </c>
      <c r="O138" s="143">
        <f>ROUND(+(N138)*C138*50%,4)</f>
        <v>0</v>
      </c>
      <c r="P138" s="147">
        <f>ROUND(O138+L138,4)</f>
        <v>0</v>
      </c>
      <c r="Q138" s="80"/>
      <c r="R138" s="81"/>
      <c r="S138" s="84"/>
    </row>
    <row r="139" spans="1:19" x14ac:dyDescent="0.2">
      <c r="A139" s="47"/>
      <c r="B139" s="36"/>
      <c r="C139" s="138"/>
      <c r="D139" s="140"/>
      <c r="E139" s="48"/>
      <c r="F139" s="140"/>
      <c r="G139" s="140"/>
      <c r="H139" s="140">
        <f>ROUND(+D139+F139,4)</f>
        <v>0</v>
      </c>
      <c r="I139" s="140">
        <v>0</v>
      </c>
      <c r="J139" s="140">
        <v>0.03</v>
      </c>
      <c r="K139" s="140">
        <f>ROUND(IF(E139="alluminio",(I139)*3%,0)+IF(E139="alluminio smaltato",(I139)*3%,0),4)</f>
        <v>0</v>
      </c>
      <c r="L139" s="143">
        <f>ROUND((J139*C139)+(K139*C139),4)</f>
        <v>0</v>
      </c>
      <c r="M139" s="140"/>
      <c r="N139" s="140">
        <f>ROUND(+I139-H139,4)</f>
        <v>0</v>
      </c>
      <c r="O139" s="143">
        <f>ROUND(+(N139)*C139*50%,4)</f>
        <v>0</v>
      </c>
      <c r="P139" s="147">
        <f>ROUND(O139+L139,4)</f>
        <v>0</v>
      </c>
      <c r="Q139" s="80"/>
      <c r="R139" s="81"/>
      <c r="S139" s="84"/>
    </row>
    <row r="140" spans="1:19" x14ac:dyDescent="0.2">
      <c r="A140" s="47"/>
      <c r="B140" s="36"/>
      <c r="C140" s="138"/>
      <c r="D140" s="140"/>
      <c r="E140" s="48"/>
      <c r="F140" s="140"/>
      <c r="G140" s="140"/>
      <c r="H140" s="140">
        <f>ROUND(+D140+F140,4)</f>
        <v>0</v>
      </c>
      <c r="I140" s="140">
        <v>0</v>
      </c>
      <c r="J140" s="140">
        <v>0.03</v>
      </c>
      <c r="K140" s="140">
        <f>ROUND(IF(E140="alluminio",(I140)*3%,0)+IF(E140="alluminio smaltato",(I140)*3%,0),4)</f>
        <v>0</v>
      </c>
      <c r="L140" s="143">
        <f>ROUND((J140*C140)+(K140*C140),4)</f>
        <v>0</v>
      </c>
      <c r="M140" s="140"/>
      <c r="N140" s="140">
        <f>ROUND(+I140-H140,4)</f>
        <v>0</v>
      </c>
      <c r="O140" s="143">
        <f>ROUND(+(N140)*C140*50%,4)</f>
        <v>0</v>
      </c>
      <c r="P140" s="147">
        <f>ROUND(O140+L140,4)</f>
        <v>0</v>
      </c>
      <c r="Q140" s="80"/>
      <c r="R140" s="81"/>
      <c r="S140" s="84"/>
    </row>
    <row r="141" spans="1:19" x14ac:dyDescent="0.2">
      <c r="A141" s="47"/>
      <c r="B141" s="36"/>
      <c r="C141" s="138"/>
      <c r="D141" s="140"/>
      <c r="E141" s="48"/>
      <c r="F141" s="140"/>
      <c r="G141" s="140"/>
      <c r="H141" s="140">
        <f>ROUND(+D141+F141,4)</f>
        <v>0</v>
      </c>
      <c r="I141" s="140">
        <v>0</v>
      </c>
      <c r="J141" s="140">
        <v>0.03</v>
      </c>
      <c r="K141" s="140">
        <f>ROUND(IF(E141="alluminio",(I141)*3%,0)+IF(E141="alluminio smaltato",(I141)*3%,0),4)</f>
        <v>0</v>
      </c>
      <c r="L141" s="143">
        <f>ROUND((J141*C141)+(K141*C141),4)</f>
        <v>0</v>
      </c>
      <c r="M141" s="140"/>
      <c r="N141" s="140">
        <f>ROUND(+I141-H141,4)</f>
        <v>0</v>
      </c>
      <c r="O141" s="143">
        <f>ROUND(+(N141)*C141*50%,4)</f>
        <v>0</v>
      </c>
      <c r="P141" s="147">
        <f>ROUND(O141+L141,4)</f>
        <v>0</v>
      </c>
      <c r="Q141" s="80"/>
      <c r="R141" s="81"/>
      <c r="S141" s="84"/>
    </row>
    <row r="142" spans="1:19" x14ac:dyDescent="0.2">
      <c r="A142" s="47"/>
      <c r="B142" s="36"/>
      <c r="C142" s="138"/>
      <c r="D142" s="140"/>
      <c r="E142" s="48"/>
      <c r="F142" s="140"/>
      <c r="G142" s="140"/>
      <c r="H142" s="140">
        <f>ROUND(+D142+F142,4)</f>
        <v>0</v>
      </c>
      <c r="I142" s="140">
        <v>0</v>
      </c>
      <c r="J142" s="140">
        <v>0.03</v>
      </c>
      <c r="K142" s="140">
        <f>ROUND(IF(E142="alluminio",(I142)*3%,0)+IF(E142="alluminio smaltato",(I142)*3%,0),4)</f>
        <v>0</v>
      </c>
      <c r="L142" s="143">
        <f>ROUND((J142*C142)+(K142*C142),4)</f>
        <v>0</v>
      </c>
      <c r="M142" s="140"/>
      <c r="N142" s="140">
        <f>ROUND(+I142-H142,4)</f>
        <v>0</v>
      </c>
      <c r="O142" s="143">
        <f>ROUND(+(N142)*C142*50%,4)</f>
        <v>0</v>
      </c>
      <c r="P142" s="147">
        <f>ROUND(O142+L142,4)</f>
        <v>0</v>
      </c>
      <c r="Q142" s="80"/>
      <c r="R142" s="81"/>
      <c r="S142" s="84"/>
    </row>
    <row r="143" spans="1:19" x14ac:dyDescent="0.2">
      <c r="A143" s="47"/>
      <c r="B143" s="36"/>
      <c r="C143" s="138"/>
      <c r="D143" s="140"/>
      <c r="E143" s="48"/>
      <c r="F143" s="140"/>
      <c r="G143" s="140"/>
      <c r="H143" s="140">
        <f>ROUND(+D143+F143,4)</f>
        <v>0</v>
      </c>
      <c r="I143" s="140">
        <v>0</v>
      </c>
      <c r="J143" s="140">
        <v>0.03</v>
      </c>
      <c r="K143" s="140">
        <f>ROUND(IF(E143="alluminio",(I143)*3%,0)+IF(E143="alluminio smaltato",(I143)*3%,0),4)</f>
        <v>0</v>
      </c>
      <c r="L143" s="143">
        <f>ROUND((J143*C143)+(K143*C143),4)</f>
        <v>0</v>
      </c>
      <c r="M143" s="140"/>
      <c r="N143" s="140">
        <f>ROUND(+I143-H143,4)</f>
        <v>0</v>
      </c>
      <c r="O143" s="143">
        <f>ROUND(+(N143)*C143*50%,4)</f>
        <v>0</v>
      </c>
      <c r="P143" s="147">
        <f>ROUND(O143+L143,4)</f>
        <v>0</v>
      </c>
      <c r="Q143" s="80"/>
      <c r="R143" s="81"/>
      <c r="S143" s="84"/>
    </row>
    <row r="144" spans="1:19" x14ac:dyDescent="0.2">
      <c r="A144" s="47"/>
      <c r="B144" s="36"/>
      <c r="C144" s="138"/>
      <c r="D144" s="140"/>
      <c r="E144" s="48"/>
      <c r="F144" s="140"/>
      <c r="G144" s="140"/>
      <c r="H144" s="140">
        <f>ROUND(+D144+F144,4)</f>
        <v>0</v>
      </c>
      <c r="I144" s="140">
        <v>0</v>
      </c>
      <c r="J144" s="140">
        <v>0.03</v>
      </c>
      <c r="K144" s="140">
        <f>ROUND(IF(E144="alluminio",(I144)*3%,0)+IF(E144="alluminio smaltato",(I144)*3%,0),4)</f>
        <v>0</v>
      </c>
      <c r="L144" s="143">
        <f>ROUND((J144*C144)+(K144*C144),4)</f>
        <v>0</v>
      </c>
      <c r="M144" s="140"/>
      <c r="N144" s="140">
        <f>ROUND(+I144-H144,4)</f>
        <v>0</v>
      </c>
      <c r="O144" s="143">
        <f>ROUND(+(N144)*C144*50%,4)</f>
        <v>0</v>
      </c>
      <c r="P144" s="147">
        <f>ROUND(O144+L144,4)</f>
        <v>0</v>
      </c>
      <c r="Q144" s="80"/>
      <c r="R144" s="81"/>
      <c r="S144" s="84"/>
    </row>
    <row r="145" spans="1:19" x14ac:dyDescent="0.2">
      <c r="A145" s="47"/>
      <c r="B145" s="36"/>
      <c r="C145" s="138"/>
      <c r="D145" s="140"/>
      <c r="E145" s="48"/>
      <c r="F145" s="140"/>
      <c r="G145" s="140"/>
      <c r="H145" s="140">
        <f>ROUND(+D145+F145,4)</f>
        <v>0</v>
      </c>
      <c r="I145" s="140">
        <v>0</v>
      </c>
      <c r="J145" s="140">
        <v>0.03</v>
      </c>
      <c r="K145" s="140">
        <f>ROUND(IF(E145="alluminio",(I145)*3%,0)+IF(E145="alluminio smaltato",(I145)*3%,0),4)</f>
        <v>0</v>
      </c>
      <c r="L145" s="143">
        <f>ROUND((J145*C145)+(K145*C145),4)</f>
        <v>0</v>
      </c>
      <c r="M145" s="140"/>
      <c r="N145" s="140">
        <f>ROUND(+I145-H145,4)</f>
        <v>0</v>
      </c>
      <c r="O145" s="143">
        <f>ROUND(+(N145)*C145*50%,4)</f>
        <v>0</v>
      </c>
      <c r="P145" s="147">
        <f>ROUND(O145+L145,4)</f>
        <v>0</v>
      </c>
      <c r="Q145" s="80"/>
      <c r="R145" s="81"/>
      <c r="S145" s="84"/>
    </row>
    <row r="146" spans="1:19" x14ac:dyDescent="0.2">
      <c r="A146" s="47"/>
      <c r="B146" s="36"/>
      <c r="C146" s="138"/>
      <c r="D146" s="140"/>
      <c r="E146" s="48"/>
      <c r="F146" s="140"/>
      <c r="G146" s="140"/>
      <c r="H146" s="140">
        <f>ROUND(+D146+F146,4)</f>
        <v>0</v>
      </c>
      <c r="I146" s="140">
        <v>0</v>
      </c>
      <c r="J146" s="140">
        <v>0.03</v>
      </c>
      <c r="K146" s="140">
        <f>ROUND(IF(E146="alluminio",(I146)*3%,0)+IF(E146="alluminio smaltato",(I146)*3%,0),4)</f>
        <v>0</v>
      </c>
      <c r="L146" s="143">
        <f>ROUND((J146*C146)+(K146*C146),4)</f>
        <v>0</v>
      </c>
      <c r="M146" s="140"/>
      <c r="N146" s="140">
        <f>ROUND(+I146-H146,4)</f>
        <v>0</v>
      </c>
      <c r="O146" s="143">
        <f>ROUND(+(N146)*C146*50%,4)</f>
        <v>0</v>
      </c>
      <c r="P146" s="147">
        <f>ROUND(O146+L146,4)</f>
        <v>0</v>
      </c>
      <c r="Q146" s="80"/>
      <c r="R146" s="81"/>
      <c r="S146" s="84"/>
    </row>
    <row r="147" spans="1:19" x14ac:dyDescent="0.2">
      <c r="A147" s="47"/>
      <c r="B147" s="36"/>
      <c r="C147" s="138"/>
      <c r="D147" s="140"/>
      <c r="E147" s="48"/>
      <c r="F147" s="140"/>
      <c r="G147" s="140"/>
      <c r="H147" s="140">
        <f>ROUND(+D147+F147,4)</f>
        <v>0</v>
      </c>
      <c r="I147" s="140">
        <v>0</v>
      </c>
      <c r="J147" s="140">
        <v>0.03</v>
      </c>
      <c r="K147" s="140">
        <f>ROUND(IF(E147="alluminio",(I147)*3%,0)+IF(E147="alluminio smaltato",(I147)*3%,0),4)</f>
        <v>0</v>
      </c>
      <c r="L147" s="143">
        <f>ROUND((J147*C147)+(K147*C147),4)</f>
        <v>0</v>
      </c>
      <c r="M147" s="140"/>
      <c r="N147" s="140">
        <f>ROUND(+I147-H147,4)</f>
        <v>0</v>
      </c>
      <c r="O147" s="143">
        <f>ROUND(+(N147)*C147*50%,4)</f>
        <v>0</v>
      </c>
      <c r="P147" s="147">
        <f>ROUND(O147+L147,4)</f>
        <v>0</v>
      </c>
      <c r="Q147" s="80"/>
      <c r="R147" s="81"/>
      <c r="S147" s="84"/>
    </row>
    <row r="148" spans="1:19" x14ac:dyDescent="0.2">
      <c r="A148" s="47"/>
      <c r="B148" s="36"/>
      <c r="C148" s="138"/>
      <c r="D148" s="140"/>
      <c r="E148" s="48"/>
      <c r="F148" s="140"/>
      <c r="G148" s="140"/>
      <c r="H148" s="140">
        <f>ROUND(+D148+F148,4)</f>
        <v>0</v>
      </c>
      <c r="I148" s="140">
        <v>0</v>
      </c>
      <c r="J148" s="140">
        <v>0.03</v>
      </c>
      <c r="K148" s="140">
        <f>ROUND(IF(E148="alluminio",(I148)*3%,0)+IF(E148="alluminio smaltato",(I148)*3%,0),4)</f>
        <v>0</v>
      </c>
      <c r="L148" s="143">
        <f>ROUND((J148*C148)+(K148*C148),4)</f>
        <v>0</v>
      </c>
      <c r="M148" s="140"/>
      <c r="N148" s="140">
        <f>ROUND(+I148-H148,4)</f>
        <v>0</v>
      </c>
      <c r="O148" s="143">
        <f>ROUND(+(N148)*C148*50%,4)</f>
        <v>0</v>
      </c>
      <c r="P148" s="147">
        <f>ROUND(O148+L148,4)</f>
        <v>0</v>
      </c>
      <c r="Q148" s="80"/>
      <c r="R148" s="81"/>
      <c r="S148" s="84"/>
    </row>
    <row r="149" spans="1:19" x14ac:dyDescent="0.2">
      <c r="A149" s="47"/>
      <c r="B149" s="36"/>
      <c r="C149" s="138"/>
      <c r="D149" s="140"/>
      <c r="E149" s="48"/>
      <c r="F149" s="140"/>
      <c r="G149" s="140"/>
      <c r="H149" s="140">
        <f>ROUND(+D149+F149,4)</f>
        <v>0</v>
      </c>
      <c r="I149" s="140">
        <v>0</v>
      </c>
      <c r="J149" s="140">
        <v>0.03</v>
      </c>
      <c r="K149" s="140">
        <f>ROUND(IF(E149="alluminio",(I149)*3%,0)+IF(E149="alluminio smaltato",(I149)*3%,0),4)</f>
        <v>0</v>
      </c>
      <c r="L149" s="143">
        <f>ROUND((J149*C149)+(K149*C149),4)</f>
        <v>0</v>
      </c>
      <c r="M149" s="140"/>
      <c r="N149" s="140">
        <f>ROUND(+I149-H149,4)</f>
        <v>0</v>
      </c>
      <c r="O149" s="143">
        <f>ROUND(+(N149)*C149*50%,4)</f>
        <v>0</v>
      </c>
      <c r="P149" s="147">
        <f>ROUND(O149+L149,4)</f>
        <v>0</v>
      </c>
      <c r="Q149" s="80"/>
      <c r="R149" s="81"/>
      <c r="S149" s="84"/>
    </row>
    <row r="150" spans="1:19" x14ac:dyDescent="0.2">
      <c r="A150" s="47"/>
      <c r="B150" s="36"/>
      <c r="C150" s="138"/>
      <c r="D150" s="140"/>
      <c r="E150" s="48"/>
      <c r="F150" s="140"/>
      <c r="G150" s="140"/>
      <c r="H150" s="140">
        <f>ROUND(+D150+F150,4)</f>
        <v>0</v>
      </c>
      <c r="I150" s="140">
        <v>0</v>
      </c>
      <c r="J150" s="140">
        <v>0.03</v>
      </c>
      <c r="K150" s="140">
        <f>ROUND(IF(E150="alluminio",(I150)*3%,0)+IF(E150="alluminio smaltato",(I150)*3%,0),4)</f>
        <v>0</v>
      </c>
      <c r="L150" s="143">
        <f>ROUND((J150*C150)+(K150*C150),4)</f>
        <v>0</v>
      </c>
      <c r="M150" s="140"/>
      <c r="N150" s="140">
        <f>ROUND(+I150-H150,4)</f>
        <v>0</v>
      </c>
      <c r="O150" s="143">
        <f>ROUND(+(N150)*C150*50%,4)</f>
        <v>0</v>
      </c>
      <c r="P150" s="147">
        <f>ROUND(O150+L150,4)</f>
        <v>0</v>
      </c>
      <c r="Q150" s="80"/>
      <c r="R150" s="81"/>
      <c r="S150" s="84"/>
    </row>
    <row r="151" spans="1:19" x14ac:dyDescent="0.2">
      <c r="A151" s="47"/>
      <c r="B151" s="36"/>
      <c r="C151" s="138"/>
      <c r="D151" s="140"/>
      <c r="E151" s="48"/>
      <c r="F151" s="140"/>
      <c r="G151" s="140"/>
      <c r="H151" s="140">
        <f>ROUND(+D151+F151,4)</f>
        <v>0</v>
      </c>
      <c r="I151" s="140">
        <v>0</v>
      </c>
      <c r="J151" s="140">
        <v>0.03</v>
      </c>
      <c r="K151" s="140">
        <f>ROUND(IF(E151="alluminio",(I151)*3%,0)+IF(E151="alluminio smaltato",(I151)*3%,0),4)</f>
        <v>0</v>
      </c>
      <c r="L151" s="143">
        <f>ROUND((J151*C151)+(K151*C151),4)</f>
        <v>0</v>
      </c>
      <c r="M151" s="140"/>
      <c r="N151" s="140">
        <f>ROUND(+I151-H151,4)</f>
        <v>0</v>
      </c>
      <c r="O151" s="143">
        <f>ROUND(+(N151)*C151*50%,4)</f>
        <v>0</v>
      </c>
      <c r="P151" s="147">
        <f>ROUND(O151+L151,4)</f>
        <v>0</v>
      </c>
      <c r="Q151" s="80"/>
      <c r="R151" s="81"/>
      <c r="S151" s="84"/>
    </row>
    <row r="152" spans="1:19" x14ac:dyDescent="0.2">
      <c r="A152" s="47"/>
      <c r="B152" s="36"/>
      <c r="C152" s="138"/>
      <c r="D152" s="140"/>
      <c r="E152" s="48"/>
      <c r="F152" s="140"/>
      <c r="G152" s="140"/>
      <c r="H152" s="140">
        <f>ROUND(+D152+F152,4)</f>
        <v>0</v>
      </c>
      <c r="I152" s="140">
        <v>0</v>
      </c>
      <c r="J152" s="140">
        <v>0.03</v>
      </c>
      <c r="K152" s="140">
        <f>ROUND(IF(E152="alluminio",(I152)*3%,0)+IF(E152="alluminio smaltato",(I152)*3%,0),4)</f>
        <v>0</v>
      </c>
      <c r="L152" s="143">
        <f>ROUND((J152*C152)+(K152*C152),4)</f>
        <v>0</v>
      </c>
      <c r="M152" s="140"/>
      <c r="N152" s="140">
        <f>ROUND(+I152-H152,4)</f>
        <v>0</v>
      </c>
      <c r="O152" s="143">
        <f>ROUND(+(N152)*C152*50%,4)</f>
        <v>0</v>
      </c>
      <c r="P152" s="147">
        <f>ROUND(O152+L152,4)</f>
        <v>0</v>
      </c>
      <c r="Q152" s="80"/>
      <c r="R152" s="81"/>
      <c r="S152" s="84"/>
    </row>
    <row r="153" spans="1:19" x14ac:dyDescent="0.2">
      <c r="A153" s="47"/>
      <c r="B153" s="36"/>
      <c r="C153" s="138"/>
      <c r="D153" s="140"/>
      <c r="E153" s="48"/>
      <c r="F153" s="140"/>
      <c r="G153" s="140"/>
      <c r="H153" s="140">
        <f>ROUND(+D153+F153,4)</f>
        <v>0</v>
      </c>
      <c r="I153" s="140">
        <v>0</v>
      </c>
      <c r="J153" s="140">
        <v>0.03</v>
      </c>
      <c r="K153" s="140">
        <f>ROUND(IF(E153="alluminio",(I153)*3%,0)+IF(E153="alluminio smaltato",(I153)*3%,0),4)</f>
        <v>0</v>
      </c>
      <c r="L153" s="143">
        <f>ROUND((J153*C153)+(K153*C153),4)</f>
        <v>0</v>
      </c>
      <c r="M153" s="140"/>
      <c r="N153" s="140">
        <f>ROUND(+I153-H153,4)</f>
        <v>0</v>
      </c>
      <c r="O153" s="143">
        <f>ROUND(+(N153)*C153*50%,4)</f>
        <v>0</v>
      </c>
      <c r="P153" s="147">
        <f>ROUND(O153+L153,4)</f>
        <v>0</v>
      </c>
      <c r="Q153" s="80"/>
      <c r="R153" s="81"/>
      <c r="S153" s="84"/>
    </row>
    <row r="154" spans="1:19" x14ac:dyDescent="0.2">
      <c r="A154" s="47"/>
      <c r="B154" s="36"/>
      <c r="C154" s="138"/>
      <c r="D154" s="140"/>
      <c r="E154" s="48"/>
      <c r="F154" s="140"/>
      <c r="G154" s="140"/>
      <c r="H154" s="140">
        <f>ROUND(+D154+F154,4)</f>
        <v>0</v>
      </c>
      <c r="I154" s="140">
        <v>0</v>
      </c>
      <c r="J154" s="140">
        <v>0.03</v>
      </c>
      <c r="K154" s="140">
        <f>ROUND(IF(E154="alluminio",(I154)*3%,0)+IF(E154="alluminio smaltato",(I154)*3%,0),4)</f>
        <v>0</v>
      </c>
      <c r="L154" s="143">
        <f>ROUND((J154*C154)+(K154*C154),4)</f>
        <v>0</v>
      </c>
      <c r="M154" s="140"/>
      <c r="N154" s="140">
        <f>ROUND(+I154-H154,4)</f>
        <v>0</v>
      </c>
      <c r="O154" s="143">
        <f>ROUND(+(N154)*C154*50%,4)</f>
        <v>0</v>
      </c>
      <c r="P154" s="147">
        <f>ROUND(O154+L154,4)</f>
        <v>0</v>
      </c>
      <c r="Q154" s="80"/>
      <c r="R154" s="81"/>
      <c r="S154" s="84"/>
    </row>
    <row r="155" spans="1:19" x14ac:dyDescent="0.2">
      <c r="A155" s="47"/>
      <c r="B155" s="36"/>
      <c r="C155" s="138"/>
      <c r="D155" s="140"/>
      <c r="E155" s="48"/>
      <c r="F155" s="140"/>
      <c r="G155" s="140"/>
      <c r="H155" s="140">
        <f>ROUND(+D155+F155,4)</f>
        <v>0</v>
      </c>
      <c r="I155" s="140">
        <v>0</v>
      </c>
      <c r="J155" s="140">
        <v>0.03</v>
      </c>
      <c r="K155" s="140">
        <f>ROUND(IF(E155="alluminio",(I155)*3%,0)+IF(E155="alluminio smaltato",(I155)*3%,0),4)</f>
        <v>0</v>
      </c>
      <c r="L155" s="143">
        <f>ROUND((J155*C155)+(K155*C155),4)</f>
        <v>0</v>
      </c>
      <c r="M155" s="140"/>
      <c r="N155" s="140">
        <f>ROUND(+I155-H155,4)</f>
        <v>0</v>
      </c>
      <c r="O155" s="143">
        <f>ROUND(+(N155)*C155*50%,4)</f>
        <v>0</v>
      </c>
      <c r="P155" s="147">
        <f>ROUND(O155+L155,4)</f>
        <v>0</v>
      </c>
      <c r="Q155" s="80"/>
      <c r="R155" s="81"/>
      <c r="S155" s="84"/>
    </row>
    <row r="156" spans="1:19" x14ac:dyDescent="0.2">
      <c r="A156" s="47"/>
      <c r="B156" s="36"/>
      <c r="C156" s="138"/>
      <c r="D156" s="140"/>
      <c r="E156" s="48"/>
      <c r="F156" s="140"/>
      <c r="G156" s="140"/>
      <c r="H156" s="140">
        <f>ROUND(+D156+F156,4)</f>
        <v>0</v>
      </c>
      <c r="I156" s="140">
        <v>0</v>
      </c>
      <c r="J156" s="140">
        <v>0.03</v>
      </c>
      <c r="K156" s="140">
        <f>ROUND(IF(E156="alluminio",(I156)*3%,0)+IF(E156="alluminio smaltato",(I156)*3%,0),4)</f>
        <v>0</v>
      </c>
      <c r="L156" s="143">
        <f>ROUND((J156*C156)+(K156*C156),4)</f>
        <v>0</v>
      </c>
      <c r="M156" s="140"/>
      <c r="N156" s="140">
        <f>ROUND(+I156-H156,4)</f>
        <v>0</v>
      </c>
      <c r="O156" s="143">
        <f>ROUND(+(N156)*C156*50%,4)</f>
        <v>0</v>
      </c>
      <c r="P156" s="147">
        <f>ROUND(O156+L156,4)</f>
        <v>0</v>
      </c>
      <c r="Q156" s="80"/>
      <c r="R156" s="81"/>
      <c r="S156" s="84"/>
    </row>
    <row r="157" spans="1:19" x14ac:dyDescent="0.2">
      <c r="A157" s="47"/>
      <c r="B157" s="36"/>
      <c r="C157" s="138"/>
      <c r="D157" s="140"/>
      <c r="E157" s="48"/>
      <c r="F157" s="140"/>
      <c r="G157" s="140"/>
      <c r="H157" s="140">
        <f>ROUND(+D157+F157,4)</f>
        <v>0</v>
      </c>
      <c r="I157" s="140">
        <v>0</v>
      </c>
      <c r="J157" s="140">
        <v>0.03</v>
      </c>
      <c r="K157" s="140">
        <f>ROUND(IF(E157="alluminio",(I157)*3%,0)+IF(E157="alluminio smaltato",(I157)*3%,0),4)</f>
        <v>0</v>
      </c>
      <c r="L157" s="143">
        <f>ROUND((J157*C157)+(K157*C157),4)</f>
        <v>0</v>
      </c>
      <c r="M157" s="140"/>
      <c r="N157" s="140">
        <f>ROUND(+I157-H157,4)</f>
        <v>0</v>
      </c>
      <c r="O157" s="143">
        <f>ROUND(+(N157)*C157*50%,4)</f>
        <v>0</v>
      </c>
      <c r="P157" s="147">
        <f>ROUND(O157+L157,4)</f>
        <v>0</v>
      </c>
      <c r="Q157" s="80"/>
      <c r="R157" s="81"/>
      <c r="S157" s="84"/>
    </row>
    <row r="158" spans="1:19" x14ac:dyDescent="0.2">
      <c r="A158" s="47"/>
      <c r="B158" s="36"/>
      <c r="C158" s="138"/>
      <c r="D158" s="140"/>
      <c r="E158" s="48"/>
      <c r="F158" s="140"/>
      <c r="G158" s="140"/>
      <c r="H158" s="140">
        <f>ROUND(+D158+F158,4)</f>
        <v>0</v>
      </c>
      <c r="I158" s="140">
        <v>0</v>
      </c>
      <c r="J158" s="140">
        <v>0.03</v>
      </c>
      <c r="K158" s="140">
        <f>ROUND(IF(E158="alluminio",(I158)*3%,0)+IF(E158="alluminio smaltato",(I158)*3%,0),4)</f>
        <v>0</v>
      </c>
      <c r="L158" s="143">
        <f>ROUND((J158*C158)+(K158*C158),4)</f>
        <v>0</v>
      </c>
      <c r="M158" s="140"/>
      <c r="N158" s="140">
        <f>ROUND(+I158-H158,4)</f>
        <v>0</v>
      </c>
      <c r="O158" s="143">
        <f>ROUND(+(N158)*C158*50%,4)</f>
        <v>0</v>
      </c>
      <c r="P158" s="147">
        <f>ROUND(O158+L158,4)</f>
        <v>0</v>
      </c>
      <c r="Q158" s="80"/>
      <c r="R158" s="81"/>
      <c r="S158" s="84"/>
    </row>
    <row r="159" spans="1:19" x14ac:dyDescent="0.2">
      <c r="A159" s="47"/>
      <c r="B159" s="36"/>
      <c r="C159" s="138"/>
      <c r="D159" s="140"/>
      <c r="E159" s="48"/>
      <c r="F159" s="140"/>
      <c r="G159" s="140"/>
      <c r="H159" s="140">
        <f>ROUND(+D159+F159,4)</f>
        <v>0</v>
      </c>
      <c r="I159" s="140">
        <v>0</v>
      </c>
      <c r="J159" s="140">
        <v>0.03</v>
      </c>
      <c r="K159" s="140">
        <f>ROUND(IF(E159="alluminio",(I159)*3%,0)+IF(E159="alluminio smaltato",(I159)*3%,0),4)</f>
        <v>0</v>
      </c>
      <c r="L159" s="143">
        <f>ROUND((J159*C159)+(K159*C159),4)</f>
        <v>0</v>
      </c>
      <c r="M159" s="140"/>
      <c r="N159" s="140">
        <f>ROUND(+I159-H159,4)</f>
        <v>0</v>
      </c>
      <c r="O159" s="143">
        <f>ROUND(+(N159)*C159*50%,4)</f>
        <v>0</v>
      </c>
      <c r="P159" s="147">
        <f>ROUND(O159+L159,4)</f>
        <v>0</v>
      </c>
      <c r="Q159" s="80"/>
      <c r="R159" s="81"/>
      <c r="S159" s="84"/>
    </row>
    <row r="160" spans="1:19" x14ac:dyDescent="0.2">
      <c r="A160" s="47"/>
      <c r="B160" s="36"/>
      <c r="C160" s="138"/>
      <c r="D160" s="140"/>
      <c r="E160" s="48"/>
      <c r="F160" s="140"/>
      <c r="G160" s="140"/>
      <c r="H160" s="140">
        <f>ROUND(+D160+F160,4)</f>
        <v>0</v>
      </c>
      <c r="I160" s="140">
        <v>0</v>
      </c>
      <c r="J160" s="140">
        <v>0.03</v>
      </c>
      <c r="K160" s="140">
        <f>ROUND(IF(E160="alluminio",(I160)*3%,0)+IF(E160="alluminio smaltato",(I160)*3%,0),4)</f>
        <v>0</v>
      </c>
      <c r="L160" s="143">
        <f>ROUND((J160*C160)+(K160*C160),4)</f>
        <v>0</v>
      </c>
      <c r="M160" s="140"/>
      <c r="N160" s="140">
        <f>ROUND(+I160-H160,4)</f>
        <v>0</v>
      </c>
      <c r="O160" s="143">
        <f>ROUND(+(N160)*C160*50%,4)</f>
        <v>0</v>
      </c>
      <c r="P160" s="147">
        <f>ROUND(O160+L160,4)</f>
        <v>0</v>
      </c>
      <c r="Q160" s="80"/>
      <c r="R160" s="81"/>
      <c r="S160" s="84"/>
    </row>
    <row r="161" spans="1:19" x14ac:dyDescent="0.2">
      <c r="A161" s="47"/>
      <c r="B161" s="36"/>
      <c r="C161" s="138"/>
      <c r="D161" s="140"/>
      <c r="E161" s="48"/>
      <c r="F161" s="140"/>
      <c r="G161" s="140"/>
      <c r="H161" s="140">
        <f>ROUND(+D161+F161,4)</f>
        <v>0</v>
      </c>
      <c r="I161" s="140">
        <v>0</v>
      </c>
      <c r="J161" s="140">
        <v>0.03</v>
      </c>
      <c r="K161" s="140">
        <f>ROUND(IF(E161="alluminio",(I161)*3%,0)+IF(E161="alluminio smaltato",(I161)*3%,0),4)</f>
        <v>0</v>
      </c>
      <c r="L161" s="143">
        <f>ROUND((J161*C161)+(K161*C161),4)</f>
        <v>0</v>
      </c>
      <c r="M161" s="140"/>
      <c r="N161" s="140">
        <f>ROUND(+I161-H161,4)</f>
        <v>0</v>
      </c>
      <c r="O161" s="143">
        <f>ROUND(+(N161)*C161*50%,4)</f>
        <v>0</v>
      </c>
      <c r="P161" s="147">
        <f>ROUND(O161+L161,4)</f>
        <v>0</v>
      </c>
      <c r="Q161" s="80"/>
      <c r="R161" s="81"/>
      <c r="S161" s="84"/>
    </row>
    <row r="162" spans="1:19" x14ac:dyDescent="0.2">
      <c r="A162" s="47"/>
      <c r="B162" s="36"/>
      <c r="C162" s="138"/>
      <c r="D162" s="140"/>
      <c r="E162" s="48"/>
      <c r="F162" s="140"/>
      <c r="G162" s="140"/>
      <c r="H162" s="140">
        <f>ROUND(+D162+F162,4)</f>
        <v>0</v>
      </c>
      <c r="I162" s="140">
        <v>0</v>
      </c>
      <c r="J162" s="140">
        <v>0.03</v>
      </c>
      <c r="K162" s="140">
        <f>ROUND(IF(E162="alluminio",(I162)*3%,0)+IF(E162="alluminio smaltato",(I162)*3%,0),4)</f>
        <v>0</v>
      </c>
      <c r="L162" s="143">
        <f>ROUND((J162*C162)+(K162*C162),4)</f>
        <v>0</v>
      </c>
      <c r="M162" s="140"/>
      <c r="N162" s="140">
        <f>ROUND(+I162-H162,4)</f>
        <v>0</v>
      </c>
      <c r="O162" s="143">
        <f>ROUND(+(N162)*C162*50%,4)</f>
        <v>0</v>
      </c>
      <c r="P162" s="147">
        <f>ROUND(O162+L162,4)</f>
        <v>0</v>
      </c>
      <c r="Q162" s="80"/>
      <c r="R162" s="81"/>
      <c r="S162" s="84"/>
    </row>
    <row r="163" spans="1:19" x14ac:dyDescent="0.2">
      <c r="A163" s="47"/>
      <c r="B163" s="36"/>
      <c r="C163" s="138"/>
      <c r="D163" s="140"/>
      <c r="E163" s="48"/>
      <c r="F163" s="140"/>
      <c r="G163" s="140"/>
      <c r="H163" s="140">
        <f>ROUND(+D163+F163,4)</f>
        <v>0</v>
      </c>
      <c r="I163" s="140">
        <v>0</v>
      </c>
      <c r="J163" s="140">
        <v>0.03</v>
      </c>
      <c r="K163" s="140">
        <f>ROUND(IF(E163="alluminio",(I163)*3%,0)+IF(E163="alluminio smaltato",(I163)*3%,0),4)</f>
        <v>0</v>
      </c>
      <c r="L163" s="143">
        <f>ROUND((J163*C163)+(K163*C163),4)</f>
        <v>0</v>
      </c>
      <c r="M163" s="140"/>
      <c r="N163" s="140">
        <f>ROUND(+I163-H163,4)</f>
        <v>0</v>
      </c>
      <c r="O163" s="143">
        <f>ROUND(+(N163)*C163*50%,4)</f>
        <v>0</v>
      </c>
      <c r="P163" s="147">
        <f>ROUND(O163+L163,4)</f>
        <v>0</v>
      </c>
      <c r="Q163" s="80"/>
      <c r="R163" s="81"/>
      <c r="S163" s="84"/>
    </row>
    <row r="164" spans="1:19" x14ac:dyDescent="0.2">
      <c r="A164" s="47"/>
      <c r="B164" s="36"/>
      <c r="C164" s="138"/>
      <c r="D164" s="140"/>
      <c r="E164" s="48"/>
      <c r="F164" s="140"/>
      <c r="G164" s="140"/>
      <c r="H164" s="140">
        <f>ROUND(+D164+F164,4)</f>
        <v>0</v>
      </c>
      <c r="I164" s="140">
        <v>0</v>
      </c>
      <c r="J164" s="140">
        <v>0.03</v>
      </c>
      <c r="K164" s="140">
        <f>ROUND(IF(E164="alluminio",(I164)*3%,0)+IF(E164="alluminio smaltato",(I164)*3%,0),4)</f>
        <v>0</v>
      </c>
      <c r="L164" s="143">
        <f>ROUND((J164*C164)+(K164*C164),4)</f>
        <v>0</v>
      </c>
      <c r="M164" s="140"/>
      <c r="N164" s="140">
        <f>ROUND(+I164-H164,4)</f>
        <v>0</v>
      </c>
      <c r="O164" s="143">
        <f>ROUND(+(N164)*C164*50%,4)</f>
        <v>0</v>
      </c>
      <c r="P164" s="147">
        <f>ROUND(O164+L164,4)</f>
        <v>0</v>
      </c>
      <c r="Q164" s="80"/>
      <c r="R164" s="81"/>
      <c r="S164" s="84"/>
    </row>
    <row r="165" spans="1:19" x14ac:dyDescent="0.2">
      <c r="A165" s="47"/>
      <c r="B165" s="36"/>
      <c r="C165" s="138"/>
      <c r="D165" s="140"/>
      <c r="E165" s="48"/>
      <c r="F165" s="140"/>
      <c r="G165" s="140"/>
      <c r="H165" s="140">
        <f>ROUND(+D165+F165,4)</f>
        <v>0</v>
      </c>
      <c r="I165" s="140">
        <v>0</v>
      </c>
      <c r="J165" s="140">
        <v>0.03</v>
      </c>
      <c r="K165" s="140">
        <f>ROUND(IF(E165="alluminio",(I165)*3%,0)+IF(E165="alluminio smaltato",(I165)*3%,0),4)</f>
        <v>0</v>
      </c>
      <c r="L165" s="143">
        <f>ROUND((J165*C165)+(K165*C165),4)</f>
        <v>0</v>
      </c>
      <c r="M165" s="140"/>
      <c r="N165" s="140">
        <f>ROUND(+I165-H165,4)</f>
        <v>0</v>
      </c>
      <c r="O165" s="143">
        <f>ROUND(+(N165)*C165*50%,4)</f>
        <v>0</v>
      </c>
      <c r="P165" s="147">
        <f>ROUND(O165+L165,4)</f>
        <v>0</v>
      </c>
      <c r="Q165" s="80"/>
      <c r="R165" s="81"/>
      <c r="S165" s="84"/>
    </row>
    <row r="166" spans="1:19" x14ac:dyDescent="0.2">
      <c r="A166" s="47"/>
      <c r="B166" s="36"/>
      <c r="C166" s="138"/>
      <c r="D166" s="140"/>
      <c r="E166" s="48"/>
      <c r="F166" s="140"/>
      <c r="G166" s="140"/>
      <c r="H166" s="140">
        <f>ROUND(+D166+F166,4)</f>
        <v>0</v>
      </c>
      <c r="I166" s="140">
        <v>0</v>
      </c>
      <c r="J166" s="140">
        <v>0.03</v>
      </c>
      <c r="K166" s="140">
        <f>ROUND(IF(E166="alluminio",(I166)*3%,0)+IF(E166="alluminio smaltato",(I166)*3%,0),4)</f>
        <v>0</v>
      </c>
      <c r="L166" s="143">
        <f>ROUND((J166*C166)+(K166*C166),4)</f>
        <v>0</v>
      </c>
      <c r="M166" s="140"/>
      <c r="N166" s="140">
        <f>ROUND(+I166-H166,4)</f>
        <v>0</v>
      </c>
      <c r="O166" s="143">
        <f>ROUND(+(N166)*C166*50%,4)</f>
        <v>0</v>
      </c>
      <c r="P166" s="147">
        <f>ROUND(O166+L166,4)</f>
        <v>0</v>
      </c>
      <c r="Q166" s="80"/>
      <c r="R166" s="81"/>
      <c r="S166" s="84"/>
    </row>
    <row r="167" spans="1:19" x14ac:dyDescent="0.2">
      <c r="A167" s="47"/>
      <c r="B167" s="36"/>
      <c r="C167" s="138"/>
      <c r="D167" s="140"/>
      <c r="E167" s="48"/>
      <c r="F167" s="140"/>
      <c r="G167" s="140"/>
      <c r="H167" s="140">
        <f>ROUND(+D167+F167,4)</f>
        <v>0</v>
      </c>
      <c r="I167" s="140">
        <v>0</v>
      </c>
      <c r="J167" s="140">
        <v>0.03</v>
      </c>
      <c r="K167" s="140">
        <f>ROUND(IF(E167="alluminio",(I167)*3%,0)+IF(E167="alluminio smaltato",(I167)*3%,0),4)</f>
        <v>0</v>
      </c>
      <c r="L167" s="143">
        <f>ROUND((J167*C167)+(K167*C167),4)</f>
        <v>0</v>
      </c>
      <c r="M167" s="140"/>
      <c r="N167" s="140">
        <f>ROUND(+I167-H167,4)</f>
        <v>0</v>
      </c>
      <c r="O167" s="143">
        <f>ROUND(+(N167)*C167*50%,4)</f>
        <v>0</v>
      </c>
      <c r="P167" s="147">
        <f>ROUND(O167+L167,4)</f>
        <v>0</v>
      </c>
      <c r="Q167" s="80"/>
      <c r="R167" s="81"/>
      <c r="S167" s="84"/>
    </row>
    <row r="168" spans="1:19" x14ac:dyDescent="0.2">
      <c r="A168" s="47"/>
      <c r="B168" s="36"/>
      <c r="C168" s="138"/>
      <c r="D168" s="140"/>
      <c r="E168" s="48"/>
      <c r="F168" s="140"/>
      <c r="G168" s="140"/>
      <c r="H168" s="140">
        <f>ROUND(+D168+F168,4)</f>
        <v>0</v>
      </c>
      <c r="I168" s="140">
        <v>0</v>
      </c>
      <c r="J168" s="140">
        <v>0.03</v>
      </c>
      <c r="K168" s="140">
        <f>ROUND(IF(E168="alluminio",(I168)*3%,0)+IF(E168="alluminio smaltato",(I168)*3%,0),4)</f>
        <v>0</v>
      </c>
      <c r="L168" s="143">
        <f>ROUND((J168*C168)+(K168*C168),4)</f>
        <v>0</v>
      </c>
      <c r="M168" s="140"/>
      <c r="N168" s="140">
        <f>ROUND(+I168-H168,4)</f>
        <v>0</v>
      </c>
      <c r="O168" s="143">
        <f>ROUND(+(N168)*C168*50%,4)</f>
        <v>0</v>
      </c>
      <c r="P168" s="147">
        <f>ROUND(O168+L168,4)</f>
        <v>0</v>
      </c>
      <c r="Q168" s="80"/>
      <c r="R168" s="81"/>
      <c r="S168" s="84"/>
    </row>
    <row r="169" spans="1:19" x14ac:dyDescent="0.2">
      <c r="A169" s="47"/>
      <c r="B169" s="36"/>
      <c r="C169" s="138"/>
      <c r="D169" s="140"/>
      <c r="E169" s="48"/>
      <c r="F169" s="140"/>
      <c r="G169" s="140"/>
      <c r="H169" s="140">
        <f>ROUND(+D169+F169,4)</f>
        <v>0</v>
      </c>
      <c r="I169" s="140">
        <v>0</v>
      </c>
      <c r="J169" s="140">
        <v>0.03</v>
      </c>
      <c r="K169" s="140">
        <f>ROUND(IF(E169="alluminio",(I169)*3%,0)+IF(E169="alluminio smaltato",(I169)*3%,0),4)</f>
        <v>0</v>
      </c>
      <c r="L169" s="143">
        <f>ROUND((J169*C169)+(K169*C169),4)</f>
        <v>0</v>
      </c>
      <c r="M169" s="140"/>
      <c r="N169" s="140">
        <f>ROUND(+I169-H169,4)</f>
        <v>0</v>
      </c>
      <c r="O169" s="143">
        <f>ROUND(+(N169)*C169*50%,4)</f>
        <v>0</v>
      </c>
      <c r="P169" s="147">
        <f>ROUND(O169+L169,4)</f>
        <v>0</v>
      </c>
      <c r="Q169" s="80"/>
      <c r="R169" s="81"/>
      <c r="S169" s="84"/>
    </row>
    <row r="170" spans="1:19" x14ac:dyDescent="0.2">
      <c r="A170" s="47"/>
      <c r="B170" s="36"/>
      <c r="C170" s="138"/>
      <c r="D170" s="140"/>
      <c r="E170" s="48"/>
      <c r="F170" s="140"/>
      <c r="G170" s="140"/>
      <c r="H170" s="140">
        <f>ROUND(+D170+F170,4)</f>
        <v>0</v>
      </c>
      <c r="I170" s="140">
        <v>0</v>
      </c>
      <c r="J170" s="140">
        <v>0.03</v>
      </c>
      <c r="K170" s="140">
        <f>ROUND(IF(E170="alluminio",(I170)*3%,0)+IF(E170="alluminio smaltato",(I170)*3%,0),4)</f>
        <v>0</v>
      </c>
      <c r="L170" s="143">
        <f>ROUND((J170*C170)+(K170*C170),4)</f>
        <v>0</v>
      </c>
      <c r="M170" s="140"/>
      <c r="N170" s="140">
        <f>ROUND(+I170-H170,4)</f>
        <v>0</v>
      </c>
      <c r="O170" s="143">
        <f>ROUND(+(N170)*C170*50%,4)</f>
        <v>0</v>
      </c>
      <c r="P170" s="147">
        <f>ROUND(O170+L170,4)</f>
        <v>0</v>
      </c>
      <c r="Q170" s="80"/>
      <c r="R170" s="81"/>
      <c r="S170" s="84"/>
    </row>
    <row r="171" spans="1:19" x14ac:dyDescent="0.2">
      <c r="A171" s="47"/>
      <c r="B171" s="36"/>
      <c r="C171" s="138"/>
      <c r="D171" s="140"/>
      <c r="E171" s="48"/>
      <c r="F171" s="140"/>
      <c r="G171" s="140"/>
      <c r="H171" s="140">
        <f>ROUND(+D171+F171,4)</f>
        <v>0</v>
      </c>
      <c r="I171" s="140">
        <v>0</v>
      </c>
      <c r="J171" s="140">
        <v>0.03</v>
      </c>
      <c r="K171" s="140">
        <f>ROUND(IF(E171="alluminio",(I171)*3%,0)+IF(E171="alluminio smaltato",(I171)*3%,0),4)</f>
        <v>0</v>
      </c>
      <c r="L171" s="143">
        <f>ROUND((J171*C171)+(K171*C171),4)</f>
        <v>0</v>
      </c>
      <c r="M171" s="140"/>
      <c r="N171" s="140">
        <f>ROUND(+I171-H171,4)</f>
        <v>0</v>
      </c>
      <c r="O171" s="143">
        <f>ROUND(+(N171)*C171*50%,4)</f>
        <v>0</v>
      </c>
      <c r="P171" s="147">
        <f>ROUND(O171+L171,4)</f>
        <v>0</v>
      </c>
      <c r="Q171" s="80"/>
      <c r="R171" s="81"/>
      <c r="S171" s="84"/>
    </row>
    <row r="172" spans="1:19" x14ac:dyDescent="0.2">
      <c r="A172" s="47"/>
      <c r="B172" s="36"/>
      <c r="C172" s="138"/>
      <c r="D172" s="140"/>
      <c r="E172" s="48"/>
      <c r="F172" s="140"/>
      <c r="G172" s="140"/>
      <c r="H172" s="140">
        <f>ROUND(+D172+F172,4)</f>
        <v>0</v>
      </c>
      <c r="I172" s="140">
        <v>0</v>
      </c>
      <c r="J172" s="140">
        <v>0.03</v>
      </c>
      <c r="K172" s="140">
        <f>ROUND(IF(E172="alluminio",(I172)*3%,0)+IF(E172="alluminio smaltato",(I172)*3%,0),4)</f>
        <v>0</v>
      </c>
      <c r="L172" s="143">
        <f>ROUND((J172*C172)+(K172*C172),4)</f>
        <v>0</v>
      </c>
      <c r="M172" s="140"/>
      <c r="N172" s="140">
        <f>ROUND(+I172-H172,4)</f>
        <v>0</v>
      </c>
      <c r="O172" s="143">
        <f>ROUND(+(N172)*C172*50%,4)</f>
        <v>0</v>
      </c>
      <c r="P172" s="147">
        <f>ROUND(O172+L172,4)</f>
        <v>0</v>
      </c>
      <c r="Q172" s="80"/>
      <c r="R172" s="81"/>
      <c r="S172" s="84"/>
    </row>
    <row r="173" spans="1:19" x14ac:dyDescent="0.2">
      <c r="A173" s="47"/>
      <c r="B173" s="36"/>
      <c r="C173" s="138"/>
      <c r="D173" s="140"/>
      <c r="E173" s="48"/>
      <c r="F173" s="140"/>
      <c r="G173" s="140"/>
      <c r="H173" s="140">
        <f>ROUND(+D173+F173,4)</f>
        <v>0</v>
      </c>
      <c r="I173" s="140">
        <v>0</v>
      </c>
      <c r="J173" s="140">
        <v>0.03</v>
      </c>
      <c r="K173" s="140">
        <f>ROUND(IF(E173="alluminio",(I173)*3%,0)+IF(E173="alluminio smaltato",(I173)*3%,0),4)</f>
        <v>0</v>
      </c>
      <c r="L173" s="143">
        <f>ROUND((J173*C173)+(K173*C173),4)</f>
        <v>0</v>
      </c>
      <c r="M173" s="140"/>
      <c r="N173" s="140">
        <f>ROUND(+I173-H173,4)</f>
        <v>0</v>
      </c>
      <c r="O173" s="143">
        <f>ROUND(+(N173)*C173*50%,4)</f>
        <v>0</v>
      </c>
      <c r="P173" s="147">
        <f>ROUND(O173+L173,4)</f>
        <v>0</v>
      </c>
      <c r="Q173" s="80"/>
      <c r="R173" s="81"/>
      <c r="S173" s="84"/>
    </row>
    <row r="174" spans="1:19" x14ac:dyDescent="0.2">
      <c r="A174" s="47"/>
      <c r="B174" s="36"/>
      <c r="C174" s="138"/>
      <c r="D174" s="140"/>
      <c r="E174" s="48"/>
      <c r="F174" s="140"/>
      <c r="G174" s="140"/>
      <c r="H174" s="140">
        <f>ROUND(+D174+F174,4)</f>
        <v>0</v>
      </c>
      <c r="I174" s="140">
        <v>0</v>
      </c>
      <c r="J174" s="140">
        <v>0.03</v>
      </c>
      <c r="K174" s="140">
        <f>ROUND(IF(E174="alluminio",(I174)*3%,0)+IF(E174="alluminio smaltato",(I174)*3%,0),4)</f>
        <v>0</v>
      </c>
      <c r="L174" s="143">
        <f>ROUND((J174*C174)+(K174*C174),4)</f>
        <v>0</v>
      </c>
      <c r="M174" s="140"/>
      <c r="N174" s="140">
        <f>ROUND(+I174-H174,4)</f>
        <v>0</v>
      </c>
      <c r="O174" s="143">
        <f>ROUND(+(N174)*C174*50%,4)</f>
        <v>0</v>
      </c>
      <c r="P174" s="147">
        <f>ROUND(O174+L174,4)</f>
        <v>0</v>
      </c>
      <c r="Q174" s="80"/>
      <c r="R174" s="81"/>
      <c r="S174" s="84"/>
    </row>
    <row r="175" spans="1:19" x14ac:dyDescent="0.2">
      <c r="A175" s="47"/>
      <c r="B175" s="36"/>
      <c r="C175" s="138"/>
      <c r="D175" s="140"/>
      <c r="E175" s="48"/>
      <c r="F175" s="140"/>
      <c r="G175" s="140"/>
      <c r="H175" s="140">
        <f>ROUND(+D175+F175,4)</f>
        <v>0</v>
      </c>
      <c r="I175" s="140">
        <v>0</v>
      </c>
      <c r="J175" s="140">
        <v>0.03</v>
      </c>
      <c r="K175" s="140">
        <f>ROUND(IF(E175="alluminio",(I175)*3%,0)+IF(E175="alluminio smaltato",(I175)*3%,0),4)</f>
        <v>0</v>
      </c>
      <c r="L175" s="143">
        <f>ROUND((J175*C175)+(K175*C175),4)</f>
        <v>0</v>
      </c>
      <c r="M175" s="140"/>
      <c r="N175" s="140">
        <f>ROUND(+I175-H175,4)</f>
        <v>0</v>
      </c>
      <c r="O175" s="143">
        <f>ROUND(+(N175)*C175*50%,4)</f>
        <v>0</v>
      </c>
      <c r="P175" s="147">
        <f>ROUND(O175+L175,4)</f>
        <v>0</v>
      </c>
      <c r="Q175" s="80"/>
      <c r="R175" s="81"/>
      <c r="S175" s="84"/>
    </row>
    <row r="176" spans="1:19" x14ac:dyDescent="0.2">
      <c r="A176" s="47"/>
      <c r="B176" s="36"/>
      <c r="C176" s="138"/>
      <c r="D176" s="140"/>
      <c r="E176" s="48"/>
      <c r="F176" s="140"/>
      <c r="G176" s="140"/>
      <c r="H176" s="140">
        <f>ROUND(+D176+F176,4)</f>
        <v>0</v>
      </c>
      <c r="I176" s="140">
        <v>0</v>
      </c>
      <c r="J176" s="140">
        <v>0.03</v>
      </c>
      <c r="K176" s="140">
        <f>ROUND(IF(E176="alluminio",(I176)*3%,0)+IF(E176="alluminio smaltato",(I176)*3%,0),4)</f>
        <v>0</v>
      </c>
      <c r="L176" s="143">
        <f>ROUND((J176*C176)+(K176*C176),4)</f>
        <v>0</v>
      </c>
      <c r="M176" s="140"/>
      <c r="N176" s="140">
        <f>ROUND(+I176-H176,4)</f>
        <v>0</v>
      </c>
      <c r="O176" s="143">
        <f>ROUND(+(N176)*C176*50%,4)</f>
        <v>0</v>
      </c>
      <c r="P176" s="147">
        <f>ROUND(O176+L176,4)</f>
        <v>0</v>
      </c>
      <c r="Q176" s="80"/>
      <c r="R176" s="81"/>
      <c r="S176" s="84"/>
    </row>
    <row r="177" spans="1:19" x14ac:dyDescent="0.2">
      <c r="A177" s="47"/>
      <c r="B177" s="36"/>
      <c r="C177" s="138"/>
      <c r="D177" s="140"/>
      <c r="E177" s="48"/>
      <c r="F177" s="140"/>
      <c r="G177" s="140"/>
      <c r="H177" s="140">
        <f>ROUND(+D177+F177,4)</f>
        <v>0</v>
      </c>
      <c r="I177" s="140">
        <v>0</v>
      </c>
      <c r="J177" s="140">
        <v>0.03</v>
      </c>
      <c r="K177" s="140">
        <f>ROUND(IF(E177="alluminio",(I177)*3%,0)+IF(E177="alluminio smaltato",(I177)*3%,0),4)</f>
        <v>0</v>
      </c>
      <c r="L177" s="143">
        <f>ROUND((J177*C177)+(K177*C177),4)</f>
        <v>0</v>
      </c>
      <c r="M177" s="140"/>
      <c r="N177" s="140">
        <f>ROUND(+I177-H177,4)</f>
        <v>0</v>
      </c>
      <c r="O177" s="143">
        <f>ROUND(+(N177)*C177*50%,4)</f>
        <v>0</v>
      </c>
      <c r="P177" s="147">
        <f>ROUND(O177+L177,4)</f>
        <v>0</v>
      </c>
      <c r="Q177" s="80"/>
      <c r="R177" s="81"/>
      <c r="S177" s="84"/>
    </row>
    <row r="178" spans="1:19" x14ac:dyDescent="0.2">
      <c r="A178" s="47"/>
      <c r="B178" s="36"/>
      <c r="C178" s="138"/>
      <c r="D178" s="140"/>
      <c r="E178" s="48"/>
      <c r="F178" s="140"/>
      <c r="G178" s="140"/>
      <c r="H178" s="140">
        <f>ROUND(+D178+F178,4)</f>
        <v>0</v>
      </c>
      <c r="I178" s="140">
        <v>0</v>
      </c>
      <c r="J178" s="140">
        <v>0.03</v>
      </c>
      <c r="K178" s="140">
        <f>ROUND(IF(E178="alluminio",(I178)*3%,0)+IF(E178="alluminio smaltato",(I178)*3%,0),4)</f>
        <v>0</v>
      </c>
      <c r="L178" s="143">
        <f>ROUND((J178*C178)+(K178*C178),4)</f>
        <v>0</v>
      </c>
      <c r="M178" s="140"/>
      <c r="N178" s="140">
        <f>ROUND(+I178-H178,4)</f>
        <v>0</v>
      </c>
      <c r="O178" s="143">
        <f>ROUND(+(N178)*C178*50%,4)</f>
        <v>0</v>
      </c>
      <c r="P178" s="147">
        <f>ROUND(O178+L178,4)</f>
        <v>0</v>
      </c>
      <c r="Q178" s="80"/>
      <c r="R178" s="81"/>
      <c r="S178" s="84"/>
    </row>
    <row r="179" spans="1:19" x14ac:dyDescent="0.2">
      <c r="A179" s="47"/>
      <c r="B179" s="36"/>
      <c r="C179" s="138"/>
      <c r="D179" s="140"/>
      <c r="E179" s="48"/>
      <c r="F179" s="140"/>
      <c r="G179" s="140"/>
      <c r="H179" s="140">
        <f>ROUND(+D179+F179,4)</f>
        <v>0</v>
      </c>
      <c r="I179" s="140">
        <v>0</v>
      </c>
      <c r="J179" s="140">
        <v>0.03</v>
      </c>
      <c r="K179" s="140">
        <f>ROUND(IF(E179="alluminio",(I179)*3%,0)+IF(E179="alluminio smaltato",(I179)*3%,0),4)</f>
        <v>0</v>
      </c>
      <c r="L179" s="143">
        <f>ROUND((J179*C179)+(K179*C179),4)</f>
        <v>0</v>
      </c>
      <c r="M179" s="140"/>
      <c r="N179" s="140">
        <f>ROUND(+I179-H179,4)</f>
        <v>0</v>
      </c>
      <c r="O179" s="143">
        <f>ROUND(+(N179)*C179*50%,4)</f>
        <v>0</v>
      </c>
      <c r="P179" s="147">
        <f>ROUND(O179+L179,4)</f>
        <v>0</v>
      </c>
      <c r="Q179" s="80"/>
      <c r="R179" s="81"/>
      <c r="S179" s="84"/>
    </row>
    <row r="180" spans="1:19" x14ac:dyDescent="0.2">
      <c r="A180" s="47"/>
      <c r="B180" s="36"/>
      <c r="C180" s="138"/>
      <c r="D180" s="140"/>
      <c r="E180" s="48"/>
      <c r="F180" s="140"/>
      <c r="G180" s="140"/>
      <c r="H180" s="140">
        <f>ROUND(+D180+F180,4)</f>
        <v>0</v>
      </c>
      <c r="I180" s="140">
        <v>0</v>
      </c>
      <c r="J180" s="140">
        <v>0.03</v>
      </c>
      <c r="K180" s="140">
        <f>ROUND(IF(E180="alluminio",(I180)*3%,0)+IF(E180="alluminio smaltato",(I180)*3%,0),4)</f>
        <v>0</v>
      </c>
      <c r="L180" s="143">
        <f>ROUND((J180*C180)+(K180*C180),4)</f>
        <v>0</v>
      </c>
      <c r="M180" s="140"/>
      <c r="N180" s="140">
        <f>ROUND(+I180-H180,4)</f>
        <v>0</v>
      </c>
      <c r="O180" s="143">
        <f>ROUND(+(N180)*C180*50%,4)</f>
        <v>0</v>
      </c>
      <c r="P180" s="147">
        <f>ROUND(O180+L180,4)</f>
        <v>0</v>
      </c>
      <c r="Q180" s="80"/>
      <c r="R180" s="81"/>
      <c r="S180" s="84"/>
    </row>
    <row r="181" spans="1:19" x14ac:dyDescent="0.2">
      <c r="A181" s="47"/>
      <c r="B181" s="36"/>
      <c r="C181" s="138"/>
      <c r="D181" s="140"/>
      <c r="E181" s="48"/>
      <c r="F181" s="140"/>
      <c r="G181" s="140"/>
      <c r="H181" s="140">
        <f>ROUND(+D181+F181,4)</f>
        <v>0</v>
      </c>
      <c r="I181" s="140">
        <v>0</v>
      </c>
      <c r="J181" s="140">
        <v>0.03</v>
      </c>
      <c r="K181" s="140">
        <f>ROUND(IF(E181="alluminio",(I181)*3%,0)+IF(E181="alluminio smaltato",(I181)*3%,0),4)</f>
        <v>0</v>
      </c>
      <c r="L181" s="143">
        <f>ROUND((J181*C181)+(K181*C181),4)</f>
        <v>0</v>
      </c>
      <c r="M181" s="140"/>
      <c r="N181" s="140">
        <f>ROUND(+I181-H181,4)</f>
        <v>0</v>
      </c>
      <c r="O181" s="143">
        <f>ROUND(+(N181)*C181*50%,4)</f>
        <v>0</v>
      </c>
      <c r="P181" s="147">
        <f>ROUND(O181+L181,4)</f>
        <v>0</v>
      </c>
      <c r="Q181" s="80"/>
      <c r="R181" s="81"/>
      <c r="S181" s="84"/>
    </row>
    <row r="182" spans="1:19" x14ac:dyDescent="0.2">
      <c r="A182" s="47"/>
      <c r="B182" s="36"/>
      <c r="C182" s="138"/>
      <c r="D182" s="140"/>
      <c r="E182" s="48"/>
      <c r="F182" s="140"/>
      <c r="G182" s="140"/>
      <c r="H182" s="140">
        <f>ROUND(+D182+F182,4)</f>
        <v>0</v>
      </c>
      <c r="I182" s="140">
        <v>0</v>
      </c>
      <c r="J182" s="140">
        <v>0.03</v>
      </c>
      <c r="K182" s="140">
        <f>ROUND(IF(E182="alluminio",(I182)*3%,0)+IF(E182="alluminio smaltato",(I182)*3%,0),4)</f>
        <v>0</v>
      </c>
      <c r="L182" s="143">
        <f>ROUND((J182*C182)+(K182*C182),4)</f>
        <v>0</v>
      </c>
      <c r="M182" s="140"/>
      <c r="N182" s="140">
        <f>ROUND(+I182-H182,4)</f>
        <v>0</v>
      </c>
      <c r="O182" s="143">
        <f>ROUND(+(N182)*C182*50%,4)</f>
        <v>0</v>
      </c>
      <c r="P182" s="147">
        <f>ROUND(O182+L182,4)</f>
        <v>0</v>
      </c>
      <c r="Q182" s="80"/>
      <c r="R182" s="81"/>
      <c r="S182" s="84"/>
    </row>
    <row r="183" spans="1:19" x14ac:dyDescent="0.2">
      <c r="A183" s="47"/>
      <c r="B183" s="36"/>
      <c r="C183" s="138"/>
      <c r="D183" s="140"/>
      <c r="E183" s="48"/>
      <c r="F183" s="140"/>
      <c r="G183" s="140"/>
      <c r="H183" s="140">
        <f>ROUND(+D183+F183,4)</f>
        <v>0</v>
      </c>
      <c r="I183" s="140">
        <v>0</v>
      </c>
      <c r="J183" s="140">
        <v>0.03</v>
      </c>
      <c r="K183" s="140">
        <f>ROUND(IF(E183="alluminio",(I183)*3%,0)+IF(E183="alluminio smaltato",(I183)*3%,0),4)</f>
        <v>0</v>
      </c>
      <c r="L183" s="143">
        <f>ROUND((J183*C183)+(K183*C183),4)</f>
        <v>0</v>
      </c>
      <c r="M183" s="140"/>
      <c r="N183" s="140">
        <f>ROUND(+I183-H183,4)</f>
        <v>0</v>
      </c>
      <c r="O183" s="143">
        <f>ROUND(+(N183)*C183*50%,4)</f>
        <v>0</v>
      </c>
      <c r="P183" s="147">
        <f>ROUND(O183+L183,4)</f>
        <v>0</v>
      </c>
      <c r="Q183" s="80"/>
      <c r="R183" s="81"/>
      <c r="S183" s="84"/>
    </row>
    <row r="184" spans="1:19" x14ac:dyDescent="0.2">
      <c r="A184" s="47"/>
      <c r="B184" s="36"/>
      <c r="C184" s="138"/>
      <c r="D184" s="140"/>
      <c r="E184" s="48"/>
      <c r="F184" s="140"/>
      <c r="G184" s="140"/>
      <c r="H184" s="140">
        <f>ROUND(+D184+F184,4)</f>
        <v>0</v>
      </c>
      <c r="I184" s="140">
        <v>0</v>
      </c>
      <c r="J184" s="140">
        <v>0.03</v>
      </c>
      <c r="K184" s="140">
        <f>ROUND(IF(E184="alluminio",(I184)*3%,0)+IF(E184="alluminio smaltato",(I184)*3%,0),4)</f>
        <v>0</v>
      </c>
      <c r="L184" s="143">
        <f>ROUND((J184*C184)+(K184*C184),4)</f>
        <v>0</v>
      </c>
      <c r="M184" s="140"/>
      <c r="N184" s="140">
        <f>ROUND(+I184-H184,4)</f>
        <v>0</v>
      </c>
      <c r="O184" s="143">
        <f>ROUND(+(N184)*C184*50%,4)</f>
        <v>0</v>
      </c>
      <c r="P184" s="147">
        <f>ROUND(O184+L184,4)</f>
        <v>0</v>
      </c>
      <c r="Q184" s="80"/>
      <c r="R184" s="81"/>
      <c r="S184" s="84"/>
    </row>
    <row r="185" spans="1:19" x14ac:dyDescent="0.2">
      <c r="A185" s="47"/>
      <c r="B185" s="36"/>
      <c r="C185" s="138"/>
      <c r="D185" s="140"/>
      <c r="E185" s="48"/>
      <c r="F185" s="140"/>
      <c r="G185" s="140"/>
      <c r="H185" s="140">
        <f>ROUND(+D185+F185,4)</f>
        <v>0</v>
      </c>
      <c r="I185" s="140">
        <v>0</v>
      </c>
      <c r="J185" s="140">
        <v>0.03</v>
      </c>
      <c r="K185" s="140">
        <f>ROUND(IF(E185="alluminio",(I185)*3%,0)+IF(E185="alluminio smaltato",(I185)*3%,0),4)</f>
        <v>0</v>
      </c>
      <c r="L185" s="143">
        <f>ROUND((J185*C185)+(K185*C185),4)</f>
        <v>0</v>
      </c>
      <c r="M185" s="140"/>
      <c r="N185" s="140">
        <f>ROUND(+I185-H185,4)</f>
        <v>0</v>
      </c>
      <c r="O185" s="143">
        <f>ROUND(+(N185)*C185*50%,4)</f>
        <v>0</v>
      </c>
      <c r="P185" s="147">
        <f>ROUND(O185+L185,4)</f>
        <v>0</v>
      </c>
      <c r="Q185" s="80"/>
      <c r="R185" s="81"/>
      <c r="S185" s="84"/>
    </row>
    <row r="186" spans="1:19" x14ac:dyDescent="0.2">
      <c r="A186" s="47"/>
      <c r="B186" s="36"/>
      <c r="C186" s="138"/>
      <c r="D186" s="140"/>
      <c r="E186" s="48"/>
      <c r="F186" s="140"/>
      <c r="G186" s="140"/>
      <c r="H186" s="140">
        <f>ROUND(+D186+F186,4)</f>
        <v>0</v>
      </c>
      <c r="I186" s="140">
        <v>0</v>
      </c>
      <c r="J186" s="140">
        <v>0.03</v>
      </c>
      <c r="K186" s="140">
        <f>ROUND(IF(E186="alluminio",(I186)*3%,0)+IF(E186="alluminio smaltato",(I186)*3%,0),4)</f>
        <v>0</v>
      </c>
      <c r="L186" s="143">
        <f>ROUND((J186*C186)+(K186*C186),4)</f>
        <v>0</v>
      </c>
      <c r="M186" s="140"/>
      <c r="N186" s="140">
        <f>ROUND(+I186-H186,4)</f>
        <v>0</v>
      </c>
      <c r="O186" s="143">
        <f>ROUND(+(N186)*C186*50%,4)</f>
        <v>0</v>
      </c>
      <c r="P186" s="147">
        <f>ROUND(O186+L186,4)</f>
        <v>0</v>
      </c>
      <c r="Q186" s="80"/>
      <c r="R186" s="81"/>
      <c r="S186" s="84"/>
    </row>
    <row r="187" spans="1:19" x14ac:dyDescent="0.2">
      <c r="A187" s="47"/>
      <c r="B187" s="36"/>
      <c r="C187" s="138"/>
      <c r="D187" s="140"/>
      <c r="E187" s="48"/>
      <c r="F187" s="140"/>
      <c r="G187" s="140"/>
      <c r="H187" s="140">
        <f>ROUND(+D187+F187,4)</f>
        <v>0</v>
      </c>
      <c r="I187" s="140">
        <v>0</v>
      </c>
      <c r="J187" s="140">
        <v>0.03</v>
      </c>
      <c r="K187" s="140">
        <f>ROUND(IF(E187="alluminio",(I187)*3%,0)+IF(E187="alluminio smaltato",(I187)*3%,0),4)</f>
        <v>0</v>
      </c>
      <c r="L187" s="143">
        <f>ROUND((J187*C187)+(K187*C187),4)</f>
        <v>0</v>
      </c>
      <c r="M187" s="140"/>
      <c r="N187" s="140">
        <f>ROUND(+I187-H187,4)</f>
        <v>0</v>
      </c>
      <c r="O187" s="143">
        <f>ROUND(+(N187)*C187*50%,4)</f>
        <v>0</v>
      </c>
      <c r="P187" s="147">
        <f>ROUND(O187+L187,4)</f>
        <v>0</v>
      </c>
      <c r="Q187" s="80"/>
      <c r="R187" s="81"/>
      <c r="S187" s="84"/>
    </row>
    <row r="188" spans="1:19" x14ac:dyDescent="0.2">
      <c r="A188" s="47"/>
      <c r="B188" s="36"/>
      <c r="C188" s="138"/>
      <c r="D188" s="140"/>
      <c r="E188" s="48"/>
      <c r="F188" s="140"/>
      <c r="G188" s="140"/>
      <c r="H188" s="140">
        <f>ROUND(+D188+F188,4)</f>
        <v>0</v>
      </c>
      <c r="I188" s="140">
        <v>0</v>
      </c>
      <c r="J188" s="140">
        <v>0.03</v>
      </c>
      <c r="K188" s="140">
        <f>ROUND(IF(E188="alluminio",(I188)*3%,0)+IF(E188="alluminio smaltato",(I188)*3%,0),4)</f>
        <v>0</v>
      </c>
      <c r="L188" s="143">
        <f>ROUND((J188*C188)+(K188*C188),4)</f>
        <v>0</v>
      </c>
      <c r="M188" s="140"/>
      <c r="N188" s="140">
        <f>ROUND(+I188-H188,4)</f>
        <v>0</v>
      </c>
      <c r="O188" s="143">
        <f>ROUND(+(N188)*C188*50%,4)</f>
        <v>0</v>
      </c>
      <c r="P188" s="147">
        <f>ROUND(O188+L188,4)</f>
        <v>0</v>
      </c>
      <c r="Q188" s="80"/>
      <c r="R188" s="81"/>
      <c r="S188" s="84"/>
    </row>
    <row r="189" spans="1:19" x14ac:dyDescent="0.2">
      <c r="A189" s="47"/>
      <c r="B189" s="36"/>
      <c r="C189" s="138"/>
      <c r="D189" s="140"/>
      <c r="E189" s="48"/>
      <c r="F189" s="140"/>
      <c r="G189" s="140"/>
      <c r="H189" s="140">
        <f>ROUND(+D189+F189,4)</f>
        <v>0</v>
      </c>
      <c r="I189" s="140">
        <v>0</v>
      </c>
      <c r="J189" s="140">
        <v>0.03</v>
      </c>
      <c r="K189" s="140">
        <f>ROUND(IF(E189="alluminio",(I189)*3%,0)+IF(E189="alluminio smaltato",(I189)*3%,0),4)</f>
        <v>0</v>
      </c>
      <c r="L189" s="143">
        <f>ROUND((J189*C189)+(K189*C189),4)</f>
        <v>0</v>
      </c>
      <c r="M189" s="140"/>
      <c r="N189" s="140">
        <f>ROUND(+I189-H189,4)</f>
        <v>0</v>
      </c>
      <c r="O189" s="143">
        <f>ROUND(+(N189)*C189*50%,4)</f>
        <v>0</v>
      </c>
      <c r="P189" s="147">
        <f>ROUND(O189+L189,4)</f>
        <v>0</v>
      </c>
      <c r="Q189" s="80"/>
      <c r="R189" s="81"/>
      <c r="S189" s="84"/>
    </row>
    <row r="190" spans="1:19" x14ac:dyDescent="0.2">
      <c r="A190" s="47"/>
      <c r="B190" s="36"/>
      <c r="C190" s="138"/>
      <c r="D190" s="140"/>
      <c r="E190" s="48"/>
      <c r="F190" s="140"/>
      <c r="G190" s="140"/>
      <c r="H190" s="140">
        <f>ROUND(+D190+F190,4)</f>
        <v>0</v>
      </c>
      <c r="I190" s="140">
        <v>0</v>
      </c>
      <c r="J190" s="140">
        <v>0.03</v>
      </c>
      <c r="K190" s="140">
        <f>ROUND(IF(E190="alluminio",(I190)*3%,0)+IF(E190="alluminio smaltato",(I190)*3%,0),4)</f>
        <v>0</v>
      </c>
      <c r="L190" s="143">
        <f>ROUND((J190*C190)+(K190*C190),4)</f>
        <v>0</v>
      </c>
      <c r="M190" s="140"/>
      <c r="N190" s="140">
        <f>ROUND(+I190-H190,4)</f>
        <v>0</v>
      </c>
      <c r="O190" s="143">
        <f>ROUND(+(N190)*C190*50%,4)</f>
        <v>0</v>
      </c>
      <c r="P190" s="147">
        <f>ROUND(O190+L190,4)</f>
        <v>0</v>
      </c>
      <c r="Q190" s="80"/>
      <c r="R190" s="81"/>
      <c r="S190" s="84"/>
    </row>
    <row r="191" spans="1:19" x14ac:dyDescent="0.2">
      <c r="A191" s="47"/>
      <c r="B191" s="36"/>
      <c r="C191" s="138"/>
      <c r="D191" s="140"/>
      <c r="E191" s="48"/>
      <c r="F191" s="140"/>
      <c r="G191" s="140"/>
      <c r="H191" s="140">
        <f>ROUND(+D191+F191,4)</f>
        <v>0</v>
      </c>
      <c r="I191" s="140">
        <v>0</v>
      </c>
      <c r="J191" s="140">
        <v>0.03</v>
      </c>
      <c r="K191" s="140">
        <f>ROUND(IF(E191="alluminio",(I191)*3%,0)+IF(E191="alluminio smaltato",(I191)*3%,0),4)</f>
        <v>0</v>
      </c>
      <c r="L191" s="143">
        <f>ROUND((J191*C191)+(K191*C191),4)</f>
        <v>0</v>
      </c>
      <c r="M191" s="140"/>
      <c r="N191" s="140">
        <f>ROUND(+I191-H191,4)</f>
        <v>0</v>
      </c>
      <c r="O191" s="143">
        <f>ROUND(+(N191)*C191*50%,4)</f>
        <v>0</v>
      </c>
      <c r="P191" s="147">
        <f>ROUND(O191+L191,4)</f>
        <v>0</v>
      </c>
      <c r="Q191" s="80"/>
      <c r="R191" s="81"/>
      <c r="S191" s="84"/>
    </row>
    <row r="192" spans="1:19" x14ac:dyDescent="0.2">
      <c r="A192" s="47"/>
      <c r="B192" s="36"/>
      <c r="C192" s="138"/>
      <c r="D192" s="140"/>
      <c r="E192" s="48"/>
      <c r="F192" s="140"/>
      <c r="G192" s="140"/>
      <c r="H192" s="140">
        <f>ROUND(+D192+F192,4)</f>
        <v>0</v>
      </c>
      <c r="I192" s="140">
        <v>0</v>
      </c>
      <c r="J192" s="140">
        <v>0.03</v>
      </c>
      <c r="K192" s="140">
        <f>ROUND(IF(E192="alluminio",(I192)*3%,0)+IF(E192="alluminio smaltato",(I192)*3%,0),4)</f>
        <v>0</v>
      </c>
      <c r="L192" s="143">
        <f>ROUND((J192*C192)+(K192*C192),4)</f>
        <v>0</v>
      </c>
      <c r="M192" s="140"/>
      <c r="N192" s="140">
        <f>ROUND(+I192-H192,4)</f>
        <v>0</v>
      </c>
      <c r="O192" s="143">
        <f>ROUND(+(N192)*C192*50%,4)</f>
        <v>0</v>
      </c>
      <c r="P192" s="147">
        <f>ROUND(O192+L192,4)</f>
        <v>0</v>
      </c>
      <c r="Q192" s="80"/>
      <c r="R192" s="81"/>
      <c r="S192" s="84"/>
    </row>
    <row r="193" spans="1:19" x14ac:dyDescent="0.2">
      <c r="A193" s="47"/>
      <c r="B193" s="36"/>
      <c r="C193" s="138"/>
      <c r="D193" s="140"/>
      <c r="E193" s="48"/>
      <c r="F193" s="140"/>
      <c r="G193" s="140"/>
      <c r="H193" s="140">
        <f>ROUND(+D193+F193,4)</f>
        <v>0</v>
      </c>
      <c r="I193" s="140">
        <v>0</v>
      </c>
      <c r="J193" s="140">
        <v>0.03</v>
      </c>
      <c r="K193" s="140">
        <f>ROUND(IF(E193="alluminio",(I193)*3%,0)+IF(E193="alluminio smaltato",(I193)*3%,0),4)</f>
        <v>0</v>
      </c>
      <c r="L193" s="143">
        <f>ROUND((J193*C193)+(K193*C193),4)</f>
        <v>0</v>
      </c>
      <c r="M193" s="140"/>
      <c r="N193" s="140">
        <f>ROUND(+I193-H193,4)</f>
        <v>0</v>
      </c>
      <c r="O193" s="143">
        <f>ROUND(+(N193)*C193*50%,4)</f>
        <v>0</v>
      </c>
      <c r="P193" s="147">
        <f>ROUND(O193+L193,4)</f>
        <v>0</v>
      </c>
      <c r="Q193" s="80"/>
      <c r="R193" s="81"/>
      <c r="S193" s="84"/>
    </row>
    <row r="194" spans="1:19" x14ac:dyDescent="0.2">
      <c r="A194" s="47"/>
      <c r="B194" s="36"/>
      <c r="C194" s="138"/>
      <c r="D194" s="140"/>
      <c r="E194" s="48"/>
      <c r="F194" s="140"/>
      <c r="G194" s="140"/>
      <c r="H194" s="140">
        <f>ROUND(+D194+F194,4)</f>
        <v>0</v>
      </c>
      <c r="I194" s="140">
        <v>0</v>
      </c>
      <c r="J194" s="140">
        <v>0.03</v>
      </c>
      <c r="K194" s="140">
        <f>ROUND(IF(E194="alluminio",(I194)*3%,0)+IF(E194="alluminio smaltato",(I194)*3%,0),4)</f>
        <v>0</v>
      </c>
      <c r="L194" s="143">
        <f>ROUND((J194*C194)+(K194*C194),4)</f>
        <v>0</v>
      </c>
      <c r="M194" s="140"/>
      <c r="N194" s="140">
        <f>ROUND(+I194-H194,4)</f>
        <v>0</v>
      </c>
      <c r="O194" s="143">
        <f>ROUND(+(N194)*C194*50%,4)</f>
        <v>0</v>
      </c>
      <c r="P194" s="147">
        <f>ROUND(O194+L194,4)</f>
        <v>0</v>
      </c>
      <c r="Q194" s="80"/>
      <c r="R194" s="81"/>
      <c r="S194" s="84"/>
    </row>
    <row r="195" spans="1:19" x14ac:dyDescent="0.2">
      <c r="A195" s="47"/>
      <c r="B195" s="36"/>
      <c r="C195" s="138"/>
      <c r="D195" s="140"/>
      <c r="E195" s="48"/>
      <c r="F195" s="140"/>
      <c r="G195" s="140"/>
      <c r="H195" s="140">
        <f>ROUND(+D195+F195,4)</f>
        <v>0</v>
      </c>
      <c r="I195" s="140">
        <v>0</v>
      </c>
      <c r="J195" s="140">
        <v>0.03</v>
      </c>
      <c r="K195" s="140">
        <f>ROUND(IF(E195="alluminio",(I195)*3%,0)+IF(E195="alluminio smaltato",(I195)*3%,0),4)</f>
        <v>0</v>
      </c>
      <c r="L195" s="143">
        <f>ROUND((J195*C195)+(K195*C195),4)</f>
        <v>0</v>
      </c>
      <c r="M195" s="140"/>
      <c r="N195" s="140">
        <f>ROUND(+I195-H195,4)</f>
        <v>0</v>
      </c>
      <c r="O195" s="143">
        <f>ROUND(+(N195)*C195*50%,4)</f>
        <v>0</v>
      </c>
      <c r="P195" s="147">
        <f>ROUND(O195+L195,4)</f>
        <v>0</v>
      </c>
      <c r="Q195" s="80"/>
      <c r="R195" s="81"/>
      <c r="S195" s="84"/>
    </row>
    <row r="196" spans="1:19" x14ac:dyDescent="0.2">
      <c r="A196" s="47"/>
      <c r="B196" s="36"/>
      <c r="C196" s="138"/>
      <c r="D196" s="140"/>
      <c r="E196" s="48"/>
      <c r="F196" s="140"/>
      <c r="G196" s="140"/>
      <c r="H196" s="140">
        <f>ROUND(+D196+F196,4)</f>
        <v>0</v>
      </c>
      <c r="I196" s="140">
        <v>0</v>
      </c>
      <c r="J196" s="140">
        <v>0.03</v>
      </c>
      <c r="K196" s="140">
        <f>ROUND(IF(E196="alluminio",(I196)*3%,0)+IF(E196="alluminio smaltato",(I196)*3%,0),4)</f>
        <v>0</v>
      </c>
      <c r="L196" s="143">
        <f>ROUND((J196*C196)+(K196*C196),4)</f>
        <v>0</v>
      </c>
      <c r="M196" s="140"/>
      <c r="N196" s="140">
        <f>ROUND(+I196-H196,4)</f>
        <v>0</v>
      </c>
      <c r="O196" s="143">
        <f>ROUND(+(N196)*C196*50%,4)</f>
        <v>0</v>
      </c>
      <c r="P196" s="147">
        <f>ROUND(O196+L196,4)</f>
        <v>0</v>
      </c>
      <c r="Q196" s="80"/>
      <c r="R196" s="81"/>
      <c r="S196" s="84"/>
    </row>
    <row r="197" spans="1:19" x14ac:dyDescent="0.2">
      <c r="A197" s="47"/>
      <c r="B197" s="36"/>
      <c r="C197" s="138"/>
      <c r="D197" s="140"/>
      <c r="E197" s="48"/>
      <c r="F197" s="140"/>
      <c r="G197" s="140"/>
      <c r="H197" s="140">
        <f>ROUND(+D197+F197,4)</f>
        <v>0</v>
      </c>
      <c r="I197" s="140">
        <v>0</v>
      </c>
      <c r="J197" s="140">
        <v>0.03</v>
      </c>
      <c r="K197" s="140">
        <f>ROUND(IF(E197="alluminio",(I197)*3%,0)+IF(E197="alluminio smaltato",(I197)*3%,0),4)</f>
        <v>0</v>
      </c>
      <c r="L197" s="143">
        <f>ROUND((J197*C197)+(K197*C197),4)</f>
        <v>0</v>
      </c>
      <c r="M197" s="140"/>
      <c r="N197" s="140">
        <f>ROUND(+I197-H197,4)</f>
        <v>0</v>
      </c>
      <c r="O197" s="143">
        <f>ROUND(+(N197)*C197*50%,4)</f>
        <v>0</v>
      </c>
      <c r="P197" s="147">
        <f>ROUND(O197+L197,4)</f>
        <v>0</v>
      </c>
      <c r="Q197" s="80"/>
      <c r="R197" s="81"/>
      <c r="S197" s="84"/>
    </row>
    <row r="198" spans="1:19" x14ac:dyDescent="0.2">
      <c r="A198" s="47"/>
      <c r="B198" s="36"/>
      <c r="C198" s="138"/>
      <c r="D198" s="140"/>
      <c r="E198" s="48"/>
      <c r="F198" s="140"/>
      <c r="G198" s="140"/>
      <c r="H198" s="140">
        <f>ROUND(+D198+F198,4)</f>
        <v>0</v>
      </c>
      <c r="I198" s="140">
        <v>0</v>
      </c>
      <c r="J198" s="140">
        <v>0.03</v>
      </c>
      <c r="K198" s="140">
        <f>ROUND(IF(E198="alluminio",(I198)*3%,0)+IF(E198="alluminio smaltato",(I198)*3%,0),4)</f>
        <v>0</v>
      </c>
      <c r="L198" s="143">
        <f>ROUND((J198*C198)+(K198*C198),4)</f>
        <v>0</v>
      </c>
      <c r="M198" s="140"/>
      <c r="N198" s="140">
        <f>ROUND(+I198-H198,4)</f>
        <v>0</v>
      </c>
      <c r="O198" s="143">
        <f>ROUND(+(N198)*C198*50%,4)</f>
        <v>0</v>
      </c>
      <c r="P198" s="147">
        <f>ROUND(O198+L198,4)</f>
        <v>0</v>
      </c>
      <c r="Q198" s="80"/>
      <c r="R198" s="81"/>
      <c r="S198" s="84"/>
    </row>
    <row r="199" spans="1:19" x14ac:dyDescent="0.2">
      <c r="A199" s="47"/>
      <c r="B199" s="36"/>
      <c r="C199" s="138"/>
      <c r="D199" s="140"/>
      <c r="E199" s="48"/>
      <c r="F199" s="140"/>
      <c r="G199" s="140"/>
      <c r="H199" s="140">
        <f>ROUND(+D199+F199,4)</f>
        <v>0</v>
      </c>
      <c r="I199" s="140">
        <v>0</v>
      </c>
      <c r="J199" s="140">
        <v>0.03</v>
      </c>
      <c r="K199" s="140">
        <f>ROUND(IF(E199="alluminio",(I199)*3%,0)+IF(E199="alluminio smaltato",(I199)*3%,0),4)</f>
        <v>0</v>
      </c>
      <c r="L199" s="143">
        <f>ROUND((J199*C199)+(K199*C199),4)</f>
        <v>0</v>
      </c>
      <c r="M199" s="140"/>
      <c r="N199" s="140">
        <f>ROUND(+I199-H199,4)</f>
        <v>0</v>
      </c>
      <c r="O199" s="143">
        <f>ROUND(+(N199)*C199*50%,4)</f>
        <v>0</v>
      </c>
      <c r="P199" s="147">
        <f>ROUND(O199+L199,4)</f>
        <v>0</v>
      </c>
      <c r="Q199" s="80"/>
      <c r="R199" s="81"/>
      <c r="S199" s="84"/>
    </row>
    <row r="200" spans="1:19" x14ac:dyDescent="0.2">
      <c r="A200" s="47"/>
      <c r="B200" s="36"/>
      <c r="C200" s="138"/>
      <c r="D200" s="140"/>
      <c r="E200" s="48"/>
      <c r="F200" s="140"/>
      <c r="G200" s="140"/>
      <c r="H200" s="140">
        <f>ROUND(+D200+F200,4)</f>
        <v>0</v>
      </c>
      <c r="I200" s="140">
        <v>0</v>
      </c>
      <c r="J200" s="140">
        <v>0.03</v>
      </c>
      <c r="K200" s="140">
        <f>ROUND(IF(E200="alluminio",(I200)*3%,0)+IF(E200="alluminio smaltato",(I200)*3%,0),4)</f>
        <v>0</v>
      </c>
      <c r="L200" s="143">
        <f>ROUND((J200*C200)+(K200*C200),4)</f>
        <v>0</v>
      </c>
      <c r="M200" s="140"/>
      <c r="N200" s="140">
        <f>ROUND(+I200-H200,4)</f>
        <v>0</v>
      </c>
      <c r="O200" s="143">
        <f>ROUND(+(N200)*C200*50%,4)</f>
        <v>0</v>
      </c>
      <c r="P200" s="147">
        <f>ROUND(O200+L200,4)</f>
        <v>0</v>
      </c>
      <c r="Q200" s="80"/>
      <c r="R200" s="81"/>
      <c r="S200" s="84"/>
    </row>
    <row r="201" spans="1:19" x14ac:dyDescent="0.2">
      <c r="A201" s="47"/>
      <c r="B201" s="36"/>
      <c r="C201" s="138"/>
      <c r="D201" s="140"/>
      <c r="E201" s="48"/>
      <c r="F201" s="140"/>
      <c r="G201" s="140"/>
      <c r="H201" s="140">
        <f>ROUND(+D201+F201,4)</f>
        <v>0</v>
      </c>
      <c r="I201" s="140">
        <v>0</v>
      </c>
      <c r="J201" s="140">
        <v>0.03</v>
      </c>
      <c r="K201" s="140">
        <f>ROUND(IF(E201="alluminio",(I201)*3%,0)+IF(E201="alluminio smaltato",(I201)*3%,0),4)</f>
        <v>0</v>
      </c>
      <c r="L201" s="143">
        <f>ROUND((J201*C201)+(K201*C201),4)</f>
        <v>0</v>
      </c>
      <c r="M201" s="140"/>
      <c r="N201" s="140">
        <f>ROUND(+I201-H201,4)</f>
        <v>0</v>
      </c>
      <c r="O201" s="143">
        <f>ROUND(+(N201)*C201*50%,4)</f>
        <v>0</v>
      </c>
      <c r="P201" s="147">
        <f>ROUND(O201+L201,4)</f>
        <v>0</v>
      </c>
      <c r="Q201" s="80"/>
      <c r="R201" s="81"/>
      <c r="S201" s="84"/>
    </row>
    <row r="202" spans="1:19" x14ac:dyDescent="0.2">
      <c r="A202" s="47"/>
      <c r="B202" s="36"/>
      <c r="C202" s="138"/>
      <c r="D202" s="140"/>
      <c r="E202" s="48"/>
      <c r="F202" s="140"/>
      <c r="G202" s="140"/>
      <c r="H202" s="140">
        <f>ROUND(+D202+F202,4)</f>
        <v>0</v>
      </c>
      <c r="I202" s="140">
        <v>0</v>
      </c>
      <c r="J202" s="140">
        <v>0.03</v>
      </c>
      <c r="K202" s="140">
        <f>ROUND(IF(E202="alluminio",(I202)*3%,0)+IF(E202="alluminio smaltato",(I202)*3%,0),4)</f>
        <v>0</v>
      </c>
      <c r="L202" s="143">
        <f>ROUND((J202*C202)+(K202*C202),4)</f>
        <v>0</v>
      </c>
      <c r="M202" s="140"/>
      <c r="N202" s="140">
        <f>ROUND(+I202-H202,4)</f>
        <v>0</v>
      </c>
      <c r="O202" s="143">
        <f>ROUND(+(N202)*C202*50%,4)</f>
        <v>0</v>
      </c>
      <c r="P202" s="147">
        <f>ROUND(O202+L202,4)</f>
        <v>0</v>
      </c>
      <c r="Q202" s="80"/>
      <c r="R202" s="81"/>
      <c r="S202" s="84"/>
    </row>
    <row r="203" spans="1:19" x14ac:dyDescent="0.2">
      <c r="A203" s="47"/>
      <c r="B203" s="36"/>
      <c r="C203" s="138"/>
      <c r="D203" s="140"/>
      <c r="E203" s="48"/>
      <c r="F203" s="140"/>
      <c r="G203" s="140"/>
      <c r="H203" s="140">
        <f>ROUND(+D203+F203,4)</f>
        <v>0</v>
      </c>
      <c r="I203" s="140">
        <v>0</v>
      </c>
      <c r="J203" s="140">
        <v>0.03</v>
      </c>
      <c r="K203" s="140">
        <f>ROUND(IF(E203="alluminio",(I203)*3%,0)+IF(E203="alluminio smaltato",(I203)*3%,0),4)</f>
        <v>0</v>
      </c>
      <c r="L203" s="143">
        <f>ROUND((J203*C203)+(K203*C203),4)</f>
        <v>0</v>
      </c>
      <c r="M203" s="140"/>
      <c r="N203" s="140">
        <f>ROUND(+I203-H203,4)</f>
        <v>0</v>
      </c>
      <c r="O203" s="143">
        <f>ROUND(+(N203)*C203*50%,4)</f>
        <v>0</v>
      </c>
      <c r="P203" s="147">
        <f>ROUND(O203+L203,4)</f>
        <v>0</v>
      </c>
      <c r="Q203" s="80"/>
      <c r="R203" s="81"/>
      <c r="S203" s="84"/>
    </row>
    <row r="204" spans="1:19" x14ac:dyDescent="0.2">
      <c r="A204" s="47"/>
      <c r="B204" s="36"/>
      <c r="C204" s="138"/>
      <c r="D204" s="140"/>
      <c r="E204" s="48"/>
      <c r="F204" s="140"/>
      <c r="G204" s="140"/>
      <c r="H204" s="140">
        <f>ROUND(+D204+F204,4)</f>
        <v>0</v>
      </c>
      <c r="I204" s="140">
        <v>0</v>
      </c>
      <c r="J204" s="140">
        <v>0.03</v>
      </c>
      <c r="K204" s="140">
        <f>ROUND(IF(E204="alluminio",(I204)*3%,0)+IF(E204="alluminio smaltato",(I204)*3%,0),4)</f>
        <v>0</v>
      </c>
      <c r="L204" s="143">
        <f>ROUND((J204*C204)+(K204*C204),4)</f>
        <v>0</v>
      </c>
      <c r="M204" s="140"/>
      <c r="N204" s="140">
        <f>ROUND(+I204-H204,4)</f>
        <v>0</v>
      </c>
      <c r="O204" s="143">
        <f>ROUND(+(N204)*C204*50%,4)</f>
        <v>0</v>
      </c>
      <c r="P204" s="147">
        <f>ROUND(O204+L204,4)</f>
        <v>0</v>
      </c>
      <c r="Q204" s="80"/>
      <c r="R204" s="81"/>
      <c r="S204" s="84"/>
    </row>
    <row r="205" spans="1:19" x14ac:dyDescent="0.2">
      <c r="A205" s="47"/>
      <c r="B205" s="36"/>
      <c r="C205" s="138"/>
      <c r="D205" s="140"/>
      <c r="E205" s="48"/>
      <c r="F205" s="140"/>
      <c r="G205" s="140"/>
      <c r="H205" s="140">
        <f>ROUND(+D205+F205,4)</f>
        <v>0</v>
      </c>
      <c r="I205" s="140">
        <v>0</v>
      </c>
      <c r="J205" s="140">
        <v>0.03</v>
      </c>
      <c r="K205" s="140">
        <f>ROUND(IF(E205="alluminio",(I205)*3%,0)+IF(E205="alluminio smaltato",(I205)*3%,0),4)</f>
        <v>0</v>
      </c>
      <c r="L205" s="143">
        <f>ROUND((J205*C205)+(K205*C205),4)</f>
        <v>0</v>
      </c>
      <c r="M205" s="140"/>
      <c r="N205" s="140">
        <f>ROUND(+I205-H205,4)</f>
        <v>0</v>
      </c>
      <c r="O205" s="143">
        <f>ROUND(+(N205)*C205*50%,4)</f>
        <v>0</v>
      </c>
      <c r="P205" s="147">
        <f>ROUND(O205+L205,4)</f>
        <v>0</v>
      </c>
      <c r="Q205" s="80"/>
      <c r="R205" s="81"/>
      <c r="S205" s="84"/>
    </row>
    <row r="206" spans="1:19" x14ac:dyDescent="0.2">
      <c r="A206" s="47"/>
      <c r="B206" s="36"/>
      <c r="C206" s="138"/>
      <c r="D206" s="140"/>
      <c r="E206" s="48"/>
      <c r="F206" s="140"/>
      <c r="G206" s="140"/>
      <c r="H206" s="140">
        <f>ROUND(+D206+F206,4)</f>
        <v>0</v>
      </c>
      <c r="I206" s="140">
        <v>0</v>
      </c>
      <c r="J206" s="140">
        <v>0.03</v>
      </c>
      <c r="K206" s="140">
        <f>ROUND(IF(E206="alluminio",(I206)*3%,0)+IF(E206="alluminio smaltato",(I206)*3%,0),4)</f>
        <v>0</v>
      </c>
      <c r="L206" s="143">
        <f>ROUND((J206*C206)+(K206*C206),4)</f>
        <v>0</v>
      </c>
      <c r="M206" s="140"/>
      <c r="N206" s="140">
        <f>ROUND(+I206-H206,4)</f>
        <v>0</v>
      </c>
      <c r="O206" s="143">
        <f>ROUND(+(N206)*C206*50%,4)</f>
        <v>0</v>
      </c>
      <c r="P206" s="147">
        <f>ROUND(O206+L206,4)</f>
        <v>0</v>
      </c>
      <c r="Q206" s="80"/>
      <c r="R206" s="81"/>
      <c r="S206" s="84"/>
    </row>
    <row r="207" spans="1:19" x14ac:dyDescent="0.2">
      <c r="A207" s="47"/>
      <c r="B207" s="36"/>
      <c r="C207" s="138"/>
      <c r="D207" s="140"/>
      <c r="E207" s="48"/>
      <c r="F207" s="140"/>
      <c r="G207" s="140"/>
      <c r="H207" s="140">
        <f>ROUND(+D207+F207,4)</f>
        <v>0</v>
      </c>
      <c r="I207" s="140">
        <v>0</v>
      </c>
      <c r="J207" s="140">
        <v>0.03</v>
      </c>
      <c r="K207" s="140">
        <f>ROUND(IF(E207="alluminio",(I207)*3%,0)+IF(E207="alluminio smaltato",(I207)*3%,0),4)</f>
        <v>0</v>
      </c>
      <c r="L207" s="143">
        <f>ROUND((J207*C207)+(K207*C207),4)</f>
        <v>0</v>
      </c>
      <c r="M207" s="140"/>
      <c r="N207" s="140">
        <f>ROUND(+I207-H207,4)</f>
        <v>0</v>
      </c>
      <c r="O207" s="143">
        <f>ROUND(+(N207)*C207*50%,4)</f>
        <v>0</v>
      </c>
      <c r="P207" s="147">
        <f>ROUND(O207+L207,4)</f>
        <v>0</v>
      </c>
      <c r="Q207" s="80"/>
      <c r="R207" s="81"/>
      <c r="S207" s="84"/>
    </row>
    <row r="208" spans="1:19" x14ac:dyDescent="0.2">
      <c r="A208" s="47"/>
      <c r="B208" s="36"/>
      <c r="C208" s="138"/>
      <c r="D208" s="140"/>
      <c r="E208" s="48"/>
      <c r="F208" s="140"/>
      <c r="G208" s="140"/>
      <c r="H208" s="140">
        <f>ROUND(+D208+F208,4)</f>
        <v>0</v>
      </c>
      <c r="I208" s="140">
        <v>0</v>
      </c>
      <c r="J208" s="140">
        <v>0.03</v>
      </c>
      <c r="K208" s="140">
        <f>ROUND(IF(E208="alluminio",(I208)*3%,0)+IF(E208="alluminio smaltato",(I208)*3%,0),4)</f>
        <v>0</v>
      </c>
      <c r="L208" s="143">
        <f>ROUND((J208*C208)+(K208*C208),4)</f>
        <v>0</v>
      </c>
      <c r="M208" s="140"/>
      <c r="N208" s="140">
        <f>ROUND(+I208-H208,4)</f>
        <v>0</v>
      </c>
      <c r="O208" s="143">
        <f>ROUND(+(N208)*C208*50%,4)</f>
        <v>0</v>
      </c>
      <c r="P208" s="147">
        <f>ROUND(O208+L208,4)</f>
        <v>0</v>
      </c>
      <c r="Q208" s="80"/>
      <c r="R208" s="81"/>
      <c r="S208" s="84"/>
    </row>
    <row r="209" spans="1:19" x14ac:dyDescent="0.2">
      <c r="A209" s="47"/>
      <c r="B209" s="36"/>
      <c r="C209" s="138"/>
      <c r="D209" s="140"/>
      <c r="E209" s="48"/>
      <c r="F209" s="140"/>
      <c r="G209" s="140"/>
      <c r="H209" s="140">
        <f>ROUND(+D209+F209,4)</f>
        <v>0</v>
      </c>
      <c r="I209" s="140">
        <v>0</v>
      </c>
      <c r="J209" s="140">
        <v>0.03</v>
      </c>
      <c r="K209" s="140">
        <f>ROUND(IF(E209="alluminio",(I209)*3%,0)+IF(E209="alluminio smaltato",(I209)*3%,0),4)</f>
        <v>0</v>
      </c>
      <c r="L209" s="143">
        <f>ROUND((J209*C209)+(K209*C209),4)</f>
        <v>0</v>
      </c>
      <c r="M209" s="140"/>
      <c r="N209" s="140">
        <f>ROUND(+I209-H209,4)</f>
        <v>0</v>
      </c>
      <c r="O209" s="143">
        <f>ROUND(+(N209)*C209*50%,4)</f>
        <v>0</v>
      </c>
      <c r="P209" s="147">
        <f>ROUND(O209+L209,4)</f>
        <v>0</v>
      </c>
      <c r="Q209" s="80"/>
      <c r="R209" s="81"/>
      <c r="S209" s="84"/>
    </row>
    <row r="210" spans="1:19" x14ac:dyDescent="0.2">
      <c r="A210" s="47"/>
      <c r="B210" s="36"/>
      <c r="C210" s="138"/>
      <c r="D210" s="140"/>
      <c r="E210" s="48"/>
      <c r="F210" s="140"/>
      <c r="G210" s="140"/>
      <c r="H210" s="140">
        <f>ROUND(+D210+F210,4)</f>
        <v>0</v>
      </c>
      <c r="I210" s="140">
        <v>0</v>
      </c>
      <c r="J210" s="140">
        <v>0.03</v>
      </c>
      <c r="K210" s="140">
        <f>ROUND(IF(E210="alluminio",(I210)*3%,0)+IF(E210="alluminio smaltato",(I210)*3%,0),4)</f>
        <v>0</v>
      </c>
      <c r="L210" s="143">
        <f>ROUND((J210*C210)+(K210*C210),4)</f>
        <v>0</v>
      </c>
      <c r="M210" s="140"/>
      <c r="N210" s="140">
        <f>ROUND(+I210-H210,4)</f>
        <v>0</v>
      </c>
      <c r="O210" s="143">
        <f>ROUND(+(N210)*C210*50%,4)</f>
        <v>0</v>
      </c>
      <c r="P210" s="147">
        <f>ROUND(O210+L210,4)</f>
        <v>0</v>
      </c>
      <c r="Q210" s="80"/>
      <c r="R210" s="81"/>
      <c r="S210" s="84"/>
    </row>
    <row r="211" spans="1:19" x14ac:dyDescent="0.2">
      <c r="A211" s="47"/>
      <c r="B211" s="36"/>
      <c r="C211" s="138"/>
      <c r="D211" s="140"/>
      <c r="E211" s="48"/>
      <c r="F211" s="140"/>
      <c r="G211" s="140"/>
      <c r="H211" s="140">
        <f>ROUND(+D211+F211,4)</f>
        <v>0</v>
      </c>
      <c r="I211" s="140">
        <v>0</v>
      </c>
      <c r="J211" s="140">
        <v>0.03</v>
      </c>
      <c r="K211" s="140">
        <f>ROUND(IF(E211="alluminio",(I211)*3%,0)+IF(E211="alluminio smaltato",(I211)*3%,0),4)</f>
        <v>0</v>
      </c>
      <c r="L211" s="143">
        <f>ROUND((J211*C211)+(K211*C211),4)</f>
        <v>0</v>
      </c>
      <c r="M211" s="140"/>
      <c r="N211" s="140">
        <f>ROUND(+I211-H211,4)</f>
        <v>0</v>
      </c>
      <c r="O211" s="143">
        <f>ROUND(+(N211)*C211*50%,4)</f>
        <v>0</v>
      </c>
      <c r="P211" s="147">
        <f>ROUND(O211+L211,4)</f>
        <v>0</v>
      </c>
      <c r="Q211" s="80"/>
      <c r="R211" s="81"/>
      <c r="S211" s="84"/>
    </row>
    <row r="212" spans="1:19" x14ac:dyDescent="0.2">
      <c r="A212" s="47"/>
      <c r="B212" s="36"/>
      <c r="C212" s="138"/>
      <c r="D212" s="140"/>
      <c r="E212" s="48"/>
      <c r="F212" s="140"/>
      <c r="G212" s="140"/>
      <c r="H212" s="140">
        <f>ROUND(+D212+F212,4)</f>
        <v>0</v>
      </c>
      <c r="I212" s="140">
        <v>0</v>
      </c>
      <c r="J212" s="140">
        <v>0.03</v>
      </c>
      <c r="K212" s="140">
        <f>ROUND(IF(E212="alluminio",(I212)*3%,0)+IF(E212="alluminio smaltato",(I212)*3%,0),4)</f>
        <v>0</v>
      </c>
      <c r="L212" s="143">
        <f>ROUND((J212*C212)+(K212*C212),4)</f>
        <v>0</v>
      </c>
      <c r="M212" s="140"/>
      <c r="N212" s="140">
        <f>ROUND(+I212-H212,4)</f>
        <v>0</v>
      </c>
      <c r="O212" s="143">
        <f>ROUND(+(N212)*C212*50%,4)</f>
        <v>0</v>
      </c>
      <c r="P212" s="147">
        <f>ROUND(O212+L212,4)</f>
        <v>0</v>
      </c>
      <c r="Q212" s="80"/>
      <c r="R212" s="81"/>
      <c r="S212" s="84"/>
    </row>
    <row r="213" spans="1:19" x14ac:dyDescent="0.2">
      <c r="A213" s="47"/>
      <c r="B213" s="36"/>
      <c r="C213" s="138"/>
      <c r="D213" s="140"/>
      <c r="E213" s="48"/>
      <c r="F213" s="140"/>
      <c r="G213" s="140"/>
      <c r="H213" s="140">
        <f>ROUND(+D213+F213,4)</f>
        <v>0</v>
      </c>
      <c r="I213" s="140">
        <v>0</v>
      </c>
      <c r="J213" s="140">
        <v>0.03</v>
      </c>
      <c r="K213" s="140">
        <f>ROUND(IF(E213="alluminio",(I213)*3%,0)+IF(E213="alluminio smaltato",(I213)*3%,0),4)</f>
        <v>0</v>
      </c>
      <c r="L213" s="143">
        <f>ROUND((J213*C213)+(K213*C213),4)</f>
        <v>0</v>
      </c>
      <c r="M213" s="140"/>
      <c r="N213" s="140">
        <f>ROUND(+I213-H213,4)</f>
        <v>0</v>
      </c>
      <c r="O213" s="143">
        <f>ROUND(+(N213)*C213*50%,4)</f>
        <v>0</v>
      </c>
      <c r="P213" s="147">
        <f>ROUND(O213+L213,4)</f>
        <v>0</v>
      </c>
      <c r="Q213" s="80"/>
      <c r="R213" s="81"/>
      <c r="S213" s="84"/>
    </row>
    <row r="214" spans="1:19" x14ac:dyDescent="0.2">
      <c r="A214" s="47"/>
      <c r="B214" s="36"/>
      <c r="C214" s="138"/>
      <c r="D214" s="140"/>
      <c r="E214" s="48"/>
      <c r="F214" s="140"/>
      <c r="G214" s="140"/>
      <c r="H214" s="140">
        <f>ROUND(+D214+F214,4)</f>
        <v>0</v>
      </c>
      <c r="I214" s="140">
        <v>0</v>
      </c>
      <c r="J214" s="140">
        <v>0.03</v>
      </c>
      <c r="K214" s="140">
        <f>ROUND(IF(E214="alluminio",(I214)*3%,0)+IF(E214="alluminio smaltato",(I214)*3%,0),4)</f>
        <v>0</v>
      </c>
      <c r="L214" s="143">
        <f>ROUND((J214*C214)+(K214*C214),4)</f>
        <v>0</v>
      </c>
      <c r="M214" s="140"/>
      <c r="N214" s="140">
        <f>ROUND(+I214-H214,4)</f>
        <v>0</v>
      </c>
      <c r="O214" s="143">
        <f>ROUND(+(N214)*C214*50%,4)</f>
        <v>0</v>
      </c>
      <c r="P214" s="147">
        <f>ROUND(O214+L214,4)</f>
        <v>0</v>
      </c>
      <c r="Q214" s="80"/>
      <c r="R214" s="81"/>
      <c r="S214" s="84"/>
    </row>
    <row r="215" spans="1:19" x14ac:dyDescent="0.2">
      <c r="A215" s="47"/>
      <c r="B215" s="36"/>
      <c r="C215" s="138"/>
      <c r="D215" s="140"/>
      <c r="E215" s="48"/>
      <c r="F215" s="140"/>
      <c r="G215" s="140"/>
      <c r="H215" s="140">
        <f>ROUND(+D215+F215,4)</f>
        <v>0</v>
      </c>
      <c r="I215" s="140">
        <v>0</v>
      </c>
      <c r="J215" s="140">
        <v>0.03</v>
      </c>
      <c r="K215" s="140">
        <f>ROUND(IF(E215="alluminio",(I215)*3%,0)+IF(E215="alluminio smaltato",(I215)*3%,0),4)</f>
        <v>0</v>
      </c>
      <c r="L215" s="143">
        <f>ROUND((J215*C215)+(K215*C215),4)</f>
        <v>0</v>
      </c>
      <c r="M215" s="140"/>
      <c r="N215" s="140">
        <f>ROUND(+I215-H215,4)</f>
        <v>0</v>
      </c>
      <c r="O215" s="143">
        <f>ROUND(+(N215)*C215*50%,4)</f>
        <v>0</v>
      </c>
      <c r="P215" s="147">
        <f>ROUND(O215+L215,4)</f>
        <v>0</v>
      </c>
      <c r="Q215" s="80"/>
      <c r="R215" s="81"/>
      <c r="S215" s="84"/>
    </row>
    <row r="216" spans="1:19" x14ac:dyDescent="0.2">
      <c r="A216" s="47"/>
      <c r="B216" s="36"/>
      <c r="C216" s="138"/>
      <c r="D216" s="140"/>
      <c r="E216" s="48"/>
      <c r="F216" s="140"/>
      <c r="G216" s="140"/>
      <c r="H216" s="140">
        <f>ROUND(+D216+F216,4)</f>
        <v>0</v>
      </c>
      <c r="I216" s="140">
        <v>0</v>
      </c>
      <c r="J216" s="140">
        <v>0.03</v>
      </c>
      <c r="K216" s="140">
        <f>ROUND(IF(E216="alluminio",(I216)*3%,0)+IF(E216="alluminio smaltato",(I216)*3%,0),4)</f>
        <v>0</v>
      </c>
      <c r="L216" s="143">
        <f>ROUND((J216*C216)+(K216*C216),4)</f>
        <v>0</v>
      </c>
      <c r="M216" s="140"/>
      <c r="N216" s="140">
        <f>ROUND(+I216-H216,4)</f>
        <v>0</v>
      </c>
      <c r="O216" s="143">
        <f>ROUND(+(N216)*C216*50%,4)</f>
        <v>0</v>
      </c>
      <c r="P216" s="147">
        <f>ROUND(O216+L216,4)</f>
        <v>0</v>
      </c>
      <c r="Q216" s="80"/>
      <c r="R216" s="81"/>
      <c r="S216" s="84"/>
    </row>
    <row r="217" spans="1:19" x14ac:dyDescent="0.2">
      <c r="A217" s="47"/>
      <c r="B217" s="36"/>
      <c r="C217" s="138"/>
      <c r="D217" s="140"/>
      <c r="E217" s="48"/>
      <c r="F217" s="140"/>
      <c r="G217" s="140"/>
      <c r="H217" s="140">
        <f>ROUND(+D217+F217,4)</f>
        <v>0</v>
      </c>
      <c r="I217" s="140">
        <v>0</v>
      </c>
      <c r="J217" s="140">
        <v>0.03</v>
      </c>
      <c r="K217" s="140">
        <f>ROUND(IF(E217="alluminio",(I217)*3%,0)+IF(E217="alluminio smaltato",(I217)*3%,0),4)</f>
        <v>0</v>
      </c>
      <c r="L217" s="143">
        <f>ROUND((J217*C217)+(K217*C217),4)</f>
        <v>0</v>
      </c>
      <c r="M217" s="140"/>
      <c r="N217" s="140">
        <f>ROUND(+I217-H217,4)</f>
        <v>0</v>
      </c>
      <c r="O217" s="143">
        <f>ROUND(+(N217)*C217*50%,4)</f>
        <v>0</v>
      </c>
      <c r="P217" s="147">
        <f>ROUND(O217+L217,4)</f>
        <v>0</v>
      </c>
      <c r="Q217" s="80"/>
      <c r="R217" s="81"/>
      <c r="S217" s="84"/>
    </row>
    <row r="218" spans="1:19" x14ac:dyDescent="0.2">
      <c r="A218" s="47"/>
      <c r="B218" s="36"/>
      <c r="C218" s="138"/>
      <c r="D218" s="140"/>
      <c r="E218" s="48"/>
      <c r="F218" s="140"/>
      <c r="G218" s="140"/>
      <c r="H218" s="140">
        <f>ROUND(+D218+F218,4)</f>
        <v>0</v>
      </c>
      <c r="I218" s="140">
        <v>0</v>
      </c>
      <c r="J218" s="140">
        <v>0.03</v>
      </c>
      <c r="K218" s="140">
        <f>ROUND(IF(E218="alluminio",(I218)*3%,0)+IF(E218="alluminio smaltato",(I218)*3%,0),4)</f>
        <v>0</v>
      </c>
      <c r="L218" s="143">
        <f>ROUND((J218*C218)+(K218*C218),4)</f>
        <v>0</v>
      </c>
      <c r="M218" s="140"/>
      <c r="N218" s="140">
        <f>ROUND(+I218-H218,4)</f>
        <v>0</v>
      </c>
      <c r="O218" s="143">
        <f>ROUND(+(N218)*C218*50%,4)</f>
        <v>0</v>
      </c>
      <c r="P218" s="147">
        <f>ROUND(O218+L218,4)</f>
        <v>0</v>
      </c>
      <c r="Q218" s="80"/>
      <c r="R218" s="81"/>
      <c r="S218" s="84"/>
    </row>
    <row r="219" spans="1:19" x14ac:dyDescent="0.2">
      <c r="A219" s="47"/>
      <c r="B219" s="36"/>
      <c r="C219" s="138"/>
      <c r="D219" s="140"/>
      <c r="E219" s="48"/>
      <c r="F219" s="140"/>
      <c r="G219" s="140"/>
      <c r="H219" s="140">
        <f>ROUND(+D219+F219,4)</f>
        <v>0</v>
      </c>
      <c r="I219" s="140">
        <v>0</v>
      </c>
      <c r="J219" s="140">
        <v>0.03</v>
      </c>
      <c r="K219" s="140">
        <f>ROUND(IF(E219="alluminio",(I219)*3%,0)+IF(E219="alluminio smaltato",(I219)*3%,0),4)</f>
        <v>0</v>
      </c>
      <c r="L219" s="143">
        <f>ROUND((J219*C219)+(K219*C219),4)</f>
        <v>0</v>
      </c>
      <c r="M219" s="140"/>
      <c r="N219" s="140">
        <f>ROUND(+I219-H219,4)</f>
        <v>0</v>
      </c>
      <c r="O219" s="143">
        <f>ROUND(+(N219)*C219*50%,4)</f>
        <v>0</v>
      </c>
      <c r="P219" s="147">
        <f>ROUND(O219+L219,4)</f>
        <v>0</v>
      </c>
      <c r="Q219" s="80"/>
      <c r="R219" s="81"/>
      <c r="S219" s="84"/>
    </row>
    <row r="220" spans="1:19" x14ac:dyDescent="0.2">
      <c r="A220" s="47"/>
      <c r="B220" s="36"/>
      <c r="C220" s="138"/>
      <c r="D220" s="140"/>
      <c r="E220" s="48"/>
      <c r="F220" s="140"/>
      <c r="G220" s="140"/>
      <c r="H220" s="140">
        <f>ROUND(+D220+F220,4)</f>
        <v>0</v>
      </c>
      <c r="I220" s="140">
        <v>0</v>
      </c>
      <c r="J220" s="140">
        <v>0.03</v>
      </c>
      <c r="K220" s="140">
        <f>ROUND(IF(E220="alluminio",(I220)*3%,0)+IF(E220="alluminio smaltato",(I220)*3%,0),4)</f>
        <v>0</v>
      </c>
      <c r="L220" s="143">
        <f>ROUND((J220*C220)+(K220*C220),4)</f>
        <v>0</v>
      </c>
      <c r="M220" s="140"/>
      <c r="N220" s="140">
        <f>ROUND(+I220-H220,4)</f>
        <v>0</v>
      </c>
      <c r="O220" s="143">
        <f>ROUND(+(N220)*C220*50%,4)</f>
        <v>0</v>
      </c>
      <c r="P220" s="147">
        <f>ROUND(O220+L220,4)</f>
        <v>0</v>
      </c>
      <c r="Q220" s="80"/>
      <c r="R220" s="81"/>
      <c r="S220" s="84"/>
    </row>
    <row r="221" spans="1:19" x14ac:dyDescent="0.2">
      <c r="A221" s="47"/>
      <c r="B221" s="36"/>
      <c r="C221" s="138"/>
      <c r="D221" s="140"/>
      <c r="E221" s="48"/>
      <c r="F221" s="140"/>
      <c r="G221" s="140"/>
      <c r="H221" s="140">
        <f>ROUND(+D221+F221,4)</f>
        <v>0</v>
      </c>
      <c r="I221" s="140">
        <v>0</v>
      </c>
      <c r="J221" s="140">
        <v>0.03</v>
      </c>
      <c r="K221" s="140">
        <f>ROUND(IF(E221="alluminio",(I221)*3%,0)+IF(E221="alluminio smaltato",(I221)*3%,0),4)</f>
        <v>0</v>
      </c>
      <c r="L221" s="143">
        <f>ROUND((J221*C221)+(K221*C221),4)</f>
        <v>0</v>
      </c>
      <c r="M221" s="140"/>
      <c r="N221" s="140">
        <f>ROUND(+I221-H221,4)</f>
        <v>0</v>
      </c>
      <c r="O221" s="143">
        <f>ROUND(+(N221)*C221*50%,4)</f>
        <v>0</v>
      </c>
      <c r="P221" s="147">
        <f>ROUND(O221+L221,4)</f>
        <v>0</v>
      </c>
      <c r="Q221" s="80"/>
      <c r="R221" s="81"/>
      <c r="S221" s="84"/>
    </row>
    <row r="222" spans="1:19" x14ac:dyDescent="0.2">
      <c r="A222" s="47"/>
      <c r="B222" s="36"/>
      <c r="C222" s="138"/>
      <c r="D222" s="140"/>
      <c r="E222" s="48"/>
      <c r="F222" s="140"/>
      <c r="G222" s="140"/>
      <c r="H222" s="140">
        <f>ROUND(+D222+F222,4)</f>
        <v>0</v>
      </c>
      <c r="I222" s="140">
        <v>0</v>
      </c>
      <c r="J222" s="140">
        <v>0.03</v>
      </c>
      <c r="K222" s="140">
        <f>ROUND(IF(E222="alluminio",(I222)*3%,0)+IF(E222="alluminio smaltato",(I222)*3%,0),4)</f>
        <v>0</v>
      </c>
      <c r="L222" s="143">
        <f>ROUND((J222*C222)+(K222*C222),4)</f>
        <v>0</v>
      </c>
      <c r="M222" s="140"/>
      <c r="N222" s="140">
        <f>ROUND(+I222-H222,4)</f>
        <v>0</v>
      </c>
      <c r="O222" s="143">
        <f>ROUND(+(N222)*C222*50%,4)</f>
        <v>0</v>
      </c>
      <c r="P222" s="147">
        <f>ROUND(O222+L222,4)</f>
        <v>0</v>
      </c>
      <c r="Q222" s="80"/>
      <c r="R222" s="81"/>
      <c r="S222" s="84"/>
    </row>
    <row r="223" spans="1:19" x14ac:dyDescent="0.2">
      <c r="A223" s="47"/>
      <c r="B223" s="36"/>
      <c r="C223" s="138"/>
      <c r="D223" s="140"/>
      <c r="E223" s="48"/>
      <c r="F223" s="140"/>
      <c r="G223" s="140"/>
      <c r="H223" s="140">
        <f>ROUND(+D223+F223,4)</f>
        <v>0</v>
      </c>
      <c r="I223" s="140">
        <v>0</v>
      </c>
      <c r="J223" s="140">
        <v>0.03</v>
      </c>
      <c r="K223" s="140">
        <f>ROUND(IF(E223="alluminio",(I223)*3%,0)+IF(E223="alluminio smaltato",(I223)*3%,0),4)</f>
        <v>0</v>
      </c>
      <c r="L223" s="143">
        <f>ROUND((J223*C223)+(K223*C223),4)</f>
        <v>0</v>
      </c>
      <c r="M223" s="140"/>
      <c r="N223" s="140">
        <f>ROUND(+I223-H223,4)</f>
        <v>0</v>
      </c>
      <c r="O223" s="143">
        <f>ROUND(+(N223)*C223*50%,4)</f>
        <v>0</v>
      </c>
      <c r="P223" s="147">
        <f>ROUND(O223+L223,4)</f>
        <v>0</v>
      </c>
      <c r="Q223" s="80"/>
      <c r="R223" s="81"/>
      <c r="S223" s="84"/>
    </row>
    <row r="224" spans="1:19" x14ac:dyDescent="0.2">
      <c r="A224" s="47"/>
      <c r="B224" s="36"/>
      <c r="C224" s="138"/>
      <c r="D224" s="140"/>
      <c r="E224" s="48"/>
      <c r="F224" s="140"/>
      <c r="G224" s="140"/>
      <c r="H224" s="140">
        <f>ROUND(+D224+F224,4)</f>
        <v>0</v>
      </c>
      <c r="I224" s="140">
        <v>0</v>
      </c>
      <c r="J224" s="140">
        <v>0.03</v>
      </c>
      <c r="K224" s="140">
        <f>ROUND(IF(E224="alluminio",(I224)*3%,0)+IF(E224="alluminio smaltato",(I224)*3%,0),4)</f>
        <v>0</v>
      </c>
      <c r="L224" s="143">
        <f>ROUND((J224*C224)+(K224*C224),4)</f>
        <v>0</v>
      </c>
      <c r="M224" s="140"/>
      <c r="N224" s="140">
        <f>ROUND(+I224-H224,4)</f>
        <v>0</v>
      </c>
      <c r="O224" s="143">
        <f>ROUND(+(N224)*C224*50%,4)</f>
        <v>0</v>
      </c>
      <c r="P224" s="147">
        <f>ROUND(O224+L224,4)</f>
        <v>0</v>
      </c>
      <c r="Q224" s="80"/>
      <c r="R224" s="81"/>
      <c r="S224" s="84"/>
    </row>
    <row r="225" spans="1:19" x14ac:dyDescent="0.2">
      <c r="A225" s="47"/>
      <c r="B225" s="36"/>
      <c r="C225" s="138"/>
      <c r="D225" s="140"/>
      <c r="E225" s="48"/>
      <c r="F225" s="140"/>
      <c r="G225" s="140"/>
      <c r="H225" s="140">
        <f>ROUND(+D225+F225,4)</f>
        <v>0</v>
      </c>
      <c r="I225" s="140">
        <v>0</v>
      </c>
      <c r="J225" s="140">
        <v>0.03</v>
      </c>
      <c r="K225" s="140">
        <f>ROUND(IF(E225="alluminio",(I225)*3%,0)+IF(E225="alluminio smaltato",(I225)*3%,0),4)</f>
        <v>0</v>
      </c>
      <c r="L225" s="143">
        <f>ROUND((J225*C225)+(K225*C225),4)</f>
        <v>0</v>
      </c>
      <c r="M225" s="140"/>
      <c r="N225" s="140">
        <f>ROUND(+I225-H225,4)</f>
        <v>0</v>
      </c>
      <c r="O225" s="143">
        <f>ROUND(+(N225)*C225*50%,4)</f>
        <v>0</v>
      </c>
      <c r="P225" s="147">
        <f>ROUND(O225+L225,4)</f>
        <v>0</v>
      </c>
      <c r="Q225" s="80"/>
      <c r="R225" s="81"/>
      <c r="S225" s="84"/>
    </row>
    <row r="226" spans="1:19" x14ac:dyDescent="0.2">
      <c r="A226" s="47"/>
      <c r="B226" s="36"/>
      <c r="C226" s="138"/>
      <c r="D226" s="140"/>
      <c r="E226" s="48"/>
      <c r="F226" s="140"/>
      <c r="G226" s="140"/>
      <c r="H226" s="140">
        <f>ROUND(+D226+F226,4)</f>
        <v>0</v>
      </c>
      <c r="I226" s="140">
        <v>0</v>
      </c>
      <c r="J226" s="140">
        <v>0.03</v>
      </c>
      <c r="K226" s="140">
        <f>ROUND(IF(E226="alluminio",(I226)*3%,0)+IF(E226="alluminio smaltato",(I226)*3%,0),4)</f>
        <v>0</v>
      </c>
      <c r="L226" s="143">
        <f>ROUND((J226*C226)+(K226*C226),4)</f>
        <v>0</v>
      </c>
      <c r="M226" s="140"/>
      <c r="N226" s="140">
        <f>ROUND(+I226-H226,4)</f>
        <v>0</v>
      </c>
      <c r="O226" s="143">
        <f>ROUND(+(N226)*C226*50%,4)</f>
        <v>0</v>
      </c>
      <c r="P226" s="147">
        <f>ROUND(O226+L226,4)</f>
        <v>0</v>
      </c>
      <c r="Q226" s="80"/>
      <c r="R226" s="81"/>
      <c r="S226" s="84"/>
    </row>
    <row r="227" spans="1:19" x14ac:dyDescent="0.2">
      <c r="A227" s="47"/>
      <c r="B227" s="36"/>
      <c r="C227" s="138"/>
      <c r="D227" s="140"/>
      <c r="E227" s="48"/>
      <c r="F227" s="140"/>
      <c r="G227" s="140"/>
      <c r="H227" s="140">
        <f>ROUND(+D227+F227,4)</f>
        <v>0</v>
      </c>
      <c r="I227" s="140">
        <v>0</v>
      </c>
      <c r="J227" s="140">
        <v>0.03</v>
      </c>
      <c r="K227" s="140">
        <f>ROUND(IF(E227="alluminio",(I227)*3%,0)+IF(E227="alluminio smaltato",(I227)*3%,0),4)</f>
        <v>0</v>
      </c>
      <c r="L227" s="143">
        <f>ROUND((J227*C227)+(K227*C227),4)</f>
        <v>0</v>
      </c>
      <c r="M227" s="140"/>
      <c r="N227" s="140">
        <f>ROUND(+I227-H227,4)</f>
        <v>0</v>
      </c>
      <c r="O227" s="143">
        <f>ROUND(+(N227)*C227*50%,4)</f>
        <v>0</v>
      </c>
      <c r="P227" s="147">
        <f>ROUND(O227+L227,4)</f>
        <v>0</v>
      </c>
      <c r="Q227" s="80"/>
      <c r="R227" s="81"/>
      <c r="S227" s="84"/>
    </row>
    <row r="228" spans="1:19" x14ac:dyDescent="0.2">
      <c r="A228" s="47"/>
      <c r="B228" s="36"/>
      <c r="C228" s="138"/>
      <c r="D228" s="140"/>
      <c r="E228" s="48"/>
      <c r="F228" s="140"/>
      <c r="G228" s="140"/>
      <c r="H228" s="140">
        <f>ROUND(+D228+F228,4)</f>
        <v>0</v>
      </c>
      <c r="I228" s="140">
        <v>0</v>
      </c>
      <c r="J228" s="140">
        <v>0.03</v>
      </c>
      <c r="K228" s="140">
        <f>ROUND(IF(E228="alluminio",(I228)*3%,0)+IF(E228="alluminio smaltato",(I228)*3%,0),4)</f>
        <v>0</v>
      </c>
      <c r="L228" s="143">
        <f>ROUND((J228*C228)+(K228*C228),4)</f>
        <v>0</v>
      </c>
      <c r="M228" s="140"/>
      <c r="N228" s="140">
        <f>ROUND(+I228-H228,4)</f>
        <v>0</v>
      </c>
      <c r="O228" s="143">
        <f>ROUND(+(N228)*C228*50%,4)</f>
        <v>0</v>
      </c>
      <c r="P228" s="147">
        <f>ROUND(O228+L228,4)</f>
        <v>0</v>
      </c>
      <c r="Q228" s="80"/>
      <c r="R228" s="81"/>
      <c r="S228" s="84"/>
    </row>
    <row r="229" spans="1:19" x14ac:dyDescent="0.2">
      <c r="A229" s="47"/>
      <c r="B229" s="36"/>
      <c r="C229" s="138"/>
      <c r="D229" s="140"/>
      <c r="E229" s="48"/>
      <c r="F229" s="140"/>
      <c r="G229" s="140"/>
      <c r="H229" s="140">
        <f>ROUND(+D229+F229,4)</f>
        <v>0</v>
      </c>
      <c r="I229" s="140">
        <v>0</v>
      </c>
      <c r="J229" s="140">
        <v>0.03</v>
      </c>
      <c r="K229" s="140">
        <f>ROUND(IF(E229="alluminio",(I229)*3%,0)+IF(E229="alluminio smaltato",(I229)*3%,0),4)</f>
        <v>0</v>
      </c>
      <c r="L229" s="143">
        <f>ROUND((J229*C229)+(K229*C229),4)</f>
        <v>0</v>
      </c>
      <c r="M229" s="140"/>
      <c r="N229" s="140">
        <f>ROUND(+I229-H229,4)</f>
        <v>0</v>
      </c>
      <c r="O229" s="143">
        <f>ROUND(+(N229)*C229*50%,4)</f>
        <v>0</v>
      </c>
      <c r="P229" s="147">
        <f>ROUND(O229+L229,4)</f>
        <v>0</v>
      </c>
      <c r="Q229" s="80"/>
      <c r="R229" s="81"/>
      <c r="S229" s="84"/>
    </row>
    <row r="230" spans="1:19" x14ac:dyDescent="0.2">
      <c r="A230" s="47"/>
      <c r="B230" s="36"/>
      <c r="C230" s="138"/>
      <c r="D230" s="140"/>
      <c r="E230" s="48"/>
      <c r="F230" s="140"/>
      <c r="G230" s="140"/>
      <c r="H230" s="140">
        <f>ROUND(+D230+F230,4)</f>
        <v>0</v>
      </c>
      <c r="I230" s="140">
        <v>0</v>
      </c>
      <c r="J230" s="140">
        <v>0.03</v>
      </c>
      <c r="K230" s="140">
        <f>ROUND(IF(E230="alluminio",(I230)*3%,0)+IF(E230="alluminio smaltato",(I230)*3%,0),4)</f>
        <v>0</v>
      </c>
      <c r="L230" s="143">
        <f>ROUND((J230*C230)+(K230*C230),4)</f>
        <v>0</v>
      </c>
      <c r="M230" s="140"/>
      <c r="N230" s="140">
        <f>ROUND(+I230-H230,4)</f>
        <v>0</v>
      </c>
      <c r="O230" s="143">
        <f>ROUND(+(N230)*C230*50%,4)</f>
        <v>0</v>
      </c>
      <c r="P230" s="147">
        <f>ROUND(O230+L230,4)</f>
        <v>0</v>
      </c>
      <c r="Q230" s="80"/>
      <c r="R230" s="81"/>
      <c r="S230" s="84"/>
    </row>
    <row r="231" spans="1:19" x14ac:dyDescent="0.2">
      <c r="A231" s="47"/>
      <c r="B231" s="36"/>
      <c r="C231" s="138"/>
      <c r="D231" s="140"/>
      <c r="E231" s="48"/>
      <c r="F231" s="140"/>
      <c r="G231" s="140"/>
      <c r="H231" s="140">
        <f>ROUND(+D231+F231,4)</f>
        <v>0</v>
      </c>
      <c r="I231" s="140">
        <v>0</v>
      </c>
      <c r="J231" s="140">
        <v>0.03</v>
      </c>
      <c r="K231" s="140">
        <f>ROUND(IF(E231="alluminio",(I231)*3%,0)+IF(E231="alluminio smaltato",(I231)*3%,0),4)</f>
        <v>0</v>
      </c>
      <c r="L231" s="143">
        <f>ROUND((J231*C231)+(K231*C231),4)</f>
        <v>0</v>
      </c>
      <c r="M231" s="140"/>
      <c r="N231" s="140">
        <f>ROUND(+I231-H231,4)</f>
        <v>0</v>
      </c>
      <c r="O231" s="143">
        <f>ROUND(+(N231)*C231*50%,4)</f>
        <v>0</v>
      </c>
      <c r="P231" s="147">
        <f>ROUND(O231+L231,4)</f>
        <v>0</v>
      </c>
      <c r="Q231" s="80"/>
      <c r="R231" s="81"/>
      <c r="S231" s="84"/>
    </row>
    <row r="232" spans="1:19" x14ac:dyDescent="0.2">
      <c r="A232" s="47"/>
      <c r="B232" s="36"/>
      <c r="C232" s="138"/>
      <c r="D232" s="140"/>
      <c r="E232" s="48"/>
      <c r="F232" s="140"/>
      <c r="G232" s="140"/>
      <c r="H232" s="140">
        <f>ROUND(+D232+F232,4)</f>
        <v>0</v>
      </c>
      <c r="I232" s="140">
        <v>0</v>
      </c>
      <c r="J232" s="140">
        <v>0.03</v>
      </c>
      <c r="K232" s="140">
        <f>ROUND(IF(E232="alluminio",(I232)*3%,0)+IF(E232="alluminio smaltato",(I232)*3%,0),4)</f>
        <v>0</v>
      </c>
      <c r="L232" s="143">
        <f>ROUND((J232*C232)+(K232*C232),4)</f>
        <v>0</v>
      </c>
      <c r="M232" s="140"/>
      <c r="N232" s="140">
        <f>ROUND(+I232-H232,4)</f>
        <v>0</v>
      </c>
      <c r="O232" s="143">
        <f>ROUND(+(N232)*C232*50%,4)</f>
        <v>0</v>
      </c>
      <c r="P232" s="147">
        <f>ROUND(O232+L232,4)</f>
        <v>0</v>
      </c>
      <c r="Q232" s="80"/>
      <c r="R232" s="81"/>
      <c r="S232" s="84"/>
    </row>
    <row r="233" spans="1:19" x14ac:dyDescent="0.2">
      <c r="A233" s="47"/>
      <c r="B233" s="36"/>
      <c r="C233" s="138"/>
      <c r="D233" s="140"/>
      <c r="E233" s="48"/>
      <c r="F233" s="140"/>
      <c r="G233" s="140"/>
      <c r="H233" s="140">
        <f>ROUND(+D233+F233,4)</f>
        <v>0</v>
      </c>
      <c r="I233" s="140">
        <v>0</v>
      </c>
      <c r="J233" s="140">
        <v>0.03</v>
      </c>
      <c r="K233" s="140">
        <f>ROUND(IF(E233="alluminio",(I233)*3%,0)+IF(E233="alluminio smaltato",(I233)*3%,0),4)</f>
        <v>0</v>
      </c>
      <c r="L233" s="143">
        <f>ROUND((J233*C233)+(K233*C233),4)</f>
        <v>0</v>
      </c>
      <c r="M233" s="140"/>
      <c r="N233" s="140">
        <f>ROUND(+I233-H233,4)</f>
        <v>0</v>
      </c>
      <c r="O233" s="143">
        <f>ROUND(+(N233)*C233*50%,4)</f>
        <v>0</v>
      </c>
      <c r="P233" s="147">
        <f>ROUND(O233+L233,4)</f>
        <v>0</v>
      </c>
      <c r="Q233" s="80"/>
      <c r="R233" s="81"/>
      <c r="S233" s="84"/>
    </row>
    <row r="234" spans="1:19" x14ac:dyDescent="0.2">
      <c r="A234" s="47"/>
      <c r="B234" s="36"/>
      <c r="C234" s="138"/>
      <c r="D234" s="140"/>
      <c r="E234" s="48"/>
      <c r="F234" s="140"/>
      <c r="G234" s="140"/>
      <c r="H234" s="140">
        <f>ROUND(+D234+F234,4)</f>
        <v>0</v>
      </c>
      <c r="I234" s="140">
        <v>0</v>
      </c>
      <c r="J234" s="140">
        <v>0.03</v>
      </c>
      <c r="K234" s="140">
        <f>ROUND(IF(E234="alluminio",(I234)*3%,0)+IF(E234="alluminio smaltato",(I234)*3%,0),4)</f>
        <v>0</v>
      </c>
      <c r="L234" s="143">
        <f>ROUND((J234*C234)+(K234*C234),4)</f>
        <v>0</v>
      </c>
      <c r="M234" s="140"/>
      <c r="N234" s="140">
        <f>ROUND(+I234-H234,4)</f>
        <v>0</v>
      </c>
      <c r="O234" s="143">
        <f>ROUND(+(N234)*C234*50%,4)</f>
        <v>0</v>
      </c>
      <c r="P234" s="147">
        <f>ROUND(O234+L234,4)</f>
        <v>0</v>
      </c>
      <c r="Q234" s="80"/>
      <c r="R234" s="81"/>
      <c r="S234" s="84"/>
    </row>
    <row r="235" spans="1:19" x14ac:dyDescent="0.2">
      <c r="A235" s="47"/>
      <c r="B235" s="36"/>
      <c r="C235" s="138"/>
      <c r="D235" s="140"/>
      <c r="E235" s="48"/>
      <c r="F235" s="140"/>
      <c r="G235" s="140"/>
      <c r="H235" s="140">
        <f>ROUND(+D235+F235,4)</f>
        <v>0</v>
      </c>
      <c r="I235" s="140">
        <v>0</v>
      </c>
      <c r="J235" s="140">
        <v>0.03</v>
      </c>
      <c r="K235" s="140">
        <f>ROUND(IF(E235="alluminio",(I235)*3%,0)+IF(E235="alluminio smaltato",(I235)*3%,0),4)</f>
        <v>0</v>
      </c>
      <c r="L235" s="143">
        <f>ROUND((J235*C235)+(K235*C235),4)</f>
        <v>0</v>
      </c>
      <c r="M235" s="140"/>
      <c r="N235" s="140">
        <f>ROUND(+I235-H235,4)</f>
        <v>0</v>
      </c>
      <c r="O235" s="143">
        <f>ROUND(+(N235)*C235*50%,4)</f>
        <v>0</v>
      </c>
      <c r="P235" s="147">
        <f>ROUND(O235+L235,4)</f>
        <v>0</v>
      </c>
      <c r="Q235" s="80"/>
      <c r="R235" s="81"/>
      <c r="S235" s="84"/>
    </row>
    <row r="236" spans="1:19" x14ac:dyDescent="0.2">
      <c r="A236" s="47"/>
      <c r="B236" s="36"/>
      <c r="C236" s="138"/>
      <c r="D236" s="140"/>
      <c r="E236" s="48"/>
      <c r="F236" s="140"/>
      <c r="G236" s="140"/>
      <c r="H236" s="140">
        <f>ROUND(+D236+F236,4)</f>
        <v>0</v>
      </c>
      <c r="I236" s="140">
        <v>0</v>
      </c>
      <c r="J236" s="140">
        <v>0.03</v>
      </c>
      <c r="K236" s="140">
        <f>ROUND(IF(E236="alluminio",(I236)*3%,0)+IF(E236="alluminio smaltato",(I236)*3%,0),4)</f>
        <v>0</v>
      </c>
      <c r="L236" s="143">
        <f>ROUND((J236*C236)+(K236*C236),4)</f>
        <v>0</v>
      </c>
      <c r="M236" s="140"/>
      <c r="N236" s="140">
        <f>ROUND(+I236-H236,4)</f>
        <v>0</v>
      </c>
      <c r="O236" s="143">
        <f>ROUND(+(N236)*C236*50%,4)</f>
        <v>0</v>
      </c>
      <c r="P236" s="147">
        <f>ROUND(O236+L236,4)</f>
        <v>0</v>
      </c>
      <c r="Q236" s="80"/>
      <c r="R236" s="81"/>
      <c r="S236" s="84"/>
    </row>
    <row r="237" spans="1:19" x14ac:dyDescent="0.2">
      <c r="A237" s="47"/>
      <c r="B237" s="36"/>
      <c r="C237" s="138"/>
      <c r="D237" s="140"/>
      <c r="E237" s="48"/>
      <c r="F237" s="140"/>
      <c r="G237" s="140"/>
      <c r="H237" s="140">
        <f>ROUND(+D237+F237,4)</f>
        <v>0</v>
      </c>
      <c r="I237" s="140">
        <v>0</v>
      </c>
      <c r="J237" s="140">
        <v>0.03</v>
      </c>
      <c r="K237" s="140">
        <f>ROUND(IF(E237="alluminio",(I237)*3%,0)+IF(E237="alluminio smaltato",(I237)*3%,0),4)</f>
        <v>0</v>
      </c>
      <c r="L237" s="143">
        <f>ROUND((J237*C237)+(K237*C237),4)</f>
        <v>0</v>
      </c>
      <c r="M237" s="140"/>
      <c r="N237" s="140">
        <f>ROUND(+I237-H237,4)</f>
        <v>0</v>
      </c>
      <c r="O237" s="143">
        <f>ROUND(+(N237)*C237*50%,4)</f>
        <v>0</v>
      </c>
      <c r="P237" s="147">
        <f>ROUND(O237+L237,4)</f>
        <v>0</v>
      </c>
      <c r="Q237" s="80"/>
      <c r="R237" s="81"/>
      <c r="S237" s="84"/>
    </row>
    <row r="238" spans="1:19" x14ac:dyDescent="0.2">
      <c r="A238" s="47"/>
      <c r="B238" s="36"/>
      <c r="C238" s="138"/>
      <c r="D238" s="140"/>
      <c r="E238" s="48"/>
      <c r="F238" s="140"/>
      <c r="G238" s="140"/>
      <c r="H238" s="140">
        <f>ROUND(+D238+F238,4)</f>
        <v>0</v>
      </c>
      <c r="I238" s="140">
        <v>0</v>
      </c>
      <c r="J238" s="140">
        <v>0.03</v>
      </c>
      <c r="K238" s="140">
        <f>ROUND(IF(E238="alluminio",(I238)*3%,0)+IF(E238="alluminio smaltato",(I238)*3%,0),4)</f>
        <v>0</v>
      </c>
      <c r="L238" s="143">
        <f>ROUND((J238*C238)+(K238*C238),4)</f>
        <v>0</v>
      </c>
      <c r="M238" s="140"/>
      <c r="N238" s="140">
        <f>ROUND(+I238-H238,4)</f>
        <v>0</v>
      </c>
      <c r="O238" s="143">
        <f>ROUND(+(N238)*C238*50%,4)</f>
        <v>0</v>
      </c>
      <c r="P238" s="147">
        <f>ROUND(O238+L238,4)</f>
        <v>0</v>
      </c>
      <c r="Q238" s="80"/>
      <c r="R238" s="81"/>
      <c r="S238" s="84"/>
    </row>
    <row r="239" spans="1:19" x14ac:dyDescent="0.2">
      <c r="A239" s="47"/>
      <c r="B239" s="36"/>
      <c r="C239" s="138"/>
      <c r="D239" s="140"/>
      <c r="E239" s="48"/>
      <c r="F239" s="140"/>
      <c r="G239" s="140"/>
      <c r="H239" s="140">
        <f>ROUND(+D239+F239,4)</f>
        <v>0</v>
      </c>
      <c r="I239" s="140">
        <v>0</v>
      </c>
      <c r="J239" s="140">
        <v>0.03</v>
      </c>
      <c r="K239" s="140">
        <f>ROUND(IF(E239="alluminio",(I239)*3%,0)+IF(E239="alluminio smaltato",(I239)*3%,0),4)</f>
        <v>0</v>
      </c>
      <c r="L239" s="143">
        <f>ROUND((J239*C239)+(K239*C239),4)</f>
        <v>0</v>
      </c>
      <c r="M239" s="140"/>
      <c r="N239" s="140">
        <f>ROUND(+I239-H239,4)</f>
        <v>0</v>
      </c>
      <c r="O239" s="143">
        <f>ROUND(+(N239)*C239*50%,4)</f>
        <v>0</v>
      </c>
      <c r="P239" s="147">
        <f>ROUND(O239+L239,4)</f>
        <v>0</v>
      </c>
      <c r="Q239" s="80"/>
      <c r="R239" s="81"/>
      <c r="S239" s="84"/>
    </row>
    <row r="240" spans="1:19" x14ac:dyDescent="0.2">
      <c r="A240" s="47"/>
      <c r="B240" s="36"/>
      <c r="C240" s="138"/>
      <c r="D240" s="140"/>
      <c r="E240" s="48"/>
      <c r="F240" s="140"/>
      <c r="G240" s="140"/>
      <c r="H240" s="140">
        <f>ROUND(+D240+F240,4)</f>
        <v>0</v>
      </c>
      <c r="I240" s="140">
        <v>0</v>
      </c>
      <c r="J240" s="140">
        <v>0.03</v>
      </c>
      <c r="K240" s="140">
        <f>ROUND(IF(E240="alluminio",(I240)*3%,0)+IF(E240="alluminio smaltato",(I240)*3%,0),4)</f>
        <v>0</v>
      </c>
      <c r="L240" s="143">
        <f>ROUND((J240*C240)+(K240*C240),4)</f>
        <v>0</v>
      </c>
      <c r="M240" s="140"/>
      <c r="N240" s="140">
        <f>ROUND(+I240-H240,4)</f>
        <v>0</v>
      </c>
      <c r="O240" s="143">
        <f>ROUND(+(N240)*C240*50%,4)</f>
        <v>0</v>
      </c>
      <c r="P240" s="147">
        <f>ROUND(O240+L240,4)</f>
        <v>0</v>
      </c>
      <c r="Q240" s="80"/>
      <c r="R240" s="81"/>
      <c r="S240" s="84"/>
    </row>
    <row r="241" spans="1:19" x14ac:dyDescent="0.2">
      <c r="A241" s="47"/>
      <c r="B241" s="36"/>
      <c r="C241" s="138"/>
      <c r="D241" s="140"/>
      <c r="E241" s="48"/>
      <c r="F241" s="140"/>
      <c r="G241" s="140"/>
      <c r="H241" s="140">
        <f>ROUND(+D241+F241,4)</f>
        <v>0</v>
      </c>
      <c r="I241" s="140">
        <v>0</v>
      </c>
      <c r="J241" s="140">
        <v>0.03</v>
      </c>
      <c r="K241" s="140">
        <f>ROUND(IF(E241="alluminio",(I241)*3%,0)+IF(E241="alluminio smaltato",(I241)*3%,0),4)</f>
        <v>0</v>
      </c>
      <c r="L241" s="143">
        <f>ROUND((J241*C241)+(K241*C241),4)</f>
        <v>0</v>
      </c>
      <c r="M241" s="140"/>
      <c r="N241" s="140">
        <f>ROUND(+I241-H241,4)</f>
        <v>0</v>
      </c>
      <c r="O241" s="143">
        <f>ROUND(+(N241)*C241*50%,4)</f>
        <v>0</v>
      </c>
      <c r="P241" s="147">
        <f>ROUND(O241+L241,4)</f>
        <v>0</v>
      </c>
      <c r="Q241" s="80"/>
      <c r="R241" s="81"/>
      <c r="S241" s="84"/>
    </row>
    <row r="242" spans="1:19" x14ac:dyDescent="0.2">
      <c r="A242" s="47"/>
      <c r="B242" s="36"/>
      <c r="C242" s="138"/>
      <c r="D242" s="140"/>
      <c r="E242" s="48"/>
      <c r="F242" s="140"/>
      <c r="G242" s="140"/>
      <c r="H242" s="140">
        <f>ROUND(+D242+F242,4)</f>
        <v>0</v>
      </c>
      <c r="I242" s="140">
        <v>0</v>
      </c>
      <c r="J242" s="140">
        <v>0.03</v>
      </c>
      <c r="K242" s="140">
        <f>ROUND(IF(E242="alluminio",(I242)*3%,0)+IF(E242="alluminio smaltato",(I242)*3%,0),4)</f>
        <v>0</v>
      </c>
      <c r="L242" s="143">
        <f>ROUND((J242*C242)+(K242*C242),4)</f>
        <v>0</v>
      </c>
      <c r="M242" s="140"/>
      <c r="N242" s="140">
        <f>ROUND(+I242-H242,4)</f>
        <v>0</v>
      </c>
      <c r="O242" s="143">
        <f>ROUND(+(N242)*C242*50%,4)</f>
        <v>0</v>
      </c>
      <c r="P242" s="147">
        <f>ROUND(O242+L242,4)</f>
        <v>0</v>
      </c>
      <c r="Q242" s="80"/>
      <c r="R242" s="81"/>
      <c r="S242" s="84"/>
    </row>
    <row r="243" spans="1:19" x14ac:dyDescent="0.2">
      <c r="A243" s="47"/>
      <c r="B243" s="36"/>
      <c r="C243" s="138"/>
      <c r="D243" s="140"/>
      <c r="E243" s="48"/>
      <c r="F243" s="140"/>
      <c r="G243" s="140"/>
      <c r="H243" s="140">
        <f>ROUND(+D243+F243,4)</f>
        <v>0</v>
      </c>
      <c r="I243" s="140">
        <v>0</v>
      </c>
      <c r="J243" s="140">
        <v>0.03</v>
      </c>
      <c r="K243" s="140">
        <f>ROUND(IF(E243="alluminio",(I243)*3%,0)+IF(E243="alluminio smaltato",(I243)*3%,0),4)</f>
        <v>0</v>
      </c>
      <c r="L243" s="143">
        <f>ROUND((J243*C243)+(K243*C243),4)</f>
        <v>0</v>
      </c>
      <c r="M243" s="140"/>
      <c r="N243" s="140">
        <f>ROUND(+I243-H243,4)</f>
        <v>0</v>
      </c>
      <c r="O243" s="143">
        <f>ROUND(+(N243)*C243*50%,4)</f>
        <v>0</v>
      </c>
      <c r="P243" s="147">
        <f>ROUND(O243+L243,4)</f>
        <v>0</v>
      </c>
      <c r="Q243" s="80"/>
      <c r="R243" s="81"/>
      <c r="S243" s="84"/>
    </row>
    <row r="244" spans="1:19" x14ac:dyDescent="0.2">
      <c r="A244" s="47"/>
      <c r="B244" s="36"/>
      <c r="C244" s="138"/>
      <c r="D244" s="140"/>
      <c r="E244" s="48"/>
      <c r="F244" s="140"/>
      <c r="G244" s="140"/>
      <c r="H244" s="140">
        <f>ROUND(+D244+F244,4)</f>
        <v>0</v>
      </c>
      <c r="I244" s="140">
        <v>0</v>
      </c>
      <c r="J244" s="140">
        <v>0.03</v>
      </c>
      <c r="K244" s="140">
        <f>ROUND(IF(E244="alluminio",(I244)*3%,0)+IF(E244="alluminio smaltato",(I244)*3%,0),4)</f>
        <v>0</v>
      </c>
      <c r="L244" s="143">
        <f>ROUND((J244*C244)+(K244*C244),4)</f>
        <v>0</v>
      </c>
      <c r="M244" s="140"/>
      <c r="N244" s="140">
        <f>ROUND(+I244-H244,4)</f>
        <v>0</v>
      </c>
      <c r="O244" s="143">
        <f>ROUND(+(N244)*C244*50%,4)</f>
        <v>0</v>
      </c>
      <c r="P244" s="147">
        <f>ROUND(O244+L244,4)</f>
        <v>0</v>
      </c>
      <c r="Q244" s="80"/>
      <c r="R244" s="81"/>
      <c r="S244" s="84"/>
    </row>
    <row r="245" spans="1:19" x14ac:dyDescent="0.2">
      <c r="A245" s="47"/>
      <c r="B245" s="36"/>
      <c r="C245" s="138"/>
      <c r="D245" s="140"/>
      <c r="E245" s="48"/>
      <c r="F245" s="140"/>
      <c r="G245" s="140"/>
      <c r="H245" s="140">
        <f>ROUND(+D245+F245,4)</f>
        <v>0</v>
      </c>
      <c r="I245" s="140">
        <v>0</v>
      </c>
      <c r="J245" s="140">
        <v>0.03</v>
      </c>
      <c r="K245" s="140">
        <f>ROUND(IF(E245="alluminio",(I245)*3%,0)+IF(E245="alluminio smaltato",(I245)*3%,0),4)</f>
        <v>0</v>
      </c>
      <c r="L245" s="143">
        <f>ROUND((J245*C245)+(K245*C245),4)</f>
        <v>0</v>
      </c>
      <c r="M245" s="140"/>
      <c r="N245" s="140">
        <f>ROUND(+I245-H245,4)</f>
        <v>0</v>
      </c>
      <c r="O245" s="143">
        <f>ROUND(+(N245)*C245*50%,4)</f>
        <v>0</v>
      </c>
      <c r="P245" s="147">
        <f>ROUND(O245+L245,4)</f>
        <v>0</v>
      </c>
      <c r="Q245" s="80"/>
      <c r="R245" s="81"/>
      <c r="S245" s="84"/>
    </row>
    <row r="246" spans="1:19" x14ac:dyDescent="0.2">
      <c r="A246" s="47"/>
      <c r="B246" s="36"/>
      <c r="C246" s="138"/>
      <c r="D246" s="140"/>
      <c r="E246" s="48"/>
      <c r="F246" s="140"/>
      <c r="G246" s="140"/>
      <c r="H246" s="140">
        <f>ROUND(+D246+F246,4)</f>
        <v>0</v>
      </c>
      <c r="I246" s="140">
        <v>0</v>
      </c>
      <c r="J246" s="140">
        <v>0.03</v>
      </c>
      <c r="K246" s="140">
        <f>ROUND(IF(E246="alluminio",(I246)*3%,0)+IF(E246="alluminio smaltato",(I246)*3%,0),4)</f>
        <v>0</v>
      </c>
      <c r="L246" s="143">
        <f>ROUND((J246*C246)+(K246*C246),4)</f>
        <v>0</v>
      </c>
      <c r="M246" s="140"/>
      <c r="N246" s="140">
        <f>ROUND(+I246-H246,4)</f>
        <v>0</v>
      </c>
      <c r="O246" s="143">
        <f>ROUND(+(N246)*C246*50%,4)</f>
        <v>0</v>
      </c>
      <c r="P246" s="147">
        <f>ROUND(O246+L246,4)</f>
        <v>0</v>
      </c>
      <c r="Q246" s="80"/>
      <c r="R246" s="81"/>
      <c r="S246" s="84"/>
    </row>
    <row r="247" spans="1:19" x14ac:dyDescent="0.2">
      <c r="A247" s="47"/>
      <c r="B247" s="36"/>
      <c r="C247" s="138"/>
      <c r="D247" s="140"/>
      <c r="E247" s="48"/>
      <c r="F247" s="140"/>
      <c r="G247" s="140"/>
      <c r="H247" s="140">
        <f>ROUND(+D247+F247,4)</f>
        <v>0</v>
      </c>
      <c r="I247" s="140">
        <v>0</v>
      </c>
      <c r="J247" s="140">
        <v>0.03</v>
      </c>
      <c r="K247" s="140">
        <f>ROUND(IF(E247="alluminio",(I247)*3%,0)+IF(E247="alluminio smaltato",(I247)*3%,0),4)</f>
        <v>0</v>
      </c>
      <c r="L247" s="143">
        <f>ROUND((J247*C247)+(K247*C247),4)</f>
        <v>0</v>
      </c>
      <c r="M247" s="140"/>
      <c r="N247" s="140">
        <f>ROUND(+I247-H247,4)</f>
        <v>0</v>
      </c>
      <c r="O247" s="143">
        <f>ROUND(+(N247)*C247*50%,4)</f>
        <v>0</v>
      </c>
      <c r="P247" s="147">
        <f>ROUND(O247+L247,4)</f>
        <v>0</v>
      </c>
      <c r="Q247" s="80"/>
      <c r="R247" s="81"/>
      <c r="S247" s="84"/>
    </row>
    <row r="248" spans="1:19" x14ac:dyDescent="0.2">
      <c r="A248" s="47"/>
      <c r="B248" s="36"/>
      <c r="C248" s="138"/>
      <c r="D248" s="140"/>
      <c r="E248" s="48"/>
      <c r="F248" s="140"/>
      <c r="G248" s="140"/>
      <c r="H248" s="140">
        <f>ROUND(+D248+F248,4)</f>
        <v>0</v>
      </c>
      <c r="I248" s="140">
        <v>0</v>
      </c>
      <c r="J248" s="140">
        <v>0.03</v>
      </c>
      <c r="K248" s="140">
        <f>ROUND(IF(E248="alluminio",(I248)*3%,0)+IF(E248="alluminio smaltato",(I248)*3%,0),4)</f>
        <v>0</v>
      </c>
      <c r="L248" s="143">
        <f>ROUND((J248*C248)+(K248*C248),4)</f>
        <v>0</v>
      </c>
      <c r="M248" s="140"/>
      <c r="N248" s="140">
        <f>ROUND(+I248-H248,4)</f>
        <v>0</v>
      </c>
      <c r="O248" s="143">
        <f>ROUND(+(N248)*C248*50%,4)</f>
        <v>0</v>
      </c>
      <c r="P248" s="147">
        <f>ROUND(O248+L248,4)</f>
        <v>0</v>
      </c>
      <c r="Q248" s="80"/>
      <c r="R248" s="81"/>
      <c r="S248" s="84"/>
    </row>
    <row r="249" spans="1:19" x14ac:dyDescent="0.2">
      <c r="A249" s="47"/>
      <c r="B249" s="36"/>
      <c r="C249" s="138"/>
      <c r="D249" s="140"/>
      <c r="E249" s="48"/>
      <c r="F249" s="140"/>
      <c r="G249" s="140"/>
      <c r="H249" s="140">
        <f>ROUND(+D249+F249,4)</f>
        <v>0</v>
      </c>
      <c r="I249" s="140">
        <v>0</v>
      </c>
      <c r="J249" s="140">
        <v>0.03</v>
      </c>
      <c r="K249" s="140">
        <f>ROUND(IF(E249="alluminio",(I249)*3%,0)+IF(E249="alluminio smaltato",(I249)*3%,0),4)</f>
        <v>0</v>
      </c>
      <c r="L249" s="143">
        <f>ROUND((J249*C249)+(K249*C249),4)</f>
        <v>0</v>
      </c>
      <c r="M249" s="140"/>
      <c r="N249" s="140">
        <f>ROUND(+I249-H249,4)</f>
        <v>0</v>
      </c>
      <c r="O249" s="143">
        <f>ROUND(+(N249)*C249*50%,4)</f>
        <v>0</v>
      </c>
      <c r="P249" s="147">
        <f>ROUND(O249+L249,4)</f>
        <v>0</v>
      </c>
      <c r="Q249" s="80"/>
      <c r="R249" s="81"/>
      <c r="S249" s="84"/>
    </row>
    <row r="250" spans="1:19" x14ac:dyDescent="0.2">
      <c r="A250" s="47"/>
      <c r="B250" s="36"/>
      <c r="C250" s="138"/>
      <c r="D250" s="140"/>
      <c r="E250" s="48"/>
      <c r="F250" s="140"/>
      <c r="G250" s="140"/>
      <c r="H250" s="140">
        <f>ROUND(+D250+F250,4)</f>
        <v>0</v>
      </c>
      <c r="I250" s="140">
        <v>0</v>
      </c>
      <c r="J250" s="140">
        <v>0.03</v>
      </c>
      <c r="K250" s="140">
        <f>ROUND(IF(E250="alluminio",(I250)*3%,0)+IF(E250="alluminio smaltato",(I250)*3%,0),4)</f>
        <v>0</v>
      </c>
      <c r="L250" s="143">
        <f>ROUND((J250*C250)+(K250*C250),4)</f>
        <v>0</v>
      </c>
      <c r="M250" s="140"/>
      <c r="N250" s="140">
        <f>ROUND(+I250-H250,4)</f>
        <v>0</v>
      </c>
      <c r="O250" s="143">
        <f>ROUND(+(N250)*C250*50%,4)</f>
        <v>0</v>
      </c>
      <c r="P250" s="147">
        <f>ROUND(O250+L250,4)</f>
        <v>0</v>
      </c>
      <c r="Q250" s="80"/>
      <c r="R250" s="81"/>
      <c r="S250" s="84"/>
    </row>
    <row r="251" spans="1:19" x14ac:dyDescent="0.2">
      <c r="A251" s="47"/>
      <c r="B251" s="36"/>
      <c r="C251" s="138"/>
      <c r="D251" s="140"/>
      <c r="E251" s="48"/>
      <c r="F251" s="140"/>
      <c r="G251" s="140"/>
      <c r="H251" s="140">
        <f>ROUND(+D251+F251,4)</f>
        <v>0</v>
      </c>
      <c r="I251" s="140">
        <v>0</v>
      </c>
      <c r="J251" s="140">
        <v>0.03</v>
      </c>
      <c r="K251" s="140">
        <f>ROUND(IF(E251="alluminio",(I251)*3%,0)+IF(E251="alluminio smaltato",(I251)*3%,0),4)</f>
        <v>0</v>
      </c>
      <c r="L251" s="143">
        <f>ROUND((J251*C251)+(K251*C251),4)</f>
        <v>0</v>
      </c>
      <c r="M251" s="140"/>
      <c r="N251" s="140">
        <f>ROUND(+I251-H251,4)</f>
        <v>0</v>
      </c>
      <c r="O251" s="143">
        <f>ROUND(+(N251)*C251*50%,4)</f>
        <v>0</v>
      </c>
      <c r="P251" s="147">
        <f>ROUND(O251+L251,4)</f>
        <v>0</v>
      </c>
      <c r="Q251" s="80"/>
      <c r="R251" s="81"/>
      <c r="S251" s="84"/>
    </row>
    <row r="252" spans="1:19" x14ac:dyDescent="0.2">
      <c r="A252" s="47"/>
      <c r="B252" s="36"/>
      <c r="C252" s="138"/>
      <c r="D252" s="140"/>
      <c r="E252" s="48"/>
      <c r="F252" s="140"/>
      <c r="G252" s="140"/>
      <c r="H252" s="140">
        <f>ROUND(+D252+F252,4)</f>
        <v>0</v>
      </c>
      <c r="I252" s="140">
        <v>0</v>
      </c>
      <c r="J252" s="140">
        <v>0.03</v>
      </c>
      <c r="K252" s="140">
        <f>ROUND(IF(E252="alluminio",(I252)*3%,0)+IF(E252="alluminio smaltato",(I252)*3%,0),4)</f>
        <v>0</v>
      </c>
      <c r="L252" s="143">
        <f>ROUND((J252*C252)+(K252*C252),4)</f>
        <v>0</v>
      </c>
      <c r="M252" s="140"/>
      <c r="N252" s="140">
        <f>ROUND(+I252-H252,4)</f>
        <v>0</v>
      </c>
      <c r="O252" s="143">
        <f>ROUND(+(N252)*C252*50%,4)</f>
        <v>0</v>
      </c>
      <c r="P252" s="147">
        <f>ROUND(O252+L252,4)</f>
        <v>0</v>
      </c>
      <c r="Q252" s="80"/>
      <c r="R252" s="81"/>
      <c r="S252" s="84"/>
    </row>
    <row r="253" spans="1:19" x14ac:dyDescent="0.2">
      <c r="A253" s="47"/>
      <c r="B253" s="36"/>
      <c r="C253" s="138"/>
      <c r="D253" s="140"/>
      <c r="E253" s="48"/>
      <c r="F253" s="140"/>
      <c r="G253" s="140"/>
      <c r="H253" s="140">
        <f>ROUND(+D253+F253,4)</f>
        <v>0</v>
      </c>
      <c r="I253" s="140">
        <v>0</v>
      </c>
      <c r="J253" s="140">
        <v>0.03</v>
      </c>
      <c r="K253" s="140">
        <f>ROUND(IF(E253="alluminio",(I253)*3%,0)+IF(E253="alluminio smaltato",(I253)*3%,0),4)</f>
        <v>0</v>
      </c>
      <c r="L253" s="143">
        <f>ROUND((J253*C253)+(K253*C253),4)</f>
        <v>0</v>
      </c>
      <c r="M253" s="140"/>
      <c r="N253" s="140">
        <f>ROUND(+I253-H253,4)</f>
        <v>0</v>
      </c>
      <c r="O253" s="143">
        <f>ROUND(+(N253)*C253*50%,4)</f>
        <v>0</v>
      </c>
      <c r="P253" s="147">
        <f>ROUND(O253+L253,4)</f>
        <v>0</v>
      </c>
      <c r="Q253" s="80"/>
      <c r="R253" s="81"/>
      <c r="S253" s="84"/>
    </row>
    <row r="254" spans="1:19" x14ac:dyDescent="0.2">
      <c r="A254" s="47"/>
      <c r="B254" s="36"/>
      <c r="C254" s="138"/>
      <c r="D254" s="140"/>
      <c r="E254" s="48"/>
      <c r="F254" s="140"/>
      <c r="G254" s="140"/>
      <c r="H254" s="140">
        <f>ROUND(+D254+F254,4)</f>
        <v>0</v>
      </c>
      <c r="I254" s="140">
        <v>0</v>
      </c>
      <c r="J254" s="140">
        <v>0.03</v>
      </c>
      <c r="K254" s="140">
        <f>ROUND(IF(E254="alluminio",(I254)*3%,0)+IF(E254="alluminio smaltato",(I254)*3%,0),4)</f>
        <v>0</v>
      </c>
      <c r="L254" s="143">
        <f>ROUND((J254*C254)+(K254*C254),4)</f>
        <v>0</v>
      </c>
      <c r="M254" s="140"/>
      <c r="N254" s="140">
        <f>ROUND(+I254-H254,4)</f>
        <v>0</v>
      </c>
      <c r="O254" s="143">
        <f>ROUND(+(N254)*C254*50%,4)</f>
        <v>0</v>
      </c>
      <c r="P254" s="147">
        <f>ROUND(O254+L254,4)</f>
        <v>0</v>
      </c>
      <c r="Q254" s="80"/>
      <c r="R254" s="81"/>
      <c r="S254" s="84"/>
    </row>
    <row r="255" spans="1:19" x14ac:dyDescent="0.2">
      <c r="A255" s="47"/>
      <c r="B255" s="36"/>
      <c r="C255" s="138"/>
      <c r="D255" s="140"/>
      <c r="E255" s="48"/>
      <c r="F255" s="140"/>
      <c r="G255" s="140"/>
      <c r="H255" s="140">
        <f>ROUND(+D255+F255,4)</f>
        <v>0</v>
      </c>
      <c r="I255" s="140">
        <v>0</v>
      </c>
      <c r="J255" s="140">
        <v>0.03</v>
      </c>
      <c r="K255" s="140">
        <f>ROUND(IF(E255="alluminio",(I255)*3%,0)+IF(E255="alluminio smaltato",(I255)*3%,0),4)</f>
        <v>0</v>
      </c>
      <c r="L255" s="143">
        <f>ROUND((J255*C255)+(K255*C255),4)</f>
        <v>0</v>
      </c>
      <c r="M255" s="140"/>
      <c r="N255" s="140">
        <f>ROUND(+I255-H255,4)</f>
        <v>0</v>
      </c>
      <c r="O255" s="143">
        <f>ROUND(+(N255)*C255*50%,4)</f>
        <v>0</v>
      </c>
      <c r="P255" s="147">
        <f>ROUND(O255+L255,4)</f>
        <v>0</v>
      </c>
      <c r="Q255" s="80"/>
      <c r="R255" s="81"/>
      <c r="S255" s="84"/>
    </row>
    <row r="256" spans="1:19" x14ac:dyDescent="0.2">
      <c r="A256" s="47"/>
      <c r="B256" s="36"/>
      <c r="C256" s="138"/>
      <c r="D256" s="140"/>
      <c r="E256" s="48"/>
      <c r="F256" s="140"/>
      <c r="G256" s="140"/>
      <c r="H256" s="140">
        <f>ROUND(+D256+F256,4)</f>
        <v>0</v>
      </c>
      <c r="I256" s="140">
        <v>0</v>
      </c>
      <c r="J256" s="140">
        <v>0.03</v>
      </c>
      <c r="K256" s="140">
        <f>ROUND(IF(E256="alluminio",(I256)*3%,0)+IF(E256="alluminio smaltato",(I256)*3%,0),4)</f>
        <v>0</v>
      </c>
      <c r="L256" s="143">
        <f>ROUND((J256*C256)+(K256*C256),4)</f>
        <v>0</v>
      </c>
      <c r="M256" s="140"/>
      <c r="N256" s="140">
        <f>ROUND(+I256-H256,4)</f>
        <v>0</v>
      </c>
      <c r="O256" s="143">
        <f>ROUND(+(N256)*C256*50%,4)</f>
        <v>0</v>
      </c>
      <c r="P256" s="147">
        <f>ROUND(O256+L256,4)</f>
        <v>0</v>
      </c>
      <c r="Q256" s="80"/>
      <c r="R256" s="81"/>
      <c r="S256" s="84"/>
    </row>
    <row r="257" spans="1:19" x14ac:dyDescent="0.2">
      <c r="A257" s="47"/>
      <c r="B257" s="36"/>
      <c r="C257" s="138"/>
      <c r="D257" s="140"/>
      <c r="E257" s="48"/>
      <c r="F257" s="140"/>
      <c r="G257" s="140"/>
      <c r="H257" s="140">
        <f>ROUND(+D257+F257,4)</f>
        <v>0</v>
      </c>
      <c r="I257" s="140">
        <v>0</v>
      </c>
      <c r="J257" s="140">
        <v>0.03</v>
      </c>
      <c r="K257" s="140">
        <f>ROUND(IF(E257="alluminio",(I257)*3%,0)+IF(E257="alluminio smaltato",(I257)*3%,0),4)</f>
        <v>0</v>
      </c>
      <c r="L257" s="143">
        <f>ROUND((J257*C257)+(K257*C257),4)</f>
        <v>0</v>
      </c>
      <c r="M257" s="140"/>
      <c r="N257" s="140">
        <f>ROUND(+I257-H257,4)</f>
        <v>0</v>
      </c>
      <c r="O257" s="143">
        <f>ROUND(+(N257)*C257*50%,4)</f>
        <v>0</v>
      </c>
      <c r="P257" s="147">
        <f>ROUND(O257+L257,4)</f>
        <v>0</v>
      </c>
      <c r="Q257" s="80"/>
      <c r="R257" s="81"/>
      <c r="S257" s="84"/>
    </row>
    <row r="258" spans="1:19" x14ac:dyDescent="0.2">
      <c r="A258" s="47"/>
      <c r="B258" s="36"/>
      <c r="C258" s="138"/>
      <c r="D258" s="140"/>
      <c r="E258" s="48"/>
      <c r="F258" s="140"/>
      <c r="G258" s="140"/>
      <c r="H258" s="140">
        <f>ROUND(+D258+F258,4)</f>
        <v>0</v>
      </c>
      <c r="I258" s="140">
        <v>0</v>
      </c>
      <c r="J258" s="140">
        <v>0.03</v>
      </c>
      <c r="K258" s="140">
        <f>ROUND(IF(E258="alluminio",(I258)*3%,0)+IF(E258="alluminio smaltato",(I258)*3%,0),4)</f>
        <v>0</v>
      </c>
      <c r="L258" s="143">
        <f>ROUND((J258*C258)+(K258*C258),4)</f>
        <v>0</v>
      </c>
      <c r="M258" s="140"/>
      <c r="N258" s="140">
        <f>ROUND(+I258-H258,4)</f>
        <v>0</v>
      </c>
      <c r="O258" s="143">
        <f>ROUND(+(N258)*C258*50%,4)</f>
        <v>0</v>
      </c>
      <c r="P258" s="147">
        <f>ROUND(O258+L258,4)</f>
        <v>0</v>
      </c>
      <c r="Q258" s="80"/>
      <c r="R258" s="81"/>
      <c r="S258" s="84"/>
    </row>
    <row r="259" spans="1:19" x14ac:dyDescent="0.2">
      <c r="A259" s="47"/>
      <c r="B259" s="36"/>
      <c r="C259" s="138"/>
      <c r="D259" s="140"/>
      <c r="E259" s="48"/>
      <c r="F259" s="140"/>
      <c r="G259" s="140"/>
      <c r="H259" s="140">
        <f>ROUND(+D259+F259,4)</f>
        <v>0</v>
      </c>
      <c r="I259" s="140">
        <v>0</v>
      </c>
      <c r="J259" s="140">
        <v>0.03</v>
      </c>
      <c r="K259" s="140">
        <f>ROUND(IF(E259="alluminio",(I259)*3%,0)+IF(E259="alluminio smaltato",(I259)*3%,0),4)</f>
        <v>0</v>
      </c>
      <c r="L259" s="143">
        <f>ROUND((J259*C259)+(K259*C259),4)</f>
        <v>0</v>
      </c>
      <c r="M259" s="140"/>
      <c r="N259" s="140">
        <f>ROUND(+I259-H259,4)</f>
        <v>0</v>
      </c>
      <c r="O259" s="143">
        <f>ROUND(+(N259)*C259*50%,4)</f>
        <v>0</v>
      </c>
      <c r="P259" s="147">
        <f>ROUND(O259+L259,4)</f>
        <v>0</v>
      </c>
      <c r="Q259" s="80"/>
      <c r="R259" s="81"/>
      <c r="S259" s="84"/>
    </row>
    <row r="260" spans="1:19" x14ac:dyDescent="0.2">
      <c r="A260" s="47"/>
      <c r="B260" s="36"/>
      <c r="C260" s="138"/>
      <c r="D260" s="140"/>
      <c r="E260" s="48"/>
      <c r="F260" s="140"/>
      <c r="G260" s="140"/>
      <c r="H260" s="140">
        <f>ROUND(+D260+F260,4)</f>
        <v>0</v>
      </c>
      <c r="I260" s="140">
        <v>0</v>
      </c>
      <c r="J260" s="140">
        <v>0.03</v>
      </c>
      <c r="K260" s="140">
        <f>ROUND(IF(E260="alluminio",(I260)*3%,0)+IF(E260="alluminio smaltato",(I260)*3%,0),4)</f>
        <v>0</v>
      </c>
      <c r="L260" s="143">
        <f>ROUND((J260*C260)+(K260*C260),4)</f>
        <v>0</v>
      </c>
      <c r="M260" s="140"/>
      <c r="N260" s="140">
        <f>ROUND(+I260-H260,4)</f>
        <v>0</v>
      </c>
      <c r="O260" s="143">
        <f>ROUND(+(N260)*C260*50%,4)</f>
        <v>0</v>
      </c>
      <c r="P260" s="147">
        <f>ROUND(O260+L260,4)</f>
        <v>0</v>
      </c>
      <c r="Q260" s="80"/>
      <c r="R260" s="81"/>
      <c r="S260" s="84"/>
    </row>
    <row r="261" spans="1:19" x14ac:dyDescent="0.2">
      <c r="A261" s="47"/>
      <c r="B261" s="36"/>
      <c r="C261" s="138"/>
      <c r="D261" s="140"/>
      <c r="E261" s="48"/>
      <c r="F261" s="140"/>
      <c r="G261" s="140"/>
      <c r="H261" s="140">
        <f>ROUND(+D261+F261,4)</f>
        <v>0</v>
      </c>
      <c r="I261" s="140">
        <v>0</v>
      </c>
      <c r="J261" s="140">
        <v>0.03</v>
      </c>
      <c r="K261" s="140">
        <f>ROUND(IF(E261="alluminio",(I261)*3%,0)+IF(E261="alluminio smaltato",(I261)*3%,0),4)</f>
        <v>0</v>
      </c>
      <c r="L261" s="143">
        <f>ROUND((J261*C261)+(K261*C261),4)</f>
        <v>0</v>
      </c>
      <c r="M261" s="140"/>
      <c r="N261" s="140">
        <f>ROUND(+I261-H261,4)</f>
        <v>0</v>
      </c>
      <c r="O261" s="143">
        <f>ROUND(+(N261)*C261*50%,4)</f>
        <v>0</v>
      </c>
      <c r="P261" s="147">
        <f>ROUND(O261+L261,4)</f>
        <v>0</v>
      </c>
      <c r="Q261" s="80"/>
      <c r="R261" s="81"/>
      <c r="S261" s="84"/>
    </row>
    <row r="262" spans="1:19" x14ac:dyDescent="0.2">
      <c r="A262" s="47"/>
      <c r="B262" s="36"/>
      <c r="C262" s="138"/>
      <c r="D262" s="140"/>
      <c r="E262" s="48"/>
      <c r="F262" s="140"/>
      <c r="G262" s="140"/>
      <c r="H262" s="140">
        <f>ROUND(+D262+F262,4)</f>
        <v>0</v>
      </c>
      <c r="I262" s="140">
        <v>0</v>
      </c>
      <c r="J262" s="140">
        <v>0.03</v>
      </c>
      <c r="K262" s="140">
        <f>ROUND(IF(E262="alluminio",(I262)*3%,0)+IF(E262="alluminio smaltato",(I262)*3%,0),4)</f>
        <v>0</v>
      </c>
      <c r="L262" s="143">
        <f>ROUND((J262*C262)+(K262*C262),4)</f>
        <v>0</v>
      </c>
      <c r="M262" s="140"/>
      <c r="N262" s="140">
        <f>ROUND(+I262-H262,4)</f>
        <v>0</v>
      </c>
      <c r="O262" s="143">
        <f>ROUND(+(N262)*C262*50%,4)</f>
        <v>0</v>
      </c>
      <c r="P262" s="147">
        <f>ROUND(O262+L262,4)</f>
        <v>0</v>
      </c>
      <c r="Q262" s="80"/>
      <c r="R262" s="81"/>
      <c r="S262" s="84"/>
    </row>
    <row r="263" spans="1:19" x14ac:dyDescent="0.2">
      <c r="A263" s="47"/>
      <c r="B263" s="36"/>
      <c r="C263" s="138"/>
      <c r="D263" s="140"/>
      <c r="E263" s="48"/>
      <c r="F263" s="140"/>
      <c r="G263" s="140"/>
      <c r="H263" s="140">
        <f>ROUND(+D263+F263,4)</f>
        <v>0</v>
      </c>
      <c r="I263" s="140">
        <v>0</v>
      </c>
      <c r="J263" s="140">
        <v>0.03</v>
      </c>
      <c r="K263" s="140">
        <f>ROUND(IF(E263="alluminio",(I263)*3%,0)+IF(E263="alluminio smaltato",(I263)*3%,0),4)</f>
        <v>0</v>
      </c>
      <c r="L263" s="143">
        <f>ROUND((J263*C263)+(K263*C263),4)</f>
        <v>0</v>
      </c>
      <c r="M263" s="140"/>
      <c r="N263" s="140">
        <f>ROUND(+I263-H263,4)</f>
        <v>0</v>
      </c>
      <c r="O263" s="143">
        <f>ROUND(+(N263)*C263*50%,4)</f>
        <v>0</v>
      </c>
      <c r="P263" s="147">
        <f>ROUND(O263+L263,4)</f>
        <v>0</v>
      </c>
      <c r="Q263" s="80"/>
      <c r="R263" s="81"/>
      <c r="S263" s="84"/>
    </row>
    <row r="264" spans="1:19" x14ac:dyDescent="0.2">
      <c r="A264" s="47"/>
      <c r="B264" s="36"/>
      <c r="C264" s="138"/>
      <c r="D264" s="140"/>
      <c r="E264" s="48"/>
      <c r="F264" s="140"/>
      <c r="G264" s="140"/>
      <c r="H264" s="140">
        <f>ROUND(+D264+F264,4)</f>
        <v>0</v>
      </c>
      <c r="I264" s="140">
        <v>0</v>
      </c>
      <c r="J264" s="140">
        <v>0.03</v>
      </c>
      <c r="K264" s="140">
        <f>ROUND(IF(E264="alluminio",(I264)*3%,0)+IF(E264="alluminio smaltato",(I264)*3%,0),4)</f>
        <v>0</v>
      </c>
      <c r="L264" s="143">
        <f>ROUND((J264*C264)+(K264*C264),4)</f>
        <v>0</v>
      </c>
      <c r="M264" s="140"/>
      <c r="N264" s="140">
        <f>ROUND(+I264-H264,4)</f>
        <v>0</v>
      </c>
      <c r="O264" s="143">
        <f>ROUND(+(N264)*C264*50%,4)</f>
        <v>0</v>
      </c>
      <c r="P264" s="147">
        <f>ROUND(O264+L264,4)</f>
        <v>0</v>
      </c>
      <c r="Q264" s="80"/>
      <c r="R264" s="81"/>
      <c r="S264" s="84"/>
    </row>
    <row r="265" spans="1:19" x14ac:dyDescent="0.2">
      <c r="A265" s="47"/>
      <c r="B265" s="36"/>
      <c r="C265" s="138"/>
      <c r="D265" s="140"/>
      <c r="E265" s="48"/>
      <c r="F265" s="140"/>
      <c r="G265" s="140"/>
      <c r="H265" s="140">
        <f>ROUND(+D265+F265,4)</f>
        <v>0</v>
      </c>
      <c r="I265" s="140">
        <v>0</v>
      </c>
      <c r="J265" s="140">
        <v>0.03</v>
      </c>
      <c r="K265" s="140">
        <f>ROUND(IF(E265="alluminio",(I265)*3%,0)+IF(E265="alluminio smaltato",(I265)*3%,0),4)</f>
        <v>0</v>
      </c>
      <c r="L265" s="143">
        <f>ROUND((J265*C265)+(K265*C265),4)</f>
        <v>0</v>
      </c>
      <c r="M265" s="140"/>
      <c r="N265" s="140">
        <f>ROUND(+I265-H265,4)</f>
        <v>0</v>
      </c>
      <c r="O265" s="143">
        <f>ROUND(+(N265)*C265*50%,4)</f>
        <v>0</v>
      </c>
      <c r="P265" s="147">
        <f>ROUND(O265+L265,4)</f>
        <v>0</v>
      </c>
      <c r="Q265" s="80"/>
      <c r="R265" s="81"/>
      <c r="S265" s="84"/>
    </row>
    <row r="266" spans="1:19" x14ac:dyDescent="0.2">
      <c r="A266" s="47"/>
      <c r="B266" s="36"/>
      <c r="C266" s="138"/>
      <c r="D266" s="140"/>
      <c r="E266" s="48"/>
      <c r="F266" s="140"/>
      <c r="G266" s="140"/>
      <c r="H266" s="140">
        <f>ROUND(+D266+F266,4)</f>
        <v>0</v>
      </c>
      <c r="I266" s="140">
        <v>0</v>
      </c>
      <c r="J266" s="140">
        <v>0.03</v>
      </c>
      <c r="K266" s="140">
        <f>ROUND(IF(E266="alluminio",(I266)*3%,0)+IF(E266="alluminio smaltato",(I266)*3%,0),4)</f>
        <v>0</v>
      </c>
      <c r="L266" s="143">
        <f>ROUND((J266*C266)+(K266*C266),4)</f>
        <v>0</v>
      </c>
      <c r="M266" s="140"/>
      <c r="N266" s="140">
        <f>ROUND(+I266-H266,4)</f>
        <v>0</v>
      </c>
      <c r="O266" s="143">
        <f>ROUND(+(N266)*C266*50%,4)</f>
        <v>0</v>
      </c>
      <c r="P266" s="147">
        <f>ROUND(O266+L266,4)</f>
        <v>0</v>
      </c>
      <c r="Q266" s="80"/>
      <c r="R266" s="81"/>
      <c r="S266" s="84"/>
    </row>
    <row r="267" spans="1:19" x14ac:dyDescent="0.2">
      <c r="A267" s="47"/>
      <c r="B267" s="36"/>
      <c r="C267" s="138"/>
      <c r="D267" s="140"/>
      <c r="E267" s="48"/>
      <c r="F267" s="140"/>
      <c r="G267" s="140"/>
      <c r="H267" s="140">
        <f>ROUND(+D267+F267,4)</f>
        <v>0</v>
      </c>
      <c r="I267" s="140">
        <v>0</v>
      </c>
      <c r="J267" s="140">
        <v>0.03</v>
      </c>
      <c r="K267" s="140">
        <f>ROUND(IF(E267="alluminio",(I267)*3%,0)+IF(E267="alluminio smaltato",(I267)*3%,0),4)</f>
        <v>0</v>
      </c>
      <c r="L267" s="143">
        <f>ROUND((J267*C267)+(K267*C267),4)</f>
        <v>0</v>
      </c>
      <c r="M267" s="140"/>
      <c r="N267" s="140">
        <f>ROUND(+I267-H267,4)</f>
        <v>0</v>
      </c>
      <c r="O267" s="143">
        <f>ROUND(+(N267)*C267*50%,4)</f>
        <v>0</v>
      </c>
      <c r="P267" s="147">
        <f>ROUND(O267+L267,4)</f>
        <v>0</v>
      </c>
      <c r="Q267" s="80"/>
      <c r="R267" s="81"/>
      <c r="S267" s="84"/>
    </row>
    <row r="268" spans="1:19" x14ac:dyDescent="0.2">
      <c r="A268" s="47"/>
      <c r="B268" s="36"/>
      <c r="C268" s="138"/>
      <c r="D268" s="140"/>
      <c r="E268" s="48"/>
      <c r="F268" s="140"/>
      <c r="G268" s="140"/>
      <c r="H268" s="140">
        <f>ROUND(+D268+F268,4)</f>
        <v>0</v>
      </c>
      <c r="I268" s="140">
        <v>0</v>
      </c>
      <c r="J268" s="140">
        <v>0.03</v>
      </c>
      <c r="K268" s="140">
        <f>ROUND(IF(E268="alluminio",(I268)*3%,0)+IF(E268="alluminio smaltato",(I268)*3%,0),4)</f>
        <v>0</v>
      </c>
      <c r="L268" s="143">
        <f>ROUND((J268*C268)+(K268*C268),4)</f>
        <v>0</v>
      </c>
      <c r="M268" s="140"/>
      <c r="N268" s="140">
        <f>ROUND(+I268-H268,4)</f>
        <v>0</v>
      </c>
      <c r="O268" s="143">
        <f>ROUND(+(N268)*C268*50%,4)</f>
        <v>0</v>
      </c>
      <c r="P268" s="147">
        <f>ROUND(O268+L268,4)</f>
        <v>0</v>
      </c>
      <c r="Q268" s="80"/>
      <c r="R268" s="81"/>
      <c r="S268" s="84"/>
    </row>
    <row r="269" spans="1:19" x14ac:dyDescent="0.2">
      <c r="A269" s="47"/>
      <c r="B269" s="36"/>
      <c r="C269" s="138"/>
      <c r="D269" s="140"/>
      <c r="E269" s="48"/>
      <c r="F269" s="140"/>
      <c r="G269" s="140"/>
      <c r="H269" s="140">
        <f>ROUND(+D269+F269,4)</f>
        <v>0</v>
      </c>
      <c r="I269" s="140">
        <v>0</v>
      </c>
      <c r="J269" s="140">
        <v>0.03</v>
      </c>
      <c r="K269" s="140">
        <f>ROUND(IF(E269="alluminio",(I269)*3%,0)+IF(E269="alluminio smaltato",(I269)*3%,0),4)</f>
        <v>0</v>
      </c>
      <c r="L269" s="143">
        <f>ROUND((J269*C269)+(K269*C269),4)</f>
        <v>0</v>
      </c>
      <c r="M269" s="140"/>
      <c r="N269" s="140">
        <f>ROUND(+I269-H269,4)</f>
        <v>0</v>
      </c>
      <c r="O269" s="143">
        <f>ROUND(+(N269)*C269*50%,4)</f>
        <v>0</v>
      </c>
      <c r="P269" s="147">
        <f>ROUND(O269+L269,4)</f>
        <v>0</v>
      </c>
      <c r="Q269" s="80"/>
      <c r="R269" s="81"/>
      <c r="S269" s="84"/>
    </row>
    <row r="270" spans="1:19" x14ac:dyDescent="0.2">
      <c r="A270" s="47"/>
      <c r="B270" s="36"/>
      <c r="C270" s="138"/>
      <c r="D270" s="140"/>
      <c r="E270" s="48"/>
      <c r="F270" s="140"/>
      <c r="G270" s="140"/>
      <c r="H270" s="140">
        <f>ROUND(+D270+F270,4)</f>
        <v>0</v>
      </c>
      <c r="I270" s="140">
        <v>0</v>
      </c>
      <c r="J270" s="140">
        <v>0.03</v>
      </c>
      <c r="K270" s="140">
        <f>ROUND(IF(E270="alluminio",(I270)*3%,0)+IF(E270="alluminio smaltato",(I270)*3%,0),4)</f>
        <v>0</v>
      </c>
      <c r="L270" s="143">
        <f>ROUND((J270*C270)+(K270*C270),4)</f>
        <v>0</v>
      </c>
      <c r="M270" s="140"/>
      <c r="N270" s="140">
        <f>ROUND(+I270-H270,4)</f>
        <v>0</v>
      </c>
      <c r="O270" s="143">
        <f>ROUND(+(N270)*C270*50%,4)</f>
        <v>0</v>
      </c>
      <c r="P270" s="147">
        <f>ROUND(O270+L270,4)</f>
        <v>0</v>
      </c>
      <c r="Q270" s="80"/>
      <c r="R270" s="81"/>
      <c r="S270" s="84"/>
    </row>
    <row r="271" spans="1:19" x14ac:dyDescent="0.2">
      <c r="A271" s="47"/>
      <c r="B271" s="36"/>
      <c r="C271" s="138"/>
      <c r="D271" s="140"/>
      <c r="E271" s="48"/>
      <c r="F271" s="140"/>
      <c r="G271" s="140"/>
      <c r="H271" s="140">
        <f>ROUND(+D271+F271,4)</f>
        <v>0</v>
      </c>
      <c r="I271" s="140">
        <v>0</v>
      </c>
      <c r="J271" s="140">
        <v>0.03</v>
      </c>
      <c r="K271" s="140">
        <f>ROUND(IF(E271="alluminio",(I271)*3%,0)+IF(E271="alluminio smaltato",(I271)*3%,0),4)</f>
        <v>0</v>
      </c>
      <c r="L271" s="143">
        <f>ROUND((J271*C271)+(K271*C271),4)</f>
        <v>0</v>
      </c>
      <c r="M271" s="140"/>
      <c r="N271" s="140">
        <f>ROUND(+I271-H271,4)</f>
        <v>0</v>
      </c>
      <c r="O271" s="143">
        <f>ROUND(+(N271)*C271*50%,4)</f>
        <v>0</v>
      </c>
      <c r="P271" s="147">
        <f>ROUND(O271+L271,4)</f>
        <v>0</v>
      </c>
      <c r="Q271" s="80"/>
      <c r="R271" s="81"/>
      <c r="S271" s="84"/>
    </row>
    <row r="272" spans="1:19" x14ac:dyDescent="0.2">
      <c r="A272" s="47"/>
      <c r="B272" s="36"/>
      <c r="C272" s="138"/>
      <c r="D272" s="140"/>
      <c r="E272" s="48"/>
      <c r="F272" s="140"/>
      <c r="G272" s="140"/>
      <c r="H272" s="140">
        <f>ROUND(+D272+F272,4)</f>
        <v>0</v>
      </c>
      <c r="I272" s="140">
        <v>0</v>
      </c>
      <c r="J272" s="140">
        <v>0.03</v>
      </c>
      <c r="K272" s="140">
        <f>ROUND(IF(E272="alluminio",(I272)*3%,0)+IF(E272="alluminio smaltato",(I272)*3%,0),4)</f>
        <v>0</v>
      </c>
      <c r="L272" s="143">
        <f>ROUND((J272*C272)+(K272*C272),4)</f>
        <v>0</v>
      </c>
      <c r="M272" s="140"/>
      <c r="N272" s="140">
        <f>ROUND(+I272-H272,4)</f>
        <v>0</v>
      </c>
      <c r="O272" s="143">
        <f>ROUND(+(N272)*C272*50%,4)</f>
        <v>0</v>
      </c>
      <c r="P272" s="147">
        <f>ROUND(O272+L272,4)</f>
        <v>0</v>
      </c>
      <c r="Q272" s="80"/>
      <c r="R272" s="81"/>
      <c r="S272" s="84"/>
    </row>
    <row r="273" spans="1:19" x14ac:dyDescent="0.2">
      <c r="A273" s="47"/>
      <c r="B273" s="36"/>
      <c r="C273" s="138"/>
      <c r="D273" s="140"/>
      <c r="E273" s="48"/>
      <c r="F273" s="140"/>
      <c r="G273" s="140"/>
      <c r="H273" s="140">
        <f>ROUND(+D273+F273,4)</f>
        <v>0</v>
      </c>
      <c r="I273" s="140">
        <v>0</v>
      </c>
      <c r="J273" s="140">
        <v>0.03</v>
      </c>
      <c r="K273" s="140">
        <f>ROUND(IF(E273="alluminio",(I273)*3%,0)+IF(E273="alluminio smaltato",(I273)*3%,0),4)</f>
        <v>0</v>
      </c>
      <c r="L273" s="143">
        <f>ROUND((J273*C273)+(K273*C273),4)</f>
        <v>0</v>
      </c>
      <c r="M273" s="140"/>
      <c r="N273" s="140">
        <f>ROUND(+I273-H273,4)</f>
        <v>0</v>
      </c>
      <c r="O273" s="143">
        <f>ROUND(+(N273)*C273*50%,4)</f>
        <v>0</v>
      </c>
      <c r="P273" s="147">
        <f>ROUND(O273+L273,4)</f>
        <v>0</v>
      </c>
      <c r="Q273" s="80"/>
      <c r="R273" s="81"/>
      <c r="S273" s="84"/>
    </row>
    <row r="274" spans="1:19" x14ac:dyDescent="0.2">
      <c r="A274" s="47"/>
      <c r="B274" s="36"/>
      <c r="C274" s="138"/>
      <c r="D274" s="140"/>
      <c r="E274" s="48"/>
      <c r="F274" s="140"/>
      <c r="G274" s="140"/>
      <c r="H274" s="140">
        <f>ROUND(+D274+F274,4)</f>
        <v>0</v>
      </c>
      <c r="I274" s="140">
        <v>0</v>
      </c>
      <c r="J274" s="140">
        <v>0.03</v>
      </c>
      <c r="K274" s="140">
        <f>ROUND(IF(E274="alluminio",(I274)*3%,0)+IF(E274="alluminio smaltato",(I274)*3%,0),4)</f>
        <v>0</v>
      </c>
      <c r="L274" s="143">
        <f>ROUND((J274*C274)+(K274*C274),4)</f>
        <v>0</v>
      </c>
      <c r="M274" s="140"/>
      <c r="N274" s="140">
        <f>ROUND(+I274-H274,4)</f>
        <v>0</v>
      </c>
      <c r="O274" s="143">
        <f>ROUND(+(N274)*C274*50%,4)</f>
        <v>0</v>
      </c>
      <c r="P274" s="147">
        <f>ROUND(O274+L274,4)</f>
        <v>0</v>
      </c>
      <c r="Q274" s="80"/>
      <c r="R274" s="81"/>
      <c r="S274" s="84"/>
    </row>
    <row r="275" spans="1:19" x14ac:dyDescent="0.2">
      <c r="A275" s="47"/>
      <c r="B275" s="36"/>
      <c r="C275" s="138"/>
      <c r="D275" s="140"/>
      <c r="E275" s="48"/>
      <c r="F275" s="140"/>
      <c r="G275" s="140"/>
      <c r="H275" s="140">
        <f>ROUND(+D275+F275,4)</f>
        <v>0</v>
      </c>
      <c r="I275" s="140">
        <v>0</v>
      </c>
      <c r="J275" s="140">
        <v>0.03</v>
      </c>
      <c r="K275" s="140">
        <f>ROUND(IF(E275="alluminio",(I275)*3%,0)+IF(E275="alluminio smaltato",(I275)*3%,0),4)</f>
        <v>0</v>
      </c>
      <c r="L275" s="143">
        <f>ROUND((J275*C275)+(K275*C275),4)</f>
        <v>0</v>
      </c>
      <c r="M275" s="140"/>
      <c r="N275" s="140">
        <f>ROUND(+I275-H275,4)</f>
        <v>0</v>
      </c>
      <c r="O275" s="143">
        <f>ROUND(+(N275)*C275*50%,4)</f>
        <v>0</v>
      </c>
      <c r="P275" s="147">
        <f>ROUND(O275+L275,4)</f>
        <v>0</v>
      </c>
      <c r="Q275" s="80"/>
      <c r="R275" s="81"/>
      <c r="S275" s="84"/>
    </row>
    <row r="276" spans="1:19" x14ac:dyDescent="0.2">
      <c r="A276" s="47"/>
      <c r="B276" s="36"/>
      <c r="C276" s="138"/>
      <c r="D276" s="140"/>
      <c r="E276" s="48"/>
      <c r="F276" s="140"/>
      <c r="G276" s="140"/>
      <c r="H276" s="140">
        <f>ROUND(+D276+F276,4)</f>
        <v>0</v>
      </c>
      <c r="I276" s="140">
        <v>0</v>
      </c>
      <c r="J276" s="140">
        <v>0.03</v>
      </c>
      <c r="K276" s="140">
        <f>ROUND(IF(E276="alluminio",(I276)*3%,0)+IF(E276="alluminio smaltato",(I276)*3%,0),4)</f>
        <v>0</v>
      </c>
      <c r="L276" s="143">
        <f>ROUND((J276*C276)+(K276*C276),4)</f>
        <v>0</v>
      </c>
      <c r="M276" s="140"/>
      <c r="N276" s="140">
        <f>ROUND(+I276-H276,4)</f>
        <v>0</v>
      </c>
      <c r="O276" s="143">
        <f>ROUND(+(N276)*C276*50%,4)</f>
        <v>0</v>
      </c>
      <c r="P276" s="147">
        <f>ROUND(O276+L276,4)</f>
        <v>0</v>
      </c>
      <c r="Q276" s="80"/>
      <c r="R276" s="81"/>
      <c r="S276" s="84"/>
    </row>
    <row r="277" spans="1:19" x14ac:dyDescent="0.2">
      <c r="A277" s="47"/>
      <c r="B277" s="36"/>
      <c r="C277" s="138"/>
      <c r="D277" s="140"/>
      <c r="E277" s="48"/>
      <c r="F277" s="140"/>
      <c r="G277" s="140"/>
      <c r="H277" s="140">
        <f>ROUND(+D277+F277,4)</f>
        <v>0</v>
      </c>
      <c r="I277" s="140">
        <v>0</v>
      </c>
      <c r="J277" s="140">
        <v>0.03</v>
      </c>
      <c r="K277" s="140">
        <f>ROUND(IF(E277="alluminio",(I277)*3%,0)+IF(E277="alluminio smaltato",(I277)*3%,0),4)</f>
        <v>0</v>
      </c>
      <c r="L277" s="143">
        <f>ROUND((J277*C277)+(K277*C277),4)</f>
        <v>0</v>
      </c>
      <c r="M277" s="140"/>
      <c r="N277" s="140">
        <f>ROUND(+I277-H277,4)</f>
        <v>0</v>
      </c>
      <c r="O277" s="143">
        <f>ROUND(+(N277)*C277*50%,4)</f>
        <v>0</v>
      </c>
      <c r="P277" s="147">
        <f>ROUND(O277+L277,4)</f>
        <v>0</v>
      </c>
      <c r="Q277" s="80"/>
      <c r="R277" s="81"/>
      <c r="S277" s="84"/>
    </row>
    <row r="278" spans="1:19" x14ac:dyDescent="0.2">
      <c r="A278" s="47"/>
      <c r="B278" s="36"/>
      <c r="C278" s="138"/>
      <c r="D278" s="140"/>
      <c r="E278" s="48"/>
      <c r="F278" s="140"/>
      <c r="G278" s="140"/>
      <c r="H278" s="140">
        <f>ROUND(+D278+F278,4)</f>
        <v>0</v>
      </c>
      <c r="I278" s="140">
        <v>0</v>
      </c>
      <c r="J278" s="140">
        <v>0.03</v>
      </c>
      <c r="K278" s="140">
        <f>ROUND(IF(E278="alluminio",(I278)*3%,0)+IF(E278="alluminio smaltato",(I278)*3%,0),4)</f>
        <v>0</v>
      </c>
      <c r="L278" s="143">
        <f>ROUND((J278*C278)+(K278*C278),4)</f>
        <v>0</v>
      </c>
      <c r="M278" s="140"/>
      <c r="N278" s="140">
        <f>ROUND(+I278-H278,4)</f>
        <v>0</v>
      </c>
      <c r="O278" s="143">
        <f>ROUND(+(N278)*C278*50%,4)</f>
        <v>0</v>
      </c>
      <c r="P278" s="147">
        <f>ROUND(O278+L278,4)</f>
        <v>0</v>
      </c>
      <c r="Q278" s="80"/>
      <c r="R278" s="81"/>
      <c r="S278" s="84"/>
    </row>
    <row r="279" spans="1:19" x14ac:dyDescent="0.2">
      <c r="A279" s="47"/>
      <c r="B279" s="36"/>
      <c r="C279" s="138"/>
      <c r="D279" s="140"/>
      <c r="E279" s="48"/>
      <c r="F279" s="140"/>
      <c r="G279" s="140"/>
      <c r="H279" s="140">
        <f>ROUND(+D279+F279,4)</f>
        <v>0</v>
      </c>
      <c r="I279" s="140">
        <v>0</v>
      </c>
      <c r="J279" s="140">
        <v>0.03</v>
      </c>
      <c r="K279" s="140">
        <f>ROUND(IF(E279="alluminio",(I279)*3%,0)+IF(E279="alluminio smaltato",(I279)*3%,0),4)</f>
        <v>0</v>
      </c>
      <c r="L279" s="143">
        <f>ROUND((J279*C279)+(K279*C279),4)</f>
        <v>0</v>
      </c>
      <c r="M279" s="140"/>
      <c r="N279" s="140">
        <f>ROUND(+I279-H279,4)</f>
        <v>0</v>
      </c>
      <c r="O279" s="143">
        <f>ROUND(+(N279)*C279*50%,4)</f>
        <v>0</v>
      </c>
      <c r="P279" s="147">
        <f>ROUND(O279+L279,4)</f>
        <v>0</v>
      </c>
      <c r="Q279" s="80"/>
      <c r="R279" s="81"/>
      <c r="S279" s="84"/>
    </row>
    <row r="280" spans="1:19" x14ac:dyDescent="0.2">
      <c r="A280" s="47"/>
      <c r="B280" s="36"/>
      <c r="C280" s="138"/>
      <c r="D280" s="140"/>
      <c r="E280" s="48"/>
      <c r="F280" s="140"/>
      <c r="G280" s="140"/>
      <c r="H280" s="140">
        <f>ROUND(+D280+F280,4)</f>
        <v>0</v>
      </c>
      <c r="I280" s="140">
        <v>0</v>
      </c>
      <c r="J280" s="140">
        <v>0.03</v>
      </c>
      <c r="K280" s="140">
        <f>ROUND(IF(E280="alluminio",(I280)*3%,0)+IF(E280="alluminio smaltato",(I280)*3%,0),4)</f>
        <v>0</v>
      </c>
      <c r="L280" s="143">
        <f>ROUND((J280*C280)+(K280*C280),4)</f>
        <v>0</v>
      </c>
      <c r="M280" s="140"/>
      <c r="N280" s="140">
        <f>ROUND(+I280-H280,4)</f>
        <v>0</v>
      </c>
      <c r="O280" s="143">
        <f>ROUND(+(N280)*C280*50%,4)</f>
        <v>0</v>
      </c>
      <c r="P280" s="147">
        <f>ROUND(O280+L280,4)</f>
        <v>0</v>
      </c>
      <c r="Q280" s="80"/>
      <c r="R280" s="81"/>
      <c r="S280" s="84"/>
    </row>
    <row r="281" spans="1:19" x14ac:dyDescent="0.2">
      <c r="A281" s="47"/>
      <c r="B281" s="36"/>
      <c r="C281" s="138"/>
      <c r="D281" s="140"/>
      <c r="E281" s="48"/>
      <c r="F281" s="140"/>
      <c r="G281" s="140"/>
      <c r="H281" s="140">
        <f>ROUND(+D281+F281,4)</f>
        <v>0</v>
      </c>
      <c r="I281" s="140">
        <v>0</v>
      </c>
      <c r="J281" s="140">
        <v>0.03</v>
      </c>
      <c r="K281" s="140">
        <f>ROUND(IF(E281="alluminio",(I281)*3%,0)+IF(E281="alluminio smaltato",(I281)*3%,0),4)</f>
        <v>0</v>
      </c>
      <c r="L281" s="143">
        <f>ROUND((J281*C281)+(K281*C281),4)</f>
        <v>0</v>
      </c>
      <c r="M281" s="140"/>
      <c r="N281" s="140">
        <f>ROUND(+I281-H281,4)</f>
        <v>0</v>
      </c>
      <c r="O281" s="143">
        <f>ROUND(+(N281)*C281*50%,4)</f>
        <v>0</v>
      </c>
      <c r="P281" s="147">
        <f>ROUND(O281+L281,4)</f>
        <v>0</v>
      </c>
      <c r="Q281" s="80"/>
      <c r="R281" s="81"/>
      <c r="S281" s="84"/>
    </row>
    <row r="282" spans="1:19" x14ac:dyDescent="0.2">
      <c r="A282" s="47"/>
      <c r="B282" s="36"/>
      <c r="C282" s="138"/>
      <c r="D282" s="140"/>
      <c r="E282" s="48"/>
      <c r="F282" s="140"/>
      <c r="G282" s="140"/>
      <c r="H282" s="140">
        <f>ROUND(+D282+F282,4)</f>
        <v>0</v>
      </c>
      <c r="I282" s="140">
        <v>0</v>
      </c>
      <c r="J282" s="140">
        <v>0.03</v>
      </c>
      <c r="K282" s="140">
        <f>ROUND(IF(E282="alluminio",(I282)*3%,0)+IF(E282="alluminio smaltato",(I282)*3%,0),4)</f>
        <v>0</v>
      </c>
      <c r="L282" s="143">
        <f>ROUND((J282*C282)+(K282*C282),4)</f>
        <v>0</v>
      </c>
      <c r="M282" s="140"/>
      <c r="N282" s="140">
        <f>ROUND(+I282-H282,4)</f>
        <v>0</v>
      </c>
      <c r="O282" s="143">
        <f>ROUND(+(N282)*C282*50%,4)</f>
        <v>0</v>
      </c>
      <c r="P282" s="147">
        <f>ROUND(O282+L282,4)</f>
        <v>0</v>
      </c>
      <c r="Q282" s="80"/>
      <c r="R282" s="81"/>
      <c r="S282" s="84"/>
    </row>
    <row r="283" spans="1:19" x14ac:dyDescent="0.2">
      <c r="A283" s="47"/>
      <c r="B283" s="36"/>
      <c r="C283" s="138"/>
      <c r="D283" s="140"/>
      <c r="E283" s="48"/>
      <c r="F283" s="140"/>
      <c r="G283" s="140"/>
      <c r="H283" s="140">
        <f>ROUND(+D283+F283,4)</f>
        <v>0</v>
      </c>
      <c r="I283" s="140">
        <v>0</v>
      </c>
      <c r="J283" s="140">
        <v>0.03</v>
      </c>
      <c r="K283" s="140">
        <f>ROUND(IF(E283="alluminio",(I283)*3%,0)+IF(E283="alluminio smaltato",(I283)*3%,0),4)</f>
        <v>0</v>
      </c>
      <c r="L283" s="143">
        <f>ROUND((J283*C283)+(K283*C283),4)</f>
        <v>0</v>
      </c>
      <c r="M283" s="140"/>
      <c r="N283" s="140">
        <f>ROUND(+I283-H283,4)</f>
        <v>0</v>
      </c>
      <c r="O283" s="143">
        <f>ROUND(+(N283)*C283*50%,4)</f>
        <v>0</v>
      </c>
      <c r="P283" s="147">
        <f>ROUND(O283+L283,4)</f>
        <v>0</v>
      </c>
      <c r="Q283" s="80"/>
      <c r="R283" s="81"/>
      <c r="S283" s="84"/>
    </row>
    <row r="284" spans="1:19" x14ac:dyDescent="0.2">
      <c r="A284" s="47"/>
      <c r="B284" s="36"/>
      <c r="C284" s="138"/>
      <c r="D284" s="140"/>
      <c r="E284" s="48"/>
      <c r="F284" s="140"/>
      <c r="G284" s="140"/>
      <c r="H284" s="140">
        <f>ROUND(+D284+F284,4)</f>
        <v>0</v>
      </c>
      <c r="I284" s="140">
        <v>0</v>
      </c>
      <c r="J284" s="140">
        <v>0.03</v>
      </c>
      <c r="K284" s="140">
        <f>ROUND(IF(E284="alluminio",(I284)*3%,0)+IF(E284="alluminio smaltato",(I284)*3%,0),4)</f>
        <v>0</v>
      </c>
      <c r="L284" s="143">
        <f>ROUND((J284*C284)+(K284*C284),4)</f>
        <v>0</v>
      </c>
      <c r="M284" s="140"/>
      <c r="N284" s="140">
        <f>ROUND(+I284-H284,4)</f>
        <v>0</v>
      </c>
      <c r="O284" s="143">
        <f>ROUND(+(N284)*C284*50%,4)</f>
        <v>0</v>
      </c>
      <c r="P284" s="147">
        <f>ROUND(O284+L284,4)</f>
        <v>0</v>
      </c>
      <c r="Q284" s="80"/>
      <c r="R284" s="81"/>
      <c r="S284" s="84"/>
    </row>
    <row r="285" spans="1:19" x14ac:dyDescent="0.2">
      <c r="A285" s="47"/>
      <c r="B285" s="36"/>
      <c r="C285" s="138"/>
      <c r="D285" s="140"/>
      <c r="E285" s="48"/>
      <c r="F285" s="140"/>
      <c r="G285" s="140"/>
      <c r="H285" s="140">
        <f>ROUND(+D285+F285,4)</f>
        <v>0</v>
      </c>
      <c r="I285" s="140">
        <v>0</v>
      </c>
      <c r="J285" s="140">
        <v>0.03</v>
      </c>
      <c r="K285" s="140">
        <f>ROUND(IF(E285="alluminio",(I285)*3%,0)+IF(E285="alluminio smaltato",(I285)*3%,0),4)</f>
        <v>0</v>
      </c>
      <c r="L285" s="143">
        <f>ROUND((J285*C285)+(K285*C285),4)</f>
        <v>0</v>
      </c>
      <c r="M285" s="140"/>
      <c r="N285" s="140">
        <f>ROUND(+I285-H285,4)</f>
        <v>0</v>
      </c>
      <c r="O285" s="143">
        <f>ROUND(+(N285)*C285*50%,4)</f>
        <v>0</v>
      </c>
      <c r="P285" s="147">
        <f>ROUND(O285+L285,4)</f>
        <v>0</v>
      </c>
      <c r="Q285" s="80"/>
      <c r="R285" s="81"/>
      <c r="S285" s="84"/>
    </row>
    <row r="286" spans="1:19" x14ac:dyDescent="0.2">
      <c r="A286" s="47"/>
      <c r="B286" s="36"/>
      <c r="C286" s="138"/>
      <c r="D286" s="140"/>
      <c r="E286" s="48"/>
      <c r="F286" s="140"/>
      <c r="G286" s="140"/>
      <c r="H286" s="140">
        <f>ROUND(+D286+F286,4)</f>
        <v>0</v>
      </c>
      <c r="I286" s="140">
        <v>0</v>
      </c>
      <c r="J286" s="140">
        <v>0.03</v>
      </c>
      <c r="K286" s="140">
        <f>ROUND(IF(E286="alluminio",(I286)*3%,0)+IF(E286="alluminio smaltato",(I286)*3%,0),4)</f>
        <v>0</v>
      </c>
      <c r="L286" s="143">
        <f>ROUND((J286*C286)+(K286*C286),4)</f>
        <v>0</v>
      </c>
      <c r="M286" s="140"/>
      <c r="N286" s="140">
        <f>ROUND(+I286-H286,4)</f>
        <v>0</v>
      </c>
      <c r="O286" s="143">
        <f>ROUND(+(N286)*C286*50%,4)</f>
        <v>0</v>
      </c>
      <c r="P286" s="147">
        <f>ROUND(O286+L286,4)</f>
        <v>0</v>
      </c>
      <c r="Q286" s="80"/>
      <c r="R286" s="81"/>
      <c r="S286" s="84"/>
    </row>
    <row r="287" spans="1:19" x14ac:dyDescent="0.2">
      <c r="A287" s="47"/>
      <c r="B287" s="36"/>
      <c r="C287" s="138"/>
      <c r="D287" s="140"/>
      <c r="E287" s="48"/>
      <c r="F287" s="140"/>
      <c r="G287" s="140"/>
      <c r="H287" s="140">
        <f>ROUND(+D287+F287,4)</f>
        <v>0</v>
      </c>
      <c r="I287" s="140">
        <v>0</v>
      </c>
      <c r="J287" s="140">
        <v>0.03</v>
      </c>
      <c r="K287" s="140">
        <f>ROUND(IF(E287="alluminio",(I287)*3%,0)+IF(E287="alluminio smaltato",(I287)*3%,0),4)</f>
        <v>0</v>
      </c>
      <c r="L287" s="143">
        <f>ROUND((J287*C287)+(K287*C287),4)</f>
        <v>0</v>
      </c>
      <c r="M287" s="140"/>
      <c r="N287" s="140">
        <f>ROUND(+I287-H287,4)</f>
        <v>0</v>
      </c>
      <c r="O287" s="143">
        <f>ROUND(+(N287)*C287*50%,4)</f>
        <v>0</v>
      </c>
      <c r="P287" s="147">
        <f>ROUND(O287+L287,4)</f>
        <v>0</v>
      </c>
      <c r="Q287" s="80"/>
      <c r="R287" s="81"/>
      <c r="S287" s="84"/>
    </row>
    <row r="288" spans="1:19" x14ac:dyDescent="0.2">
      <c r="A288" s="47"/>
      <c r="B288" s="36"/>
      <c r="C288" s="138"/>
      <c r="D288" s="140"/>
      <c r="E288" s="48"/>
      <c r="F288" s="140"/>
      <c r="G288" s="140"/>
      <c r="H288" s="140">
        <f>ROUND(+D288+F288,4)</f>
        <v>0</v>
      </c>
      <c r="I288" s="140">
        <v>0</v>
      </c>
      <c r="J288" s="140">
        <v>0.03</v>
      </c>
      <c r="K288" s="140">
        <f>ROUND(IF(E288="alluminio",(I288)*3%,0)+IF(E288="alluminio smaltato",(I288)*3%,0),4)</f>
        <v>0</v>
      </c>
      <c r="L288" s="143">
        <f>ROUND((J288*C288)+(K288*C288),4)</f>
        <v>0</v>
      </c>
      <c r="M288" s="140"/>
      <c r="N288" s="140">
        <f>ROUND(+I288-H288,4)</f>
        <v>0</v>
      </c>
      <c r="O288" s="143">
        <f>ROUND(+(N288)*C288*50%,4)</f>
        <v>0</v>
      </c>
      <c r="P288" s="147">
        <f>ROUND(O288+L288,4)</f>
        <v>0</v>
      </c>
      <c r="Q288" s="80"/>
      <c r="R288" s="81"/>
      <c r="S288" s="84"/>
    </row>
    <row r="289" spans="1:19" x14ac:dyDescent="0.2">
      <c r="A289" s="47"/>
      <c r="B289" s="36"/>
      <c r="C289" s="138"/>
      <c r="D289" s="140"/>
      <c r="E289" s="48"/>
      <c r="F289" s="140"/>
      <c r="G289" s="140"/>
      <c r="H289" s="140">
        <f>ROUND(+D289+F289,4)</f>
        <v>0</v>
      </c>
      <c r="I289" s="140">
        <v>0</v>
      </c>
      <c r="J289" s="140">
        <v>0.03</v>
      </c>
      <c r="K289" s="140">
        <f>ROUND(IF(E289="alluminio",(I289)*3%,0)+IF(E289="alluminio smaltato",(I289)*3%,0),4)</f>
        <v>0</v>
      </c>
      <c r="L289" s="143">
        <f>ROUND((J289*C289)+(K289*C289),4)</f>
        <v>0</v>
      </c>
      <c r="M289" s="140"/>
      <c r="N289" s="140">
        <f>ROUND(+I289-H289,4)</f>
        <v>0</v>
      </c>
      <c r="O289" s="143">
        <f>ROUND(+(N289)*C289*50%,4)</f>
        <v>0</v>
      </c>
      <c r="P289" s="147">
        <f>ROUND(O289+L289,4)</f>
        <v>0</v>
      </c>
      <c r="Q289" s="80"/>
      <c r="R289" s="81"/>
      <c r="S289" s="84"/>
    </row>
    <row r="290" spans="1:19" x14ac:dyDescent="0.2">
      <c r="A290" s="47"/>
      <c r="B290" s="36"/>
      <c r="C290" s="138"/>
      <c r="D290" s="140"/>
      <c r="E290" s="48"/>
      <c r="F290" s="140"/>
      <c r="G290" s="140"/>
      <c r="H290" s="140">
        <f>ROUND(+D290+F290,4)</f>
        <v>0</v>
      </c>
      <c r="I290" s="140">
        <v>0</v>
      </c>
      <c r="J290" s="140">
        <v>0.03</v>
      </c>
      <c r="K290" s="140">
        <f>ROUND(IF(E290="alluminio",(I290)*3%,0)+IF(E290="alluminio smaltato",(I290)*3%,0),4)</f>
        <v>0</v>
      </c>
      <c r="L290" s="143">
        <f>ROUND((J290*C290)+(K290*C290),4)</f>
        <v>0</v>
      </c>
      <c r="M290" s="140"/>
      <c r="N290" s="140">
        <f>ROUND(+I290-H290,4)</f>
        <v>0</v>
      </c>
      <c r="O290" s="143">
        <f>ROUND(+(N290)*C290*50%,4)</f>
        <v>0</v>
      </c>
      <c r="P290" s="147">
        <f>ROUND(O290+L290,4)</f>
        <v>0</v>
      </c>
      <c r="Q290" s="80"/>
      <c r="R290" s="81"/>
      <c r="S290" s="84"/>
    </row>
    <row r="291" spans="1:19" x14ac:dyDescent="0.2">
      <c r="A291" s="47"/>
      <c r="B291" s="36"/>
      <c r="C291" s="138"/>
      <c r="D291" s="140"/>
      <c r="E291" s="48"/>
      <c r="F291" s="140"/>
      <c r="G291" s="140"/>
      <c r="H291" s="140">
        <f>ROUND(+D291+F291,4)</f>
        <v>0</v>
      </c>
      <c r="I291" s="140">
        <v>0</v>
      </c>
      <c r="J291" s="140">
        <v>0.03</v>
      </c>
      <c r="K291" s="140">
        <f>ROUND(IF(E291="alluminio",(I291)*3%,0)+IF(E291="alluminio smaltato",(I291)*3%,0),4)</f>
        <v>0</v>
      </c>
      <c r="L291" s="143">
        <f>ROUND((J291*C291)+(K291*C291),4)</f>
        <v>0</v>
      </c>
      <c r="M291" s="140"/>
      <c r="N291" s="140">
        <f>ROUND(+I291-H291,4)</f>
        <v>0</v>
      </c>
      <c r="O291" s="143">
        <f>ROUND(+(N291)*C291*50%,4)</f>
        <v>0</v>
      </c>
      <c r="P291" s="147">
        <f>ROUND(O291+L291,4)</f>
        <v>0</v>
      </c>
      <c r="Q291" s="80"/>
      <c r="R291" s="81"/>
      <c r="S291" s="84"/>
    </row>
    <row r="292" spans="1:19" x14ac:dyDescent="0.2">
      <c r="A292" s="47"/>
      <c r="B292" s="36"/>
      <c r="C292" s="138"/>
      <c r="D292" s="140"/>
      <c r="E292" s="48"/>
      <c r="F292" s="140"/>
      <c r="G292" s="140"/>
      <c r="H292" s="140">
        <f>ROUND(+D292+F292,4)</f>
        <v>0</v>
      </c>
      <c r="I292" s="140">
        <v>0</v>
      </c>
      <c r="J292" s="140">
        <v>0.03</v>
      </c>
      <c r="K292" s="140">
        <f>ROUND(IF(E292="alluminio",(I292)*3%,0)+IF(E292="alluminio smaltato",(I292)*3%,0),4)</f>
        <v>0</v>
      </c>
      <c r="L292" s="143">
        <f>ROUND((J292*C292)+(K292*C292),4)</f>
        <v>0</v>
      </c>
      <c r="M292" s="140"/>
      <c r="N292" s="140">
        <f>ROUND(+I292-H292,4)</f>
        <v>0</v>
      </c>
      <c r="O292" s="143">
        <f>ROUND(+(N292)*C292*50%,4)</f>
        <v>0</v>
      </c>
      <c r="P292" s="147">
        <f>ROUND(O292+L292,4)</f>
        <v>0</v>
      </c>
      <c r="Q292" s="80"/>
      <c r="R292" s="81"/>
      <c r="S292" s="84"/>
    </row>
    <row r="293" spans="1:19" x14ac:dyDescent="0.2">
      <c r="A293" s="47"/>
      <c r="B293" s="36"/>
      <c r="C293" s="138"/>
      <c r="D293" s="140"/>
      <c r="E293" s="48"/>
      <c r="F293" s="140"/>
      <c r="G293" s="140"/>
      <c r="H293" s="140">
        <f>ROUND(+D293+F293,4)</f>
        <v>0</v>
      </c>
      <c r="I293" s="140">
        <v>0</v>
      </c>
      <c r="J293" s="140">
        <v>0.03</v>
      </c>
      <c r="K293" s="140">
        <f>ROUND(IF(E293="alluminio",(I293)*3%,0)+IF(E293="alluminio smaltato",(I293)*3%,0),4)</f>
        <v>0</v>
      </c>
      <c r="L293" s="143">
        <f>ROUND((J293*C293)+(K293*C293),4)</f>
        <v>0</v>
      </c>
      <c r="M293" s="140"/>
      <c r="N293" s="140">
        <f>ROUND(+I293-H293,4)</f>
        <v>0</v>
      </c>
      <c r="O293" s="143">
        <f>ROUND(+(N293)*C293*50%,4)</f>
        <v>0</v>
      </c>
      <c r="P293" s="147">
        <f>ROUND(O293+L293,4)</f>
        <v>0</v>
      </c>
      <c r="Q293" s="80"/>
      <c r="R293" s="81"/>
      <c r="S293" s="84"/>
    </row>
    <row r="294" spans="1:19" x14ac:dyDescent="0.2">
      <c r="A294" s="47"/>
      <c r="B294" s="36"/>
      <c r="C294" s="138"/>
      <c r="D294" s="140"/>
      <c r="E294" s="48"/>
      <c r="F294" s="140"/>
      <c r="G294" s="140"/>
      <c r="H294" s="140">
        <f>ROUND(+D294+F294,4)</f>
        <v>0</v>
      </c>
      <c r="I294" s="140">
        <v>0</v>
      </c>
      <c r="J294" s="140">
        <v>0.03</v>
      </c>
      <c r="K294" s="140">
        <f>ROUND(IF(E294="alluminio",(I294)*3%,0)+IF(E294="alluminio smaltato",(I294)*3%,0),4)</f>
        <v>0</v>
      </c>
      <c r="L294" s="143">
        <f>ROUND((J294*C294)+(K294*C294),4)</f>
        <v>0</v>
      </c>
      <c r="M294" s="140"/>
      <c r="N294" s="140">
        <f>ROUND(+I294-H294,4)</f>
        <v>0</v>
      </c>
      <c r="O294" s="143">
        <f>ROUND(+(N294)*C294*50%,4)</f>
        <v>0</v>
      </c>
      <c r="P294" s="147">
        <f>ROUND(O294+L294,4)</f>
        <v>0</v>
      </c>
      <c r="Q294" s="80"/>
      <c r="R294" s="81"/>
      <c r="S294" s="84"/>
    </row>
    <row r="295" spans="1:19" x14ac:dyDescent="0.2">
      <c r="A295" s="47"/>
      <c r="B295" s="36"/>
      <c r="C295" s="138"/>
      <c r="D295" s="140"/>
      <c r="E295" s="48"/>
      <c r="F295" s="140"/>
      <c r="G295" s="140"/>
      <c r="H295" s="140">
        <f>ROUND(+D295+F295,4)</f>
        <v>0</v>
      </c>
      <c r="I295" s="140">
        <v>0</v>
      </c>
      <c r="J295" s="140">
        <v>0.03</v>
      </c>
      <c r="K295" s="140">
        <f>ROUND(IF(E295="alluminio",(I295)*3%,0)+IF(E295="alluminio smaltato",(I295)*3%,0),4)</f>
        <v>0</v>
      </c>
      <c r="L295" s="143">
        <f>ROUND((J295*C295)+(K295*C295),4)</f>
        <v>0</v>
      </c>
      <c r="M295" s="140"/>
      <c r="N295" s="140">
        <f>ROUND(+I295-H295,4)</f>
        <v>0</v>
      </c>
      <c r="O295" s="143">
        <f>ROUND(+(N295)*C295*50%,4)</f>
        <v>0</v>
      </c>
      <c r="P295" s="147">
        <f>ROUND(O295+L295,4)</f>
        <v>0</v>
      </c>
      <c r="Q295" s="80"/>
      <c r="R295" s="81"/>
      <c r="S295" s="84"/>
    </row>
    <row r="296" spans="1:19" x14ac:dyDescent="0.2">
      <c r="A296" s="47"/>
      <c r="B296" s="36"/>
      <c r="C296" s="138"/>
      <c r="D296" s="140"/>
      <c r="E296" s="48"/>
      <c r="F296" s="140"/>
      <c r="G296" s="140"/>
      <c r="H296" s="140">
        <f>ROUND(+D296+F296,4)</f>
        <v>0</v>
      </c>
      <c r="I296" s="140">
        <v>0</v>
      </c>
      <c r="J296" s="140">
        <v>0.03</v>
      </c>
      <c r="K296" s="140">
        <f>ROUND(IF(E296="alluminio",(I296)*3%,0)+IF(E296="alluminio smaltato",(I296)*3%,0),4)</f>
        <v>0</v>
      </c>
      <c r="L296" s="143">
        <f>ROUND((J296*C296)+(K296*C296),4)</f>
        <v>0</v>
      </c>
      <c r="M296" s="140"/>
      <c r="N296" s="140">
        <f>ROUND(+I296-H296,4)</f>
        <v>0</v>
      </c>
      <c r="O296" s="143">
        <f>ROUND(+(N296)*C296*50%,4)</f>
        <v>0</v>
      </c>
      <c r="P296" s="147">
        <f>ROUND(O296+L296,4)</f>
        <v>0</v>
      </c>
      <c r="Q296" s="80"/>
      <c r="R296" s="81"/>
      <c r="S296" s="84"/>
    </row>
    <row r="297" spans="1:19" x14ac:dyDescent="0.2">
      <c r="A297" s="47"/>
      <c r="B297" s="36"/>
      <c r="C297" s="138"/>
      <c r="D297" s="140"/>
      <c r="E297" s="48"/>
      <c r="F297" s="140"/>
      <c r="G297" s="140"/>
      <c r="H297" s="140">
        <f>ROUND(+D297+F297,4)</f>
        <v>0</v>
      </c>
      <c r="I297" s="140">
        <v>0</v>
      </c>
      <c r="J297" s="140">
        <v>0.03</v>
      </c>
      <c r="K297" s="140">
        <f>ROUND(IF(E297="alluminio",(I297)*3%,0)+IF(E297="alluminio smaltato",(I297)*3%,0),4)</f>
        <v>0</v>
      </c>
      <c r="L297" s="143">
        <f>ROUND((J297*C297)+(K297*C297),4)</f>
        <v>0</v>
      </c>
      <c r="M297" s="140"/>
      <c r="N297" s="140">
        <f>ROUND(+I297-H297,4)</f>
        <v>0</v>
      </c>
      <c r="O297" s="143">
        <f>ROUND(+(N297)*C297*50%,4)</f>
        <v>0</v>
      </c>
      <c r="P297" s="147">
        <f>ROUND(O297+L297,4)</f>
        <v>0</v>
      </c>
      <c r="Q297" s="80"/>
      <c r="R297" s="81"/>
      <c r="S297" s="84"/>
    </row>
    <row r="298" spans="1:19" x14ac:dyDescent="0.2">
      <c r="A298" s="47"/>
      <c r="B298" s="36"/>
      <c r="C298" s="138"/>
      <c r="D298" s="140"/>
      <c r="E298" s="48"/>
      <c r="F298" s="140"/>
      <c r="G298" s="140"/>
      <c r="H298" s="140">
        <f>ROUND(+D298+F298,4)</f>
        <v>0</v>
      </c>
      <c r="I298" s="140">
        <v>0</v>
      </c>
      <c r="J298" s="140">
        <v>0.03</v>
      </c>
      <c r="K298" s="140">
        <f>ROUND(IF(E298="alluminio",(I298)*3%,0)+IF(E298="alluminio smaltato",(I298)*3%,0),4)</f>
        <v>0</v>
      </c>
      <c r="L298" s="143">
        <f>ROUND((J298*C298)+(K298*C298),4)</f>
        <v>0</v>
      </c>
      <c r="M298" s="140"/>
      <c r="N298" s="140">
        <f>ROUND(+I298-H298,4)</f>
        <v>0</v>
      </c>
      <c r="O298" s="143">
        <f>ROUND(+(N298)*C298*50%,4)</f>
        <v>0</v>
      </c>
      <c r="P298" s="147">
        <f>ROUND(O298+L298,4)</f>
        <v>0</v>
      </c>
      <c r="Q298" s="80"/>
      <c r="R298" s="81"/>
      <c r="S298" s="84"/>
    </row>
    <row r="299" spans="1:19" x14ac:dyDescent="0.2">
      <c r="A299" s="47"/>
      <c r="B299" s="36"/>
      <c r="C299" s="138"/>
      <c r="D299" s="140"/>
      <c r="E299" s="48"/>
      <c r="F299" s="140"/>
      <c r="G299" s="140"/>
      <c r="H299" s="140">
        <f>ROUND(+D299+F299,4)</f>
        <v>0</v>
      </c>
      <c r="I299" s="140">
        <v>0</v>
      </c>
      <c r="J299" s="140">
        <v>0.03</v>
      </c>
      <c r="K299" s="140">
        <f>ROUND(IF(E299="alluminio",(I299)*3%,0)+IF(E299="alluminio smaltato",(I299)*3%,0),4)</f>
        <v>0</v>
      </c>
      <c r="L299" s="143">
        <f>ROUND((J299*C299)+(K299*C299),4)</f>
        <v>0</v>
      </c>
      <c r="M299" s="140"/>
      <c r="N299" s="140">
        <f>ROUND(+I299-H299,4)</f>
        <v>0</v>
      </c>
      <c r="O299" s="143">
        <f>ROUND(+(N299)*C299*50%,4)</f>
        <v>0</v>
      </c>
      <c r="P299" s="147">
        <f>ROUND(O299+L299,4)</f>
        <v>0</v>
      </c>
      <c r="Q299" s="80"/>
      <c r="R299" s="81"/>
      <c r="S299" s="84"/>
    </row>
    <row r="300" spans="1:19" x14ac:dyDescent="0.2">
      <c r="A300" s="47"/>
      <c r="B300" s="36"/>
      <c r="C300" s="138"/>
      <c r="D300" s="140"/>
      <c r="E300" s="48"/>
      <c r="F300" s="140"/>
      <c r="G300" s="140"/>
      <c r="H300" s="140">
        <f>ROUND(+D300+F300,4)</f>
        <v>0</v>
      </c>
      <c r="I300" s="140">
        <v>0</v>
      </c>
      <c r="J300" s="140">
        <v>0.03</v>
      </c>
      <c r="K300" s="140">
        <f>ROUND(IF(E300="alluminio",(I300)*3%,0)+IF(E300="alluminio smaltato",(I300)*3%,0),4)</f>
        <v>0</v>
      </c>
      <c r="L300" s="143">
        <f>ROUND((J300*C300)+(K300*C300),4)</f>
        <v>0</v>
      </c>
      <c r="M300" s="140"/>
      <c r="N300" s="140">
        <f>ROUND(+I300-H300,4)</f>
        <v>0</v>
      </c>
      <c r="O300" s="143">
        <f>ROUND(+(N300)*C300*50%,4)</f>
        <v>0</v>
      </c>
      <c r="P300" s="147">
        <f>ROUND(O300+L300,4)</f>
        <v>0</v>
      </c>
      <c r="Q300" s="80"/>
      <c r="R300" s="81"/>
      <c r="S300" s="84"/>
    </row>
    <row r="301" spans="1:19" x14ac:dyDescent="0.2">
      <c r="A301" s="47"/>
      <c r="B301" s="36"/>
      <c r="C301" s="138"/>
      <c r="D301" s="140"/>
      <c r="E301" s="48"/>
      <c r="F301" s="140"/>
      <c r="G301" s="140"/>
      <c r="H301" s="140">
        <f>ROUND(+D301+F301,4)</f>
        <v>0</v>
      </c>
      <c r="I301" s="140">
        <v>0</v>
      </c>
      <c r="J301" s="140">
        <v>0.03</v>
      </c>
      <c r="K301" s="140">
        <f>ROUND(IF(E301="alluminio",(I301)*3%,0)+IF(E301="alluminio smaltato",(I301)*3%,0),4)</f>
        <v>0</v>
      </c>
      <c r="L301" s="143">
        <f>ROUND((J301*C301)+(K301*C301),4)</f>
        <v>0</v>
      </c>
      <c r="M301" s="140"/>
      <c r="N301" s="140">
        <f>ROUND(+I301-H301,4)</f>
        <v>0</v>
      </c>
      <c r="O301" s="143">
        <f>ROUND(+(N301)*C301*50%,4)</f>
        <v>0</v>
      </c>
      <c r="P301" s="147">
        <f>ROUND(O301+L301,4)</f>
        <v>0</v>
      </c>
      <c r="Q301" s="80"/>
      <c r="R301" s="81"/>
      <c r="S301" s="84"/>
    </row>
    <row r="302" spans="1:19" x14ac:dyDescent="0.2">
      <c r="A302" s="47"/>
      <c r="B302" s="36"/>
      <c r="C302" s="138"/>
      <c r="D302" s="140"/>
      <c r="E302" s="48"/>
      <c r="F302" s="140"/>
      <c r="G302" s="140"/>
      <c r="H302" s="140">
        <f>ROUND(+D302+F302,4)</f>
        <v>0</v>
      </c>
      <c r="I302" s="140">
        <v>0</v>
      </c>
      <c r="J302" s="140">
        <v>0.03</v>
      </c>
      <c r="K302" s="140">
        <f>ROUND(IF(E302="alluminio",(I302)*3%,0)+IF(E302="alluminio smaltato",(I302)*3%,0),4)</f>
        <v>0</v>
      </c>
      <c r="L302" s="143">
        <f>ROUND((J302*C302)+(K302*C302),4)</f>
        <v>0</v>
      </c>
      <c r="M302" s="140"/>
      <c r="N302" s="140">
        <f>ROUND(+I302-H302,4)</f>
        <v>0</v>
      </c>
      <c r="O302" s="143">
        <f>ROUND(+(N302)*C302*50%,4)</f>
        <v>0</v>
      </c>
      <c r="P302" s="147">
        <f>ROUND(O302+L302,4)</f>
        <v>0</v>
      </c>
      <c r="Q302" s="80"/>
      <c r="R302" s="81"/>
      <c r="S302" s="84"/>
    </row>
    <row r="303" spans="1:19" x14ac:dyDescent="0.2">
      <c r="A303" s="47"/>
      <c r="B303" s="36"/>
      <c r="C303" s="138"/>
      <c r="D303" s="140"/>
      <c r="E303" s="48"/>
      <c r="F303" s="140"/>
      <c r="G303" s="140"/>
      <c r="H303" s="140">
        <f>ROUND(+D303+F303,4)</f>
        <v>0</v>
      </c>
      <c r="I303" s="140">
        <v>0</v>
      </c>
      <c r="J303" s="140">
        <v>0.03</v>
      </c>
      <c r="K303" s="140">
        <f>ROUND(IF(E303="alluminio",(I303)*3%,0)+IF(E303="alluminio smaltato",(I303)*3%,0),4)</f>
        <v>0</v>
      </c>
      <c r="L303" s="143">
        <f>ROUND((J303*C303)+(K303*C303),4)</f>
        <v>0</v>
      </c>
      <c r="M303" s="140"/>
      <c r="N303" s="140">
        <f>ROUND(+I303-H303,4)</f>
        <v>0</v>
      </c>
      <c r="O303" s="143">
        <f>ROUND(+(N303)*C303*50%,4)</f>
        <v>0</v>
      </c>
      <c r="P303" s="147">
        <f>ROUND(O303+L303,4)</f>
        <v>0</v>
      </c>
      <c r="Q303" s="80"/>
      <c r="R303" s="81"/>
      <c r="S303" s="84"/>
    </row>
    <row r="304" spans="1:19" x14ac:dyDescent="0.2">
      <c r="A304" s="47"/>
      <c r="B304" s="36"/>
      <c r="C304" s="138"/>
      <c r="D304" s="140"/>
      <c r="E304" s="48"/>
      <c r="F304" s="140"/>
      <c r="G304" s="140"/>
      <c r="H304" s="140">
        <f>ROUND(+D304+F304,4)</f>
        <v>0</v>
      </c>
      <c r="I304" s="140">
        <v>0</v>
      </c>
      <c r="J304" s="140">
        <v>0.03</v>
      </c>
      <c r="K304" s="140">
        <f>ROUND(IF(E304="alluminio",(I304)*3%,0)+IF(E304="alluminio smaltato",(I304)*3%,0),4)</f>
        <v>0</v>
      </c>
      <c r="L304" s="143">
        <f>ROUND((J304*C304)+(K304*C304),4)</f>
        <v>0</v>
      </c>
      <c r="M304" s="140"/>
      <c r="N304" s="140">
        <f>ROUND(+I304-H304,4)</f>
        <v>0</v>
      </c>
      <c r="O304" s="143">
        <f>ROUND(+(N304)*C304*50%,4)</f>
        <v>0</v>
      </c>
      <c r="P304" s="147">
        <f>ROUND(O304+L304,4)</f>
        <v>0</v>
      </c>
      <c r="Q304" s="80"/>
      <c r="R304" s="81"/>
      <c r="S304" s="84"/>
    </row>
    <row r="305" spans="1:19" x14ac:dyDescent="0.2">
      <c r="A305" s="47"/>
      <c r="B305" s="36"/>
      <c r="C305" s="138"/>
      <c r="D305" s="140"/>
      <c r="E305" s="48"/>
      <c r="F305" s="140"/>
      <c r="G305" s="140"/>
      <c r="H305" s="140">
        <f>ROUND(+D305+F305,4)</f>
        <v>0</v>
      </c>
      <c r="I305" s="140">
        <v>0</v>
      </c>
      <c r="J305" s="140">
        <v>0.03</v>
      </c>
      <c r="K305" s="140">
        <f>ROUND(IF(E305="alluminio",(I305)*3%,0)+IF(E305="alluminio smaltato",(I305)*3%,0),4)</f>
        <v>0</v>
      </c>
      <c r="L305" s="143">
        <f>ROUND((J305*C305)+(K305*C305),4)</f>
        <v>0</v>
      </c>
      <c r="M305" s="140"/>
      <c r="N305" s="140">
        <f>ROUND(+I305-H305,4)</f>
        <v>0</v>
      </c>
      <c r="O305" s="143">
        <f>ROUND(+(N305)*C305*50%,4)</f>
        <v>0</v>
      </c>
      <c r="P305" s="147">
        <f>ROUND(O305+L305,4)</f>
        <v>0</v>
      </c>
      <c r="Q305" s="80"/>
      <c r="R305" s="81"/>
      <c r="S305" s="84"/>
    </row>
    <row r="306" spans="1:19" x14ac:dyDescent="0.2">
      <c r="A306" s="47"/>
      <c r="B306" s="36"/>
      <c r="C306" s="138"/>
      <c r="D306" s="140"/>
      <c r="E306" s="48"/>
      <c r="F306" s="140"/>
      <c r="G306" s="140"/>
      <c r="H306" s="140">
        <f>ROUND(+D306+F306,4)</f>
        <v>0</v>
      </c>
      <c r="I306" s="140">
        <v>0</v>
      </c>
      <c r="J306" s="140">
        <v>0.03</v>
      </c>
      <c r="K306" s="140">
        <f>ROUND(IF(E306="alluminio",(I306)*3%,0)+IF(E306="alluminio smaltato",(I306)*3%,0),4)</f>
        <v>0</v>
      </c>
      <c r="L306" s="143">
        <f>ROUND((J306*C306)+(K306*C306),4)</f>
        <v>0</v>
      </c>
      <c r="M306" s="140"/>
      <c r="N306" s="140">
        <f>ROUND(+I306-H306,4)</f>
        <v>0</v>
      </c>
      <c r="O306" s="143">
        <f>ROUND(+(N306)*C306*50%,4)</f>
        <v>0</v>
      </c>
      <c r="P306" s="147">
        <f>ROUND(O306+L306,4)</f>
        <v>0</v>
      </c>
      <c r="Q306" s="80"/>
      <c r="R306" s="81"/>
      <c r="S306" s="84"/>
    </row>
    <row r="307" spans="1:19" x14ac:dyDescent="0.2">
      <c r="A307" s="47"/>
      <c r="B307" s="36"/>
      <c r="C307" s="138"/>
      <c r="D307" s="140"/>
      <c r="E307" s="48"/>
      <c r="F307" s="140"/>
      <c r="G307" s="140"/>
      <c r="H307" s="140">
        <f>ROUND(+D307+F307,4)</f>
        <v>0</v>
      </c>
      <c r="I307" s="140">
        <v>0</v>
      </c>
      <c r="J307" s="140">
        <v>0.03</v>
      </c>
      <c r="K307" s="140">
        <f>ROUND(IF(E307="alluminio",(I307)*3%,0)+IF(E307="alluminio smaltato",(I307)*3%,0),4)</f>
        <v>0</v>
      </c>
      <c r="L307" s="143">
        <f>ROUND((J307*C307)+(K307*C307),4)</f>
        <v>0</v>
      </c>
      <c r="M307" s="140"/>
      <c r="N307" s="140">
        <f>ROUND(+I307-H307,4)</f>
        <v>0</v>
      </c>
      <c r="O307" s="143">
        <f>ROUND(+(N307)*C307*50%,4)</f>
        <v>0</v>
      </c>
      <c r="P307" s="147">
        <f>ROUND(O307+L307,4)</f>
        <v>0</v>
      </c>
      <c r="Q307" s="80"/>
      <c r="R307" s="81"/>
      <c r="S307" s="84"/>
    </row>
    <row r="308" spans="1:19" x14ac:dyDescent="0.2">
      <c r="A308" s="47"/>
      <c r="B308" s="36"/>
      <c r="C308" s="138"/>
      <c r="D308" s="140"/>
      <c r="E308" s="48"/>
      <c r="F308" s="140"/>
      <c r="G308" s="140"/>
      <c r="H308" s="140">
        <f>ROUND(+D308+F308,4)</f>
        <v>0</v>
      </c>
      <c r="I308" s="140">
        <v>0</v>
      </c>
      <c r="J308" s="140">
        <v>0.03</v>
      </c>
      <c r="K308" s="140">
        <f>ROUND(IF(E308="alluminio",(I308)*3%,0)+IF(E308="alluminio smaltato",(I308)*3%,0),4)</f>
        <v>0</v>
      </c>
      <c r="L308" s="143">
        <f>ROUND((J308*C308)+(K308*C308),4)</f>
        <v>0</v>
      </c>
      <c r="M308" s="140"/>
      <c r="N308" s="140">
        <f>ROUND(+I308-H308,4)</f>
        <v>0</v>
      </c>
      <c r="O308" s="143">
        <f>ROUND(+(N308)*C308*50%,4)</f>
        <v>0</v>
      </c>
      <c r="P308" s="147">
        <f>ROUND(O308+L308,4)</f>
        <v>0</v>
      </c>
      <c r="Q308" s="80"/>
      <c r="R308" s="81"/>
      <c r="S308" s="84"/>
    </row>
    <row r="309" spans="1:19" x14ac:dyDescent="0.2">
      <c r="A309" s="47"/>
      <c r="B309" s="36"/>
      <c r="C309" s="138"/>
      <c r="D309" s="140"/>
      <c r="E309" s="48"/>
      <c r="F309" s="140"/>
      <c r="G309" s="140"/>
      <c r="H309" s="140">
        <f>ROUND(+D309+F309,4)</f>
        <v>0</v>
      </c>
      <c r="I309" s="140">
        <v>0</v>
      </c>
      <c r="J309" s="140">
        <v>0.03</v>
      </c>
      <c r="K309" s="140">
        <f>ROUND(IF(E309="alluminio",(I309)*3%,0)+IF(E309="alluminio smaltato",(I309)*3%,0),4)</f>
        <v>0</v>
      </c>
      <c r="L309" s="143">
        <f>ROUND((J309*C309)+(K309*C309),4)</f>
        <v>0</v>
      </c>
      <c r="M309" s="140"/>
      <c r="N309" s="140">
        <f>ROUND(+I309-H309,4)</f>
        <v>0</v>
      </c>
      <c r="O309" s="143">
        <f>ROUND(+(N309)*C309*50%,4)</f>
        <v>0</v>
      </c>
      <c r="P309" s="147">
        <f>ROUND(O309+L309,4)</f>
        <v>0</v>
      </c>
      <c r="Q309" s="80"/>
      <c r="R309" s="81"/>
      <c r="S309" s="84"/>
    </row>
    <row r="310" spans="1:19" x14ac:dyDescent="0.2">
      <c r="A310" s="47"/>
      <c r="B310" s="36"/>
      <c r="C310" s="138"/>
      <c r="D310" s="140"/>
      <c r="E310" s="48"/>
      <c r="F310" s="140"/>
      <c r="G310" s="140"/>
      <c r="H310" s="140">
        <f>ROUND(+D310+F310,4)</f>
        <v>0</v>
      </c>
      <c r="I310" s="140">
        <v>0</v>
      </c>
      <c r="J310" s="140">
        <v>0.03</v>
      </c>
      <c r="K310" s="140">
        <f>ROUND(IF(E310="alluminio",(I310)*3%,0)+IF(E310="alluminio smaltato",(I310)*3%,0),4)</f>
        <v>0</v>
      </c>
      <c r="L310" s="143">
        <f>ROUND((J310*C310)+(K310*C310),4)</f>
        <v>0</v>
      </c>
      <c r="M310" s="140"/>
      <c r="N310" s="140">
        <f>ROUND(+I310-H310,4)</f>
        <v>0</v>
      </c>
      <c r="O310" s="143">
        <f>ROUND(+(N310)*C310*50%,4)</f>
        <v>0</v>
      </c>
      <c r="P310" s="147">
        <f>ROUND(O310+L310,4)</f>
        <v>0</v>
      </c>
      <c r="Q310" s="80"/>
      <c r="R310" s="81"/>
      <c r="S310" s="84"/>
    </row>
    <row r="311" spans="1:19" x14ac:dyDescent="0.2">
      <c r="A311" s="47"/>
      <c r="B311" s="36"/>
      <c r="C311" s="138"/>
      <c r="D311" s="140"/>
      <c r="E311" s="48"/>
      <c r="F311" s="140"/>
      <c r="G311" s="140"/>
      <c r="H311" s="140">
        <f>ROUND(+D311+F311,4)</f>
        <v>0</v>
      </c>
      <c r="I311" s="140">
        <v>0</v>
      </c>
      <c r="J311" s="140">
        <v>0.03</v>
      </c>
      <c r="K311" s="140">
        <f>ROUND(IF(E311="alluminio",(I311)*3%,0)+IF(E311="alluminio smaltato",(I311)*3%,0),4)</f>
        <v>0</v>
      </c>
      <c r="L311" s="143">
        <f>ROUND((J311*C311)+(K311*C311),4)</f>
        <v>0</v>
      </c>
      <c r="M311" s="140"/>
      <c r="N311" s="140">
        <f>ROUND(+I311-H311,4)</f>
        <v>0</v>
      </c>
      <c r="O311" s="143">
        <f>ROUND(+(N311)*C311*50%,4)</f>
        <v>0</v>
      </c>
      <c r="P311" s="147">
        <f>ROUND(O311+L311,4)</f>
        <v>0</v>
      </c>
      <c r="Q311" s="80"/>
      <c r="R311" s="81"/>
      <c r="S311" s="84"/>
    </row>
    <row r="312" spans="1:19" x14ac:dyDescent="0.2">
      <c r="A312" s="47"/>
      <c r="B312" s="36"/>
      <c r="C312" s="138"/>
      <c r="D312" s="140"/>
      <c r="E312" s="48"/>
      <c r="F312" s="140"/>
      <c r="G312" s="140"/>
      <c r="H312" s="140">
        <f>ROUND(+D312+F312,4)</f>
        <v>0</v>
      </c>
      <c r="I312" s="140">
        <v>0</v>
      </c>
      <c r="J312" s="140">
        <v>0.03</v>
      </c>
      <c r="K312" s="140">
        <f>ROUND(IF(E312="alluminio",(I312)*3%,0)+IF(E312="alluminio smaltato",(I312)*3%,0),4)</f>
        <v>0</v>
      </c>
      <c r="L312" s="143">
        <f>ROUND((J312*C312)+(K312*C312),4)</f>
        <v>0</v>
      </c>
      <c r="M312" s="140"/>
      <c r="N312" s="140">
        <f>ROUND(+I312-H312,4)</f>
        <v>0</v>
      </c>
      <c r="O312" s="143">
        <f>ROUND(+(N312)*C312*50%,4)</f>
        <v>0</v>
      </c>
      <c r="P312" s="147">
        <f>ROUND(O312+L312,4)</f>
        <v>0</v>
      </c>
      <c r="Q312" s="80"/>
      <c r="R312" s="81"/>
      <c r="S312" s="84"/>
    </row>
    <row r="313" spans="1:19" x14ac:dyDescent="0.2">
      <c r="A313" s="47"/>
      <c r="B313" s="36"/>
      <c r="C313" s="138"/>
      <c r="D313" s="140"/>
      <c r="E313" s="48"/>
      <c r="F313" s="140"/>
      <c r="G313" s="140"/>
      <c r="H313" s="140">
        <f>ROUND(+D313+F313,4)</f>
        <v>0</v>
      </c>
      <c r="I313" s="140">
        <v>0</v>
      </c>
      <c r="J313" s="140">
        <v>0.03</v>
      </c>
      <c r="K313" s="140">
        <f>ROUND(IF(E313="alluminio",(I313)*3%,0)+IF(E313="alluminio smaltato",(I313)*3%,0),4)</f>
        <v>0</v>
      </c>
      <c r="L313" s="143">
        <f>ROUND((J313*C313)+(K313*C313),4)</f>
        <v>0</v>
      </c>
      <c r="M313" s="140"/>
      <c r="N313" s="140">
        <f>ROUND(+I313-H313,4)</f>
        <v>0</v>
      </c>
      <c r="O313" s="143">
        <f>ROUND(+(N313)*C313*50%,4)</f>
        <v>0</v>
      </c>
      <c r="P313" s="147">
        <f>ROUND(O313+L313,4)</f>
        <v>0</v>
      </c>
      <c r="Q313" s="80"/>
      <c r="R313" s="81"/>
      <c r="S313" s="84"/>
    </row>
    <row r="314" spans="1:19" x14ac:dyDescent="0.2">
      <c r="A314" s="47"/>
      <c r="B314" s="36"/>
      <c r="C314" s="138"/>
      <c r="D314" s="140"/>
      <c r="E314" s="48"/>
      <c r="F314" s="140"/>
      <c r="G314" s="140"/>
      <c r="H314" s="140">
        <f>ROUND(+D314+F314,4)</f>
        <v>0</v>
      </c>
      <c r="I314" s="140">
        <v>0</v>
      </c>
      <c r="J314" s="140">
        <v>0.03</v>
      </c>
      <c r="K314" s="140">
        <f>ROUND(IF(E314="alluminio",(I314)*3%,0)+IF(E314="alluminio smaltato",(I314)*3%,0),4)</f>
        <v>0</v>
      </c>
      <c r="L314" s="143">
        <f>ROUND((J314*C314)+(K314*C314),4)</f>
        <v>0</v>
      </c>
      <c r="M314" s="140"/>
      <c r="N314" s="140">
        <f>ROUND(+I314-H314,4)</f>
        <v>0</v>
      </c>
      <c r="O314" s="143">
        <f>ROUND(+(N314)*C314*50%,4)</f>
        <v>0</v>
      </c>
      <c r="P314" s="147">
        <f>ROUND(O314+L314,4)</f>
        <v>0</v>
      </c>
      <c r="Q314" s="80"/>
      <c r="R314" s="81"/>
      <c r="S314" s="84"/>
    </row>
    <row r="315" spans="1:19" x14ac:dyDescent="0.2">
      <c r="A315" s="47"/>
      <c r="B315" s="36"/>
      <c r="C315" s="138"/>
      <c r="D315" s="140"/>
      <c r="E315" s="48"/>
      <c r="F315" s="140"/>
      <c r="G315" s="140"/>
      <c r="H315" s="140">
        <f>ROUND(+D315+F315,4)</f>
        <v>0</v>
      </c>
      <c r="I315" s="140">
        <v>0</v>
      </c>
      <c r="J315" s="140">
        <v>0.03</v>
      </c>
      <c r="K315" s="140">
        <f>ROUND(IF(E315="alluminio",(I315)*3%,0)+IF(E315="alluminio smaltato",(I315)*3%,0),4)</f>
        <v>0</v>
      </c>
      <c r="L315" s="143">
        <f>ROUND((J315*C315)+(K315*C315),4)</f>
        <v>0</v>
      </c>
      <c r="M315" s="140"/>
      <c r="N315" s="140">
        <f>ROUND(+I315-H315,4)</f>
        <v>0</v>
      </c>
      <c r="O315" s="143">
        <f>ROUND(+(N315)*C315*50%,4)</f>
        <v>0</v>
      </c>
      <c r="P315" s="147">
        <f>ROUND(O315+L315,4)</f>
        <v>0</v>
      </c>
      <c r="Q315" s="80"/>
      <c r="R315" s="81"/>
      <c r="S315" s="84"/>
    </row>
    <row r="316" spans="1:19" x14ac:dyDescent="0.2">
      <c r="A316" s="47"/>
      <c r="B316" s="36"/>
      <c r="C316" s="138"/>
      <c r="D316" s="140"/>
      <c r="E316" s="48"/>
      <c r="F316" s="140"/>
      <c r="G316" s="140"/>
      <c r="H316" s="140">
        <f>ROUND(+D316+F316,4)</f>
        <v>0</v>
      </c>
      <c r="I316" s="140">
        <v>0</v>
      </c>
      <c r="J316" s="140">
        <v>0.03</v>
      </c>
      <c r="K316" s="140">
        <f>ROUND(IF(E316="alluminio",(I316)*3%,0)+IF(E316="alluminio smaltato",(I316)*3%,0),4)</f>
        <v>0</v>
      </c>
      <c r="L316" s="143">
        <f>ROUND((J316*C316)+(K316*C316),4)</f>
        <v>0</v>
      </c>
      <c r="M316" s="140"/>
      <c r="N316" s="140">
        <f>ROUND(+I316-H316,4)</f>
        <v>0</v>
      </c>
      <c r="O316" s="143">
        <f>ROUND(+(N316)*C316*50%,4)</f>
        <v>0</v>
      </c>
      <c r="P316" s="147">
        <f>ROUND(O316+L316,4)</f>
        <v>0</v>
      </c>
      <c r="Q316" s="80"/>
      <c r="R316" s="81"/>
      <c r="S316" s="84"/>
    </row>
    <row r="317" spans="1:19" x14ac:dyDescent="0.2">
      <c r="A317" s="47"/>
      <c r="B317" s="36"/>
      <c r="C317" s="138"/>
      <c r="D317" s="140"/>
      <c r="E317" s="48"/>
      <c r="F317" s="140"/>
      <c r="G317" s="140"/>
      <c r="H317" s="140">
        <f>ROUND(+D317+F317,4)</f>
        <v>0</v>
      </c>
      <c r="I317" s="140">
        <v>0</v>
      </c>
      <c r="J317" s="140">
        <v>0.03</v>
      </c>
      <c r="K317" s="140">
        <f>ROUND(IF(E317="alluminio",(I317)*3%,0)+IF(E317="alluminio smaltato",(I317)*3%,0),4)</f>
        <v>0</v>
      </c>
      <c r="L317" s="143">
        <f>ROUND((J317*C317)+(K317*C317),4)</f>
        <v>0</v>
      </c>
      <c r="M317" s="140"/>
      <c r="N317" s="140">
        <f>ROUND(+I317-H317,4)</f>
        <v>0</v>
      </c>
      <c r="O317" s="143">
        <f>ROUND(+(N317)*C317*50%,4)</f>
        <v>0</v>
      </c>
      <c r="P317" s="147">
        <f>ROUND(O317+L317,4)</f>
        <v>0</v>
      </c>
      <c r="Q317" s="80"/>
      <c r="R317" s="81"/>
      <c r="S317" s="84"/>
    </row>
    <row r="318" spans="1:19" x14ac:dyDescent="0.2">
      <c r="A318" s="47"/>
      <c r="B318" s="36"/>
      <c r="C318" s="138"/>
      <c r="D318" s="140"/>
      <c r="E318" s="48"/>
      <c r="F318" s="140"/>
      <c r="G318" s="140"/>
      <c r="H318" s="140">
        <f>ROUND(+D318+F318,4)</f>
        <v>0</v>
      </c>
      <c r="I318" s="140">
        <v>0</v>
      </c>
      <c r="J318" s="140">
        <v>0.03</v>
      </c>
      <c r="K318" s="140">
        <f>ROUND(IF(E318="alluminio",(I318)*3%,0)+IF(E318="alluminio smaltato",(I318)*3%,0),4)</f>
        <v>0</v>
      </c>
      <c r="L318" s="143">
        <f>ROUND((J318*C318)+(K318*C318),4)</f>
        <v>0</v>
      </c>
      <c r="M318" s="140"/>
      <c r="N318" s="140">
        <f>ROUND(+I318-H318,4)</f>
        <v>0</v>
      </c>
      <c r="O318" s="143">
        <f>ROUND(+(N318)*C318*50%,4)</f>
        <v>0</v>
      </c>
      <c r="P318" s="147">
        <f>ROUND(O318+L318,4)</f>
        <v>0</v>
      </c>
      <c r="Q318" s="80"/>
      <c r="R318" s="81"/>
      <c r="S318" s="84"/>
    </row>
    <row r="319" spans="1:19" x14ac:dyDescent="0.2">
      <c r="A319" s="47"/>
      <c r="B319" s="36"/>
      <c r="C319" s="138"/>
      <c r="D319" s="140"/>
      <c r="E319" s="48"/>
      <c r="F319" s="140"/>
      <c r="G319" s="140"/>
      <c r="H319" s="140">
        <f>ROUND(+D319+F319,4)</f>
        <v>0</v>
      </c>
      <c r="I319" s="140">
        <v>0</v>
      </c>
      <c r="J319" s="140">
        <v>0.03</v>
      </c>
      <c r="K319" s="140">
        <f>ROUND(IF(E319="alluminio",(I319)*3%,0)+IF(E319="alluminio smaltato",(I319)*3%,0),4)</f>
        <v>0</v>
      </c>
      <c r="L319" s="143">
        <f>ROUND((J319*C319)+(K319*C319),4)</f>
        <v>0</v>
      </c>
      <c r="M319" s="140"/>
      <c r="N319" s="140">
        <f>ROUND(+I319-H319,4)</f>
        <v>0</v>
      </c>
      <c r="O319" s="143">
        <f>ROUND(+(N319)*C319*50%,4)</f>
        <v>0</v>
      </c>
      <c r="P319" s="147">
        <f>ROUND(O319+L319,4)</f>
        <v>0</v>
      </c>
      <c r="Q319" s="80"/>
      <c r="R319" s="81"/>
      <c r="S319" s="84"/>
    </row>
    <row r="320" spans="1:19" x14ac:dyDescent="0.2">
      <c r="A320" s="47"/>
      <c r="B320" s="36"/>
      <c r="C320" s="138"/>
      <c r="D320" s="140"/>
      <c r="E320" s="48"/>
      <c r="F320" s="140"/>
      <c r="G320" s="140"/>
      <c r="H320" s="140">
        <f>ROUND(+D320+F320,4)</f>
        <v>0</v>
      </c>
      <c r="I320" s="140">
        <v>0</v>
      </c>
      <c r="J320" s="140">
        <v>0.03</v>
      </c>
      <c r="K320" s="140">
        <f>ROUND(IF(E320="alluminio",(I320)*3%,0)+IF(E320="alluminio smaltato",(I320)*3%,0),4)</f>
        <v>0</v>
      </c>
      <c r="L320" s="143">
        <f>ROUND((J320*C320)+(K320*C320),4)</f>
        <v>0</v>
      </c>
      <c r="M320" s="140"/>
      <c r="N320" s="140">
        <f>ROUND(+I320-H320,4)</f>
        <v>0</v>
      </c>
      <c r="O320" s="143">
        <f>ROUND(+(N320)*C320*50%,4)</f>
        <v>0</v>
      </c>
      <c r="P320" s="147">
        <f>ROUND(O320+L320,4)</f>
        <v>0</v>
      </c>
      <c r="Q320" s="80"/>
      <c r="R320" s="81"/>
      <c r="S320" s="84"/>
    </row>
    <row r="321" spans="1:19" x14ac:dyDescent="0.2">
      <c r="A321" s="47"/>
      <c r="B321" s="36"/>
      <c r="C321" s="138"/>
      <c r="D321" s="140"/>
      <c r="E321" s="48"/>
      <c r="F321" s="140"/>
      <c r="G321" s="140"/>
      <c r="H321" s="140">
        <f>ROUND(+D321+F321,4)</f>
        <v>0</v>
      </c>
      <c r="I321" s="140">
        <v>0</v>
      </c>
      <c r="J321" s="140">
        <v>0.03</v>
      </c>
      <c r="K321" s="140">
        <f>ROUND(IF(E321="alluminio",(I321)*3%,0)+IF(E321="alluminio smaltato",(I321)*3%,0),4)</f>
        <v>0</v>
      </c>
      <c r="L321" s="143">
        <f>ROUND((J321*C321)+(K321*C321),4)</f>
        <v>0</v>
      </c>
      <c r="M321" s="140"/>
      <c r="N321" s="140">
        <f>ROUND(+I321-H321,4)</f>
        <v>0</v>
      </c>
      <c r="O321" s="143">
        <f>ROUND(+(N321)*C321*50%,4)</f>
        <v>0</v>
      </c>
      <c r="P321" s="147">
        <f>ROUND(O321+L321,4)</f>
        <v>0</v>
      </c>
      <c r="Q321" s="80"/>
      <c r="R321" s="81"/>
      <c r="S321" s="84"/>
    </row>
    <row r="322" spans="1:19" x14ac:dyDescent="0.2">
      <c r="A322" s="47"/>
      <c r="B322" s="36"/>
      <c r="C322" s="138"/>
      <c r="D322" s="140"/>
      <c r="E322" s="48"/>
      <c r="F322" s="140"/>
      <c r="G322" s="140"/>
      <c r="H322" s="140">
        <f>ROUND(+D322+F322,4)</f>
        <v>0</v>
      </c>
      <c r="I322" s="140">
        <v>0</v>
      </c>
      <c r="J322" s="140">
        <v>0.03</v>
      </c>
      <c r="K322" s="140">
        <f>ROUND(IF(E322="alluminio",(I322)*3%,0)+IF(E322="alluminio smaltato",(I322)*3%,0),4)</f>
        <v>0</v>
      </c>
      <c r="L322" s="143">
        <f>ROUND((J322*C322)+(K322*C322),4)</f>
        <v>0</v>
      </c>
      <c r="M322" s="140"/>
      <c r="N322" s="140">
        <f>ROUND(+I322-H322,4)</f>
        <v>0</v>
      </c>
      <c r="O322" s="143">
        <f>ROUND(+(N322)*C322*50%,4)</f>
        <v>0</v>
      </c>
      <c r="P322" s="147">
        <f>ROUND(O322+L322,4)</f>
        <v>0</v>
      </c>
      <c r="Q322" s="80"/>
      <c r="R322" s="81"/>
      <c r="S322" s="84"/>
    </row>
    <row r="323" spans="1:19" x14ac:dyDescent="0.2">
      <c r="A323" s="47"/>
      <c r="B323" s="36"/>
      <c r="C323" s="138"/>
      <c r="D323" s="140"/>
      <c r="E323" s="48"/>
      <c r="F323" s="140"/>
      <c r="G323" s="140"/>
      <c r="H323" s="140">
        <f>ROUND(+D323+F323,4)</f>
        <v>0</v>
      </c>
      <c r="I323" s="140">
        <v>0</v>
      </c>
      <c r="J323" s="140">
        <v>0.03</v>
      </c>
      <c r="K323" s="140">
        <f>ROUND(IF(E323="alluminio",(I323)*3%,0)+IF(E323="alluminio smaltato",(I323)*3%,0),4)</f>
        <v>0</v>
      </c>
      <c r="L323" s="143">
        <f>ROUND((J323*C323)+(K323*C323),4)</f>
        <v>0</v>
      </c>
      <c r="M323" s="140"/>
      <c r="N323" s="140">
        <f>ROUND(+I323-H323,4)</f>
        <v>0</v>
      </c>
      <c r="O323" s="143">
        <f>ROUND(+(N323)*C323*50%,4)</f>
        <v>0</v>
      </c>
      <c r="P323" s="147">
        <f>ROUND(O323+L323,4)</f>
        <v>0</v>
      </c>
      <c r="Q323" s="80"/>
      <c r="R323" s="81"/>
      <c r="S323" s="84"/>
    </row>
    <row r="324" spans="1:19" x14ac:dyDescent="0.2">
      <c r="A324" s="47"/>
      <c r="B324" s="36"/>
      <c r="C324" s="138"/>
      <c r="D324" s="140"/>
      <c r="E324" s="48"/>
      <c r="F324" s="140"/>
      <c r="G324" s="140"/>
      <c r="H324" s="140">
        <f>ROUND(+D324+F324,4)</f>
        <v>0</v>
      </c>
      <c r="I324" s="140">
        <v>0</v>
      </c>
      <c r="J324" s="140">
        <v>0.03</v>
      </c>
      <c r="K324" s="140">
        <f>ROUND(IF(E324="alluminio",(I324)*3%,0)+IF(E324="alluminio smaltato",(I324)*3%,0),4)</f>
        <v>0</v>
      </c>
      <c r="L324" s="143">
        <f>ROUND((J324*C324)+(K324*C324),4)</f>
        <v>0</v>
      </c>
      <c r="M324" s="140"/>
      <c r="N324" s="140">
        <f>ROUND(+I324-H324,4)</f>
        <v>0</v>
      </c>
      <c r="O324" s="143">
        <f>ROUND(+(N324)*C324*50%,4)</f>
        <v>0</v>
      </c>
      <c r="P324" s="147">
        <f>ROUND(O324+L324,4)</f>
        <v>0</v>
      </c>
      <c r="Q324" s="80"/>
      <c r="R324" s="81"/>
      <c r="S324" s="84"/>
    </row>
    <row r="325" spans="1:19" x14ac:dyDescent="0.2">
      <c r="A325" s="47"/>
      <c r="B325" s="36"/>
      <c r="C325" s="138"/>
      <c r="D325" s="140"/>
      <c r="E325" s="48"/>
      <c r="F325" s="140"/>
      <c r="G325" s="140"/>
      <c r="H325" s="140">
        <f>ROUND(+D325+F325,4)</f>
        <v>0</v>
      </c>
      <c r="I325" s="140">
        <v>0</v>
      </c>
      <c r="J325" s="140">
        <v>0.03</v>
      </c>
      <c r="K325" s="140">
        <f>ROUND(IF(E325="alluminio",(I325)*3%,0)+IF(E325="alluminio smaltato",(I325)*3%,0),4)</f>
        <v>0</v>
      </c>
      <c r="L325" s="143">
        <f>ROUND((J325*C325)+(K325*C325),4)</f>
        <v>0</v>
      </c>
      <c r="M325" s="140"/>
      <c r="N325" s="140">
        <f>ROUND(+I325-H325,4)</f>
        <v>0</v>
      </c>
      <c r="O325" s="143">
        <f>ROUND(+(N325)*C325*50%,4)</f>
        <v>0</v>
      </c>
      <c r="P325" s="147">
        <f>ROUND(O325+L325,4)</f>
        <v>0</v>
      </c>
      <c r="Q325" s="80"/>
      <c r="R325" s="81"/>
      <c r="S325" s="84"/>
    </row>
    <row r="326" spans="1:19" x14ac:dyDescent="0.2">
      <c r="A326" s="47"/>
      <c r="B326" s="36"/>
      <c r="C326" s="138"/>
      <c r="D326" s="140"/>
      <c r="E326" s="48"/>
      <c r="F326" s="140"/>
      <c r="G326" s="140"/>
      <c r="H326" s="140">
        <f>ROUND(+D326+F326,4)</f>
        <v>0</v>
      </c>
      <c r="I326" s="140">
        <v>0</v>
      </c>
      <c r="J326" s="140">
        <v>0.03</v>
      </c>
      <c r="K326" s="140">
        <f>ROUND(IF(E326="alluminio",(I326)*3%,0)+IF(E326="alluminio smaltato",(I326)*3%,0),4)</f>
        <v>0</v>
      </c>
      <c r="L326" s="143">
        <f>ROUND((J326*C326)+(K326*C326),4)</f>
        <v>0</v>
      </c>
      <c r="M326" s="140"/>
      <c r="N326" s="140">
        <f>ROUND(+I326-H326,4)</f>
        <v>0</v>
      </c>
      <c r="O326" s="143">
        <f>ROUND(+(N326)*C326*50%,4)</f>
        <v>0</v>
      </c>
      <c r="P326" s="147">
        <f>ROUND(O326+L326,4)</f>
        <v>0</v>
      </c>
      <c r="Q326" s="80"/>
      <c r="R326" s="81"/>
      <c r="S326" s="84"/>
    </row>
    <row r="327" spans="1:19" x14ac:dyDescent="0.2">
      <c r="A327" s="47"/>
      <c r="B327" s="36"/>
      <c r="C327" s="138"/>
      <c r="D327" s="140"/>
      <c r="E327" s="48"/>
      <c r="F327" s="140"/>
      <c r="G327" s="140"/>
      <c r="H327" s="140">
        <f>ROUND(+D327+F327,4)</f>
        <v>0</v>
      </c>
      <c r="I327" s="140">
        <v>0</v>
      </c>
      <c r="J327" s="140">
        <v>0.03</v>
      </c>
      <c r="K327" s="140">
        <f>ROUND(IF(E327="alluminio",(I327)*3%,0)+IF(E327="alluminio smaltato",(I327)*3%,0),4)</f>
        <v>0</v>
      </c>
      <c r="L327" s="143">
        <f>ROUND((J327*C327)+(K327*C327),4)</f>
        <v>0</v>
      </c>
      <c r="M327" s="140"/>
      <c r="N327" s="140">
        <f>ROUND(+I327-H327,4)</f>
        <v>0</v>
      </c>
      <c r="O327" s="143">
        <f>ROUND(+(N327)*C327*50%,4)</f>
        <v>0</v>
      </c>
      <c r="P327" s="147">
        <f>ROUND(O327+L327,4)</f>
        <v>0</v>
      </c>
      <c r="Q327" s="80"/>
      <c r="R327" s="81"/>
      <c r="S327" s="84"/>
    </row>
    <row r="328" spans="1:19" x14ac:dyDescent="0.2">
      <c r="A328" s="47"/>
      <c r="B328" s="36"/>
      <c r="C328" s="138"/>
      <c r="D328" s="140"/>
      <c r="E328" s="48"/>
      <c r="F328" s="140"/>
      <c r="G328" s="140"/>
      <c r="H328" s="140">
        <f>ROUND(+D328+F328,4)</f>
        <v>0</v>
      </c>
      <c r="I328" s="140">
        <v>0</v>
      </c>
      <c r="J328" s="140">
        <v>0.03</v>
      </c>
      <c r="K328" s="140">
        <f>ROUND(IF(E328="alluminio",(I328)*3%,0)+IF(E328="alluminio smaltato",(I328)*3%,0),4)</f>
        <v>0</v>
      </c>
      <c r="L328" s="143">
        <f>ROUND((J328*C328)+(K328*C328),4)</f>
        <v>0</v>
      </c>
      <c r="M328" s="140"/>
      <c r="N328" s="140">
        <f>ROUND(+I328-H328,4)</f>
        <v>0</v>
      </c>
      <c r="O328" s="143">
        <f>ROUND(+(N328)*C328*50%,4)</f>
        <v>0</v>
      </c>
      <c r="P328" s="147">
        <f>ROUND(O328+L328,4)</f>
        <v>0</v>
      </c>
      <c r="Q328" s="80"/>
      <c r="R328" s="81"/>
      <c r="S328" s="84"/>
    </row>
    <row r="329" spans="1:19" x14ac:dyDescent="0.2">
      <c r="A329" s="47"/>
      <c r="B329" s="36"/>
      <c r="C329" s="138"/>
      <c r="D329" s="140"/>
      <c r="E329" s="48"/>
      <c r="F329" s="140"/>
      <c r="G329" s="140"/>
      <c r="H329" s="140">
        <f>ROUND(+D329+F329,4)</f>
        <v>0</v>
      </c>
      <c r="I329" s="140">
        <v>0</v>
      </c>
      <c r="J329" s="140">
        <v>0.03</v>
      </c>
      <c r="K329" s="140">
        <f>ROUND(IF(E329="alluminio",(I329)*3%,0)+IF(E329="alluminio smaltato",(I329)*3%,0),4)</f>
        <v>0</v>
      </c>
      <c r="L329" s="143">
        <f>ROUND((J329*C329)+(K329*C329),4)</f>
        <v>0</v>
      </c>
      <c r="M329" s="140"/>
      <c r="N329" s="140">
        <f>ROUND(+I329-H329,4)</f>
        <v>0</v>
      </c>
      <c r="O329" s="143">
        <f>ROUND(+(N329)*C329*50%,4)</f>
        <v>0</v>
      </c>
      <c r="P329" s="147">
        <f>ROUND(O329+L329,4)</f>
        <v>0</v>
      </c>
      <c r="Q329" s="80"/>
      <c r="R329" s="81"/>
      <c r="S329" s="84"/>
    </row>
    <row r="330" spans="1:19" x14ac:dyDescent="0.2">
      <c r="A330" s="47"/>
      <c r="B330" s="36"/>
      <c r="C330" s="138"/>
      <c r="D330" s="140"/>
      <c r="E330" s="48"/>
      <c r="F330" s="140"/>
      <c r="G330" s="140"/>
      <c r="H330" s="140">
        <f>ROUND(+D330+F330,4)</f>
        <v>0</v>
      </c>
      <c r="I330" s="140">
        <v>0</v>
      </c>
      <c r="J330" s="140">
        <v>0.03</v>
      </c>
      <c r="K330" s="140">
        <f>ROUND(IF(E330="alluminio",(I330)*3%,0)+IF(E330="alluminio smaltato",(I330)*3%,0),4)</f>
        <v>0</v>
      </c>
      <c r="L330" s="143">
        <f>ROUND((J330*C330)+(K330*C330),4)</f>
        <v>0</v>
      </c>
      <c r="M330" s="140"/>
      <c r="N330" s="140">
        <f>ROUND(+I330-H330,4)</f>
        <v>0</v>
      </c>
      <c r="O330" s="143">
        <f>ROUND(+(N330)*C330*50%,4)</f>
        <v>0</v>
      </c>
      <c r="P330" s="147">
        <f>ROUND(O330+L330,4)</f>
        <v>0</v>
      </c>
      <c r="Q330" s="80"/>
      <c r="R330" s="81"/>
      <c r="S330" s="84"/>
    </row>
    <row r="331" spans="1:19" x14ac:dyDescent="0.2">
      <c r="A331" s="47"/>
      <c r="B331" s="36"/>
      <c r="C331" s="138"/>
      <c r="D331" s="140"/>
      <c r="E331" s="48"/>
      <c r="F331" s="140"/>
      <c r="G331" s="140"/>
      <c r="H331" s="140">
        <f>ROUND(+D331+F331,4)</f>
        <v>0</v>
      </c>
      <c r="I331" s="140">
        <v>0</v>
      </c>
      <c r="J331" s="140">
        <v>0.03</v>
      </c>
      <c r="K331" s="140">
        <f>ROUND(IF(E331="alluminio",(I331)*3%,0)+IF(E331="alluminio smaltato",(I331)*3%,0),4)</f>
        <v>0</v>
      </c>
      <c r="L331" s="143">
        <f>ROUND((J331*C331)+(K331*C331),4)</f>
        <v>0</v>
      </c>
      <c r="M331" s="140"/>
      <c r="N331" s="140">
        <f>ROUND(+I331-H331,4)</f>
        <v>0</v>
      </c>
      <c r="O331" s="143">
        <f>ROUND(+(N331)*C331*50%,4)</f>
        <v>0</v>
      </c>
      <c r="P331" s="147">
        <f>ROUND(O331+L331,4)</f>
        <v>0</v>
      </c>
      <c r="Q331" s="80"/>
      <c r="R331" s="81"/>
      <c r="S331" s="84"/>
    </row>
    <row r="332" spans="1:19" x14ac:dyDescent="0.2">
      <c r="A332" s="47"/>
      <c r="B332" s="36"/>
      <c r="C332" s="138"/>
      <c r="D332" s="140"/>
      <c r="E332" s="48"/>
      <c r="F332" s="140"/>
      <c r="G332" s="140"/>
      <c r="H332" s="140">
        <f>ROUND(+D332+F332,4)</f>
        <v>0</v>
      </c>
      <c r="I332" s="140">
        <v>0</v>
      </c>
      <c r="J332" s="140">
        <v>0.03</v>
      </c>
      <c r="K332" s="140">
        <f>ROUND(IF(E332="alluminio",(I332)*3%,0)+IF(E332="alluminio smaltato",(I332)*3%,0),4)</f>
        <v>0</v>
      </c>
      <c r="L332" s="143">
        <f>ROUND((J332*C332)+(K332*C332),4)</f>
        <v>0</v>
      </c>
      <c r="M332" s="140"/>
      <c r="N332" s="140">
        <f>ROUND(+I332-H332,4)</f>
        <v>0</v>
      </c>
      <c r="O332" s="143">
        <f>ROUND(+(N332)*C332*50%,4)</f>
        <v>0</v>
      </c>
      <c r="P332" s="147">
        <f>ROUND(O332+L332,4)</f>
        <v>0</v>
      </c>
      <c r="Q332" s="80"/>
      <c r="R332" s="81"/>
      <c r="S332" s="84"/>
    </row>
    <row r="333" spans="1:19" x14ac:dyDescent="0.2">
      <c r="A333" s="47"/>
      <c r="B333" s="36"/>
      <c r="C333" s="138"/>
      <c r="D333" s="140"/>
      <c r="E333" s="48"/>
      <c r="F333" s="140"/>
      <c r="G333" s="140"/>
      <c r="H333" s="140">
        <f>ROUND(+D333+F333,4)</f>
        <v>0</v>
      </c>
      <c r="I333" s="140">
        <v>0</v>
      </c>
      <c r="J333" s="140">
        <v>0.03</v>
      </c>
      <c r="K333" s="140">
        <f>ROUND(IF(E333="alluminio",(I333)*3%,0)+IF(E333="alluminio smaltato",(I333)*3%,0),4)</f>
        <v>0</v>
      </c>
      <c r="L333" s="143">
        <f>ROUND((J333*C333)+(K333*C333),4)</f>
        <v>0</v>
      </c>
      <c r="M333" s="140"/>
      <c r="N333" s="140">
        <f>ROUND(+I333-H333,4)</f>
        <v>0</v>
      </c>
      <c r="O333" s="143">
        <f>ROUND(+(N333)*C333*50%,4)</f>
        <v>0</v>
      </c>
      <c r="P333" s="147">
        <f>ROUND(O333+L333,4)</f>
        <v>0</v>
      </c>
      <c r="Q333" s="80"/>
      <c r="R333" s="81"/>
      <c r="S333" s="84"/>
    </row>
    <row r="334" spans="1:19" x14ac:dyDescent="0.2">
      <c r="A334" s="47"/>
      <c r="B334" s="36"/>
      <c r="C334" s="138"/>
      <c r="D334" s="140"/>
      <c r="E334" s="48"/>
      <c r="F334" s="140"/>
      <c r="G334" s="140"/>
      <c r="H334" s="140">
        <f>ROUND(+D334+F334,4)</f>
        <v>0</v>
      </c>
      <c r="I334" s="140">
        <v>0</v>
      </c>
      <c r="J334" s="140">
        <v>0.03</v>
      </c>
      <c r="K334" s="140">
        <f>ROUND(IF(E334="alluminio",(I334)*3%,0)+IF(E334="alluminio smaltato",(I334)*3%,0),4)</f>
        <v>0</v>
      </c>
      <c r="L334" s="143">
        <f>ROUND((J334*C334)+(K334*C334),4)</f>
        <v>0</v>
      </c>
      <c r="M334" s="140"/>
      <c r="N334" s="140">
        <f>ROUND(+I334-H334,4)</f>
        <v>0</v>
      </c>
      <c r="O334" s="143">
        <f>ROUND(+(N334)*C334*50%,4)</f>
        <v>0</v>
      </c>
      <c r="P334" s="147">
        <f>ROUND(O334+L334,4)</f>
        <v>0</v>
      </c>
      <c r="Q334" s="80"/>
      <c r="R334" s="81"/>
      <c r="S334" s="84"/>
    </row>
    <row r="335" spans="1:19" x14ac:dyDescent="0.2">
      <c r="A335" s="47"/>
      <c r="B335" s="36"/>
      <c r="C335" s="138"/>
      <c r="D335" s="140"/>
      <c r="E335" s="48"/>
      <c r="F335" s="140"/>
      <c r="G335" s="140"/>
      <c r="H335" s="140">
        <f>ROUND(+D335+F335,4)</f>
        <v>0</v>
      </c>
      <c r="I335" s="140">
        <v>0</v>
      </c>
      <c r="J335" s="140">
        <v>0.03</v>
      </c>
      <c r="K335" s="140">
        <f>ROUND(IF(E335="alluminio",(I335)*3%,0)+IF(E335="alluminio smaltato",(I335)*3%,0),4)</f>
        <v>0</v>
      </c>
      <c r="L335" s="143">
        <f>ROUND((J335*C335)+(K335*C335),4)</f>
        <v>0</v>
      </c>
      <c r="M335" s="140"/>
      <c r="N335" s="140">
        <f>ROUND(+I335-H335,4)</f>
        <v>0</v>
      </c>
      <c r="O335" s="143">
        <f>ROUND(+(N335)*C335*50%,4)</f>
        <v>0</v>
      </c>
      <c r="P335" s="147">
        <f>ROUND(O335+L335,4)</f>
        <v>0</v>
      </c>
      <c r="Q335" s="80"/>
      <c r="R335" s="81"/>
      <c r="S335" s="84"/>
    </row>
    <row r="336" spans="1:19" x14ac:dyDescent="0.2">
      <c r="A336" s="47"/>
      <c r="B336" s="36"/>
      <c r="C336" s="138"/>
      <c r="D336" s="140"/>
      <c r="E336" s="48"/>
      <c r="F336" s="140"/>
      <c r="G336" s="140"/>
      <c r="H336" s="140">
        <f>ROUND(+D336+F336,4)</f>
        <v>0</v>
      </c>
      <c r="I336" s="140">
        <v>0</v>
      </c>
      <c r="J336" s="140">
        <v>0.03</v>
      </c>
      <c r="K336" s="140">
        <f>ROUND(IF(E336="alluminio",(I336)*3%,0)+IF(E336="alluminio smaltato",(I336)*3%,0),4)</f>
        <v>0</v>
      </c>
      <c r="L336" s="143">
        <f>ROUND((J336*C336)+(K336*C336),4)</f>
        <v>0</v>
      </c>
      <c r="M336" s="140"/>
      <c r="N336" s="140">
        <f>ROUND(+I336-H336,4)</f>
        <v>0</v>
      </c>
      <c r="O336" s="143">
        <f>ROUND(+(N336)*C336*50%,4)</f>
        <v>0</v>
      </c>
      <c r="P336" s="147">
        <f>ROUND(O336+L336,4)</f>
        <v>0</v>
      </c>
      <c r="Q336" s="80"/>
      <c r="R336" s="81"/>
      <c r="S336" s="84"/>
    </row>
    <row r="337" spans="1:19" x14ac:dyDescent="0.2">
      <c r="A337" s="47"/>
      <c r="B337" s="36"/>
      <c r="C337" s="138"/>
      <c r="D337" s="140"/>
      <c r="E337" s="48"/>
      <c r="F337" s="140"/>
      <c r="G337" s="140"/>
      <c r="H337" s="140">
        <f>ROUND(+D337+F337,4)</f>
        <v>0</v>
      </c>
      <c r="I337" s="140">
        <v>0</v>
      </c>
      <c r="J337" s="140">
        <v>0.03</v>
      </c>
      <c r="K337" s="140">
        <f>ROUND(IF(E337="alluminio",(I337)*3%,0)+IF(E337="alluminio smaltato",(I337)*3%,0),4)</f>
        <v>0</v>
      </c>
      <c r="L337" s="143">
        <f>ROUND((J337*C337)+(K337*C337),4)</f>
        <v>0</v>
      </c>
      <c r="M337" s="140"/>
      <c r="N337" s="140">
        <f>ROUND(+I337-H337,4)</f>
        <v>0</v>
      </c>
      <c r="O337" s="143">
        <f>ROUND(+(N337)*C337*50%,4)</f>
        <v>0</v>
      </c>
      <c r="P337" s="147">
        <f>ROUND(O337+L337,4)</f>
        <v>0</v>
      </c>
      <c r="Q337" s="80"/>
      <c r="R337" s="81"/>
      <c r="S337" s="84"/>
    </row>
    <row r="338" spans="1:19" x14ac:dyDescent="0.2">
      <c r="A338" s="47"/>
      <c r="B338" s="36"/>
      <c r="C338" s="138"/>
      <c r="D338" s="140"/>
      <c r="E338" s="48"/>
      <c r="F338" s="140"/>
      <c r="G338" s="140"/>
      <c r="H338" s="140">
        <f>ROUND(+D338+F338,4)</f>
        <v>0</v>
      </c>
      <c r="I338" s="140">
        <v>0</v>
      </c>
      <c r="J338" s="140">
        <v>0.03</v>
      </c>
      <c r="K338" s="140">
        <f>ROUND(IF(E338="alluminio",(I338)*3%,0)+IF(E338="alluminio smaltato",(I338)*3%,0),4)</f>
        <v>0</v>
      </c>
      <c r="L338" s="143">
        <f>ROUND((J338*C338)+(K338*C338),4)</f>
        <v>0</v>
      </c>
      <c r="M338" s="140"/>
      <c r="N338" s="140">
        <f>ROUND(+I338-H338,4)</f>
        <v>0</v>
      </c>
      <c r="O338" s="143">
        <f>ROUND(+(N338)*C338*50%,4)</f>
        <v>0</v>
      </c>
      <c r="P338" s="147">
        <f>ROUND(O338+L338,4)</f>
        <v>0</v>
      </c>
      <c r="Q338" s="80"/>
      <c r="R338" s="81"/>
      <c r="S338" s="84"/>
    </row>
    <row r="339" spans="1:19" x14ac:dyDescent="0.2">
      <c r="A339" s="47"/>
      <c r="B339" s="36"/>
      <c r="C339" s="138"/>
      <c r="D339" s="140"/>
      <c r="E339" s="48"/>
      <c r="F339" s="140"/>
      <c r="G339" s="140"/>
      <c r="H339" s="140">
        <f>ROUND(+D339+F339,4)</f>
        <v>0</v>
      </c>
      <c r="I339" s="140">
        <v>0</v>
      </c>
      <c r="J339" s="140">
        <v>0.03</v>
      </c>
      <c r="K339" s="140">
        <f>ROUND(IF(E339="alluminio",(I339)*3%,0)+IF(E339="alluminio smaltato",(I339)*3%,0),4)</f>
        <v>0</v>
      </c>
      <c r="L339" s="143">
        <f>ROUND((J339*C339)+(K339*C339),4)</f>
        <v>0</v>
      </c>
      <c r="M339" s="140"/>
      <c r="N339" s="140">
        <f>ROUND(+I339-H339,4)</f>
        <v>0</v>
      </c>
      <c r="O339" s="143">
        <f>ROUND(+(N339)*C339*50%,4)</f>
        <v>0</v>
      </c>
      <c r="P339" s="147">
        <f>ROUND(O339+L339,4)</f>
        <v>0</v>
      </c>
      <c r="Q339" s="80"/>
      <c r="R339" s="81"/>
      <c r="S339" s="84"/>
    </row>
    <row r="340" spans="1:19" x14ac:dyDescent="0.2">
      <c r="A340" s="47"/>
      <c r="B340" s="36"/>
      <c r="C340" s="138"/>
      <c r="D340" s="140"/>
      <c r="E340" s="48"/>
      <c r="F340" s="140"/>
      <c r="G340" s="140"/>
      <c r="H340" s="140">
        <f>ROUND(+D340+F340,4)</f>
        <v>0</v>
      </c>
      <c r="I340" s="140">
        <v>0</v>
      </c>
      <c r="J340" s="140">
        <v>0.03</v>
      </c>
      <c r="K340" s="140">
        <f>ROUND(IF(E340="alluminio",(I340)*3%,0)+IF(E340="alluminio smaltato",(I340)*3%,0),4)</f>
        <v>0</v>
      </c>
      <c r="L340" s="143">
        <f>ROUND((J340*C340)+(K340*C340),4)</f>
        <v>0</v>
      </c>
      <c r="M340" s="140"/>
      <c r="N340" s="140">
        <f>ROUND(+I340-H340,4)</f>
        <v>0</v>
      </c>
      <c r="O340" s="143">
        <f>ROUND(+(N340)*C340*50%,4)</f>
        <v>0</v>
      </c>
      <c r="P340" s="147">
        <f>ROUND(O340+L340,4)</f>
        <v>0</v>
      </c>
      <c r="Q340" s="80"/>
      <c r="R340" s="81"/>
      <c r="S340" s="84"/>
    </row>
    <row r="341" spans="1:19" x14ac:dyDescent="0.2">
      <c r="A341" s="47"/>
      <c r="B341" s="36"/>
      <c r="C341" s="138"/>
      <c r="D341" s="140"/>
      <c r="E341" s="48"/>
      <c r="F341" s="140"/>
      <c r="G341" s="140"/>
      <c r="H341" s="140">
        <f>ROUND(+D341+F341,4)</f>
        <v>0</v>
      </c>
      <c r="I341" s="140">
        <v>0</v>
      </c>
      <c r="J341" s="140">
        <v>0.03</v>
      </c>
      <c r="K341" s="140">
        <f>ROUND(IF(E341="alluminio",(I341)*3%,0)+IF(E341="alluminio smaltato",(I341)*3%,0),4)</f>
        <v>0</v>
      </c>
      <c r="L341" s="143">
        <f>ROUND((J341*C341)+(K341*C341),4)</f>
        <v>0</v>
      </c>
      <c r="M341" s="140"/>
      <c r="N341" s="140">
        <f>ROUND(+I341-H341,4)</f>
        <v>0</v>
      </c>
      <c r="O341" s="143">
        <f>ROUND(+(N341)*C341*50%,4)</f>
        <v>0</v>
      </c>
      <c r="P341" s="147">
        <f>ROUND(O341+L341,4)</f>
        <v>0</v>
      </c>
      <c r="Q341" s="80"/>
      <c r="R341" s="81"/>
      <c r="S341" s="84"/>
    </row>
    <row r="342" spans="1:19" x14ac:dyDescent="0.2">
      <c r="A342" s="47"/>
      <c r="B342" s="36"/>
      <c r="C342" s="138"/>
      <c r="D342" s="140"/>
      <c r="E342" s="48"/>
      <c r="F342" s="140"/>
      <c r="G342" s="140"/>
      <c r="H342" s="140">
        <f>ROUND(+D342+F342,4)</f>
        <v>0</v>
      </c>
      <c r="I342" s="140">
        <v>0</v>
      </c>
      <c r="J342" s="140">
        <v>0.03</v>
      </c>
      <c r="K342" s="140">
        <f>ROUND(IF(E342="alluminio",(I342)*3%,0)+IF(E342="alluminio smaltato",(I342)*3%,0),4)</f>
        <v>0</v>
      </c>
      <c r="L342" s="143">
        <f>ROUND((J342*C342)+(K342*C342),4)</f>
        <v>0</v>
      </c>
      <c r="M342" s="140"/>
      <c r="N342" s="140">
        <f>ROUND(+I342-H342,4)</f>
        <v>0</v>
      </c>
      <c r="O342" s="143">
        <f>ROUND(+(N342)*C342*50%,4)</f>
        <v>0</v>
      </c>
      <c r="P342" s="147">
        <f>ROUND(O342+L342,4)</f>
        <v>0</v>
      </c>
      <c r="Q342" s="80"/>
      <c r="R342" s="81"/>
      <c r="S342" s="84"/>
    </row>
    <row r="343" spans="1:19" x14ac:dyDescent="0.2">
      <c r="A343" s="47"/>
      <c r="B343" s="36"/>
      <c r="C343" s="138"/>
      <c r="D343" s="140"/>
      <c r="E343" s="48"/>
      <c r="F343" s="140"/>
      <c r="G343" s="140"/>
      <c r="H343" s="140">
        <f>ROUND(+D343+F343,4)</f>
        <v>0</v>
      </c>
      <c r="I343" s="140">
        <v>0</v>
      </c>
      <c r="J343" s="140">
        <v>0.03</v>
      </c>
      <c r="K343" s="140">
        <f>ROUND(IF(E343="alluminio",(I343)*3%,0)+IF(E343="alluminio smaltato",(I343)*3%,0),4)</f>
        <v>0</v>
      </c>
      <c r="L343" s="143">
        <f>ROUND((J343*C343)+(K343*C343),4)</f>
        <v>0</v>
      </c>
      <c r="M343" s="140"/>
      <c r="N343" s="140">
        <f>ROUND(+I343-H343,4)</f>
        <v>0</v>
      </c>
      <c r="O343" s="143">
        <f>ROUND(+(N343)*C343*50%,4)</f>
        <v>0</v>
      </c>
      <c r="P343" s="147">
        <f>ROUND(O343+L343,4)</f>
        <v>0</v>
      </c>
      <c r="Q343" s="80"/>
      <c r="R343" s="81"/>
      <c r="S343" s="84"/>
    </row>
    <row r="344" spans="1:19" x14ac:dyDescent="0.2">
      <c r="A344" s="47"/>
      <c r="B344" s="36"/>
      <c r="C344" s="138"/>
      <c r="D344" s="140"/>
      <c r="E344" s="48"/>
      <c r="F344" s="140"/>
      <c r="G344" s="140"/>
      <c r="H344" s="140">
        <f>ROUND(+D344+F344,4)</f>
        <v>0</v>
      </c>
      <c r="I344" s="140">
        <v>0</v>
      </c>
      <c r="J344" s="140">
        <v>0.03</v>
      </c>
      <c r="K344" s="140">
        <f>ROUND(IF(E344="alluminio",(I344)*3%,0)+IF(E344="alluminio smaltato",(I344)*3%,0),4)</f>
        <v>0</v>
      </c>
      <c r="L344" s="143">
        <f>ROUND((J344*C344)+(K344*C344),4)</f>
        <v>0</v>
      </c>
      <c r="M344" s="140"/>
      <c r="N344" s="140">
        <f>ROUND(+I344-H344,4)</f>
        <v>0</v>
      </c>
      <c r="O344" s="143">
        <f>ROUND(+(N344)*C344*50%,4)</f>
        <v>0</v>
      </c>
      <c r="P344" s="147">
        <f>ROUND(O344+L344,4)</f>
        <v>0</v>
      </c>
      <c r="Q344" s="80"/>
      <c r="R344" s="81"/>
      <c r="S344" s="84"/>
    </row>
    <row r="345" spans="1:19" x14ac:dyDescent="0.2">
      <c r="A345" s="47"/>
      <c r="B345" s="36"/>
      <c r="C345" s="138"/>
      <c r="D345" s="140"/>
      <c r="E345" s="48"/>
      <c r="F345" s="140"/>
      <c r="G345" s="140"/>
      <c r="H345" s="140">
        <f>ROUND(+D345+F345,4)</f>
        <v>0</v>
      </c>
      <c r="I345" s="140">
        <v>0</v>
      </c>
      <c r="J345" s="140">
        <v>0.03</v>
      </c>
      <c r="K345" s="140">
        <f>ROUND(IF(E345="alluminio",(I345)*3%,0)+IF(E345="alluminio smaltato",(I345)*3%,0),4)</f>
        <v>0</v>
      </c>
      <c r="L345" s="143">
        <f>ROUND((J345*C345)+(K345*C345),4)</f>
        <v>0</v>
      </c>
      <c r="M345" s="140"/>
      <c r="N345" s="140">
        <f>ROUND(+I345-H345,4)</f>
        <v>0</v>
      </c>
      <c r="O345" s="143">
        <f>ROUND(+(N345)*C345*50%,4)</f>
        <v>0</v>
      </c>
      <c r="P345" s="147">
        <f>ROUND(O345+L345,4)</f>
        <v>0</v>
      </c>
      <c r="Q345" s="80"/>
      <c r="R345" s="81"/>
      <c r="S345" s="84"/>
    </row>
    <row r="346" spans="1:19" x14ac:dyDescent="0.2">
      <c r="A346" s="47"/>
      <c r="B346" s="36"/>
      <c r="C346" s="138"/>
      <c r="D346" s="140"/>
      <c r="E346" s="48"/>
      <c r="F346" s="140"/>
      <c r="G346" s="140"/>
      <c r="H346" s="140">
        <f>ROUND(+D346+F346,4)</f>
        <v>0</v>
      </c>
      <c r="I346" s="140">
        <v>0</v>
      </c>
      <c r="J346" s="140">
        <v>0.03</v>
      </c>
      <c r="K346" s="140">
        <f>ROUND(IF(E346="alluminio",(I346)*3%,0)+IF(E346="alluminio smaltato",(I346)*3%,0),4)</f>
        <v>0</v>
      </c>
      <c r="L346" s="143">
        <f>ROUND((J346*C346)+(K346*C346),4)</f>
        <v>0</v>
      </c>
      <c r="M346" s="140"/>
      <c r="N346" s="140">
        <f>ROUND(+I346-H346,4)</f>
        <v>0</v>
      </c>
      <c r="O346" s="143">
        <f>ROUND(+(N346)*C346*50%,4)</f>
        <v>0</v>
      </c>
      <c r="P346" s="147">
        <f>ROUND(O346+L346,4)</f>
        <v>0</v>
      </c>
      <c r="Q346" s="80"/>
      <c r="R346" s="81"/>
      <c r="S346" s="84"/>
    </row>
    <row r="347" spans="1:19" x14ac:dyDescent="0.2">
      <c r="A347" s="47"/>
      <c r="B347" s="36"/>
      <c r="C347" s="138"/>
      <c r="D347" s="140"/>
      <c r="E347" s="48"/>
      <c r="F347" s="140"/>
      <c r="G347" s="140"/>
      <c r="H347" s="140">
        <f>ROUND(+D347+F347,4)</f>
        <v>0</v>
      </c>
      <c r="I347" s="140">
        <v>0</v>
      </c>
      <c r="J347" s="140">
        <v>0.03</v>
      </c>
      <c r="K347" s="140">
        <f>ROUND(IF(E347="alluminio",(I347)*3%,0)+IF(E347="alluminio smaltato",(I347)*3%,0),4)</f>
        <v>0</v>
      </c>
      <c r="L347" s="143">
        <f>ROUND((J347*C347)+(K347*C347),4)</f>
        <v>0</v>
      </c>
      <c r="M347" s="140"/>
      <c r="N347" s="140">
        <f>ROUND(+I347-H347,4)</f>
        <v>0</v>
      </c>
      <c r="O347" s="143">
        <f>ROUND(+(N347)*C347*50%,4)</f>
        <v>0</v>
      </c>
      <c r="P347" s="147">
        <f>ROUND(O347+L347,4)</f>
        <v>0</v>
      </c>
      <c r="Q347" s="80"/>
      <c r="R347" s="81"/>
      <c r="S347" s="84"/>
    </row>
    <row r="348" spans="1:19" x14ac:dyDescent="0.2">
      <c r="A348" s="47"/>
      <c r="B348" s="36"/>
      <c r="C348" s="138"/>
      <c r="D348" s="140"/>
      <c r="E348" s="48"/>
      <c r="F348" s="140"/>
      <c r="G348" s="140"/>
      <c r="H348" s="140">
        <f>ROUND(+D348+F348,4)</f>
        <v>0</v>
      </c>
      <c r="I348" s="140">
        <v>0</v>
      </c>
      <c r="J348" s="140">
        <v>0.03</v>
      </c>
      <c r="K348" s="140">
        <f>ROUND(IF(E348="alluminio",(I348)*3%,0)+IF(E348="alluminio smaltato",(I348)*3%,0),4)</f>
        <v>0</v>
      </c>
      <c r="L348" s="143">
        <f>ROUND((J348*C348)+(K348*C348),4)</f>
        <v>0</v>
      </c>
      <c r="M348" s="140"/>
      <c r="N348" s="140">
        <f>ROUND(+I348-H348,4)</f>
        <v>0</v>
      </c>
      <c r="O348" s="143">
        <f>ROUND(+(N348)*C348*50%,4)</f>
        <v>0</v>
      </c>
      <c r="P348" s="147">
        <f>ROUND(O348+L348,4)</f>
        <v>0</v>
      </c>
      <c r="Q348" s="80"/>
      <c r="R348" s="81"/>
      <c r="S348" s="84"/>
    </row>
    <row r="349" spans="1:19" x14ac:dyDescent="0.2">
      <c r="A349" s="47"/>
      <c r="B349" s="36"/>
      <c r="C349" s="138"/>
      <c r="D349" s="140"/>
      <c r="E349" s="48"/>
      <c r="F349" s="140"/>
      <c r="G349" s="140"/>
      <c r="H349" s="140">
        <f>ROUND(+D349+F349,4)</f>
        <v>0</v>
      </c>
      <c r="I349" s="140">
        <v>0</v>
      </c>
      <c r="J349" s="140">
        <v>0.03</v>
      </c>
      <c r="K349" s="140">
        <f>ROUND(IF(E349="alluminio",(I349)*3%,0)+IF(E349="alluminio smaltato",(I349)*3%,0),4)</f>
        <v>0</v>
      </c>
      <c r="L349" s="143">
        <f>ROUND((J349*C349)+(K349*C349),4)</f>
        <v>0</v>
      </c>
      <c r="M349" s="140"/>
      <c r="N349" s="140">
        <f>ROUND(+I349-H349,4)</f>
        <v>0</v>
      </c>
      <c r="O349" s="143">
        <f>ROUND(+(N349)*C349*50%,4)</f>
        <v>0</v>
      </c>
      <c r="P349" s="147">
        <f>ROUND(O349+L349,4)</f>
        <v>0</v>
      </c>
      <c r="Q349" s="80"/>
      <c r="R349" s="81"/>
      <c r="S349" s="84"/>
    </row>
    <row r="350" spans="1:19" x14ac:dyDescent="0.2">
      <c r="A350" s="47"/>
      <c r="B350" s="36"/>
      <c r="C350" s="138"/>
      <c r="D350" s="140"/>
      <c r="E350" s="48"/>
      <c r="F350" s="140"/>
      <c r="G350" s="140"/>
      <c r="H350" s="140">
        <f>ROUND(+D350+F350,4)</f>
        <v>0</v>
      </c>
      <c r="I350" s="140">
        <v>0</v>
      </c>
      <c r="J350" s="140">
        <v>0.03</v>
      </c>
      <c r="K350" s="140">
        <f>ROUND(IF(E350="alluminio",(I350)*3%,0)+IF(E350="alluminio smaltato",(I350)*3%,0),4)</f>
        <v>0</v>
      </c>
      <c r="L350" s="143">
        <f>ROUND((J350*C350)+(K350*C350),4)</f>
        <v>0</v>
      </c>
      <c r="M350" s="140"/>
      <c r="N350" s="140">
        <f>ROUND(+I350-H350,4)</f>
        <v>0</v>
      </c>
      <c r="O350" s="143">
        <f>ROUND(+(N350)*C350*50%,4)</f>
        <v>0</v>
      </c>
      <c r="P350" s="147">
        <f>ROUND(O350+L350,4)</f>
        <v>0</v>
      </c>
      <c r="Q350" s="80"/>
      <c r="R350" s="81"/>
      <c r="S350" s="84"/>
    </row>
    <row r="351" spans="1:19" x14ac:dyDescent="0.2">
      <c r="A351" s="47"/>
      <c r="B351" s="36"/>
      <c r="C351" s="138"/>
      <c r="D351" s="140"/>
      <c r="E351" s="48"/>
      <c r="F351" s="140"/>
      <c r="G351" s="140"/>
      <c r="H351" s="140">
        <f>ROUND(+D351+F351,4)</f>
        <v>0</v>
      </c>
      <c r="I351" s="140">
        <v>0</v>
      </c>
      <c r="J351" s="140">
        <v>0.03</v>
      </c>
      <c r="K351" s="140">
        <f>ROUND(IF(E351="alluminio",(I351)*3%,0)+IF(E351="alluminio smaltato",(I351)*3%,0),4)</f>
        <v>0</v>
      </c>
      <c r="L351" s="143">
        <f>ROUND((J351*C351)+(K351*C351),4)</f>
        <v>0</v>
      </c>
      <c r="M351" s="140"/>
      <c r="N351" s="140">
        <f>ROUND(+I351-H351,4)</f>
        <v>0</v>
      </c>
      <c r="O351" s="143">
        <f>ROUND(+(N351)*C351*50%,4)</f>
        <v>0</v>
      </c>
      <c r="P351" s="147">
        <f>ROUND(O351+L351,4)</f>
        <v>0</v>
      </c>
      <c r="Q351" s="80"/>
      <c r="R351" s="81"/>
      <c r="S351" s="84"/>
    </row>
    <row r="352" spans="1:19" x14ac:dyDescent="0.2">
      <c r="A352" s="47"/>
      <c r="B352" s="36"/>
      <c r="C352" s="138"/>
      <c r="D352" s="140"/>
      <c r="E352" s="48"/>
      <c r="F352" s="140"/>
      <c r="G352" s="140"/>
      <c r="H352" s="140">
        <f>ROUND(+D352+F352,4)</f>
        <v>0</v>
      </c>
      <c r="I352" s="140">
        <v>0</v>
      </c>
      <c r="J352" s="140">
        <v>0.03</v>
      </c>
      <c r="K352" s="140">
        <f>ROUND(IF(E352="alluminio",(I352)*3%,0)+IF(E352="alluminio smaltato",(I352)*3%,0),4)</f>
        <v>0</v>
      </c>
      <c r="L352" s="143">
        <f>ROUND((J352*C352)+(K352*C352),4)</f>
        <v>0</v>
      </c>
      <c r="M352" s="140"/>
      <c r="N352" s="140">
        <f>ROUND(+I352-H352,4)</f>
        <v>0</v>
      </c>
      <c r="O352" s="143">
        <f>ROUND(+(N352)*C352*50%,4)</f>
        <v>0</v>
      </c>
      <c r="P352" s="147">
        <f>ROUND(O352+L352,4)</f>
        <v>0</v>
      </c>
      <c r="Q352" s="80"/>
      <c r="R352" s="81"/>
      <c r="S352" s="84"/>
    </row>
    <row r="353" spans="1:19" x14ac:dyDescent="0.2">
      <c r="A353" s="47"/>
      <c r="B353" s="36"/>
      <c r="C353" s="138"/>
      <c r="D353" s="140"/>
      <c r="E353" s="48"/>
      <c r="F353" s="140"/>
      <c r="G353" s="140"/>
      <c r="H353" s="140">
        <f>ROUND(+D353+F353,4)</f>
        <v>0</v>
      </c>
      <c r="I353" s="140">
        <v>0</v>
      </c>
      <c r="J353" s="140">
        <v>0.03</v>
      </c>
      <c r="K353" s="140">
        <f>ROUND(IF(E353="alluminio",(I353)*3%,0)+IF(E353="alluminio smaltato",(I353)*3%,0),4)</f>
        <v>0</v>
      </c>
      <c r="L353" s="143">
        <f>ROUND((J353*C353)+(K353*C353),4)</f>
        <v>0</v>
      </c>
      <c r="M353" s="140"/>
      <c r="N353" s="140">
        <f>ROUND(+I353-H353,4)</f>
        <v>0</v>
      </c>
      <c r="O353" s="143">
        <f>ROUND(+(N353)*C353*50%,4)</f>
        <v>0</v>
      </c>
      <c r="P353" s="147">
        <f>ROUND(O353+L353,4)</f>
        <v>0</v>
      </c>
      <c r="Q353" s="80"/>
      <c r="R353" s="81"/>
      <c r="S353" s="84"/>
    </row>
    <row r="354" spans="1:19" x14ac:dyDescent="0.2">
      <c r="A354" s="47"/>
      <c r="B354" s="36"/>
      <c r="C354" s="138"/>
      <c r="D354" s="140"/>
      <c r="E354" s="48"/>
      <c r="F354" s="140"/>
      <c r="G354" s="140"/>
      <c r="H354" s="140">
        <f>ROUND(+D354+F354,4)</f>
        <v>0</v>
      </c>
      <c r="I354" s="140">
        <v>0</v>
      </c>
      <c r="J354" s="140">
        <v>0.03</v>
      </c>
      <c r="K354" s="140">
        <f>ROUND(IF(E354="alluminio",(I354)*3%,0)+IF(E354="alluminio smaltato",(I354)*3%,0),4)</f>
        <v>0</v>
      </c>
      <c r="L354" s="143">
        <f>ROUND((J354*C354)+(K354*C354),4)</f>
        <v>0</v>
      </c>
      <c r="M354" s="140"/>
      <c r="N354" s="140">
        <f>ROUND(+I354-H354,4)</f>
        <v>0</v>
      </c>
      <c r="O354" s="143">
        <f>ROUND(+(N354)*C354*50%,4)</f>
        <v>0</v>
      </c>
      <c r="P354" s="147">
        <f>ROUND(O354+L354,4)</f>
        <v>0</v>
      </c>
      <c r="Q354" s="80"/>
      <c r="R354" s="81"/>
      <c r="S354" s="84"/>
    </row>
    <row r="355" spans="1:19" x14ac:dyDescent="0.2">
      <c r="A355" s="47"/>
      <c r="B355" s="36"/>
      <c r="C355" s="138"/>
      <c r="D355" s="140"/>
      <c r="E355" s="48"/>
      <c r="F355" s="140"/>
      <c r="G355" s="140"/>
      <c r="H355" s="140">
        <f>ROUND(+D355+F355,4)</f>
        <v>0</v>
      </c>
      <c r="I355" s="140">
        <v>0</v>
      </c>
      <c r="J355" s="140">
        <v>0.03</v>
      </c>
      <c r="K355" s="140">
        <f>ROUND(IF(E355="alluminio",(I355)*3%,0)+IF(E355="alluminio smaltato",(I355)*3%,0),4)</f>
        <v>0</v>
      </c>
      <c r="L355" s="143">
        <f>ROUND((J355*C355)+(K355*C355),4)</f>
        <v>0</v>
      </c>
      <c r="M355" s="140"/>
      <c r="N355" s="140">
        <f>ROUND(+I355-H355,4)</f>
        <v>0</v>
      </c>
      <c r="O355" s="143">
        <f>ROUND(+(N355)*C355*50%,4)</f>
        <v>0</v>
      </c>
      <c r="P355" s="147">
        <f>ROUND(O355+L355,4)</f>
        <v>0</v>
      </c>
      <c r="Q355" s="80"/>
      <c r="R355" s="81"/>
      <c r="S355" s="84"/>
    </row>
    <row r="356" spans="1:19" x14ac:dyDescent="0.2">
      <c r="A356" s="47"/>
      <c r="B356" s="36"/>
      <c r="C356" s="138"/>
      <c r="D356" s="140"/>
      <c r="E356" s="48"/>
      <c r="F356" s="140"/>
      <c r="G356" s="140"/>
      <c r="H356" s="140">
        <f>ROUND(+D356+F356,4)</f>
        <v>0</v>
      </c>
      <c r="I356" s="140">
        <v>0</v>
      </c>
      <c r="J356" s="140">
        <v>0.03</v>
      </c>
      <c r="K356" s="140">
        <f>ROUND(IF(E356="alluminio",(I356)*3%,0)+IF(E356="alluminio smaltato",(I356)*3%,0),4)</f>
        <v>0</v>
      </c>
      <c r="L356" s="143">
        <f>ROUND((J356*C356)+(K356*C356),4)</f>
        <v>0</v>
      </c>
      <c r="M356" s="140"/>
      <c r="N356" s="140">
        <f>ROUND(+I356-H356,4)</f>
        <v>0</v>
      </c>
      <c r="O356" s="143">
        <f>ROUND(+(N356)*C356*50%,4)</f>
        <v>0</v>
      </c>
      <c r="P356" s="147">
        <f>ROUND(O356+L356,4)</f>
        <v>0</v>
      </c>
      <c r="Q356" s="80"/>
      <c r="R356" s="81"/>
      <c r="S356" s="84"/>
    </row>
    <row r="357" spans="1:19" x14ac:dyDescent="0.2">
      <c r="A357" s="47"/>
      <c r="B357" s="36"/>
      <c r="C357" s="138"/>
      <c r="D357" s="140"/>
      <c r="E357" s="48"/>
      <c r="F357" s="140"/>
      <c r="G357" s="140"/>
      <c r="H357" s="140">
        <f>ROUND(+D357+F357,4)</f>
        <v>0</v>
      </c>
      <c r="I357" s="140">
        <v>0</v>
      </c>
      <c r="J357" s="140">
        <v>0.03</v>
      </c>
      <c r="K357" s="140">
        <f>ROUND(IF(E357="alluminio",(I357)*3%,0)+IF(E357="alluminio smaltato",(I357)*3%,0),4)</f>
        <v>0</v>
      </c>
      <c r="L357" s="143">
        <f>ROUND((J357*C357)+(K357*C357),4)</f>
        <v>0</v>
      </c>
      <c r="M357" s="140"/>
      <c r="N357" s="140">
        <f>ROUND(+I357-H357,4)</f>
        <v>0</v>
      </c>
      <c r="O357" s="143">
        <f>ROUND(+(N357)*C357*50%,4)</f>
        <v>0</v>
      </c>
      <c r="P357" s="147">
        <f>ROUND(O357+L357,4)</f>
        <v>0</v>
      </c>
      <c r="Q357" s="80"/>
      <c r="R357" s="81"/>
      <c r="S357" s="84"/>
    </row>
    <row r="358" spans="1:19" x14ac:dyDescent="0.2">
      <c r="A358" s="47"/>
      <c r="B358" s="36"/>
      <c r="C358" s="138"/>
      <c r="D358" s="140"/>
      <c r="E358" s="48"/>
      <c r="F358" s="140"/>
      <c r="G358" s="140"/>
      <c r="H358" s="140">
        <f>ROUND(+D358+F358,4)</f>
        <v>0</v>
      </c>
      <c r="I358" s="140">
        <v>0</v>
      </c>
      <c r="J358" s="140">
        <v>0.03</v>
      </c>
      <c r="K358" s="140">
        <f>ROUND(IF(E358="alluminio",(I358)*3%,0)+IF(E358="alluminio smaltato",(I358)*3%,0),4)</f>
        <v>0</v>
      </c>
      <c r="L358" s="143">
        <f>ROUND((J358*C358)+(K358*C358),4)</f>
        <v>0</v>
      </c>
      <c r="M358" s="140"/>
      <c r="N358" s="140">
        <f>ROUND(+I358-H358,4)</f>
        <v>0</v>
      </c>
      <c r="O358" s="143">
        <f>ROUND(+(N358)*C358*50%,4)</f>
        <v>0</v>
      </c>
      <c r="P358" s="147">
        <f>ROUND(O358+L358,4)</f>
        <v>0</v>
      </c>
      <c r="Q358" s="80"/>
      <c r="R358" s="81"/>
      <c r="S358" s="84"/>
    </row>
    <row r="359" spans="1:19" x14ac:dyDescent="0.2">
      <c r="A359" s="47"/>
      <c r="B359" s="36"/>
      <c r="C359" s="138"/>
      <c r="D359" s="140"/>
      <c r="E359" s="48"/>
      <c r="F359" s="140"/>
      <c r="G359" s="140"/>
      <c r="H359" s="140">
        <f>ROUND(+D359+F359,4)</f>
        <v>0</v>
      </c>
      <c r="I359" s="140">
        <v>0</v>
      </c>
      <c r="J359" s="140">
        <v>0.03</v>
      </c>
      <c r="K359" s="140">
        <f>ROUND(IF(E359="alluminio",(I359)*3%,0)+IF(E359="alluminio smaltato",(I359)*3%,0),4)</f>
        <v>0</v>
      </c>
      <c r="L359" s="143">
        <f>ROUND((J359*C359)+(K359*C359),4)</f>
        <v>0</v>
      </c>
      <c r="M359" s="140"/>
      <c r="N359" s="140">
        <f>ROUND(+I359-H359,4)</f>
        <v>0</v>
      </c>
      <c r="O359" s="143">
        <f>ROUND(+(N359)*C359*50%,4)</f>
        <v>0</v>
      </c>
      <c r="P359" s="147">
        <f>ROUND(O359+L359,4)</f>
        <v>0</v>
      </c>
      <c r="Q359" s="80"/>
      <c r="R359" s="81"/>
      <c r="S359" s="84"/>
    </row>
    <row r="360" spans="1:19" x14ac:dyDescent="0.2">
      <c r="A360" s="47"/>
      <c r="B360" s="36"/>
      <c r="C360" s="138"/>
      <c r="D360" s="140"/>
      <c r="E360" s="48"/>
      <c r="F360" s="140"/>
      <c r="G360" s="140"/>
      <c r="H360" s="140">
        <f>ROUND(+D360+F360,4)</f>
        <v>0</v>
      </c>
      <c r="I360" s="140">
        <v>0</v>
      </c>
      <c r="J360" s="140">
        <v>0.03</v>
      </c>
      <c r="K360" s="140">
        <f>ROUND(IF(E360="alluminio",(I360)*3%,0)+IF(E360="alluminio smaltato",(I360)*3%,0),4)</f>
        <v>0</v>
      </c>
      <c r="L360" s="143">
        <f>ROUND((J360*C360)+(K360*C360),4)</f>
        <v>0</v>
      </c>
      <c r="M360" s="140"/>
      <c r="N360" s="140">
        <f>ROUND(+I360-H360,4)</f>
        <v>0</v>
      </c>
      <c r="O360" s="143">
        <f>ROUND(+(N360)*C360*50%,4)</f>
        <v>0</v>
      </c>
      <c r="P360" s="147">
        <f>ROUND(O360+L360,4)</f>
        <v>0</v>
      </c>
      <c r="Q360" s="80"/>
      <c r="R360" s="81"/>
      <c r="S360" s="84"/>
    </row>
    <row r="361" spans="1:19" x14ac:dyDescent="0.2">
      <c r="A361" s="47"/>
      <c r="B361" s="36"/>
      <c r="C361" s="138"/>
      <c r="D361" s="140"/>
      <c r="E361" s="48"/>
      <c r="F361" s="140"/>
      <c r="G361" s="140"/>
      <c r="H361" s="140">
        <f>ROUND(+D361+F361,4)</f>
        <v>0</v>
      </c>
      <c r="I361" s="140">
        <v>0</v>
      </c>
      <c r="J361" s="140">
        <v>0.03</v>
      </c>
      <c r="K361" s="140">
        <f>ROUND(IF(E361="alluminio",(I361)*3%,0)+IF(E361="alluminio smaltato",(I361)*3%,0),4)</f>
        <v>0</v>
      </c>
      <c r="L361" s="143">
        <f>ROUND((J361*C361)+(K361*C361),4)</f>
        <v>0</v>
      </c>
      <c r="M361" s="140"/>
      <c r="N361" s="140">
        <f>ROUND(+I361-H361,4)</f>
        <v>0</v>
      </c>
      <c r="O361" s="143">
        <f>ROUND(+(N361)*C361*50%,4)</f>
        <v>0</v>
      </c>
      <c r="P361" s="147">
        <f>ROUND(O361+L361,4)</f>
        <v>0</v>
      </c>
      <c r="Q361" s="80"/>
      <c r="R361" s="81"/>
      <c r="S361" s="84"/>
    </row>
    <row r="362" spans="1:19" x14ac:dyDescent="0.2">
      <c r="A362" s="47"/>
      <c r="B362" s="36"/>
      <c r="C362" s="138"/>
      <c r="D362" s="140"/>
      <c r="E362" s="48"/>
      <c r="F362" s="140"/>
      <c r="G362" s="140"/>
      <c r="H362" s="140">
        <f>ROUND(+D362+F362,4)</f>
        <v>0</v>
      </c>
      <c r="I362" s="140">
        <v>0</v>
      </c>
      <c r="J362" s="140">
        <v>0.03</v>
      </c>
      <c r="K362" s="140">
        <f>ROUND(IF(E362="alluminio",(I362)*3%,0)+IF(E362="alluminio smaltato",(I362)*3%,0),4)</f>
        <v>0</v>
      </c>
      <c r="L362" s="143">
        <f>ROUND((J362*C362)+(K362*C362),4)</f>
        <v>0</v>
      </c>
      <c r="M362" s="140"/>
      <c r="N362" s="140">
        <f>ROUND(+I362-H362,4)</f>
        <v>0</v>
      </c>
      <c r="O362" s="143">
        <f>ROUND(+(N362)*C362*50%,4)</f>
        <v>0</v>
      </c>
      <c r="P362" s="147">
        <f>ROUND(O362+L362,4)</f>
        <v>0</v>
      </c>
      <c r="Q362" s="80"/>
      <c r="R362" s="81"/>
      <c r="S362" s="84"/>
    </row>
    <row r="363" spans="1:19" x14ac:dyDescent="0.2">
      <c r="A363" s="47"/>
      <c r="B363" s="36"/>
      <c r="C363" s="138"/>
      <c r="D363" s="140"/>
      <c r="E363" s="48"/>
      <c r="F363" s="140"/>
      <c r="G363" s="140"/>
      <c r="H363" s="140">
        <f>ROUND(+D363+F363,4)</f>
        <v>0</v>
      </c>
      <c r="I363" s="140">
        <v>0</v>
      </c>
      <c r="J363" s="140">
        <v>0.03</v>
      </c>
      <c r="K363" s="140">
        <f>ROUND(IF(E363="alluminio",(I363)*3%,0)+IF(E363="alluminio smaltato",(I363)*3%,0),4)</f>
        <v>0</v>
      </c>
      <c r="L363" s="143">
        <f>ROUND((J363*C363)+(K363*C363),4)</f>
        <v>0</v>
      </c>
      <c r="M363" s="140"/>
      <c r="N363" s="140">
        <f>ROUND(+I363-H363,4)</f>
        <v>0</v>
      </c>
      <c r="O363" s="143">
        <f>ROUND(+(N363)*C363*50%,4)</f>
        <v>0</v>
      </c>
      <c r="P363" s="147">
        <f>ROUND(O363+L363,4)</f>
        <v>0</v>
      </c>
      <c r="Q363" s="80"/>
      <c r="R363" s="81"/>
      <c r="S363" s="84"/>
    </row>
    <row r="364" spans="1:19" x14ac:dyDescent="0.2">
      <c r="A364" s="47"/>
      <c r="B364" s="36"/>
      <c r="C364" s="138"/>
      <c r="D364" s="140"/>
      <c r="E364" s="48"/>
      <c r="F364" s="140"/>
      <c r="G364" s="140"/>
      <c r="H364" s="140">
        <f>ROUND(+D364+F364,4)</f>
        <v>0</v>
      </c>
      <c r="I364" s="140">
        <v>0</v>
      </c>
      <c r="J364" s="140">
        <v>0.03</v>
      </c>
      <c r="K364" s="140">
        <f>ROUND(IF(E364="alluminio",(I364)*3%,0)+IF(E364="alluminio smaltato",(I364)*3%,0),4)</f>
        <v>0</v>
      </c>
      <c r="L364" s="143">
        <f>ROUND((J364*C364)+(K364*C364),4)</f>
        <v>0</v>
      </c>
      <c r="M364" s="140"/>
      <c r="N364" s="140">
        <f>ROUND(+I364-H364,4)</f>
        <v>0</v>
      </c>
      <c r="O364" s="143">
        <f>ROUND(+(N364)*C364*50%,4)</f>
        <v>0</v>
      </c>
      <c r="P364" s="147">
        <f>ROUND(O364+L364,4)</f>
        <v>0</v>
      </c>
      <c r="Q364" s="80"/>
      <c r="R364" s="81"/>
      <c r="S364" s="84"/>
    </row>
    <row r="365" spans="1:19" x14ac:dyDescent="0.2">
      <c r="A365" s="47"/>
      <c r="B365" s="36"/>
      <c r="C365" s="138"/>
      <c r="D365" s="140"/>
      <c r="E365" s="48"/>
      <c r="F365" s="140"/>
      <c r="G365" s="140"/>
      <c r="H365" s="140">
        <f>ROUND(+D365+F365,4)</f>
        <v>0</v>
      </c>
      <c r="I365" s="140">
        <v>0</v>
      </c>
      <c r="J365" s="140">
        <v>0.03</v>
      </c>
      <c r="K365" s="140">
        <f>ROUND(IF(E365="alluminio",(I365)*3%,0)+IF(E365="alluminio smaltato",(I365)*3%,0),4)</f>
        <v>0</v>
      </c>
      <c r="L365" s="143">
        <f>ROUND((J365*C365)+(K365*C365),4)</f>
        <v>0</v>
      </c>
      <c r="M365" s="140"/>
      <c r="N365" s="140">
        <f>ROUND(+I365-H365,4)</f>
        <v>0</v>
      </c>
      <c r="O365" s="143">
        <f>ROUND(+(N365)*C365*50%,4)</f>
        <v>0</v>
      </c>
      <c r="P365" s="147">
        <f>ROUND(O365+L365,4)</f>
        <v>0</v>
      </c>
      <c r="Q365" s="80"/>
      <c r="R365" s="81"/>
      <c r="S365" s="84"/>
    </row>
    <row r="366" spans="1:19" x14ac:dyDescent="0.2">
      <c r="A366" s="47"/>
      <c r="B366" s="36"/>
      <c r="C366" s="138"/>
      <c r="D366" s="140"/>
      <c r="E366" s="48"/>
      <c r="F366" s="140"/>
      <c r="G366" s="140"/>
      <c r="H366" s="140">
        <f>ROUND(+D366+F366,4)</f>
        <v>0</v>
      </c>
      <c r="I366" s="140">
        <v>0</v>
      </c>
      <c r="J366" s="140">
        <v>0.03</v>
      </c>
      <c r="K366" s="140">
        <f>ROUND(IF(E366="alluminio",(I366)*3%,0)+IF(E366="alluminio smaltato",(I366)*3%,0),4)</f>
        <v>0</v>
      </c>
      <c r="L366" s="143">
        <f>ROUND((J366*C366)+(K366*C366),4)</f>
        <v>0</v>
      </c>
      <c r="M366" s="140"/>
      <c r="N366" s="140">
        <f>ROUND(+I366-H366,4)</f>
        <v>0</v>
      </c>
      <c r="O366" s="143">
        <f>ROUND(+(N366)*C366*50%,4)</f>
        <v>0</v>
      </c>
      <c r="P366" s="147">
        <f>ROUND(O366+L366,4)</f>
        <v>0</v>
      </c>
      <c r="Q366" s="80"/>
      <c r="R366" s="81"/>
      <c r="S366" s="84"/>
    </row>
    <row r="367" spans="1:19" x14ac:dyDescent="0.2">
      <c r="A367" s="47"/>
      <c r="B367" s="36"/>
      <c r="C367" s="138"/>
      <c r="D367" s="140"/>
      <c r="E367" s="48"/>
      <c r="F367" s="140"/>
      <c r="G367" s="140"/>
      <c r="H367" s="140">
        <f>ROUND(+D367+F367,4)</f>
        <v>0</v>
      </c>
      <c r="I367" s="140">
        <v>0</v>
      </c>
      <c r="J367" s="140">
        <v>0.03</v>
      </c>
      <c r="K367" s="140">
        <f>ROUND(IF(E367="alluminio",(I367)*3%,0)+IF(E367="alluminio smaltato",(I367)*3%,0),4)</f>
        <v>0</v>
      </c>
      <c r="L367" s="143">
        <f>ROUND((J367*C367)+(K367*C367),4)</f>
        <v>0</v>
      </c>
      <c r="M367" s="140"/>
      <c r="N367" s="140">
        <f>ROUND(+I367-H367,4)</f>
        <v>0</v>
      </c>
      <c r="O367" s="143">
        <f>ROUND(+(N367)*C367*50%,4)</f>
        <v>0</v>
      </c>
      <c r="P367" s="147">
        <f>ROUND(O367+L367,4)</f>
        <v>0</v>
      </c>
      <c r="Q367" s="80"/>
      <c r="R367" s="81"/>
      <c r="S367" s="84"/>
    </row>
    <row r="368" spans="1:19" x14ac:dyDescent="0.2">
      <c r="A368" s="47"/>
      <c r="B368" s="36"/>
      <c r="C368" s="138"/>
      <c r="D368" s="140"/>
      <c r="E368" s="48"/>
      <c r="F368" s="140"/>
      <c r="G368" s="140"/>
      <c r="H368" s="140">
        <f>ROUND(+D368+F368,4)</f>
        <v>0</v>
      </c>
      <c r="I368" s="140">
        <v>0</v>
      </c>
      <c r="J368" s="140">
        <v>0.03</v>
      </c>
      <c r="K368" s="140">
        <f>ROUND(IF(E368="alluminio",(I368)*3%,0)+IF(E368="alluminio smaltato",(I368)*3%,0),4)</f>
        <v>0</v>
      </c>
      <c r="L368" s="143">
        <f>ROUND((J368*C368)+(K368*C368),4)</f>
        <v>0</v>
      </c>
      <c r="M368" s="140"/>
      <c r="N368" s="140">
        <f>ROUND(+I368-H368,4)</f>
        <v>0</v>
      </c>
      <c r="O368" s="143">
        <f>ROUND(+(N368)*C368*50%,4)</f>
        <v>0</v>
      </c>
      <c r="P368" s="147">
        <f>ROUND(O368+L368,4)</f>
        <v>0</v>
      </c>
      <c r="Q368" s="80"/>
      <c r="R368" s="81"/>
      <c r="S368" s="84"/>
    </row>
    <row r="369" spans="1:19" x14ac:dyDescent="0.2">
      <c r="A369" s="47"/>
      <c r="B369" s="36"/>
      <c r="C369" s="138"/>
      <c r="D369" s="140"/>
      <c r="E369" s="48"/>
      <c r="F369" s="140"/>
      <c r="G369" s="140"/>
      <c r="H369" s="140">
        <f>ROUND(+D369+F369,4)</f>
        <v>0</v>
      </c>
      <c r="I369" s="140">
        <v>0</v>
      </c>
      <c r="J369" s="140">
        <v>0.03</v>
      </c>
      <c r="K369" s="140">
        <f>ROUND(IF(E369="alluminio",(I369)*3%,0)+IF(E369="alluminio smaltato",(I369)*3%,0),4)</f>
        <v>0</v>
      </c>
      <c r="L369" s="143">
        <f>ROUND((J369*C369)+(K369*C369),4)</f>
        <v>0</v>
      </c>
      <c r="M369" s="140"/>
      <c r="N369" s="140">
        <f>ROUND(+I369-H369,4)</f>
        <v>0</v>
      </c>
      <c r="O369" s="143">
        <f>ROUND(+(N369)*C369*50%,4)</f>
        <v>0</v>
      </c>
      <c r="P369" s="147">
        <f>ROUND(O369+L369,4)</f>
        <v>0</v>
      </c>
      <c r="Q369" s="80"/>
      <c r="R369" s="81"/>
      <c r="S369" s="84"/>
    </row>
    <row r="370" spans="1:19" x14ac:dyDescent="0.2">
      <c r="A370" s="47"/>
      <c r="B370" s="36"/>
      <c r="C370" s="138"/>
      <c r="D370" s="140"/>
      <c r="E370" s="48"/>
      <c r="F370" s="140"/>
      <c r="G370" s="140"/>
      <c r="H370" s="140">
        <f>ROUND(+D370+F370,4)</f>
        <v>0</v>
      </c>
      <c r="I370" s="140">
        <v>0</v>
      </c>
      <c r="J370" s="140">
        <v>0.03</v>
      </c>
      <c r="K370" s="140">
        <f>ROUND(IF(E370="alluminio",(I370)*3%,0)+IF(E370="alluminio smaltato",(I370)*3%,0),4)</f>
        <v>0</v>
      </c>
      <c r="L370" s="143">
        <f>ROUND((J370*C370)+(K370*C370),4)</f>
        <v>0</v>
      </c>
      <c r="M370" s="140"/>
      <c r="N370" s="140">
        <f>ROUND(+I370-H370,4)</f>
        <v>0</v>
      </c>
      <c r="O370" s="143">
        <f>ROUND(+(N370)*C370*50%,4)</f>
        <v>0</v>
      </c>
      <c r="P370" s="147">
        <f>ROUND(O370+L370,4)</f>
        <v>0</v>
      </c>
      <c r="Q370" s="80"/>
      <c r="R370" s="81"/>
      <c r="S370" s="84"/>
    </row>
    <row r="371" spans="1:19" x14ac:dyDescent="0.2">
      <c r="A371" s="47"/>
      <c r="B371" s="36"/>
      <c r="C371" s="138"/>
      <c r="D371" s="140"/>
      <c r="E371" s="48"/>
      <c r="F371" s="140"/>
      <c r="G371" s="140"/>
      <c r="H371" s="140">
        <f>ROUND(+D371+F371,4)</f>
        <v>0</v>
      </c>
      <c r="I371" s="140">
        <v>0</v>
      </c>
      <c r="J371" s="140">
        <v>0.03</v>
      </c>
      <c r="K371" s="140">
        <f>ROUND(IF(E371="alluminio",(I371)*3%,0)+IF(E371="alluminio smaltato",(I371)*3%,0),4)</f>
        <v>0</v>
      </c>
      <c r="L371" s="143">
        <f>ROUND((J371*C371)+(K371*C371),4)</f>
        <v>0</v>
      </c>
      <c r="M371" s="140"/>
      <c r="N371" s="140">
        <f>ROUND(+I371-H371,4)</f>
        <v>0</v>
      </c>
      <c r="O371" s="143">
        <f>ROUND(+(N371)*C371*50%,4)</f>
        <v>0</v>
      </c>
      <c r="P371" s="147">
        <f>ROUND(O371+L371,4)</f>
        <v>0</v>
      </c>
      <c r="Q371" s="80"/>
      <c r="R371" s="81"/>
      <c r="S371" s="84"/>
    </row>
    <row r="372" spans="1:19" x14ac:dyDescent="0.2">
      <c r="A372" s="47"/>
      <c r="B372" s="36"/>
      <c r="C372" s="138"/>
      <c r="D372" s="140"/>
      <c r="E372" s="48"/>
      <c r="F372" s="140"/>
      <c r="G372" s="140"/>
      <c r="H372" s="140">
        <f>ROUND(+D372+F372,4)</f>
        <v>0</v>
      </c>
      <c r="I372" s="140">
        <v>0</v>
      </c>
      <c r="J372" s="140">
        <v>0.03</v>
      </c>
      <c r="K372" s="140">
        <f>ROUND(IF(E372="alluminio",(I372)*3%,0)+IF(E372="alluminio smaltato",(I372)*3%,0),4)</f>
        <v>0</v>
      </c>
      <c r="L372" s="143">
        <f>ROUND((J372*C372)+(K372*C372),4)</f>
        <v>0</v>
      </c>
      <c r="M372" s="140"/>
      <c r="N372" s="140">
        <f>ROUND(+I372-H372,4)</f>
        <v>0</v>
      </c>
      <c r="O372" s="143">
        <f>ROUND(+(N372)*C372*50%,4)</f>
        <v>0</v>
      </c>
      <c r="P372" s="147">
        <f>ROUND(O372+L372,4)</f>
        <v>0</v>
      </c>
      <c r="Q372" s="80"/>
      <c r="R372" s="81"/>
      <c r="S372" s="84"/>
    </row>
    <row r="373" spans="1:19" x14ac:dyDescent="0.2">
      <c r="A373" s="47"/>
      <c r="B373" s="36"/>
      <c r="C373" s="138"/>
      <c r="D373" s="140"/>
      <c r="E373" s="48"/>
      <c r="F373" s="140"/>
      <c r="G373" s="140"/>
      <c r="H373" s="140">
        <f>ROUND(+D373+F373,4)</f>
        <v>0</v>
      </c>
      <c r="I373" s="140">
        <v>0</v>
      </c>
      <c r="J373" s="140">
        <v>0.03</v>
      </c>
      <c r="K373" s="140">
        <f>ROUND(IF(E373="alluminio",(I373)*3%,0)+IF(E373="alluminio smaltato",(I373)*3%,0),4)</f>
        <v>0</v>
      </c>
      <c r="L373" s="143">
        <f>ROUND((J373*C373)+(K373*C373),4)</f>
        <v>0</v>
      </c>
      <c r="M373" s="140"/>
      <c r="N373" s="140">
        <f>ROUND(+I373-H373,4)</f>
        <v>0</v>
      </c>
      <c r="O373" s="143">
        <f>ROUND(+(N373)*C373*50%,4)</f>
        <v>0</v>
      </c>
      <c r="P373" s="147">
        <f>ROUND(O373+L373,4)</f>
        <v>0</v>
      </c>
      <c r="Q373" s="80"/>
      <c r="R373" s="81"/>
      <c r="S373" s="84"/>
    </row>
    <row r="374" spans="1:19" x14ac:dyDescent="0.2">
      <c r="A374" s="47"/>
      <c r="B374" s="36"/>
      <c r="C374" s="138"/>
      <c r="D374" s="140"/>
      <c r="E374" s="48"/>
      <c r="F374" s="140"/>
      <c r="G374" s="140"/>
      <c r="H374" s="140">
        <f>ROUND(+D374+F374,4)</f>
        <v>0</v>
      </c>
      <c r="I374" s="140">
        <v>0</v>
      </c>
      <c r="J374" s="140">
        <v>0.03</v>
      </c>
      <c r="K374" s="140">
        <f>ROUND(IF(E374="alluminio",(I374)*3%,0)+IF(E374="alluminio smaltato",(I374)*3%,0),4)</f>
        <v>0</v>
      </c>
      <c r="L374" s="143">
        <f>ROUND((J374*C374)+(K374*C374),4)</f>
        <v>0</v>
      </c>
      <c r="M374" s="140"/>
      <c r="N374" s="140">
        <f>ROUND(+I374-H374,4)</f>
        <v>0</v>
      </c>
      <c r="O374" s="143">
        <f>ROUND(+(N374)*C374*50%,4)</f>
        <v>0</v>
      </c>
      <c r="P374" s="147">
        <f>ROUND(O374+L374,4)</f>
        <v>0</v>
      </c>
      <c r="Q374" s="80"/>
      <c r="R374" s="81"/>
      <c r="S374" s="84"/>
    </row>
    <row r="375" spans="1:19" x14ac:dyDescent="0.2">
      <c r="A375" s="47"/>
      <c r="B375" s="36"/>
      <c r="C375" s="138"/>
      <c r="D375" s="140"/>
      <c r="E375" s="48"/>
      <c r="F375" s="140"/>
      <c r="G375" s="140"/>
      <c r="H375" s="140">
        <f>ROUND(+D375+F375,4)</f>
        <v>0</v>
      </c>
      <c r="I375" s="140">
        <v>0</v>
      </c>
      <c r="J375" s="140">
        <v>0.03</v>
      </c>
      <c r="K375" s="140">
        <f>ROUND(IF(E375="alluminio",(I375)*3%,0)+IF(E375="alluminio smaltato",(I375)*3%,0),4)</f>
        <v>0</v>
      </c>
      <c r="L375" s="143">
        <f>ROUND((J375*C375)+(K375*C375),4)</f>
        <v>0</v>
      </c>
      <c r="M375" s="140"/>
      <c r="N375" s="140">
        <f>ROUND(+I375-H375,4)</f>
        <v>0</v>
      </c>
      <c r="O375" s="143">
        <f>ROUND(+(N375)*C375*50%,4)</f>
        <v>0</v>
      </c>
      <c r="P375" s="147">
        <f>ROUND(O375+L375,4)</f>
        <v>0</v>
      </c>
      <c r="Q375" s="80"/>
      <c r="R375" s="81"/>
      <c r="S375" s="84"/>
    </row>
    <row r="376" spans="1:19" x14ac:dyDescent="0.2">
      <c r="A376" s="47"/>
      <c r="B376" s="36"/>
      <c r="C376" s="138"/>
      <c r="D376" s="140"/>
      <c r="E376" s="48"/>
      <c r="F376" s="140"/>
      <c r="G376" s="140"/>
      <c r="H376" s="140">
        <f>ROUND(+D376+F376,4)</f>
        <v>0</v>
      </c>
      <c r="I376" s="140">
        <v>0</v>
      </c>
      <c r="J376" s="140">
        <v>0.03</v>
      </c>
      <c r="K376" s="140">
        <f>ROUND(IF(E376="alluminio",(I376)*3%,0)+IF(E376="alluminio smaltato",(I376)*3%,0),4)</f>
        <v>0</v>
      </c>
      <c r="L376" s="143">
        <f>ROUND((J376*C376)+(K376*C376),4)</f>
        <v>0</v>
      </c>
      <c r="M376" s="140"/>
      <c r="N376" s="140">
        <f>ROUND(+I376-H376,4)</f>
        <v>0</v>
      </c>
      <c r="O376" s="143">
        <f>ROUND(+(N376)*C376*50%,4)</f>
        <v>0</v>
      </c>
      <c r="P376" s="147">
        <f>ROUND(O376+L376,4)</f>
        <v>0</v>
      </c>
      <c r="Q376" s="80"/>
      <c r="R376" s="81"/>
      <c r="S376" s="84"/>
    </row>
    <row r="377" spans="1:19" x14ac:dyDescent="0.2">
      <c r="A377" s="47"/>
      <c r="B377" s="36"/>
      <c r="C377" s="138"/>
      <c r="D377" s="140"/>
      <c r="E377" s="48"/>
      <c r="F377" s="140"/>
      <c r="G377" s="140"/>
      <c r="H377" s="140">
        <f>ROUND(+D377+F377,4)</f>
        <v>0</v>
      </c>
      <c r="I377" s="140">
        <v>0</v>
      </c>
      <c r="J377" s="140">
        <v>0.03</v>
      </c>
      <c r="K377" s="140">
        <f>ROUND(IF(E377="alluminio",(I377)*3%,0)+IF(E377="alluminio smaltato",(I377)*3%,0),4)</f>
        <v>0</v>
      </c>
      <c r="L377" s="143">
        <f>ROUND((J377*C377)+(K377*C377),4)</f>
        <v>0</v>
      </c>
      <c r="M377" s="140"/>
      <c r="N377" s="140">
        <f>ROUND(+I377-H377,4)</f>
        <v>0</v>
      </c>
      <c r="O377" s="143">
        <f>ROUND(+(N377)*C377*50%,4)</f>
        <v>0</v>
      </c>
      <c r="P377" s="147">
        <f>ROUND(O377+L377,4)</f>
        <v>0</v>
      </c>
      <c r="Q377" s="80"/>
      <c r="R377" s="81"/>
      <c r="S377" s="84"/>
    </row>
    <row r="378" spans="1:19" x14ac:dyDescent="0.2">
      <c r="A378" s="47"/>
      <c r="B378" s="36"/>
      <c r="C378" s="138"/>
      <c r="D378" s="140"/>
      <c r="E378" s="48"/>
      <c r="F378" s="140"/>
      <c r="G378" s="140"/>
      <c r="H378" s="140">
        <f>ROUND(+D378+F378,4)</f>
        <v>0</v>
      </c>
      <c r="I378" s="140">
        <v>0</v>
      </c>
      <c r="J378" s="140">
        <v>0.03</v>
      </c>
      <c r="K378" s="140">
        <f>ROUND(IF(E378="alluminio",(I378)*3%,0)+IF(E378="alluminio smaltato",(I378)*3%,0),4)</f>
        <v>0</v>
      </c>
      <c r="L378" s="143">
        <f>ROUND((J378*C378)+(K378*C378),4)</f>
        <v>0</v>
      </c>
      <c r="M378" s="140"/>
      <c r="N378" s="140">
        <f>ROUND(+I378-H378,4)</f>
        <v>0</v>
      </c>
      <c r="O378" s="143">
        <f>ROUND(+(N378)*C378*50%,4)</f>
        <v>0</v>
      </c>
      <c r="P378" s="147">
        <f>ROUND(O378+L378,4)</f>
        <v>0</v>
      </c>
      <c r="Q378" s="80"/>
      <c r="R378" s="81"/>
      <c r="S378" s="84"/>
    </row>
    <row r="379" spans="1:19" x14ac:dyDescent="0.2">
      <c r="A379" s="47"/>
      <c r="B379" s="36"/>
      <c r="C379" s="138"/>
      <c r="D379" s="140"/>
      <c r="E379" s="48"/>
      <c r="F379" s="140"/>
      <c r="G379" s="140"/>
      <c r="H379" s="140">
        <f>ROUND(+D379+F379,4)</f>
        <v>0</v>
      </c>
      <c r="I379" s="140">
        <v>0</v>
      </c>
      <c r="J379" s="140">
        <v>0.03</v>
      </c>
      <c r="K379" s="140">
        <f>ROUND(IF(E379="alluminio",(I379)*3%,0)+IF(E379="alluminio smaltato",(I379)*3%,0),4)</f>
        <v>0</v>
      </c>
      <c r="L379" s="143">
        <f>ROUND((J379*C379)+(K379*C379),4)</f>
        <v>0</v>
      </c>
      <c r="M379" s="140"/>
      <c r="N379" s="140">
        <f>ROUND(+I379-H379,4)</f>
        <v>0</v>
      </c>
      <c r="O379" s="143">
        <f>ROUND(+(N379)*C379*50%,4)</f>
        <v>0</v>
      </c>
      <c r="P379" s="147">
        <f>ROUND(O379+L379,4)</f>
        <v>0</v>
      </c>
      <c r="Q379" s="80"/>
      <c r="R379" s="81"/>
      <c r="S379" s="84"/>
    </row>
    <row r="380" spans="1:19" x14ac:dyDescent="0.2">
      <c r="A380" s="47"/>
      <c r="B380" s="36"/>
      <c r="C380" s="138"/>
      <c r="D380" s="140"/>
      <c r="E380" s="48"/>
      <c r="F380" s="140"/>
      <c r="G380" s="140"/>
      <c r="H380" s="140">
        <f>ROUND(+D380+F380,4)</f>
        <v>0</v>
      </c>
      <c r="I380" s="140">
        <v>0</v>
      </c>
      <c r="J380" s="140">
        <v>0.03</v>
      </c>
      <c r="K380" s="140">
        <f>ROUND(IF(E380="alluminio",(I380)*3%,0)+IF(E380="alluminio smaltato",(I380)*3%,0),4)</f>
        <v>0</v>
      </c>
      <c r="L380" s="143">
        <f>ROUND((J380*C380)+(K380*C380),4)</f>
        <v>0</v>
      </c>
      <c r="M380" s="140"/>
      <c r="N380" s="140">
        <f>ROUND(+I380-H380,4)</f>
        <v>0</v>
      </c>
      <c r="O380" s="143">
        <f>ROUND(+(N380)*C380*50%,4)</f>
        <v>0</v>
      </c>
      <c r="P380" s="147">
        <f>ROUND(O380+L380,4)</f>
        <v>0</v>
      </c>
      <c r="Q380" s="80"/>
      <c r="R380" s="81"/>
      <c r="S380" s="84"/>
    </row>
    <row r="381" spans="1:19" x14ac:dyDescent="0.2">
      <c r="A381" s="47"/>
      <c r="B381" s="36"/>
      <c r="C381" s="138"/>
      <c r="D381" s="140"/>
      <c r="E381" s="48"/>
      <c r="F381" s="140"/>
      <c r="G381" s="140"/>
      <c r="H381" s="140">
        <f>ROUND(+D381+F381,4)</f>
        <v>0</v>
      </c>
      <c r="I381" s="140">
        <v>0</v>
      </c>
      <c r="J381" s="140">
        <v>0.03</v>
      </c>
      <c r="K381" s="140">
        <f>ROUND(IF(E381="alluminio",(I381)*3%,0)+IF(E381="alluminio smaltato",(I381)*3%,0),4)</f>
        <v>0</v>
      </c>
      <c r="L381" s="143">
        <f>ROUND((J381*C381)+(K381*C381),4)</f>
        <v>0</v>
      </c>
      <c r="M381" s="140"/>
      <c r="N381" s="140">
        <f>ROUND(+I381-H381,4)</f>
        <v>0</v>
      </c>
      <c r="O381" s="143">
        <f>ROUND(+(N381)*C381*50%,4)</f>
        <v>0</v>
      </c>
      <c r="P381" s="147">
        <f>ROUND(O381+L381,4)</f>
        <v>0</v>
      </c>
      <c r="Q381" s="80"/>
      <c r="R381" s="81"/>
      <c r="S381" s="84"/>
    </row>
    <row r="382" spans="1:19" x14ac:dyDescent="0.2">
      <c r="A382" s="47"/>
      <c r="B382" s="36"/>
      <c r="C382" s="138"/>
      <c r="D382" s="140"/>
      <c r="E382" s="48"/>
      <c r="F382" s="140"/>
      <c r="G382" s="140"/>
      <c r="H382" s="140">
        <f>ROUND(+D382+F382,4)</f>
        <v>0</v>
      </c>
      <c r="I382" s="140">
        <v>0</v>
      </c>
      <c r="J382" s="140">
        <v>0.03</v>
      </c>
      <c r="K382" s="140">
        <f>ROUND(IF(E382="alluminio",(I382)*3%,0)+IF(E382="alluminio smaltato",(I382)*3%,0),4)</f>
        <v>0</v>
      </c>
      <c r="L382" s="143">
        <f>ROUND((J382*C382)+(K382*C382),4)</f>
        <v>0</v>
      </c>
      <c r="M382" s="140"/>
      <c r="N382" s="140">
        <f>ROUND(+I382-H382,4)</f>
        <v>0</v>
      </c>
      <c r="O382" s="143">
        <f>ROUND(+(N382)*C382*50%,4)</f>
        <v>0</v>
      </c>
      <c r="P382" s="147">
        <f>ROUND(O382+L382,4)</f>
        <v>0</v>
      </c>
      <c r="Q382" s="80"/>
      <c r="R382" s="81"/>
      <c r="S382" s="84"/>
    </row>
    <row r="383" spans="1:19" x14ac:dyDescent="0.2">
      <c r="A383" s="47"/>
      <c r="B383" s="36"/>
      <c r="C383" s="138"/>
      <c r="D383" s="140"/>
      <c r="E383" s="48"/>
      <c r="F383" s="140"/>
      <c r="G383" s="140"/>
      <c r="H383" s="140">
        <f>ROUND(+D383+F383,4)</f>
        <v>0</v>
      </c>
      <c r="I383" s="140">
        <v>0</v>
      </c>
      <c r="J383" s="140">
        <v>0.03</v>
      </c>
      <c r="K383" s="140">
        <f>ROUND(IF(E383="alluminio",(I383)*3%,0)+IF(E383="alluminio smaltato",(I383)*3%,0),4)</f>
        <v>0</v>
      </c>
      <c r="L383" s="143">
        <f>ROUND((J383*C383)+(K383*C383),4)</f>
        <v>0</v>
      </c>
      <c r="M383" s="140"/>
      <c r="N383" s="140">
        <f>ROUND(+I383-H383,4)</f>
        <v>0</v>
      </c>
      <c r="O383" s="143">
        <f>ROUND(+(N383)*C383*50%,4)</f>
        <v>0</v>
      </c>
      <c r="P383" s="147">
        <f>ROUND(O383+L383,4)</f>
        <v>0</v>
      </c>
      <c r="Q383" s="80"/>
      <c r="R383" s="81"/>
      <c r="S383" s="84"/>
    </row>
    <row r="384" spans="1:19" x14ac:dyDescent="0.2">
      <c r="A384" s="47"/>
      <c r="B384" s="36"/>
      <c r="C384" s="138"/>
      <c r="D384" s="140"/>
      <c r="E384" s="48"/>
      <c r="F384" s="140"/>
      <c r="G384" s="140"/>
      <c r="H384" s="140">
        <f>ROUND(+D384+F384,4)</f>
        <v>0</v>
      </c>
      <c r="I384" s="140">
        <v>0</v>
      </c>
      <c r="J384" s="140">
        <v>0.03</v>
      </c>
      <c r="K384" s="140">
        <f>ROUND(IF(E384="alluminio",(I384)*3%,0)+IF(E384="alluminio smaltato",(I384)*3%,0),4)</f>
        <v>0</v>
      </c>
      <c r="L384" s="143">
        <f>ROUND((J384*C384)+(K384*C384),4)</f>
        <v>0</v>
      </c>
      <c r="M384" s="140"/>
      <c r="N384" s="140">
        <f>ROUND(+I384-H384,4)</f>
        <v>0</v>
      </c>
      <c r="O384" s="143">
        <f>ROUND(+(N384)*C384*50%,4)</f>
        <v>0</v>
      </c>
      <c r="P384" s="147">
        <f>ROUND(O384+L384,4)</f>
        <v>0</v>
      </c>
      <c r="Q384" s="80"/>
      <c r="R384" s="81"/>
      <c r="S384" s="84"/>
    </row>
    <row r="385" spans="1:19" x14ac:dyDescent="0.2">
      <c r="A385" s="47"/>
      <c r="B385" s="36"/>
      <c r="C385" s="138"/>
      <c r="D385" s="140"/>
      <c r="E385" s="48"/>
      <c r="F385" s="140"/>
      <c r="G385" s="140"/>
      <c r="H385" s="140">
        <f>ROUND(+D385+F385,4)</f>
        <v>0</v>
      </c>
      <c r="I385" s="140">
        <v>0</v>
      </c>
      <c r="J385" s="140">
        <v>0.03</v>
      </c>
      <c r="K385" s="140">
        <f>ROUND(IF(E385="alluminio",(I385)*3%,0)+IF(E385="alluminio smaltato",(I385)*3%,0),4)</f>
        <v>0</v>
      </c>
      <c r="L385" s="143">
        <f>ROUND((J385*C385)+(K385*C385),4)</f>
        <v>0</v>
      </c>
      <c r="M385" s="140"/>
      <c r="N385" s="140">
        <f>ROUND(+I385-H385,4)</f>
        <v>0</v>
      </c>
      <c r="O385" s="143">
        <f>ROUND(+(N385)*C385*50%,4)</f>
        <v>0</v>
      </c>
      <c r="P385" s="147">
        <f>ROUND(O385+L385,4)</f>
        <v>0</v>
      </c>
      <c r="Q385" s="80"/>
      <c r="R385" s="81"/>
      <c r="S385" s="84"/>
    </row>
    <row r="386" spans="1:19" x14ac:dyDescent="0.2">
      <c r="A386" s="47"/>
      <c r="B386" s="36"/>
      <c r="C386" s="138"/>
      <c r="D386" s="140"/>
      <c r="E386" s="48"/>
      <c r="F386" s="140"/>
      <c r="G386" s="140"/>
      <c r="H386" s="140">
        <f>ROUND(+D386+F386,4)</f>
        <v>0</v>
      </c>
      <c r="I386" s="140">
        <v>0</v>
      </c>
      <c r="J386" s="140">
        <v>0.03</v>
      </c>
      <c r="K386" s="140">
        <f>ROUND(IF(E386="alluminio",(I386)*3%,0)+IF(E386="alluminio smaltato",(I386)*3%,0),4)</f>
        <v>0</v>
      </c>
      <c r="L386" s="143">
        <f>ROUND((J386*C386)+(K386*C386),4)</f>
        <v>0</v>
      </c>
      <c r="M386" s="140"/>
      <c r="N386" s="140">
        <f>ROUND(+I386-H386,4)</f>
        <v>0</v>
      </c>
      <c r="O386" s="143">
        <f>ROUND(+(N386)*C386*50%,4)</f>
        <v>0</v>
      </c>
      <c r="P386" s="147">
        <f>ROUND(O386+L386,4)</f>
        <v>0</v>
      </c>
      <c r="Q386" s="80"/>
      <c r="R386" s="81"/>
      <c r="S386" s="84"/>
    </row>
    <row r="387" spans="1:19" x14ac:dyDescent="0.2">
      <c r="A387" s="47"/>
      <c r="B387" s="36"/>
      <c r="C387" s="138"/>
      <c r="D387" s="140"/>
      <c r="E387" s="48"/>
      <c r="F387" s="140"/>
      <c r="G387" s="140"/>
      <c r="H387" s="140">
        <f>ROUND(+D387+F387,4)</f>
        <v>0</v>
      </c>
      <c r="I387" s="140">
        <v>0</v>
      </c>
      <c r="J387" s="140">
        <v>0.03</v>
      </c>
      <c r="K387" s="140">
        <f>ROUND(IF(E387="alluminio",(I387)*3%,0)+IF(E387="alluminio smaltato",(I387)*3%,0),4)</f>
        <v>0</v>
      </c>
      <c r="L387" s="143">
        <f>ROUND((J387*C387)+(K387*C387),4)</f>
        <v>0</v>
      </c>
      <c r="M387" s="140"/>
      <c r="N387" s="140">
        <f>ROUND(+I387-H387,4)</f>
        <v>0</v>
      </c>
      <c r="O387" s="143">
        <f>ROUND(+(N387)*C387*50%,4)</f>
        <v>0</v>
      </c>
      <c r="P387" s="147">
        <f>ROUND(O387+L387,4)</f>
        <v>0</v>
      </c>
      <c r="Q387" s="80"/>
      <c r="R387" s="81"/>
      <c r="S387" s="84"/>
    </row>
    <row r="388" spans="1:19" x14ac:dyDescent="0.2">
      <c r="A388" s="47"/>
      <c r="B388" s="36"/>
      <c r="C388" s="138"/>
      <c r="D388" s="140"/>
      <c r="E388" s="48"/>
      <c r="F388" s="140"/>
      <c r="G388" s="140"/>
      <c r="H388" s="140">
        <f>ROUND(+D388+F388,4)</f>
        <v>0</v>
      </c>
      <c r="I388" s="140">
        <v>0</v>
      </c>
      <c r="J388" s="140">
        <v>0.03</v>
      </c>
      <c r="K388" s="140">
        <f>ROUND(IF(E388="alluminio",(I388)*3%,0)+IF(E388="alluminio smaltato",(I388)*3%,0),4)</f>
        <v>0</v>
      </c>
      <c r="L388" s="143">
        <f>ROUND((J388*C388)+(K388*C388),4)</f>
        <v>0</v>
      </c>
      <c r="M388" s="140"/>
      <c r="N388" s="140">
        <f>ROUND(+I388-H388,4)</f>
        <v>0</v>
      </c>
      <c r="O388" s="143">
        <f>ROUND(+(N388)*C388*50%,4)</f>
        <v>0</v>
      </c>
      <c r="P388" s="147">
        <f>ROUND(O388+L388,4)</f>
        <v>0</v>
      </c>
      <c r="Q388" s="80"/>
      <c r="R388" s="81"/>
      <c r="S388" s="84"/>
    </row>
    <row r="389" spans="1:19" x14ac:dyDescent="0.2">
      <c r="A389" s="47"/>
      <c r="B389" s="36"/>
      <c r="C389" s="138"/>
      <c r="D389" s="140"/>
      <c r="E389" s="48"/>
      <c r="F389" s="140"/>
      <c r="G389" s="140"/>
      <c r="H389" s="140">
        <f>ROUND(+D389+F389,4)</f>
        <v>0</v>
      </c>
      <c r="I389" s="140">
        <v>0</v>
      </c>
      <c r="J389" s="140">
        <v>0.03</v>
      </c>
      <c r="K389" s="140">
        <f>ROUND(IF(E389="alluminio",(I389)*3%,0)+IF(E389="alluminio smaltato",(I389)*3%,0),4)</f>
        <v>0</v>
      </c>
      <c r="L389" s="143">
        <f>ROUND((J389*C389)+(K389*C389),4)</f>
        <v>0</v>
      </c>
      <c r="M389" s="140"/>
      <c r="N389" s="140">
        <f>ROUND(+I389-H389,4)</f>
        <v>0</v>
      </c>
      <c r="O389" s="143">
        <f>ROUND(+(N389)*C389*50%,4)</f>
        <v>0</v>
      </c>
      <c r="P389" s="147">
        <f>ROUND(O389+L389,4)</f>
        <v>0</v>
      </c>
      <c r="Q389" s="80"/>
      <c r="R389" s="81"/>
      <c r="S389" s="84"/>
    </row>
    <row r="390" spans="1:19" x14ac:dyDescent="0.2">
      <c r="A390" s="47"/>
      <c r="B390" s="36"/>
      <c r="C390" s="138"/>
      <c r="D390" s="140"/>
      <c r="E390" s="48"/>
      <c r="F390" s="140"/>
      <c r="G390" s="140"/>
      <c r="H390" s="140">
        <f>ROUND(+D390+F390,4)</f>
        <v>0</v>
      </c>
      <c r="I390" s="140">
        <v>0</v>
      </c>
      <c r="J390" s="140">
        <v>0.03</v>
      </c>
      <c r="K390" s="140">
        <f>ROUND(IF(E390="alluminio",(I390)*3%,0)+IF(E390="alluminio smaltato",(I390)*3%,0),4)</f>
        <v>0</v>
      </c>
      <c r="L390" s="143">
        <f>ROUND((J390*C390)+(K390*C390),4)</f>
        <v>0</v>
      </c>
      <c r="M390" s="140"/>
      <c r="N390" s="140">
        <f>ROUND(+I390-H390,4)</f>
        <v>0</v>
      </c>
      <c r="O390" s="143">
        <f>ROUND(+(N390)*C390*50%,4)</f>
        <v>0</v>
      </c>
      <c r="P390" s="147">
        <f>ROUND(O390+L390,4)</f>
        <v>0</v>
      </c>
      <c r="Q390" s="80"/>
      <c r="R390" s="81"/>
      <c r="S390" s="84"/>
    </row>
    <row r="391" spans="1:19" x14ac:dyDescent="0.2">
      <c r="A391" s="47"/>
      <c r="B391" s="36"/>
      <c r="C391" s="138"/>
      <c r="D391" s="140"/>
      <c r="E391" s="48"/>
      <c r="F391" s="140"/>
      <c r="G391" s="140"/>
      <c r="H391" s="140">
        <f>ROUND(+D391+F391,4)</f>
        <v>0</v>
      </c>
      <c r="I391" s="140">
        <v>0</v>
      </c>
      <c r="J391" s="140">
        <v>0.03</v>
      </c>
      <c r="K391" s="140">
        <f>ROUND(IF(E391="alluminio",(I391)*3%,0)+IF(E391="alluminio smaltato",(I391)*3%,0),4)</f>
        <v>0</v>
      </c>
      <c r="L391" s="143">
        <f>ROUND((J391*C391)+(K391*C391),4)</f>
        <v>0</v>
      </c>
      <c r="M391" s="140"/>
      <c r="N391" s="140">
        <f>ROUND(+I391-H391,4)</f>
        <v>0</v>
      </c>
      <c r="O391" s="143">
        <f>ROUND(+(N391)*C391*50%,4)</f>
        <v>0</v>
      </c>
      <c r="P391" s="147">
        <f>ROUND(O391+L391,4)</f>
        <v>0</v>
      </c>
      <c r="Q391" s="80"/>
      <c r="R391" s="81"/>
      <c r="S391" s="84"/>
    </row>
    <row r="392" spans="1:19" x14ac:dyDescent="0.2">
      <c r="A392" s="47"/>
      <c r="B392" s="36"/>
      <c r="C392" s="138"/>
      <c r="D392" s="140"/>
      <c r="E392" s="48"/>
      <c r="F392" s="140"/>
      <c r="G392" s="140"/>
      <c r="H392" s="140">
        <f>ROUND(+D392+F392,4)</f>
        <v>0</v>
      </c>
      <c r="I392" s="140">
        <v>0</v>
      </c>
      <c r="J392" s="140">
        <v>0.03</v>
      </c>
      <c r="K392" s="140">
        <f>ROUND(IF(E392="alluminio",(I392)*3%,0)+IF(E392="alluminio smaltato",(I392)*3%,0),4)</f>
        <v>0</v>
      </c>
      <c r="L392" s="143">
        <f>ROUND((J392*C392)+(K392*C392),4)</f>
        <v>0</v>
      </c>
      <c r="M392" s="140"/>
      <c r="N392" s="140">
        <f>ROUND(+I392-H392,4)</f>
        <v>0</v>
      </c>
      <c r="O392" s="143">
        <f>ROUND(+(N392)*C392*50%,4)</f>
        <v>0</v>
      </c>
      <c r="P392" s="147">
        <f>ROUND(O392+L392,4)</f>
        <v>0</v>
      </c>
      <c r="Q392" s="80"/>
      <c r="R392" s="81"/>
      <c r="S392" s="84"/>
    </row>
    <row r="393" spans="1:19" x14ac:dyDescent="0.2">
      <c r="A393" s="47"/>
      <c r="B393" s="36"/>
      <c r="C393" s="138"/>
      <c r="D393" s="140"/>
      <c r="E393" s="48"/>
      <c r="F393" s="140"/>
      <c r="G393" s="140"/>
      <c r="H393" s="140">
        <f>ROUND(+D393+F393,4)</f>
        <v>0</v>
      </c>
      <c r="I393" s="140">
        <v>0</v>
      </c>
      <c r="J393" s="140">
        <v>0.03</v>
      </c>
      <c r="K393" s="140">
        <f>ROUND(IF(E393="alluminio",(I393)*3%,0)+IF(E393="alluminio smaltato",(I393)*3%,0),4)</f>
        <v>0</v>
      </c>
      <c r="L393" s="143">
        <f>ROUND((J393*C393)+(K393*C393),4)</f>
        <v>0</v>
      </c>
      <c r="M393" s="140"/>
      <c r="N393" s="140">
        <f>ROUND(+I393-H393,4)</f>
        <v>0</v>
      </c>
      <c r="O393" s="143">
        <f>ROUND(+(N393)*C393*50%,4)</f>
        <v>0</v>
      </c>
      <c r="P393" s="147">
        <f>ROUND(O393+L393,4)</f>
        <v>0</v>
      </c>
      <c r="Q393" s="80"/>
      <c r="R393" s="81"/>
      <c r="S393" s="84"/>
    </row>
    <row r="394" spans="1:19" x14ac:dyDescent="0.2">
      <c r="A394" s="47"/>
      <c r="B394" s="36"/>
      <c r="C394" s="138"/>
      <c r="D394" s="140"/>
      <c r="E394" s="48"/>
      <c r="F394" s="140"/>
      <c r="G394" s="140"/>
      <c r="H394" s="140">
        <f>ROUND(+D394+F394,4)</f>
        <v>0</v>
      </c>
      <c r="I394" s="140">
        <v>0</v>
      </c>
      <c r="J394" s="140">
        <v>0.03</v>
      </c>
      <c r="K394" s="140">
        <f>ROUND(IF(E394="alluminio",(I394)*3%,0)+IF(E394="alluminio smaltato",(I394)*3%,0),4)</f>
        <v>0</v>
      </c>
      <c r="L394" s="143">
        <f>ROUND((J394*C394)+(K394*C394),4)</f>
        <v>0</v>
      </c>
      <c r="M394" s="140"/>
      <c r="N394" s="140">
        <f>ROUND(+I394-H394,4)</f>
        <v>0</v>
      </c>
      <c r="O394" s="143">
        <f>ROUND(+(N394)*C394*50%,4)</f>
        <v>0</v>
      </c>
      <c r="P394" s="147">
        <f>ROUND(O394+L394,4)</f>
        <v>0</v>
      </c>
      <c r="Q394" s="80"/>
      <c r="R394" s="81"/>
      <c r="S394" s="84"/>
    </row>
    <row r="395" spans="1:19" x14ac:dyDescent="0.2">
      <c r="A395" s="47"/>
      <c r="B395" s="36"/>
      <c r="C395" s="138"/>
      <c r="D395" s="140"/>
      <c r="E395" s="48"/>
      <c r="F395" s="140"/>
      <c r="G395" s="140"/>
      <c r="H395" s="140">
        <f>ROUND(+D395+F395,4)</f>
        <v>0</v>
      </c>
      <c r="I395" s="140">
        <v>0</v>
      </c>
      <c r="J395" s="140">
        <v>0.03</v>
      </c>
      <c r="K395" s="140">
        <f>ROUND(IF(E395="alluminio",(I395)*3%,0)+IF(E395="alluminio smaltato",(I395)*3%,0),4)</f>
        <v>0</v>
      </c>
      <c r="L395" s="143">
        <f>ROUND((J395*C395)+(K395*C395),4)</f>
        <v>0</v>
      </c>
      <c r="M395" s="140"/>
      <c r="N395" s="140">
        <f>ROUND(+I395-H395,4)</f>
        <v>0</v>
      </c>
      <c r="O395" s="143">
        <f>ROUND(+(N395)*C395*50%,4)</f>
        <v>0</v>
      </c>
      <c r="P395" s="147">
        <f>ROUND(O395+L395,4)</f>
        <v>0</v>
      </c>
      <c r="Q395" s="80"/>
      <c r="R395" s="81"/>
      <c r="S395" s="84"/>
    </row>
    <row r="396" spans="1:19" x14ac:dyDescent="0.2">
      <c r="A396" s="47"/>
      <c r="B396" s="36"/>
      <c r="C396" s="138"/>
      <c r="D396" s="140"/>
      <c r="E396" s="48"/>
      <c r="F396" s="140"/>
      <c r="G396" s="140"/>
      <c r="H396" s="140">
        <f>ROUND(+D396+F396,4)</f>
        <v>0</v>
      </c>
      <c r="I396" s="140">
        <v>0</v>
      </c>
      <c r="J396" s="140">
        <v>0.03</v>
      </c>
      <c r="K396" s="140">
        <f>ROUND(IF(E396="alluminio",(I396)*3%,0)+IF(E396="alluminio smaltato",(I396)*3%,0),4)</f>
        <v>0</v>
      </c>
      <c r="L396" s="143">
        <f>ROUND((J396*C396)+(K396*C396),4)</f>
        <v>0</v>
      </c>
      <c r="M396" s="140"/>
      <c r="N396" s="140">
        <f>ROUND(+I396-H396,4)</f>
        <v>0</v>
      </c>
      <c r="O396" s="143">
        <f>ROUND(+(N396)*C396*50%,4)</f>
        <v>0</v>
      </c>
      <c r="P396" s="147">
        <f>ROUND(O396+L396,4)</f>
        <v>0</v>
      </c>
      <c r="Q396" s="80"/>
      <c r="R396" s="81"/>
      <c r="S396" s="84"/>
    </row>
    <row r="397" spans="1:19" x14ac:dyDescent="0.2">
      <c r="A397" s="47"/>
      <c r="B397" s="36"/>
      <c r="C397" s="138"/>
      <c r="D397" s="140"/>
      <c r="E397" s="48"/>
      <c r="F397" s="140"/>
      <c r="G397" s="140"/>
      <c r="H397" s="140">
        <f>ROUND(+D397+F397,4)</f>
        <v>0</v>
      </c>
      <c r="I397" s="140">
        <v>0</v>
      </c>
      <c r="J397" s="140">
        <v>0.03</v>
      </c>
      <c r="K397" s="140">
        <f>ROUND(IF(E397="alluminio",(I397)*3%,0)+IF(E397="alluminio smaltato",(I397)*3%,0),4)</f>
        <v>0</v>
      </c>
      <c r="L397" s="143">
        <f>ROUND((J397*C397)+(K397*C397),4)</f>
        <v>0</v>
      </c>
      <c r="M397" s="140"/>
      <c r="N397" s="140">
        <f>ROUND(+I397-H397,4)</f>
        <v>0</v>
      </c>
      <c r="O397" s="143">
        <f>ROUND(+(N397)*C397*50%,4)</f>
        <v>0</v>
      </c>
      <c r="P397" s="147">
        <f>ROUND(O397+L397,4)</f>
        <v>0</v>
      </c>
      <c r="Q397" s="80"/>
      <c r="R397" s="81"/>
      <c r="S397" s="84"/>
    </row>
    <row r="398" spans="1:19" x14ac:dyDescent="0.2">
      <c r="A398" s="47"/>
      <c r="B398" s="36"/>
      <c r="C398" s="138"/>
      <c r="D398" s="140"/>
      <c r="E398" s="48"/>
      <c r="F398" s="140"/>
      <c r="G398" s="140"/>
      <c r="H398" s="140">
        <f>ROUND(+D398+F398,4)</f>
        <v>0</v>
      </c>
      <c r="I398" s="140">
        <v>0</v>
      </c>
      <c r="J398" s="140">
        <v>0.03</v>
      </c>
      <c r="K398" s="140">
        <f>ROUND(IF(E398="alluminio",(I398)*3%,0)+IF(E398="alluminio smaltato",(I398)*3%,0),4)</f>
        <v>0</v>
      </c>
      <c r="L398" s="143">
        <f>ROUND((J398*C398)+(K398*C398),4)</f>
        <v>0</v>
      </c>
      <c r="M398" s="140"/>
      <c r="N398" s="140">
        <f>ROUND(+I398-H398,4)</f>
        <v>0</v>
      </c>
      <c r="O398" s="143">
        <f>ROUND(+(N398)*C398*50%,4)</f>
        <v>0</v>
      </c>
      <c r="P398" s="147">
        <f>ROUND(O398+L398,4)</f>
        <v>0</v>
      </c>
      <c r="Q398" s="80"/>
      <c r="R398" s="81"/>
      <c r="S398" s="84"/>
    </row>
    <row r="399" spans="1:19" x14ac:dyDescent="0.2">
      <c r="A399" s="47"/>
      <c r="B399" s="36"/>
      <c r="C399" s="138"/>
      <c r="D399" s="140"/>
      <c r="E399" s="48"/>
      <c r="F399" s="140"/>
      <c r="G399" s="140"/>
      <c r="H399" s="140">
        <f>ROUND(+D399+F399,4)</f>
        <v>0</v>
      </c>
      <c r="I399" s="140">
        <v>0</v>
      </c>
      <c r="J399" s="140">
        <v>0.03</v>
      </c>
      <c r="K399" s="140">
        <f>ROUND(IF(E399="alluminio",(I399)*3%,0)+IF(E399="alluminio smaltato",(I399)*3%,0),4)</f>
        <v>0</v>
      </c>
      <c r="L399" s="143">
        <f>ROUND((J399*C399)+(K399*C399),4)</f>
        <v>0</v>
      </c>
      <c r="M399" s="140"/>
      <c r="N399" s="140">
        <f>ROUND(+I399-H399,4)</f>
        <v>0</v>
      </c>
      <c r="O399" s="143">
        <f>ROUND(+(N399)*C399*50%,4)</f>
        <v>0</v>
      </c>
      <c r="P399" s="147">
        <f>ROUND(O399+L399,4)</f>
        <v>0</v>
      </c>
      <c r="Q399" s="80"/>
      <c r="R399" s="81"/>
      <c r="S399" s="84"/>
    </row>
    <row r="400" spans="1:19" x14ac:dyDescent="0.2">
      <c r="A400" s="47"/>
      <c r="B400" s="36"/>
      <c r="C400" s="138"/>
      <c r="D400" s="140"/>
      <c r="E400" s="48"/>
      <c r="F400" s="140"/>
      <c r="G400" s="140"/>
      <c r="H400" s="140">
        <f>ROUND(+D400+F400,4)</f>
        <v>0</v>
      </c>
      <c r="I400" s="140">
        <v>0</v>
      </c>
      <c r="J400" s="140">
        <v>0.03</v>
      </c>
      <c r="K400" s="140">
        <f>ROUND(IF(E400="alluminio",(I400)*3%,0)+IF(E400="alluminio smaltato",(I400)*3%,0),4)</f>
        <v>0</v>
      </c>
      <c r="L400" s="143">
        <f>ROUND((J400*C400)+(K400*C400),4)</f>
        <v>0</v>
      </c>
      <c r="M400" s="140"/>
      <c r="N400" s="140">
        <f>ROUND(+I400-H400,4)</f>
        <v>0</v>
      </c>
      <c r="O400" s="143">
        <f>ROUND(+(N400)*C400*50%,4)</f>
        <v>0</v>
      </c>
      <c r="P400" s="147">
        <f>ROUND(O400+L400,4)</f>
        <v>0</v>
      </c>
      <c r="Q400" s="80"/>
      <c r="R400" s="81"/>
      <c r="S400" s="84"/>
    </row>
    <row r="401" spans="1:19" x14ac:dyDescent="0.2">
      <c r="A401" s="47"/>
      <c r="B401" s="36"/>
      <c r="C401" s="138"/>
      <c r="D401" s="140"/>
      <c r="E401" s="48"/>
      <c r="F401" s="140"/>
      <c r="G401" s="140"/>
      <c r="H401" s="140">
        <f>ROUND(+D401+F401,4)</f>
        <v>0</v>
      </c>
      <c r="I401" s="140">
        <v>0</v>
      </c>
      <c r="J401" s="140">
        <v>0.03</v>
      </c>
      <c r="K401" s="140">
        <f>ROUND(IF(E401="alluminio",(I401)*3%,0)+IF(E401="alluminio smaltato",(I401)*3%,0),4)</f>
        <v>0</v>
      </c>
      <c r="L401" s="143">
        <f>ROUND((J401*C401)+(K401*C401),4)</f>
        <v>0</v>
      </c>
      <c r="M401" s="140"/>
      <c r="N401" s="140">
        <f>ROUND(+I401-H401,4)</f>
        <v>0</v>
      </c>
      <c r="O401" s="143">
        <f>ROUND(+(N401)*C401*50%,4)</f>
        <v>0</v>
      </c>
      <c r="P401" s="147">
        <f>ROUND(O401+L401,4)</f>
        <v>0</v>
      </c>
      <c r="Q401" s="80"/>
      <c r="R401" s="81"/>
      <c r="S401" s="84"/>
    </row>
    <row r="402" spans="1:19" x14ac:dyDescent="0.2">
      <c r="A402" s="47"/>
      <c r="B402" s="36"/>
      <c r="C402" s="138"/>
      <c r="D402" s="140"/>
      <c r="E402" s="48"/>
      <c r="F402" s="140"/>
      <c r="G402" s="140"/>
      <c r="H402" s="140">
        <f>ROUND(+D402+F402,4)</f>
        <v>0</v>
      </c>
      <c r="I402" s="140">
        <v>0</v>
      </c>
      <c r="J402" s="140">
        <v>0.03</v>
      </c>
      <c r="K402" s="140">
        <f>ROUND(IF(E402="alluminio",(I402)*3%,0)+IF(E402="alluminio smaltato",(I402)*3%,0),4)</f>
        <v>0</v>
      </c>
      <c r="L402" s="143">
        <f>ROUND((J402*C402)+(K402*C402),4)</f>
        <v>0</v>
      </c>
      <c r="M402" s="140"/>
      <c r="N402" s="140">
        <f>ROUND(+I402-H402,4)</f>
        <v>0</v>
      </c>
      <c r="O402" s="143">
        <f>ROUND(+(N402)*C402*50%,4)</f>
        <v>0</v>
      </c>
      <c r="P402" s="147">
        <f>ROUND(O402+L402,4)</f>
        <v>0</v>
      </c>
      <c r="Q402" s="80"/>
      <c r="R402" s="81"/>
      <c r="S402" s="84"/>
    </row>
    <row r="403" spans="1:19" x14ac:dyDescent="0.2">
      <c r="A403" s="47"/>
      <c r="B403" s="36"/>
      <c r="C403" s="138"/>
      <c r="D403" s="140"/>
      <c r="E403" s="48"/>
      <c r="F403" s="140"/>
      <c r="G403" s="140"/>
      <c r="H403" s="140">
        <f>ROUND(+D403+F403,4)</f>
        <v>0</v>
      </c>
      <c r="I403" s="140">
        <v>0</v>
      </c>
      <c r="J403" s="140">
        <v>0.03</v>
      </c>
      <c r="K403" s="140">
        <f>ROUND(IF(E403="alluminio",(I403)*3%,0)+IF(E403="alluminio smaltato",(I403)*3%,0),4)</f>
        <v>0</v>
      </c>
      <c r="L403" s="143">
        <f>ROUND((J403*C403)+(K403*C403),4)</f>
        <v>0</v>
      </c>
      <c r="M403" s="140"/>
      <c r="N403" s="140">
        <f>ROUND(+I403-H403,4)</f>
        <v>0</v>
      </c>
      <c r="O403" s="143">
        <f>ROUND(+(N403)*C403*50%,4)</f>
        <v>0</v>
      </c>
      <c r="P403" s="147">
        <f>ROUND(O403+L403,4)</f>
        <v>0</v>
      </c>
      <c r="Q403" s="80"/>
      <c r="R403" s="81"/>
      <c r="S403" s="84"/>
    </row>
    <row r="404" spans="1:19" x14ac:dyDescent="0.2">
      <c r="A404" s="47"/>
      <c r="B404" s="36"/>
      <c r="C404" s="138"/>
      <c r="D404" s="140"/>
      <c r="E404" s="48"/>
      <c r="F404" s="140"/>
      <c r="G404" s="140"/>
      <c r="H404" s="140">
        <f>ROUND(+D404+F404,4)</f>
        <v>0</v>
      </c>
      <c r="I404" s="140">
        <v>0</v>
      </c>
      <c r="J404" s="140">
        <v>0.03</v>
      </c>
      <c r="K404" s="140">
        <f>ROUND(IF(E404="alluminio",(I404)*3%,0)+IF(E404="alluminio smaltato",(I404)*3%,0),4)</f>
        <v>0</v>
      </c>
      <c r="L404" s="143">
        <f>ROUND((J404*C404)+(K404*C404),4)</f>
        <v>0</v>
      </c>
      <c r="M404" s="140"/>
      <c r="N404" s="140">
        <f>ROUND(+I404-H404,4)</f>
        <v>0</v>
      </c>
      <c r="O404" s="143">
        <f>ROUND(+(N404)*C404*50%,4)</f>
        <v>0</v>
      </c>
      <c r="P404" s="147">
        <f>ROUND(O404+L404,4)</f>
        <v>0</v>
      </c>
      <c r="Q404" s="80"/>
      <c r="R404" s="81"/>
      <c r="S404" s="84"/>
    </row>
    <row r="405" spans="1:19" x14ac:dyDescent="0.2">
      <c r="A405" s="47"/>
      <c r="B405" s="36"/>
      <c r="C405" s="138"/>
      <c r="D405" s="140"/>
      <c r="E405" s="48"/>
      <c r="F405" s="140"/>
      <c r="G405" s="140"/>
      <c r="H405" s="140">
        <f>ROUND(+D405+F405,4)</f>
        <v>0</v>
      </c>
      <c r="I405" s="140">
        <v>0</v>
      </c>
      <c r="J405" s="140">
        <v>0.03</v>
      </c>
      <c r="K405" s="140">
        <f>ROUND(IF(E405="alluminio",(I405)*3%,0)+IF(E405="alluminio smaltato",(I405)*3%,0),4)</f>
        <v>0</v>
      </c>
      <c r="L405" s="143">
        <f>ROUND((J405*C405)+(K405*C405),4)</f>
        <v>0</v>
      </c>
      <c r="M405" s="140"/>
      <c r="N405" s="140">
        <f>ROUND(+I405-H405,4)</f>
        <v>0</v>
      </c>
      <c r="O405" s="143">
        <f>ROUND(+(N405)*C405*50%,4)</f>
        <v>0</v>
      </c>
      <c r="P405" s="147">
        <f>ROUND(O405+L405,4)</f>
        <v>0</v>
      </c>
      <c r="Q405" s="80"/>
      <c r="R405" s="81"/>
      <c r="S405" s="84"/>
    </row>
    <row r="406" spans="1:19" x14ac:dyDescent="0.2">
      <c r="A406" s="47"/>
      <c r="B406" s="36"/>
      <c r="C406" s="138"/>
      <c r="D406" s="140"/>
      <c r="E406" s="48"/>
      <c r="F406" s="140"/>
      <c r="G406" s="140"/>
      <c r="H406" s="140">
        <f>ROUND(+D406+F406,4)</f>
        <v>0</v>
      </c>
      <c r="I406" s="140">
        <v>0</v>
      </c>
      <c r="J406" s="140">
        <v>0.03</v>
      </c>
      <c r="K406" s="140">
        <f>ROUND(IF(E406="alluminio",(I406)*3%,0)+IF(E406="alluminio smaltato",(I406)*3%,0),4)</f>
        <v>0</v>
      </c>
      <c r="L406" s="143">
        <f>ROUND((J406*C406)+(K406*C406),4)</f>
        <v>0</v>
      </c>
      <c r="M406" s="140"/>
      <c r="N406" s="140">
        <f>ROUND(+I406-H406,4)</f>
        <v>0</v>
      </c>
      <c r="O406" s="143">
        <f>ROUND(+(N406)*C406*50%,4)</f>
        <v>0</v>
      </c>
      <c r="P406" s="147">
        <f>ROUND(O406+L406,4)</f>
        <v>0</v>
      </c>
      <c r="Q406" s="80"/>
      <c r="R406" s="81"/>
      <c r="S406" s="84"/>
    </row>
    <row r="407" spans="1:19" x14ac:dyDescent="0.2">
      <c r="A407" s="47"/>
      <c r="B407" s="36"/>
      <c r="C407" s="138"/>
      <c r="D407" s="140"/>
      <c r="E407" s="48"/>
      <c r="F407" s="140"/>
      <c r="G407" s="140"/>
      <c r="H407" s="140">
        <f>ROUND(+D407+F407,4)</f>
        <v>0</v>
      </c>
      <c r="I407" s="140">
        <v>0</v>
      </c>
      <c r="J407" s="140">
        <v>0.03</v>
      </c>
      <c r="K407" s="140">
        <f>ROUND(IF(E407="alluminio",(I407)*3%,0)+IF(E407="alluminio smaltato",(I407)*3%,0),4)</f>
        <v>0</v>
      </c>
      <c r="L407" s="143">
        <f>ROUND((J407*C407)+(K407*C407),4)</f>
        <v>0</v>
      </c>
      <c r="M407" s="140"/>
      <c r="N407" s="140">
        <f>ROUND(+I407-H407,4)</f>
        <v>0</v>
      </c>
      <c r="O407" s="143">
        <f>ROUND(+(N407)*C407*50%,4)</f>
        <v>0</v>
      </c>
      <c r="P407" s="147">
        <f>ROUND(O407+L407,4)</f>
        <v>0</v>
      </c>
      <c r="Q407" s="80"/>
      <c r="R407" s="81"/>
      <c r="S407" s="84"/>
    </row>
    <row r="408" spans="1:19" x14ac:dyDescent="0.2">
      <c r="A408" s="47"/>
      <c r="B408" s="36"/>
      <c r="C408" s="138"/>
      <c r="D408" s="140"/>
      <c r="E408" s="48"/>
      <c r="F408" s="140"/>
      <c r="G408" s="140"/>
      <c r="H408" s="140">
        <f>ROUND(+D408+F408,4)</f>
        <v>0</v>
      </c>
      <c r="I408" s="140">
        <v>0</v>
      </c>
      <c r="J408" s="140">
        <v>0.03</v>
      </c>
      <c r="K408" s="140">
        <f>ROUND(IF(E408="alluminio",(I408)*3%,0)+IF(E408="alluminio smaltato",(I408)*3%,0),4)</f>
        <v>0</v>
      </c>
      <c r="L408" s="143">
        <f>ROUND((J408*C408)+(K408*C408),4)</f>
        <v>0</v>
      </c>
      <c r="M408" s="140"/>
      <c r="N408" s="140">
        <f>ROUND(+I408-H408,4)</f>
        <v>0</v>
      </c>
      <c r="O408" s="143">
        <f>ROUND(+(N408)*C408*50%,4)</f>
        <v>0</v>
      </c>
      <c r="P408" s="147">
        <f>ROUND(O408+L408,4)</f>
        <v>0</v>
      </c>
      <c r="Q408" s="80"/>
      <c r="R408" s="81"/>
      <c r="S408" s="84"/>
    </row>
    <row r="409" spans="1:19" x14ac:dyDescent="0.2">
      <c r="A409" s="47"/>
      <c r="B409" s="36"/>
      <c r="C409" s="138"/>
      <c r="D409" s="140"/>
      <c r="E409" s="48"/>
      <c r="F409" s="140"/>
      <c r="G409" s="140"/>
      <c r="H409" s="140">
        <f>ROUND(+D409+F409,4)</f>
        <v>0</v>
      </c>
      <c r="I409" s="140">
        <v>0</v>
      </c>
      <c r="J409" s="140">
        <v>0.03</v>
      </c>
      <c r="K409" s="140">
        <f>ROUND(IF(E409="alluminio",(I409)*3%,0)+IF(E409="alluminio smaltato",(I409)*3%,0),4)</f>
        <v>0</v>
      </c>
      <c r="L409" s="143">
        <f>ROUND((J409*C409)+(K409*C409),4)</f>
        <v>0</v>
      </c>
      <c r="M409" s="140"/>
      <c r="N409" s="140">
        <f>ROUND(+I409-H409,4)</f>
        <v>0</v>
      </c>
      <c r="O409" s="143">
        <f>ROUND(+(N409)*C409*50%,4)</f>
        <v>0</v>
      </c>
      <c r="P409" s="147">
        <f>ROUND(O409+L409,4)</f>
        <v>0</v>
      </c>
      <c r="Q409" s="80"/>
      <c r="R409" s="81"/>
      <c r="S409" s="84"/>
    </row>
    <row r="410" spans="1:19" x14ac:dyDescent="0.2">
      <c r="A410" s="47"/>
      <c r="B410" s="36"/>
      <c r="C410" s="138"/>
      <c r="D410" s="140"/>
      <c r="E410" s="48"/>
      <c r="F410" s="140"/>
      <c r="G410" s="140"/>
      <c r="H410" s="140">
        <f>ROUND(+D410+F410,4)</f>
        <v>0</v>
      </c>
      <c r="I410" s="140">
        <v>0</v>
      </c>
      <c r="J410" s="140">
        <v>0.03</v>
      </c>
      <c r="K410" s="140">
        <f>ROUND(IF(E410="alluminio",(I410)*3%,0)+IF(E410="alluminio smaltato",(I410)*3%,0),4)</f>
        <v>0</v>
      </c>
      <c r="L410" s="143">
        <f>ROUND((J410*C410)+(K410*C410),4)</f>
        <v>0</v>
      </c>
      <c r="M410" s="140"/>
      <c r="N410" s="140">
        <f>ROUND(+I410-H410,4)</f>
        <v>0</v>
      </c>
      <c r="O410" s="143">
        <f>ROUND(+(N410)*C410*50%,4)</f>
        <v>0</v>
      </c>
      <c r="P410" s="147">
        <f>ROUND(O410+L410,4)</f>
        <v>0</v>
      </c>
      <c r="Q410" s="80"/>
      <c r="R410" s="81"/>
      <c r="S410" s="84"/>
    </row>
    <row r="411" spans="1:19" x14ac:dyDescent="0.2">
      <c r="A411" s="47"/>
      <c r="B411" s="36"/>
      <c r="C411" s="138"/>
      <c r="D411" s="140"/>
      <c r="E411" s="48"/>
      <c r="F411" s="140"/>
      <c r="G411" s="140"/>
      <c r="H411" s="140">
        <f>ROUND(+D411+F411,4)</f>
        <v>0</v>
      </c>
      <c r="I411" s="140">
        <v>0</v>
      </c>
      <c r="J411" s="140">
        <v>0.03</v>
      </c>
      <c r="K411" s="140">
        <f>ROUND(IF(E411="alluminio",(I411)*3%,0)+IF(E411="alluminio smaltato",(I411)*3%,0),4)</f>
        <v>0</v>
      </c>
      <c r="L411" s="143">
        <f>ROUND((J411*C411)+(K411*C411),4)</f>
        <v>0</v>
      </c>
      <c r="M411" s="140"/>
      <c r="N411" s="140">
        <f>ROUND(+I411-H411,4)</f>
        <v>0</v>
      </c>
      <c r="O411" s="143">
        <f>ROUND(+(N411)*C411*50%,4)</f>
        <v>0</v>
      </c>
      <c r="P411" s="147">
        <f>ROUND(O411+L411,4)</f>
        <v>0</v>
      </c>
      <c r="Q411" s="80"/>
      <c r="R411" s="81"/>
      <c r="S411" s="84"/>
    </row>
    <row r="412" spans="1:19" x14ac:dyDescent="0.2">
      <c r="A412" s="47"/>
      <c r="B412" s="36"/>
      <c r="C412" s="138"/>
      <c r="D412" s="140"/>
      <c r="E412" s="48"/>
      <c r="F412" s="140"/>
      <c r="G412" s="140"/>
      <c r="H412" s="140">
        <f>ROUND(+D412+F412,4)</f>
        <v>0</v>
      </c>
      <c r="I412" s="140">
        <v>0</v>
      </c>
      <c r="J412" s="140">
        <v>0.03</v>
      </c>
      <c r="K412" s="140">
        <f>ROUND(IF(E412="alluminio",(I412)*3%,0)+IF(E412="alluminio smaltato",(I412)*3%,0),4)</f>
        <v>0</v>
      </c>
      <c r="L412" s="143">
        <f>ROUND((J412*C412)+(K412*C412),4)</f>
        <v>0</v>
      </c>
      <c r="M412" s="140"/>
      <c r="N412" s="140">
        <f>ROUND(+I412-H412,4)</f>
        <v>0</v>
      </c>
      <c r="O412" s="143">
        <f>ROUND(+(N412)*C412*50%,4)</f>
        <v>0</v>
      </c>
      <c r="P412" s="147">
        <f>ROUND(O412+L412,4)</f>
        <v>0</v>
      </c>
      <c r="Q412" s="80"/>
      <c r="R412" s="81"/>
      <c r="S412" s="84"/>
    </row>
    <row r="413" spans="1:19" x14ac:dyDescent="0.2">
      <c r="A413" s="47"/>
      <c r="B413" s="36"/>
      <c r="C413" s="138"/>
      <c r="D413" s="140"/>
      <c r="E413" s="48"/>
      <c r="F413" s="140"/>
      <c r="G413" s="140"/>
      <c r="H413" s="140">
        <f>ROUND(+D413+F413,4)</f>
        <v>0</v>
      </c>
      <c r="I413" s="140">
        <v>0</v>
      </c>
      <c r="J413" s="140">
        <v>0.03</v>
      </c>
      <c r="K413" s="140">
        <f>ROUND(IF(E413="alluminio",(I413)*3%,0)+IF(E413="alluminio smaltato",(I413)*3%,0),4)</f>
        <v>0</v>
      </c>
      <c r="L413" s="143">
        <f>ROUND((J413*C413)+(K413*C413),4)</f>
        <v>0</v>
      </c>
      <c r="M413" s="140"/>
      <c r="N413" s="140">
        <f>ROUND(+I413-H413,4)</f>
        <v>0</v>
      </c>
      <c r="O413" s="143">
        <f>ROUND(+(N413)*C413*50%,4)</f>
        <v>0</v>
      </c>
      <c r="P413" s="147">
        <f>ROUND(O413+L413,4)</f>
        <v>0</v>
      </c>
      <c r="Q413" s="80"/>
      <c r="R413" s="81"/>
      <c r="S413" s="84"/>
    </row>
    <row r="414" spans="1:19" x14ac:dyDescent="0.2">
      <c r="A414" s="47"/>
      <c r="B414" s="36"/>
      <c r="C414" s="138"/>
      <c r="D414" s="140"/>
      <c r="E414" s="48"/>
      <c r="F414" s="140"/>
      <c r="G414" s="140"/>
      <c r="H414" s="140">
        <f>ROUND(+D414+F414,4)</f>
        <v>0</v>
      </c>
      <c r="I414" s="140">
        <v>0</v>
      </c>
      <c r="J414" s="140">
        <v>0.03</v>
      </c>
      <c r="K414" s="140">
        <f>ROUND(IF(E414="alluminio",(I414)*3%,0)+IF(E414="alluminio smaltato",(I414)*3%,0),4)</f>
        <v>0</v>
      </c>
      <c r="L414" s="143">
        <f>ROUND((J414*C414)+(K414*C414),4)</f>
        <v>0</v>
      </c>
      <c r="M414" s="140"/>
      <c r="N414" s="140">
        <f>ROUND(+I414-H414,4)</f>
        <v>0</v>
      </c>
      <c r="O414" s="143">
        <f>ROUND(+(N414)*C414*50%,4)</f>
        <v>0</v>
      </c>
      <c r="P414" s="147">
        <f>ROUND(O414+L414,4)</f>
        <v>0</v>
      </c>
      <c r="Q414" s="80"/>
      <c r="R414" s="81"/>
      <c r="S414" s="84"/>
    </row>
    <row r="415" spans="1:19" x14ac:dyDescent="0.2">
      <c r="A415" s="47"/>
      <c r="B415" s="36"/>
      <c r="C415" s="138"/>
      <c r="D415" s="140"/>
      <c r="E415" s="48"/>
      <c r="F415" s="140"/>
      <c r="G415" s="140"/>
      <c r="H415" s="140">
        <f>ROUND(+D415+F415,4)</f>
        <v>0</v>
      </c>
      <c r="I415" s="140">
        <v>0</v>
      </c>
      <c r="J415" s="140">
        <v>0.03</v>
      </c>
      <c r="K415" s="140">
        <f>ROUND(IF(E415="alluminio",(I415)*3%,0)+IF(E415="alluminio smaltato",(I415)*3%,0),4)</f>
        <v>0</v>
      </c>
      <c r="L415" s="143">
        <f>ROUND((J415*C415)+(K415*C415),4)</f>
        <v>0</v>
      </c>
      <c r="M415" s="140"/>
      <c r="N415" s="140">
        <f>ROUND(+I415-H415,4)</f>
        <v>0</v>
      </c>
      <c r="O415" s="143">
        <f>ROUND(+(N415)*C415*50%,4)</f>
        <v>0</v>
      </c>
      <c r="P415" s="147">
        <f>ROUND(O415+L415,4)</f>
        <v>0</v>
      </c>
      <c r="Q415" s="80"/>
      <c r="R415" s="81"/>
      <c r="S415" s="84"/>
    </row>
    <row r="416" spans="1:19" x14ac:dyDescent="0.2">
      <c r="A416" s="47"/>
      <c r="B416" s="36"/>
      <c r="C416" s="138"/>
      <c r="D416" s="140"/>
      <c r="E416" s="48"/>
      <c r="F416" s="140"/>
      <c r="G416" s="140"/>
      <c r="H416" s="140">
        <f>ROUND(+D416+F416,4)</f>
        <v>0</v>
      </c>
      <c r="I416" s="140">
        <v>0</v>
      </c>
      <c r="J416" s="140">
        <v>0.03</v>
      </c>
      <c r="K416" s="140">
        <f>ROUND(IF(E416="alluminio",(I416)*3%,0)+IF(E416="alluminio smaltato",(I416)*3%,0),4)</f>
        <v>0</v>
      </c>
      <c r="L416" s="143">
        <f>ROUND((J416*C416)+(K416*C416),4)</f>
        <v>0</v>
      </c>
      <c r="M416" s="140"/>
      <c r="N416" s="140">
        <f>ROUND(+I416-H416,4)</f>
        <v>0</v>
      </c>
      <c r="O416" s="143">
        <f>ROUND(+(N416)*C416*50%,4)</f>
        <v>0</v>
      </c>
      <c r="P416" s="147">
        <f>ROUND(O416+L416,4)</f>
        <v>0</v>
      </c>
      <c r="Q416" s="80"/>
      <c r="R416" s="81"/>
      <c r="S416" s="84"/>
    </row>
    <row r="417" spans="1:19" x14ac:dyDescent="0.2">
      <c r="A417" s="47"/>
      <c r="B417" s="36"/>
      <c r="C417" s="138"/>
      <c r="D417" s="140"/>
      <c r="E417" s="48"/>
      <c r="F417" s="140"/>
      <c r="G417" s="140"/>
      <c r="H417" s="140">
        <f>ROUND(+D417+F417,4)</f>
        <v>0</v>
      </c>
      <c r="I417" s="140">
        <v>0</v>
      </c>
      <c r="J417" s="140">
        <v>0.03</v>
      </c>
      <c r="K417" s="140">
        <f>ROUND(IF(E417="alluminio",(I417)*3%,0)+IF(E417="alluminio smaltato",(I417)*3%,0),4)</f>
        <v>0</v>
      </c>
      <c r="L417" s="143">
        <f>ROUND((J417*C417)+(K417*C417),4)</f>
        <v>0</v>
      </c>
      <c r="M417" s="140"/>
      <c r="N417" s="140">
        <f>ROUND(+I417-H417,4)</f>
        <v>0</v>
      </c>
      <c r="O417" s="143">
        <f>ROUND(+(N417)*C417*50%,4)</f>
        <v>0</v>
      </c>
      <c r="P417" s="147">
        <f>ROUND(O417+L417,4)</f>
        <v>0</v>
      </c>
      <c r="Q417" s="80"/>
      <c r="R417" s="81"/>
      <c r="S417" s="84"/>
    </row>
    <row r="418" spans="1:19" x14ac:dyDescent="0.2">
      <c r="A418" s="47"/>
      <c r="B418" s="36"/>
      <c r="C418" s="138"/>
      <c r="D418" s="140"/>
      <c r="E418" s="48"/>
      <c r="F418" s="140"/>
      <c r="G418" s="140"/>
      <c r="H418" s="140">
        <f>ROUND(+D418+F418,4)</f>
        <v>0</v>
      </c>
      <c r="I418" s="140">
        <v>0</v>
      </c>
      <c r="J418" s="140">
        <v>0.03</v>
      </c>
      <c r="K418" s="140">
        <f>ROUND(IF(E418="alluminio",(I418)*3%,0)+IF(E418="alluminio smaltato",(I418)*3%,0),4)</f>
        <v>0</v>
      </c>
      <c r="L418" s="143">
        <f>ROUND((J418*C418)+(K418*C418),4)</f>
        <v>0</v>
      </c>
      <c r="M418" s="140"/>
      <c r="N418" s="140">
        <f>ROUND(+I418-H418,4)</f>
        <v>0</v>
      </c>
      <c r="O418" s="143">
        <f>ROUND(+(N418)*C418*50%,4)</f>
        <v>0</v>
      </c>
      <c r="P418" s="147">
        <f>ROUND(O418+L418,4)</f>
        <v>0</v>
      </c>
      <c r="Q418" s="80"/>
      <c r="R418" s="81"/>
      <c r="S418" s="84"/>
    </row>
    <row r="419" spans="1:19" x14ac:dyDescent="0.2">
      <c r="A419" s="47"/>
      <c r="B419" s="36"/>
      <c r="C419" s="138"/>
      <c r="D419" s="140"/>
      <c r="E419" s="48"/>
      <c r="F419" s="140"/>
      <c r="G419" s="140"/>
      <c r="H419" s="140">
        <f>ROUND(+D419+F419,4)</f>
        <v>0</v>
      </c>
      <c r="I419" s="140">
        <v>0</v>
      </c>
      <c r="J419" s="140">
        <v>0.03</v>
      </c>
      <c r="K419" s="140">
        <f>ROUND(IF(E419="alluminio",(I419)*3%,0)+IF(E419="alluminio smaltato",(I419)*3%,0),4)</f>
        <v>0</v>
      </c>
      <c r="L419" s="143">
        <f>ROUND((J419*C419)+(K419*C419),4)</f>
        <v>0</v>
      </c>
      <c r="M419" s="140"/>
      <c r="N419" s="140">
        <f>ROUND(+I419-H419,4)</f>
        <v>0</v>
      </c>
      <c r="O419" s="143">
        <f>ROUND(+(N419)*C419*50%,4)</f>
        <v>0</v>
      </c>
      <c r="P419" s="147">
        <f>ROUND(O419+L419,4)</f>
        <v>0</v>
      </c>
      <c r="Q419" s="80"/>
      <c r="R419" s="81"/>
      <c r="S419" s="84"/>
    </row>
    <row r="420" spans="1:19" x14ac:dyDescent="0.2">
      <c r="A420" s="47"/>
      <c r="B420" s="36"/>
      <c r="C420" s="138"/>
      <c r="D420" s="140"/>
      <c r="E420" s="48"/>
      <c r="F420" s="140"/>
      <c r="G420" s="140"/>
      <c r="H420" s="140">
        <f>ROUND(+D420+F420,4)</f>
        <v>0</v>
      </c>
      <c r="I420" s="140">
        <v>0</v>
      </c>
      <c r="J420" s="140">
        <v>0.03</v>
      </c>
      <c r="K420" s="140">
        <f>ROUND(IF(E420="alluminio",(I420)*3%,0)+IF(E420="alluminio smaltato",(I420)*3%,0),4)</f>
        <v>0</v>
      </c>
      <c r="L420" s="143">
        <f>ROUND((J420*C420)+(K420*C420),4)</f>
        <v>0</v>
      </c>
      <c r="M420" s="140"/>
      <c r="N420" s="140">
        <f>ROUND(+I420-H420,4)</f>
        <v>0</v>
      </c>
      <c r="O420" s="143">
        <f>ROUND(+(N420)*C420*50%,4)</f>
        <v>0</v>
      </c>
      <c r="P420" s="147">
        <f>ROUND(O420+L420,4)</f>
        <v>0</v>
      </c>
      <c r="Q420" s="80"/>
      <c r="R420" s="81"/>
      <c r="S420" s="84"/>
    </row>
    <row r="421" spans="1:19" x14ac:dyDescent="0.2">
      <c r="A421" s="47"/>
      <c r="B421" s="36"/>
      <c r="C421" s="138"/>
      <c r="D421" s="140"/>
      <c r="E421" s="48"/>
      <c r="F421" s="140"/>
      <c r="G421" s="140"/>
      <c r="H421" s="140">
        <f>ROUND(+D421+F421,4)</f>
        <v>0</v>
      </c>
      <c r="I421" s="140">
        <v>0</v>
      </c>
      <c r="J421" s="140">
        <v>0.03</v>
      </c>
      <c r="K421" s="140">
        <f>ROUND(IF(E421="alluminio",(I421)*3%,0)+IF(E421="alluminio smaltato",(I421)*3%,0),4)</f>
        <v>0</v>
      </c>
      <c r="L421" s="143">
        <f>ROUND((J421*C421)+(K421*C421),4)</f>
        <v>0</v>
      </c>
      <c r="M421" s="140"/>
      <c r="N421" s="140">
        <f>ROUND(+I421-H421,4)</f>
        <v>0</v>
      </c>
      <c r="O421" s="143">
        <f>ROUND(+(N421)*C421*50%,4)</f>
        <v>0</v>
      </c>
      <c r="P421" s="147">
        <f>ROUND(O421+L421,4)</f>
        <v>0</v>
      </c>
      <c r="Q421" s="80"/>
      <c r="R421" s="81"/>
      <c r="S421" s="84"/>
    </row>
    <row r="422" spans="1:19" x14ac:dyDescent="0.2">
      <c r="A422" s="47"/>
      <c r="B422" s="36"/>
      <c r="C422" s="138"/>
      <c r="D422" s="140"/>
      <c r="E422" s="48"/>
      <c r="F422" s="140"/>
      <c r="G422" s="140"/>
      <c r="H422" s="140">
        <f>ROUND(+D422+F422,4)</f>
        <v>0</v>
      </c>
      <c r="I422" s="140">
        <v>0</v>
      </c>
      <c r="J422" s="140">
        <v>0.03</v>
      </c>
      <c r="K422" s="140">
        <f>ROUND(IF(E422="alluminio",(I422)*3%,0)+IF(E422="alluminio smaltato",(I422)*3%,0),4)</f>
        <v>0</v>
      </c>
      <c r="L422" s="143">
        <f>ROUND((J422*C422)+(K422*C422),4)</f>
        <v>0</v>
      </c>
      <c r="M422" s="140"/>
      <c r="N422" s="140">
        <f>ROUND(+I422-H422,4)</f>
        <v>0</v>
      </c>
      <c r="O422" s="143">
        <f>ROUND(+(N422)*C422*50%,4)</f>
        <v>0</v>
      </c>
      <c r="P422" s="147">
        <f>ROUND(O422+L422,4)</f>
        <v>0</v>
      </c>
      <c r="Q422" s="80"/>
      <c r="R422" s="81"/>
      <c r="S422" s="84"/>
    </row>
    <row r="423" spans="1:19" x14ac:dyDescent="0.2">
      <c r="A423" s="47"/>
      <c r="B423" s="36"/>
      <c r="C423" s="138"/>
      <c r="D423" s="140"/>
      <c r="E423" s="48"/>
      <c r="F423" s="140"/>
      <c r="G423" s="140"/>
      <c r="H423" s="140">
        <f>ROUND(+D423+F423,4)</f>
        <v>0</v>
      </c>
      <c r="I423" s="140">
        <v>0</v>
      </c>
      <c r="J423" s="140">
        <v>0.03</v>
      </c>
      <c r="K423" s="140">
        <f>ROUND(IF(E423="alluminio",(I423)*3%,0)+IF(E423="alluminio smaltato",(I423)*3%,0),4)</f>
        <v>0</v>
      </c>
      <c r="L423" s="143">
        <f>ROUND((J423*C423)+(K423*C423),4)</f>
        <v>0</v>
      </c>
      <c r="M423" s="140"/>
      <c r="N423" s="140">
        <f>ROUND(+I423-H423,4)</f>
        <v>0</v>
      </c>
      <c r="O423" s="143">
        <f>ROUND(+(N423)*C423*50%,4)</f>
        <v>0</v>
      </c>
      <c r="P423" s="147">
        <f>ROUND(O423+L423,4)</f>
        <v>0</v>
      </c>
      <c r="Q423" s="80"/>
      <c r="R423" s="81"/>
      <c r="S423" s="84"/>
    </row>
    <row r="424" spans="1:19" x14ac:dyDescent="0.2">
      <c r="A424" s="47"/>
      <c r="B424" s="36"/>
      <c r="C424" s="138"/>
      <c r="D424" s="140"/>
      <c r="E424" s="48"/>
      <c r="F424" s="140"/>
      <c r="G424" s="140"/>
      <c r="H424" s="140">
        <f>ROUND(+D424+F424,4)</f>
        <v>0</v>
      </c>
      <c r="I424" s="140">
        <v>0</v>
      </c>
      <c r="J424" s="140">
        <v>0.03</v>
      </c>
      <c r="K424" s="140">
        <f>ROUND(IF(E424="alluminio",(I424)*3%,0)+IF(E424="alluminio smaltato",(I424)*3%,0),4)</f>
        <v>0</v>
      </c>
      <c r="L424" s="143">
        <f>ROUND((J424*C424)+(K424*C424),4)</f>
        <v>0</v>
      </c>
      <c r="M424" s="140"/>
      <c r="N424" s="140">
        <f>ROUND(+I424-H424,4)</f>
        <v>0</v>
      </c>
      <c r="O424" s="143">
        <f>ROUND(+(N424)*C424*50%,4)</f>
        <v>0</v>
      </c>
      <c r="P424" s="147">
        <f>ROUND(O424+L424,4)</f>
        <v>0</v>
      </c>
      <c r="Q424" s="80"/>
      <c r="R424" s="81"/>
      <c r="S424" s="84"/>
    </row>
    <row r="425" spans="1:19" x14ac:dyDescent="0.2">
      <c r="A425" s="47"/>
      <c r="B425" s="36"/>
      <c r="C425" s="138"/>
      <c r="D425" s="140"/>
      <c r="E425" s="48"/>
      <c r="F425" s="140"/>
      <c r="G425" s="140"/>
      <c r="H425" s="140">
        <f>ROUND(+D425+F425,4)</f>
        <v>0</v>
      </c>
      <c r="I425" s="140">
        <v>0</v>
      </c>
      <c r="J425" s="140">
        <v>0.03</v>
      </c>
      <c r="K425" s="140">
        <f>ROUND(IF(E425="alluminio",(I425)*3%,0)+IF(E425="alluminio smaltato",(I425)*3%,0),4)</f>
        <v>0</v>
      </c>
      <c r="L425" s="143">
        <f>ROUND((J425*C425)+(K425*C425),4)</f>
        <v>0</v>
      </c>
      <c r="M425" s="140"/>
      <c r="N425" s="140">
        <f>ROUND(+I425-H425,4)</f>
        <v>0</v>
      </c>
      <c r="O425" s="143">
        <f>ROUND(+(N425)*C425*50%,4)</f>
        <v>0</v>
      </c>
      <c r="P425" s="147">
        <f>ROUND(O425+L425,4)</f>
        <v>0</v>
      </c>
      <c r="Q425" s="80"/>
      <c r="R425" s="81"/>
      <c r="S425" s="84"/>
    </row>
    <row r="426" spans="1:19" x14ac:dyDescent="0.2">
      <c r="A426" s="47"/>
      <c r="B426" s="36"/>
      <c r="C426" s="138"/>
      <c r="D426" s="140"/>
      <c r="E426" s="48"/>
      <c r="F426" s="140"/>
      <c r="G426" s="140"/>
      <c r="H426" s="140">
        <f>ROUND(+D426+F426,4)</f>
        <v>0</v>
      </c>
      <c r="I426" s="140">
        <v>0</v>
      </c>
      <c r="J426" s="140">
        <v>0.03</v>
      </c>
      <c r="K426" s="140">
        <f>ROUND(IF(E426="alluminio",(I426)*3%,0)+IF(E426="alluminio smaltato",(I426)*3%,0),4)</f>
        <v>0</v>
      </c>
      <c r="L426" s="143">
        <f>ROUND((J426*C426)+(K426*C426),4)</f>
        <v>0</v>
      </c>
      <c r="M426" s="140"/>
      <c r="N426" s="140">
        <f>ROUND(+I426-H426,4)</f>
        <v>0</v>
      </c>
      <c r="O426" s="143">
        <f>ROUND(+(N426)*C426*50%,4)</f>
        <v>0</v>
      </c>
      <c r="P426" s="147">
        <f>ROUND(O426+L426,4)</f>
        <v>0</v>
      </c>
      <c r="Q426" s="80"/>
      <c r="R426" s="81"/>
      <c r="S426" s="84"/>
    </row>
    <row r="427" spans="1:19" x14ac:dyDescent="0.2">
      <c r="A427" s="47"/>
      <c r="B427" s="36"/>
      <c r="C427" s="138"/>
      <c r="D427" s="140"/>
      <c r="E427" s="48"/>
      <c r="F427" s="140"/>
      <c r="G427" s="140"/>
      <c r="H427" s="140">
        <f>ROUND(+D427+F427,4)</f>
        <v>0</v>
      </c>
      <c r="I427" s="140">
        <v>0</v>
      </c>
      <c r="J427" s="140">
        <v>0.03</v>
      </c>
      <c r="K427" s="140">
        <f>ROUND(IF(E427="alluminio",(I427)*3%,0)+IF(E427="alluminio smaltato",(I427)*3%,0),4)</f>
        <v>0</v>
      </c>
      <c r="L427" s="143">
        <f>ROUND((J427*C427)+(K427*C427),4)</f>
        <v>0</v>
      </c>
      <c r="M427" s="140"/>
      <c r="N427" s="140">
        <f>ROUND(+I427-H427,4)</f>
        <v>0</v>
      </c>
      <c r="O427" s="143">
        <f>ROUND(+(N427)*C427*50%,4)</f>
        <v>0</v>
      </c>
      <c r="P427" s="147">
        <f>ROUND(O427+L427,4)</f>
        <v>0</v>
      </c>
      <c r="Q427" s="80"/>
      <c r="R427" s="81"/>
      <c r="S427" s="84"/>
    </row>
    <row r="428" spans="1:19" x14ac:dyDescent="0.2">
      <c r="A428" s="47"/>
      <c r="B428" s="36"/>
      <c r="C428" s="138"/>
      <c r="D428" s="140"/>
      <c r="E428" s="48"/>
      <c r="F428" s="140"/>
      <c r="G428" s="140"/>
      <c r="H428" s="140">
        <f>ROUND(+D428+F428,4)</f>
        <v>0</v>
      </c>
      <c r="I428" s="140">
        <v>0</v>
      </c>
      <c r="J428" s="140">
        <v>0.03</v>
      </c>
      <c r="K428" s="140">
        <f>ROUND(IF(E428="alluminio",(I428)*3%,0)+IF(E428="alluminio smaltato",(I428)*3%,0),4)</f>
        <v>0</v>
      </c>
      <c r="L428" s="143">
        <f>ROUND((J428*C428)+(K428*C428),4)</f>
        <v>0</v>
      </c>
      <c r="M428" s="140"/>
      <c r="N428" s="140">
        <f>ROUND(+I428-H428,4)</f>
        <v>0</v>
      </c>
      <c r="O428" s="143">
        <f>ROUND(+(N428)*C428*50%,4)</f>
        <v>0</v>
      </c>
      <c r="P428" s="147">
        <f>ROUND(O428+L428,4)</f>
        <v>0</v>
      </c>
      <c r="Q428" s="80"/>
      <c r="R428" s="81"/>
      <c r="S428" s="84"/>
    </row>
    <row r="429" spans="1:19" x14ac:dyDescent="0.2">
      <c r="A429" s="47"/>
      <c r="B429" s="36"/>
      <c r="C429" s="138"/>
      <c r="D429" s="140"/>
      <c r="E429" s="48"/>
      <c r="F429" s="140"/>
      <c r="G429" s="140"/>
      <c r="H429" s="140">
        <f>ROUND(+D429+F429,4)</f>
        <v>0</v>
      </c>
      <c r="I429" s="140">
        <v>0</v>
      </c>
      <c r="J429" s="140">
        <v>0.03</v>
      </c>
      <c r="K429" s="140">
        <f>ROUND(IF(E429="alluminio",(I429)*3%,0)+IF(E429="alluminio smaltato",(I429)*3%,0),4)</f>
        <v>0</v>
      </c>
      <c r="L429" s="143">
        <f>ROUND((J429*C429)+(K429*C429),4)</f>
        <v>0</v>
      </c>
      <c r="M429" s="140"/>
      <c r="N429" s="140">
        <f>ROUND(+I429-H429,4)</f>
        <v>0</v>
      </c>
      <c r="O429" s="143">
        <f>ROUND(+(N429)*C429*50%,4)</f>
        <v>0</v>
      </c>
      <c r="P429" s="147">
        <f>ROUND(O429+L429,4)</f>
        <v>0</v>
      </c>
      <c r="Q429" s="80"/>
      <c r="R429" s="81"/>
      <c r="S429" s="84"/>
    </row>
    <row r="430" spans="1:19" x14ac:dyDescent="0.2">
      <c r="A430" s="47"/>
      <c r="B430" s="36"/>
      <c r="C430" s="138"/>
      <c r="D430" s="140"/>
      <c r="E430" s="48"/>
      <c r="F430" s="140"/>
      <c r="G430" s="140"/>
      <c r="H430" s="140">
        <f>ROUND(+D430+F430,4)</f>
        <v>0</v>
      </c>
      <c r="I430" s="140">
        <v>0</v>
      </c>
      <c r="J430" s="140">
        <v>0.03</v>
      </c>
      <c r="K430" s="140">
        <f>ROUND(IF(E430="alluminio",(I430)*3%,0)+IF(E430="alluminio smaltato",(I430)*3%,0),4)</f>
        <v>0</v>
      </c>
      <c r="L430" s="143">
        <f>ROUND((J430*C430)+(K430*C430),4)</f>
        <v>0</v>
      </c>
      <c r="M430" s="140"/>
      <c r="N430" s="140">
        <f>ROUND(+I430-H430,4)</f>
        <v>0</v>
      </c>
      <c r="O430" s="143">
        <f>ROUND(+(N430)*C430*50%,4)</f>
        <v>0</v>
      </c>
      <c r="P430" s="147">
        <f>ROUND(O430+L430,4)</f>
        <v>0</v>
      </c>
      <c r="Q430" s="80"/>
      <c r="R430" s="81"/>
      <c r="S430" s="84"/>
    </row>
    <row r="431" spans="1:19" x14ac:dyDescent="0.2">
      <c r="A431" s="47"/>
      <c r="B431" s="36"/>
      <c r="C431" s="138"/>
      <c r="D431" s="140"/>
      <c r="E431" s="48"/>
      <c r="F431" s="140"/>
      <c r="G431" s="140"/>
      <c r="H431" s="140">
        <f>ROUND(+D431+F431,4)</f>
        <v>0</v>
      </c>
      <c r="I431" s="140">
        <v>0</v>
      </c>
      <c r="J431" s="140">
        <v>0.03</v>
      </c>
      <c r="K431" s="140">
        <f>ROUND(IF(E431="alluminio",(I431)*3%,0)+IF(E431="alluminio smaltato",(I431)*3%,0),4)</f>
        <v>0</v>
      </c>
      <c r="L431" s="143">
        <f>ROUND((J431*C431)+(K431*C431),4)</f>
        <v>0</v>
      </c>
      <c r="M431" s="140"/>
      <c r="N431" s="140">
        <f>ROUND(+I431-H431,4)</f>
        <v>0</v>
      </c>
      <c r="O431" s="143">
        <f>ROUND(+(N431)*C431*50%,4)</f>
        <v>0</v>
      </c>
      <c r="P431" s="147">
        <f>ROUND(O431+L431,4)</f>
        <v>0</v>
      </c>
      <c r="Q431" s="80"/>
      <c r="R431" s="81"/>
      <c r="S431" s="84"/>
    </row>
    <row r="432" spans="1:19" x14ac:dyDescent="0.2">
      <c r="A432" s="47"/>
      <c r="B432" s="36"/>
      <c r="C432" s="138"/>
      <c r="D432" s="140"/>
      <c r="E432" s="48"/>
      <c r="F432" s="140"/>
      <c r="G432" s="140"/>
      <c r="H432" s="140">
        <f>ROUND(+D432+F432,4)</f>
        <v>0</v>
      </c>
      <c r="I432" s="140">
        <v>0</v>
      </c>
      <c r="J432" s="140">
        <v>0.03</v>
      </c>
      <c r="K432" s="140">
        <f>ROUND(IF(E432="alluminio",(I432)*3%,0)+IF(E432="alluminio smaltato",(I432)*3%,0),4)</f>
        <v>0</v>
      </c>
      <c r="L432" s="143">
        <f>ROUND((J432*C432)+(K432*C432),4)</f>
        <v>0</v>
      </c>
      <c r="M432" s="140"/>
      <c r="N432" s="140">
        <f>ROUND(+I432-H432,4)</f>
        <v>0</v>
      </c>
      <c r="O432" s="143">
        <f>ROUND(+(N432)*C432*50%,4)</f>
        <v>0</v>
      </c>
      <c r="P432" s="147">
        <f>ROUND(O432+L432,4)</f>
        <v>0</v>
      </c>
      <c r="Q432" s="80"/>
      <c r="R432" s="81"/>
      <c r="S432" s="84"/>
    </row>
    <row r="433" spans="1:19" x14ac:dyDescent="0.2">
      <c r="A433" s="47"/>
      <c r="B433" s="36"/>
      <c r="C433" s="138"/>
      <c r="D433" s="140"/>
      <c r="E433" s="48"/>
      <c r="F433" s="140"/>
      <c r="G433" s="140"/>
      <c r="H433" s="140">
        <f>ROUND(+D433+F433,4)</f>
        <v>0</v>
      </c>
      <c r="I433" s="140">
        <v>0</v>
      </c>
      <c r="J433" s="140">
        <v>0.03</v>
      </c>
      <c r="K433" s="140">
        <f>ROUND(IF(E433="alluminio",(I433)*3%,0)+IF(E433="alluminio smaltato",(I433)*3%,0),4)</f>
        <v>0</v>
      </c>
      <c r="L433" s="143">
        <f>ROUND((J433*C433)+(K433*C433),4)</f>
        <v>0</v>
      </c>
      <c r="M433" s="140"/>
      <c r="N433" s="140">
        <f>ROUND(+I433-H433,4)</f>
        <v>0</v>
      </c>
      <c r="O433" s="143">
        <f>ROUND(+(N433)*C433*50%,4)</f>
        <v>0</v>
      </c>
      <c r="P433" s="147">
        <f>ROUND(O433+L433,4)</f>
        <v>0</v>
      </c>
      <c r="Q433" s="80"/>
      <c r="R433" s="81"/>
      <c r="S433" s="84"/>
    </row>
    <row r="434" spans="1:19" x14ac:dyDescent="0.2">
      <c r="A434" s="47"/>
      <c r="B434" s="36"/>
      <c r="C434" s="138"/>
      <c r="D434" s="140"/>
      <c r="E434" s="48"/>
      <c r="F434" s="140"/>
      <c r="G434" s="140"/>
      <c r="H434" s="140">
        <f>ROUND(+D434+F434,4)</f>
        <v>0</v>
      </c>
      <c r="I434" s="140">
        <v>0</v>
      </c>
      <c r="J434" s="140">
        <v>0.03</v>
      </c>
      <c r="K434" s="140">
        <f>ROUND(IF(E434="alluminio",(I434)*3%,0)+IF(E434="alluminio smaltato",(I434)*3%,0),4)</f>
        <v>0</v>
      </c>
      <c r="L434" s="143">
        <f>ROUND((J434*C434)+(K434*C434),4)</f>
        <v>0</v>
      </c>
      <c r="M434" s="140"/>
      <c r="N434" s="140">
        <f>ROUND(+I434-H434,4)</f>
        <v>0</v>
      </c>
      <c r="O434" s="143">
        <f>ROUND(+(N434)*C434*50%,4)</f>
        <v>0</v>
      </c>
      <c r="P434" s="147">
        <f>ROUND(O434+L434,4)</f>
        <v>0</v>
      </c>
      <c r="Q434" s="80"/>
      <c r="R434" s="81"/>
      <c r="S434" s="84"/>
    </row>
    <row r="435" spans="1:19" x14ac:dyDescent="0.2">
      <c r="A435" s="47"/>
      <c r="B435" s="36"/>
      <c r="C435" s="138"/>
      <c r="D435" s="140"/>
      <c r="E435" s="48"/>
      <c r="F435" s="140"/>
      <c r="G435" s="140"/>
      <c r="H435" s="140">
        <f>ROUND(+D435+F435,4)</f>
        <v>0</v>
      </c>
      <c r="I435" s="140">
        <v>0</v>
      </c>
      <c r="J435" s="140">
        <v>0.03</v>
      </c>
      <c r="K435" s="140">
        <f>ROUND(IF(E435="alluminio",(I435)*3%,0)+IF(E435="alluminio smaltato",(I435)*3%,0),4)</f>
        <v>0</v>
      </c>
      <c r="L435" s="143">
        <f>ROUND((J435*C435)+(K435*C435),4)</f>
        <v>0</v>
      </c>
      <c r="M435" s="140"/>
      <c r="N435" s="140">
        <f>ROUND(+I435-H435,4)</f>
        <v>0</v>
      </c>
      <c r="O435" s="143">
        <f>ROUND(+(N435)*C435*50%,4)</f>
        <v>0</v>
      </c>
      <c r="P435" s="147">
        <f>ROUND(O435+L435,4)</f>
        <v>0</v>
      </c>
      <c r="Q435" s="80"/>
      <c r="R435" s="81"/>
      <c r="S435" s="84"/>
    </row>
    <row r="436" spans="1:19" x14ac:dyDescent="0.2">
      <c r="A436" s="47"/>
      <c r="B436" s="36"/>
      <c r="C436" s="138"/>
      <c r="D436" s="140"/>
      <c r="E436" s="48"/>
      <c r="F436" s="140"/>
      <c r="G436" s="140"/>
      <c r="H436" s="140">
        <f>ROUND(+D436+F436,4)</f>
        <v>0</v>
      </c>
      <c r="I436" s="140">
        <v>0</v>
      </c>
      <c r="J436" s="140">
        <v>0.03</v>
      </c>
      <c r="K436" s="140">
        <f>ROUND(IF(E436="alluminio",(I436)*3%,0)+IF(E436="alluminio smaltato",(I436)*3%,0),4)</f>
        <v>0</v>
      </c>
      <c r="L436" s="143">
        <f>ROUND((J436*C436)+(K436*C436),4)</f>
        <v>0</v>
      </c>
      <c r="M436" s="140"/>
      <c r="N436" s="140">
        <f>ROUND(+I436-H436,4)</f>
        <v>0</v>
      </c>
      <c r="O436" s="143">
        <f>ROUND(+(N436)*C436*50%,4)</f>
        <v>0</v>
      </c>
      <c r="P436" s="147">
        <f>ROUND(O436+L436,4)</f>
        <v>0</v>
      </c>
      <c r="Q436" s="80"/>
      <c r="R436" s="81"/>
      <c r="S436" s="84"/>
    </row>
    <row r="437" spans="1:19" x14ac:dyDescent="0.2">
      <c r="A437" s="47"/>
      <c r="B437" s="36"/>
      <c r="C437" s="138"/>
      <c r="D437" s="140"/>
      <c r="E437" s="48"/>
      <c r="F437" s="140"/>
      <c r="G437" s="140"/>
      <c r="H437" s="140">
        <f>ROUND(+D437+F437,4)</f>
        <v>0</v>
      </c>
      <c r="I437" s="140">
        <v>0</v>
      </c>
      <c r="J437" s="140">
        <v>0.03</v>
      </c>
      <c r="K437" s="140">
        <f>ROUND(IF(E437="alluminio",(I437)*3%,0)+IF(E437="alluminio smaltato",(I437)*3%,0),4)</f>
        <v>0</v>
      </c>
      <c r="L437" s="143">
        <f>ROUND((J437*C437)+(K437*C437),4)</f>
        <v>0</v>
      </c>
      <c r="M437" s="140"/>
      <c r="N437" s="140">
        <f>ROUND(+I437-H437,4)</f>
        <v>0</v>
      </c>
      <c r="O437" s="143">
        <f>ROUND(+(N437)*C437*50%,4)</f>
        <v>0</v>
      </c>
      <c r="P437" s="147">
        <f>ROUND(O437+L437,4)</f>
        <v>0</v>
      </c>
      <c r="Q437" s="80"/>
      <c r="R437" s="81"/>
      <c r="S437" s="84"/>
    </row>
    <row r="438" spans="1:19" x14ac:dyDescent="0.2">
      <c r="A438" s="47"/>
      <c r="B438" s="36"/>
      <c r="C438" s="138"/>
      <c r="D438" s="140"/>
      <c r="E438" s="48"/>
      <c r="F438" s="140"/>
      <c r="G438" s="140"/>
      <c r="H438" s="140">
        <f>ROUND(+D438+F438,4)</f>
        <v>0</v>
      </c>
      <c r="I438" s="140">
        <v>0</v>
      </c>
      <c r="J438" s="140">
        <v>0.03</v>
      </c>
      <c r="K438" s="140">
        <f>ROUND(IF(E438="alluminio",(I438)*3%,0)+IF(E438="alluminio smaltato",(I438)*3%,0),4)</f>
        <v>0</v>
      </c>
      <c r="L438" s="143">
        <f>ROUND((J438*C438)+(K438*C438),4)</f>
        <v>0</v>
      </c>
      <c r="M438" s="140"/>
      <c r="N438" s="140">
        <f>ROUND(+I438-H438,4)</f>
        <v>0</v>
      </c>
      <c r="O438" s="143">
        <f>ROUND(+(N438)*C438*50%,4)</f>
        <v>0</v>
      </c>
      <c r="P438" s="147">
        <f>ROUND(O438+L438,4)</f>
        <v>0</v>
      </c>
      <c r="Q438" s="80"/>
      <c r="R438" s="81"/>
      <c r="S438" s="84"/>
    </row>
    <row r="439" spans="1:19" x14ac:dyDescent="0.2">
      <c r="A439" s="47"/>
      <c r="B439" s="36"/>
      <c r="C439" s="138"/>
      <c r="D439" s="140"/>
      <c r="E439" s="48"/>
      <c r="F439" s="140"/>
      <c r="G439" s="140"/>
      <c r="H439" s="140">
        <f>ROUND(+D439+F439,4)</f>
        <v>0</v>
      </c>
      <c r="I439" s="140">
        <v>0</v>
      </c>
      <c r="J439" s="140">
        <v>0.03</v>
      </c>
      <c r="K439" s="140">
        <f>ROUND(IF(E439="alluminio",(I439)*3%,0)+IF(E439="alluminio smaltato",(I439)*3%,0),4)</f>
        <v>0</v>
      </c>
      <c r="L439" s="143">
        <f>ROUND((J439*C439)+(K439*C439),4)</f>
        <v>0</v>
      </c>
      <c r="M439" s="140"/>
      <c r="N439" s="140">
        <f>ROUND(+I439-H439,4)</f>
        <v>0</v>
      </c>
      <c r="O439" s="143">
        <f>ROUND(+(N439)*C439*50%,4)</f>
        <v>0</v>
      </c>
      <c r="P439" s="147">
        <f>ROUND(O439+L439,4)</f>
        <v>0</v>
      </c>
      <c r="Q439" s="80"/>
      <c r="R439" s="81"/>
      <c r="S439" s="84"/>
    </row>
    <row r="440" spans="1:19" x14ac:dyDescent="0.2">
      <c r="A440" s="47"/>
      <c r="B440" s="36"/>
      <c r="C440" s="138"/>
      <c r="D440" s="140"/>
      <c r="E440" s="48"/>
      <c r="F440" s="140"/>
      <c r="G440" s="140"/>
      <c r="H440" s="140">
        <f>ROUND(+D440+F440,4)</f>
        <v>0</v>
      </c>
      <c r="I440" s="140">
        <v>0</v>
      </c>
      <c r="J440" s="140">
        <v>0.03</v>
      </c>
      <c r="K440" s="140">
        <f>ROUND(IF(E440="alluminio",(I440)*3%,0)+IF(E440="alluminio smaltato",(I440)*3%,0),4)</f>
        <v>0</v>
      </c>
      <c r="L440" s="143">
        <f>ROUND((J440*C440)+(K440*C440),4)</f>
        <v>0</v>
      </c>
      <c r="M440" s="140"/>
      <c r="N440" s="140">
        <f>ROUND(+I440-H440,4)</f>
        <v>0</v>
      </c>
      <c r="O440" s="143">
        <f>ROUND(+(N440)*C440*50%,4)</f>
        <v>0</v>
      </c>
      <c r="P440" s="147">
        <f>ROUND(O440+L440,4)</f>
        <v>0</v>
      </c>
      <c r="Q440" s="80"/>
      <c r="R440" s="81"/>
      <c r="S440" s="84"/>
    </row>
    <row r="441" spans="1:19" x14ac:dyDescent="0.2">
      <c r="A441" s="47"/>
      <c r="B441" s="36"/>
      <c r="C441" s="138"/>
      <c r="D441" s="140"/>
      <c r="E441" s="48"/>
      <c r="F441" s="140"/>
      <c r="G441" s="140"/>
      <c r="H441" s="140">
        <f>ROUND(+D441+F441,4)</f>
        <v>0</v>
      </c>
      <c r="I441" s="140">
        <v>0</v>
      </c>
      <c r="J441" s="140">
        <v>0.03</v>
      </c>
      <c r="K441" s="140">
        <f>ROUND(IF(E441="alluminio",(I441)*3%,0)+IF(E441="alluminio smaltato",(I441)*3%,0),4)</f>
        <v>0</v>
      </c>
      <c r="L441" s="143">
        <f>ROUND((J441*C441)+(K441*C441),4)</f>
        <v>0</v>
      </c>
      <c r="M441" s="140"/>
      <c r="N441" s="140">
        <f>ROUND(+I441-H441,4)</f>
        <v>0</v>
      </c>
      <c r="O441" s="143">
        <f>ROUND(+(N441)*C441*50%,4)</f>
        <v>0</v>
      </c>
      <c r="P441" s="147">
        <f>ROUND(O441+L441,4)</f>
        <v>0</v>
      </c>
      <c r="Q441" s="80"/>
      <c r="R441" s="81"/>
      <c r="S441" s="84"/>
    </row>
    <row r="442" spans="1:19" x14ac:dyDescent="0.2">
      <c r="A442" s="47"/>
      <c r="B442" s="36"/>
      <c r="C442" s="138"/>
      <c r="D442" s="140"/>
      <c r="E442" s="48"/>
      <c r="F442" s="140"/>
      <c r="G442" s="140"/>
      <c r="H442" s="140">
        <f>ROUND(+D442+F442,4)</f>
        <v>0</v>
      </c>
      <c r="I442" s="140">
        <v>0</v>
      </c>
      <c r="J442" s="140">
        <v>0.03</v>
      </c>
      <c r="K442" s="140">
        <f>ROUND(IF(E442="alluminio",(I442)*3%,0)+IF(E442="alluminio smaltato",(I442)*3%,0),4)</f>
        <v>0</v>
      </c>
      <c r="L442" s="143">
        <f>ROUND((J442*C442)+(K442*C442),4)</f>
        <v>0</v>
      </c>
      <c r="M442" s="140"/>
      <c r="N442" s="140">
        <f>ROUND(+I442-H442,4)</f>
        <v>0</v>
      </c>
      <c r="O442" s="143">
        <f>ROUND(+(N442)*C442*50%,4)</f>
        <v>0</v>
      </c>
      <c r="P442" s="147">
        <f>ROUND(O442+L442,4)</f>
        <v>0</v>
      </c>
      <c r="Q442" s="80"/>
      <c r="R442" s="81"/>
      <c r="S442" s="84"/>
    </row>
    <row r="443" spans="1:19" x14ac:dyDescent="0.2">
      <c r="A443" s="47"/>
      <c r="B443" s="36"/>
      <c r="C443" s="138"/>
      <c r="D443" s="140"/>
      <c r="E443" s="48"/>
      <c r="F443" s="140"/>
      <c r="G443" s="140"/>
      <c r="H443" s="140">
        <f>ROUND(+D443+F443,4)</f>
        <v>0</v>
      </c>
      <c r="I443" s="140">
        <v>0</v>
      </c>
      <c r="J443" s="140">
        <v>0.03</v>
      </c>
      <c r="K443" s="140">
        <f>ROUND(IF(E443="alluminio",(I443)*3%,0)+IF(E443="alluminio smaltato",(I443)*3%,0),4)</f>
        <v>0</v>
      </c>
      <c r="L443" s="143">
        <f>ROUND((J443*C443)+(K443*C443),4)</f>
        <v>0</v>
      </c>
      <c r="M443" s="140"/>
      <c r="N443" s="140">
        <f>ROUND(+I443-H443,4)</f>
        <v>0</v>
      </c>
      <c r="O443" s="143">
        <f>ROUND(+(N443)*C443*50%,4)</f>
        <v>0</v>
      </c>
      <c r="P443" s="147">
        <f>ROUND(O443+L443,4)</f>
        <v>0</v>
      </c>
      <c r="Q443" s="80"/>
      <c r="R443" s="81"/>
      <c r="S443" s="84"/>
    </row>
    <row r="444" spans="1:19" x14ac:dyDescent="0.2">
      <c r="A444" s="47"/>
      <c r="B444" s="36"/>
      <c r="C444" s="138"/>
      <c r="D444" s="140"/>
      <c r="E444" s="48"/>
      <c r="F444" s="140"/>
      <c r="G444" s="140"/>
      <c r="H444" s="140">
        <f>ROUND(+D444+F444,4)</f>
        <v>0</v>
      </c>
      <c r="I444" s="140">
        <v>0</v>
      </c>
      <c r="J444" s="140">
        <v>0.03</v>
      </c>
      <c r="K444" s="140">
        <f>ROUND(IF(E444="alluminio",(I444)*3%,0)+IF(E444="alluminio smaltato",(I444)*3%,0),4)</f>
        <v>0</v>
      </c>
      <c r="L444" s="143">
        <f>ROUND((J444*C444)+(K444*C444),4)</f>
        <v>0</v>
      </c>
      <c r="M444" s="140"/>
      <c r="N444" s="140">
        <f>ROUND(+I444-H444,4)</f>
        <v>0</v>
      </c>
      <c r="O444" s="143">
        <f>ROUND(+(N444)*C444*50%,4)</f>
        <v>0</v>
      </c>
      <c r="P444" s="147">
        <f>ROUND(O444+L444,4)</f>
        <v>0</v>
      </c>
      <c r="Q444" s="80"/>
      <c r="R444" s="81"/>
      <c r="S444" s="84"/>
    </row>
    <row r="445" spans="1:19" x14ac:dyDescent="0.2">
      <c r="A445" s="47"/>
      <c r="B445" s="36"/>
      <c r="C445" s="138"/>
      <c r="D445" s="140"/>
      <c r="E445" s="48"/>
      <c r="F445" s="140"/>
      <c r="G445" s="140"/>
      <c r="H445" s="140">
        <f>ROUND(+D445+F445,4)</f>
        <v>0</v>
      </c>
      <c r="I445" s="140">
        <v>0</v>
      </c>
      <c r="J445" s="140">
        <v>0.03</v>
      </c>
      <c r="K445" s="140">
        <f>ROUND(IF(E445="alluminio",(I445)*3%,0)+IF(E445="alluminio smaltato",(I445)*3%,0),4)</f>
        <v>0</v>
      </c>
      <c r="L445" s="143">
        <f>ROUND((J445*C445)+(K445*C445),4)</f>
        <v>0</v>
      </c>
      <c r="M445" s="140"/>
      <c r="N445" s="140">
        <f>ROUND(+I445-H445,4)</f>
        <v>0</v>
      </c>
      <c r="O445" s="143">
        <f>ROUND(+(N445)*C445*50%,4)</f>
        <v>0</v>
      </c>
      <c r="P445" s="147">
        <f>ROUND(O445+L445,4)</f>
        <v>0</v>
      </c>
      <c r="Q445" s="80"/>
      <c r="R445" s="81"/>
      <c r="S445" s="84"/>
    </row>
    <row r="446" spans="1:19" x14ac:dyDescent="0.2">
      <c r="A446" s="47"/>
      <c r="B446" s="36"/>
      <c r="C446" s="138"/>
      <c r="D446" s="140"/>
      <c r="E446" s="48"/>
      <c r="F446" s="140"/>
      <c r="G446" s="140"/>
      <c r="H446" s="140">
        <f>ROUND(+D446+F446,4)</f>
        <v>0</v>
      </c>
      <c r="I446" s="140">
        <v>0</v>
      </c>
      <c r="J446" s="140">
        <v>0.03</v>
      </c>
      <c r="K446" s="140">
        <f>ROUND(IF(E446="alluminio",(I446)*3%,0)+IF(E446="alluminio smaltato",(I446)*3%,0),4)</f>
        <v>0</v>
      </c>
      <c r="L446" s="143">
        <f>ROUND((J446*C446)+(K446*C446),4)</f>
        <v>0</v>
      </c>
      <c r="M446" s="140"/>
      <c r="N446" s="140">
        <f>ROUND(+I446-H446,4)</f>
        <v>0</v>
      </c>
      <c r="O446" s="143">
        <f>ROUND(+(N446)*C446*50%,4)</f>
        <v>0</v>
      </c>
      <c r="P446" s="147">
        <f>ROUND(O446+L446,4)</f>
        <v>0</v>
      </c>
      <c r="Q446" s="80"/>
      <c r="R446" s="81"/>
      <c r="S446" s="84"/>
    </row>
    <row r="447" spans="1:19" x14ac:dyDescent="0.2">
      <c r="A447" s="47"/>
      <c r="B447" s="36"/>
      <c r="C447" s="138"/>
      <c r="D447" s="140"/>
      <c r="E447" s="48"/>
      <c r="F447" s="140"/>
      <c r="G447" s="140"/>
      <c r="H447" s="140">
        <f>ROUND(+D447+F447,4)</f>
        <v>0</v>
      </c>
      <c r="I447" s="140">
        <v>0</v>
      </c>
      <c r="J447" s="140">
        <v>0.03</v>
      </c>
      <c r="K447" s="140">
        <f>ROUND(IF(E447="alluminio",(I447)*3%,0)+IF(E447="alluminio smaltato",(I447)*3%,0),4)</f>
        <v>0</v>
      </c>
      <c r="L447" s="143">
        <f>ROUND((J447*C447)+(K447*C447),4)</f>
        <v>0</v>
      </c>
      <c r="M447" s="140"/>
      <c r="N447" s="140">
        <f>ROUND(+I447-H447,4)</f>
        <v>0</v>
      </c>
      <c r="O447" s="143">
        <f>ROUND(+(N447)*C447*50%,4)</f>
        <v>0</v>
      </c>
      <c r="P447" s="147">
        <f>ROUND(O447+L447,4)</f>
        <v>0</v>
      </c>
      <c r="Q447" s="80"/>
      <c r="R447" s="81"/>
      <c r="S447" s="84"/>
    </row>
    <row r="448" spans="1:19" x14ac:dyDescent="0.2">
      <c r="A448" s="47"/>
      <c r="B448" s="36"/>
      <c r="C448" s="138"/>
      <c r="D448" s="140"/>
      <c r="E448" s="48"/>
      <c r="F448" s="140"/>
      <c r="G448" s="140"/>
      <c r="H448" s="140">
        <f>ROUND(+D448+F448,4)</f>
        <v>0</v>
      </c>
      <c r="I448" s="140">
        <v>0</v>
      </c>
      <c r="J448" s="140">
        <v>0.03</v>
      </c>
      <c r="K448" s="140">
        <f>ROUND(IF(E448="alluminio",(I448)*3%,0)+IF(E448="alluminio smaltato",(I448)*3%,0),4)</f>
        <v>0</v>
      </c>
      <c r="L448" s="143">
        <f>ROUND((J448*C448)+(K448*C448),4)</f>
        <v>0</v>
      </c>
      <c r="M448" s="140"/>
      <c r="N448" s="140">
        <f>ROUND(+I448-H448,4)</f>
        <v>0</v>
      </c>
      <c r="O448" s="143">
        <f>ROUND(+(N448)*C448*50%,4)</f>
        <v>0</v>
      </c>
      <c r="P448" s="147">
        <f>ROUND(O448+L448,4)</f>
        <v>0</v>
      </c>
      <c r="Q448" s="80"/>
      <c r="R448" s="81"/>
      <c r="S448" s="84"/>
    </row>
    <row r="449" spans="1:19" x14ac:dyDescent="0.2">
      <c r="A449" s="47"/>
      <c r="B449" s="36"/>
      <c r="C449" s="138"/>
      <c r="D449" s="140"/>
      <c r="E449" s="48"/>
      <c r="F449" s="140"/>
      <c r="G449" s="140"/>
      <c r="H449" s="140">
        <f>ROUND(+D449+F449,4)</f>
        <v>0</v>
      </c>
      <c r="I449" s="140">
        <v>0</v>
      </c>
      <c r="J449" s="140">
        <v>0.03</v>
      </c>
      <c r="K449" s="140">
        <f>ROUND(IF(E449="alluminio",(I449)*3%,0)+IF(E449="alluminio smaltato",(I449)*3%,0),4)</f>
        <v>0</v>
      </c>
      <c r="L449" s="143">
        <f>ROUND((J449*C449)+(K449*C449),4)</f>
        <v>0</v>
      </c>
      <c r="M449" s="140"/>
      <c r="N449" s="140">
        <f>ROUND(+I449-H449,4)</f>
        <v>0</v>
      </c>
      <c r="O449" s="143">
        <f>ROUND(+(N449)*C449*50%,4)</f>
        <v>0</v>
      </c>
      <c r="P449" s="147">
        <f>ROUND(O449+L449,4)</f>
        <v>0</v>
      </c>
      <c r="Q449" s="80"/>
      <c r="R449" s="81"/>
      <c r="S449" s="84"/>
    </row>
    <row r="450" spans="1:19" x14ac:dyDescent="0.2">
      <c r="A450" s="47"/>
      <c r="B450" s="36"/>
      <c r="C450" s="138"/>
      <c r="D450" s="140"/>
      <c r="E450" s="48"/>
      <c r="F450" s="140"/>
      <c r="G450" s="140"/>
      <c r="H450" s="140">
        <f>ROUND(+D450+F450,4)</f>
        <v>0</v>
      </c>
      <c r="I450" s="140">
        <v>0</v>
      </c>
      <c r="J450" s="140">
        <v>0.03</v>
      </c>
      <c r="K450" s="140">
        <f>ROUND(IF(E450="alluminio",(I450)*3%,0)+IF(E450="alluminio smaltato",(I450)*3%,0),4)</f>
        <v>0</v>
      </c>
      <c r="L450" s="143">
        <f>ROUND((J450*C450)+(K450*C450),4)</f>
        <v>0</v>
      </c>
      <c r="M450" s="140"/>
      <c r="N450" s="140">
        <f>ROUND(+I450-H450,4)</f>
        <v>0</v>
      </c>
      <c r="O450" s="143">
        <f>ROUND(+(N450)*C450*50%,4)</f>
        <v>0</v>
      </c>
      <c r="P450" s="147">
        <f>ROUND(O450+L450,4)</f>
        <v>0</v>
      </c>
      <c r="Q450" s="80"/>
      <c r="R450" s="81"/>
      <c r="S450" s="84"/>
    </row>
    <row r="451" spans="1:19" x14ac:dyDescent="0.2">
      <c r="A451" s="47"/>
      <c r="B451" s="36"/>
      <c r="C451" s="138"/>
      <c r="D451" s="140"/>
      <c r="E451" s="48"/>
      <c r="F451" s="140"/>
      <c r="G451" s="140"/>
      <c r="H451" s="140">
        <f>ROUND(+D451+F451,4)</f>
        <v>0</v>
      </c>
      <c r="I451" s="140">
        <v>0</v>
      </c>
      <c r="J451" s="140">
        <v>0.03</v>
      </c>
      <c r="K451" s="140">
        <f>ROUND(IF(E451="alluminio",(I451)*3%,0)+IF(E451="alluminio smaltato",(I451)*3%,0),4)</f>
        <v>0</v>
      </c>
      <c r="L451" s="143">
        <f>ROUND((J451*C451)+(K451*C451),4)</f>
        <v>0</v>
      </c>
      <c r="M451" s="140"/>
      <c r="N451" s="140">
        <f>ROUND(+I451-H451,4)</f>
        <v>0</v>
      </c>
      <c r="O451" s="143">
        <f>ROUND(+(N451)*C451*50%,4)</f>
        <v>0</v>
      </c>
      <c r="P451" s="147">
        <f>ROUND(O451+L451,4)</f>
        <v>0</v>
      </c>
      <c r="Q451" s="80"/>
      <c r="R451" s="81"/>
      <c r="S451" s="84"/>
    </row>
    <row r="452" spans="1:19" x14ac:dyDescent="0.2">
      <c r="A452" s="47"/>
      <c r="B452" s="36"/>
      <c r="C452" s="138"/>
      <c r="D452" s="140"/>
      <c r="E452" s="48"/>
      <c r="F452" s="140"/>
      <c r="G452" s="140"/>
      <c r="H452" s="140">
        <f>ROUND(+D452+F452,4)</f>
        <v>0</v>
      </c>
      <c r="I452" s="140">
        <v>0</v>
      </c>
      <c r="J452" s="140">
        <v>0.03</v>
      </c>
      <c r="K452" s="140">
        <f>ROUND(IF(E452="alluminio",(I452)*3%,0)+IF(E452="alluminio smaltato",(I452)*3%,0),4)</f>
        <v>0</v>
      </c>
      <c r="L452" s="143">
        <f>ROUND((J452*C452)+(K452*C452),4)</f>
        <v>0</v>
      </c>
      <c r="M452" s="140"/>
      <c r="N452" s="140">
        <f>ROUND(+I452-H452,4)</f>
        <v>0</v>
      </c>
      <c r="O452" s="143">
        <f>ROUND(+(N452)*C452*50%,4)</f>
        <v>0</v>
      </c>
      <c r="P452" s="147">
        <f>ROUND(O452+L452,4)</f>
        <v>0</v>
      </c>
      <c r="Q452" s="80"/>
      <c r="R452" s="81"/>
      <c r="S452" s="84"/>
    </row>
    <row r="453" spans="1:19" x14ac:dyDescent="0.2">
      <c r="A453" s="47"/>
      <c r="B453" s="36"/>
      <c r="C453" s="138"/>
      <c r="D453" s="140"/>
      <c r="E453" s="48"/>
      <c r="F453" s="140"/>
      <c r="G453" s="140"/>
      <c r="H453" s="140">
        <f>ROUND(+D453+F453,4)</f>
        <v>0</v>
      </c>
      <c r="I453" s="140">
        <v>0</v>
      </c>
      <c r="J453" s="140">
        <v>0.03</v>
      </c>
      <c r="K453" s="140">
        <f>ROUND(IF(E453="alluminio",(I453)*3%,0)+IF(E453="alluminio smaltato",(I453)*3%,0),4)</f>
        <v>0</v>
      </c>
      <c r="L453" s="143">
        <f>ROUND((J453*C453)+(K453*C453),4)</f>
        <v>0</v>
      </c>
      <c r="M453" s="140"/>
      <c r="N453" s="140">
        <f>ROUND(+I453-H453,4)</f>
        <v>0</v>
      </c>
      <c r="O453" s="143">
        <f>ROUND(+(N453)*C453*50%,4)</f>
        <v>0</v>
      </c>
      <c r="P453" s="147">
        <f>ROUND(O453+L453,4)</f>
        <v>0</v>
      </c>
      <c r="Q453" s="80"/>
      <c r="R453" s="81"/>
      <c r="S453" s="84"/>
    </row>
    <row r="454" spans="1:19" x14ac:dyDescent="0.2">
      <c r="A454" s="47"/>
      <c r="B454" s="36"/>
      <c r="C454" s="138"/>
      <c r="D454" s="140"/>
      <c r="E454" s="48"/>
      <c r="F454" s="140"/>
      <c r="G454" s="140"/>
      <c r="H454" s="140">
        <f>ROUND(+D454+F454,4)</f>
        <v>0</v>
      </c>
      <c r="I454" s="140">
        <v>0</v>
      </c>
      <c r="J454" s="140">
        <v>0.03</v>
      </c>
      <c r="K454" s="140">
        <f>ROUND(IF(E454="alluminio",(I454)*3%,0)+IF(E454="alluminio smaltato",(I454)*3%,0),4)</f>
        <v>0</v>
      </c>
      <c r="L454" s="143">
        <f>ROUND((J454*C454)+(K454*C454),4)</f>
        <v>0</v>
      </c>
      <c r="M454" s="140"/>
      <c r="N454" s="140">
        <f>ROUND(+I454-H454,4)</f>
        <v>0</v>
      </c>
      <c r="O454" s="143">
        <f>ROUND(+(N454)*C454*50%,4)</f>
        <v>0</v>
      </c>
      <c r="P454" s="147">
        <f>ROUND(O454+L454,4)</f>
        <v>0</v>
      </c>
      <c r="Q454" s="80"/>
      <c r="R454" s="81"/>
      <c r="S454" s="84"/>
    </row>
    <row r="455" spans="1:19" x14ac:dyDescent="0.2">
      <c r="A455" s="47"/>
      <c r="B455" s="36"/>
      <c r="C455" s="138"/>
      <c r="D455" s="140"/>
      <c r="E455" s="48"/>
      <c r="F455" s="140"/>
      <c r="G455" s="140"/>
      <c r="H455" s="140">
        <f>ROUND(+D455+F455,4)</f>
        <v>0</v>
      </c>
      <c r="I455" s="140">
        <v>0</v>
      </c>
      <c r="J455" s="140">
        <v>0.03</v>
      </c>
      <c r="K455" s="140">
        <f>ROUND(IF(E455="alluminio",(I455)*3%,0)+IF(E455="alluminio smaltato",(I455)*3%,0),4)</f>
        <v>0</v>
      </c>
      <c r="L455" s="143">
        <f>ROUND((J455*C455)+(K455*C455),4)</f>
        <v>0</v>
      </c>
      <c r="M455" s="140"/>
      <c r="N455" s="140">
        <f>ROUND(+I455-H455,4)</f>
        <v>0</v>
      </c>
      <c r="O455" s="143">
        <f>ROUND(+(N455)*C455*50%,4)</f>
        <v>0</v>
      </c>
      <c r="P455" s="147">
        <f>ROUND(O455+L455,4)</f>
        <v>0</v>
      </c>
      <c r="Q455" s="80"/>
      <c r="R455" s="81"/>
      <c r="S455" s="84"/>
    </row>
    <row r="456" spans="1:19" x14ac:dyDescent="0.2">
      <c r="A456" s="47"/>
      <c r="B456" s="36"/>
      <c r="C456" s="138"/>
      <c r="D456" s="140"/>
      <c r="E456" s="48"/>
      <c r="F456" s="140"/>
      <c r="G456" s="140"/>
      <c r="H456" s="140">
        <f>ROUND(+D456+F456,4)</f>
        <v>0</v>
      </c>
      <c r="I456" s="140">
        <v>0</v>
      </c>
      <c r="J456" s="140">
        <v>0.03</v>
      </c>
      <c r="K456" s="140">
        <f>ROUND(IF(E456="alluminio",(I456)*3%,0)+IF(E456="alluminio smaltato",(I456)*3%,0),4)</f>
        <v>0</v>
      </c>
      <c r="L456" s="143">
        <f>ROUND((J456*C456)+(K456*C456),4)</f>
        <v>0</v>
      </c>
      <c r="M456" s="140"/>
      <c r="N456" s="140">
        <f>ROUND(+I456-H456,4)</f>
        <v>0</v>
      </c>
      <c r="O456" s="143">
        <f>ROUND(+(N456)*C456*50%,4)</f>
        <v>0</v>
      </c>
      <c r="P456" s="147">
        <f>ROUND(O456+L456,4)</f>
        <v>0</v>
      </c>
      <c r="Q456" s="80"/>
      <c r="R456" s="81"/>
      <c r="S456" s="84"/>
    </row>
    <row r="457" spans="1:19" x14ac:dyDescent="0.2">
      <c r="A457" s="47"/>
      <c r="B457" s="36"/>
      <c r="C457" s="138"/>
      <c r="D457" s="140"/>
      <c r="E457" s="48"/>
      <c r="F457" s="140"/>
      <c r="G457" s="140"/>
      <c r="H457" s="140">
        <f>ROUND(+D457+F457,4)</f>
        <v>0</v>
      </c>
      <c r="I457" s="140">
        <v>0</v>
      </c>
      <c r="J457" s="140">
        <v>0.03</v>
      </c>
      <c r="K457" s="140">
        <f>ROUND(IF(E457="alluminio",(I457)*3%,0)+IF(E457="alluminio smaltato",(I457)*3%,0),4)</f>
        <v>0</v>
      </c>
      <c r="L457" s="143">
        <f>ROUND((J457*C457)+(K457*C457),4)</f>
        <v>0</v>
      </c>
      <c r="M457" s="140"/>
      <c r="N457" s="140">
        <f>ROUND(+I457-H457,4)</f>
        <v>0</v>
      </c>
      <c r="O457" s="143">
        <f>ROUND(+(N457)*C457*50%,4)</f>
        <v>0</v>
      </c>
      <c r="P457" s="147">
        <f>ROUND(O457+L457,4)</f>
        <v>0</v>
      </c>
      <c r="Q457" s="80"/>
      <c r="R457" s="81"/>
      <c r="S457" s="84"/>
    </row>
    <row r="458" spans="1:19" x14ac:dyDescent="0.2">
      <c r="A458" s="47"/>
      <c r="B458" s="36"/>
      <c r="C458" s="138"/>
      <c r="D458" s="140"/>
      <c r="E458" s="48"/>
      <c r="F458" s="140"/>
      <c r="G458" s="140"/>
      <c r="H458" s="140">
        <f>ROUND(+D458+F458,4)</f>
        <v>0</v>
      </c>
      <c r="I458" s="140">
        <v>0</v>
      </c>
      <c r="J458" s="140">
        <v>0.03</v>
      </c>
      <c r="K458" s="140">
        <f>ROUND(IF(E458="alluminio",(I458)*3%,0)+IF(E458="alluminio smaltato",(I458)*3%,0),4)</f>
        <v>0</v>
      </c>
      <c r="L458" s="143">
        <f>ROUND((J458*C458)+(K458*C458),4)</f>
        <v>0</v>
      </c>
      <c r="M458" s="140"/>
      <c r="N458" s="140">
        <f>ROUND(+I458-H458,4)</f>
        <v>0</v>
      </c>
      <c r="O458" s="143">
        <f>ROUND(+(N458)*C458*50%,4)</f>
        <v>0</v>
      </c>
      <c r="P458" s="147">
        <f>ROUND(O458+L458,4)</f>
        <v>0</v>
      </c>
      <c r="Q458" s="80"/>
      <c r="R458" s="81"/>
      <c r="S458" s="84"/>
    </row>
    <row r="459" spans="1:19" x14ac:dyDescent="0.2">
      <c r="A459" s="47"/>
      <c r="B459" s="36"/>
      <c r="C459" s="138"/>
      <c r="D459" s="140"/>
      <c r="E459" s="48"/>
      <c r="F459" s="140"/>
      <c r="G459" s="140"/>
      <c r="H459" s="140">
        <f>ROUND(+D459+F459,4)</f>
        <v>0</v>
      </c>
      <c r="I459" s="140">
        <v>0</v>
      </c>
      <c r="J459" s="140">
        <v>0.03</v>
      </c>
      <c r="K459" s="140">
        <f>ROUND(IF(E459="alluminio",(I459)*3%,0)+IF(E459="alluminio smaltato",(I459)*3%,0),4)</f>
        <v>0</v>
      </c>
      <c r="L459" s="143">
        <f>ROUND((J459*C459)+(K459*C459),4)</f>
        <v>0</v>
      </c>
      <c r="M459" s="140"/>
      <c r="N459" s="140">
        <f>ROUND(+I459-H459,4)</f>
        <v>0</v>
      </c>
      <c r="O459" s="143">
        <f>ROUND(+(N459)*C459*50%,4)</f>
        <v>0</v>
      </c>
      <c r="P459" s="147">
        <f>ROUND(O459+L459,4)</f>
        <v>0</v>
      </c>
      <c r="Q459" s="80"/>
      <c r="R459" s="81"/>
      <c r="S459" s="84"/>
    </row>
    <row r="460" spans="1:19" x14ac:dyDescent="0.2">
      <c r="A460" s="47"/>
      <c r="B460" s="36"/>
      <c r="C460" s="138"/>
      <c r="D460" s="140"/>
      <c r="E460" s="48"/>
      <c r="F460" s="140"/>
      <c r="G460" s="140"/>
      <c r="H460" s="140">
        <f>ROUND(+D460+F460,4)</f>
        <v>0</v>
      </c>
      <c r="I460" s="140">
        <v>0</v>
      </c>
      <c r="J460" s="140">
        <v>0.03</v>
      </c>
      <c r="K460" s="140">
        <f>ROUND(IF(E460="alluminio",(I460)*3%,0)+IF(E460="alluminio smaltato",(I460)*3%,0),4)</f>
        <v>0</v>
      </c>
      <c r="L460" s="143">
        <f>ROUND((J460*C460)+(K460*C460),4)</f>
        <v>0</v>
      </c>
      <c r="M460" s="140"/>
      <c r="N460" s="140">
        <f>ROUND(+I460-H460,4)</f>
        <v>0</v>
      </c>
      <c r="O460" s="143">
        <f>ROUND(+(N460)*C460*50%,4)</f>
        <v>0</v>
      </c>
      <c r="P460" s="147">
        <f>ROUND(O460+L460,4)</f>
        <v>0</v>
      </c>
      <c r="Q460" s="80"/>
      <c r="R460" s="81"/>
      <c r="S460" s="84"/>
    </row>
    <row r="461" spans="1:19" x14ac:dyDescent="0.2">
      <c r="A461" s="47"/>
      <c r="B461" s="36"/>
      <c r="C461" s="138"/>
      <c r="D461" s="140"/>
      <c r="E461" s="48"/>
      <c r="F461" s="140"/>
      <c r="G461" s="140"/>
      <c r="H461" s="140">
        <f>ROUND(+D461+F461,4)</f>
        <v>0</v>
      </c>
      <c r="I461" s="140">
        <v>0</v>
      </c>
      <c r="J461" s="140">
        <v>0.03</v>
      </c>
      <c r="K461" s="140">
        <f>ROUND(IF(E461="alluminio",(I461)*3%,0)+IF(E461="alluminio smaltato",(I461)*3%,0),4)</f>
        <v>0</v>
      </c>
      <c r="L461" s="143">
        <f>ROUND((J461*C461)+(K461*C461),4)</f>
        <v>0</v>
      </c>
      <c r="M461" s="140"/>
      <c r="N461" s="140">
        <f>ROUND(+I461-H461,4)</f>
        <v>0</v>
      </c>
      <c r="O461" s="143">
        <f>ROUND(+(N461)*C461*50%,4)</f>
        <v>0</v>
      </c>
      <c r="P461" s="147">
        <f>ROUND(O461+L461,4)</f>
        <v>0</v>
      </c>
      <c r="Q461" s="80"/>
      <c r="R461" s="81"/>
      <c r="S461" s="84"/>
    </row>
    <row r="462" spans="1:19" x14ac:dyDescent="0.2">
      <c r="A462" s="47"/>
      <c r="B462" s="36"/>
      <c r="C462" s="138"/>
      <c r="D462" s="140"/>
      <c r="E462" s="48"/>
      <c r="F462" s="140"/>
      <c r="G462" s="140"/>
      <c r="H462" s="140">
        <f>ROUND(+D462+F462,4)</f>
        <v>0</v>
      </c>
      <c r="I462" s="140">
        <v>0</v>
      </c>
      <c r="J462" s="140">
        <v>0.03</v>
      </c>
      <c r="K462" s="140">
        <f>ROUND(IF(E462="alluminio",(I462)*3%,0)+IF(E462="alluminio smaltato",(I462)*3%,0),4)</f>
        <v>0</v>
      </c>
      <c r="L462" s="143">
        <f>ROUND((J462*C462)+(K462*C462),4)</f>
        <v>0</v>
      </c>
      <c r="M462" s="140"/>
      <c r="N462" s="140">
        <f>ROUND(+I462-H462,4)</f>
        <v>0</v>
      </c>
      <c r="O462" s="143">
        <f>ROUND(+(N462)*C462*50%,4)</f>
        <v>0</v>
      </c>
      <c r="P462" s="147">
        <f>ROUND(O462+L462,4)</f>
        <v>0</v>
      </c>
      <c r="Q462" s="80"/>
      <c r="R462" s="81"/>
      <c r="S462" s="84"/>
    </row>
    <row r="463" spans="1:19" x14ac:dyDescent="0.2">
      <c r="A463" s="47"/>
      <c r="B463" s="36"/>
      <c r="C463" s="138"/>
      <c r="D463" s="140"/>
      <c r="E463" s="48"/>
      <c r="F463" s="140"/>
      <c r="G463" s="140"/>
      <c r="H463" s="140">
        <f>ROUND(+D463+F463,4)</f>
        <v>0</v>
      </c>
      <c r="I463" s="140">
        <v>0</v>
      </c>
      <c r="J463" s="140">
        <v>0.03</v>
      </c>
      <c r="K463" s="140">
        <f>ROUND(IF(E463="alluminio",(I463)*3%,0)+IF(E463="alluminio smaltato",(I463)*3%,0),4)</f>
        <v>0</v>
      </c>
      <c r="L463" s="143">
        <f>ROUND((J463*C463)+(K463*C463),4)</f>
        <v>0</v>
      </c>
      <c r="M463" s="140"/>
      <c r="N463" s="140">
        <f>ROUND(+I463-H463,4)</f>
        <v>0</v>
      </c>
      <c r="O463" s="143">
        <f>ROUND(+(N463)*C463*50%,4)</f>
        <v>0</v>
      </c>
      <c r="P463" s="147">
        <f>ROUND(O463+L463,4)</f>
        <v>0</v>
      </c>
      <c r="Q463" s="80"/>
      <c r="R463" s="81"/>
      <c r="S463" s="84"/>
    </row>
    <row r="464" spans="1:19" x14ac:dyDescent="0.2">
      <c r="A464" s="47"/>
      <c r="B464" s="36"/>
      <c r="C464" s="138"/>
      <c r="D464" s="140"/>
      <c r="E464" s="48"/>
      <c r="F464" s="140"/>
      <c r="G464" s="140"/>
      <c r="H464" s="140">
        <f>ROUND(+D464+F464,4)</f>
        <v>0</v>
      </c>
      <c r="I464" s="140">
        <v>0</v>
      </c>
      <c r="J464" s="140">
        <v>0.03</v>
      </c>
      <c r="K464" s="140">
        <f>ROUND(IF(E464="alluminio",(I464)*3%,0)+IF(E464="alluminio smaltato",(I464)*3%,0),4)</f>
        <v>0</v>
      </c>
      <c r="L464" s="143">
        <f>ROUND((J464*C464)+(K464*C464),4)</f>
        <v>0</v>
      </c>
      <c r="M464" s="140"/>
      <c r="N464" s="140">
        <f>ROUND(+I464-H464,4)</f>
        <v>0</v>
      </c>
      <c r="O464" s="143">
        <f>ROUND(+(N464)*C464*50%,4)</f>
        <v>0</v>
      </c>
      <c r="P464" s="147">
        <f>ROUND(O464+L464,4)</f>
        <v>0</v>
      </c>
      <c r="Q464" s="80"/>
      <c r="R464" s="81"/>
      <c r="S464" s="84"/>
    </row>
    <row r="465" spans="1:19" x14ac:dyDescent="0.2">
      <c r="A465" s="47"/>
      <c r="B465" s="36"/>
      <c r="C465" s="138"/>
      <c r="D465" s="140"/>
      <c r="E465" s="48"/>
      <c r="F465" s="140"/>
      <c r="G465" s="140"/>
      <c r="H465" s="140">
        <f>ROUND(+D465+F465,4)</f>
        <v>0</v>
      </c>
      <c r="I465" s="140">
        <v>0</v>
      </c>
      <c r="J465" s="140">
        <v>0.03</v>
      </c>
      <c r="K465" s="140">
        <f>ROUND(IF(E465="alluminio",(I465)*3%,0)+IF(E465="alluminio smaltato",(I465)*3%,0),4)</f>
        <v>0</v>
      </c>
      <c r="L465" s="143">
        <f>ROUND((J465*C465)+(K465*C465),4)</f>
        <v>0</v>
      </c>
      <c r="M465" s="140"/>
      <c r="N465" s="140">
        <f>ROUND(+I465-H465,4)</f>
        <v>0</v>
      </c>
      <c r="O465" s="143">
        <f>ROUND(+(N465)*C465*50%,4)</f>
        <v>0</v>
      </c>
      <c r="P465" s="147">
        <f>ROUND(O465+L465,4)</f>
        <v>0</v>
      </c>
      <c r="Q465" s="80"/>
      <c r="R465" s="81"/>
      <c r="S465" s="84"/>
    </row>
    <row r="466" spans="1:19" x14ac:dyDescent="0.2">
      <c r="A466" s="47"/>
      <c r="B466" s="36"/>
      <c r="C466" s="138"/>
      <c r="D466" s="140"/>
      <c r="E466" s="48"/>
      <c r="F466" s="140"/>
      <c r="G466" s="140"/>
      <c r="H466" s="140">
        <f>ROUND(+D466+F466,4)</f>
        <v>0</v>
      </c>
      <c r="I466" s="140">
        <v>0</v>
      </c>
      <c r="J466" s="140">
        <v>0.03</v>
      </c>
      <c r="K466" s="140">
        <f>ROUND(IF(E466="alluminio",(I466)*3%,0)+IF(E466="alluminio smaltato",(I466)*3%,0),4)</f>
        <v>0</v>
      </c>
      <c r="L466" s="143">
        <f>ROUND((J466*C466)+(K466*C466),4)</f>
        <v>0</v>
      </c>
      <c r="M466" s="140"/>
      <c r="N466" s="140">
        <f>ROUND(+I466-H466,4)</f>
        <v>0</v>
      </c>
      <c r="O466" s="143">
        <f>ROUND(+(N466)*C466*50%,4)</f>
        <v>0</v>
      </c>
      <c r="P466" s="147">
        <f>ROUND(O466+L466,4)</f>
        <v>0</v>
      </c>
      <c r="Q466" s="80"/>
      <c r="R466" s="81"/>
      <c r="S466" s="84"/>
    </row>
    <row r="467" spans="1:19" x14ac:dyDescent="0.2">
      <c r="A467" s="47"/>
      <c r="B467" s="36"/>
      <c r="C467" s="138"/>
      <c r="D467" s="140"/>
      <c r="E467" s="48"/>
      <c r="F467" s="140"/>
      <c r="G467" s="140"/>
      <c r="H467" s="140">
        <f>ROUND(+D467+F467,4)</f>
        <v>0</v>
      </c>
      <c r="I467" s="140">
        <v>0</v>
      </c>
      <c r="J467" s="140">
        <v>0.03</v>
      </c>
      <c r="K467" s="140">
        <f>ROUND(IF(E467="alluminio",(I467)*3%,0)+IF(E467="alluminio smaltato",(I467)*3%,0),4)</f>
        <v>0</v>
      </c>
      <c r="L467" s="143">
        <f>ROUND((J467*C467)+(K467*C467),4)</f>
        <v>0</v>
      </c>
      <c r="M467" s="140"/>
      <c r="N467" s="140">
        <f>ROUND(+I467-H467,4)</f>
        <v>0</v>
      </c>
      <c r="O467" s="143">
        <f>ROUND(+(N467)*C467*50%,4)</f>
        <v>0</v>
      </c>
      <c r="P467" s="147">
        <f>ROUND(O467+L467,4)</f>
        <v>0</v>
      </c>
      <c r="Q467" s="80"/>
      <c r="R467" s="81"/>
      <c r="S467" s="84"/>
    </row>
    <row r="468" spans="1:19" x14ac:dyDescent="0.2">
      <c r="A468" s="47"/>
      <c r="B468" s="36"/>
      <c r="C468" s="138"/>
      <c r="D468" s="140"/>
      <c r="E468" s="48"/>
      <c r="F468" s="140"/>
      <c r="G468" s="140"/>
      <c r="H468" s="140">
        <f>ROUND(+D468+F468,4)</f>
        <v>0</v>
      </c>
      <c r="I468" s="140">
        <v>0</v>
      </c>
      <c r="J468" s="140">
        <v>0.03</v>
      </c>
      <c r="K468" s="140">
        <f>ROUND(IF(E468="alluminio",(I468)*3%,0)+IF(E468="alluminio smaltato",(I468)*3%,0),4)</f>
        <v>0</v>
      </c>
      <c r="L468" s="143">
        <f>ROUND((J468*C468)+(K468*C468),4)</f>
        <v>0</v>
      </c>
      <c r="M468" s="140"/>
      <c r="N468" s="140">
        <f>ROUND(+I468-H468,4)</f>
        <v>0</v>
      </c>
      <c r="O468" s="143">
        <f>ROUND(+(N468)*C468*50%,4)</f>
        <v>0</v>
      </c>
      <c r="P468" s="147">
        <f>ROUND(O468+L468,4)</f>
        <v>0</v>
      </c>
      <c r="Q468" s="80"/>
      <c r="R468" s="81"/>
      <c r="S468" s="84"/>
    </row>
    <row r="469" spans="1:19" x14ac:dyDescent="0.2">
      <c r="A469" s="47"/>
      <c r="B469" s="36"/>
      <c r="C469" s="138"/>
      <c r="D469" s="140"/>
      <c r="E469" s="48"/>
      <c r="F469" s="140"/>
      <c r="G469" s="140"/>
      <c r="H469" s="140">
        <f>ROUND(+D469+F469,4)</f>
        <v>0</v>
      </c>
      <c r="I469" s="140">
        <v>0</v>
      </c>
      <c r="J469" s="140">
        <v>0.03</v>
      </c>
      <c r="K469" s="140">
        <f>ROUND(IF(E469="alluminio",(I469)*3%,0)+IF(E469="alluminio smaltato",(I469)*3%,0),4)</f>
        <v>0</v>
      </c>
      <c r="L469" s="143">
        <f>ROUND((J469*C469)+(K469*C469),4)</f>
        <v>0</v>
      </c>
      <c r="M469" s="140"/>
      <c r="N469" s="140">
        <f>ROUND(+I469-H469,4)</f>
        <v>0</v>
      </c>
      <c r="O469" s="143">
        <f>ROUND(+(N469)*C469*50%,4)</f>
        <v>0</v>
      </c>
      <c r="P469" s="147">
        <f>ROUND(O469+L469,4)</f>
        <v>0</v>
      </c>
      <c r="Q469" s="80"/>
      <c r="R469" s="81"/>
      <c r="S469" s="84"/>
    </row>
    <row r="470" spans="1:19" x14ac:dyDescent="0.2">
      <c r="A470" s="47"/>
      <c r="B470" s="36"/>
      <c r="C470" s="138"/>
      <c r="D470" s="140"/>
      <c r="E470" s="48"/>
      <c r="F470" s="140"/>
      <c r="G470" s="140"/>
      <c r="H470" s="140">
        <f>ROUND(+D470+F470,4)</f>
        <v>0</v>
      </c>
      <c r="I470" s="140">
        <v>0</v>
      </c>
      <c r="J470" s="140">
        <v>0.03</v>
      </c>
      <c r="K470" s="140">
        <f>ROUND(IF(E470="alluminio",(I470)*3%,0)+IF(E470="alluminio smaltato",(I470)*3%,0),4)</f>
        <v>0</v>
      </c>
      <c r="L470" s="143">
        <f>ROUND((J470*C470)+(K470*C470),4)</f>
        <v>0</v>
      </c>
      <c r="M470" s="140"/>
      <c r="N470" s="140">
        <f>ROUND(+I470-H470,4)</f>
        <v>0</v>
      </c>
      <c r="O470" s="143">
        <f>ROUND(+(N470)*C470*50%,4)</f>
        <v>0</v>
      </c>
      <c r="P470" s="147">
        <f>ROUND(O470+L470,4)</f>
        <v>0</v>
      </c>
      <c r="Q470" s="80"/>
      <c r="R470" s="81"/>
      <c r="S470" s="84"/>
    </row>
    <row r="471" spans="1:19" x14ac:dyDescent="0.2">
      <c r="A471" s="47"/>
      <c r="B471" s="36"/>
      <c r="C471" s="138"/>
      <c r="D471" s="140"/>
      <c r="E471" s="48"/>
      <c r="F471" s="140"/>
      <c r="G471" s="140"/>
      <c r="H471" s="140">
        <f>ROUND(+D471+F471,4)</f>
        <v>0</v>
      </c>
      <c r="I471" s="140">
        <v>0</v>
      </c>
      <c r="J471" s="140">
        <v>0.03</v>
      </c>
      <c r="K471" s="140">
        <f>ROUND(IF(E471="alluminio",(I471)*3%,0)+IF(E471="alluminio smaltato",(I471)*3%,0),4)</f>
        <v>0</v>
      </c>
      <c r="L471" s="143">
        <f>ROUND((J471*C471)+(K471*C471),4)</f>
        <v>0</v>
      </c>
      <c r="M471" s="140"/>
      <c r="N471" s="140">
        <f>ROUND(+I471-H471,4)</f>
        <v>0</v>
      </c>
      <c r="O471" s="143">
        <f>ROUND(+(N471)*C471*50%,4)</f>
        <v>0</v>
      </c>
      <c r="P471" s="147">
        <f>ROUND(O471+L471,4)</f>
        <v>0</v>
      </c>
      <c r="Q471" s="80"/>
      <c r="R471" s="81"/>
      <c r="S471" s="84"/>
    </row>
    <row r="472" spans="1:19" x14ac:dyDescent="0.2">
      <c r="A472" s="47"/>
      <c r="B472" s="36"/>
      <c r="C472" s="138"/>
      <c r="D472" s="140"/>
      <c r="E472" s="48"/>
      <c r="F472" s="140"/>
      <c r="G472" s="140"/>
      <c r="H472" s="140">
        <f>ROUND(+D472+F472,4)</f>
        <v>0</v>
      </c>
      <c r="I472" s="140">
        <v>0</v>
      </c>
      <c r="J472" s="140">
        <v>0.03</v>
      </c>
      <c r="K472" s="140">
        <f>ROUND(IF(E472="alluminio",(I472)*3%,0)+IF(E472="alluminio smaltato",(I472)*3%,0),4)</f>
        <v>0</v>
      </c>
      <c r="L472" s="143">
        <f>ROUND((J472*C472)+(K472*C472),4)</f>
        <v>0</v>
      </c>
      <c r="M472" s="140"/>
      <c r="N472" s="140">
        <f>ROUND(+I472-H472,4)</f>
        <v>0</v>
      </c>
      <c r="O472" s="143">
        <f>ROUND(+(N472)*C472*50%,4)</f>
        <v>0</v>
      </c>
      <c r="P472" s="147">
        <f>ROUND(O472+L472,4)</f>
        <v>0</v>
      </c>
      <c r="Q472" s="80"/>
      <c r="R472" s="81"/>
      <c r="S472" s="84"/>
    </row>
    <row r="473" spans="1:19" x14ac:dyDescent="0.2">
      <c r="A473" s="47"/>
      <c r="B473" s="36"/>
      <c r="C473" s="138"/>
      <c r="D473" s="140"/>
      <c r="E473" s="48"/>
      <c r="F473" s="140"/>
      <c r="G473" s="140"/>
      <c r="H473" s="140">
        <f>ROUND(+D473+F473,4)</f>
        <v>0</v>
      </c>
      <c r="I473" s="140">
        <v>0</v>
      </c>
      <c r="J473" s="140">
        <v>0.03</v>
      </c>
      <c r="K473" s="140">
        <f>ROUND(IF(E473="alluminio",(I473)*3%,0)+IF(E473="alluminio smaltato",(I473)*3%,0),4)</f>
        <v>0</v>
      </c>
      <c r="L473" s="143">
        <f>ROUND((J473*C473)+(K473*C473),4)</f>
        <v>0</v>
      </c>
      <c r="M473" s="140"/>
      <c r="N473" s="140">
        <f>ROUND(+I473-H473,4)</f>
        <v>0</v>
      </c>
      <c r="O473" s="143">
        <f>ROUND(+(N473)*C473*50%,4)</f>
        <v>0</v>
      </c>
      <c r="P473" s="147">
        <f>ROUND(O473+L473,4)</f>
        <v>0</v>
      </c>
      <c r="Q473" s="80"/>
      <c r="R473" s="81"/>
      <c r="S473" s="84"/>
    </row>
    <row r="474" spans="1:19" x14ac:dyDescent="0.2">
      <c r="A474" s="47"/>
      <c r="B474" s="36"/>
      <c r="C474" s="138"/>
      <c r="D474" s="140"/>
      <c r="E474" s="48"/>
      <c r="F474" s="140"/>
      <c r="G474" s="140"/>
      <c r="H474" s="140">
        <f>ROUND(+D474+F474,4)</f>
        <v>0</v>
      </c>
      <c r="I474" s="140">
        <v>0</v>
      </c>
      <c r="J474" s="140">
        <v>0.03</v>
      </c>
      <c r="K474" s="140">
        <f>ROUND(IF(E474="alluminio",(I474)*3%,0)+IF(E474="alluminio smaltato",(I474)*3%,0),4)</f>
        <v>0</v>
      </c>
      <c r="L474" s="143">
        <f>ROUND((J474*C474)+(K474*C474),4)</f>
        <v>0</v>
      </c>
      <c r="M474" s="140"/>
      <c r="N474" s="140">
        <f>ROUND(+I474-H474,4)</f>
        <v>0</v>
      </c>
      <c r="O474" s="143">
        <f>ROUND(+(N474)*C474*50%,4)</f>
        <v>0</v>
      </c>
      <c r="P474" s="147">
        <f>ROUND(O474+L474,4)</f>
        <v>0</v>
      </c>
      <c r="Q474" s="80"/>
      <c r="R474" s="81"/>
      <c r="S474" s="84"/>
    </row>
    <row r="475" spans="1:19" x14ac:dyDescent="0.2">
      <c r="A475" s="47"/>
      <c r="B475" s="36"/>
      <c r="C475" s="138"/>
      <c r="D475" s="140"/>
      <c r="E475" s="48"/>
      <c r="F475" s="140"/>
      <c r="G475" s="140"/>
      <c r="H475" s="140">
        <f>ROUND(+D475+F475,4)</f>
        <v>0</v>
      </c>
      <c r="I475" s="140">
        <v>0</v>
      </c>
      <c r="J475" s="140">
        <v>0.03</v>
      </c>
      <c r="K475" s="140">
        <f>ROUND(IF(E475="alluminio",(I475)*3%,0)+IF(E475="alluminio smaltato",(I475)*3%,0),4)</f>
        <v>0</v>
      </c>
      <c r="L475" s="143">
        <f>ROUND((J475*C475)+(K475*C475),4)</f>
        <v>0</v>
      </c>
      <c r="M475" s="140"/>
      <c r="N475" s="140">
        <f>ROUND(+I475-H475,4)</f>
        <v>0</v>
      </c>
      <c r="O475" s="143">
        <f>ROUND(+(N475)*C475*50%,4)</f>
        <v>0</v>
      </c>
      <c r="P475" s="147">
        <f>ROUND(O475+L475,4)</f>
        <v>0</v>
      </c>
      <c r="Q475" s="80"/>
      <c r="R475" s="81"/>
      <c r="S475" s="84"/>
    </row>
    <row r="476" spans="1:19" x14ac:dyDescent="0.2">
      <c r="A476" s="47"/>
      <c r="B476" s="36"/>
      <c r="C476" s="138"/>
      <c r="D476" s="140"/>
      <c r="E476" s="48"/>
      <c r="F476" s="140"/>
      <c r="G476" s="140"/>
      <c r="H476" s="140">
        <f>ROUND(+D476+F476,4)</f>
        <v>0</v>
      </c>
      <c r="I476" s="140">
        <v>0</v>
      </c>
      <c r="J476" s="140">
        <v>0.03</v>
      </c>
      <c r="K476" s="140">
        <f>ROUND(IF(E476="alluminio",(I476)*3%,0)+IF(E476="alluminio smaltato",(I476)*3%,0),4)</f>
        <v>0</v>
      </c>
      <c r="L476" s="143">
        <f>ROUND((J476*C476)+(K476*C476),4)</f>
        <v>0</v>
      </c>
      <c r="M476" s="140"/>
      <c r="N476" s="140">
        <f>ROUND(+I476-H476,4)</f>
        <v>0</v>
      </c>
      <c r="O476" s="143">
        <f>ROUND(+(N476)*C476*50%,4)</f>
        <v>0</v>
      </c>
      <c r="P476" s="147">
        <f>ROUND(O476+L476,4)</f>
        <v>0</v>
      </c>
      <c r="Q476" s="80"/>
      <c r="R476" s="81"/>
      <c r="S476" s="84"/>
    </row>
    <row r="477" spans="1:19" x14ac:dyDescent="0.2">
      <c r="A477" s="47"/>
      <c r="B477" s="36"/>
      <c r="C477" s="138"/>
      <c r="D477" s="140"/>
      <c r="E477" s="48"/>
      <c r="F477" s="140"/>
      <c r="G477" s="140"/>
      <c r="H477" s="140">
        <f>ROUND(+D477+F477,4)</f>
        <v>0</v>
      </c>
      <c r="I477" s="140">
        <v>0</v>
      </c>
      <c r="J477" s="140">
        <v>0.03</v>
      </c>
      <c r="K477" s="140">
        <f>ROUND(IF(E477="alluminio",(I477)*3%,0)+IF(E477="alluminio smaltato",(I477)*3%,0),4)</f>
        <v>0</v>
      </c>
      <c r="L477" s="143">
        <f>ROUND((J477*C477)+(K477*C477),4)</f>
        <v>0</v>
      </c>
      <c r="M477" s="140"/>
      <c r="N477" s="140">
        <f>ROUND(+I477-H477,4)</f>
        <v>0</v>
      </c>
      <c r="O477" s="143">
        <f>ROUND(+(N477)*C477*50%,4)</f>
        <v>0</v>
      </c>
      <c r="P477" s="147">
        <f>ROUND(O477+L477,4)</f>
        <v>0</v>
      </c>
      <c r="Q477" s="80"/>
      <c r="R477" s="81"/>
      <c r="S477" s="84"/>
    </row>
    <row r="478" spans="1:19" x14ac:dyDescent="0.2">
      <c r="A478" s="47"/>
      <c r="B478" s="36"/>
      <c r="C478" s="138"/>
      <c r="D478" s="140"/>
      <c r="E478" s="48"/>
      <c r="F478" s="140"/>
      <c r="G478" s="140"/>
      <c r="H478" s="140">
        <f>ROUND(+D478+F478,4)</f>
        <v>0</v>
      </c>
      <c r="I478" s="140">
        <v>0</v>
      </c>
      <c r="J478" s="140">
        <v>0.03</v>
      </c>
      <c r="K478" s="140">
        <f>ROUND(IF(E478="alluminio",(I478)*3%,0)+IF(E478="alluminio smaltato",(I478)*3%,0),4)</f>
        <v>0</v>
      </c>
      <c r="L478" s="143">
        <f>ROUND((J478*C478)+(K478*C478),4)</f>
        <v>0</v>
      </c>
      <c r="M478" s="140"/>
      <c r="N478" s="140">
        <f>ROUND(+I478-H478,4)</f>
        <v>0</v>
      </c>
      <c r="O478" s="143">
        <f>ROUND(+(N478)*C478*50%,4)</f>
        <v>0</v>
      </c>
      <c r="P478" s="147">
        <f>ROUND(O478+L478,4)</f>
        <v>0</v>
      </c>
      <c r="Q478" s="80"/>
      <c r="R478" s="81"/>
      <c r="S478" s="84"/>
    </row>
    <row r="479" spans="1:19" x14ac:dyDescent="0.2">
      <c r="A479" s="47"/>
      <c r="B479" s="36"/>
      <c r="C479" s="138"/>
      <c r="D479" s="140"/>
      <c r="E479" s="48"/>
      <c r="F479" s="140"/>
      <c r="G479" s="140"/>
      <c r="H479" s="140">
        <f>ROUND(+D479+F479,4)</f>
        <v>0</v>
      </c>
      <c r="I479" s="140">
        <v>0</v>
      </c>
      <c r="J479" s="140">
        <v>0.03</v>
      </c>
      <c r="K479" s="140">
        <f>ROUND(IF(E479="alluminio",(I479)*3%,0)+IF(E479="alluminio smaltato",(I479)*3%,0),4)</f>
        <v>0</v>
      </c>
      <c r="L479" s="143">
        <f>ROUND((J479*C479)+(K479*C479),4)</f>
        <v>0</v>
      </c>
      <c r="M479" s="140"/>
      <c r="N479" s="140">
        <f>ROUND(+I479-H479,4)</f>
        <v>0</v>
      </c>
      <c r="O479" s="143">
        <f>ROUND(+(N479)*C479*50%,4)</f>
        <v>0</v>
      </c>
      <c r="P479" s="147">
        <f>ROUND(O479+L479,4)</f>
        <v>0</v>
      </c>
      <c r="Q479" s="80"/>
      <c r="R479" s="81"/>
      <c r="S479" s="84"/>
    </row>
    <row r="480" spans="1:19" x14ac:dyDescent="0.2">
      <c r="A480" s="47"/>
      <c r="B480" s="36"/>
      <c r="C480" s="138"/>
      <c r="D480" s="140"/>
      <c r="E480" s="48"/>
      <c r="F480" s="140"/>
      <c r="G480" s="140"/>
      <c r="H480" s="140">
        <f>ROUND(+D480+F480,4)</f>
        <v>0</v>
      </c>
      <c r="I480" s="140">
        <v>0</v>
      </c>
      <c r="J480" s="140">
        <v>0.03</v>
      </c>
      <c r="K480" s="140">
        <f>ROUND(IF(E480="alluminio",(I480)*3%,0)+IF(E480="alluminio smaltato",(I480)*3%,0),4)</f>
        <v>0</v>
      </c>
      <c r="L480" s="143">
        <f>ROUND((J480*C480)+(K480*C480),4)</f>
        <v>0</v>
      </c>
      <c r="M480" s="140"/>
      <c r="N480" s="140">
        <f>ROUND(+I480-H480,4)</f>
        <v>0</v>
      </c>
      <c r="O480" s="143">
        <f>ROUND(+(N480)*C480*50%,4)</f>
        <v>0</v>
      </c>
      <c r="P480" s="147">
        <f>ROUND(O480+L480,4)</f>
        <v>0</v>
      </c>
      <c r="Q480" s="80"/>
      <c r="R480" s="81"/>
      <c r="S480" s="84"/>
    </row>
    <row r="481" spans="1:19" x14ac:dyDescent="0.2">
      <c r="A481" s="47"/>
      <c r="B481" s="36"/>
      <c r="C481" s="138"/>
      <c r="D481" s="140"/>
      <c r="E481" s="48"/>
      <c r="F481" s="140"/>
      <c r="G481" s="140"/>
      <c r="H481" s="140">
        <f>ROUND(+D481+F481,4)</f>
        <v>0</v>
      </c>
      <c r="I481" s="140">
        <v>0</v>
      </c>
      <c r="J481" s="140">
        <v>0.03</v>
      </c>
      <c r="K481" s="140">
        <f>ROUND(IF(E481="alluminio",(I481)*3%,0)+IF(E481="alluminio smaltato",(I481)*3%,0),4)</f>
        <v>0</v>
      </c>
      <c r="L481" s="143">
        <f>ROUND((J481*C481)+(K481*C481),4)</f>
        <v>0</v>
      </c>
      <c r="M481" s="140"/>
      <c r="N481" s="140">
        <f>ROUND(+I481-H481,4)</f>
        <v>0</v>
      </c>
      <c r="O481" s="143">
        <f>ROUND(+(N481)*C481*50%,4)</f>
        <v>0</v>
      </c>
      <c r="P481" s="147">
        <f>ROUND(O481+L481,4)</f>
        <v>0</v>
      </c>
      <c r="Q481" s="80"/>
      <c r="R481" s="81"/>
      <c r="S481" s="84"/>
    </row>
    <row r="482" spans="1:19" x14ac:dyDescent="0.2">
      <c r="A482" s="47"/>
      <c r="B482" s="36"/>
      <c r="C482" s="138"/>
      <c r="D482" s="140"/>
      <c r="E482" s="48"/>
      <c r="F482" s="140"/>
      <c r="G482" s="140"/>
      <c r="H482" s="140">
        <f>ROUND(+D482+F482,4)</f>
        <v>0</v>
      </c>
      <c r="I482" s="140">
        <v>0</v>
      </c>
      <c r="J482" s="140">
        <v>0.03</v>
      </c>
      <c r="K482" s="140">
        <f>ROUND(IF(E482="alluminio",(I482)*3%,0)+IF(E482="alluminio smaltato",(I482)*3%,0),4)</f>
        <v>0</v>
      </c>
      <c r="L482" s="143">
        <f>ROUND((J482*C482)+(K482*C482),4)</f>
        <v>0</v>
      </c>
      <c r="M482" s="140"/>
      <c r="N482" s="140">
        <f>ROUND(+I482-H482,4)</f>
        <v>0</v>
      </c>
      <c r="O482" s="143">
        <f>ROUND(+(N482)*C482*50%,4)</f>
        <v>0</v>
      </c>
      <c r="P482" s="147">
        <f>ROUND(O482+L482,4)</f>
        <v>0</v>
      </c>
      <c r="Q482" s="80"/>
      <c r="R482" s="81"/>
      <c r="S482" s="84"/>
    </row>
    <row r="483" spans="1:19" x14ac:dyDescent="0.2">
      <c r="A483" s="47"/>
      <c r="B483" s="36"/>
      <c r="C483" s="138"/>
      <c r="D483" s="140"/>
      <c r="E483" s="48"/>
      <c r="F483" s="140"/>
      <c r="G483" s="140"/>
      <c r="H483" s="140">
        <f>ROUND(+D483+F483,4)</f>
        <v>0</v>
      </c>
      <c r="I483" s="140">
        <v>0</v>
      </c>
      <c r="J483" s="140">
        <v>0.03</v>
      </c>
      <c r="K483" s="140">
        <f>ROUND(IF(E483="alluminio",(I483)*3%,0)+IF(E483="alluminio smaltato",(I483)*3%,0),4)</f>
        <v>0</v>
      </c>
      <c r="L483" s="143">
        <f>ROUND((J483*C483)+(K483*C483),4)</f>
        <v>0</v>
      </c>
      <c r="M483" s="140"/>
      <c r="N483" s="140">
        <f>ROUND(+I483-H483,4)</f>
        <v>0</v>
      </c>
      <c r="O483" s="143">
        <f>ROUND(+(N483)*C483*50%,4)</f>
        <v>0</v>
      </c>
      <c r="P483" s="147">
        <f>ROUND(O483+L483,4)</f>
        <v>0</v>
      </c>
      <c r="Q483" s="80"/>
      <c r="R483" s="81"/>
      <c r="S483" s="84"/>
    </row>
    <row r="484" spans="1:19" x14ac:dyDescent="0.2">
      <c r="A484" s="47"/>
      <c r="B484" s="36"/>
      <c r="C484" s="138"/>
      <c r="D484" s="140"/>
      <c r="E484" s="48"/>
      <c r="F484" s="140"/>
      <c r="G484" s="140"/>
      <c r="H484" s="140">
        <f>ROUND(+D484+F484,4)</f>
        <v>0</v>
      </c>
      <c r="I484" s="140">
        <v>0</v>
      </c>
      <c r="J484" s="140">
        <v>0.03</v>
      </c>
      <c r="K484" s="140">
        <f>ROUND(IF(E484="alluminio",(I484)*3%,0)+IF(E484="alluminio smaltato",(I484)*3%,0),4)</f>
        <v>0</v>
      </c>
      <c r="L484" s="143">
        <f>ROUND((J484*C484)+(K484*C484),4)</f>
        <v>0</v>
      </c>
      <c r="M484" s="140"/>
      <c r="N484" s="140">
        <f>ROUND(+I484-H484,4)</f>
        <v>0</v>
      </c>
      <c r="O484" s="143">
        <f>ROUND(+(N484)*C484*50%,4)</f>
        <v>0</v>
      </c>
      <c r="P484" s="147">
        <f>ROUND(O484+L484,4)</f>
        <v>0</v>
      </c>
      <c r="Q484" s="80"/>
      <c r="R484" s="81"/>
      <c r="S484" s="84"/>
    </row>
    <row r="485" spans="1:19" x14ac:dyDescent="0.2">
      <c r="A485" s="47"/>
      <c r="B485" s="36"/>
      <c r="C485" s="138"/>
      <c r="D485" s="140"/>
      <c r="E485" s="48"/>
      <c r="F485" s="140"/>
      <c r="G485" s="140"/>
      <c r="H485" s="140">
        <f>ROUND(+D485+F485,4)</f>
        <v>0</v>
      </c>
      <c r="I485" s="140">
        <v>0</v>
      </c>
      <c r="J485" s="140">
        <v>0.03</v>
      </c>
      <c r="K485" s="140">
        <f>ROUND(IF(E485="alluminio",(I485)*3%,0)+IF(E485="alluminio smaltato",(I485)*3%,0),4)</f>
        <v>0</v>
      </c>
      <c r="L485" s="143">
        <f>ROUND((J485*C485)+(K485*C485),4)</f>
        <v>0</v>
      </c>
      <c r="M485" s="140"/>
      <c r="N485" s="140">
        <f>ROUND(+I485-H485,4)</f>
        <v>0</v>
      </c>
      <c r="O485" s="143">
        <f>ROUND(+(N485)*C485*50%,4)</f>
        <v>0</v>
      </c>
      <c r="P485" s="147">
        <f>ROUND(O485+L485,4)</f>
        <v>0</v>
      </c>
      <c r="Q485" s="80"/>
      <c r="R485" s="81"/>
      <c r="S485" s="84"/>
    </row>
    <row r="486" spans="1:19" x14ac:dyDescent="0.2">
      <c r="A486" s="47"/>
      <c r="B486" s="36"/>
      <c r="C486" s="138"/>
      <c r="D486" s="140"/>
      <c r="E486" s="48"/>
      <c r="F486" s="140"/>
      <c r="G486" s="140"/>
      <c r="H486" s="140">
        <f>ROUND(+D486+F486,4)</f>
        <v>0</v>
      </c>
      <c r="I486" s="140">
        <v>0</v>
      </c>
      <c r="J486" s="140">
        <v>0.03</v>
      </c>
      <c r="K486" s="140">
        <f>ROUND(IF(E486="alluminio",(I486)*3%,0)+IF(E486="alluminio smaltato",(I486)*3%,0),4)</f>
        <v>0</v>
      </c>
      <c r="L486" s="143">
        <f>ROUND((J486*C486)+(K486*C486),4)</f>
        <v>0</v>
      </c>
      <c r="M486" s="140"/>
      <c r="N486" s="140">
        <f>ROUND(+I486-H486,4)</f>
        <v>0</v>
      </c>
      <c r="O486" s="143">
        <f>ROUND(+(N486)*C486*50%,4)</f>
        <v>0</v>
      </c>
      <c r="P486" s="147">
        <f>ROUND(O486+L486,4)</f>
        <v>0</v>
      </c>
      <c r="Q486" s="80"/>
      <c r="R486" s="81"/>
      <c r="S486" s="84"/>
    </row>
    <row r="487" spans="1:19" x14ac:dyDescent="0.2">
      <c r="A487" s="47"/>
      <c r="B487" s="36"/>
      <c r="C487" s="138"/>
      <c r="D487" s="140"/>
      <c r="E487" s="48"/>
      <c r="F487" s="140"/>
      <c r="G487" s="140"/>
      <c r="H487" s="140">
        <f>ROUND(+D487+F487,4)</f>
        <v>0</v>
      </c>
      <c r="I487" s="140">
        <v>0</v>
      </c>
      <c r="J487" s="140">
        <v>0.03</v>
      </c>
      <c r="K487" s="140">
        <f>ROUND(IF(E487="alluminio",(I487)*3%,0)+IF(E487="alluminio smaltato",(I487)*3%,0),4)</f>
        <v>0</v>
      </c>
      <c r="L487" s="143">
        <f>ROUND((J487*C487)+(K487*C487),4)</f>
        <v>0</v>
      </c>
      <c r="M487" s="140"/>
      <c r="N487" s="140">
        <f>ROUND(+I487-H487,4)</f>
        <v>0</v>
      </c>
      <c r="O487" s="143">
        <f>ROUND(+(N487)*C487*50%,4)</f>
        <v>0</v>
      </c>
      <c r="P487" s="147">
        <f>ROUND(O487+L487,4)</f>
        <v>0</v>
      </c>
      <c r="Q487" s="80"/>
      <c r="R487" s="81"/>
      <c r="S487" s="84"/>
    </row>
    <row r="488" spans="1:19" x14ac:dyDescent="0.2">
      <c r="A488" s="47"/>
      <c r="B488" s="36"/>
      <c r="C488" s="138"/>
      <c r="D488" s="140"/>
      <c r="E488" s="48"/>
      <c r="F488" s="140"/>
      <c r="G488" s="140"/>
      <c r="H488" s="140">
        <f>ROUND(+D488+F488,4)</f>
        <v>0</v>
      </c>
      <c r="I488" s="140">
        <v>0</v>
      </c>
      <c r="J488" s="140">
        <v>0.03</v>
      </c>
      <c r="K488" s="140">
        <f>ROUND(IF(E488="alluminio",(I488)*3%,0)+IF(E488="alluminio smaltato",(I488)*3%,0),4)</f>
        <v>0</v>
      </c>
      <c r="L488" s="143">
        <f>ROUND((J488*C488)+(K488*C488),4)</f>
        <v>0</v>
      </c>
      <c r="M488" s="140"/>
      <c r="N488" s="140">
        <f>ROUND(+I488-H488,4)</f>
        <v>0</v>
      </c>
      <c r="O488" s="143">
        <f>ROUND(+(N488)*C488*50%,4)</f>
        <v>0</v>
      </c>
      <c r="P488" s="147">
        <f>ROUND(O488+L488,4)</f>
        <v>0</v>
      </c>
      <c r="Q488" s="80"/>
      <c r="R488" s="81"/>
      <c r="S488" s="84"/>
    </row>
    <row r="489" spans="1:19" x14ac:dyDescent="0.2">
      <c r="A489" s="47"/>
      <c r="B489" s="36"/>
      <c r="C489" s="138"/>
      <c r="D489" s="140"/>
      <c r="E489" s="48"/>
      <c r="F489" s="140"/>
      <c r="G489" s="140"/>
      <c r="H489" s="140">
        <f>ROUND(+D489+F489,4)</f>
        <v>0</v>
      </c>
      <c r="I489" s="140">
        <v>0</v>
      </c>
      <c r="J489" s="140">
        <v>0.03</v>
      </c>
      <c r="K489" s="140">
        <f>ROUND(IF(E489="alluminio",(I489)*3%,0)+IF(E489="alluminio smaltato",(I489)*3%,0),4)</f>
        <v>0</v>
      </c>
      <c r="L489" s="143">
        <f>ROUND((J489*C489)+(K489*C489),4)</f>
        <v>0</v>
      </c>
      <c r="M489" s="140"/>
      <c r="N489" s="140">
        <f>ROUND(+I489-H489,4)</f>
        <v>0</v>
      </c>
      <c r="O489" s="143">
        <f>ROUND(+(N489)*C489*50%,4)</f>
        <v>0</v>
      </c>
      <c r="P489" s="147">
        <f>ROUND(O489+L489,4)</f>
        <v>0</v>
      </c>
      <c r="Q489" s="80"/>
      <c r="R489" s="81"/>
      <c r="S489" s="84"/>
    </row>
    <row r="490" spans="1:19" x14ac:dyDescent="0.2">
      <c r="A490" s="47"/>
      <c r="B490" s="36"/>
      <c r="C490" s="138"/>
      <c r="D490" s="140"/>
      <c r="E490" s="48"/>
      <c r="F490" s="140"/>
      <c r="G490" s="140"/>
      <c r="H490" s="140">
        <f>ROUND(+D490+F490,4)</f>
        <v>0</v>
      </c>
      <c r="I490" s="140">
        <v>0</v>
      </c>
      <c r="J490" s="140">
        <v>0.03</v>
      </c>
      <c r="K490" s="140">
        <f>ROUND(IF(E490="alluminio",(I490)*3%,0)+IF(E490="alluminio smaltato",(I490)*3%,0),4)</f>
        <v>0</v>
      </c>
      <c r="L490" s="143">
        <f>ROUND((J490*C490)+(K490*C490),4)</f>
        <v>0</v>
      </c>
      <c r="M490" s="140"/>
      <c r="N490" s="140">
        <f>ROUND(+I490-H490,4)</f>
        <v>0</v>
      </c>
      <c r="O490" s="143">
        <f>ROUND(+(N490)*C490*50%,4)</f>
        <v>0</v>
      </c>
      <c r="P490" s="147">
        <f>ROUND(O490+L490,4)</f>
        <v>0</v>
      </c>
      <c r="Q490" s="80"/>
      <c r="R490" s="81"/>
      <c r="S490" s="84"/>
    </row>
    <row r="491" spans="1:19" x14ac:dyDescent="0.2">
      <c r="A491" s="47"/>
      <c r="B491" s="36"/>
      <c r="C491" s="138"/>
      <c r="D491" s="140"/>
      <c r="E491" s="48"/>
      <c r="F491" s="140"/>
      <c r="G491" s="140"/>
      <c r="H491" s="140">
        <f>ROUND(+D491+F491,4)</f>
        <v>0</v>
      </c>
      <c r="I491" s="140">
        <v>0</v>
      </c>
      <c r="J491" s="140">
        <v>0.03</v>
      </c>
      <c r="K491" s="140">
        <f>ROUND(IF(E491="alluminio",(I491)*3%,0)+IF(E491="alluminio smaltato",(I491)*3%,0),4)</f>
        <v>0</v>
      </c>
      <c r="L491" s="143">
        <f>ROUND((J491*C491)+(K491*C491),4)</f>
        <v>0</v>
      </c>
      <c r="M491" s="140"/>
      <c r="N491" s="140">
        <f>ROUND(+I491-H491,4)</f>
        <v>0</v>
      </c>
      <c r="O491" s="143">
        <f>ROUND(+(N491)*C491*50%,4)</f>
        <v>0</v>
      </c>
      <c r="P491" s="147">
        <f>ROUND(O491+L491,4)</f>
        <v>0</v>
      </c>
      <c r="Q491" s="80"/>
      <c r="R491" s="81"/>
      <c r="S491" s="84"/>
    </row>
    <row r="492" spans="1:19" x14ac:dyDescent="0.2">
      <c r="A492" s="47"/>
      <c r="B492" s="36"/>
      <c r="C492" s="138"/>
      <c r="D492" s="140"/>
      <c r="E492" s="48"/>
      <c r="F492" s="140"/>
      <c r="G492" s="140"/>
      <c r="H492" s="140">
        <f>ROUND(+D492+F492,4)</f>
        <v>0</v>
      </c>
      <c r="I492" s="140">
        <v>0</v>
      </c>
      <c r="J492" s="140">
        <v>0.03</v>
      </c>
      <c r="K492" s="140">
        <f>ROUND(IF(E492="alluminio",(I492)*3%,0)+IF(E492="alluminio smaltato",(I492)*3%,0),4)</f>
        <v>0</v>
      </c>
      <c r="L492" s="143">
        <f>ROUND((J492*C492)+(K492*C492),4)</f>
        <v>0</v>
      </c>
      <c r="M492" s="140"/>
      <c r="N492" s="140">
        <f>ROUND(+I492-H492,4)</f>
        <v>0</v>
      </c>
      <c r="O492" s="143">
        <f>ROUND(+(N492)*C492*50%,4)</f>
        <v>0</v>
      </c>
      <c r="P492" s="147">
        <f>ROUND(O492+L492,4)</f>
        <v>0</v>
      </c>
      <c r="Q492" s="80"/>
      <c r="R492" s="81"/>
      <c r="S492" s="84"/>
    </row>
    <row r="493" spans="1:19" x14ac:dyDescent="0.2">
      <c r="A493" s="47"/>
      <c r="B493" s="36"/>
      <c r="C493" s="138"/>
      <c r="D493" s="140"/>
      <c r="E493" s="48"/>
      <c r="F493" s="140"/>
      <c r="G493" s="140"/>
      <c r="H493" s="140">
        <f>ROUND(+D493+F493,4)</f>
        <v>0</v>
      </c>
      <c r="I493" s="140">
        <v>0</v>
      </c>
      <c r="J493" s="140">
        <v>0.03</v>
      </c>
      <c r="K493" s="140">
        <f>ROUND(IF(E493="alluminio",(I493)*3%,0)+IF(E493="alluminio smaltato",(I493)*3%,0),4)</f>
        <v>0</v>
      </c>
      <c r="L493" s="143">
        <f>ROUND((J493*C493)+(K493*C493),4)</f>
        <v>0</v>
      </c>
      <c r="M493" s="140"/>
      <c r="N493" s="140">
        <f>ROUND(+I493-H493,4)</f>
        <v>0</v>
      </c>
      <c r="O493" s="143">
        <f>ROUND(+(N493)*C493*50%,4)</f>
        <v>0</v>
      </c>
      <c r="P493" s="147">
        <f>ROUND(O493+L493,4)</f>
        <v>0</v>
      </c>
      <c r="Q493" s="80"/>
      <c r="R493" s="81"/>
      <c r="S493" s="84"/>
    </row>
    <row r="494" spans="1:19" x14ac:dyDescent="0.2">
      <c r="A494" s="47"/>
      <c r="B494" s="36"/>
      <c r="C494" s="138"/>
      <c r="D494" s="140"/>
      <c r="E494" s="48"/>
      <c r="F494" s="140"/>
      <c r="G494" s="140"/>
      <c r="H494" s="140">
        <f>ROUND(+D494+F494,4)</f>
        <v>0</v>
      </c>
      <c r="I494" s="140">
        <v>0</v>
      </c>
      <c r="J494" s="140">
        <v>0.03</v>
      </c>
      <c r="K494" s="140">
        <f>ROUND(IF(E494="alluminio",(I494)*3%,0)+IF(E494="alluminio smaltato",(I494)*3%,0),4)</f>
        <v>0</v>
      </c>
      <c r="L494" s="143">
        <f>ROUND((J494*C494)+(K494*C494),4)</f>
        <v>0</v>
      </c>
      <c r="M494" s="140"/>
      <c r="N494" s="140">
        <f>ROUND(+I494-H494,4)</f>
        <v>0</v>
      </c>
      <c r="O494" s="143">
        <f>ROUND(+(N494)*C494*50%,4)</f>
        <v>0</v>
      </c>
      <c r="P494" s="147">
        <f>ROUND(O494+L494,4)</f>
        <v>0</v>
      </c>
      <c r="Q494" s="80"/>
      <c r="R494" s="81"/>
      <c r="S494" s="84"/>
    </row>
    <row r="495" spans="1:19" x14ac:dyDescent="0.2">
      <c r="A495" s="47"/>
      <c r="B495" s="36"/>
      <c r="C495" s="138"/>
      <c r="D495" s="140"/>
      <c r="E495" s="48"/>
      <c r="F495" s="140"/>
      <c r="G495" s="140"/>
      <c r="H495" s="140">
        <f>ROUND(+D495+F495,4)</f>
        <v>0</v>
      </c>
      <c r="I495" s="140">
        <v>0</v>
      </c>
      <c r="J495" s="140">
        <v>0.03</v>
      </c>
      <c r="K495" s="140">
        <f>ROUND(IF(E495="alluminio",(I495)*3%,0)+IF(E495="alluminio smaltato",(I495)*3%,0),4)</f>
        <v>0</v>
      </c>
      <c r="L495" s="143">
        <f>ROUND((J495*C495)+(K495*C495),4)</f>
        <v>0</v>
      </c>
      <c r="M495" s="140"/>
      <c r="N495" s="140">
        <f>ROUND(+I495-H495,4)</f>
        <v>0</v>
      </c>
      <c r="O495" s="143">
        <f>ROUND(+(N495)*C495*50%,4)</f>
        <v>0</v>
      </c>
      <c r="P495" s="147">
        <f>ROUND(O495+L495,4)</f>
        <v>0</v>
      </c>
      <c r="Q495" s="80"/>
      <c r="R495" s="81"/>
      <c r="S495" s="84"/>
    </row>
    <row r="496" spans="1:19" x14ac:dyDescent="0.2">
      <c r="A496" s="47"/>
      <c r="B496" s="36"/>
      <c r="C496" s="138"/>
      <c r="D496" s="140"/>
      <c r="E496" s="48"/>
      <c r="F496" s="140"/>
      <c r="G496" s="140"/>
      <c r="H496" s="140">
        <f>ROUND(+D496+F496,4)</f>
        <v>0</v>
      </c>
      <c r="I496" s="140">
        <v>0</v>
      </c>
      <c r="J496" s="140">
        <v>0.03</v>
      </c>
      <c r="K496" s="140">
        <f>ROUND(IF(E496="alluminio",(I496)*3%,0)+IF(E496="alluminio smaltato",(I496)*3%,0),4)</f>
        <v>0</v>
      </c>
      <c r="L496" s="143">
        <f>ROUND((J496*C496)+(K496*C496),4)</f>
        <v>0</v>
      </c>
      <c r="M496" s="140"/>
      <c r="N496" s="140">
        <f>ROUND(+I496-H496,4)</f>
        <v>0</v>
      </c>
      <c r="O496" s="143">
        <f>ROUND(+(N496)*C496*50%,4)</f>
        <v>0</v>
      </c>
      <c r="P496" s="147">
        <f>ROUND(O496+L496,4)</f>
        <v>0</v>
      </c>
      <c r="Q496" s="80"/>
      <c r="R496" s="81"/>
      <c r="S496" s="84"/>
    </row>
    <row r="497" spans="1:19" x14ac:dyDescent="0.2">
      <c r="A497" s="47"/>
      <c r="B497" s="36"/>
      <c r="C497" s="138"/>
      <c r="D497" s="140"/>
      <c r="E497" s="48"/>
      <c r="F497" s="140"/>
      <c r="G497" s="140"/>
      <c r="H497" s="140">
        <f>ROUND(+D497+F497,4)</f>
        <v>0</v>
      </c>
      <c r="I497" s="140">
        <v>0</v>
      </c>
      <c r="J497" s="140">
        <v>0.03</v>
      </c>
      <c r="K497" s="140">
        <f>ROUND(IF(E497="alluminio",(I497)*3%,0)+IF(E497="alluminio smaltato",(I497)*3%,0),4)</f>
        <v>0</v>
      </c>
      <c r="L497" s="143">
        <f>ROUND((J497*C497)+(K497*C497),4)</f>
        <v>0</v>
      </c>
      <c r="M497" s="140"/>
      <c r="N497" s="140">
        <f>ROUND(+I497-H497,4)</f>
        <v>0</v>
      </c>
      <c r="O497" s="143">
        <f>ROUND(+(N497)*C497*50%,4)</f>
        <v>0</v>
      </c>
      <c r="P497" s="147">
        <f>ROUND(O497+L497,4)</f>
        <v>0</v>
      </c>
      <c r="Q497" s="80"/>
      <c r="R497" s="81"/>
      <c r="S497" s="84"/>
    </row>
    <row r="498" spans="1:19" x14ac:dyDescent="0.2">
      <c r="A498" s="47"/>
      <c r="B498" s="36"/>
      <c r="C498" s="138"/>
      <c r="D498" s="140"/>
      <c r="E498" s="48"/>
      <c r="F498" s="140"/>
      <c r="G498" s="140"/>
      <c r="H498" s="140">
        <f>ROUND(+D498+F498,4)</f>
        <v>0</v>
      </c>
      <c r="I498" s="140">
        <v>0</v>
      </c>
      <c r="J498" s="140">
        <v>0.03</v>
      </c>
      <c r="K498" s="140">
        <f>ROUND(IF(E498="alluminio",(I498)*3%,0)+IF(E498="alluminio smaltato",(I498)*3%,0),4)</f>
        <v>0</v>
      </c>
      <c r="L498" s="143">
        <f>ROUND((J498*C498)+(K498*C498),4)</f>
        <v>0</v>
      </c>
      <c r="M498" s="140"/>
      <c r="N498" s="140">
        <f>ROUND(+I498-H498,4)</f>
        <v>0</v>
      </c>
      <c r="O498" s="143">
        <f>ROUND(+(N498)*C498*50%,4)</f>
        <v>0</v>
      </c>
      <c r="P498" s="147">
        <f>ROUND(O498+L498,4)</f>
        <v>0</v>
      </c>
      <c r="Q498" s="80"/>
      <c r="R498" s="81"/>
      <c r="S498" s="84"/>
    </row>
    <row r="499" spans="1:19" x14ac:dyDescent="0.2">
      <c r="A499" s="47"/>
      <c r="B499" s="36"/>
      <c r="C499" s="138"/>
      <c r="D499" s="140"/>
      <c r="E499" s="48"/>
      <c r="F499" s="140"/>
      <c r="G499" s="140"/>
      <c r="H499" s="140">
        <f>ROUND(+D499+F499,4)</f>
        <v>0</v>
      </c>
      <c r="I499" s="140">
        <v>0</v>
      </c>
      <c r="J499" s="140">
        <v>0.03</v>
      </c>
      <c r="K499" s="140">
        <f>ROUND(IF(E499="alluminio",(I499)*3%,0)+IF(E499="alluminio smaltato",(I499)*3%,0),4)</f>
        <v>0</v>
      </c>
      <c r="L499" s="143">
        <f>ROUND((J499*C499)+(K499*C499),4)</f>
        <v>0</v>
      </c>
      <c r="M499" s="140"/>
      <c r="N499" s="140">
        <f>ROUND(+I499-H499,4)</f>
        <v>0</v>
      </c>
      <c r="O499" s="143">
        <f>ROUND(+(N499)*C499*50%,4)</f>
        <v>0</v>
      </c>
      <c r="P499" s="147">
        <f>ROUND(O499+L499,4)</f>
        <v>0</v>
      </c>
      <c r="Q499" s="80"/>
      <c r="R499" s="81"/>
      <c r="S499" s="84"/>
    </row>
    <row r="500" spans="1:19" x14ac:dyDescent="0.2">
      <c r="A500" s="47"/>
      <c r="B500" s="36"/>
      <c r="C500" s="138"/>
      <c r="D500" s="140"/>
      <c r="E500" s="48"/>
      <c r="F500" s="140"/>
      <c r="G500" s="140"/>
      <c r="H500" s="140">
        <f>ROUND(+D500+F500,4)</f>
        <v>0</v>
      </c>
      <c r="I500" s="140">
        <v>0</v>
      </c>
      <c r="J500" s="140">
        <v>0.03</v>
      </c>
      <c r="K500" s="140">
        <f>ROUND(IF(E500="alluminio",(I500)*3%,0)+IF(E500="alluminio smaltato",(I500)*3%,0),4)</f>
        <v>0</v>
      </c>
      <c r="L500" s="143">
        <f>ROUND((J500*C500)+(K500*C500),4)</f>
        <v>0</v>
      </c>
      <c r="M500" s="140"/>
      <c r="N500" s="140">
        <f>ROUND(+I500-H500,4)</f>
        <v>0</v>
      </c>
      <c r="O500" s="143">
        <f>ROUND(+(N500)*C500*50%,4)</f>
        <v>0</v>
      </c>
      <c r="P500" s="147">
        <f>ROUND(O500+L500,4)</f>
        <v>0</v>
      </c>
      <c r="Q500" s="80"/>
      <c r="R500" s="81"/>
      <c r="S500" s="84"/>
    </row>
    <row r="501" spans="1:19" x14ac:dyDescent="0.2">
      <c r="A501" s="47"/>
      <c r="B501" s="36"/>
      <c r="C501" s="138"/>
      <c r="D501" s="140"/>
      <c r="E501" s="48"/>
      <c r="F501" s="140"/>
      <c r="G501" s="140"/>
      <c r="H501" s="140">
        <f>ROUND(+D501+F501,4)</f>
        <v>0</v>
      </c>
      <c r="I501" s="140">
        <v>0</v>
      </c>
      <c r="J501" s="140">
        <v>0.03</v>
      </c>
      <c r="K501" s="140">
        <f>ROUND(IF(E501="alluminio",(I501)*3%,0)+IF(E501="alluminio smaltato",(I501)*3%,0),4)</f>
        <v>0</v>
      </c>
      <c r="L501" s="143">
        <f>ROUND((J501*C501)+(K501*C501),4)</f>
        <v>0</v>
      </c>
      <c r="M501" s="140"/>
      <c r="N501" s="140">
        <f>ROUND(+I501-H501,4)</f>
        <v>0</v>
      </c>
      <c r="O501" s="143">
        <f>ROUND(+(N501)*C501*50%,4)</f>
        <v>0</v>
      </c>
      <c r="P501" s="147">
        <f>ROUND(O501+L501,4)</f>
        <v>0</v>
      </c>
      <c r="Q501" s="80"/>
      <c r="R501" s="81"/>
      <c r="S501" s="84"/>
    </row>
    <row r="502" spans="1:19" x14ac:dyDescent="0.2">
      <c r="A502" s="47"/>
      <c r="B502" s="36"/>
      <c r="C502" s="138"/>
      <c r="D502" s="140"/>
      <c r="E502" s="48"/>
      <c r="F502" s="140"/>
      <c r="G502" s="140"/>
      <c r="H502" s="140">
        <f>ROUND(+D502+F502,4)</f>
        <v>0</v>
      </c>
      <c r="I502" s="140">
        <v>0</v>
      </c>
      <c r="J502" s="140">
        <v>0.03</v>
      </c>
      <c r="K502" s="140">
        <f>ROUND(IF(E502="alluminio",(I502)*3%,0)+IF(E502="alluminio smaltato",(I502)*3%,0),4)</f>
        <v>0</v>
      </c>
      <c r="L502" s="143">
        <f>ROUND((J502*C502)+(K502*C502),4)</f>
        <v>0</v>
      </c>
      <c r="M502" s="140"/>
      <c r="N502" s="140">
        <f>ROUND(+I502-H502,4)</f>
        <v>0</v>
      </c>
      <c r="O502" s="143">
        <f>ROUND(+(N502)*C502*50%,4)</f>
        <v>0</v>
      </c>
      <c r="P502" s="147">
        <f>ROUND(O502+L502,4)</f>
        <v>0</v>
      </c>
      <c r="Q502" s="80"/>
      <c r="R502" s="81"/>
      <c r="S502" s="84"/>
    </row>
    <row r="503" spans="1:19" x14ac:dyDescent="0.2">
      <c r="A503" s="47"/>
      <c r="B503" s="36"/>
      <c r="C503" s="138"/>
      <c r="D503" s="140"/>
      <c r="E503" s="48"/>
      <c r="F503" s="140"/>
      <c r="G503" s="140"/>
      <c r="H503" s="140">
        <f>ROUND(+D503+F503,4)</f>
        <v>0</v>
      </c>
      <c r="I503" s="140">
        <v>0</v>
      </c>
      <c r="J503" s="140">
        <v>0.03</v>
      </c>
      <c r="K503" s="140">
        <f>ROUND(IF(E503="alluminio",(I503)*3%,0)+IF(E503="alluminio smaltato",(I503)*3%,0),4)</f>
        <v>0</v>
      </c>
      <c r="L503" s="143">
        <f>ROUND((J503*C503)+(K503*C503),4)</f>
        <v>0</v>
      </c>
      <c r="M503" s="140"/>
      <c r="N503" s="140">
        <f>ROUND(+I503-H503,4)</f>
        <v>0</v>
      </c>
      <c r="O503" s="143">
        <f>ROUND(+(N503)*C503*50%,4)</f>
        <v>0</v>
      </c>
      <c r="P503" s="147">
        <f>ROUND(O503+L503,4)</f>
        <v>0</v>
      </c>
      <c r="Q503" s="80"/>
      <c r="R503" s="81"/>
      <c r="S503" s="84"/>
    </row>
    <row r="504" spans="1:19" x14ac:dyDescent="0.2">
      <c r="A504" s="47"/>
      <c r="B504" s="36"/>
      <c r="C504" s="138"/>
      <c r="D504" s="140"/>
      <c r="E504" s="48"/>
      <c r="F504" s="140"/>
      <c r="G504" s="140"/>
      <c r="H504" s="140">
        <f>ROUND(+D504+F504,4)</f>
        <v>0</v>
      </c>
      <c r="I504" s="140">
        <v>0</v>
      </c>
      <c r="J504" s="140">
        <v>0.03</v>
      </c>
      <c r="K504" s="140">
        <f>ROUND(IF(E504="alluminio",(I504)*3%,0)+IF(E504="alluminio smaltato",(I504)*3%,0),4)</f>
        <v>0</v>
      </c>
      <c r="L504" s="143">
        <f>ROUND((J504*C504)+(K504*C504),4)</f>
        <v>0</v>
      </c>
      <c r="M504" s="140"/>
      <c r="N504" s="140">
        <f>ROUND(+I504-H504,4)</f>
        <v>0</v>
      </c>
      <c r="O504" s="143">
        <f>ROUND(+(N504)*C504*50%,4)</f>
        <v>0</v>
      </c>
      <c r="P504" s="147">
        <f>ROUND(O504+L504,4)</f>
        <v>0</v>
      </c>
      <c r="Q504" s="80"/>
      <c r="R504" s="81"/>
      <c r="S504" s="84"/>
    </row>
    <row r="505" spans="1:19" x14ac:dyDescent="0.2">
      <c r="A505" s="47"/>
      <c r="B505" s="36"/>
      <c r="C505" s="138"/>
      <c r="D505" s="140"/>
      <c r="E505" s="48"/>
      <c r="F505" s="140"/>
      <c r="G505" s="140"/>
      <c r="H505" s="140">
        <f>ROUND(+D505+F505,4)</f>
        <v>0</v>
      </c>
      <c r="I505" s="140">
        <v>0</v>
      </c>
      <c r="J505" s="140">
        <v>0.03</v>
      </c>
      <c r="K505" s="140">
        <f>ROUND(IF(E505="alluminio",(I505)*3%,0)+IF(E505="alluminio smaltato",(I505)*3%,0),4)</f>
        <v>0</v>
      </c>
      <c r="L505" s="143">
        <f>ROUND((J505*C505)+(K505*C505),4)</f>
        <v>0</v>
      </c>
      <c r="M505" s="140"/>
      <c r="N505" s="140">
        <f>ROUND(+I505-H505,4)</f>
        <v>0</v>
      </c>
      <c r="O505" s="143">
        <f>ROUND(+(N505)*C505*50%,4)</f>
        <v>0</v>
      </c>
      <c r="P505" s="147">
        <f>ROUND(O505+L505,4)</f>
        <v>0</v>
      </c>
      <c r="Q505" s="80"/>
      <c r="R505" s="81"/>
      <c r="S505" s="84"/>
    </row>
    <row r="506" spans="1:19" x14ac:dyDescent="0.2">
      <c r="A506" s="47"/>
      <c r="B506" s="36"/>
      <c r="C506" s="138"/>
      <c r="D506" s="140"/>
      <c r="E506" s="48"/>
      <c r="F506" s="140"/>
      <c r="G506" s="140"/>
      <c r="H506" s="140">
        <f>ROUND(+D506+F506,4)</f>
        <v>0</v>
      </c>
      <c r="I506" s="140">
        <v>0</v>
      </c>
      <c r="J506" s="140">
        <v>0.03</v>
      </c>
      <c r="K506" s="140">
        <f>ROUND(IF(E506="alluminio",(I506)*3%,0)+IF(E506="alluminio smaltato",(I506)*3%,0),4)</f>
        <v>0</v>
      </c>
      <c r="L506" s="143">
        <f>ROUND((J506*C506)+(K506*C506),4)</f>
        <v>0</v>
      </c>
      <c r="M506" s="140"/>
      <c r="N506" s="140">
        <f>ROUND(+I506-H506,4)</f>
        <v>0</v>
      </c>
      <c r="O506" s="143">
        <f>ROUND(+(N506)*C506*50%,4)</f>
        <v>0</v>
      </c>
      <c r="P506" s="147">
        <f>ROUND(O506+L506,4)</f>
        <v>0</v>
      </c>
      <c r="Q506" s="80"/>
      <c r="R506" s="81"/>
      <c r="S506" s="84"/>
    </row>
    <row r="507" spans="1:19" x14ac:dyDescent="0.2">
      <c r="A507" s="47"/>
      <c r="B507" s="36"/>
      <c r="C507" s="138"/>
      <c r="D507" s="140"/>
      <c r="E507" s="48"/>
      <c r="F507" s="140"/>
      <c r="G507" s="140"/>
      <c r="H507" s="140">
        <f>ROUND(+D507+F507,4)</f>
        <v>0</v>
      </c>
      <c r="I507" s="140">
        <v>0</v>
      </c>
      <c r="J507" s="140">
        <v>0.03</v>
      </c>
      <c r="K507" s="140">
        <f>ROUND(IF(E507="alluminio",(I507)*3%,0)+IF(E507="alluminio smaltato",(I507)*3%,0),4)</f>
        <v>0</v>
      </c>
      <c r="L507" s="143">
        <f>ROUND((J507*C507)+(K507*C507),4)</f>
        <v>0</v>
      </c>
      <c r="M507" s="140"/>
      <c r="N507" s="140">
        <f>ROUND(+I507-H507,4)</f>
        <v>0</v>
      </c>
      <c r="O507" s="143">
        <f>ROUND(+(N507)*C507*50%,4)</f>
        <v>0</v>
      </c>
      <c r="P507" s="147">
        <f>ROUND(O507+L507,4)</f>
        <v>0</v>
      </c>
      <c r="Q507" s="80"/>
      <c r="R507" s="81"/>
      <c r="S507" s="84"/>
    </row>
    <row r="508" spans="1:19" x14ac:dyDescent="0.2">
      <c r="A508" s="47"/>
      <c r="B508" s="36"/>
      <c r="C508" s="138"/>
      <c r="D508" s="140"/>
      <c r="E508" s="48"/>
      <c r="F508" s="140"/>
      <c r="G508" s="140"/>
      <c r="H508" s="140">
        <f>ROUND(+D508+F508,4)</f>
        <v>0</v>
      </c>
      <c r="I508" s="140">
        <v>0</v>
      </c>
      <c r="J508" s="140">
        <v>0.03</v>
      </c>
      <c r="K508" s="140">
        <f>ROUND(IF(E508="alluminio",(I508)*3%,0)+IF(E508="alluminio smaltato",(I508)*3%,0),4)</f>
        <v>0</v>
      </c>
      <c r="L508" s="143">
        <f>ROUND((J508*C508)+(K508*C508),4)</f>
        <v>0</v>
      </c>
      <c r="M508" s="140"/>
      <c r="N508" s="140">
        <f>ROUND(+I508-H508,4)</f>
        <v>0</v>
      </c>
      <c r="O508" s="143">
        <f>ROUND(+(N508)*C508*50%,4)</f>
        <v>0</v>
      </c>
      <c r="P508" s="147">
        <f>ROUND(O508+L508,4)</f>
        <v>0</v>
      </c>
      <c r="Q508" s="80"/>
      <c r="R508" s="81"/>
      <c r="S508" s="84"/>
    </row>
    <row r="509" spans="1:19" x14ac:dyDescent="0.2">
      <c r="A509" s="47"/>
      <c r="B509" s="36"/>
      <c r="C509" s="138"/>
      <c r="D509" s="140"/>
      <c r="E509" s="48"/>
      <c r="F509" s="140"/>
      <c r="G509" s="140"/>
      <c r="H509" s="140">
        <f>ROUND(+D509+F509,4)</f>
        <v>0</v>
      </c>
      <c r="I509" s="140">
        <v>0</v>
      </c>
      <c r="J509" s="140">
        <v>0.03</v>
      </c>
      <c r="K509" s="140">
        <f>ROUND(IF(E509="alluminio",(I509)*3%,0)+IF(E509="alluminio smaltato",(I509)*3%,0),4)</f>
        <v>0</v>
      </c>
      <c r="L509" s="143">
        <f>ROUND((J509*C509)+(K509*C509),4)</f>
        <v>0</v>
      </c>
      <c r="M509" s="140"/>
      <c r="N509" s="140">
        <f>ROUND(+I509-H509,4)</f>
        <v>0</v>
      </c>
      <c r="O509" s="143">
        <f>ROUND(+(N509)*C509*50%,4)</f>
        <v>0</v>
      </c>
      <c r="P509" s="147">
        <f>ROUND(O509+L509,4)</f>
        <v>0</v>
      </c>
      <c r="Q509" s="80"/>
      <c r="R509" s="81"/>
      <c r="S509" s="84"/>
    </row>
    <row r="510" spans="1:19" x14ac:dyDescent="0.2">
      <c r="A510" s="47"/>
      <c r="B510" s="36"/>
      <c r="C510" s="138"/>
      <c r="D510" s="140"/>
      <c r="E510" s="48"/>
      <c r="F510" s="140"/>
      <c r="G510" s="140"/>
      <c r="H510" s="140">
        <f>ROUND(+D510+F510,4)</f>
        <v>0</v>
      </c>
      <c r="I510" s="140">
        <v>0</v>
      </c>
      <c r="J510" s="140">
        <v>0.03</v>
      </c>
      <c r="K510" s="140">
        <f>ROUND(IF(E510="alluminio",(I510)*3%,0)+IF(E510="alluminio smaltato",(I510)*3%,0),4)</f>
        <v>0</v>
      </c>
      <c r="L510" s="143">
        <f>ROUND((J510*C510)+(K510*C510),4)</f>
        <v>0</v>
      </c>
      <c r="M510" s="140"/>
      <c r="N510" s="140">
        <f>ROUND(+I510-H510,4)</f>
        <v>0</v>
      </c>
      <c r="O510" s="143">
        <f>ROUND(+(N510)*C510*50%,4)</f>
        <v>0</v>
      </c>
      <c r="P510" s="147">
        <f>ROUND(O510+L510,4)</f>
        <v>0</v>
      </c>
      <c r="Q510" s="80"/>
      <c r="R510" s="81"/>
      <c r="S510" s="84"/>
    </row>
    <row r="511" spans="1:19" x14ac:dyDescent="0.2">
      <c r="A511" s="47"/>
      <c r="B511" s="36"/>
      <c r="C511" s="138"/>
      <c r="D511" s="140"/>
      <c r="E511" s="48"/>
      <c r="F511" s="140"/>
      <c r="G511" s="140"/>
      <c r="H511" s="140">
        <f>ROUND(+D511+F511,4)</f>
        <v>0</v>
      </c>
      <c r="I511" s="140">
        <v>0</v>
      </c>
      <c r="J511" s="140">
        <v>0.03</v>
      </c>
      <c r="K511" s="140">
        <f>ROUND(IF(E511="alluminio",(I511)*3%,0)+IF(E511="alluminio smaltato",(I511)*3%,0),4)</f>
        <v>0</v>
      </c>
      <c r="L511" s="143">
        <f>ROUND((J511*C511)+(K511*C511),4)</f>
        <v>0</v>
      </c>
      <c r="M511" s="140"/>
      <c r="N511" s="140">
        <f>ROUND(+I511-H511,4)</f>
        <v>0</v>
      </c>
      <c r="O511" s="143">
        <f>ROUND(+(N511)*C511*50%,4)</f>
        <v>0</v>
      </c>
      <c r="P511" s="147">
        <f>ROUND(O511+L511,4)</f>
        <v>0</v>
      </c>
      <c r="Q511" s="80"/>
      <c r="R511" s="81"/>
      <c r="S511" s="84"/>
    </row>
    <row r="512" spans="1:19" x14ac:dyDescent="0.2">
      <c r="A512" s="47"/>
      <c r="B512" s="36"/>
      <c r="C512" s="138"/>
      <c r="D512" s="140"/>
      <c r="E512" s="48"/>
      <c r="F512" s="140"/>
      <c r="G512" s="140"/>
      <c r="H512" s="140">
        <f>ROUND(+D512+F512,4)</f>
        <v>0</v>
      </c>
      <c r="I512" s="140">
        <v>0</v>
      </c>
      <c r="J512" s="140">
        <v>0.03</v>
      </c>
      <c r="K512" s="140">
        <f>ROUND(IF(E512="alluminio",(I512)*3%,0)+IF(E512="alluminio smaltato",(I512)*3%,0),4)</f>
        <v>0</v>
      </c>
      <c r="L512" s="143">
        <f>ROUND((J512*C512)+(K512*C512),4)</f>
        <v>0</v>
      </c>
      <c r="M512" s="140"/>
      <c r="N512" s="140">
        <f>ROUND(+I512-H512,4)</f>
        <v>0</v>
      </c>
      <c r="O512" s="143">
        <f>ROUND(+(N512)*C512*50%,4)</f>
        <v>0</v>
      </c>
      <c r="P512" s="147">
        <f>ROUND(O512+L512,4)</f>
        <v>0</v>
      </c>
      <c r="Q512" s="80"/>
      <c r="R512" s="81"/>
      <c r="S512" s="84"/>
    </row>
    <row r="513" spans="1:19" x14ac:dyDescent="0.2">
      <c r="A513" s="47"/>
      <c r="B513" s="36"/>
      <c r="C513" s="138"/>
      <c r="D513" s="140"/>
      <c r="E513" s="48"/>
      <c r="F513" s="140"/>
      <c r="G513" s="140"/>
      <c r="H513" s="140">
        <f>ROUND(+D513+F513,4)</f>
        <v>0</v>
      </c>
      <c r="I513" s="140">
        <v>0</v>
      </c>
      <c r="J513" s="140">
        <v>0.03</v>
      </c>
      <c r="K513" s="140">
        <f>ROUND(IF(E513="alluminio",(I513)*3%,0)+IF(E513="alluminio smaltato",(I513)*3%,0),4)</f>
        <v>0</v>
      </c>
      <c r="L513" s="143">
        <f>ROUND((J513*C513)+(K513*C513),4)</f>
        <v>0</v>
      </c>
      <c r="M513" s="140"/>
      <c r="N513" s="140">
        <f>ROUND(+I513-H513,4)</f>
        <v>0</v>
      </c>
      <c r="O513" s="143">
        <f>ROUND(+(N513)*C513*50%,4)</f>
        <v>0</v>
      </c>
      <c r="P513" s="147">
        <f>ROUND(O513+L513,4)</f>
        <v>0</v>
      </c>
      <c r="Q513" s="80"/>
      <c r="R513" s="81"/>
      <c r="S513" s="84"/>
    </row>
    <row r="514" spans="1:19" x14ac:dyDescent="0.2">
      <c r="A514" s="47"/>
      <c r="B514" s="36"/>
      <c r="C514" s="138"/>
      <c r="D514" s="140"/>
      <c r="E514" s="48"/>
      <c r="F514" s="140"/>
      <c r="G514" s="140"/>
      <c r="H514" s="140">
        <f>ROUND(+D514+F514,4)</f>
        <v>0</v>
      </c>
      <c r="I514" s="140">
        <v>0</v>
      </c>
      <c r="J514" s="140">
        <v>0.03</v>
      </c>
      <c r="K514" s="140">
        <f>ROUND(IF(E514="alluminio",(I514)*3%,0)+IF(E514="alluminio smaltato",(I514)*3%,0),4)</f>
        <v>0</v>
      </c>
      <c r="L514" s="143">
        <f>ROUND((J514*C514)+(K514*C514),4)</f>
        <v>0</v>
      </c>
      <c r="M514" s="140"/>
      <c r="N514" s="140">
        <f>ROUND(+I514-H514,4)</f>
        <v>0</v>
      </c>
      <c r="O514" s="143">
        <f>ROUND(+(N514)*C514*50%,4)</f>
        <v>0</v>
      </c>
      <c r="P514" s="147">
        <f>ROUND(O514+L514,4)</f>
        <v>0</v>
      </c>
      <c r="Q514" s="80"/>
      <c r="R514" s="81"/>
      <c r="S514" s="84"/>
    </row>
    <row r="515" spans="1:19" x14ac:dyDescent="0.2">
      <c r="A515" s="47"/>
      <c r="B515" s="36"/>
      <c r="C515" s="138"/>
      <c r="D515" s="140"/>
      <c r="E515" s="48"/>
      <c r="F515" s="140"/>
      <c r="G515" s="140"/>
      <c r="H515" s="140">
        <f>ROUND(+D515+F515,4)</f>
        <v>0</v>
      </c>
      <c r="I515" s="140">
        <v>0</v>
      </c>
      <c r="J515" s="140">
        <v>0.03</v>
      </c>
      <c r="K515" s="140">
        <f>ROUND(IF(E515="alluminio",(I515)*3%,0)+IF(E515="alluminio smaltato",(I515)*3%,0),4)</f>
        <v>0</v>
      </c>
      <c r="L515" s="143">
        <f>ROUND((J515*C515)+(K515*C515),4)</f>
        <v>0</v>
      </c>
      <c r="M515" s="140"/>
      <c r="N515" s="140">
        <f>ROUND(+I515-H515,4)</f>
        <v>0</v>
      </c>
      <c r="O515" s="143">
        <f>ROUND(+(N515)*C515*50%,4)</f>
        <v>0</v>
      </c>
      <c r="P515" s="147">
        <f>ROUND(O515+L515,4)</f>
        <v>0</v>
      </c>
      <c r="Q515" s="80"/>
      <c r="R515" s="81"/>
      <c r="S515" s="84"/>
    </row>
    <row r="516" spans="1:19" x14ac:dyDescent="0.2">
      <c r="A516" s="47"/>
      <c r="B516" s="36"/>
      <c r="C516" s="138"/>
      <c r="D516" s="140"/>
      <c r="E516" s="48"/>
      <c r="F516" s="140"/>
      <c r="G516" s="140"/>
      <c r="H516" s="140">
        <f>ROUND(+D516+F516,4)</f>
        <v>0</v>
      </c>
      <c r="I516" s="140">
        <v>0</v>
      </c>
      <c r="J516" s="140">
        <v>0.03</v>
      </c>
      <c r="K516" s="140">
        <f>ROUND(IF(E516="alluminio",(I516)*3%,0)+IF(E516="alluminio smaltato",(I516)*3%,0),4)</f>
        <v>0</v>
      </c>
      <c r="L516" s="143">
        <f>ROUND((J516*C516)+(K516*C516),4)</f>
        <v>0</v>
      </c>
      <c r="M516" s="140"/>
      <c r="N516" s="140">
        <f>ROUND(+I516-H516,4)</f>
        <v>0</v>
      </c>
      <c r="O516" s="143">
        <f>ROUND(+(N516)*C516*50%,4)</f>
        <v>0</v>
      </c>
      <c r="P516" s="147">
        <f>ROUND(O516+L516,4)</f>
        <v>0</v>
      </c>
      <c r="Q516" s="80"/>
      <c r="R516" s="81"/>
      <c r="S516" s="84"/>
    </row>
    <row r="517" spans="1:19" x14ac:dyDescent="0.2">
      <c r="A517" s="47"/>
      <c r="B517" s="36"/>
      <c r="C517" s="138"/>
      <c r="D517" s="140"/>
      <c r="E517" s="48"/>
      <c r="F517" s="140"/>
      <c r="G517" s="140"/>
      <c r="H517" s="140">
        <f>ROUND(+D517+F517,4)</f>
        <v>0</v>
      </c>
      <c r="I517" s="140">
        <v>0</v>
      </c>
      <c r="J517" s="140">
        <v>0.03</v>
      </c>
      <c r="K517" s="140">
        <f>ROUND(IF(E517="alluminio",(I517)*3%,0)+IF(E517="alluminio smaltato",(I517)*3%,0),4)</f>
        <v>0</v>
      </c>
      <c r="L517" s="143">
        <f>ROUND((J517*C517)+(K517*C517),4)</f>
        <v>0</v>
      </c>
      <c r="M517" s="140"/>
      <c r="N517" s="140">
        <f>ROUND(+I517-H517,4)</f>
        <v>0</v>
      </c>
      <c r="O517" s="143">
        <f>ROUND(+(N517)*C517*50%,4)</f>
        <v>0</v>
      </c>
      <c r="P517" s="147">
        <f>ROUND(O517+L517,4)</f>
        <v>0</v>
      </c>
      <c r="Q517" s="80"/>
      <c r="R517" s="81"/>
      <c r="S517" s="84"/>
    </row>
    <row r="518" spans="1:19" x14ac:dyDescent="0.2">
      <c r="A518" s="47"/>
      <c r="B518" s="36"/>
      <c r="C518" s="138"/>
      <c r="D518" s="140"/>
      <c r="E518" s="48"/>
      <c r="F518" s="140"/>
      <c r="G518" s="140"/>
      <c r="H518" s="140">
        <f>ROUND(+D518+F518,4)</f>
        <v>0</v>
      </c>
      <c r="I518" s="140">
        <v>0</v>
      </c>
      <c r="J518" s="140">
        <v>0.03</v>
      </c>
      <c r="K518" s="140">
        <f>ROUND(IF(E518="alluminio",(I518)*3%,0)+IF(E518="alluminio smaltato",(I518)*3%,0),4)</f>
        <v>0</v>
      </c>
      <c r="L518" s="143">
        <f>ROUND((J518*C518)+(K518*C518),4)</f>
        <v>0</v>
      </c>
      <c r="M518" s="140"/>
      <c r="N518" s="140">
        <f>ROUND(+I518-H518,4)</f>
        <v>0</v>
      </c>
      <c r="O518" s="143">
        <f>ROUND(+(N518)*C518*50%,4)</f>
        <v>0</v>
      </c>
      <c r="P518" s="147">
        <f>ROUND(O518+L518,4)</f>
        <v>0</v>
      </c>
      <c r="Q518" s="80"/>
      <c r="R518" s="81"/>
      <c r="S518" s="84"/>
    </row>
    <row r="519" spans="1:19" x14ac:dyDescent="0.2">
      <c r="A519" s="47"/>
      <c r="B519" s="36"/>
      <c r="C519" s="138"/>
      <c r="D519" s="140"/>
      <c r="E519" s="48"/>
      <c r="F519" s="140"/>
      <c r="G519" s="140"/>
      <c r="H519" s="140">
        <f>ROUND(+D519+F519,4)</f>
        <v>0</v>
      </c>
      <c r="I519" s="140">
        <v>0</v>
      </c>
      <c r="J519" s="140">
        <v>0.03</v>
      </c>
      <c r="K519" s="140">
        <f>ROUND(IF(E519="alluminio",(I519)*3%,0)+IF(E519="alluminio smaltato",(I519)*3%,0),4)</f>
        <v>0</v>
      </c>
      <c r="L519" s="143">
        <f>ROUND((J519*C519)+(K519*C519),4)</f>
        <v>0</v>
      </c>
      <c r="M519" s="140"/>
      <c r="N519" s="140">
        <f>ROUND(+I519-H519,4)</f>
        <v>0</v>
      </c>
      <c r="O519" s="143">
        <f>ROUND(+(N519)*C519*50%,4)</f>
        <v>0</v>
      </c>
      <c r="P519" s="147">
        <f>ROUND(O519+L519,4)</f>
        <v>0</v>
      </c>
      <c r="Q519" s="80"/>
      <c r="R519" s="81"/>
      <c r="S519" s="84"/>
    </row>
    <row r="520" spans="1:19" x14ac:dyDescent="0.2">
      <c r="A520" s="47"/>
      <c r="B520" s="36"/>
      <c r="C520" s="138"/>
      <c r="D520" s="140"/>
      <c r="E520" s="48"/>
      <c r="F520" s="140"/>
      <c r="G520" s="140"/>
      <c r="H520" s="140">
        <f>ROUND(+D520+F520,4)</f>
        <v>0</v>
      </c>
      <c r="I520" s="140">
        <v>0</v>
      </c>
      <c r="J520" s="140">
        <v>0.03</v>
      </c>
      <c r="K520" s="140">
        <f>ROUND(IF(E520="alluminio",(I520)*3%,0)+IF(E520="alluminio smaltato",(I520)*3%,0),4)</f>
        <v>0</v>
      </c>
      <c r="L520" s="143">
        <f>ROUND((J520*C520)+(K520*C520),4)</f>
        <v>0</v>
      </c>
      <c r="M520" s="140"/>
      <c r="N520" s="140">
        <f>ROUND(+I520-H520,4)</f>
        <v>0</v>
      </c>
      <c r="O520" s="143">
        <f>ROUND(+(N520)*C520*50%,4)</f>
        <v>0</v>
      </c>
      <c r="P520" s="147">
        <f>ROUND(O520+L520,4)</f>
        <v>0</v>
      </c>
      <c r="Q520" s="80"/>
      <c r="R520" s="81"/>
      <c r="S520" s="84"/>
    </row>
    <row r="521" spans="1:19" x14ac:dyDescent="0.2">
      <c r="A521" s="47"/>
      <c r="B521" s="36"/>
      <c r="C521" s="138"/>
      <c r="D521" s="140"/>
      <c r="E521" s="48"/>
      <c r="F521" s="140"/>
      <c r="G521" s="140"/>
      <c r="H521" s="140">
        <f>ROUND(+D521+F521,4)</f>
        <v>0</v>
      </c>
      <c r="I521" s="140">
        <v>0</v>
      </c>
      <c r="J521" s="140">
        <v>0.03</v>
      </c>
      <c r="K521" s="140">
        <f>ROUND(IF(E521="alluminio",(I521)*3%,0)+IF(E521="alluminio smaltato",(I521)*3%,0),4)</f>
        <v>0</v>
      </c>
      <c r="L521" s="143">
        <f>ROUND((J521*C521)+(K521*C521),4)</f>
        <v>0</v>
      </c>
      <c r="M521" s="140"/>
      <c r="N521" s="140">
        <f>ROUND(+I521-H521,4)</f>
        <v>0</v>
      </c>
      <c r="O521" s="143">
        <f>ROUND(+(N521)*C521*50%,4)</f>
        <v>0</v>
      </c>
      <c r="P521" s="147">
        <f>ROUND(O521+L521,4)</f>
        <v>0</v>
      </c>
      <c r="Q521" s="80"/>
      <c r="R521" s="81"/>
      <c r="S521" s="84"/>
    </row>
    <row r="522" spans="1:19" x14ac:dyDescent="0.2">
      <c r="A522" s="47"/>
      <c r="B522" s="36"/>
      <c r="C522" s="138"/>
      <c r="D522" s="140"/>
      <c r="E522" s="48"/>
      <c r="F522" s="140"/>
      <c r="G522" s="140"/>
      <c r="H522" s="140">
        <f>ROUND(+D522+F522,4)</f>
        <v>0</v>
      </c>
      <c r="I522" s="140">
        <v>0</v>
      </c>
      <c r="J522" s="140">
        <v>0.03</v>
      </c>
      <c r="K522" s="140">
        <f>ROUND(IF(E522="alluminio",(I522)*3%,0)+IF(E522="alluminio smaltato",(I522)*3%,0),4)</f>
        <v>0</v>
      </c>
      <c r="L522" s="143">
        <f>ROUND((J522*C522)+(K522*C522),4)</f>
        <v>0</v>
      </c>
      <c r="M522" s="140"/>
      <c r="N522" s="140">
        <f>ROUND(+I522-H522,4)</f>
        <v>0</v>
      </c>
      <c r="O522" s="143">
        <f>ROUND(+(N522)*C522*50%,4)</f>
        <v>0</v>
      </c>
      <c r="P522" s="147">
        <f>ROUND(O522+L522,4)</f>
        <v>0</v>
      </c>
      <c r="Q522" s="80"/>
      <c r="R522" s="81"/>
      <c r="S522" s="84"/>
    </row>
    <row r="523" spans="1:19" x14ac:dyDescent="0.2">
      <c r="A523" s="47"/>
      <c r="B523" s="36"/>
      <c r="C523" s="138"/>
      <c r="D523" s="140"/>
      <c r="E523" s="48"/>
      <c r="F523" s="140"/>
      <c r="G523" s="140"/>
      <c r="H523" s="140">
        <f>ROUND(+D523+F523,4)</f>
        <v>0</v>
      </c>
      <c r="I523" s="140">
        <v>0</v>
      </c>
      <c r="J523" s="140">
        <v>0.03</v>
      </c>
      <c r="K523" s="140">
        <f>ROUND(IF(E523="alluminio",(I523)*3%,0)+IF(E523="alluminio smaltato",(I523)*3%,0),4)</f>
        <v>0</v>
      </c>
      <c r="L523" s="143">
        <f>ROUND((J523*C523)+(K523*C523),4)</f>
        <v>0</v>
      </c>
      <c r="M523" s="140"/>
      <c r="N523" s="140">
        <f>ROUND(+I523-H523,4)</f>
        <v>0</v>
      </c>
      <c r="O523" s="143">
        <f>ROUND(+(N523)*C523*50%,4)</f>
        <v>0</v>
      </c>
      <c r="P523" s="147">
        <f>ROUND(O523+L523,4)</f>
        <v>0</v>
      </c>
      <c r="Q523" s="80"/>
      <c r="R523" s="81"/>
      <c r="S523" s="84"/>
    </row>
    <row r="524" spans="1:19" x14ac:dyDescent="0.2">
      <c r="A524" s="47"/>
      <c r="B524" s="36"/>
      <c r="C524" s="138"/>
      <c r="D524" s="140"/>
      <c r="E524" s="48"/>
      <c r="F524" s="140"/>
      <c r="G524" s="140"/>
      <c r="H524" s="140">
        <f>ROUND(+D524+F524,4)</f>
        <v>0</v>
      </c>
      <c r="I524" s="140">
        <v>0</v>
      </c>
      <c r="J524" s="140">
        <v>0.03</v>
      </c>
      <c r="K524" s="140">
        <f>ROUND(IF(E524="alluminio",(I524)*3%,0)+IF(E524="alluminio smaltato",(I524)*3%,0),4)</f>
        <v>0</v>
      </c>
      <c r="L524" s="143">
        <f>ROUND((J524*C524)+(K524*C524),4)</f>
        <v>0</v>
      </c>
      <c r="M524" s="140"/>
      <c r="N524" s="140">
        <f>ROUND(+I524-H524,4)</f>
        <v>0</v>
      </c>
      <c r="O524" s="143">
        <f>ROUND(+(N524)*C524*50%,4)</f>
        <v>0</v>
      </c>
      <c r="P524" s="147">
        <f>ROUND(O524+L524,4)</f>
        <v>0</v>
      </c>
      <c r="Q524" s="80"/>
      <c r="R524" s="81"/>
      <c r="S524" s="84"/>
    </row>
    <row r="525" spans="1:19" x14ac:dyDescent="0.2">
      <c r="A525" s="47"/>
      <c r="B525" s="36"/>
      <c r="C525" s="138"/>
      <c r="D525" s="140"/>
      <c r="E525" s="48"/>
      <c r="F525" s="140"/>
      <c r="G525" s="140"/>
      <c r="H525" s="140">
        <f>ROUND(+D525+F525,4)</f>
        <v>0</v>
      </c>
      <c r="I525" s="140">
        <v>0</v>
      </c>
      <c r="J525" s="140">
        <v>0.03</v>
      </c>
      <c r="K525" s="140">
        <f>ROUND(IF(E525="alluminio",(I525)*3%,0)+IF(E525="alluminio smaltato",(I525)*3%,0),4)</f>
        <v>0</v>
      </c>
      <c r="L525" s="143">
        <f>ROUND((J525*C525)+(K525*C525),4)</f>
        <v>0</v>
      </c>
      <c r="M525" s="140"/>
      <c r="N525" s="140">
        <f>ROUND(+I525-H525,4)</f>
        <v>0</v>
      </c>
      <c r="O525" s="143">
        <f>ROUND(+(N525)*C525*50%,4)</f>
        <v>0</v>
      </c>
      <c r="P525" s="147">
        <f>ROUND(O525+L525,4)</f>
        <v>0</v>
      </c>
      <c r="Q525" s="80"/>
      <c r="R525" s="81"/>
      <c r="S525" s="84"/>
    </row>
    <row r="526" spans="1:19" x14ac:dyDescent="0.2">
      <c r="A526" s="47"/>
      <c r="B526" s="36"/>
      <c r="C526" s="138"/>
      <c r="D526" s="140"/>
      <c r="E526" s="48"/>
      <c r="F526" s="140"/>
      <c r="G526" s="140"/>
      <c r="H526" s="140">
        <f>ROUND(+D526+F526,4)</f>
        <v>0</v>
      </c>
      <c r="I526" s="140">
        <v>0</v>
      </c>
      <c r="J526" s="140">
        <v>0.03</v>
      </c>
      <c r="K526" s="140">
        <f>ROUND(IF(E526="alluminio",(I526)*3%,0)+IF(E526="alluminio smaltato",(I526)*3%,0),4)</f>
        <v>0</v>
      </c>
      <c r="L526" s="143">
        <f>ROUND((J526*C526)+(K526*C526),4)</f>
        <v>0</v>
      </c>
      <c r="M526" s="140"/>
      <c r="N526" s="140">
        <f>ROUND(+I526-H526,4)</f>
        <v>0</v>
      </c>
      <c r="O526" s="143">
        <f>ROUND(+(N526)*C526*50%,4)</f>
        <v>0</v>
      </c>
      <c r="P526" s="147">
        <f>ROUND(O526+L526,4)</f>
        <v>0</v>
      </c>
      <c r="Q526" s="80"/>
      <c r="R526" s="81"/>
      <c r="S526" s="84"/>
    </row>
    <row r="527" spans="1:19" x14ac:dyDescent="0.2">
      <c r="A527" s="47"/>
      <c r="B527" s="36"/>
      <c r="C527" s="138"/>
      <c r="D527" s="140"/>
      <c r="E527" s="48"/>
      <c r="F527" s="140"/>
      <c r="G527" s="140"/>
      <c r="H527" s="140">
        <f>ROUND(+D527+F527,4)</f>
        <v>0</v>
      </c>
      <c r="I527" s="140">
        <v>0</v>
      </c>
      <c r="J527" s="140">
        <v>0.03</v>
      </c>
      <c r="K527" s="140">
        <f>ROUND(IF(E527="alluminio",(I527)*3%,0)+IF(E527="alluminio smaltato",(I527)*3%,0),4)</f>
        <v>0</v>
      </c>
      <c r="L527" s="143">
        <f>ROUND((J527*C527)+(K527*C527),4)</f>
        <v>0</v>
      </c>
      <c r="M527" s="140"/>
      <c r="N527" s="140">
        <f>ROUND(+I527-H527,4)</f>
        <v>0</v>
      </c>
      <c r="O527" s="143">
        <f>ROUND(+(N527)*C527*50%,4)</f>
        <v>0</v>
      </c>
      <c r="P527" s="147">
        <f>ROUND(O527+L527,4)</f>
        <v>0</v>
      </c>
      <c r="Q527" s="80"/>
      <c r="R527" s="81"/>
      <c r="S527" s="84"/>
    </row>
    <row r="528" spans="1:19" x14ac:dyDescent="0.2">
      <c r="A528" s="47"/>
      <c r="B528" s="36"/>
      <c r="C528" s="138"/>
      <c r="D528" s="140"/>
      <c r="E528" s="48"/>
      <c r="F528" s="140"/>
      <c r="G528" s="140"/>
      <c r="H528" s="140">
        <f>ROUND(+D528+F528,4)</f>
        <v>0</v>
      </c>
      <c r="I528" s="140">
        <v>0</v>
      </c>
      <c r="J528" s="140">
        <v>0.03</v>
      </c>
      <c r="K528" s="140">
        <f>ROUND(IF(E528="alluminio",(I528)*3%,0)+IF(E528="alluminio smaltato",(I528)*3%,0),4)</f>
        <v>0</v>
      </c>
      <c r="L528" s="143">
        <f>ROUND((J528*C528)+(K528*C528),4)</f>
        <v>0</v>
      </c>
      <c r="M528" s="140"/>
      <c r="N528" s="140">
        <f>ROUND(+I528-H528,4)</f>
        <v>0</v>
      </c>
      <c r="O528" s="143">
        <f>ROUND(+(N528)*C528*50%,4)</f>
        <v>0</v>
      </c>
      <c r="P528" s="147">
        <f>ROUND(O528+L528,4)</f>
        <v>0</v>
      </c>
      <c r="Q528" s="80"/>
      <c r="R528" s="81"/>
      <c r="S528" s="84"/>
    </row>
    <row r="529" spans="1:19" x14ac:dyDescent="0.2">
      <c r="A529" s="47"/>
      <c r="B529" s="36"/>
      <c r="C529" s="138"/>
      <c r="D529" s="140"/>
      <c r="E529" s="48"/>
      <c r="F529" s="140"/>
      <c r="G529" s="140"/>
      <c r="H529" s="140">
        <f>ROUND(+D529+F529,4)</f>
        <v>0</v>
      </c>
      <c r="I529" s="140">
        <v>0</v>
      </c>
      <c r="J529" s="140">
        <v>0.03</v>
      </c>
      <c r="K529" s="140">
        <f>ROUND(IF(E529="alluminio",(I529)*3%,0)+IF(E529="alluminio smaltato",(I529)*3%,0),4)</f>
        <v>0</v>
      </c>
      <c r="L529" s="143">
        <f>ROUND((J529*C529)+(K529*C529),4)</f>
        <v>0</v>
      </c>
      <c r="M529" s="140"/>
      <c r="N529" s="140">
        <f>ROUND(+I529-H529,4)</f>
        <v>0</v>
      </c>
      <c r="O529" s="143">
        <f>ROUND(+(N529)*C529*50%,4)</f>
        <v>0</v>
      </c>
      <c r="P529" s="147">
        <f>ROUND(O529+L529,4)</f>
        <v>0</v>
      </c>
      <c r="Q529" s="80"/>
      <c r="R529" s="81"/>
      <c r="S529" s="84"/>
    </row>
    <row r="530" spans="1:19" x14ac:dyDescent="0.2">
      <c r="A530" s="47"/>
      <c r="B530" s="36"/>
      <c r="C530" s="138"/>
      <c r="D530" s="140"/>
      <c r="E530" s="48"/>
      <c r="F530" s="140"/>
      <c r="G530" s="140"/>
      <c r="H530" s="140">
        <f>ROUND(+D530+F530,4)</f>
        <v>0</v>
      </c>
      <c r="I530" s="140">
        <v>0</v>
      </c>
      <c r="J530" s="140">
        <v>0.03</v>
      </c>
      <c r="K530" s="140">
        <f>ROUND(IF(E530="alluminio",(I530)*3%,0)+IF(E530="alluminio smaltato",(I530)*3%,0),4)</f>
        <v>0</v>
      </c>
      <c r="L530" s="143">
        <f>ROUND((J530*C530)+(K530*C530),4)</f>
        <v>0</v>
      </c>
      <c r="M530" s="140"/>
      <c r="N530" s="140">
        <f>ROUND(+I530-H530,4)</f>
        <v>0</v>
      </c>
      <c r="O530" s="143">
        <f>ROUND(+(N530)*C530*50%,4)</f>
        <v>0</v>
      </c>
      <c r="P530" s="147">
        <f>ROUND(O530+L530,4)</f>
        <v>0</v>
      </c>
      <c r="Q530" s="80"/>
      <c r="R530" s="81"/>
      <c r="S530" s="84"/>
    </row>
    <row r="531" spans="1:19" x14ac:dyDescent="0.2">
      <c r="A531" s="47"/>
      <c r="B531" s="36"/>
      <c r="C531" s="138"/>
      <c r="D531" s="140"/>
      <c r="E531" s="48"/>
      <c r="F531" s="140"/>
      <c r="G531" s="140"/>
      <c r="H531" s="140">
        <f>ROUND(+D531+F531,4)</f>
        <v>0</v>
      </c>
      <c r="I531" s="140">
        <v>0</v>
      </c>
      <c r="J531" s="140">
        <v>0.03</v>
      </c>
      <c r="K531" s="140">
        <f>ROUND(IF(E531="alluminio",(I531)*3%,0)+IF(E531="alluminio smaltato",(I531)*3%,0),4)</f>
        <v>0</v>
      </c>
      <c r="L531" s="143">
        <f>ROUND((J531*C531)+(K531*C531),4)</f>
        <v>0</v>
      </c>
      <c r="M531" s="140"/>
      <c r="N531" s="140">
        <f>ROUND(+I531-H531,4)</f>
        <v>0</v>
      </c>
      <c r="O531" s="143">
        <f>ROUND(+(N531)*C531*50%,4)</f>
        <v>0</v>
      </c>
      <c r="P531" s="147">
        <f>ROUND(O531+L531,4)</f>
        <v>0</v>
      </c>
      <c r="Q531" s="80"/>
      <c r="R531" s="81"/>
      <c r="S531" s="84"/>
    </row>
    <row r="532" spans="1:19" x14ac:dyDescent="0.2">
      <c r="A532" s="47"/>
      <c r="B532" s="36"/>
      <c r="C532" s="138"/>
      <c r="D532" s="140"/>
      <c r="E532" s="48"/>
      <c r="F532" s="140"/>
      <c r="G532" s="140"/>
      <c r="H532" s="140">
        <f>ROUND(+D532+F532,4)</f>
        <v>0</v>
      </c>
      <c r="I532" s="140">
        <v>0</v>
      </c>
      <c r="J532" s="140">
        <v>0.03</v>
      </c>
      <c r="K532" s="140">
        <f>ROUND(IF(E532="alluminio",(I532)*3%,0)+IF(E532="alluminio smaltato",(I532)*3%,0),4)</f>
        <v>0</v>
      </c>
      <c r="L532" s="143">
        <f>ROUND((J532*C532)+(K532*C532),4)</f>
        <v>0</v>
      </c>
      <c r="M532" s="140"/>
      <c r="N532" s="140">
        <f>ROUND(+I532-H532,4)</f>
        <v>0</v>
      </c>
      <c r="O532" s="143">
        <f>ROUND(+(N532)*C532*50%,4)</f>
        <v>0</v>
      </c>
      <c r="P532" s="147">
        <f>ROUND(O532+L532,4)</f>
        <v>0</v>
      </c>
      <c r="Q532" s="80"/>
      <c r="R532" s="81"/>
      <c r="S532" s="84"/>
    </row>
    <row r="533" spans="1:19" x14ac:dyDescent="0.2">
      <c r="A533" s="47"/>
      <c r="B533" s="36"/>
      <c r="C533" s="138"/>
      <c r="D533" s="140"/>
      <c r="E533" s="48"/>
      <c r="F533" s="140"/>
      <c r="G533" s="140"/>
      <c r="H533" s="140">
        <f>ROUND(+D533+F533,4)</f>
        <v>0</v>
      </c>
      <c r="I533" s="140">
        <v>0</v>
      </c>
      <c r="J533" s="140">
        <v>0.03</v>
      </c>
      <c r="K533" s="140">
        <f>ROUND(IF(E533="alluminio",(I533)*3%,0)+IF(E533="alluminio smaltato",(I533)*3%,0),4)</f>
        <v>0</v>
      </c>
      <c r="L533" s="143">
        <f>ROUND((J533*C533)+(K533*C533),4)</f>
        <v>0</v>
      </c>
      <c r="M533" s="140"/>
      <c r="N533" s="140">
        <f>ROUND(+I533-H533,4)</f>
        <v>0</v>
      </c>
      <c r="O533" s="143">
        <f>ROUND(+(N533)*C533*50%,4)</f>
        <v>0</v>
      </c>
      <c r="P533" s="147">
        <f>ROUND(O533+L533,4)</f>
        <v>0</v>
      </c>
      <c r="Q533" s="80"/>
      <c r="R533" s="81"/>
      <c r="S533" s="84"/>
    </row>
    <row r="534" spans="1:19" x14ac:dyDescent="0.2">
      <c r="A534" s="47"/>
      <c r="B534" s="36"/>
      <c r="C534" s="138"/>
      <c r="D534" s="140"/>
      <c r="E534" s="48"/>
      <c r="F534" s="140"/>
      <c r="G534" s="140"/>
      <c r="H534" s="140">
        <f>ROUND(+D534+F534,4)</f>
        <v>0</v>
      </c>
      <c r="I534" s="140">
        <v>0</v>
      </c>
      <c r="J534" s="140">
        <v>0.03</v>
      </c>
      <c r="K534" s="140">
        <f>ROUND(IF(E534="alluminio",(I534)*3%,0)+IF(E534="alluminio smaltato",(I534)*3%,0),4)</f>
        <v>0</v>
      </c>
      <c r="L534" s="143">
        <f>ROUND((J534*C534)+(K534*C534),4)</f>
        <v>0</v>
      </c>
      <c r="M534" s="140"/>
      <c r="N534" s="140">
        <f>ROUND(+I534-H534,4)</f>
        <v>0</v>
      </c>
      <c r="O534" s="143">
        <f>ROUND(+(N534)*C534*50%,4)</f>
        <v>0</v>
      </c>
      <c r="P534" s="147">
        <f>ROUND(O534+L534,4)</f>
        <v>0</v>
      </c>
      <c r="Q534" s="80"/>
      <c r="R534" s="81"/>
      <c r="S534" s="84"/>
    </row>
    <row r="535" spans="1:19" x14ac:dyDescent="0.2">
      <c r="A535" s="47"/>
      <c r="B535" s="36"/>
      <c r="C535" s="138"/>
      <c r="D535" s="140"/>
      <c r="E535" s="48"/>
      <c r="F535" s="140"/>
      <c r="G535" s="140"/>
      <c r="H535" s="140">
        <f>ROUND(+D535+F535,4)</f>
        <v>0</v>
      </c>
      <c r="I535" s="140">
        <v>0</v>
      </c>
      <c r="J535" s="140">
        <v>0.03</v>
      </c>
      <c r="K535" s="140">
        <f>ROUND(IF(E535="alluminio",(I535)*3%,0)+IF(E535="alluminio smaltato",(I535)*3%,0),4)</f>
        <v>0</v>
      </c>
      <c r="L535" s="143">
        <f>ROUND((J535*C535)+(K535*C535),4)</f>
        <v>0</v>
      </c>
      <c r="M535" s="140"/>
      <c r="N535" s="140">
        <f>ROUND(+I535-H535,4)</f>
        <v>0</v>
      </c>
      <c r="O535" s="143">
        <f>ROUND(+(N535)*C535*50%,4)</f>
        <v>0</v>
      </c>
      <c r="P535" s="147">
        <f>ROUND(O535+L535,4)</f>
        <v>0</v>
      </c>
      <c r="Q535" s="80"/>
      <c r="R535" s="81"/>
      <c r="S535" s="84"/>
    </row>
    <row r="536" spans="1:19" x14ac:dyDescent="0.2">
      <c r="A536" s="47"/>
      <c r="B536" s="36"/>
      <c r="C536" s="138"/>
      <c r="D536" s="140"/>
      <c r="E536" s="48"/>
      <c r="F536" s="140"/>
      <c r="G536" s="140"/>
      <c r="H536" s="140">
        <f>ROUND(+D536+F536,4)</f>
        <v>0</v>
      </c>
      <c r="I536" s="140">
        <v>0</v>
      </c>
      <c r="J536" s="140">
        <v>0.03</v>
      </c>
      <c r="K536" s="140">
        <f>ROUND(IF(E536="alluminio",(I536)*3%,0)+IF(E536="alluminio smaltato",(I536)*3%,0),4)</f>
        <v>0</v>
      </c>
      <c r="L536" s="143">
        <f>ROUND((J536*C536)+(K536*C536),4)</f>
        <v>0</v>
      </c>
      <c r="M536" s="140"/>
      <c r="N536" s="140">
        <f>ROUND(+I536-H536,4)</f>
        <v>0</v>
      </c>
      <c r="O536" s="143">
        <f>ROUND(+(N536)*C536*50%,4)</f>
        <v>0</v>
      </c>
      <c r="P536" s="147">
        <f>ROUND(O536+L536,4)</f>
        <v>0</v>
      </c>
      <c r="Q536" s="80"/>
      <c r="R536" s="81"/>
      <c r="S536" s="84"/>
    </row>
    <row r="537" spans="1:19" x14ac:dyDescent="0.2">
      <c r="A537" s="47"/>
      <c r="B537" s="36"/>
      <c r="C537" s="138"/>
      <c r="D537" s="140"/>
      <c r="E537" s="48"/>
      <c r="F537" s="140"/>
      <c r="G537" s="140"/>
      <c r="H537" s="140">
        <f>ROUND(+D537+F537,4)</f>
        <v>0</v>
      </c>
      <c r="I537" s="140">
        <v>0</v>
      </c>
      <c r="J537" s="140">
        <v>0.03</v>
      </c>
      <c r="K537" s="140">
        <f>ROUND(IF(E537="alluminio",(I537)*3%,0)+IF(E537="alluminio smaltato",(I537)*3%,0),4)</f>
        <v>0</v>
      </c>
      <c r="L537" s="143">
        <f>ROUND((J537*C537)+(K537*C537),4)</f>
        <v>0</v>
      </c>
      <c r="M537" s="140"/>
      <c r="N537" s="140">
        <f>ROUND(+I537-H537,4)</f>
        <v>0</v>
      </c>
      <c r="O537" s="143">
        <f>ROUND(+(N537)*C537*50%,4)</f>
        <v>0</v>
      </c>
      <c r="P537" s="147">
        <f>ROUND(O537+L537,4)</f>
        <v>0</v>
      </c>
      <c r="Q537" s="80"/>
      <c r="R537" s="81"/>
      <c r="S537" s="84"/>
    </row>
    <row r="538" spans="1:19" x14ac:dyDescent="0.2">
      <c r="A538" s="47"/>
      <c r="B538" s="36"/>
      <c r="C538" s="138"/>
      <c r="D538" s="140"/>
      <c r="E538" s="48"/>
      <c r="F538" s="140"/>
      <c r="G538" s="140"/>
      <c r="H538" s="140">
        <f>ROUND(+D538+F538,4)</f>
        <v>0</v>
      </c>
      <c r="I538" s="140">
        <v>0</v>
      </c>
      <c r="J538" s="140">
        <v>0.03</v>
      </c>
      <c r="K538" s="140">
        <f>ROUND(IF(E538="alluminio",(I538)*3%,0)+IF(E538="alluminio smaltato",(I538)*3%,0),4)</f>
        <v>0</v>
      </c>
      <c r="L538" s="143">
        <f>ROUND((J538*C538)+(K538*C538),4)</f>
        <v>0</v>
      </c>
      <c r="M538" s="140"/>
      <c r="N538" s="140">
        <f>ROUND(+I538-H538,4)</f>
        <v>0</v>
      </c>
      <c r="O538" s="143">
        <f>ROUND(+(N538)*C538*50%,4)</f>
        <v>0</v>
      </c>
      <c r="P538" s="147">
        <f>ROUND(O538+L538,4)</f>
        <v>0</v>
      </c>
      <c r="Q538" s="80"/>
      <c r="R538" s="81"/>
      <c r="S538" s="84"/>
    </row>
    <row r="539" spans="1:19" x14ac:dyDescent="0.2">
      <c r="A539" s="47"/>
      <c r="B539" s="36"/>
      <c r="C539" s="138"/>
      <c r="D539" s="140"/>
      <c r="E539" s="48"/>
      <c r="F539" s="140"/>
      <c r="G539" s="140"/>
      <c r="H539" s="140">
        <f>ROUND(+D539+F539,4)</f>
        <v>0</v>
      </c>
      <c r="I539" s="140">
        <v>0</v>
      </c>
      <c r="J539" s="140">
        <v>0.03</v>
      </c>
      <c r="K539" s="140">
        <f>ROUND(IF(E539="alluminio",(I539)*3%,0)+IF(E539="alluminio smaltato",(I539)*3%,0),4)</f>
        <v>0</v>
      </c>
      <c r="L539" s="143">
        <f>ROUND((J539*C539)+(K539*C539),4)</f>
        <v>0</v>
      </c>
      <c r="M539" s="140"/>
      <c r="N539" s="140">
        <f>ROUND(+I539-H539,4)</f>
        <v>0</v>
      </c>
      <c r="O539" s="143">
        <f>ROUND(+(N539)*C539*50%,4)</f>
        <v>0</v>
      </c>
      <c r="P539" s="147">
        <f>ROUND(O539+L539,4)</f>
        <v>0</v>
      </c>
      <c r="Q539" s="80"/>
      <c r="R539" s="81"/>
      <c r="S539" s="84"/>
    </row>
    <row r="540" spans="1:19" x14ac:dyDescent="0.2">
      <c r="A540" s="47"/>
      <c r="B540" s="36"/>
      <c r="C540" s="138"/>
      <c r="D540" s="140"/>
      <c r="E540" s="48"/>
      <c r="F540" s="140"/>
      <c r="G540" s="140"/>
      <c r="H540" s="140">
        <f>ROUND(+D540+F540,4)</f>
        <v>0</v>
      </c>
      <c r="I540" s="140">
        <v>0</v>
      </c>
      <c r="J540" s="140">
        <v>0.03</v>
      </c>
      <c r="K540" s="140">
        <f>ROUND(IF(E540="alluminio",(I540)*3%,0)+IF(E540="alluminio smaltato",(I540)*3%,0),4)</f>
        <v>0</v>
      </c>
      <c r="L540" s="143">
        <f>ROUND((J540*C540)+(K540*C540),4)</f>
        <v>0</v>
      </c>
      <c r="M540" s="140"/>
      <c r="N540" s="140">
        <f>ROUND(+I540-H540,4)</f>
        <v>0</v>
      </c>
      <c r="O540" s="143">
        <f>ROUND(+(N540)*C540*50%,4)</f>
        <v>0</v>
      </c>
      <c r="P540" s="147">
        <f>ROUND(O540+L540,4)</f>
        <v>0</v>
      </c>
      <c r="Q540" s="80"/>
      <c r="R540" s="81"/>
      <c r="S540" s="84"/>
    </row>
    <row r="541" spans="1:19" x14ac:dyDescent="0.2">
      <c r="A541" s="47"/>
      <c r="B541" s="36"/>
      <c r="C541" s="138"/>
      <c r="D541" s="140"/>
      <c r="E541" s="48"/>
      <c r="F541" s="140"/>
      <c r="G541" s="140"/>
      <c r="H541" s="140">
        <f>ROUND(+D541+F541,4)</f>
        <v>0</v>
      </c>
      <c r="I541" s="140">
        <v>0</v>
      </c>
      <c r="J541" s="140">
        <v>0.03</v>
      </c>
      <c r="K541" s="140">
        <f>ROUND(IF(E541="alluminio",(I541)*3%,0)+IF(E541="alluminio smaltato",(I541)*3%,0),4)</f>
        <v>0</v>
      </c>
      <c r="L541" s="143">
        <f>ROUND((J541*C541)+(K541*C541),4)</f>
        <v>0</v>
      </c>
      <c r="M541" s="140"/>
      <c r="N541" s="140">
        <f>ROUND(+I541-H541,4)</f>
        <v>0</v>
      </c>
      <c r="O541" s="143">
        <f>ROUND(+(N541)*C541*50%,4)</f>
        <v>0</v>
      </c>
      <c r="P541" s="147">
        <f>ROUND(O541+L541,4)</f>
        <v>0</v>
      </c>
      <c r="Q541" s="80"/>
      <c r="R541" s="81"/>
      <c r="S541" s="84"/>
    </row>
    <row r="542" spans="1:19" x14ac:dyDescent="0.2">
      <c r="A542" s="47"/>
      <c r="B542" s="36"/>
      <c r="C542" s="138"/>
      <c r="D542" s="140"/>
      <c r="E542" s="48"/>
      <c r="F542" s="140"/>
      <c r="G542" s="140"/>
      <c r="H542" s="140">
        <f>ROUND(+D542+F542,4)</f>
        <v>0</v>
      </c>
      <c r="I542" s="140">
        <v>0</v>
      </c>
      <c r="J542" s="140">
        <v>0.03</v>
      </c>
      <c r="K542" s="140">
        <f>ROUND(IF(E542="alluminio",(I542)*3%,0)+IF(E542="alluminio smaltato",(I542)*3%,0),4)</f>
        <v>0</v>
      </c>
      <c r="L542" s="143">
        <f>ROUND((J542*C542)+(K542*C542),4)</f>
        <v>0</v>
      </c>
      <c r="M542" s="140"/>
      <c r="N542" s="140">
        <f>ROUND(+I542-H542,4)</f>
        <v>0</v>
      </c>
      <c r="O542" s="143">
        <f>ROUND(+(N542)*C542*50%,4)</f>
        <v>0</v>
      </c>
      <c r="P542" s="147">
        <f>ROUND(O542+L542,4)</f>
        <v>0</v>
      </c>
      <c r="Q542" s="80"/>
      <c r="R542" s="81"/>
      <c r="S542" s="84"/>
    </row>
    <row r="543" spans="1:19" x14ac:dyDescent="0.2">
      <c r="A543" s="47"/>
      <c r="B543" s="36"/>
      <c r="C543" s="138"/>
      <c r="D543" s="140"/>
      <c r="E543" s="48"/>
      <c r="F543" s="140"/>
      <c r="G543" s="140"/>
      <c r="H543" s="140">
        <f>ROUND(+D543+F543,4)</f>
        <v>0</v>
      </c>
      <c r="I543" s="140">
        <v>0</v>
      </c>
      <c r="J543" s="140">
        <v>0.03</v>
      </c>
      <c r="K543" s="140">
        <f>ROUND(IF(E543="alluminio",(I543)*3%,0)+IF(E543="alluminio smaltato",(I543)*3%,0),4)</f>
        <v>0</v>
      </c>
      <c r="L543" s="143">
        <f>ROUND((J543*C543)+(K543*C543),4)</f>
        <v>0</v>
      </c>
      <c r="M543" s="140"/>
      <c r="N543" s="140">
        <f>ROUND(+I543-H543,4)</f>
        <v>0</v>
      </c>
      <c r="O543" s="143">
        <f>ROUND(+(N543)*C543*50%,4)</f>
        <v>0</v>
      </c>
      <c r="P543" s="147">
        <f>ROUND(O543+L543,4)</f>
        <v>0</v>
      </c>
      <c r="Q543" s="80"/>
      <c r="R543" s="81"/>
      <c r="S543" s="84"/>
    </row>
    <row r="544" spans="1:19" x14ac:dyDescent="0.2">
      <c r="A544" s="47"/>
      <c r="B544" s="36"/>
      <c r="C544" s="138"/>
      <c r="D544" s="140"/>
      <c r="E544" s="48"/>
      <c r="F544" s="140"/>
      <c r="G544" s="140"/>
      <c r="H544" s="140">
        <f>ROUND(+D544+F544,4)</f>
        <v>0</v>
      </c>
      <c r="I544" s="140">
        <v>0</v>
      </c>
      <c r="J544" s="140">
        <v>0.03</v>
      </c>
      <c r="K544" s="140">
        <f>ROUND(IF(E544="alluminio",(I544)*3%,0)+IF(E544="alluminio smaltato",(I544)*3%,0),4)</f>
        <v>0</v>
      </c>
      <c r="L544" s="143">
        <f>ROUND((J544*C544)+(K544*C544),4)</f>
        <v>0</v>
      </c>
      <c r="M544" s="140"/>
      <c r="N544" s="140">
        <f>ROUND(+I544-H544,4)</f>
        <v>0</v>
      </c>
      <c r="O544" s="143">
        <f>ROUND(+(N544)*C544*50%,4)</f>
        <v>0</v>
      </c>
      <c r="P544" s="147">
        <f>ROUND(O544+L544,4)</f>
        <v>0</v>
      </c>
      <c r="Q544" s="80"/>
      <c r="R544" s="81"/>
      <c r="S544" s="84"/>
    </row>
    <row r="545" spans="1:19" x14ac:dyDescent="0.2">
      <c r="A545" s="47"/>
      <c r="B545" s="36"/>
      <c r="C545" s="138"/>
      <c r="D545" s="140"/>
      <c r="E545" s="48"/>
      <c r="F545" s="140"/>
      <c r="G545" s="140"/>
      <c r="H545" s="140">
        <f>ROUND(+D545+F545,4)</f>
        <v>0</v>
      </c>
      <c r="I545" s="140">
        <v>0</v>
      </c>
      <c r="J545" s="140">
        <v>0.03</v>
      </c>
      <c r="K545" s="140">
        <f>ROUND(IF(E545="alluminio",(I545)*3%,0)+IF(E545="alluminio smaltato",(I545)*3%,0),4)</f>
        <v>0</v>
      </c>
      <c r="L545" s="143">
        <f>ROUND((J545*C545)+(K545*C545),4)</f>
        <v>0</v>
      </c>
      <c r="M545" s="140"/>
      <c r="N545" s="140">
        <f>ROUND(+I545-H545,4)</f>
        <v>0</v>
      </c>
      <c r="O545" s="143">
        <f>ROUND(+(N545)*C545*50%,4)</f>
        <v>0</v>
      </c>
      <c r="P545" s="147">
        <f>ROUND(O545+L545,4)</f>
        <v>0</v>
      </c>
      <c r="Q545" s="80"/>
      <c r="R545" s="81"/>
      <c r="S545" s="84"/>
    </row>
    <row r="546" spans="1:19" x14ac:dyDescent="0.2">
      <c r="A546" s="47"/>
      <c r="B546" s="36"/>
      <c r="C546" s="138"/>
      <c r="D546" s="140"/>
      <c r="E546" s="48"/>
      <c r="F546" s="140"/>
      <c r="G546" s="140"/>
      <c r="H546" s="140">
        <f>ROUND(+D546+F546,4)</f>
        <v>0</v>
      </c>
      <c r="I546" s="140">
        <v>0</v>
      </c>
      <c r="J546" s="140">
        <v>0.03</v>
      </c>
      <c r="K546" s="140">
        <f>ROUND(IF(E546="alluminio",(I546)*3%,0)+IF(E546="alluminio smaltato",(I546)*3%,0),4)</f>
        <v>0</v>
      </c>
      <c r="L546" s="143">
        <f>ROUND((J546*C546)+(K546*C546),4)</f>
        <v>0</v>
      </c>
      <c r="M546" s="140"/>
      <c r="N546" s="140">
        <f>ROUND(+I546-H546,4)</f>
        <v>0</v>
      </c>
      <c r="O546" s="143">
        <f>ROUND(+(N546)*C546*50%,4)</f>
        <v>0</v>
      </c>
      <c r="P546" s="147">
        <f>ROUND(O546+L546,4)</f>
        <v>0</v>
      </c>
      <c r="Q546" s="80"/>
      <c r="R546" s="81"/>
      <c r="S546" s="84"/>
    </row>
    <row r="547" spans="1:19" x14ac:dyDescent="0.2">
      <c r="A547" s="47"/>
      <c r="B547" s="36"/>
      <c r="C547" s="138"/>
      <c r="D547" s="140"/>
      <c r="E547" s="48"/>
      <c r="F547" s="140"/>
      <c r="G547" s="140"/>
      <c r="H547" s="140">
        <f>ROUND(+D547+F547,4)</f>
        <v>0</v>
      </c>
      <c r="I547" s="140">
        <v>0</v>
      </c>
      <c r="J547" s="140">
        <v>0.03</v>
      </c>
      <c r="K547" s="140">
        <f>ROUND(IF(E547="alluminio",(I547)*3%,0)+IF(E547="alluminio smaltato",(I547)*3%,0),4)</f>
        <v>0</v>
      </c>
      <c r="L547" s="143">
        <f>ROUND((J547*C547)+(K547*C547),4)</f>
        <v>0</v>
      </c>
      <c r="M547" s="140"/>
      <c r="N547" s="140">
        <f>ROUND(+I547-H547,4)</f>
        <v>0</v>
      </c>
      <c r="O547" s="143">
        <f>ROUND(+(N547)*C547*50%,4)</f>
        <v>0</v>
      </c>
      <c r="P547" s="147">
        <f>ROUND(O547+L547,4)</f>
        <v>0</v>
      </c>
      <c r="Q547" s="80"/>
      <c r="R547" s="81"/>
      <c r="S547" s="84"/>
    </row>
    <row r="548" spans="1:19" x14ac:dyDescent="0.2">
      <c r="A548" s="47"/>
      <c r="B548" s="36"/>
      <c r="C548" s="138"/>
      <c r="D548" s="140"/>
      <c r="E548" s="48"/>
      <c r="F548" s="140"/>
      <c r="G548" s="140"/>
      <c r="H548" s="140">
        <f>ROUND(+D548+F548,4)</f>
        <v>0</v>
      </c>
      <c r="I548" s="140">
        <v>0</v>
      </c>
      <c r="J548" s="140">
        <v>0.03</v>
      </c>
      <c r="K548" s="140">
        <f>ROUND(IF(E548="alluminio",(I548)*3%,0)+IF(E548="alluminio smaltato",(I548)*3%,0),4)</f>
        <v>0</v>
      </c>
      <c r="L548" s="143">
        <f>ROUND((J548*C548)+(K548*C548),4)</f>
        <v>0</v>
      </c>
      <c r="M548" s="140"/>
      <c r="N548" s="140">
        <f>ROUND(+I548-H548,4)</f>
        <v>0</v>
      </c>
      <c r="O548" s="143">
        <f>ROUND(+(N548)*C548*50%,4)</f>
        <v>0</v>
      </c>
      <c r="P548" s="147">
        <f>ROUND(O548+L548,4)</f>
        <v>0</v>
      </c>
      <c r="Q548" s="80"/>
      <c r="R548" s="81"/>
      <c r="S548" s="84"/>
    </row>
    <row r="549" spans="1:19" x14ac:dyDescent="0.2">
      <c r="A549" s="47"/>
      <c r="B549" s="36"/>
      <c r="C549" s="138"/>
      <c r="D549" s="140"/>
      <c r="E549" s="48"/>
      <c r="F549" s="140"/>
      <c r="G549" s="140"/>
      <c r="H549" s="140">
        <f>ROUND(+D549+F549,4)</f>
        <v>0</v>
      </c>
      <c r="I549" s="140">
        <v>0</v>
      </c>
      <c r="J549" s="140">
        <v>0.03</v>
      </c>
      <c r="K549" s="140">
        <f>ROUND(IF(E549="alluminio",(I549)*3%,0)+IF(E549="alluminio smaltato",(I549)*3%,0),4)</f>
        <v>0</v>
      </c>
      <c r="L549" s="143">
        <f>ROUND((J549*C549)+(K549*C549),4)</f>
        <v>0</v>
      </c>
      <c r="M549" s="140"/>
      <c r="N549" s="140">
        <f>ROUND(+I549-H549,4)</f>
        <v>0</v>
      </c>
      <c r="O549" s="143">
        <f>ROUND(+(N549)*C549*50%,4)</f>
        <v>0</v>
      </c>
      <c r="P549" s="147">
        <f>ROUND(O549+L549,4)</f>
        <v>0</v>
      </c>
      <c r="Q549" s="80"/>
      <c r="R549" s="81"/>
      <c r="S549" s="84"/>
    </row>
    <row r="550" spans="1:19" x14ac:dyDescent="0.2">
      <c r="A550" s="47"/>
      <c r="B550" s="36"/>
      <c r="C550" s="138"/>
      <c r="D550" s="140"/>
      <c r="E550" s="48"/>
      <c r="F550" s="140"/>
      <c r="G550" s="140"/>
      <c r="H550" s="140">
        <f>ROUND(+D550+F550,4)</f>
        <v>0</v>
      </c>
      <c r="I550" s="140">
        <v>0</v>
      </c>
      <c r="J550" s="140">
        <v>0.03</v>
      </c>
      <c r="K550" s="140">
        <f>ROUND(IF(E550="alluminio",(I550)*3%,0)+IF(E550="alluminio smaltato",(I550)*3%,0),4)</f>
        <v>0</v>
      </c>
      <c r="L550" s="143">
        <f>ROUND((J550*C550)+(K550*C550),4)</f>
        <v>0</v>
      </c>
      <c r="M550" s="140"/>
      <c r="N550" s="140">
        <f>ROUND(+I550-H550,4)</f>
        <v>0</v>
      </c>
      <c r="O550" s="143">
        <f>ROUND(+(N550)*C550*50%,4)</f>
        <v>0</v>
      </c>
      <c r="P550" s="147">
        <f>ROUND(O550+L550,4)</f>
        <v>0</v>
      </c>
      <c r="Q550" s="80"/>
      <c r="R550" s="81"/>
      <c r="S550" s="84"/>
    </row>
    <row r="551" spans="1:19" x14ac:dyDescent="0.2">
      <c r="A551" s="47"/>
      <c r="B551" s="36"/>
      <c r="C551" s="138"/>
      <c r="D551" s="140"/>
      <c r="E551" s="48"/>
      <c r="F551" s="140"/>
      <c r="G551" s="140"/>
      <c r="H551" s="140">
        <f>ROUND(+D551+F551,4)</f>
        <v>0</v>
      </c>
      <c r="I551" s="140">
        <v>0</v>
      </c>
      <c r="J551" s="140">
        <v>0.03</v>
      </c>
      <c r="K551" s="140">
        <f>ROUND(IF(E551="alluminio",(I551)*3%,0)+IF(E551="alluminio smaltato",(I551)*3%,0),4)</f>
        <v>0</v>
      </c>
      <c r="L551" s="143">
        <f>ROUND((J551*C551)+(K551*C551),4)</f>
        <v>0</v>
      </c>
      <c r="M551" s="140"/>
      <c r="N551" s="140">
        <f>ROUND(+I551-H551,4)</f>
        <v>0</v>
      </c>
      <c r="O551" s="143">
        <f>ROUND(+(N551)*C551*50%,4)</f>
        <v>0</v>
      </c>
      <c r="P551" s="147">
        <f>ROUND(O551+L551,4)</f>
        <v>0</v>
      </c>
      <c r="Q551" s="80"/>
      <c r="R551" s="81"/>
      <c r="S551" s="84"/>
    </row>
    <row r="552" spans="1:19" x14ac:dyDescent="0.2">
      <c r="A552" s="47"/>
      <c r="B552" s="36"/>
      <c r="C552" s="138"/>
      <c r="D552" s="140"/>
      <c r="E552" s="48"/>
      <c r="F552" s="140"/>
      <c r="G552" s="140"/>
      <c r="H552" s="140">
        <f>ROUND(+D552+F552,4)</f>
        <v>0</v>
      </c>
      <c r="I552" s="140">
        <v>0</v>
      </c>
      <c r="J552" s="140">
        <v>0.03</v>
      </c>
      <c r="K552" s="140">
        <f>ROUND(IF(E552="alluminio",(I552)*3%,0)+IF(E552="alluminio smaltato",(I552)*3%,0),4)</f>
        <v>0</v>
      </c>
      <c r="L552" s="143">
        <f>ROUND((J552*C552)+(K552*C552),4)</f>
        <v>0</v>
      </c>
      <c r="M552" s="140"/>
      <c r="N552" s="140">
        <f>ROUND(+I552-H552,4)</f>
        <v>0</v>
      </c>
      <c r="O552" s="143">
        <f>ROUND(+(N552)*C552*50%,4)</f>
        <v>0</v>
      </c>
      <c r="P552" s="147">
        <f>ROUND(O552+L552,4)</f>
        <v>0</v>
      </c>
      <c r="Q552" s="80"/>
      <c r="R552" s="81"/>
      <c r="S552" s="84"/>
    </row>
    <row r="553" spans="1:19" x14ac:dyDescent="0.2">
      <c r="A553" s="47"/>
      <c r="B553" s="36"/>
      <c r="C553" s="138"/>
      <c r="D553" s="140"/>
      <c r="E553" s="48"/>
      <c r="F553" s="140"/>
      <c r="G553" s="140"/>
      <c r="H553" s="140">
        <f>ROUND(+D553+F553,4)</f>
        <v>0</v>
      </c>
      <c r="I553" s="140">
        <v>0</v>
      </c>
      <c r="J553" s="140">
        <v>0.03</v>
      </c>
      <c r="K553" s="140">
        <f>ROUND(IF(E553="alluminio",(I553)*3%,0)+IF(E553="alluminio smaltato",(I553)*3%,0),4)</f>
        <v>0</v>
      </c>
      <c r="L553" s="143">
        <f>ROUND((J553*C553)+(K553*C553),4)</f>
        <v>0</v>
      </c>
      <c r="M553" s="140"/>
      <c r="N553" s="140">
        <f>ROUND(+I553-H553,4)</f>
        <v>0</v>
      </c>
      <c r="O553" s="143">
        <f>ROUND(+(N553)*C553*50%,4)</f>
        <v>0</v>
      </c>
      <c r="P553" s="147">
        <f>ROUND(O553+L553,4)</f>
        <v>0</v>
      </c>
      <c r="Q553" s="80"/>
      <c r="R553" s="81"/>
      <c r="S553" s="84"/>
    </row>
    <row r="554" spans="1:19" x14ac:dyDescent="0.2">
      <c r="A554" s="47"/>
      <c r="B554" s="36"/>
      <c r="C554" s="138"/>
      <c r="D554" s="140"/>
      <c r="E554" s="48"/>
      <c r="F554" s="140"/>
      <c r="G554" s="140"/>
      <c r="H554" s="140">
        <f>ROUND(+D554+F554,4)</f>
        <v>0</v>
      </c>
      <c r="I554" s="140">
        <v>0</v>
      </c>
      <c r="J554" s="140">
        <v>0.03</v>
      </c>
      <c r="K554" s="140">
        <f>ROUND(IF(E554="alluminio",(I554)*3%,0)+IF(E554="alluminio smaltato",(I554)*3%,0),4)</f>
        <v>0</v>
      </c>
      <c r="L554" s="143">
        <f>ROUND((J554*C554)+(K554*C554),4)</f>
        <v>0</v>
      </c>
      <c r="M554" s="140"/>
      <c r="N554" s="140">
        <f>ROUND(+I554-H554,4)</f>
        <v>0</v>
      </c>
      <c r="O554" s="143">
        <f>ROUND(+(N554)*C554*50%,4)</f>
        <v>0</v>
      </c>
      <c r="P554" s="147">
        <f>ROUND(O554+L554,4)</f>
        <v>0</v>
      </c>
      <c r="Q554" s="80"/>
      <c r="R554" s="81"/>
      <c r="S554" s="84"/>
    </row>
    <row r="555" spans="1:19" x14ac:dyDescent="0.2">
      <c r="A555" s="47"/>
      <c r="B555" s="36"/>
      <c r="C555" s="138"/>
      <c r="D555" s="140"/>
      <c r="E555" s="48"/>
      <c r="F555" s="140"/>
      <c r="G555" s="140"/>
      <c r="H555" s="140">
        <f>ROUND(+D555+F555,4)</f>
        <v>0</v>
      </c>
      <c r="I555" s="140">
        <v>0</v>
      </c>
      <c r="J555" s="140">
        <v>0.03</v>
      </c>
      <c r="K555" s="140">
        <f>ROUND(IF(E555="alluminio",(I555)*3%,0)+IF(E555="alluminio smaltato",(I555)*3%,0),4)</f>
        <v>0</v>
      </c>
      <c r="L555" s="143">
        <f>ROUND((J555*C555)+(K555*C555),4)</f>
        <v>0</v>
      </c>
      <c r="M555" s="140"/>
      <c r="N555" s="140">
        <f>ROUND(+I555-H555,4)</f>
        <v>0</v>
      </c>
      <c r="O555" s="143">
        <f>ROUND(+(N555)*C555*50%,4)</f>
        <v>0</v>
      </c>
      <c r="P555" s="147">
        <f>ROUND(O555+L555,4)</f>
        <v>0</v>
      </c>
      <c r="Q555" s="80"/>
      <c r="R555" s="81"/>
      <c r="S555" s="84"/>
    </row>
    <row r="556" spans="1:19" x14ac:dyDescent="0.2">
      <c r="A556" s="47"/>
      <c r="B556" s="36"/>
      <c r="C556" s="138"/>
      <c r="D556" s="140"/>
      <c r="E556" s="48"/>
      <c r="F556" s="140"/>
      <c r="G556" s="140"/>
      <c r="H556" s="140">
        <f>ROUND(+D556+F556,4)</f>
        <v>0</v>
      </c>
      <c r="I556" s="140">
        <v>0</v>
      </c>
      <c r="J556" s="140">
        <v>0.03</v>
      </c>
      <c r="K556" s="140">
        <f>ROUND(IF(E556="alluminio",(I556)*3%,0)+IF(E556="alluminio smaltato",(I556)*3%,0),4)</f>
        <v>0</v>
      </c>
      <c r="L556" s="143">
        <f>ROUND((J556*C556)+(K556*C556),4)</f>
        <v>0</v>
      </c>
      <c r="M556" s="140"/>
      <c r="N556" s="140">
        <f>ROUND(+I556-H556,4)</f>
        <v>0</v>
      </c>
      <c r="O556" s="143">
        <f>ROUND(+(N556)*C556*50%,4)</f>
        <v>0</v>
      </c>
      <c r="P556" s="147">
        <f>ROUND(O556+L556,4)</f>
        <v>0</v>
      </c>
      <c r="Q556" s="80"/>
      <c r="R556" s="81"/>
      <c r="S556" s="84"/>
    </row>
    <row r="557" spans="1:19" x14ac:dyDescent="0.2">
      <c r="A557" s="47"/>
      <c r="B557" s="36"/>
      <c r="C557" s="138"/>
      <c r="D557" s="140"/>
      <c r="E557" s="48"/>
      <c r="F557" s="140"/>
      <c r="G557" s="140"/>
      <c r="H557" s="140">
        <f>ROUND(+D557+F557,4)</f>
        <v>0</v>
      </c>
      <c r="I557" s="140">
        <v>0</v>
      </c>
      <c r="J557" s="140">
        <v>0.03</v>
      </c>
      <c r="K557" s="140">
        <f>ROUND(IF(E557="alluminio",(I557)*3%,0)+IF(E557="alluminio smaltato",(I557)*3%,0),4)</f>
        <v>0</v>
      </c>
      <c r="L557" s="143">
        <f>ROUND((J557*C557)+(K557*C557),4)</f>
        <v>0</v>
      </c>
      <c r="M557" s="140"/>
      <c r="N557" s="140">
        <f>ROUND(+I557-H557,4)</f>
        <v>0</v>
      </c>
      <c r="O557" s="143">
        <f>ROUND(+(N557)*C557*50%,4)</f>
        <v>0</v>
      </c>
      <c r="P557" s="147">
        <f>ROUND(O557+L557,4)</f>
        <v>0</v>
      </c>
      <c r="Q557" s="80"/>
      <c r="R557" s="81"/>
      <c r="S557" s="84"/>
    </row>
    <row r="558" spans="1:19" x14ac:dyDescent="0.2">
      <c r="A558" s="47"/>
      <c r="B558" s="36"/>
      <c r="C558" s="138"/>
      <c r="D558" s="140"/>
      <c r="E558" s="48"/>
      <c r="F558" s="140"/>
      <c r="G558" s="140"/>
      <c r="H558" s="140">
        <f>ROUND(+D558+F558,4)</f>
        <v>0</v>
      </c>
      <c r="I558" s="140">
        <v>0</v>
      </c>
      <c r="J558" s="140">
        <v>0.03</v>
      </c>
      <c r="K558" s="140">
        <f>ROUND(IF(E558="alluminio",(I558)*3%,0)+IF(E558="alluminio smaltato",(I558)*3%,0),4)</f>
        <v>0</v>
      </c>
      <c r="L558" s="143">
        <f>ROUND((J558*C558)+(K558*C558),4)</f>
        <v>0</v>
      </c>
      <c r="M558" s="140"/>
      <c r="N558" s="140">
        <f>ROUND(+I558-H558,4)</f>
        <v>0</v>
      </c>
      <c r="O558" s="143">
        <f>ROUND(+(N558)*C558*50%,4)</f>
        <v>0</v>
      </c>
      <c r="P558" s="147">
        <f>ROUND(O558+L558,4)</f>
        <v>0</v>
      </c>
      <c r="Q558" s="80"/>
      <c r="R558" s="81"/>
      <c r="S558" s="84"/>
    </row>
    <row r="559" spans="1:19" x14ac:dyDescent="0.2">
      <c r="A559" s="47"/>
      <c r="B559" s="36"/>
      <c r="C559" s="138"/>
      <c r="D559" s="140"/>
      <c r="E559" s="48"/>
      <c r="F559" s="140"/>
      <c r="G559" s="140"/>
      <c r="H559" s="140">
        <f>ROUND(+D559+F559,4)</f>
        <v>0</v>
      </c>
      <c r="I559" s="140">
        <v>0</v>
      </c>
      <c r="J559" s="140">
        <v>0.03</v>
      </c>
      <c r="K559" s="140">
        <f>ROUND(IF(E559="alluminio",(I559)*3%,0)+IF(E559="alluminio smaltato",(I559)*3%,0),4)</f>
        <v>0</v>
      </c>
      <c r="L559" s="143">
        <f>ROUND((J559*C559)+(K559*C559),4)</f>
        <v>0</v>
      </c>
      <c r="M559" s="140"/>
      <c r="N559" s="140">
        <f>ROUND(+I559-H559,4)</f>
        <v>0</v>
      </c>
      <c r="O559" s="143">
        <f>ROUND(+(N559)*C559*50%,4)</f>
        <v>0</v>
      </c>
      <c r="P559" s="147">
        <f>ROUND(O559+L559,4)</f>
        <v>0</v>
      </c>
      <c r="Q559" s="80"/>
      <c r="R559" s="81"/>
      <c r="S559" s="84"/>
    </row>
    <row r="560" spans="1:19" x14ac:dyDescent="0.2">
      <c r="A560" s="47"/>
      <c r="B560" s="36"/>
      <c r="C560" s="138"/>
      <c r="D560" s="140"/>
      <c r="E560" s="48"/>
      <c r="F560" s="140"/>
      <c r="G560" s="140"/>
      <c r="H560" s="140">
        <f>ROUND(+D560+F560,4)</f>
        <v>0</v>
      </c>
      <c r="I560" s="140">
        <v>0</v>
      </c>
      <c r="J560" s="140">
        <v>0.03</v>
      </c>
      <c r="K560" s="140">
        <f>ROUND(IF(E560="alluminio",(I560)*3%,0)+IF(E560="alluminio smaltato",(I560)*3%,0),4)</f>
        <v>0</v>
      </c>
      <c r="L560" s="143">
        <f>ROUND((J560*C560)+(K560*C560),4)</f>
        <v>0</v>
      </c>
      <c r="M560" s="140"/>
      <c r="N560" s="140">
        <f>ROUND(+I560-H560,4)</f>
        <v>0</v>
      </c>
      <c r="O560" s="143">
        <f>ROUND(+(N560)*C560*50%,4)</f>
        <v>0</v>
      </c>
      <c r="P560" s="147">
        <f>ROUND(O560+L560,4)</f>
        <v>0</v>
      </c>
      <c r="Q560" s="80"/>
      <c r="R560" s="81"/>
      <c r="S560" s="84"/>
    </row>
    <row r="561" spans="1:19" x14ac:dyDescent="0.2">
      <c r="A561" s="47"/>
      <c r="B561" s="36"/>
      <c r="C561" s="138"/>
      <c r="D561" s="140"/>
      <c r="E561" s="48"/>
      <c r="F561" s="140"/>
      <c r="G561" s="140"/>
      <c r="H561" s="140">
        <f>ROUND(+D561+F561,4)</f>
        <v>0</v>
      </c>
      <c r="I561" s="140">
        <v>0</v>
      </c>
      <c r="J561" s="140">
        <v>0.03</v>
      </c>
      <c r="K561" s="140">
        <f>ROUND(IF(E561="alluminio",(I561)*3%,0)+IF(E561="alluminio smaltato",(I561)*3%,0),4)</f>
        <v>0</v>
      </c>
      <c r="L561" s="143">
        <f>ROUND((J561*C561)+(K561*C561),4)</f>
        <v>0</v>
      </c>
      <c r="M561" s="140"/>
      <c r="N561" s="140">
        <f>ROUND(+I561-H561,4)</f>
        <v>0</v>
      </c>
      <c r="O561" s="143">
        <f>ROUND(+(N561)*C561*50%,4)</f>
        <v>0</v>
      </c>
      <c r="P561" s="147">
        <f>ROUND(O561+L561,4)</f>
        <v>0</v>
      </c>
      <c r="Q561" s="80"/>
      <c r="R561" s="81"/>
      <c r="S561" s="84"/>
    </row>
    <row r="562" spans="1:19" x14ac:dyDescent="0.2">
      <c r="A562" s="47"/>
      <c r="B562" s="36"/>
      <c r="C562" s="138"/>
      <c r="D562" s="140"/>
      <c r="E562" s="48"/>
      <c r="F562" s="140"/>
      <c r="G562" s="140"/>
      <c r="H562" s="140">
        <f>ROUND(+D562+F562,4)</f>
        <v>0</v>
      </c>
      <c r="I562" s="140">
        <v>0</v>
      </c>
      <c r="J562" s="140">
        <v>0.03</v>
      </c>
      <c r="K562" s="140">
        <f>ROUND(IF(E562="alluminio",(I562)*3%,0)+IF(E562="alluminio smaltato",(I562)*3%,0),4)</f>
        <v>0</v>
      </c>
      <c r="L562" s="143">
        <f>ROUND((J562*C562)+(K562*C562),4)</f>
        <v>0</v>
      </c>
      <c r="M562" s="140"/>
      <c r="N562" s="140">
        <f>ROUND(+I562-H562,4)</f>
        <v>0</v>
      </c>
      <c r="O562" s="143">
        <f>ROUND(+(N562)*C562*50%,4)</f>
        <v>0</v>
      </c>
      <c r="P562" s="147">
        <f>ROUND(O562+L562,4)</f>
        <v>0</v>
      </c>
      <c r="Q562" s="80"/>
      <c r="R562" s="81"/>
      <c r="S562" s="84"/>
    </row>
    <row r="563" spans="1:19" x14ac:dyDescent="0.2">
      <c r="A563" s="47"/>
      <c r="B563" s="36"/>
      <c r="C563" s="138"/>
      <c r="D563" s="140"/>
      <c r="E563" s="48"/>
      <c r="F563" s="140"/>
      <c r="G563" s="140"/>
      <c r="H563" s="140">
        <f>ROUND(+D563+F563,4)</f>
        <v>0</v>
      </c>
      <c r="I563" s="140">
        <v>0</v>
      </c>
      <c r="J563" s="140">
        <v>0.03</v>
      </c>
      <c r="K563" s="140">
        <f>ROUND(IF(E563="alluminio",(I563)*3%,0)+IF(E563="alluminio smaltato",(I563)*3%,0),4)</f>
        <v>0</v>
      </c>
      <c r="L563" s="143">
        <f>ROUND((J563*C563)+(K563*C563),4)</f>
        <v>0</v>
      </c>
      <c r="M563" s="140"/>
      <c r="N563" s="140">
        <f>ROUND(+I563-H563,4)</f>
        <v>0</v>
      </c>
      <c r="O563" s="143">
        <f>ROUND(+(N563)*C563*50%,4)</f>
        <v>0</v>
      </c>
      <c r="P563" s="147">
        <f>ROUND(O563+L563,4)</f>
        <v>0</v>
      </c>
      <c r="Q563" s="80"/>
      <c r="R563" s="81"/>
      <c r="S563" s="84"/>
    </row>
    <row r="564" spans="1:19" x14ac:dyDescent="0.2">
      <c r="A564" s="47"/>
      <c r="B564" s="36"/>
      <c r="C564" s="138"/>
      <c r="D564" s="140"/>
      <c r="E564" s="48"/>
      <c r="F564" s="140"/>
      <c r="G564" s="140"/>
      <c r="H564" s="140">
        <f>ROUND(+D564+F564,4)</f>
        <v>0</v>
      </c>
      <c r="I564" s="140">
        <v>0</v>
      </c>
      <c r="J564" s="140">
        <v>0.03</v>
      </c>
      <c r="K564" s="140">
        <f>ROUND(IF(E564="alluminio",(I564)*3%,0)+IF(E564="alluminio smaltato",(I564)*3%,0),4)</f>
        <v>0</v>
      </c>
      <c r="L564" s="143">
        <f>ROUND((J564*C564)+(K564*C564),4)</f>
        <v>0</v>
      </c>
      <c r="M564" s="140"/>
      <c r="N564" s="140">
        <f>ROUND(+I564-H564,4)</f>
        <v>0</v>
      </c>
      <c r="O564" s="143">
        <f>ROUND(+(N564)*C564*50%,4)</f>
        <v>0</v>
      </c>
      <c r="P564" s="147">
        <f>ROUND(O564+L564,4)</f>
        <v>0</v>
      </c>
      <c r="Q564" s="80"/>
      <c r="R564" s="81"/>
      <c r="S564" s="84"/>
    </row>
    <row r="565" spans="1:19" x14ac:dyDescent="0.2">
      <c r="A565" s="47"/>
      <c r="B565" s="36"/>
      <c r="C565" s="138"/>
      <c r="D565" s="140"/>
      <c r="E565" s="48"/>
      <c r="F565" s="140"/>
      <c r="G565" s="140"/>
      <c r="H565" s="140">
        <f>ROUND(+D565+F565,4)</f>
        <v>0</v>
      </c>
      <c r="I565" s="140">
        <v>0</v>
      </c>
      <c r="J565" s="140">
        <v>0.03</v>
      </c>
      <c r="K565" s="140">
        <f>ROUND(IF(E565="alluminio",(I565)*3%,0)+IF(E565="alluminio smaltato",(I565)*3%,0),4)</f>
        <v>0</v>
      </c>
      <c r="L565" s="143">
        <f>ROUND((J565*C565)+(K565*C565),4)</f>
        <v>0</v>
      </c>
      <c r="M565" s="140"/>
      <c r="N565" s="140">
        <f>ROUND(+I565-H565,4)</f>
        <v>0</v>
      </c>
      <c r="O565" s="143">
        <f>ROUND(+(N565)*C565*50%,4)</f>
        <v>0</v>
      </c>
      <c r="P565" s="147">
        <f>ROUND(O565+L565,4)</f>
        <v>0</v>
      </c>
      <c r="Q565" s="80"/>
      <c r="R565" s="81"/>
      <c r="S565" s="84"/>
    </row>
    <row r="566" spans="1:19" x14ac:dyDescent="0.2">
      <c r="A566" s="47"/>
      <c r="B566" s="36"/>
      <c r="C566" s="138"/>
      <c r="D566" s="140"/>
      <c r="E566" s="48"/>
      <c r="F566" s="140"/>
      <c r="G566" s="140"/>
      <c r="H566" s="140">
        <f>ROUND(+D566+F566,4)</f>
        <v>0</v>
      </c>
      <c r="I566" s="140">
        <v>0</v>
      </c>
      <c r="J566" s="140">
        <v>0.03</v>
      </c>
      <c r="K566" s="140">
        <f>ROUND(IF(E566="alluminio",(I566)*3%,0)+IF(E566="alluminio smaltato",(I566)*3%,0),4)</f>
        <v>0</v>
      </c>
      <c r="L566" s="143">
        <f>ROUND((J566*C566)+(K566*C566),4)</f>
        <v>0</v>
      </c>
      <c r="M566" s="140"/>
      <c r="N566" s="140">
        <f>ROUND(+I566-H566,4)</f>
        <v>0</v>
      </c>
      <c r="O566" s="143">
        <f>ROUND(+(N566)*C566*50%,4)</f>
        <v>0</v>
      </c>
      <c r="P566" s="147">
        <f>ROUND(O566+L566,4)</f>
        <v>0</v>
      </c>
      <c r="Q566" s="80"/>
      <c r="R566" s="81"/>
      <c r="S566" s="84"/>
    </row>
    <row r="567" spans="1:19" x14ac:dyDescent="0.2">
      <c r="A567" s="47"/>
      <c r="B567" s="36"/>
      <c r="C567" s="138"/>
      <c r="D567" s="140"/>
      <c r="E567" s="48"/>
      <c r="F567" s="140"/>
      <c r="G567" s="140"/>
      <c r="H567" s="140">
        <f>ROUND(+D567+F567,4)</f>
        <v>0</v>
      </c>
      <c r="I567" s="140">
        <v>0</v>
      </c>
      <c r="J567" s="140">
        <v>0.03</v>
      </c>
      <c r="K567" s="140">
        <f>ROUND(IF(E567="alluminio",(I567)*3%,0)+IF(E567="alluminio smaltato",(I567)*3%,0),4)</f>
        <v>0</v>
      </c>
      <c r="L567" s="143">
        <f>ROUND((J567*C567)+(K567*C567),4)</f>
        <v>0</v>
      </c>
      <c r="M567" s="140"/>
      <c r="N567" s="140">
        <f>ROUND(+I567-H567,4)</f>
        <v>0</v>
      </c>
      <c r="O567" s="143">
        <f>ROUND(+(N567)*C567*50%,4)</f>
        <v>0</v>
      </c>
      <c r="P567" s="147">
        <f>ROUND(O567+L567,4)</f>
        <v>0</v>
      </c>
      <c r="Q567" s="80"/>
      <c r="R567" s="81"/>
      <c r="S567" s="84"/>
    </row>
    <row r="568" spans="1:19" x14ac:dyDescent="0.2">
      <c r="A568" s="47"/>
      <c r="B568" s="36"/>
      <c r="C568" s="138"/>
      <c r="D568" s="140"/>
      <c r="E568" s="48"/>
      <c r="F568" s="140"/>
      <c r="G568" s="140"/>
      <c r="H568" s="140">
        <f>ROUND(+D568+F568,4)</f>
        <v>0</v>
      </c>
      <c r="I568" s="140">
        <v>0</v>
      </c>
      <c r="J568" s="140">
        <v>0.03</v>
      </c>
      <c r="K568" s="140">
        <f>ROUND(IF(E568="alluminio",(I568)*3%,0)+IF(E568="alluminio smaltato",(I568)*3%,0),4)</f>
        <v>0</v>
      </c>
      <c r="L568" s="143">
        <f>ROUND((J568*C568)+(K568*C568),4)</f>
        <v>0</v>
      </c>
      <c r="M568" s="140"/>
      <c r="N568" s="140">
        <f>ROUND(+I568-H568,4)</f>
        <v>0</v>
      </c>
      <c r="O568" s="143">
        <f>ROUND(+(N568)*C568*50%,4)</f>
        <v>0</v>
      </c>
      <c r="P568" s="147">
        <f>ROUND(O568+L568,4)</f>
        <v>0</v>
      </c>
      <c r="Q568" s="80"/>
      <c r="R568" s="81"/>
      <c r="S568" s="84"/>
    </row>
    <row r="569" spans="1:19" x14ac:dyDescent="0.2">
      <c r="A569" s="47"/>
      <c r="B569" s="36"/>
      <c r="C569" s="138"/>
      <c r="D569" s="140"/>
      <c r="E569" s="48"/>
      <c r="F569" s="140"/>
      <c r="G569" s="140"/>
      <c r="H569" s="140">
        <f>ROUND(+D569+F569,4)</f>
        <v>0</v>
      </c>
      <c r="I569" s="140">
        <v>0</v>
      </c>
      <c r="J569" s="140">
        <v>0.03</v>
      </c>
      <c r="K569" s="140">
        <f>ROUND(IF(E569="alluminio",(I569)*3%,0)+IF(E569="alluminio smaltato",(I569)*3%,0),4)</f>
        <v>0</v>
      </c>
      <c r="L569" s="143">
        <f>ROUND((J569*C569)+(K569*C569),4)</f>
        <v>0</v>
      </c>
      <c r="M569" s="140"/>
      <c r="N569" s="140">
        <f>ROUND(+I569-H569,4)</f>
        <v>0</v>
      </c>
      <c r="O569" s="143">
        <f>ROUND(+(N569)*C569*50%,4)</f>
        <v>0</v>
      </c>
      <c r="P569" s="147">
        <f>ROUND(O569+L569,4)</f>
        <v>0</v>
      </c>
      <c r="Q569" s="80"/>
      <c r="R569" s="81"/>
      <c r="S569" s="84"/>
    </row>
    <row r="570" spans="1:19" x14ac:dyDescent="0.2">
      <c r="A570" s="47"/>
      <c r="B570" s="36"/>
      <c r="C570" s="138"/>
      <c r="D570" s="140"/>
      <c r="E570" s="48"/>
      <c r="F570" s="140"/>
      <c r="G570" s="140"/>
      <c r="H570" s="140">
        <f>ROUND(+D570+F570,4)</f>
        <v>0</v>
      </c>
      <c r="I570" s="140">
        <v>0</v>
      </c>
      <c r="J570" s="140">
        <v>0.03</v>
      </c>
      <c r="K570" s="140">
        <f>ROUND(IF(E570="alluminio",(I570)*3%,0)+IF(E570="alluminio smaltato",(I570)*3%,0),4)</f>
        <v>0</v>
      </c>
      <c r="L570" s="143">
        <f>ROUND((J570*C570)+(K570*C570),4)</f>
        <v>0</v>
      </c>
      <c r="M570" s="140"/>
      <c r="N570" s="140">
        <f>ROUND(+I570-H570,4)</f>
        <v>0</v>
      </c>
      <c r="O570" s="143">
        <f>ROUND(+(N570)*C570*50%,4)</f>
        <v>0</v>
      </c>
      <c r="P570" s="147">
        <f>ROUND(O570+L570,4)</f>
        <v>0</v>
      </c>
      <c r="Q570" s="80"/>
      <c r="R570" s="81"/>
      <c r="S570" s="84"/>
    </row>
    <row r="571" spans="1:19" x14ac:dyDescent="0.2">
      <c r="A571" s="47"/>
      <c r="B571" s="36"/>
      <c r="C571" s="138"/>
      <c r="D571" s="140"/>
      <c r="E571" s="48"/>
      <c r="F571" s="140"/>
      <c r="G571" s="140"/>
      <c r="H571" s="140">
        <f>ROUND(+D571+F571,4)</f>
        <v>0</v>
      </c>
      <c r="I571" s="140">
        <v>0</v>
      </c>
      <c r="J571" s="140">
        <v>0.03</v>
      </c>
      <c r="K571" s="140">
        <f>ROUND(IF(E571="alluminio",(I571)*3%,0)+IF(E571="alluminio smaltato",(I571)*3%,0),4)</f>
        <v>0</v>
      </c>
      <c r="L571" s="143">
        <f>ROUND((J571*C571)+(K571*C571),4)</f>
        <v>0</v>
      </c>
      <c r="M571" s="140"/>
      <c r="N571" s="140">
        <f>ROUND(+I571-H571,4)</f>
        <v>0</v>
      </c>
      <c r="O571" s="143">
        <f>ROUND(+(N571)*C571*50%,4)</f>
        <v>0</v>
      </c>
      <c r="P571" s="147">
        <f>ROUND(O571+L571,4)</f>
        <v>0</v>
      </c>
      <c r="Q571" s="80"/>
      <c r="R571" s="81"/>
      <c r="S571" s="84"/>
    </row>
    <row r="572" spans="1:19" x14ac:dyDescent="0.2">
      <c r="A572" s="47"/>
      <c r="B572" s="36"/>
      <c r="C572" s="138"/>
      <c r="D572" s="140"/>
      <c r="E572" s="48"/>
      <c r="F572" s="140"/>
      <c r="G572" s="140"/>
      <c r="H572" s="140">
        <f>ROUND(+D572+F572,4)</f>
        <v>0</v>
      </c>
      <c r="I572" s="140">
        <v>0</v>
      </c>
      <c r="J572" s="140">
        <v>0.03</v>
      </c>
      <c r="K572" s="140">
        <f>ROUND(IF(E572="alluminio",(I572)*3%,0)+IF(E572="alluminio smaltato",(I572)*3%,0),4)</f>
        <v>0</v>
      </c>
      <c r="L572" s="143">
        <f>ROUND((J572*C572)+(K572*C572),4)</f>
        <v>0</v>
      </c>
      <c r="M572" s="140"/>
      <c r="N572" s="140">
        <f>ROUND(+I572-H572,4)</f>
        <v>0</v>
      </c>
      <c r="O572" s="143">
        <f>ROUND(+(N572)*C572*50%,4)</f>
        <v>0</v>
      </c>
      <c r="P572" s="147">
        <f>ROUND(O572+L572,4)</f>
        <v>0</v>
      </c>
      <c r="Q572" s="80"/>
      <c r="R572" s="81"/>
      <c r="S572" s="84"/>
    </row>
    <row r="573" spans="1:19" x14ac:dyDescent="0.2">
      <c r="A573" s="47"/>
      <c r="B573" s="36"/>
      <c r="C573" s="138"/>
      <c r="D573" s="140"/>
      <c r="E573" s="48"/>
      <c r="F573" s="140"/>
      <c r="G573" s="140"/>
      <c r="H573" s="140">
        <f>ROUND(+D573+F573,4)</f>
        <v>0</v>
      </c>
      <c r="I573" s="140">
        <v>0</v>
      </c>
      <c r="J573" s="140">
        <v>0.03</v>
      </c>
      <c r="K573" s="140">
        <f>ROUND(IF(E573="alluminio",(I573)*3%,0)+IF(E573="alluminio smaltato",(I573)*3%,0),4)</f>
        <v>0</v>
      </c>
      <c r="L573" s="143">
        <f>ROUND((J573*C573)+(K573*C573),4)</f>
        <v>0</v>
      </c>
      <c r="M573" s="140"/>
      <c r="N573" s="140">
        <f>ROUND(+I573-H573,4)</f>
        <v>0</v>
      </c>
      <c r="O573" s="143">
        <f>ROUND(+(N573)*C573*50%,4)</f>
        <v>0</v>
      </c>
      <c r="P573" s="147">
        <f>ROUND(O573+L573,4)</f>
        <v>0</v>
      </c>
      <c r="Q573" s="80"/>
      <c r="R573" s="81"/>
      <c r="S573" s="84"/>
    </row>
    <row r="574" spans="1:19" x14ac:dyDescent="0.2">
      <c r="A574" s="47"/>
      <c r="B574" s="36"/>
      <c r="C574" s="138"/>
      <c r="D574" s="140"/>
      <c r="E574" s="48"/>
      <c r="F574" s="140"/>
      <c r="G574" s="140"/>
      <c r="H574" s="140">
        <f>ROUND(+D574+F574,4)</f>
        <v>0</v>
      </c>
      <c r="I574" s="140">
        <v>0</v>
      </c>
      <c r="J574" s="140">
        <v>0.03</v>
      </c>
      <c r="K574" s="140">
        <f>ROUND(IF(E574="alluminio",(I574)*3%,0)+IF(E574="alluminio smaltato",(I574)*3%,0),4)</f>
        <v>0</v>
      </c>
      <c r="L574" s="143">
        <f>ROUND((J574*C574)+(K574*C574),4)</f>
        <v>0</v>
      </c>
      <c r="M574" s="140"/>
      <c r="N574" s="140">
        <f>ROUND(+I574-H574,4)</f>
        <v>0</v>
      </c>
      <c r="O574" s="143">
        <f>ROUND(+(N574)*C574*50%,4)</f>
        <v>0</v>
      </c>
      <c r="P574" s="147">
        <f>ROUND(O574+L574,4)</f>
        <v>0</v>
      </c>
      <c r="Q574" s="80"/>
      <c r="R574" s="81"/>
      <c r="S574" s="84"/>
    </row>
    <row r="575" spans="1:19" x14ac:dyDescent="0.2">
      <c r="A575" s="47"/>
      <c r="B575" s="36"/>
      <c r="C575" s="138"/>
      <c r="D575" s="140"/>
      <c r="E575" s="48"/>
      <c r="F575" s="140"/>
      <c r="G575" s="140"/>
      <c r="H575" s="140">
        <f>ROUND(+D575+F575,4)</f>
        <v>0</v>
      </c>
      <c r="I575" s="140">
        <v>0</v>
      </c>
      <c r="J575" s="140">
        <v>0.03</v>
      </c>
      <c r="K575" s="140">
        <f>ROUND(IF(E575="alluminio",(I575)*3%,0)+IF(E575="alluminio smaltato",(I575)*3%,0),4)</f>
        <v>0</v>
      </c>
      <c r="L575" s="143">
        <f>ROUND((J575*C575)+(K575*C575),4)</f>
        <v>0</v>
      </c>
      <c r="M575" s="140"/>
      <c r="N575" s="140">
        <f>ROUND(+I575-H575,4)</f>
        <v>0</v>
      </c>
      <c r="O575" s="143">
        <f>ROUND(+(N575)*C575*50%,4)</f>
        <v>0</v>
      </c>
      <c r="P575" s="147">
        <f>ROUND(O575+L575,4)</f>
        <v>0</v>
      </c>
      <c r="Q575" s="80"/>
      <c r="R575" s="81"/>
      <c r="S575" s="84"/>
    </row>
    <row r="576" spans="1:19" x14ac:dyDescent="0.2">
      <c r="A576" s="47"/>
      <c r="B576" s="36"/>
      <c r="C576" s="138"/>
      <c r="D576" s="140"/>
      <c r="E576" s="48"/>
      <c r="F576" s="140"/>
      <c r="G576" s="140"/>
      <c r="H576" s="140">
        <f>ROUND(+D576+F576,4)</f>
        <v>0</v>
      </c>
      <c r="I576" s="140">
        <v>0</v>
      </c>
      <c r="J576" s="140">
        <v>0.03</v>
      </c>
      <c r="K576" s="140">
        <f>ROUND(IF(E576="alluminio",(I576)*3%,0)+IF(E576="alluminio smaltato",(I576)*3%,0),4)</f>
        <v>0</v>
      </c>
      <c r="L576" s="143">
        <f>ROUND((J576*C576)+(K576*C576),4)</f>
        <v>0</v>
      </c>
      <c r="M576" s="140"/>
      <c r="N576" s="140">
        <f>ROUND(+I576-H576,4)</f>
        <v>0</v>
      </c>
      <c r="O576" s="143">
        <f>ROUND(+(N576)*C576*50%,4)</f>
        <v>0</v>
      </c>
      <c r="P576" s="147">
        <f>ROUND(O576+L576,4)</f>
        <v>0</v>
      </c>
      <c r="Q576" s="80"/>
      <c r="R576" s="81"/>
      <c r="S576" s="84"/>
    </row>
    <row r="577" spans="1:19" x14ac:dyDescent="0.2">
      <c r="A577" s="47"/>
      <c r="B577" s="36"/>
      <c r="C577" s="138"/>
      <c r="D577" s="140"/>
      <c r="E577" s="48"/>
      <c r="F577" s="140"/>
      <c r="G577" s="140"/>
      <c r="H577" s="140">
        <f>ROUND(+D577+F577,4)</f>
        <v>0</v>
      </c>
      <c r="I577" s="140">
        <v>0</v>
      </c>
      <c r="J577" s="140">
        <v>0.03</v>
      </c>
      <c r="K577" s="140">
        <f>ROUND(IF(E577="alluminio",(I577)*3%,0)+IF(E577="alluminio smaltato",(I577)*3%,0),4)</f>
        <v>0</v>
      </c>
      <c r="L577" s="143">
        <f>ROUND((J577*C577)+(K577*C577),4)</f>
        <v>0</v>
      </c>
      <c r="M577" s="140"/>
      <c r="N577" s="140">
        <f>ROUND(+I577-H577,4)</f>
        <v>0</v>
      </c>
      <c r="O577" s="143">
        <f>ROUND(+(N577)*C577*50%,4)</f>
        <v>0</v>
      </c>
      <c r="P577" s="147">
        <f>ROUND(O577+L577,4)</f>
        <v>0</v>
      </c>
      <c r="Q577" s="80"/>
      <c r="R577" s="81"/>
      <c r="S577" s="84"/>
    </row>
    <row r="578" spans="1:19" x14ac:dyDescent="0.2">
      <c r="A578" s="47"/>
      <c r="B578" s="36"/>
      <c r="C578" s="138"/>
      <c r="D578" s="140"/>
      <c r="E578" s="48"/>
      <c r="F578" s="140"/>
      <c r="G578" s="140"/>
      <c r="H578" s="140">
        <f>ROUND(+D578+F578,4)</f>
        <v>0</v>
      </c>
      <c r="I578" s="140">
        <v>0</v>
      </c>
      <c r="J578" s="140">
        <v>0.03</v>
      </c>
      <c r="K578" s="140">
        <f>ROUND(IF(E578="alluminio",(I578)*3%,0)+IF(E578="alluminio smaltato",(I578)*3%,0),4)</f>
        <v>0</v>
      </c>
      <c r="L578" s="143">
        <f>ROUND((J578*C578)+(K578*C578),4)</f>
        <v>0</v>
      </c>
      <c r="M578" s="140"/>
      <c r="N578" s="140">
        <f>ROUND(+I578-H578,4)</f>
        <v>0</v>
      </c>
      <c r="O578" s="143">
        <f>ROUND(+(N578)*C578*50%,4)</f>
        <v>0</v>
      </c>
      <c r="P578" s="147">
        <f>ROUND(O578+L578,4)</f>
        <v>0</v>
      </c>
      <c r="Q578" s="80"/>
      <c r="R578" s="81"/>
      <c r="S578" s="84"/>
    </row>
    <row r="579" spans="1:19" x14ac:dyDescent="0.2">
      <c r="A579" s="47"/>
      <c r="B579" s="36"/>
      <c r="C579" s="138"/>
      <c r="D579" s="140"/>
      <c r="E579" s="48"/>
      <c r="F579" s="140"/>
      <c r="G579" s="140"/>
      <c r="H579" s="140">
        <f>ROUND(+D579+F579,4)</f>
        <v>0</v>
      </c>
      <c r="I579" s="140">
        <v>0</v>
      </c>
      <c r="J579" s="140">
        <v>0.03</v>
      </c>
      <c r="K579" s="140">
        <f>ROUND(IF(E579="alluminio",(I579)*3%,0)+IF(E579="alluminio smaltato",(I579)*3%,0),4)</f>
        <v>0</v>
      </c>
      <c r="L579" s="143">
        <f>ROUND((J579*C579)+(K579*C579),4)</f>
        <v>0</v>
      </c>
      <c r="M579" s="140"/>
      <c r="N579" s="140">
        <f>ROUND(+I579-H579,4)</f>
        <v>0</v>
      </c>
      <c r="O579" s="143">
        <f>ROUND(+(N579)*C579*50%,4)</f>
        <v>0</v>
      </c>
      <c r="P579" s="147">
        <f>ROUND(O579+L579,4)</f>
        <v>0</v>
      </c>
      <c r="Q579" s="80"/>
      <c r="R579" s="81"/>
      <c r="S579" s="84"/>
    </row>
    <row r="580" spans="1:19" x14ac:dyDescent="0.2">
      <c r="A580" s="47"/>
      <c r="B580" s="36"/>
      <c r="C580" s="138"/>
      <c r="D580" s="140"/>
      <c r="E580" s="48"/>
      <c r="F580" s="140"/>
      <c r="G580" s="140"/>
      <c r="H580" s="140">
        <f>ROUND(+D580+F580,4)</f>
        <v>0</v>
      </c>
      <c r="I580" s="140">
        <v>0</v>
      </c>
      <c r="J580" s="140">
        <v>0.03</v>
      </c>
      <c r="K580" s="140">
        <f>ROUND(IF(E580="alluminio",(I580)*3%,0)+IF(E580="alluminio smaltato",(I580)*3%,0),4)</f>
        <v>0</v>
      </c>
      <c r="L580" s="143">
        <f>ROUND((J580*C580)+(K580*C580),4)</f>
        <v>0</v>
      </c>
      <c r="M580" s="140"/>
      <c r="N580" s="140">
        <f>ROUND(+I580-H580,4)</f>
        <v>0</v>
      </c>
      <c r="O580" s="143">
        <f>ROUND(+(N580)*C580*50%,4)</f>
        <v>0</v>
      </c>
      <c r="P580" s="147">
        <f>ROUND(O580+L580,4)</f>
        <v>0</v>
      </c>
      <c r="Q580" s="80"/>
      <c r="R580" s="81"/>
      <c r="S580" s="84"/>
    </row>
    <row r="581" spans="1:19" x14ac:dyDescent="0.2">
      <c r="A581" s="47"/>
      <c r="B581" s="36"/>
      <c r="C581" s="138"/>
      <c r="D581" s="140"/>
      <c r="E581" s="48"/>
      <c r="F581" s="140"/>
      <c r="G581" s="140"/>
      <c r="H581" s="140">
        <f>ROUND(+D581+F581,4)</f>
        <v>0</v>
      </c>
      <c r="I581" s="140">
        <v>0</v>
      </c>
      <c r="J581" s="140">
        <v>0.03</v>
      </c>
      <c r="K581" s="140">
        <f>ROUND(IF(E581="alluminio",(I581)*3%,0)+IF(E581="alluminio smaltato",(I581)*3%,0),4)</f>
        <v>0</v>
      </c>
      <c r="L581" s="143">
        <f>ROUND((J581*C581)+(K581*C581),4)</f>
        <v>0</v>
      </c>
      <c r="M581" s="140"/>
      <c r="N581" s="140">
        <f>ROUND(+I581-H581,4)</f>
        <v>0</v>
      </c>
      <c r="O581" s="143">
        <f>ROUND(+(N581)*C581*50%,4)</f>
        <v>0</v>
      </c>
      <c r="P581" s="147">
        <f>ROUND(O581+L581,4)</f>
        <v>0</v>
      </c>
      <c r="Q581" s="80"/>
      <c r="R581" s="81"/>
      <c r="S581" s="84"/>
    </row>
    <row r="582" spans="1:19" x14ac:dyDescent="0.2">
      <c r="A582" s="47"/>
      <c r="B582" s="36"/>
      <c r="C582" s="138"/>
      <c r="D582" s="140"/>
      <c r="E582" s="48"/>
      <c r="F582" s="140"/>
      <c r="G582" s="140"/>
      <c r="H582" s="140">
        <f>ROUND(+D582+F582,4)</f>
        <v>0</v>
      </c>
      <c r="I582" s="140">
        <v>0</v>
      </c>
      <c r="J582" s="140">
        <v>0.03</v>
      </c>
      <c r="K582" s="140">
        <f>ROUND(IF(E582="alluminio",(I582)*3%,0)+IF(E582="alluminio smaltato",(I582)*3%,0),4)</f>
        <v>0</v>
      </c>
      <c r="L582" s="143">
        <f>ROUND((J582*C582)+(K582*C582),4)</f>
        <v>0</v>
      </c>
      <c r="M582" s="140"/>
      <c r="N582" s="140">
        <f>ROUND(+I582-H582,4)</f>
        <v>0</v>
      </c>
      <c r="O582" s="143">
        <f>ROUND(+(N582)*C582*50%,4)</f>
        <v>0</v>
      </c>
      <c r="P582" s="147">
        <f>ROUND(O582+L582,4)</f>
        <v>0</v>
      </c>
      <c r="Q582" s="80"/>
      <c r="R582" s="81"/>
      <c r="S582" s="84"/>
    </row>
    <row r="583" spans="1:19" x14ac:dyDescent="0.2">
      <c r="A583" s="47"/>
      <c r="B583" s="36"/>
      <c r="C583" s="138"/>
      <c r="D583" s="140"/>
      <c r="E583" s="48"/>
      <c r="F583" s="140"/>
      <c r="G583" s="140"/>
      <c r="H583" s="140">
        <f>ROUND(+D583+F583,4)</f>
        <v>0</v>
      </c>
      <c r="I583" s="140">
        <v>0</v>
      </c>
      <c r="J583" s="140">
        <v>0.03</v>
      </c>
      <c r="K583" s="140">
        <f>ROUND(IF(E583="alluminio",(I583)*3%,0)+IF(E583="alluminio smaltato",(I583)*3%,0),4)</f>
        <v>0</v>
      </c>
      <c r="L583" s="143">
        <f>ROUND((J583*C583)+(K583*C583),4)</f>
        <v>0</v>
      </c>
      <c r="M583" s="140"/>
      <c r="N583" s="140">
        <f>ROUND(+I583-H583,4)</f>
        <v>0</v>
      </c>
      <c r="O583" s="143">
        <f>ROUND(+(N583)*C583*50%,4)</f>
        <v>0</v>
      </c>
      <c r="P583" s="147">
        <f>ROUND(O583+L583,4)</f>
        <v>0</v>
      </c>
      <c r="Q583" s="80"/>
      <c r="R583" s="81"/>
      <c r="S583" s="84"/>
    </row>
    <row r="584" spans="1:19" x14ac:dyDescent="0.2">
      <c r="A584" s="47"/>
      <c r="B584" s="36"/>
      <c r="C584" s="138"/>
      <c r="D584" s="140"/>
      <c r="E584" s="48"/>
      <c r="F584" s="140"/>
      <c r="G584" s="140"/>
      <c r="H584" s="140">
        <f>ROUND(+D584+F584,4)</f>
        <v>0</v>
      </c>
      <c r="I584" s="140">
        <v>0</v>
      </c>
      <c r="J584" s="140">
        <v>0.03</v>
      </c>
      <c r="K584" s="140">
        <f>ROUND(IF(E584="alluminio",(I584)*3%,0)+IF(E584="alluminio smaltato",(I584)*3%,0),4)</f>
        <v>0</v>
      </c>
      <c r="L584" s="143">
        <f>ROUND((J584*C584)+(K584*C584),4)</f>
        <v>0</v>
      </c>
      <c r="M584" s="140"/>
      <c r="N584" s="140">
        <f>ROUND(+I584-H584,4)</f>
        <v>0</v>
      </c>
      <c r="O584" s="143">
        <f>ROUND(+(N584)*C584*50%,4)</f>
        <v>0</v>
      </c>
      <c r="P584" s="147">
        <f>ROUND(O584+L584,4)</f>
        <v>0</v>
      </c>
      <c r="Q584" s="80"/>
      <c r="R584" s="81"/>
      <c r="S584" s="84"/>
    </row>
    <row r="585" spans="1:19" x14ac:dyDescent="0.2">
      <c r="A585" s="47"/>
      <c r="B585" s="36"/>
      <c r="C585" s="138"/>
      <c r="D585" s="140"/>
      <c r="E585" s="48"/>
      <c r="F585" s="140"/>
      <c r="G585" s="140"/>
      <c r="H585" s="140">
        <f>ROUND(+D585+F585,4)</f>
        <v>0</v>
      </c>
      <c r="I585" s="140">
        <v>0</v>
      </c>
      <c r="J585" s="140">
        <v>0.03</v>
      </c>
      <c r="K585" s="140">
        <f>ROUND(IF(E585="alluminio",(I585)*3%,0)+IF(E585="alluminio smaltato",(I585)*3%,0),4)</f>
        <v>0</v>
      </c>
      <c r="L585" s="143">
        <f>ROUND((J585*C585)+(K585*C585),4)</f>
        <v>0</v>
      </c>
      <c r="M585" s="140"/>
      <c r="N585" s="140">
        <f>ROUND(+I585-H585,4)</f>
        <v>0</v>
      </c>
      <c r="O585" s="143">
        <f>ROUND(+(N585)*C585*50%,4)</f>
        <v>0</v>
      </c>
      <c r="P585" s="147">
        <f>ROUND(O585+L585,4)</f>
        <v>0</v>
      </c>
      <c r="Q585" s="80"/>
      <c r="R585" s="81"/>
      <c r="S585" s="84"/>
    </row>
    <row r="586" spans="1:19" x14ac:dyDescent="0.2">
      <c r="A586" s="47"/>
      <c r="B586" s="36"/>
      <c r="C586" s="138"/>
      <c r="D586" s="140"/>
      <c r="E586" s="48"/>
      <c r="F586" s="140"/>
      <c r="G586" s="140"/>
      <c r="H586" s="140">
        <f>ROUND(+D586+F586,4)</f>
        <v>0</v>
      </c>
      <c r="I586" s="140">
        <v>0</v>
      </c>
      <c r="J586" s="140">
        <v>0.03</v>
      </c>
      <c r="K586" s="140">
        <f>ROUND(IF(E586="alluminio",(I586)*3%,0)+IF(E586="alluminio smaltato",(I586)*3%,0),4)</f>
        <v>0</v>
      </c>
      <c r="L586" s="143">
        <f>ROUND((J586*C586)+(K586*C586),4)</f>
        <v>0</v>
      </c>
      <c r="M586" s="140"/>
      <c r="N586" s="140">
        <f>ROUND(+I586-H586,4)</f>
        <v>0</v>
      </c>
      <c r="O586" s="143">
        <f>ROUND(+(N586)*C586*50%,4)</f>
        <v>0</v>
      </c>
      <c r="P586" s="147">
        <f>ROUND(O586+L586,4)</f>
        <v>0</v>
      </c>
      <c r="Q586" s="80"/>
      <c r="R586" s="81"/>
      <c r="S586" s="84"/>
    </row>
    <row r="587" spans="1:19" x14ac:dyDescent="0.2">
      <c r="A587" s="47"/>
      <c r="B587" s="36"/>
      <c r="C587" s="138"/>
      <c r="D587" s="140"/>
      <c r="E587" s="48"/>
      <c r="F587" s="140"/>
      <c r="G587" s="140"/>
      <c r="H587" s="140">
        <f>ROUND(+D587+F587,4)</f>
        <v>0</v>
      </c>
      <c r="I587" s="140">
        <v>0</v>
      </c>
      <c r="J587" s="140">
        <v>0.03</v>
      </c>
      <c r="K587" s="140">
        <f>ROUND(IF(E587="alluminio",(I587)*3%,0)+IF(E587="alluminio smaltato",(I587)*3%,0),4)</f>
        <v>0</v>
      </c>
      <c r="L587" s="143">
        <f>ROUND((J587*C587)+(K587*C587),4)</f>
        <v>0</v>
      </c>
      <c r="M587" s="140"/>
      <c r="N587" s="140">
        <f>ROUND(+I587-H587,4)</f>
        <v>0</v>
      </c>
      <c r="O587" s="143">
        <f>ROUND(+(N587)*C587*50%,4)</f>
        <v>0</v>
      </c>
      <c r="P587" s="147">
        <f>ROUND(O587+L587,4)</f>
        <v>0</v>
      </c>
      <c r="Q587" s="80"/>
      <c r="R587" s="81"/>
      <c r="S587" s="84"/>
    </row>
    <row r="588" spans="1:19" x14ac:dyDescent="0.2">
      <c r="A588" s="47"/>
      <c r="B588" s="36"/>
      <c r="C588" s="138"/>
      <c r="D588" s="140"/>
      <c r="E588" s="48"/>
      <c r="F588" s="140"/>
      <c r="G588" s="140"/>
      <c r="H588" s="140">
        <f>ROUND(+D588+F588,4)</f>
        <v>0</v>
      </c>
      <c r="I588" s="140">
        <v>0</v>
      </c>
      <c r="J588" s="140">
        <v>0.03</v>
      </c>
      <c r="K588" s="140">
        <f>ROUND(IF(E588="alluminio",(I588)*3%,0)+IF(E588="alluminio smaltato",(I588)*3%,0),4)</f>
        <v>0</v>
      </c>
      <c r="L588" s="143">
        <f>ROUND((J588*C588)+(K588*C588),4)</f>
        <v>0</v>
      </c>
      <c r="M588" s="140"/>
      <c r="N588" s="140">
        <f>ROUND(+I588-H588,4)</f>
        <v>0</v>
      </c>
      <c r="O588" s="143">
        <f>ROUND(+(N588)*C588*50%,4)</f>
        <v>0</v>
      </c>
      <c r="P588" s="147">
        <f>ROUND(O588+L588,4)</f>
        <v>0</v>
      </c>
      <c r="Q588" s="80"/>
      <c r="R588" s="81"/>
      <c r="S588" s="84"/>
    </row>
    <row r="589" spans="1:19" x14ac:dyDescent="0.2">
      <c r="A589" s="47"/>
      <c r="B589" s="36"/>
      <c r="C589" s="138"/>
      <c r="D589" s="140"/>
      <c r="E589" s="48"/>
      <c r="F589" s="140"/>
      <c r="G589" s="140"/>
      <c r="H589" s="140">
        <f>ROUND(+D589+F589,4)</f>
        <v>0</v>
      </c>
      <c r="I589" s="140">
        <v>0</v>
      </c>
      <c r="J589" s="140">
        <v>0.03</v>
      </c>
      <c r="K589" s="140">
        <f>ROUND(IF(E589="alluminio",(I589)*3%,0)+IF(E589="alluminio smaltato",(I589)*3%,0),4)</f>
        <v>0</v>
      </c>
      <c r="L589" s="143">
        <f>ROUND((J589*C589)+(K589*C589),4)</f>
        <v>0</v>
      </c>
      <c r="M589" s="140"/>
      <c r="N589" s="140">
        <f>ROUND(+I589-H589,4)</f>
        <v>0</v>
      </c>
      <c r="O589" s="143">
        <f>ROUND(+(N589)*C589*50%,4)</f>
        <v>0</v>
      </c>
      <c r="P589" s="147">
        <f>ROUND(O589+L589,4)</f>
        <v>0</v>
      </c>
      <c r="Q589" s="80"/>
      <c r="R589" s="81"/>
      <c r="S589" s="84"/>
    </row>
    <row r="590" spans="1:19" x14ac:dyDescent="0.2">
      <c r="A590" s="47"/>
      <c r="B590" s="36"/>
      <c r="C590" s="138"/>
      <c r="D590" s="140"/>
      <c r="E590" s="48"/>
      <c r="F590" s="140"/>
      <c r="G590" s="140"/>
      <c r="H590" s="140">
        <f>ROUND(+D590+F590,4)</f>
        <v>0</v>
      </c>
      <c r="I590" s="140">
        <v>0</v>
      </c>
      <c r="J590" s="140">
        <v>0.03</v>
      </c>
      <c r="K590" s="140">
        <f>ROUND(IF(E590="alluminio",(I590)*3%,0)+IF(E590="alluminio smaltato",(I590)*3%,0),4)</f>
        <v>0</v>
      </c>
      <c r="L590" s="143">
        <f>ROUND((J590*C590)+(K590*C590),4)</f>
        <v>0</v>
      </c>
      <c r="M590" s="140"/>
      <c r="N590" s="140">
        <f>ROUND(+I590-H590,4)</f>
        <v>0</v>
      </c>
      <c r="O590" s="143">
        <f>ROUND(+(N590)*C590*50%,4)</f>
        <v>0</v>
      </c>
      <c r="P590" s="147">
        <f>ROUND(O590+L590,4)</f>
        <v>0</v>
      </c>
      <c r="Q590" s="80"/>
      <c r="R590" s="81"/>
      <c r="S590" s="84"/>
    </row>
    <row r="591" spans="1:19" x14ac:dyDescent="0.2">
      <c r="A591" s="47"/>
      <c r="B591" s="36"/>
      <c r="C591" s="138"/>
      <c r="D591" s="140"/>
      <c r="E591" s="48"/>
      <c r="F591" s="140"/>
      <c r="G591" s="140"/>
      <c r="H591" s="140">
        <f>ROUND(+D591+F591,4)</f>
        <v>0</v>
      </c>
      <c r="I591" s="140">
        <v>0</v>
      </c>
      <c r="J591" s="140">
        <v>0.03</v>
      </c>
      <c r="K591" s="140">
        <f>ROUND(IF(E591="alluminio",(I591)*3%,0)+IF(E591="alluminio smaltato",(I591)*3%,0),4)</f>
        <v>0</v>
      </c>
      <c r="L591" s="143">
        <f>ROUND((J591*C591)+(K591*C591),4)</f>
        <v>0</v>
      </c>
      <c r="M591" s="140"/>
      <c r="N591" s="140">
        <f>ROUND(+I591-H591,4)</f>
        <v>0</v>
      </c>
      <c r="O591" s="143">
        <f>ROUND(+(N591)*C591*50%,4)</f>
        <v>0</v>
      </c>
      <c r="P591" s="147">
        <f>ROUND(O591+L591,4)</f>
        <v>0</v>
      </c>
      <c r="Q591" s="80"/>
      <c r="R591" s="81"/>
      <c r="S591" s="84"/>
    </row>
    <row r="592" spans="1:19" x14ac:dyDescent="0.2">
      <c r="A592" s="47"/>
      <c r="B592" s="36"/>
      <c r="C592" s="138"/>
      <c r="D592" s="140"/>
      <c r="E592" s="48"/>
      <c r="F592" s="140"/>
      <c r="G592" s="140"/>
      <c r="H592" s="140">
        <f>ROUND(+D592+F592,4)</f>
        <v>0</v>
      </c>
      <c r="I592" s="140">
        <v>0</v>
      </c>
      <c r="J592" s="140">
        <v>0.03</v>
      </c>
      <c r="K592" s="140">
        <f>ROUND(IF(E592="alluminio",(I592)*3%,0)+IF(E592="alluminio smaltato",(I592)*3%,0),4)</f>
        <v>0</v>
      </c>
      <c r="L592" s="143">
        <f>ROUND((J592*C592)+(K592*C592),4)</f>
        <v>0</v>
      </c>
      <c r="M592" s="140"/>
      <c r="N592" s="140">
        <f>ROUND(+I592-H592,4)</f>
        <v>0</v>
      </c>
      <c r="O592" s="143">
        <f>ROUND(+(N592)*C592*50%,4)</f>
        <v>0</v>
      </c>
      <c r="P592" s="147">
        <f>ROUND(O592+L592,4)</f>
        <v>0</v>
      </c>
      <c r="Q592" s="80"/>
      <c r="R592" s="81"/>
      <c r="S592" s="84"/>
    </row>
    <row r="593" spans="1:19" x14ac:dyDescent="0.2">
      <c r="A593" s="47"/>
      <c r="B593" s="36"/>
      <c r="C593" s="138"/>
      <c r="D593" s="140"/>
      <c r="E593" s="48"/>
      <c r="F593" s="140"/>
      <c r="G593" s="140"/>
      <c r="H593" s="140">
        <f>ROUND(+D593+F593,4)</f>
        <v>0</v>
      </c>
      <c r="I593" s="140">
        <v>0</v>
      </c>
      <c r="J593" s="140">
        <v>0.03</v>
      </c>
      <c r="K593" s="140">
        <f>ROUND(IF(E593="alluminio",(I593)*3%,0)+IF(E593="alluminio smaltato",(I593)*3%,0),4)</f>
        <v>0</v>
      </c>
      <c r="L593" s="143">
        <f>ROUND((J593*C593)+(K593*C593),4)</f>
        <v>0</v>
      </c>
      <c r="M593" s="140"/>
      <c r="N593" s="140">
        <f>ROUND(+I593-H593,4)</f>
        <v>0</v>
      </c>
      <c r="O593" s="143">
        <f>ROUND(+(N593)*C593*50%,4)</f>
        <v>0</v>
      </c>
      <c r="P593" s="147">
        <f>ROUND(O593+L593,4)</f>
        <v>0</v>
      </c>
      <c r="Q593" s="80"/>
      <c r="R593" s="81"/>
      <c r="S593" s="84"/>
    </row>
    <row r="594" spans="1:19" x14ac:dyDescent="0.2">
      <c r="A594" s="47"/>
      <c r="B594" s="36"/>
      <c r="C594" s="138"/>
      <c r="D594" s="140"/>
      <c r="E594" s="48"/>
      <c r="F594" s="140"/>
      <c r="G594" s="140"/>
      <c r="H594" s="140">
        <f>ROUND(+D594+F594,4)</f>
        <v>0</v>
      </c>
      <c r="I594" s="140">
        <v>0</v>
      </c>
      <c r="J594" s="140">
        <v>0.03</v>
      </c>
      <c r="K594" s="140">
        <f>ROUND(IF(E594="alluminio",(I594)*3%,0)+IF(E594="alluminio smaltato",(I594)*3%,0),4)</f>
        <v>0</v>
      </c>
      <c r="L594" s="143">
        <f>ROUND((J594*C594)+(K594*C594),4)</f>
        <v>0</v>
      </c>
      <c r="M594" s="140"/>
      <c r="N594" s="140">
        <f>ROUND(+I594-H594,4)</f>
        <v>0</v>
      </c>
      <c r="O594" s="143">
        <f>ROUND(+(N594)*C594*50%,4)</f>
        <v>0</v>
      </c>
      <c r="P594" s="147">
        <f>ROUND(O594+L594,4)</f>
        <v>0</v>
      </c>
      <c r="Q594" s="80"/>
      <c r="R594" s="81"/>
      <c r="S594" s="84"/>
    </row>
    <row r="595" spans="1:19" x14ac:dyDescent="0.2">
      <c r="A595" s="47"/>
      <c r="B595" s="36"/>
      <c r="C595" s="138"/>
      <c r="D595" s="140"/>
      <c r="E595" s="48"/>
      <c r="F595" s="140"/>
      <c r="G595" s="140"/>
      <c r="H595" s="140">
        <f>ROUND(+D595+F595,4)</f>
        <v>0</v>
      </c>
      <c r="I595" s="140">
        <v>0</v>
      </c>
      <c r="J595" s="140">
        <v>0.03</v>
      </c>
      <c r="K595" s="140">
        <f>ROUND(IF(E595="alluminio",(I595)*3%,0)+IF(E595="alluminio smaltato",(I595)*3%,0),4)</f>
        <v>0</v>
      </c>
      <c r="L595" s="143">
        <f>ROUND((J595*C595)+(K595*C595),4)</f>
        <v>0</v>
      </c>
      <c r="M595" s="140"/>
      <c r="N595" s="140">
        <f>ROUND(+I595-H595,4)</f>
        <v>0</v>
      </c>
      <c r="O595" s="143">
        <f>ROUND(+(N595)*C595*50%,4)</f>
        <v>0</v>
      </c>
      <c r="P595" s="147">
        <f>ROUND(O595+L595,4)</f>
        <v>0</v>
      </c>
      <c r="Q595" s="80"/>
      <c r="R595" s="81"/>
      <c r="S595" s="84"/>
    </row>
    <row r="596" spans="1:19" x14ac:dyDescent="0.2">
      <c r="A596" s="47"/>
      <c r="B596" s="36"/>
      <c r="C596" s="138"/>
      <c r="D596" s="140"/>
      <c r="E596" s="48"/>
      <c r="F596" s="140"/>
      <c r="G596" s="140"/>
      <c r="H596" s="140">
        <f>ROUND(+D596+F596,4)</f>
        <v>0</v>
      </c>
      <c r="I596" s="140">
        <v>0</v>
      </c>
      <c r="J596" s="140">
        <v>0.03</v>
      </c>
      <c r="K596" s="140">
        <f>ROUND(IF(E596="alluminio",(I596)*3%,0)+IF(E596="alluminio smaltato",(I596)*3%,0),4)</f>
        <v>0</v>
      </c>
      <c r="L596" s="143">
        <f>ROUND((J596*C596)+(K596*C596),4)</f>
        <v>0</v>
      </c>
      <c r="M596" s="140"/>
      <c r="N596" s="140">
        <f>ROUND(+I596-H596,4)</f>
        <v>0</v>
      </c>
      <c r="O596" s="143">
        <f>ROUND(+(N596)*C596*50%,4)</f>
        <v>0</v>
      </c>
      <c r="P596" s="147">
        <f>ROUND(O596+L596,4)</f>
        <v>0</v>
      </c>
      <c r="Q596" s="80"/>
      <c r="R596" s="81"/>
      <c r="S596" s="84"/>
    </row>
    <row r="597" spans="1:19" x14ac:dyDescent="0.2">
      <c r="A597" s="47"/>
      <c r="B597" s="36"/>
      <c r="C597" s="138"/>
      <c r="D597" s="140"/>
      <c r="E597" s="48"/>
      <c r="F597" s="140"/>
      <c r="G597" s="140"/>
      <c r="H597" s="140">
        <f>ROUND(+D597+F597,4)</f>
        <v>0</v>
      </c>
      <c r="I597" s="140">
        <v>0</v>
      </c>
      <c r="J597" s="140">
        <v>0.03</v>
      </c>
      <c r="K597" s="140">
        <f>ROUND(IF(E597="alluminio",(I597)*3%,0)+IF(E597="alluminio smaltato",(I597)*3%,0),4)</f>
        <v>0</v>
      </c>
      <c r="L597" s="143">
        <f>ROUND((J597*C597)+(K597*C597),4)</f>
        <v>0</v>
      </c>
      <c r="M597" s="140"/>
      <c r="N597" s="140">
        <f>ROUND(+I597-H597,4)</f>
        <v>0</v>
      </c>
      <c r="O597" s="143">
        <f>ROUND(+(N597)*C597*50%,4)</f>
        <v>0</v>
      </c>
      <c r="P597" s="147">
        <f>ROUND(O597+L597,4)</f>
        <v>0</v>
      </c>
      <c r="Q597" s="80"/>
      <c r="R597" s="81"/>
      <c r="S597" s="84"/>
    </row>
    <row r="598" spans="1:19" x14ac:dyDescent="0.2">
      <c r="A598" s="47"/>
      <c r="B598" s="36"/>
      <c r="C598" s="138"/>
      <c r="D598" s="140"/>
      <c r="E598" s="48"/>
      <c r="F598" s="140"/>
      <c r="G598" s="140"/>
      <c r="H598" s="140">
        <f>ROUND(+D598+F598,4)</f>
        <v>0</v>
      </c>
      <c r="I598" s="140">
        <v>0</v>
      </c>
      <c r="J598" s="140">
        <v>0.03</v>
      </c>
      <c r="K598" s="140">
        <f>ROUND(IF(E598="alluminio",(I598)*3%,0)+IF(E598="alluminio smaltato",(I598)*3%,0),4)</f>
        <v>0</v>
      </c>
      <c r="L598" s="143">
        <f>ROUND((J598*C598)+(K598*C598),4)</f>
        <v>0</v>
      </c>
      <c r="M598" s="140"/>
      <c r="N598" s="140">
        <f>ROUND(+I598-H598,4)</f>
        <v>0</v>
      </c>
      <c r="O598" s="143">
        <f>ROUND(+(N598)*C598*50%,4)</f>
        <v>0</v>
      </c>
      <c r="P598" s="147">
        <f>ROUND(O598+L598,4)</f>
        <v>0</v>
      </c>
      <c r="Q598" s="80"/>
      <c r="R598" s="81"/>
      <c r="S598" s="84"/>
    </row>
    <row r="599" spans="1:19" x14ac:dyDescent="0.2">
      <c r="A599" s="47"/>
      <c r="B599" s="36"/>
      <c r="C599" s="138"/>
      <c r="D599" s="140"/>
      <c r="E599" s="48"/>
      <c r="F599" s="140"/>
      <c r="G599" s="140"/>
      <c r="H599" s="140">
        <f>ROUND(+D599+F599,4)</f>
        <v>0</v>
      </c>
      <c r="I599" s="140">
        <v>0</v>
      </c>
      <c r="J599" s="140">
        <v>0.03</v>
      </c>
      <c r="K599" s="140">
        <f>ROUND(IF(E599="alluminio",(I599)*3%,0)+IF(E599="alluminio smaltato",(I599)*3%,0),4)</f>
        <v>0</v>
      </c>
      <c r="L599" s="143">
        <f>ROUND((J599*C599)+(K599*C599),4)</f>
        <v>0</v>
      </c>
      <c r="M599" s="140"/>
      <c r="N599" s="140">
        <f>ROUND(+I599-H599,4)</f>
        <v>0</v>
      </c>
      <c r="O599" s="143">
        <f>ROUND(+(N599)*C599*50%,4)</f>
        <v>0</v>
      </c>
      <c r="P599" s="147">
        <f>ROUND(O599+L599,4)</f>
        <v>0</v>
      </c>
      <c r="Q599" s="80"/>
      <c r="R599" s="81"/>
      <c r="S599" s="84"/>
    </row>
    <row r="600" spans="1:19" x14ac:dyDescent="0.2">
      <c r="A600" s="47"/>
      <c r="B600" s="36"/>
      <c r="C600" s="138"/>
      <c r="D600" s="140"/>
      <c r="E600" s="48"/>
      <c r="F600" s="140"/>
      <c r="G600" s="140"/>
      <c r="H600" s="140">
        <f>ROUND(+D600+F600,4)</f>
        <v>0</v>
      </c>
      <c r="I600" s="140">
        <v>0</v>
      </c>
      <c r="J600" s="140">
        <v>0.03</v>
      </c>
      <c r="K600" s="140">
        <f>ROUND(IF(E600="alluminio",(I600)*3%,0)+IF(E600="alluminio smaltato",(I600)*3%,0),4)</f>
        <v>0</v>
      </c>
      <c r="L600" s="143">
        <f>ROUND((J600*C600)+(K600*C600),4)</f>
        <v>0</v>
      </c>
      <c r="M600" s="140"/>
      <c r="N600" s="140">
        <f>ROUND(+I600-H600,4)</f>
        <v>0</v>
      </c>
      <c r="O600" s="143">
        <f>ROUND(+(N600)*C600*50%,4)</f>
        <v>0</v>
      </c>
      <c r="P600" s="147">
        <f>ROUND(O600+L600,4)</f>
        <v>0</v>
      </c>
      <c r="Q600" s="80"/>
      <c r="R600" s="81"/>
      <c r="S600" s="84"/>
    </row>
    <row r="601" spans="1:19" x14ac:dyDescent="0.2">
      <c r="A601" s="47"/>
      <c r="B601" s="36"/>
      <c r="C601" s="138"/>
      <c r="D601" s="140"/>
      <c r="E601" s="48"/>
      <c r="F601" s="140"/>
      <c r="G601" s="140"/>
      <c r="H601" s="140">
        <f>ROUND(+D601+F601,4)</f>
        <v>0</v>
      </c>
      <c r="I601" s="140">
        <v>0</v>
      </c>
      <c r="J601" s="140">
        <v>0.03</v>
      </c>
      <c r="K601" s="140">
        <f>ROUND(IF(E601="alluminio",(I601)*3%,0)+IF(E601="alluminio smaltato",(I601)*3%,0),4)</f>
        <v>0</v>
      </c>
      <c r="L601" s="143">
        <f>ROUND((J601*C601)+(K601*C601),4)</f>
        <v>0</v>
      </c>
      <c r="M601" s="140"/>
      <c r="N601" s="140">
        <f>ROUND(+I601-H601,4)</f>
        <v>0</v>
      </c>
      <c r="O601" s="143">
        <f>ROUND(+(N601)*C601*50%,4)</f>
        <v>0</v>
      </c>
      <c r="P601" s="147">
        <f>ROUND(O601+L601,4)</f>
        <v>0</v>
      </c>
      <c r="Q601" s="80"/>
      <c r="R601" s="81"/>
      <c r="S601" s="84"/>
    </row>
    <row r="602" spans="1:19" x14ac:dyDescent="0.2">
      <c r="A602" s="47"/>
      <c r="B602" s="36"/>
      <c r="C602" s="138"/>
      <c r="D602" s="140"/>
      <c r="E602" s="48"/>
      <c r="F602" s="140"/>
      <c r="G602" s="140"/>
      <c r="H602" s="140">
        <f>ROUND(+D602+F602,4)</f>
        <v>0</v>
      </c>
      <c r="I602" s="140">
        <v>0</v>
      </c>
      <c r="J602" s="140">
        <v>0.03</v>
      </c>
      <c r="K602" s="140">
        <f>ROUND(IF(E602="alluminio",(I602)*3%,0)+IF(E602="alluminio smaltato",(I602)*3%,0),4)</f>
        <v>0</v>
      </c>
      <c r="L602" s="143">
        <f>ROUND((J602*C602)+(K602*C602),4)</f>
        <v>0</v>
      </c>
      <c r="M602" s="140"/>
      <c r="N602" s="140">
        <f>ROUND(+I602-H602,4)</f>
        <v>0</v>
      </c>
      <c r="O602" s="143">
        <f>ROUND(+(N602)*C602*50%,4)</f>
        <v>0</v>
      </c>
      <c r="P602" s="147">
        <f>ROUND(O602+L602,4)</f>
        <v>0</v>
      </c>
      <c r="Q602" s="80"/>
      <c r="R602" s="81"/>
      <c r="S602" s="84"/>
    </row>
    <row r="603" spans="1:19" x14ac:dyDescent="0.2">
      <c r="A603" s="47"/>
      <c r="B603" s="36"/>
      <c r="C603" s="138"/>
      <c r="D603" s="140"/>
      <c r="E603" s="48"/>
      <c r="F603" s="140"/>
      <c r="G603" s="140"/>
      <c r="H603" s="140">
        <f>ROUND(+D603+F603,4)</f>
        <v>0</v>
      </c>
      <c r="I603" s="140">
        <v>0</v>
      </c>
      <c r="J603" s="140">
        <v>0.03</v>
      </c>
      <c r="K603" s="140">
        <f>ROUND(IF(E603="alluminio",(I603)*3%,0)+IF(E603="alluminio smaltato",(I603)*3%,0),4)</f>
        <v>0</v>
      </c>
      <c r="L603" s="143">
        <f>ROUND((J603*C603)+(K603*C603),4)</f>
        <v>0</v>
      </c>
      <c r="M603" s="140"/>
      <c r="N603" s="140">
        <f>ROUND(+I603-H603,4)</f>
        <v>0</v>
      </c>
      <c r="O603" s="143">
        <f>ROUND(+(N603)*C603*50%,4)</f>
        <v>0</v>
      </c>
      <c r="P603" s="147">
        <f>ROUND(O603+L603,4)</f>
        <v>0</v>
      </c>
      <c r="Q603" s="80"/>
      <c r="R603" s="81"/>
      <c r="S603" s="84"/>
    </row>
    <row r="604" spans="1:19" x14ac:dyDescent="0.2">
      <c r="A604" s="47"/>
      <c r="B604" s="36"/>
      <c r="C604" s="138"/>
      <c r="D604" s="140"/>
      <c r="E604" s="48"/>
      <c r="F604" s="140"/>
      <c r="G604" s="140"/>
      <c r="H604" s="140">
        <f>ROUND(+D604+F604,4)</f>
        <v>0</v>
      </c>
      <c r="I604" s="140">
        <v>0</v>
      </c>
      <c r="J604" s="140">
        <v>0.03</v>
      </c>
      <c r="K604" s="140">
        <f>ROUND(IF(E604="alluminio",(I604)*3%,0)+IF(E604="alluminio smaltato",(I604)*3%,0),4)</f>
        <v>0</v>
      </c>
      <c r="L604" s="143">
        <f>ROUND((J604*C604)+(K604*C604),4)</f>
        <v>0</v>
      </c>
      <c r="M604" s="140"/>
      <c r="N604" s="140">
        <f>ROUND(+I604-H604,4)</f>
        <v>0</v>
      </c>
      <c r="O604" s="143">
        <f>ROUND(+(N604)*C604*50%,4)</f>
        <v>0</v>
      </c>
      <c r="P604" s="147">
        <f>ROUND(O604+L604,4)</f>
        <v>0</v>
      </c>
      <c r="Q604" s="80"/>
      <c r="R604" s="81"/>
      <c r="S604" s="84"/>
    </row>
    <row r="605" spans="1:19" x14ac:dyDescent="0.2">
      <c r="A605" s="47"/>
      <c r="B605" s="36"/>
      <c r="C605" s="138"/>
      <c r="D605" s="140"/>
      <c r="E605" s="48"/>
      <c r="F605" s="140"/>
      <c r="G605" s="140"/>
      <c r="H605" s="140">
        <f>ROUND(+D605+F605,4)</f>
        <v>0</v>
      </c>
      <c r="I605" s="140">
        <v>0</v>
      </c>
      <c r="J605" s="140">
        <v>0.03</v>
      </c>
      <c r="K605" s="140">
        <f>ROUND(IF(E605="alluminio",(I605)*3%,0)+IF(E605="alluminio smaltato",(I605)*3%,0),4)</f>
        <v>0</v>
      </c>
      <c r="L605" s="143">
        <f>ROUND((J605*C605)+(K605*C605),4)</f>
        <v>0</v>
      </c>
      <c r="M605" s="140"/>
      <c r="N605" s="140">
        <f>ROUND(+I605-H605,4)</f>
        <v>0</v>
      </c>
      <c r="O605" s="143">
        <f>ROUND(+(N605)*C605*50%,4)</f>
        <v>0</v>
      </c>
      <c r="P605" s="147">
        <f>ROUND(O605+L605,4)</f>
        <v>0</v>
      </c>
      <c r="Q605" s="80"/>
      <c r="R605" s="81"/>
      <c r="S605" s="84"/>
    </row>
    <row r="606" spans="1:19" x14ac:dyDescent="0.2">
      <c r="A606" s="47"/>
      <c r="B606" s="36"/>
      <c r="C606" s="138"/>
      <c r="D606" s="140"/>
      <c r="E606" s="48"/>
      <c r="F606" s="140"/>
      <c r="G606" s="140"/>
      <c r="H606" s="140">
        <f>ROUND(+D606+F606,4)</f>
        <v>0</v>
      </c>
      <c r="I606" s="140">
        <v>0</v>
      </c>
      <c r="J606" s="140">
        <v>0.03</v>
      </c>
      <c r="K606" s="140">
        <f>ROUND(IF(E606="alluminio",(I606)*3%,0)+IF(E606="alluminio smaltato",(I606)*3%,0),4)</f>
        <v>0</v>
      </c>
      <c r="L606" s="143">
        <f>ROUND((J606*C606)+(K606*C606),4)</f>
        <v>0</v>
      </c>
      <c r="M606" s="140"/>
      <c r="N606" s="140">
        <f>ROUND(+I606-H606,4)</f>
        <v>0</v>
      </c>
      <c r="O606" s="143">
        <f>ROUND(+(N606)*C606*50%,4)</f>
        <v>0</v>
      </c>
      <c r="P606" s="147">
        <f>ROUND(O606+L606,4)</f>
        <v>0</v>
      </c>
      <c r="Q606" s="80"/>
      <c r="R606" s="81"/>
      <c r="S606" s="84"/>
    </row>
    <row r="607" spans="1:19" x14ac:dyDescent="0.2">
      <c r="A607" s="47"/>
      <c r="B607" s="36"/>
      <c r="C607" s="138"/>
      <c r="D607" s="140"/>
      <c r="E607" s="48"/>
      <c r="F607" s="140"/>
      <c r="G607" s="140"/>
      <c r="H607" s="140">
        <f>ROUND(+D607+F607,4)</f>
        <v>0</v>
      </c>
      <c r="I607" s="140">
        <v>0</v>
      </c>
      <c r="J607" s="140">
        <v>0.03</v>
      </c>
      <c r="K607" s="140">
        <f>ROUND(IF(E607="alluminio",(I607)*3%,0)+IF(E607="alluminio smaltato",(I607)*3%,0),4)</f>
        <v>0</v>
      </c>
      <c r="L607" s="143">
        <f>ROUND((J607*C607)+(K607*C607),4)</f>
        <v>0</v>
      </c>
      <c r="M607" s="140"/>
      <c r="N607" s="140">
        <f>ROUND(+I607-H607,4)</f>
        <v>0</v>
      </c>
      <c r="O607" s="143">
        <f>ROUND(+(N607)*C607*50%,4)</f>
        <v>0</v>
      </c>
      <c r="P607" s="147">
        <f>ROUND(O607+L607,4)</f>
        <v>0</v>
      </c>
      <c r="Q607" s="80"/>
      <c r="R607" s="81"/>
      <c r="S607" s="84"/>
    </row>
    <row r="608" spans="1:19" x14ac:dyDescent="0.2">
      <c r="A608" s="47"/>
      <c r="B608" s="36"/>
      <c r="C608" s="138"/>
      <c r="D608" s="140"/>
      <c r="E608" s="48"/>
      <c r="F608" s="140"/>
      <c r="G608" s="140"/>
      <c r="H608" s="140">
        <f>ROUND(+D608+F608,4)</f>
        <v>0</v>
      </c>
      <c r="I608" s="140">
        <v>0</v>
      </c>
      <c r="J608" s="140">
        <v>0.03</v>
      </c>
      <c r="K608" s="140">
        <f>ROUND(IF(E608="alluminio",(I608)*3%,0)+IF(E608="alluminio smaltato",(I608)*3%,0),4)</f>
        <v>0</v>
      </c>
      <c r="L608" s="143">
        <f>ROUND((J608*C608)+(K608*C608),4)</f>
        <v>0</v>
      </c>
      <c r="M608" s="140"/>
      <c r="N608" s="140">
        <f>ROUND(+I608-H608,4)</f>
        <v>0</v>
      </c>
      <c r="O608" s="143">
        <f>ROUND(+(N608)*C608*50%,4)</f>
        <v>0</v>
      </c>
      <c r="P608" s="147">
        <f>ROUND(O608+L608,4)</f>
        <v>0</v>
      </c>
      <c r="Q608" s="80"/>
      <c r="R608" s="81"/>
      <c r="S608" s="84"/>
    </row>
    <row r="609" spans="1:19" x14ac:dyDescent="0.2">
      <c r="A609" s="47"/>
      <c r="B609" s="36"/>
      <c r="C609" s="138"/>
      <c r="D609" s="140"/>
      <c r="E609" s="48"/>
      <c r="F609" s="140"/>
      <c r="G609" s="140"/>
      <c r="H609" s="140">
        <f>ROUND(+D609+F609,4)</f>
        <v>0</v>
      </c>
      <c r="I609" s="140">
        <v>0</v>
      </c>
      <c r="J609" s="140">
        <v>0.03</v>
      </c>
      <c r="K609" s="140">
        <f>ROUND(IF(E609="alluminio",(I609)*3%,0)+IF(E609="alluminio smaltato",(I609)*3%,0),4)</f>
        <v>0</v>
      </c>
      <c r="L609" s="143">
        <f>ROUND((J609*C609)+(K609*C609),4)</f>
        <v>0</v>
      </c>
      <c r="M609" s="140"/>
      <c r="N609" s="140">
        <f>ROUND(+I609-H609,4)</f>
        <v>0</v>
      </c>
      <c r="O609" s="143">
        <f>ROUND(+(N609)*C609*50%,4)</f>
        <v>0</v>
      </c>
      <c r="P609" s="147">
        <f>ROUND(O609+L609,4)</f>
        <v>0</v>
      </c>
      <c r="Q609" s="80"/>
      <c r="R609" s="81"/>
      <c r="S609" s="84"/>
    </row>
    <row r="610" spans="1:19" x14ac:dyDescent="0.2">
      <c r="A610" s="47"/>
      <c r="B610" s="36"/>
      <c r="C610" s="138"/>
      <c r="D610" s="140"/>
      <c r="E610" s="48"/>
      <c r="F610" s="140"/>
      <c r="G610" s="140"/>
      <c r="H610" s="140">
        <f>ROUND(+D610+F610,4)</f>
        <v>0</v>
      </c>
      <c r="I610" s="140">
        <v>0</v>
      </c>
      <c r="J610" s="140">
        <v>0.03</v>
      </c>
      <c r="K610" s="140">
        <f>ROUND(IF(E610="alluminio",(I610)*3%,0)+IF(E610="alluminio smaltato",(I610)*3%,0),4)</f>
        <v>0</v>
      </c>
      <c r="L610" s="143">
        <f>ROUND((J610*C610)+(K610*C610),4)</f>
        <v>0</v>
      </c>
      <c r="M610" s="140"/>
      <c r="N610" s="140">
        <f>ROUND(+I610-H610,4)</f>
        <v>0</v>
      </c>
      <c r="O610" s="143">
        <f>ROUND(+(N610)*C610*50%,4)</f>
        <v>0</v>
      </c>
      <c r="P610" s="147">
        <f>ROUND(O610+L610,4)</f>
        <v>0</v>
      </c>
      <c r="Q610" s="80"/>
      <c r="R610" s="81"/>
      <c r="S610" s="84"/>
    </row>
    <row r="611" spans="1:19" x14ac:dyDescent="0.2">
      <c r="A611" s="47"/>
      <c r="B611" s="36"/>
      <c r="C611" s="138"/>
      <c r="D611" s="140"/>
      <c r="E611" s="48"/>
      <c r="F611" s="140"/>
      <c r="G611" s="140"/>
      <c r="H611" s="140">
        <f>ROUND(+D611+F611,4)</f>
        <v>0</v>
      </c>
      <c r="I611" s="140">
        <v>0</v>
      </c>
      <c r="J611" s="140">
        <v>0.03</v>
      </c>
      <c r="K611" s="140">
        <f>ROUND(IF(E611="alluminio",(I611)*3%,0)+IF(E611="alluminio smaltato",(I611)*3%,0),4)</f>
        <v>0</v>
      </c>
      <c r="L611" s="143">
        <f>ROUND((J611*C611)+(K611*C611),4)</f>
        <v>0</v>
      </c>
      <c r="M611" s="140"/>
      <c r="N611" s="140">
        <f>ROUND(+I611-H611,4)</f>
        <v>0</v>
      </c>
      <c r="O611" s="143">
        <f>ROUND(+(N611)*C611*50%,4)</f>
        <v>0</v>
      </c>
      <c r="P611" s="147">
        <f>ROUND(O611+L611,4)</f>
        <v>0</v>
      </c>
      <c r="Q611" s="80"/>
      <c r="R611" s="81"/>
      <c r="S611" s="84"/>
    </row>
    <row r="612" spans="1:19" x14ac:dyDescent="0.2">
      <c r="A612" s="47"/>
      <c r="B612" s="36"/>
      <c r="C612" s="138"/>
      <c r="D612" s="140"/>
      <c r="E612" s="48"/>
      <c r="F612" s="140"/>
      <c r="G612" s="140"/>
      <c r="H612" s="140">
        <f>ROUND(+D612+F612,4)</f>
        <v>0</v>
      </c>
      <c r="I612" s="140">
        <v>0</v>
      </c>
      <c r="J612" s="140">
        <v>0.03</v>
      </c>
      <c r="K612" s="140">
        <f>ROUND(IF(E612="alluminio",(I612)*3%,0)+IF(E612="alluminio smaltato",(I612)*3%,0),4)</f>
        <v>0</v>
      </c>
      <c r="L612" s="143">
        <f>ROUND((J612*C612)+(K612*C612),4)</f>
        <v>0</v>
      </c>
      <c r="M612" s="140"/>
      <c r="N612" s="140">
        <f>ROUND(+I612-H612,4)</f>
        <v>0</v>
      </c>
      <c r="O612" s="143">
        <f>ROUND(+(N612)*C612*50%,4)</f>
        <v>0</v>
      </c>
      <c r="P612" s="147">
        <f>ROUND(O612+L612,4)</f>
        <v>0</v>
      </c>
      <c r="Q612" s="80"/>
      <c r="R612" s="81"/>
      <c r="S612" s="84"/>
    </row>
    <row r="613" spans="1:19" x14ac:dyDescent="0.2">
      <c r="A613" s="47"/>
      <c r="B613" s="36"/>
      <c r="C613" s="138"/>
      <c r="D613" s="140"/>
      <c r="E613" s="48"/>
      <c r="F613" s="140"/>
      <c r="G613" s="140"/>
      <c r="H613" s="140">
        <f>ROUND(+D613+F613,4)</f>
        <v>0</v>
      </c>
      <c r="I613" s="140">
        <v>0</v>
      </c>
      <c r="J613" s="140">
        <v>0.03</v>
      </c>
      <c r="K613" s="140">
        <f>ROUND(IF(E613="alluminio",(I613)*3%,0)+IF(E613="alluminio smaltato",(I613)*3%,0),4)</f>
        <v>0</v>
      </c>
      <c r="L613" s="143">
        <f>ROUND((J613*C613)+(K613*C613),4)</f>
        <v>0</v>
      </c>
      <c r="M613" s="140"/>
      <c r="N613" s="140">
        <f>ROUND(+I613-H613,4)</f>
        <v>0</v>
      </c>
      <c r="O613" s="143">
        <f>ROUND(+(N613)*C613*50%,4)</f>
        <v>0</v>
      </c>
      <c r="P613" s="147">
        <f>ROUND(O613+L613,4)</f>
        <v>0</v>
      </c>
      <c r="Q613" s="80"/>
      <c r="R613" s="81"/>
      <c r="S613" s="84"/>
    </row>
    <row r="614" spans="1:19" x14ac:dyDescent="0.2">
      <c r="A614" s="47"/>
      <c r="B614" s="36"/>
      <c r="C614" s="138"/>
      <c r="D614" s="140"/>
      <c r="E614" s="48"/>
      <c r="F614" s="140"/>
      <c r="G614" s="140"/>
      <c r="H614" s="140">
        <f>ROUND(+D614+F614,4)</f>
        <v>0</v>
      </c>
      <c r="I614" s="140">
        <v>0</v>
      </c>
      <c r="J614" s="140">
        <v>0.03</v>
      </c>
      <c r="K614" s="140">
        <f>ROUND(IF(E614="alluminio",(I614)*3%,0)+IF(E614="alluminio smaltato",(I614)*3%,0),4)</f>
        <v>0</v>
      </c>
      <c r="L614" s="143">
        <f>ROUND((J614*C614)+(K614*C614),4)</f>
        <v>0</v>
      </c>
      <c r="M614" s="140"/>
      <c r="N614" s="140">
        <f>ROUND(+I614-H614,4)</f>
        <v>0</v>
      </c>
      <c r="O614" s="143">
        <f>ROUND(+(N614)*C614*50%,4)</f>
        <v>0</v>
      </c>
      <c r="P614" s="147">
        <f>ROUND(O614+L614,4)</f>
        <v>0</v>
      </c>
      <c r="Q614" s="80"/>
      <c r="R614" s="81"/>
      <c r="S614" s="84"/>
    </row>
    <row r="615" spans="1:19" x14ac:dyDescent="0.2">
      <c r="A615" s="47"/>
      <c r="B615" s="36"/>
      <c r="C615" s="138"/>
      <c r="D615" s="140"/>
      <c r="E615" s="48"/>
      <c r="F615" s="140"/>
      <c r="G615" s="140"/>
      <c r="H615" s="140">
        <f>ROUND(+D615+F615,4)</f>
        <v>0</v>
      </c>
      <c r="I615" s="140">
        <v>0</v>
      </c>
      <c r="J615" s="140">
        <v>0.03</v>
      </c>
      <c r="K615" s="140">
        <f>ROUND(IF(E615="alluminio",(I615)*3%,0)+IF(E615="alluminio smaltato",(I615)*3%,0),4)</f>
        <v>0</v>
      </c>
      <c r="L615" s="143">
        <f>ROUND((J615*C615)+(K615*C615),4)</f>
        <v>0</v>
      </c>
      <c r="M615" s="140"/>
      <c r="N615" s="140">
        <f>ROUND(+I615-H615,4)</f>
        <v>0</v>
      </c>
      <c r="O615" s="143">
        <f>ROUND(+(N615)*C615*50%,4)</f>
        <v>0</v>
      </c>
      <c r="P615" s="147">
        <f>ROUND(O615+L615,4)</f>
        <v>0</v>
      </c>
      <c r="Q615" s="80"/>
      <c r="R615" s="81"/>
      <c r="S615" s="84"/>
    </row>
    <row r="616" spans="1:19" x14ac:dyDescent="0.2">
      <c r="A616" s="47"/>
      <c r="B616" s="36"/>
      <c r="C616" s="138"/>
      <c r="D616" s="140"/>
      <c r="E616" s="48"/>
      <c r="F616" s="140"/>
      <c r="G616" s="140"/>
      <c r="H616" s="140">
        <f>ROUND(+D616+F616,4)</f>
        <v>0</v>
      </c>
      <c r="I616" s="140">
        <v>0</v>
      </c>
      <c r="J616" s="140">
        <v>0.03</v>
      </c>
      <c r="K616" s="140">
        <f>ROUND(IF(E616="alluminio",(I616)*3%,0)+IF(E616="alluminio smaltato",(I616)*3%,0),4)</f>
        <v>0</v>
      </c>
      <c r="L616" s="143">
        <f>ROUND((J616*C616)+(K616*C616),4)</f>
        <v>0</v>
      </c>
      <c r="M616" s="140"/>
      <c r="N616" s="140">
        <f>ROUND(+I616-H616,4)</f>
        <v>0</v>
      </c>
      <c r="O616" s="143">
        <f>ROUND(+(N616)*C616*50%,4)</f>
        <v>0</v>
      </c>
      <c r="P616" s="147">
        <f>ROUND(O616+L616,4)</f>
        <v>0</v>
      </c>
      <c r="Q616" s="80"/>
      <c r="R616" s="81"/>
      <c r="S616" s="84"/>
    </row>
    <row r="617" spans="1:19" x14ac:dyDescent="0.2">
      <c r="A617" s="47"/>
      <c r="B617" s="36"/>
      <c r="C617" s="138"/>
      <c r="D617" s="140"/>
      <c r="E617" s="48"/>
      <c r="F617" s="140"/>
      <c r="G617" s="140"/>
      <c r="H617" s="140">
        <f>ROUND(+D617+F617,4)</f>
        <v>0</v>
      </c>
      <c r="I617" s="140">
        <v>0</v>
      </c>
      <c r="J617" s="140">
        <v>0.03</v>
      </c>
      <c r="K617" s="140">
        <f>ROUND(IF(E617="alluminio",(I617)*3%,0)+IF(E617="alluminio smaltato",(I617)*3%,0),4)</f>
        <v>0</v>
      </c>
      <c r="L617" s="143">
        <f>ROUND((J617*C617)+(K617*C617),4)</f>
        <v>0</v>
      </c>
      <c r="M617" s="140"/>
      <c r="N617" s="140">
        <f>ROUND(+I617-H617,4)</f>
        <v>0</v>
      </c>
      <c r="O617" s="143">
        <f>ROUND(+(N617)*C617*50%,4)</f>
        <v>0</v>
      </c>
      <c r="P617" s="147">
        <f>ROUND(O617+L617,4)</f>
        <v>0</v>
      </c>
      <c r="Q617" s="80"/>
      <c r="R617" s="81"/>
      <c r="S617" s="84"/>
    </row>
    <row r="618" spans="1:19" x14ac:dyDescent="0.2">
      <c r="A618" s="47"/>
      <c r="B618" s="36"/>
      <c r="C618" s="138"/>
      <c r="D618" s="140"/>
      <c r="E618" s="48"/>
      <c r="F618" s="140"/>
      <c r="G618" s="140"/>
      <c r="H618" s="140">
        <f>ROUND(+D618+F618,4)</f>
        <v>0</v>
      </c>
      <c r="I618" s="140">
        <v>0</v>
      </c>
      <c r="J618" s="140">
        <v>0.03</v>
      </c>
      <c r="K618" s="140">
        <f>ROUND(IF(E618="alluminio",(I618)*3%,0)+IF(E618="alluminio smaltato",(I618)*3%,0),4)</f>
        <v>0</v>
      </c>
      <c r="L618" s="143">
        <f>ROUND((J618*C618)+(K618*C618),4)</f>
        <v>0</v>
      </c>
      <c r="M618" s="140"/>
      <c r="N618" s="140">
        <f>ROUND(+I618-H618,4)</f>
        <v>0</v>
      </c>
      <c r="O618" s="143">
        <f>ROUND(+(N618)*C618*50%,4)</f>
        <v>0</v>
      </c>
      <c r="P618" s="147">
        <f>ROUND(O618+L618,4)</f>
        <v>0</v>
      </c>
      <c r="Q618" s="80"/>
      <c r="R618" s="81"/>
      <c r="S618" s="84"/>
    </row>
    <row r="619" spans="1:19" x14ac:dyDescent="0.2">
      <c r="A619" s="47"/>
      <c r="B619" s="36"/>
      <c r="C619" s="138"/>
      <c r="D619" s="140"/>
      <c r="E619" s="48"/>
      <c r="F619" s="140"/>
      <c r="G619" s="140"/>
      <c r="H619" s="140">
        <f>ROUND(+D619+F619,4)</f>
        <v>0</v>
      </c>
      <c r="I619" s="140">
        <v>0</v>
      </c>
      <c r="J619" s="140">
        <v>0.03</v>
      </c>
      <c r="K619" s="140">
        <f>ROUND(IF(E619="alluminio",(I619)*3%,0)+IF(E619="alluminio smaltato",(I619)*3%,0),4)</f>
        <v>0</v>
      </c>
      <c r="L619" s="143">
        <f>ROUND((J619*C619)+(K619*C619),4)</f>
        <v>0</v>
      </c>
      <c r="M619" s="140"/>
      <c r="N619" s="140">
        <f>ROUND(+I619-H619,4)</f>
        <v>0</v>
      </c>
      <c r="O619" s="143">
        <f>ROUND(+(N619)*C619*50%,4)</f>
        <v>0</v>
      </c>
      <c r="P619" s="147">
        <f>ROUND(O619+L619,4)</f>
        <v>0</v>
      </c>
      <c r="Q619" s="80"/>
      <c r="R619" s="81"/>
      <c r="S619" s="84"/>
    </row>
    <row r="620" spans="1:19" x14ac:dyDescent="0.2">
      <c r="A620" s="47"/>
      <c r="B620" s="36"/>
      <c r="C620" s="138"/>
      <c r="D620" s="140"/>
      <c r="E620" s="48"/>
      <c r="F620" s="140"/>
      <c r="G620" s="140"/>
      <c r="H620" s="140">
        <f>ROUND(+D620+F620,4)</f>
        <v>0</v>
      </c>
      <c r="I620" s="140">
        <v>0</v>
      </c>
      <c r="J620" s="140">
        <v>0.03</v>
      </c>
      <c r="K620" s="140">
        <f>ROUND(IF(E620="alluminio",(I620)*3%,0)+IF(E620="alluminio smaltato",(I620)*3%,0),4)</f>
        <v>0</v>
      </c>
      <c r="L620" s="143">
        <f>ROUND((J620*C620)+(K620*C620),4)</f>
        <v>0</v>
      </c>
      <c r="M620" s="140"/>
      <c r="N620" s="140">
        <f>ROUND(+I620-H620,4)</f>
        <v>0</v>
      </c>
      <c r="O620" s="143">
        <f>ROUND(+(N620)*C620*50%,4)</f>
        <v>0</v>
      </c>
      <c r="P620" s="147">
        <f>ROUND(O620+L620,4)</f>
        <v>0</v>
      </c>
      <c r="Q620" s="80"/>
      <c r="R620" s="81"/>
      <c r="S620" s="84"/>
    </row>
    <row r="621" spans="1:19" x14ac:dyDescent="0.2">
      <c r="A621" s="47"/>
      <c r="B621" s="36"/>
      <c r="C621" s="138"/>
      <c r="D621" s="140"/>
      <c r="E621" s="48"/>
      <c r="F621" s="140"/>
      <c r="G621" s="140"/>
      <c r="H621" s="140">
        <f>ROUND(+D621+F621,4)</f>
        <v>0</v>
      </c>
      <c r="I621" s="140">
        <v>0</v>
      </c>
      <c r="J621" s="140">
        <v>0.03</v>
      </c>
      <c r="K621" s="140">
        <f>ROUND(IF(E621="alluminio",(I621)*3%,0)+IF(E621="alluminio smaltato",(I621)*3%,0),4)</f>
        <v>0</v>
      </c>
      <c r="L621" s="143">
        <f>ROUND((J621*C621)+(K621*C621),4)</f>
        <v>0</v>
      </c>
      <c r="M621" s="140"/>
      <c r="N621" s="140">
        <f>ROUND(+I621-H621,4)</f>
        <v>0</v>
      </c>
      <c r="O621" s="143">
        <f>ROUND(+(N621)*C621*50%,4)</f>
        <v>0</v>
      </c>
      <c r="P621" s="147">
        <f>ROUND(O621+L621,4)</f>
        <v>0</v>
      </c>
      <c r="Q621" s="80"/>
      <c r="R621" s="81"/>
      <c r="S621" s="84"/>
    </row>
    <row r="622" spans="1:19" x14ac:dyDescent="0.2">
      <c r="A622" s="47"/>
      <c r="B622" s="36"/>
      <c r="C622" s="138"/>
      <c r="D622" s="140"/>
      <c r="E622" s="48"/>
      <c r="F622" s="140"/>
      <c r="G622" s="140"/>
      <c r="H622" s="140">
        <f>ROUND(+D622+F622,4)</f>
        <v>0</v>
      </c>
      <c r="I622" s="140">
        <v>0</v>
      </c>
      <c r="J622" s="140">
        <v>0.03</v>
      </c>
      <c r="K622" s="140">
        <f>ROUND(IF(E622="alluminio",(I622)*3%,0)+IF(E622="alluminio smaltato",(I622)*3%,0),4)</f>
        <v>0</v>
      </c>
      <c r="L622" s="143">
        <f>ROUND((J622*C622)+(K622*C622),4)</f>
        <v>0</v>
      </c>
      <c r="M622" s="140"/>
      <c r="N622" s="140">
        <f>ROUND(+I622-H622,4)</f>
        <v>0</v>
      </c>
      <c r="O622" s="143">
        <f>ROUND(+(N622)*C622*50%,4)</f>
        <v>0</v>
      </c>
      <c r="P622" s="147">
        <f>ROUND(O622+L622,4)</f>
        <v>0</v>
      </c>
      <c r="Q622" s="80"/>
      <c r="R622" s="81"/>
      <c r="S622" s="84"/>
    </row>
    <row r="623" spans="1:19" x14ac:dyDescent="0.2">
      <c r="A623" s="47"/>
      <c r="B623" s="36"/>
      <c r="C623" s="138"/>
      <c r="D623" s="140"/>
      <c r="E623" s="48"/>
      <c r="F623" s="140"/>
      <c r="G623" s="140"/>
      <c r="H623" s="140">
        <f>ROUND(+D623+F623,4)</f>
        <v>0</v>
      </c>
      <c r="I623" s="140">
        <v>0</v>
      </c>
      <c r="J623" s="140">
        <v>0.03</v>
      </c>
      <c r="K623" s="140">
        <f>ROUND(IF(E623="alluminio",(I623)*3%,0)+IF(E623="alluminio smaltato",(I623)*3%,0),4)</f>
        <v>0</v>
      </c>
      <c r="L623" s="143">
        <f>ROUND((J623*C623)+(K623*C623),4)</f>
        <v>0</v>
      </c>
      <c r="M623" s="140"/>
      <c r="N623" s="140">
        <f>ROUND(+I623-H623,4)</f>
        <v>0</v>
      </c>
      <c r="O623" s="143">
        <f>ROUND(+(N623)*C623*50%,4)</f>
        <v>0</v>
      </c>
      <c r="P623" s="147">
        <f>ROUND(O623+L623,4)</f>
        <v>0</v>
      </c>
      <c r="Q623" s="80"/>
      <c r="R623" s="81"/>
      <c r="S623" s="84"/>
    </row>
    <row r="624" spans="1:19" x14ac:dyDescent="0.2">
      <c r="A624" s="47"/>
      <c r="B624" s="36"/>
      <c r="C624" s="138"/>
      <c r="D624" s="140"/>
      <c r="E624" s="48"/>
      <c r="F624" s="140"/>
      <c r="G624" s="140"/>
      <c r="H624" s="140">
        <f>ROUND(+D624+F624,4)</f>
        <v>0</v>
      </c>
      <c r="I624" s="140">
        <v>0</v>
      </c>
      <c r="J624" s="140">
        <v>0.03</v>
      </c>
      <c r="K624" s="140">
        <f>ROUND(IF(E624="alluminio",(I624)*3%,0)+IF(E624="alluminio smaltato",(I624)*3%,0),4)</f>
        <v>0</v>
      </c>
      <c r="L624" s="143">
        <f>ROUND((J624*C624)+(K624*C624),4)</f>
        <v>0</v>
      </c>
      <c r="M624" s="140"/>
      <c r="N624" s="140">
        <f>ROUND(+I624-H624,4)</f>
        <v>0</v>
      </c>
      <c r="O624" s="143">
        <f>ROUND(+(N624)*C624*50%,4)</f>
        <v>0</v>
      </c>
      <c r="P624" s="147">
        <f>ROUND(O624+L624,4)</f>
        <v>0</v>
      </c>
      <c r="Q624" s="80"/>
      <c r="R624" s="81"/>
      <c r="S624" s="84"/>
    </row>
    <row r="625" spans="1:19" x14ac:dyDescent="0.2">
      <c r="A625" s="47"/>
      <c r="B625" s="36"/>
      <c r="C625" s="138"/>
      <c r="D625" s="140"/>
      <c r="E625" s="48"/>
      <c r="F625" s="140"/>
      <c r="G625" s="140"/>
      <c r="H625" s="140">
        <f>ROUND(+D625+F625,4)</f>
        <v>0</v>
      </c>
      <c r="I625" s="140">
        <v>0</v>
      </c>
      <c r="J625" s="140">
        <v>0.03</v>
      </c>
      <c r="K625" s="140">
        <f>ROUND(IF(E625="alluminio",(I625)*3%,0)+IF(E625="alluminio smaltato",(I625)*3%,0),4)</f>
        <v>0</v>
      </c>
      <c r="L625" s="143">
        <f>ROUND((J625*C625)+(K625*C625),4)</f>
        <v>0</v>
      </c>
      <c r="M625" s="140"/>
      <c r="N625" s="140">
        <f>ROUND(+I625-H625,4)</f>
        <v>0</v>
      </c>
      <c r="O625" s="143">
        <f>ROUND(+(N625)*C625*50%,4)</f>
        <v>0</v>
      </c>
      <c r="P625" s="147">
        <f>ROUND(O625+L625,4)</f>
        <v>0</v>
      </c>
      <c r="Q625" s="80"/>
      <c r="R625" s="81"/>
      <c r="S625" s="84"/>
    </row>
    <row r="626" spans="1:19" x14ac:dyDescent="0.2">
      <c r="A626" s="47"/>
      <c r="B626" s="36"/>
      <c r="C626" s="138"/>
      <c r="D626" s="140"/>
      <c r="E626" s="48"/>
      <c r="F626" s="140"/>
      <c r="G626" s="140"/>
      <c r="H626" s="140">
        <f>ROUND(+D626+F626,4)</f>
        <v>0</v>
      </c>
      <c r="I626" s="140">
        <v>0</v>
      </c>
      <c r="J626" s="140">
        <v>0.03</v>
      </c>
      <c r="K626" s="140">
        <f>ROUND(IF(E626="alluminio",(I626)*3%,0)+IF(E626="alluminio smaltato",(I626)*3%,0),4)</f>
        <v>0</v>
      </c>
      <c r="L626" s="143">
        <f>ROUND((J626*C626)+(K626*C626),4)</f>
        <v>0</v>
      </c>
      <c r="M626" s="140"/>
      <c r="N626" s="140">
        <f>ROUND(+I626-H626,4)</f>
        <v>0</v>
      </c>
      <c r="O626" s="143">
        <f>ROUND(+(N626)*C626*50%,4)</f>
        <v>0</v>
      </c>
      <c r="P626" s="147">
        <f>ROUND(O626+L626,4)</f>
        <v>0</v>
      </c>
      <c r="Q626" s="80"/>
      <c r="R626" s="81"/>
      <c r="S626" s="84"/>
    </row>
    <row r="627" spans="1:19" x14ac:dyDescent="0.2">
      <c r="A627" s="47"/>
      <c r="B627" s="36"/>
      <c r="C627" s="138"/>
      <c r="D627" s="140"/>
      <c r="E627" s="48"/>
      <c r="F627" s="140"/>
      <c r="G627" s="140"/>
      <c r="H627" s="140">
        <f>ROUND(+D627+F627,4)</f>
        <v>0</v>
      </c>
      <c r="I627" s="140">
        <v>0</v>
      </c>
      <c r="J627" s="140">
        <v>0.03</v>
      </c>
      <c r="K627" s="140">
        <f>ROUND(IF(E627="alluminio",(I627)*3%,0)+IF(E627="alluminio smaltato",(I627)*3%,0),4)</f>
        <v>0</v>
      </c>
      <c r="L627" s="143">
        <f>ROUND((J627*C627)+(K627*C627),4)</f>
        <v>0</v>
      </c>
      <c r="M627" s="140"/>
      <c r="N627" s="140">
        <f>ROUND(+I627-H627,4)</f>
        <v>0</v>
      </c>
      <c r="O627" s="143">
        <f>ROUND(+(N627)*C627*50%,4)</f>
        <v>0</v>
      </c>
      <c r="P627" s="147">
        <f>ROUND(O627+L627,4)</f>
        <v>0</v>
      </c>
      <c r="Q627" s="80"/>
      <c r="R627" s="81"/>
      <c r="S627" s="84"/>
    </row>
    <row r="628" spans="1:19" x14ac:dyDescent="0.2">
      <c r="A628" s="47"/>
      <c r="B628" s="36"/>
      <c r="C628" s="138"/>
      <c r="D628" s="140"/>
      <c r="E628" s="48"/>
      <c r="F628" s="140"/>
      <c r="G628" s="140"/>
      <c r="H628" s="140">
        <f>ROUND(+D628+F628,4)</f>
        <v>0</v>
      </c>
      <c r="I628" s="140">
        <v>0</v>
      </c>
      <c r="J628" s="140">
        <v>0.03</v>
      </c>
      <c r="K628" s="140">
        <f>ROUND(IF(E628="alluminio",(I628)*3%,0)+IF(E628="alluminio smaltato",(I628)*3%,0),4)</f>
        <v>0</v>
      </c>
      <c r="L628" s="143">
        <f>ROUND((J628*C628)+(K628*C628),4)</f>
        <v>0</v>
      </c>
      <c r="M628" s="140"/>
      <c r="N628" s="140">
        <f>ROUND(+I628-H628,4)</f>
        <v>0</v>
      </c>
      <c r="O628" s="143">
        <f>ROUND(+(N628)*C628*50%,4)</f>
        <v>0</v>
      </c>
      <c r="P628" s="147">
        <f>ROUND(O628+L628,4)</f>
        <v>0</v>
      </c>
      <c r="Q628" s="80"/>
      <c r="R628" s="81"/>
      <c r="S628" s="84"/>
    </row>
    <row r="629" spans="1:19" x14ac:dyDescent="0.2">
      <c r="A629" s="47"/>
      <c r="B629" s="36"/>
      <c r="C629" s="138"/>
      <c r="D629" s="140"/>
      <c r="E629" s="48"/>
      <c r="F629" s="140"/>
      <c r="G629" s="140"/>
      <c r="H629" s="140">
        <f>ROUND(+D629+F629,4)</f>
        <v>0</v>
      </c>
      <c r="I629" s="140">
        <v>0</v>
      </c>
      <c r="J629" s="140">
        <v>0.03</v>
      </c>
      <c r="K629" s="140">
        <f>ROUND(IF(E629="alluminio",(I629)*3%,0)+IF(E629="alluminio smaltato",(I629)*3%,0),4)</f>
        <v>0</v>
      </c>
      <c r="L629" s="143">
        <f>ROUND((J629*C629)+(K629*C629),4)</f>
        <v>0</v>
      </c>
      <c r="M629" s="140"/>
      <c r="N629" s="140">
        <f>ROUND(+I629-H629,4)</f>
        <v>0</v>
      </c>
      <c r="O629" s="143">
        <f>ROUND(+(N629)*C629*50%,4)</f>
        <v>0</v>
      </c>
      <c r="P629" s="147">
        <f>ROUND(O629+L629,4)</f>
        <v>0</v>
      </c>
      <c r="Q629" s="80"/>
      <c r="R629" s="81"/>
      <c r="S629" s="84"/>
    </row>
    <row r="630" spans="1:19" x14ac:dyDescent="0.2">
      <c r="A630" s="47"/>
      <c r="B630" s="36"/>
      <c r="C630" s="138"/>
      <c r="D630" s="140"/>
      <c r="E630" s="48"/>
      <c r="F630" s="140"/>
      <c r="G630" s="140"/>
      <c r="H630" s="140">
        <f>ROUND(+D630+F630,4)</f>
        <v>0</v>
      </c>
      <c r="I630" s="140">
        <v>0</v>
      </c>
      <c r="J630" s="140">
        <v>0.03</v>
      </c>
      <c r="K630" s="140">
        <f>ROUND(IF(E630="alluminio",(I630)*3%,0)+IF(E630="alluminio smaltato",(I630)*3%,0),4)</f>
        <v>0</v>
      </c>
      <c r="L630" s="143">
        <f>ROUND((J630*C630)+(K630*C630),4)</f>
        <v>0</v>
      </c>
      <c r="M630" s="140"/>
      <c r="N630" s="140">
        <f>ROUND(+I630-H630,4)</f>
        <v>0</v>
      </c>
      <c r="O630" s="143">
        <f>ROUND(+(N630)*C630*50%,4)</f>
        <v>0</v>
      </c>
      <c r="P630" s="147">
        <f>ROUND(O630+L630,4)</f>
        <v>0</v>
      </c>
      <c r="Q630" s="80"/>
      <c r="R630" s="81"/>
      <c r="S630" s="84"/>
    </row>
    <row r="631" spans="1:19" x14ac:dyDescent="0.2">
      <c r="A631" s="47"/>
      <c r="B631" s="36"/>
      <c r="C631" s="138"/>
      <c r="D631" s="140"/>
      <c r="E631" s="48"/>
      <c r="F631" s="140"/>
      <c r="G631" s="140"/>
      <c r="H631" s="140">
        <f>ROUND(+D631+F631,4)</f>
        <v>0</v>
      </c>
      <c r="I631" s="140">
        <v>0</v>
      </c>
      <c r="J631" s="140">
        <v>0.03</v>
      </c>
      <c r="K631" s="140">
        <f>ROUND(IF(E631="alluminio",(I631)*3%,0)+IF(E631="alluminio smaltato",(I631)*3%,0),4)</f>
        <v>0</v>
      </c>
      <c r="L631" s="143">
        <f>ROUND((J631*C631)+(K631*C631),4)</f>
        <v>0</v>
      </c>
      <c r="M631" s="140"/>
      <c r="N631" s="140">
        <f>ROUND(+I631-H631,4)</f>
        <v>0</v>
      </c>
      <c r="O631" s="143">
        <f>ROUND(+(N631)*C631*50%,4)</f>
        <v>0</v>
      </c>
      <c r="P631" s="147">
        <f>ROUND(O631+L631,4)</f>
        <v>0</v>
      </c>
      <c r="Q631" s="80"/>
      <c r="R631" s="81"/>
      <c r="S631" s="84"/>
    </row>
    <row r="632" spans="1:19" x14ac:dyDescent="0.2">
      <c r="A632" s="47"/>
      <c r="B632" s="36"/>
      <c r="C632" s="138"/>
      <c r="D632" s="140"/>
      <c r="E632" s="48"/>
      <c r="F632" s="140"/>
      <c r="G632" s="140"/>
      <c r="H632" s="140">
        <f>ROUND(+D632+F632,4)</f>
        <v>0</v>
      </c>
      <c r="I632" s="140">
        <v>0</v>
      </c>
      <c r="J632" s="140">
        <v>0.03</v>
      </c>
      <c r="K632" s="140">
        <f>ROUND(IF(E632="alluminio",(I632)*3%,0)+IF(E632="alluminio smaltato",(I632)*3%,0),4)</f>
        <v>0</v>
      </c>
      <c r="L632" s="143">
        <f>ROUND((J632*C632)+(K632*C632),4)</f>
        <v>0</v>
      </c>
      <c r="M632" s="140"/>
      <c r="N632" s="140">
        <f>ROUND(+I632-H632,4)</f>
        <v>0</v>
      </c>
      <c r="O632" s="143">
        <f>ROUND(+(N632)*C632*50%,4)</f>
        <v>0</v>
      </c>
      <c r="P632" s="147">
        <f>ROUND(O632+L632,4)</f>
        <v>0</v>
      </c>
      <c r="Q632" s="80"/>
      <c r="R632" s="81"/>
      <c r="S632" s="84"/>
    </row>
    <row r="633" spans="1:19" x14ac:dyDescent="0.2">
      <c r="A633" s="47"/>
      <c r="B633" s="36"/>
      <c r="C633" s="138"/>
      <c r="D633" s="140"/>
      <c r="E633" s="48"/>
      <c r="F633" s="140"/>
      <c r="G633" s="140"/>
      <c r="H633" s="140">
        <f>ROUND(+D633+F633,4)</f>
        <v>0</v>
      </c>
      <c r="I633" s="140">
        <v>0</v>
      </c>
      <c r="J633" s="140">
        <v>0.03</v>
      </c>
      <c r="K633" s="140">
        <f>ROUND(IF(E633="alluminio",(I633)*3%,0)+IF(E633="alluminio smaltato",(I633)*3%,0),4)</f>
        <v>0</v>
      </c>
      <c r="L633" s="143">
        <f>ROUND((J633*C633)+(K633*C633),4)</f>
        <v>0</v>
      </c>
      <c r="M633" s="140"/>
      <c r="N633" s="140">
        <f>ROUND(+I633-H633,4)</f>
        <v>0</v>
      </c>
      <c r="O633" s="143">
        <f>ROUND(+(N633)*C633*50%,4)</f>
        <v>0</v>
      </c>
      <c r="P633" s="147">
        <f>ROUND(O633+L633,4)</f>
        <v>0</v>
      </c>
      <c r="Q633" s="80"/>
      <c r="R633" s="81"/>
      <c r="S633" s="84"/>
    </row>
    <row r="634" spans="1:19" x14ac:dyDescent="0.2">
      <c r="A634" s="47"/>
      <c r="B634" s="36"/>
      <c r="C634" s="138"/>
      <c r="D634" s="140"/>
      <c r="E634" s="48"/>
      <c r="F634" s="140"/>
      <c r="G634" s="140"/>
      <c r="H634" s="140">
        <f>ROUND(+D634+F634,4)</f>
        <v>0</v>
      </c>
      <c r="I634" s="140">
        <v>0</v>
      </c>
      <c r="J634" s="140">
        <v>0.03</v>
      </c>
      <c r="K634" s="140">
        <f>ROUND(IF(E634="alluminio",(I634)*3%,0)+IF(E634="alluminio smaltato",(I634)*3%,0),4)</f>
        <v>0</v>
      </c>
      <c r="L634" s="143">
        <f>ROUND((J634*C634)+(K634*C634),4)</f>
        <v>0</v>
      </c>
      <c r="M634" s="140"/>
      <c r="N634" s="140">
        <f>ROUND(+I634-H634,4)</f>
        <v>0</v>
      </c>
      <c r="O634" s="143">
        <f>ROUND(+(N634)*C634*50%,4)</f>
        <v>0</v>
      </c>
      <c r="P634" s="147">
        <f>ROUND(O634+L634,4)</f>
        <v>0</v>
      </c>
      <c r="Q634" s="80"/>
      <c r="R634" s="81"/>
      <c r="S634" s="84"/>
    </row>
    <row r="635" spans="1:19" x14ac:dyDescent="0.2">
      <c r="A635" s="47"/>
      <c r="B635" s="36"/>
      <c r="C635" s="138"/>
      <c r="D635" s="140"/>
      <c r="E635" s="48"/>
      <c r="F635" s="140"/>
      <c r="G635" s="140"/>
      <c r="H635" s="140">
        <f>ROUND(+D635+F635,4)</f>
        <v>0</v>
      </c>
      <c r="I635" s="140">
        <v>0</v>
      </c>
      <c r="J635" s="140">
        <v>0.03</v>
      </c>
      <c r="K635" s="140">
        <f>ROUND(IF(E635="alluminio",(I635)*3%,0)+IF(E635="alluminio smaltato",(I635)*3%,0),4)</f>
        <v>0</v>
      </c>
      <c r="L635" s="143">
        <f>ROUND((J635*C635)+(K635*C635),4)</f>
        <v>0</v>
      </c>
      <c r="M635" s="140"/>
      <c r="N635" s="140">
        <f>ROUND(+I635-H635,4)</f>
        <v>0</v>
      </c>
      <c r="O635" s="143">
        <f>ROUND(+(N635)*C635*50%,4)</f>
        <v>0</v>
      </c>
      <c r="P635" s="147">
        <f>ROUND(O635+L635,4)</f>
        <v>0</v>
      </c>
      <c r="Q635" s="80"/>
      <c r="R635" s="81"/>
      <c r="S635" s="84"/>
    </row>
    <row r="636" spans="1:19" x14ac:dyDescent="0.2">
      <c r="A636" s="47"/>
      <c r="B636" s="36"/>
      <c r="C636" s="138"/>
      <c r="D636" s="140"/>
      <c r="E636" s="48"/>
      <c r="F636" s="140"/>
      <c r="G636" s="140"/>
      <c r="H636" s="140">
        <f>ROUND(+D636+F636,4)</f>
        <v>0</v>
      </c>
      <c r="I636" s="140">
        <v>0</v>
      </c>
      <c r="J636" s="140">
        <v>0.03</v>
      </c>
      <c r="K636" s="140">
        <f>ROUND(IF(E636="alluminio",(I636)*3%,0)+IF(E636="alluminio smaltato",(I636)*3%,0),4)</f>
        <v>0</v>
      </c>
      <c r="L636" s="143">
        <f>ROUND((J636*C636)+(K636*C636),4)</f>
        <v>0</v>
      </c>
      <c r="M636" s="140"/>
      <c r="N636" s="140">
        <f>ROUND(+I636-H636,4)</f>
        <v>0</v>
      </c>
      <c r="O636" s="143">
        <f>ROUND(+(N636)*C636*50%,4)</f>
        <v>0</v>
      </c>
      <c r="P636" s="147">
        <f>ROUND(O636+L636,4)</f>
        <v>0</v>
      </c>
      <c r="Q636" s="80"/>
      <c r="R636" s="81"/>
      <c r="S636" s="84"/>
    </row>
    <row r="637" spans="1:19" x14ac:dyDescent="0.2">
      <c r="A637" s="47"/>
      <c r="B637" s="36"/>
      <c r="C637" s="138"/>
      <c r="D637" s="140"/>
      <c r="E637" s="48"/>
      <c r="F637" s="140"/>
      <c r="G637" s="140"/>
      <c r="H637" s="140">
        <f>ROUND(+D637+F637,4)</f>
        <v>0</v>
      </c>
      <c r="I637" s="140">
        <v>0</v>
      </c>
      <c r="J637" s="140">
        <v>0.03</v>
      </c>
      <c r="K637" s="140">
        <f>ROUND(IF(E637="alluminio",(I637)*3%,0)+IF(E637="alluminio smaltato",(I637)*3%,0),4)</f>
        <v>0</v>
      </c>
      <c r="L637" s="143">
        <f>ROUND((J637*C637)+(K637*C637),4)</f>
        <v>0</v>
      </c>
      <c r="M637" s="140"/>
      <c r="N637" s="140">
        <f>ROUND(+I637-H637,4)</f>
        <v>0</v>
      </c>
      <c r="O637" s="143">
        <f>ROUND(+(N637)*C637*50%,4)</f>
        <v>0</v>
      </c>
      <c r="P637" s="147">
        <f>ROUND(O637+L637,4)</f>
        <v>0</v>
      </c>
      <c r="Q637" s="80"/>
      <c r="R637" s="81"/>
      <c r="S637" s="84"/>
    </row>
    <row r="638" spans="1:19" x14ac:dyDescent="0.2">
      <c r="A638" s="47"/>
      <c r="B638" s="36"/>
      <c r="C638" s="138"/>
      <c r="D638" s="140"/>
      <c r="E638" s="48"/>
      <c r="F638" s="140"/>
      <c r="G638" s="140"/>
      <c r="H638" s="140">
        <f>ROUND(+D638+F638,4)</f>
        <v>0</v>
      </c>
      <c r="I638" s="140">
        <v>0</v>
      </c>
      <c r="J638" s="140">
        <v>0.03</v>
      </c>
      <c r="K638" s="140">
        <f>ROUND(IF(E638="alluminio",(I638)*3%,0)+IF(E638="alluminio smaltato",(I638)*3%,0),4)</f>
        <v>0</v>
      </c>
      <c r="L638" s="143">
        <f>ROUND((J638*C638)+(K638*C638),4)</f>
        <v>0</v>
      </c>
      <c r="M638" s="140"/>
      <c r="N638" s="140">
        <f>ROUND(+I638-H638,4)</f>
        <v>0</v>
      </c>
      <c r="O638" s="143">
        <f>ROUND(+(N638)*C638*50%,4)</f>
        <v>0</v>
      </c>
      <c r="P638" s="147">
        <f>ROUND(O638+L638,4)</f>
        <v>0</v>
      </c>
      <c r="Q638" s="80"/>
      <c r="R638" s="81"/>
      <c r="S638" s="84"/>
    </row>
    <row r="639" spans="1:19" x14ac:dyDescent="0.2">
      <c r="A639" s="47"/>
      <c r="B639" s="36"/>
      <c r="C639" s="138"/>
      <c r="D639" s="140"/>
      <c r="E639" s="48"/>
      <c r="F639" s="140"/>
      <c r="G639" s="140"/>
      <c r="H639" s="140">
        <f>ROUND(+D639+F639,4)</f>
        <v>0</v>
      </c>
      <c r="I639" s="140">
        <v>0</v>
      </c>
      <c r="J639" s="140">
        <v>0.03</v>
      </c>
      <c r="K639" s="140">
        <f>ROUND(IF(E639="alluminio",(I639)*3%,0)+IF(E639="alluminio smaltato",(I639)*3%,0),4)</f>
        <v>0</v>
      </c>
      <c r="L639" s="143">
        <f>ROUND((J639*C639)+(K639*C639),4)</f>
        <v>0</v>
      </c>
      <c r="M639" s="140"/>
      <c r="N639" s="140">
        <f>ROUND(+I639-H639,4)</f>
        <v>0</v>
      </c>
      <c r="O639" s="143">
        <f>ROUND(+(N639)*C639*50%,4)</f>
        <v>0</v>
      </c>
      <c r="P639" s="147">
        <f>ROUND(O639+L639,4)</f>
        <v>0</v>
      </c>
      <c r="Q639" s="80"/>
      <c r="R639" s="81"/>
      <c r="S639" s="84"/>
    </row>
    <row r="640" spans="1:19" x14ac:dyDescent="0.2">
      <c r="A640" s="47"/>
      <c r="B640" s="36"/>
      <c r="C640" s="138"/>
      <c r="D640" s="140"/>
      <c r="E640" s="48"/>
      <c r="F640" s="140"/>
      <c r="G640" s="140"/>
      <c r="H640" s="140">
        <f>ROUND(+D640+F640,4)</f>
        <v>0</v>
      </c>
      <c r="I640" s="140">
        <v>0</v>
      </c>
      <c r="J640" s="140">
        <v>0.03</v>
      </c>
      <c r="K640" s="140">
        <f>ROUND(IF(E640="alluminio",(I640)*3%,0)+IF(E640="alluminio smaltato",(I640)*3%,0),4)</f>
        <v>0</v>
      </c>
      <c r="L640" s="143">
        <f>ROUND((J640*C640)+(K640*C640),4)</f>
        <v>0</v>
      </c>
      <c r="M640" s="140"/>
      <c r="N640" s="140">
        <f>ROUND(+I640-H640,4)</f>
        <v>0</v>
      </c>
      <c r="O640" s="143">
        <f>ROUND(+(N640)*C640*50%,4)</f>
        <v>0</v>
      </c>
      <c r="P640" s="147">
        <f>ROUND(O640+L640,4)</f>
        <v>0</v>
      </c>
      <c r="Q640" s="80"/>
      <c r="R640" s="81"/>
      <c r="S640" s="84"/>
    </row>
    <row r="641" spans="1:19" x14ac:dyDescent="0.2">
      <c r="A641" s="47"/>
      <c r="B641" s="36"/>
      <c r="C641" s="138"/>
      <c r="D641" s="140"/>
      <c r="E641" s="48"/>
      <c r="F641" s="140"/>
      <c r="G641" s="140"/>
      <c r="H641" s="140">
        <f>ROUND(+D641+F641,4)</f>
        <v>0</v>
      </c>
      <c r="I641" s="140">
        <v>0</v>
      </c>
      <c r="J641" s="140">
        <v>0.03</v>
      </c>
      <c r="K641" s="140">
        <f>ROUND(IF(E641="alluminio",(I641)*3%,0)+IF(E641="alluminio smaltato",(I641)*3%,0),4)</f>
        <v>0</v>
      </c>
      <c r="L641" s="143">
        <f>ROUND((J641*C641)+(K641*C641),4)</f>
        <v>0</v>
      </c>
      <c r="M641" s="140"/>
      <c r="N641" s="140">
        <f>ROUND(+I641-H641,4)</f>
        <v>0</v>
      </c>
      <c r="O641" s="143">
        <f>ROUND(+(N641)*C641*50%,4)</f>
        <v>0</v>
      </c>
      <c r="P641" s="147">
        <f>ROUND(O641+L641,4)</f>
        <v>0</v>
      </c>
      <c r="Q641" s="80"/>
      <c r="R641" s="81"/>
      <c r="S641" s="84"/>
    </row>
    <row r="642" spans="1:19" x14ac:dyDescent="0.2">
      <c r="A642" s="47"/>
      <c r="B642" s="36"/>
      <c r="C642" s="138"/>
      <c r="D642" s="140"/>
      <c r="E642" s="48"/>
      <c r="F642" s="140"/>
      <c r="G642" s="140"/>
      <c r="H642" s="140">
        <f>ROUND(+D642+F642,4)</f>
        <v>0</v>
      </c>
      <c r="I642" s="140">
        <v>0</v>
      </c>
      <c r="J642" s="140">
        <v>0.03</v>
      </c>
      <c r="K642" s="140">
        <f>ROUND(IF(E642="alluminio",(I642)*3%,0)+IF(E642="alluminio smaltato",(I642)*3%,0),4)</f>
        <v>0</v>
      </c>
      <c r="L642" s="143">
        <f>ROUND((J642*C642)+(K642*C642),4)</f>
        <v>0</v>
      </c>
      <c r="M642" s="140"/>
      <c r="N642" s="140">
        <f>ROUND(+I642-H642,4)</f>
        <v>0</v>
      </c>
      <c r="O642" s="143">
        <f>ROUND(+(N642)*C642*50%,4)</f>
        <v>0</v>
      </c>
      <c r="P642" s="147">
        <f>ROUND(O642+L642,4)</f>
        <v>0</v>
      </c>
      <c r="Q642" s="80"/>
      <c r="R642" s="81"/>
      <c r="S642" s="84"/>
    </row>
    <row r="643" spans="1:19" x14ac:dyDescent="0.2">
      <c r="A643" s="47"/>
      <c r="B643" s="36"/>
      <c r="C643" s="138"/>
      <c r="D643" s="140"/>
      <c r="E643" s="48"/>
      <c r="F643" s="140"/>
      <c r="G643" s="140"/>
      <c r="H643" s="140">
        <f>ROUND(+D643+F643,4)</f>
        <v>0</v>
      </c>
      <c r="I643" s="140">
        <v>0</v>
      </c>
      <c r="J643" s="140">
        <v>0.03</v>
      </c>
      <c r="K643" s="140">
        <f>ROUND(IF(E643="alluminio",(I643)*3%,0)+IF(E643="alluminio smaltato",(I643)*3%,0),4)</f>
        <v>0</v>
      </c>
      <c r="L643" s="143">
        <f>ROUND((J643*C643)+(K643*C643),4)</f>
        <v>0</v>
      </c>
      <c r="M643" s="140"/>
      <c r="N643" s="140">
        <f>ROUND(+I643-H643,4)</f>
        <v>0</v>
      </c>
      <c r="O643" s="143">
        <f>ROUND(+(N643)*C643*50%,4)</f>
        <v>0</v>
      </c>
      <c r="P643" s="147">
        <f>ROUND(O643+L643,4)</f>
        <v>0</v>
      </c>
      <c r="Q643" s="80"/>
      <c r="R643" s="81"/>
      <c r="S643" s="84"/>
    </row>
    <row r="644" spans="1:19" x14ac:dyDescent="0.2">
      <c r="A644" s="47"/>
      <c r="B644" s="36"/>
      <c r="C644" s="138"/>
      <c r="D644" s="140"/>
      <c r="E644" s="48"/>
      <c r="F644" s="140"/>
      <c r="G644" s="140"/>
      <c r="H644" s="140">
        <f>ROUND(+D644+F644,4)</f>
        <v>0</v>
      </c>
      <c r="I644" s="140">
        <v>0</v>
      </c>
      <c r="J644" s="140">
        <v>0.03</v>
      </c>
      <c r="K644" s="140">
        <f>ROUND(IF(E644="alluminio",(I644)*3%,0)+IF(E644="alluminio smaltato",(I644)*3%,0),4)</f>
        <v>0</v>
      </c>
      <c r="L644" s="143">
        <f>ROUND((J644*C644)+(K644*C644),4)</f>
        <v>0</v>
      </c>
      <c r="M644" s="140"/>
      <c r="N644" s="140">
        <f>ROUND(+I644-H644,4)</f>
        <v>0</v>
      </c>
      <c r="O644" s="143">
        <f>ROUND(+(N644)*C644*50%,4)</f>
        <v>0</v>
      </c>
      <c r="P644" s="147">
        <f>ROUND(O644+L644,4)</f>
        <v>0</v>
      </c>
      <c r="Q644" s="80"/>
      <c r="R644" s="81"/>
      <c r="S644" s="84"/>
    </row>
    <row r="645" spans="1:19" x14ac:dyDescent="0.2">
      <c r="A645" s="47"/>
      <c r="B645" s="36"/>
      <c r="C645" s="138"/>
      <c r="D645" s="140"/>
      <c r="E645" s="48"/>
      <c r="F645" s="140"/>
      <c r="G645" s="140"/>
      <c r="H645" s="140">
        <f>ROUND(+D645+F645,4)</f>
        <v>0</v>
      </c>
      <c r="I645" s="140">
        <v>0</v>
      </c>
      <c r="J645" s="140">
        <v>0.03</v>
      </c>
      <c r="K645" s="140">
        <f>ROUND(IF(E645="alluminio",(I645)*3%,0)+IF(E645="alluminio smaltato",(I645)*3%,0),4)</f>
        <v>0</v>
      </c>
      <c r="L645" s="143">
        <f>ROUND((J645*C645)+(K645*C645),4)</f>
        <v>0</v>
      </c>
      <c r="M645" s="140"/>
      <c r="N645" s="140">
        <f>ROUND(+I645-H645,4)</f>
        <v>0</v>
      </c>
      <c r="O645" s="143">
        <f>ROUND(+(N645)*C645*50%,4)</f>
        <v>0</v>
      </c>
      <c r="P645" s="147">
        <f>ROUND(O645+L645,4)</f>
        <v>0</v>
      </c>
      <c r="Q645" s="80"/>
      <c r="R645" s="81"/>
      <c r="S645" s="84"/>
    </row>
    <row r="646" spans="1:19" x14ac:dyDescent="0.2">
      <c r="A646" s="47"/>
      <c r="B646" s="36"/>
      <c r="C646" s="138"/>
      <c r="D646" s="140"/>
      <c r="E646" s="48"/>
      <c r="F646" s="140"/>
      <c r="G646" s="140"/>
      <c r="H646" s="140">
        <f>ROUND(+D646+F646,4)</f>
        <v>0</v>
      </c>
      <c r="I646" s="140">
        <v>0</v>
      </c>
      <c r="J646" s="140">
        <v>0.03</v>
      </c>
      <c r="K646" s="140">
        <f>ROUND(IF(E646="alluminio",(I646)*3%,0)+IF(E646="alluminio smaltato",(I646)*3%,0),4)</f>
        <v>0</v>
      </c>
      <c r="L646" s="143">
        <f>ROUND((J646*C646)+(K646*C646),4)</f>
        <v>0</v>
      </c>
      <c r="M646" s="140"/>
      <c r="N646" s="140">
        <f>ROUND(+I646-H646,4)</f>
        <v>0</v>
      </c>
      <c r="O646" s="143">
        <f>ROUND(+(N646)*C646*50%,4)</f>
        <v>0</v>
      </c>
      <c r="P646" s="147">
        <f>ROUND(O646+L646,4)</f>
        <v>0</v>
      </c>
      <c r="Q646" s="80"/>
      <c r="R646" s="81"/>
      <c r="S646" s="84"/>
    </row>
    <row r="647" spans="1:19" x14ac:dyDescent="0.2">
      <c r="A647" s="47"/>
      <c r="B647" s="36"/>
      <c r="C647" s="138"/>
      <c r="D647" s="140"/>
      <c r="E647" s="48"/>
      <c r="F647" s="140"/>
      <c r="G647" s="140"/>
      <c r="H647" s="140">
        <f>ROUND(+D647+F647,4)</f>
        <v>0</v>
      </c>
      <c r="I647" s="140">
        <v>0</v>
      </c>
      <c r="J647" s="140">
        <v>0.03</v>
      </c>
      <c r="K647" s="140">
        <f>ROUND(IF(E647="alluminio",(I647)*3%,0)+IF(E647="alluminio smaltato",(I647)*3%,0),4)</f>
        <v>0</v>
      </c>
      <c r="L647" s="143">
        <f>ROUND((J647*C647)+(K647*C647),4)</f>
        <v>0</v>
      </c>
      <c r="M647" s="140"/>
      <c r="N647" s="140">
        <f>ROUND(+I647-H647,4)</f>
        <v>0</v>
      </c>
      <c r="O647" s="143">
        <f>ROUND(+(N647)*C647*50%,4)</f>
        <v>0</v>
      </c>
      <c r="P647" s="147">
        <f>ROUND(O647+L647,4)</f>
        <v>0</v>
      </c>
      <c r="Q647" s="80"/>
      <c r="R647" s="81"/>
      <c r="S647" s="84"/>
    </row>
    <row r="648" spans="1:19" x14ac:dyDescent="0.2">
      <c r="A648" s="47"/>
      <c r="B648" s="36"/>
      <c r="C648" s="138"/>
      <c r="D648" s="140"/>
      <c r="E648" s="48"/>
      <c r="F648" s="140"/>
      <c r="G648" s="140"/>
      <c r="H648" s="140">
        <f>ROUND(+D648+F648,4)</f>
        <v>0</v>
      </c>
      <c r="I648" s="140">
        <v>0</v>
      </c>
      <c r="J648" s="140">
        <v>0.03</v>
      </c>
      <c r="K648" s="140">
        <f>ROUND(IF(E648="alluminio",(I648)*3%,0)+IF(E648="alluminio smaltato",(I648)*3%,0),4)</f>
        <v>0</v>
      </c>
      <c r="L648" s="143">
        <f>ROUND((J648*C648)+(K648*C648),4)</f>
        <v>0</v>
      </c>
      <c r="M648" s="140"/>
      <c r="N648" s="140">
        <f>ROUND(+I648-H648,4)</f>
        <v>0</v>
      </c>
      <c r="O648" s="143">
        <f>ROUND(+(N648)*C648*50%,4)</f>
        <v>0</v>
      </c>
      <c r="P648" s="147">
        <f>ROUND(O648+L648,4)</f>
        <v>0</v>
      </c>
      <c r="Q648" s="80"/>
      <c r="R648" s="81"/>
      <c r="S648" s="84"/>
    </row>
    <row r="649" spans="1:19" x14ac:dyDescent="0.2">
      <c r="A649" s="47"/>
      <c r="B649" s="36"/>
      <c r="C649" s="138"/>
      <c r="D649" s="140"/>
      <c r="E649" s="48"/>
      <c r="F649" s="140"/>
      <c r="G649" s="140"/>
      <c r="H649" s="140">
        <f>ROUND(+D649+F649,4)</f>
        <v>0</v>
      </c>
      <c r="I649" s="140">
        <v>0</v>
      </c>
      <c r="J649" s="140">
        <v>0.03</v>
      </c>
      <c r="K649" s="140">
        <f>ROUND(IF(E649="alluminio",(I649)*3%,0)+IF(E649="alluminio smaltato",(I649)*3%,0),4)</f>
        <v>0</v>
      </c>
      <c r="L649" s="143">
        <f>ROUND((J649*C649)+(K649*C649),4)</f>
        <v>0</v>
      </c>
      <c r="M649" s="140"/>
      <c r="N649" s="140">
        <f>ROUND(+I649-H649,4)</f>
        <v>0</v>
      </c>
      <c r="O649" s="143">
        <f>ROUND(+(N649)*C649*50%,4)</f>
        <v>0</v>
      </c>
      <c r="P649" s="147">
        <f>ROUND(O649+L649,4)</f>
        <v>0</v>
      </c>
      <c r="Q649" s="80"/>
      <c r="R649" s="81"/>
      <c r="S649" s="84"/>
    </row>
    <row r="650" spans="1:19" x14ac:dyDescent="0.2">
      <c r="A650" s="47"/>
      <c r="B650" s="36"/>
      <c r="C650" s="138"/>
      <c r="D650" s="140"/>
      <c r="E650" s="48"/>
      <c r="F650" s="140"/>
      <c r="G650" s="140"/>
      <c r="H650" s="140">
        <f>ROUND(+D650+F650,4)</f>
        <v>0</v>
      </c>
      <c r="I650" s="140">
        <v>0</v>
      </c>
      <c r="J650" s="140">
        <v>0.03</v>
      </c>
      <c r="K650" s="140">
        <f>ROUND(IF(E650="alluminio",(I650)*3%,0)+IF(E650="alluminio smaltato",(I650)*3%,0),4)</f>
        <v>0</v>
      </c>
      <c r="L650" s="143">
        <f>ROUND((J650*C650)+(K650*C650),4)</f>
        <v>0</v>
      </c>
      <c r="M650" s="140"/>
      <c r="N650" s="140">
        <f>ROUND(+I650-H650,4)</f>
        <v>0</v>
      </c>
      <c r="O650" s="143">
        <f>ROUND(+(N650)*C650*50%,4)</f>
        <v>0</v>
      </c>
      <c r="P650" s="147">
        <f>ROUND(O650+L650,4)</f>
        <v>0</v>
      </c>
      <c r="Q650" s="80"/>
      <c r="R650" s="81"/>
      <c r="S650" s="84"/>
    </row>
    <row r="651" spans="1:19" x14ac:dyDescent="0.2">
      <c r="A651" s="47"/>
      <c r="B651" s="36"/>
      <c r="C651" s="138"/>
      <c r="D651" s="140"/>
      <c r="E651" s="48"/>
      <c r="F651" s="140"/>
      <c r="G651" s="140"/>
      <c r="H651" s="140">
        <f>ROUND(+D651+F651,4)</f>
        <v>0</v>
      </c>
      <c r="I651" s="140">
        <v>0</v>
      </c>
      <c r="J651" s="140">
        <v>0.03</v>
      </c>
      <c r="K651" s="140">
        <f>ROUND(IF(E651="alluminio",(I651)*3%,0)+IF(E651="alluminio smaltato",(I651)*3%,0),4)</f>
        <v>0</v>
      </c>
      <c r="L651" s="143">
        <f>ROUND((J651*C651)+(K651*C651),4)</f>
        <v>0</v>
      </c>
      <c r="M651" s="140"/>
      <c r="N651" s="140">
        <f>ROUND(+I651-H651,4)</f>
        <v>0</v>
      </c>
      <c r="O651" s="143">
        <f>ROUND(+(N651)*C651*50%,4)</f>
        <v>0</v>
      </c>
      <c r="P651" s="147">
        <f>ROUND(O651+L651,4)</f>
        <v>0</v>
      </c>
      <c r="Q651" s="80"/>
      <c r="R651" s="81"/>
      <c r="S651" s="84"/>
    </row>
    <row r="652" spans="1:19" x14ac:dyDescent="0.2">
      <c r="A652" s="47"/>
      <c r="B652" s="36"/>
      <c r="C652" s="138"/>
      <c r="D652" s="140"/>
      <c r="E652" s="48"/>
      <c r="F652" s="140"/>
      <c r="G652" s="140"/>
      <c r="H652" s="140">
        <f>ROUND(+D652+F652,4)</f>
        <v>0</v>
      </c>
      <c r="I652" s="140">
        <v>0</v>
      </c>
      <c r="J652" s="140">
        <v>0.03</v>
      </c>
      <c r="K652" s="140">
        <f>ROUND(IF(E652="alluminio",(I652)*3%,0)+IF(E652="alluminio smaltato",(I652)*3%,0),4)</f>
        <v>0</v>
      </c>
      <c r="L652" s="143">
        <f>ROUND((J652*C652)+(K652*C652),4)</f>
        <v>0</v>
      </c>
      <c r="M652" s="140"/>
      <c r="N652" s="140">
        <f>ROUND(+I652-H652,4)</f>
        <v>0</v>
      </c>
      <c r="O652" s="143">
        <f>ROUND(+(N652)*C652*50%,4)</f>
        <v>0</v>
      </c>
      <c r="P652" s="147">
        <f>ROUND(O652+L652,4)</f>
        <v>0</v>
      </c>
      <c r="Q652" s="80"/>
      <c r="R652" s="81"/>
      <c r="S652" s="84"/>
    </row>
    <row r="653" spans="1:19" x14ac:dyDescent="0.2">
      <c r="A653" s="47"/>
      <c r="B653" s="36"/>
      <c r="C653" s="138"/>
      <c r="D653" s="140"/>
      <c r="E653" s="48"/>
      <c r="F653" s="140"/>
      <c r="G653" s="140"/>
      <c r="H653" s="140">
        <f>ROUND(+D653+F653,4)</f>
        <v>0</v>
      </c>
      <c r="I653" s="140">
        <v>0</v>
      </c>
      <c r="J653" s="140">
        <v>0.03</v>
      </c>
      <c r="K653" s="140">
        <f>ROUND(IF(E653="alluminio",(I653)*3%,0)+IF(E653="alluminio smaltato",(I653)*3%,0),4)</f>
        <v>0</v>
      </c>
      <c r="L653" s="143">
        <f>ROUND((J653*C653)+(K653*C653),4)</f>
        <v>0</v>
      </c>
      <c r="M653" s="140"/>
      <c r="N653" s="140">
        <f>ROUND(+I653-H653,4)</f>
        <v>0</v>
      </c>
      <c r="O653" s="143">
        <f>ROUND(+(N653)*C653*50%,4)</f>
        <v>0</v>
      </c>
      <c r="P653" s="147">
        <f>ROUND(O653+L653,4)</f>
        <v>0</v>
      </c>
      <c r="Q653" s="80"/>
      <c r="R653" s="81"/>
      <c r="S653" s="84"/>
    </row>
    <row r="654" spans="1:19" x14ac:dyDescent="0.2">
      <c r="A654" s="47"/>
      <c r="B654" s="36"/>
      <c r="C654" s="138"/>
      <c r="D654" s="140"/>
      <c r="E654" s="48"/>
      <c r="F654" s="140"/>
      <c r="G654" s="140"/>
      <c r="H654" s="140">
        <f>ROUND(+D654+F654,4)</f>
        <v>0</v>
      </c>
      <c r="I654" s="140">
        <v>0</v>
      </c>
      <c r="J654" s="140">
        <v>0.03</v>
      </c>
      <c r="K654" s="140">
        <f>ROUND(IF(E654="alluminio",(I654)*3%,0)+IF(E654="alluminio smaltato",(I654)*3%,0),4)</f>
        <v>0</v>
      </c>
      <c r="L654" s="143">
        <f>ROUND((J654*C654)+(K654*C654),4)</f>
        <v>0</v>
      </c>
      <c r="M654" s="140"/>
      <c r="N654" s="140">
        <f>ROUND(+I654-H654,4)</f>
        <v>0</v>
      </c>
      <c r="O654" s="143">
        <f>ROUND(+(N654)*C654*50%,4)</f>
        <v>0</v>
      </c>
      <c r="P654" s="147">
        <f>ROUND(O654+L654,4)</f>
        <v>0</v>
      </c>
      <c r="Q654" s="80"/>
      <c r="R654" s="81"/>
      <c r="S654" s="84"/>
    </row>
    <row r="655" spans="1:19" x14ac:dyDescent="0.2">
      <c r="A655" s="47"/>
      <c r="B655" s="36"/>
      <c r="C655" s="138"/>
      <c r="D655" s="140"/>
      <c r="E655" s="48"/>
      <c r="F655" s="140"/>
      <c r="G655" s="140"/>
      <c r="H655" s="140">
        <f>ROUND(+D655+F655,4)</f>
        <v>0</v>
      </c>
      <c r="I655" s="140">
        <v>0</v>
      </c>
      <c r="J655" s="140">
        <v>0.03</v>
      </c>
      <c r="K655" s="140">
        <f>ROUND(IF(E655="alluminio",(I655)*3%,0)+IF(E655="alluminio smaltato",(I655)*3%,0),4)</f>
        <v>0</v>
      </c>
      <c r="L655" s="143">
        <f>ROUND((J655*C655)+(K655*C655),4)</f>
        <v>0</v>
      </c>
      <c r="M655" s="140"/>
      <c r="N655" s="140">
        <f>ROUND(+I655-H655,4)</f>
        <v>0</v>
      </c>
      <c r="O655" s="143">
        <f>ROUND(+(N655)*C655*50%,4)</f>
        <v>0</v>
      </c>
      <c r="P655" s="147">
        <f>ROUND(O655+L655,4)</f>
        <v>0</v>
      </c>
      <c r="Q655" s="80"/>
      <c r="R655" s="81"/>
      <c r="S655" s="84"/>
    </row>
    <row r="656" spans="1:19" x14ac:dyDescent="0.2">
      <c r="A656" s="47"/>
      <c r="B656" s="36"/>
      <c r="C656" s="138"/>
      <c r="D656" s="140"/>
      <c r="E656" s="48"/>
      <c r="F656" s="140"/>
      <c r="G656" s="140"/>
      <c r="H656" s="140">
        <f>ROUND(+D656+F656,4)</f>
        <v>0</v>
      </c>
      <c r="I656" s="140">
        <v>0</v>
      </c>
      <c r="J656" s="140">
        <v>0.03</v>
      </c>
      <c r="K656" s="140">
        <f>ROUND(IF(E656="alluminio",(I656)*3%,0)+IF(E656="alluminio smaltato",(I656)*3%,0),4)</f>
        <v>0</v>
      </c>
      <c r="L656" s="143">
        <f>ROUND((J656*C656)+(K656*C656),4)</f>
        <v>0</v>
      </c>
      <c r="M656" s="140"/>
      <c r="N656" s="140">
        <f>ROUND(+I656-H656,4)</f>
        <v>0</v>
      </c>
      <c r="O656" s="143">
        <f>ROUND(+(N656)*C656*50%,4)</f>
        <v>0</v>
      </c>
      <c r="P656" s="147">
        <f>ROUND(O656+L656,4)</f>
        <v>0</v>
      </c>
      <c r="Q656" s="80"/>
      <c r="R656" s="81"/>
      <c r="S656" s="84"/>
    </row>
    <row r="657" spans="1:19" x14ac:dyDescent="0.2">
      <c r="A657" s="47"/>
      <c r="B657" s="36"/>
      <c r="C657" s="138"/>
      <c r="D657" s="140"/>
      <c r="E657" s="48"/>
      <c r="F657" s="140"/>
      <c r="G657" s="140"/>
      <c r="H657" s="140">
        <f>ROUND(+D657+F657,4)</f>
        <v>0</v>
      </c>
      <c r="I657" s="140">
        <v>0</v>
      </c>
      <c r="J657" s="140">
        <v>0.03</v>
      </c>
      <c r="K657" s="140">
        <f>ROUND(IF(E657="alluminio",(I657)*3%,0)+IF(E657="alluminio smaltato",(I657)*3%,0),4)</f>
        <v>0</v>
      </c>
      <c r="L657" s="143">
        <f>ROUND((J657*C657)+(K657*C657),4)</f>
        <v>0</v>
      </c>
      <c r="M657" s="140"/>
      <c r="N657" s="140">
        <f>ROUND(+I657-H657,4)</f>
        <v>0</v>
      </c>
      <c r="O657" s="143">
        <f>ROUND(+(N657)*C657*50%,4)</f>
        <v>0</v>
      </c>
      <c r="P657" s="147">
        <f>ROUND(O657+L657,4)</f>
        <v>0</v>
      </c>
      <c r="Q657" s="80"/>
      <c r="R657" s="81"/>
      <c r="S657" s="84"/>
    </row>
    <row r="658" spans="1:19" x14ac:dyDescent="0.2">
      <c r="A658" s="47"/>
      <c r="B658" s="36"/>
      <c r="C658" s="138"/>
      <c r="D658" s="140"/>
      <c r="E658" s="48"/>
      <c r="F658" s="140"/>
      <c r="G658" s="140"/>
      <c r="H658" s="140">
        <f>ROUND(+D658+F658,4)</f>
        <v>0</v>
      </c>
      <c r="I658" s="140">
        <v>0</v>
      </c>
      <c r="J658" s="140">
        <v>0.03</v>
      </c>
      <c r="K658" s="140">
        <f>ROUND(IF(E658="alluminio",(I658)*3%,0)+IF(E658="alluminio smaltato",(I658)*3%,0),4)</f>
        <v>0</v>
      </c>
      <c r="L658" s="143">
        <f>ROUND((J658*C658)+(K658*C658),4)</f>
        <v>0</v>
      </c>
      <c r="M658" s="140"/>
      <c r="N658" s="140">
        <f>ROUND(+I658-H658,4)</f>
        <v>0</v>
      </c>
      <c r="O658" s="143">
        <f>ROUND(+(N658)*C658*50%,4)</f>
        <v>0</v>
      </c>
      <c r="P658" s="147">
        <f>ROUND(O658+L658,4)</f>
        <v>0</v>
      </c>
      <c r="Q658" s="80"/>
      <c r="R658" s="81"/>
      <c r="S658" s="84"/>
    </row>
    <row r="659" spans="1:19" x14ac:dyDescent="0.2">
      <c r="A659" s="47"/>
      <c r="B659" s="36"/>
      <c r="C659" s="138"/>
      <c r="D659" s="140"/>
      <c r="E659" s="48"/>
      <c r="F659" s="140"/>
      <c r="G659" s="140"/>
      <c r="H659" s="140">
        <f>ROUND(+D659+F659,4)</f>
        <v>0</v>
      </c>
      <c r="I659" s="140">
        <v>0</v>
      </c>
      <c r="J659" s="140">
        <v>0.03</v>
      </c>
      <c r="K659" s="140">
        <f>ROUND(IF(E659="alluminio",(I659)*3%,0)+IF(E659="alluminio smaltato",(I659)*3%,0),4)</f>
        <v>0</v>
      </c>
      <c r="L659" s="143">
        <f>ROUND((J659*C659)+(K659*C659),4)</f>
        <v>0</v>
      </c>
      <c r="M659" s="140"/>
      <c r="N659" s="140">
        <f>ROUND(+I659-H659,4)</f>
        <v>0</v>
      </c>
      <c r="O659" s="143">
        <f>ROUND(+(N659)*C659*50%,4)</f>
        <v>0</v>
      </c>
      <c r="P659" s="147">
        <f>ROUND(O659+L659,4)</f>
        <v>0</v>
      </c>
      <c r="Q659" s="80"/>
      <c r="R659" s="81"/>
      <c r="S659" s="84"/>
    </row>
    <row r="660" spans="1:19" x14ac:dyDescent="0.2">
      <c r="A660" s="47"/>
      <c r="B660" s="36"/>
      <c r="C660" s="138"/>
      <c r="D660" s="140"/>
      <c r="E660" s="48"/>
      <c r="F660" s="140"/>
      <c r="G660" s="140"/>
      <c r="H660" s="140">
        <f>ROUND(+D660+F660,4)</f>
        <v>0</v>
      </c>
      <c r="I660" s="140">
        <v>0</v>
      </c>
      <c r="J660" s="140">
        <v>0.03</v>
      </c>
      <c r="K660" s="140">
        <f>ROUND(IF(E660="alluminio",(I660)*3%,0)+IF(E660="alluminio smaltato",(I660)*3%,0),4)</f>
        <v>0</v>
      </c>
      <c r="L660" s="143">
        <f>ROUND((J660*C660)+(K660*C660),4)</f>
        <v>0</v>
      </c>
      <c r="M660" s="140"/>
      <c r="N660" s="140">
        <f>ROUND(+I660-H660,4)</f>
        <v>0</v>
      </c>
      <c r="O660" s="143">
        <f>ROUND(+(N660)*C660*50%,4)</f>
        <v>0</v>
      </c>
      <c r="P660" s="147">
        <f>ROUND(O660+L660,4)</f>
        <v>0</v>
      </c>
      <c r="Q660" s="80"/>
      <c r="R660" s="81"/>
      <c r="S660" s="84"/>
    </row>
    <row r="661" spans="1:19" x14ac:dyDescent="0.2">
      <c r="A661" s="47"/>
      <c r="B661" s="36"/>
      <c r="C661" s="138"/>
      <c r="D661" s="140"/>
      <c r="E661" s="48"/>
      <c r="F661" s="140"/>
      <c r="G661" s="140"/>
      <c r="H661" s="140">
        <f>ROUND(+D661+F661,4)</f>
        <v>0</v>
      </c>
      <c r="I661" s="140">
        <v>0</v>
      </c>
      <c r="J661" s="140">
        <v>0.03</v>
      </c>
      <c r="K661" s="140">
        <f>ROUND(IF(E661="alluminio",(I661)*3%,0)+IF(E661="alluminio smaltato",(I661)*3%,0),4)</f>
        <v>0</v>
      </c>
      <c r="L661" s="143">
        <f>ROUND((J661*C661)+(K661*C661),4)</f>
        <v>0</v>
      </c>
      <c r="M661" s="140"/>
      <c r="N661" s="140">
        <f>ROUND(+I661-H661,4)</f>
        <v>0</v>
      </c>
      <c r="O661" s="143">
        <f>ROUND(+(N661)*C661*50%,4)</f>
        <v>0</v>
      </c>
      <c r="P661" s="147">
        <f>ROUND(O661+L661,4)</f>
        <v>0</v>
      </c>
      <c r="Q661" s="80"/>
      <c r="R661" s="81"/>
      <c r="S661" s="84"/>
    </row>
    <row r="662" spans="1:19" x14ac:dyDescent="0.2">
      <c r="A662" s="47"/>
      <c r="B662" s="36"/>
      <c r="C662" s="138"/>
      <c r="D662" s="140"/>
      <c r="E662" s="48"/>
      <c r="F662" s="140"/>
      <c r="G662" s="140"/>
      <c r="H662" s="140">
        <f>ROUND(+D662+F662,4)</f>
        <v>0</v>
      </c>
      <c r="I662" s="140">
        <v>0</v>
      </c>
      <c r="J662" s="140">
        <v>0.03</v>
      </c>
      <c r="K662" s="140">
        <f>ROUND(IF(E662="alluminio",(I662)*3%,0)+IF(E662="alluminio smaltato",(I662)*3%,0),4)</f>
        <v>0</v>
      </c>
      <c r="L662" s="143">
        <f>ROUND((J662*C662)+(K662*C662),4)</f>
        <v>0</v>
      </c>
      <c r="M662" s="140"/>
      <c r="N662" s="140">
        <f>ROUND(+I662-H662,4)</f>
        <v>0</v>
      </c>
      <c r="O662" s="143">
        <f>ROUND(+(N662)*C662*50%,4)</f>
        <v>0</v>
      </c>
      <c r="P662" s="147">
        <f>ROUND(O662+L662,4)</f>
        <v>0</v>
      </c>
      <c r="Q662" s="80"/>
      <c r="R662" s="81"/>
      <c r="S662" s="84"/>
    </row>
    <row r="663" spans="1:19" x14ac:dyDescent="0.2">
      <c r="A663" s="47"/>
      <c r="B663" s="36"/>
      <c r="C663" s="138"/>
      <c r="D663" s="140"/>
      <c r="E663" s="48"/>
      <c r="F663" s="140"/>
      <c r="G663" s="140"/>
      <c r="H663" s="140">
        <f>ROUND(+D663+F663,4)</f>
        <v>0</v>
      </c>
      <c r="I663" s="140">
        <v>0</v>
      </c>
      <c r="J663" s="140">
        <v>0.03</v>
      </c>
      <c r="K663" s="140">
        <f>ROUND(IF(E663="alluminio",(I663)*3%,0)+IF(E663="alluminio smaltato",(I663)*3%,0),4)</f>
        <v>0</v>
      </c>
      <c r="L663" s="143">
        <f>ROUND((J663*C663)+(K663*C663),4)</f>
        <v>0</v>
      </c>
      <c r="M663" s="140"/>
      <c r="N663" s="140">
        <f>ROUND(+I663-H663,4)</f>
        <v>0</v>
      </c>
      <c r="O663" s="143">
        <f>ROUND(+(N663)*C663*50%,4)</f>
        <v>0</v>
      </c>
      <c r="P663" s="147">
        <f>ROUND(O663+L663,4)</f>
        <v>0</v>
      </c>
      <c r="Q663" s="80"/>
      <c r="R663" s="81"/>
      <c r="S663" s="84"/>
    </row>
    <row r="664" spans="1:19" x14ac:dyDescent="0.2">
      <c r="A664" s="47"/>
      <c r="B664" s="36"/>
      <c r="C664" s="138"/>
      <c r="D664" s="140"/>
      <c r="E664" s="48"/>
      <c r="F664" s="140"/>
      <c r="G664" s="140"/>
      <c r="H664" s="140">
        <f>ROUND(+D664+F664,4)</f>
        <v>0</v>
      </c>
      <c r="I664" s="140">
        <v>0</v>
      </c>
      <c r="J664" s="140">
        <v>0.03</v>
      </c>
      <c r="K664" s="140">
        <f>ROUND(IF(E664="alluminio",(I664)*3%,0)+IF(E664="alluminio smaltato",(I664)*3%,0),4)</f>
        <v>0</v>
      </c>
      <c r="L664" s="143">
        <f>ROUND((J664*C664)+(K664*C664),4)</f>
        <v>0</v>
      </c>
      <c r="M664" s="140"/>
      <c r="N664" s="140">
        <f>ROUND(+I664-H664,4)</f>
        <v>0</v>
      </c>
      <c r="O664" s="143">
        <f>ROUND(+(N664)*C664*50%,4)</f>
        <v>0</v>
      </c>
      <c r="P664" s="147">
        <f>ROUND(O664+L664,4)</f>
        <v>0</v>
      </c>
      <c r="Q664" s="80"/>
      <c r="R664" s="81"/>
      <c r="S664" s="84"/>
    </row>
    <row r="665" spans="1:19" x14ac:dyDescent="0.2">
      <c r="A665" s="47"/>
      <c r="B665" s="36"/>
      <c r="C665" s="138"/>
      <c r="D665" s="140"/>
      <c r="E665" s="48"/>
      <c r="F665" s="140"/>
      <c r="G665" s="140"/>
      <c r="H665" s="140">
        <f>ROUND(+D665+F665,4)</f>
        <v>0</v>
      </c>
      <c r="I665" s="140">
        <v>0</v>
      </c>
      <c r="J665" s="140">
        <v>0.03</v>
      </c>
      <c r="K665" s="140">
        <f>ROUND(IF(E665="alluminio",(I665)*3%,0)+IF(E665="alluminio smaltato",(I665)*3%,0),4)</f>
        <v>0</v>
      </c>
      <c r="L665" s="143">
        <f>ROUND((J665*C665)+(K665*C665),4)</f>
        <v>0</v>
      </c>
      <c r="M665" s="140"/>
      <c r="N665" s="140">
        <f>ROUND(+I665-H665,4)</f>
        <v>0</v>
      </c>
      <c r="O665" s="143">
        <f>ROUND(+(N665)*C665*50%,4)</f>
        <v>0</v>
      </c>
      <c r="P665" s="147">
        <f>ROUND(O665+L665,4)</f>
        <v>0</v>
      </c>
      <c r="Q665" s="80"/>
      <c r="R665" s="81"/>
      <c r="S665" s="84"/>
    </row>
    <row r="666" spans="1:19" x14ac:dyDescent="0.2">
      <c r="A666" s="47"/>
      <c r="B666" s="36"/>
      <c r="C666" s="138"/>
      <c r="D666" s="140"/>
      <c r="E666" s="48"/>
      <c r="F666" s="140"/>
      <c r="G666" s="140"/>
      <c r="H666" s="140">
        <f>ROUND(+D666+F666,4)</f>
        <v>0</v>
      </c>
      <c r="I666" s="140">
        <v>0</v>
      </c>
      <c r="J666" s="140">
        <v>0.03</v>
      </c>
      <c r="K666" s="140">
        <f>ROUND(IF(E666="alluminio",(I666)*3%,0)+IF(E666="alluminio smaltato",(I666)*3%,0),4)</f>
        <v>0</v>
      </c>
      <c r="L666" s="143">
        <f>ROUND((J666*C666)+(K666*C666),4)</f>
        <v>0</v>
      </c>
      <c r="M666" s="140"/>
      <c r="N666" s="140">
        <f>ROUND(+I666-H666,4)</f>
        <v>0</v>
      </c>
      <c r="O666" s="143">
        <f>ROUND(+(N666)*C666*50%,4)</f>
        <v>0</v>
      </c>
      <c r="P666" s="147">
        <f>ROUND(O666+L666,4)</f>
        <v>0</v>
      </c>
      <c r="Q666" s="80"/>
      <c r="R666" s="81"/>
      <c r="S666" s="84"/>
    </row>
    <row r="667" spans="1:19" x14ac:dyDescent="0.2">
      <c r="A667" s="47"/>
      <c r="B667" s="36"/>
      <c r="C667" s="138"/>
      <c r="D667" s="140"/>
      <c r="E667" s="48"/>
      <c r="F667" s="140"/>
      <c r="G667" s="140"/>
      <c r="H667" s="140">
        <f>ROUND(+D667+F667,4)</f>
        <v>0</v>
      </c>
      <c r="I667" s="140">
        <v>0</v>
      </c>
      <c r="J667" s="140">
        <v>0.03</v>
      </c>
      <c r="K667" s="140">
        <f>ROUND(IF(E667="alluminio",(I667)*3%,0)+IF(E667="alluminio smaltato",(I667)*3%,0),4)</f>
        <v>0</v>
      </c>
      <c r="L667" s="143">
        <f>ROUND((J667*C667)+(K667*C667),4)</f>
        <v>0</v>
      </c>
      <c r="M667" s="140"/>
      <c r="N667" s="140">
        <f>ROUND(+I667-H667,4)</f>
        <v>0</v>
      </c>
      <c r="O667" s="143">
        <f>ROUND(+(N667)*C667*50%,4)</f>
        <v>0</v>
      </c>
      <c r="P667" s="147">
        <f>ROUND(O667+L667,4)</f>
        <v>0</v>
      </c>
      <c r="Q667" s="80"/>
      <c r="R667" s="81"/>
      <c r="S667" s="84"/>
    </row>
    <row r="668" spans="1:19" x14ac:dyDescent="0.2">
      <c r="A668" s="47"/>
      <c r="B668" s="36"/>
      <c r="C668" s="138"/>
      <c r="D668" s="140"/>
      <c r="E668" s="48"/>
      <c r="F668" s="140"/>
      <c r="G668" s="140"/>
      <c r="H668" s="140">
        <f>ROUND(+D668+F668,4)</f>
        <v>0</v>
      </c>
      <c r="I668" s="140">
        <v>0</v>
      </c>
      <c r="J668" s="140">
        <v>0.03</v>
      </c>
      <c r="K668" s="140">
        <f>ROUND(IF(E668="alluminio",(I668)*3%,0)+IF(E668="alluminio smaltato",(I668)*3%,0),4)</f>
        <v>0</v>
      </c>
      <c r="L668" s="143">
        <f>ROUND((J668*C668)+(K668*C668),4)</f>
        <v>0</v>
      </c>
      <c r="M668" s="140"/>
      <c r="N668" s="140">
        <f>ROUND(+I668-H668,4)</f>
        <v>0</v>
      </c>
      <c r="O668" s="143">
        <f>ROUND(+(N668)*C668*50%,4)</f>
        <v>0</v>
      </c>
      <c r="P668" s="147">
        <f>ROUND(O668+L668,4)</f>
        <v>0</v>
      </c>
      <c r="Q668" s="80"/>
      <c r="R668" s="81"/>
      <c r="S668" s="84"/>
    </row>
    <row r="669" spans="1:19" x14ac:dyDescent="0.2">
      <c r="A669" s="47"/>
      <c r="B669" s="36"/>
      <c r="C669" s="138"/>
      <c r="D669" s="140"/>
      <c r="E669" s="48"/>
      <c r="F669" s="140"/>
      <c r="G669" s="140"/>
      <c r="H669" s="140">
        <f>ROUND(+D669+F669,4)</f>
        <v>0</v>
      </c>
      <c r="I669" s="140">
        <v>0</v>
      </c>
      <c r="J669" s="140">
        <v>0.03</v>
      </c>
      <c r="K669" s="140">
        <f>ROUND(IF(E669="alluminio",(I669)*3%,0)+IF(E669="alluminio smaltato",(I669)*3%,0),4)</f>
        <v>0</v>
      </c>
      <c r="L669" s="143">
        <f>ROUND((J669*C669)+(K669*C669),4)</f>
        <v>0</v>
      </c>
      <c r="M669" s="140"/>
      <c r="N669" s="140">
        <f>ROUND(+I669-H669,4)</f>
        <v>0</v>
      </c>
      <c r="O669" s="143">
        <f>ROUND(+(N669)*C669*50%,4)</f>
        <v>0</v>
      </c>
      <c r="P669" s="147">
        <f>ROUND(O669+L669,4)</f>
        <v>0</v>
      </c>
      <c r="Q669" s="80"/>
      <c r="R669" s="81"/>
      <c r="S669" s="84"/>
    </row>
    <row r="670" spans="1:19" x14ac:dyDescent="0.2">
      <c r="A670" s="47"/>
      <c r="B670" s="36"/>
      <c r="C670" s="138"/>
      <c r="D670" s="140"/>
      <c r="E670" s="48"/>
      <c r="F670" s="140"/>
      <c r="G670" s="140"/>
      <c r="H670" s="140">
        <f>ROUND(+D670+F670,4)</f>
        <v>0</v>
      </c>
      <c r="I670" s="140">
        <v>0</v>
      </c>
      <c r="J670" s="140">
        <v>0.03</v>
      </c>
      <c r="K670" s="140">
        <f>ROUND(IF(E670="alluminio",(I670)*3%,0)+IF(E670="alluminio smaltato",(I670)*3%,0),4)</f>
        <v>0</v>
      </c>
      <c r="L670" s="143">
        <f>ROUND((J670*C670)+(K670*C670),4)</f>
        <v>0</v>
      </c>
      <c r="M670" s="140"/>
      <c r="N670" s="140">
        <f>ROUND(+I670-H670,4)</f>
        <v>0</v>
      </c>
      <c r="O670" s="143">
        <f>ROUND(+(N670)*C670*50%,4)</f>
        <v>0</v>
      </c>
      <c r="P670" s="147">
        <f>ROUND(O670+L670,4)</f>
        <v>0</v>
      </c>
      <c r="Q670" s="80"/>
      <c r="R670" s="81"/>
      <c r="S670" s="84"/>
    </row>
    <row r="671" spans="1:19" x14ac:dyDescent="0.2">
      <c r="A671" s="47"/>
      <c r="B671" s="36"/>
      <c r="C671" s="138"/>
      <c r="D671" s="140"/>
      <c r="E671" s="48"/>
      <c r="F671" s="140"/>
      <c r="G671" s="140"/>
      <c r="H671" s="140">
        <f>ROUND(+D671+F671,4)</f>
        <v>0</v>
      </c>
      <c r="I671" s="140">
        <v>0</v>
      </c>
      <c r="J671" s="140">
        <v>0.03</v>
      </c>
      <c r="K671" s="140">
        <f>ROUND(IF(E671="alluminio",(I671)*3%,0)+IF(E671="alluminio smaltato",(I671)*3%,0),4)</f>
        <v>0</v>
      </c>
      <c r="L671" s="143">
        <f>ROUND((J671*C671)+(K671*C671),4)</f>
        <v>0</v>
      </c>
      <c r="M671" s="140"/>
      <c r="N671" s="140">
        <f>ROUND(+I671-H671,4)</f>
        <v>0</v>
      </c>
      <c r="O671" s="143">
        <f>ROUND(+(N671)*C671*50%,4)</f>
        <v>0</v>
      </c>
      <c r="P671" s="147">
        <f>ROUND(O671+L671,4)</f>
        <v>0</v>
      </c>
      <c r="Q671" s="80"/>
      <c r="R671" s="81"/>
      <c r="S671" s="84"/>
    </row>
    <row r="672" spans="1:19" x14ac:dyDescent="0.2">
      <c r="A672" s="47"/>
      <c r="B672" s="36"/>
      <c r="C672" s="138"/>
      <c r="D672" s="140"/>
      <c r="E672" s="48"/>
      <c r="F672" s="140"/>
      <c r="G672" s="140"/>
      <c r="H672" s="140">
        <f>ROUND(+D672+F672,4)</f>
        <v>0</v>
      </c>
      <c r="I672" s="140">
        <v>0</v>
      </c>
      <c r="J672" s="140">
        <v>0.03</v>
      </c>
      <c r="K672" s="140">
        <f>ROUND(IF(E672="alluminio",(I672)*3%,0)+IF(E672="alluminio smaltato",(I672)*3%,0),4)</f>
        <v>0</v>
      </c>
      <c r="L672" s="143">
        <f>ROUND((J672*C672)+(K672*C672),4)</f>
        <v>0</v>
      </c>
      <c r="M672" s="140"/>
      <c r="N672" s="140">
        <f>ROUND(+I672-H672,4)</f>
        <v>0</v>
      </c>
      <c r="O672" s="143">
        <f>ROUND(+(N672)*C672*50%,4)</f>
        <v>0</v>
      </c>
      <c r="P672" s="147">
        <f>ROUND(O672+L672,4)</f>
        <v>0</v>
      </c>
      <c r="Q672" s="80"/>
      <c r="R672" s="81"/>
      <c r="S672" s="84"/>
    </row>
    <row r="673" spans="1:19" x14ac:dyDescent="0.2">
      <c r="A673" s="47"/>
      <c r="B673" s="36"/>
      <c r="C673" s="138"/>
      <c r="D673" s="140"/>
      <c r="E673" s="48"/>
      <c r="F673" s="140"/>
      <c r="G673" s="140"/>
      <c r="H673" s="140">
        <f>ROUND(+D673+F673,4)</f>
        <v>0</v>
      </c>
      <c r="I673" s="140">
        <v>0</v>
      </c>
      <c r="J673" s="140">
        <v>0.03</v>
      </c>
      <c r="K673" s="140">
        <f>ROUND(IF(E673="alluminio",(I673)*3%,0)+IF(E673="alluminio smaltato",(I673)*3%,0),4)</f>
        <v>0</v>
      </c>
      <c r="L673" s="143">
        <f>ROUND((J673*C673)+(K673*C673),4)</f>
        <v>0</v>
      </c>
      <c r="M673" s="140"/>
      <c r="N673" s="140">
        <f>ROUND(+I673-H673,4)</f>
        <v>0</v>
      </c>
      <c r="O673" s="143">
        <f>ROUND(+(N673)*C673*50%,4)</f>
        <v>0</v>
      </c>
      <c r="P673" s="147">
        <f>ROUND(O673+L673,4)</f>
        <v>0</v>
      </c>
      <c r="Q673" s="80"/>
      <c r="R673" s="81"/>
      <c r="S673" s="84"/>
    </row>
    <row r="674" spans="1:19" x14ac:dyDescent="0.2">
      <c r="A674" s="47"/>
      <c r="B674" s="36"/>
      <c r="C674" s="138"/>
      <c r="D674" s="140"/>
      <c r="E674" s="48"/>
      <c r="F674" s="140"/>
      <c r="G674" s="140"/>
      <c r="H674" s="140">
        <f>ROUND(+D674+F674,4)</f>
        <v>0</v>
      </c>
      <c r="I674" s="140">
        <v>0</v>
      </c>
      <c r="J674" s="140">
        <v>0.03</v>
      </c>
      <c r="K674" s="140">
        <f>ROUND(IF(E674="alluminio",(I674)*3%,0)+IF(E674="alluminio smaltato",(I674)*3%,0),4)</f>
        <v>0</v>
      </c>
      <c r="L674" s="143">
        <f>ROUND((J674*C674)+(K674*C674),4)</f>
        <v>0</v>
      </c>
      <c r="M674" s="140"/>
      <c r="N674" s="140">
        <f>ROUND(+I674-H674,4)</f>
        <v>0</v>
      </c>
      <c r="O674" s="143">
        <f>ROUND(+(N674)*C674*50%,4)</f>
        <v>0</v>
      </c>
      <c r="P674" s="147">
        <f>ROUND(O674+L674,4)</f>
        <v>0</v>
      </c>
      <c r="Q674" s="80"/>
      <c r="R674" s="81"/>
      <c r="S674" s="84"/>
    </row>
    <row r="675" spans="1:19" x14ac:dyDescent="0.2">
      <c r="A675" s="47"/>
      <c r="B675" s="36"/>
      <c r="C675" s="138"/>
      <c r="D675" s="140"/>
      <c r="E675" s="48"/>
      <c r="F675" s="140"/>
      <c r="G675" s="140"/>
      <c r="H675" s="140">
        <f>ROUND(+D675+F675,4)</f>
        <v>0</v>
      </c>
      <c r="I675" s="140">
        <v>0</v>
      </c>
      <c r="J675" s="140">
        <v>0.03</v>
      </c>
      <c r="K675" s="140">
        <f>ROUND(IF(E675="alluminio",(I675)*3%,0)+IF(E675="alluminio smaltato",(I675)*3%,0),4)</f>
        <v>0</v>
      </c>
      <c r="L675" s="143">
        <f>ROUND((J675*C675)+(K675*C675),4)</f>
        <v>0</v>
      </c>
      <c r="M675" s="140"/>
      <c r="N675" s="140">
        <f>ROUND(+I675-H675,4)</f>
        <v>0</v>
      </c>
      <c r="O675" s="143">
        <f>ROUND(+(N675)*C675*50%,4)</f>
        <v>0</v>
      </c>
      <c r="P675" s="147">
        <f>ROUND(O675+L675,4)</f>
        <v>0</v>
      </c>
      <c r="Q675" s="80"/>
      <c r="R675" s="81"/>
      <c r="S675" s="84"/>
    </row>
    <row r="676" spans="1:19" x14ac:dyDescent="0.2">
      <c r="A676" s="47"/>
      <c r="B676" s="36"/>
      <c r="C676" s="138"/>
      <c r="D676" s="140"/>
      <c r="E676" s="48"/>
      <c r="F676" s="140"/>
      <c r="G676" s="140"/>
      <c r="H676" s="140">
        <f>ROUND(+D676+F676,4)</f>
        <v>0</v>
      </c>
      <c r="I676" s="140">
        <v>0</v>
      </c>
      <c r="J676" s="140">
        <v>0.03</v>
      </c>
      <c r="K676" s="140">
        <f>ROUND(IF(E676="alluminio",(I676)*3%,0)+IF(E676="alluminio smaltato",(I676)*3%,0),4)</f>
        <v>0</v>
      </c>
      <c r="L676" s="143">
        <f>ROUND((J676*C676)+(K676*C676),4)</f>
        <v>0</v>
      </c>
      <c r="M676" s="140"/>
      <c r="N676" s="140">
        <f>ROUND(+I676-H676,4)</f>
        <v>0</v>
      </c>
      <c r="O676" s="143">
        <f>ROUND(+(N676)*C676*50%,4)</f>
        <v>0</v>
      </c>
      <c r="P676" s="147">
        <f>ROUND(O676+L676,4)</f>
        <v>0</v>
      </c>
      <c r="Q676" s="80"/>
      <c r="R676" s="81"/>
      <c r="S676" s="84"/>
    </row>
    <row r="677" spans="1:19" x14ac:dyDescent="0.2">
      <c r="A677" s="47"/>
      <c r="B677" s="36"/>
      <c r="C677" s="138"/>
      <c r="D677" s="140"/>
      <c r="E677" s="48"/>
      <c r="F677" s="140"/>
      <c r="G677" s="140"/>
      <c r="H677" s="140">
        <f>ROUND(+D677+F677,4)</f>
        <v>0</v>
      </c>
      <c r="I677" s="140">
        <v>0</v>
      </c>
      <c r="J677" s="140">
        <v>0.03</v>
      </c>
      <c r="K677" s="140">
        <f>ROUND(IF(E677="alluminio",(I677)*3%,0)+IF(E677="alluminio smaltato",(I677)*3%,0),4)</f>
        <v>0</v>
      </c>
      <c r="L677" s="143">
        <f>ROUND((J677*C677)+(K677*C677),4)</f>
        <v>0</v>
      </c>
      <c r="M677" s="140"/>
      <c r="N677" s="140">
        <f>ROUND(+I677-H677,4)</f>
        <v>0</v>
      </c>
      <c r="O677" s="143">
        <f>ROUND(+(N677)*C677*50%,4)</f>
        <v>0</v>
      </c>
      <c r="P677" s="147">
        <f>ROUND(O677+L677,4)</f>
        <v>0</v>
      </c>
      <c r="Q677" s="80"/>
      <c r="R677" s="81"/>
      <c r="S677" s="84"/>
    </row>
    <row r="678" spans="1:19" x14ac:dyDescent="0.2">
      <c r="A678" s="47"/>
      <c r="B678" s="36"/>
      <c r="C678" s="138"/>
      <c r="D678" s="140"/>
      <c r="E678" s="48"/>
      <c r="F678" s="140"/>
      <c r="G678" s="140"/>
      <c r="H678" s="140">
        <f>ROUND(+D678+F678,4)</f>
        <v>0</v>
      </c>
      <c r="I678" s="140">
        <v>0</v>
      </c>
      <c r="J678" s="140">
        <v>0.03</v>
      </c>
      <c r="K678" s="140">
        <f>ROUND(IF(E678="alluminio",(I678)*3%,0)+IF(E678="alluminio smaltato",(I678)*3%,0),4)</f>
        <v>0</v>
      </c>
      <c r="L678" s="143">
        <f>ROUND((J678*C678)+(K678*C678),4)</f>
        <v>0</v>
      </c>
      <c r="M678" s="140"/>
      <c r="N678" s="140">
        <f>ROUND(+I678-H678,4)</f>
        <v>0</v>
      </c>
      <c r="O678" s="143">
        <f>ROUND(+(N678)*C678*50%,4)</f>
        <v>0</v>
      </c>
      <c r="P678" s="147">
        <f>ROUND(O678+L678,4)</f>
        <v>0</v>
      </c>
      <c r="Q678" s="80"/>
      <c r="R678" s="81"/>
      <c r="S678" s="84"/>
    </row>
    <row r="679" spans="1:19" x14ac:dyDescent="0.2">
      <c r="A679" s="47"/>
      <c r="B679" s="36"/>
      <c r="C679" s="138"/>
      <c r="D679" s="140"/>
      <c r="E679" s="48"/>
      <c r="F679" s="140"/>
      <c r="G679" s="140"/>
      <c r="H679" s="140">
        <f>ROUND(+D679+F679,4)</f>
        <v>0</v>
      </c>
      <c r="I679" s="140">
        <v>0</v>
      </c>
      <c r="J679" s="140">
        <v>0.03</v>
      </c>
      <c r="K679" s="140">
        <f>ROUND(IF(E679="alluminio",(I679)*3%,0)+IF(E679="alluminio smaltato",(I679)*3%,0),4)</f>
        <v>0</v>
      </c>
      <c r="L679" s="143">
        <f>ROUND((J679*C679)+(K679*C679),4)</f>
        <v>0</v>
      </c>
      <c r="M679" s="140"/>
      <c r="N679" s="140">
        <f>ROUND(+I679-H679,4)</f>
        <v>0</v>
      </c>
      <c r="O679" s="143">
        <f>ROUND(+(N679)*C679*50%,4)</f>
        <v>0</v>
      </c>
      <c r="P679" s="147">
        <f>ROUND(O679+L679,4)</f>
        <v>0</v>
      </c>
      <c r="Q679" s="80"/>
      <c r="R679" s="81"/>
      <c r="S679" s="84"/>
    </row>
    <row r="680" spans="1:19" x14ac:dyDescent="0.2">
      <c r="A680" s="47"/>
      <c r="B680" s="36"/>
      <c r="C680" s="138"/>
      <c r="D680" s="140"/>
      <c r="E680" s="48"/>
      <c r="F680" s="140"/>
      <c r="G680" s="140"/>
      <c r="H680" s="140">
        <f>ROUND(+D680+F680,4)</f>
        <v>0</v>
      </c>
      <c r="I680" s="140">
        <v>0</v>
      </c>
      <c r="J680" s="140">
        <v>0.03</v>
      </c>
      <c r="K680" s="140">
        <f>ROUND(IF(E680="alluminio",(I680)*3%,0)+IF(E680="alluminio smaltato",(I680)*3%,0),4)</f>
        <v>0</v>
      </c>
      <c r="L680" s="143">
        <f>ROUND((J680*C680)+(K680*C680),4)</f>
        <v>0</v>
      </c>
      <c r="M680" s="140"/>
      <c r="N680" s="140">
        <f>ROUND(+I680-H680,4)</f>
        <v>0</v>
      </c>
      <c r="O680" s="143">
        <f>ROUND(+(N680)*C680*50%,4)</f>
        <v>0</v>
      </c>
      <c r="P680" s="147">
        <f>ROUND(O680+L680,4)</f>
        <v>0</v>
      </c>
      <c r="Q680" s="80"/>
      <c r="R680" s="81"/>
      <c r="S680" s="84"/>
    </row>
    <row r="681" spans="1:19" x14ac:dyDescent="0.2">
      <c r="A681" s="47"/>
      <c r="B681" s="36"/>
      <c r="C681" s="138"/>
      <c r="D681" s="140"/>
      <c r="E681" s="48"/>
      <c r="F681" s="140"/>
      <c r="G681" s="140"/>
      <c r="H681" s="140">
        <f>ROUND(+D681+F681,4)</f>
        <v>0</v>
      </c>
      <c r="I681" s="140">
        <v>0</v>
      </c>
      <c r="J681" s="140">
        <v>0.03</v>
      </c>
      <c r="K681" s="140">
        <f>ROUND(IF(E681="alluminio",(I681)*3%,0)+IF(E681="alluminio smaltato",(I681)*3%,0),4)</f>
        <v>0</v>
      </c>
      <c r="L681" s="143">
        <f>ROUND((J681*C681)+(K681*C681),4)</f>
        <v>0</v>
      </c>
      <c r="M681" s="140"/>
      <c r="N681" s="140">
        <f>ROUND(+I681-H681,4)</f>
        <v>0</v>
      </c>
      <c r="O681" s="143">
        <f>ROUND(+(N681)*C681*50%,4)</f>
        <v>0</v>
      </c>
      <c r="P681" s="147">
        <f>ROUND(O681+L681,4)</f>
        <v>0</v>
      </c>
      <c r="Q681" s="80"/>
      <c r="R681" s="81"/>
      <c r="S681" s="84"/>
    </row>
    <row r="682" spans="1:19" x14ac:dyDescent="0.2">
      <c r="A682" s="47"/>
      <c r="B682" s="36"/>
      <c r="C682" s="138"/>
      <c r="D682" s="140"/>
      <c r="E682" s="48"/>
      <c r="F682" s="140"/>
      <c r="G682" s="140"/>
      <c r="H682" s="140">
        <f>ROUND(+D682+F682,4)</f>
        <v>0</v>
      </c>
      <c r="I682" s="140">
        <v>0</v>
      </c>
      <c r="J682" s="140">
        <v>0.03</v>
      </c>
      <c r="K682" s="140">
        <f>ROUND(IF(E682="alluminio",(I682)*3%,0)+IF(E682="alluminio smaltato",(I682)*3%,0),4)</f>
        <v>0</v>
      </c>
      <c r="L682" s="143">
        <f>ROUND((J682*C682)+(K682*C682),4)</f>
        <v>0</v>
      </c>
      <c r="M682" s="140"/>
      <c r="N682" s="140">
        <f>ROUND(+I682-H682,4)</f>
        <v>0</v>
      </c>
      <c r="O682" s="143">
        <f>ROUND(+(N682)*C682*50%,4)</f>
        <v>0</v>
      </c>
      <c r="P682" s="147">
        <f>ROUND(O682+L682,4)</f>
        <v>0</v>
      </c>
      <c r="Q682" s="80"/>
      <c r="R682" s="81"/>
      <c r="S682" s="84"/>
    </row>
    <row r="683" spans="1:19" x14ac:dyDescent="0.2">
      <c r="A683" s="47"/>
      <c r="B683" s="36"/>
      <c r="C683" s="138"/>
      <c r="D683" s="140"/>
      <c r="E683" s="48"/>
      <c r="F683" s="140"/>
      <c r="G683" s="140"/>
      <c r="H683" s="140">
        <f>ROUND(+D683+F683,4)</f>
        <v>0</v>
      </c>
      <c r="I683" s="140">
        <v>0</v>
      </c>
      <c r="J683" s="140">
        <v>0.03</v>
      </c>
      <c r="K683" s="140">
        <f>ROUND(IF(E683="alluminio",(I683)*3%,0)+IF(E683="alluminio smaltato",(I683)*3%,0),4)</f>
        <v>0</v>
      </c>
      <c r="L683" s="143">
        <f>ROUND((J683*C683)+(K683*C683),4)</f>
        <v>0</v>
      </c>
      <c r="M683" s="140"/>
      <c r="N683" s="140">
        <f>ROUND(+I683-H683,4)</f>
        <v>0</v>
      </c>
      <c r="O683" s="143">
        <f>ROUND(+(N683)*C683*50%,4)</f>
        <v>0</v>
      </c>
      <c r="P683" s="147">
        <f>ROUND(O683+L683,4)</f>
        <v>0</v>
      </c>
      <c r="Q683" s="80"/>
      <c r="R683" s="81"/>
      <c r="S683" s="84"/>
    </row>
    <row r="684" spans="1:19" x14ac:dyDescent="0.2">
      <c r="A684" s="47"/>
      <c r="B684" s="36"/>
      <c r="C684" s="138"/>
      <c r="D684" s="140"/>
      <c r="E684" s="48"/>
      <c r="F684" s="140"/>
      <c r="G684" s="140"/>
      <c r="H684" s="140">
        <f>ROUND(+D684+F684,4)</f>
        <v>0</v>
      </c>
      <c r="I684" s="140">
        <v>0</v>
      </c>
      <c r="J684" s="140">
        <v>0.03</v>
      </c>
      <c r="K684" s="140">
        <f>ROUND(IF(E684="alluminio",(I684)*3%,0)+IF(E684="alluminio smaltato",(I684)*3%,0),4)</f>
        <v>0</v>
      </c>
      <c r="L684" s="143">
        <f>ROUND((J684*C684)+(K684*C684),4)</f>
        <v>0</v>
      </c>
      <c r="M684" s="140"/>
      <c r="N684" s="140">
        <f>ROUND(+I684-H684,4)</f>
        <v>0</v>
      </c>
      <c r="O684" s="143">
        <f>ROUND(+(N684)*C684*50%,4)</f>
        <v>0</v>
      </c>
      <c r="P684" s="147">
        <f>ROUND(O684+L684,4)</f>
        <v>0</v>
      </c>
      <c r="Q684" s="80"/>
      <c r="R684" s="81"/>
      <c r="S684" s="84"/>
    </row>
    <row r="685" spans="1:19" x14ac:dyDescent="0.2">
      <c r="A685" s="47"/>
      <c r="B685" s="36"/>
      <c r="C685" s="138"/>
      <c r="D685" s="140"/>
      <c r="E685" s="48"/>
      <c r="F685" s="140"/>
      <c r="G685" s="140"/>
      <c r="H685" s="140">
        <f>ROUND(+D685+F685,4)</f>
        <v>0</v>
      </c>
      <c r="I685" s="140">
        <v>0</v>
      </c>
      <c r="J685" s="140">
        <v>0.03</v>
      </c>
      <c r="K685" s="140">
        <f>ROUND(IF(E685="alluminio",(I685)*3%,0)+IF(E685="alluminio smaltato",(I685)*3%,0),4)</f>
        <v>0</v>
      </c>
      <c r="L685" s="143">
        <f>ROUND((J685*C685)+(K685*C685),4)</f>
        <v>0</v>
      </c>
      <c r="M685" s="140"/>
      <c r="N685" s="140">
        <f>ROUND(+I685-H685,4)</f>
        <v>0</v>
      </c>
      <c r="O685" s="143">
        <f>ROUND(+(N685)*C685*50%,4)</f>
        <v>0</v>
      </c>
      <c r="P685" s="147">
        <f>ROUND(O685+L685,4)</f>
        <v>0</v>
      </c>
      <c r="Q685" s="80"/>
      <c r="R685" s="81"/>
      <c r="S685" s="84"/>
    </row>
    <row r="686" spans="1:19" x14ac:dyDescent="0.2">
      <c r="A686" s="47"/>
      <c r="B686" s="36"/>
      <c r="C686" s="138"/>
      <c r="D686" s="140"/>
      <c r="E686" s="48"/>
      <c r="F686" s="140"/>
      <c r="G686" s="140"/>
      <c r="H686" s="140">
        <f>ROUND(+D686+F686,4)</f>
        <v>0</v>
      </c>
      <c r="I686" s="140">
        <v>0</v>
      </c>
      <c r="J686" s="140">
        <v>0.03</v>
      </c>
      <c r="K686" s="140">
        <f>ROUND(IF(E686="alluminio",(I686)*3%,0)+IF(E686="alluminio smaltato",(I686)*3%,0),4)</f>
        <v>0</v>
      </c>
      <c r="L686" s="143">
        <f>ROUND((J686*C686)+(K686*C686),4)</f>
        <v>0</v>
      </c>
      <c r="M686" s="140"/>
      <c r="N686" s="140">
        <f>ROUND(+I686-H686,4)</f>
        <v>0</v>
      </c>
      <c r="O686" s="143">
        <f>ROUND(+(N686)*C686*50%,4)</f>
        <v>0</v>
      </c>
      <c r="P686" s="147">
        <f>ROUND(O686+L686,4)</f>
        <v>0</v>
      </c>
      <c r="Q686" s="80"/>
      <c r="R686" s="81"/>
      <c r="S686" s="84"/>
    </row>
    <row r="687" spans="1:19" x14ac:dyDescent="0.2">
      <c r="A687" s="47"/>
      <c r="B687" s="36"/>
      <c r="C687" s="138"/>
      <c r="D687" s="140"/>
      <c r="E687" s="48"/>
      <c r="F687" s="140"/>
      <c r="G687" s="140"/>
      <c r="H687" s="140">
        <f>ROUND(+D687+F687,4)</f>
        <v>0</v>
      </c>
      <c r="I687" s="140">
        <v>0</v>
      </c>
      <c r="J687" s="140">
        <v>0.03</v>
      </c>
      <c r="K687" s="140">
        <f>ROUND(IF(E687="alluminio",(I687)*3%,0)+IF(E687="alluminio smaltato",(I687)*3%,0),4)</f>
        <v>0</v>
      </c>
      <c r="L687" s="143">
        <f>ROUND((J687*C687)+(K687*C687),4)</f>
        <v>0</v>
      </c>
      <c r="M687" s="140"/>
      <c r="N687" s="140">
        <f>ROUND(+I687-H687,4)</f>
        <v>0</v>
      </c>
      <c r="O687" s="143">
        <f>ROUND(+(N687)*C687*50%,4)</f>
        <v>0</v>
      </c>
      <c r="P687" s="147">
        <f>ROUND(O687+L687,4)</f>
        <v>0</v>
      </c>
      <c r="Q687" s="80"/>
      <c r="R687" s="81"/>
      <c r="S687" s="84"/>
    </row>
    <row r="688" spans="1:19" x14ac:dyDescent="0.2">
      <c r="A688" s="47"/>
      <c r="B688" s="36"/>
      <c r="C688" s="138"/>
      <c r="D688" s="140"/>
      <c r="E688" s="48"/>
      <c r="F688" s="140"/>
      <c r="G688" s="140"/>
      <c r="H688" s="140">
        <f>ROUND(+D688+F688,4)</f>
        <v>0</v>
      </c>
      <c r="I688" s="140">
        <v>0</v>
      </c>
      <c r="J688" s="140">
        <v>0.03</v>
      </c>
      <c r="K688" s="140">
        <f>ROUND(IF(E688="alluminio",(I688)*3%,0)+IF(E688="alluminio smaltato",(I688)*3%,0),4)</f>
        <v>0</v>
      </c>
      <c r="L688" s="143">
        <f>ROUND((J688*C688)+(K688*C688),4)</f>
        <v>0</v>
      </c>
      <c r="M688" s="140"/>
      <c r="N688" s="140">
        <f>ROUND(+I688-H688,4)</f>
        <v>0</v>
      </c>
      <c r="O688" s="143">
        <f>ROUND(+(N688)*C688*50%,4)</f>
        <v>0</v>
      </c>
      <c r="P688" s="147">
        <f>ROUND(O688+L688,4)</f>
        <v>0</v>
      </c>
      <c r="Q688" s="80"/>
      <c r="R688" s="81"/>
      <c r="S688" s="84"/>
    </row>
    <row r="689" spans="1:19" x14ac:dyDescent="0.2">
      <c r="A689" s="47"/>
      <c r="B689" s="36"/>
      <c r="C689" s="138"/>
      <c r="D689" s="140"/>
      <c r="E689" s="48"/>
      <c r="F689" s="140"/>
      <c r="G689" s="140"/>
      <c r="H689" s="140">
        <f>ROUND(+D689+F689,4)</f>
        <v>0</v>
      </c>
      <c r="I689" s="140">
        <v>0</v>
      </c>
      <c r="J689" s="140">
        <v>0.03</v>
      </c>
      <c r="K689" s="140">
        <f>ROUND(IF(E689="alluminio",(I689)*3%,0)+IF(E689="alluminio smaltato",(I689)*3%,0),4)</f>
        <v>0</v>
      </c>
      <c r="L689" s="143">
        <f>ROUND((J689*C689)+(K689*C689),4)</f>
        <v>0</v>
      </c>
      <c r="M689" s="140"/>
      <c r="N689" s="140">
        <f>ROUND(+I689-H689,4)</f>
        <v>0</v>
      </c>
      <c r="O689" s="143">
        <f>ROUND(+(N689)*C689*50%,4)</f>
        <v>0</v>
      </c>
      <c r="P689" s="147">
        <f>ROUND(O689+L689,4)</f>
        <v>0</v>
      </c>
      <c r="Q689" s="80"/>
      <c r="R689" s="81"/>
      <c r="S689" s="84"/>
    </row>
    <row r="690" spans="1:19" x14ac:dyDescent="0.2">
      <c r="A690" s="47"/>
      <c r="B690" s="36"/>
      <c r="C690" s="138"/>
      <c r="D690" s="140"/>
      <c r="E690" s="48"/>
      <c r="F690" s="140"/>
      <c r="G690" s="140"/>
      <c r="H690" s="140">
        <f>ROUND(+D690+F690,4)</f>
        <v>0</v>
      </c>
      <c r="I690" s="140">
        <v>0</v>
      </c>
      <c r="J690" s="140">
        <v>0.03</v>
      </c>
      <c r="K690" s="140">
        <f>ROUND(IF(E690="alluminio",(I690)*3%,0)+IF(E690="alluminio smaltato",(I690)*3%,0),4)</f>
        <v>0</v>
      </c>
      <c r="L690" s="143">
        <f>ROUND((J690*C690)+(K690*C690),4)</f>
        <v>0</v>
      </c>
      <c r="M690" s="140"/>
      <c r="N690" s="140">
        <f>ROUND(+I690-H690,4)</f>
        <v>0</v>
      </c>
      <c r="O690" s="143">
        <f>ROUND(+(N690)*C690*50%,4)</f>
        <v>0</v>
      </c>
      <c r="P690" s="147">
        <f>ROUND(O690+L690,4)</f>
        <v>0</v>
      </c>
      <c r="Q690" s="80"/>
      <c r="R690" s="81"/>
      <c r="S690" s="84"/>
    </row>
    <row r="691" spans="1:19" x14ac:dyDescent="0.2">
      <c r="A691" s="47"/>
      <c r="B691" s="36"/>
      <c r="C691" s="138"/>
      <c r="D691" s="140"/>
      <c r="E691" s="48"/>
      <c r="F691" s="140"/>
      <c r="G691" s="140"/>
      <c r="H691" s="140">
        <f>ROUND(+D691+F691,4)</f>
        <v>0</v>
      </c>
      <c r="I691" s="140">
        <v>0</v>
      </c>
      <c r="J691" s="140">
        <v>0.03</v>
      </c>
      <c r="K691" s="140">
        <f>ROUND(IF(E691="alluminio",(I691)*3%,0)+IF(E691="alluminio smaltato",(I691)*3%,0),4)</f>
        <v>0</v>
      </c>
      <c r="L691" s="143">
        <f>ROUND((J691*C691)+(K691*C691),4)</f>
        <v>0</v>
      </c>
      <c r="M691" s="140"/>
      <c r="N691" s="140">
        <f>ROUND(+I691-H691,4)</f>
        <v>0</v>
      </c>
      <c r="O691" s="143">
        <f>ROUND(+(N691)*C691*50%,4)</f>
        <v>0</v>
      </c>
      <c r="P691" s="147">
        <f>ROUND(O691+L691,4)</f>
        <v>0</v>
      </c>
      <c r="Q691" s="80"/>
      <c r="R691" s="81"/>
      <c r="S691" s="84"/>
    </row>
    <row r="692" spans="1:19" x14ac:dyDescent="0.2">
      <c r="A692" s="47"/>
      <c r="B692" s="36"/>
      <c r="C692" s="138"/>
      <c r="D692" s="140"/>
      <c r="E692" s="48"/>
      <c r="F692" s="140"/>
      <c r="G692" s="140"/>
      <c r="H692" s="140">
        <f>ROUND(+D692+F692,4)</f>
        <v>0</v>
      </c>
      <c r="I692" s="140">
        <v>0</v>
      </c>
      <c r="J692" s="140">
        <v>0.03</v>
      </c>
      <c r="K692" s="140">
        <f>ROUND(IF(E692="alluminio",(I692)*3%,0)+IF(E692="alluminio smaltato",(I692)*3%,0),4)</f>
        <v>0</v>
      </c>
      <c r="L692" s="143">
        <f>ROUND((J692*C692)+(K692*C692),4)</f>
        <v>0</v>
      </c>
      <c r="M692" s="140"/>
      <c r="N692" s="140">
        <f>ROUND(+I692-H692,4)</f>
        <v>0</v>
      </c>
      <c r="O692" s="143">
        <f>ROUND(+(N692)*C692*50%,4)</f>
        <v>0</v>
      </c>
      <c r="P692" s="147">
        <f>ROUND(O692+L692,4)</f>
        <v>0</v>
      </c>
      <c r="Q692" s="80"/>
      <c r="R692" s="81"/>
      <c r="S692" s="84"/>
    </row>
    <row r="693" spans="1:19" x14ac:dyDescent="0.2">
      <c r="A693" s="47"/>
      <c r="B693" s="36"/>
      <c r="C693" s="138"/>
      <c r="D693" s="140"/>
      <c r="E693" s="48"/>
      <c r="F693" s="140"/>
      <c r="G693" s="140"/>
      <c r="H693" s="140">
        <f>ROUND(+D693+F693,4)</f>
        <v>0</v>
      </c>
      <c r="I693" s="140">
        <v>0</v>
      </c>
      <c r="J693" s="140">
        <v>0.03</v>
      </c>
      <c r="K693" s="140">
        <f>ROUND(IF(E693="alluminio",(I693)*3%,0)+IF(E693="alluminio smaltato",(I693)*3%,0),4)</f>
        <v>0</v>
      </c>
      <c r="L693" s="143">
        <f>ROUND((J693*C693)+(K693*C693),4)</f>
        <v>0</v>
      </c>
      <c r="M693" s="140"/>
      <c r="N693" s="140">
        <f>ROUND(+I693-H693,4)</f>
        <v>0</v>
      </c>
      <c r="O693" s="143">
        <f>ROUND(+(N693)*C693*50%,4)</f>
        <v>0</v>
      </c>
      <c r="P693" s="147">
        <f>ROUND(O693+L693,4)</f>
        <v>0</v>
      </c>
      <c r="Q693" s="80"/>
      <c r="R693" s="81"/>
      <c r="S693" s="84"/>
    </row>
    <row r="694" spans="1:19" x14ac:dyDescent="0.2">
      <c r="A694" s="47"/>
      <c r="B694" s="36"/>
      <c r="C694" s="138"/>
      <c r="D694" s="140"/>
      <c r="E694" s="48"/>
      <c r="F694" s="140"/>
      <c r="G694" s="140"/>
      <c r="H694" s="140">
        <f>ROUND(+D694+F694,4)</f>
        <v>0</v>
      </c>
      <c r="I694" s="140">
        <v>0</v>
      </c>
      <c r="J694" s="140">
        <v>0.03</v>
      </c>
      <c r="K694" s="140">
        <f>ROUND(IF(E694="alluminio",(I694)*3%,0)+IF(E694="alluminio smaltato",(I694)*3%,0),4)</f>
        <v>0</v>
      </c>
      <c r="L694" s="143">
        <f>ROUND((J694*C694)+(K694*C694),4)</f>
        <v>0</v>
      </c>
      <c r="M694" s="140"/>
      <c r="N694" s="140">
        <f>ROUND(+I694-H694,4)</f>
        <v>0</v>
      </c>
      <c r="O694" s="143">
        <f>ROUND(+(N694)*C694*50%,4)</f>
        <v>0</v>
      </c>
      <c r="P694" s="147">
        <f>ROUND(O694+L694,4)</f>
        <v>0</v>
      </c>
      <c r="Q694" s="80"/>
      <c r="R694" s="81"/>
      <c r="S694" s="84"/>
    </row>
    <row r="695" spans="1:19" x14ac:dyDescent="0.2">
      <c r="A695" s="47"/>
      <c r="B695" s="36"/>
      <c r="C695" s="138"/>
      <c r="D695" s="140"/>
      <c r="E695" s="48"/>
      <c r="F695" s="140"/>
      <c r="G695" s="140"/>
      <c r="H695" s="140">
        <f>ROUND(+D695+F695,4)</f>
        <v>0</v>
      </c>
      <c r="I695" s="140">
        <v>0</v>
      </c>
      <c r="J695" s="140">
        <v>0.03</v>
      </c>
      <c r="K695" s="140">
        <f>ROUND(IF(E695="alluminio",(I695)*3%,0)+IF(E695="alluminio smaltato",(I695)*3%,0),4)</f>
        <v>0</v>
      </c>
      <c r="L695" s="143">
        <f>ROUND((J695*C695)+(K695*C695),4)</f>
        <v>0</v>
      </c>
      <c r="M695" s="140"/>
      <c r="N695" s="140">
        <f>ROUND(+I695-H695,4)</f>
        <v>0</v>
      </c>
      <c r="O695" s="143">
        <f>ROUND(+(N695)*C695*50%,4)</f>
        <v>0</v>
      </c>
      <c r="P695" s="147">
        <f>ROUND(O695+L695,4)</f>
        <v>0</v>
      </c>
      <c r="Q695" s="80"/>
      <c r="R695" s="81"/>
      <c r="S695" s="84"/>
    </row>
    <row r="696" spans="1:19" x14ac:dyDescent="0.2">
      <c r="A696" s="47"/>
      <c r="B696" s="36"/>
      <c r="C696" s="138"/>
      <c r="D696" s="140"/>
      <c r="E696" s="48"/>
      <c r="F696" s="140"/>
      <c r="G696" s="140"/>
      <c r="H696" s="140">
        <f>ROUND(+D696+F696,4)</f>
        <v>0</v>
      </c>
      <c r="I696" s="140">
        <v>0</v>
      </c>
      <c r="J696" s="140">
        <v>0.03</v>
      </c>
      <c r="K696" s="140">
        <f>ROUND(IF(E696="alluminio",(I696)*3%,0)+IF(E696="alluminio smaltato",(I696)*3%,0),4)</f>
        <v>0</v>
      </c>
      <c r="L696" s="143">
        <f>ROUND((J696*C696)+(K696*C696),4)</f>
        <v>0</v>
      </c>
      <c r="M696" s="140"/>
      <c r="N696" s="140">
        <f>ROUND(+I696-H696,4)</f>
        <v>0</v>
      </c>
      <c r="O696" s="143">
        <f>ROUND(+(N696)*C696*50%,4)</f>
        <v>0</v>
      </c>
      <c r="P696" s="147">
        <f>ROUND(O696+L696,4)</f>
        <v>0</v>
      </c>
      <c r="Q696" s="80"/>
      <c r="R696" s="81"/>
      <c r="S696" s="84"/>
    </row>
    <row r="697" spans="1:19" x14ac:dyDescent="0.2">
      <c r="A697" s="47"/>
      <c r="B697" s="36"/>
      <c r="C697" s="138"/>
      <c r="D697" s="140"/>
      <c r="E697" s="48"/>
      <c r="F697" s="140"/>
      <c r="G697" s="140"/>
      <c r="H697" s="140">
        <f>ROUND(+D697+F697,4)</f>
        <v>0</v>
      </c>
      <c r="I697" s="140">
        <v>0</v>
      </c>
      <c r="J697" s="140">
        <v>0.03</v>
      </c>
      <c r="K697" s="140">
        <f>ROUND(IF(E697="alluminio",(I697)*3%,0)+IF(E697="alluminio smaltato",(I697)*3%,0),4)</f>
        <v>0</v>
      </c>
      <c r="L697" s="143">
        <f>ROUND((J697*C697)+(K697*C697),4)</f>
        <v>0</v>
      </c>
      <c r="M697" s="140"/>
      <c r="N697" s="140">
        <f>ROUND(+I697-H697,4)</f>
        <v>0</v>
      </c>
      <c r="O697" s="143">
        <f>ROUND(+(N697)*C697*50%,4)</f>
        <v>0</v>
      </c>
      <c r="P697" s="147">
        <f>ROUND(O697+L697,4)</f>
        <v>0</v>
      </c>
      <c r="Q697" s="80"/>
      <c r="R697" s="81"/>
      <c r="S697" s="84"/>
    </row>
    <row r="698" spans="1:19" x14ac:dyDescent="0.2">
      <c r="A698" s="47"/>
      <c r="B698" s="36"/>
      <c r="C698" s="138"/>
      <c r="D698" s="140"/>
      <c r="E698" s="48"/>
      <c r="F698" s="140"/>
      <c r="G698" s="140"/>
      <c r="H698" s="140">
        <f>ROUND(+D698+F698,4)</f>
        <v>0</v>
      </c>
      <c r="I698" s="140">
        <v>0</v>
      </c>
      <c r="J698" s="140">
        <v>0.03</v>
      </c>
      <c r="K698" s="140">
        <f>ROUND(IF(E698="alluminio",(I698)*3%,0)+IF(E698="alluminio smaltato",(I698)*3%,0),4)</f>
        <v>0</v>
      </c>
      <c r="L698" s="143">
        <f>ROUND((J698*C698)+(K698*C698),4)</f>
        <v>0</v>
      </c>
      <c r="M698" s="140"/>
      <c r="N698" s="140">
        <f>ROUND(+I698-H698,4)</f>
        <v>0</v>
      </c>
      <c r="O698" s="143">
        <f>ROUND(+(N698)*C698*50%,4)</f>
        <v>0</v>
      </c>
      <c r="P698" s="147">
        <f>ROUND(O698+L698,4)</f>
        <v>0</v>
      </c>
      <c r="Q698" s="80"/>
      <c r="R698" s="81"/>
      <c r="S698" s="84"/>
    </row>
    <row r="699" spans="1:19" x14ac:dyDescent="0.2">
      <c r="A699" s="47"/>
      <c r="B699" s="36"/>
      <c r="C699" s="138"/>
      <c r="D699" s="140"/>
      <c r="E699" s="48"/>
      <c r="F699" s="140"/>
      <c r="G699" s="140"/>
      <c r="H699" s="140">
        <f>ROUND(+D699+F699,4)</f>
        <v>0</v>
      </c>
      <c r="I699" s="140">
        <v>0</v>
      </c>
      <c r="J699" s="140">
        <v>0.03</v>
      </c>
      <c r="K699" s="140">
        <f>ROUND(IF(E699="alluminio",(I699)*3%,0)+IF(E699="alluminio smaltato",(I699)*3%,0),4)</f>
        <v>0</v>
      </c>
      <c r="L699" s="143">
        <f>ROUND((J699*C699)+(K699*C699),4)</f>
        <v>0</v>
      </c>
      <c r="M699" s="140"/>
      <c r="N699" s="140">
        <f>ROUND(+I699-H699,4)</f>
        <v>0</v>
      </c>
      <c r="O699" s="143">
        <f>ROUND(+(N699)*C699*50%,4)</f>
        <v>0</v>
      </c>
      <c r="P699" s="147">
        <f>ROUND(O699+L699,4)</f>
        <v>0</v>
      </c>
      <c r="Q699" s="80"/>
      <c r="R699" s="81"/>
      <c r="S699" s="84"/>
    </row>
    <row r="700" spans="1:19" x14ac:dyDescent="0.2">
      <c r="A700" s="47"/>
      <c r="B700" s="36"/>
      <c r="C700" s="138"/>
      <c r="D700" s="140"/>
      <c r="E700" s="48"/>
      <c r="F700" s="140"/>
      <c r="G700" s="140"/>
      <c r="H700" s="140">
        <f>ROUND(+D700+F700,4)</f>
        <v>0</v>
      </c>
      <c r="I700" s="140">
        <v>0</v>
      </c>
      <c r="J700" s="140">
        <v>0.03</v>
      </c>
      <c r="K700" s="140">
        <f>ROUND(IF(E700="alluminio",(I700)*3%,0)+IF(E700="alluminio smaltato",(I700)*3%,0),4)</f>
        <v>0</v>
      </c>
      <c r="L700" s="143">
        <f>ROUND((J700*C700)+(K700*C700),4)</f>
        <v>0</v>
      </c>
      <c r="M700" s="140"/>
      <c r="N700" s="140">
        <f>ROUND(+I700-H700,4)</f>
        <v>0</v>
      </c>
      <c r="O700" s="143">
        <f>ROUND(+(N700)*C700*50%,4)</f>
        <v>0</v>
      </c>
      <c r="P700" s="147">
        <f>ROUND(O700+L700,4)</f>
        <v>0</v>
      </c>
      <c r="Q700" s="80"/>
      <c r="R700" s="81"/>
      <c r="S700" s="84"/>
    </row>
    <row r="701" spans="1:19" x14ac:dyDescent="0.2">
      <c r="A701" s="47"/>
      <c r="B701" s="36"/>
      <c r="C701" s="138"/>
      <c r="D701" s="140"/>
      <c r="E701" s="48"/>
      <c r="F701" s="140"/>
      <c r="G701" s="140"/>
      <c r="H701" s="140">
        <f>ROUND(+D701+F701,4)</f>
        <v>0</v>
      </c>
      <c r="I701" s="140">
        <v>0</v>
      </c>
      <c r="J701" s="140">
        <v>0.03</v>
      </c>
      <c r="K701" s="140">
        <f>ROUND(IF(E701="alluminio",(I701)*3%,0)+IF(E701="alluminio smaltato",(I701)*3%,0),4)</f>
        <v>0</v>
      </c>
      <c r="L701" s="143">
        <f>ROUND((J701*C701)+(K701*C701),4)</f>
        <v>0</v>
      </c>
      <c r="M701" s="140"/>
      <c r="N701" s="140">
        <f>ROUND(+I701-H701,4)</f>
        <v>0</v>
      </c>
      <c r="O701" s="143">
        <f>ROUND(+(N701)*C701*50%,4)</f>
        <v>0</v>
      </c>
      <c r="P701" s="147">
        <f>ROUND(O701+L701,4)</f>
        <v>0</v>
      </c>
      <c r="Q701" s="80"/>
      <c r="R701" s="81"/>
      <c r="S701" s="84"/>
    </row>
    <row r="702" spans="1:19" x14ac:dyDescent="0.2">
      <c r="A702" s="47"/>
      <c r="B702" s="36"/>
      <c r="C702" s="138"/>
      <c r="D702" s="140"/>
      <c r="E702" s="48"/>
      <c r="F702" s="140"/>
      <c r="G702" s="140"/>
      <c r="H702" s="140">
        <f>ROUND(+D702+F702,4)</f>
        <v>0</v>
      </c>
      <c r="I702" s="140">
        <v>0</v>
      </c>
      <c r="J702" s="140">
        <v>0.03</v>
      </c>
      <c r="K702" s="140">
        <f>ROUND(IF(E702="alluminio",(I702)*3%,0)+IF(E702="alluminio smaltato",(I702)*3%,0),4)</f>
        <v>0</v>
      </c>
      <c r="L702" s="143">
        <f>ROUND((J702*C702)+(K702*C702),4)</f>
        <v>0</v>
      </c>
      <c r="M702" s="140"/>
      <c r="N702" s="140">
        <f>ROUND(+I702-H702,4)</f>
        <v>0</v>
      </c>
      <c r="O702" s="143">
        <f>ROUND(+(N702)*C702*50%,4)</f>
        <v>0</v>
      </c>
      <c r="P702" s="147">
        <f>ROUND(O702+L702,4)</f>
        <v>0</v>
      </c>
      <c r="Q702" s="80"/>
      <c r="R702" s="81"/>
      <c r="S702" s="84"/>
    </row>
    <row r="703" spans="1:19" x14ac:dyDescent="0.2">
      <c r="A703" s="47"/>
      <c r="B703" s="36"/>
      <c r="C703" s="138"/>
      <c r="D703" s="140"/>
      <c r="E703" s="48"/>
      <c r="F703" s="140"/>
      <c r="G703" s="140"/>
      <c r="H703" s="140">
        <f>ROUND(+D703+F703,4)</f>
        <v>0</v>
      </c>
      <c r="I703" s="140">
        <v>0</v>
      </c>
      <c r="J703" s="140">
        <v>0.03</v>
      </c>
      <c r="K703" s="140">
        <f>ROUND(IF(E703="alluminio",(I703)*3%,0)+IF(E703="alluminio smaltato",(I703)*3%,0),4)</f>
        <v>0</v>
      </c>
      <c r="L703" s="143">
        <f>ROUND((J703*C703)+(K703*C703),4)</f>
        <v>0</v>
      </c>
      <c r="M703" s="140"/>
      <c r="N703" s="140">
        <f>ROUND(+I703-H703,4)</f>
        <v>0</v>
      </c>
      <c r="O703" s="143">
        <f>ROUND(+(N703)*C703*50%,4)</f>
        <v>0</v>
      </c>
      <c r="P703" s="147">
        <f>ROUND(O703+L703,4)</f>
        <v>0</v>
      </c>
      <c r="Q703" s="80"/>
      <c r="R703" s="81"/>
      <c r="S703" s="84"/>
    </row>
    <row r="704" spans="1:19" x14ac:dyDescent="0.2">
      <c r="A704" s="47"/>
      <c r="B704" s="36"/>
      <c r="C704" s="138"/>
      <c r="D704" s="140"/>
      <c r="E704" s="48"/>
      <c r="F704" s="140"/>
      <c r="G704" s="140"/>
      <c r="H704" s="140">
        <f>ROUND(+D704+F704,4)</f>
        <v>0</v>
      </c>
      <c r="I704" s="140">
        <v>0</v>
      </c>
      <c r="J704" s="140">
        <v>0.03</v>
      </c>
      <c r="K704" s="140">
        <f>ROUND(IF(E704="alluminio",(I704)*3%,0)+IF(E704="alluminio smaltato",(I704)*3%,0),4)</f>
        <v>0</v>
      </c>
      <c r="L704" s="143">
        <f>ROUND((J704*C704)+(K704*C704),4)</f>
        <v>0</v>
      </c>
      <c r="M704" s="140"/>
      <c r="N704" s="140">
        <f>ROUND(+I704-H704,4)</f>
        <v>0</v>
      </c>
      <c r="O704" s="143">
        <f>ROUND(+(N704)*C704*50%,4)</f>
        <v>0</v>
      </c>
      <c r="P704" s="147">
        <f>ROUND(O704+L704,4)</f>
        <v>0</v>
      </c>
      <c r="Q704" s="80"/>
      <c r="R704" s="81"/>
      <c r="S704" s="84"/>
    </row>
    <row r="705" spans="1:19" x14ac:dyDescent="0.2">
      <c r="A705" s="47"/>
      <c r="B705" s="36"/>
      <c r="C705" s="138"/>
      <c r="D705" s="140"/>
      <c r="E705" s="48"/>
      <c r="F705" s="140"/>
      <c r="G705" s="140"/>
      <c r="H705" s="140">
        <f>ROUND(+D705+F705,4)</f>
        <v>0</v>
      </c>
      <c r="I705" s="140">
        <v>0</v>
      </c>
      <c r="J705" s="140">
        <v>0.03</v>
      </c>
      <c r="K705" s="140">
        <f>ROUND(IF(E705="alluminio",(I705)*3%,0)+IF(E705="alluminio smaltato",(I705)*3%,0),4)</f>
        <v>0</v>
      </c>
      <c r="L705" s="143">
        <f>ROUND((J705*C705)+(K705*C705),4)</f>
        <v>0</v>
      </c>
      <c r="M705" s="140"/>
      <c r="N705" s="140">
        <f>ROUND(+I705-H705,4)</f>
        <v>0</v>
      </c>
      <c r="O705" s="143">
        <f>ROUND(+(N705)*C705*50%,4)</f>
        <v>0</v>
      </c>
      <c r="P705" s="147">
        <f>ROUND(O705+L705,4)</f>
        <v>0</v>
      </c>
      <c r="Q705" s="80"/>
      <c r="R705" s="81"/>
      <c r="S705" s="84"/>
    </row>
    <row r="706" spans="1:19" x14ac:dyDescent="0.2">
      <c r="A706" s="47"/>
      <c r="B706" s="36"/>
      <c r="C706" s="138"/>
      <c r="D706" s="140"/>
      <c r="E706" s="48"/>
      <c r="F706" s="140"/>
      <c r="G706" s="140"/>
      <c r="H706" s="140">
        <f>ROUND(+D706+F706,4)</f>
        <v>0</v>
      </c>
      <c r="I706" s="140">
        <v>0</v>
      </c>
      <c r="J706" s="140">
        <v>0.03</v>
      </c>
      <c r="K706" s="140">
        <f>ROUND(IF(E706="alluminio",(I706)*3%,0)+IF(E706="alluminio smaltato",(I706)*3%,0),4)</f>
        <v>0</v>
      </c>
      <c r="L706" s="143">
        <f>ROUND((J706*C706)+(K706*C706),4)</f>
        <v>0</v>
      </c>
      <c r="M706" s="140"/>
      <c r="N706" s="140">
        <f>ROUND(+I706-H706,4)</f>
        <v>0</v>
      </c>
      <c r="O706" s="143">
        <f>ROUND(+(N706)*C706*50%,4)</f>
        <v>0</v>
      </c>
      <c r="P706" s="147">
        <f>ROUND(O706+L706,4)</f>
        <v>0</v>
      </c>
      <c r="Q706" s="80"/>
      <c r="R706" s="81"/>
      <c r="S706" s="84"/>
    </row>
    <row r="707" spans="1:19" x14ac:dyDescent="0.2">
      <c r="A707" s="47"/>
      <c r="B707" s="36"/>
      <c r="C707" s="138"/>
      <c r="D707" s="140"/>
      <c r="E707" s="48"/>
      <c r="F707" s="140"/>
      <c r="G707" s="140"/>
      <c r="H707" s="140">
        <f>ROUND(+D707+F707,4)</f>
        <v>0</v>
      </c>
      <c r="I707" s="140">
        <v>0</v>
      </c>
      <c r="J707" s="140">
        <v>0.03</v>
      </c>
      <c r="K707" s="140">
        <f>ROUND(IF(E707="alluminio",(I707)*3%,0)+IF(E707="alluminio smaltato",(I707)*3%,0),4)</f>
        <v>0</v>
      </c>
      <c r="L707" s="143">
        <f>ROUND((J707*C707)+(K707*C707),4)</f>
        <v>0</v>
      </c>
      <c r="M707" s="140"/>
      <c r="N707" s="140">
        <f>ROUND(+I707-H707,4)</f>
        <v>0</v>
      </c>
      <c r="O707" s="143">
        <f>ROUND(+(N707)*C707*50%,4)</f>
        <v>0</v>
      </c>
      <c r="P707" s="147">
        <f>ROUND(O707+L707,4)</f>
        <v>0</v>
      </c>
      <c r="Q707" s="80"/>
      <c r="R707" s="81"/>
      <c r="S707" s="84"/>
    </row>
    <row r="708" spans="1:19" x14ac:dyDescent="0.2">
      <c r="A708" s="47"/>
      <c r="B708" s="36"/>
      <c r="C708" s="138"/>
      <c r="D708" s="140"/>
      <c r="E708" s="48"/>
      <c r="F708" s="140"/>
      <c r="G708" s="140"/>
      <c r="H708" s="140">
        <f>ROUND(+D708+F708,4)</f>
        <v>0</v>
      </c>
      <c r="I708" s="140">
        <v>0</v>
      </c>
      <c r="J708" s="140">
        <v>0.03</v>
      </c>
      <c r="K708" s="140">
        <f>ROUND(IF(E708="alluminio",(I708)*3%,0)+IF(E708="alluminio smaltato",(I708)*3%,0),4)</f>
        <v>0</v>
      </c>
      <c r="L708" s="143">
        <f>ROUND((J708*C708)+(K708*C708),4)</f>
        <v>0</v>
      </c>
      <c r="M708" s="140"/>
      <c r="N708" s="140">
        <f>ROUND(+I708-H708,4)</f>
        <v>0</v>
      </c>
      <c r="O708" s="143">
        <f>ROUND(+(N708)*C708*50%,4)</f>
        <v>0</v>
      </c>
      <c r="P708" s="147">
        <f>ROUND(O708+L708,4)</f>
        <v>0</v>
      </c>
      <c r="Q708" s="80"/>
      <c r="R708" s="81"/>
      <c r="S708" s="84"/>
    </row>
    <row r="709" spans="1:19" x14ac:dyDescent="0.2">
      <c r="A709" s="47"/>
      <c r="B709" s="36"/>
      <c r="C709" s="138"/>
      <c r="D709" s="140"/>
      <c r="E709" s="48"/>
      <c r="F709" s="140"/>
      <c r="G709" s="140"/>
      <c r="H709" s="140">
        <f>ROUND(+D709+F709,4)</f>
        <v>0</v>
      </c>
      <c r="I709" s="140">
        <v>0</v>
      </c>
      <c r="J709" s="140">
        <v>0.03</v>
      </c>
      <c r="K709" s="140">
        <f>ROUND(IF(E709="alluminio",(I709)*3%,0)+IF(E709="alluminio smaltato",(I709)*3%,0),4)</f>
        <v>0</v>
      </c>
      <c r="L709" s="143">
        <f>ROUND((J709*C709)+(K709*C709),4)</f>
        <v>0</v>
      </c>
      <c r="M709" s="140"/>
      <c r="N709" s="140">
        <f>ROUND(+I709-H709,4)</f>
        <v>0</v>
      </c>
      <c r="O709" s="143">
        <f>ROUND(+(N709)*C709*50%,4)</f>
        <v>0</v>
      </c>
      <c r="P709" s="147">
        <f>ROUND(O709+L709,4)</f>
        <v>0</v>
      </c>
      <c r="Q709" s="80"/>
      <c r="R709" s="81"/>
      <c r="S709" s="84"/>
    </row>
    <row r="710" spans="1:19" x14ac:dyDescent="0.2">
      <c r="A710" s="47"/>
      <c r="B710" s="36"/>
      <c r="C710" s="138"/>
      <c r="D710" s="140"/>
      <c r="E710" s="48"/>
      <c r="F710" s="140"/>
      <c r="G710" s="140"/>
      <c r="H710" s="140">
        <f>ROUND(+D710+F710,4)</f>
        <v>0</v>
      </c>
      <c r="I710" s="140">
        <v>0</v>
      </c>
      <c r="J710" s="140">
        <v>0.03</v>
      </c>
      <c r="K710" s="140">
        <f>ROUND(IF(E710="alluminio",(I710)*3%,0)+IF(E710="alluminio smaltato",(I710)*3%,0),4)</f>
        <v>0</v>
      </c>
      <c r="L710" s="143">
        <f>ROUND((J710*C710)+(K710*C710),4)</f>
        <v>0</v>
      </c>
      <c r="M710" s="140"/>
      <c r="N710" s="140">
        <f>ROUND(+I710-H710,4)</f>
        <v>0</v>
      </c>
      <c r="O710" s="143">
        <f>ROUND(+(N710)*C710*50%,4)</f>
        <v>0</v>
      </c>
      <c r="P710" s="147">
        <f>ROUND(O710+L710,4)</f>
        <v>0</v>
      </c>
      <c r="Q710" s="80"/>
      <c r="R710" s="81"/>
      <c r="S710" s="84"/>
    </row>
    <row r="711" spans="1:19" x14ac:dyDescent="0.2">
      <c r="A711" s="47"/>
      <c r="B711" s="36"/>
      <c r="C711" s="138"/>
      <c r="D711" s="140"/>
      <c r="E711" s="48"/>
      <c r="F711" s="140"/>
      <c r="G711" s="140"/>
      <c r="H711" s="140">
        <f>ROUND(+D711+F711,4)</f>
        <v>0</v>
      </c>
      <c r="I711" s="140">
        <v>0</v>
      </c>
      <c r="J711" s="140">
        <v>0.03</v>
      </c>
      <c r="K711" s="140">
        <f>ROUND(IF(E711="alluminio",(I711)*3%,0)+IF(E711="alluminio smaltato",(I711)*3%,0),4)</f>
        <v>0</v>
      </c>
      <c r="L711" s="143">
        <f>ROUND((J711*C711)+(K711*C711),4)</f>
        <v>0</v>
      </c>
      <c r="M711" s="140"/>
      <c r="N711" s="140">
        <f>ROUND(+I711-H711,4)</f>
        <v>0</v>
      </c>
      <c r="O711" s="143">
        <f>ROUND(+(N711)*C711*50%,4)</f>
        <v>0</v>
      </c>
      <c r="P711" s="147">
        <f>ROUND(O711+L711,4)</f>
        <v>0</v>
      </c>
      <c r="Q711" s="80"/>
      <c r="R711" s="81"/>
      <c r="S711" s="84"/>
    </row>
    <row r="712" spans="1:19" x14ac:dyDescent="0.2">
      <c r="A712" s="47"/>
      <c r="B712" s="36"/>
      <c r="C712" s="138"/>
      <c r="D712" s="140"/>
      <c r="E712" s="48"/>
      <c r="F712" s="140"/>
      <c r="G712" s="140"/>
      <c r="H712" s="140">
        <f>ROUND(+D712+F712,4)</f>
        <v>0</v>
      </c>
      <c r="I712" s="140">
        <v>0</v>
      </c>
      <c r="J712" s="140">
        <v>0.03</v>
      </c>
      <c r="K712" s="140">
        <f>ROUND(IF(E712="alluminio",(I712)*3%,0)+IF(E712="alluminio smaltato",(I712)*3%,0),4)</f>
        <v>0</v>
      </c>
      <c r="L712" s="143">
        <f>ROUND((J712*C712)+(K712*C712),4)</f>
        <v>0</v>
      </c>
      <c r="M712" s="140"/>
      <c r="N712" s="140">
        <f>ROUND(+I712-H712,4)</f>
        <v>0</v>
      </c>
      <c r="O712" s="143">
        <f>ROUND(+(N712)*C712*50%,4)</f>
        <v>0</v>
      </c>
      <c r="P712" s="147">
        <f>ROUND(O712+L712,4)</f>
        <v>0</v>
      </c>
      <c r="Q712" s="80"/>
      <c r="R712" s="81"/>
      <c r="S712" s="84"/>
    </row>
    <row r="713" spans="1:19" x14ac:dyDescent="0.2">
      <c r="A713" s="47"/>
      <c r="B713" s="36"/>
      <c r="C713" s="138"/>
      <c r="D713" s="140"/>
      <c r="E713" s="48"/>
      <c r="F713" s="140"/>
      <c r="G713" s="140"/>
      <c r="H713" s="140">
        <f>ROUND(+D713+F713,4)</f>
        <v>0</v>
      </c>
      <c r="I713" s="140">
        <v>0</v>
      </c>
      <c r="J713" s="140">
        <v>0.03</v>
      </c>
      <c r="K713" s="140">
        <f>ROUND(IF(E713="alluminio",(I713)*3%,0)+IF(E713="alluminio smaltato",(I713)*3%,0),4)</f>
        <v>0</v>
      </c>
      <c r="L713" s="143">
        <f>ROUND((J713*C713)+(K713*C713),4)</f>
        <v>0</v>
      </c>
      <c r="M713" s="140"/>
      <c r="N713" s="140">
        <f>ROUND(+I713-H713,4)</f>
        <v>0</v>
      </c>
      <c r="O713" s="143">
        <f>ROUND(+(N713)*C713*50%,4)</f>
        <v>0</v>
      </c>
      <c r="P713" s="147">
        <f>ROUND(O713+L713,4)</f>
        <v>0</v>
      </c>
      <c r="Q713" s="80"/>
      <c r="R713" s="81"/>
      <c r="S713" s="84"/>
    </row>
    <row r="714" spans="1:19" x14ac:dyDescent="0.2">
      <c r="A714" s="47"/>
      <c r="B714" s="36"/>
      <c r="C714" s="138"/>
      <c r="D714" s="140"/>
      <c r="E714" s="48"/>
      <c r="F714" s="140"/>
      <c r="G714" s="140"/>
      <c r="H714" s="140">
        <f>ROUND(+D714+F714,4)</f>
        <v>0</v>
      </c>
      <c r="I714" s="140">
        <v>0</v>
      </c>
      <c r="J714" s="140">
        <v>0.03</v>
      </c>
      <c r="K714" s="140">
        <f>ROUND(IF(E714="alluminio",(I714)*3%,0)+IF(E714="alluminio smaltato",(I714)*3%,0),4)</f>
        <v>0</v>
      </c>
      <c r="L714" s="143">
        <f>ROUND((J714*C714)+(K714*C714),4)</f>
        <v>0</v>
      </c>
      <c r="M714" s="140"/>
      <c r="N714" s="140">
        <f>ROUND(+I714-H714,4)</f>
        <v>0</v>
      </c>
      <c r="O714" s="143">
        <f>ROUND(+(N714)*C714*50%,4)</f>
        <v>0</v>
      </c>
      <c r="P714" s="147">
        <f>ROUND(O714+L714,4)</f>
        <v>0</v>
      </c>
      <c r="Q714" s="80"/>
      <c r="R714" s="81"/>
      <c r="S714" s="84"/>
    </row>
    <row r="715" spans="1:19" x14ac:dyDescent="0.2">
      <c r="A715" s="47"/>
      <c r="B715" s="36"/>
      <c r="C715" s="138"/>
      <c r="D715" s="140"/>
      <c r="E715" s="48"/>
      <c r="F715" s="140"/>
      <c r="G715" s="140"/>
      <c r="H715" s="140">
        <f>ROUND(+D715+F715,4)</f>
        <v>0</v>
      </c>
      <c r="I715" s="140">
        <v>0</v>
      </c>
      <c r="J715" s="140">
        <v>0.03</v>
      </c>
      <c r="K715" s="140">
        <f>ROUND(IF(E715="alluminio",(I715)*3%,0)+IF(E715="alluminio smaltato",(I715)*3%,0),4)</f>
        <v>0</v>
      </c>
      <c r="L715" s="143">
        <f>ROUND((J715*C715)+(K715*C715),4)</f>
        <v>0</v>
      </c>
      <c r="M715" s="140"/>
      <c r="N715" s="140">
        <f>ROUND(+I715-H715,4)</f>
        <v>0</v>
      </c>
      <c r="O715" s="143">
        <f>ROUND(+(N715)*C715*50%,4)</f>
        <v>0</v>
      </c>
      <c r="P715" s="147">
        <f>ROUND(O715+L715,4)</f>
        <v>0</v>
      </c>
      <c r="Q715" s="80"/>
      <c r="R715" s="81"/>
      <c r="S715" s="84"/>
    </row>
    <row r="716" spans="1:19" x14ac:dyDescent="0.2">
      <c r="A716" s="47"/>
      <c r="B716" s="36"/>
      <c r="C716" s="138"/>
      <c r="D716" s="140"/>
      <c r="E716" s="48"/>
      <c r="F716" s="140"/>
      <c r="G716" s="140"/>
      <c r="H716" s="140">
        <f>ROUND(+D716+F716,4)</f>
        <v>0</v>
      </c>
      <c r="I716" s="140">
        <v>0</v>
      </c>
      <c r="J716" s="140">
        <v>0.03</v>
      </c>
      <c r="K716" s="140">
        <f>ROUND(IF(E716="alluminio",(I716)*3%,0)+IF(E716="alluminio smaltato",(I716)*3%,0),4)</f>
        <v>0</v>
      </c>
      <c r="L716" s="143">
        <f>ROUND((J716*C716)+(K716*C716),4)</f>
        <v>0</v>
      </c>
      <c r="M716" s="140"/>
      <c r="N716" s="140">
        <f>ROUND(+I716-H716,4)</f>
        <v>0</v>
      </c>
      <c r="O716" s="143">
        <f>ROUND(+(N716)*C716*50%,4)</f>
        <v>0</v>
      </c>
      <c r="P716" s="147">
        <f>ROUND(O716+L716,4)</f>
        <v>0</v>
      </c>
      <c r="Q716" s="80"/>
      <c r="R716" s="81"/>
      <c r="S716" s="84"/>
    </row>
    <row r="717" spans="1:19" x14ac:dyDescent="0.2">
      <c r="A717" s="47"/>
      <c r="B717" s="36"/>
      <c r="C717" s="138"/>
      <c r="D717" s="140"/>
      <c r="E717" s="48"/>
      <c r="F717" s="140"/>
      <c r="G717" s="140"/>
      <c r="H717" s="140">
        <f>ROUND(+D717+F717,4)</f>
        <v>0</v>
      </c>
      <c r="I717" s="140">
        <v>0</v>
      </c>
      <c r="J717" s="140">
        <v>0.03</v>
      </c>
      <c r="K717" s="140">
        <f>ROUND(IF(E717="alluminio",(I717)*3%,0)+IF(E717="alluminio smaltato",(I717)*3%,0),4)</f>
        <v>0</v>
      </c>
      <c r="L717" s="143">
        <f>ROUND((J717*C717)+(K717*C717),4)</f>
        <v>0</v>
      </c>
      <c r="M717" s="140"/>
      <c r="N717" s="140">
        <f>ROUND(+I717-H717,4)</f>
        <v>0</v>
      </c>
      <c r="O717" s="143">
        <f>ROUND(+(N717)*C717*50%,4)</f>
        <v>0</v>
      </c>
      <c r="P717" s="147">
        <f>ROUND(O717+L717,4)</f>
        <v>0</v>
      </c>
      <c r="Q717" s="80"/>
      <c r="R717" s="81"/>
      <c r="S717" s="84"/>
    </row>
    <row r="718" spans="1:19" x14ac:dyDescent="0.2">
      <c r="A718" s="47"/>
      <c r="B718" s="36"/>
      <c r="C718" s="138"/>
      <c r="D718" s="140"/>
      <c r="E718" s="48"/>
      <c r="F718" s="140"/>
      <c r="G718" s="140"/>
      <c r="H718" s="140">
        <f>ROUND(+D718+F718,4)</f>
        <v>0</v>
      </c>
      <c r="I718" s="140">
        <v>0</v>
      </c>
      <c r="J718" s="140">
        <v>0.03</v>
      </c>
      <c r="K718" s="140">
        <f>ROUND(IF(E718="alluminio",(I718)*3%,0)+IF(E718="alluminio smaltato",(I718)*3%,0),4)</f>
        <v>0</v>
      </c>
      <c r="L718" s="143">
        <f>ROUND((J718*C718)+(K718*C718),4)</f>
        <v>0</v>
      </c>
      <c r="M718" s="140"/>
      <c r="N718" s="140">
        <f>ROUND(+I718-H718,4)</f>
        <v>0</v>
      </c>
      <c r="O718" s="143">
        <f>ROUND(+(N718)*C718*50%,4)</f>
        <v>0</v>
      </c>
      <c r="P718" s="147">
        <f>ROUND(O718+L718,4)</f>
        <v>0</v>
      </c>
      <c r="Q718" s="80"/>
      <c r="R718" s="81"/>
      <c r="S718" s="84"/>
    </row>
    <row r="719" spans="1:19" x14ac:dyDescent="0.2">
      <c r="A719" s="47"/>
      <c r="B719" s="36"/>
      <c r="C719" s="138"/>
      <c r="D719" s="140"/>
      <c r="E719" s="48"/>
      <c r="F719" s="140"/>
      <c r="G719" s="140"/>
      <c r="H719" s="140">
        <f>ROUND(+D719+F719,4)</f>
        <v>0</v>
      </c>
      <c r="I719" s="140">
        <v>0</v>
      </c>
      <c r="J719" s="140">
        <v>0.03</v>
      </c>
      <c r="K719" s="140">
        <f>ROUND(IF(E719="alluminio",(I719)*3%,0)+IF(E719="alluminio smaltato",(I719)*3%,0),4)</f>
        <v>0</v>
      </c>
      <c r="L719" s="143">
        <f>ROUND((J719*C719)+(K719*C719),4)</f>
        <v>0</v>
      </c>
      <c r="M719" s="140"/>
      <c r="N719" s="140">
        <f>ROUND(+I719-H719,4)</f>
        <v>0</v>
      </c>
      <c r="O719" s="143">
        <f>ROUND(+(N719)*C719*50%,4)</f>
        <v>0</v>
      </c>
      <c r="P719" s="147">
        <f>ROUND(O719+L719,4)</f>
        <v>0</v>
      </c>
      <c r="Q719" s="80"/>
      <c r="R719" s="81"/>
      <c r="S719" s="84"/>
    </row>
    <row r="720" spans="1:19" x14ac:dyDescent="0.2">
      <c r="A720" s="47"/>
      <c r="B720" s="36"/>
      <c r="C720" s="138"/>
      <c r="D720" s="140"/>
      <c r="E720" s="48"/>
      <c r="F720" s="140"/>
      <c r="G720" s="140"/>
      <c r="H720" s="140">
        <f>ROUND(+D720+F720,4)</f>
        <v>0</v>
      </c>
      <c r="I720" s="140">
        <v>0</v>
      </c>
      <c r="J720" s="140">
        <v>0.03</v>
      </c>
      <c r="K720" s="140">
        <f>ROUND(IF(E720="alluminio",(I720)*3%,0)+IF(E720="alluminio smaltato",(I720)*3%,0),4)</f>
        <v>0</v>
      </c>
      <c r="L720" s="143">
        <f>ROUND((J720*C720)+(K720*C720),4)</f>
        <v>0</v>
      </c>
      <c r="M720" s="140"/>
      <c r="N720" s="140">
        <f>ROUND(+I720-H720,4)</f>
        <v>0</v>
      </c>
      <c r="O720" s="143">
        <f>ROUND(+(N720)*C720*50%,4)</f>
        <v>0</v>
      </c>
      <c r="P720" s="147">
        <f>ROUND(O720+L720,4)</f>
        <v>0</v>
      </c>
      <c r="Q720" s="80"/>
      <c r="R720" s="81"/>
      <c r="S720" s="84"/>
    </row>
    <row r="721" spans="1:19" x14ac:dyDescent="0.2">
      <c r="A721" s="47"/>
      <c r="B721" s="36"/>
      <c r="C721" s="138"/>
      <c r="D721" s="140"/>
      <c r="E721" s="48"/>
      <c r="F721" s="140"/>
      <c r="G721" s="140"/>
      <c r="H721" s="140">
        <f>ROUND(+D721+F721,4)</f>
        <v>0</v>
      </c>
      <c r="I721" s="140">
        <v>0</v>
      </c>
      <c r="J721" s="140">
        <v>0.03</v>
      </c>
      <c r="K721" s="140">
        <f>ROUND(IF(E721="alluminio",(I721)*3%,0)+IF(E721="alluminio smaltato",(I721)*3%,0),4)</f>
        <v>0</v>
      </c>
      <c r="L721" s="143">
        <f>ROUND((J721*C721)+(K721*C721),4)</f>
        <v>0</v>
      </c>
      <c r="M721" s="140"/>
      <c r="N721" s="140">
        <f>ROUND(+I721-H721,4)</f>
        <v>0</v>
      </c>
      <c r="O721" s="143">
        <f>ROUND(+(N721)*C721*50%,4)</f>
        <v>0</v>
      </c>
      <c r="P721" s="147">
        <f>ROUND(O721+L721,4)</f>
        <v>0</v>
      </c>
      <c r="Q721" s="80"/>
      <c r="R721" s="81"/>
      <c r="S721" s="84"/>
    </row>
    <row r="722" spans="1:19" x14ac:dyDescent="0.2">
      <c r="A722" s="47"/>
      <c r="B722" s="36"/>
      <c r="C722" s="138"/>
      <c r="D722" s="140"/>
      <c r="E722" s="48"/>
      <c r="F722" s="140"/>
      <c r="G722" s="140"/>
      <c r="H722" s="140">
        <f>ROUND(+D722+F722,4)</f>
        <v>0</v>
      </c>
      <c r="I722" s="140">
        <v>0</v>
      </c>
      <c r="J722" s="140">
        <v>0.03</v>
      </c>
      <c r="K722" s="140">
        <f>ROUND(IF(E722="alluminio",(I722)*3%,0)+IF(E722="alluminio smaltato",(I722)*3%,0),4)</f>
        <v>0</v>
      </c>
      <c r="L722" s="143">
        <f>ROUND((J722*C722)+(K722*C722),4)</f>
        <v>0</v>
      </c>
      <c r="M722" s="140"/>
      <c r="N722" s="140">
        <f>ROUND(+I722-H722,4)</f>
        <v>0</v>
      </c>
      <c r="O722" s="143">
        <f>ROUND(+(N722)*C722*50%,4)</f>
        <v>0</v>
      </c>
      <c r="P722" s="147">
        <f>ROUND(O722+L722,4)</f>
        <v>0</v>
      </c>
      <c r="Q722" s="80"/>
      <c r="R722" s="81"/>
      <c r="S722" s="84"/>
    </row>
    <row r="723" spans="1:19" x14ac:dyDescent="0.2">
      <c r="A723" s="47"/>
      <c r="B723" s="36"/>
      <c r="C723" s="138"/>
      <c r="D723" s="140"/>
      <c r="E723" s="48"/>
      <c r="F723" s="140"/>
      <c r="G723" s="140"/>
      <c r="H723" s="140">
        <f>ROUND(+D723+F723,4)</f>
        <v>0</v>
      </c>
      <c r="I723" s="140">
        <v>0</v>
      </c>
      <c r="J723" s="140">
        <v>0.03</v>
      </c>
      <c r="K723" s="140">
        <f>ROUND(IF(E723="alluminio",(I723)*3%,0)+IF(E723="alluminio smaltato",(I723)*3%,0),4)</f>
        <v>0</v>
      </c>
      <c r="L723" s="143">
        <f>ROUND((J723*C723)+(K723*C723),4)</f>
        <v>0</v>
      </c>
      <c r="M723" s="140"/>
      <c r="N723" s="140">
        <f>ROUND(+I723-H723,4)</f>
        <v>0</v>
      </c>
      <c r="O723" s="143">
        <f>ROUND(+(N723)*C723*50%,4)</f>
        <v>0</v>
      </c>
      <c r="P723" s="147">
        <f>ROUND(O723+L723,4)</f>
        <v>0</v>
      </c>
      <c r="Q723" s="80"/>
      <c r="R723" s="81"/>
      <c r="S723" s="84"/>
    </row>
    <row r="724" spans="1:19" x14ac:dyDescent="0.2">
      <c r="A724" s="47"/>
      <c r="B724" s="36"/>
      <c r="C724" s="138"/>
      <c r="D724" s="140"/>
      <c r="E724" s="48"/>
      <c r="F724" s="140"/>
      <c r="G724" s="140"/>
      <c r="H724" s="140">
        <f>ROUND(+D724+F724,4)</f>
        <v>0</v>
      </c>
      <c r="I724" s="140">
        <v>0</v>
      </c>
      <c r="J724" s="140">
        <v>0.03</v>
      </c>
      <c r="K724" s="140">
        <f>ROUND(IF(E724="alluminio",(I724)*3%,0)+IF(E724="alluminio smaltato",(I724)*3%,0),4)</f>
        <v>0</v>
      </c>
      <c r="L724" s="143">
        <f>ROUND((J724*C724)+(K724*C724),4)</f>
        <v>0</v>
      </c>
      <c r="M724" s="140"/>
      <c r="N724" s="140">
        <f>ROUND(+I724-H724,4)</f>
        <v>0</v>
      </c>
      <c r="O724" s="143">
        <f>ROUND(+(N724)*C724*50%,4)</f>
        <v>0</v>
      </c>
      <c r="P724" s="147">
        <f>ROUND(O724+L724,4)</f>
        <v>0</v>
      </c>
      <c r="Q724" s="80"/>
      <c r="R724" s="81"/>
      <c r="S724" s="84"/>
    </row>
    <row r="725" spans="1:19" x14ac:dyDescent="0.2">
      <c r="A725" s="47"/>
      <c r="B725" s="36"/>
      <c r="C725" s="138"/>
      <c r="D725" s="140"/>
      <c r="E725" s="48"/>
      <c r="F725" s="140"/>
      <c r="G725" s="140"/>
      <c r="H725" s="140">
        <f>ROUND(+D725+F725,4)</f>
        <v>0</v>
      </c>
      <c r="I725" s="140">
        <v>0</v>
      </c>
      <c r="J725" s="140">
        <v>0.03</v>
      </c>
      <c r="K725" s="140">
        <f>ROUND(IF(E725="alluminio",(I725)*3%,0)+IF(E725="alluminio smaltato",(I725)*3%,0),4)</f>
        <v>0</v>
      </c>
      <c r="L725" s="143">
        <f>ROUND((J725*C725)+(K725*C725),4)</f>
        <v>0</v>
      </c>
      <c r="M725" s="140"/>
      <c r="N725" s="140">
        <f>ROUND(+I725-H725,4)</f>
        <v>0</v>
      </c>
      <c r="O725" s="143">
        <f>ROUND(+(N725)*C725*50%,4)</f>
        <v>0</v>
      </c>
      <c r="P725" s="147">
        <f>ROUND(O725+L725,4)</f>
        <v>0</v>
      </c>
      <c r="Q725" s="80"/>
      <c r="R725" s="81"/>
      <c r="S725" s="84"/>
    </row>
    <row r="726" spans="1:19" x14ac:dyDescent="0.2">
      <c r="A726" s="47"/>
      <c r="B726" s="36"/>
      <c r="C726" s="138"/>
      <c r="D726" s="140"/>
      <c r="E726" s="48"/>
      <c r="F726" s="140"/>
      <c r="G726" s="140"/>
      <c r="H726" s="140">
        <f>ROUND(+D726+F726,4)</f>
        <v>0</v>
      </c>
      <c r="I726" s="140">
        <v>0</v>
      </c>
      <c r="J726" s="140">
        <v>0.03</v>
      </c>
      <c r="K726" s="140">
        <f>ROUND(IF(E726="alluminio",(I726)*3%,0)+IF(E726="alluminio smaltato",(I726)*3%,0),4)</f>
        <v>0</v>
      </c>
      <c r="L726" s="143">
        <f>ROUND((J726*C726)+(K726*C726),4)</f>
        <v>0</v>
      </c>
      <c r="M726" s="140"/>
      <c r="N726" s="140">
        <f>ROUND(+I726-H726,4)</f>
        <v>0</v>
      </c>
      <c r="O726" s="143">
        <f>ROUND(+(N726)*C726*50%,4)</f>
        <v>0</v>
      </c>
      <c r="P726" s="147">
        <f>ROUND(O726+L726,4)</f>
        <v>0</v>
      </c>
      <c r="Q726" s="80"/>
      <c r="R726" s="81"/>
      <c r="S726" s="84"/>
    </row>
    <row r="727" spans="1:19" x14ac:dyDescent="0.2">
      <c r="A727" s="47"/>
      <c r="B727" s="36"/>
      <c r="C727" s="138"/>
      <c r="D727" s="140"/>
      <c r="E727" s="48"/>
      <c r="F727" s="140"/>
      <c r="G727" s="140"/>
      <c r="H727" s="140">
        <f>ROUND(+D727+F727,4)</f>
        <v>0</v>
      </c>
      <c r="I727" s="140">
        <v>0</v>
      </c>
      <c r="J727" s="140">
        <v>0.03</v>
      </c>
      <c r="K727" s="140">
        <f>ROUND(IF(E727="alluminio",(I727)*3%,0)+IF(E727="alluminio smaltato",(I727)*3%,0),4)</f>
        <v>0</v>
      </c>
      <c r="L727" s="143">
        <f>ROUND((J727*C727)+(K727*C727),4)</f>
        <v>0</v>
      </c>
      <c r="M727" s="140"/>
      <c r="N727" s="140">
        <f>ROUND(+I727-H727,4)</f>
        <v>0</v>
      </c>
      <c r="O727" s="143">
        <f>ROUND(+(N727)*C727*50%,4)</f>
        <v>0</v>
      </c>
      <c r="P727" s="147">
        <f>ROUND(O727+L727,4)</f>
        <v>0</v>
      </c>
      <c r="Q727" s="80"/>
      <c r="R727" s="81"/>
      <c r="S727" s="84"/>
    </row>
    <row r="728" spans="1:19" x14ac:dyDescent="0.2">
      <c r="A728" s="47"/>
      <c r="B728" s="36"/>
      <c r="C728" s="138"/>
      <c r="D728" s="140"/>
      <c r="E728" s="48"/>
      <c r="F728" s="140"/>
      <c r="G728" s="140"/>
      <c r="H728" s="140">
        <f>ROUND(+D728+F728,4)</f>
        <v>0</v>
      </c>
      <c r="I728" s="140">
        <v>0</v>
      </c>
      <c r="J728" s="140">
        <v>0.03</v>
      </c>
      <c r="K728" s="140">
        <f>ROUND(IF(E728="alluminio",(I728)*3%,0)+IF(E728="alluminio smaltato",(I728)*3%,0),4)</f>
        <v>0</v>
      </c>
      <c r="L728" s="143">
        <f>ROUND((J728*C728)+(K728*C728),4)</f>
        <v>0</v>
      </c>
      <c r="M728" s="140"/>
      <c r="N728" s="140">
        <f>ROUND(+I728-H728,4)</f>
        <v>0</v>
      </c>
      <c r="O728" s="143">
        <f>ROUND(+(N728)*C728*50%,4)</f>
        <v>0</v>
      </c>
      <c r="P728" s="147">
        <f>ROUND(O728+L728,4)</f>
        <v>0</v>
      </c>
      <c r="Q728" s="80"/>
      <c r="R728" s="81"/>
      <c r="S728" s="84"/>
    </row>
    <row r="729" spans="1:19" x14ac:dyDescent="0.2">
      <c r="A729" s="47"/>
      <c r="B729" s="36"/>
      <c r="C729" s="138"/>
      <c r="D729" s="140"/>
      <c r="E729" s="48"/>
      <c r="F729" s="140"/>
      <c r="G729" s="140"/>
      <c r="H729" s="140">
        <f>ROUND(+D729+F729,4)</f>
        <v>0</v>
      </c>
      <c r="I729" s="140">
        <v>0</v>
      </c>
      <c r="J729" s="140">
        <v>0.03</v>
      </c>
      <c r="K729" s="140">
        <f>ROUND(IF(E729="alluminio",(I729)*3%,0)+IF(E729="alluminio smaltato",(I729)*3%,0),4)</f>
        <v>0</v>
      </c>
      <c r="L729" s="143">
        <f>ROUND((J729*C729)+(K729*C729),4)</f>
        <v>0</v>
      </c>
      <c r="M729" s="140"/>
      <c r="N729" s="140">
        <f>ROUND(+I729-H729,4)</f>
        <v>0</v>
      </c>
      <c r="O729" s="143">
        <f>ROUND(+(N729)*C729*50%,4)</f>
        <v>0</v>
      </c>
      <c r="P729" s="147">
        <f>ROUND(O729+L729,4)</f>
        <v>0</v>
      </c>
      <c r="Q729" s="80"/>
      <c r="R729" s="81"/>
      <c r="S729" s="84"/>
    </row>
    <row r="730" spans="1:19" x14ac:dyDescent="0.2">
      <c r="A730" s="47"/>
      <c r="B730" s="36"/>
      <c r="C730" s="138"/>
      <c r="D730" s="140"/>
      <c r="E730" s="48"/>
      <c r="F730" s="140"/>
      <c r="G730" s="140"/>
      <c r="H730" s="140">
        <f>ROUND(+D730+F730,4)</f>
        <v>0</v>
      </c>
      <c r="I730" s="140">
        <v>0</v>
      </c>
      <c r="J730" s="140">
        <v>0.03</v>
      </c>
      <c r="K730" s="140">
        <f>ROUND(IF(E730="alluminio",(I730)*3%,0)+IF(E730="alluminio smaltato",(I730)*3%,0),4)</f>
        <v>0</v>
      </c>
      <c r="L730" s="143">
        <f>ROUND((J730*C730)+(K730*C730),4)</f>
        <v>0</v>
      </c>
      <c r="M730" s="140"/>
      <c r="N730" s="140">
        <f>ROUND(+I730-H730,4)</f>
        <v>0</v>
      </c>
      <c r="O730" s="143">
        <f>ROUND(+(N730)*C730*50%,4)</f>
        <v>0</v>
      </c>
      <c r="P730" s="147">
        <f>ROUND(O730+L730,4)</f>
        <v>0</v>
      </c>
      <c r="Q730" s="80"/>
      <c r="R730" s="81"/>
      <c r="S730" s="84"/>
    </row>
    <row r="731" spans="1:19" x14ac:dyDescent="0.2">
      <c r="A731" s="47"/>
      <c r="B731" s="36"/>
      <c r="C731" s="138"/>
      <c r="D731" s="140"/>
      <c r="E731" s="48"/>
      <c r="F731" s="140"/>
      <c r="G731" s="140"/>
      <c r="H731" s="140">
        <f>ROUND(+D731+F731,4)</f>
        <v>0</v>
      </c>
      <c r="I731" s="140">
        <v>0</v>
      </c>
      <c r="J731" s="140">
        <v>0.03</v>
      </c>
      <c r="K731" s="140">
        <f>ROUND(IF(E731="alluminio",(I731)*3%,0)+IF(E731="alluminio smaltato",(I731)*3%,0),4)</f>
        <v>0</v>
      </c>
      <c r="L731" s="143">
        <f>ROUND((J731*C731)+(K731*C731),4)</f>
        <v>0</v>
      </c>
      <c r="M731" s="140"/>
      <c r="N731" s="140">
        <f>ROUND(+I731-H731,4)</f>
        <v>0</v>
      </c>
      <c r="O731" s="143">
        <f>ROUND(+(N731)*C731*50%,4)</f>
        <v>0</v>
      </c>
      <c r="P731" s="147">
        <f>ROUND(O731+L731,4)</f>
        <v>0</v>
      </c>
      <c r="Q731" s="80"/>
      <c r="R731" s="81"/>
      <c r="S731" s="84"/>
    </row>
    <row r="732" spans="1:19" x14ac:dyDescent="0.2">
      <c r="A732" s="47"/>
      <c r="B732" s="36"/>
      <c r="C732" s="138"/>
      <c r="D732" s="140"/>
      <c r="E732" s="48"/>
      <c r="F732" s="140"/>
      <c r="G732" s="140"/>
      <c r="H732" s="140">
        <f>ROUND(+D732+F732,4)</f>
        <v>0</v>
      </c>
      <c r="I732" s="140">
        <v>0</v>
      </c>
      <c r="J732" s="140">
        <v>0.03</v>
      </c>
      <c r="K732" s="140">
        <f>ROUND(IF(E732="alluminio",(I732)*3%,0)+IF(E732="alluminio smaltato",(I732)*3%,0),4)</f>
        <v>0</v>
      </c>
      <c r="L732" s="143">
        <f>ROUND((J732*C732)+(K732*C732),4)</f>
        <v>0</v>
      </c>
      <c r="M732" s="140"/>
      <c r="N732" s="140">
        <f>ROUND(+I732-H732,4)</f>
        <v>0</v>
      </c>
      <c r="O732" s="143">
        <f>ROUND(+(N732)*C732*50%,4)</f>
        <v>0</v>
      </c>
      <c r="P732" s="147">
        <f>ROUND(O732+L732,4)</f>
        <v>0</v>
      </c>
      <c r="Q732" s="80"/>
      <c r="R732" s="81"/>
      <c r="S732" s="84"/>
    </row>
    <row r="733" spans="1:19" x14ac:dyDescent="0.2">
      <c r="A733" s="47"/>
      <c r="B733" s="36"/>
      <c r="C733" s="138"/>
      <c r="D733" s="140"/>
      <c r="E733" s="48"/>
      <c r="F733" s="140"/>
      <c r="G733" s="140"/>
      <c r="H733" s="140">
        <f>ROUND(+D733+F733,4)</f>
        <v>0</v>
      </c>
      <c r="I733" s="140">
        <v>0</v>
      </c>
      <c r="J733" s="140">
        <v>0.03</v>
      </c>
      <c r="K733" s="140">
        <f>ROUND(IF(E733="alluminio",(I733)*3%,0)+IF(E733="alluminio smaltato",(I733)*3%,0),4)</f>
        <v>0</v>
      </c>
      <c r="L733" s="143">
        <f>ROUND((J733*C733)+(K733*C733),4)</f>
        <v>0</v>
      </c>
      <c r="M733" s="140"/>
      <c r="N733" s="140">
        <f>ROUND(+I733-H733,4)</f>
        <v>0</v>
      </c>
      <c r="O733" s="143">
        <f>ROUND(+(N733)*C733*50%,4)</f>
        <v>0</v>
      </c>
      <c r="P733" s="147">
        <f>ROUND(O733+L733,4)</f>
        <v>0</v>
      </c>
      <c r="Q733" s="80"/>
      <c r="R733" s="81"/>
      <c r="S733" s="84"/>
    </row>
    <row r="734" spans="1:19" x14ac:dyDescent="0.2">
      <c r="A734" s="47"/>
      <c r="B734" s="36"/>
      <c r="C734" s="138"/>
      <c r="D734" s="140"/>
      <c r="E734" s="48"/>
      <c r="F734" s="140"/>
      <c r="G734" s="140"/>
      <c r="H734" s="140">
        <f>ROUND(+D734+F734,4)</f>
        <v>0</v>
      </c>
      <c r="I734" s="140">
        <v>0</v>
      </c>
      <c r="J734" s="140">
        <v>0.03</v>
      </c>
      <c r="K734" s="140">
        <f>ROUND(IF(E734="alluminio",(I734)*3%,0)+IF(E734="alluminio smaltato",(I734)*3%,0),4)</f>
        <v>0</v>
      </c>
      <c r="L734" s="143">
        <f>ROUND((J734*C734)+(K734*C734),4)</f>
        <v>0</v>
      </c>
      <c r="M734" s="140"/>
      <c r="N734" s="140">
        <f>ROUND(+I734-H734,4)</f>
        <v>0</v>
      </c>
      <c r="O734" s="143">
        <f>ROUND(+(N734)*C734*50%,4)</f>
        <v>0</v>
      </c>
      <c r="P734" s="147">
        <f>ROUND(O734+L734,4)</f>
        <v>0</v>
      </c>
      <c r="Q734" s="80"/>
      <c r="R734" s="81"/>
      <c r="S734" s="84"/>
    </row>
    <row r="735" spans="1:19" x14ac:dyDescent="0.2">
      <c r="A735" s="47"/>
      <c r="B735" s="36"/>
      <c r="C735" s="138"/>
      <c r="D735" s="140"/>
      <c r="E735" s="48"/>
      <c r="F735" s="140"/>
      <c r="G735" s="140"/>
      <c r="H735" s="140">
        <f>ROUND(+D735+F735,4)</f>
        <v>0</v>
      </c>
      <c r="I735" s="140">
        <v>0</v>
      </c>
      <c r="J735" s="140">
        <v>0.03</v>
      </c>
      <c r="K735" s="140">
        <f>ROUND(IF(E735="alluminio",(I735)*3%,0)+IF(E735="alluminio smaltato",(I735)*3%,0),4)</f>
        <v>0</v>
      </c>
      <c r="L735" s="143">
        <f>ROUND((J735*C735)+(K735*C735),4)</f>
        <v>0</v>
      </c>
      <c r="M735" s="140"/>
      <c r="N735" s="140">
        <f>ROUND(+I735-H735,4)</f>
        <v>0</v>
      </c>
      <c r="O735" s="143">
        <f>ROUND(+(N735)*C735*50%,4)</f>
        <v>0</v>
      </c>
      <c r="P735" s="147">
        <f>ROUND(O735+L735,4)</f>
        <v>0</v>
      </c>
      <c r="Q735" s="80"/>
      <c r="R735" s="81"/>
      <c r="S735" s="84"/>
    </row>
    <row r="736" spans="1:19" x14ac:dyDescent="0.2">
      <c r="A736" s="47"/>
      <c r="B736" s="36"/>
      <c r="C736" s="138"/>
      <c r="D736" s="140"/>
      <c r="E736" s="48"/>
      <c r="F736" s="140"/>
      <c r="G736" s="140"/>
      <c r="H736" s="140">
        <f>ROUND(+D736+F736,4)</f>
        <v>0</v>
      </c>
      <c r="I736" s="140">
        <v>0</v>
      </c>
      <c r="J736" s="140">
        <v>0.03</v>
      </c>
      <c r="K736" s="140">
        <f>ROUND(IF(E736="alluminio",(I736)*3%,0)+IF(E736="alluminio smaltato",(I736)*3%,0),4)</f>
        <v>0</v>
      </c>
      <c r="L736" s="143">
        <f>ROUND((J736*C736)+(K736*C736),4)</f>
        <v>0</v>
      </c>
      <c r="M736" s="140"/>
      <c r="N736" s="140">
        <f>ROUND(+I736-H736,4)</f>
        <v>0</v>
      </c>
      <c r="O736" s="143">
        <f>ROUND(+(N736)*C736*50%,4)</f>
        <v>0</v>
      </c>
      <c r="P736" s="147">
        <f>ROUND(O736+L736,4)</f>
        <v>0</v>
      </c>
      <c r="Q736" s="80"/>
      <c r="R736" s="81"/>
      <c r="S736" s="84"/>
    </row>
    <row r="737" spans="1:19" x14ac:dyDescent="0.2">
      <c r="A737" s="47"/>
      <c r="B737" s="36"/>
      <c r="C737" s="138"/>
      <c r="D737" s="140"/>
      <c r="E737" s="48"/>
      <c r="F737" s="140"/>
      <c r="G737" s="140"/>
      <c r="H737" s="140">
        <f>ROUND(+D737+F737,4)</f>
        <v>0</v>
      </c>
      <c r="I737" s="140">
        <v>0</v>
      </c>
      <c r="J737" s="140">
        <v>0.03</v>
      </c>
      <c r="K737" s="140">
        <f>ROUND(IF(E737="alluminio",(I737)*3%,0)+IF(E737="alluminio smaltato",(I737)*3%,0),4)</f>
        <v>0</v>
      </c>
      <c r="L737" s="143">
        <f>ROUND((J737*C737)+(K737*C737),4)</f>
        <v>0</v>
      </c>
      <c r="M737" s="140"/>
      <c r="N737" s="140">
        <f>ROUND(+I737-H737,4)</f>
        <v>0</v>
      </c>
      <c r="O737" s="143">
        <f>ROUND(+(N737)*C737*50%,4)</f>
        <v>0</v>
      </c>
      <c r="P737" s="147">
        <f>ROUND(O737+L737,4)</f>
        <v>0</v>
      </c>
      <c r="Q737" s="80"/>
      <c r="R737" s="81"/>
      <c r="S737" s="84"/>
    </row>
    <row r="738" spans="1:19" x14ac:dyDescent="0.2">
      <c r="A738" s="47"/>
      <c r="B738" s="36"/>
      <c r="C738" s="138"/>
      <c r="D738" s="140"/>
      <c r="E738" s="48"/>
      <c r="F738" s="140"/>
      <c r="G738" s="140"/>
      <c r="H738" s="140">
        <f>ROUND(+D738+F738,4)</f>
        <v>0</v>
      </c>
      <c r="I738" s="140">
        <v>0</v>
      </c>
      <c r="J738" s="140">
        <v>0.03</v>
      </c>
      <c r="K738" s="140">
        <f>ROUND(IF(E738="alluminio",(I738)*3%,0)+IF(E738="alluminio smaltato",(I738)*3%,0),4)</f>
        <v>0</v>
      </c>
      <c r="L738" s="143">
        <f>ROUND((J738*C738)+(K738*C738),4)</f>
        <v>0</v>
      </c>
      <c r="M738" s="140"/>
      <c r="N738" s="140">
        <f>ROUND(+I738-H738,4)</f>
        <v>0</v>
      </c>
      <c r="O738" s="143">
        <f>ROUND(+(N738)*C738*50%,4)</f>
        <v>0</v>
      </c>
      <c r="P738" s="147">
        <f>ROUND(O738+L738,4)</f>
        <v>0</v>
      </c>
      <c r="Q738" s="80"/>
      <c r="R738" s="81"/>
      <c r="S738" s="84"/>
    </row>
    <row r="739" spans="1:19" x14ac:dyDescent="0.2">
      <c r="A739" s="47"/>
      <c r="B739" s="36"/>
      <c r="C739" s="138"/>
      <c r="D739" s="140"/>
      <c r="E739" s="48"/>
      <c r="F739" s="140"/>
      <c r="G739" s="140"/>
      <c r="H739" s="140">
        <f>ROUND(+D739+F739,4)</f>
        <v>0</v>
      </c>
      <c r="I739" s="140">
        <v>0</v>
      </c>
      <c r="J739" s="140">
        <v>0.03</v>
      </c>
      <c r="K739" s="140">
        <f>ROUND(IF(E739="alluminio",(I739)*3%,0)+IF(E739="alluminio smaltato",(I739)*3%,0),4)</f>
        <v>0</v>
      </c>
      <c r="L739" s="143">
        <f>ROUND((J739*C739)+(K739*C739),4)</f>
        <v>0</v>
      </c>
      <c r="M739" s="140"/>
      <c r="N739" s="140">
        <f>ROUND(+I739-H739,4)</f>
        <v>0</v>
      </c>
      <c r="O739" s="143">
        <f>ROUND(+(N739)*C739*50%,4)</f>
        <v>0</v>
      </c>
      <c r="P739" s="147">
        <f>ROUND(O739+L739,4)</f>
        <v>0</v>
      </c>
      <c r="Q739" s="80"/>
      <c r="R739" s="81"/>
      <c r="S739" s="84"/>
    </row>
    <row r="740" spans="1:19" x14ac:dyDescent="0.2">
      <c r="A740" s="47"/>
      <c r="B740" s="36"/>
      <c r="C740" s="138"/>
      <c r="D740" s="140"/>
      <c r="E740" s="48"/>
      <c r="F740" s="140"/>
      <c r="G740" s="140"/>
      <c r="H740" s="140">
        <f>ROUND(+D740+F740,4)</f>
        <v>0</v>
      </c>
      <c r="I740" s="140">
        <v>0</v>
      </c>
      <c r="J740" s="140">
        <v>0.03</v>
      </c>
      <c r="K740" s="140">
        <f>ROUND(IF(E740="alluminio",(I740)*3%,0)+IF(E740="alluminio smaltato",(I740)*3%,0),4)</f>
        <v>0</v>
      </c>
      <c r="L740" s="143">
        <f>ROUND((J740*C740)+(K740*C740),4)</f>
        <v>0</v>
      </c>
      <c r="M740" s="140"/>
      <c r="N740" s="140">
        <f>ROUND(+I740-H740,4)</f>
        <v>0</v>
      </c>
      <c r="O740" s="143">
        <f>ROUND(+(N740)*C740*50%,4)</f>
        <v>0</v>
      </c>
      <c r="P740" s="147">
        <f>ROUND(O740+L740,4)</f>
        <v>0</v>
      </c>
      <c r="Q740" s="80"/>
      <c r="R740" s="81"/>
      <c r="S740" s="84"/>
    </row>
    <row r="741" spans="1:19" x14ac:dyDescent="0.2">
      <c r="A741" s="47"/>
      <c r="B741" s="36"/>
      <c r="C741" s="138"/>
      <c r="D741" s="140"/>
      <c r="E741" s="48"/>
      <c r="F741" s="140"/>
      <c r="G741" s="140"/>
      <c r="H741" s="140">
        <f>ROUND(+D741+F741,4)</f>
        <v>0</v>
      </c>
      <c r="I741" s="140">
        <v>0</v>
      </c>
      <c r="J741" s="140">
        <v>0.03</v>
      </c>
      <c r="K741" s="140">
        <f>ROUND(IF(E741="alluminio",(I741)*3%,0)+IF(E741="alluminio smaltato",(I741)*3%,0),4)</f>
        <v>0</v>
      </c>
      <c r="L741" s="143">
        <f>ROUND((J741*C741)+(K741*C741),4)</f>
        <v>0</v>
      </c>
      <c r="M741" s="140"/>
      <c r="N741" s="140">
        <f>ROUND(+I741-H741,4)</f>
        <v>0</v>
      </c>
      <c r="O741" s="143">
        <f>ROUND(+(N741)*C741*50%,4)</f>
        <v>0</v>
      </c>
      <c r="P741" s="147">
        <f>ROUND(O741+L741,4)</f>
        <v>0</v>
      </c>
      <c r="Q741" s="80"/>
      <c r="R741" s="81"/>
      <c r="S741" s="84"/>
    </row>
    <row r="742" spans="1:19" x14ac:dyDescent="0.2">
      <c r="A742" s="47"/>
      <c r="B742" s="36"/>
      <c r="C742" s="138"/>
      <c r="D742" s="140"/>
      <c r="E742" s="48"/>
      <c r="F742" s="140"/>
      <c r="G742" s="140"/>
      <c r="H742" s="140">
        <f>ROUND(+D742+F742,4)</f>
        <v>0</v>
      </c>
      <c r="I742" s="140">
        <v>0</v>
      </c>
      <c r="J742" s="140">
        <v>0.03</v>
      </c>
      <c r="K742" s="140">
        <f>ROUND(IF(E742="alluminio",(I742)*3%,0)+IF(E742="alluminio smaltato",(I742)*3%,0),4)</f>
        <v>0</v>
      </c>
      <c r="L742" s="143">
        <f>ROUND((J742*C742)+(K742*C742),4)</f>
        <v>0</v>
      </c>
      <c r="M742" s="140"/>
      <c r="N742" s="140">
        <f>ROUND(+I742-H742,4)</f>
        <v>0</v>
      </c>
      <c r="O742" s="143">
        <f>ROUND(+(N742)*C742*50%,4)</f>
        <v>0</v>
      </c>
      <c r="P742" s="147">
        <f>ROUND(O742+L742,4)</f>
        <v>0</v>
      </c>
      <c r="Q742" s="80"/>
      <c r="R742" s="81"/>
      <c r="S742" s="84"/>
    </row>
    <row r="743" spans="1:19" x14ac:dyDescent="0.2">
      <c r="A743" s="47"/>
      <c r="B743" s="36"/>
      <c r="C743" s="138"/>
      <c r="D743" s="140"/>
      <c r="E743" s="48"/>
      <c r="F743" s="140"/>
      <c r="G743" s="140"/>
      <c r="H743" s="140">
        <f>ROUND(+D743+F743,4)</f>
        <v>0</v>
      </c>
      <c r="I743" s="140">
        <v>0</v>
      </c>
      <c r="J743" s="140">
        <v>0.03</v>
      </c>
      <c r="K743" s="140">
        <f>ROUND(IF(E743="alluminio",(I743)*3%,0)+IF(E743="alluminio smaltato",(I743)*3%,0),4)</f>
        <v>0</v>
      </c>
      <c r="L743" s="143">
        <f>ROUND((J743*C743)+(K743*C743),4)</f>
        <v>0</v>
      </c>
      <c r="M743" s="140"/>
      <c r="N743" s="140">
        <f>ROUND(+I743-H743,4)</f>
        <v>0</v>
      </c>
      <c r="O743" s="143">
        <f>ROUND(+(N743)*C743*50%,4)</f>
        <v>0</v>
      </c>
      <c r="P743" s="147">
        <f>ROUND(O743+L743,4)</f>
        <v>0</v>
      </c>
      <c r="Q743" s="80"/>
      <c r="R743" s="81"/>
      <c r="S743" s="84"/>
    </row>
    <row r="744" spans="1:19" x14ac:dyDescent="0.2">
      <c r="A744" s="47"/>
      <c r="B744" s="36"/>
      <c r="C744" s="138"/>
      <c r="D744" s="140"/>
      <c r="E744" s="48"/>
      <c r="F744" s="140"/>
      <c r="G744" s="140"/>
      <c r="H744" s="140">
        <f>ROUND(+D744+F744,4)</f>
        <v>0</v>
      </c>
      <c r="I744" s="140">
        <v>0</v>
      </c>
      <c r="J744" s="140">
        <v>0.03</v>
      </c>
      <c r="K744" s="140">
        <f>ROUND(IF(E744="alluminio",(I744)*3%,0)+IF(E744="alluminio smaltato",(I744)*3%,0),4)</f>
        <v>0</v>
      </c>
      <c r="L744" s="143">
        <f>ROUND((J744*C744)+(K744*C744),4)</f>
        <v>0</v>
      </c>
      <c r="M744" s="140"/>
      <c r="N744" s="140">
        <f>ROUND(+I744-H744,4)</f>
        <v>0</v>
      </c>
      <c r="O744" s="143">
        <f>ROUND(+(N744)*C744*50%,4)</f>
        <v>0</v>
      </c>
      <c r="P744" s="147">
        <f>ROUND(O744+L744,4)</f>
        <v>0</v>
      </c>
      <c r="Q744" s="80"/>
      <c r="R744" s="81"/>
      <c r="S744" s="84"/>
    </row>
    <row r="745" spans="1:19" x14ac:dyDescent="0.2">
      <c r="A745" s="47"/>
      <c r="B745" s="36"/>
      <c r="C745" s="138"/>
      <c r="D745" s="140"/>
      <c r="E745" s="48"/>
      <c r="F745" s="140"/>
      <c r="G745" s="140"/>
      <c r="H745" s="140">
        <f>ROUND(+D745+F745,4)</f>
        <v>0</v>
      </c>
      <c r="I745" s="140">
        <v>0</v>
      </c>
      <c r="J745" s="140">
        <v>0.03</v>
      </c>
      <c r="K745" s="140">
        <f>ROUND(IF(E745="alluminio",(I745)*3%,0)+IF(E745="alluminio smaltato",(I745)*3%,0),4)</f>
        <v>0</v>
      </c>
      <c r="L745" s="143">
        <f>ROUND((J745*C745)+(K745*C745),4)</f>
        <v>0</v>
      </c>
      <c r="M745" s="140"/>
      <c r="N745" s="140">
        <f>ROUND(+I745-H745,4)</f>
        <v>0</v>
      </c>
      <c r="O745" s="143">
        <f>ROUND(+(N745)*C745*50%,4)</f>
        <v>0</v>
      </c>
      <c r="P745" s="147">
        <f>ROUND(O745+L745,4)</f>
        <v>0</v>
      </c>
      <c r="Q745" s="80"/>
      <c r="R745" s="81"/>
      <c r="S745" s="84"/>
    </row>
    <row r="746" spans="1:19" x14ac:dyDescent="0.2">
      <c r="A746" s="47"/>
      <c r="B746" s="36"/>
      <c r="C746" s="138"/>
      <c r="D746" s="140"/>
      <c r="E746" s="48"/>
      <c r="F746" s="140"/>
      <c r="G746" s="140"/>
      <c r="H746" s="140">
        <f>ROUND(+D746+F746,4)</f>
        <v>0</v>
      </c>
      <c r="I746" s="140">
        <v>0</v>
      </c>
      <c r="J746" s="140">
        <v>0.03</v>
      </c>
      <c r="K746" s="140">
        <f>ROUND(IF(E746="alluminio",(I746)*3%,0)+IF(E746="alluminio smaltato",(I746)*3%,0),4)</f>
        <v>0</v>
      </c>
      <c r="L746" s="143">
        <f>ROUND((J746*C746)+(K746*C746),4)</f>
        <v>0</v>
      </c>
      <c r="M746" s="140"/>
      <c r="N746" s="140">
        <f>ROUND(+I746-H746,4)</f>
        <v>0</v>
      </c>
      <c r="O746" s="143">
        <f>ROUND(+(N746)*C746*50%,4)</f>
        <v>0</v>
      </c>
      <c r="P746" s="147">
        <f>ROUND(O746+L746,4)</f>
        <v>0</v>
      </c>
      <c r="Q746" s="80"/>
      <c r="R746" s="81"/>
      <c r="S746" s="84"/>
    </row>
    <row r="747" spans="1:19" x14ac:dyDescent="0.2">
      <c r="A747" s="47"/>
      <c r="B747" s="36"/>
      <c r="C747" s="138"/>
      <c r="D747" s="140"/>
      <c r="E747" s="48"/>
      <c r="F747" s="140"/>
      <c r="G747" s="140"/>
      <c r="H747" s="140">
        <f>ROUND(+D747+F747,4)</f>
        <v>0</v>
      </c>
      <c r="I747" s="140">
        <v>0</v>
      </c>
      <c r="J747" s="140">
        <v>0.03</v>
      </c>
      <c r="K747" s="140">
        <f>ROUND(IF(E747="alluminio",(I747)*3%,0)+IF(E747="alluminio smaltato",(I747)*3%,0),4)</f>
        <v>0</v>
      </c>
      <c r="L747" s="143">
        <f>ROUND((J747*C747)+(K747*C747),4)</f>
        <v>0</v>
      </c>
      <c r="M747" s="140"/>
      <c r="N747" s="140">
        <f>ROUND(+I747-H747,4)</f>
        <v>0</v>
      </c>
      <c r="O747" s="143">
        <f>ROUND(+(N747)*C747*50%,4)</f>
        <v>0</v>
      </c>
      <c r="P747" s="147">
        <f>ROUND(O747+L747,4)</f>
        <v>0</v>
      </c>
      <c r="Q747" s="80"/>
      <c r="R747" s="81"/>
      <c r="S747" s="84"/>
    </row>
    <row r="748" spans="1:19" x14ac:dyDescent="0.2">
      <c r="A748" s="47"/>
      <c r="B748" s="36"/>
      <c r="C748" s="138"/>
      <c r="D748" s="140"/>
      <c r="E748" s="48"/>
      <c r="F748" s="140"/>
      <c r="G748" s="140"/>
      <c r="H748" s="140">
        <f>ROUND(+D748+F748,4)</f>
        <v>0</v>
      </c>
      <c r="I748" s="140">
        <v>0</v>
      </c>
      <c r="J748" s="140">
        <v>0.03</v>
      </c>
      <c r="K748" s="140">
        <f>ROUND(IF(E748="alluminio",(I748)*3%,0)+IF(E748="alluminio smaltato",(I748)*3%,0),4)</f>
        <v>0</v>
      </c>
      <c r="L748" s="143">
        <f>ROUND((J748*C748)+(K748*C748),4)</f>
        <v>0</v>
      </c>
      <c r="M748" s="140"/>
      <c r="N748" s="140">
        <f>ROUND(+I748-H748,4)</f>
        <v>0</v>
      </c>
      <c r="O748" s="143">
        <f>ROUND(+(N748)*C748*50%,4)</f>
        <v>0</v>
      </c>
      <c r="P748" s="147">
        <f>ROUND(O748+L748,4)</f>
        <v>0</v>
      </c>
      <c r="Q748" s="80"/>
      <c r="R748" s="81"/>
      <c r="S748" s="84"/>
    </row>
    <row r="749" spans="1:19" x14ac:dyDescent="0.2">
      <c r="A749" s="47"/>
      <c r="B749" s="36"/>
      <c r="C749" s="138"/>
      <c r="D749" s="140"/>
      <c r="E749" s="48"/>
      <c r="F749" s="140"/>
      <c r="G749" s="140"/>
      <c r="H749" s="140">
        <f>ROUND(+D749+F749,4)</f>
        <v>0</v>
      </c>
      <c r="I749" s="140">
        <v>0</v>
      </c>
      <c r="J749" s="140">
        <v>0.03</v>
      </c>
      <c r="K749" s="140">
        <f>ROUND(IF(E749="alluminio",(I749)*3%,0)+IF(E749="alluminio smaltato",(I749)*3%,0),4)</f>
        <v>0</v>
      </c>
      <c r="L749" s="143">
        <f>ROUND((J749*C749)+(K749*C749),4)</f>
        <v>0</v>
      </c>
      <c r="M749" s="140"/>
      <c r="N749" s="140">
        <f>ROUND(+I749-H749,4)</f>
        <v>0</v>
      </c>
      <c r="O749" s="143">
        <f>ROUND(+(N749)*C749*50%,4)</f>
        <v>0</v>
      </c>
      <c r="P749" s="147">
        <f>ROUND(O749+L749,4)</f>
        <v>0</v>
      </c>
      <c r="Q749" s="80"/>
      <c r="R749" s="81"/>
      <c r="S749" s="84"/>
    </row>
    <row r="750" spans="1:19" x14ac:dyDescent="0.2">
      <c r="A750" s="47"/>
      <c r="B750" s="36"/>
      <c r="C750" s="138"/>
      <c r="D750" s="140"/>
      <c r="E750" s="48"/>
      <c r="F750" s="140"/>
      <c r="G750" s="140"/>
      <c r="H750" s="140">
        <f>ROUND(+D750+F750,4)</f>
        <v>0</v>
      </c>
      <c r="I750" s="140">
        <v>0</v>
      </c>
      <c r="J750" s="140">
        <v>0.03</v>
      </c>
      <c r="K750" s="140">
        <f>ROUND(IF(E750="alluminio",(I750)*3%,0)+IF(E750="alluminio smaltato",(I750)*3%,0),4)</f>
        <v>0</v>
      </c>
      <c r="L750" s="143">
        <f>ROUND((J750*C750)+(K750*C750),4)</f>
        <v>0</v>
      </c>
      <c r="M750" s="140"/>
      <c r="N750" s="140">
        <f>ROUND(+I750-H750,4)</f>
        <v>0</v>
      </c>
      <c r="O750" s="143">
        <f>ROUND(+(N750)*C750*50%,4)</f>
        <v>0</v>
      </c>
      <c r="P750" s="147">
        <f>ROUND(O750+L750,4)</f>
        <v>0</v>
      </c>
      <c r="Q750" s="80"/>
      <c r="R750" s="81"/>
      <c r="S750" s="84"/>
    </row>
    <row r="751" spans="1:19" x14ac:dyDescent="0.2">
      <c r="A751" s="47"/>
      <c r="B751" s="36"/>
      <c r="C751" s="138"/>
      <c r="D751" s="140"/>
      <c r="E751" s="48"/>
      <c r="F751" s="140"/>
      <c r="G751" s="140"/>
      <c r="H751" s="140">
        <f>ROUND(+D751+F751,4)</f>
        <v>0</v>
      </c>
      <c r="I751" s="140">
        <v>0</v>
      </c>
      <c r="J751" s="140">
        <v>0.03</v>
      </c>
      <c r="K751" s="140">
        <f>ROUND(IF(E751="alluminio",(I751)*3%,0)+IF(E751="alluminio smaltato",(I751)*3%,0),4)</f>
        <v>0</v>
      </c>
      <c r="L751" s="143">
        <f>ROUND((J751*C751)+(K751*C751),4)</f>
        <v>0</v>
      </c>
      <c r="M751" s="140"/>
      <c r="N751" s="140">
        <f>ROUND(+I751-H751,4)</f>
        <v>0</v>
      </c>
      <c r="O751" s="143">
        <f>ROUND(+(N751)*C751*50%,4)</f>
        <v>0</v>
      </c>
      <c r="P751" s="147">
        <f>ROUND(O751+L751,4)</f>
        <v>0</v>
      </c>
      <c r="Q751" s="80"/>
      <c r="R751" s="81"/>
      <c r="S751" s="84"/>
    </row>
    <row r="752" spans="1:19" x14ac:dyDescent="0.2">
      <c r="A752" s="47"/>
      <c r="B752" s="36"/>
      <c r="C752" s="138"/>
      <c r="D752" s="140"/>
      <c r="E752" s="48"/>
      <c r="F752" s="140"/>
      <c r="G752" s="140"/>
      <c r="H752" s="140">
        <f>ROUND(+D752+F752,4)</f>
        <v>0</v>
      </c>
      <c r="I752" s="140">
        <v>0</v>
      </c>
      <c r="J752" s="140">
        <v>0.03</v>
      </c>
      <c r="K752" s="140">
        <f>ROUND(IF(E752="alluminio",(I752)*3%,0)+IF(E752="alluminio smaltato",(I752)*3%,0),4)</f>
        <v>0</v>
      </c>
      <c r="L752" s="143">
        <f>ROUND((J752*C752)+(K752*C752),4)</f>
        <v>0</v>
      </c>
      <c r="M752" s="140"/>
      <c r="N752" s="140">
        <f>ROUND(+I752-H752,4)</f>
        <v>0</v>
      </c>
      <c r="O752" s="143">
        <f>ROUND(+(N752)*C752*50%,4)</f>
        <v>0</v>
      </c>
      <c r="P752" s="147">
        <f>ROUND(O752+L752,4)</f>
        <v>0</v>
      </c>
      <c r="Q752" s="80"/>
      <c r="R752" s="81"/>
      <c r="S752" s="84"/>
    </row>
    <row r="753" spans="1:19" x14ac:dyDescent="0.2">
      <c r="A753" s="47"/>
      <c r="B753" s="36"/>
      <c r="C753" s="138"/>
      <c r="D753" s="140"/>
      <c r="E753" s="48"/>
      <c r="F753" s="140"/>
      <c r="G753" s="140"/>
      <c r="H753" s="140">
        <f>ROUND(+D753+F753,4)</f>
        <v>0</v>
      </c>
      <c r="I753" s="140">
        <v>0</v>
      </c>
      <c r="J753" s="140">
        <v>0.03</v>
      </c>
      <c r="K753" s="140">
        <f>ROUND(IF(E753="alluminio",(I753)*3%,0)+IF(E753="alluminio smaltato",(I753)*3%,0),4)</f>
        <v>0</v>
      </c>
      <c r="L753" s="143">
        <f>ROUND((J753*C753)+(K753*C753),4)</f>
        <v>0</v>
      </c>
      <c r="M753" s="140"/>
      <c r="N753" s="140">
        <f>ROUND(+I753-H753,4)</f>
        <v>0</v>
      </c>
      <c r="O753" s="143">
        <f>ROUND(+(N753)*C753*50%,4)</f>
        <v>0</v>
      </c>
      <c r="P753" s="147">
        <f>ROUND(O753+L753,4)</f>
        <v>0</v>
      </c>
      <c r="Q753" s="80"/>
      <c r="R753" s="81"/>
      <c r="S753" s="84"/>
    </row>
    <row r="754" spans="1:19" x14ac:dyDescent="0.2">
      <c r="A754" s="47"/>
      <c r="B754" s="36"/>
      <c r="C754" s="138"/>
      <c r="D754" s="140"/>
      <c r="E754" s="48"/>
      <c r="F754" s="140"/>
      <c r="G754" s="140"/>
      <c r="H754" s="140">
        <f>ROUND(+D754+F754,4)</f>
        <v>0</v>
      </c>
      <c r="I754" s="140">
        <v>0</v>
      </c>
      <c r="J754" s="140">
        <v>0.03</v>
      </c>
      <c r="K754" s="140">
        <f>ROUND(IF(E754="alluminio",(I754)*3%,0)+IF(E754="alluminio smaltato",(I754)*3%,0),4)</f>
        <v>0</v>
      </c>
      <c r="L754" s="143">
        <f>ROUND((J754*C754)+(K754*C754),4)</f>
        <v>0</v>
      </c>
      <c r="M754" s="140"/>
      <c r="N754" s="140">
        <f>ROUND(+I754-H754,4)</f>
        <v>0</v>
      </c>
      <c r="O754" s="143">
        <f>ROUND(+(N754)*C754*50%,4)</f>
        <v>0</v>
      </c>
      <c r="P754" s="147">
        <f>ROUND(O754+L754,4)</f>
        <v>0</v>
      </c>
      <c r="Q754" s="80"/>
      <c r="R754" s="81"/>
      <c r="S754" s="84"/>
    </row>
    <row r="755" spans="1:19" x14ac:dyDescent="0.2">
      <c r="A755" s="47"/>
      <c r="B755" s="36"/>
      <c r="C755" s="138"/>
      <c r="D755" s="140"/>
      <c r="E755" s="48"/>
      <c r="F755" s="140"/>
      <c r="G755" s="140"/>
      <c r="H755" s="140">
        <f>ROUND(+D755+F755,4)</f>
        <v>0</v>
      </c>
      <c r="I755" s="140">
        <v>0</v>
      </c>
      <c r="J755" s="140">
        <v>0.03</v>
      </c>
      <c r="K755" s="140">
        <f>ROUND(IF(E755="alluminio",(I755)*3%,0)+IF(E755="alluminio smaltato",(I755)*3%,0),4)</f>
        <v>0</v>
      </c>
      <c r="L755" s="143">
        <f>ROUND((J755*C755)+(K755*C755),4)</f>
        <v>0</v>
      </c>
      <c r="M755" s="140"/>
      <c r="N755" s="140">
        <f>ROUND(+I755-H755,4)</f>
        <v>0</v>
      </c>
      <c r="O755" s="143">
        <f>ROUND(+(N755)*C755*50%,4)</f>
        <v>0</v>
      </c>
      <c r="P755" s="147">
        <f>ROUND(O755+L755,4)</f>
        <v>0</v>
      </c>
      <c r="Q755" s="80"/>
      <c r="R755" s="81"/>
      <c r="S755" s="84"/>
    </row>
    <row r="756" spans="1:19" x14ac:dyDescent="0.2">
      <c r="A756" s="47"/>
      <c r="B756" s="36"/>
      <c r="C756" s="138"/>
      <c r="D756" s="140"/>
      <c r="E756" s="48"/>
      <c r="F756" s="140"/>
      <c r="G756" s="140"/>
      <c r="H756" s="140">
        <f>ROUND(+D756+F756,4)</f>
        <v>0</v>
      </c>
      <c r="I756" s="140">
        <v>0</v>
      </c>
      <c r="J756" s="140">
        <v>0.03</v>
      </c>
      <c r="K756" s="140">
        <f>ROUND(IF(E756="alluminio",(I756)*3%,0)+IF(E756="alluminio smaltato",(I756)*3%,0),4)</f>
        <v>0</v>
      </c>
      <c r="L756" s="143">
        <f>ROUND((J756*C756)+(K756*C756),4)</f>
        <v>0</v>
      </c>
      <c r="M756" s="140"/>
      <c r="N756" s="140">
        <f>ROUND(+I756-H756,4)</f>
        <v>0</v>
      </c>
      <c r="O756" s="143">
        <f>ROUND(+(N756)*C756*50%,4)</f>
        <v>0</v>
      </c>
      <c r="P756" s="147">
        <f>ROUND(O756+L756,4)</f>
        <v>0</v>
      </c>
      <c r="Q756" s="80"/>
      <c r="R756" s="81"/>
      <c r="S756" s="84"/>
    </row>
    <row r="757" spans="1:19" x14ac:dyDescent="0.2">
      <c r="A757" s="47"/>
      <c r="B757" s="36"/>
      <c r="C757" s="138"/>
      <c r="D757" s="140"/>
      <c r="E757" s="48"/>
      <c r="F757" s="140"/>
      <c r="G757" s="140"/>
      <c r="H757" s="140">
        <f>ROUND(+D757+F757,4)</f>
        <v>0</v>
      </c>
      <c r="I757" s="140">
        <v>0</v>
      </c>
      <c r="J757" s="140">
        <v>0.03</v>
      </c>
      <c r="K757" s="140">
        <f>ROUND(IF(E757="alluminio",(I757)*3%,0)+IF(E757="alluminio smaltato",(I757)*3%,0),4)</f>
        <v>0</v>
      </c>
      <c r="L757" s="143">
        <f>ROUND((J757*C757)+(K757*C757),4)</f>
        <v>0</v>
      </c>
      <c r="M757" s="140"/>
      <c r="N757" s="140">
        <f>ROUND(+I757-H757,4)</f>
        <v>0</v>
      </c>
      <c r="O757" s="143">
        <f>ROUND(+(N757)*C757*50%,4)</f>
        <v>0</v>
      </c>
      <c r="P757" s="147">
        <f>ROUND(O757+L757,4)</f>
        <v>0</v>
      </c>
      <c r="Q757" s="80"/>
      <c r="R757" s="81"/>
      <c r="S757" s="84"/>
    </row>
    <row r="758" spans="1:19" x14ac:dyDescent="0.2">
      <c r="A758" s="47"/>
      <c r="B758" s="36"/>
      <c r="C758" s="138"/>
      <c r="D758" s="140"/>
      <c r="E758" s="48"/>
      <c r="F758" s="140"/>
      <c r="G758" s="140"/>
      <c r="H758" s="140">
        <f>ROUND(+D758+F758,4)</f>
        <v>0</v>
      </c>
      <c r="I758" s="140">
        <v>0</v>
      </c>
      <c r="J758" s="140">
        <v>0.03</v>
      </c>
      <c r="K758" s="140">
        <f>ROUND(IF(E758="alluminio",(I758)*3%,0)+IF(E758="alluminio smaltato",(I758)*3%,0),4)</f>
        <v>0</v>
      </c>
      <c r="L758" s="143">
        <f>ROUND((J758*C758)+(K758*C758),4)</f>
        <v>0</v>
      </c>
      <c r="M758" s="140"/>
      <c r="N758" s="140">
        <f>ROUND(+I758-H758,4)</f>
        <v>0</v>
      </c>
      <c r="O758" s="143">
        <f>ROUND(+(N758)*C758*50%,4)</f>
        <v>0</v>
      </c>
      <c r="P758" s="147">
        <f>ROUND(O758+L758,4)</f>
        <v>0</v>
      </c>
      <c r="Q758" s="80"/>
      <c r="R758" s="81"/>
      <c r="S758" s="84"/>
    </row>
    <row r="759" spans="1:19" x14ac:dyDescent="0.2">
      <c r="A759" s="47"/>
      <c r="B759" s="36"/>
      <c r="C759" s="138"/>
      <c r="D759" s="140"/>
      <c r="E759" s="48"/>
      <c r="F759" s="140"/>
      <c r="G759" s="140"/>
      <c r="H759" s="140">
        <f>ROUND(+D759+F759,4)</f>
        <v>0</v>
      </c>
      <c r="I759" s="140">
        <v>0</v>
      </c>
      <c r="J759" s="140">
        <v>0.03</v>
      </c>
      <c r="K759" s="140">
        <f>ROUND(IF(E759="alluminio",(I759)*3%,0)+IF(E759="alluminio smaltato",(I759)*3%,0),4)</f>
        <v>0</v>
      </c>
      <c r="L759" s="143">
        <f>ROUND((J759*C759)+(K759*C759),4)</f>
        <v>0</v>
      </c>
      <c r="M759" s="140"/>
      <c r="N759" s="140">
        <f>ROUND(+I759-H759,4)</f>
        <v>0</v>
      </c>
      <c r="O759" s="143">
        <f>ROUND(+(N759)*C759*50%,4)</f>
        <v>0</v>
      </c>
      <c r="P759" s="147">
        <f>ROUND(O759+L759,4)</f>
        <v>0</v>
      </c>
      <c r="Q759" s="80"/>
      <c r="R759" s="81"/>
      <c r="S759" s="84"/>
    </row>
    <row r="760" spans="1:19" x14ac:dyDescent="0.2">
      <c r="A760" s="47"/>
      <c r="B760" s="36"/>
      <c r="C760" s="138"/>
      <c r="D760" s="140"/>
      <c r="E760" s="48"/>
      <c r="F760" s="140"/>
      <c r="G760" s="140"/>
      <c r="H760" s="140">
        <f>ROUND(+D760+F760,4)</f>
        <v>0</v>
      </c>
      <c r="I760" s="140">
        <v>0</v>
      </c>
      <c r="J760" s="140">
        <v>0.03</v>
      </c>
      <c r="K760" s="140">
        <f>ROUND(IF(E760="alluminio",(I760)*3%,0)+IF(E760="alluminio smaltato",(I760)*3%,0),4)</f>
        <v>0</v>
      </c>
      <c r="L760" s="143">
        <f>ROUND((J760*C760)+(K760*C760),4)</f>
        <v>0</v>
      </c>
      <c r="M760" s="140"/>
      <c r="N760" s="140">
        <f>ROUND(+I760-H760,4)</f>
        <v>0</v>
      </c>
      <c r="O760" s="143">
        <f>ROUND(+(N760)*C760*50%,4)</f>
        <v>0</v>
      </c>
      <c r="P760" s="147">
        <f>ROUND(O760+L760,4)</f>
        <v>0</v>
      </c>
      <c r="Q760" s="80"/>
      <c r="R760" s="81"/>
      <c r="S760" s="84"/>
    </row>
    <row r="761" spans="1:19" x14ac:dyDescent="0.2">
      <c r="A761" s="47"/>
      <c r="B761" s="36"/>
      <c r="C761" s="138"/>
      <c r="D761" s="140"/>
      <c r="E761" s="48"/>
      <c r="F761" s="140"/>
      <c r="G761" s="140"/>
      <c r="H761" s="140">
        <f>ROUND(+D761+F761,4)</f>
        <v>0</v>
      </c>
      <c r="I761" s="140">
        <v>0</v>
      </c>
      <c r="J761" s="140">
        <v>0.03</v>
      </c>
      <c r="K761" s="140">
        <f>ROUND(IF(E761="alluminio",(I761)*3%,0)+IF(E761="alluminio smaltato",(I761)*3%,0),4)</f>
        <v>0</v>
      </c>
      <c r="L761" s="143">
        <f>ROUND((J761*C761)+(K761*C761),4)</f>
        <v>0</v>
      </c>
      <c r="M761" s="140"/>
      <c r="N761" s="140">
        <f>ROUND(+I761-H761,4)</f>
        <v>0</v>
      </c>
      <c r="O761" s="143">
        <f>ROUND(+(N761)*C761*50%,4)</f>
        <v>0</v>
      </c>
      <c r="P761" s="147">
        <f>ROUND(O761+L761,4)</f>
        <v>0</v>
      </c>
      <c r="Q761" s="80"/>
      <c r="R761" s="81"/>
      <c r="S761" s="84"/>
    </row>
    <row r="762" spans="1:19" x14ac:dyDescent="0.2">
      <c r="A762" s="47"/>
      <c r="B762" s="36"/>
      <c r="C762" s="138"/>
      <c r="D762" s="140"/>
      <c r="E762" s="48"/>
      <c r="F762" s="140"/>
      <c r="G762" s="140"/>
      <c r="H762" s="140">
        <f>ROUND(+D762+F762,4)</f>
        <v>0</v>
      </c>
      <c r="I762" s="140">
        <v>0</v>
      </c>
      <c r="J762" s="140">
        <v>0.03</v>
      </c>
      <c r="K762" s="140">
        <f>ROUND(IF(E762="alluminio",(I762)*3%,0)+IF(E762="alluminio smaltato",(I762)*3%,0),4)</f>
        <v>0</v>
      </c>
      <c r="L762" s="143">
        <f>ROUND((J762*C762)+(K762*C762),4)</f>
        <v>0</v>
      </c>
      <c r="M762" s="140"/>
      <c r="N762" s="140">
        <f>ROUND(+I762-H762,4)</f>
        <v>0</v>
      </c>
      <c r="O762" s="143">
        <f>ROUND(+(N762)*C762*50%,4)</f>
        <v>0</v>
      </c>
      <c r="P762" s="147">
        <f>ROUND(O762+L762,4)</f>
        <v>0</v>
      </c>
      <c r="Q762" s="80"/>
      <c r="R762" s="81"/>
      <c r="S762" s="84"/>
    </row>
    <row r="763" spans="1:19" x14ac:dyDescent="0.2">
      <c r="A763" s="47"/>
      <c r="B763" s="36"/>
      <c r="C763" s="138"/>
      <c r="D763" s="140"/>
      <c r="E763" s="48"/>
      <c r="F763" s="140"/>
      <c r="G763" s="140"/>
      <c r="H763" s="140">
        <f>ROUND(+D763+F763,4)</f>
        <v>0</v>
      </c>
      <c r="I763" s="140">
        <v>0</v>
      </c>
      <c r="J763" s="140">
        <v>0.03</v>
      </c>
      <c r="K763" s="140">
        <f>ROUND(IF(E763="alluminio",(I763)*3%,0)+IF(E763="alluminio smaltato",(I763)*3%,0),4)</f>
        <v>0</v>
      </c>
      <c r="L763" s="143">
        <f>ROUND((J763*C763)+(K763*C763),4)</f>
        <v>0</v>
      </c>
      <c r="M763" s="140"/>
      <c r="N763" s="140">
        <f>ROUND(+I763-H763,4)</f>
        <v>0</v>
      </c>
      <c r="O763" s="143">
        <f>ROUND(+(N763)*C763*50%,4)</f>
        <v>0</v>
      </c>
      <c r="P763" s="147">
        <f>ROUND(O763+L763,4)</f>
        <v>0</v>
      </c>
      <c r="Q763" s="80"/>
      <c r="R763" s="81"/>
      <c r="S763" s="84"/>
    </row>
    <row r="764" spans="1:19" x14ac:dyDescent="0.2">
      <c r="A764" s="47"/>
      <c r="B764" s="36"/>
      <c r="C764" s="138"/>
      <c r="D764" s="140"/>
      <c r="E764" s="48"/>
      <c r="F764" s="140"/>
      <c r="G764" s="140"/>
      <c r="H764" s="140">
        <f>ROUND(+D764+F764,4)</f>
        <v>0</v>
      </c>
      <c r="I764" s="140">
        <v>0</v>
      </c>
      <c r="J764" s="140">
        <v>0.03</v>
      </c>
      <c r="K764" s="140">
        <f>ROUND(IF(E764="alluminio",(I764)*3%,0)+IF(E764="alluminio smaltato",(I764)*3%,0),4)</f>
        <v>0</v>
      </c>
      <c r="L764" s="143">
        <f>ROUND((J764*C764)+(K764*C764),4)</f>
        <v>0</v>
      </c>
      <c r="M764" s="140"/>
      <c r="N764" s="140">
        <f>ROUND(+I764-H764,4)</f>
        <v>0</v>
      </c>
      <c r="O764" s="143">
        <f>ROUND(+(N764)*C764*50%,4)</f>
        <v>0</v>
      </c>
      <c r="P764" s="147">
        <f>ROUND(O764+L764,4)</f>
        <v>0</v>
      </c>
      <c r="Q764" s="80"/>
      <c r="R764" s="81"/>
      <c r="S764" s="84"/>
    </row>
    <row r="765" spans="1:19" x14ac:dyDescent="0.2">
      <c r="A765" s="47"/>
      <c r="B765" s="36"/>
      <c r="C765" s="138"/>
      <c r="D765" s="140"/>
      <c r="E765" s="48"/>
      <c r="F765" s="140"/>
      <c r="G765" s="140"/>
      <c r="H765" s="140">
        <f>ROUND(+D765+F765,4)</f>
        <v>0</v>
      </c>
      <c r="I765" s="140">
        <v>0</v>
      </c>
      <c r="J765" s="140">
        <v>0.03</v>
      </c>
      <c r="K765" s="140">
        <f>ROUND(IF(E765="alluminio",(I765)*3%,0)+IF(E765="alluminio smaltato",(I765)*3%,0),4)</f>
        <v>0</v>
      </c>
      <c r="L765" s="143">
        <f>ROUND((J765*C765)+(K765*C765),4)</f>
        <v>0</v>
      </c>
      <c r="M765" s="140"/>
      <c r="N765" s="140">
        <f>ROUND(+I765-H765,4)</f>
        <v>0</v>
      </c>
      <c r="O765" s="143">
        <f>ROUND(+(N765)*C765*50%,4)</f>
        <v>0</v>
      </c>
      <c r="P765" s="147">
        <f>ROUND(O765+L765,4)</f>
        <v>0</v>
      </c>
      <c r="Q765" s="80"/>
      <c r="R765" s="81"/>
      <c r="S765" s="84"/>
    </row>
    <row r="766" spans="1:19" x14ac:dyDescent="0.2">
      <c r="A766" s="47"/>
      <c r="B766" s="36"/>
      <c r="C766" s="138"/>
      <c r="D766" s="140"/>
      <c r="E766" s="48"/>
      <c r="F766" s="140"/>
      <c r="G766" s="140"/>
      <c r="H766" s="140">
        <f>ROUND(+D766+F766,4)</f>
        <v>0</v>
      </c>
      <c r="I766" s="140">
        <v>0</v>
      </c>
      <c r="J766" s="140">
        <v>0.03</v>
      </c>
      <c r="K766" s="140">
        <f>ROUND(IF(E766="alluminio",(I766)*3%,0)+IF(E766="alluminio smaltato",(I766)*3%,0),4)</f>
        <v>0</v>
      </c>
      <c r="L766" s="143">
        <f>ROUND((J766*C766)+(K766*C766),4)</f>
        <v>0</v>
      </c>
      <c r="M766" s="140"/>
      <c r="N766" s="140">
        <f>ROUND(+I766-H766,4)</f>
        <v>0</v>
      </c>
      <c r="O766" s="143">
        <f>ROUND(+(N766)*C766*50%,4)</f>
        <v>0</v>
      </c>
      <c r="P766" s="147">
        <f>ROUND(O766+L766,4)</f>
        <v>0</v>
      </c>
      <c r="Q766" s="80"/>
      <c r="R766" s="81"/>
      <c r="S766" s="84"/>
    </row>
    <row r="767" spans="1:19" x14ac:dyDescent="0.2">
      <c r="A767" s="47"/>
      <c r="B767" s="36"/>
      <c r="C767" s="138"/>
      <c r="D767" s="140"/>
      <c r="E767" s="48"/>
      <c r="F767" s="140"/>
      <c r="G767" s="140"/>
      <c r="H767" s="140">
        <f>ROUND(+D767+F767,4)</f>
        <v>0</v>
      </c>
      <c r="I767" s="140">
        <v>0</v>
      </c>
      <c r="J767" s="140">
        <v>0.03</v>
      </c>
      <c r="K767" s="140">
        <f>ROUND(IF(E767="alluminio",(I767)*3%,0)+IF(E767="alluminio smaltato",(I767)*3%,0),4)</f>
        <v>0</v>
      </c>
      <c r="L767" s="143">
        <f>ROUND((J767*C767)+(K767*C767),4)</f>
        <v>0</v>
      </c>
      <c r="M767" s="140"/>
      <c r="N767" s="140">
        <f>ROUND(+I767-H767,4)</f>
        <v>0</v>
      </c>
      <c r="O767" s="143">
        <f>ROUND(+(N767)*C767*50%,4)</f>
        <v>0</v>
      </c>
      <c r="P767" s="147">
        <f>ROUND(O767+L767,4)</f>
        <v>0</v>
      </c>
      <c r="Q767" s="80"/>
      <c r="R767" s="81"/>
      <c r="S767" s="84"/>
    </row>
    <row r="768" spans="1:19" x14ac:dyDescent="0.2">
      <c r="A768" s="47"/>
      <c r="B768" s="36"/>
      <c r="C768" s="138"/>
      <c r="D768" s="140"/>
      <c r="E768" s="48"/>
      <c r="F768" s="140"/>
      <c r="G768" s="140"/>
      <c r="H768" s="140">
        <f>ROUND(+D768+F768,4)</f>
        <v>0</v>
      </c>
      <c r="I768" s="140">
        <v>0</v>
      </c>
      <c r="J768" s="140">
        <v>0.03</v>
      </c>
      <c r="K768" s="140">
        <f>ROUND(IF(E768="alluminio",(I768)*3%,0)+IF(E768="alluminio smaltato",(I768)*3%,0),4)</f>
        <v>0</v>
      </c>
      <c r="L768" s="143">
        <f>ROUND((J768*C768)+(K768*C768),4)</f>
        <v>0</v>
      </c>
      <c r="M768" s="140"/>
      <c r="N768" s="140">
        <f>ROUND(+I768-H768,4)</f>
        <v>0</v>
      </c>
      <c r="O768" s="143">
        <f>ROUND(+(N768)*C768*50%,4)</f>
        <v>0</v>
      </c>
      <c r="P768" s="147">
        <f>ROUND(O768+L768,4)</f>
        <v>0</v>
      </c>
      <c r="Q768" s="80"/>
      <c r="R768" s="81"/>
      <c r="S768" s="84"/>
    </row>
    <row r="769" spans="1:19" x14ac:dyDescent="0.2">
      <c r="A769" s="47"/>
      <c r="B769" s="36"/>
      <c r="C769" s="138"/>
      <c r="D769" s="140"/>
      <c r="E769" s="48"/>
      <c r="F769" s="140"/>
      <c r="G769" s="140"/>
      <c r="H769" s="140">
        <f>ROUND(+D769+F769,4)</f>
        <v>0</v>
      </c>
      <c r="I769" s="140">
        <v>0</v>
      </c>
      <c r="J769" s="140">
        <v>0.03</v>
      </c>
      <c r="K769" s="140">
        <f>ROUND(IF(E769="alluminio",(I769)*3%,0)+IF(E769="alluminio smaltato",(I769)*3%,0),4)</f>
        <v>0</v>
      </c>
      <c r="L769" s="143">
        <f>ROUND((J769*C769)+(K769*C769),4)</f>
        <v>0</v>
      </c>
      <c r="M769" s="140"/>
      <c r="N769" s="140">
        <f>ROUND(+I769-H769,4)</f>
        <v>0</v>
      </c>
      <c r="O769" s="143">
        <f>ROUND(+(N769)*C769*50%,4)</f>
        <v>0</v>
      </c>
      <c r="P769" s="147">
        <f>ROUND(O769+L769,4)</f>
        <v>0</v>
      </c>
      <c r="Q769" s="80"/>
      <c r="R769" s="81"/>
      <c r="S769" s="84"/>
    </row>
    <row r="770" spans="1:19" x14ac:dyDescent="0.2">
      <c r="A770" s="47"/>
      <c r="B770" s="36"/>
      <c r="C770" s="138"/>
      <c r="D770" s="140"/>
      <c r="E770" s="48"/>
      <c r="F770" s="140"/>
      <c r="G770" s="140"/>
      <c r="H770" s="140">
        <f>ROUND(+D770+F770,4)</f>
        <v>0</v>
      </c>
      <c r="I770" s="140">
        <v>0</v>
      </c>
      <c r="J770" s="140">
        <v>0.03</v>
      </c>
      <c r="K770" s="140">
        <f>ROUND(IF(E770="alluminio",(I770)*3%,0)+IF(E770="alluminio smaltato",(I770)*3%,0),4)</f>
        <v>0</v>
      </c>
      <c r="L770" s="143">
        <f>ROUND((J770*C770)+(K770*C770),4)</f>
        <v>0</v>
      </c>
      <c r="M770" s="140"/>
      <c r="N770" s="140">
        <f>ROUND(+I770-H770,4)</f>
        <v>0</v>
      </c>
      <c r="O770" s="143">
        <f>ROUND(+(N770)*C770*50%,4)</f>
        <v>0</v>
      </c>
      <c r="P770" s="147">
        <f>ROUND(O770+L770,4)</f>
        <v>0</v>
      </c>
      <c r="Q770" s="80"/>
      <c r="R770" s="81"/>
      <c r="S770" s="84"/>
    </row>
    <row r="771" spans="1:19" x14ac:dyDescent="0.2">
      <c r="A771" s="47"/>
      <c r="B771" s="36"/>
      <c r="C771" s="138"/>
      <c r="D771" s="140"/>
      <c r="E771" s="48"/>
      <c r="F771" s="140"/>
      <c r="G771" s="140"/>
      <c r="H771" s="140">
        <f>ROUND(+D771+F771,4)</f>
        <v>0</v>
      </c>
      <c r="I771" s="140">
        <v>0</v>
      </c>
      <c r="J771" s="140">
        <v>0.03</v>
      </c>
      <c r="K771" s="140">
        <f>ROUND(IF(E771="alluminio",(I771)*3%,0)+IF(E771="alluminio smaltato",(I771)*3%,0),4)</f>
        <v>0</v>
      </c>
      <c r="L771" s="143">
        <f>ROUND((J771*C771)+(K771*C771),4)</f>
        <v>0</v>
      </c>
      <c r="M771" s="140"/>
      <c r="N771" s="140">
        <f>ROUND(+I771-H771,4)</f>
        <v>0</v>
      </c>
      <c r="O771" s="143">
        <f>ROUND(+(N771)*C771*50%,4)</f>
        <v>0</v>
      </c>
      <c r="P771" s="147">
        <f>ROUND(O771+L771,4)</f>
        <v>0</v>
      </c>
      <c r="Q771" s="80"/>
      <c r="R771" s="81"/>
      <c r="S771" s="84"/>
    </row>
    <row r="772" spans="1:19" x14ac:dyDescent="0.2">
      <c r="A772" s="47"/>
      <c r="B772" s="36"/>
      <c r="C772" s="138"/>
      <c r="D772" s="140"/>
      <c r="E772" s="48"/>
      <c r="F772" s="140"/>
      <c r="G772" s="140"/>
      <c r="H772" s="140">
        <f>ROUND(+D772+F772,4)</f>
        <v>0</v>
      </c>
      <c r="I772" s="140">
        <v>0</v>
      </c>
      <c r="J772" s="140">
        <v>0.03</v>
      </c>
      <c r="K772" s="140">
        <f>ROUND(IF(E772="alluminio",(I772)*3%,0)+IF(E772="alluminio smaltato",(I772)*3%,0),4)</f>
        <v>0</v>
      </c>
      <c r="L772" s="143">
        <f>ROUND((J772*C772)+(K772*C772),4)</f>
        <v>0</v>
      </c>
      <c r="M772" s="140"/>
      <c r="N772" s="140">
        <f>ROUND(+I772-H772,4)</f>
        <v>0</v>
      </c>
      <c r="O772" s="143">
        <f>ROUND(+(N772)*C772*50%,4)</f>
        <v>0</v>
      </c>
      <c r="P772" s="147">
        <f>ROUND(O772+L772,4)</f>
        <v>0</v>
      </c>
      <c r="Q772" s="80"/>
      <c r="R772" s="81"/>
      <c r="S772" s="84"/>
    </row>
    <row r="773" spans="1:19" x14ac:dyDescent="0.2">
      <c r="A773" s="47"/>
      <c r="B773" s="36"/>
      <c r="C773" s="138"/>
      <c r="D773" s="140"/>
      <c r="E773" s="48"/>
      <c r="F773" s="140"/>
      <c r="G773" s="140"/>
      <c r="H773" s="140">
        <f>ROUND(+D773+F773,4)</f>
        <v>0</v>
      </c>
      <c r="I773" s="140">
        <v>0</v>
      </c>
      <c r="J773" s="140">
        <v>0.03</v>
      </c>
      <c r="K773" s="140">
        <f>ROUND(IF(E773="alluminio",(I773)*3%,0)+IF(E773="alluminio smaltato",(I773)*3%,0),4)</f>
        <v>0</v>
      </c>
      <c r="L773" s="143">
        <f>ROUND((J773*C773)+(K773*C773),4)</f>
        <v>0</v>
      </c>
      <c r="M773" s="140"/>
      <c r="N773" s="140">
        <f>ROUND(+I773-H773,4)</f>
        <v>0</v>
      </c>
      <c r="O773" s="143">
        <f>ROUND(+(N773)*C773*50%,4)</f>
        <v>0</v>
      </c>
      <c r="P773" s="147">
        <f>ROUND(O773+L773,4)</f>
        <v>0</v>
      </c>
      <c r="Q773" s="80"/>
      <c r="R773" s="81"/>
      <c r="S773" s="84"/>
    </row>
    <row r="774" spans="1:19" x14ac:dyDescent="0.2">
      <c r="A774" s="47"/>
      <c r="B774" s="36"/>
      <c r="C774" s="138"/>
      <c r="D774" s="140"/>
      <c r="E774" s="48"/>
      <c r="F774" s="140"/>
      <c r="G774" s="140"/>
      <c r="H774" s="140">
        <f>ROUND(+D774+F774,4)</f>
        <v>0</v>
      </c>
      <c r="I774" s="140">
        <v>0</v>
      </c>
      <c r="J774" s="140">
        <v>0.03</v>
      </c>
      <c r="K774" s="140">
        <f>ROUND(IF(E774="alluminio",(I774)*3%,0)+IF(E774="alluminio smaltato",(I774)*3%,0),4)</f>
        <v>0</v>
      </c>
      <c r="L774" s="143">
        <f>ROUND((J774*C774)+(K774*C774),4)</f>
        <v>0</v>
      </c>
      <c r="M774" s="140"/>
      <c r="N774" s="140">
        <f>ROUND(+I774-H774,4)</f>
        <v>0</v>
      </c>
      <c r="O774" s="143">
        <f>ROUND(+(N774)*C774*50%,4)</f>
        <v>0</v>
      </c>
      <c r="P774" s="147">
        <f>ROUND(O774+L774,4)</f>
        <v>0</v>
      </c>
      <c r="Q774" s="80"/>
      <c r="R774" s="81"/>
      <c r="S774" s="84"/>
    </row>
    <row r="775" spans="1:19" x14ac:dyDescent="0.2">
      <c r="A775" s="47"/>
      <c r="B775" s="36"/>
      <c r="C775" s="138"/>
      <c r="D775" s="140"/>
      <c r="E775" s="48"/>
      <c r="F775" s="140"/>
      <c r="G775" s="140"/>
      <c r="H775" s="140">
        <f>ROUND(+D775+F775,4)</f>
        <v>0</v>
      </c>
      <c r="I775" s="140">
        <v>0</v>
      </c>
      <c r="J775" s="140">
        <v>0.03</v>
      </c>
      <c r="K775" s="140">
        <f>ROUND(IF(E775="alluminio",(I775)*3%,0)+IF(E775="alluminio smaltato",(I775)*3%,0),4)</f>
        <v>0</v>
      </c>
      <c r="L775" s="143">
        <f>ROUND((J775*C775)+(K775*C775),4)</f>
        <v>0</v>
      </c>
      <c r="M775" s="140"/>
      <c r="N775" s="140">
        <f>ROUND(+I775-H775,4)</f>
        <v>0</v>
      </c>
      <c r="O775" s="143">
        <f>ROUND(+(N775)*C775*50%,4)</f>
        <v>0</v>
      </c>
      <c r="P775" s="147">
        <f>ROUND(O775+L775,4)</f>
        <v>0</v>
      </c>
      <c r="Q775" s="80"/>
      <c r="R775" s="81"/>
      <c r="S775" s="84"/>
    </row>
    <row r="776" spans="1:19" x14ac:dyDescent="0.2">
      <c r="A776" s="47"/>
      <c r="B776" s="36"/>
      <c r="C776" s="138"/>
      <c r="D776" s="140"/>
      <c r="E776" s="48"/>
      <c r="F776" s="140"/>
      <c r="G776" s="140"/>
      <c r="H776" s="140">
        <f>ROUND(+D776+F776,4)</f>
        <v>0</v>
      </c>
      <c r="I776" s="140">
        <v>0</v>
      </c>
      <c r="J776" s="140">
        <v>0.03</v>
      </c>
      <c r="K776" s="140">
        <f>ROUND(IF(E776="alluminio",(I776)*3%,0)+IF(E776="alluminio smaltato",(I776)*3%,0),4)</f>
        <v>0</v>
      </c>
      <c r="L776" s="143">
        <f>ROUND((J776*C776)+(K776*C776),4)</f>
        <v>0</v>
      </c>
      <c r="M776" s="140"/>
      <c r="N776" s="140">
        <f>ROUND(+I776-H776,4)</f>
        <v>0</v>
      </c>
      <c r="O776" s="143">
        <f>ROUND(+(N776)*C776*50%,4)</f>
        <v>0</v>
      </c>
      <c r="P776" s="147">
        <f>ROUND(O776+L776,4)</f>
        <v>0</v>
      </c>
      <c r="Q776" s="80"/>
      <c r="R776" s="81"/>
      <c r="S776" s="84"/>
    </row>
    <row r="777" spans="1:19" x14ac:dyDescent="0.2">
      <c r="A777" s="47"/>
      <c r="B777" s="36"/>
      <c r="C777" s="138"/>
      <c r="D777" s="140"/>
      <c r="E777" s="48"/>
      <c r="F777" s="140"/>
      <c r="G777" s="140"/>
      <c r="H777" s="140">
        <f>ROUND(+D777+F777,4)</f>
        <v>0</v>
      </c>
      <c r="I777" s="140">
        <v>0</v>
      </c>
      <c r="J777" s="140">
        <v>0.03</v>
      </c>
      <c r="K777" s="140">
        <f>ROUND(IF(E777="alluminio",(I777)*3%,0)+IF(E777="alluminio smaltato",(I777)*3%,0),4)</f>
        <v>0</v>
      </c>
      <c r="L777" s="143">
        <f>ROUND((J777*C777)+(K777*C777),4)</f>
        <v>0</v>
      </c>
      <c r="M777" s="140"/>
      <c r="N777" s="140">
        <f>ROUND(+I777-H777,4)</f>
        <v>0</v>
      </c>
      <c r="O777" s="143">
        <f>ROUND(+(N777)*C777*50%,4)</f>
        <v>0</v>
      </c>
      <c r="P777" s="147">
        <f>ROUND(O777+L777,4)</f>
        <v>0</v>
      </c>
      <c r="Q777" s="80"/>
      <c r="R777" s="81"/>
      <c r="S777" s="84"/>
    </row>
    <row r="778" spans="1:19" x14ac:dyDescent="0.2">
      <c r="A778" s="47"/>
      <c r="B778" s="36"/>
      <c r="C778" s="138"/>
      <c r="D778" s="140"/>
      <c r="E778" s="48"/>
      <c r="F778" s="140"/>
      <c r="G778" s="140"/>
      <c r="H778" s="140">
        <f>ROUND(+D778+F778,4)</f>
        <v>0</v>
      </c>
      <c r="I778" s="140">
        <v>0</v>
      </c>
      <c r="J778" s="140">
        <v>0.03</v>
      </c>
      <c r="K778" s="140">
        <f>ROUND(IF(E778="alluminio",(I778)*3%,0)+IF(E778="alluminio smaltato",(I778)*3%,0),4)</f>
        <v>0</v>
      </c>
      <c r="L778" s="143">
        <f>ROUND((J778*C778)+(K778*C778),4)</f>
        <v>0</v>
      </c>
      <c r="M778" s="140"/>
      <c r="N778" s="140">
        <f>ROUND(+I778-H778,4)</f>
        <v>0</v>
      </c>
      <c r="O778" s="143">
        <f>ROUND(+(N778)*C778*50%,4)</f>
        <v>0</v>
      </c>
      <c r="P778" s="147">
        <f>ROUND(O778+L778,4)</f>
        <v>0</v>
      </c>
      <c r="Q778" s="80"/>
      <c r="R778" s="81"/>
      <c r="S778" s="84"/>
    </row>
    <row r="779" spans="1:19" x14ac:dyDescent="0.2">
      <c r="A779" s="47"/>
      <c r="B779" s="36"/>
      <c r="C779" s="138"/>
      <c r="D779" s="140"/>
      <c r="E779" s="48"/>
      <c r="F779" s="140"/>
      <c r="G779" s="140"/>
      <c r="H779" s="140">
        <f>ROUND(+D779+F779,4)</f>
        <v>0</v>
      </c>
      <c r="I779" s="140">
        <v>0</v>
      </c>
      <c r="J779" s="140">
        <v>0.03</v>
      </c>
      <c r="K779" s="140">
        <f>ROUND(IF(E779="alluminio",(I779)*3%,0)+IF(E779="alluminio smaltato",(I779)*3%,0),4)</f>
        <v>0</v>
      </c>
      <c r="L779" s="143">
        <f>ROUND((J779*C779)+(K779*C779),4)</f>
        <v>0</v>
      </c>
      <c r="M779" s="140"/>
      <c r="N779" s="140">
        <f>ROUND(+I779-H779,4)</f>
        <v>0</v>
      </c>
      <c r="O779" s="143">
        <f>ROUND(+(N779)*C779*50%,4)</f>
        <v>0</v>
      </c>
      <c r="P779" s="147">
        <f>ROUND(O779+L779,4)</f>
        <v>0</v>
      </c>
      <c r="Q779" s="80"/>
      <c r="R779" s="81"/>
      <c r="S779" s="84"/>
    </row>
    <row r="780" spans="1:19" x14ac:dyDescent="0.2">
      <c r="A780" s="47"/>
      <c r="B780" s="36"/>
      <c r="C780" s="138"/>
      <c r="D780" s="140"/>
      <c r="E780" s="48"/>
      <c r="F780" s="140"/>
      <c r="G780" s="140"/>
      <c r="H780" s="140">
        <f>ROUND(+D780+F780,4)</f>
        <v>0</v>
      </c>
      <c r="I780" s="140">
        <v>0</v>
      </c>
      <c r="J780" s="140">
        <v>0.03</v>
      </c>
      <c r="K780" s="140">
        <f>ROUND(IF(E780="alluminio",(I780)*3%,0)+IF(E780="alluminio smaltato",(I780)*3%,0),4)</f>
        <v>0</v>
      </c>
      <c r="L780" s="143">
        <f>ROUND((J780*C780)+(K780*C780),4)</f>
        <v>0</v>
      </c>
      <c r="M780" s="140"/>
      <c r="N780" s="140">
        <f>ROUND(+I780-H780,4)</f>
        <v>0</v>
      </c>
      <c r="O780" s="143">
        <f>ROUND(+(N780)*C780*50%,4)</f>
        <v>0</v>
      </c>
      <c r="P780" s="147">
        <f>ROUND(O780+L780,4)</f>
        <v>0</v>
      </c>
      <c r="Q780" s="80"/>
      <c r="R780" s="81"/>
      <c r="S780" s="84"/>
    </row>
    <row r="781" spans="1:19" x14ac:dyDescent="0.2">
      <c r="A781" s="47"/>
      <c r="B781" s="36"/>
      <c r="C781" s="138"/>
      <c r="D781" s="140"/>
      <c r="E781" s="48"/>
      <c r="F781" s="140"/>
      <c r="G781" s="140"/>
      <c r="H781" s="140">
        <f>ROUND(+D781+F781,4)</f>
        <v>0</v>
      </c>
      <c r="I781" s="140">
        <v>0</v>
      </c>
      <c r="J781" s="140">
        <v>0.03</v>
      </c>
      <c r="K781" s="140">
        <f>ROUND(IF(E781="alluminio",(I781)*3%,0)+IF(E781="alluminio smaltato",(I781)*3%,0),4)</f>
        <v>0</v>
      </c>
      <c r="L781" s="143">
        <f>ROUND((J781*C781)+(K781*C781),4)</f>
        <v>0</v>
      </c>
      <c r="M781" s="140"/>
      <c r="N781" s="140">
        <f>ROUND(+I781-H781,4)</f>
        <v>0</v>
      </c>
      <c r="O781" s="143">
        <f>ROUND(+(N781)*C781*50%,4)</f>
        <v>0</v>
      </c>
      <c r="P781" s="147">
        <f>ROUND(O781+L781,4)</f>
        <v>0</v>
      </c>
      <c r="Q781" s="80"/>
      <c r="R781" s="81"/>
      <c r="S781" s="84"/>
    </row>
    <row r="782" spans="1:19" x14ac:dyDescent="0.2">
      <c r="A782" s="47"/>
      <c r="B782" s="36"/>
      <c r="C782" s="138"/>
      <c r="D782" s="140"/>
      <c r="E782" s="48"/>
      <c r="F782" s="140"/>
      <c r="G782" s="140"/>
      <c r="H782" s="140">
        <f>ROUND(+D782+F782,4)</f>
        <v>0</v>
      </c>
      <c r="I782" s="140">
        <v>0</v>
      </c>
      <c r="J782" s="140">
        <v>0.03</v>
      </c>
      <c r="K782" s="140">
        <f>ROUND(IF(E782="alluminio",(I782)*3%,0)+IF(E782="alluminio smaltato",(I782)*3%,0),4)</f>
        <v>0</v>
      </c>
      <c r="L782" s="143">
        <f>ROUND((J782*C782)+(K782*C782),4)</f>
        <v>0</v>
      </c>
      <c r="M782" s="140"/>
      <c r="N782" s="140">
        <f>ROUND(+I782-H782,4)</f>
        <v>0</v>
      </c>
      <c r="O782" s="143">
        <f>ROUND(+(N782)*C782*50%,4)</f>
        <v>0</v>
      </c>
      <c r="P782" s="147">
        <f>ROUND(O782+L782,4)</f>
        <v>0</v>
      </c>
      <c r="Q782" s="80"/>
      <c r="R782" s="81"/>
      <c r="S782" s="84"/>
    </row>
    <row r="783" spans="1:19" x14ac:dyDescent="0.2">
      <c r="A783" s="47"/>
      <c r="B783" s="36"/>
      <c r="C783" s="138"/>
      <c r="D783" s="140"/>
      <c r="E783" s="48"/>
      <c r="F783" s="140"/>
      <c r="G783" s="140"/>
      <c r="H783" s="140">
        <f>ROUND(+D783+F783,4)</f>
        <v>0</v>
      </c>
      <c r="I783" s="140">
        <v>0</v>
      </c>
      <c r="J783" s="140">
        <v>0.03</v>
      </c>
      <c r="K783" s="140">
        <f>ROUND(IF(E783="alluminio",(I783)*3%,0)+IF(E783="alluminio smaltato",(I783)*3%,0),4)</f>
        <v>0</v>
      </c>
      <c r="L783" s="143">
        <f>ROUND((J783*C783)+(K783*C783),4)</f>
        <v>0</v>
      </c>
      <c r="M783" s="140"/>
      <c r="N783" s="140">
        <f>ROUND(+I783-H783,4)</f>
        <v>0</v>
      </c>
      <c r="O783" s="143">
        <f>ROUND(+(N783)*C783*50%,4)</f>
        <v>0</v>
      </c>
      <c r="P783" s="147">
        <f>ROUND(O783+L783,4)</f>
        <v>0</v>
      </c>
      <c r="Q783" s="80"/>
      <c r="R783" s="81"/>
      <c r="S783" s="84"/>
    </row>
    <row r="784" spans="1:19" x14ac:dyDescent="0.2">
      <c r="A784" s="47"/>
      <c r="B784" s="36"/>
      <c r="C784" s="138"/>
      <c r="D784" s="140"/>
      <c r="E784" s="48"/>
      <c r="F784" s="140"/>
      <c r="G784" s="140"/>
      <c r="H784" s="140">
        <f>ROUND(+D784+F784,4)</f>
        <v>0</v>
      </c>
      <c r="I784" s="140">
        <v>0</v>
      </c>
      <c r="J784" s="140">
        <v>0.03</v>
      </c>
      <c r="K784" s="140">
        <f>ROUND(IF(E784="alluminio",(I784)*3%,0)+IF(E784="alluminio smaltato",(I784)*3%,0),4)</f>
        <v>0</v>
      </c>
      <c r="L784" s="143">
        <f>ROUND((J784*C784)+(K784*C784),4)</f>
        <v>0</v>
      </c>
      <c r="M784" s="140"/>
      <c r="N784" s="140">
        <f>ROUND(+I784-H784,4)</f>
        <v>0</v>
      </c>
      <c r="O784" s="143">
        <f>ROUND(+(N784)*C784*50%,4)</f>
        <v>0</v>
      </c>
      <c r="P784" s="147">
        <f>ROUND(O784+L784,4)</f>
        <v>0</v>
      </c>
      <c r="Q784" s="80"/>
      <c r="R784" s="81"/>
      <c r="S784" s="84"/>
    </row>
    <row r="785" spans="1:19" x14ac:dyDescent="0.2">
      <c r="A785" s="47"/>
      <c r="B785" s="36"/>
      <c r="C785" s="138"/>
      <c r="D785" s="140"/>
      <c r="E785" s="48"/>
      <c r="F785" s="140"/>
      <c r="G785" s="140"/>
      <c r="H785" s="140">
        <f>ROUND(+D785+F785,4)</f>
        <v>0</v>
      </c>
      <c r="I785" s="140">
        <v>0</v>
      </c>
      <c r="J785" s="140">
        <v>0.03</v>
      </c>
      <c r="K785" s="140">
        <f>ROUND(IF(E785="alluminio",(I785)*3%,0)+IF(E785="alluminio smaltato",(I785)*3%,0),4)</f>
        <v>0</v>
      </c>
      <c r="L785" s="143">
        <f>ROUND((J785*C785)+(K785*C785),4)</f>
        <v>0</v>
      </c>
      <c r="M785" s="140"/>
      <c r="N785" s="140">
        <f>ROUND(+I785-H785,4)</f>
        <v>0</v>
      </c>
      <c r="O785" s="143">
        <f>ROUND(+(N785)*C785*50%,4)</f>
        <v>0</v>
      </c>
      <c r="P785" s="147">
        <f>ROUND(O785+L785,4)</f>
        <v>0</v>
      </c>
      <c r="Q785" s="80"/>
      <c r="R785" s="81"/>
      <c r="S785" s="84"/>
    </row>
    <row r="786" spans="1:19" x14ac:dyDescent="0.2">
      <c r="A786" s="47"/>
      <c r="B786" s="36"/>
      <c r="C786" s="138"/>
      <c r="D786" s="140"/>
      <c r="E786" s="48"/>
      <c r="F786" s="140"/>
      <c r="G786" s="140"/>
      <c r="H786" s="140">
        <f>ROUND(+D786+F786,4)</f>
        <v>0</v>
      </c>
      <c r="I786" s="140">
        <v>0</v>
      </c>
      <c r="J786" s="140">
        <v>0.03</v>
      </c>
      <c r="K786" s="140">
        <f>ROUND(IF(E786="alluminio",(I786)*3%,0)+IF(E786="alluminio smaltato",(I786)*3%,0),4)</f>
        <v>0</v>
      </c>
      <c r="L786" s="143">
        <f>ROUND((J786*C786)+(K786*C786),4)</f>
        <v>0</v>
      </c>
      <c r="M786" s="140"/>
      <c r="N786" s="140">
        <f>ROUND(+I786-H786,4)</f>
        <v>0</v>
      </c>
      <c r="O786" s="143">
        <f>ROUND(+(N786)*C786*50%,4)</f>
        <v>0</v>
      </c>
      <c r="P786" s="147">
        <f>ROUND(O786+L786,4)</f>
        <v>0</v>
      </c>
      <c r="Q786" s="80"/>
      <c r="R786" s="81"/>
      <c r="S786" s="84"/>
    </row>
    <row r="787" spans="1:19" x14ac:dyDescent="0.2">
      <c r="A787" s="47"/>
      <c r="B787" s="36"/>
      <c r="C787" s="138"/>
      <c r="D787" s="140"/>
      <c r="E787" s="48"/>
      <c r="F787" s="140"/>
      <c r="G787" s="140"/>
      <c r="H787" s="140">
        <f>ROUND(+D787+F787,4)</f>
        <v>0</v>
      </c>
      <c r="I787" s="140">
        <v>0</v>
      </c>
      <c r="J787" s="140">
        <v>0.03</v>
      </c>
      <c r="K787" s="140">
        <f>ROUND(IF(E787="alluminio",(I787)*3%,0)+IF(E787="alluminio smaltato",(I787)*3%,0),4)</f>
        <v>0</v>
      </c>
      <c r="L787" s="143">
        <f>ROUND((J787*C787)+(K787*C787),4)</f>
        <v>0</v>
      </c>
      <c r="M787" s="140"/>
      <c r="N787" s="140">
        <f>ROUND(+I787-H787,4)</f>
        <v>0</v>
      </c>
      <c r="O787" s="143">
        <f>ROUND(+(N787)*C787*50%,4)</f>
        <v>0</v>
      </c>
      <c r="P787" s="147">
        <f>ROUND(O787+L787,4)</f>
        <v>0</v>
      </c>
      <c r="Q787" s="80"/>
      <c r="R787" s="81"/>
      <c r="S787" s="84"/>
    </row>
    <row r="788" spans="1:19" x14ac:dyDescent="0.2">
      <c r="A788" s="47"/>
      <c r="B788" s="36"/>
      <c r="C788" s="138"/>
      <c r="D788" s="140"/>
      <c r="E788" s="48"/>
      <c r="F788" s="140"/>
      <c r="G788" s="140"/>
      <c r="H788" s="140">
        <f>ROUND(+D788+F788,4)</f>
        <v>0</v>
      </c>
      <c r="I788" s="140">
        <v>0</v>
      </c>
      <c r="J788" s="140">
        <v>0.03</v>
      </c>
      <c r="K788" s="140">
        <f>ROUND(IF(E788="alluminio",(I788)*3%,0)+IF(E788="alluminio smaltato",(I788)*3%,0),4)</f>
        <v>0</v>
      </c>
      <c r="L788" s="143">
        <f>ROUND((J788*C788)+(K788*C788),4)</f>
        <v>0</v>
      </c>
      <c r="M788" s="140"/>
      <c r="N788" s="140">
        <f>ROUND(+I788-H788,4)</f>
        <v>0</v>
      </c>
      <c r="O788" s="143">
        <f>ROUND(+(N788)*C788*50%,4)</f>
        <v>0</v>
      </c>
      <c r="P788" s="147">
        <f>ROUND(O788+L788,4)</f>
        <v>0</v>
      </c>
      <c r="Q788" s="80"/>
      <c r="R788" s="81"/>
      <c r="S788" s="84"/>
    </row>
    <row r="789" spans="1:19" x14ac:dyDescent="0.2">
      <c r="A789" s="47"/>
      <c r="B789" s="36"/>
      <c r="C789" s="138"/>
      <c r="D789" s="140"/>
      <c r="E789" s="48"/>
      <c r="F789" s="140"/>
      <c r="G789" s="140"/>
      <c r="H789" s="140">
        <f>ROUND(+D789+F789,4)</f>
        <v>0</v>
      </c>
      <c r="I789" s="140">
        <v>0</v>
      </c>
      <c r="J789" s="140">
        <v>0.03</v>
      </c>
      <c r="K789" s="140">
        <f>ROUND(IF(E789="alluminio",(I789)*3%,0)+IF(E789="alluminio smaltato",(I789)*3%,0),4)</f>
        <v>0</v>
      </c>
      <c r="L789" s="143">
        <f>ROUND((J789*C789)+(K789*C789),4)</f>
        <v>0</v>
      </c>
      <c r="M789" s="140"/>
      <c r="N789" s="140">
        <f>ROUND(+I789-H789,4)</f>
        <v>0</v>
      </c>
      <c r="O789" s="143">
        <f>ROUND(+(N789)*C789*50%,4)</f>
        <v>0</v>
      </c>
      <c r="P789" s="147">
        <f>ROUND(O789+L789,4)</f>
        <v>0</v>
      </c>
      <c r="Q789" s="80"/>
      <c r="R789" s="81"/>
      <c r="S789" s="84"/>
    </row>
    <row r="790" spans="1:19" x14ac:dyDescent="0.2">
      <c r="A790" s="47"/>
      <c r="B790" s="36"/>
      <c r="C790" s="138"/>
      <c r="D790" s="140"/>
      <c r="E790" s="48"/>
      <c r="F790" s="140"/>
      <c r="G790" s="140"/>
      <c r="H790" s="140">
        <f>ROUND(+D790+F790,4)</f>
        <v>0</v>
      </c>
      <c r="I790" s="140">
        <v>0</v>
      </c>
      <c r="J790" s="140">
        <v>0.03</v>
      </c>
      <c r="K790" s="140">
        <f>ROUND(IF(E790="alluminio",(I790)*3%,0)+IF(E790="alluminio smaltato",(I790)*3%,0),4)</f>
        <v>0</v>
      </c>
      <c r="L790" s="143">
        <f>ROUND((J790*C790)+(K790*C790),4)</f>
        <v>0</v>
      </c>
      <c r="M790" s="140"/>
      <c r="N790" s="140">
        <f>ROUND(+I790-H790,4)</f>
        <v>0</v>
      </c>
      <c r="O790" s="143">
        <f>ROUND(+(N790)*C790*50%,4)</f>
        <v>0</v>
      </c>
      <c r="P790" s="147">
        <f>ROUND(O790+L790,4)</f>
        <v>0</v>
      </c>
      <c r="Q790" s="80"/>
      <c r="R790" s="81"/>
      <c r="S790" s="84"/>
    </row>
    <row r="791" spans="1:19" x14ac:dyDescent="0.2">
      <c r="A791" s="47"/>
      <c r="B791" s="36"/>
      <c r="C791" s="138"/>
      <c r="D791" s="140"/>
      <c r="E791" s="48"/>
      <c r="F791" s="140"/>
      <c r="G791" s="140"/>
      <c r="H791" s="140">
        <f>ROUND(+D791+F791,4)</f>
        <v>0</v>
      </c>
      <c r="I791" s="140">
        <v>0</v>
      </c>
      <c r="J791" s="140">
        <v>0.03</v>
      </c>
      <c r="K791" s="140">
        <f>ROUND(IF(E791="alluminio",(I791)*3%,0)+IF(E791="alluminio smaltato",(I791)*3%,0),4)</f>
        <v>0</v>
      </c>
      <c r="L791" s="143">
        <f>ROUND((J791*C791)+(K791*C791),4)</f>
        <v>0</v>
      </c>
      <c r="M791" s="140"/>
      <c r="N791" s="140">
        <f>ROUND(+I791-H791,4)</f>
        <v>0</v>
      </c>
      <c r="O791" s="143">
        <f>ROUND(+(N791)*C791*50%,4)</f>
        <v>0</v>
      </c>
      <c r="P791" s="147">
        <f>ROUND(O791+L791,4)</f>
        <v>0</v>
      </c>
      <c r="Q791" s="80"/>
      <c r="R791" s="81"/>
      <c r="S791" s="84"/>
    </row>
    <row r="792" spans="1:19" x14ac:dyDescent="0.2">
      <c r="A792" s="47"/>
      <c r="B792" s="36"/>
      <c r="C792" s="138"/>
      <c r="D792" s="140"/>
      <c r="E792" s="48"/>
      <c r="F792" s="140"/>
      <c r="G792" s="140"/>
      <c r="H792" s="140">
        <f>ROUND(+D792+F792,4)</f>
        <v>0</v>
      </c>
      <c r="I792" s="140">
        <v>0</v>
      </c>
      <c r="J792" s="140">
        <v>0.03</v>
      </c>
      <c r="K792" s="140">
        <f>ROUND(IF(E792="alluminio",(I792)*3%,0)+IF(E792="alluminio smaltato",(I792)*3%,0),4)</f>
        <v>0</v>
      </c>
      <c r="L792" s="143">
        <f>ROUND((J792*C792)+(K792*C792),4)</f>
        <v>0</v>
      </c>
      <c r="M792" s="140"/>
      <c r="N792" s="140">
        <f>ROUND(+I792-H792,4)</f>
        <v>0</v>
      </c>
      <c r="O792" s="143">
        <f>ROUND(+(N792)*C792*50%,4)</f>
        <v>0</v>
      </c>
      <c r="P792" s="147">
        <f>ROUND(O792+L792,4)</f>
        <v>0</v>
      </c>
      <c r="Q792" s="80"/>
      <c r="R792" s="81"/>
      <c r="S792" s="84"/>
    </row>
    <row r="793" spans="1:19" x14ac:dyDescent="0.2">
      <c r="A793" s="47"/>
      <c r="B793" s="36"/>
      <c r="C793" s="138"/>
      <c r="D793" s="140"/>
      <c r="E793" s="48"/>
      <c r="F793" s="140"/>
      <c r="G793" s="140"/>
      <c r="H793" s="140">
        <f>ROUND(+D793+F793,4)</f>
        <v>0</v>
      </c>
      <c r="I793" s="140">
        <v>0</v>
      </c>
      <c r="J793" s="140">
        <v>0.03</v>
      </c>
      <c r="K793" s="140">
        <f>ROUND(IF(E793="alluminio",(I793)*3%,0)+IF(E793="alluminio smaltato",(I793)*3%,0),4)</f>
        <v>0</v>
      </c>
      <c r="L793" s="143">
        <f>ROUND((J793*C793)+(K793*C793),4)</f>
        <v>0</v>
      </c>
      <c r="M793" s="140"/>
      <c r="N793" s="140">
        <f>ROUND(+I793-H793,4)</f>
        <v>0</v>
      </c>
      <c r="O793" s="143">
        <f>ROUND(+(N793)*C793*50%,4)</f>
        <v>0</v>
      </c>
      <c r="P793" s="147">
        <f>ROUND(O793+L793,4)</f>
        <v>0</v>
      </c>
      <c r="Q793" s="80"/>
      <c r="R793" s="81"/>
      <c r="S793" s="84"/>
    </row>
    <row r="794" spans="1:19" x14ac:dyDescent="0.2">
      <c r="A794" s="47"/>
      <c r="B794" s="36"/>
      <c r="C794" s="138"/>
      <c r="D794" s="140"/>
      <c r="E794" s="48"/>
      <c r="F794" s="140"/>
      <c r="G794" s="140"/>
      <c r="H794" s="140">
        <f>ROUND(+D794+F794,4)</f>
        <v>0</v>
      </c>
      <c r="I794" s="140">
        <v>0</v>
      </c>
      <c r="J794" s="140">
        <v>0.03</v>
      </c>
      <c r="K794" s="140">
        <f>ROUND(IF(E794="alluminio",(I794)*3%,0)+IF(E794="alluminio smaltato",(I794)*3%,0),4)</f>
        <v>0</v>
      </c>
      <c r="L794" s="143">
        <f>ROUND((J794*C794)+(K794*C794),4)</f>
        <v>0</v>
      </c>
      <c r="M794" s="140"/>
      <c r="N794" s="140">
        <f>ROUND(+I794-H794,4)</f>
        <v>0</v>
      </c>
      <c r="O794" s="143">
        <f>ROUND(+(N794)*C794*50%,4)</f>
        <v>0</v>
      </c>
      <c r="P794" s="147">
        <f>ROUND(O794+L794,4)</f>
        <v>0</v>
      </c>
      <c r="Q794" s="80"/>
      <c r="R794" s="81"/>
      <c r="S794" s="84"/>
    </row>
    <row r="795" spans="1:19" x14ac:dyDescent="0.2">
      <c r="A795" s="47"/>
      <c r="B795" s="36"/>
      <c r="C795" s="138"/>
      <c r="D795" s="140"/>
      <c r="E795" s="48"/>
      <c r="F795" s="140"/>
      <c r="G795" s="140"/>
      <c r="H795" s="140">
        <f>ROUND(+D795+F795,4)</f>
        <v>0</v>
      </c>
      <c r="I795" s="140">
        <v>0</v>
      </c>
      <c r="J795" s="140">
        <v>0.03</v>
      </c>
      <c r="K795" s="140">
        <f>ROUND(IF(E795="alluminio",(I795)*3%,0)+IF(E795="alluminio smaltato",(I795)*3%,0),4)</f>
        <v>0</v>
      </c>
      <c r="L795" s="143">
        <f>ROUND((J795*C795)+(K795*C795),4)</f>
        <v>0</v>
      </c>
      <c r="M795" s="140"/>
      <c r="N795" s="140">
        <f>ROUND(+I795-H795,4)</f>
        <v>0</v>
      </c>
      <c r="O795" s="143">
        <f>ROUND(+(N795)*C795*50%,4)</f>
        <v>0</v>
      </c>
      <c r="P795" s="147">
        <f>ROUND(O795+L795,4)</f>
        <v>0</v>
      </c>
      <c r="Q795" s="80"/>
      <c r="R795" s="81"/>
      <c r="S795" s="84"/>
    </row>
    <row r="796" spans="1:19" x14ac:dyDescent="0.2">
      <c r="A796" s="47"/>
      <c r="B796" s="36"/>
      <c r="C796" s="138"/>
      <c r="D796" s="140"/>
      <c r="E796" s="48"/>
      <c r="F796" s="140"/>
      <c r="G796" s="140"/>
      <c r="H796" s="140">
        <f>ROUND(+D796+F796,4)</f>
        <v>0</v>
      </c>
      <c r="I796" s="140">
        <v>0</v>
      </c>
      <c r="J796" s="140">
        <v>0.03</v>
      </c>
      <c r="K796" s="140">
        <f>ROUND(IF(E796="alluminio",(I796)*3%,0)+IF(E796="alluminio smaltato",(I796)*3%,0),4)</f>
        <v>0</v>
      </c>
      <c r="L796" s="143">
        <f>ROUND((J796*C796)+(K796*C796),4)</f>
        <v>0</v>
      </c>
      <c r="M796" s="140"/>
      <c r="N796" s="140">
        <f>ROUND(+I796-H796,4)</f>
        <v>0</v>
      </c>
      <c r="O796" s="143">
        <f>ROUND(+(N796)*C796*50%,4)</f>
        <v>0</v>
      </c>
      <c r="P796" s="147">
        <f>ROUND(O796+L796,4)</f>
        <v>0</v>
      </c>
      <c r="Q796" s="80"/>
      <c r="R796" s="81"/>
      <c r="S796" s="84"/>
    </row>
    <row r="797" spans="1:19" x14ac:dyDescent="0.2">
      <c r="A797" s="47"/>
      <c r="B797" s="36"/>
      <c r="C797" s="138"/>
      <c r="D797" s="140"/>
      <c r="E797" s="48"/>
      <c r="F797" s="140"/>
      <c r="G797" s="140"/>
      <c r="H797" s="140">
        <f>ROUND(+D797+F797,4)</f>
        <v>0</v>
      </c>
      <c r="I797" s="140">
        <v>0</v>
      </c>
      <c r="J797" s="140">
        <v>0.03</v>
      </c>
      <c r="K797" s="140">
        <f>ROUND(IF(E797="alluminio",(I797)*3%,0)+IF(E797="alluminio smaltato",(I797)*3%,0),4)</f>
        <v>0</v>
      </c>
      <c r="L797" s="143">
        <f>ROUND((J797*C797)+(K797*C797),4)</f>
        <v>0</v>
      </c>
      <c r="M797" s="140"/>
      <c r="N797" s="140">
        <f>ROUND(+I797-H797,4)</f>
        <v>0</v>
      </c>
      <c r="O797" s="143">
        <f>ROUND(+(N797)*C797*50%,4)</f>
        <v>0</v>
      </c>
      <c r="P797" s="147">
        <f>ROUND(O797+L797,4)</f>
        <v>0</v>
      </c>
      <c r="Q797" s="80"/>
      <c r="R797" s="81"/>
      <c r="S797" s="84"/>
    </row>
    <row r="798" spans="1:19" x14ac:dyDescent="0.2">
      <c r="A798" s="47"/>
      <c r="B798" s="36"/>
      <c r="C798" s="138"/>
      <c r="D798" s="140"/>
      <c r="E798" s="48"/>
      <c r="F798" s="140"/>
      <c r="G798" s="140"/>
      <c r="H798" s="140">
        <f>ROUND(+D798+F798,4)</f>
        <v>0</v>
      </c>
      <c r="I798" s="140">
        <v>0</v>
      </c>
      <c r="J798" s="140">
        <v>0.03</v>
      </c>
      <c r="K798" s="140">
        <f>ROUND(IF(E798="alluminio",(I798)*3%,0)+IF(E798="alluminio smaltato",(I798)*3%,0),4)</f>
        <v>0</v>
      </c>
      <c r="L798" s="143">
        <f>ROUND((J798*C798)+(K798*C798),4)</f>
        <v>0</v>
      </c>
      <c r="M798" s="140"/>
      <c r="N798" s="140">
        <f>ROUND(+I798-H798,4)</f>
        <v>0</v>
      </c>
      <c r="O798" s="143">
        <f>ROUND(+(N798)*C798*50%,4)</f>
        <v>0</v>
      </c>
      <c r="P798" s="147">
        <f>ROUND(O798+L798,4)</f>
        <v>0</v>
      </c>
      <c r="Q798" s="80"/>
      <c r="R798" s="81"/>
      <c r="S798" s="84"/>
    </row>
    <row r="799" spans="1:19" x14ac:dyDescent="0.2">
      <c r="A799" s="47"/>
      <c r="B799" s="36"/>
      <c r="C799" s="138"/>
      <c r="D799" s="140"/>
      <c r="E799" s="48"/>
      <c r="F799" s="140"/>
      <c r="G799" s="140"/>
      <c r="H799" s="140">
        <f>ROUND(+D799+F799,4)</f>
        <v>0</v>
      </c>
      <c r="I799" s="140">
        <v>0</v>
      </c>
      <c r="J799" s="140">
        <v>0.03</v>
      </c>
      <c r="K799" s="140">
        <f>ROUND(IF(E799="alluminio",(I799)*3%,0)+IF(E799="alluminio smaltato",(I799)*3%,0),4)</f>
        <v>0</v>
      </c>
      <c r="L799" s="143">
        <f>ROUND((J799*C799)+(K799*C799),4)</f>
        <v>0</v>
      </c>
      <c r="M799" s="140"/>
      <c r="N799" s="140">
        <f>ROUND(+I799-H799,4)</f>
        <v>0</v>
      </c>
      <c r="O799" s="143">
        <f>ROUND(+(N799)*C799*50%,4)</f>
        <v>0</v>
      </c>
      <c r="P799" s="147">
        <f>ROUND(O799+L799,4)</f>
        <v>0</v>
      </c>
      <c r="Q799" s="80"/>
      <c r="R799" s="81"/>
      <c r="S799" s="84"/>
    </row>
    <row r="800" spans="1:19" x14ac:dyDescent="0.2">
      <c r="A800" s="47"/>
      <c r="B800" s="36"/>
      <c r="C800" s="138"/>
      <c r="D800" s="140"/>
      <c r="E800" s="48"/>
      <c r="F800" s="140"/>
      <c r="G800" s="140"/>
      <c r="H800" s="140">
        <f>ROUND(+D800+F800,4)</f>
        <v>0</v>
      </c>
      <c r="I800" s="140">
        <v>0</v>
      </c>
      <c r="J800" s="140">
        <v>0.03</v>
      </c>
      <c r="K800" s="140">
        <f>ROUND(IF(E800="alluminio",(I800)*3%,0)+IF(E800="alluminio smaltato",(I800)*3%,0),4)</f>
        <v>0</v>
      </c>
      <c r="L800" s="143">
        <f>ROUND((J800*C800)+(K800*C800),4)</f>
        <v>0</v>
      </c>
      <c r="M800" s="140"/>
      <c r="N800" s="140">
        <f>ROUND(+I800-H800,4)</f>
        <v>0</v>
      </c>
      <c r="O800" s="143">
        <f>ROUND(+(N800)*C800*50%,4)</f>
        <v>0</v>
      </c>
      <c r="P800" s="147">
        <f>ROUND(O800+L800,4)</f>
        <v>0</v>
      </c>
      <c r="Q800" s="80"/>
      <c r="R800" s="81"/>
      <c r="S800" s="84"/>
    </row>
    <row r="801" spans="1:19" x14ac:dyDescent="0.2">
      <c r="A801" s="47"/>
      <c r="B801" s="36"/>
      <c r="C801" s="138"/>
      <c r="D801" s="140"/>
      <c r="E801" s="48"/>
      <c r="F801" s="140"/>
      <c r="G801" s="140"/>
      <c r="H801" s="140">
        <f>ROUND(+D801+F801,4)</f>
        <v>0</v>
      </c>
      <c r="I801" s="140">
        <v>0</v>
      </c>
      <c r="J801" s="140">
        <v>0.03</v>
      </c>
      <c r="K801" s="140">
        <f>ROUND(IF(E801="alluminio",(I801)*3%,0)+IF(E801="alluminio smaltato",(I801)*3%,0),4)</f>
        <v>0</v>
      </c>
      <c r="L801" s="143">
        <f>ROUND((J801*C801)+(K801*C801),4)</f>
        <v>0</v>
      </c>
      <c r="M801" s="140"/>
      <c r="N801" s="140">
        <f>ROUND(+I801-H801,4)</f>
        <v>0</v>
      </c>
      <c r="O801" s="143">
        <f>ROUND(+(N801)*C801*50%,4)</f>
        <v>0</v>
      </c>
      <c r="P801" s="147">
        <f>ROUND(O801+L801,4)</f>
        <v>0</v>
      </c>
      <c r="Q801" s="80"/>
      <c r="R801" s="81"/>
      <c r="S801" s="84"/>
    </row>
    <row r="802" spans="1:19" x14ac:dyDescent="0.2">
      <c r="A802" s="47"/>
      <c r="B802" s="36"/>
      <c r="C802" s="138"/>
      <c r="D802" s="140"/>
      <c r="E802" s="48"/>
      <c r="F802" s="140"/>
      <c r="G802" s="140"/>
      <c r="H802" s="140">
        <f>ROUND(+D802+F802,4)</f>
        <v>0</v>
      </c>
      <c r="I802" s="140">
        <v>0</v>
      </c>
      <c r="J802" s="140">
        <v>0.03</v>
      </c>
      <c r="K802" s="140">
        <f>ROUND(IF(E802="alluminio",(I802)*3%,0)+IF(E802="alluminio smaltato",(I802)*3%,0),4)</f>
        <v>0</v>
      </c>
      <c r="L802" s="143">
        <f>ROUND((J802*C802)+(K802*C802),4)</f>
        <v>0</v>
      </c>
      <c r="M802" s="140"/>
      <c r="N802" s="140">
        <f>ROUND(+I802-H802,4)</f>
        <v>0</v>
      </c>
      <c r="O802" s="143">
        <f>ROUND(+(N802)*C802*50%,4)</f>
        <v>0</v>
      </c>
      <c r="P802" s="147">
        <f>ROUND(O802+L802,4)</f>
        <v>0</v>
      </c>
      <c r="Q802" s="80"/>
      <c r="R802" s="81"/>
      <c r="S802" s="84"/>
    </row>
    <row r="803" spans="1:19" x14ac:dyDescent="0.2">
      <c r="A803" s="47"/>
      <c r="B803" s="36"/>
      <c r="C803" s="138"/>
      <c r="D803" s="140"/>
      <c r="E803" s="48"/>
      <c r="F803" s="140"/>
      <c r="G803" s="140"/>
      <c r="H803" s="140">
        <f>ROUND(+D803+F803,4)</f>
        <v>0</v>
      </c>
      <c r="I803" s="140">
        <v>0</v>
      </c>
      <c r="J803" s="140">
        <v>0.03</v>
      </c>
      <c r="K803" s="140">
        <f>ROUND(IF(E803="alluminio",(I803)*3%,0)+IF(E803="alluminio smaltato",(I803)*3%,0),4)</f>
        <v>0</v>
      </c>
      <c r="L803" s="143">
        <f>ROUND((J803*C803)+(K803*C803),4)</f>
        <v>0</v>
      </c>
      <c r="M803" s="140"/>
      <c r="N803" s="140">
        <f>ROUND(+I803-H803,4)</f>
        <v>0</v>
      </c>
      <c r="O803" s="143">
        <f>ROUND(+(N803)*C803*50%,4)</f>
        <v>0</v>
      </c>
      <c r="P803" s="147">
        <f>ROUND(O803+L803,4)</f>
        <v>0</v>
      </c>
      <c r="Q803" s="80"/>
      <c r="R803" s="81"/>
      <c r="S803" s="84"/>
    </row>
    <row r="804" spans="1:19" x14ac:dyDescent="0.2">
      <c r="A804" s="47"/>
      <c r="B804" s="36"/>
      <c r="C804" s="138"/>
      <c r="D804" s="140"/>
      <c r="E804" s="48"/>
      <c r="F804" s="140"/>
      <c r="G804" s="140"/>
      <c r="H804" s="140">
        <f>ROUND(+D804+F804,4)</f>
        <v>0</v>
      </c>
      <c r="I804" s="140">
        <v>0</v>
      </c>
      <c r="J804" s="140">
        <v>0.03</v>
      </c>
      <c r="K804" s="140">
        <f>ROUND(IF(E804="alluminio",(I804)*3%,0)+IF(E804="alluminio smaltato",(I804)*3%,0),4)</f>
        <v>0</v>
      </c>
      <c r="L804" s="143">
        <f>ROUND((J804*C804)+(K804*C804),4)</f>
        <v>0</v>
      </c>
      <c r="M804" s="140"/>
      <c r="N804" s="140">
        <f>ROUND(+I804-H804,4)</f>
        <v>0</v>
      </c>
      <c r="O804" s="143">
        <f>ROUND(+(N804)*C804*50%,4)</f>
        <v>0</v>
      </c>
      <c r="P804" s="147">
        <f>ROUND(O804+L804,4)</f>
        <v>0</v>
      </c>
      <c r="Q804" s="80"/>
      <c r="R804" s="81"/>
      <c r="S804" s="84"/>
    </row>
    <row r="805" spans="1:19" x14ac:dyDescent="0.2">
      <c r="A805" s="47"/>
      <c r="B805" s="36"/>
      <c r="C805" s="138"/>
      <c r="D805" s="140"/>
      <c r="E805" s="48"/>
      <c r="F805" s="140"/>
      <c r="G805" s="140"/>
      <c r="H805" s="140">
        <f>ROUND(+D805+F805,4)</f>
        <v>0</v>
      </c>
      <c r="I805" s="140">
        <v>0</v>
      </c>
      <c r="J805" s="140">
        <v>0.03</v>
      </c>
      <c r="K805" s="140">
        <f>ROUND(IF(E805="alluminio",(I805)*3%,0)+IF(E805="alluminio smaltato",(I805)*3%,0),4)</f>
        <v>0</v>
      </c>
      <c r="L805" s="143">
        <f>ROUND((J805*C805)+(K805*C805),4)</f>
        <v>0</v>
      </c>
      <c r="M805" s="140"/>
      <c r="N805" s="140">
        <f>ROUND(+I805-H805,4)</f>
        <v>0</v>
      </c>
      <c r="O805" s="143">
        <f>ROUND(+(N805)*C805*50%,4)</f>
        <v>0</v>
      </c>
      <c r="P805" s="147">
        <f>ROUND(O805+L805,4)</f>
        <v>0</v>
      </c>
      <c r="Q805" s="80"/>
      <c r="R805" s="81"/>
      <c r="S805" s="84"/>
    </row>
    <row r="806" spans="1:19" x14ac:dyDescent="0.2">
      <c r="A806" s="47"/>
      <c r="B806" s="36"/>
      <c r="C806" s="138"/>
      <c r="D806" s="140"/>
      <c r="E806" s="48"/>
      <c r="F806" s="140"/>
      <c r="G806" s="140"/>
      <c r="H806" s="140">
        <f>ROUND(+D806+F806,4)</f>
        <v>0</v>
      </c>
      <c r="I806" s="140">
        <v>0</v>
      </c>
      <c r="J806" s="140">
        <v>0.03</v>
      </c>
      <c r="K806" s="140">
        <f>ROUND(IF(E806="alluminio",(I806)*3%,0)+IF(E806="alluminio smaltato",(I806)*3%,0),4)</f>
        <v>0</v>
      </c>
      <c r="L806" s="143">
        <f>ROUND((J806*C806)+(K806*C806),4)</f>
        <v>0</v>
      </c>
      <c r="M806" s="140"/>
      <c r="N806" s="140">
        <f>ROUND(+I806-H806,4)</f>
        <v>0</v>
      </c>
      <c r="O806" s="143">
        <f>ROUND(+(N806)*C806*50%,4)</f>
        <v>0</v>
      </c>
      <c r="P806" s="147">
        <f>ROUND(O806+L806,4)</f>
        <v>0</v>
      </c>
      <c r="Q806" s="80"/>
      <c r="R806" s="81"/>
      <c r="S806" s="84"/>
    </row>
    <row r="807" spans="1:19" x14ac:dyDescent="0.2">
      <c r="A807" s="47"/>
      <c r="B807" s="36"/>
      <c r="C807" s="138"/>
      <c r="D807" s="140"/>
      <c r="E807" s="48"/>
      <c r="F807" s="140"/>
      <c r="G807" s="140"/>
      <c r="H807" s="140">
        <f>ROUND(+D807+F807,4)</f>
        <v>0</v>
      </c>
      <c r="I807" s="140">
        <v>0</v>
      </c>
      <c r="J807" s="140">
        <v>0.03</v>
      </c>
      <c r="K807" s="140">
        <f>ROUND(IF(E807="alluminio",(I807)*3%,0)+IF(E807="alluminio smaltato",(I807)*3%,0),4)</f>
        <v>0</v>
      </c>
      <c r="L807" s="143">
        <f>ROUND((J807*C807)+(K807*C807),4)</f>
        <v>0</v>
      </c>
      <c r="M807" s="140"/>
      <c r="N807" s="140">
        <f>ROUND(+I807-H807,4)</f>
        <v>0</v>
      </c>
      <c r="O807" s="143">
        <f>ROUND(+(N807)*C807*50%,4)</f>
        <v>0</v>
      </c>
      <c r="P807" s="147">
        <f>ROUND(O807+L807,4)</f>
        <v>0</v>
      </c>
      <c r="Q807" s="80"/>
      <c r="R807" s="81"/>
      <c r="S807" s="84"/>
    </row>
    <row r="808" spans="1:19" x14ac:dyDescent="0.2">
      <c r="A808" s="47"/>
      <c r="B808" s="36"/>
      <c r="C808" s="138"/>
      <c r="D808" s="140"/>
      <c r="E808" s="48"/>
      <c r="F808" s="140"/>
      <c r="G808" s="140"/>
      <c r="H808" s="140">
        <f>ROUND(+D808+F808,4)</f>
        <v>0</v>
      </c>
      <c r="I808" s="140">
        <v>0</v>
      </c>
      <c r="J808" s="140">
        <v>0.03</v>
      </c>
      <c r="K808" s="140">
        <f>ROUND(IF(E808="alluminio",(I808)*3%,0)+IF(E808="alluminio smaltato",(I808)*3%,0),4)</f>
        <v>0</v>
      </c>
      <c r="L808" s="143">
        <f>ROUND((J808*C808)+(K808*C808),4)</f>
        <v>0</v>
      </c>
      <c r="M808" s="140"/>
      <c r="N808" s="140">
        <f>ROUND(+I808-H808,4)</f>
        <v>0</v>
      </c>
      <c r="O808" s="143">
        <f>ROUND(+(N808)*C808*50%,4)</f>
        <v>0</v>
      </c>
      <c r="P808" s="147">
        <f>ROUND(O808+L808,4)</f>
        <v>0</v>
      </c>
      <c r="Q808" s="80"/>
      <c r="R808" s="81"/>
      <c r="S808" s="84"/>
    </row>
    <row r="809" spans="1:19" x14ac:dyDescent="0.2">
      <c r="A809" s="47"/>
      <c r="B809" s="36"/>
      <c r="C809" s="138"/>
      <c r="D809" s="140"/>
      <c r="E809" s="48"/>
      <c r="F809" s="140"/>
      <c r="G809" s="140"/>
      <c r="H809" s="140">
        <f>ROUND(+D809+F809,4)</f>
        <v>0</v>
      </c>
      <c r="I809" s="140">
        <v>0</v>
      </c>
      <c r="J809" s="140">
        <v>0.03</v>
      </c>
      <c r="K809" s="140">
        <f>ROUND(IF(E809="alluminio",(I809)*3%,0)+IF(E809="alluminio smaltato",(I809)*3%,0),4)</f>
        <v>0</v>
      </c>
      <c r="L809" s="143">
        <f>ROUND((J809*C809)+(K809*C809),4)</f>
        <v>0</v>
      </c>
      <c r="M809" s="140"/>
      <c r="N809" s="140">
        <f>ROUND(+I809-H809,4)</f>
        <v>0</v>
      </c>
      <c r="O809" s="143">
        <f>ROUND(+(N809)*C809*50%,4)</f>
        <v>0</v>
      </c>
      <c r="P809" s="147">
        <f>ROUND(O809+L809,4)</f>
        <v>0</v>
      </c>
      <c r="Q809" s="80"/>
      <c r="R809" s="81"/>
      <c r="S809" s="84"/>
    </row>
    <row r="810" spans="1:19" x14ac:dyDescent="0.2">
      <c r="A810" s="47"/>
      <c r="B810" s="36"/>
      <c r="C810" s="138"/>
      <c r="D810" s="140"/>
      <c r="E810" s="48"/>
      <c r="F810" s="140"/>
      <c r="G810" s="140"/>
      <c r="H810" s="140">
        <f>ROUND(+D810+F810,4)</f>
        <v>0</v>
      </c>
      <c r="I810" s="140">
        <v>0</v>
      </c>
      <c r="J810" s="140">
        <v>0.03</v>
      </c>
      <c r="K810" s="140">
        <f>ROUND(IF(E810="alluminio",(I810)*3%,0)+IF(E810="alluminio smaltato",(I810)*3%,0),4)</f>
        <v>0</v>
      </c>
      <c r="L810" s="143">
        <f>ROUND((J810*C810)+(K810*C810),4)</f>
        <v>0</v>
      </c>
      <c r="M810" s="140"/>
      <c r="N810" s="140">
        <f>ROUND(+I810-H810,4)</f>
        <v>0</v>
      </c>
      <c r="O810" s="143">
        <f>ROUND(+(N810)*C810*50%,4)</f>
        <v>0</v>
      </c>
      <c r="P810" s="147">
        <f>ROUND(O810+L810,4)</f>
        <v>0</v>
      </c>
      <c r="Q810" s="80"/>
      <c r="R810" s="81"/>
      <c r="S810" s="84"/>
    </row>
    <row r="811" spans="1:19" x14ac:dyDescent="0.2">
      <c r="A811" s="47"/>
      <c r="B811" s="36"/>
      <c r="C811" s="138"/>
      <c r="D811" s="140"/>
      <c r="E811" s="48"/>
      <c r="F811" s="140"/>
      <c r="G811" s="140"/>
      <c r="H811" s="140">
        <f>ROUND(+D811+F811,4)</f>
        <v>0</v>
      </c>
      <c r="I811" s="140">
        <v>0</v>
      </c>
      <c r="J811" s="140">
        <v>0.03</v>
      </c>
      <c r="K811" s="140">
        <f>ROUND(IF(E811="alluminio",(I811)*3%,0)+IF(E811="alluminio smaltato",(I811)*3%,0),4)</f>
        <v>0</v>
      </c>
      <c r="L811" s="143">
        <f>ROUND((J811*C811)+(K811*C811),4)</f>
        <v>0</v>
      </c>
      <c r="M811" s="140"/>
      <c r="N811" s="140">
        <f>ROUND(+I811-H811,4)</f>
        <v>0</v>
      </c>
      <c r="O811" s="143">
        <f>ROUND(+(N811)*C811*50%,4)</f>
        <v>0</v>
      </c>
      <c r="P811" s="147">
        <f>ROUND(O811+L811,4)</f>
        <v>0</v>
      </c>
      <c r="Q811" s="80"/>
      <c r="R811" s="81"/>
      <c r="S811" s="84"/>
    </row>
    <row r="812" spans="1:19" x14ac:dyDescent="0.2">
      <c r="A812" s="47"/>
      <c r="B812" s="36"/>
      <c r="C812" s="138"/>
      <c r="D812" s="140"/>
      <c r="E812" s="48"/>
      <c r="F812" s="140"/>
      <c r="G812" s="140"/>
      <c r="H812" s="140">
        <f>ROUND(+D812+F812,4)</f>
        <v>0</v>
      </c>
      <c r="I812" s="140">
        <v>0</v>
      </c>
      <c r="J812" s="140">
        <v>0.03</v>
      </c>
      <c r="K812" s="140">
        <f>ROUND(IF(E812="alluminio",(I812)*3%,0)+IF(E812="alluminio smaltato",(I812)*3%,0),4)</f>
        <v>0</v>
      </c>
      <c r="L812" s="143">
        <f>ROUND((J812*C812)+(K812*C812),4)</f>
        <v>0</v>
      </c>
      <c r="M812" s="140"/>
      <c r="N812" s="140">
        <f>ROUND(+I812-H812,4)</f>
        <v>0</v>
      </c>
      <c r="O812" s="143">
        <f>ROUND(+(N812)*C812*50%,4)</f>
        <v>0</v>
      </c>
      <c r="P812" s="147">
        <f>ROUND(O812+L812,4)</f>
        <v>0</v>
      </c>
      <c r="Q812" s="80"/>
      <c r="R812" s="81"/>
      <c r="S812" s="84"/>
    </row>
    <row r="813" spans="1:19" x14ac:dyDescent="0.2">
      <c r="A813" s="47"/>
      <c r="B813" s="36"/>
      <c r="C813" s="138"/>
      <c r="D813" s="140"/>
      <c r="E813" s="48"/>
      <c r="F813" s="140"/>
      <c r="G813" s="140"/>
      <c r="H813" s="140">
        <f>ROUND(+D813+F813,4)</f>
        <v>0</v>
      </c>
      <c r="I813" s="140">
        <v>0</v>
      </c>
      <c r="J813" s="140">
        <v>0.03</v>
      </c>
      <c r="K813" s="140">
        <f>ROUND(IF(E813="alluminio",(I813)*3%,0)+IF(E813="alluminio smaltato",(I813)*3%,0),4)</f>
        <v>0</v>
      </c>
      <c r="L813" s="143">
        <f>ROUND((J813*C813)+(K813*C813),4)</f>
        <v>0</v>
      </c>
      <c r="M813" s="140"/>
      <c r="N813" s="140">
        <f>ROUND(+I813-H813,4)</f>
        <v>0</v>
      </c>
      <c r="O813" s="143">
        <f>ROUND(+(N813)*C813*50%,4)</f>
        <v>0</v>
      </c>
      <c r="P813" s="147">
        <f>ROUND(O813+L813,4)</f>
        <v>0</v>
      </c>
      <c r="Q813" s="80"/>
      <c r="R813" s="81"/>
      <c r="S813" s="84"/>
    </row>
    <row r="814" spans="1:19" x14ac:dyDescent="0.2">
      <c r="A814" s="47"/>
      <c r="B814" s="36"/>
      <c r="C814" s="138"/>
      <c r="D814" s="140"/>
      <c r="E814" s="48"/>
      <c r="F814" s="140"/>
      <c r="G814" s="140"/>
      <c r="H814" s="140">
        <f>ROUND(+D814+F814,4)</f>
        <v>0</v>
      </c>
      <c r="I814" s="140">
        <v>0</v>
      </c>
      <c r="J814" s="140">
        <v>0.03</v>
      </c>
      <c r="K814" s="140">
        <f>ROUND(IF(E814="alluminio",(I814)*3%,0)+IF(E814="alluminio smaltato",(I814)*3%,0),4)</f>
        <v>0</v>
      </c>
      <c r="L814" s="143">
        <f>ROUND((J814*C814)+(K814*C814),4)</f>
        <v>0</v>
      </c>
      <c r="M814" s="140"/>
      <c r="N814" s="140">
        <f>ROUND(+I814-H814,4)</f>
        <v>0</v>
      </c>
      <c r="O814" s="143">
        <f>ROUND(+(N814)*C814*50%,4)</f>
        <v>0</v>
      </c>
      <c r="P814" s="147">
        <f>ROUND(O814+L814,4)</f>
        <v>0</v>
      </c>
      <c r="Q814" s="80"/>
      <c r="R814" s="81"/>
      <c r="S814" s="84"/>
    </row>
    <row r="815" spans="1:19" x14ac:dyDescent="0.2">
      <c r="A815" s="47"/>
      <c r="B815" s="36"/>
      <c r="C815" s="138"/>
      <c r="D815" s="140"/>
      <c r="E815" s="48"/>
      <c r="F815" s="140"/>
      <c r="G815" s="140"/>
      <c r="H815" s="140">
        <f>ROUND(+D815+F815,4)</f>
        <v>0</v>
      </c>
      <c r="I815" s="140">
        <v>0</v>
      </c>
      <c r="J815" s="140">
        <v>0.03</v>
      </c>
      <c r="K815" s="140">
        <f>ROUND(IF(E815="alluminio",(I815)*3%,0)+IF(E815="alluminio smaltato",(I815)*3%,0),4)</f>
        <v>0</v>
      </c>
      <c r="L815" s="143">
        <f>ROUND((J815*C815)+(K815*C815),4)</f>
        <v>0</v>
      </c>
      <c r="M815" s="140"/>
      <c r="N815" s="140">
        <f>ROUND(+I815-H815,4)</f>
        <v>0</v>
      </c>
      <c r="O815" s="143">
        <f>ROUND(+(N815)*C815*50%,4)</f>
        <v>0</v>
      </c>
      <c r="P815" s="147">
        <f>ROUND(O815+L815,4)</f>
        <v>0</v>
      </c>
      <c r="Q815" s="80"/>
      <c r="R815" s="81"/>
      <c r="S815" s="84"/>
    </row>
    <row r="816" spans="1:19" x14ac:dyDescent="0.2">
      <c r="A816" s="47"/>
      <c r="B816" s="36"/>
      <c r="C816" s="138"/>
      <c r="D816" s="140"/>
      <c r="E816" s="48"/>
      <c r="F816" s="140"/>
      <c r="G816" s="140"/>
      <c r="H816" s="140">
        <f>ROUND(+D816+F816,4)</f>
        <v>0</v>
      </c>
      <c r="I816" s="140">
        <v>0</v>
      </c>
      <c r="J816" s="140">
        <v>0.03</v>
      </c>
      <c r="K816" s="140">
        <f>ROUND(IF(E816="alluminio",(I816)*3%,0)+IF(E816="alluminio smaltato",(I816)*3%,0),4)</f>
        <v>0</v>
      </c>
      <c r="L816" s="143">
        <f>ROUND((J816*C816)+(K816*C816),4)</f>
        <v>0</v>
      </c>
      <c r="M816" s="140"/>
      <c r="N816" s="140">
        <f>ROUND(+I816-H816,4)</f>
        <v>0</v>
      </c>
      <c r="O816" s="143">
        <f>ROUND(+(N816)*C816*50%,4)</f>
        <v>0</v>
      </c>
      <c r="P816" s="147">
        <f>ROUND(O816+L816,4)</f>
        <v>0</v>
      </c>
      <c r="Q816" s="80"/>
      <c r="R816" s="81"/>
      <c r="S816" s="84"/>
    </row>
    <row r="817" spans="1:19" x14ac:dyDescent="0.2">
      <c r="A817" s="47"/>
      <c r="B817" s="36"/>
      <c r="C817" s="138"/>
      <c r="D817" s="140"/>
      <c r="E817" s="48"/>
      <c r="F817" s="140"/>
      <c r="G817" s="140"/>
      <c r="H817" s="140">
        <f>ROUND(+D817+F817,4)</f>
        <v>0</v>
      </c>
      <c r="I817" s="140">
        <v>0</v>
      </c>
      <c r="J817" s="140">
        <v>0.03</v>
      </c>
      <c r="K817" s="140">
        <f>ROUND(IF(E817="alluminio",(I817)*3%,0)+IF(E817="alluminio smaltato",(I817)*3%,0),4)</f>
        <v>0</v>
      </c>
      <c r="L817" s="143">
        <f>ROUND((J817*C817)+(K817*C817),4)</f>
        <v>0</v>
      </c>
      <c r="M817" s="140"/>
      <c r="N817" s="140">
        <f>ROUND(+I817-H817,4)</f>
        <v>0</v>
      </c>
      <c r="O817" s="143">
        <f>ROUND(+(N817)*C817*50%,4)</f>
        <v>0</v>
      </c>
      <c r="P817" s="147">
        <f>ROUND(O817+L817,4)</f>
        <v>0</v>
      </c>
      <c r="Q817" s="80"/>
      <c r="R817" s="81"/>
      <c r="S817" s="84"/>
    </row>
    <row r="818" spans="1:19" x14ac:dyDescent="0.2">
      <c r="A818" s="47"/>
      <c r="B818" s="36"/>
      <c r="C818" s="138"/>
      <c r="D818" s="140"/>
      <c r="E818" s="48"/>
      <c r="F818" s="140"/>
      <c r="G818" s="140"/>
      <c r="H818" s="140">
        <f>ROUND(+D818+F818,4)</f>
        <v>0</v>
      </c>
      <c r="I818" s="140">
        <v>0</v>
      </c>
      <c r="J818" s="140">
        <v>0.03</v>
      </c>
      <c r="K818" s="140">
        <f>ROUND(IF(E818="alluminio",(I818)*3%,0)+IF(E818="alluminio smaltato",(I818)*3%,0),4)</f>
        <v>0</v>
      </c>
      <c r="L818" s="143">
        <f>ROUND((J818*C818)+(K818*C818),4)</f>
        <v>0</v>
      </c>
      <c r="M818" s="140"/>
      <c r="N818" s="140">
        <f>ROUND(+I818-H818,4)</f>
        <v>0</v>
      </c>
      <c r="O818" s="143">
        <f>ROUND(+(N818)*C818*50%,4)</f>
        <v>0</v>
      </c>
      <c r="P818" s="147">
        <f>ROUND(O818+L818,4)</f>
        <v>0</v>
      </c>
      <c r="Q818" s="80"/>
      <c r="R818" s="81"/>
      <c r="S818" s="84"/>
    </row>
    <row r="819" spans="1:19" x14ac:dyDescent="0.2">
      <c r="A819" s="47"/>
      <c r="B819" s="36"/>
      <c r="C819" s="138"/>
      <c r="D819" s="140"/>
      <c r="E819" s="48"/>
      <c r="F819" s="140"/>
      <c r="G819" s="140"/>
      <c r="H819" s="140">
        <f>ROUND(+D819+F819,4)</f>
        <v>0</v>
      </c>
      <c r="I819" s="140">
        <v>0</v>
      </c>
      <c r="J819" s="140">
        <v>0.03</v>
      </c>
      <c r="K819" s="140">
        <f>ROUND(IF(E819="alluminio",(I819)*3%,0)+IF(E819="alluminio smaltato",(I819)*3%,0),4)</f>
        <v>0</v>
      </c>
      <c r="L819" s="143">
        <f>ROUND((J819*C819)+(K819*C819),4)</f>
        <v>0</v>
      </c>
      <c r="M819" s="140"/>
      <c r="N819" s="140">
        <f>ROUND(+I819-H819,4)</f>
        <v>0</v>
      </c>
      <c r="O819" s="143">
        <f>ROUND(+(N819)*C819*50%,4)</f>
        <v>0</v>
      </c>
      <c r="P819" s="147">
        <f>ROUND(O819+L819,4)</f>
        <v>0</v>
      </c>
      <c r="Q819" s="80"/>
      <c r="R819" s="81"/>
      <c r="S819" s="84"/>
    </row>
    <row r="820" spans="1:19" x14ac:dyDescent="0.2">
      <c r="A820" s="47"/>
      <c r="B820" s="36"/>
      <c r="C820" s="138"/>
      <c r="D820" s="140"/>
      <c r="E820" s="48"/>
      <c r="F820" s="140"/>
      <c r="G820" s="140"/>
      <c r="H820" s="140">
        <f>ROUND(+D820+F820,4)</f>
        <v>0</v>
      </c>
      <c r="I820" s="140">
        <v>0</v>
      </c>
      <c r="J820" s="140">
        <v>0.03</v>
      </c>
      <c r="K820" s="140">
        <f>ROUND(IF(E820="alluminio",(I820)*3%,0)+IF(E820="alluminio smaltato",(I820)*3%,0),4)</f>
        <v>0</v>
      </c>
      <c r="L820" s="143">
        <f>ROUND((J820*C820)+(K820*C820),4)</f>
        <v>0</v>
      </c>
      <c r="M820" s="140"/>
      <c r="N820" s="140">
        <f>ROUND(+I820-H820,4)</f>
        <v>0</v>
      </c>
      <c r="O820" s="143">
        <f>ROUND(+(N820)*C820*50%,4)</f>
        <v>0</v>
      </c>
      <c r="P820" s="147">
        <f>ROUND(O820+L820,4)</f>
        <v>0</v>
      </c>
      <c r="Q820" s="80"/>
      <c r="R820" s="81"/>
      <c r="S820" s="84"/>
    </row>
    <row r="821" spans="1:19" x14ac:dyDescent="0.2">
      <c r="A821" s="47"/>
      <c r="B821" s="36"/>
      <c r="C821" s="138"/>
      <c r="D821" s="140"/>
      <c r="E821" s="48"/>
      <c r="F821" s="140"/>
      <c r="G821" s="140"/>
      <c r="H821" s="140">
        <f>ROUND(+D821+F821,4)</f>
        <v>0</v>
      </c>
      <c r="I821" s="140">
        <v>0</v>
      </c>
      <c r="J821" s="140">
        <v>0.03</v>
      </c>
      <c r="K821" s="140">
        <f>ROUND(IF(E821="alluminio",(I821)*3%,0)+IF(E821="alluminio smaltato",(I821)*3%,0),4)</f>
        <v>0</v>
      </c>
      <c r="L821" s="143">
        <f>ROUND((J821*C821)+(K821*C821),4)</f>
        <v>0</v>
      </c>
      <c r="M821" s="140"/>
      <c r="N821" s="140">
        <f>ROUND(+I821-H821,4)</f>
        <v>0</v>
      </c>
      <c r="O821" s="143">
        <f>ROUND(+(N821)*C821*50%,4)</f>
        <v>0</v>
      </c>
      <c r="P821" s="147">
        <f>ROUND(O821+L821,4)</f>
        <v>0</v>
      </c>
      <c r="Q821" s="80"/>
      <c r="R821" s="81"/>
      <c r="S821" s="84"/>
    </row>
    <row r="822" spans="1:19" x14ac:dyDescent="0.2">
      <c r="A822" s="47"/>
      <c r="B822" s="36"/>
      <c r="C822" s="138"/>
      <c r="D822" s="140"/>
      <c r="E822" s="48"/>
      <c r="F822" s="140"/>
      <c r="G822" s="140"/>
      <c r="H822" s="140">
        <f>ROUND(+D822+F822,4)</f>
        <v>0</v>
      </c>
      <c r="I822" s="140">
        <v>0</v>
      </c>
      <c r="J822" s="140">
        <v>0.03</v>
      </c>
      <c r="K822" s="140">
        <f>ROUND(IF(E822="alluminio",(I822)*3%,0)+IF(E822="alluminio smaltato",(I822)*3%,0),4)</f>
        <v>0</v>
      </c>
      <c r="L822" s="143">
        <f>ROUND((J822*C822)+(K822*C822),4)</f>
        <v>0</v>
      </c>
      <c r="M822" s="140"/>
      <c r="N822" s="140">
        <f>ROUND(+I822-H822,4)</f>
        <v>0</v>
      </c>
      <c r="O822" s="143">
        <f>ROUND(+(N822)*C822*50%,4)</f>
        <v>0</v>
      </c>
      <c r="P822" s="147">
        <f>ROUND(O822+L822,4)</f>
        <v>0</v>
      </c>
      <c r="Q822" s="80"/>
      <c r="R822" s="81"/>
      <c r="S822" s="84"/>
    </row>
    <row r="823" spans="1:19" x14ac:dyDescent="0.2">
      <c r="A823" s="47"/>
      <c r="B823" s="36"/>
      <c r="C823" s="138"/>
      <c r="D823" s="140"/>
      <c r="E823" s="48"/>
      <c r="F823" s="140"/>
      <c r="G823" s="140"/>
      <c r="H823" s="140">
        <f>ROUND(+D823+F823,4)</f>
        <v>0</v>
      </c>
      <c r="I823" s="140">
        <v>0</v>
      </c>
      <c r="J823" s="140">
        <v>0.03</v>
      </c>
      <c r="K823" s="140">
        <f>ROUND(IF(E823="alluminio",(I823)*3%,0)+IF(E823="alluminio smaltato",(I823)*3%,0),4)</f>
        <v>0</v>
      </c>
      <c r="L823" s="143">
        <f>ROUND((J823*C823)+(K823*C823),4)</f>
        <v>0</v>
      </c>
      <c r="M823" s="140"/>
      <c r="N823" s="140">
        <f>ROUND(+I823-H823,4)</f>
        <v>0</v>
      </c>
      <c r="O823" s="143">
        <f>ROUND(+(N823)*C823*50%,4)</f>
        <v>0</v>
      </c>
      <c r="P823" s="147">
        <f>ROUND(O823+L823,4)</f>
        <v>0</v>
      </c>
      <c r="Q823" s="80"/>
      <c r="R823" s="81"/>
      <c r="S823" s="84"/>
    </row>
    <row r="824" spans="1:19" x14ac:dyDescent="0.2">
      <c r="A824" s="47"/>
      <c r="B824" s="36"/>
      <c r="C824" s="138"/>
      <c r="D824" s="140"/>
      <c r="E824" s="48"/>
      <c r="F824" s="140"/>
      <c r="G824" s="140"/>
      <c r="H824" s="140">
        <f>ROUND(+D824+F824,4)</f>
        <v>0</v>
      </c>
      <c r="I824" s="140">
        <v>0</v>
      </c>
      <c r="J824" s="140">
        <v>0.03</v>
      </c>
      <c r="K824" s="140">
        <f>ROUND(IF(E824="alluminio",(I824)*3%,0)+IF(E824="alluminio smaltato",(I824)*3%,0),4)</f>
        <v>0</v>
      </c>
      <c r="L824" s="143">
        <f>ROUND((J824*C824)+(K824*C824),4)</f>
        <v>0</v>
      </c>
      <c r="M824" s="140"/>
      <c r="N824" s="140">
        <f>ROUND(+I824-H824,4)</f>
        <v>0</v>
      </c>
      <c r="O824" s="143">
        <f>ROUND(+(N824)*C824*50%,4)</f>
        <v>0</v>
      </c>
      <c r="P824" s="147">
        <f>ROUND(O824+L824,4)</f>
        <v>0</v>
      </c>
      <c r="Q824" s="80"/>
      <c r="R824" s="81"/>
      <c r="S824" s="84"/>
    </row>
    <row r="825" spans="1:19" x14ac:dyDescent="0.2">
      <c r="A825" s="47"/>
      <c r="B825" s="36"/>
      <c r="C825" s="138"/>
      <c r="D825" s="140"/>
      <c r="E825" s="48"/>
      <c r="F825" s="140"/>
      <c r="G825" s="140"/>
      <c r="H825" s="140">
        <f>ROUND(+D825+F825,4)</f>
        <v>0</v>
      </c>
      <c r="I825" s="140">
        <v>0</v>
      </c>
      <c r="J825" s="140">
        <v>0.03</v>
      </c>
      <c r="K825" s="140">
        <f>ROUND(IF(E825="alluminio",(I825)*3%,0)+IF(E825="alluminio smaltato",(I825)*3%,0),4)</f>
        <v>0</v>
      </c>
      <c r="L825" s="143">
        <f>ROUND((J825*C825)+(K825*C825),4)</f>
        <v>0</v>
      </c>
      <c r="M825" s="140"/>
      <c r="N825" s="140">
        <f>ROUND(+I825-H825,4)</f>
        <v>0</v>
      </c>
      <c r="O825" s="143">
        <f>ROUND(+(N825)*C825*50%,4)</f>
        <v>0</v>
      </c>
      <c r="P825" s="147">
        <f>ROUND(O825+L825,4)</f>
        <v>0</v>
      </c>
      <c r="Q825" s="80"/>
      <c r="R825" s="81"/>
      <c r="S825" s="84"/>
    </row>
    <row r="826" spans="1:19" x14ac:dyDescent="0.2">
      <c r="A826" s="47"/>
      <c r="B826" s="36"/>
      <c r="C826" s="138"/>
      <c r="D826" s="140"/>
      <c r="E826" s="48"/>
      <c r="F826" s="140"/>
      <c r="G826" s="140"/>
      <c r="H826" s="140">
        <f>ROUND(+D826+F826,4)</f>
        <v>0</v>
      </c>
      <c r="I826" s="140">
        <v>0</v>
      </c>
      <c r="J826" s="140">
        <v>0.03</v>
      </c>
      <c r="K826" s="140">
        <f>ROUND(IF(E826="alluminio",(I826)*3%,0)+IF(E826="alluminio smaltato",(I826)*3%,0),4)</f>
        <v>0</v>
      </c>
      <c r="L826" s="143">
        <f>ROUND((J826*C826)+(K826*C826),4)</f>
        <v>0</v>
      </c>
      <c r="M826" s="140"/>
      <c r="N826" s="140">
        <f>ROUND(+I826-H826,4)</f>
        <v>0</v>
      </c>
      <c r="O826" s="143">
        <f>ROUND(+(N826)*C826*50%,4)</f>
        <v>0</v>
      </c>
      <c r="P826" s="147">
        <f>ROUND(O826+L826,4)</f>
        <v>0</v>
      </c>
      <c r="Q826" s="80"/>
      <c r="R826" s="81"/>
      <c r="S826" s="84"/>
    </row>
    <row r="827" spans="1:19" x14ac:dyDescent="0.2">
      <c r="A827" s="47"/>
      <c r="B827" s="36"/>
      <c r="C827" s="138"/>
      <c r="D827" s="140"/>
      <c r="E827" s="48"/>
      <c r="F827" s="140"/>
      <c r="G827" s="140"/>
      <c r="H827" s="140">
        <f>ROUND(+D827+F827,4)</f>
        <v>0</v>
      </c>
      <c r="I827" s="140">
        <v>0</v>
      </c>
      <c r="J827" s="140">
        <v>0.03</v>
      </c>
      <c r="K827" s="140">
        <f>ROUND(IF(E827="alluminio",(I827)*3%,0)+IF(E827="alluminio smaltato",(I827)*3%,0),4)</f>
        <v>0</v>
      </c>
      <c r="L827" s="143">
        <f>ROUND((J827*C827)+(K827*C827),4)</f>
        <v>0</v>
      </c>
      <c r="M827" s="140"/>
      <c r="N827" s="140">
        <f>ROUND(+I827-H827,4)</f>
        <v>0</v>
      </c>
      <c r="O827" s="143">
        <f>ROUND(+(N827)*C827*50%,4)</f>
        <v>0</v>
      </c>
      <c r="P827" s="147">
        <f>ROUND(O827+L827,4)</f>
        <v>0</v>
      </c>
      <c r="Q827" s="80"/>
      <c r="R827" s="81"/>
      <c r="S827" s="84"/>
    </row>
    <row r="828" spans="1:19" x14ac:dyDescent="0.2">
      <c r="A828" s="47"/>
      <c r="B828" s="36"/>
      <c r="C828" s="138"/>
      <c r="D828" s="140"/>
      <c r="E828" s="48"/>
      <c r="F828" s="140"/>
      <c r="G828" s="140"/>
      <c r="H828" s="140">
        <f>ROUND(+D828+F828,4)</f>
        <v>0</v>
      </c>
      <c r="I828" s="140">
        <v>0</v>
      </c>
      <c r="J828" s="140">
        <v>0.03</v>
      </c>
      <c r="K828" s="140">
        <f>ROUND(IF(E828="alluminio",(I828)*3%,0)+IF(E828="alluminio smaltato",(I828)*3%,0),4)</f>
        <v>0</v>
      </c>
      <c r="L828" s="143">
        <f>ROUND((J828*C828)+(K828*C828),4)</f>
        <v>0</v>
      </c>
      <c r="M828" s="140"/>
      <c r="N828" s="140">
        <f>ROUND(+I828-H828,4)</f>
        <v>0</v>
      </c>
      <c r="O828" s="143">
        <f>ROUND(+(N828)*C828*50%,4)</f>
        <v>0</v>
      </c>
      <c r="P828" s="147">
        <f>ROUND(O828+L828,4)</f>
        <v>0</v>
      </c>
      <c r="Q828" s="80"/>
      <c r="R828" s="81"/>
      <c r="S828" s="84"/>
    </row>
    <row r="829" spans="1:19" x14ac:dyDescent="0.2">
      <c r="A829" s="47"/>
      <c r="B829" s="36"/>
      <c r="C829" s="138"/>
      <c r="D829" s="140"/>
      <c r="E829" s="48"/>
      <c r="F829" s="140"/>
      <c r="G829" s="140"/>
      <c r="H829" s="140">
        <f>ROUND(+D829+F829,4)</f>
        <v>0</v>
      </c>
      <c r="I829" s="140">
        <v>0</v>
      </c>
      <c r="J829" s="140">
        <v>0.03</v>
      </c>
      <c r="K829" s="140">
        <f>ROUND(IF(E829="alluminio",(I829)*3%,0)+IF(E829="alluminio smaltato",(I829)*3%,0),4)</f>
        <v>0</v>
      </c>
      <c r="L829" s="143">
        <f>ROUND((J829*C829)+(K829*C829),4)</f>
        <v>0</v>
      </c>
      <c r="M829" s="140"/>
      <c r="N829" s="140">
        <f>ROUND(+I829-H829,4)</f>
        <v>0</v>
      </c>
      <c r="O829" s="143">
        <f>ROUND(+(N829)*C829*50%,4)</f>
        <v>0</v>
      </c>
      <c r="P829" s="147">
        <f>ROUND(O829+L829,4)</f>
        <v>0</v>
      </c>
      <c r="Q829" s="80"/>
      <c r="R829" s="81"/>
      <c r="S829" s="84"/>
    </row>
    <row r="830" spans="1:19" x14ac:dyDescent="0.2">
      <c r="A830" s="47"/>
      <c r="B830" s="36"/>
      <c r="C830" s="138"/>
      <c r="D830" s="140"/>
      <c r="E830" s="48"/>
      <c r="F830" s="140"/>
      <c r="G830" s="140"/>
      <c r="H830" s="140">
        <f>ROUND(+D830+F830,4)</f>
        <v>0</v>
      </c>
      <c r="I830" s="140">
        <v>0</v>
      </c>
      <c r="J830" s="140">
        <v>0.03</v>
      </c>
      <c r="K830" s="140">
        <f>ROUND(IF(E830="alluminio",(I830)*3%,0)+IF(E830="alluminio smaltato",(I830)*3%,0),4)</f>
        <v>0</v>
      </c>
      <c r="L830" s="143">
        <f>ROUND((J830*C830)+(K830*C830),4)</f>
        <v>0</v>
      </c>
      <c r="M830" s="140"/>
      <c r="N830" s="140">
        <f>ROUND(+I830-H830,4)</f>
        <v>0</v>
      </c>
      <c r="O830" s="143">
        <f>ROUND(+(N830)*C830*50%,4)</f>
        <v>0</v>
      </c>
      <c r="P830" s="147">
        <f>ROUND(O830+L830,4)</f>
        <v>0</v>
      </c>
      <c r="Q830" s="80"/>
      <c r="R830" s="81"/>
      <c r="S830" s="84"/>
    </row>
    <row r="831" spans="1:19" x14ac:dyDescent="0.2">
      <c r="A831" s="47"/>
      <c r="B831" s="36"/>
      <c r="C831" s="138"/>
      <c r="D831" s="140"/>
      <c r="E831" s="48"/>
      <c r="F831" s="140"/>
      <c r="G831" s="140"/>
      <c r="H831" s="140">
        <f>ROUND(+D831+F831,4)</f>
        <v>0</v>
      </c>
      <c r="I831" s="140">
        <v>0</v>
      </c>
      <c r="J831" s="140">
        <v>0.03</v>
      </c>
      <c r="K831" s="140">
        <f>ROUND(IF(E831="alluminio",(I831)*3%,0)+IF(E831="alluminio smaltato",(I831)*3%,0),4)</f>
        <v>0</v>
      </c>
      <c r="L831" s="143">
        <f>ROUND((J831*C831)+(K831*C831),4)</f>
        <v>0</v>
      </c>
      <c r="M831" s="140"/>
      <c r="N831" s="140">
        <f>ROUND(+I831-H831,4)</f>
        <v>0</v>
      </c>
      <c r="O831" s="143">
        <f>ROUND(+(N831)*C831*50%,4)</f>
        <v>0</v>
      </c>
      <c r="P831" s="147">
        <f>ROUND(O831+L831,4)</f>
        <v>0</v>
      </c>
      <c r="Q831" s="80"/>
      <c r="R831" s="81"/>
      <c r="S831" s="84"/>
    </row>
    <row r="832" spans="1:19" x14ac:dyDescent="0.2">
      <c r="A832" s="47"/>
      <c r="B832" s="36"/>
      <c r="C832" s="138"/>
      <c r="D832" s="140"/>
      <c r="E832" s="48"/>
      <c r="F832" s="140"/>
      <c r="G832" s="140"/>
      <c r="H832" s="140">
        <f>ROUND(+D832+F832,4)</f>
        <v>0</v>
      </c>
      <c r="I832" s="140">
        <v>0</v>
      </c>
      <c r="J832" s="140">
        <v>0.03</v>
      </c>
      <c r="K832" s="140">
        <f>ROUND(IF(E832="alluminio",(I832)*3%,0)+IF(E832="alluminio smaltato",(I832)*3%,0),4)</f>
        <v>0</v>
      </c>
      <c r="L832" s="143">
        <f>ROUND((J832*C832)+(K832*C832),4)</f>
        <v>0</v>
      </c>
      <c r="M832" s="140"/>
      <c r="N832" s="140">
        <f>ROUND(+I832-H832,4)</f>
        <v>0</v>
      </c>
      <c r="O832" s="143">
        <f>ROUND(+(N832)*C832*50%,4)</f>
        <v>0</v>
      </c>
      <c r="P832" s="147">
        <f>ROUND(O832+L832,4)</f>
        <v>0</v>
      </c>
      <c r="Q832" s="80"/>
      <c r="R832" s="81"/>
      <c r="S832" s="84"/>
    </row>
    <row r="833" spans="1:19" x14ac:dyDescent="0.2">
      <c r="A833" s="47"/>
      <c r="B833" s="36"/>
      <c r="C833" s="138"/>
      <c r="D833" s="140"/>
      <c r="E833" s="48"/>
      <c r="F833" s="140"/>
      <c r="G833" s="140"/>
      <c r="H833" s="140">
        <f>ROUND(+D833+F833,4)</f>
        <v>0</v>
      </c>
      <c r="I833" s="140">
        <v>0</v>
      </c>
      <c r="J833" s="140">
        <v>0.03</v>
      </c>
      <c r="K833" s="140">
        <f>ROUND(IF(E833="alluminio",(I833)*3%,0)+IF(E833="alluminio smaltato",(I833)*3%,0),4)</f>
        <v>0</v>
      </c>
      <c r="L833" s="143">
        <f>ROUND((J833*C833)+(K833*C833),4)</f>
        <v>0</v>
      </c>
      <c r="M833" s="140"/>
      <c r="N833" s="140">
        <f>ROUND(+I833-H833,4)</f>
        <v>0</v>
      </c>
      <c r="O833" s="143">
        <f>ROUND(+(N833)*C833*50%,4)</f>
        <v>0</v>
      </c>
      <c r="P833" s="147">
        <f>ROUND(O833+L833,4)</f>
        <v>0</v>
      </c>
      <c r="Q833" s="80"/>
      <c r="R833" s="81"/>
      <c r="S833" s="84"/>
    </row>
    <row r="834" spans="1:19" x14ac:dyDescent="0.2">
      <c r="A834" s="47"/>
      <c r="B834" s="36"/>
      <c r="C834" s="138"/>
      <c r="D834" s="140"/>
      <c r="E834" s="48"/>
      <c r="F834" s="140"/>
      <c r="G834" s="140"/>
      <c r="H834" s="140">
        <f>ROUND(+D834+F834,4)</f>
        <v>0</v>
      </c>
      <c r="I834" s="140">
        <v>0</v>
      </c>
      <c r="J834" s="140">
        <v>0.03</v>
      </c>
      <c r="K834" s="140">
        <f>ROUND(IF(E834="alluminio",(I834)*3%,0)+IF(E834="alluminio smaltato",(I834)*3%,0),4)</f>
        <v>0</v>
      </c>
      <c r="L834" s="143">
        <f>ROUND((J834*C834)+(K834*C834),4)</f>
        <v>0</v>
      </c>
      <c r="M834" s="140"/>
      <c r="N834" s="140">
        <f>ROUND(+I834-H834,4)</f>
        <v>0</v>
      </c>
      <c r="O834" s="143">
        <f>ROUND(+(N834)*C834*50%,4)</f>
        <v>0</v>
      </c>
      <c r="P834" s="147">
        <f>ROUND(O834+L834,4)</f>
        <v>0</v>
      </c>
      <c r="Q834" s="80"/>
      <c r="R834" s="81"/>
      <c r="S834" s="84"/>
    </row>
    <row r="835" spans="1:19" x14ac:dyDescent="0.2">
      <c r="A835" s="47"/>
      <c r="B835" s="36"/>
      <c r="C835" s="138"/>
      <c r="D835" s="140"/>
      <c r="E835" s="48"/>
      <c r="F835" s="140"/>
      <c r="G835" s="140"/>
      <c r="H835" s="140">
        <f>ROUND(+D835+F835,4)</f>
        <v>0</v>
      </c>
      <c r="I835" s="140">
        <v>0</v>
      </c>
      <c r="J835" s="140">
        <v>0.03</v>
      </c>
      <c r="K835" s="140">
        <f>ROUND(IF(E835="alluminio",(I835)*3%,0)+IF(E835="alluminio smaltato",(I835)*3%,0),4)</f>
        <v>0</v>
      </c>
      <c r="L835" s="143">
        <f>ROUND((J835*C835)+(K835*C835),4)</f>
        <v>0</v>
      </c>
      <c r="M835" s="140"/>
      <c r="N835" s="140">
        <f>ROUND(+I835-H835,4)</f>
        <v>0</v>
      </c>
      <c r="O835" s="143">
        <f>ROUND(+(N835)*C835*50%,4)</f>
        <v>0</v>
      </c>
      <c r="P835" s="147">
        <f>ROUND(O835+L835,4)</f>
        <v>0</v>
      </c>
      <c r="Q835" s="80"/>
      <c r="R835" s="81"/>
      <c r="S835" s="84"/>
    </row>
    <row r="836" spans="1:19" x14ac:dyDescent="0.2">
      <c r="A836" s="47"/>
      <c r="B836" s="36"/>
      <c r="C836" s="138"/>
      <c r="D836" s="140"/>
      <c r="E836" s="48"/>
      <c r="F836" s="140"/>
      <c r="G836" s="140"/>
      <c r="H836" s="140">
        <f>ROUND(+D836+F836,4)</f>
        <v>0</v>
      </c>
      <c r="I836" s="140">
        <v>0</v>
      </c>
      <c r="J836" s="140">
        <v>0.03</v>
      </c>
      <c r="K836" s="140">
        <f>ROUND(IF(E836="alluminio",(I836)*3%,0)+IF(E836="alluminio smaltato",(I836)*3%,0),4)</f>
        <v>0</v>
      </c>
      <c r="L836" s="143">
        <f>ROUND((J836*C836)+(K836*C836),4)</f>
        <v>0</v>
      </c>
      <c r="M836" s="140"/>
      <c r="N836" s="140">
        <f>ROUND(+I836-H836,4)</f>
        <v>0</v>
      </c>
      <c r="O836" s="143">
        <f>ROUND(+(N836)*C836*50%,4)</f>
        <v>0</v>
      </c>
      <c r="P836" s="147">
        <f>ROUND(O836+L836,4)</f>
        <v>0</v>
      </c>
      <c r="Q836" s="80"/>
      <c r="R836" s="81"/>
      <c r="S836" s="84"/>
    </row>
    <row r="837" spans="1:19" x14ac:dyDescent="0.2">
      <c r="A837" s="47"/>
      <c r="B837" s="36"/>
      <c r="C837" s="138"/>
      <c r="D837" s="140"/>
      <c r="E837" s="48"/>
      <c r="F837" s="140"/>
      <c r="G837" s="140"/>
      <c r="H837" s="140">
        <f>ROUND(+D837+F837,4)</f>
        <v>0</v>
      </c>
      <c r="I837" s="140">
        <v>0</v>
      </c>
      <c r="J837" s="140">
        <v>0.03</v>
      </c>
      <c r="K837" s="140">
        <f>ROUND(IF(E837="alluminio",(I837)*3%,0)+IF(E837="alluminio smaltato",(I837)*3%,0),4)</f>
        <v>0</v>
      </c>
      <c r="L837" s="143">
        <f>ROUND((J837*C837)+(K837*C837),4)</f>
        <v>0</v>
      </c>
      <c r="M837" s="140"/>
      <c r="N837" s="140">
        <f>ROUND(+I837-H837,4)</f>
        <v>0</v>
      </c>
      <c r="O837" s="143">
        <f>ROUND(+(N837)*C837*50%,4)</f>
        <v>0</v>
      </c>
      <c r="P837" s="147">
        <f>ROUND(O837+L837,4)</f>
        <v>0</v>
      </c>
      <c r="Q837" s="80"/>
      <c r="R837" s="81"/>
      <c r="S837" s="84"/>
    </row>
    <row r="838" spans="1:19" x14ac:dyDescent="0.2">
      <c r="A838" s="47"/>
      <c r="B838" s="36"/>
      <c r="C838" s="138"/>
      <c r="D838" s="140"/>
      <c r="E838" s="48"/>
      <c r="F838" s="140"/>
      <c r="G838" s="140"/>
      <c r="H838" s="140">
        <f>ROUND(+D838+F838,4)</f>
        <v>0</v>
      </c>
      <c r="I838" s="140">
        <v>0</v>
      </c>
      <c r="J838" s="140">
        <v>0.03</v>
      </c>
      <c r="K838" s="140">
        <f>ROUND(IF(E838="alluminio",(I838)*3%,0)+IF(E838="alluminio smaltato",(I838)*3%,0),4)</f>
        <v>0</v>
      </c>
      <c r="L838" s="143">
        <f>ROUND((J838*C838)+(K838*C838),4)</f>
        <v>0</v>
      </c>
      <c r="M838" s="140"/>
      <c r="N838" s="140">
        <f>ROUND(+I838-H838,4)</f>
        <v>0</v>
      </c>
      <c r="O838" s="143">
        <f>ROUND(+(N838)*C838*50%,4)</f>
        <v>0</v>
      </c>
      <c r="P838" s="147">
        <f>ROUND(O838+L838,4)</f>
        <v>0</v>
      </c>
      <c r="Q838" s="80"/>
      <c r="R838" s="81"/>
      <c r="S838" s="84"/>
    </row>
    <row r="839" spans="1:19" x14ac:dyDescent="0.2">
      <c r="A839" s="47"/>
      <c r="B839" s="36"/>
      <c r="C839" s="138"/>
      <c r="D839" s="140"/>
      <c r="E839" s="48"/>
      <c r="F839" s="140"/>
      <c r="G839" s="140"/>
      <c r="H839" s="140">
        <f>ROUND(+D839+F839,4)</f>
        <v>0</v>
      </c>
      <c r="I839" s="140">
        <v>0</v>
      </c>
      <c r="J839" s="140">
        <v>0.03</v>
      </c>
      <c r="K839" s="140">
        <f>ROUND(IF(E839="alluminio",(I839)*3%,0)+IF(E839="alluminio smaltato",(I839)*3%,0),4)</f>
        <v>0</v>
      </c>
      <c r="L839" s="143">
        <f>ROUND((J839*C839)+(K839*C839),4)</f>
        <v>0</v>
      </c>
      <c r="M839" s="140"/>
      <c r="N839" s="140">
        <f>ROUND(+I839-H839,4)</f>
        <v>0</v>
      </c>
      <c r="O839" s="143">
        <f>ROUND(+(N839)*C839*50%,4)</f>
        <v>0</v>
      </c>
      <c r="P839" s="147">
        <f>ROUND(O839+L839,4)</f>
        <v>0</v>
      </c>
      <c r="Q839" s="80"/>
      <c r="R839" s="81"/>
      <c r="S839" s="84"/>
    </row>
    <row r="840" spans="1:19" x14ac:dyDescent="0.2">
      <c r="A840" s="47"/>
      <c r="B840" s="36"/>
      <c r="C840" s="138"/>
      <c r="D840" s="140"/>
      <c r="E840" s="48"/>
      <c r="F840" s="140"/>
      <c r="G840" s="140"/>
      <c r="H840" s="140">
        <f>ROUND(+D840+F840,4)</f>
        <v>0</v>
      </c>
      <c r="I840" s="140">
        <v>0</v>
      </c>
      <c r="J840" s="140">
        <v>0.03</v>
      </c>
      <c r="K840" s="140">
        <f>ROUND(IF(E840="alluminio",(I840)*3%,0)+IF(E840="alluminio smaltato",(I840)*3%,0),4)</f>
        <v>0</v>
      </c>
      <c r="L840" s="143">
        <f>ROUND((J840*C840)+(K840*C840),4)</f>
        <v>0</v>
      </c>
      <c r="M840" s="140"/>
      <c r="N840" s="140">
        <f>ROUND(+I840-H840,4)</f>
        <v>0</v>
      </c>
      <c r="O840" s="143">
        <f>ROUND(+(N840)*C840*50%,4)</f>
        <v>0</v>
      </c>
      <c r="P840" s="147">
        <f>ROUND(O840+L840,4)</f>
        <v>0</v>
      </c>
      <c r="Q840" s="80"/>
      <c r="R840" s="81"/>
      <c r="S840" s="84"/>
    </row>
    <row r="841" spans="1:19" x14ac:dyDescent="0.2">
      <c r="A841" s="47"/>
      <c r="B841" s="36"/>
      <c r="C841" s="138"/>
      <c r="D841" s="140"/>
      <c r="E841" s="48"/>
      <c r="F841" s="140"/>
      <c r="G841" s="140"/>
      <c r="H841" s="140">
        <f>ROUND(+D841+F841,4)</f>
        <v>0</v>
      </c>
      <c r="I841" s="140">
        <v>0</v>
      </c>
      <c r="J841" s="140">
        <v>0.03</v>
      </c>
      <c r="K841" s="140">
        <f>ROUND(IF(E841="alluminio",(I841)*3%,0)+IF(E841="alluminio smaltato",(I841)*3%,0),4)</f>
        <v>0</v>
      </c>
      <c r="L841" s="143">
        <f>ROUND((J841*C841)+(K841*C841),4)</f>
        <v>0</v>
      </c>
      <c r="M841" s="140"/>
      <c r="N841" s="140">
        <f>ROUND(+I841-H841,4)</f>
        <v>0</v>
      </c>
      <c r="O841" s="143">
        <f>ROUND(+(N841)*C841*50%,4)</f>
        <v>0</v>
      </c>
      <c r="P841" s="147">
        <f>ROUND(O841+L841,4)</f>
        <v>0</v>
      </c>
      <c r="Q841" s="80"/>
      <c r="R841" s="81"/>
      <c r="S841" s="84"/>
    </row>
    <row r="842" spans="1:19" x14ac:dyDescent="0.2">
      <c r="A842" s="47"/>
      <c r="B842" s="36"/>
      <c r="C842" s="138"/>
      <c r="D842" s="140"/>
      <c r="E842" s="48"/>
      <c r="F842" s="140"/>
      <c r="G842" s="140"/>
      <c r="H842" s="140">
        <f>ROUND(+D842+F842,4)</f>
        <v>0</v>
      </c>
      <c r="I842" s="140">
        <v>0</v>
      </c>
      <c r="J842" s="140">
        <v>0.03</v>
      </c>
      <c r="K842" s="140">
        <f>ROUND(IF(E842="alluminio",(I842)*3%,0)+IF(E842="alluminio smaltato",(I842)*3%,0),4)</f>
        <v>0</v>
      </c>
      <c r="L842" s="143">
        <f>ROUND((J842*C842)+(K842*C842),4)</f>
        <v>0</v>
      </c>
      <c r="M842" s="140"/>
      <c r="N842" s="140">
        <f>ROUND(+I842-H842,4)</f>
        <v>0</v>
      </c>
      <c r="O842" s="143">
        <f>ROUND(+(N842)*C842*50%,4)</f>
        <v>0</v>
      </c>
      <c r="P842" s="147">
        <f>ROUND(O842+L842,4)</f>
        <v>0</v>
      </c>
      <c r="Q842" s="80"/>
      <c r="R842" s="81"/>
      <c r="S842" s="84"/>
    </row>
    <row r="843" spans="1:19" x14ac:dyDescent="0.2">
      <c r="A843" s="47"/>
      <c r="B843" s="36"/>
      <c r="C843" s="138"/>
      <c r="D843" s="140"/>
      <c r="E843" s="48"/>
      <c r="F843" s="140"/>
      <c r="G843" s="140"/>
      <c r="H843" s="140">
        <f>ROUND(+D843+F843,4)</f>
        <v>0</v>
      </c>
      <c r="I843" s="140">
        <v>0</v>
      </c>
      <c r="J843" s="140">
        <v>0.03</v>
      </c>
      <c r="K843" s="140">
        <f>ROUND(IF(E843="alluminio",(I843)*3%,0)+IF(E843="alluminio smaltato",(I843)*3%,0),4)</f>
        <v>0</v>
      </c>
      <c r="L843" s="143">
        <f>ROUND((J843*C843)+(K843*C843),4)</f>
        <v>0</v>
      </c>
      <c r="M843" s="140"/>
      <c r="N843" s="140">
        <f>ROUND(+I843-H843,4)</f>
        <v>0</v>
      </c>
      <c r="O843" s="143">
        <f>ROUND(+(N843)*C843*50%,4)</f>
        <v>0</v>
      </c>
      <c r="P843" s="147">
        <f>ROUND(O843+L843,4)</f>
        <v>0</v>
      </c>
      <c r="Q843" s="80"/>
      <c r="R843" s="81"/>
      <c r="S843" s="84"/>
    </row>
    <row r="844" spans="1:19" ht="13.5" thickBot="1" x14ac:dyDescent="0.25">
      <c r="A844" s="34"/>
      <c r="B844" s="36"/>
      <c r="C844" s="138"/>
      <c r="D844" s="141"/>
      <c r="E844" s="35"/>
      <c r="F844" s="141"/>
      <c r="G844" s="141"/>
      <c r="H844" s="141">
        <f>ROUND(+D844+F844,4)</f>
        <v>0</v>
      </c>
      <c r="I844" s="141">
        <v>0</v>
      </c>
      <c r="J844" s="141">
        <v>0.03</v>
      </c>
      <c r="K844" s="141">
        <f>ROUND(IF(E844="alluminio",(I844)*3%,0)+IF(E844="alluminio smaltato",(I844)*3%,0),4)</f>
        <v>0</v>
      </c>
      <c r="L844" s="144">
        <f>ROUND((J844*C844)+(K844*C844),4)</f>
        <v>0</v>
      </c>
      <c r="M844" s="141"/>
      <c r="N844" s="141">
        <f>ROUND(+I844-H844,4)</f>
        <v>0</v>
      </c>
      <c r="O844" s="144">
        <f>ROUND(+(N844)*C844*50%,4)</f>
        <v>0</v>
      </c>
      <c r="P844" s="148">
        <f>ROUND(O844+L844,4)</f>
        <v>0</v>
      </c>
      <c r="Q844" s="85"/>
      <c r="R844" s="86"/>
      <c r="S844" s="84"/>
    </row>
    <row r="845" spans="1:19" ht="13.5" thickBot="1" x14ac:dyDescent="0.25">
      <c r="B845" s="132" t="s">
        <v>119</v>
      </c>
      <c r="C845" s="87">
        <f>SUM(C7:C844)</f>
        <v>6686.4</v>
      </c>
      <c r="L845" s="88">
        <f>SUM(L7:L844)</f>
        <v>200.59199999999998</v>
      </c>
      <c r="O845" s="89">
        <f>SUM(O7:O844)</f>
        <v>2701.7505000000001</v>
      </c>
      <c r="P845" s="90">
        <f>SUM(P7:P844)</f>
        <v>2902.3424999999997</v>
      </c>
      <c r="Q845" s="91"/>
    </row>
    <row r="846" spans="1:19" x14ac:dyDescent="0.2">
      <c r="B846" s="92"/>
      <c r="C846" s="93"/>
      <c r="L846" s="88"/>
      <c r="O846" s="94"/>
      <c r="P846" s="91"/>
      <c r="Q846" s="91"/>
    </row>
    <row r="849" spans="2:8" ht="13.5" thickBot="1" x14ac:dyDescent="0.25"/>
    <row r="850" spans="2:8" ht="13.5" thickBot="1" x14ac:dyDescent="0.25">
      <c r="B850" s="95" t="s">
        <v>8</v>
      </c>
      <c r="C850" s="96" t="s">
        <v>9</v>
      </c>
      <c r="D850" s="97" t="s">
        <v>10</v>
      </c>
      <c r="E850" s="98" t="s">
        <v>70</v>
      </c>
      <c r="F850" s="98"/>
      <c r="G850" s="99"/>
    </row>
    <row r="851" spans="2:8" x14ac:dyDescent="0.2">
      <c r="B851" s="100"/>
      <c r="C851" s="101"/>
      <c r="D851" s="102"/>
      <c r="E851" s="103"/>
      <c r="F851" s="104"/>
      <c r="G851" s="99"/>
    </row>
    <row r="852" spans="2:8" x14ac:dyDescent="0.2">
      <c r="B852" s="105" t="s">
        <v>68</v>
      </c>
      <c r="C852" s="106">
        <f>SUMIF(B$7:B$844,B852,C$7:C$844)</f>
        <v>0</v>
      </c>
      <c r="D852" s="107">
        <f>SUMIF(B$7:B$844,B852,P$7:P$844)</f>
        <v>0</v>
      </c>
      <c r="E852" s="108">
        <f>SUMIFS(P$7:P$844,B$7:B$844,B852,S$7:S$844,"OK")</f>
        <v>0</v>
      </c>
      <c r="F852" s="109"/>
      <c r="G852" s="99"/>
    </row>
    <row r="853" spans="2:8" x14ac:dyDescent="0.2">
      <c r="B853" s="105" t="s">
        <v>74</v>
      </c>
      <c r="C853" s="106">
        <f t="shared" ref="C853:C964" si="4">SUMIF(B$7:B$844,B853,C$7:C$844)</f>
        <v>0</v>
      </c>
      <c r="D853" s="107">
        <f t="shared" ref="D853:D964" si="5">SUMIF(B$7:B$844,B853,P$7:P$844)</f>
        <v>0</v>
      </c>
      <c r="E853" s="108">
        <f t="shared" ref="E853:E964" si="6">SUMIFS(P$7:P$844,B$7:B$844,B853,S$7:S$844,"OK")</f>
        <v>0</v>
      </c>
      <c r="F853" s="109"/>
      <c r="G853" s="99"/>
    </row>
    <row r="854" spans="2:8" x14ac:dyDescent="0.2">
      <c r="B854" s="105" t="s">
        <v>96</v>
      </c>
      <c r="C854" s="106">
        <f t="shared" si="4"/>
        <v>0</v>
      </c>
      <c r="D854" s="107">
        <f t="shared" si="5"/>
        <v>0</v>
      </c>
      <c r="E854" s="108">
        <f t="shared" si="6"/>
        <v>0</v>
      </c>
      <c r="F854" s="109"/>
      <c r="G854" s="99"/>
    </row>
    <row r="855" spans="2:8" x14ac:dyDescent="0.2">
      <c r="B855" s="105" t="s">
        <v>58</v>
      </c>
      <c r="C855" s="106">
        <f t="shared" si="4"/>
        <v>0</v>
      </c>
      <c r="D855" s="107">
        <f t="shared" si="5"/>
        <v>0</v>
      </c>
      <c r="E855" s="108">
        <f t="shared" si="6"/>
        <v>0</v>
      </c>
      <c r="F855" s="109"/>
      <c r="G855" s="99"/>
    </row>
    <row r="856" spans="2:8" x14ac:dyDescent="0.2">
      <c r="B856" s="110" t="s">
        <v>41</v>
      </c>
      <c r="C856" s="106">
        <f t="shared" si="4"/>
        <v>0</v>
      </c>
      <c r="D856" s="107">
        <f t="shared" si="5"/>
        <v>0</v>
      </c>
      <c r="E856" s="108">
        <f t="shared" si="6"/>
        <v>0</v>
      </c>
      <c r="F856" s="111"/>
      <c r="G856" s="112"/>
      <c r="H856" s="113"/>
    </row>
    <row r="857" spans="2:8" x14ac:dyDescent="0.2">
      <c r="B857" s="110" t="s">
        <v>47</v>
      </c>
      <c r="C857" s="106">
        <f t="shared" si="4"/>
        <v>0</v>
      </c>
      <c r="D857" s="107">
        <f t="shared" si="5"/>
        <v>0</v>
      </c>
      <c r="E857" s="108">
        <f t="shared" si="6"/>
        <v>0</v>
      </c>
      <c r="F857" s="111"/>
      <c r="G857" s="112"/>
      <c r="H857" s="113"/>
    </row>
    <row r="858" spans="2:8" x14ac:dyDescent="0.2">
      <c r="B858" s="110" t="s">
        <v>69</v>
      </c>
      <c r="C858" s="106">
        <f t="shared" si="4"/>
        <v>0</v>
      </c>
      <c r="D858" s="107">
        <f t="shared" si="5"/>
        <v>0</v>
      </c>
      <c r="E858" s="108">
        <f t="shared" si="6"/>
        <v>0</v>
      </c>
      <c r="F858" s="111"/>
      <c r="G858" s="112"/>
      <c r="H858" s="113"/>
    </row>
    <row r="859" spans="2:8" x14ac:dyDescent="0.2">
      <c r="B859" s="110" t="s">
        <v>40</v>
      </c>
      <c r="C859" s="106">
        <f t="shared" si="4"/>
        <v>0</v>
      </c>
      <c r="D859" s="107">
        <f t="shared" si="5"/>
        <v>0</v>
      </c>
      <c r="E859" s="108">
        <f t="shared" si="6"/>
        <v>0</v>
      </c>
      <c r="F859" s="111"/>
      <c r="G859" s="112"/>
    </row>
    <row r="860" spans="2:8" x14ac:dyDescent="0.2">
      <c r="B860" s="110" t="s">
        <v>72</v>
      </c>
      <c r="C860" s="106">
        <f t="shared" si="4"/>
        <v>0</v>
      </c>
      <c r="D860" s="107">
        <f t="shared" si="5"/>
        <v>0</v>
      </c>
      <c r="E860" s="108">
        <f t="shared" si="6"/>
        <v>0</v>
      </c>
      <c r="F860" s="111"/>
      <c r="G860" s="112"/>
    </row>
    <row r="861" spans="2:8" x14ac:dyDescent="0.2">
      <c r="B861" s="110" t="s">
        <v>75</v>
      </c>
      <c r="C861" s="106">
        <f t="shared" si="4"/>
        <v>0</v>
      </c>
      <c r="D861" s="107">
        <f t="shared" si="5"/>
        <v>0</v>
      </c>
      <c r="E861" s="108">
        <f t="shared" si="6"/>
        <v>0</v>
      </c>
      <c r="F861" s="111"/>
      <c r="G861" s="112"/>
    </row>
    <row r="862" spans="2:8" x14ac:dyDescent="0.2">
      <c r="B862" s="114" t="s">
        <v>35</v>
      </c>
      <c r="C862" s="106">
        <f t="shared" si="4"/>
        <v>0</v>
      </c>
      <c r="D862" s="107">
        <f t="shared" si="5"/>
        <v>0</v>
      </c>
      <c r="E862" s="108">
        <f t="shared" si="6"/>
        <v>0</v>
      </c>
      <c r="F862" s="115"/>
      <c r="G862" s="116"/>
    </row>
    <row r="863" spans="2:8" x14ac:dyDescent="0.2">
      <c r="B863" s="114" t="s">
        <v>38</v>
      </c>
      <c r="C863" s="106">
        <f t="shared" si="4"/>
        <v>0</v>
      </c>
      <c r="D863" s="107">
        <f t="shared" si="5"/>
        <v>0</v>
      </c>
      <c r="E863" s="108">
        <f t="shared" si="6"/>
        <v>0</v>
      </c>
      <c r="F863" s="115"/>
      <c r="G863" s="116"/>
    </row>
    <row r="864" spans="2:8" x14ac:dyDescent="0.2">
      <c r="B864" s="114" t="s">
        <v>49</v>
      </c>
      <c r="C864" s="106">
        <f t="shared" si="4"/>
        <v>1448.9</v>
      </c>
      <c r="D864" s="107">
        <f t="shared" si="5"/>
        <v>211.304</v>
      </c>
      <c r="E864" s="108">
        <f t="shared" si="6"/>
        <v>102.63500000000001</v>
      </c>
      <c r="F864" s="115"/>
      <c r="G864" s="116"/>
    </row>
    <row r="865" spans="2:7" x14ac:dyDescent="0.2">
      <c r="B865" s="114" t="s">
        <v>67</v>
      </c>
      <c r="C865" s="106">
        <f t="shared" si="4"/>
        <v>0</v>
      </c>
      <c r="D865" s="107">
        <f t="shared" si="5"/>
        <v>0</v>
      </c>
      <c r="E865" s="108">
        <f t="shared" si="6"/>
        <v>0</v>
      </c>
      <c r="F865" s="115"/>
      <c r="G865" s="116"/>
    </row>
    <row r="866" spans="2:7" x14ac:dyDescent="0.2">
      <c r="B866" s="114" t="s">
        <v>36</v>
      </c>
      <c r="C866" s="106">
        <f t="shared" si="4"/>
        <v>0</v>
      </c>
      <c r="D866" s="107">
        <f t="shared" si="5"/>
        <v>0</v>
      </c>
      <c r="E866" s="108">
        <f t="shared" si="6"/>
        <v>0</v>
      </c>
      <c r="F866" s="117"/>
      <c r="G866" s="116"/>
    </row>
    <row r="867" spans="2:7" x14ac:dyDescent="0.2">
      <c r="B867" s="114" t="s">
        <v>59</v>
      </c>
      <c r="C867" s="106">
        <f t="shared" si="4"/>
        <v>0</v>
      </c>
      <c r="D867" s="107">
        <f t="shared" si="5"/>
        <v>0</v>
      </c>
      <c r="E867" s="108">
        <f t="shared" si="6"/>
        <v>0</v>
      </c>
      <c r="F867" s="117"/>
      <c r="G867" s="116"/>
    </row>
    <row r="868" spans="2:7" x14ac:dyDescent="0.2">
      <c r="B868" s="114" t="s">
        <v>57</v>
      </c>
      <c r="C868" s="106">
        <f t="shared" si="4"/>
        <v>0</v>
      </c>
      <c r="D868" s="107">
        <f t="shared" si="5"/>
        <v>0</v>
      </c>
      <c r="E868" s="108">
        <f t="shared" si="6"/>
        <v>0</v>
      </c>
      <c r="F868" s="117"/>
      <c r="G868" s="116"/>
    </row>
    <row r="869" spans="2:7" x14ac:dyDescent="0.2">
      <c r="B869" s="114" t="s">
        <v>61</v>
      </c>
      <c r="C869" s="106">
        <f t="shared" si="4"/>
        <v>0</v>
      </c>
      <c r="D869" s="107">
        <f t="shared" si="5"/>
        <v>0</v>
      </c>
      <c r="E869" s="108">
        <f t="shared" si="6"/>
        <v>0</v>
      </c>
      <c r="F869" s="117"/>
      <c r="G869" s="116"/>
    </row>
    <row r="870" spans="2:7" x14ac:dyDescent="0.2">
      <c r="B870" s="114" t="s">
        <v>64</v>
      </c>
      <c r="C870" s="106">
        <f t="shared" si="4"/>
        <v>0</v>
      </c>
      <c r="D870" s="107">
        <f t="shared" si="5"/>
        <v>0</v>
      </c>
      <c r="E870" s="108">
        <f t="shared" si="6"/>
        <v>0</v>
      </c>
      <c r="F870" s="117"/>
      <c r="G870" s="116"/>
    </row>
    <row r="871" spans="2:7" x14ac:dyDescent="0.2">
      <c r="B871" s="114" t="s">
        <v>50</v>
      </c>
      <c r="C871" s="106">
        <f t="shared" si="4"/>
        <v>2553.5</v>
      </c>
      <c r="D871" s="107">
        <f t="shared" si="5"/>
        <v>1583.9684999999999</v>
      </c>
      <c r="E871" s="108">
        <f t="shared" si="6"/>
        <v>1406.3685</v>
      </c>
      <c r="F871" s="117"/>
      <c r="G871" s="116"/>
    </row>
    <row r="872" spans="2:7" x14ac:dyDescent="0.2">
      <c r="B872" s="114" t="s">
        <v>46</v>
      </c>
      <c r="C872" s="106">
        <f t="shared" si="4"/>
        <v>0</v>
      </c>
      <c r="D872" s="107">
        <f t="shared" si="5"/>
        <v>0</v>
      </c>
      <c r="E872" s="108">
        <f t="shared" si="6"/>
        <v>0</v>
      </c>
      <c r="F872" s="117"/>
      <c r="G872" s="116"/>
    </row>
    <row r="873" spans="2:7" x14ac:dyDescent="0.2">
      <c r="B873" s="114" t="s">
        <v>54</v>
      </c>
      <c r="C873" s="106">
        <f t="shared" si="4"/>
        <v>0</v>
      </c>
      <c r="D873" s="107">
        <f t="shared" si="5"/>
        <v>0</v>
      </c>
      <c r="E873" s="108">
        <f t="shared" si="6"/>
        <v>0</v>
      </c>
      <c r="F873" s="117"/>
      <c r="G873" s="116"/>
    </row>
    <row r="874" spans="2:7" x14ac:dyDescent="0.2">
      <c r="B874" s="118" t="s">
        <v>37</v>
      </c>
      <c r="C874" s="106">
        <f t="shared" si="4"/>
        <v>0</v>
      </c>
      <c r="D874" s="107">
        <f t="shared" si="5"/>
        <v>0</v>
      </c>
      <c r="E874" s="108">
        <f t="shared" si="6"/>
        <v>0</v>
      </c>
      <c r="F874" s="117"/>
      <c r="G874" s="116"/>
    </row>
    <row r="875" spans="2:7" x14ac:dyDescent="0.2">
      <c r="B875" s="118" t="s">
        <v>112</v>
      </c>
      <c r="C875" s="106">
        <f t="shared" si="4"/>
        <v>234</v>
      </c>
      <c r="D875" s="107">
        <f t="shared" si="5"/>
        <v>170.82</v>
      </c>
      <c r="E875" s="108">
        <f t="shared" si="6"/>
        <v>170.82</v>
      </c>
      <c r="F875" s="117"/>
      <c r="G875" s="116"/>
    </row>
    <row r="876" spans="2:7" x14ac:dyDescent="0.2">
      <c r="B876" s="118" t="s">
        <v>94</v>
      </c>
      <c r="C876" s="106">
        <f t="shared" si="4"/>
        <v>0</v>
      </c>
      <c r="D876" s="107">
        <f t="shared" si="5"/>
        <v>0</v>
      </c>
      <c r="E876" s="108">
        <f t="shared" si="6"/>
        <v>0</v>
      </c>
      <c r="F876" s="117"/>
      <c r="G876" s="116"/>
    </row>
    <row r="877" spans="2:7" x14ac:dyDescent="0.2">
      <c r="B877" s="118" t="s">
        <v>73</v>
      </c>
      <c r="C877" s="106">
        <f t="shared" si="4"/>
        <v>0</v>
      </c>
      <c r="D877" s="107">
        <f t="shared" si="5"/>
        <v>0</v>
      </c>
      <c r="E877" s="108">
        <f t="shared" si="6"/>
        <v>0</v>
      </c>
      <c r="F877" s="117"/>
      <c r="G877" s="116"/>
    </row>
    <row r="878" spans="2:7" x14ac:dyDescent="0.2">
      <c r="B878" s="118" t="s">
        <v>93</v>
      </c>
      <c r="C878" s="106">
        <f t="shared" si="4"/>
        <v>0</v>
      </c>
      <c r="D878" s="107">
        <f t="shared" si="5"/>
        <v>0</v>
      </c>
      <c r="E878" s="108">
        <f t="shared" si="6"/>
        <v>0</v>
      </c>
      <c r="F878" s="117"/>
      <c r="G878" s="116"/>
    </row>
    <row r="879" spans="2:7" x14ac:dyDescent="0.2">
      <c r="B879" s="118" t="s">
        <v>66</v>
      </c>
      <c r="C879" s="106">
        <f t="shared" si="4"/>
        <v>2000</v>
      </c>
      <c r="D879" s="107">
        <f t="shared" si="5"/>
        <v>580</v>
      </c>
      <c r="E879" s="108">
        <f t="shared" si="6"/>
        <v>0</v>
      </c>
      <c r="F879" s="117"/>
      <c r="G879" s="116"/>
    </row>
    <row r="880" spans="2:7" x14ac:dyDescent="0.2">
      <c r="B880" s="118" t="s">
        <v>76</v>
      </c>
      <c r="C880" s="106">
        <f t="shared" si="4"/>
        <v>0</v>
      </c>
      <c r="D880" s="107">
        <f t="shared" si="5"/>
        <v>0</v>
      </c>
      <c r="E880" s="108">
        <f t="shared" si="6"/>
        <v>0</v>
      </c>
      <c r="F880" s="117"/>
      <c r="G880" s="116"/>
    </row>
    <row r="881" spans="2:7" x14ac:dyDescent="0.2">
      <c r="B881" s="118" t="s">
        <v>62</v>
      </c>
      <c r="C881" s="106">
        <f t="shared" si="4"/>
        <v>0</v>
      </c>
      <c r="D881" s="107">
        <f t="shared" si="5"/>
        <v>0</v>
      </c>
      <c r="E881" s="108">
        <f t="shared" si="6"/>
        <v>0</v>
      </c>
      <c r="F881" s="117"/>
      <c r="G881" s="116"/>
    </row>
    <row r="882" spans="2:7" x14ac:dyDescent="0.2">
      <c r="B882" s="118" t="s">
        <v>65</v>
      </c>
      <c r="C882" s="106">
        <f t="shared" si="4"/>
        <v>0</v>
      </c>
      <c r="D882" s="107">
        <f t="shared" si="5"/>
        <v>0</v>
      </c>
      <c r="E882" s="108">
        <f t="shared" si="6"/>
        <v>0</v>
      </c>
      <c r="F882" s="117"/>
      <c r="G882" s="116"/>
    </row>
    <row r="883" spans="2:7" x14ac:dyDescent="0.2">
      <c r="B883" s="118" t="s">
        <v>92</v>
      </c>
      <c r="C883" s="106">
        <f t="shared" si="4"/>
        <v>0</v>
      </c>
      <c r="D883" s="107">
        <f t="shared" si="5"/>
        <v>0</v>
      </c>
      <c r="E883" s="108">
        <f t="shared" si="6"/>
        <v>0</v>
      </c>
      <c r="F883" s="117"/>
      <c r="G883" s="116"/>
    </row>
    <row r="884" spans="2:7" x14ac:dyDescent="0.2">
      <c r="B884" s="118" t="s">
        <v>52</v>
      </c>
      <c r="C884" s="106">
        <f t="shared" si="4"/>
        <v>0</v>
      </c>
      <c r="D884" s="107">
        <f t="shared" si="5"/>
        <v>0</v>
      </c>
      <c r="E884" s="108">
        <f t="shared" si="6"/>
        <v>0</v>
      </c>
      <c r="F884" s="117"/>
      <c r="G884" s="116"/>
    </row>
    <row r="885" spans="2:7" x14ac:dyDescent="0.2">
      <c r="B885" s="118" t="s">
        <v>48</v>
      </c>
      <c r="C885" s="106">
        <f t="shared" si="4"/>
        <v>0</v>
      </c>
      <c r="D885" s="107">
        <f t="shared" si="5"/>
        <v>0</v>
      </c>
      <c r="E885" s="108">
        <f t="shared" si="6"/>
        <v>0</v>
      </c>
      <c r="F885" s="117"/>
      <c r="G885" s="116"/>
    </row>
    <row r="886" spans="2:7" x14ac:dyDescent="0.2">
      <c r="B886" s="118" t="s">
        <v>95</v>
      </c>
      <c r="C886" s="106">
        <f t="shared" si="4"/>
        <v>0</v>
      </c>
      <c r="D886" s="107">
        <f t="shared" si="5"/>
        <v>0</v>
      </c>
      <c r="E886" s="108">
        <f t="shared" si="6"/>
        <v>0</v>
      </c>
      <c r="F886" s="117"/>
      <c r="G886" s="116"/>
    </row>
    <row r="887" spans="2:7" x14ac:dyDescent="0.2">
      <c r="B887" s="118" t="s">
        <v>77</v>
      </c>
      <c r="C887" s="106">
        <f t="shared" si="4"/>
        <v>0</v>
      </c>
      <c r="D887" s="107">
        <f t="shared" si="5"/>
        <v>0</v>
      </c>
      <c r="E887" s="108">
        <f t="shared" si="6"/>
        <v>0</v>
      </c>
      <c r="F887" s="117"/>
      <c r="G887" s="116"/>
    </row>
    <row r="888" spans="2:7" x14ac:dyDescent="0.2">
      <c r="B888" s="118" t="s">
        <v>53</v>
      </c>
      <c r="C888" s="106">
        <f t="shared" si="4"/>
        <v>0</v>
      </c>
      <c r="D888" s="107">
        <f t="shared" si="5"/>
        <v>0</v>
      </c>
      <c r="E888" s="108">
        <f t="shared" si="6"/>
        <v>0</v>
      </c>
      <c r="F888" s="117"/>
      <c r="G888" s="116"/>
    </row>
    <row r="889" spans="2:7" x14ac:dyDescent="0.2">
      <c r="B889" s="118" t="s">
        <v>56</v>
      </c>
      <c r="C889" s="106">
        <f t="shared" si="4"/>
        <v>0</v>
      </c>
      <c r="D889" s="107">
        <f t="shared" si="5"/>
        <v>0</v>
      </c>
      <c r="E889" s="108">
        <f t="shared" si="6"/>
        <v>0</v>
      </c>
      <c r="F889" s="117"/>
      <c r="G889" s="116"/>
    </row>
    <row r="890" spans="2:7" x14ac:dyDescent="0.2">
      <c r="B890" s="118" t="s">
        <v>55</v>
      </c>
      <c r="C890" s="106">
        <f t="shared" si="4"/>
        <v>0</v>
      </c>
      <c r="D890" s="107">
        <f t="shared" si="5"/>
        <v>0</v>
      </c>
      <c r="E890" s="108">
        <f t="shared" si="6"/>
        <v>0</v>
      </c>
      <c r="F890" s="117"/>
      <c r="G890" s="116"/>
    </row>
    <row r="891" spans="2:7" x14ac:dyDescent="0.2">
      <c r="B891" s="118" t="s">
        <v>60</v>
      </c>
      <c r="C891" s="106">
        <f t="shared" si="4"/>
        <v>0</v>
      </c>
      <c r="D891" s="107">
        <f t="shared" si="5"/>
        <v>0</v>
      </c>
      <c r="E891" s="108">
        <f t="shared" si="6"/>
        <v>0</v>
      </c>
      <c r="F891" s="117"/>
      <c r="G891" s="116"/>
    </row>
    <row r="892" spans="2:7" x14ac:dyDescent="0.2">
      <c r="B892" s="118" t="s">
        <v>97</v>
      </c>
      <c r="C892" s="106">
        <f t="shared" si="4"/>
        <v>0</v>
      </c>
      <c r="D892" s="107">
        <f t="shared" si="5"/>
        <v>0</v>
      </c>
      <c r="E892" s="108">
        <f t="shared" si="6"/>
        <v>0</v>
      </c>
      <c r="F892" s="117"/>
      <c r="G892" s="116"/>
    </row>
    <row r="893" spans="2:7" x14ac:dyDescent="0.2">
      <c r="B893" s="118" t="s">
        <v>34</v>
      </c>
      <c r="C893" s="106">
        <f t="shared" si="4"/>
        <v>0</v>
      </c>
      <c r="D893" s="107">
        <f t="shared" si="5"/>
        <v>0</v>
      </c>
      <c r="E893" s="108">
        <f t="shared" si="6"/>
        <v>0</v>
      </c>
      <c r="F893" s="117"/>
      <c r="G893" s="116"/>
    </row>
    <row r="894" spans="2:7" x14ac:dyDescent="0.2">
      <c r="B894" s="118" t="s">
        <v>71</v>
      </c>
      <c r="C894" s="106">
        <f t="shared" si="4"/>
        <v>0</v>
      </c>
      <c r="D894" s="107">
        <f t="shared" si="5"/>
        <v>0</v>
      </c>
      <c r="E894" s="108">
        <f t="shared" si="6"/>
        <v>0</v>
      </c>
      <c r="F894" s="117"/>
      <c r="G894" s="116"/>
    </row>
    <row r="895" spans="2:7" x14ac:dyDescent="0.2">
      <c r="B895" s="118" t="s">
        <v>45</v>
      </c>
      <c r="C895" s="106">
        <f t="shared" si="4"/>
        <v>0</v>
      </c>
      <c r="D895" s="107">
        <f t="shared" si="5"/>
        <v>0</v>
      </c>
      <c r="E895" s="108">
        <f t="shared" si="6"/>
        <v>0</v>
      </c>
      <c r="F895" s="117"/>
      <c r="G895" s="116"/>
    </row>
    <row r="896" spans="2:7" x14ac:dyDescent="0.2">
      <c r="B896" s="118" t="s">
        <v>51</v>
      </c>
      <c r="C896" s="106">
        <f t="shared" si="4"/>
        <v>0</v>
      </c>
      <c r="D896" s="107">
        <f t="shared" si="5"/>
        <v>0</v>
      </c>
      <c r="E896" s="108">
        <f t="shared" si="6"/>
        <v>0</v>
      </c>
      <c r="F896" s="117"/>
      <c r="G896" s="116"/>
    </row>
    <row r="897" spans="2:7" x14ac:dyDescent="0.2">
      <c r="B897" s="118"/>
      <c r="C897" s="106">
        <f t="shared" si="4"/>
        <v>0</v>
      </c>
      <c r="D897" s="107">
        <f t="shared" si="5"/>
        <v>0</v>
      </c>
      <c r="E897" s="108">
        <f t="shared" si="6"/>
        <v>0</v>
      </c>
      <c r="F897" s="117"/>
      <c r="G897" s="116"/>
    </row>
    <row r="898" spans="2:7" x14ac:dyDescent="0.2">
      <c r="B898" s="118"/>
      <c r="C898" s="106">
        <f t="shared" si="4"/>
        <v>0</v>
      </c>
      <c r="D898" s="107">
        <f t="shared" si="5"/>
        <v>0</v>
      </c>
      <c r="E898" s="108">
        <f t="shared" si="6"/>
        <v>0</v>
      </c>
      <c r="F898" s="117"/>
      <c r="G898" s="116"/>
    </row>
    <row r="899" spans="2:7" x14ac:dyDescent="0.2">
      <c r="B899" s="118"/>
      <c r="C899" s="106">
        <f t="shared" si="4"/>
        <v>0</v>
      </c>
      <c r="D899" s="107">
        <f t="shared" si="5"/>
        <v>0</v>
      </c>
      <c r="E899" s="108">
        <f t="shared" si="6"/>
        <v>0</v>
      </c>
      <c r="F899" s="117"/>
      <c r="G899" s="116"/>
    </row>
    <row r="900" spans="2:7" x14ac:dyDescent="0.2">
      <c r="B900" s="118"/>
      <c r="C900" s="106">
        <f t="shared" si="4"/>
        <v>0</v>
      </c>
      <c r="D900" s="107">
        <f t="shared" si="5"/>
        <v>0</v>
      </c>
      <c r="E900" s="108">
        <f t="shared" si="6"/>
        <v>0</v>
      </c>
      <c r="F900" s="117"/>
      <c r="G900" s="116"/>
    </row>
    <row r="901" spans="2:7" x14ac:dyDescent="0.2">
      <c r="B901" s="118"/>
      <c r="C901" s="106">
        <f t="shared" si="4"/>
        <v>0</v>
      </c>
      <c r="D901" s="107">
        <f t="shared" si="5"/>
        <v>0</v>
      </c>
      <c r="E901" s="108">
        <f t="shared" si="6"/>
        <v>0</v>
      </c>
      <c r="F901" s="117"/>
      <c r="G901" s="116"/>
    </row>
    <row r="902" spans="2:7" x14ac:dyDescent="0.2">
      <c r="B902" s="118"/>
      <c r="C902" s="106">
        <f t="shared" si="4"/>
        <v>0</v>
      </c>
      <c r="D902" s="107">
        <f t="shared" si="5"/>
        <v>0</v>
      </c>
      <c r="E902" s="108">
        <f t="shared" si="6"/>
        <v>0</v>
      </c>
      <c r="F902" s="117"/>
      <c r="G902" s="116"/>
    </row>
    <row r="903" spans="2:7" x14ac:dyDescent="0.2">
      <c r="B903" s="118"/>
      <c r="C903" s="106">
        <f t="shared" si="4"/>
        <v>0</v>
      </c>
      <c r="D903" s="107">
        <f t="shared" si="5"/>
        <v>0</v>
      </c>
      <c r="E903" s="108">
        <f t="shared" si="6"/>
        <v>0</v>
      </c>
      <c r="F903" s="117"/>
      <c r="G903" s="116"/>
    </row>
    <row r="904" spans="2:7" x14ac:dyDescent="0.2">
      <c r="B904" s="118"/>
      <c r="C904" s="106">
        <f t="shared" si="4"/>
        <v>0</v>
      </c>
      <c r="D904" s="107">
        <f t="shared" si="5"/>
        <v>0</v>
      </c>
      <c r="E904" s="108">
        <f t="shared" si="6"/>
        <v>0</v>
      </c>
      <c r="F904" s="117"/>
      <c r="G904" s="116"/>
    </row>
    <row r="905" spans="2:7" x14ac:dyDescent="0.2">
      <c r="B905" s="118"/>
      <c r="C905" s="106">
        <f t="shared" si="4"/>
        <v>0</v>
      </c>
      <c r="D905" s="107">
        <f t="shared" si="5"/>
        <v>0</v>
      </c>
      <c r="E905" s="108">
        <f t="shared" si="6"/>
        <v>0</v>
      </c>
      <c r="F905" s="117"/>
      <c r="G905" s="116"/>
    </row>
    <row r="906" spans="2:7" x14ac:dyDescent="0.2">
      <c r="B906" s="118"/>
      <c r="C906" s="106">
        <f t="shared" si="4"/>
        <v>0</v>
      </c>
      <c r="D906" s="107">
        <f t="shared" si="5"/>
        <v>0</v>
      </c>
      <c r="E906" s="108">
        <f t="shared" si="6"/>
        <v>0</v>
      </c>
      <c r="F906" s="117"/>
      <c r="G906" s="116"/>
    </row>
    <row r="907" spans="2:7" x14ac:dyDescent="0.2">
      <c r="B907" s="118"/>
      <c r="C907" s="106">
        <f t="shared" si="4"/>
        <v>0</v>
      </c>
      <c r="D907" s="107">
        <f t="shared" si="5"/>
        <v>0</v>
      </c>
      <c r="E907" s="108">
        <f t="shared" si="6"/>
        <v>0</v>
      </c>
      <c r="F907" s="117"/>
      <c r="G907" s="116"/>
    </row>
    <row r="908" spans="2:7" x14ac:dyDescent="0.2">
      <c r="B908" s="118"/>
      <c r="C908" s="106">
        <f t="shared" si="4"/>
        <v>0</v>
      </c>
      <c r="D908" s="107">
        <f t="shared" si="5"/>
        <v>0</v>
      </c>
      <c r="E908" s="108">
        <f t="shared" si="6"/>
        <v>0</v>
      </c>
      <c r="F908" s="117"/>
      <c r="G908" s="116"/>
    </row>
    <row r="909" spans="2:7" x14ac:dyDescent="0.2">
      <c r="B909" s="118"/>
      <c r="C909" s="106">
        <f t="shared" si="4"/>
        <v>0</v>
      </c>
      <c r="D909" s="107">
        <f t="shared" si="5"/>
        <v>0</v>
      </c>
      <c r="E909" s="108">
        <f t="shared" si="6"/>
        <v>0</v>
      </c>
      <c r="F909" s="117"/>
      <c r="G909" s="116"/>
    </row>
    <row r="910" spans="2:7" x14ac:dyDescent="0.2">
      <c r="B910" s="118"/>
      <c r="C910" s="106">
        <f t="shared" si="4"/>
        <v>0</v>
      </c>
      <c r="D910" s="107">
        <f t="shared" si="5"/>
        <v>0</v>
      </c>
      <c r="E910" s="108">
        <f t="shared" si="6"/>
        <v>0</v>
      </c>
      <c r="F910" s="117"/>
      <c r="G910" s="116"/>
    </row>
    <row r="911" spans="2:7" x14ac:dyDescent="0.2">
      <c r="B911" s="118"/>
      <c r="C911" s="106">
        <f t="shared" si="4"/>
        <v>0</v>
      </c>
      <c r="D911" s="107">
        <f t="shared" si="5"/>
        <v>0</v>
      </c>
      <c r="E911" s="108">
        <f t="shared" si="6"/>
        <v>0</v>
      </c>
      <c r="F911" s="117"/>
      <c r="G911" s="116"/>
    </row>
    <row r="912" spans="2:7" x14ac:dyDescent="0.2">
      <c r="B912" s="118"/>
      <c r="C912" s="106">
        <f t="shared" si="4"/>
        <v>0</v>
      </c>
      <c r="D912" s="107">
        <f t="shared" si="5"/>
        <v>0</v>
      </c>
      <c r="E912" s="108">
        <f t="shared" si="6"/>
        <v>0</v>
      </c>
      <c r="F912" s="117"/>
      <c r="G912" s="116"/>
    </row>
    <row r="913" spans="2:7" x14ac:dyDescent="0.2">
      <c r="B913" s="118"/>
      <c r="C913" s="106">
        <f t="shared" si="4"/>
        <v>0</v>
      </c>
      <c r="D913" s="107">
        <f t="shared" si="5"/>
        <v>0</v>
      </c>
      <c r="E913" s="108">
        <f t="shared" si="6"/>
        <v>0</v>
      </c>
      <c r="F913" s="117"/>
      <c r="G913" s="116"/>
    </row>
    <row r="914" spans="2:7" x14ac:dyDescent="0.2">
      <c r="B914" s="118"/>
      <c r="C914" s="106">
        <f t="shared" si="4"/>
        <v>0</v>
      </c>
      <c r="D914" s="107">
        <f t="shared" si="5"/>
        <v>0</v>
      </c>
      <c r="E914" s="108">
        <f t="shared" si="6"/>
        <v>0</v>
      </c>
      <c r="F914" s="117"/>
      <c r="G914" s="116"/>
    </row>
    <row r="915" spans="2:7" x14ac:dyDescent="0.2">
      <c r="B915" s="118"/>
      <c r="C915" s="106">
        <f t="shared" si="4"/>
        <v>0</v>
      </c>
      <c r="D915" s="107">
        <f t="shared" si="5"/>
        <v>0</v>
      </c>
      <c r="E915" s="108">
        <f t="shared" si="6"/>
        <v>0</v>
      </c>
      <c r="F915" s="117"/>
      <c r="G915" s="116"/>
    </row>
    <row r="916" spans="2:7" x14ac:dyDescent="0.2">
      <c r="B916" s="118"/>
      <c r="C916" s="106">
        <f t="shared" si="4"/>
        <v>0</v>
      </c>
      <c r="D916" s="107">
        <f t="shared" si="5"/>
        <v>0</v>
      </c>
      <c r="E916" s="108">
        <f t="shared" si="6"/>
        <v>0</v>
      </c>
      <c r="F916" s="117"/>
      <c r="G916" s="116"/>
    </row>
    <row r="917" spans="2:7" x14ac:dyDescent="0.2">
      <c r="B917" s="118"/>
      <c r="C917" s="106">
        <f t="shared" si="4"/>
        <v>0</v>
      </c>
      <c r="D917" s="107">
        <f t="shared" si="5"/>
        <v>0</v>
      </c>
      <c r="E917" s="108">
        <f t="shared" si="6"/>
        <v>0</v>
      </c>
      <c r="F917" s="117"/>
      <c r="G917" s="116"/>
    </row>
    <row r="918" spans="2:7" x14ac:dyDescent="0.2">
      <c r="B918" s="118"/>
      <c r="C918" s="106">
        <f t="shared" si="4"/>
        <v>0</v>
      </c>
      <c r="D918" s="107">
        <f t="shared" si="5"/>
        <v>0</v>
      </c>
      <c r="E918" s="108">
        <f t="shared" si="6"/>
        <v>0</v>
      </c>
      <c r="F918" s="117"/>
      <c r="G918" s="116"/>
    </row>
    <row r="919" spans="2:7" x14ac:dyDescent="0.2">
      <c r="B919" s="118"/>
      <c r="C919" s="106">
        <f t="shared" si="4"/>
        <v>0</v>
      </c>
      <c r="D919" s="107">
        <f t="shared" si="5"/>
        <v>0</v>
      </c>
      <c r="E919" s="108">
        <f t="shared" si="6"/>
        <v>0</v>
      </c>
      <c r="F919" s="117"/>
      <c r="G919" s="116"/>
    </row>
    <row r="920" spans="2:7" x14ac:dyDescent="0.2">
      <c r="B920" s="118"/>
      <c r="C920" s="106">
        <f t="shared" si="4"/>
        <v>0</v>
      </c>
      <c r="D920" s="107">
        <f t="shared" si="5"/>
        <v>0</v>
      </c>
      <c r="E920" s="108">
        <f t="shared" si="6"/>
        <v>0</v>
      </c>
      <c r="F920" s="117"/>
      <c r="G920" s="116"/>
    </row>
    <row r="921" spans="2:7" x14ac:dyDescent="0.2">
      <c r="B921" s="118"/>
      <c r="C921" s="106">
        <f t="shared" si="4"/>
        <v>0</v>
      </c>
      <c r="D921" s="107">
        <f t="shared" ref="D921:D944" si="7">SUMIF(B$7:B$844,B921,P$7:P$844)</f>
        <v>0</v>
      </c>
      <c r="E921" s="108">
        <f t="shared" ref="E921:E944" si="8">SUMIFS(P$7:P$844,B$7:B$844,B921,S$7:S$844,"OK")</f>
        <v>0</v>
      </c>
      <c r="F921" s="117"/>
      <c r="G921" s="116"/>
    </row>
    <row r="922" spans="2:7" ht="13.5" thickBot="1" x14ac:dyDescent="0.25">
      <c r="B922" s="118"/>
      <c r="C922" s="106">
        <f t="shared" si="4"/>
        <v>0</v>
      </c>
      <c r="D922" s="107">
        <f t="shared" si="7"/>
        <v>0</v>
      </c>
      <c r="E922" s="108">
        <f t="shared" si="8"/>
        <v>0</v>
      </c>
      <c r="F922" s="119"/>
      <c r="G922" s="116"/>
    </row>
    <row r="923" spans="2:7" ht="13.5" thickBot="1" x14ac:dyDescent="0.25">
      <c r="B923" s="118"/>
      <c r="C923" s="106">
        <f t="shared" si="4"/>
        <v>0</v>
      </c>
      <c r="D923" s="107">
        <f t="shared" si="7"/>
        <v>0</v>
      </c>
      <c r="E923" s="108">
        <f t="shared" si="8"/>
        <v>0</v>
      </c>
      <c r="F923" s="120"/>
      <c r="G923" s="121"/>
    </row>
    <row r="924" spans="2:7" x14ac:dyDescent="0.2">
      <c r="B924" s="118"/>
      <c r="C924" s="106">
        <f t="shared" si="4"/>
        <v>0</v>
      </c>
      <c r="D924" s="107">
        <f t="shared" si="7"/>
        <v>0</v>
      </c>
      <c r="E924" s="108">
        <f t="shared" si="8"/>
        <v>0</v>
      </c>
    </row>
    <row r="925" spans="2:7" x14ac:dyDescent="0.2">
      <c r="B925" s="118"/>
      <c r="C925" s="106">
        <f t="shared" si="4"/>
        <v>0</v>
      </c>
      <c r="D925" s="107">
        <f t="shared" si="7"/>
        <v>0</v>
      </c>
      <c r="E925" s="108">
        <f t="shared" si="8"/>
        <v>0</v>
      </c>
    </row>
    <row r="926" spans="2:7" x14ac:dyDescent="0.2">
      <c r="B926" s="118"/>
      <c r="C926" s="106">
        <f t="shared" si="4"/>
        <v>0</v>
      </c>
      <c r="D926" s="107">
        <f t="shared" si="7"/>
        <v>0</v>
      </c>
      <c r="E926" s="108">
        <f t="shared" si="8"/>
        <v>0</v>
      </c>
    </row>
    <row r="927" spans="2:7" x14ac:dyDescent="0.2">
      <c r="B927" s="118"/>
      <c r="C927" s="106">
        <f t="shared" si="4"/>
        <v>0</v>
      </c>
      <c r="D927" s="107">
        <f t="shared" si="7"/>
        <v>0</v>
      </c>
      <c r="E927" s="108">
        <f t="shared" si="8"/>
        <v>0</v>
      </c>
    </row>
    <row r="928" spans="2:7" x14ac:dyDescent="0.2">
      <c r="B928" s="118"/>
      <c r="C928" s="106">
        <f t="shared" si="4"/>
        <v>0</v>
      </c>
      <c r="D928" s="107">
        <f t="shared" si="7"/>
        <v>0</v>
      </c>
      <c r="E928" s="108">
        <f t="shared" si="8"/>
        <v>0</v>
      </c>
    </row>
    <row r="929" spans="2:5" x14ac:dyDescent="0.2">
      <c r="B929" s="118"/>
      <c r="C929" s="106">
        <f t="shared" si="4"/>
        <v>0</v>
      </c>
      <c r="D929" s="107">
        <f t="shared" si="7"/>
        <v>0</v>
      </c>
      <c r="E929" s="108">
        <f t="shared" si="8"/>
        <v>0</v>
      </c>
    </row>
    <row r="930" spans="2:5" x14ac:dyDescent="0.2">
      <c r="B930" s="118"/>
      <c r="C930" s="106">
        <f t="shared" si="4"/>
        <v>0</v>
      </c>
      <c r="D930" s="107">
        <f t="shared" si="7"/>
        <v>0</v>
      </c>
      <c r="E930" s="108">
        <f t="shared" si="8"/>
        <v>0</v>
      </c>
    </row>
    <row r="931" spans="2:5" x14ac:dyDescent="0.2">
      <c r="B931" s="118"/>
      <c r="C931" s="106">
        <f t="shared" si="4"/>
        <v>0</v>
      </c>
      <c r="D931" s="107">
        <f t="shared" si="7"/>
        <v>0</v>
      </c>
      <c r="E931" s="108">
        <f t="shared" si="8"/>
        <v>0</v>
      </c>
    </row>
    <row r="932" spans="2:5" x14ac:dyDescent="0.2">
      <c r="B932" s="118"/>
      <c r="C932" s="106">
        <f t="shared" si="4"/>
        <v>0</v>
      </c>
      <c r="D932" s="107">
        <f t="shared" si="7"/>
        <v>0</v>
      </c>
      <c r="E932" s="108">
        <f t="shared" si="8"/>
        <v>0</v>
      </c>
    </row>
    <row r="933" spans="2:5" x14ac:dyDescent="0.2">
      <c r="B933" s="118"/>
      <c r="C933" s="106">
        <f t="shared" si="4"/>
        <v>0</v>
      </c>
      <c r="D933" s="107">
        <f t="shared" si="7"/>
        <v>0</v>
      </c>
      <c r="E933" s="108">
        <f t="shared" si="8"/>
        <v>0</v>
      </c>
    </row>
    <row r="934" spans="2:5" x14ac:dyDescent="0.2">
      <c r="B934" s="118"/>
      <c r="C934" s="106">
        <f t="shared" si="4"/>
        <v>0</v>
      </c>
      <c r="D934" s="107">
        <f t="shared" si="7"/>
        <v>0</v>
      </c>
      <c r="E934" s="108">
        <f t="shared" si="8"/>
        <v>0</v>
      </c>
    </row>
    <row r="935" spans="2:5" x14ac:dyDescent="0.2">
      <c r="B935" s="118"/>
      <c r="C935" s="106">
        <f t="shared" si="4"/>
        <v>0</v>
      </c>
      <c r="D935" s="107">
        <f t="shared" si="7"/>
        <v>0</v>
      </c>
      <c r="E935" s="108">
        <f t="shared" si="8"/>
        <v>0</v>
      </c>
    </row>
    <row r="936" spans="2:5" x14ac:dyDescent="0.2">
      <c r="B936" s="118"/>
      <c r="C936" s="106">
        <f t="shared" si="4"/>
        <v>0</v>
      </c>
      <c r="D936" s="107">
        <f t="shared" si="7"/>
        <v>0</v>
      </c>
      <c r="E936" s="108">
        <f t="shared" si="8"/>
        <v>0</v>
      </c>
    </row>
    <row r="937" spans="2:5" x14ac:dyDescent="0.2">
      <c r="B937" s="118"/>
      <c r="C937" s="106">
        <f t="shared" si="4"/>
        <v>0</v>
      </c>
      <c r="D937" s="107">
        <f t="shared" si="7"/>
        <v>0</v>
      </c>
      <c r="E937" s="108">
        <f t="shared" si="8"/>
        <v>0</v>
      </c>
    </row>
    <row r="938" spans="2:5" x14ac:dyDescent="0.2">
      <c r="B938" s="118"/>
      <c r="C938" s="106">
        <f t="shared" si="4"/>
        <v>0</v>
      </c>
      <c r="D938" s="107">
        <f t="shared" si="7"/>
        <v>0</v>
      </c>
      <c r="E938" s="108">
        <f t="shared" si="8"/>
        <v>0</v>
      </c>
    </row>
    <row r="939" spans="2:5" x14ac:dyDescent="0.2">
      <c r="B939" s="118"/>
      <c r="C939" s="106">
        <f t="shared" si="4"/>
        <v>0</v>
      </c>
      <c r="D939" s="107">
        <f t="shared" si="7"/>
        <v>0</v>
      </c>
      <c r="E939" s="108">
        <f t="shared" si="8"/>
        <v>0</v>
      </c>
    </row>
    <row r="940" spans="2:5" x14ac:dyDescent="0.2">
      <c r="B940" s="118"/>
      <c r="C940" s="106">
        <f t="shared" si="4"/>
        <v>0</v>
      </c>
      <c r="D940" s="107">
        <f t="shared" si="7"/>
        <v>0</v>
      </c>
      <c r="E940" s="108">
        <f t="shared" si="8"/>
        <v>0</v>
      </c>
    </row>
    <row r="941" spans="2:5" x14ac:dyDescent="0.2">
      <c r="B941" s="118"/>
      <c r="C941" s="106">
        <f t="shared" si="4"/>
        <v>0</v>
      </c>
      <c r="D941" s="107">
        <f t="shared" si="7"/>
        <v>0</v>
      </c>
      <c r="E941" s="108">
        <f t="shared" si="8"/>
        <v>0</v>
      </c>
    </row>
    <row r="942" spans="2:5" x14ac:dyDescent="0.2">
      <c r="B942" s="118"/>
      <c r="C942" s="106">
        <f t="shared" si="4"/>
        <v>0</v>
      </c>
      <c r="D942" s="107">
        <f t="shared" si="7"/>
        <v>0</v>
      </c>
      <c r="E942" s="108">
        <f t="shared" si="8"/>
        <v>0</v>
      </c>
    </row>
    <row r="943" spans="2:5" x14ac:dyDescent="0.2">
      <c r="B943" s="118"/>
      <c r="C943" s="106">
        <f t="shared" si="4"/>
        <v>0</v>
      </c>
      <c r="D943" s="107">
        <f t="shared" si="7"/>
        <v>0</v>
      </c>
      <c r="E943" s="108">
        <f t="shared" si="8"/>
        <v>0</v>
      </c>
    </row>
    <row r="944" spans="2:5" x14ac:dyDescent="0.2">
      <c r="B944" s="118"/>
      <c r="C944" s="106">
        <f t="shared" si="4"/>
        <v>0</v>
      </c>
      <c r="D944" s="107">
        <f t="shared" si="7"/>
        <v>0</v>
      </c>
      <c r="E944" s="108">
        <f t="shared" si="8"/>
        <v>0</v>
      </c>
    </row>
    <row r="945" spans="2:5" x14ac:dyDescent="0.2">
      <c r="B945" s="118"/>
      <c r="C945" s="106">
        <f t="shared" si="4"/>
        <v>0</v>
      </c>
      <c r="D945" s="107">
        <f t="shared" si="5"/>
        <v>0</v>
      </c>
      <c r="E945" s="108">
        <f t="shared" si="6"/>
        <v>0</v>
      </c>
    </row>
    <row r="946" spans="2:5" x14ac:dyDescent="0.2">
      <c r="B946" s="118"/>
      <c r="C946" s="106">
        <f t="shared" si="4"/>
        <v>0</v>
      </c>
      <c r="D946" s="107">
        <f t="shared" si="5"/>
        <v>0</v>
      </c>
      <c r="E946" s="108">
        <f t="shared" si="6"/>
        <v>0</v>
      </c>
    </row>
    <row r="947" spans="2:5" x14ac:dyDescent="0.2">
      <c r="B947" s="118"/>
      <c r="C947" s="106">
        <f t="shared" si="4"/>
        <v>0</v>
      </c>
      <c r="D947" s="107">
        <f t="shared" si="5"/>
        <v>0</v>
      </c>
      <c r="E947" s="108">
        <f t="shared" si="6"/>
        <v>0</v>
      </c>
    </row>
    <row r="948" spans="2:5" x14ac:dyDescent="0.2">
      <c r="B948" s="118"/>
      <c r="C948" s="106">
        <f t="shared" si="4"/>
        <v>0</v>
      </c>
      <c r="D948" s="107">
        <f t="shared" si="5"/>
        <v>0</v>
      </c>
      <c r="E948" s="108">
        <f t="shared" si="6"/>
        <v>0</v>
      </c>
    </row>
    <row r="949" spans="2:5" x14ac:dyDescent="0.2">
      <c r="B949" s="118"/>
      <c r="C949" s="106">
        <f t="shared" si="4"/>
        <v>0</v>
      </c>
      <c r="D949" s="107">
        <f t="shared" si="5"/>
        <v>0</v>
      </c>
      <c r="E949" s="108">
        <f t="shared" si="6"/>
        <v>0</v>
      </c>
    </row>
    <row r="950" spans="2:5" x14ac:dyDescent="0.2">
      <c r="B950" s="118"/>
      <c r="C950" s="106">
        <f t="shared" si="4"/>
        <v>0</v>
      </c>
      <c r="D950" s="107">
        <f t="shared" si="5"/>
        <v>0</v>
      </c>
      <c r="E950" s="108">
        <f t="shared" si="6"/>
        <v>0</v>
      </c>
    </row>
    <row r="951" spans="2:5" x14ac:dyDescent="0.2">
      <c r="B951" s="118"/>
      <c r="C951" s="106">
        <f t="shared" si="4"/>
        <v>0</v>
      </c>
      <c r="D951" s="107">
        <f t="shared" si="5"/>
        <v>0</v>
      </c>
      <c r="E951" s="108">
        <f t="shared" si="6"/>
        <v>0</v>
      </c>
    </row>
    <row r="952" spans="2:5" x14ac:dyDescent="0.2">
      <c r="B952" s="118"/>
      <c r="C952" s="106">
        <f t="shared" si="4"/>
        <v>0</v>
      </c>
      <c r="D952" s="107">
        <f t="shared" si="5"/>
        <v>0</v>
      </c>
      <c r="E952" s="108">
        <f t="shared" si="6"/>
        <v>0</v>
      </c>
    </row>
    <row r="953" spans="2:5" x14ac:dyDescent="0.2">
      <c r="B953" s="118"/>
      <c r="C953" s="106">
        <f t="shared" si="4"/>
        <v>0</v>
      </c>
      <c r="D953" s="107">
        <f t="shared" si="5"/>
        <v>0</v>
      </c>
      <c r="E953" s="108">
        <f t="shared" si="6"/>
        <v>0</v>
      </c>
    </row>
    <row r="954" spans="2:5" x14ac:dyDescent="0.2">
      <c r="B954" s="118"/>
      <c r="C954" s="106">
        <f t="shared" si="4"/>
        <v>0</v>
      </c>
      <c r="D954" s="107">
        <f t="shared" si="5"/>
        <v>0</v>
      </c>
      <c r="E954" s="108">
        <f t="shared" si="6"/>
        <v>0</v>
      </c>
    </row>
    <row r="955" spans="2:5" x14ac:dyDescent="0.2">
      <c r="B955" s="118"/>
      <c r="C955" s="106">
        <f t="shared" si="4"/>
        <v>0</v>
      </c>
      <c r="D955" s="107">
        <f t="shared" si="5"/>
        <v>0</v>
      </c>
      <c r="E955" s="108">
        <f t="shared" si="6"/>
        <v>0</v>
      </c>
    </row>
    <row r="956" spans="2:5" x14ac:dyDescent="0.2">
      <c r="B956" s="118"/>
      <c r="C956" s="106">
        <f t="shared" si="4"/>
        <v>0</v>
      </c>
      <c r="D956" s="107">
        <f t="shared" si="5"/>
        <v>0</v>
      </c>
      <c r="E956" s="108">
        <f t="shared" si="6"/>
        <v>0</v>
      </c>
    </row>
    <row r="957" spans="2:5" x14ac:dyDescent="0.2">
      <c r="B957" s="118"/>
      <c r="C957" s="106">
        <f t="shared" si="4"/>
        <v>0</v>
      </c>
      <c r="D957" s="107">
        <f t="shared" si="5"/>
        <v>0</v>
      </c>
      <c r="E957" s="108">
        <f t="shared" si="6"/>
        <v>0</v>
      </c>
    </row>
    <row r="958" spans="2:5" x14ac:dyDescent="0.2">
      <c r="B958" s="118"/>
      <c r="C958" s="106">
        <f t="shared" si="4"/>
        <v>0</v>
      </c>
      <c r="D958" s="107">
        <f t="shared" si="5"/>
        <v>0</v>
      </c>
      <c r="E958" s="108">
        <f t="shared" si="6"/>
        <v>0</v>
      </c>
    </row>
    <row r="959" spans="2:5" x14ac:dyDescent="0.2">
      <c r="B959" s="118"/>
      <c r="C959" s="106">
        <f t="shared" si="4"/>
        <v>0</v>
      </c>
      <c r="D959" s="107">
        <f t="shared" si="5"/>
        <v>0</v>
      </c>
      <c r="E959" s="108">
        <f t="shared" si="6"/>
        <v>0</v>
      </c>
    </row>
    <row r="960" spans="2:5" x14ac:dyDescent="0.2">
      <c r="B960" s="118"/>
      <c r="C960" s="106">
        <f t="shared" si="4"/>
        <v>0</v>
      </c>
      <c r="D960" s="107">
        <f t="shared" si="5"/>
        <v>0</v>
      </c>
      <c r="E960" s="108">
        <f t="shared" si="6"/>
        <v>0</v>
      </c>
    </row>
    <row r="961" spans="2:5" x14ac:dyDescent="0.2">
      <c r="B961" s="118"/>
      <c r="C961" s="106">
        <f t="shared" si="4"/>
        <v>0</v>
      </c>
      <c r="D961" s="107">
        <f t="shared" si="5"/>
        <v>0</v>
      </c>
      <c r="E961" s="108">
        <f t="shared" si="6"/>
        <v>0</v>
      </c>
    </row>
    <row r="962" spans="2:5" x14ac:dyDescent="0.2">
      <c r="B962" s="118"/>
      <c r="C962" s="106">
        <f t="shared" si="4"/>
        <v>0</v>
      </c>
      <c r="D962" s="107">
        <f t="shared" si="5"/>
        <v>0</v>
      </c>
      <c r="E962" s="108">
        <f t="shared" si="6"/>
        <v>0</v>
      </c>
    </row>
    <row r="963" spans="2:5" x14ac:dyDescent="0.2">
      <c r="B963" s="118"/>
      <c r="C963" s="106">
        <f t="shared" si="4"/>
        <v>0</v>
      </c>
      <c r="D963" s="107">
        <f t="shared" si="5"/>
        <v>0</v>
      </c>
      <c r="E963" s="108">
        <f t="shared" si="6"/>
        <v>0</v>
      </c>
    </row>
    <row r="964" spans="2:5" x14ac:dyDescent="0.2">
      <c r="B964" s="118"/>
      <c r="C964" s="106">
        <f t="shared" si="4"/>
        <v>0</v>
      </c>
      <c r="D964" s="107">
        <f t="shared" si="5"/>
        <v>0</v>
      </c>
      <c r="E964" s="108">
        <f t="shared" si="6"/>
        <v>0</v>
      </c>
    </row>
    <row r="965" spans="2:5" x14ac:dyDescent="0.2">
      <c r="B965" s="118"/>
      <c r="C965" s="106">
        <f t="shared" ref="C965:C970" si="9">SUMIF(B$7:B$844,B965,C$7:C$844)</f>
        <v>0</v>
      </c>
      <c r="D965" s="107">
        <f t="shared" ref="D965:D970" si="10">SUMIF(B$7:B$844,B965,P$7:P$844)</f>
        <v>0</v>
      </c>
      <c r="E965" s="108">
        <f t="shared" ref="E965:E970" si="11">SUMIFS(P$7:P$844,B$7:B$844,B965,S$7:S$844,"OK")</f>
        <v>0</v>
      </c>
    </row>
    <row r="966" spans="2:5" x14ac:dyDescent="0.2">
      <c r="B966" s="118"/>
      <c r="C966" s="106">
        <f t="shared" si="9"/>
        <v>0</v>
      </c>
      <c r="D966" s="107">
        <f t="shared" si="10"/>
        <v>0</v>
      </c>
      <c r="E966" s="108">
        <f t="shared" si="11"/>
        <v>0</v>
      </c>
    </row>
    <row r="967" spans="2:5" x14ac:dyDescent="0.2">
      <c r="B967" s="118"/>
      <c r="C967" s="106">
        <f t="shared" si="9"/>
        <v>0</v>
      </c>
      <c r="D967" s="107">
        <f t="shared" si="10"/>
        <v>0</v>
      </c>
      <c r="E967" s="108">
        <f t="shared" si="11"/>
        <v>0</v>
      </c>
    </row>
    <row r="968" spans="2:5" x14ac:dyDescent="0.2">
      <c r="B968" s="118"/>
      <c r="C968" s="106">
        <f t="shared" si="9"/>
        <v>0</v>
      </c>
      <c r="D968" s="107">
        <f t="shared" si="10"/>
        <v>0</v>
      </c>
      <c r="E968" s="108">
        <f t="shared" si="11"/>
        <v>0</v>
      </c>
    </row>
    <row r="969" spans="2:5" x14ac:dyDescent="0.2">
      <c r="B969" s="118"/>
      <c r="C969" s="106">
        <f t="shared" si="9"/>
        <v>0</v>
      </c>
      <c r="D969" s="107">
        <f t="shared" si="10"/>
        <v>0</v>
      </c>
      <c r="E969" s="108">
        <f t="shared" si="11"/>
        <v>0</v>
      </c>
    </row>
    <row r="970" spans="2:5" ht="13.5" thickBot="1" x14ac:dyDescent="0.25">
      <c r="B970" s="122"/>
      <c r="C970" s="106">
        <f t="shared" si="9"/>
        <v>0</v>
      </c>
      <c r="D970" s="107">
        <f t="shared" si="10"/>
        <v>0</v>
      </c>
      <c r="E970" s="108">
        <f t="shared" si="11"/>
        <v>0</v>
      </c>
    </row>
    <row r="971" spans="2:5" ht="13.5" thickBot="1" x14ac:dyDescent="0.25">
      <c r="C971" s="123">
        <f>SUM(C851:C970)</f>
        <v>6236.4</v>
      </c>
      <c r="D971" s="124">
        <f>SUM(D851:D970)</f>
        <v>2546.0924999999997</v>
      </c>
      <c r="E971" s="125">
        <f>SUM(E851:E970)</f>
        <v>1679.8235</v>
      </c>
    </row>
    <row r="973" spans="2:5" x14ac:dyDescent="0.2">
      <c r="E973" s="121"/>
    </row>
    <row r="974" spans="2:5" x14ac:dyDescent="0.2">
      <c r="C974" s="113">
        <f>+C845</f>
        <v>6686.4</v>
      </c>
    </row>
    <row r="975" spans="2:5" x14ac:dyDescent="0.2">
      <c r="C975" s="113">
        <f>+C974-C971</f>
        <v>450</v>
      </c>
    </row>
  </sheetData>
  <sheetProtection formatCells="0" insertRows="0" deleteRows="0" sort="0" autoFilter="0"/>
  <autoFilter ref="A5:W844"/>
  <phoneticPr fontId="4" type="noConversion"/>
  <conditionalFormatting sqref="C5">
    <cfRule type="containsText" dxfId="11" priority="33" stopIfTrue="1" operator="containsText" text="ERRORE">
      <formula>NOT(ISERROR(SEARCH("ERRORE",C5)))</formula>
    </cfRule>
  </conditionalFormatting>
  <conditionalFormatting sqref="P5:Q5">
    <cfRule type="containsText" dxfId="10" priority="31" stopIfTrue="1" operator="containsText" text="ERRORE">
      <formula>NOT(ISERROR(SEARCH("ERRORE",P5)))</formula>
    </cfRule>
  </conditionalFormatting>
  <conditionalFormatting sqref="Q844 Q7:Q183">
    <cfRule type="expression" priority="29" stopIfTrue="1">
      <formula>Q7=0</formula>
    </cfRule>
    <cfRule type="expression" dxfId="9" priority="30" stopIfTrue="1">
      <formula>Q7&lt;TODAY()</formula>
    </cfRule>
  </conditionalFormatting>
  <conditionalFormatting sqref="S4">
    <cfRule type="containsText" dxfId="8" priority="26" stopIfTrue="1" operator="containsText" text="ERRORE">
      <formula>NOT(ISERROR(SEARCH("ERRORE",S4)))</formula>
    </cfRule>
  </conditionalFormatting>
  <conditionalFormatting sqref="Q679:Q843">
    <cfRule type="expression" priority="10" stopIfTrue="1">
      <formula>Q679=0</formula>
    </cfRule>
    <cfRule type="expression" dxfId="7" priority="11" stopIfTrue="1">
      <formula>Q679&lt;TODAY()</formula>
    </cfRule>
  </conditionalFormatting>
  <conditionalFormatting sqref="Q514:Q678">
    <cfRule type="expression" priority="8" stopIfTrue="1">
      <formula>Q514=0</formula>
    </cfRule>
    <cfRule type="expression" dxfId="6" priority="9" stopIfTrue="1">
      <formula>Q514&lt;TODAY()</formula>
    </cfRule>
  </conditionalFormatting>
  <conditionalFormatting sqref="Q349:Q513">
    <cfRule type="expression" priority="6" stopIfTrue="1">
      <formula>Q349=0</formula>
    </cfRule>
    <cfRule type="expression" dxfId="5" priority="7" stopIfTrue="1">
      <formula>Q349&lt;TODAY()</formula>
    </cfRule>
  </conditionalFormatting>
  <conditionalFormatting sqref="Q184:Q348">
    <cfRule type="expression" priority="4" stopIfTrue="1">
      <formula>Q184=0</formula>
    </cfRule>
    <cfRule type="expression" dxfId="4" priority="5" stopIfTrue="1">
      <formula>Q184&lt;TODAY()</formula>
    </cfRule>
  </conditionalFormatting>
  <conditionalFormatting sqref="Q6">
    <cfRule type="expression" priority="2" stopIfTrue="1">
      <formula>Q6=0</formula>
    </cfRule>
    <cfRule type="expression" dxfId="3" priority="3" stopIfTrue="1">
      <formula>Q6&lt;TODAY()</formula>
    </cfRule>
  </conditionalFormatting>
  <conditionalFormatting sqref="B7:B844">
    <cfRule type="expression" dxfId="2" priority="1" stopIfTrue="1">
      <formula>AND(B7&lt;&gt;"", COUNTIF($B$852:$B$1152, B7)=0)</formula>
    </cfRule>
  </conditionalFormatting>
  <dataValidations count="2">
    <dataValidation type="list" allowBlank="1" showInputMessage="1" showErrorMessage="1" sqref="S7:S32">
      <formula1>"OK"</formula1>
    </dataValidation>
    <dataValidation type="list" allowBlank="1" showInputMessage="1" showErrorMessage="1" sqref="E7:E844">
      <formula1>materiale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664" r:id="rId4" name="CmdSelezionaTabella">
          <controlPr defaultSize="0" autoLine="0" autoPict="0" r:id="rId5">
            <anchor moveWithCells="1">
              <from>
                <xdr:col>12</xdr:col>
                <xdr:colOff>628650</xdr:colOff>
                <xdr:row>1</xdr:row>
                <xdr:rowOff>19050</xdr:rowOff>
              </from>
              <to>
                <xdr:col>14</xdr:col>
                <xdr:colOff>933450</xdr:colOff>
                <xdr:row>2</xdr:row>
                <xdr:rowOff>152400</xdr:rowOff>
              </to>
            </anchor>
          </controlPr>
        </control>
      </mc:Choice>
      <mc:Fallback>
        <control shapeId="1664" r:id="rId4" name="CmdSelezionaTabella"/>
      </mc:Fallback>
    </mc:AlternateContent>
    <mc:AlternateContent xmlns:mc="http://schemas.openxmlformats.org/markup-compatibility/2006">
      <mc:Choice Requires="x14">
        <control shapeId="1660" r:id="rId6" name="CmdNuovaRiga">
          <controlPr defaultSize="0" autoLine="0" r:id="rId7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1</xdr:col>
                <xdr:colOff>190500</xdr:colOff>
                <xdr:row>3</xdr:row>
                <xdr:rowOff>0</xdr:rowOff>
              </to>
            </anchor>
          </controlPr>
        </control>
      </mc:Choice>
      <mc:Fallback>
        <control shapeId="1660" r:id="rId6" name="CmdNuovaRiga"/>
      </mc:Fallback>
    </mc:AlternateContent>
    <mc:AlternateContent xmlns:mc="http://schemas.openxmlformats.org/markup-compatibility/2006">
      <mc:Choice Requires="x14">
        <control shapeId="1661" r:id="rId8" name="cmdDuplicaRigaSelezionata">
          <controlPr defaultSize="0" autoLine="0" r:id="rId9">
            <anchor moveWithCells="1">
              <from>
                <xdr:col>1</xdr:col>
                <xdr:colOff>314325</xdr:colOff>
                <xdr:row>1</xdr:row>
                <xdr:rowOff>9525</xdr:rowOff>
              </from>
              <to>
                <xdr:col>2</xdr:col>
                <xdr:colOff>542925</xdr:colOff>
                <xdr:row>2</xdr:row>
                <xdr:rowOff>133350</xdr:rowOff>
              </to>
            </anchor>
          </controlPr>
        </control>
      </mc:Choice>
      <mc:Fallback>
        <control shapeId="1661" r:id="rId8" name="cmdDuplicaRigaSelezionata"/>
      </mc:Fallback>
    </mc:AlternateContent>
    <mc:AlternateContent xmlns:mc="http://schemas.openxmlformats.org/markup-compatibility/2006">
      <mc:Choice Requires="x14">
        <control shapeId="1662" r:id="rId10" name="CmdEliminaERipristinaRiga">
          <controlPr defaultSize="0" autoLine="0" r:id="rId11">
            <anchor moveWithCells="1">
              <from>
                <xdr:col>2</xdr:col>
                <xdr:colOff>628650</xdr:colOff>
                <xdr:row>1</xdr:row>
                <xdr:rowOff>19050</xdr:rowOff>
              </from>
              <to>
                <xdr:col>4</xdr:col>
                <xdr:colOff>419100</xdr:colOff>
                <xdr:row>2</xdr:row>
                <xdr:rowOff>152400</xdr:rowOff>
              </to>
            </anchor>
          </controlPr>
        </control>
      </mc:Choice>
      <mc:Fallback>
        <control shapeId="1662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N52"/>
  <sheetViews>
    <sheetView workbookViewId="0">
      <selection activeCell="A10" sqref="A10"/>
    </sheetView>
  </sheetViews>
  <sheetFormatPr defaultRowHeight="12.75" x14ac:dyDescent="0.2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 x14ac:dyDescent="0.35">
      <c r="A1" s="8"/>
    </row>
    <row r="2" spans="1:14" ht="13.5" thickBot="1" x14ac:dyDescent="0.25"/>
    <row r="3" spans="1:14" ht="30" x14ac:dyDescent="0.2">
      <c r="A3" s="9" t="s">
        <v>11</v>
      </c>
      <c r="B3" s="10" t="s">
        <v>12</v>
      </c>
      <c r="C3" s="10" t="str">
        <f>IF(C4='Commissioni Metal Invest'!P845,"IMPONIBILE","ERRORE IMPONIBILE")</f>
        <v>ERRORE IMPONIBILE</v>
      </c>
      <c r="D3" s="10" t="s">
        <v>13</v>
      </c>
      <c r="E3" s="10" t="s">
        <v>14</v>
      </c>
      <c r="F3" s="11"/>
      <c r="G3" s="11"/>
      <c r="H3" s="10"/>
      <c r="I3" s="10"/>
      <c r="J3" s="10"/>
      <c r="K3" s="10"/>
      <c r="M3" s="10" t="s">
        <v>15</v>
      </c>
      <c r="N3" s="12" t="s">
        <v>16</v>
      </c>
    </row>
    <row r="4" spans="1:14" ht="15.75" thickBot="1" x14ac:dyDescent="0.3">
      <c r="A4" s="13">
        <f>+C52</f>
        <v>1583.9684999999999</v>
      </c>
      <c r="B4" s="14">
        <f>+D52</f>
        <v>1406.3685</v>
      </c>
      <c r="C4" s="14">
        <f>+A4+B4</f>
        <v>2990.337</v>
      </c>
      <c r="D4" s="15">
        <f>+C4*0.22</f>
        <v>657.87414000000001</v>
      </c>
      <c r="E4" s="15">
        <f>+C4+D4</f>
        <v>3648.2111399999999</v>
      </c>
      <c r="H4" s="15"/>
      <c r="I4" s="15"/>
      <c r="J4" s="15"/>
      <c r="K4" s="15"/>
      <c r="M4" s="15">
        <f>+C4*11.5/100</f>
        <v>343.888755</v>
      </c>
      <c r="N4" s="16">
        <f>+E4-M4</f>
        <v>3304.3223849999999</v>
      </c>
    </row>
    <row r="7" spans="1:14" ht="13.5" thickBot="1" x14ac:dyDescent="0.25"/>
    <row r="8" spans="1:14" ht="26.25" thickBot="1" x14ac:dyDescent="0.25">
      <c r="A8" s="17" t="s">
        <v>17</v>
      </c>
      <c r="B8" s="18" t="s">
        <v>4</v>
      </c>
      <c r="C8" s="24" t="s">
        <v>18</v>
      </c>
      <c r="D8" s="24" t="s">
        <v>19</v>
      </c>
      <c r="E8" s="33" t="s">
        <v>26</v>
      </c>
      <c r="F8" s="19" t="s">
        <v>20</v>
      </c>
      <c r="G8" s="19" t="s">
        <v>21</v>
      </c>
      <c r="H8" s="20" t="s">
        <v>22</v>
      </c>
      <c r="I8" s="21" t="s">
        <v>23</v>
      </c>
      <c r="J8" s="22" t="s">
        <v>24</v>
      </c>
      <c r="K8" s="23" t="s">
        <v>25</v>
      </c>
    </row>
    <row r="9" spans="1:14" x14ac:dyDescent="0.2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 x14ac:dyDescent="0.2">
      <c r="A10" s="38" t="s">
        <v>41</v>
      </c>
      <c r="B10" s="37">
        <f>+'Commissioni Metal Invest'!C856</f>
        <v>0</v>
      </c>
      <c r="C10" s="41">
        <f>+'Commissioni Metal Invest'!D856</f>
        <v>0</v>
      </c>
      <c r="D10" s="42">
        <f>+'Commissioni Metal Invest'!E856</f>
        <v>0</v>
      </c>
      <c r="E10" s="43"/>
      <c r="F10" s="39"/>
      <c r="G10" s="39"/>
      <c r="H10" s="40"/>
      <c r="I10" s="40"/>
      <c r="J10" s="40"/>
      <c r="K10" s="40"/>
    </row>
    <row r="11" spans="1:14" x14ac:dyDescent="0.2">
      <c r="A11" s="38" t="s">
        <v>47</v>
      </c>
      <c r="B11" s="37">
        <f>+'Commissioni Metal Invest'!C857</f>
        <v>0</v>
      </c>
      <c r="C11" s="41">
        <f>+'Commissioni Metal Invest'!D857</f>
        <v>0</v>
      </c>
      <c r="D11" s="42">
        <f>+'Commissioni Metal Invest'!E857</f>
        <v>0</v>
      </c>
      <c r="E11" s="43"/>
      <c r="F11" s="39"/>
      <c r="G11" s="39"/>
      <c r="H11" s="40"/>
      <c r="I11" s="40"/>
      <c r="J11" s="40"/>
      <c r="K11" s="40"/>
    </row>
    <row r="12" spans="1:14" x14ac:dyDescent="0.2">
      <c r="A12" s="38" t="s">
        <v>40</v>
      </c>
      <c r="B12" s="37">
        <f>+'Commissioni Metal Invest'!C859</f>
        <v>0</v>
      </c>
      <c r="C12" s="41">
        <f>+'Commissioni Metal Invest'!D859</f>
        <v>0</v>
      </c>
      <c r="D12" s="42">
        <f>+'Commissioni Metal Invest'!E859</f>
        <v>0</v>
      </c>
      <c r="E12" s="43"/>
      <c r="F12" s="39"/>
      <c r="G12" s="39"/>
      <c r="H12" s="40"/>
      <c r="I12" s="40"/>
      <c r="J12" s="40"/>
      <c r="K12" s="40"/>
    </row>
    <row r="13" spans="1:14" x14ac:dyDescent="0.2">
      <c r="A13" s="1" t="s">
        <v>35</v>
      </c>
      <c r="B13" s="37">
        <f>+'Commissioni Metal Invest'!C862</f>
        <v>0</v>
      </c>
      <c r="C13" s="41">
        <f>+'Commissioni Metal Invest'!D862</f>
        <v>0</v>
      </c>
      <c r="D13" s="42">
        <f>+'Commissioni Metal Invest'!E862</f>
        <v>0</v>
      </c>
      <c r="E13" s="28"/>
    </row>
    <row r="14" spans="1:14" x14ac:dyDescent="0.2">
      <c r="A14" s="1" t="s">
        <v>38</v>
      </c>
      <c r="B14" s="37">
        <f>+'Commissioni Metal Invest'!C863</f>
        <v>0</v>
      </c>
      <c r="C14" s="41">
        <f>+'Commissioni Metal Invest'!D863</f>
        <v>0</v>
      </c>
      <c r="D14" s="42">
        <f>+'Commissioni Metal Invest'!E863</f>
        <v>0</v>
      </c>
      <c r="E14" s="28"/>
    </row>
    <row r="15" spans="1:14" x14ac:dyDescent="0.2">
      <c r="A15" s="1" t="s">
        <v>36</v>
      </c>
      <c r="B15" s="4">
        <f>+'Commissioni Metal Invest'!C866</f>
        <v>0</v>
      </c>
      <c r="C15" s="25">
        <f>+'Commissioni Metal Invest'!D866</f>
        <v>0</v>
      </c>
      <c r="D15" s="30">
        <f>+'Commissioni Metal Invest'!E866</f>
        <v>0</v>
      </c>
      <c r="E15" s="28"/>
    </row>
    <row r="16" spans="1:14" x14ac:dyDescent="0.2">
      <c r="A16" s="1" t="s">
        <v>50</v>
      </c>
      <c r="B16" s="4">
        <f>+'Commissioni Metal Invest'!C871</f>
        <v>2553.5</v>
      </c>
      <c r="C16" s="25">
        <f>+'Commissioni Metal Invest'!D871</f>
        <v>1583.9684999999999</v>
      </c>
      <c r="D16" s="30">
        <f>+'Commissioni Metal Invest'!E871</f>
        <v>1406.3685</v>
      </c>
      <c r="E16" s="28"/>
    </row>
    <row r="17" spans="1:5" x14ac:dyDescent="0.2">
      <c r="A17" s="1" t="s">
        <v>46</v>
      </c>
      <c r="B17" s="4">
        <f>+'Commissioni Metal Invest'!C872</f>
        <v>0</v>
      </c>
      <c r="C17" s="25">
        <f>+'Commissioni Metal Invest'!D872</f>
        <v>0</v>
      </c>
      <c r="D17" s="30">
        <f>+'Commissioni Metal Invest'!E872</f>
        <v>0</v>
      </c>
      <c r="E17" s="28"/>
    </row>
    <row r="18" spans="1:5" x14ac:dyDescent="0.2">
      <c r="A18" s="1" t="s">
        <v>54</v>
      </c>
      <c r="B18" s="4">
        <f>+'Commissioni Metal Invest'!C873</f>
        <v>0</v>
      </c>
      <c r="C18" s="25">
        <f>+'Commissioni Metal Invest'!D873</f>
        <v>0</v>
      </c>
      <c r="D18" s="30">
        <f>+'Commissioni Metal Invest'!E873</f>
        <v>0</v>
      </c>
      <c r="E18" s="28"/>
    </row>
    <row r="19" spans="1:5" x14ac:dyDescent="0.2">
      <c r="A19" s="2" t="s">
        <v>37</v>
      </c>
      <c r="B19" s="4">
        <f>+'Commissioni Metal Invest'!C874</f>
        <v>0</v>
      </c>
      <c r="C19" s="25">
        <f>+'Commissioni Metal Invest'!D874</f>
        <v>0</v>
      </c>
      <c r="D19" s="30">
        <f>+'Commissioni Metal Invest'!E874</f>
        <v>0</v>
      </c>
      <c r="E19" s="28"/>
    </row>
    <row r="20" spans="1:5" x14ac:dyDescent="0.2">
      <c r="A20" s="2" t="s">
        <v>94</v>
      </c>
      <c r="B20" s="4">
        <f>+'Commissioni Metal Invest'!C876</f>
        <v>0</v>
      </c>
      <c r="C20" s="25">
        <f>+'Commissioni Metal Invest'!D876</f>
        <v>0</v>
      </c>
      <c r="D20" s="30">
        <f>+'Commissioni Metal Invest'!E876</f>
        <v>0</v>
      </c>
      <c r="E20" s="28"/>
    </row>
    <row r="21" spans="1:5" x14ac:dyDescent="0.2">
      <c r="A21" s="2" t="s">
        <v>52</v>
      </c>
      <c r="B21" s="4">
        <f>+'Commissioni Metal Invest'!C884</f>
        <v>0</v>
      </c>
      <c r="C21" s="25">
        <f>+'Commissioni Metal Invest'!D884</f>
        <v>0</v>
      </c>
      <c r="D21" s="30">
        <f>+'Commissioni Metal Invest'!E884</f>
        <v>0</v>
      </c>
      <c r="E21" s="28"/>
    </row>
    <row r="22" spans="1:5" x14ac:dyDescent="0.2">
      <c r="A22" s="2" t="s">
        <v>53</v>
      </c>
      <c r="B22" s="4">
        <f>+'Commissioni Metal Invest'!C885</f>
        <v>0</v>
      </c>
      <c r="C22" s="25">
        <f>+'Commissioni Metal Invest'!D885</f>
        <v>0</v>
      </c>
      <c r="D22" s="30">
        <f>+'Commissioni Metal Invest'!E885</f>
        <v>0</v>
      </c>
      <c r="E22" s="28"/>
    </row>
    <row r="23" spans="1:5" x14ac:dyDescent="0.2">
      <c r="A23" s="2" t="s">
        <v>34</v>
      </c>
      <c r="B23" s="4">
        <f>+'Commissioni Metal Invest'!C893</f>
        <v>0</v>
      </c>
      <c r="C23" s="25">
        <f>+'Commissioni Metal Invest'!D893</f>
        <v>0</v>
      </c>
      <c r="D23" s="30">
        <f>+'Commissioni Metal Invest'!E893</f>
        <v>0</v>
      </c>
      <c r="E23" s="28"/>
    </row>
    <row r="24" spans="1:5" x14ac:dyDescent="0.2">
      <c r="A24" s="2"/>
      <c r="B24" s="4">
        <f>+'Commissioni Metal Invest'!C895</f>
        <v>0</v>
      </c>
      <c r="C24" s="25">
        <f>+'Commissioni Metal Invest'!D895</f>
        <v>0</v>
      </c>
      <c r="D24" s="30">
        <f>+'Commissioni Metal Invest'!E895</f>
        <v>0</v>
      </c>
      <c r="E24" s="28"/>
    </row>
    <row r="25" spans="1:5" x14ac:dyDescent="0.2">
      <c r="A25" s="2"/>
      <c r="B25" s="4">
        <f>+'Commissioni Metal Invest'!C896</f>
        <v>0</v>
      </c>
      <c r="C25" s="25">
        <f>+'Commissioni Metal Invest'!D896</f>
        <v>0</v>
      </c>
      <c r="D25" s="30">
        <f>+'Commissioni Metal Invest'!E896</f>
        <v>0</v>
      </c>
      <c r="E25" s="28"/>
    </row>
    <row r="26" spans="1:5" x14ac:dyDescent="0.2">
      <c r="A26" s="2"/>
      <c r="B26" s="4">
        <f>+'Commissioni Metal Invest'!C945</f>
        <v>0</v>
      </c>
      <c r="C26" s="25">
        <f>+'Commissioni Metal Invest'!D945</f>
        <v>0</v>
      </c>
      <c r="D26" s="30">
        <f>+'Commissioni Metal Invest'!E945</f>
        <v>0</v>
      </c>
      <c r="E26" s="28"/>
    </row>
    <row r="27" spans="1:5" x14ac:dyDescent="0.2">
      <c r="A27" s="2"/>
      <c r="B27" s="4">
        <f>+'Commissioni Metal Invest'!C946</f>
        <v>0</v>
      </c>
      <c r="C27" s="25">
        <f>+'Commissioni Metal Invest'!D946</f>
        <v>0</v>
      </c>
      <c r="D27" s="30">
        <f>+'Commissioni Metal Invest'!E946</f>
        <v>0</v>
      </c>
      <c r="E27" s="28"/>
    </row>
    <row r="28" spans="1:5" x14ac:dyDescent="0.2">
      <c r="A28" s="2"/>
      <c r="B28" s="4">
        <f>+'Commissioni Metal Invest'!C947</f>
        <v>0</v>
      </c>
      <c r="C28" s="25">
        <f>+'Commissioni Metal Invest'!D947</f>
        <v>0</v>
      </c>
      <c r="D28" s="30">
        <f>+'Commissioni Metal Invest'!E947</f>
        <v>0</v>
      </c>
      <c r="E28" s="28"/>
    </row>
    <row r="29" spans="1:5" x14ac:dyDescent="0.2">
      <c r="A29" s="2"/>
      <c r="B29" s="4">
        <f>+'Commissioni Metal Invest'!C948</f>
        <v>0</v>
      </c>
      <c r="C29" s="25">
        <f>+'Commissioni Metal Invest'!D948</f>
        <v>0</v>
      </c>
      <c r="D29" s="30">
        <f>+'Commissioni Metal Invest'!E948</f>
        <v>0</v>
      </c>
      <c r="E29" s="28"/>
    </row>
    <row r="30" spans="1:5" x14ac:dyDescent="0.2">
      <c r="A30" s="2"/>
      <c r="B30" s="4">
        <f>+'Commissioni Metal Invest'!C949</f>
        <v>0</v>
      </c>
      <c r="C30" s="25">
        <f>+'Commissioni Metal Invest'!D949</f>
        <v>0</v>
      </c>
      <c r="D30" s="30">
        <f>+'Commissioni Metal Invest'!E949</f>
        <v>0</v>
      </c>
      <c r="E30" s="28"/>
    </row>
    <row r="31" spans="1:5" x14ac:dyDescent="0.2">
      <c r="A31" s="2"/>
      <c r="B31" s="4">
        <f>+'Commissioni Metal Invest'!C950</f>
        <v>0</v>
      </c>
      <c r="C31" s="25">
        <f>+'Commissioni Metal Invest'!D950</f>
        <v>0</v>
      </c>
      <c r="D31" s="30">
        <f>+'Commissioni Metal Invest'!E950</f>
        <v>0</v>
      </c>
      <c r="E31" s="28"/>
    </row>
    <row r="32" spans="1:5" x14ac:dyDescent="0.2">
      <c r="A32" s="2"/>
      <c r="B32" s="4">
        <f>+'Commissioni Metal Invest'!C951</f>
        <v>0</v>
      </c>
      <c r="C32" s="25">
        <f>+'Commissioni Metal Invest'!D951</f>
        <v>0</v>
      </c>
      <c r="D32" s="30">
        <f>+'Commissioni Metal Invest'!E951</f>
        <v>0</v>
      </c>
      <c r="E32" s="28"/>
    </row>
    <row r="33" spans="1:5" x14ac:dyDescent="0.2">
      <c r="A33" s="2"/>
      <c r="B33" s="4">
        <f>+'Commissioni Metal Invest'!C952</f>
        <v>0</v>
      </c>
      <c r="C33" s="25">
        <f>+'Commissioni Metal Invest'!D952</f>
        <v>0</v>
      </c>
      <c r="D33" s="30">
        <f>+'Commissioni Metal Invest'!E952</f>
        <v>0</v>
      </c>
      <c r="E33" s="28"/>
    </row>
    <row r="34" spans="1:5" x14ac:dyDescent="0.2">
      <c r="A34" s="2"/>
      <c r="B34" s="4">
        <f>+'Commissioni Metal Invest'!C953</f>
        <v>0</v>
      </c>
      <c r="C34" s="25">
        <f>+'Commissioni Metal Invest'!D953</f>
        <v>0</v>
      </c>
      <c r="D34" s="30">
        <f>+'Commissioni Metal Invest'!E953</f>
        <v>0</v>
      </c>
      <c r="E34" s="28"/>
    </row>
    <row r="35" spans="1:5" x14ac:dyDescent="0.2">
      <c r="A35" s="2"/>
      <c r="B35" s="4">
        <f>+'Commissioni Metal Invest'!C954</f>
        <v>0</v>
      </c>
      <c r="C35" s="25">
        <f>+'Commissioni Metal Invest'!D954</f>
        <v>0</v>
      </c>
      <c r="D35" s="30">
        <f>+'Commissioni Metal Invest'!E954</f>
        <v>0</v>
      </c>
      <c r="E35" s="28"/>
    </row>
    <row r="36" spans="1:5" x14ac:dyDescent="0.2">
      <c r="A36" s="2"/>
      <c r="B36" s="4">
        <f>+'Commissioni Metal Invest'!C955</f>
        <v>0</v>
      </c>
      <c r="C36" s="25">
        <f>+'Commissioni Metal Invest'!D955</f>
        <v>0</v>
      </c>
      <c r="D36" s="30">
        <f>+'Commissioni Metal Invest'!E955</f>
        <v>0</v>
      </c>
      <c r="E36" s="28"/>
    </row>
    <row r="37" spans="1:5" x14ac:dyDescent="0.2">
      <c r="A37" s="2"/>
      <c r="B37" s="4">
        <f>+'Commissioni Metal Invest'!C956</f>
        <v>0</v>
      </c>
      <c r="C37" s="25">
        <f>+'Commissioni Metal Invest'!D956</f>
        <v>0</v>
      </c>
      <c r="D37" s="30">
        <f>+'Commissioni Metal Invest'!E956</f>
        <v>0</v>
      </c>
      <c r="E37" s="28"/>
    </row>
    <row r="38" spans="1:5" x14ac:dyDescent="0.2">
      <c r="A38" s="2"/>
      <c r="B38" s="4">
        <f>+'Commissioni Metal Invest'!C957</f>
        <v>0</v>
      </c>
      <c r="C38" s="25">
        <f>+'Commissioni Metal Invest'!D957</f>
        <v>0</v>
      </c>
      <c r="D38" s="30">
        <f>+'Commissioni Metal Invest'!E957</f>
        <v>0</v>
      </c>
      <c r="E38" s="28"/>
    </row>
    <row r="39" spans="1:5" x14ac:dyDescent="0.2">
      <c r="A39" s="2"/>
      <c r="B39" s="4">
        <f>+'Commissioni Metal Invest'!C958</f>
        <v>0</v>
      </c>
      <c r="C39" s="25">
        <f>+'Commissioni Metal Invest'!D958</f>
        <v>0</v>
      </c>
      <c r="D39" s="30">
        <f>+'Commissioni Metal Invest'!E958</f>
        <v>0</v>
      </c>
      <c r="E39" s="28"/>
    </row>
    <row r="40" spans="1:5" x14ac:dyDescent="0.2">
      <c r="A40" s="2"/>
      <c r="B40" s="4">
        <f>+'Commissioni Metal Invest'!C959</f>
        <v>0</v>
      </c>
      <c r="C40" s="25">
        <f>+'Commissioni Metal Invest'!D959</f>
        <v>0</v>
      </c>
      <c r="D40" s="30">
        <f>+'Commissioni Metal Invest'!E959</f>
        <v>0</v>
      </c>
      <c r="E40" s="28"/>
    </row>
    <row r="41" spans="1:5" x14ac:dyDescent="0.2">
      <c r="A41" s="2"/>
      <c r="B41" s="4">
        <f>+'Commissioni Metal Invest'!C960</f>
        <v>0</v>
      </c>
      <c r="C41" s="25">
        <f>+'Commissioni Metal Invest'!D960</f>
        <v>0</v>
      </c>
      <c r="D41" s="30">
        <f>+'Commissioni Metal Invest'!E960</f>
        <v>0</v>
      </c>
      <c r="E41" s="28"/>
    </row>
    <row r="42" spans="1:5" x14ac:dyDescent="0.2">
      <c r="A42" s="2"/>
      <c r="B42" s="4">
        <f>+'Commissioni Metal Invest'!C961</f>
        <v>0</v>
      </c>
      <c r="C42" s="25">
        <f>+'Commissioni Metal Invest'!D961</f>
        <v>0</v>
      </c>
      <c r="D42" s="30">
        <f>+'Commissioni Metal Invest'!E961</f>
        <v>0</v>
      </c>
      <c r="E42" s="28"/>
    </row>
    <row r="43" spans="1:5" x14ac:dyDescent="0.2">
      <c r="A43" s="2"/>
      <c r="B43" s="4">
        <f>+'Commissioni Metal Invest'!C962</f>
        <v>0</v>
      </c>
      <c r="C43" s="25">
        <f>+'Commissioni Metal Invest'!D962</f>
        <v>0</v>
      </c>
      <c r="D43" s="30">
        <f>+'Commissioni Metal Invest'!E962</f>
        <v>0</v>
      </c>
      <c r="E43" s="28"/>
    </row>
    <row r="44" spans="1:5" x14ac:dyDescent="0.2">
      <c r="A44" s="2"/>
      <c r="B44" s="4">
        <f>+'Commissioni Metal Invest'!C963</f>
        <v>0</v>
      </c>
      <c r="C44" s="25">
        <f>+'Commissioni Metal Invest'!D963</f>
        <v>0</v>
      </c>
      <c r="D44" s="30">
        <f>+'Commissioni Metal Invest'!E963</f>
        <v>0</v>
      </c>
      <c r="E44" s="28"/>
    </row>
    <row r="45" spans="1:5" x14ac:dyDescent="0.2">
      <c r="A45" s="2"/>
      <c r="B45" s="4">
        <f>+'Commissioni Metal Invest'!C964</f>
        <v>0</v>
      </c>
      <c r="C45" s="25">
        <f>+'Commissioni Metal Invest'!D964</f>
        <v>0</v>
      </c>
      <c r="D45" s="30">
        <f>+'Commissioni Metal Invest'!E964</f>
        <v>0</v>
      </c>
      <c r="E45" s="28"/>
    </row>
    <row r="46" spans="1:5" x14ac:dyDescent="0.2">
      <c r="A46" s="2"/>
      <c r="B46" s="4">
        <f>+'Commissioni Metal Invest'!C965</f>
        <v>0</v>
      </c>
      <c r="C46" s="25">
        <f>+'Commissioni Metal Invest'!D965</f>
        <v>0</v>
      </c>
      <c r="D46" s="30">
        <f>+'Commissioni Metal Invest'!E965</f>
        <v>0</v>
      </c>
      <c r="E46" s="28"/>
    </row>
    <row r="47" spans="1:5" x14ac:dyDescent="0.2">
      <c r="A47" s="2"/>
      <c r="B47" s="4">
        <f>+'Commissioni Metal Invest'!C966</f>
        <v>0</v>
      </c>
      <c r="C47" s="25">
        <f>+'Commissioni Metal Invest'!D966</f>
        <v>0</v>
      </c>
      <c r="D47" s="30">
        <f>+'Commissioni Metal Invest'!E966</f>
        <v>0</v>
      </c>
      <c r="E47" s="28"/>
    </row>
    <row r="48" spans="1:5" x14ac:dyDescent="0.2">
      <c r="A48" s="3"/>
      <c r="B48" s="4">
        <f>+'Commissioni Metal Invest'!C967</f>
        <v>0</v>
      </c>
      <c r="C48" s="25">
        <f>+'Commissioni Metal Invest'!D967</f>
        <v>0</v>
      </c>
      <c r="D48" s="30">
        <f>+'Commissioni Metal Invest'!E967</f>
        <v>0</v>
      </c>
      <c r="E48" s="28"/>
    </row>
    <row r="49" spans="1:5" x14ac:dyDescent="0.2">
      <c r="A49" s="3"/>
      <c r="B49" s="4">
        <f>+'Commissioni Metal Invest'!C968</f>
        <v>0</v>
      </c>
      <c r="C49" s="25">
        <f>+'Commissioni Metal Invest'!D968</f>
        <v>0</v>
      </c>
      <c r="D49" s="30">
        <f>+'Commissioni Metal Invest'!E968</f>
        <v>0</v>
      </c>
      <c r="E49" s="28"/>
    </row>
    <row r="50" spans="1:5" x14ac:dyDescent="0.2">
      <c r="A50" s="3"/>
      <c r="B50" s="4">
        <f>+'Commissioni Metal Invest'!C969</f>
        <v>0</v>
      </c>
      <c r="C50" s="25">
        <f>+'Commissioni Metal Invest'!D969</f>
        <v>0</v>
      </c>
      <c r="D50" s="30">
        <f>+'Commissioni Metal Invest'!E969</f>
        <v>0</v>
      </c>
      <c r="E50" s="28"/>
    </row>
    <row r="51" spans="1:5" ht="13.5" thickBot="1" x14ac:dyDescent="0.25">
      <c r="A51" s="6"/>
      <c r="B51" s="5">
        <f>+'Commissioni Metal Invest'!C970</f>
        <v>0</v>
      </c>
      <c r="C51" s="26">
        <f>+'Commissioni Metal Invest'!D970</f>
        <v>0</v>
      </c>
      <c r="D51" s="31">
        <f>+'Commissioni Metal Invest'!E970</f>
        <v>0</v>
      </c>
      <c r="E51" s="28"/>
    </row>
    <row r="52" spans="1:5" ht="13.5" thickBot="1" x14ac:dyDescent="0.25">
      <c r="B52" s="7">
        <f>SUM(B13:B51)</f>
        <v>2553.5</v>
      </c>
      <c r="C52" s="27">
        <f>SUM(C10:C51)</f>
        <v>1583.9684999999999</v>
      </c>
      <c r="D52" s="32">
        <f>SUM(D13:D51)</f>
        <v>1406.3685</v>
      </c>
      <c r="E52" s="29">
        <f>SUM(E13:E51)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C55"/>
  <sheetViews>
    <sheetView topLeftCell="A4" workbookViewId="0">
      <selection activeCell="C29" sqref="C29"/>
    </sheetView>
  </sheetViews>
  <sheetFormatPr defaultRowHeight="12.75" x14ac:dyDescent="0.2"/>
  <cols>
    <col min="1" max="1" width="14.5703125" customWidth="1"/>
    <col min="2" max="3" width="15.28515625" customWidth="1"/>
  </cols>
  <sheetData>
    <row r="6" spans="1:3" ht="19.5" thickBot="1" x14ac:dyDescent="0.35">
      <c r="B6" s="133">
        <v>2024</v>
      </c>
      <c r="C6" s="133"/>
    </row>
    <row r="7" spans="1:3" ht="16.5" thickBot="1" x14ac:dyDescent="0.3">
      <c r="A7" s="58"/>
      <c r="B7" s="134" t="s">
        <v>79</v>
      </c>
      <c r="C7" s="135"/>
    </row>
    <row r="8" spans="1:3" ht="16.5" thickBot="1" x14ac:dyDescent="0.3">
      <c r="A8" s="59" t="s">
        <v>78</v>
      </c>
      <c r="B8" s="60" t="s">
        <v>18</v>
      </c>
      <c r="C8" s="61" t="s">
        <v>4</v>
      </c>
    </row>
    <row r="9" spans="1:3" x14ac:dyDescent="0.2">
      <c r="A9" s="49" t="s">
        <v>80</v>
      </c>
      <c r="B9" s="50" t="e">
        <f>SUMIFS('Commissioni Metal Invest'!P$7:P$844,'Commissioni Metal Invest'!$V$7:$V$32,1,'Commissioni Metal Invest'!$W$7:$W$32,2024)</f>
        <v>#VALUE!</v>
      </c>
      <c r="C9" s="51" t="e">
        <f>SUMIFS('Commissioni Metal Invest'!C$7:C$844,'Commissioni Metal Invest'!$V$7:$V$32,1,'Commissioni Metal Invest'!$W$7:$W$32,2024)</f>
        <v>#VALUE!</v>
      </c>
    </row>
    <row r="10" spans="1:3" x14ac:dyDescent="0.2">
      <c r="A10" s="52" t="s">
        <v>81</v>
      </c>
      <c r="B10" s="53" t="e">
        <f>SUMIFS('Commissioni Metal Invest'!P$7:P$844,'Commissioni Metal Invest'!$V$7:$V$32,2,'Commissioni Metal Invest'!$W$7:$W$32,2024)</f>
        <v>#VALUE!</v>
      </c>
      <c r="C10" s="54" t="e">
        <f>SUMIFS('Commissioni Metal Invest'!C$7:C$844,'Commissioni Metal Invest'!$V$7:$V$32,2,'Commissioni Metal Invest'!$W$7:$W$32,2024)</f>
        <v>#VALUE!</v>
      </c>
    </row>
    <row r="11" spans="1:3" x14ac:dyDescent="0.2">
      <c r="A11" s="52" t="s">
        <v>82</v>
      </c>
      <c r="B11" s="53" t="e">
        <f>SUMIFS('Commissioni Metal Invest'!P$7:P$844,'Commissioni Metal Invest'!$V$7:$V$32,3,'Commissioni Metal Invest'!$W$7:$W$32,2024)</f>
        <v>#VALUE!</v>
      </c>
      <c r="C11" s="54" t="e">
        <f>SUMIFS('Commissioni Metal Invest'!C$7:C$844,'Commissioni Metal Invest'!$V$7:$V$32,3,'Commissioni Metal Invest'!$W$7:$W$32,2024)</f>
        <v>#VALUE!</v>
      </c>
    </row>
    <row r="12" spans="1:3" x14ac:dyDescent="0.2">
      <c r="A12" s="52" t="s">
        <v>83</v>
      </c>
      <c r="B12" s="53" t="e">
        <f>SUMIFS('Commissioni Metal Invest'!P$7:P$844,'Commissioni Metal Invest'!$V$7:$V$32,4,'Commissioni Metal Invest'!$W$7:$W$32,2024)</f>
        <v>#VALUE!</v>
      </c>
      <c r="C12" s="54" t="e">
        <f>SUMIFS('Commissioni Metal Invest'!C$7:C$844,'Commissioni Metal Invest'!$V$7:$V$32,4,'Commissioni Metal Invest'!$W$7:$W$32,2024)</f>
        <v>#VALUE!</v>
      </c>
    </row>
    <row r="13" spans="1:3" x14ac:dyDescent="0.2">
      <c r="A13" s="52" t="s">
        <v>84</v>
      </c>
      <c r="B13" s="53" t="e">
        <f>SUMIFS('Commissioni Metal Invest'!P$7:P$844,'Commissioni Metal Invest'!$V$7:$V$32,5,'Commissioni Metal Invest'!$W$7:$W$32,2024)</f>
        <v>#VALUE!</v>
      </c>
      <c r="C13" s="54" t="e">
        <f>SUMIFS('Commissioni Metal Invest'!C$7:C$844,'Commissioni Metal Invest'!$V$7:$V$32,5,'Commissioni Metal Invest'!$W$7:$W$32,2024)</f>
        <v>#VALUE!</v>
      </c>
    </row>
    <row r="14" spans="1:3" x14ac:dyDescent="0.2">
      <c r="A14" s="52" t="s">
        <v>85</v>
      </c>
      <c r="B14" s="53" t="e">
        <f>SUMIFS('Commissioni Metal Invest'!P$7:P$844,'Commissioni Metal Invest'!$V$7:$V$32,6,'Commissioni Metal Invest'!$W$7:$W$32,2024)</f>
        <v>#VALUE!</v>
      </c>
      <c r="C14" s="54" t="e">
        <f>SUMIFS('Commissioni Metal Invest'!C$7:C$844,'Commissioni Metal Invest'!$V$7:$V$32,6,'Commissioni Metal Invest'!$W$7:$W$32,2024)</f>
        <v>#VALUE!</v>
      </c>
    </row>
    <row r="15" spans="1:3" x14ac:dyDescent="0.2">
      <c r="A15" s="52" t="s">
        <v>86</v>
      </c>
      <c r="B15" s="53" t="e">
        <f>SUMIFS('Commissioni Metal Invest'!P$7:P$844,'Commissioni Metal Invest'!$V$7:$V$32,7,'Commissioni Metal Invest'!$W$7:$W$32,2024)</f>
        <v>#VALUE!</v>
      </c>
      <c r="C15" s="54" t="e">
        <f>SUMIFS('Commissioni Metal Invest'!C$7:C$844,'Commissioni Metal Invest'!$V$7:$V$32,7,'Commissioni Metal Invest'!$W$7:$W$32,2024)</f>
        <v>#VALUE!</v>
      </c>
    </row>
    <row r="16" spans="1:3" x14ac:dyDescent="0.2">
      <c r="A16" s="52" t="s">
        <v>87</v>
      </c>
      <c r="B16" s="53" t="e">
        <f>SUMIFS('Commissioni Metal Invest'!P$7:P$844,'Commissioni Metal Invest'!$V$7:$V$32,8,'Commissioni Metal Invest'!$W$7:$W$32,2024)</f>
        <v>#VALUE!</v>
      </c>
      <c r="C16" s="54" t="e">
        <f>SUMIFS('Commissioni Metal Invest'!C$7:C$844,'Commissioni Metal Invest'!$V$7:$V$32,8,'Commissioni Metal Invest'!$W$7:$W$32,2024)</f>
        <v>#VALUE!</v>
      </c>
    </row>
    <row r="17" spans="1:3" x14ac:dyDescent="0.2">
      <c r="A17" s="52" t="s">
        <v>88</v>
      </c>
      <c r="B17" s="53" t="e">
        <f>SUMIFS('Commissioni Metal Invest'!P$7:P$844,'Commissioni Metal Invest'!$V$7:$V$32,9,'Commissioni Metal Invest'!$W$7:$W$32,2024)</f>
        <v>#VALUE!</v>
      </c>
      <c r="C17" s="54" t="e">
        <f>SUMIFS('Commissioni Metal Invest'!C$7:C$844,'Commissioni Metal Invest'!$V$7:$V$32,9,'Commissioni Metal Invest'!$W$7:$W$32,2024)</f>
        <v>#VALUE!</v>
      </c>
    </row>
    <row r="18" spans="1:3" x14ac:dyDescent="0.2">
      <c r="A18" s="52" t="s">
        <v>89</v>
      </c>
      <c r="B18" s="53" t="e">
        <f>SUMIFS('Commissioni Metal Invest'!P$7:P$844,'Commissioni Metal Invest'!$V$7:$V$32,10,'Commissioni Metal Invest'!$W$7:$W$32,2024)</f>
        <v>#VALUE!</v>
      </c>
      <c r="C18" s="54" t="e">
        <f>SUMIFS('Commissioni Metal Invest'!C$7:C$844,'Commissioni Metal Invest'!$V$7:$V$32,10,'Commissioni Metal Invest'!$W$7:$W$32,2024)</f>
        <v>#VALUE!</v>
      </c>
    </row>
    <row r="19" spans="1:3" x14ac:dyDescent="0.2">
      <c r="A19" s="52" t="s">
        <v>90</v>
      </c>
      <c r="B19" s="53" t="e">
        <f>SUMIFS('Commissioni Metal Invest'!P$7:P$844,'Commissioni Metal Invest'!$V$7:$V$32,11,'Commissioni Metal Invest'!$W$7:$W$32,202)</f>
        <v>#VALUE!</v>
      </c>
      <c r="C19" s="54" t="e">
        <f>SUMIFS('Commissioni Metal Invest'!C$7:C$844,'Commissioni Metal Invest'!$V$7:$V$32,11,'Commissioni Metal Invest'!$W$7:$W$32,2024)</f>
        <v>#VALUE!</v>
      </c>
    </row>
    <row r="20" spans="1:3" ht="13.5" thickBot="1" x14ac:dyDescent="0.25">
      <c r="A20" s="55" t="s">
        <v>91</v>
      </c>
      <c r="B20" s="56" t="e">
        <f>SUMIFS('Commissioni Metal Invest'!P$7:P$844,'Commissioni Metal Invest'!$V$7:$V$32,12,'Commissioni Metal Invest'!$W$7:$W$32,2024)</f>
        <v>#VALUE!</v>
      </c>
      <c r="C20" s="57" t="e">
        <f>SUMIFS('Commissioni Metal Invest'!C$7:C$844,'Commissioni Metal Invest'!$V$7:$V$32,12,'Commissioni Metal Invest'!$W$7:$W$32,2024)</f>
        <v>#VALUE!</v>
      </c>
    </row>
    <row r="21" spans="1:3" ht="16.5" thickBot="1" x14ac:dyDescent="0.3">
      <c r="B21" s="62" t="e">
        <f>SUM(B9:B20)</f>
        <v>#VALUE!</v>
      </c>
      <c r="C21" s="63" t="e">
        <f>SUM(C9:C20)</f>
        <v>#VALUE!</v>
      </c>
    </row>
    <row r="24" spans="1:3" ht="19.5" thickBot="1" x14ac:dyDescent="0.35">
      <c r="B24" s="133">
        <v>2025</v>
      </c>
      <c r="C24" s="133"/>
    </row>
    <row r="25" spans="1:3" ht="16.5" thickBot="1" x14ac:dyDescent="0.3">
      <c r="A25" s="58"/>
      <c r="B25" s="134" t="s">
        <v>79</v>
      </c>
      <c r="C25" s="135"/>
    </row>
    <row r="26" spans="1:3" ht="16.5" thickBot="1" x14ac:dyDescent="0.3">
      <c r="A26" s="59" t="s">
        <v>78</v>
      </c>
      <c r="B26" s="60" t="s">
        <v>18</v>
      </c>
      <c r="C26" s="61" t="s">
        <v>4</v>
      </c>
    </row>
    <row r="27" spans="1:3" x14ac:dyDescent="0.2">
      <c r="A27" s="49" t="s">
        <v>98</v>
      </c>
      <c r="B27" s="50" t="e">
        <f>SUMIFS('Commissioni Metal Invest'!P$7:P$844,'Commissioni Metal Invest'!$V$7:$V$32,1,'Commissioni Metal Invest'!$W$7:$W$32,2025)</f>
        <v>#VALUE!</v>
      </c>
      <c r="C27" s="51" t="e">
        <f>SUMIFS('Commissioni Metal Invest'!C$7:C$844,'Commissioni Metal Invest'!$V$7:$V$32,1,'Commissioni Metal Invest'!$W$7:$W$32,2025)</f>
        <v>#VALUE!</v>
      </c>
    </row>
    <row r="28" spans="1:3" x14ac:dyDescent="0.2">
      <c r="A28" s="52" t="s">
        <v>99</v>
      </c>
      <c r="B28" s="53" t="e">
        <f>SUMIFS('Commissioni Metal Invest'!P$7:P$844,'Commissioni Metal Invest'!$V$7:$V$32,2,'Commissioni Metal Invest'!$W$7:$W$32,2025)</f>
        <v>#VALUE!</v>
      </c>
      <c r="C28" s="54" t="e">
        <f>SUMIFS('Commissioni Metal Invest'!C$7:C$844,'Commissioni Metal Invest'!$V$7:$V$32,2,'Commissioni Metal Invest'!$W$7:$W$32,2025)</f>
        <v>#VALUE!</v>
      </c>
    </row>
    <row r="29" spans="1:3" x14ac:dyDescent="0.2">
      <c r="A29" s="52" t="s">
        <v>100</v>
      </c>
      <c r="B29" s="53" t="e">
        <f>SUMIFS('Commissioni Metal Invest'!P$7:P$844,'Commissioni Metal Invest'!$V$7:$V$32,3,'Commissioni Metal Invest'!$W$7:$W$32,2025)</f>
        <v>#VALUE!</v>
      </c>
      <c r="C29" s="54" t="e">
        <f>SUMIFS('Commissioni Metal Invest'!C$7:C$844,'Commissioni Metal Invest'!$V$7:$V$32,3,'Commissioni Metal Invest'!$W$7:$W$32,2025)</f>
        <v>#VALUE!</v>
      </c>
    </row>
    <row r="30" spans="1:3" x14ac:dyDescent="0.2">
      <c r="A30" s="52" t="s">
        <v>101</v>
      </c>
      <c r="B30" s="53" t="e">
        <f>SUMIFS('Commissioni Metal Invest'!P$7:P$844,'Commissioni Metal Invest'!$V$7:$V$32,4,'Commissioni Metal Invest'!$W$7:$W$32,2025)</f>
        <v>#VALUE!</v>
      </c>
      <c r="C30" s="54" t="e">
        <f>SUMIFS('Commissioni Metal Invest'!C$7:C$844,'Commissioni Metal Invest'!$V$7:$V$32,4,'Commissioni Metal Invest'!$W$7:$W$32,2025)</f>
        <v>#VALUE!</v>
      </c>
    </row>
    <row r="31" spans="1:3" x14ac:dyDescent="0.2">
      <c r="A31" s="52" t="s">
        <v>102</v>
      </c>
      <c r="B31" s="53" t="e">
        <f>SUMIFS('Commissioni Metal Invest'!P$7:P$844,'Commissioni Metal Invest'!$V$7:$V$32,5,'Commissioni Metal Invest'!$W$7:$W$32,2025)</f>
        <v>#VALUE!</v>
      </c>
      <c r="C31" s="54" t="e">
        <f>SUMIFS('Commissioni Metal Invest'!C$7:C$844,'Commissioni Metal Invest'!$V$7:$V$32,5,'Commissioni Metal Invest'!$W$7:$W$32,2025)</f>
        <v>#VALUE!</v>
      </c>
    </row>
    <row r="32" spans="1:3" x14ac:dyDescent="0.2">
      <c r="A32" s="52" t="s">
        <v>103</v>
      </c>
      <c r="B32" s="53" t="e">
        <f>SUMIFS('Commissioni Metal Invest'!P$7:P$844,'Commissioni Metal Invest'!$V$7:$V$32,6,'Commissioni Metal Invest'!$W$7:$W$32,2025)</f>
        <v>#VALUE!</v>
      </c>
      <c r="C32" s="54" t="e">
        <f>SUMIFS('Commissioni Metal Invest'!C$7:C$844,'Commissioni Metal Invest'!$V$7:$V$32,6,'Commissioni Metal Invest'!$W$7:$W$32,2025)</f>
        <v>#VALUE!</v>
      </c>
    </row>
    <row r="33" spans="1:3" x14ac:dyDescent="0.2">
      <c r="A33" s="52" t="s">
        <v>104</v>
      </c>
      <c r="B33" s="53" t="e">
        <f>SUMIFS('Commissioni Metal Invest'!P$7:P$844,'Commissioni Metal Invest'!$V$7:$V$32,7,'Commissioni Metal Invest'!$W$7:$W$32,2025)</f>
        <v>#VALUE!</v>
      </c>
      <c r="C33" s="54" t="e">
        <f>SUMIFS('Commissioni Metal Invest'!C$7:C$844,'Commissioni Metal Invest'!$V$7:$V$32,7,'Commissioni Metal Invest'!$W$7:$W$32,2025)</f>
        <v>#VALUE!</v>
      </c>
    </row>
    <row r="34" spans="1:3" x14ac:dyDescent="0.2">
      <c r="A34" s="52" t="s">
        <v>105</v>
      </c>
      <c r="B34" s="53" t="e">
        <f>SUMIFS('Commissioni Metal Invest'!P$7:P$844,'Commissioni Metal Invest'!$V$7:$V$32,8,'Commissioni Metal Invest'!$W$7:$W$32,2025)</f>
        <v>#VALUE!</v>
      </c>
      <c r="C34" s="54" t="e">
        <f>SUMIFS('Commissioni Metal Invest'!C$7:C$844,'Commissioni Metal Invest'!$V$7:$V$32,8,'Commissioni Metal Invest'!$W$7:$W$32,2025)</f>
        <v>#VALUE!</v>
      </c>
    </row>
    <row r="35" spans="1:3" x14ac:dyDescent="0.2">
      <c r="A35" s="52" t="s">
        <v>106</v>
      </c>
      <c r="B35" s="53" t="e">
        <f>SUMIFS('Commissioni Metal Invest'!P$7:P$844,'Commissioni Metal Invest'!$V$7:$V$32,9,'Commissioni Metal Invest'!$W$7:$W$32,2025)</f>
        <v>#VALUE!</v>
      </c>
      <c r="C35" s="54" t="e">
        <f>SUMIFS('Commissioni Metal Invest'!C$7:C$844,'Commissioni Metal Invest'!$V$7:$V$32,9,'Commissioni Metal Invest'!$W$7:$W$32,2025)</f>
        <v>#VALUE!</v>
      </c>
    </row>
    <row r="36" spans="1:3" x14ac:dyDescent="0.2">
      <c r="A36" s="52" t="s">
        <v>107</v>
      </c>
      <c r="B36" s="53" t="e">
        <f>SUMIFS('Commissioni Metal Invest'!P$7:P$844,'Commissioni Metal Invest'!$V$7:$V$32,10,'Commissioni Metal Invest'!$W$7:$W$32,2025)</f>
        <v>#VALUE!</v>
      </c>
      <c r="C36" s="54" t="e">
        <f>SUMIFS('Commissioni Metal Invest'!C$7:C$844,'Commissioni Metal Invest'!$V$7:$V$32,10,'Commissioni Metal Invest'!$W$7:$W$32,2025)</f>
        <v>#VALUE!</v>
      </c>
    </row>
    <row r="37" spans="1:3" x14ac:dyDescent="0.2">
      <c r="A37" s="52" t="s">
        <v>108</v>
      </c>
      <c r="B37" s="53" t="e">
        <f>SUMIFS('Commissioni Metal Invest'!P$7:P$844,'Commissioni Metal Invest'!$V$7:$V$32,11,'Commissioni Metal Invest'!$W$7:$W$32,2025)</f>
        <v>#VALUE!</v>
      </c>
      <c r="C37" s="54" t="e">
        <f>SUMIFS('Commissioni Metal Invest'!C$7:C$844,'Commissioni Metal Invest'!$V$7:$V$32,11,'Commissioni Metal Invest'!$W$7:$W$32,2025)</f>
        <v>#VALUE!</v>
      </c>
    </row>
    <row r="38" spans="1:3" ht="13.5" thickBot="1" x14ac:dyDescent="0.25">
      <c r="A38" s="55" t="s">
        <v>109</v>
      </c>
      <c r="B38" s="56" t="e">
        <f>SUMIFS('Commissioni Metal Invest'!P$7:P$844,'Commissioni Metal Invest'!$V$7:$V$32,12,'Commissioni Metal Invest'!$W$7:$W$32,2025)</f>
        <v>#VALUE!</v>
      </c>
      <c r="C38" s="57" t="e">
        <f>SUMIFS('Commissioni Metal Invest'!C$7:C$844,'Commissioni Metal Invest'!$V$7:$V$32,12,'Commissioni Metal Invest'!$W$7:$W$32,2025)</f>
        <v>#VALUE!</v>
      </c>
    </row>
    <row r="39" spans="1:3" ht="16.5" thickBot="1" x14ac:dyDescent="0.3">
      <c r="B39" s="62" t="e">
        <f>SUM(B27:B38)</f>
        <v>#VALUE!</v>
      </c>
      <c r="C39" s="63" t="e">
        <f>SUM(C27:C38)</f>
        <v>#VALUE!</v>
      </c>
    </row>
    <row r="48" spans="1:3" ht="19.5" thickBot="1" x14ac:dyDescent="0.35">
      <c r="B48" s="133" t="s">
        <v>14</v>
      </c>
      <c r="C48" s="133"/>
    </row>
    <row r="49" spans="2:3" ht="15.75" x14ac:dyDescent="0.25">
      <c r="B49" s="134" t="s">
        <v>79</v>
      </c>
      <c r="C49" s="135"/>
    </row>
    <row r="50" spans="2:3" ht="16.5" thickBot="1" x14ac:dyDescent="0.3">
      <c r="B50" s="64" t="e">
        <f>IF(B55=0,"Euro","Errore")</f>
        <v>#VALUE!</v>
      </c>
      <c r="C50" s="61" t="e">
        <f>IF(C55=0,"Kg","Errore")</f>
        <v>#VALUE!</v>
      </c>
    </row>
    <row r="51" spans="2:3" ht="16.5" thickBot="1" x14ac:dyDescent="0.3">
      <c r="B51" s="65" t="e">
        <f>+B21+B39</f>
        <v>#VALUE!</v>
      </c>
      <c r="C51" s="66" t="e">
        <f>+C21+C39</f>
        <v>#VALUE!</v>
      </c>
    </row>
    <row r="53" spans="2:3" hidden="1" x14ac:dyDescent="0.2">
      <c r="B53" s="50" t="e">
        <f>SUMIFS('Commissioni Metal Invest'!P$7:P$844,'Commissioni Metal Invest'!$V$7:$V$32,0,'Commissioni Metal Invest'!$W$7:$W$32,0)</f>
        <v>#VALUE!</v>
      </c>
      <c r="C53" s="51" t="e">
        <f>SUMIFS('Commissioni Metal Invest'!C$7:C$844,'Commissioni Metal Invest'!$V$7:$V$32,0,'Commissioni Metal Invest'!$W$7:$W$32,0)</f>
        <v>#VALUE!</v>
      </c>
    </row>
    <row r="54" spans="2:3" ht="13.5" hidden="1" thickBot="1" x14ac:dyDescent="0.25"/>
    <row r="55" spans="2:3" hidden="1" x14ac:dyDescent="0.2">
      <c r="B55" s="50" t="e">
        <f>+B51+B53-'Commissioni Metal Invest'!P845</f>
        <v>#VALUE!</v>
      </c>
      <c r="C55" s="51" t="e">
        <f>+C51+C53-'Commissioni Metal Invest'!C845</f>
        <v>#VALUE!</v>
      </c>
    </row>
  </sheetData>
  <mergeCells count="6">
    <mergeCell ref="B48:C48"/>
    <mergeCell ref="B49:C49"/>
    <mergeCell ref="B6:C6"/>
    <mergeCell ref="B7:C7"/>
    <mergeCell ref="B24:C24"/>
    <mergeCell ref="B25:C25"/>
  </mergeCells>
  <conditionalFormatting sqref="B50">
    <cfRule type="containsText" dxfId="1" priority="2" stopIfTrue="1" operator="containsText" text="Errore">
      <formula>NOT(ISERROR(SEARCH("Errore",B50)))</formula>
    </cfRule>
  </conditionalFormatting>
  <conditionalFormatting sqref="C50">
    <cfRule type="containsText" dxfId="0" priority="1" stopIfTrue="1" operator="containsText" text="Errore">
      <formula>NOT(ISERROR(SEARCH("Errore",C50)))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5"/>
  <sheetViews>
    <sheetView workbookViewId="0">
      <selection activeCell="A2" sqref="A2:A5"/>
    </sheetView>
  </sheetViews>
  <sheetFormatPr defaultRowHeight="12.75" x14ac:dyDescent="0.2"/>
  <sheetData>
    <row r="2" spans="1:1" x14ac:dyDescent="0.2">
      <c r="A2" t="s">
        <v>27</v>
      </c>
    </row>
    <row r="3" spans="1:1" x14ac:dyDescent="0.2">
      <c r="A3" t="s">
        <v>28</v>
      </c>
    </row>
    <row r="4" spans="1:1" x14ac:dyDescent="0.2">
      <c r="A4" t="s">
        <v>29</v>
      </c>
    </row>
    <row r="5" spans="1:1" x14ac:dyDescent="0.2">
      <c r="A5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2</vt:i4>
      </vt:variant>
    </vt:vector>
  </HeadingPairs>
  <TitlesOfParts>
    <vt:vector size="6" baseType="lpstr">
      <vt:lpstr>Commissioni Metal Invest</vt:lpstr>
      <vt:lpstr>Fatturazione Metal Invest</vt:lpstr>
      <vt:lpstr>Consegne</vt:lpstr>
      <vt:lpstr>Foglio1</vt:lpstr>
      <vt:lpstr>'Commissioni Metal Invest'!Area_stampa</vt:lpstr>
      <vt:lpstr>materiale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2018-07-04T13:25:46Z</cp:lastPrinted>
  <dcterms:created xsi:type="dcterms:W3CDTF">2013-01-24T08:45:54Z</dcterms:created>
  <dcterms:modified xsi:type="dcterms:W3CDTF">2026-05-08T12:10:47Z</dcterms:modified>
</cp:coreProperties>
</file>